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bb3b3ae1b18b15f/26년도 현장/!!클로드가 저장하는 폴더/"/>
    </mc:Choice>
  </mc:AlternateContent>
  <xr:revisionPtr revIDLastSave="277" documentId="11_2843CDAFAFB64946C3EB3B48D583DF0EFAF2A92D" xr6:coauthVersionLast="47" xr6:coauthVersionMax="47" xr10:uidLastSave="{2FF6ABDD-E894-4B45-889F-C20FED9B8620}"/>
  <bookViews>
    <workbookView xWindow="58410" yWindow="540" windowWidth="27195" windowHeight="14775" firstSheet="1" activeTab="3" xr2:uid="{00000000-000D-0000-FFFF-FFFF00000000}"/>
  </bookViews>
  <sheets>
    <sheet name="숙박시설 착공목록" sheetId="1" r:id="rId1"/>
    <sheet name="출처_안내" sheetId="2" r:id="rId2"/>
    <sheet name="원본_백업_260918" sheetId="3" r:id="rId3"/>
    <sheet name="백업_중복정리후_260918" sheetId="4" r:id="rId4"/>
  </sheets>
  <definedNames>
    <definedName name="_xlnm._FilterDatabase" localSheetId="3" hidden="1">백업_중복정리후_260918!$A$1:$O$860</definedName>
    <definedName name="_xlnm._FilterDatabase" localSheetId="0" hidden="1">'숙박시설 착공목록'!$A$1:$S$305</definedName>
    <definedName name="_xlnm._FilterDatabase" localSheetId="2" hidden="1">원본_백업_260918!$A$1:$P$890</definedName>
    <definedName name="_xlnm.Print_Area" localSheetId="3">백업_중복정리후_260918!$A$1:$O$797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2" i="1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189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239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325" i="4"/>
  <c r="C768" i="4"/>
  <c r="C767" i="4"/>
  <c r="C766" i="4"/>
  <c r="C765" i="4"/>
  <c r="C764" i="4"/>
  <c r="C763" i="4"/>
  <c r="C762" i="4"/>
  <c r="C761" i="4"/>
  <c r="C760" i="4"/>
  <c r="C759" i="4"/>
  <c r="C758" i="4"/>
  <c r="C187" i="4"/>
  <c r="C756" i="4"/>
  <c r="C755" i="4"/>
  <c r="C754" i="4"/>
  <c r="C753" i="4"/>
  <c r="C752" i="4"/>
  <c r="C751" i="4"/>
  <c r="C750" i="4"/>
  <c r="C749" i="4"/>
  <c r="C748" i="4"/>
  <c r="C747" i="4"/>
  <c r="C237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271" i="4"/>
  <c r="C732" i="4"/>
  <c r="C731" i="4"/>
  <c r="C712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155" i="4"/>
  <c r="C154" i="4"/>
  <c r="C711" i="4"/>
  <c r="C710" i="4"/>
  <c r="C709" i="4"/>
  <c r="C153" i="4"/>
  <c r="C707" i="4"/>
  <c r="C706" i="4"/>
  <c r="C705" i="4"/>
  <c r="C704" i="4"/>
  <c r="C703" i="4"/>
  <c r="C54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234" i="4"/>
  <c r="C687" i="4"/>
  <c r="C686" i="4"/>
  <c r="C152" i="4"/>
  <c r="C684" i="4"/>
  <c r="C683" i="4"/>
  <c r="C682" i="4"/>
  <c r="C681" i="4"/>
  <c r="C680" i="4"/>
  <c r="C679" i="4"/>
  <c r="C232" i="4"/>
  <c r="C677" i="4"/>
  <c r="C538" i="4"/>
  <c r="C675" i="4"/>
  <c r="C674" i="4"/>
  <c r="C673" i="4"/>
  <c r="C151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186" i="4"/>
  <c r="C658" i="4"/>
  <c r="C657" i="4"/>
  <c r="C656" i="4"/>
  <c r="C655" i="4"/>
  <c r="C385" i="4"/>
  <c r="C653" i="4"/>
  <c r="C652" i="4"/>
  <c r="C651" i="4"/>
  <c r="C650" i="4"/>
  <c r="C231" i="4"/>
  <c r="C648" i="4"/>
  <c r="C647" i="4"/>
  <c r="C646" i="4"/>
  <c r="C645" i="4"/>
  <c r="C644" i="4"/>
  <c r="C643" i="4"/>
  <c r="C642" i="4"/>
  <c r="C641" i="4"/>
  <c r="C640" i="4"/>
  <c r="C184" i="4"/>
  <c r="C638" i="4"/>
  <c r="C637" i="4"/>
  <c r="C636" i="4"/>
  <c r="C635" i="4"/>
  <c r="C634" i="4"/>
  <c r="C633" i="4"/>
  <c r="C632" i="4"/>
  <c r="C631" i="4"/>
  <c r="C630" i="4"/>
  <c r="C519" i="4"/>
  <c r="C628" i="4"/>
  <c r="C627" i="4"/>
  <c r="C626" i="4"/>
  <c r="C625" i="4"/>
  <c r="C624" i="4"/>
  <c r="C708" i="4"/>
  <c r="C622" i="4"/>
  <c r="C702" i="4"/>
  <c r="C376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52" i="4"/>
  <c r="C605" i="4"/>
  <c r="C604" i="4"/>
  <c r="C603" i="4"/>
  <c r="C249" i="4"/>
  <c r="C601" i="4"/>
  <c r="C600" i="4"/>
  <c r="C599" i="4"/>
  <c r="C598" i="4"/>
  <c r="C597" i="4"/>
  <c r="C596" i="4"/>
  <c r="C595" i="4"/>
  <c r="C594" i="4"/>
  <c r="C593" i="4"/>
  <c r="C324" i="4"/>
  <c r="C322" i="4"/>
  <c r="C590" i="4"/>
  <c r="C589" i="4"/>
  <c r="C588" i="4"/>
  <c r="C587" i="4"/>
  <c r="C586" i="4"/>
  <c r="C585" i="4"/>
  <c r="C584" i="4"/>
  <c r="C583" i="4"/>
  <c r="C183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229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319" i="4"/>
  <c r="C542" i="4"/>
  <c r="C541" i="4"/>
  <c r="C540" i="4"/>
  <c r="C539" i="4"/>
  <c r="C144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318" i="4"/>
  <c r="C518" i="4"/>
  <c r="C517" i="4"/>
  <c r="C516" i="4"/>
  <c r="C515" i="4"/>
  <c r="C514" i="4"/>
  <c r="C513" i="4"/>
  <c r="C512" i="4"/>
  <c r="C141" i="4"/>
  <c r="C140" i="4"/>
  <c r="C509" i="4"/>
  <c r="C508" i="4"/>
  <c r="C507" i="4"/>
  <c r="C375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34" i="4"/>
  <c r="C429" i="4"/>
  <c r="C489" i="4"/>
  <c r="C488" i="4"/>
  <c r="C487" i="4"/>
  <c r="C51" i="4"/>
  <c r="C485" i="4"/>
  <c r="C484" i="4"/>
  <c r="C483" i="4"/>
  <c r="C137" i="4"/>
  <c r="C481" i="4"/>
  <c r="C480" i="4"/>
  <c r="C479" i="4"/>
  <c r="C478" i="4"/>
  <c r="C477" i="4"/>
  <c r="C511" i="4"/>
  <c r="C371" i="4"/>
  <c r="C474" i="4"/>
  <c r="C473" i="4"/>
  <c r="C228" i="4"/>
  <c r="C471" i="4"/>
  <c r="C470" i="4"/>
  <c r="C469" i="4"/>
  <c r="C468" i="4"/>
  <c r="C182" i="4"/>
  <c r="C466" i="4"/>
  <c r="C465" i="4"/>
  <c r="C464" i="4"/>
  <c r="C463" i="4"/>
  <c r="C462" i="4"/>
  <c r="C461" i="4"/>
  <c r="C460" i="4"/>
  <c r="C459" i="4"/>
  <c r="C458" i="4"/>
  <c r="C457" i="4"/>
  <c r="C227" i="4"/>
  <c r="C455" i="4"/>
  <c r="C454" i="4"/>
  <c r="C453" i="4"/>
  <c r="C452" i="4"/>
  <c r="C451" i="4"/>
  <c r="C450" i="4"/>
  <c r="C449" i="4"/>
  <c r="C448" i="4"/>
  <c r="C447" i="4"/>
  <c r="C446" i="4"/>
  <c r="C445" i="4"/>
  <c r="C134" i="4"/>
  <c r="C443" i="4"/>
  <c r="C442" i="4"/>
  <c r="C441" i="4"/>
  <c r="C440" i="4"/>
  <c r="C364" i="4"/>
  <c r="C438" i="4"/>
  <c r="C437" i="4"/>
  <c r="C436" i="4"/>
  <c r="C130" i="4"/>
  <c r="C362" i="4"/>
  <c r="C433" i="4"/>
  <c r="C432" i="4"/>
  <c r="C431" i="4"/>
  <c r="C430" i="4"/>
  <c r="C224" i="4"/>
  <c r="C428" i="4"/>
  <c r="C427" i="4"/>
  <c r="C426" i="4"/>
  <c r="C50" i="4"/>
  <c r="C424" i="4"/>
  <c r="C423" i="4"/>
  <c r="C359" i="4"/>
  <c r="C421" i="4"/>
  <c r="C420" i="4"/>
  <c r="C419" i="4"/>
  <c r="C418" i="4"/>
  <c r="C417" i="4"/>
  <c r="C510" i="4"/>
  <c r="C415" i="4"/>
  <c r="C414" i="4"/>
  <c r="C413" i="4"/>
  <c r="C412" i="4"/>
  <c r="C411" i="4"/>
  <c r="C410" i="4"/>
  <c r="C409" i="4"/>
  <c r="C408" i="4"/>
  <c r="C407" i="4"/>
  <c r="C406" i="4"/>
  <c r="C405" i="4"/>
  <c r="C223" i="4"/>
  <c r="C403" i="4"/>
  <c r="C358" i="4"/>
  <c r="C401" i="4"/>
  <c r="C400" i="4"/>
  <c r="C399" i="4"/>
  <c r="C398" i="4"/>
  <c r="C397" i="4"/>
  <c r="C396" i="4"/>
  <c r="C317" i="4"/>
  <c r="C394" i="4"/>
  <c r="C222" i="4"/>
  <c r="C129" i="4"/>
  <c r="C181" i="4"/>
  <c r="C128" i="4"/>
  <c r="C389" i="4"/>
  <c r="C127" i="4"/>
  <c r="C124" i="4"/>
  <c r="C386" i="4"/>
  <c r="C688" i="4"/>
  <c r="C384" i="4"/>
  <c r="C383" i="4"/>
  <c r="C382" i="4"/>
  <c r="C381" i="4"/>
  <c r="C380" i="4"/>
  <c r="C379" i="4"/>
  <c r="C378" i="4"/>
  <c r="C377" i="4"/>
  <c r="C221" i="4"/>
  <c r="C179" i="4"/>
  <c r="C374" i="4"/>
  <c r="C373" i="4"/>
  <c r="C372" i="4"/>
  <c r="C123" i="4"/>
  <c r="C370" i="4"/>
  <c r="C369" i="4"/>
  <c r="C368" i="4"/>
  <c r="C367" i="4"/>
  <c r="C366" i="4"/>
  <c r="C365" i="4"/>
  <c r="C220" i="4"/>
  <c r="C363" i="4"/>
  <c r="C315" i="4"/>
  <c r="C361" i="4"/>
  <c r="C360" i="4"/>
  <c r="C118" i="4"/>
  <c r="C49" i="4"/>
  <c r="C685" i="4"/>
  <c r="C678" i="4"/>
  <c r="C117" i="4"/>
  <c r="C116" i="4"/>
  <c r="C114" i="4"/>
  <c r="C112" i="4"/>
  <c r="C110" i="4"/>
  <c r="C350" i="4"/>
  <c r="C47" i="4"/>
  <c r="C109" i="4"/>
  <c r="C108" i="4"/>
  <c r="C346" i="4"/>
  <c r="C345" i="4"/>
  <c r="C314" i="4"/>
  <c r="C343" i="4"/>
  <c r="C342" i="4"/>
  <c r="C341" i="4"/>
  <c r="C340" i="4"/>
  <c r="C339" i="4"/>
  <c r="C338" i="4"/>
  <c r="C337" i="4"/>
  <c r="C336" i="4"/>
  <c r="C107" i="4"/>
  <c r="C334" i="4"/>
  <c r="C333" i="4"/>
  <c r="C332" i="4"/>
  <c r="C311" i="4"/>
  <c r="C330" i="4"/>
  <c r="C329" i="4"/>
  <c r="C328" i="4"/>
  <c r="C327" i="4"/>
  <c r="C326" i="4"/>
  <c r="C106" i="4"/>
  <c r="C178" i="4"/>
  <c r="C323" i="4"/>
  <c r="C105" i="4"/>
  <c r="C321" i="4"/>
  <c r="C320" i="4"/>
  <c r="C357" i="4"/>
  <c r="C506" i="4"/>
  <c r="C103" i="4"/>
  <c r="C316" i="4"/>
  <c r="C46" i="4"/>
  <c r="C676" i="4"/>
  <c r="C313" i="4"/>
  <c r="C312" i="4"/>
  <c r="C356" i="4"/>
  <c r="C310" i="4"/>
  <c r="C309" i="4"/>
  <c r="C355" i="4"/>
  <c r="C291" i="4"/>
  <c r="C306" i="4"/>
  <c r="C102" i="4"/>
  <c r="C304" i="4"/>
  <c r="C177" i="4"/>
  <c r="C302" i="4"/>
  <c r="C45" i="4"/>
  <c r="C44" i="4"/>
  <c r="C672" i="4"/>
  <c r="C298" i="4"/>
  <c r="C101" i="4"/>
  <c r="C100" i="4"/>
  <c r="C99" i="4"/>
  <c r="C97" i="4"/>
  <c r="C96" i="4"/>
  <c r="C95" i="4"/>
  <c r="C94" i="4"/>
  <c r="C290" i="4"/>
  <c r="C289" i="4"/>
  <c r="C425" i="4"/>
  <c r="C287" i="4"/>
  <c r="C286" i="4"/>
  <c r="C176" i="4"/>
  <c r="C284" i="4"/>
  <c r="C422" i="4"/>
  <c r="C491" i="4"/>
  <c r="C93" i="4"/>
  <c r="C92" i="4"/>
  <c r="C174" i="4"/>
  <c r="C278" i="4"/>
  <c r="C277" i="4"/>
  <c r="C276" i="4"/>
  <c r="C659" i="4"/>
  <c r="C274" i="4"/>
  <c r="C416" i="4"/>
  <c r="C272" i="4"/>
  <c r="C354" i="4"/>
  <c r="C270" i="4"/>
  <c r="C654" i="4"/>
  <c r="C268" i="4"/>
  <c r="C267" i="4"/>
  <c r="C266" i="4"/>
  <c r="C265" i="4"/>
  <c r="C649" i="4"/>
  <c r="C91" i="4"/>
  <c r="C262" i="4"/>
  <c r="C43" i="4"/>
  <c r="C260" i="4"/>
  <c r="C219" i="4"/>
  <c r="C42" i="4"/>
  <c r="C353" i="4"/>
  <c r="C256" i="4"/>
  <c r="C288" i="4"/>
  <c r="C639" i="4"/>
  <c r="C253" i="4"/>
  <c r="C308" i="4"/>
  <c r="C404" i="4"/>
  <c r="C41" i="4"/>
  <c r="C352" i="4"/>
  <c r="C90" i="4"/>
  <c r="C247" i="4"/>
  <c r="C246" i="4"/>
  <c r="C245" i="4"/>
  <c r="C244" i="4"/>
  <c r="C87" i="4"/>
  <c r="C242" i="4"/>
  <c r="C241" i="4"/>
  <c r="C86" i="4"/>
  <c r="C85" i="4"/>
  <c r="C238" i="4"/>
  <c r="C218" i="4"/>
  <c r="C236" i="4"/>
  <c r="C235" i="4"/>
  <c r="C351" i="4"/>
  <c r="C233" i="4"/>
  <c r="C629" i="4"/>
  <c r="C307" i="4"/>
  <c r="C230" i="4"/>
  <c r="C84" i="4"/>
  <c r="C83" i="4"/>
  <c r="C40" i="4"/>
  <c r="C226" i="4"/>
  <c r="C225" i="4"/>
  <c r="C39" i="4"/>
  <c r="C38" i="4"/>
  <c r="C37" i="4"/>
  <c r="C217" i="4"/>
  <c r="C490" i="4"/>
  <c r="C36" i="4"/>
  <c r="C216" i="4"/>
  <c r="C486" i="4"/>
  <c r="C623" i="4"/>
  <c r="C402" i="4"/>
  <c r="C214" i="4"/>
  <c r="C213" i="4"/>
  <c r="C35" i="4"/>
  <c r="C211" i="4"/>
  <c r="C210" i="4"/>
  <c r="C209" i="4"/>
  <c r="C240" i="4"/>
  <c r="C207" i="4"/>
  <c r="C206" i="4"/>
  <c r="C205" i="4"/>
  <c r="C204" i="4"/>
  <c r="C797" i="4"/>
  <c r="C81" i="4"/>
  <c r="C215" i="4"/>
  <c r="C200" i="4"/>
  <c r="C199" i="4"/>
  <c r="C79" i="4"/>
  <c r="C173" i="4"/>
  <c r="C305" i="4"/>
  <c r="C172" i="4"/>
  <c r="C212" i="4"/>
  <c r="C34" i="4"/>
  <c r="C208" i="4"/>
  <c r="C203" i="4"/>
  <c r="C395" i="4"/>
  <c r="C482" i="4"/>
  <c r="C188" i="4"/>
  <c r="C349" i="4"/>
  <c r="C202" i="4"/>
  <c r="C185" i="4"/>
  <c r="C33" i="4"/>
  <c r="C77" i="4"/>
  <c r="C75" i="4"/>
  <c r="C72" i="4"/>
  <c r="C180" i="4"/>
  <c r="C303" i="4"/>
  <c r="C621" i="4"/>
  <c r="C393" i="4"/>
  <c r="C32" i="4"/>
  <c r="C175" i="4"/>
  <c r="C70" i="4"/>
  <c r="C620" i="4"/>
  <c r="C201" i="4"/>
  <c r="C171" i="4"/>
  <c r="C170" i="4"/>
  <c r="C169" i="4"/>
  <c r="C31" i="4"/>
  <c r="C301" i="4"/>
  <c r="C166" i="4"/>
  <c r="C168" i="4"/>
  <c r="C476" i="4"/>
  <c r="C782" i="4"/>
  <c r="C162" i="4"/>
  <c r="C348" i="4"/>
  <c r="C606" i="4"/>
  <c r="C159" i="4"/>
  <c r="C69" i="4"/>
  <c r="C167" i="4"/>
  <c r="C156" i="4"/>
  <c r="C30" i="4"/>
  <c r="C269" i="4"/>
  <c r="C29" i="4"/>
  <c r="C28" i="4"/>
  <c r="C68" i="4"/>
  <c r="C150" i="4"/>
  <c r="C149" i="4"/>
  <c r="C148" i="4"/>
  <c r="C147" i="4"/>
  <c r="C146" i="4"/>
  <c r="C145" i="4"/>
  <c r="C198" i="4"/>
  <c r="C143" i="4"/>
  <c r="C142" i="4"/>
  <c r="C197" i="4"/>
  <c r="C392" i="4"/>
  <c r="C139" i="4"/>
  <c r="C138" i="4"/>
  <c r="C391" i="4"/>
  <c r="C136" i="4"/>
  <c r="C135" i="4"/>
  <c r="C14" i="4"/>
  <c r="C133" i="4"/>
  <c r="C132" i="4"/>
  <c r="C131" i="4"/>
  <c r="C769" i="4"/>
  <c r="C13" i="4"/>
  <c r="C475" i="4"/>
  <c r="C196" i="4"/>
  <c r="C126" i="4"/>
  <c r="C125" i="4"/>
  <c r="C347" i="4"/>
  <c r="C67" i="4"/>
  <c r="C122" i="4"/>
  <c r="C121" i="4"/>
  <c r="C120" i="4"/>
  <c r="C119" i="4"/>
  <c r="C12" i="4"/>
  <c r="C264" i="4"/>
  <c r="C263" i="4"/>
  <c r="C115" i="4"/>
  <c r="C66" i="4"/>
  <c r="C113" i="4"/>
  <c r="C285" i="4"/>
  <c r="C111" i="4"/>
  <c r="C300" i="4"/>
  <c r="C11" i="4"/>
  <c r="C195" i="4"/>
  <c r="C344" i="4"/>
  <c r="C250" i="4"/>
  <c r="C335" i="4"/>
  <c r="C104" i="4"/>
  <c r="C757" i="4"/>
  <c r="C261" i="4"/>
  <c r="C602" i="4"/>
  <c r="C194" i="4"/>
  <c r="C746" i="4"/>
  <c r="C98" i="4"/>
  <c r="C10" i="4"/>
  <c r="C592" i="4"/>
  <c r="C9" i="4"/>
  <c r="C65" i="4"/>
  <c r="C64" i="4"/>
  <c r="C63" i="4"/>
  <c r="C472" i="4"/>
  <c r="C165" i="4"/>
  <c r="C89" i="4"/>
  <c r="C88" i="4"/>
  <c r="C591" i="4"/>
  <c r="C62" i="4"/>
  <c r="C248" i="4"/>
  <c r="C390" i="4"/>
  <c r="C7" i="4"/>
  <c r="C82" i="4"/>
  <c r="C164" i="4"/>
  <c r="C80" i="4"/>
  <c r="C258" i="4"/>
  <c r="C78" i="4"/>
  <c r="C4" i="4"/>
  <c r="C76" i="4"/>
  <c r="C388" i="4"/>
  <c r="C74" i="4"/>
  <c r="C73" i="4"/>
  <c r="C61" i="4"/>
  <c r="C71" i="4"/>
  <c r="C257" i="4"/>
  <c r="C255" i="4"/>
  <c r="C163" i="4"/>
  <c r="C161" i="4"/>
  <c r="C160" i="4"/>
  <c r="C193" i="4"/>
  <c r="C292" i="4"/>
  <c r="C243" i="4"/>
  <c r="C158" i="4"/>
  <c r="C157" i="4"/>
  <c r="C60" i="4"/>
  <c r="C192" i="4"/>
  <c r="C582" i="4"/>
  <c r="C191" i="4"/>
  <c r="C56" i="4"/>
  <c r="C467" i="4"/>
  <c r="C456" i="4"/>
  <c r="C53" i="4"/>
  <c r="C59" i="4"/>
  <c r="C58" i="4"/>
  <c r="C444" i="4"/>
  <c r="C57" i="4"/>
  <c r="C48" i="4"/>
  <c r="C6" i="4"/>
  <c r="C730" i="4"/>
  <c r="C254" i="4"/>
  <c r="C561" i="4"/>
  <c r="C299" i="4"/>
  <c r="C439" i="4"/>
  <c r="C435" i="4"/>
  <c r="C331" i="4"/>
  <c r="C190" i="4"/>
  <c r="C55" i="4"/>
  <c r="C387" i="4"/>
  <c r="C5" i="4"/>
  <c r="C252" i="4"/>
  <c r="C279" i="4"/>
  <c r="C293" i="4"/>
  <c r="C275" i="4"/>
  <c r="C251" i="4"/>
  <c r="C273" i="4"/>
  <c r="C2" i="4"/>
  <c r="C713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259" i="4"/>
  <c r="C294" i="4"/>
  <c r="C8" i="4"/>
  <c r="C283" i="4"/>
  <c r="C297" i="4"/>
  <c r="C296" i="4"/>
  <c r="C295" i="4"/>
  <c r="C733" i="4"/>
  <c r="C3" i="4"/>
  <c r="C282" i="4"/>
  <c r="C281" i="4"/>
  <c r="C280" i="4"/>
  <c r="C543" i="4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배성윤</author>
  </authors>
  <commentList>
    <comment ref="D1" authorId="0" shapeId="0" xr:uid="{329A1B1C-D5D9-4B0D-83D4-2F478A5CC9B2}">
      <text>
        <r>
          <rPr>
            <b/>
            <sz val="9"/>
            <color indexed="81"/>
            <rFont val="Tahoma"/>
            <family val="2"/>
          </rPr>
          <t>배성윤:</t>
        </r>
        <r>
          <rPr>
            <sz val="9"/>
            <color indexed="81"/>
            <rFont val="Tahoma"/>
            <family val="2"/>
          </rPr>
          <t xml:space="preserve">
주소(E열)의 단계에서 시·군·구를 자동 추지(시·도 다음 마니).
주소가 없는 행은 번칸으로 단꾸어납니다.
필터 단추로 원하는 시·군·구만 고를 수 있습니다.</t>
        </r>
      </text>
    </comment>
    <comment ref="I1" authorId="0" shapeId="0" xr:uid="{1C940042-8E0A-4C49-889D-B6920A0FE29B}">
      <text>
        <r>
          <rPr>
            <b/>
            <sz val="9"/>
            <color indexed="81"/>
            <rFont val="Tahoma"/>
            <family val="2"/>
          </rPr>
          <t>배성윤:</t>
        </r>
        <r>
          <rPr>
            <sz val="9"/>
            <color indexed="81"/>
            <rFont val="Tahoma"/>
            <family val="2"/>
          </rPr>
          <t xml:space="preserve">
시공사(G열)에 업사명이 있으밀 「있음」, 비어 있거나 「-」이밀 「없음」으로 자동 표시.
필터 단추에서 있음/없음 둘 중 고라 볼 수 있습니다.</t>
        </r>
      </text>
    </comment>
    <comment ref="P1" authorId="0" shapeId="0" xr:uid="{6378BC44-3CCC-477A-A358-9AA8D018E1AC}">
      <text>
        <r>
          <rPr>
            <b/>
            <sz val="9"/>
            <color indexed="81"/>
            <rFont val="Tahoma"/>
            <family val="2"/>
          </rPr>
          <t>배성윤:</t>
        </r>
        <r>
          <rPr>
            <sz val="9"/>
            <color indexed="81"/>
            <rFont val="Tahoma"/>
            <family val="2"/>
          </rPr>
          <t xml:space="preserve">
연면적(M열) 기준 구간 자동 분류.
01: 1,000㎡ 미만 / 02: 1,000㎡ 이상 / 03: 1,500㎡ 이상 / 04: 5,000㎡ 이상 / 05부터는 1만㎡ 단위(1만·2만·3만…).
필터 단추로 원하는 구간을 선택.</t>
        </r>
      </text>
    </comment>
  </commentList>
</comments>
</file>

<file path=xl/sharedStrings.xml><?xml version="1.0" encoding="utf-8"?>
<sst xmlns="http://schemas.openxmlformats.org/spreadsheetml/2006/main" count="25882" uniqueCount="3940">
  <si>
    <t>No</t>
  </si>
  <si>
    <t>현장명</t>
  </si>
  <si>
    <t>주소</t>
  </si>
  <si>
    <t>건축허가일</t>
  </si>
  <si>
    <t>착공일</t>
  </si>
  <si>
    <t>사용승인일</t>
  </si>
  <si>
    <t>시공사</t>
  </si>
  <si>
    <t>설계사</t>
  </si>
  <si>
    <t>감리사</t>
  </si>
  <si>
    <t>건축주</t>
  </si>
  <si>
    <t>주용도</t>
  </si>
  <si>
    <t>허가구분</t>
  </si>
  <si>
    <t>연면적(㎡)</t>
  </si>
  <si>
    <t>주구조</t>
  </si>
  <si>
    <t>건축단계</t>
  </si>
  <si>
    <t>배방읍 공수리 1666 일반숙박시설</t>
  </si>
  <si>
    <t>충청남도 아산시 배방읍 공수리 1666번지</t>
  </si>
  <si>
    <t>2023.08.08</t>
  </si>
  <si>
    <t>2026.08.08</t>
  </si>
  <si>
    <t>-</t>
  </si>
  <si>
    <t>건축사사무소휴먼아트</t>
  </si>
  <si>
    <t>숙박시설</t>
  </si>
  <si>
    <t>신축</t>
  </si>
  <si>
    <t>철근콘크리트</t>
  </si>
  <si>
    <t>착공</t>
  </si>
  <si>
    <t>경운동 96-18 관광숙박시설</t>
  </si>
  <si>
    <t>서울특별시 종로구 율곡로 58 (경운동)</t>
  </si>
  <si>
    <t>2025.07.09</t>
  </si>
  <si>
    <t>2026.06.24</t>
  </si>
  <si>
    <t>희상건설(주)</t>
  </si>
  <si>
    <t>제로투엔건축사사무소종합건설(주)</t>
  </si>
  <si>
    <t>(주)범씨엠건축사사무소</t>
  </si>
  <si>
    <t>(주)코람코라이프인프라위탁관리부…</t>
  </si>
  <si>
    <t>성수동2가 299-195 관광숙박시설</t>
  </si>
  <si>
    <t>서울특별시 성동구 성수동2가 299-195번지</t>
  </si>
  <si>
    <t>2026.03.06</t>
  </si>
  <si>
    <t>2026.05.19</t>
  </si>
  <si>
    <t>신아주종합건설(주)</t>
  </si>
  <si>
    <t>고도플루토도시계획건축사사무소(주)</t>
  </si>
  <si>
    <t>00숙박시설</t>
  </si>
  <si>
    <t>서울특별시 중구 을지로42길 24 (광희동1가)</t>
  </si>
  <si>
    <t>2025.07.15</t>
  </si>
  <si>
    <t>2026.05.14</t>
  </si>
  <si>
    <t>금원종합건설(주)</t>
  </si>
  <si>
    <t>(주)예원종합건축사사무소</t>
  </si>
  <si>
    <t>(주)엔티에스개발</t>
  </si>
  <si>
    <t>양양군 연창리 생활숙박시설 신축공사</t>
  </si>
  <si>
    <t>강원특별자치도 양양군 양양읍 연창리 180-19번지</t>
  </si>
  <si>
    <t>2023.05.09</t>
  </si>
  <si>
    <t>2026.05.09</t>
  </si>
  <si>
    <t>(주)종합건축사사무소지엔에이</t>
  </si>
  <si>
    <t>코리아신탁(주)</t>
  </si>
  <si>
    <t>오창읍 양청리 숙박시설</t>
  </si>
  <si>
    <t>충청북도 청주시 청원구 오창읍 중심상업로 51-11</t>
  </si>
  <si>
    <t>2024.06.17</t>
  </si>
  <si>
    <t>2026.03.25</t>
  </si>
  <si>
    <t>제이건설(주)</t>
  </si>
  <si>
    <t>이음건축사사무소</t>
  </si>
  <si>
    <t>인천광역시 중구 중산동 1960-8번지 오피스텔 및 생활숙박시설</t>
  </si>
  <si>
    <t>인천광역시 중구 중산동 1960-8번지</t>
  </si>
  <si>
    <t>2023.01.13</t>
  </si>
  <si>
    <t>2026.01.12</t>
  </si>
  <si>
    <t>(주)기안건축사사무소</t>
  </si>
  <si>
    <t>우리자산신탁(주)</t>
  </si>
  <si>
    <t>업무시설</t>
  </si>
  <si>
    <t>인천광역시 중구 중산동 1960-9번지 오피스텔 및 생활숙박시설</t>
  </si>
  <si>
    <t>인천광역시 중구 중산동 1960-9번지</t>
  </si>
  <si>
    <t>인천광역시 중구 중산동 1960-10번지 오피스텔 및 생활숙박시설</t>
  </si>
  <si>
    <t>인천광역시 중구 중산동 1960-10번지</t>
  </si>
  <si>
    <t>2023.01.17</t>
  </si>
  <si>
    <t>영등포동3가 5-10 숙박시설 ((주) 영등포중앙기업)</t>
  </si>
  <si>
    <t>서울특별시 영등포구 영등포로 228 (영등포동3가)</t>
  </si>
  <si>
    <t>2022.12.23</t>
  </si>
  <si>
    <t>2025.12.23</t>
  </si>
  <si>
    <t>에스브이건축건축사사무소</t>
  </si>
  <si>
    <t>(주)영등포중앙기업</t>
  </si>
  <si>
    <t>양양군 조산리 생활숙박시설</t>
  </si>
  <si>
    <t>강원특별자치도 양양군 해맞이길 84</t>
  </si>
  <si>
    <t>2022.10.11</t>
  </si>
  <si>
    <t>2025.10.11</t>
  </si>
  <si>
    <t>길상면 선두리 976-7 생활숙박시설</t>
  </si>
  <si>
    <t>인천광역시 강화군 길상면 선두리 976-7번지</t>
  </si>
  <si>
    <t>2026.06.23</t>
  </si>
  <si>
    <t>2026.07.02</t>
  </si>
  <si>
    <t>경량철골구조</t>
  </si>
  <si>
    <t>범방동 1898-7 생활숙박시설</t>
  </si>
  <si>
    <t>부산광역시 강서구 범방동 1898-7번지</t>
  </si>
  <si>
    <t>2022.04.15</t>
  </si>
  <si>
    <t>2025.10.31</t>
  </si>
  <si>
    <t>별내동 990 생활숙박시설 개발사업 (에스피남양주별내피에프…</t>
  </si>
  <si>
    <t>경기도 남양주시 별내동 990번지</t>
  </si>
  <si>
    <t>2024.11.14</t>
  </si>
  <si>
    <t>2027.11.13</t>
  </si>
  <si>
    <t>(주)정림건축종합건축사사무소</t>
  </si>
  <si>
    <t>에스피남양주별내피에프브이(주)</t>
  </si>
  <si>
    <t>건축허가</t>
  </si>
  <si>
    <t>화촌면 군업리 1295-29번지 외3필지 생활숙박시설</t>
  </si>
  <si>
    <t>강원특별자치도 홍천군 화촌면 군업리 1295-29번지</t>
  </si>
  <si>
    <t>2025.06.02</t>
  </si>
  <si>
    <t>2027.06.01</t>
  </si>
  <si>
    <t>도시건축사사무소</t>
  </si>
  <si>
    <t>소원면 의항리 978-49 숙박시설</t>
  </si>
  <si>
    <t>충청남도 태안군 소원면 의항리 978-49번지</t>
  </si>
  <si>
    <t>2024.03.06</t>
  </si>
  <si>
    <t>2027.03.04</t>
  </si>
  <si>
    <t>(주)엘리트렌탈</t>
  </si>
  <si>
    <t>노동동 49-9 숙박시설</t>
  </si>
  <si>
    <t>경상북도 경주시 중앙로16번길 5-6 (노동동)</t>
  </si>
  <si>
    <t>2024.02.13</t>
  </si>
  <si>
    <t>2027.02.13</t>
  </si>
  <si>
    <t>건축사사무소마루</t>
  </si>
  <si>
    <t>제부리 숙박시설</t>
  </si>
  <si>
    <t>경기도 화성시 서신면 해안길 272</t>
  </si>
  <si>
    <t>2024.01.03</t>
  </si>
  <si>
    <t>2026.12.24</t>
  </si>
  <si>
    <t>(주)스페셜파트너건축사사무소</t>
  </si>
  <si>
    <t>이레레저개발(주)</t>
  </si>
  <si>
    <t>학교면 곡창리 1-196 외 3필지 생활숙박시설 (유한회사 에스…</t>
  </si>
  <si>
    <t>전라남도 함평군 학교면 곡창리 1-196번지</t>
  </si>
  <si>
    <t>2023.12.14</t>
  </si>
  <si>
    <t>2026.12.14</t>
  </si>
  <si>
    <t>(주)유탑건축사사무소</t>
  </si>
  <si>
    <t>(유)에스케이공업</t>
  </si>
  <si>
    <t>일반철골구조</t>
  </si>
  <si>
    <t>자은면 백산리 00숙박시설</t>
  </si>
  <si>
    <t>전라남도 신안군 자은면 자은서부2길 631-34</t>
  </si>
  <si>
    <t>2023.12.11</t>
  </si>
  <si>
    <t>2026.12.10</t>
  </si>
  <si>
    <t>가람건축사사무소</t>
  </si>
  <si>
    <t>경량철골구조,…</t>
  </si>
  <si>
    <t>광희동1가 생활숙박시설 신축공사</t>
  </si>
  <si>
    <t>서울특별시 중구 광희동1가 72-4번지</t>
  </si>
  <si>
    <t>2023.11.30</t>
  </si>
  <si>
    <t>2026.11.29</t>
  </si>
  <si>
    <t>(주)종합건축사사무소도우건축</t>
  </si>
  <si>
    <t>(주)교보자산신탁</t>
  </si>
  <si>
    <t>사천진리 산90 외 2필지 관광숙박시설(호스텔)</t>
  </si>
  <si>
    <t>강원특별자치도 강릉시 사천면 사천진리 산90번지</t>
  </si>
  <si>
    <t>2023.11.21</t>
  </si>
  <si>
    <t>2026.11.20</t>
  </si>
  <si>
    <t>에이티동우건축사사무소</t>
  </si>
  <si>
    <t>수택동 374-14 숙박시설</t>
  </si>
  <si>
    <t>경기도 구리시 체육관로172번길 34-6 (수택동)</t>
  </si>
  <si>
    <t>2024.10.31</t>
  </si>
  <si>
    <t>2026.10.30</t>
  </si>
  <si>
    <t>하나건축사사무소</t>
  </si>
  <si>
    <t>신영부동산신탁(주)</t>
  </si>
  <si>
    <t>증축</t>
  </si>
  <si>
    <t>일운면 소동리 19-1 숙박시설 (주식회사 아레포즈거제)</t>
  </si>
  <si>
    <t>경상남도 거제시 일운면 소동리 19-1번지</t>
  </si>
  <si>
    <t>2023.10.30</t>
  </si>
  <si>
    <t>(주)종합건축사사무소건원</t>
  </si>
  <si>
    <t>(주)아레포즈거제</t>
  </si>
  <si>
    <t>원북면 신두리 1210-14 숙박시설 및 근린생활시설</t>
  </si>
  <si>
    <t>충청남도 태안군 원북면 신두로 712-16</t>
  </si>
  <si>
    <t>2024.10.04</t>
  </si>
  <si>
    <t>2026.10.02</t>
  </si>
  <si>
    <t>주건축사사무소</t>
  </si>
  <si>
    <t>(주)미림</t>
  </si>
  <si>
    <t>울릉읍 사동리 574-1 관광숙박시설</t>
  </si>
  <si>
    <t>경상북도 울릉군 울릉읍 울릉순환로 772</t>
  </si>
  <si>
    <t>2023.09.26</t>
  </si>
  <si>
    <t>2026.09.25</t>
  </si>
  <si>
    <t>건축사사무소아살공</t>
  </si>
  <si>
    <t>대소면 성본리 115-5 숙박시설</t>
  </si>
  <si>
    <t>충청북도 음성군 대소면 성본리 산115-5번지</t>
  </si>
  <si>
    <t>2023.09.14</t>
  </si>
  <si>
    <t>2026.09.14</t>
  </si>
  <si>
    <t>태건축사사무소</t>
  </si>
  <si>
    <t>조양동 1558-3 생활숙박시설</t>
  </si>
  <si>
    <t>강원특별자치도 속초시 조양동 1558-3번지</t>
  </si>
  <si>
    <t>2023.09.27</t>
  </si>
  <si>
    <t>(주)파인드건축사사무소</t>
  </si>
  <si>
    <t>명동2가 95-1 생활숙박시설 신축공사</t>
  </si>
  <si>
    <t>서울특별시 중구 남대문로 64 (명동2가)</t>
  </si>
  <si>
    <t>2023.08.18</t>
  </si>
  <si>
    <t>2026.08.17</t>
  </si>
  <si>
    <t>(주)야손건축사사무소</t>
  </si>
  <si>
    <t>(주)시경개발</t>
  </si>
  <si>
    <t>부산시 중구 남포동3가 생활형숙박시설</t>
  </si>
  <si>
    <t>부산광역시 중구 남포길 16 (남포동3가)</t>
  </si>
  <si>
    <t>2023.07.31</t>
  </si>
  <si>
    <t>2026.07.31</t>
  </si>
  <si>
    <t>(주)상지이앤에이건축사사무소</t>
  </si>
  <si>
    <t>(주)평광이앤씨</t>
  </si>
  <si>
    <t>와룡동 37 관광숙박시설</t>
  </si>
  <si>
    <t>서울특별시 종로구 와룡동 37번지</t>
  </si>
  <si>
    <t>2026.04.01</t>
  </si>
  <si>
    <t>2026.07.30</t>
  </si>
  <si>
    <t>오파드건축연구소</t>
  </si>
  <si>
    <t>경서동 경서3구역 11블록 2로트 숙박시설 (***)</t>
  </si>
  <si>
    <t>인천광역시 서해구 경서동 블록</t>
  </si>
  <si>
    <t>2022.07.20</t>
  </si>
  <si>
    <t>2026.07.23</t>
  </si>
  <si>
    <t>건축사무소 고강</t>
  </si>
  <si>
    <t>종로5가 193-17 ,3 번지 관광숙박시설</t>
  </si>
  <si>
    <t>서울특별시 종로구 종로 228 (종로5가)</t>
  </si>
  <si>
    <t>2026.01.29</t>
  </si>
  <si>
    <t>2026.07.15</t>
  </si>
  <si>
    <t>(주)아이디아키텍츠건축사사무소</t>
  </si>
  <si>
    <t>태재연구재단</t>
  </si>
  <si>
    <t>부전동 숙박시설</t>
  </si>
  <si>
    <t>부산광역시 부산진구 중앙대로680번가길 56-9 (부전동)</t>
  </si>
  <si>
    <t>2025.10.20</t>
  </si>
  <si>
    <t>2026.07.06</t>
  </si>
  <si>
    <t>이진건축사사무소</t>
  </si>
  <si>
    <t>서면 중방대리 106 일반숙박시설</t>
  </si>
  <si>
    <t>강원특별자치도 홍천군 서면 고루개길 112</t>
  </si>
  <si>
    <t>2024.08.08</t>
  </si>
  <si>
    <t>2026.06.30</t>
  </si>
  <si>
    <t>(주)세움건축사사무소</t>
  </si>
  <si>
    <t>일반목구조</t>
  </si>
  <si>
    <t>삼례읍 수계리 1256-3 숙박시설</t>
  </si>
  <si>
    <t>전북특별자치도 완주군 삼례읍 수계리 1256-3번지</t>
  </si>
  <si>
    <t>2023.06.08</t>
  </si>
  <si>
    <t>2026.06.16</t>
  </si>
  <si>
    <t>건축사사무소태솔</t>
  </si>
  <si>
    <t>(주)가온누리개발</t>
  </si>
  <si>
    <t>북면 제령리 557-7 생활형숙박시설 증축공사</t>
  </si>
  <si>
    <t>경기도 가평군 북면 꽃넘이길 115-47</t>
  </si>
  <si>
    <t>2024.06.12</t>
  </si>
  <si>
    <t>2026.06.12</t>
  </si>
  <si>
    <t>알에이케이건축사사무소</t>
  </si>
  <si>
    <t>점촌동 131-3 숙박시설 대수선</t>
  </si>
  <si>
    <t>경상북도 문경시 중앙7길 42 (점촌동)</t>
  </si>
  <si>
    <t>2024.06.11</t>
  </si>
  <si>
    <t>2026.06.11</t>
  </si>
  <si>
    <t>예도건축사사무소</t>
  </si>
  <si>
    <t>대수선</t>
  </si>
  <si>
    <t>신지면 신리 816-1 생활숙박시설</t>
  </si>
  <si>
    <t>전남광주통합특별시 완도군 신지면 신리 816-1번지</t>
  </si>
  <si>
    <t>2025.08.04</t>
  </si>
  <si>
    <t>2026.06.09</t>
  </si>
  <si>
    <t>(주)바른종합건설</t>
  </si>
  <si>
    <t>마루건축사사무소</t>
  </si>
  <si>
    <t>우리공간건축사사무소</t>
  </si>
  <si>
    <t>일반철골구조,…</t>
  </si>
  <si>
    <t>안덕면 사계리 153-1 (B.L1-14) 관광숙박시설</t>
  </si>
  <si>
    <t>제주특별자치도 서귀포시 안덕면 사계리 153-1번지</t>
  </si>
  <si>
    <t>2023.06.07</t>
  </si>
  <si>
    <t>2026.06.07</t>
  </si>
  <si>
    <t>건축사사무소우건축</t>
  </si>
  <si>
    <t>(주)하이드어웨이</t>
  </si>
  <si>
    <t>안덕면 서광리 24-8 숙박시설 (람정제주개발 주식회사)</t>
  </si>
  <si>
    <t>제주특별자치도 서귀포시 안덕면 서광리 산24-8번지</t>
  </si>
  <si>
    <t>2026.06.04</t>
  </si>
  <si>
    <t>(주)삼우종합건축사사무소</t>
  </si>
  <si>
    <t>람정제주개발(주)</t>
  </si>
  <si>
    <t>관광숙박시설-호스텔</t>
  </si>
  <si>
    <t>인천광역시 옹진군 영흥면 영흥로643번길 15-1</t>
  </si>
  <si>
    <t>2026.03.26</t>
  </si>
  <si>
    <t>2026.06.02</t>
  </si>
  <si>
    <t>(주)호누건축사사무소</t>
  </si>
  <si>
    <t>충청남도 예산군 덕산면 사동리 360번지</t>
  </si>
  <si>
    <t>2023.05.26</t>
  </si>
  <si>
    <t>2026.05.26</t>
  </si>
  <si>
    <t>팀에이종합건축사사무소(주)</t>
  </si>
  <si>
    <t>신성종합개발(주)</t>
  </si>
  <si>
    <t>우동 649-5 번지 관광숙박시설</t>
  </si>
  <si>
    <t>부산광역시 해운대구 우동 649-5번지</t>
  </si>
  <si>
    <t>2026.05.25</t>
  </si>
  <si>
    <t>(주)라라호호건축사사무소</t>
  </si>
  <si>
    <t>(주)무궁화신탁</t>
  </si>
  <si>
    <t>보은읍 죽전리 123-1 생활형 숙박시설</t>
  </si>
  <si>
    <t>충청북도 보은군 보은읍 죽전4길 23</t>
  </si>
  <si>
    <t>2023.05.23</t>
  </si>
  <si>
    <t>2026.05.22</t>
  </si>
  <si>
    <t>우상현건축사사무소</t>
  </si>
  <si>
    <t>이도리브앳디보은(주)</t>
  </si>
  <si>
    <t>동해 대진동 숙박시설</t>
  </si>
  <si>
    <t>강원특별자치도 동해시 대진항길 41-1 (대진동)</t>
  </si>
  <si>
    <t>2026.02.05</t>
  </si>
  <si>
    <t>2026.05.15</t>
  </si>
  <si>
    <t>태강(주)</t>
  </si>
  <si>
    <t>더블유에스엘건축사사무소</t>
  </si>
  <si>
    <t>토우건축사사무소</t>
  </si>
  <si>
    <t>석현리 숙박시설(생활숙박시설) 및 단독주택</t>
  </si>
  <si>
    <t>경기도 양주시 장흥면 권율로 567</t>
  </si>
  <si>
    <t>2026.04.20</t>
  </si>
  <si>
    <t>2026.04.30</t>
  </si>
  <si>
    <t>(주)해밀이엔씨건축사사무소</t>
  </si>
  <si>
    <t>사용승인</t>
  </si>
  <si>
    <t>창동 140-1 숙박시설 지승연</t>
  </si>
  <si>
    <t>경기도 여주시 우암로 39 (창동)</t>
  </si>
  <si>
    <t>2026.02.03</t>
  </si>
  <si>
    <t>아트건축사사무소</t>
  </si>
  <si>
    <t>프리케스트콘…</t>
  </si>
  <si>
    <t>안덕면 사계리 2795-6 번지 생활숙박시설 신축공사</t>
  </si>
  <si>
    <t>제주특별자치도 서귀포시 안덕면 사계리 2795-6번지</t>
  </si>
  <si>
    <t>2023.05.01</t>
  </si>
  <si>
    <t>건축사사무소담현</t>
  </si>
  <si>
    <t>상면 상동리 숙박시설</t>
  </si>
  <si>
    <t>경기도 가평군 상면 상동리 43-7번지</t>
  </si>
  <si>
    <t>2023.04.28</t>
  </si>
  <si>
    <t>2026.04.27</t>
  </si>
  <si>
    <t>숙박시설(생활숙박시설) - 주식회사 에이치와이개발</t>
  </si>
  <si>
    <t>경기도 가평군 조종면 운악리 산176-1번지</t>
  </si>
  <si>
    <t>2026.04.10</t>
  </si>
  <si>
    <t>지건설(주)</t>
  </si>
  <si>
    <t>숙박시설 및 제2종근린생활시설 - 윤계영</t>
  </si>
  <si>
    <t>경기도 가평군 상면 수목원로 92-41</t>
  </si>
  <si>
    <t>2026.04.22</t>
  </si>
  <si>
    <t>기준건축사사무소</t>
  </si>
  <si>
    <t>안덕면 사계리 2800-7 숙박시설신축공사</t>
  </si>
  <si>
    <t>제주특별자치도 서귀포시 안덕면 사계리 2800-7번지</t>
  </si>
  <si>
    <t>2024.04.26</t>
  </si>
  <si>
    <t>2026.04.24</t>
  </si>
  <si>
    <t>안덕면 사계리 2796 생활숙박시설 신축공사</t>
  </si>
  <si>
    <t>제주특별자치도 서귀포시 안덕면 사계리 2796번지</t>
  </si>
  <si>
    <t>(주)에이치케이</t>
  </si>
  <si>
    <t>회진면 회진리 529 숙박시설</t>
  </si>
  <si>
    <t>전라남도 장흥군 회진면 천년학길 49-85</t>
  </si>
  <si>
    <t>2026.04.09</t>
  </si>
  <si>
    <t>2026.04.15</t>
  </si>
  <si>
    <t>2026.05.13</t>
  </si>
  <si>
    <t>영진건설(주)</t>
  </si>
  <si>
    <t>강구면 삼사리 9-90 일반숙박시설</t>
  </si>
  <si>
    <t>경상북도 영덕군 강구면 삼사리 9-90번지</t>
  </si>
  <si>
    <t>2023.04.14</t>
  </si>
  <si>
    <t>2026.04.13</t>
  </si>
  <si>
    <t>골드힐카운티리조트 생활숙박시설 21부지</t>
  </si>
  <si>
    <t>충청남도 천안시 서북구 입장면 기로리 산16-1번지</t>
  </si>
  <si>
    <t>2023.04.13</t>
  </si>
  <si>
    <t>더나인건축사사무소(주)</t>
  </si>
  <si>
    <t>(주)버드우드대부</t>
  </si>
  <si>
    <t>성건동 208-2 숙박시설</t>
  </si>
  <si>
    <t>경상북도 경주시 화랑로47번길 16 (성건동)</t>
  </si>
  <si>
    <t>2026.04.03</t>
  </si>
  <si>
    <t>2026.04.08</t>
  </si>
  <si>
    <t>유현건축사사무소</t>
  </si>
  <si>
    <t>벽돌구조</t>
  </si>
  <si>
    <t>평산동 숙박시설</t>
  </si>
  <si>
    <t>경상남도 양산시 평산중앙1길 3 (평산동)</t>
  </si>
  <si>
    <t>2025.12.24</t>
  </si>
  <si>
    <t>2026.03.30</t>
  </si>
  <si>
    <t>탄탄건축사사무소</t>
  </si>
  <si>
    <t>가조면 일부리 1374 숙박시설</t>
  </si>
  <si>
    <t>경상남도 거창군 가조면 일부리 1374번지</t>
  </si>
  <si>
    <t>2023.03.28</t>
  </si>
  <si>
    <t>2026.03.27</t>
  </si>
  <si>
    <t>거창가람건축사사무소</t>
  </si>
  <si>
    <t>도산면 법송리 1190-2 숙박시설 (***)</t>
  </si>
  <si>
    <t>경상남도 통영시 도산면 수월길 33</t>
  </si>
  <si>
    <t>2022.05.13</t>
  </si>
  <si>
    <t>(주)바우하우스건축사사무소</t>
  </si>
  <si>
    <t>군위읍 오곡리 109-9 숙박시설 (***)</t>
  </si>
  <si>
    <t>대구광역시 군위군 군위읍 오곡리 산109-9번지</t>
  </si>
  <si>
    <t>2023.03.24</t>
  </si>
  <si>
    <t>2026.03.23</t>
  </si>
  <si>
    <t>건축사무소대명원</t>
  </si>
  <si>
    <t>고래잠 숙박시설</t>
  </si>
  <si>
    <t>울산광역시 남구 장생포로376번길 43 (매암동)</t>
  </si>
  <si>
    <t>2026.03.04</t>
  </si>
  <si>
    <t>2026.03.16</t>
  </si>
  <si>
    <t>(주)갑인</t>
  </si>
  <si>
    <t>지엘건축사사무소</t>
  </si>
  <si>
    <t>(주)대홍종합엔지니어링건축사사무소</t>
  </si>
  <si>
    <t>울산광역시남구</t>
  </si>
  <si>
    <t>용도변경</t>
  </si>
  <si>
    <t>오천읍 문덕리 316-4 숙박시설 증축 공사</t>
  </si>
  <si>
    <t>경상북도 포항시 남구 오천읍 문덕로37번길 9</t>
  </si>
  <si>
    <t>2026.02.04</t>
  </si>
  <si>
    <t>동해건축사사무소</t>
  </si>
  <si>
    <t>거제빅아일랜드 4BL 생활숙박시설</t>
  </si>
  <si>
    <t>경상남도 거제시 고현동 1118번지</t>
  </si>
  <si>
    <t>2023.03.14</t>
  </si>
  <si>
    <t>2026.03.10</t>
  </si>
  <si>
    <t>(주)종합건축사사무소동일건축</t>
  </si>
  <si>
    <t>(주)더봄플러스</t>
  </si>
  <si>
    <t>거제빅아일랜드 5-1BL 생활숙박시설</t>
  </si>
  <si>
    <t>경상남도 거제시 고현동 1113번지</t>
  </si>
  <si>
    <t>고현동 1110 거제빅아일랜드 5-2BL 관광숙박시설</t>
  </si>
  <si>
    <t>경상남도 거제시 고현동 1110번지</t>
  </si>
  <si>
    <t>대교동1가 41번지 OO생활숙박시설</t>
  </si>
  <si>
    <t>부산광역시 영도구 태종로 45 (대교동1가)</t>
  </si>
  <si>
    <t>2023.03.07</t>
  </si>
  <si>
    <t>(주)비전21건축사사무소</t>
  </si>
  <si>
    <t>송정동 800번지 외 1필지 숙박시설</t>
  </si>
  <si>
    <t>부산광역시 해운대구 송정구덕포길 80-4 (송정동)</t>
  </si>
  <si>
    <t>(주)우은</t>
  </si>
  <si>
    <t>2PD건축사사무소</t>
  </si>
  <si>
    <t>대흥동 151-2 생활숙박시설</t>
  </si>
  <si>
    <t>대전광역시 중구 대흥로157번길 39 (대흥동)</t>
  </si>
  <si>
    <t>2025.12.30</t>
  </si>
  <si>
    <t>2026.05.01</t>
  </si>
  <si>
    <t>(주)스페이스플래닝(Space Plann…</t>
  </si>
  <si>
    <t>더플레이스건축사사무소</t>
  </si>
  <si>
    <t>동교동 숙박시설</t>
  </si>
  <si>
    <t>경기도 포천시 천보길 53 (동교동)</t>
  </si>
  <si>
    <t>2023.01.28</t>
  </si>
  <si>
    <t>2026.01.27</t>
  </si>
  <si>
    <t>(주)삼우건축사사무소</t>
  </si>
  <si>
    <t>숙박시설(생활숙박시설) - 최진순</t>
  </si>
  <si>
    <t>경기도 가평군 북면 면공로 244-31</t>
  </si>
  <si>
    <t>2026.01.23</t>
  </si>
  <si>
    <t>2026.01.26</t>
  </si>
  <si>
    <t>설악면 회곡리 741-6 관광숙박시설(호스텔)</t>
  </si>
  <si>
    <t>경기도 가평군 설악면 유명로 2436</t>
  </si>
  <si>
    <t>2025.10.21</t>
  </si>
  <si>
    <t>2026.07.24</t>
  </si>
  <si>
    <t>(주)은민에스엔디</t>
  </si>
  <si>
    <t>아뜰리에노에마</t>
  </si>
  <si>
    <t>변산면 대항리 366-1 숙박시설</t>
  </si>
  <si>
    <t>전북특별자치도 부안군 변산면 대항길 68-7</t>
  </si>
  <si>
    <t>2025.11.10</t>
  </si>
  <si>
    <t>2026.01.06</t>
  </si>
  <si>
    <t>건축사사무소예림</t>
  </si>
  <si>
    <t>조립식판넬조</t>
  </si>
  <si>
    <t>강원특별자치도 춘천시 구마니길 18 (삼천동)</t>
  </si>
  <si>
    <t>2025.12.11</t>
  </si>
  <si>
    <t>동우건축사사무소</t>
  </si>
  <si>
    <t>안현동 201-16 관광숙박시설(휴양콘도미니엄)</t>
  </si>
  <si>
    <t>강원특별자치도 강릉시 안현동 201-16번지</t>
  </si>
  <si>
    <t>2022.12.30</t>
  </si>
  <si>
    <t>(주)에스엔비건축사사무소</t>
  </si>
  <si>
    <t>케이비부동산신탁(주)</t>
  </si>
  <si>
    <t>소원면 의항리 1215 숙박시설</t>
  </si>
  <si>
    <t>충청남도 태안군 소원면 만리포1길 38</t>
  </si>
  <si>
    <t>2025.03.05</t>
  </si>
  <si>
    <t>2025.12.26</t>
  </si>
  <si>
    <t>2026.07.20</t>
  </si>
  <si>
    <t>(주)경훈종합건설</t>
  </si>
  <si>
    <t>건축사사무소벧엘건축</t>
  </si>
  <si>
    <t>숙박시설 (왕희숙)</t>
  </si>
  <si>
    <t>부산광역시 해운대구 송정동 297-83번지</t>
  </si>
  <si>
    <t>2022.12.14</t>
  </si>
  <si>
    <t>2025.12.14</t>
  </si>
  <si>
    <t>(주)한미건축종합건축사사무소</t>
  </si>
  <si>
    <t>상관면 죽림리 363-11 숙박시설</t>
  </si>
  <si>
    <t>전북특별자치도 완주군 상관면 춘향로 4355</t>
  </si>
  <si>
    <t>(유)보헤미안</t>
  </si>
  <si>
    <t>김용건축사사무소</t>
  </si>
  <si>
    <t>산양읍 연화리 1850000 숙박시설 (우람개발(***)</t>
  </si>
  <si>
    <t>경상남도 통영시 산양읍 산양일주로 1203-34</t>
  </si>
  <si>
    <t>2022.12.12</t>
  </si>
  <si>
    <t>2025.12.12</t>
  </si>
  <si>
    <t>한솔건축사사무소</t>
  </si>
  <si>
    <t>우람개발(주)</t>
  </si>
  <si>
    <t>불갑면 금계리 626-8 숙박시설-상사화스테이</t>
  </si>
  <si>
    <t>전남광주통합특별시 영광군 불갑면 금계리 626-8번지</t>
  </si>
  <si>
    <t>2025.12.08</t>
  </si>
  <si>
    <t>2026.06.01</t>
  </si>
  <si>
    <t>대경종합건설(주)</t>
  </si>
  <si>
    <t>건축사사무소미지</t>
  </si>
  <si>
    <t>케이앤피건축사사무소</t>
  </si>
  <si>
    <t>평창군 횡계리 350 생활숙박시설</t>
  </si>
  <si>
    <t>강원특별자치도 평창군 대관령면 송천2길 2</t>
  </si>
  <si>
    <t>2022.11.28</t>
  </si>
  <si>
    <t>2025.11.28</t>
  </si>
  <si>
    <t>(주)탑씨엔디도시건축사사무소</t>
  </si>
  <si>
    <t>변산면 도청리 612-68 숙박시설 ((유)지온림)</t>
  </si>
  <si>
    <t>전북특별자치도 부안군 변산면 궁항로 82-17</t>
  </si>
  <si>
    <t>건축사사무소예현</t>
  </si>
  <si>
    <t>(유)지온림</t>
  </si>
  <si>
    <t>숙박시설 (주식회사 대산1)</t>
  </si>
  <si>
    <t>대구광역시 달성군 구지면 응암리 1240-3번지</t>
  </si>
  <si>
    <t>2022.11.06</t>
  </si>
  <si>
    <t>2025.11.06</t>
  </si>
  <si>
    <t>(주)파랑건축사사무소</t>
  </si>
  <si>
    <t>(주)대산1</t>
  </si>
  <si>
    <t>숙박시설(생활숙박) - 이기순</t>
  </si>
  <si>
    <t>경기도 가평군 가평읍 경반리 93번지</t>
  </si>
  <si>
    <t>2023.11.06</t>
  </si>
  <si>
    <t>2025.11.04</t>
  </si>
  <si>
    <t>소원면 의항리 1128 숙박시설 (***)</t>
  </si>
  <si>
    <t>충청남도 태안군 소원면 만리포2길 208</t>
  </si>
  <si>
    <t>2022.06.22</t>
  </si>
  <si>
    <t>2025.10.30</t>
  </si>
  <si>
    <t>가평읍 마장리 983-30 생활숙박시설</t>
  </si>
  <si>
    <t>경기도 가평군 가평읍 마장리 983-30번지</t>
  </si>
  <si>
    <t>2025.10.16</t>
  </si>
  <si>
    <t>2025.10.27</t>
  </si>
  <si>
    <t>(주)일진건축사사무소</t>
  </si>
  <si>
    <t>가평읍 마장리 983-13 생활숙박시설</t>
  </si>
  <si>
    <t>경기도 가평군 가평읍 마장리 983-13번지</t>
  </si>
  <si>
    <t>남해군 폐교활용 지역특화형 숙박시설 신축공사 (야영장시설)</t>
  </si>
  <si>
    <t>경상남도 남해군 서면 노구리 360번지</t>
  </si>
  <si>
    <t>2025.06.18</t>
  </si>
  <si>
    <t>더씨티종합건설(주)</t>
  </si>
  <si>
    <t>일구구공도시건축건축사사무소(주)</t>
  </si>
  <si>
    <t>김윤섭건축사사무소</t>
  </si>
  <si>
    <t>야영장시설</t>
  </si>
  <si>
    <t>애월읍 하가리 1359-10 숙박시설</t>
  </si>
  <si>
    <t>제주특별자치도 제주시 애월읍 하가리 1359-10번지</t>
  </si>
  <si>
    <t>2024.12.19</t>
  </si>
  <si>
    <t>2025.10.25</t>
  </si>
  <si>
    <t>에스오디에이건축사사무소</t>
  </si>
  <si>
    <t>(주)원더</t>
  </si>
  <si>
    <t>상면 임초리 206-6 숙박시설(9부지)</t>
  </si>
  <si>
    <t>경기도 가평군 상면 임초밤안골로 119-112</t>
  </si>
  <si>
    <t>2023.10.18</t>
  </si>
  <si>
    <t>2025.10.17</t>
  </si>
  <si>
    <t>비욘드스페이스건축사사무소</t>
  </si>
  <si>
    <t>(주)수</t>
  </si>
  <si>
    <t>상면 임초리 206-6 숙박시설(10부지)</t>
  </si>
  <si>
    <t>상면 임초리 206-6 숙박시설(11부지)</t>
  </si>
  <si>
    <t>임당동 15-12 숙박시설</t>
  </si>
  <si>
    <t>강원특별자치도 강릉시 임당동 15-12번지</t>
  </si>
  <si>
    <t>명진건축사사무소</t>
  </si>
  <si>
    <t>응봉면 노화리 220 숙박시설</t>
  </si>
  <si>
    <t>충청남도 예산군 응봉면 운곡사당골길 23</t>
  </si>
  <si>
    <t>2022.10.06</t>
  </si>
  <si>
    <t>2025.10.05</t>
  </si>
  <si>
    <t>종합건축사사무소 소헌</t>
  </si>
  <si>
    <t>북방면 소매곡리 35외5필지 숙박시설 (유한회사 성은라이프)</t>
  </si>
  <si>
    <t>강원특별자치도 홍천군 북방면 온천길 182</t>
  </si>
  <si>
    <t>2022.05.18</t>
  </si>
  <si>
    <t>2025.09.30</t>
  </si>
  <si>
    <t>(주)디자인그룹이루건축사사무소</t>
  </si>
  <si>
    <t>(유)성은라이프</t>
  </si>
  <si>
    <t>역삼동 798-27 관광숙박시설</t>
  </si>
  <si>
    <t>서울특별시 강남구 도곡로23길 7 (역삼동, 역삼 어반하우스)</t>
  </si>
  <si>
    <t>2025.08.29</t>
  </si>
  <si>
    <t>2025.09.24</t>
  </si>
  <si>
    <t>(주)벧엘로건축사사무소</t>
  </si>
  <si>
    <t>오창읍 주성리 634 일반숙박시설</t>
  </si>
  <si>
    <t>충청북도 청주시 청원구 오창읍 주성리 634번지</t>
  </si>
  <si>
    <t>2025.03.06</t>
  </si>
  <si>
    <t>2025.09.08</t>
  </si>
  <si>
    <t>지율건설(주)</t>
  </si>
  <si>
    <t>대전리 생활형숙박시설(***)</t>
  </si>
  <si>
    <t>경상북도 청도군 이서면 대전리 332번지</t>
  </si>
  <si>
    <t>2022.09.07</t>
  </si>
  <si>
    <t>2025.09.07</t>
  </si>
  <si>
    <t>한길건축사사무소</t>
  </si>
  <si>
    <t>태안 곰섬 숙박시설</t>
  </si>
  <si>
    <t>충청남도 태안군 남면 신온리 888-1번지</t>
  </si>
  <si>
    <t>2022.09.02</t>
  </si>
  <si>
    <t>2025.09.01</t>
  </si>
  <si>
    <t>(주)종합건축사사무소케이엔피</t>
  </si>
  <si>
    <t>(주)세움디엠씨</t>
  </si>
  <si>
    <t>암남동 131-2 관광숙박시설</t>
  </si>
  <si>
    <t>부산광역시 서구 송도해변로 141 (암남동)</t>
  </si>
  <si>
    <t>2024.10.25</t>
  </si>
  <si>
    <t>2025.08.25</t>
  </si>
  <si>
    <t>(주)루원산업개발</t>
  </si>
  <si>
    <t>(주)루원건축사사무소</t>
  </si>
  <si>
    <t>화산동 197-1 숙박시설 (***)</t>
  </si>
  <si>
    <t>충청북도 제천시 화산동 197-1번지</t>
  </si>
  <si>
    <t>2022.08.25</t>
  </si>
  <si>
    <t>2025.08.24</t>
  </si>
  <si>
    <t>건축사사무소미래</t>
  </si>
  <si>
    <t>숙박시설(생활숙박)및제1,2종근린생활시설 - 윤선화</t>
  </si>
  <si>
    <t>경기도 가평군 조종면 세로로 156</t>
  </si>
  <si>
    <t>2025.08.12</t>
  </si>
  <si>
    <t>2025.08.19</t>
  </si>
  <si>
    <t>2025.12.05</t>
  </si>
  <si>
    <t>영암읍 개신리 484-32 숙박시설 (***)</t>
  </si>
  <si>
    <t>전남광주통합특별시 영암군 영암읍 개신리 484-32번지</t>
  </si>
  <si>
    <t>2022.08.01</t>
  </si>
  <si>
    <t>명제건축사사무소</t>
  </si>
  <si>
    <t>대전시 동구 정동 생활숙박시설 신축공사</t>
  </si>
  <si>
    <t>대전광역시 동구 중앙로203번길 60 (정동)</t>
  </si>
  <si>
    <t>2022.08.09</t>
  </si>
  <si>
    <t>2025.08.09</t>
  </si>
  <si>
    <t>(주)우리창우종합건축사사무소</t>
  </si>
  <si>
    <t>아이에스지(주)</t>
  </si>
  <si>
    <t>신지면 신리 540-4 숙박시설 (***)</t>
  </si>
  <si>
    <t>전라남도 완도군 신지면 신리 540-4번지</t>
  </si>
  <si>
    <t>2022.07.27</t>
  </si>
  <si>
    <t>2025.07.30</t>
  </si>
  <si>
    <t>푸른건축사사무소</t>
  </si>
  <si>
    <t>일반목구조,…</t>
  </si>
  <si>
    <t>북면 천부리 3380000 숙박시설 (주식회사삼주)</t>
  </si>
  <si>
    <t>경상북도 울릉군 북면 울릉순환로 3322</t>
  </si>
  <si>
    <t>2022.03.07</t>
  </si>
  <si>
    <t>건축사사무소프로세스</t>
  </si>
  <si>
    <t>(주)삼주</t>
  </si>
  <si>
    <t>죽왕면 삼포리 315 외 2필지 관광숙박시설</t>
  </si>
  <si>
    <t>강원특별자치도 고성군 죽왕면 봉수대길 16</t>
  </si>
  <si>
    <t>2022.07.25</t>
  </si>
  <si>
    <t>2025.07.25</t>
  </si>
  <si>
    <t>(주)에스오엠이건축사사무소</t>
  </si>
  <si>
    <t>오션개발(주)</t>
  </si>
  <si>
    <t>영흥면 선재리 521-90 숙박시설 (***)</t>
  </si>
  <si>
    <t>인천광역시 옹진군 영흥면 선재226번길 107-9</t>
  </si>
  <si>
    <t>2025.07.24</t>
  </si>
  <si>
    <t>(주)미성건축사사무소</t>
  </si>
  <si>
    <t>진현동 63-25 숙박시설</t>
  </si>
  <si>
    <t>경상북도 경주시 불국선택지4길 34 (진현동)</t>
  </si>
  <si>
    <t>2025.07.07</t>
  </si>
  <si>
    <t>2025.07.21</t>
  </si>
  <si>
    <t>2025.10.02</t>
  </si>
  <si>
    <t>(주)건우금속</t>
  </si>
  <si>
    <t>을지로5가 270-9 생활형숙박시설</t>
  </si>
  <si>
    <t>서울특별시 중구 동호로35길 28 (을지로5가)</t>
  </si>
  <si>
    <t>2025.06.24</t>
  </si>
  <si>
    <t>2025.07.10</t>
  </si>
  <si>
    <t>(주)건축사사무소태아건축</t>
  </si>
  <si>
    <t>토성면 용촌리 100-9 숙박시설</t>
  </si>
  <si>
    <t>강원특별자치도 고성군 토성면 중앙로 614-2</t>
  </si>
  <si>
    <t>2025.06.30</t>
  </si>
  <si>
    <t>2025.07.18</t>
  </si>
  <si>
    <t>숙박시설(생활숙박) - 정현주</t>
  </si>
  <si>
    <t>경기도 가평군 청평면 양진길 72</t>
  </si>
  <si>
    <t>2023.06.30</t>
  </si>
  <si>
    <t>2025.06.28</t>
  </si>
  <si>
    <t>남면 신장리 306-6 생활형숙박시설 (***)</t>
  </si>
  <si>
    <t>충청남도 태안군 남면 신장길 33-8</t>
  </si>
  <si>
    <t>2025.06.12</t>
  </si>
  <si>
    <t>2025.06.27</t>
  </si>
  <si>
    <t>2025.12.18</t>
  </si>
  <si>
    <t>한강개발(주)</t>
  </si>
  <si>
    <t>(주)도예건축사사무소</t>
  </si>
  <si>
    <t>일광면 삼성리 716-11 숙박시설 (호텔코티에르일광 주식회사)</t>
  </si>
  <si>
    <t>부산광역시 기장군 일광읍 삼성리 716-11번지</t>
  </si>
  <si>
    <t>2022.06.24</t>
  </si>
  <si>
    <t>호텔코티에르일광(주)</t>
  </si>
  <si>
    <t>우동 636-6 숙박시설 (마스턴제107호해운대2피에프브이주식…)</t>
  </si>
  <si>
    <t>부산광역시 해운대구 우동 636-6번지</t>
  </si>
  <si>
    <t>2025.06.20</t>
  </si>
  <si>
    <t>마스턴제107호해운대2피에프브이(주)</t>
  </si>
  <si>
    <t>남산면 광판리 1099-2 숙박시설 (***)</t>
  </si>
  <si>
    <t>강원특별자치도 춘천시 남산면 광판리 1099-2번지</t>
  </si>
  <si>
    <t>2022.06.17</t>
  </si>
  <si>
    <t>2025.06.17</t>
  </si>
  <si>
    <t>(주)소보건축사사무소</t>
  </si>
  <si>
    <t>반포면 마암리 589-4 기타일반숙박시설 증축공사</t>
  </si>
  <si>
    <t>충청남도 공주시 반포면 왕흥청악로 852</t>
  </si>
  <si>
    <t>2025.06.04</t>
  </si>
  <si>
    <t>2025.06.09</t>
  </si>
  <si>
    <t>가현종합건축사사무소</t>
  </si>
  <si>
    <t>설해원하우스 A8 생활숙박시설</t>
  </si>
  <si>
    <t>강원특별자치도 양양군 손양면 동호리 576번지</t>
  </si>
  <si>
    <t>2025.04.04</t>
  </si>
  <si>
    <t>2025.06.05</t>
  </si>
  <si>
    <t>(주)아민공간건축</t>
  </si>
  <si>
    <t>(주)에스티피엠제이건축사사무소</t>
  </si>
  <si>
    <t>설해원하우스 D5 생활숙박시설</t>
  </si>
  <si>
    <t>강원특별자치도 양양군 손양면 동호리 613번지</t>
  </si>
  <si>
    <t>2025.03.31</t>
  </si>
  <si>
    <t>2026.05.08</t>
  </si>
  <si>
    <t>남면 선구리 73 숙박시설</t>
  </si>
  <si>
    <t>경상남도 남해군 남면 선구리 73번지</t>
  </si>
  <si>
    <t>2024.08.29</t>
  </si>
  <si>
    <t>2025.05.29</t>
  </si>
  <si>
    <t>2026.07.16</t>
  </si>
  <si>
    <t>(주)도림건설</t>
  </si>
  <si>
    <t>모두하영민건축사사무소</t>
  </si>
  <si>
    <t>시화 MTV 거북섬상업 4-1, 4-2블럭 생활숙박시설</t>
  </si>
  <si>
    <t>경기도 시흥시 거북섬로 113 (정왕동)</t>
  </si>
  <si>
    <t>2022.05.24</t>
  </si>
  <si>
    <t>2025.05.24</t>
  </si>
  <si>
    <t>(주)지에이건축사사무소</t>
  </si>
  <si>
    <t>신한자산신탁(주)</t>
  </si>
  <si>
    <t>금성면 봉서리 518 숙박시설 (유한회사더피닉스이철용)</t>
  </si>
  <si>
    <t>전라남도 담양군 금성면 봉서리 518번지</t>
  </si>
  <si>
    <t>2022.05.23</t>
  </si>
  <si>
    <t>2025.05.23</t>
  </si>
  <si>
    <t>계림건설(주)</t>
  </si>
  <si>
    <t>(주)건축사사무소합동건축</t>
  </si>
  <si>
    <t>(유)더 피닉스</t>
  </si>
  <si>
    <t>이원면 내리 645-6 생활형숙박시설 (***)</t>
  </si>
  <si>
    <t>충청남도 태안군 이원면 원이로 2434-4</t>
  </si>
  <si>
    <t>2025.04.22</t>
  </si>
  <si>
    <t>2025.05.08</t>
  </si>
  <si>
    <t>2025.07.28</t>
  </si>
  <si>
    <t>일반목구조,철…</t>
  </si>
  <si>
    <t>관광숙박시설(호스텔)및휴게음식점</t>
  </si>
  <si>
    <t>경상북도 영덕군 병곡면 병곡길 83</t>
  </si>
  <si>
    <t>2024.05.22</t>
  </si>
  <si>
    <t>2025.12.10</t>
  </si>
  <si>
    <t>영원건설(주)</t>
  </si>
  <si>
    <t>성재건축사사무소</t>
  </si>
  <si>
    <t>(주)해인건축사사무소</t>
  </si>
  <si>
    <t>현포리 숙박시설</t>
  </si>
  <si>
    <t>경상북도 울릉군 북면 현포리 714-1번지</t>
  </si>
  <si>
    <t>2019.05.20</t>
  </si>
  <si>
    <t>2025.04.30</t>
  </si>
  <si>
    <t>(주)태진건설산업</t>
  </si>
  <si>
    <t>(주)무진종합건축사사무소</t>
  </si>
  <si>
    <t>기타구조</t>
  </si>
  <si>
    <t>우도면 연평리 547 생활형숙박시설</t>
  </si>
  <si>
    <t>제주특별자치도 제주시 우도면 연평리 547번지</t>
  </si>
  <si>
    <t>2025.04.16</t>
  </si>
  <si>
    <t>(주)한신시에스건설</t>
  </si>
  <si>
    <t>맵스아키텍츠건축사사무소</t>
  </si>
  <si>
    <t>낙산 더뷰 컨시어지 호텔 (양양군 강현면 전진리 7-14외 5필지…)</t>
  </si>
  <si>
    <t>강원특별자치도 양양군 강현면 해맞이길 24</t>
  </si>
  <si>
    <t>2022.04.28</t>
  </si>
  <si>
    <t>2025.04.28</t>
  </si>
  <si>
    <t>(주)엠오플러스건축사사무소</t>
  </si>
  <si>
    <t>대소면 오류리 808 숙박시설 (***)-B</t>
  </si>
  <si>
    <t>충청북도 음성군 대소면 대물1길 5-4</t>
  </si>
  <si>
    <t>2022.04.18</t>
  </si>
  <si>
    <t>2025.04.18</t>
  </si>
  <si>
    <t>(주)이루안건축사사무소</t>
  </si>
  <si>
    <t>간성읍 장신리 513 숙박시설</t>
  </si>
  <si>
    <t>강원특별자치도 고성군 간성읍 소동령마을길 32</t>
  </si>
  <si>
    <t>2025.04.01</t>
  </si>
  <si>
    <t>2025.04.14</t>
  </si>
  <si>
    <t>옛골기계설비(주)</t>
  </si>
  <si>
    <t>고성군청</t>
  </si>
  <si>
    <t>청북읍 삼계리 465-7 숙박시설</t>
  </si>
  <si>
    <t>경기도 평택시 청북중앙로 339-12</t>
  </si>
  <si>
    <t>2025.02.24</t>
  </si>
  <si>
    <t>2025.04.09</t>
  </si>
  <si>
    <t>예성건축사사무소</t>
  </si>
  <si>
    <t>청북읍 삼계리 465-6 숙박시설</t>
  </si>
  <si>
    <t>토성면 아야진리 247-5 숙박시설 ((주)에스비산업개발)</t>
  </si>
  <si>
    <t>강원특별자치도 고성군 토성면 아야진리 247-5번지</t>
  </si>
  <si>
    <t>2022.04.08</t>
  </si>
  <si>
    <t>2025.04.06</t>
  </si>
  <si>
    <t>(주)건축사사무소수</t>
  </si>
  <si>
    <t>(주)에스비산업개발</t>
  </si>
  <si>
    <t>서포면 비토리 264-1 숙박시설</t>
  </si>
  <si>
    <t>경상남도 사천시 서포면 토끼로 245-31</t>
  </si>
  <si>
    <t>2025.03.24</t>
  </si>
  <si>
    <t>우미건축사사무소</t>
  </si>
  <si>
    <t>서포면 비토리 264-2 숙박시설</t>
  </si>
  <si>
    <t>경상남도 사천시 서포면 토끼로 245-33</t>
  </si>
  <si>
    <t>삼례읍 수계리 1256-5 숙박시설 (유한회사라우렌)</t>
  </si>
  <si>
    <t>전북특별자치도 완주군 삼례읍 수계리 1256-5번지</t>
  </si>
  <si>
    <t>2022.03.31</t>
  </si>
  <si>
    <t>건축사사무소예헌</t>
  </si>
  <si>
    <t>(유)라우렌</t>
  </si>
  <si>
    <t>밀양 희곡리 숙박시설</t>
  </si>
  <si>
    <t>경상남도 밀양시 산외면 밀양대로 3430</t>
  </si>
  <si>
    <t>2024.06.24</t>
  </si>
  <si>
    <t>2025.03.28</t>
  </si>
  <si>
    <t>2025.05.15</t>
  </si>
  <si>
    <t>(주)범길에이치앤엠</t>
  </si>
  <si>
    <t>건축그룹에스앤에스건축사사무소</t>
  </si>
  <si>
    <t>낙원동 132-5 숙박시설</t>
  </si>
  <si>
    <t>서울특별시 종로구 수표로26길 9 (낙원동)</t>
  </si>
  <si>
    <t>2025.03.07</t>
  </si>
  <si>
    <t>2025.03.26</t>
  </si>
  <si>
    <t>2026.03.13</t>
  </si>
  <si>
    <t>에드건축사사무소</t>
  </si>
  <si>
    <t>백산면 부거리 1592-8 숙박시설 (***)</t>
  </si>
  <si>
    <t>전북특별자치도 김제시 백산면 부거리 1592-8번지</t>
  </si>
  <si>
    <t>2022.03.25</t>
  </si>
  <si>
    <t>삼아씨엠건축사사무소</t>
  </si>
  <si>
    <t>옥산리 생활형숙박시설</t>
  </si>
  <si>
    <t>경상북도 청도군 각남면 옥산리 831-1번지</t>
  </si>
  <si>
    <t>2023.03.22</t>
  </si>
  <si>
    <t>2025.03.22</t>
  </si>
  <si>
    <t>북면 천부리 462-3 숙박시설</t>
  </si>
  <si>
    <t>경상북도 울릉군 북면 천부리 462-3번지</t>
  </si>
  <si>
    <t>2024.11.22</t>
  </si>
  <si>
    <t>2025.03.20</t>
  </si>
  <si>
    <t>2026.06.25</t>
  </si>
  <si>
    <t>(주)빌컨</t>
  </si>
  <si>
    <t>건축사사무소아삶공</t>
  </si>
  <si>
    <t>청천면 후평리 224 관광숙박시설(호스텔), 단란주점</t>
  </si>
  <si>
    <t>충청북도 괴산군 청천면 원후평2길 37-31</t>
  </si>
  <si>
    <t>2025.02.28</t>
  </si>
  <si>
    <t>2025.03.19</t>
  </si>
  <si>
    <t>2025.08.08</t>
  </si>
  <si>
    <t>신도종합건설(주)</t>
  </si>
  <si>
    <t>(주)청명학원</t>
  </si>
  <si>
    <t>관광숙박시설(호스텔)</t>
  </si>
  <si>
    <t>경상북도 포항시 남구 구룡포읍 동해안로 4248</t>
  </si>
  <si>
    <t>2024.12.24</t>
  </si>
  <si>
    <t>2025.03.18</t>
  </si>
  <si>
    <t>(주)주원이앤씨</t>
  </si>
  <si>
    <t>(주)최성민건축사사무소</t>
  </si>
  <si>
    <t>강천면 이호리 65-7 숙박시설</t>
  </si>
  <si>
    <t>경기도 여주시 강천면 걸은동길 38</t>
  </si>
  <si>
    <t>2024.09.30</t>
  </si>
  <si>
    <t>2025.03.12</t>
  </si>
  <si>
    <t>2026.07.10</t>
  </si>
  <si>
    <t>(주)자연촌여주참숯마을</t>
  </si>
  <si>
    <t>(주)마루건축사사무소</t>
  </si>
  <si>
    <t>영흥면 외리 19-10 생활숙박시설</t>
  </si>
  <si>
    <t>인천광역시 옹진군 영흥면 외리 19-10번지</t>
  </si>
  <si>
    <t>2025.02.12</t>
  </si>
  <si>
    <t>2025.03.10</t>
  </si>
  <si>
    <t>단원건축사사무소</t>
  </si>
  <si>
    <t>영흥면 외리 19-11 생활숙박시설</t>
  </si>
  <si>
    <t>인천광역시 옹진군 영흥면 외리 19-11번지</t>
  </si>
  <si>
    <t>영흥면 외리 19-13 생활숙박시설</t>
  </si>
  <si>
    <t>인천광역시 옹진군 영흥면 외리 19-13번지</t>
  </si>
  <si>
    <t>생활형숙박시설 외리 19-4번지</t>
  </si>
  <si>
    <t>인천광역시 옹진군 영흥면 영흥남로9번길 245</t>
  </si>
  <si>
    <t>영흥면 외리 19-12 생활형숙박시설</t>
  </si>
  <si>
    <t>인천광역시 옹진군 영흥면 외리 19-12번지</t>
  </si>
  <si>
    <t>의정부동 135-38 생활형숙박시설</t>
  </si>
  <si>
    <t>경기도 의정부시 시민로122번길 41-46 (의정부동, MS PALACE)</t>
  </si>
  <si>
    <t>2022.03.11</t>
  </si>
  <si>
    <t>(주)종합건축사사무소주성</t>
  </si>
  <si>
    <t>철골철근콘크…</t>
  </si>
  <si>
    <t>저층형 생활숙박시설</t>
  </si>
  <si>
    <t>강원특별자치도 횡성군 서원면 석화리 산261-1번지</t>
  </si>
  <si>
    <t>2022.03.14</t>
  </si>
  <si>
    <t>2025.03.01</t>
  </si>
  <si>
    <t>(주)마이건축사사무소</t>
  </si>
  <si>
    <t>(주)미지엔리조트</t>
  </si>
  <si>
    <t>대관령면 용산리 생활숙박시설</t>
  </si>
  <si>
    <t>강원특별자치도 평창군 대관령면 용산리 394-27번지</t>
  </si>
  <si>
    <t>2022.03.03</t>
  </si>
  <si>
    <t>기장읍 시랑리 616-3 관광숙박시설 신축공사</t>
  </si>
  <si>
    <t>부산광역시 기장군 기장읍 시랑리 616-3번지</t>
  </si>
  <si>
    <t>2023.09.20</t>
  </si>
  <si>
    <t>2025.02.26</t>
  </si>
  <si>
    <t>(주)종합건설현범</t>
  </si>
  <si>
    <t>(주)지엔건축사사무소</t>
  </si>
  <si>
    <t>(주)인우건축사사무소</t>
  </si>
  <si>
    <t>(주)넥스트앤파트너스</t>
  </si>
  <si>
    <t>화촌면 군업리 1295-26 번지</t>
  </si>
  <si>
    <t>강원특별자치도 홍천군 화촌면 군업리 1295-26번지</t>
  </si>
  <si>
    <t>남면 신온리 5-3 생활형숙박시설</t>
  </si>
  <si>
    <t>충청남도 태안군 남면 마검포길 338-7</t>
  </si>
  <si>
    <t>2025.02.18</t>
  </si>
  <si>
    <t>2025.02.20</t>
  </si>
  <si>
    <t>2025.04.08</t>
  </si>
  <si>
    <t>(주)코람코</t>
  </si>
  <si>
    <t>용남면 장평리 00 관광숙박시설</t>
  </si>
  <si>
    <t>경상남도 통영시 용남면 견유1길 159</t>
  </si>
  <si>
    <t>2022.02.17</t>
  </si>
  <si>
    <t>2025.02.16</t>
  </si>
  <si>
    <t>(주)예성토탈건축사사무소</t>
  </si>
  <si>
    <t>설악면 위곡리 255 생활형숙박시설 테라스형 변경</t>
  </si>
  <si>
    <t>경기도 가평군 설악면 위곡리 256번지</t>
  </si>
  <si>
    <t>2022.02.07</t>
  </si>
  <si>
    <t>2025.02.14</t>
  </si>
  <si>
    <t>(주)루영건설</t>
  </si>
  <si>
    <t>안중읍 덕우리 421-7 일반숙박시설</t>
  </si>
  <si>
    <t>경기도 평택시 안중읍 안청로 262-17</t>
  </si>
  <si>
    <t>2025.01.20</t>
  </si>
  <si>
    <t>2025.02.11</t>
  </si>
  <si>
    <t>2025.04.17</t>
  </si>
  <si>
    <t>(주)포에버개발</t>
  </si>
  <si>
    <t>큐브파트너스건축사사무소(주)</t>
  </si>
  <si>
    <t>강파이프구조</t>
  </si>
  <si>
    <t>충청남도 보령시 신흑동 2208-1번지 외 2필지 숙박시설 신축…</t>
  </si>
  <si>
    <t>충청남도 보령시 신흑동 2208-1번지</t>
  </si>
  <si>
    <t>2022.02.10</t>
  </si>
  <si>
    <t>2025.02.07</t>
  </si>
  <si>
    <t>(주)디에스개발</t>
  </si>
  <si>
    <t>소라면 사곡리 1094 관광숙박시설</t>
  </si>
  <si>
    <t>전라남도 여수시 소라면 사곡리 1094번지</t>
  </si>
  <si>
    <t>2023.01.31</t>
  </si>
  <si>
    <t>2025.02.05</t>
  </si>
  <si>
    <t>건축사사무소더함</t>
  </si>
  <si>
    <t>남원읍 남원리 1142-1 숙박시설</t>
  </si>
  <si>
    <t>제주특별자치도 서귀포시 남원읍 남원리 1142-1번지</t>
  </si>
  <si>
    <t>2025.01.24</t>
  </si>
  <si>
    <t>엠케이종합건설(주)</t>
  </si>
  <si>
    <t>피앤디건축사사무소</t>
  </si>
  <si>
    <t>라인종합 건축사사무소</t>
  </si>
  <si>
    <t>대소면 성본리 910 숙박시설</t>
  </si>
  <si>
    <t>충청북도 음성군 대소면 성본상가로 33</t>
  </si>
  <si>
    <t>2024.04.03</t>
  </si>
  <si>
    <t>명림건설(주)</t>
  </si>
  <si>
    <t>건축사사무소명성</t>
  </si>
  <si>
    <t>(주)일건축사사무소</t>
  </si>
  <si>
    <t>(주)골드</t>
  </si>
  <si>
    <t>구좌읍 세화리 1519-1 숙박시설 (***)</t>
  </si>
  <si>
    <t>제주특별자치도 제주시 구좌읍 구좌로 33-8</t>
  </si>
  <si>
    <t>2022.01.18</t>
  </si>
  <si>
    <t>2025.01.17</t>
  </si>
  <si>
    <t>도도건축사사무소</t>
  </si>
  <si>
    <t>창선면 대벽리 178-43 숙박시설 ((주)카프리)</t>
  </si>
  <si>
    <t>경상남도 남해군 창선면 대벽리 178-43번지</t>
  </si>
  <si>
    <t>2025.01.15</t>
  </si>
  <si>
    <t>건축사사무소돌</t>
  </si>
  <si>
    <t>(주)카프리</t>
  </si>
  <si>
    <t>석문면 장고항리 1334 숙박시설</t>
  </si>
  <si>
    <t>충청남도 당진시 석문면 장고항리 1334번지</t>
  </si>
  <si>
    <t>2024.11.13</t>
  </si>
  <si>
    <t>2025.01.14</t>
  </si>
  <si>
    <t>호반종합건설(주)</t>
  </si>
  <si>
    <t>누리건축사사무소</t>
  </si>
  <si>
    <t>(주)선건축사사무소</t>
  </si>
  <si>
    <t>영흥면 외리 17-32 숙박시설 (***)</t>
  </si>
  <si>
    <t>인천광역시 옹진군 영흥면 외리 17-32번지</t>
  </si>
  <si>
    <t>2022.01.10</t>
  </si>
  <si>
    <t>2025.01.09</t>
  </si>
  <si>
    <t>아침건축사사무소</t>
  </si>
  <si>
    <t>남면 박암리 23-4 생활숙박시설</t>
  </si>
  <si>
    <t>강원특별자치도 춘천시 남면 박암리 23-4번지</t>
  </si>
  <si>
    <t>2021.07.12</t>
  </si>
  <si>
    <t>건축사사무소이엘</t>
  </si>
  <si>
    <t>웨스트아일랜드</t>
  </si>
  <si>
    <t>남면 몽산리 685-28 숙박시설</t>
  </si>
  <si>
    <t>충청남도 태안군 남면 몽대로 495</t>
  </si>
  <si>
    <t>2024.12.31</t>
  </si>
  <si>
    <t>2025.01.07</t>
  </si>
  <si>
    <t>2025.01.23</t>
  </si>
  <si>
    <t>옥천면 신복리 610-22 일반숙박시설(***)</t>
  </si>
  <si>
    <t>경기도 양평군 옥천면 아래점촌길 90-13</t>
  </si>
  <si>
    <t>2024.12.27</t>
  </si>
  <si>
    <t>2024.12.30</t>
  </si>
  <si>
    <t>2025.04.15</t>
  </si>
  <si>
    <t>진성건축사사무소</t>
  </si>
  <si>
    <t>일반목구조,조…</t>
  </si>
  <si>
    <t>삼산면 매음리 328 숙박시설</t>
  </si>
  <si>
    <t>인천광역시 강화군 삼산면 삼산남로 498-8</t>
  </si>
  <si>
    <t>2024.12.12</t>
  </si>
  <si>
    <t>(주)에스케이피엠씨건축사사무소</t>
  </si>
  <si>
    <t>성건동 408-1 숙박시설 (주식회사소노테크)</t>
  </si>
  <si>
    <t>경상북도 경주시 화랑로 2 (성건동)</t>
  </si>
  <si>
    <t>2023.03.08</t>
  </si>
  <si>
    <t>동부이끌림(주)</t>
  </si>
  <si>
    <t>건축사사무소원일</t>
  </si>
  <si>
    <t>이공건축사사무소</t>
  </si>
  <si>
    <t>은진면 토양리 50-1 숙박시설</t>
  </si>
  <si>
    <t>충청남도 논산시 은진면 안심로277번길 14</t>
  </si>
  <si>
    <t>2024.12.23</t>
  </si>
  <si>
    <t>대동건축사사무소</t>
  </si>
  <si>
    <t>(주)논산고무신호텔</t>
  </si>
  <si>
    <t>정왕동 시화MT 거북섬 상업 1블록 숙박시설 (케이비부동산신…</t>
  </si>
  <si>
    <t>경기도 시흥시 정왕동 2723번지</t>
  </si>
  <si>
    <t>2021.12.20</t>
  </si>
  <si>
    <t>2024.12.20</t>
  </si>
  <si>
    <t>철골철근콘…</t>
  </si>
  <si>
    <t>허진영씨 숙박시설</t>
  </si>
  <si>
    <t>경상북도 경주시 태종로685번길 33 (노서동)</t>
  </si>
  <si>
    <t>2023.12.21</t>
  </si>
  <si>
    <t>건축사사무소동일</t>
  </si>
  <si>
    <t>사천면 미노리 150번지 숙박시설(여석운)</t>
  </si>
  <si>
    <t>강원특별자치도 강릉시 사천면 미노리 150번지</t>
  </si>
  <si>
    <t>2023.12.15</t>
  </si>
  <si>
    <t>2024.12.18</t>
  </si>
  <si>
    <t>서연건설산업(주)</t>
  </si>
  <si>
    <t>예인건축사사무소</t>
  </si>
  <si>
    <t>설천면 삼공리 348-3 숙박시설</t>
  </si>
  <si>
    <t>전북특별자치도 무주군 설천면 삼공리 348-3번지</t>
  </si>
  <si>
    <t>2021.12.17</t>
  </si>
  <si>
    <t>2024.12.16</t>
  </si>
  <si>
    <t>(주)아키후드건축사사무소</t>
  </si>
  <si>
    <t>주교면 주교리 24-4 숙박시설 (***)</t>
  </si>
  <si>
    <t>충청남도 보령시 주교면 주교리 24-4번지</t>
  </si>
  <si>
    <t>2022.01.19</t>
  </si>
  <si>
    <t>2024.12.13</t>
  </si>
  <si>
    <t>아람종합건설(주)</t>
  </si>
  <si>
    <t>해인이엔씨건축사사무소</t>
  </si>
  <si>
    <t>부평동 531-3 오피스텔 및 생활숙박시설</t>
  </si>
  <si>
    <t>인천광역시 부평구 장제로83번길 6 (부평동)</t>
  </si>
  <si>
    <t>2020.07.09</t>
  </si>
  <si>
    <t>2024.12.06</t>
  </si>
  <si>
    <t>(주)황산종합건설</t>
  </si>
  <si>
    <t>(주)충일건축사사무소</t>
  </si>
  <si>
    <t>강현면 답리 59-6 ,숙박시설,2종근린생활시</t>
  </si>
  <si>
    <t>강원특별자치도 양양군 강현면 주청1길 64-143</t>
  </si>
  <si>
    <t>2024.11.25</t>
  </si>
  <si>
    <t>2024.12.03</t>
  </si>
  <si>
    <t>2025.05.22</t>
  </si>
  <si>
    <t>미래종합건설(주)</t>
  </si>
  <si>
    <t>태웅건축사사무소</t>
  </si>
  <si>
    <t>화성 병점복합타운 숙박시설</t>
  </si>
  <si>
    <t>경기도 화성시 진안동 944-1번지</t>
  </si>
  <si>
    <t>2021.12.02</t>
  </si>
  <si>
    <t>2024.12.01</t>
  </si>
  <si>
    <t>(주)원희캐슬병점</t>
  </si>
  <si>
    <t>화성병점 복합타운 8BL 생활숙박시설</t>
  </si>
  <si>
    <t>경기도 화성시 진안동 943-3번지</t>
  </si>
  <si>
    <t>2021.11.30</t>
  </si>
  <si>
    <t>2024.11.29</t>
  </si>
  <si>
    <t>조종면 상판리 3790000 숙박시설 (***)</t>
  </si>
  <si>
    <t>경기도 가평군 조종면 상판리 379번지</t>
  </si>
  <si>
    <t>2024.11.27</t>
  </si>
  <si>
    <t>한성건축사사무소</t>
  </si>
  <si>
    <t>현남면 원포리 108-11 숙박시설 (***)</t>
  </si>
  <si>
    <t>강원특별자치도 양양군 현남면 동해대로 243</t>
  </si>
  <si>
    <t>2021.11.03</t>
  </si>
  <si>
    <t>강현면 주청리 2-12 숙박시설,일반음식점</t>
  </si>
  <si>
    <t>강원특별자치도 양양군 강현면 일출로 31-7</t>
  </si>
  <si>
    <t>2024.11.18</t>
  </si>
  <si>
    <t>2024.11.21</t>
  </si>
  <si>
    <t>흥해읍 오도리 240 숙박시설 (***)</t>
  </si>
  <si>
    <t>경상북도 포항시 북구 흥해읍 해안로1732번길 9</t>
  </si>
  <si>
    <t>2022.12.26</t>
  </si>
  <si>
    <t>2024.11.08</t>
  </si>
  <si>
    <t>(주)두창종합건설</t>
  </si>
  <si>
    <t>(주)우원건축사사무소</t>
  </si>
  <si>
    <t>율도동 10000 숙박시설 (주식회사쉼)</t>
  </si>
  <si>
    <t>전라남도 목포시 장좌도길 362 (율도동)</t>
  </si>
  <si>
    <t>2021.11.09</t>
  </si>
  <si>
    <t>2024.11.01</t>
  </si>
  <si>
    <t>건축사사무소아키플랜</t>
  </si>
  <si>
    <t>(주)쉼</t>
  </si>
  <si>
    <t>울릉읍 도동리 331-5 숙박시설</t>
  </si>
  <si>
    <t>경상북도 울릉군 울릉읍 봉래2길 20-12</t>
  </si>
  <si>
    <t>2024.02.14</t>
  </si>
  <si>
    <t>2025.09.29</t>
  </si>
  <si>
    <t>(주)에이쓰리</t>
  </si>
  <si>
    <t>한림읍 협재리 2697-1 숙박시설 (양위환)</t>
  </si>
  <si>
    <t>제주특별자치도 제주시 한림읍 협재리 2697-1번지</t>
  </si>
  <si>
    <t>2021.10.29</t>
  </si>
  <si>
    <t>2024.10.29</t>
  </si>
  <si>
    <t>건축사사무소지음</t>
  </si>
  <si>
    <t>설천면 삼공리 숙박시설</t>
  </si>
  <si>
    <t>전북특별자치도 무주군 설천면 삼공리 산92-5번지</t>
  </si>
  <si>
    <t>2021.09.06</t>
  </si>
  <si>
    <t>(주)디에이치건설</t>
  </si>
  <si>
    <t>(주)건축사사무소아진건축</t>
  </si>
  <si>
    <t>(주)호진</t>
  </si>
  <si>
    <t>안강리 숙박시설 (***)</t>
  </si>
  <si>
    <t>경상북도 경주시 안강읍 북부리2길 3</t>
  </si>
  <si>
    <t>2021.10.22</t>
  </si>
  <si>
    <t>2024.10.22</t>
  </si>
  <si>
    <t>큰가람 건축사사무소</t>
  </si>
  <si>
    <t>장기면 계원리 38 숙박시설 (***)</t>
  </si>
  <si>
    <t>경상북도 포항시 남구 장기면 계원1길 12</t>
  </si>
  <si>
    <t>2021.10.20</t>
  </si>
  <si>
    <t>2024.10.18</t>
  </si>
  <si>
    <t>(주)건축사사무소에이쓰리</t>
  </si>
  <si>
    <t>죽왕면 인정리 345 숙박시설 (***)</t>
  </si>
  <si>
    <t>강원특별자치도 고성군 죽왕면 인정리 345번지</t>
  </si>
  <si>
    <t>2024.01.10</t>
  </si>
  <si>
    <t>(주)동국건설</t>
  </si>
  <si>
    <t>호동건설산업</t>
  </si>
  <si>
    <t>장기면 계원리 38 숙박시설 (케이엔제이 주식회사)</t>
  </si>
  <si>
    <t>2021.10.21</t>
  </si>
  <si>
    <t>북면 천부리 590 숙박시설</t>
  </si>
  <si>
    <t>경상북도 울릉군 북면 천부리 590번지</t>
  </si>
  <si>
    <t>2024.06.25</t>
  </si>
  <si>
    <t>2024.10.16</t>
  </si>
  <si>
    <t>(주)와이엠케이종합건설</t>
  </si>
  <si>
    <t>남면 석교리 203숙박시설 (대성에너지(주))</t>
  </si>
  <si>
    <t>경상남도 남해군 남면 남면로 161-58</t>
  </si>
  <si>
    <t>2021.05.18</t>
  </si>
  <si>
    <t>(주)한을</t>
  </si>
  <si>
    <t>민건축사사무소</t>
  </si>
  <si>
    <t>대성홀딩스(주)</t>
  </si>
  <si>
    <t>삼산면 매음리 627-132 생활형숙박시설</t>
  </si>
  <si>
    <t>인천광역시 강화군 삼산면 매음리 627-132번지</t>
  </si>
  <si>
    <t>2024.10.03</t>
  </si>
  <si>
    <t>종현건축사사무소</t>
  </si>
  <si>
    <t>서금동 9-3 숙박시설 (옥경희)</t>
  </si>
  <si>
    <t>경상남도 사천시 팔포3길 17-8 (서금동)</t>
  </si>
  <si>
    <t>2021.09.28</t>
  </si>
  <si>
    <t>2024.09.25</t>
  </si>
  <si>
    <t>건축사사무소가인</t>
  </si>
  <si>
    <t>조종면 운악리 419-21 숙박시설 (***)</t>
  </si>
  <si>
    <t>경기도 가평군 조종면 운악리 419-21번지</t>
  </si>
  <si>
    <t>2022.01.07</t>
  </si>
  <si>
    <t>안현동 198-2 생활 숙박 시설</t>
  </si>
  <si>
    <t>강원특별자치도 강릉시 해안로621번길 8 (안현동)</t>
  </si>
  <si>
    <t>2024.05.30</t>
  </si>
  <si>
    <t>2024.09.24</t>
  </si>
  <si>
    <t>디에스건설(주)</t>
  </si>
  <si>
    <t>석건축사사무소</t>
  </si>
  <si>
    <t>화도면 장화리 535 생활숙박시설(김선경,채현철) 1부지</t>
  </si>
  <si>
    <t>인천광역시 강화군 화도면 해안남로2410번길 29</t>
  </si>
  <si>
    <t>2024.06.14</t>
  </si>
  <si>
    <t>2024.09.10</t>
  </si>
  <si>
    <t>2025.07.22</t>
  </si>
  <si>
    <t>(주)그린포럼건축사사무소</t>
  </si>
  <si>
    <t>강구면 하저리 467-4 숙박시설 (***)</t>
  </si>
  <si>
    <t>경상북도 영덕군 강구면 하저리 467-4번지</t>
  </si>
  <si>
    <t>2021.09.01</t>
  </si>
  <si>
    <t>2024.08.31</t>
  </si>
  <si>
    <t>평택시 팽성읍 안정리 169-19 생활숙박시설</t>
  </si>
  <si>
    <t>경기도 평택시 팽성읍 안정리 169-19번지</t>
  </si>
  <si>
    <t>2021.08.26</t>
  </si>
  <si>
    <t>2024.08.26</t>
  </si>
  <si>
    <t>(주)젠건축사사무소</t>
  </si>
  <si>
    <t>빌더스플랜(주)</t>
  </si>
  <si>
    <t>용산면 백자전리 243 숙박시설 (***)</t>
  </si>
  <si>
    <t>충청북도 영동군 용산면 백자전리 243번지</t>
  </si>
  <si>
    <t>2022.08.30</t>
  </si>
  <si>
    <t>2024.08.16</t>
  </si>
  <si>
    <t>법성면 법성리 1218-8숙박시설</t>
  </si>
  <si>
    <t>전라남도 영광군 법성면 법성포로 29-30</t>
  </si>
  <si>
    <t>2025.06.11</t>
  </si>
  <si>
    <t>(주)아이엔</t>
  </si>
  <si>
    <t>선우건축사사무소</t>
  </si>
  <si>
    <t>(주)모던</t>
  </si>
  <si>
    <t>상천리 653-1 A 숙박시설</t>
  </si>
  <si>
    <t>경기도 가평군 청평면 수리재길 237-2</t>
  </si>
  <si>
    <t>2024.06.19</t>
  </si>
  <si>
    <t>2024.08.13</t>
  </si>
  <si>
    <t>2025.08.11</t>
  </si>
  <si>
    <t>(주)충일종합건설</t>
  </si>
  <si>
    <t>경기축량설계사무소</t>
  </si>
  <si>
    <t>(주)디에스샵</t>
  </si>
  <si>
    <t>상천리 654-1B 숙박시설</t>
  </si>
  <si>
    <t>경기도 가평군 청평면 수리재길 237-26</t>
  </si>
  <si>
    <t>대진동 1-9 외1필지 관광숙박시설</t>
  </si>
  <si>
    <t>강원특별자치도 동해시 대진항길 19-1 (대진동)</t>
  </si>
  <si>
    <t>2024.07.21</t>
  </si>
  <si>
    <t>동현건설(주)</t>
  </si>
  <si>
    <t>운림동 1001 번지 관광숙박시설 호스텔</t>
  </si>
  <si>
    <t>광주광역시 동구 중심사길30번길 39-2 (운림동)</t>
  </si>
  <si>
    <t>2020.12.30</t>
  </si>
  <si>
    <t>2024.08.12</t>
  </si>
  <si>
    <t>(주)탑종합건설</t>
  </si>
  <si>
    <t>원건축사사무소</t>
  </si>
  <si>
    <t>목안리 POOL7 관광숙박시설 신축공사</t>
  </si>
  <si>
    <t>경기도 가평군 설악면 목안로 976-5</t>
  </si>
  <si>
    <t>(주)정한종합건설</t>
  </si>
  <si>
    <t>나래건축사사무소</t>
  </si>
  <si>
    <t>매산리 1-344 숙박시설</t>
  </si>
  <si>
    <t>충청남도 당진시 신평면 매산로 190</t>
  </si>
  <si>
    <t>2024.07.26</t>
  </si>
  <si>
    <t>2024.08.09</t>
  </si>
  <si>
    <t>2024.11.28</t>
  </si>
  <si>
    <t>건축사사무소터</t>
  </si>
  <si>
    <t>등억알프스리 생활숙박시설</t>
  </si>
  <si>
    <t>울산광역시 울주군 상북면 알프스온천로 127</t>
  </si>
  <si>
    <t>2024.08.05</t>
  </si>
  <si>
    <t>2025.07.04</t>
  </si>
  <si>
    <t>디케이종합건설(주)</t>
  </si>
  <si>
    <t>건축사사무소명가</t>
  </si>
  <si>
    <t>안현동 218-12 숙박시설 (금승호)</t>
  </si>
  <si>
    <t>강원특별자치도 강릉시 안현동 218-12번지</t>
  </si>
  <si>
    <t>2021.08.06</t>
  </si>
  <si>
    <t>2024.08.06</t>
  </si>
  <si>
    <t>북면 천부리 718-39 숙박시설</t>
  </si>
  <si>
    <t>경상북도 울릉군 북면 울릉순환로 3130</t>
  </si>
  <si>
    <t>2024.04.04</t>
  </si>
  <si>
    <t>2024.07.29</t>
  </si>
  <si>
    <t>(주)덕성종합건설</t>
  </si>
  <si>
    <t>가평읍 금대리 280 (관광숙박시설-호스텔-1)</t>
  </si>
  <si>
    <t>경기도 가평군 가평읍 북한강변로 481-34</t>
  </si>
  <si>
    <t>2023.09.08</t>
  </si>
  <si>
    <t>(주)한창건설</t>
  </si>
  <si>
    <t>(주)삼희건축사사무소</t>
  </si>
  <si>
    <t>봉동읍 둔산리 900-4 숙박시설 (***)</t>
  </si>
  <si>
    <t>전북특별자치도 완주군 봉동읍 둔산리 900-4번지</t>
  </si>
  <si>
    <t>2021.07.28</t>
  </si>
  <si>
    <t>2024.07.27</t>
  </si>
  <si>
    <t>건축사사무소이음플러스</t>
  </si>
  <si>
    <t>성정동 1389 숙박시설 (***)</t>
  </si>
  <si>
    <t>충청남도 천안시 서북구 성정동 1389번지</t>
  </si>
  <si>
    <t>2021.07.14</t>
  </si>
  <si>
    <t>2024.07.13</t>
  </si>
  <si>
    <t>(주)종합건축사사무소 토우</t>
  </si>
  <si>
    <t>한림읍 협재리 2446-3 숙박시설 (***)</t>
  </si>
  <si>
    <t>제주특별자치도 제주시 한림읍 한림로 339</t>
  </si>
  <si>
    <t>(주)종합건축사사무소아키인</t>
  </si>
  <si>
    <t>북면 천부리 316-5 숙박시설</t>
  </si>
  <si>
    <t>경상북도 울릉군 북면 천부리 316번지</t>
  </si>
  <si>
    <t>2024.07.12</t>
  </si>
  <si>
    <t>(주)삼우건설</t>
  </si>
  <si>
    <t>토성면 신평리 598-7 숙박시설</t>
  </si>
  <si>
    <t>강원특별자치도 고성군 토성면 서신평2길 44-17</t>
  </si>
  <si>
    <t>2024.05.14</t>
  </si>
  <si>
    <t>(주)덕구건설</t>
  </si>
  <si>
    <t>조천읍 신촌리 1310-5 숙박시설</t>
  </si>
  <si>
    <t>제주특별자치도 제주시 조천읍 신촌리 1310-5번지</t>
  </si>
  <si>
    <t>2021.06.23</t>
  </si>
  <si>
    <t>한탑종합건설(주)</t>
  </si>
  <si>
    <t>김상대</t>
  </si>
  <si>
    <t>폴라리스(주)</t>
  </si>
  <si>
    <t>북면 천부리 316-1 숙박시설</t>
  </si>
  <si>
    <t>경상북도 울릉군 북면 천부리 316-1번지</t>
  </si>
  <si>
    <t>2023.06.19</t>
  </si>
  <si>
    <t>2024.07.11</t>
  </si>
  <si>
    <t>대관령면 수하리 203 숙박시설 (***)</t>
  </si>
  <si>
    <t>강원특별자치도 평창군 대관령면 수하리 203번지</t>
  </si>
  <si>
    <t>2022.05.27</t>
  </si>
  <si>
    <t>(주)씨지건설</t>
  </si>
  <si>
    <t>죽왕면 인정리 163-9 생활숙박시설</t>
  </si>
  <si>
    <t>강원특별자치도 고성군 토성면 잼버리도로 359</t>
  </si>
  <si>
    <t>2024.05.28</t>
  </si>
  <si>
    <t>(주)성우건설</t>
  </si>
  <si>
    <t>토성면 아야진리 56-30 관광숙박시설 (***)</t>
  </si>
  <si>
    <t>강원특별자치도 고성군 토성면 아야진리 56-30번지</t>
  </si>
  <si>
    <t>2021.01.22</t>
  </si>
  <si>
    <t>2024.07.09</t>
  </si>
  <si>
    <t>상지건설(주)</t>
  </si>
  <si>
    <t>정풍건축사사무소</t>
  </si>
  <si>
    <t>건축사사무소 영</t>
  </si>
  <si>
    <t>영월 한옥마을 조성사업 관광휴양시설용지(숙박시설) ①-7</t>
  </si>
  <si>
    <t>강원특별자치도 영월군 남면 뿍방리 67번지</t>
  </si>
  <si>
    <t>2023.12.29</t>
  </si>
  <si>
    <t>더한옥헤리티지(주)</t>
  </si>
  <si>
    <t>양기란건축사사무소</t>
  </si>
  <si>
    <t>건축사사무소조원</t>
  </si>
  <si>
    <t>봉명동 숙박시설</t>
  </si>
  <si>
    <t>대전광역시 유성구 계룡로155번길 26-7 (봉명동)</t>
  </si>
  <si>
    <t>2024.06.13</t>
  </si>
  <si>
    <t>2024.07.04</t>
  </si>
  <si>
    <t>(주)베타스테이</t>
  </si>
  <si>
    <t>서면 중방대리 1060000 숙박시설 (***)</t>
  </si>
  <si>
    <t>2022.07.04</t>
  </si>
  <si>
    <t>2024.07.03</t>
  </si>
  <si>
    <t>영북면 산정리 460 숙박시설-2부지 (주식회사리얼투게더)</t>
  </si>
  <si>
    <t>경기도 포천시 영북면 산정리 460번지</t>
  </si>
  <si>
    <t>2021.09.24</t>
  </si>
  <si>
    <t>2024.06.30</t>
  </si>
  <si>
    <t>(주)리얼투게더</t>
  </si>
  <si>
    <t>상면 행현리 460 숙박시설 (***)</t>
  </si>
  <si>
    <t>경기도 가평군 상면 행현리 460번지</t>
  </si>
  <si>
    <t>2022.06.27</t>
  </si>
  <si>
    <t>숙박시설 및 휴게음식점</t>
  </si>
  <si>
    <t>전북특별자치도 익산시 인북로4길 22 (인화동1가)</t>
  </si>
  <si>
    <t>2023.05.03</t>
  </si>
  <si>
    <t>2025.05.13</t>
  </si>
  <si>
    <t>(유)소호미예</t>
  </si>
  <si>
    <t>건축사사무소대지</t>
  </si>
  <si>
    <t>정건축사사무소</t>
  </si>
  <si>
    <t>길상면 장흥리 276-57 숙박시설 (원유석)</t>
  </si>
  <si>
    <t>인천광역시 강화군 길상면 장흥리 276-57번지</t>
  </si>
  <si>
    <t>2022.06.20</t>
  </si>
  <si>
    <t>홍건축사사무소</t>
  </si>
  <si>
    <t>음암면 유계리 410-6 숙박시설 (***)</t>
  </si>
  <si>
    <t>충청남도 서산시 음암면 유계리 410-6번지</t>
  </si>
  <si>
    <t>2022.06.16</t>
  </si>
  <si>
    <t>2024.06.16</t>
  </si>
  <si>
    <t>반도건축사사무소</t>
  </si>
  <si>
    <t>숙박시설(생활숙박시설) - 방기정</t>
  </si>
  <si>
    <t>경기도 가평군 조종면 운악청계로 238-44</t>
  </si>
  <si>
    <t>2024.07.15</t>
  </si>
  <si>
    <t>돌산읍 평사리 1318-58 숙박시설 (주식회사 토정)</t>
  </si>
  <si>
    <t>전라남도 여수시 돌산읍 평사리 1318-58번지</t>
  </si>
  <si>
    <t>2021.06.03</t>
  </si>
  <si>
    <t>2024.06.01</t>
  </si>
  <si>
    <t>건축사사무소세움</t>
  </si>
  <si>
    <t>(주)토정</t>
  </si>
  <si>
    <t>구룡포읍 석병리 748 숙박시설</t>
  </si>
  <si>
    <t>경상북도 포항시 남구 구룡포읍 일출로204번길 19</t>
  </si>
  <si>
    <t>2024.04.01</t>
  </si>
  <si>
    <t>2024.05.31</t>
  </si>
  <si>
    <t>나비종합건설(주)</t>
  </si>
  <si>
    <t>건축사사무소예건</t>
  </si>
  <si>
    <t>노서동 175-22 생활숙박시설</t>
  </si>
  <si>
    <t>경상북도 경주시 원효로26번길 21-1 (노서동)</t>
  </si>
  <si>
    <t>2024.05.10</t>
  </si>
  <si>
    <t>2024.05.27</t>
  </si>
  <si>
    <t>2024.09.04</t>
  </si>
  <si>
    <t>건축사사무소남산</t>
  </si>
  <si>
    <t>감포읍 대본리 372 숙박시설 (***)</t>
  </si>
  <si>
    <t>경상북도 경주시 감포읍 동해안로 1618</t>
  </si>
  <si>
    <t>2021.05.25</t>
  </si>
  <si>
    <t>2024.05.24</t>
  </si>
  <si>
    <t>(주)예조종합건축사사무소</t>
  </si>
  <si>
    <t>지에스개발(주)</t>
  </si>
  <si>
    <t>암남동 622-46 숙박시설</t>
  </si>
  <si>
    <t>부산광역시 서구 암남공원로 245 (암남동)</t>
  </si>
  <si>
    <t>2024.05.20</t>
  </si>
  <si>
    <t>2024.07.24</t>
  </si>
  <si>
    <t>아리아</t>
  </si>
  <si>
    <t>옥천면 신복리 665-21 숙박시설 (주식회사에이치엔케이투)</t>
  </si>
  <si>
    <t>경기도 양평군 옥천면 신복리 665-21번지</t>
  </si>
  <si>
    <t>2022.05.09</t>
  </si>
  <si>
    <t>(주)아일종합건설</t>
  </si>
  <si>
    <t>유에이도시건축사사무소</t>
  </si>
  <si>
    <t>(주)에이치엔케이투</t>
  </si>
  <si>
    <t>가평읍 산유리 67 숙박시설 ((주)호명산힐링타운)</t>
  </si>
  <si>
    <t>경기도 가평군 가평읍 산유리 산 67번지</t>
  </si>
  <si>
    <t>2022.05.15</t>
  </si>
  <si>
    <t>2024.05.17</t>
  </si>
  <si>
    <t>건축사사무소태은</t>
  </si>
  <si>
    <t>수련시설</t>
  </si>
  <si>
    <t>임자면 대기리 2539-2 숙박시설</t>
  </si>
  <si>
    <t>전라남도 신안군 임자면 대광해수욕장 119</t>
  </si>
  <si>
    <t>2024.11.12</t>
  </si>
  <si>
    <t>(주)산하건설</t>
  </si>
  <si>
    <t>안덕면 사계리 1344 생활형숙박시설</t>
  </si>
  <si>
    <t>제주특별자치도 서귀포시 안덕면 사계로 151-1</t>
  </si>
  <si>
    <t>2024.01.11</t>
  </si>
  <si>
    <t>(유)천지종합건설</t>
  </si>
  <si>
    <t>이동인건축사사무소</t>
  </si>
  <si>
    <t>블록구조,철근…</t>
  </si>
  <si>
    <t>청평면 삼회리 474-2 숙박시설 (***)</t>
  </si>
  <si>
    <t>경기도 가평군 청평면 삼회리 474-2번지</t>
  </si>
  <si>
    <t>2021.05.04</t>
  </si>
  <si>
    <t>2024.05.03</t>
  </si>
  <si>
    <t>가평읍 금대리 278-5 (숙박시설-호스텔-4)</t>
  </si>
  <si>
    <t>경기도 가평군 가평읍 북한강변로 481-41</t>
  </si>
  <si>
    <t>2024.04.29</t>
  </si>
  <si>
    <t>가평읍 금대리 278 (관광숙박시설-호스텔-2)</t>
  </si>
  <si>
    <t>경기도 가평군 가평읍 북한강변로 481-35</t>
  </si>
  <si>
    <t>가평읍 금대리 278-5 (관광숙박시설-호스텔-5)</t>
  </si>
  <si>
    <t>경기도 가평군 가평읍 북한강변로 481-43</t>
  </si>
  <si>
    <t>가평읍 금대리 278-1 (관광숙박시설-호스텔-3)</t>
  </si>
  <si>
    <t>경기도 가평군 가평읍 북한강변로 481-39</t>
  </si>
  <si>
    <t>청평면 삼회리 470-1 숙박시설 (***)</t>
  </si>
  <si>
    <t>경기도 가평군 청평면 삼회리 470-1번지</t>
  </si>
  <si>
    <t>2021.04.26</t>
  </si>
  <si>
    <t>(주)한서건축사사무소</t>
  </si>
  <si>
    <t>임자면 대기리 331-11 숙박시설 (***)</t>
  </si>
  <si>
    <t>전라남도 신안군 임자면 대광해수욕장 108</t>
  </si>
  <si>
    <t>2021.04.27</t>
  </si>
  <si>
    <t>(주)청룡건설</t>
  </si>
  <si>
    <t>퇴계동 4 숙박시설 (패밀리주식회사대표박종관)</t>
  </si>
  <si>
    <t>강원특별자치도 춘천시 칠전동 산4번지</t>
  </si>
  <si>
    <t>종합건축사사무소원건축</t>
  </si>
  <si>
    <t>패밀리(주)</t>
  </si>
  <si>
    <t>진서면 곰소리 1006 (일반숙박시설)</t>
  </si>
  <si>
    <t>전북특별자치도 부안군 진서면 곰소리 1006번지</t>
  </si>
  <si>
    <t>2023.10.26</t>
  </si>
  <si>
    <t>2024.04.25</t>
  </si>
  <si>
    <t>(주)중원종합건설</t>
  </si>
  <si>
    <t>건축사사무소더공감건축</t>
  </si>
  <si>
    <t>(주)다온건축사사무소</t>
  </si>
  <si>
    <t>덕교동 81-3 숙박시설</t>
  </si>
  <si>
    <t>인천광역시 중구 덕교동 81-3번지</t>
  </si>
  <si>
    <t>2021.04.23</t>
  </si>
  <si>
    <t>2024.04.22</t>
  </si>
  <si>
    <t>협재리숙박시설</t>
  </si>
  <si>
    <t>제주특별자치도 제주시 한림읍 협재1길 3</t>
  </si>
  <si>
    <t>2024.04.18</t>
  </si>
  <si>
    <t>2025.07.29</t>
  </si>
  <si>
    <t>(주)에이엔디건축사사무소</t>
  </si>
  <si>
    <t>(주)에이엔</t>
  </si>
  <si>
    <t>남면 원창리 512-96 숙박시설 (***)</t>
  </si>
  <si>
    <t>충청남도 태안군 남면 청포대길 29</t>
  </si>
  <si>
    <t>2022.05.31</t>
  </si>
  <si>
    <t>2024.04.15</t>
  </si>
  <si>
    <t>(주)세움</t>
  </si>
  <si>
    <t>로뎀빌</t>
  </si>
  <si>
    <t>광희동2가 40-1번지 외 5필지 일반숙박시설</t>
  </si>
  <si>
    <t>서울특별시 중구 광희동2가 40-1번지</t>
  </si>
  <si>
    <t>2023.12.26</t>
  </si>
  <si>
    <t>도시건축종합건설(주)</t>
  </si>
  <si>
    <t>비욘드건축</t>
  </si>
  <si>
    <t>시에이1010(주)</t>
  </si>
  <si>
    <t>가평읍 이화리 273-1 숙박시설</t>
  </si>
  <si>
    <t>경기도 가평군 가평읍 염창길 66-24</t>
  </si>
  <si>
    <t>2024.04.12</t>
  </si>
  <si>
    <t>(주)명경종합건설</t>
  </si>
  <si>
    <t>학동 200-21 숙박시설 (주식회사 디오션홀딩스)</t>
  </si>
  <si>
    <t>전라남도 여수시 시청서6길 9 (학동)</t>
  </si>
  <si>
    <t>2021.04.14</t>
  </si>
  <si>
    <t>(주)디오션홀딩스</t>
  </si>
  <si>
    <t>양양군 손양면 수여리 생활숙박시설</t>
  </si>
  <si>
    <t>강원특별자치도 양양군 손양면 수여리 산 25번지</t>
  </si>
  <si>
    <t>2021.04.07</t>
  </si>
  <si>
    <t>2024.04.07</t>
  </si>
  <si>
    <t>(주)무한종합건축사사무소</t>
  </si>
  <si>
    <t>병곡리 4 숙박시설 (***)</t>
  </si>
  <si>
    <t>경상북도 영덕군 병곡면 병곡리 4번지</t>
  </si>
  <si>
    <t>2021.09.15</t>
  </si>
  <si>
    <t>2024.04.05</t>
  </si>
  <si>
    <t>(주)진홍종합건설</t>
  </si>
  <si>
    <t>짓다건축사사무소</t>
  </si>
  <si>
    <t>영월 한옥마을 조성사업 관광휴양시설용지(숙박시설) ①-6</t>
  </si>
  <si>
    <t>강원특별자치도 영월군 남면 문개실길 37-217</t>
  </si>
  <si>
    <t>현북면 하광정리 613-9 숙박시설 (주식회사 하조베이비치앤리…)</t>
  </si>
  <si>
    <t>강원특별자치도 양양군 현북면 하광정리 613-9번지</t>
  </si>
  <si>
    <t>2021.04.06</t>
  </si>
  <si>
    <t>건축사사무소노드아키텍스</t>
  </si>
  <si>
    <t>(주)하조베이비치앤리조트</t>
  </si>
  <si>
    <t>안현동 224-52 숙박시설</t>
  </si>
  <si>
    <t>강원특별자치도 강릉시 해안로 663-44 (안현동)</t>
  </si>
  <si>
    <t>2024.03.26</t>
  </si>
  <si>
    <t>2024.08.27</t>
  </si>
  <si>
    <t>(주)미주종합건설</t>
  </si>
  <si>
    <t>영우건축사사무소</t>
  </si>
  <si>
    <t>조종면 신상리 612-1 숙박시설 (***)</t>
  </si>
  <si>
    <t>경기도 가평군 조종면 신상리 612-1번지</t>
  </si>
  <si>
    <t>2022.04.04</t>
  </si>
  <si>
    <t>응봉면 평촌리 92-2 숙박시설 (최지원 외 1인)</t>
  </si>
  <si>
    <t>충청남도 예산군 응봉면 평촌리 92-2번지</t>
  </si>
  <si>
    <t>2021.03.22</t>
  </si>
  <si>
    <t>(주)근영종합건설</t>
  </si>
  <si>
    <t>(주)한라건축사사무소</t>
  </si>
  <si>
    <t>동화리 20-11 숙박시설 및 근린생활시설</t>
  </si>
  <si>
    <t>충청북도 보은군 산외면 동화리 20-11번지</t>
  </si>
  <si>
    <t>2024.03.13</t>
  </si>
  <si>
    <t>2024.04.02</t>
  </si>
  <si>
    <t>2025.12.29</t>
  </si>
  <si>
    <t>(주)연준종합건설</t>
  </si>
  <si>
    <t>야자수풀빌라리조트(주)</t>
  </si>
  <si>
    <t>제1종근린생활시설 증축</t>
  </si>
  <si>
    <t>충청북도 영동군 영동읍 중앙로 29</t>
  </si>
  <si>
    <t>2024.03.28</t>
  </si>
  <si>
    <t>영동중앙신용협동조합</t>
  </si>
  <si>
    <t>제1종근린생활시설</t>
  </si>
  <si>
    <t>신상리 숙박시설 신축공사</t>
  </si>
  <si>
    <t>경기도 가평군 조종면 운악청로368번길 13-60</t>
  </si>
  <si>
    <t>2024.03.21</t>
  </si>
  <si>
    <t>2024.10.17</t>
  </si>
  <si>
    <t>목천읍 송전리 371-1 이화수님 숙박시설(생활숙박시설)및제2…</t>
  </si>
  <si>
    <t>충청남도 천안시 동남구 목천읍 삼방로 833-5</t>
  </si>
  <si>
    <t>2024.03.29</t>
  </si>
  <si>
    <t>2024.08.07</t>
  </si>
  <si>
    <t>아하건축사사무소</t>
  </si>
  <si>
    <t>온천동 202-18 숙박시설 (예상국)</t>
  </si>
  <si>
    <t>충청남도 아산시 남산로6번길 48 (온천동)</t>
  </si>
  <si>
    <t>2019.10.16</t>
  </si>
  <si>
    <t>2024.03.25</t>
  </si>
  <si>
    <t>(주)주성건설산업</t>
  </si>
  <si>
    <t>이가건축사사무소</t>
  </si>
  <si>
    <t>동본동 25-1 숙박시설</t>
  </si>
  <si>
    <t>경기도 안성시 중앙길 35 (동본동)</t>
  </si>
  <si>
    <t>2022.10.04</t>
  </si>
  <si>
    <t>2024.03.20</t>
  </si>
  <si>
    <t>2025.03.04</t>
  </si>
  <si>
    <t>(주)에이드건설</t>
  </si>
  <si>
    <t>지율건축사사무소</t>
  </si>
  <si>
    <t>한경건축사사무소</t>
  </si>
  <si>
    <t>(주)로드35호텔</t>
  </si>
  <si>
    <t>송지면 송호리 1123-9 숙박시설 (***)</t>
  </si>
  <si>
    <t>전라남도 해남군 송지면 땅끝해안로 2084</t>
  </si>
  <si>
    <t>2022.11.25</t>
  </si>
  <si>
    <t>신월동 114-36 관광숙박시설</t>
  </si>
  <si>
    <t>전라남도 여수시 신월로 546-1 (신월동)</t>
  </si>
  <si>
    <t>2024.03.05</t>
  </si>
  <si>
    <t>2024.06.07</t>
  </si>
  <si>
    <t>삼례읍 삼례리 1309-3 숙박시설</t>
  </si>
  <si>
    <t>전북특별자치도 완주군 삼례읍 만경하서길 1-5</t>
  </si>
  <si>
    <t>2021.03.12</t>
  </si>
  <si>
    <t>2024.03.12</t>
  </si>
  <si>
    <t>건축사사무소뿌리</t>
  </si>
  <si>
    <t>가조면 일부리 1305 우상민님 숙박시설 신축공사</t>
  </si>
  <si>
    <t>경상남도 거창군 가조면 지산로 1337-36</t>
  </si>
  <si>
    <t>2024.02.26</t>
  </si>
  <si>
    <t>2024.03.08</t>
  </si>
  <si>
    <t>2024.05.16</t>
  </si>
  <si>
    <t>(주)아원건설</t>
  </si>
  <si>
    <t>도담터건축사사무소</t>
  </si>
  <si>
    <t>정신엔지니어링건축사사무소</t>
  </si>
  <si>
    <t>석문면 장고항리 1335 숙박시설 (주식회사 석문산업개발)</t>
  </si>
  <si>
    <t>충청남도 당진시 석문면 장고항리 1335번지</t>
  </si>
  <si>
    <t>2021.03.08</t>
  </si>
  <si>
    <t>2024.03.07</t>
  </si>
  <si>
    <t>아이디에스(IDS)건축사사무소</t>
  </si>
  <si>
    <t>(주)엠에스미소산업</t>
  </si>
  <si>
    <t>해요숙박시설</t>
  </si>
  <si>
    <t>경상북도 영덕군 강구면 영덕대게로 251</t>
  </si>
  <si>
    <t>2024.02.20</t>
  </si>
  <si>
    <t>2024.10.30</t>
  </si>
  <si>
    <t>도담종합건설(주)</t>
  </si>
  <si>
    <t>건축사사무소소솔</t>
  </si>
  <si>
    <t>길상면 동검리 589-31 숙박시설 신축공사 (***)</t>
  </si>
  <si>
    <t>인천광역시 강화군 길상면 동검길 167-18</t>
  </si>
  <si>
    <t>2024.02.16</t>
  </si>
  <si>
    <t>2026.01.08</t>
  </si>
  <si>
    <t>휘상건설(주)</t>
  </si>
  <si>
    <t>휴먼건축사사무소</t>
  </si>
  <si>
    <t>건축사사무소멘토</t>
  </si>
  <si>
    <t>남면 원청리 512-46 숙박시설</t>
  </si>
  <si>
    <t>충청남도 태안군 남면 청포대길 57-68</t>
  </si>
  <si>
    <t>2024.03.04</t>
  </si>
  <si>
    <t>2024.10.14</t>
  </si>
  <si>
    <t>지음종합건설(주)</t>
  </si>
  <si>
    <t>화개면 정금리 생활숙박시설 B단지</t>
  </si>
  <si>
    <t>경상남도 하동군 화개면 쌍계로 268</t>
  </si>
  <si>
    <t>2021.01.28</t>
  </si>
  <si>
    <t>2024.02.28</t>
  </si>
  <si>
    <t>(주)씨엠종합건설</t>
  </si>
  <si>
    <t>건축사사무소창명</t>
  </si>
  <si>
    <t>(주)우리명가디엔씨</t>
  </si>
  <si>
    <t>가평읍 이화리 89-6 숙박시설 (***)8호</t>
  </si>
  <si>
    <t>경기도 가평군 가평읍 이화리 89-6번지</t>
  </si>
  <si>
    <t>2022.02.25</t>
  </si>
  <si>
    <t>2024.02.23</t>
  </si>
  <si>
    <t>가평읍 이화리 89-6 숙박시설 (***)2단지</t>
  </si>
  <si>
    <t>한림읍 상대리 2648-6 숙박시설 (***)</t>
  </si>
  <si>
    <t>제주특별자치도 제주시 한림읍 상대리 2648-6번지</t>
  </si>
  <si>
    <t>2022.02.04</t>
  </si>
  <si>
    <t>2024.02.15</t>
  </si>
  <si>
    <t>(주)황보종합건설</t>
  </si>
  <si>
    <t>(주)서웅건축사사무소</t>
  </si>
  <si>
    <t>신영동 3-14 숙박시설,근린생활시설</t>
  </si>
  <si>
    <t>전북특별자치도 군산시 죽성로 45 (신영동)</t>
  </si>
  <si>
    <t>2021.02.16</t>
  </si>
  <si>
    <t>건축사사무소두울</t>
  </si>
  <si>
    <t>장흥면 석현리 28-2 숙박시설 및 제2종근린생활시설</t>
  </si>
  <si>
    <t>경기도 양주시 장흥면 권율로 591</t>
  </si>
  <si>
    <t>2024.01.31</t>
  </si>
  <si>
    <t>2024.04.09</t>
  </si>
  <si>
    <t>(주)위즈젠</t>
  </si>
  <si>
    <t>관건축사사무소</t>
  </si>
  <si>
    <t>밀양 에스파크리조트 숙박시설(단독형)</t>
  </si>
  <si>
    <t>경상남도 밀양시 산외면 다죽리 1363번지</t>
  </si>
  <si>
    <t>2022.07.14</t>
  </si>
  <si>
    <t>2024.02.08</t>
  </si>
  <si>
    <t>창성종합건설(주)</t>
  </si>
  <si>
    <t>제이에이치엔건축사사무소</t>
  </si>
  <si>
    <t>(주)나이스에너지</t>
  </si>
  <si>
    <t>밀양관광단지조성사업단(주)</t>
  </si>
  <si>
    <t>스틸하우스조,…</t>
  </si>
  <si>
    <t>소원면 파도리 543-572 숙박시설,소매점 (***)</t>
  </si>
  <si>
    <t>충청남도 태안군 소원면 모항파도로 398-42</t>
  </si>
  <si>
    <t>2024.02.02</t>
  </si>
  <si>
    <t>울릉읍 도동리 322-4 숙박시설</t>
  </si>
  <si>
    <t>경상북도 울릉군 울릉읍 봉래길 32-16</t>
  </si>
  <si>
    <t>2024.01.05</t>
  </si>
  <si>
    <t>2024.01.26</t>
  </si>
  <si>
    <t>고창읍 주곡리 60-29 숙박시설 (***)</t>
  </si>
  <si>
    <t>전북특별자치도 고창군 고창읍 주곡리 60-29번지</t>
  </si>
  <si>
    <t>2024.01.21</t>
  </si>
  <si>
    <t>황학동 17700000 숙박시설 (금주영)</t>
  </si>
  <si>
    <t>서울특별시 중구 난계로17길 60-20 (황학동)</t>
  </si>
  <si>
    <t>2021.01.13</t>
  </si>
  <si>
    <t>2024.01.13</t>
  </si>
  <si>
    <t>예건원건축사사무소</t>
  </si>
  <si>
    <t>근덕면 장호리 72 생활숙박시설</t>
  </si>
  <si>
    <t>강원특별자치도 삼척시 근덕면 삼척로 2023</t>
  </si>
  <si>
    <t>2023.02.01</t>
  </si>
  <si>
    <t>2025.09.19</t>
  </si>
  <si>
    <t>라움종합건설(주)</t>
  </si>
  <si>
    <t>(주)예가건축사사무소</t>
  </si>
  <si>
    <t>지제동 302-20 숙박시설 (***)</t>
  </si>
  <si>
    <t>경기도 평택시 남북대로 233-25 (지제동)</t>
  </si>
  <si>
    <t>2021.01.06</t>
  </si>
  <si>
    <t>2024.01.08</t>
  </si>
  <si>
    <t>(주)정석건축사사무소</t>
  </si>
  <si>
    <t>숙박시설 (***)-1</t>
  </si>
  <si>
    <t>경기도 가평군 조종면 운악리 산 162-87번지</t>
  </si>
  <si>
    <t>조종면 운악리 162-87 숙박시설 (***)-2</t>
  </si>
  <si>
    <t>조종면 운악리 162-90 숙박시설 (***)-3</t>
  </si>
  <si>
    <t>경기도 가평군 조종면 운악리 산 162-90번지</t>
  </si>
  <si>
    <t>조종면 운악리 162-90 숙박시설 (***)-4</t>
  </si>
  <si>
    <t>조종면 운악리 162-55 숙박시설 (***)-5</t>
  </si>
  <si>
    <t>경기도 가평군 조종면 운악리 산 162-55번지</t>
  </si>
  <si>
    <t>조종면 운악리 162-54 숙박시설 (***)-6</t>
  </si>
  <si>
    <t>경기도 가평군 조종면 운악리 산 162-54번지</t>
  </si>
  <si>
    <t>조종면 운악리 162-53 숙박시설 (***) - 12</t>
  </si>
  <si>
    <t>경기도 가평군 조종면 운악리 산 162-53번지</t>
  </si>
  <si>
    <t>철근콘크리트…</t>
  </si>
  <si>
    <t>조종면 운악리 162-53 숙박시설 (***) - 13</t>
  </si>
  <si>
    <t>남곡동 856-15 숙박시설</t>
  </si>
  <si>
    <t>충청남도 보령시 해안로 450 (남곡동)</t>
  </si>
  <si>
    <t>(주)국보산업</t>
  </si>
  <si>
    <t>(주)제네스건축사사무소</t>
  </si>
  <si>
    <t>(주)카일프라퍼티</t>
  </si>
  <si>
    <t>2023.11.27</t>
  </si>
  <si>
    <t>(주)목인건축사사무소</t>
  </si>
  <si>
    <t>블록구조</t>
  </si>
  <si>
    <t>동산면 군자리 1023 숙박시설 (***)</t>
  </si>
  <si>
    <t>강원특별자치도 춘천시 동산면 군자리 1023번지</t>
  </si>
  <si>
    <t>2022.10.17</t>
  </si>
  <si>
    <t>(주)시.공종합건축사사무소</t>
  </si>
  <si>
    <t>삼천동 71-14 숙박시설 (***)</t>
  </si>
  <si>
    <t>강원특별자치도 춘천시 스포츠타운길 338 (삼천동)</t>
  </si>
  <si>
    <t>2019.12.17</t>
  </si>
  <si>
    <t>(주)일정개발</t>
  </si>
  <si>
    <t>어울림건축사사무소</t>
  </si>
  <si>
    <t>영덕읍 대부리 106-1 숙박시설 및 근린생활시설 증축</t>
  </si>
  <si>
    <t>경상북도 영덕군 영덕읍 영덕대게로 625-284</t>
  </si>
  <si>
    <t>2023.07.12</t>
  </si>
  <si>
    <t>2024.07.17</t>
  </si>
  <si>
    <t>(주)솔씨엔피</t>
  </si>
  <si>
    <t>이건건축사사무소</t>
  </si>
  <si>
    <t>원상건축사사무소</t>
  </si>
  <si>
    <t>대병면 유전리 61-2 숙박시설 (농업회사법인주식회사대경)</t>
  </si>
  <si>
    <t>경상남도 합천군 대병면 유전리 산 61-2번지</t>
  </si>
  <si>
    <t>2022.08.16</t>
  </si>
  <si>
    <t>2023.12.01</t>
  </si>
  <si>
    <t>(주)인주종합건설</t>
  </si>
  <si>
    <t>대광건축사</t>
  </si>
  <si>
    <t>DMZ 평화의 길 거점센터</t>
  </si>
  <si>
    <t>강원특별자치도 고성군 현내면 마달1길 31</t>
  </si>
  <si>
    <t>2023.11.08</t>
  </si>
  <si>
    <t>2023.11.23</t>
  </si>
  <si>
    <t>2024.09.05</t>
  </si>
  <si>
    <t>(주)유림종합건설</t>
  </si>
  <si>
    <t>(주)플레이건축사무소</t>
  </si>
  <si>
    <t>(주)플레이건축사사무소</t>
  </si>
  <si>
    <t>이동읍 화산리 643-16 숙박시설 (***)</t>
  </si>
  <si>
    <t>경기도 용인시 처인구 이동읍 화산리 643-16번지</t>
  </si>
  <si>
    <t>2022.11.10</t>
  </si>
  <si>
    <t>(주)이도이엔씨</t>
  </si>
  <si>
    <t>(주)혜림건축사사무소</t>
  </si>
  <si>
    <t>설천면 청량리 63 숙박시설 ((주)유엔아이인슈컨설팅)</t>
  </si>
  <si>
    <t>전북특별자치도 무주군 설천면 비계길 49</t>
  </si>
  <si>
    <t>2023.11.22</t>
  </si>
  <si>
    <t>2024.10.21</t>
  </si>
  <si>
    <t>우협종합건설(주)</t>
  </si>
  <si>
    <t>아키스케이프건축사사무소</t>
  </si>
  <si>
    <t>이안건축사사무소</t>
  </si>
  <si>
    <t>(주)유엔아이인슈컨설팅(희락재지점)</t>
  </si>
  <si>
    <t>돌산읍 평사리 318-94(택지2) 숙박시설 (***)</t>
  </si>
  <si>
    <t>전라남도 여수시 돌산읍 평사리 산 318-94번지</t>
  </si>
  <si>
    <t>2020.07.07</t>
  </si>
  <si>
    <t>2023.11.20</t>
  </si>
  <si>
    <t>인보종합건설(주)</t>
  </si>
  <si>
    <t>(주)간토건축사사무소</t>
  </si>
  <si>
    <t>종로구 연건동 관광숙박시설 및 근린생활시설</t>
  </si>
  <si>
    <t>서울특별시 종로구 창경궁로16길 73-4 (연건동)</t>
  </si>
  <si>
    <t>2022.06.03</t>
  </si>
  <si>
    <t>(주)범세종합건설</t>
  </si>
  <si>
    <t>(주)건축사사무소위즈</t>
  </si>
  <si>
    <t>(주)케이브홀딩스</t>
  </si>
  <si>
    <t>돌산읍 평사리 318-94(택지2) 숙박시설 (하준이,심선오)</t>
  </si>
  <si>
    <t>2020.07.05</t>
  </si>
  <si>
    <t>손양면 동호리 1-20 숙박시설,2종근린생활시설</t>
  </si>
  <si>
    <t>강원특별자치도 양양군 손양면 선사유적로 316-54</t>
  </si>
  <si>
    <t>2023.05.25</t>
  </si>
  <si>
    <t>2023.11.16</t>
  </si>
  <si>
    <t>숙박시설(생활숙박시설) - 권형진</t>
  </si>
  <si>
    <t>경기도 가평군 상면 축령로 217-94</t>
  </si>
  <si>
    <t>2023.08.02</t>
  </si>
  <si>
    <t>2023.11.14</t>
  </si>
  <si>
    <t>2024.09.13</t>
  </si>
  <si>
    <t>(주)서휘건설</t>
  </si>
  <si>
    <t>화양면 나진리 206 숙박시설 (***)</t>
  </si>
  <si>
    <t>전라남도 여수시 화양면 나진리 산 206번지</t>
  </si>
  <si>
    <t>2021.11.11</t>
  </si>
  <si>
    <t>2023.11.10</t>
  </si>
  <si>
    <t>우주이엔씨(주)</t>
  </si>
  <si>
    <t>건축사사무소희람</t>
  </si>
  <si>
    <t>소원면 의항리 978-36 숙박시설 및 근린생활시설</t>
  </si>
  <si>
    <t>충청남도 태안군 소원면 천리포2길 2</t>
  </si>
  <si>
    <t>2023.10.31</t>
  </si>
  <si>
    <t>2023.11.01</t>
  </si>
  <si>
    <t>정왕동 2042-15 숙박시설 (***)</t>
  </si>
  <si>
    <t>경기도 시흥시 오이도로 249-1 (정왕동)</t>
  </si>
  <si>
    <t>2022.04.07</t>
  </si>
  <si>
    <t>2023.10.27</t>
  </si>
  <si>
    <t>(주)진종합건설</t>
  </si>
  <si>
    <t>동윤건축사사무소</t>
  </si>
  <si>
    <t>바로건축사사무소</t>
  </si>
  <si>
    <t>엄사면 엄사리 177-3 숙박시설 (종단대순진리회성주회)</t>
  </si>
  <si>
    <t>충청남도 계룡시 엄사면 번영1길 6-5</t>
  </si>
  <si>
    <t>2023.10.22</t>
  </si>
  <si>
    <t>미당건축사사무소</t>
  </si>
  <si>
    <t>종단대순진리회성주회</t>
  </si>
  <si>
    <t>근화동 283-8 숙박시설</t>
  </si>
  <si>
    <t>강원특별자치도 춘천시 방송길36번길 73-5 (근화동)</t>
  </si>
  <si>
    <t>2023.10.10</t>
  </si>
  <si>
    <t>2023.10.20</t>
  </si>
  <si>
    <t>안면읍 승언리 254 [생활형숙박시설]</t>
  </si>
  <si>
    <t>충청남도 태안군 안면읍 문지2길 82</t>
  </si>
  <si>
    <t>2023.08.04</t>
  </si>
  <si>
    <t>2023.10.17</t>
  </si>
  <si>
    <t>(주)한승종합건설</t>
  </si>
  <si>
    <t>서림건축사사무소</t>
  </si>
  <si>
    <t>회랑건축사사무소</t>
  </si>
  <si>
    <t>조종면 운악리 418-102 숙박시설 ((주)진흥물산)</t>
  </si>
  <si>
    <t>경기도 가평군 조종면 운악리 418-102번지</t>
  </si>
  <si>
    <t>2021.10.06</t>
  </si>
  <si>
    <t>2023.10.16</t>
  </si>
  <si>
    <t>(주)인정종합건설</t>
  </si>
  <si>
    <t>성산읍 성산리 196-1 숙박시설 (***)</t>
  </si>
  <si>
    <t>제주특별자치도 서귀포시 성산읍 성산리 196-1번지</t>
  </si>
  <si>
    <t>2021.10.13</t>
  </si>
  <si>
    <t>2023.10.12</t>
  </si>
  <si>
    <t>오조건축사사무소</t>
  </si>
  <si>
    <t>안양면 기산리 642-3 숙박시설 (***)</t>
  </si>
  <si>
    <t>전라남도 장흥군 안양면 남부관광로 322</t>
  </si>
  <si>
    <t>2019.12.20</t>
  </si>
  <si>
    <t>2023.10.05</t>
  </si>
  <si>
    <t>강호종합건설(주)</t>
  </si>
  <si>
    <t>건축사사무소도담</t>
  </si>
  <si>
    <t>호미곶면 구만리 470 숙박시설</t>
  </si>
  <si>
    <t>경상북도 포항시 남구 호미곶면 구만길 188</t>
  </si>
  <si>
    <t>2023.07.07</t>
  </si>
  <si>
    <t>경일건설(주)</t>
  </si>
  <si>
    <t>홍익건축사사무소</t>
  </si>
  <si>
    <t>건축사사무소수건축</t>
  </si>
  <si>
    <t>(주)네옴</t>
  </si>
  <si>
    <t>용문면 조현리 293-4 생활숙박시설 신축공사</t>
  </si>
  <si>
    <t>경기도 양평군 용문면 장풍길46번길 11-8</t>
  </si>
  <si>
    <t>2023.08.09</t>
  </si>
  <si>
    <t>2023.09.16</t>
  </si>
  <si>
    <t>(주)그라지타운</t>
  </si>
  <si>
    <t>한결건축사사무소</t>
  </si>
  <si>
    <t>대동리 관광숙박시설</t>
  </si>
  <si>
    <t>경기도 파주시 탄현면 새오리로 167-19</t>
  </si>
  <si>
    <t>2021.09.16</t>
  </si>
  <si>
    <t>(주)어반씨앤디</t>
  </si>
  <si>
    <t>건축사사무소예담</t>
  </si>
  <si>
    <t>강동면 정동진리 453 (외 5필지) 생활형숙박시설</t>
  </si>
  <si>
    <t>강원특별자치도 강릉시 강동면 정동등명길 19</t>
  </si>
  <si>
    <t>2023.08.22</t>
  </si>
  <si>
    <t>2023.09.07</t>
  </si>
  <si>
    <t>2024.06.20</t>
  </si>
  <si>
    <t>솔건축사사무소</t>
  </si>
  <si>
    <t>하이면 월흥리 173-9 숙박시설 (주식회사미래로)</t>
  </si>
  <si>
    <t>경상남도 고성군 하이면 공룡로 318</t>
  </si>
  <si>
    <t>(주)수암종합건설</t>
  </si>
  <si>
    <t>(주)미래로</t>
  </si>
  <si>
    <t>용문면 연수리 275-1 숙박시설 (***)</t>
  </si>
  <si>
    <t>경기도 양평군 용문면 연수리 275-1번지</t>
  </si>
  <si>
    <t>2021.09.17</t>
  </si>
  <si>
    <t>2023.09.06</t>
  </si>
  <si>
    <t>건아토건(주)</t>
  </si>
  <si>
    <t>(주)제이앤피종합건축사사무소</t>
  </si>
  <si>
    <t>숙박시설(생활숙박시설) - 손규래</t>
  </si>
  <si>
    <t>경기도 가평군 조종면 연인산로474번길 91-102</t>
  </si>
  <si>
    <t>2023.09.01</t>
  </si>
  <si>
    <t>2023.09.04</t>
  </si>
  <si>
    <t>어물동 1330 관광숙박시설(호스텔)</t>
  </si>
  <si>
    <t>울산광역시 북구 동해안로 828 (어물동)</t>
  </si>
  <si>
    <t>2023.07.17</t>
  </si>
  <si>
    <t>가나종합건설(주)</t>
  </si>
  <si>
    <t>생활숙박시설및제2종근린생활시설 - 손규래</t>
  </si>
  <si>
    <t>경기도 가평군 조종면 연인산로474번길 91-104</t>
  </si>
  <si>
    <t>삼동면 동천리 숙박시설</t>
  </si>
  <si>
    <t>경상남도 남해군 삼동면 봉화금로 59-1</t>
  </si>
  <si>
    <t>(주)유씨엠</t>
  </si>
  <si>
    <t>(주)꿈꾸는아저씨남해</t>
  </si>
  <si>
    <t>노원동가 262-1 숙박시설</t>
  </si>
  <si>
    <t>대구광역시 북구 오봉로1길 25 (노원동2가)</t>
  </si>
  <si>
    <t>2023.08.29</t>
  </si>
  <si>
    <t>내외 건축사사무소</t>
  </si>
  <si>
    <t>을왕동 762-119 관광숙박시설(호스텔)-이혜석</t>
  </si>
  <si>
    <t>인천광역시 중구 용유서로348번길 12 (을왕동, 비치뷰하우스)</t>
  </si>
  <si>
    <t>2023.05.12</t>
  </si>
  <si>
    <t>2023.08.28</t>
  </si>
  <si>
    <t>(주)태원건설</t>
  </si>
  <si>
    <t>서면 오월리 214-3 숙박시설</t>
  </si>
  <si>
    <t>강원특별자치도 춘천시 서면 납실길 63-5</t>
  </si>
  <si>
    <t>2023.06.14</t>
  </si>
  <si>
    <t>2023.08.24</t>
  </si>
  <si>
    <t>2024.02.27</t>
  </si>
  <si>
    <t>(주)아이홈</t>
  </si>
  <si>
    <t>건축사사무소정미소</t>
  </si>
  <si>
    <t>서면 도둔리 1265 숙박시설 ((주)동일캔바스엔지니어링)</t>
  </si>
  <si>
    <t>충청남도 서천군 서면 춘장대길8번길 25</t>
  </si>
  <si>
    <t>2021.08.11</t>
  </si>
  <si>
    <t>2023.08.23</t>
  </si>
  <si>
    <t>2024.07.30</t>
  </si>
  <si>
    <t>(주)동일캔바스엔지니어링</t>
  </si>
  <si>
    <t>건축사사무소라인</t>
  </si>
  <si>
    <t>우리종합건축사사무소</t>
  </si>
  <si>
    <t>숙박시설(생활숙박) -이재현</t>
  </si>
  <si>
    <t>경기도 가평군 북면 가화로 1364-22</t>
  </si>
  <si>
    <t>2023.08.10</t>
  </si>
  <si>
    <t>2023.08.17</t>
  </si>
  <si>
    <t>2024.11.11</t>
  </si>
  <si>
    <t>옥천면 신복리 390-40 숙박시설 (***)</t>
  </si>
  <si>
    <t>경기도 양평군 옥천면 신복리 390-40번지</t>
  </si>
  <si>
    <t>2021.08.18</t>
  </si>
  <si>
    <t>희우건축사사무소</t>
  </si>
  <si>
    <t>노서동 130-10외2 숙박시설</t>
  </si>
  <si>
    <t>경상북도 경주시 태종로11번길 31 (노서동)</t>
  </si>
  <si>
    <t>(주)티제이컴퍼니</t>
  </si>
  <si>
    <t>성산읍 오조리 374 숙박시설및제2종근생(단독주택증축)</t>
  </si>
  <si>
    <t>제주특별자치도 서귀포시 성산읍 해맡이해안로 2746</t>
  </si>
  <si>
    <t>2023.06.13</t>
  </si>
  <si>
    <t>2023.08.14</t>
  </si>
  <si>
    <t>2024.04.23</t>
  </si>
  <si>
    <t>건축사사무소오성건축</t>
  </si>
  <si>
    <t>계림동 554-3 숙박시설&amp;근린생활시설 증축공사</t>
  </si>
  <si>
    <t>광주광역시 동구 무등로321번길 14-4 (계림동)</t>
  </si>
  <si>
    <t>2023.08.11</t>
  </si>
  <si>
    <t>2023.12.22</t>
  </si>
  <si>
    <t>새광주건축사사무소</t>
  </si>
  <si>
    <t>설악면 방일리 498 외 3 숙박시설 및 단독주택 (명오식 외 3인)</t>
  </si>
  <si>
    <t>경기도 가평군 설악면 유현로 1007-99</t>
  </si>
  <si>
    <t>2023.08.07</t>
  </si>
  <si>
    <t>화담종합건설</t>
  </si>
  <si>
    <t>서성동 숙박시설</t>
  </si>
  <si>
    <t>경상북도 상주시 서성길 39 (서성동)</t>
  </si>
  <si>
    <t>2023.07.20</t>
  </si>
  <si>
    <t>2023.07.27</t>
  </si>
  <si>
    <t>2023.10.23</t>
  </si>
  <si>
    <t>(주)남도</t>
  </si>
  <si>
    <t>동경건축사사무소</t>
  </si>
  <si>
    <t>남곡동 811-11 00숙박시설</t>
  </si>
  <si>
    <t>충청남도 보령시 해안로 333 (남곡동)</t>
  </si>
  <si>
    <t>2023.07.18</t>
  </si>
  <si>
    <t>(주)바르도종합건설</t>
  </si>
  <si>
    <t>가나건축사사무소</t>
  </si>
  <si>
    <t>(주)건우종합건축사사무소</t>
  </si>
  <si>
    <t>온천동 1464-4 숙박시설 (브라운도트호텔미남주식회사)</t>
  </si>
  <si>
    <t>부산광역시 동래구 미남로 100 (온천동)</t>
  </si>
  <si>
    <t>2023.07.26</t>
  </si>
  <si>
    <t>더근스건축사사무소</t>
  </si>
  <si>
    <t>어물리 생활형숙박시설</t>
  </si>
  <si>
    <t>충청남도 공주시 정안면 어물길 315</t>
  </si>
  <si>
    <t>2023.03.31</t>
  </si>
  <si>
    <t>2023.07.24</t>
  </si>
  <si>
    <t>동선건설(주)</t>
  </si>
  <si>
    <t>송림건축사사무소</t>
  </si>
  <si>
    <t>화도면 내리 2175 숙박시설 (주식회사케이앤에이치강화)</t>
  </si>
  <si>
    <t>인천광역시 강화군 화도면 내리 2175번지</t>
  </si>
  <si>
    <t>2021.06.17</t>
  </si>
  <si>
    <t>2023.07.21</t>
  </si>
  <si>
    <t>장학건설(주)</t>
  </si>
  <si>
    <t>태멘건축사사무소</t>
  </si>
  <si>
    <t>황도리 69 숙박시설</t>
  </si>
  <si>
    <t>충청남도 태안군 안면읍 풍어제길 44-47</t>
  </si>
  <si>
    <t>2023.07.14</t>
  </si>
  <si>
    <t>2023.11.24</t>
  </si>
  <si>
    <t>무풍면 삼거리251-2 숙박시설,근생,단독주택 신축 (***)</t>
  </si>
  <si>
    <t>전라북도 무주군 무풍면 구천동로 401</t>
  </si>
  <si>
    <t>레오플이공간건축사사무소</t>
  </si>
  <si>
    <t>화산리 숙박시설 신축공사</t>
  </si>
  <si>
    <t>경기도 용인시 처인구 이동읍 화산리 670-1번지</t>
  </si>
  <si>
    <t>2023.07.10</t>
  </si>
  <si>
    <t>(주)아이엠종합건설</t>
  </si>
  <si>
    <t>정음건축사사무소</t>
  </si>
  <si>
    <t>경기도 용인시 처인구 이동읍 화산리 664-11번지</t>
  </si>
  <si>
    <t>2021.02.26</t>
  </si>
  <si>
    <t>손양면 상양혈리 154-14 숙박시설 (주식회사 새서울레저)</t>
  </si>
  <si>
    <t>강원특별자치도 양양군 손양면 상양혈리 154-14번지</t>
  </si>
  <si>
    <t>2023.02.07</t>
  </si>
  <si>
    <t>(주)마노건설</t>
  </si>
  <si>
    <t>(주)간삼건축종합건축사사무소</t>
  </si>
  <si>
    <t>더블유에스피아시아리미티드</t>
  </si>
  <si>
    <t>(주)새서울레저</t>
  </si>
  <si>
    <t>대관령면 횡계리 3-19 숙박시설 (장대호,윤지영)</t>
  </si>
  <si>
    <t>강원특별자치도 평창군 대관령면 대관령마루길 365-8</t>
  </si>
  <si>
    <t>2023.06.23</t>
  </si>
  <si>
    <t>2023.07.03</t>
  </si>
  <si>
    <t>2023.09.22</t>
  </si>
  <si>
    <t>에이스건축사사무소</t>
  </si>
  <si>
    <t>조종면 운악리 162-56 숙박시설 (***) - 3</t>
  </si>
  <si>
    <t>경기도 가평군 조종면 운악리 산 162-56번지</t>
  </si>
  <si>
    <t>2021.07.01</t>
  </si>
  <si>
    <t>2023.06.29</t>
  </si>
  <si>
    <t>조종면 운악리 162-56 숙박시설 ((주)운악산에코랜드) - 4</t>
  </si>
  <si>
    <t>조종면 운악리 162-57 숙박시설 ((주)운악산에코랜드) - 5</t>
  </si>
  <si>
    <t>경기도 가평군 조종면 운악리 산 162-57번지</t>
  </si>
  <si>
    <t>조종면 운악리 162-57 숙박시설 운악산에코랜드-6</t>
  </si>
  <si>
    <t>조종면 운악리 162-57 숙박시설 ((주)운악산에코랜드) - 7</t>
  </si>
  <si>
    <t>조종면 운악리 162-57 숙박시설 ((주)운악산에코랜드) - 8</t>
  </si>
  <si>
    <t>조종면 운악리 162-56 숙박시설 ((주)운악산에코랜드) - 9</t>
  </si>
  <si>
    <t>조종면 운악리 162-56 숙박시설 ((주)운악산에코랜드) - 10</t>
  </si>
  <si>
    <t>조종면 운악리 162-57 숙박시설 ((주)운악산에코랜드) - 11</t>
  </si>
  <si>
    <t>조종면 운악리 162-57 숙박시설 ((주)운악산에코랜드) - 12</t>
  </si>
  <si>
    <t>조종면 운악리 162-57 숙박시설 ((주)운악산에코랜드) - 13</t>
  </si>
  <si>
    <t>조종면 운악리 162-56 숙박시설 ((주)운악산에코랜드) -14</t>
  </si>
  <si>
    <t>조종면 운악리 162-56 숙박시설 (주식회사 운악산에코랜드) - 1</t>
  </si>
  <si>
    <t>양동면 단석리 940-32 (홍혜경남 생활숙박시설)</t>
  </si>
  <si>
    <t>경기도 양평군 양동면 단석리 940-32번지</t>
  </si>
  <si>
    <t>2023.05.18</t>
  </si>
  <si>
    <t>2023.06.28</t>
  </si>
  <si>
    <t>(주)티더블유종합건설</t>
  </si>
  <si>
    <t>선우건축사사무소(주)</t>
  </si>
  <si>
    <t>숙박시설-생활숙박시설(관광농원) - 농업회사법인(주)초원관…</t>
  </si>
  <si>
    <t>경기도 가평군 조종면 현등사길 55-430</t>
  </si>
  <si>
    <t>신평면 매산리 1-255 숙박시설 2단지 (***)</t>
  </si>
  <si>
    <t>충청남도 당진시 신평면 매산리 1-255번지</t>
  </si>
  <si>
    <t>2022.12.08</t>
  </si>
  <si>
    <t>2023.06.21</t>
  </si>
  <si>
    <t>동경종합건설(주)</t>
  </si>
  <si>
    <t>종합건축사사무소도시공간</t>
  </si>
  <si>
    <t>(주)인터건축사사무소</t>
  </si>
  <si>
    <t>신평면 매산리 1-255 숙박시설 3단지(***)</t>
  </si>
  <si>
    <t>건원건축사사무소</t>
  </si>
  <si>
    <t>숙박시설 (***)</t>
  </si>
  <si>
    <t>강원특별자치도 횡성군 양흥면 상안리 298-4번지</t>
  </si>
  <si>
    <t>2021.06.21</t>
  </si>
  <si>
    <t>2023.06.20</t>
  </si>
  <si>
    <t>건축사사무소담아</t>
  </si>
  <si>
    <t>대신면 천남리 53 숙박시설</t>
  </si>
  <si>
    <t>경기도 여주시 대신면 천남2길 19-14</t>
  </si>
  <si>
    <t>2023.03.10</t>
  </si>
  <si>
    <t>(주)백영종합건설</t>
  </si>
  <si>
    <t>거진건축</t>
  </si>
  <si>
    <t>조천읍 교래리 숙박시설 (***)</t>
  </si>
  <si>
    <t>제주특별자치도 제주시 조천읍 교래4길 74</t>
  </si>
  <si>
    <t>2022.07.12</t>
  </si>
  <si>
    <t>건축사사무소삼우</t>
  </si>
  <si>
    <t>인터스텔라 4공구 생활형숙박시설</t>
  </si>
  <si>
    <t>강원특별자치도 춘천시 남면 소주고개로 238-14</t>
  </si>
  <si>
    <t>2023.06.09</t>
  </si>
  <si>
    <t>중원아이엔씨(주)</t>
  </si>
  <si>
    <t>(주)명성엠에스에이건축사사무소</t>
  </si>
  <si>
    <t>(주)가가이토</t>
  </si>
  <si>
    <t>인천 검단신도시 101 역세권 개발사업 C9-2블록 숙박시설</t>
  </si>
  <si>
    <t>인천광역시 검단구 원당동 블록</t>
  </si>
  <si>
    <t>롯데건설(주)</t>
  </si>
  <si>
    <t>(주)건축사사무소광장</t>
  </si>
  <si>
    <t>(주)정림씨엠건축사사무소</t>
  </si>
  <si>
    <t>넥스트브이시티피에프브이(주)</t>
  </si>
  <si>
    <t>철골콘크리트…</t>
  </si>
  <si>
    <t>홍천읍 삼마치리 890-38 생활숙박시설</t>
  </si>
  <si>
    <t>강원특별자치도 홍천군 홍천읍 독골길 52-16</t>
  </si>
  <si>
    <t>2023.04.19</t>
  </si>
  <si>
    <t>2023.06.05</t>
  </si>
  <si>
    <t>(주)스테이빌리티</t>
  </si>
  <si>
    <t>병곡면 병곡리 4 숙박시설 (***)</t>
  </si>
  <si>
    <t>2023.05.31</t>
  </si>
  <si>
    <t>고남면 고남리 434-3 숙박시설</t>
  </si>
  <si>
    <t>충청남도 태안군 고남면 안수길 55-4</t>
  </si>
  <si>
    <t>2023.05.17</t>
  </si>
  <si>
    <t>2023.08.01</t>
  </si>
  <si>
    <t>고남면 장곡리 636-3 생활형 숙박시설</t>
  </si>
  <si>
    <t>충청남도 태안군 고남면 장곡리 636-3번지</t>
  </si>
  <si>
    <t>2022.10.27</t>
  </si>
  <si>
    <t>명진종합건설(주)</t>
  </si>
  <si>
    <t>광안동 158-61 관광숙박시설(호스텔)</t>
  </si>
  <si>
    <t>부산광역시 수영구 광안로 51 (광안동)</t>
  </si>
  <si>
    <t>2023.05.08</t>
  </si>
  <si>
    <t>2024.08.20</t>
  </si>
  <si>
    <t>월인천강(주)</t>
  </si>
  <si>
    <t>건축사사무소엠오씨</t>
  </si>
  <si>
    <t>종합건축사사무소준우</t>
  </si>
  <si>
    <t>삼덕동 숙박시설</t>
  </si>
  <si>
    <t>대구광역시 중구 동성로5길 66 (삼덕동1가)</t>
  </si>
  <si>
    <t>2023.05.02</t>
  </si>
  <si>
    <t>미림종합건설(주)</t>
  </si>
  <si>
    <t>건축사사무소원형디앤씨</t>
  </si>
  <si>
    <t>(주)호텔에이유</t>
  </si>
  <si>
    <t>숙박시설 및 제1,2종근린생활시설 - (***)</t>
  </si>
  <si>
    <t>경기도 가평군 가평읍 태봉두밀로 496</t>
  </si>
  <si>
    <t>2023.05.10</t>
  </si>
  <si>
    <t>2023.05.16</t>
  </si>
  <si>
    <t>아르네브큐브 생활형숙박시설</t>
  </si>
  <si>
    <t>경기도 안산시 단원구 엠티브이17로 7 (성곡동)</t>
  </si>
  <si>
    <t>2023.01.19</t>
  </si>
  <si>
    <t>2025.04.07</t>
  </si>
  <si>
    <t>(주)태룡건설</t>
  </si>
  <si>
    <t>태아건축사사무소</t>
  </si>
  <si>
    <t>(주)티케이디엔씨</t>
  </si>
  <si>
    <t>설악 설곡리 736-4 숙박시설 (***)</t>
  </si>
  <si>
    <t>경기도 가평군 설악면 설곡리 736-4번지</t>
  </si>
  <si>
    <t>2021.05.28</t>
  </si>
  <si>
    <t>2023.05.11</t>
  </si>
  <si>
    <t>(주)청우개발종합건설</t>
  </si>
  <si>
    <t>건축사무소명성</t>
  </si>
  <si>
    <t>부면 청부리 718-39 숙박시설</t>
  </si>
  <si>
    <t>2022.12.27</t>
  </si>
  <si>
    <t>(주)미강건설</t>
  </si>
  <si>
    <t>건축사사무소아삼공</t>
  </si>
  <si>
    <t>옹진동 325-11 숙박시설(공주시)</t>
  </si>
  <si>
    <t>충청남도 공주시 관광단지길 12 (옹진동)</t>
  </si>
  <si>
    <t>(주)다올건설산업</t>
  </si>
  <si>
    <t>(주)한창건축사사무소</t>
  </si>
  <si>
    <t>(주)종합건축사사무소근정</t>
  </si>
  <si>
    <t>용문면 연수리 5-6 숙박시설 (***)</t>
  </si>
  <si>
    <t>경기도 양평군 용문면 연수로252번길 10-40</t>
  </si>
  <si>
    <t>2023.05.04</t>
  </si>
  <si>
    <t>금남면 계천리 470-1 숙박시설</t>
  </si>
  <si>
    <t>경상남도 하동군 금남면 계천리 470-1번지</t>
  </si>
  <si>
    <t>2023.03.27</t>
  </si>
  <si>
    <t>대림건설(주)</t>
  </si>
  <si>
    <t>건축사사무소맥</t>
  </si>
  <si>
    <t>건축사사무소오름</t>
  </si>
  <si>
    <t>청송읍 부곡리 356-50 숙박시설 (***)</t>
  </si>
  <si>
    <t>경상북도 청송군 청송읍 부곡리 356-50번지</t>
  </si>
  <si>
    <t>2022.05.19</t>
  </si>
  <si>
    <t>대화건설산업(주)</t>
  </si>
  <si>
    <t>건축사사무소마을건축</t>
  </si>
  <si>
    <t>애플건축사사무소</t>
  </si>
  <si>
    <t>애월읍 고성리 105-5 숙박시설</t>
  </si>
  <si>
    <t>제주특별자치도 제주시 애월읍 고성길 61</t>
  </si>
  <si>
    <t>2023.01.18</t>
  </si>
  <si>
    <t>청도종합건설(주)</t>
  </si>
  <si>
    <t>건축사사무소히아</t>
  </si>
  <si>
    <t>숙박시설(생활숙박시설) - 명스빌리지(주)</t>
  </si>
  <si>
    <t>경기도 가평군 조종면 운악리 419-23번지</t>
  </si>
  <si>
    <t>2023.03.17</t>
  </si>
  <si>
    <t>소원면 모항리 1398 숙박시설 (안효근,안현근)</t>
  </si>
  <si>
    <t>충청남도 태안군 소원면 서해로 20-9[*미고시]</t>
  </si>
  <si>
    <t>2023.04.26</t>
  </si>
  <si>
    <t>(주)나린건설</t>
  </si>
  <si>
    <t>조종면 마일리 311-1 숙박시설</t>
  </si>
  <si>
    <t>경기도 가평군 조종면 연산로474번길 47-77</t>
  </si>
  <si>
    <t>2022.11.18</t>
  </si>
  <si>
    <t>2023.04.21</t>
  </si>
  <si>
    <t>2025.03.16</t>
  </si>
  <si>
    <t>선명건설(주)</t>
  </si>
  <si>
    <t>동천동 799-5 숙박시설</t>
  </si>
  <si>
    <t>경상북도 경주시 양정로225번길 29 (동천동)</t>
  </si>
  <si>
    <t>2023.04.05</t>
  </si>
  <si>
    <t>2023.04.18</t>
  </si>
  <si>
    <t>(주)홍안개발</t>
  </si>
  <si>
    <t>덕월동 1251-2 관광숙박시설</t>
  </si>
  <si>
    <t>전라남도 순천시 상호길 130 (덕월동)</t>
  </si>
  <si>
    <t>2023.04.10</t>
  </si>
  <si>
    <t>2023.04.17</t>
  </si>
  <si>
    <t>2023.08.30</t>
  </si>
  <si>
    <t>기흥건축사사무소</t>
  </si>
  <si>
    <t>숙박시설 (자바주식회사)</t>
  </si>
  <si>
    <t>강원특별자치도 홍천군 홍천읍 열산골 33-13</t>
  </si>
  <si>
    <t>2023.04.12</t>
  </si>
  <si>
    <t>(주)조영건설</t>
  </si>
  <si>
    <t>건축사사무소성우</t>
  </si>
  <si>
    <t>마장면 이치리 55-4 관광농원 숙박시설</t>
  </si>
  <si>
    <t>경기도 이천시 마장면 이장로 38-22</t>
  </si>
  <si>
    <t>(주)윤강종합건설</t>
  </si>
  <si>
    <t>청현건축사사무소</t>
  </si>
  <si>
    <t>농업회사법인 인디커뮤니티(주)</t>
  </si>
  <si>
    <t>석문면 교로리 768-1 생활숙박시설 ((주)엘에스건설개발) 1…</t>
  </si>
  <si>
    <t>충청남도 당진시 석문면 새터길 43-21</t>
  </si>
  <si>
    <t>2023.04.06</t>
  </si>
  <si>
    <t>(주)엘제이종합건설</t>
  </si>
  <si>
    <t>(주)나라종합건축사사무소</t>
  </si>
  <si>
    <t>(주)엘에스건설개발</t>
  </si>
  <si>
    <t>석문면 교로리 768-1 생활숙박시설 ((주)엘에스건설개발) 2…</t>
  </si>
  <si>
    <t>2024.09.09</t>
  </si>
  <si>
    <t>생활숙박시설</t>
  </si>
  <si>
    <t>경기도 가평군 조종면 운악청로 238-38</t>
  </si>
  <si>
    <t>2023.04.04</t>
  </si>
  <si>
    <t>(주)오케이종합건설</t>
  </si>
  <si>
    <t>월드건축사사무소</t>
  </si>
  <si>
    <t>청평면 삼회리 188-1 숙박시설 ((주)이스페이스)</t>
  </si>
  <si>
    <t>경기도 가평군 청평면 삼회리 188-1번지</t>
  </si>
  <si>
    <t>2021.04.05</t>
  </si>
  <si>
    <t>사천읍 수석리 268-23 숙박시설</t>
  </si>
  <si>
    <t>경상남도 사천시 사천읍 진삼로 1477-14</t>
  </si>
  <si>
    <t>2023.03.30</t>
  </si>
  <si>
    <t>2023.04.20</t>
  </si>
  <si>
    <t>조은허기윤건축사사무소</t>
  </si>
  <si>
    <t>용문면 마룡리 179-2 관광숙박시설</t>
  </si>
  <si>
    <t>경기도 양평군 용문면 마룡리 179-2번지</t>
  </si>
  <si>
    <t>2022.11.03</t>
  </si>
  <si>
    <t>(주)태림건설</t>
  </si>
  <si>
    <t>(주)크리트건축사사무소</t>
  </si>
  <si>
    <t>포인트컨설팅(주)</t>
  </si>
  <si>
    <t>남면 평산리 1081 생활숙박시설(A단지)</t>
  </si>
  <si>
    <t>경상남도 남해군 남면 평산리 1081번지</t>
  </si>
  <si>
    <t>2023.02.20</t>
  </si>
  <si>
    <t>2023.03.29</t>
  </si>
  <si>
    <t>(주)정원</t>
  </si>
  <si>
    <t>건축사사무소가토</t>
  </si>
  <si>
    <t>가평읍 복장리 66-6 숙박시설 (주식회사아아난티)</t>
  </si>
  <si>
    <t>경기도 가평군 가평읍 복장리 66-6번지</t>
  </si>
  <si>
    <t>2022.05.16</t>
  </si>
  <si>
    <t>(주)아난티</t>
  </si>
  <si>
    <t>(주)에스케이엠건축사사무소</t>
  </si>
  <si>
    <t>(주)이앤건축사사무소</t>
  </si>
  <si>
    <t>기성면 망양리 88 숙박시설</t>
  </si>
  <si>
    <t>경상북도 울진군 기성면 당양1길 22-7</t>
  </si>
  <si>
    <t>2023.02.21</t>
  </si>
  <si>
    <t>지인종합건설(주)</t>
  </si>
  <si>
    <t>(주)에스제이커뮤니케이션</t>
  </si>
  <si>
    <t>2025.01.03</t>
  </si>
  <si>
    <t>거성종합건설(주)</t>
  </si>
  <si>
    <t>(주)건축사사무소수목씨에스티</t>
  </si>
  <si>
    <t>북면 제령리 514-3 숙박시설 (***)</t>
  </si>
  <si>
    <t>경기도 가평군 북면 꽃넘이길 72</t>
  </si>
  <si>
    <t>2023.01.11</t>
  </si>
  <si>
    <t>2023.10.11</t>
  </si>
  <si>
    <t>(주)고성종합건설</t>
  </si>
  <si>
    <t>을왕동 742-12 숙박시설 (***)</t>
  </si>
  <si>
    <t>인천광역시 중구 용유서로302번길 23 (을왕동)</t>
  </si>
  <si>
    <t>2022.04.12</t>
  </si>
  <si>
    <t>팀이십일건축사사무소</t>
  </si>
  <si>
    <t>현남면 지리 103-32 숙박시설</t>
  </si>
  <si>
    <t>강원특별자치도 양양군 현남면 방축골길 15-7</t>
  </si>
  <si>
    <t>2021.04.19</t>
  </si>
  <si>
    <t>(주)메딕콘</t>
  </si>
  <si>
    <t>(주)종합건축사사무소도원</t>
  </si>
  <si>
    <t>상면 상동리 184-3 숙박시설 (***)</t>
  </si>
  <si>
    <t>경기도 가평군 상면 둔덕왕길 13-30</t>
  </si>
  <si>
    <t>2022.11.09</t>
  </si>
  <si>
    <t>2023.03.23</t>
  </si>
  <si>
    <t>2024.02.05</t>
  </si>
  <si>
    <t>충청남도 태안군 고남면 만수길 55-4</t>
  </si>
  <si>
    <t>2023.03.20</t>
  </si>
  <si>
    <t>2023.04.25</t>
  </si>
  <si>
    <t>상관면 신리 347 생활형숙박시설</t>
  </si>
  <si>
    <t>전북특별자치도 완주군 상관면 상관소양로 112</t>
  </si>
  <si>
    <t>2023.10.24</t>
  </si>
  <si>
    <t>(주)에스종합건설</t>
  </si>
  <si>
    <t>진영건축사사무소</t>
  </si>
  <si>
    <t>울릉읍 사동리 469 숙박시설</t>
  </si>
  <si>
    <t>경상북도 울릉군 울릉읍 죽전2길 22</t>
  </si>
  <si>
    <t>탑종합건설(주)</t>
  </si>
  <si>
    <t>고창읍 석정리 745-7 숙박시설 (서울시니어스타워(주)고창…)</t>
  </si>
  <si>
    <t>전북특별자치도 고창군 고창읍 석정로 233-47</t>
  </si>
  <si>
    <t>2022.05.03</t>
  </si>
  <si>
    <t>2023.03.16</t>
  </si>
  <si>
    <t>(유)경성종합건설</t>
  </si>
  <si>
    <t>건축사사무소엘</t>
  </si>
  <si>
    <t>(주)아키맥엠아이건축사사무소</t>
  </si>
  <si>
    <t>돌산읍 평사리 1266-45 관광숙박시설 (주원산업개발주식회…)</t>
  </si>
  <si>
    <t>전라남도 여수시 돌산읍 평사리 1266-45번지</t>
  </si>
  <si>
    <t>2021.03.18</t>
  </si>
  <si>
    <t>2023.03.13</t>
  </si>
  <si>
    <t>부광종합건설(주)</t>
  </si>
  <si>
    <t>건축사사무소대경</t>
  </si>
  <si>
    <t>주원산업개발(주)</t>
  </si>
  <si>
    <t>가평 복장리 80-10 숙박시설 (주식회사 북강개발)</t>
  </si>
  <si>
    <t>경기도 가평군 가평읍 호반로 1627-91</t>
  </si>
  <si>
    <t>2022.09.05</t>
  </si>
  <si>
    <t>2023.03.09</t>
  </si>
  <si>
    <t>(주)레츠종합건설</t>
  </si>
  <si>
    <t>울릉읍 저동리 447-9 숙박시설 (***)</t>
  </si>
  <si>
    <t>경상북도 울릉군 울릉읍 저동길 71-7</t>
  </si>
  <si>
    <t>2022.04.05</t>
  </si>
  <si>
    <t>일우종합건설(주)</t>
  </si>
  <si>
    <t>케이이아이건축사사무소</t>
  </si>
  <si>
    <t>신경도건축사사무소</t>
  </si>
  <si>
    <t>돌산읍 평사리 1405-7 숙박시설</t>
  </si>
  <si>
    <t>전라남도 여수시 돌산읍 진모길 29-28</t>
  </si>
  <si>
    <t>2023.02.06</t>
  </si>
  <si>
    <t>2023.03.03</t>
  </si>
  <si>
    <t>왕우건설(주)</t>
  </si>
  <si>
    <t>(주)건축사사무소휴먼앤스페이스</t>
  </si>
  <si>
    <t>죽왕면 문암진리 186-11 생활숙박시설</t>
  </si>
  <si>
    <t>강원특별자치도 고성군 죽왕면 천학정길 61</t>
  </si>
  <si>
    <t>2022.11.07</t>
  </si>
  <si>
    <t>2023.03.02</t>
  </si>
  <si>
    <t>(주)동구종합건설</t>
  </si>
  <si>
    <t>수건축사사무소</t>
  </si>
  <si>
    <t>대월면 장평리 숙박시설 신축공사</t>
  </si>
  <si>
    <t>경기도 이천시 대월면 대평로 600</t>
  </si>
  <si>
    <t>2023.02.09</t>
  </si>
  <si>
    <t>2023.02.22</t>
  </si>
  <si>
    <t>(주)제이케이건설</t>
  </si>
  <si>
    <t>(주)제이케이건축사사무소</t>
  </si>
  <si>
    <t>축산면 축산리 86-17 숙박시설</t>
  </si>
  <si>
    <t>경상북도 영덕군 축산면 축산형4길 15-1</t>
  </si>
  <si>
    <t>2023.02.13</t>
  </si>
  <si>
    <t>2023.02.17</t>
  </si>
  <si>
    <t>삼전건축사사무소</t>
  </si>
  <si>
    <t>영덕읍 대부리 생활숙박시설</t>
  </si>
  <si>
    <t>2022.09.23</t>
  </si>
  <si>
    <t>(주)대록종합건설</t>
  </si>
  <si>
    <t>(주)보정건축사사무소</t>
  </si>
  <si>
    <t>(주)대한</t>
  </si>
  <si>
    <t>선구동 81-24 숙박시설</t>
  </si>
  <si>
    <t>경상남도 사천시 수남길 33 (선구동)</t>
  </si>
  <si>
    <t>2023.02.14</t>
  </si>
  <si>
    <t>2023.06.01</t>
  </si>
  <si>
    <t>(주)수안건축사사무소</t>
  </si>
  <si>
    <t>숙박시설 및 야영장시설 (***)</t>
  </si>
  <si>
    <t>경기도 가평군 청평면 북한강로 1623-13</t>
  </si>
  <si>
    <t>2023.02.10</t>
  </si>
  <si>
    <t>문경읍 하초리 362-8 숙박시설</t>
  </si>
  <si>
    <t>경상북도 문경시 문경읍 새재1길 45-2</t>
  </si>
  <si>
    <t>2023.11.28</t>
  </si>
  <si>
    <t>(주)신문명건설</t>
  </si>
  <si>
    <t>건축사사무소이원</t>
  </si>
  <si>
    <t>문경건축사사무소</t>
  </si>
  <si>
    <t>(주)엠엘에스</t>
  </si>
  <si>
    <t>토성면 봉포리 292-4 숙박시설 및 근린생활시설 (***)</t>
  </si>
  <si>
    <t>강원특별자치도 고성군 토성면 토성로 111-5</t>
  </si>
  <si>
    <t>2022.09.19</t>
  </si>
  <si>
    <t>2023.02.02</t>
  </si>
  <si>
    <t>(주)이에코건설</t>
  </si>
  <si>
    <t>건축사사무소사무소아홉칸</t>
  </si>
  <si>
    <t>동송읍 장흥리 20-20 숙박시설 (주식회사 귀뚜라미)</t>
  </si>
  <si>
    <t>강원특별자치도 철원군 동송읍 태봉로 1799-22</t>
  </si>
  <si>
    <t>2023.01.20</t>
  </si>
  <si>
    <t>2025.11.07</t>
  </si>
  <si>
    <t>지성건설(주)</t>
  </si>
  <si>
    <t>강건축사사무소</t>
  </si>
  <si>
    <t>웅치면 강산리 860-27 숙박시설 (***)</t>
  </si>
  <si>
    <t>전라남도 보성군 웅치면 대산길 8</t>
  </si>
  <si>
    <t>2022.10.07</t>
  </si>
  <si>
    <t>2024.03.15</t>
  </si>
  <si>
    <t>(주)일루종합건설</t>
  </si>
  <si>
    <t>디에이지건축사사무소</t>
  </si>
  <si>
    <t>기타구조,철…</t>
  </si>
  <si>
    <t>이도일동 1466-1 숙박시설 ((주)원탑건설)</t>
  </si>
  <si>
    <t>제주특별자치도 제주시 이도일동 1466-1번지</t>
  </si>
  <si>
    <t>2022.07.18</t>
  </si>
  <si>
    <t>네스트종합건설(주)</t>
  </si>
  <si>
    <t>(주)태광종합건축사사무소</t>
  </si>
  <si>
    <t>원탑건설(주)</t>
  </si>
  <si>
    <t>노서동 117-10 숙박시설</t>
  </si>
  <si>
    <t>경상북도 경주시 태종로727번길 19 (노서동)</t>
  </si>
  <si>
    <t>2022.12.20</t>
  </si>
  <si>
    <t>2023.01.12</t>
  </si>
  <si>
    <t>(주)코브건설</t>
  </si>
  <si>
    <t>건축사사무소예장</t>
  </si>
  <si>
    <t>구좌읍 송당리 1885-1 숙박시설 (***)</t>
  </si>
  <si>
    <t>제주특별자치도 제주시 구좌읍 비자림로 1772</t>
  </si>
  <si>
    <t>2022.11.02</t>
  </si>
  <si>
    <t>2023.01.10</t>
  </si>
  <si>
    <t>선진종합건설(주)</t>
  </si>
  <si>
    <t>고태하건축사사무소</t>
  </si>
  <si>
    <t>호미곶면 구만리 474-8 숙박시설</t>
  </si>
  <si>
    <t>경상북도 포항시 남구 호미곶면 구만길 200</t>
  </si>
  <si>
    <t>2022.09.29</t>
  </si>
  <si>
    <t>2023.01.06</t>
  </si>
  <si>
    <t>2024.11.26</t>
  </si>
  <si>
    <t>동인종합건설(주)</t>
  </si>
  <si>
    <t>이정건축사사무소</t>
  </si>
  <si>
    <t>금아건축사사무소</t>
  </si>
  <si>
    <t>현북면 하광정리 381-2 숙박시설 (***)</t>
  </si>
  <si>
    <t>강원특별자치도 양양군 현북면 하조대2길 48-113</t>
  </si>
  <si>
    <t>2023.01.04</t>
  </si>
  <si>
    <t>(주)플랜비종합건설</t>
  </si>
  <si>
    <t>산하동 1023-5 숙박시설 ((주)크레센트문)</t>
  </si>
  <si>
    <t>울산광역시 북구 산하중앙1로 39 (산하동)</t>
  </si>
  <si>
    <t>2023.01.02</t>
  </si>
  <si>
    <t>2023.09.11</t>
  </si>
  <si>
    <t>(주)에이치에스종합건설</t>
  </si>
  <si>
    <t>건우건축사사무소</t>
  </si>
  <si>
    <t>브릭치즈건축사사무소</t>
  </si>
  <si>
    <t>(주)크레센트문</t>
  </si>
  <si>
    <t>청계면 복길리 128-6 숙박시설</t>
  </si>
  <si>
    <t>전라남도 무안군 청계면 복길로 450-46</t>
  </si>
  <si>
    <t>2022.12.28</t>
  </si>
  <si>
    <t>(주)미교종합건설</t>
  </si>
  <si>
    <t>탑건축사사무소</t>
  </si>
  <si>
    <t>경량철골구조…</t>
  </si>
  <si>
    <t>공단동 205 숙박시설 (주식회사비에스)</t>
  </si>
  <si>
    <t>경상북도 구미시 1공단로5길 86-15 (공단동)</t>
  </si>
  <si>
    <t>(주)지상종합건설</t>
  </si>
  <si>
    <t>신무유건축사사무소</t>
  </si>
  <si>
    <t>건축사사무소효성</t>
  </si>
  <si>
    <t>(주)제이엠씨글로벌</t>
  </si>
  <si>
    <t>안덕면 덕수리 1476-1 숙박시설 (***)</t>
  </si>
  <si>
    <t>제주특별자치도 서귀포시 안덕면 평화로319번길 137-5</t>
  </si>
  <si>
    <t>2022.12.07</t>
  </si>
  <si>
    <t>(주)화신건설</t>
  </si>
  <si>
    <t>건축사사무소건축마당</t>
  </si>
  <si>
    <t>(주)에프엠디컴퍼니</t>
  </si>
  <si>
    <t>토성면 성천리 6-2 숙박시설</t>
  </si>
  <si>
    <t>강원특별자치도 고성군 토성면 성천리 6-2번지</t>
  </si>
  <si>
    <t>2022.10.28</t>
  </si>
  <si>
    <t>2022.12.21</t>
  </si>
  <si>
    <t>흥익건설(주)</t>
  </si>
  <si>
    <t>(주)삼솔건축사사무소</t>
  </si>
  <si>
    <t>일반철골구조…</t>
  </si>
  <si>
    <t>신온리 생활숙박시설</t>
  </si>
  <si>
    <t>충청남도 태안군 남면 안면대로 1711-55</t>
  </si>
  <si>
    <t>2022.08.31</t>
  </si>
  <si>
    <t>(주)동성종합건설</t>
  </si>
  <si>
    <t>아람건축사사무소</t>
  </si>
  <si>
    <t>산외면 희곡리 780 숙박시설</t>
  </si>
  <si>
    <t>경상남도 밀양시 산외면 밀양대로 3377</t>
  </si>
  <si>
    <t>2022.11.15</t>
  </si>
  <si>
    <t>2022.12.09</t>
  </si>
  <si>
    <t>(주)퍼스트종합건설</t>
  </si>
  <si>
    <t>로운건축사 사무소</t>
  </si>
  <si>
    <t>(주)앨담</t>
  </si>
  <si>
    <t>자룡리 숙박시설</t>
  </si>
  <si>
    <t>전북특별자치도 고창군 심하면 진암구시포로 361-38</t>
  </si>
  <si>
    <t>2021.07.29</t>
  </si>
  <si>
    <t>2026.05.27</t>
  </si>
  <si>
    <t>금강건축사사무소</t>
  </si>
  <si>
    <t>흥해읍 죽천리 77 숙박시설 (***)</t>
  </si>
  <si>
    <t>경상북도 포항시 북구 흥해읍 죽천리 117</t>
  </si>
  <si>
    <t>상지종합건설(주)</t>
  </si>
  <si>
    <t>건축사사무소탑</t>
  </si>
  <si>
    <t>덕산면 신평리 117-4번지 숙박시설(무인텔B)</t>
  </si>
  <si>
    <t>충청남도 예산군 덕산면 수암산로 188-28</t>
  </si>
  <si>
    <t>2022.07.15</t>
  </si>
  <si>
    <t>2022.12.06</t>
  </si>
  <si>
    <t>2023.09.13</t>
  </si>
  <si>
    <t>(주)디제이종합건설</t>
  </si>
  <si>
    <t>홍성건축사사무소</t>
  </si>
  <si>
    <t>공간건축사사무소</t>
  </si>
  <si>
    <t>(주)비상</t>
  </si>
  <si>
    <t>덕산면 신평리 117-3번지 외 1필지 숙박시설(무인텔C)</t>
  </si>
  <si>
    <t>충청남도 예산군 덕산면 수암산로 188-30</t>
  </si>
  <si>
    <t>세움건축사사무소</t>
  </si>
  <si>
    <t>가양동 451-3 번지 숙박시설</t>
  </si>
  <si>
    <t>대전광역시 동구 동서대로 1700 (가양동)</t>
  </si>
  <si>
    <t>2022.11.01</t>
  </si>
  <si>
    <t>2022.12.05</t>
  </si>
  <si>
    <t>일성종합건설(주)</t>
  </si>
  <si>
    <t>(주)건축사사무소이노건축</t>
  </si>
  <si>
    <t>호텔선샤인</t>
  </si>
  <si>
    <t>안덕면 광평리 15-1 숙박시설 (씨제이대한통운(주)클럽나인…)</t>
  </si>
  <si>
    <t>제주특별자치도 서귀포시 안덕면 광평로 34-156</t>
  </si>
  <si>
    <t>2022.12.02</t>
  </si>
  <si>
    <t>씨제이대한통운(주)</t>
  </si>
  <si>
    <t>(주)아뜰리에일일건축사사무소</t>
  </si>
  <si>
    <t>금성면 대성리 24 생활형 숙박시설</t>
  </si>
  <si>
    <t>전라남도 담양군 금성면 금성산성길 280</t>
  </si>
  <si>
    <t>2022.05.20</t>
  </si>
  <si>
    <t>2022.11.30</t>
  </si>
  <si>
    <t>대진건축사사무소</t>
  </si>
  <si>
    <t>건축사사무소에이디그룹에스아이엠</t>
  </si>
  <si>
    <t>(주)라도산업</t>
  </si>
  <si>
    <t>북면 백둔리 66 숙박시설 (***)</t>
  </si>
  <si>
    <t>경기도 가평군 북면 백둔로133번길 63</t>
  </si>
  <si>
    <t>2022.07.26</t>
  </si>
  <si>
    <t>2022.11.29</t>
  </si>
  <si>
    <t>제이풀건설(주)</t>
  </si>
  <si>
    <t>(주)케이와이케이건축사사무소</t>
  </si>
  <si>
    <t>(주)제이풀씨엠건축사사무소</t>
  </si>
  <si>
    <t>서면 작장리 551 숙박시설 (스타클래스유한회사)</t>
  </si>
  <si>
    <t>경상남도 남해군 서면 남서대로 1965-54</t>
  </si>
  <si>
    <t>하이종합건설(주)</t>
  </si>
  <si>
    <t>종합건축사사무소상상인</t>
  </si>
  <si>
    <t>장문호건축사사무소</t>
  </si>
  <si>
    <t>스타클래스(유)</t>
  </si>
  <si>
    <t>농암면 내서리 257-2 숙박시설 (에스티엑스리조트주식회사)</t>
  </si>
  <si>
    <t>경상북도 문경시 농암면 청화로 509</t>
  </si>
  <si>
    <t>에스티엑스리조트(주)</t>
  </si>
  <si>
    <t>울릉읍 도동리 181-3 숙박시설 (***)</t>
  </si>
  <si>
    <t>경상북도 울릉군 울릉읍 도동3길 20</t>
  </si>
  <si>
    <t>2023.12.13</t>
  </si>
  <si>
    <t>청계면 서호리 934-4 숙박시설 (남화산업(***))</t>
  </si>
  <si>
    <t>전라남도 무안군 청계면 서호로 300</t>
  </si>
  <si>
    <t>2022.02.24</t>
  </si>
  <si>
    <t>2022.11.24</t>
  </si>
  <si>
    <t>남화토건(주)</t>
  </si>
  <si>
    <t>대영건축사사무소</t>
  </si>
  <si>
    <t>남화산업(주)</t>
  </si>
  <si>
    <t>목구조,철근…</t>
  </si>
  <si>
    <t>라떼 숙박시설</t>
  </si>
  <si>
    <t>경기도 양평군 서종면 꽃대울2길 15</t>
  </si>
  <si>
    <t>2022.11.23</t>
  </si>
  <si>
    <t>2023.12.06</t>
  </si>
  <si>
    <t>(주)대연종합건설</t>
  </si>
  <si>
    <t>일이삼건축사사무소</t>
  </si>
  <si>
    <t>(주)라떼</t>
  </si>
  <si>
    <t>강하면 동오리 496 숙박시설</t>
  </si>
  <si>
    <t>경기도 양평군 강하면 동문3길 22-13</t>
  </si>
  <si>
    <t>2022.11.16</t>
  </si>
  <si>
    <t>(주)오름</t>
  </si>
  <si>
    <t>건축사사무소더문</t>
  </si>
  <si>
    <t>양동면 매월리 963-3 숙박시설 (염승현)</t>
  </si>
  <si>
    <t>경기도 양평군 양동면 월운길 104-39</t>
  </si>
  <si>
    <t>우현건축사사무소(주)</t>
  </si>
  <si>
    <t>근덕면 초곡리 257-6 외 1필지 숙박시설(***)</t>
  </si>
  <si>
    <t>강원특별자치도 삼척시 근덕면 초곡길 329</t>
  </si>
  <si>
    <t>2022.11.22</t>
  </si>
  <si>
    <t>2023.12.07</t>
  </si>
  <si>
    <t>(주)원서건설</t>
  </si>
  <si>
    <t>건축사사무소성지</t>
  </si>
  <si>
    <t>건축사사무소가온해</t>
  </si>
  <si>
    <t>상면 상동리 370000 숙박시설 (에이피엘시스템(***))</t>
  </si>
  <si>
    <t>경기도 가평군 상면 도야울길 88-33</t>
  </si>
  <si>
    <t>(주)예다인건축사사무소</t>
  </si>
  <si>
    <t>에이피엘시스템(주)</t>
  </si>
  <si>
    <t>화북면 입석리 360-42 숙박시설 (학교법인대진교육재단)</t>
  </si>
  <si>
    <t>경상북도 상주시 화북면 입석1길 68</t>
  </si>
  <si>
    <t>득우건설(주)</t>
  </si>
  <si>
    <t>태성건축사사무소</t>
  </si>
  <si>
    <t>신우건축사사무소</t>
  </si>
  <si>
    <t>화북면 입석리 360-33 숙박시설 (학교법인대신교육재단)</t>
  </si>
  <si>
    <t>경상북도 상주시 화북면 입석1길 71</t>
  </si>
  <si>
    <t>생림면 나전리 25 숙박시설 (덴바스타랜드(***))</t>
  </si>
  <si>
    <t>경상남도 김해시 생림면 인제로 545-20</t>
  </si>
  <si>
    <t>2022.11.13</t>
  </si>
  <si>
    <t>(주)디자인이스트</t>
  </si>
  <si>
    <t>건축사사무소오산</t>
  </si>
  <si>
    <t>덴바스타랜드(주)</t>
  </si>
  <si>
    <t>대곶면 약암리 1311 숙박시설 (주식회사덴디엔씨)</t>
  </si>
  <si>
    <t>경기도 김포시 대곶면 약암로 879</t>
  </si>
  <si>
    <t>2022.10.21</t>
  </si>
  <si>
    <t>2022.11.11</t>
  </si>
  <si>
    <t>2023.05.24</t>
  </si>
  <si>
    <t>(주)인텍아이엔씨</t>
  </si>
  <si>
    <t>건축사사무소자인</t>
  </si>
  <si>
    <t>(주)로뎀디엔씨</t>
  </si>
  <si>
    <t>서종면 문호리 813-3 숙박시설 (청풍813 5동)</t>
  </si>
  <si>
    <t>경기도 양평군 서종면 당목뿌리길 64-16</t>
  </si>
  <si>
    <t>2022.11.08</t>
  </si>
  <si>
    <t>광우건설(주)</t>
  </si>
  <si>
    <t>정우울산종합건축사</t>
  </si>
  <si>
    <t>(주)지앤푸드</t>
  </si>
  <si>
    <t>서종면 문호리 813-22 숙박시설(청풍813 1동)</t>
  </si>
  <si>
    <t>경기도 양평군 서종면 당목뿌리길 64-10</t>
  </si>
  <si>
    <t>서종면 문호리 813-20 숙박시설(청풍813 3동, 4동)</t>
  </si>
  <si>
    <t>경기도 양평군 서종면 당목뿌리길 64-14</t>
  </si>
  <si>
    <t>서종면 문호리 813-21 외1필지 숙박시설(청풍813 2동)</t>
  </si>
  <si>
    <t>경기도 양평군 서종면 당목뿌리길 64-12</t>
  </si>
  <si>
    <t>삼회리 464번지 외 2 숙박시설(생활숙박시설) - (***)</t>
  </si>
  <si>
    <t>경기도 가평군 청평면 북한강1636번길 25</t>
  </si>
  <si>
    <t>2022.10.31</t>
  </si>
  <si>
    <t>2023.04.03</t>
  </si>
  <si>
    <t>애월읍 유수암리 16540000 숙박시설 ((주)투모로플러스커…)</t>
  </si>
  <si>
    <t>제주특별자치도 제주시 애월읍 유수암 93</t>
  </si>
  <si>
    <t>2024.01.16</t>
  </si>
  <si>
    <t>(주)신성종합건설</t>
  </si>
  <si>
    <t>건축사사무소 주오</t>
  </si>
  <si>
    <t>(주)투모로우플러스커뮤니케이션</t>
  </si>
  <si>
    <t>지산동 830-46 숙박시설</t>
  </si>
  <si>
    <t>경기도 평택시 송탄로361번길 34 (지산동)</t>
  </si>
  <si>
    <t>2022.05.30</t>
  </si>
  <si>
    <t>2022.11.04</t>
  </si>
  <si>
    <t>2022.12.19</t>
  </si>
  <si>
    <t>모카건축사사무소</t>
  </si>
  <si>
    <t>두호동 1030-18 숙박시설 (***)</t>
  </si>
  <si>
    <t>경상북도 포항시 북구 삼호로245번길 11 (두호동)</t>
  </si>
  <si>
    <t>2022.08.19</t>
  </si>
  <si>
    <t>건축사사무소건우현</t>
  </si>
  <si>
    <t>조종면 운악리 417-10 숙박시설 (***)</t>
  </si>
  <si>
    <t>경기도 가평군 조종면 현등사길 55-209</t>
  </si>
  <si>
    <t>2023.02.23</t>
  </si>
  <si>
    <t>신양아이엔지건설(주)</t>
  </si>
  <si>
    <t>현북면 하광정리 381-1 숙박시설 (***)</t>
  </si>
  <si>
    <t>강원특별자치도 양양군 현북면 하조대2길 48-117</t>
  </si>
  <si>
    <t>2022.10.26</t>
  </si>
  <si>
    <t>상동 1121-8 숙박시설 (다산베아채컨트리클럽주식회사)</t>
  </si>
  <si>
    <t>전라남도 목포시 원형서로 22 (상동)</t>
  </si>
  <si>
    <t>우남건설(주)</t>
  </si>
  <si>
    <t>애드건축사사무소</t>
  </si>
  <si>
    <t>하늘건축사사무소</t>
  </si>
  <si>
    <t>다산베아채컨트리클럽(주)</t>
  </si>
  <si>
    <t>신지면 신리 177-9 숙박시설(***)</t>
  </si>
  <si>
    <t>전라남도 완도군 신지면 명사십리61번길 109</t>
  </si>
  <si>
    <t>2022.10.25</t>
  </si>
  <si>
    <t>신지면 신리 177-3 숙박시설(***)</t>
  </si>
  <si>
    <t>전라남도 완도군 신지면 명사십리61번길 105</t>
  </si>
  <si>
    <t>옥계면 도직리 60-9 숙박시설(***)</t>
  </si>
  <si>
    <t>강원특별자치도 강릉시 옥계면 도직리 13-30</t>
  </si>
  <si>
    <t>2021.10.08</t>
  </si>
  <si>
    <t>2023.09.21</t>
  </si>
  <si>
    <t>(주)에이스건설</t>
  </si>
  <si>
    <t>김영래건축사사무소</t>
  </si>
  <si>
    <t>부전동 351-18 숙박시설(***)</t>
  </si>
  <si>
    <t>부산광역시 부산진구 새싹로28번길 35 (부전동)</t>
  </si>
  <si>
    <t>2022.10.18</t>
  </si>
  <si>
    <t>2023.06.22</t>
  </si>
  <si>
    <t>경성건설(주)</t>
  </si>
  <si>
    <t>건축사사무소대호</t>
  </si>
  <si>
    <t>북면 제경리 533 숙박시설</t>
  </si>
  <si>
    <t>경기도 가평군 북면 꽃넘이길 49</t>
  </si>
  <si>
    <t>이동면 도평리 25 숙박시설 (***)</t>
  </si>
  <si>
    <t>경기도 포천시 이동면 포화로 346-10</t>
  </si>
  <si>
    <t>2022.09.27</t>
  </si>
  <si>
    <t>정인건축사사무소</t>
  </si>
  <si>
    <t>설악면 목안리 159-3 숙박시설 (***)</t>
  </si>
  <si>
    <t>경기도 가평군 설악면 국수터길 13-1</t>
  </si>
  <si>
    <t>2022.09.01</t>
  </si>
  <si>
    <t>용주면 가호리 4180000 숙박시설 (합천관광개발 유한회사)</t>
  </si>
  <si>
    <t>경상남도 합천군 용주면 합천호수로 757</t>
  </si>
  <si>
    <t>2022.05.12</t>
  </si>
  <si>
    <t>일광이앤씨(주)</t>
  </si>
  <si>
    <t>건축사사무소눅</t>
  </si>
  <si>
    <t>(주)미래플랜</t>
  </si>
  <si>
    <t>수동면 송천리 2-17 숙박시설 (***)</t>
  </si>
  <si>
    <t>경기도 남양주시 수동면 모꼬지로 198-46</t>
  </si>
  <si>
    <t>다나건축사사무소</t>
  </si>
  <si>
    <t>돌산읍 평사리 15840000 숙박시설 (주식회사여수예술랜드)</t>
  </si>
  <si>
    <t>전라남도 여수시 돌산읍 무술목길 142-1</t>
  </si>
  <si>
    <t>(주)한맥산업개발</t>
  </si>
  <si>
    <t>(주)여수예술랜드</t>
  </si>
  <si>
    <t>용문면 망능리 55-12 숙박시설 (***)</t>
  </si>
  <si>
    <t>경기도 양평군 용문면 상양길 174-32</t>
  </si>
  <si>
    <t>2022.10.19</t>
  </si>
  <si>
    <t>상암동 1901 숙박시설 (***)</t>
  </si>
  <si>
    <t>전라남도 여수시 상암4길 67 (상암동)</t>
  </si>
  <si>
    <t>2022.10.13</t>
  </si>
  <si>
    <t>(주)에이치제이한주이엔씨</t>
  </si>
  <si>
    <t>영덕읍 대부리 426-10 숙박시설 (주식회사하일마케팅)</t>
  </si>
  <si>
    <t>경상북도 영덕군 영덕읍 영덕대게로 589</t>
  </si>
  <si>
    <t>(주)백년의약속</t>
  </si>
  <si>
    <t>모던건축사사무소</t>
  </si>
  <si>
    <t>선구동 58-51 숙박시설 (***)</t>
  </si>
  <si>
    <t>경상남도 사천시 수남길 25-7 (선구동)</t>
  </si>
  <si>
    <t>2022.09.26</t>
  </si>
  <si>
    <t>2022.11.14</t>
  </si>
  <si>
    <t>상면 행현리 371 숙박시설 (***) C</t>
  </si>
  <si>
    <t>경기도 가평군 상면 수목원로 170-16</t>
  </si>
  <si>
    <t>(주)경덕종합건설</t>
  </si>
  <si>
    <t>안양면 수문리 102-13 숙박시설 (***)</t>
  </si>
  <si>
    <t>전라남도 장흥군 안양면 수문용교로 193-33</t>
  </si>
  <si>
    <t>2022.09.30</t>
  </si>
  <si>
    <t>2022.10.05</t>
  </si>
  <si>
    <t>조건축사사무소</t>
  </si>
  <si>
    <t>애월읍 광령리 1300000 숙박시설 (***)</t>
  </si>
  <si>
    <t>제주특별자치도 제주시 애월읍 평화로 2820-67</t>
  </si>
  <si>
    <t>웅천읍 관당리 245-5 숙박시설 (무창포어촌체험.휴양마을)</t>
  </si>
  <si>
    <t>충청남도 보령시 웅천읍 관당리 245-5번지</t>
  </si>
  <si>
    <t>(주)서광건설</t>
  </si>
  <si>
    <t>(주)운화건축사사무소</t>
  </si>
  <si>
    <t>성산읍 고성리 1192-1 숙박시설 (***)</t>
  </si>
  <si>
    <t>제주특별자치도 서귀포시 성산읍 고성오조로 87-3</t>
  </si>
  <si>
    <t>건축사사무소대창</t>
  </si>
  <si>
    <t>청평면 호명리 179 숙박시설 (진서산업개발(***))</t>
  </si>
  <si>
    <t>경기도 가평군 청평면 호명리 58-28</t>
  </si>
  <si>
    <t>부안산업개발(주)</t>
  </si>
  <si>
    <t>영흥면 선재리 636-12 숙박시설 (***)</t>
  </si>
  <si>
    <t>인천광역시 옹진군 영흥면 선재로 346</t>
  </si>
  <si>
    <t>2022.09.28</t>
  </si>
  <si>
    <t>(주)세일건축사사무소</t>
  </si>
  <si>
    <t>기타강구조</t>
  </si>
  <si>
    <t>경기도 평택시 송탄로 377-3 (지산동)</t>
  </si>
  <si>
    <t>2022.06.15</t>
  </si>
  <si>
    <t>2022.09.22</t>
  </si>
  <si>
    <t>옥천면 신복리 610-22 숙박시설 (***)</t>
  </si>
  <si>
    <t>경기도 양평군 옥천면 아래점골길 90-13</t>
  </si>
  <si>
    <t>2022.09.15</t>
  </si>
  <si>
    <t>2022.09.21</t>
  </si>
  <si>
    <t>가평읍 달전리 138-14 숙박시설 (***)</t>
  </si>
  <si>
    <t>경기도 가평군 가평읍 북한강변로 1007-72</t>
  </si>
  <si>
    <t>2022.06.21</t>
  </si>
  <si>
    <t>2023.06.27</t>
  </si>
  <si>
    <t>서영종합건설(주)</t>
  </si>
  <si>
    <t>종화동 5820000 숙박시설 (***)</t>
  </si>
  <si>
    <t>전라남도 여수시 이순신광장로 199-7 (종화동)</t>
  </si>
  <si>
    <t>(주)웅성종합건설</t>
  </si>
  <si>
    <t>건축사사무소토담</t>
  </si>
  <si>
    <t>서면 대곡리 349-6 숙박시설 (도영철)</t>
  </si>
  <si>
    <t>강원특별자치도 홍천군 서면 대곡리 349-6번지</t>
  </si>
  <si>
    <t>2022.09.08</t>
  </si>
  <si>
    <t>(주)일군토건</t>
  </si>
  <si>
    <t>(주)예공종합건축사사무소</t>
  </si>
  <si>
    <t>(주)하나건축사사무소</t>
  </si>
  <si>
    <t>숙박시설 및 제2종근생시설(노래연습장) (***)</t>
  </si>
  <si>
    <t>경기도 가평군 상면 축령로 143</t>
  </si>
  <si>
    <t>속리산면 중판리 33-1 숙박시설</t>
  </si>
  <si>
    <t>충청북도 보은군 속리산면 동학로 543</t>
  </si>
  <si>
    <t>2022.06.13</t>
  </si>
  <si>
    <t>2025.11.27</t>
  </si>
  <si>
    <t>(주)유광건설</t>
  </si>
  <si>
    <t>청덕건축사사무소</t>
  </si>
  <si>
    <t>보은군청</t>
  </si>
  <si>
    <t>북면 도대리 330 숙박시설 (***)</t>
  </si>
  <si>
    <t>경기도 가평군 북면 가화로 2388-20</t>
  </si>
  <si>
    <t>2022.07.29</t>
  </si>
  <si>
    <t>2022.09.06</t>
  </si>
  <si>
    <t>충익건설(주)</t>
  </si>
  <si>
    <t>무풍면 삼거리 259 숙박시설 (***)(2단지)</t>
  </si>
  <si>
    <t>전북특별자치도 무주군 무풍면 구천동로 437</t>
  </si>
  <si>
    <t>(유)더지음</t>
  </si>
  <si>
    <t>건축사사무소이건</t>
  </si>
  <si>
    <t>무풍면 삼거리 259 숙박시설 (***)(1단지)</t>
  </si>
  <si>
    <t>전북특별자치도 무주군 무풍면 구천동로 435</t>
  </si>
  <si>
    <t>신흑동 2264-2 숙박시설 (아이오션)</t>
  </si>
  <si>
    <t>충청남도 보령시 해수욕장10길 18 (신흑동)</t>
  </si>
  <si>
    <t>2023.12.12</t>
  </si>
  <si>
    <t>(주)호운종합건설</t>
  </si>
  <si>
    <t>라일건축사사무소</t>
  </si>
  <si>
    <t>우연건축사사무소</t>
  </si>
  <si>
    <t>(유)아이오엠</t>
  </si>
  <si>
    <t>청평면 호명리 340-9 숙박시설 (주식회사필)</t>
  </si>
  <si>
    <t>경기도 가평군 청평면 호반로 753-7</t>
  </si>
  <si>
    <t>2022.06.23</t>
  </si>
  <si>
    <t>2023.06.15</t>
  </si>
  <si>
    <t>(주)필</t>
  </si>
  <si>
    <t>823 TOWER 생활숙박시설</t>
  </si>
  <si>
    <t>서울특별시 강남구 테헤란로10길 11 (역삼동)</t>
  </si>
  <si>
    <t>2022.02.15</t>
  </si>
  <si>
    <t>2024.05.08</t>
  </si>
  <si>
    <t>(주)신세계토건</t>
  </si>
  <si>
    <t>823 TOWER생활숙박시설</t>
  </si>
  <si>
    <t>서울특별시 강남구 테헤란로10길 13 (역삼동)</t>
  </si>
  <si>
    <t>남면 몽산리 877-1 숙박시설 (***)</t>
  </si>
  <si>
    <t>충청남도 태안군 남면 동삼길 56</t>
  </si>
  <si>
    <t>(주)희림종합건설</t>
  </si>
  <si>
    <t>현건축사사무소</t>
  </si>
  <si>
    <t>동금동 89-3 숙박시설</t>
  </si>
  <si>
    <t>경상남도 사천시 동금2길 20-13 (동금동)</t>
  </si>
  <si>
    <t>2022.08.26</t>
  </si>
  <si>
    <t>2022.08.29</t>
  </si>
  <si>
    <t>으뜸건축사사무소</t>
  </si>
  <si>
    <t>상면 원흥리 521-4 숙박시설 ((주)산내음제3단지)</t>
  </si>
  <si>
    <t>경기도 가평군 상면 청군로 1579-11</t>
  </si>
  <si>
    <t>2022.08.11</t>
  </si>
  <si>
    <t>(주)성안종합건설</t>
  </si>
  <si>
    <t>상면 원흥리 521-6 숙박시설 ((주)산내음제2단지)</t>
  </si>
  <si>
    <t>손양면 동호리 300-4 숙박시설 (2-3-A3-5) (주식회사새서…)</t>
  </si>
  <si>
    <t>강원특별자치도 양양군 손양면 공항로 230-2</t>
  </si>
  <si>
    <t>(주)계선</t>
  </si>
  <si>
    <t>(주)제이제이네트웍스</t>
  </si>
  <si>
    <t>손양면 동호리 300-4 숙박시설 (2-3-A4-12) (주식회사새서…)</t>
  </si>
  <si>
    <t>금남면 대도리 206-39 숙박시설 (새진주새마을금고 양승주)</t>
  </si>
  <si>
    <t>경상남도 하동군 금남면 대도길 58-3</t>
  </si>
  <si>
    <t>2021.08.30</t>
  </si>
  <si>
    <t>2022.08.24</t>
  </si>
  <si>
    <t>새진주새마을금고</t>
  </si>
  <si>
    <t>건축사사무소라인엔지니어링</t>
  </si>
  <si>
    <t>설악면 이천리 152-1 숙박시설 (명은정)</t>
  </si>
  <si>
    <t>경기도 가평군 설악면 다락재로485번길 49-44</t>
  </si>
  <si>
    <t>2022.07.05</t>
  </si>
  <si>
    <t>2022.08.23</t>
  </si>
  <si>
    <t>부강면 문곡리 160000 숙박시설 (주식회사성도)</t>
  </si>
  <si>
    <t>세종특별자치시 부강면 부강외천로 362-4</t>
  </si>
  <si>
    <t>(주)다술종합건설</t>
  </si>
  <si>
    <t>(주)그리고건축사사무소</t>
  </si>
  <si>
    <t>(주)성도</t>
  </si>
  <si>
    <t>신부동 37 숙박시설</t>
  </si>
  <si>
    <t>충청남도 천안시 동남구 만남의길 20-1 (신부동)</t>
  </si>
  <si>
    <t>2022.08.22</t>
  </si>
  <si>
    <t>(주)한일</t>
  </si>
  <si>
    <t>(주)영우건축사사무소</t>
  </si>
  <si>
    <t>이솔건축사사무소</t>
  </si>
  <si>
    <t>(주)반딧불이키즈</t>
  </si>
  <si>
    <t>항구동 17-129 숙박시설 ((***)</t>
  </si>
  <si>
    <t>경상북도 포항시 북구 해안로 57-9 (항구동)</t>
  </si>
  <si>
    <t>2022.07.11</t>
  </si>
  <si>
    <t>(주)삼광건설</t>
  </si>
  <si>
    <t>건축사사무소구성</t>
  </si>
  <si>
    <t>우남건축사사무소</t>
  </si>
  <si>
    <t>(주)별미</t>
  </si>
  <si>
    <t>해안동1가 10-1 숙박시설 (㈜청린)</t>
  </si>
  <si>
    <t>전라남도 목포시 해안로188번길 23 (해안동1가)</t>
  </si>
  <si>
    <t>2022.04.22</t>
  </si>
  <si>
    <t>(주)더조은종합건설</t>
  </si>
  <si>
    <t>(주)청린</t>
  </si>
  <si>
    <t>안현동 840-7 숙박시설</t>
  </si>
  <si>
    <t>강원특별자치도 강릉시 해안로 663-47 (안현동)</t>
  </si>
  <si>
    <t>2022.08.17</t>
  </si>
  <si>
    <t>한일산업개발(주)</t>
  </si>
  <si>
    <t>구좌읍 송당리 1916-9 숙박시설 (***)</t>
  </si>
  <si>
    <t>제주특별자치도 제주시 구좌읍 송당6길 75-2</t>
  </si>
  <si>
    <t>2022.08.05</t>
  </si>
  <si>
    <t>우리종합건설(주)</t>
  </si>
  <si>
    <t>남정면 남호리 22-2 숙박시설 (***)</t>
  </si>
  <si>
    <t>경상북도 영덕군 남정면 동해대로 4114</t>
  </si>
  <si>
    <t>2022.08.12</t>
  </si>
  <si>
    <t>임지건축사사무소</t>
  </si>
  <si>
    <t>티엠종합건축사사무소</t>
  </si>
  <si>
    <t>경기도 가평군 조종면 운악청계로 238-38</t>
  </si>
  <si>
    <t>2022.08.04</t>
  </si>
  <si>
    <t>경기도 가평군 조종면 현리 2-5번지</t>
  </si>
  <si>
    <t>2022.08.03</t>
  </si>
  <si>
    <t>손양면 우암리 63-4 숙박시설 (주식회사정브르)</t>
  </si>
  <si>
    <t>강원특별자치도 양양군 손양면 상촌로 157-2</t>
  </si>
  <si>
    <t>2023.07.25</t>
  </si>
  <si>
    <t>지점토건축사사무소</t>
  </si>
  <si>
    <t>호림동 10-12 숙박시설 (***)</t>
  </si>
  <si>
    <t>대구광역시 달서구 성서공단로11길 44-7 (호림동)</t>
  </si>
  <si>
    <t>2022.08.02</t>
  </si>
  <si>
    <t>2024.03.11</t>
  </si>
  <si>
    <t>건축사사무소에이드건축</t>
  </si>
  <si>
    <t>하운드호텔대구성서</t>
  </si>
  <si>
    <t>상면 행현리 371 숙박시설 (***) A</t>
  </si>
  <si>
    <t>경기도 가평군 상면 수목원로 170-5</t>
  </si>
  <si>
    <t>정관읍 달산리 1049-8 숙박시설 (***)</t>
  </si>
  <si>
    <t>부산광역시 기장군 정관읍 산단2로 31-38</t>
  </si>
  <si>
    <t>영월 한옥마을 조성사업 관광휴양시설용지(숙박시설) ①-5</t>
  </si>
  <si>
    <t>2024.07.01</t>
  </si>
  <si>
    <t>앙기란건축사사무소</t>
  </si>
  <si>
    <t>새한터건축사사무소</t>
  </si>
  <si>
    <t>제1종근린생활시설 신축</t>
  </si>
  <si>
    <t>2022.02.23</t>
  </si>
  <si>
    <t>2022.07.22</t>
  </si>
  <si>
    <t>(주)전진토건</t>
  </si>
  <si>
    <t>제1종근린…</t>
  </si>
  <si>
    <t>호미곶면 강사리 숙박시설</t>
  </si>
  <si>
    <t>경상북도 포항시 남구 호미곶면 일출로 606-20</t>
  </si>
  <si>
    <t>2023.05.19</t>
  </si>
  <si>
    <t>라진건설(주)</t>
  </si>
  <si>
    <t>(주)엠엔에이건축사사무소</t>
  </si>
  <si>
    <t>(주)온</t>
  </si>
  <si>
    <t>영흥면 내리 1212-4 숙박시설</t>
  </si>
  <si>
    <t>인천광역시 옹진군 영흥면 영흥서로380번길 101-37</t>
  </si>
  <si>
    <t>엠에스종합건설(주)</t>
  </si>
  <si>
    <t>반달건축사사무소</t>
  </si>
  <si>
    <t>플랜B건축사사무소</t>
  </si>
  <si>
    <t>남포동6가 8-1 숙박시설 (***)</t>
  </si>
  <si>
    <t>부산광역시 중구 자갈치로38번길 4-1 (남포동6가)</t>
  </si>
  <si>
    <t>2022.07.08</t>
  </si>
  <si>
    <t>2022.07.21</t>
  </si>
  <si>
    <t>모인종합건축사사무소</t>
  </si>
  <si>
    <t>성주면 성주리 20-98 숙박시설 (농업회사법인(주)성주이안)</t>
  </si>
  <si>
    <t>충청남도 보령시 성주면 심원계곡로 342</t>
  </si>
  <si>
    <t>2022.07.13</t>
  </si>
  <si>
    <t>성주이안</t>
  </si>
  <si>
    <t>길상면 선두리 765 숙박시설</t>
  </si>
  <si>
    <t>인천광역시 강화군 길상면 보리고개로 50</t>
  </si>
  <si>
    <t>2022.07.19</t>
  </si>
  <si>
    <t>강산종합건설(주)</t>
  </si>
  <si>
    <t>(주)대한고려건축사사무소</t>
  </si>
  <si>
    <t>강파이프구조…</t>
  </si>
  <si>
    <t>남면 진산리 613-52 일반숙박시설 (***)</t>
  </si>
  <si>
    <t>충청남도 태안군 남면 진산1길 277-129</t>
  </si>
  <si>
    <t>두마종합건설(주)</t>
  </si>
  <si>
    <t>(주)태산엔지니어링건축사사무소</t>
  </si>
  <si>
    <t>대소면 오류리 808 숙박시설 (***)-A</t>
  </si>
  <si>
    <t>충청북도 음성군 대소면 대풍1길 5</t>
  </si>
  <si>
    <t>2022.12.22</t>
  </si>
  <si>
    <t>(주)이가종합건설</t>
  </si>
  <si>
    <t>장승포동 101-3 숙박시설 ((주)경남은행)</t>
  </si>
  <si>
    <t>경상남도 거제시 장승포해안로 18 (장승포동)</t>
  </si>
  <si>
    <t>2021.12.14</t>
  </si>
  <si>
    <t>(주) 경남은행</t>
  </si>
  <si>
    <t>장승포동 101-8 숙박시설 ((주)경남은행)</t>
  </si>
  <si>
    <t>경상남도 거제시 장승포해안로 16 (장승포동)</t>
  </si>
  <si>
    <t>소원면 법산리 878 숙박시설 (***)</t>
  </si>
  <si>
    <t>충청남도 태안군 소원면 법산길 176-35</t>
  </si>
  <si>
    <t>중방동 339-24 숙박시설 (***)</t>
  </si>
  <si>
    <t>경상북도 경산시 강변동로 100 (중방동)</t>
  </si>
  <si>
    <t>2023.02.28</t>
  </si>
  <si>
    <t>건축사사무소원형디엔씨</t>
  </si>
  <si>
    <t>다압면 도사리 292 숙박시설 (***)</t>
  </si>
  <si>
    <t>전라남도 광양시 다압면 신원길 221-6</t>
  </si>
  <si>
    <t>(주)서남종합건설</t>
  </si>
  <si>
    <t>(주)한솔건축사사무소</t>
  </si>
  <si>
    <t>소라면 사곡리 674-30 숙박시설 (***)</t>
  </si>
  <si>
    <t>전라남도 여수시 소라면 서부로 875</t>
  </si>
  <si>
    <t>2022.08.08</t>
  </si>
  <si>
    <t>우일종합건설(주)</t>
  </si>
  <si>
    <t>우정읍 조암리 256-2 숙박시설</t>
  </si>
  <si>
    <t>경기도 화성시 우정읍 3.1만세로 69-3</t>
  </si>
  <si>
    <t>2022.03.04</t>
  </si>
  <si>
    <t>2022.07.07</t>
  </si>
  <si>
    <t>지유건설(주)</t>
  </si>
  <si>
    <t>(주)건축사사무소조이스페이스</t>
  </si>
  <si>
    <t>평화동 236-19 숙박시설 (원성희)</t>
  </si>
  <si>
    <t>전라북도 익산시 익산대로 62 (평화동)</t>
  </si>
  <si>
    <t>2022.07.06</t>
  </si>
  <si>
    <t>(주)흥익종합건설</t>
  </si>
  <si>
    <t>환경그룹건축사사무소청</t>
  </si>
  <si>
    <t>현북면 하광정리 381 숙박시설 (***)</t>
  </si>
  <si>
    <t>강원특별자치도 양양군 현북면 하조대2길 48-115</t>
  </si>
  <si>
    <t>2022.06.29</t>
  </si>
  <si>
    <t>장기면 대진리 194 숙박시설 (주식회사알데아)</t>
  </si>
  <si>
    <t>경상북도 포항시 남구 장기면 동해안로 3952-35</t>
  </si>
  <si>
    <t>2023.01.09</t>
  </si>
  <si>
    <t>정립건축사사무소</t>
  </si>
  <si>
    <t>안좌면 소곡리 577-1 숙박시설 ((유)제이기업)</t>
  </si>
  <si>
    <t>전라남도 신안군 안좌면 소곡리 577-1번지</t>
  </si>
  <si>
    <t>(유)성광종합건설</t>
  </si>
  <si>
    <t>(유)진명건축사사무소</t>
  </si>
  <si>
    <t>(유)제이기업</t>
  </si>
  <si>
    <t>소원면 의항리 1219 숙박시설 (***)</t>
  </si>
  <si>
    <t>충청남도 태안군 소원면 만리포1길 30-7</t>
  </si>
  <si>
    <t>2022.06.19</t>
  </si>
  <si>
    <t>2022.07.01</t>
  </si>
  <si>
    <t>대호종합건설(주)</t>
  </si>
  <si>
    <t>설천면 심곡리 617 숙박시설 (***)</t>
  </si>
  <si>
    <t>전북특별자치도 무주군 설천면 외배방길 7</t>
  </si>
  <si>
    <t>정은종합건설(주)</t>
  </si>
  <si>
    <t>가평읍 달전리 138-7 숙박시설 (유한회사나눔이앤케이)</t>
  </si>
  <si>
    <t>경기도 가평군 가평읍 북한강변로 1007-74</t>
  </si>
  <si>
    <t>(유)나눔이앤케이</t>
  </si>
  <si>
    <t>2022.10.14</t>
  </si>
  <si>
    <t>복대동 853-11 숙박시설 (아담한호텔충북대점 주식회사)</t>
  </si>
  <si>
    <t>충청북도 청주시 흥덕구 충대로13번길 30 (복대동)</t>
  </si>
  <si>
    <t>2022.06.28</t>
  </si>
  <si>
    <t>(주)효자종합건설</t>
  </si>
  <si>
    <t>광지건축사사무소</t>
  </si>
  <si>
    <t>아담한호텔충북대점(주)</t>
  </si>
  <si>
    <t>초량동 331 숙박시설 (***)</t>
  </si>
  <si>
    <t>부산광역시 동구 중앙대로229번길 12 (초량동)</t>
  </si>
  <si>
    <t>2022.08.10</t>
  </si>
  <si>
    <t>샤이어호텔</t>
  </si>
  <si>
    <t>재성종합건축사사무소</t>
  </si>
  <si>
    <t>초량동 323-1 숙박시설 (***)</t>
  </si>
  <si>
    <t>부산광역시 동구 초량로15번길 29-3 (초량동)</t>
  </si>
  <si>
    <t>벌리동 247-3 숙박시설 (***)</t>
  </si>
  <si>
    <t>경상남도 사천시 벌리5길 12-18 (벌리동)</t>
  </si>
  <si>
    <t>2021.05.07</t>
  </si>
  <si>
    <t>2023.08.16</t>
  </si>
  <si>
    <t>(주)휘성종합건설</t>
  </si>
  <si>
    <t>용현동 624-9 숙박시설(수협은행)</t>
  </si>
  <si>
    <t>인천광역시 미추홀구 아암대로53번길 15 (용현동)</t>
  </si>
  <si>
    <t>2022.06.09</t>
  </si>
  <si>
    <t>고남면 고남리 434-3 숙박시설 (***)</t>
  </si>
  <si>
    <t>2023.02.27</t>
  </si>
  <si>
    <t>(주)예일종합건설</t>
  </si>
  <si>
    <t>감포읍 오류리 151-10 숙박시설 (주식회사 디니워드)</t>
  </si>
  <si>
    <t>경상북도 경주시 감포읍 동해안로 2626</t>
  </si>
  <si>
    <t>상면 행현리 803-2 숙박시설 (***)</t>
  </si>
  <si>
    <t>경기도 가평군 상면 축령로 149</t>
  </si>
  <si>
    <t>2022.06.10</t>
  </si>
  <si>
    <t>서종면 수능리 380-1외1필지 숙박시설 (주식회사 체크올)</t>
  </si>
  <si>
    <t>경기도 양평군 서종면 낙촌길 5-1</t>
  </si>
  <si>
    <t>필건설산업(주)</t>
  </si>
  <si>
    <t>(주)무한건축사사무소</t>
  </si>
  <si>
    <t>북면 나리 504-2 숙박시설 (***)</t>
  </si>
  <si>
    <t>경상북도 울릉군 북면 추산길 143</t>
  </si>
  <si>
    <t>2021.01.07</t>
  </si>
  <si>
    <t>(주)장산종합건설</t>
  </si>
  <si>
    <t>송정동 1111-2 숙박시설</t>
  </si>
  <si>
    <t>강원특별자치도 동해시 대동로 261-37 (송정동)</t>
  </si>
  <si>
    <t>2022.03.02</t>
  </si>
  <si>
    <t>2025.01.06</t>
  </si>
  <si>
    <t>현웅종합건설(주)</t>
  </si>
  <si>
    <t>해동건축사사무소</t>
  </si>
  <si>
    <t>서면 대곡리 223 생활숙박시설 (주식회사 일월)</t>
  </si>
  <si>
    <t>강원특별자치도 홍천군 서면 상귀랑길 193</t>
  </si>
  <si>
    <t>2021.12.15</t>
  </si>
  <si>
    <t>(주)중안종합건설</t>
  </si>
  <si>
    <t>(주)반스힐리조트</t>
  </si>
  <si>
    <t>현북면 하광정리 635-3 숙박시설 (유한회사 더사이트)</t>
  </si>
  <si>
    <t>강원특별자치도 양양군 현북면 하조대2길 48-21</t>
  </si>
  <si>
    <t>(주)호서종합건설</t>
  </si>
  <si>
    <t>(주)건축사사무소사무소효자</t>
  </si>
  <si>
    <t>항남동 239-4 숙박시설 (***)</t>
  </si>
  <si>
    <t>경상남도 통영시 동충4길 10 (항남동)</t>
  </si>
  <si>
    <t>2022.04.19</t>
  </si>
  <si>
    <t>(주)지우종합건설</t>
  </si>
  <si>
    <t>다온건축사사무소</t>
  </si>
  <si>
    <t>안덕면 사계리 224 숙박시설 및 제2종근린생활시설</t>
  </si>
  <si>
    <t>제주특별자치도 서귀포시 안덕면 사계북로 202</t>
  </si>
  <si>
    <t>(주)마주종합건설</t>
  </si>
  <si>
    <t>(주)종합건축사사무소그룹케이</t>
  </si>
  <si>
    <t>(주)에스하임월드</t>
  </si>
  <si>
    <t>죽산면 용설리 437-3 숙박시설 (***)</t>
  </si>
  <si>
    <t>경기도 안성시 죽산면 용설호수길 255</t>
  </si>
  <si>
    <t>2022.04.27</t>
  </si>
  <si>
    <t>2022.06.05</t>
  </si>
  <si>
    <t>드림건축사사무소</t>
  </si>
  <si>
    <t>미조면 송정리 346-9 숙박시설 (***)</t>
  </si>
  <si>
    <t>경상남도 남해군 미조면 송정리 858-5번지</t>
  </si>
  <si>
    <t>동휘종합건설(주)</t>
  </si>
  <si>
    <t>건축사사무소동성</t>
  </si>
  <si>
    <t>애월읍 광령리 215-1 숙박시설 (***)</t>
  </si>
  <si>
    <t>제주특별자치도 제주시 애월읍 광령평화10길 65-1</t>
  </si>
  <si>
    <t>대화종합건설(주)</t>
  </si>
  <si>
    <t>덕진동1가 1264-9 숙박시설</t>
  </si>
  <si>
    <t>전라북도 전주시 덕진구 명륜3길 10-7 (덕진동1가)</t>
  </si>
  <si>
    <t>2022.02.11</t>
  </si>
  <si>
    <t>2022.06.02</t>
  </si>
  <si>
    <t>(주)모두건설</t>
  </si>
  <si>
    <t>동서건축사사무소</t>
  </si>
  <si>
    <t>(유)위드제이</t>
  </si>
  <si>
    <t>가평읍 하색리 778-10 숙박시설 및 근린생활시설 (***)</t>
  </si>
  <si>
    <t>경기도 가평군 가평읍 태봉두밀로 269-45</t>
  </si>
  <si>
    <t>2022.05.25</t>
  </si>
  <si>
    <t>모항리 1416 숙박시설</t>
  </si>
  <si>
    <t>충청남도 태안군 소원면 만리포1길 7</t>
  </si>
  <si>
    <t>2022.04.29</t>
  </si>
  <si>
    <t>2024.03.27</t>
  </si>
  <si>
    <t>(주)망치소리종합건설</t>
  </si>
  <si>
    <t>슬래시건축사사무소</t>
  </si>
  <si>
    <t>현내면 대진리 102 숙박시설 (***)</t>
  </si>
  <si>
    <t>강원특별자치도 고성군 현내면 현나루로 145-1</t>
  </si>
  <si>
    <t>(주)호보종합건설</t>
  </si>
  <si>
    <t>종합건축사사무소우정씨앤씨</t>
  </si>
  <si>
    <t>명동건축사사무소</t>
  </si>
  <si>
    <t>양남면 하서리 190-1 숙박시설 (***)</t>
  </si>
  <si>
    <t>경상북도 경주시 양남면 동해안로 415-5</t>
  </si>
  <si>
    <t>신영건축사사무소</t>
  </si>
  <si>
    <t>조종면 상판리 471-3 숙박시설 (주식회사서연종합부동산)3</t>
  </si>
  <si>
    <t>경기도 가평군 조종면 명지산로 335-7</t>
  </si>
  <si>
    <t>2021.08.24</t>
  </si>
  <si>
    <t>(주)태울림종합건설</t>
  </si>
  <si>
    <t>서후면 금계리 672 숙박시설 (***)</t>
  </si>
  <si>
    <t>경상북도 안동시 서후면 풍산태사로 2928-14</t>
  </si>
  <si>
    <t>2022.05.26</t>
  </si>
  <si>
    <t>건축사사무소이상건축</t>
  </si>
  <si>
    <t>태안읍 삭선리 340-14 숙박시설 (주식회사백화원)</t>
  </si>
  <si>
    <t>충청남도 태안군 태안읍 원이로 254-21</t>
  </si>
  <si>
    <t>(주)백화원</t>
  </si>
  <si>
    <t>강구면 하저리 28-1 숙박시설</t>
  </si>
  <si>
    <t>경상북도 영덕군 강구면 영덕대게로 523</t>
  </si>
  <si>
    <t>2023.01.30</t>
  </si>
  <si>
    <t>라온건설(주)</t>
  </si>
  <si>
    <t>건축사사무소하이브</t>
  </si>
  <si>
    <t>조종면 상판리 471-6 숙박시설 (에스와이주식회사)1-1</t>
  </si>
  <si>
    <t>2021.12.22</t>
  </si>
  <si>
    <t>조종면 상판리 471-3 숙박시설 (주식회사서연종합부동산)2</t>
  </si>
  <si>
    <t>경기도 가평군 조종면 상판리 471-9번지</t>
  </si>
  <si>
    <t>조종면 상판리 471-11 숙박시설 (주식회사서연종합부동산)1</t>
  </si>
  <si>
    <t>제황산동 7-18 숙박시설</t>
  </si>
  <si>
    <t>경상남도 창원시 진해구 속천로 8-7 (제황산동)</t>
  </si>
  <si>
    <t>2022.05.10</t>
  </si>
  <si>
    <t>2022.09.14</t>
  </si>
  <si>
    <t>(주)누리종합건축</t>
  </si>
  <si>
    <t>더-윤건축사사무소</t>
  </si>
  <si>
    <t>건축사사무소림</t>
  </si>
  <si>
    <t>북방면 장항리 201-3 숙박시설 (***)</t>
  </si>
  <si>
    <t>강원특별자치도 홍천군 북방면 장항2길 20</t>
  </si>
  <si>
    <t>2022.03.10</t>
  </si>
  <si>
    <t>(주)에이치엠이엔지</t>
  </si>
  <si>
    <t>대현건축사사무소</t>
  </si>
  <si>
    <t>금산면 신평리 277-9 숙박시설 (***)</t>
  </si>
  <si>
    <t>전라남도 고흥군 금산면 거금일주로 1906-13</t>
  </si>
  <si>
    <t>2021.10.01</t>
  </si>
  <si>
    <t>(주)아키리얼종합건설</t>
  </si>
  <si>
    <t>북방면 장항리 201-14 숙박시설 (***)</t>
  </si>
  <si>
    <t>강원특별자치도 홍천군 북방면 장항2길 18</t>
  </si>
  <si>
    <t>숙박시설 (주식회사제이드앤탑)</t>
  </si>
  <si>
    <t>제주특별자치도 제주시 애월읍 신상로 252</t>
  </si>
  <si>
    <t>2022.05.17</t>
  </si>
  <si>
    <t>2023.05.22</t>
  </si>
  <si>
    <t>(주)스마일종합건설</t>
  </si>
  <si>
    <t>라우드건축사사무소</t>
  </si>
  <si>
    <t>감포읍 오류리 566-1 숙박시설 (***)</t>
  </si>
  <si>
    <t>경상북도 경주시 감포읍 감포로 250</t>
  </si>
  <si>
    <t>2022.04.26</t>
  </si>
  <si>
    <t>동인건축사사무소</t>
  </si>
  <si>
    <t>범일동 62-735 숙박시설 (주식회사엠엔케이)</t>
  </si>
  <si>
    <t>부산광역시 동구 중앙대로 530-1 (범일동)</t>
  </si>
  <si>
    <t>2022.10.12</t>
  </si>
  <si>
    <t>(주)엠엔케이</t>
  </si>
  <si>
    <t>장곡리 608 숙박시설</t>
  </si>
  <si>
    <t>충청남도 태안군 고남면 큰장돌길 283-51</t>
  </si>
  <si>
    <t>서문동 227-29 숙박시설 (***)</t>
  </si>
  <si>
    <t>충청북도 청주시 상당구 무심동로390번길 15 (서문동)</t>
  </si>
  <si>
    <t>2022.05.06</t>
  </si>
  <si>
    <t>가평읍 두밀리 226-1 숙박시설 (***)</t>
  </si>
  <si>
    <t>2023.04.07</t>
  </si>
  <si>
    <t>삼안토건(주)</t>
  </si>
  <si>
    <t>양동면 고송리 181 (생활숙박시설)</t>
  </si>
  <si>
    <t>경기도 양평군 양동면 양동로 780</t>
  </si>
  <si>
    <t>2022.01.06</t>
  </si>
  <si>
    <t>활림건설(주)</t>
  </si>
  <si>
    <t>(주)미래건축사사무소</t>
  </si>
  <si>
    <t>성주읍 경산리 718-266 숙박시설 (에이스공조시스템(***))</t>
  </si>
  <si>
    <t>경상북도 성주군 성주읍 성밖숲길 91</t>
  </si>
  <si>
    <t>2022.05.11</t>
  </si>
  <si>
    <t>에이스공조시스템(주)</t>
  </si>
  <si>
    <t>새하늘건축사사무소</t>
  </si>
  <si>
    <t>근흥면 용신리 숙박시설</t>
  </si>
  <si>
    <t>충청남도 태안군 근흥면 용안길 71</t>
  </si>
  <si>
    <t>2023.04.27</t>
  </si>
  <si>
    <t>(주)유니크종합건설</t>
  </si>
  <si>
    <t>동해면 봉암리 90-3 숙박시설 (***)</t>
  </si>
  <si>
    <t>경상남도 고성군 동해면 봉암리 산 90-3번지</t>
  </si>
  <si>
    <t>우원건설(주)</t>
  </si>
  <si>
    <t>대호종합건축사사무소</t>
  </si>
  <si>
    <t>부전동 524-49 숙박시설(여관) 및 단독주택 대수선 사용승…</t>
  </si>
  <si>
    <t>부산광역시 부산진구 부전로20번길 35 (부전동)</t>
  </si>
  <si>
    <t>2022.05.04</t>
  </si>
  <si>
    <t>용신종합건설(주)</t>
  </si>
  <si>
    <t>종합건축사사무소일건축</t>
  </si>
  <si>
    <t>탑동동 88-1 숙박시설 (***)</t>
  </si>
  <si>
    <t>경기도 동두천시 삼육사로 1665-12 (탑동동)</t>
  </si>
  <si>
    <t>세진건축사사무소</t>
  </si>
  <si>
    <t>돌산읍 평사리 240-2 숙박시설 (***)</t>
  </si>
  <si>
    <t>전라남도 여수시 돌산읍 계동해안길 24-1</t>
  </si>
  <si>
    <t>2022.04.25</t>
  </si>
  <si>
    <t>2022.05.02</t>
  </si>
  <si>
    <t>파인종합건설(주)</t>
  </si>
  <si>
    <t>우주건축사사무소</t>
  </si>
  <si>
    <t>금암동 457-31 숙박시설 (***)</t>
  </si>
  <si>
    <t>전북특별자치도 전주시 덕진구 가리내로 15-5 (금암동)</t>
  </si>
  <si>
    <t>명건(주)</t>
  </si>
  <si>
    <t>애월읍 고내리 1109-1 숙박시설 및 근린생활시설</t>
  </si>
  <si>
    <t>제주특별자치도 제주시 애월읍 애월해안로 249</t>
  </si>
  <si>
    <t>상익건설(주)</t>
  </si>
  <si>
    <t>고등동 303-6 숙박시설 (***)</t>
  </si>
  <si>
    <t>경기도 수원시 팔달구 갓매산로76번길 5 (고등동)</t>
  </si>
  <si>
    <t>2022.03.23</t>
  </si>
  <si>
    <t>한양건축사사무소</t>
  </si>
  <si>
    <t>전곡읍 전곡리 217-23 숙박시설 (***)</t>
  </si>
  <si>
    <t>경기도 연천군 전곡읍 평화로495번길 16-21</t>
  </si>
  <si>
    <t>케이에이치건축사사무소(주)</t>
  </si>
  <si>
    <t>안면읍 창기리 288-11 숙박시설 (***)</t>
  </si>
  <si>
    <t>충청남도 태안군 안면읍 백사장1길 30-166</t>
  </si>
  <si>
    <t>2022.01.27</t>
  </si>
  <si>
    <t>삼산면 매음리 114-211 숙박시설 (***) / A-8</t>
  </si>
  <si>
    <t>인천광역시 강화군 삼산면 매음리 114-211번지</t>
  </si>
  <si>
    <t>2021.11.10</t>
  </si>
  <si>
    <t>동호건설(주)</t>
  </si>
  <si>
    <t>태엔건축사사무소</t>
  </si>
  <si>
    <t>광덕건축사사무소</t>
  </si>
  <si>
    <t>삼산면 매음리 114-211 숙박시설 (***) / A-9</t>
  </si>
  <si>
    <t>인천광역시 강화군 삼산면 매음리 114-212번지</t>
  </si>
  <si>
    <t>영흥면 선재리 16-1 숙박시설 (오션빌개발)</t>
  </si>
  <si>
    <t>인천광역시 옹진군 영흥면 선재52번길 76-11</t>
  </si>
  <si>
    <t>2021.12.31</t>
  </si>
  <si>
    <t>(주)누리종합건설</t>
  </si>
  <si>
    <t>(주)창조종합건축사사무소</t>
  </si>
  <si>
    <t>(주)김경수건축사사무소</t>
  </si>
  <si>
    <t>소라면 사곡리 관광숙박시설</t>
  </si>
  <si>
    <t>전라남도 여수시 소라면 공항길 127-38</t>
  </si>
  <si>
    <t>2023.02.08</t>
  </si>
  <si>
    <t>(주)서원종합건설</t>
  </si>
  <si>
    <t>더존건축사사무소</t>
  </si>
  <si>
    <t>용문면 연수리 585-3 숙박시설 (***)</t>
  </si>
  <si>
    <t>경기도 양평군 용문면 학골길9번길 27-22</t>
  </si>
  <si>
    <t>2022.04.21</t>
  </si>
  <si>
    <t>(주)삼원건축사사무소</t>
  </si>
  <si>
    <t>노서동 170-8 숙박시설 (***)</t>
  </si>
  <si>
    <t>경상북도 경주시 노서동 170-8번지</t>
  </si>
  <si>
    <t>2022.04.14</t>
  </si>
  <si>
    <t>2022.04.20</t>
  </si>
  <si>
    <t>북면 백둔리 106-7, 숙박시설 (***)</t>
  </si>
  <si>
    <t>경기도 가평군 북면 백둔로 238</t>
  </si>
  <si>
    <t>용문면 연수리 609 숙박시설</t>
  </si>
  <si>
    <t>경기도 양평군 용문면 학골길 37-3</t>
  </si>
  <si>
    <t>삼보종합건축사사무소</t>
  </si>
  <si>
    <t>가평읍 이화리 261 숙박시설 (***)</t>
  </si>
  <si>
    <t>경기도 가평군 가평읍 엄창길 50</t>
  </si>
  <si>
    <t>경안종합건설(주)</t>
  </si>
  <si>
    <t>울릉읍 사동리 7200000 숙박시설 (공도원)</t>
  </si>
  <si>
    <t>경상북도 울릉군 울릉읍 신리길 46</t>
  </si>
  <si>
    <t>2022.04.06</t>
  </si>
  <si>
    <t>2022.12.13</t>
  </si>
  <si>
    <t>정촌면 예하리 1300-5 숙박시설</t>
  </si>
  <si>
    <t>경상남도 진주시 정촌면 화개천로54번길 81</t>
  </si>
  <si>
    <t>2022.02.28</t>
  </si>
  <si>
    <t>2022.10.24</t>
  </si>
  <si>
    <t>(주)명린종합건설</t>
  </si>
  <si>
    <t>모두장재순건축사사무소</t>
  </si>
  <si>
    <t>가윤건축사사무소</t>
  </si>
  <si>
    <t>서변동 1779-8 숙박시설 (***)</t>
  </si>
  <si>
    <t>대구광역시 북구 호국로 239 (서변동)</t>
  </si>
  <si>
    <t>(주)일성건설</t>
  </si>
  <si>
    <t>건축사사무소예지</t>
  </si>
  <si>
    <t>상면 상동리 181-1 숙박시설 (***)</t>
  </si>
  <si>
    <t>경기도 가평군 상면 둔덕말길 13-60</t>
  </si>
  <si>
    <t>2022.03.22</t>
  </si>
  <si>
    <t>2022.04.13</t>
  </si>
  <si>
    <t>2023.02.24</t>
  </si>
  <si>
    <t>(주)해운종합건설</t>
  </si>
  <si>
    <t>상면 임초리 206 숙박시설 (***) (3)</t>
  </si>
  <si>
    <t>경기도 가평군 상면 임초방안골로 119-100</t>
  </si>
  <si>
    <t>상면 임초리 206-9 숙박시설 (***) (2)</t>
  </si>
  <si>
    <t>경기도 가평군 상면 임초방안골로 119-102</t>
  </si>
  <si>
    <t>주문진읍 교항리 171-7 숙박시설</t>
  </si>
  <si>
    <t>강원특별자치도 강릉시 주문진읍 시장길 9</t>
  </si>
  <si>
    <t>2021.11.01</t>
  </si>
  <si>
    <t>신화건설(주)</t>
  </si>
  <si>
    <t>(주)가온아키건축사사무소</t>
  </si>
  <si>
    <t>(주)건축사사무소건일종합기술</t>
  </si>
  <si>
    <t>남면 신장리 357 숙박시설 (***)</t>
  </si>
  <si>
    <t>충청남도 태안군 남면 몽산포길 52-16</t>
  </si>
  <si>
    <t>2022.04.11</t>
  </si>
  <si>
    <t>서부면 남당리 620-5 숙박시설 (***)</t>
  </si>
  <si>
    <t>충청남도 홍성군 서부면 남당항로 277</t>
  </si>
  <si>
    <t>2022.03.30</t>
  </si>
  <si>
    <t>(주)신동양종합건설</t>
  </si>
  <si>
    <t>한우리건축사사무소</t>
  </si>
  <si>
    <t>죽곡면 태평리 795-10 숙박시설 (***)</t>
  </si>
  <si>
    <t>전라남도 곡성군 죽곡면 강빛마을길 6-2</t>
  </si>
  <si>
    <t>2022.01.05</t>
  </si>
  <si>
    <t>(주)디케이건축사사무소</t>
  </si>
  <si>
    <t>경기도 가평군 북면 멱골로 205-10</t>
  </si>
  <si>
    <t>설악면 회곡리 244-7 숙박시설 (***)</t>
  </si>
  <si>
    <t>경기도 가평군 설악면 유명로 2080</t>
  </si>
  <si>
    <t>2022.04.01</t>
  </si>
  <si>
    <t>(주)가인건축사사무소</t>
  </si>
  <si>
    <t>설악면 회곡리 244 숙박시설 (***)</t>
  </si>
  <si>
    <t>경기도 가평군 설악면 유명로 2102</t>
  </si>
  <si>
    <t>2022.03.16</t>
  </si>
  <si>
    <t>빛탑건설(주)</t>
  </si>
  <si>
    <t>영덕읍 대부리 427 숙박시설 (주식회사하일마케팅)-2부지-</t>
  </si>
  <si>
    <t>(주)하일마케팅</t>
  </si>
  <si>
    <t>영덕읍 대부리 426-10 숙박시설 (주식회사하일마케팅)-3부…</t>
  </si>
  <si>
    <t>경상북도 영덕군 영덕읍 영덕대게로 587</t>
  </si>
  <si>
    <t>화개면 탑리 539-8 숙박시설 (***)</t>
  </si>
  <si>
    <t>경상남도 하동군 화개면 쌍계로 70-21</t>
  </si>
  <si>
    <t>2022.03.29</t>
  </si>
  <si>
    <t>(주)주안종합건설</t>
  </si>
  <si>
    <t>건축사사무소대성</t>
  </si>
  <si>
    <t>근흥면 가의도리 562-3 숙박시설 (***)</t>
  </si>
  <si>
    <t>충청남도 태안군 근흥면 가의길 44-62</t>
  </si>
  <si>
    <t>등촌동 숙박시설 (엘엔피코스메틱(***))</t>
  </si>
  <si>
    <t>서울특별시 강서구 공항대로 518 (등촌동)</t>
  </si>
  <si>
    <t>(주)스튜디오엠오비건축사사무소</t>
  </si>
  <si>
    <t>엘엔피코스메틱(주)</t>
  </si>
  <si>
    <t>산동면 관산리 729-2 숙박시설 (주식회사 도화)</t>
  </si>
  <si>
    <t>전라남도 구례군 산동면 관산구산길 14-28</t>
  </si>
  <si>
    <t>2022.03.15</t>
  </si>
  <si>
    <t>천지종합건설(주)</t>
  </si>
  <si>
    <t>(주)도화</t>
  </si>
  <si>
    <t>부전동 524-17 숙박시설 (더센트럴홀딩스)</t>
  </si>
  <si>
    <t>부산광역시 부산진구 중앙대로691번길 53 (부전동)</t>
  </si>
  <si>
    <t>더센트럴홀딩스(주)</t>
  </si>
  <si>
    <t>봉산동 275-7 숙박시설 (케이비부동산신탁(***))</t>
  </si>
  <si>
    <t>전라남도 여수시 봉산남8길 11 (봉산동)</t>
  </si>
  <si>
    <t>2021.07.06</t>
  </si>
  <si>
    <t>2022.03.28</t>
  </si>
  <si>
    <t>한양산업개발(주)</t>
  </si>
  <si>
    <t>(주)포인엔지니어링건축사사무소</t>
  </si>
  <si>
    <t>한려건축사사무소</t>
  </si>
  <si>
    <t>신평면 부수리 216-6 숙박시설 (***)</t>
  </si>
  <si>
    <t>충청남도 당진시 신평면 부수리 216-7번지</t>
  </si>
  <si>
    <t>2021.12.27</t>
  </si>
  <si>
    <t>2022.03.24</t>
  </si>
  <si>
    <t>(주)각림종합건설</t>
  </si>
  <si>
    <t>신평면 부수리 216-5 숙박시설 (***)</t>
  </si>
  <si>
    <t>충청남도 당진시 신평면 옛들포길 76</t>
  </si>
  <si>
    <t>건축사사무소유앤정</t>
  </si>
  <si>
    <t>아산배방지구 11BL 생활숙박시설 개발사업</t>
  </si>
  <si>
    <t>충청남도 아산시 배방읍 아산녹로 10</t>
  </si>
  <si>
    <t>2021.12.28</t>
  </si>
  <si>
    <t>(주)한화</t>
  </si>
  <si>
    <t>(주)해안종합건축사사무소</t>
  </si>
  <si>
    <t>(주)한미글로벌건축사사무소</t>
  </si>
  <si>
    <t>(주)코람코자산신탁</t>
  </si>
  <si>
    <t>돌산읍 평사리 1405-50 숙박시설 (주식회사와이피하우스앤…)</t>
  </si>
  <si>
    <t>전라남도 여수시 돌산읍 진모1길 29-26</t>
  </si>
  <si>
    <t>지산동 850-14 숙박시설 (***)</t>
  </si>
  <si>
    <t>경기도 평택시 송탄2로65번길 6-3 (지산동)</t>
  </si>
  <si>
    <t>2021.09.09</t>
  </si>
  <si>
    <t>십정동 409-4 숙박시설 (***)</t>
  </si>
  <si>
    <t>인천광역시 부평구 백범로456번길 20-24 (십정동)</t>
  </si>
  <si>
    <t>2021.09.23</t>
  </si>
  <si>
    <t>2022.03.21</t>
  </si>
  <si>
    <t>명가건설(주)</t>
  </si>
  <si>
    <t>(주)건축사사무소아이엔오그룹</t>
  </si>
  <si>
    <t>연라동 551-7 숙박시설 (***)</t>
  </si>
  <si>
    <t>경기도 여주시 명품1로 254 (연라동)</t>
  </si>
  <si>
    <t>2021.06.08</t>
  </si>
  <si>
    <t>(주)누리개발</t>
  </si>
  <si>
    <t>애월읍 어음리 3458-1 숙박시설 (***)</t>
  </si>
  <si>
    <t>제주특별자치도 제주시 애월읍 어음리 3458-1번지</t>
  </si>
  <si>
    <t>2022.01.26</t>
  </si>
  <si>
    <t>앙성면 능암리 627-9 숙박시설 ((주)에코더블유충주지사)</t>
  </si>
  <si>
    <t>충청북도 충주시 앙성면 가곡로 1500</t>
  </si>
  <si>
    <t>2022.02.22</t>
  </si>
  <si>
    <t>2022.03.18</t>
  </si>
  <si>
    <t>(주)리드플랜디자인그룹</t>
  </si>
  <si>
    <t>창세기건축사사무소</t>
  </si>
  <si>
    <t>안현동 224-39 숙박시설 (***)</t>
  </si>
  <si>
    <t>강원특별자치도 강릉시 해안로 663-67 (안현동)</t>
  </si>
  <si>
    <t>2022.03.17</t>
  </si>
  <si>
    <t>올래종합건설(주)</t>
  </si>
  <si>
    <t>우진건축사사무소</t>
  </si>
  <si>
    <t>양남면 수렴리 21-5 숙박시설</t>
  </si>
  <si>
    <t>경상북도 경주시 양남로 279</t>
  </si>
  <si>
    <t>2022.02.21</t>
  </si>
  <si>
    <t>동화종합건설(주)</t>
  </si>
  <si>
    <t>건축사사무소이공</t>
  </si>
  <si>
    <t>공감건축사사무소</t>
  </si>
  <si>
    <t>와룡면 중가구리 236-7 숙박시설 (***)</t>
  </si>
  <si>
    <t>경상북도 안동시 와룡면 동악골길 95</t>
  </si>
  <si>
    <t>2022.03.08</t>
  </si>
  <si>
    <t>운(주)</t>
  </si>
  <si>
    <t>(주)종합건축사사무소건원건축</t>
  </si>
  <si>
    <t>중동 18290000 숙박시설 (주식회사엘시티피아이에프브이)</t>
  </si>
  <si>
    <t>부산광역시 해운대구 달맞이길 30 (중동, 엘시티)</t>
  </si>
  <si>
    <t>(주)엘시티피에프브이</t>
  </si>
  <si>
    <t>공동주택</t>
  </si>
  <si>
    <t>산인면 신산리 84-2 숙박시설 (***)</t>
  </si>
  <si>
    <t>경상남도 함안군 산인면 신산로 207-1</t>
  </si>
  <si>
    <t>2021.12.30</t>
  </si>
  <si>
    <t>예광종합건설(주)</t>
  </si>
  <si>
    <t>에코건축사사무소</t>
  </si>
  <si>
    <t>(주)드림개발</t>
  </si>
  <si>
    <t>청계면 복길리 112-2 숙박시설 (***)</t>
  </si>
  <si>
    <t>전라남도 무안군 청계면 복길로 164-21</t>
  </si>
  <si>
    <t>2022.01.04</t>
  </si>
  <si>
    <t>정원종합건설(주)</t>
  </si>
  <si>
    <t>건축사사무소이레</t>
  </si>
  <si>
    <t>돌산읍 평사리 318-49 관광숙박시설 (***)</t>
  </si>
  <si>
    <t>전라남도 여수시 돌산읍 돌산로 3169-24</t>
  </si>
  <si>
    <t>2023.02.19</t>
  </si>
  <si>
    <t>지구종합건설(주)</t>
  </si>
  <si>
    <t>행신동 714-2 숙박시설 (***)</t>
  </si>
  <si>
    <t>경기도 고양시 덕양구 충장로 23 (행신동)</t>
  </si>
  <si>
    <t>2021.11.22</t>
  </si>
  <si>
    <t>(주)씨타대헌건설</t>
  </si>
  <si>
    <t>(주)건축사사무소이름</t>
  </si>
  <si>
    <t>(주)유지에셋</t>
  </si>
  <si>
    <t>가조면 일부리 13520000 숙박시설 (***)</t>
  </si>
  <si>
    <t>경상남도 거창군 가조면 일부리 1352번지</t>
  </si>
  <si>
    <t>2021.11.08</t>
  </si>
  <si>
    <t>(주)지안종합건설</t>
  </si>
  <si>
    <t>도원지티건축사사무소</t>
  </si>
  <si>
    <t>명가종합건축사사무소</t>
  </si>
  <si>
    <t>남정면 구계리 10-5 숙박시설 (***)</t>
  </si>
  <si>
    <t>경상북도 영덕군 남정면 구계길 74-1</t>
  </si>
  <si>
    <t>2021.11.25</t>
  </si>
  <si>
    <t>성주건설(주)</t>
  </si>
  <si>
    <t>민우건축사사무소</t>
  </si>
  <si>
    <t>서신면 제부리 146-8 숙박시설 (***)</t>
  </si>
  <si>
    <t>경기도 화성시 서신면 제부말길 89</t>
  </si>
  <si>
    <t>이룸종합건설(주)</t>
  </si>
  <si>
    <t>화진건축사사무소</t>
  </si>
  <si>
    <t>돌산읍 평사리 1383-5 숙박시설 (농업회사법인 여수돌산관…)</t>
  </si>
  <si>
    <t>전라남도 여수시 돌산읍 돌산로 3065-23</t>
  </si>
  <si>
    <t>(주)웰종합건설</t>
  </si>
  <si>
    <t>농업회사법인 여수돌산관광농원(주)</t>
  </si>
  <si>
    <t>송정동 312-6 숙박시설 (***)</t>
  </si>
  <si>
    <t>부산광역시 해운대구 송정광어골로 15-1 (송정동)</t>
  </si>
  <si>
    <t>2021.06.07</t>
  </si>
  <si>
    <t>(주)우재종합건설</t>
  </si>
  <si>
    <t>(주)경부건축사사무소</t>
  </si>
  <si>
    <t>돌산읍 평사리 1292-11 숙박시설 (유한회사아트스페이스)</t>
  </si>
  <si>
    <t>전라남도 여수시 돌산읍 무술목길 125</t>
  </si>
  <si>
    <t>2021.01.11</t>
  </si>
  <si>
    <t>(주)케이엠종합건설</t>
  </si>
  <si>
    <t>(유)아트스페이스</t>
  </si>
  <si>
    <t>둔덕동 221-1 숙박시설 (***)</t>
  </si>
  <si>
    <t>전라남도 여수시 용수1길 8-15 (둔덕동)</t>
  </si>
  <si>
    <t>2022.02.18</t>
  </si>
  <si>
    <t>(유)동부환경</t>
  </si>
  <si>
    <t>성산읍 오조리 374 숙박시설(휴양펜션)및제2종근생 (***)</t>
  </si>
  <si>
    <t>제주특별자치도 서귀포시 성산읍 해맞이해안로 2746</t>
  </si>
  <si>
    <t>(주)이타스</t>
  </si>
  <si>
    <t>신흑동 2302-10 숙박시설 ((주)가온개발)</t>
  </si>
  <si>
    <t>충청남도 보령시 고잠2길 16-7 (신흑동)</t>
  </si>
  <si>
    <t>(주)명일종합건설</t>
  </si>
  <si>
    <t>공간이엔씨건축사사무소</t>
  </si>
  <si>
    <t>이성림건축사사무소</t>
  </si>
  <si>
    <t>(주)가온개발</t>
  </si>
  <si>
    <t>남면 원청리 512-45 숙박시설 (***)</t>
  </si>
  <si>
    <t>충청남도 태안군 남면 청포대길 57-66</t>
  </si>
  <si>
    <t>위고종합건설(주)</t>
  </si>
  <si>
    <t>돌체건축사사무소</t>
  </si>
  <si>
    <t>정안건축사사무소</t>
  </si>
  <si>
    <t>진현동 700-25 숙박시설 (***)</t>
  </si>
  <si>
    <t>경상북도 경주시 불국신단지1길 31 (진현동)</t>
  </si>
  <si>
    <t>색달동 2812-4 숙박시설 (주식회사호텔롯데)</t>
  </si>
  <si>
    <t>제주특별자치도 서귀포시 중문관광로72번길 35 (색달동)</t>
  </si>
  <si>
    <t>2022.02.16</t>
  </si>
  <si>
    <t>(주)맑은누리</t>
  </si>
  <si>
    <t>(주)호텔롯데호텔제주</t>
  </si>
  <si>
    <t>기타강구조,…</t>
  </si>
  <si>
    <t>금암동 471-8 숙박시설</t>
  </si>
  <si>
    <t>전라북도 전주시 덕진구 기린대로 404 (금암동)</t>
  </si>
  <si>
    <t>2021.12.06</t>
  </si>
  <si>
    <t>2022.02.14</t>
  </si>
  <si>
    <t>(유)피케이건설</t>
  </si>
  <si>
    <t>(유)피앤알솔루션</t>
  </si>
  <si>
    <t>금암동 471-7 숙박시설</t>
  </si>
  <si>
    <t>전라북도 전주시 덕진구 기린대로 406 (금암동)</t>
  </si>
  <si>
    <t>나무건축사사무소</t>
  </si>
  <si>
    <t>서생면 진하리 72-4 숙박시설 (***)</t>
  </si>
  <si>
    <t>울산광역시 울주군 서생면 진하8길 15-11</t>
  </si>
  <si>
    <t>2021.11.02</t>
  </si>
  <si>
    <t>(주)진양건설</t>
  </si>
  <si>
    <t>(주)종합건축사사무소와이지</t>
  </si>
  <si>
    <t>유건축사사무소</t>
  </si>
  <si>
    <t>도곡면 천암리 8190000 숙박시설 (한주실업주식회사)</t>
  </si>
  <si>
    <t>전라남도 화순군 도곡면 천암리 819번지</t>
  </si>
  <si>
    <t>2021.05.13</t>
  </si>
  <si>
    <t>더원종합건설산업(주)</t>
  </si>
  <si>
    <t>에스에이치건축사사무소</t>
  </si>
  <si>
    <t>한주실업(주)</t>
  </si>
  <si>
    <t>양평읍 회현리 110-6 숙박시설 (***)</t>
  </si>
  <si>
    <t>경기도 양평군 양평읍 샘물길 65</t>
  </si>
  <si>
    <t>2021.11.18</t>
  </si>
  <si>
    <t>(주)선진건축사사무소</t>
  </si>
  <si>
    <t>콘크리트구조</t>
  </si>
  <si>
    <t>월평동 512-1 숙박시설 (주식회사컨티뉴)</t>
  </si>
  <si>
    <t>대전광역시 서구 월평로 53-9 (월평동)</t>
  </si>
  <si>
    <t>도담건축사사무소</t>
  </si>
  <si>
    <t>탕정면 매곡리 1209 근생&amp;숙박시설 (주식회사 무궁화신탁)</t>
  </si>
  <si>
    <t>충청남도 아산시 탕정면 한들물빛6로 26</t>
  </si>
  <si>
    <t>2021.10.15</t>
  </si>
  <si>
    <t>2022.02.08</t>
  </si>
  <si>
    <t>2024.05.02</t>
  </si>
  <si>
    <t>(주)태정씨앤디</t>
  </si>
  <si>
    <t>미르건축사사무소</t>
  </si>
  <si>
    <t>상면 덕현리 91-31 - 숙박시설(관광숙박시설/호스텔)</t>
  </si>
  <si>
    <t>경기도 가평군 상면 윗다월길 65-120</t>
  </si>
  <si>
    <t>두원종합건설(주)</t>
  </si>
  <si>
    <t>고현면 갈화리 20-3 숙박시설 (파라다이스건설(***))</t>
  </si>
  <si>
    <t>경상남도 남해군 고현면 남서대로 3198-33</t>
  </si>
  <si>
    <t>2021.10.16</t>
  </si>
  <si>
    <t>사이버존</t>
  </si>
  <si>
    <t>길상면 동검리 262-1 숙박시설 (***)</t>
  </si>
  <si>
    <t>인천광역시 강화군 길상면 동검길154번길 24-17</t>
  </si>
  <si>
    <t>2022.01.28</t>
  </si>
  <si>
    <t>2022.02.03</t>
  </si>
  <si>
    <t>당산동 171-14 숙박시설</t>
  </si>
  <si>
    <t>서울특별시 영등포구 버드나루로23길 23 (당산동)</t>
  </si>
  <si>
    <t>2022.01.21</t>
  </si>
  <si>
    <t>2023.11.02</t>
  </si>
  <si>
    <t>종합건축사사무소한목기술단(주)</t>
  </si>
  <si>
    <t>탄현면 성동리 124-77 숙박시설 ((주)비젼피엠씨)</t>
  </si>
  <si>
    <t>경기도 파주시 탄현면 새오리로161번길 13-21</t>
  </si>
  <si>
    <t>2021.12.08</t>
  </si>
  <si>
    <t>동성건축사사무소</t>
  </si>
  <si>
    <t>탄현면 성동리 124-24 숙박시설 ((주)비젼피엠씨)</t>
  </si>
  <si>
    <t>경기도 파주시 탄현면 새오리로161번길 13-23</t>
  </si>
  <si>
    <t>석촌동 1-7 숙박시설 (***)</t>
  </si>
  <si>
    <t>서울특별시 송파구 삼학사로 98 (석촌동)</t>
  </si>
  <si>
    <t>2022.01.25</t>
  </si>
  <si>
    <t>현가람건축사사무소</t>
  </si>
  <si>
    <t>강하면 동오리 630-1 숙박시설 (원광호)</t>
  </si>
  <si>
    <t>경기도 양평군 강하면 동문3길 68-1</t>
  </si>
  <si>
    <t>2022.01.24</t>
  </si>
  <si>
    <t>조천읍 함덕리 30710000 숙박시설 (***)</t>
  </si>
  <si>
    <t>제주특별자치도 제주시 조천읍 함덕6길 6-1</t>
  </si>
  <si>
    <t>2022.01.23</t>
  </si>
  <si>
    <t>(주)케이원건설</t>
  </si>
  <si>
    <t>(주)건축사사무소고가</t>
  </si>
  <si>
    <t>어물동 214-7 숙박시설 (***)</t>
  </si>
  <si>
    <t>울산광역시 북구 동해안로 762 (어물동)</t>
  </si>
  <si>
    <t>2022.01.20</t>
  </si>
  <si>
    <t>건축사사무소채움</t>
  </si>
  <si>
    <t>광양 중동 1814-3 일반숙박시설 신축공사</t>
  </si>
  <si>
    <t>전라남도 광양시 항만9로103-15 (중동)</t>
  </si>
  <si>
    <t>2021.08.13</t>
  </si>
  <si>
    <t>(주)명준종합건설</t>
  </si>
  <si>
    <t>건축사사무소청담</t>
  </si>
  <si>
    <t>(유)투모텔</t>
  </si>
  <si>
    <t>도척면 도웅리 533 숙박시설 ((주)에스엔아이코퍼레이션)</t>
  </si>
  <si>
    <t>경기도 광주시 도척면 도척윗로 278</t>
  </si>
  <si>
    <t>2022.01.17</t>
  </si>
  <si>
    <t>(주)디앤오</t>
  </si>
  <si>
    <t>도모건축사사무소</t>
  </si>
  <si>
    <t>상면 행현리 371-1 숙박시설 (***) B</t>
  </si>
  <si>
    <t>경기도 가평군 상면 수목원로 170-15</t>
  </si>
  <si>
    <t>2022.01.12</t>
  </si>
  <si>
    <t>병곡면 백석리 339-6 숙박시설숙박시설 (***)</t>
  </si>
  <si>
    <t>경상북도 영덕군 병곡면 훈들로 116</t>
  </si>
  <si>
    <t>(주)듀라크씨오엔</t>
  </si>
  <si>
    <t>(주)이성범건축사사무소</t>
  </si>
  <si>
    <t>상면 임초리 206 숙박시설 (***)</t>
  </si>
  <si>
    <t>2021.12.03</t>
  </si>
  <si>
    <t>2022.01.13</t>
  </si>
  <si>
    <t>상면 임초리 206 숙박시설 (***) (1)</t>
  </si>
  <si>
    <t>경기도 가평군 상면 임초방안골로 119-104</t>
  </si>
  <si>
    <t>원흥리 517-21 숙박시설</t>
  </si>
  <si>
    <t>경기도 가평군 상면 청군로 1556</t>
  </si>
  <si>
    <t>2021.09.30</t>
  </si>
  <si>
    <t>(주)대신주택건설</t>
  </si>
  <si>
    <t>서면 운평리 1600000 숙박시설 (순천시)</t>
  </si>
  <si>
    <t>전라남도 순천시 서면 청소년수련원길 170</t>
  </si>
  <si>
    <t>해동건설(주)</t>
  </si>
  <si>
    <t>(주)건축사사무소한신</t>
  </si>
  <si>
    <t>포인트건축사사무소</t>
  </si>
  <si>
    <t>애월읍 상귀리 1229-1 숙박시설 (***)</t>
  </si>
  <si>
    <t>제주특별자치도 제주시 애월읍 예소길 49-1</t>
  </si>
  <si>
    <t>(주)가람영산건축사사무소</t>
  </si>
  <si>
    <t>쌍림동 25-16 숙박시설 (주식회사제이에스에프알)</t>
  </si>
  <si>
    <t>서울특별시 중구 퇴계로53길 8 (쌍림동)</t>
  </si>
  <si>
    <t>신성종합건설(주)</t>
  </si>
  <si>
    <t>리드종합건축사사무소</t>
  </si>
  <si>
    <t>양남면 읍천리 400-1 숙박시설 (***)</t>
  </si>
  <si>
    <t>경상북도 경주시 양남면 동해안로 512</t>
  </si>
  <si>
    <t>2021.09.02</t>
  </si>
  <si>
    <t>생활숙박시설 (방기정)</t>
  </si>
  <si>
    <t>주문진읍 주문리 266-5 숙박시설 ((***)인포위니드 주문진지…)</t>
  </si>
  <si>
    <t>강원특별자치도 강릉시 주문진읍 해안로 1811</t>
  </si>
  <si>
    <t>2021.05.06</t>
  </si>
  <si>
    <t>2022.01.03</t>
  </si>
  <si>
    <t>2024.01.29</t>
  </si>
  <si>
    <t>(주)태현종합건설</t>
  </si>
  <si>
    <t>건축사사무소에이앤씨건축</t>
  </si>
  <si>
    <t>건축사사무소예인</t>
  </si>
  <si>
    <t>(주)인포위니드주문진지점</t>
  </si>
  <si>
    <t>상동 1115-12 숙박시설 ((유)제이에프)</t>
  </si>
  <si>
    <t>전라남도 목포시 미향로 14 (상동)</t>
  </si>
  <si>
    <t>새하늘종합건설(주)</t>
  </si>
  <si>
    <t>(유)아름건축사사무소</t>
  </si>
  <si>
    <t>(유)제이에프</t>
  </si>
  <si>
    <t>신흑동 근생 및 숙박시설 (***)</t>
  </si>
  <si>
    <t>충청남도 보령시 머로로 20 (신흑동)</t>
  </si>
  <si>
    <t>2021.07.22</t>
  </si>
  <si>
    <t>2021.12.29</t>
  </si>
  <si>
    <t>(주)이산종합건설</t>
  </si>
  <si>
    <t>백송건축사사무소</t>
  </si>
  <si>
    <t>성동동 175-17 숙박시설 (***)</t>
  </si>
  <si>
    <t>경상북도 경주시 원화로340번길 12 (성동동)</t>
  </si>
  <si>
    <t>2021.12.24</t>
  </si>
  <si>
    <t>광석동 14-1 숙박시설 (***)</t>
  </si>
  <si>
    <t>경상북도 안동시 광석4길 11 (광석동)</t>
  </si>
  <si>
    <t>2021.12.21</t>
  </si>
  <si>
    <t>건축사사무소한림</t>
  </si>
  <si>
    <t>상면 행현리 322-13 숙박시설 및 근생</t>
  </si>
  <si>
    <t>경기도 가평군 상면 측령로45번길 93-48</t>
  </si>
  <si>
    <t>남면 석교리 315 숙박시설 (***)</t>
  </si>
  <si>
    <t>경상남도 남해군 남면 석교리 315번지</t>
  </si>
  <si>
    <t>(주)초원종합건설</t>
  </si>
  <si>
    <t>종합건축사사무소혁성</t>
  </si>
  <si>
    <t>대소면 대풍리 573-3 일반숙박시설</t>
  </si>
  <si>
    <t>충청북도 음성군 대소면 대금로 77-18</t>
  </si>
  <si>
    <t>2021.07.26</t>
  </si>
  <si>
    <t>(주)화인건설</t>
  </si>
  <si>
    <t>(주)여울종합건축사사무소</t>
  </si>
  <si>
    <t>서면 태하리 477-1 숙박시설</t>
  </si>
  <si>
    <t>경상북도 울릉군 서면 태하리 477-1번지</t>
  </si>
  <si>
    <t>2021.10.07</t>
  </si>
  <si>
    <t>이에스종합건설(주)</t>
  </si>
  <si>
    <t>생활숙박시설 (***)</t>
  </si>
  <si>
    <t>제주특별자치도 제주시 한림읍 월령길 151-2</t>
  </si>
  <si>
    <t>(주)아임</t>
  </si>
  <si>
    <t>건축사사무소지성건축</t>
  </si>
  <si>
    <t>거창읍 중앙리 163-1 숙박시설 (***)</t>
  </si>
  <si>
    <t>경상남도 거창군 거창읍 시장3길 14</t>
  </si>
  <si>
    <t>2021.07.19</t>
  </si>
  <si>
    <t>2021.12.10</t>
  </si>
  <si>
    <t>옐빈건축사사무소</t>
  </si>
  <si>
    <t>문현동 807-5 숙박시설 (***)</t>
  </si>
  <si>
    <t>부산광역시 남구 전포대로 5 (문현동)</t>
  </si>
  <si>
    <t>2021.12.09</t>
  </si>
  <si>
    <t>(주)청호디앤씨</t>
  </si>
  <si>
    <t>상면 임초리 199-2 숙박시설 (***) (3)</t>
  </si>
  <si>
    <t>경기도 가평군 상면 임초방안골로 115-41</t>
  </si>
  <si>
    <t>(주)대신종합건설</t>
  </si>
  <si>
    <t>상면 임초리 199-4 숙박시설 (이민기 외1인) (2)</t>
  </si>
  <si>
    <t>경기도 가평군 상면 임초방안골로 115-46</t>
  </si>
  <si>
    <t>서생면 진하리 73-9 숙박시설 (***)</t>
  </si>
  <si>
    <t>울산광역시 울주군 서생면 진해변길 34</t>
  </si>
  <si>
    <t>2021.12.07</t>
  </si>
  <si>
    <t>(주)씨에이건설그룹</t>
  </si>
  <si>
    <t>건축사사무소상징</t>
  </si>
  <si>
    <t>민 건축사사무소</t>
  </si>
  <si>
    <t>다가동1가 44-9 근린생활시설 및 숙박시설 (***)</t>
  </si>
  <si>
    <t>전라북도 전주시 완산구 전라감영로 19-8 (다가동1가)</t>
  </si>
  <si>
    <t>(주)승경종합건설</t>
  </si>
  <si>
    <t>사유디자인건축사사무소</t>
  </si>
  <si>
    <t>가가건축사사무소</t>
  </si>
  <si>
    <t>스테이 노트</t>
  </si>
  <si>
    <t>영동읍 매천리 211-3 숙박시설 (영동관광호텔)</t>
  </si>
  <si>
    <t>충청북도 영동군 영동읍 매천리 211-9번지</t>
  </si>
  <si>
    <t>2021.08.04</t>
  </si>
  <si>
    <t>다우건설(주)</t>
  </si>
  <si>
    <t>레인보우(주)</t>
  </si>
  <si>
    <t>강진읍 평동리 00000000 숙박시설 (주식회사더원비지니스…)</t>
  </si>
  <si>
    <t>전라남도 강진군 강진읍 영랑로 17</t>
  </si>
  <si>
    <t>장원건축사사무소</t>
  </si>
  <si>
    <t>(주)더원비지니스호텔</t>
  </si>
  <si>
    <t>명동 159-5 숙박시설</t>
  </si>
  <si>
    <t>충청북도 제천시 숭문로6길 5 (명동)</t>
  </si>
  <si>
    <t>2021.12.01</t>
  </si>
  <si>
    <t>포도건축사사무소</t>
  </si>
  <si>
    <t>의림동 38-4 숙박시설 (***)</t>
  </si>
  <si>
    <t>충청북도 제천시 독순9길 14 (의림동)</t>
  </si>
  <si>
    <t>건축사사무소담</t>
  </si>
  <si>
    <t>근흥면 정죽리 351 숙박시설 (***)</t>
  </si>
  <si>
    <t>충청남도 태안군 근흥면 정산포로 262-30</t>
  </si>
  <si>
    <t>2021.11.05</t>
  </si>
  <si>
    <t>다무종합건설(주)</t>
  </si>
  <si>
    <t>현북면 하광정리 622-4 숙박시설 (***)</t>
  </si>
  <si>
    <t>강원특별자치도 양양군 현북면 하조대해안길 31</t>
  </si>
  <si>
    <t>삼성건축사사무소</t>
  </si>
  <si>
    <t>남노송동 536-10 숙박시설 (유한회사가우디움)</t>
  </si>
  <si>
    <t>전라북도 전주시 완산구 한지길 9-2 (남노송동)</t>
  </si>
  <si>
    <t>2021.09.08</t>
  </si>
  <si>
    <t>2021.11.28</t>
  </si>
  <si>
    <t>(주)금정건설</t>
  </si>
  <si>
    <t>우림건축사사무소</t>
  </si>
  <si>
    <t>포럼건축사사무소</t>
  </si>
  <si>
    <t>신포동2가 117-23 숙박시설</t>
  </si>
  <si>
    <t>경상남도 창원시 마산합포구 어시장1길 11 (신포동2가)</t>
  </si>
  <si>
    <t>2021.11.26</t>
  </si>
  <si>
    <t>성진건축사사무소</t>
  </si>
  <si>
    <t>도시환경건축사사무소</t>
  </si>
  <si>
    <t>대흥동 466-9 숙박시설 (천성우)</t>
  </si>
  <si>
    <t>대전광역시 중구 중교로 27-2 (대흥동)</t>
  </si>
  <si>
    <t>2021.11.23</t>
  </si>
  <si>
    <t>(주)장종합건축사사무소</t>
  </si>
  <si>
    <t>남면 선구리 659 숙박시설 ((주)가연개발)</t>
  </si>
  <si>
    <t>경상남도 남해군 남면 남면로1031번길 52</t>
  </si>
  <si>
    <t>(주)고웅종합건설</t>
  </si>
  <si>
    <t>근흥면 용신리 656-14 숙박시설 (***)</t>
  </si>
  <si>
    <t>충청남도 태안군 근흥면 용도로 318-14</t>
  </si>
  <si>
    <t>2021.09.10</t>
  </si>
  <si>
    <t>주성종합건설(주)</t>
  </si>
  <si>
    <t>신장동 208-22 일반숙박시설 및 근생시설</t>
  </si>
  <si>
    <t>경기도 평택시 신장동 208-22번지</t>
  </si>
  <si>
    <t>2021.02.08</t>
  </si>
  <si>
    <t>2021.11.19</t>
  </si>
  <si>
    <t>(주)지오종합건설</t>
  </si>
  <si>
    <t>(주)정헌섭건축사사무소</t>
  </si>
  <si>
    <t>덕진동1가 1277-7 숙박시설 (유)진명</t>
  </si>
  <si>
    <t>전북특별자치도 전주시 덕진구 명륜5길 9-6 (덕진동1가)</t>
  </si>
  <si>
    <t>2021.11.15</t>
  </si>
  <si>
    <t>(주)보창</t>
  </si>
  <si>
    <t>아인건축사사무소</t>
  </si>
  <si>
    <t>(유)진명</t>
  </si>
  <si>
    <t>상하면 자룡리 450-1 숙박시설 (강선달마을회)</t>
  </si>
  <si>
    <t>전라북도 고창군 상하면 구시포해변길 160-3</t>
  </si>
  <si>
    <t>2021.10.28</t>
  </si>
  <si>
    <t>2021.11.12</t>
  </si>
  <si>
    <t>(주)금아건설</t>
  </si>
  <si>
    <t>궁촌동 342-3 숙박시설 ((주)더호텔시티)</t>
  </si>
  <si>
    <t>충청남도 보령시 터미널길 24-8 (궁촌동)</t>
  </si>
  <si>
    <t>(주)호텔그랜드베이</t>
  </si>
  <si>
    <t>명성리 숙박시설</t>
  </si>
  <si>
    <t>경기도 양평군 단월면 동충길 50-21</t>
  </si>
  <si>
    <t>(주)믿음종합건설</t>
  </si>
  <si>
    <t>아키필건축사사무소</t>
  </si>
  <si>
    <t>고덕면 동청리 34-4 숙박시설</t>
  </si>
  <si>
    <t>경기도 평택시 고덕면 청원로 661-15</t>
  </si>
  <si>
    <t>2021.10.18</t>
  </si>
  <si>
    <t>아키원건축사사무소</t>
  </si>
  <si>
    <t>명성리 생활형숙박시설</t>
  </si>
  <si>
    <t>(주)에스앤종합건설</t>
  </si>
  <si>
    <t>상면 상동리 75-15 숙박시설 (***)_1단지</t>
  </si>
  <si>
    <t>경기도 가평군 상면 돌아우길 61-25</t>
  </si>
  <si>
    <t>상면 상동리 75-12 숙박시설 (***)_2단지</t>
  </si>
  <si>
    <t>경기도 가평군 상면 돌아우길 51</t>
  </si>
  <si>
    <t>상면 상동리 75-7 숙박시설 (코리아신탁(***))</t>
  </si>
  <si>
    <t>경기도 가평군 상면 돌아우길 61-41</t>
  </si>
  <si>
    <t>2021.10.26</t>
  </si>
  <si>
    <t>2021.11.04</t>
  </si>
  <si>
    <t>돌산읍 우두리 661-30 숙박시설 (***)</t>
  </si>
  <si>
    <t>전라남도 여수시 돌산읍 우두3길 102</t>
  </si>
  <si>
    <t>부강해(주)</t>
  </si>
  <si>
    <t>남면 부상리 789 숙박시설 (***)</t>
  </si>
  <si>
    <t>경상북도 김천시 남면 부상리 24</t>
  </si>
  <si>
    <t>2021.04.28</t>
  </si>
  <si>
    <t>2022.12.16</t>
  </si>
  <si>
    <t>(주)특수건설</t>
  </si>
  <si>
    <t>건축사사무소수공</t>
  </si>
  <si>
    <t>진일건축사사무소</t>
  </si>
  <si>
    <t>덕산면 신평리 117 숙박시설 (***)</t>
  </si>
  <si>
    <t>충청남도 예산군 덕산면 율봉길로 877</t>
  </si>
  <si>
    <t>2021.08.10</t>
  </si>
  <si>
    <t>비에이치종합건설(주)</t>
  </si>
  <si>
    <t>영월 한옥마을 종택(숙박시설 ①-1)</t>
  </si>
  <si>
    <t>강원특별자치도 영월군 남면 문개실길 37-222</t>
  </si>
  <si>
    <t>건축사사무소강희재</t>
  </si>
  <si>
    <t>가조면 일부리 13560000 숙박시설 (***)</t>
  </si>
  <si>
    <t>경상남도 거창군 가조면 온천길 27-26</t>
  </si>
  <si>
    <t>2022.06.30</t>
  </si>
  <si>
    <t>삼동면 금송리 744-3숙박시설 (주식회사가연개발대표조규진)</t>
  </si>
  <si>
    <t>경상남도 남해군 삼동면 금송리 744-6번지</t>
  </si>
  <si>
    <t>건축사사무소아키원</t>
  </si>
  <si>
    <t>안현동 89-36 숙박시설 ((***))</t>
  </si>
  <si>
    <t>강원특별자치도 강릉시 연현동 89-64번지</t>
  </si>
  <si>
    <t>2021.06.29</t>
  </si>
  <si>
    <t>2021.10.27</t>
  </si>
  <si>
    <t>(주)종합건축사사무소아키라인</t>
  </si>
  <si>
    <t>(주)승산</t>
  </si>
  <si>
    <t>남면 몽산리 249 숙박시설 (***)</t>
  </si>
  <si>
    <t>충청남도 태안군 남면 우유길 158-4</t>
  </si>
  <si>
    <t>2021.08.03</t>
  </si>
  <si>
    <t>2022.07.28</t>
  </si>
  <si>
    <t>(주)아이온산업개발</t>
  </si>
  <si>
    <t>중동 1318-1 숙박시설 (유한회사 딕스)</t>
  </si>
  <si>
    <t>전라남도 광양시 행정1길 32 (중동)</t>
  </si>
  <si>
    <t>2021.06.25</t>
  </si>
  <si>
    <t>(주)락건축사사무소</t>
  </si>
  <si>
    <t>(유)원모텔</t>
  </si>
  <si>
    <t>석문면 교로리 920 숙박시설 (***)</t>
  </si>
  <si>
    <t>충청남도 당진시 석문면 교로길 5-18</t>
  </si>
  <si>
    <t>2021.10.25</t>
  </si>
  <si>
    <t>종합건축사사무소이에스</t>
  </si>
  <si>
    <t>영인면 아산리 56-1 숙박시설 (아산시장)</t>
  </si>
  <si>
    <t>충청남도 아산시 영인면 아산온천로 16-24</t>
  </si>
  <si>
    <t>2021.07.27</t>
  </si>
  <si>
    <t>신화산림(주)</t>
  </si>
  <si>
    <t>(주)에이원엘디건축사사무소</t>
  </si>
  <si>
    <t>아산시청</t>
  </si>
  <si>
    <t>대정읍 상모리 87-22 숙박시설 (주식회사젠하이더웨이)</t>
  </si>
  <si>
    <t>제주특별자치도 서귀포시 대정읍 형제해안로 284</t>
  </si>
  <si>
    <t>(주)하이드어웨이건설</t>
  </si>
  <si>
    <t>젠하이드어웨이</t>
  </si>
  <si>
    <t>서부면 남당리 620-2 숙박시설 (***)</t>
  </si>
  <si>
    <t>충청남도 홍성군 서부면 남당리 620-2번지</t>
  </si>
  <si>
    <t>2021.08.31</t>
  </si>
  <si>
    <t>호명면 황지리 84외1필지 숙박시설 및 제2종근생(일반음식점)</t>
  </si>
  <si>
    <t>경상북도 예천군 호명면 강변로 586</t>
  </si>
  <si>
    <t>(주)세라종합건설</t>
  </si>
  <si>
    <t>(주)세라하우징</t>
  </si>
  <si>
    <t>건축사사무소태봉</t>
  </si>
  <si>
    <t>한맥개발(주)</t>
  </si>
  <si>
    <t>상면 임초리 199-1 숙박시설 (***)</t>
  </si>
  <si>
    <t>경기도 가평군 상면 임초방안골로 115-25</t>
  </si>
  <si>
    <t>2021.10.19</t>
  </si>
  <si>
    <t>송정동 312-16 숙박시설 (주식회사호연포레)</t>
  </si>
  <si>
    <t>부산광역시 해운대구 송정동 312-16번지</t>
  </si>
  <si>
    <t>솔터건설(주)</t>
  </si>
  <si>
    <t>건축사사무소일지</t>
  </si>
  <si>
    <t>(주)가산건축사사무소</t>
  </si>
  <si>
    <t>토지면 외곡리 837-1 숙박시설 (***)</t>
  </si>
  <si>
    <t>전라남도 구례군 토지면 첨진강대로 4310-39</t>
  </si>
  <si>
    <t>씨엠건축사사무소</t>
  </si>
  <si>
    <t>기타조적구조…</t>
  </si>
  <si>
    <t>괴산읍 서부리 234 숙박시설 (***)</t>
  </si>
  <si>
    <t>충청북도 괴산군 괴산읍 읍내로15길 30</t>
  </si>
  <si>
    <t>퍼스트건설(주)</t>
  </si>
  <si>
    <t>류홍열건축사사무소</t>
  </si>
  <si>
    <t>울릉읍 사동리 684-61 숙박시설 (***)</t>
  </si>
  <si>
    <t>경상북도 울릉군 울릉읍 사동리 85</t>
  </si>
  <si>
    <t>2021.10.11</t>
  </si>
  <si>
    <t>상면 상동리 237 숙박시설 (***)</t>
  </si>
  <si>
    <t>경기도 가평군 상면 비룡로 1705-1</t>
  </si>
  <si>
    <t>2021.07.09</t>
  </si>
  <si>
    <t>추부면 마전리 239-4 숙박시설</t>
  </si>
  <si>
    <t>충청남도 금산군 추부면 서대산로 161</t>
  </si>
  <si>
    <t>(주)세한종합건설</t>
  </si>
  <si>
    <t>건축사사무소공간</t>
  </si>
  <si>
    <t>그린건축사사무소</t>
  </si>
  <si>
    <t>조종면 상판리 69 숙박시설 (***)</t>
  </si>
  <si>
    <t>경기도 가평군 조종면 명지산 566</t>
  </si>
  <si>
    <t>서포면 비토리 5-241 숙박시설 (***)</t>
  </si>
  <si>
    <t>경상남도 사천시 서포면 용궁로 25-23</t>
  </si>
  <si>
    <t>2021.09.29</t>
  </si>
  <si>
    <t>진원건축사사무소</t>
  </si>
  <si>
    <t>조종면 대보리 54-1 숙박시설 (***)</t>
  </si>
  <si>
    <t>경기도 가평군 조종면 대보간선로 621</t>
  </si>
  <si>
    <t>2021.08.12</t>
  </si>
  <si>
    <t>2021.10.05</t>
  </si>
  <si>
    <t>조종면 대보리 59-1 숙박시설 (***)</t>
  </si>
  <si>
    <t>경기도 가평군 조종면 대보간선로 617</t>
  </si>
  <si>
    <t>태안읍 남산리 801-17 숙박시설</t>
  </si>
  <si>
    <t>충청남도 태안군 태안읍 안면대로 368-15</t>
  </si>
  <si>
    <t>(주)더원종합건설</t>
  </si>
  <si>
    <t>건축사사무소강현</t>
  </si>
  <si>
    <t>진현동 63-63 숙박시설</t>
  </si>
  <si>
    <t>경상북도 경주시 불국신택지3길 34 (진현동)</t>
  </si>
  <si>
    <t>울릉읍 저동리 18-1 숙박시설 (***)</t>
  </si>
  <si>
    <t>경상북도 울릉군 울릉읍 울릉순환로 31-19</t>
  </si>
  <si>
    <t>2021.02.24</t>
  </si>
  <si>
    <t>서면 도둔리 1420 숙박시설 (***)</t>
  </si>
  <si>
    <t>충청남도 서천군 서면 춘장대길 67</t>
  </si>
  <si>
    <t>2021.09.14</t>
  </si>
  <si>
    <t>네오종합건설(주)</t>
  </si>
  <si>
    <t>건축사사무소신아</t>
  </si>
  <si>
    <t>영북면 산정리 461-7 숙박시설 (***)</t>
  </si>
  <si>
    <t>경기도 포천시 영북면 산정호수로 450-8</t>
  </si>
  <si>
    <t>평화종합건축사사무소</t>
  </si>
  <si>
    <t>유아관광농원</t>
  </si>
  <si>
    <t>전라남도 담양군 용면 추월산로 737</t>
  </si>
  <si>
    <t>2021.04.13</t>
  </si>
  <si>
    <t>플러스종합건설(주)</t>
  </si>
  <si>
    <t>(주)로운건축사사무소</t>
  </si>
  <si>
    <t>농업회사법인 대자연인(주)</t>
  </si>
  <si>
    <t>상면 상동리 70-7외 2필지 숙박시설 (***)</t>
  </si>
  <si>
    <t>경기도 가평군 상면 상동리 70-7번지</t>
  </si>
  <si>
    <t>상면 상동리 71-4외 1필지 숙박시설 (***)</t>
  </si>
  <si>
    <t>경기도 가평군 상면 돌아우길 42-24</t>
  </si>
  <si>
    <t>(주)태웅건설</t>
  </si>
  <si>
    <t>에스팀건축사사무소</t>
  </si>
  <si>
    <t>상면 임초리 170-6 숙박시설 (***)</t>
  </si>
  <si>
    <t>경기도 가평군 상면 임초방안골로 162-14</t>
  </si>
  <si>
    <t>신흑동 2009 숙박시설 (***)</t>
  </si>
  <si>
    <t>충청남도 보령시 해수욕장3길 11-35 (신흑동)</t>
  </si>
  <si>
    <t>2025.05.28</t>
  </si>
  <si>
    <t>중부토건(주)</t>
  </si>
  <si>
    <t>웅천읍 독산리 663-2 숙박시설 (***)</t>
  </si>
  <si>
    <t>충청남도 보령시 웅천읍 열린바다로 599-19</t>
  </si>
  <si>
    <t>부곡면 거문리 217-45 숙박시설 ((주)한성호텔)</t>
  </si>
  <si>
    <t>경상남도 창녕군 부곡면 온천중앙로 47</t>
  </si>
  <si>
    <t>2024.12.05</t>
  </si>
  <si>
    <t>(주)한성호텔</t>
  </si>
  <si>
    <t>종합건축사사무소비원</t>
  </si>
  <si>
    <t>서금동 144 숙박시설 (***)</t>
  </si>
  <si>
    <t>경상남도 사천시 목섬길 45 (서금동)</t>
  </si>
  <si>
    <t>잠실동 40-1 숙박시설 ((주)호텔롯데)</t>
  </si>
  <si>
    <t>서울특별시 송파구 송파대로 521 (잠실동)</t>
  </si>
  <si>
    <t>(주)레디셋고</t>
  </si>
  <si>
    <t>마이다스건축사사무소</t>
  </si>
  <si>
    <t>호텔롯데월드</t>
  </si>
  <si>
    <t>생극면 신양리 572-1 숙박시설 및 창고시설 (***)</t>
  </si>
  <si>
    <t>충청북도 음성군 생극면 음성로 1748</t>
  </si>
  <si>
    <t>2021.10.12</t>
  </si>
  <si>
    <t>예진건축사사무소</t>
  </si>
  <si>
    <t>칠성면 쌍곡리 191-14 숙박시설 (종단대순진리회성주회)</t>
  </si>
  <si>
    <t>충청북도 괴산군 칠성면 쌍곡로 695</t>
  </si>
  <si>
    <t>2021.06.15</t>
  </si>
  <si>
    <t>남산건축사사무소</t>
  </si>
  <si>
    <t>길상면 동검리 숙박시설</t>
  </si>
  <si>
    <t>인천광역시 강화군 길상면 동검리 262-9번지</t>
  </si>
  <si>
    <t>2021.09.03</t>
  </si>
  <si>
    <t>가평읍 복장리 156-11 숙박시설 (***)</t>
  </si>
  <si>
    <t>경기도 가평군 가평읍 호반로 1643-17</t>
  </si>
  <si>
    <t>2021.09.07</t>
  </si>
  <si>
    <t>(주)랜드앤아키</t>
  </si>
  <si>
    <t>금대리 277-2 생활숙박시설 신축공사</t>
  </si>
  <si>
    <t>경기도 가평군 가평읍 북한강변로 481-25</t>
  </si>
  <si>
    <t>(주)현진종합건설</t>
  </si>
  <si>
    <t>상면 행현리 120-4 외 2필지 생활숙박시설(***)</t>
  </si>
  <si>
    <t>경기도 가평군 상면 측령로70번길 91-16</t>
  </si>
  <si>
    <t>2021.08.20</t>
  </si>
  <si>
    <t>2024.09.19</t>
  </si>
  <si>
    <t>(주)플러시드</t>
  </si>
  <si>
    <t>애월읍 신엄리 2768-7 숙박시설 (에스엠하이플러스(***))</t>
  </si>
  <si>
    <t>제주특별자치도 제주시 애월읍 애월해안로 516-7</t>
  </si>
  <si>
    <t>2021.08.17</t>
  </si>
  <si>
    <t>(주)인터디자인</t>
  </si>
  <si>
    <t>빌라드애월제주</t>
  </si>
  <si>
    <t>영흥면 선재리 521-34 숙박시설 (대형디앤씨)</t>
  </si>
  <si>
    <t>인천광역시 옹진군 영흥면 선재로226번길 164</t>
  </si>
  <si>
    <t>2021.08.23</t>
  </si>
  <si>
    <t>(주)대형디앤씨</t>
  </si>
  <si>
    <t>(주)토방종합건축사사무소</t>
  </si>
  <si>
    <t>설악면 엄소리 453-1 숙박시설 ((주)신금호종합건설)</t>
  </si>
  <si>
    <t>경기도 가평군 설악면 엄소속골길 85-23</t>
  </si>
  <si>
    <t>(주)신금호종합건설</t>
  </si>
  <si>
    <t>표선면 표선리 1470 숙박시설</t>
  </si>
  <si>
    <t>제주특별자치도 서귀포시 표선면 표선동서로 147</t>
  </si>
  <si>
    <t>더플랜건축사사무소</t>
  </si>
  <si>
    <t>삼산면 매음리 114-243 숙박시설 (***)</t>
  </si>
  <si>
    <t>인천광역시 강화군 삼산면 매음리 114-243번지</t>
  </si>
  <si>
    <t>건축사사무소알앤비</t>
  </si>
  <si>
    <t>가평읍 두밀리 1240000 숙박시설 (***)</t>
  </si>
  <si>
    <t>경기도 가평군 가평읍 태봉두밀로406번길 153-6</t>
  </si>
  <si>
    <t>드림건축사사무소(주)</t>
  </si>
  <si>
    <t>무풍면 삼거리 251-2 숙박시설,근생,단독주택 신축 (***)</t>
  </si>
  <si>
    <t>2021.07.13</t>
  </si>
  <si>
    <t>(주)오산종합건설</t>
  </si>
  <si>
    <t>도곡면 원화리 5860000 숙박시설 ((유)므네모(mnemo))</t>
  </si>
  <si>
    <t>전라남도 화순군 도곡면 온천1길 28-50</t>
  </si>
  <si>
    <t>(유)므네모</t>
  </si>
  <si>
    <t>자월면 승봉리 778-11 숙박시설 (***)</t>
  </si>
  <si>
    <t>인천광역시 옹진군 자월면 승봉리 778-11번지</t>
  </si>
  <si>
    <t>2021.08.25</t>
  </si>
  <si>
    <t>2021.08.27</t>
  </si>
  <si>
    <t>2021.09.13</t>
  </si>
  <si>
    <t>건축사사무소공감</t>
  </si>
  <si>
    <t>상면 상동리 88-1 숙박시설 (***)</t>
  </si>
  <si>
    <t>경기도 가평군 상면 들아우길 25-51</t>
  </si>
  <si>
    <t>가평읍 두밀리 125-14 숙박시설 (***)</t>
  </si>
  <si>
    <t>경기도 가평군 가평읍 태봉두밀로 421-57</t>
  </si>
  <si>
    <t>웅치면 대산리 67 숙박시설 (보성군)</t>
  </si>
  <si>
    <t>전라남도 보성군 웅치면 대산길 330</t>
  </si>
  <si>
    <t>국토종합건설(주)</t>
  </si>
  <si>
    <t>삼보건축사사무소</t>
  </si>
  <si>
    <t>나눔건축사사무소</t>
  </si>
  <si>
    <t>철근콘크리트구조</t>
  </si>
  <si>
    <t>남면 신온리 168-22 숙박시설 (***)</t>
  </si>
  <si>
    <t>충청남도 태안군 남면 마검포길 185-6</t>
  </si>
  <si>
    <t>관수동 18-1 숙박시설 (주식회사 누보홀딩스)</t>
  </si>
  <si>
    <t>서울특별시 종로구 수표로18길 5 (관수동)</t>
  </si>
  <si>
    <t>2021.01.29</t>
  </si>
  <si>
    <t>(주)펜타건축사사무소</t>
  </si>
  <si>
    <t>벌리동 483-4 숙박시설 (***)</t>
  </si>
  <si>
    <t>경상남도 사천시 벌리한들길 20 (벌리동)</t>
  </si>
  <si>
    <t>부전동 503-15 숙박시설 (주식회사부산롯데호텔)</t>
  </si>
  <si>
    <t>부산광역시 부산진구 가야대로 772 (부전동)</t>
  </si>
  <si>
    <t>2021.07.02</t>
  </si>
  <si>
    <t>(주)부산롯데호텔</t>
  </si>
  <si>
    <t>미상건축사사무소</t>
  </si>
  <si>
    <t>철골철근콘크리트구조</t>
  </si>
  <si>
    <t>가평읍 복장리 422 숙박시설 (***)</t>
  </si>
  <si>
    <t>경기도 가평군 가평읍 호반로 1515-29</t>
  </si>
  <si>
    <t>2021.06.24</t>
  </si>
  <si>
    <t>베엘건설(주)</t>
  </si>
  <si>
    <t>(주)백올건축사사무소</t>
  </si>
  <si>
    <t>장기면 계원리 177 숙박시설 (***)</t>
  </si>
  <si>
    <t>경상북도 포항시 남구 장기면 동해안로 3081-31</t>
  </si>
  <si>
    <t>(주)대명종합건설</t>
  </si>
  <si>
    <t>금채개발</t>
  </si>
  <si>
    <t>용문면 덕촌리 8 숙박시설 (***)</t>
  </si>
  <si>
    <t>경기도 양평군 용문면 금곡길 147</t>
  </si>
  <si>
    <t>2021.05.12</t>
  </si>
  <si>
    <t>신림종합건설(주)</t>
  </si>
  <si>
    <t>경기도 가평군 설악면 유명로 2150-52</t>
  </si>
  <si>
    <t>2021.08.02</t>
  </si>
  <si>
    <t>설악면 회곡리 256-11 숙박시설 (***)</t>
  </si>
  <si>
    <t>경기도 가평군 설악면 유명로 2150-42</t>
  </si>
  <si>
    <t>설악면 회곡리 256-24 숙박시설 (***)</t>
  </si>
  <si>
    <t>경기도 가평군 설악면 유명로 2150-38</t>
  </si>
  <si>
    <t>설악면 회곡리 256-23 숙박시설 (***)</t>
  </si>
  <si>
    <t>경기도 가평군 설악면 유명로 2150-40</t>
  </si>
  <si>
    <t>설악면 회곡리 256-26 숙박시설 (***)</t>
  </si>
  <si>
    <t>경기도 가평군 설악면 유명로 2150-46</t>
  </si>
  <si>
    <t>설악면 회곡리 256-22 숙박시설 (***)</t>
  </si>
  <si>
    <t>설악면 회곡리 256-9 숙박시설 ((주)와이즈플랜)</t>
  </si>
  <si>
    <t>경기도 가평군 설악면 유명로 2150-28</t>
  </si>
  <si>
    <t>설악면 회곡리 256-10 숙박시설 ((주)와이즈플랜)</t>
  </si>
  <si>
    <t>경기도 가평군 설악면 유명로 2150-32</t>
  </si>
  <si>
    <t>설악면 회곡리 256-15 숙박시설 ((주)와이즈플랜)</t>
  </si>
  <si>
    <t>경기도 가평군 설악면 유명로 2150-20</t>
  </si>
  <si>
    <t>설악면 회곡리 256-17 숙박시설 ((주)와이즈플랜)</t>
  </si>
  <si>
    <t>경기도 가평군 설악면 유명로 2150-26</t>
  </si>
  <si>
    <t>설악면 회곡리 256-19 숙박시설 ((주)와이즈플랜)</t>
  </si>
  <si>
    <t>경기도 가평군 설악면 유명로 2150-30</t>
  </si>
  <si>
    <t>설악면 회곡리 256-21 숙박시설 ((주)와이즈플랜)</t>
  </si>
  <si>
    <t>경기도 가평군 설악면 유명로 2150-34</t>
  </si>
  <si>
    <t>행현리 309-6번지 생활숙박시설 (선우상준)</t>
  </si>
  <si>
    <t>경기도 가평군 상면 수목원로 92-45</t>
  </si>
  <si>
    <t>2021.07.30</t>
  </si>
  <si>
    <t>김영미씨 숙박시설</t>
  </si>
  <si>
    <t>경상남도 밀양시 단장면 시천2길 12-1</t>
  </si>
  <si>
    <t>2021.07.20</t>
  </si>
  <si>
    <t>공간종합건축사사무소</t>
  </si>
  <si>
    <t>금산면 신평리 1001-1 숙박시설 (주식회사동원)</t>
  </si>
  <si>
    <t>전라남도 고흥군 금산면 평산길 96-1</t>
  </si>
  <si>
    <t>2021.04.21</t>
  </si>
  <si>
    <t>2021.07.24</t>
  </si>
  <si>
    <t>(주)동일종합건설</t>
  </si>
  <si>
    <t>이엠건축사사무소</t>
  </si>
  <si>
    <t>라움건축사사무소</t>
  </si>
  <si>
    <t>(주)동원</t>
  </si>
  <si>
    <t>천북면 사호리 778-15 숙박시설 (***)</t>
  </si>
  <si>
    <t>충청남도 보령시 천북면 흑포로 1061-201</t>
  </si>
  <si>
    <t>2021.07.21</t>
  </si>
  <si>
    <t>(주)대성종합건축사사무소</t>
  </si>
  <si>
    <t>만덕동 73-34 숙박시설 (***)</t>
  </si>
  <si>
    <t>부산광역시 북구 만덕고개길 72-3 (만덕동)</t>
  </si>
  <si>
    <t>담양읍 학동리 654-8 숙박시설 (유한회사소아르)</t>
  </si>
  <si>
    <t>전라남도 담양군 담양읍 메타프로방스3길 2</t>
  </si>
  <si>
    <t>건축사사무소</t>
  </si>
  <si>
    <t>(유)소아르</t>
  </si>
  <si>
    <t>관양동 1505-21 숙박시설 (***)</t>
  </si>
  <si>
    <t>경기도 안양시 동안구 흥안대로514번길 7 (관양동)</t>
  </si>
  <si>
    <t>2021.03.11</t>
  </si>
  <si>
    <t>(주)태성이앤지</t>
  </si>
  <si>
    <t>(주)신태양건축사사무소</t>
  </si>
  <si>
    <t>2021.06.18</t>
  </si>
  <si>
    <t>2021.07.16</t>
  </si>
  <si>
    <t>수안보 온천리 191-2 숙박시설 (주식회사수안보온천호텔)</t>
  </si>
  <si>
    <t>충청북도 충주시 수안보면 주정산로 49</t>
  </si>
  <si>
    <t>(주)수안보스파호텔</t>
  </si>
  <si>
    <t>연건축사사무소</t>
  </si>
  <si>
    <t>주안동 213-4 숙박시설 (***)</t>
  </si>
  <si>
    <t>인천광역시 미추홀구 석바위로53번길 18 (주안동)</t>
  </si>
  <si>
    <t>2021.03.31</t>
  </si>
  <si>
    <t>(주)태상종합개발</t>
  </si>
  <si>
    <t>다일건축사사무소</t>
  </si>
  <si>
    <t>설악면 위곡리 106-40 숙박시설 (주식회사당진에너지)</t>
  </si>
  <si>
    <t>경기도 가평군 설악면 한서로375번길 93-26</t>
  </si>
  <si>
    <t>건승건축사사무소</t>
  </si>
  <si>
    <t>북면 제령리 222-2 숙박시설 (***)</t>
  </si>
  <si>
    <t>경기도 가평군 북면 제령아랫말길 67-20</t>
  </si>
  <si>
    <t>(주)삼화종합건설</t>
  </si>
  <si>
    <t>상면 행현리 398-4 숙박시설 (방기정)</t>
  </si>
  <si>
    <t>경기도 가평군 상면 수목원로150번길 28-9</t>
  </si>
  <si>
    <t>2021.06.30</t>
  </si>
  <si>
    <t>2021.07.08</t>
  </si>
  <si>
    <t>도곡면 원화리 5850000 숙박시설 (주식회사골드호텔)</t>
  </si>
  <si>
    <t>전라남도 화순군 도곡면 온천길 28-46</t>
  </si>
  <si>
    <t>(주)골드호텔</t>
  </si>
  <si>
    <t>백석읍 기산리 271-3 숙박시설 (***)</t>
  </si>
  <si>
    <t>경기도 영주시 백석읍 기산로 508-19</t>
  </si>
  <si>
    <t>2021.07.07</t>
  </si>
  <si>
    <t>건축사사무소삼예</t>
  </si>
  <si>
    <t>백석읍 기산리 271 숙박시설 (***)</t>
  </si>
  <si>
    <t>북면 목동리 561-8 숙박시설 (박창재외1인)</t>
  </si>
  <si>
    <t>경기도 가평군 북면 역골로 204-20</t>
  </si>
  <si>
    <t>2021.07.05</t>
  </si>
  <si>
    <t>2021.11.24</t>
  </si>
  <si>
    <t>홍익건설(주)</t>
  </si>
  <si>
    <t>을왕동 763-34 숙박시설 ((주)호텔유니버스)</t>
  </si>
  <si>
    <t>인천광역시 중구 을왕로58번길 9 (을왕동)</t>
  </si>
  <si>
    <t>2021.06.10</t>
  </si>
  <si>
    <t>대웅건설(주)</t>
  </si>
  <si>
    <t>(주)미소건축사사무소</t>
  </si>
  <si>
    <t>(주)호텔유니버스</t>
  </si>
  <si>
    <t>강하면 동오리 494 숙박시설 (***)</t>
  </si>
  <si>
    <t>경기도 양평군 강하면 동문3길 22-14</t>
  </si>
  <si>
    <t>2021.06.16</t>
  </si>
  <si>
    <t>중리동 215-4 숙박시설 (코리아신탁(***))</t>
  </si>
  <si>
    <t>경기도 이천시 어재연로10번길 48 (중리동)</t>
  </si>
  <si>
    <t>2021.06.28</t>
  </si>
  <si>
    <t>양동면 고송리 생활숙박시설 D-1</t>
  </si>
  <si>
    <t>경기도 양평군 양동면 양동로 756-2</t>
  </si>
  <si>
    <t>(주)건물과사람들</t>
  </si>
  <si>
    <t>비엔에이건축사사무소</t>
  </si>
  <si>
    <t>외동읍 입실리 1344-140 숙박시설 및 단독주택</t>
  </si>
  <si>
    <t>경상북도 경주시 외동읍 외날로 1884</t>
  </si>
  <si>
    <t>(주)흥은건축사사무소</t>
  </si>
  <si>
    <t>북면 제령리 544-2 숙박시설 (***)</t>
  </si>
  <si>
    <t>경기도 가평군 북면 꽃넘이길 87-19</t>
  </si>
  <si>
    <t>2021.06.01</t>
  </si>
  <si>
    <t>미사리 321-3번지 숙박시설</t>
  </si>
  <si>
    <t>경기도 가평군 설악면 미사리로 614-19</t>
  </si>
  <si>
    <t>2021.03.25</t>
  </si>
  <si>
    <t>백석읍 기산리 275 숙박시설 (도단디앤씨 장준호)</t>
  </si>
  <si>
    <t>경기도 영주시 백석읍 기산로 508-6</t>
  </si>
  <si>
    <t>2021.03.19</t>
  </si>
  <si>
    <t>(주)도단이앤씨</t>
  </si>
  <si>
    <t>성부건축사사무소</t>
  </si>
  <si>
    <t>청평면 상천리 14750000 숙박시설</t>
  </si>
  <si>
    <t>경기도 가평군 청평면 상저로 131</t>
  </si>
  <si>
    <t>2021.04.30</t>
  </si>
  <si>
    <t>창선면 대벽리 178-13 숙박시설 (***)</t>
  </si>
  <si>
    <t>경상남도 남해군 창선면 서부로 1503-20</t>
  </si>
  <si>
    <t>2021.05.24</t>
  </si>
  <si>
    <t>(주)이현종합건설</t>
  </si>
  <si>
    <t>성영건축사사무소</t>
  </si>
  <si>
    <t>삼산면 매음리 251-2 숙박시설</t>
  </si>
  <si>
    <t>인천광역시 강화군 삼산면 삼산남로 442-15</t>
  </si>
  <si>
    <t>2021.05.26</t>
  </si>
  <si>
    <t>서문동 165-1 숙박시설 (주식회사본)</t>
  </si>
  <si>
    <t>충청북도 청주시 상당구 무심동로372번길 19 (서문동)</t>
  </si>
  <si>
    <t>(주)이화산업개발</t>
  </si>
  <si>
    <t>건영건축사사무소</t>
  </si>
  <si>
    <t>(주)본</t>
  </si>
  <si>
    <t>상면 행현리 299-2 숙박시설</t>
  </si>
  <si>
    <t>경기도 가평군 상면 축령로45번길 62-27</t>
  </si>
  <si>
    <t>2021.06.04</t>
  </si>
  <si>
    <t>이도일동 1377 숙박시설</t>
  </si>
  <si>
    <t>제주특별자치도 제주시 관덕로8길 7-6 (이도일동)</t>
  </si>
  <si>
    <t>(주)치영</t>
  </si>
  <si>
    <t>건축사사무소창</t>
  </si>
  <si>
    <t>주천면 용담리 386-2 숙박시설 (주식회사교원)</t>
  </si>
  <si>
    <t>전라북도 남원시 주천면 원천로 217</t>
  </si>
  <si>
    <t>디에스마로안건축사사무소</t>
  </si>
  <si>
    <t>(주)교원프라퍼티</t>
  </si>
  <si>
    <t>호림동 15-1 숙박시설 (주식회사에이치엔씨)</t>
  </si>
  <si>
    <t>대구광역시 달서구 성서공단로11길 6-4 (호림동)</t>
  </si>
  <si>
    <t>2021.03.10</t>
  </si>
  <si>
    <t>(주)세아종합건설</t>
  </si>
  <si>
    <t>건축사사무소정민건축</t>
  </si>
  <si>
    <t>풍산읍 안교리 5980000 숙박시설 (하회마을비지니스호텔)</t>
  </si>
  <si>
    <t>경상북도 안동시 풍산읍 풍산태사로 1023-6</t>
  </si>
  <si>
    <t>2021.01.05</t>
  </si>
  <si>
    <t>(주)투우건설</t>
  </si>
  <si>
    <t>건축사사무소반석</t>
  </si>
  <si>
    <t>하회마을비지니스호텔(주)</t>
  </si>
  <si>
    <t>미사리 321-2 숙박시설</t>
  </si>
  <si>
    <t>경기도 가평군 설악면 미사리로 614-23</t>
  </si>
  <si>
    <t>2021.06.02</t>
  </si>
  <si>
    <t>상면 임초리 199-2 숙박시설 (***) (1)</t>
  </si>
  <si>
    <t>경기도 가평군 상면 임초방안골길 115-45</t>
  </si>
  <si>
    <t>회암동 181 숙박시설 ((주) 나우)</t>
  </si>
  <si>
    <t>경기도 양주시 천보산로 138 (회암동)</t>
  </si>
  <si>
    <t>2021.01.14</t>
  </si>
  <si>
    <t>2021.05.31</t>
  </si>
  <si>
    <t>한길종합건설(주)</t>
  </si>
  <si>
    <t>지평건축사사무소</t>
  </si>
  <si>
    <t>명륜동 468-1 숙박시설 (***)</t>
  </si>
  <si>
    <t>부산광역시 동래구 명륜로112번길 29 (명륜동)</t>
  </si>
  <si>
    <t>2021.05.27</t>
  </si>
  <si>
    <t>세인건축사사무소</t>
  </si>
  <si>
    <t>시천면 중산리 544-1 숙박시설 (***)</t>
  </si>
  <si>
    <t>경상남도 산청군 시천면 지리산대로511번길 13</t>
  </si>
  <si>
    <t>2021.03.17</t>
  </si>
  <si>
    <t>서진엔지니어링(주)</t>
  </si>
  <si>
    <t>기대건축사사무소</t>
  </si>
  <si>
    <t>상하면 자룡리 450-1 숙박시설 및 제1종근린생활시설 (강선...)</t>
  </si>
  <si>
    <t>2021.05.17</t>
  </si>
  <si>
    <t>조종면 현리 259-3 숙박시설 (***)</t>
  </si>
  <si>
    <t>경기도 가평군 조종면 조종희망로 20</t>
  </si>
  <si>
    <t>2021.05.10</t>
  </si>
  <si>
    <t>종합건축사사무소민우</t>
  </si>
  <si>
    <t>양덕동 153-25 숙박시설</t>
  </si>
  <si>
    <t>경상남도 창원시 마산회원구 합포로 278 (양덕동)</t>
  </si>
  <si>
    <t>2021.01.19</t>
  </si>
  <si>
    <t>(주)우영종합건설</t>
  </si>
  <si>
    <t>(주)지오건축사사무소</t>
  </si>
  <si>
    <t>브라운도트모델</t>
  </si>
  <si>
    <t>삼동면 동천리 1517-38 숙박시설</t>
  </si>
  <si>
    <t>경상남도 남해군 삼동면 양화금로 59-7</t>
  </si>
  <si>
    <t>2021.04.16</t>
  </si>
  <si>
    <t>2021.05.03</t>
  </si>
  <si>
    <t>신생건축사사무소</t>
  </si>
  <si>
    <t>수협은행둔산지점</t>
  </si>
  <si>
    <t>삼동면 동천리 1517-39 숙박시설</t>
  </si>
  <si>
    <t>북면 백둔리 88-3 숙박시설 (***)</t>
  </si>
  <si>
    <t>경기도 가평군 북면 백둔로133번길 34</t>
  </si>
  <si>
    <t>2021.03.16</t>
  </si>
  <si>
    <t>2021.05.01</t>
  </si>
  <si>
    <t>의성읍 후죽리 487-2 숙박시설 ((주)모아광고건축)</t>
  </si>
  <si>
    <t>경상북도 의성군 의성읍 군청길 11</t>
  </si>
  <si>
    <t>(주)모아광고인쇄</t>
  </si>
  <si>
    <t>새울건축사사무소</t>
  </si>
  <si>
    <t>검사동 984-37 숙박시설 (***)</t>
  </si>
  <si>
    <t>대구광역시 동구 해동로 208 (검사동)</t>
  </si>
  <si>
    <t>2021.04.22</t>
  </si>
  <si>
    <t>건축사사무소테마</t>
  </si>
  <si>
    <t>하운드동촌유원지</t>
  </si>
  <si>
    <t>온천동 1424-2 숙박시설</t>
  </si>
  <si>
    <t>부산광역시 동래구 충렬대로92번길 21 (온천동)</t>
  </si>
  <si>
    <t>대명종합건설(주)</t>
  </si>
  <si>
    <t>엠디에스건축사사무소</t>
  </si>
  <si>
    <t>송학면 도화리 677 숙박시설 (방현진)</t>
  </si>
  <si>
    <t>충청북도 제천시 송학면 도화로 103</t>
  </si>
  <si>
    <t>2021.03.30</t>
  </si>
  <si>
    <t>대흥동 466-9 숙박시설 (천성우,강혜은)</t>
  </si>
  <si>
    <t>2021.04.01</t>
  </si>
  <si>
    <t>(주)어반종합건설</t>
  </si>
  <si>
    <t>상면 행현리 553-9 숙박시설 (***)</t>
  </si>
  <si>
    <t>경기도 가평군 상면 수목원로 262-37</t>
  </si>
  <si>
    <t>주안동 75-24 숙박시설</t>
  </si>
  <si>
    <t>인천광역시 미추홀구 주안동로25번길 34 (주안동)</t>
  </si>
  <si>
    <t>2021.01.12</t>
  </si>
  <si>
    <t>(주)에스에이치종합건설</t>
  </si>
  <si>
    <t>조종면 운악리 482 숙박시설 (***)</t>
  </si>
  <si>
    <t>경기도 가평군 조종면 와곡길 3-43</t>
  </si>
  <si>
    <t>2021.12.13</t>
  </si>
  <si>
    <t>구평리 20-3 생활숙박시설</t>
  </si>
  <si>
    <t>경상북도 포항시 남구 구룡포읍 동해안로4260번길 23</t>
  </si>
  <si>
    <t>2021.02.18</t>
  </si>
  <si>
    <t>(주)진세종합건설</t>
  </si>
  <si>
    <t>건축사사무소다우</t>
  </si>
  <si>
    <t>우호건축사사무소</t>
  </si>
  <si>
    <t>평성읍 안정리 137-1 숙박시설 (***)</t>
  </si>
  <si>
    <t>경기도 평택시 평성읍 안정로21번길 31</t>
  </si>
  <si>
    <t>예성종합건설(주)</t>
  </si>
  <si>
    <t>삼정건축사사무소</t>
  </si>
  <si>
    <t>신척리 생활숙박시설 및 근린생활시설</t>
  </si>
  <si>
    <t>충청북도 진천군 덕산읍 신척산단5로 40-36</t>
  </si>
  <si>
    <t>2021.02.10</t>
  </si>
  <si>
    <t>2021.03.29</t>
  </si>
  <si>
    <t>(주)비슬종합건설</t>
  </si>
  <si>
    <t>건축사사무소주춧돌</t>
  </si>
  <si>
    <t>(주)신척디엔씨</t>
  </si>
  <si>
    <t>2021.03.02</t>
  </si>
  <si>
    <t>2021.03.26</t>
  </si>
  <si>
    <t>(주)디자인공간액트우드</t>
  </si>
  <si>
    <t>주안동 97-1 숙박시설</t>
  </si>
  <si>
    <t>인천광역시 미추홀구 주안동로25번길 12 (주안동)</t>
  </si>
  <si>
    <t>2021.12.16</t>
  </si>
  <si>
    <t>우아동3가 747-53 숙박시설 (***)</t>
  </si>
  <si>
    <t>전라북도 전주시 덕진구 우아1길 6 (우아동3가)</t>
  </si>
  <si>
    <t>수아종합건설(주)</t>
  </si>
  <si>
    <t>건축사사무소제이씨엔</t>
  </si>
  <si>
    <t>증도면 병풍리 1127 숙박시설 (***)</t>
  </si>
  <si>
    <t>전라남도 신안군 증도면 소기점길 23-58</t>
  </si>
  <si>
    <t>2021.03.15</t>
  </si>
  <si>
    <t>(주)보라건설</t>
  </si>
  <si>
    <t>하하건축사사무소</t>
  </si>
  <si>
    <t>법성면 법성리 1210-15 숙박시설 (유한회사흥석재산업)</t>
  </si>
  <si>
    <t>전라남도 영광군 법성면 법성포로 26</t>
  </si>
  <si>
    <t>영목토건(주)</t>
  </si>
  <si>
    <t>서종면 수입리 563-1 숙박시설 (***)</t>
  </si>
  <si>
    <t>경기도 양평군 서종면 수입리 563-1번지</t>
  </si>
  <si>
    <t>2021.03.09</t>
  </si>
  <si>
    <t>2023.12.27</t>
  </si>
  <si>
    <t>2021.02.19</t>
  </si>
  <si>
    <t>동서건설(주)</t>
  </si>
  <si>
    <t>먹곡동 354-4 숙박시설 및 제1종근린생활시설(소매점)</t>
  </si>
  <si>
    <t>경기도 여주시 점곡길 54 (먹곡동)</t>
  </si>
  <si>
    <t>2021.01.18</t>
  </si>
  <si>
    <t>2021.02.17</t>
  </si>
  <si>
    <t>에버그린 영농조합법인</t>
  </si>
  <si>
    <t>도곡면 천암리 8270000 숙박시설 (주식회사선진에스제이)</t>
  </si>
  <si>
    <t>전라남도 화순군 도곡면 온천2길 51-1</t>
  </si>
  <si>
    <t>2021.01.15</t>
  </si>
  <si>
    <t>(주)담빛건설</t>
  </si>
  <si>
    <t>동도종합건축사사무소</t>
  </si>
  <si>
    <t>건축사사무소준</t>
  </si>
  <si>
    <t>(주)선진에스제이</t>
  </si>
  <si>
    <t>출처: 캡처 화면(건축 인허가 조회 사이트, 총 3,024건 중 1~3페이지 301건, 착공일 내림차순)</t>
  </si>
  <si>
    <t>작성일: 2026-09-18 / 캡처 이미지 판독으로 작성</t>
  </si>
  <si>
    <t>주의: 화면에서 '…'로 잘린 항목(건축주·설계사·주구조 등)은 그대로 '…'로 남김 → 원본 사이트 「엑셀 다운로드」 버튼으로 받으면 전문이 나옴</t>
  </si>
  <si>
    <t>주의: 대전리 생활형숙박시설(***) 2행은 화면에도 중복으로 표시됨(원본 그대로 둠)</t>
  </si>
  <si>
    <t>'-'는 화면에 값이 없던 칸</t>
  </si>
  <si>
    <t>2026-09-18 추가: 2페이지(100건)·3페이지(100건) 같은 시트에 이어 붙임 — No.102~301</t>
  </si>
  <si>
    <t>2026-09-18 추가: 4페이지(96건, No.303~398)·5페이지(100건, No.399~498)·6페이지(101건)·7페이지(101건, 프로님 제공 별도 xlsx 병합, No.499~700) 이어 붙임</t>
  </si>
  <si>
    <t>2026-09-18 추가: 8페이지(101건, No.701~801) 이어 붙임</t>
  </si>
  <si>
    <t>2026-09-18 추가: 9페이지 중 착공일 있는 88건(No.802~889) 이어 붙임. 9페이지 나머지 12건(경기 안산시 단원구 엠티브이17로 7, '아르네브큐브'/'숙박시설 용도변경', 건축허가일 2026.02.09~02.12, 착공일 전부 '-')은 착공 전 허가 단계라 착공목록에서 제외함 — 포함 여부 확인 필요</t>
  </si>
  <si>
    <t>주의: 9페이지 No.813행(설악면 회곡리 256-22)은 원본 화면에 날짜·업체가 전부 '---- -- --' 플레이스홀더로만 표시됨(원본 결측, 추정 입력 없음)</t>
  </si>
  <si>
    <t>주의: 9페이지 No.808행은 원본 화면에 현장명 자체가 비어 있어 '-'로 둠(경기 가평군 설악면 유명로 2150-52)</t>
  </si>
  <si>
    <t>현재까지 1~9페이지 중 착공일 있는 889건 반영. 남은 페이지(10쪽 이후) 스크린샷 주시면 이어서 작업</t>
  </si>
  <si>
    <t>지역(시·도)</t>
  </si>
  <si>
    <t>조종면 운악리 162-56 숙박시설 ((주)운악산에코랜드) - 2</t>
    <phoneticPr fontId="2" type="noConversion"/>
  </si>
  <si>
    <t>면적구간</t>
  </si>
  <si>
    <t>시공사유무</t>
  </si>
  <si>
    <t>시·군·구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</si>
</sst>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</cellXfs>
  <cellStyles count="1">
    <cellStyle name="표준" xfId="0" builtinId="0"/>
  </cellStyles>
  <dxfs count="3"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ED272A-D972-4FDA-9D03-CA3781C851A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265548c-c7b7-4071-b414-20ca9691308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5"/>
  <sheetViews>
    <sheetView workbookViewId="0">
      <pane xSplit="2" ySplit="1" topLeftCell="C83" activePane="bottomRight" state="frozen"/>
      <selection pane="topRight"/>
      <selection pane="bottomLeft"/>
      <selection pane="bottomRight" activeCell="D34" sqref="D34"/>
    </sheetView>
  </sheetViews>
  <sheetFormatPr defaultRowHeight="17.399999999999999" x14ac:dyDescent="0.4"/>
  <cols>
    <col min="1" max="1" width="5" customWidth="1"/>
    <col min="2" max="2" width="44" customWidth="1"/>
    <col min="3" max="3" width="14.69921875" customWidth="1"/>
    <col min="4" max="4" width="15" customWidth="1"/>
    <col min="5" max="5" width="40" customWidth="1"/>
    <col min="6" max="7" width="12" customWidth="1"/>
    <col min="8" max="8" width="20" customWidth="1"/>
    <col min="9" max="9" width="13.296875" customWidth="1"/>
    <col min="10" max="10" width="32" customWidth="1"/>
    <col min="11" max="12" width="26" customWidth="1"/>
    <col min="13" max="13" width="10" customWidth="1"/>
    <col min="14" max="14" width="9" customWidth="1"/>
    <col min="15" max="15" width="12" customWidth="1"/>
    <col min="16" max="16" width="20" customWidth="1"/>
    <col min="17" max="17" width="16" customWidth="1"/>
    <col min="18" max="18" width="10" customWidth="1"/>
    <col min="19" max="19" width="12" customWidth="1"/>
  </cols>
  <sheetData>
    <row r="1" spans="1:19" x14ac:dyDescent="0.4">
      <c r="A1" s="1" t="s">
        <v>0</v>
      </c>
      <c r="B1" s="1" t="s">
        <v>1</v>
      </c>
      <c r="C1" s="18" t="s">
        <v>3935</v>
      </c>
      <c r="D1" s="5" t="s">
        <v>3939</v>
      </c>
      <c r="E1" s="14" t="s">
        <v>2</v>
      </c>
      <c r="F1" s="1" t="s">
        <v>3</v>
      </c>
      <c r="G1" s="1" t="s">
        <v>4</v>
      </c>
      <c r="H1" s="16" t="s">
        <v>6</v>
      </c>
      <c r="I1" s="5" t="s">
        <v>3938</v>
      </c>
      <c r="J1" s="14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2" t="s">
        <v>12</v>
      </c>
      <c r="P1" s="10" t="s">
        <v>3937</v>
      </c>
      <c r="Q1" s="14" t="s">
        <v>13</v>
      </c>
      <c r="R1" s="1" t="s">
        <v>14</v>
      </c>
      <c r="S1" s="1" t="s">
        <v>5</v>
      </c>
    </row>
    <row r="2" spans="1:19" x14ac:dyDescent="0.4">
      <c r="A2" s="7">
        <v>1</v>
      </c>
      <c r="B2" s="8" t="s">
        <v>15</v>
      </c>
      <c r="C2" s="19" t="str">
        <f>IFERROR(IF(LEFT(E2,FIND(" ",E2)-1)="전라북도","전북특별자치도",LEFT(E2,FIND(" ",E2)-1)),"")</f>
        <v>충청남도</v>
      </c>
      <c r="D2" s="17" t="str">
        <f>IFERROR(TRIM(MID(SUBSTITUTE(E2," ",REPT(" ",50)),51,50)),"")</f>
        <v>아산시</v>
      </c>
      <c r="E2" s="8" t="s">
        <v>16</v>
      </c>
      <c r="F2" s="3" t="s">
        <v>17</v>
      </c>
      <c r="G2" s="3" t="s">
        <v>18</v>
      </c>
      <c r="H2" s="7" t="s">
        <v>19</v>
      </c>
      <c r="I2" s="15" t="str">
        <f>IF(OR(TRIM(H2)="",TRIM(H2)="-"),"없음","있음")</f>
        <v>없음</v>
      </c>
      <c r="J2" s="8" t="s">
        <v>20</v>
      </c>
      <c r="K2" s="3" t="s">
        <v>19</v>
      </c>
      <c r="L2" s="3" t="s">
        <v>19</v>
      </c>
      <c r="M2" s="3" t="s">
        <v>21</v>
      </c>
      <c r="N2" s="3" t="s">
        <v>22</v>
      </c>
      <c r="O2" s="13">
        <v>1811</v>
      </c>
      <c r="P2" s="11" t="str">
        <f>IF(NOT(ISNUMBER(O2)),"00. 미기재",IF(O2&lt;1000,"01. 1,000㎡ 미만",IF(O2&lt;1500,"02. 1,000㎡ 이상",IF(O2&lt;5000,"03. 1,500㎡ 이상",IF(O2&lt;10000,"04. 5,000㎡ 이상",TEXT(4+INT(O2/10000),"00")&amp;". "&amp;INT(O2/10000)&amp;"만㎡ 이상")))))</f>
        <v>03. 1,500㎡ 이상</v>
      </c>
      <c r="Q2" s="8" t="s">
        <v>23</v>
      </c>
      <c r="R2" s="3" t="s">
        <v>24</v>
      </c>
      <c r="S2" s="3" t="s">
        <v>19</v>
      </c>
    </row>
    <row r="3" spans="1:19" x14ac:dyDescent="0.4">
      <c r="A3" s="7">
        <v>2</v>
      </c>
      <c r="B3" s="8" t="s">
        <v>25</v>
      </c>
      <c r="C3" s="19" t="str">
        <f t="shared" ref="C3:C66" si="0">IFERROR(IF(LEFT(E3,FIND(" ",E3)-1)="전라북도","전북특별자치도",LEFT(E3,FIND(" ",E3)-1)),"")</f>
        <v>서울특별시</v>
      </c>
      <c r="D3" s="17" t="str">
        <f t="shared" ref="D3:D66" si="1">IFERROR(TRIM(MID(SUBSTITUTE(E3," ",REPT(" ",50)),51,50)),"")</f>
        <v>종로구</v>
      </c>
      <c r="E3" s="8" t="s">
        <v>26</v>
      </c>
      <c r="F3" s="3" t="s">
        <v>27</v>
      </c>
      <c r="G3" s="3" t="s">
        <v>28</v>
      </c>
      <c r="H3" s="7" t="s">
        <v>29</v>
      </c>
      <c r="I3" s="15" t="str">
        <f t="shared" ref="I3:I66" si="2">IF(OR(TRIM(H3)="",TRIM(H3)="-"),"없음","있음")</f>
        <v>있음</v>
      </c>
      <c r="J3" s="8" t="s">
        <v>30</v>
      </c>
      <c r="K3" s="3" t="s">
        <v>31</v>
      </c>
      <c r="L3" s="3" t="s">
        <v>32</v>
      </c>
      <c r="M3" s="3" t="s">
        <v>21</v>
      </c>
      <c r="N3" s="3" t="s">
        <v>22</v>
      </c>
      <c r="O3" s="13">
        <v>3642</v>
      </c>
      <c r="P3" s="11" t="str">
        <f t="shared" ref="P3:P66" si="3">IF(NOT(ISNUMBER(O3)),"00. 미기재",IF(O3&lt;1000,"01. 1,000㎡ 미만",IF(O3&lt;1500,"02. 1,000㎡ 이상",IF(O3&lt;5000,"03. 1,500㎡ 이상",IF(O3&lt;10000,"04. 5,000㎡ 이상",TEXT(4+INT(O3/10000),"00")&amp;". "&amp;INT(O3/10000)&amp;"만㎡ 이상")))))</f>
        <v>03. 1,500㎡ 이상</v>
      </c>
      <c r="Q3" s="8" t="s">
        <v>23</v>
      </c>
      <c r="R3" s="3" t="s">
        <v>24</v>
      </c>
      <c r="S3" s="3" t="s">
        <v>19</v>
      </c>
    </row>
    <row r="4" spans="1:19" x14ac:dyDescent="0.4">
      <c r="A4" s="7">
        <v>3</v>
      </c>
      <c r="B4" s="8" t="s">
        <v>33</v>
      </c>
      <c r="C4" s="19" t="str">
        <f t="shared" si="0"/>
        <v>서울특별시</v>
      </c>
      <c r="D4" s="17" t="str">
        <f t="shared" si="1"/>
        <v>성동구</v>
      </c>
      <c r="E4" s="8" t="s">
        <v>34</v>
      </c>
      <c r="F4" s="3" t="s">
        <v>35</v>
      </c>
      <c r="G4" s="3" t="s">
        <v>36</v>
      </c>
      <c r="H4" s="7" t="s">
        <v>37</v>
      </c>
      <c r="I4" s="15" t="str">
        <f t="shared" si="2"/>
        <v>있음</v>
      </c>
      <c r="J4" s="8" t="s">
        <v>38</v>
      </c>
      <c r="K4" s="3" t="s">
        <v>38</v>
      </c>
      <c r="L4" s="3" t="s">
        <v>19</v>
      </c>
      <c r="M4" s="3" t="s">
        <v>21</v>
      </c>
      <c r="N4" s="3" t="s">
        <v>22</v>
      </c>
      <c r="O4" s="13">
        <v>757</v>
      </c>
      <c r="P4" s="11" t="str">
        <f t="shared" si="3"/>
        <v>01. 1,000㎡ 미만</v>
      </c>
      <c r="Q4" s="8" t="s">
        <v>23</v>
      </c>
      <c r="R4" s="3" t="s">
        <v>24</v>
      </c>
      <c r="S4" s="3" t="s">
        <v>19</v>
      </c>
    </row>
    <row r="5" spans="1:19" x14ac:dyDescent="0.4">
      <c r="A5" s="7">
        <v>4</v>
      </c>
      <c r="B5" s="8" t="s">
        <v>39</v>
      </c>
      <c r="C5" s="19" t="str">
        <f t="shared" si="0"/>
        <v>서울특별시</v>
      </c>
      <c r="D5" s="17" t="str">
        <f t="shared" si="1"/>
        <v>중구</v>
      </c>
      <c r="E5" s="8" t="s">
        <v>40</v>
      </c>
      <c r="F5" s="3" t="s">
        <v>41</v>
      </c>
      <c r="G5" s="3" t="s">
        <v>42</v>
      </c>
      <c r="H5" s="7" t="s">
        <v>43</v>
      </c>
      <c r="I5" s="15" t="str">
        <f t="shared" si="2"/>
        <v>있음</v>
      </c>
      <c r="J5" s="8" t="s">
        <v>44</v>
      </c>
      <c r="K5" s="3" t="s">
        <v>44</v>
      </c>
      <c r="L5" s="3" t="s">
        <v>45</v>
      </c>
      <c r="M5" s="3" t="s">
        <v>21</v>
      </c>
      <c r="N5" s="3" t="s">
        <v>22</v>
      </c>
      <c r="O5" s="13">
        <v>825</v>
      </c>
      <c r="P5" s="11" t="str">
        <f t="shared" si="3"/>
        <v>01. 1,000㎡ 미만</v>
      </c>
      <c r="Q5" s="8" t="s">
        <v>23</v>
      </c>
      <c r="R5" s="3" t="s">
        <v>24</v>
      </c>
      <c r="S5" s="3" t="s">
        <v>19</v>
      </c>
    </row>
    <row r="6" spans="1:19" x14ac:dyDescent="0.4">
      <c r="A6" s="7">
        <v>5</v>
      </c>
      <c r="B6" s="8" t="s">
        <v>46</v>
      </c>
      <c r="C6" s="19" t="str">
        <f t="shared" si="0"/>
        <v>강원특별자치도</v>
      </c>
      <c r="D6" s="17" t="str">
        <f t="shared" si="1"/>
        <v>양양군</v>
      </c>
      <c r="E6" s="8" t="s">
        <v>47</v>
      </c>
      <c r="F6" s="3" t="s">
        <v>48</v>
      </c>
      <c r="G6" s="3" t="s">
        <v>49</v>
      </c>
      <c r="H6" s="7" t="s">
        <v>19</v>
      </c>
      <c r="I6" s="15" t="str">
        <f t="shared" si="2"/>
        <v>없음</v>
      </c>
      <c r="J6" s="8" t="s">
        <v>50</v>
      </c>
      <c r="K6" s="3" t="s">
        <v>19</v>
      </c>
      <c r="L6" s="3" t="s">
        <v>51</v>
      </c>
      <c r="M6" s="3" t="s">
        <v>21</v>
      </c>
      <c r="N6" s="3" t="s">
        <v>22</v>
      </c>
      <c r="O6" s="13">
        <v>33796</v>
      </c>
      <c r="P6" s="11" t="str">
        <f t="shared" si="3"/>
        <v>07. 3만㎡ 이상</v>
      </c>
      <c r="Q6" s="8" t="s">
        <v>23</v>
      </c>
      <c r="R6" s="3" t="s">
        <v>24</v>
      </c>
      <c r="S6" s="3" t="s">
        <v>19</v>
      </c>
    </row>
    <row r="7" spans="1:19" x14ac:dyDescent="0.4">
      <c r="A7" s="7">
        <v>6</v>
      </c>
      <c r="B7" s="8" t="s">
        <v>52</v>
      </c>
      <c r="C7" s="19" t="str">
        <f t="shared" si="0"/>
        <v>충청북도</v>
      </c>
      <c r="D7" s="17" t="str">
        <f t="shared" si="1"/>
        <v>청주시</v>
      </c>
      <c r="E7" s="8" t="s">
        <v>53</v>
      </c>
      <c r="F7" s="3" t="s">
        <v>54</v>
      </c>
      <c r="G7" s="3" t="s">
        <v>55</v>
      </c>
      <c r="H7" s="7" t="s">
        <v>56</v>
      </c>
      <c r="I7" s="15" t="str">
        <f t="shared" si="2"/>
        <v>있음</v>
      </c>
      <c r="J7" s="8" t="s">
        <v>57</v>
      </c>
      <c r="K7" s="3" t="s">
        <v>57</v>
      </c>
      <c r="L7" s="3" t="s">
        <v>19</v>
      </c>
      <c r="M7" s="3" t="s">
        <v>21</v>
      </c>
      <c r="N7" s="3" t="s">
        <v>22</v>
      </c>
      <c r="O7" s="13">
        <v>2923</v>
      </c>
      <c r="P7" s="11" t="str">
        <f t="shared" si="3"/>
        <v>03. 1,500㎡ 이상</v>
      </c>
      <c r="Q7" s="8" t="s">
        <v>23</v>
      </c>
      <c r="R7" s="3" t="s">
        <v>24</v>
      </c>
      <c r="S7" s="3" t="s">
        <v>19</v>
      </c>
    </row>
    <row r="8" spans="1:19" x14ac:dyDescent="0.4">
      <c r="A8" s="7">
        <v>7</v>
      </c>
      <c r="B8" s="8" t="s">
        <v>58</v>
      </c>
      <c r="C8" s="19" t="str">
        <f t="shared" si="0"/>
        <v>인천광역시</v>
      </c>
      <c r="D8" s="17" t="str">
        <f t="shared" si="1"/>
        <v>중구</v>
      </c>
      <c r="E8" s="8" t="s">
        <v>59</v>
      </c>
      <c r="F8" s="3" t="s">
        <v>60</v>
      </c>
      <c r="G8" s="3" t="s">
        <v>61</v>
      </c>
      <c r="H8" s="7" t="s">
        <v>19</v>
      </c>
      <c r="I8" s="15" t="str">
        <f t="shared" si="2"/>
        <v>없음</v>
      </c>
      <c r="J8" s="8" t="s">
        <v>62</v>
      </c>
      <c r="K8" s="3" t="s">
        <v>19</v>
      </c>
      <c r="L8" s="3" t="s">
        <v>63</v>
      </c>
      <c r="M8" s="3" t="s">
        <v>64</v>
      </c>
      <c r="N8" s="3" t="s">
        <v>22</v>
      </c>
      <c r="O8" s="13">
        <v>36582</v>
      </c>
      <c r="P8" s="11" t="str">
        <f t="shared" si="3"/>
        <v>07. 3만㎡ 이상</v>
      </c>
      <c r="Q8" s="8" t="s">
        <v>19</v>
      </c>
      <c r="R8" s="3" t="s">
        <v>24</v>
      </c>
      <c r="S8" s="3" t="s">
        <v>19</v>
      </c>
    </row>
    <row r="9" spans="1:19" x14ac:dyDescent="0.4">
      <c r="A9" s="7">
        <v>8</v>
      </c>
      <c r="B9" s="8" t="s">
        <v>65</v>
      </c>
      <c r="C9" s="19" t="str">
        <f t="shared" si="0"/>
        <v>인천광역시</v>
      </c>
      <c r="D9" s="17" t="str">
        <f t="shared" si="1"/>
        <v>중구</v>
      </c>
      <c r="E9" s="8" t="s">
        <v>66</v>
      </c>
      <c r="F9" s="3" t="s">
        <v>60</v>
      </c>
      <c r="G9" s="3" t="s">
        <v>61</v>
      </c>
      <c r="H9" s="7" t="s">
        <v>19</v>
      </c>
      <c r="I9" s="15" t="str">
        <f t="shared" si="2"/>
        <v>없음</v>
      </c>
      <c r="J9" s="8" t="s">
        <v>62</v>
      </c>
      <c r="K9" s="3" t="s">
        <v>19</v>
      </c>
      <c r="L9" s="3" t="s">
        <v>63</v>
      </c>
      <c r="M9" s="3" t="s">
        <v>64</v>
      </c>
      <c r="N9" s="3" t="s">
        <v>22</v>
      </c>
      <c r="O9" s="13">
        <v>36635</v>
      </c>
      <c r="P9" s="11" t="str">
        <f t="shared" si="3"/>
        <v>07. 3만㎡ 이상</v>
      </c>
      <c r="Q9" s="8" t="s">
        <v>19</v>
      </c>
      <c r="R9" s="3" t="s">
        <v>24</v>
      </c>
      <c r="S9" s="3" t="s">
        <v>19</v>
      </c>
    </row>
    <row r="10" spans="1:19" x14ac:dyDescent="0.4">
      <c r="A10" s="7">
        <v>9</v>
      </c>
      <c r="B10" s="8" t="s">
        <v>67</v>
      </c>
      <c r="C10" s="19" t="str">
        <f t="shared" si="0"/>
        <v>인천광역시</v>
      </c>
      <c r="D10" s="17" t="str">
        <f t="shared" si="1"/>
        <v>중구</v>
      </c>
      <c r="E10" s="8" t="s">
        <v>68</v>
      </c>
      <c r="F10" s="3" t="s">
        <v>69</v>
      </c>
      <c r="G10" s="3" t="s">
        <v>61</v>
      </c>
      <c r="H10" s="7" t="s">
        <v>19</v>
      </c>
      <c r="I10" s="15" t="str">
        <f t="shared" si="2"/>
        <v>없음</v>
      </c>
      <c r="J10" s="8" t="s">
        <v>62</v>
      </c>
      <c r="K10" s="3" t="s">
        <v>19</v>
      </c>
      <c r="L10" s="3" t="s">
        <v>63</v>
      </c>
      <c r="M10" s="3" t="s">
        <v>64</v>
      </c>
      <c r="N10" s="3" t="s">
        <v>22</v>
      </c>
      <c r="O10" s="13">
        <v>39880</v>
      </c>
      <c r="P10" s="11" t="str">
        <f t="shared" si="3"/>
        <v>07. 3만㎡ 이상</v>
      </c>
      <c r="Q10" s="8" t="s">
        <v>19</v>
      </c>
      <c r="R10" s="3" t="s">
        <v>24</v>
      </c>
      <c r="S10" s="3" t="s">
        <v>19</v>
      </c>
    </row>
    <row r="11" spans="1:19" x14ac:dyDescent="0.4">
      <c r="A11" s="7">
        <v>10</v>
      </c>
      <c r="B11" s="8" t="s">
        <v>70</v>
      </c>
      <c r="C11" s="19" t="str">
        <f t="shared" si="0"/>
        <v>서울특별시</v>
      </c>
      <c r="D11" s="17" t="str">
        <f t="shared" si="1"/>
        <v>영등포구</v>
      </c>
      <c r="E11" s="8" t="s">
        <v>71</v>
      </c>
      <c r="F11" s="3" t="s">
        <v>72</v>
      </c>
      <c r="G11" s="3" t="s">
        <v>73</v>
      </c>
      <c r="H11" s="7" t="s">
        <v>19</v>
      </c>
      <c r="I11" s="15" t="str">
        <f t="shared" si="2"/>
        <v>없음</v>
      </c>
      <c r="J11" s="8" t="s">
        <v>74</v>
      </c>
      <c r="K11" s="3" t="s">
        <v>19</v>
      </c>
      <c r="L11" s="3" t="s">
        <v>75</v>
      </c>
      <c r="M11" s="3" t="s">
        <v>21</v>
      </c>
      <c r="N11" s="3" t="s">
        <v>22</v>
      </c>
      <c r="O11" s="13">
        <v>13748</v>
      </c>
      <c r="P11" s="11" t="str">
        <f t="shared" si="3"/>
        <v>05. 1만㎡ 이상</v>
      </c>
      <c r="Q11" s="8" t="s">
        <v>23</v>
      </c>
      <c r="R11" s="3" t="s">
        <v>24</v>
      </c>
      <c r="S11" s="3" t="s">
        <v>19</v>
      </c>
    </row>
    <row r="12" spans="1:19" x14ac:dyDescent="0.4">
      <c r="A12" s="7">
        <v>11</v>
      </c>
      <c r="B12" s="8" t="s">
        <v>76</v>
      </c>
      <c r="C12" s="19" t="str">
        <f t="shared" si="0"/>
        <v>강원특별자치도</v>
      </c>
      <c r="D12" s="17" t="str">
        <f t="shared" si="1"/>
        <v>양양군</v>
      </c>
      <c r="E12" s="8" t="s">
        <v>77</v>
      </c>
      <c r="F12" s="3" t="s">
        <v>78</v>
      </c>
      <c r="G12" s="3" t="s">
        <v>79</v>
      </c>
      <c r="H12" s="7" t="s">
        <v>19</v>
      </c>
      <c r="I12" s="15" t="str">
        <f t="shared" si="2"/>
        <v>없음</v>
      </c>
      <c r="J12" s="8" t="s">
        <v>50</v>
      </c>
      <c r="K12" s="3" t="s">
        <v>19</v>
      </c>
      <c r="L12" s="3" t="s">
        <v>51</v>
      </c>
      <c r="M12" s="3" t="s">
        <v>21</v>
      </c>
      <c r="N12" s="3" t="s">
        <v>22</v>
      </c>
      <c r="O12" s="13">
        <v>29060</v>
      </c>
      <c r="P12" s="11" t="str">
        <f t="shared" si="3"/>
        <v>06. 2만㎡ 이상</v>
      </c>
      <c r="Q12" s="8" t="s">
        <v>23</v>
      </c>
      <c r="R12" s="3" t="s">
        <v>24</v>
      </c>
      <c r="S12" s="3" t="s">
        <v>19</v>
      </c>
    </row>
    <row r="13" spans="1:19" x14ac:dyDescent="0.4">
      <c r="A13" s="7">
        <v>12</v>
      </c>
      <c r="B13" s="8" t="s">
        <v>80</v>
      </c>
      <c r="C13" s="19" t="str">
        <f t="shared" si="0"/>
        <v>인천광역시</v>
      </c>
      <c r="D13" s="17" t="str">
        <f t="shared" si="1"/>
        <v>강화군</v>
      </c>
      <c r="E13" s="8" t="s">
        <v>81</v>
      </c>
      <c r="F13" s="3" t="s">
        <v>82</v>
      </c>
      <c r="G13" s="3" t="s">
        <v>83</v>
      </c>
      <c r="H13" s="7" t="s">
        <v>19</v>
      </c>
      <c r="I13" s="15" t="str">
        <f t="shared" si="2"/>
        <v>없음</v>
      </c>
      <c r="J13" s="8" t="s">
        <v>19</v>
      </c>
      <c r="K13" s="3" t="s">
        <v>19</v>
      </c>
      <c r="L13" s="3" t="s">
        <v>19</v>
      </c>
      <c r="M13" s="3" t="s">
        <v>21</v>
      </c>
      <c r="N13" s="3" t="s">
        <v>22</v>
      </c>
      <c r="O13" s="13">
        <v>460</v>
      </c>
      <c r="P13" s="11" t="str">
        <f t="shared" si="3"/>
        <v>01. 1,000㎡ 미만</v>
      </c>
      <c r="Q13" s="8" t="s">
        <v>84</v>
      </c>
      <c r="R13" s="3" t="s">
        <v>24</v>
      </c>
      <c r="S13" s="3" t="s">
        <v>19</v>
      </c>
    </row>
    <row r="14" spans="1:19" x14ac:dyDescent="0.4">
      <c r="A14" s="7">
        <v>13</v>
      </c>
      <c r="B14" s="8" t="s">
        <v>85</v>
      </c>
      <c r="C14" s="19" t="str">
        <f t="shared" si="0"/>
        <v>부산광역시</v>
      </c>
      <c r="D14" s="17" t="str">
        <f t="shared" si="1"/>
        <v>강서구</v>
      </c>
      <c r="E14" s="8" t="s">
        <v>86</v>
      </c>
      <c r="F14" s="3" t="s">
        <v>87</v>
      </c>
      <c r="G14" s="3" t="s">
        <v>88</v>
      </c>
      <c r="H14" s="7" t="s">
        <v>19</v>
      </c>
      <c r="I14" s="15" t="str">
        <f t="shared" si="2"/>
        <v>없음</v>
      </c>
      <c r="J14" s="8" t="s">
        <v>19</v>
      </c>
      <c r="K14" s="3" t="s">
        <v>19</v>
      </c>
      <c r="L14" s="3" t="s">
        <v>19</v>
      </c>
      <c r="M14" s="3" t="s">
        <v>21</v>
      </c>
      <c r="N14" s="3" t="s">
        <v>22</v>
      </c>
      <c r="O14" s="13">
        <v>22409</v>
      </c>
      <c r="P14" s="11" t="str">
        <f t="shared" si="3"/>
        <v>06. 2만㎡ 이상</v>
      </c>
      <c r="Q14" s="8" t="s">
        <v>19</v>
      </c>
      <c r="R14" s="3" t="s">
        <v>24</v>
      </c>
      <c r="S14" s="3" t="s">
        <v>19</v>
      </c>
    </row>
    <row r="15" spans="1:19" x14ac:dyDescent="0.4">
      <c r="A15" s="7">
        <v>14</v>
      </c>
      <c r="B15" s="8" t="s">
        <v>89</v>
      </c>
      <c r="C15" s="19" t="str">
        <f t="shared" si="0"/>
        <v>경기도</v>
      </c>
      <c r="D15" s="17" t="str">
        <f t="shared" si="1"/>
        <v>남양주시</v>
      </c>
      <c r="E15" s="8" t="s">
        <v>90</v>
      </c>
      <c r="F15" s="3" t="s">
        <v>91</v>
      </c>
      <c r="G15" s="3" t="s">
        <v>92</v>
      </c>
      <c r="H15" s="7" t="s">
        <v>19</v>
      </c>
      <c r="I15" s="15" t="str">
        <f t="shared" si="2"/>
        <v>없음</v>
      </c>
      <c r="J15" s="8" t="s">
        <v>93</v>
      </c>
      <c r="K15" s="3" t="s">
        <v>19</v>
      </c>
      <c r="L15" s="3" t="s">
        <v>94</v>
      </c>
      <c r="M15" s="3" t="s">
        <v>21</v>
      </c>
      <c r="N15" s="3" t="s">
        <v>22</v>
      </c>
      <c r="O15" s="13">
        <v>99547</v>
      </c>
      <c r="P15" s="11" t="str">
        <f t="shared" si="3"/>
        <v>13. 9만㎡ 이상</v>
      </c>
      <c r="Q15" s="8" t="s">
        <v>23</v>
      </c>
      <c r="R15" s="3" t="s">
        <v>95</v>
      </c>
      <c r="S15" s="3" t="s">
        <v>19</v>
      </c>
    </row>
    <row r="16" spans="1:19" x14ac:dyDescent="0.4">
      <c r="A16" s="7">
        <v>15</v>
      </c>
      <c r="B16" s="8" t="s">
        <v>96</v>
      </c>
      <c r="C16" s="19" t="str">
        <f t="shared" si="0"/>
        <v>강원특별자치도</v>
      </c>
      <c r="D16" s="17" t="str">
        <f t="shared" si="1"/>
        <v>홍천군</v>
      </c>
      <c r="E16" s="8" t="s">
        <v>97</v>
      </c>
      <c r="F16" s="3" t="s">
        <v>98</v>
      </c>
      <c r="G16" s="3" t="s">
        <v>99</v>
      </c>
      <c r="H16" s="7" t="s">
        <v>19</v>
      </c>
      <c r="I16" s="15" t="str">
        <f t="shared" si="2"/>
        <v>없음</v>
      </c>
      <c r="J16" s="8" t="s">
        <v>100</v>
      </c>
      <c r="K16" s="3" t="s">
        <v>19</v>
      </c>
      <c r="L16" s="3" t="s">
        <v>19</v>
      </c>
      <c r="M16" s="3" t="s">
        <v>21</v>
      </c>
      <c r="N16" s="3" t="s">
        <v>22</v>
      </c>
      <c r="O16" s="13">
        <v>50</v>
      </c>
      <c r="P16" s="11" t="str">
        <f t="shared" si="3"/>
        <v>01. 1,000㎡ 미만</v>
      </c>
      <c r="Q16" s="8" t="s">
        <v>84</v>
      </c>
      <c r="R16" s="3" t="s">
        <v>95</v>
      </c>
      <c r="S16" s="3" t="s">
        <v>19</v>
      </c>
    </row>
    <row r="17" spans="1:19" x14ac:dyDescent="0.4">
      <c r="A17" s="7">
        <v>16</v>
      </c>
      <c r="B17" s="8" t="s">
        <v>101</v>
      </c>
      <c r="C17" s="19" t="str">
        <f t="shared" si="0"/>
        <v>충청남도</v>
      </c>
      <c r="D17" s="17" t="str">
        <f t="shared" si="1"/>
        <v>태안군</v>
      </c>
      <c r="E17" s="8" t="s">
        <v>102</v>
      </c>
      <c r="F17" s="3" t="s">
        <v>103</v>
      </c>
      <c r="G17" s="3" t="s">
        <v>104</v>
      </c>
      <c r="H17" s="7" t="s">
        <v>19</v>
      </c>
      <c r="I17" s="15" t="str">
        <f t="shared" si="2"/>
        <v>없음</v>
      </c>
      <c r="J17" s="8" t="s">
        <v>19</v>
      </c>
      <c r="K17" s="3" t="s">
        <v>19</v>
      </c>
      <c r="L17" s="3" t="s">
        <v>105</v>
      </c>
      <c r="M17" s="3" t="s">
        <v>21</v>
      </c>
      <c r="N17" s="3" t="s">
        <v>22</v>
      </c>
      <c r="O17" s="13">
        <v>259</v>
      </c>
      <c r="P17" s="11" t="str">
        <f t="shared" si="3"/>
        <v>01. 1,000㎡ 미만</v>
      </c>
      <c r="Q17" s="8" t="s">
        <v>23</v>
      </c>
      <c r="R17" s="3" t="s">
        <v>95</v>
      </c>
      <c r="S17" s="3" t="s">
        <v>19</v>
      </c>
    </row>
    <row r="18" spans="1:19" x14ac:dyDescent="0.4">
      <c r="A18" s="7">
        <v>17</v>
      </c>
      <c r="B18" s="8" t="s">
        <v>106</v>
      </c>
      <c r="C18" s="19" t="str">
        <f t="shared" si="0"/>
        <v>경상북도</v>
      </c>
      <c r="D18" s="17" t="str">
        <f t="shared" si="1"/>
        <v>경주시</v>
      </c>
      <c r="E18" s="8" t="s">
        <v>107</v>
      </c>
      <c r="F18" s="3" t="s">
        <v>108</v>
      </c>
      <c r="G18" s="3" t="s">
        <v>109</v>
      </c>
      <c r="H18" s="7" t="s">
        <v>19</v>
      </c>
      <c r="I18" s="15" t="str">
        <f t="shared" si="2"/>
        <v>없음</v>
      </c>
      <c r="J18" s="8" t="s">
        <v>110</v>
      </c>
      <c r="K18" s="3" t="s">
        <v>19</v>
      </c>
      <c r="L18" s="3" t="s">
        <v>19</v>
      </c>
      <c r="M18" s="3" t="s">
        <v>21</v>
      </c>
      <c r="N18" s="3" t="s">
        <v>22</v>
      </c>
      <c r="O18" s="13">
        <v>363</v>
      </c>
      <c r="P18" s="11" t="str">
        <f t="shared" si="3"/>
        <v>01. 1,000㎡ 미만</v>
      </c>
      <c r="Q18" s="8" t="s">
        <v>23</v>
      </c>
      <c r="R18" s="3" t="s">
        <v>95</v>
      </c>
      <c r="S18" s="3" t="s">
        <v>19</v>
      </c>
    </row>
    <row r="19" spans="1:19" x14ac:dyDescent="0.4">
      <c r="A19" s="7">
        <v>18</v>
      </c>
      <c r="B19" s="8" t="s">
        <v>111</v>
      </c>
      <c r="C19" s="19" t="str">
        <f t="shared" si="0"/>
        <v>경기도</v>
      </c>
      <c r="D19" s="17" t="str">
        <f t="shared" si="1"/>
        <v>화성시</v>
      </c>
      <c r="E19" s="8" t="s">
        <v>112</v>
      </c>
      <c r="F19" s="3" t="s">
        <v>113</v>
      </c>
      <c r="G19" s="3" t="s">
        <v>114</v>
      </c>
      <c r="H19" s="7" t="s">
        <v>19</v>
      </c>
      <c r="I19" s="15" t="str">
        <f t="shared" si="2"/>
        <v>없음</v>
      </c>
      <c r="J19" s="8" t="s">
        <v>115</v>
      </c>
      <c r="K19" s="3" t="s">
        <v>19</v>
      </c>
      <c r="L19" s="3" t="s">
        <v>116</v>
      </c>
      <c r="M19" s="3" t="s">
        <v>21</v>
      </c>
      <c r="N19" s="3" t="s">
        <v>22</v>
      </c>
      <c r="O19" s="13">
        <v>2772</v>
      </c>
      <c r="P19" s="11" t="str">
        <f t="shared" si="3"/>
        <v>03. 1,500㎡ 이상</v>
      </c>
      <c r="Q19" s="8" t="s">
        <v>23</v>
      </c>
      <c r="R19" s="3" t="s">
        <v>95</v>
      </c>
      <c r="S19" s="3" t="s">
        <v>19</v>
      </c>
    </row>
    <row r="20" spans="1:19" x14ac:dyDescent="0.4">
      <c r="A20" s="7">
        <v>19</v>
      </c>
      <c r="B20" s="8" t="s">
        <v>117</v>
      </c>
      <c r="C20" s="19" t="str">
        <f t="shared" si="0"/>
        <v>전라남도</v>
      </c>
      <c r="D20" s="17" t="str">
        <f t="shared" si="1"/>
        <v>함평군</v>
      </c>
      <c r="E20" s="8" t="s">
        <v>118</v>
      </c>
      <c r="F20" s="3" t="s">
        <v>119</v>
      </c>
      <c r="G20" s="3" t="s">
        <v>120</v>
      </c>
      <c r="H20" s="7" t="s">
        <v>19</v>
      </c>
      <c r="I20" s="15" t="str">
        <f t="shared" si="2"/>
        <v>없음</v>
      </c>
      <c r="J20" s="8" t="s">
        <v>121</v>
      </c>
      <c r="K20" s="3" t="s">
        <v>19</v>
      </c>
      <c r="L20" s="3" t="s">
        <v>122</v>
      </c>
      <c r="M20" s="3" t="s">
        <v>21</v>
      </c>
      <c r="N20" s="3" t="s">
        <v>22</v>
      </c>
      <c r="O20" s="13">
        <v>20188</v>
      </c>
      <c r="P20" s="11" t="str">
        <f t="shared" si="3"/>
        <v>06. 2만㎡ 이상</v>
      </c>
      <c r="Q20" s="8" t="s">
        <v>123</v>
      </c>
      <c r="R20" s="3" t="s">
        <v>95</v>
      </c>
      <c r="S20" s="3" t="s">
        <v>19</v>
      </c>
    </row>
    <row r="21" spans="1:19" x14ac:dyDescent="0.4">
      <c r="A21" s="7">
        <v>20</v>
      </c>
      <c r="B21" s="8" t="s">
        <v>124</v>
      </c>
      <c r="C21" s="19" t="str">
        <f t="shared" si="0"/>
        <v>전라남도</v>
      </c>
      <c r="D21" s="17" t="str">
        <f t="shared" si="1"/>
        <v>신안군</v>
      </c>
      <c r="E21" s="8" t="s">
        <v>125</v>
      </c>
      <c r="F21" s="3" t="s">
        <v>126</v>
      </c>
      <c r="G21" s="3" t="s">
        <v>127</v>
      </c>
      <c r="H21" s="7" t="s">
        <v>19</v>
      </c>
      <c r="I21" s="15" t="str">
        <f t="shared" si="2"/>
        <v>없음</v>
      </c>
      <c r="J21" s="8" t="s">
        <v>128</v>
      </c>
      <c r="K21" s="3" t="s">
        <v>19</v>
      </c>
      <c r="L21" s="3" t="s">
        <v>19</v>
      </c>
      <c r="M21" s="3" t="s">
        <v>21</v>
      </c>
      <c r="N21" s="3" t="s">
        <v>22</v>
      </c>
      <c r="O21" s="13">
        <v>501</v>
      </c>
      <c r="P21" s="11" t="str">
        <f t="shared" si="3"/>
        <v>01. 1,000㎡ 미만</v>
      </c>
      <c r="Q21" s="8" t="s">
        <v>129</v>
      </c>
      <c r="R21" s="3" t="s">
        <v>95</v>
      </c>
      <c r="S21" s="3" t="s">
        <v>19</v>
      </c>
    </row>
    <row r="22" spans="1:19" x14ac:dyDescent="0.4">
      <c r="A22" s="7">
        <v>21</v>
      </c>
      <c r="B22" s="8" t="s">
        <v>130</v>
      </c>
      <c r="C22" s="19" t="str">
        <f t="shared" si="0"/>
        <v>서울특별시</v>
      </c>
      <c r="D22" s="17" t="str">
        <f t="shared" si="1"/>
        <v>중구</v>
      </c>
      <c r="E22" s="8" t="s">
        <v>131</v>
      </c>
      <c r="F22" s="3" t="s">
        <v>132</v>
      </c>
      <c r="G22" s="3" t="s">
        <v>133</v>
      </c>
      <c r="H22" s="7" t="s">
        <v>19</v>
      </c>
      <c r="I22" s="15" t="str">
        <f t="shared" si="2"/>
        <v>없음</v>
      </c>
      <c r="J22" s="8" t="s">
        <v>134</v>
      </c>
      <c r="K22" s="3" t="s">
        <v>19</v>
      </c>
      <c r="L22" s="3" t="s">
        <v>135</v>
      </c>
      <c r="M22" s="3" t="s">
        <v>21</v>
      </c>
      <c r="N22" s="3" t="s">
        <v>22</v>
      </c>
      <c r="O22" s="13">
        <v>8426</v>
      </c>
      <c r="P22" s="11" t="str">
        <f t="shared" si="3"/>
        <v>04. 5,000㎡ 이상</v>
      </c>
      <c r="Q22" s="8" t="s">
        <v>23</v>
      </c>
      <c r="R22" s="3" t="s">
        <v>95</v>
      </c>
      <c r="S22" s="3" t="s">
        <v>19</v>
      </c>
    </row>
    <row r="23" spans="1:19" x14ac:dyDescent="0.4">
      <c r="A23" s="7">
        <v>22</v>
      </c>
      <c r="B23" s="8" t="s">
        <v>136</v>
      </c>
      <c r="C23" s="19" t="str">
        <f t="shared" si="0"/>
        <v>강원특별자치도</v>
      </c>
      <c r="D23" s="17" t="str">
        <f t="shared" si="1"/>
        <v>강릉시</v>
      </c>
      <c r="E23" s="8" t="s">
        <v>137</v>
      </c>
      <c r="F23" s="3" t="s">
        <v>138</v>
      </c>
      <c r="G23" s="3" t="s">
        <v>139</v>
      </c>
      <c r="H23" s="7" t="s">
        <v>19</v>
      </c>
      <c r="I23" s="15" t="str">
        <f t="shared" si="2"/>
        <v>없음</v>
      </c>
      <c r="J23" s="8" t="s">
        <v>140</v>
      </c>
      <c r="K23" s="3" t="s">
        <v>19</v>
      </c>
      <c r="L23" s="3" t="s">
        <v>19</v>
      </c>
      <c r="M23" s="3" t="s">
        <v>21</v>
      </c>
      <c r="N23" s="3" t="s">
        <v>22</v>
      </c>
      <c r="O23" s="13">
        <v>998</v>
      </c>
      <c r="P23" s="11" t="str">
        <f t="shared" si="3"/>
        <v>01. 1,000㎡ 미만</v>
      </c>
      <c r="Q23" s="8" t="s">
        <v>23</v>
      </c>
      <c r="R23" s="3" t="s">
        <v>95</v>
      </c>
      <c r="S23" s="3" t="s">
        <v>19</v>
      </c>
    </row>
    <row r="24" spans="1:19" x14ac:dyDescent="0.4">
      <c r="A24" s="7">
        <v>23</v>
      </c>
      <c r="B24" s="8" t="s">
        <v>141</v>
      </c>
      <c r="C24" s="19" t="str">
        <f t="shared" si="0"/>
        <v>경기도</v>
      </c>
      <c r="D24" s="17" t="str">
        <f t="shared" si="1"/>
        <v>구리시</v>
      </c>
      <c r="E24" s="8" t="s">
        <v>142</v>
      </c>
      <c r="F24" s="3" t="s">
        <v>143</v>
      </c>
      <c r="G24" s="3" t="s">
        <v>144</v>
      </c>
      <c r="H24" s="7" t="s">
        <v>19</v>
      </c>
      <c r="I24" s="15" t="str">
        <f t="shared" si="2"/>
        <v>없음</v>
      </c>
      <c r="J24" s="8" t="s">
        <v>145</v>
      </c>
      <c r="K24" s="3" t="s">
        <v>19</v>
      </c>
      <c r="L24" s="3" t="s">
        <v>146</v>
      </c>
      <c r="M24" s="3" t="s">
        <v>21</v>
      </c>
      <c r="N24" s="3" t="s">
        <v>147</v>
      </c>
      <c r="O24" s="13">
        <v>538</v>
      </c>
      <c r="P24" s="11" t="str">
        <f t="shared" si="3"/>
        <v>01. 1,000㎡ 미만</v>
      </c>
      <c r="Q24" s="8" t="s">
        <v>23</v>
      </c>
      <c r="R24" s="3" t="s">
        <v>95</v>
      </c>
      <c r="S24" s="3" t="s">
        <v>19</v>
      </c>
    </row>
    <row r="25" spans="1:19" x14ac:dyDescent="0.4">
      <c r="A25" s="7">
        <v>24</v>
      </c>
      <c r="B25" s="8" t="s">
        <v>148</v>
      </c>
      <c r="C25" s="19" t="str">
        <f t="shared" si="0"/>
        <v>경상남도</v>
      </c>
      <c r="D25" s="17" t="str">
        <f t="shared" si="1"/>
        <v>거제시</v>
      </c>
      <c r="E25" s="8" t="s">
        <v>149</v>
      </c>
      <c r="F25" s="3" t="s">
        <v>150</v>
      </c>
      <c r="G25" s="3" t="s">
        <v>144</v>
      </c>
      <c r="H25" s="7" t="s">
        <v>19</v>
      </c>
      <c r="I25" s="15" t="str">
        <f t="shared" si="2"/>
        <v>없음</v>
      </c>
      <c r="J25" s="8" t="s">
        <v>151</v>
      </c>
      <c r="K25" s="3" t="s">
        <v>19</v>
      </c>
      <c r="L25" s="3" t="s">
        <v>152</v>
      </c>
      <c r="M25" s="3" t="s">
        <v>21</v>
      </c>
      <c r="N25" s="3" t="s">
        <v>22</v>
      </c>
      <c r="O25" s="13">
        <v>111820</v>
      </c>
      <c r="P25" s="11" t="str">
        <f t="shared" si="3"/>
        <v>15. 11만㎡ 이상</v>
      </c>
      <c r="Q25" s="8" t="s">
        <v>23</v>
      </c>
      <c r="R25" s="3" t="s">
        <v>95</v>
      </c>
      <c r="S25" s="3" t="s">
        <v>19</v>
      </c>
    </row>
    <row r="26" spans="1:19" x14ac:dyDescent="0.4">
      <c r="A26" s="7">
        <v>25</v>
      </c>
      <c r="B26" s="8" t="s">
        <v>153</v>
      </c>
      <c r="C26" s="19" t="str">
        <f t="shared" si="0"/>
        <v>충청남도</v>
      </c>
      <c r="D26" s="17" t="str">
        <f t="shared" si="1"/>
        <v>태안군</v>
      </c>
      <c r="E26" s="8" t="s">
        <v>154</v>
      </c>
      <c r="F26" s="3" t="s">
        <v>155</v>
      </c>
      <c r="G26" s="3" t="s">
        <v>156</v>
      </c>
      <c r="H26" s="7" t="s">
        <v>19</v>
      </c>
      <c r="I26" s="15" t="str">
        <f t="shared" si="2"/>
        <v>없음</v>
      </c>
      <c r="J26" s="8" t="s">
        <v>157</v>
      </c>
      <c r="K26" s="3" t="s">
        <v>19</v>
      </c>
      <c r="L26" s="3" t="s">
        <v>158</v>
      </c>
      <c r="M26" s="3" t="s">
        <v>21</v>
      </c>
      <c r="N26" s="3" t="s">
        <v>22</v>
      </c>
      <c r="O26" s="13">
        <v>2038</v>
      </c>
      <c r="P26" s="11" t="str">
        <f t="shared" si="3"/>
        <v>03. 1,500㎡ 이상</v>
      </c>
      <c r="Q26" s="8" t="s">
        <v>23</v>
      </c>
      <c r="R26" s="3" t="s">
        <v>95</v>
      </c>
      <c r="S26" s="3" t="s">
        <v>19</v>
      </c>
    </row>
    <row r="27" spans="1:19" x14ac:dyDescent="0.4">
      <c r="A27" s="7">
        <v>26</v>
      </c>
      <c r="B27" s="8" t="s">
        <v>159</v>
      </c>
      <c r="C27" s="19" t="str">
        <f t="shared" si="0"/>
        <v>경상북도</v>
      </c>
      <c r="D27" s="17" t="str">
        <f t="shared" si="1"/>
        <v>울릉군</v>
      </c>
      <c r="E27" s="8" t="s">
        <v>160</v>
      </c>
      <c r="F27" s="3" t="s">
        <v>161</v>
      </c>
      <c r="G27" s="3" t="s">
        <v>162</v>
      </c>
      <c r="H27" s="7" t="s">
        <v>19</v>
      </c>
      <c r="I27" s="15" t="str">
        <f t="shared" si="2"/>
        <v>없음</v>
      </c>
      <c r="J27" s="8" t="s">
        <v>163</v>
      </c>
      <c r="K27" s="3" t="s">
        <v>19</v>
      </c>
      <c r="L27" s="3" t="s">
        <v>19</v>
      </c>
      <c r="M27" s="3" t="s">
        <v>21</v>
      </c>
      <c r="N27" s="3" t="s">
        <v>147</v>
      </c>
      <c r="O27" s="13">
        <v>5431</v>
      </c>
      <c r="P27" s="11" t="str">
        <f t="shared" si="3"/>
        <v>04. 5,000㎡ 이상</v>
      </c>
      <c r="Q27" s="8" t="s">
        <v>23</v>
      </c>
      <c r="R27" s="3" t="s">
        <v>95</v>
      </c>
      <c r="S27" s="3" t="s">
        <v>19</v>
      </c>
    </row>
    <row r="28" spans="1:19" x14ac:dyDescent="0.4">
      <c r="A28" s="7">
        <v>27</v>
      </c>
      <c r="B28" s="8" t="s">
        <v>164</v>
      </c>
      <c r="C28" s="19" t="str">
        <f t="shared" si="0"/>
        <v>충청북도</v>
      </c>
      <c r="D28" s="17" t="str">
        <f t="shared" si="1"/>
        <v>음성군</v>
      </c>
      <c r="E28" s="8" t="s">
        <v>165</v>
      </c>
      <c r="F28" s="3" t="s">
        <v>166</v>
      </c>
      <c r="G28" s="3" t="s">
        <v>167</v>
      </c>
      <c r="H28" s="7" t="s">
        <v>19</v>
      </c>
      <c r="I28" s="15" t="str">
        <f t="shared" si="2"/>
        <v>없음</v>
      </c>
      <c r="J28" s="8" t="s">
        <v>168</v>
      </c>
      <c r="K28" s="3" t="s">
        <v>19</v>
      </c>
      <c r="L28" s="3" t="s">
        <v>19</v>
      </c>
      <c r="M28" s="3" t="s">
        <v>21</v>
      </c>
      <c r="N28" s="3" t="s">
        <v>22</v>
      </c>
      <c r="O28" s="13">
        <v>2596</v>
      </c>
      <c r="P28" s="11" t="str">
        <f t="shared" si="3"/>
        <v>03. 1,500㎡ 이상</v>
      </c>
      <c r="Q28" s="8" t="s">
        <v>23</v>
      </c>
      <c r="R28" s="3" t="s">
        <v>24</v>
      </c>
      <c r="S28" s="3" t="s">
        <v>19</v>
      </c>
    </row>
    <row r="29" spans="1:19" x14ac:dyDescent="0.4">
      <c r="A29" s="7">
        <v>28</v>
      </c>
      <c r="B29" s="8" t="s">
        <v>169</v>
      </c>
      <c r="C29" s="19" t="str">
        <f t="shared" si="0"/>
        <v>강원특별자치도</v>
      </c>
      <c r="D29" s="17" t="str">
        <f t="shared" si="1"/>
        <v>속초시</v>
      </c>
      <c r="E29" s="8" t="s">
        <v>170</v>
      </c>
      <c r="F29" s="3" t="s">
        <v>171</v>
      </c>
      <c r="G29" s="3" t="s">
        <v>167</v>
      </c>
      <c r="H29" s="7" t="s">
        <v>19</v>
      </c>
      <c r="I29" s="15" t="str">
        <f t="shared" si="2"/>
        <v>없음</v>
      </c>
      <c r="J29" s="8" t="s">
        <v>172</v>
      </c>
      <c r="K29" s="3" t="s">
        <v>19</v>
      </c>
      <c r="L29" s="3" t="s">
        <v>19</v>
      </c>
      <c r="M29" s="3" t="s">
        <v>21</v>
      </c>
      <c r="N29" s="3" t="s">
        <v>22</v>
      </c>
      <c r="O29" s="13">
        <v>14868</v>
      </c>
      <c r="P29" s="11" t="str">
        <f t="shared" si="3"/>
        <v>05. 1만㎡ 이상</v>
      </c>
      <c r="Q29" s="8" t="s">
        <v>23</v>
      </c>
      <c r="R29" s="3" t="s">
        <v>24</v>
      </c>
      <c r="S29" s="3" t="s">
        <v>19</v>
      </c>
    </row>
    <row r="30" spans="1:19" x14ac:dyDescent="0.4">
      <c r="A30" s="7">
        <v>29</v>
      </c>
      <c r="B30" s="8" t="s">
        <v>173</v>
      </c>
      <c r="C30" s="19" t="str">
        <f t="shared" si="0"/>
        <v>서울특별시</v>
      </c>
      <c r="D30" s="17" t="str">
        <f t="shared" si="1"/>
        <v>중구</v>
      </c>
      <c r="E30" s="8" t="s">
        <v>174</v>
      </c>
      <c r="F30" s="3" t="s">
        <v>175</v>
      </c>
      <c r="G30" s="3" t="s">
        <v>176</v>
      </c>
      <c r="H30" s="7" t="s">
        <v>19</v>
      </c>
      <c r="I30" s="15" t="str">
        <f t="shared" si="2"/>
        <v>없음</v>
      </c>
      <c r="J30" s="8" t="s">
        <v>177</v>
      </c>
      <c r="K30" s="3" t="s">
        <v>19</v>
      </c>
      <c r="L30" s="3" t="s">
        <v>178</v>
      </c>
      <c r="M30" s="3" t="s">
        <v>21</v>
      </c>
      <c r="N30" s="3" t="s">
        <v>22</v>
      </c>
      <c r="O30" s="13">
        <v>6095</v>
      </c>
      <c r="P30" s="11" t="str">
        <f t="shared" si="3"/>
        <v>04. 5,000㎡ 이상</v>
      </c>
      <c r="Q30" s="8" t="s">
        <v>23</v>
      </c>
      <c r="R30" s="3" t="s">
        <v>24</v>
      </c>
      <c r="S30" s="3" t="s">
        <v>19</v>
      </c>
    </row>
    <row r="31" spans="1:19" x14ac:dyDescent="0.4">
      <c r="A31" s="7">
        <v>30</v>
      </c>
      <c r="B31" s="8" t="s">
        <v>179</v>
      </c>
      <c r="C31" s="19" t="str">
        <f t="shared" si="0"/>
        <v>부산광역시</v>
      </c>
      <c r="D31" s="17" t="str">
        <f t="shared" si="1"/>
        <v>중구</v>
      </c>
      <c r="E31" s="8" t="s">
        <v>180</v>
      </c>
      <c r="F31" s="3" t="s">
        <v>181</v>
      </c>
      <c r="G31" s="3" t="s">
        <v>182</v>
      </c>
      <c r="H31" s="7" t="s">
        <v>19</v>
      </c>
      <c r="I31" s="15" t="str">
        <f t="shared" si="2"/>
        <v>없음</v>
      </c>
      <c r="J31" s="8" t="s">
        <v>183</v>
      </c>
      <c r="K31" s="3" t="s">
        <v>19</v>
      </c>
      <c r="L31" s="3" t="s">
        <v>184</v>
      </c>
      <c r="M31" s="3" t="s">
        <v>21</v>
      </c>
      <c r="N31" s="3" t="s">
        <v>22</v>
      </c>
      <c r="O31" s="13">
        <v>14453</v>
      </c>
      <c r="P31" s="11" t="str">
        <f t="shared" si="3"/>
        <v>05. 1만㎡ 이상</v>
      </c>
      <c r="Q31" s="8" t="s">
        <v>23</v>
      </c>
      <c r="R31" s="3" t="s">
        <v>24</v>
      </c>
      <c r="S31" s="3" t="s">
        <v>19</v>
      </c>
    </row>
    <row r="32" spans="1:19" x14ac:dyDescent="0.4">
      <c r="A32" s="7">
        <v>31</v>
      </c>
      <c r="B32" s="8" t="s">
        <v>185</v>
      </c>
      <c r="C32" s="19" t="str">
        <f t="shared" si="0"/>
        <v>서울특별시</v>
      </c>
      <c r="D32" s="17" t="str">
        <f t="shared" si="1"/>
        <v>종로구</v>
      </c>
      <c r="E32" s="8" t="s">
        <v>186</v>
      </c>
      <c r="F32" s="3" t="s">
        <v>187</v>
      </c>
      <c r="G32" s="3" t="s">
        <v>188</v>
      </c>
      <c r="H32" s="7" t="s">
        <v>19</v>
      </c>
      <c r="I32" s="15" t="str">
        <f t="shared" si="2"/>
        <v>없음</v>
      </c>
      <c r="J32" s="8" t="s">
        <v>189</v>
      </c>
      <c r="K32" s="3" t="s">
        <v>19</v>
      </c>
      <c r="L32" s="3" t="s">
        <v>19</v>
      </c>
      <c r="M32" s="3" t="s">
        <v>21</v>
      </c>
      <c r="N32" s="3" t="s">
        <v>22</v>
      </c>
      <c r="O32" s="13">
        <v>301</v>
      </c>
      <c r="P32" s="11" t="str">
        <f t="shared" si="3"/>
        <v>01. 1,000㎡ 미만</v>
      </c>
      <c r="Q32" s="8" t="s">
        <v>23</v>
      </c>
      <c r="R32" s="3" t="s">
        <v>24</v>
      </c>
      <c r="S32" s="3" t="s">
        <v>19</v>
      </c>
    </row>
    <row r="33" spans="1:19" x14ac:dyDescent="0.4">
      <c r="A33" s="7">
        <v>32</v>
      </c>
      <c r="B33" s="8" t="s">
        <v>190</v>
      </c>
      <c r="C33" s="19" t="str">
        <f t="shared" si="0"/>
        <v>인천광역시</v>
      </c>
      <c r="D33" s="17" t="str">
        <f t="shared" si="1"/>
        <v>서해구</v>
      </c>
      <c r="E33" s="8" t="s">
        <v>191</v>
      </c>
      <c r="F33" s="3" t="s">
        <v>192</v>
      </c>
      <c r="G33" s="3" t="s">
        <v>193</v>
      </c>
      <c r="H33" s="7" t="s">
        <v>19</v>
      </c>
      <c r="I33" s="15" t="str">
        <f t="shared" si="2"/>
        <v>없음</v>
      </c>
      <c r="J33" s="8" t="s">
        <v>194</v>
      </c>
      <c r="K33" s="3" t="s">
        <v>19</v>
      </c>
      <c r="L33" s="3" t="s">
        <v>19</v>
      </c>
      <c r="M33" s="3" t="s">
        <v>21</v>
      </c>
      <c r="N33" s="3" t="s">
        <v>22</v>
      </c>
      <c r="O33" s="13">
        <v>1995</v>
      </c>
      <c r="P33" s="11" t="str">
        <f t="shared" si="3"/>
        <v>03. 1,500㎡ 이상</v>
      </c>
      <c r="Q33" s="8" t="s">
        <v>23</v>
      </c>
      <c r="R33" s="3" t="s">
        <v>24</v>
      </c>
      <c r="S33" s="3" t="s">
        <v>19</v>
      </c>
    </row>
    <row r="34" spans="1:19" x14ac:dyDescent="0.4">
      <c r="A34" s="7">
        <v>33</v>
      </c>
      <c r="B34" s="8" t="s">
        <v>195</v>
      </c>
      <c r="C34" s="19" t="str">
        <f t="shared" si="0"/>
        <v>서울특별시</v>
      </c>
      <c r="D34" s="17" t="str">
        <f t="shared" si="1"/>
        <v>종로구</v>
      </c>
      <c r="E34" s="8" t="s">
        <v>196</v>
      </c>
      <c r="F34" s="3" t="s">
        <v>197</v>
      </c>
      <c r="G34" s="3" t="s">
        <v>198</v>
      </c>
      <c r="H34" s="7" t="s">
        <v>19</v>
      </c>
      <c r="I34" s="15" t="str">
        <f t="shared" si="2"/>
        <v>없음</v>
      </c>
      <c r="J34" s="8" t="s">
        <v>199</v>
      </c>
      <c r="K34" s="3" t="s">
        <v>19</v>
      </c>
      <c r="L34" s="3" t="s">
        <v>200</v>
      </c>
      <c r="M34" s="3" t="s">
        <v>21</v>
      </c>
      <c r="N34" s="3" t="s">
        <v>22</v>
      </c>
      <c r="O34" s="13">
        <v>4482</v>
      </c>
      <c r="P34" s="11" t="str">
        <f t="shared" si="3"/>
        <v>03. 1,500㎡ 이상</v>
      </c>
      <c r="Q34" s="8" t="s">
        <v>23</v>
      </c>
      <c r="R34" s="3" t="s">
        <v>24</v>
      </c>
      <c r="S34" s="3" t="s">
        <v>19</v>
      </c>
    </row>
    <row r="35" spans="1:19" x14ac:dyDescent="0.4">
      <c r="A35" s="7">
        <v>34</v>
      </c>
      <c r="B35" s="8" t="s">
        <v>201</v>
      </c>
      <c r="C35" s="19" t="str">
        <f t="shared" si="0"/>
        <v>부산광역시</v>
      </c>
      <c r="D35" s="17" t="str">
        <f t="shared" si="1"/>
        <v>부산진구</v>
      </c>
      <c r="E35" s="8" t="s">
        <v>202</v>
      </c>
      <c r="F35" s="3" t="s">
        <v>203</v>
      </c>
      <c r="G35" s="3" t="s">
        <v>204</v>
      </c>
      <c r="H35" s="7" t="s">
        <v>19</v>
      </c>
      <c r="I35" s="15" t="str">
        <f t="shared" si="2"/>
        <v>없음</v>
      </c>
      <c r="J35" s="8" t="s">
        <v>205</v>
      </c>
      <c r="K35" s="3" t="s">
        <v>19</v>
      </c>
      <c r="L35" s="3" t="s">
        <v>19</v>
      </c>
      <c r="M35" s="3" t="s">
        <v>21</v>
      </c>
      <c r="N35" s="3" t="s">
        <v>22</v>
      </c>
      <c r="O35" s="13">
        <v>2000</v>
      </c>
      <c r="P35" s="11" t="str">
        <f t="shared" si="3"/>
        <v>03. 1,500㎡ 이상</v>
      </c>
      <c r="Q35" s="8" t="s">
        <v>23</v>
      </c>
      <c r="R35" s="3" t="s">
        <v>24</v>
      </c>
      <c r="S35" s="3" t="s">
        <v>19</v>
      </c>
    </row>
    <row r="36" spans="1:19" x14ac:dyDescent="0.4">
      <c r="A36" s="7">
        <v>35</v>
      </c>
      <c r="B36" s="8" t="s">
        <v>206</v>
      </c>
      <c r="C36" s="19" t="str">
        <f t="shared" si="0"/>
        <v>강원특별자치도</v>
      </c>
      <c r="D36" s="17" t="str">
        <f t="shared" si="1"/>
        <v>홍천군</v>
      </c>
      <c r="E36" s="8" t="s">
        <v>207</v>
      </c>
      <c r="F36" s="3" t="s">
        <v>208</v>
      </c>
      <c r="G36" s="3" t="s">
        <v>209</v>
      </c>
      <c r="H36" s="7" t="s">
        <v>19</v>
      </c>
      <c r="I36" s="15" t="str">
        <f t="shared" si="2"/>
        <v>없음</v>
      </c>
      <c r="J36" s="8" t="s">
        <v>210</v>
      </c>
      <c r="K36" s="3" t="s">
        <v>19</v>
      </c>
      <c r="L36" s="3" t="s">
        <v>19</v>
      </c>
      <c r="M36" s="3" t="s">
        <v>21</v>
      </c>
      <c r="N36" s="3" t="s">
        <v>22</v>
      </c>
      <c r="O36" s="13">
        <v>97</v>
      </c>
      <c r="P36" s="11" t="str">
        <f t="shared" si="3"/>
        <v>01. 1,000㎡ 미만</v>
      </c>
      <c r="Q36" s="8" t="s">
        <v>211</v>
      </c>
      <c r="R36" s="3" t="s">
        <v>24</v>
      </c>
      <c r="S36" s="3" t="s">
        <v>19</v>
      </c>
    </row>
    <row r="37" spans="1:19" x14ac:dyDescent="0.4">
      <c r="A37" s="7">
        <v>36</v>
      </c>
      <c r="B37" s="8" t="s">
        <v>212</v>
      </c>
      <c r="C37" s="19" t="str">
        <f t="shared" si="0"/>
        <v>전북특별자치도</v>
      </c>
      <c r="D37" s="17" t="str">
        <f t="shared" si="1"/>
        <v>완주군</v>
      </c>
      <c r="E37" s="8" t="s">
        <v>213</v>
      </c>
      <c r="F37" s="3" t="s">
        <v>214</v>
      </c>
      <c r="G37" s="3" t="s">
        <v>215</v>
      </c>
      <c r="H37" s="7" t="s">
        <v>19</v>
      </c>
      <c r="I37" s="15" t="str">
        <f t="shared" si="2"/>
        <v>없음</v>
      </c>
      <c r="J37" s="8" t="s">
        <v>216</v>
      </c>
      <c r="K37" s="3" t="s">
        <v>19</v>
      </c>
      <c r="L37" s="3" t="s">
        <v>217</v>
      </c>
      <c r="M37" s="3" t="s">
        <v>21</v>
      </c>
      <c r="N37" s="3" t="s">
        <v>22</v>
      </c>
      <c r="O37" s="13">
        <v>5417</v>
      </c>
      <c r="P37" s="11" t="str">
        <f t="shared" si="3"/>
        <v>04. 5,000㎡ 이상</v>
      </c>
      <c r="Q37" s="8" t="s">
        <v>23</v>
      </c>
      <c r="R37" s="3" t="s">
        <v>24</v>
      </c>
      <c r="S37" s="3" t="s">
        <v>19</v>
      </c>
    </row>
    <row r="38" spans="1:19" x14ac:dyDescent="0.4">
      <c r="A38" s="7">
        <v>37</v>
      </c>
      <c r="B38" s="8" t="s">
        <v>218</v>
      </c>
      <c r="C38" s="19" t="str">
        <f t="shared" si="0"/>
        <v>경기도</v>
      </c>
      <c r="D38" s="17" t="str">
        <f t="shared" si="1"/>
        <v>가평군</v>
      </c>
      <c r="E38" s="8" t="s">
        <v>219</v>
      </c>
      <c r="F38" s="3" t="s">
        <v>220</v>
      </c>
      <c r="G38" s="3" t="s">
        <v>221</v>
      </c>
      <c r="H38" s="7" t="s">
        <v>19</v>
      </c>
      <c r="I38" s="15" t="str">
        <f t="shared" si="2"/>
        <v>없음</v>
      </c>
      <c r="J38" s="8" t="s">
        <v>222</v>
      </c>
      <c r="K38" s="3" t="s">
        <v>19</v>
      </c>
      <c r="L38" s="3" t="s">
        <v>19</v>
      </c>
      <c r="M38" s="3" t="s">
        <v>21</v>
      </c>
      <c r="N38" s="3" t="s">
        <v>147</v>
      </c>
      <c r="O38" s="13">
        <v>942</v>
      </c>
      <c r="P38" s="11" t="str">
        <f t="shared" si="3"/>
        <v>01. 1,000㎡ 미만</v>
      </c>
      <c r="Q38" s="8" t="s">
        <v>23</v>
      </c>
      <c r="R38" s="3" t="s">
        <v>24</v>
      </c>
      <c r="S38" s="3" t="s">
        <v>19</v>
      </c>
    </row>
    <row r="39" spans="1:19" x14ac:dyDescent="0.4">
      <c r="A39" s="7">
        <v>38</v>
      </c>
      <c r="B39" s="8" t="s">
        <v>223</v>
      </c>
      <c r="C39" s="19" t="str">
        <f t="shared" si="0"/>
        <v>경상북도</v>
      </c>
      <c r="D39" s="17" t="str">
        <f t="shared" si="1"/>
        <v>문경시</v>
      </c>
      <c r="E39" s="8" t="s">
        <v>224</v>
      </c>
      <c r="F39" s="3" t="s">
        <v>225</v>
      </c>
      <c r="G39" s="3" t="s">
        <v>226</v>
      </c>
      <c r="H39" s="7" t="s">
        <v>19</v>
      </c>
      <c r="I39" s="15" t="str">
        <f t="shared" si="2"/>
        <v>없음</v>
      </c>
      <c r="J39" s="8" t="s">
        <v>227</v>
      </c>
      <c r="K39" s="3" t="s">
        <v>19</v>
      </c>
      <c r="L39" s="3" t="s">
        <v>19</v>
      </c>
      <c r="M39" s="3" t="s">
        <v>21</v>
      </c>
      <c r="N39" s="3" t="s">
        <v>228</v>
      </c>
      <c r="O39" s="13">
        <v>1493</v>
      </c>
      <c r="P39" s="11" t="str">
        <f t="shared" si="3"/>
        <v>02. 1,000㎡ 이상</v>
      </c>
      <c r="Q39" s="8" t="s">
        <v>23</v>
      </c>
      <c r="R39" s="3" t="s">
        <v>24</v>
      </c>
      <c r="S39" s="3" t="s">
        <v>19</v>
      </c>
    </row>
    <row r="40" spans="1:19" x14ac:dyDescent="0.4">
      <c r="A40" s="7">
        <v>39</v>
      </c>
      <c r="B40" s="8" t="s">
        <v>229</v>
      </c>
      <c r="C40" s="19" t="str">
        <f t="shared" si="0"/>
        <v>전남광주통합특별시</v>
      </c>
      <c r="D40" s="17" t="str">
        <f t="shared" si="1"/>
        <v>완도군</v>
      </c>
      <c r="E40" s="8" t="s">
        <v>230</v>
      </c>
      <c r="F40" s="3" t="s">
        <v>231</v>
      </c>
      <c r="G40" s="3" t="s">
        <v>232</v>
      </c>
      <c r="H40" s="7" t="s">
        <v>233</v>
      </c>
      <c r="I40" s="15" t="str">
        <f t="shared" si="2"/>
        <v>있음</v>
      </c>
      <c r="J40" s="8" t="s">
        <v>234</v>
      </c>
      <c r="K40" s="3" t="s">
        <v>235</v>
      </c>
      <c r="L40" s="3" t="s">
        <v>19</v>
      </c>
      <c r="M40" s="3" t="s">
        <v>21</v>
      </c>
      <c r="N40" s="3" t="s">
        <v>22</v>
      </c>
      <c r="O40" s="13">
        <v>1139</v>
      </c>
      <c r="P40" s="11" t="str">
        <f t="shared" si="3"/>
        <v>02. 1,000㎡ 이상</v>
      </c>
      <c r="Q40" s="8" t="s">
        <v>236</v>
      </c>
      <c r="R40" s="3" t="s">
        <v>24</v>
      </c>
      <c r="S40" s="3" t="s">
        <v>19</v>
      </c>
    </row>
    <row r="41" spans="1:19" x14ac:dyDescent="0.4">
      <c r="A41" s="7">
        <v>40</v>
      </c>
      <c r="B41" s="8" t="s">
        <v>237</v>
      </c>
      <c r="C41" s="19" t="str">
        <f t="shared" si="0"/>
        <v>제주특별자치도</v>
      </c>
      <c r="D41" s="17" t="str">
        <f t="shared" si="1"/>
        <v>서귀포시</v>
      </c>
      <c r="E41" s="8" t="s">
        <v>238</v>
      </c>
      <c r="F41" s="3" t="s">
        <v>239</v>
      </c>
      <c r="G41" s="3" t="s">
        <v>240</v>
      </c>
      <c r="H41" s="7" t="s">
        <v>19</v>
      </c>
      <c r="I41" s="15" t="str">
        <f t="shared" si="2"/>
        <v>없음</v>
      </c>
      <c r="J41" s="8" t="s">
        <v>241</v>
      </c>
      <c r="K41" s="3" t="s">
        <v>19</v>
      </c>
      <c r="L41" s="3" t="s">
        <v>242</v>
      </c>
      <c r="M41" s="3" t="s">
        <v>21</v>
      </c>
      <c r="N41" s="3" t="s">
        <v>22</v>
      </c>
      <c r="O41" s="13">
        <v>2964</v>
      </c>
      <c r="P41" s="11" t="str">
        <f t="shared" si="3"/>
        <v>03. 1,500㎡ 이상</v>
      </c>
      <c r="Q41" s="8" t="s">
        <v>19</v>
      </c>
      <c r="R41" s="3" t="s">
        <v>24</v>
      </c>
      <c r="S41" s="3" t="s">
        <v>19</v>
      </c>
    </row>
    <row r="42" spans="1:19" x14ac:dyDescent="0.4">
      <c r="A42" s="7">
        <v>41</v>
      </c>
      <c r="B42" s="8" t="s">
        <v>243</v>
      </c>
      <c r="C42" s="19" t="str">
        <f t="shared" si="0"/>
        <v>제주특별자치도</v>
      </c>
      <c r="D42" s="17" t="str">
        <f t="shared" si="1"/>
        <v>서귀포시</v>
      </c>
      <c r="E42" s="8" t="s">
        <v>244</v>
      </c>
      <c r="F42" s="3" t="s">
        <v>239</v>
      </c>
      <c r="G42" s="3" t="s">
        <v>245</v>
      </c>
      <c r="H42" s="7" t="s">
        <v>19</v>
      </c>
      <c r="I42" s="15" t="str">
        <f t="shared" si="2"/>
        <v>없음</v>
      </c>
      <c r="J42" s="8" t="s">
        <v>246</v>
      </c>
      <c r="K42" s="3" t="s">
        <v>19</v>
      </c>
      <c r="L42" s="3" t="s">
        <v>247</v>
      </c>
      <c r="M42" s="3" t="s">
        <v>21</v>
      </c>
      <c r="N42" s="3" t="s">
        <v>22</v>
      </c>
      <c r="O42" s="13">
        <v>10831</v>
      </c>
      <c r="P42" s="11" t="str">
        <f t="shared" si="3"/>
        <v>05. 1만㎡ 이상</v>
      </c>
      <c r="Q42" s="8" t="s">
        <v>19</v>
      </c>
      <c r="R42" s="3" t="s">
        <v>24</v>
      </c>
      <c r="S42" s="3" t="s">
        <v>19</v>
      </c>
    </row>
    <row r="43" spans="1:19" x14ac:dyDescent="0.4">
      <c r="A43" s="7">
        <v>42</v>
      </c>
      <c r="B43" s="8" t="s">
        <v>248</v>
      </c>
      <c r="C43" s="19" t="str">
        <f t="shared" si="0"/>
        <v>인천광역시</v>
      </c>
      <c r="D43" s="17" t="str">
        <f t="shared" si="1"/>
        <v>옹진군</v>
      </c>
      <c r="E43" s="8" t="s">
        <v>249</v>
      </c>
      <c r="F43" s="3" t="s">
        <v>250</v>
      </c>
      <c r="G43" s="3" t="s">
        <v>251</v>
      </c>
      <c r="H43" s="7" t="s">
        <v>19</v>
      </c>
      <c r="I43" s="15" t="str">
        <f t="shared" si="2"/>
        <v>없음</v>
      </c>
      <c r="J43" s="8" t="s">
        <v>252</v>
      </c>
      <c r="K43" s="3" t="s">
        <v>19</v>
      </c>
      <c r="L43" s="3" t="s">
        <v>19</v>
      </c>
      <c r="M43" s="3" t="s">
        <v>21</v>
      </c>
      <c r="N43" s="3" t="s">
        <v>147</v>
      </c>
      <c r="O43" s="13">
        <v>259</v>
      </c>
      <c r="P43" s="11" t="str">
        <f t="shared" si="3"/>
        <v>01. 1,000㎡ 미만</v>
      </c>
      <c r="Q43" s="8" t="s">
        <v>123</v>
      </c>
      <c r="R43" s="3" t="s">
        <v>24</v>
      </c>
      <c r="S43" s="3" t="s">
        <v>19</v>
      </c>
    </row>
    <row r="44" spans="1:19" x14ac:dyDescent="0.4">
      <c r="A44" s="7">
        <v>43</v>
      </c>
      <c r="B44" s="8" t="s">
        <v>21</v>
      </c>
      <c r="C44" s="19" t="str">
        <f t="shared" si="0"/>
        <v>충청남도</v>
      </c>
      <c r="D44" s="17" t="str">
        <f t="shared" si="1"/>
        <v>예산군</v>
      </c>
      <c r="E44" s="8" t="s">
        <v>253</v>
      </c>
      <c r="F44" s="3" t="s">
        <v>254</v>
      </c>
      <c r="G44" s="3" t="s">
        <v>255</v>
      </c>
      <c r="H44" s="7" t="s">
        <v>19</v>
      </c>
      <c r="I44" s="15" t="str">
        <f t="shared" si="2"/>
        <v>없음</v>
      </c>
      <c r="J44" s="8" t="s">
        <v>256</v>
      </c>
      <c r="K44" s="3" t="s">
        <v>19</v>
      </c>
      <c r="L44" s="3" t="s">
        <v>257</v>
      </c>
      <c r="M44" s="3" t="s">
        <v>21</v>
      </c>
      <c r="N44" s="3" t="s">
        <v>22</v>
      </c>
      <c r="O44" s="13">
        <v>5570</v>
      </c>
      <c r="P44" s="11" t="str">
        <f t="shared" si="3"/>
        <v>04. 5,000㎡ 이상</v>
      </c>
      <c r="Q44" s="8" t="s">
        <v>23</v>
      </c>
      <c r="R44" s="3" t="s">
        <v>24</v>
      </c>
      <c r="S44" s="3" t="s">
        <v>19</v>
      </c>
    </row>
    <row r="45" spans="1:19" x14ac:dyDescent="0.4">
      <c r="A45" s="7">
        <v>44</v>
      </c>
      <c r="B45" s="8" t="s">
        <v>258</v>
      </c>
      <c r="C45" s="19" t="str">
        <f t="shared" si="0"/>
        <v>부산광역시</v>
      </c>
      <c r="D45" s="17" t="str">
        <f t="shared" si="1"/>
        <v>해운대구</v>
      </c>
      <c r="E45" s="8" t="s">
        <v>259</v>
      </c>
      <c r="F45" s="3" t="s">
        <v>254</v>
      </c>
      <c r="G45" s="3" t="s">
        <v>260</v>
      </c>
      <c r="H45" s="7" t="s">
        <v>19</v>
      </c>
      <c r="I45" s="15" t="str">
        <f t="shared" si="2"/>
        <v>없음</v>
      </c>
      <c r="J45" s="8" t="s">
        <v>261</v>
      </c>
      <c r="K45" s="3" t="s">
        <v>19</v>
      </c>
      <c r="L45" s="3" t="s">
        <v>262</v>
      </c>
      <c r="M45" s="3" t="s">
        <v>21</v>
      </c>
      <c r="N45" s="3" t="s">
        <v>22</v>
      </c>
      <c r="O45" s="13">
        <v>8688</v>
      </c>
      <c r="P45" s="11" t="str">
        <f t="shared" si="3"/>
        <v>04. 5,000㎡ 이상</v>
      </c>
      <c r="Q45" s="8" t="s">
        <v>23</v>
      </c>
      <c r="R45" s="3" t="s">
        <v>24</v>
      </c>
      <c r="S45" s="3" t="s">
        <v>19</v>
      </c>
    </row>
    <row r="46" spans="1:19" x14ac:dyDescent="0.4">
      <c r="A46" s="7">
        <v>45</v>
      </c>
      <c r="B46" s="8" t="s">
        <v>263</v>
      </c>
      <c r="C46" s="19" t="str">
        <f t="shared" si="0"/>
        <v>충청북도</v>
      </c>
      <c r="D46" s="17" t="str">
        <f t="shared" si="1"/>
        <v>보은군</v>
      </c>
      <c r="E46" s="8" t="s">
        <v>264</v>
      </c>
      <c r="F46" s="3" t="s">
        <v>265</v>
      </c>
      <c r="G46" s="3" t="s">
        <v>266</v>
      </c>
      <c r="H46" s="7" t="s">
        <v>19</v>
      </c>
      <c r="I46" s="15" t="str">
        <f t="shared" si="2"/>
        <v>없음</v>
      </c>
      <c r="J46" s="8" t="s">
        <v>267</v>
      </c>
      <c r="K46" s="3" t="s">
        <v>19</v>
      </c>
      <c r="L46" s="3" t="s">
        <v>268</v>
      </c>
      <c r="M46" s="3" t="s">
        <v>21</v>
      </c>
      <c r="N46" s="3" t="s">
        <v>22</v>
      </c>
      <c r="O46" s="13">
        <v>6201</v>
      </c>
      <c r="P46" s="11" t="str">
        <f t="shared" si="3"/>
        <v>04. 5,000㎡ 이상</v>
      </c>
      <c r="Q46" s="8" t="s">
        <v>23</v>
      </c>
      <c r="R46" s="3" t="s">
        <v>24</v>
      </c>
      <c r="S46" s="3" t="s">
        <v>19</v>
      </c>
    </row>
    <row r="47" spans="1:19" x14ac:dyDescent="0.4">
      <c r="A47" s="7">
        <v>46</v>
      </c>
      <c r="B47" s="8" t="s">
        <v>269</v>
      </c>
      <c r="C47" s="19" t="str">
        <f t="shared" si="0"/>
        <v>강원특별자치도</v>
      </c>
      <c r="D47" s="17" t="str">
        <f t="shared" si="1"/>
        <v>동해시</v>
      </c>
      <c r="E47" s="8" t="s">
        <v>270</v>
      </c>
      <c r="F47" s="3" t="s">
        <v>271</v>
      </c>
      <c r="G47" s="3" t="s">
        <v>272</v>
      </c>
      <c r="H47" s="7" t="s">
        <v>273</v>
      </c>
      <c r="I47" s="15" t="str">
        <f t="shared" si="2"/>
        <v>있음</v>
      </c>
      <c r="J47" s="8" t="s">
        <v>274</v>
      </c>
      <c r="K47" s="3" t="s">
        <v>275</v>
      </c>
      <c r="L47" s="3" t="s">
        <v>19</v>
      </c>
      <c r="M47" s="3" t="s">
        <v>21</v>
      </c>
      <c r="N47" s="3" t="s">
        <v>147</v>
      </c>
      <c r="O47" s="13">
        <v>244</v>
      </c>
      <c r="P47" s="11" t="str">
        <f t="shared" si="3"/>
        <v>01. 1,000㎡ 미만</v>
      </c>
      <c r="Q47" s="8" t="s">
        <v>23</v>
      </c>
      <c r="R47" s="3" t="s">
        <v>24</v>
      </c>
      <c r="S47" s="3" t="s">
        <v>19</v>
      </c>
    </row>
    <row r="48" spans="1:19" x14ac:dyDescent="0.4">
      <c r="A48" s="7">
        <v>47</v>
      </c>
      <c r="B48" s="8" t="s">
        <v>282</v>
      </c>
      <c r="C48" s="19" t="str">
        <f t="shared" si="0"/>
        <v>경기도</v>
      </c>
      <c r="D48" s="17" t="str">
        <f t="shared" si="1"/>
        <v>여주시</v>
      </c>
      <c r="E48" s="8" t="s">
        <v>283</v>
      </c>
      <c r="F48" s="3" t="s">
        <v>284</v>
      </c>
      <c r="G48" s="3" t="s">
        <v>279</v>
      </c>
      <c r="H48" s="7" t="s">
        <v>19</v>
      </c>
      <c r="I48" s="15" t="str">
        <f t="shared" si="2"/>
        <v>없음</v>
      </c>
      <c r="J48" s="8" t="s">
        <v>285</v>
      </c>
      <c r="K48" s="3" t="s">
        <v>19</v>
      </c>
      <c r="L48" s="3" t="s">
        <v>19</v>
      </c>
      <c r="M48" s="3" t="s">
        <v>21</v>
      </c>
      <c r="N48" s="3" t="s">
        <v>147</v>
      </c>
      <c r="O48" s="13">
        <v>1344</v>
      </c>
      <c r="P48" s="11" t="str">
        <f t="shared" si="3"/>
        <v>02. 1,000㎡ 이상</v>
      </c>
      <c r="Q48" s="8" t="s">
        <v>286</v>
      </c>
      <c r="R48" s="3" t="s">
        <v>24</v>
      </c>
      <c r="S48" s="3" t="s">
        <v>19</v>
      </c>
    </row>
    <row r="49" spans="1:19" x14ac:dyDescent="0.4">
      <c r="A49" s="7">
        <v>48</v>
      </c>
      <c r="B49" s="8" t="s">
        <v>287</v>
      </c>
      <c r="C49" s="19" t="str">
        <f t="shared" si="0"/>
        <v>제주특별자치도</v>
      </c>
      <c r="D49" s="17" t="str">
        <f t="shared" si="1"/>
        <v>서귀포시</v>
      </c>
      <c r="E49" s="8" t="s">
        <v>288</v>
      </c>
      <c r="F49" s="3" t="s">
        <v>289</v>
      </c>
      <c r="G49" s="3" t="s">
        <v>279</v>
      </c>
      <c r="H49" s="7" t="s">
        <v>19</v>
      </c>
      <c r="I49" s="15" t="str">
        <f t="shared" si="2"/>
        <v>없음</v>
      </c>
      <c r="J49" s="8" t="s">
        <v>290</v>
      </c>
      <c r="K49" s="3" t="s">
        <v>19</v>
      </c>
      <c r="L49" s="3" t="s">
        <v>19</v>
      </c>
      <c r="M49" s="3" t="s">
        <v>21</v>
      </c>
      <c r="N49" s="3" t="s">
        <v>22</v>
      </c>
      <c r="O49" s="13">
        <v>795</v>
      </c>
      <c r="P49" s="11" t="str">
        <f t="shared" si="3"/>
        <v>01. 1,000㎡ 미만</v>
      </c>
      <c r="Q49" s="8" t="s">
        <v>23</v>
      </c>
      <c r="R49" s="3" t="s">
        <v>24</v>
      </c>
      <c r="S49" s="3" t="s">
        <v>19</v>
      </c>
    </row>
    <row r="50" spans="1:19" x14ac:dyDescent="0.4">
      <c r="A50" s="7">
        <v>49</v>
      </c>
      <c r="B50" s="8" t="s">
        <v>291</v>
      </c>
      <c r="C50" s="19" t="str">
        <f t="shared" si="0"/>
        <v>경기도</v>
      </c>
      <c r="D50" s="17" t="str">
        <f t="shared" si="1"/>
        <v>가평군</v>
      </c>
      <c r="E50" s="8" t="s">
        <v>292</v>
      </c>
      <c r="F50" s="3" t="s">
        <v>293</v>
      </c>
      <c r="G50" s="3" t="s">
        <v>294</v>
      </c>
      <c r="H50" s="7" t="s">
        <v>19</v>
      </c>
      <c r="I50" s="15" t="str">
        <f t="shared" si="2"/>
        <v>없음</v>
      </c>
      <c r="J50" s="8" t="s">
        <v>274</v>
      </c>
      <c r="K50" s="3" t="s">
        <v>19</v>
      </c>
      <c r="L50" s="3" t="s">
        <v>19</v>
      </c>
      <c r="M50" s="3" t="s">
        <v>21</v>
      </c>
      <c r="N50" s="3" t="s">
        <v>22</v>
      </c>
      <c r="O50" s="13">
        <v>300</v>
      </c>
      <c r="P50" s="11" t="str">
        <f t="shared" si="3"/>
        <v>01. 1,000㎡ 미만</v>
      </c>
      <c r="Q50" s="8" t="s">
        <v>23</v>
      </c>
      <c r="R50" s="3" t="s">
        <v>24</v>
      </c>
      <c r="S50" s="3" t="s">
        <v>19</v>
      </c>
    </row>
    <row r="51" spans="1:19" x14ac:dyDescent="0.4">
      <c r="A51" s="7">
        <v>50</v>
      </c>
      <c r="B51" s="8" t="s">
        <v>295</v>
      </c>
      <c r="C51" s="19" t="str">
        <f t="shared" si="0"/>
        <v>경기도</v>
      </c>
      <c r="D51" s="17" t="str">
        <f t="shared" si="1"/>
        <v>가평군</v>
      </c>
      <c r="E51" s="8" t="s">
        <v>296</v>
      </c>
      <c r="F51" s="3" t="s">
        <v>297</v>
      </c>
      <c r="G51" s="3" t="s">
        <v>294</v>
      </c>
      <c r="H51" s="7" t="s">
        <v>298</v>
      </c>
      <c r="I51" s="15" t="str">
        <f t="shared" si="2"/>
        <v>있음</v>
      </c>
      <c r="J51" s="8" t="s">
        <v>19</v>
      </c>
      <c r="K51" s="3" t="s">
        <v>19</v>
      </c>
      <c r="L51" s="3" t="s">
        <v>19</v>
      </c>
      <c r="M51" s="3" t="s">
        <v>21</v>
      </c>
      <c r="N51" s="3" t="s">
        <v>22</v>
      </c>
      <c r="O51" s="13">
        <v>1371</v>
      </c>
      <c r="P51" s="11" t="str">
        <f t="shared" si="3"/>
        <v>02. 1,000㎡ 이상</v>
      </c>
      <c r="Q51" s="8" t="s">
        <v>123</v>
      </c>
      <c r="R51" s="3" t="s">
        <v>24</v>
      </c>
      <c r="S51" s="3" t="s">
        <v>19</v>
      </c>
    </row>
    <row r="52" spans="1:19" x14ac:dyDescent="0.4">
      <c r="A52" s="7">
        <v>51</v>
      </c>
      <c r="B52" s="8" t="s">
        <v>303</v>
      </c>
      <c r="C52" s="19" t="str">
        <f t="shared" si="0"/>
        <v>제주특별자치도</v>
      </c>
      <c r="D52" s="17" t="str">
        <f t="shared" si="1"/>
        <v>서귀포시</v>
      </c>
      <c r="E52" s="8" t="s">
        <v>304</v>
      </c>
      <c r="F52" s="3" t="s">
        <v>305</v>
      </c>
      <c r="G52" s="3" t="s">
        <v>306</v>
      </c>
      <c r="H52" s="7" t="s">
        <v>19</v>
      </c>
      <c r="I52" s="15" t="str">
        <f t="shared" si="2"/>
        <v>없음</v>
      </c>
      <c r="J52" s="8" t="s">
        <v>290</v>
      </c>
      <c r="K52" s="3" t="s">
        <v>19</v>
      </c>
      <c r="L52" s="3" t="s">
        <v>19</v>
      </c>
      <c r="M52" s="3" t="s">
        <v>21</v>
      </c>
      <c r="N52" s="3" t="s">
        <v>22</v>
      </c>
      <c r="O52" s="13">
        <v>368</v>
      </c>
      <c r="P52" s="11" t="str">
        <f t="shared" si="3"/>
        <v>01. 1,000㎡ 미만</v>
      </c>
      <c r="Q52" s="8" t="s">
        <v>23</v>
      </c>
      <c r="R52" s="3" t="s">
        <v>24</v>
      </c>
      <c r="S52" s="3" t="s">
        <v>19</v>
      </c>
    </row>
    <row r="53" spans="1:19" x14ac:dyDescent="0.4">
      <c r="A53" s="7">
        <v>52</v>
      </c>
      <c r="B53" s="8" t="s">
        <v>307</v>
      </c>
      <c r="C53" s="19" t="str">
        <f t="shared" si="0"/>
        <v>제주특별자치도</v>
      </c>
      <c r="D53" s="17" t="str">
        <f t="shared" si="1"/>
        <v>서귀포시</v>
      </c>
      <c r="E53" s="8" t="s">
        <v>308</v>
      </c>
      <c r="F53" s="3" t="s">
        <v>305</v>
      </c>
      <c r="G53" s="3" t="s">
        <v>306</v>
      </c>
      <c r="H53" s="7" t="s">
        <v>19</v>
      </c>
      <c r="I53" s="15" t="str">
        <f t="shared" si="2"/>
        <v>없음</v>
      </c>
      <c r="J53" s="8" t="s">
        <v>290</v>
      </c>
      <c r="K53" s="3" t="s">
        <v>19</v>
      </c>
      <c r="L53" s="3" t="s">
        <v>309</v>
      </c>
      <c r="M53" s="3" t="s">
        <v>21</v>
      </c>
      <c r="N53" s="3" t="s">
        <v>22</v>
      </c>
      <c r="O53" s="13">
        <v>439</v>
      </c>
      <c r="P53" s="11" t="str">
        <f t="shared" si="3"/>
        <v>01. 1,000㎡ 미만</v>
      </c>
      <c r="Q53" s="8" t="s">
        <v>23</v>
      </c>
      <c r="R53" s="3" t="s">
        <v>24</v>
      </c>
      <c r="S53" s="3" t="s">
        <v>19</v>
      </c>
    </row>
    <row r="54" spans="1:19" x14ac:dyDescent="0.4">
      <c r="A54" s="7">
        <v>53</v>
      </c>
      <c r="B54" s="8" t="s">
        <v>316</v>
      </c>
      <c r="C54" s="19" t="str">
        <f t="shared" si="0"/>
        <v>경상북도</v>
      </c>
      <c r="D54" s="17" t="str">
        <f t="shared" si="1"/>
        <v>영덕군</v>
      </c>
      <c r="E54" s="8" t="s">
        <v>317</v>
      </c>
      <c r="F54" s="3" t="s">
        <v>318</v>
      </c>
      <c r="G54" s="3" t="s">
        <v>319</v>
      </c>
      <c r="H54" s="7" t="s">
        <v>19</v>
      </c>
      <c r="I54" s="15" t="str">
        <f t="shared" si="2"/>
        <v>없음</v>
      </c>
      <c r="J54" s="8" t="s">
        <v>222</v>
      </c>
      <c r="K54" s="3" t="s">
        <v>19</v>
      </c>
      <c r="L54" s="3" t="s">
        <v>19</v>
      </c>
      <c r="M54" s="3" t="s">
        <v>21</v>
      </c>
      <c r="N54" s="3" t="s">
        <v>22</v>
      </c>
      <c r="O54" s="13">
        <v>1567</v>
      </c>
      <c r="P54" s="11" t="str">
        <f t="shared" si="3"/>
        <v>03. 1,500㎡ 이상</v>
      </c>
      <c r="Q54" s="8" t="s">
        <v>23</v>
      </c>
      <c r="R54" s="3" t="s">
        <v>24</v>
      </c>
      <c r="S54" s="3" t="s">
        <v>19</v>
      </c>
    </row>
    <row r="55" spans="1:19" x14ac:dyDescent="0.4">
      <c r="A55" s="7">
        <v>54</v>
      </c>
      <c r="B55" s="8" t="s">
        <v>320</v>
      </c>
      <c r="C55" s="19" t="str">
        <f t="shared" si="0"/>
        <v>충청남도</v>
      </c>
      <c r="D55" s="17" t="str">
        <f t="shared" si="1"/>
        <v>천안시</v>
      </c>
      <c r="E55" s="8" t="s">
        <v>321</v>
      </c>
      <c r="F55" s="3" t="s">
        <v>322</v>
      </c>
      <c r="G55" s="3" t="s">
        <v>297</v>
      </c>
      <c r="H55" s="7" t="s">
        <v>19</v>
      </c>
      <c r="I55" s="15" t="str">
        <f t="shared" si="2"/>
        <v>없음</v>
      </c>
      <c r="J55" s="8" t="s">
        <v>323</v>
      </c>
      <c r="K55" s="3" t="s">
        <v>19</v>
      </c>
      <c r="L55" s="3" t="s">
        <v>324</v>
      </c>
      <c r="M55" s="3" t="s">
        <v>21</v>
      </c>
      <c r="N55" s="3" t="s">
        <v>22</v>
      </c>
      <c r="O55" s="13">
        <v>2967</v>
      </c>
      <c r="P55" s="11" t="str">
        <f t="shared" si="3"/>
        <v>03. 1,500㎡ 이상</v>
      </c>
      <c r="Q55" s="8" t="s">
        <v>23</v>
      </c>
      <c r="R55" s="3" t="s">
        <v>24</v>
      </c>
      <c r="S55" s="3" t="s">
        <v>19</v>
      </c>
    </row>
    <row r="56" spans="1:19" x14ac:dyDescent="0.4">
      <c r="A56" s="7">
        <v>55</v>
      </c>
      <c r="B56" s="8" t="s">
        <v>325</v>
      </c>
      <c r="C56" s="19" t="str">
        <f t="shared" si="0"/>
        <v>경상북도</v>
      </c>
      <c r="D56" s="17" t="str">
        <f t="shared" si="1"/>
        <v>경주시</v>
      </c>
      <c r="E56" s="8" t="s">
        <v>326</v>
      </c>
      <c r="F56" s="3" t="s">
        <v>327</v>
      </c>
      <c r="G56" s="3" t="s">
        <v>328</v>
      </c>
      <c r="H56" s="7" t="s">
        <v>19</v>
      </c>
      <c r="I56" s="15" t="str">
        <f t="shared" si="2"/>
        <v>없음</v>
      </c>
      <c r="J56" s="8" t="s">
        <v>329</v>
      </c>
      <c r="K56" s="3" t="s">
        <v>19</v>
      </c>
      <c r="L56" s="3" t="s">
        <v>19</v>
      </c>
      <c r="M56" s="3" t="s">
        <v>21</v>
      </c>
      <c r="N56" s="3" t="s">
        <v>147</v>
      </c>
      <c r="O56" s="13">
        <v>144</v>
      </c>
      <c r="P56" s="11" t="str">
        <f t="shared" si="3"/>
        <v>01. 1,000㎡ 미만</v>
      </c>
      <c r="Q56" s="8" t="s">
        <v>330</v>
      </c>
      <c r="R56" s="3" t="s">
        <v>24</v>
      </c>
      <c r="S56" s="3" t="s">
        <v>19</v>
      </c>
    </row>
    <row r="57" spans="1:19" x14ac:dyDescent="0.4">
      <c r="A57" s="7">
        <v>56</v>
      </c>
      <c r="B57" s="8" t="s">
        <v>336</v>
      </c>
      <c r="C57" s="19" t="str">
        <f t="shared" si="0"/>
        <v>경상남도</v>
      </c>
      <c r="D57" s="17" t="str">
        <f t="shared" si="1"/>
        <v>거창군</v>
      </c>
      <c r="E57" s="8" t="s">
        <v>337</v>
      </c>
      <c r="F57" s="3" t="s">
        <v>338</v>
      </c>
      <c r="G57" s="3" t="s">
        <v>339</v>
      </c>
      <c r="H57" s="7" t="s">
        <v>19</v>
      </c>
      <c r="I57" s="15" t="str">
        <f t="shared" si="2"/>
        <v>없음</v>
      </c>
      <c r="J57" s="8" t="s">
        <v>340</v>
      </c>
      <c r="K57" s="3" t="s">
        <v>19</v>
      </c>
      <c r="L57" s="3" t="s">
        <v>19</v>
      </c>
      <c r="M57" s="3" t="s">
        <v>21</v>
      </c>
      <c r="N57" s="3" t="s">
        <v>22</v>
      </c>
      <c r="O57" s="13">
        <v>1032</v>
      </c>
      <c r="P57" s="11" t="str">
        <f t="shared" si="3"/>
        <v>02. 1,000㎡ 이상</v>
      </c>
      <c r="Q57" s="8" t="s">
        <v>23</v>
      </c>
      <c r="R57" s="3" t="s">
        <v>24</v>
      </c>
      <c r="S57" s="3" t="s">
        <v>19</v>
      </c>
    </row>
    <row r="58" spans="1:19" x14ac:dyDescent="0.4">
      <c r="A58" s="7">
        <v>57</v>
      </c>
      <c r="B58" s="8" t="s">
        <v>341</v>
      </c>
      <c r="C58" s="19" t="str">
        <f t="shared" si="0"/>
        <v>경상남도</v>
      </c>
      <c r="D58" s="17" t="str">
        <f t="shared" si="1"/>
        <v>통영시</v>
      </c>
      <c r="E58" s="8" t="s">
        <v>342</v>
      </c>
      <c r="F58" s="3" t="s">
        <v>343</v>
      </c>
      <c r="G58" s="3" t="s">
        <v>55</v>
      </c>
      <c r="H58" s="7" t="s">
        <v>19</v>
      </c>
      <c r="I58" s="15" t="str">
        <f t="shared" si="2"/>
        <v>없음</v>
      </c>
      <c r="J58" s="8" t="s">
        <v>344</v>
      </c>
      <c r="K58" s="3" t="s">
        <v>19</v>
      </c>
      <c r="L58" s="3" t="s">
        <v>19</v>
      </c>
      <c r="M58" s="3" t="s">
        <v>21</v>
      </c>
      <c r="N58" s="3" t="s">
        <v>22</v>
      </c>
      <c r="O58" s="13">
        <v>1506</v>
      </c>
      <c r="P58" s="11" t="str">
        <f t="shared" si="3"/>
        <v>03. 1,500㎡ 이상</v>
      </c>
      <c r="Q58" s="8" t="s">
        <v>23</v>
      </c>
      <c r="R58" s="3" t="s">
        <v>24</v>
      </c>
      <c r="S58" s="3" t="s">
        <v>19</v>
      </c>
    </row>
    <row r="59" spans="1:19" x14ac:dyDescent="0.4">
      <c r="A59" s="7">
        <v>58</v>
      </c>
      <c r="B59" s="8" t="s">
        <v>345</v>
      </c>
      <c r="C59" s="19" t="str">
        <f t="shared" si="0"/>
        <v>대구광역시</v>
      </c>
      <c r="D59" s="17" t="str">
        <f t="shared" si="1"/>
        <v>군위군</v>
      </c>
      <c r="E59" s="8" t="s">
        <v>346</v>
      </c>
      <c r="F59" s="3" t="s">
        <v>347</v>
      </c>
      <c r="G59" s="3" t="s">
        <v>348</v>
      </c>
      <c r="H59" s="7" t="s">
        <v>19</v>
      </c>
      <c r="I59" s="15" t="str">
        <f t="shared" si="2"/>
        <v>없음</v>
      </c>
      <c r="J59" s="8" t="s">
        <v>349</v>
      </c>
      <c r="K59" s="3" t="s">
        <v>19</v>
      </c>
      <c r="L59" s="3" t="s">
        <v>19</v>
      </c>
      <c r="M59" s="3" t="s">
        <v>21</v>
      </c>
      <c r="N59" s="3" t="s">
        <v>22</v>
      </c>
      <c r="O59" s="13">
        <v>1996</v>
      </c>
      <c r="P59" s="11" t="str">
        <f t="shared" si="3"/>
        <v>03. 1,500㎡ 이상</v>
      </c>
      <c r="Q59" s="8" t="s">
        <v>23</v>
      </c>
      <c r="R59" s="3" t="s">
        <v>24</v>
      </c>
      <c r="S59" s="3" t="s">
        <v>19</v>
      </c>
    </row>
    <row r="60" spans="1:19" x14ac:dyDescent="0.4">
      <c r="A60" s="7">
        <v>59</v>
      </c>
      <c r="B60" s="8" t="s">
        <v>350</v>
      </c>
      <c r="C60" s="19" t="str">
        <f t="shared" si="0"/>
        <v>울산광역시</v>
      </c>
      <c r="D60" s="17" t="str">
        <f t="shared" si="1"/>
        <v>남구</v>
      </c>
      <c r="E60" s="8" t="s">
        <v>351</v>
      </c>
      <c r="F60" s="3" t="s">
        <v>352</v>
      </c>
      <c r="G60" s="3" t="s">
        <v>353</v>
      </c>
      <c r="H60" s="7" t="s">
        <v>354</v>
      </c>
      <c r="I60" s="15" t="str">
        <f t="shared" si="2"/>
        <v>있음</v>
      </c>
      <c r="J60" s="8" t="s">
        <v>355</v>
      </c>
      <c r="K60" s="3" t="s">
        <v>356</v>
      </c>
      <c r="L60" s="3" t="s">
        <v>357</v>
      </c>
      <c r="M60" s="3" t="s">
        <v>21</v>
      </c>
      <c r="N60" s="3" t="s">
        <v>358</v>
      </c>
      <c r="O60" s="13">
        <v>761</v>
      </c>
      <c r="P60" s="11" t="str">
        <f t="shared" si="3"/>
        <v>01. 1,000㎡ 미만</v>
      </c>
      <c r="Q60" s="8" t="s">
        <v>23</v>
      </c>
      <c r="R60" s="3" t="s">
        <v>24</v>
      </c>
      <c r="S60" s="3" t="s">
        <v>19</v>
      </c>
    </row>
    <row r="61" spans="1:19" x14ac:dyDescent="0.4">
      <c r="A61" s="7">
        <v>60</v>
      </c>
      <c r="B61" s="8" t="s">
        <v>359</v>
      </c>
      <c r="C61" s="19" t="str">
        <f t="shared" si="0"/>
        <v>경상북도</v>
      </c>
      <c r="D61" s="17" t="str">
        <f t="shared" si="1"/>
        <v>포항시</v>
      </c>
      <c r="E61" s="8" t="s">
        <v>360</v>
      </c>
      <c r="F61" s="3" t="s">
        <v>361</v>
      </c>
      <c r="G61" s="3" t="s">
        <v>353</v>
      </c>
      <c r="H61" s="7" t="s">
        <v>19</v>
      </c>
      <c r="I61" s="15" t="str">
        <f t="shared" si="2"/>
        <v>없음</v>
      </c>
      <c r="J61" s="8" t="s">
        <v>362</v>
      </c>
      <c r="K61" s="3" t="s">
        <v>362</v>
      </c>
      <c r="L61" s="3" t="s">
        <v>19</v>
      </c>
      <c r="M61" s="3" t="s">
        <v>21</v>
      </c>
      <c r="N61" s="3" t="s">
        <v>147</v>
      </c>
      <c r="O61" s="13">
        <v>1726</v>
      </c>
      <c r="P61" s="11" t="str">
        <f t="shared" si="3"/>
        <v>03. 1,500㎡ 이상</v>
      </c>
      <c r="Q61" s="8" t="s">
        <v>123</v>
      </c>
      <c r="R61" s="3" t="s">
        <v>24</v>
      </c>
      <c r="S61" s="3" t="s">
        <v>19</v>
      </c>
    </row>
    <row r="62" spans="1:19" x14ac:dyDescent="0.4">
      <c r="A62" s="7">
        <v>61</v>
      </c>
      <c r="B62" s="8" t="s">
        <v>363</v>
      </c>
      <c r="C62" s="19" t="str">
        <f t="shared" si="0"/>
        <v>경상남도</v>
      </c>
      <c r="D62" s="17" t="str">
        <f t="shared" si="1"/>
        <v>거제시</v>
      </c>
      <c r="E62" s="8" t="s">
        <v>364</v>
      </c>
      <c r="F62" s="3" t="s">
        <v>365</v>
      </c>
      <c r="G62" s="3" t="s">
        <v>366</v>
      </c>
      <c r="H62" s="7" t="s">
        <v>19</v>
      </c>
      <c r="I62" s="15" t="str">
        <f t="shared" si="2"/>
        <v>없음</v>
      </c>
      <c r="J62" s="8" t="s">
        <v>367</v>
      </c>
      <c r="K62" s="3" t="s">
        <v>19</v>
      </c>
      <c r="L62" s="3" t="s">
        <v>368</v>
      </c>
      <c r="M62" s="3" t="s">
        <v>21</v>
      </c>
      <c r="N62" s="3" t="s">
        <v>22</v>
      </c>
      <c r="O62" s="13">
        <v>34584</v>
      </c>
      <c r="P62" s="11" t="str">
        <f t="shared" si="3"/>
        <v>07. 3만㎡ 이상</v>
      </c>
      <c r="Q62" s="8" t="s">
        <v>23</v>
      </c>
      <c r="R62" s="3" t="s">
        <v>24</v>
      </c>
      <c r="S62" s="3" t="s">
        <v>19</v>
      </c>
    </row>
    <row r="63" spans="1:19" x14ac:dyDescent="0.4">
      <c r="A63" s="7">
        <v>62</v>
      </c>
      <c r="B63" s="8" t="s">
        <v>369</v>
      </c>
      <c r="C63" s="19" t="str">
        <f t="shared" si="0"/>
        <v>경상남도</v>
      </c>
      <c r="D63" s="17" t="str">
        <f t="shared" si="1"/>
        <v>거제시</v>
      </c>
      <c r="E63" s="8" t="s">
        <v>370</v>
      </c>
      <c r="F63" s="3" t="s">
        <v>365</v>
      </c>
      <c r="G63" s="3" t="s">
        <v>366</v>
      </c>
      <c r="H63" s="7" t="s">
        <v>19</v>
      </c>
      <c r="I63" s="15" t="str">
        <f t="shared" si="2"/>
        <v>없음</v>
      </c>
      <c r="J63" s="8" t="s">
        <v>367</v>
      </c>
      <c r="K63" s="3" t="s">
        <v>19</v>
      </c>
      <c r="L63" s="3" t="s">
        <v>368</v>
      </c>
      <c r="M63" s="3" t="s">
        <v>21</v>
      </c>
      <c r="N63" s="3" t="s">
        <v>22</v>
      </c>
      <c r="O63" s="13">
        <v>25130</v>
      </c>
      <c r="P63" s="11" t="str">
        <f t="shared" si="3"/>
        <v>06. 2만㎡ 이상</v>
      </c>
      <c r="Q63" s="8" t="s">
        <v>23</v>
      </c>
      <c r="R63" s="3" t="s">
        <v>24</v>
      </c>
      <c r="S63" s="3" t="s">
        <v>19</v>
      </c>
    </row>
    <row r="64" spans="1:19" x14ac:dyDescent="0.4">
      <c r="A64" s="7">
        <v>63</v>
      </c>
      <c r="B64" s="8" t="s">
        <v>371</v>
      </c>
      <c r="C64" s="19" t="str">
        <f t="shared" si="0"/>
        <v>경상남도</v>
      </c>
      <c r="D64" s="17" t="str">
        <f t="shared" si="1"/>
        <v>거제시</v>
      </c>
      <c r="E64" s="8" t="s">
        <v>372</v>
      </c>
      <c r="F64" s="3" t="s">
        <v>365</v>
      </c>
      <c r="G64" s="3" t="s">
        <v>366</v>
      </c>
      <c r="H64" s="7" t="s">
        <v>19</v>
      </c>
      <c r="I64" s="15" t="str">
        <f t="shared" si="2"/>
        <v>없음</v>
      </c>
      <c r="J64" s="8" t="s">
        <v>367</v>
      </c>
      <c r="K64" s="3" t="s">
        <v>19</v>
      </c>
      <c r="L64" s="3" t="s">
        <v>368</v>
      </c>
      <c r="M64" s="3" t="s">
        <v>21</v>
      </c>
      <c r="N64" s="3" t="s">
        <v>22</v>
      </c>
      <c r="O64" s="13">
        <v>30790</v>
      </c>
      <c r="P64" s="11" t="str">
        <f t="shared" si="3"/>
        <v>07. 3만㎡ 이상</v>
      </c>
      <c r="Q64" s="8" t="s">
        <v>23</v>
      </c>
      <c r="R64" s="3" t="s">
        <v>24</v>
      </c>
      <c r="S64" s="3" t="s">
        <v>19</v>
      </c>
    </row>
    <row r="65" spans="1:19" x14ac:dyDescent="0.4">
      <c r="A65" s="7">
        <v>64</v>
      </c>
      <c r="B65" s="8" t="s">
        <v>373</v>
      </c>
      <c r="C65" s="19" t="str">
        <f t="shared" si="0"/>
        <v>부산광역시</v>
      </c>
      <c r="D65" s="17" t="str">
        <f t="shared" si="1"/>
        <v>영도구</v>
      </c>
      <c r="E65" s="8" t="s">
        <v>374</v>
      </c>
      <c r="F65" s="3" t="s">
        <v>375</v>
      </c>
      <c r="G65" s="3" t="s">
        <v>35</v>
      </c>
      <c r="H65" s="7" t="s">
        <v>19</v>
      </c>
      <c r="I65" s="15" t="str">
        <f t="shared" si="2"/>
        <v>없음</v>
      </c>
      <c r="J65" s="8" t="s">
        <v>376</v>
      </c>
      <c r="K65" s="3" t="s">
        <v>19</v>
      </c>
      <c r="L65" s="3" t="s">
        <v>19</v>
      </c>
      <c r="M65" s="3" t="s">
        <v>21</v>
      </c>
      <c r="N65" s="3" t="s">
        <v>22</v>
      </c>
      <c r="O65" s="13">
        <v>12142</v>
      </c>
      <c r="P65" s="11" t="str">
        <f t="shared" si="3"/>
        <v>05. 1만㎡ 이상</v>
      </c>
      <c r="Q65" s="8" t="s">
        <v>23</v>
      </c>
      <c r="R65" s="3" t="s">
        <v>24</v>
      </c>
      <c r="S65" s="3" t="s">
        <v>19</v>
      </c>
    </row>
    <row r="66" spans="1:19" x14ac:dyDescent="0.4">
      <c r="A66" s="7">
        <v>65</v>
      </c>
      <c r="B66" s="8" t="s">
        <v>377</v>
      </c>
      <c r="C66" s="19" t="str">
        <f t="shared" si="0"/>
        <v>부산광역시</v>
      </c>
      <c r="D66" s="17" t="str">
        <f t="shared" si="1"/>
        <v>해운대구</v>
      </c>
      <c r="E66" s="8" t="s">
        <v>378</v>
      </c>
      <c r="F66" s="3" t="s">
        <v>284</v>
      </c>
      <c r="G66" s="3" t="s">
        <v>352</v>
      </c>
      <c r="H66" s="7" t="s">
        <v>379</v>
      </c>
      <c r="I66" s="15" t="str">
        <f t="shared" si="2"/>
        <v>있음</v>
      </c>
      <c r="J66" s="8" t="s">
        <v>380</v>
      </c>
      <c r="K66" s="3" t="s">
        <v>19</v>
      </c>
      <c r="L66" s="3" t="s">
        <v>19</v>
      </c>
      <c r="M66" s="3" t="s">
        <v>21</v>
      </c>
      <c r="N66" s="3" t="s">
        <v>228</v>
      </c>
      <c r="O66" s="13">
        <v>974</v>
      </c>
      <c r="P66" s="11" t="str">
        <f t="shared" si="3"/>
        <v>01. 1,000㎡ 미만</v>
      </c>
      <c r="Q66" s="8" t="s">
        <v>23</v>
      </c>
      <c r="R66" s="3" t="s">
        <v>24</v>
      </c>
      <c r="S66" s="3" t="s">
        <v>19</v>
      </c>
    </row>
    <row r="67" spans="1:19" x14ac:dyDescent="0.4">
      <c r="A67" s="7">
        <v>66</v>
      </c>
      <c r="B67" s="8" t="s">
        <v>387</v>
      </c>
      <c r="C67" s="19" t="str">
        <f t="shared" ref="C67:C130" si="4">IFERROR(IF(LEFT(E67,FIND(" ",E67)-1)="전라북도","전북특별자치도",LEFT(E67,FIND(" ",E67)-1)),"")</f>
        <v>경기도</v>
      </c>
      <c r="D67" s="17" t="str">
        <f t="shared" ref="D67:D130" si="5">IFERROR(TRIM(MID(SUBSTITUTE(E67," ",REPT(" ",50)),51,50)),"")</f>
        <v>포천시</v>
      </c>
      <c r="E67" s="8" t="s">
        <v>388</v>
      </c>
      <c r="F67" s="3" t="s">
        <v>389</v>
      </c>
      <c r="G67" s="3" t="s">
        <v>390</v>
      </c>
      <c r="H67" s="7" t="s">
        <v>19</v>
      </c>
      <c r="I67" s="15" t="str">
        <f t="shared" ref="I67:I130" si="6">IF(OR(TRIM(H67)="",TRIM(H67)="-"),"없음","있음")</f>
        <v>없음</v>
      </c>
      <c r="J67" s="8" t="s">
        <v>391</v>
      </c>
      <c r="K67" s="3" t="s">
        <v>19</v>
      </c>
      <c r="L67" s="3" t="s">
        <v>19</v>
      </c>
      <c r="M67" s="3" t="s">
        <v>21</v>
      </c>
      <c r="N67" s="3" t="s">
        <v>22</v>
      </c>
      <c r="O67" s="13">
        <v>1287</v>
      </c>
      <c r="P67" s="11" t="str">
        <f t="shared" ref="P67:P130" si="7">IF(NOT(ISNUMBER(O67)),"00. 미기재",IF(O67&lt;1000,"01. 1,000㎡ 미만",IF(O67&lt;1500,"02. 1,000㎡ 이상",IF(O67&lt;5000,"03. 1,500㎡ 이상",IF(O67&lt;10000,"04. 5,000㎡ 이상",TEXT(4+INT(O67/10000),"00")&amp;". "&amp;INT(O67/10000)&amp;"만㎡ 이상")))))</f>
        <v>02. 1,000㎡ 이상</v>
      </c>
      <c r="Q67" s="8" t="s">
        <v>23</v>
      </c>
      <c r="R67" s="3" t="s">
        <v>24</v>
      </c>
      <c r="S67" s="3" t="s">
        <v>19</v>
      </c>
    </row>
    <row r="68" spans="1:19" x14ac:dyDescent="0.4">
      <c r="A68" s="7">
        <v>67</v>
      </c>
      <c r="B68" s="8" t="s">
        <v>402</v>
      </c>
      <c r="C68" s="19" t="str">
        <f t="shared" si="4"/>
        <v>전북특별자치도</v>
      </c>
      <c r="D68" s="17" t="str">
        <f t="shared" si="5"/>
        <v>부안군</v>
      </c>
      <c r="E68" s="8" t="s">
        <v>403</v>
      </c>
      <c r="F68" s="3" t="s">
        <v>404</v>
      </c>
      <c r="G68" s="3" t="s">
        <v>405</v>
      </c>
      <c r="H68" s="7" t="s">
        <v>19</v>
      </c>
      <c r="I68" s="15" t="str">
        <f t="shared" si="6"/>
        <v>없음</v>
      </c>
      <c r="J68" s="8" t="s">
        <v>406</v>
      </c>
      <c r="K68" s="3" t="s">
        <v>19</v>
      </c>
      <c r="L68" s="3" t="s">
        <v>19</v>
      </c>
      <c r="M68" s="3" t="s">
        <v>21</v>
      </c>
      <c r="N68" s="3" t="s">
        <v>147</v>
      </c>
      <c r="O68" s="13">
        <v>304</v>
      </c>
      <c r="P68" s="11" t="str">
        <f t="shared" si="7"/>
        <v>01. 1,000㎡ 미만</v>
      </c>
      <c r="Q68" s="8" t="s">
        <v>407</v>
      </c>
      <c r="R68" s="3" t="s">
        <v>24</v>
      </c>
      <c r="S68" s="3" t="s">
        <v>19</v>
      </c>
    </row>
    <row r="69" spans="1:19" x14ac:dyDescent="0.4">
      <c r="A69" s="7">
        <v>68</v>
      </c>
      <c r="B69" s="8" t="s">
        <v>411</v>
      </c>
      <c r="C69" s="19" t="str">
        <f t="shared" si="4"/>
        <v>강원특별자치도</v>
      </c>
      <c r="D69" s="17" t="str">
        <f t="shared" si="5"/>
        <v>강릉시</v>
      </c>
      <c r="E69" s="8" t="s">
        <v>412</v>
      </c>
      <c r="F69" s="3" t="s">
        <v>413</v>
      </c>
      <c r="G69" s="3" t="s">
        <v>383</v>
      </c>
      <c r="H69" s="7" t="s">
        <v>19</v>
      </c>
      <c r="I69" s="15" t="str">
        <f t="shared" si="6"/>
        <v>없음</v>
      </c>
      <c r="J69" s="8" t="s">
        <v>414</v>
      </c>
      <c r="K69" s="3" t="s">
        <v>19</v>
      </c>
      <c r="L69" s="3" t="s">
        <v>415</v>
      </c>
      <c r="M69" s="3" t="s">
        <v>21</v>
      </c>
      <c r="N69" s="3" t="s">
        <v>22</v>
      </c>
      <c r="O69" s="13">
        <v>34622</v>
      </c>
      <c r="P69" s="11" t="str">
        <f t="shared" si="7"/>
        <v>07. 3만㎡ 이상</v>
      </c>
      <c r="Q69" s="8" t="s">
        <v>23</v>
      </c>
      <c r="R69" s="3" t="s">
        <v>24</v>
      </c>
      <c r="S69" s="3" t="s">
        <v>19</v>
      </c>
    </row>
    <row r="70" spans="1:19" x14ac:dyDescent="0.4">
      <c r="A70" s="7">
        <v>69</v>
      </c>
      <c r="B70" s="8" t="s">
        <v>423</v>
      </c>
      <c r="C70" s="19" t="str">
        <f t="shared" si="4"/>
        <v>부산광역시</v>
      </c>
      <c r="D70" s="17" t="str">
        <f t="shared" si="5"/>
        <v>해운대구</v>
      </c>
      <c r="E70" s="8" t="s">
        <v>424</v>
      </c>
      <c r="F70" s="3" t="s">
        <v>425</v>
      </c>
      <c r="G70" s="3" t="s">
        <v>426</v>
      </c>
      <c r="H70" s="7" t="s">
        <v>19</v>
      </c>
      <c r="I70" s="15" t="str">
        <f t="shared" si="6"/>
        <v>없음</v>
      </c>
      <c r="J70" s="8" t="s">
        <v>427</v>
      </c>
      <c r="K70" s="3" t="s">
        <v>19</v>
      </c>
      <c r="L70" s="3" t="s">
        <v>262</v>
      </c>
      <c r="M70" s="3" t="s">
        <v>21</v>
      </c>
      <c r="N70" s="3" t="s">
        <v>22</v>
      </c>
      <c r="O70" s="13">
        <v>22601</v>
      </c>
      <c r="P70" s="11" t="str">
        <f t="shared" si="7"/>
        <v>06. 2만㎡ 이상</v>
      </c>
      <c r="Q70" s="8" t="s">
        <v>23</v>
      </c>
      <c r="R70" s="3" t="s">
        <v>24</v>
      </c>
      <c r="S70" s="3" t="s">
        <v>19</v>
      </c>
    </row>
    <row r="71" spans="1:19" x14ac:dyDescent="0.4">
      <c r="A71" s="7">
        <v>70</v>
      </c>
      <c r="B71" s="8" t="s">
        <v>432</v>
      </c>
      <c r="C71" s="19" t="str">
        <f t="shared" si="4"/>
        <v>경상남도</v>
      </c>
      <c r="D71" s="17" t="str">
        <f t="shared" si="5"/>
        <v>통영시</v>
      </c>
      <c r="E71" s="8" t="s">
        <v>433</v>
      </c>
      <c r="F71" s="3" t="s">
        <v>434</v>
      </c>
      <c r="G71" s="3" t="s">
        <v>435</v>
      </c>
      <c r="H71" s="7" t="s">
        <v>19</v>
      </c>
      <c r="I71" s="15" t="str">
        <f t="shared" si="6"/>
        <v>없음</v>
      </c>
      <c r="J71" s="8" t="s">
        <v>436</v>
      </c>
      <c r="K71" s="3" t="s">
        <v>19</v>
      </c>
      <c r="L71" s="3" t="s">
        <v>437</v>
      </c>
      <c r="M71" s="3" t="s">
        <v>21</v>
      </c>
      <c r="N71" s="3" t="s">
        <v>22</v>
      </c>
      <c r="O71" s="13">
        <v>14895</v>
      </c>
      <c r="P71" s="11" t="str">
        <f t="shared" si="7"/>
        <v>05. 1만㎡ 이상</v>
      </c>
      <c r="Q71" s="8" t="s">
        <v>23</v>
      </c>
      <c r="R71" s="3" t="s">
        <v>24</v>
      </c>
      <c r="S71" s="3" t="s">
        <v>19</v>
      </c>
    </row>
    <row r="72" spans="1:19" x14ac:dyDescent="0.4">
      <c r="A72" s="7">
        <v>71</v>
      </c>
      <c r="B72" s="8" t="s">
        <v>445</v>
      </c>
      <c r="C72" s="19" t="str">
        <f t="shared" si="4"/>
        <v>강원특별자치도</v>
      </c>
      <c r="D72" s="17" t="str">
        <f t="shared" si="5"/>
        <v>평창군</v>
      </c>
      <c r="E72" s="8" t="s">
        <v>446</v>
      </c>
      <c r="F72" s="3" t="s">
        <v>447</v>
      </c>
      <c r="G72" s="3" t="s">
        <v>448</v>
      </c>
      <c r="H72" s="7" t="s">
        <v>19</v>
      </c>
      <c r="I72" s="15" t="str">
        <f t="shared" si="6"/>
        <v>없음</v>
      </c>
      <c r="J72" s="8" t="s">
        <v>449</v>
      </c>
      <c r="K72" s="3" t="s">
        <v>19</v>
      </c>
      <c r="L72" s="3" t="s">
        <v>19</v>
      </c>
      <c r="M72" s="3" t="s">
        <v>21</v>
      </c>
      <c r="N72" s="3" t="s">
        <v>22</v>
      </c>
      <c r="O72" s="13">
        <v>7565</v>
      </c>
      <c r="P72" s="11" t="str">
        <f t="shared" si="7"/>
        <v>04. 5,000㎡ 이상</v>
      </c>
      <c r="Q72" s="8" t="s">
        <v>23</v>
      </c>
      <c r="R72" s="3" t="s">
        <v>24</v>
      </c>
      <c r="S72" s="3" t="s">
        <v>19</v>
      </c>
    </row>
    <row r="73" spans="1:19" x14ac:dyDescent="0.4">
      <c r="A73" s="7">
        <v>72</v>
      </c>
      <c r="B73" s="8" t="s">
        <v>450</v>
      </c>
      <c r="C73" s="19" t="str">
        <f t="shared" si="4"/>
        <v>전북특별자치도</v>
      </c>
      <c r="D73" s="17" t="str">
        <f t="shared" si="5"/>
        <v>부안군</v>
      </c>
      <c r="E73" s="8" t="s">
        <v>451</v>
      </c>
      <c r="F73" s="3" t="s">
        <v>447</v>
      </c>
      <c r="G73" s="3" t="s">
        <v>448</v>
      </c>
      <c r="H73" s="7" t="s">
        <v>19</v>
      </c>
      <c r="I73" s="15" t="str">
        <f t="shared" si="6"/>
        <v>없음</v>
      </c>
      <c r="J73" s="8" t="s">
        <v>452</v>
      </c>
      <c r="K73" s="3" t="s">
        <v>19</v>
      </c>
      <c r="L73" s="3" t="s">
        <v>453</v>
      </c>
      <c r="M73" s="3" t="s">
        <v>21</v>
      </c>
      <c r="N73" s="3" t="s">
        <v>22</v>
      </c>
      <c r="O73" s="13">
        <v>7187</v>
      </c>
      <c r="P73" s="11" t="str">
        <f t="shared" si="7"/>
        <v>04. 5,000㎡ 이상</v>
      </c>
      <c r="Q73" s="8" t="s">
        <v>23</v>
      </c>
      <c r="R73" s="3" t="s">
        <v>24</v>
      </c>
      <c r="S73" s="3" t="s">
        <v>19</v>
      </c>
    </row>
    <row r="74" spans="1:19" x14ac:dyDescent="0.4">
      <c r="A74" s="7">
        <v>73</v>
      </c>
      <c r="B74" s="8" t="s">
        <v>454</v>
      </c>
      <c r="C74" s="19" t="str">
        <f t="shared" si="4"/>
        <v>대구광역시</v>
      </c>
      <c r="D74" s="17" t="str">
        <f t="shared" si="5"/>
        <v>달성군</v>
      </c>
      <c r="E74" s="8" t="s">
        <v>455</v>
      </c>
      <c r="F74" s="3" t="s">
        <v>456</v>
      </c>
      <c r="G74" s="3" t="s">
        <v>457</v>
      </c>
      <c r="H74" s="7" t="s">
        <v>19</v>
      </c>
      <c r="I74" s="15" t="str">
        <f t="shared" si="6"/>
        <v>없음</v>
      </c>
      <c r="J74" s="8" t="s">
        <v>458</v>
      </c>
      <c r="K74" s="3" t="s">
        <v>19</v>
      </c>
      <c r="L74" s="3" t="s">
        <v>459</v>
      </c>
      <c r="M74" s="3" t="s">
        <v>21</v>
      </c>
      <c r="N74" s="3" t="s">
        <v>22</v>
      </c>
      <c r="O74" s="13">
        <v>10680</v>
      </c>
      <c r="P74" s="11" t="str">
        <f t="shared" si="7"/>
        <v>05. 1만㎡ 이상</v>
      </c>
      <c r="Q74" s="8" t="s">
        <v>23</v>
      </c>
      <c r="R74" s="3" t="s">
        <v>24</v>
      </c>
      <c r="S74" s="3" t="s">
        <v>19</v>
      </c>
    </row>
    <row r="75" spans="1:19" x14ac:dyDescent="0.4">
      <c r="A75" s="7">
        <v>74</v>
      </c>
      <c r="B75" s="8" t="s">
        <v>460</v>
      </c>
      <c r="C75" s="19" t="str">
        <f t="shared" si="4"/>
        <v>경기도</v>
      </c>
      <c r="D75" s="17" t="str">
        <f t="shared" si="5"/>
        <v>가평군</v>
      </c>
      <c r="E75" s="8" t="s">
        <v>461</v>
      </c>
      <c r="F75" s="3" t="s">
        <v>462</v>
      </c>
      <c r="G75" s="3" t="s">
        <v>463</v>
      </c>
      <c r="H75" s="7" t="s">
        <v>19</v>
      </c>
      <c r="I75" s="15" t="str">
        <f t="shared" si="6"/>
        <v>없음</v>
      </c>
      <c r="J75" s="8" t="s">
        <v>302</v>
      </c>
      <c r="K75" s="3" t="s">
        <v>19</v>
      </c>
      <c r="L75" s="3" t="s">
        <v>19</v>
      </c>
      <c r="M75" s="3" t="s">
        <v>21</v>
      </c>
      <c r="N75" s="3" t="s">
        <v>22</v>
      </c>
      <c r="O75" s="13">
        <v>193</v>
      </c>
      <c r="P75" s="11" t="str">
        <f t="shared" si="7"/>
        <v>01. 1,000㎡ 미만</v>
      </c>
      <c r="Q75" s="8" t="s">
        <v>129</v>
      </c>
      <c r="R75" s="3" t="s">
        <v>24</v>
      </c>
      <c r="S75" s="3" t="s">
        <v>19</v>
      </c>
    </row>
    <row r="76" spans="1:19" x14ac:dyDescent="0.4">
      <c r="A76" s="7">
        <v>75</v>
      </c>
      <c r="B76" s="8" t="s">
        <v>464</v>
      </c>
      <c r="C76" s="19" t="str">
        <f t="shared" si="4"/>
        <v>충청남도</v>
      </c>
      <c r="D76" s="17" t="str">
        <f t="shared" si="5"/>
        <v>태안군</v>
      </c>
      <c r="E76" s="8" t="s">
        <v>465</v>
      </c>
      <c r="F76" s="3" t="s">
        <v>466</v>
      </c>
      <c r="G76" s="3" t="s">
        <v>467</v>
      </c>
      <c r="H76" s="7" t="s">
        <v>19</v>
      </c>
      <c r="I76" s="15" t="str">
        <f t="shared" si="6"/>
        <v>없음</v>
      </c>
      <c r="J76" s="8" t="s">
        <v>422</v>
      </c>
      <c r="K76" s="3" t="s">
        <v>19</v>
      </c>
      <c r="L76" s="3" t="s">
        <v>19</v>
      </c>
      <c r="M76" s="3" t="s">
        <v>21</v>
      </c>
      <c r="N76" s="3" t="s">
        <v>22</v>
      </c>
      <c r="O76" s="13">
        <v>9665</v>
      </c>
      <c r="P76" s="11" t="str">
        <f t="shared" si="7"/>
        <v>04. 5,000㎡ 이상</v>
      </c>
      <c r="Q76" s="8" t="s">
        <v>23</v>
      </c>
      <c r="R76" s="3" t="s">
        <v>24</v>
      </c>
      <c r="S76" s="3" t="s">
        <v>19</v>
      </c>
    </row>
    <row r="77" spans="1:19" x14ac:dyDescent="0.4">
      <c r="A77" s="7">
        <v>76</v>
      </c>
      <c r="B77" s="8" t="s">
        <v>475</v>
      </c>
      <c r="C77" s="19" t="str">
        <f t="shared" si="4"/>
        <v>경상남도</v>
      </c>
      <c r="D77" s="17" t="str">
        <f t="shared" si="5"/>
        <v>남해군</v>
      </c>
      <c r="E77" s="8" t="s">
        <v>476</v>
      </c>
      <c r="F77" s="3" t="s">
        <v>477</v>
      </c>
      <c r="G77" s="3" t="s">
        <v>471</v>
      </c>
      <c r="H77" s="7" t="s">
        <v>478</v>
      </c>
      <c r="I77" s="15" t="str">
        <f t="shared" si="6"/>
        <v>있음</v>
      </c>
      <c r="J77" s="8" t="s">
        <v>479</v>
      </c>
      <c r="K77" s="3" t="s">
        <v>480</v>
      </c>
      <c r="L77" s="3" t="s">
        <v>19</v>
      </c>
      <c r="M77" s="3" t="s">
        <v>481</v>
      </c>
      <c r="N77" s="3" t="s">
        <v>22</v>
      </c>
      <c r="O77" s="13">
        <v>81</v>
      </c>
      <c r="P77" s="11" t="str">
        <f t="shared" si="7"/>
        <v>01. 1,000㎡ 미만</v>
      </c>
      <c r="Q77" s="8" t="s">
        <v>129</v>
      </c>
      <c r="R77" s="3" t="s">
        <v>24</v>
      </c>
      <c r="S77" s="3" t="s">
        <v>19</v>
      </c>
    </row>
    <row r="78" spans="1:19" x14ac:dyDescent="0.4">
      <c r="A78" s="7">
        <v>77</v>
      </c>
      <c r="B78" s="8" t="s">
        <v>482</v>
      </c>
      <c r="C78" s="19" t="str">
        <f t="shared" si="4"/>
        <v>제주특별자치도</v>
      </c>
      <c r="D78" s="17" t="str">
        <f t="shared" si="5"/>
        <v>제주시</v>
      </c>
      <c r="E78" s="8" t="s">
        <v>483</v>
      </c>
      <c r="F78" s="3" t="s">
        <v>484</v>
      </c>
      <c r="G78" s="3" t="s">
        <v>485</v>
      </c>
      <c r="H78" s="7" t="s">
        <v>19</v>
      </c>
      <c r="I78" s="15" t="str">
        <f t="shared" si="6"/>
        <v>없음</v>
      </c>
      <c r="J78" s="8" t="s">
        <v>486</v>
      </c>
      <c r="K78" s="3" t="s">
        <v>19</v>
      </c>
      <c r="L78" s="3" t="s">
        <v>487</v>
      </c>
      <c r="M78" s="3" t="s">
        <v>21</v>
      </c>
      <c r="N78" s="3" t="s">
        <v>22</v>
      </c>
      <c r="O78" s="13">
        <v>118</v>
      </c>
      <c r="P78" s="11" t="str">
        <f t="shared" si="7"/>
        <v>01. 1,000㎡ 미만</v>
      </c>
      <c r="Q78" s="8" t="s">
        <v>23</v>
      </c>
      <c r="R78" s="3" t="s">
        <v>24</v>
      </c>
      <c r="S78" s="3" t="s">
        <v>19</v>
      </c>
    </row>
    <row r="79" spans="1:19" x14ac:dyDescent="0.4">
      <c r="A79" s="7">
        <v>78</v>
      </c>
      <c r="B79" s="8" t="s">
        <v>488</v>
      </c>
      <c r="C79" s="19" t="str">
        <f t="shared" si="4"/>
        <v>경기도</v>
      </c>
      <c r="D79" s="17" t="str">
        <f t="shared" si="5"/>
        <v>가평군</v>
      </c>
      <c r="E79" s="8" t="s">
        <v>489</v>
      </c>
      <c r="F79" s="3" t="s">
        <v>490</v>
      </c>
      <c r="G79" s="3" t="s">
        <v>491</v>
      </c>
      <c r="H79" s="7" t="s">
        <v>19</v>
      </c>
      <c r="I79" s="15" t="str">
        <f t="shared" si="6"/>
        <v>없음</v>
      </c>
      <c r="J79" s="8" t="s">
        <v>492</v>
      </c>
      <c r="K79" s="3" t="s">
        <v>19</v>
      </c>
      <c r="L79" s="3" t="s">
        <v>493</v>
      </c>
      <c r="M79" s="3" t="s">
        <v>21</v>
      </c>
      <c r="N79" s="3" t="s">
        <v>22</v>
      </c>
      <c r="O79" s="13">
        <v>196</v>
      </c>
      <c r="P79" s="11" t="str">
        <f t="shared" si="7"/>
        <v>01. 1,000㎡ 미만</v>
      </c>
      <c r="Q79" s="8" t="s">
        <v>23</v>
      </c>
      <c r="R79" s="3" t="s">
        <v>24</v>
      </c>
      <c r="S79" s="3" t="s">
        <v>19</v>
      </c>
    </row>
    <row r="80" spans="1:19" x14ac:dyDescent="0.4">
      <c r="A80" s="7">
        <v>79</v>
      </c>
      <c r="B80" s="8" t="s">
        <v>494</v>
      </c>
      <c r="C80" s="19" t="str">
        <f t="shared" si="4"/>
        <v>경기도</v>
      </c>
      <c r="D80" s="17" t="str">
        <f t="shared" si="5"/>
        <v>가평군</v>
      </c>
      <c r="E80" s="8" t="s">
        <v>489</v>
      </c>
      <c r="F80" s="3" t="s">
        <v>490</v>
      </c>
      <c r="G80" s="3" t="s">
        <v>491</v>
      </c>
      <c r="H80" s="7" t="s">
        <v>19</v>
      </c>
      <c r="I80" s="15" t="str">
        <f t="shared" si="6"/>
        <v>없음</v>
      </c>
      <c r="J80" s="8" t="s">
        <v>492</v>
      </c>
      <c r="K80" s="3" t="s">
        <v>19</v>
      </c>
      <c r="L80" s="3" t="s">
        <v>493</v>
      </c>
      <c r="M80" s="3" t="s">
        <v>21</v>
      </c>
      <c r="N80" s="3" t="s">
        <v>22</v>
      </c>
      <c r="O80" s="13">
        <v>196</v>
      </c>
      <c r="P80" s="11" t="str">
        <f t="shared" si="7"/>
        <v>01. 1,000㎡ 미만</v>
      </c>
      <c r="Q80" s="8" t="s">
        <v>23</v>
      </c>
      <c r="R80" s="3" t="s">
        <v>24</v>
      </c>
      <c r="S80" s="3" t="s">
        <v>19</v>
      </c>
    </row>
    <row r="81" spans="1:19" x14ac:dyDescent="0.4">
      <c r="A81" s="7">
        <v>80</v>
      </c>
      <c r="B81" s="8" t="s">
        <v>495</v>
      </c>
      <c r="C81" s="19" t="str">
        <f t="shared" si="4"/>
        <v>경기도</v>
      </c>
      <c r="D81" s="17" t="str">
        <f t="shared" si="5"/>
        <v>가평군</v>
      </c>
      <c r="E81" s="8" t="s">
        <v>489</v>
      </c>
      <c r="F81" s="3" t="s">
        <v>490</v>
      </c>
      <c r="G81" s="3" t="s">
        <v>491</v>
      </c>
      <c r="H81" s="7" t="s">
        <v>19</v>
      </c>
      <c r="I81" s="15" t="str">
        <f t="shared" si="6"/>
        <v>없음</v>
      </c>
      <c r="J81" s="8" t="s">
        <v>492</v>
      </c>
      <c r="K81" s="3" t="s">
        <v>19</v>
      </c>
      <c r="L81" s="3" t="s">
        <v>493</v>
      </c>
      <c r="M81" s="3" t="s">
        <v>21</v>
      </c>
      <c r="N81" s="3" t="s">
        <v>22</v>
      </c>
      <c r="O81" s="13">
        <v>196</v>
      </c>
      <c r="P81" s="11" t="str">
        <f t="shared" si="7"/>
        <v>01. 1,000㎡ 미만</v>
      </c>
      <c r="Q81" s="8" t="s">
        <v>23</v>
      </c>
      <c r="R81" s="3" t="s">
        <v>24</v>
      </c>
      <c r="S81" s="3" t="s">
        <v>19</v>
      </c>
    </row>
    <row r="82" spans="1:19" x14ac:dyDescent="0.4">
      <c r="A82" s="7">
        <v>81</v>
      </c>
      <c r="B82" s="8" t="s">
        <v>496</v>
      </c>
      <c r="C82" s="19" t="str">
        <f t="shared" si="4"/>
        <v>강원특별자치도</v>
      </c>
      <c r="D82" s="17" t="str">
        <f t="shared" si="5"/>
        <v>강릉시</v>
      </c>
      <c r="E82" s="8" t="s">
        <v>497</v>
      </c>
      <c r="F82" s="3" t="s">
        <v>78</v>
      </c>
      <c r="G82" s="3" t="s">
        <v>79</v>
      </c>
      <c r="H82" s="7" t="s">
        <v>19</v>
      </c>
      <c r="I82" s="15" t="str">
        <f t="shared" si="6"/>
        <v>없음</v>
      </c>
      <c r="J82" s="8" t="s">
        <v>498</v>
      </c>
      <c r="K82" s="3" t="s">
        <v>19</v>
      </c>
      <c r="L82" s="3" t="s">
        <v>19</v>
      </c>
      <c r="M82" s="3" t="s">
        <v>21</v>
      </c>
      <c r="N82" s="3" t="s">
        <v>22</v>
      </c>
      <c r="O82" s="13">
        <v>599</v>
      </c>
      <c r="P82" s="11" t="str">
        <f t="shared" si="7"/>
        <v>01. 1,000㎡ 미만</v>
      </c>
      <c r="Q82" s="8" t="s">
        <v>23</v>
      </c>
      <c r="R82" s="3" t="s">
        <v>24</v>
      </c>
      <c r="S82" s="3" t="s">
        <v>19</v>
      </c>
    </row>
    <row r="83" spans="1:19" x14ac:dyDescent="0.4">
      <c r="A83" s="7">
        <v>82</v>
      </c>
      <c r="B83" s="8" t="s">
        <v>499</v>
      </c>
      <c r="C83" s="19" t="str">
        <f t="shared" si="4"/>
        <v>충청남도</v>
      </c>
      <c r="D83" s="17" t="str">
        <f t="shared" si="5"/>
        <v>예산군</v>
      </c>
      <c r="E83" s="8" t="s">
        <v>500</v>
      </c>
      <c r="F83" s="3" t="s">
        <v>501</v>
      </c>
      <c r="G83" s="3" t="s">
        <v>502</v>
      </c>
      <c r="H83" s="7" t="s">
        <v>19</v>
      </c>
      <c r="I83" s="15" t="str">
        <f t="shared" si="6"/>
        <v>없음</v>
      </c>
      <c r="J83" s="8" t="s">
        <v>503</v>
      </c>
      <c r="K83" s="3" t="s">
        <v>19</v>
      </c>
      <c r="L83" s="3" t="s">
        <v>19</v>
      </c>
      <c r="M83" s="3" t="s">
        <v>21</v>
      </c>
      <c r="N83" s="3" t="s">
        <v>22</v>
      </c>
      <c r="O83" s="13">
        <v>3114</v>
      </c>
      <c r="P83" s="11" t="str">
        <f t="shared" si="7"/>
        <v>03. 1,500㎡ 이상</v>
      </c>
      <c r="Q83" s="8" t="s">
        <v>23</v>
      </c>
      <c r="R83" s="3" t="s">
        <v>24</v>
      </c>
      <c r="S83" s="3" t="s">
        <v>19</v>
      </c>
    </row>
    <row r="84" spans="1:19" x14ac:dyDescent="0.4">
      <c r="A84" s="7">
        <v>83</v>
      </c>
      <c r="B84" s="8" t="s">
        <v>504</v>
      </c>
      <c r="C84" s="19" t="str">
        <f t="shared" si="4"/>
        <v>강원특별자치도</v>
      </c>
      <c r="D84" s="17" t="str">
        <f t="shared" si="5"/>
        <v>홍천군</v>
      </c>
      <c r="E84" s="8" t="s">
        <v>505</v>
      </c>
      <c r="F84" s="3" t="s">
        <v>506</v>
      </c>
      <c r="G84" s="3" t="s">
        <v>507</v>
      </c>
      <c r="H84" s="7" t="s">
        <v>19</v>
      </c>
      <c r="I84" s="15" t="str">
        <f t="shared" si="6"/>
        <v>없음</v>
      </c>
      <c r="J84" s="8" t="s">
        <v>508</v>
      </c>
      <c r="K84" s="3" t="s">
        <v>19</v>
      </c>
      <c r="L84" s="3" t="s">
        <v>509</v>
      </c>
      <c r="M84" s="3" t="s">
        <v>21</v>
      </c>
      <c r="N84" s="3" t="s">
        <v>147</v>
      </c>
      <c r="O84" s="13">
        <v>26746</v>
      </c>
      <c r="P84" s="11" t="str">
        <f t="shared" si="7"/>
        <v>06. 2만㎡ 이상</v>
      </c>
      <c r="Q84" s="8" t="s">
        <v>23</v>
      </c>
      <c r="R84" s="3" t="s">
        <v>24</v>
      </c>
      <c r="S84" s="3" t="s">
        <v>19</v>
      </c>
    </row>
    <row r="85" spans="1:19" x14ac:dyDescent="0.4">
      <c r="A85" s="7">
        <v>84</v>
      </c>
      <c r="B85" s="8" t="s">
        <v>515</v>
      </c>
      <c r="C85" s="19" t="str">
        <f t="shared" si="4"/>
        <v>충청북도</v>
      </c>
      <c r="D85" s="17" t="str">
        <f t="shared" si="5"/>
        <v>청주시</v>
      </c>
      <c r="E85" s="8" t="s">
        <v>516</v>
      </c>
      <c r="F85" s="3" t="s">
        <v>517</v>
      </c>
      <c r="G85" s="3" t="s">
        <v>518</v>
      </c>
      <c r="H85" s="7" t="s">
        <v>519</v>
      </c>
      <c r="I85" s="15" t="str">
        <f t="shared" si="6"/>
        <v>있음</v>
      </c>
      <c r="J85" s="8" t="s">
        <v>168</v>
      </c>
      <c r="K85" s="3" t="s">
        <v>19</v>
      </c>
      <c r="L85" s="3" t="s">
        <v>19</v>
      </c>
      <c r="M85" s="3" t="s">
        <v>21</v>
      </c>
      <c r="N85" s="3" t="s">
        <v>22</v>
      </c>
      <c r="O85" s="13">
        <v>2933</v>
      </c>
      <c r="P85" s="11" t="str">
        <f t="shared" si="7"/>
        <v>03. 1,500㎡ 이상</v>
      </c>
      <c r="Q85" s="8" t="s">
        <v>23</v>
      </c>
      <c r="R85" s="3" t="s">
        <v>24</v>
      </c>
      <c r="S85" s="3" t="s">
        <v>19</v>
      </c>
    </row>
    <row r="86" spans="1:19" x14ac:dyDescent="0.4">
      <c r="A86" s="7">
        <v>85</v>
      </c>
      <c r="B86" s="8" t="s">
        <v>520</v>
      </c>
      <c r="C86" s="19" t="str">
        <f t="shared" si="4"/>
        <v>경상북도</v>
      </c>
      <c r="D86" s="17" t="str">
        <f t="shared" si="5"/>
        <v>청도군</v>
      </c>
      <c r="E86" s="8" t="s">
        <v>521</v>
      </c>
      <c r="F86" s="3" t="s">
        <v>522</v>
      </c>
      <c r="G86" s="3" t="s">
        <v>523</v>
      </c>
      <c r="H86" s="7" t="s">
        <v>19</v>
      </c>
      <c r="I86" s="15" t="str">
        <f t="shared" si="6"/>
        <v>없음</v>
      </c>
      <c r="J86" s="8" t="s">
        <v>524</v>
      </c>
      <c r="K86" s="3" t="s">
        <v>19</v>
      </c>
      <c r="L86" s="3" t="s">
        <v>19</v>
      </c>
      <c r="M86" s="3" t="s">
        <v>21</v>
      </c>
      <c r="N86" s="3" t="s">
        <v>22</v>
      </c>
      <c r="O86" s="13">
        <v>2681</v>
      </c>
      <c r="P86" s="11" t="str">
        <f t="shared" si="7"/>
        <v>03. 1,500㎡ 이상</v>
      </c>
      <c r="Q86" s="8" t="s">
        <v>23</v>
      </c>
      <c r="R86" s="3" t="s">
        <v>24</v>
      </c>
      <c r="S86" s="3" t="s">
        <v>19</v>
      </c>
    </row>
    <row r="87" spans="1:19" x14ac:dyDescent="0.4">
      <c r="A87" s="7">
        <v>86</v>
      </c>
      <c r="B87" s="8" t="s">
        <v>525</v>
      </c>
      <c r="C87" s="19" t="str">
        <f t="shared" si="4"/>
        <v>충청남도</v>
      </c>
      <c r="D87" s="17" t="str">
        <f t="shared" si="5"/>
        <v>태안군</v>
      </c>
      <c r="E87" s="8" t="s">
        <v>526</v>
      </c>
      <c r="F87" s="3" t="s">
        <v>527</v>
      </c>
      <c r="G87" s="3" t="s">
        <v>528</v>
      </c>
      <c r="H87" s="7" t="s">
        <v>19</v>
      </c>
      <c r="I87" s="15" t="str">
        <f t="shared" si="6"/>
        <v>없음</v>
      </c>
      <c r="J87" s="8" t="s">
        <v>529</v>
      </c>
      <c r="K87" s="3" t="s">
        <v>19</v>
      </c>
      <c r="L87" s="3" t="s">
        <v>530</v>
      </c>
      <c r="M87" s="3" t="s">
        <v>21</v>
      </c>
      <c r="N87" s="3" t="s">
        <v>22</v>
      </c>
      <c r="O87" s="13">
        <v>4939</v>
      </c>
      <c r="P87" s="11" t="str">
        <f t="shared" si="7"/>
        <v>03. 1,500㎡ 이상</v>
      </c>
      <c r="Q87" s="8" t="s">
        <v>23</v>
      </c>
      <c r="R87" s="3" t="s">
        <v>24</v>
      </c>
      <c r="S87" s="3" t="s">
        <v>19</v>
      </c>
    </row>
    <row r="88" spans="1:19" x14ac:dyDescent="0.4">
      <c r="A88" s="7">
        <v>87</v>
      </c>
      <c r="B88" s="8" t="s">
        <v>531</v>
      </c>
      <c r="C88" s="19" t="str">
        <f t="shared" si="4"/>
        <v>부산광역시</v>
      </c>
      <c r="D88" s="17" t="str">
        <f t="shared" si="5"/>
        <v>서구</v>
      </c>
      <c r="E88" s="8" t="s">
        <v>532</v>
      </c>
      <c r="F88" s="3" t="s">
        <v>533</v>
      </c>
      <c r="G88" s="3" t="s">
        <v>534</v>
      </c>
      <c r="H88" s="7" t="s">
        <v>535</v>
      </c>
      <c r="I88" s="15" t="str">
        <f t="shared" si="6"/>
        <v>있음</v>
      </c>
      <c r="J88" s="8" t="s">
        <v>536</v>
      </c>
      <c r="K88" s="3" t="s">
        <v>536</v>
      </c>
      <c r="L88" s="3" t="s">
        <v>19</v>
      </c>
      <c r="M88" s="3" t="s">
        <v>21</v>
      </c>
      <c r="N88" s="3" t="s">
        <v>147</v>
      </c>
      <c r="O88" s="13">
        <v>3245</v>
      </c>
      <c r="P88" s="11" t="str">
        <f t="shared" si="7"/>
        <v>03. 1,500㎡ 이상</v>
      </c>
      <c r="Q88" s="8" t="s">
        <v>23</v>
      </c>
      <c r="R88" s="3" t="s">
        <v>24</v>
      </c>
      <c r="S88" s="3" t="s">
        <v>19</v>
      </c>
    </row>
    <row r="89" spans="1:19" x14ac:dyDescent="0.4">
      <c r="A89" s="7">
        <v>88</v>
      </c>
      <c r="B89" s="8" t="s">
        <v>537</v>
      </c>
      <c r="C89" s="19" t="str">
        <f t="shared" si="4"/>
        <v>충청북도</v>
      </c>
      <c r="D89" s="17" t="str">
        <f t="shared" si="5"/>
        <v>제천시</v>
      </c>
      <c r="E89" s="8" t="s">
        <v>538</v>
      </c>
      <c r="F89" s="3" t="s">
        <v>539</v>
      </c>
      <c r="G89" s="3" t="s">
        <v>540</v>
      </c>
      <c r="H89" s="7" t="s">
        <v>19</v>
      </c>
      <c r="I89" s="15" t="str">
        <f t="shared" si="6"/>
        <v>없음</v>
      </c>
      <c r="J89" s="8" t="s">
        <v>541</v>
      </c>
      <c r="K89" s="3" t="s">
        <v>19</v>
      </c>
      <c r="L89" s="3" t="s">
        <v>19</v>
      </c>
      <c r="M89" s="3" t="s">
        <v>21</v>
      </c>
      <c r="N89" s="3" t="s">
        <v>22</v>
      </c>
      <c r="O89" s="13">
        <v>2137</v>
      </c>
      <c r="P89" s="11" t="str">
        <f t="shared" si="7"/>
        <v>03. 1,500㎡ 이상</v>
      </c>
      <c r="Q89" s="8" t="s">
        <v>23</v>
      </c>
      <c r="R89" s="3" t="s">
        <v>24</v>
      </c>
      <c r="S89" s="3" t="s">
        <v>19</v>
      </c>
    </row>
    <row r="90" spans="1:19" x14ac:dyDescent="0.4">
      <c r="A90" s="7">
        <v>89</v>
      </c>
      <c r="B90" s="8" t="s">
        <v>547</v>
      </c>
      <c r="C90" s="19" t="str">
        <f t="shared" si="4"/>
        <v>전남광주통합특별시</v>
      </c>
      <c r="D90" s="17" t="str">
        <f t="shared" si="5"/>
        <v>영암군</v>
      </c>
      <c r="E90" s="8" t="s">
        <v>548</v>
      </c>
      <c r="F90" s="3" t="s">
        <v>549</v>
      </c>
      <c r="G90" s="3" t="s">
        <v>544</v>
      </c>
      <c r="H90" s="7" t="s">
        <v>19</v>
      </c>
      <c r="I90" s="15" t="str">
        <f t="shared" si="6"/>
        <v>없음</v>
      </c>
      <c r="J90" s="8" t="s">
        <v>550</v>
      </c>
      <c r="K90" s="3" t="s">
        <v>19</v>
      </c>
      <c r="L90" s="3" t="s">
        <v>19</v>
      </c>
      <c r="M90" s="3" t="s">
        <v>21</v>
      </c>
      <c r="N90" s="3" t="s">
        <v>22</v>
      </c>
      <c r="O90" s="13">
        <v>514</v>
      </c>
      <c r="P90" s="11" t="str">
        <f t="shared" si="7"/>
        <v>01. 1,000㎡ 미만</v>
      </c>
      <c r="Q90" s="8" t="s">
        <v>23</v>
      </c>
      <c r="R90" s="3" t="s">
        <v>24</v>
      </c>
      <c r="S90" s="3" t="s">
        <v>19</v>
      </c>
    </row>
    <row r="91" spans="1:19" x14ac:dyDescent="0.4">
      <c r="A91" s="7">
        <v>90</v>
      </c>
      <c r="B91" s="8" t="s">
        <v>551</v>
      </c>
      <c r="C91" s="19" t="str">
        <f t="shared" si="4"/>
        <v>대전광역시</v>
      </c>
      <c r="D91" s="17" t="str">
        <f t="shared" si="5"/>
        <v>동구</v>
      </c>
      <c r="E91" s="8" t="s">
        <v>552</v>
      </c>
      <c r="F91" s="3" t="s">
        <v>553</v>
      </c>
      <c r="G91" s="3" t="s">
        <v>554</v>
      </c>
      <c r="H91" s="7" t="s">
        <v>19</v>
      </c>
      <c r="I91" s="15" t="str">
        <f t="shared" si="6"/>
        <v>없음</v>
      </c>
      <c r="J91" s="8" t="s">
        <v>555</v>
      </c>
      <c r="K91" s="3" t="s">
        <v>19</v>
      </c>
      <c r="L91" s="3" t="s">
        <v>556</v>
      </c>
      <c r="M91" s="3" t="s">
        <v>21</v>
      </c>
      <c r="N91" s="3" t="s">
        <v>22</v>
      </c>
      <c r="O91" s="13">
        <v>6423</v>
      </c>
      <c r="P91" s="11" t="str">
        <f t="shared" si="7"/>
        <v>04. 5,000㎡ 이상</v>
      </c>
      <c r="Q91" s="8" t="s">
        <v>23</v>
      </c>
      <c r="R91" s="3" t="s">
        <v>24</v>
      </c>
      <c r="S91" s="3" t="s">
        <v>19</v>
      </c>
    </row>
    <row r="92" spans="1:19" x14ac:dyDescent="0.4">
      <c r="A92" s="7">
        <v>91</v>
      </c>
      <c r="B92" s="8" t="s">
        <v>557</v>
      </c>
      <c r="C92" s="19" t="str">
        <f t="shared" si="4"/>
        <v>전라남도</v>
      </c>
      <c r="D92" s="17" t="str">
        <f t="shared" si="5"/>
        <v>완도군</v>
      </c>
      <c r="E92" s="8" t="s">
        <v>558</v>
      </c>
      <c r="F92" s="3" t="s">
        <v>559</v>
      </c>
      <c r="G92" s="3" t="s">
        <v>560</v>
      </c>
      <c r="H92" s="7" t="s">
        <v>19</v>
      </c>
      <c r="I92" s="15" t="str">
        <f t="shared" si="6"/>
        <v>없음</v>
      </c>
      <c r="J92" s="8" t="s">
        <v>561</v>
      </c>
      <c r="K92" s="3" t="s">
        <v>19</v>
      </c>
      <c r="L92" s="3" t="s">
        <v>19</v>
      </c>
      <c r="M92" s="3" t="s">
        <v>21</v>
      </c>
      <c r="N92" s="3" t="s">
        <v>22</v>
      </c>
      <c r="O92" s="13">
        <v>255</v>
      </c>
      <c r="P92" s="11" t="str">
        <f t="shared" si="7"/>
        <v>01. 1,000㎡ 미만</v>
      </c>
      <c r="Q92" s="8" t="s">
        <v>562</v>
      </c>
      <c r="R92" s="3" t="s">
        <v>24</v>
      </c>
      <c r="S92" s="3" t="s">
        <v>19</v>
      </c>
    </row>
    <row r="93" spans="1:19" x14ac:dyDescent="0.4">
      <c r="A93" s="7">
        <v>92</v>
      </c>
      <c r="B93" s="8" t="s">
        <v>563</v>
      </c>
      <c r="C93" s="19" t="str">
        <f t="shared" si="4"/>
        <v>경상북도</v>
      </c>
      <c r="D93" s="17" t="str">
        <f t="shared" si="5"/>
        <v>울릉군</v>
      </c>
      <c r="E93" s="8" t="s">
        <v>564</v>
      </c>
      <c r="F93" s="3" t="s">
        <v>565</v>
      </c>
      <c r="G93" s="3" t="s">
        <v>560</v>
      </c>
      <c r="H93" s="7" t="s">
        <v>19</v>
      </c>
      <c r="I93" s="15" t="str">
        <f t="shared" si="6"/>
        <v>없음</v>
      </c>
      <c r="J93" s="8" t="s">
        <v>566</v>
      </c>
      <c r="K93" s="3" t="s">
        <v>19</v>
      </c>
      <c r="L93" s="3" t="s">
        <v>567</v>
      </c>
      <c r="M93" s="3" t="s">
        <v>21</v>
      </c>
      <c r="N93" s="3" t="s">
        <v>22</v>
      </c>
      <c r="O93" s="13">
        <v>298</v>
      </c>
      <c r="P93" s="11" t="str">
        <f t="shared" si="7"/>
        <v>01. 1,000㎡ 미만</v>
      </c>
      <c r="Q93" s="8" t="s">
        <v>23</v>
      </c>
      <c r="R93" s="3" t="s">
        <v>24</v>
      </c>
      <c r="S93" s="3" t="s">
        <v>19</v>
      </c>
    </row>
    <row r="94" spans="1:19" x14ac:dyDescent="0.4">
      <c r="A94" s="7">
        <v>93</v>
      </c>
      <c r="B94" s="8" t="s">
        <v>568</v>
      </c>
      <c r="C94" s="19" t="str">
        <f t="shared" si="4"/>
        <v>강원특별자치도</v>
      </c>
      <c r="D94" s="17" t="str">
        <f t="shared" si="5"/>
        <v>고성군</v>
      </c>
      <c r="E94" s="8" t="s">
        <v>569</v>
      </c>
      <c r="F94" s="3" t="s">
        <v>570</v>
      </c>
      <c r="G94" s="3" t="s">
        <v>571</v>
      </c>
      <c r="H94" s="7" t="s">
        <v>19</v>
      </c>
      <c r="I94" s="15" t="str">
        <f t="shared" si="6"/>
        <v>없음</v>
      </c>
      <c r="J94" s="8" t="s">
        <v>572</v>
      </c>
      <c r="K94" s="3" t="s">
        <v>19</v>
      </c>
      <c r="L94" s="3" t="s">
        <v>573</v>
      </c>
      <c r="M94" s="3" t="s">
        <v>21</v>
      </c>
      <c r="N94" s="3" t="s">
        <v>22</v>
      </c>
      <c r="O94" s="13">
        <v>12591</v>
      </c>
      <c r="P94" s="11" t="str">
        <f t="shared" si="7"/>
        <v>05. 1만㎡ 이상</v>
      </c>
      <c r="Q94" s="8" t="s">
        <v>23</v>
      </c>
      <c r="R94" s="3" t="s">
        <v>24</v>
      </c>
      <c r="S94" s="3" t="s">
        <v>19</v>
      </c>
    </row>
    <row r="95" spans="1:19" x14ac:dyDescent="0.4">
      <c r="A95" s="7">
        <v>94</v>
      </c>
      <c r="B95" s="8" t="s">
        <v>574</v>
      </c>
      <c r="C95" s="19" t="str">
        <f t="shared" si="4"/>
        <v>인천광역시</v>
      </c>
      <c r="D95" s="17" t="str">
        <f t="shared" si="5"/>
        <v>옹진군</v>
      </c>
      <c r="E95" s="8" t="s">
        <v>575</v>
      </c>
      <c r="F95" s="3" t="s">
        <v>570</v>
      </c>
      <c r="G95" s="3" t="s">
        <v>576</v>
      </c>
      <c r="H95" s="7" t="s">
        <v>19</v>
      </c>
      <c r="I95" s="15" t="str">
        <f t="shared" si="6"/>
        <v>없음</v>
      </c>
      <c r="J95" s="8" t="s">
        <v>577</v>
      </c>
      <c r="K95" s="3" t="s">
        <v>19</v>
      </c>
      <c r="L95" s="3" t="s">
        <v>19</v>
      </c>
      <c r="M95" s="3" t="s">
        <v>21</v>
      </c>
      <c r="N95" s="3" t="s">
        <v>22</v>
      </c>
      <c r="O95" s="13">
        <v>1212</v>
      </c>
      <c r="P95" s="11" t="str">
        <f t="shared" si="7"/>
        <v>02. 1,000㎡ 이상</v>
      </c>
      <c r="Q95" s="8" t="s">
        <v>23</v>
      </c>
      <c r="R95" s="3" t="s">
        <v>24</v>
      </c>
      <c r="S95" s="3" t="s">
        <v>19</v>
      </c>
    </row>
    <row r="96" spans="1:19" x14ac:dyDescent="0.4">
      <c r="A96" s="7">
        <v>95</v>
      </c>
      <c r="B96" s="8" t="s">
        <v>584</v>
      </c>
      <c r="C96" s="19" t="str">
        <f t="shared" si="4"/>
        <v>서울특별시</v>
      </c>
      <c r="D96" s="17" t="str">
        <f t="shared" si="5"/>
        <v>중구</v>
      </c>
      <c r="E96" s="8" t="s">
        <v>585</v>
      </c>
      <c r="F96" s="3" t="s">
        <v>586</v>
      </c>
      <c r="G96" s="3" t="s">
        <v>587</v>
      </c>
      <c r="H96" s="7" t="s">
        <v>19</v>
      </c>
      <c r="I96" s="15" t="str">
        <f t="shared" si="6"/>
        <v>없음</v>
      </c>
      <c r="J96" s="8" t="s">
        <v>588</v>
      </c>
      <c r="K96" s="3" t="s">
        <v>19</v>
      </c>
      <c r="L96" s="3" t="s">
        <v>19</v>
      </c>
      <c r="M96" s="3" t="s">
        <v>21</v>
      </c>
      <c r="N96" s="3" t="s">
        <v>147</v>
      </c>
      <c r="O96" s="13">
        <v>1460</v>
      </c>
      <c r="P96" s="11" t="str">
        <f t="shared" si="7"/>
        <v>02. 1,000㎡ 이상</v>
      </c>
      <c r="Q96" s="8" t="s">
        <v>23</v>
      </c>
      <c r="R96" s="3" t="s">
        <v>24</v>
      </c>
      <c r="S96" s="3" t="s">
        <v>19</v>
      </c>
    </row>
    <row r="97" spans="1:19" x14ac:dyDescent="0.4">
      <c r="A97" s="7">
        <v>96</v>
      </c>
      <c r="B97" s="8" t="s">
        <v>593</v>
      </c>
      <c r="C97" s="19" t="str">
        <f t="shared" si="4"/>
        <v>경기도</v>
      </c>
      <c r="D97" s="17" t="str">
        <f t="shared" si="5"/>
        <v>가평군</v>
      </c>
      <c r="E97" s="8" t="s">
        <v>594</v>
      </c>
      <c r="F97" s="3" t="s">
        <v>595</v>
      </c>
      <c r="G97" s="3" t="s">
        <v>596</v>
      </c>
      <c r="H97" s="7" t="s">
        <v>19</v>
      </c>
      <c r="I97" s="15" t="str">
        <f t="shared" si="6"/>
        <v>없음</v>
      </c>
      <c r="J97" s="8" t="s">
        <v>302</v>
      </c>
      <c r="K97" s="3" t="s">
        <v>19</v>
      </c>
      <c r="L97" s="3" t="s">
        <v>19</v>
      </c>
      <c r="M97" s="3" t="s">
        <v>21</v>
      </c>
      <c r="N97" s="3" t="s">
        <v>22</v>
      </c>
      <c r="O97" s="13">
        <v>972</v>
      </c>
      <c r="P97" s="11" t="str">
        <f t="shared" si="7"/>
        <v>01. 1,000㎡ 미만</v>
      </c>
      <c r="Q97" s="8" t="s">
        <v>129</v>
      </c>
      <c r="R97" s="3" t="s">
        <v>24</v>
      </c>
      <c r="S97" s="3" t="s">
        <v>19</v>
      </c>
    </row>
    <row r="98" spans="1:19" x14ac:dyDescent="0.4">
      <c r="A98" s="7">
        <v>97</v>
      </c>
      <c r="B98" s="8" t="s">
        <v>604</v>
      </c>
      <c r="C98" s="19" t="str">
        <f t="shared" si="4"/>
        <v>부산광역시</v>
      </c>
      <c r="D98" s="17" t="str">
        <f t="shared" si="5"/>
        <v>기장군</v>
      </c>
      <c r="E98" s="8" t="s">
        <v>605</v>
      </c>
      <c r="F98" s="3" t="s">
        <v>606</v>
      </c>
      <c r="G98" s="3" t="s">
        <v>586</v>
      </c>
      <c r="H98" s="7" t="s">
        <v>19</v>
      </c>
      <c r="I98" s="15" t="str">
        <f t="shared" si="6"/>
        <v>없음</v>
      </c>
      <c r="J98" s="8" t="s">
        <v>536</v>
      </c>
      <c r="K98" s="3" t="s">
        <v>19</v>
      </c>
      <c r="L98" s="3" t="s">
        <v>607</v>
      </c>
      <c r="M98" s="3" t="s">
        <v>21</v>
      </c>
      <c r="N98" s="3" t="s">
        <v>22</v>
      </c>
      <c r="O98" s="13">
        <v>13696</v>
      </c>
      <c r="P98" s="11" t="str">
        <f t="shared" si="7"/>
        <v>05. 1만㎡ 이상</v>
      </c>
      <c r="Q98" s="8" t="s">
        <v>23</v>
      </c>
      <c r="R98" s="3" t="s">
        <v>24</v>
      </c>
      <c r="S98" s="3" t="s">
        <v>19</v>
      </c>
    </row>
    <row r="99" spans="1:19" x14ac:dyDescent="0.4">
      <c r="A99" s="7">
        <v>98</v>
      </c>
      <c r="B99" s="8" t="s">
        <v>608</v>
      </c>
      <c r="C99" s="19" t="str">
        <f t="shared" si="4"/>
        <v>부산광역시</v>
      </c>
      <c r="D99" s="17" t="str">
        <f t="shared" si="5"/>
        <v>해운대구</v>
      </c>
      <c r="E99" s="8" t="s">
        <v>609</v>
      </c>
      <c r="F99" s="3" t="s">
        <v>466</v>
      </c>
      <c r="G99" s="3" t="s">
        <v>610</v>
      </c>
      <c r="H99" s="7" t="s">
        <v>19</v>
      </c>
      <c r="I99" s="15" t="str">
        <f t="shared" si="6"/>
        <v>없음</v>
      </c>
      <c r="J99" s="8" t="s">
        <v>151</v>
      </c>
      <c r="K99" s="3" t="s">
        <v>19</v>
      </c>
      <c r="L99" s="3" t="s">
        <v>611</v>
      </c>
      <c r="M99" s="3" t="s">
        <v>21</v>
      </c>
      <c r="N99" s="3" t="s">
        <v>22</v>
      </c>
      <c r="O99" s="13">
        <v>80917</v>
      </c>
      <c r="P99" s="11" t="str">
        <f t="shared" si="7"/>
        <v>12. 8만㎡ 이상</v>
      </c>
      <c r="Q99" s="8" t="s">
        <v>23</v>
      </c>
      <c r="R99" s="3" t="s">
        <v>24</v>
      </c>
      <c r="S99" s="3" t="s">
        <v>19</v>
      </c>
    </row>
    <row r="100" spans="1:19" x14ac:dyDescent="0.4">
      <c r="A100" s="7">
        <v>99</v>
      </c>
      <c r="B100" s="8" t="s">
        <v>612</v>
      </c>
      <c r="C100" s="19" t="str">
        <f t="shared" si="4"/>
        <v>강원특별자치도</v>
      </c>
      <c r="D100" s="17" t="str">
        <f t="shared" si="5"/>
        <v>춘천시</v>
      </c>
      <c r="E100" s="8" t="s">
        <v>613</v>
      </c>
      <c r="F100" s="3" t="s">
        <v>614</v>
      </c>
      <c r="G100" s="3" t="s">
        <v>615</v>
      </c>
      <c r="H100" s="7" t="s">
        <v>19</v>
      </c>
      <c r="I100" s="15" t="str">
        <f t="shared" si="6"/>
        <v>없음</v>
      </c>
      <c r="J100" s="8" t="s">
        <v>616</v>
      </c>
      <c r="K100" s="3" t="s">
        <v>19</v>
      </c>
      <c r="L100" s="3" t="s">
        <v>19</v>
      </c>
      <c r="M100" s="3" t="s">
        <v>21</v>
      </c>
      <c r="N100" s="3" t="s">
        <v>22</v>
      </c>
      <c r="O100" s="13">
        <v>244</v>
      </c>
      <c r="P100" s="11" t="str">
        <f t="shared" si="7"/>
        <v>01. 1,000㎡ 미만</v>
      </c>
      <c r="Q100" s="8" t="s">
        <v>23</v>
      </c>
      <c r="R100" s="3" t="s">
        <v>24</v>
      </c>
      <c r="S100" s="3" t="s">
        <v>19</v>
      </c>
    </row>
    <row r="101" spans="1:19" x14ac:dyDescent="0.4">
      <c r="A101" s="7">
        <v>100</v>
      </c>
      <c r="B101" s="8" t="s">
        <v>639</v>
      </c>
      <c r="C101" s="19" t="str">
        <f t="shared" si="4"/>
        <v>경기도</v>
      </c>
      <c r="D101" s="17" t="str">
        <f t="shared" si="5"/>
        <v>시흥시</v>
      </c>
      <c r="E101" s="8" t="s">
        <v>640</v>
      </c>
      <c r="F101" s="3" t="s">
        <v>641</v>
      </c>
      <c r="G101" s="3" t="s">
        <v>642</v>
      </c>
      <c r="H101" s="7" t="s">
        <v>19</v>
      </c>
      <c r="I101" s="15" t="str">
        <f t="shared" si="6"/>
        <v>없음</v>
      </c>
      <c r="J101" s="8" t="s">
        <v>643</v>
      </c>
      <c r="K101" s="3" t="s">
        <v>19</v>
      </c>
      <c r="L101" s="3" t="s">
        <v>644</v>
      </c>
      <c r="M101" s="3" t="s">
        <v>21</v>
      </c>
      <c r="N101" s="3" t="s">
        <v>22</v>
      </c>
      <c r="O101" s="13">
        <v>109940</v>
      </c>
      <c r="P101" s="11" t="str">
        <f t="shared" si="7"/>
        <v>14. 10만㎡ 이상</v>
      </c>
      <c r="Q101" s="8" t="s">
        <v>23</v>
      </c>
      <c r="R101" s="3" t="s">
        <v>24</v>
      </c>
      <c r="S101" s="3" t="s">
        <v>19</v>
      </c>
    </row>
    <row r="102" spans="1:19" x14ac:dyDescent="0.4">
      <c r="A102" s="7">
        <v>101</v>
      </c>
      <c r="B102" s="8" t="s">
        <v>645</v>
      </c>
      <c r="C102" s="19" t="str">
        <f t="shared" si="4"/>
        <v>전라남도</v>
      </c>
      <c r="D102" s="17" t="str">
        <f t="shared" si="5"/>
        <v>담양군</v>
      </c>
      <c r="E102" s="8" t="s">
        <v>646</v>
      </c>
      <c r="F102" s="3" t="s">
        <v>647</v>
      </c>
      <c r="G102" s="3" t="s">
        <v>648</v>
      </c>
      <c r="H102" s="7" t="s">
        <v>649</v>
      </c>
      <c r="I102" s="15" t="str">
        <f t="shared" si="6"/>
        <v>있음</v>
      </c>
      <c r="J102" s="8" t="s">
        <v>650</v>
      </c>
      <c r="K102" s="3" t="s">
        <v>650</v>
      </c>
      <c r="L102" s="3" t="s">
        <v>651</v>
      </c>
      <c r="M102" s="3" t="s">
        <v>21</v>
      </c>
      <c r="N102" s="3" t="s">
        <v>22</v>
      </c>
      <c r="O102" s="13">
        <v>638</v>
      </c>
      <c r="P102" s="11" t="str">
        <f t="shared" si="7"/>
        <v>01. 1,000㎡ 미만</v>
      </c>
      <c r="Q102" s="8" t="s">
        <v>129</v>
      </c>
      <c r="R102" s="3" t="s">
        <v>24</v>
      </c>
      <c r="S102" s="3" t="s">
        <v>19</v>
      </c>
    </row>
    <row r="103" spans="1:19" x14ac:dyDescent="0.4">
      <c r="A103" s="7">
        <v>102</v>
      </c>
      <c r="B103" s="8" t="s">
        <v>665</v>
      </c>
      <c r="C103" s="19" t="str">
        <f t="shared" si="4"/>
        <v>경상북도</v>
      </c>
      <c r="D103" s="17" t="str">
        <f t="shared" si="5"/>
        <v>울릉군</v>
      </c>
      <c r="E103" s="8" t="s">
        <v>666</v>
      </c>
      <c r="F103" s="3" t="s">
        <v>667</v>
      </c>
      <c r="G103" s="3" t="s">
        <v>668</v>
      </c>
      <c r="H103" s="7" t="s">
        <v>669</v>
      </c>
      <c r="I103" s="15" t="str">
        <f t="shared" si="6"/>
        <v>있음</v>
      </c>
      <c r="J103" s="8" t="s">
        <v>670</v>
      </c>
      <c r="K103" s="3" t="s">
        <v>670</v>
      </c>
      <c r="L103" s="3" t="s">
        <v>19</v>
      </c>
      <c r="M103" s="3" t="s">
        <v>21</v>
      </c>
      <c r="N103" s="3" t="s">
        <v>22</v>
      </c>
      <c r="O103" s="13">
        <v>694</v>
      </c>
      <c r="P103" s="11" t="str">
        <f t="shared" si="7"/>
        <v>01. 1,000㎡ 미만</v>
      </c>
      <c r="Q103" s="8" t="s">
        <v>671</v>
      </c>
      <c r="R103" s="3" t="s">
        <v>24</v>
      </c>
      <c r="S103" s="3" t="s">
        <v>19</v>
      </c>
    </row>
    <row r="104" spans="1:19" x14ac:dyDescent="0.4">
      <c r="A104" s="7">
        <v>103</v>
      </c>
      <c r="B104" s="8" t="s">
        <v>672</v>
      </c>
      <c r="C104" s="19" t="str">
        <f t="shared" si="4"/>
        <v>제주특별자치도</v>
      </c>
      <c r="D104" s="17" t="str">
        <f t="shared" si="5"/>
        <v>제주시</v>
      </c>
      <c r="E104" s="8" t="s">
        <v>673</v>
      </c>
      <c r="F104" s="3" t="s">
        <v>674</v>
      </c>
      <c r="G104" s="3" t="s">
        <v>668</v>
      </c>
      <c r="H104" s="7" t="s">
        <v>675</v>
      </c>
      <c r="I104" s="15" t="str">
        <f t="shared" si="6"/>
        <v>있음</v>
      </c>
      <c r="J104" s="8" t="s">
        <v>676</v>
      </c>
      <c r="K104" s="3" t="s">
        <v>19</v>
      </c>
      <c r="L104" s="3" t="s">
        <v>19</v>
      </c>
      <c r="M104" s="3" t="s">
        <v>21</v>
      </c>
      <c r="N104" s="3" t="s">
        <v>22</v>
      </c>
      <c r="O104" s="13">
        <v>653</v>
      </c>
      <c r="P104" s="11" t="str">
        <f t="shared" si="7"/>
        <v>01. 1,000㎡ 미만</v>
      </c>
      <c r="Q104" s="8" t="s">
        <v>84</v>
      </c>
      <c r="R104" s="3" t="s">
        <v>24</v>
      </c>
      <c r="S104" s="3" t="s">
        <v>19</v>
      </c>
    </row>
    <row r="105" spans="1:19" x14ac:dyDescent="0.4">
      <c r="A105" s="7">
        <v>104</v>
      </c>
      <c r="B105" s="8" t="s">
        <v>677</v>
      </c>
      <c r="C105" s="19" t="str">
        <f t="shared" si="4"/>
        <v>강원특별자치도</v>
      </c>
      <c r="D105" s="17" t="str">
        <f t="shared" si="5"/>
        <v>양양군</v>
      </c>
      <c r="E105" s="8" t="s">
        <v>678</v>
      </c>
      <c r="F105" s="3" t="s">
        <v>679</v>
      </c>
      <c r="G105" s="3" t="s">
        <v>680</v>
      </c>
      <c r="H105" s="7" t="s">
        <v>19</v>
      </c>
      <c r="I105" s="15" t="str">
        <f t="shared" si="6"/>
        <v>없음</v>
      </c>
      <c r="J105" s="8" t="s">
        <v>681</v>
      </c>
      <c r="K105" s="3" t="s">
        <v>19</v>
      </c>
      <c r="L105" s="3" t="s">
        <v>19</v>
      </c>
      <c r="M105" s="3" t="s">
        <v>21</v>
      </c>
      <c r="N105" s="3" t="s">
        <v>22</v>
      </c>
      <c r="O105" s="13">
        <v>80772</v>
      </c>
      <c r="P105" s="11" t="str">
        <f t="shared" si="7"/>
        <v>12. 8만㎡ 이상</v>
      </c>
      <c r="Q105" s="8" t="s">
        <v>23</v>
      </c>
      <c r="R105" s="3" t="s">
        <v>24</v>
      </c>
      <c r="S105" s="3" t="s">
        <v>19</v>
      </c>
    </row>
    <row r="106" spans="1:19" x14ac:dyDescent="0.4">
      <c r="A106" s="7">
        <v>105</v>
      </c>
      <c r="B106" s="8" t="s">
        <v>682</v>
      </c>
      <c r="C106" s="19" t="str">
        <f t="shared" si="4"/>
        <v>충청북도</v>
      </c>
      <c r="D106" s="17" t="str">
        <f t="shared" si="5"/>
        <v>음성군</v>
      </c>
      <c r="E106" s="8" t="s">
        <v>683</v>
      </c>
      <c r="F106" s="3" t="s">
        <v>684</v>
      </c>
      <c r="G106" s="3" t="s">
        <v>685</v>
      </c>
      <c r="H106" s="7" t="s">
        <v>19</v>
      </c>
      <c r="I106" s="15" t="str">
        <f t="shared" si="6"/>
        <v>없음</v>
      </c>
      <c r="J106" s="8" t="s">
        <v>686</v>
      </c>
      <c r="K106" s="3" t="s">
        <v>19</v>
      </c>
      <c r="L106" s="3" t="s">
        <v>19</v>
      </c>
      <c r="M106" s="3" t="s">
        <v>21</v>
      </c>
      <c r="N106" s="3" t="s">
        <v>22</v>
      </c>
      <c r="O106" s="13">
        <v>599</v>
      </c>
      <c r="P106" s="11" t="str">
        <f t="shared" si="7"/>
        <v>01. 1,000㎡ 미만</v>
      </c>
      <c r="Q106" s="8" t="s">
        <v>23</v>
      </c>
      <c r="R106" s="3" t="s">
        <v>24</v>
      </c>
      <c r="S106" s="3" t="s">
        <v>19</v>
      </c>
    </row>
    <row r="107" spans="1:19" x14ac:dyDescent="0.4">
      <c r="A107" s="7">
        <v>106</v>
      </c>
      <c r="B107" s="8" t="s">
        <v>699</v>
      </c>
      <c r="C107" s="19" t="str">
        <f t="shared" si="4"/>
        <v>강원특별자치도</v>
      </c>
      <c r="D107" s="17" t="str">
        <f t="shared" si="5"/>
        <v>고성군</v>
      </c>
      <c r="E107" s="8" t="s">
        <v>700</v>
      </c>
      <c r="F107" s="3" t="s">
        <v>701</v>
      </c>
      <c r="G107" s="3" t="s">
        <v>702</v>
      </c>
      <c r="H107" s="7" t="s">
        <v>19</v>
      </c>
      <c r="I107" s="15" t="str">
        <f t="shared" si="6"/>
        <v>없음</v>
      </c>
      <c r="J107" s="8" t="s">
        <v>703</v>
      </c>
      <c r="K107" s="3" t="s">
        <v>19</v>
      </c>
      <c r="L107" s="3" t="s">
        <v>704</v>
      </c>
      <c r="M107" s="3" t="s">
        <v>21</v>
      </c>
      <c r="N107" s="3" t="s">
        <v>22</v>
      </c>
      <c r="O107" s="13">
        <v>2088</v>
      </c>
      <c r="P107" s="11" t="str">
        <f t="shared" si="7"/>
        <v>03. 1,500㎡ 이상</v>
      </c>
      <c r="Q107" s="8" t="s">
        <v>23</v>
      </c>
      <c r="R107" s="3" t="s">
        <v>24</v>
      </c>
      <c r="S107" s="3" t="s">
        <v>19</v>
      </c>
    </row>
    <row r="108" spans="1:19" x14ac:dyDescent="0.4">
      <c r="A108" s="7">
        <v>107</v>
      </c>
      <c r="B108" s="8" t="s">
        <v>711</v>
      </c>
      <c r="C108" s="19" t="str">
        <f t="shared" si="4"/>
        <v>전북특별자치도</v>
      </c>
      <c r="D108" s="17" t="str">
        <f t="shared" si="5"/>
        <v>완주군</v>
      </c>
      <c r="E108" s="8" t="s">
        <v>712</v>
      </c>
      <c r="F108" s="3" t="s">
        <v>713</v>
      </c>
      <c r="G108" s="3" t="s">
        <v>630</v>
      </c>
      <c r="H108" s="7" t="s">
        <v>19</v>
      </c>
      <c r="I108" s="15" t="str">
        <f t="shared" si="6"/>
        <v>없음</v>
      </c>
      <c r="J108" s="8" t="s">
        <v>714</v>
      </c>
      <c r="K108" s="3" t="s">
        <v>19</v>
      </c>
      <c r="L108" s="3" t="s">
        <v>715</v>
      </c>
      <c r="M108" s="3" t="s">
        <v>21</v>
      </c>
      <c r="N108" s="3" t="s">
        <v>22</v>
      </c>
      <c r="O108" s="13">
        <v>14242</v>
      </c>
      <c r="P108" s="11" t="str">
        <f t="shared" si="7"/>
        <v>05. 1만㎡ 이상</v>
      </c>
      <c r="Q108" s="8" t="s">
        <v>23</v>
      </c>
      <c r="R108" s="3" t="s">
        <v>24</v>
      </c>
      <c r="S108" s="3" t="s">
        <v>19</v>
      </c>
    </row>
    <row r="109" spans="1:19" x14ac:dyDescent="0.4">
      <c r="A109" s="7">
        <v>108</v>
      </c>
      <c r="B109" s="8" t="s">
        <v>729</v>
      </c>
      <c r="C109" s="19" t="str">
        <f t="shared" si="4"/>
        <v>전북특별자치도</v>
      </c>
      <c r="D109" s="17" t="str">
        <f t="shared" si="5"/>
        <v>김제시</v>
      </c>
      <c r="E109" s="8" t="s">
        <v>730</v>
      </c>
      <c r="F109" s="3" t="s">
        <v>731</v>
      </c>
      <c r="G109" s="3" t="s">
        <v>707</v>
      </c>
      <c r="H109" s="7" t="s">
        <v>19</v>
      </c>
      <c r="I109" s="15" t="str">
        <f t="shared" si="6"/>
        <v>없음</v>
      </c>
      <c r="J109" s="8" t="s">
        <v>732</v>
      </c>
      <c r="K109" s="3" t="s">
        <v>19</v>
      </c>
      <c r="L109" s="3" t="s">
        <v>19</v>
      </c>
      <c r="M109" s="3" t="s">
        <v>21</v>
      </c>
      <c r="N109" s="3" t="s">
        <v>22</v>
      </c>
      <c r="O109" s="13">
        <v>1682</v>
      </c>
      <c r="P109" s="11" t="str">
        <f t="shared" si="7"/>
        <v>03. 1,500㎡ 이상</v>
      </c>
      <c r="Q109" s="8" t="s">
        <v>23</v>
      </c>
      <c r="R109" s="3" t="s">
        <v>24</v>
      </c>
      <c r="S109" s="3" t="s">
        <v>19</v>
      </c>
    </row>
    <row r="110" spans="1:19" x14ac:dyDescent="0.4">
      <c r="A110" s="7">
        <v>109</v>
      </c>
      <c r="B110" s="8" t="s">
        <v>733</v>
      </c>
      <c r="C110" s="19" t="str">
        <f t="shared" si="4"/>
        <v>경상북도</v>
      </c>
      <c r="D110" s="17" t="str">
        <f t="shared" si="5"/>
        <v>청도군</v>
      </c>
      <c r="E110" s="8" t="s">
        <v>734</v>
      </c>
      <c r="F110" s="3" t="s">
        <v>735</v>
      </c>
      <c r="G110" s="3" t="s">
        <v>736</v>
      </c>
      <c r="H110" s="7" t="s">
        <v>19</v>
      </c>
      <c r="I110" s="15" t="str">
        <f t="shared" si="6"/>
        <v>없음</v>
      </c>
      <c r="J110" s="8" t="s">
        <v>524</v>
      </c>
      <c r="K110" s="3" t="s">
        <v>19</v>
      </c>
      <c r="L110" s="3" t="s">
        <v>19</v>
      </c>
      <c r="M110" s="3" t="s">
        <v>21</v>
      </c>
      <c r="N110" s="3" t="s">
        <v>22</v>
      </c>
      <c r="O110" s="13">
        <v>495</v>
      </c>
      <c r="P110" s="11" t="str">
        <f t="shared" si="7"/>
        <v>01. 1,000㎡ 미만</v>
      </c>
      <c r="Q110" s="8" t="s">
        <v>23</v>
      </c>
      <c r="R110" s="3" t="s">
        <v>24</v>
      </c>
      <c r="S110" s="3" t="s">
        <v>19</v>
      </c>
    </row>
    <row r="111" spans="1:19" x14ac:dyDescent="0.4">
      <c r="A111" s="7">
        <v>110</v>
      </c>
      <c r="B111" s="8" t="s">
        <v>751</v>
      </c>
      <c r="C111" s="19" t="str">
        <f t="shared" si="4"/>
        <v>경상북도</v>
      </c>
      <c r="D111" s="17" t="str">
        <f t="shared" si="5"/>
        <v>포항시</v>
      </c>
      <c r="E111" s="8" t="s">
        <v>752</v>
      </c>
      <c r="F111" s="3" t="s">
        <v>753</v>
      </c>
      <c r="G111" s="3" t="s">
        <v>754</v>
      </c>
      <c r="H111" s="7" t="s">
        <v>755</v>
      </c>
      <c r="I111" s="15" t="str">
        <f t="shared" si="6"/>
        <v>있음</v>
      </c>
      <c r="J111" s="8" t="s">
        <v>756</v>
      </c>
      <c r="K111" s="3" t="s">
        <v>19</v>
      </c>
      <c r="L111" s="3" t="s">
        <v>19</v>
      </c>
      <c r="M111" s="3" t="s">
        <v>21</v>
      </c>
      <c r="N111" s="3" t="s">
        <v>22</v>
      </c>
      <c r="O111" s="13">
        <v>1795</v>
      </c>
      <c r="P111" s="11" t="str">
        <f t="shared" si="7"/>
        <v>03. 1,500㎡ 이상</v>
      </c>
      <c r="Q111" s="8" t="s">
        <v>23</v>
      </c>
      <c r="R111" s="3" t="s">
        <v>24</v>
      </c>
      <c r="S111" s="3" t="s">
        <v>19</v>
      </c>
    </row>
    <row r="112" spans="1:19" x14ac:dyDescent="0.4">
      <c r="A112" s="7">
        <v>111</v>
      </c>
      <c r="B112" s="8" t="s">
        <v>777</v>
      </c>
      <c r="C112" s="19" t="str">
        <f t="shared" si="4"/>
        <v>경기도</v>
      </c>
      <c r="D112" s="17" t="str">
        <f t="shared" si="5"/>
        <v>의정부시</v>
      </c>
      <c r="E112" s="8" t="s">
        <v>778</v>
      </c>
      <c r="F112" s="3" t="s">
        <v>779</v>
      </c>
      <c r="G112" s="3" t="s">
        <v>767</v>
      </c>
      <c r="H112" s="7" t="s">
        <v>19</v>
      </c>
      <c r="I112" s="15" t="str">
        <f t="shared" si="6"/>
        <v>없음</v>
      </c>
      <c r="J112" s="8" t="s">
        <v>780</v>
      </c>
      <c r="K112" s="3" t="s">
        <v>19</v>
      </c>
      <c r="L112" s="3" t="s">
        <v>19</v>
      </c>
      <c r="M112" s="3" t="s">
        <v>21</v>
      </c>
      <c r="N112" s="3" t="s">
        <v>22</v>
      </c>
      <c r="O112" s="13">
        <v>596</v>
      </c>
      <c r="P112" s="11" t="str">
        <f t="shared" si="7"/>
        <v>01. 1,000㎡ 미만</v>
      </c>
      <c r="Q112" s="8" t="s">
        <v>781</v>
      </c>
      <c r="R112" s="3" t="s">
        <v>24</v>
      </c>
      <c r="S112" s="3" t="s">
        <v>19</v>
      </c>
    </row>
    <row r="113" spans="1:19" x14ac:dyDescent="0.4">
      <c r="A113" s="7">
        <v>112</v>
      </c>
      <c r="B113" s="8" t="s">
        <v>782</v>
      </c>
      <c r="C113" s="19" t="str">
        <f t="shared" si="4"/>
        <v>강원특별자치도</v>
      </c>
      <c r="D113" s="17" t="str">
        <f t="shared" si="5"/>
        <v>횡성군</v>
      </c>
      <c r="E113" s="8" t="s">
        <v>783</v>
      </c>
      <c r="F113" s="3" t="s">
        <v>784</v>
      </c>
      <c r="G113" s="3" t="s">
        <v>785</v>
      </c>
      <c r="H113" s="7" t="s">
        <v>19</v>
      </c>
      <c r="I113" s="15" t="str">
        <f t="shared" si="6"/>
        <v>없음</v>
      </c>
      <c r="J113" s="8" t="s">
        <v>786</v>
      </c>
      <c r="K113" s="3" t="s">
        <v>19</v>
      </c>
      <c r="L113" s="3" t="s">
        <v>787</v>
      </c>
      <c r="M113" s="3" t="s">
        <v>21</v>
      </c>
      <c r="N113" s="3" t="s">
        <v>22</v>
      </c>
      <c r="O113" s="13">
        <v>2591</v>
      </c>
      <c r="P113" s="11" t="str">
        <f t="shared" si="7"/>
        <v>03. 1,500㎡ 이상</v>
      </c>
      <c r="Q113" s="8" t="s">
        <v>23</v>
      </c>
      <c r="R113" s="3" t="s">
        <v>24</v>
      </c>
      <c r="S113" s="3" t="s">
        <v>19</v>
      </c>
    </row>
    <row r="114" spans="1:19" x14ac:dyDescent="0.4">
      <c r="A114" s="7">
        <v>113</v>
      </c>
      <c r="B114" s="8" t="s">
        <v>788</v>
      </c>
      <c r="C114" s="19" t="str">
        <f t="shared" si="4"/>
        <v>강원특별자치도</v>
      </c>
      <c r="D114" s="17" t="str">
        <f t="shared" si="5"/>
        <v>평창군</v>
      </c>
      <c r="E114" s="8" t="s">
        <v>789</v>
      </c>
      <c r="F114" s="3" t="s">
        <v>790</v>
      </c>
      <c r="G114" s="3" t="s">
        <v>746</v>
      </c>
      <c r="H114" s="7" t="s">
        <v>19</v>
      </c>
      <c r="I114" s="15" t="str">
        <f t="shared" si="6"/>
        <v>없음</v>
      </c>
      <c r="J114" s="8" t="s">
        <v>458</v>
      </c>
      <c r="K114" s="3" t="s">
        <v>19</v>
      </c>
      <c r="L114" s="3" t="s">
        <v>19</v>
      </c>
      <c r="M114" s="3" t="s">
        <v>21</v>
      </c>
      <c r="N114" s="3" t="s">
        <v>22</v>
      </c>
      <c r="O114" s="13">
        <v>16871</v>
      </c>
      <c r="P114" s="11" t="str">
        <f t="shared" si="7"/>
        <v>05. 1만㎡ 이상</v>
      </c>
      <c r="Q114" s="8" t="s">
        <v>23</v>
      </c>
      <c r="R114" s="3" t="s">
        <v>24</v>
      </c>
      <c r="S114" s="3" t="s">
        <v>19</v>
      </c>
    </row>
    <row r="115" spans="1:19" x14ac:dyDescent="0.4">
      <c r="A115" s="7">
        <v>114</v>
      </c>
      <c r="B115" s="8" t="s">
        <v>791</v>
      </c>
      <c r="C115" s="19" t="str">
        <f t="shared" si="4"/>
        <v>부산광역시</v>
      </c>
      <c r="D115" s="17" t="str">
        <f t="shared" si="5"/>
        <v>기장군</v>
      </c>
      <c r="E115" s="8" t="s">
        <v>792</v>
      </c>
      <c r="F115" s="3" t="s">
        <v>793</v>
      </c>
      <c r="G115" s="3" t="s">
        <v>794</v>
      </c>
      <c r="H115" s="7" t="s">
        <v>795</v>
      </c>
      <c r="I115" s="15" t="str">
        <f t="shared" si="6"/>
        <v>있음</v>
      </c>
      <c r="J115" s="8" t="s">
        <v>796</v>
      </c>
      <c r="K115" s="3" t="s">
        <v>797</v>
      </c>
      <c r="L115" s="3" t="s">
        <v>798</v>
      </c>
      <c r="M115" s="3" t="s">
        <v>21</v>
      </c>
      <c r="N115" s="3" t="s">
        <v>22</v>
      </c>
      <c r="O115" s="13">
        <v>3975</v>
      </c>
      <c r="P115" s="11" t="str">
        <f t="shared" si="7"/>
        <v>03. 1,500㎡ 이상</v>
      </c>
      <c r="Q115" s="8" t="s">
        <v>23</v>
      </c>
      <c r="R115" s="3" t="s">
        <v>24</v>
      </c>
      <c r="S115" s="3" t="s">
        <v>19</v>
      </c>
    </row>
    <row r="116" spans="1:19" x14ac:dyDescent="0.4">
      <c r="A116" s="7">
        <v>115</v>
      </c>
      <c r="B116" s="8" t="s">
        <v>799</v>
      </c>
      <c r="C116" s="19" t="str">
        <f t="shared" si="4"/>
        <v>강원특별자치도</v>
      </c>
      <c r="D116" s="17" t="str">
        <f t="shared" si="5"/>
        <v>홍천군</v>
      </c>
      <c r="E116" s="8" t="s">
        <v>800</v>
      </c>
      <c r="F116" s="3" t="s">
        <v>766</v>
      </c>
      <c r="G116" s="3" t="s">
        <v>695</v>
      </c>
      <c r="H116" s="7" t="s">
        <v>19</v>
      </c>
      <c r="I116" s="15" t="str">
        <f t="shared" si="6"/>
        <v>없음</v>
      </c>
      <c r="J116" s="8" t="s">
        <v>100</v>
      </c>
      <c r="K116" s="3" t="s">
        <v>19</v>
      </c>
      <c r="L116" s="3" t="s">
        <v>19</v>
      </c>
      <c r="M116" s="3" t="s">
        <v>21</v>
      </c>
      <c r="N116" s="3" t="s">
        <v>22</v>
      </c>
      <c r="O116" s="13">
        <v>50</v>
      </c>
      <c r="P116" s="11" t="str">
        <f t="shared" si="7"/>
        <v>01. 1,000㎡ 미만</v>
      </c>
      <c r="Q116" s="8" t="s">
        <v>84</v>
      </c>
      <c r="R116" s="3" t="s">
        <v>24</v>
      </c>
      <c r="S116" s="3" t="s">
        <v>19</v>
      </c>
    </row>
    <row r="117" spans="1:19" x14ac:dyDescent="0.4">
      <c r="A117" s="7">
        <v>116</v>
      </c>
      <c r="B117" s="8" t="s">
        <v>807</v>
      </c>
      <c r="C117" s="19" t="str">
        <f t="shared" si="4"/>
        <v>경상남도</v>
      </c>
      <c r="D117" s="17" t="str">
        <f t="shared" si="5"/>
        <v>통영시</v>
      </c>
      <c r="E117" s="8" t="s">
        <v>808</v>
      </c>
      <c r="F117" s="3" t="s">
        <v>809</v>
      </c>
      <c r="G117" s="3" t="s">
        <v>810</v>
      </c>
      <c r="H117" s="7" t="s">
        <v>19</v>
      </c>
      <c r="I117" s="15" t="str">
        <f t="shared" si="6"/>
        <v>없음</v>
      </c>
      <c r="J117" s="8" t="s">
        <v>811</v>
      </c>
      <c r="K117" s="3" t="s">
        <v>19</v>
      </c>
      <c r="L117" s="3" t="s">
        <v>19</v>
      </c>
      <c r="M117" s="3" t="s">
        <v>21</v>
      </c>
      <c r="N117" s="3" t="s">
        <v>22</v>
      </c>
      <c r="O117" s="13">
        <v>3101</v>
      </c>
      <c r="P117" s="11" t="str">
        <f t="shared" si="7"/>
        <v>03. 1,500㎡ 이상</v>
      </c>
      <c r="Q117" s="8" t="s">
        <v>23</v>
      </c>
      <c r="R117" s="3" t="s">
        <v>24</v>
      </c>
      <c r="S117" s="3" t="s">
        <v>19</v>
      </c>
    </row>
    <row r="118" spans="1:19" x14ac:dyDescent="0.4">
      <c r="A118" s="7">
        <v>117</v>
      </c>
      <c r="B118" s="8" t="s">
        <v>812</v>
      </c>
      <c r="C118" s="19" t="str">
        <f t="shared" si="4"/>
        <v>경기도</v>
      </c>
      <c r="D118" s="17" t="str">
        <f t="shared" si="5"/>
        <v>가평군</v>
      </c>
      <c r="E118" s="8" t="s">
        <v>813</v>
      </c>
      <c r="F118" s="3" t="s">
        <v>814</v>
      </c>
      <c r="G118" s="3" t="s">
        <v>815</v>
      </c>
      <c r="H118" s="7" t="s">
        <v>816</v>
      </c>
      <c r="I118" s="15" t="str">
        <f t="shared" si="6"/>
        <v>있음</v>
      </c>
      <c r="J118" s="8" t="s">
        <v>19</v>
      </c>
      <c r="K118" s="3" t="s">
        <v>19</v>
      </c>
      <c r="L118" s="3" t="s">
        <v>19</v>
      </c>
      <c r="M118" s="3" t="s">
        <v>21</v>
      </c>
      <c r="N118" s="3" t="s">
        <v>22</v>
      </c>
      <c r="O118" s="13">
        <v>2343</v>
      </c>
      <c r="P118" s="11" t="str">
        <f t="shared" si="7"/>
        <v>03. 1,500㎡ 이상</v>
      </c>
      <c r="Q118" s="8" t="s">
        <v>23</v>
      </c>
      <c r="R118" s="3" t="s">
        <v>24</v>
      </c>
      <c r="S118" s="3" t="s">
        <v>19</v>
      </c>
    </row>
    <row r="119" spans="1:19" x14ac:dyDescent="0.4">
      <c r="A119" s="7">
        <v>118</v>
      </c>
      <c r="B119" s="8" t="s">
        <v>825</v>
      </c>
      <c r="C119" s="19" t="str">
        <f t="shared" si="4"/>
        <v>충청남도</v>
      </c>
      <c r="D119" s="17" t="str">
        <f t="shared" si="5"/>
        <v>보령시</v>
      </c>
      <c r="E119" s="8" t="s">
        <v>826</v>
      </c>
      <c r="F119" s="3" t="s">
        <v>827</v>
      </c>
      <c r="G119" s="3" t="s">
        <v>828</v>
      </c>
      <c r="H119" s="7" t="s">
        <v>19</v>
      </c>
      <c r="I119" s="15" t="str">
        <f t="shared" si="6"/>
        <v>없음</v>
      </c>
      <c r="J119" s="8" t="s">
        <v>62</v>
      </c>
      <c r="K119" s="3" t="s">
        <v>19</v>
      </c>
      <c r="L119" s="3" t="s">
        <v>829</v>
      </c>
      <c r="M119" s="3" t="s">
        <v>21</v>
      </c>
      <c r="N119" s="3" t="s">
        <v>22</v>
      </c>
      <c r="O119" s="13">
        <v>99938</v>
      </c>
      <c r="P119" s="11" t="str">
        <f t="shared" si="7"/>
        <v>13. 9만㎡ 이상</v>
      </c>
      <c r="Q119" s="8" t="s">
        <v>23</v>
      </c>
      <c r="R119" s="3" t="s">
        <v>24</v>
      </c>
      <c r="S119" s="3" t="s">
        <v>19</v>
      </c>
    </row>
    <row r="120" spans="1:19" x14ac:dyDescent="0.4">
      <c r="A120" s="7">
        <v>119</v>
      </c>
      <c r="B120" s="8" t="s">
        <v>830</v>
      </c>
      <c r="C120" s="19" t="str">
        <f t="shared" si="4"/>
        <v>전라남도</v>
      </c>
      <c r="D120" s="17" t="str">
        <f t="shared" si="5"/>
        <v>여수시</v>
      </c>
      <c r="E120" s="8" t="s">
        <v>831</v>
      </c>
      <c r="F120" s="3" t="s">
        <v>832</v>
      </c>
      <c r="G120" s="3" t="s">
        <v>833</v>
      </c>
      <c r="H120" s="7" t="s">
        <v>19</v>
      </c>
      <c r="I120" s="15" t="str">
        <f t="shared" si="6"/>
        <v>없음</v>
      </c>
      <c r="J120" s="8" t="s">
        <v>834</v>
      </c>
      <c r="K120" s="3" t="s">
        <v>834</v>
      </c>
      <c r="L120" s="3" t="s">
        <v>19</v>
      </c>
      <c r="M120" s="3" t="s">
        <v>21</v>
      </c>
      <c r="N120" s="3" t="s">
        <v>22</v>
      </c>
      <c r="O120" s="13">
        <v>316</v>
      </c>
      <c r="P120" s="11" t="str">
        <f t="shared" si="7"/>
        <v>01. 1,000㎡ 미만</v>
      </c>
      <c r="Q120" s="8" t="s">
        <v>23</v>
      </c>
      <c r="R120" s="3" t="s">
        <v>24</v>
      </c>
      <c r="S120" s="3" t="s">
        <v>19</v>
      </c>
    </row>
    <row r="121" spans="1:19" x14ac:dyDescent="0.4">
      <c r="A121" s="7">
        <v>120</v>
      </c>
      <c r="B121" s="8" t="s">
        <v>841</v>
      </c>
      <c r="C121" s="19" t="str">
        <f t="shared" si="4"/>
        <v>충청북도</v>
      </c>
      <c r="D121" s="17" t="str">
        <f t="shared" si="5"/>
        <v>음성군</v>
      </c>
      <c r="E121" s="8" t="s">
        <v>842</v>
      </c>
      <c r="F121" s="3" t="s">
        <v>843</v>
      </c>
      <c r="G121" s="3" t="s">
        <v>819</v>
      </c>
      <c r="H121" s="7" t="s">
        <v>844</v>
      </c>
      <c r="I121" s="15" t="str">
        <f t="shared" si="6"/>
        <v>있음</v>
      </c>
      <c r="J121" s="8" t="s">
        <v>845</v>
      </c>
      <c r="K121" s="3" t="s">
        <v>846</v>
      </c>
      <c r="L121" s="3" t="s">
        <v>847</v>
      </c>
      <c r="M121" s="3" t="s">
        <v>21</v>
      </c>
      <c r="N121" s="3" t="s">
        <v>22</v>
      </c>
      <c r="O121" s="13">
        <v>2996</v>
      </c>
      <c r="P121" s="11" t="str">
        <f t="shared" si="7"/>
        <v>03. 1,500㎡ 이상</v>
      </c>
      <c r="Q121" s="8" t="s">
        <v>23</v>
      </c>
      <c r="R121" s="3" t="s">
        <v>24</v>
      </c>
      <c r="S121" s="3" t="s">
        <v>19</v>
      </c>
    </row>
    <row r="122" spans="1:19" x14ac:dyDescent="0.4">
      <c r="A122" s="7">
        <v>121</v>
      </c>
      <c r="B122" s="8" t="s">
        <v>848</v>
      </c>
      <c r="C122" s="19" t="str">
        <f t="shared" si="4"/>
        <v>제주특별자치도</v>
      </c>
      <c r="D122" s="17" t="str">
        <f t="shared" si="5"/>
        <v>제주시</v>
      </c>
      <c r="E122" s="8" t="s">
        <v>849</v>
      </c>
      <c r="F122" s="3" t="s">
        <v>850</v>
      </c>
      <c r="G122" s="3" t="s">
        <v>851</v>
      </c>
      <c r="H122" s="7" t="s">
        <v>19</v>
      </c>
      <c r="I122" s="15" t="str">
        <f t="shared" si="6"/>
        <v>없음</v>
      </c>
      <c r="J122" s="8" t="s">
        <v>852</v>
      </c>
      <c r="K122" s="3" t="s">
        <v>19</v>
      </c>
      <c r="L122" s="3" t="s">
        <v>19</v>
      </c>
      <c r="M122" s="3" t="s">
        <v>21</v>
      </c>
      <c r="N122" s="3" t="s">
        <v>22</v>
      </c>
      <c r="O122" s="13">
        <v>1499</v>
      </c>
      <c r="P122" s="11" t="str">
        <f t="shared" si="7"/>
        <v>02. 1,000㎡ 이상</v>
      </c>
      <c r="Q122" s="8" t="s">
        <v>23</v>
      </c>
      <c r="R122" s="3" t="s">
        <v>24</v>
      </c>
      <c r="S122" s="3" t="s">
        <v>19</v>
      </c>
    </row>
    <row r="123" spans="1:19" x14ac:dyDescent="0.4">
      <c r="A123" s="7">
        <v>122</v>
      </c>
      <c r="B123" s="8" t="s">
        <v>853</v>
      </c>
      <c r="C123" s="19" t="str">
        <f t="shared" si="4"/>
        <v>경상남도</v>
      </c>
      <c r="D123" s="17" t="str">
        <f t="shared" si="5"/>
        <v>남해군</v>
      </c>
      <c r="E123" s="8" t="s">
        <v>854</v>
      </c>
      <c r="F123" s="3" t="s">
        <v>850</v>
      </c>
      <c r="G123" s="3" t="s">
        <v>855</v>
      </c>
      <c r="H123" s="7" t="s">
        <v>19</v>
      </c>
      <c r="I123" s="15" t="str">
        <f t="shared" si="6"/>
        <v>없음</v>
      </c>
      <c r="J123" s="8" t="s">
        <v>856</v>
      </c>
      <c r="K123" s="3" t="s">
        <v>19</v>
      </c>
      <c r="L123" s="3" t="s">
        <v>857</v>
      </c>
      <c r="M123" s="3" t="s">
        <v>21</v>
      </c>
      <c r="N123" s="3" t="s">
        <v>22</v>
      </c>
      <c r="O123" s="13">
        <v>4933</v>
      </c>
      <c r="P123" s="11" t="str">
        <f t="shared" si="7"/>
        <v>03. 1,500㎡ 이상</v>
      </c>
      <c r="Q123" s="8" t="s">
        <v>23</v>
      </c>
      <c r="R123" s="3" t="s">
        <v>24</v>
      </c>
      <c r="S123" s="3" t="s">
        <v>19</v>
      </c>
    </row>
    <row r="124" spans="1:19" x14ac:dyDescent="0.4">
      <c r="A124" s="7">
        <v>123</v>
      </c>
      <c r="B124" s="8" t="s">
        <v>865</v>
      </c>
      <c r="C124" s="19" t="str">
        <f t="shared" si="4"/>
        <v>인천광역시</v>
      </c>
      <c r="D124" s="17" t="str">
        <f t="shared" si="5"/>
        <v>옹진군</v>
      </c>
      <c r="E124" s="8" t="s">
        <v>866</v>
      </c>
      <c r="F124" s="3" t="s">
        <v>867</v>
      </c>
      <c r="G124" s="3" t="s">
        <v>868</v>
      </c>
      <c r="H124" s="7" t="s">
        <v>19</v>
      </c>
      <c r="I124" s="15" t="str">
        <f t="shared" si="6"/>
        <v>없음</v>
      </c>
      <c r="J124" s="8" t="s">
        <v>869</v>
      </c>
      <c r="K124" s="3" t="s">
        <v>19</v>
      </c>
      <c r="L124" s="3" t="s">
        <v>19</v>
      </c>
      <c r="M124" s="3" t="s">
        <v>21</v>
      </c>
      <c r="N124" s="3" t="s">
        <v>22</v>
      </c>
      <c r="O124" s="13">
        <v>738</v>
      </c>
      <c r="P124" s="11" t="str">
        <f t="shared" si="7"/>
        <v>01. 1,000㎡ 미만</v>
      </c>
      <c r="Q124" s="8" t="s">
        <v>23</v>
      </c>
      <c r="R124" s="3" t="s">
        <v>24</v>
      </c>
      <c r="S124" s="3" t="s">
        <v>19</v>
      </c>
    </row>
    <row r="125" spans="1:19" x14ac:dyDescent="0.4">
      <c r="A125" s="7">
        <v>124</v>
      </c>
      <c r="B125" s="8" t="s">
        <v>870</v>
      </c>
      <c r="C125" s="19" t="str">
        <f t="shared" si="4"/>
        <v>강원특별자치도</v>
      </c>
      <c r="D125" s="17" t="str">
        <f t="shared" si="5"/>
        <v>춘천시</v>
      </c>
      <c r="E125" s="8" t="s">
        <v>871</v>
      </c>
      <c r="F125" s="3" t="s">
        <v>872</v>
      </c>
      <c r="G125" s="3" t="s">
        <v>868</v>
      </c>
      <c r="H125" s="7" t="s">
        <v>19</v>
      </c>
      <c r="I125" s="15" t="str">
        <f t="shared" si="6"/>
        <v>없음</v>
      </c>
      <c r="J125" s="8" t="s">
        <v>873</v>
      </c>
      <c r="K125" s="3" t="s">
        <v>873</v>
      </c>
      <c r="L125" s="3" t="s">
        <v>874</v>
      </c>
      <c r="M125" s="3" t="s">
        <v>21</v>
      </c>
      <c r="N125" s="3" t="s">
        <v>22</v>
      </c>
      <c r="O125" s="13">
        <v>4998</v>
      </c>
      <c r="P125" s="11" t="str">
        <f t="shared" si="7"/>
        <v>03. 1,500㎡ 이상</v>
      </c>
      <c r="Q125" s="8" t="s">
        <v>23</v>
      </c>
      <c r="R125" s="3" t="s">
        <v>24</v>
      </c>
      <c r="S125" s="3" t="s">
        <v>19</v>
      </c>
    </row>
    <row r="126" spans="1:19" x14ac:dyDescent="0.4">
      <c r="A126" s="7">
        <v>125</v>
      </c>
      <c r="B126" s="8" t="s">
        <v>891</v>
      </c>
      <c r="C126" s="19" t="str">
        <f t="shared" si="4"/>
        <v>경상북도</v>
      </c>
      <c r="D126" s="17" t="str">
        <f t="shared" si="5"/>
        <v>경주시</v>
      </c>
      <c r="E126" s="8" t="s">
        <v>892</v>
      </c>
      <c r="F126" s="3" t="s">
        <v>893</v>
      </c>
      <c r="G126" s="3" t="s">
        <v>753</v>
      </c>
      <c r="H126" s="7" t="s">
        <v>894</v>
      </c>
      <c r="I126" s="15" t="str">
        <f t="shared" si="6"/>
        <v>있음</v>
      </c>
      <c r="J126" s="8" t="s">
        <v>895</v>
      </c>
      <c r="K126" s="3" t="s">
        <v>896</v>
      </c>
      <c r="L126" s="3" t="s">
        <v>19</v>
      </c>
      <c r="M126" s="3" t="s">
        <v>21</v>
      </c>
      <c r="N126" s="3" t="s">
        <v>22</v>
      </c>
      <c r="O126" s="13">
        <v>5920</v>
      </c>
      <c r="P126" s="11" t="str">
        <f t="shared" si="7"/>
        <v>04. 5,000㎡ 이상</v>
      </c>
      <c r="Q126" s="8" t="s">
        <v>23</v>
      </c>
      <c r="R126" s="3" t="s">
        <v>24</v>
      </c>
      <c r="S126" s="3" t="s">
        <v>19</v>
      </c>
    </row>
    <row r="127" spans="1:19" x14ac:dyDescent="0.4">
      <c r="A127" s="7">
        <v>126</v>
      </c>
      <c r="B127" s="8" t="s">
        <v>897</v>
      </c>
      <c r="C127" s="19" t="str">
        <f t="shared" si="4"/>
        <v>충청남도</v>
      </c>
      <c r="D127" s="17" t="str">
        <f t="shared" si="5"/>
        <v>논산시</v>
      </c>
      <c r="E127" s="8" t="s">
        <v>898</v>
      </c>
      <c r="F127" s="3" t="s">
        <v>549</v>
      </c>
      <c r="G127" s="3" t="s">
        <v>899</v>
      </c>
      <c r="H127" s="7" t="s">
        <v>19</v>
      </c>
      <c r="I127" s="15" t="str">
        <f t="shared" si="6"/>
        <v>없음</v>
      </c>
      <c r="J127" s="8" t="s">
        <v>900</v>
      </c>
      <c r="K127" s="3" t="s">
        <v>19</v>
      </c>
      <c r="L127" s="3" t="s">
        <v>901</v>
      </c>
      <c r="M127" s="3" t="s">
        <v>21</v>
      </c>
      <c r="N127" s="3" t="s">
        <v>22</v>
      </c>
      <c r="O127" s="13">
        <v>2055</v>
      </c>
      <c r="P127" s="11" t="str">
        <f t="shared" si="7"/>
        <v>03. 1,500㎡ 이상</v>
      </c>
      <c r="Q127" s="8" t="s">
        <v>23</v>
      </c>
      <c r="R127" s="3" t="s">
        <v>24</v>
      </c>
      <c r="S127" s="3" t="s">
        <v>19</v>
      </c>
    </row>
    <row r="128" spans="1:19" x14ac:dyDescent="0.4">
      <c r="A128" s="7">
        <v>127</v>
      </c>
      <c r="B128" s="8" t="s">
        <v>902</v>
      </c>
      <c r="C128" s="19" t="str">
        <f t="shared" si="4"/>
        <v>경기도</v>
      </c>
      <c r="D128" s="17" t="str">
        <f t="shared" si="5"/>
        <v>시흥시</v>
      </c>
      <c r="E128" s="8" t="s">
        <v>903</v>
      </c>
      <c r="F128" s="3" t="s">
        <v>904</v>
      </c>
      <c r="G128" s="3" t="s">
        <v>905</v>
      </c>
      <c r="H128" s="7" t="s">
        <v>19</v>
      </c>
      <c r="I128" s="15" t="str">
        <f t="shared" si="6"/>
        <v>없음</v>
      </c>
      <c r="J128" s="8" t="s">
        <v>93</v>
      </c>
      <c r="K128" s="3" t="s">
        <v>19</v>
      </c>
      <c r="L128" s="3" t="s">
        <v>415</v>
      </c>
      <c r="M128" s="3" t="s">
        <v>21</v>
      </c>
      <c r="N128" s="3" t="s">
        <v>22</v>
      </c>
      <c r="O128" s="13">
        <v>99409</v>
      </c>
      <c r="P128" s="11" t="str">
        <f t="shared" si="7"/>
        <v>13. 9만㎡ 이상</v>
      </c>
      <c r="Q128" s="8" t="s">
        <v>906</v>
      </c>
      <c r="R128" s="3" t="s">
        <v>24</v>
      </c>
      <c r="S128" s="3" t="s">
        <v>19</v>
      </c>
    </row>
    <row r="129" spans="1:19" x14ac:dyDescent="0.4">
      <c r="A129" s="7">
        <v>128</v>
      </c>
      <c r="B129" s="8" t="s">
        <v>911</v>
      </c>
      <c r="C129" s="19" t="str">
        <f t="shared" si="4"/>
        <v>강원특별자치도</v>
      </c>
      <c r="D129" s="17" t="str">
        <f t="shared" si="5"/>
        <v>강릉시</v>
      </c>
      <c r="E129" s="8" t="s">
        <v>912</v>
      </c>
      <c r="F129" s="3" t="s">
        <v>913</v>
      </c>
      <c r="G129" s="3" t="s">
        <v>914</v>
      </c>
      <c r="H129" s="7" t="s">
        <v>915</v>
      </c>
      <c r="I129" s="15" t="str">
        <f t="shared" si="6"/>
        <v>있음</v>
      </c>
      <c r="J129" s="8" t="s">
        <v>916</v>
      </c>
      <c r="K129" s="3" t="s">
        <v>916</v>
      </c>
      <c r="L129" s="3" t="s">
        <v>19</v>
      </c>
      <c r="M129" s="3" t="s">
        <v>21</v>
      </c>
      <c r="N129" s="3" t="s">
        <v>22</v>
      </c>
      <c r="O129" s="13">
        <v>1483</v>
      </c>
      <c r="P129" s="11" t="str">
        <f t="shared" si="7"/>
        <v>02. 1,000㎡ 이상</v>
      </c>
      <c r="Q129" s="8" t="s">
        <v>23</v>
      </c>
      <c r="R129" s="3" t="s">
        <v>24</v>
      </c>
      <c r="S129" s="3" t="s">
        <v>19</v>
      </c>
    </row>
    <row r="130" spans="1:19" x14ac:dyDescent="0.4">
      <c r="A130" s="7">
        <v>129</v>
      </c>
      <c r="B130" s="8" t="s">
        <v>917</v>
      </c>
      <c r="C130" s="19" t="str">
        <f t="shared" si="4"/>
        <v>전북특별자치도</v>
      </c>
      <c r="D130" s="17" t="str">
        <f t="shared" si="5"/>
        <v>무주군</v>
      </c>
      <c r="E130" s="8" t="s">
        <v>918</v>
      </c>
      <c r="F130" s="3" t="s">
        <v>919</v>
      </c>
      <c r="G130" s="3" t="s">
        <v>920</v>
      </c>
      <c r="H130" s="7" t="s">
        <v>19</v>
      </c>
      <c r="I130" s="15" t="str">
        <f t="shared" si="6"/>
        <v>없음</v>
      </c>
      <c r="J130" s="8" t="s">
        <v>921</v>
      </c>
      <c r="K130" s="3" t="s">
        <v>19</v>
      </c>
      <c r="L130" s="3" t="s">
        <v>19</v>
      </c>
      <c r="M130" s="3" t="s">
        <v>21</v>
      </c>
      <c r="N130" s="3" t="s">
        <v>22</v>
      </c>
      <c r="O130" s="13">
        <v>588</v>
      </c>
      <c r="P130" s="11" t="str">
        <f t="shared" si="7"/>
        <v>01. 1,000㎡ 미만</v>
      </c>
      <c r="Q130" s="8" t="s">
        <v>23</v>
      </c>
      <c r="R130" s="3" t="s">
        <v>24</v>
      </c>
      <c r="S130" s="3" t="s">
        <v>19</v>
      </c>
    </row>
    <row r="131" spans="1:19" x14ac:dyDescent="0.4">
      <c r="A131" s="7">
        <v>130</v>
      </c>
      <c r="B131" s="8" t="s">
        <v>922</v>
      </c>
      <c r="C131" s="19" t="str">
        <f t="shared" ref="C131:C194" si="8">IFERROR(IF(LEFT(E131,FIND(" ",E131)-1)="전라북도","전북특별자치도",LEFT(E131,FIND(" ",E131)-1)),"")</f>
        <v>충청남도</v>
      </c>
      <c r="D131" s="17" t="str">
        <f t="shared" ref="D131:D194" si="9">IFERROR(TRIM(MID(SUBSTITUTE(E131," ",REPT(" ",50)),51,50)),"")</f>
        <v>보령시</v>
      </c>
      <c r="E131" s="8" t="s">
        <v>923</v>
      </c>
      <c r="F131" s="3" t="s">
        <v>924</v>
      </c>
      <c r="G131" s="3" t="s">
        <v>925</v>
      </c>
      <c r="H131" s="7" t="s">
        <v>926</v>
      </c>
      <c r="I131" s="15" t="str">
        <f t="shared" ref="I131:I194" si="10">IF(OR(TRIM(H131)="",TRIM(H131)="-"),"없음","있음")</f>
        <v>있음</v>
      </c>
      <c r="J131" s="8" t="s">
        <v>927</v>
      </c>
      <c r="K131" s="3" t="s">
        <v>927</v>
      </c>
      <c r="L131" s="3" t="s">
        <v>19</v>
      </c>
      <c r="M131" s="3" t="s">
        <v>21</v>
      </c>
      <c r="N131" s="3" t="s">
        <v>22</v>
      </c>
      <c r="O131" s="13">
        <v>2513</v>
      </c>
      <c r="P131" s="11" t="str">
        <f t="shared" ref="P131:P194" si="11">IF(NOT(ISNUMBER(O131)),"00. 미기재",IF(O131&lt;1000,"01. 1,000㎡ 미만",IF(O131&lt;1500,"02. 1,000㎡ 이상",IF(O131&lt;5000,"03. 1,500㎡ 이상",IF(O131&lt;10000,"04. 5,000㎡ 이상",TEXT(4+INT(O131/10000),"00")&amp;". "&amp;INT(O131/10000)&amp;"만㎡ 이상")))))</f>
        <v>03. 1,500㎡ 이상</v>
      </c>
      <c r="Q131" s="8" t="s">
        <v>23</v>
      </c>
      <c r="R131" s="3" t="s">
        <v>24</v>
      </c>
      <c r="S131" s="3" t="s">
        <v>19</v>
      </c>
    </row>
    <row r="132" spans="1:19" x14ac:dyDescent="0.4">
      <c r="A132" s="7">
        <v>131</v>
      </c>
      <c r="B132" s="8" t="s">
        <v>928</v>
      </c>
      <c r="C132" s="19" t="str">
        <f t="shared" si="8"/>
        <v>인천광역시</v>
      </c>
      <c r="D132" s="17" t="str">
        <f t="shared" si="9"/>
        <v>부평구</v>
      </c>
      <c r="E132" s="8" t="s">
        <v>929</v>
      </c>
      <c r="F132" s="3" t="s">
        <v>930</v>
      </c>
      <c r="G132" s="3" t="s">
        <v>931</v>
      </c>
      <c r="H132" s="7" t="s">
        <v>932</v>
      </c>
      <c r="I132" s="15" t="str">
        <f t="shared" si="10"/>
        <v>있음</v>
      </c>
      <c r="J132" s="8" t="s">
        <v>933</v>
      </c>
      <c r="K132" s="3" t="s">
        <v>933</v>
      </c>
      <c r="L132" s="3" t="s">
        <v>19</v>
      </c>
      <c r="M132" s="3" t="s">
        <v>64</v>
      </c>
      <c r="N132" s="3" t="s">
        <v>22</v>
      </c>
      <c r="O132" s="13">
        <v>14679</v>
      </c>
      <c r="P132" s="11" t="str">
        <f t="shared" si="11"/>
        <v>05. 1만㎡ 이상</v>
      </c>
      <c r="Q132" s="8" t="s">
        <v>23</v>
      </c>
      <c r="R132" s="3" t="s">
        <v>24</v>
      </c>
      <c r="S132" s="3" t="s">
        <v>19</v>
      </c>
    </row>
    <row r="133" spans="1:19" x14ac:dyDescent="0.4">
      <c r="A133" s="7">
        <v>132</v>
      </c>
      <c r="B133" s="8" t="s">
        <v>941</v>
      </c>
      <c r="C133" s="19" t="str">
        <f t="shared" si="8"/>
        <v>경기도</v>
      </c>
      <c r="D133" s="17" t="str">
        <f t="shared" si="9"/>
        <v>화성시</v>
      </c>
      <c r="E133" s="8" t="s">
        <v>942</v>
      </c>
      <c r="F133" s="3" t="s">
        <v>943</v>
      </c>
      <c r="G133" s="3" t="s">
        <v>944</v>
      </c>
      <c r="H133" s="7" t="s">
        <v>19</v>
      </c>
      <c r="I133" s="15" t="str">
        <f t="shared" si="10"/>
        <v>없음</v>
      </c>
      <c r="J133" s="8" t="s">
        <v>151</v>
      </c>
      <c r="K133" s="3" t="s">
        <v>19</v>
      </c>
      <c r="L133" s="3" t="s">
        <v>945</v>
      </c>
      <c r="M133" s="3" t="s">
        <v>21</v>
      </c>
      <c r="N133" s="3" t="s">
        <v>22</v>
      </c>
      <c r="O133" s="13">
        <v>29977</v>
      </c>
      <c r="P133" s="11" t="str">
        <f t="shared" si="11"/>
        <v>06. 2만㎡ 이상</v>
      </c>
      <c r="Q133" s="8" t="s">
        <v>23</v>
      </c>
      <c r="R133" s="3" t="s">
        <v>24</v>
      </c>
      <c r="S133" s="3" t="s">
        <v>19</v>
      </c>
    </row>
    <row r="134" spans="1:19" x14ac:dyDescent="0.4">
      <c r="A134" s="7">
        <v>133</v>
      </c>
      <c r="B134" s="8" t="s">
        <v>946</v>
      </c>
      <c r="C134" s="19" t="str">
        <f t="shared" si="8"/>
        <v>경기도</v>
      </c>
      <c r="D134" s="17" t="str">
        <f t="shared" si="9"/>
        <v>화성시</v>
      </c>
      <c r="E134" s="8" t="s">
        <v>947</v>
      </c>
      <c r="F134" s="3" t="s">
        <v>948</v>
      </c>
      <c r="G134" s="3" t="s">
        <v>949</v>
      </c>
      <c r="H134" s="7" t="s">
        <v>19</v>
      </c>
      <c r="I134" s="15" t="str">
        <f t="shared" si="10"/>
        <v>없음</v>
      </c>
      <c r="J134" s="8" t="s">
        <v>151</v>
      </c>
      <c r="K134" s="3" t="s">
        <v>19</v>
      </c>
      <c r="L134" s="3" t="s">
        <v>945</v>
      </c>
      <c r="M134" s="3" t="s">
        <v>21</v>
      </c>
      <c r="N134" s="3" t="s">
        <v>22</v>
      </c>
      <c r="O134" s="13">
        <v>40550</v>
      </c>
      <c r="P134" s="11" t="str">
        <f t="shared" si="11"/>
        <v>08. 4만㎡ 이상</v>
      </c>
      <c r="Q134" s="8" t="s">
        <v>23</v>
      </c>
      <c r="R134" s="3" t="s">
        <v>24</v>
      </c>
      <c r="S134" s="3" t="s">
        <v>19</v>
      </c>
    </row>
    <row r="135" spans="1:19" x14ac:dyDescent="0.4">
      <c r="A135" s="7">
        <v>134</v>
      </c>
      <c r="B135" s="8" t="s">
        <v>950</v>
      </c>
      <c r="C135" s="19" t="str">
        <f t="shared" si="8"/>
        <v>경기도</v>
      </c>
      <c r="D135" s="17" t="str">
        <f t="shared" si="9"/>
        <v>가평군</v>
      </c>
      <c r="E135" s="8" t="s">
        <v>951</v>
      </c>
      <c r="F135" s="3" t="s">
        <v>447</v>
      </c>
      <c r="G135" s="3" t="s">
        <v>952</v>
      </c>
      <c r="H135" s="7" t="s">
        <v>19</v>
      </c>
      <c r="I135" s="15" t="str">
        <f t="shared" si="10"/>
        <v>없음</v>
      </c>
      <c r="J135" s="8" t="s">
        <v>953</v>
      </c>
      <c r="K135" s="3" t="s">
        <v>19</v>
      </c>
      <c r="L135" s="3" t="s">
        <v>19</v>
      </c>
      <c r="M135" s="3" t="s">
        <v>21</v>
      </c>
      <c r="N135" s="3" t="s">
        <v>22</v>
      </c>
      <c r="O135" s="13">
        <v>1348</v>
      </c>
      <c r="P135" s="11" t="str">
        <f t="shared" si="11"/>
        <v>02. 1,000㎡ 이상</v>
      </c>
      <c r="Q135" s="8" t="s">
        <v>84</v>
      </c>
      <c r="R135" s="3" t="s">
        <v>24</v>
      </c>
      <c r="S135" s="3" t="s">
        <v>19</v>
      </c>
    </row>
    <row r="136" spans="1:19" x14ac:dyDescent="0.4">
      <c r="A136" s="7">
        <v>135</v>
      </c>
      <c r="B136" s="8" t="s">
        <v>954</v>
      </c>
      <c r="C136" s="19" t="str">
        <f t="shared" si="8"/>
        <v>강원특별자치도</v>
      </c>
      <c r="D136" s="17" t="str">
        <f t="shared" si="9"/>
        <v>양양군</v>
      </c>
      <c r="E136" s="8" t="s">
        <v>955</v>
      </c>
      <c r="F136" s="3" t="s">
        <v>956</v>
      </c>
      <c r="G136" s="3" t="s">
        <v>936</v>
      </c>
      <c r="H136" s="7" t="s">
        <v>19</v>
      </c>
      <c r="I136" s="15" t="str">
        <f t="shared" si="10"/>
        <v>없음</v>
      </c>
      <c r="J136" s="8" t="s">
        <v>940</v>
      </c>
      <c r="K136" s="3" t="s">
        <v>940</v>
      </c>
      <c r="L136" s="3" t="s">
        <v>19</v>
      </c>
      <c r="M136" s="3" t="s">
        <v>21</v>
      </c>
      <c r="N136" s="3" t="s">
        <v>147</v>
      </c>
      <c r="O136" s="13">
        <v>838</v>
      </c>
      <c r="P136" s="11" t="str">
        <f t="shared" si="11"/>
        <v>01. 1,000㎡ 미만</v>
      </c>
      <c r="Q136" s="8" t="s">
        <v>84</v>
      </c>
      <c r="R136" s="3" t="s">
        <v>24</v>
      </c>
      <c r="S136" s="3" t="s">
        <v>19</v>
      </c>
    </row>
    <row r="137" spans="1:19" x14ac:dyDescent="0.4">
      <c r="A137" s="7">
        <v>136</v>
      </c>
      <c r="B137" s="8" t="s">
        <v>961</v>
      </c>
      <c r="C137" s="19" t="str">
        <f t="shared" si="8"/>
        <v>경상북도</v>
      </c>
      <c r="D137" s="17" t="str">
        <f t="shared" si="9"/>
        <v>포항시</v>
      </c>
      <c r="E137" s="8" t="s">
        <v>962</v>
      </c>
      <c r="F137" s="3" t="s">
        <v>963</v>
      </c>
      <c r="G137" s="3" t="s">
        <v>964</v>
      </c>
      <c r="H137" s="7" t="s">
        <v>965</v>
      </c>
      <c r="I137" s="15" t="str">
        <f t="shared" si="10"/>
        <v>있음</v>
      </c>
      <c r="J137" s="8" t="s">
        <v>966</v>
      </c>
      <c r="K137" s="3" t="s">
        <v>19</v>
      </c>
      <c r="L137" s="3" t="s">
        <v>19</v>
      </c>
      <c r="M137" s="3" t="s">
        <v>21</v>
      </c>
      <c r="N137" s="3" t="s">
        <v>22</v>
      </c>
      <c r="O137" s="13">
        <v>351</v>
      </c>
      <c r="P137" s="11" t="str">
        <f t="shared" si="11"/>
        <v>01. 1,000㎡ 미만</v>
      </c>
      <c r="Q137" s="8" t="s">
        <v>23</v>
      </c>
      <c r="R137" s="3" t="s">
        <v>24</v>
      </c>
      <c r="S137" s="3" t="s">
        <v>19</v>
      </c>
    </row>
    <row r="138" spans="1:19" x14ac:dyDescent="0.4">
      <c r="A138" s="7">
        <v>137</v>
      </c>
      <c r="B138" s="8" t="s">
        <v>967</v>
      </c>
      <c r="C138" s="19" t="str">
        <f t="shared" si="8"/>
        <v>전라남도</v>
      </c>
      <c r="D138" s="17" t="str">
        <f t="shared" si="9"/>
        <v>목포시</v>
      </c>
      <c r="E138" s="8" t="s">
        <v>968</v>
      </c>
      <c r="F138" s="3" t="s">
        <v>969</v>
      </c>
      <c r="G138" s="3" t="s">
        <v>970</v>
      </c>
      <c r="H138" s="7" t="s">
        <v>19</v>
      </c>
      <c r="I138" s="15" t="str">
        <f t="shared" si="10"/>
        <v>없음</v>
      </c>
      <c r="J138" s="8" t="s">
        <v>971</v>
      </c>
      <c r="K138" s="3" t="s">
        <v>19</v>
      </c>
      <c r="L138" s="3" t="s">
        <v>972</v>
      </c>
      <c r="M138" s="3" t="s">
        <v>21</v>
      </c>
      <c r="N138" s="3" t="s">
        <v>22</v>
      </c>
      <c r="O138" s="13">
        <v>47700</v>
      </c>
      <c r="P138" s="11" t="str">
        <f t="shared" si="11"/>
        <v>08. 4만㎡ 이상</v>
      </c>
      <c r="Q138" s="8" t="s">
        <v>236</v>
      </c>
      <c r="R138" s="3" t="s">
        <v>24</v>
      </c>
      <c r="S138" s="3" t="s">
        <v>19</v>
      </c>
    </row>
    <row r="139" spans="1:19" x14ac:dyDescent="0.4">
      <c r="A139" s="7">
        <v>138</v>
      </c>
      <c r="B139" s="8" t="s">
        <v>978</v>
      </c>
      <c r="C139" s="19" t="str">
        <f t="shared" si="8"/>
        <v>제주특별자치도</v>
      </c>
      <c r="D139" s="17" t="str">
        <f t="shared" si="9"/>
        <v>제주시</v>
      </c>
      <c r="E139" s="8" t="s">
        <v>979</v>
      </c>
      <c r="F139" s="3" t="s">
        <v>980</v>
      </c>
      <c r="G139" s="3" t="s">
        <v>981</v>
      </c>
      <c r="H139" s="7" t="s">
        <v>19</v>
      </c>
      <c r="I139" s="15" t="str">
        <f t="shared" si="10"/>
        <v>없음</v>
      </c>
      <c r="J139" s="8" t="s">
        <v>982</v>
      </c>
      <c r="K139" s="3" t="s">
        <v>19</v>
      </c>
      <c r="L139" s="3" t="s">
        <v>19</v>
      </c>
      <c r="M139" s="3" t="s">
        <v>21</v>
      </c>
      <c r="N139" s="3" t="s">
        <v>22</v>
      </c>
      <c r="O139" s="13">
        <v>3022</v>
      </c>
      <c r="P139" s="11" t="str">
        <f t="shared" si="11"/>
        <v>03. 1,500㎡ 이상</v>
      </c>
      <c r="Q139" s="8" t="s">
        <v>236</v>
      </c>
      <c r="R139" s="3" t="s">
        <v>24</v>
      </c>
      <c r="S139" s="3" t="s">
        <v>19</v>
      </c>
    </row>
    <row r="140" spans="1:19" x14ac:dyDescent="0.4">
      <c r="A140" s="7">
        <v>139</v>
      </c>
      <c r="B140" s="8" t="s">
        <v>983</v>
      </c>
      <c r="C140" s="19" t="str">
        <f t="shared" si="8"/>
        <v>전북특별자치도</v>
      </c>
      <c r="D140" s="17" t="str">
        <f t="shared" si="9"/>
        <v>무주군</v>
      </c>
      <c r="E140" s="8" t="s">
        <v>984</v>
      </c>
      <c r="F140" s="3" t="s">
        <v>985</v>
      </c>
      <c r="G140" s="3" t="s">
        <v>533</v>
      </c>
      <c r="H140" s="7" t="s">
        <v>986</v>
      </c>
      <c r="I140" s="15" t="str">
        <f t="shared" si="10"/>
        <v>있음</v>
      </c>
      <c r="J140" s="8" t="s">
        <v>921</v>
      </c>
      <c r="K140" s="3" t="s">
        <v>987</v>
      </c>
      <c r="L140" s="3" t="s">
        <v>988</v>
      </c>
      <c r="M140" s="3" t="s">
        <v>21</v>
      </c>
      <c r="N140" s="3" t="s">
        <v>22</v>
      </c>
      <c r="O140" s="13">
        <v>2254</v>
      </c>
      <c r="P140" s="11" t="str">
        <f t="shared" si="11"/>
        <v>03. 1,500㎡ 이상</v>
      </c>
      <c r="Q140" s="8" t="s">
        <v>236</v>
      </c>
      <c r="R140" s="3" t="s">
        <v>24</v>
      </c>
      <c r="S140" s="3" t="s">
        <v>19</v>
      </c>
    </row>
    <row r="141" spans="1:19" x14ac:dyDescent="0.4">
      <c r="A141" s="7">
        <v>140</v>
      </c>
      <c r="B141" s="8" t="s">
        <v>989</v>
      </c>
      <c r="C141" s="19" t="str">
        <f t="shared" si="8"/>
        <v>경상북도</v>
      </c>
      <c r="D141" s="17" t="str">
        <f t="shared" si="9"/>
        <v>경주시</v>
      </c>
      <c r="E141" s="8" t="s">
        <v>990</v>
      </c>
      <c r="F141" s="3" t="s">
        <v>991</v>
      </c>
      <c r="G141" s="3" t="s">
        <v>992</v>
      </c>
      <c r="H141" s="7" t="s">
        <v>19</v>
      </c>
      <c r="I141" s="15" t="str">
        <f t="shared" si="10"/>
        <v>없음</v>
      </c>
      <c r="J141" s="8" t="s">
        <v>993</v>
      </c>
      <c r="K141" s="3" t="s">
        <v>19</v>
      </c>
      <c r="L141" s="3" t="s">
        <v>19</v>
      </c>
      <c r="M141" s="3" t="s">
        <v>21</v>
      </c>
      <c r="N141" s="3" t="s">
        <v>22</v>
      </c>
      <c r="O141" s="13">
        <v>984</v>
      </c>
      <c r="P141" s="11" t="str">
        <f t="shared" si="11"/>
        <v>01. 1,000㎡ 미만</v>
      </c>
      <c r="Q141" s="8" t="s">
        <v>23</v>
      </c>
      <c r="R141" s="3" t="s">
        <v>24</v>
      </c>
      <c r="S141" s="3" t="s">
        <v>19</v>
      </c>
    </row>
    <row r="142" spans="1:19" x14ac:dyDescent="0.4">
      <c r="A142" s="7">
        <v>141</v>
      </c>
      <c r="B142" s="8" t="s">
        <v>994</v>
      </c>
      <c r="C142" s="19" t="str">
        <f t="shared" si="8"/>
        <v>경상북도</v>
      </c>
      <c r="D142" s="17" t="str">
        <f t="shared" si="9"/>
        <v>포항시</v>
      </c>
      <c r="E142" s="8" t="s">
        <v>995</v>
      </c>
      <c r="F142" s="3" t="s">
        <v>996</v>
      </c>
      <c r="G142" s="3" t="s">
        <v>997</v>
      </c>
      <c r="H142" s="7" t="s">
        <v>19</v>
      </c>
      <c r="I142" s="15" t="str">
        <f t="shared" si="10"/>
        <v>없음</v>
      </c>
      <c r="J142" s="8" t="s">
        <v>998</v>
      </c>
      <c r="K142" s="3" t="s">
        <v>19</v>
      </c>
      <c r="L142" s="3" t="s">
        <v>19</v>
      </c>
      <c r="M142" s="3" t="s">
        <v>21</v>
      </c>
      <c r="N142" s="3" t="s">
        <v>22</v>
      </c>
      <c r="O142" s="13">
        <v>856</v>
      </c>
      <c r="P142" s="11" t="str">
        <f t="shared" si="11"/>
        <v>01. 1,000㎡ 미만</v>
      </c>
      <c r="Q142" s="8" t="s">
        <v>23</v>
      </c>
      <c r="R142" s="3" t="s">
        <v>24</v>
      </c>
      <c r="S142" s="3" t="s">
        <v>19</v>
      </c>
    </row>
    <row r="143" spans="1:19" x14ac:dyDescent="0.4">
      <c r="A143" s="7">
        <v>142</v>
      </c>
      <c r="B143" s="8" t="s">
        <v>999</v>
      </c>
      <c r="C143" s="19" t="str">
        <f t="shared" si="8"/>
        <v>강원특별자치도</v>
      </c>
      <c r="D143" s="17" t="str">
        <f t="shared" si="9"/>
        <v>고성군</v>
      </c>
      <c r="E143" s="8" t="s">
        <v>1000</v>
      </c>
      <c r="F143" s="3" t="s">
        <v>1001</v>
      </c>
      <c r="G143" s="3" t="s">
        <v>997</v>
      </c>
      <c r="H143" s="7" t="s">
        <v>1002</v>
      </c>
      <c r="I143" s="15" t="str">
        <f t="shared" si="10"/>
        <v>있음</v>
      </c>
      <c r="J143" s="8" t="s">
        <v>1003</v>
      </c>
      <c r="K143" s="3" t="s">
        <v>19</v>
      </c>
      <c r="L143" s="3" t="s">
        <v>19</v>
      </c>
      <c r="M143" s="3" t="s">
        <v>21</v>
      </c>
      <c r="N143" s="3" t="s">
        <v>22</v>
      </c>
      <c r="O143" s="13">
        <v>208</v>
      </c>
      <c r="P143" s="11" t="str">
        <f t="shared" si="11"/>
        <v>01. 1,000㎡ 미만</v>
      </c>
      <c r="Q143" s="8" t="s">
        <v>129</v>
      </c>
      <c r="R143" s="3" t="s">
        <v>24</v>
      </c>
      <c r="S143" s="3" t="s">
        <v>19</v>
      </c>
    </row>
    <row r="144" spans="1:19" x14ac:dyDescent="0.4">
      <c r="A144" s="7">
        <v>143</v>
      </c>
      <c r="B144" s="8" t="s">
        <v>1006</v>
      </c>
      <c r="C144" s="19" t="str">
        <f t="shared" si="8"/>
        <v>경상북도</v>
      </c>
      <c r="D144" s="17" t="str">
        <f t="shared" si="9"/>
        <v>울릉군</v>
      </c>
      <c r="E144" s="8" t="s">
        <v>1007</v>
      </c>
      <c r="F144" s="3" t="s">
        <v>1008</v>
      </c>
      <c r="G144" s="3" t="s">
        <v>1009</v>
      </c>
      <c r="H144" s="7" t="s">
        <v>1010</v>
      </c>
      <c r="I144" s="15" t="str">
        <f t="shared" si="10"/>
        <v>있음</v>
      </c>
      <c r="J144" s="8" t="s">
        <v>743</v>
      </c>
      <c r="K144" s="3" t="s">
        <v>19</v>
      </c>
      <c r="L144" s="3" t="s">
        <v>19</v>
      </c>
      <c r="M144" s="3" t="s">
        <v>21</v>
      </c>
      <c r="N144" s="3" t="s">
        <v>22</v>
      </c>
      <c r="O144" s="13">
        <v>142</v>
      </c>
      <c r="P144" s="11" t="str">
        <f t="shared" si="11"/>
        <v>01. 1,000㎡ 미만</v>
      </c>
      <c r="Q144" s="8" t="s">
        <v>123</v>
      </c>
      <c r="R144" s="3" t="s">
        <v>24</v>
      </c>
      <c r="S144" s="3" t="s">
        <v>19</v>
      </c>
    </row>
    <row r="145" spans="1:19" x14ac:dyDescent="0.4">
      <c r="A145" s="7">
        <v>144</v>
      </c>
      <c r="B145" s="8" t="s">
        <v>1011</v>
      </c>
      <c r="C145" s="19" t="str">
        <f t="shared" si="8"/>
        <v>경상남도</v>
      </c>
      <c r="D145" s="17" t="str">
        <f t="shared" si="9"/>
        <v>남해군</v>
      </c>
      <c r="E145" s="8" t="s">
        <v>1012</v>
      </c>
      <c r="F145" s="3" t="s">
        <v>1013</v>
      </c>
      <c r="G145" s="3" t="s">
        <v>1009</v>
      </c>
      <c r="H145" s="7" t="s">
        <v>1014</v>
      </c>
      <c r="I145" s="15" t="str">
        <f t="shared" si="10"/>
        <v>있음</v>
      </c>
      <c r="J145" s="8" t="s">
        <v>1015</v>
      </c>
      <c r="K145" s="3" t="s">
        <v>1015</v>
      </c>
      <c r="L145" s="3" t="s">
        <v>1016</v>
      </c>
      <c r="M145" s="3" t="s">
        <v>21</v>
      </c>
      <c r="N145" s="3" t="s">
        <v>22</v>
      </c>
      <c r="O145" s="13">
        <v>1897</v>
      </c>
      <c r="P145" s="11" t="str">
        <f t="shared" si="11"/>
        <v>03. 1,500㎡ 이상</v>
      </c>
      <c r="Q145" s="8" t="s">
        <v>23</v>
      </c>
      <c r="R145" s="3" t="s">
        <v>24</v>
      </c>
      <c r="S145" s="3" t="s">
        <v>19</v>
      </c>
    </row>
    <row r="146" spans="1:19" x14ac:dyDescent="0.4">
      <c r="A146" s="7">
        <v>145</v>
      </c>
      <c r="B146" s="8" t="s">
        <v>1017</v>
      </c>
      <c r="C146" s="19" t="str">
        <f t="shared" si="8"/>
        <v>인천광역시</v>
      </c>
      <c r="D146" s="17" t="str">
        <f t="shared" si="9"/>
        <v>강화군</v>
      </c>
      <c r="E146" s="8" t="s">
        <v>1018</v>
      </c>
      <c r="F146" s="3" t="s">
        <v>447</v>
      </c>
      <c r="G146" s="3" t="s">
        <v>1019</v>
      </c>
      <c r="H146" s="7" t="s">
        <v>19</v>
      </c>
      <c r="I146" s="15" t="str">
        <f t="shared" si="10"/>
        <v>없음</v>
      </c>
      <c r="J146" s="8" t="s">
        <v>1020</v>
      </c>
      <c r="K146" s="3" t="s">
        <v>19</v>
      </c>
      <c r="L146" s="3" t="s">
        <v>19</v>
      </c>
      <c r="M146" s="3" t="s">
        <v>21</v>
      </c>
      <c r="N146" s="3" t="s">
        <v>22</v>
      </c>
      <c r="O146" s="13">
        <v>399</v>
      </c>
      <c r="P146" s="11" t="str">
        <f t="shared" si="11"/>
        <v>01. 1,000㎡ 미만</v>
      </c>
      <c r="Q146" s="8" t="s">
        <v>23</v>
      </c>
      <c r="R146" s="3" t="s">
        <v>24</v>
      </c>
      <c r="S146" s="3" t="s">
        <v>19</v>
      </c>
    </row>
    <row r="147" spans="1:19" x14ac:dyDescent="0.4">
      <c r="A147" s="7">
        <v>146</v>
      </c>
      <c r="B147" s="8" t="s">
        <v>1021</v>
      </c>
      <c r="C147" s="19" t="str">
        <f t="shared" si="8"/>
        <v>경상남도</v>
      </c>
      <c r="D147" s="17" t="str">
        <f t="shared" si="9"/>
        <v>사천시</v>
      </c>
      <c r="E147" s="8" t="s">
        <v>1022</v>
      </c>
      <c r="F147" s="3" t="s">
        <v>1023</v>
      </c>
      <c r="G147" s="3" t="s">
        <v>1024</v>
      </c>
      <c r="H147" s="7" t="s">
        <v>19</v>
      </c>
      <c r="I147" s="15" t="str">
        <f t="shared" si="10"/>
        <v>없음</v>
      </c>
      <c r="J147" s="8" t="s">
        <v>1025</v>
      </c>
      <c r="K147" s="3" t="s">
        <v>19</v>
      </c>
      <c r="L147" s="3" t="s">
        <v>19</v>
      </c>
      <c r="M147" s="3" t="s">
        <v>21</v>
      </c>
      <c r="N147" s="3" t="s">
        <v>22</v>
      </c>
      <c r="O147" s="13">
        <v>1886</v>
      </c>
      <c r="P147" s="11" t="str">
        <f t="shared" si="11"/>
        <v>03. 1,500㎡ 이상</v>
      </c>
      <c r="Q147" s="8" t="s">
        <v>23</v>
      </c>
      <c r="R147" s="3" t="s">
        <v>24</v>
      </c>
      <c r="S147" s="3" t="s">
        <v>19</v>
      </c>
    </row>
    <row r="148" spans="1:19" x14ac:dyDescent="0.4">
      <c r="A148" s="7">
        <v>147</v>
      </c>
      <c r="B148" s="8" t="s">
        <v>1026</v>
      </c>
      <c r="C148" s="19" t="str">
        <f t="shared" si="8"/>
        <v>경기도</v>
      </c>
      <c r="D148" s="17" t="str">
        <f t="shared" si="9"/>
        <v>가평군</v>
      </c>
      <c r="E148" s="8" t="s">
        <v>1027</v>
      </c>
      <c r="F148" s="3" t="s">
        <v>1028</v>
      </c>
      <c r="G148" s="3" t="s">
        <v>1024</v>
      </c>
      <c r="H148" s="7" t="s">
        <v>298</v>
      </c>
      <c r="I148" s="15" t="str">
        <f t="shared" si="10"/>
        <v>있음</v>
      </c>
      <c r="J148" s="8" t="s">
        <v>302</v>
      </c>
      <c r="K148" s="3" t="s">
        <v>19</v>
      </c>
      <c r="L148" s="3" t="s">
        <v>19</v>
      </c>
      <c r="M148" s="3" t="s">
        <v>21</v>
      </c>
      <c r="N148" s="3" t="s">
        <v>22</v>
      </c>
      <c r="O148" s="13">
        <v>324</v>
      </c>
      <c r="P148" s="11" t="str">
        <f t="shared" si="11"/>
        <v>01. 1,000㎡ 미만</v>
      </c>
      <c r="Q148" s="8" t="s">
        <v>23</v>
      </c>
      <c r="R148" s="3" t="s">
        <v>24</v>
      </c>
      <c r="S148" s="3" t="s">
        <v>19</v>
      </c>
    </row>
    <row r="149" spans="1:19" x14ac:dyDescent="0.4">
      <c r="A149" s="7">
        <v>148</v>
      </c>
      <c r="B149" s="8" t="s">
        <v>1041</v>
      </c>
      <c r="C149" s="19" t="str">
        <f t="shared" si="8"/>
        <v>경상북도</v>
      </c>
      <c r="D149" s="17" t="str">
        <f t="shared" si="9"/>
        <v>영덕군</v>
      </c>
      <c r="E149" s="8" t="s">
        <v>1042</v>
      </c>
      <c r="F149" s="3" t="s">
        <v>1043</v>
      </c>
      <c r="G149" s="3" t="s">
        <v>1044</v>
      </c>
      <c r="H149" s="7" t="s">
        <v>19</v>
      </c>
      <c r="I149" s="15" t="str">
        <f t="shared" si="10"/>
        <v>없음</v>
      </c>
      <c r="J149" s="8" t="s">
        <v>222</v>
      </c>
      <c r="K149" s="3" t="s">
        <v>19</v>
      </c>
      <c r="L149" s="3" t="s">
        <v>19</v>
      </c>
      <c r="M149" s="3" t="s">
        <v>21</v>
      </c>
      <c r="N149" s="3" t="s">
        <v>22</v>
      </c>
      <c r="O149" s="13">
        <v>1998</v>
      </c>
      <c r="P149" s="11" t="str">
        <f t="shared" si="11"/>
        <v>03. 1,500㎡ 이상</v>
      </c>
      <c r="Q149" s="8" t="s">
        <v>23</v>
      </c>
      <c r="R149" s="3" t="s">
        <v>24</v>
      </c>
      <c r="S149" s="3" t="s">
        <v>19</v>
      </c>
    </row>
    <row r="150" spans="1:19" x14ac:dyDescent="0.4">
      <c r="A150" s="7">
        <v>149</v>
      </c>
      <c r="B150" s="8" t="s">
        <v>1045</v>
      </c>
      <c r="C150" s="19" t="str">
        <f t="shared" si="8"/>
        <v>경기도</v>
      </c>
      <c r="D150" s="17" t="str">
        <f t="shared" si="9"/>
        <v>평택시</v>
      </c>
      <c r="E150" s="8" t="s">
        <v>1046</v>
      </c>
      <c r="F150" s="3" t="s">
        <v>1047</v>
      </c>
      <c r="G150" s="3" t="s">
        <v>1048</v>
      </c>
      <c r="H150" s="7" t="s">
        <v>1049</v>
      </c>
      <c r="I150" s="15" t="str">
        <f t="shared" si="10"/>
        <v>있음</v>
      </c>
      <c r="J150" s="8" t="s">
        <v>1050</v>
      </c>
      <c r="K150" s="3" t="s">
        <v>19</v>
      </c>
      <c r="L150" s="3" t="s">
        <v>19</v>
      </c>
      <c r="M150" s="3" t="s">
        <v>21</v>
      </c>
      <c r="N150" s="3" t="s">
        <v>22</v>
      </c>
      <c r="O150" s="13">
        <v>5834</v>
      </c>
      <c r="P150" s="11" t="str">
        <f t="shared" si="11"/>
        <v>04. 5,000㎡ 이상</v>
      </c>
      <c r="Q150" s="8" t="s">
        <v>23</v>
      </c>
      <c r="R150" s="3" t="s">
        <v>24</v>
      </c>
      <c r="S150" s="3" t="s">
        <v>19</v>
      </c>
    </row>
    <row r="151" spans="1:19" x14ac:dyDescent="0.4">
      <c r="A151" s="7">
        <v>150</v>
      </c>
      <c r="B151" s="8" t="s">
        <v>1051</v>
      </c>
      <c r="C151" s="19" t="str">
        <f t="shared" si="8"/>
        <v>충청북도</v>
      </c>
      <c r="D151" s="17" t="str">
        <f t="shared" si="9"/>
        <v>영동군</v>
      </c>
      <c r="E151" s="8" t="s">
        <v>1052</v>
      </c>
      <c r="F151" s="3" t="s">
        <v>1053</v>
      </c>
      <c r="G151" s="3" t="s">
        <v>1054</v>
      </c>
      <c r="H151" s="7" t="s">
        <v>19</v>
      </c>
      <c r="I151" s="15" t="str">
        <f t="shared" si="10"/>
        <v>없음</v>
      </c>
      <c r="J151" s="8" t="s">
        <v>234</v>
      </c>
      <c r="K151" s="3" t="s">
        <v>19</v>
      </c>
      <c r="L151" s="3" t="s">
        <v>19</v>
      </c>
      <c r="M151" s="3" t="s">
        <v>21</v>
      </c>
      <c r="N151" s="3" t="s">
        <v>22</v>
      </c>
      <c r="O151" s="13">
        <v>394</v>
      </c>
      <c r="P151" s="11" t="str">
        <f t="shared" si="11"/>
        <v>01. 1,000㎡ 미만</v>
      </c>
      <c r="Q151" s="8" t="s">
        <v>23</v>
      </c>
      <c r="R151" s="3" t="s">
        <v>24</v>
      </c>
      <c r="S151" s="3" t="s">
        <v>19</v>
      </c>
    </row>
    <row r="152" spans="1:19" x14ac:dyDescent="0.4">
      <c r="A152" s="7">
        <v>151</v>
      </c>
      <c r="B152" s="8" t="s">
        <v>1075</v>
      </c>
      <c r="C152" s="19" t="str">
        <f t="shared" si="8"/>
        <v>광주광역시</v>
      </c>
      <c r="D152" s="17" t="str">
        <f t="shared" si="9"/>
        <v>동구</v>
      </c>
      <c r="E152" s="8" t="s">
        <v>1076</v>
      </c>
      <c r="F152" s="3" t="s">
        <v>1077</v>
      </c>
      <c r="G152" s="3" t="s">
        <v>1078</v>
      </c>
      <c r="H152" s="7" t="s">
        <v>1079</v>
      </c>
      <c r="I152" s="15" t="str">
        <f t="shared" si="10"/>
        <v>있음</v>
      </c>
      <c r="J152" s="8" t="s">
        <v>1080</v>
      </c>
      <c r="K152" s="3" t="s">
        <v>1080</v>
      </c>
      <c r="L152" s="3" t="s">
        <v>19</v>
      </c>
      <c r="M152" s="3" t="s">
        <v>21</v>
      </c>
      <c r="N152" s="3" t="s">
        <v>22</v>
      </c>
      <c r="O152" s="13">
        <v>487</v>
      </c>
      <c r="P152" s="11" t="str">
        <f t="shared" si="11"/>
        <v>01. 1,000㎡ 미만</v>
      </c>
      <c r="Q152" s="8" t="s">
        <v>23</v>
      </c>
      <c r="R152" s="3" t="s">
        <v>24</v>
      </c>
      <c r="S152" s="3" t="s">
        <v>19</v>
      </c>
    </row>
    <row r="153" spans="1:19" x14ac:dyDescent="0.4">
      <c r="A153" s="7">
        <v>152</v>
      </c>
      <c r="B153" s="8" t="s">
        <v>1097</v>
      </c>
      <c r="C153" s="19" t="str">
        <f t="shared" si="8"/>
        <v>강원특별자치도</v>
      </c>
      <c r="D153" s="17" t="str">
        <f t="shared" si="9"/>
        <v>강릉시</v>
      </c>
      <c r="E153" s="8" t="s">
        <v>1098</v>
      </c>
      <c r="F153" s="3" t="s">
        <v>1099</v>
      </c>
      <c r="G153" s="3" t="s">
        <v>1100</v>
      </c>
      <c r="H153" s="7" t="s">
        <v>19</v>
      </c>
      <c r="I153" s="15" t="str">
        <f t="shared" si="10"/>
        <v>없음</v>
      </c>
      <c r="J153" s="8" t="s">
        <v>916</v>
      </c>
      <c r="K153" s="3" t="s">
        <v>19</v>
      </c>
      <c r="L153" s="3" t="s">
        <v>19</v>
      </c>
      <c r="M153" s="3" t="s">
        <v>21</v>
      </c>
      <c r="N153" s="3" t="s">
        <v>22</v>
      </c>
      <c r="O153" s="13">
        <v>827</v>
      </c>
      <c r="P153" s="11" t="str">
        <f t="shared" si="11"/>
        <v>01. 1,000㎡ 미만</v>
      </c>
      <c r="Q153" s="8" t="s">
        <v>23</v>
      </c>
      <c r="R153" s="3" t="s">
        <v>24</v>
      </c>
      <c r="S153" s="3" t="s">
        <v>19</v>
      </c>
    </row>
    <row r="154" spans="1:19" x14ac:dyDescent="0.4">
      <c r="A154" s="7">
        <v>153</v>
      </c>
      <c r="B154" s="8" t="s">
        <v>1111</v>
      </c>
      <c r="C154" s="19" t="str">
        <f t="shared" si="8"/>
        <v>전북특별자치도</v>
      </c>
      <c r="D154" s="17" t="str">
        <f t="shared" si="9"/>
        <v>완주군</v>
      </c>
      <c r="E154" s="8" t="s">
        <v>1112</v>
      </c>
      <c r="F154" s="3" t="s">
        <v>1113</v>
      </c>
      <c r="G154" s="3" t="s">
        <v>1114</v>
      </c>
      <c r="H154" s="7" t="s">
        <v>19</v>
      </c>
      <c r="I154" s="15" t="str">
        <f t="shared" si="10"/>
        <v>없음</v>
      </c>
      <c r="J154" s="8" t="s">
        <v>1115</v>
      </c>
      <c r="K154" s="3" t="s">
        <v>19</v>
      </c>
      <c r="L154" s="3" t="s">
        <v>19</v>
      </c>
      <c r="M154" s="3" t="s">
        <v>21</v>
      </c>
      <c r="N154" s="3" t="s">
        <v>22</v>
      </c>
      <c r="O154" s="13">
        <v>2499</v>
      </c>
      <c r="P154" s="11" t="str">
        <f t="shared" si="11"/>
        <v>03. 1,500㎡ 이상</v>
      </c>
      <c r="Q154" s="8" t="s">
        <v>23</v>
      </c>
      <c r="R154" s="3" t="s">
        <v>24</v>
      </c>
      <c r="S154" s="3" t="s">
        <v>19</v>
      </c>
    </row>
    <row r="155" spans="1:19" x14ac:dyDescent="0.4">
      <c r="A155" s="7">
        <v>154</v>
      </c>
      <c r="B155" s="8" t="s">
        <v>1116</v>
      </c>
      <c r="C155" s="19" t="str">
        <f t="shared" si="8"/>
        <v>충청남도</v>
      </c>
      <c r="D155" s="17" t="str">
        <f t="shared" si="9"/>
        <v>천안시</v>
      </c>
      <c r="E155" s="8" t="s">
        <v>1117</v>
      </c>
      <c r="F155" s="3" t="s">
        <v>1118</v>
      </c>
      <c r="G155" s="3" t="s">
        <v>1119</v>
      </c>
      <c r="H155" s="7" t="s">
        <v>19</v>
      </c>
      <c r="I155" s="15" t="str">
        <f t="shared" si="10"/>
        <v>없음</v>
      </c>
      <c r="J155" s="8" t="s">
        <v>1120</v>
      </c>
      <c r="K155" s="3" t="s">
        <v>19</v>
      </c>
      <c r="L155" s="3" t="s">
        <v>19</v>
      </c>
      <c r="M155" s="3" t="s">
        <v>21</v>
      </c>
      <c r="N155" s="3" t="s">
        <v>22</v>
      </c>
      <c r="O155" s="13">
        <v>734</v>
      </c>
      <c r="P155" s="11" t="str">
        <f t="shared" si="11"/>
        <v>01. 1,000㎡ 미만</v>
      </c>
      <c r="Q155" s="8" t="s">
        <v>23</v>
      </c>
      <c r="R155" s="3" t="s">
        <v>24</v>
      </c>
      <c r="S155" s="3" t="s">
        <v>19</v>
      </c>
    </row>
    <row r="156" spans="1:19" x14ac:dyDescent="0.4">
      <c r="A156" s="7">
        <v>155</v>
      </c>
      <c r="B156" s="8" t="s">
        <v>1121</v>
      </c>
      <c r="C156" s="19" t="str">
        <f t="shared" si="8"/>
        <v>제주특별자치도</v>
      </c>
      <c r="D156" s="17" t="str">
        <f t="shared" si="9"/>
        <v>제주시</v>
      </c>
      <c r="E156" s="8" t="s">
        <v>1122</v>
      </c>
      <c r="F156" s="3" t="s">
        <v>1118</v>
      </c>
      <c r="G156" s="3" t="s">
        <v>1119</v>
      </c>
      <c r="H156" s="7" t="s">
        <v>19</v>
      </c>
      <c r="I156" s="15" t="str">
        <f t="shared" si="10"/>
        <v>없음</v>
      </c>
      <c r="J156" s="8" t="s">
        <v>1123</v>
      </c>
      <c r="K156" s="3" t="s">
        <v>19</v>
      </c>
      <c r="L156" s="3" t="s">
        <v>19</v>
      </c>
      <c r="M156" s="3" t="s">
        <v>21</v>
      </c>
      <c r="N156" s="3" t="s">
        <v>147</v>
      </c>
      <c r="O156" s="13">
        <v>2045</v>
      </c>
      <c r="P156" s="11" t="str">
        <f t="shared" si="11"/>
        <v>03. 1,500㎡ 이상</v>
      </c>
      <c r="Q156" s="8" t="s">
        <v>23</v>
      </c>
      <c r="R156" s="3" t="s">
        <v>24</v>
      </c>
      <c r="S156" s="3" t="s">
        <v>19</v>
      </c>
    </row>
    <row r="157" spans="1:19" x14ac:dyDescent="0.4">
      <c r="A157" s="7">
        <v>156</v>
      </c>
      <c r="B157" s="8" t="s">
        <v>1124</v>
      </c>
      <c r="C157" s="19" t="str">
        <f t="shared" si="8"/>
        <v>경상북도</v>
      </c>
      <c r="D157" s="17" t="str">
        <f t="shared" si="9"/>
        <v>울릉군</v>
      </c>
      <c r="E157" s="8" t="s">
        <v>1125</v>
      </c>
      <c r="F157" s="3" t="s">
        <v>181</v>
      </c>
      <c r="G157" s="3" t="s">
        <v>1126</v>
      </c>
      <c r="H157" s="7" t="s">
        <v>1127</v>
      </c>
      <c r="I157" s="15" t="str">
        <f t="shared" si="10"/>
        <v>있음</v>
      </c>
      <c r="J157" s="8" t="s">
        <v>743</v>
      </c>
      <c r="K157" s="3" t="s">
        <v>743</v>
      </c>
      <c r="L157" s="3" t="s">
        <v>19</v>
      </c>
      <c r="M157" s="3" t="s">
        <v>21</v>
      </c>
      <c r="N157" s="3" t="s">
        <v>22</v>
      </c>
      <c r="O157" s="13">
        <v>288</v>
      </c>
      <c r="P157" s="11" t="str">
        <f t="shared" si="11"/>
        <v>01. 1,000㎡ 미만</v>
      </c>
      <c r="Q157" s="8" t="s">
        <v>23</v>
      </c>
      <c r="R157" s="3" t="s">
        <v>24</v>
      </c>
      <c r="S157" s="3" t="s">
        <v>19</v>
      </c>
    </row>
    <row r="158" spans="1:19" x14ac:dyDescent="0.4">
      <c r="A158" s="7">
        <v>157</v>
      </c>
      <c r="B158" s="8" t="s">
        <v>1128</v>
      </c>
      <c r="C158" s="19" t="str">
        <f t="shared" si="8"/>
        <v>강원특별자치도</v>
      </c>
      <c r="D158" s="17" t="str">
        <f t="shared" si="9"/>
        <v>고성군</v>
      </c>
      <c r="E158" s="8" t="s">
        <v>1129</v>
      </c>
      <c r="F158" s="3" t="s">
        <v>1130</v>
      </c>
      <c r="G158" s="3" t="s">
        <v>1126</v>
      </c>
      <c r="H158" s="7" t="s">
        <v>1131</v>
      </c>
      <c r="I158" s="15" t="str">
        <f t="shared" si="10"/>
        <v>있음</v>
      </c>
      <c r="J158" s="8" t="s">
        <v>128</v>
      </c>
      <c r="K158" s="3" t="s">
        <v>19</v>
      </c>
      <c r="L158" s="3" t="s">
        <v>19</v>
      </c>
      <c r="M158" s="3" t="s">
        <v>21</v>
      </c>
      <c r="N158" s="3" t="s">
        <v>22</v>
      </c>
      <c r="O158" s="13">
        <v>910</v>
      </c>
      <c r="P158" s="11" t="str">
        <f t="shared" si="11"/>
        <v>01. 1,000㎡ 미만</v>
      </c>
      <c r="Q158" s="8" t="s">
        <v>23</v>
      </c>
      <c r="R158" s="3" t="s">
        <v>24</v>
      </c>
      <c r="S158" s="3" t="s">
        <v>19</v>
      </c>
    </row>
    <row r="159" spans="1:19" x14ac:dyDescent="0.4">
      <c r="A159" s="7">
        <v>158</v>
      </c>
      <c r="B159" s="8" t="s">
        <v>1132</v>
      </c>
      <c r="C159" s="19" t="str">
        <f t="shared" si="8"/>
        <v>제주특별자치도</v>
      </c>
      <c r="D159" s="17" t="str">
        <f t="shared" si="9"/>
        <v>제주시</v>
      </c>
      <c r="E159" s="8" t="s">
        <v>1133</v>
      </c>
      <c r="F159" s="3" t="s">
        <v>1134</v>
      </c>
      <c r="G159" s="3" t="s">
        <v>1126</v>
      </c>
      <c r="H159" s="7" t="s">
        <v>1135</v>
      </c>
      <c r="I159" s="15" t="str">
        <f t="shared" si="10"/>
        <v>있음</v>
      </c>
      <c r="J159" s="8" t="s">
        <v>1136</v>
      </c>
      <c r="K159" s="3" t="s">
        <v>1136</v>
      </c>
      <c r="L159" s="3" t="s">
        <v>1137</v>
      </c>
      <c r="M159" s="3" t="s">
        <v>21</v>
      </c>
      <c r="N159" s="3" t="s">
        <v>22</v>
      </c>
      <c r="O159" s="13">
        <v>996</v>
      </c>
      <c r="P159" s="11" t="str">
        <f t="shared" si="11"/>
        <v>01. 1,000㎡ 미만</v>
      </c>
      <c r="Q159" s="8" t="s">
        <v>23</v>
      </c>
      <c r="R159" s="3" t="s">
        <v>24</v>
      </c>
      <c r="S159" s="3" t="s">
        <v>19</v>
      </c>
    </row>
    <row r="160" spans="1:19" x14ac:dyDescent="0.4">
      <c r="A160" s="7">
        <v>159</v>
      </c>
      <c r="B160" s="8" t="s">
        <v>1138</v>
      </c>
      <c r="C160" s="19" t="str">
        <f t="shared" si="8"/>
        <v>경상북도</v>
      </c>
      <c r="D160" s="17" t="str">
        <f t="shared" si="9"/>
        <v>울릉군</v>
      </c>
      <c r="E160" s="8" t="s">
        <v>1139</v>
      </c>
      <c r="F160" s="3" t="s">
        <v>1140</v>
      </c>
      <c r="G160" s="3" t="s">
        <v>1141</v>
      </c>
      <c r="H160" s="7" t="s">
        <v>1127</v>
      </c>
      <c r="I160" s="15" t="str">
        <f t="shared" si="10"/>
        <v>있음</v>
      </c>
      <c r="J160" s="8" t="s">
        <v>743</v>
      </c>
      <c r="K160" s="3" t="s">
        <v>19</v>
      </c>
      <c r="L160" s="3" t="s">
        <v>19</v>
      </c>
      <c r="M160" s="3" t="s">
        <v>21</v>
      </c>
      <c r="N160" s="3" t="s">
        <v>22</v>
      </c>
      <c r="O160" s="13">
        <v>959</v>
      </c>
      <c r="P160" s="11" t="str">
        <f t="shared" si="11"/>
        <v>01. 1,000㎡ 미만</v>
      </c>
      <c r="Q160" s="8" t="s">
        <v>23</v>
      </c>
      <c r="R160" s="3" t="s">
        <v>24</v>
      </c>
      <c r="S160" s="3" t="s">
        <v>19</v>
      </c>
    </row>
    <row r="161" spans="1:19" x14ac:dyDescent="0.4">
      <c r="A161" s="7">
        <v>160</v>
      </c>
      <c r="B161" s="8" t="s">
        <v>1142</v>
      </c>
      <c r="C161" s="19" t="str">
        <f t="shared" si="8"/>
        <v>강원특별자치도</v>
      </c>
      <c r="D161" s="17" t="str">
        <f t="shared" si="9"/>
        <v>평창군</v>
      </c>
      <c r="E161" s="8" t="s">
        <v>1143</v>
      </c>
      <c r="F161" s="3" t="s">
        <v>1144</v>
      </c>
      <c r="G161" s="3" t="s">
        <v>1141</v>
      </c>
      <c r="H161" s="7" t="s">
        <v>1145</v>
      </c>
      <c r="I161" s="15" t="str">
        <f t="shared" si="10"/>
        <v>있음</v>
      </c>
      <c r="J161" s="8" t="s">
        <v>19</v>
      </c>
      <c r="K161" s="3" t="s">
        <v>19</v>
      </c>
      <c r="L161" s="3" t="s">
        <v>19</v>
      </c>
      <c r="M161" s="3" t="s">
        <v>21</v>
      </c>
      <c r="N161" s="3" t="s">
        <v>22</v>
      </c>
      <c r="O161" s="13">
        <v>393</v>
      </c>
      <c r="P161" s="11" t="str">
        <f t="shared" si="11"/>
        <v>01. 1,000㎡ 미만</v>
      </c>
      <c r="Q161" s="8" t="s">
        <v>23</v>
      </c>
      <c r="R161" s="3" t="s">
        <v>24</v>
      </c>
      <c r="S161" s="3" t="s">
        <v>19</v>
      </c>
    </row>
    <row r="162" spans="1:19" x14ac:dyDescent="0.4">
      <c r="A162" s="7">
        <v>161</v>
      </c>
      <c r="B162" s="8" t="s">
        <v>1146</v>
      </c>
      <c r="C162" s="19" t="str">
        <f t="shared" si="8"/>
        <v>강원특별자치도</v>
      </c>
      <c r="D162" s="17" t="str">
        <f t="shared" si="9"/>
        <v>고성군</v>
      </c>
      <c r="E162" s="8" t="s">
        <v>1147</v>
      </c>
      <c r="F162" s="3" t="s">
        <v>1148</v>
      </c>
      <c r="G162" s="3" t="s">
        <v>1141</v>
      </c>
      <c r="H162" s="7" t="s">
        <v>1149</v>
      </c>
      <c r="I162" s="15" t="str">
        <f t="shared" si="10"/>
        <v>있음</v>
      </c>
      <c r="J162" s="8" t="s">
        <v>128</v>
      </c>
      <c r="K162" s="3" t="s">
        <v>19</v>
      </c>
      <c r="L162" s="3" t="s">
        <v>19</v>
      </c>
      <c r="M162" s="3" t="s">
        <v>21</v>
      </c>
      <c r="N162" s="3" t="s">
        <v>22</v>
      </c>
      <c r="O162" s="13">
        <v>743</v>
      </c>
      <c r="P162" s="11" t="str">
        <f t="shared" si="11"/>
        <v>01. 1,000㎡ 미만</v>
      </c>
      <c r="Q162" s="8" t="s">
        <v>211</v>
      </c>
      <c r="R162" s="3" t="s">
        <v>24</v>
      </c>
      <c r="S162" s="3" t="s">
        <v>19</v>
      </c>
    </row>
    <row r="163" spans="1:19" x14ac:dyDescent="0.4">
      <c r="A163" s="7">
        <v>162</v>
      </c>
      <c r="B163" s="8" t="s">
        <v>1150</v>
      </c>
      <c r="C163" s="19" t="str">
        <f t="shared" si="8"/>
        <v>강원특별자치도</v>
      </c>
      <c r="D163" s="17" t="str">
        <f t="shared" si="9"/>
        <v>고성군</v>
      </c>
      <c r="E163" s="8" t="s">
        <v>1151</v>
      </c>
      <c r="F163" s="3" t="s">
        <v>1152</v>
      </c>
      <c r="G163" s="3" t="s">
        <v>1153</v>
      </c>
      <c r="H163" s="7" t="s">
        <v>1154</v>
      </c>
      <c r="I163" s="15" t="str">
        <f t="shared" si="10"/>
        <v>있음</v>
      </c>
      <c r="J163" s="8" t="s">
        <v>1155</v>
      </c>
      <c r="K163" s="3" t="s">
        <v>1156</v>
      </c>
      <c r="L163" s="3" t="s">
        <v>19</v>
      </c>
      <c r="M163" s="3" t="s">
        <v>21</v>
      </c>
      <c r="N163" s="3" t="s">
        <v>22</v>
      </c>
      <c r="O163" s="13">
        <v>708</v>
      </c>
      <c r="P163" s="11" t="str">
        <f t="shared" si="11"/>
        <v>01. 1,000㎡ 미만</v>
      </c>
      <c r="Q163" s="8" t="s">
        <v>23</v>
      </c>
      <c r="R163" s="3" t="s">
        <v>24</v>
      </c>
      <c r="S163" s="3" t="s">
        <v>19</v>
      </c>
    </row>
    <row r="164" spans="1:19" x14ac:dyDescent="0.4">
      <c r="A164" s="7">
        <v>163</v>
      </c>
      <c r="B164" s="8" t="s">
        <v>1168</v>
      </c>
      <c r="C164" s="19" t="str">
        <f t="shared" si="8"/>
        <v>강원특별자치도</v>
      </c>
      <c r="D164" s="17" t="str">
        <f t="shared" si="9"/>
        <v>홍천군</v>
      </c>
      <c r="E164" s="8" t="s">
        <v>207</v>
      </c>
      <c r="F164" s="3" t="s">
        <v>1169</v>
      </c>
      <c r="G164" s="3" t="s">
        <v>1170</v>
      </c>
      <c r="H164" s="7" t="s">
        <v>19</v>
      </c>
      <c r="I164" s="15" t="str">
        <f t="shared" si="10"/>
        <v>없음</v>
      </c>
      <c r="J164" s="8" t="s">
        <v>210</v>
      </c>
      <c r="K164" s="3" t="s">
        <v>19</v>
      </c>
      <c r="L164" s="3" t="s">
        <v>19</v>
      </c>
      <c r="M164" s="3" t="s">
        <v>21</v>
      </c>
      <c r="N164" s="3" t="s">
        <v>22</v>
      </c>
      <c r="O164" s="13">
        <v>97</v>
      </c>
      <c r="P164" s="11" t="str">
        <f t="shared" si="11"/>
        <v>01. 1,000㎡ 미만</v>
      </c>
      <c r="Q164" s="8" t="s">
        <v>211</v>
      </c>
      <c r="R164" s="3" t="s">
        <v>24</v>
      </c>
      <c r="S164" s="3" t="s">
        <v>19</v>
      </c>
    </row>
    <row r="165" spans="1:19" x14ac:dyDescent="0.4">
      <c r="A165" s="7">
        <v>164</v>
      </c>
      <c r="B165" s="8" t="s">
        <v>1171</v>
      </c>
      <c r="C165" s="19" t="str">
        <f t="shared" si="8"/>
        <v>경기도</v>
      </c>
      <c r="D165" s="17" t="str">
        <f t="shared" si="9"/>
        <v>포천시</v>
      </c>
      <c r="E165" s="8" t="s">
        <v>1172</v>
      </c>
      <c r="F165" s="3" t="s">
        <v>1173</v>
      </c>
      <c r="G165" s="3" t="s">
        <v>1174</v>
      </c>
      <c r="H165" s="7" t="s">
        <v>19</v>
      </c>
      <c r="I165" s="15" t="str">
        <f t="shared" si="10"/>
        <v>없음</v>
      </c>
      <c r="J165" s="8" t="s">
        <v>19</v>
      </c>
      <c r="K165" s="3" t="s">
        <v>19</v>
      </c>
      <c r="L165" s="3" t="s">
        <v>1175</v>
      </c>
      <c r="M165" s="3" t="s">
        <v>21</v>
      </c>
      <c r="N165" s="3" t="s">
        <v>22</v>
      </c>
      <c r="O165" s="13">
        <v>1676</v>
      </c>
      <c r="P165" s="11" t="str">
        <f t="shared" si="11"/>
        <v>03. 1,500㎡ 이상</v>
      </c>
      <c r="Q165" s="8" t="s">
        <v>23</v>
      </c>
      <c r="R165" s="3" t="s">
        <v>24</v>
      </c>
      <c r="S165" s="3" t="s">
        <v>19</v>
      </c>
    </row>
    <row r="166" spans="1:19" x14ac:dyDescent="0.4">
      <c r="A166" s="7">
        <v>165</v>
      </c>
      <c r="B166" s="8" t="s">
        <v>1176</v>
      </c>
      <c r="C166" s="19" t="str">
        <f t="shared" si="8"/>
        <v>경기도</v>
      </c>
      <c r="D166" s="17" t="str">
        <f t="shared" si="9"/>
        <v>가평군</v>
      </c>
      <c r="E166" s="8" t="s">
        <v>1177</v>
      </c>
      <c r="F166" s="3" t="s">
        <v>1178</v>
      </c>
      <c r="G166" s="3" t="s">
        <v>1008</v>
      </c>
      <c r="H166" s="7" t="s">
        <v>19</v>
      </c>
      <c r="I166" s="15" t="str">
        <f t="shared" si="10"/>
        <v>없음</v>
      </c>
      <c r="J166" s="8" t="s">
        <v>302</v>
      </c>
      <c r="K166" s="3" t="s">
        <v>19</v>
      </c>
      <c r="L166" s="3" t="s">
        <v>19</v>
      </c>
      <c r="M166" s="3" t="s">
        <v>21</v>
      </c>
      <c r="N166" s="3" t="s">
        <v>22</v>
      </c>
      <c r="O166" s="13">
        <v>609</v>
      </c>
      <c r="P166" s="11" t="str">
        <f t="shared" si="11"/>
        <v>01. 1,000㎡ 미만</v>
      </c>
      <c r="Q166" s="8" t="s">
        <v>129</v>
      </c>
      <c r="R166" s="3" t="s">
        <v>24</v>
      </c>
      <c r="S166" s="3" t="s">
        <v>19</v>
      </c>
    </row>
    <row r="167" spans="1:19" x14ac:dyDescent="0.4">
      <c r="A167" s="7">
        <v>166</v>
      </c>
      <c r="B167" s="8" t="s">
        <v>1186</v>
      </c>
      <c r="C167" s="19" t="str">
        <f t="shared" si="8"/>
        <v>인천광역시</v>
      </c>
      <c r="D167" s="17" t="str">
        <f t="shared" si="9"/>
        <v>강화군</v>
      </c>
      <c r="E167" s="8" t="s">
        <v>1187</v>
      </c>
      <c r="F167" s="3" t="s">
        <v>1188</v>
      </c>
      <c r="G167" s="3" t="s">
        <v>1063</v>
      </c>
      <c r="H167" s="7" t="s">
        <v>19</v>
      </c>
      <c r="I167" s="15" t="str">
        <f t="shared" si="10"/>
        <v>없음</v>
      </c>
      <c r="J167" s="8" t="s">
        <v>1189</v>
      </c>
      <c r="K167" s="3" t="s">
        <v>19</v>
      </c>
      <c r="L167" s="3" t="s">
        <v>19</v>
      </c>
      <c r="M167" s="3" t="s">
        <v>21</v>
      </c>
      <c r="N167" s="3" t="s">
        <v>22</v>
      </c>
      <c r="O167" s="13">
        <v>199</v>
      </c>
      <c r="P167" s="11" t="str">
        <f t="shared" si="11"/>
        <v>01. 1,000㎡ 미만</v>
      </c>
      <c r="Q167" s="8" t="s">
        <v>23</v>
      </c>
      <c r="R167" s="3" t="s">
        <v>24</v>
      </c>
      <c r="S167" s="3" t="s">
        <v>19</v>
      </c>
    </row>
    <row r="168" spans="1:19" x14ac:dyDescent="0.4">
      <c r="A168" s="7">
        <v>167</v>
      </c>
      <c r="B168" s="8" t="s">
        <v>1190</v>
      </c>
      <c r="C168" s="19" t="str">
        <f t="shared" si="8"/>
        <v>충청남도</v>
      </c>
      <c r="D168" s="17" t="str">
        <f t="shared" si="9"/>
        <v>서산시</v>
      </c>
      <c r="E168" s="8" t="s">
        <v>1191</v>
      </c>
      <c r="F168" s="3" t="s">
        <v>1192</v>
      </c>
      <c r="G168" s="3" t="s">
        <v>1193</v>
      </c>
      <c r="H168" s="7" t="s">
        <v>19</v>
      </c>
      <c r="I168" s="15" t="str">
        <f t="shared" si="10"/>
        <v>없음</v>
      </c>
      <c r="J168" s="8" t="s">
        <v>1194</v>
      </c>
      <c r="K168" s="3" t="s">
        <v>19</v>
      </c>
      <c r="L168" s="3" t="s">
        <v>19</v>
      </c>
      <c r="M168" s="3" t="s">
        <v>21</v>
      </c>
      <c r="N168" s="3" t="s">
        <v>22</v>
      </c>
      <c r="O168" s="13">
        <v>528</v>
      </c>
      <c r="P168" s="11" t="str">
        <f t="shared" si="11"/>
        <v>01. 1,000㎡ 미만</v>
      </c>
      <c r="Q168" s="8" t="s">
        <v>123</v>
      </c>
      <c r="R168" s="3" t="s">
        <v>24</v>
      </c>
      <c r="S168" s="3" t="s">
        <v>19</v>
      </c>
    </row>
    <row r="169" spans="1:19" x14ac:dyDescent="0.4">
      <c r="A169" s="7">
        <v>168</v>
      </c>
      <c r="B169" s="8" t="s">
        <v>1198</v>
      </c>
      <c r="C169" s="19" t="str">
        <f t="shared" si="8"/>
        <v>전라남도</v>
      </c>
      <c r="D169" s="17" t="str">
        <f t="shared" si="9"/>
        <v>여수시</v>
      </c>
      <c r="E169" s="8" t="s">
        <v>1199</v>
      </c>
      <c r="F169" s="3" t="s">
        <v>1200</v>
      </c>
      <c r="G169" s="3" t="s">
        <v>1201</v>
      </c>
      <c r="H169" s="7" t="s">
        <v>19</v>
      </c>
      <c r="I169" s="15" t="str">
        <f t="shared" si="10"/>
        <v>없음</v>
      </c>
      <c r="J169" s="8" t="s">
        <v>1202</v>
      </c>
      <c r="K169" s="3" t="s">
        <v>19</v>
      </c>
      <c r="L169" s="3" t="s">
        <v>1203</v>
      </c>
      <c r="M169" s="3" t="s">
        <v>21</v>
      </c>
      <c r="N169" s="3" t="s">
        <v>22</v>
      </c>
      <c r="O169" s="13">
        <v>3741</v>
      </c>
      <c r="P169" s="11" t="str">
        <f t="shared" si="11"/>
        <v>03. 1,500㎡ 이상</v>
      </c>
      <c r="Q169" s="8" t="s">
        <v>23</v>
      </c>
      <c r="R169" s="3" t="s">
        <v>24</v>
      </c>
      <c r="S169" s="3" t="s">
        <v>19</v>
      </c>
    </row>
    <row r="170" spans="1:19" x14ac:dyDescent="0.4">
      <c r="A170" s="7">
        <v>169</v>
      </c>
      <c r="B170" s="8" t="s">
        <v>1216</v>
      </c>
      <c r="C170" s="19" t="str">
        <f t="shared" si="8"/>
        <v>경상북도</v>
      </c>
      <c r="D170" s="17" t="str">
        <f t="shared" si="9"/>
        <v>경주시</v>
      </c>
      <c r="E170" s="8" t="s">
        <v>1217</v>
      </c>
      <c r="F170" s="3" t="s">
        <v>1218</v>
      </c>
      <c r="G170" s="3" t="s">
        <v>1219</v>
      </c>
      <c r="H170" s="7" t="s">
        <v>19</v>
      </c>
      <c r="I170" s="15" t="str">
        <f t="shared" si="10"/>
        <v>없음</v>
      </c>
      <c r="J170" s="8" t="s">
        <v>1220</v>
      </c>
      <c r="K170" s="3" t="s">
        <v>19</v>
      </c>
      <c r="L170" s="3" t="s">
        <v>1221</v>
      </c>
      <c r="M170" s="3" t="s">
        <v>21</v>
      </c>
      <c r="N170" s="3" t="s">
        <v>22</v>
      </c>
      <c r="O170" s="13">
        <v>6591</v>
      </c>
      <c r="P170" s="11" t="str">
        <f t="shared" si="11"/>
        <v>04. 5,000㎡ 이상</v>
      </c>
      <c r="Q170" s="8" t="s">
        <v>23</v>
      </c>
      <c r="R170" s="3" t="s">
        <v>24</v>
      </c>
      <c r="S170" s="3" t="s">
        <v>19</v>
      </c>
    </row>
    <row r="171" spans="1:19" x14ac:dyDescent="0.4">
      <c r="A171" s="7">
        <v>170</v>
      </c>
      <c r="B171" s="8" t="s">
        <v>1227</v>
      </c>
      <c r="C171" s="19" t="str">
        <f t="shared" si="8"/>
        <v>경기도</v>
      </c>
      <c r="D171" s="17" t="str">
        <f t="shared" si="9"/>
        <v>양평군</v>
      </c>
      <c r="E171" s="8" t="s">
        <v>1228</v>
      </c>
      <c r="F171" s="3" t="s">
        <v>1229</v>
      </c>
      <c r="G171" s="3" t="s">
        <v>1224</v>
      </c>
      <c r="H171" s="7" t="s">
        <v>1230</v>
      </c>
      <c r="I171" s="15" t="str">
        <f t="shared" si="10"/>
        <v>있음</v>
      </c>
      <c r="J171" s="8" t="s">
        <v>323</v>
      </c>
      <c r="K171" s="3" t="s">
        <v>1231</v>
      </c>
      <c r="L171" s="3" t="s">
        <v>1232</v>
      </c>
      <c r="M171" s="3" t="s">
        <v>21</v>
      </c>
      <c r="N171" s="3" t="s">
        <v>22</v>
      </c>
      <c r="O171" s="13">
        <v>2146</v>
      </c>
      <c r="P171" s="11" t="str">
        <f t="shared" si="11"/>
        <v>03. 1,500㎡ 이상</v>
      </c>
      <c r="Q171" s="8" t="s">
        <v>23</v>
      </c>
      <c r="R171" s="3" t="s">
        <v>24</v>
      </c>
      <c r="S171" s="3" t="s">
        <v>19</v>
      </c>
    </row>
    <row r="172" spans="1:19" x14ac:dyDescent="0.4">
      <c r="A172" s="7">
        <v>171</v>
      </c>
      <c r="B172" s="8" t="s">
        <v>1233</v>
      </c>
      <c r="C172" s="19" t="str">
        <f t="shared" si="8"/>
        <v>경기도</v>
      </c>
      <c r="D172" s="17" t="str">
        <f t="shared" si="9"/>
        <v>가평군</v>
      </c>
      <c r="E172" s="8" t="s">
        <v>1234</v>
      </c>
      <c r="F172" s="3" t="s">
        <v>1235</v>
      </c>
      <c r="G172" s="3" t="s">
        <v>1236</v>
      </c>
      <c r="H172" s="7" t="s">
        <v>19</v>
      </c>
      <c r="I172" s="15" t="str">
        <f t="shared" si="10"/>
        <v>없음</v>
      </c>
      <c r="J172" s="8" t="s">
        <v>1237</v>
      </c>
      <c r="K172" s="3" t="s">
        <v>19</v>
      </c>
      <c r="L172" s="3" t="s">
        <v>19</v>
      </c>
      <c r="M172" s="3" t="s">
        <v>1238</v>
      </c>
      <c r="N172" s="3" t="s">
        <v>22</v>
      </c>
      <c r="O172" s="13">
        <v>849</v>
      </c>
      <c r="P172" s="11" t="str">
        <f t="shared" si="11"/>
        <v>01. 1,000㎡ 미만</v>
      </c>
      <c r="Q172" s="8" t="s">
        <v>129</v>
      </c>
      <c r="R172" s="3" t="s">
        <v>24</v>
      </c>
      <c r="S172" s="3" t="s">
        <v>19</v>
      </c>
    </row>
    <row r="173" spans="1:19" x14ac:dyDescent="0.4">
      <c r="A173" s="7">
        <v>172</v>
      </c>
      <c r="B173" s="8" t="s">
        <v>1249</v>
      </c>
      <c r="C173" s="19" t="str">
        <f t="shared" si="8"/>
        <v>경기도</v>
      </c>
      <c r="D173" s="17" t="str">
        <f t="shared" si="9"/>
        <v>가평군</v>
      </c>
      <c r="E173" s="8" t="s">
        <v>1250</v>
      </c>
      <c r="F173" s="3" t="s">
        <v>1251</v>
      </c>
      <c r="G173" s="3" t="s">
        <v>1252</v>
      </c>
      <c r="H173" s="7" t="s">
        <v>19</v>
      </c>
      <c r="I173" s="15" t="str">
        <f t="shared" si="10"/>
        <v>없음</v>
      </c>
      <c r="J173" s="8" t="s">
        <v>953</v>
      </c>
      <c r="K173" s="3" t="s">
        <v>19</v>
      </c>
      <c r="L173" s="3" t="s">
        <v>19</v>
      </c>
      <c r="M173" s="3" t="s">
        <v>21</v>
      </c>
      <c r="N173" s="3" t="s">
        <v>22</v>
      </c>
      <c r="O173" s="13">
        <v>274</v>
      </c>
      <c r="P173" s="11" t="str">
        <f t="shared" si="11"/>
        <v>01. 1,000㎡ 미만</v>
      </c>
      <c r="Q173" s="8" t="s">
        <v>23</v>
      </c>
      <c r="R173" s="3" t="s">
        <v>24</v>
      </c>
      <c r="S173" s="3" t="s">
        <v>19</v>
      </c>
    </row>
    <row r="174" spans="1:19" x14ac:dyDescent="0.4">
      <c r="A174" s="7">
        <v>173</v>
      </c>
      <c r="B174" s="8" t="s">
        <v>1262</v>
      </c>
      <c r="C174" s="19" t="str">
        <f t="shared" si="8"/>
        <v>경기도</v>
      </c>
      <c r="D174" s="17" t="str">
        <f t="shared" si="9"/>
        <v>가평군</v>
      </c>
      <c r="E174" s="8" t="s">
        <v>1263</v>
      </c>
      <c r="F174" s="3" t="s">
        <v>1264</v>
      </c>
      <c r="G174" s="3" t="s">
        <v>305</v>
      </c>
      <c r="H174" s="7" t="s">
        <v>19</v>
      </c>
      <c r="I174" s="15" t="str">
        <f t="shared" si="10"/>
        <v>없음</v>
      </c>
      <c r="J174" s="8" t="s">
        <v>1265</v>
      </c>
      <c r="K174" s="3" t="s">
        <v>19</v>
      </c>
      <c r="L174" s="3" t="s">
        <v>19</v>
      </c>
      <c r="M174" s="3" t="s">
        <v>21</v>
      </c>
      <c r="N174" s="3" t="s">
        <v>22</v>
      </c>
      <c r="O174" s="13">
        <v>634</v>
      </c>
      <c r="P174" s="11" t="str">
        <f t="shared" si="11"/>
        <v>01. 1,000㎡ 미만</v>
      </c>
      <c r="Q174" s="8" t="s">
        <v>23</v>
      </c>
      <c r="R174" s="3" t="s">
        <v>24</v>
      </c>
      <c r="S174" s="3" t="s">
        <v>19</v>
      </c>
    </row>
    <row r="175" spans="1:19" x14ac:dyDescent="0.4">
      <c r="A175" s="7">
        <v>174</v>
      </c>
      <c r="B175" s="8" t="s">
        <v>1266</v>
      </c>
      <c r="C175" s="19" t="str">
        <f t="shared" si="8"/>
        <v>전라남도</v>
      </c>
      <c r="D175" s="17" t="str">
        <f t="shared" si="9"/>
        <v>신안군</v>
      </c>
      <c r="E175" s="8" t="s">
        <v>1267</v>
      </c>
      <c r="F175" s="3" t="s">
        <v>1268</v>
      </c>
      <c r="G175" s="3" t="s">
        <v>305</v>
      </c>
      <c r="H175" s="7" t="s">
        <v>1269</v>
      </c>
      <c r="I175" s="15" t="str">
        <f t="shared" si="10"/>
        <v>있음</v>
      </c>
      <c r="J175" s="8" t="s">
        <v>1269</v>
      </c>
      <c r="K175" s="3" t="s">
        <v>19</v>
      </c>
      <c r="L175" s="3" t="s">
        <v>19</v>
      </c>
      <c r="M175" s="3" t="s">
        <v>21</v>
      </c>
      <c r="N175" s="3" t="s">
        <v>22</v>
      </c>
      <c r="O175" s="13">
        <v>1343</v>
      </c>
      <c r="P175" s="11" t="str">
        <f t="shared" si="11"/>
        <v>02. 1,000㎡ 이상</v>
      </c>
      <c r="Q175" s="8" t="s">
        <v>23</v>
      </c>
      <c r="R175" s="3" t="s">
        <v>24</v>
      </c>
      <c r="S175" s="3" t="s">
        <v>19</v>
      </c>
    </row>
    <row r="176" spans="1:19" x14ac:dyDescent="0.4">
      <c r="A176" s="7">
        <v>175</v>
      </c>
      <c r="B176" s="8" t="s">
        <v>1270</v>
      </c>
      <c r="C176" s="19" t="str">
        <f t="shared" si="8"/>
        <v>강원특별자치도</v>
      </c>
      <c r="D176" s="17" t="str">
        <f t="shared" si="9"/>
        <v>춘천시</v>
      </c>
      <c r="E176" s="8" t="s">
        <v>1271</v>
      </c>
      <c r="F176" s="3" t="s">
        <v>1264</v>
      </c>
      <c r="G176" s="3" t="s">
        <v>305</v>
      </c>
      <c r="H176" s="7" t="s">
        <v>19</v>
      </c>
      <c r="I176" s="15" t="str">
        <f t="shared" si="10"/>
        <v>없음</v>
      </c>
      <c r="J176" s="8" t="s">
        <v>1272</v>
      </c>
      <c r="K176" s="3" t="s">
        <v>19</v>
      </c>
      <c r="L176" s="3" t="s">
        <v>1273</v>
      </c>
      <c r="M176" s="3" t="s">
        <v>21</v>
      </c>
      <c r="N176" s="3" t="s">
        <v>22</v>
      </c>
      <c r="O176" s="13">
        <v>9425</v>
      </c>
      <c r="P176" s="11" t="str">
        <f t="shared" si="11"/>
        <v>04. 5,000㎡ 이상</v>
      </c>
      <c r="Q176" s="8" t="s">
        <v>23</v>
      </c>
      <c r="R176" s="3" t="s">
        <v>24</v>
      </c>
      <c r="S176" s="3" t="s">
        <v>19</v>
      </c>
    </row>
    <row r="177" spans="1:19" x14ac:dyDescent="0.4">
      <c r="A177" s="7">
        <v>176</v>
      </c>
      <c r="B177" s="8" t="s">
        <v>1274</v>
      </c>
      <c r="C177" s="19" t="str">
        <f t="shared" si="8"/>
        <v>전북특별자치도</v>
      </c>
      <c r="D177" s="17" t="str">
        <f t="shared" si="9"/>
        <v>부안군</v>
      </c>
      <c r="E177" s="8" t="s">
        <v>1275</v>
      </c>
      <c r="F177" s="3" t="s">
        <v>1276</v>
      </c>
      <c r="G177" s="3" t="s">
        <v>1277</v>
      </c>
      <c r="H177" s="7" t="s">
        <v>1278</v>
      </c>
      <c r="I177" s="15" t="str">
        <f t="shared" si="10"/>
        <v>있음</v>
      </c>
      <c r="J177" s="8" t="s">
        <v>1279</v>
      </c>
      <c r="K177" s="3" t="s">
        <v>1280</v>
      </c>
      <c r="L177" s="3" t="s">
        <v>19</v>
      </c>
      <c r="M177" s="3" t="s">
        <v>21</v>
      </c>
      <c r="N177" s="3" t="s">
        <v>22</v>
      </c>
      <c r="O177" s="13">
        <v>2435</v>
      </c>
      <c r="P177" s="11" t="str">
        <f t="shared" si="11"/>
        <v>03. 1,500㎡ 이상</v>
      </c>
      <c r="Q177" s="8" t="s">
        <v>23</v>
      </c>
      <c r="R177" s="3" t="s">
        <v>24</v>
      </c>
      <c r="S177" s="3" t="s">
        <v>19</v>
      </c>
    </row>
    <row r="178" spans="1:19" x14ac:dyDescent="0.4">
      <c r="A178" s="7">
        <v>177</v>
      </c>
      <c r="B178" s="8" t="s">
        <v>1281</v>
      </c>
      <c r="C178" s="19" t="str">
        <f t="shared" si="8"/>
        <v>인천광역시</v>
      </c>
      <c r="D178" s="17" t="str">
        <f t="shared" si="9"/>
        <v>중구</v>
      </c>
      <c r="E178" s="8" t="s">
        <v>1282</v>
      </c>
      <c r="F178" s="3" t="s">
        <v>1283</v>
      </c>
      <c r="G178" s="3" t="s">
        <v>1284</v>
      </c>
      <c r="H178" s="7" t="s">
        <v>19</v>
      </c>
      <c r="I178" s="15" t="str">
        <f t="shared" si="10"/>
        <v>없음</v>
      </c>
      <c r="J178" s="8" t="s">
        <v>933</v>
      </c>
      <c r="K178" s="3" t="s">
        <v>19</v>
      </c>
      <c r="L178" s="3" t="s">
        <v>19</v>
      </c>
      <c r="M178" s="3" t="s">
        <v>21</v>
      </c>
      <c r="N178" s="3" t="s">
        <v>22</v>
      </c>
      <c r="O178" s="13">
        <v>2689</v>
      </c>
      <c r="P178" s="11" t="str">
        <f t="shared" si="11"/>
        <v>03. 1,500㎡ 이상</v>
      </c>
      <c r="Q178" s="8" t="s">
        <v>236</v>
      </c>
      <c r="R178" s="3" t="s">
        <v>24</v>
      </c>
      <c r="S178" s="3" t="s">
        <v>19</v>
      </c>
    </row>
    <row r="179" spans="1:19" x14ac:dyDescent="0.4">
      <c r="A179" s="7">
        <v>178</v>
      </c>
      <c r="B179" s="8" t="s">
        <v>1291</v>
      </c>
      <c r="C179" s="19" t="str">
        <f t="shared" si="8"/>
        <v>충청남도</v>
      </c>
      <c r="D179" s="17" t="str">
        <f t="shared" si="9"/>
        <v>태안군</v>
      </c>
      <c r="E179" s="8" t="s">
        <v>1292</v>
      </c>
      <c r="F179" s="3" t="s">
        <v>1293</v>
      </c>
      <c r="G179" s="3" t="s">
        <v>1294</v>
      </c>
      <c r="H179" s="7" t="s">
        <v>1295</v>
      </c>
      <c r="I179" s="15" t="str">
        <f t="shared" si="10"/>
        <v>있음</v>
      </c>
      <c r="J179" s="8" t="s">
        <v>1296</v>
      </c>
      <c r="K179" s="3" t="s">
        <v>1296</v>
      </c>
      <c r="L179" s="3" t="s">
        <v>19</v>
      </c>
      <c r="M179" s="3" t="s">
        <v>21</v>
      </c>
      <c r="N179" s="3" t="s">
        <v>22</v>
      </c>
      <c r="O179" s="13">
        <v>528</v>
      </c>
      <c r="P179" s="11" t="str">
        <f t="shared" si="11"/>
        <v>01. 1,000㎡ 미만</v>
      </c>
      <c r="Q179" s="8" t="s">
        <v>23</v>
      </c>
      <c r="R179" s="3" t="s">
        <v>24</v>
      </c>
      <c r="S179" s="3" t="s">
        <v>19</v>
      </c>
    </row>
    <row r="180" spans="1:19" x14ac:dyDescent="0.4">
      <c r="A180" s="7">
        <v>179</v>
      </c>
      <c r="B180" s="8" t="s">
        <v>1297</v>
      </c>
      <c r="C180" s="19" t="str">
        <f t="shared" si="8"/>
        <v>서울특별시</v>
      </c>
      <c r="D180" s="17" t="str">
        <f t="shared" si="9"/>
        <v>중구</v>
      </c>
      <c r="E180" s="8" t="s">
        <v>1298</v>
      </c>
      <c r="F180" s="3" t="s">
        <v>1299</v>
      </c>
      <c r="G180" s="3" t="s">
        <v>1294</v>
      </c>
      <c r="H180" s="7" t="s">
        <v>1300</v>
      </c>
      <c r="I180" s="15" t="str">
        <f t="shared" si="10"/>
        <v>있음</v>
      </c>
      <c r="J180" s="8" t="s">
        <v>1301</v>
      </c>
      <c r="K180" s="3" t="s">
        <v>1301</v>
      </c>
      <c r="L180" s="3" t="s">
        <v>1302</v>
      </c>
      <c r="M180" s="3" t="s">
        <v>21</v>
      </c>
      <c r="N180" s="3" t="s">
        <v>22</v>
      </c>
      <c r="O180" s="13">
        <v>4530</v>
      </c>
      <c r="P180" s="11" t="str">
        <f t="shared" si="11"/>
        <v>03. 1,500㎡ 이상</v>
      </c>
      <c r="Q180" s="8" t="s">
        <v>23</v>
      </c>
      <c r="R180" s="3" t="s">
        <v>24</v>
      </c>
      <c r="S180" s="3" t="s">
        <v>19</v>
      </c>
    </row>
    <row r="181" spans="1:19" x14ac:dyDescent="0.4">
      <c r="A181" s="7">
        <v>180</v>
      </c>
      <c r="B181" s="8" t="s">
        <v>1307</v>
      </c>
      <c r="C181" s="19" t="str">
        <f t="shared" si="8"/>
        <v>전라남도</v>
      </c>
      <c r="D181" s="17" t="str">
        <f t="shared" si="9"/>
        <v>여수시</v>
      </c>
      <c r="E181" s="8" t="s">
        <v>1308</v>
      </c>
      <c r="F181" s="3" t="s">
        <v>1309</v>
      </c>
      <c r="G181" s="3" t="s">
        <v>1305</v>
      </c>
      <c r="H181" s="7" t="s">
        <v>19</v>
      </c>
      <c r="I181" s="15" t="str">
        <f t="shared" si="10"/>
        <v>없음</v>
      </c>
      <c r="J181" s="8" t="s">
        <v>1025</v>
      </c>
      <c r="K181" s="3" t="s">
        <v>19</v>
      </c>
      <c r="L181" s="3" t="s">
        <v>1310</v>
      </c>
      <c r="M181" s="3" t="s">
        <v>21</v>
      </c>
      <c r="N181" s="3" t="s">
        <v>22</v>
      </c>
      <c r="O181" s="13">
        <v>16852</v>
      </c>
      <c r="P181" s="11" t="str">
        <f t="shared" si="11"/>
        <v>05. 1만㎡ 이상</v>
      </c>
      <c r="Q181" s="8" t="s">
        <v>23</v>
      </c>
      <c r="R181" s="3" t="s">
        <v>24</v>
      </c>
      <c r="S181" s="3" t="s">
        <v>19</v>
      </c>
    </row>
    <row r="182" spans="1:19" x14ac:dyDescent="0.4">
      <c r="A182" s="7">
        <v>181</v>
      </c>
      <c r="B182" s="8" t="s">
        <v>1311</v>
      </c>
      <c r="C182" s="19" t="str">
        <f t="shared" si="8"/>
        <v>강원특별자치도</v>
      </c>
      <c r="D182" s="17" t="str">
        <f t="shared" si="9"/>
        <v>양양군</v>
      </c>
      <c r="E182" s="8" t="s">
        <v>1312</v>
      </c>
      <c r="F182" s="3" t="s">
        <v>1313</v>
      </c>
      <c r="G182" s="3" t="s">
        <v>1314</v>
      </c>
      <c r="H182" s="7" t="s">
        <v>19</v>
      </c>
      <c r="I182" s="15" t="str">
        <f t="shared" si="10"/>
        <v>없음</v>
      </c>
      <c r="J182" s="8" t="s">
        <v>1315</v>
      </c>
      <c r="K182" s="3" t="s">
        <v>19</v>
      </c>
      <c r="L182" s="3" t="s">
        <v>400</v>
      </c>
      <c r="M182" s="3" t="s">
        <v>21</v>
      </c>
      <c r="N182" s="3" t="s">
        <v>22</v>
      </c>
      <c r="O182" s="13">
        <v>23667</v>
      </c>
      <c r="P182" s="11" t="str">
        <f t="shared" si="11"/>
        <v>06. 2만㎡ 이상</v>
      </c>
      <c r="Q182" s="8" t="s">
        <v>23</v>
      </c>
      <c r="R182" s="3" t="s">
        <v>24</v>
      </c>
      <c r="S182" s="3" t="s">
        <v>19</v>
      </c>
    </row>
    <row r="183" spans="1:19" x14ac:dyDescent="0.4">
      <c r="A183" s="7">
        <v>182</v>
      </c>
      <c r="B183" s="8" t="s">
        <v>1316</v>
      </c>
      <c r="C183" s="19" t="str">
        <f t="shared" si="8"/>
        <v>경상북도</v>
      </c>
      <c r="D183" s="17" t="str">
        <f t="shared" si="9"/>
        <v>영덕군</v>
      </c>
      <c r="E183" s="8" t="s">
        <v>1317</v>
      </c>
      <c r="F183" s="3" t="s">
        <v>1318</v>
      </c>
      <c r="G183" s="3" t="s">
        <v>1319</v>
      </c>
      <c r="H183" s="7" t="s">
        <v>1320</v>
      </c>
      <c r="I183" s="15" t="str">
        <f t="shared" si="10"/>
        <v>있음</v>
      </c>
      <c r="J183" s="8" t="s">
        <v>1321</v>
      </c>
      <c r="K183" s="3" t="s">
        <v>1321</v>
      </c>
      <c r="L183" s="3" t="s">
        <v>19</v>
      </c>
      <c r="M183" s="3" t="s">
        <v>21</v>
      </c>
      <c r="N183" s="3" t="s">
        <v>22</v>
      </c>
      <c r="O183" s="13">
        <v>1783</v>
      </c>
      <c r="P183" s="11" t="str">
        <f t="shared" si="11"/>
        <v>03. 1,500㎡ 이상</v>
      </c>
      <c r="Q183" s="8" t="s">
        <v>23</v>
      </c>
      <c r="R183" s="3" t="s">
        <v>24</v>
      </c>
      <c r="S183" s="3" t="s">
        <v>19</v>
      </c>
    </row>
    <row r="184" spans="1:19" x14ac:dyDescent="0.4">
      <c r="A184" s="7">
        <v>183</v>
      </c>
      <c r="B184" s="8" t="s">
        <v>1324</v>
      </c>
      <c r="C184" s="19" t="str">
        <f t="shared" si="8"/>
        <v>강원특별자치도</v>
      </c>
      <c r="D184" s="17" t="str">
        <f t="shared" si="9"/>
        <v>양양군</v>
      </c>
      <c r="E184" s="8" t="s">
        <v>1325</v>
      </c>
      <c r="F184" s="3" t="s">
        <v>1326</v>
      </c>
      <c r="G184" s="3" t="s">
        <v>1319</v>
      </c>
      <c r="H184" s="7" t="s">
        <v>19</v>
      </c>
      <c r="I184" s="15" t="str">
        <f t="shared" si="10"/>
        <v>없음</v>
      </c>
      <c r="J184" s="8" t="s">
        <v>1327</v>
      </c>
      <c r="K184" s="3" t="s">
        <v>19</v>
      </c>
      <c r="L184" s="3" t="s">
        <v>1328</v>
      </c>
      <c r="M184" s="3" t="s">
        <v>21</v>
      </c>
      <c r="N184" s="3" t="s">
        <v>22</v>
      </c>
      <c r="O184" s="13">
        <v>4998</v>
      </c>
      <c r="P184" s="11" t="str">
        <f t="shared" si="11"/>
        <v>03. 1,500㎡ 이상</v>
      </c>
      <c r="Q184" s="8" t="s">
        <v>23</v>
      </c>
      <c r="R184" s="3" t="s">
        <v>24</v>
      </c>
      <c r="S184" s="3" t="s">
        <v>19</v>
      </c>
    </row>
    <row r="185" spans="1:19" x14ac:dyDescent="0.4">
      <c r="A185" s="7">
        <v>184</v>
      </c>
      <c r="B185" s="8" t="s">
        <v>1335</v>
      </c>
      <c r="C185" s="19" t="str">
        <f t="shared" si="8"/>
        <v>경기도</v>
      </c>
      <c r="D185" s="17" t="str">
        <f t="shared" si="9"/>
        <v>가평군</v>
      </c>
      <c r="E185" s="8" t="s">
        <v>1336</v>
      </c>
      <c r="F185" s="3" t="s">
        <v>1337</v>
      </c>
      <c r="G185" s="3" t="s">
        <v>843</v>
      </c>
      <c r="H185" s="7" t="s">
        <v>19</v>
      </c>
      <c r="I185" s="15" t="str">
        <f t="shared" si="10"/>
        <v>없음</v>
      </c>
      <c r="J185" s="8" t="s">
        <v>921</v>
      </c>
      <c r="K185" s="3" t="s">
        <v>19</v>
      </c>
      <c r="L185" s="3" t="s">
        <v>19</v>
      </c>
      <c r="M185" s="3" t="s">
        <v>21</v>
      </c>
      <c r="N185" s="3" t="s">
        <v>22</v>
      </c>
      <c r="O185" s="13">
        <v>247</v>
      </c>
      <c r="P185" s="11" t="str">
        <f t="shared" si="11"/>
        <v>01. 1,000㎡ 미만</v>
      </c>
      <c r="Q185" s="8" t="s">
        <v>23</v>
      </c>
      <c r="R185" s="3" t="s">
        <v>24</v>
      </c>
      <c r="S185" s="3" t="s">
        <v>19</v>
      </c>
    </row>
    <row r="186" spans="1:19" x14ac:dyDescent="0.4">
      <c r="A186" s="7">
        <v>185</v>
      </c>
      <c r="B186" s="8" t="s">
        <v>1338</v>
      </c>
      <c r="C186" s="19" t="str">
        <f t="shared" si="8"/>
        <v>충청남도</v>
      </c>
      <c r="D186" s="17" t="str">
        <f t="shared" si="9"/>
        <v>예산군</v>
      </c>
      <c r="E186" s="8" t="s">
        <v>1339</v>
      </c>
      <c r="F186" s="3" t="s">
        <v>1340</v>
      </c>
      <c r="G186" s="3" t="s">
        <v>843</v>
      </c>
      <c r="H186" s="7" t="s">
        <v>1341</v>
      </c>
      <c r="I186" s="15" t="str">
        <f t="shared" si="10"/>
        <v>있음</v>
      </c>
      <c r="J186" s="8" t="s">
        <v>1342</v>
      </c>
      <c r="K186" s="3" t="s">
        <v>1342</v>
      </c>
      <c r="L186" s="3" t="s">
        <v>19</v>
      </c>
      <c r="M186" s="3" t="s">
        <v>21</v>
      </c>
      <c r="N186" s="3" t="s">
        <v>22</v>
      </c>
      <c r="O186" s="13">
        <v>1865</v>
      </c>
      <c r="P186" s="11" t="str">
        <f t="shared" si="11"/>
        <v>03. 1,500㎡ 이상</v>
      </c>
      <c r="Q186" s="8" t="s">
        <v>23</v>
      </c>
      <c r="R186" s="3" t="s">
        <v>24</v>
      </c>
      <c r="S186" s="3" t="s">
        <v>19</v>
      </c>
    </row>
    <row r="187" spans="1:19" x14ac:dyDescent="0.4">
      <c r="A187" s="7">
        <v>186</v>
      </c>
      <c r="B187" s="8" t="s">
        <v>1364</v>
      </c>
      <c r="C187" s="19" t="str">
        <f t="shared" si="8"/>
        <v>충청남도</v>
      </c>
      <c r="D187" s="17" t="str">
        <f t="shared" si="9"/>
        <v>아산시</v>
      </c>
      <c r="E187" s="8" t="s">
        <v>1365</v>
      </c>
      <c r="F187" s="3" t="s">
        <v>1366</v>
      </c>
      <c r="G187" s="3" t="s">
        <v>1367</v>
      </c>
      <c r="H187" s="7" t="s">
        <v>1368</v>
      </c>
      <c r="I187" s="15" t="str">
        <f t="shared" si="10"/>
        <v>있음</v>
      </c>
      <c r="J187" s="8" t="s">
        <v>1369</v>
      </c>
      <c r="K187" s="3" t="s">
        <v>1369</v>
      </c>
      <c r="L187" s="3" t="s">
        <v>19</v>
      </c>
      <c r="M187" s="3" t="s">
        <v>21</v>
      </c>
      <c r="N187" s="3" t="s">
        <v>22</v>
      </c>
      <c r="O187" s="13">
        <v>1145</v>
      </c>
      <c r="P187" s="11" t="str">
        <f t="shared" si="11"/>
        <v>02. 1,000㎡ 이상</v>
      </c>
      <c r="Q187" s="8" t="s">
        <v>23</v>
      </c>
      <c r="R187" s="3" t="s">
        <v>24</v>
      </c>
      <c r="S187" s="3" t="s">
        <v>19</v>
      </c>
    </row>
    <row r="188" spans="1:19" x14ac:dyDescent="0.4">
      <c r="A188" s="7">
        <v>187</v>
      </c>
      <c r="B188" s="8" t="s">
        <v>1379</v>
      </c>
      <c r="C188" s="19" t="str">
        <f t="shared" si="8"/>
        <v>전라남도</v>
      </c>
      <c r="D188" s="17" t="str">
        <f t="shared" si="9"/>
        <v>해남군</v>
      </c>
      <c r="E188" s="8" t="s">
        <v>1380</v>
      </c>
      <c r="F188" s="3" t="s">
        <v>1381</v>
      </c>
      <c r="G188" s="3" t="s">
        <v>1373</v>
      </c>
      <c r="H188" s="7" t="s">
        <v>19</v>
      </c>
      <c r="I188" s="15" t="str">
        <f t="shared" si="10"/>
        <v>없음</v>
      </c>
      <c r="J188" s="8" t="s">
        <v>1015</v>
      </c>
      <c r="K188" s="3" t="s">
        <v>19</v>
      </c>
      <c r="L188" s="3" t="s">
        <v>19</v>
      </c>
      <c r="M188" s="3" t="s">
        <v>21</v>
      </c>
      <c r="N188" s="3" t="s">
        <v>22</v>
      </c>
      <c r="O188" s="13">
        <v>960</v>
      </c>
      <c r="P188" s="11" t="str">
        <f t="shared" si="11"/>
        <v>01. 1,000㎡ 미만</v>
      </c>
      <c r="Q188" s="8" t="s">
        <v>330</v>
      </c>
      <c r="R188" s="3" t="s">
        <v>24</v>
      </c>
      <c r="S188" s="3" t="s">
        <v>19</v>
      </c>
    </row>
    <row r="189" spans="1:19" x14ac:dyDescent="0.4">
      <c r="A189" s="7">
        <v>188</v>
      </c>
      <c r="B189" s="8" t="s">
        <v>1386</v>
      </c>
      <c r="C189" s="19" t="str">
        <f t="shared" si="8"/>
        <v>전북특별자치도</v>
      </c>
      <c r="D189" s="17" t="str">
        <f t="shared" si="9"/>
        <v>완주군</v>
      </c>
      <c r="E189" s="8" t="s">
        <v>1387</v>
      </c>
      <c r="F189" s="3" t="s">
        <v>1388</v>
      </c>
      <c r="G189" s="3" t="s">
        <v>1389</v>
      </c>
      <c r="H189" s="7" t="s">
        <v>19</v>
      </c>
      <c r="I189" s="15" t="str">
        <f t="shared" si="10"/>
        <v>없음</v>
      </c>
      <c r="J189" s="8" t="s">
        <v>1390</v>
      </c>
      <c r="K189" s="3" t="s">
        <v>19</v>
      </c>
      <c r="L189" s="3" t="s">
        <v>19</v>
      </c>
      <c r="M189" s="3" t="s">
        <v>21</v>
      </c>
      <c r="N189" s="3" t="s">
        <v>22</v>
      </c>
      <c r="O189" s="13">
        <v>1681</v>
      </c>
      <c r="P189" s="11" t="str">
        <f t="shared" si="11"/>
        <v>03. 1,500㎡ 이상</v>
      </c>
      <c r="Q189" s="8" t="s">
        <v>23</v>
      </c>
      <c r="R189" s="3" t="s">
        <v>24</v>
      </c>
      <c r="S189" s="3" t="s">
        <v>19</v>
      </c>
    </row>
    <row r="190" spans="1:19" x14ac:dyDescent="0.4">
      <c r="A190" s="7">
        <v>189</v>
      </c>
      <c r="B190" s="8" t="s">
        <v>1399</v>
      </c>
      <c r="C190" s="19" t="str">
        <f t="shared" si="8"/>
        <v>충청남도</v>
      </c>
      <c r="D190" s="17" t="str">
        <f t="shared" si="9"/>
        <v>당진시</v>
      </c>
      <c r="E190" s="8" t="s">
        <v>1400</v>
      </c>
      <c r="F190" s="3" t="s">
        <v>1401</v>
      </c>
      <c r="G190" s="3" t="s">
        <v>1402</v>
      </c>
      <c r="H190" s="7" t="s">
        <v>19</v>
      </c>
      <c r="I190" s="15" t="str">
        <f t="shared" si="10"/>
        <v>없음</v>
      </c>
      <c r="J190" s="8" t="s">
        <v>1403</v>
      </c>
      <c r="K190" s="3" t="s">
        <v>19</v>
      </c>
      <c r="L190" s="3" t="s">
        <v>1404</v>
      </c>
      <c r="M190" s="3" t="s">
        <v>21</v>
      </c>
      <c r="N190" s="3" t="s">
        <v>22</v>
      </c>
      <c r="O190" s="13">
        <v>4913</v>
      </c>
      <c r="P190" s="11" t="str">
        <f t="shared" si="11"/>
        <v>03. 1,500㎡ 이상</v>
      </c>
      <c r="Q190" s="8" t="s">
        <v>23</v>
      </c>
      <c r="R190" s="3" t="s">
        <v>24</v>
      </c>
      <c r="S190" s="3" t="s">
        <v>19</v>
      </c>
    </row>
    <row r="191" spans="1:19" x14ac:dyDescent="0.4">
      <c r="A191" s="7">
        <v>190</v>
      </c>
      <c r="B191" s="8" t="s">
        <v>1423</v>
      </c>
      <c r="C191" s="19" t="str">
        <f t="shared" si="8"/>
        <v>경상남도</v>
      </c>
      <c r="D191" s="17" t="str">
        <f t="shared" si="9"/>
        <v>하동군</v>
      </c>
      <c r="E191" s="8" t="s">
        <v>1424</v>
      </c>
      <c r="F191" s="3" t="s">
        <v>1425</v>
      </c>
      <c r="G191" s="3" t="s">
        <v>1426</v>
      </c>
      <c r="H191" s="7" t="s">
        <v>1427</v>
      </c>
      <c r="I191" s="15" t="str">
        <f t="shared" si="10"/>
        <v>있음</v>
      </c>
      <c r="J191" s="8" t="s">
        <v>1428</v>
      </c>
      <c r="K191" s="3" t="s">
        <v>1428</v>
      </c>
      <c r="L191" s="3" t="s">
        <v>1429</v>
      </c>
      <c r="M191" s="3" t="s">
        <v>21</v>
      </c>
      <c r="N191" s="3" t="s">
        <v>22</v>
      </c>
      <c r="O191" s="13">
        <v>2398</v>
      </c>
      <c r="P191" s="11" t="str">
        <f t="shared" si="11"/>
        <v>03. 1,500㎡ 이상</v>
      </c>
      <c r="Q191" s="8" t="s">
        <v>23</v>
      </c>
      <c r="R191" s="3" t="s">
        <v>24</v>
      </c>
      <c r="S191" s="3" t="s">
        <v>19</v>
      </c>
    </row>
    <row r="192" spans="1:19" x14ac:dyDescent="0.4">
      <c r="A192" s="7">
        <v>191</v>
      </c>
      <c r="B192" s="8" t="s">
        <v>1430</v>
      </c>
      <c r="C192" s="19" t="str">
        <f t="shared" si="8"/>
        <v>경기도</v>
      </c>
      <c r="D192" s="17" t="str">
        <f t="shared" si="9"/>
        <v>가평군</v>
      </c>
      <c r="E192" s="8" t="s">
        <v>1431</v>
      </c>
      <c r="F192" s="3" t="s">
        <v>1432</v>
      </c>
      <c r="G192" s="3" t="s">
        <v>1433</v>
      </c>
      <c r="H192" s="7" t="s">
        <v>19</v>
      </c>
      <c r="I192" s="15" t="str">
        <f t="shared" si="10"/>
        <v>없음</v>
      </c>
      <c r="J192" s="8" t="s">
        <v>1237</v>
      </c>
      <c r="K192" s="3" t="s">
        <v>19</v>
      </c>
      <c r="L192" s="3" t="s">
        <v>19</v>
      </c>
      <c r="M192" s="3" t="s">
        <v>21</v>
      </c>
      <c r="N192" s="3" t="s">
        <v>22</v>
      </c>
      <c r="O192" s="13">
        <v>56</v>
      </c>
      <c r="P192" s="11" t="str">
        <f t="shared" si="11"/>
        <v>01. 1,000㎡ 미만</v>
      </c>
      <c r="Q192" s="8" t="s">
        <v>84</v>
      </c>
      <c r="R192" s="3" t="s">
        <v>24</v>
      </c>
      <c r="S192" s="3" t="s">
        <v>19</v>
      </c>
    </row>
    <row r="193" spans="1:19" x14ac:dyDescent="0.4">
      <c r="A193" s="7">
        <v>192</v>
      </c>
      <c r="B193" s="8" t="s">
        <v>1434</v>
      </c>
      <c r="C193" s="19" t="str">
        <f t="shared" si="8"/>
        <v>경기도</v>
      </c>
      <c r="D193" s="17" t="str">
        <f t="shared" si="9"/>
        <v>가평군</v>
      </c>
      <c r="E193" s="8" t="s">
        <v>1431</v>
      </c>
      <c r="F193" s="3" t="s">
        <v>1432</v>
      </c>
      <c r="G193" s="3" t="s">
        <v>1433</v>
      </c>
      <c r="H193" s="7" t="s">
        <v>19</v>
      </c>
      <c r="I193" s="15" t="str">
        <f t="shared" si="10"/>
        <v>없음</v>
      </c>
      <c r="J193" s="8" t="s">
        <v>1237</v>
      </c>
      <c r="K193" s="3" t="s">
        <v>19</v>
      </c>
      <c r="L193" s="3" t="s">
        <v>19</v>
      </c>
      <c r="M193" s="3" t="s">
        <v>21</v>
      </c>
      <c r="N193" s="3" t="s">
        <v>22</v>
      </c>
      <c r="O193" s="13">
        <v>102</v>
      </c>
      <c r="P193" s="11" t="str">
        <f t="shared" si="11"/>
        <v>01. 1,000㎡ 미만</v>
      </c>
      <c r="Q193" s="8" t="s">
        <v>23</v>
      </c>
      <c r="R193" s="3" t="s">
        <v>24</v>
      </c>
      <c r="S193" s="3" t="s">
        <v>19</v>
      </c>
    </row>
    <row r="194" spans="1:19" x14ac:dyDescent="0.4">
      <c r="A194" s="7">
        <v>193</v>
      </c>
      <c r="B194" s="8" t="s">
        <v>1435</v>
      </c>
      <c r="C194" s="19" t="str">
        <f t="shared" si="8"/>
        <v>제주특별자치도</v>
      </c>
      <c r="D194" s="17" t="str">
        <f t="shared" si="9"/>
        <v>제주시</v>
      </c>
      <c r="E194" s="8" t="s">
        <v>1436</v>
      </c>
      <c r="F194" s="3" t="s">
        <v>1437</v>
      </c>
      <c r="G194" s="3" t="s">
        <v>1438</v>
      </c>
      <c r="H194" s="7" t="s">
        <v>1439</v>
      </c>
      <c r="I194" s="15" t="str">
        <f t="shared" si="10"/>
        <v>있음</v>
      </c>
      <c r="J194" s="8" t="s">
        <v>1440</v>
      </c>
      <c r="K194" s="3" t="s">
        <v>1440</v>
      </c>
      <c r="L194" s="3" t="s">
        <v>19</v>
      </c>
      <c r="M194" s="3" t="s">
        <v>21</v>
      </c>
      <c r="N194" s="3" t="s">
        <v>22</v>
      </c>
      <c r="O194" s="13">
        <v>889</v>
      </c>
      <c r="P194" s="11" t="str">
        <f t="shared" si="11"/>
        <v>01. 1,000㎡ 미만</v>
      </c>
      <c r="Q194" s="8" t="s">
        <v>23</v>
      </c>
      <c r="R194" s="3" t="s">
        <v>24</v>
      </c>
      <c r="S194" s="3" t="s">
        <v>19</v>
      </c>
    </row>
    <row r="195" spans="1:19" x14ac:dyDescent="0.4">
      <c r="A195" s="7">
        <v>194</v>
      </c>
      <c r="B195" s="8" t="s">
        <v>1441</v>
      </c>
      <c r="C195" s="19" t="str">
        <f t="shared" ref="C195:C258" si="12">IFERROR(IF(LEFT(E195,FIND(" ",E195)-1)="전라북도","전북특별자치도",LEFT(E195,FIND(" ",E195)-1)),"")</f>
        <v>전북특별자치도</v>
      </c>
      <c r="D195" s="17" t="str">
        <f t="shared" ref="D195:D258" si="13">IFERROR(TRIM(MID(SUBSTITUTE(E195," ",REPT(" ",50)),51,50)),"")</f>
        <v>군산시</v>
      </c>
      <c r="E195" s="8" t="s">
        <v>1442</v>
      </c>
      <c r="F195" s="3" t="s">
        <v>1443</v>
      </c>
      <c r="G195" s="3" t="s">
        <v>1438</v>
      </c>
      <c r="H195" s="7" t="s">
        <v>19</v>
      </c>
      <c r="I195" s="15" t="str">
        <f t="shared" ref="I195:I258" si="14">IF(OR(TRIM(H195)="",TRIM(H195)="-"),"없음","있음")</f>
        <v>없음</v>
      </c>
      <c r="J195" s="8" t="s">
        <v>1444</v>
      </c>
      <c r="K195" s="3" t="s">
        <v>19</v>
      </c>
      <c r="L195" s="3" t="s">
        <v>19</v>
      </c>
      <c r="M195" s="3" t="s">
        <v>21</v>
      </c>
      <c r="N195" s="3" t="s">
        <v>22</v>
      </c>
      <c r="O195" s="13">
        <v>7501</v>
      </c>
      <c r="P195" s="11" t="str">
        <f t="shared" ref="P195:P258" si="15">IF(NOT(ISNUMBER(O195)),"00. 미기재",IF(O195&lt;1000,"01. 1,000㎡ 미만",IF(O195&lt;1500,"02. 1,000㎡ 이상",IF(O195&lt;5000,"03. 1,500㎡ 이상",IF(O195&lt;10000,"04. 5,000㎡ 이상",TEXT(4+INT(O195/10000),"00")&amp;". "&amp;INT(O195/10000)&amp;"만㎡ 이상")))))</f>
        <v>04. 5,000㎡ 이상</v>
      </c>
      <c r="Q195" s="8" t="s">
        <v>23</v>
      </c>
      <c r="R195" s="3" t="s">
        <v>24</v>
      </c>
      <c r="S195" s="3" t="s">
        <v>19</v>
      </c>
    </row>
    <row r="196" spans="1:19" x14ac:dyDescent="0.4">
      <c r="A196" s="7">
        <v>195</v>
      </c>
      <c r="B196" s="8" t="s">
        <v>1451</v>
      </c>
      <c r="C196" s="19" t="str">
        <f t="shared" si="12"/>
        <v>경상남도</v>
      </c>
      <c r="D196" s="17" t="str">
        <f t="shared" si="13"/>
        <v>밀양시</v>
      </c>
      <c r="E196" s="8" t="s">
        <v>1452</v>
      </c>
      <c r="F196" s="3" t="s">
        <v>1453</v>
      </c>
      <c r="G196" s="3" t="s">
        <v>1454</v>
      </c>
      <c r="H196" s="7" t="s">
        <v>1455</v>
      </c>
      <c r="I196" s="15" t="str">
        <f t="shared" si="14"/>
        <v>있음</v>
      </c>
      <c r="J196" s="8" t="s">
        <v>1456</v>
      </c>
      <c r="K196" s="3" t="s">
        <v>1457</v>
      </c>
      <c r="L196" s="3" t="s">
        <v>1458</v>
      </c>
      <c r="M196" s="3" t="s">
        <v>21</v>
      </c>
      <c r="N196" s="3" t="s">
        <v>22</v>
      </c>
      <c r="O196" s="13">
        <v>5808</v>
      </c>
      <c r="P196" s="11" t="str">
        <f t="shared" si="15"/>
        <v>04. 5,000㎡ 이상</v>
      </c>
      <c r="Q196" s="8" t="s">
        <v>1459</v>
      </c>
      <c r="R196" s="3" t="s">
        <v>24</v>
      </c>
      <c r="S196" s="3" t="s">
        <v>19</v>
      </c>
    </row>
    <row r="197" spans="1:19" x14ac:dyDescent="0.4">
      <c r="A197" s="7">
        <v>196</v>
      </c>
      <c r="B197" s="8" t="s">
        <v>1467</v>
      </c>
      <c r="C197" s="19" t="str">
        <f t="shared" si="12"/>
        <v>전북특별자치도</v>
      </c>
      <c r="D197" s="17" t="str">
        <f t="shared" si="13"/>
        <v>고창군</v>
      </c>
      <c r="E197" s="8" t="s">
        <v>1468</v>
      </c>
      <c r="F197" s="3" t="s">
        <v>1152</v>
      </c>
      <c r="G197" s="3" t="s">
        <v>1469</v>
      </c>
      <c r="H197" s="7" t="s">
        <v>19</v>
      </c>
      <c r="I197" s="15" t="str">
        <f t="shared" si="14"/>
        <v>없음</v>
      </c>
      <c r="J197" s="8" t="s">
        <v>686</v>
      </c>
      <c r="K197" s="3" t="s">
        <v>19</v>
      </c>
      <c r="L197" s="3" t="s">
        <v>19</v>
      </c>
      <c r="M197" s="3" t="s">
        <v>21</v>
      </c>
      <c r="N197" s="3" t="s">
        <v>22</v>
      </c>
      <c r="O197" s="13">
        <v>2517</v>
      </c>
      <c r="P197" s="11" t="str">
        <f t="shared" si="15"/>
        <v>03. 1,500㎡ 이상</v>
      </c>
      <c r="Q197" s="8" t="s">
        <v>23</v>
      </c>
      <c r="R197" s="3" t="s">
        <v>24</v>
      </c>
      <c r="S197" s="3" t="s">
        <v>19</v>
      </c>
    </row>
    <row r="198" spans="1:19" x14ac:dyDescent="0.4">
      <c r="A198" s="7">
        <v>197</v>
      </c>
      <c r="B198" s="8" t="s">
        <v>1470</v>
      </c>
      <c r="C198" s="19" t="str">
        <f t="shared" si="12"/>
        <v>서울특별시</v>
      </c>
      <c r="D198" s="17" t="str">
        <f t="shared" si="13"/>
        <v>중구</v>
      </c>
      <c r="E198" s="8" t="s">
        <v>1471</v>
      </c>
      <c r="F198" s="3" t="s">
        <v>1472</v>
      </c>
      <c r="G198" s="3" t="s">
        <v>1473</v>
      </c>
      <c r="H198" s="7" t="s">
        <v>19</v>
      </c>
      <c r="I198" s="15" t="str">
        <f t="shared" si="14"/>
        <v>없음</v>
      </c>
      <c r="J198" s="8" t="s">
        <v>1474</v>
      </c>
      <c r="K198" s="3" t="s">
        <v>19</v>
      </c>
      <c r="L198" s="3" t="s">
        <v>19</v>
      </c>
      <c r="M198" s="3" t="s">
        <v>21</v>
      </c>
      <c r="N198" s="3" t="s">
        <v>22</v>
      </c>
      <c r="O198" s="13">
        <v>1131</v>
      </c>
      <c r="P198" s="11" t="str">
        <f t="shared" si="15"/>
        <v>02. 1,000㎡ 이상</v>
      </c>
      <c r="Q198" s="8" t="s">
        <v>23</v>
      </c>
      <c r="R198" s="3" t="s">
        <v>24</v>
      </c>
      <c r="S198" s="3" t="s">
        <v>19</v>
      </c>
    </row>
    <row r="199" spans="1:19" x14ac:dyDescent="0.4">
      <c r="A199" s="7">
        <v>198</v>
      </c>
      <c r="B199" s="8" t="s">
        <v>1481</v>
      </c>
      <c r="C199" s="19" t="str">
        <f t="shared" si="12"/>
        <v>경기도</v>
      </c>
      <c r="D199" s="17" t="str">
        <f t="shared" si="13"/>
        <v>평택시</v>
      </c>
      <c r="E199" s="8" t="s">
        <v>1482</v>
      </c>
      <c r="F199" s="3" t="s">
        <v>1483</v>
      </c>
      <c r="G199" s="3" t="s">
        <v>1484</v>
      </c>
      <c r="H199" s="7" t="s">
        <v>19</v>
      </c>
      <c r="I199" s="15" t="str">
        <f t="shared" si="14"/>
        <v>없음</v>
      </c>
      <c r="J199" s="8" t="s">
        <v>1485</v>
      </c>
      <c r="K199" s="3" t="s">
        <v>19</v>
      </c>
      <c r="L199" s="3" t="s">
        <v>19</v>
      </c>
      <c r="M199" s="3" t="s">
        <v>21</v>
      </c>
      <c r="N199" s="3" t="s">
        <v>22</v>
      </c>
      <c r="O199" s="13">
        <v>1569</v>
      </c>
      <c r="P199" s="11" t="str">
        <f t="shared" si="15"/>
        <v>03. 1,500㎡ 이상</v>
      </c>
      <c r="Q199" s="8" t="s">
        <v>23</v>
      </c>
      <c r="R199" s="3" t="s">
        <v>24</v>
      </c>
      <c r="S199" s="3" t="s">
        <v>19</v>
      </c>
    </row>
    <row r="200" spans="1:19" x14ac:dyDescent="0.4">
      <c r="A200" s="7">
        <v>199</v>
      </c>
      <c r="B200" s="8" t="s">
        <v>1486</v>
      </c>
      <c r="C200" s="19" t="str">
        <f t="shared" si="12"/>
        <v>경기도</v>
      </c>
      <c r="D200" s="17" t="str">
        <f t="shared" si="13"/>
        <v>가평군</v>
      </c>
      <c r="E200" s="8" t="s">
        <v>1487</v>
      </c>
      <c r="F200" s="3" t="s">
        <v>1028</v>
      </c>
      <c r="G200" s="3" t="s">
        <v>1465</v>
      </c>
      <c r="H200" s="7" t="s">
        <v>19</v>
      </c>
      <c r="I200" s="15" t="str">
        <f t="shared" si="14"/>
        <v>없음</v>
      </c>
      <c r="J200" s="8" t="s">
        <v>302</v>
      </c>
      <c r="K200" s="3" t="s">
        <v>19</v>
      </c>
      <c r="L200" s="3" t="s">
        <v>19</v>
      </c>
      <c r="M200" s="3" t="s">
        <v>21</v>
      </c>
      <c r="N200" s="3" t="s">
        <v>22</v>
      </c>
      <c r="O200" s="13">
        <v>295</v>
      </c>
      <c r="P200" s="11" t="str">
        <f t="shared" si="15"/>
        <v>01. 1,000㎡ 미만</v>
      </c>
      <c r="Q200" s="8" t="s">
        <v>23</v>
      </c>
      <c r="R200" s="3" t="s">
        <v>24</v>
      </c>
      <c r="S200" s="3" t="s">
        <v>19</v>
      </c>
    </row>
    <row r="201" spans="1:19" x14ac:dyDescent="0.4">
      <c r="A201" s="7">
        <v>200</v>
      </c>
      <c r="B201" s="8" t="s">
        <v>1488</v>
      </c>
      <c r="C201" s="19" t="str">
        <f t="shared" si="12"/>
        <v>경기도</v>
      </c>
      <c r="D201" s="17" t="str">
        <f t="shared" si="13"/>
        <v>가평군</v>
      </c>
      <c r="E201" s="8" t="s">
        <v>1487</v>
      </c>
      <c r="F201" s="3" t="s">
        <v>1028</v>
      </c>
      <c r="G201" s="3" t="s">
        <v>1465</v>
      </c>
      <c r="H201" s="7" t="s">
        <v>19</v>
      </c>
      <c r="I201" s="15" t="str">
        <f t="shared" si="14"/>
        <v>없음</v>
      </c>
      <c r="J201" s="8" t="s">
        <v>302</v>
      </c>
      <c r="K201" s="3" t="s">
        <v>19</v>
      </c>
      <c r="L201" s="3" t="s">
        <v>19</v>
      </c>
      <c r="M201" s="3" t="s">
        <v>21</v>
      </c>
      <c r="N201" s="3" t="s">
        <v>22</v>
      </c>
      <c r="O201" s="13">
        <v>295</v>
      </c>
      <c r="P201" s="11" t="str">
        <f t="shared" si="15"/>
        <v>01. 1,000㎡ 미만</v>
      </c>
      <c r="Q201" s="8" t="s">
        <v>23</v>
      </c>
      <c r="R201" s="3" t="s">
        <v>24</v>
      </c>
      <c r="S201" s="3" t="s">
        <v>19</v>
      </c>
    </row>
    <row r="202" spans="1:19" x14ac:dyDescent="0.4">
      <c r="A202" s="7">
        <v>201</v>
      </c>
      <c r="B202" s="8" t="s">
        <v>1491</v>
      </c>
      <c r="C202" s="19" t="str">
        <f t="shared" si="12"/>
        <v>경기도</v>
      </c>
      <c r="D202" s="17" t="str">
        <f t="shared" si="13"/>
        <v>가평군</v>
      </c>
      <c r="E202" s="8" t="s">
        <v>1490</v>
      </c>
      <c r="F202" s="3" t="s">
        <v>1028</v>
      </c>
      <c r="G202" s="3" t="s">
        <v>1465</v>
      </c>
      <c r="H202" s="7" t="s">
        <v>19</v>
      </c>
      <c r="I202" s="15" t="str">
        <f t="shared" si="14"/>
        <v>없음</v>
      </c>
      <c r="J202" s="8" t="s">
        <v>302</v>
      </c>
      <c r="K202" s="3" t="s">
        <v>19</v>
      </c>
      <c r="L202" s="3" t="s">
        <v>19</v>
      </c>
      <c r="M202" s="3" t="s">
        <v>21</v>
      </c>
      <c r="N202" s="3" t="s">
        <v>22</v>
      </c>
      <c r="O202" s="13">
        <v>274</v>
      </c>
      <c r="P202" s="11" t="str">
        <f t="shared" si="15"/>
        <v>01. 1,000㎡ 미만</v>
      </c>
      <c r="Q202" s="8" t="s">
        <v>23</v>
      </c>
      <c r="R202" s="3" t="s">
        <v>24</v>
      </c>
      <c r="S202" s="3" t="s">
        <v>19</v>
      </c>
    </row>
    <row r="203" spans="1:19" x14ac:dyDescent="0.4">
      <c r="A203" s="7">
        <v>202</v>
      </c>
      <c r="B203" s="8" t="s">
        <v>1492</v>
      </c>
      <c r="C203" s="19" t="str">
        <f t="shared" si="12"/>
        <v>경기도</v>
      </c>
      <c r="D203" s="17" t="str">
        <f t="shared" si="13"/>
        <v>가평군</v>
      </c>
      <c r="E203" s="8" t="s">
        <v>1493</v>
      </c>
      <c r="F203" s="3" t="s">
        <v>1028</v>
      </c>
      <c r="G203" s="3" t="s">
        <v>1465</v>
      </c>
      <c r="H203" s="7" t="s">
        <v>19</v>
      </c>
      <c r="I203" s="15" t="str">
        <f t="shared" si="14"/>
        <v>없음</v>
      </c>
      <c r="J203" s="8" t="s">
        <v>302</v>
      </c>
      <c r="K203" s="3" t="s">
        <v>19</v>
      </c>
      <c r="L203" s="3" t="s">
        <v>19</v>
      </c>
      <c r="M203" s="3" t="s">
        <v>21</v>
      </c>
      <c r="N203" s="3" t="s">
        <v>22</v>
      </c>
      <c r="O203" s="13">
        <v>274</v>
      </c>
      <c r="P203" s="11" t="str">
        <f t="shared" si="15"/>
        <v>01. 1,000㎡ 미만</v>
      </c>
      <c r="Q203" s="8" t="s">
        <v>23</v>
      </c>
      <c r="R203" s="3" t="s">
        <v>24</v>
      </c>
      <c r="S203" s="3" t="s">
        <v>19</v>
      </c>
    </row>
    <row r="204" spans="1:19" x14ac:dyDescent="0.4">
      <c r="A204" s="7">
        <v>203</v>
      </c>
      <c r="B204" s="8" t="s">
        <v>1494</v>
      </c>
      <c r="C204" s="19" t="str">
        <f t="shared" si="12"/>
        <v>경기도</v>
      </c>
      <c r="D204" s="17" t="str">
        <f t="shared" si="13"/>
        <v>가평군</v>
      </c>
      <c r="E204" s="8" t="s">
        <v>1495</v>
      </c>
      <c r="F204" s="3" t="s">
        <v>1028</v>
      </c>
      <c r="G204" s="3" t="s">
        <v>1465</v>
      </c>
      <c r="H204" s="7" t="s">
        <v>19</v>
      </c>
      <c r="I204" s="15" t="str">
        <f t="shared" si="14"/>
        <v>없음</v>
      </c>
      <c r="J204" s="8" t="s">
        <v>302</v>
      </c>
      <c r="K204" s="3" t="s">
        <v>19</v>
      </c>
      <c r="L204" s="3" t="s">
        <v>19</v>
      </c>
      <c r="M204" s="3" t="s">
        <v>21</v>
      </c>
      <c r="N204" s="3" t="s">
        <v>22</v>
      </c>
      <c r="O204" s="13">
        <v>391</v>
      </c>
      <c r="P204" s="11" t="str">
        <f t="shared" si="15"/>
        <v>01. 1,000㎡ 미만</v>
      </c>
      <c r="Q204" s="8" t="s">
        <v>23</v>
      </c>
      <c r="R204" s="3" t="s">
        <v>24</v>
      </c>
      <c r="S204" s="3" t="s">
        <v>19</v>
      </c>
    </row>
    <row r="205" spans="1:19" x14ac:dyDescent="0.4">
      <c r="A205" s="7">
        <v>204</v>
      </c>
      <c r="B205" s="8" t="s">
        <v>1496</v>
      </c>
      <c r="C205" s="19" t="str">
        <f t="shared" si="12"/>
        <v>경기도</v>
      </c>
      <c r="D205" s="17" t="str">
        <f t="shared" si="13"/>
        <v>가평군</v>
      </c>
      <c r="E205" s="8" t="s">
        <v>1497</v>
      </c>
      <c r="F205" s="3" t="s">
        <v>1028</v>
      </c>
      <c r="G205" s="3" t="s">
        <v>1465</v>
      </c>
      <c r="H205" s="7" t="s">
        <v>19</v>
      </c>
      <c r="I205" s="15" t="str">
        <f t="shared" si="14"/>
        <v>없음</v>
      </c>
      <c r="J205" s="8" t="s">
        <v>302</v>
      </c>
      <c r="K205" s="3" t="s">
        <v>19</v>
      </c>
      <c r="L205" s="3" t="s">
        <v>19</v>
      </c>
      <c r="M205" s="3" t="s">
        <v>21</v>
      </c>
      <c r="N205" s="3" t="s">
        <v>22</v>
      </c>
      <c r="O205" s="13">
        <v>162</v>
      </c>
      <c r="P205" s="11" t="str">
        <f t="shared" si="15"/>
        <v>01. 1,000㎡ 미만</v>
      </c>
      <c r="Q205" s="8" t="s">
        <v>1498</v>
      </c>
      <c r="R205" s="3" t="s">
        <v>24</v>
      </c>
      <c r="S205" s="3" t="s">
        <v>19</v>
      </c>
    </row>
    <row r="206" spans="1:19" x14ac:dyDescent="0.4">
      <c r="A206" s="7">
        <v>205</v>
      </c>
      <c r="B206" s="8" t="s">
        <v>858</v>
      </c>
      <c r="C206" s="19" t="str">
        <f t="shared" si="12"/>
        <v>충청남도</v>
      </c>
      <c r="D206" s="17" t="str">
        <f t="shared" si="13"/>
        <v>당진시</v>
      </c>
      <c r="E206" s="8" t="s">
        <v>859</v>
      </c>
      <c r="F206" s="3" t="s">
        <v>1505</v>
      </c>
      <c r="G206" s="3" t="s">
        <v>113</v>
      </c>
      <c r="H206" s="7" t="s">
        <v>1506</v>
      </c>
      <c r="I206" s="15" t="str">
        <f t="shared" si="14"/>
        <v>있음</v>
      </c>
      <c r="J206" s="8" t="s">
        <v>863</v>
      </c>
      <c r="K206" s="3" t="s">
        <v>1506</v>
      </c>
      <c r="L206" s="3" t="s">
        <v>19</v>
      </c>
      <c r="M206" s="3" t="s">
        <v>21</v>
      </c>
      <c r="N206" s="3" t="s">
        <v>22</v>
      </c>
      <c r="O206" s="13">
        <v>194</v>
      </c>
      <c r="P206" s="11" t="str">
        <f t="shared" si="15"/>
        <v>01. 1,000㎡ 미만</v>
      </c>
      <c r="Q206" s="8" t="s">
        <v>1507</v>
      </c>
      <c r="R206" s="3" t="s">
        <v>24</v>
      </c>
      <c r="S206" s="3" t="s">
        <v>19</v>
      </c>
    </row>
    <row r="207" spans="1:19" x14ac:dyDescent="0.4">
      <c r="A207" s="7">
        <v>206</v>
      </c>
      <c r="B207" s="8" t="s">
        <v>1508</v>
      </c>
      <c r="C207" s="19" t="str">
        <f t="shared" si="12"/>
        <v>강원특별자치도</v>
      </c>
      <c r="D207" s="17" t="str">
        <f t="shared" si="13"/>
        <v>춘천시</v>
      </c>
      <c r="E207" s="8" t="s">
        <v>1509</v>
      </c>
      <c r="F207" s="3" t="s">
        <v>1510</v>
      </c>
      <c r="G207" s="3" t="s">
        <v>913</v>
      </c>
      <c r="H207" s="7" t="s">
        <v>19</v>
      </c>
      <c r="I207" s="15" t="str">
        <f t="shared" si="14"/>
        <v>없음</v>
      </c>
      <c r="J207" s="8" t="s">
        <v>1511</v>
      </c>
      <c r="K207" s="3" t="s">
        <v>19</v>
      </c>
      <c r="L207" s="3" t="s">
        <v>19</v>
      </c>
      <c r="M207" s="3" t="s">
        <v>21</v>
      </c>
      <c r="N207" s="3" t="s">
        <v>22</v>
      </c>
      <c r="O207" s="13">
        <v>300</v>
      </c>
      <c r="P207" s="11" t="str">
        <f t="shared" si="15"/>
        <v>01. 1,000㎡ 미만</v>
      </c>
      <c r="Q207" s="8" t="s">
        <v>1498</v>
      </c>
      <c r="R207" s="3" t="s">
        <v>24</v>
      </c>
      <c r="S207" s="3" t="s">
        <v>19</v>
      </c>
    </row>
    <row r="208" spans="1:19" x14ac:dyDescent="0.4">
      <c r="A208" s="7">
        <v>207</v>
      </c>
      <c r="B208" s="8" t="s">
        <v>1512</v>
      </c>
      <c r="C208" s="19" t="str">
        <f t="shared" si="12"/>
        <v>강원특별자치도</v>
      </c>
      <c r="D208" s="17" t="str">
        <f t="shared" si="13"/>
        <v>춘천시</v>
      </c>
      <c r="E208" s="8" t="s">
        <v>1513</v>
      </c>
      <c r="F208" s="3" t="s">
        <v>1514</v>
      </c>
      <c r="G208" s="3" t="s">
        <v>119</v>
      </c>
      <c r="H208" s="7" t="s">
        <v>1515</v>
      </c>
      <c r="I208" s="15" t="str">
        <f t="shared" si="14"/>
        <v>있음</v>
      </c>
      <c r="J208" s="8" t="s">
        <v>19</v>
      </c>
      <c r="K208" s="3" t="s">
        <v>1516</v>
      </c>
      <c r="L208" s="3" t="s">
        <v>19</v>
      </c>
      <c r="M208" s="3" t="s">
        <v>21</v>
      </c>
      <c r="N208" s="3" t="s">
        <v>22</v>
      </c>
      <c r="O208" s="13">
        <v>4983</v>
      </c>
      <c r="P208" s="11" t="str">
        <f t="shared" si="15"/>
        <v>03. 1,500㎡ 이상</v>
      </c>
      <c r="Q208" s="8" t="s">
        <v>1498</v>
      </c>
      <c r="R208" s="3" t="s">
        <v>24</v>
      </c>
      <c r="S208" s="3" t="s">
        <v>19</v>
      </c>
    </row>
    <row r="209" spans="1:19" x14ac:dyDescent="0.4">
      <c r="A209" s="7">
        <v>208</v>
      </c>
      <c r="B209" s="8" t="s">
        <v>1524</v>
      </c>
      <c r="C209" s="19" t="str">
        <f t="shared" si="12"/>
        <v>경상남도</v>
      </c>
      <c r="D209" s="17" t="str">
        <f t="shared" si="13"/>
        <v>합천군</v>
      </c>
      <c r="E209" s="8" t="s">
        <v>1525</v>
      </c>
      <c r="F209" s="3" t="s">
        <v>1526</v>
      </c>
      <c r="G209" s="3" t="s">
        <v>1527</v>
      </c>
      <c r="H209" s="7" t="s">
        <v>1528</v>
      </c>
      <c r="I209" s="15" t="str">
        <f t="shared" si="14"/>
        <v>있음</v>
      </c>
      <c r="J209" s="8" t="s">
        <v>1529</v>
      </c>
      <c r="K209" s="3" t="s">
        <v>19</v>
      </c>
      <c r="L209" s="3" t="s">
        <v>19</v>
      </c>
      <c r="M209" s="3" t="s">
        <v>21</v>
      </c>
      <c r="N209" s="3" t="s">
        <v>22</v>
      </c>
      <c r="O209" s="13">
        <v>495</v>
      </c>
      <c r="P209" s="11" t="str">
        <f t="shared" si="15"/>
        <v>01. 1,000㎡ 미만</v>
      </c>
      <c r="Q209" s="8" t="s">
        <v>1498</v>
      </c>
      <c r="R209" s="3" t="s">
        <v>24</v>
      </c>
      <c r="S209" s="3" t="s">
        <v>19</v>
      </c>
    </row>
    <row r="210" spans="1:19" x14ac:dyDescent="0.4">
      <c r="A210" s="7">
        <v>209</v>
      </c>
      <c r="B210" s="8" t="s">
        <v>1538</v>
      </c>
      <c r="C210" s="19" t="str">
        <f t="shared" si="12"/>
        <v>경기도</v>
      </c>
      <c r="D210" s="17" t="str">
        <f t="shared" si="13"/>
        <v>용인시</v>
      </c>
      <c r="E210" s="8" t="s">
        <v>1539</v>
      </c>
      <c r="F210" s="3" t="s">
        <v>1540</v>
      </c>
      <c r="G210" s="3" t="s">
        <v>1533</v>
      </c>
      <c r="H210" s="7" t="s">
        <v>1541</v>
      </c>
      <c r="I210" s="15" t="str">
        <f t="shared" si="14"/>
        <v>있음</v>
      </c>
      <c r="J210" s="8" t="s">
        <v>1542</v>
      </c>
      <c r="K210" s="3" t="s">
        <v>1542</v>
      </c>
      <c r="L210" s="3" t="s">
        <v>19</v>
      </c>
      <c r="M210" s="3" t="s">
        <v>21</v>
      </c>
      <c r="N210" s="3" t="s">
        <v>22</v>
      </c>
      <c r="O210" s="13">
        <v>3586</v>
      </c>
      <c r="P210" s="11" t="str">
        <f t="shared" si="15"/>
        <v>03. 1,500㎡ 이상</v>
      </c>
      <c r="Q210" s="8" t="s">
        <v>1498</v>
      </c>
      <c r="R210" s="3" t="s">
        <v>24</v>
      </c>
      <c r="S210" s="3" t="s">
        <v>19</v>
      </c>
    </row>
    <row r="211" spans="1:19" x14ac:dyDescent="0.4">
      <c r="A211" s="7">
        <v>210</v>
      </c>
      <c r="B211" s="8" t="s">
        <v>1557</v>
      </c>
      <c r="C211" s="19" t="str">
        <f t="shared" si="12"/>
        <v>서울특별시</v>
      </c>
      <c r="D211" s="17" t="str">
        <f t="shared" si="13"/>
        <v>종로구</v>
      </c>
      <c r="E211" s="8" t="s">
        <v>1558</v>
      </c>
      <c r="F211" s="3" t="s">
        <v>1559</v>
      </c>
      <c r="G211" s="3" t="s">
        <v>1554</v>
      </c>
      <c r="H211" s="7" t="s">
        <v>1560</v>
      </c>
      <c r="I211" s="15" t="str">
        <f t="shared" si="14"/>
        <v>있음</v>
      </c>
      <c r="J211" s="8" t="s">
        <v>1561</v>
      </c>
      <c r="K211" s="3" t="s">
        <v>1561</v>
      </c>
      <c r="L211" s="3" t="s">
        <v>1562</v>
      </c>
      <c r="M211" s="3" t="s">
        <v>21</v>
      </c>
      <c r="N211" s="3" t="s">
        <v>22</v>
      </c>
      <c r="O211" s="13">
        <v>1331</v>
      </c>
      <c r="P211" s="11" t="str">
        <f t="shared" si="15"/>
        <v>02. 1,000㎡ 이상</v>
      </c>
      <c r="Q211" s="8" t="s">
        <v>1498</v>
      </c>
      <c r="R211" s="3" t="s">
        <v>24</v>
      </c>
      <c r="S211" s="3" t="s">
        <v>19</v>
      </c>
    </row>
    <row r="212" spans="1:19" x14ac:dyDescent="0.4">
      <c r="A212" s="7">
        <v>211</v>
      </c>
      <c r="B212" s="8" t="s">
        <v>1563</v>
      </c>
      <c r="C212" s="19" t="str">
        <f t="shared" si="12"/>
        <v>전라남도</v>
      </c>
      <c r="D212" s="17" t="str">
        <f t="shared" si="13"/>
        <v>여수시</v>
      </c>
      <c r="E212" s="8" t="s">
        <v>1552</v>
      </c>
      <c r="F212" s="3" t="s">
        <v>1564</v>
      </c>
      <c r="G212" s="3" t="s">
        <v>1554</v>
      </c>
      <c r="H212" s="7" t="s">
        <v>1555</v>
      </c>
      <c r="I212" s="15" t="str">
        <f t="shared" si="14"/>
        <v>있음</v>
      </c>
      <c r="J212" s="8" t="s">
        <v>1556</v>
      </c>
      <c r="K212" s="3" t="s">
        <v>1556</v>
      </c>
      <c r="L212" s="3" t="s">
        <v>19</v>
      </c>
      <c r="M212" s="3" t="s">
        <v>21</v>
      </c>
      <c r="N212" s="3" t="s">
        <v>22</v>
      </c>
      <c r="O212" s="13">
        <v>888</v>
      </c>
      <c r="P212" s="11" t="str">
        <f t="shared" si="15"/>
        <v>01. 1,000㎡ 미만</v>
      </c>
      <c r="Q212" s="8" t="s">
        <v>1498</v>
      </c>
      <c r="R212" s="3" t="s">
        <v>24</v>
      </c>
      <c r="S212" s="3" t="s">
        <v>19</v>
      </c>
    </row>
    <row r="213" spans="1:19" x14ac:dyDescent="0.4">
      <c r="A213" s="7">
        <v>212</v>
      </c>
      <c r="B213" s="8" t="s">
        <v>1575</v>
      </c>
      <c r="C213" s="19" t="str">
        <f t="shared" si="12"/>
        <v>전라남도</v>
      </c>
      <c r="D213" s="17" t="str">
        <f t="shared" si="13"/>
        <v>여수시</v>
      </c>
      <c r="E213" s="8" t="s">
        <v>1576</v>
      </c>
      <c r="F213" s="3" t="s">
        <v>1577</v>
      </c>
      <c r="G213" s="3" t="s">
        <v>1578</v>
      </c>
      <c r="H213" s="7" t="s">
        <v>1579</v>
      </c>
      <c r="I213" s="15" t="str">
        <f t="shared" si="14"/>
        <v>있음</v>
      </c>
      <c r="J213" s="8" t="s">
        <v>1580</v>
      </c>
      <c r="K213" s="3" t="s">
        <v>19</v>
      </c>
      <c r="L213" s="3" t="s">
        <v>19</v>
      </c>
      <c r="M213" s="3" t="s">
        <v>21</v>
      </c>
      <c r="N213" s="3" t="s">
        <v>22</v>
      </c>
      <c r="O213" s="13">
        <v>268</v>
      </c>
      <c r="P213" s="11" t="str">
        <f t="shared" si="15"/>
        <v>01. 1,000㎡ 미만</v>
      </c>
      <c r="Q213" s="8" t="s">
        <v>129</v>
      </c>
      <c r="R213" s="3" t="s">
        <v>24</v>
      </c>
      <c r="S213" s="3" t="s">
        <v>19</v>
      </c>
    </row>
    <row r="214" spans="1:19" x14ac:dyDescent="0.4">
      <c r="A214" s="7">
        <v>213</v>
      </c>
      <c r="B214" s="8" t="s">
        <v>1592</v>
      </c>
      <c r="C214" s="19" t="str">
        <f t="shared" si="12"/>
        <v>충청남도</v>
      </c>
      <c r="D214" s="17" t="str">
        <f t="shared" si="13"/>
        <v>계룡시</v>
      </c>
      <c r="E214" s="8" t="s">
        <v>1593</v>
      </c>
      <c r="F214" s="3" t="s">
        <v>991</v>
      </c>
      <c r="G214" s="3" t="s">
        <v>1594</v>
      </c>
      <c r="H214" s="7" t="s">
        <v>19</v>
      </c>
      <c r="I214" s="15" t="str">
        <f t="shared" si="14"/>
        <v>없음</v>
      </c>
      <c r="J214" s="8" t="s">
        <v>1595</v>
      </c>
      <c r="K214" s="3" t="s">
        <v>19</v>
      </c>
      <c r="L214" s="3" t="s">
        <v>1596</v>
      </c>
      <c r="M214" s="3" t="s">
        <v>21</v>
      </c>
      <c r="N214" s="3" t="s">
        <v>147</v>
      </c>
      <c r="O214" s="13">
        <v>1994</v>
      </c>
      <c r="P214" s="11" t="str">
        <f t="shared" si="15"/>
        <v>03. 1,500㎡ 이상</v>
      </c>
      <c r="Q214" s="8" t="s">
        <v>123</v>
      </c>
      <c r="R214" s="3" t="s">
        <v>24</v>
      </c>
      <c r="S214" s="3" t="s">
        <v>19</v>
      </c>
    </row>
    <row r="215" spans="1:19" x14ac:dyDescent="0.4">
      <c r="A215" s="7">
        <v>214</v>
      </c>
      <c r="B215" s="8" t="s">
        <v>1597</v>
      </c>
      <c r="C215" s="19" t="str">
        <f t="shared" si="12"/>
        <v>강원특별자치도</v>
      </c>
      <c r="D215" s="17" t="str">
        <f t="shared" si="13"/>
        <v>춘천시</v>
      </c>
      <c r="E215" s="8" t="s">
        <v>1598</v>
      </c>
      <c r="F215" s="3" t="s">
        <v>1599</v>
      </c>
      <c r="G215" s="3" t="s">
        <v>1600</v>
      </c>
      <c r="H215" s="7" t="s">
        <v>19</v>
      </c>
      <c r="I215" s="15" t="str">
        <f t="shared" si="14"/>
        <v>없음</v>
      </c>
      <c r="J215" s="8" t="s">
        <v>436</v>
      </c>
      <c r="K215" s="3" t="s">
        <v>19</v>
      </c>
      <c r="L215" s="3" t="s">
        <v>19</v>
      </c>
      <c r="M215" s="3" t="s">
        <v>21</v>
      </c>
      <c r="N215" s="3" t="s">
        <v>147</v>
      </c>
      <c r="O215" s="13">
        <v>923</v>
      </c>
      <c r="P215" s="11" t="str">
        <f t="shared" si="15"/>
        <v>01. 1,000㎡ 미만</v>
      </c>
      <c r="Q215" s="8" t="s">
        <v>1498</v>
      </c>
      <c r="R215" s="3" t="s">
        <v>24</v>
      </c>
      <c r="S215" s="3" t="s">
        <v>19</v>
      </c>
    </row>
    <row r="216" spans="1:19" x14ac:dyDescent="0.4">
      <c r="A216" s="7">
        <v>215</v>
      </c>
      <c r="B216" s="8" t="s">
        <v>1608</v>
      </c>
      <c r="C216" s="19" t="str">
        <f t="shared" si="12"/>
        <v>경기도</v>
      </c>
      <c r="D216" s="17" t="str">
        <f t="shared" si="13"/>
        <v>가평군</v>
      </c>
      <c r="E216" s="8" t="s">
        <v>1609</v>
      </c>
      <c r="F216" s="3" t="s">
        <v>1610</v>
      </c>
      <c r="G216" s="3" t="s">
        <v>1611</v>
      </c>
      <c r="H216" s="7" t="s">
        <v>1612</v>
      </c>
      <c r="I216" s="15" t="str">
        <f t="shared" si="14"/>
        <v>있음</v>
      </c>
      <c r="J216" s="8" t="s">
        <v>302</v>
      </c>
      <c r="K216" s="3" t="s">
        <v>19</v>
      </c>
      <c r="L216" s="3" t="s">
        <v>19</v>
      </c>
      <c r="M216" s="3" t="s">
        <v>21</v>
      </c>
      <c r="N216" s="3" t="s">
        <v>22</v>
      </c>
      <c r="O216" s="13">
        <v>197</v>
      </c>
      <c r="P216" s="11" t="str">
        <f t="shared" si="15"/>
        <v>01. 1,000㎡ 미만</v>
      </c>
      <c r="Q216" s="8" t="s">
        <v>123</v>
      </c>
      <c r="R216" s="3" t="s">
        <v>24</v>
      </c>
      <c r="S216" s="3" t="s">
        <v>19</v>
      </c>
    </row>
    <row r="217" spans="1:19" x14ac:dyDescent="0.4">
      <c r="A217" s="7">
        <v>216</v>
      </c>
      <c r="B217" s="8" t="s">
        <v>1613</v>
      </c>
      <c r="C217" s="19" t="str">
        <f t="shared" si="12"/>
        <v>제주특별자치도</v>
      </c>
      <c r="D217" s="17" t="str">
        <f t="shared" si="13"/>
        <v>서귀포시</v>
      </c>
      <c r="E217" s="8" t="s">
        <v>1614</v>
      </c>
      <c r="F217" s="3" t="s">
        <v>1615</v>
      </c>
      <c r="G217" s="3" t="s">
        <v>1616</v>
      </c>
      <c r="H217" s="7" t="s">
        <v>19</v>
      </c>
      <c r="I217" s="15" t="str">
        <f t="shared" si="14"/>
        <v>없음</v>
      </c>
      <c r="J217" s="8" t="s">
        <v>1617</v>
      </c>
      <c r="K217" s="3" t="s">
        <v>19</v>
      </c>
      <c r="L217" s="3" t="s">
        <v>19</v>
      </c>
      <c r="M217" s="3" t="s">
        <v>21</v>
      </c>
      <c r="N217" s="3" t="s">
        <v>22</v>
      </c>
      <c r="O217" s="13">
        <v>61</v>
      </c>
      <c r="P217" s="11" t="str">
        <f t="shared" si="15"/>
        <v>01. 1,000㎡ 미만</v>
      </c>
      <c r="Q217" s="8" t="s">
        <v>1498</v>
      </c>
      <c r="R217" s="3" t="s">
        <v>24</v>
      </c>
      <c r="S217" s="3" t="s">
        <v>19</v>
      </c>
    </row>
    <row r="218" spans="1:19" x14ac:dyDescent="0.4">
      <c r="A218" s="7">
        <v>217</v>
      </c>
      <c r="B218" s="8" t="s">
        <v>1618</v>
      </c>
      <c r="C218" s="19" t="str">
        <f t="shared" si="12"/>
        <v>전라남도</v>
      </c>
      <c r="D218" s="17" t="str">
        <f t="shared" si="13"/>
        <v>장흥군</v>
      </c>
      <c r="E218" s="8" t="s">
        <v>1619</v>
      </c>
      <c r="F218" s="3" t="s">
        <v>1620</v>
      </c>
      <c r="G218" s="3" t="s">
        <v>1621</v>
      </c>
      <c r="H218" s="7" t="s">
        <v>1622</v>
      </c>
      <c r="I218" s="15" t="str">
        <f t="shared" si="14"/>
        <v>있음</v>
      </c>
      <c r="J218" s="8" t="s">
        <v>1623</v>
      </c>
      <c r="K218" s="3" t="s">
        <v>1623</v>
      </c>
      <c r="L218" s="3" t="s">
        <v>19</v>
      </c>
      <c r="M218" s="3" t="s">
        <v>21</v>
      </c>
      <c r="N218" s="3" t="s">
        <v>22</v>
      </c>
      <c r="O218" s="13">
        <v>2120</v>
      </c>
      <c r="P218" s="11" t="str">
        <f t="shared" si="15"/>
        <v>03. 1,500㎡ 이상</v>
      </c>
      <c r="Q218" s="8" t="s">
        <v>1498</v>
      </c>
      <c r="R218" s="3" t="s">
        <v>24</v>
      </c>
      <c r="S218" s="3" t="s">
        <v>19</v>
      </c>
    </row>
    <row r="219" spans="1:19" x14ac:dyDescent="0.4">
      <c r="A219" s="7">
        <v>218</v>
      </c>
      <c r="B219" s="8" t="s">
        <v>1637</v>
      </c>
      <c r="C219" s="19" t="str">
        <f t="shared" si="12"/>
        <v>경기도</v>
      </c>
      <c r="D219" s="17" t="str">
        <f t="shared" si="13"/>
        <v>파주시</v>
      </c>
      <c r="E219" s="8" t="s">
        <v>1638</v>
      </c>
      <c r="F219" s="3" t="s">
        <v>1639</v>
      </c>
      <c r="G219" s="3" t="s">
        <v>1108</v>
      </c>
      <c r="H219" s="7" t="s">
        <v>1640</v>
      </c>
      <c r="I219" s="15" t="str">
        <f t="shared" si="14"/>
        <v>있음</v>
      </c>
      <c r="J219" s="8" t="s">
        <v>1641</v>
      </c>
      <c r="K219" s="3" t="s">
        <v>1641</v>
      </c>
      <c r="L219" s="3" t="s">
        <v>19</v>
      </c>
      <c r="M219" s="3" t="s">
        <v>21</v>
      </c>
      <c r="N219" s="3" t="s">
        <v>22</v>
      </c>
      <c r="O219" s="13">
        <v>4668</v>
      </c>
      <c r="P219" s="11" t="str">
        <f t="shared" si="15"/>
        <v>03. 1,500㎡ 이상</v>
      </c>
      <c r="Q219" s="8" t="s">
        <v>129</v>
      </c>
      <c r="R219" s="3" t="s">
        <v>24</v>
      </c>
      <c r="S219" s="3" t="s">
        <v>19</v>
      </c>
    </row>
    <row r="220" spans="1:19" x14ac:dyDescent="0.4">
      <c r="A220" s="7">
        <v>219</v>
      </c>
      <c r="B220" s="8" t="s">
        <v>1648</v>
      </c>
      <c r="C220" s="19" t="str">
        <f t="shared" si="12"/>
        <v>경상남도</v>
      </c>
      <c r="D220" s="17" t="str">
        <f t="shared" si="13"/>
        <v>고성군</v>
      </c>
      <c r="E220" s="8" t="s">
        <v>1649</v>
      </c>
      <c r="F220" s="3" t="s">
        <v>1099</v>
      </c>
      <c r="G220" s="3" t="s">
        <v>1645</v>
      </c>
      <c r="H220" s="7" t="s">
        <v>1650</v>
      </c>
      <c r="I220" s="15" t="str">
        <f t="shared" si="14"/>
        <v>있음</v>
      </c>
      <c r="J220" s="8" t="s">
        <v>19</v>
      </c>
      <c r="K220" s="3" t="s">
        <v>19</v>
      </c>
      <c r="L220" s="3" t="s">
        <v>1651</v>
      </c>
      <c r="M220" s="3" t="s">
        <v>21</v>
      </c>
      <c r="N220" s="3" t="s">
        <v>22</v>
      </c>
      <c r="O220" s="13">
        <v>597</v>
      </c>
      <c r="P220" s="11" t="str">
        <f t="shared" si="15"/>
        <v>01. 1,000㎡ 미만</v>
      </c>
      <c r="Q220" s="8" t="s">
        <v>1498</v>
      </c>
      <c r="R220" s="3" t="s">
        <v>24</v>
      </c>
      <c r="S220" s="3" t="s">
        <v>19</v>
      </c>
    </row>
    <row r="221" spans="1:19" x14ac:dyDescent="0.4">
      <c r="A221" s="7">
        <v>220</v>
      </c>
      <c r="B221" s="8" t="s">
        <v>1652</v>
      </c>
      <c r="C221" s="19" t="str">
        <f t="shared" si="12"/>
        <v>경기도</v>
      </c>
      <c r="D221" s="17" t="str">
        <f t="shared" si="13"/>
        <v>양평군</v>
      </c>
      <c r="E221" s="8" t="s">
        <v>1653</v>
      </c>
      <c r="F221" s="3" t="s">
        <v>1654</v>
      </c>
      <c r="G221" s="3" t="s">
        <v>1655</v>
      </c>
      <c r="H221" s="7" t="s">
        <v>1656</v>
      </c>
      <c r="I221" s="15" t="str">
        <f t="shared" si="14"/>
        <v>있음</v>
      </c>
      <c r="J221" s="8" t="s">
        <v>1657</v>
      </c>
      <c r="K221" s="3" t="s">
        <v>19</v>
      </c>
      <c r="L221" s="3" t="s">
        <v>19</v>
      </c>
      <c r="M221" s="3" t="s">
        <v>21</v>
      </c>
      <c r="N221" s="3" t="s">
        <v>22</v>
      </c>
      <c r="O221" s="13">
        <v>358</v>
      </c>
      <c r="P221" s="11" t="str">
        <f t="shared" si="15"/>
        <v>01. 1,000㎡ 미만</v>
      </c>
      <c r="Q221" s="8" t="s">
        <v>1498</v>
      </c>
      <c r="R221" s="3" t="s">
        <v>24</v>
      </c>
      <c r="S221" s="3" t="s">
        <v>19</v>
      </c>
    </row>
    <row r="222" spans="1:19" x14ac:dyDescent="0.4">
      <c r="A222" s="7">
        <v>221</v>
      </c>
      <c r="B222" s="8" t="s">
        <v>1676</v>
      </c>
      <c r="C222" s="19" t="str">
        <f t="shared" si="12"/>
        <v>인천광역시</v>
      </c>
      <c r="D222" s="17" t="str">
        <f t="shared" si="13"/>
        <v>중구</v>
      </c>
      <c r="E222" s="8" t="s">
        <v>1677</v>
      </c>
      <c r="F222" s="3" t="s">
        <v>1678</v>
      </c>
      <c r="G222" s="3" t="s">
        <v>1679</v>
      </c>
      <c r="H222" s="7" t="s">
        <v>1680</v>
      </c>
      <c r="I222" s="15" t="str">
        <f t="shared" si="14"/>
        <v>있음</v>
      </c>
      <c r="J222" s="8" t="s">
        <v>19</v>
      </c>
      <c r="K222" s="3" t="s">
        <v>19</v>
      </c>
      <c r="L222" s="3" t="s">
        <v>19</v>
      </c>
      <c r="M222" s="3" t="s">
        <v>21</v>
      </c>
      <c r="N222" s="3" t="s">
        <v>228</v>
      </c>
      <c r="O222" s="13">
        <v>598</v>
      </c>
      <c r="P222" s="11" t="str">
        <f t="shared" si="15"/>
        <v>01. 1,000㎡ 미만</v>
      </c>
      <c r="Q222" s="8" t="s">
        <v>123</v>
      </c>
      <c r="R222" s="3" t="s">
        <v>24</v>
      </c>
      <c r="S222" s="3" t="s">
        <v>19</v>
      </c>
    </row>
    <row r="223" spans="1:19" x14ac:dyDescent="0.4">
      <c r="A223" s="7">
        <v>222</v>
      </c>
      <c r="B223" s="8" t="s">
        <v>1701</v>
      </c>
      <c r="C223" s="19" t="str">
        <f t="shared" si="12"/>
        <v>경기도</v>
      </c>
      <c r="D223" s="17" t="str">
        <f t="shared" si="13"/>
        <v>양평군</v>
      </c>
      <c r="E223" s="8" t="s">
        <v>1702</v>
      </c>
      <c r="F223" s="3" t="s">
        <v>1703</v>
      </c>
      <c r="G223" s="3" t="s">
        <v>1699</v>
      </c>
      <c r="H223" s="7" t="s">
        <v>19</v>
      </c>
      <c r="I223" s="15" t="str">
        <f t="shared" si="14"/>
        <v>없음</v>
      </c>
      <c r="J223" s="8" t="s">
        <v>1704</v>
      </c>
      <c r="K223" s="3" t="s">
        <v>19</v>
      </c>
      <c r="L223" s="3" t="s">
        <v>19</v>
      </c>
      <c r="M223" s="3" t="s">
        <v>21</v>
      </c>
      <c r="N223" s="3" t="s">
        <v>22</v>
      </c>
      <c r="O223" s="13">
        <v>194</v>
      </c>
      <c r="P223" s="11" t="str">
        <f t="shared" si="15"/>
        <v>01. 1,000㎡ 미만</v>
      </c>
      <c r="Q223" s="8" t="s">
        <v>657</v>
      </c>
      <c r="R223" s="3" t="s">
        <v>24</v>
      </c>
      <c r="S223" s="3" t="s">
        <v>19</v>
      </c>
    </row>
    <row r="224" spans="1:19" x14ac:dyDescent="0.4">
      <c r="A224" s="7">
        <v>223</v>
      </c>
      <c r="B224" s="8" t="s">
        <v>1746</v>
      </c>
      <c r="C224" s="19" t="str">
        <f t="shared" si="12"/>
        <v>인천광역시</v>
      </c>
      <c r="D224" s="17" t="str">
        <f t="shared" si="13"/>
        <v>강화군</v>
      </c>
      <c r="E224" s="8" t="s">
        <v>1747</v>
      </c>
      <c r="F224" s="3" t="s">
        <v>1748</v>
      </c>
      <c r="G224" s="3" t="s">
        <v>1749</v>
      </c>
      <c r="H224" s="7" t="s">
        <v>1750</v>
      </c>
      <c r="I224" s="15" t="str">
        <f t="shared" si="14"/>
        <v>있음</v>
      </c>
      <c r="J224" s="8" t="s">
        <v>1751</v>
      </c>
      <c r="K224" s="3" t="s">
        <v>19</v>
      </c>
      <c r="L224" s="3" t="s">
        <v>19</v>
      </c>
      <c r="M224" s="3" t="s">
        <v>21</v>
      </c>
      <c r="N224" s="3" t="s">
        <v>22</v>
      </c>
      <c r="O224" s="13">
        <v>530</v>
      </c>
      <c r="P224" s="11" t="str">
        <f t="shared" si="15"/>
        <v>01. 1,000㎡ 미만</v>
      </c>
      <c r="Q224" s="8" t="s">
        <v>1498</v>
      </c>
      <c r="R224" s="3" t="s">
        <v>24</v>
      </c>
      <c r="S224" s="3" t="s">
        <v>19</v>
      </c>
    </row>
    <row r="225" spans="1:19" x14ac:dyDescent="0.4">
      <c r="A225" s="7">
        <v>224</v>
      </c>
      <c r="B225" s="8" t="s">
        <v>1759</v>
      </c>
      <c r="C225" s="19" t="str">
        <f t="shared" si="12"/>
        <v>경기도</v>
      </c>
      <c r="D225" s="17" t="str">
        <f t="shared" si="13"/>
        <v>용인시</v>
      </c>
      <c r="E225" s="8" t="s">
        <v>1760</v>
      </c>
      <c r="F225" s="3" t="s">
        <v>78</v>
      </c>
      <c r="G225" s="3" t="s">
        <v>1761</v>
      </c>
      <c r="H225" s="7" t="s">
        <v>1762</v>
      </c>
      <c r="I225" s="15" t="str">
        <f t="shared" si="14"/>
        <v>있음</v>
      </c>
      <c r="J225" s="8" t="s">
        <v>1763</v>
      </c>
      <c r="K225" s="3" t="s">
        <v>1763</v>
      </c>
      <c r="L225" s="3" t="s">
        <v>19</v>
      </c>
      <c r="M225" s="3" t="s">
        <v>21</v>
      </c>
      <c r="N225" s="3" t="s">
        <v>22</v>
      </c>
      <c r="O225" s="13">
        <v>1510</v>
      </c>
      <c r="P225" s="11" t="str">
        <f t="shared" si="15"/>
        <v>03. 1,500㎡ 이상</v>
      </c>
      <c r="Q225" s="8" t="s">
        <v>1498</v>
      </c>
      <c r="R225" s="3" t="s">
        <v>24</v>
      </c>
      <c r="S225" s="3" t="s">
        <v>19</v>
      </c>
    </row>
    <row r="226" spans="1:19" x14ac:dyDescent="0.4">
      <c r="A226" s="7">
        <v>225</v>
      </c>
      <c r="B226" s="8" t="s">
        <v>1759</v>
      </c>
      <c r="C226" s="19" t="str">
        <f t="shared" si="12"/>
        <v>경기도</v>
      </c>
      <c r="D226" s="17" t="str">
        <f t="shared" si="13"/>
        <v>용인시</v>
      </c>
      <c r="E226" s="8" t="s">
        <v>1764</v>
      </c>
      <c r="F226" s="3" t="s">
        <v>1765</v>
      </c>
      <c r="G226" s="3" t="s">
        <v>1761</v>
      </c>
      <c r="H226" s="7" t="s">
        <v>1762</v>
      </c>
      <c r="I226" s="15" t="str">
        <f t="shared" si="14"/>
        <v>있음</v>
      </c>
      <c r="J226" s="8" t="s">
        <v>1763</v>
      </c>
      <c r="K226" s="3" t="s">
        <v>1763</v>
      </c>
      <c r="L226" s="3" t="s">
        <v>19</v>
      </c>
      <c r="M226" s="3" t="s">
        <v>21</v>
      </c>
      <c r="N226" s="3" t="s">
        <v>22</v>
      </c>
      <c r="O226" s="13">
        <v>959</v>
      </c>
      <c r="P226" s="11" t="str">
        <f t="shared" si="15"/>
        <v>01. 1,000㎡ 미만</v>
      </c>
      <c r="Q226" s="8" t="s">
        <v>1498</v>
      </c>
      <c r="R226" s="3" t="s">
        <v>24</v>
      </c>
      <c r="S226" s="3" t="s">
        <v>19</v>
      </c>
    </row>
    <row r="227" spans="1:19" x14ac:dyDescent="0.4">
      <c r="A227" s="7">
        <v>226</v>
      </c>
      <c r="B227" s="8" t="s">
        <v>1766</v>
      </c>
      <c r="C227" s="19" t="str">
        <f t="shared" si="12"/>
        <v>강원특별자치도</v>
      </c>
      <c r="D227" s="17" t="str">
        <f t="shared" si="13"/>
        <v>양양군</v>
      </c>
      <c r="E227" s="8" t="s">
        <v>1767</v>
      </c>
      <c r="F227" s="3" t="s">
        <v>1768</v>
      </c>
      <c r="G227" s="3" t="s">
        <v>1626</v>
      </c>
      <c r="H227" s="7" t="s">
        <v>1769</v>
      </c>
      <c r="I227" s="15" t="str">
        <f t="shared" si="14"/>
        <v>있음</v>
      </c>
      <c r="J227" s="8" t="s">
        <v>1770</v>
      </c>
      <c r="K227" s="3" t="s">
        <v>1771</v>
      </c>
      <c r="L227" s="3" t="s">
        <v>1772</v>
      </c>
      <c r="M227" s="3" t="s">
        <v>21</v>
      </c>
      <c r="N227" s="3" t="s">
        <v>22</v>
      </c>
      <c r="O227" s="13">
        <v>46567</v>
      </c>
      <c r="P227" s="11" t="str">
        <f t="shared" si="15"/>
        <v>08. 4만㎡ 이상</v>
      </c>
      <c r="Q227" s="8" t="s">
        <v>1498</v>
      </c>
      <c r="R227" s="3" t="s">
        <v>24</v>
      </c>
      <c r="S227" s="3" t="s">
        <v>19</v>
      </c>
    </row>
    <row r="228" spans="1:19" x14ac:dyDescent="0.4">
      <c r="A228" s="7">
        <v>227</v>
      </c>
      <c r="B228" s="8" t="s">
        <v>1784</v>
      </c>
      <c r="C228" s="19" t="str">
        <f t="shared" si="12"/>
        <v>경기도</v>
      </c>
      <c r="D228" s="17" t="str">
        <f t="shared" si="13"/>
        <v>가평군</v>
      </c>
      <c r="E228" s="8" t="s">
        <v>1785</v>
      </c>
      <c r="F228" s="3" t="s">
        <v>1781</v>
      </c>
      <c r="G228" s="3" t="s">
        <v>1782</v>
      </c>
      <c r="H228" s="7" t="s">
        <v>19</v>
      </c>
      <c r="I228" s="15" t="str">
        <f t="shared" si="14"/>
        <v>없음</v>
      </c>
      <c r="J228" s="8" t="s">
        <v>302</v>
      </c>
      <c r="K228" s="3" t="s">
        <v>19</v>
      </c>
      <c r="L228" s="3" t="s">
        <v>19</v>
      </c>
      <c r="M228" s="3" t="s">
        <v>21</v>
      </c>
      <c r="N228" s="3" t="s">
        <v>22</v>
      </c>
      <c r="O228" s="13">
        <v>176</v>
      </c>
      <c r="P228" s="11" t="str">
        <f t="shared" si="15"/>
        <v>01. 1,000㎡ 미만</v>
      </c>
      <c r="Q228" s="8" t="s">
        <v>1498</v>
      </c>
      <c r="R228" s="3" t="s">
        <v>24</v>
      </c>
      <c r="S228" s="3" t="s">
        <v>19</v>
      </c>
    </row>
    <row r="229" spans="1:19" x14ac:dyDescent="0.4">
      <c r="A229" s="7">
        <v>228</v>
      </c>
      <c r="B229" s="8" t="s">
        <v>1786</v>
      </c>
      <c r="C229" s="19" t="str">
        <f t="shared" si="12"/>
        <v>경기도</v>
      </c>
      <c r="D229" s="17" t="str">
        <f t="shared" si="13"/>
        <v>가평군</v>
      </c>
      <c r="E229" s="8" t="s">
        <v>1785</v>
      </c>
      <c r="F229" s="3" t="s">
        <v>1781</v>
      </c>
      <c r="G229" s="3" t="s">
        <v>1782</v>
      </c>
      <c r="H229" s="7" t="s">
        <v>19</v>
      </c>
      <c r="I229" s="15" t="str">
        <f t="shared" si="14"/>
        <v>없음</v>
      </c>
      <c r="J229" s="8" t="s">
        <v>302</v>
      </c>
      <c r="K229" s="3" t="s">
        <v>19</v>
      </c>
      <c r="L229" s="3" t="s">
        <v>19</v>
      </c>
      <c r="M229" s="3" t="s">
        <v>21</v>
      </c>
      <c r="N229" s="3" t="s">
        <v>22</v>
      </c>
      <c r="O229" s="13">
        <v>88</v>
      </c>
      <c r="P229" s="11" t="str">
        <f t="shared" si="15"/>
        <v>01. 1,000㎡ 미만</v>
      </c>
      <c r="Q229" s="8" t="s">
        <v>1498</v>
      </c>
      <c r="R229" s="3" t="s">
        <v>24</v>
      </c>
      <c r="S229" s="3" t="s">
        <v>19</v>
      </c>
    </row>
    <row r="230" spans="1:19" x14ac:dyDescent="0.4">
      <c r="A230" s="7">
        <v>229</v>
      </c>
      <c r="B230" s="8" t="s">
        <v>1794</v>
      </c>
      <c r="C230" s="19" t="str">
        <f t="shared" si="12"/>
        <v>경기도</v>
      </c>
      <c r="D230" s="17" t="str">
        <f t="shared" si="13"/>
        <v>가평군</v>
      </c>
      <c r="E230" s="8" t="s">
        <v>1780</v>
      </c>
      <c r="F230" s="3" t="s">
        <v>1781</v>
      </c>
      <c r="G230" s="3" t="s">
        <v>1782</v>
      </c>
      <c r="H230" s="7" t="s">
        <v>19</v>
      </c>
      <c r="I230" s="15" t="str">
        <f t="shared" si="14"/>
        <v>없음</v>
      </c>
      <c r="J230" s="8" t="s">
        <v>302</v>
      </c>
      <c r="K230" s="3" t="s">
        <v>19</v>
      </c>
      <c r="L230" s="3" t="s">
        <v>19</v>
      </c>
      <c r="M230" s="3" t="s">
        <v>21</v>
      </c>
      <c r="N230" s="3" t="s">
        <v>22</v>
      </c>
      <c r="O230" s="13">
        <v>353</v>
      </c>
      <c r="P230" s="11" t="str">
        <f t="shared" si="15"/>
        <v>01. 1,000㎡ 미만</v>
      </c>
      <c r="Q230" s="8" t="s">
        <v>1498</v>
      </c>
      <c r="R230" s="3" t="s">
        <v>24</v>
      </c>
      <c r="S230" s="3" t="s">
        <v>19</v>
      </c>
    </row>
    <row r="231" spans="1:19" x14ac:dyDescent="0.4">
      <c r="A231" s="7">
        <v>230</v>
      </c>
      <c r="B231" s="8" t="s">
        <v>1796</v>
      </c>
      <c r="C231" s="19" t="str">
        <f t="shared" si="12"/>
        <v>경기도</v>
      </c>
      <c r="D231" s="17" t="str">
        <f t="shared" si="13"/>
        <v>양평군</v>
      </c>
      <c r="E231" s="8" t="s">
        <v>1797</v>
      </c>
      <c r="F231" s="3" t="s">
        <v>1798</v>
      </c>
      <c r="G231" s="3" t="s">
        <v>1799</v>
      </c>
      <c r="H231" s="7" t="s">
        <v>1800</v>
      </c>
      <c r="I231" s="15" t="str">
        <f t="shared" si="14"/>
        <v>있음</v>
      </c>
      <c r="J231" s="8" t="s">
        <v>1801</v>
      </c>
      <c r="K231" s="3" t="s">
        <v>19</v>
      </c>
      <c r="L231" s="3" t="s">
        <v>19</v>
      </c>
      <c r="M231" s="3" t="s">
        <v>21</v>
      </c>
      <c r="N231" s="3" t="s">
        <v>22</v>
      </c>
      <c r="O231" s="13">
        <v>618</v>
      </c>
      <c r="P231" s="11" t="str">
        <f t="shared" si="15"/>
        <v>01. 1,000㎡ 미만</v>
      </c>
      <c r="Q231" s="8" t="s">
        <v>1498</v>
      </c>
      <c r="R231" s="3" t="s">
        <v>24</v>
      </c>
      <c r="S231" s="3" t="s">
        <v>19</v>
      </c>
    </row>
    <row r="232" spans="1:19" x14ac:dyDescent="0.4">
      <c r="A232" s="7">
        <v>231</v>
      </c>
      <c r="B232" s="8" t="s">
        <v>1802</v>
      </c>
      <c r="C232" s="19" t="str">
        <f t="shared" si="12"/>
        <v>경기도</v>
      </c>
      <c r="D232" s="17" t="str">
        <f t="shared" si="13"/>
        <v>가평군</v>
      </c>
      <c r="E232" s="8" t="s">
        <v>1803</v>
      </c>
      <c r="F232" s="3" t="s">
        <v>254</v>
      </c>
      <c r="G232" s="3" t="s">
        <v>1775</v>
      </c>
      <c r="H232" s="7" t="s">
        <v>1612</v>
      </c>
      <c r="I232" s="15" t="str">
        <f t="shared" si="14"/>
        <v>있음</v>
      </c>
      <c r="J232" s="8" t="s">
        <v>302</v>
      </c>
      <c r="K232" s="3" t="s">
        <v>19</v>
      </c>
      <c r="L232" s="3" t="s">
        <v>19</v>
      </c>
      <c r="M232" s="3" t="s">
        <v>21</v>
      </c>
      <c r="N232" s="3" t="s">
        <v>22</v>
      </c>
      <c r="O232" s="13">
        <v>4235</v>
      </c>
      <c r="P232" s="11" t="str">
        <f t="shared" si="15"/>
        <v>03. 1,500㎡ 이상</v>
      </c>
      <c r="Q232" s="8" t="s">
        <v>1498</v>
      </c>
      <c r="R232" s="3" t="s">
        <v>24</v>
      </c>
      <c r="S232" s="3" t="s">
        <v>19</v>
      </c>
    </row>
    <row r="233" spans="1:19" x14ac:dyDescent="0.4">
      <c r="A233" s="7">
        <v>232</v>
      </c>
      <c r="B233" s="8" t="s">
        <v>1804</v>
      </c>
      <c r="C233" s="19" t="str">
        <f t="shared" si="12"/>
        <v>충청남도</v>
      </c>
      <c r="D233" s="17" t="str">
        <f t="shared" si="13"/>
        <v>당진시</v>
      </c>
      <c r="E233" s="8" t="s">
        <v>1805</v>
      </c>
      <c r="F233" s="3" t="s">
        <v>1806</v>
      </c>
      <c r="G233" s="3" t="s">
        <v>1807</v>
      </c>
      <c r="H233" s="7" t="s">
        <v>1808</v>
      </c>
      <c r="I233" s="15" t="str">
        <f t="shared" si="14"/>
        <v>있음</v>
      </c>
      <c r="J233" s="8" t="s">
        <v>1809</v>
      </c>
      <c r="K233" s="3" t="s">
        <v>1810</v>
      </c>
      <c r="L233" s="3" t="s">
        <v>19</v>
      </c>
      <c r="M233" s="3" t="s">
        <v>21</v>
      </c>
      <c r="N233" s="3" t="s">
        <v>22</v>
      </c>
      <c r="O233" s="13">
        <v>612</v>
      </c>
      <c r="P233" s="11" t="str">
        <f t="shared" si="15"/>
        <v>01. 1,000㎡ 미만</v>
      </c>
      <c r="Q233" s="8" t="s">
        <v>1498</v>
      </c>
      <c r="R233" s="3" t="s">
        <v>24</v>
      </c>
      <c r="S233" s="3" t="s">
        <v>19</v>
      </c>
    </row>
    <row r="234" spans="1:19" x14ac:dyDescent="0.4">
      <c r="A234" s="7">
        <v>233</v>
      </c>
      <c r="B234" s="8" t="s">
        <v>1811</v>
      </c>
      <c r="C234" s="19" t="str">
        <f t="shared" si="12"/>
        <v>충청남도</v>
      </c>
      <c r="D234" s="17" t="str">
        <f t="shared" si="13"/>
        <v>당진시</v>
      </c>
      <c r="E234" s="8" t="s">
        <v>1805</v>
      </c>
      <c r="F234" s="3" t="s">
        <v>1806</v>
      </c>
      <c r="G234" s="3" t="s">
        <v>1807</v>
      </c>
      <c r="H234" s="7" t="s">
        <v>1808</v>
      </c>
      <c r="I234" s="15" t="str">
        <f t="shared" si="14"/>
        <v>있음</v>
      </c>
      <c r="J234" s="8" t="s">
        <v>1809</v>
      </c>
      <c r="K234" s="3" t="s">
        <v>1812</v>
      </c>
      <c r="L234" s="3" t="s">
        <v>19</v>
      </c>
      <c r="M234" s="3" t="s">
        <v>21</v>
      </c>
      <c r="N234" s="3" t="s">
        <v>22</v>
      </c>
      <c r="O234" s="13">
        <v>612</v>
      </c>
      <c r="P234" s="11" t="str">
        <f t="shared" si="15"/>
        <v>01. 1,000㎡ 미만</v>
      </c>
      <c r="Q234" s="8" t="s">
        <v>1498</v>
      </c>
      <c r="R234" s="3" t="s">
        <v>24</v>
      </c>
      <c r="S234" s="3" t="s">
        <v>19</v>
      </c>
    </row>
    <row r="235" spans="1:19" x14ac:dyDescent="0.4">
      <c r="A235" s="7">
        <v>234</v>
      </c>
      <c r="B235" s="8" t="s">
        <v>1813</v>
      </c>
      <c r="C235" s="19" t="str">
        <f t="shared" si="12"/>
        <v>강원특별자치도</v>
      </c>
      <c r="D235" s="17" t="str">
        <f t="shared" si="13"/>
        <v>횡성군</v>
      </c>
      <c r="E235" s="8" t="s">
        <v>1814</v>
      </c>
      <c r="F235" s="3" t="s">
        <v>1815</v>
      </c>
      <c r="G235" s="3" t="s">
        <v>1816</v>
      </c>
      <c r="H235" s="7" t="s">
        <v>19</v>
      </c>
      <c r="I235" s="15" t="str">
        <f t="shared" si="14"/>
        <v>없음</v>
      </c>
      <c r="J235" s="8" t="s">
        <v>1817</v>
      </c>
      <c r="K235" s="3" t="s">
        <v>19</v>
      </c>
      <c r="L235" s="3" t="s">
        <v>19</v>
      </c>
      <c r="M235" s="3" t="s">
        <v>21</v>
      </c>
      <c r="N235" s="3" t="s">
        <v>22</v>
      </c>
      <c r="O235" s="13">
        <v>813</v>
      </c>
      <c r="P235" s="11" t="str">
        <f t="shared" si="15"/>
        <v>01. 1,000㎡ 미만</v>
      </c>
      <c r="Q235" s="8" t="s">
        <v>1498</v>
      </c>
      <c r="R235" s="3" t="s">
        <v>24</v>
      </c>
      <c r="S235" s="3" t="s">
        <v>19</v>
      </c>
    </row>
    <row r="236" spans="1:19" x14ac:dyDescent="0.4">
      <c r="A236" s="7">
        <v>235</v>
      </c>
      <c r="B236" s="8" t="s">
        <v>1818</v>
      </c>
      <c r="C236" s="19" t="str">
        <f t="shared" si="12"/>
        <v>경기도</v>
      </c>
      <c r="D236" s="17" t="str">
        <f t="shared" si="13"/>
        <v>여주시</v>
      </c>
      <c r="E236" s="8" t="s">
        <v>1819</v>
      </c>
      <c r="F236" s="3" t="s">
        <v>1820</v>
      </c>
      <c r="G236" s="3" t="s">
        <v>1683</v>
      </c>
      <c r="H236" s="7" t="s">
        <v>1821</v>
      </c>
      <c r="I236" s="15" t="str">
        <f t="shared" si="14"/>
        <v>있음</v>
      </c>
      <c r="J236" s="8" t="s">
        <v>1822</v>
      </c>
      <c r="K236" s="3" t="s">
        <v>1822</v>
      </c>
      <c r="L236" s="3" t="s">
        <v>19</v>
      </c>
      <c r="M236" s="3" t="s">
        <v>21</v>
      </c>
      <c r="N236" s="3" t="s">
        <v>22</v>
      </c>
      <c r="O236" s="13">
        <v>634</v>
      </c>
      <c r="P236" s="11" t="str">
        <f t="shared" si="15"/>
        <v>01. 1,000㎡ 미만</v>
      </c>
      <c r="Q236" s="8" t="s">
        <v>1498</v>
      </c>
      <c r="R236" s="3" t="s">
        <v>24</v>
      </c>
      <c r="S236" s="3" t="s">
        <v>19</v>
      </c>
    </row>
    <row r="237" spans="1:19" x14ac:dyDescent="0.4">
      <c r="A237" s="7">
        <v>236</v>
      </c>
      <c r="B237" s="8" t="s">
        <v>1833</v>
      </c>
      <c r="C237" s="19" t="str">
        <f t="shared" si="12"/>
        <v>인천광역시</v>
      </c>
      <c r="D237" s="17" t="str">
        <f t="shared" si="13"/>
        <v>검단구</v>
      </c>
      <c r="E237" s="8" t="s">
        <v>1834</v>
      </c>
      <c r="F237" s="3" t="s">
        <v>832</v>
      </c>
      <c r="G237" s="3" t="s">
        <v>1829</v>
      </c>
      <c r="H237" s="7" t="s">
        <v>1835</v>
      </c>
      <c r="I237" s="15" t="str">
        <f t="shared" si="14"/>
        <v>있음</v>
      </c>
      <c r="J237" s="8" t="s">
        <v>1836</v>
      </c>
      <c r="K237" s="3" t="s">
        <v>1837</v>
      </c>
      <c r="L237" s="3" t="s">
        <v>1838</v>
      </c>
      <c r="M237" s="3" t="s">
        <v>21</v>
      </c>
      <c r="N237" s="3" t="s">
        <v>22</v>
      </c>
      <c r="O237" s="13">
        <v>126473</v>
      </c>
      <c r="P237" s="11" t="str">
        <f t="shared" si="15"/>
        <v>16. 12만㎡ 이상</v>
      </c>
      <c r="Q237" s="8" t="s">
        <v>1839</v>
      </c>
      <c r="R237" s="3" t="s">
        <v>24</v>
      </c>
      <c r="S237" s="3" t="s">
        <v>19</v>
      </c>
    </row>
    <row r="238" spans="1:19" x14ac:dyDescent="0.4">
      <c r="A238" s="7">
        <v>237</v>
      </c>
      <c r="B238" s="8" t="s">
        <v>1845</v>
      </c>
      <c r="C238" s="19" t="str">
        <f t="shared" si="12"/>
        <v>경상북도</v>
      </c>
      <c r="D238" s="17" t="str">
        <f t="shared" si="13"/>
        <v>영덕군</v>
      </c>
      <c r="E238" s="8" t="s">
        <v>1317</v>
      </c>
      <c r="F238" s="3" t="s">
        <v>1318</v>
      </c>
      <c r="G238" s="3" t="s">
        <v>1846</v>
      </c>
      <c r="H238" s="7" t="s">
        <v>19</v>
      </c>
      <c r="I238" s="15" t="str">
        <f t="shared" si="14"/>
        <v>없음</v>
      </c>
      <c r="J238" s="8" t="s">
        <v>1321</v>
      </c>
      <c r="K238" s="3" t="s">
        <v>19</v>
      </c>
      <c r="L238" s="3" t="s">
        <v>19</v>
      </c>
      <c r="M238" s="3" t="s">
        <v>21</v>
      </c>
      <c r="N238" s="3" t="s">
        <v>22</v>
      </c>
      <c r="O238" s="13">
        <v>289</v>
      </c>
      <c r="P238" s="11" t="str">
        <f t="shared" si="15"/>
        <v>01. 1,000㎡ 미만</v>
      </c>
      <c r="Q238" s="8" t="s">
        <v>1498</v>
      </c>
      <c r="R238" s="3" t="s">
        <v>24</v>
      </c>
      <c r="S238" s="3" t="s">
        <v>19</v>
      </c>
    </row>
    <row r="239" spans="1:19" x14ac:dyDescent="0.4">
      <c r="A239" s="7">
        <v>238</v>
      </c>
      <c r="B239" s="8" t="s">
        <v>1879</v>
      </c>
      <c r="C239" s="19" t="str">
        <f t="shared" si="12"/>
        <v>경기도</v>
      </c>
      <c r="D239" s="17" t="str">
        <f t="shared" si="13"/>
        <v>가평군</v>
      </c>
      <c r="E239" s="8" t="s">
        <v>1880</v>
      </c>
      <c r="F239" s="3" t="s">
        <v>1881</v>
      </c>
      <c r="G239" s="3" t="s">
        <v>1882</v>
      </c>
      <c r="H239" s="7" t="s">
        <v>1883</v>
      </c>
      <c r="I239" s="15" t="str">
        <f t="shared" si="14"/>
        <v>있음</v>
      </c>
      <c r="J239" s="8" t="s">
        <v>1884</v>
      </c>
      <c r="K239" s="3" t="s">
        <v>19</v>
      </c>
      <c r="L239" s="3" t="s">
        <v>19</v>
      </c>
      <c r="M239" s="3" t="s">
        <v>21</v>
      </c>
      <c r="N239" s="3" t="s">
        <v>22</v>
      </c>
      <c r="O239" s="13">
        <v>2137</v>
      </c>
      <c r="P239" s="11" t="str">
        <f t="shared" si="15"/>
        <v>03. 1,500㎡ 이상</v>
      </c>
      <c r="Q239" s="8" t="s">
        <v>123</v>
      </c>
      <c r="R239" s="3" t="s">
        <v>24</v>
      </c>
      <c r="S239" s="3" t="s">
        <v>19</v>
      </c>
    </row>
    <row r="240" spans="1:19" x14ac:dyDescent="0.4">
      <c r="A240" s="7">
        <v>239</v>
      </c>
      <c r="B240" s="8" t="s">
        <v>1897</v>
      </c>
      <c r="C240" s="19" t="str">
        <f t="shared" si="12"/>
        <v>경상남도</v>
      </c>
      <c r="D240" s="17" t="str">
        <f t="shared" si="13"/>
        <v>하동군</v>
      </c>
      <c r="E240" s="8" t="s">
        <v>1898</v>
      </c>
      <c r="F240" s="3" t="s">
        <v>1899</v>
      </c>
      <c r="G240" s="3" t="s">
        <v>1896</v>
      </c>
      <c r="H240" s="7" t="s">
        <v>1900</v>
      </c>
      <c r="I240" s="15" t="str">
        <f t="shared" si="14"/>
        <v>있음</v>
      </c>
      <c r="J240" s="8" t="s">
        <v>1901</v>
      </c>
      <c r="K240" s="3" t="s">
        <v>1902</v>
      </c>
      <c r="L240" s="3" t="s">
        <v>19</v>
      </c>
      <c r="M240" s="3" t="s">
        <v>21</v>
      </c>
      <c r="N240" s="3" t="s">
        <v>22</v>
      </c>
      <c r="O240" s="13">
        <v>826</v>
      </c>
      <c r="P240" s="11" t="str">
        <f t="shared" si="15"/>
        <v>01. 1,000㎡ 미만</v>
      </c>
      <c r="Q240" s="8" t="s">
        <v>1498</v>
      </c>
      <c r="R240" s="3" t="s">
        <v>24</v>
      </c>
      <c r="S240" s="3" t="s">
        <v>19</v>
      </c>
    </row>
    <row r="241" spans="1:19" x14ac:dyDescent="0.4">
      <c r="A241" s="7">
        <v>240</v>
      </c>
      <c r="B241" s="8" t="s">
        <v>1903</v>
      </c>
      <c r="C241" s="19" t="str">
        <f t="shared" si="12"/>
        <v>경상북도</v>
      </c>
      <c r="D241" s="17" t="str">
        <f t="shared" si="13"/>
        <v>청송군</v>
      </c>
      <c r="E241" s="8" t="s">
        <v>1904</v>
      </c>
      <c r="F241" s="3" t="s">
        <v>1905</v>
      </c>
      <c r="G241" s="3" t="s">
        <v>1181</v>
      </c>
      <c r="H241" s="7" t="s">
        <v>1906</v>
      </c>
      <c r="I241" s="15" t="str">
        <f t="shared" si="14"/>
        <v>있음</v>
      </c>
      <c r="J241" s="8" t="s">
        <v>1907</v>
      </c>
      <c r="K241" s="3" t="s">
        <v>1908</v>
      </c>
      <c r="L241" s="3" t="s">
        <v>19</v>
      </c>
      <c r="M241" s="3" t="s">
        <v>21</v>
      </c>
      <c r="N241" s="3" t="s">
        <v>22</v>
      </c>
      <c r="O241" s="13">
        <v>976</v>
      </c>
      <c r="P241" s="11" t="str">
        <f t="shared" si="15"/>
        <v>01. 1,000㎡ 미만</v>
      </c>
      <c r="Q241" s="8" t="s">
        <v>1498</v>
      </c>
      <c r="R241" s="3" t="s">
        <v>24</v>
      </c>
      <c r="S241" s="3" t="s">
        <v>19</v>
      </c>
    </row>
    <row r="242" spans="1:19" x14ac:dyDescent="0.4">
      <c r="A242" s="7">
        <v>241</v>
      </c>
      <c r="B242" s="8" t="s">
        <v>1948</v>
      </c>
      <c r="C242" s="19" t="str">
        <f t="shared" si="12"/>
        <v>충청남도</v>
      </c>
      <c r="D242" s="17" t="str">
        <f t="shared" si="13"/>
        <v>당진시</v>
      </c>
      <c r="E242" s="8" t="s">
        <v>1949</v>
      </c>
      <c r="F242" s="3" t="s">
        <v>1610</v>
      </c>
      <c r="G242" s="3" t="s">
        <v>1950</v>
      </c>
      <c r="H242" s="7" t="s">
        <v>1951</v>
      </c>
      <c r="I242" s="15" t="str">
        <f t="shared" si="14"/>
        <v>있음</v>
      </c>
      <c r="J242" s="8" t="s">
        <v>1952</v>
      </c>
      <c r="K242" s="3" t="s">
        <v>19</v>
      </c>
      <c r="L242" s="3" t="s">
        <v>1953</v>
      </c>
      <c r="M242" s="3" t="s">
        <v>21</v>
      </c>
      <c r="N242" s="3" t="s">
        <v>22</v>
      </c>
      <c r="O242" s="13">
        <v>578</v>
      </c>
      <c r="P242" s="11" t="str">
        <f t="shared" si="15"/>
        <v>01. 1,000㎡ 미만</v>
      </c>
      <c r="Q242" s="8" t="s">
        <v>211</v>
      </c>
      <c r="R242" s="3" t="s">
        <v>24</v>
      </c>
      <c r="S242" s="3" t="s">
        <v>19</v>
      </c>
    </row>
    <row r="243" spans="1:19" x14ac:dyDescent="0.4">
      <c r="A243" s="7">
        <v>242</v>
      </c>
      <c r="B243" s="8" t="s">
        <v>1956</v>
      </c>
      <c r="C243" s="19" t="str">
        <f t="shared" si="12"/>
        <v>경기도</v>
      </c>
      <c r="D243" s="17" t="str">
        <f t="shared" si="13"/>
        <v>가평군</v>
      </c>
      <c r="E243" s="8" t="s">
        <v>1957</v>
      </c>
      <c r="F243" s="3" t="s">
        <v>684</v>
      </c>
      <c r="G243" s="3" t="s">
        <v>1958</v>
      </c>
      <c r="H243" s="7" t="s">
        <v>1959</v>
      </c>
      <c r="I243" s="15" t="str">
        <f t="shared" si="14"/>
        <v>있음</v>
      </c>
      <c r="J243" s="8" t="s">
        <v>19</v>
      </c>
      <c r="K243" s="3" t="s">
        <v>19</v>
      </c>
      <c r="L243" s="3" t="s">
        <v>19</v>
      </c>
      <c r="M243" s="3" t="s">
        <v>21</v>
      </c>
      <c r="N243" s="3" t="s">
        <v>22</v>
      </c>
      <c r="O243" s="13">
        <v>574</v>
      </c>
      <c r="P243" s="11" t="str">
        <f t="shared" si="15"/>
        <v>01. 1,000㎡ 미만</v>
      </c>
      <c r="Q243" s="8" t="s">
        <v>23</v>
      </c>
      <c r="R243" s="3" t="s">
        <v>24</v>
      </c>
      <c r="S243" s="3" t="s">
        <v>19</v>
      </c>
    </row>
    <row r="244" spans="1:19" x14ac:dyDescent="0.4">
      <c r="A244" s="7">
        <v>243</v>
      </c>
      <c r="B244" s="8" t="s">
        <v>1961</v>
      </c>
      <c r="C244" s="19" t="str">
        <f t="shared" si="12"/>
        <v>경기도</v>
      </c>
      <c r="D244" s="17" t="str">
        <f t="shared" si="13"/>
        <v>가평군</v>
      </c>
      <c r="E244" s="8" t="s">
        <v>1962</v>
      </c>
      <c r="F244" s="3" t="s">
        <v>1963</v>
      </c>
      <c r="G244" s="3" t="s">
        <v>1958</v>
      </c>
      <c r="H244" s="7" t="s">
        <v>19</v>
      </c>
      <c r="I244" s="15" t="str">
        <f t="shared" si="14"/>
        <v>없음</v>
      </c>
      <c r="J244" s="8" t="s">
        <v>1155</v>
      </c>
      <c r="K244" s="3" t="s">
        <v>19</v>
      </c>
      <c r="L244" s="3" t="s">
        <v>19</v>
      </c>
      <c r="M244" s="3" t="s">
        <v>21</v>
      </c>
      <c r="N244" s="3" t="s">
        <v>22</v>
      </c>
      <c r="O244" s="13">
        <v>1334</v>
      </c>
      <c r="P244" s="11" t="str">
        <f t="shared" si="15"/>
        <v>02. 1,000㎡ 이상</v>
      </c>
      <c r="Q244" s="8" t="s">
        <v>23</v>
      </c>
      <c r="R244" s="3" t="s">
        <v>24</v>
      </c>
      <c r="S244" s="3" t="s">
        <v>19</v>
      </c>
    </row>
    <row r="245" spans="1:19" x14ac:dyDescent="0.4">
      <c r="A245" s="7">
        <v>244</v>
      </c>
      <c r="B245" s="8" t="s">
        <v>1969</v>
      </c>
      <c r="C245" s="19" t="str">
        <f t="shared" si="12"/>
        <v>경기도</v>
      </c>
      <c r="D245" s="17" t="str">
        <f t="shared" si="13"/>
        <v>양평군</v>
      </c>
      <c r="E245" s="8" t="s">
        <v>1970</v>
      </c>
      <c r="F245" s="3" t="s">
        <v>1971</v>
      </c>
      <c r="G245" s="3" t="s">
        <v>1966</v>
      </c>
      <c r="H245" s="7" t="s">
        <v>1972</v>
      </c>
      <c r="I245" s="15" t="str">
        <f t="shared" si="14"/>
        <v>있음</v>
      </c>
      <c r="J245" s="8" t="s">
        <v>1973</v>
      </c>
      <c r="K245" s="3" t="s">
        <v>1110</v>
      </c>
      <c r="L245" s="3" t="s">
        <v>1974</v>
      </c>
      <c r="M245" s="3" t="s">
        <v>21</v>
      </c>
      <c r="N245" s="3" t="s">
        <v>22</v>
      </c>
      <c r="O245" s="13">
        <v>3569</v>
      </c>
      <c r="P245" s="11" t="str">
        <f t="shared" si="15"/>
        <v>03. 1,500㎡ 이상</v>
      </c>
      <c r="Q245" s="8" t="s">
        <v>129</v>
      </c>
      <c r="R245" s="3" t="s">
        <v>24</v>
      </c>
      <c r="S245" s="3" t="s">
        <v>19</v>
      </c>
    </row>
    <row r="246" spans="1:19" x14ac:dyDescent="0.4">
      <c r="A246" s="7">
        <v>245</v>
      </c>
      <c r="B246" s="8" t="s">
        <v>1975</v>
      </c>
      <c r="C246" s="19" t="str">
        <f t="shared" si="12"/>
        <v>경상남도</v>
      </c>
      <c r="D246" s="17" t="str">
        <f t="shared" si="13"/>
        <v>남해군</v>
      </c>
      <c r="E246" s="8" t="s">
        <v>1976</v>
      </c>
      <c r="F246" s="3" t="s">
        <v>1977</v>
      </c>
      <c r="G246" s="3" t="s">
        <v>1978</v>
      </c>
      <c r="H246" s="7" t="s">
        <v>1979</v>
      </c>
      <c r="I246" s="15" t="str">
        <f t="shared" si="14"/>
        <v>있음</v>
      </c>
      <c r="J246" s="8" t="s">
        <v>1980</v>
      </c>
      <c r="K246" s="3" t="s">
        <v>19</v>
      </c>
      <c r="L246" s="3" t="s">
        <v>1979</v>
      </c>
      <c r="M246" s="3" t="s">
        <v>21</v>
      </c>
      <c r="N246" s="3" t="s">
        <v>22</v>
      </c>
      <c r="O246" s="13">
        <v>321</v>
      </c>
      <c r="P246" s="11" t="str">
        <f t="shared" si="15"/>
        <v>01. 1,000㎡ 미만</v>
      </c>
      <c r="Q246" s="8" t="s">
        <v>129</v>
      </c>
      <c r="R246" s="3" t="s">
        <v>24</v>
      </c>
      <c r="S246" s="3" t="s">
        <v>19</v>
      </c>
    </row>
    <row r="247" spans="1:19" x14ac:dyDescent="0.4">
      <c r="A247" s="7">
        <v>246</v>
      </c>
      <c r="B247" s="8" t="s">
        <v>1981</v>
      </c>
      <c r="C247" s="19" t="str">
        <f t="shared" si="12"/>
        <v>경기도</v>
      </c>
      <c r="D247" s="17" t="str">
        <f t="shared" si="13"/>
        <v>가평군</v>
      </c>
      <c r="E247" s="8" t="s">
        <v>1982</v>
      </c>
      <c r="F247" s="3" t="s">
        <v>1983</v>
      </c>
      <c r="G247" s="3" t="s">
        <v>1978</v>
      </c>
      <c r="H247" s="7" t="s">
        <v>1984</v>
      </c>
      <c r="I247" s="15" t="str">
        <f t="shared" si="14"/>
        <v>있음</v>
      </c>
      <c r="J247" s="8" t="s">
        <v>1985</v>
      </c>
      <c r="K247" s="3" t="s">
        <v>1986</v>
      </c>
      <c r="L247" s="3" t="s">
        <v>1984</v>
      </c>
      <c r="M247" s="3" t="s">
        <v>21</v>
      </c>
      <c r="N247" s="3" t="s">
        <v>22</v>
      </c>
      <c r="O247" s="13">
        <v>30232</v>
      </c>
      <c r="P247" s="11" t="str">
        <f t="shared" si="15"/>
        <v>07. 3만㎡ 이상</v>
      </c>
      <c r="Q247" s="8" t="s">
        <v>23</v>
      </c>
      <c r="R247" s="3" t="s">
        <v>24</v>
      </c>
      <c r="S247" s="3" t="s">
        <v>19</v>
      </c>
    </row>
    <row r="248" spans="1:19" x14ac:dyDescent="0.4">
      <c r="A248" s="7">
        <v>247</v>
      </c>
      <c r="B248" s="8" t="s">
        <v>1987</v>
      </c>
      <c r="C248" s="19" t="str">
        <f t="shared" si="12"/>
        <v>경상북도</v>
      </c>
      <c r="D248" s="17" t="str">
        <f t="shared" si="13"/>
        <v>울진군</v>
      </c>
      <c r="E248" s="8" t="s">
        <v>1988</v>
      </c>
      <c r="F248" s="3" t="s">
        <v>1989</v>
      </c>
      <c r="G248" s="3" t="s">
        <v>338</v>
      </c>
      <c r="H248" s="7" t="s">
        <v>1990</v>
      </c>
      <c r="I248" s="15" t="str">
        <f t="shared" si="14"/>
        <v>있음</v>
      </c>
      <c r="J248" s="8" t="s">
        <v>19</v>
      </c>
      <c r="K248" s="3" t="s">
        <v>19</v>
      </c>
      <c r="L248" s="3" t="s">
        <v>1991</v>
      </c>
      <c r="M248" s="3" t="s">
        <v>21</v>
      </c>
      <c r="N248" s="3" t="s">
        <v>22</v>
      </c>
      <c r="O248" s="13">
        <v>311</v>
      </c>
      <c r="P248" s="11" t="str">
        <f t="shared" si="15"/>
        <v>01. 1,000㎡ 미만</v>
      </c>
      <c r="Q248" s="8" t="s">
        <v>23</v>
      </c>
      <c r="R248" s="3" t="s">
        <v>24</v>
      </c>
      <c r="S248" s="3" t="s">
        <v>19</v>
      </c>
    </row>
    <row r="249" spans="1:19" x14ac:dyDescent="0.4">
      <c r="A249" s="7">
        <v>248</v>
      </c>
      <c r="B249" s="8" t="s">
        <v>2000</v>
      </c>
      <c r="C249" s="19" t="str">
        <f t="shared" si="12"/>
        <v>인천광역시</v>
      </c>
      <c r="D249" s="17" t="str">
        <f t="shared" si="13"/>
        <v>중구</v>
      </c>
      <c r="E249" s="8" t="s">
        <v>2001</v>
      </c>
      <c r="F249" s="3" t="s">
        <v>2002</v>
      </c>
      <c r="G249" s="3" t="s">
        <v>347</v>
      </c>
      <c r="H249" s="7" t="s">
        <v>19</v>
      </c>
      <c r="I249" s="15" t="str">
        <f t="shared" si="14"/>
        <v>없음</v>
      </c>
      <c r="J249" s="8" t="s">
        <v>2003</v>
      </c>
      <c r="K249" s="3" t="s">
        <v>19</v>
      </c>
      <c r="L249" s="3" t="s">
        <v>19</v>
      </c>
      <c r="M249" s="3" t="s">
        <v>21</v>
      </c>
      <c r="N249" s="3" t="s">
        <v>147</v>
      </c>
      <c r="O249" s="13">
        <v>149</v>
      </c>
      <c r="P249" s="11" t="str">
        <f t="shared" si="15"/>
        <v>01. 1,000㎡ 미만</v>
      </c>
      <c r="Q249" s="8" t="s">
        <v>84</v>
      </c>
      <c r="R249" s="3" t="s">
        <v>24</v>
      </c>
      <c r="S249" s="3" t="s">
        <v>19</v>
      </c>
    </row>
    <row r="250" spans="1:19" x14ac:dyDescent="0.4">
      <c r="A250" s="7">
        <v>249</v>
      </c>
      <c r="B250" s="8" t="s">
        <v>2032</v>
      </c>
      <c r="C250" s="19" t="str">
        <f t="shared" si="12"/>
        <v>전라남도</v>
      </c>
      <c r="D250" s="17" t="str">
        <f t="shared" si="13"/>
        <v>여수시</v>
      </c>
      <c r="E250" s="8" t="s">
        <v>2033</v>
      </c>
      <c r="F250" s="3" t="s">
        <v>2034</v>
      </c>
      <c r="G250" s="3" t="s">
        <v>2035</v>
      </c>
      <c r="H250" s="7" t="s">
        <v>2036</v>
      </c>
      <c r="I250" s="15" t="str">
        <f t="shared" si="14"/>
        <v>있음</v>
      </c>
      <c r="J250" s="8" t="s">
        <v>2037</v>
      </c>
      <c r="K250" s="3" t="s">
        <v>19</v>
      </c>
      <c r="L250" s="3" t="s">
        <v>2038</v>
      </c>
      <c r="M250" s="3" t="s">
        <v>21</v>
      </c>
      <c r="N250" s="3" t="s">
        <v>22</v>
      </c>
      <c r="O250" s="13">
        <v>2603</v>
      </c>
      <c r="P250" s="11" t="str">
        <f t="shared" si="15"/>
        <v>03. 1,500㎡ 이상</v>
      </c>
      <c r="Q250" s="8" t="s">
        <v>23</v>
      </c>
      <c r="R250" s="3" t="s">
        <v>24</v>
      </c>
      <c r="S250" s="3" t="s">
        <v>19</v>
      </c>
    </row>
    <row r="251" spans="1:19" x14ac:dyDescent="0.4">
      <c r="A251" s="7">
        <v>250</v>
      </c>
      <c r="B251" s="8" t="s">
        <v>2044</v>
      </c>
      <c r="C251" s="19" t="str">
        <f t="shared" si="12"/>
        <v>경상북도</v>
      </c>
      <c r="D251" s="17" t="str">
        <f t="shared" si="13"/>
        <v>울릉군</v>
      </c>
      <c r="E251" s="8" t="s">
        <v>2045</v>
      </c>
      <c r="F251" s="3" t="s">
        <v>2046</v>
      </c>
      <c r="G251" s="3" t="s">
        <v>375</v>
      </c>
      <c r="H251" s="7" t="s">
        <v>2047</v>
      </c>
      <c r="I251" s="15" t="str">
        <f t="shared" si="14"/>
        <v>있음</v>
      </c>
      <c r="J251" s="8" t="s">
        <v>2048</v>
      </c>
      <c r="K251" s="3" t="s">
        <v>2049</v>
      </c>
      <c r="L251" s="3" t="s">
        <v>19</v>
      </c>
      <c r="M251" s="3" t="s">
        <v>21</v>
      </c>
      <c r="N251" s="3" t="s">
        <v>22</v>
      </c>
      <c r="O251" s="13">
        <v>239</v>
      </c>
      <c r="P251" s="11" t="str">
        <f t="shared" si="15"/>
        <v>01. 1,000㎡ 미만</v>
      </c>
      <c r="Q251" s="8" t="s">
        <v>23</v>
      </c>
      <c r="R251" s="3" t="s">
        <v>24</v>
      </c>
      <c r="S251" s="3" t="s">
        <v>19</v>
      </c>
    </row>
    <row r="252" spans="1:19" x14ac:dyDescent="0.4">
      <c r="A252" s="7">
        <v>251</v>
      </c>
      <c r="B252" s="8" t="s">
        <v>2112</v>
      </c>
      <c r="C252" s="19" t="str">
        <f t="shared" si="12"/>
        <v>제주특별자치도</v>
      </c>
      <c r="D252" s="17" t="str">
        <f t="shared" si="13"/>
        <v>제주시</v>
      </c>
      <c r="E252" s="8" t="s">
        <v>2113</v>
      </c>
      <c r="F252" s="3" t="s">
        <v>2114</v>
      </c>
      <c r="G252" s="3" t="s">
        <v>1874</v>
      </c>
      <c r="H252" s="7" t="s">
        <v>2115</v>
      </c>
      <c r="I252" s="15" t="str">
        <f t="shared" si="14"/>
        <v>있음</v>
      </c>
      <c r="J252" s="8" t="s">
        <v>2116</v>
      </c>
      <c r="K252" s="3" t="s">
        <v>2116</v>
      </c>
      <c r="L252" s="3" t="s">
        <v>2117</v>
      </c>
      <c r="M252" s="3" t="s">
        <v>21</v>
      </c>
      <c r="N252" s="3" t="s">
        <v>22</v>
      </c>
      <c r="O252" s="13">
        <v>1018</v>
      </c>
      <c r="P252" s="11" t="str">
        <f t="shared" si="15"/>
        <v>02. 1,000㎡ 이상</v>
      </c>
      <c r="Q252" s="8" t="s">
        <v>23</v>
      </c>
      <c r="R252" s="3" t="s">
        <v>24</v>
      </c>
      <c r="S252" s="3" t="s">
        <v>19</v>
      </c>
    </row>
    <row r="253" spans="1:19" x14ac:dyDescent="0.4">
      <c r="A253" s="7">
        <v>252</v>
      </c>
      <c r="B253" s="8" t="s">
        <v>2150</v>
      </c>
      <c r="C253" s="19" t="str">
        <f t="shared" si="12"/>
        <v>전라남도</v>
      </c>
      <c r="D253" s="17" t="str">
        <f t="shared" si="13"/>
        <v>무안군</v>
      </c>
      <c r="E253" s="8" t="s">
        <v>2151</v>
      </c>
      <c r="F253" s="3" t="s">
        <v>713</v>
      </c>
      <c r="G253" s="3" t="s">
        <v>2152</v>
      </c>
      <c r="H253" s="7" t="s">
        <v>2153</v>
      </c>
      <c r="I253" s="15" t="str">
        <f t="shared" si="14"/>
        <v>있음</v>
      </c>
      <c r="J253" s="8" t="s">
        <v>2154</v>
      </c>
      <c r="K253" s="3" t="s">
        <v>19</v>
      </c>
      <c r="L253" s="3" t="s">
        <v>19</v>
      </c>
      <c r="M253" s="3" t="s">
        <v>21</v>
      </c>
      <c r="N253" s="3" t="s">
        <v>22</v>
      </c>
      <c r="O253" s="13">
        <v>658</v>
      </c>
      <c r="P253" s="11" t="str">
        <f t="shared" si="15"/>
        <v>01. 1,000㎡ 미만</v>
      </c>
      <c r="Q253" s="8" t="s">
        <v>2155</v>
      </c>
      <c r="R253" s="3" t="s">
        <v>24</v>
      </c>
      <c r="S253" s="3" t="s">
        <v>19</v>
      </c>
    </row>
    <row r="254" spans="1:19" x14ac:dyDescent="0.4">
      <c r="A254" s="7">
        <v>253</v>
      </c>
      <c r="B254" s="8" t="s">
        <v>2168</v>
      </c>
      <c r="C254" s="19" t="str">
        <f t="shared" si="12"/>
        <v>강원특별자치도</v>
      </c>
      <c r="D254" s="17" t="str">
        <f t="shared" si="13"/>
        <v>고성군</v>
      </c>
      <c r="E254" s="8" t="s">
        <v>2169</v>
      </c>
      <c r="F254" s="3" t="s">
        <v>2170</v>
      </c>
      <c r="G254" s="3" t="s">
        <v>2171</v>
      </c>
      <c r="H254" s="7" t="s">
        <v>2172</v>
      </c>
      <c r="I254" s="15" t="str">
        <f t="shared" si="14"/>
        <v>있음</v>
      </c>
      <c r="J254" s="8" t="s">
        <v>1110</v>
      </c>
      <c r="K254" s="3" t="s">
        <v>2173</v>
      </c>
      <c r="L254" s="3" t="s">
        <v>19</v>
      </c>
      <c r="M254" s="3" t="s">
        <v>21</v>
      </c>
      <c r="N254" s="3" t="s">
        <v>22</v>
      </c>
      <c r="O254" s="13">
        <v>14478</v>
      </c>
      <c r="P254" s="11" t="str">
        <f t="shared" si="15"/>
        <v>05. 1만㎡ 이상</v>
      </c>
      <c r="Q254" s="8" t="s">
        <v>2174</v>
      </c>
      <c r="R254" s="3" t="s">
        <v>24</v>
      </c>
      <c r="S254" s="3" t="s">
        <v>19</v>
      </c>
    </row>
    <row r="255" spans="1:19" x14ac:dyDescent="0.4">
      <c r="A255" s="7">
        <v>254</v>
      </c>
      <c r="B255" s="8" t="s">
        <v>2192</v>
      </c>
      <c r="C255" s="19" t="str">
        <f t="shared" si="12"/>
        <v>경상북도</v>
      </c>
      <c r="D255" s="17" t="str">
        <f t="shared" si="13"/>
        <v>포항시</v>
      </c>
      <c r="E255" s="8" t="s">
        <v>2193</v>
      </c>
      <c r="F255" s="3" t="s">
        <v>1971</v>
      </c>
      <c r="G255" s="3" t="s">
        <v>1806</v>
      </c>
      <c r="H255" s="7" t="s">
        <v>2194</v>
      </c>
      <c r="I255" s="15" t="str">
        <f t="shared" si="14"/>
        <v>있음</v>
      </c>
      <c r="J255" s="8" t="s">
        <v>1888</v>
      </c>
      <c r="K255" s="3" t="s">
        <v>2195</v>
      </c>
      <c r="L255" s="3" t="s">
        <v>19</v>
      </c>
      <c r="M255" s="3" t="s">
        <v>21</v>
      </c>
      <c r="N255" s="3" t="s">
        <v>22</v>
      </c>
      <c r="O255" s="13">
        <v>1304</v>
      </c>
      <c r="P255" s="11" t="str">
        <f t="shared" si="15"/>
        <v>02. 1,000㎡ 이상</v>
      </c>
      <c r="Q255" s="8" t="s">
        <v>1498</v>
      </c>
      <c r="R255" s="3" t="s">
        <v>24</v>
      </c>
      <c r="S255" s="3" t="s">
        <v>19</v>
      </c>
    </row>
    <row r="256" spans="1:19" x14ac:dyDescent="0.4">
      <c r="A256" s="7">
        <v>255</v>
      </c>
      <c r="B256" s="8" t="s">
        <v>2220</v>
      </c>
      <c r="C256" s="19" t="str">
        <f t="shared" si="12"/>
        <v>전라남도</v>
      </c>
      <c r="D256" s="17" t="str">
        <f t="shared" si="13"/>
        <v>담양군</v>
      </c>
      <c r="E256" s="8" t="s">
        <v>2221</v>
      </c>
      <c r="F256" s="3" t="s">
        <v>2222</v>
      </c>
      <c r="G256" s="3" t="s">
        <v>2223</v>
      </c>
      <c r="H256" s="7" t="s">
        <v>1769</v>
      </c>
      <c r="I256" s="15" t="str">
        <f t="shared" si="14"/>
        <v>있음</v>
      </c>
      <c r="J256" s="8" t="s">
        <v>2224</v>
      </c>
      <c r="K256" s="3" t="s">
        <v>2225</v>
      </c>
      <c r="L256" s="3" t="s">
        <v>2226</v>
      </c>
      <c r="M256" s="3" t="s">
        <v>21</v>
      </c>
      <c r="N256" s="3" t="s">
        <v>22</v>
      </c>
      <c r="O256" s="13">
        <v>6553</v>
      </c>
      <c r="P256" s="11" t="str">
        <f t="shared" si="15"/>
        <v>04. 5,000㎡ 이상</v>
      </c>
      <c r="Q256" s="8" t="s">
        <v>1498</v>
      </c>
      <c r="R256" s="3" t="s">
        <v>24</v>
      </c>
      <c r="S256" s="3" t="s">
        <v>19</v>
      </c>
    </row>
    <row r="257" spans="1:19" x14ac:dyDescent="0.4">
      <c r="A257" s="7">
        <v>256</v>
      </c>
      <c r="B257" s="8" t="s">
        <v>2227</v>
      </c>
      <c r="C257" s="19" t="str">
        <f t="shared" si="12"/>
        <v>경기도</v>
      </c>
      <c r="D257" s="17" t="str">
        <f t="shared" si="13"/>
        <v>가평군</v>
      </c>
      <c r="E257" s="8" t="s">
        <v>2228</v>
      </c>
      <c r="F257" s="3" t="s">
        <v>2229</v>
      </c>
      <c r="G257" s="3" t="s">
        <v>2230</v>
      </c>
      <c r="H257" s="7" t="s">
        <v>2231</v>
      </c>
      <c r="I257" s="15" t="str">
        <f t="shared" si="14"/>
        <v>있음</v>
      </c>
      <c r="J257" s="8" t="s">
        <v>2232</v>
      </c>
      <c r="K257" s="3" t="s">
        <v>2233</v>
      </c>
      <c r="L257" s="3" t="s">
        <v>19</v>
      </c>
      <c r="M257" s="3" t="s">
        <v>21</v>
      </c>
      <c r="N257" s="3" t="s">
        <v>22</v>
      </c>
      <c r="O257" s="13">
        <v>1275</v>
      </c>
      <c r="P257" s="11" t="str">
        <f t="shared" si="15"/>
        <v>02. 1,000㎡ 이상</v>
      </c>
      <c r="Q257" s="8" t="s">
        <v>1498</v>
      </c>
      <c r="R257" s="3" t="s">
        <v>24</v>
      </c>
      <c r="S257" s="3" t="s">
        <v>19</v>
      </c>
    </row>
    <row r="258" spans="1:19" x14ac:dyDescent="0.4">
      <c r="A258" s="7">
        <v>257</v>
      </c>
      <c r="B258" s="8" t="s">
        <v>2246</v>
      </c>
      <c r="C258" s="19" t="str">
        <f t="shared" si="12"/>
        <v>전라남도</v>
      </c>
      <c r="D258" s="17" t="str">
        <f t="shared" si="13"/>
        <v>무안군</v>
      </c>
      <c r="E258" s="8" t="s">
        <v>2247</v>
      </c>
      <c r="F258" s="3" t="s">
        <v>2248</v>
      </c>
      <c r="G258" s="3" t="s">
        <v>2249</v>
      </c>
      <c r="H258" s="7" t="s">
        <v>2250</v>
      </c>
      <c r="I258" s="15" t="str">
        <f t="shared" si="14"/>
        <v>있음</v>
      </c>
      <c r="J258" s="8" t="s">
        <v>19</v>
      </c>
      <c r="K258" s="3" t="s">
        <v>2251</v>
      </c>
      <c r="L258" s="3" t="s">
        <v>2252</v>
      </c>
      <c r="M258" s="3" t="s">
        <v>21</v>
      </c>
      <c r="N258" s="3" t="s">
        <v>147</v>
      </c>
      <c r="O258" s="13">
        <v>18385</v>
      </c>
      <c r="P258" s="11" t="str">
        <f t="shared" si="15"/>
        <v>05. 1만㎡ 이상</v>
      </c>
      <c r="Q258" s="8" t="s">
        <v>2253</v>
      </c>
      <c r="R258" s="3" t="s">
        <v>24</v>
      </c>
      <c r="S258" s="3" t="s">
        <v>19</v>
      </c>
    </row>
    <row r="259" spans="1:19" x14ac:dyDescent="0.4">
      <c r="A259" s="7">
        <v>258</v>
      </c>
      <c r="B259" s="8" t="s">
        <v>2276</v>
      </c>
      <c r="C259" s="19" t="str">
        <f t="shared" ref="C259:C305" si="16">IFERROR(IF(LEFT(E259,FIND(" ",E259)-1)="전라북도","전북특별자치도",LEFT(E259,FIND(" ",E259)-1)),"")</f>
        <v>경기도</v>
      </c>
      <c r="D259" s="17" t="str">
        <f t="shared" ref="D259:D305" si="17">IFERROR(TRIM(MID(SUBSTITUTE(E259," ",REPT(" ",50)),51,50)),"")</f>
        <v>가평군</v>
      </c>
      <c r="E259" s="8" t="s">
        <v>2277</v>
      </c>
      <c r="F259" s="3" t="s">
        <v>2210</v>
      </c>
      <c r="G259" s="3" t="s">
        <v>2263</v>
      </c>
      <c r="H259" s="7" t="s">
        <v>19</v>
      </c>
      <c r="I259" s="15" t="str">
        <f t="shared" ref="I259:I305" si="18">IF(OR(TRIM(H259)="",TRIM(H259)="-"),"없음","있음")</f>
        <v>없음</v>
      </c>
      <c r="J259" s="8" t="s">
        <v>391</v>
      </c>
      <c r="K259" s="3" t="s">
        <v>2278</v>
      </c>
      <c r="L259" s="3" t="s">
        <v>2279</v>
      </c>
      <c r="M259" s="3" t="s">
        <v>21</v>
      </c>
      <c r="N259" s="3" t="s">
        <v>22</v>
      </c>
      <c r="O259" s="13">
        <v>1969</v>
      </c>
      <c r="P259" s="11" t="str">
        <f t="shared" ref="P259:P305" si="19">IF(NOT(ISNUMBER(O259)),"00. 미기재",IF(O259&lt;1000,"01. 1,000㎡ 미만",IF(O259&lt;1500,"02. 1,000㎡ 이상",IF(O259&lt;5000,"03. 1,500㎡ 이상",IF(O259&lt;10000,"04. 5,000㎡ 이상",TEXT(4+INT(O259/10000),"00")&amp;". "&amp;INT(O259/10000)&amp;"만㎡ 이상")))))</f>
        <v>03. 1,500㎡ 이상</v>
      </c>
      <c r="Q259" s="8" t="s">
        <v>1498</v>
      </c>
      <c r="R259" s="3" t="s">
        <v>24</v>
      </c>
      <c r="S259" s="3" t="s">
        <v>19</v>
      </c>
    </row>
    <row r="260" spans="1:19" x14ac:dyDescent="0.4">
      <c r="A260" s="7">
        <v>259</v>
      </c>
      <c r="B260" s="8" t="s">
        <v>2329</v>
      </c>
      <c r="C260" s="19" t="str">
        <f t="shared" si="16"/>
        <v>경상북도</v>
      </c>
      <c r="D260" s="17" t="str">
        <f t="shared" si="17"/>
        <v>포항시</v>
      </c>
      <c r="E260" s="8" t="s">
        <v>2330</v>
      </c>
      <c r="F260" s="3" t="s">
        <v>2331</v>
      </c>
      <c r="G260" s="3" t="s">
        <v>2126</v>
      </c>
      <c r="H260" s="7" t="s">
        <v>19</v>
      </c>
      <c r="I260" s="15" t="str">
        <f t="shared" si="18"/>
        <v>없음</v>
      </c>
      <c r="J260" s="8" t="s">
        <v>2332</v>
      </c>
      <c r="K260" s="3" t="s">
        <v>19</v>
      </c>
      <c r="L260" s="3" t="s">
        <v>19</v>
      </c>
      <c r="M260" s="3" t="s">
        <v>21</v>
      </c>
      <c r="N260" s="3" t="s">
        <v>147</v>
      </c>
      <c r="O260" s="13">
        <v>989</v>
      </c>
      <c r="P260" s="11" t="str">
        <f t="shared" si="19"/>
        <v>01. 1,000㎡ 미만</v>
      </c>
      <c r="Q260" s="8" t="s">
        <v>1498</v>
      </c>
      <c r="R260" s="3" t="s">
        <v>24</v>
      </c>
      <c r="S260" s="3" t="s">
        <v>19</v>
      </c>
    </row>
    <row r="261" spans="1:19" x14ac:dyDescent="0.4">
      <c r="A261" s="7">
        <v>260</v>
      </c>
      <c r="B261" s="8" t="s">
        <v>2372</v>
      </c>
      <c r="C261" s="19" t="str">
        <f t="shared" si="16"/>
        <v>경상남도</v>
      </c>
      <c r="D261" s="17" t="str">
        <f t="shared" si="17"/>
        <v>합천군</v>
      </c>
      <c r="E261" s="8" t="s">
        <v>2373</v>
      </c>
      <c r="F261" s="3" t="s">
        <v>2374</v>
      </c>
      <c r="G261" s="3" t="s">
        <v>2348</v>
      </c>
      <c r="H261" s="7" t="s">
        <v>2375</v>
      </c>
      <c r="I261" s="15" t="str">
        <f t="shared" si="18"/>
        <v>있음</v>
      </c>
      <c r="J261" s="8" t="s">
        <v>2376</v>
      </c>
      <c r="K261" s="3" t="s">
        <v>2377</v>
      </c>
      <c r="L261" s="3" t="s">
        <v>19</v>
      </c>
      <c r="M261" s="3" t="s">
        <v>21</v>
      </c>
      <c r="N261" s="3" t="s">
        <v>147</v>
      </c>
      <c r="O261" s="13">
        <v>25782</v>
      </c>
      <c r="P261" s="11" t="str">
        <f t="shared" si="19"/>
        <v>06. 2만㎡ 이상</v>
      </c>
      <c r="Q261" s="8" t="s">
        <v>1498</v>
      </c>
      <c r="R261" s="3" t="s">
        <v>24</v>
      </c>
      <c r="S261" s="3" t="s">
        <v>19</v>
      </c>
    </row>
    <row r="262" spans="1:19" x14ac:dyDescent="0.4">
      <c r="A262" s="7">
        <v>261</v>
      </c>
      <c r="B262" s="8" t="s">
        <v>2392</v>
      </c>
      <c r="C262" s="19" t="str">
        <f t="shared" si="16"/>
        <v>경상북도</v>
      </c>
      <c r="D262" s="17" t="str">
        <f t="shared" si="17"/>
        <v>영덕군</v>
      </c>
      <c r="E262" s="8" t="s">
        <v>2393</v>
      </c>
      <c r="F262" s="3" t="s">
        <v>1372</v>
      </c>
      <c r="G262" s="3" t="s">
        <v>1510</v>
      </c>
      <c r="H262" s="7" t="s">
        <v>2394</v>
      </c>
      <c r="I262" s="15" t="str">
        <f t="shared" si="18"/>
        <v>있음</v>
      </c>
      <c r="J262" s="8" t="s">
        <v>2395</v>
      </c>
      <c r="K262" s="3" t="s">
        <v>19</v>
      </c>
      <c r="L262" s="3" t="s">
        <v>2394</v>
      </c>
      <c r="M262" s="3" t="s">
        <v>21</v>
      </c>
      <c r="N262" s="3" t="s">
        <v>147</v>
      </c>
      <c r="O262" s="13">
        <v>93</v>
      </c>
      <c r="P262" s="11" t="str">
        <f t="shared" si="19"/>
        <v>01. 1,000㎡ 미만</v>
      </c>
      <c r="Q262" s="8" t="s">
        <v>84</v>
      </c>
      <c r="R262" s="3" t="s">
        <v>24</v>
      </c>
      <c r="S262" s="3" t="s">
        <v>19</v>
      </c>
    </row>
    <row r="263" spans="1:19" x14ac:dyDescent="0.4">
      <c r="A263" s="7">
        <v>262</v>
      </c>
      <c r="B263" s="8" t="s">
        <v>2403</v>
      </c>
      <c r="C263" s="19" t="str">
        <f t="shared" si="16"/>
        <v>전라남도</v>
      </c>
      <c r="D263" s="17" t="str">
        <f t="shared" si="17"/>
        <v>장흥군</v>
      </c>
      <c r="E263" s="8" t="s">
        <v>2404</v>
      </c>
      <c r="F263" s="3" t="s">
        <v>2405</v>
      </c>
      <c r="G263" s="3" t="s">
        <v>2406</v>
      </c>
      <c r="H263" s="7" t="s">
        <v>19</v>
      </c>
      <c r="I263" s="15" t="str">
        <f t="shared" si="18"/>
        <v>없음</v>
      </c>
      <c r="J263" s="8" t="s">
        <v>2407</v>
      </c>
      <c r="K263" s="3" t="s">
        <v>19</v>
      </c>
      <c r="L263" s="3" t="s">
        <v>19</v>
      </c>
      <c r="M263" s="3" t="s">
        <v>21</v>
      </c>
      <c r="N263" s="3" t="s">
        <v>147</v>
      </c>
      <c r="O263" s="13">
        <v>1310</v>
      </c>
      <c r="P263" s="11" t="str">
        <f t="shared" si="19"/>
        <v>02. 1,000㎡ 이상</v>
      </c>
      <c r="Q263" s="8" t="s">
        <v>19</v>
      </c>
      <c r="R263" s="3" t="s">
        <v>24</v>
      </c>
      <c r="S263" s="3" t="s">
        <v>19</v>
      </c>
    </row>
    <row r="264" spans="1:19" x14ac:dyDescent="0.4">
      <c r="A264" s="7">
        <v>263</v>
      </c>
      <c r="B264" s="8" t="s">
        <v>2408</v>
      </c>
      <c r="C264" s="19" t="str">
        <f t="shared" si="16"/>
        <v>제주특별자치도</v>
      </c>
      <c r="D264" s="17" t="str">
        <f t="shared" si="17"/>
        <v>제주시</v>
      </c>
      <c r="E264" s="8" t="s">
        <v>2409</v>
      </c>
      <c r="F264" s="3" t="s">
        <v>2095</v>
      </c>
      <c r="G264" s="3" t="s">
        <v>2406</v>
      </c>
      <c r="H264" s="7" t="s">
        <v>19</v>
      </c>
      <c r="I264" s="15" t="str">
        <f t="shared" si="18"/>
        <v>없음</v>
      </c>
      <c r="J264" s="8" t="s">
        <v>1440</v>
      </c>
      <c r="K264" s="3" t="s">
        <v>19</v>
      </c>
      <c r="L264" s="3" t="s">
        <v>19</v>
      </c>
      <c r="M264" s="3" t="s">
        <v>21</v>
      </c>
      <c r="N264" s="3" t="s">
        <v>147</v>
      </c>
      <c r="O264" s="13">
        <v>629</v>
      </c>
      <c r="P264" s="11" t="str">
        <f t="shared" si="19"/>
        <v>01. 1,000㎡ 미만</v>
      </c>
      <c r="Q264" s="8" t="s">
        <v>19</v>
      </c>
      <c r="R264" s="3" t="s">
        <v>24</v>
      </c>
      <c r="S264" s="3" t="s">
        <v>19</v>
      </c>
    </row>
    <row r="265" spans="1:19" x14ac:dyDescent="0.4">
      <c r="A265" s="7">
        <v>264</v>
      </c>
      <c r="B265" s="8" t="s">
        <v>1813</v>
      </c>
      <c r="C265" s="19" t="str">
        <f t="shared" si="16"/>
        <v>경기도</v>
      </c>
      <c r="D265" s="17" t="str">
        <f t="shared" si="17"/>
        <v>평택시</v>
      </c>
      <c r="E265" s="8" t="s">
        <v>2425</v>
      </c>
      <c r="F265" s="3" t="s">
        <v>2426</v>
      </c>
      <c r="G265" s="3" t="s">
        <v>2427</v>
      </c>
      <c r="H265" s="7" t="s">
        <v>19</v>
      </c>
      <c r="I265" s="15" t="str">
        <f t="shared" si="18"/>
        <v>없음</v>
      </c>
      <c r="J265" s="8" t="s">
        <v>140</v>
      </c>
      <c r="K265" s="3" t="s">
        <v>19</v>
      </c>
      <c r="L265" s="3" t="s">
        <v>19</v>
      </c>
      <c r="M265" s="3" t="s">
        <v>21</v>
      </c>
      <c r="N265" s="3" t="s">
        <v>147</v>
      </c>
      <c r="O265" s="13">
        <v>1110</v>
      </c>
      <c r="P265" s="11" t="str">
        <f t="shared" si="19"/>
        <v>02. 1,000㎡ 이상</v>
      </c>
      <c r="Q265" s="8" t="s">
        <v>1498</v>
      </c>
      <c r="R265" s="3" t="s">
        <v>24</v>
      </c>
      <c r="S265" s="3" t="s">
        <v>19</v>
      </c>
    </row>
    <row r="266" spans="1:19" x14ac:dyDescent="0.4">
      <c r="A266" s="7">
        <v>265</v>
      </c>
      <c r="B266" s="8" t="s">
        <v>2441</v>
      </c>
      <c r="C266" s="19" t="str">
        <f t="shared" si="16"/>
        <v>강원특별자치도</v>
      </c>
      <c r="D266" s="17" t="str">
        <f t="shared" si="17"/>
        <v>홍천군</v>
      </c>
      <c r="E266" s="8" t="s">
        <v>2442</v>
      </c>
      <c r="F266" s="3" t="s">
        <v>1144</v>
      </c>
      <c r="G266" s="3" t="s">
        <v>2443</v>
      </c>
      <c r="H266" s="7" t="s">
        <v>2444</v>
      </c>
      <c r="I266" s="15" t="str">
        <f t="shared" si="18"/>
        <v>있음</v>
      </c>
      <c r="J266" s="8" t="s">
        <v>2445</v>
      </c>
      <c r="K266" s="3" t="s">
        <v>2446</v>
      </c>
      <c r="L266" s="3" t="s">
        <v>19</v>
      </c>
      <c r="M266" s="3" t="s">
        <v>21</v>
      </c>
      <c r="N266" s="3" t="s">
        <v>22</v>
      </c>
      <c r="O266" s="13">
        <v>19738</v>
      </c>
      <c r="P266" s="11" t="str">
        <f t="shared" si="19"/>
        <v>05. 1만㎡ 이상</v>
      </c>
      <c r="Q266" s="8" t="s">
        <v>1498</v>
      </c>
      <c r="R266" s="3" t="s">
        <v>24</v>
      </c>
      <c r="S266" s="3" t="s">
        <v>19</v>
      </c>
    </row>
    <row r="267" spans="1:19" x14ac:dyDescent="0.4">
      <c r="A267" s="7">
        <v>266</v>
      </c>
      <c r="B267" s="8" t="s">
        <v>2461</v>
      </c>
      <c r="C267" s="19" t="str">
        <f t="shared" si="16"/>
        <v>전북특별자치도</v>
      </c>
      <c r="D267" s="17" t="str">
        <f t="shared" si="17"/>
        <v>무주군</v>
      </c>
      <c r="E267" s="8" t="s">
        <v>2462</v>
      </c>
      <c r="F267" s="3" t="s">
        <v>1526</v>
      </c>
      <c r="G267" s="3" t="s">
        <v>2041</v>
      </c>
      <c r="H267" s="7" t="s">
        <v>2463</v>
      </c>
      <c r="I267" s="15" t="str">
        <f t="shared" si="18"/>
        <v>있음</v>
      </c>
      <c r="J267" s="8" t="s">
        <v>2464</v>
      </c>
      <c r="K267" s="3" t="s">
        <v>2464</v>
      </c>
      <c r="L267" s="3" t="s">
        <v>19</v>
      </c>
      <c r="M267" s="3" t="s">
        <v>21</v>
      </c>
      <c r="N267" s="3" t="s">
        <v>22</v>
      </c>
      <c r="O267" s="13">
        <v>1081</v>
      </c>
      <c r="P267" s="11" t="str">
        <f t="shared" si="19"/>
        <v>02. 1,000㎡ 이상</v>
      </c>
      <c r="Q267" s="8" t="s">
        <v>1498</v>
      </c>
      <c r="R267" s="3" t="s">
        <v>24</v>
      </c>
      <c r="S267" s="3" t="s">
        <v>19</v>
      </c>
    </row>
    <row r="268" spans="1:19" x14ac:dyDescent="0.4">
      <c r="A268" s="7">
        <v>267</v>
      </c>
      <c r="B268" s="8" t="s">
        <v>2465</v>
      </c>
      <c r="C268" s="19" t="str">
        <f t="shared" si="16"/>
        <v>전북특별자치도</v>
      </c>
      <c r="D268" s="17" t="str">
        <f t="shared" si="17"/>
        <v>무주군</v>
      </c>
      <c r="E268" s="8" t="s">
        <v>2466</v>
      </c>
      <c r="F268" s="3" t="s">
        <v>1526</v>
      </c>
      <c r="G268" s="3" t="s">
        <v>2041</v>
      </c>
      <c r="H268" s="7" t="s">
        <v>2463</v>
      </c>
      <c r="I268" s="15" t="str">
        <f t="shared" si="18"/>
        <v>있음</v>
      </c>
      <c r="J268" s="8" t="s">
        <v>2464</v>
      </c>
      <c r="K268" s="3" t="s">
        <v>2464</v>
      </c>
      <c r="L268" s="3" t="s">
        <v>19</v>
      </c>
      <c r="M268" s="3" t="s">
        <v>21</v>
      </c>
      <c r="N268" s="3" t="s">
        <v>22</v>
      </c>
      <c r="O268" s="13">
        <v>571</v>
      </c>
      <c r="P268" s="11" t="str">
        <f t="shared" si="19"/>
        <v>01. 1,000㎡ 미만</v>
      </c>
      <c r="Q268" s="8" t="s">
        <v>1498</v>
      </c>
      <c r="R268" s="3" t="s">
        <v>24</v>
      </c>
      <c r="S268" s="3" t="s">
        <v>19</v>
      </c>
    </row>
    <row r="269" spans="1:19" x14ac:dyDescent="0.4">
      <c r="A269" s="7">
        <v>268</v>
      </c>
      <c r="B269" s="8" t="s">
        <v>2534</v>
      </c>
      <c r="C269" s="19" t="str">
        <f t="shared" si="16"/>
        <v>전라남도</v>
      </c>
      <c r="D269" s="17" t="str">
        <f t="shared" si="17"/>
        <v>목포시</v>
      </c>
      <c r="E269" s="8" t="s">
        <v>2535</v>
      </c>
      <c r="F269" s="3" t="s">
        <v>2536</v>
      </c>
      <c r="G269" s="3" t="s">
        <v>2331</v>
      </c>
      <c r="H269" s="7" t="s">
        <v>2537</v>
      </c>
      <c r="I269" s="15" t="str">
        <f t="shared" si="18"/>
        <v>있음</v>
      </c>
      <c r="J269" s="8" t="s">
        <v>2232</v>
      </c>
      <c r="K269" s="3" t="s">
        <v>2224</v>
      </c>
      <c r="L269" s="3" t="s">
        <v>2538</v>
      </c>
      <c r="M269" s="3" t="s">
        <v>21</v>
      </c>
      <c r="N269" s="3" t="s">
        <v>22</v>
      </c>
      <c r="O269" s="13">
        <v>1520</v>
      </c>
      <c r="P269" s="11" t="str">
        <f t="shared" si="19"/>
        <v>03. 1,500㎡ 이상</v>
      </c>
      <c r="Q269" s="8" t="s">
        <v>1498</v>
      </c>
      <c r="R269" s="3" t="s">
        <v>24</v>
      </c>
      <c r="S269" s="3" t="s">
        <v>19</v>
      </c>
    </row>
    <row r="270" spans="1:19" x14ac:dyDescent="0.4">
      <c r="A270" s="7">
        <v>269</v>
      </c>
      <c r="B270" s="8" t="s">
        <v>1956</v>
      </c>
      <c r="C270" s="19" t="str">
        <f t="shared" si="16"/>
        <v>경기도</v>
      </c>
      <c r="D270" s="17" t="str">
        <f t="shared" si="17"/>
        <v>가평군</v>
      </c>
      <c r="E270" s="8" t="s">
        <v>2552</v>
      </c>
      <c r="F270" s="3" t="s">
        <v>684</v>
      </c>
      <c r="G270" s="3" t="s">
        <v>2553</v>
      </c>
      <c r="H270" s="7" t="s">
        <v>1959</v>
      </c>
      <c r="I270" s="15" t="str">
        <f t="shared" si="18"/>
        <v>있음</v>
      </c>
      <c r="J270" s="8" t="s">
        <v>1960</v>
      </c>
      <c r="K270" s="3" t="s">
        <v>1960</v>
      </c>
      <c r="L270" s="3" t="s">
        <v>19</v>
      </c>
      <c r="M270" s="3" t="s">
        <v>21</v>
      </c>
      <c r="N270" s="3" t="s">
        <v>22</v>
      </c>
      <c r="O270" s="13">
        <v>574</v>
      </c>
      <c r="P270" s="11" t="str">
        <f t="shared" si="19"/>
        <v>01. 1,000㎡ 미만</v>
      </c>
      <c r="Q270" s="8" t="s">
        <v>1498</v>
      </c>
      <c r="R270" s="3" t="s">
        <v>24</v>
      </c>
      <c r="S270" s="3" t="s">
        <v>19</v>
      </c>
    </row>
    <row r="271" spans="1:19" x14ac:dyDescent="0.4">
      <c r="A271" s="7">
        <v>270</v>
      </c>
      <c r="B271" s="8" t="s">
        <v>1956</v>
      </c>
      <c r="C271" s="19" t="str">
        <f t="shared" si="16"/>
        <v>경기도</v>
      </c>
      <c r="D271" s="17" t="str">
        <f t="shared" si="17"/>
        <v>가평군</v>
      </c>
      <c r="E271" s="8" t="s">
        <v>2554</v>
      </c>
      <c r="F271" s="3" t="s">
        <v>684</v>
      </c>
      <c r="G271" s="3" t="s">
        <v>2555</v>
      </c>
      <c r="H271" s="7" t="s">
        <v>1959</v>
      </c>
      <c r="I271" s="15" t="str">
        <f t="shared" si="18"/>
        <v>있음</v>
      </c>
      <c r="J271" s="8" t="s">
        <v>1960</v>
      </c>
      <c r="K271" s="3" t="s">
        <v>1960</v>
      </c>
      <c r="L271" s="3" t="s">
        <v>19</v>
      </c>
      <c r="M271" s="3" t="s">
        <v>21</v>
      </c>
      <c r="N271" s="3" t="s">
        <v>22</v>
      </c>
      <c r="O271" s="13">
        <v>574</v>
      </c>
      <c r="P271" s="11" t="str">
        <f t="shared" si="19"/>
        <v>01. 1,000㎡ 미만</v>
      </c>
      <c r="Q271" s="8" t="s">
        <v>1498</v>
      </c>
      <c r="R271" s="3" t="s">
        <v>24</v>
      </c>
      <c r="S271" s="3" t="s">
        <v>19</v>
      </c>
    </row>
    <row r="272" spans="1:19" x14ac:dyDescent="0.4">
      <c r="A272" s="7">
        <v>271</v>
      </c>
      <c r="B272" s="8" t="s">
        <v>2585</v>
      </c>
      <c r="C272" s="19" t="str">
        <f t="shared" si="16"/>
        <v>인천광역시</v>
      </c>
      <c r="D272" s="17" t="str">
        <f t="shared" si="17"/>
        <v>옹진군</v>
      </c>
      <c r="E272" s="8" t="s">
        <v>2586</v>
      </c>
      <c r="F272" s="3" t="s">
        <v>2222</v>
      </c>
      <c r="G272" s="3" t="s">
        <v>2576</v>
      </c>
      <c r="H272" s="7" t="s">
        <v>2587</v>
      </c>
      <c r="I272" s="15" t="str">
        <f t="shared" si="18"/>
        <v>있음</v>
      </c>
      <c r="J272" s="8" t="s">
        <v>2588</v>
      </c>
      <c r="K272" s="3" t="s">
        <v>2589</v>
      </c>
      <c r="L272" s="3" t="s">
        <v>19</v>
      </c>
      <c r="M272" s="3" t="s">
        <v>21</v>
      </c>
      <c r="N272" s="3" t="s">
        <v>22</v>
      </c>
      <c r="O272" s="13">
        <v>1991</v>
      </c>
      <c r="P272" s="11" t="str">
        <f t="shared" si="19"/>
        <v>03. 1,500㎡ 이상</v>
      </c>
      <c r="Q272" s="8" t="s">
        <v>1498</v>
      </c>
      <c r="R272" s="3" t="s">
        <v>24</v>
      </c>
      <c r="S272" s="3" t="s">
        <v>19</v>
      </c>
    </row>
    <row r="273" spans="1:19" x14ac:dyDescent="0.4">
      <c r="A273" s="7">
        <v>272</v>
      </c>
      <c r="B273" s="8" t="s">
        <v>2664</v>
      </c>
      <c r="C273" s="19" t="str">
        <f t="shared" si="16"/>
        <v>경기도</v>
      </c>
      <c r="D273" s="17" t="str">
        <f t="shared" si="17"/>
        <v>가평군</v>
      </c>
      <c r="E273" s="8" t="s">
        <v>2665</v>
      </c>
      <c r="F273" s="3" t="s">
        <v>1188</v>
      </c>
      <c r="G273" s="3" t="s">
        <v>2646</v>
      </c>
      <c r="H273" s="7" t="s">
        <v>2666</v>
      </c>
      <c r="I273" s="15" t="str">
        <f t="shared" si="18"/>
        <v>있음</v>
      </c>
      <c r="J273" s="8" t="s">
        <v>19</v>
      </c>
      <c r="K273" s="3" t="s">
        <v>19</v>
      </c>
      <c r="L273" s="3" t="s">
        <v>2666</v>
      </c>
      <c r="M273" s="3" t="s">
        <v>21</v>
      </c>
      <c r="N273" s="3" t="s">
        <v>147</v>
      </c>
      <c r="O273" s="13">
        <v>286</v>
      </c>
      <c r="P273" s="11" t="str">
        <f t="shared" si="19"/>
        <v>01. 1,000㎡ 미만</v>
      </c>
      <c r="Q273" s="8" t="s">
        <v>19</v>
      </c>
      <c r="R273" s="3" t="s">
        <v>24</v>
      </c>
      <c r="S273" s="3" t="s">
        <v>19</v>
      </c>
    </row>
    <row r="274" spans="1:19" x14ac:dyDescent="0.4">
      <c r="A274" s="7">
        <v>273</v>
      </c>
      <c r="B274" s="8" t="s">
        <v>2686</v>
      </c>
      <c r="C274" s="19" t="str">
        <f t="shared" si="16"/>
        <v>인천광역시</v>
      </c>
      <c r="D274" s="17" t="str">
        <f t="shared" si="17"/>
        <v>미추홀구</v>
      </c>
      <c r="E274" s="8" t="s">
        <v>2687</v>
      </c>
      <c r="F274" s="3" t="s">
        <v>2688</v>
      </c>
      <c r="G274" s="3" t="s">
        <v>606</v>
      </c>
      <c r="H274" s="7" t="s">
        <v>19</v>
      </c>
      <c r="I274" s="15" t="str">
        <f t="shared" si="18"/>
        <v>없음</v>
      </c>
      <c r="J274" s="8" t="s">
        <v>577</v>
      </c>
      <c r="K274" s="3" t="s">
        <v>19</v>
      </c>
      <c r="L274" s="3" t="s">
        <v>19</v>
      </c>
      <c r="M274" s="3" t="s">
        <v>21</v>
      </c>
      <c r="N274" s="3" t="s">
        <v>147</v>
      </c>
      <c r="O274" s="13">
        <v>1358</v>
      </c>
      <c r="P274" s="11" t="str">
        <f t="shared" si="19"/>
        <v>02. 1,000㎡ 이상</v>
      </c>
      <c r="Q274" s="8" t="s">
        <v>19</v>
      </c>
      <c r="R274" s="3" t="s">
        <v>24</v>
      </c>
      <c r="S274" s="3" t="s">
        <v>19</v>
      </c>
    </row>
    <row r="275" spans="1:19" x14ac:dyDescent="0.4">
      <c r="A275" s="7">
        <v>274</v>
      </c>
      <c r="B275" s="8" t="s">
        <v>2763</v>
      </c>
      <c r="C275" s="19" t="str">
        <f t="shared" si="16"/>
        <v>경상북도</v>
      </c>
      <c r="D275" s="17" t="str">
        <f t="shared" si="17"/>
        <v>경주시</v>
      </c>
      <c r="E275" s="8" t="s">
        <v>2764</v>
      </c>
      <c r="F275" s="3" t="s">
        <v>1229</v>
      </c>
      <c r="G275" s="3" t="s">
        <v>2325</v>
      </c>
      <c r="H275" s="7" t="s">
        <v>19</v>
      </c>
      <c r="I275" s="15" t="str">
        <f t="shared" si="18"/>
        <v>없음</v>
      </c>
      <c r="J275" s="8" t="s">
        <v>2765</v>
      </c>
      <c r="K275" s="3" t="s">
        <v>19</v>
      </c>
      <c r="L275" s="3" t="s">
        <v>19</v>
      </c>
      <c r="M275" s="3" t="s">
        <v>21</v>
      </c>
      <c r="N275" s="3" t="s">
        <v>147</v>
      </c>
      <c r="O275" s="13">
        <v>1256</v>
      </c>
      <c r="P275" s="11" t="str">
        <f t="shared" si="19"/>
        <v>02. 1,000㎡ 이상</v>
      </c>
      <c r="Q275" s="8" t="s">
        <v>84</v>
      </c>
      <c r="R275" s="3" t="s">
        <v>24</v>
      </c>
      <c r="S275" s="3" t="s">
        <v>19</v>
      </c>
    </row>
    <row r="276" spans="1:19" x14ac:dyDescent="0.4">
      <c r="A276" s="7">
        <v>275</v>
      </c>
      <c r="B276" s="8" t="s">
        <v>2841</v>
      </c>
      <c r="C276" s="19" t="str">
        <f t="shared" si="16"/>
        <v>경상남도</v>
      </c>
      <c r="D276" s="17" t="str">
        <f t="shared" si="17"/>
        <v>고성군</v>
      </c>
      <c r="E276" s="8" t="s">
        <v>2842</v>
      </c>
      <c r="F276" s="3" t="s">
        <v>779</v>
      </c>
      <c r="G276" s="3" t="s">
        <v>2789</v>
      </c>
      <c r="H276" s="7" t="s">
        <v>2843</v>
      </c>
      <c r="I276" s="15" t="str">
        <f t="shared" si="18"/>
        <v>있음</v>
      </c>
      <c r="J276" s="8" t="s">
        <v>2844</v>
      </c>
      <c r="K276" s="3" t="s">
        <v>19</v>
      </c>
      <c r="L276" s="3" t="s">
        <v>19</v>
      </c>
      <c r="M276" s="3" t="s">
        <v>21</v>
      </c>
      <c r="N276" s="3" t="s">
        <v>22</v>
      </c>
      <c r="O276" s="13">
        <v>552</v>
      </c>
      <c r="P276" s="11" t="str">
        <f t="shared" si="19"/>
        <v>01. 1,000㎡ 미만</v>
      </c>
      <c r="Q276" s="8" t="s">
        <v>1498</v>
      </c>
      <c r="R276" s="3" t="s">
        <v>24</v>
      </c>
      <c r="S276" s="3" t="s">
        <v>19</v>
      </c>
    </row>
    <row r="277" spans="1:19" x14ac:dyDescent="0.4">
      <c r="A277" s="7">
        <v>276</v>
      </c>
      <c r="B277" s="8" t="s">
        <v>2875</v>
      </c>
      <c r="C277" s="19" t="str">
        <f t="shared" si="16"/>
        <v>인천광역시</v>
      </c>
      <c r="D277" s="17" t="str">
        <f t="shared" si="17"/>
        <v>강화군</v>
      </c>
      <c r="E277" s="8" t="s">
        <v>2876</v>
      </c>
      <c r="F277" s="3" t="s">
        <v>2877</v>
      </c>
      <c r="G277" s="3" t="s">
        <v>679</v>
      </c>
      <c r="H277" s="7" t="s">
        <v>2878</v>
      </c>
      <c r="I277" s="15" t="str">
        <f t="shared" si="18"/>
        <v>있음</v>
      </c>
      <c r="J277" s="8" t="s">
        <v>2879</v>
      </c>
      <c r="K277" s="3" t="s">
        <v>2880</v>
      </c>
      <c r="L277" s="3" t="s">
        <v>19</v>
      </c>
      <c r="M277" s="3" t="s">
        <v>21</v>
      </c>
      <c r="N277" s="3" t="s">
        <v>22</v>
      </c>
      <c r="O277" s="13">
        <v>204</v>
      </c>
      <c r="P277" s="11" t="str">
        <f t="shared" si="19"/>
        <v>01. 1,000㎡ 미만</v>
      </c>
      <c r="Q277" s="8" t="s">
        <v>211</v>
      </c>
      <c r="R277" s="3" t="s">
        <v>24</v>
      </c>
      <c r="S277" s="3" t="s">
        <v>19</v>
      </c>
    </row>
    <row r="278" spans="1:19" x14ac:dyDescent="0.4">
      <c r="A278" s="7">
        <v>277</v>
      </c>
      <c r="B278" s="8" t="s">
        <v>2881</v>
      </c>
      <c r="C278" s="19" t="str">
        <f t="shared" si="16"/>
        <v>인천광역시</v>
      </c>
      <c r="D278" s="17" t="str">
        <f t="shared" si="17"/>
        <v>강화군</v>
      </c>
      <c r="E278" s="8" t="s">
        <v>2882</v>
      </c>
      <c r="F278" s="3" t="s">
        <v>2877</v>
      </c>
      <c r="G278" s="3" t="s">
        <v>679</v>
      </c>
      <c r="H278" s="7" t="s">
        <v>2878</v>
      </c>
      <c r="I278" s="15" t="str">
        <f t="shared" si="18"/>
        <v>있음</v>
      </c>
      <c r="J278" s="8" t="s">
        <v>2879</v>
      </c>
      <c r="K278" s="3" t="s">
        <v>2880</v>
      </c>
      <c r="L278" s="3" t="s">
        <v>19</v>
      </c>
      <c r="M278" s="3" t="s">
        <v>21</v>
      </c>
      <c r="N278" s="3" t="s">
        <v>22</v>
      </c>
      <c r="O278" s="13">
        <v>199</v>
      </c>
      <c r="P278" s="11" t="str">
        <f t="shared" si="19"/>
        <v>01. 1,000㎡ 미만</v>
      </c>
      <c r="Q278" s="8" t="s">
        <v>211</v>
      </c>
      <c r="R278" s="3" t="s">
        <v>24</v>
      </c>
      <c r="S278" s="3" t="s">
        <v>19</v>
      </c>
    </row>
    <row r="279" spans="1:19" x14ac:dyDescent="0.4">
      <c r="A279" s="7">
        <v>278</v>
      </c>
      <c r="B279" s="8" t="s">
        <v>2921</v>
      </c>
      <c r="C279" s="19" t="str">
        <f t="shared" si="16"/>
        <v>대구광역시</v>
      </c>
      <c r="D279" s="17" t="str">
        <f t="shared" si="17"/>
        <v>북구</v>
      </c>
      <c r="E279" s="8" t="s">
        <v>2922</v>
      </c>
      <c r="F279" s="3" t="s">
        <v>779</v>
      </c>
      <c r="G279" s="3" t="s">
        <v>2900</v>
      </c>
      <c r="H279" s="7" t="s">
        <v>2923</v>
      </c>
      <c r="I279" s="15" t="str">
        <f t="shared" si="18"/>
        <v>있음</v>
      </c>
      <c r="J279" s="8" t="s">
        <v>2924</v>
      </c>
      <c r="K279" s="3" t="s">
        <v>2924</v>
      </c>
      <c r="L279" s="3" t="s">
        <v>19</v>
      </c>
      <c r="M279" s="3" t="s">
        <v>21</v>
      </c>
      <c r="N279" s="3" t="s">
        <v>228</v>
      </c>
      <c r="O279" s="13">
        <v>2212</v>
      </c>
      <c r="P279" s="11" t="str">
        <f t="shared" si="19"/>
        <v>03. 1,500㎡ 이상</v>
      </c>
      <c r="Q279" s="8" t="s">
        <v>1498</v>
      </c>
      <c r="R279" s="3" t="s">
        <v>24</v>
      </c>
      <c r="S279" s="3" t="s">
        <v>19</v>
      </c>
    </row>
    <row r="280" spans="1:19" x14ac:dyDescent="0.4">
      <c r="A280" s="7">
        <v>279</v>
      </c>
      <c r="B280" s="8" t="s">
        <v>2935</v>
      </c>
      <c r="C280" s="19" t="str">
        <f t="shared" si="16"/>
        <v>강원특별자치도</v>
      </c>
      <c r="D280" s="17" t="str">
        <f t="shared" si="17"/>
        <v>강릉시</v>
      </c>
      <c r="E280" s="8" t="s">
        <v>2936</v>
      </c>
      <c r="F280" s="3" t="s">
        <v>2937</v>
      </c>
      <c r="G280" s="3" t="s">
        <v>2002</v>
      </c>
      <c r="H280" s="7" t="s">
        <v>2938</v>
      </c>
      <c r="I280" s="15" t="str">
        <f t="shared" si="18"/>
        <v>있음</v>
      </c>
      <c r="J280" s="8" t="s">
        <v>2939</v>
      </c>
      <c r="K280" s="3" t="s">
        <v>2940</v>
      </c>
      <c r="L280" s="3" t="s">
        <v>19</v>
      </c>
      <c r="M280" s="3" t="s">
        <v>21</v>
      </c>
      <c r="N280" s="3" t="s">
        <v>22</v>
      </c>
      <c r="O280" s="13">
        <v>14611</v>
      </c>
      <c r="P280" s="11" t="str">
        <f t="shared" si="19"/>
        <v>05. 1만㎡ 이상</v>
      </c>
      <c r="Q280" s="8" t="s">
        <v>1498</v>
      </c>
      <c r="R280" s="3" t="s">
        <v>24</v>
      </c>
      <c r="S280" s="3" t="s">
        <v>19</v>
      </c>
    </row>
    <row r="281" spans="1:19" x14ac:dyDescent="0.4">
      <c r="A281" s="7">
        <v>280</v>
      </c>
      <c r="B281" s="8" t="s">
        <v>2985</v>
      </c>
      <c r="C281" s="19" t="str">
        <f t="shared" si="16"/>
        <v>전라남도</v>
      </c>
      <c r="D281" s="17" t="str">
        <f t="shared" si="17"/>
        <v>여수시</v>
      </c>
      <c r="E281" s="8" t="s">
        <v>2986</v>
      </c>
      <c r="F281" s="3" t="s">
        <v>2987</v>
      </c>
      <c r="G281" s="3" t="s">
        <v>2988</v>
      </c>
      <c r="H281" s="7" t="s">
        <v>2989</v>
      </c>
      <c r="I281" s="15" t="str">
        <f t="shared" si="18"/>
        <v>있음</v>
      </c>
      <c r="J281" s="8" t="s">
        <v>2990</v>
      </c>
      <c r="K281" s="3" t="s">
        <v>2991</v>
      </c>
      <c r="L281" s="3" t="s">
        <v>415</v>
      </c>
      <c r="M281" s="3" t="s">
        <v>21</v>
      </c>
      <c r="N281" s="3" t="s">
        <v>22</v>
      </c>
      <c r="O281" s="13">
        <v>17621</v>
      </c>
      <c r="P281" s="11" t="str">
        <f t="shared" si="19"/>
        <v>05. 1만㎡ 이상</v>
      </c>
      <c r="Q281" s="8" t="s">
        <v>1498</v>
      </c>
      <c r="R281" s="3" t="s">
        <v>24</v>
      </c>
      <c r="S281" s="3" t="s">
        <v>19</v>
      </c>
    </row>
    <row r="282" spans="1:19" x14ac:dyDescent="0.4">
      <c r="A282" s="7">
        <v>281</v>
      </c>
      <c r="B282" s="8" t="s">
        <v>2992</v>
      </c>
      <c r="C282" s="19" t="str">
        <f t="shared" si="16"/>
        <v>충청남도</v>
      </c>
      <c r="D282" s="17" t="str">
        <f t="shared" si="17"/>
        <v>당진시</v>
      </c>
      <c r="E282" s="8" t="s">
        <v>2993</v>
      </c>
      <c r="F282" s="3" t="s">
        <v>2994</v>
      </c>
      <c r="G282" s="3" t="s">
        <v>2995</v>
      </c>
      <c r="H282" s="7" t="s">
        <v>2996</v>
      </c>
      <c r="I282" s="15" t="str">
        <f t="shared" si="18"/>
        <v>있음</v>
      </c>
      <c r="J282" s="8" t="s">
        <v>1809</v>
      </c>
      <c r="K282" s="3" t="s">
        <v>19</v>
      </c>
      <c r="L282" s="3" t="s">
        <v>19</v>
      </c>
      <c r="M282" s="3" t="s">
        <v>21</v>
      </c>
      <c r="N282" s="3" t="s">
        <v>22</v>
      </c>
      <c r="O282" s="13">
        <v>303</v>
      </c>
      <c r="P282" s="11" t="str">
        <f t="shared" si="19"/>
        <v>01. 1,000㎡ 미만</v>
      </c>
      <c r="Q282" s="8" t="s">
        <v>84</v>
      </c>
      <c r="R282" s="3" t="s">
        <v>24</v>
      </c>
      <c r="S282" s="3" t="s">
        <v>19</v>
      </c>
    </row>
    <row r="283" spans="1:19" x14ac:dyDescent="0.4">
      <c r="A283" s="7">
        <v>282</v>
      </c>
      <c r="B283" s="8" t="s">
        <v>3000</v>
      </c>
      <c r="C283" s="19" t="str">
        <f t="shared" si="16"/>
        <v>충청남도</v>
      </c>
      <c r="D283" s="17" t="str">
        <f t="shared" si="17"/>
        <v>아산시</v>
      </c>
      <c r="E283" s="8" t="s">
        <v>3001</v>
      </c>
      <c r="F283" s="3" t="s">
        <v>3002</v>
      </c>
      <c r="G283" s="3" t="s">
        <v>2995</v>
      </c>
      <c r="H283" s="7" t="s">
        <v>3003</v>
      </c>
      <c r="I283" s="15" t="str">
        <f t="shared" si="18"/>
        <v>있음</v>
      </c>
      <c r="J283" s="8" t="s">
        <v>3004</v>
      </c>
      <c r="K283" s="3" t="s">
        <v>3005</v>
      </c>
      <c r="L283" s="3" t="s">
        <v>3006</v>
      </c>
      <c r="M283" s="3" t="s">
        <v>21</v>
      </c>
      <c r="N283" s="3" t="s">
        <v>22</v>
      </c>
      <c r="O283" s="13">
        <v>274379</v>
      </c>
      <c r="P283" s="11" t="str">
        <f t="shared" si="19"/>
        <v>31. 27만㎡ 이상</v>
      </c>
      <c r="Q283" s="8" t="s">
        <v>1498</v>
      </c>
      <c r="R283" s="3" t="s">
        <v>24</v>
      </c>
      <c r="S283" s="3" t="s">
        <v>19</v>
      </c>
    </row>
    <row r="284" spans="1:19" x14ac:dyDescent="0.4">
      <c r="A284" s="7">
        <v>283</v>
      </c>
      <c r="B284" s="8" t="s">
        <v>3022</v>
      </c>
      <c r="C284" s="19" t="str">
        <f t="shared" si="16"/>
        <v>제주특별자치도</v>
      </c>
      <c r="D284" s="17" t="str">
        <f t="shared" si="17"/>
        <v>제주시</v>
      </c>
      <c r="E284" s="8" t="s">
        <v>3023</v>
      </c>
      <c r="F284" s="3" t="s">
        <v>3024</v>
      </c>
      <c r="G284" s="3" t="s">
        <v>3015</v>
      </c>
      <c r="H284" s="7" t="s">
        <v>19</v>
      </c>
      <c r="I284" s="15" t="str">
        <f t="shared" si="18"/>
        <v>없음</v>
      </c>
      <c r="J284" s="8" t="s">
        <v>2219</v>
      </c>
      <c r="K284" s="3" t="s">
        <v>19</v>
      </c>
      <c r="L284" s="3" t="s">
        <v>19</v>
      </c>
      <c r="M284" s="3" t="s">
        <v>21</v>
      </c>
      <c r="N284" s="3" t="s">
        <v>22</v>
      </c>
      <c r="O284" s="13">
        <v>449</v>
      </c>
      <c r="P284" s="11" t="str">
        <f t="shared" si="19"/>
        <v>01. 1,000㎡ 미만</v>
      </c>
      <c r="Q284" s="8" t="s">
        <v>1498</v>
      </c>
      <c r="R284" s="3" t="s">
        <v>24</v>
      </c>
      <c r="S284" s="3" t="s">
        <v>19</v>
      </c>
    </row>
    <row r="285" spans="1:19" x14ac:dyDescent="0.4">
      <c r="A285" s="7">
        <v>284</v>
      </c>
      <c r="B285" s="8" t="s">
        <v>3072</v>
      </c>
      <c r="C285" s="19" t="str">
        <f t="shared" si="16"/>
        <v>경상남도</v>
      </c>
      <c r="D285" s="17" t="str">
        <f t="shared" si="17"/>
        <v>거창군</v>
      </c>
      <c r="E285" s="8" t="s">
        <v>3073</v>
      </c>
      <c r="F285" s="3" t="s">
        <v>3074</v>
      </c>
      <c r="G285" s="3" t="s">
        <v>3044</v>
      </c>
      <c r="H285" s="7" t="s">
        <v>3075</v>
      </c>
      <c r="I285" s="15" t="str">
        <f t="shared" si="18"/>
        <v>있음</v>
      </c>
      <c r="J285" s="8" t="s">
        <v>3076</v>
      </c>
      <c r="K285" s="3" t="s">
        <v>3077</v>
      </c>
      <c r="L285" s="3" t="s">
        <v>19</v>
      </c>
      <c r="M285" s="3" t="s">
        <v>21</v>
      </c>
      <c r="N285" s="3" t="s">
        <v>22</v>
      </c>
      <c r="O285" s="13">
        <v>950</v>
      </c>
      <c r="P285" s="11" t="str">
        <f t="shared" si="19"/>
        <v>01. 1,000㎡ 미만</v>
      </c>
      <c r="Q285" s="8" t="s">
        <v>1498</v>
      </c>
      <c r="R285" s="3" t="s">
        <v>24</v>
      </c>
      <c r="S285" s="3" t="s">
        <v>19</v>
      </c>
    </row>
    <row r="286" spans="1:19" x14ac:dyDescent="0.4">
      <c r="A286" s="7">
        <v>285</v>
      </c>
      <c r="B286" s="8" t="s">
        <v>3119</v>
      </c>
      <c r="C286" s="19" t="str">
        <f t="shared" si="16"/>
        <v>경상북도</v>
      </c>
      <c r="D286" s="17" t="str">
        <f t="shared" si="17"/>
        <v>경주시</v>
      </c>
      <c r="E286" s="8" t="s">
        <v>3120</v>
      </c>
      <c r="F286" s="3" t="s">
        <v>814</v>
      </c>
      <c r="G286" s="3" t="s">
        <v>3027</v>
      </c>
      <c r="H286" s="7" t="s">
        <v>19</v>
      </c>
      <c r="I286" s="15" t="str">
        <f t="shared" si="18"/>
        <v>없음</v>
      </c>
      <c r="J286" s="8" t="s">
        <v>896</v>
      </c>
      <c r="K286" s="3" t="s">
        <v>19</v>
      </c>
      <c r="L286" s="3" t="s">
        <v>19</v>
      </c>
      <c r="M286" s="3" t="s">
        <v>21</v>
      </c>
      <c r="N286" s="3" t="s">
        <v>147</v>
      </c>
      <c r="O286" s="13">
        <v>3917</v>
      </c>
      <c r="P286" s="11" t="str">
        <f t="shared" si="19"/>
        <v>03. 1,500㎡ 이상</v>
      </c>
      <c r="Q286" s="8" t="s">
        <v>1498</v>
      </c>
      <c r="R286" s="3" t="s">
        <v>24</v>
      </c>
      <c r="S286" s="3" t="s">
        <v>19</v>
      </c>
    </row>
    <row r="287" spans="1:19" x14ac:dyDescent="0.4">
      <c r="A287" s="7">
        <v>286</v>
      </c>
      <c r="B287" s="8" t="s">
        <v>3142</v>
      </c>
      <c r="C287" s="19" t="str">
        <f t="shared" si="16"/>
        <v>전라남도</v>
      </c>
      <c r="D287" s="17" t="str">
        <f t="shared" si="17"/>
        <v>화순군</v>
      </c>
      <c r="E287" s="8" t="s">
        <v>3143</v>
      </c>
      <c r="F287" s="3" t="s">
        <v>3144</v>
      </c>
      <c r="G287" s="3" t="s">
        <v>2744</v>
      </c>
      <c r="H287" s="7" t="s">
        <v>3145</v>
      </c>
      <c r="I287" s="15" t="str">
        <f t="shared" si="18"/>
        <v>있음</v>
      </c>
      <c r="J287" s="8" t="s">
        <v>3146</v>
      </c>
      <c r="K287" s="3" t="s">
        <v>3146</v>
      </c>
      <c r="L287" s="3" t="s">
        <v>3147</v>
      </c>
      <c r="M287" s="3" t="s">
        <v>21</v>
      </c>
      <c r="N287" s="3" t="s">
        <v>22</v>
      </c>
      <c r="O287" s="13">
        <v>2208</v>
      </c>
      <c r="P287" s="11" t="str">
        <f t="shared" si="19"/>
        <v>03. 1,500㎡ 이상</v>
      </c>
      <c r="Q287" s="8" t="s">
        <v>1498</v>
      </c>
      <c r="R287" s="3" t="s">
        <v>24</v>
      </c>
      <c r="S287" s="3" t="s">
        <v>19</v>
      </c>
    </row>
    <row r="288" spans="1:19" x14ac:dyDescent="0.4">
      <c r="A288" s="7">
        <v>287</v>
      </c>
      <c r="B288" s="8" t="s">
        <v>3166</v>
      </c>
      <c r="C288" s="19" t="str">
        <f t="shared" si="16"/>
        <v>경상남도</v>
      </c>
      <c r="D288" s="17" t="str">
        <f t="shared" si="17"/>
        <v>남해군</v>
      </c>
      <c r="E288" s="8" t="s">
        <v>3167</v>
      </c>
      <c r="F288" s="3" t="s">
        <v>3168</v>
      </c>
      <c r="G288" s="3" t="s">
        <v>814</v>
      </c>
      <c r="H288" s="7" t="s">
        <v>2685</v>
      </c>
      <c r="I288" s="15" t="str">
        <f t="shared" si="18"/>
        <v>있음</v>
      </c>
      <c r="J288" s="8" t="s">
        <v>376</v>
      </c>
      <c r="K288" s="3" t="s">
        <v>3169</v>
      </c>
      <c r="L288" s="3" t="s">
        <v>19</v>
      </c>
      <c r="M288" s="3" t="s">
        <v>21</v>
      </c>
      <c r="N288" s="3" t="s">
        <v>22</v>
      </c>
      <c r="O288" s="13">
        <v>3692</v>
      </c>
      <c r="P288" s="11" t="str">
        <f t="shared" si="19"/>
        <v>03. 1,500㎡ 이상</v>
      </c>
      <c r="Q288" s="8" t="s">
        <v>1498</v>
      </c>
      <c r="R288" s="3" t="s">
        <v>24</v>
      </c>
      <c r="S288" s="3" t="s">
        <v>19</v>
      </c>
    </row>
    <row r="289" spans="1:19" x14ac:dyDescent="0.4">
      <c r="A289" s="7">
        <v>288</v>
      </c>
      <c r="B289" s="8" t="s">
        <v>3219</v>
      </c>
      <c r="C289" s="19" t="str">
        <f t="shared" si="16"/>
        <v>경기도</v>
      </c>
      <c r="D289" s="17" t="str">
        <f t="shared" si="17"/>
        <v>가평군</v>
      </c>
      <c r="E289" s="8" t="s">
        <v>2932</v>
      </c>
      <c r="F289" s="3" t="s">
        <v>3220</v>
      </c>
      <c r="G289" s="3" t="s">
        <v>3221</v>
      </c>
      <c r="H289" s="7" t="s">
        <v>19</v>
      </c>
      <c r="I289" s="15" t="str">
        <f t="shared" si="18"/>
        <v>없음</v>
      </c>
      <c r="J289" s="8" t="s">
        <v>953</v>
      </c>
      <c r="K289" s="3" t="s">
        <v>953</v>
      </c>
      <c r="L289" s="3" t="s">
        <v>19</v>
      </c>
      <c r="M289" s="3" t="s">
        <v>21</v>
      </c>
      <c r="N289" s="3" t="s">
        <v>22</v>
      </c>
      <c r="O289" s="13">
        <v>1575</v>
      </c>
      <c r="P289" s="11" t="str">
        <f t="shared" si="19"/>
        <v>03. 1,500㎡ 이상</v>
      </c>
      <c r="Q289" s="8" t="s">
        <v>2155</v>
      </c>
      <c r="R289" s="3" t="s">
        <v>24</v>
      </c>
      <c r="S289" s="3" t="s">
        <v>19</v>
      </c>
    </row>
    <row r="290" spans="1:19" x14ac:dyDescent="0.4">
      <c r="A290" s="7">
        <v>289</v>
      </c>
      <c r="B290" s="8" t="s">
        <v>3233</v>
      </c>
      <c r="C290" s="19" t="str">
        <f t="shared" si="16"/>
        <v>제주특별자치도</v>
      </c>
      <c r="D290" s="17" t="str">
        <f t="shared" si="17"/>
        <v>제주시</v>
      </c>
      <c r="E290" s="8" t="s">
        <v>3234</v>
      </c>
      <c r="F290" s="3" t="s">
        <v>2768</v>
      </c>
      <c r="G290" s="3" t="s">
        <v>2829</v>
      </c>
      <c r="H290" s="7" t="s">
        <v>19</v>
      </c>
      <c r="I290" s="15" t="str">
        <f t="shared" si="18"/>
        <v>없음</v>
      </c>
      <c r="J290" s="8" t="s">
        <v>3235</v>
      </c>
      <c r="K290" s="3" t="s">
        <v>19</v>
      </c>
      <c r="L290" s="3" t="s">
        <v>19</v>
      </c>
      <c r="M290" s="3" t="s">
        <v>21</v>
      </c>
      <c r="N290" s="3" t="s">
        <v>22</v>
      </c>
      <c r="O290" s="13">
        <v>2986</v>
      </c>
      <c r="P290" s="11" t="str">
        <f t="shared" si="19"/>
        <v>03. 1,500㎡ 이상</v>
      </c>
      <c r="Q290" s="8" t="s">
        <v>1498</v>
      </c>
      <c r="R290" s="3" t="s">
        <v>24</v>
      </c>
      <c r="S290" s="3" t="s">
        <v>19</v>
      </c>
    </row>
    <row r="291" spans="1:19" x14ac:dyDescent="0.4">
      <c r="A291" s="7">
        <v>290</v>
      </c>
      <c r="B291" s="8" t="s">
        <v>3240</v>
      </c>
      <c r="C291" s="19" t="str">
        <f t="shared" si="16"/>
        <v>경상북도</v>
      </c>
      <c r="D291" s="17" t="str">
        <f t="shared" si="17"/>
        <v>경주시</v>
      </c>
      <c r="E291" s="8" t="s">
        <v>3241</v>
      </c>
      <c r="F291" s="3" t="s">
        <v>3242</v>
      </c>
      <c r="G291" s="3" t="s">
        <v>2951</v>
      </c>
      <c r="H291" s="7" t="s">
        <v>19</v>
      </c>
      <c r="I291" s="15" t="str">
        <f t="shared" si="18"/>
        <v>없음</v>
      </c>
      <c r="J291" s="8" t="s">
        <v>2765</v>
      </c>
      <c r="K291" s="3" t="s">
        <v>19</v>
      </c>
      <c r="L291" s="3" t="s">
        <v>19</v>
      </c>
      <c r="M291" s="3" t="s">
        <v>21</v>
      </c>
      <c r="N291" s="3" t="s">
        <v>147</v>
      </c>
      <c r="O291" s="13">
        <v>1360</v>
      </c>
      <c r="P291" s="11" t="str">
        <f t="shared" si="19"/>
        <v>02. 1,000㎡ 이상</v>
      </c>
      <c r="Q291" s="8" t="s">
        <v>1498</v>
      </c>
      <c r="R291" s="3" t="s">
        <v>24</v>
      </c>
      <c r="S291" s="3" t="s">
        <v>19</v>
      </c>
    </row>
    <row r="292" spans="1:19" x14ac:dyDescent="0.4">
      <c r="A292" s="7">
        <v>291</v>
      </c>
      <c r="B292" s="8" t="s">
        <v>3271</v>
      </c>
      <c r="C292" s="19" t="str">
        <f t="shared" si="16"/>
        <v>경기도</v>
      </c>
      <c r="D292" s="17" t="str">
        <f t="shared" si="17"/>
        <v>가평군</v>
      </c>
      <c r="E292" s="8" t="s">
        <v>3272</v>
      </c>
      <c r="F292" s="3" t="s">
        <v>2713</v>
      </c>
      <c r="G292" s="3" t="s">
        <v>3266</v>
      </c>
      <c r="H292" s="7" t="s">
        <v>19</v>
      </c>
      <c r="I292" s="15" t="str">
        <f t="shared" si="18"/>
        <v>없음</v>
      </c>
      <c r="J292" s="8" t="s">
        <v>401</v>
      </c>
      <c r="K292" s="3" t="s">
        <v>19</v>
      </c>
      <c r="L292" s="3" t="s">
        <v>19</v>
      </c>
      <c r="M292" s="3" t="s">
        <v>21</v>
      </c>
      <c r="N292" s="3" t="s">
        <v>147</v>
      </c>
      <c r="O292" s="13">
        <v>506</v>
      </c>
      <c r="P292" s="11" t="str">
        <f t="shared" si="19"/>
        <v>01. 1,000㎡ 미만</v>
      </c>
      <c r="Q292" s="8" t="s">
        <v>84</v>
      </c>
      <c r="R292" s="3" t="s">
        <v>24</v>
      </c>
      <c r="S292" s="3" t="s">
        <v>19</v>
      </c>
    </row>
    <row r="293" spans="1:19" x14ac:dyDescent="0.4">
      <c r="A293" s="7">
        <v>292</v>
      </c>
      <c r="B293" s="8" t="s">
        <v>3282</v>
      </c>
      <c r="C293" s="19" t="str">
        <f t="shared" si="16"/>
        <v>경상북도</v>
      </c>
      <c r="D293" s="17" t="str">
        <f t="shared" si="17"/>
        <v>울릉군</v>
      </c>
      <c r="E293" s="8" t="s">
        <v>3283</v>
      </c>
      <c r="F293" s="3" t="s">
        <v>3284</v>
      </c>
      <c r="G293" s="3" t="s">
        <v>919</v>
      </c>
      <c r="H293" s="7" t="s">
        <v>3285</v>
      </c>
      <c r="I293" s="15" t="str">
        <f t="shared" si="18"/>
        <v>있음</v>
      </c>
      <c r="J293" s="8" t="s">
        <v>743</v>
      </c>
      <c r="K293" s="3" t="s">
        <v>743</v>
      </c>
      <c r="L293" s="3" t="s">
        <v>19</v>
      </c>
      <c r="M293" s="3" t="s">
        <v>21</v>
      </c>
      <c r="N293" s="3" t="s">
        <v>22</v>
      </c>
      <c r="O293" s="13">
        <v>919</v>
      </c>
      <c r="P293" s="11" t="str">
        <f t="shared" si="19"/>
        <v>01. 1,000㎡ 미만</v>
      </c>
      <c r="Q293" s="8" t="s">
        <v>1498</v>
      </c>
      <c r="R293" s="3" t="s">
        <v>24</v>
      </c>
      <c r="S293" s="3" t="s">
        <v>19</v>
      </c>
    </row>
    <row r="294" spans="1:19" x14ac:dyDescent="0.4">
      <c r="A294" s="7">
        <v>293</v>
      </c>
      <c r="B294" s="8" t="s">
        <v>3336</v>
      </c>
      <c r="C294" s="19" t="str">
        <f t="shared" si="16"/>
        <v>강원특별자치도</v>
      </c>
      <c r="D294" s="17" t="str">
        <f t="shared" si="17"/>
        <v>양양군</v>
      </c>
      <c r="E294" s="8" t="s">
        <v>3337</v>
      </c>
      <c r="F294" s="3" t="s">
        <v>1815</v>
      </c>
      <c r="G294" s="3" t="s">
        <v>3327</v>
      </c>
      <c r="H294" s="7" t="s">
        <v>19</v>
      </c>
      <c r="I294" s="15" t="str">
        <f t="shared" si="18"/>
        <v>없음</v>
      </c>
      <c r="J294" s="8" t="s">
        <v>3338</v>
      </c>
      <c r="K294" s="3" t="s">
        <v>19</v>
      </c>
      <c r="L294" s="3" t="s">
        <v>19</v>
      </c>
      <c r="M294" s="3" t="s">
        <v>21</v>
      </c>
      <c r="N294" s="3" t="s">
        <v>147</v>
      </c>
      <c r="O294" s="13">
        <v>383</v>
      </c>
      <c r="P294" s="11" t="str">
        <f t="shared" si="19"/>
        <v>01. 1,000㎡ 미만</v>
      </c>
      <c r="Q294" s="8" t="s">
        <v>1498</v>
      </c>
      <c r="R294" s="3" t="s">
        <v>24</v>
      </c>
      <c r="S294" s="3" t="s">
        <v>19</v>
      </c>
    </row>
    <row r="295" spans="1:19" x14ac:dyDescent="0.4">
      <c r="A295" s="7">
        <v>294</v>
      </c>
      <c r="B295" s="8" t="s">
        <v>3362</v>
      </c>
      <c r="C295" s="19" t="str">
        <f t="shared" si="16"/>
        <v>경기도</v>
      </c>
      <c r="D295" s="17" t="str">
        <f t="shared" si="17"/>
        <v>평택시</v>
      </c>
      <c r="E295" s="8" t="s">
        <v>3363</v>
      </c>
      <c r="F295" s="3" t="s">
        <v>3364</v>
      </c>
      <c r="G295" s="3" t="s">
        <v>3365</v>
      </c>
      <c r="H295" s="7" t="s">
        <v>3366</v>
      </c>
      <c r="I295" s="15" t="str">
        <f t="shared" si="18"/>
        <v>있음</v>
      </c>
      <c r="J295" s="8" t="s">
        <v>3367</v>
      </c>
      <c r="K295" s="3" t="s">
        <v>3367</v>
      </c>
      <c r="L295" s="3" t="s">
        <v>19</v>
      </c>
      <c r="M295" s="3" t="s">
        <v>21</v>
      </c>
      <c r="N295" s="3" t="s">
        <v>22</v>
      </c>
      <c r="O295" s="13">
        <v>4962</v>
      </c>
      <c r="P295" s="11" t="str">
        <f t="shared" si="19"/>
        <v>03. 1,500㎡ 이상</v>
      </c>
      <c r="Q295" s="8" t="s">
        <v>1498</v>
      </c>
      <c r="R295" s="3" t="s">
        <v>24</v>
      </c>
      <c r="S295" s="3" t="s">
        <v>19</v>
      </c>
    </row>
    <row r="296" spans="1:19" x14ac:dyDescent="0.4">
      <c r="A296" s="7">
        <v>295</v>
      </c>
      <c r="B296" s="8" t="s">
        <v>3382</v>
      </c>
      <c r="C296" s="19" t="str">
        <f t="shared" si="16"/>
        <v>경기도</v>
      </c>
      <c r="D296" s="17" t="str">
        <f t="shared" si="17"/>
        <v>양평군</v>
      </c>
      <c r="E296" s="8" t="s">
        <v>3383</v>
      </c>
      <c r="F296" s="3" t="s">
        <v>991</v>
      </c>
      <c r="G296" s="3" t="s">
        <v>969</v>
      </c>
      <c r="H296" s="7" t="s">
        <v>3384</v>
      </c>
      <c r="I296" s="15" t="str">
        <f t="shared" si="18"/>
        <v>있음</v>
      </c>
      <c r="J296" s="8" t="s">
        <v>3385</v>
      </c>
      <c r="K296" s="3" t="s">
        <v>19</v>
      </c>
      <c r="L296" s="3" t="s">
        <v>19</v>
      </c>
      <c r="M296" s="3" t="s">
        <v>21</v>
      </c>
      <c r="N296" s="3" t="s">
        <v>22</v>
      </c>
      <c r="O296" s="13">
        <v>500</v>
      </c>
      <c r="P296" s="11" t="str">
        <f t="shared" si="19"/>
        <v>01. 1,000㎡ 미만</v>
      </c>
      <c r="Q296" s="8" t="s">
        <v>84</v>
      </c>
      <c r="R296" s="3" t="s">
        <v>24</v>
      </c>
      <c r="S296" s="3" t="s">
        <v>19</v>
      </c>
    </row>
    <row r="297" spans="1:19" x14ac:dyDescent="0.4">
      <c r="A297" s="7">
        <v>296</v>
      </c>
      <c r="B297" s="8" t="s">
        <v>3386</v>
      </c>
      <c r="C297" s="19" t="str">
        <f t="shared" si="16"/>
        <v>경기도</v>
      </c>
      <c r="D297" s="17" t="str">
        <f t="shared" si="17"/>
        <v>평택시</v>
      </c>
      <c r="E297" s="8" t="s">
        <v>3387</v>
      </c>
      <c r="F297" s="3" t="s">
        <v>3388</v>
      </c>
      <c r="G297" s="3" t="s">
        <v>969</v>
      </c>
      <c r="H297" s="7" t="s">
        <v>19</v>
      </c>
      <c r="I297" s="15" t="str">
        <f t="shared" si="18"/>
        <v>없음</v>
      </c>
      <c r="J297" s="8" t="s">
        <v>3389</v>
      </c>
      <c r="K297" s="3" t="s">
        <v>19</v>
      </c>
      <c r="L297" s="3" t="s">
        <v>19</v>
      </c>
      <c r="M297" s="3" t="s">
        <v>21</v>
      </c>
      <c r="N297" s="3" t="s">
        <v>147</v>
      </c>
      <c r="O297" s="13">
        <v>1973</v>
      </c>
      <c r="P297" s="11" t="str">
        <f t="shared" si="19"/>
        <v>03. 1,500㎡ 이상</v>
      </c>
      <c r="Q297" s="8" t="s">
        <v>1498</v>
      </c>
      <c r="R297" s="3" t="s">
        <v>24</v>
      </c>
      <c r="S297" s="3" t="s">
        <v>19</v>
      </c>
    </row>
    <row r="298" spans="1:19" x14ac:dyDescent="0.4">
      <c r="A298" s="7">
        <v>297</v>
      </c>
      <c r="B298" s="8" t="s">
        <v>3453</v>
      </c>
      <c r="C298" s="19" t="str">
        <f t="shared" si="16"/>
        <v>충청남도</v>
      </c>
      <c r="D298" s="17" t="str">
        <f t="shared" si="17"/>
        <v>홍성군</v>
      </c>
      <c r="E298" s="8" t="s">
        <v>3454</v>
      </c>
      <c r="F298" s="3" t="s">
        <v>3455</v>
      </c>
      <c r="G298" s="3" t="s">
        <v>1005</v>
      </c>
      <c r="H298" s="7" t="s">
        <v>2947</v>
      </c>
      <c r="I298" s="15" t="str">
        <f t="shared" si="18"/>
        <v>있음</v>
      </c>
      <c r="J298" s="8" t="s">
        <v>2948</v>
      </c>
      <c r="K298" s="3" t="s">
        <v>19</v>
      </c>
      <c r="L298" s="3" t="s">
        <v>19</v>
      </c>
      <c r="M298" s="3" t="s">
        <v>21</v>
      </c>
      <c r="N298" s="3" t="s">
        <v>22</v>
      </c>
      <c r="O298" s="13">
        <v>3092</v>
      </c>
      <c r="P298" s="11" t="str">
        <f t="shared" si="19"/>
        <v>03. 1,500㎡ 이상</v>
      </c>
      <c r="Q298" s="8" t="s">
        <v>1498</v>
      </c>
      <c r="R298" s="3" t="s">
        <v>24</v>
      </c>
      <c r="S298" s="3" t="s">
        <v>19</v>
      </c>
    </row>
    <row r="299" spans="1:19" x14ac:dyDescent="0.4">
      <c r="A299" s="7">
        <v>298</v>
      </c>
      <c r="B299" s="8" t="s">
        <v>3465</v>
      </c>
      <c r="C299" s="19" t="str">
        <f t="shared" si="16"/>
        <v>부산광역시</v>
      </c>
      <c r="D299" s="17" t="str">
        <f t="shared" si="17"/>
        <v>해운대구</v>
      </c>
      <c r="E299" s="8" t="s">
        <v>3466</v>
      </c>
      <c r="F299" s="3" t="s">
        <v>1099</v>
      </c>
      <c r="G299" s="3" t="s">
        <v>3464</v>
      </c>
      <c r="H299" s="7" t="s">
        <v>3467</v>
      </c>
      <c r="I299" s="15" t="str">
        <f t="shared" si="18"/>
        <v>있음</v>
      </c>
      <c r="J299" s="8" t="s">
        <v>3468</v>
      </c>
      <c r="K299" s="3" t="s">
        <v>3469</v>
      </c>
      <c r="L299" s="3" t="s">
        <v>19</v>
      </c>
      <c r="M299" s="3" t="s">
        <v>21</v>
      </c>
      <c r="N299" s="3" t="s">
        <v>22</v>
      </c>
      <c r="O299" s="13">
        <v>625</v>
      </c>
      <c r="P299" s="11" t="str">
        <f t="shared" si="19"/>
        <v>01. 1,000㎡ 미만</v>
      </c>
      <c r="Q299" s="8" t="s">
        <v>1498</v>
      </c>
      <c r="R299" s="3" t="s">
        <v>24</v>
      </c>
      <c r="S299" s="3" t="s">
        <v>19</v>
      </c>
    </row>
    <row r="300" spans="1:19" x14ac:dyDescent="0.4">
      <c r="A300" s="7">
        <v>299</v>
      </c>
      <c r="B300" s="8" t="s">
        <v>3507</v>
      </c>
      <c r="C300" s="19" t="str">
        <f t="shared" si="16"/>
        <v>경상북도</v>
      </c>
      <c r="D300" s="17" t="str">
        <f t="shared" si="17"/>
        <v>울릉군</v>
      </c>
      <c r="E300" s="8" t="s">
        <v>3508</v>
      </c>
      <c r="F300" s="3" t="s">
        <v>3509</v>
      </c>
      <c r="G300" s="3" t="s">
        <v>3226</v>
      </c>
      <c r="H300" s="7" t="s">
        <v>1887</v>
      </c>
      <c r="I300" s="15" t="str">
        <f t="shared" si="18"/>
        <v>있음</v>
      </c>
      <c r="J300" s="8" t="s">
        <v>19</v>
      </c>
      <c r="K300" s="3" t="s">
        <v>19</v>
      </c>
      <c r="L300" s="3" t="s">
        <v>19</v>
      </c>
      <c r="M300" s="3" t="s">
        <v>21</v>
      </c>
      <c r="N300" s="3" t="s">
        <v>147</v>
      </c>
      <c r="O300" s="13">
        <v>985</v>
      </c>
      <c r="P300" s="11" t="str">
        <f t="shared" si="19"/>
        <v>01. 1,000㎡ 미만</v>
      </c>
      <c r="Q300" s="8" t="s">
        <v>2174</v>
      </c>
      <c r="R300" s="3" t="s">
        <v>24</v>
      </c>
      <c r="S300" s="3" t="s">
        <v>19</v>
      </c>
    </row>
    <row r="301" spans="1:19" x14ac:dyDescent="0.4">
      <c r="A301" s="7">
        <v>300</v>
      </c>
      <c r="B301" s="8" t="s">
        <v>3543</v>
      </c>
      <c r="C301" s="19" t="str">
        <f t="shared" si="16"/>
        <v>경상남도</v>
      </c>
      <c r="D301" s="17" t="str">
        <f t="shared" si="17"/>
        <v>사천시</v>
      </c>
      <c r="E301" s="8" t="s">
        <v>3544</v>
      </c>
      <c r="F301" s="3" t="s">
        <v>3341</v>
      </c>
      <c r="G301" s="3" t="s">
        <v>3360</v>
      </c>
      <c r="H301" s="7" t="s">
        <v>19</v>
      </c>
      <c r="I301" s="15" t="str">
        <f t="shared" si="18"/>
        <v>없음</v>
      </c>
      <c r="J301" s="8" t="s">
        <v>1025</v>
      </c>
      <c r="K301" s="3" t="s">
        <v>19</v>
      </c>
      <c r="L301" s="3" t="s">
        <v>19</v>
      </c>
      <c r="M301" s="3" t="s">
        <v>21</v>
      </c>
      <c r="N301" s="3" t="s">
        <v>147</v>
      </c>
      <c r="O301" s="13">
        <v>1171</v>
      </c>
      <c r="P301" s="11" t="str">
        <f t="shared" si="19"/>
        <v>02. 1,000㎡ 이상</v>
      </c>
      <c r="Q301" s="8" t="s">
        <v>1498</v>
      </c>
      <c r="R301" s="3" t="s">
        <v>24</v>
      </c>
      <c r="S301" s="3" t="s">
        <v>19</v>
      </c>
    </row>
    <row r="302" spans="1:19" x14ac:dyDescent="0.4">
      <c r="A302" s="7">
        <v>301</v>
      </c>
      <c r="B302" s="8" t="s">
        <v>3589</v>
      </c>
      <c r="C302" s="19" t="str">
        <f t="shared" si="16"/>
        <v>인천광역시</v>
      </c>
      <c r="D302" s="17" t="str">
        <f t="shared" si="17"/>
        <v>강화군</v>
      </c>
      <c r="E302" s="8" t="s">
        <v>3590</v>
      </c>
      <c r="F302" s="3" t="s">
        <v>1047</v>
      </c>
      <c r="G302" s="3" t="s">
        <v>3455</v>
      </c>
      <c r="H302" s="7" t="s">
        <v>19</v>
      </c>
      <c r="I302" s="15" t="str">
        <f t="shared" si="18"/>
        <v>없음</v>
      </c>
      <c r="J302" s="8" t="s">
        <v>3591</v>
      </c>
      <c r="K302" s="3" t="s">
        <v>19</v>
      </c>
      <c r="L302" s="3" t="s">
        <v>19</v>
      </c>
      <c r="M302" s="3" t="s">
        <v>21</v>
      </c>
      <c r="N302" s="3" t="s">
        <v>22</v>
      </c>
      <c r="O302" s="13">
        <v>99</v>
      </c>
      <c r="P302" s="11" t="str">
        <f t="shared" si="19"/>
        <v>01. 1,000㎡ 미만</v>
      </c>
      <c r="Q302" s="8" t="s">
        <v>211</v>
      </c>
      <c r="R302" s="3" t="s">
        <v>24</v>
      </c>
      <c r="S302" s="3" t="s">
        <v>19</v>
      </c>
    </row>
    <row r="303" spans="1:19" x14ac:dyDescent="0.4">
      <c r="A303" s="7">
        <v>302</v>
      </c>
      <c r="B303" s="8" t="s">
        <v>3636</v>
      </c>
      <c r="C303" s="19" t="str">
        <f t="shared" si="16"/>
        <v>경상북도</v>
      </c>
      <c r="D303" s="17" t="str">
        <f t="shared" si="17"/>
        <v>포항시</v>
      </c>
      <c r="E303" s="8" t="s">
        <v>3637</v>
      </c>
      <c r="F303" s="3" t="s">
        <v>3633</v>
      </c>
      <c r="G303" s="3" t="s">
        <v>3412</v>
      </c>
      <c r="H303" s="7" t="s">
        <v>3638</v>
      </c>
      <c r="I303" s="15" t="str">
        <f t="shared" si="18"/>
        <v>있음</v>
      </c>
      <c r="J303" s="8" t="s">
        <v>222</v>
      </c>
      <c r="K303" s="3" t="s">
        <v>222</v>
      </c>
      <c r="L303" s="3" t="s">
        <v>3639</v>
      </c>
      <c r="M303" s="3" t="s">
        <v>21</v>
      </c>
      <c r="N303" s="3" t="s">
        <v>22</v>
      </c>
      <c r="O303" s="13">
        <v>1543</v>
      </c>
      <c r="P303" s="11" t="str">
        <f t="shared" si="19"/>
        <v>03. 1,500㎡ 이상</v>
      </c>
      <c r="Q303" s="8" t="s">
        <v>3616</v>
      </c>
      <c r="R303" s="3" t="s">
        <v>24</v>
      </c>
      <c r="S303" s="3" t="s">
        <v>19</v>
      </c>
    </row>
    <row r="304" spans="1:19" x14ac:dyDescent="0.4">
      <c r="A304" s="7">
        <v>303</v>
      </c>
      <c r="B304" s="8" t="s">
        <v>3654</v>
      </c>
      <c r="C304" s="19" t="str">
        <f t="shared" si="16"/>
        <v/>
      </c>
      <c r="D304" s="17" t="str">
        <f t="shared" si="17"/>
        <v/>
      </c>
      <c r="E304" s="8" t="s">
        <v>19</v>
      </c>
      <c r="F304" s="3" t="s">
        <v>19</v>
      </c>
      <c r="G304" s="3" t="s">
        <v>19</v>
      </c>
      <c r="H304" s="7" t="s">
        <v>19</v>
      </c>
      <c r="I304" s="15" t="str">
        <f t="shared" si="18"/>
        <v>없음</v>
      </c>
      <c r="J304" s="8" t="s">
        <v>19</v>
      </c>
      <c r="K304" s="3" t="s">
        <v>19</v>
      </c>
      <c r="L304" s="3" t="s">
        <v>19</v>
      </c>
      <c r="M304" s="3" t="s">
        <v>19</v>
      </c>
      <c r="N304" s="3" t="s">
        <v>19</v>
      </c>
      <c r="O304" s="13" t="s">
        <v>19</v>
      </c>
      <c r="P304" s="11" t="str">
        <f t="shared" si="19"/>
        <v>00. 미기재</v>
      </c>
      <c r="Q304" s="8" t="s">
        <v>19</v>
      </c>
      <c r="R304" s="3" t="s">
        <v>19</v>
      </c>
      <c r="S304" s="3" t="s">
        <v>19</v>
      </c>
    </row>
    <row r="305" spans="1:19" x14ac:dyDescent="0.4">
      <c r="A305" s="7">
        <v>304</v>
      </c>
      <c r="B305" s="8" t="s">
        <v>3670</v>
      </c>
      <c r="C305" s="19" t="str">
        <f t="shared" si="16"/>
        <v>경상남도</v>
      </c>
      <c r="D305" s="17" t="str">
        <f t="shared" si="17"/>
        <v>밀양시</v>
      </c>
      <c r="E305" s="8" t="s">
        <v>3671</v>
      </c>
      <c r="F305" s="3" t="s">
        <v>3672</v>
      </c>
      <c r="G305" s="3" t="s">
        <v>3445</v>
      </c>
      <c r="H305" s="7" t="s">
        <v>19</v>
      </c>
      <c r="I305" s="15" t="str">
        <f t="shared" si="18"/>
        <v>없음</v>
      </c>
      <c r="J305" s="8" t="s">
        <v>3673</v>
      </c>
      <c r="K305" s="3" t="s">
        <v>19</v>
      </c>
      <c r="L305" s="3" t="s">
        <v>19</v>
      </c>
      <c r="M305" s="3" t="s">
        <v>21</v>
      </c>
      <c r="N305" s="3" t="s">
        <v>147</v>
      </c>
      <c r="O305" s="13">
        <v>523</v>
      </c>
      <c r="P305" s="11" t="str">
        <f t="shared" si="19"/>
        <v>01. 1,000㎡ 미만</v>
      </c>
      <c r="Q305" s="8" t="s">
        <v>84</v>
      </c>
      <c r="R305" s="3" t="s">
        <v>24</v>
      </c>
      <c r="S305" s="3" t="s">
        <v>19</v>
      </c>
    </row>
  </sheetData>
  <autoFilter ref="A1:S305" xr:uid="{00000000-0001-0000-0000-000000000000}"/>
  <phoneticPr fontId="2" type="noConversion"/>
  <conditionalFormatting sqref="A2:S305">
    <cfRule type="expression" dxfId="2" priority="1">
      <formula>$R2="착공"</formula>
    </cfRule>
  </conditionalFormatting>
  <dataValidations count="1">
    <dataValidation type="list" allowBlank="1" showInputMessage="1" showErrorMessage="1" sqref="C2:D305" xr:uid="{8783EECB-FC4D-4773-B277-E0E20DF471D0}">
      <formula1>"서울특별시,부산광역시,대구광역시,인천광역시,광주광역시,대전광역시,울산광역시,세종특별자치시,경기도,강원특별자치도,충청북도,충청남도,전북특별자치도,전라남도,경상북도,경상남도,제주특별자치도"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defaultRowHeight="17.399999999999999" x14ac:dyDescent="0.4"/>
  <cols>
    <col min="1" max="1" width="120" customWidth="1"/>
  </cols>
  <sheetData>
    <row r="1" spans="1:1" x14ac:dyDescent="0.4">
      <c r="A1" t="s">
        <v>3923</v>
      </c>
    </row>
    <row r="2" spans="1:1" x14ac:dyDescent="0.4">
      <c r="A2" t="s">
        <v>3924</v>
      </c>
    </row>
    <row r="3" spans="1:1" x14ac:dyDescent="0.4">
      <c r="A3" t="s">
        <v>3925</v>
      </c>
    </row>
    <row r="4" spans="1:1" x14ac:dyDescent="0.4">
      <c r="A4" t="s">
        <v>3926</v>
      </c>
    </row>
    <row r="5" spans="1:1" x14ac:dyDescent="0.4">
      <c r="A5" t="s">
        <v>3927</v>
      </c>
    </row>
    <row r="6" spans="1:1" x14ac:dyDescent="0.4">
      <c r="A6" t="s">
        <v>3928</v>
      </c>
    </row>
    <row r="7" spans="1:1" x14ac:dyDescent="0.4">
      <c r="A7" t="s">
        <v>3929</v>
      </c>
    </row>
    <row r="8" spans="1:1" x14ac:dyDescent="0.4">
      <c r="A8" t="s">
        <v>3930</v>
      </c>
    </row>
    <row r="9" spans="1:1" x14ac:dyDescent="0.4">
      <c r="A9" t="s">
        <v>3931</v>
      </c>
    </row>
    <row r="10" spans="1:1" x14ac:dyDescent="0.4">
      <c r="A10" t="s">
        <v>3932</v>
      </c>
    </row>
    <row r="11" spans="1:1" x14ac:dyDescent="0.4">
      <c r="A11" t="s">
        <v>3933</v>
      </c>
    </row>
    <row r="12" spans="1:1" x14ac:dyDescent="0.4">
      <c r="A12" t="s">
        <v>3934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498A-0209-4C0A-A364-FE5A2747FB73}">
  <sheetPr filterMode="1">
    <tabColor rgb="FFA6A6A6"/>
  </sheetPr>
  <dimension ref="A1:P890"/>
  <sheetViews>
    <sheetView workbookViewId="0">
      <pane xSplit="2" ySplit="1" topLeftCell="C676" activePane="bottomRight" state="frozen"/>
      <selection pane="topRight"/>
      <selection pane="bottomLeft"/>
      <selection pane="bottomRight" activeCell="B409" sqref="B409"/>
    </sheetView>
  </sheetViews>
  <sheetFormatPr defaultRowHeight="17.399999999999999" x14ac:dyDescent="0.4"/>
  <cols>
    <col min="1" max="1" width="5" customWidth="1"/>
    <col min="2" max="2" width="44" customWidth="1"/>
    <col min="3" max="3" width="14.69921875" customWidth="1"/>
    <col min="4" max="4" width="40" customWidth="1"/>
    <col min="5" max="6" width="12" customWidth="1"/>
    <col min="7" max="7" width="20" customWidth="1"/>
    <col min="8" max="8" width="32" customWidth="1"/>
    <col min="9" max="10" width="26" customWidth="1"/>
    <col min="11" max="11" width="10" customWidth="1"/>
    <col min="12" max="12" width="9" customWidth="1"/>
    <col min="13" max="13" width="12" customWidth="1"/>
    <col min="14" max="14" width="16" customWidth="1"/>
    <col min="15" max="15" width="10" customWidth="1"/>
    <col min="16" max="16" width="12" customWidth="1"/>
  </cols>
  <sheetData>
    <row r="1" spans="1:16" x14ac:dyDescent="0.4">
      <c r="A1" s="1" t="s">
        <v>0</v>
      </c>
      <c r="B1" s="1" t="s">
        <v>1</v>
      </c>
      <c r="C1" s="9" t="s">
        <v>3935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5</v>
      </c>
    </row>
    <row r="2" spans="1:16" x14ac:dyDescent="0.4">
      <c r="A2" s="7">
        <v>1</v>
      </c>
      <c r="B2" s="8" t="s">
        <v>15</v>
      </c>
      <c r="C2" s="6" t="str">
        <f>IFERROR(IF(LEFT(D2,FIND(" ",D2)-1)="전라북도","전북특별자치도",LEFT(D2,FIND(" ",D2)-1)),"")</f>
        <v>충청남도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19</v>
      </c>
      <c r="J2" s="3" t="s">
        <v>19</v>
      </c>
      <c r="K2" s="3" t="s">
        <v>21</v>
      </c>
      <c r="L2" s="3" t="s">
        <v>22</v>
      </c>
      <c r="M2" s="4">
        <v>1811</v>
      </c>
      <c r="N2" s="3" t="s">
        <v>23</v>
      </c>
      <c r="O2" s="3" t="s">
        <v>24</v>
      </c>
      <c r="P2" s="3" t="s">
        <v>19</v>
      </c>
    </row>
    <row r="3" spans="1:16" x14ac:dyDescent="0.4">
      <c r="A3" s="7">
        <v>2</v>
      </c>
      <c r="B3" s="8" t="s">
        <v>25</v>
      </c>
      <c r="C3" s="6" t="str">
        <f>IFERROR(IF(LEFT(D3,FIND(" ",D3)-1)="전라북도","전북특별자치도",LEFT(D3,FIND(" ",D3)-1)),"")</f>
        <v>서울특별시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21</v>
      </c>
      <c r="L3" s="3" t="s">
        <v>22</v>
      </c>
      <c r="M3" s="4">
        <v>3642</v>
      </c>
      <c r="N3" s="3" t="s">
        <v>23</v>
      </c>
      <c r="O3" s="3" t="s">
        <v>24</v>
      </c>
      <c r="P3" s="3" t="s">
        <v>19</v>
      </c>
    </row>
    <row r="4" spans="1:16" x14ac:dyDescent="0.4">
      <c r="A4" s="7">
        <v>3</v>
      </c>
      <c r="B4" s="8" t="s">
        <v>33</v>
      </c>
      <c r="C4" s="6" t="str">
        <f>IFERROR(IF(LEFT(D4,FIND(" ",D4)-1)="전라북도","전북특별자치도",LEFT(D4,FIND(" ",D4)-1)),"")</f>
        <v>서울특별시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38</v>
      </c>
      <c r="J4" s="3" t="s">
        <v>19</v>
      </c>
      <c r="K4" s="3" t="s">
        <v>21</v>
      </c>
      <c r="L4" s="3" t="s">
        <v>22</v>
      </c>
      <c r="M4" s="4">
        <v>757</v>
      </c>
      <c r="N4" s="3" t="s">
        <v>23</v>
      </c>
      <c r="O4" s="3" t="s">
        <v>24</v>
      </c>
      <c r="P4" s="3" t="s">
        <v>19</v>
      </c>
    </row>
    <row r="5" spans="1:16" x14ac:dyDescent="0.4">
      <c r="A5" s="7">
        <v>4</v>
      </c>
      <c r="B5" s="8" t="s">
        <v>39</v>
      </c>
      <c r="C5" s="6" t="str">
        <f>IFERROR(IF(LEFT(D5,FIND(" ",D5)-1)="전라북도","전북특별자치도",LEFT(D5,FIND(" ",D5)-1)),"")</f>
        <v>서울특별시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44</v>
      </c>
      <c r="J5" s="3" t="s">
        <v>45</v>
      </c>
      <c r="K5" s="3" t="s">
        <v>21</v>
      </c>
      <c r="L5" s="3" t="s">
        <v>22</v>
      </c>
      <c r="M5" s="4">
        <v>825</v>
      </c>
      <c r="N5" s="3" t="s">
        <v>23</v>
      </c>
      <c r="O5" s="3" t="s">
        <v>24</v>
      </c>
      <c r="P5" s="3" t="s">
        <v>19</v>
      </c>
    </row>
    <row r="6" spans="1:16" x14ac:dyDescent="0.4">
      <c r="A6" s="7">
        <v>5</v>
      </c>
      <c r="B6" s="8" t="s">
        <v>46</v>
      </c>
      <c r="C6" s="6" t="str">
        <f>IFERROR(IF(LEFT(D6,FIND(" ",D6)-1)="전라북도","전북특별자치도",LEFT(D6,FIND(" ",D6)-1)),"")</f>
        <v>강원특별자치도</v>
      </c>
      <c r="D6" s="3" t="s">
        <v>47</v>
      </c>
      <c r="E6" s="3" t="s">
        <v>48</v>
      </c>
      <c r="F6" s="3" t="s">
        <v>49</v>
      </c>
      <c r="G6" s="3" t="s">
        <v>19</v>
      </c>
      <c r="H6" s="3" t="s">
        <v>50</v>
      </c>
      <c r="I6" s="3" t="s">
        <v>19</v>
      </c>
      <c r="J6" s="3" t="s">
        <v>51</v>
      </c>
      <c r="K6" s="3" t="s">
        <v>21</v>
      </c>
      <c r="L6" s="3" t="s">
        <v>22</v>
      </c>
      <c r="M6" s="4">
        <v>33796</v>
      </c>
      <c r="N6" s="3" t="s">
        <v>23</v>
      </c>
      <c r="O6" s="3" t="s">
        <v>24</v>
      </c>
      <c r="P6" s="3" t="s">
        <v>19</v>
      </c>
    </row>
    <row r="7" spans="1:16" x14ac:dyDescent="0.4">
      <c r="A7" s="7">
        <v>6</v>
      </c>
      <c r="B7" s="8" t="s">
        <v>52</v>
      </c>
      <c r="C7" s="6" t="str">
        <f>IFERROR(IF(LEFT(D7,FIND(" ",D7)-1)="전라북도","전북특별자치도",LEFT(D7,FIND(" ",D7)-1)),"")</f>
        <v>충청북도</v>
      </c>
      <c r="D7" s="3" t="s">
        <v>53</v>
      </c>
      <c r="E7" s="3" t="s">
        <v>54</v>
      </c>
      <c r="F7" s="3" t="s">
        <v>55</v>
      </c>
      <c r="G7" s="3" t="s">
        <v>56</v>
      </c>
      <c r="H7" s="3" t="s">
        <v>57</v>
      </c>
      <c r="I7" s="3" t="s">
        <v>57</v>
      </c>
      <c r="J7" s="3" t="s">
        <v>19</v>
      </c>
      <c r="K7" s="3" t="s">
        <v>21</v>
      </c>
      <c r="L7" s="3" t="s">
        <v>22</v>
      </c>
      <c r="M7" s="4">
        <v>2923</v>
      </c>
      <c r="N7" s="3" t="s">
        <v>23</v>
      </c>
      <c r="O7" s="3" t="s">
        <v>24</v>
      </c>
      <c r="P7" s="3" t="s">
        <v>19</v>
      </c>
    </row>
    <row r="8" spans="1:16" x14ac:dyDescent="0.4">
      <c r="A8" s="7">
        <v>7</v>
      </c>
      <c r="B8" s="8" t="s">
        <v>58</v>
      </c>
      <c r="C8" s="6" t="str">
        <f>IFERROR(IF(LEFT(D8,FIND(" ",D8)-1)="전라북도","전북특별자치도",LEFT(D8,FIND(" ",D8)-1)),"")</f>
        <v>인천광역시</v>
      </c>
      <c r="D8" s="3" t="s">
        <v>59</v>
      </c>
      <c r="E8" s="3" t="s">
        <v>60</v>
      </c>
      <c r="F8" s="3" t="s">
        <v>61</v>
      </c>
      <c r="G8" s="3" t="s">
        <v>19</v>
      </c>
      <c r="H8" s="3" t="s">
        <v>62</v>
      </c>
      <c r="I8" s="3" t="s">
        <v>19</v>
      </c>
      <c r="J8" s="3" t="s">
        <v>63</v>
      </c>
      <c r="K8" s="3" t="s">
        <v>64</v>
      </c>
      <c r="L8" s="3" t="s">
        <v>22</v>
      </c>
      <c r="M8" s="4">
        <v>36582</v>
      </c>
      <c r="N8" s="3" t="s">
        <v>19</v>
      </c>
      <c r="O8" s="3" t="s">
        <v>24</v>
      </c>
      <c r="P8" s="3" t="s">
        <v>19</v>
      </c>
    </row>
    <row r="9" spans="1:16" x14ac:dyDescent="0.4">
      <c r="A9" s="7">
        <v>8</v>
      </c>
      <c r="B9" s="8" t="s">
        <v>65</v>
      </c>
      <c r="C9" s="6" t="str">
        <f>IFERROR(IF(LEFT(D9,FIND(" ",D9)-1)="전라북도","전북특별자치도",LEFT(D9,FIND(" ",D9)-1)),"")</f>
        <v>인천광역시</v>
      </c>
      <c r="D9" s="3" t="s">
        <v>66</v>
      </c>
      <c r="E9" s="3" t="s">
        <v>60</v>
      </c>
      <c r="F9" s="3" t="s">
        <v>61</v>
      </c>
      <c r="G9" s="3" t="s">
        <v>19</v>
      </c>
      <c r="H9" s="3" t="s">
        <v>62</v>
      </c>
      <c r="I9" s="3" t="s">
        <v>19</v>
      </c>
      <c r="J9" s="3" t="s">
        <v>63</v>
      </c>
      <c r="K9" s="3" t="s">
        <v>64</v>
      </c>
      <c r="L9" s="3" t="s">
        <v>22</v>
      </c>
      <c r="M9" s="4">
        <v>36635</v>
      </c>
      <c r="N9" s="3" t="s">
        <v>19</v>
      </c>
      <c r="O9" s="3" t="s">
        <v>24</v>
      </c>
      <c r="P9" s="3" t="s">
        <v>19</v>
      </c>
    </row>
    <row r="10" spans="1:16" x14ac:dyDescent="0.4">
      <c r="A10" s="7">
        <v>9</v>
      </c>
      <c r="B10" s="8" t="s">
        <v>67</v>
      </c>
      <c r="C10" s="6" t="str">
        <f>IFERROR(IF(LEFT(D10,FIND(" ",D10)-1)="전라북도","전북특별자치도",LEFT(D10,FIND(" ",D10)-1)),"")</f>
        <v>인천광역시</v>
      </c>
      <c r="D10" s="3" t="s">
        <v>68</v>
      </c>
      <c r="E10" s="3" t="s">
        <v>69</v>
      </c>
      <c r="F10" s="3" t="s">
        <v>61</v>
      </c>
      <c r="G10" s="3" t="s">
        <v>19</v>
      </c>
      <c r="H10" s="3" t="s">
        <v>62</v>
      </c>
      <c r="I10" s="3" t="s">
        <v>19</v>
      </c>
      <c r="J10" s="3" t="s">
        <v>63</v>
      </c>
      <c r="K10" s="3" t="s">
        <v>64</v>
      </c>
      <c r="L10" s="3" t="s">
        <v>22</v>
      </c>
      <c r="M10" s="4">
        <v>39880</v>
      </c>
      <c r="N10" s="3" t="s">
        <v>19</v>
      </c>
      <c r="O10" s="3" t="s">
        <v>24</v>
      </c>
      <c r="P10" s="3" t="s">
        <v>19</v>
      </c>
    </row>
    <row r="11" spans="1:16" x14ac:dyDescent="0.4">
      <c r="A11" s="7">
        <v>10</v>
      </c>
      <c r="B11" s="8" t="s">
        <v>70</v>
      </c>
      <c r="C11" s="6" t="str">
        <f>IFERROR(IF(LEFT(D11,FIND(" ",D11)-1)="전라북도","전북특별자치도",LEFT(D11,FIND(" ",D11)-1)),"")</f>
        <v>서울특별시</v>
      </c>
      <c r="D11" s="3" t="s">
        <v>71</v>
      </c>
      <c r="E11" s="3" t="s">
        <v>72</v>
      </c>
      <c r="F11" s="3" t="s">
        <v>73</v>
      </c>
      <c r="G11" s="3" t="s">
        <v>19</v>
      </c>
      <c r="H11" s="3" t="s">
        <v>74</v>
      </c>
      <c r="I11" s="3" t="s">
        <v>19</v>
      </c>
      <c r="J11" s="3" t="s">
        <v>75</v>
      </c>
      <c r="K11" s="3" t="s">
        <v>21</v>
      </c>
      <c r="L11" s="3" t="s">
        <v>22</v>
      </c>
      <c r="M11" s="4">
        <v>13748</v>
      </c>
      <c r="N11" s="3" t="s">
        <v>23</v>
      </c>
      <c r="O11" s="3" t="s">
        <v>24</v>
      </c>
      <c r="P11" s="3" t="s">
        <v>19</v>
      </c>
    </row>
    <row r="12" spans="1:16" x14ac:dyDescent="0.4">
      <c r="A12" s="7">
        <v>11</v>
      </c>
      <c r="B12" s="8" t="s">
        <v>76</v>
      </c>
      <c r="C12" s="6" t="str">
        <f>IFERROR(IF(LEFT(D12,FIND(" ",D12)-1)="전라북도","전북특별자치도",LEFT(D12,FIND(" ",D12)-1)),"")</f>
        <v>강원특별자치도</v>
      </c>
      <c r="D12" s="3" t="s">
        <v>77</v>
      </c>
      <c r="E12" s="3" t="s">
        <v>78</v>
      </c>
      <c r="F12" s="3" t="s">
        <v>79</v>
      </c>
      <c r="G12" s="3" t="s">
        <v>19</v>
      </c>
      <c r="H12" s="3" t="s">
        <v>50</v>
      </c>
      <c r="I12" s="3" t="s">
        <v>19</v>
      </c>
      <c r="J12" s="3" t="s">
        <v>51</v>
      </c>
      <c r="K12" s="3" t="s">
        <v>21</v>
      </c>
      <c r="L12" s="3" t="s">
        <v>22</v>
      </c>
      <c r="M12" s="4">
        <v>29060</v>
      </c>
      <c r="N12" s="3" t="s">
        <v>23</v>
      </c>
      <c r="O12" s="3" t="s">
        <v>24</v>
      </c>
      <c r="P12" s="3" t="s">
        <v>19</v>
      </c>
    </row>
    <row r="13" spans="1:16" x14ac:dyDescent="0.4">
      <c r="A13" s="7">
        <v>12</v>
      </c>
      <c r="B13" s="8" t="s">
        <v>80</v>
      </c>
      <c r="C13" s="6" t="str">
        <f>IFERROR(IF(LEFT(D13,FIND(" ",D13)-1)="전라북도","전북특별자치도",LEFT(D13,FIND(" ",D13)-1)),"")</f>
        <v>인천광역시</v>
      </c>
      <c r="D13" s="3" t="s">
        <v>81</v>
      </c>
      <c r="E13" s="3" t="s">
        <v>82</v>
      </c>
      <c r="F13" s="3" t="s">
        <v>83</v>
      </c>
      <c r="G13" s="3" t="s">
        <v>19</v>
      </c>
      <c r="H13" s="3" t="s">
        <v>19</v>
      </c>
      <c r="I13" s="3" t="s">
        <v>19</v>
      </c>
      <c r="J13" s="3" t="s">
        <v>19</v>
      </c>
      <c r="K13" s="3" t="s">
        <v>21</v>
      </c>
      <c r="L13" s="3" t="s">
        <v>22</v>
      </c>
      <c r="M13" s="4">
        <v>460</v>
      </c>
      <c r="N13" s="3" t="s">
        <v>84</v>
      </c>
      <c r="O13" s="3" t="s">
        <v>24</v>
      </c>
      <c r="P13" s="3" t="s">
        <v>19</v>
      </c>
    </row>
    <row r="14" spans="1:16" x14ac:dyDescent="0.4">
      <c r="A14" s="7">
        <v>13</v>
      </c>
      <c r="B14" s="8" t="s">
        <v>85</v>
      </c>
      <c r="C14" s="6" t="str">
        <f>IFERROR(IF(LEFT(D14,FIND(" ",D14)-1)="전라북도","전북특별자치도",LEFT(D14,FIND(" ",D14)-1)),"")</f>
        <v>부산광역시</v>
      </c>
      <c r="D14" s="3" t="s">
        <v>86</v>
      </c>
      <c r="E14" s="3" t="s">
        <v>87</v>
      </c>
      <c r="F14" s="3" t="s">
        <v>88</v>
      </c>
      <c r="G14" s="3" t="s">
        <v>19</v>
      </c>
      <c r="H14" s="3" t="s">
        <v>19</v>
      </c>
      <c r="I14" s="3" t="s">
        <v>19</v>
      </c>
      <c r="J14" s="3" t="s">
        <v>19</v>
      </c>
      <c r="K14" s="3" t="s">
        <v>21</v>
      </c>
      <c r="L14" s="3" t="s">
        <v>22</v>
      </c>
      <c r="M14" s="4">
        <v>22409</v>
      </c>
      <c r="N14" s="3" t="s">
        <v>19</v>
      </c>
      <c r="O14" s="3" t="s">
        <v>24</v>
      </c>
      <c r="P14" s="3" t="s">
        <v>19</v>
      </c>
    </row>
    <row r="15" spans="1:16" hidden="1" x14ac:dyDescent="0.4">
      <c r="A15" s="7">
        <v>14</v>
      </c>
      <c r="B15" s="8" t="s">
        <v>89</v>
      </c>
      <c r="C15" s="6" t="str">
        <f>IFERROR(IF(LEFT(D15,FIND(" ",D15)-1)="전라북도","전북특별자치도",LEFT(D15,FIND(" ",D15)-1)),"")</f>
        <v>경기도</v>
      </c>
      <c r="D15" s="3" t="s">
        <v>90</v>
      </c>
      <c r="E15" s="3" t="s">
        <v>91</v>
      </c>
      <c r="F15" s="3" t="s">
        <v>92</v>
      </c>
      <c r="G15" s="3" t="s">
        <v>19</v>
      </c>
      <c r="H15" s="3" t="s">
        <v>93</v>
      </c>
      <c r="I15" s="3" t="s">
        <v>19</v>
      </c>
      <c r="J15" s="3" t="s">
        <v>94</v>
      </c>
      <c r="K15" s="3" t="s">
        <v>21</v>
      </c>
      <c r="L15" s="3" t="s">
        <v>22</v>
      </c>
      <c r="M15" s="4">
        <v>99547</v>
      </c>
      <c r="N15" s="3" t="s">
        <v>23</v>
      </c>
      <c r="O15" s="3" t="s">
        <v>95</v>
      </c>
      <c r="P15" s="3" t="s">
        <v>19</v>
      </c>
    </row>
    <row r="16" spans="1:16" hidden="1" x14ac:dyDescent="0.4">
      <c r="A16" s="7">
        <v>15</v>
      </c>
      <c r="B16" s="8" t="s">
        <v>96</v>
      </c>
      <c r="C16" s="6" t="str">
        <f>IFERROR(IF(LEFT(D16,FIND(" ",D16)-1)="전라북도","전북특별자치도",LEFT(D16,FIND(" ",D16)-1)),"")</f>
        <v>강원특별자치도</v>
      </c>
      <c r="D16" s="3" t="s">
        <v>97</v>
      </c>
      <c r="E16" s="3" t="s">
        <v>98</v>
      </c>
      <c r="F16" s="3" t="s">
        <v>99</v>
      </c>
      <c r="G16" s="3" t="s">
        <v>19</v>
      </c>
      <c r="H16" s="3" t="s">
        <v>100</v>
      </c>
      <c r="I16" s="3" t="s">
        <v>19</v>
      </c>
      <c r="J16" s="3" t="s">
        <v>19</v>
      </c>
      <c r="K16" s="3" t="s">
        <v>21</v>
      </c>
      <c r="L16" s="3" t="s">
        <v>22</v>
      </c>
      <c r="M16" s="4">
        <v>50</v>
      </c>
      <c r="N16" s="3" t="s">
        <v>84</v>
      </c>
      <c r="O16" s="3" t="s">
        <v>95</v>
      </c>
      <c r="P16" s="3" t="s">
        <v>19</v>
      </c>
    </row>
    <row r="17" spans="1:16" hidden="1" x14ac:dyDescent="0.4">
      <c r="A17" s="7">
        <v>16</v>
      </c>
      <c r="B17" s="8" t="s">
        <v>101</v>
      </c>
      <c r="C17" s="6" t="str">
        <f>IFERROR(IF(LEFT(D17,FIND(" ",D17)-1)="전라북도","전북특별자치도",LEFT(D17,FIND(" ",D17)-1)),"")</f>
        <v>충청남도</v>
      </c>
      <c r="D17" s="3" t="s">
        <v>102</v>
      </c>
      <c r="E17" s="3" t="s">
        <v>103</v>
      </c>
      <c r="F17" s="3" t="s">
        <v>104</v>
      </c>
      <c r="G17" s="3" t="s">
        <v>19</v>
      </c>
      <c r="H17" s="3" t="s">
        <v>19</v>
      </c>
      <c r="I17" s="3" t="s">
        <v>19</v>
      </c>
      <c r="J17" s="3" t="s">
        <v>105</v>
      </c>
      <c r="K17" s="3" t="s">
        <v>21</v>
      </c>
      <c r="L17" s="3" t="s">
        <v>22</v>
      </c>
      <c r="M17" s="4">
        <v>259</v>
      </c>
      <c r="N17" s="3" t="s">
        <v>23</v>
      </c>
      <c r="O17" s="3" t="s">
        <v>95</v>
      </c>
      <c r="P17" s="3" t="s">
        <v>19</v>
      </c>
    </row>
    <row r="18" spans="1:16" hidden="1" x14ac:dyDescent="0.4">
      <c r="A18" s="7">
        <v>17</v>
      </c>
      <c r="B18" s="8" t="s">
        <v>106</v>
      </c>
      <c r="C18" s="6" t="str">
        <f>IFERROR(IF(LEFT(D18,FIND(" ",D18)-1)="전라북도","전북특별자치도",LEFT(D18,FIND(" ",D18)-1)),"")</f>
        <v>경상북도</v>
      </c>
      <c r="D18" s="3" t="s">
        <v>107</v>
      </c>
      <c r="E18" s="3" t="s">
        <v>108</v>
      </c>
      <c r="F18" s="3" t="s">
        <v>109</v>
      </c>
      <c r="G18" s="3" t="s">
        <v>19</v>
      </c>
      <c r="H18" s="3" t="s">
        <v>110</v>
      </c>
      <c r="I18" s="3" t="s">
        <v>19</v>
      </c>
      <c r="J18" s="3" t="s">
        <v>19</v>
      </c>
      <c r="K18" s="3" t="s">
        <v>21</v>
      </c>
      <c r="L18" s="3" t="s">
        <v>22</v>
      </c>
      <c r="M18" s="4">
        <v>363</v>
      </c>
      <c r="N18" s="3" t="s">
        <v>23</v>
      </c>
      <c r="O18" s="3" t="s">
        <v>95</v>
      </c>
      <c r="P18" s="3" t="s">
        <v>19</v>
      </c>
    </row>
    <row r="19" spans="1:16" hidden="1" x14ac:dyDescent="0.4">
      <c r="A19" s="7">
        <v>18</v>
      </c>
      <c r="B19" s="8" t="s">
        <v>111</v>
      </c>
      <c r="C19" s="6" t="str">
        <f>IFERROR(IF(LEFT(D19,FIND(" ",D19)-1)="전라북도","전북특별자치도",LEFT(D19,FIND(" ",D19)-1)),"")</f>
        <v>경기도</v>
      </c>
      <c r="D19" s="3" t="s">
        <v>112</v>
      </c>
      <c r="E19" s="3" t="s">
        <v>113</v>
      </c>
      <c r="F19" s="3" t="s">
        <v>114</v>
      </c>
      <c r="G19" s="3" t="s">
        <v>19</v>
      </c>
      <c r="H19" s="3" t="s">
        <v>115</v>
      </c>
      <c r="I19" s="3" t="s">
        <v>19</v>
      </c>
      <c r="J19" s="3" t="s">
        <v>116</v>
      </c>
      <c r="K19" s="3" t="s">
        <v>21</v>
      </c>
      <c r="L19" s="3" t="s">
        <v>22</v>
      </c>
      <c r="M19" s="4">
        <v>2772</v>
      </c>
      <c r="N19" s="3" t="s">
        <v>23</v>
      </c>
      <c r="O19" s="3" t="s">
        <v>95</v>
      </c>
      <c r="P19" s="3" t="s">
        <v>19</v>
      </c>
    </row>
    <row r="20" spans="1:16" hidden="1" x14ac:dyDescent="0.4">
      <c r="A20" s="7">
        <v>19</v>
      </c>
      <c r="B20" s="8" t="s">
        <v>117</v>
      </c>
      <c r="C20" s="6" t="str">
        <f>IFERROR(IF(LEFT(D20,FIND(" ",D20)-1)="전라북도","전북특별자치도",LEFT(D20,FIND(" ",D20)-1)),"")</f>
        <v>전라남도</v>
      </c>
      <c r="D20" s="3" t="s">
        <v>118</v>
      </c>
      <c r="E20" s="3" t="s">
        <v>119</v>
      </c>
      <c r="F20" s="3" t="s">
        <v>120</v>
      </c>
      <c r="G20" s="3" t="s">
        <v>19</v>
      </c>
      <c r="H20" s="3" t="s">
        <v>121</v>
      </c>
      <c r="I20" s="3" t="s">
        <v>19</v>
      </c>
      <c r="J20" s="3" t="s">
        <v>122</v>
      </c>
      <c r="K20" s="3" t="s">
        <v>21</v>
      </c>
      <c r="L20" s="3" t="s">
        <v>22</v>
      </c>
      <c r="M20" s="4">
        <v>20188</v>
      </c>
      <c r="N20" s="3" t="s">
        <v>123</v>
      </c>
      <c r="O20" s="3" t="s">
        <v>95</v>
      </c>
      <c r="P20" s="3" t="s">
        <v>19</v>
      </c>
    </row>
    <row r="21" spans="1:16" hidden="1" x14ac:dyDescent="0.4">
      <c r="A21" s="7">
        <v>20</v>
      </c>
      <c r="B21" s="8" t="s">
        <v>124</v>
      </c>
      <c r="C21" s="6" t="str">
        <f>IFERROR(IF(LEFT(D21,FIND(" ",D21)-1)="전라북도","전북특별자치도",LEFT(D21,FIND(" ",D21)-1)),"")</f>
        <v>전라남도</v>
      </c>
      <c r="D21" s="3" t="s">
        <v>125</v>
      </c>
      <c r="E21" s="3" t="s">
        <v>126</v>
      </c>
      <c r="F21" s="3" t="s">
        <v>127</v>
      </c>
      <c r="G21" s="3" t="s">
        <v>19</v>
      </c>
      <c r="H21" s="3" t="s">
        <v>128</v>
      </c>
      <c r="I21" s="3" t="s">
        <v>19</v>
      </c>
      <c r="J21" s="3" t="s">
        <v>19</v>
      </c>
      <c r="K21" s="3" t="s">
        <v>21</v>
      </c>
      <c r="L21" s="3" t="s">
        <v>22</v>
      </c>
      <c r="M21" s="4">
        <v>501</v>
      </c>
      <c r="N21" s="3" t="s">
        <v>129</v>
      </c>
      <c r="O21" s="3" t="s">
        <v>95</v>
      </c>
      <c r="P21" s="3" t="s">
        <v>19</v>
      </c>
    </row>
    <row r="22" spans="1:16" hidden="1" x14ac:dyDescent="0.4">
      <c r="A22" s="7">
        <v>21</v>
      </c>
      <c r="B22" s="8" t="s">
        <v>130</v>
      </c>
      <c r="C22" s="6" t="str">
        <f>IFERROR(IF(LEFT(D22,FIND(" ",D22)-1)="전라북도","전북특별자치도",LEFT(D22,FIND(" ",D22)-1)),"")</f>
        <v>서울특별시</v>
      </c>
      <c r="D22" s="3" t="s">
        <v>131</v>
      </c>
      <c r="E22" s="3" t="s">
        <v>132</v>
      </c>
      <c r="F22" s="3" t="s">
        <v>133</v>
      </c>
      <c r="G22" s="3" t="s">
        <v>19</v>
      </c>
      <c r="H22" s="3" t="s">
        <v>134</v>
      </c>
      <c r="I22" s="3" t="s">
        <v>19</v>
      </c>
      <c r="J22" s="3" t="s">
        <v>135</v>
      </c>
      <c r="K22" s="3" t="s">
        <v>21</v>
      </c>
      <c r="L22" s="3" t="s">
        <v>22</v>
      </c>
      <c r="M22" s="4">
        <v>8426</v>
      </c>
      <c r="N22" s="3" t="s">
        <v>23</v>
      </c>
      <c r="O22" s="3" t="s">
        <v>95</v>
      </c>
      <c r="P22" s="3" t="s">
        <v>19</v>
      </c>
    </row>
    <row r="23" spans="1:16" hidden="1" x14ac:dyDescent="0.4">
      <c r="A23" s="7">
        <v>22</v>
      </c>
      <c r="B23" s="8" t="s">
        <v>136</v>
      </c>
      <c r="C23" s="6" t="str">
        <f>IFERROR(IF(LEFT(D23,FIND(" ",D23)-1)="전라북도","전북특별자치도",LEFT(D23,FIND(" ",D23)-1)),"")</f>
        <v>강원특별자치도</v>
      </c>
      <c r="D23" s="3" t="s">
        <v>137</v>
      </c>
      <c r="E23" s="3" t="s">
        <v>138</v>
      </c>
      <c r="F23" s="3" t="s">
        <v>139</v>
      </c>
      <c r="G23" s="3" t="s">
        <v>19</v>
      </c>
      <c r="H23" s="3" t="s">
        <v>140</v>
      </c>
      <c r="I23" s="3" t="s">
        <v>19</v>
      </c>
      <c r="J23" s="3" t="s">
        <v>19</v>
      </c>
      <c r="K23" s="3" t="s">
        <v>21</v>
      </c>
      <c r="L23" s="3" t="s">
        <v>22</v>
      </c>
      <c r="M23" s="4">
        <v>998</v>
      </c>
      <c r="N23" s="3" t="s">
        <v>23</v>
      </c>
      <c r="O23" s="3" t="s">
        <v>95</v>
      </c>
      <c r="P23" s="3" t="s">
        <v>19</v>
      </c>
    </row>
    <row r="24" spans="1:16" hidden="1" x14ac:dyDescent="0.4">
      <c r="A24" s="7">
        <v>23</v>
      </c>
      <c r="B24" s="8" t="s">
        <v>141</v>
      </c>
      <c r="C24" s="6" t="str">
        <f>IFERROR(IF(LEFT(D24,FIND(" ",D24)-1)="전라북도","전북특별자치도",LEFT(D24,FIND(" ",D24)-1)),"")</f>
        <v>경기도</v>
      </c>
      <c r="D24" s="3" t="s">
        <v>142</v>
      </c>
      <c r="E24" s="3" t="s">
        <v>143</v>
      </c>
      <c r="F24" s="3" t="s">
        <v>144</v>
      </c>
      <c r="G24" s="3" t="s">
        <v>19</v>
      </c>
      <c r="H24" s="3" t="s">
        <v>145</v>
      </c>
      <c r="I24" s="3" t="s">
        <v>19</v>
      </c>
      <c r="J24" s="3" t="s">
        <v>146</v>
      </c>
      <c r="K24" s="3" t="s">
        <v>21</v>
      </c>
      <c r="L24" s="3" t="s">
        <v>147</v>
      </c>
      <c r="M24" s="4">
        <v>538</v>
      </c>
      <c r="N24" s="3" t="s">
        <v>23</v>
      </c>
      <c r="O24" s="3" t="s">
        <v>95</v>
      </c>
      <c r="P24" s="3" t="s">
        <v>19</v>
      </c>
    </row>
    <row r="25" spans="1:16" hidden="1" x14ac:dyDescent="0.4">
      <c r="A25" s="7">
        <v>24</v>
      </c>
      <c r="B25" s="8" t="s">
        <v>148</v>
      </c>
      <c r="C25" s="6" t="str">
        <f>IFERROR(IF(LEFT(D25,FIND(" ",D25)-1)="전라북도","전북특별자치도",LEFT(D25,FIND(" ",D25)-1)),"")</f>
        <v>경상남도</v>
      </c>
      <c r="D25" s="3" t="s">
        <v>149</v>
      </c>
      <c r="E25" s="3" t="s">
        <v>150</v>
      </c>
      <c r="F25" s="3" t="s">
        <v>144</v>
      </c>
      <c r="G25" s="3" t="s">
        <v>19</v>
      </c>
      <c r="H25" s="3" t="s">
        <v>151</v>
      </c>
      <c r="I25" s="3" t="s">
        <v>19</v>
      </c>
      <c r="J25" s="3" t="s">
        <v>152</v>
      </c>
      <c r="K25" s="3" t="s">
        <v>21</v>
      </c>
      <c r="L25" s="3" t="s">
        <v>22</v>
      </c>
      <c r="M25" s="4">
        <v>111820</v>
      </c>
      <c r="N25" s="3" t="s">
        <v>23</v>
      </c>
      <c r="O25" s="3" t="s">
        <v>95</v>
      </c>
      <c r="P25" s="3" t="s">
        <v>19</v>
      </c>
    </row>
    <row r="26" spans="1:16" hidden="1" x14ac:dyDescent="0.4">
      <c r="A26" s="7">
        <v>25</v>
      </c>
      <c r="B26" s="8" t="s">
        <v>153</v>
      </c>
      <c r="C26" s="6" t="str">
        <f>IFERROR(IF(LEFT(D26,FIND(" ",D26)-1)="전라북도","전북특별자치도",LEFT(D26,FIND(" ",D26)-1)),"")</f>
        <v>충청남도</v>
      </c>
      <c r="D26" s="3" t="s">
        <v>154</v>
      </c>
      <c r="E26" s="3" t="s">
        <v>155</v>
      </c>
      <c r="F26" s="3" t="s">
        <v>156</v>
      </c>
      <c r="G26" s="3" t="s">
        <v>19</v>
      </c>
      <c r="H26" s="3" t="s">
        <v>157</v>
      </c>
      <c r="I26" s="3" t="s">
        <v>19</v>
      </c>
      <c r="J26" s="3" t="s">
        <v>158</v>
      </c>
      <c r="K26" s="3" t="s">
        <v>21</v>
      </c>
      <c r="L26" s="3" t="s">
        <v>22</v>
      </c>
      <c r="M26" s="4">
        <v>2038</v>
      </c>
      <c r="N26" s="3" t="s">
        <v>23</v>
      </c>
      <c r="O26" s="3" t="s">
        <v>95</v>
      </c>
      <c r="P26" s="3" t="s">
        <v>19</v>
      </c>
    </row>
    <row r="27" spans="1:16" hidden="1" x14ac:dyDescent="0.4">
      <c r="A27" s="7">
        <v>26</v>
      </c>
      <c r="B27" s="8" t="s">
        <v>159</v>
      </c>
      <c r="C27" s="6" t="str">
        <f>IFERROR(IF(LEFT(D27,FIND(" ",D27)-1)="전라북도","전북특별자치도",LEFT(D27,FIND(" ",D27)-1)),"")</f>
        <v>경상북도</v>
      </c>
      <c r="D27" s="3" t="s">
        <v>160</v>
      </c>
      <c r="E27" s="3" t="s">
        <v>161</v>
      </c>
      <c r="F27" s="3" t="s">
        <v>162</v>
      </c>
      <c r="G27" s="3" t="s">
        <v>19</v>
      </c>
      <c r="H27" s="3" t="s">
        <v>163</v>
      </c>
      <c r="I27" s="3" t="s">
        <v>19</v>
      </c>
      <c r="J27" s="3" t="s">
        <v>19</v>
      </c>
      <c r="K27" s="3" t="s">
        <v>21</v>
      </c>
      <c r="L27" s="3" t="s">
        <v>147</v>
      </c>
      <c r="M27" s="4">
        <v>5431</v>
      </c>
      <c r="N27" s="3" t="s">
        <v>23</v>
      </c>
      <c r="O27" s="3" t="s">
        <v>95</v>
      </c>
      <c r="P27" s="3" t="s">
        <v>19</v>
      </c>
    </row>
    <row r="28" spans="1:16" x14ac:dyDescent="0.4">
      <c r="A28" s="7">
        <v>27</v>
      </c>
      <c r="B28" s="8" t="s">
        <v>164</v>
      </c>
      <c r="C28" s="6" t="str">
        <f>IFERROR(IF(LEFT(D28,FIND(" ",D28)-1)="전라북도","전북특별자치도",LEFT(D28,FIND(" ",D28)-1)),"")</f>
        <v>충청북도</v>
      </c>
      <c r="D28" s="3" t="s">
        <v>165</v>
      </c>
      <c r="E28" s="3" t="s">
        <v>166</v>
      </c>
      <c r="F28" s="3" t="s">
        <v>167</v>
      </c>
      <c r="G28" s="3" t="s">
        <v>19</v>
      </c>
      <c r="H28" s="3" t="s">
        <v>168</v>
      </c>
      <c r="I28" s="3" t="s">
        <v>19</v>
      </c>
      <c r="J28" s="3" t="s">
        <v>19</v>
      </c>
      <c r="K28" s="3" t="s">
        <v>21</v>
      </c>
      <c r="L28" s="3" t="s">
        <v>22</v>
      </c>
      <c r="M28" s="4">
        <v>2596</v>
      </c>
      <c r="N28" s="3" t="s">
        <v>23</v>
      </c>
      <c r="O28" s="3" t="s">
        <v>24</v>
      </c>
      <c r="P28" s="3" t="s">
        <v>19</v>
      </c>
    </row>
    <row r="29" spans="1:16" x14ac:dyDescent="0.4">
      <c r="A29" s="7">
        <v>28</v>
      </c>
      <c r="B29" s="8" t="s">
        <v>169</v>
      </c>
      <c r="C29" s="6" t="str">
        <f>IFERROR(IF(LEFT(D29,FIND(" ",D29)-1)="전라북도","전북특별자치도",LEFT(D29,FIND(" ",D29)-1)),"")</f>
        <v>강원특별자치도</v>
      </c>
      <c r="D29" s="3" t="s">
        <v>170</v>
      </c>
      <c r="E29" s="3" t="s">
        <v>171</v>
      </c>
      <c r="F29" s="3" t="s">
        <v>167</v>
      </c>
      <c r="G29" s="3" t="s">
        <v>19</v>
      </c>
      <c r="H29" s="3" t="s">
        <v>172</v>
      </c>
      <c r="I29" s="3" t="s">
        <v>19</v>
      </c>
      <c r="J29" s="3" t="s">
        <v>19</v>
      </c>
      <c r="K29" s="3" t="s">
        <v>21</v>
      </c>
      <c r="L29" s="3" t="s">
        <v>22</v>
      </c>
      <c r="M29" s="4">
        <v>14868</v>
      </c>
      <c r="N29" s="3" t="s">
        <v>23</v>
      </c>
      <c r="O29" s="3" t="s">
        <v>24</v>
      </c>
      <c r="P29" s="3" t="s">
        <v>19</v>
      </c>
    </row>
    <row r="30" spans="1:16" x14ac:dyDescent="0.4">
      <c r="A30" s="7">
        <v>29</v>
      </c>
      <c r="B30" s="8" t="s">
        <v>173</v>
      </c>
      <c r="C30" s="6" t="str">
        <f>IFERROR(IF(LEFT(D30,FIND(" ",D30)-1)="전라북도","전북특별자치도",LEFT(D30,FIND(" ",D30)-1)),"")</f>
        <v>서울특별시</v>
      </c>
      <c r="D30" s="3" t="s">
        <v>174</v>
      </c>
      <c r="E30" s="3" t="s">
        <v>175</v>
      </c>
      <c r="F30" s="3" t="s">
        <v>176</v>
      </c>
      <c r="G30" s="3" t="s">
        <v>19</v>
      </c>
      <c r="H30" s="3" t="s">
        <v>177</v>
      </c>
      <c r="I30" s="3" t="s">
        <v>19</v>
      </c>
      <c r="J30" s="3" t="s">
        <v>178</v>
      </c>
      <c r="K30" s="3" t="s">
        <v>21</v>
      </c>
      <c r="L30" s="3" t="s">
        <v>22</v>
      </c>
      <c r="M30" s="4">
        <v>6095</v>
      </c>
      <c r="N30" s="3" t="s">
        <v>23</v>
      </c>
      <c r="O30" s="3" t="s">
        <v>24</v>
      </c>
      <c r="P30" s="3" t="s">
        <v>19</v>
      </c>
    </row>
    <row r="31" spans="1:16" x14ac:dyDescent="0.4">
      <c r="A31" s="7">
        <v>30</v>
      </c>
      <c r="B31" s="8" t="s">
        <v>179</v>
      </c>
      <c r="C31" s="6" t="str">
        <f>IFERROR(IF(LEFT(D31,FIND(" ",D31)-1)="전라북도","전북특별자치도",LEFT(D31,FIND(" ",D31)-1)),"")</f>
        <v>부산광역시</v>
      </c>
      <c r="D31" s="3" t="s">
        <v>180</v>
      </c>
      <c r="E31" s="3" t="s">
        <v>181</v>
      </c>
      <c r="F31" s="3" t="s">
        <v>182</v>
      </c>
      <c r="G31" s="3" t="s">
        <v>19</v>
      </c>
      <c r="H31" s="3" t="s">
        <v>183</v>
      </c>
      <c r="I31" s="3" t="s">
        <v>19</v>
      </c>
      <c r="J31" s="3" t="s">
        <v>184</v>
      </c>
      <c r="K31" s="3" t="s">
        <v>21</v>
      </c>
      <c r="L31" s="3" t="s">
        <v>22</v>
      </c>
      <c r="M31" s="4">
        <v>14453</v>
      </c>
      <c r="N31" s="3" t="s">
        <v>23</v>
      </c>
      <c r="O31" s="3" t="s">
        <v>24</v>
      </c>
      <c r="P31" s="3" t="s">
        <v>19</v>
      </c>
    </row>
    <row r="32" spans="1:16" x14ac:dyDescent="0.4">
      <c r="A32" s="7">
        <v>31</v>
      </c>
      <c r="B32" s="8" t="s">
        <v>185</v>
      </c>
      <c r="C32" s="6" t="str">
        <f>IFERROR(IF(LEFT(D32,FIND(" ",D32)-1)="전라북도","전북특별자치도",LEFT(D32,FIND(" ",D32)-1)),"")</f>
        <v>서울특별시</v>
      </c>
      <c r="D32" s="3" t="s">
        <v>186</v>
      </c>
      <c r="E32" s="3" t="s">
        <v>187</v>
      </c>
      <c r="F32" s="3" t="s">
        <v>188</v>
      </c>
      <c r="G32" s="3" t="s">
        <v>19</v>
      </c>
      <c r="H32" s="3" t="s">
        <v>189</v>
      </c>
      <c r="I32" s="3" t="s">
        <v>19</v>
      </c>
      <c r="J32" s="3" t="s">
        <v>19</v>
      </c>
      <c r="K32" s="3" t="s">
        <v>21</v>
      </c>
      <c r="L32" s="3" t="s">
        <v>22</v>
      </c>
      <c r="M32" s="4">
        <v>301</v>
      </c>
      <c r="N32" s="3" t="s">
        <v>23</v>
      </c>
      <c r="O32" s="3" t="s">
        <v>24</v>
      </c>
      <c r="P32" s="3" t="s">
        <v>19</v>
      </c>
    </row>
    <row r="33" spans="1:16" x14ac:dyDescent="0.4">
      <c r="A33" s="7">
        <v>32</v>
      </c>
      <c r="B33" s="8" t="s">
        <v>190</v>
      </c>
      <c r="C33" s="6" t="str">
        <f>IFERROR(IF(LEFT(D33,FIND(" ",D33)-1)="전라북도","전북특별자치도",LEFT(D33,FIND(" ",D33)-1)),"")</f>
        <v>인천광역시</v>
      </c>
      <c r="D33" s="3" t="s">
        <v>191</v>
      </c>
      <c r="E33" s="3" t="s">
        <v>192</v>
      </c>
      <c r="F33" s="3" t="s">
        <v>193</v>
      </c>
      <c r="G33" s="3" t="s">
        <v>19</v>
      </c>
      <c r="H33" s="3" t="s">
        <v>194</v>
      </c>
      <c r="I33" s="3" t="s">
        <v>19</v>
      </c>
      <c r="J33" s="3" t="s">
        <v>19</v>
      </c>
      <c r="K33" s="3" t="s">
        <v>21</v>
      </c>
      <c r="L33" s="3" t="s">
        <v>22</v>
      </c>
      <c r="M33" s="4">
        <v>1995</v>
      </c>
      <c r="N33" s="3" t="s">
        <v>23</v>
      </c>
      <c r="O33" s="3" t="s">
        <v>24</v>
      </c>
      <c r="P33" s="3" t="s">
        <v>19</v>
      </c>
    </row>
    <row r="34" spans="1:16" x14ac:dyDescent="0.4">
      <c r="A34" s="7">
        <v>33</v>
      </c>
      <c r="B34" s="8" t="s">
        <v>195</v>
      </c>
      <c r="C34" s="6" t="str">
        <f>IFERROR(IF(LEFT(D34,FIND(" ",D34)-1)="전라북도","전북특별자치도",LEFT(D34,FIND(" ",D34)-1)),"")</f>
        <v>서울특별시</v>
      </c>
      <c r="D34" s="3" t="s">
        <v>196</v>
      </c>
      <c r="E34" s="3" t="s">
        <v>197</v>
      </c>
      <c r="F34" s="3" t="s">
        <v>198</v>
      </c>
      <c r="G34" s="3" t="s">
        <v>19</v>
      </c>
      <c r="H34" s="3" t="s">
        <v>199</v>
      </c>
      <c r="I34" s="3" t="s">
        <v>19</v>
      </c>
      <c r="J34" s="3" t="s">
        <v>200</v>
      </c>
      <c r="K34" s="3" t="s">
        <v>21</v>
      </c>
      <c r="L34" s="3" t="s">
        <v>22</v>
      </c>
      <c r="M34" s="4">
        <v>4482</v>
      </c>
      <c r="N34" s="3" t="s">
        <v>23</v>
      </c>
      <c r="O34" s="3" t="s">
        <v>24</v>
      </c>
      <c r="P34" s="3" t="s">
        <v>19</v>
      </c>
    </row>
    <row r="35" spans="1:16" x14ac:dyDescent="0.4">
      <c r="A35" s="7">
        <v>34</v>
      </c>
      <c r="B35" s="8" t="s">
        <v>201</v>
      </c>
      <c r="C35" s="6" t="str">
        <f>IFERROR(IF(LEFT(D35,FIND(" ",D35)-1)="전라북도","전북특별자치도",LEFT(D35,FIND(" ",D35)-1)),"")</f>
        <v>부산광역시</v>
      </c>
      <c r="D35" s="3" t="s">
        <v>202</v>
      </c>
      <c r="E35" s="3" t="s">
        <v>203</v>
      </c>
      <c r="F35" s="3" t="s">
        <v>204</v>
      </c>
      <c r="G35" s="3" t="s">
        <v>19</v>
      </c>
      <c r="H35" s="3" t="s">
        <v>205</v>
      </c>
      <c r="I35" s="3" t="s">
        <v>19</v>
      </c>
      <c r="J35" s="3" t="s">
        <v>19</v>
      </c>
      <c r="K35" s="3" t="s">
        <v>21</v>
      </c>
      <c r="L35" s="3" t="s">
        <v>22</v>
      </c>
      <c r="M35" s="4">
        <v>2000</v>
      </c>
      <c r="N35" s="3" t="s">
        <v>23</v>
      </c>
      <c r="O35" s="3" t="s">
        <v>24</v>
      </c>
      <c r="P35" s="3" t="s">
        <v>19</v>
      </c>
    </row>
    <row r="36" spans="1:16" x14ac:dyDescent="0.4">
      <c r="A36" s="7">
        <v>35</v>
      </c>
      <c r="B36" s="8" t="s">
        <v>206</v>
      </c>
      <c r="C36" s="6" t="str">
        <f>IFERROR(IF(LEFT(D36,FIND(" ",D36)-1)="전라북도","전북특별자치도",LEFT(D36,FIND(" ",D36)-1)),"")</f>
        <v>강원특별자치도</v>
      </c>
      <c r="D36" s="3" t="s">
        <v>207</v>
      </c>
      <c r="E36" s="3" t="s">
        <v>208</v>
      </c>
      <c r="F36" s="3" t="s">
        <v>209</v>
      </c>
      <c r="G36" s="3" t="s">
        <v>19</v>
      </c>
      <c r="H36" s="3" t="s">
        <v>210</v>
      </c>
      <c r="I36" s="3" t="s">
        <v>19</v>
      </c>
      <c r="J36" s="3" t="s">
        <v>19</v>
      </c>
      <c r="K36" s="3" t="s">
        <v>21</v>
      </c>
      <c r="L36" s="3" t="s">
        <v>22</v>
      </c>
      <c r="M36" s="4">
        <v>97</v>
      </c>
      <c r="N36" s="3" t="s">
        <v>211</v>
      </c>
      <c r="O36" s="3" t="s">
        <v>24</v>
      </c>
      <c r="P36" s="3" t="s">
        <v>19</v>
      </c>
    </row>
    <row r="37" spans="1:16" x14ac:dyDescent="0.4">
      <c r="A37" s="7">
        <v>36</v>
      </c>
      <c r="B37" s="8" t="s">
        <v>212</v>
      </c>
      <c r="C37" s="6" t="str">
        <f>IFERROR(IF(LEFT(D37,FIND(" ",D37)-1)="전라북도","전북특별자치도",LEFT(D37,FIND(" ",D37)-1)),"")</f>
        <v>전북특별자치도</v>
      </c>
      <c r="D37" s="3" t="s">
        <v>213</v>
      </c>
      <c r="E37" s="3" t="s">
        <v>214</v>
      </c>
      <c r="F37" s="3" t="s">
        <v>215</v>
      </c>
      <c r="G37" s="3" t="s">
        <v>19</v>
      </c>
      <c r="H37" s="3" t="s">
        <v>216</v>
      </c>
      <c r="I37" s="3" t="s">
        <v>19</v>
      </c>
      <c r="J37" s="3" t="s">
        <v>217</v>
      </c>
      <c r="K37" s="3" t="s">
        <v>21</v>
      </c>
      <c r="L37" s="3" t="s">
        <v>22</v>
      </c>
      <c r="M37" s="4">
        <v>5417</v>
      </c>
      <c r="N37" s="3" t="s">
        <v>23</v>
      </c>
      <c r="O37" s="3" t="s">
        <v>24</v>
      </c>
      <c r="P37" s="3" t="s">
        <v>19</v>
      </c>
    </row>
    <row r="38" spans="1:16" x14ac:dyDescent="0.4">
      <c r="A38" s="7">
        <v>37</v>
      </c>
      <c r="B38" s="8" t="s">
        <v>218</v>
      </c>
      <c r="C38" s="6" t="str">
        <f>IFERROR(IF(LEFT(D38,FIND(" ",D38)-1)="전라북도","전북특별자치도",LEFT(D38,FIND(" ",D38)-1)),"")</f>
        <v>경기도</v>
      </c>
      <c r="D38" s="3" t="s">
        <v>219</v>
      </c>
      <c r="E38" s="3" t="s">
        <v>220</v>
      </c>
      <c r="F38" s="3" t="s">
        <v>221</v>
      </c>
      <c r="G38" s="3" t="s">
        <v>19</v>
      </c>
      <c r="H38" s="3" t="s">
        <v>222</v>
      </c>
      <c r="I38" s="3" t="s">
        <v>19</v>
      </c>
      <c r="J38" s="3" t="s">
        <v>19</v>
      </c>
      <c r="K38" s="3" t="s">
        <v>21</v>
      </c>
      <c r="L38" s="3" t="s">
        <v>147</v>
      </c>
      <c r="M38" s="4">
        <v>942</v>
      </c>
      <c r="N38" s="3" t="s">
        <v>23</v>
      </c>
      <c r="O38" s="3" t="s">
        <v>24</v>
      </c>
      <c r="P38" s="3" t="s">
        <v>19</v>
      </c>
    </row>
    <row r="39" spans="1:16" x14ac:dyDescent="0.4">
      <c r="A39" s="7">
        <v>38</v>
      </c>
      <c r="B39" s="8" t="s">
        <v>223</v>
      </c>
      <c r="C39" s="6" t="str">
        <f>IFERROR(IF(LEFT(D39,FIND(" ",D39)-1)="전라북도","전북특별자치도",LEFT(D39,FIND(" ",D39)-1)),"")</f>
        <v>경상북도</v>
      </c>
      <c r="D39" s="3" t="s">
        <v>224</v>
      </c>
      <c r="E39" s="3" t="s">
        <v>225</v>
      </c>
      <c r="F39" s="3" t="s">
        <v>226</v>
      </c>
      <c r="G39" s="3" t="s">
        <v>19</v>
      </c>
      <c r="H39" s="3" t="s">
        <v>227</v>
      </c>
      <c r="I39" s="3" t="s">
        <v>19</v>
      </c>
      <c r="J39" s="3" t="s">
        <v>19</v>
      </c>
      <c r="K39" s="3" t="s">
        <v>21</v>
      </c>
      <c r="L39" s="3" t="s">
        <v>228</v>
      </c>
      <c r="M39" s="4">
        <v>1493</v>
      </c>
      <c r="N39" s="3" t="s">
        <v>23</v>
      </c>
      <c r="O39" s="3" t="s">
        <v>24</v>
      </c>
      <c r="P39" s="3" t="s">
        <v>19</v>
      </c>
    </row>
    <row r="40" spans="1:16" x14ac:dyDescent="0.4">
      <c r="A40" s="7">
        <v>39</v>
      </c>
      <c r="B40" s="8" t="s">
        <v>229</v>
      </c>
      <c r="C40" s="6" t="str">
        <f>IFERROR(IF(LEFT(D40,FIND(" ",D40)-1)="전라북도","전북특별자치도",LEFT(D40,FIND(" ",D40)-1)),"")</f>
        <v>전남광주통합특별시</v>
      </c>
      <c r="D40" s="3" t="s">
        <v>230</v>
      </c>
      <c r="E40" s="3" t="s">
        <v>231</v>
      </c>
      <c r="F40" s="3" t="s">
        <v>232</v>
      </c>
      <c r="G40" s="3" t="s">
        <v>233</v>
      </c>
      <c r="H40" s="3" t="s">
        <v>234</v>
      </c>
      <c r="I40" s="3" t="s">
        <v>235</v>
      </c>
      <c r="J40" s="3" t="s">
        <v>19</v>
      </c>
      <c r="K40" s="3" t="s">
        <v>21</v>
      </c>
      <c r="L40" s="3" t="s">
        <v>22</v>
      </c>
      <c r="M40" s="4">
        <v>1139</v>
      </c>
      <c r="N40" s="3" t="s">
        <v>236</v>
      </c>
      <c r="O40" s="3" t="s">
        <v>24</v>
      </c>
      <c r="P40" s="3" t="s">
        <v>19</v>
      </c>
    </row>
    <row r="41" spans="1:16" x14ac:dyDescent="0.4">
      <c r="A41" s="7">
        <v>40</v>
      </c>
      <c r="B41" s="8" t="s">
        <v>237</v>
      </c>
      <c r="C41" s="6" t="str">
        <f>IFERROR(IF(LEFT(D41,FIND(" ",D41)-1)="전라북도","전북특별자치도",LEFT(D41,FIND(" ",D41)-1)),"")</f>
        <v>제주특별자치도</v>
      </c>
      <c r="D41" s="3" t="s">
        <v>238</v>
      </c>
      <c r="E41" s="3" t="s">
        <v>239</v>
      </c>
      <c r="F41" s="3" t="s">
        <v>240</v>
      </c>
      <c r="G41" s="3" t="s">
        <v>19</v>
      </c>
      <c r="H41" s="3" t="s">
        <v>241</v>
      </c>
      <c r="I41" s="3" t="s">
        <v>19</v>
      </c>
      <c r="J41" s="3" t="s">
        <v>242</v>
      </c>
      <c r="K41" s="3" t="s">
        <v>21</v>
      </c>
      <c r="L41" s="3" t="s">
        <v>22</v>
      </c>
      <c r="M41" s="4">
        <v>2964</v>
      </c>
      <c r="N41" s="3" t="s">
        <v>19</v>
      </c>
      <c r="O41" s="3" t="s">
        <v>24</v>
      </c>
      <c r="P41" s="3" t="s">
        <v>19</v>
      </c>
    </row>
    <row r="42" spans="1:16" x14ac:dyDescent="0.4">
      <c r="A42" s="7">
        <v>41</v>
      </c>
      <c r="B42" s="8" t="s">
        <v>243</v>
      </c>
      <c r="C42" s="6" t="str">
        <f>IFERROR(IF(LEFT(D42,FIND(" ",D42)-1)="전라북도","전북특별자치도",LEFT(D42,FIND(" ",D42)-1)),"")</f>
        <v>제주특별자치도</v>
      </c>
      <c r="D42" s="3" t="s">
        <v>244</v>
      </c>
      <c r="E42" s="3" t="s">
        <v>239</v>
      </c>
      <c r="F42" s="3" t="s">
        <v>245</v>
      </c>
      <c r="G42" s="3" t="s">
        <v>19</v>
      </c>
      <c r="H42" s="3" t="s">
        <v>246</v>
      </c>
      <c r="I42" s="3" t="s">
        <v>19</v>
      </c>
      <c r="J42" s="3" t="s">
        <v>247</v>
      </c>
      <c r="K42" s="3" t="s">
        <v>21</v>
      </c>
      <c r="L42" s="3" t="s">
        <v>22</v>
      </c>
      <c r="M42" s="4">
        <v>10831</v>
      </c>
      <c r="N42" s="3" t="s">
        <v>19</v>
      </c>
      <c r="O42" s="3" t="s">
        <v>24</v>
      </c>
      <c r="P42" s="3" t="s">
        <v>19</v>
      </c>
    </row>
    <row r="43" spans="1:16" x14ac:dyDescent="0.4">
      <c r="A43" s="7">
        <v>42</v>
      </c>
      <c r="B43" s="8" t="s">
        <v>248</v>
      </c>
      <c r="C43" s="6" t="str">
        <f>IFERROR(IF(LEFT(D43,FIND(" ",D43)-1)="전라북도","전북특별자치도",LEFT(D43,FIND(" ",D43)-1)),"")</f>
        <v>인천광역시</v>
      </c>
      <c r="D43" s="3" t="s">
        <v>249</v>
      </c>
      <c r="E43" s="3" t="s">
        <v>250</v>
      </c>
      <c r="F43" s="3" t="s">
        <v>251</v>
      </c>
      <c r="G43" s="3" t="s">
        <v>19</v>
      </c>
      <c r="H43" s="3" t="s">
        <v>252</v>
      </c>
      <c r="I43" s="3" t="s">
        <v>19</v>
      </c>
      <c r="J43" s="3" t="s">
        <v>19</v>
      </c>
      <c r="K43" s="3" t="s">
        <v>21</v>
      </c>
      <c r="L43" s="3" t="s">
        <v>147</v>
      </c>
      <c r="M43" s="4">
        <v>259</v>
      </c>
      <c r="N43" s="3" t="s">
        <v>123</v>
      </c>
      <c r="O43" s="3" t="s">
        <v>24</v>
      </c>
      <c r="P43" s="3" t="s">
        <v>19</v>
      </c>
    </row>
    <row r="44" spans="1:16" x14ac:dyDescent="0.4">
      <c r="A44" s="7">
        <v>43</v>
      </c>
      <c r="B44" s="8" t="s">
        <v>21</v>
      </c>
      <c r="C44" s="6" t="str">
        <f>IFERROR(IF(LEFT(D44,FIND(" ",D44)-1)="전라북도","전북특별자치도",LEFT(D44,FIND(" ",D44)-1)),"")</f>
        <v>충청남도</v>
      </c>
      <c r="D44" s="3" t="s">
        <v>253</v>
      </c>
      <c r="E44" s="3" t="s">
        <v>254</v>
      </c>
      <c r="F44" s="3" t="s">
        <v>255</v>
      </c>
      <c r="G44" s="3" t="s">
        <v>19</v>
      </c>
      <c r="H44" s="3" t="s">
        <v>256</v>
      </c>
      <c r="I44" s="3" t="s">
        <v>19</v>
      </c>
      <c r="J44" s="3" t="s">
        <v>257</v>
      </c>
      <c r="K44" s="3" t="s">
        <v>21</v>
      </c>
      <c r="L44" s="3" t="s">
        <v>22</v>
      </c>
      <c r="M44" s="4">
        <v>5570</v>
      </c>
      <c r="N44" s="3" t="s">
        <v>23</v>
      </c>
      <c r="O44" s="3" t="s">
        <v>24</v>
      </c>
      <c r="P44" s="3" t="s">
        <v>19</v>
      </c>
    </row>
    <row r="45" spans="1:16" x14ac:dyDescent="0.4">
      <c r="A45" s="7">
        <v>44</v>
      </c>
      <c r="B45" s="8" t="s">
        <v>258</v>
      </c>
      <c r="C45" s="6" t="str">
        <f>IFERROR(IF(LEFT(D45,FIND(" ",D45)-1)="전라북도","전북특별자치도",LEFT(D45,FIND(" ",D45)-1)),"")</f>
        <v>부산광역시</v>
      </c>
      <c r="D45" s="3" t="s">
        <v>259</v>
      </c>
      <c r="E45" s="3" t="s">
        <v>254</v>
      </c>
      <c r="F45" s="3" t="s">
        <v>260</v>
      </c>
      <c r="G45" s="3" t="s">
        <v>19</v>
      </c>
      <c r="H45" s="3" t="s">
        <v>261</v>
      </c>
      <c r="I45" s="3" t="s">
        <v>19</v>
      </c>
      <c r="J45" s="3" t="s">
        <v>262</v>
      </c>
      <c r="K45" s="3" t="s">
        <v>21</v>
      </c>
      <c r="L45" s="3" t="s">
        <v>22</v>
      </c>
      <c r="M45" s="4">
        <v>8688</v>
      </c>
      <c r="N45" s="3" t="s">
        <v>23</v>
      </c>
      <c r="O45" s="3" t="s">
        <v>24</v>
      </c>
      <c r="P45" s="3" t="s">
        <v>19</v>
      </c>
    </row>
    <row r="46" spans="1:16" x14ac:dyDescent="0.4">
      <c r="A46" s="7">
        <v>45</v>
      </c>
      <c r="B46" s="8" t="s">
        <v>263</v>
      </c>
      <c r="C46" s="6" t="str">
        <f>IFERROR(IF(LEFT(D46,FIND(" ",D46)-1)="전라북도","전북특별자치도",LEFT(D46,FIND(" ",D46)-1)),"")</f>
        <v>충청북도</v>
      </c>
      <c r="D46" s="3" t="s">
        <v>264</v>
      </c>
      <c r="E46" s="3" t="s">
        <v>265</v>
      </c>
      <c r="F46" s="3" t="s">
        <v>266</v>
      </c>
      <c r="G46" s="3" t="s">
        <v>19</v>
      </c>
      <c r="H46" s="3" t="s">
        <v>267</v>
      </c>
      <c r="I46" s="3" t="s">
        <v>19</v>
      </c>
      <c r="J46" s="3" t="s">
        <v>268</v>
      </c>
      <c r="K46" s="3" t="s">
        <v>21</v>
      </c>
      <c r="L46" s="3" t="s">
        <v>22</v>
      </c>
      <c r="M46" s="4">
        <v>6201</v>
      </c>
      <c r="N46" s="3" t="s">
        <v>23</v>
      </c>
      <c r="O46" s="3" t="s">
        <v>24</v>
      </c>
      <c r="P46" s="3" t="s">
        <v>19</v>
      </c>
    </row>
    <row r="47" spans="1:16" x14ac:dyDescent="0.4">
      <c r="A47" s="7">
        <v>46</v>
      </c>
      <c r="B47" s="8" t="s">
        <v>269</v>
      </c>
      <c r="C47" s="6" t="str">
        <f>IFERROR(IF(LEFT(D47,FIND(" ",D47)-1)="전라북도","전북특별자치도",LEFT(D47,FIND(" ",D47)-1)),"")</f>
        <v>강원특별자치도</v>
      </c>
      <c r="D47" s="3" t="s">
        <v>270</v>
      </c>
      <c r="E47" s="3" t="s">
        <v>271</v>
      </c>
      <c r="F47" s="3" t="s">
        <v>272</v>
      </c>
      <c r="G47" s="3" t="s">
        <v>273</v>
      </c>
      <c r="H47" s="3" t="s">
        <v>274</v>
      </c>
      <c r="I47" s="3" t="s">
        <v>275</v>
      </c>
      <c r="J47" s="3" t="s">
        <v>19</v>
      </c>
      <c r="K47" s="3" t="s">
        <v>21</v>
      </c>
      <c r="L47" s="3" t="s">
        <v>147</v>
      </c>
      <c r="M47" s="4">
        <v>244</v>
      </c>
      <c r="N47" s="3" t="s">
        <v>23</v>
      </c>
      <c r="O47" s="3" t="s">
        <v>24</v>
      </c>
      <c r="P47" s="3" t="s">
        <v>19</v>
      </c>
    </row>
    <row r="48" spans="1:16" hidden="1" x14ac:dyDescent="0.4">
      <c r="A48" s="7">
        <v>47</v>
      </c>
      <c r="B48" s="8" t="s">
        <v>276</v>
      </c>
      <c r="C48" s="6" t="str">
        <f>IFERROR(IF(LEFT(D48,FIND(" ",D48)-1)="전라북도","전북특별자치도",LEFT(D48,FIND(" ",D48)-1)),"")</f>
        <v>경기도</v>
      </c>
      <c r="D48" s="3" t="s">
        <v>277</v>
      </c>
      <c r="E48" s="3" t="s">
        <v>278</v>
      </c>
      <c r="F48" s="3" t="s">
        <v>279</v>
      </c>
      <c r="G48" s="3" t="s">
        <v>19</v>
      </c>
      <c r="H48" s="3" t="s">
        <v>280</v>
      </c>
      <c r="I48" s="3" t="s">
        <v>19</v>
      </c>
      <c r="J48" s="3" t="s">
        <v>19</v>
      </c>
      <c r="K48" s="3" t="s">
        <v>21</v>
      </c>
      <c r="L48" s="3" t="s">
        <v>147</v>
      </c>
      <c r="M48" s="4">
        <v>1211</v>
      </c>
      <c r="N48" s="3" t="s">
        <v>23</v>
      </c>
      <c r="O48" s="3" t="s">
        <v>281</v>
      </c>
      <c r="P48" s="3" t="s">
        <v>198</v>
      </c>
    </row>
    <row r="49" spans="1:16" x14ac:dyDescent="0.4">
      <c r="A49" s="7">
        <v>48</v>
      </c>
      <c r="B49" s="8" t="s">
        <v>282</v>
      </c>
      <c r="C49" s="6" t="str">
        <f>IFERROR(IF(LEFT(D49,FIND(" ",D49)-1)="전라북도","전북특별자치도",LEFT(D49,FIND(" ",D49)-1)),"")</f>
        <v>경기도</v>
      </c>
      <c r="D49" s="3" t="s">
        <v>283</v>
      </c>
      <c r="E49" s="3" t="s">
        <v>284</v>
      </c>
      <c r="F49" s="3" t="s">
        <v>279</v>
      </c>
      <c r="G49" s="3" t="s">
        <v>19</v>
      </c>
      <c r="H49" s="3" t="s">
        <v>285</v>
      </c>
      <c r="I49" s="3" t="s">
        <v>19</v>
      </c>
      <c r="J49" s="3" t="s">
        <v>19</v>
      </c>
      <c r="K49" s="3" t="s">
        <v>21</v>
      </c>
      <c r="L49" s="3" t="s">
        <v>147</v>
      </c>
      <c r="M49" s="4">
        <v>1344</v>
      </c>
      <c r="N49" s="3" t="s">
        <v>286</v>
      </c>
      <c r="O49" s="3" t="s">
        <v>24</v>
      </c>
      <c r="P49" s="3" t="s">
        <v>19</v>
      </c>
    </row>
    <row r="50" spans="1:16" x14ac:dyDescent="0.4">
      <c r="A50" s="7">
        <v>49</v>
      </c>
      <c r="B50" s="8" t="s">
        <v>287</v>
      </c>
      <c r="C50" s="6" t="str">
        <f>IFERROR(IF(LEFT(D50,FIND(" ",D50)-1)="전라북도","전북특별자치도",LEFT(D50,FIND(" ",D50)-1)),"")</f>
        <v>제주특별자치도</v>
      </c>
      <c r="D50" s="3" t="s">
        <v>288</v>
      </c>
      <c r="E50" s="3" t="s">
        <v>289</v>
      </c>
      <c r="F50" s="3" t="s">
        <v>279</v>
      </c>
      <c r="G50" s="3" t="s">
        <v>19</v>
      </c>
      <c r="H50" s="3" t="s">
        <v>290</v>
      </c>
      <c r="I50" s="3" t="s">
        <v>19</v>
      </c>
      <c r="J50" s="3" t="s">
        <v>19</v>
      </c>
      <c r="K50" s="3" t="s">
        <v>21</v>
      </c>
      <c r="L50" s="3" t="s">
        <v>22</v>
      </c>
      <c r="M50" s="4">
        <v>795</v>
      </c>
      <c r="N50" s="3" t="s">
        <v>23</v>
      </c>
      <c r="O50" s="3" t="s">
        <v>24</v>
      </c>
      <c r="P50" s="3" t="s">
        <v>19</v>
      </c>
    </row>
    <row r="51" spans="1:16" x14ac:dyDescent="0.4">
      <c r="A51" s="7">
        <v>50</v>
      </c>
      <c r="B51" s="8" t="s">
        <v>291</v>
      </c>
      <c r="C51" s="6" t="str">
        <f>IFERROR(IF(LEFT(D51,FIND(" ",D51)-1)="전라북도","전북특별자치도",LEFT(D51,FIND(" ",D51)-1)),"")</f>
        <v>경기도</v>
      </c>
      <c r="D51" s="3" t="s">
        <v>292</v>
      </c>
      <c r="E51" s="3" t="s">
        <v>293</v>
      </c>
      <c r="F51" s="3" t="s">
        <v>294</v>
      </c>
      <c r="G51" s="3" t="s">
        <v>19</v>
      </c>
      <c r="H51" s="3" t="s">
        <v>274</v>
      </c>
      <c r="I51" s="3" t="s">
        <v>19</v>
      </c>
      <c r="J51" s="3" t="s">
        <v>19</v>
      </c>
      <c r="K51" s="3" t="s">
        <v>21</v>
      </c>
      <c r="L51" s="3" t="s">
        <v>22</v>
      </c>
      <c r="M51" s="4">
        <v>300</v>
      </c>
      <c r="N51" s="3" t="s">
        <v>23</v>
      </c>
      <c r="O51" s="3" t="s">
        <v>24</v>
      </c>
      <c r="P51" s="3" t="s">
        <v>19</v>
      </c>
    </row>
    <row r="52" spans="1:16" x14ac:dyDescent="0.4">
      <c r="A52" s="7">
        <v>51</v>
      </c>
      <c r="B52" s="8" t="s">
        <v>295</v>
      </c>
      <c r="C52" s="6" t="str">
        <f>IFERROR(IF(LEFT(D52,FIND(" ",D52)-1)="전라북도","전북특별자치도",LEFT(D52,FIND(" ",D52)-1)),"")</f>
        <v>경기도</v>
      </c>
      <c r="D52" s="3" t="s">
        <v>296</v>
      </c>
      <c r="E52" s="3" t="s">
        <v>297</v>
      </c>
      <c r="F52" s="3" t="s">
        <v>294</v>
      </c>
      <c r="G52" s="3" t="s">
        <v>298</v>
      </c>
      <c r="H52" s="3" t="s">
        <v>19</v>
      </c>
      <c r="I52" s="3" t="s">
        <v>19</v>
      </c>
      <c r="J52" s="3" t="s">
        <v>19</v>
      </c>
      <c r="K52" s="3" t="s">
        <v>21</v>
      </c>
      <c r="L52" s="3" t="s">
        <v>22</v>
      </c>
      <c r="M52" s="4">
        <v>1371</v>
      </c>
      <c r="N52" s="3" t="s">
        <v>123</v>
      </c>
      <c r="O52" s="3" t="s">
        <v>24</v>
      </c>
      <c r="P52" s="3" t="s">
        <v>19</v>
      </c>
    </row>
    <row r="53" spans="1:16" hidden="1" x14ac:dyDescent="0.4">
      <c r="A53" s="7">
        <v>52</v>
      </c>
      <c r="B53" s="8" t="s">
        <v>299</v>
      </c>
      <c r="C53" s="6" t="str">
        <f>IFERROR(IF(LEFT(D53,FIND(" ",D53)-1)="전라북도","전북특별자치도",LEFT(D53,FIND(" ",D53)-1)),"")</f>
        <v>경기도</v>
      </c>
      <c r="D53" s="3" t="s">
        <v>300</v>
      </c>
      <c r="E53" s="3" t="s">
        <v>301</v>
      </c>
      <c r="F53" s="3" t="s">
        <v>294</v>
      </c>
      <c r="G53" s="3" t="s">
        <v>19</v>
      </c>
      <c r="H53" s="3" t="s">
        <v>19</v>
      </c>
      <c r="I53" s="3" t="s">
        <v>302</v>
      </c>
      <c r="J53" s="3" t="s">
        <v>19</v>
      </c>
      <c r="K53" s="3" t="s">
        <v>21</v>
      </c>
      <c r="L53" s="3" t="s">
        <v>147</v>
      </c>
      <c r="M53" s="4">
        <v>309</v>
      </c>
      <c r="N53" s="3" t="s">
        <v>84</v>
      </c>
      <c r="O53" s="3" t="s">
        <v>281</v>
      </c>
      <c r="P53" s="3" t="s">
        <v>82</v>
      </c>
    </row>
    <row r="54" spans="1:16" x14ac:dyDescent="0.4">
      <c r="A54" s="7">
        <v>53</v>
      </c>
      <c r="B54" s="8" t="s">
        <v>303</v>
      </c>
      <c r="C54" s="6" t="str">
        <f>IFERROR(IF(LEFT(D54,FIND(" ",D54)-1)="전라북도","전북특별자치도",LEFT(D54,FIND(" ",D54)-1)),"")</f>
        <v>제주특별자치도</v>
      </c>
      <c r="D54" s="3" t="s">
        <v>304</v>
      </c>
      <c r="E54" s="3" t="s">
        <v>305</v>
      </c>
      <c r="F54" s="3" t="s">
        <v>306</v>
      </c>
      <c r="G54" s="3" t="s">
        <v>19</v>
      </c>
      <c r="H54" s="3" t="s">
        <v>290</v>
      </c>
      <c r="I54" s="3" t="s">
        <v>19</v>
      </c>
      <c r="J54" s="3" t="s">
        <v>19</v>
      </c>
      <c r="K54" s="3" t="s">
        <v>21</v>
      </c>
      <c r="L54" s="3" t="s">
        <v>22</v>
      </c>
      <c r="M54" s="4">
        <v>368</v>
      </c>
      <c r="N54" s="3" t="s">
        <v>23</v>
      </c>
      <c r="O54" s="3" t="s">
        <v>24</v>
      </c>
      <c r="P54" s="3" t="s">
        <v>19</v>
      </c>
    </row>
    <row r="55" spans="1:16" x14ac:dyDescent="0.4">
      <c r="A55" s="7">
        <v>54</v>
      </c>
      <c r="B55" s="8" t="s">
        <v>307</v>
      </c>
      <c r="C55" s="6" t="str">
        <f>IFERROR(IF(LEFT(D55,FIND(" ",D55)-1)="전라북도","전북특별자치도",LEFT(D55,FIND(" ",D55)-1)),"")</f>
        <v>제주특별자치도</v>
      </c>
      <c r="D55" s="3" t="s">
        <v>308</v>
      </c>
      <c r="E55" s="3" t="s">
        <v>305</v>
      </c>
      <c r="F55" s="3" t="s">
        <v>306</v>
      </c>
      <c r="G55" s="3" t="s">
        <v>19</v>
      </c>
      <c r="H55" s="3" t="s">
        <v>290</v>
      </c>
      <c r="I55" s="3" t="s">
        <v>19</v>
      </c>
      <c r="J55" s="3" t="s">
        <v>309</v>
      </c>
      <c r="K55" s="3" t="s">
        <v>21</v>
      </c>
      <c r="L55" s="3" t="s">
        <v>22</v>
      </c>
      <c r="M55" s="4">
        <v>439</v>
      </c>
      <c r="N55" s="3" t="s">
        <v>23</v>
      </c>
      <c r="O55" s="3" t="s">
        <v>24</v>
      </c>
      <c r="P55" s="3" t="s">
        <v>19</v>
      </c>
    </row>
    <row r="56" spans="1:16" hidden="1" x14ac:dyDescent="0.4">
      <c r="A56" s="7">
        <v>55</v>
      </c>
      <c r="B56" s="8" t="s">
        <v>310</v>
      </c>
      <c r="C56" s="6" t="str">
        <f>IFERROR(IF(LEFT(D56,FIND(" ",D56)-1)="전라북도","전북특별자치도",LEFT(D56,FIND(" ",D56)-1)),"")</f>
        <v>전라남도</v>
      </c>
      <c r="D56" s="3" t="s">
        <v>311</v>
      </c>
      <c r="E56" s="3" t="s">
        <v>312</v>
      </c>
      <c r="F56" s="3" t="s">
        <v>313</v>
      </c>
      <c r="G56" s="3" t="s">
        <v>315</v>
      </c>
      <c r="H56" s="3" t="s">
        <v>19</v>
      </c>
      <c r="I56" s="3" t="s">
        <v>19</v>
      </c>
      <c r="J56" s="3" t="s">
        <v>315</v>
      </c>
      <c r="K56" s="3" t="s">
        <v>21</v>
      </c>
      <c r="L56" s="3" t="s">
        <v>147</v>
      </c>
      <c r="M56" s="4">
        <v>214</v>
      </c>
      <c r="N56" s="3" t="s">
        <v>23</v>
      </c>
      <c r="O56" s="3" t="s">
        <v>281</v>
      </c>
      <c r="P56" s="3" t="s">
        <v>314</v>
      </c>
    </row>
    <row r="57" spans="1:16" x14ac:dyDescent="0.4">
      <c r="A57" s="7">
        <v>56</v>
      </c>
      <c r="B57" s="8" t="s">
        <v>316</v>
      </c>
      <c r="C57" s="6" t="str">
        <f>IFERROR(IF(LEFT(D57,FIND(" ",D57)-1)="전라북도","전북특별자치도",LEFT(D57,FIND(" ",D57)-1)),"")</f>
        <v>경상북도</v>
      </c>
      <c r="D57" s="3" t="s">
        <v>317</v>
      </c>
      <c r="E57" s="3" t="s">
        <v>318</v>
      </c>
      <c r="F57" s="3" t="s">
        <v>319</v>
      </c>
      <c r="G57" s="3" t="s">
        <v>19</v>
      </c>
      <c r="H57" s="3" t="s">
        <v>222</v>
      </c>
      <c r="I57" s="3" t="s">
        <v>19</v>
      </c>
      <c r="J57" s="3" t="s">
        <v>19</v>
      </c>
      <c r="K57" s="3" t="s">
        <v>21</v>
      </c>
      <c r="L57" s="3" t="s">
        <v>22</v>
      </c>
      <c r="M57" s="4">
        <v>1567</v>
      </c>
      <c r="N57" s="3" t="s">
        <v>23</v>
      </c>
      <c r="O57" s="3" t="s">
        <v>24</v>
      </c>
      <c r="P57" s="3" t="s">
        <v>19</v>
      </c>
    </row>
    <row r="58" spans="1:16" x14ac:dyDescent="0.4">
      <c r="A58" s="7">
        <v>57</v>
      </c>
      <c r="B58" s="8" t="s">
        <v>320</v>
      </c>
      <c r="C58" s="6" t="str">
        <f>IFERROR(IF(LEFT(D58,FIND(" ",D58)-1)="전라북도","전북특별자치도",LEFT(D58,FIND(" ",D58)-1)),"")</f>
        <v>충청남도</v>
      </c>
      <c r="D58" s="3" t="s">
        <v>321</v>
      </c>
      <c r="E58" s="3" t="s">
        <v>322</v>
      </c>
      <c r="F58" s="3" t="s">
        <v>297</v>
      </c>
      <c r="G58" s="3" t="s">
        <v>19</v>
      </c>
      <c r="H58" s="3" t="s">
        <v>323</v>
      </c>
      <c r="I58" s="3" t="s">
        <v>19</v>
      </c>
      <c r="J58" s="3" t="s">
        <v>324</v>
      </c>
      <c r="K58" s="3" t="s">
        <v>21</v>
      </c>
      <c r="L58" s="3" t="s">
        <v>22</v>
      </c>
      <c r="M58" s="4">
        <v>2967</v>
      </c>
      <c r="N58" s="3" t="s">
        <v>23</v>
      </c>
      <c r="O58" s="3" t="s">
        <v>24</v>
      </c>
      <c r="P58" s="3" t="s">
        <v>19</v>
      </c>
    </row>
    <row r="59" spans="1:16" x14ac:dyDescent="0.4">
      <c r="A59" s="7">
        <v>58</v>
      </c>
      <c r="B59" s="8" t="s">
        <v>325</v>
      </c>
      <c r="C59" s="6" t="str">
        <f>IFERROR(IF(LEFT(D59,FIND(" ",D59)-1)="전라북도","전북특별자치도",LEFT(D59,FIND(" ",D59)-1)),"")</f>
        <v>경상북도</v>
      </c>
      <c r="D59" s="3" t="s">
        <v>326</v>
      </c>
      <c r="E59" s="3" t="s">
        <v>327</v>
      </c>
      <c r="F59" s="3" t="s">
        <v>328</v>
      </c>
      <c r="G59" s="3" t="s">
        <v>19</v>
      </c>
      <c r="H59" s="3" t="s">
        <v>329</v>
      </c>
      <c r="I59" s="3" t="s">
        <v>19</v>
      </c>
      <c r="J59" s="3" t="s">
        <v>19</v>
      </c>
      <c r="K59" s="3" t="s">
        <v>21</v>
      </c>
      <c r="L59" s="3" t="s">
        <v>147</v>
      </c>
      <c r="M59" s="4">
        <v>144</v>
      </c>
      <c r="N59" s="3" t="s">
        <v>330</v>
      </c>
      <c r="O59" s="3" t="s">
        <v>24</v>
      </c>
      <c r="P59" s="3" t="s">
        <v>19</v>
      </c>
    </row>
    <row r="60" spans="1:16" hidden="1" x14ac:dyDescent="0.4">
      <c r="A60" s="7">
        <v>59</v>
      </c>
      <c r="B60" s="8" t="s">
        <v>331</v>
      </c>
      <c r="C60" s="6" t="str">
        <f>IFERROR(IF(LEFT(D60,FIND(" ",D60)-1)="전라북도","전북특별자치도",LEFT(D60,FIND(" ",D60)-1)),"")</f>
        <v>경상남도</v>
      </c>
      <c r="D60" s="3" t="s">
        <v>332</v>
      </c>
      <c r="E60" s="3" t="s">
        <v>333</v>
      </c>
      <c r="F60" s="3" t="s">
        <v>334</v>
      </c>
      <c r="G60" s="3" t="s">
        <v>19</v>
      </c>
      <c r="H60" s="3" t="s">
        <v>335</v>
      </c>
      <c r="I60" s="3" t="s">
        <v>19</v>
      </c>
      <c r="J60" s="3" t="s">
        <v>19</v>
      </c>
      <c r="K60" s="3" t="s">
        <v>21</v>
      </c>
      <c r="L60" s="3" t="s">
        <v>147</v>
      </c>
      <c r="M60" s="4">
        <v>1490</v>
      </c>
      <c r="N60" s="3" t="s">
        <v>123</v>
      </c>
      <c r="O60" s="3" t="s">
        <v>281</v>
      </c>
      <c r="P60" s="3" t="s">
        <v>28</v>
      </c>
    </row>
    <row r="61" spans="1:16" x14ac:dyDescent="0.4">
      <c r="A61" s="7">
        <v>60</v>
      </c>
      <c r="B61" s="8" t="s">
        <v>336</v>
      </c>
      <c r="C61" s="6" t="str">
        <f>IFERROR(IF(LEFT(D61,FIND(" ",D61)-1)="전라북도","전북특별자치도",LEFT(D61,FIND(" ",D61)-1)),"")</f>
        <v>경상남도</v>
      </c>
      <c r="D61" s="3" t="s">
        <v>337</v>
      </c>
      <c r="E61" s="3" t="s">
        <v>338</v>
      </c>
      <c r="F61" s="3" t="s">
        <v>339</v>
      </c>
      <c r="G61" s="3" t="s">
        <v>19</v>
      </c>
      <c r="H61" s="3" t="s">
        <v>340</v>
      </c>
      <c r="I61" s="3" t="s">
        <v>19</v>
      </c>
      <c r="J61" s="3" t="s">
        <v>19</v>
      </c>
      <c r="K61" s="3" t="s">
        <v>21</v>
      </c>
      <c r="L61" s="3" t="s">
        <v>22</v>
      </c>
      <c r="M61" s="4">
        <v>1032</v>
      </c>
      <c r="N61" s="3" t="s">
        <v>23</v>
      </c>
      <c r="O61" s="3" t="s">
        <v>24</v>
      </c>
      <c r="P61" s="3" t="s">
        <v>19</v>
      </c>
    </row>
    <row r="62" spans="1:16" x14ac:dyDescent="0.4">
      <c r="A62" s="7">
        <v>61</v>
      </c>
      <c r="B62" s="8" t="s">
        <v>341</v>
      </c>
      <c r="C62" s="6" t="str">
        <f>IFERROR(IF(LEFT(D62,FIND(" ",D62)-1)="전라북도","전북특별자치도",LEFT(D62,FIND(" ",D62)-1)),"")</f>
        <v>경상남도</v>
      </c>
      <c r="D62" s="3" t="s">
        <v>342</v>
      </c>
      <c r="E62" s="3" t="s">
        <v>343</v>
      </c>
      <c r="F62" s="3" t="s">
        <v>55</v>
      </c>
      <c r="G62" s="3" t="s">
        <v>19</v>
      </c>
      <c r="H62" s="3" t="s">
        <v>344</v>
      </c>
      <c r="I62" s="3" t="s">
        <v>19</v>
      </c>
      <c r="J62" s="3" t="s">
        <v>19</v>
      </c>
      <c r="K62" s="3" t="s">
        <v>21</v>
      </c>
      <c r="L62" s="3" t="s">
        <v>22</v>
      </c>
      <c r="M62" s="4">
        <v>1506</v>
      </c>
      <c r="N62" s="3" t="s">
        <v>23</v>
      </c>
      <c r="O62" s="3" t="s">
        <v>24</v>
      </c>
      <c r="P62" s="3" t="s">
        <v>19</v>
      </c>
    </row>
    <row r="63" spans="1:16" x14ac:dyDescent="0.4">
      <c r="A63" s="7">
        <v>62</v>
      </c>
      <c r="B63" s="8" t="s">
        <v>345</v>
      </c>
      <c r="C63" s="6" t="str">
        <f>IFERROR(IF(LEFT(D63,FIND(" ",D63)-1)="전라북도","전북특별자치도",LEFT(D63,FIND(" ",D63)-1)),"")</f>
        <v>대구광역시</v>
      </c>
      <c r="D63" s="3" t="s">
        <v>346</v>
      </c>
      <c r="E63" s="3" t="s">
        <v>347</v>
      </c>
      <c r="F63" s="3" t="s">
        <v>348</v>
      </c>
      <c r="G63" s="3" t="s">
        <v>19</v>
      </c>
      <c r="H63" s="3" t="s">
        <v>349</v>
      </c>
      <c r="I63" s="3" t="s">
        <v>19</v>
      </c>
      <c r="J63" s="3" t="s">
        <v>19</v>
      </c>
      <c r="K63" s="3" t="s">
        <v>21</v>
      </c>
      <c r="L63" s="3" t="s">
        <v>22</v>
      </c>
      <c r="M63" s="4">
        <v>1996</v>
      </c>
      <c r="N63" s="3" t="s">
        <v>23</v>
      </c>
      <c r="O63" s="3" t="s">
        <v>24</v>
      </c>
      <c r="P63" s="3" t="s">
        <v>19</v>
      </c>
    </row>
    <row r="64" spans="1:16" x14ac:dyDescent="0.4">
      <c r="A64" s="7">
        <v>63</v>
      </c>
      <c r="B64" s="8" t="s">
        <v>350</v>
      </c>
      <c r="C64" s="6" t="str">
        <f>IFERROR(IF(LEFT(D64,FIND(" ",D64)-1)="전라북도","전북특별자치도",LEFT(D64,FIND(" ",D64)-1)),"")</f>
        <v>울산광역시</v>
      </c>
      <c r="D64" s="3" t="s">
        <v>351</v>
      </c>
      <c r="E64" s="3" t="s">
        <v>352</v>
      </c>
      <c r="F64" s="3" t="s">
        <v>353</v>
      </c>
      <c r="G64" s="3" t="s">
        <v>354</v>
      </c>
      <c r="H64" s="3" t="s">
        <v>355</v>
      </c>
      <c r="I64" s="3" t="s">
        <v>356</v>
      </c>
      <c r="J64" s="3" t="s">
        <v>357</v>
      </c>
      <c r="K64" s="3" t="s">
        <v>21</v>
      </c>
      <c r="L64" s="3" t="s">
        <v>358</v>
      </c>
      <c r="M64" s="4">
        <v>761</v>
      </c>
      <c r="N64" s="3" t="s">
        <v>23</v>
      </c>
      <c r="O64" s="3" t="s">
        <v>24</v>
      </c>
      <c r="P64" s="3" t="s">
        <v>19</v>
      </c>
    </row>
    <row r="65" spans="1:16" x14ac:dyDescent="0.4">
      <c r="A65" s="7">
        <v>64</v>
      </c>
      <c r="B65" s="8" t="s">
        <v>359</v>
      </c>
      <c r="C65" s="6" t="str">
        <f>IFERROR(IF(LEFT(D65,FIND(" ",D65)-1)="전라북도","전북특별자치도",LEFT(D65,FIND(" ",D65)-1)),"")</f>
        <v>경상북도</v>
      </c>
      <c r="D65" s="3" t="s">
        <v>360</v>
      </c>
      <c r="E65" s="3" t="s">
        <v>361</v>
      </c>
      <c r="F65" s="3" t="s">
        <v>353</v>
      </c>
      <c r="G65" s="3" t="s">
        <v>19</v>
      </c>
      <c r="H65" s="3" t="s">
        <v>362</v>
      </c>
      <c r="I65" s="3" t="s">
        <v>362</v>
      </c>
      <c r="J65" s="3" t="s">
        <v>19</v>
      </c>
      <c r="K65" s="3" t="s">
        <v>21</v>
      </c>
      <c r="L65" s="3" t="s">
        <v>147</v>
      </c>
      <c r="M65" s="4">
        <v>1726</v>
      </c>
      <c r="N65" s="3" t="s">
        <v>123</v>
      </c>
      <c r="O65" s="3" t="s">
        <v>24</v>
      </c>
      <c r="P65" s="3" t="s">
        <v>19</v>
      </c>
    </row>
    <row r="66" spans="1:16" x14ac:dyDescent="0.4">
      <c r="A66" s="7">
        <v>65</v>
      </c>
      <c r="B66" s="8" t="s">
        <v>363</v>
      </c>
      <c r="C66" s="6" t="str">
        <f>IFERROR(IF(LEFT(D66,FIND(" ",D66)-1)="전라북도","전북특별자치도",LEFT(D66,FIND(" ",D66)-1)),"")</f>
        <v>경상남도</v>
      </c>
      <c r="D66" s="3" t="s">
        <v>364</v>
      </c>
      <c r="E66" s="3" t="s">
        <v>365</v>
      </c>
      <c r="F66" s="3" t="s">
        <v>366</v>
      </c>
      <c r="G66" s="3" t="s">
        <v>19</v>
      </c>
      <c r="H66" s="3" t="s">
        <v>367</v>
      </c>
      <c r="I66" s="3" t="s">
        <v>19</v>
      </c>
      <c r="J66" s="3" t="s">
        <v>368</v>
      </c>
      <c r="K66" s="3" t="s">
        <v>21</v>
      </c>
      <c r="L66" s="3" t="s">
        <v>22</v>
      </c>
      <c r="M66" s="4">
        <v>34584</v>
      </c>
      <c r="N66" s="3" t="s">
        <v>23</v>
      </c>
      <c r="O66" s="3" t="s">
        <v>24</v>
      </c>
      <c r="P66" s="3" t="s">
        <v>19</v>
      </c>
    </row>
    <row r="67" spans="1:16" x14ac:dyDescent="0.4">
      <c r="A67" s="7">
        <v>66</v>
      </c>
      <c r="B67" s="8" t="s">
        <v>369</v>
      </c>
      <c r="C67" s="6" t="str">
        <f>IFERROR(IF(LEFT(D67,FIND(" ",D67)-1)="전라북도","전북특별자치도",LEFT(D67,FIND(" ",D67)-1)),"")</f>
        <v>경상남도</v>
      </c>
      <c r="D67" s="3" t="s">
        <v>370</v>
      </c>
      <c r="E67" s="3" t="s">
        <v>365</v>
      </c>
      <c r="F67" s="3" t="s">
        <v>366</v>
      </c>
      <c r="G67" s="3" t="s">
        <v>19</v>
      </c>
      <c r="H67" s="3" t="s">
        <v>367</v>
      </c>
      <c r="I67" s="3" t="s">
        <v>19</v>
      </c>
      <c r="J67" s="3" t="s">
        <v>368</v>
      </c>
      <c r="K67" s="3" t="s">
        <v>21</v>
      </c>
      <c r="L67" s="3" t="s">
        <v>22</v>
      </c>
      <c r="M67" s="4">
        <v>25130</v>
      </c>
      <c r="N67" s="3" t="s">
        <v>23</v>
      </c>
      <c r="O67" s="3" t="s">
        <v>24</v>
      </c>
      <c r="P67" s="3" t="s">
        <v>19</v>
      </c>
    </row>
    <row r="68" spans="1:16" x14ac:dyDescent="0.4">
      <c r="A68" s="7">
        <v>67</v>
      </c>
      <c r="B68" s="8" t="s">
        <v>371</v>
      </c>
      <c r="C68" s="6" t="str">
        <f>IFERROR(IF(LEFT(D68,FIND(" ",D68)-1)="전라북도","전북특별자치도",LEFT(D68,FIND(" ",D68)-1)),"")</f>
        <v>경상남도</v>
      </c>
      <c r="D68" s="3" t="s">
        <v>372</v>
      </c>
      <c r="E68" s="3" t="s">
        <v>365</v>
      </c>
      <c r="F68" s="3" t="s">
        <v>366</v>
      </c>
      <c r="G68" s="3" t="s">
        <v>19</v>
      </c>
      <c r="H68" s="3" t="s">
        <v>367</v>
      </c>
      <c r="I68" s="3" t="s">
        <v>19</v>
      </c>
      <c r="J68" s="3" t="s">
        <v>368</v>
      </c>
      <c r="K68" s="3" t="s">
        <v>21</v>
      </c>
      <c r="L68" s="3" t="s">
        <v>22</v>
      </c>
      <c r="M68" s="4">
        <v>30790</v>
      </c>
      <c r="N68" s="3" t="s">
        <v>23</v>
      </c>
      <c r="O68" s="3" t="s">
        <v>24</v>
      </c>
      <c r="P68" s="3" t="s">
        <v>19</v>
      </c>
    </row>
    <row r="69" spans="1:16" x14ac:dyDescent="0.4">
      <c r="A69" s="7">
        <v>68</v>
      </c>
      <c r="B69" s="8" t="s">
        <v>373</v>
      </c>
      <c r="C69" s="6" t="str">
        <f>IFERROR(IF(LEFT(D69,FIND(" ",D69)-1)="전라북도","전북특별자치도",LEFT(D69,FIND(" ",D69)-1)),"")</f>
        <v>부산광역시</v>
      </c>
      <c r="D69" s="3" t="s">
        <v>374</v>
      </c>
      <c r="E69" s="3" t="s">
        <v>375</v>
      </c>
      <c r="F69" s="3" t="s">
        <v>35</v>
      </c>
      <c r="G69" s="3" t="s">
        <v>19</v>
      </c>
      <c r="H69" s="3" t="s">
        <v>376</v>
      </c>
      <c r="I69" s="3" t="s">
        <v>19</v>
      </c>
      <c r="J69" s="3" t="s">
        <v>19</v>
      </c>
      <c r="K69" s="3" t="s">
        <v>21</v>
      </c>
      <c r="L69" s="3" t="s">
        <v>22</v>
      </c>
      <c r="M69" s="4">
        <v>12142</v>
      </c>
      <c r="N69" s="3" t="s">
        <v>23</v>
      </c>
      <c r="O69" s="3" t="s">
        <v>24</v>
      </c>
      <c r="P69" s="3" t="s">
        <v>19</v>
      </c>
    </row>
    <row r="70" spans="1:16" x14ac:dyDescent="0.4">
      <c r="A70" s="7">
        <v>69</v>
      </c>
      <c r="B70" s="8" t="s">
        <v>377</v>
      </c>
      <c r="C70" s="6" t="str">
        <f>IFERROR(IF(LEFT(D70,FIND(" ",D70)-1)="전라북도","전북특별자치도",LEFT(D70,FIND(" ",D70)-1)),"")</f>
        <v>부산광역시</v>
      </c>
      <c r="D70" s="3" t="s">
        <v>378</v>
      </c>
      <c r="E70" s="3" t="s">
        <v>284</v>
      </c>
      <c r="F70" s="3" t="s">
        <v>352</v>
      </c>
      <c r="G70" s="3" t="s">
        <v>379</v>
      </c>
      <c r="H70" s="3" t="s">
        <v>380</v>
      </c>
      <c r="I70" s="3" t="s">
        <v>19</v>
      </c>
      <c r="J70" s="3" t="s">
        <v>19</v>
      </c>
      <c r="K70" s="3" t="s">
        <v>21</v>
      </c>
      <c r="L70" s="3" t="s">
        <v>228</v>
      </c>
      <c r="M70" s="4">
        <v>974</v>
      </c>
      <c r="N70" s="3" t="s">
        <v>23</v>
      </c>
      <c r="O70" s="3" t="s">
        <v>24</v>
      </c>
      <c r="P70" s="3" t="s">
        <v>19</v>
      </c>
    </row>
    <row r="71" spans="1:16" hidden="1" x14ac:dyDescent="0.4">
      <c r="A71" s="7">
        <v>70</v>
      </c>
      <c r="B71" s="8" t="s">
        <v>381</v>
      </c>
      <c r="C71" s="6" t="str">
        <f>IFERROR(IF(LEFT(D71,FIND(" ",D71)-1)="전라북도","전북특별자치도",LEFT(D71,FIND(" ",D71)-1)),"")</f>
        <v>대전광역시</v>
      </c>
      <c r="D71" s="3" t="s">
        <v>382</v>
      </c>
      <c r="E71" s="3" t="s">
        <v>383</v>
      </c>
      <c r="F71" s="3" t="s">
        <v>197</v>
      </c>
      <c r="G71" s="3" t="s">
        <v>385</v>
      </c>
      <c r="H71" s="3" t="s">
        <v>386</v>
      </c>
      <c r="I71" s="3" t="s">
        <v>386</v>
      </c>
      <c r="J71" s="3" t="s">
        <v>19</v>
      </c>
      <c r="K71" s="3" t="s">
        <v>21</v>
      </c>
      <c r="L71" s="3" t="s">
        <v>147</v>
      </c>
      <c r="M71" s="4">
        <v>717</v>
      </c>
      <c r="N71" s="3" t="s">
        <v>23</v>
      </c>
      <c r="O71" s="3" t="s">
        <v>281</v>
      </c>
      <c r="P71" s="3" t="s">
        <v>384</v>
      </c>
    </row>
    <row r="72" spans="1:16" x14ac:dyDescent="0.4">
      <c r="A72" s="7">
        <v>71</v>
      </c>
      <c r="B72" s="8" t="s">
        <v>387</v>
      </c>
      <c r="C72" s="6" t="str">
        <f>IFERROR(IF(LEFT(D72,FIND(" ",D72)-1)="전라북도","전북특별자치도",LEFT(D72,FIND(" ",D72)-1)),"")</f>
        <v>경기도</v>
      </c>
      <c r="D72" s="3" t="s">
        <v>388</v>
      </c>
      <c r="E72" s="3" t="s">
        <v>389</v>
      </c>
      <c r="F72" s="3" t="s">
        <v>390</v>
      </c>
      <c r="G72" s="3" t="s">
        <v>19</v>
      </c>
      <c r="H72" s="3" t="s">
        <v>391</v>
      </c>
      <c r="I72" s="3" t="s">
        <v>19</v>
      </c>
      <c r="J72" s="3" t="s">
        <v>19</v>
      </c>
      <c r="K72" s="3" t="s">
        <v>21</v>
      </c>
      <c r="L72" s="3" t="s">
        <v>22</v>
      </c>
      <c r="M72" s="4">
        <v>1287</v>
      </c>
      <c r="N72" s="3" t="s">
        <v>23</v>
      </c>
      <c r="O72" s="3" t="s">
        <v>24</v>
      </c>
      <c r="P72" s="3" t="s">
        <v>19</v>
      </c>
    </row>
    <row r="73" spans="1:16" hidden="1" x14ac:dyDescent="0.4">
      <c r="A73" s="7">
        <v>72</v>
      </c>
      <c r="B73" s="8" t="s">
        <v>392</v>
      </c>
      <c r="C73" s="6" t="str">
        <f>IFERROR(IF(LEFT(D73,FIND(" ",D73)-1)="전라북도","전북특별자치도",LEFT(D73,FIND(" ",D73)-1)),"")</f>
        <v>경기도</v>
      </c>
      <c r="D73" s="3" t="s">
        <v>393</v>
      </c>
      <c r="E73" s="3" t="s">
        <v>394</v>
      </c>
      <c r="F73" s="3" t="s">
        <v>395</v>
      </c>
      <c r="G73" s="3" t="s">
        <v>19</v>
      </c>
      <c r="H73" s="3" t="s">
        <v>19</v>
      </c>
      <c r="I73" s="3" t="s">
        <v>302</v>
      </c>
      <c r="J73" s="3" t="s">
        <v>19</v>
      </c>
      <c r="K73" s="3" t="s">
        <v>21</v>
      </c>
      <c r="L73" s="3" t="s">
        <v>147</v>
      </c>
      <c r="M73" s="4">
        <v>325</v>
      </c>
      <c r="N73" s="3" t="s">
        <v>23</v>
      </c>
      <c r="O73" s="3" t="s">
        <v>281</v>
      </c>
      <c r="P73" s="3" t="s">
        <v>284</v>
      </c>
    </row>
    <row r="74" spans="1:16" hidden="1" x14ac:dyDescent="0.4">
      <c r="A74" s="7">
        <v>73</v>
      </c>
      <c r="B74" s="8" t="s">
        <v>396</v>
      </c>
      <c r="C74" s="6" t="str">
        <f>IFERROR(IF(LEFT(D74,FIND(" ",D74)-1)="전라북도","전북특별자치도",LEFT(D74,FIND(" ",D74)-1)),"")</f>
        <v>경기도</v>
      </c>
      <c r="D74" s="3" t="s">
        <v>397</v>
      </c>
      <c r="E74" s="3" t="s">
        <v>398</v>
      </c>
      <c r="F74" s="3" t="s">
        <v>61</v>
      </c>
      <c r="G74" s="3" t="s">
        <v>400</v>
      </c>
      <c r="H74" s="3" t="s">
        <v>401</v>
      </c>
      <c r="I74" s="3" t="s">
        <v>401</v>
      </c>
      <c r="J74" s="3" t="s">
        <v>19</v>
      </c>
      <c r="K74" s="3" t="s">
        <v>21</v>
      </c>
      <c r="L74" s="3" t="s">
        <v>147</v>
      </c>
      <c r="M74" s="4">
        <v>617</v>
      </c>
      <c r="N74" s="3" t="s">
        <v>23</v>
      </c>
      <c r="O74" s="3" t="s">
        <v>281</v>
      </c>
      <c r="P74" s="3" t="s">
        <v>399</v>
      </c>
    </row>
    <row r="75" spans="1:16" x14ac:dyDescent="0.4">
      <c r="A75" s="7">
        <v>74</v>
      </c>
      <c r="B75" s="8" t="s">
        <v>402</v>
      </c>
      <c r="C75" s="6" t="str">
        <f>IFERROR(IF(LEFT(D75,FIND(" ",D75)-1)="전라북도","전북특별자치도",LEFT(D75,FIND(" ",D75)-1)),"")</f>
        <v>전북특별자치도</v>
      </c>
      <c r="D75" s="3" t="s">
        <v>403</v>
      </c>
      <c r="E75" s="3" t="s">
        <v>404</v>
      </c>
      <c r="F75" s="3" t="s">
        <v>405</v>
      </c>
      <c r="G75" s="3" t="s">
        <v>19</v>
      </c>
      <c r="H75" s="3" t="s">
        <v>406</v>
      </c>
      <c r="I75" s="3" t="s">
        <v>19</v>
      </c>
      <c r="J75" s="3" t="s">
        <v>19</v>
      </c>
      <c r="K75" s="3" t="s">
        <v>21</v>
      </c>
      <c r="L75" s="3" t="s">
        <v>147</v>
      </c>
      <c r="M75" s="4">
        <v>304</v>
      </c>
      <c r="N75" s="3" t="s">
        <v>407</v>
      </c>
      <c r="O75" s="3" t="s">
        <v>24</v>
      </c>
      <c r="P75" s="3" t="s">
        <v>19</v>
      </c>
    </row>
    <row r="76" spans="1:16" hidden="1" x14ac:dyDescent="0.4">
      <c r="A76" s="7">
        <v>75</v>
      </c>
      <c r="B76" s="8" t="s">
        <v>21</v>
      </c>
      <c r="C76" s="6" t="str">
        <f>IFERROR(IF(LEFT(D76,FIND(" ",D76)-1)="전라북도","전북특별자치도",LEFT(D76,FIND(" ",D76)-1)),"")</f>
        <v>강원특별자치도</v>
      </c>
      <c r="D76" s="3" t="s">
        <v>408</v>
      </c>
      <c r="E76" s="3" t="s">
        <v>409</v>
      </c>
      <c r="F76" s="3" t="s">
        <v>383</v>
      </c>
      <c r="G76" s="3" t="s">
        <v>19</v>
      </c>
      <c r="H76" s="3" t="s">
        <v>410</v>
      </c>
      <c r="I76" s="3" t="s">
        <v>19</v>
      </c>
      <c r="J76" s="3" t="s">
        <v>19</v>
      </c>
      <c r="K76" s="3" t="s">
        <v>21</v>
      </c>
      <c r="L76" s="3" t="s">
        <v>147</v>
      </c>
      <c r="M76" s="4">
        <v>3616</v>
      </c>
      <c r="N76" s="3" t="s">
        <v>84</v>
      </c>
      <c r="O76" s="3" t="s">
        <v>281</v>
      </c>
      <c r="P76" s="3" t="s">
        <v>42</v>
      </c>
    </row>
    <row r="77" spans="1:16" x14ac:dyDescent="0.4">
      <c r="A77" s="7">
        <v>76</v>
      </c>
      <c r="B77" s="8" t="s">
        <v>411</v>
      </c>
      <c r="C77" s="6" t="str">
        <f>IFERROR(IF(LEFT(D77,FIND(" ",D77)-1)="전라북도","전북특별자치도",LEFT(D77,FIND(" ",D77)-1)),"")</f>
        <v>강원특별자치도</v>
      </c>
      <c r="D77" s="3" t="s">
        <v>412</v>
      </c>
      <c r="E77" s="3" t="s">
        <v>413</v>
      </c>
      <c r="F77" s="3" t="s">
        <v>383</v>
      </c>
      <c r="G77" s="3" t="s">
        <v>19</v>
      </c>
      <c r="H77" s="3" t="s">
        <v>414</v>
      </c>
      <c r="I77" s="3" t="s">
        <v>19</v>
      </c>
      <c r="J77" s="3" t="s">
        <v>415</v>
      </c>
      <c r="K77" s="3" t="s">
        <v>21</v>
      </c>
      <c r="L77" s="3" t="s">
        <v>22</v>
      </c>
      <c r="M77" s="4">
        <v>34622</v>
      </c>
      <c r="N77" s="3" t="s">
        <v>23</v>
      </c>
      <c r="O77" s="3" t="s">
        <v>24</v>
      </c>
      <c r="P77" s="3" t="s">
        <v>19</v>
      </c>
    </row>
    <row r="78" spans="1:16" hidden="1" x14ac:dyDescent="0.4">
      <c r="A78" s="7">
        <v>77</v>
      </c>
      <c r="B78" s="8" t="s">
        <v>416</v>
      </c>
      <c r="C78" s="6" t="str">
        <f>IFERROR(IF(LEFT(D78,FIND(" ",D78)-1)="전라북도","전북특별자치도",LEFT(D78,FIND(" ",D78)-1)),"")</f>
        <v>충청남도</v>
      </c>
      <c r="D78" s="3" t="s">
        <v>417</v>
      </c>
      <c r="E78" s="3" t="s">
        <v>418</v>
      </c>
      <c r="F78" s="3" t="s">
        <v>419</v>
      </c>
      <c r="G78" s="3" t="s">
        <v>421</v>
      </c>
      <c r="H78" s="3" t="s">
        <v>422</v>
      </c>
      <c r="I78" s="3" t="s">
        <v>19</v>
      </c>
      <c r="J78" s="3" t="s">
        <v>19</v>
      </c>
      <c r="K78" s="3" t="s">
        <v>21</v>
      </c>
      <c r="L78" s="3" t="s">
        <v>147</v>
      </c>
      <c r="M78" s="4">
        <v>1484</v>
      </c>
      <c r="N78" s="3" t="s">
        <v>23</v>
      </c>
      <c r="O78" s="3" t="s">
        <v>281</v>
      </c>
      <c r="P78" s="3" t="s">
        <v>420</v>
      </c>
    </row>
    <row r="79" spans="1:16" x14ac:dyDescent="0.4">
      <c r="A79" s="7">
        <v>78</v>
      </c>
      <c r="B79" s="8" t="s">
        <v>423</v>
      </c>
      <c r="C79" s="6" t="str">
        <f>IFERROR(IF(LEFT(D79,FIND(" ",D79)-1)="전라북도","전북특별자치도",LEFT(D79,FIND(" ",D79)-1)),"")</f>
        <v>부산광역시</v>
      </c>
      <c r="D79" s="3" t="s">
        <v>424</v>
      </c>
      <c r="E79" s="3" t="s">
        <v>425</v>
      </c>
      <c r="F79" s="3" t="s">
        <v>426</v>
      </c>
      <c r="G79" s="3" t="s">
        <v>19</v>
      </c>
      <c r="H79" s="3" t="s">
        <v>427</v>
      </c>
      <c r="I79" s="3" t="s">
        <v>19</v>
      </c>
      <c r="J79" s="3" t="s">
        <v>262</v>
      </c>
      <c r="K79" s="3" t="s">
        <v>21</v>
      </c>
      <c r="L79" s="3" t="s">
        <v>22</v>
      </c>
      <c r="M79" s="4">
        <v>22601</v>
      </c>
      <c r="N79" s="3" t="s">
        <v>23</v>
      </c>
      <c r="O79" s="3" t="s">
        <v>24</v>
      </c>
      <c r="P79" s="3" t="s">
        <v>19</v>
      </c>
    </row>
    <row r="80" spans="1:16" hidden="1" x14ac:dyDescent="0.4">
      <c r="A80" s="7">
        <v>79</v>
      </c>
      <c r="B80" s="8" t="s">
        <v>428</v>
      </c>
      <c r="C80" s="6" t="str">
        <f>IFERROR(IF(LEFT(D80,FIND(" ",D80)-1)="전라북도","전북특별자치도",LEFT(D80,FIND(" ",D80)-1)),"")</f>
        <v>전북특별자치도</v>
      </c>
      <c r="D80" s="3" t="s">
        <v>429</v>
      </c>
      <c r="E80" s="3" t="s">
        <v>409</v>
      </c>
      <c r="F80" s="3" t="s">
        <v>409</v>
      </c>
      <c r="G80" s="3" t="s">
        <v>430</v>
      </c>
      <c r="H80" s="3" t="s">
        <v>431</v>
      </c>
      <c r="I80" s="3" t="s">
        <v>19</v>
      </c>
      <c r="J80" s="3" t="s">
        <v>430</v>
      </c>
      <c r="K80" s="3" t="s">
        <v>21</v>
      </c>
      <c r="L80" s="3" t="s">
        <v>147</v>
      </c>
      <c r="M80" s="4">
        <v>2259</v>
      </c>
      <c r="N80" s="3" t="s">
        <v>84</v>
      </c>
      <c r="O80" s="3" t="s">
        <v>281</v>
      </c>
      <c r="P80" s="3" t="s">
        <v>361</v>
      </c>
    </row>
    <row r="81" spans="1:16" x14ac:dyDescent="0.4">
      <c r="A81" s="7">
        <v>80</v>
      </c>
      <c r="B81" s="8" t="s">
        <v>432</v>
      </c>
      <c r="C81" s="6" t="str">
        <f>IFERROR(IF(LEFT(D81,FIND(" ",D81)-1)="전라북도","전북특별자치도",LEFT(D81,FIND(" ",D81)-1)),"")</f>
        <v>경상남도</v>
      </c>
      <c r="D81" s="3" t="s">
        <v>433</v>
      </c>
      <c r="E81" s="3" t="s">
        <v>434</v>
      </c>
      <c r="F81" s="3" t="s">
        <v>435</v>
      </c>
      <c r="G81" s="3" t="s">
        <v>19</v>
      </c>
      <c r="H81" s="3" t="s">
        <v>436</v>
      </c>
      <c r="I81" s="3" t="s">
        <v>19</v>
      </c>
      <c r="J81" s="3" t="s">
        <v>437</v>
      </c>
      <c r="K81" s="3" t="s">
        <v>21</v>
      </c>
      <c r="L81" s="3" t="s">
        <v>22</v>
      </c>
      <c r="M81" s="4">
        <v>14895</v>
      </c>
      <c r="N81" s="3" t="s">
        <v>23</v>
      </c>
      <c r="O81" s="3" t="s">
        <v>24</v>
      </c>
      <c r="P81" s="3" t="s">
        <v>19</v>
      </c>
    </row>
    <row r="82" spans="1:16" hidden="1" x14ac:dyDescent="0.4">
      <c r="A82" s="7">
        <v>81</v>
      </c>
      <c r="B82" s="8" t="s">
        <v>438</v>
      </c>
      <c r="C82" s="6" t="str">
        <f>IFERROR(IF(LEFT(D82,FIND(" ",D82)-1)="전라북도","전북특별자치도",LEFT(D82,FIND(" ",D82)-1)),"")</f>
        <v>전남광주통합특별시</v>
      </c>
      <c r="D82" s="3" t="s">
        <v>439</v>
      </c>
      <c r="E82" s="3" t="s">
        <v>440</v>
      </c>
      <c r="F82" s="3" t="s">
        <v>409</v>
      </c>
      <c r="G82" s="3" t="s">
        <v>442</v>
      </c>
      <c r="H82" s="3" t="s">
        <v>443</v>
      </c>
      <c r="I82" s="3" t="s">
        <v>444</v>
      </c>
      <c r="J82" s="3" t="s">
        <v>19</v>
      </c>
      <c r="K82" s="3" t="s">
        <v>21</v>
      </c>
      <c r="L82" s="3" t="s">
        <v>22</v>
      </c>
      <c r="M82" s="4">
        <v>438</v>
      </c>
      <c r="N82" s="3" t="s">
        <v>84</v>
      </c>
      <c r="O82" s="3" t="s">
        <v>281</v>
      </c>
      <c r="P82" s="3" t="s">
        <v>441</v>
      </c>
    </row>
    <row r="83" spans="1:16" x14ac:dyDescent="0.4">
      <c r="A83" s="7">
        <v>82</v>
      </c>
      <c r="B83" s="8" t="s">
        <v>445</v>
      </c>
      <c r="C83" s="6" t="str">
        <f>IFERROR(IF(LEFT(D83,FIND(" ",D83)-1)="전라북도","전북특별자치도",LEFT(D83,FIND(" ",D83)-1)),"")</f>
        <v>강원특별자치도</v>
      </c>
      <c r="D83" s="3" t="s">
        <v>446</v>
      </c>
      <c r="E83" s="3" t="s">
        <v>447</v>
      </c>
      <c r="F83" s="3" t="s">
        <v>448</v>
      </c>
      <c r="G83" s="3" t="s">
        <v>19</v>
      </c>
      <c r="H83" s="3" t="s">
        <v>449</v>
      </c>
      <c r="I83" s="3" t="s">
        <v>19</v>
      </c>
      <c r="J83" s="3" t="s">
        <v>19</v>
      </c>
      <c r="K83" s="3" t="s">
        <v>21</v>
      </c>
      <c r="L83" s="3" t="s">
        <v>22</v>
      </c>
      <c r="M83" s="4">
        <v>7565</v>
      </c>
      <c r="N83" s="3" t="s">
        <v>23</v>
      </c>
      <c r="O83" s="3" t="s">
        <v>24</v>
      </c>
      <c r="P83" s="3" t="s">
        <v>19</v>
      </c>
    </row>
    <row r="84" spans="1:16" x14ac:dyDescent="0.4">
      <c r="A84" s="7">
        <v>83</v>
      </c>
      <c r="B84" s="8" t="s">
        <v>450</v>
      </c>
      <c r="C84" s="6" t="str">
        <f>IFERROR(IF(LEFT(D84,FIND(" ",D84)-1)="전라북도","전북특별자치도",LEFT(D84,FIND(" ",D84)-1)),"")</f>
        <v>전북특별자치도</v>
      </c>
      <c r="D84" s="3" t="s">
        <v>451</v>
      </c>
      <c r="E84" s="3" t="s">
        <v>447</v>
      </c>
      <c r="F84" s="3" t="s">
        <v>448</v>
      </c>
      <c r="G84" s="3" t="s">
        <v>19</v>
      </c>
      <c r="H84" s="3" t="s">
        <v>452</v>
      </c>
      <c r="I84" s="3" t="s">
        <v>19</v>
      </c>
      <c r="J84" s="3" t="s">
        <v>453</v>
      </c>
      <c r="K84" s="3" t="s">
        <v>21</v>
      </c>
      <c r="L84" s="3" t="s">
        <v>22</v>
      </c>
      <c r="M84" s="4">
        <v>7187</v>
      </c>
      <c r="N84" s="3" t="s">
        <v>23</v>
      </c>
      <c r="O84" s="3" t="s">
        <v>24</v>
      </c>
      <c r="P84" s="3" t="s">
        <v>19</v>
      </c>
    </row>
    <row r="85" spans="1:16" x14ac:dyDescent="0.4">
      <c r="A85" s="7">
        <v>84</v>
      </c>
      <c r="B85" s="8" t="s">
        <v>454</v>
      </c>
      <c r="C85" s="6" t="str">
        <f>IFERROR(IF(LEFT(D85,FIND(" ",D85)-1)="전라북도","전북특별자치도",LEFT(D85,FIND(" ",D85)-1)),"")</f>
        <v>대구광역시</v>
      </c>
      <c r="D85" s="3" t="s">
        <v>455</v>
      </c>
      <c r="E85" s="3" t="s">
        <v>456</v>
      </c>
      <c r="F85" s="3" t="s">
        <v>457</v>
      </c>
      <c r="G85" s="3" t="s">
        <v>19</v>
      </c>
      <c r="H85" s="3" t="s">
        <v>458</v>
      </c>
      <c r="I85" s="3" t="s">
        <v>19</v>
      </c>
      <c r="J85" s="3" t="s">
        <v>459</v>
      </c>
      <c r="K85" s="3" t="s">
        <v>21</v>
      </c>
      <c r="L85" s="3" t="s">
        <v>22</v>
      </c>
      <c r="M85" s="4">
        <v>10680</v>
      </c>
      <c r="N85" s="3" t="s">
        <v>23</v>
      </c>
      <c r="O85" s="3" t="s">
        <v>24</v>
      </c>
      <c r="P85" s="3" t="s">
        <v>19</v>
      </c>
    </row>
    <row r="86" spans="1:16" x14ac:dyDescent="0.4">
      <c r="A86" s="7">
        <v>85</v>
      </c>
      <c r="B86" s="8" t="s">
        <v>460</v>
      </c>
      <c r="C86" s="6" t="str">
        <f>IFERROR(IF(LEFT(D86,FIND(" ",D86)-1)="전라북도","전북특별자치도",LEFT(D86,FIND(" ",D86)-1)),"")</f>
        <v>경기도</v>
      </c>
      <c r="D86" s="3" t="s">
        <v>461</v>
      </c>
      <c r="E86" s="3" t="s">
        <v>462</v>
      </c>
      <c r="F86" s="3" t="s">
        <v>463</v>
      </c>
      <c r="G86" s="3" t="s">
        <v>19</v>
      </c>
      <c r="H86" s="3" t="s">
        <v>302</v>
      </c>
      <c r="I86" s="3" t="s">
        <v>19</v>
      </c>
      <c r="J86" s="3" t="s">
        <v>19</v>
      </c>
      <c r="K86" s="3" t="s">
        <v>21</v>
      </c>
      <c r="L86" s="3" t="s">
        <v>22</v>
      </c>
      <c r="M86" s="4">
        <v>193</v>
      </c>
      <c r="N86" s="3" t="s">
        <v>129</v>
      </c>
      <c r="O86" s="3" t="s">
        <v>24</v>
      </c>
      <c r="P86" s="3" t="s">
        <v>19</v>
      </c>
    </row>
    <row r="87" spans="1:16" x14ac:dyDescent="0.4">
      <c r="A87" s="7">
        <v>86</v>
      </c>
      <c r="B87" s="8" t="s">
        <v>464</v>
      </c>
      <c r="C87" s="6" t="str">
        <f>IFERROR(IF(LEFT(D87,FIND(" ",D87)-1)="전라북도","전북특별자치도",LEFT(D87,FIND(" ",D87)-1)),"")</f>
        <v>충청남도</v>
      </c>
      <c r="D87" s="3" t="s">
        <v>465</v>
      </c>
      <c r="E87" s="3" t="s">
        <v>466</v>
      </c>
      <c r="F87" s="3" t="s">
        <v>467</v>
      </c>
      <c r="G87" s="3" t="s">
        <v>19</v>
      </c>
      <c r="H87" s="3" t="s">
        <v>422</v>
      </c>
      <c r="I87" s="3" t="s">
        <v>19</v>
      </c>
      <c r="J87" s="3" t="s">
        <v>19</v>
      </c>
      <c r="K87" s="3" t="s">
        <v>21</v>
      </c>
      <c r="L87" s="3" t="s">
        <v>22</v>
      </c>
      <c r="M87" s="4">
        <v>9665</v>
      </c>
      <c r="N87" s="3" t="s">
        <v>23</v>
      </c>
      <c r="O87" s="3" t="s">
        <v>24</v>
      </c>
      <c r="P87" s="3" t="s">
        <v>19</v>
      </c>
    </row>
    <row r="88" spans="1:16" hidden="1" x14ac:dyDescent="0.4">
      <c r="A88" s="7">
        <v>87</v>
      </c>
      <c r="B88" s="8" t="s">
        <v>468</v>
      </c>
      <c r="C88" s="6" t="str">
        <f>IFERROR(IF(LEFT(D88,FIND(" ",D88)-1)="전라북도","전북특별자치도",LEFT(D88,FIND(" ",D88)-1)),"")</f>
        <v>경기도</v>
      </c>
      <c r="D88" s="3" t="s">
        <v>469</v>
      </c>
      <c r="E88" s="3" t="s">
        <v>470</v>
      </c>
      <c r="F88" s="3" t="s">
        <v>471</v>
      </c>
      <c r="G88" s="3" t="s">
        <v>19</v>
      </c>
      <c r="H88" s="3" t="s">
        <v>472</v>
      </c>
      <c r="I88" s="3" t="s">
        <v>19</v>
      </c>
      <c r="J88" s="3" t="s">
        <v>19</v>
      </c>
      <c r="K88" s="3" t="s">
        <v>21</v>
      </c>
      <c r="L88" s="3" t="s">
        <v>22</v>
      </c>
      <c r="M88" s="4">
        <v>663</v>
      </c>
      <c r="N88" s="3" t="s">
        <v>123</v>
      </c>
      <c r="O88" s="3" t="s">
        <v>281</v>
      </c>
      <c r="P88" s="3" t="s">
        <v>348</v>
      </c>
    </row>
    <row r="89" spans="1:16" hidden="1" x14ac:dyDescent="0.4">
      <c r="A89" s="7">
        <v>88</v>
      </c>
      <c r="B89" s="8" t="s">
        <v>473</v>
      </c>
      <c r="C89" s="6" t="str">
        <f>IFERROR(IF(LEFT(D89,FIND(" ",D89)-1)="전라북도","전북특별자치도",LEFT(D89,FIND(" ",D89)-1)),"")</f>
        <v>경기도</v>
      </c>
      <c r="D89" s="3" t="s">
        <v>474</v>
      </c>
      <c r="E89" s="3" t="s">
        <v>470</v>
      </c>
      <c r="F89" s="3" t="s">
        <v>471</v>
      </c>
      <c r="G89" s="3" t="s">
        <v>19</v>
      </c>
      <c r="H89" s="3" t="s">
        <v>472</v>
      </c>
      <c r="I89" s="3" t="s">
        <v>19</v>
      </c>
      <c r="J89" s="3" t="s">
        <v>19</v>
      </c>
      <c r="K89" s="3" t="s">
        <v>21</v>
      </c>
      <c r="L89" s="3" t="s">
        <v>22</v>
      </c>
      <c r="M89" s="4">
        <v>663</v>
      </c>
      <c r="N89" s="3" t="s">
        <v>123</v>
      </c>
      <c r="O89" s="3" t="s">
        <v>281</v>
      </c>
      <c r="P89" s="3" t="s">
        <v>348</v>
      </c>
    </row>
    <row r="90" spans="1:16" x14ac:dyDescent="0.4">
      <c r="A90" s="7">
        <v>89</v>
      </c>
      <c r="B90" s="8" t="s">
        <v>475</v>
      </c>
      <c r="C90" s="6" t="str">
        <f>IFERROR(IF(LEFT(D90,FIND(" ",D90)-1)="전라북도","전북특별자치도",LEFT(D90,FIND(" ",D90)-1)),"")</f>
        <v>경상남도</v>
      </c>
      <c r="D90" s="3" t="s">
        <v>476</v>
      </c>
      <c r="E90" s="3" t="s">
        <v>477</v>
      </c>
      <c r="F90" s="3" t="s">
        <v>471</v>
      </c>
      <c r="G90" s="3" t="s">
        <v>478</v>
      </c>
      <c r="H90" s="3" t="s">
        <v>479</v>
      </c>
      <c r="I90" s="3" t="s">
        <v>480</v>
      </c>
      <c r="J90" s="3" t="s">
        <v>19</v>
      </c>
      <c r="K90" s="3" t="s">
        <v>481</v>
      </c>
      <c r="L90" s="3" t="s">
        <v>22</v>
      </c>
      <c r="M90" s="4">
        <v>81</v>
      </c>
      <c r="N90" s="3" t="s">
        <v>129</v>
      </c>
      <c r="O90" s="3" t="s">
        <v>24</v>
      </c>
      <c r="P90" s="3" t="s">
        <v>19</v>
      </c>
    </row>
    <row r="91" spans="1:16" x14ac:dyDescent="0.4">
      <c r="A91" s="7">
        <v>90</v>
      </c>
      <c r="B91" s="8" t="s">
        <v>482</v>
      </c>
      <c r="C91" s="6" t="str">
        <f>IFERROR(IF(LEFT(D91,FIND(" ",D91)-1)="전라북도","전북특별자치도",LEFT(D91,FIND(" ",D91)-1)),"")</f>
        <v>제주특별자치도</v>
      </c>
      <c r="D91" s="3" t="s">
        <v>483</v>
      </c>
      <c r="E91" s="3" t="s">
        <v>484</v>
      </c>
      <c r="F91" s="3" t="s">
        <v>485</v>
      </c>
      <c r="G91" s="3" t="s">
        <v>19</v>
      </c>
      <c r="H91" s="3" t="s">
        <v>486</v>
      </c>
      <c r="I91" s="3" t="s">
        <v>19</v>
      </c>
      <c r="J91" s="3" t="s">
        <v>487</v>
      </c>
      <c r="K91" s="3" t="s">
        <v>21</v>
      </c>
      <c r="L91" s="3" t="s">
        <v>22</v>
      </c>
      <c r="M91" s="4">
        <v>118</v>
      </c>
      <c r="N91" s="3" t="s">
        <v>23</v>
      </c>
      <c r="O91" s="3" t="s">
        <v>24</v>
      </c>
      <c r="P91" s="3" t="s">
        <v>19</v>
      </c>
    </row>
    <row r="92" spans="1:16" x14ac:dyDescent="0.4">
      <c r="A92" s="7">
        <v>91</v>
      </c>
      <c r="B92" s="8" t="s">
        <v>488</v>
      </c>
      <c r="C92" s="6" t="str">
        <f>IFERROR(IF(LEFT(D92,FIND(" ",D92)-1)="전라북도","전북특별자치도",LEFT(D92,FIND(" ",D92)-1)),"")</f>
        <v>경기도</v>
      </c>
      <c r="D92" s="3" t="s">
        <v>489</v>
      </c>
      <c r="E92" s="3" t="s">
        <v>490</v>
      </c>
      <c r="F92" s="3" t="s">
        <v>491</v>
      </c>
      <c r="G92" s="3" t="s">
        <v>19</v>
      </c>
      <c r="H92" s="3" t="s">
        <v>492</v>
      </c>
      <c r="I92" s="3" t="s">
        <v>19</v>
      </c>
      <c r="J92" s="3" t="s">
        <v>493</v>
      </c>
      <c r="K92" s="3" t="s">
        <v>21</v>
      </c>
      <c r="L92" s="3" t="s">
        <v>22</v>
      </c>
      <c r="M92" s="4">
        <v>196</v>
      </c>
      <c r="N92" s="3" t="s">
        <v>23</v>
      </c>
      <c r="O92" s="3" t="s">
        <v>24</v>
      </c>
      <c r="P92" s="3" t="s">
        <v>19</v>
      </c>
    </row>
    <row r="93" spans="1:16" x14ac:dyDescent="0.4">
      <c r="A93" s="7">
        <v>92</v>
      </c>
      <c r="B93" s="8" t="s">
        <v>494</v>
      </c>
      <c r="C93" s="6" t="str">
        <f>IFERROR(IF(LEFT(D93,FIND(" ",D93)-1)="전라북도","전북특별자치도",LEFT(D93,FIND(" ",D93)-1)),"")</f>
        <v>경기도</v>
      </c>
      <c r="D93" s="3" t="s">
        <v>489</v>
      </c>
      <c r="E93" s="3" t="s">
        <v>490</v>
      </c>
      <c r="F93" s="3" t="s">
        <v>491</v>
      </c>
      <c r="G93" s="3" t="s">
        <v>19</v>
      </c>
      <c r="H93" s="3" t="s">
        <v>492</v>
      </c>
      <c r="I93" s="3" t="s">
        <v>19</v>
      </c>
      <c r="J93" s="3" t="s">
        <v>493</v>
      </c>
      <c r="K93" s="3" t="s">
        <v>21</v>
      </c>
      <c r="L93" s="3" t="s">
        <v>22</v>
      </c>
      <c r="M93" s="4">
        <v>196</v>
      </c>
      <c r="N93" s="3" t="s">
        <v>23</v>
      </c>
      <c r="O93" s="3" t="s">
        <v>24</v>
      </c>
      <c r="P93" s="3" t="s">
        <v>19</v>
      </c>
    </row>
    <row r="94" spans="1:16" x14ac:dyDescent="0.4">
      <c r="A94" s="7">
        <v>93</v>
      </c>
      <c r="B94" s="8" t="s">
        <v>495</v>
      </c>
      <c r="C94" s="6" t="str">
        <f>IFERROR(IF(LEFT(D94,FIND(" ",D94)-1)="전라북도","전북특별자치도",LEFT(D94,FIND(" ",D94)-1)),"")</f>
        <v>경기도</v>
      </c>
      <c r="D94" s="3" t="s">
        <v>489</v>
      </c>
      <c r="E94" s="3" t="s">
        <v>490</v>
      </c>
      <c r="F94" s="3" t="s">
        <v>491</v>
      </c>
      <c r="G94" s="3" t="s">
        <v>19</v>
      </c>
      <c r="H94" s="3" t="s">
        <v>492</v>
      </c>
      <c r="I94" s="3" t="s">
        <v>19</v>
      </c>
      <c r="J94" s="3" t="s">
        <v>493</v>
      </c>
      <c r="K94" s="3" t="s">
        <v>21</v>
      </c>
      <c r="L94" s="3" t="s">
        <v>22</v>
      </c>
      <c r="M94" s="4">
        <v>196</v>
      </c>
      <c r="N94" s="3" t="s">
        <v>23</v>
      </c>
      <c r="O94" s="3" t="s">
        <v>24</v>
      </c>
      <c r="P94" s="3" t="s">
        <v>19</v>
      </c>
    </row>
    <row r="95" spans="1:16" x14ac:dyDescent="0.4">
      <c r="A95" s="7">
        <v>94</v>
      </c>
      <c r="B95" s="8" t="s">
        <v>496</v>
      </c>
      <c r="C95" s="6" t="str">
        <f>IFERROR(IF(LEFT(D95,FIND(" ",D95)-1)="전라북도","전북특별자치도",LEFT(D95,FIND(" ",D95)-1)),"")</f>
        <v>강원특별자치도</v>
      </c>
      <c r="D95" s="3" t="s">
        <v>497</v>
      </c>
      <c r="E95" s="3" t="s">
        <v>78</v>
      </c>
      <c r="F95" s="3" t="s">
        <v>79</v>
      </c>
      <c r="G95" s="3" t="s">
        <v>19</v>
      </c>
      <c r="H95" s="3" t="s">
        <v>498</v>
      </c>
      <c r="I95" s="3" t="s">
        <v>19</v>
      </c>
      <c r="J95" s="3" t="s">
        <v>19</v>
      </c>
      <c r="K95" s="3" t="s">
        <v>21</v>
      </c>
      <c r="L95" s="3" t="s">
        <v>22</v>
      </c>
      <c r="M95" s="4">
        <v>599</v>
      </c>
      <c r="N95" s="3" t="s">
        <v>23</v>
      </c>
      <c r="O95" s="3" t="s">
        <v>24</v>
      </c>
      <c r="P95" s="3" t="s">
        <v>19</v>
      </c>
    </row>
    <row r="96" spans="1:16" x14ac:dyDescent="0.4">
      <c r="A96" s="7">
        <v>95</v>
      </c>
      <c r="B96" s="8" t="s">
        <v>499</v>
      </c>
      <c r="C96" s="6" t="str">
        <f>IFERROR(IF(LEFT(D96,FIND(" ",D96)-1)="전라북도","전북특별자치도",LEFT(D96,FIND(" ",D96)-1)),"")</f>
        <v>충청남도</v>
      </c>
      <c r="D96" s="3" t="s">
        <v>500</v>
      </c>
      <c r="E96" s="3" t="s">
        <v>501</v>
      </c>
      <c r="F96" s="3" t="s">
        <v>502</v>
      </c>
      <c r="G96" s="3" t="s">
        <v>19</v>
      </c>
      <c r="H96" s="3" t="s">
        <v>503</v>
      </c>
      <c r="I96" s="3" t="s">
        <v>19</v>
      </c>
      <c r="J96" s="3" t="s">
        <v>19</v>
      </c>
      <c r="K96" s="3" t="s">
        <v>21</v>
      </c>
      <c r="L96" s="3" t="s">
        <v>22</v>
      </c>
      <c r="M96" s="4">
        <v>3114</v>
      </c>
      <c r="N96" s="3" t="s">
        <v>23</v>
      </c>
      <c r="O96" s="3" t="s">
        <v>24</v>
      </c>
      <c r="P96" s="3" t="s">
        <v>19</v>
      </c>
    </row>
    <row r="97" spans="1:16" x14ac:dyDescent="0.4">
      <c r="A97" s="7">
        <v>96</v>
      </c>
      <c r="B97" s="8" t="s">
        <v>504</v>
      </c>
      <c r="C97" s="6" t="str">
        <f>IFERROR(IF(LEFT(D97,FIND(" ",D97)-1)="전라북도","전북특별자치도",LEFT(D97,FIND(" ",D97)-1)),"")</f>
        <v>강원특별자치도</v>
      </c>
      <c r="D97" s="3" t="s">
        <v>505</v>
      </c>
      <c r="E97" s="3" t="s">
        <v>506</v>
      </c>
      <c r="F97" s="3" t="s">
        <v>507</v>
      </c>
      <c r="G97" s="3" t="s">
        <v>19</v>
      </c>
      <c r="H97" s="3" t="s">
        <v>508</v>
      </c>
      <c r="I97" s="3" t="s">
        <v>19</v>
      </c>
      <c r="J97" s="3" t="s">
        <v>509</v>
      </c>
      <c r="K97" s="3" t="s">
        <v>21</v>
      </c>
      <c r="L97" s="3" t="s">
        <v>147</v>
      </c>
      <c r="M97" s="4">
        <v>26746</v>
      </c>
      <c r="N97" s="3" t="s">
        <v>23</v>
      </c>
      <c r="O97" s="3" t="s">
        <v>24</v>
      </c>
      <c r="P97" s="3" t="s">
        <v>19</v>
      </c>
    </row>
    <row r="98" spans="1:16" hidden="1" x14ac:dyDescent="0.4">
      <c r="A98" s="7">
        <v>97</v>
      </c>
      <c r="B98" s="8" t="s">
        <v>510</v>
      </c>
      <c r="C98" s="6" t="str">
        <f>IFERROR(IF(LEFT(D98,FIND(" ",D98)-1)="전라북도","전북특별자치도",LEFT(D98,FIND(" ",D98)-1)),"")</f>
        <v>서울특별시</v>
      </c>
      <c r="D98" s="3" t="s">
        <v>511</v>
      </c>
      <c r="E98" s="3" t="s">
        <v>512</v>
      </c>
      <c r="F98" s="3" t="s">
        <v>513</v>
      </c>
      <c r="G98" s="3" t="s">
        <v>385</v>
      </c>
      <c r="H98" s="3" t="s">
        <v>514</v>
      </c>
      <c r="I98" s="3" t="s">
        <v>19</v>
      </c>
      <c r="J98" s="3" t="s">
        <v>19</v>
      </c>
      <c r="K98" s="3" t="s">
        <v>21</v>
      </c>
      <c r="L98" s="3" t="s">
        <v>147</v>
      </c>
      <c r="M98" s="4">
        <v>1113</v>
      </c>
      <c r="N98" s="3" t="s">
        <v>23</v>
      </c>
      <c r="O98" s="3" t="s">
        <v>281</v>
      </c>
      <c r="P98" s="3" t="s">
        <v>463</v>
      </c>
    </row>
    <row r="99" spans="1:16" x14ac:dyDescent="0.4">
      <c r="A99" s="7">
        <v>98</v>
      </c>
      <c r="B99" s="8" t="s">
        <v>515</v>
      </c>
      <c r="C99" s="6" t="str">
        <f>IFERROR(IF(LEFT(D99,FIND(" ",D99)-1)="전라북도","전북특별자치도",LEFT(D99,FIND(" ",D99)-1)),"")</f>
        <v>충청북도</v>
      </c>
      <c r="D99" s="3" t="s">
        <v>516</v>
      </c>
      <c r="E99" s="3" t="s">
        <v>517</v>
      </c>
      <c r="F99" s="3" t="s">
        <v>518</v>
      </c>
      <c r="G99" s="3" t="s">
        <v>519</v>
      </c>
      <c r="H99" s="3" t="s">
        <v>168</v>
      </c>
      <c r="I99" s="3" t="s">
        <v>19</v>
      </c>
      <c r="J99" s="3" t="s">
        <v>19</v>
      </c>
      <c r="K99" s="3" t="s">
        <v>21</v>
      </c>
      <c r="L99" s="3" t="s">
        <v>22</v>
      </c>
      <c r="M99" s="4">
        <v>2933</v>
      </c>
      <c r="N99" s="3" t="s">
        <v>23</v>
      </c>
      <c r="O99" s="3" t="s">
        <v>24</v>
      </c>
      <c r="P99" s="3" t="s">
        <v>19</v>
      </c>
    </row>
    <row r="100" spans="1:16" x14ac:dyDescent="0.4">
      <c r="A100" s="7">
        <v>99</v>
      </c>
      <c r="B100" s="8" t="s">
        <v>520</v>
      </c>
      <c r="C100" s="6" t="str">
        <f>IFERROR(IF(LEFT(D100,FIND(" ",D100)-1)="전라북도","전북특별자치도",LEFT(D100,FIND(" ",D100)-1)),"")</f>
        <v>경상북도</v>
      </c>
      <c r="D100" s="3" t="s">
        <v>521</v>
      </c>
      <c r="E100" s="3" t="s">
        <v>522</v>
      </c>
      <c r="F100" s="3" t="s">
        <v>523</v>
      </c>
      <c r="G100" s="3" t="s">
        <v>19</v>
      </c>
      <c r="H100" s="3" t="s">
        <v>524</v>
      </c>
      <c r="I100" s="3" t="s">
        <v>19</v>
      </c>
      <c r="J100" s="3" t="s">
        <v>19</v>
      </c>
      <c r="K100" s="3" t="s">
        <v>21</v>
      </c>
      <c r="L100" s="3" t="s">
        <v>22</v>
      </c>
      <c r="M100" s="4">
        <v>2681</v>
      </c>
      <c r="N100" s="3" t="s">
        <v>23</v>
      </c>
      <c r="O100" s="3" t="s">
        <v>24</v>
      </c>
      <c r="P100" s="3" t="s">
        <v>19</v>
      </c>
    </row>
    <row r="101" spans="1:16" x14ac:dyDescent="0.4">
      <c r="A101" s="7">
        <v>100</v>
      </c>
      <c r="B101" s="8" t="s">
        <v>520</v>
      </c>
      <c r="C101" s="6" t="str">
        <f>IFERROR(IF(LEFT(D101,FIND(" ",D101)-1)="전라북도","전북특별자치도",LEFT(D101,FIND(" ",D101)-1)),"")</f>
        <v>경상북도</v>
      </c>
      <c r="D101" s="3" t="s">
        <v>521</v>
      </c>
      <c r="E101" s="3" t="s">
        <v>522</v>
      </c>
      <c r="F101" s="3" t="s">
        <v>523</v>
      </c>
      <c r="G101" s="3" t="s">
        <v>19</v>
      </c>
      <c r="H101" s="3" t="s">
        <v>524</v>
      </c>
      <c r="I101" s="3" t="s">
        <v>19</v>
      </c>
      <c r="J101" s="3" t="s">
        <v>19</v>
      </c>
      <c r="K101" s="3" t="s">
        <v>21</v>
      </c>
      <c r="L101" s="3" t="s">
        <v>22</v>
      </c>
      <c r="M101" s="4">
        <v>2681</v>
      </c>
      <c r="N101" s="3" t="s">
        <v>23</v>
      </c>
      <c r="O101" s="3" t="s">
        <v>24</v>
      </c>
      <c r="P101" s="3" t="s">
        <v>19</v>
      </c>
    </row>
    <row r="102" spans="1:16" x14ac:dyDescent="0.4">
      <c r="A102" s="7">
        <v>101</v>
      </c>
      <c r="B102" s="8" t="s">
        <v>525</v>
      </c>
      <c r="C102" s="6" t="str">
        <f>IFERROR(IF(LEFT(D102,FIND(" ",D102)-1)="전라북도","전북특별자치도",LEFT(D102,FIND(" ",D102)-1)),"")</f>
        <v>충청남도</v>
      </c>
      <c r="D102" s="3" t="s">
        <v>526</v>
      </c>
      <c r="E102" s="3" t="s">
        <v>527</v>
      </c>
      <c r="F102" s="3" t="s">
        <v>528</v>
      </c>
      <c r="G102" s="3" t="s">
        <v>19</v>
      </c>
      <c r="H102" s="3" t="s">
        <v>529</v>
      </c>
      <c r="I102" s="3" t="s">
        <v>19</v>
      </c>
      <c r="J102" s="3" t="s">
        <v>530</v>
      </c>
      <c r="K102" s="3" t="s">
        <v>21</v>
      </c>
      <c r="L102" s="3" t="s">
        <v>22</v>
      </c>
      <c r="M102" s="4">
        <v>4939</v>
      </c>
      <c r="N102" s="3" t="s">
        <v>23</v>
      </c>
      <c r="O102" s="3" t="s">
        <v>24</v>
      </c>
      <c r="P102" s="3" t="s">
        <v>19</v>
      </c>
    </row>
    <row r="103" spans="1:16" x14ac:dyDescent="0.4">
      <c r="A103" s="7">
        <v>102</v>
      </c>
      <c r="B103" s="8" t="s">
        <v>531</v>
      </c>
      <c r="C103" s="6" t="str">
        <f>IFERROR(IF(LEFT(D103,FIND(" ",D103)-1)="전라북도","전북특별자치도",LEFT(D103,FIND(" ",D103)-1)),"")</f>
        <v>부산광역시</v>
      </c>
      <c r="D103" s="3" t="s">
        <v>532</v>
      </c>
      <c r="E103" s="3" t="s">
        <v>533</v>
      </c>
      <c r="F103" s="3" t="s">
        <v>534</v>
      </c>
      <c r="G103" s="3" t="s">
        <v>535</v>
      </c>
      <c r="H103" s="3" t="s">
        <v>536</v>
      </c>
      <c r="I103" s="3" t="s">
        <v>536</v>
      </c>
      <c r="J103" s="3" t="s">
        <v>19</v>
      </c>
      <c r="K103" s="3" t="s">
        <v>21</v>
      </c>
      <c r="L103" s="3" t="s">
        <v>147</v>
      </c>
      <c r="M103" s="4">
        <v>3245</v>
      </c>
      <c r="N103" s="3" t="s">
        <v>23</v>
      </c>
      <c r="O103" s="3" t="s">
        <v>24</v>
      </c>
      <c r="P103" s="3" t="s">
        <v>19</v>
      </c>
    </row>
    <row r="104" spans="1:16" x14ac:dyDescent="0.4">
      <c r="A104" s="7">
        <v>103</v>
      </c>
      <c r="B104" s="8" t="s">
        <v>537</v>
      </c>
      <c r="C104" s="6" t="str">
        <f>IFERROR(IF(LEFT(D104,FIND(" ",D104)-1)="전라북도","전북특별자치도",LEFT(D104,FIND(" ",D104)-1)),"")</f>
        <v>충청북도</v>
      </c>
      <c r="D104" s="3" t="s">
        <v>538</v>
      </c>
      <c r="E104" s="3" t="s">
        <v>539</v>
      </c>
      <c r="F104" s="3" t="s">
        <v>540</v>
      </c>
      <c r="G104" s="3" t="s">
        <v>19</v>
      </c>
      <c r="H104" s="3" t="s">
        <v>541</v>
      </c>
      <c r="I104" s="3" t="s">
        <v>19</v>
      </c>
      <c r="J104" s="3" t="s">
        <v>19</v>
      </c>
      <c r="K104" s="3" t="s">
        <v>21</v>
      </c>
      <c r="L104" s="3" t="s">
        <v>22</v>
      </c>
      <c r="M104" s="4">
        <v>2137</v>
      </c>
      <c r="N104" s="3" t="s">
        <v>23</v>
      </c>
      <c r="O104" s="3" t="s">
        <v>24</v>
      </c>
      <c r="P104" s="3" t="s">
        <v>19</v>
      </c>
    </row>
    <row r="105" spans="1:16" hidden="1" x14ac:dyDescent="0.4">
      <c r="A105" s="7">
        <v>104</v>
      </c>
      <c r="B105" s="8" t="s">
        <v>542</v>
      </c>
      <c r="C105" s="6" t="str">
        <f>IFERROR(IF(LEFT(D105,FIND(" ",D105)-1)="전라북도","전북특별자치도",LEFT(D105,FIND(" ",D105)-1)),"")</f>
        <v>경기도</v>
      </c>
      <c r="D105" s="3" t="s">
        <v>543</v>
      </c>
      <c r="E105" s="3" t="s">
        <v>544</v>
      </c>
      <c r="F105" s="3" t="s">
        <v>545</v>
      </c>
      <c r="G105" s="3" t="s">
        <v>19</v>
      </c>
      <c r="H105" s="3" t="s">
        <v>302</v>
      </c>
      <c r="I105" s="3" t="s">
        <v>19</v>
      </c>
      <c r="J105" s="3" t="s">
        <v>19</v>
      </c>
      <c r="K105" s="3" t="s">
        <v>21</v>
      </c>
      <c r="L105" s="3" t="s">
        <v>147</v>
      </c>
      <c r="M105" s="4">
        <v>470</v>
      </c>
      <c r="N105" s="3" t="s">
        <v>123</v>
      </c>
      <c r="O105" s="3" t="s">
        <v>281</v>
      </c>
      <c r="P105" s="3" t="s">
        <v>546</v>
      </c>
    </row>
    <row r="106" spans="1:16" x14ac:dyDescent="0.4">
      <c r="A106" s="7">
        <v>105</v>
      </c>
      <c r="B106" s="8" t="s">
        <v>547</v>
      </c>
      <c r="C106" s="6" t="str">
        <f>IFERROR(IF(LEFT(D106,FIND(" ",D106)-1)="전라북도","전북특별자치도",LEFT(D106,FIND(" ",D106)-1)),"")</f>
        <v>전남광주통합특별시</v>
      </c>
      <c r="D106" s="3" t="s">
        <v>548</v>
      </c>
      <c r="E106" s="3" t="s">
        <v>549</v>
      </c>
      <c r="F106" s="3" t="s">
        <v>544</v>
      </c>
      <c r="G106" s="3" t="s">
        <v>19</v>
      </c>
      <c r="H106" s="3" t="s">
        <v>550</v>
      </c>
      <c r="I106" s="3" t="s">
        <v>19</v>
      </c>
      <c r="J106" s="3" t="s">
        <v>19</v>
      </c>
      <c r="K106" s="3" t="s">
        <v>21</v>
      </c>
      <c r="L106" s="3" t="s">
        <v>22</v>
      </c>
      <c r="M106" s="4">
        <v>514</v>
      </c>
      <c r="N106" s="3" t="s">
        <v>23</v>
      </c>
      <c r="O106" s="3" t="s">
        <v>24</v>
      </c>
      <c r="P106" s="3" t="s">
        <v>19</v>
      </c>
    </row>
    <row r="107" spans="1:16" x14ac:dyDescent="0.4">
      <c r="A107" s="7">
        <v>106</v>
      </c>
      <c r="B107" s="8" t="s">
        <v>551</v>
      </c>
      <c r="C107" s="6" t="str">
        <f>IFERROR(IF(LEFT(D107,FIND(" ",D107)-1)="전라북도","전북특별자치도",LEFT(D107,FIND(" ",D107)-1)),"")</f>
        <v>대전광역시</v>
      </c>
      <c r="D107" s="3" t="s">
        <v>552</v>
      </c>
      <c r="E107" s="3" t="s">
        <v>553</v>
      </c>
      <c r="F107" s="3" t="s">
        <v>554</v>
      </c>
      <c r="G107" s="3" t="s">
        <v>19</v>
      </c>
      <c r="H107" s="3" t="s">
        <v>555</v>
      </c>
      <c r="I107" s="3" t="s">
        <v>19</v>
      </c>
      <c r="J107" s="3" t="s">
        <v>556</v>
      </c>
      <c r="K107" s="3" t="s">
        <v>21</v>
      </c>
      <c r="L107" s="3" t="s">
        <v>22</v>
      </c>
      <c r="M107" s="4">
        <v>6423</v>
      </c>
      <c r="N107" s="3" t="s">
        <v>23</v>
      </c>
      <c r="O107" s="3" t="s">
        <v>24</v>
      </c>
      <c r="P107" s="3" t="s">
        <v>19</v>
      </c>
    </row>
    <row r="108" spans="1:16" x14ac:dyDescent="0.4">
      <c r="A108" s="7">
        <v>107</v>
      </c>
      <c r="B108" s="8" t="s">
        <v>557</v>
      </c>
      <c r="C108" s="6" t="str">
        <f>IFERROR(IF(LEFT(D108,FIND(" ",D108)-1)="전라북도","전북특별자치도",LEFT(D108,FIND(" ",D108)-1)),"")</f>
        <v>전라남도</v>
      </c>
      <c r="D108" s="3" t="s">
        <v>558</v>
      </c>
      <c r="E108" s="3" t="s">
        <v>559</v>
      </c>
      <c r="F108" s="3" t="s">
        <v>560</v>
      </c>
      <c r="G108" s="3" t="s">
        <v>19</v>
      </c>
      <c r="H108" s="3" t="s">
        <v>561</v>
      </c>
      <c r="I108" s="3" t="s">
        <v>19</v>
      </c>
      <c r="J108" s="3" t="s">
        <v>19</v>
      </c>
      <c r="K108" s="3" t="s">
        <v>21</v>
      </c>
      <c r="L108" s="3" t="s">
        <v>22</v>
      </c>
      <c r="M108" s="4">
        <v>255</v>
      </c>
      <c r="N108" s="3" t="s">
        <v>562</v>
      </c>
      <c r="O108" s="3" t="s">
        <v>24</v>
      </c>
      <c r="P108" s="3" t="s">
        <v>19</v>
      </c>
    </row>
    <row r="109" spans="1:16" x14ac:dyDescent="0.4">
      <c r="A109" s="7">
        <v>108</v>
      </c>
      <c r="B109" s="8" t="s">
        <v>563</v>
      </c>
      <c r="C109" s="6" t="str">
        <f>IFERROR(IF(LEFT(D109,FIND(" ",D109)-1)="전라북도","전북특별자치도",LEFT(D109,FIND(" ",D109)-1)),"")</f>
        <v>경상북도</v>
      </c>
      <c r="D109" s="3" t="s">
        <v>564</v>
      </c>
      <c r="E109" s="3" t="s">
        <v>565</v>
      </c>
      <c r="F109" s="3" t="s">
        <v>560</v>
      </c>
      <c r="G109" s="3" t="s">
        <v>19</v>
      </c>
      <c r="H109" s="3" t="s">
        <v>566</v>
      </c>
      <c r="I109" s="3" t="s">
        <v>19</v>
      </c>
      <c r="J109" s="3" t="s">
        <v>567</v>
      </c>
      <c r="K109" s="3" t="s">
        <v>21</v>
      </c>
      <c r="L109" s="3" t="s">
        <v>22</v>
      </c>
      <c r="M109" s="4">
        <v>298</v>
      </c>
      <c r="N109" s="3" t="s">
        <v>23</v>
      </c>
      <c r="O109" s="3" t="s">
        <v>24</v>
      </c>
      <c r="P109" s="3" t="s">
        <v>19</v>
      </c>
    </row>
    <row r="110" spans="1:16" x14ac:dyDescent="0.4">
      <c r="A110" s="7">
        <v>109</v>
      </c>
      <c r="B110" s="8" t="s">
        <v>568</v>
      </c>
      <c r="C110" s="6" t="str">
        <f>IFERROR(IF(LEFT(D110,FIND(" ",D110)-1)="전라북도","전북특별자치도",LEFT(D110,FIND(" ",D110)-1)),"")</f>
        <v>강원특별자치도</v>
      </c>
      <c r="D110" s="3" t="s">
        <v>569</v>
      </c>
      <c r="E110" s="3" t="s">
        <v>570</v>
      </c>
      <c r="F110" s="3" t="s">
        <v>571</v>
      </c>
      <c r="G110" s="3" t="s">
        <v>19</v>
      </c>
      <c r="H110" s="3" t="s">
        <v>572</v>
      </c>
      <c r="I110" s="3" t="s">
        <v>19</v>
      </c>
      <c r="J110" s="3" t="s">
        <v>573</v>
      </c>
      <c r="K110" s="3" t="s">
        <v>21</v>
      </c>
      <c r="L110" s="3" t="s">
        <v>22</v>
      </c>
      <c r="M110" s="4">
        <v>12591</v>
      </c>
      <c r="N110" s="3" t="s">
        <v>23</v>
      </c>
      <c r="O110" s="3" t="s">
        <v>24</v>
      </c>
      <c r="P110" s="3" t="s">
        <v>19</v>
      </c>
    </row>
    <row r="111" spans="1:16" x14ac:dyDescent="0.4">
      <c r="A111" s="7">
        <v>110</v>
      </c>
      <c r="B111" s="8" t="s">
        <v>574</v>
      </c>
      <c r="C111" s="6" t="str">
        <f>IFERROR(IF(LEFT(D111,FIND(" ",D111)-1)="전라북도","전북특별자치도",LEFT(D111,FIND(" ",D111)-1)),"")</f>
        <v>인천광역시</v>
      </c>
      <c r="D111" s="3" t="s">
        <v>575</v>
      </c>
      <c r="E111" s="3" t="s">
        <v>570</v>
      </c>
      <c r="F111" s="3" t="s">
        <v>576</v>
      </c>
      <c r="G111" s="3" t="s">
        <v>19</v>
      </c>
      <c r="H111" s="3" t="s">
        <v>577</v>
      </c>
      <c r="I111" s="3" t="s">
        <v>19</v>
      </c>
      <c r="J111" s="3" t="s">
        <v>19</v>
      </c>
      <c r="K111" s="3" t="s">
        <v>21</v>
      </c>
      <c r="L111" s="3" t="s">
        <v>22</v>
      </c>
      <c r="M111" s="4">
        <v>1212</v>
      </c>
      <c r="N111" s="3" t="s">
        <v>23</v>
      </c>
      <c r="O111" s="3" t="s">
        <v>24</v>
      </c>
      <c r="P111" s="3" t="s">
        <v>19</v>
      </c>
    </row>
    <row r="112" spans="1:16" hidden="1" x14ac:dyDescent="0.4">
      <c r="A112" s="7">
        <v>111</v>
      </c>
      <c r="B112" s="8" t="s">
        <v>578</v>
      </c>
      <c r="C112" s="6" t="str">
        <f>IFERROR(IF(LEFT(D112,FIND(" ",D112)-1)="전라북도","전북특별자치도",LEFT(D112,FIND(" ",D112)-1)),"")</f>
        <v>경상북도</v>
      </c>
      <c r="D112" s="3" t="s">
        <v>579</v>
      </c>
      <c r="E112" s="3" t="s">
        <v>580</v>
      </c>
      <c r="F112" s="3" t="s">
        <v>581</v>
      </c>
      <c r="G112" s="3" t="s">
        <v>583</v>
      </c>
      <c r="H112" s="3" t="s">
        <v>110</v>
      </c>
      <c r="I112" s="3" t="s">
        <v>19</v>
      </c>
      <c r="J112" s="3" t="s">
        <v>19</v>
      </c>
      <c r="K112" s="3" t="s">
        <v>21</v>
      </c>
      <c r="L112" s="3" t="s">
        <v>358</v>
      </c>
      <c r="M112" s="4">
        <v>2971</v>
      </c>
      <c r="N112" s="3" t="s">
        <v>23</v>
      </c>
      <c r="O112" s="3" t="s">
        <v>281</v>
      </c>
      <c r="P112" s="3" t="s">
        <v>582</v>
      </c>
    </row>
    <row r="113" spans="1:16" x14ac:dyDescent="0.4">
      <c r="A113" s="7">
        <v>112</v>
      </c>
      <c r="B113" s="8" t="s">
        <v>584</v>
      </c>
      <c r="C113" s="6" t="str">
        <f>IFERROR(IF(LEFT(D113,FIND(" ",D113)-1)="전라북도","전북특별자치도",LEFT(D113,FIND(" ",D113)-1)),"")</f>
        <v>서울특별시</v>
      </c>
      <c r="D113" s="3" t="s">
        <v>585</v>
      </c>
      <c r="E113" s="3" t="s">
        <v>586</v>
      </c>
      <c r="F113" s="3" t="s">
        <v>587</v>
      </c>
      <c r="G113" s="3" t="s">
        <v>19</v>
      </c>
      <c r="H113" s="3" t="s">
        <v>588</v>
      </c>
      <c r="I113" s="3" t="s">
        <v>19</v>
      </c>
      <c r="J113" s="3" t="s">
        <v>19</v>
      </c>
      <c r="K113" s="3" t="s">
        <v>21</v>
      </c>
      <c r="L113" s="3" t="s">
        <v>147</v>
      </c>
      <c r="M113" s="4">
        <v>1460</v>
      </c>
      <c r="N113" s="3" t="s">
        <v>23</v>
      </c>
      <c r="O113" s="3" t="s">
        <v>24</v>
      </c>
      <c r="P113" s="3" t="s">
        <v>19</v>
      </c>
    </row>
    <row r="114" spans="1:16" hidden="1" x14ac:dyDescent="0.4">
      <c r="A114" s="7">
        <v>113</v>
      </c>
      <c r="B114" s="8" t="s">
        <v>589</v>
      </c>
      <c r="C114" s="6" t="str">
        <f>IFERROR(IF(LEFT(D114,FIND(" ",D114)-1)="전라북도","전북특별자치도",LEFT(D114,FIND(" ",D114)-1)),"")</f>
        <v>강원특별자치도</v>
      </c>
      <c r="D114" s="3" t="s">
        <v>590</v>
      </c>
      <c r="E114" s="3" t="s">
        <v>591</v>
      </c>
      <c r="F114" s="3" t="s">
        <v>580</v>
      </c>
      <c r="G114" s="3" t="s">
        <v>19</v>
      </c>
      <c r="H114" s="3" t="s">
        <v>128</v>
      </c>
      <c r="I114" s="3" t="s">
        <v>19</v>
      </c>
      <c r="J114" s="3" t="s">
        <v>19</v>
      </c>
      <c r="K114" s="3" t="s">
        <v>21</v>
      </c>
      <c r="L114" s="3" t="s">
        <v>147</v>
      </c>
      <c r="M114" s="4">
        <v>341</v>
      </c>
      <c r="N114" s="3" t="s">
        <v>84</v>
      </c>
      <c r="O114" s="3" t="s">
        <v>281</v>
      </c>
      <c r="P114" s="3" t="s">
        <v>592</v>
      </c>
    </row>
    <row r="115" spans="1:16" x14ac:dyDescent="0.4">
      <c r="A115" s="7">
        <v>114</v>
      </c>
      <c r="B115" s="8" t="s">
        <v>593</v>
      </c>
      <c r="C115" s="6" t="str">
        <f>IFERROR(IF(LEFT(D115,FIND(" ",D115)-1)="전라북도","전북특별자치도",LEFT(D115,FIND(" ",D115)-1)),"")</f>
        <v>경기도</v>
      </c>
      <c r="D115" s="3" t="s">
        <v>594</v>
      </c>
      <c r="E115" s="3" t="s">
        <v>595</v>
      </c>
      <c r="F115" s="3" t="s">
        <v>596</v>
      </c>
      <c r="G115" s="3" t="s">
        <v>19</v>
      </c>
      <c r="H115" s="3" t="s">
        <v>302</v>
      </c>
      <c r="I115" s="3" t="s">
        <v>19</v>
      </c>
      <c r="J115" s="3" t="s">
        <v>19</v>
      </c>
      <c r="K115" s="3" t="s">
        <v>21</v>
      </c>
      <c r="L115" s="3" t="s">
        <v>22</v>
      </c>
      <c r="M115" s="4">
        <v>972</v>
      </c>
      <c r="N115" s="3" t="s">
        <v>129</v>
      </c>
      <c r="O115" s="3" t="s">
        <v>24</v>
      </c>
      <c r="P115" s="3" t="s">
        <v>19</v>
      </c>
    </row>
    <row r="116" spans="1:16" hidden="1" x14ac:dyDescent="0.4">
      <c r="A116" s="7">
        <v>115</v>
      </c>
      <c r="B116" s="8" t="s">
        <v>597</v>
      </c>
      <c r="C116" s="6" t="str">
        <f>IFERROR(IF(LEFT(D116,FIND(" ",D116)-1)="전라북도","전북특별자치도",LEFT(D116,FIND(" ",D116)-1)),"")</f>
        <v>충청남도</v>
      </c>
      <c r="D116" s="3" t="s">
        <v>598</v>
      </c>
      <c r="E116" s="3" t="s">
        <v>599</v>
      </c>
      <c r="F116" s="3" t="s">
        <v>600</v>
      </c>
      <c r="G116" s="3" t="s">
        <v>602</v>
      </c>
      <c r="H116" s="3" t="s">
        <v>603</v>
      </c>
      <c r="I116" s="3" t="s">
        <v>422</v>
      </c>
      <c r="J116" s="3" t="s">
        <v>19</v>
      </c>
      <c r="K116" s="3" t="s">
        <v>21</v>
      </c>
      <c r="L116" s="3" t="s">
        <v>147</v>
      </c>
      <c r="M116" s="4">
        <v>363</v>
      </c>
      <c r="N116" s="3" t="s">
        <v>129</v>
      </c>
      <c r="O116" s="3" t="s">
        <v>281</v>
      </c>
      <c r="P116" s="3" t="s">
        <v>601</v>
      </c>
    </row>
    <row r="117" spans="1:16" x14ac:dyDescent="0.4">
      <c r="A117" s="7">
        <v>116</v>
      </c>
      <c r="B117" s="8" t="s">
        <v>604</v>
      </c>
      <c r="C117" s="6" t="str">
        <f>IFERROR(IF(LEFT(D117,FIND(" ",D117)-1)="전라북도","전북특별자치도",LEFT(D117,FIND(" ",D117)-1)),"")</f>
        <v>부산광역시</v>
      </c>
      <c r="D117" s="3" t="s">
        <v>605</v>
      </c>
      <c r="E117" s="3" t="s">
        <v>606</v>
      </c>
      <c r="F117" s="3" t="s">
        <v>586</v>
      </c>
      <c r="G117" s="3" t="s">
        <v>19</v>
      </c>
      <c r="H117" s="3" t="s">
        <v>536</v>
      </c>
      <c r="I117" s="3" t="s">
        <v>19</v>
      </c>
      <c r="J117" s="3" t="s">
        <v>607</v>
      </c>
      <c r="K117" s="3" t="s">
        <v>21</v>
      </c>
      <c r="L117" s="3" t="s">
        <v>22</v>
      </c>
      <c r="M117" s="4">
        <v>13696</v>
      </c>
      <c r="N117" s="3" t="s">
        <v>23</v>
      </c>
      <c r="O117" s="3" t="s">
        <v>24</v>
      </c>
      <c r="P117" s="3" t="s">
        <v>19</v>
      </c>
    </row>
    <row r="118" spans="1:16" x14ac:dyDescent="0.4">
      <c r="A118" s="7">
        <v>117</v>
      </c>
      <c r="B118" s="8" t="s">
        <v>608</v>
      </c>
      <c r="C118" s="6" t="str">
        <f>IFERROR(IF(LEFT(D118,FIND(" ",D118)-1)="전라북도","전북특별자치도",LEFT(D118,FIND(" ",D118)-1)),"")</f>
        <v>부산광역시</v>
      </c>
      <c r="D118" s="3" t="s">
        <v>609</v>
      </c>
      <c r="E118" s="3" t="s">
        <v>466</v>
      </c>
      <c r="F118" s="3" t="s">
        <v>610</v>
      </c>
      <c r="G118" s="3" t="s">
        <v>19</v>
      </c>
      <c r="H118" s="3" t="s">
        <v>151</v>
      </c>
      <c r="I118" s="3" t="s">
        <v>19</v>
      </c>
      <c r="J118" s="3" t="s">
        <v>611</v>
      </c>
      <c r="K118" s="3" t="s">
        <v>21</v>
      </c>
      <c r="L118" s="3" t="s">
        <v>22</v>
      </c>
      <c r="M118" s="4">
        <v>80917</v>
      </c>
      <c r="N118" s="3" t="s">
        <v>23</v>
      </c>
      <c r="O118" s="3" t="s">
        <v>24</v>
      </c>
      <c r="P118" s="3" t="s">
        <v>19</v>
      </c>
    </row>
    <row r="119" spans="1:16" x14ac:dyDescent="0.4">
      <c r="A119" s="7">
        <v>118</v>
      </c>
      <c r="B119" s="8" t="s">
        <v>612</v>
      </c>
      <c r="C119" s="6" t="str">
        <f>IFERROR(IF(LEFT(D119,FIND(" ",D119)-1)="전라북도","전북특별자치도",LEFT(D119,FIND(" ",D119)-1)),"")</f>
        <v>강원특별자치도</v>
      </c>
      <c r="D119" s="3" t="s">
        <v>613</v>
      </c>
      <c r="E119" s="3" t="s">
        <v>614</v>
      </c>
      <c r="F119" s="3" t="s">
        <v>615</v>
      </c>
      <c r="G119" s="3" t="s">
        <v>19</v>
      </c>
      <c r="H119" s="3" t="s">
        <v>616</v>
      </c>
      <c r="I119" s="3" t="s">
        <v>19</v>
      </c>
      <c r="J119" s="3" t="s">
        <v>19</v>
      </c>
      <c r="K119" s="3" t="s">
        <v>21</v>
      </c>
      <c r="L119" s="3" t="s">
        <v>22</v>
      </c>
      <c r="M119" s="4">
        <v>244</v>
      </c>
      <c r="N119" s="3" t="s">
        <v>23</v>
      </c>
      <c r="O119" s="3" t="s">
        <v>24</v>
      </c>
      <c r="P119" s="3" t="s">
        <v>19</v>
      </c>
    </row>
    <row r="120" spans="1:16" hidden="1" x14ac:dyDescent="0.4">
      <c r="A120" s="7">
        <v>119</v>
      </c>
      <c r="B120" s="8" t="s">
        <v>617</v>
      </c>
      <c r="C120" s="6" t="str">
        <f>IFERROR(IF(LEFT(D120,FIND(" ",D120)-1)="전라북도","전북특별자치도",LEFT(D120,FIND(" ",D120)-1)),"")</f>
        <v>충청남도</v>
      </c>
      <c r="D120" s="3" t="s">
        <v>618</v>
      </c>
      <c r="E120" s="3" t="s">
        <v>619</v>
      </c>
      <c r="F120" s="3" t="s">
        <v>620</v>
      </c>
      <c r="G120" s="3" t="s">
        <v>19</v>
      </c>
      <c r="H120" s="3" t="s">
        <v>621</v>
      </c>
      <c r="I120" s="3" t="s">
        <v>19</v>
      </c>
      <c r="J120" s="3" t="s">
        <v>19</v>
      </c>
      <c r="K120" s="3" t="s">
        <v>21</v>
      </c>
      <c r="L120" s="3" t="s">
        <v>147</v>
      </c>
      <c r="M120" s="4">
        <v>781</v>
      </c>
      <c r="N120" s="3" t="s">
        <v>84</v>
      </c>
      <c r="O120" s="3" t="s">
        <v>281</v>
      </c>
      <c r="P120" s="3" t="s">
        <v>404</v>
      </c>
    </row>
    <row r="121" spans="1:16" hidden="1" x14ac:dyDescent="0.4">
      <c r="A121" s="7">
        <v>120</v>
      </c>
      <c r="B121" s="8" t="s">
        <v>622</v>
      </c>
      <c r="C121" s="6" t="str">
        <f>IFERROR(IF(LEFT(D121,FIND(" ",D121)-1)="전라북도","전북특별자치도",LEFT(D121,FIND(" ",D121)-1)),"")</f>
        <v>강원특별자치도</v>
      </c>
      <c r="D121" s="3" t="s">
        <v>623</v>
      </c>
      <c r="E121" s="3" t="s">
        <v>624</v>
      </c>
      <c r="F121" s="3" t="s">
        <v>625</v>
      </c>
      <c r="G121" s="3" t="s">
        <v>626</v>
      </c>
      <c r="H121" s="3" t="s">
        <v>627</v>
      </c>
      <c r="I121" s="3" t="s">
        <v>627</v>
      </c>
      <c r="J121" s="3" t="s">
        <v>19</v>
      </c>
      <c r="K121" s="3" t="s">
        <v>21</v>
      </c>
      <c r="L121" s="3" t="s">
        <v>22</v>
      </c>
      <c r="M121" s="4">
        <v>271</v>
      </c>
      <c r="N121" s="3" t="s">
        <v>23</v>
      </c>
      <c r="O121" s="3" t="s">
        <v>281</v>
      </c>
      <c r="P121" s="3" t="s">
        <v>266</v>
      </c>
    </row>
    <row r="122" spans="1:16" hidden="1" x14ac:dyDescent="0.4">
      <c r="A122" s="7">
        <v>121</v>
      </c>
      <c r="B122" s="8" t="s">
        <v>628</v>
      </c>
      <c r="C122" s="6" t="str">
        <f>IFERROR(IF(LEFT(D122,FIND(" ",D122)-1)="전라북도","전북특별자치도",LEFT(D122,FIND(" ",D122)-1)),"")</f>
        <v>강원특별자치도</v>
      </c>
      <c r="D122" s="3" t="s">
        <v>629</v>
      </c>
      <c r="E122" s="3" t="s">
        <v>630</v>
      </c>
      <c r="F122" s="3" t="s">
        <v>625</v>
      </c>
      <c r="G122" s="3" t="s">
        <v>626</v>
      </c>
      <c r="H122" s="3" t="s">
        <v>627</v>
      </c>
      <c r="I122" s="3" t="s">
        <v>627</v>
      </c>
      <c r="J122" s="3" t="s">
        <v>19</v>
      </c>
      <c r="K122" s="3" t="s">
        <v>21</v>
      </c>
      <c r="L122" s="3" t="s">
        <v>22</v>
      </c>
      <c r="M122" s="4">
        <v>271</v>
      </c>
      <c r="N122" s="3" t="s">
        <v>23</v>
      </c>
      <c r="O122" s="3" t="s">
        <v>281</v>
      </c>
      <c r="P122" s="3" t="s">
        <v>631</v>
      </c>
    </row>
    <row r="123" spans="1:16" hidden="1" x14ac:dyDescent="0.4">
      <c r="A123" s="7">
        <v>122</v>
      </c>
      <c r="B123" s="8" t="s">
        <v>632</v>
      </c>
      <c r="C123" s="6" t="str">
        <f>IFERROR(IF(LEFT(D123,FIND(" ",D123)-1)="전라북도","전북특별자치도",LEFT(D123,FIND(" ",D123)-1)),"")</f>
        <v>경상남도</v>
      </c>
      <c r="D123" s="3" t="s">
        <v>633</v>
      </c>
      <c r="E123" s="3" t="s">
        <v>634</v>
      </c>
      <c r="F123" s="3" t="s">
        <v>635</v>
      </c>
      <c r="G123" s="3" t="s">
        <v>637</v>
      </c>
      <c r="H123" s="3" t="s">
        <v>638</v>
      </c>
      <c r="I123" s="3" t="s">
        <v>19</v>
      </c>
      <c r="J123" s="3" t="s">
        <v>19</v>
      </c>
      <c r="K123" s="3" t="s">
        <v>21</v>
      </c>
      <c r="L123" s="3" t="s">
        <v>22</v>
      </c>
      <c r="M123" s="4">
        <v>330</v>
      </c>
      <c r="N123" s="3" t="s">
        <v>129</v>
      </c>
      <c r="O123" s="3" t="s">
        <v>281</v>
      </c>
      <c r="P123" s="3" t="s">
        <v>636</v>
      </c>
    </row>
    <row r="124" spans="1:16" x14ac:dyDescent="0.4">
      <c r="A124" s="7">
        <v>123</v>
      </c>
      <c r="B124" s="8" t="s">
        <v>639</v>
      </c>
      <c r="C124" s="6" t="str">
        <f>IFERROR(IF(LEFT(D124,FIND(" ",D124)-1)="전라북도","전북특별자치도",LEFT(D124,FIND(" ",D124)-1)),"")</f>
        <v>경기도</v>
      </c>
      <c r="D124" s="3" t="s">
        <v>640</v>
      </c>
      <c r="E124" s="3" t="s">
        <v>641</v>
      </c>
      <c r="F124" s="3" t="s">
        <v>642</v>
      </c>
      <c r="G124" s="3" t="s">
        <v>19</v>
      </c>
      <c r="H124" s="3" t="s">
        <v>643</v>
      </c>
      <c r="I124" s="3" t="s">
        <v>19</v>
      </c>
      <c r="J124" s="3" t="s">
        <v>644</v>
      </c>
      <c r="K124" s="3" t="s">
        <v>21</v>
      </c>
      <c r="L124" s="3" t="s">
        <v>22</v>
      </c>
      <c r="M124" s="4">
        <v>109940</v>
      </c>
      <c r="N124" s="3" t="s">
        <v>23</v>
      </c>
      <c r="O124" s="3" t="s">
        <v>24</v>
      </c>
      <c r="P124" s="3" t="s">
        <v>19</v>
      </c>
    </row>
    <row r="125" spans="1:16" x14ac:dyDescent="0.4">
      <c r="A125" s="7">
        <v>124</v>
      </c>
      <c r="B125" s="8" t="s">
        <v>645</v>
      </c>
      <c r="C125" s="6" t="str">
        <f>IFERROR(IF(LEFT(D125,FIND(" ",D125)-1)="전라북도","전북특별자치도",LEFT(D125,FIND(" ",D125)-1)),"")</f>
        <v>전라남도</v>
      </c>
      <c r="D125" s="3" t="s">
        <v>646</v>
      </c>
      <c r="E125" s="3" t="s">
        <v>647</v>
      </c>
      <c r="F125" s="3" t="s">
        <v>648</v>
      </c>
      <c r="G125" s="3" t="s">
        <v>649</v>
      </c>
      <c r="H125" s="3" t="s">
        <v>650</v>
      </c>
      <c r="I125" s="3" t="s">
        <v>650</v>
      </c>
      <c r="J125" s="3" t="s">
        <v>651</v>
      </c>
      <c r="K125" s="3" t="s">
        <v>21</v>
      </c>
      <c r="L125" s="3" t="s">
        <v>22</v>
      </c>
      <c r="M125" s="4">
        <v>638</v>
      </c>
      <c r="N125" s="3" t="s">
        <v>129</v>
      </c>
      <c r="O125" s="3" t="s">
        <v>24</v>
      </c>
      <c r="P125" s="3" t="s">
        <v>19</v>
      </c>
    </row>
    <row r="126" spans="1:16" hidden="1" x14ac:dyDescent="0.4">
      <c r="A126" s="7">
        <v>125</v>
      </c>
      <c r="B126" s="8" t="s">
        <v>652</v>
      </c>
      <c r="C126" s="6" t="str">
        <f>IFERROR(IF(LEFT(D126,FIND(" ",D126)-1)="전라북도","전북특별자치도",LEFT(D126,FIND(" ",D126)-1)),"")</f>
        <v>충청남도</v>
      </c>
      <c r="D126" s="3" t="s">
        <v>653</v>
      </c>
      <c r="E126" s="3" t="s">
        <v>654</v>
      </c>
      <c r="F126" s="3" t="s">
        <v>655</v>
      </c>
      <c r="G126" s="3" t="s">
        <v>19</v>
      </c>
      <c r="H126" s="3" t="s">
        <v>603</v>
      </c>
      <c r="I126" s="3" t="s">
        <v>19</v>
      </c>
      <c r="J126" s="3" t="s">
        <v>19</v>
      </c>
      <c r="K126" s="3" t="s">
        <v>21</v>
      </c>
      <c r="L126" s="3" t="s">
        <v>147</v>
      </c>
      <c r="M126" s="4">
        <v>501</v>
      </c>
      <c r="N126" s="3" t="s">
        <v>657</v>
      </c>
      <c r="O126" s="3" t="s">
        <v>281</v>
      </c>
      <c r="P126" s="3" t="s">
        <v>656</v>
      </c>
    </row>
    <row r="127" spans="1:16" hidden="1" x14ac:dyDescent="0.4">
      <c r="A127" s="7">
        <v>126</v>
      </c>
      <c r="B127" s="8" t="s">
        <v>658</v>
      </c>
      <c r="C127" s="6" t="str">
        <f>IFERROR(IF(LEFT(D127,FIND(" ",D127)-1)="전라북도","전북특별자치도",LEFT(D127,FIND(" ",D127)-1)),"")</f>
        <v>경상북도</v>
      </c>
      <c r="D127" s="3" t="s">
        <v>659</v>
      </c>
      <c r="E127" s="3" t="s">
        <v>660</v>
      </c>
      <c r="F127" s="3" t="s">
        <v>655</v>
      </c>
      <c r="G127" s="3" t="s">
        <v>662</v>
      </c>
      <c r="H127" s="3" t="s">
        <v>663</v>
      </c>
      <c r="I127" s="3" t="s">
        <v>664</v>
      </c>
      <c r="J127" s="3" t="s">
        <v>19</v>
      </c>
      <c r="K127" s="3" t="s">
        <v>21</v>
      </c>
      <c r="L127" s="3" t="s">
        <v>22</v>
      </c>
      <c r="M127" s="4">
        <v>442</v>
      </c>
      <c r="N127" s="3" t="s">
        <v>23</v>
      </c>
      <c r="O127" s="3" t="s">
        <v>281</v>
      </c>
      <c r="P127" s="3" t="s">
        <v>661</v>
      </c>
    </row>
    <row r="128" spans="1:16" x14ac:dyDescent="0.4">
      <c r="A128" s="7">
        <v>127</v>
      </c>
      <c r="B128" s="8" t="s">
        <v>665</v>
      </c>
      <c r="C128" s="6" t="str">
        <f>IFERROR(IF(LEFT(D128,FIND(" ",D128)-1)="전라북도","전북특별자치도",LEFT(D128,FIND(" ",D128)-1)),"")</f>
        <v>경상북도</v>
      </c>
      <c r="D128" s="3" t="s">
        <v>666</v>
      </c>
      <c r="E128" s="3" t="s">
        <v>667</v>
      </c>
      <c r="F128" s="3" t="s">
        <v>668</v>
      </c>
      <c r="G128" s="3" t="s">
        <v>669</v>
      </c>
      <c r="H128" s="3" t="s">
        <v>670</v>
      </c>
      <c r="I128" s="3" t="s">
        <v>670</v>
      </c>
      <c r="J128" s="3" t="s">
        <v>19</v>
      </c>
      <c r="K128" s="3" t="s">
        <v>21</v>
      </c>
      <c r="L128" s="3" t="s">
        <v>22</v>
      </c>
      <c r="M128" s="4">
        <v>694</v>
      </c>
      <c r="N128" s="3" t="s">
        <v>671</v>
      </c>
      <c r="O128" s="3" t="s">
        <v>24</v>
      </c>
      <c r="P128" s="3" t="s">
        <v>19</v>
      </c>
    </row>
    <row r="129" spans="1:16" x14ac:dyDescent="0.4">
      <c r="A129" s="7">
        <v>128</v>
      </c>
      <c r="B129" s="8" t="s">
        <v>672</v>
      </c>
      <c r="C129" s="6" t="str">
        <f>IFERROR(IF(LEFT(D129,FIND(" ",D129)-1)="전라북도","전북특별자치도",LEFT(D129,FIND(" ",D129)-1)),"")</f>
        <v>제주특별자치도</v>
      </c>
      <c r="D129" s="3" t="s">
        <v>673</v>
      </c>
      <c r="E129" s="3" t="s">
        <v>674</v>
      </c>
      <c r="F129" s="3" t="s">
        <v>668</v>
      </c>
      <c r="G129" s="3" t="s">
        <v>675</v>
      </c>
      <c r="H129" s="3" t="s">
        <v>676</v>
      </c>
      <c r="I129" s="3" t="s">
        <v>19</v>
      </c>
      <c r="J129" s="3" t="s">
        <v>19</v>
      </c>
      <c r="K129" s="3" t="s">
        <v>21</v>
      </c>
      <c r="L129" s="3" t="s">
        <v>22</v>
      </c>
      <c r="M129" s="4">
        <v>653</v>
      </c>
      <c r="N129" s="3" t="s">
        <v>84</v>
      </c>
      <c r="O129" s="3" t="s">
        <v>24</v>
      </c>
      <c r="P129" s="3" t="s">
        <v>19</v>
      </c>
    </row>
    <row r="130" spans="1:16" x14ac:dyDescent="0.4">
      <c r="A130" s="7">
        <v>129</v>
      </c>
      <c r="B130" s="8" t="s">
        <v>677</v>
      </c>
      <c r="C130" s="6" t="str">
        <f>IFERROR(IF(LEFT(D130,FIND(" ",D130)-1)="전라북도","전북특별자치도",LEFT(D130,FIND(" ",D130)-1)),"")</f>
        <v>강원특별자치도</v>
      </c>
      <c r="D130" s="3" t="s">
        <v>678</v>
      </c>
      <c r="E130" s="3" t="s">
        <v>679</v>
      </c>
      <c r="F130" s="3" t="s">
        <v>680</v>
      </c>
      <c r="G130" s="3" t="s">
        <v>19</v>
      </c>
      <c r="H130" s="3" t="s">
        <v>681</v>
      </c>
      <c r="I130" s="3" t="s">
        <v>19</v>
      </c>
      <c r="J130" s="3" t="s">
        <v>19</v>
      </c>
      <c r="K130" s="3" t="s">
        <v>21</v>
      </c>
      <c r="L130" s="3" t="s">
        <v>22</v>
      </c>
      <c r="M130" s="4">
        <v>80772</v>
      </c>
      <c r="N130" s="3" t="s">
        <v>23</v>
      </c>
      <c r="O130" s="3" t="s">
        <v>24</v>
      </c>
      <c r="P130" s="3" t="s">
        <v>19</v>
      </c>
    </row>
    <row r="131" spans="1:16" x14ac:dyDescent="0.4">
      <c r="A131" s="7">
        <v>130</v>
      </c>
      <c r="B131" s="8" t="s">
        <v>682</v>
      </c>
      <c r="C131" s="6" t="str">
        <f>IFERROR(IF(LEFT(D131,FIND(" ",D131)-1)="전라북도","전북특별자치도",LEFT(D131,FIND(" ",D131)-1)),"")</f>
        <v>충청북도</v>
      </c>
      <c r="D131" s="3" t="s">
        <v>683</v>
      </c>
      <c r="E131" s="3" t="s">
        <v>684</v>
      </c>
      <c r="F131" s="3" t="s">
        <v>685</v>
      </c>
      <c r="G131" s="3" t="s">
        <v>19</v>
      </c>
      <c r="H131" s="3" t="s">
        <v>686</v>
      </c>
      <c r="I131" s="3" t="s">
        <v>19</v>
      </c>
      <c r="J131" s="3" t="s">
        <v>19</v>
      </c>
      <c r="K131" s="3" t="s">
        <v>21</v>
      </c>
      <c r="L131" s="3" t="s">
        <v>22</v>
      </c>
      <c r="M131" s="4">
        <v>599</v>
      </c>
      <c r="N131" s="3" t="s">
        <v>23</v>
      </c>
      <c r="O131" s="3" t="s">
        <v>24</v>
      </c>
      <c r="P131" s="3" t="s">
        <v>19</v>
      </c>
    </row>
    <row r="132" spans="1:16" hidden="1" x14ac:dyDescent="0.4">
      <c r="A132" s="7">
        <v>131</v>
      </c>
      <c r="B132" s="8" t="s">
        <v>687</v>
      </c>
      <c r="C132" s="6" t="str">
        <f>IFERROR(IF(LEFT(D132,FIND(" ",D132)-1)="전라북도","전북특별자치도",LEFT(D132,FIND(" ",D132)-1)),"")</f>
        <v>강원특별자치도</v>
      </c>
      <c r="D132" s="3" t="s">
        <v>688</v>
      </c>
      <c r="E132" s="3" t="s">
        <v>689</v>
      </c>
      <c r="F132" s="3" t="s">
        <v>690</v>
      </c>
      <c r="G132" s="3" t="s">
        <v>691</v>
      </c>
      <c r="H132" s="3" t="s">
        <v>128</v>
      </c>
      <c r="I132" s="3" t="s">
        <v>19</v>
      </c>
      <c r="J132" s="3" t="s">
        <v>692</v>
      </c>
      <c r="K132" s="3" t="s">
        <v>21</v>
      </c>
      <c r="L132" s="3" t="s">
        <v>147</v>
      </c>
      <c r="M132" s="4">
        <v>703</v>
      </c>
      <c r="N132" s="3" t="s">
        <v>23</v>
      </c>
      <c r="O132" s="3" t="s">
        <v>281</v>
      </c>
      <c r="P132" s="3" t="s">
        <v>477</v>
      </c>
    </row>
    <row r="133" spans="1:16" hidden="1" x14ac:dyDescent="0.4">
      <c r="A133" s="7">
        <v>132</v>
      </c>
      <c r="B133" s="8" t="s">
        <v>693</v>
      </c>
      <c r="C133" s="6" t="str">
        <f>IFERROR(IF(LEFT(D133,FIND(" ",D133)-1)="전라북도","전북특별자치도",LEFT(D133,FIND(" ",D133)-1)),"")</f>
        <v>경기도</v>
      </c>
      <c r="D133" s="3" t="s">
        <v>694</v>
      </c>
      <c r="E133" s="3" t="s">
        <v>695</v>
      </c>
      <c r="F133" s="3" t="s">
        <v>696</v>
      </c>
      <c r="G133" s="3" t="s">
        <v>19</v>
      </c>
      <c r="H133" s="3" t="s">
        <v>697</v>
      </c>
      <c r="I133" s="3" t="s">
        <v>19</v>
      </c>
      <c r="J133" s="3" t="s">
        <v>19</v>
      </c>
      <c r="K133" s="3" t="s">
        <v>21</v>
      </c>
      <c r="L133" s="3" t="s">
        <v>147</v>
      </c>
      <c r="M133" s="4">
        <v>900</v>
      </c>
      <c r="N133" s="3" t="s">
        <v>23</v>
      </c>
      <c r="O133" s="3" t="s">
        <v>281</v>
      </c>
      <c r="P133" s="3" t="s">
        <v>587</v>
      </c>
    </row>
    <row r="134" spans="1:16" hidden="1" x14ac:dyDescent="0.4">
      <c r="A134" s="7">
        <v>133</v>
      </c>
      <c r="B134" s="8" t="s">
        <v>698</v>
      </c>
      <c r="C134" s="6" t="str">
        <f>IFERROR(IF(LEFT(D134,FIND(" ",D134)-1)="전라북도","전북특별자치도",LEFT(D134,FIND(" ",D134)-1)),"")</f>
        <v>경기도</v>
      </c>
      <c r="D134" s="3" t="s">
        <v>694</v>
      </c>
      <c r="E134" s="3" t="s">
        <v>695</v>
      </c>
      <c r="F134" s="3" t="s">
        <v>696</v>
      </c>
      <c r="G134" s="3" t="s">
        <v>19</v>
      </c>
      <c r="H134" s="3" t="s">
        <v>697</v>
      </c>
      <c r="I134" s="3" t="s">
        <v>19</v>
      </c>
      <c r="J134" s="3" t="s">
        <v>19</v>
      </c>
      <c r="K134" s="3" t="s">
        <v>21</v>
      </c>
      <c r="L134" s="3" t="s">
        <v>147</v>
      </c>
      <c r="M134" s="4">
        <v>889</v>
      </c>
      <c r="N134" s="3" t="s">
        <v>23</v>
      </c>
      <c r="O134" s="3" t="s">
        <v>281</v>
      </c>
      <c r="P134" s="3" t="s">
        <v>587</v>
      </c>
    </row>
    <row r="135" spans="1:16" x14ac:dyDescent="0.4">
      <c r="A135" s="7">
        <v>134</v>
      </c>
      <c r="B135" s="8" t="s">
        <v>699</v>
      </c>
      <c r="C135" s="6" t="str">
        <f>IFERROR(IF(LEFT(D135,FIND(" ",D135)-1)="전라북도","전북특별자치도",LEFT(D135,FIND(" ",D135)-1)),"")</f>
        <v>강원특별자치도</v>
      </c>
      <c r="D135" s="3" t="s">
        <v>700</v>
      </c>
      <c r="E135" s="3" t="s">
        <v>701</v>
      </c>
      <c r="F135" s="3" t="s">
        <v>702</v>
      </c>
      <c r="G135" s="3" t="s">
        <v>19</v>
      </c>
      <c r="H135" s="3" t="s">
        <v>703</v>
      </c>
      <c r="I135" s="3" t="s">
        <v>19</v>
      </c>
      <c r="J135" s="3" t="s">
        <v>704</v>
      </c>
      <c r="K135" s="3" t="s">
        <v>21</v>
      </c>
      <c r="L135" s="3" t="s">
        <v>22</v>
      </c>
      <c r="M135" s="4">
        <v>2088</v>
      </c>
      <c r="N135" s="3" t="s">
        <v>23</v>
      </c>
      <c r="O135" s="3" t="s">
        <v>24</v>
      </c>
      <c r="P135" s="3" t="s">
        <v>19</v>
      </c>
    </row>
    <row r="136" spans="1:16" hidden="1" x14ac:dyDescent="0.4">
      <c r="A136" s="7">
        <v>135</v>
      </c>
      <c r="B136" s="8" t="s">
        <v>705</v>
      </c>
      <c r="C136" s="6" t="str">
        <f>IFERROR(IF(LEFT(D136,FIND(" ",D136)-1)="전라북도","전북특별자치도",LEFT(D136,FIND(" ",D136)-1)),"")</f>
        <v>경상남도</v>
      </c>
      <c r="D136" s="3" t="s">
        <v>706</v>
      </c>
      <c r="E136" s="3" t="s">
        <v>707</v>
      </c>
      <c r="F136" s="3" t="s">
        <v>630</v>
      </c>
      <c r="G136" s="3" t="s">
        <v>19</v>
      </c>
      <c r="H136" s="3" t="s">
        <v>708</v>
      </c>
      <c r="I136" s="3" t="s">
        <v>19</v>
      </c>
      <c r="J136" s="3" t="s">
        <v>19</v>
      </c>
      <c r="K136" s="3" t="s">
        <v>21</v>
      </c>
      <c r="L136" s="3" t="s">
        <v>147</v>
      </c>
      <c r="M136" s="4">
        <v>214</v>
      </c>
      <c r="N136" s="3" t="s">
        <v>211</v>
      </c>
      <c r="O136" s="3" t="s">
        <v>281</v>
      </c>
      <c r="P136" s="3" t="s">
        <v>655</v>
      </c>
    </row>
    <row r="137" spans="1:16" hidden="1" x14ac:dyDescent="0.4">
      <c r="A137" s="7">
        <v>136</v>
      </c>
      <c r="B137" s="8" t="s">
        <v>709</v>
      </c>
      <c r="C137" s="6" t="str">
        <f>IFERROR(IF(LEFT(D137,FIND(" ",D137)-1)="전라북도","전북특별자치도",LEFT(D137,FIND(" ",D137)-1)),"")</f>
        <v>경상남도</v>
      </c>
      <c r="D137" s="3" t="s">
        <v>710</v>
      </c>
      <c r="E137" s="3" t="s">
        <v>707</v>
      </c>
      <c r="F137" s="3" t="s">
        <v>630</v>
      </c>
      <c r="G137" s="3" t="s">
        <v>19</v>
      </c>
      <c r="H137" s="3" t="s">
        <v>708</v>
      </c>
      <c r="I137" s="3" t="s">
        <v>19</v>
      </c>
      <c r="J137" s="3" t="s">
        <v>19</v>
      </c>
      <c r="K137" s="3" t="s">
        <v>21</v>
      </c>
      <c r="L137" s="3" t="s">
        <v>147</v>
      </c>
      <c r="M137" s="4">
        <v>180</v>
      </c>
      <c r="N137" s="3" t="s">
        <v>211</v>
      </c>
      <c r="O137" s="3" t="s">
        <v>281</v>
      </c>
      <c r="P137" s="3" t="s">
        <v>655</v>
      </c>
    </row>
    <row r="138" spans="1:16" x14ac:dyDescent="0.4">
      <c r="A138" s="7">
        <v>137</v>
      </c>
      <c r="B138" s="8" t="s">
        <v>711</v>
      </c>
      <c r="C138" s="6" t="str">
        <f>IFERROR(IF(LEFT(D138,FIND(" ",D138)-1)="전라북도","전북특별자치도",LEFT(D138,FIND(" ",D138)-1)),"")</f>
        <v>전북특별자치도</v>
      </c>
      <c r="D138" s="3" t="s">
        <v>712</v>
      </c>
      <c r="E138" s="3" t="s">
        <v>713</v>
      </c>
      <c r="F138" s="3" t="s">
        <v>630</v>
      </c>
      <c r="G138" s="3" t="s">
        <v>19</v>
      </c>
      <c r="H138" s="3" t="s">
        <v>714</v>
      </c>
      <c r="I138" s="3" t="s">
        <v>19</v>
      </c>
      <c r="J138" s="3" t="s">
        <v>715</v>
      </c>
      <c r="K138" s="3" t="s">
        <v>21</v>
      </c>
      <c r="L138" s="3" t="s">
        <v>22</v>
      </c>
      <c r="M138" s="4">
        <v>14242</v>
      </c>
      <c r="N138" s="3" t="s">
        <v>23</v>
      </c>
      <c r="O138" s="3" t="s">
        <v>24</v>
      </c>
      <c r="P138" s="3" t="s">
        <v>19</v>
      </c>
    </row>
    <row r="139" spans="1:16" hidden="1" x14ac:dyDescent="0.4">
      <c r="A139" s="7">
        <v>138</v>
      </c>
      <c r="B139" s="8" t="s">
        <v>716</v>
      </c>
      <c r="C139" s="6" t="str">
        <f>IFERROR(IF(LEFT(D139,FIND(" ",D139)-1)="전라북도","전북특별자치도",LEFT(D139,FIND(" ",D139)-1)),"")</f>
        <v>경상남도</v>
      </c>
      <c r="D139" s="3" t="s">
        <v>717</v>
      </c>
      <c r="E139" s="3" t="s">
        <v>718</v>
      </c>
      <c r="F139" s="3" t="s">
        <v>719</v>
      </c>
      <c r="G139" s="3" t="s">
        <v>721</v>
      </c>
      <c r="H139" s="3" t="s">
        <v>722</v>
      </c>
      <c r="I139" s="3" t="s">
        <v>19</v>
      </c>
      <c r="J139" s="3" t="s">
        <v>721</v>
      </c>
      <c r="K139" s="3" t="s">
        <v>21</v>
      </c>
      <c r="L139" s="3" t="s">
        <v>147</v>
      </c>
      <c r="M139" s="4">
        <v>1664</v>
      </c>
      <c r="N139" s="3" t="s">
        <v>23</v>
      </c>
      <c r="O139" s="3" t="s">
        <v>281</v>
      </c>
      <c r="P139" s="3" t="s">
        <v>720</v>
      </c>
    </row>
    <row r="140" spans="1:16" hidden="1" x14ac:dyDescent="0.4">
      <c r="A140" s="7">
        <v>139</v>
      </c>
      <c r="B140" s="8" t="s">
        <v>723</v>
      </c>
      <c r="C140" s="6" t="str">
        <f>IFERROR(IF(LEFT(D140,FIND(" ",D140)-1)="전라북도","전북특별자치도",LEFT(D140,FIND(" ",D140)-1)),"")</f>
        <v>서울특별시</v>
      </c>
      <c r="D140" s="3" t="s">
        <v>724</v>
      </c>
      <c r="E140" s="3" t="s">
        <v>725</v>
      </c>
      <c r="F140" s="3" t="s">
        <v>726</v>
      </c>
      <c r="G140" s="3" t="s">
        <v>19</v>
      </c>
      <c r="H140" s="3" t="s">
        <v>728</v>
      </c>
      <c r="I140" s="3" t="s">
        <v>728</v>
      </c>
      <c r="J140" s="3" t="s">
        <v>19</v>
      </c>
      <c r="K140" s="3" t="s">
        <v>21</v>
      </c>
      <c r="L140" s="3" t="s">
        <v>147</v>
      </c>
      <c r="M140" s="4">
        <v>846</v>
      </c>
      <c r="N140" s="3" t="s">
        <v>23</v>
      </c>
      <c r="O140" s="3" t="s">
        <v>281</v>
      </c>
      <c r="P140" s="3" t="s">
        <v>727</v>
      </c>
    </row>
    <row r="141" spans="1:16" x14ac:dyDescent="0.4">
      <c r="A141" s="7">
        <v>140</v>
      </c>
      <c r="B141" s="8" t="s">
        <v>729</v>
      </c>
      <c r="C141" s="6" t="str">
        <f>IFERROR(IF(LEFT(D141,FIND(" ",D141)-1)="전라북도","전북특별자치도",LEFT(D141,FIND(" ",D141)-1)),"")</f>
        <v>전북특별자치도</v>
      </c>
      <c r="D141" s="3" t="s">
        <v>730</v>
      </c>
      <c r="E141" s="3" t="s">
        <v>731</v>
      </c>
      <c r="F141" s="3" t="s">
        <v>707</v>
      </c>
      <c r="G141" s="3" t="s">
        <v>19</v>
      </c>
      <c r="H141" s="3" t="s">
        <v>732</v>
      </c>
      <c r="I141" s="3" t="s">
        <v>19</v>
      </c>
      <c r="J141" s="3" t="s">
        <v>19</v>
      </c>
      <c r="K141" s="3" t="s">
        <v>21</v>
      </c>
      <c r="L141" s="3" t="s">
        <v>22</v>
      </c>
      <c r="M141" s="4">
        <v>1682</v>
      </c>
      <c r="N141" s="3" t="s">
        <v>23</v>
      </c>
      <c r="O141" s="3" t="s">
        <v>24</v>
      </c>
      <c r="P141" s="3" t="s">
        <v>19</v>
      </c>
    </row>
    <row r="142" spans="1:16" x14ac:dyDescent="0.4">
      <c r="A142" s="7">
        <v>141</v>
      </c>
      <c r="B142" s="8" t="s">
        <v>733</v>
      </c>
      <c r="C142" s="6" t="str">
        <f>IFERROR(IF(LEFT(D142,FIND(" ",D142)-1)="전라북도","전북특별자치도",LEFT(D142,FIND(" ",D142)-1)),"")</f>
        <v>경상북도</v>
      </c>
      <c r="D142" s="3" t="s">
        <v>734</v>
      </c>
      <c r="E142" s="3" t="s">
        <v>735</v>
      </c>
      <c r="F142" s="3" t="s">
        <v>736</v>
      </c>
      <c r="G142" s="3" t="s">
        <v>19</v>
      </c>
      <c r="H142" s="3" t="s">
        <v>524</v>
      </c>
      <c r="I142" s="3" t="s">
        <v>19</v>
      </c>
      <c r="J142" s="3" t="s">
        <v>19</v>
      </c>
      <c r="K142" s="3" t="s">
        <v>21</v>
      </c>
      <c r="L142" s="3" t="s">
        <v>22</v>
      </c>
      <c r="M142" s="4">
        <v>495</v>
      </c>
      <c r="N142" s="3" t="s">
        <v>23</v>
      </c>
      <c r="O142" s="3" t="s">
        <v>24</v>
      </c>
      <c r="P142" s="3" t="s">
        <v>19</v>
      </c>
    </row>
    <row r="143" spans="1:16" hidden="1" x14ac:dyDescent="0.4">
      <c r="A143" s="7">
        <v>142</v>
      </c>
      <c r="B143" s="8" t="s">
        <v>737</v>
      </c>
      <c r="C143" s="6" t="str">
        <f>IFERROR(IF(LEFT(D143,FIND(" ",D143)-1)="전라북도","전북특별자치도",LEFT(D143,FIND(" ",D143)-1)),"")</f>
        <v>경상북도</v>
      </c>
      <c r="D143" s="3" t="s">
        <v>738</v>
      </c>
      <c r="E143" s="3" t="s">
        <v>739</v>
      </c>
      <c r="F143" s="3" t="s">
        <v>740</v>
      </c>
      <c r="G143" s="3" t="s">
        <v>742</v>
      </c>
      <c r="H143" s="3" t="s">
        <v>743</v>
      </c>
      <c r="I143" s="3" t="s">
        <v>19</v>
      </c>
      <c r="J143" s="3" t="s">
        <v>19</v>
      </c>
      <c r="K143" s="3" t="s">
        <v>21</v>
      </c>
      <c r="L143" s="3" t="s">
        <v>22</v>
      </c>
      <c r="M143" s="4">
        <v>422</v>
      </c>
      <c r="N143" s="3" t="s">
        <v>123</v>
      </c>
      <c r="O143" s="3" t="s">
        <v>281</v>
      </c>
      <c r="P143" s="3" t="s">
        <v>741</v>
      </c>
    </row>
    <row r="144" spans="1:16" hidden="1" x14ac:dyDescent="0.4">
      <c r="A144" s="7">
        <v>143</v>
      </c>
      <c r="B144" s="8" t="s">
        <v>744</v>
      </c>
      <c r="C144" s="6" t="str">
        <f>IFERROR(IF(LEFT(D144,FIND(" ",D144)-1)="전라북도","전북특별자치도",LEFT(D144,FIND(" ",D144)-1)),"")</f>
        <v>충청북도</v>
      </c>
      <c r="D144" s="3" t="s">
        <v>745</v>
      </c>
      <c r="E144" s="3" t="s">
        <v>746</v>
      </c>
      <c r="F144" s="3" t="s">
        <v>747</v>
      </c>
      <c r="G144" s="3" t="s">
        <v>749</v>
      </c>
      <c r="H144" s="3" t="s">
        <v>621</v>
      </c>
      <c r="I144" s="3" t="s">
        <v>621</v>
      </c>
      <c r="J144" s="3" t="s">
        <v>750</v>
      </c>
      <c r="K144" s="3" t="s">
        <v>21</v>
      </c>
      <c r="L144" s="3" t="s">
        <v>228</v>
      </c>
      <c r="M144" s="4">
        <v>2451</v>
      </c>
      <c r="N144" s="3" t="s">
        <v>23</v>
      </c>
      <c r="O144" s="3" t="s">
        <v>281</v>
      </c>
      <c r="P144" s="3" t="s">
        <v>748</v>
      </c>
    </row>
    <row r="145" spans="1:16" x14ac:dyDescent="0.4">
      <c r="A145" s="7">
        <v>144</v>
      </c>
      <c r="B145" s="8" t="s">
        <v>751</v>
      </c>
      <c r="C145" s="6" t="str">
        <f>IFERROR(IF(LEFT(D145,FIND(" ",D145)-1)="전라북도","전북특별자치도",LEFT(D145,FIND(" ",D145)-1)),"")</f>
        <v>경상북도</v>
      </c>
      <c r="D145" s="3" t="s">
        <v>752</v>
      </c>
      <c r="E145" s="3" t="s">
        <v>753</v>
      </c>
      <c r="F145" s="3" t="s">
        <v>754</v>
      </c>
      <c r="G145" s="3" t="s">
        <v>755</v>
      </c>
      <c r="H145" s="3" t="s">
        <v>756</v>
      </c>
      <c r="I145" s="3" t="s">
        <v>19</v>
      </c>
      <c r="J145" s="3" t="s">
        <v>19</v>
      </c>
      <c r="K145" s="3" t="s">
        <v>21</v>
      </c>
      <c r="L145" s="3" t="s">
        <v>22</v>
      </c>
      <c r="M145" s="4">
        <v>1795</v>
      </c>
      <c r="N145" s="3" t="s">
        <v>23</v>
      </c>
      <c r="O145" s="3" t="s">
        <v>24</v>
      </c>
      <c r="P145" s="3" t="s">
        <v>19</v>
      </c>
    </row>
    <row r="146" spans="1:16" hidden="1" x14ac:dyDescent="0.4">
      <c r="A146" s="7">
        <v>145</v>
      </c>
      <c r="B146" s="8" t="s">
        <v>757</v>
      </c>
      <c r="C146" s="6" t="str">
        <f>IFERROR(IF(LEFT(D146,FIND(" ",D146)-1)="전라북도","전북특별자치도",LEFT(D146,FIND(" ",D146)-1)),"")</f>
        <v>경기도</v>
      </c>
      <c r="D146" s="3" t="s">
        <v>758</v>
      </c>
      <c r="E146" s="3" t="s">
        <v>759</v>
      </c>
      <c r="F146" s="3" t="s">
        <v>760</v>
      </c>
      <c r="G146" s="3" t="s">
        <v>762</v>
      </c>
      <c r="H146" s="3" t="s">
        <v>763</v>
      </c>
      <c r="I146" s="3" t="s">
        <v>19</v>
      </c>
      <c r="J146" s="3" t="s">
        <v>762</v>
      </c>
      <c r="K146" s="3" t="s">
        <v>21</v>
      </c>
      <c r="L146" s="3" t="s">
        <v>147</v>
      </c>
      <c r="M146" s="4">
        <v>2761</v>
      </c>
      <c r="N146" s="3" t="s">
        <v>129</v>
      </c>
      <c r="O146" s="3" t="s">
        <v>281</v>
      </c>
      <c r="P146" s="3" t="s">
        <v>761</v>
      </c>
    </row>
    <row r="147" spans="1:16" hidden="1" x14ac:dyDescent="0.4">
      <c r="A147" s="7">
        <v>146</v>
      </c>
      <c r="B147" s="8" t="s">
        <v>764</v>
      </c>
      <c r="C147" s="6" t="str">
        <f>IFERROR(IF(LEFT(D147,FIND(" ",D147)-1)="전라북도","전북특별자치도",LEFT(D147,FIND(" ",D147)-1)),"")</f>
        <v>인천광역시</v>
      </c>
      <c r="D147" s="3" t="s">
        <v>765</v>
      </c>
      <c r="E147" s="3" t="s">
        <v>766</v>
      </c>
      <c r="F147" s="3" t="s">
        <v>767</v>
      </c>
      <c r="G147" s="3" t="s">
        <v>19</v>
      </c>
      <c r="H147" s="3" t="s">
        <v>768</v>
      </c>
      <c r="I147" s="3" t="s">
        <v>19</v>
      </c>
      <c r="J147" s="3" t="s">
        <v>19</v>
      </c>
      <c r="K147" s="3" t="s">
        <v>21</v>
      </c>
      <c r="L147" s="3" t="s">
        <v>147</v>
      </c>
      <c r="M147" s="4">
        <v>209</v>
      </c>
      <c r="N147" s="3" t="s">
        <v>23</v>
      </c>
      <c r="O147" s="3" t="s">
        <v>281</v>
      </c>
      <c r="P147" s="3" t="s">
        <v>696</v>
      </c>
    </row>
    <row r="148" spans="1:16" hidden="1" x14ac:dyDescent="0.4">
      <c r="A148" s="7">
        <v>147</v>
      </c>
      <c r="B148" s="8" t="s">
        <v>769</v>
      </c>
      <c r="C148" s="6" t="str">
        <f>IFERROR(IF(LEFT(D148,FIND(" ",D148)-1)="전라북도","전북특별자치도",LEFT(D148,FIND(" ",D148)-1)),"")</f>
        <v>인천광역시</v>
      </c>
      <c r="D148" s="3" t="s">
        <v>770</v>
      </c>
      <c r="E148" s="3" t="s">
        <v>766</v>
      </c>
      <c r="F148" s="3" t="s">
        <v>767</v>
      </c>
      <c r="G148" s="3" t="s">
        <v>19</v>
      </c>
      <c r="H148" s="3" t="s">
        <v>768</v>
      </c>
      <c r="I148" s="3" t="s">
        <v>19</v>
      </c>
      <c r="J148" s="3" t="s">
        <v>19</v>
      </c>
      <c r="K148" s="3" t="s">
        <v>21</v>
      </c>
      <c r="L148" s="3" t="s">
        <v>147</v>
      </c>
      <c r="M148" s="4">
        <v>212</v>
      </c>
      <c r="N148" s="3" t="s">
        <v>23</v>
      </c>
      <c r="O148" s="3" t="s">
        <v>281</v>
      </c>
      <c r="P148" s="3" t="s">
        <v>696</v>
      </c>
    </row>
    <row r="149" spans="1:16" hidden="1" x14ac:dyDescent="0.4">
      <c r="A149" s="7">
        <v>148</v>
      </c>
      <c r="B149" s="8" t="s">
        <v>771</v>
      </c>
      <c r="C149" s="6" t="str">
        <f>IFERROR(IF(LEFT(D149,FIND(" ",D149)-1)="전라북도","전북특별자치도",LEFT(D149,FIND(" ",D149)-1)),"")</f>
        <v>인천광역시</v>
      </c>
      <c r="D149" s="3" t="s">
        <v>772</v>
      </c>
      <c r="E149" s="3" t="s">
        <v>766</v>
      </c>
      <c r="F149" s="3" t="s">
        <v>767</v>
      </c>
      <c r="G149" s="3" t="s">
        <v>19</v>
      </c>
      <c r="H149" s="3" t="s">
        <v>768</v>
      </c>
      <c r="I149" s="3" t="s">
        <v>19</v>
      </c>
      <c r="J149" s="3" t="s">
        <v>19</v>
      </c>
      <c r="K149" s="3" t="s">
        <v>21</v>
      </c>
      <c r="L149" s="3" t="s">
        <v>147</v>
      </c>
      <c r="M149" s="4">
        <v>212</v>
      </c>
      <c r="N149" s="3" t="s">
        <v>23</v>
      </c>
      <c r="O149" s="3" t="s">
        <v>281</v>
      </c>
      <c r="P149" s="3" t="s">
        <v>696</v>
      </c>
    </row>
    <row r="150" spans="1:16" hidden="1" x14ac:dyDescent="0.4">
      <c r="A150" s="7">
        <v>149</v>
      </c>
      <c r="B150" s="8" t="s">
        <v>773</v>
      </c>
      <c r="C150" s="6" t="str">
        <f>IFERROR(IF(LEFT(D150,FIND(" ",D150)-1)="전라북도","전북특별자치도",LEFT(D150,FIND(" ",D150)-1)),"")</f>
        <v>인천광역시</v>
      </c>
      <c r="D150" s="3" t="s">
        <v>774</v>
      </c>
      <c r="E150" s="3" t="s">
        <v>766</v>
      </c>
      <c r="F150" s="3" t="s">
        <v>767</v>
      </c>
      <c r="G150" s="3" t="s">
        <v>19</v>
      </c>
      <c r="H150" s="3" t="s">
        <v>768</v>
      </c>
      <c r="I150" s="3" t="s">
        <v>19</v>
      </c>
      <c r="J150" s="3" t="s">
        <v>19</v>
      </c>
      <c r="K150" s="3" t="s">
        <v>21</v>
      </c>
      <c r="L150" s="3" t="s">
        <v>147</v>
      </c>
      <c r="M150" s="4">
        <v>215</v>
      </c>
      <c r="N150" s="3" t="s">
        <v>23</v>
      </c>
      <c r="O150" s="3" t="s">
        <v>281</v>
      </c>
      <c r="P150" s="3" t="s">
        <v>696</v>
      </c>
    </row>
    <row r="151" spans="1:16" hidden="1" x14ac:dyDescent="0.4">
      <c r="A151" s="7">
        <v>150</v>
      </c>
      <c r="B151" s="8" t="s">
        <v>775</v>
      </c>
      <c r="C151" s="6" t="str">
        <f>IFERROR(IF(LEFT(D151,FIND(" ",D151)-1)="전라북도","전북특별자치도",LEFT(D151,FIND(" ",D151)-1)),"")</f>
        <v>인천광역시</v>
      </c>
      <c r="D151" s="3" t="s">
        <v>776</v>
      </c>
      <c r="E151" s="3" t="s">
        <v>766</v>
      </c>
      <c r="F151" s="3" t="s">
        <v>767</v>
      </c>
      <c r="G151" s="3" t="s">
        <v>19</v>
      </c>
      <c r="H151" s="3" t="s">
        <v>768</v>
      </c>
      <c r="I151" s="3" t="s">
        <v>19</v>
      </c>
      <c r="J151" s="3" t="s">
        <v>19</v>
      </c>
      <c r="K151" s="3" t="s">
        <v>21</v>
      </c>
      <c r="L151" s="3" t="s">
        <v>147</v>
      </c>
      <c r="M151" s="4">
        <v>212</v>
      </c>
      <c r="N151" s="3" t="s">
        <v>23</v>
      </c>
      <c r="O151" s="3" t="s">
        <v>281</v>
      </c>
      <c r="P151" s="3" t="s">
        <v>696</v>
      </c>
    </row>
    <row r="152" spans="1:16" x14ac:dyDescent="0.4">
      <c r="A152" s="7">
        <v>151</v>
      </c>
      <c r="B152" s="8" t="s">
        <v>777</v>
      </c>
      <c r="C152" s="6" t="str">
        <f>IFERROR(IF(LEFT(D152,FIND(" ",D152)-1)="전라북도","전북특별자치도",LEFT(D152,FIND(" ",D152)-1)),"")</f>
        <v>경기도</v>
      </c>
      <c r="D152" s="3" t="s">
        <v>778</v>
      </c>
      <c r="E152" s="3" t="s">
        <v>779</v>
      </c>
      <c r="F152" s="3" t="s">
        <v>767</v>
      </c>
      <c r="G152" s="3" t="s">
        <v>19</v>
      </c>
      <c r="H152" s="3" t="s">
        <v>780</v>
      </c>
      <c r="I152" s="3" t="s">
        <v>19</v>
      </c>
      <c r="J152" s="3" t="s">
        <v>19</v>
      </c>
      <c r="K152" s="3" t="s">
        <v>21</v>
      </c>
      <c r="L152" s="3" t="s">
        <v>22</v>
      </c>
      <c r="M152" s="4">
        <v>596</v>
      </c>
      <c r="N152" s="3" t="s">
        <v>781</v>
      </c>
      <c r="O152" s="3" t="s">
        <v>24</v>
      </c>
      <c r="P152" s="3" t="s">
        <v>19</v>
      </c>
    </row>
    <row r="153" spans="1:16" x14ac:dyDescent="0.4">
      <c r="A153" s="7">
        <v>152</v>
      </c>
      <c r="B153" s="8" t="s">
        <v>782</v>
      </c>
      <c r="C153" s="6" t="str">
        <f>IFERROR(IF(LEFT(D153,FIND(" ",D153)-1)="전라북도","전북특별자치도",LEFT(D153,FIND(" ",D153)-1)),"")</f>
        <v>강원특별자치도</v>
      </c>
      <c r="D153" s="3" t="s">
        <v>783</v>
      </c>
      <c r="E153" s="3" t="s">
        <v>784</v>
      </c>
      <c r="F153" s="3" t="s">
        <v>785</v>
      </c>
      <c r="G153" s="3" t="s">
        <v>19</v>
      </c>
      <c r="H153" s="3" t="s">
        <v>786</v>
      </c>
      <c r="I153" s="3" t="s">
        <v>19</v>
      </c>
      <c r="J153" s="3" t="s">
        <v>787</v>
      </c>
      <c r="K153" s="3" t="s">
        <v>21</v>
      </c>
      <c r="L153" s="3" t="s">
        <v>22</v>
      </c>
      <c r="M153" s="4">
        <v>2591</v>
      </c>
      <c r="N153" s="3" t="s">
        <v>23</v>
      </c>
      <c r="O153" s="3" t="s">
        <v>24</v>
      </c>
      <c r="P153" s="3" t="s">
        <v>19</v>
      </c>
    </row>
    <row r="154" spans="1:16" x14ac:dyDescent="0.4">
      <c r="A154" s="7">
        <v>153</v>
      </c>
      <c r="B154" s="8" t="s">
        <v>788</v>
      </c>
      <c r="C154" s="6" t="str">
        <f>IFERROR(IF(LEFT(D154,FIND(" ",D154)-1)="전라북도","전북특별자치도",LEFT(D154,FIND(" ",D154)-1)),"")</f>
        <v>강원특별자치도</v>
      </c>
      <c r="D154" s="3" t="s">
        <v>789</v>
      </c>
      <c r="E154" s="3" t="s">
        <v>790</v>
      </c>
      <c r="F154" s="3" t="s">
        <v>746</v>
      </c>
      <c r="G154" s="3" t="s">
        <v>19</v>
      </c>
      <c r="H154" s="3" t="s">
        <v>458</v>
      </c>
      <c r="I154" s="3" t="s">
        <v>19</v>
      </c>
      <c r="J154" s="3" t="s">
        <v>19</v>
      </c>
      <c r="K154" s="3" t="s">
        <v>21</v>
      </c>
      <c r="L154" s="3" t="s">
        <v>22</v>
      </c>
      <c r="M154" s="4">
        <v>16871</v>
      </c>
      <c r="N154" s="3" t="s">
        <v>23</v>
      </c>
      <c r="O154" s="3" t="s">
        <v>24</v>
      </c>
      <c r="P154" s="3" t="s">
        <v>19</v>
      </c>
    </row>
    <row r="155" spans="1:16" x14ac:dyDescent="0.4">
      <c r="A155" s="7">
        <v>154</v>
      </c>
      <c r="B155" s="8" t="s">
        <v>791</v>
      </c>
      <c r="C155" s="6" t="str">
        <f>IFERROR(IF(LEFT(D155,FIND(" ",D155)-1)="전라북도","전북특별자치도",LEFT(D155,FIND(" ",D155)-1)),"")</f>
        <v>부산광역시</v>
      </c>
      <c r="D155" s="3" t="s">
        <v>792</v>
      </c>
      <c r="E155" s="3" t="s">
        <v>793</v>
      </c>
      <c r="F155" s="3" t="s">
        <v>794</v>
      </c>
      <c r="G155" s="3" t="s">
        <v>795</v>
      </c>
      <c r="H155" s="3" t="s">
        <v>796</v>
      </c>
      <c r="I155" s="3" t="s">
        <v>797</v>
      </c>
      <c r="J155" s="3" t="s">
        <v>798</v>
      </c>
      <c r="K155" s="3" t="s">
        <v>21</v>
      </c>
      <c r="L155" s="3" t="s">
        <v>22</v>
      </c>
      <c r="M155" s="4">
        <v>3975</v>
      </c>
      <c r="N155" s="3" t="s">
        <v>23</v>
      </c>
      <c r="O155" s="3" t="s">
        <v>24</v>
      </c>
      <c r="P155" s="3" t="s">
        <v>19</v>
      </c>
    </row>
    <row r="156" spans="1:16" x14ac:dyDescent="0.4">
      <c r="A156" s="7">
        <v>155</v>
      </c>
      <c r="B156" s="8" t="s">
        <v>799</v>
      </c>
      <c r="C156" s="6" t="str">
        <f>IFERROR(IF(LEFT(D156,FIND(" ",D156)-1)="전라북도","전북특별자치도",LEFT(D156,FIND(" ",D156)-1)),"")</f>
        <v>강원특별자치도</v>
      </c>
      <c r="D156" s="3" t="s">
        <v>800</v>
      </c>
      <c r="E156" s="3" t="s">
        <v>766</v>
      </c>
      <c r="F156" s="3" t="s">
        <v>695</v>
      </c>
      <c r="G156" s="3" t="s">
        <v>19</v>
      </c>
      <c r="H156" s="3" t="s">
        <v>100</v>
      </c>
      <c r="I156" s="3" t="s">
        <v>19</v>
      </c>
      <c r="J156" s="3" t="s">
        <v>19</v>
      </c>
      <c r="K156" s="3" t="s">
        <v>21</v>
      </c>
      <c r="L156" s="3" t="s">
        <v>22</v>
      </c>
      <c r="M156" s="4">
        <v>50</v>
      </c>
      <c r="N156" s="3" t="s">
        <v>84</v>
      </c>
      <c r="O156" s="3" t="s">
        <v>24</v>
      </c>
      <c r="P156" s="3" t="s">
        <v>19</v>
      </c>
    </row>
    <row r="157" spans="1:16" hidden="1" x14ac:dyDescent="0.4">
      <c r="A157" s="7">
        <v>156</v>
      </c>
      <c r="B157" s="8" t="s">
        <v>801</v>
      </c>
      <c r="C157" s="6" t="str">
        <f>IFERROR(IF(LEFT(D157,FIND(" ",D157)-1)="전라북도","전북특별자치도",LEFT(D157,FIND(" ",D157)-1)),"")</f>
        <v>충청남도</v>
      </c>
      <c r="D157" s="3" t="s">
        <v>802</v>
      </c>
      <c r="E157" s="3" t="s">
        <v>803</v>
      </c>
      <c r="F157" s="3" t="s">
        <v>804</v>
      </c>
      <c r="G157" s="3" t="s">
        <v>806</v>
      </c>
      <c r="H157" s="3" t="s">
        <v>19</v>
      </c>
      <c r="I157" s="3" t="s">
        <v>19</v>
      </c>
      <c r="J157" s="3" t="s">
        <v>806</v>
      </c>
      <c r="K157" s="3" t="s">
        <v>21</v>
      </c>
      <c r="L157" s="3" t="s">
        <v>358</v>
      </c>
      <c r="M157" s="4">
        <v>318</v>
      </c>
      <c r="N157" s="3" t="s">
        <v>23</v>
      </c>
      <c r="O157" s="3" t="s">
        <v>281</v>
      </c>
      <c r="P157" s="3" t="s">
        <v>805</v>
      </c>
    </row>
    <row r="158" spans="1:16" x14ac:dyDescent="0.4">
      <c r="A158" s="7">
        <v>157</v>
      </c>
      <c r="B158" s="8" t="s">
        <v>807</v>
      </c>
      <c r="C158" s="6" t="str">
        <f>IFERROR(IF(LEFT(D158,FIND(" ",D158)-1)="전라북도","전북특별자치도",LEFT(D158,FIND(" ",D158)-1)),"")</f>
        <v>경상남도</v>
      </c>
      <c r="D158" s="3" t="s">
        <v>808</v>
      </c>
      <c r="E158" s="3" t="s">
        <v>809</v>
      </c>
      <c r="F158" s="3" t="s">
        <v>810</v>
      </c>
      <c r="G158" s="3" t="s">
        <v>19</v>
      </c>
      <c r="H158" s="3" t="s">
        <v>811</v>
      </c>
      <c r="I158" s="3" t="s">
        <v>19</v>
      </c>
      <c r="J158" s="3" t="s">
        <v>19</v>
      </c>
      <c r="K158" s="3" t="s">
        <v>21</v>
      </c>
      <c r="L158" s="3" t="s">
        <v>22</v>
      </c>
      <c r="M158" s="4">
        <v>3101</v>
      </c>
      <c r="N158" s="3" t="s">
        <v>23</v>
      </c>
      <c r="O158" s="3" t="s">
        <v>24</v>
      </c>
      <c r="P158" s="3" t="s">
        <v>19</v>
      </c>
    </row>
    <row r="159" spans="1:16" x14ac:dyDescent="0.4">
      <c r="A159" s="7">
        <v>158</v>
      </c>
      <c r="B159" s="8" t="s">
        <v>812</v>
      </c>
      <c r="C159" s="6" t="str">
        <f>IFERROR(IF(LEFT(D159,FIND(" ",D159)-1)="전라북도","전북특별자치도",LEFT(D159,FIND(" ",D159)-1)),"")</f>
        <v>경기도</v>
      </c>
      <c r="D159" s="3" t="s">
        <v>813</v>
      </c>
      <c r="E159" s="3" t="s">
        <v>814</v>
      </c>
      <c r="F159" s="3" t="s">
        <v>815</v>
      </c>
      <c r="G159" s="3" t="s">
        <v>816</v>
      </c>
      <c r="H159" s="3" t="s">
        <v>19</v>
      </c>
      <c r="I159" s="3" t="s">
        <v>19</v>
      </c>
      <c r="J159" s="3" t="s">
        <v>19</v>
      </c>
      <c r="K159" s="3" t="s">
        <v>21</v>
      </c>
      <c r="L159" s="3" t="s">
        <v>22</v>
      </c>
      <c r="M159" s="4">
        <v>2343</v>
      </c>
      <c r="N159" s="3" t="s">
        <v>23</v>
      </c>
      <c r="O159" s="3" t="s">
        <v>24</v>
      </c>
      <c r="P159" s="3" t="s">
        <v>19</v>
      </c>
    </row>
    <row r="160" spans="1:16" hidden="1" x14ac:dyDescent="0.4">
      <c r="A160" s="7">
        <v>159</v>
      </c>
      <c r="B160" s="8" t="s">
        <v>817</v>
      </c>
      <c r="C160" s="6" t="str">
        <f>IFERROR(IF(LEFT(D160,FIND(" ",D160)-1)="전라북도","전북특별자치도",LEFT(D160,FIND(" ",D160)-1)),"")</f>
        <v>경기도</v>
      </c>
      <c r="D160" s="3" t="s">
        <v>818</v>
      </c>
      <c r="E160" s="3" t="s">
        <v>819</v>
      </c>
      <c r="F160" s="3" t="s">
        <v>820</v>
      </c>
      <c r="G160" s="3" t="s">
        <v>822</v>
      </c>
      <c r="H160" s="3" t="s">
        <v>823</v>
      </c>
      <c r="I160" s="3" t="s">
        <v>19</v>
      </c>
      <c r="J160" s="3" t="s">
        <v>822</v>
      </c>
      <c r="K160" s="3" t="s">
        <v>21</v>
      </c>
      <c r="L160" s="3" t="s">
        <v>22</v>
      </c>
      <c r="M160" s="4">
        <v>225</v>
      </c>
      <c r="N160" s="3" t="s">
        <v>824</v>
      </c>
      <c r="O160" s="3" t="s">
        <v>281</v>
      </c>
      <c r="P160" s="3" t="s">
        <v>821</v>
      </c>
    </row>
    <row r="161" spans="1:16" x14ac:dyDescent="0.4">
      <c r="A161" s="7">
        <v>160</v>
      </c>
      <c r="B161" s="8" t="s">
        <v>825</v>
      </c>
      <c r="C161" s="6" t="str">
        <f>IFERROR(IF(LEFT(D161,FIND(" ",D161)-1)="전라북도","전북특별자치도",LEFT(D161,FIND(" ",D161)-1)),"")</f>
        <v>충청남도</v>
      </c>
      <c r="D161" s="3" t="s">
        <v>826</v>
      </c>
      <c r="E161" s="3" t="s">
        <v>827</v>
      </c>
      <c r="F161" s="3" t="s">
        <v>828</v>
      </c>
      <c r="G161" s="3" t="s">
        <v>19</v>
      </c>
      <c r="H161" s="3" t="s">
        <v>62</v>
      </c>
      <c r="I161" s="3" t="s">
        <v>19</v>
      </c>
      <c r="J161" s="3" t="s">
        <v>829</v>
      </c>
      <c r="K161" s="3" t="s">
        <v>21</v>
      </c>
      <c r="L161" s="3" t="s">
        <v>22</v>
      </c>
      <c r="M161" s="4">
        <v>99938</v>
      </c>
      <c r="N161" s="3" t="s">
        <v>23</v>
      </c>
      <c r="O161" s="3" t="s">
        <v>24</v>
      </c>
      <c r="P161" s="3" t="s">
        <v>19</v>
      </c>
    </row>
    <row r="162" spans="1:16" x14ac:dyDescent="0.4">
      <c r="A162" s="7">
        <v>161</v>
      </c>
      <c r="B162" s="8" t="s">
        <v>830</v>
      </c>
      <c r="C162" s="6" t="str">
        <f>IFERROR(IF(LEFT(D162,FIND(" ",D162)-1)="전라북도","전북특별자치도",LEFT(D162,FIND(" ",D162)-1)),"")</f>
        <v>전라남도</v>
      </c>
      <c r="D162" s="3" t="s">
        <v>831</v>
      </c>
      <c r="E162" s="3" t="s">
        <v>832</v>
      </c>
      <c r="F162" s="3" t="s">
        <v>833</v>
      </c>
      <c r="G162" s="3" t="s">
        <v>19</v>
      </c>
      <c r="H162" s="3" t="s">
        <v>834</v>
      </c>
      <c r="I162" s="3" t="s">
        <v>834</v>
      </c>
      <c r="J162" s="3" t="s">
        <v>19</v>
      </c>
      <c r="K162" s="3" t="s">
        <v>21</v>
      </c>
      <c r="L162" s="3" t="s">
        <v>22</v>
      </c>
      <c r="M162" s="4">
        <v>316</v>
      </c>
      <c r="N162" s="3" t="s">
        <v>23</v>
      </c>
      <c r="O162" s="3" t="s">
        <v>24</v>
      </c>
      <c r="P162" s="3" t="s">
        <v>19</v>
      </c>
    </row>
    <row r="163" spans="1:16" hidden="1" x14ac:dyDescent="0.4">
      <c r="A163" s="7">
        <v>162</v>
      </c>
      <c r="B163" s="8" t="s">
        <v>835</v>
      </c>
      <c r="C163" s="6" t="str">
        <f>IFERROR(IF(LEFT(D163,FIND(" ",D163)-1)="전라북도","전북특별자치도",LEFT(D163,FIND(" ",D163)-1)),"")</f>
        <v>제주특별자치도</v>
      </c>
      <c r="D163" s="3" t="s">
        <v>836</v>
      </c>
      <c r="E163" s="3" t="s">
        <v>91</v>
      </c>
      <c r="F163" s="3" t="s">
        <v>837</v>
      </c>
      <c r="G163" s="3" t="s">
        <v>838</v>
      </c>
      <c r="H163" s="3" t="s">
        <v>839</v>
      </c>
      <c r="I163" s="3" t="s">
        <v>840</v>
      </c>
      <c r="J163" s="3" t="s">
        <v>19</v>
      </c>
      <c r="K163" s="3" t="s">
        <v>21</v>
      </c>
      <c r="L163" s="3" t="s">
        <v>22</v>
      </c>
      <c r="M163" s="4">
        <v>471</v>
      </c>
      <c r="N163" s="3" t="s">
        <v>23</v>
      </c>
      <c r="O163" s="3" t="s">
        <v>281</v>
      </c>
      <c r="P163" s="3" t="s">
        <v>390</v>
      </c>
    </row>
    <row r="164" spans="1:16" x14ac:dyDescent="0.4">
      <c r="A164" s="7">
        <v>163</v>
      </c>
      <c r="B164" s="8" t="s">
        <v>841</v>
      </c>
      <c r="C164" s="6" t="str">
        <f>IFERROR(IF(LEFT(D164,FIND(" ",D164)-1)="전라북도","전북특별자치도",LEFT(D164,FIND(" ",D164)-1)),"")</f>
        <v>충청북도</v>
      </c>
      <c r="D164" s="3" t="s">
        <v>842</v>
      </c>
      <c r="E164" s="3" t="s">
        <v>843</v>
      </c>
      <c r="F164" s="3" t="s">
        <v>819</v>
      </c>
      <c r="G164" s="3" t="s">
        <v>844</v>
      </c>
      <c r="H164" s="3" t="s">
        <v>845</v>
      </c>
      <c r="I164" s="3" t="s">
        <v>846</v>
      </c>
      <c r="J164" s="3" t="s">
        <v>847</v>
      </c>
      <c r="K164" s="3" t="s">
        <v>21</v>
      </c>
      <c r="L164" s="3" t="s">
        <v>22</v>
      </c>
      <c r="M164" s="4">
        <v>2996</v>
      </c>
      <c r="N164" s="3" t="s">
        <v>23</v>
      </c>
      <c r="O164" s="3" t="s">
        <v>24</v>
      </c>
      <c r="P164" s="3" t="s">
        <v>19</v>
      </c>
    </row>
    <row r="165" spans="1:16" x14ac:dyDescent="0.4">
      <c r="A165" s="7">
        <v>164</v>
      </c>
      <c r="B165" s="8" t="s">
        <v>848</v>
      </c>
      <c r="C165" s="6" t="str">
        <f>IFERROR(IF(LEFT(D165,FIND(" ",D165)-1)="전라북도","전북특별자치도",LEFT(D165,FIND(" ",D165)-1)),"")</f>
        <v>제주특별자치도</v>
      </c>
      <c r="D165" s="3" t="s">
        <v>849</v>
      </c>
      <c r="E165" s="3" t="s">
        <v>850</v>
      </c>
      <c r="F165" s="3" t="s">
        <v>851</v>
      </c>
      <c r="G165" s="3" t="s">
        <v>19</v>
      </c>
      <c r="H165" s="3" t="s">
        <v>852</v>
      </c>
      <c r="I165" s="3" t="s">
        <v>19</v>
      </c>
      <c r="J165" s="3" t="s">
        <v>19</v>
      </c>
      <c r="K165" s="3" t="s">
        <v>21</v>
      </c>
      <c r="L165" s="3" t="s">
        <v>22</v>
      </c>
      <c r="M165" s="4">
        <v>1499</v>
      </c>
      <c r="N165" s="3" t="s">
        <v>23</v>
      </c>
      <c r="O165" s="3" t="s">
        <v>24</v>
      </c>
      <c r="P165" s="3" t="s">
        <v>19</v>
      </c>
    </row>
    <row r="166" spans="1:16" x14ac:dyDescent="0.4">
      <c r="A166" s="7">
        <v>165</v>
      </c>
      <c r="B166" s="8" t="s">
        <v>853</v>
      </c>
      <c r="C166" s="6" t="str">
        <f>IFERROR(IF(LEFT(D166,FIND(" ",D166)-1)="전라북도","전북특별자치도",LEFT(D166,FIND(" ",D166)-1)),"")</f>
        <v>경상남도</v>
      </c>
      <c r="D166" s="3" t="s">
        <v>854</v>
      </c>
      <c r="E166" s="3" t="s">
        <v>850</v>
      </c>
      <c r="F166" s="3" t="s">
        <v>855</v>
      </c>
      <c r="G166" s="3" t="s">
        <v>19</v>
      </c>
      <c r="H166" s="3" t="s">
        <v>856</v>
      </c>
      <c r="I166" s="3" t="s">
        <v>19</v>
      </c>
      <c r="J166" s="3" t="s">
        <v>857</v>
      </c>
      <c r="K166" s="3" t="s">
        <v>21</v>
      </c>
      <c r="L166" s="3" t="s">
        <v>22</v>
      </c>
      <c r="M166" s="4">
        <v>4933</v>
      </c>
      <c r="N166" s="3" t="s">
        <v>23</v>
      </c>
      <c r="O166" s="3" t="s">
        <v>24</v>
      </c>
      <c r="P166" s="3" t="s">
        <v>19</v>
      </c>
    </row>
    <row r="167" spans="1:16" hidden="1" x14ac:dyDescent="0.4">
      <c r="A167" s="7">
        <v>166</v>
      </c>
      <c r="B167" s="8" t="s">
        <v>858</v>
      </c>
      <c r="C167" s="6" t="str">
        <f>IFERROR(IF(LEFT(D167,FIND(" ",D167)-1)="전라북도","전북특별자치도",LEFT(D167,FIND(" ",D167)-1)),"")</f>
        <v>충청남도</v>
      </c>
      <c r="D167" s="3" t="s">
        <v>859</v>
      </c>
      <c r="E167" s="3" t="s">
        <v>860</v>
      </c>
      <c r="F167" s="3" t="s">
        <v>861</v>
      </c>
      <c r="G167" s="3" t="s">
        <v>862</v>
      </c>
      <c r="H167" s="3" t="s">
        <v>863</v>
      </c>
      <c r="I167" s="3" t="s">
        <v>864</v>
      </c>
      <c r="J167" s="3" t="s">
        <v>19</v>
      </c>
      <c r="K167" s="3" t="s">
        <v>21</v>
      </c>
      <c r="L167" s="3" t="s">
        <v>22</v>
      </c>
      <c r="M167" s="4">
        <v>1472</v>
      </c>
      <c r="N167" s="3" t="s">
        <v>23</v>
      </c>
      <c r="O167" s="3" t="s">
        <v>281</v>
      </c>
      <c r="P167" s="3" t="s">
        <v>294</v>
      </c>
    </row>
    <row r="168" spans="1:16" x14ac:dyDescent="0.4">
      <c r="A168" s="7">
        <v>167</v>
      </c>
      <c r="B168" s="8" t="s">
        <v>865</v>
      </c>
      <c r="C168" s="6" t="str">
        <f>IFERROR(IF(LEFT(D168,FIND(" ",D168)-1)="전라북도","전북특별자치도",LEFT(D168,FIND(" ",D168)-1)),"")</f>
        <v>인천광역시</v>
      </c>
      <c r="D168" s="3" t="s">
        <v>866</v>
      </c>
      <c r="E168" s="3" t="s">
        <v>867</v>
      </c>
      <c r="F168" s="3" t="s">
        <v>868</v>
      </c>
      <c r="G168" s="3" t="s">
        <v>19</v>
      </c>
      <c r="H168" s="3" t="s">
        <v>869</v>
      </c>
      <c r="I168" s="3" t="s">
        <v>19</v>
      </c>
      <c r="J168" s="3" t="s">
        <v>19</v>
      </c>
      <c r="K168" s="3" t="s">
        <v>21</v>
      </c>
      <c r="L168" s="3" t="s">
        <v>22</v>
      </c>
      <c r="M168" s="4">
        <v>738</v>
      </c>
      <c r="N168" s="3" t="s">
        <v>23</v>
      </c>
      <c r="O168" s="3" t="s">
        <v>24</v>
      </c>
      <c r="P168" s="3" t="s">
        <v>19</v>
      </c>
    </row>
    <row r="169" spans="1:16" x14ac:dyDescent="0.4">
      <c r="A169" s="7">
        <v>168</v>
      </c>
      <c r="B169" s="8" t="s">
        <v>870</v>
      </c>
      <c r="C169" s="6" t="str">
        <f>IFERROR(IF(LEFT(D169,FIND(" ",D169)-1)="전라북도","전북특별자치도",LEFT(D169,FIND(" ",D169)-1)),"")</f>
        <v>강원특별자치도</v>
      </c>
      <c r="D169" s="3" t="s">
        <v>871</v>
      </c>
      <c r="E169" s="3" t="s">
        <v>872</v>
      </c>
      <c r="F169" s="3" t="s">
        <v>868</v>
      </c>
      <c r="G169" s="3" t="s">
        <v>19</v>
      </c>
      <c r="H169" s="3" t="s">
        <v>873</v>
      </c>
      <c r="I169" s="3" t="s">
        <v>873</v>
      </c>
      <c r="J169" s="3" t="s">
        <v>874</v>
      </c>
      <c r="K169" s="3" t="s">
        <v>21</v>
      </c>
      <c r="L169" s="3" t="s">
        <v>22</v>
      </c>
      <c r="M169" s="4">
        <v>4998</v>
      </c>
      <c r="N169" s="3" t="s">
        <v>23</v>
      </c>
      <c r="O169" s="3" t="s">
        <v>24</v>
      </c>
      <c r="P169" s="3" t="s">
        <v>19</v>
      </c>
    </row>
    <row r="170" spans="1:16" hidden="1" x14ac:dyDescent="0.4">
      <c r="A170" s="7">
        <v>169</v>
      </c>
      <c r="B170" s="8" t="s">
        <v>875</v>
      </c>
      <c r="C170" s="6" t="str">
        <f>IFERROR(IF(LEFT(D170,FIND(" ",D170)-1)="전라북도","전북특별자치도",LEFT(D170,FIND(" ",D170)-1)),"")</f>
        <v>충청남도</v>
      </c>
      <c r="D170" s="3" t="s">
        <v>876</v>
      </c>
      <c r="E170" s="3" t="s">
        <v>877</v>
      </c>
      <c r="F170" s="3" t="s">
        <v>878</v>
      </c>
      <c r="G170" s="3" t="s">
        <v>19</v>
      </c>
      <c r="H170" s="3" t="s">
        <v>157</v>
      </c>
      <c r="I170" s="3" t="s">
        <v>19</v>
      </c>
      <c r="J170" s="3" t="s">
        <v>19</v>
      </c>
      <c r="K170" s="3" t="s">
        <v>21</v>
      </c>
      <c r="L170" s="3" t="s">
        <v>147</v>
      </c>
      <c r="M170" s="4">
        <v>543</v>
      </c>
      <c r="N170" s="3" t="s">
        <v>23</v>
      </c>
      <c r="O170" s="3" t="s">
        <v>281</v>
      </c>
      <c r="P170" s="3" t="s">
        <v>879</v>
      </c>
    </row>
    <row r="171" spans="1:16" hidden="1" x14ac:dyDescent="0.4">
      <c r="A171" s="7">
        <v>170</v>
      </c>
      <c r="B171" s="8" t="s">
        <v>880</v>
      </c>
      <c r="C171" s="6" t="str">
        <f>IFERROR(IF(LEFT(D171,FIND(" ",D171)-1)="전라북도","전북특별자치도",LEFT(D171,FIND(" ",D171)-1)),"")</f>
        <v>경기도</v>
      </c>
      <c r="D171" s="3" t="s">
        <v>881</v>
      </c>
      <c r="E171" s="3" t="s">
        <v>882</v>
      </c>
      <c r="F171" s="3" t="s">
        <v>883</v>
      </c>
      <c r="G171" s="3" t="s">
        <v>19</v>
      </c>
      <c r="H171" s="3" t="s">
        <v>885</v>
      </c>
      <c r="I171" s="3" t="s">
        <v>19</v>
      </c>
      <c r="J171" s="3" t="s">
        <v>19</v>
      </c>
      <c r="K171" s="3" t="s">
        <v>21</v>
      </c>
      <c r="L171" s="3" t="s">
        <v>147</v>
      </c>
      <c r="M171" s="4">
        <v>142</v>
      </c>
      <c r="N171" s="3" t="s">
        <v>886</v>
      </c>
      <c r="O171" s="3" t="s">
        <v>281</v>
      </c>
      <c r="P171" s="3" t="s">
        <v>884</v>
      </c>
    </row>
    <row r="172" spans="1:16" hidden="1" x14ac:dyDescent="0.4">
      <c r="A172" s="7">
        <v>171</v>
      </c>
      <c r="B172" s="8" t="s">
        <v>887</v>
      </c>
      <c r="C172" s="6" t="str">
        <f>IFERROR(IF(LEFT(D172,FIND(" ",D172)-1)="전라북도","전북특별자치도",LEFT(D172,FIND(" ",D172)-1)),"")</f>
        <v>인천광역시</v>
      </c>
      <c r="D172" s="3" t="s">
        <v>888</v>
      </c>
      <c r="E172" s="3" t="s">
        <v>889</v>
      </c>
      <c r="F172" s="3" t="s">
        <v>753</v>
      </c>
      <c r="G172" s="3" t="s">
        <v>19</v>
      </c>
      <c r="H172" s="3" t="s">
        <v>890</v>
      </c>
      <c r="I172" s="3" t="s">
        <v>19</v>
      </c>
      <c r="J172" s="3" t="s">
        <v>19</v>
      </c>
      <c r="K172" s="3" t="s">
        <v>21</v>
      </c>
      <c r="L172" s="3" t="s">
        <v>147</v>
      </c>
      <c r="M172" s="4">
        <v>626</v>
      </c>
      <c r="N172" s="3" t="s">
        <v>84</v>
      </c>
      <c r="O172" s="3" t="s">
        <v>281</v>
      </c>
      <c r="P172" s="3" t="s">
        <v>398</v>
      </c>
    </row>
    <row r="173" spans="1:16" x14ac:dyDescent="0.4">
      <c r="A173" s="7">
        <v>172</v>
      </c>
      <c r="B173" s="8" t="s">
        <v>891</v>
      </c>
      <c r="C173" s="6" t="str">
        <f>IFERROR(IF(LEFT(D173,FIND(" ",D173)-1)="전라북도","전북특별자치도",LEFT(D173,FIND(" ",D173)-1)),"")</f>
        <v>경상북도</v>
      </c>
      <c r="D173" s="3" t="s">
        <v>892</v>
      </c>
      <c r="E173" s="3" t="s">
        <v>893</v>
      </c>
      <c r="F173" s="3" t="s">
        <v>753</v>
      </c>
      <c r="G173" s="3" t="s">
        <v>894</v>
      </c>
      <c r="H173" s="3" t="s">
        <v>895</v>
      </c>
      <c r="I173" s="3" t="s">
        <v>896</v>
      </c>
      <c r="J173" s="3" t="s">
        <v>19</v>
      </c>
      <c r="K173" s="3" t="s">
        <v>21</v>
      </c>
      <c r="L173" s="3" t="s">
        <v>22</v>
      </c>
      <c r="M173" s="4">
        <v>5920</v>
      </c>
      <c r="N173" s="3" t="s">
        <v>23</v>
      </c>
      <c r="O173" s="3" t="s">
        <v>24</v>
      </c>
      <c r="P173" s="3" t="s">
        <v>19</v>
      </c>
    </row>
    <row r="174" spans="1:16" x14ac:dyDescent="0.4">
      <c r="A174" s="7">
        <v>173</v>
      </c>
      <c r="B174" s="8" t="s">
        <v>897</v>
      </c>
      <c r="C174" s="6" t="str">
        <f>IFERROR(IF(LEFT(D174,FIND(" ",D174)-1)="전라북도","전북특별자치도",LEFT(D174,FIND(" ",D174)-1)),"")</f>
        <v>충청남도</v>
      </c>
      <c r="D174" s="3" t="s">
        <v>898</v>
      </c>
      <c r="E174" s="3" t="s">
        <v>549</v>
      </c>
      <c r="F174" s="3" t="s">
        <v>899</v>
      </c>
      <c r="G174" s="3" t="s">
        <v>19</v>
      </c>
      <c r="H174" s="3" t="s">
        <v>900</v>
      </c>
      <c r="I174" s="3" t="s">
        <v>19</v>
      </c>
      <c r="J174" s="3" t="s">
        <v>901</v>
      </c>
      <c r="K174" s="3" t="s">
        <v>21</v>
      </c>
      <c r="L174" s="3" t="s">
        <v>22</v>
      </c>
      <c r="M174" s="4">
        <v>2055</v>
      </c>
      <c r="N174" s="3" t="s">
        <v>23</v>
      </c>
      <c r="O174" s="3" t="s">
        <v>24</v>
      </c>
      <c r="P174" s="3" t="s">
        <v>19</v>
      </c>
    </row>
    <row r="175" spans="1:16" x14ac:dyDescent="0.4">
      <c r="A175" s="7">
        <v>174</v>
      </c>
      <c r="B175" s="8" t="s">
        <v>902</v>
      </c>
      <c r="C175" s="6" t="str">
        <f>IFERROR(IF(LEFT(D175,FIND(" ",D175)-1)="전라북도","전북특별자치도",LEFT(D175,FIND(" ",D175)-1)),"")</f>
        <v>경기도</v>
      </c>
      <c r="D175" s="3" t="s">
        <v>903</v>
      </c>
      <c r="E175" s="3" t="s">
        <v>904</v>
      </c>
      <c r="F175" s="3" t="s">
        <v>905</v>
      </c>
      <c r="G175" s="3" t="s">
        <v>19</v>
      </c>
      <c r="H175" s="3" t="s">
        <v>93</v>
      </c>
      <c r="I175" s="3" t="s">
        <v>19</v>
      </c>
      <c r="J175" s="3" t="s">
        <v>415</v>
      </c>
      <c r="K175" s="3" t="s">
        <v>21</v>
      </c>
      <c r="L175" s="3" t="s">
        <v>22</v>
      </c>
      <c r="M175" s="4">
        <v>99409</v>
      </c>
      <c r="N175" s="3" t="s">
        <v>906</v>
      </c>
      <c r="O175" s="3" t="s">
        <v>24</v>
      </c>
      <c r="P175" s="3" t="s">
        <v>19</v>
      </c>
    </row>
    <row r="176" spans="1:16" hidden="1" x14ac:dyDescent="0.4">
      <c r="A176" s="7">
        <v>175</v>
      </c>
      <c r="B176" s="8" t="s">
        <v>907</v>
      </c>
      <c r="C176" s="6" t="str">
        <f>IFERROR(IF(LEFT(D176,FIND(" ",D176)-1)="전라북도","전북특별자치도",LEFT(D176,FIND(" ",D176)-1)),"")</f>
        <v>경상북도</v>
      </c>
      <c r="D176" s="3" t="s">
        <v>908</v>
      </c>
      <c r="E176" s="3" t="s">
        <v>909</v>
      </c>
      <c r="F176" s="3" t="s">
        <v>484</v>
      </c>
      <c r="G176" s="3" t="s">
        <v>19</v>
      </c>
      <c r="H176" s="3" t="s">
        <v>910</v>
      </c>
      <c r="I176" s="3" t="s">
        <v>19</v>
      </c>
      <c r="J176" s="3" t="s">
        <v>19</v>
      </c>
      <c r="K176" s="3" t="s">
        <v>21</v>
      </c>
      <c r="L176" s="3" t="s">
        <v>147</v>
      </c>
      <c r="M176" s="4">
        <v>718</v>
      </c>
      <c r="N176" s="3" t="s">
        <v>23</v>
      </c>
      <c r="O176" s="3" t="s">
        <v>281</v>
      </c>
      <c r="P176" s="3" t="s">
        <v>418</v>
      </c>
    </row>
    <row r="177" spans="1:16" x14ac:dyDescent="0.4">
      <c r="A177" s="7">
        <v>176</v>
      </c>
      <c r="B177" s="8" t="s">
        <v>911</v>
      </c>
      <c r="C177" s="6" t="str">
        <f>IFERROR(IF(LEFT(D177,FIND(" ",D177)-1)="전라북도","전북특별자치도",LEFT(D177,FIND(" ",D177)-1)),"")</f>
        <v>강원특별자치도</v>
      </c>
      <c r="D177" s="3" t="s">
        <v>912</v>
      </c>
      <c r="E177" s="3" t="s">
        <v>913</v>
      </c>
      <c r="F177" s="3" t="s">
        <v>914</v>
      </c>
      <c r="G177" s="3" t="s">
        <v>915</v>
      </c>
      <c r="H177" s="3" t="s">
        <v>916</v>
      </c>
      <c r="I177" s="3" t="s">
        <v>916</v>
      </c>
      <c r="J177" s="3" t="s">
        <v>19</v>
      </c>
      <c r="K177" s="3" t="s">
        <v>21</v>
      </c>
      <c r="L177" s="3" t="s">
        <v>22</v>
      </c>
      <c r="M177" s="4">
        <v>1483</v>
      </c>
      <c r="N177" s="3" t="s">
        <v>23</v>
      </c>
      <c r="O177" s="3" t="s">
        <v>24</v>
      </c>
      <c r="P177" s="3" t="s">
        <v>19</v>
      </c>
    </row>
    <row r="178" spans="1:16" x14ac:dyDescent="0.4">
      <c r="A178" s="7">
        <v>177</v>
      </c>
      <c r="B178" s="8" t="s">
        <v>917</v>
      </c>
      <c r="C178" s="6" t="str">
        <f>IFERROR(IF(LEFT(D178,FIND(" ",D178)-1)="전라북도","전북특별자치도",LEFT(D178,FIND(" ",D178)-1)),"")</f>
        <v>전북특별자치도</v>
      </c>
      <c r="D178" s="3" t="s">
        <v>918</v>
      </c>
      <c r="E178" s="3" t="s">
        <v>919</v>
      </c>
      <c r="F178" s="3" t="s">
        <v>920</v>
      </c>
      <c r="G178" s="3" t="s">
        <v>19</v>
      </c>
      <c r="H178" s="3" t="s">
        <v>921</v>
      </c>
      <c r="I178" s="3" t="s">
        <v>19</v>
      </c>
      <c r="J178" s="3" t="s">
        <v>19</v>
      </c>
      <c r="K178" s="3" t="s">
        <v>21</v>
      </c>
      <c r="L178" s="3" t="s">
        <v>22</v>
      </c>
      <c r="M178" s="4">
        <v>588</v>
      </c>
      <c r="N178" s="3" t="s">
        <v>23</v>
      </c>
      <c r="O178" s="3" t="s">
        <v>24</v>
      </c>
      <c r="P178" s="3" t="s">
        <v>19</v>
      </c>
    </row>
    <row r="179" spans="1:16" x14ac:dyDescent="0.4">
      <c r="A179" s="7">
        <v>178</v>
      </c>
      <c r="B179" s="8" t="s">
        <v>922</v>
      </c>
      <c r="C179" s="6" t="str">
        <f>IFERROR(IF(LEFT(D179,FIND(" ",D179)-1)="전라북도","전북특별자치도",LEFT(D179,FIND(" ",D179)-1)),"")</f>
        <v>충청남도</v>
      </c>
      <c r="D179" s="3" t="s">
        <v>923</v>
      </c>
      <c r="E179" s="3" t="s">
        <v>924</v>
      </c>
      <c r="F179" s="3" t="s">
        <v>925</v>
      </c>
      <c r="G179" s="3" t="s">
        <v>926</v>
      </c>
      <c r="H179" s="3" t="s">
        <v>927</v>
      </c>
      <c r="I179" s="3" t="s">
        <v>927</v>
      </c>
      <c r="J179" s="3" t="s">
        <v>19</v>
      </c>
      <c r="K179" s="3" t="s">
        <v>21</v>
      </c>
      <c r="L179" s="3" t="s">
        <v>22</v>
      </c>
      <c r="M179" s="4">
        <v>2513</v>
      </c>
      <c r="N179" s="3" t="s">
        <v>23</v>
      </c>
      <c r="O179" s="3" t="s">
        <v>24</v>
      </c>
      <c r="P179" s="3" t="s">
        <v>19</v>
      </c>
    </row>
    <row r="180" spans="1:16" x14ac:dyDescent="0.4">
      <c r="A180" s="7">
        <v>179</v>
      </c>
      <c r="B180" s="8" t="s">
        <v>928</v>
      </c>
      <c r="C180" s="6" t="str">
        <f>IFERROR(IF(LEFT(D180,FIND(" ",D180)-1)="전라북도","전북특별자치도",LEFT(D180,FIND(" ",D180)-1)),"")</f>
        <v>인천광역시</v>
      </c>
      <c r="D180" s="3" t="s">
        <v>929</v>
      </c>
      <c r="E180" s="3" t="s">
        <v>930</v>
      </c>
      <c r="F180" s="3" t="s">
        <v>931</v>
      </c>
      <c r="G180" s="3" t="s">
        <v>932</v>
      </c>
      <c r="H180" s="3" t="s">
        <v>933</v>
      </c>
      <c r="I180" s="3" t="s">
        <v>933</v>
      </c>
      <c r="J180" s="3" t="s">
        <v>19</v>
      </c>
      <c r="K180" s="3" t="s">
        <v>64</v>
      </c>
      <c r="L180" s="3" t="s">
        <v>22</v>
      </c>
      <c r="M180" s="4">
        <v>14679</v>
      </c>
      <c r="N180" s="3" t="s">
        <v>23</v>
      </c>
      <c r="O180" s="3" t="s">
        <v>24</v>
      </c>
      <c r="P180" s="3" t="s">
        <v>19</v>
      </c>
    </row>
    <row r="181" spans="1:16" hidden="1" x14ac:dyDescent="0.4">
      <c r="A181" s="7">
        <v>180</v>
      </c>
      <c r="B181" s="8" t="s">
        <v>934</v>
      </c>
      <c r="C181" s="6" t="str">
        <f>IFERROR(IF(LEFT(D181,FIND(" ",D181)-1)="전라북도","전북특별자치도",LEFT(D181,FIND(" ",D181)-1)),"")</f>
        <v>강원특별자치도</v>
      </c>
      <c r="D181" s="3" t="s">
        <v>935</v>
      </c>
      <c r="E181" s="3" t="s">
        <v>936</v>
      </c>
      <c r="F181" s="3" t="s">
        <v>937</v>
      </c>
      <c r="G181" s="3" t="s">
        <v>939</v>
      </c>
      <c r="H181" s="3" t="s">
        <v>940</v>
      </c>
      <c r="I181" s="3" t="s">
        <v>940</v>
      </c>
      <c r="J181" s="3" t="s">
        <v>19</v>
      </c>
      <c r="K181" s="3" t="s">
        <v>21</v>
      </c>
      <c r="L181" s="3" t="s">
        <v>22</v>
      </c>
      <c r="M181" s="4">
        <v>355</v>
      </c>
      <c r="N181" s="3" t="s">
        <v>129</v>
      </c>
      <c r="O181" s="3" t="s">
        <v>281</v>
      </c>
      <c r="P181" s="3" t="s">
        <v>938</v>
      </c>
    </row>
    <row r="182" spans="1:16" x14ac:dyDescent="0.4">
      <c r="A182" s="7">
        <v>181</v>
      </c>
      <c r="B182" s="8" t="s">
        <v>941</v>
      </c>
      <c r="C182" s="6" t="str">
        <f>IFERROR(IF(LEFT(D182,FIND(" ",D182)-1)="전라북도","전북특별자치도",LEFT(D182,FIND(" ",D182)-1)),"")</f>
        <v>경기도</v>
      </c>
      <c r="D182" s="3" t="s">
        <v>942</v>
      </c>
      <c r="E182" s="3" t="s">
        <v>943</v>
      </c>
      <c r="F182" s="3" t="s">
        <v>944</v>
      </c>
      <c r="G182" s="3" t="s">
        <v>19</v>
      </c>
      <c r="H182" s="3" t="s">
        <v>151</v>
      </c>
      <c r="I182" s="3" t="s">
        <v>19</v>
      </c>
      <c r="J182" s="3" t="s">
        <v>945</v>
      </c>
      <c r="K182" s="3" t="s">
        <v>21</v>
      </c>
      <c r="L182" s="3" t="s">
        <v>22</v>
      </c>
      <c r="M182" s="4">
        <v>29977</v>
      </c>
      <c r="N182" s="3" t="s">
        <v>23</v>
      </c>
      <c r="O182" s="3" t="s">
        <v>24</v>
      </c>
      <c r="P182" s="3" t="s">
        <v>19</v>
      </c>
    </row>
    <row r="183" spans="1:16" x14ac:dyDescent="0.4">
      <c r="A183" s="7">
        <v>182</v>
      </c>
      <c r="B183" s="8" t="s">
        <v>946</v>
      </c>
      <c r="C183" s="6" t="str">
        <f>IFERROR(IF(LEFT(D183,FIND(" ",D183)-1)="전라북도","전북특별자치도",LEFT(D183,FIND(" ",D183)-1)),"")</f>
        <v>경기도</v>
      </c>
      <c r="D183" s="3" t="s">
        <v>947</v>
      </c>
      <c r="E183" s="3" t="s">
        <v>948</v>
      </c>
      <c r="F183" s="3" t="s">
        <v>949</v>
      </c>
      <c r="G183" s="3" t="s">
        <v>19</v>
      </c>
      <c r="H183" s="3" t="s">
        <v>151</v>
      </c>
      <c r="I183" s="3" t="s">
        <v>19</v>
      </c>
      <c r="J183" s="3" t="s">
        <v>945</v>
      </c>
      <c r="K183" s="3" t="s">
        <v>21</v>
      </c>
      <c r="L183" s="3" t="s">
        <v>22</v>
      </c>
      <c r="M183" s="4">
        <v>40550</v>
      </c>
      <c r="N183" s="3" t="s">
        <v>23</v>
      </c>
      <c r="O183" s="3" t="s">
        <v>24</v>
      </c>
      <c r="P183" s="3" t="s">
        <v>19</v>
      </c>
    </row>
    <row r="184" spans="1:16" x14ac:dyDescent="0.4">
      <c r="A184" s="7">
        <v>183</v>
      </c>
      <c r="B184" s="8" t="s">
        <v>950</v>
      </c>
      <c r="C184" s="6" t="str">
        <f>IFERROR(IF(LEFT(D184,FIND(" ",D184)-1)="전라북도","전북특별자치도",LEFT(D184,FIND(" ",D184)-1)),"")</f>
        <v>경기도</v>
      </c>
      <c r="D184" s="3" t="s">
        <v>951</v>
      </c>
      <c r="E184" s="3" t="s">
        <v>447</v>
      </c>
      <c r="F184" s="3" t="s">
        <v>952</v>
      </c>
      <c r="G184" s="3" t="s">
        <v>19</v>
      </c>
      <c r="H184" s="3" t="s">
        <v>953</v>
      </c>
      <c r="I184" s="3" t="s">
        <v>19</v>
      </c>
      <c r="J184" s="3" t="s">
        <v>19</v>
      </c>
      <c r="K184" s="3" t="s">
        <v>21</v>
      </c>
      <c r="L184" s="3" t="s">
        <v>22</v>
      </c>
      <c r="M184" s="4">
        <v>1348</v>
      </c>
      <c r="N184" s="3" t="s">
        <v>84</v>
      </c>
      <c r="O184" s="3" t="s">
        <v>24</v>
      </c>
      <c r="P184" s="3" t="s">
        <v>19</v>
      </c>
    </row>
    <row r="185" spans="1:16" x14ac:dyDescent="0.4">
      <c r="A185" s="7">
        <v>184</v>
      </c>
      <c r="B185" s="8" t="s">
        <v>954</v>
      </c>
      <c r="C185" s="6" t="str">
        <f>IFERROR(IF(LEFT(D185,FIND(" ",D185)-1)="전라북도","전북특별자치도",LEFT(D185,FIND(" ",D185)-1)),"")</f>
        <v>강원특별자치도</v>
      </c>
      <c r="D185" s="3" t="s">
        <v>955</v>
      </c>
      <c r="E185" s="3" t="s">
        <v>956</v>
      </c>
      <c r="F185" s="3" t="s">
        <v>936</v>
      </c>
      <c r="G185" s="3" t="s">
        <v>19</v>
      </c>
      <c r="H185" s="3" t="s">
        <v>940</v>
      </c>
      <c r="I185" s="3" t="s">
        <v>940</v>
      </c>
      <c r="J185" s="3" t="s">
        <v>19</v>
      </c>
      <c r="K185" s="3" t="s">
        <v>21</v>
      </c>
      <c r="L185" s="3" t="s">
        <v>147</v>
      </c>
      <c r="M185" s="4">
        <v>838</v>
      </c>
      <c r="N185" s="3" t="s">
        <v>84</v>
      </c>
      <c r="O185" s="3" t="s">
        <v>24</v>
      </c>
      <c r="P185" s="3" t="s">
        <v>19</v>
      </c>
    </row>
    <row r="186" spans="1:16" hidden="1" x14ac:dyDescent="0.4">
      <c r="A186" s="7">
        <v>185</v>
      </c>
      <c r="B186" s="8" t="s">
        <v>957</v>
      </c>
      <c r="C186" s="6" t="str">
        <f>IFERROR(IF(LEFT(D186,FIND(" ",D186)-1)="전라북도","전북특별자치도",LEFT(D186,FIND(" ",D186)-1)),"")</f>
        <v>강원특별자치도</v>
      </c>
      <c r="D186" s="3" t="s">
        <v>958</v>
      </c>
      <c r="E186" s="3" t="s">
        <v>959</v>
      </c>
      <c r="F186" s="3" t="s">
        <v>960</v>
      </c>
      <c r="G186" s="3" t="s">
        <v>19</v>
      </c>
      <c r="H186" s="3" t="s">
        <v>940</v>
      </c>
      <c r="I186" s="3" t="s">
        <v>19</v>
      </c>
      <c r="J186" s="3" t="s">
        <v>19</v>
      </c>
      <c r="K186" s="3" t="s">
        <v>21</v>
      </c>
      <c r="L186" s="3" t="s">
        <v>147</v>
      </c>
      <c r="M186" s="4">
        <v>2005</v>
      </c>
      <c r="N186" s="3" t="s">
        <v>84</v>
      </c>
      <c r="O186" s="3" t="s">
        <v>281</v>
      </c>
      <c r="P186" s="3" t="s">
        <v>936</v>
      </c>
    </row>
    <row r="187" spans="1:16" x14ac:dyDescent="0.4">
      <c r="A187" s="7">
        <v>186</v>
      </c>
      <c r="B187" s="8" t="s">
        <v>961</v>
      </c>
      <c r="C187" s="6" t="str">
        <f>IFERROR(IF(LEFT(D187,FIND(" ",D187)-1)="전라북도","전북특별자치도",LEFT(D187,FIND(" ",D187)-1)),"")</f>
        <v>경상북도</v>
      </c>
      <c r="D187" s="3" t="s">
        <v>962</v>
      </c>
      <c r="E187" s="3" t="s">
        <v>963</v>
      </c>
      <c r="F187" s="3" t="s">
        <v>964</v>
      </c>
      <c r="G187" s="3" t="s">
        <v>965</v>
      </c>
      <c r="H187" s="3" t="s">
        <v>966</v>
      </c>
      <c r="I187" s="3" t="s">
        <v>19</v>
      </c>
      <c r="J187" s="3" t="s">
        <v>19</v>
      </c>
      <c r="K187" s="3" t="s">
        <v>21</v>
      </c>
      <c r="L187" s="3" t="s">
        <v>22</v>
      </c>
      <c r="M187" s="4">
        <v>351</v>
      </c>
      <c r="N187" s="3" t="s">
        <v>23</v>
      </c>
      <c r="O187" s="3" t="s">
        <v>24</v>
      </c>
      <c r="P187" s="3" t="s">
        <v>19</v>
      </c>
    </row>
    <row r="188" spans="1:16" x14ac:dyDescent="0.4">
      <c r="A188" s="7">
        <v>187</v>
      </c>
      <c r="B188" s="8" t="s">
        <v>967</v>
      </c>
      <c r="C188" s="6" t="str">
        <f>IFERROR(IF(LEFT(D188,FIND(" ",D188)-1)="전라북도","전북특별자치도",LEFT(D188,FIND(" ",D188)-1)),"")</f>
        <v>전라남도</v>
      </c>
      <c r="D188" s="3" t="s">
        <v>968</v>
      </c>
      <c r="E188" s="3" t="s">
        <v>969</v>
      </c>
      <c r="F188" s="3" t="s">
        <v>970</v>
      </c>
      <c r="G188" s="3" t="s">
        <v>19</v>
      </c>
      <c r="H188" s="3" t="s">
        <v>971</v>
      </c>
      <c r="I188" s="3" t="s">
        <v>19</v>
      </c>
      <c r="J188" s="3" t="s">
        <v>972</v>
      </c>
      <c r="K188" s="3" t="s">
        <v>21</v>
      </c>
      <c r="L188" s="3" t="s">
        <v>22</v>
      </c>
      <c r="M188" s="4">
        <v>47700</v>
      </c>
      <c r="N188" s="3" t="s">
        <v>236</v>
      </c>
      <c r="O188" s="3" t="s">
        <v>24</v>
      </c>
      <c r="P188" s="3" t="s">
        <v>19</v>
      </c>
    </row>
    <row r="189" spans="1:16" hidden="1" x14ac:dyDescent="0.4">
      <c r="A189" s="7">
        <v>188</v>
      </c>
      <c r="B189" s="8" t="s">
        <v>973</v>
      </c>
      <c r="C189" s="6" t="str">
        <f>IFERROR(IF(LEFT(D189,FIND(" ",D189)-1)="전라북도","전북특별자치도",LEFT(D189,FIND(" ",D189)-1)),"")</f>
        <v>경상북도</v>
      </c>
      <c r="D189" s="3" t="s">
        <v>974</v>
      </c>
      <c r="E189" s="3" t="s">
        <v>975</v>
      </c>
      <c r="F189" s="3" t="s">
        <v>143</v>
      </c>
      <c r="G189" s="3" t="s">
        <v>977</v>
      </c>
      <c r="H189" s="3" t="s">
        <v>743</v>
      </c>
      <c r="I189" s="3" t="s">
        <v>743</v>
      </c>
      <c r="J189" s="3" t="s">
        <v>19</v>
      </c>
      <c r="K189" s="3" t="s">
        <v>21</v>
      </c>
      <c r="L189" s="3" t="s">
        <v>147</v>
      </c>
      <c r="M189" s="4">
        <v>410</v>
      </c>
      <c r="N189" s="3" t="s">
        <v>23</v>
      </c>
      <c r="O189" s="3" t="s">
        <v>281</v>
      </c>
      <c r="P189" s="3" t="s">
        <v>976</v>
      </c>
    </row>
    <row r="190" spans="1:16" x14ac:dyDescent="0.4">
      <c r="A190" s="7">
        <v>189</v>
      </c>
      <c r="B190" s="8" t="s">
        <v>978</v>
      </c>
      <c r="C190" s="6" t="str">
        <f>IFERROR(IF(LEFT(D190,FIND(" ",D190)-1)="전라북도","전북특별자치도",LEFT(D190,FIND(" ",D190)-1)),"")</f>
        <v>제주특별자치도</v>
      </c>
      <c r="D190" s="3" t="s">
        <v>979</v>
      </c>
      <c r="E190" s="3" t="s">
        <v>980</v>
      </c>
      <c r="F190" s="3" t="s">
        <v>981</v>
      </c>
      <c r="G190" s="3" t="s">
        <v>19</v>
      </c>
      <c r="H190" s="3" t="s">
        <v>982</v>
      </c>
      <c r="I190" s="3" t="s">
        <v>19</v>
      </c>
      <c r="J190" s="3" t="s">
        <v>19</v>
      </c>
      <c r="K190" s="3" t="s">
        <v>21</v>
      </c>
      <c r="L190" s="3" t="s">
        <v>22</v>
      </c>
      <c r="M190" s="4">
        <v>3022</v>
      </c>
      <c r="N190" s="3" t="s">
        <v>236</v>
      </c>
      <c r="O190" s="3" t="s">
        <v>24</v>
      </c>
      <c r="P190" s="3" t="s">
        <v>19</v>
      </c>
    </row>
    <row r="191" spans="1:16" x14ac:dyDescent="0.4">
      <c r="A191" s="7">
        <v>190</v>
      </c>
      <c r="B191" s="8" t="s">
        <v>983</v>
      </c>
      <c r="C191" s="6" t="str">
        <f>IFERROR(IF(LEFT(D191,FIND(" ",D191)-1)="전라북도","전북특별자치도",LEFT(D191,FIND(" ",D191)-1)),"")</f>
        <v>전북특별자치도</v>
      </c>
      <c r="D191" s="3" t="s">
        <v>984</v>
      </c>
      <c r="E191" s="3" t="s">
        <v>985</v>
      </c>
      <c r="F191" s="3" t="s">
        <v>533</v>
      </c>
      <c r="G191" s="3" t="s">
        <v>986</v>
      </c>
      <c r="H191" s="3" t="s">
        <v>921</v>
      </c>
      <c r="I191" s="3" t="s">
        <v>987</v>
      </c>
      <c r="J191" s="3" t="s">
        <v>988</v>
      </c>
      <c r="K191" s="3" t="s">
        <v>21</v>
      </c>
      <c r="L191" s="3" t="s">
        <v>22</v>
      </c>
      <c r="M191" s="4">
        <v>2254</v>
      </c>
      <c r="N191" s="3" t="s">
        <v>236</v>
      </c>
      <c r="O191" s="3" t="s">
        <v>24</v>
      </c>
      <c r="P191" s="3" t="s">
        <v>19</v>
      </c>
    </row>
    <row r="192" spans="1:16" x14ac:dyDescent="0.4">
      <c r="A192" s="7">
        <v>191</v>
      </c>
      <c r="B192" s="8" t="s">
        <v>989</v>
      </c>
      <c r="C192" s="6" t="str">
        <f>IFERROR(IF(LEFT(D192,FIND(" ",D192)-1)="전라북도","전북특별자치도",LEFT(D192,FIND(" ",D192)-1)),"")</f>
        <v>경상북도</v>
      </c>
      <c r="D192" s="3" t="s">
        <v>990</v>
      </c>
      <c r="E192" s="3" t="s">
        <v>991</v>
      </c>
      <c r="F192" s="3" t="s">
        <v>992</v>
      </c>
      <c r="G192" s="3" t="s">
        <v>19</v>
      </c>
      <c r="H192" s="3" t="s">
        <v>993</v>
      </c>
      <c r="I192" s="3" t="s">
        <v>19</v>
      </c>
      <c r="J192" s="3" t="s">
        <v>19</v>
      </c>
      <c r="K192" s="3" t="s">
        <v>21</v>
      </c>
      <c r="L192" s="3" t="s">
        <v>22</v>
      </c>
      <c r="M192" s="4">
        <v>984</v>
      </c>
      <c r="N192" s="3" t="s">
        <v>23</v>
      </c>
      <c r="O192" s="3" t="s">
        <v>24</v>
      </c>
      <c r="P192" s="3" t="s">
        <v>19</v>
      </c>
    </row>
    <row r="193" spans="1:16" x14ac:dyDescent="0.4">
      <c r="A193" s="7">
        <v>192</v>
      </c>
      <c r="B193" s="8" t="s">
        <v>994</v>
      </c>
      <c r="C193" s="6" t="str">
        <f>IFERROR(IF(LEFT(D193,FIND(" ",D193)-1)="전라북도","전북특별자치도",LEFT(D193,FIND(" ",D193)-1)),"")</f>
        <v>경상북도</v>
      </c>
      <c r="D193" s="3" t="s">
        <v>995</v>
      </c>
      <c r="E193" s="3" t="s">
        <v>996</v>
      </c>
      <c r="F193" s="3" t="s">
        <v>997</v>
      </c>
      <c r="G193" s="3" t="s">
        <v>19</v>
      </c>
      <c r="H193" s="3" t="s">
        <v>998</v>
      </c>
      <c r="I193" s="3" t="s">
        <v>19</v>
      </c>
      <c r="J193" s="3" t="s">
        <v>19</v>
      </c>
      <c r="K193" s="3" t="s">
        <v>21</v>
      </c>
      <c r="L193" s="3" t="s">
        <v>22</v>
      </c>
      <c r="M193" s="4">
        <v>856</v>
      </c>
      <c r="N193" s="3" t="s">
        <v>23</v>
      </c>
      <c r="O193" s="3" t="s">
        <v>24</v>
      </c>
      <c r="P193" s="3" t="s">
        <v>19</v>
      </c>
    </row>
    <row r="194" spans="1:16" x14ac:dyDescent="0.4">
      <c r="A194" s="7">
        <v>193</v>
      </c>
      <c r="B194" s="8" t="s">
        <v>999</v>
      </c>
      <c r="C194" s="6" t="str">
        <f>IFERROR(IF(LEFT(D194,FIND(" ",D194)-1)="전라북도","전북특별자치도",LEFT(D194,FIND(" ",D194)-1)),"")</f>
        <v>강원특별자치도</v>
      </c>
      <c r="D194" s="3" t="s">
        <v>1000</v>
      </c>
      <c r="E194" s="3" t="s">
        <v>1001</v>
      </c>
      <c r="F194" s="3" t="s">
        <v>997</v>
      </c>
      <c r="G194" s="3" t="s">
        <v>1002</v>
      </c>
      <c r="H194" s="3" t="s">
        <v>1003</v>
      </c>
      <c r="I194" s="3" t="s">
        <v>19</v>
      </c>
      <c r="J194" s="3" t="s">
        <v>19</v>
      </c>
      <c r="K194" s="3" t="s">
        <v>21</v>
      </c>
      <c r="L194" s="3" t="s">
        <v>22</v>
      </c>
      <c r="M194" s="4">
        <v>208</v>
      </c>
      <c r="N194" s="3" t="s">
        <v>129</v>
      </c>
      <c r="O194" s="3" t="s">
        <v>24</v>
      </c>
      <c r="P194" s="3" t="s">
        <v>19</v>
      </c>
    </row>
    <row r="195" spans="1:16" x14ac:dyDescent="0.4">
      <c r="A195" s="7">
        <v>194</v>
      </c>
      <c r="B195" s="8" t="s">
        <v>1004</v>
      </c>
      <c r="C195" s="6" t="str">
        <f>IFERROR(IF(LEFT(D195,FIND(" ",D195)-1)="전라북도","전북특별자치도",LEFT(D195,FIND(" ",D195)-1)),"")</f>
        <v>경상북도</v>
      </c>
      <c r="D195" s="3" t="s">
        <v>995</v>
      </c>
      <c r="E195" s="3" t="s">
        <v>1005</v>
      </c>
      <c r="F195" s="3" t="s">
        <v>997</v>
      </c>
      <c r="G195" s="3" t="s">
        <v>19</v>
      </c>
      <c r="H195" s="3" t="s">
        <v>998</v>
      </c>
      <c r="I195" s="3" t="s">
        <v>19</v>
      </c>
      <c r="J195" s="3" t="s">
        <v>19</v>
      </c>
      <c r="K195" s="3" t="s">
        <v>21</v>
      </c>
      <c r="L195" s="3" t="s">
        <v>22</v>
      </c>
      <c r="M195" s="4">
        <v>735</v>
      </c>
      <c r="N195" s="3" t="s">
        <v>23</v>
      </c>
      <c r="O195" s="3" t="s">
        <v>24</v>
      </c>
      <c r="P195" s="3" t="s">
        <v>19</v>
      </c>
    </row>
    <row r="196" spans="1:16" x14ac:dyDescent="0.4">
      <c r="A196" s="7">
        <v>195</v>
      </c>
      <c r="B196" s="8" t="s">
        <v>1006</v>
      </c>
      <c r="C196" s="6" t="str">
        <f>IFERROR(IF(LEFT(D196,FIND(" ",D196)-1)="전라북도","전북특별자치도",LEFT(D196,FIND(" ",D196)-1)),"")</f>
        <v>경상북도</v>
      </c>
      <c r="D196" s="3" t="s">
        <v>1007</v>
      </c>
      <c r="E196" s="3" t="s">
        <v>1008</v>
      </c>
      <c r="F196" s="3" t="s">
        <v>1009</v>
      </c>
      <c r="G196" s="3" t="s">
        <v>1010</v>
      </c>
      <c r="H196" s="3" t="s">
        <v>743</v>
      </c>
      <c r="I196" s="3" t="s">
        <v>19</v>
      </c>
      <c r="J196" s="3" t="s">
        <v>19</v>
      </c>
      <c r="K196" s="3" t="s">
        <v>21</v>
      </c>
      <c r="L196" s="3" t="s">
        <v>22</v>
      </c>
      <c r="M196" s="4">
        <v>142</v>
      </c>
      <c r="N196" s="3" t="s">
        <v>123</v>
      </c>
      <c r="O196" s="3" t="s">
        <v>24</v>
      </c>
      <c r="P196" s="3" t="s">
        <v>19</v>
      </c>
    </row>
    <row r="197" spans="1:16" x14ac:dyDescent="0.4">
      <c r="A197" s="7">
        <v>196</v>
      </c>
      <c r="B197" s="8" t="s">
        <v>1011</v>
      </c>
      <c r="C197" s="6" t="str">
        <f>IFERROR(IF(LEFT(D197,FIND(" ",D197)-1)="전라북도","전북특별자치도",LEFT(D197,FIND(" ",D197)-1)),"")</f>
        <v>경상남도</v>
      </c>
      <c r="D197" s="3" t="s">
        <v>1012</v>
      </c>
      <c r="E197" s="3" t="s">
        <v>1013</v>
      </c>
      <c r="F197" s="3" t="s">
        <v>1009</v>
      </c>
      <c r="G197" s="3" t="s">
        <v>1014</v>
      </c>
      <c r="H197" s="3" t="s">
        <v>1015</v>
      </c>
      <c r="I197" s="3" t="s">
        <v>1015</v>
      </c>
      <c r="J197" s="3" t="s">
        <v>1016</v>
      </c>
      <c r="K197" s="3" t="s">
        <v>21</v>
      </c>
      <c r="L197" s="3" t="s">
        <v>22</v>
      </c>
      <c r="M197" s="4">
        <v>1897</v>
      </c>
      <c r="N197" s="3" t="s">
        <v>23</v>
      </c>
      <c r="O197" s="3" t="s">
        <v>24</v>
      </c>
      <c r="P197" s="3" t="s">
        <v>19</v>
      </c>
    </row>
    <row r="198" spans="1:16" x14ac:dyDescent="0.4">
      <c r="A198" s="7">
        <v>197</v>
      </c>
      <c r="B198" s="8" t="s">
        <v>1017</v>
      </c>
      <c r="C198" s="6" t="str">
        <f>IFERROR(IF(LEFT(D198,FIND(" ",D198)-1)="전라북도","전북특별자치도",LEFT(D198,FIND(" ",D198)-1)),"")</f>
        <v>인천광역시</v>
      </c>
      <c r="D198" s="3" t="s">
        <v>1018</v>
      </c>
      <c r="E198" s="3" t="s">
        <v>447</v>
      </c>
      <c r="F198" s="3" t="s">
        <v>1019</v>
      </c>
      <c r="G198" s="3" t="s">
        <v>19</v>
      </c>
      <c r="H198" s="3" t="s">
        <v>1020</v>
      </c>
      <c r="I198" s="3" t="s">
        <v>19</v>
      </c>
      <c r="J198" s="3" t="s">
        <v>19</v>
      </c>
      <c r="K198" s="3" t="s">
        <v>21</v>
      </c>
      <c r="L198" s="3" t="s">
        <v>22</v>
      </c>
      <c r="M198" s="4">
        <v>399</v>
      </c>
      <c r="N198" s="3" t="s">
        <v>23</v>
      </c>
      <c r="O198" s="3" t="s">
        <v>24</v>
      </c>
      <c r="P198" s="3" t="s">
        <v>19</v>
      </c>
    </row>
    <row r="199" spans="1:16" x14ac:dyDescent="0.4">
      <c r="A199" s="7">
        <v>198</v>
      </c>
      <c r="B199" s="8" t="s">
        <v>1021</v>
      </c>
      <c r="C199" s="6" t="str">
        <f>IFERROR(IF(LEFT(D199,FIND(" ",D199)-1)="전라북도","전북특별자치도",LEFT(D199,FIND(" ",D199)-1)),"")</f>
        <v>경상남도</v>
      </c>
      <c r="D199" s="3" t="s">
        <v>1022</v>
      </c>
      <c r="E199" s="3" t="s">
        <v>1023</v>
      </c>
      <c r="F199" s="3" t="s">
        <v>1024</v>
      </c>
      <c r="G199" s="3" t="s">
        <v>19</v>
      </c>
      <c r="H199" s="3" t="s">
        <v>1025</v>
      </c>
      <c r="I199" s="3" t="s">
        <v>19</v>
      </c>
      <c r="J199" s="3" t="s">
        <v>19</v>
      </c>
      <c r="K199" s="3" t="s">
        <v>21</v>
      </c>
      <c r="L199" s="3" t="s">
        <v>22</v>
      </c>
      <c r="M199" s="4">
        <v>1886</v>
      </c>
      <c r="N199" s="3" t="s">
        <v>23</v>
      </c>
      <c r="O199" s="3" t="s">
        <v>24</v>
      </c>
      <c r="P199" s="3" t="s">
        <v>19</v>
      </c>
    </row>
    <row r="200" spans="1:16" x14ac:dyDescent="0.4">
      <c r="A200" s="7">
        <v>199</v>
      </c>
      <c r="B200" s="8" t="s">
        <v>1026</v>
      </c>
      <c r="C200" s="6" t="str">
        <f>IFERROR(IF(LEFT(D200,FIND(" ",D200)-1)="전라북도","전북특별자치도",LEFT(D200,FIND(" ",D200)-1)),"")</f>
        <v>경기도</v>
      </c>
      <c r="D200" s="3" t="s">
        <v>1027</v>
      </c>
      <c r="E200" s="3" t="s">
        <v>1028</v>
      </c>
      <c r="F200" s="3" t="s">
        <v>1024</v>
      </c>
      <c r="G200" s="3" t="s">
        <v>298</v>
      </c>
      <c r="H200" s="3" t="s">
        <v>302</v>
      </c>
      <c r="I200" s="3" t="s">
        <v>19</v>
      </c>
      <c r="J200" s="3" t="s">
        <v>19</v>
      </c>
      <c r="K200" s="3" t="s">
        <v>21</v>
      </c>
      <c r="L200" s="3" t="s">
        <v>22</v>
      </c>
      <c r="M200" s="4">
        <v>324</v>
      </c>
      <c r="N200" s="3" t="s">
        <v>23</v>
      </c>
      <c r="O200" s="3" t="s">
        <v>24</v>
      </c>
      <c r="P200" s="3" t="s">
        <v>19</v>
      </c>
    </row>
    <row r="201" spans="1:16" hidden="1" x14ac:dyDescent="0.4">
      <c r="A201" s="7">
        <v>200</v>
      </c>
      <c r="B201" s="8" t="s">
        <v>1029</v>
      </c>
      <c r="C201" s="6" t="str">
        <f>IFERROR(IF(LEFT(D201,FIND(" ",D201)-1)="전라북도","전북특별자치도",LEFT(D201,FIND(" ",D201)-1)),"")</f>
        <v>강원특별자치도</v>
      </c>
      <c r="D201" s="3" t="s">
        <v>1030</v>
      </c>
      <c r="E201" s="3" t="s">
        <v>1031</v>
      </c>
      <c r="F201" s="3" t="s">
        <v>1032</v>
      </c>
      <c r="G201" s="3" t="s">
        <v>1033</v>
      </c>
      <c r="H201" s="3" t="s">
        <v>1034</v>
      </c>
      <c r="I201" s="3" t="s">
        <v>1034</v>
      </c>
      <c r="J201" s="3" t="s">
        <v>19</v>
      </c>
      <c r="K201" s="3" t="s">
        <v>21</v>
      </c>
      <c r="L201" s="3" t="s">
        <v>22</v>
      </c>
      <c r="M201" s="4">
        <v>410</v>
      </c>
      <c r="N201" s="3" t="s">
        <v>23</v>
      </c>
      <c r="O201" s="3" t="s">
        <v>281</v>
      </c>
      <c r="P201" s="3" t="s">
        <v>615</v>
      </c>
    </row>
    <row r="202" spans="1:16" hidden="1" x14ac:dyDescent="0.4">
      <c r="A202" s="7">
        <v>201</v>
      </c>
      <c r="B202" s="8" t="s">
        <v>1029</v>
      </c>
      <c r="C202" s="6" t="str">
        <f>IFERROR(IF(LEFT(D202,FIND(" ",D202)-1)="전라북도","전북특별자치도",LEFT(D202,FIND(" ",D202)-1)),"")</f>
        <v>강원특별자치도</v>
      </c>
      <c r="D202" s="3" t="s">
        <v>1030</v>
      </c>
      <c r="E202" s="3" t="s">
        <v>1031</v>
      </c>
      <c r="F202" s="3" t="s">
        <v>1032</v>
      </c>
      <c r="G202" s="3" t="s">
        <v>1033</v>
      </c>
      <c r="H202" s="3" t="s">
        <v>1034</v>
      </c>
      <c r="I202" s="3" t="s">
        <v>1034</v>
      </c>
      <c r="J202" s="3" t="s">
        <v>19</v>
      </c>
      <c r="K202" s="3" t="s">
        <v>21</v>
      </c>
      <c r="L202" s="3" t="s">
        <v>22</v>
      </c>
      <c r="M202" s="4">
        <v>410</v>
      </c>
      <c r="N202" s="3" t="s">
        <v>23</v>
      </c>
      <c r="O202" s="3" t="s">
        <v>281</v>
      </c>
      <c r="P202" s="3" t="s">
        <v>615</v>
      </c>
    </row>
    <row r="203" spans="1:16" hidden="1" x14ac:dyDescent="0.4">
      <c r="A203" s="7">
        <v>202</v>
      </c>
      <c r="B203" s="8" t="s">
        <v>1035</v>
      </c>
      <c r="C203" s="6" t="str">
        <f>IFERROR(IF(LEFT(D203,FIND(" ",D203)-1)="전라북도","전북특별자치도",LEFT(D203,FIND(" ",D203)-1)),"")</f>
        <v>인천광역시</v>
      </c>
      <c r="D203" s="3" t="s">
        <v>1036</v>
      </c>
      <c r="E203" s="3" t="s">
        <v>1037</v>
      </c>
      <c r="F203" s="3" t="s">
        <v>1038</v>
      </c>
      <c r="G203" s="3" t="s">
        <v>19</v>
      </c>
      <c r="H203" s="3" t="s">
        <v>1040</v>
      </c>
      <c r="I203" s="3" t="s">
        <v>19</v>
      </c>
      <c r="J203" s="3" t="s">
        <v>19</v>
      </c>
      <c r="K203" s="3" t="s">
        <v>21</v>
      </c>
      <c r="L203" s="3" t="s">
        <v>22</v>
      </c>
      <c r="M203" s="4">
        <v>150</v>
      </c>
      <c r="N203" s="3" t="s">
        <v>23</v>
      </c>
      <c r="O203" s="3" t="s">
        <v>281</v>
      </c>
      <c r="P203" s="3" t="s">
        <v>1039</v>
      </c>
    </row>
    <row r="204" spans="1:16" x14ac:dyDescent="0.4">
      <c r="A204" s="7">
        <v>203</v>
      </c>
      <c r="B204" s="8" t="s">
        <v>1041</v>
      </c>
      <c r="C204" s="6" t="str">
        <f>IFERROR(IF(LEFT(D204,FIND(" ",D204)-1)="전라북도","전북특별자치도",LEFT(D204,FIND(" ",D204)-1)),"")</f>
        <v>경상북도</v>
      </c>
      <c r="D204" s="3" t="s">
        <v>1042</v>
      </c>
      <c r="E204" s="3" t="s">
        <v>1043</v>
      </c>
      <c r="F204" s="3" t="s">
        <v>1044</v>
      </c>
      <c r="G204" s="3" t="s">
        <v>19</v>
      </c>
      <c r="H204" s="3" t="s">
        <v>222</v>
      </c>
      <c r="I204" s="3" t="s">
        <v>19</v>
      </c>
      <c r="J204" s="3" t="s">
        <v>19</v>
      </c>
      <c r="K204" s="3" t="s">
        <v>21</v>
      </c>
      <c r="L204" s="3" t="s">
        <v>22</v>
      </c>
      <c r="M204" s="4">
        <v>1998</v>
      </c>
      <c r="N204" s="3" t="s">
        <v>23</v>
      </c>
      <c r="O204" s="3" t="s">
        <v>24</v>
      </c>
      <c r="P204" s="3" t="s">
        <v>19</v>
      </c>
    </row>
    <row r="205" spans="1:16" x14ac:dyDescent="0.4">
      <c r="A205" s="7">
        <v>204</v>
      </c>
      <c r="B205" s="8" t="s">
        <v>1045</v>
      </c>
      <c r="C205" s="6" t="str">
        <f>IFERROR(IF(LEFT(D205,FIND(" ",D205)-1)="전라북도","전북특별자치도",LEFT(D205,FIND(" ",D205)-1)),"")</f>
        <v>경기도</v>
      </c>
      <c r="D205" s="3" t="s">
        <v>1046</v>
      </c>
      <c r="E205" s="3" t="s">
        <v>1047</v>
      </c>
      <c r="F205" s="3" t="s">
        <v>1048</v>
      </c>
      <c r="G205" s="3" t="s">
        <v>1049</v>
      </c>
      <c r="H205" s="3" t="s">
        <v>1050</v>
      </c>
      <c r="I205" s="3" t="s">
        <v>19</v>
      </c>
      <c r="J205" s="3" t="s">
        <v>19</v>
      </c>
      <c r="K205" s="3" t="s">
        <v>21</v>
      </c>
      <c r="L205" s="3" t="s">
        <v>22</v>
      </c>
      <c r="M205" s="4">
        <v>5834</v>
      </c>
      <c r="N205" s="3" t="s">
        <v>23</v>
      </c>
      <c r="O205" s="3" t="s">
        <v>24</v>
      </c>
      <c r="P205" s="3" t="s">
        <v>19</v>
      </c>
    </row>
    <row r="206" spans="1:16" x14ac:dyDescent="0.4">
      <c r="A206" s="7">
        <v>205</v>
      </c>
      <c r="B206" s="8" t="s">
        <v>1051</v>
      </c>
      <c r="C206" s="6" t="str">
        <f>IFERROR(IF(LEFT(D206,FIND(" ",D206)-1)="전라북도","전북특별자치도",LEFT(D206,FIND(" ",D206)-1)),"")</f>
        <v>충청북도</v>
      </c>
      <c r="D206" s="3" t="s">
        <v>1052</v>
      </c>
      <c r="E206" s="3" t="s">
        <v>1053</v>
      </c>
      <c r="F206" s="3" t="s">
        <v>1054</v>
      </c>
      <c r="G206" s="3" t="s">
        <v>19</v>
      </c>
      <c r="H206" s="3" t="s">
        <v>234</v>
      </c>
      <c r="I206" s="3" t="s">
        <v>19</v>
      </c>
      <c r="J206" s="3" t="s">
        <v>19</v>
      </c>
      <c r="K206" s="3" t="s">
        <v>21</v>
      </c>
      <c r="L206" s="3" t="s">
        <v>22</v>
      </c>
      <c r="M206" s="4">
        <v>394</v>
      </c>
      <c r="N206" s="3" t="s">
        <v>23</v>
      </c>
      <c r="O206" s="3" t="s">
        <v>24</v>
      </c>
      <c r="P206" s="3" t="s">
        <v>19</v>
      </c>
    </row>
    <row r="207" spans="1:16" hidden="1" x14ac:dyDescent="0.4">
      <c r="A207" s="7">
        <v>206</v>
      </c>
      <c r="B207" s="8" t="s">
        <v>1055</v>
      </c>
      <c r="C207" s="6" t="str">
        <f>IFERROR(IF(LEFT(D207,FIND(" ",D207)-1)="전라북도","전북특별자치도",LEFT(D207,FIND(" ",D207)-1)),"")</f>
        <v>전라남도</v>
      </c>
      <c r="D207" s="3" t="s">
        <v>1056</v>
      </c>
      <c r="E207" s="3" t="s">
        <v>225</v>
      </c>
      <c r="F207" s="3" t="s">
        <v>1054</v>
      </c>
      <c r="G207" s="3" t="s">
        <v>1058</v>
      </c>
      <c r="H207" s="3" t="s">
        <v>1059</v>
      </c>
      <c r="I207" s="3" t="s">
        <v>1059</v>
      </c>
      <c r="J207" s="3" t="s">
        <v>1060</v>
      </c>
      <c r="K207" s="3" t="s">
        <v>21</v>
      </c>
      <c r="L207" s="3" t="s">
        <v>22</v>
      </c>
      <c r="M207" s="4">
        <v>380</v>
      </c>
      <c r="N207" s="3" t="s">
        <v>84</v>
      </c>
      <c r="O207" s="3" t="s">
        <v>281</v>
      </c>
      <c r="P207" s="3" t="s">
        <v>1057</v>
      </c>
    </row>
    <row r="208" spans="1:16" hidden="1" x14ac:dyDescent="0.4">
      <c r="A208" s="7">
        <v>207</v>
      </c>
      <c r="B208" s="8" t="s">
        <v>1061</v>
      </c>
      <c r="C208" s="6" t="str">
        <f>IFERROR(IF(LEFT(D208,FIND(" ",D208)-1)="전라북도","전북특별자치도",LEFT(D208,FIND(" ",D208)-1)),"")</f>
        <v>경기도</v>
      </c>
      <c r="D208" s="3" t="s">
        <v>1062</v>
      </c>
      <c r="E208" s="3" t="s">
        <v>1063</v>
      </c>
      <c r="F208" s="3" t="s">
        <v>1064</v>
      </c>
      <c r="G208" s="3" t="s">
        <v>1066</v>
      </c>
      <c r="H208" s="3" t="s">
        <v>1067</v>
      </c>
      <c r="I208" s="3" t="s">
        <v>19</v>
      </c>
      <c r="J208" s="3" t="s">
        <v>1068</v>
      </c>
      <c r="K208" s="3" t="s">
        <v>21</v>
      </c>
      <c r="L208" s="3" t="s">
        <v>22</v>
      </c>
      <c r="M208" s="4">
        <v>806</v>
      </c>
      <c r="N208" s="3" t="s">
        <v>129</v>
      </c>
      <c r="O208" s="3" t="s">
        <v>281</v>
      </c>
      <c r="P208" s="3" t="s">
        <v>1065</v>
      </c>
    </row>
    <row r="209" spans="1:16" hidden="1" x14ac:dyDescent="0.4">
      <c r="A209" s="7">
        <v>208</v>
      </c>
      <c r="B209" s="8" t="s">
        <v>1069</v>
      </c>
      <c r="C209" s="6" t="str">
        <f>IFERROR(IF(LEFT(D209,FIND(" ",D209)-1)="전라북도","전북특별자치도",LEFT(D209,FIND(" ",D209)-1)),"")</f>
        <v>경기도</v>
      </c>
      <c r="D209" s="3" t="s">
        <v>1070</v>
      </c>
      <c r="E209" s="3" t="s">
        <v>1063</v>
      </c>
      <c r="F209" s="3" t="s">
        <v>1064</v>
      </c>
      <c r="G209" s="3" t="s">
        <v>1066</v>
      </c>
      <c r="H209" s="3" t="s">
        <v>1067</v>
      </c>
      <c r="I209" s="3" t="s">
        <v>19</v>
      </c>
      <c r="J209" s="3" t="s">
        <v>1068</v>
      </c>
      <c r="K209" s="3" t="s">
        <v>21</v>
      </c>
      <c r="L209" s="3" t="s">
        <v>22</v>
      </c>
      <c r="M209" s="4">
        <v>660</v>
      </c>
      <c r="N209" s="3" t="s">
        <v>84</v>
      </c>
      <c r="O209" s="3" t="s">
        <v>281</v>
      </c>
      <c r="P209" s="3" t="s">
        <v>1065</v>
      </c>
    </row>
    <row r="210" spans="1:16" hidden="1" x14ac:dyDescent="0.4">
      <c r="A210" s="7">
        <v>209</v>
      </c>
      <c r="B210" s="8" t="s">
        <v>1071</v>
      </c>
      <c r="C210" s="6" t="str">
        <f>IFERROR(IF(LEFT(D210,FIND(" ",D210)-1)="전라북도","전북특별자치도",LEFT(D210,FIND(" ",D210)-1)),"")</f>
        <v>강원특별자치도</v>
      </c>
      <c r="D210" s="3" t="s">
        <v>1072</v>
      </c>
      <c r="E210" s="3" t="s">
        <v>1073</v>
      </c>
      <c r="F210" s="3" t="s">
        <v>1064</v>
      </c>
      <c r="G210" s="3" t="s">
        <v>1074</v>
      </c>
      <c r="H210" s="3" t="s">
        <v>916</v>
      </c>
      <c r="I210" s="3" t="s">
        <v>916</v>
      </c>
      <c r="J210" s="3" t="s">
        <v>19</v>
      </c>
      <c r="K210" s="3" t="s">
        <v>21</v>
      </c>
      <c r="L210" s="3" t="s">
        <v>22</v>
      </c>
      <c r="M210" s="4">
        <v>777</v>
      </c>
      <c r="N210" s="3" t="s">
        <v>23</v>
      </c>
      <c r="O210" s="3" t="s">
        <v>281</v>
      </c>
      <c r="P210" s="3" t="s">
        <v>610</v>
      </c>
    </row>
    <row r="211" spans="1:16" x14ac:dyDescent="0.4">
      <c r="A211" s="7">
        <v>210</v>
      </c>
      <c r="B211" s="8" t="s">
        <v>1075</v>
      </c>
      <c r="C211" s="6" t="str">
        <f>IFERROR(IF(LEFT(D211,FIND(" ",D211)-1)="전라북도","전북특별자치도",LEFT(D211,FIND(" ",D211)-1)),"")</f>
        <v>광주광역시</v>
      </c>
      <c r="D211" s="3" t="s">
        <v>1076</v>
      </c>
      <c r="E211" s="3" t="s">
        <v>1077</v>
      </c>
      <c r="F211" s="3" t="s">
        <v>1078</v>
      </c>
      <c r="G211" s="3" t="s">
        <v>1079</v>
      </c>
      <c r="H211" s="3" t="s">
        <v>1080</v>
      </c>
      <c r="I211" s="3" t="s">
        <v>1080</v>
      </c>
      <c r="J211" s="3" t="s">
        <v>19</v>
      </c>
      <c r="K211" s="3" t="s">
        <v>21</v>
      </c>
      <c r="L211" s="3" t="s">
        <v>22</v>
      </c>
      <c r="M211" s="4">
        <v>487</v>
      </c>
      <c r="N211" s="3" t="s">
        <v>23</v>
      </c>
      <c r="O211" s="3" t="s">
        <v>24</v>
      </c>
      <c r="P211" s="3" t="s">
        <v>19</v>
      </c>
    </row>
    <row r="212" spans="1:16" hidden="1" x14ac:dyDescent="0.4">
      <c r="A212" s="7">
        <v>211</v>
      </c>
      <c r="B212" s="8" t="s">
        <v>1081</v>
      </c>
      <c r="C212" s="6" t="str">
        <f>IFERROR(IF(LEFT(D212,FIND(" ",D212)-1)="전라북도","전북특별자치도",LEFT(D212,FIND(" ",D212)-1)),"")</f>
        <v>경기도</v>
      </c>
      <c r="D212" s="3" t="s">
        <v>1082</v>
      </c>
      <c r="E212" s="3" t="s">
        <v>150</v>
      </c>
      <c r="F212" s="3" t="s">
        <v>1078</v>
      </c>
      <c r="G212" s="3" t="s">
        <v>1083</v>
      </c>
      <c r="H212" s="3" t="s">
        <v>1084</v>
      </c>
      <c r="I212" s="3" t="s">
        <v>19</v>
      </c>
      <c r="J212" s="3" t="s">
        <v>19</v>
      </c>
      <c r="K212" s="3" t="s">
        <v>21</v>
      </c>
      <c r="L212" s="3" t="s">
        <v>22</v>
      </c>
      <c r="M212" s="4">
        <v>991</v>
      </c>
      <c r="N212" s="3" t="s">
        <v>84</v>
      </c>
      <c r="O212" s="3" t="s">
        <v>281</v>
      </c>
      <c r="P212" s="3" t="s">
        <v>610</v>
      </c>
    </row>
    <row r="213" spans="1:16" hidden="1" x14ac:dyDescent="0.4">
      <c r="A213" s="7">
        <v>212</v>
      </c>
      <c r="B213" s="8" t="s">
        <v>1085</v>
      </c>
      <c r="C213" s="6" t="str">
        <f>IFERROR(IF(LEFT(D213,FIND(" ",D213)-1)="전라북도","전북특별자치도",LEFT(D213,FIND(" ",D213)-1)),"")</f>
        <v>충청남도</v>
      </c>
      <c r="D213" s="3" t="s">
        <v>1086</v>
      </c>
      <c r="E213" s="3" t="s">
        <v>1087</v>
      </c>
      <c r="F213" s="3" t="s">
        <v>1088</v>
      </c>
      <c r="G213" s="3" t="s">
        <v>19</v>
      </c>
      <c r="H213" s="3" t="s">
        <v>1090</v>
      </c>
      <c r="I213" s="3" t="s">
        <v>19</v>
      </c>
      <c r="J213" s="3" t="s">
        <v>19</v>
      </c>
      <c r="K213" s="3" t="s">
        <v>21</v>
      </c>
      <c r="L213" s="3" t="s">
        <v>358</v>
      </c>
      <c r="M213" s="4">
        <v>239</v>
      </c>
      <c r="N213" s="3" t="s">
        <v>84</v>
      </c>
      <c r="O213" s="3" t="s">
        <v>281</v>
      </c>
      <c r="P213" s="3" t="s">
        <v>1089</v>
      </c>
    </row>
    <row r="214" spans="1:16" hidden="1" x14ac:dyDescent="0.4">
      <c r="A214" s="7">
        <v>213</v>
      </c>
      <c r="B214" s="8" t="s">
        <v>1091</v>
      </c>
      <c r="C214" s="6" t="str">
        <f>IFERROR(IF(LEFT(D214,FIND(" ",D214)-1)="전라북도","전북특별자치도",LEFT(D214,FIND(" ",D214)-1)),"")</f>
        <v>울산광역시</v>
      </c>
      <c r="D214" s="3" t="s">
        <v>1092</v>
      </c>
      <c r="E214" s="3" t="s">
        <v>1093</v>
      </c>
      <c r="F214" s="3" t="s">
        <v>1088</v>
      </c>
      <c r="G214" s="3" t="s">
        <v>1095</v>
      </c>
      <c r="H214" s="3" t="s">
        <v>1096</v>
      </c>
      <c r="I214" s="3" t="s">
        <v>1096</v>
      </c>
      <c r="J214" s="3" t="s">
        <v>19</v>
      </c>
      <c r="K214" s="3" t="s">
        <v>21</v>
      </c>
      <c r="L214" s="3" t="s">
        <v>22</v>
      </c>
      <c r="M214" s="4">
        <v>752</v>
      </c>
      <c r="N214" s="3" t="s">
        <v>23</v>
      </c>
      <c r="O214" s="3" t="s">
        <v>281</v>
      </c>
      <c r="P214" s="3" t="s">
        <v>1094</v>
      </c>
    </row>
    <row r="215" spans="1:16" x14ac:dyDescent="0.4">
      <c r="A215" s="7">
        <v>214</v>
      </c>
      <c r="B215" s="8" t="s">
        <v>1097</v>
      </c>
      <c r="C215" s="6" t="str">
        <f>IFERROR(IF(LEFT(D215,FIND(" ",D215)-1)="전라북도","전북특별자치도",LEFT(D215,FIND(" ",D215)-1)),"")</f>
        <v>강원특별자치도</v>
      </c>
      <c r="D215" s="3" t="s">
        <v>1098</v>
      </c>
      <c r="E215" s="3" t="s">
        <v>1099</v>
      </c>
      <c r="F215" s="3" t="s">
        <v>1100</v>
      </c>
      <c r="G215" s="3" t="s">
        <v>19</v>
      </c>
      <c r="H215" s="3" t="s">
        <v>916</v>
      </c>
      <c r="I215" s="3" t="s">
        <v>19</v>
      </c>
      <c r="J215" s="3" t="s">
        <v>19</v>
      </c>
      <c r="K215" s="3" t="s">
        <v>21</v>
      </c>
      <c r="L215" s="3" t="s">
        <v>22</v>
      </c>
      <c r="M215" s="4">
        <v>827</v>
      </c>
      <c r="N215" s="3" t="s">
        <v>23</v>
      </c>
      <c r="O215" s="3" t="s">
        <v>24</v>
      </c>
      <c r="P215" s="3" t="s">
        <v>19</v>
      </c>
    </row>
    <row r="216" spans="1:16" hidden="1" x14ac:dyDescent="0.4">
      <c r="A216" s="7">
        <v>215</v>
      </c>
      <c r="B216" s="8" t="s">
        <v>1101</v>
      </c>
      <c r="C216" s="6" t="str">
        <f>IFERROR(IF(LEFT(D216,FIND(" ",D216)-1)="전라북도","전북특별자치도",LEFT(D216,FIND(" ",D216)-1)),"")</f>
        <v>경상북도</v>
      </c>
      <c r="D216" s="3" t="s">
        <v>1102</v>
      </c>
      <c r="E216" s="3" t="s">
        <v>1103</v>
      </c>
      <c r="F216" s="3" t="s">
        <v>1104</v>
      </c>
      <c r="G216" s="3" t="s">
        <v>1105</v>
      </c>
      <c r="H216" s="3" t="s">
        <v>19</v>
      </c>
      <c r="I216" s="3" t="s">
        <v>19</v>
      </c>
      <c r="J216" s="3" t="s">
        <v>19</v>
      </c>
      <c r="K216" s="3" t="s">
        <v>21</v>
      </c>
      <c r="L216" s="3" t="s">
        <v>147</v>
      </c>
      <c r="M216" s="4">
        <v>198</v>
      </c>
      <c r="N216" s="3" t="s">
        <v>23</v>
      </c>
      <c r="O216" s="3" t="s">
        <v>281</v>
      </c>
      <c r="P216" s="3" t="s">
        <v>1048</v>
      </c>
    </row>
    <row r="217" spans="1:16" hidden="1" x14ac:dyDescent="0.4">
      <c r="A217" s="7">
        <v>216</v>
      </c>
      <c r="B217" s="8" t="s">
        <v>1106</v>
      </c>
      <c r="C217" s="6" t="str">
        <f>IFERROR(IF(LEFT(D217,FIND(" ",D217)-1)="전라북도","전북특별자치도",LEFT(D217,FIND(" ",D217)-1)),"")</f>
        <v>경기도</v>
      </c>
      <c r="D217" s="3" t="s">
        <v>1107</v>
      </c>
      <c r="E217" s="3" t="s">
        <v>1108</v>
      </c>
      <c r="F217" s="3" t="s">
        <v>1104</v>
      </c>
      <c r="G217" s="3" t="s">
        <v>1109</v>
      </c>
      <c r="H217" s="3" t="s">
        <v>1110</v>
      </c>
      <c r="I217" s="3" t="s">
        <v>1110</v>
      </c>
      <c r="J217" s="3" t="s">
        <v>19</v>
      </c>
      <c r="K217" s="3" t="s">
        <v>21</v>
      </c>
      <c r="L217" s="3" t="s">
        <v>22</v>
      </c>
      <c r="M217" s="4">
        <v>522</v>
      </c>
      <c r="N217" s="3" t="s">
        <v>23</v>
      </c>
      <c r="O217" s="3" t="s">
        <v>281</v>
      </c>
      <c r="P217" s="3" t="s">
        <v>545</v>
      </c>
    </row>
    <row r="218" spans="1:16" x14ac:dyDescent="0.4">
      <c r="A218" s="7">
        <v>217</v>
      </c>
      <c r="B218" s="8" t="s">
        <v>1111</v>
      </c>
      <c r="C218" s="6" t="str">
        <f>IFERROR(IF(LEFT(D218,FIND(" ",D218)-1)="전라북도","전북특별자치도",LEFT(D218,FIND(" ",D218)-1)),"")</f>
        <v>전북특별자치도</v>
      </c>
      <c r="D218" s="3" t="s">
        <v>1112</v>
      </c>
      <c r="E218" s="3" t="s">
        <v>1113</v>
      </c>
      <c r="F218" s="3" t="s">
        <v>1114</v>
      </c>
      <c r="G218" s="3" t="s">
        <v>19</v>
      </c>
      <c r="H218" s="3" t="s">
        <v>1115</v>
      </c>
      <c r="I218" s="3" t="s">
        <v>19</v>
      </c>
      <c r="J218" s="3" t="s">
        <v>19</v>
      </c>
      <c r="K218" s="3" t="s">
        <v>21</v>
      </c>
      <c r="L218" s="3" t="s">
        <v>22</v>
      </c>
      <c r="M218" s="4">
        <v>2499</v>
      </c>
      <c r="N218" s="3" t="s">
        <v>23</v>
      </c>
      <c r="O218" s="3" t="s">
        <v>24</v>
      </c>
      <c r="P218" s="3" t="s">
        <v>19</v>
      </c>
    </row>
    <row r="219" spans="1:16" x14ac:dyDescent="0.4">
      <c r="A219" s="7">
        <v>218</v>
      </c>
      <c r="B219" s="8" t="s">
        <v>1116</v>
      </c>
      <c r="C219" s="6" t="str">
        <f>IFERROR(IF(LEFT(D219,FIND(" ",D219)-1)="전라북도","전북특별자치도",LEFT(D219,FIND(" ",D219)-1)),"")</f>
        <v>충청남도</v>
      </c>
      <c r="D219" s="3" t="s">
        <v>1117</v>
      </c>
      <c r="E219" s="3" t="s">
        <v>1118</v>
      </c>
      <c r="F219" s="3" t="s">
        <v>1119</v>
      </c>
      <c r="G219" s="3" t="s">
        <v>19</v>
      </c>
      <c r="H219" s="3" t="s">
        <v>1120</v>
      </c>
      <c r="I219" s="3" t="s">
        <v>19</v>
      </c>
      <c r="J219" s="3" t="s">
        <v>19</v>
      </c>
      <c r="K219" s="3" t="s">
        <v>21</v>
      </c>
      <c r="L219" s="3" t="s">
        <v>22</v>
      </c>
      <c r="M219" s="4">
        <v>734</v>
      </c>
      <c r="N219" s="3" t="s">
        <v>23</v>
      </c>
      <c r="O219" s="3" t="s">
        <v>24</v>
      </c>
      <c r="P219" s="3" t="s">
        <v>19</v>
      </c>
    </row>
    <row r="220" spans="1:16" x14ac:dyDescent="0.4">
      <c r="A220" s="7">
        <v>219</v>
      </c>
      <c r="B220" s="8" t="s">
        <v>1121</v>
      </c>
      <c r="C220" s="6" t="str">
        <f>IFERROR(IF(LEFT(D220,FIND(" ",D220)-1)="전라북도","전북특별자치도",LEFT(D220,FIND(" ",D220)-1)),"")</f>
        <v>제주특별자치도</v>
      </c>
      <c r="D220" s="3" t="s">
        <v>1122</v>
      </c>
      <c r="E220" s="3" t="s">
        <v>1118</v>
      </c>
      <c r="F220" s="3" t="s">
        <v>1119</v>
      </c>
      <c r="G220" s="3" t="s">
        <v>19</v>
      </c>
      <c r="H220" s="3" t="s">
        <v>1123</v>
      </c>
      <c r="I220" s="3" t="s">
        <v>19</v>
      </c>
      <c r="J220" s="3" t="s">
        <v>19</v>
      </c>
      <c r="K220" s="3" t="s">
        <v>21</v>
      </c>
      <c r="L220" s="3" t="s">
        <v>147</v>
      </c>
      <c r="M220" s="4">
        <v>2045</v>
      </c>
      <c r="N220" s="3" t="s">
        <v>23</v>
      </c>
      <c r="O220" s="3" t="s">
        <v>24</v>
      </c>
      <c r="P220" s="3" t="s">
        <v>19</v>
      </c>
    </row>
    <row r="221" spans="1:16" x14ac:dyDescent="0.4">
      <c r="A221" s="7">
        <v>220</v>
      </c>
      <c r="B221" s="8" t="s">
        <v>1124</v>
      </c>
      <c r="C221" s="6" t="str">
        <f>IFERROR(IF(LEFT(D221,FIND(" ",D221)-1)="전라북도","전북특별자치도",LEFT(D221,FIND(" ",D221)-1)),"")</f>
        <v>경상북도</v>
      </c>
      <c r="D221" s="3" t="s">
        <v>1125</v>
      </c>
      <c r="E221" s="3" t="s">
        <v>181</v>
      </c>
      <c r="F221" s="3" t="s">
        <v>1126</v>
      </c>
      <c r="G221" s="3" t="s">
        <v>1127</v>
      </c>
      <c r="H221" s="3" t="s">
        <v>743</v>
      </c>
      <c r="I221" s="3" t="s">
        <v>743</v>
      </c>
      <c r="J221" s="3" t="s">
        <v>19</v>
      </c>
      <c r="K221" s="3" t="s">
        <v>21</v>
      </c>
      <c r="L221" s="3" t="s">
        <v>22</v>
      </c>
      <c r="M221" s="4">
        <v>288</v>
      </c>
      <c r="N221" s="3" t="s">
        <v>23</v>
      </c>
      <c r="O221" s="3" t="s">
        <v>24</v>
      </c>
      <c r="P221" s="3" t="s">
        <v>19</v>
      </c>
    </row>
    <row r="222" spans="1:16" x14ac:dyDescent="0.4">
      <c r="A222" s="7">
        <v>221</v>
      </c>
      <c r="B222" s="8" t="s">
        <v>1128</v>
      </c>
      <c r="C222" s="6" t="str">
        <f>IFERROR(IF(LEFT(D222,FIND(" ",D222)-1)="전라북도","전북특별자치도",LEFT(D222,FIND(" ",D222)-1)),"")</f>
        <v>강원특별자치도</v>
      </c>
      <c r="D222" s="3" t="s">
        <v>1129</v>
      </c>
      <c r="E222" s="3" t="s">
        <v>1130</v>
      </c>
      <c r="F222" s="3" t="s">
        <v>1126</v>
      </c>
      <c r="G222" s="3" t="s">
        <v>1131</v>
      </c>
      <c r="H222" s="3" t="s">
        <v>128</v>
      </c>
      <c r="I222" s="3" t="s">
        <v>19</v>
      </c>
      <c r="J222" s="3" t="s">
        <v>19</v>
      </c>
      <c r="K222" s="3" t="s">
        <v>21</v>
      </c>
      <c r="L222" s="3" t="s">
        <v>22</v>
      </c>
      <c r="M222" s="4">
        <v>910</v>
      </c>
      <c r="N222" s="3" t="s">
        <v>23</v>
      </c>
      <c r="O222" s="3" t="s">
        <v>24</v>
      </c>
      <c r="P222" s="3" t="s">
        <v>19</v>
      </c>
    </row>
    <row r="223" spans="1:16" x14ac:dyDescent="0.4">
      <c r="A223" s="7">
        <v>222</v>
      </c>
      <c r="B223" s="8" t="s">
        <v>1132</v>
      </c>
      <c r="C223" s="6" t="str">
        <f>IFERROR(IF(LEFT(D223,FIND(" ",D223)-1)="전라북도","전북특별자치도",LEFT(D223,FIND(" ",D223)-1)),"")</f>
        <v>제주특별자치도</v>
      </c>
      <c r="D223" s="3" t="s">
        <v>1133</v>
      </c>
      <c r="E223" s="3" t="s">
        <v>1134</v>
      </c>
      <c r="F223" s="3" t="s">
        <v>1126</v>
      </c>
      <c r="G223" s="3" t="s">
        <v>1135</v>
      </c>
      <c r="H223" s="3" t="s">
        <v>1136</v>
      </c>
      <c r="I223" s="3" t="s">
        <v>1136</v>
      </c>
      <c r="J223" s="3" t="s">
        <v>1137</v>
      </c>
      <c r="K223" s="3" t="s">
        <v>21</v>
      </c>
      <c r="L223" s="3" t="s">
        <v>22</v>
      </c>
      <c r="M223" s="4">
        <v>996</v>
      </c>
      <c r="N223" s="3" t="s">
        <v>23</v>
      </c>
      <c r="O223" s="3" t="s">
        <v>24</v>
      </c>
      <c r="P223" s="3" t="s">
        <v>19</v>
      </c>
    </row>
    <row r="224" spans="1:16" x14ac:dyDescent="0.4">
      <c r="A224" s="7">
        <v>223</v>
      </c>
      <c r="B224" s="8" t="s">
        <v>1138</v>
      </c>
      <c r="C224" s="6" t="str">
        <f>IFERROR(IF(LEFT(D224,FIND(" ",D224)-1)="전라북도","전북특별자치도",LEFT(D224,FIND(" ",D224)-1)),"")</f>
        <v>경상북도</v>
      </c>
      <c r="D224" s="3" t="s">
        <v>1139</v>
      </c>
      <c r="E224" s="3" t="s">
        <v>1140</v>
      </c>
      <c r="F224" s="3" t="s">
        <v>1141</v>
      </c>
      <c r="G224" s="3" t="s">
        <v>1127</v>
      </c>
      <c r="H224" s="3" t="s">
        <v>743</v>
      </c>
      <c r="I224" s="3" t="s">
        <v>19</v>
      </c>
      <c r="J224" s="3" t="s">
        <v>19</v>
      </c>
      <c r="K224" s="3" t="s">
        <v>21</v>
      </c>
      <c r="L224" s="3" t="s">
        <v>22</v>
      </c>
      <c r="M224" s="4">
        <v>959</v>
      </c>
      <c r="N224" s="3" t="s">
        <v>23</v>
      </c>
      <c r="O224" s="3" t="s">
        <v>24</v>
      </c>
      <c r="P224" s="3" t="s">
        <v>19</v>
      </c>
    </row>
    <row r="225" spans="1:16" x14ac:dyDescent="0.4">
      <c r="A225" s="7">
        <v>224</v>
      </c>
      <c r="B225" s="8" t="s">
        <v>1142</v>
      </c>
      <c r="C225" s="6" t="str">
        <f>IFERROR(IF(LEFT(D225,FIND(" ",D225)-1)="전라북도","전북특별자치도",LEFT(D225,FIND(" ",D225)-1)),"")</f>
        <v>강원특별자치도</v>
      </c>
      <c r="D225" s="3" t="s">
        <v>1143</v>
      </c>
      <c r="E225" s="3" t="s">
        <v>1144</v>
      </c>
      <c r="F225" s="3" t="s">
        <v>1141</v>
      </c>
      <c r="G225" s="3" t="s">
        <v>1145</v>
      </c>
      <c r="H225" s="3" t="s">
        <v>19</v>
      </c>
      <c r="I225" s="3" t="s">
        <v>19</v>
      </c>
      <c r="J225" s="3" t="s">
        <v>19</v>
      </c>
      <c r="K225" s="3" t="s">
        <v>21</v>
      </c>
      <c r="L225" s="3" t="s">
        <v>22</v>
      </c>
      <c r="M225" s="4">
        <v>197</v>
      </c>
      <c r="N225" s="3" t="s">
        <v>23</v>
      </c>
      <c r="O225" s="3" t="s">
        <v>24</v>
      </c>
      <c r="P225" s="3" t="s">
        <v>19</v>
      </c>
    </row>
    <row r="226" spans="1:16" x14ac:dyDescent="0.4">
      <c r="A226" s="7">
        <v>225</v>
      </c>
      <c r="B226" s="8" t="s">
        <v>1142</v>
      </c>
      <c r="C226" s="6" t="str">
        <f>IFERROR(IF(LEFT(D226,FIND(" ",D226)-1)="전라북도","전북특별자치도",LEFT(D226,FIND(" ",D226)-1)),"")</f>
        <v>강원특별자치도</v>
      </c>
      <c r="D226" s="3" t="s">
        <v>1143</v>
      </c>
      <c r="E226" s="3" t="s">
        <v>1144</v>
      </c>
      <c r="F226" s="3" t="s">
        <v>1141</v>
      </c>
      <c r="G226" s="3" t="s">
        <v>1145</v>
      </c>
      <c r="H226" s="3" t="s">
        <v>19</v>
      </c>
      <c r="I226" s="3" t="s">
        <v>19</v>
      </c>
      <c r="J226" s="3" t="s">
        <v>19</v>
      </c>
      <c r="K226" s="3" t="s">
        <v>21</v>
      </c>
      <c r="L226" s="3" t="s">
        <v>22</v>
      </c>
      <c r="M226" s="4">
        <v>393</v>
      </c>
      <c r="N226" s="3" t="s">
        <v>23</v>
      </c>
      <c r="O226" s="3" t="s">
        <v>24</v>
      </c>
      <c r="P226" s="3" t="s">
        <v>19</v>
      </c>
    </row>
    <row r="227" spans="1:16" x14ac:dyDescent="0.4">
      <c r="A227" s="7">
        <v>226</v>
      </c>
      <c r="B227" s="8" t="s">
        <v>1142</v>
      </c>
      <c r="C227" s="6" t="str">
        <f>IFERROR(IF(LEFT(D227,FIND(" ",D227)-1)="전라북도","전북특별자치도",LEFT(D227,FIND(" ",D227)-1)),"")</f>
        <v>강원특별자치도</v>
      </c>
      <c r="D227" s="3" t="s">
        <v>1143</v>
      </c>
      <c r="E227" s="3" t="s">
        <v>1144</v>
      </c>
      <c r="F227" s="3" t="s">
        <v>1141</v>
      </c>
      <c r="G227" s="3" t="s">
        <v>1145</v>
      </c>
      <c r="H227" s="3" t="s">
        <v>19</v>
      </c>
      <c r="I227" s="3" t="s">
        <v>19</v>
      </c>
      <c r="J227" s="3" t="s">
        <v>19</v>
      </c>
      <c r="K227" s="3" t="s">
        <v>21</v>
      </c>
      <c r="L227" s="3" t="s">
        <v>22</v>
      </c>
      <c r="M227" s="4">
        <v>393</v>
      </c>
      <c r="N227" s="3" t="s">
        <v>23</v>
      </c>
      <c r="O227" s="3" t="s">
        <v>24</v>
      </c>
      <c r="P227" s="3" t="s">
        <v>19</v>
      </c>
    </row>
    <row r="228" spans="1:16" x14ac:dyDescent="0.4">
      <c r="A228" s="7">
        <v>227</v>
      </c>
      <c r="B228" s="8" t="s">
        <v>1146</v>
      </c>
      <c r="C228" s="6" t="str">
        <f>IFERROR(IF(LEFT(D228,FIND(" ",D228)-1)="전라북도","전북특별자치도",LEFT(D228,FIND(" ",D228)-1)),"")</f>
        <v>강원특별자치도</v>
      </c>
      <c r="D228" s="3" t="s">
        <v>1147</v>
      </c>
      <c r="E228" s="3" t="s">
        <v>1148</v>
      </c>
      <c r="F228" s="3" t="s">
        <v>1141</v>
      </c>
      <c r="G228" s="3" t="s">
        <v>1149</v>
      </c>
      <c r="H228" s="3" t="s">
        <v>128</v>
      </c>
      <c r="I228" s="3" t="s">
        <v>19</v>
      </c>
      <c r="J228" s="3" t="s">
        <v>19</v>
      </c>
      <c r="K228" s="3" t="s">
        <v>21</v>
      </c>
      <c r="L228" s="3" t="s">
        <v>22</v>
      </c>
      <c r="M228" s="4">
        <v>743</v>
      </c>
      <c r="N228" s="3" t="s">
        <v>211</v>
      </c>
      <c r="O228" s="3" t="s">
        <v>24</v>
      </c>
      <c r="P228" s="3" t="s">
        <v>19</v>
      </c>
    </row>
    <row r="229" spans="1:16" x14ac:dyDescent="0.4">
      <c r="A229" s="7">
        <v>228</v>
      </c>
      <c r="B229" s="8" t="s">
        <v>1150</v>
      </c>
      <c r="C229" s="6" t="str">
        <f>IFERROR(IF(LEFT(D229,FIND(" ",D229)-1)="전라북도","전북특별자치도",LEFT(D229,FIND(" ",D229)-1)),"")</f>
        <v>강원특별자치도</v>
      </c>
      <c r="D229" s="3" t="s">
        <v>1151</v>
      </c>
      <c r="E229" s="3" t="s">
        <v>1152</v>
      </c>
      <c r="F229" s="3" t="s">
        <v>1153</v>
      </c>
      <c r="G229" s="3" t="s">
        <v>1154</v>
      </c>
      <c r="H229" s="3" t="s">
        <v>1155</v>
      </c>
      <c r="I229" s="3" t="s">
        <v>1156</v>
      </c>
      <c r="J229" s="3" t="s">
        <v>19</v>
      </c>
      <c r="K229" s="3" t="s">
        <v>21</v>
      </c>
      <c r="L229" s="3" t="s">
        <v>22</v>
      </c>
      <c r="M229" s="4">
        <v>708</v>
      </c>
      <c r="N229" s="3" t="s">
        <v>23</v>
      </c>
      <c r="O229" s="3" t="s">
        <v>24</v>
      </c>
      <c r="P229" s="3" t="s">
        <v>19</v>
      </c>
    </row>
    <row r="230" spans="1:16" hidden="1" x14ac:dyDescent="0.4">
      <c r="A230" s="7">
        <v>229</v>
      </c>
      <c r="B230" s="8" t="s">
        <v>1157</v>
      </c>
      <c r="C230" s="6" t="str">
        <f>IFERROR(IF(LEFT(D230,FIND(" ",D230)-1)="전라북도","전북특별자치도",LEFT(D230,FIND(" ",D230)-1)),"")</f>
        <v>강원특별자치도</v>
      </c>
      <c r="D230" s="3" t="s">
        <v>1158</v>
      </c>
      <c r="E230" s="3" t="s">
        <v>1159</v>
      </c>
      <c r="F230" s="3" t="s">
        <v>1153</v>
      </c>
      <c r="G230" s="3" t="s">
        <v>1160</v>
      </c>
      <c r="H230" s="3" t="s">
        <v>1161</v>
      </c>
      <c r="I230" s="3" t="s">
        <v>1162</v>
      </c>
      <c r="J230" s="3" t="s">
        <v>1160</v>
      </c>
      <c r="K230" s="3" t="s">
        <v>21</v>
      </c>
      <c r="L230" s="3" t="s">
        <v>22</v>
      </c>
      <c r="M230" s="4">
        <v>1204</v>
      </c>
      <c r="N230" s="3" t="s">
        <v>23</v>
      </c>
      <c r="O230" s="3" t="s">
        <v>281</v>
      </c>
      <c r="P230" s="3" t="s">
        <v>28</v>
      </c>
    </row>
    <row r="231" spans="1:16" hidden="1" x14ac:dyDescent="0.4">
      <c r="A231" s="7">
        <v>230</v>
      </c>
      <c r="B231" s="8" t="s">
        <v>1163</v>
      </c>
      <c r="C231" s="6" t="str">
        <f>IFERROR(IF(LEFT(D231,FIND(" ",D231)-1)="전라북도","전북특별자치도",LEFT(D231,FIND(" ",D231)-1)),"")</f>
        <v>대전광역시</v>
      </c>
      <c r="D231" s="3" t="s">
        <v>1164</v>
      </c>
      <c r="E231" s="3" t="s">
        <v>1165</v>
      </c>
      <c r="F231" s="3" t="s">
        <v>1166</v>
      </c>
      <c r="G231" s="3" t="s">
        <v>385</v>
      </c>
      <c r="H231" s="3" t="s">
        <v>274</v>
      </c>
      <c r="I231" s="3" t="s">
        <v>19</v>
      </c>
      <c r="J231" s="3" t="s">
        <v>1167</v>
      </c>
      <c r="K231" s="3" t="s">
        <v>21</v>
      </c>
      <c r="L231" s="3" t="s">
        <v>228</v>
      </c>
      <c r="M231" s="4">
        <v>918</v>
      </c>
      <c r="N231" s="3" t="s">
        <v>23</v>
      </c>
      <c r="O231" s="3" t="s">
        <v>281</v>
      </c>
      <c r="P231" s="3" t="s">
        <v>960</v>
      </c>
    </row>
    <row r="232" spans="1:16" x14ac:dyDescent="0.4">
      <c r="A232" s="7">
        <v>231</v>
      </c>
      <c r="B232" s="8" t="s">
        <v>1168</v>
      </c>
      <c r="C232" s="6" t="str">
        <f>IFERROR(IF(LEFT(D232,FIND(" ",D232)-1)="전라북도","전북특별자치도",LEFT(D232,FIND(" ",D232)-1)),"")</f>
        <v>강원특별자치도</v>
      </c>
      <c r="D232" s="3" t="s">
        <v>207</v>
      </c>
      <c r="E232" s="3" t="s">
        <v>1169</v>
      </c>
      <c r="F232" s="3" t="s">
        <v>1170</v>
      </c>
      <c r="G232" s="3" t="s">
        <v>19</v>
      </c>
      <c r="H232" s="3" t="s">
        <v>210</v>
      </c>
      <c r="I232" s="3" t="s">
        <v>19</v>
      </c>
      <c r="J232" s="3" t="s">
        <v>19</v>
      </c>
      <c r="K232" s="3" t="s">
        <v>21</v>
      </c>
      <c r="L232" s="3" t="s">
        <v>22</v>
      </c>
      <c r="M232" s="4">
        <v>97</v>
      </c>
      <c r="N232" s="3" t="s">
        <v>211</v>
      </c>
      <c r="O232" s="3" t="s">
        <v>24</v>
      </c>
      <c r="P232" s="3" t="s">
        <v>19</v>
      </c>
    </row>
    <row r="233" spans="1:16" x14ac:dyDescent="0.4">
      <c r="A233" s="7">
        <v>232</v>
      </c>
      <c r="B233" s="8" t="s">
        <v>1171</v>
      </c>
      <c r="C233" s="6" t="str">
        <f>IFERROR(IF(LEFT(D233,FIND(" ",D233)-1)="전라북도","전북특별자치도",LEFT(D233,FIND(" ",D233)-1)),"")</f>
        <v>경기도</v>
      </c>
      <c r="D233" s="3" t="s">
        <v>1172</v>
      </c>
      <c r="E233" s="3" t="s">
        <v>1173</v>
      </c>
      <c r="F233" s="3" t="s">
        <v>1174</v>
      </c>
      <c r="G233" s="3" t="s">
        <v>19</v>
      </c>
      <c r="H233" s="3" t="s">
        <v>19</v>
      </c>
      <c r="I233" s="3" t="s">
        <v>19</v>
      </c>
      <c r="J233" s="3" t="s">
        <v>1175</v>
      </c>
      <c r="K233" s="3" t="s">
        <v>21</v>
      </c>
      <c r="L233" s="3" t="s">
        <v>22</v>
      </c>
      <c r="M233" s="4">
        <v>1676</v>
      </c>
      <c r="N233" s="3" t="s">
        <v>23</v>
      </c>
      <c r="O233" s="3" t="s">
        <v>24</v>
      </c>
      <c r="P233" s="3" t="s">
        <v>19</v>
      </c>
    </row>
    <row r="234" spans="1:16" x14ac:dyDescent="0.4">
      <c r="A234" s="7">
        <v>233</v>
      </c>
      <c r="B234" s="8" t="s">
        <v>1176</v>
      </c>
      <c r="C234" s="6" t="str">
        <f>IFERROR(IF(LEFT(D234,FIND(" ",D234)-1)="전라북도","전북특별자치도",LEFT(D234,FIND(" ",D234)-1)),"")</f>
        <v>경기도</v>
      </c>
      <c r="D234" s="3" t="s">
        <v>1177</v>
      </c>
      <c r="E234" s="3" t="s">
        <v>1178</v>
      </c>
      <c r="F234" s="3" t="s">
        <v>1008</v>
      </c>
      <c r="G234" s="3" t="s">
        <v>19</v>
      </c>
      <c r="H234" s="3" t="s">
        <v>302</v>
      </c>
      <c r="I234" s="3" t="s">
        <v>19</v>
      </c>
      <c r="J234" s="3" t="s">
        <v>19</v>
      </c>
      <c r="K234" s="3" t="s">
        <v>21</v>
      </c>
      <c r="L234" s="3" t="s">
        <v>22</v>
      </c>
      <c r="M234" s="4">
        <v>609</v>
      </c>
      <c r="N234" s="3" t="s">
        <v>129</v>
      </c>
      <c r="O234" s="3" t="s">
        <v>24</v>
      </c>
      <c r="P234" s="3" t="s">
        <v>19</v>
      </c>
    </row>
    <row r="235" spans="1:16" hidden="1" x14ac:dyDescent="0.4">
      <c r="A235" s="7">
        <v>234</v>
      </c>
      <c r="B235" s="8" t="s">
        <v>1179</v>
      </c>
      <c r="C235" s="6" t="str">
        <f>IFERROR(IF(LEFT(D235,FIND(" ",D235)-1)="전라북도","전북특별자치도",LEFT(D235,FIND(" ",D235)-1)),"")</f>
        <v>전북특별자치도</v>
      </c>
      <c r="D235" s="3" t="s">
        <v>1180</v>
      </c>
      <c r="E235" s="3" t="s">
        <v>1181</v>
      </c>
      <c r="F235" s="3" t="s">
        <v>1063</v>
      </c>
      <c r="G235" s="3" t="s">
        <v>1183</v>
      </c>
      <c r="H235" s="3" t="s">
        <v>1184</v>
      </c>
      <c r="I235" s="3" t="s">
        <v>1185</v>
      </c>
      <c r="J235" s="3" t="s">
        <v>1183</v>
      </c>
      <c r="K235" s="3" t="s">
        <v>21</v>
      </c>
      <c r="L235" s="3" t="s">
        <v>147</v>
      </c>
      <c r="M235" s="4">
        <v>1371</v>
      </c>
      <c r="N235" s="3" t="s">
        <v>123</v>
      </c>
      <c r="O235" s="3" t="s">
        <v>281</v>
      </c>
      <c r="P235" s="3" t="s">
        <v>1182</v>
      </c>
    </row>
    <row r="236" spans="1:16" x14ac:dyDescent="0.4">
      <c r="A236" s="7">
        <v>235</v>
      </c>
      <c r="B236" s="8" t="s">
        <v>1186</v>
      </c>
      <c r="C236" s="6" t="str">
        <f>IFERROR(IF(LEFT(D236,FIND(" ",D236)-1)="전라북도","전북특별자치도",LEFT(D236,FIND(" ",D236)-1)),"")</f>
        <v>인천광역시</v>
      </c>
      <c r="D236" s="3" t="s">
        <v>1187</v>
      </c>
      <c r="E236" s="3" t="s">
        <v>1188</v>
      </c>
      <c r="F236" s="3" t="s">
        <v>1063</v>
      </c>
      <c r="G236" s="3" t="s">
        <v>19</v>
      </c>
      <c r="H236" s="3" t="s">
        <v>1189</v>
      </c>
      <c r="I236" s="3" t="s">
        <v>19</v>
      </c>
      <c r="J236" s="3" t="s">
        <v>19</v>
      </c>
      <c r="K236" s="3" t="s">
        <v>21</v>
      </c>
      <c r="L236" s="3" t="s">
        <v>22</v>
      </c>
      <c r="M236" s="4">
        <v>199</v>
      </c>
      <c r="N236" s="3" t="s">
        <v>23</v>
      </c>
      <c r="O236" s="3" t="s">
        <v>24</v>
      </c>
      <c r="P236" s="3" t="s">
        <v>19</v>
      </c>
    </row>
    <row r="237" spans="1:16" x14ac:dyDescent="0.4">
      <c r="A237" s="7">
        <v>236</v>
      </c>
      <c r="B237" s="8" t="s">
        <v>1190</v>
      </c>
      <c r="C237" s="6" t="str">
        <f>IFERROR(IF(LEFT(D237,FIND(" ",D237)-1)="전라북도","전북특별자치도",LEFT(D237,FIND(" ",D237)-1)),"")</f>
        <v>충청남도</v>
      </c>
      <c r="D237" s="3" t="s">
        <v>1191</v>
      </c>
      <c r="E237" s="3" t="s">
        <v>1192</v>
      </c>
      <c r="F237" s="3" t="s">
        <v>1193</v>
      </c>
      <c r="G237" s="3" t="s">
        <v>19</v>
      </c>
      <c r="H237" s="3" t="s">
        <v>1194</v>
      </c>
      <c r="I237" s="3" t="s">
        <v>19</v>
      </c>
      <c r="J237" s="3" t="s">
        <v>19</v>
      </c>
      <c r="K237" s="3" t="s">
        <v>21</v>
      </c>
      <c r="L237" s="3" t="s">
        <v>22</v>
      </c>
      <c r="M237" s="4">
        <v>528</v>
      </c>
      <c r="N237" s="3" t="s">
        <v>123</v>
      </c>
      <c r="O237" s="3" t="s">
        <v>24</v>
      </c>
      <c r="P237" s="3" t="s">
        <v>19</v>
      </c>
    </row>
    <row r="238" spans="1:16" hidden="1" x14ac:dyDescent="0.4">
      <c r="A238" s="7">
        <v>237</v>
      </c>
      <c r="B238" s="8" t="s">
        <v>1195</v>
      </c>
      <c r="C238" s="6" t="str">
        <f>IFERROR(IF(LEFT(D238,FIND(" ",D238)-1)="전라북도","전북특별자치도",LEFT(D238,FIND(" ",D238)-1)),"")</f>
        <v>경기도</v>
      </c>
      <c r="D238" s="3" t="s">
        <v>1196</v>
      </c>
      <c r="E238" s="3" t="s">
        <v>1037</v>
      </c>
      <c r="F238" s="3" t="s">
        <v>1037</v>
      </c>
      <c r="G238" s="3" t="s">
        <v>19</v>
      </c>
      <c r="H238" s="3" t="s">
        <v>302</v>
      </c>
      <c r="I238" s="3" t="s">
        <v>19</v>
      </c>
      <c r="J238" s="3" t="s">
        <v>19</v>
      </c>
      <c r="K238" s="3" t="s">
        <v>21</v>
      </c>
      <c r="L238" s="3" t="s">
        <v>147</v>
      </c>
      <c r="M238" s="4">
        <v>1314</v>
      </c>
      <c r="N238" s="3" t="s">
        <v>84</v>
      </c>
      <c r="O238" s="3" t="s">
        <v>281</v>
      </c>
      <c r="P238" s="3" t="s">
        <v>1197</v>
      </c>
    </row>
    <row r="239" spans="1:16" x14ac:dyDescent="0.4">
      <c r="A239" s="7">
        <v>238</v>
      </c>
      <c r="B239" s="8" t="s">
        <v>1198</v>
      </c>
      <c r="C239" s="6" t="str">
        <f>IFERROR(IF(LEFT(D239,FIND(" ",D239)-1)="전라북도","전북특별자치도",LEFT(D239,FIND(" ",D239)-1)),"")</f>
        <v>전라남도</v>
      </c>
      <c r="D239" s="3" t="s">
        <v>1199</v>
      </c>
      <c r="E239" s="3" t="s">
        <v>1200</v>
      </c>
      <c r="F239" s="3" t="s">
        <v>1201</v>
      </c>
      <c r="G239" s="3" t="s">
        <v>19</v>
      </c>
      <c r="H239" s="3" t="s">
        <v>1202</v>
      </c>
      <c r="I239" s="3" t="s">
        <v>19</v>
      </c>
      <c r="J239" s="3" t="s">
        <v>1203</v>
      </c>
      <c r="K239" s="3" t="s">
        <v>21</v>
      </c>
      <c r="L239" s="3" t="s">
        <v>22</v>
      </c>
      <c r="M239" s="4">
        <v>3741</v>
      </c>
      <c r="N239" s="3" t="s">
        <v>23</v>
      </c>
      <c r="O239" s="3" t="s">
        <v>24</v>
      </c>
      <c r="P239" s="3" t="s">
        <v>19</v>
      </c>
    </row>
    <row r="240" spans="1:16" hidden="1" x14ac:dyDescent="0.4">
      <c r="A240" s="7">
        <v>239</v>
      </c>
      <c r="B240" s="8" t="s">
        <v>1204</v>
      </c>
      <c r="C240" s="6" t="str">
        <f>IFERROR(IF(LEFT(D240,FIND(" ",D240)-1)="전라북도","전북특별자치도",LEFT(D240,FIND(" ",D240)-1)),"")</f>
        <v>경상북도</v>
      </c>
      <c r="D240" s="3" t="s">
        <v>1205</v>
      </c>
      <c r="E240" s="3" t="s">
        <v>1206</v>
      </c>
      <c r="F240" s="3" t="s">
        <v>1207</v>
      </c>
      <c r="G240" s="3" t="s">
        <v>1208</v>
      </c>
      <c r="H240" s="3" t="s">
        <v>1209</v>
      </c>
      <c r="I240" s="3" t="s">
        <v>19</v>
      </c>
      <c r="J240" s="3" t="s">
        <v>19</v>
      </c>
      <c r="K240" s="3" t="s">
        <v>21</v>
      </c>
      <c r="L240" s="3" t="s">
        <v>22</v>
      </c>
      <c r="M240" s="4">
        <v>88</v>
      </c>
      <c r="N240" s="3" t="s">
        <v>23</v>
      </c>
      <c r="O240" s="3" t="s">
        <v>281</v>
      </c>
      <c r="P240" s="3" t="s">
        <v>914</v>
      </c>
    </row>
    <row r="241" spans="1:16" hidden="1" x14ac:dyDescent="0.4">
      <c r="A241" s="7">
        <v>240</v>
      </c>
      <c r="B241" s="8" t="s">
        <v>1210</v>
      </c>
      <c r="C241" s="6" t="str">
        <f>IFERROR(IF(LEFT(D241,FIND(" ",D241)-1)="전라북도","전북특별자치도",LEFT(D241,FIND(" ",D241)-1)),"")</f>
        <v>경상북도</v>
      </c>
      <c r="D241" s="3" t="s">
        <v>1211</v>
      </c>
      <c r="E241" s="3" t="s">
        <v>1212</v>
      </c>
      <c r="F241" s="3" t="s">
        <v>1213</v>
      </c>
      <c r="G241" s="3" t="s">
        <v>19</v>
      </c>
      <c r="H241" s="3" t="s">
        <v>1215</v>
      </c>
      <c r="I241" s="3" t="s">
        <v>19</v>
      </c>
      <c r="J241" s="3" t="s">
        <v>19</v>
      </c>
      <c r="K241" s="3" t="s">
        <v>21</v>
      </c>
      <c r="L241" s="3" t="s">
        <v>147</v>
      </c>
      <c r="M241" s="4">
        <v>398</v>
      </c>
      <c r="N241" s="3" t="s">
        <v>23</v>
      </c>
      <c r="O241" s="3" t="s">
        <v>281</v>
      </c>
      <c r="P241" s="3" t="s">
        <v>1214</v>
      </c>
    </row>
    <row r="242" spans="1:16" x14ac:dyDescent="0.4">
      <c r="A242" s="7">
        <v>241</v>
      </c>
      <c r="B242" s="8" t="s">
        <v>1216</v>
      </c>
      <c r="C242" s="6" t="str">
        <f>IFERROR(IF(LEFT(D242,FIND(" ",D242)-1)="전라북도","전북특별자치도",LEFT(D242,FIND(" ",D242)-1)),"")</f>
        <v>경상북도</v>
      </c>
      <c r="D242" s="3" t="s">
        <v>1217</v>
      </c>
      <c r="E242" s="3" t="s">
        <v>1218</v>
      </c>
      <c r="F242" s="3" t="s">
        <v>1219</v>
      </c>
      <c r="G242" s="3" t="s">
        <v>19</v>
      </c>
      <c r="H242" s="3" t="s">
        <v>1220</v>
      </c>
      <c r="I242" s="3" t="s">
        <v>19</v>
      </c>
      <c r="J242" s="3" t="s">
        <v>1221</v>
      </c>
      <c r="K242" s="3" t="s">
        <v>21</v>
      </c>
      <c r="L242" s="3" t="s">
        <v>22</v>
      </c>
      <c r="M242" s="4">
        <v>6591</v>
      </c>
      <c r="N242" s="3" t="s">
        <v>23</v>
      </c>
      <c r="O242" s="3" t="s">
        <v>24</v>
      </c>
      <c r="P242" s="3" t="s">
        <v>19</v>
      </c>
    </row>
    <row r="243" spans="1:16" hidden="1" x14ac:dyDescent="0.4">
      <c r="A243" s="7">
        <v>242</v>
      </c>
      <c r="B243" s="8" t="s">
        <v>1222</v>
      </c>
      <c r="C243" s="6" t="str">
        <f>IFERROR(IF(LEFT(D243,FIND(" ",D243)-1)="전라북도","전북특별자치도",LEFT(D243,FIND(" ",D243)-1)),"")</f>
        <v>부산광역시</v>
      </c>
      <c r="D243" s="3" t="s">
        <v>1223</v>
      </c>
      <c r="E243" s="3" t="s">
        <v>1212</v>
      </c>
      <c r="F243" s="3" t="s">
        <v>1224</v>
      </c>
      <c r="G243" s="3" t="s">
        <v>19</v>
      </c>
      <c r="H243" s="3" t="s">
        <v>380</v>
      </c>
      <c r="I243" s="3" t="s">
        <v>19</v>
      </c>
      <c r="J243" s="3" t="s">
        <v>1226</v>
      </c>
      <c r="K243" s="3" t="s">
        <v>21</v>
      </c>
      <c r="L243" s="3" t="s">
        <v>147</v>
      </c>
      <c r="M243" s="4">
        <v>2455</v>
      </c>
      <c r="N243" s="3" t="s">
        <v>23</v>
      </c>
      <c r="O243" s="3" t="s">
        <v>281</v>
      </c>
      <c r="P243" s="3" t="s">
        <v>1225</v>
      </c>
    </row>
    <row r="244" spans="1:16" x14ac:dyDescent="0.4">
      <c r="A244" s="7">
        <v>243</v>
      </c>
      <c r="B244" s="8" t="s">
        <v>1227</v>
      </c>
      <c r="C244" s="6" t="str">
        <f>IFERROR(IF(LEFT(D244,FIND(" ",D244)-1)="전라북도","전북특별자치도",LEFT(D244,FIND(" ",D244)-1)),"")</f>
        <v>경기도</v>
      </c>
      <c r="D244" s="3" t="s">
        <v>1228</v>
      </c>
      <c r="E244" s="3" t="s">
        <v>1229</v>
      </c>
      <c r="F244" s="3" t="s">
        <v>1224</v>
      </c>
      <c r="G244" s="3" t="s">
        <v>1230</v>
      </c>
      <c r="H244" s="3" t="s">
        <v>323</v>
      </c>
      <c r="I244" s="3" t="s">
        <v>1231</v>
      </c>
      <c r="J244" s="3" t="s">
        <v>1232</v>
      </c>
      <c r="K244" s="3" t="s">
        <v>21</v>
      </c>
      <c r="L244" s="3" t="s">
        <v>22</v>
      </c>
      <c r="M244" s="4">
        <v>2146</v>
      </c>
      <c r="N244" s="3" t="s">
        <v>23</v>
      </c>
      <c r="O244" s="3" t="s">
        <v>24</v>
      </c>
      <c r="P244" s="3" t="s">
        <v>19</v>
      </c>
    </row>
    <row r="245" spans="1:16" x14ac:dyDescent="0.4">
      <c r="A245" s="7">
        <v>244</v>
      </c>
      <c r="B245" s="8" t="s">
        <v>1233</v>
      </c>
      <c r="C245" s="6" t="str">
        <f>IFERROR(IF(LEFT(D245,FIND(" ",D245)-1)="전라북도","전북특별자치도",LEFT(D245,FIND(" ",D245)-1)),"")</f>
        <v>경기도</v>
      </c>
      <c r="D245" s="3" t="s">
        <v>1234</v>
      </c>
      <c r="E245" s="3" t="s">
        <v>1235</v>
      </c>
      <c r="F245" s="3" t="s">
        <v>1236</v>
      </c>
      <c r="G245" s="3" t="s">
        <v>19</v>
      </c>
      <c r="H245" s="3" t="s">
        <v>1237</v>
      </c>
      <c r="I245" s="3" t="s">
        <v>19</v>
      </c>
      <c r="J245" s="3" t="s">
        <v>19</v>
      </c>
      <c r="K245" s="3" t="s">
        <v>1238</v>
      </c>
      <c r="L245" s="3" t="s">
        <v>22</v>
      </c>
      <c r="M245" s="4">
        <v>849</v>
      </c>
      <c r="N245" s="3" t="s">
        <v>129</v>
      </c>
      <c r="O245" s="3" t="s">
        <v>24</v>
      </c>
      <c r="P245" s="3" t="s">
        <v>19</v>
      </c>
    </row>
    <row r="246" spans="1:16" hidden="1" x14ac:dyDescent="0.4">
      <c r="A246" s="7">
        <v>245</v>
      </c>
      <c r="B246" s="8" t="s">
        <v>1239</v>
      </c>
      <c r="C246" s="6" t="str">
        <f>IFERROR(IF(LEFT(D246,FIND(" ",D246)-1)="전라북도","전북특별자치도",LEFT(D246,FIND(" ",D246)-1)),"")</f>
        <v>전라남도</v>
      </c>
      <c r="D246" s="3" t="s">
        <v>1240</v>
      </c>
      <c r="E246" s="3" t="s">
        <v>793</v>
      </c>
      <c r="F246" s="3" t="s">
        <v>1130</v>
      </c>
      <c r="G246" s="3" t="s">
        <v>1242</v>
      </c>
      <c r="H246" s="3" t="s">
        <v>128</v>
      </c>
      <c r="I246" s="3" t="s">
        <v>128</v>
      </c>
      <c r="J246" s="3" t="s">
        <v>19</v>
      </c>
      <c r="K246" s="3" t="s">
        <v>21</v>
      </c>
      <c r="L246" s="3" t="s">
        <v>22</v>
      </c>
      <c r="M246" s="4">
        <v>262</v>
      </c>
      <c r="N246" s="3" t="s">
        <v>129</v>
      </c>
      <c r="O246" s="3" t="s">
        <v>281</v>
      </c>
      <c r="P246" s="3" t="s">
        <v>1241</v>
      </c>
    </row>
    <row r="247" spans="1:16" hidden="1" x14ac:dyDescent="0.4">
      <c r="A247" s="7">
        <v>246</v>
      </c>
      <c r="B247" s="8" t="s">
        <v>1243</v>
      </c>
      <c r="C247" s="6" t="str">
        <f>IFERROR(IF(LEFT(D247,FIND(" ",D247)-1)="전라북도","전북특별자치도",LEFT(D247,FIND(" ",D247)-1)),"")</f>
        <v>제주특별자치도</v>
      </c>
      <c r="D247" s="3" t="s">
        <v>1244</v>
      </c>
      <c r="E247" s="3" t="s">
        <v>1245</v>
      </c>
      <c r="F247" s="3" t="s">
        <v>1212</v>
      </c>
      <c r="G247" s="3" t="s">
        <v>1246</v>
      </c>
      <c r="H247" s="3" t="s">
        <v>1247</v>
      </c>
      <c r="I247" s="3" t="s">
        <v>19</v>
      </c>
      <c r="J247" s="3" t="s">
        <v>19</v>
      </c>
      <c r="K247" s="3" t="s">
        <v>21</v>
      </c>
      <c r="L247" s="3" t="s">
        <v>22</v>
      </c>
      <c r="M247" s="4">
        <v>729</v>
      </c>
      <c r="N247" s="3" t="s">
        <v>1248</v>
      </c>
      <c r="O247" s="3" t="s">
        <v>281</v>
      </c>
      <c r="P247" s="3" t="s">
        <v>587</v>
      </c>
    </row>
    <row r="248" spans="1:16" x14ac:dyDescent="0.4">
      <c r="A248" s="7">
        <v>247</v>
      </c>
      <c r="B248" s="8" t="s">
        <v>1249</v>
      </c>
      <c r="C248" s="6" t="str">
        <f>IFERROR(IF(LEFT(D248,FIND(" ",D248)-1)="전라북도","전북특별자치도",LEFT(D248,FIND(" ",D248)-1)),"")</f>
        <v>경기도</v>
      </c>
      <c r="D248" s="3" t="s">
        <v>1250</v>
      </c>
      <c r="E248" s="3" t="s">
        <v>1251</v>
      </c>
      <c r="F248" s="3" t="s">
        <v>1252</v>
      </c>
      <c r="G248" s="3" t="s">
        <v>19</v>
      </c>
      <c r="H248" s="3" t="s">
        <v>953</v>
      </c>
      <c r="I248" s="3" t="s">
        <v>19</v>
      </c>
      <c r="J248" s="3" t="s">
        <v>19</v>
      </c>
      <c r="K248" s="3" t="s">
        <v>21</v>
      </c>
      <c r="L248" s="3" t="s">
        <v>22</v>
      </c>
      <c r="M248" s="4">
        <v>274</v>
      </c>
      <c r="N248" s="3" t="s">
        <v>23</v>
      </c>
      <c r="O248" s="3" t="s">
        <v>24</v>
      </c>
      <c r="P248" s="3" t="s">
        <v>19</v>
      </c>
    </row>
    <row r="249" spans="1:16" hidden="1" x14ac:dyDescent="0.4">
      <c r="A249" s="7">
        <v>248</v>
      </c>
      <c r="B249" s="8" t="s">
        <v>1253</v>
      </c>
      <c r="C249" s="6" t="str">
        <f>IFERROR(IF(LEFT(D249,FIND(" ",D249)-1)="전라북도","전북특별자치도",LEFT(D249,FIND(" ",D249)-1)),"")</f>
        <v>경기도</v>
      </c>
      <c r="D249" s="3" t="s">
        <v>1254</v>
      </c>
      <c r="E249" s="3" t="s">
        <v>1108</v>
      </c>
      <c r="F249" s="3" t="s">
        <v>1255</v>
      </c>
      <c r="G249" s="3" t="s">
        <v>1109</v>
      </c>
      <c r="H249" s="3" t="s">
        <v>1110</v>
      </c>
      <c r="I249" s="3" t="s">
        <v>1110</v>
      </c>
      <c r="J249" s="3" t="s">
        <v>19</v>
      </c>
      <c r="K249" s="3" t="s">
        <v>21</v>
      </c>
      <c r="L249" s="3" t="s">
        <v>22</v>
      </c>
      <c r="M249" s="4">
        <v>298</v>
      </c>
      <c r="N249" s="3" t="s">
        <v>23</v>
      </c>
      <c r="O249" s="3" t="s">
        <v>281</v>
      </c>
      <c r="P249" s="3" t="s">
        <v>685</v>
      </c>
    </row>
    <row r="250" spans="1:16" hidden="1" x14ac:dyDescent="0.4">
      <c r="A250" s="7">
        <v>249</v>
      </c>
      <c r="B250" s="8" t="s">
        <v>1256</v>
      </c>
      <c r="C250" s="6" t="str">
        <f>IFERROR(IF(LEFT(D250,FIND(" ",D250)-1)="전라북도","전북특별자치도",LEFT(D250,FIND(" ",D250)-1)),"")</f>
        <v>경기도</v>
      </c>
      <c r="D250" s="3" t="s">
        <v>1257</v>
      </c>
      <c r="E250" s="3" t="s">
        <v>1108</v>
      </c>
      <c r="F250" s="3" t="s">
        <v>1255</v>
      </c>
      <c r="G250" s="3" t="s">
        <v>1109</v>
      </c>
      <c r="H250" s="3" t="s">
        <v>1110</v>
      </c>
      <c r="I250" s="3" t="s">
        <v>1110</v>
      </c>
      <c r="J250" s="3" t="s">
        <v>19</v>
      </c>
      <c r="K250" s="3" t="s">
        <v>21</v>
      </c>
      <c r="L250" s="3" t="s">
        <v>22</v>
      </c>
      <c r="M250" s="4">
        <v>298</v>
      </c>
      <c r="N250" s="3" t="s">
        <v>23</v>
      </c>
      <c r="O250" s="3" t="s">
        <v>281</v>
      </c>
      <c r="P250" s="3" t="s">
        <v>685</v>
      </c>
    </row>
    <row r="251" spans="1:16" hidden="1" x14ac:dyDescent="0.4">
      <c r="A251" s="7">
        <v>250</v>
      </c>
      <c r="B251" s="8" t="s">
        <v>1258</v>
      </c>
      <c r="C251" s="6" t="str">
        <f>IFERROR(IF(LEFT(D251,FIND(" ",D251)-1)="전라북도","전북특별자치도",LEFT(D251,FIND(" ",D251)-1)),"")</f>
        <v>경기도</v>
      </c>
      <c r="D251" s="3" t="s">
        <v>1259</v>
      </c>
      <c r="E251" s="3" t="s">
        <v>1108</v>
      </c>
      <c r="F251" s="3" t="s">
        <v>1255</v>
      </c>
      <c r="G251" s="3" t="s">
        <v>1109</v>
      </c>
      <c r="H251" s="3" t="s">
        <v>1110</v>
      </c>
      <c r="I251" s="3" t="s">
        <v>1110</v>
      </c>
      <c r="J251" s="3" t="s">
        <v>19</v>
      </c>
      <c r="K251" s="3" t="s">
        <v>21</v>
      </c>
      <c r="L251" s="3" t="s">
        <v>22</v>
      </c>
      <c r="M251" s="4">
        <v>298</v>
      </c>
      <c r="N251" s="3" t="s">
        <v>23</v>
      </c>
      <c r="O251" s="3" t="s">
        <v>281</v>
      </c>
      <c r="P251" s="3" t="s">
        <v>685</v>
      </c>
    </row>
    <row r="252" spans="1:16" hidden="1" x14ac:dyDescent="0.4">
      <c r="A252" s="7">
        <v>251</v>
      </c>
      <c r="B252" s="8" t="s">
        <v>1260</v>
      </c>
      <c r="C252" s="6" t="str">
        <f>IFERROR(IF(LEFT(D252,FIND(" ",D252)-1)="전라북도","전북특별자치도",LEFT(D252,FIND(" ",D252)-1)),"")</f>
        <v>경기도</v>
      </c>
      <c r="D252" s="3" t="s">
        <v>1261</v>
      </c>
      <c r="E252" s="3" t="s">
        <v>1108</v>
      </c>
      <c r="F252" s="3" t="s">
        <v>1255</v>
      </c>
      <c r="G252" s="3" t="s">
        <v>1109</v>
      </c>
      <c r="H252" s="3" t="s">
        <v>1110</v>
      </c>
      <c r="I252" s="3" t="s">
        <v>1110</v>
      </c>
      <c r="J252" s="3" t="s">
        <v>19</v>
      </c>
      <c r="K252" s="3" t="s">
        <v>21</v>
      </c>
      <c r="L252" s="3" t="s">
        <v>22</v>
      </c>
      <c r="M252" s="4">
        <v>298</v>
      </c>
      <c r="N252" s="3" t="s">
        <v>23</v>
      </c>
      <c r="O252" s="3" t="s">
        <v>281</v>
      </c>
      <c r="P252" s="3" t="s">
        <v>685</v>
      </c>
    </row>
    <row r="253" spans="1:16" x14ac:dyDescent="0.4">
      <c r="A253" s="7">
        <v>252</v>
      </c>
      <c r="B253" s="8" t="s">
        <v>1262</v>
      </c>
      <c r="C253" s="6" t="str">
        <f>IFERROR(IF(LEFT(D253,FIND(" ",D253)-1)="전라북도","전북특별자치도",LEFT(D253,FIND(" ",D253)-1)),"")</f>
        <v>경기도</v>
      </c>
      <c r="D253" s="3" t="s">
        <v>1263</v>
      </c>
      <c r="E253" s="3" t="s">
        <v>1264</v>
      </c>
      <c r="F253" s="3" t="s">
        <v>305</v>
      </c>
      <c r="G253" s="3" t="s">
        <v>19</v>
      </c>
      <c r="H253" s="3" t="s">
        <v>1265</v>
      </c>
      <c r="I253" s="3" t="s">
        <v>19</v>
      </c>
      <c r="J253" s="3" t="s">
        <v>19</v>
      </c>
      <c r="K253" s="3" t="s">
        <v>21</v>
      </c>
      <c r="L253" s="3" t="s">
        <v>22</v>
      </c>
      <c r="M253" s="4">
        <v>634</v>
      </c>
      <c r="N253" s="3" t="s">
        <v>23</v>
      </c>
      <c r="O253" s="3" t="s">
        <v>24</v>
      </c>
      <c r="P253" s="3" t="s">
        <v>19</v>
      </c>
    </row>
    <row r="254" spans="1:16" x14ac:dyDescent="0.4">
      <c r="A254" s="7">
        <v>253</v>
      </c>
      <c r="B254" s="8" t="s">
        <v>1266</v>
      </c>
      <c r="C254" s="6" t="str">
        <f>IFERROR(IF(LEFT(D254,FIND(" ",D254)-1)="전라북도","전북특별자치도",LEFT(D254,FIND(" ",D254)-1)),"")</f>
        <v>전라남도</v>
      </c>
      <c r="D254" s="3" t="s">
        <v>1267</v>
      </c>
      <c r="E254" s="3" t="s">
        <v>1268</v>
      </c>
      <c r="F254" s="3" t="s">
        <v>305</v>
      </c>
      <c r="G254" s="3" t="s">
        <v>1269</v>
      </c>
      <c r="H254" s="3" t="s">
        <v>1269</v>
      </c>
      <c r="I254" s="3" t="s">
        <v>19</v>
      </c>
      <c r="J254" s="3" t="s">
        <v>19</v>
      </c>
      <c r="K254" s="3" t="s">
        <v>21</v>
      </c>
      <c r="L254" s="3" t="s">
        <v>22</v>
      </c>
      <c r="M254" s="4">
        <v>1343</v>
      </c>
      <c r="N254" s="3" t="s">
        <v>23</v>
      </c>
      <c r="O254" s="3" t="s">
        <v>24</v>
      </c>
      <c r="P254" s="3" t="s">
        <v>19</v>
      </c>
    </row>
    <row r="255" spans="1:16" x14ac:dyDescent="0.4">
      <c r="A255" s="7">
        <v>254</v>
      </c>
      <c r="B255" s="8" t="s">
        <v>1270</v>
      </c>
      <c r="C255" s="6" t="str">
        <f>IFERROR(IF(LEFT(D255,FIND(" ",D255)-1)="전라북도","전북특별자치도",LEFT(D255,FIND(" ",D255)-1)),"")</f>
        <v>강원특별자치도</v>
      </c>
      <c r="D255" s="3" t="s">
        <v>1271</v>
      </c>
      <c r="E255" s="3" t="s">
        <v>1264</v>
      </c>
      <c r="F255" s="3" t="s">
        <v>305</v>
      </c>
      <c r="G255" s="3" t="s">
        <v>19</v>
      </c>
      <c r="H255" s="3" t="s">
        <v>1272</v>
      </c>
      <c r="I255" s="3" t="s">
        <v>19</v>
      </c>
      <c r="J255" s="3" t="s">
        <v>1273</v>
      </c>
      <c r="K255" s="3" t="s">
        <v>21</v>
      </c>
      <c r="L255" s="3" t="s">
        <v>22</v>
      </c>
      <c r="M255" s="4">
        <v>9425</v>
      </c>
      <c r="N255" s="3" t="s">
        <v>23</v>
      </c>
      <c r="O255" s="3" t="s">
        <v>24</v>
      </c>
      <c r="P255" s="3" t="s">
        <v>19</v>
      </c>
    </row>
    <row r="256" spans="1:16" x14ac:dyDescent="0.4">
      <c r="A256" s="7">
        <v>255</v>
      </c>
      <c r="B256" s="8" t="s">
        <v>1274</v>
      </c>
      <c r="C256" s="6" t="str">
        <f>IFERROR(IF(LEFT(D256,FIND(" ",D256)-1)="전라북도","전북특별자치도",LEFT(D256,FIND(" ",D256)-1)),"")</f>
        <v>전북특별자치도</v>
      </c>
      <c r="D256" s="3" t="s">
        <v>1275</v>
      </c>
      <c r="E256" s="3" t="s">
        <v>1276</v>
      </c>
      <c r="F256" s="3" t="s">
        <v>1277</v>
      </c>
      <c r="G256" s="3" t="s">
        <v>1278</v>
      </c>
      <c r="H256" s="3" t="s">
        <v>1279</v>
      </c>
      <c r="I256" s="3" t="s">
        <v>1280</v>
      </c>
      <c r="J256" s="3" t="s">
        <v>19</v>
      </c>
      <c r="K256" s="3" t="s">
        <v>21</v>
      </c>
      <c r="L256" s="3" t="s">
        <v>22</v>
      </c>
      <c r="M256" s="4">
        <v>2435</v>
      </c>
      <c r="N256" s="3" t="s">
        <v>23</v>
      </c>
      <c r="O256" s="3" t="s">
        <v>24</v>
      </c>
      <c r="P256" s="3" t="s">
        <v>19</v>
      </c>
    </row>
    <row r="257" spans="1:16" x14ac:dyDescent="0.4">
      <c r="A257" s="7">
        <v>256</v>
      </c>
      <c r="B257" s="8" t="s">
        <v>1281</v>
      </c>
      <c r="C257" s="6" t="str">
        <f>IFERROR(IF(LEFT(D257,FIND(" ",D257)-1)="전라북도","전북특별자치도",LEFT(D257,FIND(" ",D257)-1)),"")</f>
        <v>인천광역시</v>
      </c>
      <c r="D257" s="3" t="s">
        <v>1282</v>
      </c>
      <c r="E257" s="3" t="s">
        <v>1283</v>
      </c>
      <c r="F257" s="3" t="s">
        <v>1284</v>
      </c>
      <c r="G257" s="3" t="s">
        <v>19</v>
      </c>
      <c r="H257" s="3" t="s">
        <v>933</v>
      </c>
      <c r="I257" s="3" t="s">
        <v>19</v>
      </c>
      <c r="J257" s="3" t="s">
        <v>19</v>
      </c>
      <c r="K257" s="3" t="s">
        <v>21</v>
      </c>
      <c r="L257" s="3" t="s">
        <v>22</v>
      </c>
      <c r="M257" s="4">
        <v>2689</v>
      </c>
      <c r="N257" s="3" t="s">
        <v>236</v>
      </c>
      <c r="O257" s="3" t="s">
        <v>24</v>
      </c>
      <c r="P257" s="3" t="s">
        <v>19</v>
      </c>
    </row>
    <row r="258" spans="1:16" hidden="1" x14ac:dyDescent="0.4">
      <c r="A258" s="7">
        <v>257</v>
      </c>
      <c r="B258" s="8" t="s">
        <v>1285</v>
      </c>
      <c r="C258" s="6" t="str">
        <f>IFERROR(IF(LEFT(D258,FIND(" ",D258)-1)="전라북도","전북특별자치도",LEFT(D258,FIND(" ",D258)-1)),"")</f>
        <v>제주특별자치도</v>
      </c>
      <c r="D258" s="3" t="s">
        <v>1286</v>
      </c>
      <c r="E258" s="3" t="s">
        <v>171</v>
      </c>
      <c r="F258" s="3" t="s">
        <v>1287</v>
      </c>
      <c r="G258" s="3" t="s">
        <v>838</v>
      </c>
      <c r="H258" s="3" t="s">
        <v>1289</v>
      </c>
      <c r="I258" s="3" t="s">
        <v>1289</v>
      </c>
      <c r="J258" s="3" t="s">
        <v>1290</v>
      </c>
      <c r="K258" s="3" t="s">
        <v>21</v>
      </c>
      <c r="L258" s="3" t="s">
        <v>22</v>
      </c>
      <c r="M258" s="4">
        <v>471</v>
      </c>
      <c r="N258" s="3" t="s">
        <v>23</v>
      </c>
      <c r="O258" s="3" t="s">
        <v>281</v>
      </c>
      <c r="P258" s="3" t="s">
        <v>1288</v>
      </c>
    </row>
    <row r="259" spans="1:16" x14ac:dyDescent="0.4">
      <c r="A259" s="7">
        <v>258</v>
      </c>
      <c r="B259" s="8" t="s">
        <v>1291</v>
      </c>
      <c r="C259" s="6" t="str">
        <f>IFERROR(IF(LEFT(D259,FIND(" ",D259)-1)="전라북도","전북특별자치도",LEFT(D259,FIND(" ",D259)-1)),"")</f>
        <v>충청남도</v>
      </c>
      <c r="D259" s="3" t="s">
        <v>1292</v>
      </c>
      <c r="E259" s="3" t="s">
        <v>1293</v>
      </c>
      <c r="F259" s="3" t="s">
        <v>1294</v>
      </c>
      <c r="G259" s="3" t="s">
        <v>1295</v>
      </c>
      <c r="H259" s="3" t="s">
        <v>1296</v>
      </c>
      <c r="I259" s="3" t="s">
        <v>1296</v>
      </c>
      <c r="J259" s="3" t="s">
        <v>19</v>
      </c>
      <c r="K259" s="3" t="s">
        <v>21</v>
      </c>
      <c r="L259" s="3" t="s">
        <v>22</v>
      </c>
      <c r="M259" s="4">
        <v>528</v>
      </c>
      <c r="N259" s="3" t="s">
        <v>23</v>
      </c>
      <c r="O259" s="3" t="s">
        <v>24</v>
      </c>
      <c r="P259" s="3" t="s">
        <v>19</v>
      </c>
    </row>
    <row r="260" spans="1:16" x14ac:dyDescent="0.4">
      <c r="A260" s="7">
        <v>259</v>
      </c>
      <c r="B260" s="8" t="s">
        <v>1297</v>
      </c>
      <c r="C260" s="6" t="str">
        <f>IFERROR(IF(LEFT(D260,FIND(" ",D260)-1)="전라북도","전북특별자치도",LEFT(D260,FIND(" ",D260)-1)),"")</f>
        <v>서울특별시</v>
      </c>
      <c r="D260" s="3" t="s">
        <v>1298</v>
      </c>
      <c r="E260" s="3" t="s">
        <v>1299</v>
      </c>
      <c r="F260" s="3" t="s">
        <v>1294</v>
      </c>
      <c r="G260" s="3" t="s">
        <v>1300</v>
      </c>
      <c r="H260" s="3" t="s">
        <v>1301</v>
      </c>
      <c r="I260" s="3" t="s">
        <v>1301</v>
      </c>
      <c r="J260" s="3" t="s">
        <v>1302</v>
      </c>
      <c r="K260" s="3" t="s">
        <v>21</v>
      </c>
      <c r="L260" s="3" t="s">
        <v>22</v>
      </c>
      <c r="M260" s="4">
        <v>4530</v>
      </c>
      <c r="N260" s="3" t="s">
        <v>23</v>
      </c>
      <c r="O260" s="3" t="s">
        <v>24</v>
      </c>
      <c r="P260" s="3" t="s">
        <v>19</v>
      </c>
    </row>
    <row r="261" spans="1:16" hidden="1" x14ac:dyDescent="0.4">
      <c r="A261" s="7">
        <v>260</v>
      </c>
      <c r="B261" s="8" t="s">
        <v>1303</v>
      </c>
      <c r="C261" s="6" t="str">
        <f>IFERROR(IF(LEFT(D261,FIND(" ",D261)-1)="전라북도","전북특별자치도",LEFT(D261,FIND(" ",D261)-1)),"")</f>
        <v>경기도</v>
      </c>
      <c r="D261" s="3" t="s">
        <v>1304</v>
      </c>
      <c r="E261" s="3" t="s">
        <v>843</v>
      </c>
      <c r="F261" s="3" t="s">
        <v>1305</v>
      </c>
      <c r="G261" s="3" t="s">
        <v>1306</v>
      </c>
      <c r="H261" s="3" t="s">
        <v>401</v>
      </c>
      <c r="I261" s="3" t="s">
        <v>401</v>
      </c>
      <c r="J261" s="3" t="s">
        <v>19</v>
      </c>
      <c r="K261" s="3" t="s">
        <v>21</v>
      </c>
      <c r="L261" s="3" t="s">
        <v>147</v>
      </c>
      <c r="M261" s="4">
        <v>594</v>
      </c>
      <c r="N261" s="3" t="s">
        <v>23</v>
      </c>
      <c r="O261" s="3" t="s">
        <v>281</v>
      </c>
      <c r="P261" s="3" t="s">
        <v>889</v>
      </c>
    </row>
    <row r="262" spans="1:16" x14ac:dyDescent="0.4">
      <c r="A262" s="7">
        <v>261</v>
      </c>
      <c r="B262" s="8" t="s">
        <v>1307</v>
      </c>
      <c r="C262" s="6" t="str">
        <f>IFERROR(IF(LEFT(D262,FIND(" ",D262)-1)="전라북도","전북특별자치도",LEFT(D262,FIND(" ",D262)-1)),"")</f>
        <v>전라남도</v>
      </c>
      <c r="D262" s="3" t="s">
        <v>1308</v>
      </c>
      <c r="E262" s="3" t="s">
        <v>1309</v>
      </c>
      <c r="F262" s="3" t="s">
        <v>1305</v>
      </c>
      <c r="G262" s="3" t="s">
        <v>19</v>
      </c>
      <c r="H262" s="3" t="s">
        <v>1025</v>
      </c>
      <c r="I262" s="3" t="s">
        <v>19</v>
      </c>
      <c r="J262" s="3" t="s">
        <v>1310</v>
      </c>
      <c r="K262" s="3" t="s">
        <v>21</v>
      </c>
      <c r="L262" s="3" t="s">
        <v>22</v>
      </c>
      <c r="M262" s="4">
        <v>16852</v>
      </c>
      <c r="N262" s="3" t="s">
        <v>23</v>
      </c>
      <c r="O262" s="3" t="s">
        <v>24</v>
      </c>
      <c r="P262" s="3" t="s">
        <v>19</v>
      </c>
    </row>
    <row r="263" spans="1:16" x14ac:dyDescent="0.4">
      <c r="A263" s="7">
        <v>262</v>
      </c>
      <c r="B263" s="8" t="s">
        <v>1311</v>
      </c>
      <c r="C263" s="6" t="str">
        <f>IFERROR(IF(LEFT(D263,FIND(" ",D263)-1)="전라북도","전북특별자치도",LEFT(D263,FIND(" ",D263)-1)),"")</f>
        <v>강원특별자치도</v>
      </c>
      <c r="D263" s="3" t="s">
        <v>1312</v>
      </c>
      <c r="E263" s="3" t="s">
        <v>1313</v>
      </c>
      <c r="F263" s="3" t="s">
        <v>1314</v>
      </c>
      <c r="G263" s="3" t="s">
        <v>19</v>
      </c>
      <c r="H263" s="3" t="s">
        <v>1315</v>
      </c>
      <c r="I263" s="3" t="s">
        <v>19</v>
      </c>
      <c r="J263" s="3" t="s">
        <v>400</v>
      </c>
      <c r="K263" s="3" t="s">
        <v>21</v>
      </c>
      <c r="L263" s="3" t="s">
        <v>22</v>
      </c>
      <c r="M263" s="4">
        <v>23667</v>
      </c>
      <c r="N263" s="3" t="s">
        <v>23</v>
      </c>
      <c r="O263" s="3" t="s">
        <v>24</v>
      </c>
      <c r="P263" s="3" t="s">
        <v>19</v>
      </c>
    </row>
    <row r="264" spans="1:16" x14ac:dyDescent="0.4">
      <c r="A264" s="7">
        <v>263</v>
      </c>
      <c r="B264" s="8" t="s">
        <v>1316</v>
      </c>
      <c r="C264" s="6" t="str">
        <f>IFERROR(IF(LEFT(D264,FIND(" ",D264)-1)="전라북도","전북특별자치도",LEFT(D264,FIND(" ",D264)-1)),"")</f>
        <v>경상북도</v>
      </c>
      <c r="D264" s="3" t="s">
        <v>1317</v>
      </c>
      <c r="E264" s="3" t="s">
        <v>1318</v>
      </c>
      <c r="F264" s="3" t="s">
        <v>1319</v>
      </c>
      <c r="G264" s="3" t="s">
        <v>1320</v>
      </c>
      <c r="H264" s="3" t="s">
        <v>1321</v>
      </c>
      <c r="I264" s="3" t="s">
        <v>1321</v>
      </c>
      <c r="J264" s="3" t="s">
        <v>19</v>
      </c>
      <c r="K264" s="3" t="s">
        <v>21</v>
      </c>
      <c r="L264" s="3" t="s">
        <v>22</v>
      </c>
      <c r="M264" s="4">
        <v>1783</v>
      </c>
      <c r="N264" s="3" t="s">
        <v>23</v>
      </c>
      <c r="O264" s="3" t="s">
        <v>24</v>
      </c>
      <c r="P264" s="3" t="s">
        <v>19</v>
      </c>
    </row>
    <row r="265" spans="1:16" hidden="1" x14ac:dyDescent="0.4">
      <c r="A265" s="7">
        <v>264</v>
      </c>
      <c r="B265" s="8" t="s">
        <v>1322</v>
      </c>
      <c r="C265" s="6" t="str">
        <f>IFERROR(IF(LEFT(D265,FIND(" ",D265)-1)="전라북도","전북특별자치도",LEFT(D265,FIND(" ",D265)-1)),"")</f>
        <v>강원특별자치도</v>
      </c>
      <c r="D265" s="3" t="s">
        <v>1323</v>
      </c>
      <c r="E265" s="3" t="s">
        <v>1159</v>
      </c>
      <c r="F265" s="3" t="s">
        <v>1319</v>
      </c>
      <c r="G265" s="3" t="s">
        <v>1160</v>
      </c>
      <c r="H265" s="3" t="s">
        <v>1161</v>
      </c>
      <c r="I265" s="3" t="s">
        <v>1162</v>
      </c>
      <c r="J265" s="3" t="s">
        <v>1160</v>
      </c>
      <c r="K265" s="3" t="s">
        <v>21</v>
      </c>
      <c r="L265" s="3" t="s">
        <v>22</v>
      </c>
      <c r="M265" s="4">
        <v>1105</v>
      </c>
      <c r="N265" s="3" t="s">
        <v>23</v>
      </c>
      <c r="O265" s="3" t="s">
        <v>281</v>
      </c>
      <c r="P265" s="3" t="s">
        <v>28</v>
      </c>
    </row>
    <row r="266" spans="1:16" x14ac:dyDescent="0.4">
      <c r="A266" s="7">
        <v>265</v>
      </c>
      <c r="B266" s="8" t="s">
        <v>1324</v>
      </c>
      <c r="C266" s="6" t="str">
        <f>IFERROR(IF(LEFT(D266,FIND(" ",D266)-1)="전라북도","전북특별자치도",LEFT(D266,FIND(" ",D266)-1)),"")</f>
        <v>강원특별자치도</v>
      </c>
      <c r="D266" s="3" t="s">
        <v>1325</v>
      </c>
      <c r="E266" s="3" t="s">
        <v>1326</v>
      </c>
      <c r="F266" s="3" t="s">
        <v>1319</v>
      </c>
      <c r="G266" s="3" t="s">
        <v>19</v>
      </c>
      <c r="H266" s="3" t="s">
        <v>1327</v>
      </c>
      <c r="I266" s="3" t="s">
        <v>19</v>
      </c>
      <c r="J266" s="3" t="s">
        <v>1328</v>
      </c>
      <c r="K266" s="3" t="s">
        <v>21</v>
      </c>
      <c r="L266" s="3" t="s">
        <v>22</v>
      </c>
      <c r="M266" s="4">
        <v>4998</v>
      </c>
      <c r="N266" s="3" t="s">
        <v>23</v>
      </c>
      <c r="O266" s="3" t="s">
        <v>24</v>
      </c>
      <c r="P266" s="3" t="s">
        <v>19</v>
      </c>
    </row>
    <row r="267" spans="1:16" hidden="1" x14ac:dyDescent="0.4">
      <c r="A267" s="7">
        <v>266</v>
      </c>
      <c r="B267" s="8" t="s">
        <v>1329</v>
      </c>
      <c r="C267" s="6" t="str">
        <f>IFERROR(IF(LEFT(D267,FIND(" ",D267)-1)="전라북도","전북특별자치도",LEFT(D267,FIND(" ",D267)-1)),"")</f>
        <v>강원특별자치도</v>
      </c>
      <c r="D267" s="3" t="s">
        <v>1330</v>
      </c>
      <c r="E267" s="3" t="s">
        <v>1331</v>
      </c>
      <c r="F267" s="3" t="s">
        <v>843</v>
      </c>
      <c r="G267" s="3" t="s">
        <v>1333</v>
      </c>
      <c r="H267" s="3" t="s">
        <v>1334</v>
      </c>
      <c r="I267" s="3" t="s">
        <v>1334</v>
      </c>
      <c r="J267" s="3" t="s">
        <v>19</v>
      </c>
      <c r="K267" s="3" t="s">
        <v>21</v>
      </c>
      <c r="L267" s="3" t="s">
        <v>22</v>
      </c>
      <c r="M267" s="4">
        <v>196</v>
      </c>
      <c r="N267" s="3" t="s">
        <v>129</v>
      </c>
      <c r="O267" s="3" t="s">
        <v>281</v>
      </c>
      <c r="P267" s="3" t="s">
        <v>1332</v>
      </c>
    </row>
    <row r="268" spans="1:16" x14ac:dyDescent="0.4">
      <c r="A268" s="7">
        <v>267</v>
      </c>
      <c r="B268" s="8" t="s">
        <v>1335</v>
      </c>
      <c r="C268" s="6" t="str">
        <f>IFERROR(IF(LEFT(D268,FIND(" ",D268)-1)="전라북도","전북특별자치도",LEFT(D268,FIND(" ",D268)-1)),"")</f>
        <v>경기도</v>
      </c>
      <c r="D268" s="3" t="s">
        <v>1336</v>
      </c>
      <c r="E268" s="3" t="s">
        <v>1337</v>
      </c>
      <c r="F268" s="3" t="s">
        <v>843</v>
      </c>
      <c r="G268" s="3" t="s">
        <v>19</v>
      </c>
      <c r="H268" s="3" t="s">
        <v>921</v>
      </c>
      <c r="I268" s="3" t="s">
        <v>19</v>
      </c>
      <c r="J268" s="3" t="s">
        <v>19</v>
      </c>
      <c r="K268" s="3" t="s">
        <v>21</v>
      </c>
      <c r="L268" s="3" t="s">
        <v>22</v>
      </c>
      <c r="M268" s="4">
        <v>247</v>
      </c>
      <c r="N268" s="3" t="s">
        <v>23</v>
      </c>
      <c r="O268" s="3" t="s">
        <v>24</v>
      </c>
      <c r="P268" s="3" t="s">
        <v>19</v>
      </c>
    </row>
    <row r="269" spans="1:16" x14ac:dyDescent="0.4">
      <c r="A269" s="7">
        <v>268</v>
      </c>
      <c r="B269" s="8" t="s">
        <v>1338</v>
      </c>
      <c r="C269" s="6" t="str">
        <f>IFERROR(IF(LEFT(D269,FIND(" ",D269)-1)="전라북도","전북특별자치도",LEFT(D269,FIND(" ",D269)-1)),"")</f>
        <v>충청남도</v>
      </c>
      <c r="D269" s="3" t="s">
        <v>1339</v>
      </c>
      <c r="E269" s="3" t="s">
        <v>1340</v>
      </c>
      <c r="F269" s="3" t="s">
        <v>843</v>
      </c>
      <c r="G269" s="3" t="s">
        <v>1341</v>
      </c>
      <c r="H269" s="3" t="s">
        <v>1342</v>
      </c>
      <c r="I269" s="3" t="s">
        <v>1342</v>
      </c>
      <c r="J269" s="3" t="s">
        <v>19</v>
      </c>
      <c r="K269" s="3" t="s">
        <v>21</v>
      </c>
      <c r="L269" s="3" t="s">
        <v>22</v>
      </c>
      <c r="M269" s="4">
        <v>1865</v>
      </c>
      <c r="N269" s="3" t="s">
        <v>23</v>
      </c>
      <c r="O269" s="3" t="s">
        <v>24</v>
      </c>
      <c r="P269" s="3" t="s">
        <v>19</v>
      </c>
    </row>
    <row r="270" spans="1:16" hidden="1" x14ac:dyDescent="0.4">
      <c r="A270" s="7">
        <v>269</v>
      </c>
      <c r="B270" s="8" t="s">
        <v>1343</v>
      </c>
      <c r="C270" s="6" t="str">
        <f>IFERROR(IF(LEFT(D270,FIND(" ",D270)-1)="전라북도","전북특별자치도",LEFT(D270,FIND(" ",D270)-1)),"")</f>
        <v>충청북도</v>
      </c>
      <c r="D270" s="3" t="s">
        <v>1344</v>
      </c>
      <c r="E270" s="3" t="s">
        <v>1345</v>
      </c>
      <c r="F270" s="3" t="s">
        <v>1346</v>
      </c>
      <c r="G270" s="3" t="s">
        <v>1348</v>
      </c>
      <c r="H270" s="3" t="s">
        <v>1189</v>
      </c>
      <c r="I270" s="3" t="s">
        <v>1189</v>
      </c>
      <c r="J270" s="3" t="s">
        <v>1349</v>
      </c>
      <c r="K270" s="3" t="s">
        <v>21</v>
      </c>
      <c r="L270" s="3" t="s">
        <v>22</v>
      </c>
      <c r="M270" s="4">
        <v>1446</v>
      </c>
      <c r="N270" s="3" t="s">
        <v>23</v>
      </c>
      <c r="O270" s="3" t="s">
        <v>281</v>
      </c>
      <c r="P270" s="3" t="s">
        <v>1347</v>
      </c>
    </row>
    <row r="271" spans="1:16" hidden="1" x14ac:dyDescent="0.4">
      <c r="A271" s="7">
        <v>270</v>
      </c>
      <c r="B271" s="8" t="s">
        <v>1350</v>
      </c>
      <c r="C271" s="6" t="str">
        <f>IFERROR(IF(LEFT(D271,FIND(" ",D271)-1)="전라북도","전북특별자치도",LEFT(D271,FIND(" ",D271)-1)),"")</f>
        <v>충청북도</v>
      </c>
      <c r="D271" s="3" t="s">
        <v>1351</v>
      </c>
      <c r="E271" s="3" t="s">
        <v>1352</v>
      </c>
      <c r="F271" s="3" t="s">
        <v>1206</v>
      </c>
      <c r="G271" s="3" t="s">
        <v>1353</v>
      </c>
      <c r="H271" s="3" t="s">
        <v>1353</v>
      </c>
      <c r="I271" s="3" t="s">
        <v>19</v>
      </c>
      <c r="J271" s="3" t="s">
        <v>1353</v>
      </c>
      <c r="K271" s="3" t="s">
        <v>1354</v>
      </c>
      <c r="L271" s="3" t="s">
        <v>147</v>
      </c>
      <c r="M271" s="4">
        <v>2998</v>
      </c>
      <c r="N271" s="3" t="s">
        <v>23</v>
      </c>
      <c r="O271" s="3" t="s">
        <v>281</v>
      </c>
      <c r="P271" s="3" t="s">
        <v>660</v>
      </c>
    </row>
    <row r="272" spans="1:16" hidden="1" x14ac:dyDescent="0.4">
      <c r="A272" s="7">
        <v>271</v>
      </c>
      <c r="B272" s="8" t="s">
        <v>1355</v>
      </c>
      <c r="C272" s="6" t="str">
        <f>IFERROR(IF(LEFT(D272,FIND(" ",D272)-1)="전라북도","전북특별자치도",LEFT(D272,FIND(" ",D272)-1)),"")</f>
        <v>경기도</v>
      </c>
      <c r="D272" s="3" t="s">
        <v>1356</v>
      </c>
      <c r="E272" s="3" t="s">
        <v>1357</v>
      </c>
      <c r="F272" s="3" t="s">
        <v>1206</v>
      </c>
      <c r="G272" s="3" t="s">
        <v>1306</v>
      </c>
      <c r="H272" s="3" t="s">
        <v>953</v>
      </c>
      <c r="I272" s="3" t="s">
        <v>953</v>
      </c>
      <c r="J272" s="3" t="s">
        <v>19</v>
      </c>
      <c r="K272" s="3" t="s">
        <v>21</v>
      </c>
      <c r="L272" s="3" t="s">
        <v>22</v>
      </c>
      <c r="M272" s="4">
        <v>337</v>
      </c>
      <c r="N272" s="3" t="s">
        <v>84</v>
      </c>
      <c r="O272" s="3" t="s">
        <v>281</v>
      </c>
      <c r="P272" s="3" t="s">
        <v>1358</v>
      </c>
    </row>
    <row r="273" spans="1:16" hidden="1" x14ac:dyDescent="0.4">
      <c r="A273" s="7">
        <v>272</v>
      </c>
      <c r="B273" s="8" t="s">
        <v>1359</v>
      </c>
      <c r="C273" s="6" t="str">
        <f>IFERROR(IF(LEFT(D273,FIND(" ",D273)-1)="전라북도","전북특별자치도",LEFT(D273,FIND(" ",D273)-1)),"")</f>
        <v>충청남도</v>
      </c>
      <c r="D273" s="3" t="s">
        <v>1360</v>
      </c>
      <c r="E273" s="3" t="s">
        <v>1345</v>
      </c>
      <c r="F273" s="3" t="s">
        <v>1361</v>
      </c>
      <c r="G273" s="3" t="s">
        <v>19</v>
      </c>
      <c r="H273" s="3" t="s">
        <v>1363</v>
      </c>
      <c r="I273" s="3" t="s">
        <v>1363</v>
      </c>
      <c r="J273" s="3" t="s">
        <v>19</v>
      </c>
      <c r="K273" s="3" t="s">
        <v>21</v>
      </c>
      <c r="L273" s="3" t="s">
        <v>22</v>
      </c>
      <c r="M273" s="4">
        <v>1069</v>
      </c>
      <c r="N273" s="3" t="s">
        <v>129</v>
      </c>
      <c r="O273" s="3" t="s">
        <v>281</v>
      </c>
      <c r="P273" s="3" t="s">
        <v>1362</v>
      </c>
    </row>
    <row r="274" spans="1:16" x14ac:dyDescent="0.4">
      <c r="A274" s="7">
        <v>273</v>
      </c>
      <c r="B274" s="8" t="s">
        <v>1364</v>
      </c>
      <c r="C274" s="6" t="str">
        <f>IFERROR(IF(LEFT(D274,FIND(" ",D274)-1)="전라북도","전북특별자치도",LEFT(D274,FIND(" ",D274)-1)),"")</f>
        <v>충청남도</v>
      </c>
      <c r="D274" s="3" t="s">
        <v>1365</v>
      </c>
      <c r="E274" s="3" t="s">
        <v>1366</v>
      </c>
      <c r="F274" s="3" t="s">
        <v>1367</v>
      </c>
      <c r="G274" s="3" t="s">
        <v>1368</v>
      </c>
      <c r="H274" s="3" t="s">
        <v>1369</v>
      </c>
      <c r="I274" s="3" t="s">
        <v>1369</v>
      </c>
      <c r="J274" s="3" t="s">
        <v>19</v>
      </c>
      <c r="K274" s="3" t="s">
        <v>21</v>
      </c>
      <c r="L274" s="3" t="s">
        <v>22</v>
      </c>
      <c r="M274" s="4">
        <v>1145</v>
      </c>
      <c r="N274" s="3" t="s">
        <v>23</v>
      </c>
      <c r="O274" s="3" t="s">
        <v>24</v>
      </c>
      <c r="P274" s="3" t="s">
        <v>19</v>
      </c>
    </row>
    <row r="275" spans="1:16" hidden="1" x14ac:dyDescent="0.4">
      <c r="A275" s="7">
        <v>274</v>
      </c>
      <c r="B275" s="8" t="s">
        <v>1370</v>
      </c>
      <c r="C275" s="6" t="str">
        <f>IFERROR(IF(LEFT(D275,FIND(" ",D275)-1)="전라북도","전북특별자치도",LEFT(D275,FIND(" ",D275)-1)),"")</f>
        <v>경기도</v>
      </c>
      <c r="D275" s="3" t="s">
        <v>1371</v>
      </c>
      <c r="E275" s="3" t="s">
        <v>1372</v>
      </c>
      <c r="F275" s="3" t="s">
        <v>1373</v>
      </c>
      <c r="G275" s="3" t="s">
        <v>1375</v>
      </c>
      <c r="H275" s="3" t="s">
        <v>1376</v>
      </c>
      <c r="I275" s="3" t="s">
        <v>1377</v>
      </c>
      <c r="J275" s="3" t="s">
        <v>1378</v>
      </c>
      <c r="K275" s="3" t="s">
        <v>21</v>
      </c>
      <c r="L275" s="3" t="s">
        <v>22</v>
      </c>
      <c r="M275" s="4">
        <v>1665</v>
      </c>
      <c r="N275" s="3" t="s">
        <v>23</v>
      </c>
      <c r="O275" s="3" t="s">
        <v>281</v>
      </c>
      <c r="P275" s="3" t="s">
        <v>1374</v>
      </c>
    </row>
    <row r="276" spans="1:16" x14ac:dyDescent="0.4">
      <c r="A276" s="7">
        <v>275</v>
      </c>
      <c r="B276" s="8" t="s">
        <v>1379</v>
      </c>
      <c r="C276" s="6" t="str">
        <f>IFERROR(IF(LEFT(D276,FIND(" ",D276)-1)="전라북도","전북특별자치도",LEFT(D276,FIND(" ",D276)-1)),"")</f>
        <v>전라남도</v>
      </c>
      <c r="D276" s="3" t="s">
        <v>1380</v>
      </c>
      <c r="E276" s="3" t="s">
        <v>1381</v>
      </c>
      <c r="F276" s="3" t="s">
        <v>1373</v>
      </c>
      <c r="G276" s="3" t="s">
        <v>19</v>
      </c>
      <c r="H276" s="3" t="s">
        <v>1015</v>
      </c>
      <c r="I276" s="3" t="s">
        <v>19</v>
      </c>
      <c r="J276" s="3" t="s">
        <v>19</v>
      </c>
      <c r="K276" s="3" t="s">
        <v>21</v>
      </c>
      <c r="L276" s="3" t="s">
        <v>22</v>
      </c>
      <c r="M276" s="4">
        <v>960</v>
      </c>
      <c r="N276" s="3" t="s">
        <v>330</v>
      </c>
      <c r="O276" s="3" t="s">
        <v>24</v>
      </c>
      <c r="P276" s="3" t="s">
        <v>19</v>
      </c>
    </row>
    <row r="277" spans="1:16" hidden="1" x14ac:dyDescent="0.4">
      <c r="A277" s="7">
        <v>276</v>
      </c>
      <c r="B277" s="8" t="s">
        <v>1382</v>
      </c>
      <c r="C277" s="6" t="str">
        <f>IFERROR(IF(LEFT(D277,FIND(" ",D277)-1)="전라북도","전북특별자치도",LEFT(D277,FIND(" ",D277)-1)),"")</f>
        <v>전라남도</v>
      </c>
      <c r="D277" s="3" t="s">
        <v>1383</v>
      </c>
      <c r="E277" s="3" t="s">
        <v>1384</v>
      </c>
      <c r="F277" s="3" t="s">
        <v>1345</v>
      </c>
      <c r="G277" s="3" t="s">
        <v>19</v>
      </c>
      <c r="H277" s="3" t="s">
        <v>971</v>
      </c>
      <c r="I277" s="3" t="s">
        <v>971</v>
      </c>
      <c r="J277" s="3" t="s">
        <v>19</v>
      </c>
      <c r="K277" s="3" t="s">
        <v>21</v>
      </c>
      <c r="L277" s="3" t="s">
        <v>147</v>
      </c>
      <c r="M277" s="4">
        <v>795</v>
      </c>
      <c r="N277" s="3" t="s">
        <v>23</v>
      </c>
      <c r="O277" s="3" t="s">
        <v>281</v>
      </c>
      <c r="P277" s="3" t="s">
        <v>1385</v>
      </c>
    </row>
    <row r="278" spans="1:16" x14ac:dyDescent="0.4">
      <c r="A278" s="7">
        <v>277</v>
      </c>
      <c r="B278" s="8" t="s">
        <v>1386</v>
      </c>
      <c r="C278" s="6" t="str">
        <f>IFERROR(IF(LEFT(D278,FIND(" ",D278)-1)="전라북도","전북특별자치도",LEFT(D278,FIND(" ",D278)-1)),"")</f>
        <v>전북특별자치도</v>
      </c>
      <c r="D278" s="3" t="s">
        <v>1387</v>
      </c>
      <c r="E278" s="3" t="s">
        <v>1388</v>
      </c>
      <c r="F278" s="3" t="s">
        <v>1389</v>
      </c>
      <c r="G278" s="3" t="s">
        <v>19</v>
      </c>
      <c r="H278" s="3" t="s">
        <v>1390</v>
      </c>
      <c r="I278" s="3" t="s">
        <v>19</v>
      </c>
      <c r="J278" s="3" t="s">
        <v>19</v>
      </c>
      <c r="K278" s="3" t="s">
        <v>21</v>
      </c>
      <c r="L278" s="3" t="s">
        <v>22</v>
      </c>
      <c r="M278" s="4">
        <v>1681</v>
      </c>
      <c r="N278" s="3" t="s">
        <v>23</v>
      </c>
      <c r="O278" s="3" t="s">
        <v>24</v>
      </c>
      <c r="P278" s="3" t="s">
        <v>19</v>
      </c>
    </row>
    <row r="279" spans="1:16" hidden="1" x14ac:dyDescent="0.4">
      <c r="A279" s="7">
        <v>278</v>
      </c>
      <c r="B279" s="8" t="s">
        <v>1391</v>
      </c>
      <c r="C279" s="6" t="str">
        <f>IFERROR(IF(LEFT(D279,FIND(" ",D279)-1)="전라북도","전북특별자치도",LEFT(D279,FIND(" ",D279)-1)),"")</f>
        <v>경상남도</v>
      </c>
      <c r="D279" s="3" t="s">
        <v>1392</v>
      </c>
      <c r="E279" s="3" t="s">
        <v>1393</v>
      </c>
      <c r="F279" s="3" t="s">
        <v>1394</v>
      </c>
      <c r="G279" s="3" t="s">
        <v>1396</v>
      </c>
      <c r="H279" s="3" t="s">
        <v>1397</v>
      </c>
      <c r="I279" s="3" t="s">
        <v>1398</v>
      </c>
      <c r="J279" s="3" t="s">
        <v>19</v>
      </c>
      <c r="K279" s="3" t="s">
        <v>21</v>
      </c>
      <c r="L279" s="3" t="s">
        <v>22</v>
      </c>
      <c r="M279" s="4">
        <v>248</v>
      </c>
      <c r="N279" s="3" t="s">
        <v>84</v>
      </c>
      <c r="O279" s="3" t="s">
        <v>281</v>
      </c>
      <c r="P279" s="3" t="s">
        <v>1395</v>
      </c>
    </row>
    <row r="280" spans="1:16" x14ac:dyDescent="0.4">
      <c r="A280" s="7">
        <v>279</v>
      </c>
      <c r="B280" s="8" t="s">
        <v>1399</v>
      </c>
      <c r="C280" s="6" t="str">
        <f>IFERROR(IF(LEFT(D280,FIND(" ",D280)-1)="전라북도","전북특별자치도",LEFT(D280,FIND(" ",D280)-1)),"")</f>
        <v>충청남도</v>
      </c>
      <c r="D280" s="3" t="s">
        <v>1400</v>
      </c>
      <c r="E280" s="3" t="s">
        <v>1401</v>
      </c>
      <c r="F280" s="3" t="s">
        <v>1402</v>
      </c>
      <c r="G280" s="3" t="s">
        <v>19</v>
      </c>
      <c r="H280" s="3" t="s">
        <v>1403</v>
      </c>
      <c r="I280" s="3" t="s">
        <v>19</v>
      </c>
      <c r="J280" s="3" t="s">
        <v>1404</v>
      </c>
      <c r="K280" s="3" t="s">
        <v>21</v>
      </c>
      <c r="L280" s="3" t="s">
        <v>22</v>
      </c>
      <c r="M280" s="4">
        <v>4913</v>
      </c>
      <c r="N280" s="3" t="s">
        <v>23</v>
      </c>
      <c r="O280" s="3" t="s">
        <v>24</v>
      </c>
      <c r="P280" s="3" t="s">
        <v>19</v>
      </c>
    </row>
    <row r="281" spans="1:16" hidden="1" x14ac:dyDescent="0.4">
      <c r="A281" s="7">
        <v>280</v>
      </c>
      <c r="B281" s="8" t="s">
        <v>1405</v>
      </c>
      <c r="C281" s="6" t="str">
        <f>IFERROR(IF(LEFT(D281,FIND(" ",D281)-1)="전라북도","전북특별자치도",LEFT(D281,FIND(" ",D281)-1)),"")</f>
        <v>경상북도</v>
      </c>
      <c r="D281" s="3" t="s">
        <v>1406</v>
      </c>
      <c r="E281" s="3" t="s">
        <v>1407</v>
      </c>
      <c r="F281" s="3" t="s">
        <v>103</v>
      </c>
      <c r="G281" s="3" t="s">
        <v>1409</v>
      </c>
      <c r="H281" s="3" t="s">
        <v>1410</v>
      </c>
      <c r="I281" s="3" t="s">
        <v>1410</v>
      </c>
      <c r="J281" s="3" t="s">
        <v>19</v>
      </c>
      <c r="K281" s="3" t="s">
        <v>21</v>
      </c>
      <c r="L281" s="3" t="s">
        <v>22</v>
      </c>
      <c r="M281" s="4">
        <v>500</v>
      </c>
      <c r="N281" s="3" t="s">
        <v>23</v>
      </c>
      <c r="O281" s="3" t="s">
        <v>281</v>
      </c>
      <c r="P281" s="3" t="s">
        <v>1408</v>
      </c>
    </row>
    <row r="282" spans="1:16" hidden="1" x14ac:dyDescent="0.4">
      <c r="A282" s="7">
        <v>281</v>
      </c>
      <c r="B282" s="8" t="s">
        <v>1411</v>
      </c>
      <c r="C282" s="6" t="str">
        <f>IFERROR(IF(LEFT(D282,FIND(" ",D282)-1)="전라북도","전북특별자치도",LEFT(D282,FIND(" ",D282)-1)),"")</f>
        <v>인천광역시</v>
      </c>
      <c r="D282" s="3" t="s">
        <v>1412</v>
      </c>
      <c r="E282" s="3" t="s">
        <v>1413</v>
      </c>
      <c r="F282" s="3" t="s">
        <v>103</v>
      </c>
      <c r="G282" s="3" t="s">
        <v>1415</v>
      </c>
      <c r="H282" s="3" t="s">
        <v>1416</v>
      </c>
      <c r="I282" s="3" t="s">
        <v>1417</v>
      </c>
      <c r="J282" s="3" t="s">
        <v>19</v>
      </c>
      <c r="K282" s="3" t="s">
        <v>21</v>
      </c>
      <c r="L282" s="3" t="s">
        <v>22</v>
      </c>
      <c r="M282" s="4">
        <v>77</v>
      </c>
      <c r="N282" s="3" t="s">
        <v>211</v>
      </c>
      <c r="O282" s="3" t="s">
        <v>281</v>
      </c>
      <c r="P282" s="3" t="s">
        <v>1414</v>
      </c>
    </row>
    <row r="283" spans="1:16" hidden="1" x14ac:dyDescent="0.4">
      <c r="A283" s="7">
        <v>282</v>
      </c>
      <c r="B283" s="8" t="s">
        <v>1418</v>
      </c>
      <c r="C283" s="6" t="str">
        <f>IFERROR(IF(LEFT(D283,FIND(" ",D283)-1)="전라북도","전북특별자치도",LEFT(D283,FIND(" ",D283)-1)),"")</f>
        <v>충청남도</v>
      </c>
      <c r="D283" s="3" t="s">
        <v>1419</v>
      </c>
      <c r="E283" s="3" t="s">
        <v>731</v>
      </c>
      <c r="F283" s="3" t="s">
        <v>1420</v>
      </c>
      <c r="G283" s="3" t="s">
        <v>1422</v>
      </c>
      <c r="H283" s="3" t="s">
        <v>157</v>
      </c>
      <c r="I283" s="3" t="s">
        <v>157</v>
      </c>
      <c r="J283" s="3" t="s">
        <v>19</v>
      </c>
      <c r="K283" s="3" t="s">
        <v>21</v>
      </c>
      <c r="L283" s="3" t="s">
        <v>22</v>
      </c>
      <c r="M283" s="4">
        <v>286</v>
      </c>
      <c r="N283" s="3" t="s">
        <v>236</v>
      </c>
      <c r="O283" s="3" t="s">
        <v>281</v>
      </c>
      <c r="P283" s="3" t="s">
        <v>1421</v>
      </c>
    </row>
    <row r="284" spans="1:16" x14ac:dyDescent="0.4">
      <c r="A284" s="7">
        <v>283</v>
      </c>
      <c r="B284" s="8" t="s">
        <v>1423</v>
      </c>
      <c r="C284" s="6" t="str">
        <f>IFERROR(IF(LEFT(D284,FIND(" ",D284)-1)="전라북도","전북특별자치도",LEFT(D284,FIND(" ",D284)-1)),"")</f>
        <v>경상남도</v>
      </c>
      <c r="D284" s="3" t="s">
        <v>1424</v>
      </c>
      <c r="E284" s="3" t="s">
        <v>1425</v>
      </c>
      <c r="F284" s="3" t="s">
        <v>1426</v>
      </c>
      <c r="G284" s="3" t="s">
        <v>1427</v>
      </c>
      <c r="H284" s="3" t="s">
        <v>1428</v>
      </c>
      <c r="I284" s="3" t="s">
        <v>1428</v>
      </c>
      <c r="J284" s="3" t="s">
        <v>1429</v>
      </c>
      <c r="K284" s="3" t="s">
        <v>21</v>
      </c>
      <c r="L284" s="3" t="s">
        <v>22</v>
      </c>
      <c r="M284" s="4">
        <v>2398</v>
      </c>
      <c r="N284" s="3" t="s">
        <v>23</v>
      </c>
      <c r="O284" s="3" t="s">
        <v>24</v>
      </c>
      <c r="P284" s="3" t="s">
        <v>19</v>
      </c>
    </row>
    <row r="285" spans="1:16" x14ac:dyDescent="0.4">
      <c r="A285" s="7">
        <v>284</v>
      </c>
      <c r="B285" s="8" t="s">
        <v>1430</v>
      </c>
      <c r="C285" s="6" t="str">
        <f>IFERROR(IF(LEFT(D285,FIND(" ",D285)-1)="전라북도","전북특별자치도",LEFT(D285,FIND(" ",D285)-1)),"")</f>
        <v>경기도</v>
      </c>
      <c r="D285" s="3" t="s">
        <v>1431</v>
      </c>
      <c r="E285" s="3" t="s">
        <v>1432</v>
      </c>
      <c r="F285" s="3" t="s">
        <v>1433</v>
      </c>
      <c r="G285" s="3" t="s">
        <v>19</v>
      </c>
      <c r="H285" s="3" t="s">
        <v>1237</v>
      </c>
      <c r="I285" s="3" t="s">
        <v>19</v>
      </c>
      <c r="J285" s="3" t="s">
        <v>19</v>
      </c>
      <c r="K285" s="3" t="s">
        <v>21</v>
      </c>
      <c r="L285" s="3" t="s">
        <v>22</v>
      </c>
      <c r="M285" s="4">
        <v>56</v>
      </c>
      <c r="N285" s="3" t="s">
        <v>84</v>
      </c>
      <c r="O285" s="3" t="s">
        <v>24</v>
      </c>
      <c r="P285" s="3" t="s">
        <v>19</v>
      </c>
    </row>
    <row r="286" spans="1:16" x14ac:dyDescent="0.4">
      <c r="A286" s="7">
        <v>285</v>
      </c>
      <c r="B286" s="8" t="s">
        <v>1434</v>
      </c>
      <c r="C286" s="6" t="str">
        <f>IFERROR(IF(LEFT(D286,FIND(" ",D286)-1)="전라북도","전북특별자치도",LEFT(D286,FIND(" ",D286)-1)),"")</f>
        <v>경기도</v>
      </c>
      <c r="D286" s="3" t="s">
        <v>1431</v>
      </c>
      <c r="E286" s="3" t="s">
        <v>1432</v>
      </c>
      <c r="F286" s="3" t="s">
        <v>1433</v>
      </c>
      <c r="G286" s="3" t="s">
        <v>19</v>
      </c>
      <c r="H286" s="3" t="s">
        <v>1237</v>
      </c>
      <c r="I286" s="3" t="s">
        <v>19</v>
      </c>
      <c r="J286" s="3" t="s">
        <v>19</v>
      </c>
      <c r="K286" s="3" t="s">
        <v>21</v>
      </c>
      <c r="L286" s="3" t="s">
        <v>22</v>
      </c>
      <c r="M286" s="4">
        <v>102</v>
      </c>
      <c r="N286" s="3" t="s">
        <v>23</v>
      </c>
      <c r="O286" s="3" t="s">
        <v>24</v>
      </c>
      <c r="P286" s="3" t="s">
        <v>19</v>
      </c>
    </row>
    <row r="287" spans="1:16" x14ac:dyDescent="0.4">
      <c r="A287" s="7">
        <v>286</v>
      </c>
      <c r="B287" s="8" t="s">
        <v>1435</v>
      </c>
      <c r="C287" s="6" t="str">
        <f>IFERROR(IF(LEFT(D287,FIND(" ",D287)-1)="전라북도","전북특별자치도",LEFT(D287,FIND(" ",D287)-1)),"")</f>
        <v>제주특별자치도</v>
      </c>
      <c r="D287" s="3" t="s">
        <v>1436</v>
      </c>
      <c r="E287" s="3" t="s">
        <v>1437</v>
      </c>
      <c r="F287" s="3" t="s">
        <v>1438</v>
      </c>
      <c r="G287" s="3" t="s">
        <v>1439</v>
      </c>
      <c r="H287" s="3" t="s">
        <v>1440</v>
      </c>
      <c r="I287" s="3" t="s">
        <v>1440</v>
      </c>
      <c r="J287" s="3" t="s">
        <v>19</v>
      </c>
      <c r="K287" s="3" t="s">
        <v>21</v>
      </c>
      <c r="L287" s="3" t="s">
        <v>22</v>
      </c>
      <c r="M287" s="4">
        <v>889</v>
      </c>
      <c r="N287" s="3" t="s">
        <v>23</v>
      </c>
      <c r="O287" s="3" t="s">
        <v>24</v>
      </c>
      <c r="P287" s="3" t="s">
        <v>19</v>
      </c>
    </row>
    <row r="288" spans="1:16" x14ac:dyDescent="0.4">
      <c r="A288" s="7">
        <v>287</v>
      </c>
      <c r="B288" s="8" t="s">
        <v>1441</v>
      </c>
      <c r="C288" s="6" t="str">
        <f>IFERROR(IF(LEFT(D288,FIND(" ",D288)-1)="전라북도","전북특별자치도",LEFT(D288,FIND(" ",D288)-1)),"")</f>
        <v>전북특별자치도</v>
      </c>
      <c r="D288" s="3" t="s">
        <v>1442</v>
      </c>
      <c r="E288" s="3" t="s">
        <v>1443</v>
      </c>
      <c r="F288" s="3" t="s">
        <v>1438</v>
      </c>
      <c r="G288" s="3" t="s">
        <v>19</v>
      </c>
      <c r="H288" s="3" t="s">
        <v>1444</v>
      </c>
      <c r="I288" s="3" t="s">
        <v>19</v>
      </c>
      <c r="J288" s="3" t="s">
        <v>19</v>
      </c>
      <c r="K288" s="3" t="s">
        <v>21</v>
      </c>
      <c r="L288" s="3" t="s">
        <v>22</v>
      </c>
      <c r="M288" s="4">
        <v>7501</v>
      </c>
      <c r="N288" s="3" t="s">
        <v>23</v>
      </c>
      <c r="O288" s="3" t="s">
        <v>24</v>
      </c>
      <c r="P288" s="3" t="s">
        <v>19</v>
      </c>
    </row>
    <row r="289" spans="1:16" hidden="1" x14ac:dyDescent="0.4">
      <c r="A289" s="7">
        <v>288</v>
      </c>
      <c r="B289" s="8" t="s">
        <v>1445</v>
      </c>
      <c r="C289" s="6" t="str">
        <f>IFERROR(IF(LEFT(D289,FIND(" ",D289)-1)="전라북도","전북특별자치도",LEFT(D289,FIND(" ",D289)-1)),"")</f>
        <v>경기도</v>
      </c>
      <c r="D289" s="3" t="s">
        <v>1446</v>
      </c>
      <c r="E289" s="3" t="s">
        <v>1447</v>
      </c>
      <c r="F289" s="3" t="s">
        <v>1438</v>
      </c>
      <c r="G289" s="3" t="s">
        <v>1449</v>
      </c>
      <c r="H289" s="3" t="s">
        <v>1450</v>
      </c>
      <c r="I289" s="3" t="s">
        <v>1450</v>
      </c>
      <c r="J289" s="3" t="s">
        <v>1449</v>
      </c>
      <c r="K289" s="3" t="s">
        <v>21</v>
      </c>
      <c r="L289" s="3" t="s">
        <v>228</v>
      </c>
      <c r="M289" s="4">
        <v>986</v>
      </c>
      <c r="N289" s="3" t="s">
        <v>23</v>
      </c>
      <c r="O289" s="3" t="s">
        <v>281</v>
      </c>
      <c r="P289" s="3" t="s">
        <v>1448</v>
      </c>
    </row>
    <row r="290" spans="1:16" x14ac:dyDescent="0.4">
      <c r="A290" s="7">
        <v>289</v>
      </c>
      <c r="B290" s="8" t="s">
        <v>1451</v>
      </c>
      <c r="C290" s="6" t="str">
        <f>IFERROR(IF(LEFT(D290,FIND(" ",D290)-1)="전라북도","전북특별자치도",LEFT(D290,FIND(" ",D290)-1)),"")</f>
        <v>경상남도</v>
      </c>
      <c r="D290" s="3" t="s">
        <v>1452</v>
      </c>
      <c r="E290" s="3" t="s">
        <v>1453</v>
      </c>
      <c r="F290" s="3" t="s">
        <v>1454</v>
      </c>
      <c r="G290" s="3" t="s">
        <v>1455</v>
      </c>
      <c r="H290" s="3" t="s">
        <v>1456</v>
      </c>
      <c r="I290" s="3" t="s">
        <v>1457</v>
      </c>
      <c r="J290" s="3" t="s">
        <v>1458</v>
      </c>
      <c r="K290" s="3" t="s">
        <v>21</v>
      </c>
      <c r="L290" s="3" t="s">
        <v>22</v>
      </c>
      <c r="M290" s="4">
        <v>5808</v>
      </c>
      <c r="N290" s="3" t="s">
        <v>1459</v>
      </c>
      <c r="O290" s="3" t="s">
        <v>24</v>
      </c>
      <c r="P290" s="3" t="s">
        <v>19</v>
      </c>
    </row>
    <row r="291" spans="1:16" hidden="1" x14ac:dyDescent="0.4">
      <c r="A291" s="7">
        <v>290</v>
      </c>
      <c r="B291" s="8" t="s">
        <v>1460</v>
      </c>
      <c r="C291" s="6" t="str">
        <f>IFERROR(IF(LEFT(D291,FIND(" ",D291)-1)="전라북도","전북특별자치도",LEFT(D291,FIND(" ",D291)-1)),"")</f>
        <v>충청남도</v>
      </c>
      <c r="D291" s="3" t="s">
        <v>1461</v>
      </c>
      <c r="E291" s="3" t="s">
        <v>1447</v>
      </c>
      <c r="F291" s="3" t="s">
        <v>1462</v>
      </c>
      <c r="G291" s="3" t="s">
        <v>19</v>
      </c>
      <c r="H291" s="3" t="s">
        <v>603</v>
      </c>
      <c r="I291" s="3" t="s">
        <v>603</v>
      </c>
      <c r="J291" s="3" t="s">
        <v>19</v>
      </c>
      <c r="K291" s="3" t="s">
        <v>21</v>
      </c>
      <c r="L291" s="3" t="s">
        <v>147</v>
      </c>
      <c r="M291" s="4">
        <v>486</v>
      </c>
      <c r="N291" s="3" t="s">
        <v>84</v>
      </c>
      <c r="O291" s="3" t="s">
        <v>281</v>
      </c>
      <c r="P291" s="3" t="s">
        <v>1433</v>
      </c>
    </row>
    <row r="292" spans="1:16" hidden="1" x14ac:dyDescent="0.4">
      <c r="A292" s="7">
        <v>291</v>
      </c>
      <c r="B292" s="8" t="s">
        <v>1463</v>
      </c>
      <c r="C292" s="6" t="str">
        <f>IFERROR(IF(LEFT(D292,FIND(" ",D292)-1)="전라북도","전북특별자치도",LEFT(D292,FIND(" ",D292)-1)),"")</f>
        <v>경상북도</v>
      </c>
      <c r="D292" s="3" t="s">
        <v>1464</v>
      </c>
      <c r="E292" s="3" t="s">
        <v>1465</v>
      </c>
      <c r="F292" s="3" t="s">
        <v>1466</v>
      </c>
      <c r="G292" s="3" t="s">
        <v>1105</v>
      </c>
      <c r="H292" s="3" t="s">
        <v>743</v>
      </c>
      <c r="I292" s="3" t="s">
        <v>743</v>
      </c>
      <c r="J292" s="3" t="s">
        <v>19</v>
      </c>
      <c r="K292" s="3" t="s">
        <v>21</v>
      </c>
      <c r="L292" s="3" t="s">
        <v>228</v>
      </c>
      <c r="M292" s="4">
        <v>432</v>
      </c>
      <c r="N292" s="3" t="s">
        <v>23</v>
      </c>
      <c r="O292" s="3" t="s">
        <v>281</v>
      </c>
      <c r="P292" s="3" t="s">
        <v>546</v>
      </c>
    </row>
    <row r="293" spans="1:16" x14ac:dyDescent="0.4">
      <c r="A293" s="7">
        <v>292</v>
      </c>
      <c r="B293" s="8" t="s">
        <v>1467</v>
      </c>
      <c r="C293" s="6" t="str">
        <f>IFERROR(IF(LEFT(D293,FIND(" ",D293)-1)="전라북도","전북특별자치도",LEFT(D293,FIND(" ",D293)-1)),"")</f>
        <v>전북특별자치도</v>
      </c>
      <c r="D293" s="3" t="s">
        <v>1468</v>
      </c>
      <c r="E293" s="3" t="s">
        <v>1152</v>
      </c>
      <c r="F293" s="3" t="s">
        <v>1469</v>
      </c>
      <c r="G293" s="3" t="s">
        <v>19</v>
      </c>
      <c r="H293" s="3" t="s">
        <v>686</v>
      </c>
      <c r="I293" s="3" t="s">
        <v>19</v>
      </c>
      <c r="J293" s="3" t="s">
        <v>19</v>
      </c>
      <c r="K293" s="3" t="s">
        <v>21</v>
      </c>
      <c r="L293" s="3" t="s">
        <v>22</v>
      </c>
      <c r="M293" s="4">
        <v>2517</v>
      </c>
      <c r="N293" s="3" t="s">
        <v>23</v>
      </c>
      <c r="O293" s="3" t="s">
        <v>24</v>
      </c>
      <c r="P293" s="3" t="s">
        <v>19</v>
      </c>
    </row>
    <row r="294" spans="1:16" x14ac:dyDescent="0.4">
      <c r="A294" s="7">
        <v>293</v>
      </c>
      <c r="B294" s="8" t="s">
        <v>1470</v>
      </c>
      <c r="C294" s="6" t="str">
        <f>IFERROR(IF(LEFT(D294,FIND(" ",D294)-1)="전라북도","전북특별자치도",LEFT(D294,FIND(" ",D294)-1)),"")</f>
        <v>서울특별시</v>
      </c>
      <c r="D294" s="3" t="s">
        <v>1471</v>
      </c>
      <c r="E294" s="3" t="s">
        <v>1472</v>
      </c>
      <c r="F294" s="3" t="s">
        <v>1473</v>
      </c>
      <c r="G294" s="3" t="s">
        <v>19</v>
      </c>
      <c r="H294" s="3" t="s">
        <v>1474</v>
      </c>
      <c r="I294" s="3" t="s">
        <v>19</v>
      </c>
      <c r="J294" s="3" t="s">
        <v>19</v>
      </c>
      <c r="K294" s="3" t="s">
        <v>21</v>
      </c>
      <c r="L294" s="3" t="s">
        <v>22</v>
      </c>
      <c r="M294" s="4">
        <v>1131</v>
      </c>
      <c r="N294" s="3" t="s">
        <v>23</v>
      </c>
      <c r="O294" s="3" t="s">
        <v>24</v>
      </c>
      <c r="P294" s="3" t="s">
        <v>19</v>
      </c>
    </row>
    <row r="295" spans="1:16" hidden="1" x14ac:dyDescent="0.4">
      <c r="A295" s="7">
        <v>294</v>
      </c>
      <c r="B295" s="8" t="s">
        <v>1475</v>
      </c>
      <c r="C295" s="6" t="str">
        <f>IFERROR(IF(LEFT(D295,FIND(" ",D295)-1)="전라북도","전북특별자치도",LEFT(D295,FIND(" ",D295)-1)),"")</f>
        <v>강원특별자치도</v>
      </c>
      <c r="D295" s="3" t="s">
        <v>1476</v>
      </c>
      <c r="E295" s="3" t="s">
        <v>1477</v>
      </c>
      <c r="F295" s="3" t="s">
        <v>1001</v>
      </c>
      <c r="G295" s="3" t="s">
        <v>1479</v>
      </c>
      <c r="H295" s="3" t="s">
        <v>1480</v>
      </c>
      <c r="I295" s="3" t="s">
        <v>1480</v>
      </c>
      <c r="J295" s="3" t="s">
        <v>19</v>
      </c>
      <c r="K295" s="3" t="s">
        <v>21</v>
      </c>
      <c r="L295" s="3" t="s">
        <v>22</v>
      </c>
      <c r="M295" s="4">
        <v>371</v>
      </c>
      <c r="N295" s="3" t="s">
        <v>23</v>
      </c>
      <c r="O295" s="3" t="s">
        <v>281</v>
      </c>
      <c r="P295" s="3" t="s">
        <v>1478</v>
      </c>
    </row>
    <row r="296" spans="1:16" x14ac:dyDescent="0.4">
      <c r="A296" s="7">
        <v>295</v>
      </c>
      <c r="B296" s="8" t="s">
        <v>1481</v>
      </c>
      <c r="C296" s="6" t="str">
        <f>IFERROR(IF(LEFT(D296,FIND(" ",D296)-1)="전라북도","전북특별자치도",LEFT(D296,FIND(" ",D296)-1)),"")</f>
        <v>경기도</v>
      </c>
      <c r="D296" s="3" t="s">
        <v>1482</v>
      </c>
      <c r="E296" s="3" t="s">
        <v>1483</v>
      </c>
      <c r="F296" s="3" t="s">
        <v>1484</v>
      </c>
      <c r="G296" s="3" t="s">
        <v>19</v>
      </c>
      <c r="H296" s="3" t="s">
        <v>1485</v>
      </c>
      <c r="I296" s="3" t="s">
        <v>19</v>
      </c>
      <c r="J296" s="3" t="s">
        <v>19</v>
      </c>
      <c r="K296" s="3" t="s">
        <v>21</v>
      </c>
      <c r="L296" s="3" t="s">
        <v>22</v>
      </c>
      <c r="M296" s="4">
        <v>1569</v>
      </c>
      <c r="N296" s="3" t="s">
        <v>23</v>
      </c>
      <c r="O296" s="3" t="s">
        <v>24</v>
      </c>
      <c r="P296" s="3" t="s">
        <v>19</v>
      </c>
    </row>
    <row r="297" spans="1:16" x14ac:dyDescent="0.4">
      <c r="A297" s="7">
        <v>296</v>
      </c>
      <c r="B297" s="8" t="s">
        <v>1486</v>
      </c>
      <c r="C297" s="6" t="str">
        <f>IFERROR(IF(LEFT(D297,FIND(" ",D297)-1)="전라북도","전북특별자치도",LEFT(D297,FIND(" ",D297)-1)),"")</f>
        <v>경기도</v>
      </c>
      <c r="D297" s="3" t="s">
        <v>1487</v>
      </c>
      <c r="E297" s="3" t="s">
        <v>1028</v>
      </c>
      <c r="F297" s="3" t="s">
        <v>1465</v>
      </c>
      <c r="G297" s="3" t="s">
        <v>19</v>
      </c>
      <c r="H297" s="3" t="s">
        <v>302</v>
      </c>
      <c r="I297" s="3" t="s">
        <v>19</v>
      </c>
      <c r="J297" s="3" t="s">
        <v>19</v>
      </c>
      <c r="K297" s="3" t="s">
        <v>21</v>
      </c>
      <c r="L297" s="3" t="s">
        <v>22</v>
      </c>
      <c r="M297" s="4">
        <v>295</v>
      </c>
      <c r="N297" s="3" t="s">
        <v>23</v>
      </c>
      <c r="O297" s="3" t="s">
        <v>24</v>
      </c>
      <c r="P297" s="3" t="s">
        <v>19</v>
      </c>
    </row>
    <row r="298" spans="1:16" x14ac:dyDescent="0.4">
      <c r="A298" s="7">
        <v>297</v>
      </c>
      <c r="B298" s="8" t="s">
        <v>1488</v>
      </c>
      <c r="C298" s="6" t="str">
        <f>IFERROR(IF(LEFT(D298,FIND(" ",D298)-1)="전라북도","전북특별자치도",LEFT(D298,FIND(" ",D298)-1)),"")</f>
        <v>경기도</v>
      </c>
      <c r="D298" s="3" t="s">
        <v>1487</v>
      </c>
      <c r="E298" s="3" t="s">
        <v>1028</v>
      </c>
      <c r="F298" s="3" t="s">
        <v>1465</v>
      </c>
      <c r="G298" s="3" t="s">
        <v>19</v>
      </c>
      <c r="H298" s="3" t="s">
        <v>302</v>
      </c>
      <c r="I298" s="3" t="s">
        <v>19</v>
      </c>
      <c r="J298" s="3" t="s">
        <v>19</v>
      </c>
      <c r="K298" s="3" t="s">
        <v>21</v>
      </c>
      <c r="L298" s="3" t="s">
        <v>22</v>
      </c>
      <c r="M298" s="4">
        <v>295</v>
      </c>
      <c r="N298" s="3" t="s">
        <v>23</v>
      </c>
      <c r="O298" s="3" t="s">
        <v>24</v>
      </c>
      <c r="P298" s="3" t="s">
        <v>19</v>
      </c>
    </row>
    <row r="299" spans="1:16" x14ac:dyDescent="0.4">
      <c r="A299" s="7">
        <v>298</v>
      </c>
      <c r="B299" s="8" t="s">
        <v>1489</v>
      </c>
      <c r="C299" s="6" t="str">
        <f>IFERROR(IF(LEFT(D299,FIND(" ",D299)-1)="전라북도","전북특별자치도",LEFT(D299,FIND(" ",D299)-1)),"")</f>
        <v>경기도</v>
      </c>
      <c r="D299" s="3" t="s">
        <v>1490</v>
      </c>
      <c r="E299" s="3" t="s">
        <v>1028</v>
      </c>
      <c r="F299" s="3" t="s">
        <v>1465</v>
      </c>
      <c r="G299" s="3" t="s">
        <v>19</v>
      </c>
      <c r="H299" s="3" t="s">
        <v>302</v>
      </c>
      <c r="I299" s="3" t="s">
        <v>19</v>
      </c>
      <c r="J299" s="3" t="s">
        <v>19</v>
      </c>
      <c r="K299" s="3" t="s">
        <v>21</v>
      </c>
      <c r="L299" s="3" t="s">
        <v>22</v>
      </c>
      <c r="M299" s="4">
        <v>260</v>
      </c>
      <c r="N299" s="3" t="s">
        <v>23</v>
      </c>
      <c r="O299" s="3" t="s">
        <v>24</v>
      </c>
      <c r="P299" s="3" t="s">
        <v>19</v>
      </c>
    </row>
    <row r="300" spans="1:16" x14ac:dyDescent="0.4">
      <c r="A300" s="7">
        <v>299</v>
      </c>
      <c r="B300" s="8" t="s">
        <v>1491</v>
      </c>
      <c r="C300" s="6" t="str">
        <f>IFERROR(IF(LEFT(D300,FIND(" ",D300)-1)="전라북도","전북특별자치도",LEFT(D300,FIND(" ",D300)-1)),"")</f>
        <v>경기도</v>
      </c>
      <c r="D300" s="3" t="s">
        <v>1490</v>
      </c>
      <c r="E300" s="3" t="s">
        <v>1028</v>
      </c>
      <c r="F300" s="3" t="s">
        <v>1465</v>
      </c>
      <c r="G300" s="3" t="s">
        <v>19</v>
      </c>
      <c r="H300" s="3" t="s">
        <v>302</v>
      </c>
      <c r="I300" s="3" t="s">
        <v>19</v>
      </c>
      <c r="J300" s="3" t="s">
        <v>19</v>
      </c>
      <c r="K300" s="3" t="s">
        <v>21</v>
      </c>
      <c r="L300" s="3" t="s">
        <v>22</v>
      </c>
      <c r="M300" s="4">
        <v>274</v>
      </c>
      <c r="N300" s="3" t="s">
        <v>23</v>
      </c>
      <c r="O300" s="3" t="s">
        <v>24</v>
      </c>
      <c r="P300" s="3" t="s">
        <v>19</v>
      </c>
    </row>
    <row r="301" spans="1:16" x14ac:dyDescent="0.4">
      <c r="A301" s="7">
        <v>300</v>
      </c>
      <c r="B301" s="8" t="s">
        <v>1492</v>
      </c>
      <c r="C301" s="6" t="str">
        <f>IFERROR(IF(LEFT(D301,FIND(" ",D301)-1)="전라북도","전북특별자치도",LEFT(D301,FIND(" ",D301)-1)),"")</f>
        <v>경기도</v>
      </c>
      <c r="D301" s="3" t="s">
        <v>1493</v>
      </c>
      <c r="E301" s="3" t="s">
        <v>1028</v>
      </c>
      <c r="F301" s="3" t="s">
        <v>1465</v>
      </c>
      <c r="G301" s="3" t="s">
        <v>19</v>
      </c>
      <c r="H301" s="3" t="s">
        <v>302</v>
      </c>
      <c r="I301" s="3" t="s">
        <v>19</v>
      </c>
      <c r="J301" s="3" t="s">
        <v>19</v>
      </c>
      <c r="K301" s="3" t="s">
        <v>21</v>
      </c>
      <c r="L301" s="3" t="s">
        <v>22</v>
      </c>
      <c r="M301" s="4">
        <v>274</v>
      </c>
      <c r="N301" s="3" t="s">
        <v>23</v>
      </c>
      <c r="O301" s="3" t="s">
        <v>24</v>
      </c>
      <c r="P301" s="3" t="s">
        <v>19</v>
      </c>
    </row>
    <row r="302" spans="1:16" x14ac:dyDescent="0.4">
      <c r="A302" s="7">
        <v>301</v>
      </c>
      <c r="B302" s="8" t="s">
        <v>1492</v>
      </c>
      <c r="C302" s="6" t="str">
        <f>IFERROR(IF(LEFT(D302,FIND(" ",D302)-1)="전라북도","전북특별자치도",LEFT(D302,FIND(" ",D302)-1)),"")</f>
        <v>경기도</v>
      </c>
      <c r="D302" s="3" t="s">
        <v>1493</v>
      </c>
      <c r="E302" s="3" t="s">
        <v>1028</v>
      </c>
      <c r="F302" s="3" t="s">
        <v>1465</v>
      </c>
      <c r="G302" s="3" t="s">
        <v>19</v>
      </c>
      <c r="H302" s="3" t="s">
        <v>302</v>
      </c>
      <c r="I302" s="3" t="s">
        <v>19</v>
      </c>
      <c r="J302" s="3" t="s">
        <v>19</v>
      </c>
      <c r="K302" s="3" t="s">
        <v>21</v>
      </c>
      <c r="L302" s="3" t="s">
        <v>22</v>
      </c>
      <c r="M302" s="4">
        <v>274</v>
      </c>
      <c r="N302" s="3" t="s">
        <v>23</v>
      </c>
      <c r="O302" s="3" t="s">
        <v>24</v>
      </c>
      <c r="P302" s="3" t="s">
        <v>19</v>
      </c>
    </row>
    <row r="303" spans="1:16" x14ac:dyDescent="0.4">
      <c r="A303" s="7">
        <v>302</v>
      </c>
      <c r="B303" s="8" t="s">
        <v>1494</v>
      </c>
      <c r="C303" s="6" t="str">
        <f>IFERROR(IF(LEFT(D303,FIND(" ",D303)-1)="전라북도","전북특별자치도",LEFT(D303,FIND(" ",D303)-1)),"")</f>
        <v>경기도</v>
      </c>
      <c r="D303" s="3" t="s">
        <v>1495</v>
      </c>
      <c r="E303" s="3" t="s">
        <v>1028</v>
      </c>
      <c r="F303" s="3" t="s">
        <v>1465</v>
      </c>
      <c r="G303" s="3" t="s">
        <v>19</v>
      </c>
      <c r="H303" s="3" t="s">
        <v>302</v>
      </c>
      <c r="I303" s="3" t="s">
        <v>19</v>
      </c>
      <c r="J303" s="3" t="s">
        <v>19</v>
      </c>
      <c r="K303" s="3" t="s">
        <v>21</v>
      </c>
      <c r="L303" s="3" t="s">
        <v>22</v>
      </c>
      <c r="M303" s="4">
        <v>391</v>
      </c>
      <c r="N303" s="3" t="s">
        <v>23</v>
      </c>
      <c r="O303" s="3" t="s">
        <v>24</v>
      </c>
      <c r="P303" s="3" t="s">
        <v>19</v>
      </c>
    </row>
    <row r="304" spans="1:16" x14ac:dyDescent="0.4">
      <c r="A304" s="7">
        <v>303</v>
      </c>
      <c r="B304" s="8" t="s">
        <v>1496</v>
      </c>
      <c r="C304" s="6" t="str">
        <f>IFERROR(IF(LEFT(D304,FIND(" ",D304)-1)="전라북도","전북특별자치도",LEFT(D304,FIND(" ",D304)-1)),"")</f>
        <v>경기도</v>
      </c>
      <c r="D304" s="3" t="s">
        <v>1497</v>
      </c>
      <c r="E304" s="3" t="s">
        <v>1028</v>
      </c>
      <c r="F304" s="3" t="s">
        <v>1465</v>
      </c>
      <c r="G304" s="3" t="s">
        <v>19</v>
      </c>
      <c r="H304" s="3" t="s">
        <v>302</v>
      </c>
      <c r="I304" s="3" t="s">
        <v>19</v>
      </c>
      <c r="J304" s="3" t="s">
        <v>19</v>
      </c>
      <c r="K304" s="3" t="s">
        <v>21</v>
      </c>
      <c r="L304" s="3" t="s">
        <v>22</v>
      </c>
      <c r="M304" s="4">
        <v>162</v>
      </c>
      <c r="N304" s="3" t="s">
        <v>1498</v>
      </c>
      <c r="O304" s="3" t="s">
        <v>24</v>
      </c>
      <c r="P304" s="3" t="s">
        <v>19</v>
      </c>
    </row>
    <row r="305" spans="1:16" x14ac:dyDescent="0.4">
      <c r="A305" s="7">
        <v>304</v>
      </c>
      <c r="B305" s="8" t="s">
        <v>1499</v>
      </c>
      <c r="C305" s="6" t="str">
        <f>IFERROR(IF(LEFT(D305,FIND(" ",D305)-1)="전라북도","전북특별자치도",LEFT(D305,FIND(" ",D305)-1)),"")</f>
        <v>경기도</v>
      </c>
      <c r="D305" s="3" t="s">
        <v>1497</v>
      </c>
      <c r="E305" s="3" t="s">
        <v>1028</v>
      </c>
      <c r="F305" s="3" t="s">
        <v>1465</v>
      </c>
      <c r="G305" s="3" t="s">
        <v>19</v>
      </c>
      <c r="H305" s="3" t="s">
        <v>302</v>
      </c>
      <c r="I305" s="3" t="s">
        <v>19</v>
      </c>
      <c r="J305" s="3" t="s">
        <v>19</v>
      </c>
      <c r="K305" s="3" t="s">
        <v>21</v>
      </c>
      <c r="L305" s="3" t="s">
        <v>22</v>
      </c>
      <c r="M305" s="4">
        <v>162</v>
      </c>
      <c r="N305" s="3" t="s">
        <v>1498</v>
      </c>
      <c r="O305" s="3" t="s">
        <v>24</v>
      </c>
      <c r="P305" s="3" t="s">
        <v>19</v>
      </c>
    </row>
    <row r="306" spans="1:16" hidden="1" x14ac:dyDescent="0.4">
      <c r="A306" s="7">
        <v>305</v>
      </c>
      <c r="B306" s="8" t="s">
        <v>1500</v>
      </c>
      <c r="C306" s="6" t="str">
        <f>IFERROR(IF(LEFT(D306,FIND(" ",D306)-1)="전라북도","전북특별자치도",LEFT(D306,FIND(" ",D306)-1)),"")</f>
        <v>충청남도</v>
      </c>
      <c r="D306" s="3" t="s">
        <v>1501</v>
      </c>
      <c r="E306" s="3" t="s">
        <v>793</v>
      </c>
      <c r="F306" s="3" t="s">
        <v>113</v>
      </c>
      <c r="G306" s="3" t="s">
        <v>1502</v>
      </c>
      <c r="H306" s="3" t="s">
        <v>1503</v>
      </c>
      <c r="I306" s="3" t="s">
        <v>1503</v>
      </c>
      <c r="J306" s="3" t="s">
        <v>1504</v>
      </c>
      <c r="K306" s="3" t="s">
        <v>21</v>
      </c>
      <c r="L306" s="3" t="s">
        <v>228</v>
      </c>
      <c r="M306" s="4">
        <v>1761</v>
      </c>
      <c r="N306" s="3" t="s">
        <v>1498</v>
      </c>
      <c r="O306" s="3" t="s">
        <v>281</v>
      </c>
      <c r="P306" s="3" t="s">
        <v>1236</v>
      </c>
    </row>
    <row r="307" spans="1:16" x14ac:dyDescent="0.4">
      <c r="A307" s="7">
        <v>306</v>
      </c>
      <c r="B307" s="8" t="s">
        <v>858</v>
      </c>
      <c r="C307" s="6" t="str">
        <f>IFERROR(IF(LEFT(D307,FIND(" ",D307)-1)="전라북도","전북특별자치도",LEFT(D307,FIND(" ",D307)-1)),"")</f>
        <v>충청남도</v>
      </c>
      <c r="D307" s="3" t="s">
        <v>859</v>
      </c>
      <c r="E307" s="3" t="s">
        <v>1505</v>
      </c>
      <c r="F307" s="3" t="s">
        <v>113</v>
      </c>
      <c r="G307" s="3" t="s">
        <v>1506</v>
      </c>
      <c r="H307" s="3" t="s">
        <v>863</v>
      </c>
      <c r="I307" s="3" t="s">
        <v>1506</v>
      </c>
      <c r="J307" s="3" t="s">
        <v>19</v>
      </c>
      <c r="K307" s="3" t="s">
        <v>21</v>
      </c>
      <c r="L307" s="3" t="s">
        <v>22</v>
      </c>
      <c r="M307" s="4">
        <v>194</v>
      </c>
      <c r="N307" s="3" t="s">
        <v>1507</v>
      </c>
      <c r="O307" s="3" t="s">
        <v>24</v>
      </c>
      <c r="P307" s="3" t="s">
        <v>19</v>
      </c>
    </row>
    <row r="308" spans="1:16" x14ac:dyDescent="0.4">
      <c r="A308" s="7">
        <v>307</v>
      </c>
      <c r="B308" s="8" t="s">
        <v>1508</v>
      </c>
      <c r="C308" s="6" t="str">
        <f>IFERROR(IF(LEFT(D308,FIND(" ",D308)-1)="전라북도","전북특별자치도",LEFT(D308,FIND(" ",D308)-1)),"")</f>
        <v>강원특별자치도</v>
      </c>
      <c r="D308" s="3" t="s">
        <v>1509</v>
      </c>
      <c r="E308" s="3" t="s">
        <v>1510</v>
      </c>
      <c r="F308" s="3" t="s">
        <v>913</v>
      </c>
      <c r="G308" s="3" t="s">
        <v>19</v>
      </c>
      <c r="H308" s="3" t="s">
        <v>1511</v>
      </c>
      <c r="I308" s="3" t="s">
        <v>19</v>
      </c>
      <c r="J308" s="3" t="s">
        <v>19</v>
      </c>
      <c r="K308" s="3" t="s">
        <v>21</v>
      </c>
      <c r="L308" s="3" t="s">
        <v>22</v>
      </c>
      <c r="M308" s="4">
        <v>300</v>
      </c>
      <c r="N308" s="3" t="s">
        <v>1498</v>
      </c>
      <c r="O308" s="3" t="s">
        <v>24</v>
      </c>
      <c r="P308" s="3" t="s">
        <v>19</v>
      </c>
    </row>
    <row r="309" spans="1:16" x14ac:dyDescent="0.4">
      <c r="A309" s="7">
        <v>308</v>
      </c>
      <c r="B309" s="8" t="s">
        <v>1512</v>
      </c>
      <c r="C309" s="6" t="str">
        <f>IFERROR(IF(LEFT(D309,FIND(" ",D309)-1)="전라북도","전북특별자치도",LEFT(D309,FIND(" ",D309)-1)),"")</f>
        <v>강원특별자치도</v>
      </c>
      <c r="D309" s="3" t="s">
        <v>1513</v>
      </c>
      <c r="E309" s="3" t="s">
        <v>1514</v>
      </c>
      <c r="F309" s="3" t="s">
        <v>119</v>
      </c>
      <c r="G309" s="3" t="s">
        <v>1515</v>
      </c>
      <c r="H309" s="3" t="s">
        <v>19</v>
      </c>
      <c r="I309" s="3" t="s">
        <v>1516</v>
      </c>
      <c r="J309" s="3" t="s">
        <v>19</v>
      </c>
      <c r="K309" s="3" t="s">
        <v>21</v>
      </c>
      <c r="L309" s="3" t="s">
        <v>22</v>
      </c>
      <c r="M309" s="4">
        <v>4983</v>
      </c>
      <c r="N309" s="3" t="s">
        <v>1498</v>
      </c>
      <c r="O309" s="3" t="s">
        <v>24</v>
      </c>
      <c r="P309" s="3" t="s">
        <v>19</v>
      </c>
    </row>
    <row r="310" spans="1:16" hidden="1" x14ac:dyDescent="0.4">
      <c r="A310" s="7">
        <v>309</v>
      </c>
      <c r="B310" s="8" t="s">
        <v>1517</v>
      </c>
      <c r="C310" s="6" t="str">
        <f>IFERROR(IF(LEFT(D310,FIND(" ",D310)-1)="전라북도","전북특별자치도",LEFT(D310,FIND(" ",D310)-1)),"")</f>
        <v>경상북도</v>
      </c>
      <c r="D310" s="3" t="s">
        <v>1518</v>
      </c>
      <c r="E310" s="3" t="s">
        <v>1519</v>
      </c>
      <c r="F310" s="3" t="s">
        <v>119</v>
      </c>
      <c r="G310" s="3" t="s">
        <v>1521</v>
      </c>
      <c r="H310" s="3" t="s">
        <v>1522</v>
      </c>
      <c r="I310" s="3" t="s">
        <v>1523</v>
      </c>
      <c r="J310" s="3" t="s">
        <v>1521</v>
      </c>
      <c r="K310" s="3" t="s">
        <v>21</v>
      </c>
      <c r="L310" s="3" t="s">
        <v>147</v>
      </c>
      <c r="M310" s="4">
        <v>2861</v>
      </c>
      <c r="N310" s="3" t="s">
        <v>1498</v>
      </c>
      <c r="O310" s="3" t="s">
        <v>281</v>
      </c>
      <c r="P310" s="3" t="s">
        <v>1520</v>
      </c>
    </row>
    <row r="311" spans="1:16" x14ac:dyDescent="0.4">
      <c r="A311" s="7">
        <v>310</v>
      </c>
      <c r="B311" s="8" t="s">
        <v>1524</v>
      </c>
      <c r="C311" s="6" t="str">
        <f>IFERROR(IF(LEFT(D311,FIND(" ",D311)-1)="전라북도","전북특별자치도",LEFT(D311,FIND(" ",D311)-1)),"")</f>
        <v>경상남도</v>
      </c>
      <c r="D311" s="3" t="s">
        <v>1525</v>
      </c>
      <c r="E311" s="3" t="s">
        <v>1526</v>
      </c>
      <c r="F311" s="3" t="s">
        <v>1527</v>
      </c>
      <c r="G311" s="3" t="s">
        <v>1528</v>
      </c>
      <c r="H311" s="3" t="s">
        <v>1529</v>
      </c>
      <c r="I311" s="3" t="s">
        <v>19</v>
      </c>
      <c r="J311" s="3" t="s">
        <v>19</v>
      </c>
      <c r="K311" s="3" t="s">
        <v>21</v>
      </c>
      <c r="L311" s="3" t="s">
        <v>22</v>
      </c>
      <c r="M311" s="4">
        <v>495</v>
      </c>
      <c r="N311" s="3" t="s">
        <v>1498</v>
      </c>
      <c r="O311" s="3" t="s">
        <v>24</v>
      </c>
      <c r="P311" s="3" t="s">
        <v>19</v>
      </c>
    </row>
    <row r="312" spans="1:16" hidden="1" x14ac:dyDescent="0.4">
      <c r="A312" s="7">
        <v>311</v>
      </c>
      <c r="B312" s="8" t="s">
        <v>1530</v>
      </c>
      <c r="C312" s="6" t="str">
        <f>IFERROR(IF(LEFT(D312,FIND(" ",D312)-1)="전라북도","전북특별자치도",LEFT(D312,FIND(" ",D312)-1)),"")</f>
        <v>강원특별자치도</v>
      </c>
      <c r="D312" s="3" t="s">
        <v>1531</v>
      </c>
      <c r="E312" s="3" t="s">
        <v>1532</v>
      </c>
      <c r="F312" s="3" t="s">
        <v>1533</v>
      </c>
      <c r="G312" s="3" t="s">
        <v>1535</v>
      </c>
      <c r="H312" s="3" t="s">
        <v>1536</v>
      </c>
      <c r="I312" s="3" t="s">
        <v>1537</v>
      </c>
      <c r="J312" s="3" t="s">
        <v>692</v>
      </c>
      <c r="K312" s="3" t="s">
        <v>21</v>
      </c>
      <c r="L312" s="3" t="s">
        <v>22</v>
      </c>
      <c r="M312" s="4">
        <v>229</v>
      </c>
      <c r="N312" s="3" t="s">
        <v>1498</v>
      </c>
      <c r="O312" s="3" t="s">
        <v>281</v>
      </c>
      <c r="P312" s="3" t="s">
        <v>1534</v>
      </c>
    </row>
    <row r="313" spans="1:16" x14ac:dyDescent="0.4">
      <c r="A313" s="7">
        <v>312</v>
      </c>
      <c r="B313" s="8" t="s">
        <v>1538</v>
      </c>
      <c r="C313" s="6" t="str">
        <f>IFERROR(IF(LEFT(D313,FIND(" ",D313)-1)="전라북도","전북특별자치도",LEFT(D313,FIND(" ",D313)-1)),"")</f>
        <v>경기도</v>
      </c>
      <c r="D313" s="3" t="s">
        <v>1539</v>
      </c>
      <c r="E313" s="3" t="s">
        <v>1540</v>
      </c>
      <c r="F313" s="3" t="s">
        <v>1533</v>
      </c>
      <c r="G313" s="3" t="s">
        <v>1541</v>
      </c>
      <c r="H313" s="3" t="s">
        <v>1542</v>
      </c>
      <c r="I313" s="3" t="s">
        <v>1542</v>
      </c>
      <c r="J313" s="3" t="s">
        <v>19</v>
      </c>
      <c r="K313" s="3" t="s">
        <v>21</v>
      </c>
      <c r="L313" s="3" t="s">
        <v>22</v>
      </c>
      <c r="M313" s="4">
        <v>3586</v>
      </c>
      <c r="N313" s="3" t="s">
        <v>1498</v>
      </c>
      <c r="O313" s="3" t="s">
        <v>24</v>
      </c>
      <c r="P313" s="3" t="s">
        <v>19</v>
      </c>
    </row>
    <row r="314" spans="1:16" hidden="1" x14ac:dyDescent="0.4">
      <c r="A314" s="7">
        <v>313</v>
      </c>
      <c r="B314" s="8" t="s">
        <v>1543</v>
      </c>
      <c r="C314" s="6" t="str">
        <f>IFERROR(IF(LEFT(D314,FIND(" ",D314)-1)="전라북도","전북특별자치도",LEFT(D314,FIND(" ",D314)-1)),"")</f>
        <v>전북특별자치도</v>
      </c>
      <c r="D314" s="3" t="s">
        <v>1544</v>
      </c>
      <c r="E314" s="3" t="s">
        <v>72</v>
      </c>
      <c r="F314" s="3" t="s">
        <v>1545</v>
      </c>
      <c r="G314" s="3" t="s">
        <v>1547</v>
      </c>
      <c r="H314" s="3" t="s">
        <v>1548</v>
      </c>
      <c r="I314" s="3" t="s">
        <v>1549</v>
      </c>
      <c r="J314" s="3" t="s">
        <v>1550</v>
      </c>
      <c r="K314" s="3" t="s">
        <v>21</v>
      </c>
      <c r="L314" s="3" t="s">
        <v>22</v>
      </c>
      <c r="M314" s="4">
        <v>2615</v>
      </c>
      <c r="N314" s="3" t="s">
        <v>1498</v>
      </c>
      <c r="O314" s="3" t="s">
        <v>281</v>
      </c>
      <c r="P314" s="3" t="s">
        <v>1546</v>
      </c>
    </row>
    <row r="315" spans="1:16" x14ac:dyDescent="0.4">
      <c r="A315" s="7">
        <v>314</v>
      </c>
      <c r="B315" s="8" t="s">
        <v>1551</v>
      </c>
      <c r="C315" s="6" t="str">
        <f>IFERROR(IF(LEFT(D315,FIND(" ",D315)-1)="전라북도","전북특별자치도",LEFT(D315,FIND(" ",D315)-1)),"")</f>
        <v>전라남도</v>
      </c>
      <c r="D315" s="3" t="s">
        <v>1552</v>
      </c>
      <c r="E315" s="3" t="s">
        <v>1553</v>
      </c>
      <c r="F315" s="3" t="s">
        <v>1554</v>
      </c>
      <c r="G315" s="3" t="s">
        <v>1555</v>
      </c>
      <c r="H315" s="3" t="s">
        <v>1556</v>
      </c>
      <c r="I315" s="3" t="s">
        <v>1556</v>
      </c>
      <c r="J315" s="3" t="s">
        <v>19</v>
      </c>
      <c r="K315" s="3" t="s">
        <v>21</v>
      </c>
      <c r="L315" s="3" t="s">
        <v>22</v>
      </c>
      <c r="M315" s="4">
        <v>876</v>
      </c>
      <c r="N315" s="3" t="s">
        <v>1498</v>
      </c>
      <c r="O315" s="3" t="s">
        <v>24</v>
      </c>
      <c r="P315" s="3" t="s">
        <v>19</v>
      </c>
    </row>
    <row r="316" spans="1:16" x14ac:dyDescent="0.4">
      <c r="A316" s="7">
        <v>315</v>
      </c>
      <c r="B316" s="8" t="s">
        <v>1557</v>
      </c>
      <c r="C316" s="6" t="str">
        <f>IFERROR(IF(LEFT(D316,FIND(" ",D316)-1)="전라북도","전북특별자치도",LEFT(D316,FIND(" ",D316)-1)),"")</f>
        <v>서울특별시</v>
      </c>
      <c r="D316" s="3" t="s">
        <v>1558</v>
      </c>
      <c r="E316" s="3" t="s">
        <v>1559</v>
      </c>
      <c r="F316" s="3" t="s">
        <v>1554</v>
      </c>
      <c r="G316" s="3" t="s">
        <v>1560</v>
      </c>
      <c r="H316" s="3" t="s">
        <v>1561</v>
      </c>
      <c r="I316" s="3" t="s">
        <v>1561</v>
      </c>
      <c r="J316" s="3" t="s">
        <v>1562</v>
      </c>
      <c r="K316" s="3" t="s">
        <v>21</v>
      </c>
      <c r="L316" s="3" t="s">
        <v>22</v>
      </c>
      <c r="M316" s="4">
        <v>1331</v>
      </c>
      <c r="N316" s="3" t="s">
        <v>1498</v>
      </c>
      <c r="O316" s="3" t="s">
        <v>24</v>
      </c>
      <c r="P316" s="3" t="s">
        <v>19</v>
      </c>
    </row>
    <row r="317" spans="1:16" x14ac:dyDescent="0.4">
      <c r="A317" s="7">
        <v>316</v>
      </c>
      <c r="B317" s="8" t="s">
        <v>1563</v>
      </c>
      <c r="C317" s="6" t="str">
        <f>IFERROR(IF(LEFT(D317,FIND(" ",D317)-1)="전라북도","전북특별자치도",LEFT(D317,FIND(" ",D317)-1)),"")</f>
        <v>전라남도</v>
      </c>
      <c r="D317" s="3" t="s">
        <v>1552</v>
      </c>
      <c r="E317" s="3" t="s">
        <v>1564</v>
      </c>
      <c r="F317" s="3" t="s">
        <v>1554</v>
      </c>
      <c r="G317" s="3" t="s">
        <v>1555</v>
      </c>
      <c r="H317" s="3" t="s">
        <v>1556</v>
      </c>
      <c r="I317" s="3" t="s">
        <v>1556</v>
      </c>
      <c r="J317" s="3" t="s">
        <v>19</v>
      </c>
      <c r="K317" s="3" t="s">
        <v>21</v>
      </c>
      <c r="L317" s="3" t="s">
        <v>22</v>
      </c>
      <c r="M317" s="4">
        <v>888</v>
      </c>
      <c r="N317" s="3" t="s">
        <v>1498</v>
      </c>
      <c r="O317" s="3" t="s">
        <v>24</v>
      </c>
      <c r="P317" s="3" t="s">
        <v>19</v>
      </c>
    </row>
    <row r="318" spans="1:16" hidden="1" x14ac:dyDescent="0.4">
      <c r="A318" s="7">
        <v>317</v>
      </c>
      <c r="B318" s="8" t="s">
        <v>1565</v>
      </c>
      <c r="C318" s="6" t="str">
        <f>IFERROR(IF(LEFT(D318,FIND(" ",D318)-1)="전라북도","전북특별자치도",LEFT(D318,FIND(" ",D318)-1)),"")</f>
        <v>강원특별자치도</v>
      </c>
      <c r="D318" s="3" t="s">
        <v>1566</v>
      </c>
      <c r="E318" s="3" t="s">
        <v>1567</v>
      </c>
      <c r="F318" s="3" t="s">
        <v>1568</v>
      </c>
      <c r="G318" s="3" t="s">
        <v>19</v>
      </c>
      <c r="H318" s="3" t="s">
        <v>940</v>
      </c>
      <c r="I318" s="3" t="s">
        <v>940</v>
      </c>
      <c r="J318" s="3" t="s">
        <v>19</v>
      </c>
      <c r="K318" s="3" t="s">
        <v>21</v>
      </c>
      <c r="L318" s="3" t="s">
        <v>147</v>
      </c>
      <c r="M318" s="4">
        <v>880</v>
      </c>
      <c r="N318" s="3" t="s">
        <v>1498</v>
      </c>
      <c r="O318" s="3" t="s">
        <v>281</v>
      </c>
      <c r="P318" s="3" t="s">
        <v>1219</v>
      </c>
    </row>
    <row r="319" spans="1:16" hidden="1" x14ac:dyDescent="0.4">
      <c r="A319" s="7">
        <v>318</v>
      </c>
      <c r="B319" s="8" t="s">
        <v>1569</v>
      </c>
      <c r="C319" s="6" t="str">
        <f>IFERROR(IF(LEFT(D319,FIND(" ",D319)-1)="전라북도","전북특별자치도",LEFT(D319,FIND(" ",D319)-1)),"")</f>
        <v>경기도</v>
      </c>
      <c r="D319" s="3" t="s">
        <v>1570</v>
      </c>
      <c r="E319" s="3" t="s">
        <v>1571</v>
      </c>
      <c r="F319" s="3" t="s">
        <v>1572</v>
      </c>
      <c r="G319" s="3" t="s">
        <v>1574</v>
      </c>
      <c r="H319" s="3" t="s">
        <v>302</v>
      </c>
      <c r="I319" s="3" t="s">
        <v>19</v>
      </c>
      <c r="J319" s="3" t="s">
        <v>19</v>
      </c>
      <c r="K319" s="3" t="s">
        <v>21</v>
      </c>
      <c r="L319" s="3" t="s">
        <v>22</v>
      </c>
      <c r="M319" s="4">
        <v>334</v>
      </c>
      <c r="N319" s="3" t="s">
        <v>129</v>
      </c>
      <c r="O319" s="3" t="s">
        <v>281</v>
      </c>
      <c r="P319" s="3" t="s">
        <v>1573</v>
      </c>
    </row>
    <row r="320" spans="1:16" x14ac:dyDescent="0.4">
      <c r="A320" s="7">
        <v>319</v>
      </c>
      <c r="B320" s="8" t="s">
        <v>1575</v>
      </c>
      <c r="C320" s="6" t="str">
        <f>IFERROR(IF(LEFT(D320,FIND(" ",D320)-1)="전라북도","전북특별자치도",LEFT(D320,FIND(" ",D320)-1)),"")</f>
        <v>전라남도</v>
      </c>
      <c r="D320" s="3" t="s">
        <v>1576</v>
      </c>
      <c r="E320" s="3" t="s">
        <v>1577</v>
      </c>
      <c r="F320" s="3" t="s">
        <v>1578</v>
      </c>
      <c r="G320" s="3" t="s">
        <v>1579</v>
      </c>
      <c r="H320" s="3" t="s">
        <v>1580</v>
      </c>
      <c r="I320" s="3" t="s">
        <v>19</v>
      </c>
      <c r="J320" s="3" t="s">
        <v>19</v>
      </c>
      <c r="K320" s="3" t="s">
        <v>21</v>
      </c>
      <c r="L320" s="3" t="s">
        <v>22</v>
      </c>
      <c r="M320" s="4">
        <v>268</v>
      </c>
      <c r="N320" s="3" t="s">
        <v>129</v>
      </c>
      <c r="O320" s="3" t="s">
        <v>24</v>
      </c>
      <c r="P320" s="3" t="s">
        <v>19</v>
      </c>
    </row>
    <row r="321" spans="1:16" hidden="1" x14ac:dyDescent="0.4">
      <c r="A321" s="7">
        <v>320</v>
      </c>
      <c r="B321" s="8" t="s">
        <v>1581</v>
      </c>
      <c r="C321" s="6" t="str">
        <f>IFERROR(IF(LEFT(D321,FIND(" ",D321)-1)="전라북도","전북특별자치도",LEFT(D321,FIND(" ",D321)-1)),"")</f>
        <v>충청남도</v>
      </c>
      <c r="D321" s="3" t="s">
        <v>1582</v>
      </c>
      <c r="E321" s="3" t="s">
        <v>1583</v>
      </c>
      <c r="F321" s="3" t="s">
        <v>1584</v>
      </c>
      <c r="G321" s="3" t="s">
        <v>19</v>
      </c>
      <c r="H321" s="3" t="s">
        <v>157</v>
      </c>
      <c r="I321" s="3" t="s">
        <v>19</v>
      </c>
      <c r="J321" s="3" t="s">
        <v>19</v>
      </c>
      <c r="K321" s="3" t="s">
        <v>21</v>
      </c>
      <c r="L321" s="3" t="s">
        <v>147</v>
      </c>
      <c r="M321" s="4">
        <v>1316</v>
      </c>
      <c r="N321" s="3" t="s">
        <v>1498</v>
      </c>
      <c r="O321" s="3" t="s">
        <v>281</v>
      </c>
      <c r="P321" s="3" t="s">
        <v>1465</v>
      </c>
    </row>
    <row r="322" spans="1:16" hidden="1" x14ac:dyDescent="0.4">
      <c r="A322" s="7">
        <v>321</v>
      </c>
      <c r="B322" s="8" t="s">
        <v>1585</v>
      </c>
      <c r="C322" s="6" t="str">
        <f>IFERROR(IF(LEFT(D322,FIND(" ",D322)-1)="전라북도","전북특별자치도",LEFT(D322,FIND(" ",D322)-1)),"")</f>
        <v>경기도</v>
      </c>
      <c r="D322" s="3" t="s">
        <v>1586</v>
      </c>
      <c r="E322" s="3" t="s">
        <v>1587</v>
      </c>
      <c r="F322" s="3" t="s">
        <v>1588</v>
      </c>
      <c r="G322" s="3" t="s">
        <v>1589</v>
      </c>
      <c r="H322" s="3" t="s">
        <v>1590</v>
      </c>
      <c r="I322" s="3" t="s">
        <v>1591</v>
      </c>
      <c r="J322" s="3" t="s">
        <v>19</v>
      </c>
      <c r="K322" s="3" t="s">
        <v>21</v>
      </c>
      <c r="L322" s="3" t="s">
        <v>22</v>
      </c>
      <c r="M322" s="4">
        <v>1127</v>
      </c>
      <c r="N322" s="3" t="s">
        <v>1498</v>
      </c>
      <c r="O322" s="3" t="s">
        <v>281</v>
      </c>
      <c r="P322" s="3" t="s">
        <v>1089</v>
      </c>
    </row>
    <row r="323" spans="1:16" x14ac:dyDescent="0.4">
      <c r="A323" s="7">
        <v>322</v>
      </c>
      <c r="B323" s="8" t="s">
        <v>1592</v>
      </c>
      <c r="C323" s="6" t="str">
        <f>IFERROR(IF(LEFT(D323,FIND(" ",D323)-1)="전라북도","전북특별자치도",LEFT(D323,FIND(" ",D323)-1)),"")</f>
        <v>충청남도</v>
      </c>
      <c r="D323" s="3" t="s">
        <v>1593</v>
      </c>
      <c r="E323" s="3" t="s">
        <v>991</v>
      </c>
      <c r="F323" s="3" t="s">
        <v>1594</v>
      </c>
      <c r="G323" s="3" t="s">
        <v>19</v>
      </c>
      <c r="H323" s="3" t="s">
        <v>1595</v>
      </c>
      <c r="I323" s="3" t="s">
        <v>19</v>
      </c>
      <c r="J323" s="3" t="s">
        <v>1596</v>
      </c>
      <c r="K323" s="3" t="s">
        <v>21</v>
      </c>
      <c r="L323" s="3" t="s">
        <v>147</v>
      </c>
      <c r="M323" s="4">
        <v>1994</v>
      </c>
      <c r="N323" s="3" t="s">
        <v>123</v>
      </c>
      <c r="O323" s="3" t="s">
        <v>24</v>
      </c>
      <c r="P323" s="3" t="s">
        <v>19</v>
      </c>
    </row>
    <row r="324" spans="1:16" x14ac:dyDescent="0.4">
      <c r="A324" s="7">
        <v>323</v>
      </c>
      <c r="B324" s="8" t="s">
        <v>1597</v>
      </c>
      <c r="C324" s="6" t="str">
        <f>IFERROR(IF(LEFT(D324,FIND(" ",D324)-1)="전라북도","전북특별자치도",LEFT(D324,FIND(" ",D324)-1)),"")</f>
        <v>강원특별자치도</v>
      </c>
      <c r="D324" s="3" t="s">
        <v>1598</v>
      </c>
      <c r="E324" s="3" t="s">
        <v>1599</v>
      </c>
      <c r="F324" s="3" t="s">
        <v>1600</v>
      </c>
      <c r="G324" s="3" t="s">
        <v>19</v>
      </c>
      <c r="H324" s="3" t="s">
        <v>436</v>
      </c>
      <c r="I324" s="3" t="s">
        <v>19</v>
      </c>
      <c r="J324" s="3" t="s">
        <v>19</v>
      </c>
      <c r="K324" s="3" t="s">
        <v>21</v>
      </c>
      <c r="L324" s="3" t="s">
        <v>147</v>
      </c>
      <c r="M324" s="4">
        <v>923</v>
      </c>
      <c r="N324" s="3" t="s">
        <v>1498</v>
      </c>
      <c r="O324" s="3" t="s">
        <v>24</v>
      </c>
      <c r="P324" s="3" t="s">
        <v>19</v>
      </c>
    </row>
    <row r="325" spans="1:16" hidden="1" x14ac:dyDescent="0.4">
      <c r="A325" s="7">
        <v>324</v>
      </c>
      <c r="B325" s="8" t="s">
        <v>1601</v>
      </c>
      <c r="C325" s="6" t="str">
        <f>IFERROR(IF(LEFT(D325,FIND(" ",D325)-1)="전라북도","전북특별자치도",LEFT(D325,FIND(" ",D325)-1)),"")</f>
        <v>충청남도</v>
      </c>
      <c r="D325" s="3" t="s">
        <v>1602</v>
      </c>
      <c r="E325" s="3" t="s">
        <v>1603</v>
      </c>
      <c r="F325" s="3" t="s">
        <v>1604</v>
      </c>
      <c r="G325" s="3" t="s">
        <v>1605</v>
      </c>
      <c r="H325" s="3" t="s">
        <v>1606</v>
      </c>
      <c r="I325" s="3" t="s">
        <v>1607</v>
      </c>
      <c r="J325" s="3" t="s">
        <v>19</v>
      </c>
      <c r="K325" s="3" t="s">
        <v>21</v>
      </c>
      <c r="L325" s="3" t="s">
        <v>22</v>
      </c>
      <c r="M325" s="4">
        <v>610</v>
      </c>
      <c r="N325" s="3" t="s">
        <v>1498</v>
      </c>
      <c r="O325" s="3" t="s">
        <v>281</v>
      </c>
      <c r="P325" s="3" t="s">
        <v>1358</v>
      </c>
    </row>
    <row r="326" spans="1:16" x14ac:dyDescent="0.4">
      <c r="A326" s="7">
        <v>325</v>
      </c>
      <c r="B326" s="8" t="s">
        <v>1608</v>
      </c>
      <c r="C326" s="6" t="str">
        <f>IFERROR(IF(LEFT(D326,FIND(" ",D326)-1)="전라북도","전북특별자치도",LEFT(D326,FIND(" ",D326)-1)),"")</f>
        <v>경기도</v>
      </c>
      <c r="D326" s="3" t="s">
        <v>1609</v>
      </c>
      <c r="E326" s="3" t="s">
        <v>1610</v>
      </c>
      <c r="F326" s="3" t="s">
        <v>1611</v>
      </c>
      <c r="G326" s="3" t="s">
        <v>1612</v>
      </c>
      <c r="H326" s="3" t="s">
        <v>302</v>
      </c>
      <c r="I326" s="3" t="s">
        <v>19</v>
      </c>
      <c r="J326" s="3" t="s">
        <v>19</v>
      </c>
      <c r="K326" s="3" t="s">
        <v>21</v>
      </c>
      <c r="L326" s="3" t="s">
        <v>22</v>
      </c>
      <c r="M326" s="4">
        <v>197</v>
      </c>
      <c r="N326" s="3" t="s">
        <v>123</v>
      </c>
      <c r="O326" s="3" t="s">
        <v>24</v>
      </c>
      <c r="P326" s="3" t="s">
        <v>19</v>
      </c>
    </row>
    <row r="327" spans="1:16" x14ac:dyDescent="0.4">
      <c r="A327" s="7">
        <v>326</v>
      </c>
      <c r="B327" s="8" t="s">
        <v>1613</v>
      </c>
      <c r="C327" s="6" t="str">
        <f>IFERROR(IF(LEFT(D327,FIND(" ",D327)-1)="전라북도","전북특별자치도",LEFT(D327,FIND(" ",D327)-1)),"")</f>
        <v>제주특별자치도</v>
      </c>
      <c r="D327" s="3" t="s">
        <v>1614</v>
      </c>
      <c r="E327" s="3" t="s">
        <v>1615</v>
      </c>
      <c r="F327" s="3" t="s">
        <v>1616</v>
      </c>
      <c r="G327" s="3" t="s">
        <v>19</v>
      </c>
      <c r="H327" s="3" t="s">
        <v>1617</v>
      </c>
      <c r="I327" s="3" t="s">
        <v>19</v>
      </c>
      <c r="J327" s="3" t="s">
        <v>19</v>
      </c>
      <c r="K327" s="3" t="s">
        <v>21</v>
      </c>
      <c r="L327" s="3" t="s">
        <v>22</v>
      </c>
      <c r="M327" s="4">
        <v>61</v>
      </c>
      <c r="N327" s="3" t="s">
        <v>1498</v>
      </c>
      <c r="O327" s="3" t="s">
        <v>24</v>
      </c>
      <c r="P327" s="3" t="s">
        <v>19</v>
      </c>
    </row>
    <row r="328" spans="1:16" x14ac:dyDescent="0.4">
      <c r="A328" s="7">
        <v>327</v>
      </c>
      <c r="B328" s="8" t="s">
        <v>1618</v>
      </c>
      <c r="C328" s="6" t="str">
        <f>IFERROR(IF(LEFT(D328,FIND(" ",D328)-1)="전라북도","전북특별자치도",LEFT(D328,FIND(" ",D328)-1)),"")</f>
        <v>전라남도</v>
      </c>
      <c r="D328" s="3" t="s">
        <v>1619</v>
      </c>
      <c r="E328" s="3" t="s">
        <v>1620</v>
      </c>
      <c r="F328" s="3" t="s">
        <v>1621</v>
      </c>
      <c r="G328" s="3" t="s">
        <v>1622</v>
      </c>
      <c r="H328" s="3" t="s">
        <v>1623</v>
      </c>
      <c r="I328" s="3" t="s">
        <v>1623</v>
      </c>
      <c r="J328" s="3" t="s">
        <v>19</v>
      </c>
      <c r="K328" s="3" t="s">
        <v>21</v>
      </c>
      <c r="L328" s="3" t="s">
        <v>22</v>
      </c>
      <c r="M328" s="4">
        <v>2120</v>
      </c>
      <c r="N328" s="3" t="s">
        <v>1498</v>
      </c>
      <c r="O328" s="3" t="s">
        <v>24</v>
      </c>
      <c r="P328" s="3" t="s">
        <v>19</v>
      </c>
    </row>
    <row r="329" spans="1:16" hidden="1" x14ac:dyDescent="0.4">
      <c r="A329" s="7">
        <v>328</v>
      </c>
      <c r="B329" s="8" t="s">
        <v>1624</v>
      </c>
      <c r="C329" s="6" t="str">
        <f>IFERROR(IF(LEFT(D329,FIND(" ",D329)-1)="전라북도","전북특별자치도",LEFT(D329,FIND(" ",D329)-1)),"")</f>
        <v>경상북도</v>
      </c>
      <c r="D329" s="3" t="s">
        <v>1625</v>
      </c>
      <c r="E329" s="3" t="s">
        <v>1626</v>
      </c>
      <c r="F329" s="3" t="s">
        <v>793</v>
      </c>
      <c r="G329" s="3" t="s">
        <v>1627</v>
      </c>
      <c r="H329" s="3" t="s">
        <v>1628</v>
      </c>
      <c r="I329" s="3" t="s">
        <v>1629</v>
      </c>
      <c r="J329" s="3" t="s">
        <v>1630</v>
      </c>
      <c r="K329" s="3" t="s">
        <v>21</v>
      </c>
      <c r="L329" s="3" t="s">
        <v>22</v>
      </c>
      <c r="M329" s="4">
        <v>4762</v>
      </c>
      <c r="N329" s="3" t="s">
        <v>1498</v>
      </c>
      <c r="O329" s="3" t="s">
        <v>281</v>
      </c>
      <c r="P329" s="3" t="s">
        <v>695</v>
      </c>
    </row>
    <row r="330" spans="1:16" hidden="1" x14ac:dyDescent="0.4">
      <c r="A330" s="7">
        <v>329</v>
      </c>
      <c r="B330" s="8" t="s">
        <v>1631</v>
      </c>
      <c r="C330" s="6" t="str">
        <f>IFERROR(IF(LEFT(D330,FIND(" ",D330)-1)="전라북도","전북특별자치도",LEFT(D330,FIND(" ",D330)-1)),"")</f>
        <v>경기도</v>
      </c>
      <c r="D330" s="3" t="s">
        <v>1632</v>
      </c>
      <c r="E330" s="3" t="s">
        <v>1633</v>
      </c>
      <c r="F330" s="3" t="s">
        <v>1634</v>
      </c>
      <c r="G330" s="3" t="s">
        <v>1635</v>
      </c>
      <c r="H330" s="3" t="s">
        <v>1636</v>
      </c>
      <c r="I330" s="3" t="s">
        <v>19</v>
      </c>
      <c r="J330" s="3" t="s">
        <v>1635</v>
      </c>
      <c r="K330" s="3" t="s">
        <v>21</v>
      </c>
      <c r="L330" s="3" t="s">
        <v>22</v>
      </c>
      <c r="M330" s="4">
        <v>193</v>
      </c>
      <c r="N330" s="3" t="s">
        <v>236</v>
      </c>
      <c r="O330" s="3" t="s">
        <v>281</v>
      </c>
      <c r="P330" s="3" t="s">
        <v>1037</v>
      </c>
    </row>
    <row r="331" spans="1:16" x14ac:dyDescent="0.4">
      <c r="A331" s="7">
        <v>330</v>
      </c>
      <c r="B331" s="8" t="s">
        <v>1637</v>
      </c>
      <c r="C331" s="6" t="str">
        <f>IFERROR(IF(LEFT(D331,FIND(" ",D331)-1)="전라북도","전북특별자치도",LEFT(D331,FIND(" ",D331)-1)),"")</f>
        <v>경기도</v>
      </c>
      <c r="D331" s="3" t="s">
        <v>1638</v>
      </c>
      <c r="E331" s="3" t="s">
        <v>1639</v>
      </c>
      <c r="F331" s="3" t="s">
        <v>1108</v>
      </c>
      <c r="G331" s="3" t="s">
        <v>1640</v>
      </c>
      <c r="H331" s="3" t="s">
        <v>1641</v>
      </c>
      <c r="I331" s="3" t="s">
        <v>1641</v>
      </c>
      <c r="J331" s="3" t="s">
        <v>19</v>
      </c>
      <c r="K331" s="3" t="s">
        <v>21</v>
      </c>
      <c r="L331" s="3" t="s">
        <v>22</v>
      </c>
      <c r="M331" s="4">
        <v>4668</v>
      </c>
      <c r="N331" s="3" t="s">
        <v>129</v>
      </c>
      <c r="O331" s="3" t="s">
        <v>24</v>
      </c>
      <c r="P331" s="3" t="s">
        <v>19</v>
      </c>
    </row>
    <row r="332" spans="1:16" hidden="1" x14ac:dyDescent="0.4">
      <c r="A332" s="7">
        <v>331</v>
      </c>
      <c r="B332" s="8" t="s">
        <v>1642</v>
      </c>
      <c r="C332" s="6" t="str">
        <f>IFERROR(IF(LEFT(D332,FIND(" ",D332)-1)="전라북도","전북특별자치도",LEFT(D332,FIND(" ",D332)-1)),"")</f>
        <v>강원특별자치도</v>
      </c>
      <c r="D332" s="3" t="s">
        <v>1643</v>
      </c>
      <c r="E332" s="3" t="s">
        <v>1644</v>
      </c>
      <c r="F332" s="3" t="s">
        <v>1645</v>
      </c>
      <c r="G332" s="3" t="s">
        <v>939</v>
      </c>
      <c r="H332" s="3" t="s">
        <v>1647</v>
      </c>
      <c r="I332" s="3" t="s">
        <v>1647</v>
      </c>
      <c r="J332" s="3" t="s">
        <v>19</v>
      </c>
      <c r="K332" s="3" t="s">
        <v>21</v>
      </c>
      <c r="L332" s="3" t="s">
        <v>22</v>
      </c>
      <c r="M332" s="4">
        <v>474</v>
      </c>
      <c r="N332" s="3" t="s">
        <v>129</v>
      </c>
      <c r="O332" s="3" t="s">
        <v>281</v>
      </c>
      <c r="P332" s="3" t="s">
        <v>1646</v>
      </c>
    </row>
    <row r="333" spans="1:16" x14ac:dyDescent="0.4">
      <c r="A333" s="7">
        <v>332</v>
      </c>
      <c r="B333" s="8" t="s">
        <v>1648</v>
      </c>
      <c r="C333" s="6" t="str">
        <f>IFERROR(IF(LEFT(D333,FIND(" ",D333)-1)="전라북도","전북특별자치도",LEFT(D333,FIND(" ",D333)-1)),"")</f>
        <v>경상남도</v>
      </c>
      <c r="D333" s="3" t="s">
        <v>1649</v>
      </c>
      <c r="E333" s="3" t="s">
        <v>1099</v>
      </c>
      <c r="F333" s="3" t="s">
        <v>1645</v>
      </c>
      <c r="G333" s="3" t="s">
        <v>1650</v>
      </c>
      <c r="H333" s="3" t="s">
        <v>19</v>
      </c>
      <c r="I333" s="3" t="s">
        <v>19</v>
      </c>
      <c r="J333" s="3" t="s">
        <v>1651</v>
      </c>
      <c r="K333" s="3" t="s">
        <v>21</v>
      </c>
      <c r="L333" s="3" t="s">
        <v>22</v>
      </c>
      <c r="M333" s="4">
        <v>597</v>
      </c>
      <c r="N333" s="3" t="s">
        <v>1498</v>
      </c>
      <c r="O333" s="3" t="s">
        <v>24</v>
      </c>
      <c r="P333" s="3" t="s">
        <v>19</v>
      </c>
    </row>
    <row r="334" spans="1:16" x14ac:dyDescent="0.4">
      <c r="A334" s="7">
        <v>333</v>
      </c>
      <c r="B334" s="8" t="s">
        <v>1652</v>
      </c>
      <c r="C334" s="6" t="str">
        <f>IFERROR(IF(LEFT(D334,FIND(" ",D334)-1)="전라북도","전북특별자치도",LEFT(D334,FIND(" ",D334)-1)),"")</f>
        <v>경기도</v>
      </c>
      <c r="D334" s="3" t="s">
        <v>1653</v>
      </c>
      <c r="E334" s="3" t="s">
        <v>1654</v>
      </c>
      <c r="F334" s="3" t="s">
        <v>1655</v>
      </c>
      <c r="G334" s="3" t="s">
        <v>1656</v>
      </c>
      <c r="H334" s="3" t="s">
        <v>1657</v>
      </c>
      <c r="I334" s="3" t="s">
        <v>19</v>
      </c>
      <c r="J334" s="3" t="s">
        <v>19</v>
      </c>
      <c r="K334" s="3" t="s">
        <v>21</v>
      </c>
      <c r="L334" s="3" t="s">
        <v>22</v>
      </c>
      <c r="M334" s="4">
        <v>358</v>
      </c>
      <c r="N334" s="3" t="s">
        <v>1498</v>
      </c>
      <c r="O334" s="3" t="s">
        <v>24</v>
      </c>
      <c r="P334" s="3" t="s">
        <v>19</v>
      </c>
    </row>
    <row r="335" spans="1:16" hidden="1" x14ac:dyDescent="0.4">
      <c r="A335" s="7">
        <v>334</v>
      </c>
      <c r="B335" s="8" t="s">
        <v>1658</v>
      </c>
      <c r="C335" s="6" t="str">
        <f>IFERROR(IF(LEFT(D335,FIND(" ",D335)-1)="전라북도","전북특별자치도",LEFT(D335,FIND(" ",D335)-1)),"")</f>
        <v>경기도</v>
      </c>
      <c r="D335" s="3" t="s">
        <v>1659</v>
      </c>
      <c r="E335" s="3" t="s">
        <v>1660</v>
      </c>
      <c r="F335" s="3" t="s">
        <v>1661</v>
      </c>
      <c r="G335" s="3" t="s">
        <v>19</v>
      </c>
      <c r="H335" s="3" t="s">
        <v>302</v>
      </c>
      <c r="I335" s="3" t="s">
        <v>302</v>
      </c>
      <c r="J335" s="3" t="s">
        <v>19</v>
      </c>
      <c r="K335" s="3" t="s">
        <v>21</v>
      </c>
      <c r="L335" s="3" t="s">
        <v>147</v>
      </c>
      <c r="M335" s="4">
        <v>284</v>
      </c>
      <c r="N335" s="3" t="s">
        <v>211</v>
      </c>
      <c r="O335" s="3" t="s">
        <v>281</v>
      </c>
      <c r="P335" s="3" t="s">
        <v>1159</v>
      </c>
    </row>
    <row r="336" spans="1:16" hidden="1" x14ac:dyDescent="0.4">
      <c r="A336" s="7">
        <v>335</v>
      </c>
      <c r="B336" s="8" t="s">
        <v>1662</v>
      </c>
      <c r="C336" s="6" t="str">
        <f>IFERROR(IF(LEFT(D336,FIND(" ",D336)-1)="전라북도","전북특별자치도",LEFT(D336,FIND(" ",D336)-1)),"")</f>
        <v>울산광역시</v>
      </c>
      <c r="D336" s="3" t="s">
        <v>1663</v>
      </c>
      <c r="E336" s="3" t="s">
        <v>1664</v>
      </c>
      <c r="F336" s="3" t="s">
        <v>1661</v>
      </c>
      <c r="G336" s="3" t="s">
        <v>1665</v>
      </c>
      <c r="H336" s="3" t="s">
        <v>19</v>
      </c>
      <c r="I336" s="3" t="s">
        <v>19</v>
      </c>
      <c r="J336" s="3" t="s">
        <v>19</v>
      </c>
      <c r="K336" s="3" t="s">
        <v>21</v>
      </c>
      <c r="L336" s="3" t="s">
        <v>147</v>
      </c>
      <c r="M336" s="4">
        <v>604</v>
      </c>
      <c r="N336" s="3" t="s">
        <v>1498</v>
      </c>
      <c r="O336" s="3" t="s">
        <v>281</v>
      </c>
      <c r="P336" s="3" t="s">
        <v>150</v>
      </c>
    </row>
    <row r="337" spans="1:16" hidden="1" x14ac:dyDescent="0.4">
      <c r="A337" s="7">
        <v>336</v>
      </c>
      <c r="B337" s="8" t="s">
        <v>1666</v>
      </c>
      <c r="C337" s="6" t="str">
        <f>IFERROR(IF(LEFT(D337,FIND(" ",D337)-1)="전라북도","전북특별자치도",LEFT(D337,FIND(" ",D337)-1)),"")</f>
        <v>경기도</v>
      </c>
      <c r="D337" s="3" t="s">
        <v>1667</v>
      </c>
      <c r="E337" s="3" t="s">
        <v>1660</v>
      </c>
      <c r="F337" s="3" t="s">
        <v>1661</v>
      </c>
      <c r="G337" s="3" t="s">
        <v>19</v>
      </c>
      <c r="H337" s="3" t="s">
        <v>302</v>
      </c>
      <c r="I337" s="3" t="s">
        <v>302</v>
      </c>
      <c r="J337" s="3" t="s">
        <v>19</v>
      </c>
      <c r="K337" s="3" t="s">
        <v>21</v>
      </c>
      <c r="L337" s="3" t="s">
        <v>147</v>
      </c>
      <c r="M337" s="4">
        <v>395</v>
      </c>
      <c r="N337" s="3" t="s">
        <v>84</v>
      </c>
      <c r="O337" s="3" t="s">
        <v>281</v>
      </c>
      <c r="P337" s="3" t="s">
        <v>1159</v>
      </c>
    </row>
    <row r="338" spans="1:16" hidden="1" x14ac:dyDescent="0.4">
      <c r="A338" s="7">
        <v>337</v>
      </c>
      <c r="B338" s="8" t="s">
        <v>1668</v>
      </c>
      <c r="C338" s="6" t="str">
        <f>IFERROR(IF(LEFT(D338,FIND(" ",D338)-1)="전라북도","전북특별자치도",LEFT(D338,FIND(" ",D338)-1)),"")</f>
        <v>경상남도</v>
      </c>
      <c r="D338" s="3" t="s">
        <v>1669</v>
      </c>
      <c r="E338" s="3" t="s">
        <v>1140</v>
      </c>
      <c r="F338" s="3" t="s">
        <v>1660</v>
      </c>
      <c r="G338" s="3" t="s">
        <v>1670</v>
      </c>
      <c r="H338" s="3" t="s">
        <v>205</v>
      </c>
      <c r="I338" s="3" t="s">
        <v>205</v>
      </c>
      <c r="J338" s="3" t="s">
        <v>1671</v>
      </c>
      <c r="K338" s="3" t="s">
        <v>21</v>
      </c>
      <c r="L338" s="3" t="s">
        <v>228</v>
      </c>
      <c r="M338" s="4">
        <v>1364</v>
      </c>
      <c r="N338" s="3" t="s">
        <v>1498</v>
      </c>
      <c r="O338" s="3" t="s">
        <v>281</v>
      </c>
      <c r="P338" s="3" t="s">
        <v>1389</v>
      </c>
    </row>
    <row r="339" spans="1:16" hidden="1" x14ac:dyDescent="0.4">
      <c r="A339" s="7">
        <v>338</v>
      </c>
      <c r="B339" s="8" t="s">
        <v>1672</v>
      </c>
      <c r="C339" s="6" t="str">
        <f>IFERROR(IF(LEFT(D339,FIND(" ",D339)-1)="전라북도","전북특별자치도",LEFT(D339,FIND(" ",D339)-1)),"")</f>
        <v>대구광역시</v>
      </c>
      <c r="D339" s="3" t="s">
        <v>1673</v>
      </c>
      <c r="E339" s="3" t="s">
        <v>1674</v>
      </c>
      <c r="F339" s="3" t="s">
        <v>1660</v>
      </c>
      <c r="G339" s="3" t="s">
        <v>19</v>
      </c>
      <c r="H339" s="3" t="s">
        <v>1675</v>
      </c>
      <c r="I339" s="3" t="s">
        <v>1675</v>
      </c>
      <c r="J339" s="3" t="s">
        <v>19</v>
      </c>
      <c r="K339" s="3" t="s">
        <v>21</v>
      </c>
      <c r="L339" s="3" t="s">
        <v>147</v>
      </c>
      <c r="M339" s="4">
        <v>536</v>
      </c>
      <c r="N339" s="3" t="s">
        <v>1498</v>
      </c>
      <c r="O339" s="3" t="s">
        <v>281</v>
      </c>
      <c r="P339" s="3" t="s">
        <v>1621</v>
      </c>
    </row>
    <row r="340" spans="1:16" x14ac:dyDescent="0.4">
      <c r="A340" s="7">
        <v>339</v>
      </c>
      <c r="B340" s="8" t="s">
        <v>1676</v>
      </c>
      <c r="C340" s="6" t="str">
        <f>IFERROR(IF(LEFT(D340,FIND(" ",D340)-1)="전라북도","전북특별자치도",LEFT(D340,FIND(" ",D340)-1)),"")</f>
        <v>인천광역시</v>
      </c>
      <c r="D340" s="3" t="s">
        <v>1677</v>
      </c>
      <c r="E340" s="3" t="s">
        <v>1678</v>
      </c>
      <c r="F340" s="3" t="s">
        <v>1679</v>
      </c>
      <c r="G340" s="3" t="s">
        <v>1680</v>
      </c>
      <c r="H340" s="3" t="s">
        <v>19</v>
      </c>
      <c r="I340" s="3" t="s">
        <v>19</v>
      </c>
      <c r="J340" s="3" t="s">
        <v>19</v>
      </c>
      <c r="K340" s="3" t="s">
        <v>21</v>
      </c>
      <c r="L340" s="3" t="s">
        <v>228</v>
      </c>
      <c r="M340" s="4">
        <v>598</v>
      </c>
      <c r="N340" s="3" t="s">
        <v>123</v>
      </c>
      <c r="O340" s="3" t="s">
        <v>24</v>
      </c>
      <c r="P340" s="3" t="s">
        <v>19</v>
      </c>
    </row>
    <row r="341" spans="1:16" hidden="1" x14ac:dyDescent="0.4">
      <c r="A341" s="7">
        <v>340</v>
      </c>
      <c r="B341" s="8" t="s">
        <v>1681</v>
      </c>
      <c r="C341" s="6" t="str">
        <f>IFERROR(IF(LEFT(D341,FIND(" ",D341)-1)="전라북도","전북특별자치도",LEFT(D341,FIND(" ",D341)-1)),"")</f>
        <v>강원특별자치도</v>
      </c>
      <c r="D341" s="3" t="s">
        <v>1682</v>
      </c>
      <c r="E341" s="3" t="s">
        <v>1683</v>
      </c>
      <c r="F341" s="3" t="s">
        <v>1684</v>
      </c>
      <c r="G341" s="3" t="s">
        <v>1686</v>
      </c>
      <c r="H341" s="3" t="s">
        <v>1687</v>
      </c>
      <c r="I341" s="3" t="s">
        <v>19</v>
      </c>
      <c r="J341" s="3" t="s">
        <v>19</v>
      </c>
      <c r="K341" s="3" t="s">
        <v>21</v>
      </c>
      <c r="L341" s="3" t="s">
        <v>22</v>
      </c>
      <c r="M341" s="4">
        <v>260</v>
      </c>
      <c r="N341" s="3" t="s">
        <v>211</v>
      </c>
      <c r="O341" s="3" t="s">
        <v>281</v>
      </c>
      <c r="P341" s="3" t="s">
        <v>1685</v>
      </c>
    </row>
    <row r="342" spans="1:16" hidden="1" x14ac:dyDescent="0.4">
      <c r="A342" s="7">
        <v>341</v>
      </c>
      <c r="B342" s="8" t="s">
        <v>1688</v>
      </c>
      <c r="C342" s="6" t="str">
        <f>IFERROR(IF(LEFT(D342,FIND(" ",D342)-1)="전라북도","전북특별자치도",LEFT(D342,FIND(" ",D342)-1)),"")</f>
        <v>충청남도</v>
      </c>
      <c r="D342" s="3" t="s">
        <v>1689</v>
      </c>
      <c r="E342" s="3" t="s">
        <v>1690</v>
      </c>
      <c r="F342" s="3" t="s">
        <v>1691</v>
      </c>
      <c r="G342" s="3" t="s">
        <v>1693</v>
      </c>
      <c r="H342" s="3" t="s">
        <v>1694</v>
      </c>
      <c r="I342" s="3" t="s">
        <v>1695</v>
      </c>
      <c r="J342" s="3" t="s">
        <v>19</v>
      </c>
      <c r="K342" s="3" t="s">
        <v>21</v>
      </c>
      <c r="L342" s="3" t="s">
        <v>22</v>
      </c>
      <c r="M342" s="4">
        <v>211</v>
      </c>
      <c r="N342" s="3" t="s">
        <v>84</v>
      </c>
      <c r="O342" s="3" t="s">
        <v>281</v>
      </c>
      <c r="P342" s="3" t="s">
        <v>1692</v>
      </c>
    </row>
    <row r="343" spans="1:16" hidden="1" x14ac:dyDescent="0.4">
      <c r="A343" s="7">
        <v>342</v>
      </c>
      <c r="B343" s="8" t="s">
        <v>1696</v>
      </c>
      <c r="C343" s="6" t="str">
        <f>IFERROR(IF(LEFT(D343,FIND(" ",D343)-1)="전라북도","전북특별자치도",LEFT(D343,FIND(" ",D343)-1)),"")</f>
        <v>경기도</v>
      </c>
      <c r="D343" s="3" t="s">
        <v>1697</v>
      </c>
      <c r="E343" s="3" t="s">
        <v>1698</v>
      </c>
      <c r="F343" s="3" t="s">
        <v>1699</v>
      </c>
      <c r="G343" s="3" t="s">
        <v>19</v>
      </c>
      <c r="H343" s="3" t="s">
        <v>302</v>
      </c>
      <c r="I343" s="3" t="s">
        <v>302</v>
      </c>
      <c r="J343" s="3" t="s">
        <v>19</v>
      </c>
      <c r="K343" s="3" t="s">
        <v>21</v>
      </c>
      <c r="L343" s="3" t="s">
        <v>147</v>
      </c>
      <c r="M343" s="4">
        <v>594</v>
      </c>
      <c r="N343" s="3" t="s">
        <v>84</v>
      </c>
      <c r="O343" s="3" t="s">
        <v>281</v>
      </c>
      <c r="P343" s="3" t="s">
        <v>1700</v>
      </c>
    </row>
    <row r="344" spans="1:16" x14ac:dyDescent="0.4">
      <c r="A344" s="7">
        <v>343</v>
      </c>
      <c r="B344" s="8" t="s">
        <v>1701</v>
      </c>
      <c r="C344" s="6" t="str">
        <f>IFERROR(IF(LEFT(D344,FIND(" ",D344)-1)="전라북도","전북특별자치도",LEFT(D344,FIND(" ",D344)-1)),"")</f>
        <v>경기도</v>
      </c>
      <c r="D344" s="3" t="s">
        <v>1702</v>
      </c>
      <c r="E344" s="3" t="s">
        <v>1703</v>
      </c>
      <c r="F344" s="3" t="s">
        <v>1699</v>
      </c>
      <c r="G344" s="3" t="s">
        <v>19</v>
      </c>
      <c r="H344" s="3" t="s">
        <v>1704</v>
      </c>
      <c r="I344" s="3" t="s">
        <v>19</v>
      </c>
      <c r="J344" s="3" t="s">
        <v>19</v>
      </c>
      <c r="K344" s="3" t="s">
        <v>21</v>
      </c>
      <c r="L344" s="3" t="s">
        <v>22</v>
      </c>
      <c r="M344" s="4">
        <v>194</v>
      </c>
      <c r="N344" s="3" t="s">
        <v>657</v>
      </c>
      <c r="O344" s="3" t="s">
        <v>24</v>
      </c>
      <c r="P344" s="3" t="s">
        <v>19</v>
      </c>
    </row>
    <row r="345" spans="1:16" hidden="1" x14ac:dyDescent="0.4">
      <c r="A345" s="7">
        <v>344</v>
      </c>
      <c r="B345" s="8" t="s">
        <v>1705</v>
      </c>
      <c r="C345" s="6" t="str">
        <f>IFERROR(IF(LEFT(D345,FIND(" ",D345)-1)="전라북도","전북특별자치도",LEFT(D345,FIND(" ",D345)-1)),"")</f>
        <v>경상북도</v>
      </c>
      <c r="D345" s="3" t="s">
        <v>1706</v>
      </c>
      <c r="E345" s="3" t="s">
        <v>181</v>
      </c>
      <c r="F345" s="3" t="s">
        <v>1699</v>
      </c>
      <c r="G345" s="3" t="s">
        <v>1707</v>
      </c>
      <c r="H345" s="3" t="s">
        <v>110</v>
      </c>
      <c r="I345" s="3" t="s">
        <v>19</v>
      </c>
      <c r="J345" s="3" t="s">
        <v>1707</v>
      </c>
      <c r="K345" s="3" t="s">
        <v>21</v>
      </c>
      <c r="L345" s="3" t="s">
        <v>147</v>
      </c>
      <c r="M345" s="4">
        <v>882</v>
      </c>
      <c r="N345" s="3" t="s">
        <v>1498</v>
      </c>
      <c r="O345" s="3" t="s">
        <v>281</v>
      </c>
      <c r="P345" s="3" t="s">
        <v>161</v>
      </c>
    </row>
    <row r="346" spans="1:16" hidden="1" x14ac:dyDescent="0.4">
      <c r="A346" s="7">
        <v>345</v>
      </c>
      <c r="B346" s="8" t="s">
        <v>1708</v>
      </c>
      <c r="C346" s="6" t="str">
        <f>IFERROR(IF(LEFT(D346,FIND(" ",D346)-1)="전라북도","전북특별자치도",LEFT(D346,FIND(" ",D346)-1)),"")</f>
        <v>제주특별자치도</v>
      </c>
      <c r="D346" s="3" t="s">
        <v>1709</v>
      </c>
      <c r="E346" s="3" t="s">
        <v>1710</v>
      </c>
      <c r="F346" s="3" t="s">
        <v>1711</v>
      </c>
      <c r="G346" s="3" t="s">
        <v>19</v>
      </c>
      <c r="H346" s="3" t="s">
        <v>1713</v>
      </c>
      <c r="I346" s="3" t="s">
        <v>19</v>
      </c>
      <c r="J346" s="3" t="s">
        <v>19</v>
      </c>
      <c r="K346" s="3" t="s">
        <v>21</v>
      </c>
      <c r="L346" s="3" t="s">
        <v>147</v>
      </c>
      <c r="M346" s="4">
        <v>884</v>
      </c>
      <c r="N346" s="3" t="s">
        <v>1498</v>
      </c>
      <c r="O346" s="3" t="s">
        <v>281</v>
      </c>
      <c r="P346" s="3" t="s">
        <v>1712</v>
      </c>
    </row>
    <row r="347" spans="1:16" hidden="1" x14ac:dyDescent="0.4">
      <c r="A347" s="7">
        <v>346</v>
      </c>
      <c r="B347" s="8" t="s">
        <v>1714</v>
      </c>
      <c r="C347" s="6" t="str">
        <f>IFERROR(IF(LEFT(D347,FIND(" ",D347)-1)="전라북도","전북특별자치도",LEFT(D347,FIND(" ",D347)-1)),"")</f>
        <v>광주광역시</v>
      </c>
      <c r="D347" s="3" t="s">
        <v>1715</v>
      </c>
      <c r="E347" s="3" t="s">
        <v>181</v>
      </c>
      <c r="F347" s="3" t="s">
        <v>1716</v>
      </c>
      <c r="G347" s="3" t="s">
        <v>19</v>
      </c>
      <c r="H347" s="3" t="s">
        <v>1718</v>
      </c>
      <c r="I347" s="3" t="s">
        <v>19</v>
      </c>
      <c r="J347" s="3" t="s">
        <v>19</v>
      </c>
      <c r="K347" s="3" t="s">
        <v>21</v>
      </c>
      <c r="L347" s="3" t="s">
        <v>147</v>
      </c>
      <c r="M347" s="4">
        <v>579</v>
      </c>
      <c r="N347" s="3" t="s">
        <v>1498</v>
      </c>
      <c r="O347" s="3" t="s">
        <v>281</v>
      </c>
      <c r="P347" s="3" t="s">
        <v>1717</v>
      </c>
    </row>
    <row r="348" spans="1:16" hidden="1" x14ac:dyDescent="0.4">
      <c r="A348" s="7">
        <v>347</v>
      </c>
      <c r="B348" s="8" t="s">
        <v>1719</v>
      </c>
      <c r="C348" s="6" t="str">
        <f>IFERROR(IF(LEFT(D348,FIND(" ",D348)-1)="전라북도","전북특별자치도",LEFT(D348,FIND(" ",D348)-1)),"")</f>
        <v>경기도</v>
      </c>
      <c r="D348" s="3" t="s">
        <v>1720</v>
      </c>
      <c r="E348" s="3" t="s">
        <v>1721</v>
      </c>
      <c r="F348" s="3" t="s">
        <v>1698</v>
      </c>
      <c r="G348" s="3" t="s">
        <v>1722</v>
      </c>
      <c r="H348" s="3" t="s">
        <v>953</v>
      </c>
      <c r="I348" s="3" t="s">
        <v>19</v>
      </c>
      <c r="J348" s="3" t="s">
        <v>19</v>
      </c>
      <c r="K348" s="3" t="s">
        <v>21</v>
      </c>
      <c r="L348" s="3" t="s">
        <v>147</v>
      </c>
      <c r="M348" s="4">
        <v>1242</v>
      </c>
      <c r="N348" s="3" t="s">
        <v>1498</v>
      </c>
      <c r="O348" s="3" t="s">
        <v>281</v>
      </c>
      <c r="P348" s="3" t="s">
        <v>1645</v>
      </c>
    </row>
    <row r="349" spans="1:16" hidden="1" x14ac:dyDescent="0.4">
      <c r="A349" s="7">
        <v>348</v>
      </c>
      <c r="B349" s="8" t="s">
        <v>1723</v>
      </c>
      <c r="C349" s="6" t="str">
        <f>IFERROR(IF(LEFT(D349,FIND(" ",D349)-1)="전라북도","전북특별자치도",LEFT(D349,FIND(" ",D349)-1)),"")</f>
        <v>경상북도</v>
      </c>
      <c r="D349" s="3" t="s">
        <v>1724</v>
      </c>
      <c r="E349" s="3" t="s">
        <v>1725</v>
      </c>
      <c r="F349" s="3" t="s">
        <v>1726</v>
      </c>
      <c r="G349" s="3" t="s">
        <v>1728</v>
      </c>
      <c r="H349" s="3" t="s">
        <v>1729</v>
      </c>
      <c r="I349" s="3" t="s">
        <v>1729</v>
      </c>
      <c r="J349" s="3" t="s">
        <v>1728</v>
      </c>
      <c r="K349" s="3" t="s">
        <v>21</v>
      </c>
      <c r="L349" s="3" t="s">
        <v>228</v>
      </c>
      <c r="M349" s="4">
        <v>1640</v>
      </c>
      <c r="N349" s="3" t="s">
        <v>1498</v>
      </c>
      <c r="O349" s="3" t="s">
        <v>281</v>
      </c>
      <c r="P349" s="3" t="s">
        <v>1727</v>
      </c>
    </row>
    <row r="350" spans="1:16" hidden="1" x14ac:dyDescent="0.4">
      <c r="A350" s="7">
        <v>349</v>
      </c>
      <c r="B350" s="8" t="s">
        <v>1730</v>
      </c>
      <c r="C350" s="6" t="str">
        <f>IFERROR(IF(LEFT(D350,FIND(" ",D350)-1)="전라북도","전북특별자치도",LEFT(D350,FIND(" ",D350)-1)),"")</f>
        <v>충청남도</v>
      </c>
      <c r="D350" s="3" t="s">
        <v>1731</v>
      </c>
      <c r="E350" s="3" t="s">
        <v>1732</v>
      </c>
      <c r="F350" s="3" t="s">
        <v>1726</v>
      </c>
      <c r="G350" s="3" t="s">
        <v>1733</v>
      </c>
      <c r="H350" s="3" t="s">
        <v>1734</v>
      </c>
      <c r="I350" s="3" t="s">
        <v>1735</v>
      </c>
      <c r="J350" s="3" t="s">
        <v>19</v>
      </c>
      <c r="K350" s="3" t="s">
        <v>21</v>
      </c>
      <c r="L350" s="3" t="s">
        <v>147</v>
      </c>
      <c r="M350" s="4">
        <v>2013</v>
      </c>
      <c r="N350" s="3" t="s">
        <v>1498</v>
      </c>
      <c r="O350" s="3" t="s">
        <v>281</v>
      </c>
      <c r="P350" s="3" t="s">
        <v>1276</v>
      </c>
    </row>
    <row r="351" spans="1:16" hidden="1" x14ac:dyDescent="0.4">
      <c r="A351" s="7">
        <v>350</v>
      </c>
      <c r="B351" s="8" t="s">
        <v>1736</v>
      </c>
      <c r="C351" s="6" t="str">
        <f>IFERROR(IF(LEFT(D351,FIND(" ",D351)-1)="전라북도","전북특별자치도",LEFT(D351,FIND(" ",D351)-1)),"")</f>
        <v>부산광역시</v>
      </c>
      <c r="D351" s="3" t="s">
        <v>1737</v>
      </c>
      <c r="E351" s="3" t="s">
        <v>713</v>
      </c>
      <c r="F351" s="3" t="s">
        <v>1738</v>
      </c>
      <c r="G351" s="3" t="s">
        <v>19</v>
      </c>
      <c r="H351" s="3" t="s">
        <v>1739</v>
      </c>
      <c r="I351" s="3" t="s">
        <v>1739</v>
      </c>
      <c r="J351" s="3" t="s">
        <v>19</v>
      </c>
      <c r="K351" s="3" t="s">
        <v>21</v>
      </c>
      <c r="L351" s="3" t="s">
        <v>228</v>
      </c>
      <c r="M351" s="4">
        <v>2916</v>
      </c>
      <c r="N351" s="3" t="s">
        <v>1498</v>
      </c>
      <c r="O351" s="3" t="s">
        <v>281</v>
      </c>
      <c r="P351" s="3" t="s">
        <v>1305</v>
      </c>
    </row>
    <row r="352" spans="1:16" hidden="1" x14ac:dyDescent="0.4">
      <c r="A352" s="7">
        <v>351</v>
      </c>
      <c r="B352" s="8" t="s">
        <v>1740</v>
      </c>
      <c r="C352" s="6" t="str">
        <f>IFERROR(IF(LEFT(D352,FIND(" ",D352)-1)="전라북도","전북특별자치도",LEFT(D352,FIND(" ",D352)-1)),"")</f>
        <v>충청남도</v>
      </c>
      <c r="D352" s="3" t="s">
        <v>1741</v>
      </c>
      <c r="E352" s="3" t="s">
        <v>1742</v>
      </c>
      <c r="F352" s="3" t="s">
        <v>1743</v>
      </c>
      <c r="G352" s="3" t="s">
        <v>1744</v>
      </c>
      <c r="H352" s="3" t="s">
        <v>1745</v>
      </c>
      <c r="I352" s="3" t="s">
        <v>19</v>
      </c>
      <c r="J352" s="3" t="s">
        <v>19</v>
      </c>
      <c r="K352" s="3" t="s">
        <v>21</v>
      </c>
      <c r="L352" s="3" t="s">
        <v>22</v>
      </c>
      <c r="M352" s="4">
        <v>198</v>
      </c>
      <c r="N352" s="3" t="s">
        <v>84</v>
      </c>
      <c r="O352" s="3" t="s">
        <v>281</v>
      </c>
      <c r="P352" s="3" t="s">
        <v>1389</v>
      </c>
    </row>
    <row r="353" spans="1:16" x14ac:dyDescent="0.4">
      <c r="A353" s="7">
        <v>352</v>
      </c>
      <c r="B353" s="8" t="s">
        <v>1746</v>
      </c>
      <c r="C353" s="6" t="str">
        <f>IFERROR(IF(LEFT(D353,FIND(" ",D353)-1)="전라북도","전북특별자치도",LEFT(D353,FIND(" ",D353)-1)),"")</f>
        <v>인천광역시</v>
      </c>
      <c r="D353" s="3" t="s">
        <v>1747</v>
      </c>
      <c r="E353" s="3" t="s">
        <v>1748</v>
      </c>
      <c r="F353" s="3" t="s">
        <v>1749</v>
      </c>
      <c r="G353" s="3" t="s">
        <v>1750</v>
      </c>
      <c r="H353" s="3" t="s">
        <v>1751</v>
      </c>
      <c r="I353" s="3" t="s">
        <v>19</v>
      </c>
      <c r="J353" s="3" t="s">
        <v>19</v>
      </c>
      <c r="K353" s="3" t="s">
        <v>21</v>
      </c>
      <c r="L353" s="3" t="s">
        <v>22</v>
      </c>
      <c r="M353" s="4">
        <v>530</v>
      </c>
      <c r="N353" s="3" t="s">
        <v>1498</v>
      </c>
      <c r="O353" s="3" t="s">
        <v>24</v>
      </c>
      <c r="P353" s="3" t="s">
        <v>19</v>
      </c>
    </row>
    <row r="354" spans="1:16" hidden="1" x14ac:dyDescent="0.4">
      <c r="A354" s="7">
        <v>353</v>
      </c>
      <c r="B354" s="8" t="s">
        <v>1752</v>
      </c>
      <c r="C354" s="6" t="str">
        <f>IFERROR(IF(LEFT(D354,FIND(" ",D354)-1)="전라북도","전북특별자치도",LEFT(D354,FIND(" ",D354)-1)),"")</f>
        <v>충청남도</v>
      </c>
      <c r="D354" s="3" t="s">
        <v>1753</v>
      </c>
      <c r="E354" s="3" t="s">
        <v>1754</v>
      </c>
      <c r="F354" s="3" t="s">
        <v>1732</v>
      </c>
      <c r="G354" s="3" t="s">
        <v>19</v>
      </c>
      <c r="H354" s="3" t="s">
        <v>1090</v>
      </c>
      <c r="I354" s="3" t="s">
        <v>19</v>
      </c>
      <c r="J354" s="3" t="s">
        <v>19</v>
      </c>
      <c r="K354" s="3" t="s">
        <v>21</v>
      </c>
      <c r="L354" s="3" t="s">
        <v>147</v>
      </c>
      <c r="M354" s="4">
        <v>513</v>
      </c>
      <c r="N354" s="3" t="s">
        <v>84</v>
      </c>
      <c r="O354" s="3" t="s">
        <v>281</v>
      </c>
      <c r="P354" s="3" t="s">
        <v>1755</v>
      </c>
    </row>
    <row r="355" spans="1:16" hidden="1" x14ac:dyDescent="0.4">
      <c r="A355" s="7">
        <v>354</v>
      </c>
      <c r="B355" s="8" t="s">
        <v>1756</v>
      </c>
      <c r="C355" s="6" t="str">
        <f>IFERROR(IF(LEFT(D355,FIND(" ",D355)-1)="전라북도","전북특별자치도",LEFT(D355,FIND(" ",D355)-1)),"")</f>
        <v>전북특별자치도</v>
      </c>
      <c r="D355" s="3" t="s">
        <v>1757</v>
      </c>
      <c r="E355" s="3" t="s">
        <v>1626</v>
      </c>
      <c r="F355" s="3" t="s">
        <v>1732</v>
      </c>
      <c r="G355" s="3" t="s">
        <v>19</v>
      </c>
      <c r="H355" s="3" t="s">
        <v>1758</v>
      </c>
      <c r="I355" s="3" t="s">
        <v>19</v>
      </c>
      <c r="J355" s="3" t="s">
        <v>19</v>
      </c>
      <c r="K355" s="3" t="s">
        <v>21</v>
      </c>
      <c r="L355" s="3" t="s">
        <v>147</v>
      </c>
      <c r="M355" s="4">
        <v>956</v>
      </c>
      <c r="N355" s="3" t="s">
        <v>1498</v>
      </c>
      <c r="O355" s="3" t="s">
        <v>281</v>
      </c>
      <c r="P355" s="3" t="s">
        <v>1726</v>
      </c>
    </row>
    <row r="356" spans="1:16" x14ac:dyDescent="0.4">
      <c r="A356" s="7">
        <v>355</v>
      </c>
      <c r="B356" s="8" t="s">
        <v>1759</v>
      </c>
      <c r="C356" s="6" t="str">
        <f>IFERROR(IF(LEFT(D356,FIND(" ",D356)-1)="전라북도","전북특별자치도",LEFT(D356,FIND(" ",D356)-1)),"")</f>
        <v>경기도</v>
      </c>
      <c r="D356" s="3" t="s">
        <v>1760</v>
      </c>
      <c r="E356" s="3" t="s">
        <v>78</v>
      </c>
      <c r="F356" s="3" t="s">
        <v>1761</v>
      </c>
      <c r="G356" s="3" t="s">
        <v>1762</v>
      </c>
      <c r="H356" s="3" t="s">
        <v>1763</v>
      </c>
      <c r="I356" s="3" t="s">
        <v>1763</v>
      </c>
      <c r="J356" s="3" t="s">
        <v>19</v>
      </c>
      <c r="K356" s="3" t="s">
        <v>21</v>
      </c>
      <c r="L356" s="3" t="s">
        <v>22</v>
      </c>
      <c r="M356" s="4">
        <v>1510</v>
      </c>
      <c r="N356" s="3" t="s">
        <v>1498</v>
      </c>
      <c r="O356" s="3" t="s">
        <v>24</v>
      </c>
      <c r="P356" s="3" t="s">
        <v>19</v>
      </c>
    </row>
    <row r="357" spans="1:16" x14ac:dyDescent="0.4">
      <c r="A357" s="7">
        <v>356</v>
      </c>
      <c r="B357" s="8" t="s">
        <v>1759</v>
      </c>
      <c r="C357" s="6" t="str">
        <f>IFERROR(IF(LEFT(D357,FIND(" ",D357)-1)="전라북도","전북특별자치도",LEFT(D357,FIND(" ",D357)-1)),"")</f>
        <v>경기도</v>
      </c>
      <c r="D357" s="3" t="s">
        <v>1764</v>
      </c>
      <c r="E357" s="3" t="s">
        <v>1765</v>
      </c>
      <c r="F357" s="3" t="s">
        <v>1761</v>
      </c>
      <c r="G357" s="3" t="s">
        <v>1762</v>
      </c>
      <c r="H357" s="3" t="s">
        <v>1763</v>
      </c>
      <c r="I357" s="3" t="s">
        <v>1763</v>
      </c>
      <c r="J357" s="3" t="s">
        <v>19</v>
      </c>
      <c r="K357" s="3" t="s">
        <v>21</v>
      </c>
      <c r="L357" s="3" t="s">
        <v>22</v>
      </c>
      <c r="M357" s="4">
        <v>959</v>
      </c>
      <c r="N357" s="3" t="s">
        <v>1498</v>
      </c>
      <c r="O357" s="3" t="s">
        <v>24</v>
      </c>
      <c r="P357" s="3" t="s">
        <v>19</v>
      </c>
    </row>
    <row r="358" spans="1:16" x14ac:dyDescent="0.4">
      <c r="A358" s="7">
        <v>357</v>
      </c>
      <c r="B358" s="8" t="s">
        <v>1766</v>
      </c>
      <c r="C358" s="6" t="str">
        <f>IFERROR(IF(LEFT(D358,FIND(" ",D358)-1)="전라북도","전북특별자치도",LEFT(D358,FIND(" ",D358)-1)),"")</f>
        <v>강원특별자치도</v>
      </c>
      <c r="D358" s="3" t="s">
        <v>1767</v>
      </c>
      <c r="E358" s="3" t="s">
        <v>1768</v>
      </c>
      <c r="F358" s="3" t="s">
        <v>1626</v>
      </c>
      <c r="G358" s="3" t="s">
        <v>1769</v>
      </c>
      <c r="H358" s="3" t="s">
        <v>1770</v>
      </c>
      <c r="I358" s="3" t="s">
        <v>1771</v>
      </c>
      <c r="J358" s="3" t="s">
        <v>1772</v>
      </c>
      <c r="K358" s="3" t="s">
        <v>21</v>
      </c>
      <c r="L358" s="3" t="s">
        <v>22</v>
      </c>
      <c r="M358" s="4">
        <v>46567</v>
      </c>
      <c r="N358" s="3" t="s">
        <v>1498</v>
      </c>
      <c r="O358" s="3" t="s">
        <v>24</v>
      </c>
      <c r="P358" s="3" t="s">
        <v>19</v>
      </c>
    </row>
    <row r="359" spans="1:16" hidden="1" x14ac:dyDescent="0.4">
      <c r="A359" s="7">
        <v>358</v>
      </c>
      <c r="B359" s="8" t="s">
        <v>1773</v>
      </c>
      <c r="C359" s="6" t="str">
        <f>IFERROR(IF(LEFT(D359,FIND(" ",D359)-1)="전라북도","전북특별자치도",LEFT(D359,FIND(" ",D359)-1)),"")</f>
        <v>강원특별자치도</v>
      </c>
      <c r="D359" s="3" t="s">
        <v>1774</v>
      </c>
      <c r="E359" s="3" t="s">
        <v>1775</v>
      </c>
      <c r="F359" s="3" t="s">
        <v>1776</v>
      </c>
      <c r="G359" s="3" t="s">
        <v>19</v>
      </c>
      <c r="H359" s="3" t="s">
        <v>1778</v>
      </c>
      <c r="I359" s="3" t="s">
        <v>19</v>
      </c>
      <c r="J359" s="3" t="s">
        <v>19</v>
      </c>
      <c r="K359" s="3" t="s">
        <v>21</v>
      </c>
      <c r="L359" s="3" t="s">
        <v>147</v>
      </c>
      <c r="M359" s="4">
        <v>94</v>
      </c>
      <c r="N359" s="3" t="s">
        <v>211</v>
      </c>
      <c r="O359" s="3" t="s">
        <v>281</v>
      </c>
      <c r="P359" s="3" t="s">
        <v>1777</v>
      </c>
    </row>
    <row r="360" spans="1:16" x14ac:dyDescent="0.4">
      <c r="A360" s="7">
        <v>359</v>
      </c>
      <c r="B360" s="8" t="s">
        <v>1779</v>
      </c>
      <c r="C360" s="6" t="str">
        <f>IFERROR(IF(LEFT(D360,FIND(" ",D360)-1)="전라북도","전북특별자치도",LEFT(D360,FIND(" ",D360)-1)),"")</f>
        <v>경기도</v>
      </c>
      <c r="D360" s="3" t="s">
        <v>1780</v>
      </c>
      <c r="E360" s="3" t="s">
        <v>1781</v>
      </c>
      <c r="F360" s="3" t="s">
        <v>1782</v>
      </c>
      <c r="G360" s="3" t="s">
        <v>19</v>
      </c>
      <c r="H360" s="3" t="s">
        <v>302</v>
      </c>
      <c r="I360" s="3" t="s">
        <v>19</v>
      </c>
      <c r="J360" s="3" t="s">
        <v>19</v>
      </c>
      <c r="K360" s="3" t="s">
        <v>21</v>
      </c>
      <c r="L360" s="3" t="s">
        <v>22</v>
      </c>
      <c r="M360" s="4">
        <v>88</v>
      </c>
      <c r="N360" s="3" t="s">
        <v>1498</v>
      </c>
      <c r="O360" s="3" t="s">
        <v>24</v>
      </c>
      <c r="P360" s="3" t="s">
        <v>19</v>
      </c>
    </row>
    <row r="361" spans="1:16" x14ac:dyDescent="0.4">
      <c r="A361" s="7">
        <v>360</v>
      </c>
      <c r="B361" s="8" t="s">
        <v>3936</v>
      </c>
      <c r="C361" s="6" t="str">
        <f>IFERROR(IF(LEFT(D361,FIND(" ",D361)-1)="전라북도","전북특별자치도",LEFT(D361,FIND(" ",D361)-1)),"")</f>
        <v>경기도</v>
      </c>
      <c r="D361" s="3" t="s">
        <v>1780</v>
      </c>
      <c r="E361" s="3" t="s">
        <v>1781</v>
      </c>
      <c r="F361" s="3" t="s">
        <v>1782</v>
      </c>
      <c r="G361" s="3" t="s">
        <v>19</v>
      </c>
      <c r="H361" s="3" t="s">
        <v>302</v>
      </c>
      <c r="I361" s="3" t="s">
        <v>19</v>
      </c>
      <c r="J361" s="3" t="s">
        <v>19</v>
      </c>
      <c r="K361" s="3" t="s">
        <v>21</v>
      </c>
      <c r="L361" s="3" t="s">
        <v>22</v>
      </c>
      <c r="M361" s="4">
        <v>308</v>
      </c>
      <c r="N361" s="3" t="s">
        <v>1498</v>
      </c>
      <c r="O361" s="3" t="s">
        <v>24</v>
      </c>
      <c r="P361" s="3" t="s">
        <v>19</v>
      </c>
    </row>
    <row r="362" spans="1:16" x14ac:dyDescent="0.4">
      <c r="A362" s="7">
        <v>361</v>
      </c>
      <c r="B362" s="8" t="s">
        <v>1783</v>
      </c>
      <c r="C362" s="6" t="str">
        <f>IFERROR(IF(LEFT(D362,FIND(" ",D362)-1)="전라북도","전북특별자치도",LEFT(D362,FIND(" ",D362)-1)),"")</f>
        <v>경기도</v>
      </c>
      <c r="D362" s="3" t="s">
        <v>1780</v>
      </c>
      <c r="E362" s="3" t="s">
        <v>1781</v>
      </c>
      <c r="F362" s="3" t="s">
        <v>1782</v>
      </c>
      <c r="G362" s="3" t="s">
        <v>19</v>
      </c>
      <c r="H362" s="3" t="s">
        <v>302</v>
      </c>
      <c r="I362" s="3" t="s">
        <v>19</v>
      </c>
      <c r="J362" s="3" t="s">
        <v>19</v>
      </c>
      <c r="K362" s="3" t="s">
        <v>21</v>
      </c>
      <c r="L362" s="3" t="s">
        <v>22</v>
      </c>
      <c r="M362" s="4">
        <v>88</v>
      </c>
      <c r="N362" s="3" t="s">
        <v>1498</v>
      </c>
      <c r="O362" s="3" t="s">
        <v>24</v>
      </c>
      <c r="P362" s="3" t="s">
        <v>19</v>
      </c>
    </row>
    <row r="363" spans="1:16" x14ac:dyDescent="0.4">
      <c r="A363" s="7">
        <v>362</v>
      </c>
      <c r="B363" s="8" t="s">
        <v>1784</v>
      </c>
      <c r="C363" s="6" t="str">
        <f>IFERROR(IF(LEFT(D363,FIND(" ",D363)-1)="전라북도","전북특별자치도",LEFT(D363,FIND(" ",D363)-1)),"")</f>
        <v>경기도</v>
      </c>
      <c r="D363" s="3" t="s">
        <v>1785</v>
      </c>
      <c r="E363" s="3" t="s">
        <v>1781</v>
      </c>
      <c r="F363" s="3" t="s">
        <v>1782</v>
      </c>
      <c r="G363" s="3" t="s">
        <v>19</v>
      </c>
      <c r="H363" s="3" t="s">
        <v>302</v>
      </c>
      <c r="I363" s="3" t="s">
        <v>19</v>
      </c>
      <c r="J363" s="3" t="s">
        <v>19</v>
      </c>
      <c r="K363" s="3" t="s">
        <v>21</v>
      </c>
      <c r="L363" s="3" t="s">
        <v>22</v>
      </c>
      <c r="M363" s="4">
        <v>176</v>
      </c>
      <c r="N363" s="3" t="s">
        <v>1498</v>
      </c>
      <c r="O363" s="3" t="s">
        <v>24</v>
      </c>
      <c r="P363" s="3" t="s">
        <v>19</v>
      </c>
    </row>
    <row r="364" spans="1:16" x14ac:dyDescent="0.4">
      <c r="A364" s="7">
        <v>363</v>
      </c>
      <c r="B364" s="8" t="s">
        <v>1786</v>
      </c>
      <c r="C364" s="6" t="str">
        <f>IFERROR(IF(LEFT(D364,FIND(" ",D364)-1)="전라북도","전북특별자치도",LEFT(D364,FIND(" ",D364)-1)),"")</f>
        <v>경기도</v>
      </c>
      <c r="D364" s="3" t="s">
        <v>1785</v>
      </c>
      <c r="E364" s="3" t="s">
        <v>1781</v>
      </c>
      <c r="F364" s="3" t="s">
        <v>1782</v>
      </c>
      <c r="G364" s="3" t="s">
        <v>19</v>
      </c>
      <c r="H364" s="3" t="s">
        <v>302</v>
      </c>
      <c r="I364" s="3" t="s">
        <v>19</v>
      </c>
      <c r="J364" s="3" t="s">
        <v>19</v>
      </c>
      <c r="K364" s="3" t="s">
        <v>21</v>
      </c>
      <c r="L364" s="3" t="s">
        <v>22</v>
      </c>
      <c r="M364" s="4">
        <v>88</v>
      </c>
      <c r="N364" s="3" t="s">
        <v>1498</v>
      </c>
      <c r="O364" s="3" t="s">
        <v>24</v>
      </c>
      <c r="P364" s="3" t="s">
        <v>19</v>
      </c>
    </row>
    <row r="365" spans="1:16" x14ac:dyDescent="0.4">
      <c r="A365" s="7">
        <v>364</v>
      </c>
      <c r="B365" s="8" t="s">
        <v>1787</v>
      </c>
      <c r="C365" s="6" t="str">
        <f>IFERROR(IF(LEFT(D365,FIND(" ",D365)-1)="전라북도","전북특별자치도",LEFT(D365,FIND(" ",D365)-1)),"")</f>
        <v>경기도</v>
      </c>
      <c r="D365" s="3" t="s">
        <v>1785</v>
      </c>
      <c r="E365" s="3" t="s">
        <v>1781</v>
      </c>
      <c r="F365" s="3" t="s">
        <v>1782</v>
      </c>
      <c r="G365" s="3" t="s">
        <v>19</v>
      </c>
      <c r="H365" s="3" t="s">
        <v>302</v>
      </c>
      <c r="I365" s="3" t="s">
        <v>19</v>
      </c>
      <c r="J365" s="3" t="s">
        <v>19</v>
      </c>
      <c r="K365" s="3" t="s">
        <v>21</v>
      </c>
      <c r="L365" s="3" t="s">
        <v>22</v>
      </c>
      <c r="M365" s="4">
        <v>88</v>
      </c>
      <c r="N365" s="3" t="s">
        <v>1498</v>
      </c>
      <c r="O365" s="3" t="s">
        <v>24</v>
      </c>
      <c r="P365" s="3" t="s">
        <v>19</v>
      </c>
    </row>
    <row r="366" spans="1:16" x14ac:dyDescent="0.4">
      <c r="A366" s="7">
        <v>365</v>
      </c>
      <c r="B366" s="8" t="s">
        <v>1788</v>
      </c>
      <c r="C366" s="6" t="str">
        <f>IFERROR(IF(LEFT(D366,FIND(" ",D366)-1)="전라북도","전북특별자치도",LEFT(D366,FIND(" ",D366)-1)),"")</f>
        <v>경기도</v>
      </c>
      <c r="D366" s="3" t="s">
        <v>1785</v>
      </c>
      <c r="E366" s="3" t="s">
        <v>1781</v>
      </c>
      <c r="F366" s="3" t="s">
        <v>1782</v>
      </c>
      <c r="G366" s="3" t="s">
        <v>19</v>
      </c>
      <c r="H366" s="3" t="s">
        <v>302</v>
      </c>
      <c r="I366" s="3" t="s">
        <v>19</v>
      </c>
      <c r="J366" s="3" t="s">
        <v>19</v>
      </c>
      <c r="K366" s="3" t="s">
        <v>21</v>
      </c>
      <c r="L366" s="3" t="s">
        <v>22</v>
      </c>
      <c r="M366" s="4">
        <v>88</v>
      </c>
      <c r="N366" s="3" t="s">
        <v>1498</v>
      </c>
      <c r="O366" s="3" t="s">
        <v>24</v>
      </c>
      <c r="P366" s="3" t="s">
        <v>19</v>
      </c>
    </row>
    <row r="367" spans="1:16" x14ac:dyDescent="0.4">
      <c r="A367" s="7">
        <v>366</v>
      </c>
      <c r="B367" s="8" t="s">
        <v>1789</v>
      </c>
      <c r="C367" s="6" t="str">
        <f>IFERROR(IF(LEFT(D367,FIND(" ",D367)-1)="전라북도","전북특별자치도",LEFT(D367,FIND(" ",D367)-1)),"")</f>
        <v>경기도</v>
      </c>
      <c r="D367" s="3" t="s">
        <v>1780</v>
      </c>
      <c r="E367" s="3" t="s">
        <v>1781</v>
      </c>
      <c r="F367" s="3" t="s">
        <v>1782</v>
      </c>
      <c r="G367" s="3" t="s">
        <v>19</v>
      </c>
      <c r="H367" s="3" t="s">
        <v>302</v>
      </c>
      <c r="I367" s="3" t="s">
        <v>19</v>
      </c>
      <c r="J367" s="3" t="s">
        <v>19</v>
      </c>
      <c r="K367" s="3" t="s">
        <v>21</v>
      </c>
      <c r="L367" s="3" t="s">
        <v>22</v>
      </c>
      <c r="M367" s="4">
        <v>88</v>
      </c>
      <c r="N367" s="3" t="s">
        <v>1498</v>
      </c>
      <c r="O367" s="3" t="s">
        <v>24</v>
      </c>
      <c r="P367" s="3" t="s">
        <v>19</v>
      </c>
    </row>
    <row r="368" spans="1:16" x14ac:dyDescent="0.4">
      <c r="A368" s="7">
        <v>367</v>
      </c>
      <c r="B368" s="8" t="s">
        <v>1790</v>
      </c>
      <c r="C368" s="6" t="str">
        <f>IFERROR(IF(LEFT(D368,FIND(" ",D368)-1)="전라북도","전북특별자치도",LEFT(D368,FIND(" ",D368)-1)),"")</f>
        <v>경기도</v>
      </c>
      <c r="D368" s="3" t="s">
        <v>1780</v>
      </c>
      <c r="E368" s="3" t="s">
        <v>1781</v>
      </c>
      <c r="F368" s="3" t="s">
        <v>1782</v>
      </c>
      <c r="G368" s="3" t="s">
        <v>19</v>
      </c>
      <c r="H368" s="3" t="s">
        <v>302</v>
      </c>
      <c r="I368" s="3" t="s">
        <v>19</v>
      </c>
      <c r="J368" s="3" t="s">
        <v>19</v>
      </c>
      <c r="K368" s="3" t="s">
        <v>21</v>
      </c>
      <c r="L368" s="3" t="s">
        <v>22</v>
      </c>
      <c r="M368" s="4">
        <v>88</v>
      </c>
      <c r="N368" s="3" t="s">
        <v>1498</v>
      </c>
      <c r="O368" s="3" t="s">
        <v>24</v>
      </c>
      <c r="P368" s="3" t="s">
        <v>19</v>
      </c>
    </row>
    <row r="369" spans="1:16" x14ac:dyDescent="0.4">
      <c r="A369" s="7">
        <v>368</v>
      </c>
      <c r="B369" s="8" t="s">
        <v>1791</v>
      </c>
      <c r="C369" s="6" t="str">
        <f>IFERROR(IF(LEFT(D369,FIND(" ",D369)-1)="전라북도","전북특별자치도",LEFT(D369,FIND(" ",D369)-1)),"")</f>
        <v>경기도</v>
      </c>
      <c r="D369" s="3" t="s">
        <v>1785</v>
      </c>
      <c r="E369" s="3" t="s">
        <v>1781</v>
      </c>
      <c r="F369" s="3" t="s">
        <v>1782</v>
      </c>
      <c r="G369" s="3" t="s">
        <v>19</v>
      </c>
      <c r="H369" s="3" t="s">
        <v>302</v>
      </c>
      <c r="I369" s="3" t="s">
        <v>19</v>
      </c>
      <c r="J369" s="3" t="s">
        <v>19</v>
      </c>
      <c r="K369" s="3" t="s">
        <v>21</v>
      </c>
      <c r="L369" s="3" t="s">
        <v>22</v>
      </c>
      <c r="M369" s="4">
        <v>88</v>
      </c>
      <c r="N369" s="3" t="s">
        <v>1498</v>
      </c>
      <c r="O369" s="3" t="s">
        <v>24</v>
      </c>
      <c r="P369" s="3" t="s">
        <v>19</v>
      </c>
    </row>
    <row r="370" spans="1:16" x14ac:dyDescent="0.4">
      <c r="A370" s="7">
        <v>369</v>
      </c>
      <c r="B370" s="8" t="s">
        <v>1792</v>
      </c>
      <c r="C370" s="6" t="str">
        <f>IFERROR(IF(LEFT(D370,FIND(" ",D370)-1)="전라북도","전북특별자치도",LEFT(D370,FIND(" ",D370)-1)),"")</f>
        <v>경기도</v>
      </c>
      <c r="D370" s="3" t="s">
        <v>1785</v>
      </c>
      <c r="E370" s="3" t="s">
        <v>1781</v>
      </c>
      <c r="F370" s="3" t="s">
        <v>1782</v>
      </c>
      <c r="G370" s="3" t="s">
        <v>19</v>
      </c>
      <c r="H370" s="3" t="s">
        <v>302</v>
      </c>
      <c r="I370" s="3" t="s">
        <v>19</v>
      </c>
      <c r="J370" s="3" t="s">
        <v>19</v>
      </c>
      <c r="K370" s="3" t="s">
        <v>21</v>
      </c>
      <c r="L370" s="3" t="s">
        <v>22</v>
      </c>
      <c r="M370" s="4">
        <v>88</v>
      </c>
      <c r="N370" s="3" t="s">
        <v>1498</v>
      </c>
      <c r="O370" s="3" t="s">
        <v>24</v>
      </c>
      <c r="P370" s="3" t="s">
        <v>19</v>
      </c>
    </row>
    <row r="371" spans="1:16" x14ac:dyDescent="0.4">
      <c r="A371" s="7">
        <v>370</v>
      </c>
      <c r="B371" s="8" t="s">
        <v>1793</v>
      </c>
      <c r="C371" s="6" t="str">
        <f>IFERROR(IF(LEFT(D371,FIND(" ",D371)-1)="전라북도","전북특별자치도",LEFT(D371,FIND(" ",D371)-1)),"")</f>
        <v>경기도</v>
      </c>
      <c r="D371" s="3" t="s">
        <v>1785</v>
      </c>
      <c r="E371" s="3" t="s">
        <v>1781</v>
      </c>
      <c r="F371" s="3" t="s">
        <v>1782</v>
      </c>
      <c r="G371" s="3" t="s">
        <v>19</v>
      </c>
      <c r="H371" s="3" t="s">
        <v>302</v>
      </c>
      <c r="I371" s="3" t="s">
        <v>19</v>
      </c>
      <c r="J371" s="3" t="s">
        <v>19</v>
      </c>
      <c r="K371" s="3" t="s">
        <v>21</v>
      </c>
      <c r="L371" s="3" t="s">
        <v>22</v>
      </c>
      <c r="M371" s="4">
        <v>176</v>
      </c>
      <c r="N371" s="3" t="s">
        <v>1498</v>
      </c>
      <c r="O371" s="3" t="s">
        <v>24</v>
      </c>
      <c r="P371" s="3" t="s">
        <v>19</v>
      </c>
    </row>
    <row r="372" spans="1:16" x14ac:dyDescent="0.4">
      <c r="A372" s="7">
        <v>371</v>
      </c>
      <c r="B372" s="8" t="s">
        <v>1794</v>
      </c>
      <c r="C372" s="6" t="str">
        <f>IFERROR(IF(LEFT(D372,FIND(" ",D372)-1)="전라북도","전북특별자치도",LEFT(D372,FIND(" ",D372)-1)),"")</f>
        <v>경기도</v>
      </c>
      <c r="D372" s="3" t="s">
        <v>1780</v>
      </c>
      <c r="E372" s="3" t="s">
        <v>1781</v>
      </c>
      <c r="F372" s="3" t="s">
        <v>1782</v>
      </c>
      <c r="G372" s="3" t="s">
        <v>19</v>
      </c>
      <c r="H372" s="3" t="s">
        <v>302</v>
      </c>
      <c r="I372" s="3" t="s">
        <v>19</v>
      </c>
      <c r="J372" s="3" t="s">
        <v>19</v>
      </c>
      <c r="K372" s="3" t="s">
        <v>21</v>
      </c>
      <c r="L372" s="3" t="s">
        <v>22</v>
      </c>
      <c r="M372" s="4">
        <v>353</v>
      </c>
      <c r="N372" s="3" t="s">
        <v>1498</v>
      </c>
      <c r="O372" s="3" t="s">
        <v>24</v>
      </c>
      <c r="P372" s="3" t="s">
        <v>19</v>
      </c>
    </row>
    <row r="373" spans="1:16" x14ac:dyDescent="0.4">
      <c r="A373" s="7">
        <v>372</v>
      </c>
      <c r="B373" s="8" t="s">
        <v>1795</v>
      </c>
      <c r="C373" s="6" t="str">
        <f>IFERROR(IF(LEFT(D373,FIND(" ",D373)-1)="전라북도","전북특별자치도",LEFT(D373,FIND(" ",D373)-1)),"")</f>
        <v>경기도</v>
      </c>
      <c r="D373" s="3" t="s">
        <v>1780</v>
      </c>
      <c r="E373" s="3" t="s">
        <v>1781</v>
      </c>
      <c r="F373" s="3" t="s">
        <v>1782</v>
      </c>
      <c r="G373" s="3" t="s">
        <v>19</v>
      </c>
      <c r="H373" s="3" t="s">
        <v>302</v>
      </c>
      <c r="I373" s="3" t="s">
        <v>19</v>
      </c>
      <c r="J373" s="3" t="s">
        <v>19</v>
      </c>
      <c r="K373" s="3" t="s">
        <v>21</v>
      </c>
      <c r="L373" s="3" t="s">
        <v>22</v>
      </c>
      <c r="M373" s="4">
        <v>308</v>
      </c>
      <c r="N373" s="3" t="s">
        <v>1498</v>
      </c>
      <c r="O373" s="3" t="s">
        <v>24</v>
      </c>
      <c r="P373" s="3" t="s">
        <v>19</v>
      </c>
    </row>
    <row r="374" spans="1:16" x14ac:dyDescent="0.4">
      <c r="A374" s="7">
        <v>373</v>
      </c>
      <c r="B374" s="8" t="s">
        <v>1796</v>
      </c>
      <c r="C374" s="6" t="str">
        <f>IFERROR(IF(LEFT(D374,FIND(" ",D374)-1)="전라북도","전북특별자치도",LEFT(D374,FIND(" ",D374)-1)),"")</f>
        <v>경기도</v>
      </c>
      <c r="D374" s="3" t="s">
        <v>1797</v>
      </c>
      <c r="E374" s="3" t="s">
        <v>1798</v>
      </c>
      <c r="F374" s="3" t="s">
        <v>1799</v>
      </c>
      <c r="G374" s="3" t="s">
        <v>1800</v>
      </c>
      <c r="H374" s="3" t="s">
        <v>1801</v>
      </c>
      <c r="I374" s="3" t="s">
        <v>19</v>
      </c>
      <c r="J374" s="3" t="s">
        <v>19</v>
      </c>
      <c r="K374" s="3" t="s">
        <v>21</v>
      </c>
      <c r="L374" s="3" t="s">
        <v>22</v>
      </c>
      <c r="M374" s="4">
        <v>618</v>
      </c>
      <c r="N374" s="3" t="s">
        <v>1498</v>
      </c>
      <c r="O374" s="3" t="s">
        <v>24</v>
      </c>
      <c r="P374" s="3" t="s">
        <v>19</v>
      </c>
    </row>
    <row r="375" spans="1:16" x14ac:dyDescent="0.4">
      <c r="A375" s="7">
        <v>374</v>
      </c>
      <c r="B375" s="8" t="s">
        <v>1802</v>
      </c>
      <c r="C375" s="6" t="str">
        <f>IFERROR(IF(LEFT(D375,FIND(" ",D375)-1)="전라북도","전북특별자치도",LEFT(D375,FIND(" ",D375)-1)),"")</f>
        <v>경기도</v>
      </c>
      <c r="D375" s="3" t="s">
        <v>1803</v>
      </c>
      <c r="E375" s="3" t="s">
        <v>254</v>
      </c>
      <c r="F375" s="3" t="s">
        <v>1775</v>
      </c>
      <c r="G375" s="3" t="s">
        <v>1612</v>
      </c>
      <c r="H375" s="3" t="s">
        <v>302</v>
      </c>
      <c r="I375" s="3" t="s">
        <v>19</v>
      </c>
      <c r="J375" s="3" t="s">
        <v>19</v>
      </c>
      <c r="K375" s="3" t="s">
        <v>21</v>
      </c>
      <c r="L375" s="3" t="s">
        <v>22</v>
      </c>
      <c r="M375" s="4">
        <v>4235</v>
      </c>
      <c r="N375" s="3" t="s">
        <v>1498</v>
      </c>
      <c r="O375" s="3" t="s">
        <v>24</v>
      </c>
      <c r="P375" s="3" t="s">
        <v>19</v>
      </c>
    </row>
    <row r="376" spans="1:16" x14ac:dyDescent="0.4">
      <c r="A376" s="7">
        <v>375</v>
      </c>
      <c r="B376" s="8" t="s">
        <v>1804</v>
      </c>
      <c r="C376" s="6" t="str">
        <f>IFERROR(IF(LEFT(D376,FIND(" ",D376)-1)="전라북도","전북특별자치도",LEFT(D376,FIND(" ",D376)-1)),"")</f>
        <v>충청남도</v>
      </c>
      <c r="D376" s="3" t="s">
        <v>1805</v>
      </c>
      <c r="E376" s="3" t="s">
        <v>1806</v>
      </c>
      <c r="F376" s="3" t="s">
        <v>1807</v>
      </c>
      <c r="G376" s="3" t="s">
        <v>1808</v>
      </c>
      <c r="H376" s="3" t="s">
        <v>1809</v>
      </c>
      <c r="I376" s="3" t="s">
        <v>1810</v>
      </c>
      <c r="J376" s="3" t="s">
        <v>19</v>
      </c>
      <c r="K376" s="3" t="s">
        <v>21</v>
      </c>
      <c r="L376" s="3" t="s">
        <v>22</v>
      </c>
      <c r="M376" s="4">
        <v>612</v>
      </c>
      <c r="N376" s="3" t="s">
        <v>1498</v>
      </c>
      <c r="O376" s="3" t="s">
        <v>24</v>
      </c>
      <c r="P376" s="3" t="s">
        <v>19</v>
      </c>
    </row>
    <row r="377" spans="1:16" x14ac:dyDescent="0.4">
      <c r="A377" s="7">
        <v>376</v>
      </c>
      <c r="B377" s="8" t="s">
        <v>1811</v>
      </c>
      <c r="C377" s="6" t="str">
        <f>IFERROR(IF(LEFT(D377,FIND(" ",D377)-1)="전라북도","전북특별자치도",LEFT(D377,FIND(" ",D377)-1)),"")</f>
        <v>충청남도</v>
      </c>
      <c r="D377" s="3" t="s">
        <v>1805</v>
      </c>
      <c r="E377" s="3" t="s">
        <v>1806</v>
      </c>
      <c r="F377" s="3" t="s">
        <v>1807</v>
      </c>
      <c r="G377" s="3" t="s">
        <v>1808</v>
      </c>
      <c r="H377" s="3" t="s">
        <v>1809</v>
      </c>
      <c r="I377" s="3" t="s">
        <v>1812</v>
      </c>
      <c r="J377" s="3" t="s">
        <v>19</v>
      </c>
      <c r="K377" s="3" t="s">
        <v>21</v>
      </c>
      <c r="L377" s="3" t="s">
        <v>22</v>
      </c>
      <c r="M377" s="4">
        <v>612</v>
      </c>
      <c r="N377" s="3" t="s">
        <v>1498</v>
      </c>
      <c r="O377" s="3" t="s">
        <v>24</v>
      </c>
      <c r="P377" s="3" t="s">
        <v>19</v>
      </c>
    </row>
    <row r="378" spans="1:16" x14ac:dyDescent="0.4">
      <c r="A378" s="7">
        <v>377</v>
      </c>
      <c r="B378" s="8" t="s">
        <v>1813</v>
      </c>
      <c r="C378" s="6" t="str">
        <f>IFERROR(IF(LEFT(D378,FIND(" ",D378)-1)="전라북도","전북특별자치도",LEFT(D378,FIND(" ",D378)-1)),"")</f>
        <v>강원특별자치도</v>
      </c>
      <c r="D378" s="3" t="s">
        <v>1814</v>
      </c>
      <c r="E378" s="3" t="s">
        <v>1815</v>
      </c>
      <c r="F378" s="3" t="s">
        <v>1816</v>
      </c>
      <c r="G378" s="3" t="s">
        <v>19</v>
      </c>
      <c r="H378" s="3" t="s">
        <v>1817</v>
      </c>
      <c r="I378" s="3" t="s">
        <v>19</v>
      </c>
      <c r="J378" s="3" t="s">
        <v>19</v>
      </c>
      <c r="K378" s="3" t="s">
        <v>21</v>
      </c>
      <c r="L378" s="3" t="s">
        <v>22</v>
      </c>
      <c r="M378" s="4">
        <v>813</v>
      </c>
      <c r="N378" s="3" t="s">
        <v>1498</v>
      </c>
      <c r="O378" s="3" t="s">
        <v>24</v>
      </c>
      <c r="P378" s="3" t="s">
        <v>19</v>
      </c>
    </row>
    <row r="379" spans="1:16" x14ac:dyDescent="0.4">
      <c r="A379" s="7">
        <v>378</v>
      </c>
      <c r="B379" s="8" t="s">
        <v>1818</v>
      </c>
      <c r="C379" s="6" t="str">
        <f>IFERROR(IF(LEFT(D379,FIND(" ",D379)-1)="전라북도","전북특별자치도",LEFT(D379,FIND(" ",D379)-1)),"")</f>
        <v>경기도</v>
      </c>
      <c r="D379" s="3" t="s">
        <v>1819</v>
      </c>
      <c r="E379" s="3" t="s">
        <v>1820</v>
      </c>
      <c r="F379" s="3" t="s">
        <v>1683</v>
      </c>
      <c r="G379" s="3" t="s">
        <v>1821</v>
      </c>
      <c r="H379" s="3" t="s">
        <v>1822</v>
      </c>
      <c r="I379" s="3" t="s">
        <v>1822</v>
      </c>
      <c r="J379" s="3" t="s">
        <v>19</v>
      </c>
      <c r="K379" s="3" t="s">
        <v>21</v>
      </c>
      <c r="L379" s="3" t="s">
        <v>22</v>
      </c>
      <c r="M379" s="4">
        <v>634</v>
      </c>
      <c r="N379" s="3" t="s">
        <v>1498</v>
      </c>
      <c r="O379" s="3" t="s">
        <v>24</v>
      </c>
      <c r="P379" s="3" t="s">
        <v>19</v>
      </c>
    </row>
    <row r="380" spans="1:16" hidden="1" x14ac:dyDescent="0.4">
      <c r="A380" s="7">
        <v>379</v>
      </c>
      <c r="B380" s="8" t="s">
        <v>1823</v>
      </c>
      <c r="C380" s="6" t="str">
        <f>IFERROR(IF(LEFT(D380,FIND(" ",D380)-1)="전라북도","전북특별자치도",LEFT(D380,FIND(" ",D380)-1)),"")</f>
        <v>제주특별자치도</v>
      </c>
      <c r="D380" s="3" t="s">
        <v>1824</v>
      </c>
      <c r="E380" s="3" t="s">
        <v>1825</v>
      </c>
      <c r="F380" s="3" t="s">
        <v>1710</v>
      </c>
      <c r="G380" s="3" t="s">
        <v>19</v>
      </c>
      <c r="H380" s="3" t="s">
        <v>1826</v>
      </c>
      <c r="I380" s="3" t="s">
        <v>1826</v>
      </c>
      <c r="J380" s="3" t="s">
        <v>19</v>
      </c>
      <c r="K380" s="3" t="s">
        <v>21</v>
      </c>
      <c r="L380" s="3" t="s">
        <v>147</v>
      </c>
      <c r="M380" s="4">
        <v>745</v>
      </c>
      <c r="N380" s="3" t="s">
        <v>1498</v>
      </c>
      <c r="O380" s="3" t="s">
        <v>281</v>
      </c>
      <c r="P380" s="3" t="s">
        <v>1754</v>
      </c>
    </row>
    <row r="381" spans="1:16" hidden="1" x14ac:dyDescent="0.4">
      <c r="A381" s="7">
        <v>380</v>
      </c>
      <c r="B381" s="8" t="s">
        <v>1827</v>
      </c>
      <c r="C381" s="6" t="str">
        <f>IFERROR(IF(LEFT(D381,FIND(" ",D381)-1)="전라북도","전북특별자치도",LEFT(D381,FIND(" ",D381)-1)),"")</f>
        <v>강원특별자치도</v>
      </c>
      <c r="D381" s="3" t="s">
        <v>1828</v>
      </c>
      <c r="E381" s="3" t="s">
        <v>365</v>
      </c>
      <c r="F381" s="3" t="s">
        <v>1829</v>
      </c>
      <c r="G381" s="3" t="s">
        <v>1830</v>
      </c>
      <c r="H381" s="3" t="s">
        <v>1831</v>
      </c>
      <c r="I381" s="3" t="s">
        <v>1831</v>
      </c>
      <c r="J381" s="3" t="s">
        <v>1832</v>
      </c>
      <c r="K381" s="3" t="s">
        <v>21</v>
      </c>
      <c r="L381" s="3" t="s">
        <v>22</v>
      </c>
      <c r="M381" s="4">
        <v>475</v>
      </c>
      <c r="N381" s="3" t="s">
        <v>1498</v>
      </c>
      <c r="O381" s="3" t="s">
        <v>281</v>
      </c>
      <c r="P381" s="3" t="s">
        <v>1408</v>
      </c>
    </row>
    <row r="382" spans="1:16" x14ac:dyDescent="0.4">
      <c r="A382" s="7">
        <v>381</v>
      </c>
      <c r="B382" s="8" t="s">
        <v>1833</v>
      </c>
      <c r="C382" s="6" t="str">
        <f>IFERROR(IF(LEFT(D382,FIND(" ",D382)-1)="전라북도","전북특별자치도",LEFT(D382,FIND(" ",D382)-1)),"")</f>
        <v>인천광역시</v>
      </c>
      <c r="D382" s="3" t="s">
        <v>1834</v>
      </c>
      <c r="E382" s="3" t="s">
        <v>832</v>
      </c>
      <c r="F382" s="3" t="s">
        <v>1829</v>
      </c>
      <c r="G382" s="3" t="s">
        <v>1835</v>
      </c>
      <c r="H382" s="3" t="s">
        <v>1836</v>
      </c>
      <c r="I382" s="3" t="s">
        <v>1837</v>
      </c>
      <c r="J382" s="3" t="s">
        <v>1838</v>
      </c>
      <c r="K382" s="3" t="s">
        <v>21</v>
      </c>
      <c r="L382" s="3" t="s">
        <v>22</v>
      </c>
      <c r="M382" s="4">
        <v>126473</v>
      </c>
      <c r="N382" s="3" t="s">
        <v>1839</v>
      </c>
      <c r="O382" s="3" t="s">
        <v>24</v>
      </c>
      <c r="P382" s="3" t="s">
        <v>19</v>
      </c>
    </row>
    <row r="383" spans="1:16" hidden="1" x14ac:dyDescent="0.4">
      <c r="A383" s="7">
        <v>382</v>
      </c>
      <c r="B383" s="8" t="s">
        <v>1840</v>
      </c>
      <c r="C383" s="6" t="str">
        <f>IFERROR(IF(LEFT(D383,FIND(" ",D383)-1)="전라북도","전북특별자치도",LEFT(D383,FIND(" ",D383)-1)),"")</f>
        <v>강원특별자치도</v>
      </c>
      <c r="D383" s="3" t="s">
        <v>1841</v>
      </c>
      <c r="E383" s="3" t="s">
        <v>1842</v>
      </c>
      <c r="F383" s="3" t="s">
        <v>1843</v>
      </c>
      <c r="G383" s="3" t="s">
        <v>838</v>
      </c>
      <c r="H383" s="3" t="s">
        <v>210</v>
      </c>
      <c r="I383" s="3" t="s">
        <v>19</v>
      </c>
      <c r="J383" s="3" t="s">
        <v>1844</v>
      </c>
      <c r="K383" s="3" t="s">
        <v>21</v>
      </c>
      <c r="L383" s="3" t="s">
        <v>22</v>
      </c>
      <c r="M383" s="4">
        <v>207</v>
      </c>
      <c r="N383" s="3" t="s">
        <v>129</v>
      </c>
      <c r="O383" s="3" t="s">
        <v>281</v>
      </c>
      <c r="P383" s="3" t="s">
        <v>1717</v>
      </c>
    </row>
    <row r="384" spans="1:16" x14ac:dyDescent="0.4">
      <c r="A384" s="7">
        <v>383</v>
      </c>
      <c r="B384" s="8" t="s">
        <v>1845</v>
      </c>
      <c r="C384" s="6" t="str">
        <f>IFERROR(IF(LEFT(D384,FIND(" ",D384)-1)="전라북도","전북특별자치도",LEFT(D384,FIND(" ",D384)-1)),"")</f>
        <v>경상북도</v>
      </c>
      <c r="D384" s="3" t="s">
        <v>1317</v>
      </c>
      <c r="E384" s="3" t="s">
        <v>1318</v>
      </c>
      <c r="F384" s="3" t="s">
        <v>1846</v>
      </c>
      <c r="G384" s="3" t="s">
        <v>19</v>
      </c>
      <c r="H384" s="3" t="s">
        <v>1321</v>
      </c>
      <c r="I384" s="3" t="s">
        <v>19</v>
      </c>
      <c r="J384" s="3" t="s">
        <v>19</v>
      </c>
      <c r="K384" s="3" t="s">
        <v>21</v>
      </c>
      <c r="L384" s="3" t="s">
        <v>22</v>
      </c>
      <c r="M384" s="4">
        <v>289</v>
      </c>
      <c r="N384" s="3" t="s">
        <v>1498</v>
      </c>
      <c r="O384" s="3" t="s">
        <v>24</v>
      </c>
      <c r="P384" s="3" t="s">
        <v>19</v>
      </c>
    </row>
    <row r="385" spans="1:16" hidden="1" x14ac:dyDescent="0.4">
      <c r="A385" s="7">
        <v>384</v>
      </c>
      <c r="B385" s="8" t="s">
        <v>1847</v>
      </c>
      <c r="C385" s="6" t="str">
        <f>IFERROR(IF(LEFT(D385,FIND(" ",D385)-1)="전라북도","전북특별자치도",LEFT(D385,FIND(" ",D385)-1)),"")</f>
        <v>충청남도</v>
      </c>
      <c r="D385" s="3" t="s">
        <v>1848</v>
      </c>
      <c r="E385" s="3" t="s">
        <v>1849</v>
      </c>
      <c r="F385" s="3" t="s">
        <v>1846</v>
      </c>
      <c r="G385" s="3" t="s">
        <v>19</v>
      </c>
      <c r="H385" s="3" t="s">
        <v>157</v>
      </c>
      <c r="I385" s="3" t="s">
        <v>19</v>
      </c>
      <c r="J385" s="3" t="s">
        <v>19</v>
      </c>
      <c r="K385" s="3" t="s">
        <v>21</v>
      </c>
      <c r="L385" s="3" t="s">
        <v>147</v>
      </c>
      <c r="M385" s="4">
        <v>757</v>
      </c>
      <c r="N385" s="3" t="s">
        <v>84</v>
      </c>
      <c r="O385" s="3" t="s">
        <v>281</v>
      </c>
      <c r="P385" s="3" t="s">
        <v>1850</v>
      </c>
    </row>
    <row r="386" spans="1:16" hidden="1" x14ac:dyDescent="0.4">
      <c r="A386" s="7">
        <v>385</v>
      </c>
      <c r="B386" s="8" t="s">
        <v>1851</v>
      </c>
      <c r="C386" s="6" t="str">
        <f>IFERROR(IF(LEFT(D386,FIND(" ",D386)-1)="전라북도","전북특별자치도",LEFT(D386,FIND(" ",D386)-1)),"")</f>
        <v>충청남도</v>
      </c>
      <c r="D386" s="3" t="s">
        <v>1852</v>
      </c>
      <c r="E386" s="3" t="s">
        <v>1853</v>
      </c>
      <c r="F386" s="3" t="s">
        <v>265</v>
      </c>
      <c r="G386" s="3" t="s">
        <v>1854</v>
      </c>
      <c r="H386" s="3" t="s">
        <v>19</v>
      </c>
      <c r="I386" s="3" t="s">
        <v>19</v>
      </c>
      <c r="J386" s="3" t="s">
        <v>19</v>
      </c>
      <c r="K386" s="3" t="s">
        <v>21</v>
      </c>
      <c r="L386" s="3" t="s">
        <v>22</v>
      </c>
      <c r="M386" s="4">
        <v>1657</v>
      </c>
      <c r="N386" s="3" t="s">
        <v>1498</v>
      </c>
      <c r="O386" s="3" t="s">
        <v>281</v>
      </c>
      <c r="P386" s="3" t="s">
        <v>319</v>
      </c>
    </row>
    <row r="387" spans="1:16" hidden="1" x14ac:dyDescent="0.4">
      <c r="A387" s="7">
        <v>386</v>
      </c>
      <c r="B387" s="8" t="s">
        <v>1855</v>
      </c>
      <c r="C387" s="6" t="str">
        <f>IFERROR(IF(LEFT(D387,FIND(" ",D387)-1)="전라북도","전북특별자치도",LEFT(D387,FIND(" ",D387)-1)),"")</f>
        <v>부산광역시</v>
      </c>
      <c r="D387" s="3" t="s">
        <v>1856</v>
      </c>
      <c r="E387" s="3" t="s">
        <v>1857</v>
      </c>
      <c r="F387" s="3" t="s">
        <v>265</v>
      </c>
      <c r="G387" s="3" t="s">
        <v>1859</v>
      </c>
      <c r="H387" s="3" t="s">
        <v>1860</v>
      </c>
      <c r="I387" s="3" t="s">
        <v>1861</v>
      </c>
      <c r="J387" s="3" t="s">
        <v>1859</v>
      </c>
      <c r="K387" s="3" t="s">
        <v>21</v>
      </c>
      <c r="L387" s="3" t="s">
        <v>147</v>
      </c>
      <c r="M387" s="4">
        <v>522</v>
      </c>
      <c r="N387" s="3" t="s">
        <v>1498</v>
      </c>
      <c r="O387" s="3" t="s">
        <v>281</v>
      </c>
      <c r="P387" s="3" t="s">
        <v>1858</v>
      </c>
    </row>
    <row r="388" spans="1:16" hidden="1" x14ac:dyDescent="0.4">
      <c r="A388" s="7">
        <v>387</v>
      </c>
      <c r="B388" s="8" t="s">
        <v>1862</v>
      </c>
      <c r="C388" s="6" t="str">
        <f>IFERROR(IF(LEFT(D388,FIND(" ",D388)-1)="전라북도","전북특별자치도",LEFT(D388,FIND(" ",D388)-1)),"")</f>
        <v>대구광역시</v>
      </c>
      <c r="D388" s="3" t="s">
        <v>1863</v>
      </c>
      <c r="E388" s="3" t="s">
        <v>1864</v>
      </c>
      <c r="F388" s="3" t="s">
        <v>1849</v>
      </c>
      <c r="G388" s="3" t="s">
        <v>1865</v>
      </c>
      <c r="H388" s="3" t="s">
        <v>1866</v>
      </c>
      <c r="I388" s="3" t="s">
        <v>1866</v>
      </c>
      <c r="J388" s="3" t="s">
        <v>1867</v>
      </c>
      <c r="K388" s="3" t="s">
        <v>21</v>
      </c>
      <c r="L388" s="3" t="s">
        <v>228</v>
      </c>
      <c r="M388" s="4">
        <v>2310</v>
      </c>
      <c r="N388" s="3" t="s">
        <v>123</v>
      </c>
      <c r="O388" s="3" t="s">
        <v>281</v>
      </c>
      <c r="P388" s="3" t="s">
        <v>1395</v>
      </c>
    </row>
    <row r="389" spans="1:16" hidden="1" x14ac:dyDescent="0.4">
      <c r="A389" s="7">
        <v>388</v>
      </c>
      <c r="B389" s="8" t="s">
        <v>1868</v>
      </c>
      <c r="C389" s="6" t="str">
        <f>IFERROR(IF(LEFT(D389,FIND(" ",D389)-1)="전라북도","전북특별자치도",LEFT(D389,FIND(" ",D389)-1)),"")</f>
        <v>경기도</v>
      </c>
      <c r="D389" s="3" t="s">
        <v>1869</v>
      </c>
      <c r="E389" s="3" t="s">
        <v>1870</v>
      </c>
      <c r="F389" s="3" t="s">
        <v>1871</v>
      </c>
      <c r="G389" s="3" t="s">
        <v>19</v>
      </c>
      <c r="H389" s="3" t="s">
        <v>302</v>
      </c>
      <c r="I389" s="3" t="s">
        <v>19</v>
      </c>
      <c r="J389" s="3" t="s">
        <v>19</v>
      </c>
      <c r="K389" s="3" t="s">
        <v>21</v>
      </c>
      <c r="L389" s="3" t="s">
        <v>147</v>
      </c>
      <c r="M389" s="4">
        <v>1574</v>
      </c>
      <c r="N389" s="3" t="s">
        <v>84</v>
      </c>
      <c r="O389" s="3" t="s">
        <v>281</v>
      </c>
      <c r="P389" s="3" t="s">
        <v>1698</v>
      </c>
    </row>
    <row r="390" spans="1:16" hidden="1" x14ac:dyDescent="0.4">
      <c r="A390" s="7">
        <v>389</v>
      </c>
      <c r="B390" s="8" t="s">
        <v>1872</v>
      </c>
      <c r="C390" s="6" t="str">
        <f>IFERROR(IF(LEFT(D390,FIND(" ",D390)-1)="전라북도","전북특별자치도",LEFT(D390,FIND(" ",D390)-1)),"")</f>
        <v>경기도</v>
      </c>
      <c r="D390" s="3" t="s">
        <v>1873</v>
      </c>
      <c r="E390" s="3" t="s">
        <v>1874</v>
      </c>
      <c r="F390" s="3" t="s">
        <v>1871</v>
      </c>
      <c r="G390" s="3" t="s">
        <v>1876</v>
      </c>
      <c r="H390" s="3" t="s">
        <v>1877</v>
      </c>
      <c r="I390" s="3" t="s">
        <v>19</v>
      </c>
      <c r="J390" s="3" t="s">
        <v>1878</v>
      </c>
      <c r="K390" s="3" t="s">
        <v>21</v>
      </c>
      <c r="L390" s="3" t="s">
        <v>22</v>
      </c>
      <c r="M390" s="4">
        <v>21714</v>
      </c>
      <c r="N390" s="3" t="s">
        <v>1498</v>
      </c>
      <c r="O390" s="3" t="s">
        <v>281</v>
      </c>
      <c r="P390" s="3" t="s">
        <v>1875</v>
      </c>
    </row>
    <row r="391" spans="1:16" x14ac:dyDescent="0.4">
      <c r="A391" s="7">
        <v>390</v>
      </c>
      <c r="B391" s="8" t="s">
        <v>1879</v>
      </c>
      <c r="C391" s="6" t="str">
        <f>IFERROR(IF(LEFT(D391,FIND(" ",D391)-1)="전라북도","전북특별자치도",LEFT(D391,FIND(" ",D391)-1)),"")</f>
        <v>경기도</v>
      </c>
      <c r="D391" s="3" t="s">
        <v>1880</v>
      </c>
      <c r="E391" s="3" t="s">
        <v>1881</v>
      </c>
      <c r="F391" s="3" t="s">
        <v>1882</v>
      </c>
      <c r="G391" s="3" t="s">
        <v>1883</v>
      </c>
      <c r="H391" s="3" t="s">
        <v>1884</v>
      </c>
      <c r="I391" s="3" t="s">
        <v>19</v>
      </c>
      <c r="J391" s="3" t="s">
        <v>19</v>
      </c>
      <c r="K391" s="3" t="s">
        <v>21</v>
      </c>
      <c r="L391" s="3" t="s">
        <v>22</v>
      </c>
      <c r="M391" s="4">
        <v>2137</v>
      </c>
      <c r="N391" s="3" t="s">
        <v>123</v>
      </c>
      <c r="O391" s="3" t="s">
        <v>24</v>
      </c>
      <c r="P391" s="3" t="s">
        <v>19</v>
      </c>
    </row>
    <row r="392" spans="1:16" hidden="1" x14ac:dyDescent="0.4">
      <c r="A392" s="7">
        <v>391</v>
      </c>
      <c r="B392" s="8" t="s">
        <v>1885</v>
      </c>
      <c r="C392" s="6" t="str">
        <f>IFERROR(IF(LEFT(D392,FIND(" ",D392)-1)="전라북도","전북특별자치도",LEFT(D392,FIND(" ",D392)-1)),"")</f>
        <v>경상북도</v>
      </c>
      <c r="D392" s="3" t="s">
        <v>1102</v>
      </c>
      <c r="E392" s="3" t="s">
        <v>1886</v>
      </c>
      <c r="F392" s="3" t="s">
        <v>1870</v>
      </c>
      <c r="G392" s="3" t="s">
        <v>1887</v>
      </c>
      <c r="H392" s="3" t="s">
        <v>1888</v>
      </c>
      <c r="I392" s="3" t="s">
        <v>1888</v>
      </c>
      <c r="J392" s="3" t="s">
        <v>19</v>
      </c>
      <c r="K392" s="3" t="s">
        <v>21</v>
      </c>
      <c r="L392" s="3" t="s">
        <v>22</v>
      </c>
      <c r="M392" s="4">
        <v>181</v>
      </c>
      <c r="N392" s="3" t="s">
        <v>1498</v>
      </c>
      <c r="O392" s="3" t="s">
        <v>281</v>
      </c>
      <c r="P392" s="3" t="s">
        <v>1447</v>
      </c>
    </row>
    <row r="393" spans="1:16" hidden="1" x14ac:dyDescent="0.4">
      <c r="A393" s="7">
        <v>392</v>
      </c>
      <c r="B393" s="8" t="s">
        <v>1889</v>
      </c>
      <c r="C393" s="6" t="str">
        <f>IFERROR(IF(LEFT(D393,FIND(" ",D393)-1)="전라북도","전북특별자치도",LEFT(D393,FIND(" ",D393)-1)),"")</f>
        <v>충청남도</v>
      </c>
      <c r="D393" s="3" t="s">
        <v>1890</v>
      </c>
      <c r="E393" s="3" t="s">
        <v>713</v>
      </c>
      <c r="F393" s="3" t="s">
        <v>1870</v>
      </c>
      <c r="G393" s="3" t="s">
        <v>1891</v>
      </c>
      <c r="H393" s="3" t="s">
        <v>1892</v>
      </c>
      <c r="I393" s="3" t="s">
        <v>1893</v>
      </c>
      <c r="J393" s="3" t="s">
        <v>19</v>
      </c>
      <c r="K393" s="3" t="s">
        <v>21</v>
      </c>
      <c r="L393" s="3" t="s">
        <v>147</v>
      </c>
      <c r="M393" s="4">
        <v>4134</v>
      </c>
      <c r="N393" s="3" t="s">
        <v>211</v>
      </c>
      <c r="O393" s="3" t="s">
        <v>281</v>
      </c>
      <c r="P393" s="3" t="s">
        <v>821</v>
      </c>
    </row>
    <row r="394" spans="1:16" hidden="1" x14ac:dyDescent="0.4">
      <c r="A394" s="7">
        <v>393</v>
      </c>
      <c r="B394" s="8" t="s">
        <v>1894</v>
      </c>
      <c r="C394" s="6" t="str">
        <f>IFERROR(IF(LEFT(D394,FIND(" ",D394)-1)="전라북도","전북특별자치도",LEFT(D394,FIND(" ",D394)-1)),"")</f>
        <v>경기도</v>
      </c>
      <c r="D394" s="3" t="s">
        <v>1895</v>
      </c>
      <c r="E394" s="3" t="s">
        <v>1181</v>
      </c>
      <c r="F394" s="3" t="s">
        <v>1896</v>
      </c>
      <c r="G394" s="3" t="s">
        <v>19</v>
      </c>
      <c r="H394" s="3" t="s">
        <v>1059</v>
      </c>
      <c r="I394" s="3" t="s">
        <v>19</v>
      </c>
      <c r="J394" s="3" t="s">
        <v>19</v>
      </c>
      <c r="K394" s="3" t="s">
        <v>21</v>
      </c>
      <c r="L394" s="3" t="s">
        <v>147</v>
      </c>
      <c r="M394" s="4">
        <v>212</v>
      </c>
      <c r="N394" s="3" t="s">
        <v>19</v>
      </c>
      <c r="O394" s="3" t="s">
        <v>281</v>
      </c>
      <c r="P394" s="3" t="s">
        <v>1870</v>
      </c>
    </row>
    <row r="395" spans="1:16" x14ac:dyDescent="0.4">
      <c r="A395" s="7">
        <v>394</v>
      </c>
      <c r="B395" s="8" t="s">
        <v>1897</v>
      </c>
      <c r="C395" s="6" t="str">
        <f>IFERROR(IF(LEFT(D395,FIND(" ",D395)-1)="전라북도","전북특별자치도",LEFT(D395,FIND(" ",D395)-1)),"")</f>
        <v>경상남도</v>
      </c>
      <c r="D395" s="3" t="s">
        <v>1898</v>
      </c>
      <c r="E395" s="3" t="s">
        <v>1899</v>
      </c>
      <c r="F395" s="3" t="s">
        <v>1896</v>
      </c>
      <c r="G395" s="3" t="s">
        <v>1900</v>
      </c>
      <c r="H395" s="3" t="s">
        <v>1901</v>
      </c>
      <c r="I395" s="3" t="s">
        <v>1902</v>
      </c>
      <c r="J395" s="3" t="s">
        <v>19</v>
      </c>
      <c r="K395" s="3" t="s">
        <v>21</v>
      </c>
      <c r="L395" s="3" t="s">
        <v>22</v>
      </c>
      <c r="M395" s="4">
        <v>826</v>
      </c>
      <c r="N395" s="3" t="s">
        <v>1498</v>
      </c>
      <c r="O395" s="3" t="s">
        <v>24</v>
      </c>
      <c r="P395" s="3" t="s">
        <v>19</v>
      </c>
    </row>
    <row r="396" spans="1:16" x14ac:dyDescent="0.4">
      <c r="A396" s="7">
        <v>395</v>
      </c>
      <c r="B396" s="8" t="s">
        <v>1903</v>
      </c>
      <c r="C396" s="6" t="str">
        <f>IFERROR(IF(LEFT(D396,FIND(" ",D396)-1)="전라북도","전북특별자치도",LEFT(D396,FIND(" ",D396)-1)),"")</f>
        <v>경상북도</v>
      </c>
      <c r="D396" s="3" t="s">
        <v>1904</v>
      </c>
      <c r="E396" s="3" t="s">
        <v>1905</v>
      </c>
      <c r="F396" s="3" t="s">
        <v>1181</v>
      </c>
      <c r="G396" s="3" t="s">
        <v>1906</v>
      </c>
      <c r="H396" s="3" t="s">
        <v>1907</v>
      </c>
      <c r="I396" s="3" t="s">
        <v>1908</v>
      </c>
      <c r="J396" s="3" t="s">
        <v>19</v>
      </c>
      <c r="K396" s="3" t="s">
        <v>21</v>
      </c>
      <c r="L396" s="3" t="s">
        <v>22</v>
      </c>
      <c r="M396" s="4">
        <v>976</v>
      </c>
      <c r="N396" s="3" t="s">
        <v>1498</v>
      </c>
      <c r="O396" s="3" t="s">
        <v>24</v>
      </c>
      <c r="P396" s="3" t="s">
        <v>19</v>
      </c>
    </row>
    <row r="397" spans="1:16" hidden="1" x14ac:dyDescent="0.4">
      <c r="A397" s="7">
        <v>396</v>
      </c>
      <c r="B397" s="8" t="s">
        <v>1909</v>
      </c>
      <c r="C397" s="6" t="str">
        <f>IFERROR(IF(LEFT(D397,FIND(" ",D397)-1)="전라북도","전북특별자치도",LEFT(D397,FIND(" ",D397)-1)),"")</f>
        <v>제주특별자치도</v>
      </c>
      <c r="D397" s="3" t="s">
        <v>1910</v>
      </c>
      <c r="E397" s="3" t="s">
        <v>1911</v>
      </c>
      <c r="F397" s="3" t="s">
        <v>289</v>
      </c>
      <c r="G397" s="3" t="s">
        <v>1912</v>
      </c>
      <c r="H397" s="3" t="s">
        <v>1913</v>
      </c>
      <c r="I397" s="3" t="s">
        <v>19</v>
      </c>
      <c r="J397" s="3" t="s">
        <v>19</v>
      </c>
      <c r="K397" s="3" t="s">
        <v>21</v>
      </c>
      <c r="L397" s="3" t="s">
        <v>22</v>
      </c>
      <c r="M397" s="4">
        <v>849</v>
      </c>
      <c r="N397" s="3" t="s">
        <v>1498</v>
      </c>
      <c r="O397" s="3" t="s">
        <v>281</v>
      </c>
      <c r="P397" s="3" t="s">
        <v>1008</v>
      </c>
    </row>
    <row r="398" spans="1:16" hidden="1" x14ac:dyDescent="0.4">
      <c r="A398" s="7">
        <v>397</v>
      </c>
      <c r="B398" s="8" t="s">
        <v>1909</v>
      </c>
      <c r="C398" s="6" t="str">
        <f>IFERROR(IF(LEFT(D398,FIND(" ",D398)-1)="전라북도","전북특별자치도",LEFT(D398,FIND(" ",D398)-1)),"")</f>
        <v>제주특별자치도</v>
      </c>
      <c r="D398" s="3" t="s">
        <v>1910</v>
      </c>
      <c r="E398" s="3" t="s">
        <v>1911</v>
      </c>
      <c r="F398" s="3" t="s">
        <v>289</v>
      </c>
      <c r="G398" s="3" t="s">
        <v>1912</v>
      </c>
      <c r="H398" s="3" t="s">
        <v>1913</v>
      </c>
      <c r="I398" s="3" t="s">
        <v>19</v>
      </c>
      <c r="J398" s="3" t="s">
        <v>19</v>
      </c>
      <c r="K398" s="3" t="s">
        <v>21</v>
      </c>
      <c r="L398" s="3" t="s">
        <v>22</v>
      </c>
      <c r="M398" s="4">
        <v>849</v>
      </c>
      <c r="N398" s="3" t="s">
        <v>1498</v>
      </c>
      <c r="O398" s="3" t="s">
        <v>281</v>
      </c>
      <c r="P398" s="3" t="s">
        <v>1008</v>
      </c>
    </row>
    <row r="399" spans="1:16" hidden="1" x14ac:dyDescent="0.4">
      <c r="A399" s="7">
        <v>398</v>
      </c>
      <c r="B399" s="8" t="s">
        <v>1914</v>
      </c>
      <c r="C399" s="6" t="str">
        <f>IFERROR(IF(LEFT(D399,FIND(" ",D399)-1)="전라북도","전북특별자치도",LEFT(D399,FIND(" ",D399)-1)),"")</f>
        <v>경기도</v>
      </c>
      <c r="D399" s="3" t="s">
        <v>1915</v>
      </c>
      <c r="E399" s="3" t="s">
        <v>1916</v>
      </c>
      <c r="F399" s="3" t="s">
        <v>293</v>
      </c>
      <c r="G399" s="3" t="s">
        <v>1612</v>
      </c>
      <c r="H399" s="3" t="s">
        <v>302</v>
      </c>
      <c r="I399" s="3" t="s">
        <v>19</v>
      </c>
      <c r="J399" s="3" t="s">
        <v>1612</v>
      </c>
      <c r="K399" s="3" t="s">
        <v>21</v>
      </c>
      <c r="L399" s="3" t="s">
        <v>22</v>
      </c>
      <c r="M399" s="4">
        <v>475</v>
      </c>
      <c r="N399" s="3" t="s">
        <v>129</v>
      </c>
      <c r="O399" s="3" t="s">
        <v>281</v>
      </c>
      <c r="P399" s="3" t="s">
        <v>204</v>
      </c>
    </row>
    <row r="400" spans="1:16" hidden="1" x14ac:dyDescent="0.4">
      <c r="A400" s="7">
        <v>399</v>
      </c>
      <c r="B400" s="8" t="s">
        <v>1917</v>
      </c>
      <c r="C400" s="6" t="str">
        <f>IFERROR(IF(LEFT(D400,FIND(" ",D400)-1)="전라북도","전북특별자치도",LEFT(D400,FIND(" ",D400)-1)),"")</f>
        <v>충청남도</v>
      </c>
      <c r="D400" s="3" t="s">
        <v>1918</v>
      </c>
      <c r="E400" s="3" t="s">
        <v>1842</v>
      </c>
      <c r="F400" s="3" t="s">
        <v>1919</v>
      </c>
      <c r="G400" s="3" t="s">
        <v>1920</v>
      </c>
      <c r="H400" s="3" t="s">
        <v>603</v>
      </c>
      <c r="I400" s="3" t="s">
        <v>1606</v>
      </c>
      <c r="J400" s="3" t="s">
        <v>19</v>
      </c>
      <c r="K400" s="3" t="s">
        <v>21</v>
      </c>
      <c r="L400" s="3" t="s">
        <v>22</v>
      </c>
      <c r="M400" s="4">
        <v>131</v>
      </c>
      <c r="N400" s="3" t="s">
        <v>84</v>
      </c>
      <c r="O400" s="3" t="s">
        <v>281</v>
      </c>
      <c r="P400" s="3" t="s">
        <v>1743</v>
      </c>
    </row>
    <row r="401" spans="1:16" hidden="1" x14ac:dyDescent="0.4">
      <c r="A401" s="7">
        <v>400</v>
      </c>
      <c r="B401" s="8" t="s">
        <v>1921</v>
      </c>
      <c r="C401" s="6" t="str">
        <f>IFERROR(IF(LEFT(D401,FIND(" ",D401)-1)="전라북도","전북특별자치도",LEFT(D401,FIND(" ",D401)-1)),"")</f>
        <v>경기도</v>
      </c>
      <c r="D401" s="3" t="s">
        <v>1922</v>
      </c>
      <c r="E401" s="3" t="s">
        <v>1923</v>
      </c>
      <c r="F401" s="3" t="s">
        <v>1924</v>
      </c>
      <c r="G401" s="3" t="s">
        <v>1926</v>
      </c>
      <c r="H401" s="3" t="s">
        <v>953</v>
      </c>
      <c r="I401" s="3" t="s">
        <v>953</v>
      </c>
      <c r="J401" s="3" t="s">
        <v>19</v>
      </c>
      <c r="K401" s="3" t="s">
        <v>21</v>
      </c>
      <c r="L401" s="3" t="s">
        <v>22</v>
      </c>
      <c r="M401" s="4">
        <v>1403</v>
      </c>
      <c r="N401" s="3" t="s">
        <v>23</v>
      </c>
      <c r="O401" s="3" t="s">
        <v>281</v>
      </c>
      <c r="P401" s="3" t="s">
        <v>1925</v>
      </c>
    </row>
    <row r="402" spans="1:16" hidden="1" x14ac:dyDescent="0.4">
      <c r="A402" s="7">
        <v>401</v>
      </c>
      <c r="B402" s="8" t="s">
        <v>1927</v>
      </c>
      <c r="C402" s="6" t="str">
        <f>IFERROR(IF(LEFT(D402,FIND(" ",D402)-1)="전라북도","전북특별자치도",LEFT(D402,FIND(" ",D402)-1)),"")</f>
        <v>경상북도</v>
      </c>
      <c r="D402" s="3" t="s">
        <v>1928</v>
      </c>
      <c r="E402" s="3" t="s">
        <v>1929</v>
      </c>
      <c r="F402" s="3" t="s">
        <v>1930</v>
      </c>
      <c r="G402" s="3" t="s">
        <v>19</v>
      </c>
      <c r="H402" s="3" t="s">
        <v>110</v>
      </c>
      <c r="I402" s="3" t="s">
        <v>19</v>
      </c>
      <c r="J402" s="3" t="s">
        <v>1931</v>
      </c>
      <c r="K402" s="3" t="s">
        <v>21</v>
      </c>
      <c r="L402" s="3" t="s">
        <v>147</v>
      </c>
      <c r="M402" s="4">
        <v>833</v>
      </c>
      <c r="N402" s="3" t="s">
        <v>23</v>
      </c>
      <c r="O402" s="3" t="s">
        <v>281</v>
      </c>
      <c r="P402" s="3" t="s">
        <v>1829</v>
      </c>
    </row>
    <row r="403" spans="1:16" hidden="1" x14ac:dyDescent="0.4">
      <c r="A403" s="7">
        <v>402</v>
      </c>
      <c r="B403" s="8" t="s">
        <v>1932</v>
      </c>
      <c r="C403" s="6" t="str">
        <f>IFERROR(IF(LEFT(D403,FIND(" ",D403)-1)="전라북도","전북특별자치도",LEFT(D403,FIND(" ",D403)-1)),"")</f>
        <v>전라남도</v>
      </c>
      <c r="D403" s="3" t="s">
        <v>1933</v>
      </c>
      <c r="E403" s="3" t="s">
        <v>1934</v>
      </c>
      <c r="F403" s="3" t="s">
        <v>1935</v>
      </c>
      <c r="G403" s="3" t="s">
        <v>19</v>
      </c>
      <c r="H403" s="3" t="s">
        <v>1937</v>
      </c>
      <c r="I403" s="3" t="s">
        <v>19</v>
      </c>
      <c r="J403" s="3" t="s">
        <v>19</v>
      </c>
      <c r="K403" s="3" t="s">
        <v>21</v>
      </c>
      <c r="L403" s="3" t="s">
        <v>147</v>
      </c>
      <c r="M403" s="4">
        <v>2235</v>
      </c>
      <c r="N403" s="3" t="s">
        <v>84</v>
      </c>
      <c r="O403" s="3" t="s">
        <v>281</v>
      </c>
      <c r="P403" s="3" t="s">
        <v>1936</v>
      </c>
    </row>
    <row r="404" spans="1:16" hidden="1" x14ac:dyDescent="0.4">
      <c r="A404" s="7">
        <v>403</v>
      </c>
      <c r="B404" s="8" t="s">
        <v>1938</v>
      </c>
      <c r="C404" s="6" t="str">
        <f>IFERROR(IF(LEFT(D404,FIND(" ",D404)-1)="전라북도","전북특별자치도",LEFT(D404,FIND(" ",D404)-1)),"")</f>
        <v>강원특별자치도</v>
      </c>
      <c r="D404" s="3" t="s">
        <v>1939</v>
      </c>
      <c r="E404" s="3" t="s">
        <v>1654</v>
      </c>
      <c r="F404" s="3" t="s">
        <v>1940</v>
      </c>
      <c r="G404" s="3" t="s">
        <v>1941</v>
      </c>
      <c r="H404" s="3" t="s">
        <v>1942</v>
      </c>
      <c r="I404" s="3" t="s">
        <v>1942</v>
      </c>
      <c r="J404" s="3" t="s">
        <v>19</v>
      </c>
      <c r="K404" s="3" t="s">
        <v>21</v>
      </c>
      <c r="L404" s="3" t="s">
        <v>22</v>
      </c>
      <c r="M404" s="4">
        <v>1704</v>
      </c>
      <c r="N404" s="3" t="s">
        <v>23</v>
      </c>
      <c r="O404" s="3" t="s">
        <v>281</v>
      </c>
      <c r="P404" s="3" t="s">
        <v>909</v>
      </c>
    </row>
    <row r="405" spans="1:16" hidden="1" x14ac:dyDescent="0.4">
      <c r="A405" s="7">
        <v>404</v>
      </c>
      <c r="B405" s="8" t="s">
        <v>1943</v>
      </c>
      <c r="C405" s="6" t="str">
        <f>IFERROR(IF(LEFT(D405,FIND(" ",D405)-1)="전라북도","전북특별자치도",LEFT(D405,FIND(" ",D405)-1)),"")</f>
        <v>경기도</v>
      </c>
      <c r="D405" s="3" t="s">
        <v>1944</v>
      </c>
      <c r="E405" s="3" t="s">
        <v>69</v>
      </c>
      <c r="F405" s="3" t="s">
        <v>1934</v>
      </c>
      <c r="G405" s="3" t="s">
        <v>1945</v>
      </c>
      <c r="H405" s="3" t="s">
        <v>1946</v>
      </c>
      <c r="I405" s="3" t="s">
        <v>19</v>
      </c>
      <c r="J405" s="3" t="s">
        <v>1947</v>
      </c>
      <c r="K405" s="3" t="s">
        <v>21</v>
      </c>
      <c r="L405" s="3" t="s">
        <v>22</v>
      </c>
      <c r="M405" s="4">
        <v>239</v>
      </c>
      <c r="N405" s="3" t="s">
        <v>129</v>
      </c>
      <c r="O405" s="3" t="s">
        <v>281</v>
      </c>
      <c r="P405" s="3" t="s">
        <v>877</v>
      </c>
    </row>
    <row r="406" spans="1:16" x14ac:dyDescent="0.4">
      <c r="A406" s="7">
        <v>405</v>
      </c>
      <c r="B406" s="8" t="s">
        <v>1948</v>
      </c>
      <c r="C406" s="6" t="str">
        <f>IFERROR(IF(LEFT(D406,FIND(" ",D406)-1)="전라북도","전북특별자치도",LEFT(D406,FIND(" ",D406)-1)),"")</f>
        <v>충청남도</v>
      </c>
      <c r="D406" s="3" t="s">
        <v>1949</v>
      </c>
      <c r="E406" s="3" t="s">
        <v>1610</v>
      </c>
      <c r="F406" s="3" t="s">
        <v>1950</v>
      </c>
      <c r="G406" s="3" t="s">
        <v>1951</v>
      </c>
      <c r="H406" s="3" t="s">
        <v>1952</v>
      </c>
      <c r="I406" s="3" t="s">
        <v>19</v>
      </c>
      <c r="J406" s="3" t="s">
        <v>1953</v>
      </c>
      <c r="K406" s="3" t="s">
        <v>21</v>
      </c>
      <c r="L406" s="3" t="s">
        <v>22</v>
      </c>
      <c r="M406" s="4">
        <v>578</v>
      </c>
      <c r="N406" s="3" t="s">
        <v>211</v>
      </c>
      <c r="O406" s="3" t="s">
        <v>24</v>
      </c>
      <c r="P406" s="3" t="s">
        <v>19</v>
      </c>
    </row>
    <row r="407" spans="1:16" hidden="1" x14ac:dyDescent="0.4">
      <c r="A407" s="7">
        <v>406</v>
      </c>
      <c r="B407" s="8" t="s">
        <v>1954</v>
      </c>
      <c r="C407" s="6" t="str">
        <f>IFERROR(IF(LEFT(D407,FIND(" ",D407)-1)="전라북도","전북특별자치도",LEFT(D407,FIND(" ",D407)-1)),"")</f>
        <v>충청남도</v>
      </c>
      <c r="D407" s="3" t="s">
        <v>1949</v>
      </c>
      <c r="E407" s="3" t="s">
        <v>1610</v>
      </c>
      <c r="F407" s="3" t="s">
        <v>1950</v>
      </c>
      <c r="G407" s="3" t="s">
        <v>1951</v>
      </c>
      <c r="H407" s="3" t="s">
        <v>1952</v>
      </c>
      <c r="I407" s="3" t="s">
        <v>19</v>
      </c>
      <c r="J407" s="3" t="s">
        <v>1953</v>
      </c>
      <c r="K407" s="3" t="s">
        <v>21</v>
      </c>
      <c r="L407" s="3" t="s">
        <v>22</v>
      </c>
      <c r="M407" s="4">
        <v>44</v>
      </c>
      <c r="N407" s="3" t="s">
        <v>129</v>
      </c>
      <c r="O407" s="3" t="s">
        <v>281</v>
      </c>
      <c r="P407" s="3" t="s">
        <v>1955</v>
      </c>
    </row>
    <row r="408" spans="1:16" x14ac:dyDescent="0.4">
      <c r="A408" s="7">
        <v>407</v>
      </c>
      <c r="B408" s="8" t="s">
        <v>1956</v>
      </c>
      <c r="C408" s="6" t="str">
        <f>IFERROR(IF(LEFT(D408,FIND(" ",D408)-1)="전라북도","전북특별자치도",LEFT(D408,FIND(" ",D408)-1)),"")</f>
        <v>경기도</v>
      </c>
      <c r="D408" s="3" t="s">
        <v>1957</v>
      </c>
      <c r="E408" s="3" t="s">
        <v>684</v>
      </c>
      <c r="F408" s="3" t="s">
        <v>1958</v>
      </c>
      <c r="G408" s="3" t="s">
        <v>1959</v>
      </c>
      <c r="H408" s="3" t="s">
        <v>19</v>
      </c>
      <c r="I408" s="3" t="s">
        <v>19</v>
      </c>
      <c r="J408" s="3" t="s">
        <v>19</v>
      </c>
      <c r="K408" s="3" t="s">
        <v>21</v>
      </c>
      <c r="L408" s="3" t="s">
        <v>22</v>
      </c>
      <c r="M408" s="4">
        <v>574</v>
      </c>
      <c r="N408" s="3" t="s">
        <v>23</v>
      </c>
      <c r="O408" s="3" t="s">
        <v>24</v>
      </c>
      <c r="P408" s="3" t="s">
        <v>19</v>
      </c>
    </row>
    <row r="409" spans="1:16" x14ac:dyDescent="0.4">
      <c r="A409" s="7">
        <v>408</v>
      </c>
      <c r="B409" s="8" t="s">
        <v>1956</v>
      </c>
      <c r="C409" s="6" t="str">
        <f>IFERROR(IF(LEFT(D409,FIND(" ",D409)-1)="전라북도","전북특별자치도",LEFT(D409,FIND(" ",D409)-1)),"")</f>
        <v>경기도</v>
      </c>
      <c r="D409" s="3" t="s">
        <v>1957</v>
      </c>
      <c r="E409" s="3" t="s">
        <v>684</v>
      </c>
      <c r="F409" s="3" t="s">
        <v>1958</v>
      </c>
      <c r="G409" s="3" t="s">
        <v>1959</v>
      </c>
      <c r="H409" s="3" t="s">
        <v>1960</v>
      </c>
      <c r="I409" s="3" t="s">
        <v>1960</v>
      </c>
      <c r="J409" s="3" t="s">
        <v>19</v>
      </c>
      <c r="K409" s="3" t="s">
        <v>21</v>
      </c>
      <c r="L409" s="3" t="s">
        <v>22</v>
      </c>
      <c r="M409" s="4">
        <v>574</v>
      </c>
      <c r="N409" s="3" t="s">
        <v>23</v>
      </c>
      <c r="O409" s="3" t="s">
        <v>24</v>
      </c>
      <c r="P409" s="3" t="s">
        <v>19</v>
      </c>
    </row>
    <row r="410" spans="1:16" x14ac:dyDescent="0.4">
      <c r="A410" s="7">
        <v>409</v>
      </c>
      <c r="B410" s="8" t="s">
        <v>1961</v>
      </c>
      <c r="C410" s="6" t="str">
        <f>IFERROR(IF(LEFT(D410,FIND(" ",D410)-1)="전라북도","전북특별자치도",LEFT(D410,FIND(" ",D410)-1)),"")</f>
        <v>경기도</v>
      </c>
      <c r="D410" s="3" t="s">
        <v>1962</v>
      </c>
      <c r="E410" s="3" t="s">
        <v>1963</v>
      </c>
      <c r="F410" s="3" t="s">
        <v>1958</v>
      </c>
      <c r="G410" s="3" t="s">
        <v>19</v>
      </c>
      <c r="H410" s="3" t="s">
        <v>1155</v>
      </c>
      <c r="I410" s="3" t="s">
        <v>19</v>
      </c>
      <c r="J410" s="3" t="s">
        <v>19</v>
      </c>
      <c r="K410" s="3" t="s">
        <v>21</v>
      </c>
      <c r="L410" s="3" t="s">
        <v>22</v>
      </c>
      <c r="M410" s="4">
        <v>1334</v>
      </c>
      <c r="N410" s="3" t="s">
        <v>23</v>
      </c>
      <c r="O410" s="3" t="s">
        <v>24</v>
      </c>
      <c r="P410" s="3" t="s">
        <v>19</v>
      </c>
    </row>
    <row r="411" spans="1:16" hidden="1" x14ac:dyDescent="0.4">
      <c r="A411" s="7">
        <v>410</v>
      </c>
      <c r="B411" s="8" t="s">
        <v>1964</v>
      </c>
      <c r="C411" s="6" t="str">
        <f>IFERROR(IF(LEFT(D411,FIND(" ",D411)-1)="전라북도","전북특별자치도",LEFT(D411,FIND(" ",D411)-1)),"")</f>
        <v>경상남도</v>
      </c>
      <c r="D411" s="3" t="s">
        <v>1965</v>
      </c>
      <c r="E411" s="3" t="s">
        <v>338</v>
      </c>
      <c r="F411" s="3" t="s">
        <v>1966</v>
      </c>
      <c r="G411" s="3" t="s">
        <v>19</v>
      </c>
      <c r="H411" s="3" t="s">
        <v>1968</v>
      </c>
      <c r="I411" s="3" t="s">
        <v>19</v>
      </c>
      <c r="J411" s="3" t="s">
        <v>19</v>
      </c>
      <c r="K411" s="3" t="s">
        <v>21</v>
      </c>
      <c r="L411" s="3" t="s">
        <v>228</v>
      </c>
      <c r="M411" s="4">
        <v>922</v>
      </c>
      <c r="N411" s="3" t="s">
        <v>23</v>
      </c>
      <c r="O411" s="3" t="s">
        <v>281</v>
      </c>
      <c r="P411" s="3" t="s">
        <v>1967</v>
      </c>
    </row>
    <row r="412" spans="1:16" x14ac:dyDescent="0.4">
      <c r="A412" s="7">
        <v>411</v>
      </c>
      <c r="B412" s="8" t="s">
        <v>1969</v>
      </c>
      <c r="C412" s="6" t="str">
        <f>IFERROR(IF(LEFT(D412,FIND(" ",D412)-1)="전라북도","전북특별자치도",LEFT(D412,FIND(" ",D412)-1)),"")</f>
        <v>경기도</v>
      </c>
      <c r="D412" s="3" t="s">
        <v>1970</v>
      </c>
      <c r="E412" s="3" t="s">
        <v>1971</v>
      </c>
      <c r="F412" s="3" t="s">
        <v>1966</v>
      </c>
      <c r="G412" s="3" t="s">
        <v>1972</v>
      </c>
      <c r="H412" s="3" t="s">
        <v>1973</v>
      </c>
      <c r="I412" s="3" t="s">
        <v>1110</v>
      </c>
      <c r="J412" s="3" t="s">
        <v>1974</v>
      </c>
      <c r="K412" s="3" t="s">
        <v>21</v>
      </c>
      <c r="L412" s="3" t="s">
        <v>22</v>
      </c>
      <c r="M412" s="4">
        <v>3569</v>
      </c>
      <c r="N412" s="3" t="s">
        <v>129</v>
      </c>
      <c r="O412" s="3" t="s">
        <v>24</v>
      </c>
      <c r="P412" s="3" t="s">
        <v>19</v>
      </c>
    </row>
    <row r="413" spans="1:16" x14ac:dyDescent="0.4">
      <c r="A413" s="7">
        <v>412</v>
      </c>
      <c r="B413" s="8" t="s">
        <v>1975</v>
      </c>
      <c r="C413" s="6" t="str">
        <f>IFERROR(IF(LEFT(D413,FIND(" ",D413)-1)="전라북도","전북특별자치도",LEFT(D413,FIND(" ",D413)-1)),"")</f>
        <v>경상남도</v>
      </c>
      <c r="D413" s="3" t="s">
        <v>1976</v>
      </c>
      <c r="E413" s="3" t="s">
        <v>1977</v>
      </c>
      <c r="F413" s="3" t="s">
        <v>1978</v>
      </c>
      <c r="G413" s="3" t="s">
        <v>1979</v>
      </c>
      <c r="H413" s="3" t="s">
        <v>1980</v>
      </c>
      <c r="I413" s="3" t="s">
        <v>19</v>
      </c>
      <c r="J413" s="3" t="s">
        <v>1979</v>
      </c>
      <c r="K413" s="3" t="s">
        <v>21</v>
      </c>
      <c r="L413" s="3" t="s">
        <v>22</v>
      </c>
      <c r="M413" s="4">
        <v>321</v>
      </c>
      <c r="N413" s="3" t="s">
        <v>129</v>
      </c>
      <c r="O413" s="3" t="s">
        <v>24</v>
      </c>
      <c r="P413" s="3" t="s">
        <v>19</v>
      </c>
    </row>
    <row r="414" spans="1:16" x14ac:dyDescent="0.4">
      <c r="A414" s="7">
        <v>413</v>
      </c>
      <c r="B414" s="8" t="s">
        <v>1981</v>
      </c>
      <c r="C414" s="6" t="str">
        <f>IFERROR(IF(LEFT(D414,FIND(" ",D414)-1)="전라북도","전북특별자치도",LEFT(D414,FIND(" ",D414)-1)),"")</f>
        <v>경기도</v>
      </c>
      <c r="D414" s="3" t="s">
        <v>1982</v>
      </c>
      <c r="E414" s="3" t="s">
        <v>1983</v>
      </c>
      <c r="F414" s="3" t="s">
        <v>1978</v>
      </c>
      <c r="G414" s="3" t="s">
        <v>1984</v>
      </c>
      <c r="H414" s="3" t="s">
        <v>1985</v>
      </c>
      <c r="I414" s="3" t="s">
        <v>1986</v>
      </c>
      <c r="J414" s="3" t="s">
        <v>1984</v>
      </c>
      <c r="K414" s="3" t="s">
        <v>21</v>
      </c>
      <c r="L414" s="3" t="s">
        <v>22</v>
      </c>
      <c r="M414" s="4">
        <v>30232</v>
      </c>
      <c r="N414" s="3" t="s">
        <v>23</v>
      </c>
      <c r="O414" s="3" t="s">
        <v>24</v>
      </c>
      <c r="P414" s="3" t="s">
        <v>19</v>
      </c>
    </row>
    <row r="415" spans="1:16" x14ac:dyDescent="0.4">
      <c r="A415" s="7">
        <v>414</v>
      </c>
      <c r="B415" s="8" t="s">
        <v>1987</v>
      </c>
      <c r="C415" s="6" t="str">
        <f>IFERROR(IF(LEFT(D415,FIND(" ",D415)-1)="전라북도","전북특별자치도",LEFT(D415,FIND(" ",D415)-1)),"")</f>
        <v>경상북도</v>
      </c>
      <c r="D415" s="3" t="s">
        <v>1988</v>
      </c>
      <c r="E415" s="3" t="s">
        <v>1989</v>
      </c>
      <c r="F415" s="3" t="s">
        <v>338</v>
      </c>
      <c r="G415" s="3" t="s">
        <v>1990</v>
      </c>
      <c r="H415" s="3" t="s">
        <v>19</v>
      </c>
      <c r="I415" s="3" t="s">
        <v>19</v>
      </c>
      <c r="J415" s="3" t="s">
        <v>1991</v>
      </c>
      <c r="K415" s="3" t="s">
        <v>21</v>
      </c>
      <c r="L415" s="3" t="s">
        <v>22</v>
      </c>
      <c r="M415" s="4">
        <v>311</v>
      </c>
      <c r="N415" s="3" t="s">
        <v>23</v>
      </c>
      <c r="O415" s="3" t="s">
        <v>24</v>
      </c>
      <c r="P415" s="3" t="s">
        <v>19</v>
      </c>
    </row>
    <row r="416" spans="1:16" hidden="1" x14ac:dyDescent="0.4">
      <c r="A416" s="7">
        <v>415</v>
      </c>
      <c r="B416" s="8" t="s">
        <v>1987</v>
      </c>
      <c r="C416" s="6" t="str">
        <f>IFERROR(IF(LEFT(D416,FIND(" ",D416)-1)="전라북도","전북특별자치도",LEFT(D416,FIND(" ",D416)-1)),"")</f>
        <v>경상북도</v>
      </c>
      <c r="D416" s="3" t="s">
        <v>1988</v>
      </c>
      <c r="E416" s="3" t="s">
        <v>1989</v>
      </c>
      <c r="F416" s="3" t="s">
        <v>338</v>
      </c>
      <c r="G416" s="3" t="s">
        <v>1993</v>
      </c>
      <c r="H416" s="3" t="s">
        <v>19</v>
      </c>
      <c r="I416" s="3" t="s">
        <v>1994</v>
      </c>
      <c r="J416" s="3" t="s">
        <v>1991</v>
      </c>
      <c r="K416" s="3" t="s">
        <v>21</v>
      </c>
      <c r="L416" s="3" t="s">
        <v>22</v>
      </c>
      <c r="M416" s="4">
        <v>90</v>
      </c>
      <c r="N416" s="3" t="s">
        <v>23</v>
      </c>
      <c r="O416" s="3" t="s">
        <v>281</v>
      </c>
      <c r="P416" s="3" t="s">
        <v>1992</v>
      </c>
    </row>
    <row r="417" spans="1:16" hidden="1" x14ac:dyDescent="0.4">
      <c r="A417" s="7">
        <v>416</v>
      </c>
      <c r="B417" s="8" t="s">
        <v>1995</v>
      </c>
      <c r="C417" s="6" t="str">
        <f>IFERROR(IF(LEFT(D417,FIND(" ",D417)-1)="전라북도","전북특별자치도",LEFT(D417,FIND(" ",D417)-1)),"")</f>
        <v>경기도</v>
      </c>
      <c r="D417" s="3" t="s">
        <v>1996</v>
      </c>
      <c r="E417" s="3" t="s">
        <v>1997</v>
      </c>
      <c r="F417" s="3" t="s">
        <v>338</v>
      </c>
      <c r="G417" s="3" t="s">
        <v>1999</v>
      </c>
      <c r="H417" s="3" t="s">
        <v>953</v>
      </c>
      <c r="I417" s="3" t="s">
        <v>953</v>
      </c>
      <c r="J417" s="3" t="s">
        <v>19</v>
      </c>
      <c r="K417" s="3" t="s">
        <v>21</v>
      </c>
      <c r="L417" s="3" t="s">
        <v>147</v>
      </c>
      <c r="M417" s="4">
        <v>658</v>
      </c>
      <c r="N417" s="3" t="s">
        <v>23</v>
      </c>
      <c r="O417" s="3" t="s">
        <v>281</v>
      </c>
      <c r="P417" s="3" t="s">
        <v>1998</v>
      </c>
    </row>
    <row r="418" spans="1:16" x14ac:dyDescent="0.4">
      <c r="A418" s="7">
        <v>417</v>
      </c>
      <c r="B418" s="8" t="s">
        <v>2000</v>
      </c>
      <c r="C418" s="6" t="str">
        <f>IFERROR(IF(LEFT(D418,FIND(" ",D418)-1)="전라북도","전북특별자치도",LEFT(D418,FIND(" ",D418)-1)),"")</f>
        <v>인천광역시</v>
      </c>
      <c r="D418" s="3" t="s">
        <v>2001</v>
      </c>
      <c r="E418" s="3" t="s">
        <v>2002</v>
      </c>
      <c r="F418" s="3" t="s">
        <v>347</v>
      </c>
      <c r="G418" s="3" t="s">
        <v>19</v>
      </c>
      <c r="H418" s="3" t="s">
        <v>2003</v>
      </c>
      <c r="I418" s="3" t="s">
        <v>19</v>
      </c>
      <c r="J418" s="3" t="s">
        <v>19</v>
      </c>
      <c r="K418" s="3" t="s">
        <v>21</v>
      </c>
      <c r="L418" s="3" t="s">
        <v>147</v>
      </c>
      <c r="M418" s="4">
        <v>149</v>
      </c>
      <c r="N418" s="3" t="s">
        <v>84</v>
      </c>
      <c r="O418" s="3" t="s">
        <v>24</v>
      </c>
      <c r="P418" s="3" t="s">
        <v>19</v>
      </c>
    </row>
    <row r="419" spans="1:16" hidden="1" x14ac:dyDescent="0.4">
      <c r="A419" s="7">
        <v>418</v>
      </c>
      <c r="B419" s="8" t="s">
        <v>2004</v>
      </c>
      <c r="C419" s="6" t="str">
        <f>IFERROR(IF(LEFT(D419,FIND(" ",D419)-1)="전라북도","전북특별자치도",LEFT(D419,FIND(" ",D419)-1)),"")</f>
        <v>강원특별자치도</v>
      </c>
      <c r="D419" s="3" t="s">
        <v>2005</v>
      </c>
      <c r="E419" s="3" t="s">
        <v>2006</v>
      </c>
      <c r="F419" s="3" t="s">
        <v>347</v>
      </c>
      <c r="G419" s="3" t="s">
        <v>2007</v>
      </c>
      <c r="H419" s="3" t="s">
        <v>2008</v>
      </c>
      <c r="I419" s="3" t="s">
        <v>19</v>
      </c>
      <c r="J419" s="3" t="s">
        <v>19</v>
      </c>
      <c r="K419" s="3" t="s">
        <v>21</v>
      </c>
      <c r="L419" s="3" t="s">
        <v>22</v>
      </c>
      <c r="M419" s="4">
        <v>186</v>
      </c>
      <c r="N419" s="3" t="s">
        <v>129</v>
      </c>
      <c r="O419" s="3" t="s">
        <v>281</v>
      </c>
      <c r="P419" s="3" t="s">
        <v>1603</v>
      </c>
    </row>
    <row r="420" spans="1:16" hidden="1" x14ac:dyDescent="0.4">
      <c r="A420" s="7">
        <v>419</v>
      </c>
      <c r="B420" s="8" t="s">
        <v>2009</v>
      </c>
      <c r="C420" s="6" t="str">
        <f>IFERROR(IF(LEFT(D420,FIND(" ",D420)-1)="전라북도","전북특별자치도",LEFT(D420,FIND(" ",D420)-1)),"")</f>
        <v>경기도</v>
      </c>
      <c r="D420" s="3" t="s">
        <v>2010</v>
      </c>
      <c r="E420" s="3" t="s">
        <v>2011</v>
      </c>
      <c r="F420" s="3" t="s">
        <v>2012</v>
      </c>
      <c r="G420" s="3" t="s">
        <v>1999</v>
      </c>
      <c r="H420" s="3" t="s">
        <v>953</v>
      </c>
      <c r="I420" s="3" t="s">
        <v>19</v>
      </c>
      <c r="J420" s="3" t="s">
        <v>19</v>
      </c>
      <c r="K420" s="3" t="s">
        <v>21</v>
      </c>
      <c r="L420" s="3" t="s">
        <v>22</v>
      </c>
      <c r="M420" s="4">
        <v>438</v>
      </c>
      <c r="N420" s="3" t="s">
        <v>84</v>
      </c>
      <c r="O420" s="3" t="s">
        <v>281</v>
      </c>
      <c r="P420" s="3" t="s">
        <v>2013</v>
      </c>
    </row>
    <row r="421" spans="1:16" hidden="1" x14ac:dyDescent="0.4">
      <c r="A421" s="7">
        <v>420</v>
      </c>
      <c r="B421" s="8" t="s">
        <v>1847</v>
      </c>
      <c r="C421" s="6" t="str">
        <f>IFERROR(IF(LEFT(D421,FIND(" ",D421)-1)="전라북도","전북특별자치도",LEFT(D421,FIND(" ",D421)-1)),"")</f>
        <v>충청남도</v>
      </c>
      <c r="D421" s="3" t="s">
        <v>2014</v>
      </c>
      <c r="E421" s="3" t="s">
        <v>2015</v>
      </c>
      <c r="F421" s="3" t="s">
        <v>2012</v>
      </c>
      <c r="G421" s="3" t="s">
        <v>19</v>
      </c>
      <c r="H421" s="3" t="s">
        <v>157</v>
      </c>
      <c r="I421" s="3" t="s">
        <v>19</v>
      </c>
      <c r="J421" s="3" t="s">
        <v>19</v>
      </c>
      <c r="K421" s="3" t="s">
        <v>21</v>
      </c>
      <c r="L421" s="3" t="s">
        <v>147</v>
      </c>
      <c r="M421" s="4">
        <v>727</v>
      </c>
      <c r="N421" s="3" t="s">
        <v>84</v>
      </c>
      <c r="O421" s="3" t="s">
        <v>281</v>
      </c>
      <c r="P421" s="3" t="s">
        <v>2016</v>
      </c>
    </row>
    <row r="422" spans="1:16" hidden="1" x14ac:dyDescent="0.4">
      <c r="A422" s="7">
        <v>421</v>
      </c>
      <c r="B422" s="8" t="s">
        <v>2017</v>
      </c>
      <c r="C422" s="6" t="str">
        <f>IFERROR(IF(LEFT(D422,FIND(" ",D422)-1)="전라북도","전북특별자치도",LEFT(D422,FIND(" ",D422)-1)),"")</f>
        <v>전북특별자치도</v>
      </c>
      <c r="D422" s="3" t="s">
        <v>2018</v>
      </c>
      <c r="E422" s="3" t="s">
        <v>1916</v>
      </c>
      <c r="F422" s="3" t="s">
        <v>2012</v>
      </c>
      <c r="G422" s="3" t="s">
        <v>2020</v>
      </c>
      <c r="H422" s="3" t="s">
        <v>2021</v>
      </c>
      <c r="I422" s="3" t="s">
        <v>2021</v>
      </c>
      <c r="J422" s="3" t="s">
        <v>19</v>
      </c>
      <c r="K422" s="3" t="s">
        <v>21</v>
      </c>
      <c r="L422" s="3" t="s">
        <v>22</v>
      </c>
      <c r="M422" s="4">
        <v>913</v>
      </c>
      <c r="N422" s="3" t="s">
        <v>23</v>
      </c>
      <c r="O422" s="3" t="s">
        <v>281</v>
      </c>
      <c r="P422" s="3" t="s">
        <v>2019</v>
      </c>
    </row>
    <row r="423" spans="1:16" hidden="1" x14ac:dyDescent="0.4">
      <c r="A423" s="7">
        <v>422</v>
      </c>
      <c r="B423" s="8" t="s">
        <v>2022</v>
      </c>
      <c r="C423" s="6" t="str">
        <f>IFERROR(IF(LEFT(D423,FIND(" ",D423)-1)="전라북도","전북특별자치도",LEFT(D423,FIND(" ",D423)-1)),"")</f>
        <v>경상북도</v>
      </c>
      <c r="D423" s="3" t="s">
        <v>2023</v>
      </c>
      <c r="E423" s="3" t="s">
        <v>1997</v>
      </c>
      <c r="F423" s="3" t="s">
        <v>735</v>
      </c>
      <c r="G423" s="3" t="s">
        <v>2024</v>
      </c>
      <c r="H423" s="3" t="s">
        <v>743</v>
      </c>
      <c r="I423" s="3" t="s">
        <v>743</v>
      </c>
      <c r="J423" s="3" t="s">
        <v>19</v>
      </c>
      <c r="K423" s="3" t="s">
        <v>21</v>
      </c>
      <c r="L423" s="3" t="s">
        <v>22</v>
      </c>
      <c r="M423" s="4">
        <v>289</v>
      </c>
      <c r="N423" s="3" t="s">
        <v>84</v>
      </c>
      <c r="O423" s="3" t="s">
        <v>281</v>
      </c>
      <c r="P423" s="3" t="s">
        <v>843</v>
      </c>
    </row>
    <row r="424" spans="1:16" hidden="1" x14ac:dyDescent="0.4">
      <c r="A424" s="7">
        <v>423</v>
      </c>
      <c r="B424" s="8" t="s">
        <v>2025</v>
      </c>
      <c r="C424" s="6" t="str">
        <f>IFERROR(IF(LEFT(D424,FIND(" ",D424)-1)="전라북도","전북특별자치도",LEFT(D424,FIND(" ",D424)-1)),"")</f>
        <v>전북특별자치도</v>
      </c>
      <c r="D424" s="3" t="s">
        <v>2026</v>
      </c>
      <c r="E424" s="3" t="s">
        <v>2027</v>
      </c>
      <c r="F424" s="3" t="s">
        <v>2028</v>
      </c>
      <c r="G424" s="3" t="s">
        <v>2029</v>
      </c>
      <c r="H424" s="3" t="s">
        <v>2030</v>
      </c>
      <c r="I424" s="3" t="s">
        <v>2031</v>
      </c>
      <c r="J424" s="3" t="s">
        <v>19</v>
      </c>
      <c r="K424" s="3" t="s">
        <v>21</v>
      </c>
      <c r="L424" s="3" t="s">
        <v>22</v>
      </c>
      <c r="M424" s="4">
        <v>1653</v>
      </c>
      <c r="N424" s="3" t="s">
        <v>23</v>
      </c>
      <c r="O424" s="3" t="s">
        <v>281</v>
      </c>
      <c r="P424" s="3" t="s">
        <v>1711</v>
      </c>
    </row>
    <row r="425" spans="1:16" x14ac:dyDescent="0.4">
      <c r="A425" s="7">
        <v>424</v>
      </c>
      <c r="B425" s="8" t="s">
        <v>2032</v>
      </c>
      <c r="C425" s="6" t="str">
        <f>IFERROR(IF(LEFT(D425,FIND(" ",D425)-1)="전라북도","전북특별자치도",LEFT(D425,FIND(" ",D425)-1)),"")</f>
        <v>전라남도</v>
      </c>
      <c r="D425" s="3" t="s">
        <v>2033</v>
      </c>
      <c r="E425" s="3" t="s">
        <v>2034</v>
      </c>
      <c r="F425" s="3" t="s">
        <v>2035</v>
      </c>
      <c r="G425" s="3" t="s">
        <v>2036</v>
      </c>
      <c r="H425" s="3" t="s">
        <v>2037</v>
      </c>
      <c r="I425" s="3" t="s">
        <v>19</v>
      </c>
      <c r="J425" s="3" t="s">
        <v>2038</v>
      </c>
      <c r="K425" s="3" t="s">
        <v>21</v>
      </c>
      <c r="L425" s="3" t="s">
        <v>22</v>
      </c>
      <c r="M425" s="4">
        <v>2603</v>
      </c>
      <c r="N425" s="3" t="s">
        <v>23</v>
      </c>
      <c r="O425" s="3" t="s">
        <v>24</v>
      </c>
      <c r="P425" s="3" t="s">
        <v>19</v>
      </c>
    </row>
    <row r="426" spans="1:16" hidden="1" x14ac:dyDescent="0.4">
      <c r="A426" s="7">
        <v>425</v>
      </c>
      <c r="B426" s="8" t="s">
        <v>2039</v>
      </c>
      <c r="C426" s="6" t="str">
        <f>IFERROR(IF(LEFT(D426,FIND(" ",D426)-1)="전라북도","전북특별자치도",LEFT(D426,FIND(" ",D426)-1)),"")</f>
        <v>경기도</v>
      </c>
      <c r="D426" s="3" t="s">
        <v>2040</v>
      </c>
      <c r="E426" s="3" t="s">
        <v>2041</v>
      </c>
      <c r="F426" s="3" t="s">
        <v>2042</v>
      </c>
      <c r="G426" s="3" t="s">
        <v>2043</v>
      </c>
      <c r="H426" s="3" t="s">
        <v>869</v>
      </c>
      <c r="I426" s="3" t="s">
        <v>869</v>
      </c>
      <c r="J426" s="3" t="s">
        <v>19</v>
      </c>
      <c r="K426" s="3" t="s">
        <v>21</v>
      </c>
      <c r="L426" s="3" t="s">
        <v>22</v>
      </c>
      <c r="M426" s="4">
        <v>561</v>
      </c>
      <c r="N426" s="3" t="s">
        <v>23</v>
      </c>
      <c r="O426" s="3" t="s">
        <v>281</v>
      </c>
      <c r="P426" s="3" t="s">
        <v>843</v>
      </c>
    </row>
    <row r="427" spans="1:16" x14ac:dyDescent="0.4">
      <c r="A427" s="7">
        <v>426</v>
      </c>
      <c r="B427" s="8" t="s">
        <v>2044</v>
      </c>
      <c r="C427" s="6" t="str">
        <f>IFERROR(IF(LEFT(D427,FIND(" ",D427)-1)="전라북도","전북특별자치도",LEFT(D427,FIND(" ",D427)-1)),"")</f>
        <v>경상북도</v>
      </c>
      <c r="D427" s="3" t="s">
        <v>2045</v>
      </c>
      <c r="E427" s="3" t="s">
        <v>2046</v>
      </c>
      <c r="F427" s="3" t="s">
        <v>375</v>
      </c>
      <c r="G427" s="3" t="s">
        <v>2047</v>
      </c>
      <c r="H427" s="3" t="s">
        <v>2048</v>
      </c>
      <c r="I427" s="3" t="s">
        <v>2049</v>
      </c>
      <c r="J427" s="3" t="s">
        <v>19</v>
      </c>
      <c r="K427" s="3" t="s">
        <v>21</v>
      </c>
      <c r="L427" s="3" t="s">
        <v>22</v>
      </c>
      <c r="M427" s="4">
        <v>239</v>
      </c>
      <c r="N427" s="3" t="s">
        <v>23</v>
      </c>
      <c r="O427" s="3" t="s">
        <v>24</v>
      </c>
      <c r="P427" s="3" t="s">
        <v>19</v>
      </c>
    </row>
    <row r="428" spans="1:16" hidden="1" x14ac:dyDescent="0.4">
      <c r="A428" s="7">
        <v>427</v>
      </c>
      <c r="B428" s="8" t="s">
        <v>2050</v>
      </c>
      <c r="C428" s="6" t="str">
        <f>IFERROR(IF(LEFT(D428,FIND(" ",D428)-1)="전라북도","전북특별자치도",LEFT(D428,FIND(" ",D428)-1)),"")</f>
        <v>전라남도</v>
      </c>
      <c r="D428" s="3" t="s">
        <v>2051</v>
      </c>
      <c r="E428" s="3" t="s">
        <v>2052</v>
      </c>
      <c r="F428" s="3" t="s">
        <v>2053</v>
      </c>
      <c r="G428" s="3" t="s">
        <v>2054</v>
      </c>
      <c r="H428" s="3" t="s">
        <v>2055</v>
      </c>
      <c r="I428" s="3" t="s">
        <v>1580</v>
      </c>
      <c r="J428" s="3" t="s">
        <v>19</v>
      </c>
      <c r="K428" s="3" t="s">
        <v>21</v>
      </c>
      <c r="L428" s="3" t="s">
        <v>22</v>
      </c>
      <c r="M428" s="4">
        <v>1262</v>
      </c>
      <c r="N428" s="3" t="s">
        <v>23</v>
      </c>
      <c r="O428" s="3" t="s">
        <v>281</v>
      </c>
      <c r="P428" s="3" t="s">
        <v>793</v>
      </c>
    </row>
    <row r="429" spans="1:16" hidden="1" x14ac:dyDescent="0.4">
      <c r="A429" s="7">
        <v>428</v>
      </c>
      <c r="B429" s="8" t="s">
        <v>2056</v>
      </c>
      <c r="C429" s="6" t="str">
        <f>IFERROR(IF(LEFT(D429,FIND(" ",D429)-1)="전라북도","전북특별자치도",LEFT(D429,FIND(" ",D429)-1)),"")</f>
        <v>강원특별자치도</v>
      </c>
      <c r="D429" s="3" t="s">
        <v>2057</v>
      </c>
      <c r="E429" s="3" t="s">
        <v>2058</v>
      </c>
      <c r="F429" s="3" t="s">
        <v>2059</v>
      </c>
      <c r="G429" s="3" t="s">
        <v>2060</v>
      </c>
      <c r="H429" s="3" t="s">
        <v>2061</v>
      </c>
      <c r="I429" s="3" t="s">
        <v>2061</v>
      </c>
      <c r="J429" s="3" t="s">
        <v>19</v>
      </c>
      <c r="K429" s="3" t="s">
        <v>21</v>
      </c>
      <c r="L429" s="3" t="s">
        <v>22</v>
      </c>
      <c r="M429" s="4">
        <v>490</v>
      </c>
      <c r="N429" s="3" t="s">
        <v>23</v>
      </c>
      <c r="O429" s="3" t="s">
        <v>281</v>
      </c>
      <c r="P429" s="3" t="s">
        <v>1646</v>
      </c>
    </row>
    <row r="430" spans="1:16" hidden="1" x14ac:dyDescent="0.4">
      <c r="A430" s="7">
        <v>429</v>
      </c>
      <c r="B430" s="8" t="s">
        <v>2062</v>
      </c>
      <c r="C430" s="6" t="str">
        <f>IFERROR(IF(LEFT(D430,FIND(" ",D430)-1)="전라북도","전북특별자치도",LEFT(D430,FIND(" ",D430)-1)),"")</f>
        <v>경기도</v>
      </c>
      <c r="D430" s="3" t="s">
        <v>2063</v>
      </c>
      <c r="E430" s="3" t="s">
        <v>2064</v>
      </c>
      <c r="F430" s="3" t="s">
        <v>2065</v>
      </c>
      <c r="G430" s="3" t="s">
        <v>2066</v>
      </c>
      <c r="H430" s="3" t="s">
        <v>2067</v>
      </c>
      <c r="I430" s="3" t="s">
        <v>19</v>
      </c>
      <c r="J430" s="3" t="s">
        <v>19</v>
      </c>
      <c r="K430" s="3" t="s">
        <v>21</v>
      </c>
      <c r="L430" s="3" t="s">
        <v>147</v>
      </c>
      <c r="M430" s="4">
        <v>2751</v>
      </c>
      <c r="N430" s="3" t="s">
        <v>23</v>
      </c>
      <c r="O430" s="3" t="s">
        <v>281</v>
      </c>
      <c r="P430" s="3" t="s">
        <v>289</v>
      </c>
    </row>
    <row r="431" spans="1:16" hidden="1" x14ac:dyDescent="0.4">
      <c r="A431" s="7">
        <v>430</v>
      </c>
      <c r="B431" s="8" t="s">
        <v>2068</v>
      </c>
      <c r="C431" s="6" t="str">
        <f>IFERROR(IF(LEFT(D431,FIND(" ",D431)-1)="전라북도","전북특별자치도",LEFT(D431,FIND(" ",D431)-1)),"")</f>
        <v>경상북도</v>
      </c>
      <c r="D431" s="3" t="s">
        <v>2069</v>
      </c>
      <c r="E431" s="3" t="s">
        <v>2070</v>
      </c>
      <c r="F431" s="3" t="s">
        <v>2071</v>
      </c>
      <c r="G431" s="3" t="s">
        <v>19</v>
      </c>
      <c r="H431" s="3" t="s">
        <v>2072</v>
      </c>
      <c r="I431" s="3" t="s">
        <v>19</v>
      </c>
      <c r="J431" s="3" t="s">
        <v>19</v>
      </c>
      <c r="K431" s="3" t="s">
        <v>21</v>
      </c>
      <c r="L431" s="3" t="s">
        <v>147</v>
      </c>
      <c r="M431" s="4">
        <v>683</v>
      </c>
      <c r="N431" s="3" t="s">
        <v>23</v>
      </c>
      <c r="O431" s="3" t="s">
        <v>281</v>
      </c>
      <c r="P431" s="3" t="s">
        <v>1899</v>
      </c>
    </row>
    <row r="432" spans="1:16" hidden="1" x14ac:dyDescent="0.4">
      <c r="A432" s="7">
        <v>431</v>
      </c>
      <c r="B432" s="8" t="s">
        <v>2073</v>
      </c>
      <c r="C432" s="6" t="str">
        <f>IFERROR(IF(LEFT(D432,FIND(" ",D432)-1)="전라북도","전북특별자치도",LEFT(D432,FIND(" ",D432)-1)),"")</f>
        <v>경상북도</v>
      </c>
      <c r="D432" s="3" t="s">
        <v>1518</v>
      </c>
      <c r="E432" s="3" t="s">
        <v>2074</v>
      </c>
      <c r="F432" s="3" t="s">
        <v>2071</v>
      </c>
      <c r="G432" s="3" t="s">
        <v>2075</v>
      </c>
      <c r="H432" s="3" t="s">
        <v>2076</v>
      </c>
      <c r="I432" s="3" t="s">
        <v>663</v>
      </c>
      <c r="J432" s="3" t="s">
        <v>2077</v>
      </c>
      <c r="K432" s="3" t="s">
        <v>21</v>
      </c>
      <c r="L432" s="3" t="s">
        <v>22</v>
      </c>
      <c r="M432" s="4">
        <v>4880</v>
      </c>
      <c r="N432" s="3" t="s">
        <v>23</v>
      </c>
      <c r="O432" s="3" t="s">
        <v>281</v>
      </c>
      <c r="P432" s="3" t="s">
        <v>1159</v>
      </c>
    </row>
    <row r="433" spans="1:16" hidden="1" x14ac:dyDescent="0.4">
      <c r="A433" s="7">
        <v>432</v>
      </c>
      <c r="B433" s="8" t="s">
        <v>2078</v>
      </c>
      <c r="C433" s="6" t="str">
        <f>IFERROR(IF(LEFT(D433,FIND(" ",D433)-1)="전라북도","전북특별자치도",LEFT(D433,FIND(" ",D433)-1)),"")</f>
        <v>경상남도</v>
      </c>
      <c r="D433" s="3" t="s">
        <v>2079</v>
      </c>
      <c r="E433" s="3" t="s">
        <v>1911</v>
      </c>
      <c r="F433" s="3" t="s">
        <v>2080</v>
      </c>
      <c r="G433" s="3" t="s">
        <v>19</v>
      </c>
      <c r="H433" s="3" t="s">
        <v>2082</v>
      </c>
      <c r="I433" s="3" t="s">
        <v>2082</v>
      </c>
      <c r="J433" s="3" t="s">
        <v>19</v>
      </c>
      <c r="K433" s="3" t="s">
        <v>21</v>
      </c>
      <c r="L433" s="3" t="s">
        <v>147</v>
      </c>
      <c r="M433" s="4">
        <v>1285</v>
      </c>
      <c r="N433" s="3" t="s">
        <v>23</v>
      </c>
      <c r="O433" s="3" t="s">
        <v>281</v>
      </c>
      <c r="P433" s="3" t="s">
        <v>2081</v>
      </c>
    </row>
    <row r="434" spans="1:16" hidden="1" x14ac:dyDescent="0.4">
      <c r="A434" s="7">
        <v>433</v>
      </c>
      <c r="B434" s="8" t="s">
        <v>2083</v>
      </c>
      <c r="C434" s="6" t="str">
        <f>IFERROR(IF(LEFT(D434,FIND(" ",D434)-1)="전라북도","전북특별자치도",LEFT(D434,FIND(" ",D434)-1)),"")</f>
        <v>경기도</v>
      </c>
      <c r="D434" s="3" t="s">
        <v>2084</v>
      </c>
      <c r="E434" s="3" t="s">
        <v>2085</v>
      </c>
      <c r="F434" s="3" t="s">
        <v>2085</v>
      </c>
      <c r="G434" s="3" t="s">
        <v>19</v>
      </c>
      <c r="H434" s="3" t="s">
        <v>302</v>
      </c>
      <c r="I434" s="3" t="s">
        <v>19</v>
      </c>
      <c r="J434" s="3" t="s">
        <v>19</v>
      </c>
      <c r="K434" s="3" t="s">
        <v>481</v>
      </c>
      <c r="L434" s="3" t="s">
        <v>147</v>
      </c>
      <c r="M434" s="4">
        <v>364</v>
      </c>
      <c r="N434" s="3" t="s">
        <v>84</v>
      </c>
      <c r="O434" s="3" t="s">
        <v>281</v>
      </c>
      <c r="P434" s="3" t="s">
        <v>2016</v>
      </c>
    </row>
    <row r="435" spans="1:16" hidden="1" x14ac:dyDescent="0.4">
      <c r="A435" s="7">
        <v>434</v>
      </c>
      <c r="B435" s="8" t="s">
        <v>2086</v>
      </c>
      <c r="C435" s="6" t="str">
        <f>IFERROR(IF(LEFT(D435,FIND(" ",D435)-1)="전라북도","전북특별자치도",LEFT(D435,FIND(" ",D435)-1)),"")</f>
        <v>경상북도</v>
      </c>
      <c r="D435" s="3" t="s">
        <v>2087</v>
      </c>
      <c r="E435" s="3" t="s">
        <v>2011</v>
      </c>
      <c r="F435" s="3" t="s">
        <v>2052</v>
      </c>
      <c r="G435" s="3" t="s">
        <v>2089</v>
      </c>
      <c r="H435" s="3" t="s">
        <v>2090</v>
      </c>
      <c r="I435" s="3" t="s">
        <v>2091</v>
      </c>
      <c r="J435" s="3" t="s">
        <v>2092</v>
      </c>
      <c r="K435" s="3" t="s">
        <v>21</v>
      </c>
      <c r="L435" s="3" t="s">
        <v>22</v>
      </c>
      <c r="M435" s="4">
        <v>466</v>
      </c>
      <c r="N435" s="3" t="s">
        <v>23</v>
      </c>
      <c r="O435" s="3" t="s">
        <v>281</v>
      </c>
      <c r="P435" s="3" t="s">
        <v>2088</v>
      </c>
    </row>
    <row r="436" spans="1:16" hidden="1" x14ac:dyDescent="0.4">
      <c r="A436" s="7">
        <v>435</v>
      </c>
      <c r="B436" s="8" t="s">
        <v>2093</v>
      </c>
      <c r="C436" s="6" t="str">
        <f>IFERROR(IF(LEFT(D436,FIND(" ",D436)-1)="전라북도","전북특별자치도",LEFT(D436,FIND(" ",D436)-1)),"")</f>
        <v>강원특별자치도</v>
      </c>
      <c r="D436" s="3" t="s">
        <v>2094</v>
      </c>
      <c r="E436" s="3" t="s">
        <v>2095</v>
      </c>
      <c r="F436" s="3" t="s">
        <v>2096</v>
      </c>
      <c r="G436" s="3" t="s">
        <v>2097</v>
      </c>
      <c r="H436" s="3" t="s">
        <v>2098</v>
      </c>
      <c r="I436" s="3" t="s">
        <v>19</v>
      </c>
      <c r="J436" s="3" t="s">
        <v>19</v>
      </c>
      <c r="K436" s="3" t="s">
        <v>21</v>
      </c>
      <c r="L436" s="3" t="s">
        <v>22</v>
      </c>
      <c r="M436" s="4">
        <v>75</v>
      </c>
      <c r="N436" s="3" t="s">
        <v>23</v>
      </c>
      <c r="O436" s="3" t="s">
        <v>281</v>
      </c>
      <c r="P436" s="3" t="s">
        <v>1725</v>
      </c>
    </row>
    <row r="437" spans="1:16" hidden="1" x14ac:dyDescent="0.4">
      <c r="A437" s="7">
        <v>436</v>
      </c>
      <c r="B437" s="8" t="s">
        <v>2099</v>
      </c>
      <c r="C437" s="6" t="str">
        <f>IFERROR(IF(LEFT(D437,FIND(" ",D437)-1)="전라북도","전북특별자치도",LEFT(D437,FIND(" ",D437)-1)),"")</f>
        <v>강원특별자치도</v>
      </c>
      <c r="D437" s="3" t="s">
        <v>2100</v>
      </c>
      <c r="E437" s="3" t="s">
        <v>1337</v>
      </c>
      <c r="F437" s="3" t="s">
        <v>2101</v>
      </c>
      <c r="G437" s="3" t="s">
        <v>2103</v>
      </c>
      <c r="H437" s="3" t="s">
        <v>2104</v>
      </c>
      <c r="I437" s="3" t="s">
        <v>2104</v>
      </c>
      <c r="J437" s="3" t="s">
        <v>19</v>
      </c>
      <c r="K437" s="3" t="s">
        <v>21</v>
      </c>
      <c r="L437" s="3" t="s">
        <v>147</v>
      </c>
      <c r="M437" s="4">
        <v>16171</v>
      </c>
      <c r="N437" s="3" t="s">
        <v>23</v>
      </c>
      <c r="O437" s="3" t="s">
        <v>281</v>
      </c>
      <c r="P437" s="3" t="s">
        <v>2102</v>
      </c>
    </row>
    <row r="438" spans="1:16" hidden="1" x14ac:dyDescent="0.4">
      <c r="A438" s="7">
        <v>437</v>
      </c>
      <c r="B438" s="8" t="s">
        <v>2105</v>
      </c>
      <c r="C438" s="6" t="str">
        <f>IFERROR(IF(LEFT(D438,FIND(" ",D438)-1)="전라북도","전북특별자치도",LEFT(D438,FIND(" ",D438)-1)),"")</f>
        <v>전라남도</v>
      </c>
      <c r="D438" s="3" t="s">
        <v>2106</v>
      </c>
      <c r="E438" s="3" t="s">
        <v>2107</v>
      </c>
      <c r="F438" s="3" t="s">
        <v>1874</v>
      </c>
      <c r="G438" s="3" t="s">
        <v>2109</v>
      </c>
      <c r="H438" s="3" t="s">
        <v>2110</v>
      </c>
      <c r="I438" s="3" t="s">
        <v>2110</v>
      </c>
      <c r="J438" s="3" t="s">
        <v>19</v>
      </c>
      <c r="K438" s="3" t="s">
        <v>21</v>
      </c>
      <c r="L438" s="3" t="s">
        <v>22</v>
      </c>
      <c r="M438" s="4">
        <v>492</v>
      </c>
      <c r="N438" s="3" t="s">
        <v>2111</v>
      </c>
      <c r="O438" s="3" t="s">
        <v>281</v>
      </c>
      <c r="P438" s="3" t="s">
        <v>2108</v>
      </c>
    </row>
    <row r="439" spans="1:16" x14ac:dyDescent="0.4">
      <c r="A439" s="7">
        <v>438</v>
      </c>
      <c r="B439" s="8" t="s">
        <v>2112</v>
      </c>
      <c r="C439" s="6" t="str">
        <f>IFERROR(IF(LEFT(D439,FIND(" ",D439)-1)="전라북도","전북특별자치도",LEFT(D439,FIND(" ",D439)-1)),"")</f>
        <v>제주특별자치도</v>
      </c>
      <c r="D439" s="3" t="s">
        <v>2113</v>
      </c>
      <c r="E439" s="3" t="s">
        <v>2114</v>
      </c>
      <c r="F439" s="3" t="s">
        <v>1874</v>
      </c>
      <c r="G439" s="3" t="s">
        <v>2115</v>
      </c>
      <c r="H439" s="3" t="s">
        <v>2116</v>
      </c>
      <c r="I439" s="3" t="s">
        <v>2116</v>
      </c>
      <c r="J439" s="3" t="s">
        <v>2117</v>
      </c>
      <c r="K439" s="3" t="s">
        <v>21</v>
      </c>
      <c r="L439" s="3" t="s">
        <v>22</v>
      </c>
      <c r="M439" s="4">
        <v>1018</v>
      </c>
      <c r="N439" s="3" t="s">
        <v>23</v>
      </c>
      <c r="O439" s="3" t="s">
        <v>24</v>
      </c>
      <c r="P439" s="3" t="s">
        <v>19</v>
      </c>
    </row>
    <row r="440" spans="1:16" hidden="1" x14ac:dyDescent="0.4">
      <c r="A440" s="7">
        <v>439</v>
      </c>
      <c r="B440" s="8" t="s">
        <v>2118</v>
      </c>
      <c r="C440" s="6" t="str">
        <f>IFERROR(IF(LEFT(D440,FIND(" ",D440)-1)="전라북도","전북특별자치도",LEFT(D440,FIND(" ",D440)-1)),"")</f>
        <v>경상북도</v>
      </c>
      <c r="D440" s="3" t="s">
        <v>2119</v>
      </c>
      <c r="E440" s="3" t="s">
        <v>2120</v>
      </c>
      <c r="F440" s="3" t="s">
        <v>2121</v>
      </c>
      <c r="G440" s="3" t="s">
        <v>2122</v>
      </c>
      <c r="H440" s="3" t="s">
        <v>2123</v>
      </c>
      <c r="I440" s="3" t="s">
        <v>2123</v>
      </c>
      <c r="J440" s="3" t="s">
        <v>19</v>
      </c>
      <c r="K440" s="3" t="s">
        <v>21</v>
      </c>
      <c r="L440" s="3" t="s">
        <v>228</v>
      </c>
      <c r="M440" s="4">
        <v>482</v>
      </c>
      <c r="N440" s="3" t="s">
        <v>1498</v>
      </c>
      <c r="O440" s="3" t="s">
        <v>281</v>
      </c>
      <c r="P440" s="3" t="s">
        <v>793</v>
      </c>
    </row>
    <row r="441" spans="1:16" hidden="1" x14ac:dyDescent="0.4">
      <c r="A441" s="7">
        <v>440</v>
      </c>
      <c r="B441" s="8" t="s">
        <v>2124</v>
      </c>
      <c r="C441" s="6" t="str">
        <f>IFERROR(IF(LEFT(D441,FIND(" ",D441)-1)="전라북도","전북특별자치도",LEFT(D441,FIND(" ",D441)-1)),"")</f>
        <v>제주특별자치도</v>
      </c>
      <c r="D441" s="3" t="s">
        <v>2125</v>
      </c>
      <c r="E441" s="3" t="s">
        <v>2126</v>
      </c>
      <c r="F441" s="3" t="s">
        <v>2127</v>
      </c>
      <c r="G441" s="3" t="s">
        <v>2128</v>
      </c>
      <c r="H441" s="3" t="s">
        <v>2129</v>
      </c>
      <c r="I441" s="3" t="s">
        <v>2129</v>
      </c>
      <c r="J441" s="3" t="s">
        <v>19</v>
      </c>
      <c r="K441" s="3" t="s">
        <v>21</v>
      </c>
      <c r="L441" s="3" t="s">
        <v>147</v>
      </c>
      <c r="M441" s="4">
        <v>384</v>
      </c>
      <c r="N441" s="3" t="s">
        <v>1498</v>
      </c>
      <c r="O441" s="3" t="s">
        <v>281</v>
      </c>
      <c r="P441" s="3" t="s">
        <v>1661</v>
      </c>
    </row>
    <row r="442" spans="1:16" hidden="1" x14ac:dyDescent="0.4">
      <c r="A442" s="7">
        <v>441</v>
      </c>
      <c r="B442" s="8" t="s">
        <v>2130</v>
      </c>
      <c r="C442" s="6" t="str">
        <f>IFERROR(IF(LEFT(D442,FIND(" ",D442)-1)="전라북도","전북특별자치도",LEFT(D442,FIND(" ",D442)-1)),"")</f>
        <v>경상북도</v>
      </c>
      <c r="D442" s="3" t="s">
        <v>2131</v>
      </c>
      <c r="E442" s="3" t="s">
        <v>2132</v>
      </c>
      <c r="F442" s="3" t="s">
        <v>2133</v>
      </c>
      <c r="G442" s="3" t="s">
        <v>2135</v>
      </c>
      <c r="H442" s="3" t="s">
        <v>2136</v>
      </c>
      <c r="I442" s="3" t="s">
        <v>2137</v>
      </c>
      <c r="J442" s="3" t="s">
        <v>19</v>
      </c>
      <c r="K442" s="3" t="s">
        <v>21</v>
      </c>
      <c r="L442" s="3" t="s">
        <v>22</v>
      </c>
      <c r="M442" s="4">
        <v>809</v>
      </c>
      <c r="N442" s="3" t="s">
        <v>1498</v>
      </c>
      <c r="O442" s="3" t="s">
        <v>281</v>
      </c>
      <c r="P442" s="3" t="s">
        <v>2134</v>
      </c>
    </row>
    <row r="443" spans="1:16" hidden="1" x14ac:dyDescent="0.4">
      <c r="A443" s="7">
        <v>442</v>
      </c>
      <c r="B443" s="8" t="s">
        <v>2138</v>
      </c>
      <c r="C443" s="6" t="str">
        <f>IFERROR(IF(LEFT(D443,FIND(" ",D443)-1)="전라북도","전북특별자치도",LEFT(D443,FIND(" ",D443)-1)),"")</f>
        <v>강원특별자치도</v>
      </c>
      <c r="D443" s="3" t="s">
        <v>2139</v>
      </c>
      <c r="E443" s="3" t="s">
        <v>72</v>
      </c>
      <c r="F443" s="3" t="s">
        <v>2140</v>
      </c>
      <c r="G443" s="3" t="s">
        <v>2141</v>
      </c>
      <c r="H443" s="3" t="s">
        <v>19</v>
      </c>
      <c r="I443" s="3" t="s">
        <v>19</v>
      </c>
      <c r="J443" s="3" t="s">
        <v>19</v>
      </c>
      <c r="K443" s="3" t="s">
        <v>21</v>
      </c>
      <c r="L443" s="3" t="s">
        <v>22</v>
      </c>
      <c r="M443" s="4">
        <v>198</v>
      </c>
      <c r="N443" s="3" t="s">
        <v>1498</v>
      </c>
      <c r="O443" s="3" t="s">
        <v>281</v>
      </c>
      <c r="P443" s="3" t="s">
        <v>1710</v>
      </c>
    </row>
    <row r="444" spans="1:16" hidden="1" x14ac:dyDescent="0.4">
      <c r="A444" s="7">
        <v>443</v>
      </c>
      <c r="B444" s="8" t="s">
        <v>2142</v>
      </c>
      <c r="C444" s="6" t="str">
        <f>IFERROR(IF(LEFT(D444,FIND(" ",D444)-1)="전라북도","전북특별자치도",LEFT(D444,FIND(" ",D444)-1)),"")</f>
        <v>울산광역시</v>
      </c>
      <c r="D444" s="3" t="s">
        <v>2143</v>
      </c>
      <c r="E444" s="3" t="s">
        <v>1886</v>
      </c>
      <c r="F444" s="3" t="s">
        <v>2144</v>
      </c>
      <c r="G444" s="3" t="s">
        <v>2146</v>
      </c>
      <c r="H444" s="3" t="s">
        <v>2147</v>
      </c>
      <c r="I444" s="3" t="s">
        <v>2148</v>
      </c>
      <c r="J444" s="3" t="s">
        <v>2149</v>
      </c>
      <c r="K444" s="3" t="s">
        <v>21</v>
      </c>
      <c r="L444" s="3" t="s">
        <v>22</v>
      </c>
      <c r="M444" s="4">
        <v>904</v>
      </c>
      <c r="N444" s="3" t="s">
        <v>1498</v>
      </c>
      <c r="O444" s="3" t="s">
        <v>281</v>
      </c>
      <c r="P444" s="3" t="s">
        <v>2145</v>
      </c>
    </row>
    <row r="445" spans="1:16" x14ac:dyDescent="0.4">
      <c r="A445" s="7">
        <v>444</v>
      </c>
      <c r="B445" s="8" t="s">
        <v>2150</v>
      </c>
      <c r="C445" s="6" t="str">
        <f>IFERROR(IF(LEFT(D445,FIND(" ",D445)-1)="전라북도","전북특별자치도",LEFT(D445,FIND(" ",D445)-1)),"")</f>
        <v>전라남도</v>
      </c>
      <c r="D445" s="3" t="s">
        <v>2151</v>
      </c>
      <c r="E445" s="3" t="s">
        <v>713</v>
      </c>
      <c r="F445" s="3" t="s">
        <v>2152</v>
      </c>
      <c r="G445" s="3" t="s">
        <v>2153</v>
      </c>
      <c r="H445" s="3" t="s">
        <v>2154</v>
      </c>
      <c r="I445" s="3" t="s">
        <v>19</v>
      </c>
      <c r="J445" s="3" t="s">
        <v>19</v>
      </c>
      <c r="K445" s="3" t="s">
        <v>21</v>
      </c>
      <c r="L445" s="3" t="s">
        <v>22</v>
      </c>
      <c r="M445" s="4">
        <v>658</v>
      </c>
      <c r="N445" s="3" t="s">
        <v>2155</v>
      </c>
      <c r="O445" s="3" t="s">
        <v>24</v>
      </c>
      <c r="P445" s="3" t="s">
        <v>19</v>
      </c>
    </row>
    <row r="446" spans="1:16" hidden="1" x14ac:dyDescent="0.4">
      <c r="A446" s="7">
        <v>445</v>
      </c>
      <c r="B446" s="8" t="s">
        <v>2156</v>
      </c>
      <c r="C446" s="6" t="str">
        <f>IFERROR(IF(LEFT(D446,FIND(" ",D446)-1)="전라북도","전북특별자치도",LEFT(D446,FIND(" ",D446)-1)),"")</f>
        <v>경상북도</v>
      </c>
      <c r="D446" s="3" t="s">
        <v>2157</v>
      </c>
      <c r="E446" s="3" t="s">
        <v>2120</v>
      </c>
      <c r="F446" s="3" t="s">
        <v>2152</v>
      </c>
      <c r="G446" s="3" t="s">
        <v>2158</v>
      </c>
      <c r="H446" s="3" t="s">
        <v>2159</v>
      </c>
      <c r="I446" s="3" t="s">
        <v>2160</v>
      </c>
      <c r="J446" s="3" t="s">
        <v>2161</v>
      </c>
      <c r="K446" s="3" t="s">
        <v>21</v>
      </c>
      <c r="L446" s="3" t="s">
        <v>228</v>
      </c>
      <c r="M446" s="4">
        <v>4292</v>
      </c>
      <c r="N446" s="3" t="s">
        <v>1839</v>
      </c>
      <c r="O446" s="3" t="s">
        <v>281</v>
      </c>
      <c r="P446" s="3" t="s">
        <v>2035</v>
      </c>
    </row>
    <row r="447" spans="1:16" hidden="1" x14ac:dyDescent="0.4">
      <c r="A447" s="7">
        <v>446</v>
      </c>
      <c r="B447" s="8" t="s">
        <v>2162</v>
      </c>
      <c r="C447" s="6" t="str">
        <f>IFERROR(IF(LEFT(D447,FIND(" ",D447)-1)="전라북도","전북특별자치도",LEFT(D447,FIND(" ",D447)-1)),"")</f>
        <v>제주특별자치도</v>
      </c>
      <c r="D447" s="3" t="s">
        <v>2163</v>
      </c>
      <c r="E447" s="3" t="s">
        <v>2164</v>
      </c>
      <c r="F447" s="3" t="s">
        <v>1886</v>
      </c>
      <c r="G447" s="3" t="s">
        <v>2165</v>
      </c>
      <c r="H447" s="3" t="s">
        <v>2166</v>
      </c>
      <c r="I447" s="3" t="s">
        <v>19</v>
      </c>
      <c r="J447" s="3" t="s">
        <v>2167</v>
      </c>
      <c r="K447" s="3" t="s">
        <v>21</v>
      </c>
      <c r="L447" s="3" t="s">
        <v>147</v>
      </c>
      <c r="M447" s="4">
        <v>498</v>
      </c>
      <c r="N447" s="3" t="s">
        <v>84</v>
      </c>
      <c r="O447" s="3" t="s">
        <v>281</v>
      </c>
      <c r="P447" s="3" t="s">
        <v>126</v>
      </c>
    </row>
    <row r="448" spans="1:16" x14ac:dyDescent="0.4">
      <c r="A448" s="7">
        <v>447</v>
      </c>
      <c r="B448" s="8" t="s">
        <v>2168</v>
      </c>
      <c r="C448" s="6" t="str">
        <f>IFERROR(IF(LEFT(D448,FIND(" ",D448)-1)="전라북도","전북특별자치도",LEFT(D448,FIND(" ",D448)-1)),"")</f>
        <v>강원특별자치도</v>
      </c>
      <c r="D448" s="3" t="s">
        <v>2169</v>
      </c>
      <c r="E448" s="3" t="s">
        <v>2170</v>
      </c>
      <c r="F448" s="3" t="s">
        <v>2171</v>
      </c>
      <c r="G448" s="3" t="s">
        <v>2172</v>
      </c>
      <c r="H448" s="3" t="s">
        <v>1110</v>
      </c>
      <c r="I448" s="3" t="s">
        <v>2173</v>
      </c>
      <c r="J448" s="3" t="s">
        <v>19</v>
      </c>
      <c r="K448" s="3" t="s">
        <v>21</v>
      </c>
      <c r="L448" s="3" t="s">
        <v>22</v>
      </c>
      <c r="M448" s="4">
        <v>14478</v>
      </c>
      <c r="N448" s="3" t="s">
        <v>2174</v>
      </c>
      <c r="O448" s="3" t="s">
        <v>24</v>
      </c>
      <c r="P448" s="3" t="s">
        <v>19</v>
      </c>
    </row>
    <row r="449" spans="1:16" hidden="1" x14ac:dyDescent="0.4">
      <c r="A449" s="7">
        <v>448</v>
      </c>
      <c r="B449" s="8" t="s">
        <v>2175</v>
      </c>
      <c r="C449" s="6" t="str">
        <f>IFERROR(IF(LEFT(D449,FIND(" ",D449)-1)="전라북도","전북특별자치도",LEFT(D449,FIND(" ",D449)-1)),"")</f>
        <v>충청남도</v>
      </c>
      <c r="D449" s="3" t="s">
        <v>2176</v>
      </c>
      <c r="E449" s="3" t="s">
        <v>2177</v>
      </c>
      <c r="F449" s="3" t="s">
        <v>434</v>
      </c>
      <c r="G449" s="3" t="s">
        <v>2178</v>
      </c>
      <c r="H449" s="3" t="s">
        <v>2179</v>
      </c>
      <c r="I449" s="3" t="s">
        <v>603</v>
      </c>
      <c r="J449" s="3" t="s">
        <v>19</v>
      </c>
      <c r="K449" s="3" t="s">
        <v>21</v>
      </c>
      <c r="L449" s="3" t="s">
        <v>22</v>
      </c>
      <c r="M449" s="4">
        <v>1065</v>
      </c>
      <c r="N449" s="3" t="s">
        <v>123</v>
      </c>
      <c r="O449" s="3" t="s">
        <v>281</v>
      </c>
      <c r="P449" s="3" t="s">
        <v>1843</v>
      </c>
    </row>
    <row r="450" spans="1:16" hidden="1" x14ac:dyDescent="0.4">
      <c r="A450" s="7">
        <v>449</v>
      </c>
      <c r="B450" s="8" t="s">
        <v>2180</v>
      </c>
      <c r="C450" s="6" t="str">
        <f>IFERROR(IF(LEFT(D450,FIND(" ",D450)-1)="전라북도","전북특별자치도",LEFT(D450,FIND(" ",D450)-1)),"")</f>
        <v>경상남도</v>
      </c>
      <c r="D450" s="3" t="s">
        <v>2181</v>
      </c>
      <c r="E450" s="3" t="s">
        <v>2182</v>
      </c>
      <c r="F450" s="3" t="s">
        <v>2183</v>
      </c>
      <c r="G450" s="3" t="s">
        <v>2184</v>
      </c>
      <c r="H450" s="3" t="s">
        <v>2185</v>
      </c>
      <c r="I450" s="3" t="s">
        <v>2185</v>
      </c>
      <c r="J450" s="3" t="s">
        <v>2186</v>
      </c>
      <c r="K450" s="3" t="s">
        <v>21</v>
      </c>
      <c r="L450" s="3" t="s">
        <v>22</v>
      </c>
      <c r="M450" s="4">
        <v>793</v>
      </c>
      <c r="N450" s="3" t="s">
        <v>2155</v>
      </c>
      <c r="O450" s="3" t="s">
        <v>281</v>
      </c>
      <c r="P450" s="3" t="s">
        <v>1413</v>
      </c>
    </row>
    <row r="451" spans="1:16" hidden="1" x14ac:dyDescent="0.4">
      <c r="A451" s="7">
        <v>450</v>
      </c>
      <c r="B451" s="8" t="s">
        <v>2187</v>
      </c>
      <c r="C451" s="6" t="str">
        <f>IFERROR(IF(LEFT(D451,FIND(" ",D451)-1)="전라북도","전북특별자치도",LEFT(D451,FIND(" ",D451)-1)),"")</f>
        <v>전북특별자치도</v>
      </c>
      <c r="D451" s="3" t="s">
        <v>2188</v>
      </c>
      <c r="E451" s="3" t="s">
        <v>2189</v>
      </c>
      <c r="F451" s="3" t="s">
        <v>1806</v>
      </c>
      <c r="G451" s="3" t="s">
        <v>19</v>
      </c>
      <c r="H451" s="3" t="s">
        <v>2191</v>
      </c>
      <c r="I451" s="3" t="s">
        <v>19</v>
      </c>
      <c r="J451" s="3" t="s">
        <v>19</v>
      </c>
      <c r="K451" s="3" t="s">
        <v>21</v>
      </c>
      <c r="L451" s="3" t="s">
        <v>22</v>
      </c>
      <c r="M451" s="4">
        <v>578</v>
      </c>
      <c r="N451" s="3" t="s">
        <v>2155</v>
      </c>
      <c r="O451" s="3" t="s">
        <v>281</v>
      </c>
      <c r="P451" s="3" t="s">
        <v>2190</v>
      </c>
    </row>
    <row r="452" spans="1:16" x14ac:dyDescent="0.4">
      <c r="A452" s="7">
        <v>451</v>
      </c>
      <c r="B452" s="8" t="s">
        <v>2192</v>
      </c>
      <c r="C452" s="6" t="str">
        <f>IFERROR(IF(LEFT(D452,FIND(" ",D452)-1)="전라북도","전북특별자치도",LEFT(D452,FIND(" ",D452)-1)),"")</f>
        <v>경상북도</v>
      </c>
      <c r="D452" s="3" t="s">
        <v>2193</v>
      </c>
      <c r="E452" s="3" t="s">
        <v>1971</v>
      </c>
      <c r="F452" s="3" t="s">
        <v>1806</v>
      </c>
      <c r="G452" s="3" t="s">
        <v>2194</v>
      </c>
      <c r="H452" s="3" t="s">
        <v>1888</v>
      </c>
      <c r="I452" s="3" t="s">
        <v>2195</v>
      </c>
      <c r="J452" s="3" t="s">
        <v>19</v>
      </c>
      <c r="K452" s="3" t="s">
        <v>21</v>
      </c>
      <c r="L452" s="3" t="s">
        <v>22</v>
      </c>
      <c r="M452" s="4">
        <v>1304</v>
      </c>
      <c r="N452" s="3" t="s">
        <v>1498</v>
      </c>
      <c r="O452" s="3" t="s">
        <v>24</v>
      </c>
      <c r="P452" s="3" t="s">
        <v>19</v>
      </c>
    </row>
    <row r="453" spans="1:16" hidden="1" x14ac:dyDescent="0.4">
      <c r="A453" s="7">
        <v>452</v>
      </c>
      <c r="B453" s="8" t="s">
        <v>2196</v>
      </c>
      <c r="C453" s="6" t="str">
        <f>IFERROR(IF(LEFT(D453,FIND(" ",D453)-1)="전라북도","전북특별자치도",LEFT(D453,FIND(" ",D453)-1)),"")</f>
        <v>충청남도</v>
      </c>
      <c r="D453" s="3" t="s">
        <v>2197</v>
      </c>
      <c r="E453" s="3" t="s">
        <v>2198</v>
      </c>
      <c r="F453" s="3" t="s">
        <v>2199</v>
      </c>
      <c r="G453" s="3" t="s">
        <v>2201</v>
      </c>
      <c r="H453" s="3" t="s">
        <v>2202</v>
      </c>
      <c r="I453" s="3" t="s">
        <v>2203</v>
      </c>
      <c r="J453" s="3" t="s">
        <v>2204</v>
      </c>
      <c r="K453" s="3" t="s">
        <v>21</v>
      </c>
      <c r="L453" s="3" t="s">
        <v>22</v>
      </c>
      <c r="M453" s="4">
        <v>1770</v>
      </c>
      <c r="N453" s="3" t="s">
        <v>1498</v>
      </c>
      <c r="O453" s="3" t="s">
        <v>281</v>
      </c>
      <c r="P453" s="3" t="s">
        <v>2200</v>
      </c>
    </row>
    <row r="454" spans="1:16" hidden="1" x14ac:dyDescent="0.4">
      <c r="A454" s="7">
        <v>453</v>
      </c>
      <c r="B454" s="8" t="s">
        <v>2205</v>
      </c>
      <c r="C454" s="6" t="str">
        <f>IFERROR(IF(LEFT(D454,FIND(" ",D454)-1)="전라북도","전북특별자치도",LEFT(D454,FIND(" ",D454)-1)),"")</f>
        <v>충청남도</v>
      </c>
      <c r="D454" s="3" t="s">
        <v>2206</v>
      </c>
      <c r="E454" s="3" t="s">
        <v>2198</v>
      </c>
      <c r="F454" s="3" t="s">
        <v>2199</v>
      </c>
      <c r="G454" s="3" t="s">
        <v>2201</v>
      </c>
      <c r="H454" s="3" t="s">
        <v>2202</v>
      </c>
      <c r="I454" s="3" t="s">
        <v>2207</v>
      </c>
      <c r="J454" s="3" t="s">
        <v>2204</v>
      </c>
      <c r="K454" s="3" t="s">
        <v>21</v>
      </c>
      <c r="L454" s="3" t="s">
        <v>22</v>
      </c>
      <c r="M454" s="4">
        <v>1828</v>
      </c>
      <c r="N454" s="3" t="s">
        <v>1498</v>
      </c>
      <c r="O454" s="3" t="s">
        <v>281</v>
      </c>
      <c r="P454" s="3" t="s">
        <v>2200</v>
      </c>
    </row>
    <row r="455" spans="1:16" hidden="1" x14ac:dyDescent="0.4">
      <c r="A455" s="7">
        <v>454</v>
      </c>
      <c r="B455" s="8" t="s">
        <v>2208</v>
      </c>
      <c r="C455" s="6" t="str">
        <f>IFERROR(IF(LEFT(D455,FIND(" ",D455)-1)="전라북도","전북특별자치도",LEFT(D455,FIND(" ",D455)-1)),"")</f>
        <v>대전광역시</v>
      </c>
      <c r="D455" s="3" t="s">
        <v>2209</v>
      </c>
      <c r="E455" s="3" t="s">
        <v>2210</v>
      </c>
      <c r="F455" s="3" t="s">
        <v>2211</v>
      </c>
      <c r="G455" s="3" t="s">
        <v>2212</v>
      </c>
      <c r="H455" s="3" t="s">
        <v>2213</v>
      </c>
      <c r="I455" s="3" t="s">
        <v>2213</v>
      </c>
      <c r="J455" s="3" t="s">
        <v>2214</v>
      </c>
      <c r="K455" s="3" t="s">
        <v>21</v>
      </c>
      <c r="L455" s="3" t="s">
        <v>147</v>
      </c>
      <c r="M455" s="4">
        <v>18994</v>
      </c>
      <c r="N455" s="3" t="s">
        <v>1498</v>
      </c>
      <c r="O455" s="3" t="s">
        <v>281</v>
      </c>
      <c r="P455" s="3" t="s">
        <v>1846</v>
      </c>
    </row>
    <row r="456" spans="1:16" hidden="1" x14ac:dyDescent="0.4">
      <c r="A456" s="7">
        <v>455</v>
      </c>
      <c r="B456" s="8" t="s">
        <v>2215</v>
      </c>
      <c r="C456" s="6" t="str">
        <f>IFERROR(IF(LEFT(D456,FIND(" ",D456)-1)="전라북도","전북특별자치도",LEFT(D456,FIND(" ",D456)-1)),"")</f>
        <v>제주특별자치도</v>
      </c>
      <c r="D456" s="3" t="s">
        <v>2216</v>
      </c>
      <c r="E456" s="3" t="s">
        <v>447</v>
      </c>
      <c r="F456" s="3" t="s">
        <v>2217</v>
      </c>
      <c r="G456" s="3" t="s">
        <v>2218</v>
      </c>
      <c r="H456" s="3" t="s">
        <v>2219</v>
      </c>
      <c r="I456" s="3" t="s">
        <v>19</v>
      </c>
      <c r="J456" s="3" t="s">
        <v>2218</v>
      </c>
      <c r="K456" s="3" t="s">
        <v>21</v>
      </c>
      <c r="L456" s="3" t="s">
        <v>147</v>
      </c>
      <c r="M456" s="4">
        <v>15104</v>
      </c>
      <c r="N456" s="3" t="s">
        <v>1498</v>
      </c>
      <c r="O456" s="3" t="s">
        <v>281</v>
      </c>
      <c r="P456" s="3" t="s">
        <v>1919</v>
      </c>
    </row>
    <row r="457" spans="1:16" x14ac:dyDescent="0.4">
      <c r="A457" s="7">
        <v>456</v>
      </c>
      <c r="B457" s="8" t="s">
        <v>2220</v>
      </c>
      <c r="C457" s="6" t="str">
        <f>IFERROR(IF(LEFT(D457,FIND(" ",D457)-1)="전라북도","전북특별자치도",LEFT(D457,FIND(" ",D457)-1)),"")</f>
        <v>전라남도</v>
      </c>
      <c r="D457" s="3" t="s">
        <v>2221</v>
      </c>
      <c r="E457" s="3" t="s">
        <v>2222</v>
      </c>
      <c r="F457" s="3" t="s">
        <v>2223</v>
      </c>
      <c r="G457" s="3" t="s">
        <v>1769</v>
      </c>
      <c r="H457" s="3" t="s">
        <v>2224</v>
      </c>
      <c r="I457" s="3" t="s">
        <v>2225</v>
      </c>
      <c r="J457" s="3" t="s">
        <v>2226</v>
      </c>
      <c r="K457" s="3" t="s">
        <v>21</v>
      </c>
      <c r="L457" s="3" t="s">
        <v>22</v>
      </c>
      <c r="M457" s="4">
        <v>6553</v>
      </c>
      <c r="N457" s="3" t="s">
        <v>1498</v>
      </c>
      <c r="O457" s="3" t="s">
        <v>24</v>
      </c>
      <c r="P457" s="3" t="s">
        <v>19</v>
      </c>
    </row>
    <row r="458" spans="1:16" x14ac:dyDescent="0.4">
      <c r="A458" s="7">
        <v>457</v>
      </c>
      <c r="B458" s="8" t="s">
        <v>2227</v>
      </c>
      <c r="C458" s="6" t="str">
        <f>IFERROR(IF(LEFT(D458,FIND(" ",D458)-1)="전라북도","전북특별자치도",LEFT(D458,FIND(" ",D458)-1)),"")</f>
        <v>경기도</v>
      </c>
      <c r="D458" s="3" t="s">
        <v>2228</v>
      </c>
      <c r="E458" s="3" t="s">
        <v>2229</v>
      </c>
      <c r="F458" s="3" t="s">
        <v>2230</v>
      </c>
      <c r="G458" s="3" t="s">
        <v>2231</v>
      </c>
      <c r="H458" s="3" t="s">
        <v>2232</v>
      </c>
      <c r="I458" s="3" t="s">
        <v>2233</v>
      </c>
      <c r="J458" s="3" t="s">
        <v>19</v>
      </c>
      <c r="K458" s="3" t="s">
        <v>21</v>
      </c>
      <c r="L458" s="3" t="s">
        <v>22</v>
      </c>
      <c r="M458" s="4">
        <v>1275</v>
      </c>
      <c r="N458" s="3" t="s">
        <v>1498</v>
      </c>
      <c r="O458" s="3" t="s">
        <v>24</v>
      </c>
      <c r="P458" s="3" t="s">
        <v>19</v>
      </c>
    </row>
    <row r="459" spans="1:16" hidden="1" x14ac:dyDescent="0.4">
      <c r="A459" s="7">
        <v>458</v>
      </c>
      <c r="B459" s="8" t="s">
        <v>2234</v>
      </c>
      <c r="C459" s="6" t="str">
        <f>IFERROR(IF(LEFT(D459,FIND(" ",D459)-1)="전라북도","전북특별자치도",LEFT(D459,FIND(" ",D459)-1)),"")</f>
        <v>경상남도</v>
      </c>
      <c r="D459" s="3" t="s">
        <v>2235</v>
      </c>
      <c r="E459" s="3" t="s">
        <v>2041</v>
      </c>
      <c r="F459" s="3" t="s">
        <v>2230</v>
      </c>
      <c r="G459" s="3" t="s">
        <v>2236</v>
      </c>
      <c r="H459" s="3" t="s">
        <v>2237</v>
      </c>
      <c r="I459" s="3" t="s">
        <v>2238</v>
      </c>
      <c r="J459" s="3" t="s">
        <v>2239</v>
      </c>
      <c r="K459" s="3" t="s">
        <v>21</v>
      </c>
      <c r="L459" s="3" t="s">
        <v>147</v>
      </c>
      <c r="M459" s="4">
        <v>774</v>
      </c>
      <c r="N459" s="3" t="s">
        <v>2155</v>
      </c>
      <c r="O459" s="3" t="s">
        <v>281</v>
      </c>
      <c r="P459" s="3" t="s">
        <v>1532</v>
      </c>
    </row>
    <row r="460" spans="1:16" hidden="1" x14ac:dyDescent="0.4">
      <c r="A460" s="7">
        <v>459</v>
      </c>
      <c r="B460" s="8" t="s">
        <v>2240</v>
      </c>
      <c r="C460" s="6" t="str">
        <f>IFERROR(IF(LEFT(D460,FIND(" ",D460)-1)="전라북도","전북특별자치도",LEFT(D460,FIND(" ",D460)-1)),"")</f>
        <v>경상북도</v>
      </c>
      <c r="D460" s="3" t="s">
        <v>2241</v>
      </c>
      <c r="E460" s="3" t="s">
        <v>2011</v>
      </c>
      <c r="F460" s="3" t="s">
        <v>2230</v>
      </c>
      <c r="G460" s="3" t="s">
        <v>2242</v>
      </c>
      <c r="H460" s="3" t="s">
        <v>227</v>
      </c>
      <c r="I460" s="3" t="s">
        <v>19</v>
      </c>
      <c r="J460" s="3" t="s">
        <v>2242</v>
      </c>
      <c r="K460" s="3" t="s">
        <v>21</v>
      </c>
      <c r="L460" s="3" t="s">
        <v>147</v>
      </c>
      <c r="M460" s="4">
        <v>39883</v>
      </c>
      <c r="N460" s="3" t="s">
        <v>84</v>
      </c>
      <c r="O460" s="3" t="s">
        <v>281</v>
      </c>
      <c r="P460" s="3" t="s">
        <v>425</v>
      </c>
    </row>
    <row r="461" spans="1:16" hidden="1" x14ac:dyDescent="0.4">
      <c r="A461" s="7">
        <v>460</v>
      </c>
      <c r="B461" s="8" t="s">
        <v>2243</v>
      </c>
      <c r="C461" s="6" t="str">
        <f>IFERROR(IF(LEFT(D461,FIND(" ",D461)-1)="전라북도","전북특별자치도",LEFT(D461,FIND(" ",D461)-1)),"")</f>
        <v>경상북도</v>
      </c>
      <c r="D461" s="3" t="s">
        <v>2244</v>
      </c>
      <c r="E461" s="3" t="s">
        <v>2170</v>
      </c>
      <c r="F461" s="3" t="s">
        <v>447</v>
      </c>
      <c r="G461" s="3" t="s">
        <v>669</v>
      </c>
      <c r="H461" s="3" t="s">
        <v>1888</v>
      </c>
      <c r="I461" s="3" t="s">
        <v>1888</v>
      </c>
      <c r="J461" s="3" t="s">
        <v>19</v>
      </c>
      <c r="K461" s="3" t="s">
        <v>21</v>
      </c>
      <c r="L461" s="3" t="s">
        <v>22</v>
      </c>
      <c r="M461" s="4">
        <v>1357</v>
      </c>
      <c r="N461" s="3" t="s">
        <v>1498</v>
      </c>
      <c r="O461" s="3" t="s">
        <v>281</v>
      </c>
      <c r="P461" s="3" t="s">
        <v>2245</v>
      </c>
    </row>
    <row r="462" spans="1:16" x14ac:dyDescent="0.4">
      <c r="A462" s="7">
        <v>461</v>
      </c>
      <c r="B462" s="8" t="s">
        <v>2246</v>
      </c>
      <c r="C462" s="6" t="str">
        <f>IFERROR(IF(LEFT(D462,FIND(" ",D462)-1)="전라북도","전북특별자치도",LEFT(D462,FIND(" ",D462)-1)),"")</f>
        <v>전라남도</v>
      </c>
      <c r="D462" s="3" t="s">
        <v>2247</v>
      </c>
      <c r="E462" s="3" t="s">
        <v>2248</v>
      </c>
      <c r="F462" s="3" t="s">
        <v>2249</v>
      </c>
      <c r="G462" s="3" t="s">
        <v>2250</v>
      </c>
      <c r="H462" s="3" t="s">
        <v>19</v>
      </c>
      <c r="I462" s="3" t="s">
        <v>2251</v>
      </c>
      <c r="J462" s="3" t="s">
        <v>2252</v>
      </c>
      <c r="K462" s="3" t="s">
        <v>21</v>
      </c>
      <c r="L462" s="3" t="s">
        <v>147</v>
      </c>
      <c r="M462" s="4">
        <v>18385</v>
      </c>
      <c r="N462" s="3" t="s">
        <v>2253</v>
      </c>
      <c r="O462" s="3" t="s">
        <v>24</v>
      </c>
      <c r="P462" s="3" t="s">
        <v>19</v>
      </c>
    </row>
    <row r="463" spans="1:16" hidden="1" x14ac:dyDescent="0.4">
      <c r="A463" s="7">
        <v>462</v>
      </c>
      <c r="B463" s="8" t="s">
        <v>2254</v>
      </c>
      <c r="C463" s="6" t="str">
        <f>IFERROR(IF(LEFT(D463,FIND(" ",D463)-1)="전라북도","전북특별자치도",LEFT(D463,FIND(" ",D463)-1)),"")</f>
        <v>경기도</v>
      </c>
      <c r="D463" s="3" t="s">
        <v>2255</v>
      </c>
      <c r="E463" s="3" t="s">
        <v>2095</v>
      </c>
      <c r="F463" s="3" t="s">
        <v>2256</v>
      </c>
      <c r="G463" s="3" t="s">
        <v>2258</v>
      </c>
      <c r="H463" s="3" t="s">
        <v>2259</v>
      </c>
      <c r="I463" s="3" t="s">
        <v>2259</v>
      </c>
      <c r="J463" s="3" t="s">
        <v>2260</v>
      </c>
      <c r="K463" s="3" t="s">
        <v>21</v>
      </c>
      <c r="L463" s="3" t="s">
        <v>22</v>
      </c>
      <c r="M463" s="4">
        <v>2999</v>
      </c>
      <c r="N463" s="3" t="s">
        <v>1498</v>
      </c>
      <c r="O463" s="3" t="s">
        <v>281</v>
      </c>
      <c r="P463" s="3" t="s">
        <v>2257</v>
      </c>
    </row>
    <row r="464" spans="1:16" hidden="1" x14ac:dyDescent="0.4">
      <c r="A464" s="7">
        <v>463</v>
      </c>
      <c r="B464" s="8" t="s">
        <v>2261</v>
      </c>
      <c r="C464" s="6" t="str">
        <f>IFERROR(IF(LEFT(D464,FIND(" ",D464)-1)="전라북도","전북특별자치도",LEFT(D464,FIND(" ",D464)-1)),"")</f>
        <v>경기도</v>
      </c>
      <c r="D464" s="3" t="s">
        <v>2262</v>
      </c>
      <c r="E464" s="3" t="s">
        <v>2263</v>
      </c>
      <c r="F464" s="3" t="s">
        <v>2256</v>
      </c>
      <c r="G464" s="3" t="s">
        <v>2264</v>
      </c>
      <c r="H464" s="3" t="s">
        <v>2265</v>
      </c>
      <c r="I464" s="3" t="s">
        <v>19</v>
      </c>
      <c r="J464" s="3" t="s">
        <v>2264</v>
      </c>
      <c r="K464" s="3" t="s">
        <v>21</v>
      </c>
      <c r="L464" s="3" t="s">
        <v>147</v>
      </c>
      <c r="M464" s="4">
        <v>212</v>
      </c>
      <c r="N464" s="3" t="s">
        <v>2155</v>
      </c>
      <c r="O464" s="3" t="s">
        <v>281</v>
      </c>
      <c r="P464" s="3" t="s">
        <v>1732</v>
      </c>
    </row>
    <row r="465" spans="1:16" hidden="1" x14ac:dyDescent="0.4">
      <c r="A465" s="7">
        <v>464</v>
      </c>
      <c r="B465" s="8" t="s">
        <v>2266</v>
      </c>
      <c r="C465" s="6" t="str">
        <f>IFERROR(IF(LEFT(D465,FIND(" ",D465)-1)="전라북도","전북특별자치도",LEFT(D465,FIND(" ",D465)-1)),"")</f>
        <v>경기도</v>
      </c>
      <c r="D465" s="3" t="s">
        <v>2267</v>
      </c>
      <c r="E465" s="3" t="s">
        <v>192</v>
      </c>
      <c r="F465" s="3" t="s">
        <v>2256</v>
      </c>
      <c r="G465" s="3" t="s">
        <v>19</v>
      </c>
      <c r="H465" s="3" t="s">
        <v>2268</v>
      </c>
      <c r="I465" s="3" t="s">
        <v>19</v>
      </c>
      <c r="J465" s="3" t="s">
        <v>19</v>
      </c>
      <c r="K465" s="3" t="s">
        <v>21</v>
      </c>
      <c r="L465" s="3" t="s">
        <v>22</v>
      </c>
      <c r="M465" s="4">
        <v>101</v>
      </c>
      <c r="N465" s="3" t="s">
        <v>84</v>
      </c>
      <c r="O465" s="3" t="s">
        <v>281</v>
      </c>
      <c r="P465" s="3" t="s">
        <v>1726</v>
      </c>
    </row>
    <row r="466" spans="1:16" hidden="1" x14ac:dyDescent="0.4">
      <c r="A466" s="7">
        <v>465</v>
      </c>
      <c r="B466" s="8" t="s">
        <v>2269</v>
      </c>
      <c r="C466" s="6" t="str">
        <f>IFERROR(IF(LEFT(D466,FIND(" ",D466)-1)="전라북도","전북특별자치도",LEFT(D466,FIND(" ",D466)-1)),"")</f>
        <v>강원특별자치도</v>
      </c>
      <c r="D466" s="3" t="s">
        <v>2270</v>
      </c>
      <c r="E466" s="3" t="s">
        <v>2177</v>
      </c>
      <c r="F466" s="3" t="s">
        <v>2271</v>
      </c>
      <c r="G466" s="3" t="s">
        <v>2273</v>
      </c>
      <c r="H466" s="3" t="s">
        <v>2274</v>
      </c>
      <c r="I466" s="3" t="s">
        <v>2275</v>
      </c>
      <c r="J466" s="3" t="s">
        <v>19</v>
      </c>
      <c r="K466" s="3" t="s">
        <v>21</v>
      </c>
      <c r="L466" s="3" t="s">
        <v>22</v>
      </c>
      <c r="M466" s="4">
        <v>372</v>
      </c>
      <c r="N466" s="3" t="s">
        <v>1498</v>
      </c>
      <c r="O466" s="3" t="s">
        <v>281</v>
      </c>
      <c r="P466" s="3" t="s">
        <v>2272</v>
      </c>
    </row>
    <row r="467" spans="1:16" x14ac:dyDescent="0.4">
      <c r="A467" s="7">
        <v>466</v>
      </c>
      <c r="B467" s="8" t="s">
        <v>2276</v>
      </c>
      <c r="C467" s="6" t="str">
        <f>IFERROR(IF(LEFT(D467,FIND(" ",D467)-1)="전라북도","전북특별자치도",LEFT(D467,FIND(" ",D467)-1)),"")</f>
        <v>경기도</v>
      </c>
      <c r="D467" s="3" t="s">
        <v>2277</v>
      </c>
      <c r="E467" s="3" t="s">
        <v>2210</v>
      </c>
      <c r="F467" s="3" t="s">
        <v>2263</v>
      </c>
      <c r="G467" s="3" t="s">
        <v>19</v>
      </c>
      <c r="H467" s="3" t="s">
        <v>391</v>
      </c>
      <c r="I467" s="3" t="s">
        <v>2278</v>
      </c>
      <c r="J467" s="3" t="s">
        <v>2279</v>
      </c>
      <c r="K467" s="3" t="s">
        <v>21</v>
      </c>
      <c r="L467" s="3" t="s">
        <v>22</v>
      </c>
      <c r="M467" s="4">
        <v>1969</v>
      </c>
      <c r="N467" s="3" t="s">
        <v>1498</v>
      </c>
      <c r="O467" s="3" t="s">
        <v>24</v>
      </c>
      <c r="P467" s="3" t="s">
        <v>19</v>
      </c>
    </row>
    <row r="468" spans="1:16" hidden="1" x14ac:dyDescent="0.4">
      <c r="A468" s="7">
        <v>467</v>
      </c>
      <c r="B468" s="8" t="s">
        <v>2280</v>
      </c>
      <c r="C468" s="6" t="str">
        <f>IFERROR(IF(LEFT(D468,FIND(" ",D468)-1)="전라북도","전북특별자치도",LEFT(D468,FIND(" ",D468)-1)),"")</f>
        <v>경상북도</v>
      </c>
      <c r="D468" s="3" t="s">
        <v>2281</v>
      </c>
      <c r="E468" s="3" t="s">
        <v>606</v>
      </c>
      <c r="F468" s="3" t="s">
        <v>2263</v>
      </c>
      <c r="G468" s="3" t="s">
        <v>2282</v>
      </c>
      <c r="H468" s="3" t="s">
        <v>2283</v>
      </c>
      <c r="I468" s="3" t="s">
        <v>2284</v>
      </c>
      <c r="J468" s="3" t="s">
        <v>19</v>
      </c>
      <c r="K468" s="3" t="s">
        <v>21</v>
      </c>
      <c r="L468" s="3" t="s">
        <v>22</v>
      </c>
      <c r="M468" s="4">
        <v>209</v>
      </c>
      <c r="N468" s="3" t="s">
        <v>1498</v>
      </c>
      <c r="O468" s="3" t="s">
        <v>281</v>
      </c>
      <c r="P468" s="3" t="s">
        <v>1958</v>
      </c>
    </row>
    <row r="469" spans="1:16" hidden="1" x14ac:dyDescent="0.4">
      <c r="A469" s="7">
        <v>468</v>
      </c>
      <c r="B469" s="8" t="s">
        <v>2285</v>
      </c>
      <c r="C469" s="6" t="str">
        <f>IFERROR(IF(LEFT(D469,FIND(" ",D469)-1)="전라북도","전북특별자치도",LEFT(D469,FIND(" ",D469)-1)),"")</f>
        <v>경상북도</v>
      </c>
      <c r="D469" s="3" t="s">
        <v>2286</v>
      </c>
      <c r="E469" s="3" t="s">
        <v>606</v>
      </c>
      <c r="F469" s="3" t="s">
        <v>2263</v>
      </c>
      <c r="G469" s="3" t="s">
        <v>2282</v>
      </c>
      <c r="H469" s="3" t="s">
        <v>2283</v>
      </c>
      <c r="I469" s="3" t="s">
        <v>2284</v>
      </c>
      <c r="J469" s="3" t="s">
        <v>19</v>
      </c>
      <c r="K469" s="3" t="s">
        <v>21</v>
      </c>
      <c r="L469" s="3" t="s">
        <v>22</v>
      </c>
      <c r="M469" s="4">
        <v>252</v>
      </c>
      <c r="N469" s="3" t="s">
        <v>1498</v>
      </c>
      <c r="O469" s="3" t="s">
        <v>281</v>
      </c>
      <c r="P469" s="3" t="s">
        <v>1958</v>
      </c>
    </row>
    <row r="470" spans="1:16" hidden="1" x14ac:dyDescent="0.4">
      <c r="A470" s="7">
        <v>469</v>
      </c>
      <c r="B470" s="8" t="s">
        <v>2287</v>
      </c>
      <c r="C470" s="6" t="str">
        <f>IFERROR(IF(LEFT(D470,FIND(" ",D470)-1)="전라북도","전북특별자치도",LEFT(D470,FIND(" ",D470)-1)),"")</f>
        <v>경상남도</v>
      </c>
      <c r="D470" s="3" t="s">
        <v>2288</v>
      </c>
      <c r="E470" s="3" t="s">
        <v>606</v>
      </c>
      <c r="F470" s="3" t="s">
        <v>2289</v>
      </c>
      <c r="G470" s="3" t="s">
        <v>2290</v>
      </c>
      <c r="H470" s="3" t="s">
        <v>2291</v>
      </c>
      <c r="I470" s="3" t="s">
        <v>2291</v>
      </c>
      <c r="J470" s="3" t="s">
        <v>2292</v>
      </c>
      <c r="K470" s="3" t="s">
        <v>21</v>
      </c>
      <c r="L470" s="3" t="s">
        <v>228</v>
      </c>
      <c r="M470" s="4">
        <v>2214</v>
      </c>
      <c r="N470" s="3" t="s">
        <v>1498</v>
      </c>
      <c r="O470" s="3" t="s">
        <v>281</v>
      </c>
      <c r="P470" s="3" t="s">
        <v>832</v>
      </c>
    </row>
    <row r="471" spans="1:16" hidden="1" x14ac:dyDescent="0.4">
      <c r="A471" s="7">
        <v>470</v>
      </c>
      <c r="B471" s="8" t="s">
        <v>2293</v>
      </c>
      <c r="C471" s="6" t="str">
        <f>IFERROR(IF(LEFT(D471,FIND(" ",D471)-1)="전라북도","전북특별자치도",LEFT(D471,FIND(" ",D471)-1)),"")</f>
        <v>경기도</v>
      </c>
      <c r="D471" s="3" t="s">
        <v>2294</v>
      </c>
      <c r="E471" s="3" t="s">
        <v>2295</v>
      </c>
      <c r="F471" s="3" t="s">
        <v>2296</v>
      </c>
      <c r="G471" s="3" t="s">
        <v>2298</v>
      </c>
      <c r="H471" s="3" t="s">
        <v>2299</v>
      </c>
      <c r="I471" s="3" t="s">
        <v>19</v>
      </c>
      <c r="J471" s="3" t="s">
        <v>2300</v>
      </c>
      <c r="K471" s="3" t="s">
        <v>21</v>
      </c>
      <c r="L471" s="3" t="s">
        <v>147</v>
      </c>
      <c r="M471" s="4">
        <v>2206</v>
      </c>
      <c r="N471" s="3" t="s">
        <v>1498</v>
      </c>
      <c r="O471" s="3" t="s">
        <v>281</v>
      </c>
      <c r="P471" s="3" t="s">
        <v>2297</v>
      </c>
    </row>
    <row r="472" spans="1:16" hidden="1" x14ac:dyDescent="0.4">
      <c r="A472" s="7">
        <v>471</v>
      </c>
      <c r="B472" s="8" t="s">
        <v>2301</v>
      </c>
      <c r="C472" s="6" t="str">
        <f>IFERROR(IF(LEFT(D472,FIND(" ",D472)-1)="전라북도","전북특별자치도",LEFT(D472,FIND(" ",D472)-1)),"")</f>
        <v>경기도</v>
      </c>
      <c r="D472" s="3" t="s">
        <v>2302</v>
      </c>
      <c r="E472" s="3" t="s">
        <v>2198</v>
      </c>
      <c r="F472" s="3" t="s">
        <v>2303</v>
      </c>
      <c r="G472" s="3" t="s">
        <v>2304</v>
      </c>
      <c r="H472" s="3" t="s">
        <v>2305</v>
      </c>
      <c r="I472" s="3" t="s">
        <v>2305</v>
      </c>
      <c r="J472" s="3" t="s">
        <v>2306</v>
      </c>
      <c r="K472" s="3" t="s">
        <v>21</v>
      </c>
      <c r="L472" s="3" t="s">
        <v>22</v>
      </c>
      <c r="M472" s="4">
        <v>459</v>
      </c>
      <c r="N472" s="3" t="s">
        <v>1498</v>
      </c>
      <c r="O472" s="3" t="s">
        <v>281</v>
      </c>
      <c r="P472" s="3" t="s">
        <v>1402</v>
      </c>
    </row>
    <row r="473" spans="1:16" hidden="1" x14ac:dyDescent="0.4">
      <c r="A473" s="7">
        <v>472</v>
      </c>
      <c r="B473" s="8" t="s">
        <v>2307</v>
      </c>
      <c r="C473" s="6" t="str">
        <f>IFERROR(IF(LEFT(D473,FIND(" ",D473)-1)="전라북도","전북특별자치도",LEFT(D473,FIND(" ",D473)-1)),"")</f>
        <v>경기도</v>
      </c>
      <c r="D473" s="3" t="s">
        <v>2308</v>
      </c>
      <c r="E473" s="3" t="s">
        <v>2198</v>
      </c>
      <c r="F473" s="3" t="s">
        <v>2303</v>
      </c>
      <c r="G473" s="3" t="s">
        <v>2304</v>
      </c>
      <c r="H473" s="3" t="s">
        <v>2305</v>
      </c>
      <c r="I473" s="3" t="s">
        <v>2305</v>
      </c>
      <c r="J473" s="3" t="s">
        <v>2306</v>
      </c>
      <c r="K473" s="3" t="s">
        <v>21</v>
      </c>
      <c r="L473" s="3" t="s">
        <v>22</v>
      </c>
      <c r="M473" s="4">
        <v>250</v>
      </c>
      <c r="N473" s="3" t="s">
        <v>1498</v>
      </c>
      <c r="O473" s="3" t="s">
        <v>281</v>
      </c>
      <c r="P473" s="3" t="s">
        <v>1402</v>
      </c>
    </row>
    <row r="474" spans="1:16" hidden="1" x14ac:dyDescent="0.4">
      <c r="A474" s="7">
        <v>473</v>
      </c>
      <c r="B474" s="8" t="s">
        <v>2309</v>
      </c>
      <c r="C474" s="6" t="str">
        <f>IFERROR(IF(LEFT(D474,FIND(" ",D474)-1)="전라북도","전북특별자치도",LEFT(D474,FIND(" ",D474)-1)),"")</f>
        <v>경기도</v>
      </c>
      <c r="D474" s="3" t="s">
        <v>2310</v>
      </c>
      <c r="E474" s="3" t="s">
        <v>2198</v>
      </c>
      <c r="F474" s="3" t="s">
        <v>2303</v>
      </c>
      <c r="G474" s="3" t="s">
        <v>2304</v>
      </c>
      <c r="H474" s="3" t="s">
        <v>2305</v>
      </c>
      <c r="I474" s="3" t="s">
        <v>2305</v>
      </c>
      <c r="J474" s="3" t="s">
        <v>2306</v>
      </c>
      <c r="K474" s="3" t="s">
        <v>21</v>
      </c>
      <c r="L474" s="3" t="s">
        <v>22</v>
      </c>
      <c r="M474" s="4">
        <v>519</v>
      </c>
      <c r="N474" s="3" t="s">
        <v>1498</v>
      </c>
      <c r="O474" s="3" t="s">
        <v>281</v>
      </c>
      <c r="P474" s="3" t="s">
        <v>1402</v>
      </c>
    </row>
    <row r="475" spans="1:16" hidden="1" x14ac:dyDescent="0.4">
      <c r="A475" s="7">
        <v>474</v>
      </c>
      <c r="B475" s="8" t="s">
        <v>2311</v>
      </c>
      <c r="C475" s="6" t="str">
        <f>IFERROR(IF(LEFT(D475,FIND(" ",D475)-1)="전라북도","전북특별자치도",LEFT(D475,FIND(" ",D475)-1)),"")</f>
        <v>경기도</v>
      </c>
      <c r="D475" s="3" t="s">
        <v>2312</v>
      </c>
      <c r="E475" s="3" t="s">
        <v>2198</v>
      </c>
      <c r="F475" s="3" t="s">
        <v>2303</v>
      </c>
      <c r="G475" s="3" t="s">
        <v>2304</v>
      </c>
      <c r="H475" s="3" t="s">
        <v>2305</v>
      </c>
      <c r="I475" s="3" t="s">
        <v>2305</v>
      </c>
      <c r="J475" s="3" t="s">
        <v>2306</v>
      </c>
      <c r="K475" s="3" t="s">
        <v>21</v>
      </c>
      <c r="L475" s="3" t="s">
        <v>22</v>
      </c>
      <c r="M475" s="4">
        <v>270</v>
      </c>
      <c r="N475" s="3" t="s">
        <v>1498</v>
      </c>
      <c r="O475" s="3" t="s">
        <v>281</v>
      </c>
      <c r="P475" s="3" t="s">
        <v>1402</v>
      </c>
    </row>
    <row r="476" spans="1:16" hidden="1" x14ac:dyDescent="0.4">
      <c r="A476" s="7">
        <v>475</v>
      </c>
      <c r="B476" s="8" t="s">
        <v>2313</v>
      </c>
      <c r="C476" s="6" t="str">
        <f>IFERROR(IF(LEFT(D476,FIND(" ",D476)-1)="전라북도","전북특별자치도",LEFT(D476,FIND(" ",D476)-1)),"")</f>
        <v>경기도</v>
      </c>
      <c r="D476" s="3" t="s">
        <v>2314</v>
      </c>
      <c r="E476" s="3" t="s">
        <v>2315</v>
      </c>
      <c r="F476" s="3" t="s">
        <v>2058</v>
      </c>
      <c r="G476" s="3" t="s">
        <v>1999</v>
      </c>
      <c r="H476" s="3" t="s">
        <v>302</v>
      </c>
      <c r="I476" s="3" t="s">
        <v>19</v>
      </c>
      <c r="J476" s="3" t="s">
        <v>19</v>
      </c>
      <c r="K476" s="3" t="s">
        <v>21</v>
      </c>
      <c r="L476" s="3" t="s">
        <v>22</v>
      </c>
      <c r="M476" s="4">
        <v>450</v>
      </c>
      <c r="N476" s="3" t="s">
        <v>84</v>
      </c>
      <c r="O476" s="3" t="s">
        <v>281</v>
      </c>
      <c r="P476" s="3" t="s">
        <v>2316</v>
      </c>
    </row>
    <row r="477" spans="1:16" hidden="1" x14ac:dyDescent="0.4">
      <c r="A477" s="7">
        <v>476</v>
      </c>
      <c r="B477" s="8" t="s">
        <v>2317</v>
      </c>
      <c r="C477" s="6" t="str">
        <f>IFERROR(IF(LEFT(D477,FIND(" ",D477)-1)="전라북도","전북특별자치도",LEFT(D477,FIND(" ",D477)-1)),"")</f>
        <v>제주특별자치도</v>
      </c>
      <c r="D477" s="3" t="s">
        <v>2318</v>
      </c>
      <c r="E477" s="3" t="s">
        <v>527</v>
      </c>
      <c r="F477" s="3" t="s">
        <v>2058</v>
      </c>
      <c r="G477" s="3" t="s">
        <v>2320</v>
      </c>
      <c r="H477" s="3" t="s">
        <v>2321</v>
      </c>
      <c r="I477" s="3" t="s">
        <v>19</v>
      </c>
      <c r="J477" s="3" t="s">
        <v>2322</v>
      </c>
      <c r="K477" s="3" t="s">
        <v>21</v>
      </c>
      <c r="L477" s="3" t="s">
        <v>22</v>
      </c>
      <c r="M477" s="4">
        <v>792</v>
      </c>
      <c r="N477" s="3" t="s">
        <v>1498</v>
      </c>
      <c r="O477" s="3" t="s">
        <v>281</v>
      </c>
      <c r="P477" s="3" t="s">
        <v>2319</v>
      </c>
    </row>
    <row r="478" spans="1:16" hidden="1" x14ac:dyDescent="0.4">
      <c r="A478" s="7">
        <v>477</v>
      </c>
      <c r="B478" s="8" t="s">
        <v>2323</v>
      </c>
      <c r="C478" s="6" t="str">
        <f>IFERROR(IF(LEFT(D478,FIND(" ",D478)-1)="전라북도","전북특별자치도",LEFT(D478,FIND(" ",D478)-1)),"")</f>
        <v>경기도</v>
      </c>
      <c r="D478" s="3" t="s">
        <v>2324</v>
      </c>
      <c r="E478" s="3" t="s">
        <v>2325</v>
      </c>
      <c r="F478" s="3" t="s">
        <v>2326</v>
      </c>
      <c r="G478" s="3" t="s">
        <v>19</v>
      </c>
      <c r="H478" s="3" t="s">
        <v>2328</v>
      </c>
      <c r="I478" s="3" t="s">
        <v>19</v>
      </c>
      <c r="J478" s="3" t="s">
        <v>19</v>
      </c>
      <c r="K478" s="3" t="s">
        <v>21</v>
      </c>
      <c r="L478" s="3" t="s">
        <v>147</v>
      </c>
      <c r="M478" s="4">
        <v>1145</v>
      </c>
      <c r="N478" s="3" t="s">
        <v>1498</v>
      </c>
      <c r="O478" s="3" t="s">
        <v>281</v>
      </c>
      <c r="P478" s="3" t="s">
        <v>2327</v>
      </c>
    </row>
    <row r="479" spans="1:16" x14ac:dyDescent="0.4">
      <c r="A479" s="7">
        <v>478</v>
      </c>
      <c r="B479" s="8" t="s">
        <v>2329</v>
      </c>
      <c r="C479" s="6" t="str">
        <f>IFERROR(IF(LEFT(D479,FIND(" ",D479)-1)="전라북도","전북특별자치도",LEFT(D479,FIND(" ",D479)-1)),"")</f>
        <v>경상북도</v>
      </c>
      <c r="D479" s="3" t="s">
        <v>2330</v>
      </c>
      <c r="E479" s="3" t="s">
        <v>2331</v>
      </c>
      <c r="F479" s="3" t="s">
        <v>2126</v>
      </c>
      <c r="G479" s="3" t="s">
        <v>19</v>
      </c>
      <c r="H479" s="3" t="s">
        <v>2332</v>
      </c>
      <c r="I479" s="3" t="s">
        <v>19</v>
      </c>
      <c r="J479" s="3" t="s">
        <v>19</v>
      </c>
      <c r="K479" s="3" t="s">
        <v>21</v>
      </c>
      <c r="L479" s="3" t="s">
        <v>147</v>
      </c>
      <c r="M479" s="4">
        <v>989</v>
      </c>
      <c r="N479" s="3" t="s">
        <v>1498</v>
      </c>
      <c r="O479" s="3" t="s">
        <v>24</v>
      </c>
      <c r="P479" s="3" t="s">
        <v>19</v>
      </c>
    </row>
    <row r="480" spans="1:16" hidden="1" x14ac:dyDescent="0.4">
      <c r="A480" s="7">
        <v>479</v>
      </c>
      <c r="B480" s="8" t="s">
        <v>2333</v>
      </c>
      <c r="C480" s="6" t="str">
        <f>IFERROR(IF(LEFT(D480,FIND(" ",D480)-1)="전라북도","전북특별자치도",LEFT(D480,FIND(" ",D480)-1)),"")</f>
        <v>경기도</v>
      </c>
      <c r="D480" s="3" t="s">
        <v>2334</v>
      </c>
      <c r="E480" s="3" t="s">
        <v>1510</v>
      </c>
      <c r="F480" s="3" t="s">
        <v>2126</v>
      </c>
      <c r="G480" s="3" t="s">
        <v>2336</v>
      </c>
      <c r="H480" s="3" t="s">
        <v>19</v>
      </c>
      <c r="I480" s="3" t="s">
        <v>19</v>
      </c>
      <c r="J480" s="3" t="s">
        <v>19</v>
      </c>
      <c r="K480" s="3" t="s">
        <v>21</v>
      </c>
      <c r="L480" s="3" t="s">
        <v>147</v>
      </c>
      <c r="M480" s="4">
        <v>822</v>
      </c>
      <c r="N480" s="3" t="s">
        <v>1498</v>
      </c>
      <c r="O480" s="3" t="s">
        <v>281</v>
      </c>
      <c r="P480" s="3" t="s">
        <v>2335</v>
      </c>
    </row>
    <row r="481" spans="1:16" hidden="1" x14ac:dyDescent="0.4">
      <c r="A481" s="7">
        <v>480</v>
      </c>
      <c r="B481" s="8" t="s">
        <v>2337</v>
      </c>
      <c r="C481" s="6" t="str">
        <f>IFERROR(IF(LEFT(D481,FIND(" ",D481)-1)="전라북도","전북특별자치도",LEFT(D481,FIND(" ",D481)-1)),"")</f>
        <v>강원특별자치도</v>
      </c>
      <c r="D481" s="3" t="s">
        <v>2338</v>
      </c>
      <c r="E481" s="3" t="s">
        <v>2339</v>
      </c>
      <c r="F481" s="3" t="s">
        <v>2126</v>
      </c>
      <c r="G481" s="3" t="s">
        <v>2141</v>
      </c>
      <c r="H481" s="3" t="s">
        <v>19</v>
      </c>
      <c r="I481" s="3" t="s">
        <v>19</v>
      </c>
      <c r="J481" s="3" t="s">
        <v>19</v>
      </c>
      <c r="K481" s="3" t="s">
        <v>21</v>
      </c>
      <c r="L481" s="3" t="s">
        <v>22</v>
      </c>
      <c r="M481" s="4">
        <v>239</v>
      </c>
      <c r="N481" s="3" t="s">
        <v>1498</v>
      </c>
      <c r="O481" s="3" t="s">
        <v>281</v>
      </c>
      <c r="P481" s="3" t="s">
        <v>1710</v>
      </c>
    </row>
    <row r="482" spans="1:16" hidden="1" x14ac:dyDescent="0.4">
      <c r="A482" s="7">
        <v>481</v>
      </c>
      <c r="B482" s="8" t="s">
        <v>2340</v>
      </c>
      <c r="C482" s="6" t="str">
        <f>IFERROR(IF(LEFT(D482,FIND(" ",D482)-1)="전라북도","전북특별자치도",LEFT(D482,FIND(" ",D482)-1)),"")</f>
        <v>전라남도</v>
      </c>
      <c r="D482" s="3" t="s">
        <v>2341</v>
      </c>
      <c r="E482" s="3" t="s">
        <v>1053</v>
      </c>
      <c r="F482" s="3" t="s">
        <v>2126</v>
      </c>
      <c r="G482" s="3" t="s">
        <v>2342</v>
      </c>
      <c r="H482" s="3" t="s">
        <v>2343</v>
      </c>
      <c r="I482" s="3" t="s">
        <v>2344</v>
      </c>
      <c r="J482" s="3" t="s">
        <v>2345</v>
      </c>
      <c r="K482" s="3" t="s">
        <v>21</v>
      </c>
      <c r="L482" s="3" t="s">
        <v>22</v>
      </c>
      <c r="M482" s="4">
        <v>2186</v>
      </c>
      <c r="N482" s="3" t="s">
        <v>1498</v>
      </c>
      <c r="O482" s="3" t="s">
        <v>281</v>
      </c>
      <c r="P482" s="3" t="s">
        <v>1159</v>
      </c>
    </row>
    <row r="483" spans="1:16" hidden="1" x14ac:dyDescent="0.4">
      <c r="A483" s="7">
        <v>482</v>
      </c>
      <c r="B483" s="8" t="s">
        <v>2346</v>
      </c>
      <c r="C483" s="6" t="str">
        <f>IFERROR(IF(LEFT(D483,FIND(" ",D483)-1)="전라북도","전북특별자치도",LEFT(D483,FIND(" ",D483)-1)),"")</f>
        <v>전라남도</v>
      </c>
      <c r="D483" s="3" t="s">
        <v>2347</v>
      </c>
      <c r="E483" s="3" t="s">
        <v>2348</v>
      </c>
      <c r="F483" s="3" t="s">
        <v>2210</v>
      </c>
      <c r="G483" s="3" t="s">
        <v>19</v>
      </c>
      <c r="H483" s="3" t="s">
        <v>561</v>
      </c>
      <c r="I483" s="3" t="s">
        <v>19</v>
      </c>
      <c r="J483" s="3" t="s">
        <v>19</v>
      </c>
      <c r="K483" s="3" t="s">
        <v>21</v>
      </c>
      <c r="L483" s="3" t="s">
        <v>147</v>
      </c>
      <c r="M483" s="4">
        <v>399</v>
      </c>
      <c r="N483" s="3" t="s">
        <v>1498</v>
      </c>
      <c r="O483" s="3" t="s">
        <v>281</v>
      </c>
      <c r="P483" s="3" t="s">
        <v>2296</v>
      </c>
    </row>
    <row r="484" spans="1:16" hidden="1" x14ac:dyDescent="0.4">
      <c r="A484" s="7">
        <v>483</v>
      </c>
      <c r="B484" s="8" t="s">
        <v>2349</v>
      </c>
      <c r="C484" s="6" t="str">
        <f>IFERROR(IF(LEFT(D484,FIND(" ",D484)-1)="전라북도","전북특별자치도",LEFT(D484,FIND(" ",D484)-1)),"")</f>
        <v>전라남도</v>
      </c>
      <c r="D484" s="3" t="s">
        <v>2350</v>
      </c>
      <c r="E484" s="3" t="s">
        <v>2348</v>
      </c>
      <c r="F484" s="3" t="s">
        <v>2210</v>
      </c>
      <c r="G484" s="3" t="s">
        <v>19</v>
      </c>
      <c r="H484" s="3" t="s">
        <v>561</v>
      </c>
      <c r="I484" s="3" t="s">
        <v>19</v>
      </c>
      <c r="J484" s="3" t="s">
        <v>19</v>
      </c>
      <c r="K484" s="3" t="s">
        <v>21</v>
      </c>
      <c r="L484" s="3" t="s">
        <v>147</v>
      </c>
      <c r="M484" s="4">
        <v>389</v>
      </c>
      <c r="N484" s="3" t="s">
        <v>1498</v>
      </c>
      <c r="O484" s="3" t="s">
        <v>281</v>
      </c>
      <c r="P484" s="3" t="s">
        <v>2296</v>
      </c>
    </row>
    <row r="485" spans="1:16" hidden="1" x14ac:dyDescent="0.4">
      <c r="A485" s="7">
        <v>484</v>
      </c>
      <c r="B485" s="8" t="s">
        <v>2351</v>
      </c>
      <c r="C485" s="6" t="str">
        <f>IFERROR(IF(LEFT(D485,FIND(" ",D485)-1)="전라북도","전북특별자치도",LEFT(D485,FIND(" ",D485)-1)),"")</f>
        <v>강원특별자치도</v>
      </c>
      <c r="D485" s="3" t="s">
        <v>2352</v>
      </c>
      <c r="E485" s="3" t="s">
        <v>2353</v>
      </c>
      <c r="F485" s="3" t="s">
        <v>2210</v>
      </c>
      <c r="G485" s="3" t="s">
        <v>2355</v>
      </c>
      <c r="H485" s="3" t="s">
        <v>2356</v>
      </c>
      <c r="I485" s="3" t="s">
        <v>19</v>
      </c>
      <c r="J485" s="3" t="s">
        <v>19</v>
      </c>
      <c r="K485" s="3" t="s">
        <v>21</v>
      </c>
      <c r="L485" s="3" t="s">
        <v>147</v>
      </c>
      <c r="M485" s="4">
        <v>595</v>
      </c>
      <c r="N485" s="3" t="s">
        <v>2155</v>
      </c>
      <c r="O485" s="3" t="s">
        <v>281</v>
      </c>
      <c r="P485" s="3" t="s">
        <v>2354</v>
      </c>
    </row>
    <row r="486" spans="1:16" hidden="1" x14ac:dyDescent="0.4">
      <c r="A486" s="7">
        <v>485</v>
      </c>
      <c r="B486" s="8" t="s">
        <v>2357</v>
      </c>
      <c r="C486" s="6" t="str">
        <f>IFERROR(IF(LEFT(D486,FIND(" ",D486)-1)="전라북도","전북특별자치도",LEFT(D486,FIND(" ",D486)-1)),"")</f>
        <v>부산광역시</v>
      </c>
      <c r="D486" s="3" t="s">
        <v>2358</v>
      </c>
      <c r="E486" s="3" t="s">
        <v>2359</v>
      </c>
      <c r="F486" s="3" t="s">
        <v>2315</v>
      </c>
      <c r="G486" s="3" t="s">
        <v>2361</v>
      </c>
      <c r="H486" s="3" t="s">
        <v>2362</v>
      </c>
      <c r="I486" s="3" t="s">
        <v>2362</v>
      </c>
      <c r="J486" s="3" t="s">
        <v>19</v>
      </c>
      <c r="K486" s="3" t="s">
        <v>21</v>
      </c>
      <c r="L486" s="3" t="s">
        <v>228</v>
      </c>
      <c r="M486" s="4">
        <v>1633</v>
      </c>
      <c r="N486" s="3" t="s">
        <v>1498</v>
      </c>
      <c r="O486" s="3" t="s">
        <v>281</v>
      </c>
      <c r="P486" s="3" t="s">
        <v>2360</v>
      </c>
    </row>
    <row r="487" spans="1:16" hidden="1" x14ac:dyDescent="0.4">
      <c r="A487" s="7">
        <v>486</v>
      </c>
      <c r="B487" s="8" t="s">
        <v>2363</v>
      </c>
      <c r="C487" s="6" t="str">
        <f>IFERROR(IF(LEFT(D487,FIND(" ",D487)-1)="전라북도","전북특별자치도",LEFT(D487,FIND(" ",D487)-1)),"")</f>
        <v>경기도</v>
      </c>
      <c r="D487" s="3" t="s">
        <v>2364</v>
      </c>
      <c r="E487" s="3" t="s">
        <v>2339</v>
      </c>
      <c r="F487" s="3" t="s">
        <v>1853</v>
      </c>
      <c r="G487" s="3" t="s">
        <v>19</v>
      </c>
      <c r="H487" s="3" t="s">
        <v>953</v>
      </c>
      <c r="I487" s="3" t="s">
        <v>19</v>
      </c>
      <c r="J487" s="3" t="s">
        <v>19</v>
      </c>
      <c r="K487" s="3" t="s">
        <v>21</v>
      </c>
      <c r="L487" s="3" t="s">
        <v>22</v>
      </c>
      <c r="M487" s="4">
        <v>80</v>
      </c>
      <c r="N487" s="3" t="s">
        <v>84</v>
      </c>
      <c r="O487" s="3" t="s">
        <v>281</v>
      </c>
      <c r="P487" s="3" t="s">
        <v>1967</v>
      </c>
    </row>
    <row r="488" spans="1:16" hidden="1" x14ac:dyDescent="0.4">
      <c r="A488" s="7">
        <v>487</v>
      </c>
      <c r="B488" s="8" t="s">
        <v>2365</v>
      </c>
      <c r="C488" s="6" t="str">
        <f>IFERROR(IF(LEFT(D488,FIND(" ",D488)-1)="전라북도","전북특별자치도",LEFT(D488,FIND(" ",D488)-1)),"")</f>
        <v>경기도</v>
      </c>
      <c r="D488" s="3" t="s">
        <v>2366</v>
      </c>
      <c r="E488" s="3" t="s">
        <v>2367</v>
      </c>
      <c r="F488" s="3" t="s">
        <v>2339</v>
      </c>
      <c r="G488" s="3" t="s">
        <v>19</v>
      </c>
      <c r="H488" s="3" t="s">
        <v>2368</v>
      </c>
      <c r="I488" s="3" t="s">
        <v>19</v>
      </c>
      <c r="J488" s="3" t="s">
        <v>19</v>
      </c>
      <c r="K488" s="3" t="s">
        <v>21</v>
      </c>
      <c r="L488" s="3" t="s">
        <v>147</v>
      </c>
      <c r="M488" s="4">
        <v>3861</v>
      </c>
      <c r="N488" s="3" t="s">
        <v>1498</v>
      </c>
      <c r="O488" s="3" t="s">
        <v>281</v>
      </c>
      <c r="P488" s="3" t="s">
        <v>1846</v>
      </c>
    </row>
    <row r="489" spans="1:16" hidden="1" x14ac:dyDescent="0.4">
      <c r="A489" s="7">
        <v>488</v>
      </c>
      <c r="B489" s="8" t="s">
        <v>2369</v>
      </c>
      <c r="C489" s="6" t="str">
        <f>IFERROR(IF(LEFT(D489,FIND(" ",D489)-1)="전라북도","전북특별자치도",LEFT(D489,FIND(" ",D489)-1)),"")</f>
        <v>경기도</v>
      </c>
      <c r="D489" s="3" t="s">
        <v>2370</v>
      </c>
      <c r="E489" s="3" t="s">
        <v>2371</v>
      </c>
      <c r="F489" s="3" t="s">
        <v>2339</v>
      </c>
      <c r="G489" s="3" t="s">
        <v>1999</v>
      </c>
      <c r="H489" s="3" t="s">
        <v>845</v>
      </c>
      <c r="I489" s="3" t="s">
        <v>19</v>
      </c>
      <c r="J489" s="3" t="s">
        <v>19</v>
      </c>
      <c r="K489" s="3" t="s">
        <v>21</v>
      </c>
      <c r="L489" s="3" t="s">
        <v>22</v>
      </c>
      <c r="M489" s="4">
        <v>839</v>
      </c>
      <c r="N489" s="3" t="s">
        <v>2155</v>
      </c>
      <c r="O489" s="3" t="s">
        <v>281</v>
      </c>
      <c r="P489" s="3" t="s">
        <v>1955</v>
      </c>
    </row>
    <row r="490" spans="1:16" x14ac:dyDescent="0.4">
      <c r="A490" s="7">
        <v>489</v>
      </c>
      <c r="B490" s="8" t="s">
        <v>2372</v>
      </c>
      <c r="C490" s="6" t="str">
        <f>IFERROR(IF(LEFT(D490,FIND(" ",D490)-1)="전라북도","전북특별자치도",LEFT(D490,FIND(" ",D490)-1)),"")</f>
        <v>경상남도</v>
      </c>
      <c r="D490" s="3" t="s">
        <v>2373</v>
      </c>
      <c r="E490" s="3" t="s">
        <v>2374</v>
      </c>
      <c r="F490" s="3" t="s">
        <v>2348</v>
      </c>
      <c r="G490" s="3" t="s">
        <v>2375</v>
      </c>
      <c r="H490" s="3" t="s">
        <v>2376</v>
      </c>
      <c r="I490" s="3" t="s">
        <v>2377</v>
      </c>
      <c r="J490" s="3" t="s">
        <v>19</v>
      </c>
      <c r="K490" s="3" t="s">
        <v>21</v>
      </c>
      <c r="L490" s="3" t="s">
        <v>147</v>
      </c>
      <c r="M490" s="4">
        <v>25782</v>
      </c>
      <c r="N490" s="3" t="s">
        <v>1498</v>
      </c>
      <c r="O490" s="3" t="s">
        <v>24</v>
      </c>
      <c r="P490" s="3" t="s">
        <v>19</v>
      </c>
    </row>
    <row r="491" spans="1:16" hidden="1" x14ac:dyDescent="0.4">
      <c r="A491" s="7">
        <v>490</v>
      </c>
      <c r="B491" s="8" t="s">
        <v>2378</v>
      </c>
      <c r="C491" s="6" t="str">
        <f>IFERROR(IF(LEFT(D491,FIND(" ",D491)-1)="전라북도","전북특별자치도",LEFT(D491,FIND(" ",D491)-1)),"")</f>
        <v>경기도</v>
      </c>
      <c r="D491" s="3" t="s">
        <v>2379</v>
      </c>
      <c r="E491" s="3" t="s">
        <v>2107</v>
      </c>
      <c r="F491" s="3" t="s">
        <v>2295</v>
      </c>
      <c r="G491" s="3" t="s">
        <v>19</v>
      </c>
      <c r="H491" s="3" t="s">
        <v>2380</v>
      </c>
      <c r="I491" s="3" t="s">
        <v>19</v>
      </c>
      <c r="J491" s="3" t="s">
        <v>19</v>
      </c>
      <c r="K491" s="3" t="s">
        <v>21</v>
      </c>
      <c r="L491" s="3" t="s">
        <v>147</v>
      </c>
      <c r="M491" s="4">
        <v>718</v>
      </c>
      <c r="N491" s="3" t="s">
        <v>824</v>
      </c>
      <c r="O491" s="3" t="s">
        <v>281</v>
      </c>
      <c r="P491" s="3" t="s">
        <v>2152</v>
      </c>
    </row>
    <row r="492" spans="1:16" hidden="1" x14ac:dyDescent="0.4">
      <c r="A492" s="7">
        <v>491</v>
      </c>
      <c r="B492" s="8" t="s">
        <v>2381</v>
      </c>
      <c r="C492" s="6" t="str">
        <f>IFERROR(IF(LEFT(D492,FIND(" ",D492)-1)="전라북도","전북특별자치도",LEFT(D492,FIND(" ",D492)-1)),"")</f>
        <v>전라남도</v>
      </c>
      <c r="D492" s="3" t="s">
        <v>2382</v>
      </c>
      <c r="E492" s="3" t="s">
        <v>1169</v>
      </c>
      <c r="F492" s="3" t="s">
        <v>2295</v>
      </c>
      <c r="G492" s="3" t="s">
        <v>2383</v>
      </c>
      <c r="H492" s="3" t="s">
        <v>971</v>
      </c>
      <c r="I492" s="3" t="s">
        <v>971</v>
      </c>
      <c r="J492" s="3" t="s">
        <v>2384</v>
      </c>
      <c r="K492" s="3" t="s">
        <v>21</v>
      </c>
      <c r="L492" s="3" t="s">
        <v>147</v>
      </c>
      <c r="M492" s="4">
        <v>25807</v>
      </c>
      <c r="N492" s="3" t="s">
        <v>84</v>
      </c>
      <c r="O492" s="3" t="s">
        <v>281</v>
      </c>
      <c r="P492" s="3" t="s">
        <v>72</v>
      </c>
    </row>
    <row r="493" spans="1:16" hidden="1" x14ac:dyDescent="0.4">
      <c r="A493" s="7">
        <v>492</v>
      </c>
      <c r="B493" s="8" t="s">
        <v>2385</v>
      </c>
      <c r="C493" s="6" t="str">
        <f>IFERROR(IF(LEFT(D493,FIND(" ",D493)-1)="전라북도","전북특별자치도",LEFT(D493,FIND(" ",D493)-1)),"")</f>
        <v>경기도</v>
      </c>
      <c r="D493" s="3" t="s">
        <v>2386</v>
      </c>
      <c r="E493" s="3" t="s">
        <v>2248</v>
      </c>
      <c r="F493" s="3" t="s">
        <v>2387</v>
      </c>
      <c r="G493" s="3" t="s">
        <v>19</v>
      </c>
      <c r="H493" s="3" t="s">
        <v>1704</v>
      </c>
      <c r="I493" s="3" t="s">
        <v>19</v>
      </c>
      <c r="J493" s="3" t="s">
        <v>19</v>
      </c>
      <c r="K493" s="3" t="s">
        <v>21</v>
      </c>
      <c r="L493" s="3" t="s">
        <v>22</v>
      </c>
      <c r="M493" s="4">
        <v>57</v>
      </c>
      <c r="N493" s="3" t="s">
        <v>211</v>
      </c>
      <c r="O493" s="3" t="s">
        <v>281</v>
      </c>
      <c r="P493" s="3" t="s">
        <v>1381</v>
      </c>
    </row>
    <row r="494" spans="1:16" hidden="1" x14ac:dyDescent="0.4">
      <c r="A494" s="7">
        <v>493</v>
      </c>
      <c r="B494" s="8" t="s">
        <v>2388</v>
      </c>
      <c r="C494" s="6" t="str">
        <f>IFERROR(IF(LEFT(D494,FIND(" ",D494)-1)="전라북도","전북특별자치도",LEFT(D494,FIND(" ",D494)-1)),"")</f>
        <v>전라남도</v>
      </c>
      <c r="D494" s="3" t="s">
        <v>2389</v>
      </c>
      <c r="E494" s="3" t="s">
        <v>2390</v>
      </c>
      <c r="F494" s="3" t="s">
        <v>2359</v>
      </c>
      <c r="G494" s="3" t="s">
        <v>2391</v>
      </c>
      <c r="H494" s="3" t="s">
        <v>1480</v>
      </c>
      <c r="I494" s="3" t="s">
        <v>1480</v>
      </c>
      <c r="J494" s="3" t="s">
        <v>19</v>
      </c>
      <c r="K494" s="3" t="s">
        <v>21</v>
      </c>
      <c r="L494" s="3" t="s">
        <v>22</v>
      </c>
      <c r="M494" s="4">
        <v>165</v>
      </c>
      <c r="N494" s="3" t="s">
        <v>1498</v>
      </c>
      <c r="O494" s="3" t="s">
        <v>281</v>
      </c>
      <c r="P494" s="3" t="s">
        <v>2081</v>
      </c>
    </row>
    <row r="495" spans="1:16" x14ac:dyDescent="0.4">
      <c r="A495" s="7">
        <v>494</v>
      </c>
      <c r="B495" s="8" t="s">
        <v>2392</v>
      </c>
      <c r="C495" s="6" t="str">
        <f>IFERROR(IF(LEFT(D495,FIND(" ",D495)-1)="전라북도","전북특별자치도",LEFT(D495,FIND(" ",D495)-1)),"")</f>
        <v>경상북도</v>
      </c>
      <c r="D495" s="3" t="s">
        <v>2393</v>
      </c>
      <c r="E495" s="3" t="s">
        <v>1372</v>
      </c>
      <c r="F495" s="3" t="s">
        <v>1510</v>
      </c>
      <c r="G495" s="3" t="s">
        <v>2394</v>
      </c>
      <c r="H495" s="3" t="s">
        <v>2395</v>
      </c>
      <c r="I495" s="3" t="s">
        <v>19</v>
      </c>
      <c r="J495" s="3" t="s">
        <v>2394</v>
      </c>
      <c r="K495" s="3" t="s">
        <v>21</v>
      </c>
      <c r="L495" s="3" t="s">
        <v>147</v>
      </c>
      <c r="M495" s="4">
        <v>93</v>
      </c>
      <c r="N495" s="3" t="s">
        <v>84</v>
      </c>
      <c r="O495" s="3" t="s">
        <v>24</v>
      </c>
      <c r="P495" s="3" t="s">
        <v>19</v>
      </c>
    </row>
    <row r="496" spans="1:16" hidden="1" x14ac:dyDescent="0.4">
      <c r="A496" s="7">
        <v>495</v>
      </c>
      <c r="B496" s="8" t="s">
        <v>2396</v>
      </c>
      <c r="C496" s="6" t="str">
        <f>IFERROR(IF(LEFT(D496,FIND(" ",D496)-1)="전라북도","전북특별자치도",LEFT(D496,FIND(" ",D496)-1)),"")</f>
        <v>경상남도</v>
      </c>
      <c r="D496" s="3" t="s">
        <v>2397</v>
      </c>
      <c r="E496" s="3" t="s">
        <v>2398</v>
      </c>
      <c r="F496" s="3" t="s">
        <v>501</v>
      </c>
      <c r="G496" s="3" t="s">
        <v>19</v>
      </c>
      <c r="H496" s="3" t="s">
        <v>1025</v>
      </c>
      <c r="I496" s="3" t="s">
        <v>19</v>
      </c>
      <c r="J496" s="3" t="s">
        <v>19</v>
      </c>
      <c r="K496" s="3" t="s">
        <v>21</v>
      </c>
      <c r="L496" s="3" t="s">
        <v>147</v>
      </c>
      <c r="M496" s="4">
        <v>1907</v>
      </c>
      <c r="N496" s="3" t="s">
        <v>19</v>
      </c>
      <c r="O496" s="3" t="s">
        <v>281</v>
      </c>
      <c r="P496" s="3" t="s">
        <v>2399</v>
      </c>
    </row>
    <row r="497" spans="1:16" hidden="1" x14ac:dyDescent="0.4">
      <c r="A497" s="7">
        <v>496</v>
      </c>
      <c r="B497" s="8" t="s">
        <v>2400</v>
      </c>
      <c r="C497" s="6" t="str">
        <f>IFERROR(IF(LEFT(D497,FIND(" ",D497)-1)="전라북도","전북특별자치도",LEFT(D497,FIND(" ",D497)-1)),"")</f>
        <v>경기도</v>
      </c>
      <c r="D497" s="3" t="s">
        <v>2401</v>
      </c>
      <c r="E497" s="3" t="s">
        <v>1144</v>
      </c>
      <c r="F497" s="3" t="s">
        <v>501</v>
      </c>
      <c r="G497" s="3" t="s">
        <v>2402</v>
      </c>
      <c r="H497" s="3" t="s">
        <v>953</v>
      </c>
      <c r="I497" s="3" t="s">
        <v>953</v>
      </c>
      <c r="J497" s="3" t="s">
        <v>19</v>
      </c>
      <c r="K497" s="3" t="s">
        <v>21</v>
      </c>
      <c r="L497" s="3" t="s">
        <v>22</v>
      </c>
      <c r="M497" s="4">
        <v>1298</v>
      </c>
      <c r="N497" s="3" t="s">
        <v>1498</v>
      </c>
      <c r="O497" s="3" t="s">
        <v>281</v>
      </c>
      <c r="P497" s="3" t="s">
        <v>1413</v>
      </c>
    </row>
    <row r="498" spans="1:16" hidden="1" x14ac:dyDescent="0.4">
      <c r="A498" s="7">
        <v>497</v>
      </c>
      <c r="B498" s="8" t="s">
        <v>2400</v>
      </c>
      <c r="C498" s="6" t="str">
        <f>IFERROR(IF(LEFT(D498,FIND(" ",D498)-1)="전라북도","전북특별자치도",LEFT(D498,FIND(" ",D498)-1)),"")</f>
        <v>경기도</v>
      </c>
      <c r="D498" s="3" t="s">
        <v>2401</v>
      </c>
      <c r="E498" s="3" t="s">
        <v>1144</v>
      </c>
      <c r="F498" s="3" t="s">
        <v>501</v>
      </c>
      <c r="G498" s="3" t="s">
        <v>2402</v>
      </c>
      <c r="H498" s="3" t="s">
        <v>953</v>
      </c>
      <c r="I498" s="3" t="s">
        <v>953</v>
      </c>
      <c r="J498" s="3" t="s">
        <v>19</v>
      </c>
      <c r="K498" s="3" t="s">
        <v>21</v>
      </c>
      <c r="L498" s="3" t="s">
        <v>22</v>
      </c>
      <c r="M498" s="4">
        <v>1298</v>
      </c>
      <c r="N498" s="3" t="s">
        <v>1498</v>
      </c>
      <c r="O498" s="3" t="s">
        <v>281</v>
      </c>
      <c r="P498" s="3" t="s">
        <v>1413</v>
      </c>
    </row>
    <row r="499" spans="1:16" x14ac:dyDescent="0.4">
      <c r="A499" s="7">
        <v>498</v>
      </c>
      <c r="B499" s="8" t="s">
        <v>2403</v>
      </c>
      <c r="C499" s="6" t="str">
        <f>IFERROR(IF(LEFT(D499,FIND(" ",D499)-1)="전라북도","전북특별자치도",LEFT(D499,FIND(" ",D499)-1)),"")</f>
        <v>전라남도</v>
      </c>
      <c r="D499" s="3" t="s">
        <v>2404</v>
      </c>
      <c r="E499" s="3" t="s">
        <v>2405</v>
      </c>
      <c r="F499" s="3" t="s">
        <v>2406</v>
      </c>
      <c r="G499" s="3" t="s">
        <v>19</v>
      </c>
      <c r="H499" s="3" t="s">
        <v>2407</v>
      </c>
      <c r="I499" s="3" t="s">
        <v>19</v>
      </c>
      <c r="J499" s="3" t="s">
        <v>19</v>
      </c>
      <c r="K499" s="3" t="s">
        <v>21</v>
      </c>
      <c r="L499" s="3" t="s">
        <v>147</v>
      </c>
      <c r="M499" s="4">
        <v>1310</v>
      </c>
      <c r="N499" s="3" t="s">
        <v>19</v>
      </c>
      <c r="O499" s="3" t="s">
        <v>24</v>
      </c>
      <c r="P499" s="3" t="s">
        <v>19</v>
      </c>
    </row>
    <row r="500" spans="1:16" x14ac:dyDescent="0.4">
      <c r="A500" s="7">
        <v>499</v>
      </c>
      <c r="B500" s="8" t="s">
        <v>2408</v>
      </c>
      <c r="C500" s="6" t="str">
        <f>IFERROR(IF(LEFT(D500,FIND(" ",D500)-1)="전라북도","전북특별자치도",LEFT(D500,FIND(" ",D500)-1)),"")</f>
        <v>제주특별자치도</v>
      </c>
      <c r="D500" s="3" t="s">
        <v>2409</v>
      </c>
      <c r="E500" s="3" t="s">
        <v>2095</v>
      </c>
      <c r="F500" s="3" t="s">
        <v>2406</v>
      </c>
      <c r="G500" s="3" t="s">
        <v>19</v>
      </c>
      <c r="H500" s="3" t="s">
        <v>1440</v>
      </c>
      <c r="I500" s="3" t="s">
        <v>19</v>
      </c>
      <c r="J500" s="3" t="s">
        <v>19</v>
      </c>
      <c r="K500" s="3" t="s">
        <v>21</v>
      </c>
      <c r="L500" s="3" t="s">
        <v>147</v>
      </c>
      <c r="M500" s="4">
        <v>629</v>
      </c>
      <c r="N500" s="3" t="s">
        <v>19</v>
      </c>
      <c r="O500" s="3" t="s">
        <v>24</v>
      </c>
      <c r="P500" s="3" t="s">
        <v>19</v>
      </c>
    </row>
    <row r="501" spans="1:16" hidden="1" x14ac:dyDescent="0.4">
      <c r="A501" s="7">
        <v>500</v>
      </c>
      <c r="B501" s="8" t="s">
        <v>2410</v>
      </c>
      <c r="C501" s="6" t="str">
        <f>IFERROR(IF(LEFT(D501,FIND(" ",D501)-1)="전라북도","전북특별자치도",LEFT(D501,FIND(" ",D501)-1)),"")</f>
        <v>충청남도</v>
      </c>
      <c r="D501" s="3" t="s">
        <v>2411</v>
      </c>
      <c r="E501" s="3" t="s">
        <v>1615</v>
      </c>
      <c r="F501" s="3" t="s">
        <v>1372</v>
      </c>
      <c r="G501" s="3" t="s">
        <v>2412</v>
      </c>
      <c r="H501" s="3" t="s">
        <v>2413</v>
      </c>
      <c r="I501" s="3" t="s">
        <v>19</v>
      </c>
      <c r="J501" s="3" t="s">
        <v>19</v>
      </c>
      <c r="K501" s="3" t="s">
        <v>21</v>
      </c>
      <c r="L501" s="3" t="s">
        <v>147</v>
      </c>
      <c r="M501" s="4">
        <v>143</v>
      </c>
      <c r="N501" s="3" t="s">
        <v>84</v>
      </c>
      <c r="O501" s="3" t="s">
        <v>281</v>
      </c>
      <c r="P501" s="3" t="s">
        <v>1829</v>
      </c>
    </row>
    <row r="502" spans="1:16" hidden="1" x14ac:dyDescent="0.4">
      <c r="A502" s="7">
        <v>501</v>
      </c>
      <c r="B502" s="8" t="s">
        <v>1195</v>
      </c>
      <c r="C502" s="6" t="str">
        <f>IFERROR(IF(LEFT(D502,FIND(" ",D502)-1)="전라북도","전북특별자치도",LEFT(D502,FIND(" ",D502)-1)),"")</f>
        <v>경기도</v>
      </c>
      <c r="D502" s="3" t="s">
        <v>1196</v>
      </c>
      <c r="E502" s="3" t="s">
        <v>2367</v>
      </c>
      <c r="F502" s="3" t="s">
        <v>2405</v>
      </c>
      <c r="G502" s="3" t="s">
        <v>19</v>
      </c>
      <c r="H502" s="3" t="s">
        <v>302</v>
      </c>
      <c r="I502" s="3" t="s">
        <v>19</v>
      </c>
      <c r="J502" s="3" t="s">
        <v>19</v>
      </c>
      <c r="K502" s="3" t="s">
        <v>21</v>
      </c>
      <c r="L502" s="3" t="s">
        <v>147</v>
      </c>
      <c r="M502" s="4">
        <v>1301</v>
      </c>
      <c r="N502" s="3" t="s">
        <v>84</v>
      </c>
      <c r="O502" s="3" t="s">
        <v>281</v>
      </c>
      <c r="P502" s="3" t="s">
        <v>1923</v>
      </c>
    </row>
    <row r="503" spans="1:16" hidden="1" x14ac:dyDescent="0.4">
      <c r="A503" s="7">
        <v>502</v>
      </c>
      <c r="B503" s="8" t="s">
        <v>2414</v>
      </c>
      <c r="C503" s="6" t="str">
        <f>IFERROR(IF(LEFT(D503,FIND(" ",D503)-1)="전라북도","전북특별자치도",LEFT(D503,FIND(" ",D503)-1)),"")</f>
        <v>제주특별자치도</v>
      </c>
      <c r="D503" s="3" t="s">
        <v>2415</v>
      </c>
      <c r="E503" s="3" t="s">
        <v>2074</v>
      </c>
      <c r="F503" s="3" t="s">
        <v>2405</v>
      </c>
      <c r="G503" s="3" t="s">
        <v>19</v>
      </c>
      <c r="H503" s="3" t="s">
        <v>2416</v>
      </c>
      <c r="I503" s="3" t="s">
        <v>19</v>
      </c>
      <c r="J503" s="3" t="s">
        <v>19</v>
      </c>
      <c r="K503" s="3" t="s">
        <v>21</v>
      </c>
      <c r="L503" s="3" t="s">
        <v>147</v>
      </c>
      <c r="M503" s="4">
        <v>1068</v>
      </c>
      <c r="N503" s="3" t="s">
        <v>123</v>
      </c>
      <c r="O503" s="3" t="s">
        <v>281</v>
      </c>
      <c r="P503" s="3" t="s">
        <v>2303</v>
      </c>
    </row>
    <row r="504" spans="1:16" hidden="1" x14ac:dyDescent="0.4">
      <c r="A504" s="7">
        <v>503</v>
      </c>
      <c r="B504" s="8" t="s">
        <v>2417</v>
      </c>
      <c r="C504" s="6" t="str">
        <f>IFERROR(IF(LEFT(D504,FIND(" ",D504)-1)="전라북도","전북특별자치도",LEFT(D504,FIND(" ",D504)-1)),"")</f>
        <v>경기도</v>
      </c>
      <c r="D504" s="3" t="s">
        <v>2418</v>
      </c>
      <c r="E504" s="3" t="s">
        <v>2398</v>
      </c>
      <c r="F504" s="3" t="s">
        <v>2405</v>
      </c>
      <c r="G504" s="3" t="s">
        <v>2419</v>
      </c>
      <c r="H504" s="3" t="s">
        <v>210</v>
      </c>
      <c r="I504" s="3" t="s">
        <v>210</v>
      </c>
      <c r="J504" s="3" t="s">
        <v>19</v>
      </c>
      <c r="K504" s="3" t="s">
        <v>21</v>
      </c>
      <c r="L504" s="3" t="s">
        <v>358</v>
      </c>
      <c r="M504" s="4">
        <v>904</v>
      </c>
      <c r="N504" s="3" t="s">
        <v>1498</v>
      </c>
      <c r="O504" s="3" t="s">
        <v>281</v>
      </c>
      <c r="P504" s="3" t="s">
        <v>1971</v>
      </c>
    </row>
    <row r="505" spans="1:16" hidden="1" x14ac:dyDescent="0.4">
      <c r="A505" s="7">
        <v>504</v>
      </c>
      <c r="B505" s="8" t="s">
        <v>2420</v>
      </c>
      <c r="C505" s="6" t="str">
        <f>IFERROR(IF(LEFT(D505,FIND(" ",D505)-1)="전라북도","전북특별자치도",LEFT(D505,FIND(" ",D505)-1)),"")</f>
        <v>인천광역시</v>
      </c>
      <c r="D505" s="3" t="s">
        <v>2421</v>
      </c>
      <c r="E505" s="3" t="s">
        <v>559</v>
      </c>
      <c r="F505" s="3" t="s">
        <v>2422</v>
      </c>
      <c r="G505" s="3" t="s">
        <v>19</v>
      </c>
      <c r="H505" s="3" t="s">
        <v>2423</v>
      </c>
      <c r="I505" s="3" t="s">
        <v>19</v>
      </c>
      <c r="J505" s="3" t="s">
        <v>19</v>
      </c>
      <c r="K505" s="3" t="s">
        <v>21</v>
      </c>
      <c r="L505" s="3" t="s">
        <v>147</v>
      </c>
      <c r="M505" s="4">
        <v>1298</v>
      </c>
      <c r="N505" s="3" t="s">
        <v>2424</v>
      </c>
      <c r="O505" s="3" t="s">
        <v>281</v>
      </c>
      <c r="P505" s="3" t="s">
        <v>1911</v>
      </c>
    </row>
    <row r="506" spans="1:16" x14ac:dyDescent="0.4">
      <c r="A506" s="7">
        <v>505</v>
      </c>
      <c r="B506" s="8" t="s">
        <v>1813</v>
      </c>
      <c r="C506" s="6" t="str">
        <f>IFERROR(IF(LEFT(D506,FIND(" ",D506)-1)="전라북도","전북특별자치도",LEFT(D506,FIND(" ",D506)-1)),"")</f>
        <v>경기도</v>
      </c>
      <c r="D506" s="3" t="s">
        <v>2425</v>
      </c>
      <c r="E506" s="3" t="s">
        <v>2426</v>
      </c>
      <c r="F506" s="3" t="s">
        <v>2427</v>
      </c>
      <c r="G506" s="3" t="s">
        <v>19</v>
      </c>
      <c r="H506" s="3" t="s">
        <v>140</v>
      </c>
      <c r="I506" s="3" t="s">
        <v>19</v>
      </c>
      <c r="J506" s="3" t="s">
        <v>19</v>
      </c>
      <c r="K506" s="3" t="s">
        <v>21</v>
      </c>
      <c r="L506" s="3" t="s">
        <v>147</v>
      </c>
      <c r="M506" s="4">
        <v>1110</v>
      </c>
      <c r="N506" s="3" t="s">
        <v>1498</v>
      </c>
      <c r="O506" s="3" t="s">
        <v>24</v>
      </c>
      <c r="P506" s="3" t="s">
        <v>19</v>
      </c>
    </row>
    <row r="507" spans="1:16" hidden="1" x14ac:dyDescent="0.4">
      <c r="A507" s="7">
        <v>506</v>
      </c>
      <c r="B507" s="8" t="s">
        <v>2428</v>
      </c>
      <c r="C507" s="6" t="str">
        <f>IFERROR(IF(LEFT(D507,FIND(" ",D507)-1)="전라북도","전북특별자치도",LEFT(D507,FIND(" ",D507)-1)),"")</f>
        <v>경기도</v>
      </c>
      <c r="D507" s="3" t="s">
        <v>2429</v>
      </c>
      <c r="E507" s="3" t="s">
        <v>2430</v>
      </c>
      <c r="F507" s="3" t="s">
        <v>2431</v>
      </c>
      <c r="G507" s="3" t="s">
        <v>19</v>
      </c>
      <c r="H507" s="3" t="s">
        <v>885</v>
      </c>
      <c r="I507" s="3" t="s">
        <v>19</v>
      </c>
      <c r="J507" s="3" t="s">
        <v>19</v>
      </c>
      <c r="K507" s="3" t="s">
        <v>21</v>
      </c>
      <c r="L507" s="3" t="s">
        <v>147</v>
      </c>
      <c r="M507" s="4">
        <v>122</v>
      </c>
      <c r="N507" s="3" t="s">
        <v>211</v>
      </c>
      <c r="O507" s="3" t="s">
        <v>281</v>
      </c>
      <c r="P507" s="3" t="s">
        <v>2390</v>
      </c>
    </row>
    <row r="508" spans="1:16" hidden="1" x14ac:dyDescent="0.4">
      <c r="A508" s="7">
        <v>507</v>
      </c>
      <c r="B508" s="8" t="s">
        <v>2432</v>
      </c>
      <c r="C508" s="6" t="str">
        <f>IFERROR(IF(LEFT(D508,FIND(" ",D508)-1)="전라북도","전북특별자치도",LEFT(D508,FIND(" ",D508)-1)),"")</f>
        <v>경기도</v>
      </c>
      <c r="D508" s="3" t="s">
        <v>2433</v>
      </c>
      <c r="E508" s="3" t="s">
        <v>2434</v>
      </c>
      <c r="F508" s="3" t="s">
        <v>2431</v>
      </c>
      <c r="G508" s="3" t="s">
        <v>2436</v>
      </c>
      <c r="H508" s="3" t="s">
        <v>19</v>
      </c>
      <c r="I508" s="3" t="s">
        <v>19</v>
      </c>
      <c r="J508" s="3" t="s">
        <v>19</v>
      </c>
      <c r="K508" s="3" t="s">
        <v>21</v>
      </c>
      <c r="L508" s="3" t="s">
        <v>22</v>
      </c>
      <c r="M508" s="4">
        <v>253</v>
      </c>
      <c r="N508" s="3" t="s">
        <v>1498</v>
      </c>
      <c r="O508" s="3" t="s">
        <v>281</v>
      </c>
      <c r="P508" s="3" t="s">
        <v>2435</v>
      </c>
    </row>
    <row r="509" spans="1:16" hidden="1" x14ac:dyDescent="0.4">
      <c r="A509" s="7">
        <v>508</v>
      </c>
      <c r="B509" s="8" t="s">
        <v>2437</v>
      </c>
      <c r="C509" s="6" t="str">
        <f>IFERROR(IF(LEFT(D509,FIND(" ",D509)-1)="전라북도","전북특별자치도",LEFT(D509,FIND(" ",D509)-1)),"")</f>
        <v>전라남도</v>
      </c>
      <c r="D509" s="3" t="s">
        <v>2438</v>
      </c>
      <c r="E509" s="3" t="s">
        <v>1615</v>
      </c>
      <c r="F509" s="3" t="s">
        <v>2430</v>
      </c>
      <c r="G509" s="3" t="s">
        <v>2439</v>
      </c>
      <c r="H509" s="3" t="s">
        <v>2440</v>
      </c>
      <c r="I509" s="3" t="s">
        <v>2440</v>
      </c>
      <c r="J509" s="3" t="s">
        <v>19</v>
      </c>
      <c r="K509" s="3" t="s">
        <v>21</v>
      </c>
      <c r="L509" s="3" t="s">
        <v>22</v>
      </c>
      <c r="M509" s="4">
        <v>324</v>
      </c>
      <c r="N509" s="3" t="s">
        <v>1498</v>
      </c>
      <c r="O509" s="3" t="s">
        <v>281</v>
      </c>
      <c r="P509" s="3" t="s">
        <v>322</v>
      </c>
    </row>
    <row r="510" spans="1:16" x14ac:dyDescent="0.4">
      <c r="A510" s="7">
        <v>509</v>
      </c>
      <c r="B510" s="8" t="s">
        <v>2441</v>
      </c>
      <c r="C510" s="6" t="str">
        <f>IFERROR(IF(LEFT(D510,FIND(" ",D510)-1)="전라북도","전북특별자치도",LEFT(D510,FIND(" ",D510)-1)),"")</f>
        <v>강원특별자치도</v>
      </c>
      <c r="D510" s="3" t="s">
        <v>2442</v>
      </c>
      <c r="E510" s="3" t="s">
        <v>1144</v>
      </c>
      <c r="F510" s="3" t="s">
        <v>2443</v>
      </c>
      <c r="G510" s="3" t="s">
        <v>2444</v>
      </c>
      <c r="H510" s="3" t="s">
        <v>2445</v>
      </c>
      <c r="I510" s="3" t="s">
        <v>2446</v>
      </c>
      <c r="J510" s="3" t="s">
        <v>19</v>
      </c>
      <c r="K510" s="3" t="s">
        <v>21</v>
      </c>
      <c r="L510" s="3" t="s">
        <v>22</v>
      </c>
      <c r="M510" s="4">
        <v>19738</v>
      </c>
      <c r="N510" s="3" t="s">
        <v>1498</v>
      </c>
      <c r="O510" s="3" t="s">
        <v>24</v>
      </c>
      <c r="P510" s="3" t="s">
        <v>19</v>
      </c>
    </row>
    <row r="511" spans="1:16" hidden="1" x14ac:dyDescent="0.4">
      <c r="A511" s="7">
        <v>510</v>
      </c>
      <c r="B511" s="8" t="s">
        <v>2447</v>
      </c>
      <c r="C511" s="6" t="str">
        <f>IFERROR(IF(LEFT(D511,FIND(" ",D511)-1)="전라북도","전북특별자치도",LEFT(D511,FIND(" ",D511)-1)),"")</f>
        <v>경기도</v>
      </c>
      <c r="D511" s="3" t="s">
        <v>2448</v>
      </c>
      <c r="E511" s="3" t="s">
        <v>1526</v>
      </c>
      <c r="F511" s="3" t="s">
        <v>2443</v>
      </c>
      <c r="G511" s="3" t="s">
        <v>19</v>
      </c>
      <c r="H511" s="3" t="s">
        <v>302</v>
      </c>
      <c r="I511" s="3" t="s">
        <v>302</v>
      </c>
      <c r="J511" s="3" t="s">
        <v>19</v>
      </c>
      <c r="K511" s="3" t="s">
        <v>21</v>
      </c>
      <c r="L511" s="3" t="s">
        <v>147</v>
      </c>
      <c r="M511" s="4">
        <v>608</v>
      </c>
      <c r="N511" s="3" t="s">
        <v>123</v>
      </c>
      <c r="O511" s="3" t="s">
        <v>281</v>
      </c>
      <c r="P511" s="3" t="s">
        <v>2398</v>
      </c>
    </row>
    <row r="512" spans="1:16" hidden="1" x14ac:dyDescent="0.4">
      <c r="A512" s="7">
        <v>511</v>
      </c>
      <c r="B512" s="8" t="s">
        <v>2449</v>
      </c>
      <c r="C512" s="6" t="str">
        <f>IFERROR(IF(LEFT(D512,FIND(" ",D512)-1)="전라북도","전북특별자치도",LEFT(D512,FIND(" ",D512)-1)),"")</f>
        <v>충청북도</v>
      </c>
      <c r="D512" s="3" t="s">
        <v>2450</v>
      </c>
      <c r="E512" s="3" t="s">
        <v>2451</v>
      </c>
      <c r="F512" s="3" t="s">
        <v>522</v>
      </c>
      <c r="G512" s="3" t="s">
        <v>2453</v>
      </c>
      <c r="H512" s="3" t="s">
        <v>2454</v>
      </c>
      <c r="I512" s="3" t="s">
        <v>2454</v>
      </c>
      <c r="J512" s="3" t="s">
        <v>2455</v>
      </c>
      <c r="K512" s="3" t="s">
        <v>21</v>
      </c>
      <c r="L512" s="3" t="s">
        <v>22</v>
      </c>
      <c r="M512" s="4">
        <v>750</v>
      </c>
      <c r="N512" s="3" t="s">
        <v>2155</v>
      </c>
      <c r="O512" s="3" t="s">
        <v>281</v>
      </c>
      <c r="P512" s="3" t="s">
        <v>2452</v>
      </c>
    </row>
    <row r="513" spans="1:16" hidden="1" x14ac:dyDescent="0.4">
      <c r="A513" s="7">
        <v>512</v>
      </c>
      <c r="B513" s="8" t="s">
        <v>2456</v>
      </c>
      <c r="C513" s="6" t="str">
        <f>IFERROR(IF(LEFT(D513,FIND(" ",D513)-1)="전라북도","전북특별자치도",LEFT(D513,FIND(" ",D513)-1)),"")</f>
        <v>경기도</v>
      </c>
      <c r="D513" s="3" t="s">
        <v>2457</v>
      </c>
      <c r="E513" s="3" t="s">
        <v>2458</v>
      </c>
      <c r="F513" s="3" t="s">
        <v>2459</v>
      </c>
      <c r="G513" s="3" t="s">
        <v>2460</v>
      </c>
      <c r="H513" s="3" t="s">
        <v>210</v>
      </c>
      <c r="I513" s="3" t="s">
        <v>210</v>
      </c>
      <c r="J513" s="3" t="s">
        <v>19</v>
      </c>
      <c r="K513" s="3" t="s">
        <v>21</v>
      </c>
      <c r="L513" s="3" t="s">
        <v>22</v>
      </c>
      <c r="M513" s="4">
        <v>563</v>
      </c>
      <c r="N513" s="3" t="s">
        <v>123</v>
      </c>
      <c r="O513" s="3" t="s">
        <v>281</v>
      </c>
      <c r="P513" s="3" t="s">
        <v>2080</v>
      </c>
    </row>
    <row r="514" spans="1:16" x14ac:dyDescent="0.4">
      <c r="A514" s="7">
        <v>513</v>
      </c>
      <c r="B514" s="8" t="s">
        <v>2461</v>
      </c>
      <c r="C514" s="6" t="str">
        <f>IFERROR(IF(LEFT(D514,FIND(" ",D514)-1)="전라북도","전북특별자치도",LEFT(D514,FIND(" ",D514)-1)),"")</f>
        <v>전북특별자치도</v>
      </c>
      <c r="D514" s="3" t="s">
        <v>2462</v>
      </c>
      <c r="E514" s="3" t="s">
        <v>1526</v>
      </c>
      <c r="F514" s="3" t="s">
        <v>2041</v>
      </c>
      <c r="G514" s="3" t="s">
        <v>2463</v>
      </c>
      <c r="H514" s="3" t="s">
        <v>2464</v>
      </c>
      <c r="I514" s="3" t="s">
        <v>2464</v>
      </c>
      <c r="J514" s="3" t="s">
        <v>19</v>
      </c>
      <c r="K514" s="3" t="s">
        <v>21</v>
      </c>
      <c r="L514" s="3" t="s">
        <v>22</v>
      </c>
      <c r="M514" s="4">
        <v>1081</v>
      </c>
      <c r="N514" s="3" t="s">
        <v>1498</v>
      </c>
      <c r="O514" s="3" t="s">
        <v>24</v>
      </c>
      <c r="P514" s="3" t="s">
        <v>19</v>
      </c>
    </row>
    <row r="515" spans="1:16" x14ac:dyDescent="0.4">
      <c r="A515" s="7">
        <v>514</v>
      </c>
      <c r="B515" s="8" t="s">
        <v>2465</v>
      </c>
      <c r="C515" s="6" t="str">
        <f>IFERROR(IF(LEFT(D515,FIND(" ",D515)-1)="전라북도","전북특별자치도",LEFT(D515,FIND(" ",D515)-1)),"")</f>
        <v>전북특별자치도</v>
      </c>
      <c r="D515" s="3" t="s">
        <v>2466</v>
      </c>
      <c r="E515" s="3" t="s">
        <v>1526</v>
      </c>
      <c r="F515" s="3" t="s">
        <v>2041</v>
      </c>
      <c r="G515" s="3" t="s">
        <v>2463</v>
      </c>
      <c r="H515" s="3" t="s">
        <v>2464</v>
      </c>
      <c r="I515" s="3" t="s">
        <v>2464</v>
      </c>
      <c r="J515" s="3" t="s">
        <v>19</v>
      </c>
      <c r="K515" s="3" t="s">
        <v>21</v>
      </c>
      <c r="L515" s="3" t="s">
        <v>22</v>
      </c>
      <c r="M515" s="4">
        <v>571</v>
      </c>
      <c r="N515" s="3" t="s">
        <v>1498</v>
      </c>
      <c r="O515" s="3" t="s">
        <v>24</v>
      </c>
      <c r="P515" s="3" t="s">
        <v>19</v>
      </c>
    </row>
    <row r="516" spans="1:16" hidden="1" x14ac:dyDescent="0.4">
      <c r="A516" s="7">
        <v>515</v>
      </c>
      <c r="B516" s="8" t="s">
        <v>2467</v>
      </c>
      <c r="C516" s="6" t="str">
        <f>IFERROR(IF(LEFT(D516,FIND(" ",D516)-1)="전라북도","전북특별자치도",LEFT(D516,FIND(" ",D516)-1)),"")</f>
        <v>충청남도</v>
      </c>
      <c r="D516" s="3" t="s">
        <v>2468</v>
      </c>
      <c r="E516" s="3" t="s">
        <v>570</v>
      </c>
      <c r="F516" s="3" t="s">
        <v>527</v>
      </c>
      <c r="G516" s="3" t="s">
        <v>2470</v>
      </c>
      <c r="H516" s="3" t="s">
        <v>2471</v>
      </c>
      <c r="I516" s="3" t="s">
        <v>2472</v>
      </c>
      <c r="J516" s="3" t="s">
        <v>2473</v>
      </c>
      <c r="K516" s="3" t="s">
        <v>21</v>
      </c>
      <c r="L516" s="3" t="s">
        <v>22</v>
      </c>
      <c r="M516" s="4">
        <v>1597</v>
      </c>
      <c r="N516" s="3" t="s">
        <v>1498</v>
      </c>
      <c r="O516" s="3" t="s">
        <v>281</v>
      </c>
      <c r="P516" s="3" t="s">
        <v>2469</v>
      </c>
    </row>
    <row r="517" spans="1:16" hidden="1" x14ac:dyDescent="0.4">
      <c r="A517" s="7">
        <v>516</v>
      </c>
      <c r="B517" s="8" t="s">
        <v>2474</v>
      </c>
      <c r="C517" s="6" t="str">
        <f>IFERROR(IF(LEFT(D517,FIND(" ",D517)-1)="전라북도","전북특별자치도",LEFT(D517,FIND(" ",D517)-1)),"")</f>
        <v>경기도</v>
      </c>
      <c r="D517" s="3" t="s">
        <v>2475</v>
      </c>
      <c r="E517" s="3" t="s">
        <v>2476</v>
      </c>
      <c r="F517" s="3" t="s">
        <v>527</v>
      </c>
      <c r="G517" s="3" t="s">
        <v>2436</v>
      </c>
      <c r="H517" s="3" t="s">
        <v>19</v>
      </c>
      <c r="I517" s="3" t="s">
        <v>19</v>
      </c>
      <c r="J517" s="3" t="s">
        <v>2478</v>
      </c>
      <c r="K517" s="3" t="s">
        <v>21</v>
      </c>
      <c r="L517" s="3" t="s">
        <v>22</v>
      </c>
      <c r="M517" s="4">
        <v>758</v>
      </c>
      <c r="N517" s="3" t="s">
        <v>1498</v>
      </c>
      <c r="O517" s="3" t="s">
        <v>281</v>
      </c>
      <c r="P517" s="3" t="s">
        <v>2477</v>
      </c>
    </row>
    <row r="518" spans="1:16" hidden="1" x14ac:dyDescent="0.4">
      <c r="A518" s="7">
        <v>517</v>
      </c>
      <c r="B518" s="8" t="s">
        <v>2479</v>
      </c>
      <c r="C518" s="6" t="str">
        <f>IFERROR(IF(LEFT(D518,FIND(" ",D518)-1)="전라북도","전북특별자치도",LEFT(D518,FIND(" ",D518)-1)),"")</f>
        <v>서울특별시</v>
      </c>
      <c r="D518" s="3" t="s">
        <v>2480</v>
      </c>
      <c r="E518" s="3" t="s">
        <v>2481</v>
      </c>
      <c r="F518" s="3" t="s">
        <v>2371</v>
      </c>
      <c r="G518" s="3" t="s">
        <v>2483</v>
      </c>
      <c r="H518" s="3" t="s">
        <v>134</v>
      </c>
      <c r="I518" s="3" t="s">
        <v>134</v>
      </c>
      <c r="J518" s="3" t="s">
        <v>51</v>
      </c>
      <c r="K518" s="3" t="s">
        <v>21</v>
      </c>
      <c r="L518" s="3" t="s">
        <v>22</v>
      </c>
      <c r="M518" s="4">
        <v>1993</v>
      </c>
      <c r="N518" s="3" t="s">
        <v>1498</v>
      </c>
      <c r="O518" s="3" t="s">
        <v>281</v>
      </c>
      <c r="P518" s="3" t="s">
        <v>2482</v>
      </c>
    </row>
    <row r="519" spans="1:16" hidden="1" x14ac:dyDescent="0.4">
      <c r="A519" s="7">
        <v>518</v>
      </c>
      <c r="B519" s="8" t="s">
        <v>2484</v>
      </c>
      <c r="C519" s="6" t="str">
        <f>IFERROR(IF(LEFT(D519,FIND(" ",D519)-1)="전라북도","전북특별자치도",LEFT(D519,FIND(" ",D519)-1)),"")</f>
        <v>서울특별시</v>
      </c>
      <c r="D519" s="3" t="s">
        <v>2485</v>
      </c>
      <c r="E519" s="3" t="s">
        <v>2481</v>
      </c>
      <c r="F519" s="3" t="s">
        <v>2371</v>
      </c>
      <c r="G519" s="3" t="s">
        <v>2483</v>
      </c>
      <c r="H519" s="3" t="s">
        <v>134</v>
      </c>
      <c r="I519" s="3" t="s">
        <v>134</v>
      </c>
      <c r="J519" s="3" t="s">
        <v>51</v>
      </c>
      <c r="K519" s="3" t="s">
        <v>21</v>
      </c>
      <c r="L519" s="3" t="s">
        <v>22</v>
      </c>
      <c r="M519" s="4">
        <v>1995</v>
      </c>
      <c r="N519" s="3" t="s">
        <v>1498</v>
      </c>
      <c r="O519" s="3" t="s">
        <v>281</v>
      </c>
      <c r="P519" s="3" t="s">
        <v>2482</v>
      </c>
    </row>
    <row r="520" spans="1:16" hidden="1" x14ac:dyDescent="0.4">
      <c r="A520" s="7">
        <v>519</v>
      </c>
      <c r="B520" s="8" t="s">
        <v>2486</v>
      </c>
      <c r="C520" s="6" t="str">
        <f>IFERROR(IF(LEFT(D520,FIND(" ",D520)-1)="전라북도","전북특별자치도",LEFT(D520,FIND(" ",D520)-1)),"")</f>
        <v>충청남도</v>
      </c>
      <c r="D520" s="3" t="s">
        <v>2487</v>
      </c>
      <c r="E520" s="3" t="s">
        <v>1178</v>
      </c>
      <c r="F520" s="3" t="s">
        <v>2177</v>
      </c>
      <c r="G520" s="3" t="s">
        <v>2488</v>
      </c>
      <c r="H520" s="3" t="s">
        <v>2489</v>
      </c>
      <c r="I520" s="3" t="s">
        <v>19</v>
      </c>
      <c r="J520" s="3" t="s">
        <v>19</v>
      </c>
      <c r="K520" s="3" t="s">
        <v>21</v>
      </c>
      <c r="L520" s="3" t="s">
        <v>22</v>
      </c>
      <c r="M520" s="4">
        <v>413</v>
      </c>
      <c r="N520" s="3" t="s">
        <v>1498</v>
      </c>
      <c r="O520" s="3" t="s">
        <v>281</v>
      </c>
      <c r="P520" s="3" t="s">
        <v>1776</v>
      </c>
    </row>
    <row r="521" spans="1:16" hidden="1" x14ac:dyDescent="0.4">
      <c r="A521" s="7">
        <v>520</v>
      </c>
      <c r="B521" s="8" t="s">
        <v>2490</v>
      </c>
      <c r="C521" s="6" t="str">
        <f>IFERROR(IF(LEFT(D521,FIND(" ",D521)-1)="전라북도","전북특별자치도",LEFT(D521,FIND(" ",D521)-1)),"")</f>
        <v>경상남도</v>
      </c>
      <c r="D521" s="3" t="s">
        <v>2491</v>
      </c>
      <c r="E521" s="3" t="s">
        <v>2492</v>
      </c>
      <c r="F521" s="3" t="s">
        <v>2493</v>
      </c>
      <c r="G521" s="3" t="s">
        <v>19</v>
      </c>
      <c r="H521" s="3" t="s">
        <v>2494</v>
      </c>
      <c r="I521" s="3" t="s">
        <v>19</v>
      </c>
      <c r="J521" s="3" t="s">
        <v>19</v>
      </c>
      <c r="K521" s="3" t="s">
        <v>21</v>
      </c>
      <c r="L521" s="3" t="s">
        <v>147</v>
      </c>
      <c r="M521" s="4">
        <v>563</v>
      </c>
      <c r="N521" s="3" t="s">
        <v>1498</v>
      </c>
      <c r="O521" s="3" t="s">
        <v>281</v>
      </c>
      <c r="P521" s="3" t="s">
        <v>2164</v>
      </c>
    </row>
    <row r="522" spans="1:16" hidden="1" x14ac:dyDescent="0.4">
      <c r="A522" s="7">
        <v>521</v>
      </c>
      <c r="B522" s="8" t="s">
        <v>2495</v>
      </c>
      <c r="C522" s="6" t="str">
        <f>IFERROR(IF(LEFT(D522,FIND(" ",D522)-1)="전라북도","전북특별자치도",LEFT(D522,FIND(" ",D522)-1)),"")</f>
        <v>경기도</v>
      </c>
      <c r="D522" s="3" t="s">
        <v>2496</v>
      </c>
      <c r="E522" s="3" t="s">
        <v>2497</v>
      </c>
      <c r="F522" s="3" t="s">
        <v>2493</v>
      </c>
      <c r="G522" s="3" t="s">
        <v>2498</v>
      </c>
      <c r="H522" s="3" t="s">
        <v>1237</v>
      </c>
      <c r="I522" s="3" t="s">
        <v>19</v>
      </c>
      <c r="J522" s="3" t="s">
        <v>19</v>
      </c>
      <c r="K522" s="3" t="s">
        <v>21</v>
      </c>
      <c r="L522" s="3" t="s">
        <v>22</v>
      </c>
      <c r="M522" s="4">
        <v>319</v>
      </c>
      <c r="N522" s="3" t="s">
        <v>84</v>
      </c>
      <c r="O522" s="3" t="s">
        <v>281</v>
      </c>
      <c r="P522" s="3" t="s">
        <v>1299</v>
      </c>
    </row>
    <row r="523" spans="1:16" hidden="1" x14ac:dyDescent="0.4">
      <c r="A523" s="7">
        <v>522</v>
      </c>
      <c r="B523" s="8" t="s">
        <v>2499</v>
      </c>
      <c r="C523" s="6" t="str">
        <f>IFERROR(IF(LEFT(D523,FIND(" ",D523)-1)="전라북도","전북특별자치도",LEFT(D523,FIND(" ",D523)-1)),"")</f>
        <v>경기도</v>
      </c>
      <c r="D523" s="3" t="s">
        <v>2496</v>
      </c>
      <c r="E523" s="3" t="s">
        <v>2497</v>
      </c>
      <c r="F523" s="3" t="s">
        <v>2493</v>
      </c>
      <c r="G523" s="3" t="s">
        <v>2498</v>
      </c>
      <c r="H523" s="3" t="s">
        <v>1237</v>
      </c>
      <c r="I523" s="3" t="s">
        <v>19</v>
      </c>
      <c r="J523" s="3" t="s">
        <v>19</v>
      </c>
      <c r="K523" s="3" t="s">
        <v>21</v>
      </c>
      <c r="L523" s="3" t="s">
        <v>22</v>
      </c>
      <c r="M523" s="4">
        <v>180</v>
      </c>
      <c r="N523" s="3" t="s">
        <v>84</v>
      </c>
      <c r="O523" s="3" t="s">
        <v>281</v>
      </c>
      <c r="P523" s="3" t="s">
        <v>1299</v>
      </c>
    </row>
    <row r="524" spans="1:16" hidden="1" x14ac:dyDescent="0.4">
      <c r="A524" s="7">
        <v>523</v>
      </c>
      <c r="B524" s="8" t="s">
        <v>2500</v>
      </c>
      <c r="C524" s="6" t="str">
        <f>IFERROR(IF(LEFT(D524,FIND(" ",D524)-1)="전라북도","전북특별자치도",LEFT(D524,FIND(" ",D524)-1)),"")</f>
        <v>강원특별자치도</v>
      </c>
      <c r="D524" s="3" t="s">
        <v>2501</v>
      </c>
      <c r="E524" s="3" t="s">
        <v>506</v>
      </c>
      <c r="F524" s="3" t="s">
        <v>2492</v>
      </c>
      <c r="G524" s="3" t="s">
        <v>2502</v>
      </c>
      <c r="H524" s="3" t="s">
        <v>1770</v>
      </c>
      <c r="I524" s="3" t="s">
        <v>31</v>
      </c>
      <c r="J524" s="3" t="s">
        <v>2503</v>
      </c>
      <c r="K524" s="3" t="s">
        <v>21</v>
      </c>
      <c r="L524" s="3" t="s">
        <v>22</v>
      </c>
      <c r="M524" s="4">
        <v>327</v>
      </c>
      <c r="N524" s="3" t="s">
        <v>1498</v>
      </c>
      <c r="O524" s="3" t="s">
        <v>281</v>
      </c>
      <c r="P524" s="3" t="s">
        <v>592</v>
      </c>
    </row>
    <row r="525" spans="1:16" hidden="1" x14ac:dyDescent="0.4">
      <c r="A525" s="7">
        <v>524</v>
      </c>
      <c r="B525" s="8" t="s">
        <v>2504</v>
      </c>
      <c r="C525" s="6" t="str">
        <f>IFERROR(IF(LEFT(D525,FIND(" ",D525)-1)="전라북도","전북특별자치도",LEFT(D525,FIND(" ",D525)-1)),"")</f>
        <v>강원특별자치도</v>
      </c>
      <c r="D525" s="3" t="s">
        <v>2501</v>
      </c>
      <c r="E525" s="3" t="s">
        <v>506</v>
      </c>
      <c r="F525" s="3" t="s">
        <v>2492</v>
      </c>
      <c r="G525" s="3" t="s">
        <v>2502</v>
      </c>
      <c r="H525" s="3" t="s">
        <v>1770</v>
      </c>
      <c r="I525" s="3" t="s">
        <v>31</v>
      </c>
      <c r="J525" s="3" t="s">
        <v>2503</v>
      </c>
      <c r="K525" s="3" t="s">
        <v>21</v>
      </c>
      <c r="L525" s="3" t="s">
        <v>22</v>
      </c>
      <c r="M525" s="4">
        <v>327</v>
      </c>
      <c r="N525" s="3" t="s">
        <v>1498</v>
      </c>
      <c r="O525" s="3" t="s">
        <v>281</v>
      </c>
      <c r="P525" s="3" t="s">
        <v>592</v>
      </c>
    </row>
    <row r="526" spans="1:16" hidden="1" x14ac:dyDescent="0.4">
      <c r="A526" s="7">
        <v>525</v>
      </c>
      <c r="B526" s="8" t="s">
        <v>2505</v>
      </c>
      <c r="C526" s="6" t="str">
        <f>IFERROR(IF(LEFT(D526,FIND(" ",D526)-1)="전라북도","전북특별자치도",LEFT(D526,FIND(" ",D526)-1)),"")</f>
        <v>경상남도</v>
      </c>
      <c r="D526" s="3" t="s">
        <v>2506</v>
      </c>
      <c r="E526" s="3" t="s">
        <v>2507</v>
      </c>
      <c r="F526" s="3" t="s">
        <v>2508</v>
      </c>
      <c r="G526" s="3" t="s">
        <v>2509</v>
      </c>
      <c r="H526" s="3" t="s">
        <v>2510</v>
      </c>
      <c r="I526" s="3" t="s">
        <v>19</v>
      </c>
      <c r="J526" s="3" t="s">
        <v>2509</v>
      </c>
      <c r="K526" s="3" t="s">
        <v>21</v>
      </c>
      <c r="L526" s="3" t="s">
        <v>147</v>
      </c>
      <c r="M526" s="4">
        <v>644</v>
      </c>
      <c r="N526" s="3" t="s">
        <v>1498</v>
      </c>
      <c r="O526" s="3" t="s">
        <v>281</v>
      </c>
      <c r="P526" s="3" t="s">
        <v>1971</v>
      </c>
    </row>
    <row r="527" spans="1:16" hidden="1" x14ac:dyDescent="0.4">
      <c r="A527" s="7">
        <v>526</v>
      </c>
      <c r="B527" s="8" t="s">
        <v>2511</v>
      </c>
      <c r="C527" s="6" t="str">
        <f>IFERROR(IF(LEFT(D527,FIND(" ",D527)-1)="전라북도","전북특별자치도",LEFT(D527,FIND(" ",D527)-1)),"")</f>
        <v>경기도</v>
      </c>
      <c r="D527" s="3" t="s">
        <v>2512</v>
      </c>
      <c r="E527" s="3" t="s">
        <v>2513</v>
      </c>
      <c r="F527" s="3" t="s">
        <v>2514</v>
      </c>
      <c r="G527" s="3" t="s">
        <v>19</v>
      </c>
      <c r="H527" s="3" t="s">
        <v>1110</v>
      </c>
      <c r="I527" s="3" t="s">
        <v>19</v>
      </c>
      <c r="J527" s="3" t="s">
        <v>19</v>
      </c>
      <c r="K527" s="3" t="s">
        <v>21</v>
      </c>
      <c r="L527" s="3" t="s">
        <v>147</v>
      </c>
      <c r="M527" s="4">
        <v>791</v>
      </c>
      <c r="N527" s="3" t="s">
        <v>1498</v>
      </c>
      <c r="O527" s="3" t="s">
        <v>281</v>
      </c>
      <c r="P527" s="3" t="s">
        <v>2263</v>
      </c>
    </row>
    <row r="528" spans="1:16" hidden="1" x14ac:dyDescent="0.4">
      <c r="A528" s="7">
        <v>527</v>
      </c>
      <c r="B528" s="8" t="s">
        <v>2515</v>
      </c>
      <c r="C528" s="6" t="str">
        <f>IFERROR(IF(LEFT(D528,FIND(" ",D528)-1)="전라북도","전북특별자치도",LEFT(D528,FIND(" ",D528)-1)),"")</f>
        <v>세종특별자치시</v>
      </c>
      <c r="D528" s="3" t="s">
        <v>2516</v>
      </c>
      <c r="E528" s="3" t="s">
        <v>1169</v>
      </c>
      <c r="F528" s="3" t="s">
        <v>2514</v>
      </c>
      <c r="G528" s="3" t="s">
        <v>2517</v>
      </c>
      <c r="H528" s="3" t="s">
        <v>2518</v>
      </c>
      <c r="I528" s="3" t="s">
        <v>2518</v>
      </c>
      <c r="J528" s="3" t="s">
        <v>2519</v>
      </c>
      <c r="K528" s="3" t="s">
        <v>21</v>
      </c>
      <c r="L528" s="3" t="s">
        <v>228</v>
      </c>
      <c r="M528" s="4">
        <v>1173</v>
      </c>
      <c r="N528" s="3" t="s">
        <v>1498</v>
      </c>
      <c r="O528" s="3" t="s">
        <v>281</v>
      </c>
      <c r="P528" s="3" t="s">
        <v>2295</v>
      </c>
    </row>
    <row r="529" spans="1:16" hidden="1" x14ac:dyDescent="0.4">
      <c r="A529" s="7">
        <v>528</v>
      </c>
      <c r="B529" s="8" t="s">
        <v>2520</v>
      </c>
      <c r="C529" s="6" t="str">
        <f>IFERROR(IF(LEFT(D529,FIND(" ",D529)-1)="전라북도","전북특별자치도",LEFT(D529,FIND(" ",D529)-1)),"")</f>
        <v>충청남도</v>
      </c>
      <c r="D529" s="3" t="s">
        <v>2521</v>
      </c>
      <c r="E529" s="3" t="s">
        <v>1983</v>
      </c>
      <c r="F529" s="3" t="s">
        <v>2522</v>
      </c>
      <c r="G529" s="3" t="s">
        <v>2523</v>
      </c>
      <c r="H529" s="3" t="s">
        <v>2524</v>
      </c>
      <c r="I529" s="3" t="s">
        <v>2525</v>
      </c>
      <c r="J529" s="3" t="s">
        <v>2526</v>
      </c>
      <c r="K529" s="3" t="s">
        <v>21</v>
      </c>
      <c r="L529" s="3" t="s">
        <v>228</v>
      </c>
      <c r="M529" s="4">
        <v>1356</v>
      </c>
      <c r="N529" s="3" t="s">
        <v>1498</v>
      </c>
      <c r="O529" s="3" t="s">
        <v>281</v>
      </c>
      <c r="P529" s="3" t="s">
        <v>2085</v>
      </c>
    </row>
    <row r="530" spans="1:16" hidden="1" x14ac:dyDescent="0.4">
      <c r="A530" s="7">
        <v>529</v>
      </c>
      <c r="B530" s="8" t="s">
        <v>2527</v>
      </c>
      <c r="C530" s="6" t="str">
        <f>IFERROR(IF(LEFT(D530,FIND(" ",D530)-1)="전라북도","전북특별자치도",LEFT(D530,FIND(" ",D530)-1)),"")</f>
        <v>경상북도</v>
      </c>
      <c r="D530" s="3" t="s">
        <v>2528</v>
      </c>
      <c r="E530" s="3" t="s">
        <v>2529</v>
      </c>
      <c r="F530" s="3" t="s">
        <v>2522</v>
      </c>
      <c r="G530" s="3" t="s">
        <v>2530</v>
      </c>
      <c r="H530" s="3" t="s">
        <v>2531</v>
      </c>
      <c r="I530" s="3" t="s">
        <v>2532</v>
      </c>
      <c r="J530" s="3" t="s">
        <v>2533</v>
      </c>
      <c r="K530" s="3" t="s">
        <v>21</v>
      </c>
      <c r="L530" s="3" t="s">
        <v>22</v>
      </c>
      <c r="M530" s="4">
        <v>998</v>
      </c>
      <c r="N530" s="3" t="s">
        <v>1498</v>
      </c>
      <c r="O530" s="3" t="s">
        <v>281</v>
      </c>
      <c r="P530" s="3" t="s">
        <v>239</v>
      </c>
    </row>
    <row r="531" spans="1:16" x14ac:dyDescent="0.4">
      <c r="A531" s="7">
        <v>530</v>
      </c>
      <c r="B531" s="8" t="s">
        <v>2534</v>
      </c>
      <c r="C531" s="6" t="str">
        <f>IFERROR(IF(LEFT(D531,FIND(" ",D531)-1)="전라북도","전북특별자치도",LEFT(D531,FIND(" ",D531)-1)),"")</f>
        <v>전라남도</v>
      </c>
      <c r="D531" s="3" t="s">
        <v>2535</v>
      </c>
      <c r="E531" s="3" t="s">
        <v>2536</v>
      </c>
      <c r="F531" s="3" t="s">
        <v>2331</v>
      </c>
      <c r="G531" s="3" t="s">
        <v>2537</v>
      </c>
      <c r="H531" s="3" t="s">
        <v>2232</v>
      </c>
      <c r="I531" s="3" t="s">
        <v>2224</v>
      </c>
      <c r="J531" s="3" t="s">
        <v>2538</v>
      </c>
      <c r="K531" s="3" t="s">
        <v>21</v>
      </c>
      <c r="L531" s="3" t="s">
        <v>22</v>
      </c>
      <c r="M531" s="4">
        <v>1520</v>
      </c>
      <c r="N531" s="3" t="s">
        <v>1498</v>
      </c>
      <c r="O531" s="3" t="s">
        <v>24</v>
      </c>
      <c r="P531" s="3" t="s">
        <v>19</v>
      </c>
    </row>
    <row r="532" spans="1:16" hidden="1" x14ac:dyDescent="0.4">
      <c r="A532" s="7">
        <v>531</v>
      </c>
      <c r="B532" s="8" t="s">
        <v>2539</v>
      </c>
      <c r="C532" s="6" t="str">
        <f>IFERROR(IF(LEFT(D532,FIND(" ",D532)-1)="전라북도","전북특별자치도",LEFT(D532,FIND(" ",D532)-1)),"")</f>
        <v>강원특별자치도</v>
      </c>
      <c r="D532" s="3" t="s">
        <v>2540</v>
      </c>
      <c r="E532" s="3" t="s">
        <v>701</v>
      </c>
      <c r="F532" s="3" t="s">
        <v>2541</v>
      </c>
      <c r="G532" s="3" t="s">
        <v>2542</v>
      </c>
      <c r="H532" s="3" t="s">
        <v>498</v>
      </c>
      <c r="I532" s="3" t="s">
        <v>498</v>
      </c>
      <c r="J532" s="3" t="s">
        <v>19</v>
      </c>
      <c r="K532" s="3" t="s">
        <v>21</v>
      </c>
      <c r="L532" s="3" t="s">
        <v>22</v>
      </c>
      <c r="M532" s="4">
        <v>990</v>
      </c>
      <c r="N532" s="3" t="s">
        <v>1498</v>
      </c>
      <c r="O532" s="3" t="s">
        <v>281</v>
      </c>
      <c r="P532" s="3" t="s">
        <v>150</v>
      </c>
    </row>
    <row r="533" spans="1:16" hidden="1" x14ac:dyDescent="0.4">
      <c r="A533" s="7">
        <v>532</v>
      </c>
      <c r="B533" s="8" t="s">
        <v>2543</v>
      </c>
      <c r="C533" s="6" t="str">
        <f>IFERROR(IF(LEFT(D533,FIND(" ",D533)-1)="전라북도","전북특별자치도",LEFT(D533,FIND(" ",D533)-1)),"")</f>
        <v>제주특별자치도</v>
      </c>
      <c r="D533" s="3" t="s">
        <v>2544</v>
      </c>
      <c r="E533" s="3" t="s">
        <v>2545</v>
      </c>
      <c r="F533" s="3" t="s">
        <v>1526</v>
      </c>
      <c r="G533" s="3" t="s">
        <v>2546</v>
      </c>
      <c r="H533" s="3" t="s">
        <v>19</v>
      </c>
      <c r="I533" s="3" t="s">
        <v>19</v>
      </c>
      <c r="J533" s="3" t="s">
        <v>19</v>
      </c>
      <c r="K533" s="3" t="s">
        <v>21</v>
      </c>
      <c r="L533" s="3" t="s">
        <v>147</v>
      </c>
      <c r="M533" s="4">
        <v>181</v>
      </c>
      <c r="N533" s="3" t="s">
        <v>84</v>
      </c>
      <c r="O533" s="3" t="s">
        <v>281</v>
      </c>
      <c r="P533" s="3" t="s">
        <v>539</v>
      </c>
    </row>
    <row r="534" spans="1:16" hidden="1" x14ac:dyDescent="0.4">
      <c r="A534" s="7">
        <v>533</v>
      </c>
      <c r="B534" s="8" t="s">
        <v>2547</v>
      </c>
      <c r="C534" s="6" t="str">
        <f>IFERROR(IF(LEFT(D534,FIND(" ",D534)-1)="전라북도","전북특별자치도",LEFT(D534,FIND(" ",D534)-1)),"")</f>
        <v>경상북도</v>
      </c>
      <c r="D534" s="3" t="s">
        <v>2548</v>
      </c>
      <c r="E534" s="3" t="s">
        <v>549</v>
      </c>
      <c r="F534" s="3" t="s">
        <v>2549</v>
      </c>
      <c r="G534" s="3" t="s">
        <v>315</v>
      </c>
      <c r="H534" s="3" t="s">
        <v>2550</v>
      </c>
      <c r="I534" s="3" t="s">
        <v>2551</v>
      </c>
      <c r="J534" s="3" t="s">
        <v>19</v>
      </c>
      <c r="K534" s="3" t="s">
        <v>21</v>
      </c>
      <c r="L534" s="3" t="s">
        <v>22</v>
      </c>
      <c r="M534" s="4">
        <v>445</v>
      </c>
      <c r="N534" s="3" t="s">
        <v>1498</v>
      </c>
      <c r="O534" s="3" t="s">
        <v>281</v>
      </c>
      <c r="P534" s="3" t="s">
        <v>1849</v>
      </c>
    </row>
    <row r="535" spans="1:16" x14ac:dyDescent="0.4">
      <c r="A535" s="7">
        <v>534</v>
      </c>
      <c r="B535" s="8" t="s">
        <v>1956</v>
      </c>
      <c r="C535" s="6" t="str">
        <f>IFERROR(IF(LEFT(D535,FIND(" ",D535)-1)="전라북도","전북특별자치도",LEFT(D535,FIND(" ",D535)-1)),"")</f>
        <v>경기도</v>
      </c>
      <c r="D535" s="3" t="s">
        <v>2552</v>
      </c>
      <c r="E535" s="3" t="s">
        <v>684</v>
      </c>
      <c r="F535" s="3" t="s">
        <v>2553</v>
      </c>
      <c r="G535" s="3" t="s">
        <v>1959</v>
      </c>
      <c r="H535" s="3" t="s">
        <v>1960</v>
      </c>
      <c r="I535" s="3" t="s">
        <v>1960</v>
      </c>
      <c r="J535" s="3" t="s">
        <v>19</v>
      </c>
      <c r="K535" s="3" t="s">
        <v>21</v>
      </c>
      <c r="L535" s="3" t="s">
        <v>22</v>
      </c>
      <c r="M535" s="4">
        <v>574</v>
      </c>
      <c r="N535" s="3" t="s">
        <v>1498</v>
      </c>
      <c r="O535" s="3" t="s">
        <v>24</v>
      </c>
      <c r="P535" s="3" t="s">
        <v>19</v>
      </c>
    </row>
    <row r="536" spans="1:16" x14ac:dyDescent="0.4">
      <c r="A536" s="7">
        <v>535</v>
      </c>
      <c r="B536" s="8" t="s">
        <v>1956</v>
      </c>
      <c r="C536" s="6" t="str">
        <f>IFERROR(IF(LEFT(D536,FIND(" ",D536)-1)="전라북도","전북특별자치도",LEFT(D536,FIND(" ",D536)-1)),"")</f>
        <v>경기도</v>
      </c>
      <c r="D536" s="3" t="s">
        <v>2554</v>
      </c>
      <c r="E536" s="3" t="s">
        <v>684</v>
      </c>
      <c r="F536" s="3" t="s">
        <v>2555</v>
      </c>
      <c r="G536" s="3" t="s">
        <v>1959</v>
      </c>
      <c r="H536" s="3" t="s">
        <v>1960</v>
      </c>
      <c r="I536" s="3" t="s">
        <v>1960</v>
      </c>
      <c r="J536" s="3" t="s">
        <v>19</v>
      </c>
      <c r="K536" s="3" t="s">
        <v>21</v>
      </c>
      <c r="L536" s="3" t="s">
        <v>22</v>
      </c>
      <c r="M536" s="4">
        <v>574</v>
      </c>
      <c r="N536" s="3" t="s">
        <v>1498</v>
      </c>
      <c r="O536" s="3" t="s">
        <v>24</v>
      </c>
      <c r="P536" s="3" t="s">
        <v>19</v>
      </c>
    </row>
    <row r="537" spans="1:16" hidden="1" x14ac:dyDescent="0.4">
      <c r="A537" s="7">
        <v>536</v>
      </c>
      <c r="B537" s="8" t="s">
        <v>2556</v>
      </c>
      <c r="C537" s="6" t="str">
        <f>IFERROR(IF(LEFT(D537,FIND(" ",D537)-1)="전라북도","전북특별자치도",LEFT(D537,FIND(" ",D537)-1)),"")</f>
        <v>강원특별자치도</v>
      </c>
      <c r="D537" s="3" t="s">
        <v>2557</v>
      </c>
      <c r="E537" s="3" t="s">
        <v>559</v>
      </c>
      <c r="F537" s="3" t="s">
        <v>2555</v>
      </c>
      <c r="G537" s="3" t="s">
        <v>19</v>
      </c>
      <c r="H537" s="3" t="s">
        <v>2559</v>
      </c>
      <c r="I537" s="3" t="s">
        <v>19</v>
      </c>
      <c r="J537" s="3" t="s">
        <v>19</v>
      </c>
      <c r="K537" s="3" t="s">
        <v>21</v>
      </c>
      <c r="L537" s="3" t="s">
        <v>22</v>
      </c>
      <c r="M537" s="4">
        <v>77</v>
      </c>
      <c r="N537" s="3" t="s">
        <v>211</v>
      </c>
      <c r="O537" s="3" t="s">
        <v>281</v>
      </c>
      <c r="P537" s="3" t="s">
        <v>2558</v>
      </c>
    </row>
    <row r="538" spans="1:16" hidden="1" x14ac:dyDescent="0.4">
      <c r="A538" s="7">
        <v>537</v>
      </c>
      <c r="B538" s="8" t="s">
        <v>2560</v>
      </c>
      <c r="C538" s="6" t="str">
        <f>IFERROR(IF(LEFT(D538,FIND(" ",D538)-1)="전라북도","전북특별자치도",LEFT(D538,FIND(" ",D538)-1)),"")</f>
        <v>대구광역시</v>
      </c>
      <c r="D538" s="3" t="s">
        <v>2561</v>
      </c>
      <c r="E538" s="3" t="s">
        <v>1293</v>
      </c>
      <c r="F538" s="3" t="s">
        <v>2562</v>
      </c>
      <c r="G538" s="3" t="s">
        <v>1095</v>
      </c>
      <c r="H538" s="3" t="s">
        <v>2564</v>
      </c>
      <c r="I538" s="3" t="s">
        <v>2564</v>
      </c>
      <c r="J538" s="3" t="s">
        <v>2565</v>
      </c>
      <c r="K538" s="3" t="s">
        <v>21</v>
      </c>
      <c r="L538" s="3" t="s">
        <v>22</v>
      </c>
      <c r="M538" s="4">
        <v>511</v>
      </c>
      <c r="N538" s="3" t="s">
        <v>1498</v>
      </c>
      <c r="O538" s="3" t="s">
        <v>281</v>
      </c>
      <c r="P538" s="3" t="s">
        <v>2563</v>
      </c>
    </row>
    <row r="539" spans="1:16" hidden="1" x14ac:dyDescent="0.4">
      <c r="A539" s="7">
        <v>538</v>
      </c>
      <c r="B539" s="8" t="s">
        <v>2566</v>
      </c>
      <c r="C539" s="6" t="str">
        <f>IFERROR(IF(LEFT(D539,FIND(" ",D539)-1)="전라북도","전북특별자치도",LEFT(D539,FIND(" ",D539)-1)),"")</f>
        <v>경기도</v>
      </c>
      <c r="D539" s="3" t="s">
        <v>2567</v>
      </c>
      <c r="E539" s="3" t="s">
        <v>1144</v>
      </c>
      <c r="F539" s="3" t="s">
        <v>2229</v>
      </c>
      <c r="G539" s="3" t="s">
        <v>2402</v>
      </c>
      <c r="H539" s="3" t="s">
        <v>953</v>
      </c>
      <c r="I539" s="3" t="s">
        <v>953</v>
      </c>
      <c r="J539" s="3" t="s">
        <v>19</v>
      </c>
      <c r="K539" s="3" t="s">
        <v>21</v>
      </c>
      <c r="L539" s="3" t="s">
        <v>22</v>
      </c>
      <c r="M539" s="4">
        <v>1089</v>
      </c>
      <c r="N539" s="3" t="s">
        <v>1498</v>
      </c>
      <c r="O539" s="3" t="s">
        <v>281</v>
      </c>
      <c r="P539" s="3" t="s">
        <v>1413</v>
      </c>
    </row>
    <row r="540" spans="1:16" hidden="1" x14ac:dyDescent="0.4">
      <c r="A540" s="7">
        <v>539</v>
      </c>
      <c r="B540" s="8" t="s">
        <v>2568</v>
      </c>
      <c r="C540" s="6" t="str">
        <f>IFERROR(IF(LEFT(D540,FIND(" ",D540)-1)="전라북도","전북특별자치도",LEFT(D540,FIND(" ",D540)-1)),"")</f>
        <v>부산광역시</v>
      </c>
      <c r="D540" s="3" t="s">
        <v>2569</v>
      </c>
      <c r="E540" s="3" t="s">
        <v>1188</v>
      </c>
      <c r="F540" s="3" t="s">
        <v>2229</v>
      </c>
      <c r="G540" s="3" t="s">
        <v>2290</v>
      </c>
      <c r="H540" s="3" t="s">
        <v>2291</v>
      </c>
      <c r="I540" s="3" t="s">
        <v>2291</v>
      </c>
      <c r="J540" s="3" t="s">
        <v>19</v>
      </c>
      <c r="K540" s="3" t="s">
        <v>21</v>
      </c>
      <c r="L540" s="3" t="s">
        <v>228</v>
      </c>
      <c r="M540" s="4">
        <v>2054</v>
      </c>
      <c r="N540" s="3" t="s">
        <v>1498</v>
      </c>
      <c r="O540" s="3" t="s">
        <v>281</v>
      </c>
      <c r="P540" s="3" t="s">
        <v>2183</v>
      </c>
    </row>
    <row r="541" spans="1:16" hidden="1" x14ac:dyDescent="0.4">
      <c r="A541" s="7">
        <v>540</v>
      </c>
      <c r="B541" s="8" t="s">
        <v>2570</v>
      </c>
      <c r="C541" s="6" t="str">
        <f>IFERROR(IF(LEFT(D541,FIND(" ",D541)-1)="전라북도","전북특별자치도",LEFT(D541,FIND(" ",D541)-1)),"")</f>
        <v>강원특별자치도</v>
      </c>
      <c r="D541" s="3" t="s">
        <v>1323</v>
      </c>
      <c r="E541" s="3" t="s">
        <v>2434</v>
      </c>
      <c r="F541" s="3" t="s">
        <v>2229</v>
      </c>
      <c r="G541" s="3" t="s">
        <v>1160</v>
      </c>
      <c r="H541" s="3" t="s">
        <v>2572</v>
      </c>
      <c r="I541" s="3" t="s">
        <v>2573</v>
      </c>
      <c r="J541" s="3" t="s">
        <v>1160</v>
      </c>
      <c r="K541" s="3" t="s">
        <v>21</v>
      </c>
      <c r="L541" s="3" t="s">
        <v>22</v>
      </c>
      <c r="M541" s="4">
        <v>981</v>
      </c>
      <c r="N541" s="3" t="s">
        <v>1498</v>
      </c>
      <c r="O541" s="3" t="s">
        <v>281</v>
      </c>
      <c r="P541" s="3" t="s">
        <v>2571</v>
      </c>
    </row>
    <row r="542" spans="1:16" hidden="1" x14ac:dyDescent="0.4">
      <c r="A542" s="7">
        <v>541</v>
      </c>
      <c r="B542" s="8" t="s">
        <v>2574</v>
      </c>
      <c r="C542" s="6" t="str">
        <f>IFERROR(IF(LEFT(D542,FIND(" ",D542)-1)="전라북도","전북특별자치도",LEFT(D542,FIND(" ",D542)-1)),"")</f>
        <v>충청북도</v>
      </c>
      <c r="D542" s="3" t="s">
        <v>1351</v>
      </c>
      <c r="E542" s="3" t="s">
        <v>2575</v>
      </c>
      <c r="F542" s="3" t="s">
        <v>2576</v>
      </c>
      <c r="G542" s="3" t="s">
        <v>2577</v>
      </c>
      <c r="H542" s="3" t="s">
        <v>19</v>
      </c>
      <c r="I542" s="3" t="s">
        <v>19</v>
      </c>
      <c r="J542" s="3" t="s">
        <v>1353</v>
      </c>
      <c r="K542" s="3" t="s">
        <v>2578</v>
      </c>
      <c r="L542" s="3" t="s">
        <v>22</v>
      </c>
      <c r="M542" s="4">
        <v>2942</v>
      </c>
      <c r="N542" s="3" t="s">
        <v>1498</v>
      </c>
      <c r="O542" s="3" t="s">
        <v>281</v>
      </c>
      <c r="P542" s="3" t="s">
        <v>103</v>
      </c>
    </row>
    <row r="543" spans="1:16" hidden="1" x14ac:dyDescent="0.4">
      <c r="A543" s="7">
        <v>542</v>
      </c>
      <c r="B543" s="8" t="s">
        <v>2579</v>
      </c>
      <c r="C543" s="6" t="str">
        <f>IFERROR(IF(LEFT(D543,FIND(" ",D543)-1)="전라북도","전북특별자치도",LEFT(D543,FIND(" ",D543)-1)),"")</f>
        <v>경상북도</v>
      </c>
      <c r="D543" s="3" t="s">
        <v>2580</v>
      </c>
      <c r="E543" s="3" t="s">
        <v>1293</v>
      </c>
      <c r="F543" s="3" t="s">
        <v>2576</v>
      </c>
      <c r="G543" s="3" t="s">
        <v>2582</v>
      </c>
      <c r="H543" s="3" t="s">
        <v>2583</v>
      </c>
      <c r="I543" s="3" t="s">
        <v>19</v>
      </c>
      <c r="J543" s="3" t="s">
        <v>2584</v>
      </c>
      <c r="K543" s="3" t="s">
        <v>21</v>
      </c>
      <c r="L543" s="3" t="s">
        <v>22</v>
      </c>
      <c r="M543" s="4">
        <v>1407</v>
      </c>
      <c r="N543" s="3" t="s">
        <v>1498</v>
      </c>
      <c r="O543" s="3" t="s">
        <v>281</v>
      </c>
      <c r="P543" s="3" t="s">
        <v>2581</v>
      </c>
    </row>
    <row r="544" spans="1:16" x14ac:dyDescent="0.4">
      <c r="A544" s="7">
        <v>543</v>
      </c>
      <c r="B544" s="8" t="s">
        <v>2585</v>
      </c>
      <c r="C544" s="6" t="str">
        <f>IFERROR(IF(LEFT(D544,FIND(" ",D544)-1)="전라북도","전북특별자치도",LEFT(D544,FIND(" ",D544)-1)),"")</f>
        <v>인천광역시</v>
      </c>
      <c r="D544" s="3" t="s">
        <v>2586</v>
      </c>
      <c r="E544" s="3" t="s">
        <v>2222</v>
      </c>
      <c r="F544" s="3" t="s">
        <v>2576</v>
      </c>
      <c r="G544" s="3" t="s">
        <v>2587</v>
      </c>
      <c r="H544" s="3" t="s">
        <v>2588</v>
      </c>
      <c r="I544" s="3" t="s">
        <v>2589</v>
      </c>
      <c r="J544" s="3" t="s">
        <v>19</v>
      </c>
      <c r="K544" s="3" t="s">
        <v>21</v>
      </c>
      <c r="L544" s="3" t="s">
        <v>22</v>
      </c>
      <c r="M544" s="4">
        <v>1991</v>
      </c>
      <c r="N544" s="3" t="s">
        <v>1498</v>
      </c>
      <c r="O544" s="3" t="s">
        <v>24</v>
      </c>
      <c r="P544" s="3" t="s">
        <v>19</v>
      </c>
    </row>
    <row r="545" spans="1:16" hidden="1" x14ac:dyDescent="0.4">
      <c r="A545" s="7">
        <v>544</v>
      </c>
      <c r="B545" s="8" t="s">
        <v>2590</v>
      </c>
      <c r="C545" s="6" t="str">
        <f>IFERROR(IF(LEFT(D545,FIND(" ",D545)-1)="전라북도","전북특별자치도",LEFT(D545,FIND(" ",D545)-1)),"")</f>
        <v>부산광역시</v>
      </c>
      <c r="D545" s="3" t="s">
        <v>2591</v>
      </c>
      <c r="E545" s="3" t="s">
        <v>2592</v>
      </c>
      <c r="F545" s="3" t="s">
        <v>2593</v>
      </c>
      <c r="G545" s="3" t="s">
        <v>19</v>
      </c>
      <c r="H545" s="3" t="s">
        <v>2594</v>
      </c>
      <c r="I545" s="3" t="s">
        <v>2594</v>
      </c>
      <c r="J545" s="3" t="s">
        <v>19</v>
      </c>
      <c r="K545" s="3" t="s">
        <v>21</v>
      </c>
      <c r="L545" s="3" t="s">
        <v>228</v>
      </c>
      <c r="M545" s="4">
        <v>786</v>
      </c>
      <c r="N545" s="3" t="s">
        <v>1498</v>
      </c>
      <c r="O545" s="3" t="s">
        <v>281</v>
      </c>
      <c r="P545" s="3" t="s">
        <v>2121</v>
      </c>
    </row>
    <row r="546" spans="1:16" hidden="1" x14ac:dyDescent="0.4">
      <c r="A546" s="7">
        <v>545</v>
      </c>
      <c r="B546" s="8" t="s">
        <v>2595</v>
      </c>
      <c r="C546" s="6" t="str">
        <f>IFERROR(IF(LEFT(D546,FIND(" ",D546)-1)="전라북도","전북특별자치도",LEFT(D546,FIND(" ",D546)-1)),"")</f>
        <v>충청남도</v>
      </c>
      <c r="D546" s="3" t="s">
        <v>2596</v>
      </c>
      <c r="E546" s="3" t="s">
        <v>2597</v>
      </c>
      <c r="F546" s="3" t="s">
        <v>192</v>
      </c>
      <c r="G546" s="3" t="s">
        <v>2598</v>
      </c>
      <c r="H546" s="3" t="s">
        <v>1734</v>
      </c>
      <c r="I546" s="3" t="s">
        <v>19</v>
      </c>
      <c r="J546" s="3" t="s">
        <v>2598</v>
      </c>
      <c r="K546" s="3" t="s">
        <v>21</v>
      </c>
      <c r="L546" s="3" t="s">
        <v>147</v>
      </c>
      <c r="M546" s="4">
        <v>346</v>
      </c>
      <c r="N546" s="3" t="s">
        <v>2155</v>
      </c>
      <c r="O546" s="3" t="s">
        <v>281</v>
      </c>
      <c r="P546" s="3" t="s">
        <v>272</v>
      </c>
    </row>
    <row r="547" spans="1:16" hidden="1" x14ac:dyDescent="0.4">
      <c r="A547" s="7">
        <v>546</v>
      </c>
      <c r="B547" s="8" t="s">
        <v>2599</v>
      </c>
      <c r="C547" s="6" t="str">
        <f>IFERROR(IF(LEFT(D547,FIND(" ",D547)-1)="전라북도","전북특별자치도",LEFT(D547,FIND(" ",D547)-1)),"")</f>
        <v>인천광역시</v>
      </c>
      <c r="D547" s="3" t="s">
        <v>2600</v>
      </c>
      <c r="E547" s="3" t="s">
        <v>1639</v>
      </c>
      <c r="F547" s="3" t="s">
        <v>2601</v>
      </c>
      <c r="G547" s="3" t="s">
        <v>2602</v>
      </c>
      <c r="H547" s="3" t="s">
        <v>2603</v>
      </c>
      <c r="I547" s="3" t="s">
        <v>2603</v>
      </c>
      <c r="J547" s="3" t="s">
        <v>19</v>
      </c>
      <c r="K547" s="3" t="s">
        <v>21</v>
      </c>
      <c r="L547" s="3" t="s">
        <v>228</v>
      </c>
      <c r="M547" s="4">
        <v>1272</v>
      </c>
      <c r="N547" s="3" t="s">
        <v>2604</v>
      </c>
      <c r="O547" s="3" t="s">
        <v>281</v>
      </c>
      <c r="P547" s="3" t="s">
        <v>1820</v>
      </c>
    </row>
    <row r="548" spans="1:16" hidden="1" x14ac:dyDescent="0.4">
      <c r="A548" s="7">
        <v>547</v>
      </c>
      <c r="B548" s="8" t="s">
        <v>2605</v>
      </c>
      <c r="C548" s="6" t="str">
        <f>IFERROR(IF(LEFT(D548,FIND(" ",D548)-1)="전라북도","전북특별자치도",LEFT(D548,FIND(" ",D548)-1)),"")</f>
        <v>충청남도</v>
      </c>
      <c r="D548" s="3" t="s">
        <v>2606</v>
      </c>
      <c r="E548" s="3" t="s">
        <v>2529</v>
      </c>
      <c r="F548" s="3" t="s">
        <v>2601</v>
      </c>
      <c r="G548" s="3" t="s">
        <v>2607</v>
      </c>
      <c r="H548" s="3" t="s">
        <v>2179</v>
      </c>
      <c r="I548" s="3" t="s">
        <v>2608</v>
      </c>
      <c r="J548" s="3" t="s">
        <v>19</v>
      </c>
      <c r="K548" s="3" t="s">
        <v>21</v>
      </c>
      <c r="L548" s="3" t="s">
        <v>147</v>
      </c>
      <c r="M548" s="4">
        <v>904</v>
      </c>
      <c r="N548" s="3" t="s">
        <v>123</v>
      </c>
      <c r="O548" s="3" t="s">
        <v>281</v>
      </c>
      <c r="P548" s="3" t="s">
        <v>1977</v>
      </c>
    </row>
    <row r="549" spans="1:16" hidden="1" x14ac:dyDescent="0.4">
      <c r="A549" s="7">
        <v>548</v>
      </c>
      <c r="B549" s="8" t="s">
        <v>2609</v>
      </c>
      <c r="C549" s="6" t="str">
        <f>IFERROR(IF(LEFT(D549,FIND(" ",D549)-1)="전라북도","전북특별자치도",LEFT(D549,FIND(" ",D549)-1)),"")</f>
        <v>충청북도</v>
      </c>
      <c r="D549" s="3" t="s">
        <v>2610</v>
      </c>
      <c r="E549" s="3" t="s">
        <v>684</v>
      </c>
      <c r="F549" s="3" t="s">
        <v>2114</v>
      </c>
      <c r="G549" s="3" t="s">
        <v>2612</v>
      </c>
      <c r="H549" s="3" t="s">
        <v>686</v>
      </c>
      <c r="I549" s="3" t="s">
        <v>686</v>
      </c>
      <c r="J549" s="3" t="s">
        <v>19</v>
      </c>
      <c r="K549" s="3" t="s">
        <v>21</v>
      </c>
      <c r="L549" s="3" t="s">
        <v>22</v>
      </c>
      <c r="M549" s="4">
        <v>594</v>
      </c>
      <c r="N549" s="3" t="s">
        <v>1498</v>
      </c>
      <c r="O549" s="3" t="s">
        <v>281</v>
      </c>
      <c r="P549" s="3" t="s">
        <v>2611</v>
      </c>
    </row>
    <row r="550" spans="1:16" hidden="1" x14ac:dyDescent="0.4">
      <c r="A550" s="7">
        <v>549</v>
      </c>
      <c r="B550" s="8" t="s">
        <v>2613</v>
      </c>
      <c r="C550" s="6" t="str">
        <f>IFERROR(IF(LEFT(D550,FIND(" ",D550)-1)="전라북도","전북특별자치도",LEFT(D550,FIND(" ",D550)-1)),"")</f>
        <v>경상남도</v>
      </c>
      <c r="D550" s="3" t="s">
        <v>2614</v>
      </c>
      <c r="E550" s="3" t="s">
        <v>2615</v>
      </c>
      <c r="F550" s="3" t="s">
        <v>2198</v>
      </c>
      <c r="G550" s="3" t="s">
        <v>2290</v>
      </c>
      <c r="H550" s="3" t="s">
        <v>2291</v>
      </c>
      <c r="I550" s="3" t="s">
        <v>19</v>
      </c>
      <c r="J550" s="3" t="s">
        <v>2616</v>
      </c>
      <c r="K550" s="3" t="s">
        <v>21</v>
      </c>
      <c r="L550" s="3" t="s">
        <v>228</v>
      </c>
      <c r="M550" s="4">
        <v>1182</v>
      </c>
      <c r="N550" s="3" t="s">
        <v>1498</v>
      </c>
      <c r="O550" s="3" t="s">
        <v>281</v>
      </c>
      <c r="P550" s="3" t="s">
        <v>2459</v>
      </c>
    </row>
    <row r="551" spans="1:16" hidden="1" x14ac:dyDescent="0.4">
      <c r="A551" s="7">
        <v>550</v>
      </c>
      <c r="B551" s="8" t="s">
        <v>2617</v>
      </c>
      <c r="C551" s="6" t="str">
        <f>IFERROR(IF(LEFT(D551,FIND(" ",D551)-1)="전라북도","전북특별자치도",LEFT(D551,FIND(" ",D551)-1)),"")</f>
        <v>경상남도</v>
      </c>
      <c r="D551" s="3" t="s">
        <v>2618</v>
      </c>
      <c r="E551" s="3" t="s">
        <v>2615</v>
      </c>
      <c r="F551" s="3" t="s">
        <v>2198</v>
      </c>
      <c r="G551" s="3" t="s">
        <v>2290</v>
      </c>
      <c r="H551" s="3" t="s">
        <v>2291</v>
      </c>
      <c r="I551" s="3" t="s">
        <v>19</v>
      </c>
      <c r="J551" s="3" t="s">
        <v>2616</v>
      </c>
      <c r="K551" s="3" t="s">
        <v>21</v>
      </c>
      <c r="L551" s="3" t="s">
        <v>228</v>
      </c>
      <c r="M551" s="4">
        <v>1692</v>
      </c>
      <c r="N551" s="3" t="s">
        <v>1498</v>
      </c>
      <c r="O551" s="3" t="s">
        <v>281</v>
      </c>
      <c r="P551" s="3" t="s">
        <v>2459</v>
      </c>
    </row>
    <row r="552" spans="1:16" hidden="1" x14ac:dyDescent="0.4">
      <c r="A552" s="7">
        <v>551</v>
      </c>
      <c r="B552" s="8" t="s">
        <v>2619</v>
      </c>
      <c r="C552" s="6" t="str">
        <f>IFERROR(IF(LEFT(D552,FIND(" ",D552)-1)="전라북도","전북특별자치도",LEFT(D552,FIND(" ",D552)-1)),"")</f>
        <v>충청남도</v>
      </c>
      <c r="D552" s="3" t="s">
        <v>2620</v>
      </c>
      <c r="E552" s="3" t="s">
        <v>2325</v>
      </c>
      <c r="F552" s="3" t="s">
        <v>2597</v>
      </c>
      <c r="G552" s="3" t="s">
        <v>1665</v>
      </c>
      <c r="H552" s="3" t="s">
        <v>157</v>
      </c>
      <c r="I552" s="3" t="s">
        <v>19</v>
      </c>
      <c r="J552" s="3" t="s">
        <v>19</v>
      </c>
      <c r="K552" s="3" t="s">
        <v>21</v>
      </c>
      <c r="L552" s="3" t="s">
        <v>22</v>
      </c>
      <c r="M552" s="4">
        <v>593</v>
      </c>
      <c r="N552" s="3" t="s">
        <v>2155</v>
      </c>
      <c r="O552" s="3" t="s">
        <v>281</v>
      </c>
      <c r="P552" s="3" t="s">
        <v>1674</v>
      </c>
    </row>
    <row r="553" spans="1:16" hidden="1" x14ac:dyDescent="0.4">
      <c r="A553" s="7">
        <v>552</v>
      </c>
      <c r="B553" s="8" t="s">
        <v>2621</v>
      </c>
      <c r="C553" s="6" t="str">
        <f>IFERROR(IF(LEFT(D553,FIND(" ",D553)-1)="전라북도","전북특별자치도",LEFT(D553,FIND(" ",D553)-1)),"")</f>
        <v>경상북도</v>
      </c>
      <c r="D553" s="3" t="s">
        <v>2622</v>
      </c>
      <c r="E553" s="3" t="s">
        <v>2513</v>
      </c>
      <c r="F553" s="3" t="s">
        <v>1825</v>
      </c>
      <c r="G553" s="3" t="s">
        <v>19</v>
      </c>
      <c r="H553" s="3" t="s">
        <v>2624</v>
      </c>
      <c r="I553" s="3" t="s">
        <v>2624</v>
      </c>
      <c r="J553" s="3" t="s">
        <v>19</v>
      </c>
      <c r="K553" s="3" t="s">
        <v>21</v>
      </c>
      <c r="L553" s="3" t="s">
        <v>147</v>
      </c>
      <c r="M553" s="4">
        <v>1542</v>
      </c>
      <c r="N553" s="3" t="s">
        <v>1498</v>
      </c>
      <c r="O553" s="3" t="s">
        <v>281</v>
      </c>
      <c r="P553" s="3" t="s">
        <v>2623</v>
      </c>
    </row>
    <row r="554" spans="1:16" hidden="1" x14ac:dyDescent="0.4">
      <c r="A554" s="7">
        <v>553</v>
      </c>
      <c r="B554" s="8" t="s">
        <v>2625</v>
      </c>
      <c r="C554" s="6" t="str">
        <f>IFERROR(IF(LEFT(D554,FIND(" ",D554)-1)="전라북도","전북특별자치도",LEFT(D554,FIND(" ",D554)-1)),"")</f>
        <v>전라남도</v>
      </c>
      <c r="D554" s="3" t="s">
        <v>2626</v>
      </c>
      <c r="E554" s="3" t="s">
        <v>1293</v>
      </c>
      <c r="F554" s="3" t="s">
        <v>2592</v>
      </c>
      <c r="G554" s="3" t="s">
        <v>2627</v>
      </c>
      <c r="H554" s="3" t="s">
        <v>2628</v>
      </c>
      <c r="I554" s="3" t="s">
        <v>2628</v>
      </c>
      <c r="J554" s="3" t="s">
        <v>19</v>
      </c>
      <c r="K554" s="3" t="s">
        <v>21</v>
      </c>
      <c r="L554" s="3" t="s">
        <v>147</v>
      </c>
      <c r="M554" s="4">
        <v>1137</v>
      </c>
      <c r="N554" s="3" t="s">
        <v>19</v>
      </c>
      <c r="O554" s="3" t="s">
        <v>281</v>
      </c>
      <c r="P554" s="3" t="s">
        <v>2522</v>
      </c>
    </row>
    <row r="555" spans="1:16" hidden="1" x14ac:dyDescent="0.4">
      <c r="A555" s="7">
        <v>554</v>
      </c>
      <c r="B555" s="8" t="s">
        <v>2629</v>
      </c>
      <c r="C555" s="6" t="str">
        <f>IFERROR(IF(LEFT(D555,FIND(" ",D555)-1)="전라북도","전북특별자치도",LEFT(D555,FIND(" ",D555)-1)),"")</f>
        <v>전라남도</v>
      </c>
      <c r="D555" s="3" t="s">
        <v>2630</v>
      </c>
      <c r="E555" s="3" t="s">
        <v>1188</v>
      </c>
      <c r="F555" s="3" t="s">
        <v>2592</v>
      </c>
      <c r="G555" s="3" t="s">
        <v>2632</v>
      </c>
      <c r="H555" s="3" t="s">
        <v>19</v>
      </c>
      <c r="I555" s="3" t="s">
        <v>19</v>
      </c>
      <c r="J555" s="3" t="s">
        <v>19</v>
      </c>
      <c r="K555" s="3" t="s">
        <v>21</v>
      </c>
      <c r="L555" s="3" t="s">
        <v>147</v>
      </c>
      <c r="M555" s="4">
        <v>593</v>
      </c>
      <c r="N555" s="3" t="s">
        <v>1498</v>
      </c>
      <c r="O555" s="3" t="s">
        <v>281</v>
      </c>
      <c r="P555" s="3" t="s">
        <v>2631</v>
      </c>
    </row>
    <row r="556" spans="1:16" hidden="1" x14ac:dyDescent="0.4">
      <c r="A556" s="7">
        <v>555</v>
      </c>
      <c r="B556" s="8" t="s">
        <v>2633</v>
      </c>
      <c r="C556" s="6" t="str">
        <f>IFERROR(IF(LEFT(D556,FIND(" ",D556)-1)="전라북도","전북특별자치도",LEFT(D556,FIND(" ",D556)-1)),"")</f>
        <v>경기도</v>
      </c>
      <c r="D556" s="3" t="s">
        <v>2634</v>
      </c>
      <c r="E556" s="3" t="s">
        <v>2635</v>
      </c>
      <c r="F556" s="3" t="s">
        <v>2636</v>
      </c>
      <c r="G556" s="3" t="s">
        <v>2637</v>
      </c>
      <c r="H556" s="3" t="s">
        <v>2638</v>
      </c>
      <c r="I556" s="3" t="s">
        <v>2638</v>
      </c>
      <c r="J556" s="3" t="s">
        <v>19</v>
      </c>
      <c r="K556" s="3" t="s">
        <v>21</v>
      </c>
      <c r="L556" s="3" t="s">
        <v>22</v>
      </c>
      <c r="M556" s="4">
        <v>951</v>
      </c>
      <c r="N556" s="3" t="s">
        <v>1498</v>
      </c>
      <c r="O556" s="3" t="s">
        <v>281</v>
      </c>
      <c r="P556" s="3" t="s">
        <v>975</v>
      </c>
    </row>
    <row r="557" spans="1:16" hidden="1" x14ac:dyDescent="0.4">
      <c r="A557" s="7">
        <v>556</v>
      </c>
      <c r="B557" s="8" t="s">
        <v>2639</v>
      </c>
      <c r="C557" s="6" t="str">
        <f>IFERROR(IF(LEFT(D557,FIND(" ",D557)-1)="전라북도","전북특별자치도",LEFT(D557,FIND(" ",D557)-1)),"")</f>
        <v>전북특별자치도</v>
      </c>
      <c r="D557" s="3" t="s">
        <v>2640</v>
      </c>
      <c r="E557" s="3" t="s">
        <v>466</v>
      </c>
      <c r="F557" s="3" t="s">
        <v>2641</v>
      </c>
      <c r="G557" s="3" t="s">
        <v>2642</v>
      </c>
      <c r="H557" s="3" t="s">
        <v>2643</v>
      </c>
      <c r="I557" s="3" t="s">
        <v>2061</v>
      </c>
      <c r="J557" s="3" t="s">
        <v>19</v>
      </c>
      <c r="K557" s="3" t="s">
        <v>21</v>
      </c>
      <c r="L557" s="3" t="s">
        <v>147</v>
      </c>
      <c r="M557" s="4">
        <v>3988</v>
      </c>
      <c r="N557" s="3" t="s">
        <v>19</v>
      </c>
      <c r="O557" s="3" t="s">
        <v>281</v>
      </c>
      <c r="P557" s="3" t="s">
        <v>2315</v>
      </c>
    </row>
    <row r="558" spans="1:16" hidden="1" x14ac:dyDescent="0.4">
      <c r="A558" s="7">
        <v>557</v>
      </c>
      <c r="B558" s="8" t="s">
        <v>2644</v>
      </c>
      <c r="C558" s="6" t="str">
        <f>IFERROR(IF(LEFT(D558,FIND(" ",D558)-1)="전라북도","전북특별자치도",LEFT(D558,FIND(" ",D558)-1)),"")</f>
        <v>강원특별자치도</v>
      </c>
      <c r="D558" s="3" t="s">
        <v>2645</v>
      </c>
      <c r="E558" s="3" t="s">
        <v>2646</v>
      </c>
      <c r="F558" s="3" t="s">
        <v>2641</v>
      </c>
      <c r="G558" s="3" t="s">
        <v>2141</v>
      </c>
      <c r="H558" s="3" t="s">
        <v>19</v>
      </c>
      <c r="I558" s="3" t="s">
        <v>19</v>
      </c>
      <c r="J558" s="3" t="s">
        <v>19</v>
      </c>
      <c r="K558" s="3" t="s">
        <v>21</v>
      </c>
      <c r="L558" s="3" t="s">
        <v>22</v>
      </c>
      <c r="M558" s="4">
        <v>252</v>
      </c>
      <c r="N558" s="3" t="s">
        <v>1498</v>
      </c>
      <c r="O558" s="3" t="s">
        <v>281</v>
      </c>
      <c r="P558" s="3" t="s">
        <v>2297</v>
      </c>
    </row>
    <row r="559" spans="1:16" hidden="1" x14ac:dyDescent="0.4">
      <c r="A559" s="7">
        <v>558</v>
      </c>
      <c r="B559" s="8" t="s">
        <v>2647</v>
      </c>
      <c r="C559" s="6" t="str">
        <f>IFERROR(IF(LEFT(D559,FIND(" ",D559)-1)="전라북도","전북특별자치도",LEFT(D559,FIND(" ",D559)-1)),"")</f>
        <v>경상북도</v>
      </c>
      <c r="D559" s="3" t="s">
        <v>2648</v>
      </c>
      <c r="E559" s="3" t="s">
        <v>2646</v>
      </c>
      <c r="F559" s="3" t="s">
        <v>2513</v>
      </c>
      <c r="G559" s="3" t="s">
        <v>19</v>
      </c>
      <c r="H559" s="3" t="s">
        <v>2650</v>
      </c>
      <c r="I559" s="3" t="s">
        <v>19</v>
      </c>
      <c r="J559" s="3" t="s">
        <v>19</v>
      </c>
      <c r="K559" s="3" t="s">
        <v>21</v>
      </c>
      <c r="L559" s="3" t="s">
        <v>147</v>
      </c>
      <c r="M559" s="4">
        <v>641</v>
      </c>
      <c r="N559" s="3" t="s">
        <v>84</v>
      </c>
      <c r="O559" s="3" t="s">
        <v>281</v>
      </c>
      <c r="P559" s="3" t="s">
        <v>2649</v>
      </c>
    </row>
    <row r="560" spans="1:16" hidden="1" x14ac:dyDescent="0.4">
      <c r="A560" s="7">
        <v>559</v>
      </c>
      <c r="B560" s="8" t="s">
        <v>2651</v>
      </c>
      <c r="C560" s="6" t="str">
        <f>IFERROR(IF(LEFT(D560,FIND(" ",D560)-1)="전라북도","전북특별자치도",LEFT(D560,FIND(" ",D560)-1)),"")</f>
        <v>전라남도</v>
      </c>
      <c r="D560" s="3" t="s">
        <v>2652</v>
      </c>
      <c r="E560" s="3" t="s">
        <v>614</v>
      </c>
      <c r="F560" s="3" t="s">
        <v>1169</v>
      </c>
      <c r="G560" s="3" t="s">
        <v>2653</v>
      </c>
      <c r="H560" s="3" t="s">
        <v>2654</v>
      </c>
      <c r="I560" s="3" t="s">
        <v>2654</v>
      </c>
      <c r="J560" s="3" t="s">
        <v>2655</v>
      </c>
      <c r="K560" s="3" t="s">
        <v>21</v>
      </c>
      <c r="L560" s="3" t="s">
        <v>22</v>
      </c>
      <c r="M560" s="4">
        <v>1839</v>
      </c>
      <c r="N560" s="3" t="s">
        <v>1498</v>
      </c>
      <c r="O560" s="3" t="s">
        <v>281</v>
      </c>
      <c r="P560" s="3" t="s">
        <v>1645</v>
      </c>
    </row>
    <row r="561" spans="1:16" hidden="1" x14ac:dyDescent="0.4">
      <c r="A561" s="7">
        <v>560</v>
      </c>
      <c r="B561" s="8" t="s">
        <v>2656</v>
      </c>
      <c r="C561" s="6" t="str">
        <f>IFERROR(IF(LEFT(D561,FIND(" ",D561)-1)="전라북도","전북특별자치도",LEFT(D561,FIND(" ",D561)-1)),"")</f>
        <v>충청남도</v>
      </c>
      <c r="D561" s="3" t="s">
        <v>2657</v>
      </c>
      <c r="E561" s="3" t="s">
        <v>2658</v>
      </c>
      <c r="F561" s="3" t="s">
        <v>2659</v>
      </c>
      <c r="G561" s="3" t="s">
        <v>2660</v>
      </c>
      <c r="H561" s="3" t="s">
        <v>19</v>
      </c>
      <c r="I561" s="3" t="s">
        <v>19</v>
      </c>
      <c r="J561" s="3" t="s">
        <v>19</v>
      </c>
      <c r="K561" s="3" t="s">
        <v>21</v>
      </c>
      <c r="L561" s="3" t="s">
        <v>147</v>
      </c>
      <c r="M561" s="4">
        <v>177</v>
      </c>
      <c r="N561" s="3" t="s">
        <v>84</v>
      </c>
      <c r="O561" s="3" t="s">
        <v>281</v>
      </c>
      <c r="P561" s="3" t="s">
        <v>2170</v>
      </c>
    </row>
    <row r="562" spans="1:16" hidden="1" x14ac:dyDescent="0.4">
      <c r="A562" s="7">
        <v>561</v>
      </c>
      <c r="B562" s="8" t="s">
        <v>2661</v>
      </c>
      <c r="C562" s="6" t="str">
        <f>IFERROR(IF(LEFT(D562,FIND(" ",D562)-1)="전라북도","전북특별자치도",LEFT(D562,FIND(" ",D562)-1)),"")</f>
        <v>전북특별자치도</v>
      </c>
      <c r="D562" s="3" t="s">
        <v>2662</v>
      </c>
      <c r="E562" s="3" t="s">
        <v>647</v>
      </c>
      <c r="F562" s="3" t="s">
        <v>2646</v>
      </c>
      <c r="G562" s="3" t="s">
        <v>2663</v>
      </c>
      <c r="H562" s="3" t="s">
        <v>2643</v>
      </c>
      <c r="I562" s="3" t="s">
        <v>1549</v>
      </c>
      <c r="J562" s="3" t="s">
        <v>19</v>
      </c>
      <c r="K562" s="3" t="s">
        <v>21</v>
      </c>
      <c r="L562" s="3" t="s">
        <v>22</v>
      </c>
      <c r="M562" s="4">
        <v>3438</v>
      </c>
      <c r="N562" s="3" t="s">
        <v>1498</v>
      </c>
      <c r="O562" s="3" t="s">
        <v>281</v>
      </c>
      <c r="P562" s="3" t="s">
        <v>1717</v>
      </c>
    </row>
    <row r="563" spans="1:16" x14ac:dyDescent="0.4">
      <c r="A563" s="7">
        <v>562</v>
      </c>
      <c r="B563" s="8" t="s">
        <v>2664</v>
      </c>
      <c r="C563" s="6" t="str">
        <f>IFERROR(IF(LEFT(D563,FIND(" ",D563)-1)="전라북도","전북특별자치도",LEFT(D563,FIND(" ",D563)-1)),"")</f>
        <v>경기도</v>
      </c>
      <c r="D563" s="3" t="s">
        <v>2665</v>
      </c>
      <c r="E563" s="3" t="s">
        <v>1188</v>
      </c>
      <c r="F563" s="3" t="s">
        <v>2646</v>
      </c>
      <c r="G563" s="3" t="s">
        <v>2666</v>
      </c>
      <c r="H563" s="3" t="s">
        <v>19</v>
      </c>
      <c r="I563" s="3" t="s">
        <v>19</v>
      </c>
      <c r="J563" s="3" t="s">
        <v>2666</v>
      </c>
      <c r="K563" s="3" t="s">
        <v>21</v>
      </c>
      <c r="L563" s="3" t="s">
        <v>147</v>
      </c>
      <c r="M563" s="4">
        <v>286</v>
      </c>
      <c r="N563" s="3" t="s">
        <v>19</v>
      </c>
      <c r="O563" s="3" t="s">
        <v>24</v>
      </c>
      <c r="P563" s="3" t="s">
        <v>19</v>
      </c>
    </row>
    <row r="564" spans="1:16" hidden="1" x14ac:dyDescent="0.4">
      <c r="A564" s="7">
        <v>563</v>
      </c>
      <c r="B564" s="8" t="s">
        <v>2664</v>
      </c>
      <c r="C564" s="6" t="str">
        <f>IFERROR(IF(LEFT(D564,FIND(" ",D564)-1)="전라북도","전북특별자치도",LEFT(D564,FIND(" ",D564)-1)),"")</f>
        <v>경기도</v>
      </c>
      <c r="D564" s="3" t="s">
        <v>2665</v>
      </c>
      <c r="E564" s="3" t="s">
        <v>1188</v>
      </c>
      <c r="F564" s="3" t="s">
        <v>2646</v>
      </c>
      <c r="G564" s="3" t="s">
        <v>2666</v>
      </c>
      <c r="H564" s="3" t="s">
        <v>19</v>
      </c>
      <c r="I564" s="3" t="s">
        <v>19</v>
      </c>
      <c r="J564" s="3" t="s">
        <v>2666</v>
      </c>
      <c r="K564" s="3" t="s">
        <v>21</v>
      </c>
      <c r="L564" s="3" t="s">
        <v>147</v>
      </c>
      <c r="M564" s="4">
        <v>286</v>
      </c>
      <c r="N564" s="3" t="s">
        <v>19</v>
      </c>
      <c r="O564" s="3" t="s">
        <v>281</v>
      </c>
      <c r="P564" s="3" t="s">
        <v>2667</v>
      </c>
    </row>
    <row r="565" spans="1:16" hidden="1" x14ac:dyDescent="0.4">
      <c r="A565" s="7">
        <v>564</v>
      </c>
      <c r="B565" s="8" t="s">
        <v>2668</v>
      </c>
      <c r="C565" s="6" t="str">
        <f>IFERROR(IF(LEFT(D565,FIND(" ",D565)-1)="전라북도","전북특별자치도",LEFT(D565,FIND(" ",D565)-1)),"")</f>
        <v>충청북도</v>
      </c>
      <c r="D565" s="3" t="s">
        <v>2669</v>
      </c>
      <c r="E565" s="3" t="s">
        <v>343</v>
      </c>
      <c r="F565" s="3" t="s">
        <v>2670</v>
      </c>
      <c r="G565" s="3" t="s">
        <v>2671</v>
      </c>
      <c r="H565" s="3" t="s">
        <v>2672</v>
      </c>
      <c r="I565" s="3" t="s">
        <v>2672</v>
      </c>
      <c r="J565" s="3" t="s">
        <v>2673</v>
      </c>
      <c r="K565" s="3" t="s">
        <v>21</v>
      </c>
      <c r="L565" s="3" t="s">
        <v>228</v>
      </c>
      <c r="M565" s="4">
        <v>495</v>
      </c>
      <c r="N565" s="3" t="s">
        <v>1498</v>
      </c>
      <c r="O565" s="3" t="s">
        <v>281</v>
      </c>
      <c r="P565" s="3" t="s">
        <v>2555</v>
      </c>
    </row>
    <row r="566" spans="1:16" hidden="1" x14ac:dyDescent="0.4">
      <c r="A566" s="7">
        <v>565</v>
      </c>
      <c r="B566" s="8" t="s">
        <v>2674</v>
      </c>
      <c r="C566" s="6" t="str">
        <f>IFERROR(IF(LEFT(D566,FIND(" ",D566)-1)="전라북도","전북특별자치도",LEFT(D566,FIND(" ",D566)-1)),"")</f>
        <v>부산광역시</v>
      </c>
      <c r="D566" s="3" t="s">
        <v>2675</v>
      </c>
      <c r="E566" s="3" t="s">
        <v>466</v>
      </c>
      <c r="F566" s="3" t="s">
        <v>1178</v>
      </c>
      <c r="G566" s="3" t="s">
        <v>2677</v>
      </c>
      <c r="H566" s="3" t="s">
        <v>2678</v>
      </c>
      <c r="I566" s="3" t="s">
        <v>2678</v>
      </c>
      <c r="J566" s="3" t="s">
        <v>2677</v>
      </c>
      <c r="K566" s="3" t="s">
        <v>21</v>
      </c>
      <c r="L566" s="3" t="s">
        <v>147</v>
      </c>
      <c r="M566" s="4">
        <v>639</v>
      </c>
      <c r="N566" s="3" t="s">
        <v>1498</v>
      </c>
      <c r="O566" s="3" t="s">
        <v>281</v>
      </c>
      <c r="P566" s="3" t="s">
        <v>2676</v>
      </c>
    </row>
    <row r="567" spans="1:16" hidden="1" x14ac:dyDescent="0.4">
      <c r="A567" s="7">
        <v>566</v>
      </c>
      <c r="B567" s="8" t="s">
        <v>2679</v>
      </c>
      <c r="C567" s="6" t="str">
        <f>IFERROR(IF(LEFT(D567,FIND(" ",D567)-1)="전라북도","전북특별자치도",LEFT(D567,FIND(" ",D567)-1)),"")</f>
        <v>부산광역시</v>
      </c>
      <c r="D567" s="3" t="s">
        <v>2680</v>
      </c>
      <c r="E567" s="3" t="s">
        <v>1192</v>
      </c>
      <c r="F567" s="3" t="s">
        <v>1178</v>
      </c>
      <c r="G567" s="3" t="s">
        <v>19</v>
      </c>
      <c r="H567" s="3" t="s">
        <v>2678</v>
      </c>
      <c r="I567" s="3" t="s">
        <v>19</v>
      </c>
      <c r="J567" s="3" t="s">
        <v>19</v>
      </c>
      <c r="K567" s="3" t="s">
        <v>21</v>
      </c>
      <c r="L567" s="3" t="s">
        <v>147</v>
      </c>
      <c r="M567" s="4">
        <v>1602</v>
      </c>
      <c r="N567" s="3" t="s">
        <v>19</v>
      </c>
      <c r="O567" s="3" t="s">
        <v>281</v>
      </c>
      <c r="P567" s="3" t="s">
        <v>2631</v>
      </c>
    </row>
    <row r="568" spans="1:16" hidden="1" x14ac:dyDescent="0.4">
      <c r="A568" s="7">
        <v>567</v>
      </c>
      <c r="B568" s="8" t="s">
        <v>2681</v>
      </c>
      <c r="C568" s="6" t="str">
        <f>IFERROR(IF(LEFT(D568,FIND(" ",D568)-1)="전라북도","전북특별자치도",LEFT(D568,FIND(" ",D568)-1)),"")</f>
        <v>경상남도</v>
      </c>
      <c r="D568" s="3" t="s">
        <v>2682</v>
      </c>
      <c r="E568" s="3" t="s">
        <v>2683</v>
      </c>
      <c r="F568" s="3" t="s">
        <v>1178</v>
      </c>
      <c r="G568" s="3" t="s">
        <v>2685</v>
      </c>
      <c r="H568" s="3" t="s">
        <v>1025</v>
      </c>
      <c r="I568" s="3" t="s">
        <v>1025</v>
      </c>
      <c r="J568" s="3" t="s">
        <v>19</v>
      </c>
      <c r="K568" s="3" t="s">
        <v>21</v>
      </c>
      <c r="L568" s="3" t="s">
        <v>22</v>
      </c>
      <c r="M568" s="4">
        <v>1648</v>
      </c>
      <c r="N568" s="3" t="s">
        <v>1498</v>
      </c>
      <c r="O568" s="3" t="s">
        <v>281</v>
      </c>
      <c r="P568" s="3" t="s">
        <v>2684</v>
      </c>
    </row>
    <row r="569" spans="1:16" x14ac:dyDescent="0.4">
      <c r="A569" s="7">
        <v>568</v>
      </c>
      <c r="B569" s="8" t="s">
        <v>2686</v>
      </c>
      <c r="C569" s="6" t="str">
        <f>IFERROR(IF(LEFT(D569,FIND(" ",D569)-1)="전라북도","전북특별자치도",LEFT(D569,FIND(" ",D569)-1)),"")</f>
        <v>인천광역시</v>
      </c>
      <c r="D569" s="3" t="s">
        <v>2687</v>
      </c>
      <c r="E569" s="3" t="s">
        <v>2688</v>
      </c>
      <c r="F569" s="3" t="s">
        <v>606</v>
      </c>
      <c r="G569" s="3" t="s">
        <v>19</v>
      </c>
      <c r="H569" s="3" t="s">
        <v>577</v>
      </c>
      <c r="I569" s="3" t="s">
        <v>19</v>
      </c>
      <c r="J569" s="3" t="s">
        <v>19</v>
      </c>
      <c r="K569" s="3" t="s">
        <v>21</v>
      </c>
      <c r="L569" s="3" t="s">
        <v>147</v>
      </c>
      <c r="M569" s="4">
        <v>1358</v>
      </c>
      <c r="N569" s="3" t="s">
        <v>19</v>
      </c>
      <c r="O569" s="3" t="s">
        <v>24</v>
      </c>
      <c r="P569" s="3" t="s">
        <v>19</v>
      </c>
    </row>
    <row r="570" spans="1:16" hidden="1" x14ac:dyDescent="0.4">
      <c r="A570" s="7">
        <v>569</v>
      </c>
      <c r="B570" s="8" t="s">
        <v>2689</v>
      </c>
      <c r="C570" s="6" t="str">
        <f>IFERROR(IF(LEFT(D570,FIND(" ",D570)-1)="전라북도","전북특별자치도",LEFT(D570,FIND(" ",D570)-1)),"")</f>
        <v>충청남도</v>
      </c>
      <c r="D570" s="3" t="s">
        <v>1848</v>
      </c>
      <c r="E570" s="3" t="s">
        <v>1587</v>
      </c>
      <c r="F570" s="3" t="s">
        <v>2476</v>
      </c>
      <c r="G570" s="3" t="s">
        <v>2691</v>
      </c>
      <c r="H570" s="3" t="s">
        <v>157</v>
      </c>
      <c r="I570" s="3" t="s">
        <v>19</v>
      </c>
      <c r="J570" s="3" t="s">
        <v>19</v>
      </c>
      <c r="K570" s="3" t="s">
        <v>21</v>
      </c>
      <c r="L570" s="3" t="s">
        <v>22</v>
      </c>
      <c r="M570" s="4">
        <v>669</v>
      </c>
      <c r="N570" s="3" t="s">
        <v>84</v>
      </c>
      <c r="O570" s="3" t="s">
        <v>281</v>
      </c>
      <c r="P570" s="3" t="s">
        <v>2690</v>
      </c>
    </row>
    <row r="571" spans="1:16" hidden="1" x14ac:dyDescent="0.4">
      <c r="A571" s="7">
        <v>570</v>
      </c>
      <c r="B571" s="8" t="s">
        <v>2692</v>
      </c>
      <c r="C571" s="6" t="str">
        <f>IFERROR(IF(LEFT(D571,FIND(" ",D571)-1)="전라북도","전북특별자치도",LEFT(D571,FIND(" ",D571)-1)),"")</f>
        <v>경상북도</v>
      </c>
      <c r="D571" s="3" t="s">
        <v>2693</v>
      </c>
      <c r="E571" s="3" t="s">
        <v>2575</v>
      </c>
      <c r="F571" s="3" t="s">
        <v>2476</v>
      </c>
      <c r="G571" s="3" t="s">
        <v>894</v>
      </c>
      <c r="H571" s="3" t="s">
        <v>896</v>
      </c>
      <c r="I571" s="3" t="s">
        <v>896</v>
      </c>
      <c r="J571" s="3" t="s">
        <v>19</v>
      </c>
      <c r="K571" s="3" t="s">
        <v>21</v>
      </c>
      <c r="L571" s="3" t="s">
        <v>22</v>
      </c>
      <c r="M571" s="4">
        <v>2738</v>
      </c>
      <c r="N571" s="3" t="s">
        <v>1498</v>
      </c>
      <c r="O571" s="3" t="s">
        <v>281</v>
      </c>
      <c r="P571" s="3" t="s">
        <v>175</v>
      </c>
    </row>
    <row r="572" spans="1:16" hidden="1" x14ac:dyDescent="0.4">
      <c r="A572" s="7">
        <v>571</v>
      </c>
      <c r="B572" s="8" t="s">
        <v>2694</v>
      </c>
      <c r="C572" s="6" t="str">
        <f>IFERROR(IF(LEFT(D572,FIND(" ",D572)-1)="전라북도","전북특별자치도",LEFT(D572,FIND(" ",D572)-1)),"")</f>
        <v>경기도</v>
      </c>
      <c r="D572" s="3" t="s">
        <v>2695</v>
      </c>
      <c r="E572" s="3" t="s">
        <v>2696</v>
      </c>
      <c r="F572" s="3" t="s">
        <v>2434</v>
      </c>
      <c r="G572" s="3" t="s">
        <v>19</v>
      </c>
      <c r="H572" s="3" t="s">
        <v>1155</v>
      </c>
      <c r="I572" s="3" t="s">
        <v>19</v>
      </c>
      <c r="J572" s="3" t="s">
        <v>19</v>
      </c>
      <c r="K572" s="3" t="s">
        <v>21</v>
      </c>
      <c r="L572" s="3" t="s">
        <v>147</v>
      </c>
      <c r="M572" s="4">
        <v>918</v>
      </c>
      <c r="N572" s="3" t="s">
        <v>211</v>
      </c>
      <c r="O572" s="3" t="s">
        <v>281</v>
      </c>
      <c r="P572" s="3" t="s">
        <v>2641</v>
      </c>
    </row>
    <row r="573" spans="1:16" hidden="1" x14ac:dyDescent="0.4">
      <c r="A573" s="7">
        <v>572</v>
      </c>
      <c r="B573" s="8" t="s">
        <v>2697</v>
      </c>
      <c r="C573" s="6" t="str">
        <f>IFERROR(IF(LEFT(D573,FIND(" ",D573)-1)="전라북도","전북특별자치도",LEFT(D573,FIND(" ",D573)-1)),"")</f>
        <v>경기도</v>
      </c>
      <c r="D573" s="3" t="s">
        <v>2698</v>
      </c>
      <c r="E573" s="3" t="s">
        <v>809</v>
      </c>
      <c r="F573" s="3" t="s">
        <v>2434</v>
      </c>
      <c r="G573" s="3" t="s">
        <v>2699</v>
      </c>
      <c r="H573" s="3" t="s">
        <v>2700</v>
      </c>
      <c r="I573" s="3" t="s">
        <v>2700</v>
      </c>
      <c r="J573" s="3" t="s">
        <v>19</v>
      </c>
      <c r="K573" s="3" t="s">
        <v>21</v>
      </c>
      <c r="L573" s="3" t="s">
        <v>22</v>
      </c>
      <c r="M573" s="4">
        <v>611</v>
      </c>
      <c r="N573" s="3" t="s">
        <v>2174</v>
      </c>
      <c r="O573" s="3" t="s">
        <v>281</v>
      </c>
      <c r="P573" s="3" t="s">
        <v>1755</v>
      </c>
    </row>
    <row r="574" spans="1:16" hidden="1" x14ac:dyDescent="0.4">
      <c r="A574" s="7">
        <v>573</v>
      </c>
      <c r="B574" s="8" t="s">
        <v>2701</v>
      </c>
      <c r="C574" s="6" t="str">
        <f>IFERROR(IF(LEFT(D574,FIND(" ",D574)-1)="전라북도","전북특별자치도",LEFT(D574,FIND(" ",D574)-1)),"")</f>
        <v>경상북도</v>
      </c>
      <c r="D574" s="3" t="s">
        <v>2702</v>
      </c>
      <c r="E574" s="3" t="s">
        <v>2703</v>
      </c>
      <c r="F574" s="3" t="s">
        <v>1188</v>
      </c>
      <c r="G574" s="3" t="s">
        <v>2704</v>
      </c>
      <c r="H574" s="3" t="s">
        <v>670</v>
      </c>
      <c r="I574" s="3" t="s">
        <v>19</v>
      </c>
      <c r="J574" s="3" t="s">
        <v>19</v>
      </c>
      <c r="K574" s="3" t="s">
        <v>21</v>
      </c>
      <c r="L574" s="3" t="s">
        <v>22</v>
      </c>
      <c r="M574" s="4">
        <v>157</v>
      </c>
      <c r="N574" s="3" t="s">
        <v>84</v>
      </c>
      <c r="O574" s="3" t="s">
        <v>281</v>
      </c>
      <c r="P574" s="3" t="s">
        <v>2398</v>
      </c>
    </row>
    <row r="575" spans="1:16" hidden="1" x14ac:dyDescent="0.4">
      <c r="A575" s="7">
        <v>574</v>
      </c>
      <c r="B575" s="8" t="s">
        <v>2705</v>
      </c>
      <c r="C575" s="6" t="str">
        <f>IFERROR(IF(LEFT(D575,FIND(" ",D575)-1)="전라북도","전북특별자치도",LEFT(D575,FIND(" ",D575)-1)),"")</f>
        <v>강원특별자치도</v>
      </c>
      <c r="D575" s="3" t="s">
        <v>2706</v>
      </c>
      <c r="E575" s="3" t="s">
        <v>2707</v>
      </c>
      <c r="F575" s="3" t="s">
        <v>614</v>
      </c>
      <c r="G575" s="3" t="s">
        <v>2709</v>
      </c>
      <c r="H575" s="3" t="s">
        <v>2710</v>
      </c>
      <c r="I575" s="3" t="s">
        <v>2710</v>
      </c>
      <c r="J575" s="3" t="s">
        <v>19</v>
      </c>
      <c r="K575" s="3" t="s">
        <v>21</v>
      </c>
      <c r="L575" s="3" t="s">
        <v>22</v>
      </c>
      <c r="M575" s="4">
        <v>2176</v>
      </c>
      <c r="N575" s="3" t="s">
        <v>1498</v>
      </c>
      <c r="O575" s="3" t="s">
        <v>281</v>
      </c>
      <c r="P575" s="3" t="s">
        <v>2708</v>
      </c>
    </row>
    <row r="576" spans="1:16" hidden="1" x14ac:dyDescent="0.4">
      <c r="A576" s="7">
        <v>575</v>
      </c>
      <c r="B576" s="8" t="s">
        <v>2711</v>
      </c>
      <c r="C576" s="6" t="str">
        <f>IFERROR(IF(LEFT(D576,FIND(" ",D576)-1)="전라북도","전북특별자치도",LEFT(D576,FIND(" ",D576)-1)),"")</f>
        <v>강원특별자치도</v>
      </c>
      <c r="D576" s="3" t="s">
        <v>2712</v>
      </c>
      <c r="E576" s="3" t="s">
        <v>2713</v>
      </c>
      <c r="F576" s="3" t="s">
        <v>614</v>
      </c>
      <c r="G576" s="3" t="s">
        <v>2714</v>
      </c>
      <c r="H576" s="3" t="s">
        <v>210</v>
      </c>
      <c r="I576" s="3" t="s">
        <v>19</v>
      </c>
      <c r="J576" s="3" t="s">
        <v>2715</v>
      </c>
      <c r="K576" s="3" t="s">
        <v>21</v>
      </c>
      <c r="L576" s="3" t="s">
        <v>22</v>
      </c>
      <c r="M576" s="4">
        <v>1218</v>
      </c>
      <c r="N576" s="3" t="s">
        <v>2155</v>
      </c>
      <c r="O576" s="3" t="s">
        <v>281</v>
      </c>
      <c r="P576" s="3" t="s">
        <v>1140</v>
      </c>
    </row>
    <row r="577" spans="1:16" hidden="1" x14ac:dyDescent="0.4">
      <c r="A577" s="7">
        <v>576</v>
      </c>
      <c r="B577" s="8" t="s">
        <v>2716</v>
      </c>
      <c r="C577" s="6" t="str">
        <f>IFERROR(IF(LEFT(D577,FIND(" ",D577)-1)="전라북도","전북특별자치도",LEFT(D577,FIND(" ",D577)-1)),"")</f>
        <v>강원특별자치도</v>
      </c>
      <c r="D577" s="3" t="s">
        <v>2717</v>
      </c>
      <c r="E577" s="3" t="s">
        <v>1229</v>
      </c>
      <c r="F577" s="3" t="s">
        <v>614</v>
      </c>
      <c r="G577" s="3" t="s">
        <v>2718</v>
      </c>
      <c r="H577" s="3" t="s">
        <v>2719</v>
      </c>
      <c r="I577" s="3" t="s">
        <v>2173</v>
      </c>
      <c r="J577" s="3" t="s">
        <v>19</v>
      </c>
      <c r="K577" s="3" t="s">
        <v>21</v>
      </c>
      <c r="L577" s="3" t="s">
        <v>22</v>
      </c>
      <c r="M577" s="4">
        <v>1733</v>
      </c>
      <c r="N577" s="3" t="s">
        <v>1498</v>
      </c>
      <c r="O577" s="3" t="s">
        <v>281</v>
      </c>
      <c r="P577" s="3" t="s">
        <v>1373</v>
      </c>
    </row>
    <row r="578" spans="1:16" hidden="1" x14ac:dyDescent="0.4">
      <c r="A578" s="7">
        <v>577</v>
      </c>
      <c r="B578" s="8" t="s">
        <v>2720</v>
      </c>
      <c r="C578" s="6" t="str">
        <f>IFERROR(IF(LEFT(D578,FIND(" ",D578)-1)="전라북도","전북특별자치도",LEFT(D578,FIND(" ",D578)-1)),"")</f>
        <v>경상남도</v>
      </c>
      <c r="D578" s="3" t="s">
        <v>2721</v>
      </c>
      <c r="E578" s="3" t="s">
        <v>2722</v>
      </c>
      <c r="F578" s="3" t="s">
        <v>1192</v>
      </c>
      <c r="G578" s="3" t="s">
        <v>2723</v>
      </c>
      <c r="H578" s="3" t="s">
        <v>2724</v>
      </c>
      <c r="I578" s="3" t="s">
        <v>2724</v>
      </c>
      <c r="J578" s="3" t="s">
        <v>19</v>
      </c>
      <c r="K578" s="3" t="s">
        <v>21</v>
      </c>
      <c r="L578" s="3" t="s">
        <v>228</v>
      </c>
      <c r="M578" s="4">
        <v>1520</v>
      </c>
      <c r="N578" s="3" t="s">
        <v>1498</v>
      </c>
      <c r="O578" s="3" t="s">
        <v>281</v>
      </c>
      <c r="P578" s="3" t="s">
        <v>1871</v>
      </c>
    </row>
    <row r="579" spans="1:16" hidden="1" x14ac:dyDescent="0.4">
      <c r="A579" s="7">
        <v>578</v>
      </c>
      <c r="B579" s="8" t="s">
        <v>2725</v>
      </c>
      <c r="C579" s="6" t="str">
        <f>IFERROR(IF(LEFT(D579,FIND(" ",D579)-1)="전라북도","전북특별자치도",LEFT(D579,FIND(" ",D579)-1)),"")</f>
        <v>제주특별자치도</v>
      </c>
      <c r="D579" s="3" t="s">
        <v>2726</v>
      </c>
      <c r="E579" s="3" t="s">
        <v>1703</v>
      </c>
      <c r="F579" s="3" t="s">
        <v>2688</v>
      </c>
      <c r="G579" s="3" t="s">
        <v>2727</v>
      </c>
      <c r="H579" s="3" t="s">
        <v>2728</v>
      </c>
      <c r="I579" s="3" t="s">
        <v>2728</v>
      </c>
      <c r="J579" s="3" t="s">
        <v>2729</v>
      </c>
      <c r="K579" s="3" t="s">
        <v>21</v>
      </c>
      <c r="L579" s="3" t="s">
        <v>22</v>
      </c>
      <c r="M579" s="4">
        <v>640</v>
      </c>
      <c r="N579" s="3" t="s">
        <v>1498</v>
      </c>
      <c r="O579" s="3" t="s">
        <v>281</v>
      </c>
      <c r="P579" s="3" t="s">
        <v>1929</v>
      </c>
    </row>
    <row r="580" spans="1:16" hidden="1" x14ac:dyDescent="0.4">
      <c r="A580" s="7">
        <v>579</v>
      </c>
      <c r="B580" s="8" t="s">
        <v>2730</v>
      </c>
      <c r="C580" s="6" t="str">
        <f>IFERROR(IF(LEFT(D580,FIND(" ",D580)-1)="전라북도","전북특별자치도",LEFT(D580,FIND(" ",D580)-1)),"")</f>
        <v>경기도</v>
      </c>
      <c r="D580" s="3" t="s">
        <v>2731</v>
      </c>
      <c r="E580" s="3" t="s">
        <v>2732</v>
      </c>
      <c r="F580" s="3" t="s">
        <v>2733</v>
      </c>
      <c r="G580" s="3" t="s">
        <v>19</v>
      </c>
      <c r="H580" s="3" t="s">
        <v>2734</v>
      </c>
      <c r="I580" s="3" t="s">
        <v>19</v>
      </c>
      <c r="J580" s="3" t="s">
        <v>19</v>
      </c>
      <c r="K580" s="3" t="s">
        <v>21</v>
      </c>
      <c r="L580" s="3" t="s">
        <v>22</v>
      </c>
      <c r="M580" s="4">
        <v>240</v>
      </c>
      <c r="N580" s="3" t="s">
        <v>2155</v>
      </c>
      <c r="O580" s="3" t="s">
        <v>281</v>
      </c>
      <c r="P580" s="3" t="s">
        <v>2183</v>
      </c>
    </row>
    <row r="581" spans="1:16" hidden="1" x14ac:dyDescent="0.4">
      <c r="A581" s="7">
        <v>580</v>
      </c>
      <c r="B581" s="8" t="s">
        <v>2735</v>
      </c>
      <c r="C581" s="6" t="str">
        <f>IFERROR(IF(LEFT(D581,FIND(" ",D581)-1)="전라북도","전북특별자치도",LEFT(D581,FIND(" ",D581)-1)),"")</f>
        <v>경상남도</v>
      </c>
      <c r="D581" s="3" t="s">
        <v>2736</v>
      </c>
      <c r="E581" s="3" t="s">
        <v>641</v>
      </c>
      <c r="F581" s="3" t="s">
        <v>1559</v>
      </c>
      <c r="G581" s="3" t="s">
        <v>2737</v>
      </c>
      <c r="H581" s="3" t="s">
        <v>2738</v>
      </c>
      <c r="I581" s="3" t="s">
        <v>2238</v>
      </c>
      <c r="J581" s="3" t="s">
        <v>19</v>
      </c>
      <c r="K581" s="3" t="s">
        <v>21</v>
      </c>
      <c r="L581" s="3" t="s">
        <v>22</v>
      </c>
      <c r="M581" s="4">
        <v>164</v>
      </c>
      <c r="N581" s="3" t="s">
        <v>84</v>
      </c>
      <c r="O581" s="3" t="s">
        <v>281</v>
      </c>
      <c r="P581" s="3" t="s">
        <v>2041</v>
      </c>
    </row>
    <row r="582" spans="1:16" hidden="1" x14ac:dyDescent="0.4">
      <c r="A582" s="7">
        <v>581</v>
      </c>
      <c r="B582" s="8" t="s">
        <v>2739</v>
      </c>
      <c r="C582" s="6" t="str">
        <f>IFERROR(IF(LEFT(D582,FIND(" ",D582)-1)="전라북도","전북특별자치도",LEFT(D582,FIND(" ",D582)-1)),"")</f>
        <v>제주특별자치도</v>
      </c>
      <c r="D582" s="3" t="s">
        <v>2740</v>
      </c>
      <c r="E582" s="3" t="s">
        <v>1781</v>
      </c>
      <c r="F582" s="3" t="s">
        <v>1559</v>
      </c>
      <c r="G582" s="3" t="s">
        <v>2741</v>
      </c>
      <c r="H582" s="3" t="s">
        <v>2321</v>
      </c>
      <c r="I582" s="3" t="s">
        <v>19</v>
      </c>
      <c r="J582" s="3" t="s">
        <v>19</v>
      </c>
      <c r="K582" s="3" t="s">
        <v>21</v>
      </c>
      <c r="L582" s="3" t="s">
        <v>22</v>
      </c>
      <c r="M582" s="4">
        <v>871</v>
      </c>
      <c r="N582" s="3" t="s">
        <v>1498</v>
      </c>
      <c r="O582" s="3" t="s">
        <v>281</v>
      </c>
      <c r="P582" s="3" t="s">
        <v>318</v>
      </c>
    </row>
    <row r="583" spans="1:16" hidden="1" x14ac:dyDescent="0.4">
      <c r="A583" s="7">
        <v>582</v>
      </c>
      <c r="B583" s="8" t="s">
        <v>2742</v>
      </c>
      <c r="C583" s="6" t="str">
        <f>IFERROR(IF(LEFT(D583,FIND(" ",D583)-1)="전라북도","전북특별자치도",LEFT(D583,FIND(" ",D583)-1)),"")</f>
        <v>전북특별자치도</v>
      </c>
      <c r="D583" s="3" t="s">
        <v>2743</v>
      </c>
      <c r="E583" s="3" t="s">
        <v>2744</v>
      </c>
      <c r="F583" s="3" t="s">
        <v>2745</v>
      </c>
      <c r="G583" s="3" t="s">
        <v>2746</v>
      </c>
      <c r="H583" s="3" t="s">
        <v>2021</v>
      </c>
      <c r="I583" s="3" t="s">
        <v>2747</v>
      </c>
      <c r="J583" s="3" t="s">
        <v>2748</v>
      </c>
      <c r="K583" s="3" t="s">
        <v>21</v>
      </c>
      <c r="L583" s="3" t="s">
        <v>22</v>
      </c>
      <c r="M583" s="4">
        <v>995</v>
      </c>
      <c r="N583" s="3" t="s">
        <v>1498</v>
      </c>
      <c r="O583" s="3" t="s">
        <v>281</v>
      </c>
      <c r="P583" s="3" t="s">
        <v>2690</v>
      </c>
    </row>
    <row r="584" spans="1:16" hidden="1" x14ac:dyDescent="0.4">
      <c r="A584" s="7">
        <v>583</v>
      </c>
      <c r="B584" s="8" t="s">
        <v>2749</v>
      </c>
      <c r="C584" s="6" t="str">
        <f>IFERROR(IF(LEFT(D584,FIND(" ",D584)-1)="전라북도","전북특별자치도",LEFT(D584,FIND(" ",D584)-1)),"")</f>
        <v>경기도</v>
      </c>
      <c r="D584" s="3" t="s">
        <v>2750</v>
      </c>
      <c r="E584" s="3" t="s">
        <v>2751</v>
      </c>
      <c r="F584" s="3" t="s">
        <v>1293</v>
      </c>
      <c r="G584" s="3" t="s">
        <v>401</v>
      </c>
      <c r="H584" s="3" t="s">
        <v>401</v>
      </c>
      <c r="I584" s="3" t="s">
        <v>19</v>
      </c>
      <c r="J584" s="3" t="s">
        <v>19</v>
      </c>
      <c r="K584" s="3" t="s">
        <v>21</v>
      </c>
      <c r="L584" s="3" t="s">
        <v>147</v>
      </c>
      <c r="M584" s="4">
        <v>476</v>
      </c>
      <c r="N584" s="3" t="s">
        <v>1498</v>
      </c>
      <c r="O584" s="3" t="s">
        <v>281</v>
      </c>
      <c r="P584" s="3" t="s">
        <v>192</v>
      </c>
    </row>
    <row r="585" spans="1:16" hidden="1" x14ac:dyDescent="0.4">
      <c r="A585" s="7">
        <v>584</v>
      </c>
      <c r="B585" s="8" t="s">
        <v>2752</v>
      </c>
      <c r="C585" s="6" t="str">
        <f>IFERROR(IF(LEFT(D585,FIND(" ",D585)-1)="전라북도","전북특별자치도",LEFT(D585,FIND(" ",D585)-1)),"")</f>
        <v>충청남도</v>
      </c>
      <c r="D585" s="3" t="s">
        <v>2753</v>
      </c>
      <c r="E585" s="3" t="s">
        <v>2754</v>
      </c>
      <c r="F585" s="3" t="s">
        <v>2325</v>
      </c>
      <c r="G585" s="3" t="s">
        <v>2756</v>
      </c>
      <c r="H585" s="3" t="s">
        <v>2757</v>
      </c>
      <c r="I585" s="3" t="s">
        <v>1607</v>
      </c>
      <c r="J585" s="3" t="s">
        <v>19</v>
      </c>
      <c r="K585" s="3" t="s">
        <v>21</v>
      </c>
      <c r="L585" s="3" t="s">
        <v>22</v>
      </c>
      <c r="M585" s="4">
        <v>330</v>
      </c>
      <c r="N585" s="3" t="s">
        <v>1498</v>
      </c>
      <c r="O585" s="3" t="s">
        <v>281</v>
      </c>
      <c r="P585" s="3" t="s">
        <v>2755</v>
      </c>
    </row>
    <row r="586" spans="1:16" hidden="1" x14ac:dyDescent="0.4">
      <c r="A586" s="7">
        <v>585</v>
      </c>
      <c r="B586" s="8" t="s">
        <v>2758</v>
      </c>
      <c r="C586" s="6" t="str">
        <f>IFERROR(IF(LEFT(D586,FIND(" ",D586)-1)="전라북도","전북특별자치도",LEFT(D586,FIND(" ",D586)-1)),"")</f>
        <v>강원특별자치도</v>
      </c>
      <c r="D586" s="3" t="s">
        <v>2759</v>
      </c>
      <c r="E586" s="3" t="s">
        <v>343</v>
      </c>
      <c r="F586" s="3" t="s">
        <v>2325</v>
      </c>
      <c r="G586" s="3" t="s">
        <v>2760</v>
      </c>
      <c r="H586" s="3" t="s">
        <v>2761</v>
      </c>
      <c r="I586" s="3" t="s">
        <v>2762</v>
      </c>
      <c r="J586" s="3" t="s">
        <v>19</v>
      </c>
      <c r="K586" s="3" t="s">
        <v>21</v>
      </c>
      <c r="L586" s="3" t="s">
        <v>22</v>
      </c>
      <c r="M586" s="4">
        <v>633</v>
      </c>
      <c r="N586" s="3" t="s">
        <v>1498</v>
      </c>
      <c r="O586" s="3" t="s">
        <v>281</v>
      </c>
      <c r="P586" s="3" t="s">
        <v>1934</v>
      </c>
    </row>
    <row r="587" spans="1:16" x14ac:dyDescent="0.4">
      <c r="A587" s="7">
        <v>586</v>
      </c>
      <c r="B587" s="8" t="s">
        <v>2763</v>
      </c>
      <c r="C587" s="6" t="str">
        <f>IFERROR(IF(LEFT(D587,FIND(" ",D587)-1)="전라북도","전북특별자치도",LEFT(D587,FIND(" ",D587)-1)),"")</f>
        <v>경상북도</v>
      </c>
      <c r="D587" s="3" t="s">
        <v>2764</v>
      </c>
      <c r="E587" s="3" t="s">
        <v>1229</v>
      </c>
      <c r="F587" s="3" t="s">
        <v>2325</v>
      </c>
      <c r="G587" s="3" t="s">
        <v>19</v>
      </c>
      <c r="H587" s="3" t="s">
        <v>2765</v>
      </c>
      <c r="I587" s="3" t="s">
        <v>19</v>
      </c>
      <c r="J587" s="3" t="s">
        <v>19</v>
      </c>
      <c r="K587" s="3" t="s">
        <v>21</v>
      </c>
      <c r="L587" s="3" t="s">
        <v>147</v>
      </c>
      <c r="M587" s="4">
        <v>1256</v>
      </c>
      <c r="N587" s="3" t="s">
        <v>84</v>
      </c>
      <c r="O587" s="3" t="s">
        <v>24</v>
      </c>
      <c r="P587" s="3" t="s">
        <v>19</v>
      </c>
    </row>
    <row r="588" spans="1:16" hidden="1" x14ac:dyDescent="0.4">
      <c r="A588" s="7">
        <v>587</v>
      </c>
      <c r="B588" s="8" t="s">
        <v>2766</v>
      </c>
      <c r="C588" s="6" t="str">
        <f>IFERROR(IF(LEFT(D588,FIND(" ",D588)-1)="전라북도","전북특별자치도",LEFT(D588,FIND(" ",D588)-1)),"")</f>
        <v>경기도</v>
      </c>
      <c r="D588" s="3" t="s">
        <v>2767</v>
      </c>
      <c r="E588" s="3" t="s">
        <v>2768</v>
      </c>
      <c r="F588" s="3" t="s">
        <v>2325</v>
      </c>
      <c r="G588" s="3" t="s">
        <v>2769</v>
      </c>
      <c r="H588" s="3" t="s">
        <v>953</v>
      </c>
      <c r="I588" s="3" t="s">
        <v>953</v>
      </c>
      <c r="J588" s="3" t="s">
        <v>19</v>
      </c>
      <c r="K588" s="3" t="s">
        <v>21</v>
      </c>
      <c r="L588" s="3" t="s">
        <v>22</v>
      </c>
      <c r="M588" s="4">
        <v>1258</v>
      </c>
      <c r="N588" s="3" t="s">
        <v>1498</v>
      </c>
      <c r="O588" s="3" t="s">
        <v>281</v>
      </c>
      <c r="P588" s="3" t="s">
        <v>1874</v>
      </c>
    </row>
    <row r="589" spans="1:16" hidden="1" x14ac:dyDescent="0.4">
      <c r="A589" s="7">
        <v>588</v>
      </c>
      <c r="B589" s="8" t="s">
        <v>2770</v>
      </c>
      <c r="C589" s="6" t="str">
        <f>IFERROR(IF(LEFT(D589,FIND(" ",D589)-1)="전라북도","전북특별자치도",LEFT(D589,FIND(" ",D589)-1)),"")</f>
        <v>경상북도</v>
      </c>
      <c r="D589" s="3" t="s">
        <v>2771</v>
      </c>
      <c r="E589" s="3" t="s">
        <v>506</v>
      </c>
      <c r="F589" s="3" t="s">
        <v>2772</v>
      </c>
      <c r="G589" s="3" t="s">
        <v>19</v>
      </c>
      <c r="H589" s="3" t="s">
        <v>2773</v>
      </c>
      <c r="I589" s="3" t="s">
        <v>19</v>
      </c>
      <c r="J589" s="3" t="s">
        <v>19</v>
      </c>
      <c r="K589" s="3" t="s">
        <v>21</v>
      </c>
      <c r="L589" s="3" t="s">
        <v>147</v>
      </c>
      <c r="M589" s="4">
        <v>519</v>
      </c>
      <c r="N589" s="3" t="s">
        <v>84</v>
      </c>
      <c r="O589" s="3" t="s">
        <v>281</v>
      </c>
      <c r="P589" s="3" t="s">
        <v>522</v>
      </c>
    </row>
    <row r="590" spans="1:16" hidden="1" x14ac:dyDescent="0.4">
      <c r="A590" s="7">
        <v>589</v>
      </c>
      <c r="B590" s="8" t="s">
        <v>2774</v>
      </c>
      <c r="C590" s="6" t="str">
        <f>IFERROR(IF(LEFT(D590,FIND(" ",D590)-1)="전라북도","전북특별자치도",LEFT(D590,FIND(" ",D590)-1)),"")</f>
        <v>충청남도</v>
      </c>
      <c r="D590" s="3" t="s">
        <v>2775</v>
      </c>
      <c r="E590" s="3" t="s">
        <v>647</v>
      </c>
      <c r="F590" s="3" t="s">
        <v>641</v>
      </c>
      <c r="G590" s="3" t="s">
        <v>2776</v>
      </c>
      <c r="H590" s="3" t="s">
        <v>2179</v>
      </c>
      <c r="I590" s="3" t="s">
        <v>2179</v>
      </c>
      <c r="J590" s="3" t="s">
        <v>2776</v>
      </c>
      <c r="K590" s="3" t="s">
        <v>21</v>
      </c>
      <c r="L590" s="3" t="s">
        <v>147</v>
      </c>
      <c r="M590" s="4">
        <v>1083</v>
      </c>
      <c r="N590" s="3" t="s">
        <v>2155</v>
      </c>
      <c r="O590" s="3" t="s">
        <v>281</v>
      </c>
      <c r="P590" s="3" t="s">
        <v>1825</v>
      </c>
    </row>
    <row r="591" spans="1:16" hidden="1" x14ac:dyDescent="0.4">
      <c r="A591" s="7">
        <v>590</v>
      </c>
      <c r="B591" s="8" t="s">
        <v>2777</v>
      </c>
      <c r="C591" s="6" t="str">
        <f>IFERROR(IF(LEFT(D591,FIND(" ",D591)-1)="전라북도","전북특별자치도",LEFT(D591,FIND(" ",D591)-1)),"")</f>
        <v>경상북도</v>
      </c>
      <c r="D591" s="3" t="s">
        <v>2778</v>
      </c>
      <c r="E591" s="3" t="s">
        <v>2536</v>
      </c>
      <c r="F591" s="3" t="s">
        <v>647</v>
      </c>
      <c r="G591" s="3" t="s">
        <v>2780</v>
      </c>
      <c r="H591" s="3" t="s">
        <v>2781</v>
      </c>
      <c r="I591" s="3" t="s">
        <v>1522</v>
      </c>
      <c r="J591" s="3" t="s">
        <v>19</v>
      </c>
      <c r="K591" s="3" t="s">
        <v>21</v>
      </c>
      <c r="L591" s="3" t="s">
        <v>22</v>
      </c>
      <c r="M591" s="4">
        <v>618</v>
      </c>
      <c r="N591" s="3" t="s">
        <v>1498</v>
      </c>
      <c r="O591" s="3" t="s">
        <v>281</v>
      </c>
      <c r="P591" s="3" t="s">
        <v>2779</v>
      </c>
    </row>
    <row r="592" spans="1:16" hidden="1" x14ac:dyDescent="0.4">
      <c r="A592" s="7">
        <v>591</v>
      </c>
      <c r="B592" s="8" t="s">
        <v>2782</v>
      </c>
      <c r="C592" s="6" t="str">
        <f>IFERROR(IF(LEFT(D592,FIND(" ",D592)-1)="전라북도","전북특별자치도",LEFT(D592,FIND(" ",D592)-1)),"")</f>
        <v>경기도</v>
      </c>
      <c r="D592" s="3" t="s">
        <v>2767</v>
      </c>
      <c r="E592" s="3" t="s">
        <v>2783</v>
      </c>
      <c r="F592" s="3" t="s">
        <v>647</v>
      </c>
      <c r="G592" s="3" t="s">
        <v>2769</v>
      </c>
      <c r="H592" s="3" t="s">
        <v>953</v>
      </c>
      <c r="I592" s="3" t="s">
        <v>19</v>
      </c>
      <c r="J592" s="3" t="s">
        <v>19</v>
      </c>
      <c r="K592" s="3" t="s">
        <v>21</v>
      </c>
      <c r="L592" s="3" t="s">
        <v>22</v>
      </c>
      <c r="M592" s="4">
        <v>629</v>
      </c>
      <c r="N592" s="3" t="s">
        <v>123</v>
      </c>
      <c r="O592" s="3" t="s">
        <v>281</v>
      </c>
      <c r="P592" s="3" t="s">
        <v>338</v>
      </c>
    </row>
    <row r="593" spans="1:16" hidden="1" x14ac:dyDescent="0.4">
      <c r="A593" s="7">
        <v>592</v>
      </c>
      <c r="B593" s="8" t="s">
        <v>2784</v>
      </c>
      <c r="C593" s="6" t="str">
        <f>IFERROR(IF(LEFT(D593,FIND(" ",D593)-1)="전라북도","전북특별자치도",LEFT(D593,FIND(" ",D593)-1)),"")</f>
        <v>경기도</v>
      </c>
      <c r="D593" s="3" t="s">
        <v>2785</v>
      </c>
      <c r="E593" s="3" t="s">
        <v>2783</v>
      </c>
      <c r="F593" s="3" t="s">
        <v>647</v>
      </c>
      <c r="G593" s="3" t="s">
        <v>2769</v>
      </c>
      <c r="H593" s="3" t="s">
        <v>953</v>
      </c>
      <c r="I593" s="3" t="s">
        <v>19</v>
      </c>
      <c r="J593" s="3" t="s">
        <v>19</v>
      </c>
      <c r="K593" s="3" t="s">
        <v>21</v>
      </c>
      <c r="L593" s="3" t="s">
        <v>22</v>
      </c>
      <c r="M593" s="4">
        <v>464</v>
      </c>
      <c r="N593" s="3" t="s">
        <v>123</v>
      </c>
      <c r="O593" s="3" t="s">
        <v>281</v>
      </c>
      <c r="P593" s="3" t="s">
        <v>2085</v>
      </c>
    </row>
    <row r="594" spans="1:16" hidden="1" x14ac:dyDescent="0.4">
      <c r="A594" s="7">
        <v>593</v>
      </c>
      <c r="B594" s="8" t="s">
        <v>2786</v>
      </c>
      <c r="C594" s="6" t="str">
        <f>IFERROR(IF(LEFT(D594,FIND(" ",D594)-1)="전라북도","전북특별자치도",LEFT(D594,FIND(" ",D594)-1)),"")</f>
        <v>경기도</v>
      </c>
      <c r="D594" s="3" t="s">
        <v>2767</v>
      </c>
      <c r="E594" s="3" t="s">
        <v>2783</v>
      </c>
      <c r="F594" s="3" t="s">
        <v>647</v>
      </c>
      <c r="G594" s="3" t="s">
        <v>2769</v>
      </c>
      <c r="H594" s="3" t="s">
        <v>953</v>
      </c>
      <c r="I594" s="3" t="s">
        <v>953</v>
      </c>
      <c r="J594" s="3" t="s">
        <v>19</v>
      </c>
      <c r="K594" s="3" t="s">
        <v>21</v>
      </c>
      <c r="L594" s="3" t="s">
        <v>22</v>
      </c>
      <c r="M594" s="4">
        <v>892</v>
      </c>
      <c r="N594" s="3" t="s">
        <v>2174</v>
      </c>
      <c r="O594" s="3" t="s">
        <v>281</v>
      </c>
      <c r="P594" s="3" t="s">
        <v>338</v>
      </c>
    </row>
    <row r="595" spans="1:16" hidden="1" x14ac:dyDescent="0.4">
      <c r="A595" s="7">
        <v>594</v>
      </c>
      <c r="B595" s="8" t="s">
        <v>2787</v>
      </c>
      <c r="C595" s="6" t="str">
        <f>IFERROR(IF(LEFT(D595,FIND(" ",D595)-1)="전라북도","전북특별자치도",LEFT(D595,FIND(" ",D595)-1)),"")</f>
        <v>경상남도</v>
      </c>
      <c r="D595" s="3" t="s">
        <v>2788</v>
      </c>
      <c r="E595" s="3" t="s">
        <v>2789</v>
      </c>
      <c r="F595" s="3" t="s">
        <v>2222</v>
      </c>
      <c r="G595" s="3" t="s">
        <v>2791</v>
      </c>
      <c r="H595" s="3" t="s">
        <v>2792</v>
      </c>
      <c r="I595" s="3" t="s">
        <v>2793</v>
      </c>
      <c r="J595" s="3" t="s">
        <v>19</v>
      </c>
      <c r="K595" s="3" t="s">
        <v>21</v>
      </c>
      <c r="L595" s="3" t="s">
        <v>228</v>
      </c>
      <c r="M595" s="4">
        <v>1656</v>
      </c>
      <c r="N595" s="3" t="s">
        <v>1498</v>
      </c>
      <c r="O595" s="3" t="s">
        <v>281</v>
      </c>
      <c r="P595" s="3" t="s">
        <v>2790</v>
      </c>
    </row>
    <row r="596" spans="1:16" hidden="1" x14ac:dyDescent="0.4">
      <c r="A596" s="7">
        <v>595</v>
      </c>
      <c r="B596" s="8" t="s">
        <v>2794</v>
      </c>
      <c r="C596" s="6" t="str">
        <f>IFERROR(IF(LEFT(D596,FIND(" ",D596)-1)="전라북도","전북특별자치도",LEFT(D596,FIND(" ",D596)-1)),"")</f>
        <v>강원특별자치도</v>
      </c>
      <c r="D596" s="3" t="s">
        <v>2795</v>
      </c>
      <c r="E596" s="3" t="s">
        <v>2796</v>
      </c>
      <c r="F596" s="3" t="s">
        <v>1905</v>
      </c>
      <c r="G596" s="3" t="s">
        <v>2797</v>
      </c>
      <c r="H596" s="3" t="s">
        <v>921</v>
      </c>
      <c r="I596" s="3" t="s">
        <v>2798</v>
      </c>
      <c r="J596" s="3" t="s">
        <v>19</v>
      </c>
      <c r="K596" s="3" t="s">
        <v>21</v>
      </c>
      <c r="L596" s="3" t="s">
        <v>22</v>
      </c>
      <c r="M596" s="4">
        <v>486</v>
      </c>
      <c r="N596" s="3" t="s">
        <v>1498</v>
      </c>
      <c r="O596" s="3" t="s">
        <v>281</v>
      </c>
      <c r="P596" s="3" t="s">
        <v>936</v>
      </c>
    </row>
    <row r="597" spans="1:16" hidden="1" x14ac:dyDescent="0.4">
      <c r="A597" s="7">
        <v>596</v>
      </c>
      <c r="B597" s="8" t="s">
        <v>2799</v>
      </c>
      <c r="C597" s="6" t="str">
        <f>IFERROR(IF(LEFT(D597,FIND(" ",D597)-1)="전라북도","전북특별자치도",LEFT(D597,FIND(" ",D597)-1)),"")</f>
        <v>전라남도</v>
      </c>
      <c r="D597" s="3" t="s">
        <v>2800</v>
      </c>
      <c r="E597" s="3" t="s">
        <v>2801</v>
      </c>
      <c r="F597" s="3" t="s">
        <v>1905</v>
      </c>
      <c r="G597" s="3" t="s">
        <v>2802</v>
      </c>
      <c r="H597" s="3" t="s">
        <v>19</v>
      </c>
      <c r="I597" s="3" t="s">
        <v>19</v>
      </c>
      <c r="J597" s="3" t="s">
        <v>19</v>
      </c>
      <c r="K597" s="3" t="s">
        <v>21</v>
      </c>
      <c r="L597" s="3" t="s">
        <v>22</v>
      </c>
      <c r="M597" s="4">
        <v>240</v>
      </c>
      <c r="N597" s="3" t="s">
        <v>1498</v>
      </c>
      <c r="O597" s="3" t="s">
        <v>281</v>
      </c>
      <c r="P597" s="3" t="s">
        <v>1381</v>
      </c>
    </row>
    <row r="598" spans="1:16" hidden="1" x14ac:dyDescent="0.4">
      <c r="A598" s="7">
        <v>597</v>
      </c>
      <c r="B598" s="8" t="s">
        <v>2803</v>
      </c>
      <c r="C598" s="6" t="str">
        <f>IFERROR(IF(LEFT(D598,FIND(" ",D598)-1)="전라북도","전북특별자치도",LEFT(D598,FIND(" ",D598)-1)),"")</f>
        <v>강원특별자치도</v>
      </c>
      <c r="D598" s="3" t="s">
        <v>2804</v>
      </c>
      <c r="E598" s="3" t="s">
        <v>2796</v>
      </c>
      <c r="F598" s="3" t="s">
        <v>1905</v>
      </c>
      <c r="G598" s="3" t="s">
        <v>2797</v>
      </c>
      <c r="H598" s="3" t="s">
        <v>921</v>
      </c>
      <c r="I598" s="3" t="s">
        <v>2798</v>
      </c>
      <c r="J598" s="3" t="s">
        <v>19</v>
      </c>
      <c r="K598" s="3" t="s">
        <v>21</v>
      </c>
      <c r="L598" s="3" t="s">
        <v>22</v>
      </c>
      <c r="M598" s="4">
        <v>486</v>
      </c>
      <c r="N598" s="3" t="s">
        <v>1498</v>
      </c>
      <c r="O598" s="3" t="s">
        <v>281</v>
      </c>
      <c r="P598" s="3" t="s">
        <v>936</v>
      </c>
    </row>
    <row r="599" spans="1:16" hidden="1" x14ac:dyDescent="0.4">
      <c r="A599" s="7">
        <v>598</v>
      </c>
      <c r="B599" s="8" t="s">
        <v>2803</v>
      </c>
      <c r="C599" s="6" t="str">
        <f>IFERROR(IF(LEFT(D599,FIND(" ",D599)-1)="전라북도","전북특별자치도",LEFT(D599,FIND(" ",D599)-1)),"")</f>
        <v>강원특별자치도</v>
      </c>
      <c r="D599" s="3" t="s">
        <v>2804</v>
      </c>
      <c r="E599" s="3" t="s">
        <v>2796</v>
      </c>
      <c r="F599" s="3" t="s">
        <v>1905</v>
      </c>
      <c r="G599" s="3" t="s">
        <v>2797</v>
      </c>
      <c r="H599" s="3" t="s">
        <v>921</v>
      </c>
      <c r="I599" s="3" t="s">
        <v>19</v>
      </c>
      <c r="J599" s="3" t="s">
        <v>19</v>
      </c>
      <c r="K599" s="3" t="s">
        <v>21</v>
      </c>
      <c r="L599" s="3" t="s">
        <v>22</v>
      </c>
      <c r="M599" s="4">
        <v>486</v>
      </c>
      <c r="N599" s="3" t="s">
        <v>1498</v>
      </c>
      <c r="O599" s="3" t="s">
        <v>281</v>
      </c>
      <c r="P599" s="3" t="s">
        <v>936</v>
      </c>
    </row>
    <row r="600" spans="1:16" hidden="1" x14ac:dyDescent="0.4">
      <c r="A600" s="7">
        <v>599</v>
      </c>
      <c r="B600" s="8" t="s">
        <v>2805</v>
      </c>
      <c r="C600" s="6" t="str">
        <f>IFERROR(IF(LEFT(D600,FIND(" ",D600)-1)="전라북도","전북특별자치도",LEFT(D600,FIND(" ",D600)-1)),"")</f>
        <v>제주특별자치도</v>
      </c>
      <c r="D600" s="3" t="s">
        <v>2806</v>
      </c>
      <c r="E600" s="3" t="s">
        <v>1337</v>
      </c>
      <c r="F600" s="3" t="s">
        <v>2807</v>
      </c>
      <c r="G600" s="3" t="s">
        <v>2809</v>
      </c>
      <c r="H600" s="3" t="s">
        <v>2810</v>
      </c>
      <c r="I600" s="3" t="s">
        <v>19</v>
      </c>
      <c r="J600" s="3" t="s">
        <v>19</v>
      </c>
      <c r="K600" s="3" t="s">
        <v>21</v>
      </c>
      <c r="L600" s="3" t="s">
        <v>22</v>
      </c>
      <c r="M600" s="4">
        <v>156</v>
      </c>
      <c r="N600" s="3" t="s">
        <v>1498</v>
      </c>
      <c r="O600" s="3" t="s">
        <v>281</v>
      </c>
      <c r="P600" s="3" t="s">
        <v>2808</v>
      </c>
    </row>
    <row r="601" spans="1:16" hidden="1" x14ac:dyDescent="0.4">
      <c r="A601" s="7">
        <v>600</v>
      </c>
      <c r="B601" s="8" t="s">
        <v>2811</v>
      </c>
      <c r="C601" s="6" t="str">
        <f>IFERROR(IF(LEFT(D601,FIND(" ",D601)-1)="전라북도","전북특별자치도",LEFT(D601,FIND(" ",D601)-1)),"")</f>
        <v>경상북도</v>
      </c>
      <c r="D601" s="3" t="s">
        <v>2812</v>
      </c>
      <c r="E601" s="3" t="s">
        <v>2813</v>
      </c>
      <c r="F601" s="3" t="s">
        <v>1983</v>
      </c>
      <c r="G601" s="3" t="s">
        <v>19</v>
      </c>
      <c r="H601" s="3" t="s">
        <v>2814</v>
      </c>
      <c r="I601" s="3" t="s">
        <v>19</v>
      </c>
      <c r="J601" s="3" t="s">
        <v>19</v>
      </c>
      <c r="K601" s="3" t="s">
        <v>21</v>
      </c>
      <c r="L601" s="3" t="s">
        <v>147</v>
      </c>
      <c r="M601" s="4">
        <v>1042</v>
      </c>
      <c r="N601" s="3" t="s">
        <v>1498</v>
      </c>
      <c r="O601" s="3" t="s">
        <v>281</v>
      </c>
      <c r="P601" s="3" t="s">
        <v>289</v>
      </c>
    </row>
    <row r="602" spans="1:16" hidden="1" x14ac:dyDescent="0.4">
      <c r="A602" s="7">
        <v>601</v>
      </c>
      <c r="B602" s="8" t="s">
        <v>2815</v>
      </c>
      <c r="C602" s="6" t="str">
        <f>IFERROR(IF(LEFT(D602,FIND(" ",D602)-1)="전라북도","전북특별자치도",LEFT(D602,FIND(" ",D602)-1)),"")</f>
        <v>부산광역시</v>
      </c>
      <c r="D602" s="3" t="s">
        <v>2816</v>
      </c>
      <c r="E602" s="3" t="s">
        <v>2027</v>
      </c>
      <c r="F602" s="3" t="s">
        <v>1983</v>
      </c>
      <c r="G602" s="3" t="s">
        <v>2290</v>
      </c>
      <c r="H602" s="3" t="s">
        <v>2291</v>
      </c>
      <c r="I602" s="3" t="s">
        <v>2291</v>
      </c>
      <c r="J602" s="3" t="s">
        <v>2818</v>
      </c>
      <c r="K602" s="3" t="s">
        <v>21</v>
      </c>
      <c r="L602" s="3" t="s">
        <v>228</v>
      </c>
      <c r="M602" s="4">
        <v>1997</v>
      </c>
      <c r="N602" s="3" t="s">
        <v>1498</v>
      </c>
      <c r="O602" s="3" t="s">
        <v>281</v>
      </c>
      <c r="P602" s="3" t="s">
        <v>2817</v>
      </c>
    </row>
    <row r="603" spans="1:16" hidden="1" x14ac:dyDescent="0.4">
      <c r="A603" s="7">
        <v>602</v>
      </c>
      <c r="B603" s="8" t="s">
        <v>2819</v>
      </c>
      <c r="C603" s="6" t="str">
        <f>IFERROR(IF(LEFT(D603,FIND(" ",D603)-1)="전라북도","전북특별자치도",LEFT(D603,FIND(" ",D603)-1)),"")</f>
        <v>충청남도</v>
      </c>
      <c r="D603" s="3" t="s">
        <v>2820</v>
      </c>
      <c r="E603" s="3" t="s">
        <v>2789</v>
      </c>
      <c r="F603" s="3" t="s">
        <v>343</v>
      </c>
      <c r="G603" s="3" t="s">
        <v>19</v>
      </c>
      <c r="H603" s="3" t="s">
        <v>1090</v>
      </c>
      <c r="I603" s="3" t="s">
        <v>19</v>
      </c>
      <c r="J603" s="3" t="s">
        <v>19</v>
      </c>
      <c r="K603" s="3" t="s">
        <v>21</v>
      </c>
      <c r="L603" s="3" t="s">
        <v>358</v>
      </c>
      <c r="M603" s="4">
        <v>358</v>
      </c>
      <c r="N603" s="3" t="s">
        <v>1498</v>
      </c>
      <c r="O603" s="3" t="s">
        <v>281</v>
      </c>
      <c r="P603" s="3" t="s">
        <v>2772</v>
      </c>
    </row>
    <row r="604" spans="1:16" hidden="1" x14ac:dyDescent="0.4">
      <c r="A604" s="7">
        <v>603</v>
      </c>
      <c r="B604" s="8" t="s">
        <v>2821</v>
      </c>
      <c r="C604" s="6" t="str">
        <f>IFERROR(IF(LEFT(D604,FIND(" ",D604)-1)="전라북도","전북특별자치도",LEFT(D604,FIND(" ",D604)-1)),"")</f>
        <v>충청북도</v>
      </c>
      <c r="D604" s="3" t="s">
        <v>2822</v>
      </c>
      <c r="E604" s="3" t="s">
        <v>2823</v>
      </c>
      <c r="F604" s="3" t="s">
        <v>2374</v>
      </c>
      <c r="G604" s="3" t="s">
        <v>19</v>
      </c>
      <c r="H604" s="3" t="s">
        <v>2207</v>
      </c>
      <c r="I604" s="3" t="s">
        <v>19</v>
      </c>
      <c r="J604" s="3" t="s">
        <v>19</v>
      </c>
      <c r="K604" s="3" t="s">
        <v>21</v>
      </c>
      <c r="L604" s="3" t="s">
        <v>147</v>
      </c>
      <c r="M604" s="4">
        <v>2521</v>
      </c>
      <c r="N604" s="3" t="s">
        <v>2155</v>
      </c>
      <c r="O604" s="3" t="s">
        <v>281</v>
      </c>
      <c r="P604" s="3" t="s">
        <v>2114</v>
      </c>
    </row>
    <row r="605" spans="1:16" hidden="1" x14ac:dyDescent="0.4">
      <c r="A605" s="7">
        <v>604</v>
      </c>
      <c r="B605" s="8" t="s">
        <v>2824</v>
      </c>
      <c r="C605" s="6" t="str">
        <f>IFERROR(IF(LEFT(D605,FIND(" ",D605)-1)="전라북도","전북특별자치도",LEFT(D605,FIND(" ",D605)-1)),"")</f>
        <v>경기도</v>
      </c>
      <c r="D605" s="3" t="s">
        <v>1869</v>
      </c>
      <c r="E605" s="3" t="s">
        <v>2732</v>
      </c>
      <c r="F605" s="3" t="s">
        <v>2374</v>
      </c>
      <c r="G605" s="3" t="s">
        <v>2826</v>
      </c>
      <c r="H605" s="3" t="s">
        <v>302</v>
      </c>
      <c r="I605" s="3" t="s">
        <v>19</v>
      </c>
      <c r="J605" s="3" t="s">
        <v>19</v>
      </c>
      <c r="K605" s="3" t="s">
        <v>21</v>
      </c>
      <c r="L605" s="3" t="s">
        <v>22</v>
      </c>
      <c r="M605" s="4">
        <v>1491</v>
      </c>
      <c r="N605" s="3" t="s">
        <v>84</v>
      </c>
      <c r="O605" s="3" t="s">
        <v>281</v>
      </c>
      <c r="P605" s="3" t="s">
        <v>2825</v>
      </c>
    </row>
    <row r="606" spans="1:16" hidden="1" x14ac:dyDescent="0.4">
      <c r="A606" s="7">
        <v>605</v>
      </c>
      <c r="B606" s="8" t="s">
        <v>2827</v>
      </c>
      <c r="C606" s="6" t="str">
        <f>IFERROR(IF(LEFT(D606,FIND(" ",D606)-1)="전라북도","전북특별자치도",LEFT(D606,FIND(" ",D606)-1)),"")</f>
        <v>경기도</v>
      </c>
      <c r="D606" s="3" t="s">
        <v>2828</v>
      </c>
      <c r="E606" s="3" t="s">
        <v>2829</v>
      </c>
      <c r="F606" s="3" t="s">
        <v>2374</v>
      </c>
      <c r="G606" s="3" t="s">
        <v>2830</v>
      </c>
      <c r="H606" s="3" t="s">
        <v>2831</v>
      </c>
      <c r="I606" s="3" t="s">
        <v>19</v>
      </c>
      <c r="J606" s="3" t="s">
        <v>19</v>
      </c>
      <c r="K606" s="3" t="s">
        <v>21</v>
      </c>
      <c r="L606" s="3" t="s">
        <v>22</v>
      </c>
      <c r="M606" s="4">
        <v>573</v>
      </c>
      <c r="N606" s="3" t="s">
        <v>2155</v>
      </c>
      <c r="O606" s="3" t="s">
        <v>281</v>
      </c>
      <c r="P606" s="3" t="s">
        <v>893</v>
      </c>
    </row>
    <row r="607" spans="1:16" hidden="1" x14ac:dyDescent="0.4">
      <c r="A607" s="7">
        <v>606</v>
      </c>
      <c r="B607" s="8" t="s">
        <v>2832</v>
      </c>
      <c r="C607" s="6" t="str">
        <f>IFERROR(IF(LEFT(D607,FIND(" ",D607)-1)="전라북도","전북특별자치도",LEFT(D607,FIND(" ",D607)-1)),"")</f>
        <v>경상북도</v>
      </c>
      <c r="D607" s="3" t="s">
        <v>2833</v>
      </c>
      <c r="E607" s="3" t="s">
        <v>2823</v>
      </c>
      <c r="F607" s="3" t="s">
        <v>2834</v>
      </c>
      <c r="G607" s="3" t="s">
        <v>2835</v>
      </c>
      <c r="H607" s="3" t="s">
        <v>2836</v>
      </c>
      <c r="I607" s="3" t="s">
        <v>2836</v>
      </c>
      <c r="J607" s="3" t="s">
        <v>2835</v>
      </c>
      <c r="K607" s="3" t="s">
        <v>21</v>
      </c>
      <c r="L607" s="3" t="s">
        <v>228</v>
      </c>
      <c r="M607" s="4">
        <v>807</v>
      </c>
      <c r="N607" s="3" t="s">
        <v>1498</v>
      </c>
      <c r="O607" s="3" t="s">
        <v>281</v>
      </c>
      <c r="P607" s="3" t="s">
        <v>1148</v>
      </c>
    </row>
    <row r="608" spans="1:16" hidden="1" x14ac:dyDescent="0.4">
      <c r="A608" s="7">
        <v>607</v>
      </c>
      <c r="B608" s="8" t="s">
        <v>2837</v>
      </c>
      <c r="C608" s="6" t="str">
        <f>IFERROR(IF(LEFT(D608,FIND(" ",D608)-1)="전라북도","전북특별자치도",LEFT(D608,FIND(" ",D608)-1)),"")</f>
        <v>충청남도</v>
      </c>
      <c r="D608" s="3" t="s">
        <v>2838</v>
      </c>
      <c r="E608" s="3" t="s">
        <v>779</v>
      </c>
      <c r="F608" s="3" t="s">
        <v>2789</v>
      </c>
      <c r="G608" s="3" t="s">
        <v>2840</v>
      </c>
      <c r="H608" s="3" t="s">
        <v>2179</v>
      </c>
      <c r="I608" s="3" t="s">
        <v>19</v>
      </c>
      <c r="J608" s="3" t="s">
        <v>19</v>
      </c>
      <c r="K608" s="3" t="s">
        <v>21</v>
      </c>
      <c r="L608" s="3" t="s">
        <v>22</v>
      </c>
      <c r="M608" s="4">
        <v>550</v>
      </c>
      <c r="N608" s="3" t="s">
        <v>1498</v>
      </c>
      <c r="O608" s="3" t="s">
        <v>281</v>
      </c>
      <c r="P608" s="3" t="s">
        <v>2839</v>
      </c>
    </row>
    <row r="609" spans="1:16" x14ac:dyDescent="0.4">
      <c r="A609" s="7">
        <v>608</v>
      </c>
      <c r="B609" s="8" t="s">
        <v>2841</v>
      </c>
      <c r="C609" s="6" t="str">
        <f>IFERROR(IF(LEFT(D609,FIND(" ",D609)-1)="전라북도","전북특별자치도",LEFT(D609,FIND(" ",D609)-1)),"")</f>
        <v>경상남도</v>
      </c>
      <c r="D609" s="3" t="s">
        <v>2842</v>
      </c>
      <c r="E609" s="3" t="s">
        <v>779</v>
      </c>
      <c r="F609" s="3" t="s">
        <v>2789</v>
      </c>
      <c r="G609" s="3" t="s">
        <v>2843</v>
      </c>
      <c r="H609" s="3" t="s">
        <v>2844</v>
      </c>
      <c r="I609" s="3" t="s">
        <v>19</v>
      </c>
      <c r="J609" s="3" t="s">
        <v>19</v>
      </c>
      <c r="K609" s="3" t="s">
        <v>21</v>
      </c>
      <c r="L609" s="3" t="s">
        <v>22</v>
      </c>
      <c r="M609" s="4">
        <v>552</v>
      </c>
      <c r="N609" s="3" t="s">
        <v>1498</v>
      </c>
      <c r="O609" s="3" t="s">
        <v>24</v>
      </c>
      <c r="P609" s="3" t="s">
        <v>19</v>
      </c>
    </row>
    <row r="610" spans="1:16" hidden="1" x14ac:dyDescent="0.4">
      <c r="A610" s="7">
        <v>609</v>
      </c>
      <c r="B610" s="8" t="s">
        <v>2845</v>
      </c>
      <c r="C610" s="6" t="str">
        <f>IFERROR(IF(LEFT(D610,FIND(" ",D610)-1)="전라북도","전북특별자치도",LEFT(D610,FIND(" ",D610)-1)),"")</f>
        <v>부산광역시</v>
      </c>
      <c r="D610" s="3" t="s">
        <v>2846</v>
      </c>
      <c r="E610" s="3" t="s">
        <v>1587</v>
      </c>
      <c r="F610" s="3" t="s">
        <v>2847</v>
      </c>
      <c r="G610" s="3" t="s">
        <v>2848</v>
      </c>
      <c r="H610" s="3" t="s">
        <v>2849</v>
      </c>
      <c r="I610" s="3" t="s">
        <v>2849</v>
      </c>
      <c r="J610" s="3" t="s">
        <v>19</v>
      </c>
      <c r="K610" s="3" t="s">
        <v>21</v>
      </c>
      <c r="L610" s="3" t="s">
        <v>228</v>
      </c>
      <c r="M610" s="4">
        <v>1886</v>
      </c>
      <c r="N610" s="3" t="s">
        <v>1498</v>
      </c>
      <c r="O610" s="3" t="s">
        <v>281</v>
      </c>
      <c r="P610" s="3" t="s">
        <v>641</v>
      </c>
    </row>
    <row r="611" spans="1:16" hidden="1" x14ac:dyDescent="0.4">
      <c r="A611" s="7">
        <v>610</v>
      </c>
      <c r="B611" s="8" t="s">
        <v>2850</v>
      </c>
      <c r="C611" s="6" t="str">
        <f>IFERROR(IF(LEFT(D611,FIND(" ",D611)-1)="전라북도","전북특별자치도",LEFT(D611,FIND(" ",D611)-1)),"")</f>
        <v>경기도</v>
      </c>
      <c r="D611" s="3" t="s">
        <v>2851</v>
      </c>
      <c r="E611" s="3" t="s">
        <v>2732</v>
      </c>
      <c r="F611" s="3" t="s">
        <v>2027</v>
      </c>
      <c r="G611" s="3" t="s">
        <v>19</v>
      </c>
      <c r="H611" s="3" t="s">
        <v>2852</v>
      </c>
      <c r="I611" s="3" t="s">
        <v>19</v>
      </c>
      <c r="J611" s="3" t="s">
        <v>19</v>
      </c>
      <c r="K611" s="3" t="s">
        <v>21</v>
      </c>
      <c r="L611" s="3" t="s">
        <v>147</v>
      </c>
      <c r="M611" s="4">
        <v>1276</v>
      </c>
      <c r="N611" s="3" t="s">
        <v>2424</v>
      </c>
      <c r="O611" s="3" t="s">
        <v>281</v>
      </c>
      <c r="P611" s="3" t="s">
        <v>614</v>
      </c>
    </row>
    <row r="612" spans="1:16" hidden="1" x14ac:dyDescent="0.4">
      <c r="A612" s="7">
        <v>611</v>
      </c>
      <c r="B612" s="8" t="s">
        <v>2853</v>
      </c>
      <c r="C612" s="6" t="str">
        <f>IFERROR(IF(LEFT(D612,FIND(" ",D612)-1)="전라북도","전북특별자치도",LEFT(D612,FIND(" ",D612)-1)),"")</f>
        <v>전라남도</v>
      </c>
      <c r="D612" s="3" t="s">
        <v>2854</v>
      </c>
      <c r="E612" s="3" t="s">
        <v>2855</v>
      </c>
      <c r="F612" s="3" t="s">
        <v>2856</v>
      </c>
      <c r="G612" s="3" t="s">
        <v>2857</v>
      </c>
      <c r="H612" s="3" t="s">
        <v>2858</v>
      </c>
      <c r="I612" s="3" t="s">
        <v>2858</v>
      </c>
      <c r="J612" s="3" t="s">
        <v>19</v>
      </c>
      <c r="K612" s="3" t="s">
        <v>21</v>
      </c>
      <c r="L612" s="3" t="s">
        <v>147</v>
      </c>
      <c r="M612" s="4">
        <v>1218</v>
      </c>
      <c r="N612" s="3" t="s">
        <v>84</v>
      </c>
      <c r="O612" s="3" t="s">
        <v>281</v>
      </c>
      <c r="P612" s="3" t="s">
        <v>1526</v>
      </c>
    </row>
    <row r="613" spans="1:16" hidden="1" x14ac:dyDescent="0.4">
      <c r="A613" s="7">
        <v>612</v>
      </c>
      <c r="B613" s="8" t="s">
        <v>2859</v>
      </c>
      <c r="C613" s="6" t="str">
        <f>IFERROR(IF(LEFT(D613,FIND(" ",D613)-1)="전라북도","전북특별자치도",LEFT(D613,FIND(" ",D613)-1)),"")</f>
        <v>전북특별자치도</v>
      </c>
      <c r="D613" s="3" t="s">
        <v>2860</v>
      </c>
      <c r="E613" s="3" t="s">
        <v>2796</v>
      </c>
      <c r="F613" s="3" t="s">
        <v>2754</v>
      </c>
      <c r="G613" s="3" t="s">
        <v>2861</v>
      </c>
      <c r="H613" s="3" t="s">
        <v>2021</v>
      </c>
      <c r="I613" s="3" t="s">
        <v>2021</v>
      </c>
      <c r="J613" s="3" t="s">
        <v>19</v>
      </c>
      <c r="K613" s="3" t="s">
        <v>21</v>
      </c>
      <c r="L613" s="3" t="s">
        <v>22</v>
      </c>
      <c r="M613" s="4">
        <v>2147</v>
      </c>
      <c r="N613" s="3" t="s">
        <v>1498</v>
      </c>
      <c r="O613" s="3" t="s">
        <v>281</v>
      </c>
      <c r="P613" s="3" t="s">
        <v>1843</v>
      </c>
    </row>
    <row r="614" spans="1:16" hidden="1" x14ac:dyDescent="0.4">
      <c r="A614" s="7">
        <v>613</v>
      </c>
      <c r="B614" s="8" t="s">
        <v>2862</v>
      </c>
      <c r="C614" s="6" t="str">
        <f>IFERROR(IF(LEFT(D614,FIND(" ",D614)-1)="전라북도","전북특별자치도",LEFT(D614,FIND(" ",D614)-1)),"")</f>
        <v>제주특별자치도</v>
      </c>
      <c r="D614" s="3" t="s">
        <v>2863</v>
      </c>
      <c r="E614" s="3" t="s">
        <v>1432</v>
      </c>
      <c r="F614" s="3" t="s">
        <v>2754</v>
      </c>
      <c r="G614" s="3" t="s">
        <v>2864</v>
      </c>
      <c r="H614" s="3" t="s">
        <v>2219</v>
      </c>
      <c r="I614" s="3" t="s">
        <v>2219</v>
      </c>
      <c r="J614" s="3" t="s">
        <v>19</v>
      </c>
      <c r="K614" s="3" t="s">
        <v>21</v>
      </c>
      <c r="L614" s="3" t="s">
        <v>22</v>
      </c>
      <c r="M614" s="4">
        <v>1322</v>
      </c>
      <c r="N614" s="3" t="s">
        <v>1498</v>
      </c>
      <c r="O614" s="3" t="s">
        <v>281</v>
      </c>
      <c r="P614" s="3" t="s">
        <v>322</v>
      </c>
    </row>
    <row r="615" spans="1:16" hidden="1" x14ac:dyDescent="0.4">
      <c r="A615" s="7">
        <v>614</v>
      </c>
      <c r="B615" s="8" t="s">
        <v>2865</v>
      </c>
      <c r="C615" s="6" t="str">
        <f>IFERROR(IF(LEFT(D615,FIND(" ",D615)-1)="전라북도","전북특별자치도",LEFT(D615,FIND(" ",D615)-1)),"")</f>
        <v>경기도</v>
      </c>
      <c r="D615" s="3" t="s">
        <v>2866</v>
      </c>
      <c r="E615" s="3" t="s">
        <v>2867</v>
      </c>
      <c r="F615" s="3" t="s">
        <v>679</v>
      </c>
      <c r="G615" s="3" t="s">
        <v>19</v>
      </c>
      <c r="H615" s="3" t="s">
        <v>2868</v>
      </c>
      <c r="I615" s="3" t="s">
        <v>2868</v>
      </c>
      <c r="J615" s="3" t="s">
        <v>19</v>
      </c>
      <c r="K615" s="3" t="s">
        <v>21</v>
      </c>
      <c r="L615" s="3" t="s">
        <v>228</v>
      </c>
      <c r="M615" s="4">
        <v>1309</v>
      </c>
      <c r="N615" s="3" t="s">
        <v>19</v>
      </c>
      <c r="O615" s="3" t="s">
        <v>281</v>
      </c>
      <c r="P615" s="3" t="s">
        <v>2170</v>
      </c>
    </row>
    <row r="616" spans="1:16" hidden="1" x14ac:dyDescent="0.4">
      <c r="A616" s="7">
        <v>615</v>
      </c>
      <c r="B616" s="8" t="s">
        <v>2869</v>
      </c>
      <c r="C616" s="6" t="str">
        <f>IFERROR(IF(LEFT(D616,FIND(" ",D616)-1)="전라북도","전북특별자치도",LEFT(D616,FIND(" ",D616)-1)),"")</f>
        <v>경기도</v>
      </c>
      <c r="D616" s="3" t="s">
        <v>2870</v>
      </c>
      <c r="E616" s="3" t="s">
        <v>2855</v>
      </c>
      <c r="F616" s="3" t="s">
        <v>679</v>
      </c>
      <c r="G616" s="3" t="s">
        <v>19</v>
      </c>
      <c r="H616" s="3" t="s">
        <v>2871</v>
      </c>
      <c r="I616" s="3" t="s">
        <v>19</v>
      </c>
      <c r="J616" s="3" t="s">
        <v>19</v>
      </c>
      <c r="K616" s="3" t="s">
        <v>21</v>
      </c>
      <c r="L616" s="3" t="s">
        <v>147</v>
      </c>
      <c r="M616" s="4">
        <v>396</v>
      </c>
      <c r="N616" s="3" t="s">
        <v>123</v>
      </c>
      <c r="O616" s="3" t="s">
        <v>281</v>
      </c>
      <c r="P616" s="3" t="s">
        <v>2823</v>
      </c>
    </row>
    <row r="617" spans="1:16" hidden="1" x14ac:dyDescent="0.4">
      <c r="A617" s="7">
        <v>616</v>
      </c>
      <c r="B617" s="8" t="s">
        <v>2872</v>
      </c>
      <c r="C617" s="6" t="str">
        <f>IFERROR(IF(LEFT(D617,FIND(" ",D617)-1)="전라북도","전북특별자치도",LEFT(D617,FIND(" ",D617)-1)),"")</f>
        <v>충청남도</v>
      </c>
      <c r="D617" s="3" t="s">
        <v>2873</v>
      </c>
      <c r="E617" s="3" t="s">
        <v>2874</v>
      </c>
      <c r="F617" s="3" t="s">
        <v>679</v>
      </c>
      <c r="G617" s="3" t="s">
        <v>2178</v>
      </c>
      <c r="H617" s="3" t="s">
        <v>1606</v>
      </c>
      <c r="I617" s="3" t="s">
        <v>19</v>
      </c>
      <c r="J617" s="3" t="s">
        <v>19</v>
      </c>
      <c r="K617" s="3" t="s">
        <v>21</v>
      </c>
      <c r="L617" s="3" t="s">
        <v>22</v>
      </c>
      <c r="M617" s="4">
        <v>270</v>
      </c>
      <c r="N617" s="3" t="s">
        <v>84</v>
      </c>
      <c r="O617" s="3" t="s">
        <v>281</v>
      </c>
      <c r="P617" s="3" t="s">
        <v>2514</v>
      </c>
    </row>
    <row r="618" spans="1:16" x14ac:dyDescent="0.4">
      <c r="A618" s="7">
        <v>617</v>
      </c>
      <c r="B618" s="8" t="s">
        <v>2875</v>
      </c>
      <c r="C618" s="6" t="str">
        <f>IFERROR(IF(LEFT(D618,FIND(" ",D618)-1)="전라북도","전북특별자치도",LEFT(D618,FIND(" ",D618)-1)),"")</f>
        <v>인천광역시</v>
      </c>
      <c r="D618" s="3" t="s">
        <v>2876</v>
      </c>
      <c r="E618" s="3" t="s">
        <v>2877</v>
      </c>
      <c r="F618" s="3" t="s">
        <v>679</v>
      </c>
      <c r="G618" s="3" t="s">
        <v>2878</v>
      </c>
      <c r="H618" s="3" t="s">
        <v>2879</v>
      </c>
      <c r="I618" s="3" t="s">
        <v>2880</v>
      </c>
      <c r="J618" s="3" t="s">
        <v>19</v>
      </c>
      <c r="K618" s="3" t="s">
        <v>21</v>
      </c>
      <c r="L618" s="3" t="s">
        <v>22</v>
      </c>
      <c r="M618" s="4">
        <v>204</v>
      </c>
      <c r="N618" s="3" t="s">
        <v>211</v>
      </c>
      <c r="O618" s="3" t="s">
        <v>24</v>
      </c>
      <c r="P618" s="3" t="s">
        <v>19</v>
      </c>
    </row>
    <row r="619" spans="1:16" x14ac:dyDescent="0.4">
      <c r="A619" s="7">
        <v>618</v>
      </c>
      <c r="B619" s="8" t="s">
        <v>2881</v>
      </c>
      <c r="C619" s="6" t="str">
        <f>IFERROR(IF(LEFT(D619,FIND(" ",D619)-1)="전라북도","전북특별자치도",LEFT(D619,FIND(" ",D619)-1)),"")</f>
        <v>인천광역시</v>
      </c>
      <c r="D619" s="3" t="s">
        <v>2882</v>
      </c>
      <c r="E619" s="3" t="s">
        <v>2877</v>
      </c>
      <c r="F619" s="3" t="s">
        <v>679</v>
      </c>
      <c r="G619" s="3" t="s">
        <v>2878</v>
      </c>
      <c r="H619" s="3" t="s">
        <v>2879</v>
      </c>
      <c r="I619" s="3" t="s">
        <v>2880</v>
      </c>
      <c r="J619" s="3" t="s">
        <v>19</v>
      </c>
      <c r="K619" s="3" t="s">
        <v>21</v>
      </c>
      <c r="L619" s="3" t="s">
        <v>22</v>
      </c>
      <c r="M619" s="4">
        <v>199</v>
      </c>
      <c r="N619" s="3" t="s">
        <v>211</v>
      </c>
      <c r="O619" s="3" t="s">
        <v>24</v>
      </c>
      <c r="P619" s="3" t="s">
        <v>19</v>
      </c>
    </row>
    <row r="620" spans="1:16" hidden="1" x14ac:dyDescent="0.4">
      <c r="A620" s="7">
        <v>619</v>
      </c>
      <c r="B620" s="8" t="s">
        <v>2883</v>
      </c>
      <c r="C620" s="6" t="str">
        <f>IFERROR(IF(LEFT(D620,FIND(" ",D620)-1)="전라북도","전북특별자치도",LEFT(D620,FIND(" ",D620)-1)),"")</f>
        <v>인천광역시</v>
      </c>
      <c r="D620" s="3" t="s">
        <v>2884</v>
      </c>
      <c r="E620" s="3" t="s">
        <v>2885</v>
      </c>
      <c r="F620" s="3" t="s">
        <v>2855</v>
      </c>
      <c r="G620" s="3" t="s">
        <v>2886</v>
      </c>
      <c r="H620" s="3" t="s">
        <v>2887</v>
      </c>
      <c r="I620" s="3" t="s">
        <v>2888</v>
      </c>
      <c r="J620" s="3" t="s">
        <v>19</v>
      </c>
      <c r="K620" s="3" t="s">
        <v>21</v>
      </c>
      <c r="L620" s="3" t="s">
        <v>22</v>
      </c>
      <c r="M620" s="4">
        <v>856</v>
      </c>
      <c r="N620" s="3" t="s">
        <v>1498</v>
      </c>
      <c r="O620" s="3" t="s">
        <v>281</v>
      </c>
      <c r="P620" s="3" t="s">
        <v>1384</v>
      </c>
    </row>
    <row r="621" spans="1:16" hidden="1" x14ac:dyDescent="0.4">
      <c r="A621" s="7">
        <v>620</v>
      </c>
      <c r="B621" s="8" t="s">
        <v>2889</v>
      </c>
      <c r="C621" s="6" t="str">
        <f>IFERROR(IF(LEFT(D621,FIND(" ",D621)-1)="전라북도","전북특별자치도",LEFT(D621,FIND(" ",D621)-1)),"")</f>
        <v>전라남도</v>
      </c>
      <c r="D621" s="3" t="s">
        <v>2890</v>
      </c>
      <c r="E621" s="3" t="s">
        <v>1587</v>
      </c>
      <c r="F621" s="3" t="s">
        <v>2536</v>
      </c>
      <c r="G621" s="3" t="s">
        <v>2892</v>
      </c>
      <c r="H621" s="3" t="s">
        <v>2893</v>
      </c>
      <c r="I621" s="3" t="s">
        <v>2893</v>
      </c>
      <c r="J621" s="3" t="s">
        <v>19</v>
      </c>
      <c r="K621" s="3" t="s">
        <v>21</v>
      </c>
      <c r="L621" s="3" t="s">
        <v>22</v>
      </c>
      <c r="M621" s="4">
        <v>947</v>
      </c>
      <c r="N621" s="3" t="s">
        <v>1498</v>
      </c>
      <c r="O621" s="3" t="s">
        <v>281</v>
      </c>
      <c r="P621" s="3" t="s">
        <v>2891</v>
      </c>
    </row>
    <row r="622" spans="1:16" hidden="1" x14ac:dyDescent="0.4">
      <c r="A622" s="7">
        <v>621</v>
      </c>
      <c r="B622" s="8" t="s">
        <v>2894</v>
      </c>
      <c r="C622" s="6" t="str">
        <f>IFERROR(IF(LEFT(D622,FIND(" ",D622)-1)="전라북도","전북특별자치도",LEFT(D622,FIND(" ",D622)-1)),"")</f>
        <v>경기도</v>
      </c>
      <c r="D622" s="3" t="s">
        <v>2895</v>
      </c>
      <c r="E622" s="3" t="s">
        <v>87</v>
      </c>
      <c r="F622" s="3" t="s">
        <v>2896</v>
      </c>
      <c r="G622" s="3" t="s">
        <v>19</v>
      </c>
      <c r="H622" s="3" t="s">
        <v>2897</v>
      </c>
      <c r="I622" s="3" t="s">
        <v>19</v>
      </c>
      <c r="J622" s="3" t="s">
        <v>19</v>
      </c>
      <c r="K622" s="3" t="s">
        <v>21</v>
      </c>
      <c r="L622" s="3" t="s">
        <v>147</v>
      </c>
      <c r="M622" s="4">
        <v>143</v>
      </c>
      <c r="N622" s="3" t="s">
        <v>84</v>
      </c>
      <c r="O622" s="3" t="s">
        <v>281</v>
      </c>
      <c r="P622" s="3" t="s">
        <v>1188</v>
      </c>
    </row>
    <row r="623" spans="1:16" hidden="1" x14ac:dyDescent="0.4">
      <c r="A623" s="7">
        <v>622</v>
      </c>
      <c r="B623" s="8" t="s">
        <v>2898</v>
      </c>
      <c r="C623" s="6" t="str">
        <f>IFERROR(IF(LEFT(D623,FIND(" ",D623)-1)="전라북도","전북특별자치도",LEFT(D623,FIND(" ",D623)-1)),"")</f>
        <v>경상북도</v>
      </c>
      <c r="D623" s="3" t="s">
        <v>2899</v>
      </c>
      <c r="E623" s="3" t="s">
        <v>2900</v>
      </c>
      <c r="F623" s="3" t="s">
        <v>2901</v>
      </c>
      <c r="G623" s="3" t="s">
        <v>2290</v>
      </c>
      <c r="H623" s="3" t="s">
        <v>2291</v>
      </c>
      <c r="I623" s="3" t="s">
        <v>2291</v>
      </c>
      <c r="J623" s="3" t="s">
        <v>19</v>
      </c>
      <c r="K623" s="3" t="s">
        <v>21</v>
      </c>
      <c r="L623" s="3" t="s">
        <v>228</v>
      </c>
      <c r="M623" s="4">
        <v>1551</v>
      </c>
      <c r="N623" s="3" t="s">
        <v>123</v>
      </c>
      <c r="O623" s="3" t="s">
        <v>281</v>
      </c>
      <c r="P623" s="3" t="s">
        <v>2405</v>
      </c>
    </row>
    <row r="624" spans="1:16" hidden="1" x14ac:dyDescent="0.4">
      <c r="A624" s="7">
        <v>623</v>
      </c>
      <c r="B624" s="8" t="s">
        <v>2902</v>
      </c>
      <c r="C624" s="6" t="str">
        <f>IFERROR(IF(LEFT(D624,FIND(" ",D624)-1)="전라북도","전북특별자치도",LEFT(D624,FIND(" ",D624)-1)),"")</f>
        <v>경기도</v>
      </c>
      <c r="D624" s="3" t="s">
        <v>2903</v>
      </c>
      <c r="E624" s="3" t="s">
        <v>2002</v>
      </c>
      <c r="F624" s="3" t="s">
        <v>2722</v>
      </c>
      <c r="G624" s="3" t="s">
        <v>19</v>
      </c>
      <c r="H624" s="3" t="s">
        <v>1237</v>
      </c>
      <c r="I624" s="3" t="s">
        <v>1237</v>
      </c>
      <c r="J624" s="3" t="s">
        <v>19</v>
      </c>
      <c r="K624" s="3" t="s">
        <v>21</v>
      </c>
      <c r="L624" s="3" t="s">
        <v>147</v>
      </c>
      <c r="M624" s="4">
        <v>418</v>
      </c>
      <c r="N624" s="3" t="s">
        <v>84</v>
      </c>
      <c r="O624" s="3" t="s">
        <v>281</v>
      </c>
      <c r="P624" s="3" t="s">
        <v>2592</v>
      </c>
    </row>
    <row r="625" spans="1:16" hidden="1" x14ac:dyDescent="0.4">
      <c r="A625" s="7">
        <v>624</v>
      </c>
      <c r="B625" s="8" t="s">
        <v>2904</v>
      </c>
      <c r="C625" s="6" t="str">
        <f>IFERROR(IF(LEFT(D625,FIND(" ",D625)-1)="전라북도","전북특별자치도",LEFT(D625,FIND(" ",D625)-1)),"")</f>
        <v>경기도</v>
      </c>
      <c r="D625" s="3" t="s">
        <v>2905</v>
      </c>
      <c r="E625" s="3" t="s">
        <v>1587</v>
      </c>
      <c r="F625" s="3" t="s">
        <v>2722</v>
      </c>
      <c r="G625" s="3" t="s">
        <v>19</v>
      </c>
      <c r="H625" s="3" t="s">
        <v>2906</v>
      </c>
      <c r="I625" s="3" t="s">
        <v>19</v>
      </c>
      <c r="J625" s="3" t="s">
        <v>19</v>
      </c>
      <c r="K625" s="3" t="s">
        <v>21</v>
      </c>
      <c r="L625" s="3" t="s">
        <v>22</v>
      </c>
      <c r="M625" s="4">
        <v>199</v>
      </c>
      <c r="N625" s="3" t="s">
        <v>1498</v>
      </c>
      <c r="O625" s="3" t="s">
        <v>281</v>
      </c>
      <c r="P625" s="3" t="s">
        <v>1698</v>
      </c>
    </row>
    <row r="626" spans="1:16" hidden="1" x14ac:dyDescent="0.4">
      <c r="A626" s="7">
        <v>625</v>
      </c>
      <c r="B626" s="8" t="s">
        <v>2907</v>
      </c>
      <c r="C626" s="6" t="str">
        <f>IFERROR(IF(LEFT(D626,FIND(" ",D626)-1)="전라북도","전북특별자치도",LEFT(D626,FIND(" ",D626)-1)),"")</f>
        <v>경기도</v>
      </c>
      <c r="D626" s="3" t="s">
        <v>2908</v>
      </c>
      <c r="E626" s="3" t="s">
        <v>1337</v>
      </c>
      <c r="F626" s="3" t="s">
        <v>2722</v>
      </c>
      <c r="G626" s="3" t="s">
        <v>2909</v>
      </c>
      <c r="H626" s="3" t="s">
        <v>210</v>
      </c>
      <c r="I626" s="3" t="s">
        <v>210</v>
      </c>
      <c r="J626" s="3" t="s">
        <v>19</v>
      </c>
      <c r="K626" s="3" t="s">
        <v>21</v>
      </c>
      <c r="L626" s="3" t="s">
        <v>22</v>
      </c>
      <c r="M626" s="4">
        <v>1285</v>
      </c>
      <c r="N626" s="3" t="s">
        <v>1498</v>
      </c>
      <c r="O626" s="3" t="s">
        <v>281</v>
      </c>
      <c r="P626" s="3" t="s">
        <v>2126</v>
      </c>
    </row>
    <row r="627" spans="1:16" hidden="1" x14ac:dyDescent="0.4">
      <c r="A627" s="7">
        <v>626</v>
      </c>
      <c r="B627" s="8" t="s">
        <v>2910</v>
      </c>
      <c r="C627" s="6" t="str">
        <f>IFERROR(IF(LEFT(D627,FIND(" ",D627)-1)="전라북도","전북특별자치도",LEFT(D627,FIND(" ",D627)-1)),"")</f>
        <v>경상북도</v>
      </c>
      <c r="D627" s="3" t="s">
        <v>2911</v>
      </c>
      <c r="E627" s="3" t="s">
        <v>2912</v>
      </c>
      <c r="F627" s="3" t="s">
        <v>684</v>
      </c>
      <c r="G627" s="3" t="s">
        <v>1887</v>
      </c>
      <c r="H627" s="3" t="s">
        <v>743</v>
      </c>
      <c r="I627" s="3" t="s">
        <v>743</v>
      </c>
      <c r="J627" s="3" t="s">
        <v>19</v>
      </c>
      <c r="K627" s="3" t="s">
        <v>21</v>
      </c>
      <c r="L627" s="3" t="s">
        <v>147</v>
      </c>
      <c r="M627" s="4">
        <v>485</v>
      </c>
      <c r="N627" s="3" t="s">
        <v>123</v>
      </c>
      <c r="O627" s="3" t="s">
        <v>281</v>
      </c>
      <c r="P627" s="3" t="s">
        <v>2913</v>
      </c>
    </row>
    <row r="628" spans="1:16" hidden="1" x14ac:dyDescent="0.4">
      <c r="A628" s="7">
        <v>627</v>
      </c>
      <c r="B628" s="8" t="s">
        <v>2914</v>
      </c>
      <c r="C628" s="6" t="str">
        <f>IFERROR(IF(LEFT(D628,FIND(" ",D628)-1)="전라북도","전북특별자치도",LEFT(D628,FIND(" ",D628)-1)),"")</f>
        <v>경상남도</v>
      </c>
      <c r="D628" s="3" t="s">
        <v>2915</v>
      </c>
      <c r="E628" s="3" t="s">
        <v>2916</v>
      </c>
      <c r="F628" s="3" t="s">
        <v>87</v>
      </c>
      <c r="G628" s="3" t="s">
        <v>2918</v>
      </c>
      <c r="H628" s="3" t="s">
        <v>2919</v>
      </c>
      <c r="I628" s="3" t="s">
        <v>2920</v>
      </c>
      <c r="J628" s="3" t="s">
        <v>19</v>
      </c>
      <c r="K628" s="3" t="s">
        <v>21</v>
      </c>
      <c r="L628" s="3" t="s">
        <v>22</v>
      </c>
      <c r="M628" s="4">
        <v>1207</v>
      </c>
      <c r="N628" s="3" t="s">
        <v>1498</v>
      </c>
      <c r="O628" s="3" t="s">
        <v>281</v>
      </c>
      <c r="P628" s="3" t="s">
        <v>2917</v>
      </c>
    </row>
    <row r="629" spans="1:16" x14ac:dyDescent="0.4">
      <c r="A629" s="7">
        <v>628</v>
      </c>
      <c r="B629" s="8" t="s">
        <v>2921</v>
      </c>
      <c r="C629" s="6" t="str">
        <f>IFERROR(IF(LEFT(D629,FIND(" ",D629)-1)="전라북도","전북특별자치도",LEFT(D629,FIND(" ",D629)-1)),"")</f>
        <v>대구광역시</v>
      </c>
      <c r="D629" s="3" t="s">
        <v>2922</v>
      </c>
      <c r="E629" s="3" t="s">
        <v>779</v>
      </c>
      <c r="F629" s="3" t="s">
        <v>2900</v>
      </c>
      <c r="G629" s="3" t="s">
        <v>2923</v>
      </c>
      <c r="H629" s="3" t="s">
        <v>2924</v>
      </c>
      <c r="I629" s="3" t="s">
        <v>2924</v>
      </c>
      <c r="J629" s="3" t="s">
        <v>19</v>
      </c>
      <c r="K629" s="3" t="s">
        <v>21</v>
      </c>
      <c r="L629" s="3" t="s">
        <v>228</v>
      </c>
      <c r="M629" s="4">
        <v>2212</v>
      </c>
      <c r="N629" s="3" t="s">
        <v>1498</v>
      </c>
      <c r="O629" s="3" t="s">
        <v>24</v>
      </c>
      <c r="P629" s="3" t="s">
        <v>19</v>
      </c>
    </row>
    <row r="630" spans="1:16" hidden="1" x14ac:dyDescent="0.4">
      <c r="A630" s="7">
        <v>629</v>
      </c>
      <c r="B630" s="8" t="s">
        <v>2925</v>
      </c>
      <c r="C630" s="6" t="str">
        <f>IFERROR(IF(LEFT(D630,FIND(" ",D630)-1)="전라북도","전북특별자치도",LEFT(D630,FIND(" ",D630)-1)),"")</f>
        <v>경기도</v>
      </c>
      <c r="D630" s="3" t="s">
        <v>2926</v>
      </c>
      <c r="E630" s="3" t="s">
        <v>2927</v>
      </c>
      <c r="F630" s="3" t="s">
        <v>2928</v>
      </c>
      <c r="G630" s="3" t="s">
        <v>2930</v>
      </c>
      <c r="H630" s="3" t="s">
        <v>953</v>
      </c>
      <c r="I630" s="3" t="s">
        <v>953</v>
      </c>
      <c r="J630" s="3" t="s">
        <v>19</v>
      </c>
      <c r="K630" s="3" t="s">
        <v>21</v>
      </c>
      <c r="L630" s="3" t="s">
        <v>22</v>
      </c>
      <c r="M630" s="4">
        <v>742</v>
      </c>
      <c r="N630" s="3" t="s">
        <v>2155</v>
      </c>
      <c r="O630" s="3" t="s">
        <v>281</v>
      </c>
      <c r="P630" s="3" t="s">
        <v>2929</v>
      </c>
    </row>
    <row r="631" spans="1:16" hidden="1" x14ac:dyDescent="0.4">
      <c r="A631" s="7">
        <v>630</v>
      </c>
      <c r="B631" s="8" t="s">
        <v>2931</v>
      </c>
      <c r="C631" s="6" t="str">
        <f>IFERROR(IF(LEFT(D631,FIND(" ",D631)-1)="전라북도","전북특별자치도",LEFT(D631,FIND(" ",D631)-1)),"")</f>
        <v>경기도</v>
      </c>
      <c r="D631" s="3" t="s">
        <v>2932</v>
      </c>
      <c r="E631" s="3" t="s">
        <v>2927</v>
      </c>
      <c r="F631" s="3" t="s">
        <v>2928</v>
      </c>
      <c r="G631" s="3" t="s">
        <v>2930</v>
      </c>
      <c r="H631" s="3" t="s">
        <v>953</v>
      </c>
      <c r="I631" s="3" t="s">
        <v>19</v>
      </c>
      <c r="J631" s="3" t="s">
        <v>19</v>
      </c>
      <c r="K631" s="3" t="s">
        <v>21</v>
      </c>
      <c r="L631" s="3" t="s">
        <v>22</v>
      </c>
      <c r="M631" s="4">
        <v>465</v>
      </c>
      <c r="N631" s="3" t="s">
        <v>2155</v>
      </c>
      <c r="O631" s="3" t="s">
        <v>281</v>
      </c>
      <c r="P631" s="3" t="s">
        <v>2339</v>
      </c>
    </row>
    <row r="632" spans="1:16" hidden="1" x14ac:dyDescent="0.4">
      <c r="A632" s="7">
        <v>631</v>
      </c>
      <c r="B632" s="8" t="s">
        <v>2933</v>
      </c>
      <c r="C632" s="6" t="str">
        <f>IFERROR(IF(LEFT(D632,FIND(" ",D632)-1)="전라북도","전북특별자치도",LEFT(D632,FIND(" ",D632)-1)),"")</f>
        <v>경기도</v>
      </c>
      <c r="D632" s="3" t="s">
        <v>2934</v>
      </c>
      <c r="E632" s="3" t="s">
        <v>2927</v>
      </c>
      <c r="F632" s="3" t="s">
        <v>2928</v>
      </c>
      <c r="G632" s="3" t="s">
        <v>2930</v>
      </c>
      <c r="H632" s="3" t="s">
        <v>953</v>
      </c>
      <c r="I632" s="3" t="s">
        <v>19</v>
      </c>
      <c r="J632" s="3" t="s">
        <v>19</v>
      </c>
      <c r="K632" s="3" t="s">
        <v>21</v>
      </c>
      <c r="L632" s="3" t="s">
        <v>22</v>
      </c>
      <c r="M632" s="4">
        <v>432</v>
      </c>
      <c r="N632" s="3" t="s">
        <v>2155</v>
      </c>
      <c r="O632" s="3" t="s">
        <v>281</v>
      </c>
      <c r="P632" s="3" t="s">
        <v>2182</v>
      </c>
    </row>
    <row r="633" spans="1:16" x14ac:dyDescent="0.4">
      <c r="A633" s="7">
        <v>632</v>
      </c>
      <c r="B633" s="8" t="s">
        <v>2935</v>
      </c>
      <c r="C633" s="6" t="str">
        <f>IFERROR(IF(LEFT(D633,FIND(" ",D633)-1)="전라북도","전북특별자치도",LEFT(D633,FIND(" ",D633)-1)),"")</f>
        <v>강원특별자치도</v>
      </c>
      <c r="D633" s="3" t="s">
        <v>2936</v>
      </c>
      <c r="E633" s="3" t="s">
        <v>2937</v>
      </c>
      <c r="F633" s="3" t="s">
        <v>2002</v>
      </c>
      <c r="G633" s="3" t="s">
        <v>2938</v>
      </c>
      <c r="H633" s="3" t="s">
        <v>2939</v>
      </c>
      <c r="I633" s="3" t="s">
        <v>2940</v>
      </c>
      <c r="J633" s="3" t="s">
        <v>19</v>
      </c>
      <c r="K633" s="3" t="s">
        <v>21</v>
      </c>
      <c r="L633" s="3" t="s">
        <v>22</v>
      </c>
      <c r="M633" s="4">
        <v>14611</v>
      </c>
      <c r="N633" s="3" t="s">
        <v>1498</v>
      </c>
      <c r="O633" s="3" t="s">
        <v>24</v>
      </c>
      <c r="P633" s="3" t="s">
        <v>19</v>
      </c>
    </row>
    <row r="634" spans="1:16" hidden="1" x14ac:dyDescent="0.4">
      <c r="A634" s="7">
        <v>633</v>
      </c>
      <c r="B634" s="8" t="s">
        <v>2941</v>
      </c>
      <c r="C634" s="6" t="str">
        <f>IFERROR(IF(LEFT(D634,FIND(" ",D634)-1)="전라북도","전북특별자치도",LEFT(D634,FIND(" ",D634)-1)),"")</f>
        <v>충청남도</v>
      </c>
      <c r="D634" s="3" t="s">
        <v>2942</v>
      </c>
      <c r="E634" s="3" t="s">
        <v>943</v>
      </c>
      <c r="F634" s="3" t="s">
        <v>2943</v>
      </c>
      <c r="G634" s="3" t="s">
        <v>2930</v>
      </c>
      <c r="H634" s="3" t="s">
        <v>1189</v>
      </c>
      <c r="I634" s="3" t="s">
        <v>19</v>
      </c>
      <c r="J634" s="3" t="s">
        <v>19</v>
      </c>
      <c r="K634" s="3" t="s">
        <v>21</v>
      </c>
      <c r="L634" s="3" t="s">
        <v>22</v>
      </c>
      <c r="M634" s="4">
        <v>387</v>
      </c>
      <c r="N634" s="3" t="s">
        <v>2155</v>
      </c>
      <c r="O634" s="3" t="s">
        <v>281</v>
      </c>
      <c r="P634" s="3" t="s">
        <v>265</v>
      </c>
    </row>
    <row r="635" spans="1:16" hidden="1" x14ac:dyDescent="0.4">
      <c r="A635" s="7">
        <v>634</v>
      </c>
      <c r="B635" s="8" t="s">
        <v>2944</v>
      </c>
      <c r="C635" s="6" t="str">
        <f>IFERROR(IF(LEFT(D635,FIND(" ",D635)-1)="전라북도","전북특별자치도",LEFT(D635,FIND(" ",D635)-1)),"")</f>
        <v>충청남도</v>
      </c>
      <c r="D635" s="3" t="s">
        <v>2945</v>
      </c>
      <c r="E635" s="3" t="s">
        <v>2946</v>
      </c>
      <c r="F635" s="3" t="s">
        <v>2943</v>
      </c>
      <c r="G635" s="3" t="s">
        <v>2947</v>
      </c>
      <c r="H635" s="3" t="s">
        <v>2948</v>
      </c>
      <c r="I635" s="3" t="s">
        <v>19</v>
      </c>
      <c r="J635" s="3" t="s">
        <v>19</v>
      </c>
      <c r="K635" s="3" t="s">
        <v>21</v>
      </c>
      <c r="L635" s="3" t="s">
        <v>147</v>
      </c>
      <c r="M635" s="4">
        <v>646</v>
      </c>
      <c r="N635" s="3" t="s">
        <v>1498</v>
      </c>
      <c r="O635" s="3" t="s">
        <v>281</v>
      </c>
      <c r="P635" s="3" t="s">
        <v>2398</v>
      </c>
    </row>
    <row r="636" spans="1:16" hidden="1" x14ac:dyDescent="0.4">
      <c r="A636" s="7">
        <v>635</v>
      </c>
      <c r="B636" s="8" t="s">
        <v>2949</v>
      </c>
      <c r="C636" s="6" t="str">
        <f>IFERROR(IF(LEFT(D636,FIND(" ",D636)-1)="전라북도","전북특별자치도",LEFT(D636,FIND(" ",D636)-1)),"")</f>
        <v>전라남도</v>
      </c>
      <c r="D636" s="3" t="s">
        <v>2950</v>
      </c>
      <c r="E636" s="3" t="s">
        <v>2951</v>
      </c>
      <c r="F636" s="3" t="s">
        <v>2943</v>
      </c>
      <c r="G636" s="3" t="s">
        <v>19</v>
      </c>
      <c r="H636" s="3" t="s">
        <v>2952</v>
      </c>
      <c r="I636" s="3" t="s">
        <v>19</v>
      </c>
      <c r="J636" s="3" t="s">
        <v>19</v>
      </c>
      <c r="K636" s="3" t="s">
        <v>21</v>
      </c>
      <c r="L636" s="3" t="s">
        <v>147</v>
      </c>
      <c r="M636" s="4">
        <v>143</v>
      </c>
      <c r="N636" s="3" t="s">
        <v>211</v>
      </c>
      <c r="O636" s="3" t="s">
        <v>281</v>
      </c>
      <c r="P636" s="3" t="s">
        <v>2074</v>
      </c>
    </row>
    <row r="637" spans="1:16" hidden="1" x14ac:dyDescent="0.4">
      <c r="A637" s="7">
        <v>636</v>
      </c>
      <c r="B637" s="8" t="s">
        <v>1813</v>
      </c>
      <c r="C637" s="6" t="str">
        <f>IFERROR(IF(LEFT(D637,FIND(" ",D637)-1)="전라북도","전북특별자치도",LEFT(D637,FIND(" ",D637)-1)),"")</f>
        <v>경기도</v>
      </c>
      <c r="D637" s="3" t="s">
        <v>2953</v>
      </c>
      <c r="E637" s="3" t="s">
        <v>1337</v>
      </c>
      <c r="F637" s="3" t="s">
        <v>701</v>
      </c>
      <c r="G637" s="3" t="s">
        <v>19</v>
      </c>
      <c r="H637" s="3" t="s">
        <v>302</v>
      </c>
      <c r="I637" s="3" t="s">
        <v>19</v>
      </c>
      <c r="J637" s="3" t="s">
        <v>19</v>
      </c>
      <c r="K637" s="3" t="s">
        <v>21</v>
      </c>
      <c r="L637" s="3" t="s">
        <v>147</v>
      </c>
      <c r="M637" s="4">
        <v>164</v>
      </c>
      <c r="N637" s="3" t="s">
        <v>84</v>
      </c>
      <c r="O637" s="3" t="s">
        <v>281</v>
      </c>
      <c r="P637" s="3" t="s">
        <v>192</v>
      </c>
    </row>
    <row r="638" spans="1:16" hidden="1" x14ac:dyDescent="0.4">
      <c r="A638" s="7">
        <v>637</v>
      </c>
      <c r="B638" s="8" t="s">
        <v>2954</v>
      </c>
      <c r="C638" s="6" t="str">
        <f>IFERROR(IF(LEFT(D638,FIND(" ",D638)-1)="전라북도","전북특별자치도",LEFT(D638,FIND(" ",D638)-1)),"")</f>
        <v>경기도</v>
      </c>
      <c r="D638" s="3" t="s">
        <v>2955</v>
      </c>
      <c r="E638" s="3" t="s">
        <v>2956</v>
      </c>
      <c r="F638" s="3" t="s">
        <v>1587</v>
      </c>
      <c r="G638" s="3" t="s">
        <v>2930</v>
      </c>
      <c r="H638" s="3" t="s">
        <v>2957</v>
      </c>
      <c r="I638" s="3" t="s">
        <v>2957</v>
      </c>
      <c r="J638" s="3" t="s">
        <v>19</v>
      </c>
      <c r="K638" s="3" t="s">
        <v>21</v>
      </c>
      <c r="L638" s="3" t="s">
        <v>22</v>
      </c>
      <c r="M638" s="4">
        <v>498</v>
      </c>
      <c r="N638" s="3" t="s">
        <v>1498</v>
      </c>
      <c r="O638" s="3" t="s">
        <v>281</v>
      </c>
      <c r="P638" s="3" t="s">
        <v>501</v>
      </c>
    </row>
    <row r="639" spans="1:16" hidden="1" x14ac:dyDescent="0.4">
      <c r="A639" s="7">
        <v>638</v>
      </c>
      <c r="B639" s="8" t="s">
        <v>2958</v>
      </c>
      <c r="C639" s="6" t="str">
        <f>IFERROR(IF(LEFT(D639,FIND(" ",D639)-1)="전라북도","전북특별자치도",LEFT(D639,FIND(" ",D639)-1)),"")</f>
        <v>경기도</v>
      </c>
      <c r="D639" s="3" t="s">
        <v>2959</v>
      </c>
      <c r="E639" s="3" t="s">
        <v>2960</v>
      </c>
      <c r="F639" s="3" t="s">
        <v>1587</v>
      </c>
      <c r="G639" s="3" t="s">
        <v>2961</v>
      </c>
      <c r="H639" s="3" t="s">
        <v>1884</v>
      </c>
      <c r="I639" s="3" t="s">
        <v>19</v>
      </c>
      <c r="J639" s="3" t="s">
        <v>19</v>
      </c>
      <c r="K639" s="3" t="s">
        <v>21</v>
      </c>
      <c r="L639" s="3" t="s">
        <v>22</v>
      </c>
      <c r="M639" s="4">
        <v>149</v>
      </c>
      <c r="N639" s="3" t="s">
        <v>211</v>
      </c>
      <c r="O639" s="3" t="s">
        <v>281</v>
      </c>
      <c r="P639" s="3" t="s">
        <v>425</v>
      </c>
    </row>
    <row r="640" spans="1:16" hidden="1" x14ac:dyDescent="0.4">
      <c r="A640" s="7">
        <v>639</v>
      </c>
      <c r="B640" s="8" t="s">
        <v>2962</v>
      </c>
      <c r="C640" s="6" t="str">
        <f>IFERROR(IF(LEFT(D640,FIND(" ",D640)-1)="전라북도","전북특별자치도",LEFT(D640,FIND(" ",D640)-1)),"")</f>
        <v>경상북도</v>
      </c>
      <c r="D640" s="3" t="s">
        <v>2393</v>
      </c>
      <c r="E640" s="3" t="s">
        <v>2829</v>
      </c>
      <c r="F640" s="3" t="s">
        <v>1587</v>
      </c>
      <c r="G640" s="3" t="s">
        <v>2963</v>
      </c>
      <c r="H640" s="3" t="s">
        <v>2395</v>
      </c>
      <c r="I640" s="3" t="s">
        <v>19</v>
      </c>
      <c r="J640" s="3" t="s">
        <v>2963</v>
      </c>
      <c r="K640" s="3" t="s">
        <v>21</v>
      </c>
      <c r="L640" s="3" t="s">
        <v>22</v>
      </c>
      <c r="M640" s="4">
        <v>50</v>
      </c>
      <c r="N640" s="3" t="s">
        <v>84</v>
      </c>
      <c r="O640" s="3" t="s">
        <v>281</v>
      </c>
      <c r="P640" s="3" t="s">
        <v>1526</v>
      </c>
    </row>
    <row r="641" spans="1:16" hidden="1" x14ac:dyDescent="0.4">
      <c r="A641" s="7">
        <v>640</v>
      </c>
      <c r="B641" s="8" t="s">
        <v>2964</v>
      </c>
      <c r="C641" s="6" t="str">
        <f>IFERROR(IF(LEFT(D641,FIND(" ",D641)-1)="전라북도","전북특별자치도",LEFT(D641,FIND(" ",D641)-1)),"")</f>
        <v>경상북도</v>
      </c>
      <c r="D641" s="3" t="s">
        <v>2965</v>
      </c>
      <c r="E641" s="3" t="s">
        <v>2829</v>
      </c>
      <c r="F641" s="3" t="s">
        <v>1587</v>
      </c>
      <c r="G641" s="3" t="s">
        <v>2963</v>
      </c>
      <c r="H641" s="3" t="s">
        <v>2395</v>
      </c>
      <c r="I641" s="3" t="s">
        <v>19</v>
      </c>
      <c r="J641" s="3" t="s">
        <v>2963</v>
      </c>
      <c r="K641" s="3" t="s">
        <v>21</v>
      </c>
      <c r="L641" s="3" t="s">
        <v>22</v>
      </c>
      <c r="M641" s="4">
        <v>95</v>
      </c>
      <c r="N641" s="3" t="s">
        <v>84</v>
      </c>
      <c r="O641" s="3" t="s">
        <v>281</v>
      </c>
      <c r="P641" s="3" t="s">
        <v>1526</v>
      </c>
    </row>
    <row r="642" spans="1:16" hidden="1" x14ac:dyDescent="0.4">
      <c r="A642" s="7">
        <v>641</v>
      </c>
      <c r="B642" s="8" t="s">
        <v>2966</v>
      </c>
      <c r="C642" s="6" t="str">
        <f>IFERROR(IF(LEFT(D642,FIND(" ",D642)-1)="전라북도","전북특별자치도",LEFT(D642,FIND(" ",D642)-1)),"")</f>
        <v>경상남도</v>
      </c>
      <c r="D642" s="3" t="s">
        <v>2967</v>
      </c>
      <c r="E642" s="3" t="s">
        <v>2968</v>
      </c>
      <c r="F642" s="3" t="s">
        <v>2956</v>
      </c>
      <c r="G642" s="3" t="s">
        <v>2969</v>
      </c>
      <c r="H642" s="3" t="s">
        <v>2970</v>
      </c>
      <c r="I642" s="3" t="s">
        <v>19</v>
      </c>
      <c r="J642" s="3" t="s">
        <v>19</v>
      </c>
      <c r="K642" s="3" t="s">
        <v>21</v>
      </c>
      <c r="L642" s="3" t="s">
        <v>147</v>
      </c>
      <c r="M642" s="4">
        <v>93</v>
      </c>
      <c r="N642" s="3" t="s">
        <v>84</v>
      </c>
      <c r="O642" s="3" t="s">
        <v>281</v>
      </c>
      <c r="P642" s="3" t="s">
        <v>2847</v>
      </c>
    </row>
    <row r="643" spans="1:16" hidden="1" x14ac:dyDescent="0.4">
      <c r="A643" s="7">
        <v>642</v>
      </c>
      <c r="B643" s="8" t="s">
        <v>2971</v>
      </c>
      <c r="C643" s="6" t="str">
        <f>IFERROR(IF(LEFT(D643,FIND(" ",D643)-1)="전라북도","전북특별자치도",LEFT(D643,FIND(" ",D643)-1)),"")</f>
        <v>충청남도</v>
      </c>
      <c r="D643" s="3" t="s">
        <v>2972</v>
      </c>
      <c r="E643" s="3" t="s">
        <v>1437</v>
      </c>
      <c r="F643" s="3" t="s">
        <v>713</v>
      </c>
      <c r="G643" s="3" t="s">
        <v>2660</v>
      </c>
      <c r="H643" s="3" t="s">
        <v>1606</v>
      </c>
      <c r="I643" s="3" t="s">
        <v>19</v>
      </c>
      <c r="J643" s="3" t="s">
        <v>19</v>
      </c>
      <c r="K643" s="3" t="s">
        <v>21</v>
      </c>
      <c r="L643" s="3" t="s">
        <v>22</v>
      </c>
      <c r="M643" s="4">
        <v>156</v>
      </c>
      <c r="N643" s="3" t="s">
        <v>2155</v>
      </c>
      <c r="O643" s="3" t="s">
        <v>281</v>
      </c>
      <c r="P643" s="3" t="s">
        <v>1169</v>
      </c>
    </row>
    <row r="644" spans="1:16" hidden="1" x14ac:dyDescent="0.4">
      <c r="A644" s="7">
        <v>643</v>
      </c>
      <c r="B644" s="8" t="s">
        <v>2973</v>
      </c>
      <c r="C644" s="6" t="str">
        <f>IFERROR(IF(LEFT(D644,FIND(" ",D644)-1)="전라북도","전북특별자치도",LEFT(D644,FIND(" ",D644)-1)),"")</f>
        <v>서울특별시</v>
      </c>
      <c r="D644" s="3" t="s">
        <v>2974</v>
      </c>
      <c r="E644" s="3" t="s">
        <v>1432</v>
      </c>
      <c r="F644" s="3" t="s">
        <v>713</v>
      </c>
      <c r="G644" s="3" t="s">
        <v>1883</v>
      </c>
      <c r="H644" s="3" t="s">
        <v>2975</v>
      </c>
      <c r="I644" s="3" t="s">
        <v>2975</v>
      </c>
      <c r="J644" s="3" t="s">
        <v>2976</v>
      </c>
      <c r="K644" s="3" t="s">
        <v>21</v>
      </c>
      <c r="L644" s="3" t="s">
        <v>228</v>
      </c>
      <c r="M644" s="4">
        <v>2913</v>
      </c>
      <c r="N644" s="3" t="s">
        <v>1498</v>
      </c>
      <c r="O644" s="3" t="s">
        <v>281</v>
      </c>
      <c r="P644" s="3" t="s">
        <v>2459</v>
      </c>
    </row>
    <row r="645" spans="1:16" hidden="1" x14ac:dyDescent="0.4">
      <c r="A645" s="7">
        <v>644</v>
      </c>
      <c r="B645" s="8" t="s">
        <v>2977</v>
      </c>
      <c r="C645" s="6" t="str">
        <f>IFERROR(IF(LEFT(D645,FIND(" ",D645)-1)="전라북도","전북특별자치도",LEFT(D645,FIND(" ",D645)-1)),"")</f>
        <v>전라남도</v>
      </c>
      <c r="D645" s="3" t="s">
        <v>2978</v>
      </c>
      <c r="E645" s="3" t="s">
        <v>2979</v>
      </c>
      <c r="F645" s="3" t="s">
        <v>2968</v>
      </c>
      <c r="G645" s="3" t="s">
        <v>2980</v>
      </c>
      <c r="H645" s="3" t="s">
        <v>19</v>
      </c>
      <c r="I645" s="3" t="s">
        <v>19</v>
      </c>
      <c r="J645" s="3" t="s">
        <v>2981</v>
      </c>
      <c r="K645" s="3" t="s">
        <v>21</v>
      </c>
      <c r="L645" s="3" t="s">
        <v>22</v>
      </c>
      <c r="M645" s="4">
        <v>419</v>
      </c>
      <c r="N645" s="3" t="s">
        <v>1498</v>
      </c>
      <c r="O645" s="3" t="s">
        <v>281</v>
      </c>
      <c r="P645" s="3" t="s">
        <v>2012</v>
      </c>
    </row>
    <row r="646" spans="1:16" hidden="1" x14ac:dyDescent="0.4">
      <c r="A646" s="7">
        <v>645</v>
      </c>
      <c r="B646" s="8" t="s">
        <v>2982</v>
      </c>
      <c r="C646" s="6" t="str">
        <f>IFERROR(IF(LEFT(D646,FIND(" ",D646)-1)="전라북도","전북특별자치도",LEFT(D646,FIND(" ",D646)-1)),"")</f>
        <v>부산광역시</v>
      </c>
      <c r="D646" s="3" t="s">
        <v>2983</v>
      </c>
      <c r="E646" s="3" t="s">
        <v>1028</v>
      </c>
      <c r="F646" s="3" t="s">
        <v>2968</v>
      </c>
      <c r="G646" s="3" t="s">
        <v>2290</v>
      </c>
      <c r="H646" s="3" t="s">
        <v>2291</v>
      </c>
      <c r="I646" s="3" t="s">
        <v>2291</v>
      </c>
      <c r="J646" s="3" t="s">
        <v>2984</v>
      </c>
      <c r="K646" s="3" t="s">
        <v>21</v>
      </c>
      <c r="L646" s="3" t="s">
        <v>228</v>
      </c>
      <c r="M646" s="4">
        <v>3471</v>
      </c>
      <c r="N646" s="3" t="s">
        <v>1498</v>
      </c>
      <c r="O646" s="3" t="s">
        <v>281</v>
      </c>
      <c r="P646" s="3" t="s">
        <v>2772</v>
      </c>
    </row>
    <row r="647" spans="1:16" x14ac:dyDescent="0.4">
      <c r="A647" s="7">
        <v>646</v>
      </c>
      <c r="B647" s="8" t="s">
        <v>2985</v>
      </c>
      <c r="C647" s="6" t="str">
        <f>IFERROR(IF(LEFT(D647,FIND(" ",D647)-1)="전라북도","전북특별자치도",LEFT(D647,FIND(" ",D647)-1)),"")</f>
        <v>전라남도</v>
      </c>
      <c r="D647" s="3" t="s">
        <v>2986</v>
      </c>
      <c r="E647" s="3" t="s">
        <v>2987</v>
      </c>
      <c r="F647" s="3" t="s">
        <v>2988</v>
      </c>
      <c r="G647" s="3" t="s">
        <v>2989</v>
      </c>
      <c r="H647" s="3" t="s">
        <v>2990</v>
      </c>
      <c r="I647" s="3" t="s">
        <v>2991</v>
      </c>
      <c r="J647" s="3" t="s">
        <v>415</v>
      </c>
      <c r="K647" s="3" t="s">
        <v>21</v>
      </c>
      <c r="L647" s="3" t="s">
        <v>22</v>
      </c>
      <c r="M647" s="4">
        <v>17621</v>
      </c>
      <c r="N647" s="3" t="s">
        <v>1498</v>
      </c>
      <c r="O647" s="3" t="s">
        <v>24</v>
      </c>
      <c r="P647" s="3" t="s">
        <v>19</v>
      </c>
    </row>
    <row r="648" spans="1:16" x14ac:dyDescent="0.4">
      <c r="A648" s="7">
        <v>647</v>
      </c>
      <c r="B648" s="8" t="s">
        <v>2992</v>
      </c>
      <c r="C648" s="6" t="str">
        <f>IFERROR(IF(LEFT(D648,FIND(" ",D648)-1)="전라북도","전북특별자치도",LEFT(D648,FIND(" ",D648)-1)),"")</f>
        <v>충청남도</v>
      </c>
      <c r="D648" s="3" t="s">
        <v>2993</v>
      </c>
      <c r="E648" s="3" t="s">
        <v>2994</v>
      </c>
      <c r="F648" s="3" t="s">
        <v>2995</v>
      </c>
      <c r="G648" s="3" t="s">
        <v>2996</v>
      </c>
      <c r="H648" s="3" t="s">
        <v>1809</v>
      </c>
      <c r="I648" s="3" t="s">
        <v>19</v>
      </c>
      <c r="J648" s="3" t="s">
        <v>19</v>
      </c>
      <c r="K648" s="3" t="s">
        <v>21</v>
      </c>
      <c r="L648" s="3" t="s">
        <v>22</v>
      </c>
      <c r="M648" s="4">
        <v>303</v>
      </c>
      <c r="N648" s="3" t="s">
        <v>84</v>
      </c>
      <c r="O648" s="3" t="s">
        <v>24</v>
      </c>
      <c r="P648" s="3" t="s">
        <v>19</v>
      </c>
    </row>
    <row r="649" spans="1:16" hidden="1" x14ac:dyDescent="0.4">
      <c r="A649" s="7">
        <v>648</v>
      </c>
      <c r="B649" s="8" t="s">
        <v>2997</v>
      </c>
      <c r="C649" s="6" t="str">
        <f>IFERROR(IF(LEFT(D649,FIND(" ",D649)-1)="전라북도","전북특별자치도",LEFT(D649,FIND(" ",D649)-1)),"")</f>
        <v>충청남도</v>
      </c>
      <c r="D649" s="3" t="s">
        <v>2998</v>
      </c>
      <c r="E649" s="3" t="s">
        <v>2994</v>
      </c>
      <c r="F649" s="3" t="s">
        <v>2995</v>
      </c>
      <c r="G649" s="3" t="s">
        <v>2996</v>
      </c>
      <c r="H649" s="3" t="s">
        <v>2999</v>
      </c>
      <c r="I649" s="3" t="s">
        <v>19</v>
      </c>
      <c r="J649" s="3" t="s">
        <v>19</v>
      </c>
      <c r="K649" s="3" t="s">
        <v>21</v>
      </c>
      <c r="L649" s="3" t="s">
        <v>22</v>
      </c>
      <c r="M649" s="4">
        <v>150</v>
      </c>
      <c r="N649" s="3" t="s">
        <v>84</v>
      </c>
      <c r="O649" s="3" t="s">
        <v>281</v>
      </c>
      <c r="P649" s="3" t="s">
        <v>1165</v>
      </c>
    </row>
    <row r="650" spans="1:16" x14ac:dyDescent="0.4">
      <c r="A650" s="7">
        <v>649</v>
      </c>
      <c r="B650" s="8" t="s">
        <v>3000</v>
      </c>
      <c r="C650" s="6" t="str">
        <f>IFERROR(IF(LEFT(D650,FIND(" ",D650)-1)="전라북도","전북특별자치도",LEFT(D650,FIND(" ",D650)-1)),"")</f>
        <v>충청남도</v>
      </c>
      <c r="D650" s="3" t="s">
        <v>3001</v>
      </c>
      <c r="E650" s="3" t="s">
        <v>3002</v>
      </c>
      <c r="F650" s="3" t="s">
        <v>2995</v>
      </c>
      <c r="G650" s="3" t="s">
        <v>3003</v>
      </c>
      <c r="H650" s="3" t="s">
        <v>3004</v>
      </c>
      <c r="I650" s="3" t="s">
        <v>3005</v>
      </c>
      <c r="J650" s="3" t="s">
        <v>3006</v>
      </c>
      <c r="K650" s="3" t="s">
        <v>21</v>
      </c>
      <c r="L650" s="3" t="s">
        <v>22</v>
      </c>
      <c r="M650" s="4">
        <v>274379</v>
      </c>
      <c r="N650" s="3" t="s">
        <v>1498</v>
      </c>
      <c r="O650" s="3" t="s">
        <v>24</v>
      </c>
      <c r="P650" s="3" t="s">
        <v>19</v>
      </c>
    </row>
    <row r="651" spans="1:16" hidden="1" x14ac:dyDescent="0.4">
      <c r="A651" s="7">
        <v>650</v>
      </c>
      <c r="B651" s="8" t="s">
        <v>3007</v>
      </c>
      <c r="C651" s="6" t="str">
        <f>IFERROR(IF(LEFT(D651,FIND(" ",D651)-1)="전라북도","전북특별자치도",LEFT(D651,FIND(" ",D651)-1)),"")</f>
        <v>전라남도</v>
      </c>
      <c r="D651" s="3" t="s">
        <v>3008</v>
      </c>
      <c r="E651" s="3" t="s">
        <v>2874</v>
      </c>
      <c r="F651" s="3" t="s">
        <v>2995</v>
      </c>
      <c r="G651" s="3" t="s">
        <v>2054</v>
      </c>
      <c r="H651" s="3" t="s">
        <v>2055</v>
      </c>
      <c r="I651" s="3" t="s">
        <v>1580</v>
      </c>
      <c r="J651" s="3" t="s">
        <v>19</v>
      </c>
      <c r="K651" s="3" t="s">
        <v>21</v>
      </c>
      <c r="L651" s="3" t="s">
        <v>22</v>
      </c>
      <c r="M651" s="4">
        <v>4670</v>
      </c>
      <c r="N651" s="3" t="s">
        <v>1498</v>
      </c>
      <c r="O651" s="3" t="s">
        <v>281</v>
      </c>
      <c r="P651" s="3" t="s">
        <v>48</v>
      </c>
    </row>
    <row r="652" spans="1:16" hidden="1" x14ac:dyDescent="0.4">
      <c r="A652" s="7">
        <v>651</v>
      </c>
      <c r="B652" s="8" t="s">
        <v>3009</v>
      </c>
      <c r="C652" s="6" t="str">
        <f>IFERROR(IF(LEFT(D652,FIND(" ",D652)-1)="전라북도","전북특별자치도",LEFT(D652,FIND(" ",D652)-1)),"")</f>
        <v>경기도</v>
      </c>
      <c r="D652" s="3" t="s">
        <v>3010</v>
      </c>
      <c r="E652" s="3" t="s">
        <v>3011</v>
      </c>
      <c r="F652" s="3" t="s">
        <v>2927</v>
      </c>
      <c r="G652" s="3" t="s">
        <v>19</v>
      </c>
      <c r="H652" s="3" t="s">
        <v>140</v>
      </c>
      <c r="I652" s="3" t="s">
        <v>19</v>
      </c>
      <c r="J652" s="3" t="s">
        <v>19</v>
      </c>
      <c r="K652" s="3" t="s">
        <v>21</v>
      </c>
      <c r="L652" s="3" t="s">
        <v>147</v>
      </c>
      <c r="M652" s="4">
        <v>965</v>
      </c>
      <c r="N652" s="3" t="s">
        <v>1498</v>
      </c>
      <c r="O652" s="3" t="s">
        <v>281</v>
      </c>
      <c r="P652" s="3" t="s">
        <v>2946</v>
      </c>
    </row>
    <row r="653" spans="1:16" hidden="1" x14ac:dyDescent="0.4">
      <c r="A653" s="7">
        <v>652</v>
      </c>
      <c r="B653" s="8" t="s">
        <v>3012</v>
      </c>
      <c r="C653" s="6" t="str">
        <f>IFERROR(IF(LEFT(D653,FIND(" ",D653)-1)="전라북도","전북특별자치도",LEFT(D653,FIND(" ",D653)-1)),"")</f>
        <v>인천광역시</v>
      </c>
      <c r="D653" s="3" t="s">
        <v>3013</v>
      </c>
      <c r="E653" s="3" t="s">
        <v>3014</v>
      </c>
      <c r="F653" s="3" t="s">
        <v>3015</v>
      </c>
      <c r="G653" s="3" t="s">
        <v>3016</v>
      </c>
      <c r="H653" s="3" t="s">
        <v>3017</v>
      </c>
      <c r="I653" s="3" t="s">
        <v>3017</v>
      </c>
      <c r="J653" s="3" t="s">
        <v>19</v>
      </c>
      <c r="K653" s="3" t="s">
        <v>21</v>
      </c>
      <c r="L653" s="3" t="s">
        <v>22</v>
      </c>
      <c r="M653" s="4">
        <v>1746</v>
      </c>
      <c r="N653" s="3" t="s">
        <v>1498</v>
      </c>
      <c r="O653" s="3" t="s">
        <v>281</v>
      </c>
      <c r="P653" s="3" t="s">
        <v>375</v>
      </c>
    </row>
    <row r="654" spans="1:16" hidden="1" x14ac:dyDescent="0.4">
      <c r="A654" s="7">
        <v>653</v>
      </c>
      <c r="B654" s="8" t="s">
        <v>3018</v>
      </c>
      <c r="C654" s="6" t="str">
        <f>IFERROR(IF(LEFT(D654,FIND(" ",D654)-1)="전라북도","전북특별자치도",LEFT(D654,FIND(" ",D654)-1)),"")</f>
        <v>경기도</v>
      </c>
      <c r="D654" s="3" t="s">
        <v>3019</v>
      </c>
      <c r="E654" s="3" t="s">
        <v>3020</v>
      </c>
      <c r="F654" s="3" t="s">
        <v>3015</v>
      </c>
      <c r="G654" s="3" t="s">
        <v>19</v>
      </c>
      <c r="H654" s="3" t="s">
        <v>3021</v>
      </c>
      <c r="I654" s="3" t="s">
        <v>19</v>
      </c>
      <c r="J654" s="3" t="s">
        <v>19</v>
      </c>
      <c r="K654" s="3" t="s">
        <v>21</v>
      </c>
      <c r="L654" s="3" t="s">
        <v>147</v>
      </c>
      <c r="M654" s="4">
        <v>1356</v>
      </c>
      <c r="N654" s="3" t="s">
        <v>1498</v>
      </c>
      <c r="O654" s="3" t="s">
        <v>281</v>
      </c>
      <c r="P654" s="3" t="s">
        <v>2434</v>
      </c>
    </row>
    <row r="655" spans="1:16" hidden="1" x14ac:dyDescent="0.4">
      <c r="A655" s="7">
        <v>654</v>
      </c>
      <c r="B655" s="8" t="s">
        <v>2543</v>
      </c>
      <c r="C655" s="6" t="str">
        <f>IFERROR(IF(LEFT(D655,FIND(" ",D655)-1)="전라북도","전북특별자치도",LEFT(D655,FIND(" ",D655)-1)),"")</f>
        <v>제주특별자치도</v>
      </c>
      <c r="D655" s="3" t="s">
        <v>2544</v>
      </c>
      <c r="E655" s="3" t="s">
        <v>2481</v>
      </c>
      <c r="F655" s="3" t="s">
        <v>3015</v>
      </c>
      <c r="G655" s="3" t="s">
        <v>2546</v>
      </c>
      <c r="H655" s="3" t="s">
        <v>19</v>
      </c>
      <c r="I655" s="3" t="s">
        <v>19</v>
      </c>
      <c r="J655" s="3" t="s">
        <v>19</v>
      </c>
      <c r="K655" s="3" t="s">
        <v>21</v>
      </c>
      <c r="L655" s="3" t="s">
        <v>147</v>
      </c>
      <c r="M655" s="4">
        <v>180</v>
      </c>
      <c r="N655" s="3" t="s">
        <v>84</v>
      </c>
      <c r="O655" s="3" t="s">
        <v>281</v>
      </c>
      <c r="P655" s="3" t="s">
        <v>2114</v>
      </c>
    </row>
    <row r="656" spans="1:16" x14ac:dyDescent="0.4">
      <c r="A656" s="7">
        <v>655</v>
      </c>
      <c r="B656" s="8" t="s">
        <v>3022</v>
      </c>
      <c r="C656" s="6" t="str">
        <f>IFERROR(IF(LEFT(D656,FIND(" ",D656)-1)="전라북도","전북특별자치도",LEFT(D656,FIND(" ",D656)-1)),"")</f>
        <v>제주특별자치도</v>
      </c>
      <c r="D656" s="3" t="s">
        <v>3023</v>
      </c>
      <c r="E656" s="3" t="s">
        <v>3024</v>
      </c>
      <c r="F656" s="3" t="s">
        <v>3015</v>
      </c>
      <c r="G656" s="3" t="s">
        <v>19</v>
      </c>
      <c r="H656" s="3" t="s">
        <v>2219</v>
      </c>
      <c r="I656" s="3" t="s">
        <v>19</v>
      </c>
      <c r="J656" s="3" t="s">
        <v>19</v>
      </c>
      <c r="K656" s="3" t="s">
        <v>21</v>
      </c>
      <c r="L656" s="3" t="s">
        <v>22</v>
      </c>
      <c r="M656" s="4">
        <v>449</v>
      </c>
      <c r="N656" s="3" t="s">
        <v>1498</v>
      </c>
      <c r="O656" s="3" t="s">
        <v>24</v>
      </c>
      <c r="P656" s="3" t="s">
        <v>19</v>
      </c>
    </row>
    <row r="657" spans="1:16" hidden="1" x14ac:dyDescent="0.4">
      <c r="A657" s="7">
        <v>656</v>
      </c>
      <c r="B657" s="8" t="s">
        <v>3025</v>
      </c>
      <c r="C657" s="6" t="str">
        <f>IFERROR(IF(LEFT(D657,FIND(" ",D657)-1)="전라북도","전북특별자치도",LEFT(D657,FIND(" ",D657)-1)),"")</f>
        <v>충청북도</v>
      </c>
      <c r="D657" s="3" t="s">
        <v>3026</v>
      </c>
      <c r="E657" s="3" t="s">
        <v>3027</v>
      </c>
      <c r="F657" s="3" t="s">
        <v>3028</v>
      </c>
      <c r="G657" s="3" t="s">
        <v>3029</v>
      </c>
      <c r="H657" s="3" t="s">
        <v>3030</v>
      </c>
      <c r="I657" s="3" t="s">
        <v>19</v>
      </c>
      <c r="J657" s="3" t="s">
        <v>19</v>
      </c>
      <c r="K657" s="3" t="s">
        <v>21</v>
      </c>
      <c r="L657" s="3" t="s">
        <v>147</v>
      </c>
      <c r="M657" s="4">
        <v>3048</v>
      </c>
      <c r="N657" s="3" t="s">
        <v>1498</v>
      </c>
      <c r="O657" s="3" t="s">
        <v>281</v>
      </c>
      <c r="P657" s="3" t="s">
        <v>1923</v>
      </c>
    </row>
    <row r="658" spans="1:16" hidden="1" x14ac:dyDescent="0.4">
      <c r="A658" s="7">
        <v>657</v>
      </c>
      <c r="B658" s="8" t="s">
        <v>3031</v>
      </c>
      <c r="C658" s="6" t="str">
        <f>IFERROR(IF(LEFT(D658,FIND(" ",D658)-1)="전라북도","전북특별자치도",LEFT(D658,FIND(" ",D658)-1)),"")</f>
        <v>강원특별자치도</v>
      </c>
      <c r="D658" s="3" t="s">
        <v>3032</v>
      </c>
      <c r="E658" s="3" t="s">
        <v>779</v>
      </c>
      <c r="F658" s="3" t="s">
        <v>3033</v>
      </c>
      <c r="G658" s="3" t="s">
        <v>3034</v>
      </c>
      <c r="H658" s="3" t="s">
        <v>3035</v>
      </c>
      <c r="I658" s="3" t="s">
        <v>19</v>
      </c>
      <c r="J658" s="3" t="s">
        <v>19</v>
      </c>
      <c r="K658" s="3" t="s">
        <v>21</v>
      </c>
      <c r="L658" s="3" t="s">
        <v>147</v>
      </c>
      <c r="M658" s="4">
        <v>1028</v>
      </c>
      <c r="N658" s="3" t="s">
        <v>2155</v>
      </c>
      <c r="O658" s="3" t="s">
        <v>281</v>
      </c>
      <c r="P658" s="3" t="s">
        <v>265</v>
      </c>
    </row>
    <row r="659" spans="1:16" hidden="1" x14ac:dyDescent="0.4">
      <c r="A659" s="7">
        <v>658</v>
      </c>
      <c r="B659" s="8" t="s">
        <v>3036</v>
      </c>
      <c r="C659" s="6" t="str">
        <f>IFERROR(IF(LEFT(D659,FIND(" ",D659)-1)="전라북도","전북특별자치도",LEFT(D659,FIND(" ",D659)-1)),"")</f>
        <v>경상북도</v>
      </c>
      <c r="D659" s="3" t="s">
        <v>3037</v>
      </c>
      <c r="E659" s="3" t="s">
        <v>3038</v>
      </c>
      <c r="F659" s="3" t="s">
        <v>3033</v>
      </c>
      <c r="G659" s="3" t="s">
        <v>3039</v>
      </c>
      <c r="H659" s="3" t="s">
        <v>3040</v>
      </c>
      <c r="I659" s="3" t="s">
        <v>3041</v>
      </c>
      <c r="J659" s="3" t="s">
        <v>19</v>
      </c>
      <c r="K659" s="3" t="s">
        <v>21</v>
      </c>
      <c r="L659" s="3" t="s">
        <v>228</v>
      </c>
      <c r="M659" s="4">
        <v>1715</v>
      </c>
      <c r="N659" s="3" t="s">
        <v>1498</v>
      </c>
      <c r="O659" s="3" t="s">
        <v>281</v>
      </c>
      <c r="P659" s="3" t="s">
        <v>2431</v>
      </c>
    </row>
    <row r="660" spans="1:16" hidden="1" x14ac:dyDescent="0.4">
      <c r="A660" s="7">
        <v>659</v>
      </c>
      <c r="B660" s="8" t="s">
        <v>3042</v>
      </c>
      <c r="C660" s="6" t="str">
        <f>IFERROR(IF(LEFT(D660,FIND(" ",D660)-1)="전라북도","전북특별자치도",LEFT(D660,FIND(" ",D660)-1)),"")</f>
        <v>경상북도</v>
      </c>
      <c r="D660" s="3" t="s">
        <v>3043</v>
      </c>
      <c r="E660" s="3" t="s">
        <v>3044</v>
      </c>
      <c r="F660" s="3" t="s">
        <v>3033</v>
      </c>
      <c r="G660" s="3" t="s">
        <v>3045</v>
      </c>
      <c r="H660" s="3" t="s">
        <v>3046</v>
      </c>
      <c r="I660" s="3" t="s">
        <v>19</v>
      </c>
      <c r="J660" s="3" t="s">
        <v>19</v>
      </c>
      <c r="K660" s="3" t="s">
        <v>21</v>
      </c>
      <c r="L660" s="3" t="s">
        <v>22</v>
      </c>
      <c r="M660" s="4">
        <v>454</v>
      </c>
      <c r="N660" s="3" t="s">
        <v>1498</v>
      </c>
      <c r="O660" s="3" t="s">
        <v>281</v>
      </c>
      <c r="P660" s="3" t="s">
        <v>2430</v>
      </c>
    </row>
    <row r="661" spans="1:16" hidden="1" x14ac:dyDescent="0.4">
      <c r="A661" s="7">
        <v>660</v>
      </c>
      <c r="B661" s="8" t="s">
        <v>3047</v>
      </c>
      <c r="C661" s="6" t="str">
        <f>IFERROR(IF(LEFT(D661,FIND(" ",D661)-1)="전라북도","전북특별자치도",LEFT(D661,FIND(" ",D661)-1)),"")</f>
        <v>부산광역시</v>
      </c>
      <c r="D661" s="3" t="s">
        <v>3048</v>
      </c>
      <c r="E661" s="3" t="s">
        <v>790</v>
      </c>
      <c r="F661" s="3" t="s">
        <v>3033</v>
      </c>
      <c r="G661" s="3" t="s">
        <v>3049</v>
      </c>
      <c r="H661" s="3" t="s">
        <v>2147</v>
      </c>
      <c r="I661" s="3" t="s">
        <v>2147</v>
      </c>
      <c r="J661" s="3" t="s">
        <v>3049</v>
      </c>
      <c r="K661" s="3" t="s">
        <v>3050</v>
      </c>
      <c r="L661" s="3" t="s">
        <v>228</v>
      </c>
      <c r="M661" s="4">
        <v>661135</v>
      </c>
      <c r="N661" s="3" t="s">
        <v>1498</v>
      </c>
      <c r="O661" s="3" t="s">
        <v>281</v>
      </c>
      <c r="P661" s="3" t="s">
        <v>1337</v>
      </c>
    </row>
    <row r="662" spans="1:16" hidden="1" x14ac:dyDescent="0.4">
      <c r="A662" s="7">
        <v>661</v>
      </c>
      <c r="B662" s="8" t="s">
        <v>3051</v>
      </c>
      <c r="C662" s="6" t="str">
        <f>IFERROR(IF(LEFT(D662,FIND(" ",D662)-1)="전라북도","전북특별자치도",LEFT(D662,FIND(" ",D662)-1)),"")</f>
        <v>경상남도</v>
      </c>
      <c r="D662" s="3" t="s">
        <v>3052</v>
      </c>
      <c r="E662" s="3" t="s">
        <v>3053</v>
      </c>
      <c r="F662" s="3" t="s">
        <v>2979</v>
      </c>
      <c r="G662" s="3" t="s">
        <v>3054</v>
      </c>
      <c r="H662" s="3" t="s">
        <v>3055</v>
      </c>
      <c r="I662" s="3" t="s">
        <v>1280</v>
      </c>
      <c r="J662" s="3" t="s">
        <v>3056</v>
      </c>
      <c r="K662" s="3" t="s">
        <v>21</v>
      </c>
      <c r="L662" s="3" t="s">
        <v>22</v>
      </c>
      <c r="M662" s="4">
        <v>2637</v>
      </c>
      <c r="N662" s="3" t="s">
        <v>1498</v>
      </c>
      <c r="O662" s="3" t="s">
        <v>281</v>
      </c>
      <c r="P662" s="3" t="s">
        <v>2316</v>
      </c>
    </row>
    <row r="663" spans="1:16" hidden="1" x14ac:dyDescent="0.4">
      <c r="A663" s="7">
        <v>662</v>
      </c>
      <c r="B663" s="8" t="s">
        <v>3057</v>
      </c>
      <c r="C663" s="6" t="str">
        <f>IFERROR(IF(LEFT(D663,FIND(" ",D663)-1)="전라북도","전북특별자치도",LEFT(D663,FIND(" ",D663)-1)),"")</f>
        <v>전라남도</v>
      </c>
      <c r="D663" s="3" t="s">
        <v>3058</v>
      </c>
      <c r="E663" s="3" t="s">
        <v>3059</v>
      </c>
      <c r="F663" s="3" t="s">
        <v>2979</v>
      </c>
      <c r="G663" s="3" t="s">
        <v>3060</v>
      </c>
      <c r="H663" s="3" t="s">
        <v>3061</v>
      </c>
      <c r="I663" s="3" t="s">
        <v>19</v>
      </c>
      <c r="J663" s="3" t="s">
        <v>19</v>
      </c>
      <c r="K663" s="3" t="s">
        <v>21</v>
      </c>
      <c r="L663" s="3" t="s">
        <v>22</v>
      </c>
      <c r="M663" s="4">
        <v>362</v>
      </c>
      <c r="N663" s="3" t="s">
        <v>84</v>
      </c>
      <c r="O663" s="3" t="s">
        <v>281</v>
      </c>
      <c r="P663" s="3" t="s">
        <v>2405</v>
      </c>
    </row>
    <row r="664" spans="1:16" hidden="1" x14ac:dyDescent="0.4">
      <c r="A664" s="7">
        <v>663</v>
      </c>
      <c r="B664" s="8" t="s">
        <v>3062</v>
      </c>
      <c r="C664" s="6" t="str">
        <f>IFERROR(IF(LEFT(D664,FIND(" ",D664)-1)="전라북도","전북특별자치도",LEFT(D664,FIND(" ",D664)-1)),"")</f>
        <v>전라남도</v>
      </c>
      <c r="D664" s="3" t="s">
        <v>3063</v>
      </c>
      <c r="E664" s="3" t="s">
        <v>1815</v>
      </c>
      <c r="F664" s="3" t="s">
        <v>2979</v>
      </c>
      <c r="G664" s="3" t="s">
        <v>3065</v>
      </c>
      <c r="H664" s="3" t="s">
        <v>2055</v>
      </c>
      <c r="I664" s="3" t="s">
        <v>2858</v>
      </c>
      <c r="J664" s="3" t="s">
        <v>19</v>
      </c>
      <c r="K664" s="3" t="s">
        <v>21</v>
      </c>
      <c r="L664" s="3" t="s">
        <v>22</v>
      </c>
      <c r="M664" s="4">
        <v>2365</v>
      </c>
      <c r="N664" s="3" t="s">
        <v>1498</v>
      </c>
      <c r="O664" s="3" t="s">
        <v>281</v>
      </c>
      <c r="P664" s="3" t="s">
        <v>3064</v>
      </c>
    </row>
    <row r="665" spans="1:16" hidden="1" x14ac:dyDescent="0.4">
      <c r="A665" s="7">
        <v>664</v>
      </c>
      <c r="B665" s="8" t="s">
        <v>3066</v>
      </c>
      <c r="C665" s="6" t="str">
        <f>IFERROR(IF(LEFT(D665,FIND(" ",D665)-1)="전라북도","전북특별자치도",LEFT(D665,FIND(" ",D665)-1)),"")</f>
        <v>경기도</v>
      </c>
      <c r="D665" s="3" t="s">
        <v>3067</v>
      </c>
      <c r="E665" s="3" t="s">
        <v>3068</v>
      </c>
      <c r="F665" s="3" t="s">
        <v>2796</v>
      </c>
      <c r="G665" s="3" t="s">
        <v>3069</v>
      </c>
      <c r="H665" s="3" t="s">
        <v>3070</v>
      </c>
      <c r="I665" s="3" t="s">
        <v>3070</v>
      </c>
      <c r="J665" s="3" t="s">
        <v>3071</v>
      </c>
      <c r="K665" s="3" t="s">
        <v>21</v>
      </c>
      <c r="L665" s="3" t="s">
        <v>228</v>
      </c>
      <c r="M665" s="4">
        <v>2204</v>
      </c>
      <c r="N665" s="3" t="s">
        <v>19</v>
      </c>
      <c r="O665" s="3" t="s">
        <v>281</v>
      </c>
      <c r="P665" s="3" t="s">
        <v>2943</v>
      </c>
    </row>
    <row r="666" spans="1:16" x14ac:dyDescent="0.4">
      <c r="A666" s="7">
        <v>665</v>
      </c>
      <c r="B666" s="8" t="s">
        <v>3072</v>
      </c>
      <c r="C666" s="6" t="str">
        <f>IFERROR(IF(LEFT(D666,FIND(" ",D666)-1)="전라북도","전북특별자치도",LEFT(D666,FIND(" ",D666)-1)),"")</f>
        <v>경상남도</v>
      </c>
      <c r="D666" s="3" t="s">
        <v>3073</v>
      </c>
      <c r="E666" s="3" t="s">
        <v>3074</v>
      </c>
      <c r="F666" s="3" t="s">
        <v>3044</v>
      </c>
      <c r="G666" s="3" t="s">
        <v>3075</v>
      </c>
      <c r="H666" s="3" t="s">
        <v>3076</v>
      </c>
      <c r="I666" s="3" t="s">
        <v>3077</v>
      </c>
      <c r="J666" s="3" t="s">
        <v>19</v>
      </c>
      <c r="K666" s="3" t="s">
        <v>21</v>
      </c>
      <c r="L666" s="3" t="s">
        <v>22</v>
      </c>
      <c r="M666" s="4">
        <v>950</v>
      </c>
      <c r="N666" s="3" t="s">
        <v>1498</v>
      </c>
      <c r="O666" s="3" t="s">
        <v>24</v>
      </c>
      <c r="P666" s="3" t="s">
        <v>19</v>
      </c>
    </row>
    <row r="667" spans="1:16" hidden="1" x14ac:dyDescent="0.4">
      <c r="A667" s="7">
        <v>666</v>
      </c>
      <c r="B667" s="8" t="s">
        <v>3078</v>
      </c>
      <c r="C667" s="6" t="str">
        <f>IFERROR(IF(LEFT(D667,FIND(" ",D667)-1)="전라북도","전북특별자치도",LEFT(D667,FIND(" ",D667)-1)),"")</f>
        <v>경상북도</v>
      </c>
      <c r="D667" s="3" t="s">
        <v>3079</v>
      </c>
      <c r="E667" s="3" t="s">
        <v>3080</v>
      </c>
      <c r="F667" s="3" t="s">
        <v>565</v>
      </c>
      <c r="G667" s="3" t="s">
        <v>3081</v>
      </c>
      <c r="H667" s="3" t="s">
        <v>3082</v>
      </c>
      <c r="I667" s="3" t="s">
        <v>3082</v>
      </c>
      <c r="J667" s="3" t="s">
        <v>19</v>
      </c>
      <c r="K667" s="3" t="s">
        <v>21</v>
      </c>
      <c r="L667" s="3" t="s">
        <v>22</v>
      </c>
      <c r="M667" s="4">
        <v>268</v>
      </c>
      <c r="N667" s="3" t="s">
        <v>1498</v>
      </c>
      <c r="O667" s="3" t="s">
        <v>281</v>
      </c>
      <c r="P667" s="3" t="s">
        <v>1674</v>
      </c>
    </row>
    <row r="668" spans="1:16" hidden="1" x14ac:dyDescent="0.4">
      <c r="A668" s="7">
        <v>667</v>
      </c>
      <c r="B668" s="8" t="s">
        <v>3083</v>
      </c>
      <c r="C668" s="6" t="str">
        <f>IFERROR(IF(LEFT(D668,FIND(" ",D668)-1)="전라북도","전북특별자치도",LEFT(D668,FIND(" ",D668)-1)),"")</f>
        <v>경기도</v>
      </c>
      <c r="D668" s="3" t="s">
        <v>3084</v>
      </c>
      <c r="E668" s="3" t="s">
        <v>3080</v>
      </c>
      <c r="F668" s="3" t="s">
        <v>565</v>
      </c>
      <c r="G668" s="3" t="s">
        <v>3085</v>
      </c>
      <c r="H668" s="3" t="s">
        <v>3086</v>
      </c>
      <c r="I668" s="3" t="s">
        <v>19</v>
      </c>
      <c r="J668" s="3" t="s">
        <v>19</v>
      </c>
      <c r="K668" s="3" t="s">
        <v>21</v>
      </c>
      <c r="L668" s="3" t="s">
        <v>22</v>
      </c>
      <c r="M668" s="4">
        <v>95</v>
      </c>
      <c r="N668" s="3" t="s">
        <v>123</v>
      </c>
      <c r="O668" s="3" t="s">
        <v>281</v>
      </c>
      <c r="P668" s="3" t="s">
        <v>2326</v>
      </c>
    </row>
    <row r="669" spans="1:16" hidden="1" x14ac:dyDescent="0.4">
      <c r="A669" s="7">
        <v>668</v>
      </c>
      <c r="B669" s="8" t="s">
        <v>3087</v>
      </c>
      <c r="C669" s="6" t="str">
        <f>IFERROR(IF(LEFT(D669,FIND(" ",D669)-1)="전라북도","전북특별자치도",LEFT(D669,FIND(" ",D669)-1)),"")</f>
        <v>전라남도</v>
      </c>
      <c r="D669" s="3" t="s">
        <v>3088</v>
      </c>
      <c r="E669" s="3" t="s">
        <v>3038</v>
      </c>
      <c r="F669" s="3" t="s">
        <v>565</v>
      </c>
      <c r="G669" s="3" t="s">
        <v>3089</v>
      </c>
      <c r="H669" s="3" t="s">
        <v>2858</v>
      </c>
      <c r="I669" s="3" t="s">
        <v>2858</v>
      </c>
      <c r="J669" s="3" t="s">
        <v>3090</v>
      </c>
      <c r="K669" s="3" t="s">
        <v>21</v>
      </c>
      <c r="L669" s="3" t="s">
        <v>147</v>
      </c>
      <c r="M669" s="4">
        <v>613</v>
      </c>
      <c r="N669" s="3" t="s">
        <v>562</v>
      </c>
      <c r="O669" s="3" t="s">
        <v>281</v>
      </c>
      <c r="P669" s="3" t="s">
        <v>2182</v>
      </c>
    </row>
    <row r="670" spans="1:16" hidden="1" x14ac:dyDescent="0.4">
      <c r="A670" s="7">
        <v>669</v>
      </c>
      <c r="B670" s="8" t="s">
        <v>3091</v>
      </c>
      <c r="C670" s="6" t="str">
        <f>IFERROR(IF(LEFT(D670,FIND(" ",D670)-1)="전라북도","전북특별자치도",LEFT(D670,FIND(" ",D670)-1)),"")</f>
        <v>부산광역시</v>
      </c>
      <c r="D670" s="3" t="s">
        <v>3092</v>
      </c>
      <c r="E670" s="3" t="s">
        <v>3093</v>
      </c>
      <c r="F670" s="3" t="s">
        <v>2635</v>
      </c>
      <c r="G670" s="3" t="s">
        <v>3094</v>
      </c>
      <c r="H670" s="3" t="s">
        <v>3095</v>
      </c>
      <c r="I670" s="3" t="s">
        <v>19</v>
      </c>
      <c r="J670" s="3" t="s">
        <v>19</v>
      </c>
      <c r="K670" s="3" t="s">
        <v>21</v>
      </c>
      <c r="L670" s="3" t="s">
        <v>147</v>
      </c>
      <c r="M670" s="4">
        <v>807</v>
      </c>
      <c r="N670" s="3" t="s">
        <v>19</v>
      </c>
      <c r="O670" s="3" t="s">
        <v>281</v>
      </c>
      <c r="P670" s="3" t="s">
        <v>1169</v>
      </c>
    </row>
    <row r="671" spans="1:16" hidden="1" x14ac:dyDescent="0.4">
      <c r="A671" s="7">
        <v>670</v>
      </c>
      <c r="B671" s="8" t="s">
        <v>3096</v>
      </c>
      <c r="C671" s="6" t="str">
        <f>IFERROR(IF(LEFT(D671,FIND(" ",D671)-1)="전라북도","전북특별자치도",LEFT(D671,FIND(" ",D671)-1)),"")</f>
        <v>전라남도</v>
      </c>
      <c r="D671" s="3" t="s">
        <v>3097</v>
      </c>
      <c r="E671" s="3" t="s">
        <v>3098</v>
      </c>
      <c r="F671" s="3" t="s">
        <v>2635</v>
      </c>
      <c r="G671" s="3" t="s">
        <v>3099</v>
      </c>
      <c r="H671" s="3" t="s">
        <v>1480</v>
      </c>
      <c r="I671" s="3" t="s">
        <v>1480</v>
      </c>
      <c r="J671" s="3" t="s">
        <v>3100</v>
      </c>
      <c r="K671" s="3" t="s">
        <v>21</v>
      </c>
      <c r="L671" s="3" t="s">
        <v>147</v>
      </c>
      <c r="M671" s="4">
        <v>1199</v>
      </c>
      <c r="N671" s="3" t="s">
        <v>2155</v>
      </c>
      <c r="O671" s="3" t="s">
        <v>281</v>
      </c>
      <c r="P671" s="3" t="s">
        <v>2331</v>
      </c>
    </row>
    <row r="672" spans="1:16" hidden="1" x14ac:dyDescent="0.4">
      <c r="A672" s="7">
        <v>671</v>
      </c>
      <c r="B672" s="8" t="s">
        <v>3101</v>
      </c>
      <c r="C672" s="6" t="str">
        <f>IFERROR(IF(LEFT(D672,FIND(" ",D672)-1)="전라북도","전북특별자치도",LEFT(D672,FIND(" ",D672)-1)),"")</f>
        <v>전라남도</v>
      </c>
      <c r="D672" s="3" t="s">
        <v>3102</v>
      </c>
      <c r="E672" s="3" t="s">
        <v>3103</v>
      </c>
      <c r="F672" s="3" t="s">
        <v>790</v>
      </c>
      <c r="G672" s="3" t="s">
        <v>3104</v>
      </c>
      <c r="H672" s="3" t="s">
        <v>971</v>
      </c>
      <c r="I672" s="3" t="s">
        <v>971</v>
      </c>
      <c r="J672" s="3" t="s">
        <v>19</v>
      </c>
      <c r="K672" s="3" t="s">
        <v>21</v>
      </c>
      <c r="L672" s="3" t="s">
        <v>22</v>
      </c>
      <c r="M672" s="4">
        <v>207</v>
      </c>
      <c r="N672" s="3" t="s">
        <v>1498</v>
      </c>
      <c r="O672" s="3" t="s">
        <v>281</v>
      </c>
      <c r="P672" s="3" t="s">
        <v>2406</v>
      </c>
    </row>
    <row r="673" spans="1:16" hidden="1" x14ac:dyDescent="0.4">
      <c r="A673" s="7">
        <v>672</v>
      </c>
      <c r="B673" s="8" t="s">
        <v>3105</v>
      </c>
      <c r="C673" s="6" t="str">
        <f>IFERROR(IF(LEFT(D673,FIND(" ",D673)-1)="전라북도","전북특별자치도",LEFT(D673,FIND(" ",D673)-1)),"")</f>
        <v>제주특별자치도</v>
      </c>
      <c r="D673" s="3" t="s">
        <v>3106</v>
      </c>
      <c r="E673" s="3" t="s">
        <v>2744</v>
      </c>
      <c r="F673" s="3" t="s">
        <v>790</v>
      </c>
      <c r="G673" s="3" t="s">
        <v>3107</v>
      </c>
      <c r="H673" s="3" t="s">
        <v>1713</v>
      </c>
      <c r="I673" s="3" t="s">
        <v>19</v>
      </c>
      <c r="J673" s="3" t="s">
        <v>19</v>
      </c>
      <c r="K673" s="3" t="s">
        <v>21</v>
      </c>
      <c r="L673" s="3" t="s">
        <v>147</v>
      </c>
      <c r="M673" s="4">
        <v>812</v>
      </c>
      <c r="N673" s="3" t="s">
        <v>1498</v>
      </c>
      <c r="O673" s="3" t="s">
        <v>281</v>
      </c>
      <c r="P673" s="3" t="s">
        <v>2183</v>
      </c>
    </row>
    <row r="674" spans="1:16" hidden="1" x14ac:dyDescent="0.4">
      <c r="A674" s="7">
        <v>673</v>
      </c>
      <c r="B674" s="8" t="s">
        <v>3108</v>
      </c>
      <c r="C674" s="6" t="str">
        <f>IFERROR(IF(LEFT(D674,FIND(" ",D674)-1)="전라북도","전북특별자치도",LEFT(D674,FIND(" ",D674)-1)),"")</f>
        <v>충청남도</v>
      </c>
      <c r="D674" s="3" t="s">
        <v>3109</v>
      </c>
      <c r="E674" s="3" t="s">
        <v>2248</v>
      </c>
      <c r="F674" s="3" t="s">
        <v>2707</v>
      </c>
      <c r="G674" s="3" t="s">
        <v>3110</v>
      </c>
      <c r="H674" s="3" t="s">
        <v>3111</v>
      </c>
      <c r="I674" s="3" t="s">
        <v>3112</v>
      </c>
      <c r="J674" s="3" t="s">
        <v>3113</v>
      </c>
      <c r="K674" s="3" t="s">
        <v>21</v>
      </c>
      <c r="L674" s="3" t="s">
        <v>22</v>
      </c>
      <c r="M674" s="4">
        <v>366</v>
      </c>
      <c r="N674" s="3" t="s">
        <v>1498</v>
      </c>
      <c r="O674" s="3" t="s">
        <v>281</v>
      </c>
      <c r="P674" s="3" t="s">
        <v>522</v>
      </c>
    </row>
    <row r="675" spans="1:16" hidden="1" x14ac:dyDescent="0.4">
      <c r="A675" s="7">
        <v>674</v>
      </c>
      <c r="B675" s="8" t="s">
        <v>3114</v>
      </c>
      <c r="C675" s="6" t="str">
        <f>IFERROR(IF(LEFT(D675,FIND(" ",D675)-1)="전라북도","전북특별자치도",LEFT(D675,FIND(" ",D675)-1)),"")</f>
        <v>충청남도</v>
      </c>
      <c r="D675" s="3" t="s">
        <v>3115</v>
      </c>
      <c r="E675" s="3" t="s">
        <v>827</v>
      </c>
      <c r="F675" s="3" t="s">
        <v>2575</v>
      </c>
      <c r="G675" s="3" t="s">
        <v>3116</v>
      </c>
      <c r="H675" s="3" t="s">
        <v>3117</v>
      </c>
      <c r="I675" s="3" t="s">
        <v>3118</v>
      </c>
      <c r="J675" s="3" t="s">
        <v>19</v>
      </c>
      <c r="K675" s="3" t="s">
        <v>21</v>
      </c>
      <c r="L675" s="3" t="s">
        <v>22</v>
      </c>
      <c r="M675" s="4">
        <v>494</v>
      </c>
      <c r="N675" s="3" t="s">
        <v>1498</v>
      </c>
      <c r="O675" s="3" t="s">
        <v>281</v>
      </c>
      <c r="P675" s="3" t="s">
        <v>69</v>
      </c>
    </row>
    <row r="676" spans="1:16" x14ac:dyDescent="0.4">
      <c r="A676" s="7">
        <v>675</v>
      </c>
      <c r="B676" s="8" t="s">
        <v>3119</v>
      </c>
      <c r="C676" s="6" t="str">
        <f>IFERROR(IF(LEFT(D676,FIND(" ",D676)-1)="전라북도","전북특별자치도",LEFT(D676,FIND(" ",D676)-1)),"")</f>
        <v>경상북도</v>
      </c>
      <c r="D676" s="3" t="s">
        <v>3120</v>
      </c>
      <c r="E676" s="3" t="s">
        <v>814</v>
      </c>
      <c r="F676" s="3" t="s">
        <v>3027</v>
      </c>
      <c r="G676" s="3" t="s">
        <v>19</v>
      </c>
      <c r="H676" s="3" t="s">
        <v>896</v>
      </c>
      <c r="I676" s="3" t="s">
        <v>19</v>
      </c>
      <c r="J676" s="3" t="s">
        <v>19</v>
      </c>
      <c r="K676" s="3" t="s">
        <v>21</v>
      </c>
      <c r="L676" s="3" t="s">
        <v>147</v>
      </c>
      <c r="M676" s="4">
        <v>3917</v>
      </c>
      <c r="N676" s="3" t="s">
        <v>1498</v>
      </c>
      <c r="O676" s="3" t="s">
        <v>24</v>
      </c>
      <c r="P676" s="3" t="s">
        <v>19</v>
      </c>
    </row>
    <row r="677" spans="1:16" hidden="1" x14ac:dyDescent="0.4">
      <c r="A677" s="7">
        <v>676</v>
      </c>
      <c r="B677" s="8" t="s">
        <v>3121</v>
      </c>
      <c r="C677" s="6" t="str">
        <f>IFERROR(IF(LEFT(D677,FIND(" ",D677)-1)="전라북도","전북특별자치도",LEFT(D677,FIND(" ",D677)-1)),"")</f>
        <v>제주특별자치도</v>
      </c>
      <c r="D677" s="3" t="s">
        <v>3122</v>
      </c>
      <c r="E677" s="3" t="s">
        <v>3059</v>
      </c>
      <c r="F677" s="3" t="s">
        <v>3123</v>
      </c>
      <c r="G677" s="3" t="s">
        <v>3124</v>
      </c>
      <c r="H677" s="3" t="s">
        <v>241</v>
      </c>
      <c r="I677" s="3" t="s">
        <v>241</v>
      </c>
      <c r="J677" s="3" t="s">
        <v>3125</v>
      </c>
      <c r="K677" s="3" t="s">
        <v>21</v>
      </c>
      <c r="L677" s="3" t="s">
        <v>147</v>
      </c>
      <c r="M677" s="4">
        <v>87759</v>
      </c>
      <c r="N677" s="3" t="s">
        <v>3126</v>
      </c>
      <c r="O677" s="3" t="s">
        <v>281</v>
      </c>
      <c r="P677" s="3" t="s">
        <v>2443</v>
      </c>
    </row>
    <row r="678" spans="1:16" hidden="1" x14ac:dyDescent="0.4">
      <c r="A678" s="7">
        <v>677</v>
      </c>
      <c r="B678" s="8" t="s">
        <v>3127</v>
      </c>
      <c r="C678" s="6" t="str">
        <f>IFERROR(IF(LEFT(D678,FIND(" ",D678)-1)="전라북도","전북특별자치도",LEFT(D678,FIND(" ",D678)-1)),"")</f>
        <v>전북특별자치도</v>
      </c>
      <c r="D678" s="3" t="s">
        <v>3128</v>
      </c>
      <c r="E678" s="3" t="s">
        <v>3129</v>
      </c>
      <c r="F678" s="3" t="s">
        <v>3130</v>
      </c>
      <c r="G678" s="3" t="s">
        <v>3131</v>
      </c>
      <c r="H678" s="3" t="s">
        <v>19</v>
      </c>
      <c r="I678" s="3" t="s">
        <v>19</v>
      </c>
      <c r="J678" s="3" t="s">
        <v>3132</v>
      </c>
      <c r="K678" s="3" t="s">
        <v>21</v>
      </c>
      <c r="L678" s="3" t="s">
        <v>22</v>
      </c>
      <c r="M678" s="4">
        <v>2436</v>
      </c>
      <c r="N678" s="3" t="s">
        <v>1498</v>
      </c>
      <c r="O678" s="3" t="s">
        <v>281</v>
      </c>
      <c r="P678" s="3" t="s">
        <v>375</v>
      </c>
    </row>
    <row r="679" spans="1:16" hidden="1" x14ac:dyDescent="0.4">
      <c r="A679" s="7">
        <v>678</v>
      </c>
      <c r="B679" s="8" t="s">
        <v>3133</v>
      </c>
      <c r="C679" s="6" t="str">
        <f>IFERROR(IF(LEFT(D679,FIND(" ",D679)-1)="전라북도","전북특별자치도",LEFT(D679,FIND(" ",D679)-1)),"")</f>
        <v>전북특별자치도</v>
      </c>
      <c r="D679" s="3" t="s">
        <v>3134</v>
      </c>
      <c r="E679" s="3" t="s">
        <v>3129</v>
      </c>
      <c r="F679" s="3" t="s">
        <v>3130</v>
      </c>
      <c r="G679" s="3" t="s">
        <v>3131</v>
      </c>
      <c r="H679" s="3" t="s">
        <v>19</v>
      </c>
      <c r="I679" s="3" t="s">
        <v>3135</v>
      </c>
      <c r="J679" s="3" t="s">
        <v>19</v>
      </c>
      <c r="K679" s="3" t="s">
        <v>21</v>
      </c>
      <c r="L679" s="3" t="s">
        <v>22</v>
      </c>
      <c r="M679" s="4">
        <v>2412</v>
      </c>
      <c r="N679" s="3" t="s">
        <v>1498</v>
      </c>
      <c r="O679" s="3" t="s">
        <v>281</v>
      </c>
      <c r="P679" s="3" t="s">
        <v>375</v>
      </c>
    </row>
    <row r="680" spans="1:16" hidden="1" x14ac:dyDescent="0.4">
      <c r="A680" s="7">
        <v>679</v>
      </c>
      <c r="B680" s="8" t="s">
        <v>3136</v>
      </c>
      <c r="C680" s="6" t="str">
        <f>IFERROR(IF(LEFT(D680,FIND(" ",D680)-1)="전라북도","전북특별자치도",LEFT(D680,FIND(" ",D680)-1)),"")</f>
        <v>울산광역시</v>
      </c>
      <c r="D680" s="3" t="s">
        <v>3137</v>
      </c>
      <c r="E680" s="3" t="s">
        <v>3138</v>
      </c>
      <c r="F680" s="3" t="s">
        <v>3130</v>
      </c>
      <c r="G680" s="3" t="s">
        <v>3139</v>
      </c>
      <c r="H680" s="3" t="s">
        <v>3140</v>
      </c>
      <c r="I680" s="3" t="s">
        <v>3141</v>
      </c>
      <c r="J680" s="3" t="s">
        <v>19</v>
      </c>
      <c r="K680" s="3" t="s">
        <v>21</v>
      </c>
      <c r="L680" s="3" t="s">
        <v>228</v>
      </c>
      <c r="M680" s="4">
        <v>2195</v>
      </c>
      <c r="N680" s="3" t="s">
        <v>1498</v>
      </c>
      <c r="O680" s="3" t="s">
        <v>281</v>
      </c>
      <c r="P680" s="3" t="s">
        <v>2390</v>
      </c>
    </row>
    <row r="681" spans="1:16" x14ac:dyDescent="0.4">
      <c r="A681" s="7">
        <v>680</v>
      </c>
      <c r="B681" s="8" t="s">
        <v>3142</v>
      </c>
      <c r="C681" s="6" t="str">
        <f>IFERROR(IF(LEFT(D681,FIND(" ",D681)-1)="전라북도","전북특별자치도",LEFT(D681,FIND(" ",D681)-1)),"")</f>
        <v>전라남도</v>
      </c>
      <c r="D681" s="3" t="s">
        <v>3143</v>
      </c>
      <c r="E681" s="3" t="s">
        <v>3144</v>
      </c>
      <c r="F681" s="3" t="s">
        <v>2744</v>
      </c>
      <c r="G681" s="3" t="s">
        <v>3145</v>
      </c>
      <c r="H681" s="3" t="s">
        <v>3146</v>
      </c>
      <c r="I681" s="3" t="s">
        <v>3146</v>
      </c>
      <c r="J681" s="3" t="s">
        <v>3147</v>
      </c>
      <c r="K681" s="3" t="s">
        <v>21</v>
      </c>
      <c r="L681" s="3" t="s">
        <v>22</v>
      </c>
      <c r="M681" s="4">
        <v>2208</v>
      </c>
      <c r="N681" s="3" t="s">
        <v>1498</v>
      </c>
      <c r="O681" s="3" t="s">
        <v>24</v>
      </c>
      <c r="P681" s="3" t="s">
        <v>19</v>
      </c>
    </row>
    <row r="682" spans="1:16" hidden="1" x14ac:dyDescent="0.4">
      <c r="A682" s="7">
        <v>681</v>
      </c>
      <c r="B682" s="8" t="s">
        <v>3148</v>
      </c>
      <c r="C682" s="6" t="str">
        <f>IFERROR(IF(LEFT(D682,FIND(" ",D682)-1)="전라북도","전북특별자치도",LEFT(D682,FIND(" ",D682)-1)),"")</f>
        <v>경기도</v>
      </c>
      <c r="D682" s="3" t="s">
        <v>3149</v>
      </c>
      <c r="E682" s="3" t="s">
        <v>3150</v>
      </c>
      <c r="F682" s="3" t="s">
        <v>827</v>
      </c>
      <c r="G682" s="3" t="s">
        <v>19</v>
      </c>
      <c r="H682" s="3" t="s">
        <v>3151</v>
      </c>
      <c r="I682" s="3" t="s">
        <v>3151</v>
      </c>
      <c r="J682" s="3" t="s">
        <v>19</v>
      </c>
      <c r="K682" s="3" t="s">
        <v>21</v>
      </c>
      <c r="L682" s="3" t="s">
        <v>228</v>
      </c>
      <c r="M682" s="4">
        <v>393</v>
      </c>
      <c r="N682" s="3" t="s">
        <v>3152</v>
      </c>
      <c r="O682" s="3" t="s">
        <v>281</v>
      </c>
      <c r="P682" s="3" t="s">
        <v>2325</v>
      </c>
    </row>
    <row r="683" spans="1:16" hidden="1" x14ac:dyDescent="0.4">
      <c r="A683" s="7">
        <v>682</v>
      </c>
      <c r="B683" s="8" t="s">
        <v>3153</v>
      </c>
      <c r="C683" s="6" t="str">
        <f>IFERROR(IF(LEFT(D683,FIND(" ",D683)-1)="전라북도","전북특별자치도",LEFT(D683,FIND(" ",D683)-1)),"")</f>
        <v>대전광역시</v>
      </c>
      <c r="D683" s="3" t="s">
        <v>3154</v>
      </c>
      <c r="E683" s="3" t="s">
        <v>2874</v>
      </c>
      <c r="F683" s="3" t="s">
        <v>827</v>
      </c>
      <c r="G683" s="3" t="s">
        <v>19</v>
      </c>
      <c r="H683" s="3" t="s">
        <v>3155</v>
      </c>
      <c r="I683" s="3" t="s">
        <v>19</v>
      </c>
      <c r="J683" s="3" t="s">
        <v>19</v>
      </c>
      <c r="K683" s="3" t="s">
        <v>21</v>
      </c>
      <c r="L683" s="3" t="s">
        <v>147</v>
      </c>
      <c r="M683" s="4">
        <v>2125</v>
      </c>
      <c r="N683" s="3" t="s">
        <v>1498</v>
      </c>
      <c r="O683" s="3" t="s">
        <v>281</v>
      </c>
      <c r="P683" s="3" t="s">
        <v>2046</v>
      </c>
    </row>
    <row r="684" spans="1:16" hidden="1" x14ac:dyDescent="0.4">
      <c r="A684" s="7">
        <v>683</v>
      </c>
      <c r="B684" s="8" t="s">
        <v>3156</v>
      </c>
      <c r="C684" s="6" t="str">
        <f>IFERROR(IF(LEFT(D684,FIND(" ",D684)-1)="전라북도","전북특별자치도",LEFT(D684,FIND(" ",D684)-1)),"")</f>
        <v>충청남도</v>
      </c>
      <c r="D684" s="3" t="s">
        <v>3157</v>
      </c>
      <c r="E684" s="3" t="s">
        <v>3158</v>
      </c>
      <c r="F684" s="3" t="s">
        <v>3159</v>
      </c>
      <c r="G684" s="3" t="s">
        <v>3161</v>
      </c>
      <c r="H684" s="3" t="s">
        <v>3162</v>
      </c>
      <c r="I684" s="3" t="s">
        <v>3162</v>
      </c>
      <c r="J684" s="3" t="s">
        <v>262</v>
      </c>
      <c r="K684" s="3" t="s">
        <v>21</v>
      </c>
      <c r="L684" s="3" t="s">
        <v>22</v>
      </c>
      <c r="M684" s="4">
        <v>13842</v>
      </c>
      <c r="N684" s="3" t="s">
        <v>1498</v>
      </c>
      <c r="O684" s="3" t="s">
        <v>281</v>
      </c>
      <c r="P684" s="3" t="s">
        <v>3160</v>
      </c>
    </row>
    <row r="685" spans="1:16" hidden="1" x14ac:dyDescent="0.4">
      <c r="A685" s="7">
        <v>684</v>
      </c>
      <c r="B685" s="8" t="s">
        <v>3163</v>
      </c>
      <c r="C685" s="6" t="str">
        <f>IFERROR(IF(LEFT(D685,FIND(" ",D685)-1)="전라북도","전북특별자치도",LEFT(D685,FIND(" ",D685)-1)),"")</f>
        <v>경기도</v>
      </c>
      <c r="D685" s="3" t="s">
        <v>3164</v>
      </c>
      <c r="E685" s="3" t="s">
        <v>2507</v>
      </c>
      <c r="F685" s="3" t="s">
        <v>814</v>
      </c>
      <c r="G685" s="3" t="s">
        <v>3165</v>
      </c>
      <c r="H685" s="3" t="s">
        <v>1110</v>
      </c>
      <c r="I685" s="3" t="s">
        <v>2957</v>
      </c>
      <c r="J685" s="3" t="s">
        <v>19</v>
      </c>
      <c r="K685" s="3" t="s">
        <v>21</v>
      </c>
      <c r="L685" s="3" t="s">
        <v>22</v>
      </c>
      <c r="M685" s="4">
        <v>614</v>
      </c>
      <c r="N685" s="3" t="s">
        <v>1498</v>
      </c>
      <c r="O685" s="3" t="s">
        <v>281</v>
      </c>
      <c r="P685" s="3" t="s">
        <v>1148</v>
      </c>
    </row>
    <row r="686" spans="1:16" x14ac:dyDescent="0.4">
      <c r="A686" s="7">
        <v>685</v>
      </c>
      <c r="B686" s="8" t="s">
        <v>3166</v>
      </c>
      <c r="C686" s="6" t="str">
        <f>IFERROR(IF(LEFT(D686,FIND(" ",D686)-1)="전라북도","전북특별자치도",LEFT(D686,FIND(" ",D686)-1)),"")</f>
        <v>경상남도</v>
      </c>
      <c r="D686" s="3" t="s">
        <v>3167</v>
      </c>
      <c r="E686" s="3" t="s">
        <v>3168</v>
      </c>
      <c r="F686" s="3" t="s">
        <v>814</v>
      </c>
      <c r="G686" s="3" t="s">
        <v>2685</v>
      </c>
      <c r="H686" s="3" t="s">
        <v>376</v>
      </c>
      <c r="I686" s="3" t="s">
        <v>3169</v>
      </c>
      <c r="J686" s="3" t="s">
        <v>19</v>
      </c>
      <c r="K686" s="3" t="s">
        <v>21</v>
      </c>
      <c r="L686" s="3" t="s">
        <v>22</v>
      </c>
      <c r="M686" s="4">
        <v>3692</v>
      </c>
      <c r="N686" s="3" t="s">
        <v>1498</v>
      </c>
      <c r="O686" s="3" t="s">
        <v>24</v>
      </c>
      <c r="P686" s="3" t="s">
        <v>19</v>
      </c>
    </row>
    <row r="687" spans="1:16" hidden="1" x14ac:dyDescent="0.4">
      <c r="A687" s="7">
        <v>686</v>
      </c>
      <c r="B687" s="8" t="s">
        <v>3170</v>
      </c>
      <c r="C687" s="6" t="str">
        <f>IFERROR(IF(LEFT(D687,FIND(" ",D687)-1)="전라북도","전북특별자치도",LEFT(D687,FIND(" ",D687)-1)),"")</f>
        <v>인천광역시</v>
      </c>
      <c r="D687" s="3" t="s">
        <v>3171</v>
      </c>
      <c r="E687" s="3" t="s">
        <v>3172</v>
      </c>
      <c r="F687" s="3" t="s">
        <v>3173</v>
      </c>
      <c r="G687" s="3" t="s">
        <v>19</v>
      </c>
      <c r="H687" s="3" t="s">
        <v>3162</v>
      </c>
      <c r="I687" s="3" t="s">
        <v>19</v>
      </c>
      <c r="J687" s="3" t="s">
        <v>19</v>
      </c>
      <c r="K687" s="3" t="s">
        <v>21</v>
      </c>
      <c r="L687" s="3" t="s">
        <v>358</v>
      </c>
      <c r="M687" s="4">
        <v>480</v>
      </c>
      <c r="N687" s="3" t="s">
        <v>1498</v>
      </c>
      <c r="O687" s="3" t="s">
        <v>281</v>
      </c>
      <c r="P687" s="3" t="s">
        <v>3103</v>
      </c>
    </row>
    <row r="688" spans="1:16" hidden="1" x14ac:dyDescent="0.4">
      <c r="A688" s="7">
        <v>687</v>
      </c>
      <c r="B688" s="8" t="s">
        <v>3174</v>
      </c>
      <c r="C688" s="6" t="str">
        <f>IFERROR(IF(LEFT(D688,FIND(" ",D688)-1)="전라북도","전북특별자치도",LEFT(D688,FIND(" ",D688)-1)),"")</f>
        <v>서울특별시</v>
      </c>
      <c r="D688" s="3" t="s">
        <v>3175</v>
      </c>
      <c r="E688" s="3" t="s">
        <v>3176</v>
      </c>
      <c r="F688" s="3" t="s">
        <v>3024</v>
      </c>
      <c r="G688" s="3" t="s">
        <v>19</v>
      </c>
      <c r="H688" s="3" t="s">
        <v>3178</v>
      </c>
      <c r="I688" s="3" t="s">
        <v>3178</v>
      </c>
      <c r="J688" s="3" t="s">
        <v>19</v>
      </c>
      <c r="K688" s="3" t="s">
        <v>21</v>
      </c>
      <c r="L688" s="3" t="s">
        <v>147</v>
      </c>
      <c r="M688" s="4">
        <v>1127</v>
      </c>
      <c r="N688" s="3" t="s">
        <v>1498</v>
      </c>
      <c r="O688" s="3" t="s">
        <v>281</v>
      </c>
      <c r="P688" s="3" t="s">
        <v>3177</v>
      </c>
    </row>
    <row r="689" spans="1:16" hidden="1" x14ac:dyDescent="0.4">
      <c r="A689" s="7">
        <v>688</v>
      </c>
      <c r="B689" s="8" t="s">
        <v>3179</v>
      </c>
      <c r="C689" s="6" t="str">
        <f>IFERROR(IF(LEFT(D689,FIND(" ",D689)-1)="전라북도","전북특별자치도",LEFT(D689,FIND(" ",D689)-1)),"")</f>
        <v>경기도</v>
      </c>
      <c r="D689" s="3" t="s">
        <v>3180</v>
      </c>
      <c r="E689" s="3" t="s">
        <v>3181</v>
      </c>
      <c r="F689" s="3" t="s">
        <v>3024</v>
      </c>
      <c r="G689" s="3" t="s">
        <v>19</v>
      </c>
      <c r="H689" s="3" t="s">
        <v>3182</v>
      </c>
      <c r="I689" s="3" t="s">
        <v>19</v>
      </c>
      <c r="J689" s="3" t="s">
        <v>19</v>
      </c>
      <c r="K689" s="3" t="s">
        <v>21</v>
      </c>
      <c r="L689" s="3" t="s">
        <v>147</v>
      </c>
      <c r="M689" s="4">
        <v>653</v>
      </c>
      <c r="N689" s="3" t="s">
        <v>19</v>
      </c>
      <c r="O689" s="3" t="s">
        <v>281</v>
      </c>
      <c r="P689" s="3" t="s">
        <v>2927</v>
      </c>
    </row>
    <row r="690" spans="1:16" hidden="1" x14ac:dyDescent="0.4">
      <c r="A690" s="7">
        <v>689</v>
      </c>
      <c r="B690" s="8" t="s">
        <v>3183</v>
      </c>
      <c r="C690" s="6" t="str">
        <f>IFERROR(IF(LEFT(D690,FIND(" ",D690)-1)="전라북도","전북특별자치도",LEFT(D690,FIND(" ",D690)-1)),"")</f>
        <v>경기도</v>
      </c>
      <c r="D690" s="3" t="s">
        <v>3184</v>
      </c>
      <c r="E690" s="3" t="s">
        <v>3181</v>
      </c>
      <c r="F690" s="3" t="s">
        <v>3024</v>
      </c>
      <c r="G690" s="3" t="s">
        <v>19</v>
      </c>
      <c r="H690" s="3" t="s">
        <v>3182</v>
      </c>
      <c r="I690" s="3" t="s">
        <v>19</v>
      </c>
      <c r="J690" s="3" t="s">
        <v>19</v>
      </c>
      <c r="K690" s="3" t="s">
        <v>21</v>
      </c>
      <c r="L690" s="3" t="s">
        <v>147</v>
      </c>
      <c r="M690" s="4">
        <v>504</v>
      </c>
      <c r="N690" s="3" t="s">
        <v>19</v>
      </c>
      <c r="O690" s="3" t="s">
        <v>281</v>
      </c>
      <c r="P690" s="3" t="s">
        <v>2927</v>
      </c>
    </row>
    <row r="691" spans="1:16" hidden="1" x14ac:dyDescent="0.4">
      <c r="A691" s="7">
        <v>690</v>
      </c>
      <c r="B691" s="8" t="s">
        <v>3185</v>
      </c>
      <c r="C691" s="6" t="str">
        <f>IFERROR(IF(LEFT(D691,FIND(" ",D691)-1)="전라북도","전북특별자치도",LEFT(D691,FIND(" ",D691)-1)),"")</f>
        <v>서울특별시</v>
      </c>
      <c r="D691" s="3" t="s">
        <v>3186</v>
      </c>
      <c r="E691" s="3" t="s">
        <v>2783</v>
      </c>
      <c r="F691" s="3" t="s">
        <v>3187</v>
      </c>
      <c r="G691" s="3" t="s">
        <v>19</v>
      </c>
      <c r="H691" s="3" t="s">
        <v>3188</v>
      </c>
      <c r="I691" s="3" t="s">
        <v>3188</v>
      </c>
      <c r="J691" s="3" t="s">
        <v>19</v>
      </c>
      <c r="K691" s="3" t="s">
        <v>21</v>
      </c>
      <c r="L691" s="3" t="s">
        <v>147</v>
      </c>
      <c r="M691" s="4">
        <v>5783</v>
      </c>
      <c r="N691" s="3" t="s">
        <v>19</v>
      </c>
      <c r="O691" s="3" t="s">
        <v>281</v>
      </c>
      <c r="P691" s="3" t="s">
        <v>2002</v>
      </c>
    </row>
    <row r="692" spans="1:16" hidden="1" x14ac:dyDescent="0.4">
      <c r="A692" s="7">
        <v>691</v>
      </c>
      <c r="B692" s="8" t="s">
        <v>3189</v>
      </c>
      <c r="C692" s="6" t="str">
        <f>IFERROR(IF(LEFT(D692,FIND(" ",D692)-1)="전라북도","전북특별자치도",LEFT(D692,FIND(" ",D692)-1)),"")</f>
        <v>경기도</v>
      </c>
      <c r="D692" s="3" t="s">
        <v>3190</v>
      </c>
      <c r="E692" s="3" t="s">
        <v>924</v>
      </c>
      <c r="F692" s="3" t="s">
        <v>3191</v>
      </c>
      <c r="G692" s="3" t="s">
        <v>19</v>
      </c>
      <c r="H692" s="3" t="s">
        <v>2831</v>
      </c>
      <c r="I692" s="3" t="s">
        <v>19</v>
      </c>
      <c r="J692" s="3" t="s">
        <v>19</v>
      </c>
      <c r="K692" s="3" t="s">
        <v>21</v>
      </c>
      <c r="L692" s="3" t="s">
        <v>147</v>
      </c>
      <c r="M692" s="4">
        <v>509</v>
      </c>
      <c r="N692" s="3" t="s">
        <v>2155</v>
      </c>
      <c r="O692" s="3" t="s">
        <v>281</v>
      </c>
      <c r="P692" s="3" t="s">
        <v>814</v>
      </c>
    </row>
    <row r="693" spans="1:16" hidden="1" x14ac:dyDescent="0.4">
      <c r="A693" s="7">
        <v>692</v>
      </c>
      <c r="B693" s="8" t="s">
        <v>3192</v>
      </c>
      <c r="C693" s="6" t="str">
        <f>IFERROR(IF(LEFT(D693,FIND(" ",D693)-1)="전라북도","전북특별자치도",LEFT(D693,FIND(" ",D693)-1)),"")</f>
        <v>제주특별자치도</v>
      </c>
      <c r="D693" s="3" t="s">
        <v>3193</v>
      </c>
      <c r="E693" s="3" t="s">
        <v>3053</v>
      </c>
      <c r="F693" s="3" t="s">
        <v>3194</v>
      </c>
      <c r="G693" s="3" t="s">
        <v>3195</v>
      </c>
      <c r="H693" s="3" t="s">
        <v>3196</v>
      </c>
      <c r="I693" s="3" t="s">
        <v>3196</v>
      </c>
      <c r="J693" s="3" t="s">
        <v>19</v>
      </c>
      <c r="K693" s="3" t="s">
        <v>21</v>
      </c>
      <c r="L693" s="3" t="s">
        <v>22</v>
      </c>
      <c r="M693" s="4">
        <v>316</v>
      </c>
      <c r="N693" s="3" t="s">
        <v>1498</v>
      </c>
      <c r="O693" s="3" t="s">
        <v>281</v>
      </c>
      <c r="P693" s="3" t="s">
        <v>2387</v>
      </c>
    </row>
    <row r="694" spans="1:16" hidden="1" x14ac:dyDescent="0.4">
      <c r="A694" s="7">
        <v>693</v>
      </c>
      <c r="B694" s="8" t="s">
        <v>3197</v>
      </c>
      <c r="C694" s="6" t="str">
        <f>IFERROR(IF(LEFT(D694,FIND(" ",D694)-1)="전라북도","전북특별자치도",LEFT(D694,FIND(" ",D694)-1)),"")</f>
        <v>울산광역시</v>
      </c>
      <c r="D694" s="3" t="s">
        <v>3198</v>
      </c>
      <c r="E694" s="3" t="s">
        <v>3199</v>
      </c>
      <c r="F694" s="3" t="s">
        <v>3176</v>
      </c>
      <c r="G694" s="3" t="s">
        <v>19</v>
      </c>
      <c r="H694" s="3" t="s">
        <v>3200</v>
      </c>
      <c r="I694" s="3" t="s">
        <v>19</v>
      </c>
      <c r="J694" s="3" t="s">
        <v>19</v>
      </c>
      <c r="K694" s="3" t="s">
        <v>21</v>
      </c>
      <c r="L694" s="3" t="s">
        <v>147</v>
      </c>
      <c r="M694" s="4">
        <v>815</v>
      </c>
      <c r="N694" s="3" t="s">
        <v>19</v>
      </c>
      <c r="O694" s="3" t="s">
        <v>281</v>
      </c>
      <c r="P694" s="3" t="s">
        <v>3027</v>
      </c>
    </row>
    <row r="695" spans="1:16" hidden="1" x14ac:dyDescent="0.4">
      <c r="A695" s="7">
        <v>694</v>
      </c>
      <c r="B695" s="8" t="s">
        <v>3201</v>
      </c>
      <c r="C695" s="6" t="str">
        <f>IFERROR(IF(LEFT(D695,FIND(" ",D695)-1)="전라북도","전북특별자치도",LEFT(D695,FIND(" ",D695)-1)),"")</f>
        <v>전라남도</v>
      </c>
      <c r="D695" s="3" t="s">
        <v>3202</v>
      </c>
      <c r="E695" s="3" t="s">
        <v>3203</v>
      </c>
      <c r="F695" s="3" t="s">
        <v>3199</v>
      </c>
      <c r="G695" s="3" t="s">
        <v>3204</v>
      </c>
      <c r="H695" s="3" t="s">
        <v>3205</v>
      </c>
      <c r="I695" s="3" t="s">
        <v>1591</v>
      </c>
      <c r="J695" s="3" t="s">
        <v>3206</v>
      </c>
      <c r="K695" s="3" t="s">
        <v>21</v>
      </c>
      <c r="L695" s="3" t="s">
        <v>22</v>
      </c>
      <c r="M695" s="4">
        <v>2861</v>
      </c>
      <c r="N695" s="3" t="s">
        <v>1498</v>
      </c>
      <c r="O695" s="3" t="s">
        <v>281</v>
      </c>
      <c r="P695" s="3" t="s">
        <v>2335</v>
      </c>
    </row>
    <row r="696" spans="1:16" hidden="1" x14ac:dyDescent="0.4">
      <c r="A696" s="7">
        <v>695</v>
      </c>
      <c r="B696" s="8" t="s">
        <v>3207</v>
      </c>
      <c r="C696" s="6" t="str">
        <f>IFERROR(IF(LEFT(D696,FIND(" ",D696)-1)="전라북도","전북특별자치도",LEFT(D696,FIND(" ",D696)-1)),"")</f>
        <v>경기도</v>
      </c>
      <c r="D696" s="3" t="s">
        <v>3208</v>
      </c>
      <c r="E696" s="3" t="s">
        <v>3209</v>
      </c>
      <c r="F696" s="3" t="s">
        <v>924</v>
      </c>
      <c r="G696" s="3" t="s">
        <v>3210</v>
      </c>
      <c r="H696" s="3" t="s">
        <v>3211</v>
      </c>
      <c r="I696" s="3" t="s">
        <v>19</v>
      </c>
      <c r="J696" s="3" t="s">
        <v>3210</v>
      </c>
      <c r="K696" s="3" t="s">
        <v>21</v>
      </c>
      <c r="L696" s="3" t="s">
        <v>228</v>
      </c>
      <c r="M696" s="4">
        <v>78099</v>
      </c>
      <c r="N696" s="3" t="s">
        <v>19</v>
      </c>
      <c r="O696" s="3" t="s">
        <v>281</v>
      </c>
      <c r="P696" s="3" t="s">
        <v>2222</v>
      </c>
    </row>
    <row r="697" spans="1:16" hidden="1" x14ac:dyDescent="0.4">
      <c r="A697" s="7">
        <v>696</v>
      </c>
      <c r="B697" s="8" t="s">
        <v>3212</v>
      </c>
      <c r="C697" s="6" t="str">
        <f>IFERROR(IF(LEFT(D697,FIND(" ",D697)-1)="전라북도","전북특별자치도",LEFT(D697,FIND(" ",D697)-1)),"")</f>
        <v>경기도</v>
      </c>
      <c r="D697" s="3" t="s">
        <v>3213</v>
      </c>
      <c r="E697" s="3" t="s">
        <v>3214</v>
      </c>
      <c r="F697" s="3" t="s">
        <v>850</v>
      </c>
      <c r="G697" s="3" t="s">
        <v>2402</v>
      </c>
      <c r="H697" s="3" t="s">
        <v>953</v>
      </c>
      <c r="I697" s="3" t="s">
        <v>953</v>
      </c>
      <c r="J697" s="3" t="s">
        <v>19</v>
      </c>
      <c r="K697" s="3" t="s">
        <v>21</v>
      </c>
      <c r="L697" s="3" t="s">
        <v>22</v>
      </c>
      <c r="M697" s="4">
        <v>1341</v>
      </c>
      <c r="N697" s="3" t="s">
        <v>1498</v>
      </c>
      <c r="O697" s="3" t="s">
        <v>281</v>
      </c>
      <c r="P697" s="3" t="s">
        <v>1413</v>
      </c>
    </row>
    <row r="698" spans="1:16" hidden="1" x14ac:dyDescent="0.4">
      <c r="A698" s="7">
        <v>697</v>
      </c>
      <c r="B698" s="8" t="s">
        <v>3215</v>
      </c>
      <c r="C698" s="6" t="str">
        <f>IFERROR(IF(LEFT(D698,FIND(" ",D698)-1)="전라북도","전북특별자치도",LEFT(D698,FIND(" ",D698)-1)),"")</f>
        <v>경상북도</v>
      </c>
      <c r="D698" s="3" t="s">
        <v>3216</v>
      </c>
      <c r="E698" s="3" t="s">
        <v>867</v>
      </c>
      <c r="F698" s="3" t="s">
        <v>3209</v>
      </c>
      <c r="G698" s="3" t="s">
        <v>3217</v>
      </c>
      <c r="H698" s="3" t="s">
        <v>3218</v>
      </c>
      <c r="I698" s="3" t="s">
        <v>3218</v>
      </c>
      <c r="J698" s="3" t="s">
        <v>19</v>
      </c>
      <c r="K698" s="3" t="s">
        <v>21</v>
      </c>
      <c r="L698" s="3" t="s">
        <v>22</v>
      </c>
      <c r="M698" s="4">
        <v>337</v>
      </c>
      <c r="N698" s="3" t="s">
        <v>1498</v>
      </c>
      <c r="O698" s="3" t="s">
        <v>281</v>
      </c>
      <c r="P698" s="3" t="s">
        <v>1699</v>
      </c>
    </row>
    <row r="699" spans="1:16" x14ac:dyDescent="0.4">
      <c r="A699" s="7">
        <v>698</v>
      </c>
      <c r="B699" s="8" t="s">
        <v>3219</v>
      </c>
      <c r="C699" s="6" t="str">
        <f>IFERROR(IF(LEFT(D699,FIND(" ",D699)-1)="전라북도","전북특별자치도",LEFT(D699,FIND(" ",D699)-1)),"")</f>
        <v>경기도</v>
      </c>
      <c r="D699" s="3" t="s">
        <v>2932</v>
      </c>
      <c r="E699" s="3" t="s">
        <v>3220</v>
      </c>
      <c r="F699" s="3" t="s">
        <v>3221</v>
      </c>
      <c r="G699" s="3" t="s">
        <v>19</v>
      </c>
      <c r="H699" s="3" t="s">
        <v>953</v>
      </c>
      <c r="I699" s="3" t="s">
        <v>953</v>
      </c>
      <c r="J699" s="3" t="s">
        <v>19</v>
      </c>
      <c r="K699" s="3" t="s">
        <v>21</v>
      </c>
      <c r="L699" s="3" t="s">
        <v>22</v>
      </c>
      <c r="M699" s="4">
        <v>1575</v>
      </c>
      <c r="N699" s="3" t="s">
        <v>2155</v>
      </c>
      <c r="O699" s="3" t="s">
        <v>24</v>
      </c>
      <c r="P699" s="3" t="s">
        <v>19</v>
      </c>
    </row>
    <row r="700" spans="1:16" x14ac:dyDescent="0.4">
      <c r="A700" s="7">
        <v>699</v>
      </c>
      <c r="B700" s="8" t="s">
        <v>3219</v>
      </c>
      <c r="C700" s="6" t="str">
        <f>IFERROR(IF(LEFT(D700,FIND(" ",D700)-1)="전라북도","전북특별자치도",LEFT(D700,FIND(" ",D700)-1)),"")</f>
        <v>경기도</v>
      </c>
      <c r="D700" s="3" t="s">
        <v>2932</v>
      </c>
      <c r="E700" s="3" t="s">
        <v>3220</v>
      </c>
      <c r="F700" s="3" t="s">
        <v>3221</v>
      </c>
      <c r="G700" s="3" t="s">
        <v>19</v>
      </c>
      <c r="H700" s="3" t="s">
        <v>953</v>
      </c>
      <c r="I700" s="3" t="s">
        <v>953</v>
      </c>
      <c r="J700" s="3" t="s">
        <v>19</v>
      </c>
      <c r="K700" s="3" t="s">
        <v>21</v>
      </c>
      <c r="L700" s="3" t="s">
        <v>22</v>
      </c>
      <c r="M700" s="4">
        <v>1575</v>
      </c>
      <c r="N700" s="3" t="s">
        <v>2155</v>
      </c>
      <c r="O700" s="3" t="s">
        <v>24</v>
      </c>
      <c r="P700" s="3" t="s">
        <v>19</v>
      </c>
    </row>
    <row r="701" spans="1:16" hidden="1" x14ac:dyDescent="0.4">
      <c r="A701" s="7">
        <v>700</v>
      </c>
      <c r="B701" s="8" t="s">
        <v>3222</v>
      </c>
      <c r="C701" s="6" t="str">
        <f>IFERROR(IF(LEFT(D701,FIND(" ",D701)-1)="전라북도","전북특별자치도",LEFT(D701,FIND(" ",D701)-1)),"")</f>
        <v>경기도</v>
      </c>
      <c r="D701" s="3" t="s">
        <v>3223</v>
      </c>
      <c r="E701" s="3" t="s">
        <v>3220</v>
      </c>
      <c r="F701" s="3" t="s">
        <v>3221</v>
      </c>
      <c r="G701" s="3" t="s">
        <v>19</v>
      </c>
      <c r="H701" s="3" t="s">
        <v>953</v>
      </c>
      <c r="I701" s="3" t="s">
        <v>953</v>
      </c>
      <c r="J701" s="3" t="s">
        <v>19</v>
      </c>
      <c r="K701" s="3" t="s">
        <v>21</v>
      </c>
      <c r="L701" s="3" t="s">
        <v>22</v>
      </c>
      <c r="M701" s="4">
        <v>454</v>
      </c>
      <c r="N701" s="3" t="s">
        <v>2174</v>
      </c>
      <c r="O701" s="3" t="s">
        <v>281</v>
      </c>
      <c r="P701" s="3" t="s">
        <v>2339</v>
      </c>
    </row>
    <row r="702" spans="1:16" hidden="1" x14ac:dyDescent="0.4">
      <c r="A702" s="7">
        <v>701</v>
      </c>
      <c r="B702" s="8" t="s">
        <v>3224</v>
      </c>
      <c r="C702" s="6" t="str">
        <f>IFERROR(IF(LEFT(D702,FIND(" ",D702)-1)="전라북도","전북특별자치도",LEFT(D702,FIND(" ",D702)-1)),"")</f>
        <v>경기도</v>
      </c>
      <c r="D702" s="3" t="s">
        <v>3225</v>
      </c>
      <c r="E702" s="3" t="s">
        <v>3226</v>
      </c>
      <c r="F702" s="3" t="s">
        <v>3214</v>
      </c>
      <c r="G702" s="3" t="s">
        <v>3227</v>
      </c>
      <c r="H702" s="3" t="s">
        <v>953</v>
      </c>
      <c r="I702" s="3" t="s">
        <v>953</v>
      </c>
      <c r="J702" s="3" t="s">
        <v>19</v>
      </c>
      <c r="K702" s="3" t="s">
        <v>21</v>
      </c>
      <c r="L702" s="3" t="s">
        <v>22</v>
      </c>
      <c r="M702" s="4">
        <v>1363</v>
      </c>
      <c r="N702" s="3" t="s">
        <v>1498</v>
      </c>
      <c r="O702" s="3" t="s">
        <v>281</v>
      </c>
      <c r="P702" s="3" t="s">
        <v>1798</v>
      </c>
    </row>
    <row r="703" spans="1:16" hidden="1" x14ac:dyDescent="0.4">
      <c r="A703" s="7">
        <v>702</v>
      </c>
      <c r="B703" s="8" t="s">
        <v>3228</v>
      </c>
      <c r="C703" s="6" t="str">
        <f>IFERROR(IF(LEFT(D703,FIND(" ",D703)-1)="전라북도","전북특별자치도",LEFT(D703,FIND(" ",D703)-1)),"")</f>
        <v>전라남도</v>
      </c>
      <c r="D703" s="3" t="s">
        <v>3229</v>
      </c>
      <c r="E703" s="3" t="s">
        <v>3226</v>
      </c>
      <c r="F703" s="3" t="s">
        <v>3214</v>
      </c>
      <c r="G703" s="3" t="s">
        <v>3230</v>
      </c>
      <c r="H703" s="3" t="s">
        <v>3231</v>
      </c>
      <c r="I703" s="3" t="s">
        <v>3232</v>
      </c>
      <c r="J703" s="3" t="s">
        <v>19</v>
      </c>
      <c r="K703" s="3" t="s">
        <v>21</v>
      </c>
      <c r="L703" s="3" t="s">
        <v>147</v>
      </c>
      <c r="M703" s="4">
        <v>2572</v>
      </c>
      <c r="N703" s="3" t="s">
        <v>1498</v>
      </c>
      <c r="O703" s="3" t="s">
        <v>281</v>
      </c>
      <c r="P703" s="3" t="s">
        <v>539</v>
      </c>
    </row>
    <row r="704" spans="1:16" x14ac:dyDescent="0.4">
      <c r="A704" s="7">
        <v>703</v>
      </c>
      <c r="B704" s="8" t="s">
        <v>3233</v>
      </c>
      <c r="C704" s="6" t="str">
        <f>IFERROR(IF(LEFT(D704,FIND(" ",D704)-1)="전라북도","전북특별자치도",LEFT(D704,FIND(" ",D704)-1)),"")</f>
        <v>제주특별자치도</v>
      </c>
      <c r="D704" s="3" t="s">
        <v>3234</v>
      </c>
      <c r="E704" s="3" t="s">
        <v>2768</v>
      </c>
      <c r="F704" s="3" t="s">
        <v>2829</v>
      </c>
      <c r="G704" s="3" t="s">
        <v>19</v>
      </c>
      <c r="H704" s="3" t="s">
        <v>3235</v>
      </c>
      <c r="I704" s="3" t="s">
        <v>19</v>
      </c>
      <c r="J704" s="3" t="s">
        <v>19</v>
      </c>
      <c r="K704" s="3" t="s">
        <v>21</v>
      </c>
      <c r="L704" s="3" t="s">
        <v>22</v>
      </c>
      <c r="M704" s="4">
        <v>2986</v>
      </c>
      <c r="N704" s="3" t="s">
        <v>1498</v>
      </c>
      <c r="O704" s="3" t="s">
        <v>24</v>
      </c>
      <c r="P704" s="3" t="s">
        <v>19</v>
      </c>
    </row>
    <row r="705" spans="1:16" hidden="1" x14ac:dyDescent="0.4">
      <c r="A705" s="7">
        <v>704</v>
      </c>
      <c r="B705" s="8" t="s">
        <v>3236</v>
      </c>
      <c r="C705" s="6" t="str">
        <f>IFERROR(IF(LEFT(D705,FIND(" ",D705)-1)="전라북도","전북특별자치도",LEFT(D705,FIND(" ",D705)-1)),"")</f>
        <v>서울특별시</v>
      </c>
      <c r="D705" s="3" t="s">
        <v>3237</v>
      </c>
      <c r="E705" s="3" t="s">
        <v>3226</v>
      </c>
      <c r="F705" s="3" t="s">
        <v>2829</v>
      </c>
      <c r="G705" s="3" t="s">
        <v>3238</v>
      </c>
      <c r="H705" s="3" t="s">
        <v>3239</v>
      </c>
      <c r="I705" s="3" t="s">
        <v>3239</v>
      </c>
      <c r="J705" s="3" t="s">
        <v>135</v>
      </c>
      <c r="K705" s="3" t="s">
        <v>21</v>
      </c>
      <c r="L705" s="3" t="s">
        <v>22</v>
      </c>
      <c r="M705" s="4">
        <v>1035</v>
      </c>
      <c r="N705" s="3" t="s">
        <v>1498</v>
      </c>
      <c r="O705" s="3" t="s">
        <v>281</v>
      </c>
      <c r="P705" s="3" t="s">
        <v>2059</v>
      </c>
    </row>
    <row r="706" spans="1:16" x14ac:dyDescent="0.4">
      <c r="A706" s="7">
        <v>705</v>
      </c>
      <c r="B706" s="8" t="s">
        <v>3240</v>
      </c>
      <c r="C706" s="6" t="str">
        <f>IFERROR(IF(LEFT(D706,FIND(" ",D706)-1)="전라북도","전북특별자치도",LEFT(D706,FIND(" ",D706)-1)),"")</f>
        <v>경상북도</v>
      </c>
      <c r="D706" s="3" t="s">
        <v>3241</v>
      </c>
      <c r="E706" s="3" t="s">
        <v>3242</v>
      </c>
      <c r="F706" s="3" t="s">
        <v>2951</v>
      </c>
      <c r="G706" s="3" t="s">
        <v>19</v>
      </c>
      <c r="H706" s="3" t="s">
        <v>2765</v>
      </c>
      <c r="I706" s="3" t="s">
        <v>19</v>
      </c>
      <c r="J706" s="3" t="s">
        <v>19</v>
      </c>
      <c r="K706" s="3" t="s">
        <v>21</v>
      </c>
      <c r="L706" s="3" t="s">
        <v>147</v>
      </c>
      <c r="M706" s="4">
        <v>1360</v>
      </c>
      <c r="N706" s="3" t="s">
        <v>1498</v>
      </c>
      <c r="O706" s="3" t="s">
        <v>24</v>
      </c>
      <c r="P706" s="3" t="s">
        <v>19</v>
      </c>
    </row>
    <row r="707" spans="1:16" hidden="1" x14ac:dyDescent="0.4">
      <c r="A707" s="7">
        <v>706</v>
      </c>
      <c r="B707" s="8" t="s">
        <v>3243</v>
      </c>
      <c r="C707" s="6" t="str">
        <f>IFERROR(IF(LEFT(D707,FIND(" ",D707)-1)="전라북도","전북특별자치도",LEFT(D707,FIND(" ",D707)-1)),"")</f>
        <v>경기도</v>
      </c>
      <c r="D707" s="3" t="s">
        <v>1196</v>
      </c>
      <c r="E707" s="3" t="s">
        <v>2994</v>
      </c>
      <c r="F707" s="3" t="s">
        <v>3059</v>
      </c>
      <c r="G707" s="3" t="s">
        <v>19</v>
      </c>
      <c r="H707" s="3" t="s">
        <v>302</v>
      </c>
      <c r="I707" s="3" t="s">
        <v>19</v>
      </c>
      <c r="J707" s="3" t="s">
        <v>19</v>
      </c>
      <c r="K707" s="3" t="s">
        <v>21</v>
      </c>
      <c r="L707" s="3" t="s">
        <v>22</v>
      </c>
      <c r="M707" s="4">
        <v>1284</v>
      </c>
      <c r="N707" s="3" t="s">
        <v>2155</v>
      </c>
      <c r="O707" s="3" t="s">
        <v>281</v>
      </c>
      <c r="P707" s="3" t="s">
        <v>2562</v>
      </c>
    </row>
    <row r="708" spans="1:16" hidden="1" x14ac:dyDescent="0.4">
      <c r="A708" s="7">
        <v>707</v>
      </c>
      <c r="B708" s="8" t="s">
        <v>3244</v>
      </c>
      <c r="C708" s="6" t="str">
        <f>IFERROR(IF(LEFT(D708,FIND(" ",D708)-1)="전라북도","전북특별자치도",LEFT(D708,FIND(" ",D708)-1)),"")</f>
        <v>강원특별자치도</v>
      </c>
      <c r="D708" s="3" t="s">
        <v>3245</v>
      </c>
      <c r="E708" s="3" t="s">
        <v>3246</v>
      </c>
      <c r="F708" s="3" t="s">
        <v>3247</v>
      </c>
      <c r="G708" s="3" t="s">
        <v>3249</v>
      </c>
      <c r="H708" s="3" t="s">
        <v>3250</v>
      </c>
      <c r="I708" s="3" t="s">
        <v>3251</v>
      </c>
      <c r="J708" s="3" t="s">
        <v>3252</v>
      </c>
      <c r="K708" s="3" t="s">
        <v>21</v>
      </c>
      <c r="L708" s="3" t="s">
        <v>22</v>
      </c>
      <c r="M708" s="4">
        <v>1953</v>
      </c>
      <c r="N708" s="3" t="s">
        <v>1498</v>
      </c>
      <c r="O708" s="3" t="s">
        <v>281</v>
      </c>
      <c r="P708" s="3" t="s">
        <v>3248</v>
      </c>
    </row>
    <row r="709" spans="1:16" hidden="1" x14ac:dyDescent="0.4">
      <c r="A709" s="7">
        <v>708</v>
      </c>
      <c r="B709" s="8" t="s">
        <v>3253</v>
      </c>
      <c r="C709" s="6" t="str">
        <f>IFERROR(IF(LEFT(D709,FIND(" ",D709)-1)="전라북도","전북특별자치도",LEFT(D709,FIND(" ",D709)-1)),"")</f>
        <v>전라남도</v>
      </c>
      <c r="D709" s="3" t="s">
        <v>3254</v>
      </c>
      <c r="E709" s="3" t="s">
        <v>3129</v>
      </c>
      <c r="F709" s="3" t="s">
        <v>3053</v>
      </c>
      <c r="G709" s="3" t="s">
        <v>3255</v>
      </c>
      <c r="H709" s="3" t="s">
        <v>3256</v>
      </c>
      <c r="I709" s="3" t="s">
        <v>2343</v>
      </c>
      <c r="J709" s="3" t="s">
        <v>3257</v>
      </c>
      <c r="K709" s="3" t="s">
        <v>21</v>
      </c>
      <c r="L709" s="3" t="s">
        <v>147</v>
      </c>
      <c r="M709" s="4">
        <v>2667</v>
      </c>
      <c r="N709" s="3" t="s">
        <v>1498</v>
      </c>
      <c r="O709" s="3" t="s">
        <v>281</v>
      </c>
      <c r="P709" s="3" t="s">
        <v>2230</v>
      </c>
    </row>
    <row r="710" spans="1:16" hidden="1" x14ac:dyDescent="0.4">
      <c r="A710" s="7">
        <v>709</v>
      </c>
      <c r="B710" s="8" t="s">
        <v>3258</v>
      </c>
      <c r="C710" s="6" t="str">
        <f>IFERROR(IF(LEFT(D710,FIND(" ",D710)-1)="전라북도","전북특별자치도",LEFT(D710,FIND(" ",D710)-1)),"")</f>
        <v>충청남도</v>
      </c>
      <c r="D710" s="3" t="s">
        <v>3259</v>
      </c>
      <c r="E710" s="3" t="s">
        <v>3260</v>
      </c>
      <c r="F710" s="3" t="s">
        <v>3261</v>
      </c>
      <c r="G710" s="3" t="s">
        <v>3262</v>
      </c>
      <c r="H710" s="3" t="s">
        <v>3263</v>
      </c>
      <c r="I710" s="3" t="s">
        <v>3263</v>
      </c>
      <c r="J710" s="3" t="s">
        <v>19</v>
      </c>
      <c r="K710" s="3" t="s">
        <v>21</v>
      </c>
      <c r="L710" s="3" t="s">
        <v>22</v>
      </c>
      <c r="M710" s="4">
        <v>1855</v>
      </c>
      <c r="N710" s="3" t="s">
        <v>1498</v>
      </c>
      <c r="O710" s="3" t="s">
        <v>281</v>
      </c>
      <c r="P710" s="3" t="s">
        <v>435</v>
      </c>
    </row>
    <row r="711" spans="1:16" hidden="1" x14ac:dyDescent="0.4">
      <c r="A711" s="7">
        <v>710</v>
      </c>
      <c r="B711" s="8" t="s">
        <v>3264</v>
      </c>
      <c r="C711" s="6" t="str">
        <f>IFERROR(IF(LEFT(D711,FIND(" ",D711)-1)="전라북도","전북특별자치도",LEFT(D711,FIND(" ",D711)-1)),"")</f>
        <v>경상북도</v>
      </c>
      <c r="D711" s="3" t="s">
        <v>3265</v>
      </c>
      <c r="E711" s="3" t="s">
        <v>3266</v>
      </c>
      <c r="F711" s="3" t="s">
        <v>3002</v>
      </c>
      <c r="G711" s="3" t="s">
        <v>19</v>
      </c>
      <c r="H711" s="3" t="s">
        <v>1215</v>
      </c>
      <c r="I711" s="3" t="s">
        <v>19</v>
      </c>
      <c r="J711" s="3" t="s">
        <v>19</v>
      </c>
      <c r="K711" s="3" t="s">
        <v>21</v>
      </c>
      <c r="L711" s="3" t="s">
        <v>147</v>
      </c>
      <c r="M711" s="4">
        <v>571</v>
      </c>
      <c r="N711" s="3" t="s">
        <v>19</v>
      </c>
      <c r="O711" s="3" t="s">
        <v>281</v>
      </c>
      <c r="P711" s="3" t="s">
        <v>2968</v>
      </c>
    </row>
    <row r="712" spans="1:16" hidden="1" x14ac:dyDescent="0.4">
      <c r="A712" s="7">
        <v>711</v>
      </c>
      <c r="B712" s="8" t="s">
        <v>3267</v>
      </c>
      <c r="C712" s="6" t="str">
        <f>IFERROR(IF(LEFT(D712,FIND(" ",D712)-1)="전라북도","전북특별자치도",LEFT(D712,FIND(" ",D712)-1)),"")</f>
        <v>경상북도</v>
      </c>
      <c r="D712" s="3" t="s">
        <v>3268</v>
      </c>
      <c r="E712" s="3" t="s">
        <v>3269</v>
      </c>
      <c r="F712" s="3" t="s">
        <v>2994</v>
      </c>
      <c r="G712" s="3" t="s">
        <v>19</v>
      </c>
      <c r="H712" s="3" t="s">
        <v>3270</v>
      </c>
      <c r="I712" s="3" t="s">
        <v>19</v>
      </c>
      <c r="J712" s="3" t="s">
        <v>19</v>
      </c>
      <c r="K712" s="3" t="s">
        <v>21</v>
      </c>
      <c r="L712" s="3" t="s">
        <v>22</v>
      </c>
      <c r="M712" s="4">
        <v>1864</v>
      </c>
      <c r="N712" s="3" t="s">
        <v>1498</v>
      </c>
      <c r="O712" s="3" t="s">
        <v>281</v>
      </c>
      <c r="P712" s="3" t="s">
        <v>1633</v>
      </c>
    </row>
    <row r="713" spans="1:16" x14ac:dyDescent="0.4">
      <c r="A713" s="7">
        <v>712</v>
      </c>
      <c r="B713" s="8" t="s">
        <v>3271</v>
      </c>
      <c r="C713" s="6" t="str">
        <f>IFERROR(IF(LEFT(D713,FIND(" ",D713)-1)="전라북도","전북특별자치도",LEFT(D713,FIND(" ",D713)-1)),"")</f>
        <v>경기도</v>
      </c>
      <c r="D713" s="3" t="s">
        <v>3272</v>
      </c>
      <c r="E713" s="3" t="s">
        <v>2713</v>
      </c>
      <c r="F713" s="3" t="s">
        <v>3266</v>
      </c>
      <c r="G713" s="3" t="s">
        <v>19</v>
      </c>
      <c r="H713" s="3" t="s">
        <v>401</v>
      </c>
      <c r="I713" s="3" t="s">
        <v>19</v>
      </c>
      <c r="J713" s="3" t="s">
        <v>19</v>
      </c>
      <c r="K713" s="3" t="s">
        <v>21</v>
      </c>
      <c r="L713" s="3" t="s">
        <v>147</v>
      </c>
      <c r="M713" s="4">
        <v>506</v>
      </c>
      <c r="N713" s="3" t="s">
        <v>84</v>
      </c>
      <c r="O713" s="3" t="s">
        <v>24</v>
      </c>
      <c r="P713" s="3" t="s">
        <v>19</v>
      </c>
    </row>
    <row r="714" spans="1:16" hidden="1" x14ac:dyDescent="0.4">
      <c r="A714" s="7">
        <v>713</v>
      </c>
      <c r="B714" s="8" t="s">
        <v>3273</v>
      </c>
      <c r="C714" s="6" t="str">
        <f>IFERROR(IF(LEFT(D714,FIND(" ",D714)-1)="전라북도","전북특별자치도",LEFT(D714,FIND(" ",D714)-1)),"")</f>
        <v>경상남도</v>
      </c>
      <c r="D714" s="3" t="s">
        <v>3274</v>
      </c>
      <c r="E714" s="3" t="s">
        <v>948</v>
      </c>
      <c r="F714" s="3" t="s">
        <v>2783</v>
      </c>
      <c r="G714" s="3" t="s">
        <v>3275</v>
      </c>
      <c r="H714" s="3" t="s">
        <v>3276</v>
      </c>
      <c r="I714" s="3" t="s">
        <v>2237</v>
      </c>
      <c r="J714" s="3" t="s">
        <v>19</v>
      </c>
      <c r="K714" s="3" t="s">
        <v>21</v>
      </c>
      <c r="L714" s="3" t="s">
        <v>147</v>
      </c>
      <c r="M714" s="4">
        <v>280</v>
      </c>
      <c r="N714" s="3" t="s">
        <v>1498</v>
      </c>
      <c r="O714" s="3" t="s">
        <v>281</v>
      </c>
      <c r="P714" s="3" t="s">
        <v>466</v>
      </c>
    </row>
    <row r="715" spans="1:16" hidden="1" x14ac:dyDescent="0.4">
      <c r="A715" s="7">
        <v>714</v>
      </c>
      <c r="B715" s="8" t="s">
        <v>3277</v>
      </c>
      <c r="C715" s="6" t="str">
        <f>IFERROR(IF(LEFT(D715,FIND(" ",D715)-1)="전라북도","전북특별자치도",LEFT(D715,FIND(" ",D715)-1)),"")</f>
        <v>충청북도</v>
      </c>
      <c r="D715" s="3" t="s">
        <v>3278</v>
      </c>
      <c r="E715" s="3" t="s">
        <v>3279</v>
      </c>
      <c r="F715" s="3" t="s">
        <v>904</v>
      </c>
      <c r="G715" s="3" t="s">
        <v>3280</v>
      </c>
      <c r="H715" s="3" t="s">
        <v>3281</v>
      </c>
      <c r="I715" s="3" t="s">
        <v>3281</v>
      </c>
      <c r="J715" s="3" t="s">
        <v>19</v>
      </c>
      <c r="K715" s="3" t="s">
        <v>21</v>
      </c>
      <c r="L715" s="3" t="s">
        <v>22</v>
      </c>
      <c r="M715" s="4">
        <v>1396</v>
      </c>
      <c r="N715" s="3" t="s">
        <v>1498</v>
      </c>
      <c r="O715" s="3" t="s">
        <v>281</v>
      </c>
      <c r="P715" s="3" t="s">
        <v>1287</v>
      </c>
    </row>
    <row r="716" spans="1:16" x14ac:dyDescent="0.4">
      <c r="A716" s="7">
        <v>715</v>
      </c>
      <c r="B716" s="8" t="s">
        <v>3282</v>
      </c>
      <c r="C716" s="6" t="str">
        <f>IFERROR(IF(LEFT(D716,FIND(" ",D716)-1)="전라북도","전북특별자치도",LEFT(D716,FIND(" ",D716)-1)),"")</f>
        <v>경상북도</v>
      </c>
      <c r="D716" s="3" t="s">
        <v>3283</v>
      </c>
      <c r="E716" s="3" t="s">
        <v>3284</v>
      </c>
      <c r="F716" s="3" t="s">
        <v>919</v>
      </c>
      <c r="G716" s="3" t="s">
        <v>3285</v>
      </c>
      <c r="H716" s="3" t="s">
        <v>743</v>
      </c>
      <c r="I716" s="3" t="s">
        <v>743</v>
      </c>
      <c r="J716" s="3" t="s">
        <v>19</v>
      </c>
      <c r="K716" s="3" t="s">
        <v>21</v>
      </c>
      <c r="L716" s="3" t="s">
        <v>22</v>
      </c>
      <c r="M716" s="4">
        <v>919</v>
      </c>
      <c r="N716" s="3" t="s">
        <v>1498</v>
      </c>
      <c r="O716" s="3" t="s">
        <v>24</v>
      </c>
      <c r="P716" s="3" t="s">
        <v>19</v>
      </c>
    </row>
    <row r="717" spans="1:16" hidden="1" x14ac:dyDescent="0.4">
      <c r="A717" s="7">
        <v>716</v>
      </c>
      <c r="B717" s="8" t="s">
        <v>3286</v>
      </c>
      <c r="C717" s="6" t="str">
        <f>IFERROR(IF(LEFT(D717,FIND(" ",D717)-1)="전라북도","전북특별자치도",LEFT(D717,FIND(" ",D717)-1)),"")</f>
        <v>제주특별자치도</v>
      </c>
      <c r="D717" s="3" t="s">
        <v>3287</v>
      </c>
      <c r="E717" s="3" t="s">
        <v>1047</v>
      </c>
      <c r="F717" s="3" t="s">
        <v>2615</v>
      </c>
      <c r="G717" s="3" t="s">
        <v>3288</v>
      </c>
      <c r="H717" s="3" t="s">
        <v>3289</v>
      </c>
      <c r="I717" s="3" t="s">
        <v>19</v>
      </c>
      <c r="J717" s="3" t="s">
        <v>19</v>
      </c>
      <c r="K717" s="3" t="s">
        <v>21</v>
      </c>
      <c r="L717" s="3" t="s">
        <v>22</v>
      </c>
      <c r="M717" s="4">
        <v>901</v>
      </c>
      <c r="N717" s="3" t="s">
        <v>2155</v>
      </c>
      <c r="O717" s="3" t="s">
        <v>281</v>
      </c>
      <c r="P717" s="3" t="s">
        <v>1678</v>
      </c>
    </row>
    <row r="718" spans="1:16" hidden="1" x14ac:dyDescent="0.4">
      <c r="A718" s="7">
        <v>717</v>
      </c>
      <c r="B718" s="8" t="s">
        <v>3290</v>
      </c>
      <c r="C718" s="6" t="str">
        <f>IFERROR(IF(LEFT(D718,FIND(" ",D718)-1)="전라북도","전북특별자치도",LEFT(D718,FIND(" ",D718)-1)),"")</f>
        <v>경상남도</v>
      </c>
      <c r="D718" s="3" t="s">
        <v>3291</v>
      </c>
      <c r="E718" s="3" t="s">
        <v>3292</v>
      </c>
      <c r="F718" s="3" t="s">
        <v>2615</v>
      </c>
      <c r="G718" s="3" t="s">
        <v>19</v>
      </c>
      <c r="H718" s="3" t="s">
        <v>340</v>
      </c>
      <c r="I718" s="3" t="s">
        <v>19</v>
      </c>
      <c r="J718" s="3" t="s">
        <v>19</v>
      </c>
      <c r="K718" s="3" t="s">
        <v>21</v>
      </c>
      <c r="L718" s="3" t="s">
        <v>147</v>
      </c>
      <c r="M718" s="4">
        <v>759</v>
      </c>
      <c r="N718" s="3" t="s">
        <v>1498</v>
      </c>
      <c r="O718" s="3" t="s">
        <v>281</v>
      </c>
      <c r="P718" s="3" t="s">
        <v>2754</v>
      </c>
    </row>
    <row r="719" spans="1:16" hidden="1" x14ac:dyDescent="0.4">
      <c r="A719" s="7">
        <v>718</v>
      </c>
      <c r="B719" s="8" t="s">
        <v>2365</v>
      </c>
      <c r="C719" s="6" t="str">
        <f>IFERROR(IF(LEFT(D719,FIND(" ",D719)-1)="전라북도","전북특별자치도",LEFT(D719,FIND(" ",D719)-1)),"")</f>
        <v>경기도</v>
      </c>
      <c r="D719" s="3" t="s">
        <v>2366</v>
      </c>
      <c r="E719" s="3" t="s">
        <v>3181</v>
      </c>
      <c r="F719" s="3" t="s">
        <v>3293</v>
      </c>
      <c r="G719" s="3" t="s">
        <v>19</v>
      </c>
      <c r="H719" s="3" t="s">
        <v>3294</v>
      </c>
      <c r="I719" s="3" t="s">
        <v>19</v>
      </c>
      <c r="J719" s="3" t="s">
        <v>19</v>
      </c>
      <c r="K719" s="3" t="s">
        <v>21</v>
      </c>
      <c r="L719" s="3" t="s">
        <v>147</v>
      </c>
      <c r="M719" s="4">
        <v>3798</v>
      </c>
      <c r="N719" s="3" t="s">
        <v>407</v>
      </c>
      <c r="O719" s="3" t="s">
        <v>281</v>
      </c>
      <c r="P719" s="3" t="s">
        <v>3266</v>
      </c>
    </row>
    <row r="720" spans="1:16" hidden="1" x14ac:dyDescent="0.4">
      <c r="A720" s="7">
        <v>719</v>
      </c>
      <c r="B720" s="8" t="s">
        <v>3295</v>
      </c>
      <c r="C720" s="6" t="str">
        <f>IFERROR(IF(LEFT(D720,FIND(" ",D720)-1)="전라북도","전북특별자치도",LEFT(D720,FIND(" ",D720)-1)),"")</f>
        <v>부산광역시</v>
      </c>
      <c r="D720" s="3" t="s">
        <v>3296</v>
      </c>
      <c r="E720" s="3" t="s">
        <v>2353</v>
      </c>
      <c r="F720" s="3" t="s">
        <v>3297</v>
      </c>
      <c r="G720" s="3" t="s">
        <v>3298</v>
      </c>
      <c r="H720" s="3" t="s">
        <v>2291</v>
      </c>
      <c r="I720" s="3" t="s">
        <v>2291</v>
      </c>
      <c r="J720" s="3" t="s">
        <v>19</v>
      </c>
      <c r="K720" s="3" t="s">
        <v>21</v>
      </c>
      <c r="L720" s="3" t="s">
        <v>228</v>
      </c>
      <c r="M720" s="4">
        <v>2000</v>
      </c>
      <c r="N720" s="3" t="s">
        <v>1498</v>
      </c>
      <c r="O720" s="3" t="s">
        <v>281</v>
      </c>
      <c r="P720" s="3" t="s">
        <v>3059</v>
      </c>
    </row>
    <row r="721" spans="1:16" hidden="1" x14ac:dyDescent="0.4">
      <c r="A721" s="7">
        <v>720</v>
      </c>
      <c r="B721" s="8" t="s">
        <v>3299</v>
      </c>
      <c r="C721" s="6" t="str">
        <f>IFERROR(IF(LEFT(D721,FIND(" ",D721)-1)="전라북도","전북특별자치도",LEFT(D721,FIND(" ",D721)-1)),"")</f>
        <v>경기도</v>
      </c>
      <c r="D721" s="3" t="s">
        <v>3300</v>
      </c>
      <c r="E721" s="3" t="s">
        <v>3138</v>
      </c>
      <c r="F721" s="3" t="s">
        <v>3297</v>
      </c>
      <c r="G721" s="3" t="s">
        <v>3301</v>
      </c>
      <c r="H721" s="3" t="s">
        <v>953</v>
      </c>
      <c r="I721" s="3" t="s">
        <v>953</v>
      </c>
      <c r="J721" s="3" t="s">
        <v>19</v>
      </c>
      <c r="K721" s="3" t="s">
        <v>21</v>
      </c>
      <c r="L721" s="3" t="s">
        <v>22</v>
      </c>
      <c r="M721" s="4">
        <v>429</v>
      </c>
      <c r="N721" s="3" t="s">
        <v>1498</v>
      </c>
      <c r="O721" s="3" t="s">
        <v>281</v>
      </c>
      <c r="P721" s="3" t="s">
        <v>87</v>
      </c>
    </row>
    <row r="722" spans="1:16" hidden="1" x14ac:dyDescent="0.4">
      <c r="A722" s="7">
        <v>721</v>
      </c>
      <c r="B722" s="8" t="s">
        <v>3302</v>
      </c>
      <c r="C722" s="6" t="str">
        <f>IFERROR(IF(LEFT(D722,FIND(" ",D722)-1)="전라북도","전북특별자치도",LEFT(D722,FIND(" ",D722)-1)),"")</f>
        <v>경기도</v>
      </c>
      <c r="D722" s="3" t="s">
        <v>3303</v>
      </c>
      <c r="E722" s="3" t="s">
        <v>3138</v>
      </c>
      <c r="F722" s="3" t="s">
        <v>3297</v>
      </c>
      <c r="G722" s="3" t="s">
        <v>3301</v>
      </c>
      <c r="H722" s="3" t="s">
        <v>953</v>
      </c>
      <c r="I722" s="3" t="s">
        <v>953</v>
      </c>
      <c r="J722" s="3" t="s">
        <v>19</v>
      </c>
      <c r="K722" s="3" t="s">
        <v>21</v>
      </c>
      <c r="L722" s="3" t="s">
        <v>22</v>
      </c>
      <c r="M722" s="4">
        <v>408</v>
      </c>
      <c r="N722" s="3" t="s">
        <v>1498</v>
      </c>
      <c r="O722" s="3" t="s">
        <v>281</v>
      </c>
      <c r="P722" s="3" t="s">
        <v>87</v>
      </c>
    </row>
    <row r="723" spans="1:16" hidden="1" x14ac:dyDescent="0.4">
      <c r="A723" s="7">
        <v>722</v>
      </c>
      <c r="B723" s="8" t="s">
        <v>3304</v>
      </c>
      <c r="C723" s="6" t="str">
        <f>IFERROR(IF(LEFT(D723,FIND(" ",D723)-1)="전라북도","전북특별자치도",LEFT(D723,FIND(" ",D723)-1)),"")</f>
        <v>울산광역시</v>
      </c>
      <c r="D723" s="3" t="s">
        <v>3305</v>
      </c>
      <c r="E723" s="3" t="s">
        <v>1005</v>
      </c>
      <c r="F723" s="3" t="s">
        <v>3306</v>
      </c>
      <c r="G723" s="3" t="s">
        <v>3307</v>
      </c>
      <c r="H723" s="3" t="s">
        <v>3308</v>
      </c>
      <c r="I723" s="3" t="s">
        <v>3309</v>
      </c>
      <c r="J723" s="3" t="s">
        <v>19</v>
      </c>
      <c r="K723" s="3" t="s">
        <v>21</v>
      </c>
      <c r="L723" s="3" t="s">
        <v>22</v>
      </c>
      <c r="M723" s="4">
        <v>993</v>
      </c>
      <c r="N723" s="3" t="s">
        <v>1498</v>
      </c>
      <c r="O723" s="3" t="s">
        <v>281</v>
      </c>
      <c r="P723" s="3" t="s">
        <v>2790</v>
      </c>
    </row>
    <row r="724" spans="1:16" hidden="1" x14ac:dyDescent="0.4">
      <c r="A724" s="7">
        <v>723</v>
      </c>
      <c r="B724" s="8" t="s">
        <v>3310</v>
      </c>
      <c r="C724" s="6" t="str">
        <f>IFERROR(IF(LEFT(D724,FIND(" ",D724)-1)="전라북도","전북특별자치도",LEFT(D724,FIND(" ",D724)-1)),"")</f>
        <v>전북특별자치도</v>
      </c>
      <c r="D724" s="3" t="s">
        <v>3311</v>
      </c>
      <c r="E724" s="3" t="s">
        <v>980</v>
      </c>
      <c r="F724" s="3" t="s">
        <v>3220</v>
      </c>
      <c r="G724" s="3" t="s">
        <v>3312</v>
      </c>
      <c r="H724" s="3" t="s">
        <v>3313</v>
      </c>
      <c r="I724" s="3" t="s">
        <v>3314</v>
      </c>
      <c r="J724" s="3" t="s">
        <v>3315</v>
      </c>
      <c r="K724" s="3" t="s">
        <v>21</v>
      </c>
      <c r="L724" s="3" t="s">
        <v>22</v>
      </c>
      <c r="M724" s="4">
        <v>718</v>
      </c>
      <c r="N724" s="3" t="s">
        <v>1498</v>
      </c>
      <c r="O724" s="3" t="s">
        <v>281</v>
      </c>
      <c r="P724" s="3" t="s">
        <v>2223</v>
      </c>
    </row>
    <row r="725" spans="1:16" hidden="1" x14ac:dyDescent="0.4">
      <c r="A725" s="7">
        <v>724</v>
      </c>
      <c r="B725" s="8" t="s">
        <v>3316</v>
      </c>
      <c r="C725" s="6" t="str">
        <f>IFERROR(IF(LEFT(D725,FIND(" ",D725)-1)="전라북도","전북특별자치도",LEFT(D725,FIND(" ",D725)-1)),"")</f>
        <v>충청북도</v>
      </c>
      <c r="D725" s="3" t="s">
        <v>3317</v>
      </c>
      <c r="E725" s="3" t="s">
        <v>3318</v>
      </c>
      <c r="F725" s="3" t="s">
        <v>3220</v>
      </c>
      <c r="G725" s="3" t="s">
        <v>3319</v>
      </c>
      <c r="H725" s="3" t="s">
        <v>987</v>
      </c>
      <c r="I725" s="3" t="s">
        <v>987</v>
      </c>
      <c r="J725" s="3" t="s">
        <v>3320</v>
      </c>
      <c r="K725" s="3" t="s">
        <v>21</v>
      </c>
      <c r="L725" s="3" t="s">
        <v>22</v>
      </c>
      <c r="M725" s="4">
        <v>12033</v>
      </c>
      <c r="N725" s="3" t="s">
        <v>1498</v>
      </c>
      <c r="O725" s="3" t="s">
        <v>281</v>
      </c>
      <c r="P725" s="3" t="s">
        <v>1829</v>
      </c>
    </row>
    <row r="726" spans="1:16" hidden="1" x14ac:dyDescent="0.4">
      <c r="A726" s="7">
        <v>725</v>
      </c>
      <c r="B726" s="8" t="s">
        <v>3321</v>
      </c>
      <c r="C726" s="6" t="str">
        <f>IFERROR(IF(LEFT(D726,FIND(" ",D726)-1)="전라북도","전북특별자치도",LEFT(D726,FIND(" ",D726)-1)),"")</f>
        <v>전라남도</v>
      </c>
      <c r="D726" s="3" t="s">
        <v>3322</v>
      </c>
      <c r="E726" s="3" t="s">
        <v>1318</v>
      </c>
      <c r="F726" s="3" t="s">
        <v>3220</v>
      </c>
      <c r="G726" s="3" t="s">
        <v>3145</v>
      </c>
      <c r="H726" s="3" t="s">
        <v>3146</v>
      </c>
      <c r="I726" s="3" t="s">
        <v>3323</v>
      </c>
      <c r="J726" s="3" t="s">
        <v>3324</v>
      </c>
      <c r="K726" s="3" t="s">
        <v>21</v>
      </c>
      <c r="L726" s="3" t="s">
        <v>22</v>
      </c>
      <c r="M726" s="4">
        <v>4733</v>
      </c>
      <c r="N726" s="3" t="s">
        <v>1498</v>
      </c>
      <c r="O726" s="3" t="s">
        <v>281</v>
      </c>
      <c r="P726" s="3" t="s">
        <v>1989</v>
      </c>
    </row>
    <row r="727" spans="1:16" hidden="1" x14ac:dyDescent="0.4">
      <c r="A727" s="7">
        <v>726</v>
      </c>
      <c r="B727" s="8" t="s">
        <v>3325</v>
      </c>
      <c r="C727" s="6" t="str">
        <f>IFERROR(IF(LEFT(D727,FIND(" ",D727)-1)="전라북도","전북특별자치도",LEFT(D727,FIND(" ",D727)-1)),"")</f>
        <v>충청북도</v>
      </c>
      <c r="D727" s="3" t="s">
        <v>3326</v>
      </c>
      <c r="E727" s="3" t="s">
        <v>3327</v>
      </c>
      <c r="F727" s="3" t="s">
        <v>943</v>
      </c>
      <c r="G727" s="3" t="s">
        <v>19</v>
      </c>
      <c r="H727" s="3" t="s">
        <v>3328</v>
      </c>
      <c r="I727" s="3" t="s">
        <v>19</v>
      </c>
      <c r="J727" s="3" t="s">
        <v>19</v>
      </c>
      <c r="K727" s="3" t="s">
        <v>21</v>
      </c>
      <c r="L727" s="3" t="s">
        <v>147</v>
      </c>
      <c r="M727" s="4">
        <v>1152</v>
      </c>
      <c r="N727" s="3" t="s">
        <v>19</v>
      </c>
      <c r="O727" s="3" t="s">
        <v>281</v>
      </c>
      <c r="P727" s="3" t="s">
        <v>2874</v>
      </c>
    </row>
    <row r="728" spans="1:16" hidden="1" x14ac:dyDescent="0.4">
      <c r="A728" s="7">
        <v>727</v>
      </c>
      <c r="B728" s="8" t="s">
        <v>3329</v>
      </c>
      <c r="C728" s="6" t="str">
        <f>IFERROR(IF(LEFT(D728,FIND(" ",D728)-1)="전라북도","전북특별자치도",LEFT(D728,FIND(" ",D728)-1)),"")</f>
        <v>충청북도</v>
      </c>
      <c r="D728" s="3" t="s">
        <v>3330</v>
      </c>
      <c r="E728" s="3" t="s">
        <v>948</v>
      </c>
      <c r="F728" s="3" t="s">
        <v>943</v>
      </c>
      <c r="G728" s="3" t="s">
        <v>19</v>
      </c>
      <c r="H728" s="3" t="s">
        <v>3331</v>
      </c>
      <c r="I728" s="3" t="s">
        <v>19</v>
      </c>
      <c r="J728" s="3" t="s">
        <v>19</v>
      </c>
      <c r="K728" s="3" t="s">
        <v>21</v>
      </c>
      <c r="L728" s="3" t="s">
        <v>147</v>
      </c>
      <c r="M728" s="4">
        <v>515</v>
      </c>
      <c r="N728" s="3" t="s">
        <v>19</v>
      </c>
      <c r="O728" s="3" t="s">
        <v>281</v>
      </c>
      <c r="P728" s="3" t="s">
        <v>2696</v>
      </c>
    </row>
    <row r="729" spans="1:16" hidden="1" x14ac:dyDescent="0.4">
      <c r="A729" s="7">
        <v>728</v>
      </c>
      <c r="B729" s="8" t="s">
        <v>3332</v>
      </c>
      <c r="C729" s="6" t="str">
        <f>IFERROR(IF(LEFT(D729,FIND(" ",D729)-1)="전라북도","전북특별자치도",LEFT(D729,FIND(" ",D729)-1)),"")</f>
        <v>충청남도</v>
      </c>
      <c r="D729" s="3" t="s">
        <v>3333</v>
      </c>
      <c r="E729" s="3" t="s">
        <v>3334</v>
      </c>
      <c r="F729" s="3" t="s">
        <v>3327</v>
      </c>
      <c r="G729" s="3" t="s">
        <v>3335</v>
      </c>
      <c r="H729" s="3" t="s">
        <v>3118</v>
      </c>
      <c r="I729" s="3" t="s">
        <v>19</v>
      </c>
      <c r="J729" s="3" t="s">
        <v>19</v>
      </c>
      <c r="K729" s="3" t="s">
        <v>21</v>
      </c>
      <c r="L729" s="3" t="s">
        <v>22</v>
      </c>
      <c r="M729" s="4">
        <v>1018</v>
      </c>
      <c r="N729" s="3" t="s">
        <v>1498</v>
      </c>
      <c r="O729" s="3" t="s">
        <v>281</v>
      </c>
      <c r="P729" s="3" t="s">
        <v>1372</v>
      </c>
    </row>
    <row r="730" spans="1:16" x14ac:dyDescent="0.4">
      <c r="A730" s="7">
        <v>729</v>
      </c>
      <c r="B730" s="8" t="s">
        <v>3336</v>
      </c>
      <c r="C730" s="6" t="str">
        <f>IFERROR(IF(LEFT(D730,FIND(" ",D730)-1)="전라북도","전북특별자치도",LEFT(D730,FIND(" ",D730)-1)),"")</f>
        <v>강원특별자치도</v>
      </c>
      <c r="D730" s="3" t="s">
        <v>3337</v>
      </c>
      <c r="E730" s="3" t="s">
        <v>1815</v>
      </c>
      <c r="F730" s="3" t="s">
        <v>3327</v>
      </c>
      <c r="G730" s="3" t="s">
        <v>19</v>
      </c>
      <c r="H730" s="3" t="s">
        <v>3338</v>
      </c>
      <c r="I730" s="3" t="s">
        <v>19</v>
      </c>
      <c r="J730" s="3" t="s">
        <v>19</v>
      </c>
      <c r="K730" s="3" t="s">
        <v>21</v>
      </c>
      <c r="L730" s="3" t="s">
        <v>147</v>
      </c>
      <c r="M730" s="4">
        <v>383</v>
      </c>
      <c r="N730" s="3" t="s">
        <v>1498</v>
      </c>
      <c r="O730" s="3" t="s">
        <v>24</v>
      </c>
      <c r="P730" s="3" t="s">
        <v>19</v>
      </c>
    </row>
    <row r="731" spans="1:16" hidden="1" x14ac:dyDescent="0.4">
      <c r="A731" s="7">
        <v>730</v>
      </c>
      <c r="B731" s="8" t="s">
        <v>3339</v>
      </c>
      <c r="C731" s="6" t="str">
        <f>IFERROR(IF(LEFT(D731,FIND(" ",D731)-1)="전라북도","전북특별자치도",LEFT(D731,FIND(" ",D731)-1)),"")</f>
        <v>전북특별자치도</v>
      </c>
      <c r="D731" s="3" t="s">
        <v>3340</v>
      </c>
      <c r="E731" s="3" t="s">
        <v>3341</v>
      </c>
      <c r="F731" s="3" t="s">
        <v>3342</v>
      </c>
      <c r="G731" s="3" t="s">
        <v>3343</v>
      </c>
      <c r="H731" s="3" t="s">
        <v>3344</v>
      </c>
      <c r="I731" s="3" t="s">
        <v>3345</v>
      </c>
      <c r="J731" s="3" t="s">
        <v>19</v>
      </c>
      <c r="K731" s="3" t="s">
        <v>21</v>
      </c>
      <c r="L731" s="3" t="s">
        <v>22</v>
      </c>
      <c r="M731" s="4">
        <v>149</v>
      </c>
      <c r="N731" s="3" t="s">
        <v>1498</v>
      </c>
      <c r="O731" s="3" t="s">
        <v>281</v>
      </c>
      <c r="P731" s="3" t="s">
        <v>2367</v>
      </c>
    </row>
    <row r="732" spans="1:16" hidden="1" x14ac:dyDescent="0.4">
      <c r="A732" s="7">
        <v>731</v>
      </c>
      <c r="B732" s="8" t="s">
        <v>3346</v>
      </c>
      <c r="C732" s="6" t="str">
        <f>IFERROR(IF(LEFT(D732,FIND(" ",D732)-1)="전라북도","전북특별자치도",LEFT(D732,FIND(" ",D732)-1)),"")</f>
        <v>경상남도</v>
      </c>
      <c r="D732" s="3" t="s">
        <v>3347</v>
      </c>
      <c r="E732" s="3" t="s">
        <v>1388</v>
      </c>
      <c r="F732" s="3" t="s">
        <v>3348</v>
      </c>
      <c r="G732" s="3" t="s">
        <v>19</v>
      </c>
      <c r="H732" s="3" t="s">
        <v>3349</v>
      </c>
      <c r="I732" s="3" t="s">
        <v>3350</v>
      </c>
      <c r="J732" s="3" t="s">
        <v>19</v>
      </c>
      <c r="K732" s="3" t="s">
        <v>21</v>
      </c>
      <c r="L732" s="3" t="s">
        <v>358</v>
      </c>
      <c r="M732" s="4">
        <v>1178</v>
      </c>
      <c r="N732" s="3" t="s">
        <v>1498</v>
      </c>
      <c r="O732" s="3" t="s">
        <v>281</v>
      </c>
      <c r="P732" s="3" t="s">
        <v>3214</v>
      </c>
    </row>
    <row r="733" spans="1:16" hidden="1" x14ac:dyDescent="0.4">
      <c r="A733" s="7">
        <v>732</v>
      </c>
      <c r="B733" s="8" t="s">
        <v>3351</v>
      </c>
      <c r="C733" s="6" t="str">
        <f>IFERROR(IF(LEFT(D733,FIND(" ",D733)-1)="전라북도","전북특별자치도",LEFT(D733,FIND(" ",D733)-1)),"")</f>
        <v>대전광역시</v>
      </c>
      <c r="D733" s="3" t="s">
        <v>3352</v>
      </c>
      <c r="E733" s="3" t="s">
        <v>3353</v>
      </c>
      <c r="F733" s="3" t="s">
        <v>3080</v>
      </c>
      <c r="G733" s="3" t="s">
        <v>19</v>
      </c>
      <c r="H733" s="3" t="s">
        <v>3354</v>
      </c>
      <c r="I733" s="3" t="s">
        <v>19</v>
      </c>
      <c r="J733" s="3" t="s">
        <v>19</v>
      </c>
      <c r="K733" s="3" t="s">
        <v>21</v>
      </c>
      <c r="L733" s="3" t="s">
        <v>147</v>
      </c>
      <c r="M733" s="4">
        <v>617</v>
      </c>
      <c r="N733" s="3" t="s">
        <v>19</v>
      </c>
      <c r="O733" s="3" t="s">
        <v>281</v>
      </c>
      <c r="P733" s="3" t="s">
        <v>2615</v>
      </c>
    </row>
    <row r="734" spans="1:16" hidden="1" x14ac:dyDescent="0.4">
      <c r="A734" s="7">
        <v>733</v>
      </c>
      <c r="B734" s="8" t="s">
        <v>3355</v>
      </c>
      <c r="C734" s="6" t="str">
        <f>IFERROR(IF(LEFT(D734,FIND(" ",D734)-1)="전라북도","전북특별자치도",LEFT(D734,FIND(" ",D734)-1)),"")</f>
        <v>경상남도</v>
      </c>
      <c r="D734" s="3" t="s">
        <v>3356</v>
      </c>
      <c r="E734" s="3" t="s">
        <v>1639</v>
      </c>
      <c r="F734" s="3" t="s">
        <v>3080</v>
      </c>
      <c r="G734" s="3" t="s">
        <v>3357</v>
      </c>
      <c r="H734" s="3" t="s">
        <v>2738</v>
      </c>
      <c r="I734" s="3" t="s">
        <v>19</v>
      </c>
      <c r="J734" s="3" t="s">
        <v>19</v>
      </c>
      <c r="K734" s="3" t="s">
        <v>21</v>
      </c>
      <c r="L734" s="3" t="s">
        <v>22</v>
      </c>
      <c r="M734" s="4">
        <v>442</v>
      </c>
      <c r="N734" s="3" t="s">
        <v>1498</v>
      </c>
      <c r="O734" s="3" t="s">
        <v>281</v>
      </c>
      <c r="P734" s="3" t="s">
        <v>2443</v>
      </c>
    </row>
    <row r="735" spans="1:16" hidden="1" x14ac:dyDescent="0.4">
      <c r="A735" s="7">
        <v>734</v>
      </c>
      <c r="B735" s="8" t="s">
        <v>3358</v>
      </c>
      <c r="C735" s="6" t="str">
        <f>IFERROR(IF(LEFT(D735,FIND(" ",D735)-1)="전라북도","전북특별자치도",LEFT(D735,FIND(" ",D735)-1)),"")</f>
        <v>충청남도</v>
      </c>
      <c r="D735" s="3" t="s">
        <v>3359</v>
      </c>
      <c r="E735" s="3" t="s">
        <v>3360</v>
      </c>
      <c r="F735" s="3" t="s">
        <v>3068</v>
      </c>
      <c r="G735" s="3" t="s">
        <v>3361</v>
      </c>
      <c r="H735" s="3" t="s">
        <v>1296</v>
      </c>
      <c r="I735" s="3" t="s">
        <v>19</v>
      </c>
      <c r="J735" s="3" t="s">
        <v>19</v>
      </c>
      <c r="K735" s="3" t="s">
        <v>21</v>
      </c>
      <c r="L735" s="3" t="s">
        <v>22</v>
      </c>
      <c r="M735" s="4">
        <v>500</v>
      </c>
      <c r="N735" s="3" t="s">
        <v>1498</v>
      </c>
      <c r="O735" s="3" t="s">
        <v>281</v>
      </c>
      <c r="P735" s="3" t="s">
        <v>2839</v>
      </c>
    </row>
    <row r="736" spans="1:16" x14ac:dyDescent="0.4">
      <c r="A736" s="7">
        <v>735</v>
      </c>
      <c r="B736" s="8" t="s">
        <v>3362</v>
      </c>
      <c r="C736" s="6" t="str">
        <f>IFERROR(IF(LEFT(D736,FIND(" ",D736)-1)="전라북도","전북특별자치도",LEFT(D736,FIND(" ",D736)-1)),"")</f>
        <v>경기도</v>
      </c>
      <c r="D736" s="3" t="s">
        <v>3363</v>
      </c>
      <c r="E736" s="3" t="s">
        <v>3364</v>
      </c>
      <c r="F736" s="3" t="s">
        <v>3365</v>
      </c>
      <c r="G736" s="3" t="s">
        <v>3366</v>
      </c>
      <c r="H736" s="3" t="s">
        <v>3367</v>
      </c>
      <c r="I736" s="3" t="s">
        <v>3367</v>
      </c>
      <c r="J736" s="3" t="s">
        <v>19</v>
      </c>
      <c r="K736" s="3" t="s">
        <v>21</v>
      </c>
      <c r="L736" s="3" t="s">
        <v>22</v>
      </c>
      <c r="M736" s="4">
        <v>4962</v>
      </c>
      <c r="N736" s="3" t="s">
        <v>1498</v>
      </c>
      <c r="O736" s="3" t="s">
        <v>24</v>
      </c>
      <c r="P736" s="3" t="s">
        <v>19</v>
      </c>
    </row>
    <row r="737" spans="1:16" hidden="1" x14ac:dyDescent="0.4">
      <c r="A737" s="7">
        <v>736</v>
      </c>
      <c r="B737" s="8" t="s">
        <v>3368</v>
      </c>
      <c r="C737" s="6" t="str">
        <f>IFERROR(IF(LEFT(D737,FIND(" ",D737)-1)="전라북도","전북특별자치도",LEFT(D737,FIND(" ",D737)-1)),"")</f>
        <v>전북특별자치도</v>
      </c>
      <c r="D737" s="3" t="s">
        <v>3369</v>
      </c>
      <c r="E737" s="3" t="s">
        <v>1218</v>
      </c>
      <c r="F737" s="3" t="s">
        <v>3370</v>
      </c>
      <c r="G737" s="3" t="s">
        <v>3371</v>
      </c>
      <c r="H737" s="3" t="s">
        <v>3372</v>
      </c>
      <c r="I737" s="3" t="s">
        <v>3372</v>
      </c>
      <c r="J737" s="3" t="s">
        <v>3373</v>
      </c>
      <c r="K737" s="3" t="s">
        <v>21</v>
      </c>
      <c r="L737" s="3" t="s">
        <v>22</v>
      </c>
      <c r="M737" s="4">
        <v>1992</v>
      </c>
      <c r="N737" s="3" t="s">
        <v>1498</v>
      </c>
      <c r="O737" s="3" t="s">
        <v>281</v>
      </c>
      <c r="P737" s="3" t="s">
        <v>1678</v>
      </c>
    </row>
    <row r="738" spans="1:16" hidden="1" x14ac:dyDescent="0.4">
      <c r="A738" s="7">
        <v>737</v>
      </c>
      <c r="B738" s="8" t="s">
        <v>3374</v>
      </c>
      <c r="C738" s="6" t="str">
        <f>IFERROR(IF(LEFT(D738,FIND(" ",D738)-1)="전라북도","전북특별자치도",LEFT(D738,FIND(" ",D738)-1)),"")</f>
        <v>전북특별자치도</v>
      </c>
      <c r="D738" s="3" t="s">
        <v>3375</v>
      </c>
      <c r="E738" s="3" t="s">
        <v>3376</v>
      </c>
      <c r="F738" s="3" t="s">
        <v>3377</v>
      </c>
      <c r="G738" s="3" t="s">
        <v>3378</v>
      </c>
      <c r="H738" s="3" t="s">
        <v>436</v>
      </c>
      <c r="I738" s="3" t="s">
        <v>19</v>
      </c>
      <c r="J738" s="3" t="s">
        <v>19</v>
      </c>
      <c r="K738" s="3" t="s">
        <v>21</v>
      </c>
      <c r="L738" s="3" t="s">
        <v>147</v>
      </c>
      <c r="M738" s="4">
        <v>1395</v>
      </c>
      <c r="N738" s="3" t="s">
        <v>1498</v>
      </c>
      <c r="O738" s="3" t="s">
        <v>281</v>
      </c>
      <c r="P738" s="3" t="s">
        <v>1169</v>
      </c>
    </row>
    <row r="739" spans="1:16" hidden="1" x14ac:dyDescent="0.4">
      <c r="A739" s="7">
        <v>738</v>
      </c>
      <c r="B739" s="8" t="s">
        <v>3379</v>
      </c>
      <c r="C739" s="6" t="str">
        <f>IFERROR(IF(LEFT(D739,FIND(" ",D739)-1)="전라북도","전북특별자치도",LEFT(D739,FIND(" ",D739)-1)),"")</f>
        <v>충청남도</v>
      </c>
      <c r="D739" s="3" t="s">
        <v>3380</v>
      </c>
      <c r="E739" s="3" t="s">
        <v>1748</v>
      </c>
      <c r="F739" s="3" t="s">
        <v>2877</v>
      </c>
      <c r="G739" s="3" t="s">
        <v>2258</v>
      </c>
      <c r="H739" s="3" t="s">
        <v>2259</v>
      </c>
      <c r="I739" s="3" t="s">
        <v>2259</v>
      </c>
      <c r="J739" s="3" t="s">
        <v>3381</v>
      </c>
      <c r="K739" s="3" t="s">
        <v>21</v>
      </c>
      <c r="L739" s="3" t="s">
        <v>22</v>
      </c>
      <c r="M739" s="4">
        <v>2350</v>
      </c>
      <c r="N739" s="3" t="s">
        <v>1498</v>
      </c>
      <c r="O739" s="3" t="s">
        <v>281</v>
      </c>
      <c r="P739" s="3" t="s">
        <v>69</v>
      </c>
    </row>
    <row r="740" spans="1:16" x14ac:dyDescent="0.4">
      <c r="A740" s="7">
        <v>739</v>
      </c>
      <c r="B740" s="8" t="s">
        <v>3382</v>
      </c>
      <c r="C740" s="6" t="str">
        <f>IFERROR(IF(LEFT(D740,FIND(" ",D740)-1)="전라북도","전북특별자치도",LEFT(D740,FIND(" ",D740)-1)),"")</f>
        <v>경기도</v>
      </c>
      <c r="D740" s="3" t="s">
        <v>3383</v>
      </c>
      <c r="E740" s="3" t="s">
        <v>991</v>
      </c>
      <c r="F740" s="3" t="s">
        <v>969</v>
      </c>
      <c r="G740" s="3" t="s">
        <v>3384</v>
      </c>
      <c r="H740" s="3" t="s">
        <v>3385</v>
      </c>
      <c r="I740" s="3" t="s">
        <v>19</v>
      </c>
      <c r="J740" s="3" t="s">
        <v>19</v>
      </c>
      <c r="K740" s="3" t="s">
        <v>21</v>
      </c>
      <c r="L740" s="3" t="s">
        <v>22</v>
      </c>
      <c r="M740" s="4">
        <v>500</v>
      </c>
      <c r="N740" s="3" t="s">
        <v>84</v>
      </c>
      <c r="O740" s="3" t="s">
        <v>24</v>
      </c>
      <c r="P740" s="3" t="s">
        <v>19</v>
      </c>
    </row>
    <row r="741" spans="1:16" x14ac:dyDescent="0.4">
      <c r="A741" s="7">
        <v>740</v>
      </c>
      <c r="B741" s="8" t="s">
        <v>3386</v>
      </c>
      <c r="C741" s="6" t="str">
        <f>IFERROR(IF(LEFT(D741,FIND(" ",D741)-1)="전라북도","전북특별자치도",LEFT(D741,FIND(" ",D741)-1)),"")</f>
        <v>경기도</v>
      </c>
      <c r="D741" s="3" t="s">
        <v>3387</v>
      </c>
      <c r="E741" s="3" t="s">
        <v>3388</v>
      </c>
      <c r="F741" s="3" t="s">
        <v>969</v>
      </c>
      <c r="G741" s="3" t="s">
        <v>19</v>
      </c>
      <c r="H741" s="3" t="s">
        <v>3389</v>
      </c>
      <c r="I741" s="3" t="s">
        <v>19</v>
      </c>
      <c r="J741" s="3" t="s">
        <v>19</v>
      </c>
      <c r="K741" s="3" t="s">
        <v>21</v>
      </c>
      <c r="L741" s="3" t="s">
        <v>147</v>
      </c>
      <c r="M741" s="4">
        <v>1973</v>
      </c>
      <c r="N741" s="3" t="s">
        <v>1498</v>
      </c>
      <c r="O741" s="3" t="s">
        <v>24</v>
      </c>
      <c r="P741" s="3" t="s">
        <v>19</v>
      </c>
    </row>
    <row r="742" spans="1:16" hidden="1" x14ac:dyDescent="0.4">
      <c r="A742" s="7">
        <v>741</v>
      </c>
      <c r="B742" s="8" t="s">
        <v>3390</v>
      </c>
      <c r="C742" s="6" t="str">
        <f>IFERROR(IF(LEFT(D742,FIND(" ",D742)-1)="전라북도","전북특별자치도",LEFT(D742,FIND(" ",D742)-1)),"")</f>
        <v>경기도</v>
      </c>
      <c r="D742" s="3" t="s">
        <v>3383</v>
      </c>
      <c r="E742" s="3" t="s">
        <v>991</v>
      </c>
      <c r="F742" s="3" t="s">
        <v>969</v>
      </c>
      <c r="G742" s="3" t="s">
        <v>3391</v>
      </c>
      <c r="H742" s="3" t="s">
        <v>3385</v>
      </c>
      <c r="I742" s="3" t="s">
        <v>3385</v>
      </c>
      <c r="J742" s="3" t="s">
        <v>19</v>
      </c>
      <c r="K742" s="3" t="s">
        <v>21</v>
      </c>
      <c r="L742" s="3" t="s">
        <v>22</v>
      </c>
      <c r="M742" s="4">
        <v>1064</v>
      </c>
      <c r="N742" s="3" t="s">
        <v>2155</v>
      </c>
      <c r="O742" s="3" t="s">
        <v>281</v>
      </c>
      <c r="P742" s="3" t="s">
        <v>2522</v>
      </c>
    </row>
    <row r="743" spans="1:16" hidden="1" x14ac:dyDescent="0.4">
      <c r="A743" s="7">
        <v>742</v>
      </c>
      <c r="B743" s="8" t="s">
        <v>3392</v>
      </c>
      <c r="C743" s="6" t="str">
        <f>IFERROR(IF(LEFT(D743,FIND(" ",D743)-1)="전라북도","전북특별자치도",LEFT(D743,FIND(" ",D743)-1)),"")</f>
        <v>경기도</v>
      </c>
      <c r="D743" s="3" t="s">
        <v>3393</v>
      </c>
      <c r="E743" s="3" t="s">
        <v>1654</v>
      </c>
      <c r="F743" s="3" t="s">
        <v>3074</v>
      </c>
      <c r="G743" s="3" t="s">
        <v>19</v>
      </c>
      <c r="H743" s="3" t="s">
        <v>953</v>
      </c>
      <c r="I743" s="3" t="s">
        <v>953</v>
      </c>
      <c r="J743" s="3" t="s">
        <v>19</v>
      </c>
      <c r="K743" s="3" t="s">
        <v>21</v>
      </c>
      <c r="L743" s="3" t="s">
        <v>22</v>
      </c>
      <c r="M743" s="4">
        <v>707</v>
      </c>
      <c r="N743" s="3" t="s">
        <v>1498</v>
      </c>
      <c r="O743" s="3" t="s">
        <v>281</v>
      </c>
      <c r="P743" s="3" t="s">
        <v>559</v>
      </c>
    </row>
    <row r="744" spans="1:16" hidden="1" x14ac:dyDescent="0.4">
      <c r="A744" s="7">
        <v>743</v>
      </c>
      <c r="B744" s="8" t="s">
        <v>3394</v>
      </c>
      <c r="C744" s="6" t="str">
        <f>IFERROR(IF(LEFT(D744,FIND(" ",D744)-1)="전라북도","전북특별자치도",LEFT(D744,FIND(" ",D744)-1)),"")</f>
        <v>경기도</v>
      </c>
      <c r="D744" s="3" t="s">
        <v>3395</v>
      </c>
      <c r="E744" s="3" t="s">
        <v>1654</v>
      </c>
      <c r="F744" s="3" t="s">
        <v>3074</v>
      </c>
      <c r="G744" s="3" t="s">
        <v>19</v>
      </c>
      <c r="H744" s="3" t="s">
        <v>953</v>
      </c>
      <c r="I744" s="3" t="s">
        <v>953</v>
      </c>
      <c r="J744" s="3" t="s">
        <v>19</v>
      </c>
      <c r="K744" s="3" t="s">
        <v>21</v>
      </c>
      <c r="L744" s="3" t="s">
        <v>22</v>
      </c>
      <c r="M744" s="4">
        <v>708</v>
      </c>
      <c r="N744" s="3" t="s">
        <v>1498</v>
      </c>
      <c r="O744" s="3" t="s">
        <v>281</v>
      </c>
      <c r="P744" s="3" t="s">
        <v>559</v>
      </c>
    </row>
    <row r="745" spans="1:16" hidden="1" x14ac:dyDescent="0.4">
      <c r="A745" s="7">
        <v>744</v>
      </c>
      <c r="B745" s="8" t="s">
        <v>3396</v>
      </c>
      <c r="C745" s="6" t="str">
        <f>IFERROR(IF(LEFT(D745,FIND(" ",D745)-1)="전라북도","전북특별자치도",LEFT(D745,FIND(" ",D745)-1)),"")</f>
        <v>경기도</v>
      </c>
      <c r="D745" s="3" t="s">
        <v>3397</v>
      </c>
      <c r="E745" s="3" t="s">
        <v>3398</v>
      </c>
      <c r="F745" s="3" t="s">
        <v>3399</v>
      </c>
      <c r="G745" s="3" t="s">
        <v>2402</v>
      </c>
      <c r="H745" s="3" t="s">
        <v>210</v>
      </c>
      <c r="I745" s="3" t="s">
        <v>210</v>
      </c>
      <c r="J745" s="3" t="s">
        <v>51</v>
      </c>
      <c r="K745" s="3" t="s">
        <v>21</v>
      </c>
      <c r="L745" s="3" t="s">
        <v>22</v>
      </c>
      <c r="M745" s="4">
        <v>2420</v>
      </c>
      <c r="N745" s="3" t="s">
        <v>1498</v>
      </c>
      <c r="O745" s="3" t="s">
        <v>281</v>
      </c>
      <c r="P745" s="3" t="s">
        <v>2348</v>
      </c>
    </row>
    <row r="746" spans="1:16" hidden="1" x14ac:dyDescent="0.4">
      <c r="A746" s="7">
        <v>745</v>
      </c>
      <c r="B746" s="8" t="s">
        <v>3400</v>
      </c>
      <c r="C746" s="6" t="str">
        <f>IFERROR(IF(LEFT(D746,FIND(" ",D746)-1)="전라북도","전북특별자치도",LEFT(D746,FIND(" ",D746)-1)),"")</f>
        <v>전라남도</v>
      </c>
      <c r="D746" s="3" t="s">
        <v>3401</v>
      </c>
      <c r="E746" s="3" t="s">
        <v>3398</v>
      </c>
      <c r="F746" s="3" t="s">
        <v>956</v>
      </c>
      <c r="G746" s="3" t="s">
        <v>3402</v>
      </c>
      <c r="H746" s="3" t="s">
        <v>2893</v>
      </c>
      <c r="I746" s="3" t="s">
        <v>2893</v>
      </c>
      <c r="J746" s="3" t="s">
        <v>19</v>
      </c>
      <c r="K746" s="3" t="s">
        <v>21</v>
      </c>
      <c r="L746" s="3" t="s">
        <v>147</v>
      </c>
      <c r="M746" s="4">
        <v>495</v>
      </c>
      <c r="N746" s="3" t="s">
        <v>1498</v>
      </c>
      <c r="O746" s="3" t="s">
        <v>281</v>
      </c>
      <c r="P746" s="3" t="s">
        <v>2912</v>
      </c>
    </row>
    <row r="747" spans="1:16" hidden="1" x14ac:dyDescent="0.4">
      <c r="A747" s="7">
        <v>746</v>
      </c>
      <c r="B747" s="8" t="s">
        <v>3403</v>
      </c>
      <c r="C747" s="6" t="str">
        <f>IFERROR(IF(LEFT(D747,FIND(" ",D747)-1)="전라북도","전북특별자치도",LEFT(D747,FIND(" ",D747)-1)),"")</f>
        <v>경상북도</v>
      </c>
      <c r="D747" s="3" t="s">
        <v>3404</v>
      </c>
      <c r="E747" s="3" t="s">
        <v>3405</v>
      </c>
      <c r="F747" s="3" t="s">
        <v>3138</v>
      </c>
      <c r="G747" s="3" t="s">
        <v>3407</v>
      </c>
      <c r="H747" s="3" t="s">
        <v>3408</v>
      </c>
      <c r="I747" s="3" t="s">
        <v>3409</v>
      </c>
      <c r="J747" s="3" t="s">
        <v>19</v>
      </c>
      <c r="K747" s="3" t="s">
        <v>21</v>
      </c>
      <c r="L747" s="3" t="s">
        <v>147</v>
      </c>
      <c r="M747" s="4">
        <v>693</v>
      </c>
      <c r="N747" s="3" t="s">
        <v>2155</v>
      </c>
      <c r="O747" s="3" t="s">
        <v>281</v>
      </c>
      <c r="P747" s="3" t="s">
        <v>3406</v>
      </c>
    </row>
    <row r="748" spans="1:16" hidden="1" x14ac:dyDescent="0.4">
      <c r="A748" s="7">
        <v>747</v>
      </c>
      <c r="B748" s="8" t="s">
        <v>3410</v>
      </c>
      <c r="C748" s="6" t="str">
        <f>IFERROR(IF(LEFT(D748,FIND(" ",D748)-1)="전라북도","전북특별자치도",LEFT(D748,FIND(" ",D748)-1)),"")</f>
        <v>충청남도</v>
      </c>
      <c r="D748" s="3" t="s">
        <v>3411</v>
      </c>
      <c r="E748" s="3" t="s">
        <v>3412</v>
      </c>
      <c r="F748" s="3" t="s">
        <v>980</v>
      </c>
      <c r="G748" s="3" t="s">
        <v>3413</v>
      </c>
      <c r="H748" s="3" t="s">
        <v>2202</v>
      </c>
      <c r="I748" s="3" t="s">
        <v>2203</v>
      </c>
      <c r="J748" s="3" t="s">
        <v>19</v>
      </c>
      <c r="K748" s="3" t="s">
        <v>21</v>
      </c>
      <c r="L748" s="3" t="s">
        <v>22</v>
      </c>
      <c r="M748" s="4">
        <v>2041</v>
      </c>
      <c r="N748" s="3" t="s">
        <v>1498</v>
      </c>
      <c r="O748" s="3" t="s">
        <v>281</v>
      </c>
      <c r="P748" s="3" t="s">
        <v>2917</v>
      </c>
    </row>
    <row r="749" spans="1:16" hidden="1" x14ac:dyDescent="0.4">
      <c r="A749" s="7">
        <v>748</v>
      </c>
      <c r="B749" s="8" t="s">
        <v>3414</v>
      </c>
      <c r="C749" s="6" t="str">
        <f>IFERROR(IF(LEFT(D749,FIND(" ",D749)-1)="전라북도","전북특별자치도",LEFT(D749,FIND(" ",D749)-1)),"")</f>
        <v>강원특별자치도</v>
      </c>
      <c r="D749" s="3" t="s">
        <v>3415</v>
      </c>
      <c r="E749" s="3" t="s">
        <v>1043</v>
      </c>
      <c r="F749" s="3" t="s">
        <v>3376</v>
      </c>
      <c r="G749" s="3" t="s">
        <v>1160</v>
      </c>
      <c r="H749" s="3" t="s">
        <v>3416</v>
      </c>
      <c r="I749" s="3" t="s">
        <v>2573</v>
      </c>
      <c r="J749" s="3" t="s">
        <v>1160</v>
      </c>
      <c r="K749" s="3" t="s">
        <v>21</v>
      </c>
      <c r="L749" s="3" t="s">
        <v>22</v>
      </c>
      <c r="M749" s="4">
        <v>1532</v>
      </c>
      <c r="N749" s="3" t="s">
        <v>562</v>
      </c>
      <c r="O749" s="3" t="s">
        <v>281</v>
      </c>
      <c r="P749" s="3" t="s">
        <v>1578</v>
      </c>
    </row>
    <row r="750" spans="1:16" hidden="1" x14ac:dyDescent="0.4">
      <c r="A750" s="7">
        <v>749</v>
      </c>
      <c r="B750" s="8" t="s">
        <v>3417</v>
      </c>
      <c r="C750" s="6" t="str">
        <f>IFERROR(IF(LEFT(D750,FIND(" ",D750)-1)="전라북도","전북특별자치도",LEFT(D750,FIND(" ",D750)-1)),"")</f>
        <v>경상남도</v>
      </c>
      <c r="D750" s="3" t="s">
        <v>3418</v>
      </c>
      <c r="E750" s="3" t="s">
        <v>3226</v>
      </c>
      <c r="F750" s="3" t="s">
        <v>3376</v>
      </c>
      <c r="G750" s="3" t="s">
        <v>3075</v>
      </c>
      <c r="H750" s="3" t="s">
        <v>3076</v>
      </c>
      <c r="I750" s="3" t="s">
        <v>3077</v>
      </c>
      <c r="J750" s="3" t="s">
        <v>19</v>
      </c>
      <c r="K750" s="3" t="s">
        <v>21</v>
      </c>
      <c r="L750" s="3" t="s">
        <v>22</v>
      </c>
      <c r="M750" s="4">
        <v>808</v>
      </c>
      <c r="N750" s="3" t="s">
        <v>1498</v>
      </c>
      <c r="O750" s="3" t="s">
        <v>281</v>
      </c>
      <c r="P750" s="3" t="s">
        <v>3419</v>
      </c>
    </row>
    <row r="751" spans="1:16" hidden="1" x14ac:dyDescent="0.4">
      <c r="A751" s="7">
        <v>750</v>
      </c>
      <c r="B751" s="8" t="s">
        <v>3420</v>
      </c>
      <c r="C751" s="6" t="str">
        <f>IFERROR(IF(LEFT(D751,FIND(" ",D751)-1)="전라북도","전북특별자치도",LEFT(D751,FIND(" ",D751)-1)),"")</f>
        <v>경상남도</v>
      </c>
      <c r="D751" s="3" t="s">
        <v>3421</v>
      </c>
      <c r="E751" s="3" t="s">
        <v>2353</v>
      </c>
      <c r="F751" s="3" t="s">
        <v>3376</v>
      </c>
      <c r="G751" s="3" t="s">
        <v>3357</v>
      </c>
      <c r="H751" s="3" t="s">
        <v>3422</v>
      </c>
      <c r="I751" s="3" t="s">
        <v>19</v>
      </c>
      <c r="J751" s="3" t="s">
        <v>19</v>
      </c>
      <c r="K751" s="3" t="s">
        <v>21</v>
      </c>
      <c r="L751" s="3" t="s">
        <v>22</v>
      </c>
      <c r="M751" s="4">
        <v>667</v>
      </c>
      <c r="N751" s="3" t="s">
        <v>1498</v>
      </c>
      <c r="O751" s="3" t="s">
        <v>281</v>
      </c>
      <c r="P751" s="3" t="s">
        <v>2649</v>
      </c>
    </row>
    <row r="752" spans="1:16" hidden="1" x14ac:dyDescent="0.4">
      <c r="A752" s="7">
        <v>751</v>
      </c>
      <c r="B752" s="8" t="s">
        <v>3423</v>
      </c>
      <c r="C752" s="6" t="str">
        <f>IFERROR(IF(LEFT(D752,FIND(" ",D752)-1)="전라북도","전북특별자치도",LEFT(D752,FIND(" ",D752)-1)),"")</f>
        <v>강원특별자치도</v>
      </c>
      <c r="D752" s="3" t="s">
        <v>3424</v>
      </c>
      <c r="E752" s="3" t="s">
        <v>3425</v>
      </c>
      <c r="F752" s="3" t="s">
        <v>3426</v>
      </c>
      <c r="G752" s="3" t="s">
        <v>1750</v>
      </c>
      <c r="H752" s="3" t="s">
        <v>3427</v>
      </c>
      <c r="I752" s="3" t="s">
        <v>3427</v>
      </c>
      <c r="J752" s="3" t="s">
        <v>3428</v>
      </c>
      <c r="K752" s="3" t="s">
        <v>21</v>
      </c>
      <c r="L752" s="3" t="s">
        <v>147</v>
      </c>
      <c r="M752" s="4">
        <v>69669</v>
      </c>
      <c r="N752" s="3" t="s">
        <v>1498</v>
      </c>
      <c r="O752" s="3" t="s">
        <v>281</v>
      </c>
      <c r="P752" s="3" t="s">
        <v>2435</v>
      </c>
    </row>
    <row r="753" spans="1:16" hidden="1" x14ac:dyDescent="0.4">
      <c r="A753" s="7">
        <v>752</v>
      </c>
      <c r="B753" s="8" t="s">
        <v>3429</v>
      </c>
      <c r="C753" s="6" t="str">
        <f>IFERROR(IF(LEFT(D753,FIND(" ",D753)-1)="전라북도","전북특별자치도",LEFT(D753,FIND(" ",D753)-1)),"")</f>
        <v>충청남도</v>
      </c>
      <c r="D753" s="3" t="s">
        <v>3430</v>
      </c>
      <c r="E753" s="3" t="s">
        <v>3431</v>
      </c>
      <c r="F753" s="3" t="s">
        <v>3426</v>
      </c>
      <c r="G753" s="3" t="s">
        <v>3433</v>
      </c>
      <c r="H753" s="3" t="s">
        <v>1296</v>
      </c>
      <c r="I753" s="3" t="s">
        <v>19</v>
      </c>
      <c r="J753" s="3" t="s">
        <v>19</v>
      </c>
      <c r="K753" s="3" t="s">
        <v>21</v>
      </c>
      <c r="L753" s="3" t="s">
        <v>22</v>
      </c>
      <c r="M753" s="4">
        <v>239</v>
      </c>
      <c r="N753" s="3" t="s">
        <v>84</v>
      </c>
      <c r="O753" s="3" t="s">
        <v>281</v>
      </c>
      <c r="P753" s="3" t="s">
        <v>3432</v>
      </c>
    </row>
    <row r="754" spans="1:16" hidden="1" x14ac:dyDescent="0.4">
      <c r="A754" s="7">
        <v>753</v>
      </c>
      <c r="B754" s="8" t="s">
        <v>3434</v>
      </c>
      <c r="C754" s="6" t="str">
        <f>IFERROR(IF(LEFT(D754,FIND(" ",D754)-1)="전라북도","전북특별자치도",LEFT(D754,FIND(" ",D754)-1)),"")</f>
        <v>전라남도</v>
      </c>
      <c r="D754" s="3" t="s">
        <v>3435</v>
      </c>
      <c r="E754" s="3" t="s">
        <v>3436</v>
      </c>
      <c r="F754" s="3" t="s">
        <v>3398</v>
      </c>
      <c r="G754" s="3" t="s">
        <v>3204</v>
      </c>
      <c r="H754" s="3" t="s">
        <v>3437</v>
      </c>
      <c r="I754" s="3" t="s">
        <v>1591</v>
      </c>
      <c r="J754" s="3" t="s">
        <v>3438</v>
      </c>
      <c r="K754" s="3" t="s">
        <v>21</v>
      </c>
      <c r="L754" s="3" t="s">
        <v>22</v>
      </c>
      <c r="M754" s="4">
        <v>1993</v>
      </c>
      <c r="N754" s="3" t="s">
        <v>1498</v>
      </c>
      <c r="O754" s="3" t="s">
        <v>281</v>
      </c>
      <c r="P754" s="3" t="s">
        <v>2508</v>
      </c>
    </row>
    <row r="755" spans="1:16" hidden="1" x14ac:dyDescent="0.4">
      <c r="A755" s="7">
        <v>754</v>
      </c>
      <c r="B755" s="8" t="s">
        <v>3439</v>
      </c>
      <c r="C755" s="6" t="str">
        <f>IFERROR(IF(LEFT(D755,FIND(" ",D755)-1)="전라북도","전북특별자치도",LEFT(D755,FIND(" ",D755)-1)),"")</f>
        <v>충청남도</v>
      </c>
      <c r="D755" s="3" t="s">
        <v>3440</v>
      </c>
      <c r="E755" s="3" t="s">
        <v>991</v>
      </c>
      <c r="F755" s="3" t="s">
        <v>3441</v>
      </c>
      <c r="G755" s="3" t="s">
        <v>19</v>
      </c>
      <c r="H755" s="3" t="s">
        <v>3442</v>
      </c>
      <c r="I755" s="3" t="s">
        <v>19</v>
      </c>
      <c r="J755" s="3" t="s">
        <v>19</v>
      </c>
      <c r="K755" s="3" t="s">
        <v>21</v>
      </c>
      <c r="L755" s="3" t="s">
        <v>147</v>
      </c>
      <c r="M755" s="4">
        <v>430</v>
      </c>
      <c r="N755" s="3" t="s">
        <v>84</v>
      </c>
      <c r="O755" s="3" t="s">
        <v>281</v>
      </c>
      <c r="P755" s="3" t="s">
        <v>904</v>
      </c>
    </row>
    <row r="756" spans="1:16" hidden="1" x14ac:dyDescent="0.4">
      <c r="A756" s="7">
        <v>755</v>
      </c>
      <c r="B756" s="8" t="s">
        <v>3443</v>
      </c>
      <c r="C756" s="6" t="str">
        <f>IFERROR(IF(LEFT(D756,FIND(" ",D756)-1)="전라북도","전북특별자치도",LEFT(D756,FIND(" ",D756)-1)),"")</f>
        <v>충청남도</v>
      </c>
      <c r="D756" s="3" t="s">
        <v>3444</v>
      </c>
      <c r="E756" s="3" t="s">
        <v>3445</v>
      </c>
      <c r="F756" s="3" t="s">
        <v>991</v>
      </c>
      <c r="G756" s="3" t="s">
        <v>3446</v>
      </c>
      <c r="H756" s="3" t="s">
        <v>3447</v>
      </c>
      <c r="I756" s="3" t="s">
        <v>19</v>
      </c>
      <c r="J756" s="3" t="s">
        <v>3448</v>
      </c>
      <c r="K756" s="3" t="s">
        <v>21</v>
      </c>
      <c r="L756" s="3" t="s">
        <v>147</v>
      </c>
      <c r="M756" s="4">
        <v>2250</v>
      </c>
      <c r="N756" s="3" t="s">
        <v>1498</v>
      </c>
      <c r="O756" s="3" t="s">
        <v>281</v>
      </c>
      <c r="P756" s="3" t="s">
        <v>1293</v>
      </c>
    </row>
    <row r="757" spans="1:16" hidden="1" x14ac:dyDescent="0.4">
      <c r="A757" s="7">
        <v>756</v>
      </c>
      <c r="B757" s="8" t="s">
        <v>3449</v>
      </c>
      <c r="C757" s="6" t="str">
        <f>IFERROR(IF(LEFT(D757,FIND(" ",D757)-1)="전라북도","전북특별자치도",LEFT(D757,FIND(" ",D757)-1)),"")</f>
        <v>제주특별자치도</v>
      </c>
      <c r="D757" s="3" t="s">
        <v>3450</v>
      </c>
      <c r="E757" s="3" t="s">
        <v>2801</v>
      </c>
      <c r="F757" s="3" t="s">
        <v>991</v>
      </c>
      <c r="G757" s="3" t="s">
        <v>3451</v>
      </c>
      <c r="H757" s="3" t="s">
        <v>241</v>
      </c>
      <c r="I757" s="3" t="s">
        <v>241</v>
      </c>
      <c r="J757" s="3" t="s">
        <v>3452</v>
      </c>
      <c r="K757" s="3" t="s">
        <v>21</v>
      </c>
      <c r="L757" s="3" t="s">
        <v>147</v>
      </c>
      <c r="M757" s="4">
        <v>2119</v>
      </c>
      <c r="N757" s="3" t="s">
        <v>19</v>
      </c>
      <c r="O757" s="3" t="s">
        <v>281</v>
      </c>
      <c r="P757" s="3" t="s">
        <v>466</v>
      </c>
    </row>
    <row r="758" spans="1:16" x14ac:dyDescent="0.4">
      <c r="A758" s="7">
        <v>757</v>
      </c>
      <c r="B758" s="8" t="s">
        <v>3453</v>
      </c>
      <c r="C758" s="6" t="str">
        <f>IFERROR(IF(LEFT(D758,FIND(" ",D758)-1)="전라북도","전북특별자치도",LEFT(D758,FIND(" ",D758)-1)),"")</f>
        <v>충청남도</v>
      </c>
      <c r="D758" s="3" t="s">
        <v>3454</v>
      </c>
      <c r="E758" s="3" t="s">
        <v>3455</v>
      </c>
      <c r="F758" s="3" t="s">
        <v>1005</v>
      </c>
      <c r="G758" s="3" t="s">
        <v>2947</v>
      </c>
      <c r="H758" s="3" t="s">
        <v>2948</v>
      </c>
      <c r="I758" s="3" t="s">
        <v>19</v>
      </c>
      <c r="J758" s="3" t="s">
        <v>19</v>
      </c>
      <c r="K758" s="3" t="s">
        <v>21</v>
      </c>
      <c r="L758" s="3" t="s">
        <v>22</v>
      </c>
      <c r="M758" s="4">
        <v>3092</v>
      </c>
      <c r="N758" s="3" t="s">
        <v>1498</v>
      </c>
      <c r="O758" s="3" t="s">
        <v>24</v>
      </c>
      <c r="P758" s="3" t="s">
        <v>19</v>
      </c>
    </row>
    <row r="759" spans="1:16" hidden="1" x14ac:dyDescent="0.4">
      <c r="A759" s="7">
        <v>758</v>
      </c>
      <c r="B759" s="8" t="s">
        <v>3456</v>
      </c>
      <c r="C759" s="6" t="str">
        <f>IFERROR(IF(LEFT(D759,FIND(" ",D759)-1)="전라북도","전북특별자치도",LEFT(D759,FIND(" ",D759)-1)),"")</f>
        <v>경상북도</v>
      </c>
      <c r="D759" s="3" t="s">
        <v>3457</v>
      </c>
      <c r="E759" s="3" t="s">
        <v>3226</v>
      </c>
      <c r="F759" s="3" t="s">
        <v>1005</v>
      </c>
      <c r="G759" s="3" t="s">
        <v>3458</v>
      </c>
      <c r="H759" s="3" t="s">
        <v>3459</v>
      </c>
      <c r="I759" s="3" t="s">
        <v>3460</v>
      </c>
      <c r="J759" s="3" t="s">
        <v>3461</v>
      </c>
      <c r="K759" s="3" t="s">
        <v>21</v>
      </c>
      <c r="L759" s="3" t="s">
        <v>22</v>
      </c>
      <c r="M759" s="4">
        <v>857</v>
      </c>
      <c r="N759" s="3" t="s">
        <v>211</v>
      </c>
      <c r="O759" s="3" t="s">
        <v>281</v>
      </c>
      <c r="P759" s="3" t="s">
        <v>2536</v>
      </c>
    </row>
    <row r="760" spans="1:16" hidden="1" x14ac:dyDescent="0.4">
      <c r="A760" s="7">
        <v>759</v>
      </c>
      <c r="B760" s="8" t="s">
        <v>3462</v>
      </c>
      <c r="C760" s="6" t="str">
        <f>IFERROR(IF(LEFT(D760,FIND(" ",D760)-1)="전라북도","전북특별자치도",LEFT(D760,FIND(" ",D760)-1)),"")</f>
        <v>경기도</v>
      </c>
      <c r="D760" s="3" t="s">
        <v>3463</v>
      </c>
      <c r="E760" s="3" t="s">
        <v>3455</v>
      </c>
      <c r="F760" s="3" t="s">
        <v>3464</v>
      </c>
      <c r="G760" s="3" t="s">
        <v>19</v>
      </c>
      <c r="H760" s="3" t="s">
        <v>953</v>
      </c>
      <c r="I760" s="3" t="s">
        <v>953</v>
      </c>
      <c r="J760" s="3" t="s">
        <v>19</v>
      </c>
      <c r="K760" s="3" t="s">
        <v>21</v>
      </c>
      <c r="L760" s="3" t="s">
        <v>22</v>
      </c>
      <c r="M760" s="4">
        <v>326</v>
      </c>
      <c r="N760" s="3" t="s">
        <v>84</v>
      </c>
      <c r="O760" s="3" t="s">
        <v>281</v>
      </c>
      <c r="P760" s="3" t="s">
        <v>2813</v>
      </c>
    </row>
    <row r="761" spans="1:16" x14ac:dyDescent="0.4">
      <c r="A761" s="7">
        <v>760</v>
      </c>
      <c r="B761" s="8" t="s">
        <v>3465</v>
      </c>
      <c r="C761" s="6" t="str">
        <f>IFERROR(IF(LEFT(D761,FIND(" ",D761)-1)="전라북도","전북특별자치도",LEFT(D761,FIND(" ",D761)-1)),"")</f>
        <v>부산광역시</v>
      </c>
      <c r="D761" s="3" t="s">
        <v>3466</v>
      </c>
      <c r="E761" s="3" t="s">
        <v>1099</v>
      </c>
      <c r="F761" s="3" t="s">
        <v>3464</v>
      </c>
      <c r="G761" s="3" t="s">
        <v>3467</v>
      </c>
      <c r="H761" s="3" t="s">
        <v>3468</v>
      </c>
      <c r="I761" s="3" t="s">
        <v>3469</v>
      </c>
      <c r="J761" s="3" t="s">
        <v>19</v>
      </c>
      <c r="K761" s="3" t="s">
        <v>21</v>
      </c>
      <c r="L761" s="3" t="s">
        <v>22</v>
      </c>
      <c r="M761" s="4">
        <v>625</v>
      </c>
      <c r="N761" s="3" t="s">
        <v>1498</v>
      </c>
      <c r="O761" s="3" t="s">
        <v>24</v>
      </c>
      <c r="P761" s="3" t="s">
        <v>19</v>
      </c>
    </row>
    <row r="762" spans="1:16" hidden="1" x14ac:dyDescent="0.4">
      <c r="A762" s="7">
        <v>761</v>
      </c>
      <c r="B762" s="8" t="s">
        <v>3470</v>
      </c>
      <c r="C762" s="6" t="str">
        <f>IFERROR(IF(LEFT(D762,FIND(" ",D762)-1)="전라북도","전북특별자치도",LEFT(D762,FIND(" ",D762)-1)),"")</f>
        <v>전라남도</v>
      </c>
      <c r="D762" s="3" t="s">
        <v>3471</v>
      </c>
      <c r="E762" s="3" t="s">
        <v>2353</v>
      </c>
      <c r="F762" s="3" t="s">
        <v>3388</v>
      </c>
      <c r="G762" s="3" t="s">
        <v>19</v>
      </c>
      <c r="H762" s="3" t="s">
        <v>3472</v>
      </c>
      <c r="I762" s="3" t="s">
        <v>19</v>
      </c>
      <c r="J762" s="3" t="s">
        <v>19</v>
      </c>
      <c r="K762" s="3" t="s">
        <v>21</v>
      </c>
      <c r="L762" s="3" t="s">
        <v>147</v>
      </c>
      <c r="M762" s="4">
        <v>407</v>
      </c>
      <c r="N762" s="3" t="s">
        <v>3473</v>
      </c>
      <c r="O762" s="3" t="s">
        <v>281</v>
      </c>
      <c r="P762" s="3" t="s">
        <v>3376</v>
      </c>
    </row>
    <row r="763" spans="1:16" hidden="1" x14ac:dyDescent="0.4">
      <c r="A763" s="7">
        <v>762</v>
      </c>
      <c r="B763" s="8" t="s">
        <v>3474</v>
      </c>
      <c r="C763" s="6" t="str">
        <f>IFERROR(IF(LEFT(D763,FIND(" ",D763)-1)="전라북도","전북특별자치도",LEFT(D763,FIND(" ",D763)-1)),"")</f>
        <v>충청북도</v>
      </c>
      <c r="D763" s="3" t="s">
        <v>3475</v>
      </c>
      <c r="E763" s="3" t="s">
        <v>2801</v>
      </c>
      <c r="F763" s="3" t="s">
        <v>3158</v>
      </c>
      <c r="G763" s="3" t="s">
        <v>3476</v>
      </c>
      <c r="H763" s="3" t="s">
        <v>3477</v>
      </c>
      <c r="I763" s="3" t="s">
        <v>3477</v>
      </c>
      <c r="J763" s="3" t="s">
        <v>19</v>
      </c>
      <c r="K763" s="3" t="s">
        <v>21</v>
      </c>
      <c r="L763" s="3" t="s">
        <v>22</v>
      </c>
      <c r="M763" s="4">
        <v>2845</v>
      </c>
      <c r="N763" s="3" t="s">
        <v>1498</v>
      </c>
      <c r="O763" s="3" t="s">
        <v>281</v>
      </c>
      <c r="P763" s="3" t="s">
        <v>2431</v>
      </c>
    </row>
    <row r="764" spans="1:16" hidden="1" x14ac:dyDescent="0.4">
      <c r="A764" s="7">
        <v>763</v>
      </c>
      <c r="B764" s="8" t="s">
        <v>3478</v>
      </c>
      <c r="C764" s="6" t="str">
        <f>IFERROR(IF(LEFT(D764,FIND(" ",D764)-1)="전라북도","전북특별자치도",LEFT(D764,FIND(" ",D764)-1)),"")</f>
        <v>경상북도</v>
      </c>
      <c r="D764" s="3" t="s">
        <v>3479</v>
      </c>
      <c r="E764" s="3" t="s">
        <v>1610</v>
      </c>
      <c r="F764" s="3" t="s">
        <v>3480</v>
      </c>
      <c r="G764" s="3" t="s">
        <v>1887</v>
      </c>
      <c r="H764" s="3" t="s">
        <v>1888</v>
      </c>
      <c r="I764" s="3" t="s">
        <v>1888</v>
      </c>
      <c r="J764" s="3" t="s">
        <v>19</v>
      </c>
      <c r="K764" s="3" t="s">
        <v>21</v>
      </c>
      <c r="L764" s="3" t="s">
        <v>22</v>
      </c>
      <c r="M764" s="4">
        <v>595</v>
      </c>
      <c r="N764" s="3" t="s">
        <v>1498</v>
      </c>
      <c r="O764" s="3" t="s">
        <v>281</v>
      </c>
      <c r="P764" s="3" t="s">
        <v>2041</v>
      </c>
    </row>
    <row r="765" spans="1:16" hidden="1" x14ac:dyDescent="0.4">
      <c r="A765" s="7">
        <v>764</v>
      </c>
      <c r="B765" s="8" t="s">
        <v>3481</v>
      </c>
      <c r="C765" s="6" t="str">
        <f>IFERROR(IF(LEFT(D765,FIND(" ",D765)-1)="전라북도","전북특별자치도",LEFT(D765,FIND(" ",D765)-1)),"")</f>
        <v>경기도</v>
      </c>
      <c r="D765" s="3" t="s">
        <v>3482</v>
      </c>
      <c r="E765" s="3" t="s">
        <v>3483</v>
      </c>
      <c r="F765" s="3" t="s">
        <v>2353</v>
      </c>
      <c r="G765" s="3" t="s">
        <v>3165</v>
      </c>
      <c r="H765" s="3" t="s">
        <v>19</v>
      </c>
      <c r="I765" s="3" t="s">
        <v>19</v>
      </c>
      <c r="J765" s="3" t="s">
        <v>19</v>
      </c>
      <c r="K765" s="3" t="s">
        <v>21</v>
      </c>
      <c r="L765" s="3" t="s">
        <v>22</v>
      </c>
      <c r="M765" s="4">
        <v>999</v>
      </c>
      <c r="N765" s="3" t="s">
        <v>1498</v>
      </c>
      <c r="O765" s="3" t="s">
        <v>281</v>
      </c>
      <c r="P765" s="3" t="s">
        <v>2011</v>
      </c>
    </row>
    <row r="766" spans="1:16" hidden="1" x14ac:dyDescent="0.4">
      <c r="A766" s="7">
        <v>765</v>
      </c>
      <c r="B766" s="8" t="s">
        <v>3484</v>
      </c>
      <c r="C766" s="6" t="str">
        <f>IFERROR(IF(LEFT(D766,FIND(" ",D766)-1)="전라북도","전북특별자치도",LEFT(D766,FIND(" ",D766)-1)),"")</f>
        <v>충청남도</v>
      </c>
      <c r="D766" s="3" t="s">
        <v>3485</v>
      </c>
      <c r="E766" s="3" t="s">
        <v>3360</v>
      </c>
      <c r="F766" s="3" t="s">
        <v>2353</v>
      </c>
      <c r="G766" s="3" t="s">
        <v>3486</v>
      </c>
      <c r="H766" s="3" t="s">
        <v>3487</v>
      </c>
      <c r="I766" s="3" t="s">
        <v>3488</v>
      </c>
      <c r="J766" s="3" t="s">
        <v>19</v>
      </c>
      <c r="K766" s="3" t="s">
        <v>21</v>
      </c>
      <c r="L766" s="3" t="s">
        <v>147</v>
      </c>
      <c r="M766" s="4">
        <v>2153</v>
      </c>
      <c r="N766" s="3" t="s">
        <v>1498</v>
      </c>
      <c r="O766" s="3" t="s">
        <v>281</v>
      </c>
      <c r="P766" s="3" t="s">
        <v>1337</v>
      </c>
    </row>
    <row r="767" spans="1:16" hidden="1" x14ac:dyDescent="0.4">
      <c r="A767" s="7">
        <v>766</v>
      </c>
      <c r="B767" s="8" t="s">
        <v>3489</v>
      </c>
      <c r="C767" s="6" t="str">
        <f>IFERROR(IF(LEFT(D767,FIND(" ",D767)-1)="전라북도","전북특별자치도",LEFT(D767,FIND(" ",D767)-1)),"")</f>
        <v>경기도</v>
      </c>
      <c r="D767" s="3" t="s">
        <v>3490</v>
      </c>
      <c r="E767" s="3" t="s">
        <v>1318</v>
      </c>
      <c r="F767" s="3" t="s">
        <v>3284</v>
      </c>
      <c r="G767" s="3" t="s">
        <v>2402</v>
      </c>
      <c r="H767" s="3" t="s">
        <v>210</v>
      </c>
      <c r="I767" s="3" t="s">
        <v>210</v>
      </c>
      <c r="J767" s="3" t="s">
        <v>19</v>
      </c>
      <c r="K767" s="3" t="s">
        <v>21</v>
      </c>
      <c r="L767" s="3" t="s">
        <v>22</v>
      </c>
      <c r="M767" s="4">
        <v>2728</v>
      </c>
      <c r="N767" s="3" t="s">
        <v>1498</v>
      </c>
      <c r="O767" s="3" t="s">
        <v>281</v>
      </c>
      <c r="P767" s="3" t="s">
        <v>522</v>
      </c>
    </row>
    <row r="768" spans="1:16" hidden="1" x14ac:dyDescent="0.4">
      <c r="A768" s="7">
        <v>767</v>
      </c>
      <c r="B768" s="8" t="s">
        <v>3491</v>
      </c>
      <c r="C768" s="6" t="str">
        <f>IFERROR(IF(LEFT(D768,FIND(" ",D768)-1)="전라북도","전북특별자치도",LEFT(D768,FIND(" ",D768)-1)),"")</f>
        <v>경상남도</v>
      </c>
      <c r="D768" s="3" t="s">
        <v>3492</v>
      </c>
      <c r="E768" s="3" t="s">
        <v>3493</v>
      </c>
      <c r="F768" s="3" t="s">
        <v>3284</v>
      </c>
      <c r="G768" s="3" t="s">
        <v>19</v>
      </c>
      <c r="H768" s="3" t="s">
        <v>3494</v>
      </c>
      <c r="I768" s="3" t="s">
        <v>19</v>
      </c>
      <c r="J768" s="3" t="s">
        <v>19</v>
      </c>
      <c r="K768" s="3" t="s">
        <v>21</v>
      </c>
      <c r="L768" s="3" t="s">
        <v>147</v>
      </c>
      <c r="M768" s="4">
        <v>280</v>
      </c>
      <c r="N768" s="3" t="s">
        <v>2155</v>
      </c>
      <c r="O768" s="3" t="s">
        <v>281</v>
      </c>
      <c r="P768" s="3" t="s">
        <v>3353</v>
      </c>
    </row>
    <row r="769" spans="1:16" hidden="1" x14ac:dyDescent="0.4">
      <c r="A769" s="7">
        <v>768</v>
      </c>
      <c r="B769" s="8" t="s">
        <v>3495</v>
      </c>
      <c r="C769" s="6" t="str">
        <f>IFERROR(IF(LEFT(D769,FIND(" ",D769)-1)="전라북도","전북특별자치도",LEFT(D769,FIND(" ",D769)-1)),"")</f>
        <v>경기도</v>
      </c>
      <c r="D769" s="3" t="s">
        <v>3496</v>
      </c>
      <c r="E769" s="3" t="s">
        <v>3497</v>
      </c>
      <c r="F769" s="3" t="s">
        <v>3498</v>
      </c>
      <c r="G769" s="3" t="s">
        <v>19</v>
      </c>
      <c r="H769" s="3" t="s">
        <v>953</v>
      </c>
      <c r="I769" s="3" t="s">
        <v>953</v>
      </c>
      <c r="J769" s="3" t="s">
        <v>19</v>
      </c>
      <c r="K769" s="3" t="s">
        <v>21</v>
      </c>
      <c r="L769" s="3" t="s">
        <v>22</v>
      </c>
      <c r="M769" s="4">
        <v>473</v>
      </c>
      <c r="N769" s="3" t="s">
        <v>2155</v>
      </c>
      <c r="O769" s="3" t="s">
        <v>281</v>
      </c>
      <c r="P769" s="3" t="s">
        <v>2631</v>
      </c>
    </row>
    <row r="770" spans="1:16" hidden="1" x14ac:dyDescent="0.4">
      <c r="A770" s="7">
        <v>769</v>
      </c>
      <c r="B770" s="8" t="s">
        <v>3499</v>
      </c>
      <c r="C770" s="6" t="str">
        <f>IFERROR(IF(LEFT(D770,FIND(" ",D770)-1)="전라북도","전북특별자치도",LEFT(D770,FIND(" ",D770)-1)),"")</f>
        <v>경기도</v>
      </c>
      <c r="D770" s="3" t="s">
        <v>3500</v>
      </c>
      <c r="E770" s="3" t="s">
        <v>3497</v>
      </c>
      <c r="F770" s="3" t="s">
        <v>3498</v>
      </c>
      <c r="G770" s="3" t="s">
        <v>19</v>
      </c>
      <c r="H770" s="3" t="s">
        <v>953</v>
      </c>
      <c r="I770" s="3" t="s">
        <v>953</v>
      </c>
      <c r="J770" s="3" t="s">
        <v>19</v>
      </c>
      <c r="K770" s="3" t="s">
        <v>21</v>
      </c>
      <c r="L770" s="3" t="s">
        <v>22</v>
      </c>
      <c r="M770" s="4">
        <v>386</v>
      </c>
      <c r="N770" s="3" t="s">
        <v>2155</v>
      </c>
      <c r="O770" s="3" t="s">
        <v>281</v>
      </c>
      <c r="P770" s="3" t="s">
        <v>2631</v>
      </c>
    </row>
    <row r="771" spans="1:16" hidden="1" x14ac:dyDescent="0.4">
      <c r="A771" s="7">
        <v>770</v>
      </c>
      <c r="B771" s="8" t="s">
        <v>3501</v>
      </c>
      <c r="C771" s="6" t="str">
        <f>IFERROR(IF(LEFT(D771,FIND(" ",D771)-1)="전라북도","전북특별자치도",LEFT(D771,FIND(" ",D771)-1)),"")</f>
        <v>충청남도</v>
      </c>
      <c r="D771" s="3" t="s">
        <v>3502</v>
      </c>
      <c r="E771" s="3" t="s">
        <v>985</v>
      </c>
      <c r="F771" s="3" t="s">
        <v>3498</v>
      </c>
      <c r="G771" s="3" t="s">
        <v>1295</v>
      </c>
      <c r="H771" s="3" t="s">
        <v>603</v>
      </c>
      <c r="I771" s="3" t="s">
        <v>19</v>
      </c>
      <c r="J771" s="3" t="s">
        <v>19</v>
      </c>
      <c r="K771" s="3" t="s">
        <v>21</v>
      </c>
      <c r="L771" s="3" t="s">
        <v>22</v>
      </c>
      <c r="M771" s="4">
        <v>791</v>
      </c>
      <c r="N771" s="3" t="s">
        <v>2155</v>
      </c>
      <c r="O771" s="3" t="s">
        <v>281</v>
      </c>
      <c r="P771" s="3" t="s">
        <v>1337</v>
      </c>
    </row>
    <row r="772" spans="1:16" hidden="1" x14ac:dyDescent="0.4">
      <c r="A772" s="7">
        <v>771</v>
      </c>
      <c r="B772" s="8" t="s">
        <v>2396</v>
      </c>
      <c r="C772" s="6" t="str">
        <f>IFERROR(IF(LEFT(D772,FIND(" ",D772)-1)="전라북도","전북특별자치도",LEFT(D772,FIND(" ",D772)-1)),"")</f>
        <v>경상남도</v>
      </c>
      <c r="D772" s="3" t="s">
        <v>2397</v>
      </c>
      <c r="E772" s="3" t="s">
        <v>3203</v>
      </c>
      <c r="F772" s="3" t="s">
        <v>2801</v>
      </c>
      <c r="G772" s="3" t="s">
        <v>3503</v>
      </c>
      <c r="H772" s="3" t="s">
        <v>1025</v>
      </c>
      <c r="I772" s="3" t="s">
        <v>3504</v>
      </c>
      <c r="J772" s="3" t="s">
        <v>19</v>
      </c>
      <c r="K772" s="3" t="s">
        <v>21</v>
      </c>
      <c r="L772" s="3" t="s">
        <v>22</v>
      </c>
      <c r="M772" s="4">
        <v>1832</v>
      </c>
      <c r="N772" s="3" t="s">
        <v>1498</v>
      </c>
      <c r="O772" s="3" t="s">
        <v>281</v>
      </c>
      <c r="P772" s="3" t="s">
        <v>2562</v>
      </c>
    </row>
    <row r="773" spans="1:16" hidden="1" x14ac:dyDescent="0.4">
      <c r="A773" s="7">
        <v>772</v>
      </c>
      <c r="B773" s="8" t="s">
        <v>3505</v>
      </c>
      <c r="C773" s="6" t="str">
        <f>IFERROR(IF(LEFT(D773,FIND(" ",D773)-1)="전라북도","전북특별자치도",LEFT(D773,FIND(" ",D773)-1)),"")</f>
        <v>경상북도</v>
      </c>
      <c r="D773" s="3" t="s">
        <v>3506</v>
      </c>
      <c r="E773" s="3" t="s">
        <v>3412</v>
      </c>
      <c r="F773" s="3" t="s">
        <v>3226</v>
      </c>
      <c r="G773" s="3" t="s">
        <v>1670</v>
      </c>
      <c r="H773" s="3" t="s">
        <v>205</v>
      </c>
      <c r="I773" s="3" t="s">
        <v>205</v>
      </c>
      <c r="J773" s="3" t="s">
        <v>19</v>
      </c>
      <c r="K773" s="3" t="s">
        <v>21</v>
      </c>
      <c r="L773" s="3" t="s">
        <v>228</v>
      </c>
      <c r="M773" s="4">
        <v>3475</v>
      </c>
      <c r="N773" s="3" t="s">
        <v>19</v>
      </c>
      <c r="O773" s="3" t="s">
        <v>281</v>
      </c>
      <c r="P773" s="3" t="s">
        <v>2549</v>
      </c>
    </row>
    <row r="774" spans="1:16" x14ac:dyDescent="0.4">
      <c r="A774" s="7">
        <v>773</v>
      </c>
      <c r="B774" s="8" t="s">
        <v>3507</v>
      </c>
      <c r="C774" s="6" t="str">
        <f>IFERROR(IF(LEFT(D774,FIND(" ",D774)-1)="전라북도","전북특별자치도",LEFT(D774,FIND(" ",D774)-1)),"")</f>
        <v>경상북도</v>
      </c>
      <c r="D774" s="3" t="s">
        <v>3508</v>
      </c>
      <c r="E774" s="3" t="s">
        <v>3509</v>
      </c>
      <c r="F774" s="3" t="s">
        <v>3226</v>
      </c>
      <c r="G774" s="3" t="s">
        <v>1887</v>
      </c>
      <c r="H774" s="3" t="s">
        <v>19</v>
      </c>
      <c r="I774" s="3" t="s">
        <v>19</v>
      </c>
      <c r="J774" s="3" t="s">
        <v>19</v>
      </c>
      <c r="K774" s="3" t="s">
        <v>21</v>
      </c>
      <c r="L774" s="3" t="s">
        <v>147</v>
      </c>
      <c r="M774" s="4">
        <v>985</v>
      </c>
      <c r="N774" s="3" t="s">
        <v>2174</v>
      </c>
      <c r="O774" s="3" t="s">
        <v>24</v>
      </c>
      <c r="P774" s="3" t="s">
        <v>19</v>
      </c>
    </row>
    <row r="775" spans="1:16" hidden="1" x14ac:dyDescent="0.4">
      <c r="A775" s="7">
        <v>774</v>
      </c>
      <c r="B775" s="8" t="s">
        <v>3510</v>
      </c>
      <c r="C775" s="6" t="str">
        <f>IFERROR(IF(LEFT(D775,FIND(" ",D775)-1)="전라북도","전북특별자치도",LEFT(D775,FIND(" ",D775)-1)),"")</f>
        <v>충청남도</v>
      </c>
      <c r="D775" s="3" t="s">
        <v>3511</v>
      </c>
      <c r="E775" s="3" t="s">
        <v>3512</v>
      </c>
      <c r="F775" s="3" t="s">
        <v>3493</v>
      </c>
      <c r="G775" s="3" t="s">
        <v>3513</v>
      </c>
      <c r="H775" s="3" t="s">
        <v>3514</v>
      </c>
      <c r="I775" s="3" t="s">
        <v>3514</v>
      </c>
      <c r="J775" s="3" t="s">
        <v>19</v>
      </c>
      <c r="K775" s="3" t="s">
        <v>21</v>
      </c>
      <c r="L775" s="3" t="s">
        <v>22</v>
      </c>
      <c r="M775" s="4">
        <v>1751</v>
      </c>
      <c r="N775" s="3" t="s">
        <v>1498</v>
      </c>
      <c r="O775" s="3" t="s">
        <v>281</v>
      </c>
      <c r="P775" s="3" t="s">
        <v>2676</v>
      </c>
    </row>
    <row r="776" spans="1:16" hidden="1" x14ac:dyDescent="0.4">
      <c r="A776" s="7">
        <v>775</v>
      </c>
      <c r="B776" s="8" t="s">
        <v>3515</v>
      </c>
      <c r="C776" s="6" t="str">
        <f>IFERROR(IF(LEFT(D776,FIND(" ",D776)-1)="전라북도","전북특별자치도",LEFT(D776,FIND(" ",D776)-1)),"")</f>
        <v>경기도</v>
      </c>
      <c r="D776" s="3" t="s">
        <v>3516</v>
      </c>
      <c r="E776" s="3" t="s">
        <v>1173</v>
      </c>
      <c r="F776" s="3" t="s">
        <v>1023</v>
      </c>
      <c r="G776" s="3" t="s">
        <v>19</v>
      </c>
      <c r="H776" s="3" t="s">
        <v>3517</v>
      </c>
      <c r="I776" s="3" t="s">
        <v>19</v>
      </c>
      <c r="J776" s="3" t="s">
        <v>19</v>
      </c>
      <c r="K776" s="3" t="s">
        <v>21</v>
      </c>
      <c r="L776" s="3" t="s">
        <v>147</v>
      </c>
      <c r="M776" s="4">
        <v>1503</v>
      </c>
      <c r="N776" s="3" t="s">
        <v>2424</v>
      </c>
      <c r="O776" s="3" t="s">
        <v>281</v>
      </c>
      <c r="P776" s="3" t="s">
        <v>3284</v>
      </c>
    </row>
    <row r="777" spans="1:16" hidden="1" x14ac:dyDescent="0.4">
      <c r="A777" s="7">
        <v>776</v>
      </c>
      <c r="B777" s="8" t="s">
        <v>3518</v>
      </c>
      <c r="C777" s="6" t="str">
        <f>IFERROR(IF(LEFT(D777,FIND(" ",D777)-1)="전라북도","전북특별자치도",LEFT(D777,FIND(" ",D777)-1)),"")</f>
        <v>전라남도</v>
      </c>
      <c r="D777" s="3" t="s">
        <v>3519</v>
      </c>
      <c r="E777" s="3" t="s">
        <v>3520</v>
      </c>
      <c r="F777" s="3" t="s">
        <v>1173</v>
      </c>
      <c r="G777" s="3" t="s">
        <v>3521</v>
      </c>
      <c r="H777" s="3" t="s">
        <v>3522</v>
      </c>
      <c r="I777" s="3" t="s">
        <v>1628</v>
      </c>
      <c r="J777" s="3" t="s">
        <v>3523</v>
      </c>
      <c r="K777" s="3" t="s">
        <v>21</v>
      </c>
      <c r="L777" s="3" t="s">
        <v>22</v>
      </c>
      <c r="M777" s="4">
        <v>1509</v>
      </c>
      <c r="N777" s="3" t="s">
        <v>2155</v>
      </c>
      <c r="O777" s="3" t="s">
        <v>281</v>
      </c>
      <c r="P777" s="3" t="s">
        <v>2339</v>
      </c>
    </row>
    <row r="778" spans="1:16" hidden="1" x14ac:dyDescent="0.4">
      <c r="A778" s="7">
        <v>777</v>
      </c>
      <c r="B778" s="8" t="s">
        <v>3524</v>
      </c>
      <c r="C778" s="6" t="str">
        <f>IFERROR(IF(LEFT(D778,FIND(" ",D778)-1)="전라북도","전북특별자치도",LEFT(D778,FIND(" ",D778)-1)),"")</f>
        <v>경기도</v>
      </c>
      <c r="D778" s="3" t="s">
        <v>3525</v>
      </c>
      <c r="E778" s="3" t="s">
        <v>2507</v>
      </c>
      <c r="F778" s="3" t="s">
        <v>1173</v>
      </c>
      <c r="G778" s="3" t="s">
        <v>19</v>
      </c>
      <c r="H778" s="3" t="s">
        <v>953</v>
      </c>
      <c r="I778" s="3" t="s">
        <v>953</v>
      </c>
      <c r="J778" s="3" t="s">
        <v>19</v>
      </c>
      <c r="K778" s="3" t="s">
        <v>21</v>
      </c>
      <c r="L778" s="3" t="s">
        <v>22</v>
      </c>
      <c r="M778" s="4">
        <v>939</v>
      </c>
      <c r="N778" s="3" t="s">
        <v>2155</v>
      </c>
      <c r="O778" s="3" t="s">
        <v>281</v>
      </c>
      <c r="P778" s="3" t="s">
        <v>2431</v>
      </c>
    </row>
    <row r="779" spans="1:16" hidden="1" x14ac:dyDescent="0.4">
      <c r="A779" s="7">
        <v>778</v>
      </c>
      <c r="B779" s="8" t="s">
        <v>3526</v>
      </c>
      <c r="C779" s="6" t="str">
        <f>IFERROR(IF(LEFT(D779,FIND(" ",D779)-1)="전라북도","전북특별자치도",LEFT(D779,FIND(" ",D779)-1)),"")</f>
        <v>경기도</v>
      </c>
      <c r="D779" s="3" t="s">
        <v>3527</v>
      </c>
      <c r="E779" s="3" t="s">
        <v>2507</v>
      </c>
      <c r="F779" s="3" t="s">
        <v>1173</v>
      </c>
      <c r="G779" s="3" t="s">
        <v>19</v>
      </c>
      <c r="H779" s="3" t="s">
        <v>953</v>
      </c>
      <c r="I779" s="3" t="s">
        <v>953</v>
      </c>
      <c r="J779" s="3" t="s">
        <v>19</v>
      </c>
      <c r="K779" s="3" t="s">
        <v>21</v>
      </c>
      <c r="L779" s="3" t="s">
        <v>22</v>
      </c>
      <c r="M779" s="4">
        <v>572</v>
      </c>
      <c r="N779" s="3" t="s">
        <v>2155</v>
      </c>
      <c r="O779" s="3" t="s">
        <v>281</v>
      </c>
      <c r="P779" s="3" t="s">
        <v>2431</v>
      </c>
    </row>
    <row r="780" spans="1:16" hidden="1" x14ac:dyDescent="0.4">
      <c r="A780" s="7">
        <v>779</v>
      </c>
      <c r="B780" s="8" t="s">
        <v>3197</v>
      </c>
      <c r="C780" s="6" t="str">
        <f>IFERROR(IF(LEFT(D780,FIND(" ",D780)-1)="전라북도","전북특별자치도",LEFT(D780,FIND(" ",D780)-1)),"")</f>
        <v>울산광역시</v>
      </c>
      <c r="D780" s="3" t="s">
        <v>3198</v>
      </c>
      <c r="E780" s="3" t="s">
        <v>3242</v>
      </c>
      <c r="F780" s="3" t="s">
        <v>1654</v>
      </c>
      <c r="G780" s="3" t="s">
        <v>3528</v>
      </c>
      <c r="H780" s="3" t="s">
        <v>3529</v>
      </c>
      <c r="I780" s="3" t="s">
        <v>19</v>
      </c>
      <c r="J780" s="3" t="s">
        <v>19</v>
      </c>
      <c r="K780" s="3" t="s">
        <v>21</v>
      </c>
      <c r="L780" s="3" t="s">
        <v>147</v>
      </c>
      <c r="M780" s="4">
        <v>805</v>
      </c>
      <c r="N780" s="3" t="s">
        <v>1498</v>
      </c>
      <c r="O780" s="3" t="s">
        <v>281</v>
      </c>
      <c r="P780" s="3" t="s">
        <v>3353</v>
      </c>
    </row>
    <row r="781" spans="1:16" hidden="1" x14ac:dyDescent="0.4">
      <c r="A781" s="7">
        <v>780</v>
      </c>
      <c r="B781" s="8" t="s">
        <v>3530</v>
      </c>
      <c r="C781" s="6" t="str">
        <f>IFERROR(IF(LEFT(D781,FIND(" ",D781)-1)="전라북도","전북특별자치도",LEFT(D781,FIND(" ",D781)-1)),"")</f>
        <v>경기도</v>
      </c>
      <c r="D781" s="3" t="s">
        <v>3531</v>
      </c>
      <c r="E781" s="3" t="s">
        <v>3360</v>
      </c>
      <c r="F781" s="3" t="s">
        <v>1654</v>
      </c>
      <c r="G781" s="3" t="s">
        <v>19</v>
      </c>
      <c r="H781" s="3" t="s">
        <v>953</v>
      </c>
      <c r="I781" s="3" t="s">
        <v>19</v>
      </c>
      <c r="J781" s="3" t="s">
        <v>19</v>
      </c>
      <c r="K781" s="3" t="s">
        <v>21</v>
      </c>
      <c r="L781" s="3" t="s">
        <v>147</v>
      </c>
      <c r="M781" s="4">
        <v>861</v>
      </c>
      <c r="N781" s="3" t="s">
        <v>84</v>
      </c>
      <c r="O781" s="3" t="s">
        <v>281</v>
      </c>
      <c r="P781" s="3" t="s">
        <v>2303</v>
      </c>
    </row>
    <row r="782" spans="1:16" hidden="1" x14ac:dyDescent="0.4">
      <c r="A782" s="7">
        <v>781</v>
      </c>
      <c r="B782" s="8" t="s">
        <v>3532</v>
      </c>
      <c r="C782" s="6" t="str">
        <f>IFERROR(IF(LEFT(D782,FIND(" ",D782)-1)="전라북도","전북특별자치도",LEFT(D782,FIND(" ",D782)-1)),"")</f>
        <v>충청남도</v>
      </c>
      <c r="D782" s="3" t="s">
        <v>3533</v>
      </c>
      <c r="E782" s="3" t="s">
        <v>1113</v>
      </c>
      <c r="F782" s="3" t="s">
        <v>1639</v>
      </c>
      <c r="G782" s="3" t="s">
        <v>3535</v>
      </c>
      <c r="H782" s="3" t="s">
        <v>1734</v>
      </c>
      <c r="I782" s="3" t="s">
        <v>19</v>
      </c>
      <c r="J782" s="3" t="s">
        <v>19</v>
      </c>
      <c r="K782" s="3" t="s">
        <v>21</v>
      </c>
      <c r="L782" s="3" t="s">
        <v>147</v>
      </c>
      <c r="M782" s="4">
        <v>1562</v>
      </c>
      <c r="N782" s="3" t="s">
        <v>1498</v>
      </c>
      <c r="O782" s="3" t="s">
        <v>281</v>
      </c>
      <c r="P782" s="3" t="s">
        <v>3534</v>
      </c>
    </row>
    <row r="783" spans="1:16" hidden="1" x14ac:dyDescent="0.4">
      <c r="A783" s="7">
        <v>782</v>
      </c>
      <c r="B783" s="8" t="s">
        <v>3536</v>
      </c>
      <c r="C783" s="6" t="str">
        <f>IFERROR(IF(LEFT(D783,FIND(" ",D783)-1)="전라북도","전북특별자치도",LEFT(D783,FIND(" ",D783)-1)),"")</f>
        <v>충청남도</v>
      </c>
      <c r="D783" s="3" t="s">
        <v>3537</v>
      </c>
      <c r="E783" s="3" t="s">
        <v>1099</v>
      </c>
      <c r="F783" s="3" t="s">
        <v>1639</v>
      </c>
      <c r="G783" s="3" t="s">
        <v>3535</v>
      </c>
      <c r="H783" s="3" t="s">
        <v>1734</v>
      </c>
      <c r="I783" s="3" t="s">
        <v>19</v>
      </c>
      <c r="J783" s="3" t="s">
        <v>19</v>
      </c>
      <c r="K783" s="3" t="s">
        <v>21</v>
      </c>
      <c r="L783" s="3" t="s">
        <v>147</v>
      </c>
      <c r="M783" s="4">
        <v>584</v>
      </c>
      <c r="N783" s="3" t="s">
        <v>84</v>
      </c>
      <c r="O783" s="3" t="s">
        <v>281</v>
      </c>
      <c r="P783" s="3" t="s">
        <v>2497</v>
      </c>
    </row>
    <row r="784" spans="1:16" hidden="1" x14ac:dyDescent="0.4">
      <c r="A784" s="7">
        <v>783</v>
      </c>
      <c r="B784" s="8" t="s">
        <v>3538</v>
      </c>
      <c r="C784" s="6" t="str">
        <f>IFERROR(IF(LEFT(D784,FIND(" ",D784)-1)="전라북도","전북특별자치도",LEFT(D784,FIND(" ",D784)-1)),"")</f>
        <v>경상남도</v>
      </c>
      <c r="D784" s="3" t="s">
        <v>3539</v>
      </c>
      <c r="E784" s="3" t="s">
        <v>1043</v>
      </c>
      <c r="F784" s="3" t="s">
        <v>1639</v>
      </c>
      <c r="G784" s="3" t="s">
        <v>3541</v>
      </c>
      <c r="H784" s="3" t="s">
        <v>3542</v>
      </c>
      <c r="I784" s="3" t="s">
        <v>3542</v>
      </c>
      <c r="J784" s="3" t="s">
        <v>3541</v>
      </c>
      <c r="K784" s="3" t="s">
        <v>21</v>
      </c>
      <c r="L784" s="3" t="s">
        <v>147</v>
      </c>
      <c r="M784" s="4">
        <v>6015</v>
      </c>
      <c r="N784" s="3" t="s">
        <v>1498</v>
      </c>
      <c r="O784" s="3" t="s">
        <v>281</v>
      </c>
      <c r="P784" s="3" t="s">
        <v>3540</v>
      </c>
    </row>
    <row r="785" spans="1:16" x14ac:dyDescent="0.4">
      <c r="A785" s="7">
        <v>784</v>
      </c>
      <c r="B785" s="8" t="s">
        <v>3543</v>
      </c>
      <c r="C785" s="6" t="str">
        <f>IFERROR(IF(LEFT(D785,FIND(" ",D785)-1)="전라북도","전북특별자치도",LEFT(D785,FIND(" ",D785)-1)),"")</f>
        <v>경상남도</v>
      </c>
      <c r="D785" s="3" t="s">
        <v>3544</v>
      </c>
      <c r="E785" s="3" t="s">
        <v>3341</v>
      </c>
      <c r="F785" s="3" t="s">
        <v>3360</v>
      </c>
      <c r="G785" s="3" t="s">
        <v>19</v>
      </c>
      <c r="H785" s="3" t="s">
        <v>1025</v>
      </c>
      <c r="I785" s="3" t="s">
        <v>19</v>
      </c>
      <c r="J785" s="3" t="s">
        <v>19</v>
      </c>
      <c r="K785" s="3" t="s">
        <v>21</v>
      </c>
      <c r="L785" s="3" t="s">
        <v>147</v>
      </c>
      <c r="M785" s="4">
        <v>1171</v>
      </c>
      <c r="N785" s="3" t="s">
        <v>1498</v>
      </c>
      <c r="O785" s="3" t="s">
        <v>24</v>
      </c>
      <c r="P785" s="3" t="s">
        <v>19</v>
      </c>
    </row>
    <row r="786" spans="1:16" hidden="1" x14ac:dyDescent="0.4">
      <c r="A786" s="7">
        <v>785</v>
      </c>
      <c r="B786" s="8" t="s">
        <v>3545</v>
      </c>
      <c r="C786" s="6" t="str">
        <f>IFERROR(IF(LEFT(D786,FIND(" ",D786)-1)="전라북도","전북특별자치도",LEFT(D786,FIND(" ",D786)-1)),"")</f>
        <v>서울특별시</v>
      </c>
      <c r="D786" s="3" t="s">
        <v>3546</v>
      </c>
      <c r="E786" s="3" t="s">
        <v>985</v>
      </c>
      <c r="F786" s="3" t="s">
        <v>3360</v>
      </c>
      <c r="G786" s="3" t="s">
        <v>3547</v>
      </c>
      <c r="H786" s="3" t="s">
        <v>3548</v>
      </c>
      <c r="I786" s="3" t="s">
        <v>3548</v>
      </c>
      <c r="J786" s="3" t="s">
        <v>3549</v>
      </c>
      <c r="K786" s="3" t="s">
        <v>21</v>
      </c>
      <c r="L786" s="3" t="s">
        <v>228</v>
      </c>
      <c r="M786" s="4">
        <v>584221</v>
      </c>
      <c r="N786" s="3" t="s">
        <v>781</v>
      </c>
      <c r="O786" s="3" t="s">
        <v>281</v>
      </c>
      <c r="P786" s="3" t="s">
        <v>1318</v>
      </c>
    </row>
    <row r="787" spans="1:16" hidden="1" x14ac:dyDescent="0.4">
      <c r="A787" s="7">
        <v>786</v>
      </c>
      <c r="B787" s="8" t="s">
        <v>3550</v>
      </c>
      <c r="C787" s="6" t="str">
        <f>IFERROR(IF(LEFT(D787,FIND(" ",D787)-1)="전라북도","전북특별자치도",LEFT(D787,FIND(" ",D787)-1)),"")</f>
        <v>충청북도</v>
      </c>
      <c r="D787" s="3" t="s">
        <v>3551</v>
      </c>
      <c r="E787" s="3" t="s">
        <v>3497</v>
      </c>
      <c r="F787" s="3" t="s">
        <v>3360</v>
      </c>
      <c r="G787" s="3" t="s">
        <v>19</v>
      </c>
      <c r="H787" s="3" t="s">
        <v>3553</v>
      </c>
      <c r="I787" s="3" t="s">
        <v>19</v>
      </c>
      <c r="J787" s="3" t="s">
        <v>19</v>
      </c>
      <c r="K787" s="3" t="s">
        <v>21</v>
      </c>
      <c r="L787" s="3" t="s">
        <v>147</v>
      </c>
      <c r="M787" s="4">
        <v>1469</v>
      </c>
      <c r="N787" s="3" t="s">
        <v>84</v>
      </c>
      <c r="O787" s="3" t="s">
        <v>281</v>
      </c>
      <c r="P787" s="3" t="s">
        <v>3552</v>
      </c>
    </row>
    <row r="788" spans="1:16" hidden="1" x14ac:dyDescent="0.4">
      <c r="A788" s="7">
        <v>787</v>
      </c>
      <c r="B788" s="8" t="s">
        <v>3554</v>
      </c>
      <c r="C788" s="6" t="str">
        <f>IFERROR(IF(LEFT(D788,FIND(" ",D788)-1)="전라북도","전북특별자치도",LEFT(D788,FIND(" ",D788)-1)),"")</f>
        <v>충청북도</v>
      </c>
      <c r="D788" s="3" t="s">
        <v>3555</v>
      </c>
      <c r="E788" s="3" t="s">
        <v>3556</v>
      </c>
      <c r="F788" s="3" t="s">
        <v>3360</v>
      </c>
      <c r="G788" s="3" t="s">
        <v>2282</v>
      </c>
      <c r="H788" s="3" t="s">
        <v>3557</v>
      </c>
      <c r="I788" s="3" t="s">
        <v>3557</v>
      </c>
      <c r="J788" s="3" t="s">
        <v>19</v>
      </c>
      <c r="K788" s="3" t="s">
        <v>21</v>
      </c>
      <c r="L788" s="3" t="s">
        <v>22</v>
      </c>
      <c r="M788" s="4">
        <v>2734</v>
      </c>
      <c r="N788" s="3" t="s">
        <v>1498</v>
      </c>
      <c r="O788" s="3" t="s">
        <v>281</v>
      </c>
      <c r="P788" s="3" t="s">
        <v>2529</v>
      </c>
    </row>
    <row r="789" spans="1:16" hidden="1" x14ac:dyDescent="0.4">
      <c r="A789" s="7">
        <v>788</v>
      </c>
      <c r="B789" s="8" t="s">
        <v>3558</v>
      </c>
      <c r="C789" s="6" t="str">
        <f>IFERROR(IF(LEFT(D789,FIND(" ",D789)-1)="전라북도","전북특별자치도",LEFT(D789,FIND(" ",D789)-1)),"")</f>
        <v>인천광역시</v>
      </c>
      <c r="D789" s="3" t="s">
        <v>3559</v>
      </c>
      <c r="E789" s="3" t="s">
        <v>3560</v>
      </c>
      <c r="F789" s="3" t="s">
        <v>3011</v>
      </c>
      <c r="G789" s="3" t="s">
        <v>19</v>
      </c>
      <c r="H789" s="3" t="s">
        <v>3162</v>
      </c>
      <c r="I789" s="3" t="s">
        <v>19</v>
      </c>
      <c r="J789" s="3" t="s">
        <v>19</v>
      </c>
      <c r="K789" s="3" t="s">
        <v>21</v>
      </c>
      <c r="L789" s="3" t="s">
        <v>358</v>
      </c>
      <c r="M789" s="4">
        <v>287</v>
      </c>
      <c r="N789" s="3" t="s">
        <v>19</v>
      </c>
      <c r="O789" s="3" t="s">
        <v>281</v>
      </c>
      <c r="P789" s="3" t="s">
        <v>2353</v>
      </c>
    </row>
    <row r="790" spans="1:16" hidden="1" x14ac:dyDescent="0.4">
      <c r="A790" s="7">
        <v>789</v>
      </c>
      <c r="B790" s="8" t="s">
        <v>3561</v>
      </c>
      <c r="C790" s="6" t="str">
        <f>IFERROR(IF(LEFT(D790,FIND(" ",D790)-1)="전라북도","전북특별자치도",LEFT(D790,FIND(" ",D790)-1)),"")</f>
        <v>경기도</v>
      </c>
      <c r="D790" s="3" t="s">
        <v>3562</v>
      </c>
      <c r="E790" s="3" t="s">
        <v>3563</v>
      </c>
      <c r="F790" s="3" t="s">
        <v>3011</v>
      </c>
      <c r="G790" s="3" t="s">
        <v>3564</v>
      </c>
      <c r="H790" s="3" t="s">
        <v>953</v>
      </c>
      <c r="I790" s="3" t="s">
        <v>953</v>
      </c>
      <c r="J790" s="3" t="s">
        <v>19</v>
      </c>
      <c r="K790" s="3" t="s">
        <v>21</v>
      </c>
      <c r="L790" s="3" t="s">
        <v>22</v>
      </c>
      <c r="M790" s="4">
        <v>789</v>
      </c>
      <c r="N790" s="3" t="s">
        <v>1498</v>
      </c>
      <c r="O790" s="3" t="s">
        <v>281</v>
      </c>
      <c r="P790" s="3" t="s">
        <v>850</v>
      </c>
    </row>
    <row r="791" spans="1:16" hidden="1" x14ac:dyDescent="0.4">
      <c r="A791" s="7">
        <v>790</v>
      </c>
      <c r="B791" s="8" t="s">
        <v>3565</v>
      </c>
      <c r="C791" s="6" t="str">
        <f>IFERROR(IF(LEFT(D791,FIND(" ",D791)-1)="전라북도","전북특별자치도",LEFT(D791,FIND(" ",D791)-1)),"")</f>
        <v>경기도</v>
      </c>
      <c r="D791" s="3" t="s">
        <v>3566</v>
      </c>
      <c r="E791" s="3" t="s">
        <v>3279</v>
      </c>
      <c r="F791" s="3" t="s">
        <v>3341</v>
      </c>
      <c r="G791" s="3" t="s">
        <v>3567</v>
      </c>
      <c r="H791" s="3" t="s">
        <v>1084</v>
      </c>
      <c r="I791" s="3" t="s">
        <v>19</v>
      </c>
      <c r="J791" s="3" t="s">
        <v>19</v>
      </c>
      <c r="K791" s="3" t="s">
        <v>21</v>
      </c>
      <c r="L791" s="3" t="s">
        <v>22</v>
      </c>
      <c r="M791" s="4">
        <v>940</v>
      </c>
      <c r="N791" s="3" t="s">
        <v>123</v>
      </c>
      <c r="O791" s="3" t="s">
        <v>281</v>
      </c>
      <c r="P791" s="3" t="s">
        <v>1053</v>
      </c>
    </row>
    <row r="792" spans="1:16" hidden="1" x14ac:dyDescent="0.4">
      <c r="A792" s="7">
        <v>791</v>
      </c>
      <c r="B792" s="8" t="s">
        <v>3568</v>
      </c>
      <c r="C792" s="6" t="str">
        <f>IFERROR(IF(LEFT(D792,FIND(" ",D792)-1)="전라북도","전북특별자치도",LEFT(D792,FIND(" ",D792)-1)),"")</f>
        <v>경기도</v>
      </c>
      <c r="D792" s="3" t="s">
        <v>3569</v>
      </c>
      <c r="E792" s="3" t="s">
        <v>3570</v>
      </c>
      <c r="F792" s="3" t="s">
        <v>3563</v>
      </c>
      <c r="G792" s="3" t="s">
        <v>3572</v>
      </c>
      <c r="H792" s="3" t="s">
        <v>1155</v>
      </c>
      <c r="I792" s="3" t="s">
        <v>1155</v>
      </c>
      <c r="J792" s="3" t="s">
        <v>19</v>
      </c>
      <c r="K792" s="3" t="s">
        <v>21</v>
      </c>
      <c r="L792" s="3" t="s">
        <v>22</v>
      </c>
      <c r="M792" s="4">
        <v>971</v>
      </c>
      <c r="N792" s="3" t="s">
        <v>123</v>
      </c>
      <c r="O792" s="3" t="s">
        <v>281</v>
      </c>
      <c r="P792" s="3" t="s">
        <v>3571</v>
      </c>
    </row>
    <row r="793" spans="1:16" hidden="1" x14ac:dyDescent="0.4">
      <c r="A793" s="7">
        <v>792</v>
      </c>
      <c r="B793" s="8" t="s">
        <v>3573</v>
      </c>
      <c r="C793" s="6" t="str">
        <f>IFERROR(IF(LEFT(D793,FIND(" ",D793)-1)="전라북도","전북특별자치도",LEFT(D793,FIND(" ",D793)-1)),"")</f>
        <v>제주특별자치도</v>
      </c>
      <c r="D793" s="3" t="s">
        <v>3574</v>
      </c>
      <c r="E793" s="3" t="s">
        <v>3575</v>
      </c>
      <c r="F793" s="3" t="s">
        <v>3563</v>
      </c>
      <c r="G793" s="3" t="s">
        <v>3576</v>
      </c>
      <c r="H793" s="3" t="s">
        <v>3576</v>
      </c>
      <c r="I793" s="3" t="s">
        <v>3576</v>
      </c>
      <c r="J793" s="3" t="s">
        <v>3577</v>
      </c>
      <c r="K793" s="3" t="s">
        <v>21</v>
      </c>
      <c r="L793" s="3" t="s">
        <v>147</v>
      </c>
      <c r="M793" s="4">
        <v>8703</v>
      </c>
      <c r="N793" s="3" t="s">
        <v>2155</v>
      </c>
      <c r="O793" s="3" t="s">
        <v>281</v>
      </c>
      <c r="P793" s="3" t="s">
        <v>3158</v>
      </c>
    </row>
    <row r="794" spans="1:16" hidden="1" x14ac:dyDescent="0.4">
      <c r="A794" s="7">
        <v>793</v>
      </c>
      <c r="B794" s="8" t="s">
        <v>3578</v>
      </c>
      <c r="C794" s="6" t="str">
        <f>IFERROR(IF(LEFT(D794,FIND(" ",D794)-1)="전라북도","전북특별자치도",LEFT(D794,FIND(" ",D794)-1)),"")</f>
        <v>인천광역시</v>
      </c>
      <c r="D794" s="3" t="s">
        <v>3579</v>
      </c>
      <c r="E794" s="3" t="s">
        <v>3580</v>
      </c>
      <c r="F794" s="3" t="s">
        <v>3560</v>
      </c>
      <c r="G794" s="3" t="s">
        <v>3581</v>
      </c>
      <c r="H794" s="3" t="s">
        <v>3582</v>
      </c>
      <c r="I794" s="3" t="s">
        <v>19</v>
      </c>
      <c r="J794" s="3" t="s">
        <v>3581</v>
      </c>
      <c r="K794" s="3" t="s">
        <v>21</v>
      </c>
      <c r="L794" s="3" t="s">
        <v>147</v>
      </c>
      <c r="M794" s="4">
        <v>1049</v>
      </c>
      <c r="N794" s="3" t="s">
        <v>84</v>
      </c>
      <c r="O794" s="3" t="s">
        <v>281</v>
      </c>
      <c r="P794" s="3" t="s">
        <v>3512</v>
      </c>
    </row>
    <row r="795" spans="1:16" hidden="1" x14ac:dyDescent="0.4">
      <c r="A795" s="7">
        <v>794</v>
      </c>
      <c r="B795" s="8" t="s">
        <v>3583</v>
      </c>
      <c r="C795" s="6" t="str">
        <f>IFERROR(IF(LEFT(D795,FIND(" ",D795)-1)="전라북도","전북특별자치도",LEFT(D795,FIND(" ",D795)-1)),"")</f>
        <v>경기도</v>
      </c>
      <c r="D795" s="3" t="s">
        <v>3584</v>
      </c>
      <c r="E795" s="3" t="s">
        <v>1043</v>
      </c>
      <c r="F795" s="3" t="s">
        <v>3560</v>
      </c>
      <c r="G795" s="3" t="s">
        <v>3585</v>
      </c>
      <c r="H795" s="3" t="s">
        <v>210</v>
      </c>
      <c r="I795" s="3" t="s">
        <v>210</v>
      </c>
      <c r="J795" s="3" t="s">
        <v>3585</v>
      </c>
      <c r="K795" s="3" t="s">
        <v>21</v>
      </c>
      <c r="L795" s="3" t="s">
        <v>147</v>
      </c>
      <c r="M795" s="4">
        <v>208</v>
      </c>
      <c r="N795" s="3" t="s">
        <v>84</v>
      </c>
      <c r="O795" s="3" t="s">
        <v>281</v>
      </c>
      <c r="P795" s="3" t="s">
        <v>2877</v>
      </c>
    </row>
    <row r="796" spans="1:16" hidden="1" x14ac:dyDescent="0.4">
      <c r="A796" s="7">
        <v>795</v>
      </c>
      <c r="B796" s="8" t="s">
        <v>3586</v>
      </c>
      <c r="C796" s="6" t="str">
        <f>IFERROR(IF(LEFT(D796,FIND(" ",D796)-1)="전라북도","전북특별자치도",LEFT(D796,FIND(" ",D796)-1)),"")</f>
        <v>제주특별자치도</v>
      </c>
      <c r="D796" s="3" t="s">
        <v>3587</v>
      </c>
      <c r="E796" s="3" t="s">
        <v>2507</v>
      </c>
      <c r="F796" s="3" t="s">
        <v>3242</v>
      </c>
      <c r="G796" s="3" t="s">
        <v>19</v>
      </c>
      <c r="H796" s="3" t="s">
        <v>3588</v>
      </c>
      <c r="I796" s="3" t="s">
        <v>19</v>
      </c>
      <c r="J796" s="3" t="s">
        <v>19</v>
      </c>
      <c r="K796" s="3" t="s">
        <v>21</v>
      </c>
      <c r="L796" s="3" t="s">
        <v>147</v>
      </c>
      <c r="M796" s="4">
        <v>593</v>
      </c>
      <c r="N796" s="3" t="s">
        <v>2155</v>
      </c>
      <c r="O796" s="3" t="s">
        <v>281</v>
      </c>
      <c r="P796" s="3" t="s">
        <v>991</v>
      </c>
    </row>
    <row r="797" spans="1:16" x14ac:dyDescent="0.4">
      <c r="A797" s="7">
        <v>796</v>
      </c>
      <c r="B797" s="8" t="s">
        <v>3589</v>
      </c>
      <c r="C797" s="6" t="str">
        <f>IFERROR(IF(LEFT(D797,FIND(" ",D797)-1)="전라북도","전북특별자치도",LEFT(D797,FIND(" ",D797)-1)),"")</f>
        <v>인천광역시</v>
      </c>
      <c r="D797" s="3" t="s">
        <v>3590</v>
      </c>
      <c r="E797" s="3" t="s">
        <v>1047</v>
      </c>
      <c r="F797" s="3" t="s">
        <v>3455</v>
      </c>
      <c r="G797" s="3" t="s">
        <v>19</v>
      </c>
      <c r="H797" s="3" t="s">
        <v>3591</v>
      </c>
      <c r="I797" s="3" t="s">
        <v>19</v>
      </c>
      <c r="J797" s="3" t="s">
        <v>19</v>
      </c>
      <c r="K797" s="3" t="s">
        <v>21</v>
      </c>
      <c r="L797" s="3" t="s">
        <v>22</v>
      </c>
      <c r="M797" s="4">
        <v>99</v>
      </c>
      <c r="N797" s="3" t="s">
        <v>211</v>
      </c>
      <c r="O797" s="3" t="s">
        <v>24</v>
      </c>
      <c r="P797" s="3" t="s">
        <v>19</v>
      </c>
    </row>
    <row r="798" spans="1:16" hidden="1" x14ac:dyDescent="0.4">
      <c r="A798" s="7">
        <v>797</v>
      </c>
      <c r="B798" s="8" t="s">
        <v>3592</v>
      </c>
      <c r="C798" s="6" t="str">
        <f>IFERROR(IF(LEFT(D798,FIND(" ",D798)-1)="전라북도","전북특별자치도",LEFT(D798,FIND(" ",D798)-1)),"")</f>
        <v>경기도</v>
      </c>
      <c r="D798" s="3" t="s">
        <v>3593</v>
      </c>
      <c r="E798" s="3" t="s">
        <v>3431</v>
      </c>
      <c r="F798" s="3" t="s">
        <v>3455</v>
      </c>
      <c r="G798" s="3" t="s">
        <v>19</v>
      </c>
      <c r="H798" s="3" t="s">
        <v>3594</v>
      </c>
      <c r="I798" s="3" t="s">
        <v>3594</v>
      </c>
      <c r="J798" s="3" t="s">
        <v>19</v>
      </c>
      <c r="K798" s="3" t="s">
        <v>21</v>
      </c>
      <c r="L798" s="3" t="s">
        <v>147</v>
      </c>
      <c r="M798" s="4">
        <v>200</v>
      </c>
      <c r="N798" s="3" t="s">
        <v>330</v>
      </c>
      <c r="O798" s="3" t="s">
        <v>281</v>
      </c>
      <c r="P798" s="3" t="s">
        <v>3398</v>
      </c>
    </row>
    <row r="799" spans="1:16" hidden="1" x14ac:dyDescent="0.4">
      <c r="A799" s="7">
        <v>798</v>
      </c>
      <c r="B799" s="8" t="s">
        <v>3595</v>
      </c>
      <c r="C799" s="6" t="str">
        <f>IFERROR(IF(LEFT(D799,FIND(" ",D799)-1)="전라북도","전북특별자치도",LEFT(D799,FIND(" ",D799)-1)),"")</f>
        <v>전북특별자치도</v>
      </c>
      <c r="D799" s="3" t="s">
        <v>1757</v>
      </c>
      <c r="E799" s="3" t="s">
        <v>3596</v>
      </c>
      <c r="F799" s="3" t="s">
        <v>2507</v>
      </c>
      <c r="G799" s="3" t="s">
        <v>3597</v>
      </c>
      <c r="H799" s="3" t="s">
        <v>1758</v>
      </c>
      <c r="I799" s="3" t="s">
        <v>19</v>
      </c>
      <c r="J799" s="3" t="s">
        <v>19</v>
      </c>
      <c r="K799" s="3" t="s">
        <v>21</v>
      </c>
      <c r="L799" s="3" t="s">
        <v>22</v>
      </c>
      <c r="M799" s="4">
        <v>710</v>
      </c>
      <c r="N799" s="3" t="s">
        <v>1498</v>
      </c>
      <c r="O799" s="3" t="s">
        <v>281</v>
      </c>
      <c r="P799" s="3" t="s">
        <v>1192</v>
      </c>
    </row>
    <row r="800" spans="1:16" hidden="1" x14ac:dyDescent="0.4">
      <c r="A800" s="7">
        <v>799</v>
      </c>
      <c r="B800" s="8" t="s">
        <v>3598</v>
      </c>
      <c r="C800" s="6" t="str">
        <f>IFERROR(IF(LEFT(D800,FIND(" ",D800)-1)="전라북도","전북특별자치도",LEFT(D800,FIND(" ",D800)-1)),"")</f>
        <v>전라남도</v>
      </c>
      <c r="D800" s="3" t="s">
        <v>3599</v>
      </c>
      <c r="E800" s="3" t="s">
        <v>3203</v>
      </c>
      <c r="F800" s="3" t="s">
        <v>2507</v>
      </c>
      <c r="G800" s="3" t="s">
        <v>3145</v>
      </c>
      <c r="H800" s="3" t="s">
        <v>3146</v>
      </c>
      <c r="I800" s="3" t="s">
        <v>3146</v>
      </c>
      <c r="J800" s="3" t="s">
        <v>3600</v>
      </c>
      <c r="K800" s="3" t="s">
        <v>21</v>
      </c>
      <c r="L800" s="3" t="s">
        <v>22</v>
      </c>
      <c r="M800" s="4">
        <v>1780</v>
      </c>
      <c r="N800" s="3" t="s">
        <v>1498</v>
      </c>
      <c r="O800" s="3" t="s">
        <v>281</v>
      </c>
      <c r="P800" s="3" t="s">
        <v>2745</v>
      </c>
    </row>
    <row r="801" spans="1:16" hidden="1" x14ac:dyDescent="0.4">
      <c r="A801" s="7">
        <v>800</v>
      </c>
      <c r="B801" s="8" t="s">
        <v>3598</v>
      </c>
      <c r="C801" s="6" t="str">
        <f>IFERROR(IF(LEFT(D801,FIND(" ",D801)-1)="전라북도","전북특별자치도",LEFT(D801,FIND(" ",D801)-1)),"")</f>
        <v>전라남도</v>
      </c>
      <c r="D801" s="3" t="s">
        <v>3599</v>
      </c>
      <c r="E801" s="3" t="s">
        <v>3203</v>
      </c>
      <c r="F801" s="3" t="s">
        <v>2507</v>
      </c>
      <c r="G801" s="3" t="s">
        <v>3145</v>
      </c>
      <c r="H801" s="3" t="s">
        <v>3146</v>
      </c>
      <c r="I801" s="3" t="s">
        <v>3146</v>
      </c>
      <c r="J801" s="3" t="s">
        <v>3600</v>
      </c>
      <c r="K801" s="3" t="s">
        <v>21</v>
      </c>
      <c r="L801" s="3" t="s">
        <v>22</v>
      </c>
      <c r="M801" s="4">
        <v>1780</v>
      </c>
      <c r="N801" s="3" t="s">
        <v>1498</v>
      </c>
      <c r="O801" s="3" t="s">
        <v>281</v>
      </c>
      <c r="P801" s="3" t="s">
        <v>2745</v>
      </c>
    </row>
    <row r="802" spans="1:16" hidden="1" x14ac:dyDescent="0.4">
      <c r="A802" s="7">
        <v>801</v>
      </c>
      <c r="B802" s="8" t="s">
        <v>3601</v>
      </c>
      <c r="C802" s="6" t="str">
        <f>IFERROR(IF(LEFT(D802,FIND(" ",D802)-1)="전라북도","전북특별자치도",LEFT(D802,FIND(" ",D802)-1)),"")</f>
        <v>인천광역시</v>
      </c>
      <c r="D802" s="3" t="s">
        <v>3602</v>
      </c>
      <c r="E802" s="3" t="s">
        <v>3603</v>
      </c>
      <c r="F802" s="3" t="s">
        <v>3604</v>
      </c>
      <c r="G802" s="3" t="s">
        <v>19</v>
      </c>
      <c r="H802" s="3" t="s">
        <v>3606</v>
      </c>
      <c r="I802" s="3" t="s">
        <v>19</v>
      </c>
      <c r="J802" s="3" t="s">
        <v>19</v>
      </c>
      <c r="K802" s="3" t="s">
        <v>21</v>
      </c>
      <c r="L802" s="3" t="s">
        <v>147</v>
      </c>
      <c r="M802" s="4">
        <v>544</v>
      </c>
      <c r="N802" s="3" t="s">
        <v>2111</v>
      </c>
      <c r="O802" s="3" t="s">
        <v>281</v>
      </c>
      <c r="P802" s="3" t="s">
        <v>3605</v>
      </c>
    </row>
    <row r="803" spans="1:16" hidden="1" x14ac:dyDescent="0.4">
      <c r="A803" s="7">
        <v>802</v>
      </c>
      <c r="B803" s="8" t="s">
        <v>3607</v>
      </c>
      <c r="C803" s="6" t="str">
        <f>IFERROR(IF(LEFT(D803,FIND(" ",D803)-1)="전라북도","전북특별자치도",LEFT(D803,FIND(" ",D803)-1)),"")</f>
        <v>경기도</v>
      </c>
      <c r="D803" s="3" t="s">
        <v>3608</v>
      </c>
      <c r="E803" s="3" t="s">
        <v>3431</v>
      </c>
      <c r="F803" s="3" t="s">
        <v>1047</v>
      </c>
      <c r="G803" s="3" t="s">
        <v>19</v>
      </c>
      <c r="H803" s="3" t="s">
        <v>953</v>
      </c>
      <c r="I803" s="3" t="s">
        <v>953</v>
      </c>
      <c r="J803" s="3" t="s">
        <v>19</v>
      </c>
      <c r="K803" s="3" t="s">
        <v>21</v>
      </c>
      <c r="L803" s="3" t="s">
        <v>22</v>
      </c>
      <c r="M803" s="4">
        <v>572</v>
      </c>
      <c r="N803" s="3" t="s">
        <v>84</v>
      </c>
      <c r="O803" s="3" t="s">
        <v>281</v>
      </c>
      <c r="P803" s="3" t="s">
        <v>2979</v>
      </c>
    </row>
    <row r="804" spans="1:16" hidden="1" x14ac:dyDescent="0.4">
      <c r="A804" s="7">
        <v>803</v>
      </c>
      <c r="B804" s="8" t="s">
        <v>3609</v>
      </c>
      <c r="C804" s="6" t="str">
        <f>IFERROR(IF(LEFT(D804,FIND(" ",D804)-1)="전라북도","전북특별자치도",LEFT(D804,FIND(" ",D804)-1)),"")</f>
        <v>경기도</v>
      </c>
      <c r="D804" s="3" t="s">
        <v>3610</v>
      </c>
      <c r="E804" s="3" t="s">
        <v>3570</v>
      </c>
      <c r="F804" s="3" t="s">
        <v>1047</v>
      </c>
      <c r="G804" s="3" t="s">
        <v>19</v>
      </c>
      <c r="H804" s="3" t="s">
        <v>302</v>
      </c>
      <c r="I804" s="3" t="s">
        <v>19</v>
      </c>
      <c r="J804" s="3" t="s">
        <v>19</v>
      </c>
      <c r="K804" s="3" t="s">
        <v>21</v>
      </c>
      <c r="L804" s="3" t="s">
        <v>147</v>
      </c>
      <c r="M804" s="4">
        <v>222</v>
      </c>
      <c r="N804" s="3" t="s">
        <v>84</v>
      </c>
      <c r="O804" s="3" t="s">
        <v>281</v>
      </c>
      <c r="P804" s="3" t="s">
        <v>3138</v>
      </c>
    </row>
    <row r="805" spans="1:16" hidden="1" x14ac:dyDescent="0.4">
      <c r="A805" s="7">
        <v>804</v>
      </c>
      <c r="B805" s="8" t="s">
        <v>3611</v>
      </c>
      <c r="C805" s="6" t="str">
        <f>IFERROR(IF(LEFT(D805,FIND(" ",D805)-1)="전라북도","전북특별자치도",LEFT(D805,FIND(" ",D805)-1)),"")</f>
        <v>전라남도</v>
      </c>
      <c r="D805" s="3" t="s">
        <v>3612</v>
      </c>
      <c r="E805" s="3" t="s">
        <v>3445</v>
      </c>
      <c r="F805" s="3" t="s">
        <v>1703</v>
      </c>
      <c r="G805" s="3" t="s">
        <v>3613</v>
      </c>
      <c r="H805" s="3" t="s">
        <v>3614</v>
      </c>
      <c r="I805" s="3" t="s">
        <v>3615</v>
      </c>
      <c r="J805" s="3" t="s">
        <v>19</v>
      </c>
      <c r="K805" s="3" t="s">
        <v>21</v>
      </c>
      <c r="L805" s="3" t="s">
        <v>228</v>
      </c>
      <c r="M805" s="4">
        <v>711</v>
      </c>
      <c r="N805" s="3" t="s">
        <v>3616</v>
      </c>
      <c r="O805" s="3" t="s">
        <v>281</v>
      </c>
      <c r="P805" s="3" t="s">
        <v>3297</v>
      </c>
    </row>
    <row r="806" spans="1:16" hidden="1" x14ac:dyDescent="0.4">
      <c r="A806" s="7">
        <v>805</v>
      </c>
      <c r="B806" s="8" t="s">
        <v>3617</v>
      </c>
      <c r="C806" s="6" t="str">
        <f>IFERROR(IF(LEFT(D806,FIND(" ",D806)-1)="전라북도","전북특별자치도",LEFT(D806,FIND(" ",D806)-1)),"")</f>
        <v>충청남도</v>
      </c>
      <c r="D806" s="3" t="s">
        <v>3618</v>
      </c>
      <c r="E806" s="3" t="s">
        <v>3412</v>
      </c>
      <c r="F806" s="3" t="s">
        <v>3203</v>
      </c>
      <c r="G806" s="3" t="s">
        <v>19</v>
      </c>
      <c r="H806" s="3" t="s">
        <v>3118</v>
      </c>
      <c r="I806" s="3" t="s">
        <v>19</v>
      </c>
      <c r="J806" s="3" t="s">
        <v>19</v>
      </c>
      <c r="K806" s="3" t="s">
        <v>21</v>
      </c>
      <c r="L806" s="3" t="s">
        <v>147</v>
      </c>
      <c r="M806" s="4">
        <v>268</v>
      </c>
      <c r="N806" s="3" t="s">
        <v>3616</v>
      </c>
      <c r="O806" s="3" t="s">
        <v>281</v>
      </c>
      <c r="P806" s="3" t="s">
        <v>969</v>
      </c>
    </row>
    <row r="807" spans="1:16" hidden="1" x14ac:dyDescent="0.4">
      <c r="A807" s="7">
        <v>806</v>
      </c>
      <c r="B807" s="8" t="s">
        <v>3619</v>
      </c>
      <c r="C807" s="6" t="str">
        <f>IFERROR(IF(LEFT(D807,FIND(" ",D807)-1)="전라북도","전북특별자치도",LEFT(D807,FIND(" ",D807)-1)),"")</f>
        <v>서울특별시</v>
      </c>
      <c r="D807" s="3" t="s">
        <v>3620</v>
      </c>
      <c r="E807" s="3" t="s">
        <v>3621</v>
      </c>
      <c r="F807" s="3" t="s">
        <v>3203</v>
      </c>
      <c r="G807" s="3" t="s">
        <v>2723</v>
      </c>
      <c r="H807" s="3" t="s">
        <v>3622</v>
      </c>
      <c r="I807" s="3" t="s">
        <v>3622</v>
      </c>
      <c r="J807" s="3" t="s">
        <v>51</v>
      </c>
      <c r="K807" s="3" t="s">
        <v>21</v>
      </c>
      <c r="L807" s="3" t="s">
        <v>22</v>
      </c>
      <c r="M807" s="4">
        <v>2521</v>
      </c>
      <c r="N807" s="3" t="s">
        <v>3616</v>
      </c>
      <c r="O807" s="3" t="s">
        <v>281</v>
      </c>
      <c r="P807" s="3" t="s">
        <v>322</v>
      </c>
    </row>
    <row r="808" spans="1:16" hidden="1" x14ac:dyDescent="0.4">
      <c r="A808" s="7">
        <v>807</v>
      </c>
      <c r="B808" s="8" t="s">
        <v>3623</v>
      </c>
      <c r="C808" s="6" t="str">
        <f>IFERROR(IF(LEFT(D808,FIND(" ",D808)-1)="전라북도","전북특별자치도",LEFT(D808,FIND(" ",D808)-1)),"")</f>
        <v>경상남도</v>
      </c>
      <c r="D808" s="3" t="s">
        <v>3624</v>
      </c>
      <c r="E808" s="3" t="s">
        <v>1099</v>
      </c>
      <c r="F808" s="3" t="s">
        <v>1690</v>
      </c>
      <c r="G808" s="3" t="s">
        <v>19</v>
      </c>
      <c r="H808" s="3" t="s">
        <v>1025</v>
      </c>
      <c r="I808" s="3" t="s">
        <v>19</v>
      </c>
      <c r="J808" s="3" t="s">
        <v>19</v>
      </c>
      <c r="K808" s="3" t="s">
        <v>21</v>
      </c>
      <c r="L808" s="3" t="s">
        <v>147</v>
      </c>
      <c r="M808" s="4">
        <v>1016</v>
      </c>
      <c r="N808" s="3" t="s">
        <v>3616</v>
      </c>
      <c r="O808" s="3" t="s">
        <v>281</v>
      </c>
      <c r="P808" s="3" t="s">
        <v>943</v>
      </c>
    </row>
    <row r="809" spans="1:16" hidden="1" x14ac:dyDescent="0.4">
      <c r="A809" s="7">
        <v>808</v>
      </c>
      <c r="B809" s="8" t="s">
        <v>3625</v>
      </c>
      <c r="C809" s="6" t="str">
        <f>IFERROR(IF(LEFT(D809,FIND(" ",D809)-1)="전라북도","전북특별자치도",LEFT(D809,FIND(" ",D809)-1)),"")</f>
        <v>부산광역시</v>
      </c>
      <c r="D809" s="3" t="s">
        <v>3626</v>
      </c>
      <c r="E809" s="3" t="s">
        <v>3627</v>
      </c>
      <c r="F809" s="3" t="s">
        <v>1690</v>
      </c>
      <c r="G809" s="3" t="s">
        <v>3628</v>
      </c>
      <c r="H809" s="3" t="s">
        <v>3629</v>
      </c>
      <c r="I809" s="3" t="s">
        <v>3629</v>
      </c>
      <c r="J809" s="3" t="s">
        <v>3628</v>
      </c>
      <c r="K809" s="3" t="s">
        <v>21</v>
      </c>
      <c r="L809" s="3" t="s">
        <v>228</v>
      </c>
      <c r="M809" s="4">
        <v>379247</v>
      </c>
      <c r="N809" s="3" t="s">
        <v>3630</v>
      </c>
      <c r="O809" s="3" t="s">
        <v>281</v>
      </c>
      <c r="P809" s="3" t="s">
        <v>985</v>
      </c>
    </row>
    <row r="810" spans="1:16" hidden="1" x14ac:dyDescent="0.4">
      <c r="A810" s="7">
        <v>809</v>
      </c>
      <c r="B810" s="8" t="s">
        <v>3631</v>
      </c>
      <c r="C810" s="6" t="str">
        <f>IFERROR(IF(LEFT(D810,FIND(" ",D810)-1)="전라북도","전북특별자치도",LEFT(D810,FIND(" ",D810)-1)),"")</f>
        <v>경기도</v>
      </c>
      <c r="D810" s="3" t="s">
        <v>3632</v>
      </c>
      <c r="E810" s="3" t="s">
        <v>3633</v>
      </c>
      <c r="F810" s="3" t="s">
        <v>3412</v>
      </c>
      <c r="G810" s="3" t="s">
        <v>3634</v>
      </c>
      <c r="H810" s="3" t="s">
        <v>1110</v>
      </c>
      <c r="I810" s="3" t="s">
        <v>3635</v>
      </c>
      <c r="J810" s="3" t="s">
        <v>19</v>
      </c>
      <c r="K810" s="3" t="s">
        <v>21</v>
      </c>
      <c r="L810" s="3" t="s">
        <v>22</v>
      </c>
      <c r="M810" s="4">
        <v>592</v>
      </c>
      <c r="N810" s="3" t="s">
        <v>3616</v>
      </c>
      <c r="O810" s="3" t="s">
        <v>281</v>
      </c>
      <c r="P810" s="3" t="s">
        <v>2331</v>
      </c>
    </row>
    <row r="811" spans="1:16" x14ac:dyDescent="0.4">
      <c r="A811" s="7">
        <v>810</v>
      </c>
      <c r="B811" s="8" t="s">
        <v>3636</v>
      </c>
      <c r="C811" s="6" t="str">
        <f>IFERROR(IF(LEFT(D811,FIND(" ",D811)-1)="전라북도","전북특별자치도",LEFT(D811,FIND(" ",D811)-1)),"")</f>
        <v>경상북도</v>
      </c>
      <c r="D811" s="3" t="s">
        <v>3637</v>
      </c>
      <c r="E811" s="3" t="s">
        <v>3633</v>
      </c>
      <c r="F811" s="3" t="s">
        <v>3412</v>
      </c>
      <c r="G811" s="3" t="s">
        <v>3638</v>
      </c>
      <c r="H811" s="3" t="s">
        <v>222</v>
      </c>
      <c r="I811" s="3" t="s">
        <v>222</v>
      </c>
      <c r="J811" s="3" t="s">
        <v>3639</v>
      </c>
      <c r="K811" s="3" t="s">
        <v>21</v>
      </c>
      <c r="L811" s="3" t="s">
        <v>22</v>
      </c>
      <c r="M811" s="4">
        <v>1543</v>
      </c>
      <c r="N811" s="3" t="s">
        <v>3616</v>
      </c>
      <c r="O811" s="3" t="s">
        <v>24</v>
      </c>
      <c r="P811" s="3" t="s">
        <v>19</v>
      </c>
    </row>
    <row r="812" spans="1:16" x14ac:dyDescent="0.4">
      <c r="A812" s="7">
        <v>811</v>
      </c>
      <c r="B812" s="8" t="s">
        <v>3640</v>
      </c>
      <c r="C812" s="6" t="str">
        <f>IFERROR(IF(LEFT(D812,FIND(" ",D812)-1)="전라북도","전북특별자치도",LEFT(D812,FIND(" ",D812)-1)),"")</f>
        <v>경기도</v>
      </c>
      <c r="D812" s="3" t="s">
        <v>3641</v>
      </c>
      <c r="E812" s="3" t="s">
        <v>3642</v>
      </c>
      <c r="F812" s="3" t="s">
        <v>3318</v>
      </c>
      <c r="G812" s="3" t="s">
        <v>3643</v>
      </c>
      <c r="H812" s="3" t="s">
        <v>885</v>
      </c>
      <c r="I812" s="3" t="s">
        <v>19</v>
      </c>
      <c r="J812" s="3" t="s">
        <v>19</v>
      </c>
      <c r="K812" s="3" t="s">
        <v>21</v>
      </c>
      <c r="L812" s="3" t="s">
        <v>22</v>
      </c>
      <c r="M812" s="4">
        <v>960</v>
      </c>
      <c r="N812" s="3" t="s">
        <v>3616</v>
      </c>
      <c r="O812" s="3" t="s">
        <v>24</v>
      </c>
      <c r="P812" s="3" t="s">
        <v>19</v>
      </c>
    </row>
    <row r="813" spans="1:16" hidden="1" x14ac:dyDescent="0.4">
      <c r="A813" s="7">
        <v>812</v>
      </c>
      <c r="B813" s="8" t="s">
        <v>3640</v>
      </c>
      <c r="C813" s="6" t="str">
        <f>IFERROR(IF(LEFT(D813,FIND(" ",D813)-1)="전라북도","전북특별자치도",LEFT(D813,FIND(" ",D813)-1)),"")</f>
        <v>경기도</v>
      </c>
      <c r="D813" s="3" t="s">
        <v>3641</v>
      </c>
      <c r="E813" s="3" t="s">
        <v>3642</v>
      </c>
      <c r="F813" s="3" t="s">
        <v>3318</v>
      </c>
      <c r="G813" s="3" t="s">
        <v>2402</v>
      </c>
      <c r="H813" s="3" t="s">
        <v>885</v>
      </c>
      <c r="I813" s="3" t="s">
        <v>2897</v>
      </c>
      <c r="J813" s="3" t="s">
        <v>19</v>
      </c>
      <c r="K813" s="3" t="s">
        <v>21</v>
      </c>
      <c r="L813" s="3" t="s">
        <v>22</v>
      </c>
      <c r="M813" s="4">
        <v>1490</v>
      </c>
      <c r="N813" s="3" t="s">
        <v>3616</v>
      </c>
      <c r="O813" s="3" t="s">
        <v>281</v>
      </c>
      <c r="P813" s="3" t="s">
        <v>3406</v>
      </c>
    </row>
    <row r="814" spans="1:16" hidden="1" x14ac:dyDescent="0.4">
      <c r="A814" s="7">
        <v>813</v>
      </c>
      <c r="B814" s="8" t="s">
        <v>19</v>
      </c>
      <c r="C814" s="6" t="str">
        <f>IFERROR(IF(LEFT(D814,FIND(" ",D814)-1)="전라북도","전북특별자치도",LEFT(D814,FIND(" ",D814)-1)),"")</f>
        <v>경기도</v>
      </c>
      <c r="D814" s="3" t="s">
        <v>3644</v>
      </c>
      <c r="E814" s="3" t="s">
        <v>3645</v>
      </c>
      <c r="F814" s="3" t="s">
        <v>3431</v>
      </c>
      <c r="G814" s="3" t="s">
        <v>19</v>
      </c>
      <c r="H814" s="3" t="s">
        <v>1265</v>
      </c>
      <c r="I814" s="3" t="s">
        <v>19</v>
      </c>
      <c r="J814" s="3" t="s">
        <v>19</v>
      </c>
      <c r="K814" s="3" t="s">
        <v>21</v>
      </c>
      <c r="L814" s="3" t="s">
        <v>147</v>
      </c>
      <c r="M814" s="4">
        <v>143</v>
      </c>
      <c r="N814" s="3" t="s">
        <v>19</v>
      </c>
      <c r="O814" s="3" t="s">
        <v>281</v>
      </c>
      <c r="P814" s="3" t="s">
        <v>3242</v>
      </c>
    </row>
    <row r="815" spans="1:16" hidden="1" x14ac:dyDescent="0.4">
      <c r="A815" s="7">
        <v>814</v>
      </c>
      <c r="B815" s="8" t="s">
        <v>3646</v>
      </c>
      <c r="C815" s="6" t="str">
        <f>IFERROR(IF(LEFT(D815,FIND(" ",D815)-1)="전라북도","전북특별자치도",LEFT(D815,FIND(" ",D815)-1)),"")</f>
        <v>경기도</v>
      </c>
      <c r="D815" s="3" t="s">
        <v>3647</v>
      </c>
      <c r="E815" s="3" t="s">
        <v>3645</v>
      </c>
      <c r="F815" s="3" t="s">
        <v>3431</v>
      </c>
      <c r="G815" s="3" t="s">
        <v>19</v>
      </c>
      <c r="H815" s="3" t="s">
        <v>1265</v>
      </c>
      <c r="I815" s="3" t="s">
        <v>19</v>
      </c>
      <c r="J815" s="3" t="s">
        <v>19</v>
      </c>
      <c r="K815" s="3" t="s">
        <v>21</v>
      </c>
      <c r="L815" s="3" t="s">
        <v>147</v>
      </c>
      <c r="M815" s="4">
        <v>138</v>
      </c>
      <c r="N815" s="3" t="s">
        <v>19</v>
      </c>
      <c r="O815" s="3" t="s">
        <v>281</v>
      </c>
      <c r="P815" s="3" t="s">
        <v>3242</v>
      </c>
    </row>
    <row r="816" spans="1:16" hidden="1" x14ac:dyDescent="0.4">
      <c r="A816" s="7">
        <v>815</v>
      </c>
      <c r="B816" s="8" t="s">
        <v>3648</v>
      </c>
      <c r="C816" s="6" t="str">
        <f>IFERROR(IF(LEFT(D816,FIND(" ",D816)-1)="전라북도","전북특별자치도",LEFT(D816,FIND(" ",D816)-1)),"")</f>
        <v>경기도</v>
      </c>
      <c r="D816" s="3" t="s">
        <v>3649</v>
      </c>
      <c r="E816" s="3" t="s">
        <v>3645</v>
      </c>
      <c r="F816" s="3" t="s">
        <v>3431</v>
      </c>
      <c r="G816" s="3" t="s">
        <v>19</v>
      </c>
      <c r="H816" s="3" t="s">
        <v>1265</v>
      </c>
      <c r="I816" s="3" t="s">
        <v>19</v>
      </c>
      <c r="J816" s="3" t="s">
        <v>19</v>
      </c>
      <c r="K816" s="3" t="s">
        <v>21</v>
      </c>
      <c r="L816" s="3" t="s">
        <v>147</v>
      </c>
      <c r="M816" s="4">
        <v>135</v>
      </c>
      <c r="N816" s="3" t="s">
        <v>19</v>
      </c>
      <c r="O816" s="3" t="s">
        <v>281</v>
      </c>
      <c r="P816" s="3" t="s">
        <v>3242</v>
      </c>
    </row>
    <row r="817" spans="1:16" hidden="1" x14ac:dyDescent="0.4">
      <c r="A817" s="7">
        <v>816</v>
      </c>
      <c r="B817" s="8" t="s">
        <v>3650</v>
      </c>
      <c r="C817" s="6" t="str">
        <f>IFERROR(IF(LEFT(D817,FIND(" ",D817)-1)="전라북도","전북특별자치도",LEFT(D817,FIND(" ",D817)-1)),"")</f>
        <v>경기도</v>
      </c>
      <c r="D817" s="3" t="s">
        <v>3651</v>
      </c>
      <c r="E817" s="3" t="s">
        <v>3645</v>
      </c>
      <c r="F817" s="3" t="s">
        <v>3431</v>
      </c>
      <c r="G817" s="3" t="s">
        <v>19</v>
      </c>
      <c r="H817" s="3" t="s">
        <v>1265</v>
      </c>
      <c r="I817" s="3" t="s">
        <v>19</v>
      </c>
      <c r="J817" s="3" t="s">
        <v>19</v>
      </c>
      <c r="K817" s="3" t="s">
        <v>21</v>
      </c>
      <c r="L817" s="3" t="s">
        <v>147</v>
      </c>
      <c r="M817" s="4">
        <v>135</v>
      </c>
      <c r="N817" s="3" t="s">
        <v>19</v>
      </c>
      <c r="O817" s="3" t="s">
        <v>281</v>
      </c>
      <c r="P817" s="3" t="s">
        <v>3242</v>
      </c>
    </row>
    <row r="818" spans="1:16" hidden="1" x14ac:dyDescent="0.4">
      <c r="A818" s="7">
        <v>817</v>
      </c>
      <c r="B818" s="8" t="s">
        <v>3652</v>
      </c>
      <c r="C818" s="6" t="str">
        <f>IFERROR(IF(LEFT(D818,FIND(" ",D818)-1)="전라북도","전북특별자치도",LEFT(D818,FIND(" ",D818)-1)),"")</f>
        <v>경기도</v>
      </c>
      <c r="D818" s="3" t="s">
        <v>3653</v>
      </c>
      <c r="E818" s="3" t="s">
        <v>3645</v>
      </c>
      <c r="F818" s="3" t="s">
        <v>3431</v>
      </c>
      <c r="G818" s="3" t="s">
        <v>19</v>
      </c>
      <c r="H818" s="3" t="s">
        <v>1265</v>
      </c>
      <c r="I818" s="3" t="s">
        <v>19</v>
      </c>
      <c r="J818" s="3" t="s">
        <v>19</v>
      </c>
      <c r="K818" s="3" t="s">
        <v>21</v>
      </c>
      <c r="L818" s="3" t="s">
        <v>147</v>
      </c>
      <c r="M818" s="4">
        <v>138</v>
      </c>
      <c r="N818" s="3" t="s">
        <v>19</v>
      </c>
      <c r="O818" s="3" t="s">
        <v>281</v>
      </c>
      <c r="P818" s="3" t="s">
        <v>3242</v>
      </c>
    </row>
    <row r="819" spans="1:16" hidden="1" x14ac:dyDescent="0.4">
      <c r="A819" s="7">
        <v>818</v>
      </c>
      <c r="B819" s="8" t="s">
        <v>3654</v>
      </c>
      <c r="C819" s="6" t="str">
        <f>IFERROR(IF(LEFT(D819,FIND(" ",D819)-1)="전라북도","전북특별자치도",LEFT(D819,FIND(" ",D819)-1)),"")</f>
        <v/>
      </c>
      <c r="D819" s="3" t="s">
        <v>19</v>
      </c>
      <c r="E819" s="3" t="s">
        <v>19</v>
      </c>
      <c r="F819" s="3" t="s">
        <v>19</v>
      </c>
      <c r="G819" s="3" t="s">
        <v>19</v>
      </c>
      <c r="H819" s="3" t="s">
        <v>19</v>
      </c>
      <c r="I819" s="3" t="s">
        <v>19</v>
      </c>
      <c r="J819" s="3" t="s">
        <v>19</v>
      </c>
      <c r="K819" s="3" t="s">
        <v>19</v>
      </c>
      <c r="L819" s="3" t="s">
        <v>19</v>
      </c>
      <c r="M819" s="4" t="s">
        <v>19</v>
      </c>
      <c r="N819" s="3" t="s">
        <v>19</v>
      </c>
      <c r="O819" s="3" t="s">
        <v>19</v>
      </c>
      <c r="P819" s="3" t="s">
        <v>19</v>
      </c>
    </row>
    <row r="820" spans="1:16" hidden="1" x14ac:dyDescent="0.4">
      <c r="A820" s="7">
        <v>819</v>
      </c>
      <c r="B820" s="8" t="s">
        <v>3655</v>
      </c>
      <c r="C820" s="6" t="str">
        <f>IFERROR(IF(LEFT(D820,FIND(" ",D820)-1)="전라북도","전북특별자치도",LEFT(D820,FIND(" ",D820)-1)),"")</f>
        <v>경기도</v>
      </c>
      <c r="D820" s="3" t="s">
        <v>3656</v>
      </c>
      <c r="E820" s="3" t="s">
        <v>3645</v>
      </c>
      <c r="F820" s="3" t="s">
        <v>3431</v>
      </c>
      <c r="G820" s="3" t="s">
        <v>19</v>
      </c>
      <c r="H820" s="3" t="s">
        <v>1265</v>
      </c>
      <c r="I820" s="3" t="s">
        <v>19</v>
      </c>
      <c r="J820" s="3" t="s">
        <v>19</v>
      </c>
      <c r="K820" s="3" t="s">
        <v>21</v>
      </c>
      <c r="L820" s="3" t="s">
        <v>147</v>
      </c>
      <c r="M820" s="4">
        <v>133</v>
      </c>
      <c r="N820" s="3" t="s">
        <v>19</v>
      </c>
      <c r="O820" s="3" t="s">
        <v>281</v>
      </c>
      <c r="P820" s="3" t="s">
        <v>3604</v>
      </c>
    </row>
    <row r="821" spans="1:16" hidden="1" x14ac:dyDescent="0.4">
      <c r="A821" s="7">
        <v>820</v>
      </c>
      <c r="B821" s="8" t="s">
        <v>3657</v>
      </c>
      <c r="C821" s="6" t="str">
        <f>IFERROR(IF(LEFT(D821,FIND(" ",D821)-1)="전라북도","전북특별자치도",LEFT(D821,FIND(" ",D821)-1)),"")</f>
        <v>경기도</v>
      </c>
      <c r="D821" s="3" t="s">
        <v>3658</v>
      </c>
      <c r="E821" s="3" t="s">
        <v>3645</v>
      </c>
      <c r="F821" s="3" t="s">
        <v>3431</v>
      </c>
      <c r="G821" s="3" t="s">
        <v>19</v>
      </c>
      <c r="H821" s="3" t="s">
        <v>1265</v>
      </c>
      <c r="I821" s="3" t="s">
        <v>19</v>
      </c>
      <c r="J821" s="3" t="s">
        <v>19</v>
      </c>
      <c r="K821" s="3" t="s">
        <v>21</v>
      </c>
      <c r="L821" s="3" t="s">
        <v>147</v>
      </c>
      <c r="M821" s="4">
        <v>133</v>
      </c>
      <c r="N821" s="3" t="s">
        <v>19</v>
      </c>
      <c r="O821" s="3" t="s">
        <v>281</v>
      </c>
      <c r="P821" s="3" t="s">
        <v>3604</v>
      </c>
    </row>
    <row r="822" spans="1:16" hidden="1" x14ac:dyDescent="0.4">
      <c r="A822" s="7">
        <v>821</v>
      </c>
      <c r="B822" s="8" t="s">
        <v>3659</v>
      </c>
      <c r="C822" s="6" t="str">
        <f>IFERROR(IF(LEFT(D822,FIND(" ",D822)-1)="전라북도","전북특별자치도",LEFT(D822,FIND(" ",D822)-1)),"")</f>
        <v>경기도</v>
      </c>
      <c r="D822" s="3" t="s">
        <v>3660</v>
      </c>
      <c r="E822" s="3" t="s">
        <v>3645</v>
      </c>
      <c r="F822" s="3" t="s">
        <v>3431</v>
      </c>
      <c r="G822" s="3" t="s">
        <v>19</v>
      </c>
      <c r="H822" s="3" t="s">
        <v>1265</v>
      </c>
      <c r="I822" s="3" t="s">
        <v>19</v>
      </c>
      <c r="J822" s="3" t="s">
        <v>19</v>
      </c>
      <c r="K822" s="3" t="s">
        <v>21</v>
      </c>
      <c r="L822" s="3" t="s">
        <v>147</v>
      </c>
      <c r="M822" s="4">
        <v>130</v>
      </c>
      <c r="N822" s="3" t="s">
        <v>19</v>
      </c>
      <c r="O822" s="3" t="s">
        <v>281</v>
      </c>
      <c r="P822" s="3" t="s">
        <v>3604</v>
      </c>
    </row>
    <row r="823" spans="1:16" hidden="1" x14ac:dyDescent="0.4">
      <c r="A823" s="7">
        <v>822</v>
      </c>
      <c r="B823" s="8" t="s">
        <v>3661</v>
      </c>
      <c r="C823" s="6" t="str">
        <f>IFERROR(IF(LEFT(D823,FIND(" ",D823)-1)="전라북도","전북특별자치도",LEFT(D823,FIND(" ",D823)-1)),"")</f>
        <v>경기도</v>
      </c>
      <c r="D823" s="3" t="s">
        <v>3662</v>
      </c>
      <c r="E823" s="3" t="s">
        <v>3645</v>
      </c>
      <c r="F823" s="3" t="s">
        <v>3431</v>
      </c>
      <c r="G823" s="3" t="s">
        <v>19</v>
      </c>
      <c r="H823" s="3" t="s">
        <v>1265</v>
      </c>
      <c r="I823" s="3" t="s">
        <v>19</v>
      </c>
      <c r="J823" s="3" t="s">
        <v>19</v>
      </c>
      <c r="K823" s="3" t="s">
        <v>21</v>
      </c>
      <c r="L823" s="3" t="s">
        <v>147</v>
      </c>
      <c r="M823" s="4">
        <v>130</v>
      </c>
      <c r="N823" s="3" t="s">
        <v>19</v>
      </c>
      <c r="O823" s="3" t="s">
        <v>281</v>
      </c>
      <c r="P823" s="3" t="s">
        <v>3604</v>
      </c>
    </row>
    <row r="824" spans="1:16" hidden="1" x14ac:dyDescent="0.4">
      <c r="A824" s="7">
        <v>823</v>
      </c>
      <c r="B824" s="8" t="s">
        <v>3663</v>
      </c>
      <c r="C824" s="6" t="str">
        <f>IFERROR(IF(LEFT(D824,FIND(" ",D824)-1)="전라북도","전북특별자치도",LEFT(D824,FIND(" ",D824)-1)),"")</f>
        <v>경기도</v>
      </c>
      <c r="D824" s="3" t="s">
        <v>3664</v>
      </c>
      <c r="E824" s="3" t="s">
        <v>3645</v>
      </c>
      <c r="F824" s="3" t="s">
        <v>3431</v>
      </c>
      <c r="G824" s="3" t="s">
        <v>19</v>
      </c>
      <c r="H824" s="3" t="s">
        <v>1265</v>
      </c>
      <c r="I824" s="3" t="s">
        <v>19</v>
      </c>
      <c r="J824" s="3" t="s">
        <v>19</v>
      </c>
      <c r="K824" s="3" t="s">
        <v>21</v>
      </c>
      <c r="L824" s="3" t="s">
        <v>147</v>
      </c>
      <c r="M824" s="4">
        <v>133</v>
      </c>
      <c r="N824" s="3" t="s">
        <v>19</v>
      </c>
      <c r="O824" s="3" t="s">
        <v>281</v>
      </c>
      <c r="P824" s="3" t="s">
        <v>3604</v>
      </c>
    </row>
    <row r="825" spans="1:16" hidden="1" x14ac:dyDescent="0.4">
      <c r="A825" s="7">
        <v>824</v>
      </c>
      <c r="B825" s="8" t="s">
        <v>3665</v>
      </c>
      <c r="C825" s="6" t="str">
        <f>IFERROR(IF(LEFT(D825,FIND(" ",D825)-1)="전라북도","전북특별자치도",LEFT(D825,FIND(" ",D825)-1)),"")</f>
        <v>경기도</v>
      </c>
      <c r="D825" s="3" t="s">
        <v>3666</v>
      </c>
      <c r="E825" s="3" t="s">
        <v>3645</v>
      </c>
      <c r="F825" s="3" t="s">
        <v>3431</v>
      </c>
      <c r="G825" s="3" t="s">
        <v>19</v>
      </c>
      <c r="H825" s="3" t="s">
        <v>1265</v>
      </c>
      <c r="I825" s="3" t="s">
        <v>19</v>
      </c>
      <c r="J825" s="3" t="s">
        <v>19</v>
      </c>
      <c r="K825" s="3" t="s">
        <v>21</v>
      </c>
      <c r="L825" s="3" t="s">
        <v>147</v>
      </c>
      <c r="M825" s="4">
        <v>135</v>
      </c>
      <c r="N825" s="3" t="s">
        <v>19</v>
      </c>
      <c r="O825" s="3" t="s">
        <v>281</v>
      </c>
      <c r="P825" s="3" t="s">
        <v>3604</v>
      </c>
    </row>
    <row r="826" spans="1:16" hidden="1" x14ac:dyDescent="0.4">
      <c r="A826" s="7">
        <v>825</v>
      </c>
      <c r="B826" s="8" t="s">
        <v>3667</v>
      </c>
      <c r="C826" s="6" t="str">
        <f>IFERROR(IF(LEFT(D826,FIND(" ",D826)-1)="전라북도","전북특별자치도",LEFT(D826,FIND(" ",D826)-1)),"")</f>
        <v>경기도</v>
      </c>
      <c r="D826" s="3" t="s">
        <v>3668</v>
      </c>
      <c r="E826" s="3" t="s">
        <v>3669</v>
      </c>
      <c r="F826" s="3" t="s">
        <v>3431</v>
      </c>
      <c r="G826" s="3" t="s">
        <v>19</v>
      </c>
      <c r="H826" s="3" t="s">
        <v>302</v>
      </c>
      <c r="I826" s="3" t="s">
        <v>19</v>
      </c>
      <c r="J826" s="3" t="s">
        <v>19</v>
      </c>
      <c r="K826" s="3" t="s">
        <v>21</v>
      </c>
      <c r="L826" s="3" t="s">
        <v>147</v>
      </c>
      <c r="M826" s="4">
        <v>579</v>
      </c>
      <c r="N826" s="3" t="s">
        <v>330</v>
      </c>
      <c r="O826" s="3" t="s">
        <v>281</v>
      </c>
      <c r="P826" s="3" t="s">
        <v>1043</v>
      </c>
    </row>
    <row r="827" spans="1:16" x14ac:dyDescent="0.4">
      <c r="A827" s="7">
        <v>826</v>
      </c>
      <c r="B827" s="8" t="s">
        <v>3670</v>
      </c>
      <c r="C827" s="6" t="str">
        <f>IFERROR(IF(LEFT(D827,FIND(" ",D827)-1)="전라북도","전북특별자치도",LEFT(D827,FIND(" ",D827)-1)),"")</f>
        <v>경상남도</v>
      </c>
      <c r="D827" s="3" t="s">
        <v>3671</v>
      </c>
      <c r="E827" s="3" t="s">
        <v>3672</v>
      </c>
      <c r="F827" s="3" t="s">
        <v>3445</v>
      </c>
      <c r="G827" s="3" t="s">
        <v>19</v>
      </c>
      <c r="H827" s="3" t="s">
        <v>3673</v>
      </c>
      <c r="I827" s="3" t="s">
        <v>19</v>
      </c>
      <c r="J827" s="3" t="s">
        <v>19</v>
      </c>
      <c r="K827" s="3" t="s">
        <v>21</v>
      </c>
      <c r="L827" s="3" t="s">
        <v>147</v>
      </c>
      <c r="M827" s="4">
        <v>523</v>
      </c>
      <c r="N827" s="3" t="s">
        <v>84</v>
      </c>
      <c r="O827" s="3" t="s">
        <v>24</v>
      </c>
      <c r="P827" s="3" t="s">
        <v>19</v>
      </c>
    </row>
    <row r="828" spans="1:16" hidden="1" x14ac:dyDescent="0.4">
      <c r="A828" s="7">
        <v>827</v>
      </c>
      <c r="B828" s="8" t="s">
        <v>3674</v>
      </c>
      <c r="C828" s="6" t="str">
        <f>IFERROR(IF(LEFT(D828,FIND(" ",D828)-1)="전라북도","전북특별자치도",LEFT(D828,FIND(" ",D828)-1)),"")</f>
        <v>전라남도</v>
      </c>
      <c r="D828" s="3" t="s">
        <v>3675</v>
      </c>
      <c r="E828" s="3" t="s">
        <v>3676</v>
      </c>
      <c r="F828" s="3" t="s">
        <v>3677</v>
      </c>
      <c r="G828" s="3" t="s">
        <v>3678</v>
      </c>
      <c r="H828" s="3" t="s">
        <v>3679</v>
      </c>
      <c r="I828" s="3" t="s">
        <v>3680</v>
      </c>
      <c r="J828" s="3" t="s">
        <v>3681</v>
      </c>
      <c r="K828" s="3" t="s">
        <v>21</v>
      </c>
      <c r="L828" s="3" t="s">
        <v>147</v>
      </c>
      <c r="M828" s="4">
        <v>765</v>
      </c>
      <c r="N828" s="3" t="s">
        <v>3616</v>
      </c>
      <c r="O828" s="3" t="s">
        <v>281</v>
      </c>
      <c r="P828" s="3" t="s">
        <v>2994</v>
      </c>
    </row>
    <row r="829" spans="1:16" hidden="1" x14ac:dyDescent="0.4">
      <c r="A829" s="7">
        <v>828</v>
      </c>
      <c r="B829" s="8" t="s">
        <v>3682</v>
      </c>
      <c r="C829" s="6" t="str">
        <f>IFERROR(IF(LEFT(D829,FIND(" ",D829)-1)="전라북도","전북특별자치도",LEFT(D829,FIND(" ",D829)-1)),"")</f>
        <v>충청남도</v>
      </c>
      <c r="D829" s="3" t="s">
        <v>3683</v>
      </c>
      <c r="E829" s="3" t="s">
        <v>3684</v>
      </c>
      <c r="F829" s="3" t="s">
        <v>3260</v>
      </c>
      <c r="G829" s="3" t="s">
        <v>19</v>
      </c>
      <c r="H829" s="3" t="s">
        <v>3685</v>
      </c>
      <c r="I829" s="3" t="s">
        <v>19</v>
      </c>
      <c r="J829" s="3" t="s">
        <v>19</v>
      </c>
      <c r="K829" s="3" t="s">
        <v>21</v>
      </c>
      <c r="L829" s="3" t="s">
        <v>147</v>
      </c>
      <c r="M829" s="4">
        <v>189</v>
      </c>
      <c r="N829" s="3" t="s">
        <v>19</v>
      </c>
      <c r="O829" s="3" t="s">
        <v>281</v>
      </c>
      <c r="P829" s="3" t="s">
        <v>3318</v>
      </c>
    </row>
    <row r="830" spans="1:16" hidden="1" x14ac:dyDescent="0.4">
      <c r="A830" s="7">
        <v>829</v>
      </c>
      <c r="B830" s="8" t="s">
        <v>3686</v>
      </c>
      <c r="C830" s="6" t="str">
        <f>IFERROR(IF(LEFT(D830,FIND(" ",D830)-1)="전라북도","전북특별자치도",LEFT(D830,FIND(" ",D830)-1)),"")</f>
        <v>부산광역시</v>
      </c>
      <c r="D830" s="3" t="s">
        <v>3687</v>
      </c>
      <c r="E830" s="3" t="s">
        <v>872</v>
      </c>
      <c r="F830" s="3" t="s">
        <v>3684</v>
      </c>
      <c r="G830" s="3" t="s">
        <v>3298</v>
      </c>
      <c r="H830" s="3" t="s">
        <v>2291</v>
      </c>
      <c r="I830" s="3" t="s">
        <v>2291</v>
      </c>
      <c r="J830" s="3" t="s">
        <v>19</v>
      </c>
      <c r="K830" s="3" t="s">
        <v>21</v>
      </c>
      <c r="L830" s="3" t="s">
        <v>228</v>
      </c>
      <c r="M830" s="4">
        <v>3111</v>
      </c>
      <c r="N830" s="3" t="s">
        <v>3616</v>
      </c>
      <c r="O830" s="3" t="s">
        <v>281</v>
      </c>
      <c r="P830" s="3" t="s">
        <v>3068</v>
      </c>
    </row>
    <row r="831" spans="1:16" hidden="1" x14ac:dyDescent="0.4">
      <c r="A831" s="7">
        <v>830</v>
      </c>
      <c r="B831" s="8" t="s">
        <v>3688</v>
      </c>
      <c r="C831" s="6" t="str">
        <f>IFERROR(IF(LEFT(D831,FIND(" ",D831)-1)="전라북도","전북특별자치도",LEFT(D831,FIND(" ",D831)-1)),"")</f>
        <v>전라남도</v>
      </c>
      <c r="D831" s="3" t="s">
        <v>3689</v>
      </c>
      <c r="E831" s="3" t="s">
        <v>3292</v>
      </c>
      <c r="F831" s="3" t="s">
        <v>3672</v>
      </c>
      <c r="G831" s="3" t="s">
        <v>19</v>
      </c>
      <c r="H831" s="3" t="s">
        <v>3690</v>
      </c>
      <c r="I831" s="3" t="s">
        <v>19</v>
      </c>
      <c r="J831" s="3" t="s">
        <v>3691</v>
      </c>
      <c r="K831" s="3" t="s">
        <v>21</v>
      </c>
      <c r="L831" s="3" t="s">
        <v>147</v>
      </c>
      <c r="M831" s="4">
        <v>826</v>
      </c>
      <c r="N831" s="3" t="s">
        <v>19</v>
      </c>
      <c r="O831" s="3" t="s">
        <v>281</v>
      </c>
      <c r="P831" s="3" t="s">
        <v>2399</v>
      </c>
    </row>
    <row r="832" spans="1:16" hidden="1" x14ac:dyDescent="0.4">
      <c r="A832" s="7">
        <v>831</v>
      </c>
      <c r="B832" s="8" t="s">
        <v>3692</v>
      </c>
      <c r="C832" s="6" t="str">
        <f>IFERROR(IF(LEFT(D832,FIND(" ",D832)-1)="전라북도","전북특별자치도",LEFT(D832,FIND(" ",D832)-1)),"")</f>
        <v>경기도</v>
      </c>
      <c r="D832" s="3" t="s">
        <v>3693</v>
      </c>
      <c r="E832" s="3" t="s">
        <v>3694</v>
      </c>
      <c r="F832" s="3" t="s">
        <v>3292</v>
      </c>
      <c r="G832" s="3" t="s">
        <v>3695</v>
      </c>
      <c r="H832" s="3" t="s">
        <v>3696</v>
      </c>
      <c r="I832" s="3" t="s">
        <v>3696</v>
      </c>
      <c r="J832" s="3" t="s">
        <v>19</v>
      </c>
      <c r="K832" s="3" t="s">
        <v>21</v>
      </c>
      <c r="L832" s="3" t="s">
        <v>147</v>
      </c>
      <c r="M832" s="4">
        <v>1327</v>
      </c>
      <c r="N832" s="3" t="s">
        <v>19</v>
      </c>
      <c r="O832" s="3" t="s">
        <v>281</v>
      </c>
      <c r="P832" s="3" t="s">
        <v>3221</v>
      </c>
    </row>
    <row r="833" spans="1:16" hidden="1" x14ac:dyDescent="0.4">
      <c r="A833" s="7">
        <v>832</v>
      </c>
      <c r="B833" s="8" t="s">
        <v>2894</v>
      </c>
      <c r="C833" s="6" t="str">
        <f>IFERROR(IF(LEFT(D833,FIND(" ",D833)-1)="전라북도","전북특별자치도",LEFT(D833,FIND(" ",D833)-1)),"")</f>
        <v>경기도</v>
      </c>
      <c r="D833" s="3" t="s">
        <v>2895</v>
      </c>
      <c r="E833" s="3" t="s">
        <v>3697</v>
      </c>
      <c r="F833" s="3" t="s">
        <v>3698</v>
      </c>
      <c r="G833" s="3" t="s">
        <v>19</v>
      </c>
      <c r="H833" s="3" t="s">
        <v>2897</v>
      </c>
      <c r="I833" s="3" t="s">
        <v>19</v>
      </c>
      <c r="J833" s="3" t="s">
        <v>19</v>
      </c>
      <c r="K833" s="3" t="s">
        <v>21</v>
      </c>
      <c r="L833" s="3" t="s">
        <v>22</v>
      </c>
      <c r="M833" s="4">
        <v>130</v>
      </c>
      <c r="N833" s="3" t="s">
        <v>84</v>
      </c>
      <c r="O833" s="3" t="s">
        <v>281</v>
      </c>
      <c r="P833" s="3" t="s">
        <v>2979</v>
      </c>
    </row>
    <row r="834" spans="1:16" hidden="1" x14ac:dyDescent="0.4">
      <c r="A834" s="7">
        <v>833</v>
      </c>
      <c r="B834" s="8" t="s">
        <v>3699</v>
      </c>
      <c r="C834" s="6" t="str">
        <f>IFERROR(IF(LEFT(D834,FIND(" ",D834)-1)="전라북도","전북특별자치도",LEFT(D834,FIND(" ",D834)-1)),"")</f>
        <v>충청북도</v>
      </c>
      <c r="D834" s="3" t="s">
        <v>3700</v>
      </c>
      <c r="E834" s="3" t="s">
        <v>1134</v>
      </c>
      <c r="F834" s="3" t="s">
        <v>3698</v>
      </c>
      <c r="G834" s="3" t="s">
        <v>3701</v>
      </c>
      <c r="H834" s="3" t="s">
        <v>3702</v>
      </c>
      <c r="I834" s="3" t="s">
        <v>3702</v>
      </c>
      <c r="J834" s="3" t="s">
        <v>3701</v>
      </c>
      <c r="K834" s="3" t="s">
        <v>21</v>
      </c>
      <c r="L834" s="3" t="s">
        <v>228</v>
      </c>
      <c r="M834" s="4">
        <v>3886</v>
      </c>
      <c r="N834" s="3" t="s">
        <v>19</v>
      </c>
      <c r="O834" s="3" t="s">
        <v>281</v>
      </c>
      <c r="P834" s="3" t="s">
        <v>3570</v>
      </c>
    </row>
    <row r="835" spans="1:16" hidden="1" x14ac:dyDescent="0.4">
      <c r="A835" s="7">
        <v>834</v>
      </c>
      <c r="B835" s="8" t="s">
        <v>3703</v>
      </c>
      <c r="C835" s="6" t="str">
        <f>IFERROR(IF(LEFT(D835,FIND(" ",D835)-1)="전라북도","전북특별자치도",LEFT(D835,FIND(" ",D835)-1)),"")</f>
        <v>인천광역시</v>
      </c>
      <c r="D835" s="3" t="s">
        <v>3704</v>
      </c>
      <c r="E835" s="3" t="s">
        <v>3705</v>
      </c>
      <c r="F835" s="3" t="s">
        <v>1118</v>
      </c>
      <c r="G835" s="3" t="s">
        <v>3706</v>
      </c>
      <c r="H835" s="3" t="s">
        <v>3707</v>
      </c>
      <c r="I835" s="3" t="s">
        <v>3707</v>
      </c>
      <c r="J835" s="3" t="s">
        <v>19</v>
      </c>
      <c r="K835" s="3" t="s">
        <v>21</v>
      </c>
      <c r="L835" s="3" t="s">
        <v>22</v>
      </c>
      <c r="M835" s="4">
        <v>736</v>
      </c>
      <c r="N835" s="3" t="s">
        <v>3616</v>
      </c>
      <c r="O835" s="3" t="s">
        <v>281</v>
      </c>
      <c r="P835" s="3" t="s">
        <v>2248</v>
      </c>
    </row>
    <row r="836" spans="1:16" hidden="1" x14ac:dyDescent="0.4">
      <c r="A836" s="7">
        <v>835</v>
      </c>
      <c r="B836" s="8" t="s">
        <v>3708</v>
      </c>
      <c r="C836" s="6" t="str">
        <f>IFERROR(IF(LEFT(D836,FIND(" ",D836)-1)="전라북도","전북특별자치도",LEFT(D836,FIND(" ",D836)-1)),"")</f>
        <v>경기도</v>
      </c>
      <c r="D836" s="3" t="s">
        <v>3709</v>
      </c>
      <c r="E836" s="3" t="s">
        <v>1118</v>
      </c>
      <c r="F836" s="3" t="s">
        <v>1118</v>
      </c>
      <c r="G836" s="3" t="s">
        <v>19</v>
      </c>
      <c r="H836" s="3" t="s">
        <v>3710</v>
      </c>
      <c r="I836" s="3" t="s">
        <v>19</v>
      </c>
      <c r="J836" s="3" t="s">
        <v>19</v>
      </c>
      <c r="K836" s="3" t="s">
        <v>21</v>
      </c>
      <c r="L836" s="3" t="s">
        <v>147</v>
      </c>
      <c r="M836" s="4">
        <v>103</v>
      </c>
      <c r="N836" s="3" t="s">
        <v>84</v>
      </c>
      <c r="O836" s="3" t="s">
        <v>281</v>
      </c>
      <c r="P836" s="3" t="s">
        <v>991</v>
      </c>
    </row>
    <row r="837" spans="1:16" hidden="1" x14ac:dyDescent="0.4">
      <c r="A837" s="7">
        <v>836</v>
      </c>
      <c r="B837" s="8" t="s">
        <v>3711</v>
      </c>
      <c r="C837" s="6" t="str">
        <f>IFERROR(IF(LEFT(D837,FIND(" ",D837)-1)="전라북도","전북특별자치도",LEFT(D837,FIND(" ",D837)-1)),"")</f>
        <v>경기도</v>
      </c>
      <c r="D837" s="3" t="s">
        <v>3712</v>
      </c>
      <c r="E837" s="3" t="s">
        <v>1326</v>
      </c>
      <c r="F837" s="3" t="s">
        <v>3596</v>
      </c>
      <c r="G837" s="3" t="s">
        <v>3713</v>
      </c>
      <c r="H837" s="3" t="s">
        <v>1884</v>
      </c>
      <c r="I837" s="3" t="s">
        <v>1884</v>
      </c>
      <c r="J837" s="3" t="s">
        <v>19</v>
      </c>
      <c r="K837" s="3" t="s">
        <v>21</v>
      </c>
      <c r="L837" s="3" t="s">
        <v>22</v>
      </c>
      <c r="M837" s="4">
        <v>667</v>
      </c>
      <c r="N837" s="3" t="s">
        <v>3616</v>
      </c>
      <c r="O837" s="3" t="s">
        <v>281</v>
      </c>
      <c r="P837" s="3" t="s">
        <v>1188</v>
      </c>
    </row>
    <row r="838" spans="1:16" hidden="1" x14ac:dyDescent="0.4">
      <c r="A838" s="7">
        <v>837</v>
      </c>
      <c r="B838" s="8" t="s">
        <v>3714</v>
      </c>
      <c r="C838" s="6" t="str">
        <f>IFERROR(IF(LEFT(D838,FIND(" ",D838)-1)="전라북도","전북특별자치도",LEFT(D838,FIND(" ",D838)-1)),"")</f>
        <v>경기도</v>
      </c>
      <c r="D838" s="3" t="s">
        <v>3715</v>
      </c>
      <c r="E838" s="3" t="s">
        <v>3716</v>
      </c>
      <c r="F838" s="3" t="s">
        <v>3717</v>
      </c>
      <c r="G838" s="3" t="s">
        <v>19</v>
      </c>
      <c r="H838" s="3" t="s">
        <v>302</v>
      </c>
      <c r="I838" s="3" t="s">
        <v>19</v>
      </c>
      <c r="J838" s="3" t="s">
        <v>19</v>
      </c>
      <c r="K838" s="3" t="s">
        <v>21</v>
      </c>
      <c r="L838" s="3" t="s">
        <v>147</v>
      </c>
      <c r="M838" s="4">
        <v>1191</v>
      </c>
      <c r="N838" s="3" t="s">
        <v>3616</v>
      </c>
      <c r="O838" s="3" t="s">
        <v>281</v>
      </c>
      <c r="P838" s="3" t="s">
        <v>3074</v>
      </c>
    </row>
    <row r="839" spans="1:16" hidden="1" x14ac:dyDescent="0.4">
      <c r="A839" s="7">
        <v>838</v>
      </c>
      <c r="B839" s="8" t="s">
        <v>3718</v>
      </c>
      <c r="C839" s="6" t="str">
        <f>IFERROR(IF(LEFT(D839,FIND(" ",D839)-1)="전라북도","전북특별자치도",LEFT(D839,FIND(" ",D839)-1)),"")</f>
        <v>전라남도</v>
      </c>
      <c r="D839" s="3" t="s">
        <v>3719</v>
      </c>
      <c r="E839" s="3" t="s">
        <v>3436</v>
      </c>
      <c r="F839" s="3" t="s">
        <v>3717</v>
      </c>
      <c r="G839" s="3" t="s">
        <v>3145</v>
      </c>
      <c r="H839" s="3" t="s">
        <v>3146</v>
      </c>
      <c r="I839" s="3" t="s">
        <v>3146</v>
      </c>
      <c r="J839" s="3" t="s">
        <v>3720</v>
      </c>
      <c r="K839" s="3" t="s">
        <v>21</v>
      </c>
      <c r="L839" s="3" t="s">
        <v>22</v>
      </c>
      <c r="M839" s="4">
        <v>2334</v>
      </c>
      <c r="N839" s="3" t="s">
        <v>3616</v>
      </c>
      <c r="O839" s="3" t="s">
        <v>281</v>
      </c>
      <c r="P839" s="3" t="s">
        <v>2374</v>
      </c>
    </row>
    <row r="840" spans="1:16" hidden="1" x14ac:dyDescent="0.4">
      <c r="A840" s="7">
        <v>839</v>
      </c>
      <c r="B840" s="8" t="s">
        <v>3721</v>
      </c>
      <c r="C840" s="6" t="str">
        <f>IFERROR(IF(LEFT(D840,FIND(" ",D840)-1)="전라북도","전북특별자치도",LEFT(D840,FIND(" ",D840)-1)),"")</f>
        <v>경기도</v>
      </c>
      <c r="D840" s="3" t="s">
        <v>3722</v>
      </c>
      <c r="E840" s="3" t="s">
        <v>2683</v>
      </c>
      <c r="F840" s="3" t="s">
        <v>3723</v>
      </c>
      <c r="G840" s="3" t="s">
        <v>19</v>
      </c>
      <c r="H840" s="3" t="s">
        <v>3724</v>
      </c>
      <c r="I840" s="3" t="s">
        <v>19</v>
      </c>
      <c r="J840" s="3" t="s">
        <v>19</v>
      </c>
      <c r="K840" s="3" t="s">
        <v>21</v>
      </c>
      <c r="L840" s="3" t="s">
        <v>147</v>
      </c>
      <c r="M840" s="4">
        <v>537</v>
      </c>
      <c r="N840" s="3" t="s">
        <v>123</v>
      </c>
      <c r="O840" s="3" t="s">
        <v>281</v>
      </c>
      <c r="P840" s="3" t="s">
        <v>3203</v>
      </c>
    </row>
    <row r="841" spans="1:16" hidden="1" x14ac:dyDescent="0.4">
      <c r="A841" s="7">
        <v>840</v>
      </c>
      <c r="B841" s="8" t="s">
        <v>3725</v>
      </c>
      <c r="C841" s="6" t="str">
        <f>IFERROR(IF(LEFT(D841,FIND(" ",D841)-1)="전라북도","전북특별자치도",LEFT(D841,FIND(" ",D841)-1)),"")</f>
        <v>경기도</v>
      </c>
      <c r="D841" s="3" t="s">
        <v>3722</v>
      </c>
      <c r="E841" s="3" t="s">
        <v>3246</v>
      </c>
      <c r="F841" s="3" t="s">
        <v>3723</v>
      </c>
      <c r="G841" s="3" t="s">
        <v>19</v>
      </c>
      <c r="H841" s="3" t="s">
        <v>3724</v>
      </c>
      <c r="I841" s="3" t="s">
        <v>19</v>
      </c>
      <c r="J841" s="3" t="s">
        <v>19</v>
      </c>
      <c r="K841" s="3" t="s">
        <v>21</v>
      </c>
      <c r="L841" s="3" t="s">
        <v>147</v>
      </c>
      <c r="M841" s="4">
        <v>651</v>
      </c>
      <c r="N841" s="3" t="s">
        <v>123</v>
      </c>
      <c r="O841" s="3" t="s">
        <v>281</v>
      </c>
      <c r="P841" s="3" t="s">
        <v>3203</v>
      </c>
    </row>
    <row r="842" spans="1:16" hidden="1" x14ac:dyDescent="0.4">
      <c r="A842" s="7">
        <v>841</v>
      </c>
      <c r="B842" s="8" t="s">
        <v>3726</v>
      </c>
      <c r="C842" s="6" t="str">
        <f>IFERROR(IF(LEFT(D842,FIND(" ",D842)-1)="전라북도","전북특별자치도",LEFT(D842,FIND(" ",D842)-1)),"")</f>
        <v>경기도</v>
      </c>
      <c r="D842" s="3" t="s">
        <v>3727</v>
      </c>
      <c r="E842" s="3" t="s">
        <v>3633</v>
      </c>
      <c r="F842" s="3" t="s">
        <v>3728</v>
      </c>
      <c r="G842" s="3" t="s">
        <v>3730</v>
      </c>
      <c r="H842" s="3" t="s">
        <v>210</v>
      </c>
      <c r="I842" s="3" t="s">
        <v>210</v>
      </c>
      <c r="J842" s="3" t="s">
        <v>19</v>
      </c>
      <c r="K842" s="3" t="s">
        <v>21</v>
      </c>
      <c r="L842" s="3" t="s">
        <v>22</v>
      </c>
      <c r="M842" s="4">
        <v>1067</v>
      </c>
      <c r="N842" s="3" t="s">
        <v>123</v>
      </c>
      <c r="O842" s="3" t="s">
        <v>281</v>
      </c>
      <c r="P842" s="3" t="s">
        <v>3729</v>
      </c>
    </row>
    <row r="843" spans="1:16" hidden="1" x14ac:dyDescent="0.4">
      <c r="A843" s="7">
        <v>842</v>
      </c>
      <c r="B843" s="8" t="s">
        <v>3731</v>
      </c>
      <c r="C843" s="6" t="str">
        <f>IFERROR(IF(LEFT(D843,FIND(" ",D843)-1)="전라북도","전북특별자치도",LEFT(D843,FIND(" ",D843)-1)),"")</f>
        <v>인천광역시</v>
      </c>
      <c r="D843" s="3" t="s">
        <v>3732</v>
      </c>
      <c r="E843" s="3" t="s">
        <v>3733</v>
      </c>
      <c r="F843" s="3" t="s">
        <v>3728</v>
      </c>
      <c r="G843" s="3" t="s">
        <v>3734</v>
      </c>
      <c r="H843" s="3" t="s">
        <v>3735</v>
      </c>
      <c r="I843" s="3" t="s">
        <v>3735</v>
      </c>
      <c r="J843" s="3" t="s">
        <v>3736</v>
      </c>
      <c r="K843" s="3" t="s">
        <v>21</v>
      </c>
      <c r="L843" s="3" t="s">
        <v>228</v>
      </c>
      <c r="M843" s="4">
        <v>1103</v>
      </c>
      <c r="N843" s="3" t="s">
        <v>3616</v>
      </c>
      <c r="O843" s="3" t="s">
        <v>281</v>
      </c>
      <c r="P843" s="3" t="s">
        <v>3261</v>
      </c>
    </row>
    <row r="844" spans="1:16" hidden="1" x14ac:dyDescent="0.4">
      <c r="A844" s="7">
        <v>843</v>
      </c>
      <c r="B844" s="8" t="s">
        <v>3737</v>
      </c>
      <c r="C844" s="6" t="str">
        <f>IFERROR(IF(LEFT(D844,FIND(" ",D844)-1)="전라북도","전북특별자치도",LEFT(D844,FIND(" ",D844)-1)),"")</f>
        <v>경기도</v>
      </c>
      <c r="D844" s="3" t="s">
        <v>3738</v>
      </c>
      <c r="E844" s="3" t="s">
        <v>3739</v>
      </c>
      <c r="F844" s="3" t="s">
        <v>1781</v>
      </c>
      <c r="G844" s="3" t="s">
        <v>19</v>
      </c>
      <c r="H844" s="3" t="s">
        <v>2265</v>
      </c>
      <c r="I844" s="3" t="s">
        <v>19</v>
      </c>
      <c r="J844" s="3" t="s">
        <v>19</v>
      </c>
      <c r="K844" s="3" t="s">
        <v>21</v>
      </c>
      <c r="L844" s="3" t="s">
        <v>228</v>
      </c>
      <c r="M844" s="4">
        <v>122</v>
      </c>
      <c r="N844" s="3" t="s">
        <v>1507</v>
      </c>
      <c r="O844" s="3" t="s">
        <v>281</v>
      </c>
      <c r="P844" s="3" t="s">
        <v>3074</v>
      </c>
    </row>
    <row r="845" spans="1:16" hidden="1" x14ac:dyDescent="0.4">
      <c r="A845" s="7">
        <v>844</v>
      </c>
      <c r="B845" s="8" t="s">
        <v>3740</v>
      </c>
      <c r="C845" s="6" t="str">
        <f>IFERROR(IF(LEFT(D845,FIND(" ",D845)-1)="전라북도","전북특별자치도",LEFT(D845,FIND(" ",D845)-1)),"")</f>
        <v>경기도</v>
      </c>
      <c r="D845" s="3" t="s">
        <v>3741</v>
      </c>
      <c r="E845" s="3" t="s">
        <v>3020</v>
      </c>
      <c r="F845" s="3" t="s">
        <v>3742</v>
      </c>
      <c r="G845" s="3" t="s">
        <v>51</v>
      </c>
      <c r="H845" s="3" t="s">
        <v>19</v>
      </c>
      <c r="I845" s="3" t="s">
        <v>19</v>
      </c>
      <c r="J845" s="3" t="s">
        <v>51</v>
      </c>
      <c r="K845" s="3" t="s">
        <v>21</v>
      </c>
      <c r="L845" s="3" t="s">
        <v>147</v>
      </c>
      <c r="M845" s="4">
        <v>2600</v>
      </c>
      <c r="N845" s="3" t="s">
        <v>3616</v>
      </c>
      <c r="O845" s="3" t="s">
        <v>281</v>
      </c>
      <c r="P845" s="3" t="s">
        <v>3279</v>
      </c>
    </row>
    <row r="846" spans="1:16" hidden="1" x14ac:dyDescent="0.4">
      <c r="A846" s="7">
        <v>845</v>
      </c>
      <c r="B846" s="8" t="s">
        <v>3743</v>
      </c>
      <c r="C846" s="6" t="str">
        <f>IFERROR(IF(LEFT(D846,FIND(" ",D846)-1)="전라북도","전북특별자치도",LEFT(D846,FIND(" ",D846)-1)),"")</f>
        <v>경기도</v>
      </c>
      <c r="D846" s="3" t="s">
        <v>3744</v>
      </c>
      <c r="E846" s="3" t="s">
        <v>3093</v>
      </c>
      <c r="F846" s="3" t="s">
        <v>3436</v>
      </c>
      <c r="G846" s="3" t="s">
        <v>3745</v>
      </c>
      <c r="H846" s="3" t="s">
        <v>3746</v>
      </c>
      <c r="I846" s="3" t="s">
        <v>3746</v>
      </c>
      <c r="J846" s="3" t="s">
        <v>19</v>
      </c>
      <c r="K846" s="3" t="s">
        <v>21</v>
      </c>
      <c r="L846" s="3" t="s">
        <v>22</v>
      </c>
      <c r="M846" s="4">
        <v>303</v>
      </c>
      <c r="N846" s="3" t="s">
        <v>3616</v>
      </c>
      <c r="O846" s="3" t="s">
        <v>281</v>
      </c>
      <c r="P846" s="3" t="s">
        <v>2229</v>
      </c>
    </row>
    <row r="847" spans="1:16" hidden="1" x14ac:dyDescent="0.4">
      <c r="A847" s="7">
        <v>846</v>
      </c>
      <c r="B847" s="8" t="s">
        <v>3747</v>
      </c>
      <c r="C847" s="6" t="str">
        <f>IFERROR(IF(LEFT(D847,FIND(" ",D847)-1)="전라북도","전북특별자치도",LEFT(D847,FIND(" ",D847)-1)),"")</f>
        <v>경상북도</v>
      </c>
      <c r="D847" s="3" t="s">
        <v>3748</v>
      </c>
      <c r="E847" s="3" t="s">
        <v>1815</v>
      </c>
      <c r="F847" s="3" t="s">
        <v>3436</v>
      </c>
      <c r="G847" s="3" t="s">
        <v>19</v>
      </c>
      <c r="H847" s="3" t="s">
        <v>3749</v>
      </c>
      <c r="I847" s="3" t="s">
        <v>19</v>
      </c>
      <c r="J847" s="3" t="s">
        <v>19</v>
      </c>
      <c r="K847" s="3" t="s">
        <v>21</v>
      </c>
      <c r="L847" s="3" t="s">
        <v>147</v>
      </c>
      <c r="M847" s="4">
        <v>1060</v>
      </c>
      <c r="N847" s="3" t="s">
        <v>123</v>
      </c>
      <c r="O847" s="3" t="s">
        <v>281</v>
      </c>
      <c r="P847" s="3" t="s">
        <v>948</v>
      </c>
    </row>
    <row r="848" spans="1:16" hidden="1" x14ac:dyDescent="0.4">
      <c r="A848" s="7">
        <v>847</v>
      </c>
      <c r="B848" s="8" t="s">
        <v>3750</v>
      </c>
      <c r="C848" s="6" t="str">
        <f>IFERROR(IF(LEFT(D848,FIND(" ",D848)-1)="전라북도","전북특별자치도",LEFT(D848,FIND(" ",D848)-1)),"")</f>
        <v>경기도</v>
      </c>
      <c r="D848" s="3" t="s">
        <v>3751</v>
      </c>
      <c r="E848" s="3" t="s">
        <v>3752</v>
      </c>
      <c r="F848" s="3" t="s">
        <v>1815</v>
      </c>
      <c r="G848" s="3" t="s">
        <v>19</v>
      </c>
      <c r="H848" s="3" t="s">
        <v>210</v>
      </c>
      <c r="I848" s="3" t="s">
        <v>19</v>
      </c>
      <c r="J848" s="3" t="s">
        <v>19</v>
      </c>
      <c r="K848" s="3" t="s">
        <v>21</v>
      </c>
      <c r="L848" s="3" t="s">
        <v>147</v>
      </c>
      <c r="M848" s="4">
        <v>626</v>
      </c>
      <c r="N848" s="3" t="s">
        <v>3616</v>
      </c>
      <c r="O848" s="3" t="s">
        <v>281</v>
      </c>
      <c r="P848" s="3" t="s">
        <v>3365</v>
      </c>
    </row>
    <row r="849" spans="1:16" hidden="1" x14ac:dyDescent="0.4">
      <c r="A849" s="7">
        <v>848</v>
      </c>
      <c r="B849" s="8" t="s">
        <v>3753</v>
      </c>
      <c r="C849" s="6" t="str">
        <f>IFERROR(IF(LEFT(D849,FIND(" ",D849)-1)="전라북도","전북특별자치도",LEFT(D849,FIND(" ",D849)-1)),"")</f>
        <v>경기도</v>
      </c>
      <c r="D849" s="3" t="s">
        <v>3754</v>
      </c>
      <c r="E849" s="3" t="s">
        <v>3755</v>
      </c>
      <c r="F849" s="3" t="s">
        <v>1815</v>
      </c>
      <c r="G849" s="3" t="s">
        <v>2172</v>
      </c>
      <c r="H849" s="3" t="s">
        <v>1110</v>
      </c>
      <c r="I849" s="3" t="s">
        <v>1110</v>
      </c>
      <c r="J849" s="3" t="s">
        <v>19</v>
      </c>
      <c r="K849" s="3" t="s">
        <v>21</v>
      </c>
      <c r="L849" s="3" t="s">
        <v>22</v>
      </c>
      <c r="M849" s="4">
        <v>1066</v>
      </c>
      <c r="N849" s="3" t="s">
        <v>123</v>
      </c>
      <c r="O849" s="3" t="s">
        <v>281</v>
      </c>
      <c r="P849" s="3" t="s">
        <v>3560</v>
      </c>
    </row>
    <row r="850" spans="1:16" hidden="1" x14ac:dyDescent="0.4">
      <c r="A850" s="7">
        <v>849</v>
      </c>
      <c r="B850" s="8" t="s">
        <v>3756</v>
      </c>
      <c r="C850" s="6" t="str">
        <f>IFERROR(IF(LEFT(D850,FIND(" ",D850)-1)="전라북도","전북특별자치도",LEFT(D850,FIND(" ",D850)-1)),"")</f>
        <v>경기도</v>
      </c>
      <c r="D850" s="3" t="s">
        <v>3757</v>
      </c>
      <c r="E850" s="3" t="s">
        <v>3758</v>
      </c>
      <c r="F850" s="3" t="s">
        <v>3697</v>
      </c>
      <c r="G850" s="3" t="s">
        <v>3759</v>
      </c>
      <c r="H850" s="3" t="s">
        <v>3760</v>
      </c>
      <c r="I850" s="3" t="s">
        <v>3760</v>
      </c>
      <c r="J850" s="3" t="s">
        <v>51</v>
      </c>
      <c r="K850" s="3" t="s">
        <v>21</v>
      </c>
      <c r="L850" s="3" t="s">
        <v>22</v>
      </c>
      <c r="M850" s="4">
        <v>3562</v>
      </c>
      <c r="N850" s="3" t="s">
        <v>3616</v>
      </c>
      <c r="O850" s="3" t="s">
        <v>281</v>
      </c>
      <c r="P850" s="3" t="s">
        <v>2493</v>
      </c>
    </row>
    <row r="851" spans="1:16" hidden="1" x14ac:dyDescent="0.4">
      <c r="A851" s="7">
        <v>850</v>
      </c>
      <c r="B851" s="8" t="s">
        <v>3761</v>
      </c>
      <c r="C851" s="6" t="str">
        <f>IFERROR(IF(LEFT(D851,FIND(" ",D851)-1)="전라북도","전북특별자치도",LEFT(D851,FIND(" ",D851)-1)),"")</f>
        <v>경기도</v>
      </c>
      <c r="D851" s="3" t="s">
        <v>3762</v>
      </c>
      <c r="E851" s="3" t="s">
        <v>3763</v>
      </c>
      <c r="F851" s="3" t="s">
        <v>3739</v>
      </c>
      <c r="G851" s="3" t="s">
        <v>442</v>
      </c>
      <c r="H851" s="3" t="s">
        <v>953</v>
      </c>
      <c r="I851" s="3" t="s">
        <v>953</v>
      </c>
      <c r="J851" s="3" t="s">
        <v>19</v>
      </c>
      <c r="K851" s="3" t="s">
        <v>21</v>
      </c>
      <c r="L851" s="3" t="s">
        <v>22</v>
      </c>
      <c r="M851" s="4">
        <v>725</v>
      </c>
      <c r="N851" s="3" t="s">
        <v>84</v>
      </c>
      <c r="O851" s="3" t="s">
        <v>281</v>
      </c>
      <c r="P851" s="3" t="s">
        <v>3038</v>
      </c>
    </row>
    <row r="852" spans="1:16" hidden="1" x14ac:dyDescent="0.4">
      <c r="A852" s="7">
        <v>851</v>
      </c>
      <c r="B852" s="8" t="s">
        <v>3764</v>
      </c>
      <c r="C852" s="6" t="str">
        <f>IFERROR(IF(LEFT(D852,FIND(" ",D852)-1)="전라북도","전북특별자치도",LEFT(D852,FIND(" ",D852)-1)),"")</f>
        <v>경상남도</v>
      </c>
      <c r="D852" s="3" t="s">
        <v>3765</v>
      </c>
      <c r="E852" s="3" t="s">
        <v>3766</v>
      </c>
      <c r="F852" s="3" t="s">
        <v>3556</v>
      </c>
      <c r="G852" s="3" t="s">
        <v>3767</v>
      </c>
      <c r="H852" s="3" t="s">
        <v>3768</v>
      </c>
      <c r="I852" s="3" t="s">
        <v>19</v>
      </c>
      <c r="J852" s="3" t="s">
        <v>19</v>
      </c>
      <c r="K852" s="3" t="s">
        <v>21</v>
      </c>
      <c r="L852" s="3" t="s">
        <v>228</v>
      </c>
      <c r="M852" s="4">
        <v>1213</v>
      </c>
      <c r="N852" s="3" t="s">
        <v>3616</v>
      </c>
      <c r="O852" s="3" t="s">
        <v>281</v>
      </c>
      <c r="P852" s="3" t="s">
        <v>904</v>
      </c>
    </row>
    <row r="853" spans="1:16" hidden="1" x14ac:dyDescent="0.4">
      <c r="A853" s="7">
        <v>852</v>
      </c>
      <c r="B853" s="8" t="s">
        <v>3769</v>
      </c>
      <c r="C853" s="6" t="str">
        <f>IFERROR(IF(LEFT(D853,FIND(" ",D853)-1)="전라북도","전북특별자치도",LEFT(D853,FIND(" ",D853)-1)),"")</f>
        <v>인천광역시</v>
      </c>
      <c r="D853" s="3" t="s">
        <v>3770</v>
      </c>
      <c r="E853" s="3" t="s">
        <v>3771</v>
      </c>
      <c r="F853" s="3" t="s">
        <v>3733</v>
      </c>
      <c r="G853" s="3" t="s">
        <v>19</v>
      </c>
      <c r="H853" s="3" t="s">
        <v>1189</v>
      </c>
      <c r="I853" s="3" t="s">
        <v>19</v>
      </c>
      <c r="J853" s="3" t="s">
        <v>19</v>
      </c>
      <c r="K853" s="3" t="s">
        <v>21</v>
      </c>
      <c r="L853" s="3" t="s">
        <v>358</v>
      </c>
      <c r="M853" s="4">
        <v>485</v>
      </c>
      <c r="N853" s="3" t="s">
        <v>19</v>
      </c>
      <c r="O853" s="3" t="s">
        <v>281</v>
      </c>
      <c r="P853" s="3" t="s">
        <v>1113</v>
      </c>
    </row>
    <row r="854" spans="1:16" hidden="1" x14ac:dyDescent="0.4">
      <c r="A854" s="7">
        <v>853</v>
      </c>
      <c r="B854" s="8" t="s">
        <v>3772</v>
      </c>
      <c r="C854" s="6" t="str">
        <f>IFERROR(IF(LEFT(D854,FIND(" ",D854)-1)="전라북도","전북특별자치도",LEFT(D854,FIND(" ",D854)-1)),"")</f>
        <v>충청북도</v>
      </c>
      <c r="D854" s="3" t="s">
        <v>3773</v>
      </c>
      <c r="E854" s="3" t="s">
        <v>3144</v>
      </c>
      <c r="F854" s="3" t="s">
        <v>3733</v>
      </c>
      <c r="G854" s="3" t="s">
        <v>3774</v>
      </c>
      <c r="H854" s="3" t="s">
        <v>3775</v>
      </c>
      <c r="I854" s="3" t="s">
        <v>3775</v>
      </c>
      <c r="J854" s="3" t="s">
        <v>3776</v>
      </c>
      <c r="K854" s="3" t="s">
        <v>21</v>
      </c>
      <c r="L854" s="3" t="s">
        <v>22</v>
      </c>
      <c r="M854" s="4">
        <v>1638</v>
      </c>
      <c r="N854" s="3" t="s">
        <v>3616</v>
      </c>
      <c r="O854" s="3" t="s">
        <v>281</v>
      </c>
      <c r="P854" s="3" t="s">
        <v>814</v>
      </c>
    </row>
    <row r="855" spans="1:16" hidden="1" x14ac:dyDescent="0.4">
      <c r="A855" s="7">
        <v>854</v>
      </c>
      <c r="B855" s="8" t="s">
        <v>3777</v>
      </c>
      <c r="C855" s="6" t="str">
        <f>IFERROR(IF(LEFT(D855,FIND(" ",D855)-1)="전라북도","전북특별자치도",LEFT(D855,FIND(" ",D855)-1)),"")</f>
        <v>경기도</v>
      </c>
      <c r="D855" s="3" t="s">
        <v>3778</v>
      </c>
      <c r="E855" s="3" t="s">
        <v>3763</v>
      </c>
      <c r="F855" s="3" t="s">
        <v>3779</v>
      </c>
      <c r="G855" s="3" t="s">
        <v>1230</v>
      </c>
      <c r="H855" s="3" t="s">
        <v>953</v>
      </c>
      <c r="I855" s="3" t="s">
        <v>953</v>
      </c>
      <c r="J855" s="3" t="s">
        <v>19</v>
      </c>
      <c r="K855" s="3" t="s">
        <v>21</v>
      </c>
      <c r="L855" s="3" t="s">
        <v>22</v>
      </c>
      <c r="M855" s="4">
        <v>720</v>
      </c>
      <c r="N855" s="3" t="s">
        <v>3616</v>
      </c>
      <c r="O855" s="3" t="s">
        <v>281</v>
      </c>
      <c r="P855" s="3" t="s">
        <v>3293</v>
      </c>
    </row>
    <row r="856" spans="1:16" hidden="1" x14ac:dyDescent="0.4">
      <c r="A856" s="7">
        <v>855</v>
      </c>
      <c r="B856" s="8" t="s">
        <v>3780</v>
      </c>
      <c r="C856" s="6" t="str">
        <f>IFERROR(IF(LEFT(D856,FIND(" ",D856)-1)="전라북도","전북특별자치도",LEFT(D856,FIND(" ",D856)-1)),"")</f>
        <v>제주특별자치도</v>
      </c>
      <c r="D856" s="3" t="s">
        <v>3781</v>
      </c>
      <c r="E856" s="3" t="s">
        <v>3755</v>
      </c>
      <c r="F856" s="3" t="s">
        <v>3779</v>
      </c>
      <c r="G856" s="3" t="s">
        <v>3782</v>
      </c>
      <c r="H856" s="3" t="s">
        <v>3783</v>
      </c>
      <c r="I856" s="3" t="s">
        <v>1123</v>
      </c>
      <c r="J856" s="3" t="s">
        <v>19</v>
      </c>
      <c r="K856" s="3" t="s">
        <v>21</v>
      </c>
      <c r="L856" s="3" t="s">
        <v>22</v>
      </c>
      <c r="M856" s="4">
        <v>468</v>
      </c>
      <c r="N856" s="3" t="s">
        <v>3616</v>
      </c>
      <c r="O856" s="3" t="s">
        <v>281</v>
      </c>
      <c r="P856" s="3" t="s">
        <v>2755</v>
      </c>
    </row>
    <row r="857" spans="1:16" hidden="1" x14ac:dyDescent="0.4">
      <c r="A857" s="7">
        <v>856</v>
      </c>
      <c r="B857" s="8" t="s">
        <v>3784</v>
      </c>
      <c r="C857" s="6" t="str">
        <f>IFERROR(IF(LEFT(D857,FIND(" ",D857)-1)="전라북도","전북특별자치도",LEFT(D857,FIND(" ",D857)-1)),"")</f>
        <v>전북특별자치도</v>
      </c>
      <c r="D857" s="3" t="s">
        <v>3785</v>
      </c>
      <c r="E857" s="3" t="s">
        <v>3763</v>
      </c>
      <c r="F857" s="3" t="s">
        <v>3779</v>
      </c>
      <c r="G857" s="3" t="s">
        <v>3451</v>
      </c>
      <c r="H857" s="3" t="s">
        <v>3786</v>
      </c>
      <c r="I857" s="3" t="s">
        <v>3786</v>
      </c>
      <c r="J857" s="3" t="s">
        <v>3787</v>
      </c>
      <c r="K857" s="3" t="s">
        <v>21</v>
      </c>
      <c r="L857" s="3" t="s">
        <v>147</v>
      </c>
      <c r="M857" s="4">
        <v>11085</v>
      </c>
      <c r="N857" s="3" t="s">
        <v>3616</v>
      </c>
      <c r="O857" s="3" t="s">
        <v>281</v>
      </c>
      <c r="P857" s="3" t="s">
        <v>956</v>
      </c>
    </row>
    <row r="858" spans="1:16" hidden="1" x14ac:dyDescent="0.4">
      <c r="A858" s="7">
        <v>857</v>
      </c>
      <c r="B858" s="8" t="s">
        <v>3788</v>
      </c>
      <c r="C858" s="6" t="str">
        <f>IFERROR(IF(LEFT(D858,FIND(" ",D858)-1)="전라북도","전북특별자치도",LEFT(D858,FIND(" ",D858)-1)),"")</f>
        <v>대구광역시</v>
      </c>
      <c r="D858" s="3" t="s">
        <v>3789</v>
      </c>
      <c r="E858" s="3" t="s">
        <v>3790</v>
      </c>
      <c r="F858" s="3" t="s">
        <v>3779</v>
      </c>
      <c r="G858" s="3" t="s">
        <v>3791</v>
      </c>
      <c r="H858" s="3" t="s">
        <v>3792</v>
      </c>
      <c r="I858" s="3" t="s">
        <v>3792</v>
      </c>
      <c r="J858" s="3" t="s">
        <v>19</v>
      </c>
      <c r="K858" s="3" t="s">
        <v>21</v>
      </c>
      <c r="L858" s="3" t="s">
        <v>22</v>
      </c>
      <c r="M858" s="4">
        <v>1566</v>
      </c>
      <c r="N858" s="3" t="s">
        <v>3616</v>
      </c>
      <c r="O858" s="3" t="s">
        <v>281</v>
      </c>
      <c r="P858" s="3" t="s">
        <v>2688</v>
      </c>
    </row>
    <row r="859" spans="1:16" hidden="1" x14ac:dyDescent="0.4">
      <c r="A859" s="7">
        <v>858</v>
      </c>
      <c r="B859" s="8" t="s">
        <v>3793</v>
      </c>
      <c r="C859" s="6" t="str">
        <f>IFERROR(IF(LEFT(D859,FIND(" ",D859)-1)="전라북도","전북특별자치도",LEFT(D859,FIND(" ",D859)-1)),"")</f>
        <v>경상북도</v>
      </c>
      <c r="D859" s="3" t="s">
        <v>3794</v>
      </c>
      <c r="E859" s="3" t="s">
        <v>3795</v>
      </c>
      <c r="F859" s="3" t="s">
        <v>3779</v>
      </c>
      <c r="G859" s="3" t="s">
        <v>3796</v>
      </c>
      <c r="H859" s="3" t="s">
        <v>19</v>
      </c>
      <c r="I859" s="3" t="s">
        <v>3797</v>
      </c>
      <c r="J859" s="3" t="s">
        <v>3798</v>
      </c>
      <c r="K859" s="3" t="s">
        <v>21</v>
      </c>
      <c r="L859" s="3" t="s">
        <v>22</v>
      </c>
      <c r="M859" s="4">
        <v>2151</v>
      </c>
      <c r="N859" s="3" t="s">
        <v>3616</v>
      </c>
      <c r="O859" s="3" t="s">
        <v>281</v>
      </c>
      <c r="P859" s="3" t="s">
        <v>2593</v>
      </c>
    </row>
    <row r="860" spans="1:16" hidden="1" x14ac:dyDescent="0.4">
      <c r="A860" s="7">
        <v>859</v>
      </c>
      <c r="B860" s="8" t="s">
        <v>3799</v>
      </c>
      <c r="C860" s="6" t="str">
        <f>IFERROR(IF(LEFT(D860,FIND(" ",D860)-1)="전라북도","전북특별자치도",LEFT(D860,FIND(" ",D860)-1)),"")</f>
        <v>경기도</v>
      </c>
      <c r="D860" s="3" t="s">
        <v>3800</v>
      </c>
      <c r="E860" s="3" t="s">
        <v>3755</v>
      </c>
      <c r="F860" s="3" t="s">
        <v>3801</v>
      </c>
      <c r="G860" s="3" t="s">
        <v>2172</v>
      </c>
      <c r="H860" s="3" t="s">
        <v>1110</v>
      </c>
      <c r="I860" s="3" t="s">
        <v>1110</v>
      </c>
      <c r="J860" s="3" t="s">
        <v>19</v>
      </c>
      <c r="K860" s="3" t="s">
        <v>21</v>
      </c>
      <c r="L860" s="3" t="s">
        <v>22</v>
      </c>
      <c r="M860" s="4">
        <v>338</v>
      </c>
      <c r="N860" s="3" t="s">
        <v>123</v>
      </c>
      <c r="O860" s="3" t="s">
        <v>281</v>
      </c>
      <c r="P860" s="3" t="s">
        <v>3560</v>
      </c>
    </row>
    <row r="861" spans="1:16" hidden="1" x14ac:dyDescent="0.4">
      <c r="A861" s="7">
        <v>860</v>
      </c>
      <c r="B861" s="8" t="s">
        <v>3802</v>
      </c>
      <c r="C861" s="6" t="str">
        <f>IFERROR(IF(LEFT(D861,FIND(" ",D861)-1)="전라북도","전북특별자치도",LEFT(D861,FIND(" ",D861)-1)),"")</f>
        <v>경기도</v>
      </c>
      <c r="D861" s="3" t="s">
        <v>3803</v>
      </c>
      <c r="E861" s="3" t="s">
        <v>1268</v>
      </c>
      <c r="F861" s="3" t="s">
        <v>3801</v>
      </c>
      <c r="G861" s="3" t="s">
        <v>3301</v>
      </c>
      <c r="H861" s="3" t="s">
        <v>953</v>
      </c>
      <c r="I861" s="3" t="s">
        <v>953</v>
      </c>
      <c r="J861" s="3" t="s">
        <v>19</v>
      </c>
      <c r="K861" s="3" t="s">
        <v>21</v>
      </c>
      <c r="L861" s="3" t="s">
        <v>22</v>
      </c>
      <c r="M861" s="4">
        <v>474</v>
      </c>
      <c r="N861" s="3" t="s">
        <v>84</v>
      </c>
      <c r="O861" s="3" t="s">
        <v>281</v>
      </c>
      <c r="P861" s="3" t="s">
        <v>2796</v>
      </c>
    </row>
    <row r="862" spans="1:16" hidden="1" x14ac:dyDescent="0.4">
      <c r="A862" s="7">
        <v>861</v>
      </c>
      <c r="B862" s="8" t="s">
        <v>3804</v>
      </c>
      <c r="C862" s="6" t="str">
        <f>IFERROR(IF(LEFT(D862,FIND(" ",D862)-1)="전라북도","전북특별자치도",LEFT(D862,FIND(" ",D862)-1)),"")</f>
        <v>경기도</v>
      </c>
      <c r="D862" s="3" t="s">
        <v>3805</v>
      </c>
      <c r="E862" s="3" t="s">
        <v>3806</v>
      </c>
      <c r="F862" s="3" t="s">
        <v>3807</v>
      </c>
      <c r="G862" s="3" t="s">
        <v>3808</v>
      </c>
      <c r="H862" s="3" t="s">
        <v>3809</v>
      </c>
      <c r="I862" s="3" t="s">
        <v>3760</v>
      </c>
      <c r="J862" s="3" t="s">
        <v>19</v>
      </c>
      <c r="K862" s="3" t="s">
        <v>21</v>
      </c>
      <c r="L862" s="3" t="s">
        <v>22</v>
      </c>
      <c r="M862" s="4">
        <v>1490</v>
      </c>
      <c r="N862" s="3" t="s">
        <v>3616</v>
      </c>
      <c r="O862" s="3" t="s">
        <v>281</v>
      </c>
      <c r="P862" s="3" t="s">
        <v>2732</v>
      </c>
    </row>
    <row r="863" spans="1:16" hidden="1" x14ac:dyDescent="0.4">
      <c r="A863" s="7">
        <v>862</v>
      </c>
      <c r="B863" s="8" t="s">
        <v>3810</v>
      </c>
      <c r="C863" s="6" t="str">
        <f>IFERROR(IF(LEFT(D863,FIND(" ",D863)-1)="전라북도","전북특별자치도",LEFT(D863,FIND(" ",D863)-1)),"")</f>
        <v>부산광역시</v>
      </c>
      <c r="D863" s="3" t="s">
        <v>3811</v>
      </c>
      <c r="E863" s="3" t="s">
        <v>3144</v>
      </c>
      <c r="F863" s="3" t="s">
        <v>3812</v>
      </c>
      <c r="G863" s="3" t="s">
        <v>19</v>
      </c>
      <c r="H863" s="3" t="s">
        <v>3813</v>
      </c>
      <c r="I863" s="3" t="s">
        <v>3813</v>
      </c>
      <c r="J863" s="3" t="s">
        <v>19</v>
      </c>
      <c r="K863" s="3" t="s">
        <v>21</v>
      </c>
      <c r="L863" s="3" t="s">
        <v>228</v>
      </c>
      <c r="M863" s="4">
        <v>1050</v>
      </c>
      <c r="N863" s="3" t="s">
        <v>3616</v>
      </c>
      <c r="O863" s="3" t="s">
        <v>281</v>
      </c>
      <c r="P863" s="3" t="s">
        <v>3570</v>
      </c>
    </row>
    <row r="864" spans="1:16" hidden="1" x14ac:dyDescent="0.4">
      <c r="A864" s="7">
        <v>863</v>
      </c>
      <c r="B864" s="8" t="s">
        <v>3814</v>
      </c>
      <c r="C864" s="6" t="str">
        <f>IFERROR(IF(LEFT(D864,FIND(" ",D864)-1)="전라북도","전북특별자치도",LEFT(D864,FIND(" ",D864)-1)),"")</f>
        <v>경상남도</v>
      </c>
      <c r="D864" s="3" t="s">
        <v>3815</v>
      </c>
      <c r="E864" s="3" t="s">
        <v>3816</v>
      </c>
      <c r="F864" s="3" t="s">
        <v>3766</v>
      </c>
      <c r="G864" s="3" t="s">
        <v>3817</v>
      </c>
      <c r="H864" s="3" t="s">
        <v>3818</v>
      </c>
      <c r="I864" s="3" t="s">
        <v>3818</v>
      </c>
      <c r="J864" s="3" t="s">
        <v>19</v>
      </c>
      <c r="K864" s="3" t="s">
        <v>21</v>
      </c>
      <c r="L864" s="3" t="s">
        <v>22</v>
      </c>
      <c r="M864" s="4">
        <v>2727</v>
      </c>
      <c r="N864" s="3" t="s">
        <v>3616</v>
      </c>
      <c r="O864" s="3" t="s">
        <v>281</v>
      </c>
      <c r="P864" s="3" t="s">
        <v>1923</v>
      </c>
    </row>
    <row r="865" spans="1:16" hidden="1" x14ac:dyDescent="0.4">
      <c r="A865" s="7">
        <v>864</v>
      </c>
      <c r="B865" s="8" t="s">
        <v>3819</v>
      </c>
      <c r="C865" s="6" t="str">
        <f>IFERROR(IF(LEFT(D865,FIND(" ",D865)-1)="전라북도","전북특별자치도",LEFT(D865,FIND(" ",D865)-1)),"")</f>
        <v>전북특별자치도</v>
      </c>
      <c r="D865" s="3" t="s">
        <v>3375</v>
      </c>
      <c r="E865" s="3" t="s">
        <v>3642</v>
      </c>
      <c r="F865" s="3" t="s">
        <v>3820</v>
      </c>
      <c r="G865" s="3" t="s">
        <v>19</v>
      </c>
      <c r="H865" s="3" t="s">
        <v>436</v>
      </c>
      <c r="I865" s="3" t="s">
        <v>19</v>
      </c>
      <c r="J865" s="3" t="s">
        <v>19</v>
      </c>
      <c r="K865" s="3" t="s">
        <v>21</v>
      </c>
      <c r="L865" s="3" t="s">
        <v>147</v>
      </c>
      <c r="M865" s="4">
        <v>1355</v>
      </c>
      <c r="N865" s="3" t="s">
        <v>3616</v>
      </c>
      <c r="O865" s="3" t="s">
        <v>281</v>
      </c>
      <c r="P865" s="3" t="s">
        <v>3603</v>
      </c>
    </row>
    <row r="866" spans="1:16" hidden="1" x14ac:dyDescent="0.4">
      <c r="A866" s="7">
        <v>865</v>
      </c>
      <c r="B866" s="8" t="s">
        <v>3821</v>
      </c>
      <c r="C866" s="6" t="str">
        <f>IFERROR(IF(LEFT(D866,FIND(" ",D866)-1)="전라북도","전북특별자치도",LEFT(D866,FIND(" ",D866)-1)),"")</f>
        <v>경기도</v>
      </c>
      <c r="D866" s="3" t="s">
        <v>3822</v>
      </c>
      <c r="E866" s="3" t="s">
        <v>1283</v>
      </c>
      <c r="F866" s="3" t="s">
        <v>3823</v>
      </c>
      <c r="G866" s="3" t="s">
        <v>19</v>
      </c>
      <c r="H866" s="3" t="s">
        <v>3824</v>
      </c>
      <c r="I866" s="3" t="s">
        <v>19</v>
      </c>
      <c r="J866" s="3" t="s">
        <v>19</v>
      </c>
      <c r="K866" s="3" t="s">
        <v>21</v>
      </c>
      <c r="L866" s="3" t="s">
        <v>147</v>
      </c>
      <c r="M866" s="4">
        <v>690</v>
      </c>
      <c r="N866" s="3" t="s">
        <v>1507</v>
      </c>
      <c r="O866" s="3" t="s">
        <v>281</v>
      </c>
      <c r="P866" s="3" t="s">
        <v>3552</v>
      </c>
    </row>
    <row r="867" spans="1:16" hidden="1" x14ac:dyDescent="0.4">
      <c r="A867" s="7">
        <v>866</v>
      </c>
      <c r="B867" s="8" t="s">
        <v>3825</v>
      </c>
      <c r="C867" s="6" t="str">
        <f>IFERROR(IF(LEFT(D867,FIND(" ",D867)-1)="전라북도","전북특별자치도",LEFT(D867,FIND(" ",D867)-1)),"")</f>
        <v>경상남도</v>
      </c>
      <c r="D867" s="3" t="s">
        <v>3826</v>
      </c>
      <c r="E867" s="3" t="s">
        <v>3827</v>
      </c>
      <c r="F867" s="3" t="s">
        <v>3246</v>
      </c>
      <c r="G867" s="3" t="s">
        <v>3828</v>
      </c>
      <c r="H867" s="3" t="s">
        <v>3829</v>
      </c>
      <c r="I867" s="3" t="s">
        <v>3829</v>
      </c>
      <c r="J867" s="3" t="s">
        <v>3830</v>
      </c>
      <c r="K867" s="3" t="s">
        <v>21</v>
      </c>
      <c r="L867" s="3" t="s">
        <v>147</v>
      </c>
      <c r="M867" s="4">
        <v>5740</v>
      </c>
      <c r="N867" s="3" t="s">
        <v>3616</v>
      </c>
      <c r="O867" s="3" t="s">
        <v>281</v>
      </c>
      <c r="P867" s="3" t="s">
        <v>2398</v>
      </c>
    </row>
    <row r="868" spans="1:16" hidden="1" x14ac:dyDescent="0.4">
      <c r="A868" s="7">
        <v>867</v>
      </c>
      <c r="B868" s="8" t="s">
        <v>3831</v>
      </c>
      <c r="C868" s="6" t="str">
        <f>IFERROR(IF(LEFT(D868,FIND(" ",D868)-1)="전라북도","전북특별자치도",LEFT(D868,FIND(" ",D868)-1)),"")</f>
        <v>경상남도</v>
      </c>
      <c r="D868" s="3" t="s">
        <v>3832</v>
      </c>
      <c r="E868" s="3" t="s">
        <v>3833</v>
      </c>
      <c r="F868" s="3" t="s">
        <v>3834</v>
      </c>
      <c r="G868" s="3" t="s">
        <v>1670</v>
      </c>
      <c r="H868" s="3" t="s">
        <v>3835</v>
      </c>
      <c r="I868" s="3" t="s">
        <v>19</v>
      </c>
      <c r="J868" s="3" t="s">
        <v>3836</v>
      </c>
      <c r="K868" s="3" t="s">
        <v>21</v>
      </c>
      <c r="L868" s="3" t="s">
        <v>228</v>
      </c>
      <c r="M868" s="4">
        <v>659</v>
      </c>
      <c r="N868" s="3" t="s">
        <v>19</v>
      </c>
      <c r="O868" s="3" t="s">
        <v>281</v>
      </c>
      <c r="P868" s="3" t="s">
        <v>3261</v>
      </c>
    </row>
    <row r="869" spans="1:16" hidden="1" x14ac:dyDescent="0.4">
      <c r="A869" s="7">
        <v>868</v>
      </c>
      <c r="B869" s="8" t="s">
        <v>3837</v>
      </c>
      <c r="C869" s="6" t="str">
        <f>IFERROR(IF(LEFT(D869,FIND(" ",D869)-1)="전라북도","전북특별자치도",LEFT(D869,FIND(" ",D869)-1)),"")</f>
        <v>경상남도</v>
      </c>
      <c r="D869" s="3" t="s">
        <v>3832</v>
      </c>
      <c r="E869" s="3" t="s">
        <v>3833</v>
      </c>
      <c r="F869" s="3" t="s">
        <v>3834</v>
      </c>
      <c r="G869" s="3" t="s">
        <v>1670</v>
      </c>
      <c r="H869" s="3" t="s">
        <v>3835</v>
      </c>
      <c r="I869" s="3" t="s">
        <v>19</v>
      </c>
      <c r="J869" s="3" t="s">
        <v>3836</v>
      </c>
      <c r="K869" s="3" t="s">
        <v>21</v>
      </c>
      <c r="L869" s="3" t="s">
        <v>228</v>
      </c>
      <c r="M869" s="4">
        <v>659</v>
      </c>
      <c r="N869" s="3" t="s">
        <v>19</v>
      </c>
      <c r="O869" s="3" t="s">
        <v>281</v>
      </c>
      <c r="P869" s="3" t="s">
        <v>3261</v>
      </c>
    </row>
    <row r="870" spans="1:16" hidden="1" x14ac:dyDescent="0.4">
      <c r="A870" s="7">
        <v>869</v>
      </c>
      <c r="B870" s="8" t="s">
        <v>3838</v>
      </c>
      <c r="C870" s="6" t="str">
        <f>IFERROR(IF(LEFT(D870,FIND(" ",D870)-1)="전라북도","전북특별자치도",LEFT(D870,FIND(" ",D870)-1)),"")</f>
        <v>경기도</v>
      </c>
      <c r="D870" s="3" t="s">
        <v>3839</v>
      </c>
      <c r="E870" s="3" t="s">
        <v>3840</v>
      </c>
      <c r="F870" s="3" t="s">
        <v>3841</v>
      </c>
      <c r="G870" s="3" t="s">
        <v>19</v>
      </c>
      <c r="H870" s="3" t="s">
        <v>210</v>
      </c>
      <c r="I870" s="3" t="s">
        <v>210</v>
      </c>
      <c r="J870" s="3" t="s">
        <v>19</v>
      </c>
      <c r="K870" s="3" t="s">
        <v>21</v>
      </c>
      <c r="L870" s="3" t="s">
        <v>147</v>
      </c>
      <c r="M870" s="4">
        <v>495</v>
      </c>
      <c r="N870" s="3" t="s">
        <v>211</v>
      </c>
      <c r="O870" s="3" t="s">
        <v>281</v>
      </c>
      <c r="P870" s="3" t="s">
        <v>2126</v>
      </c>
    </row>
    <row r="871" spans="1:16" hidden="1" x14ac:dyDescent="0.4">
      <c r="A871" s="7">
        <v>870</v>
      </c>
      <c r="B871" s="8" t="s">
        <v>3842</v>
      </c>
      <c r="C871" s="6" t="str">
        <f>IFERROR(IF(LEFT(D871,FIND(" ",D871)-1)="전라북도","전북특별자치도",LEFT(D871,FIND(" ",D871)-1)),"")</f>
        <v>경상북도</v>
      </c>
      <c r="D871" s="3" t="s">
        <v>3843</v>
      </c>
      <c r="E871" s="3" t="s">
        <v>1326</v>
      </c>
      <c r="F871" s="3" t="s">
        <v>3763</v>
      </c>
      <c r="G871" s="3" t="s">
        <v>3844</v>
      </c>
      <c r="H871" s="3" t="s">
        <v>3845</v>
      </c>
      <c r="I871" s="3" t="s">
        <v>19</v>
      </c>
      <c r="J871" s="3" t="s">
        <v>3844</v>
      </c>
      <c r="K871" s="3" t="s">
        <v>21</v>
      </c>
      <c r="L871" s="3" t="s">
        <v>147</v>
      </c>
      <c r="M871" s="4">
        <v>1020</v>
      </c>
      <c r="N871" s="3" t="s">
        <v>3616</v>
      </c>
      <c r="O871" s="3" t="s">
        <v>281</v>
      </c>
      <c r="P871" s="3" t="s">
        <v>1610</v>
      </c>
    </row>
    <row r="872" spans="1:16" hidden="1" x14ac:dyDescent="0.4">
      <c r="A872" s="7">
        <v>871</v>
      </c>
      <c r="B872" s="8" t="s">
        <v>3846</v>
      </c>
      <c r="C872" s="6" t="str">
        <f>IFERROR(IF(LEFT(D872,FIND(" ",D872)-1)="전라북도","전북특별자치도",LEFT(D872,FIND(" ",D872)-1)),"")</f>
        <v>대구광역시</v>
      </c>
      <c r="D872" s="3" t="s">
        <v>3847</v>
      </c>
      <c r="E872" s="3" t="s">
        <v>3848</v>
      </c>
      <c r="F872" s="3" t="s">
        <v>1264</v>
      </c>
      <c r="G872" s="3" t="s">
        <v>3139</v>
      </c>
      <c r="H872" s="3" t="s">
        <v>3849</v>
      </c>
      <c r="I872" s="3" t="s">
        <v>3849</v>
      </c>
      <c r="J872" s="3" t="s">
        <v>3850</v>
      </c>
      <c r="K872" s="3" t="s">
        <v>21</v>
      </c>
      <c r="L872" s="3" t="s">
        <v>228</v>
      </c>
      <c r="M872" s="4">
        <v>2981</v>
      </c>
      <c r="N872" s="3" t="s">
        <v>3616</v>
      </c>
      <c r="O872" s="3" t="s">
        <v>281</v>
      </c>
      <c r="P872" s="3" t="s">
        <v>1896</v>
      </c>
    </row>
    <row r="873" spans="1:16" hidden="1" x14ac:dyDescent="0.4">
      <c r="A873" s="7">
        <v>872</v>
      </c>
      <c r="B873" s="8" t="s">
        <v>3851</v>
      </c>
      <c r="C873" s="6" t="str">
        <f>IFERROR(IF(LEFT(D873,FIND(" ",D873)-1)="전라북도","전북특별자치도",LEFT(D873,FIND(" ",D873)-1)),"")</f>
        <v>부산광역시</v>
      </c>
      <c r="D873" s="3" t="s">
        <v>3852</v>
      </c>
      <c r="E873" s="3" t="s">
        <v>2006</v>
      </c>
      <c r="F873" s="3" t="s">
        <v>1264</v>
      </c>
      <c r="G873" s="3" t="s">
        <v>3853</v>
      </c>
      <c r="H873" s="3" t="s">
        <v>3854</v>
      </c>
      <c r="I873" s="3" t="s">
        <v>3854</v>
      </c>
      <c r="J873" s="3" t="s">
        <v>19</v>
      </c>
      <c r="K873" s="3" t="s">
        <v>21</v>
      </c>
      <c r="L873" s="3" t="s">
        <v>228</v>
      </c>
      <c r="M873" s="4">
        <v>2207</v>
      </c>
      <c r="N873" s="3" t="s">
        <v>3616</v>
      </c>
      <c r="O873" s="3" t="s">
        <v>281</v>
      </c>
      <c r="P873" s="3" t="s">
        <v>3242</v>
      </c>
    </row>
    <row r="874" spans="1:16" hidden="1" x14ac:dyDescent="0.4">
      <c r="A874" s="7">
        <v>873</v>
      </c>
      <c r="B874" s="8" t="s">
        <v>3855</v>
      </c>
      <c r="C874" s="6" t="str">
        <f>IFERROR(IF(LEFT(D874,FIND(" ",D874)-1)="전라북도","전북특별자치도",LEFT(D874,FIND(" ",D874)-1)),"")</f>
        <v>충청북도</v>
      </c>
      <c r="D874" s="3" t="s">
        <v>3856</v>
      </c>
      <c r="E874" s="3" t="s">
        <v>3857</v>
      </c>
      <c r="F874" s="3" t="s">
        <v>3520</v>
      </c>
      <c r="G874" s="3" t="s">
        <v>1941</v>
      </c>
      <c r="H874" s="3" t="s">
        <v>2573</v>
      </c>
      <c r="I874" s="3" t="s">
        <v>2573</v>
      </c>
      <c r="J874" s="3" t="s">
        <v>19</v>
      </c>
      <c r="K874" s="3" t="s">
        <v>21</v>
      </c>
      <c r="L874" s="3" t="s">
        <v>22</v>
      </c>
      <c r="M874" s="4">
        <v>1383</v>
      </c>
      <c r="N874" s="3" t="s">
        <v>3616</v>
      </c>
      <c r="O874" s="3" t="s">
        <v>281</v>
      </c>
      <c r="P874" s="3" t="s">
        <v>943</v>
      </c>
    </row>
    <row r="875" spans="1:16" hidden="1" x14ac:dyDescent="0.4">
      <c r="A875" s="7">
        <v>874</v>
      </c>
      <c r="B875" s="8" t="s">
        <v>3858</v>
      </c>
      <c r="C875" s="6" t="str">
        <f>IFERROR(IF(LEFT(D875,FIND(" ",D875)-1)="전라북도","전북특별자치도",LEFT(D875,FIND(" ",D875)-1)),"")</f>
        <v>대전광역시</v>
      </c>
      <c r="D875" s="3" t="s">
        <v>3352</v>
      </c>
      <c r="E875" s="3" t="s">
        <v>3859</v>
      </c>
      <c r="F875" s="3" t="s">
        <v>1313</v>
      </c>
      <c r="G875" s="3" t="s">
        <v>3860</v>
      </c>
      <c r="H875" s="3" t="s">
        <v>3354</v>
      </c>
      <c r="I875" s="3" t="s">
        <v>3354</v>
      </c>
      <c r="J875" s="3" t="s">
        <v>19</v>
      </c>
      <c r="K875" s="3" t="s">
        <v>21</v>
      </c>
      <c r="L875" s="3" t="s">
        <v>22</v>
      </c>
      <c r="M875" s="4">
        <v>589</v>
      </c>
      <c r="N875" s="3" t="s">
        <v>3616</v>
      </c>
      <c r="O875" s="3" t="s">
        <v>281</v>
      </c>
      <c r="P875" s="3" t="s">
        <v>2877</v>
      </c>
    </row>
    <row r="876" spans="1:16" hidden="1" x14ac:dyDescent="0.4">
      <c r="A876" s="7">
        <v>875</v>
      </c>
      <c r="B876" s="8" t="s">
        <v>3861</v>
      </c>
      <c r="C876" s="6" t="str">
        <f>IFERROR(IF(LEFT(D876,FIND(" ",D876)-1)="전라북도","전북특별자치도",LEFT(D876,FIND(" ",D876)-1)),"")</f>
        <v>경기도</v>
      </c>
      <c r="D876" s="3" t="s">
        <v>3862</v>
      </c>
      <c r="E876" s="3" t="s">
        <v>3857</v>
      </c>
      <c r="F876" s="3" t="s">
        <v>1963</v>
      </c>
      <c r="G876" s="3" t="s">
        <v>3433</v>
      </c>
      <c r="H876" s="3" t="s">
        <v>3710</v>
      </c>
      <c r="I876" s="3" t="s">
        <v>19</v>
      </c>
      <c r="J876" s="3" t="s">
        <v>19</v>
      </c>
      <c r="K876" s="3" t="s">
        <v>21</v>
      </c>
      <c r="L876" s="3" t="s">
        <v>22</v>
      </c>
      <c r="M876" s="4">
        <v>566</v>
      </c>
      <c r="N876" s="3" t="s">
        <v>3616</v>
      </c>
      <c r="O876" s="3" t="s">
        <v>281</v>
      </c>
      <c r="P876" s="3" t="s">
        <v>3068</v>
      </c>
    </row>
    <row r="877" spans="1:16" hidden="1" x14ac:dyDescent="0.4">
      <c r="A877" s="7">
        <v>876</v>
      </c>
      <c r="B877" s="8" t="s">
        <v>3863</v>
      </c>
      <c r="C877" s="6" t="str">
        <f>IFERROR(IF(LEFT(D877,FIND(" ",D877)-1)="전라북도","전북특별자치도",LEFT(D877,FIND(" ",D877)-1)),"")</f>
        <v>인천광역시</v>
      </c>
      <c r="D877" s="3" t="s">
        <v>3864</v>
      </c>
      <c r="E877" s="3" t="s">
        <v>3865</v>
      </c>
      <c r="F877" s="3" t="s">
        <v>3859</v>
      </c>
      <c r="G877" s="3" t="s">
        <v>3866</v>
      </c>
      <c r="H877" s="3" t="s">
        <v>3017</v>
      </c>
      <c r="I877" s="3" t="s">
        <v>3017</v>
      </c>
      <c r="J877" s="3" t="s">
        <v>19</v>
      </c>
      <c r="K877" s="3" t="s">
        <v>21</v>
      </c>
      <c r="L877" s="3" t="s">
        <v>22</v>
      </c>
      <c r="M877" s="4">
        <v>862</v>
      </c>
      <c r="N877" s="3" t="s">
        <v>3616</v>
      </c>
      <c r="O877" s="3" t="s">
        <v>281</v>
      </c>
      <c r="P877" s="3" t="s">
        <v>3038</v>
      </c>
    </row>
    <row r="878" spans="1:16" hidden="1" x14ac:dyDescent="0.4">
      <c r="A878" s="7">
        <v>877</v>
      </c>
      <c r="B878" s="8" t="s">
        <v>3867</v>
      </c>
      <c r="C878" s="6" t="str">
        <f>IFERROR(IF(LEFT(D878,FIND(" ",D878)-1)="전라북도","전북특별자치도",LEFT(D878,FIND(" ",D878)-1)),"")</f>
        <v>경기도</v>
      </c>
      <c r="D878" s="3" t="s">
        <v>3868</v>
      </c>
      <c r="E878" s="3" t="s">
        <v>1765</v>
      </c>
      <c r="F878" s="3" t="s">
        <v>3705</v>
      </c>
      <c r="G878" s="3" t="s">
        <v>19</v>
      </c>
      <c r="H878" s="3" t="s">
        <v>210</v>
      </c>
      <c r="I878" s="3" t="s">
        <v>210</v>
      </c>
      <c r="J878" s="3" t="s">
        <v>19</v>
      </c>
      <c r="K878" s="3" t="s">
        <v>21</v>
      </c>
      <c r="L878" s="3" t="s">
        <v>147</v>
      </c>
      <c r="M878" s="4">
        <v>372</v>
      </c>
      <c r="N878" s="3" t="s">
        <v>211</v>
      </c>
      <c r="O878" s="3" t="s">
        <v>281</v>
      </c>
      <c r="P878" s="3" t="s">
        <v>3869</v>
      </c>
    </row>
    <row r="879" spans="1:16" hidden="1" x14ac:dyDescent="0.4">
      <c r="A879" s="7">
        <v>878</v>
      </c>
      <c r="B879" s="8" t="s">
        <v>3870</v>
      </c>
      <c r="C879" s="6" t="str">
        <f>IFERROR(IF(LEFT(D879,FIND(" ",D879)-1)="전라북도","전북특별자치도",LEFT(D879,FIND(" ",D879)-1)),"")</f>
        <v>경상북도</v>
      </c>
      <c r="D879" s="3" t="s">
        <v>3871</v>
      </c>
      <c r="E879" s="3" t="s">
        <v>3872</v>
      </c>
      <c r="F879" s="3" t="s">
        <v>3857</v>
      </c>
      <c r="G879" s="3" t="s">
        <v>3873</v>
      </c>
      <c r="H879" s="3" t="s">
        <v>3874</v>
      </c>
      <c r="I879" s="3" t="s">
        <v>3875</v>
      </c>
      <c r="J879" s="3" t="s">
        <v>19</v>
      </c>
      <c r="K879" s="3" t="s">
        <v>21</v>
      </c>
      <c r="L879" s="3" t="s">
        <v>147</v>
      </c>
      <c r="M879" s="4">
        <v>1198</v>
      </c>
      <c r="N879" s="3" t="s">
        <v>3616</v>
      </c>
      <c r="O879" s="3" t="s">
        <v>281</v>
      </c>
      <c r="P879" s="3" t="s">
        <v>3493</v>
      </c>
    </row>
    <row r="880" spans="1:16" hidden="1" x14ac:dyDescent="0.4">
      <c r="A880" s="7">
        <v>879</v>
      </c>
      <c r="B880" s="8" t="s">
        <v>3876</v>
      </c>
      <c r="C880" s="6" t="str">
        <f>IFERROR(IF(LEFT(D880,FIND(" ",D880)-1)="전라북도","전북특별자치도",LEFT(D880,FIND(" ",D880)-1)),"")</f>
        <v>경기도</v>
      </c>
      <c r="D880" s="3" t="s">
        <v>3877</v>
      </c>
      <c r="E880" s="3" t="s">
        <v>3694</v>
      </c>
      <c r="F880" s="3" t="s">
        <v>3857</v>
      </c>
      <c r="G880" s="3" t="s">
        <v>3878</v>
      </c>
      <c r="H880" s="3" t="s">
        <v>3879</v>
      </c>
      <c r="I880" s="3" t="s">
        <v>3879</v>
      </c>
      <c r="J880" s="3" t="s">
        <v>19</v>
      </c>
      <c r="K880" s="3" t="s">
        <v>21</v>
      </c>
      <c r="L880" s="3" t="s">
        <v>147</v>
      </c>
      <c r="M880" s="4">
        <v>1906</v>
      </c>
      <c r="N880" s="3" t="s">
        <v>3616</v>
      </c>
      <c r="O880" s="3" t="s">
        <v>281</v>
      </c>
      <c r="P880" s="3" t="s">
        <v>2968</v>
      </c>
    </row>
    <row r="881" spans="1:16" hidden="1" x14ac:dyDescent="0.4">
      <c r="A881" s="7">
        <v>880</v>
      </c>
      <c r="B881" s="8" t="s">
        <v>3880</v>
      </c>
      <c r="C881" s="6" t="str">
        <f>IFERROR(IF(LEFT(D881,FIND(" ",D881)-1)="전라북도","전북특별자치도",LEFT(D881,FIND(" ",D881)-1)),"")</f>
        <v>충청북도</v>
      </c>
      <c r="D881" s="3" t="s">
        <v>3881</v>
      </c>
      <c r="E881" s="3" t="s">
        <v>3882</v>
      </c>
      <c r="F881" s="3" t="s">
        <v>3883</v>
      </c>
      <c r="G881" s="3" t="s">
        <v>3884</v>
      </c>
      <c r="H881" s="3" t="s">
        <v>3885</v>
      </c>
      <c r="I881" s="3" t="s">
        <v>3885</v>
      </c>
      <c r="J881" s="3" t="s">
        <v>3886</v>
      </c>
      <c r="K881" s="3" t="s">
        <v>21</v>
      </c>
      <c r="L881" s="3" t="s">
        <v>22</v>
      </c>
      <c r="M881" s="4">
        <v>2992</v>
      </c>
      <c r="N881" s="3" t="s">
        <v>19</v>
      </c>
      <c r="O881" s="3" t="s">
        <v>281</v>
      </c>
      <c r="P881" s="3" t="s">
        <v>3015</v>
      </c>
    </row>
    <row r="882" spans="1:16" hidden="1" x14ac:dyDescent="0.4">
      <c r="A882" s="7">
        <v>881</v>
      </c>
      <c r="B882" s="8" t="s">
        <v>2850</v>
      </c>
      <c r="C882" s="6" t="str">
        <f>IFERROR(IF(LEFT(D882,FIND(" ",D882)-1)="전라북도","전북특별자치도",LEFT(D882,FIND(" ",D882)-1)),"")</f>
        <v>경기도</v>
      </c>
      <c r="D882" s="3" t="s">
        <v>2851</v>
      </c>
      <c r="E882" s="3" t="s">
        <v>3887</v>
      </c>
      <c r="F882" s="3" t="s">
        <v>3888</v>
      </c>
      <c r="G882" s="3" t="s">
        <v>3889</v>
      </c>
      <c r="H882" s="3" t="s">
        <v>2852</v>
      </c>
      <c r="I882" s="3" t="s">
        <v>2852</v>
      </c>
      <c r="J882" s="3" t="s">
        <v>19</v>
      </c>
      <c r="K882" s="3" t="s">
        <v>21</v>
      </c>
      <c r="L882" s="3" t="s">
        <v>228</v>
      </c>
      <c r="M882" s="4">
        <v>1261</v>
      </c>
      <c r="N882" s="3" t="s">
        <v>3616</v>
      </c>
      <c r="O882" s="3" t="s">
        <v>281</v>
      </c>
      <c r="P882" s="3" t="s">
        <v>3159</v>
      </c>
    </row>
    <row r="883" spans="1:16" hidden="1" x14ac:dyDescent="0.4">
      <c r="A883" s="7">
        <v>882</v>
      </c>
      <c r="B883" s="8" t="s">
        <v>3890</v>
      </c>
      <c r="C883" s="6" t="str">
        <f>IFERROR(IF(LEFT(D883,FIND(" ",D883)-1)="전라북도","전북특별자치도",LEFT(D883,FIND(" ",D883)-1)),"")</f>
        <v>인천광역시</v>
      </c>
      <c r="D883" s="3" t="s">
        <v>3891</v>
      </c>
      <c r="E883" s="3" t="s">
        <v>3098</v>
      </c>
      <c r="F883" s="3" t="s">
        <v>3888</v>
      </c>
      <c r="G883" s="3" t="s">
        <v>3706</v>
      </c>
      <c r="H883" s="3" t="s">
        <v>3017</v>
      </c>
      <c r="I883" s="3" t="s">
        <v>3017</v>
      </c>
      <c r="J883" s="3" t="s">
        <v>19</v>
      </c>
      <c r="K883" s="3" t="s">
        <v>21</v>
      </c>
      <c r="L883" s="3" t="s">
        <v>22</v>
      </c>
      <c r="M883" s="4">
        <v>731</v>
      </c>
      <c r="N883" s="3" t="s">
        <v>3616</v>
      </c>
      <c r="O883" s="3" t="s">
        <v>281</v>
      </c>
      <c r="P883" s="3" t="s">
        <v>3892</v>
      </c>
    </row>
    <row r="884" spans="1:16" hidden="1" x14ac:dyDescent="0.4">
      <c r="A884" s="7">
        <v>883</v>
      </c>
      <c r="B884" s="8" t="s">
        <v>3893</v>
      </c>
      <c r="C884" s="6" t="str">
        <f>IFERROR(IF(LEFT(D884,FIND(" ",D884)-1)="전라북도","전북특별자치도",LEFT(D884,FIND(" ",D884)-1)),"")</f>
        <v>전북특별자치도</v>
      </c>
      <c r="D884" s="3" t="s">
        <v>3894</v>
      </c>
      <c r="E884" s="3" t="s">
        <v>3816</v>
      </c>
      <c r="F884" s="3" t="s">
        <v>3758</v>
      </c>
      <c r="G884" s="3" t="s">
        <v>3895</v>
      </c>
      <c r="H884" s="3" t="s">
        <v>3896</v>
      </c>
      <c r="I884" s="3" t="s">
        <v>19</v>
      </c>
      <c r="J884" s="3" t="s">
        <v>19</v>
      </c>
      <c r="K884" s="3" t="s">
        <v>21</v>
      </c>
      <c r="L884" s="3" t="s">
        <v>147</v>
      </c>
      <c r="M884" s="4">
        <v>744</v>
      </c>
      <c r="N884" s="3" t="s">
        <v>19</v>
      </c>
      <c r="O884" s="3" t="s">
        <v>281</v>
      </c>
      <c r="P884" s="3" t="s">
        <v>1703</v>
      </c>
    </row>
    <row r="885" spans="1:16" hidden="1" x14ac:dyDescent="0.4">
      <c r="A885" s="7">
        <v>884</v>
      </c>
      <c r="B885" s="8" t="s">
        <v>3897</v>
      </c>
      <c r="C885" s="6" t="str">
        <f>IFERROR(IF(LEFT(D885,FIND(" ",D885)-1)="전라북도","전북특별자치도",LEFT(D885,FIND(" ",D885)-1)),"")</f>
        <v>전라남도</v>
      </c>
      <c r="D885" s="3" t="s">
        <v>3898</v>
      </c>
      <c r="E885" s="3" t="s">
        <v>3872</v>
      </c>
      <c r="F885" s="3" t="s">
        <v>3899</v>
      </c>
      <c r="G885" s="3" t="s">
        <v>3900</v>
      </c>
      <c r="H885" s="3" t="s">
        <v>3901</v>
      </c>
      <c r="I885" s="3" t="s">
        <v>3901</v>
      </c>
      <c r="J885" s="3" t="s">
        <v>19</v>
      </c>
      <c r="K885" s="3" t="s">
        <v>21</v>
      </c>
      <c r="L885" s="3" t="s">
        <v>147</v>
      </c>
      <c r="M885" s="4">
        <v>592</v>
      </c>
      <c r="N885" s="3" t="s">
        <v>3616</v>
      </c>
      <c r="O885" s="3" t="s">
        <v>281</v>
      </c>
      <c r="P885" s="3" t="s">
        <v>3377</v>
      </c>
    </row>
    <row r="886" spans="1:16" hidden="1" x14ac:dyDescent="0.4">
      <c r="A886" s="7">
        <v>885</v>
      </c>
      <c r="B886" s="8" t="s">
        <v>3902</v>
      </c>
      <c r="C886" s="6" t="str">
        <f>IFERROR(IF(LEFT(D886,FIND(" ",D886)-1)="전라북도","전북특별자치도",LEFT(D886,FIND(" ",D886)-1)),"")</f>
        <v>전라남도</v>
      </c>
      <c r="D886" s="3" t="s">
        <v>3903</v>
      </c>
      <c r="E886" s="3" t="s">
        <v>3806</v>
      </c>
      <c r="F886" s="3" t="s">
        <v>3899</v>
      </c>
      <c r="G886" s="3" t="s">
        <v>3904</v>
      </c>
      <c r="H886" s="3" t="s">
        <v>916</v>
      </c>
      <c r="I886" s="3" t="s">
        <v>916</v>
      </c>
      <c r="J886" s="3" t="s">
        <v>19</v>
      </c>
      <c r="K886" s="3" t="s">
        <v>21</v>
      </c>
      <c r="L886" s="3" t="s">
        <v>22</v>
      </c>
      <c r="M886" s="4">
        <v>1491</v>
      </c>
      <c r="N886" s="3" t="s">
        <v>3616</v>
      </c>
      <c r="O886" s="3" t="s">
        <v>281</v>
      </c>
      <c r="P886" s="3" t="s">
        <v>2937</v>
      </c>
    </row>
    <row r="887" spans="1:16" hidden="1" x14ac:dyDescent="0.4">
      <c r="A887" s="7">
        <v>886</v>
      </c>
      <c r="B887" s="8" t="s">
        <v>3905</v>
      </c>
      <c r="C887" s="6" t="str">
        <f>IFERROR(IF(LEFT(D887,FIND(" ",D887)-1)="전라북도","전북특별자치도",LEFT(D887,FIND(" ",D887)-1)),"")</f>
        <v>경기도</v>
      </c>
      <c r="D887" s="3" t="s">
        <v>3906</v>
      </c>
      <c r="E887" s="3" t="s">
        <v>1472</v>
      </c>
      <c r="F887" s="3" t="s">
        <v>3907</v>
      </c>
      <c r="G887" s="3" t="s">
        <v>19</v>
      </c>
      <c r="H887" s="3" t="s">
        <v>1704</v>
      </c>
      <c r="I887" s="3" t="s">
        <v>19</v>
      </c>
      <c r="J887" s="3" t="s">
        <v>19</v>
      </c>
      <c r="K887" s="3" t="s">
        <v>21</v>
      </c>
      <c r="L887" s="3" t="s">
        <v>22</v>
      </c>
      <c r="M887" s="4">
        <v>450</v>
      </c>
      <c r="N887" s="3" t="s">
        <v>84</v>
      </c>
      <c r="O887" s="3" t="s">
        <v>281</v>
      </c>
      <c r="P887" s="3" t="s">
        <v>3908</v>
      </c>
    </row>
    <row r="888" spans="1:16" hidden="1" x14ac:dyDescent="0.4">
      <c r="A888" s="7">
        <v>887</v>
      </c>
      <c r="B888" s="8" t="s">
        <v>2511</v>
      </c>
      <c r="C888" s="6" t="str">
        <f>IFERROR(IF(LEFT(D888,FIND(" ",D888)-1)="전라북도","전북특별자치도",LEFT(D888,FIND(" ",D888)-1)),"")</f>
        <v>경기도</v>
      </c>
      <c r="D888" s="3" t="s">
        <v>2512</v>
      </c>
      <c r="E888" s="3" t="s">
        <v>3882</v>
      </c>
      <c r="F888" s="3" t="s">
        <v>3909</v>
      </c>
      <c r="G888" s="3" t="s">
        <v>3910</v>
      </c>
      <c r="H888" s="3" t="s">
        <v>1237</v>
      </c>
      <c r="I888" s="3" t="s">
        <v>19</v>
      </c>
      <c r="J888" s="3" t="s">
        <v>19</v>
      </c>
      <c r="K888" s="3" t="s">
        <v>21</v>
      </c>
      <c r="L888" s="3" t="s">
        <v>22</v>
      </c>
      <c r="M888" s="4">
        <v>738</v>
      </c>
      <c r="N888" s="3" t="s">
        <v>3616</v>
      </c>
      <c r="O888" s="3" t="s">
        <v>281</v>
      </c>
      <c r="P888" s="3" t="s">
        <v>3493</v>
      </c>
    </row>
    <row r="889" spans="1:16" hidden="1" x14ac:dyDescent="0.4">
      <c r="A889" s="7">
        <v>888</v>
      </c>
      <c r="B889" s="8" t="s">
        <v>3911</v>
      </c>
      <c r="C889" s="6" t="str">
        <f>IFERROR(IF(LEFT(D889,FIND(" ",D889)-1)="전라북도","전북특별자치도",LEFT(D889,FIND(" ",D889)-1)),"")</f>
        <v>경기도</v>
      </c>
      <c r="D889" s="3" t="s">
        <v>3912</v>
      </c>
      <c r="E889" s="3" t="s">
        <v>3913</v>
      </c>
      <c r="F889" s="3" t="s">
        <v>3914</v>
      </c>
      <c r="G889" s="3" t="s">
        <v>3915</v>
      </c>
      <c r="H889" s="3" t="s">
        <v>763</v>
      </c>
      <c r="I889" s="3" t="s">
        <v>3915</v>
      </c>
      <c r="J889" s="3" t="s">
        <v>19</v>
      </c>
      <c r="K889" s="3" t="s">
        <v>21</v>
      </c>
      <c r="L889" s="3" t="s">
        <v>22</v>
      </c>
      <c r="M889" s="4">
        <v>583</v>
      </c>
      <c r="N889" s="3" t="s">
        <v>84</v>
      </c>
      <c r="O889" s="3" t="s">
        <v>281</v>
      </c>
      <c r="P889" s="3" t="s">
        <v>1870</v>
      </c>
    </row>
    <row r="890" spans="1:16" hidden="1" x14ac:dyDescent="0.4">
      <c r="A890" s="7">
        <v>889</v>
      </c>
      <c r="B890" s="8" t="s">
        <v>3916</v>
      </c>
      <c r="C890" s="6" t="str">
        <f>IFERROR(IF(LEFT(D890,FIND(" ",D890)-1)="전라북도","전북특별자치도",LEFT(D890,FIND(" ",D890)-1)),"")</f>
        <v>전라남도</v>
      </c>
      <c r="D890" s="3" t="s">
        <v>3917</v>
      </c>
      <c r="E890" s="3" t="s">
        <v>3918</v>
      </c>
      <c r="F890" s="3" t="s">
        <v>3914</v>
      </c>
      <c r="G890" s="3" t="s">
        <v>3919</v>
      </c>
      <c r="H890" s="3" t="s">
        <v>3920</v>
      </c>
      <c r="I890" s="3" t="s">
        <v>3921</v>
      </c>
      <c r="J890" s="3" t="s">
        <v>3922</v>
      </c>
      <c r="K890" s="3" t="s">
        <v>21</v>
      </c>
      <c r="L890" s="3" t="s">
        <v>22</v>
      </c>
      <c r="M890" s="4">
        <v>2673</v>
      </c>
      <c r="N890" s="3" t="s">
        <v>3616</v>
      </c>
      <c r="O890" s="3" t="s">
        <v>281</v>
      </c>
      <c r="P890" s="3" t="s">
        <v>3399</v>
      </c>
    </row>
  </sheetData>
  <autoFilter ref="A1:P890" xr:uid="{00000000-0001-0000-0000-000000000000}">
    <filterColumn colId="14">
      <filters>
        <filter val="착공"/>
      </filters>
    </filterColumn>
  </autoFilter>
  <phoneticPr fontId="2" type="noConversion"/>
  <conditionalFormatting sqref="A2:P890">
    <cfRule type="expression" dxfId="1" priority="1">
      <formula>$O2="착공"</formula>
    </cfRule>
  </conditionalFormatting>
  <dataValidations count="1">
    <dataValidation type="list" allowBlank="1" showInputMessage="1" showErrorMessage="1" sqref="C2:C890" xr:uid="{77CC1BA8-76AA-4835-B214-D2A3E7C8B999}">
      <formula1>"서울특별시,부산광역시,대구광역시,인천광역시,광주광역시,대전광역시,울산광역시,세종특별자치시,경기도,강원특별자치도,충청북도,충청남도,전북특별자치도,전라남도,경상북도,경상남도,제주특별자치도"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B00E1-0417-484D-A542-6D92A21B2B4D}">
  <sheetPr filterMode="1">
    <tabColor rgb="FFA6A6A6"/>
  </sheetPr>
  <dimension ref="A1:O860"/>
  <sheetViews>
    <sheetView tabSelected="1" view="pageBreakPreview" zoomScale="60" zoomScaleNormal="100" workbookViewId="0">
      <pane xSplit="2" ySplit="1" topLeftCell="C114" activePane="bottomRight" state="frozen"/>
      <selection pane="topRight"/>
      <selection pane="bottomLeft"/>
      <selection pane="bottomRight" activeCell="U702" sqref="U702"/>
    </sheetView>
  </sheetViews>
  <sheetFormatPr defaultRowHeight="17.399999999999999" x14ac:dyDescent="0.4"/>
  <cols>
    <col min="1" max="1" width="5" customWidth="1"/>
    <col min="2" max="2" width="55" customWidth="1"/>
    <col min="3" max="3" width="14.69921875" customWidth="1"/>
    <col min="4" max="4" width="49.69921875" customWidth="1"/>
    <col min="5" max="6" width="12" customWidth="1"/>
    <col min="7" max="7" width="20" customWidth="1"/>
    <col min="8" max="8" width="29.8984375" customWidth="1"/>
    <col min="9" max="10" width="26" customWidth="1"/>
    <col min="11" max="11" width="10" customWidth="1"/>
    <col min="12" max="12" width="9" customWidth="1"/>
    <col min="13" max="13" width="9.5" customWidth="1"/>
    <col min="14" max="14" width="16" customWidth="1"/>
    <col min="15" max="15" width="6.59765625" customWidth="1"/>
  </cols>
  <sheetData>
    <row r="1" spans="1:15" x14ac:dyDescent="0.4">
      <c r="A1" s="1" t="s">
        <v>0</v>
      </c>
      <c r="B1" s="1" t="s">
        <v>1</v>
      </c>
      <c r="C1" s="9" t="s">
        <v>3935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</row>
    <row r="2" spans="1:15" ht="22.05" customHeight="1" x14ac:dyDescent="0.4">
      <c r="A2" s="7">
        <v>28</v>
      </c>
      <c r="B2" s="8" t="s">
        <v>169</v>
      </c>
      <c r="C2" s="6" t="str">
        <f>IFERROR(IF(LEFT(D2,FIND(" ",D2)-1)="전라북도","전북특별자치도",LEFT(D2,FIND(" ",D2)-1)),"")</f>
        <v>강원특별자치도</v>
      </c>
      <c r="D2" s="3" t="s">
        <v>170</v>
      </c>
      <c r="E2" s="3" t="s">
        <v>171</v>
      </c>
      <c r="F2" s="3" t="s">
        <v>167</v>
      </c>
      <c r="G2" s="3" t="s">
        <v>19</v>
      </c>
      <c r="H2" s="3" t="s">
        <v>172</v>
      </c>
      <c r="I2" s="3" t="s">
        <v>19</v>
      </c>
      <c r="J2" s="3" t="s">
        <v>19</v>
      </c>
      <c r="K2" s="3" t="s">
        <v>21</v>
      </c>
      <c r="L2" s="3" t="s">
        <v>22</v>
      </c>
      <c r="M2" s="4">
        <v>14868</v>
      </c>
      <c r="N2" s="3" t="s">
        <v>23</v>
      </c>
      <c r="O2" s="3" t="s">
        <v>24</v>
      </c>
    </row>
    <row r="3" spans="1:15" ht="22.05" customHeight="1" x14ac:dyDescent="0.4">
      <c r="A3" s="7">
        <v>5</v>
      </c>
      <c r="B3" s="8" t="s">
        <v>46</v>
      </c>
      <c r="C3" s="6" t="str">
        <f>IFERROR(IF(LEFT(D3,FIND(" ",D3)-1)="전라북도","전북특별자치도",LEFT(D3,FIND(" ",D3)-1)),"")</f>
        <v>강원특별자치도</v>
      </c>
      <c r="D3" s="3" t="s">
        <v>47</v>
      </c>
      <c r="E3" s="3" t="s">
        <v>48</v>
      </c>
      <c r="F3" s="3" t="s">
        <v>49</v>
      </c>
      <c r="G3" s="3" t="s">
        <v>19</v>
      </c>
      <c r="H3" s="3" t="s">
        <v>50</v>
      </c>
      <c r="I3" s="3" t="s">
        <v>19</v>
      </c>
      <c r="J3" s="3" t="s">
        <v>51</v>
      </c>
      <c r="K3" s="3" t="s">
        <v>21</v>
      </c>
      <c r="L3" s="3" t="s">
        <v>22</v>
      </c>
      <c r="M3" s="4">
        <v>33796</v>
      </c>
      <c r="N3" s="3" t="s">
        <v>23</v>
      </c>
      <c r="O3" s="3" t="s">
        <v>24</v>
      </c>
    </row>
    <row r="4" spans="1:15" ht="22.05" customHeight="1" x14ac:dyDescent="0.4">
      <c r="A4" s="7">
        <v>76</v>
      </c>
      <c r="B4" s="8" t="s">
        <v>411</v>
      </c>
      <c r="C4" s="6" t="str">
        <f>IFERROR(IF(LEFT(D4,FIND(" ",D4)-1)="전라북도","전북특별자치도",LEFT(D4,FIND(" ",D4)-1)),"")</f>
        <v>강원특별자치도</v>
      </c>
      <c r="D4" s="3" t="s">
        <v>412</v>
      </c>
      <c r="E4" s="3" t="s">
        <v>413</v>
      </c>
      <c r="F4" s="3" t="s">
        <v>383</v>
      </c>
      <c r="G4" s="3" t="s">
        <v>19</v>
      </c>
      <c r="H4" s="3" t="s">
        <v>414</v>
      </c>
      <c r="I4" s="3" t="s">
        <v>19</v>
      </c>
      <c r="J4" s="3" t="s">
        <v>415</v>
      </c>
      <c r="K4" s="3" t="s">
        <v>21</v>
      </c>
      <c r="L4" s="3" t="s">
        <v>22</v>
      </c>
      <c r="M4" s="4">
        <v>34622</v>
      </c>
      <c r="N4" s="3" t="s">
        <v>23</v>
      </c>
      <c r="O4" s="3" t="s">
        <v>24</v>
      </c>
    </row>
    <row r="5" spans="1:15" ht="19.95" hidden="1" customHeight="1" x14ac:dyDescent="0.4">
      <c r="A5" s="7">
        <v>35</v>
      </c>
      <c r="B5" s="8" t="s">
        <v>206</v>
      </c>
      <c r="C5" s="6" t="str">
        <f>IFERROR(IF(LEFT(D5,FIND(" ",D5)-1)="전라북도","전북특별자치도",LEFT(D5,FIND(" ",D5)-1)),"")</f>
        <v>강원특별자치도</v>
      </c>
      <c r="D5" s="3" t="s">
        <v>207</v>
      </c>
      <c r="E5" s="3" t="s">
        <v>208</v>
      </c>
      <c r="F5" s="3" t="s">
        <v>209</v>
      </c>
      <c r="G5" s="3" t="s">
        <v>19</v>
      </c>
      <c r="H5" s="3" t="s">
        <v>210</v>
      </c>
      <c r="I5" s="3" t="s">
        <v>19</v>
      </c>
      <c r="J5" s="3" t="s">
        <v>19</v>
      </c>
      <c r="K5" s="3" t="s">
        <v>21</v>
      </c>
      <c r="L5" s="3" t="s">
        <v>22</v>
      </c>
      <c r="M5" s="4">
        <v>97</v>
      </c>
      <c r="N5" s="3" t="s">
        <v>211</v>
      </c>
      <c r="O5" s="3" t="s">
        <v>24</v>
      </c>
    </row>
    <row r="6" spans="1:15" ht="19.95" hidden="1" customHeight="1" x14ac:dyDescent="0.4">
      <c r="A6" s="7">
        <v>46</v>
      </c>
      <c r="B6" s="8" t="s">
        <v>269</v>
      </c>
      <c r="C6" s="6" t="str">
        <f>IFERROR(IF(LEFT(D6,FIND(" ",D6)-1)="전라북도","전북특별자치도",LEFT(D6,FIND(" ",D6)-1)),"")</f>
        <v>강원특별자치도</v>
      </c>
      <c r="D6" s="3" t="s">
        <v>270</v>
      </c>
      <c r="E6" s="3" t="s">
        <v>271</v>
      </c>
      <c r="F6" s="3" t="s">
        <v>272</v>
      </c>
      <c r="G6" s="3" t="s">
        <v>273</v>
      </c>
      <c r="H6" s="3" t="s">
        <v>274</v>
      </c>
      <c r="I6" s="3" t="s">
        <v>275</v>
      </c>
      <c r="J6" s="3" t="s">
        <v>19</v>
      </c>
      <c r="K6" s="3" t="s">
        <v>21</v>
      </c>
      <c r="L6" s="3" t="s">
        <v>147</v>
      </c>
      <c r="M6" s="4">
        <v>244</v>
      </c>
      <c r="N6" s="3" t="s">
        <v>23</v>
      </c>
      <c r="O6" s="3" t="s">
        <v>24</v>
      </c>
    </row>
    <row r="7" spans="1:15" ht="22.05" customHeight="1" x14ac:dyDescent="0.4">
      <c r="A7" s="7">
        <v>82</v>
      </c>
      <c r="B7" s="8" t="s">
        <v>445</v>
      </c>
      <c r="C7" s="6" t="str">
        <f>IFERROR(IF(LEFT(D7,FIND(" ",D7)-1)="전라북도","전북특별자치도",LEFT(D7,FIND(" ",D7)-1)),"")</f>
        <v>강원특별자치도</v>
      </c>
      <c r="D7" s="3" t="s">
        <v>446</v>
      </c>
      <c r="E7" s="3" t="s">
        <v>447</v>
      </c>
      <c r="F7" s="3" t="s">
        <v>448</v>
      </c>
      <c r="G7" s="3" t="s">
        <v>19</v>
      </c>
      <c r="H7" s="3" t="s">
        <v>449</v>
      </c>
      <c r="I7" s="3" t="s">
        <v>19</v>
      </c>
      <c r="J7" s="3" t="s">
        <v>19</v>
      </c>
      <c r="K7" s="3" t="s">
        <v>21</v>
      </c>
      <c r="L7" s="3" t="s">
        <v>22</v>
      </c>
      <c r="M7" s="4">
        <v>7565</v>
      </c>
      <c r="N7" s="3" t="s">
        <v>23</v>
      </c>
      <c r="O7" s="3" t="s">
        <v>24</v>
      </c>
    </row>
    <row r="8" spans="1:15" ht="22.05" customHeight="1" x14ac:dyDescent="0.4">
      <c r="A8" s="7">
        <v>11</v>
      </c>
      <c r="B8" s="8" t="s">
        <v>76</v>
      </c>
      <c r="C8" s="6" t="str">
        <f>IFERROR(IF(LEFT(D8,FIND(" ",D8)-1)="전라북도","전북특별자치도",LEFT(D8,FIND(" ",D8)-1)),"")</f>
        <v>강원특별자치도</v>
      </c>
      <c r="D8" s="3" t="s">
        <v>77</v>
      </c>
      <c r="E8" s="3" t="s">
        <v>78</v>
      </c>
      <c r="F8" s="3" t="s">
        <v>79</v>
      </c>
      <c r="G8" s="3" t="s">
        <v>19</v>
      </c>
      <c r="H8" s="3" t="s">
        <v>50</v>
      </c>
      <c r="I8" s="3" t="s">
        <v>19</v>
      </c>
      <c r="J8" s="3" t="s">
        <v>51</v>
      </c>
      <c r="K8" s="3" t="s">
        <v>21</v>
      </c>
      <c r="L8" s="3" t="s">
        <v>22</v>
      </c>
      <c r="M8" s="4">
        <v>29060</v>
      </c>
      <c r="N8" s="3" t="s">
        <v>23</v>
      </c>
      <c r="O8" s="3" t="s">
        <v>24</v>
      </c>
    </row>
    <row r="9" spans="1:15" ht="22.05" customHeight="1" x14ac:dyDescent="0.4">
      <c r="A9" s="7">
        <v>94</v>
      </c>
      <c r="B9" s="8" t="s">
        <v>496</v>
      </c>
      <c r="C9" s="6" t="str">
        <f>IFERROR(IF(LEFT(D9,FIND(" ",D9)-1)="전라북도","전북특별자치도",LEFT(D9,FIND(" ",D9)-1)),"")</f>
        <v>강원특별자치도</v>
      </c>
      <c r="D9" s="3" t="s">
        <v>497</v>
      </c>
      <c r="E9" s="3" t="s">
        <v>78</v>
      </c>
      <c r="F9" s="3" t="s">
        <v>79</v>
      </c>
      <c r="G9" s="3" t="s">
        <v>19</v>
      </c>
      <c r="H9" s="3" t="s">
        <v>498</v>
      </c>
      <c r="I9" s="3" t="s">
        <v>19</v>
      </c>
      <c r="J9" s="3" t="s">
        <v>19</v>
      </c>
      <c r="K9" s="3" t="s">
        <v>21</v>
      </c>
      <c r="L9" s="3" t="s">
        <v>22</v>
      </c>
      <c r="M9" s="4">
        <v>599</v>
      </c>
      <c r="N9" s="3" t="s">
        <v>23</v>
      </c>
      <c r="O9" s="3" t="s">
        <v>24</v>
      </c>
    </row>
    <row r="10" spans="1:15" ht="22.05" customHeight="1" x14ac:dyDescent="0.4">
      <c r="A10" s="7">
        <v>96</v>
      </c>
      <c r="B10" s="8" t="s">
        <v>504</v>
      </c>
      <c r="C10" s="6" t="str">
        <f>IFERROR(IF(LEFT(D10,FIND(" ",D10)-1)="전라북도","전북특별자치도",LEFT(D10,FIND(" ",D10)-1)),"")</f>
        <v>강원특별자치도</v>
      </c>
      <c r="D10" s="3" t="s">
        <v>505</v>
      </c>
      <c r="E10" s="3" t="s">
        <v>506</v>
      </c>
      <c r="F10" s="3" t="s">
        <v>507</v>
      </c>
      <c r="G10" s="3" t="s">
        <v>19</v>
      </c>
      <c r="H10" s="3" t="s">
        <v>508</v>
      </c>
      <c r="I10" s="3" t="s">
        <v>19</v>
      </c>
      <c r="J10" s="3" t="s">
        <v>509</v>
      </c>
      <c r="K10" s="3" t="s">
        <v>21</v>
      </c>
      <c r="L10" s="3" t="s">
        <v>147</v>
      </c>
      <c r="M10" s="4">
        <v>26746</v>
      </c>
      <c r="N10" s="3" t="s">
        <v>23</v>
      </c>
      <c r="O10" s="3" t="s">
        <v>24</v>
      </c>
    </row>
    <row r="11" spans="1:15" ht="22.05" customHeight="1" x14ac:dyDescent="0.4">
      <c r="A11" s="7">
        <v>108</v>
      </c>
      <c r="B11" s="8" t="s">
        <v>568</v>
      </c>
      <c r="C11" s="6" t="str">
        <f>IFERROR(IF(LEFT(D11,FIND(" ",D11)-1)="전라북도","전북특별자치도",LEFT(D11,FIND(" ",D11)-1)),"")</f>
        <v>강원특별자치도</v>
      </c>
      <c r="D11" s="3" t="s">
        <v>569</v>
      </c>
      <c r="E11" s="3" t="s">
        <v>570</v>
      </c>
      <c r="F11" s="3" t="s">
        <v>571</v>
      </c>
      <c r="G11" s="3" t="s">
        <v>19</v>
      </c>
      <c r="H11" s="3" t="s">
        <v>572</v>
      </c>
      <c r="I11" s="3" t="s">
        <v>19</v>
      </c>
      <c r="J11" s="3" t="s">
        <v>573</v>
      </c>
      <c r="K11" s="3" t="s">
        <v>21</v>
      </c>
      <c r="L11" s="3" t="s">
        <v>22</v>
      </c>
      <c r="M11" s="4">
        <v>12591</v>
      </c>
      <c r="N11" s="3" t="s">
        <v>23</v>
      </c>
      <c r="O11" s="3" t="s">
        <v>24</v>
      </c>
    </row>
    <row r="12" spans="1:15" ht="19.95" hidden="1" customHeight="1" x14ac:dyDescent="0.4">
      <c r="A12" s="7">
        <v>117</v>
      </c>
      <c r="B12" s="8" t="s">
        <v>612</v>
      </c>
      <c r="C12" s="6" t="str">
        <f>IFERROR(IF(LEFT(D12,FIND(" ",D12)-1)="전라북도","전북특별자치도",LEFT(D12,FIND(" ",D12)-1)),"")</f>
        <v>강원특별자치도</v>
      </c>
      <c r="D12" s="3" t="s">
        <v>613</v>
      </c>
      <c r="E12" s="3" t="s">
        <v>614</v>
      </c>
      <c r="F12" s="3" t="s">
        <v>615</v>
      </c>
      <c r="G12" s="3" t="s">
        <v>19</v>
      </c>
      <c r="H12" s="3" t="s">
        <v>616</v>
      </c>
      <c r="I12" s="3" t="s">
        <v>19</v>
      </c>
      <c r="J12" s="3" t="s">
        <v>19</v>
      </c>
      <c r="K12" s="3" t="s">
        <v>21</v>
      </c>
      <c r="L12" s="3" t="s">
        <v>22</v>
      </c>
      <c r="M12" s="4">
        <v>244</v>
      </c>
      <c r="N12" s="3" t="s">
        <v>23</v>
      </c>
      <c r="O12" s="3" t="s">
        <v>24</v>
      </c>
    </row>
    <row r="13" spans="1:15" ht="22.05" customHeight="1" x14ac:dyDescent="0.4">
      <c r="A13" s="7">
        <v>128</v>
      </c>
      <c r="B13" s="8" t="s">
        <v>677</v>
      </c>
      <c r="C13" s="6" t="str">
        <f>IFERROR(IF(LEFT(D13,FIND(" ",D13)-1)="전라북도","전북특별자치도",LEFT(D13,FIND(" ",D13)-1)),"")</f>
        <v>강원특별자치도</v>
      </c>
      <c r="D13" s="3" t="s">
        <v>678</v>
      </c>
      <c r="E13" s="3" t="s">
        <v>679</v>
      </c>
      <c r="F13" s="3" t="s">
        <v>680</v>
      </c>
      <c r="G13" s="3" t="s">
        <v>19</v>
      </c>
      <c r="H13" s="3" t="s">
        <v>681</v>
      </c>
      <c r="I13" s="3" t="s">
        <v>19</v>
      </c>
      <c r="J13" s="3" t="s">
        <v>19</v>
      </c>
      <c r="K13" s="3" t="s">
        <v>21</v>
      </c>
      <c r="L13" s="3" t="s">
        <v>22</v>
      </c>
      <c r="M13" s="4">
        <v>80772</v>
      </c>
      <c r="N13" s="3" t="s">
        <v>23</v>
      </c>
      <c r="O13" s="3" t="s">
        <v>24</v>
      </c>
    </row>
    <row r="14" spans="1:15" ht="22.05" customHeight="1" x14ac:dyDescent="0.4">
      <c r="A14" s="7">
        <v>133</v>
      </c>
      <c r="B14" s="8" t="s">
        <v>699</v>
      </c>
      <c r="C14" s="6" t="str">
        <f>IFERROR(IF(LEFT(D14,FIND(" ",D14)-1)="전라북도","전북특별자치도",LEFT(D14,FIND(" ",D14)-1)),"")</f>
        <v>강원특별자치도</v>
      </c>
      <c r="D14" s="3" t="s">
        <v>700</v>
      </c>
      <c r="E14" s="3" t="s">
        <v>701</v>
      </c>
      <c r="F14" s="3" t="s">
        <v>702</v>
      </c>
      <c r="G14" s="3" t="s">
        <v>19</v>
      </c>
      <c r="H14" s="3" t="s">
        <v>703</v>
      </c>
      <c r="I14" s="3" t="s">
        <v>19</v>
      </c>
      <c r="J14" s="3" t="s">
        <v>704</v>
      </c>
      <c r="K14" s="3" t="s">
        <v>21</v>
      </c>
      <c r="L14" s="3" t="s">
        <v>22</v>
      </c>
      <c r="M14" s="4">
        <v>2088</v>
      </c>
      <c r="N14" s="3" t="s">
        <v>23</v>
      </c>
      <c r="O14" s="3" t="s">
        <v>24</v>
      </c>
    </row>
    <row r="15" spans="1:15" hidden="1" x14ac:dyDescent="0.4">
      <c r="A15" s="7">
        <v>14</v>
      </c>
      <c r="B15" s="8" t="s">
        <v>89</v>
      </c>
      <c r="C15" s="6" t="str">
        <f>IFERROR(IF(LEFT(D15,FIND(" ",D15)-1)="전라북도","전북특별자치도",LEFT(D15,FIND(" ",D15)-1)),"")</f>
        <v>경기도</v>
      </c>
      <c r="D15" s="3" t="s">
        <v>90</v>
      </c>
      <c r="E15" s="3" t="s">
        <v>91</v>
      </c>
      <c r="F15" s="3" t="s">
        <v>92</v>
      </c>
      <c r="G15" s="3" t="s">
        <v>19</v>
      </c>
      <c r="H15" s="3" t="s">
        <v>93</v>
      </c>
      <c r="I15" s="3" t="s">
        <v>19</v>
      </c>
      <c r="J15" s="3" t="s">
        <v>94</v>
      </c>
      <c r="K15" s="3" t="s">
        <v>21</v>
      </c>
      <c r="L15" s="3" t="s">
        <v>22</v>
      </c>
      <c r="M15" s="4">
        <v>99547</v>
      </c>
      <c r="N15" s="3" t="s">
        <v>23</v>
      </c>
      <c r="O15" s="3" t="s">
        <v>95</v>
      </c>
    </row>
    <row r="16" spans="1:15" hidden="1" x14ac:dyDescent="0.4">
      <c r="A16" s="7">
        <v>15</v>
      </c>
      <c r="B16" s="8" t="s">
        <v>96</v>
      </c>
      <c r="C16" s="6" t="str">
        <f>IFERROR(IF(LEFT(D16,FIND(" ",D16)-1)="전라북도","전북특별자치도",LEFT(D16,FIND(" ",D16)-1)),"")</f>
        <v>강원특별자치도</v>
      </c>
      <c r="D16" s="3" t="s">
        <v>97</v>
      </c>
      <c r="E16" s="3" t="s">
        <v>98</v>
      </c>
      <c r="F16" s="3" t="s">
        <v>99</v>
      </c>
      <c r="G16" s="3" t="s">
        <v>19</v>
      </c>
      <c r="H16" s="3" t="s">
        <v>100</v>
      </c>
      <c r="I16" s="3" t="s">
        <v>19</v>
      </c>
      <c r="J16" s="3" t="s">
        <v>19</v>
      </c>
      <c r="K16" s="3" t="s">
        <v>21</v>
      </c>
      <c r="L16" s="3" t="s">
        <v>22</v>
      </c>
      <c r="M16" s="4">
        <v>50</v>
      </c>
      <c r="N16" s="3" t="s">
        <v>84</v>
      </c>
      <c r="O16" s="3" t="s">
        <v>95</v>
      </c>
    </row>
    <row r="17" spans="1:15" hidden="1" x14ac:dyDescent="0.4">
      <c r="A17" s="7">
        <v>16</v>
      </c>
      <c r="B17" s="8" t="s">
        <v>101</v>
      </c>
      <c r="C17" s="6" t="str">
        <f>IFERROR(IF(LEFT(D17,FIND(" ",D17)-1)="전라북도","전북특별자치도",LEFT(D17,FIND(" ",D17)-1)),"")</f>
        <v>충청남도</v>
      </c>
      <c r="D17" s="3" t="s">
        <v>102</v>
      </c>
      <c r="E17" s="3" t="s">
        <v>103</v>
      </c>
      <c r="F17" s="3" t="s">
        <v>104</v>
      </c>
      <c r="G17" s="3" t="s">
        <v>19</v>
      </c>
      <c r="H17" s="3" t="s">
        <v>19</v>
      </c>
      <c r="I17" s="3" t="s">
        <v>19</v>
      </c>
      <c r="J17" s="3" t="s">
        <v>105</v>
      </c>
      <c r="K17" s="3" t="s">
        <v>21</v>
      </c>
      <c r="L17" s="3" t="s">
        <v>22</v>
      </c>
      <c r="M17" s="4">
        <v>259</v>
      </c>
      <c r="N17" s="3" t="s">
        <v>23</v>
      </c>
      <c r="O17" s="3" t="s">
        <v>95</v>
      </c>
    </row>
    <row r="18" spans="1:15" hidden="1" x14ac:dyDescent="0.4">
      <c r="A18" s="7">
        <v>17</v>
      </c>
      <c r="B18" s="8" t="s">
        <v>106</v>
      </c>
      <c r="C18" s="6" t="str">
        <f>IFERROR(IF(LEFT(D18,FIND(" ",D18)-1)="전라북도","전북특별자치도",LEFT(D18,FIND(" ",D18)-1)),"")</f>
        <v>경상북도</v>
      </c>
      <c r="D18" s="3" t="s">
        <v>107</v>
      </c>
      <c r="E18" s="3" t="s">
        <v>108</v>
      </c>
      <c r="F18" s="3" t="s">
        <v>109</v>
      </c>
      <c r="G18" s="3" t="s">
        <v>19</v>
      </c>
      <c r="H18" s="3" t="s">
        <v>110</v>
      </c>
      <c r="I18" s="3" t="s">
        <v>19</v>
      </c>
      <c r="J18" s="3" t="s">
        <v>19</v>
      </c>
      <c r="K18" s="3" t="s">
        <v>21</v>
      </c>
      <c r="L18" s="3" t="s">
        <v>22</v>
      </c>
      <c r="M18" s="4">
        <v>363</v>
      </c>
      <c r="N18" s="3" t="s">
        <v>23</v>
      </c>
      <c r="O18" s="3" t="s">
        <v>95</v>
      </c>
    </row>
    <row r="19" spans="1:15" hidden="1" x14ac:dyDescent="0.4">
      <c r="A19" s="7">
        <v>18</v>
      </c>
      <c r="B19" s="8" t="s">
        <v>111</v>
      </c>
      <c r="C19" s="6" t="str">
        <f>IFERROR(IF(LEFT(D19,FIND(" ",D19)-1)="전라북도","전북특별자치도",LEFT(D19,FIND(" ",D19)-1)),"")</f>
        <v>경기도</v>
      </c>
      <c r="D19" s="3" t="s">
        <v>112</v>
      </c>
      <c r="E19" s="3" t="s">
        <v>113</v>
      </c>
      <c r="F19" s="3" t="s">
        <v>114</v>
      </c>
      <c r="G19" s="3" t="s">
        <v>19</v>
      </c>
      <c r="H19" s="3" t="s">
        <v>115</v>
      </c>
      <c r="I19" s="3" t="s">
        <v>19</v>
      </c>
      <c r="J19" s="3" t="s">
        <v>116</v>
      </c>
      <c r="K19" s="3" t="s">
        <v>21</v>
      </c>
      <c r="L19" s="3" t="s">
        <v>22</v>
      </c>
      <c r="M19" s="4">
        <v>2772</v>
      </c>
      <c r="N19" s="3" t="s">
        <v>23</v>
      </c>
      <c r="O19" s="3" t="s">
        <v>95</v>
      </c>
    </row>
    <row r="20" spans="1:15" hidden="1" x14ac:dyDescent="0.4">
      <c r="A20" s="7">
        <v>19</v>
      </c>
      <c r="B20" s="8" t="s">
        <v>117</v>
      </c>
      <c r="C20" s="6" t="str">
        <f>IFERROR(IF(LEFT(D20,FIND(" ",D20)-1)="전라북도","전북특별자치도",LEFT(D20,FIND(" ",D20)-1)),"")</f>
        <v>전라남도</v>
      </c>
      <c r="D20" s="3" t="s">
        <v>118</v>
      </c>
      <c r="E20" s="3" t="s">
        <v>119</v>
      </c>
      <c r="F20" s="3" t="s">
        <v>120</v>
      </c>
      <c r="G20" s="3" t="s">
        <v>19</v>
      </c>
      <c r="H20" s="3" t="s">
        <v>121</v>
      </c>
      <c r="I20" s="3" t="s">
        <v>19</v>
      </c>
      <c r="J20" s="3" t="s">
        <v>122</v>
      </c>
      <c r="K20" s="3" t="s">
        <v>21</v>
      </c>
      <c r="L20" s="3" t="s">
        <v>22</v>
      </c>
      <c r="M20" s="4">
        <v>20188</v>
      </c>
      <c r="N20" s="3" t="s">
        <v>123</v>
      </c>
      <c r="O20" s="3" t="s">
        <v>95</v>
      </c>
    </row>
    <row r="21" spans="1:15" hidden="1" x14ac:dyDescent="0.4">
      <c r="A21" s="7">
        <v>20</v>
      </c>
      <c r="B21" s="8" t="s">
        <v>124</v>
      </c>
      <c r="C21" s="6" t="str">
        <f>IFERROR(IF(LEFT(D21,FIND(" ",D21)-1)="전라북도","전북특별자치도",LEFT(D21,FIND(" ",D21)-1)),"")</f>
        <v>전라남도</v>
      </c>
      <c r="D21" s="3" t="s">
        <v>125</v>
      </c>
      <c r="E21" s="3" t="s">
        <v>126</v>
      </c>
      <c r="F21" s="3" t="s">
        <v>127</v>
      </c>
      <c r="G21" s="3" t="s">
        <v>19</v>
      </c>
      <c r="H21" s="3" t="s">
        <v>128</v>
      </c>
      <c r="I21" s="3" t="s">
        <v>19</v>
      </c>
      <c r="J21" s="3" t="s">
        <v>19</v>
      </c>
      <c r="K21" s="3" t="s">
        <v>21</v>
      </c>
      <c r="L21" s="3" t="s">
        <v>22</v>
      </c>
      <c r="M21" s="4">
        <v>501</v>
      </c>
      <c r="N21" s="3" t="s">
        <v>129</v>
      </c>
      <c r="O21" s="3" t="s">
        <v>95</v>
      </c>
    </row>
    <row r="22" spans="1:15" hidden="1" x14ac:dyDescent="0.4">
      <c r="A22" s="7">
        <v>21</v>
      </c>
      <c r="B22" s="8" t="s">
        <v>130</v>
      </c>
      <c r="C22" s="6" t="str">
        <f>IFERROR(IF(LEFT(D22,FIND(" ",D22)-1)="전라북도","전북특별자치도",LEFT(D22,FIND(" ",D22)-1)),"")</f>
        <v>서울특별시</v>
      </c>
      <c r="D22" s="3" t="s">
        <v>131</v>
      </c>
      <c r="E22" s="3" t="s">
        <v>132</v>
      </c>
      <c r="F22" s="3" t="s">
        <v>133</v>
      </c>
      <c r="G22" s="3" t="s">
        <v>19</v>
      </c>
      <c r="H22" s="3" t="s">
        <v>134</v>
      </c>
      <c r="I22" s="3" t="s">
        <v>19</v>
      </c>
      <c r="J22" s="3" t="s">
        <v>135</v>
      </c>
      <c r="K22" s="3" t="s">
        <v>21</v>
      </c>
      <c r="L22" s="3" t="s">
        <v>22</v>
      </c>
      <c r="M22" s="4">
        <v>8426</v>
      </c>
      <c r="N22" s="3" t="s">
        <v>23</v>
      </c>
      <c r="O22" s="3" t="s">
        <v>95</v>
      </c>
    </row>
    <row r="23" spans="1:15" hidden="1" x14ac:dyDescent="0.4">
      <c r="A23" s="7">
        <v>22</v>
      </c>
      <c r="B23" s="8" t="s">
        <v>136</v>
      </c>
      <c r="C23" s="6" t="str">
        <f>IFERROR(IF(LEFT(D23,FIND(" ",D23)-1)="전라북도","전북특별자치도",LEFT(D23,FIND(" ",D23)-1)),"")</f>
        <v>강원특별자치도</v>
      </c>
      <c r="D23" s="3" t="s">
        <v>137</v>
      </c>
      <c r="E23" s="3" t="s">
        <v>138</v>
      </c>
      <c r="F23" s="3" t="s">
        <v>139</v>
      </c>
      <c r="G23" s="3" t="s">
        <v>19</v>
      </c>
      <c r="H23" s="3" t="s">
        <v>140</v>
      </c>
      <c r="I23" s="3" t="s">
        <v>19</v>
      </c>
      <c r="J23" s="3" t="s">
        <v>19</v>
      </c>
      <c r="K23" s="3" t="s">
        <v>21</v>
      </c>
      <c r="L23" s="3" t="s">
        <v>22</v>
      </c>
      <c r="M23" s="4">
        <v>998</v>
      </c>
      <c r="N23" s="3" t="s">
        <v>23</v>
      </c>
      <c r="O23" s="3" t="s">
        <v>95</v>
      </c>
    </row>
    <row r="24" spans="1:15" hidden="1" x14ac:dyDescent="0.4">
      <c r="A24" s="7">
        <v>23</v>
      </c>
      <c r="B24" s="8" t="s">
        <v>141</v>
      </c>
      <c r="C24" s="6" t="str">
        <f>IFERROR(IF(LEFT(D24,FIND(" ",D24)-1)="전라북도","전북특별자치도",LEFT(D24,FIND(" ",D24)-1)),"")</f>
        <v>경기도</v>
      </c>
      <c r="D24" s="3" t="s">
        <v>142</v>
      </c>
      <c r="E24" s="3" t="s">
        <v>143</v>
      </c>
      <c r="F24" s="3" t="s">
        <v>144</v>
      </c>
      <c r="G24" s="3" t="s">
        <v>19</v>
      </c>
      <c r="H24" s="3" t="s">
        <v>145</v>
      </c>
      <c r="I24" s="3" t="s">
        <v>19</v>
      </c>
      <c r="J24" s="3" t="s">
        <v>146</v>
      </c>
      <c r="K24" s="3" t="s">
        <v>21</v>
      </c>
      <c r="L24" s="3" t="s">
        <v>147</v>
      </c>
      <c r="M24" s="4">
        <v>538</v>
      </c>
      <c r="N24" s="3" t="s">
        <v>23</v>
      </c>
      <c r="O24" s="3" t="s">
        <v>95</v>
      </c>
    </row>
    <row r="25" spans="1:15" hidden="1" x14ac:dyDescent="0.4">
      <c r="A25" s="7">
        <v>24</v>
      </c>
      <c r="B25" s="8" t="s">
        <v>148</v>
      </c>
      <c r="C25" s="6" t="str">
        <f>IFERROR(IF(LEFT(D25,FIND(" ",D25)-1)="전라북도","전북특별자치도",LEFT(D25,FIND(" ",D25)-1)),"")</f>
        <v>경상남도</v>
      </c>
      <c r="D25" s="3" t="s">
        <v>149</v>
      </c>
      <c r="E25" s="3" t="s">
        <v>150</v>
      </c>
      <c r="F25" s="3" t="s">
        <v>144</v>
      </c>
      <c r="G25" s="3" t="s">
        <v>19</v>
      </c>
      <c r="H25" s="3" t="s">
        <v>151</v>
      </c>
      <c r="I25" s="3" t="s">
        <v>19</v>
      </c>
      <c r="J25" s="3" t="s">
        <v>152</v>
      </c>
      <c r="K25" s="3" t="s">
        <v>21</v>
      </c>
      <c r="L25" s="3" t="s">
        <v>22</v>
      </c>
      <c r="M25" s="4">
        <v>111820</v>
      </c>
      <c r="N25" s="3" t="s">
        <v>23</v>
      </c>
      <c r="O25" s="3" t="s">
        <v>95</v>
      </c>
    </row>
    <row r="26" spans="1:15" hidden="1" x14ac:dyDescent="0.4">
      <c r="A26" s="7">
        <v>25</v>
      </c>
      <c r="B26" s="8" t="s">
        <v>153</v>
      </c>
      <c r="C26" s="6" t="str">
        <f>IFERROR(IF(LEFT(D26,FIND(" ",D26)-1)="전라북도","전북특별자치도",LEFT(D26,FIND(" ",D26)-1)),"")</f>
        <v>충청남도</v>
      </c>
      <c r="D26" s="3" t="s">
        <v>154</v>
      </c>
      <c r="E26" s="3" t="s">
        <v>155</v>
      </c>
      <c r="F26" s="3" t="s">
        <v>156</v>
      </c>
      <c r="G26" s="3" t="s">
        <v>19</v>
      </c>
      <c r="H26" s="3" t="s">
        <v>157</v>
      </c>
      <c r="I26" s="3" t="s">
        <v>19</v>
      </c>
      <c r="J26" s="3" t="s">
        <v>158</v>
      </c>
      <c r="K26" s="3" t="s">
        <v>21</v>
      </c>
      <c r="L26" s="3" t="s">
        <v>22</v>
      </c>
      <c r="M26" s="4">
        <v>2038</v>
      </c>
      <c r="N26" s="3" t="s">
        <v>23</v>
      </c>
      <c r="O26" s="3" t="s">
        <v>95</v>
      </c>
    </row>
    <row r="27" spans="1:15" hidden="1" x14ac:dyDescent="0.4">
      <c r="A27" s="7">
        <v>26</v>
      </c>
      <c r="B27" s="8" t="s">
        <v>159</v>
      </c>
      <c r="C27" s="6" t="str">
        <f>IFERROR(IF(LEFT(D27,FIND(" ",D27)-1)="전라북도","전북특별자치도",LEFT(D27,FIND(" ",D27)-1)),"")</f>
        <v>경상북도</v>
      </c>
      <c r="D27" s="3" t="s">
        <v>160</v>
      </c>
      <c r="E27" s="3" t="s">
        <v>161</v>
      </c>
      <c r="F27" s="3" t="s">
        <v>162</v>
      </c>
      <c r="G27" s="3" t="s">
        <v>19</v>
      </c>
      <c r="H27" s="3" t="s">
        <v>163</v>
      </c>
      <c r="I27" s="3" t="s">
        <v>19</v>
      </c>
      <c r="J27" s="3" t="s">
        <v>19</v>
      </c>
      <c r="K27" s="3" t="s">
        <v>21</v>
      </c>
      <c r="L27" s="3" t="s">
        <v>147</v>
      </c>
      <c r="M27" s="4">
        <v>5431</v>
      </c>
      <c r="N27" s="3" t="s">
        <v>23</v>
      </c>
      <c r="O27" s="3" t="s">
        <v>95</v>
      </c>
    </row>
    <row r="28" spans="1:15" ht="22.05" customHeight="1" x14ac:dyDescent="0.4">
      <c r="A28" s="7">
        <v>151</v>
      </c>
      <c r="B28" s="8" t="s">
        <v>782</v>
      </c>
      <c r="C28" s="6" t="str">
        <f>IFERROR(IF(LEFT(D28,FIND(" ",D28)-1)="전라북도","전북특별자치도",LEFT(D28,FIND(" ",D28)-1)),"")</f>
        <v>강원특별자치도</v>
      </c>
      <c r="D28" s="3" t="s">
        <v>783</v>
      </c>
      <c r="E28" s="3" t="s">
        <v>784</v>
      </c>
      <c r="F28" s="3" t="s">
        <v>785</v>
      </c>
      <c r="G28" s="3" t="s">
        <v>19</v>
      </c>
      <c r="H28" s="3" t="s">
        <v>786</v>
      </c>
      <c r="I28" s="3" t="s">
        <v>19</v>
      </c>
      <c r="J28" s="3" t="s">
        <v>787</v>
      </c>
      <c r="K28" s="3" t="s">
        <v>21</v>
      </c>
      <c r="L28" s="3" t="s">
        <v>22</v>
      </c>
      <c r="M28" s="4">
        <v>2591</v>
      </c>
      <c r="N28" s="3" t="s">
        <v>23</v>
      </c>
      <c r="O28" s="3" t="s">
        <v>24</v>
      </c>
    </row>
    <row r="29" spans="1:15" ht="22.05" customHeight="1" x14ac:dyDescent="0.4">
      <c r="A29" s="7">
        <v>152</v>
      </c>
      <c r="B29" s="8" t="s">
        <v>788</v>
      </c>
      <c r="C29" s="6" t="str">
        <f>IFERROR(IF(LEFT(D29,FIND(" ",D29)-1)="전라북도","전북특별자치도",LEFT(D29,FIND(" ",D29)-1)),"")</f>
        <v>강원특별자치도</v>
      </c>
      <c r="D29" s="3" t="s">
        <v>789</v>
      </c>
      <c r="E29" s="3" t="s">
        <v>790</v>
      </c>
      <c r="F29" s="3" t="s">
        <v>746</v>
      </c>
      <c r="G29" s="3" t="s">
        <v>19</v>
      </c>
      <c r="H29" s="3" t="s">
        <v>458</v>
      </c>
      <c r="I29" s="3" t="s">
        <v>19</v>
      </c>
      <c r="J29" s="3" t="s">
        <v>19</v>
      </c>
      <c r="K29" s="3" t="s">
        <v>21</v>
      </c>
      <c r="L29" s="3" t="s">
        <v>22</v>
      </c>
      <c r="M29" s="4">
        <v>16871</v>
      </c>
      <c r="N29" s="3" t="s">
        <v>23</v>
      </c>
      <c r="O29" s="3" t="s">
        <v>24</v>
      </c>
    </row>
    <row r="30" spans="1:15" ht="19.95" hidden="1" customHeight="1" x14ac:dyDescent="0.4">
      <c r="A30" s="7">
        <v>154</v>
      </c>
      <c r="B30" s="8" t="s">
        <v>799</v>
      </c>
      <c r="C30" s="6" t="str">
        <f>IFERROR(IF(LEFT(D30,FIND(" ",D30)-1)="전라북도","전북특별자치도",LEFT(D30,FIND(" ",D30)-1)),"")</f>
        <v>강원특별자치도</v>
      </c>
      <c r="D30" s="3" t="s">
        <v>800</v>
      </c>
      <c r="E30" s="3" t="s">
        <v>766</v>
      </c>
      <c r="F30" s="3" t="s">
        <v>695</v>
      </c>
      <c r="G30" s="3" t="s">
        <v>19</v>
      </c>
      <c r="H30" s="3" t="s">
        <v>100</v>
      </c>
      <c r="I30" s="3" t="s">
        <v>19</v>
      </c>
      <c r="J30" s="3" t="s">
        <v>19</v>
      </c>
      <c r="K30" s="3" t="s">
        <v>21</v>
      </c>
      <c r="L30" s="3" t="s">
        <v>22</v>
      </c>
      <c r="M30" s="4">
        <v>50</v>
      </c>
      <c r="N30" s="3" t="s">
        <v>84</v>
      </c>
      <c r="O30" s="3" t="s">
        <v>24</v>
      </c>
    </row>
    <row r="31" spans="1:15" ht="22.05" customHeight="1" x14ac:dyDescent="0.4">
      <c r="A31" s="7">
        <v>167</v>
      </c>
      <c r="B31" s="8" t="s">
        <v>870</v>
      </c>
      <c r="C31" s="6" t="str">
        <f>IFERROR(IF(LEFT(D31,FIND(" ",D31)-1)="전라북도","전북특별자치도",LEFT(D31,FIND(" ",D31)-1)),"")</f>
        <v>강원특별자치도</v>
      </c>
      <c r="D31" s="3" t="s">
        <v>871</v>
      </c>
      <c r="E31" s="3" t="s">
        <v>872</v>
      </c>
      <c r="F31" s="3" t="s">
        <v>868</v>
      </c>
      <c r="G31" s="3" t="s">
        <v>19</v>
      </c>
      <c r="H31" s="3" t="s">
        <v>873</v>
      </c>
      <c r="I31" s="3" t="s">
        <v>873</v>
      </c>
      <c r="J31" s="3" t="s">
        <v>874</v>
      </c>
      <c r="K31" s="3" t="s">
        <v>21</v>
      </c>
      <c r="L31" s="3" t="s">
        <v>22</v>
      </c>
      <c r="M31" s="4">
        <v>4998</v>
      </c>
      <c r="N31" s="3" t="s">
        <v>23</v>
      </c>
      <c r="O31" s="3" t="s">
        <v>24</v>
      </c>
    </row>
    <row r="32" spans="1:15" ht="22.05" customHeight="1" x14ac:dyDescent="0.4">
      <c r="A32" s="7">
        <v>175</v>
      </c>
      <c r="B32" s="8" t="s">
        <v>911</v>
      </c>
      <c r="C32" s="6" t="str">
        <f>IFERROR(IF(LEFT(D32,FIND(" ",D32)-1)="전라북도","전북특별자치도",LEFT(D32,FIND(" ",D32)-1)),"")</f>
        <v>강원특별자치도</v>
      </c>
      <c r="D32" s="3" t="s">
        <v>912</v>
      </c>
      <c r="E32" s="3" t="s">
        <v>913</v>
      </c>
      <c r="F32" s="3" t="s">
        <v>914</v>
      </c>
      <c r="G32" s="3" t="s">
        <v>915</v>
      </c>
      <c r="H32" s="3" t="s">
        <v>916</v>
      </c>
      <c r="I32" s="3" t="s">
        <v>916</v>
      </c>
      <c r="J32" s="3" t="s">
        <v>19</v>
      </c>
      <c r="K32" s="3" t="s">
        <v>21</v>
      </c>
      <c r="L32" s="3" t="s">
        <v>22</v>
      </c>
      <c r="M32" s="4">
        <v>1483</v>
      </c>
      <c r="N32" s="3" t="s">
        <v>23</v>
      </c>
      <c r="O32" s="3" t="s">
        <v>24</v>
      </c>
    </row>
    <row r="33" spans="1:15" ht="22.05" customHeight="1" x14ac:dyDescent="0.4">
      <c r="A33" s="7">
        <v>183</v>
      </c>
      <c r="B33" s="8" t="s">
        <v>954</v>
      </c>
      <c r="C33" s="6" t="str">
        <f>IFERROR(IF(LEFT(D33,FIND(" ",D33)-1)="전라북도","전북특별자치도",LEFT(D33,FIND(" ",D33)-1)),"")</f>
        <v>강원특별자치도</v>
      </c>
      <c r="D33" s="3" t="s">
        <v>955</v>
      </c>
      <c r="E33" s="3" t="s">
        <v>956</v>
      </c>
      <c r="F33" s="3" t="s">
        <v>936</v>
      </c>
      <c r="G33" s="3" t="s">
        <v>19</v>
      </c>
      <c r="H33" s="3" t="s">
        <v>940</v>
      </c>
      <c r="I33" s="3" t="s">
        <v>940</v>
      </c>
      <c r="J33" s="3" t="s">
        <v>19</v>
      </c>
      <c r="K33" s="3" t="s">
        <v>21</v>
      </c>
      <c r="L33" s="3" t="s">
        <v>147</v>
      </c>
      <c r="M33" s="4">
        <v>838</v>
      </c>
      <c r="N33" s="3" t="s">
        <v>84</v>
      </c>
      <c r="O33" s="3" t="s">
        <v>24</v>
      </c>
    </row>
    <row r="34" spans="1:15" ht="19.95" hidden="1" customHeight="1" x14ac:dyDescent="0.4">
      <c r="A34" s="7">
        <v>192</v>
      </c>
      <c r="B34" s="8" t="s">
        <v>999</v>
      </c>
      <c r="C34" s="6" t="str">
        <f>IFERROR(IF(LEFT(D34,FIND(" ",D34)-1)="전라북도","전북특별자치도",LEFT(D34,FIND(" ",D34)-1)),"")</f>
        <v>강원특별자치도</v>
      </c>
      <c r="D34" s="3" t="s">
        <v>1000</v>
      </c>
      <c r="E34" s="3" t="s">
        <v>1001</v>
      </c>
      <c r="F34" s="3" t="s">
        <v>997</v>
      </c>
      <c r="G34" s="3" t="s">
        <v>1002</v>
      </c>
      <c r="H34" s="3" t="s">
        <v>1003</v>
      </c>
      <c r="I34" s="3" t="s">
        <v>19</v>
      </c>
      <c r="J34" s="3" t="s">
        <v>19</v>
      </c>
      <c r="K34" s="3" t="s">
        <v>21</v>
      </c>
      <c r="L34" s="3" t="s">
        <v>22</v>
      </c>
      <c r="M34" s="4">
        <v>208</v>
      </c>
      <c r="N34" s="3" t="s">
        <v>129</v>
      </c>
      <c r="O34" s="3" t="s">
        <v>24</v>
      </c>
    </row>
    <row r="35" spans="1:15" ht="22.05" customHeight="1" x14ac:dyDescent="0.4">
      <c r="A35" s="7">
        <v>211</v>
      </c>
      <c r="B35" s="8" t="s">
        <v>1097</v>
      </c>
      <c r="C35" s="6" t="str">
        <f>IFERROR(IF(LEFT(D35,FIND(" ",D35)-1)="전라북도","전북특별자치도",LEFT(D35,FIND(" ",D35)-1)),"")</f>
        <v>강원특별자치도</v>
      </c>
      <c r="D35" s="3" t="s">
        <v>1098</v>
      </c>
      <c r="E35" s="3" t="s">
        <v>1099</v>
      </c>
      <c r="F35" s="3" t="s">
        <v>1100</v>
      </c>
      <c r="G35" s="3" t="s">
        <v>19</v>
      </c>
      <c r="H35" s="3" t="s">
        <v>916</v>
      </c>
      <c r="I35" s="3" t="s">
        <v>19</v>
      </c>
      <c r="J35" s="3" t="s">
        <v>19</v>
      </c>
      <c r="K35" s="3" t="s">
        <v>21</v>
      </c>
      <c r="L35" s="3" t="s">
        <v>22</v>
      </c>
      <c r="M35" s="4">
        <v>827</v>
      </c>
      <c r="N35" s="3" t="s">
        <v>23</v>
      </c>
      <c r="O35" s="3" t="s">
        <v>24</v>
      </c>
    </row>
    <row r="36" spans="1:15" ht="22.05" customHeight="1" x14ac:dyDescent="0.4">
      <c r="A36" s="7">
        <v>218</v>
      </c>
      <c r="B36" s="8" t="s">
        <v>1128</v>
      </c>
      <c r="C36" s="6" t="str">
        <f>IFERROR(IF(LEFT(D36,FIND(" ",D36)-1)="전라북도","전북특별자치도",LEFT(D36,FIND(" ",D36)-1)),"")</f>
        <v>강원특별자치도</v>
      </c>
      <c r="D36" s="3" t="s">
        <v>1129</v>
      </c>
      <c r="E36" s="3" t="s">
        <v>1130</v>
      </c>
      <c r="F36" s="3" t="s">
        <v>1126</v>
      </c>
      <c r="G36" s="3" t="s">
        <v>1131</v>
      </c>
      <c r="H36" s="3" t="s">
        <v>128</v>
      </c>
      <c r="I36" s="3" t="s">
        <v>19</v>
      </c>
      <c r="J36" s="3" t="s">
        <v>19</v>
      </c>
      <c r="K36" s="3" t="s">
        <v>21</v>
      </c>
      <c r="L36" s="3" t="s">
        <v>22</v>
      </c>
      <c r="M36" s="4">
        <v>910</v>
      </c>
      <c r="N36" s="3" t="s">
        <v>23</v>
      </c>
      <c r="O36" s="3" t="s">
        <v>24</v>
      </c>
    </row>
    <row r="37" spans="1:15" ht="22.05" customHeight="1" x14ac:dyDescent="0.4">
      <c r="A37" s="7">
        <v>221</v>
      </c>
      <c r="B37" s="8" t="s">
        <v>1142</v>
      </c>
      <c r="C37" s="6" t="str">
        <f>IFERROR(IF(LEFT(D37,FIND(" ",D37)-1)="전라북도","전북특별자치도",LEFT(D37,FIND(" ",D37)-1)),"")</f>
        <v>강원특별자치도</v>
      </c>
      <c r="D37" s="3" t="s">
        <v>1143</v>
      </c>
      <c r="E37" s="3" t="s">
        <v>1144</v>
      </c>
      <c r="F37" s="3" t="s">
        <v>1141</v>
      </c>
      <c r="G37" s="3" t="s">
        <v>1145</v>
      </c>
      <c r="H37" s="3" t="s">
        <v>19</v>
      </c>
      <c r="I37" s="3" t="s">
        <v>19</v>
      </c>
      <c r="J37" s="3" t="s">
        <v>19</v>
      </c>
      <c r="K37" s="3" t="s">
        <v>21</v>
      </c>
      <c r="L37" s="3" t="s">
        <v>22</v>
      </c>
      <c r="M37" s="4">
        <v>393</v>
      </c>
      <c r="N37" s="3" t="s">
        <v>23</v>
      </c>
      <c r="O37" s="3" t="s">
        <v>24</v>
      </c>
    </row>
    <row r="38" spans="1:15" ht="22.05" customHeight="1" x14ac:dyDescent="0.4">
      <c r="A38" s="7">
        <v>222</v>
      </c>
      <c r="B38" s="8" t="s">
        <v>1146</v>
      </c>
      <c r="C38" s="6" t="str">
        <f>IFERROR(IF(LEFT(D38,FIND(" ",D38)-1)="전라북도","전북특별자치도",LEFT(D38,FIND(" ",D38)-1)),"")</f>
        <v>강원특별자치도</v>
      </c>
      <c r="D38" s="3" t="s">
        <v>1147</v>
      </c>
      <c r="E38" s="3" t="s">
        <v>1148</v>
      </c>
      <c r="F38" s="3" t="s">
        <v>1141</v>
      </c>
      <c r="G38" s="3" t="s">
        <v>1149</v>
      </c>
      <c r="H38" s="3" t="s">
        <v>128</v>
      </c>
      <c r="I38" s="3" t="s">
        <v>19</v>
      </c>
      <c r="J38" s="3" t="s">
        <v>19</v>
      </c>
      <c r="K38" s="3" t="s">
        <v>21</v>
      </c>
      <c r="L38" s="3" t="s">
        <v>22</v>
      </c>
      <c r="M38" s="4">
        <v>743</v>
      </c>
      <c r="N38" s="3" t="s">
        <v>211</v>
      </c>
      <c r="O38" s="3" t="s">
        <v>24</v>
      </c>
    </row>
    <row r="39" spans="1:15" ht="22.05" customHeight="1" x14ac:dyDescent="0.4">
      <c r="A39" s="7">
        <v>223</v>
      </c>
      <c r="B39" s="8" t="s">
        <v>1150</v>
      </c>
      <c r="C39" s="6" t="str">
        <f>IFERROR(IF(LEFT(D39,FIND(" ",D39)-1)="전라북도","전북특별자치도",LEFT(D39,FIND(" ",D39)-1)),"")</f>
        <v>강원특별자치도</v>
      </c>
      <c r="D39" s="3" t="s">
        <v>1151</v>
      </c>
      <c r="E39" s="3" t="s">
        <v>1152</v>
      </c>
      <c r="F39" s="3" t="s">
        <v>1153</v>
      </c>
      <c r="G39" s="3" t="s">
        <v>1154</v>
      </c>
      <c r="H39" s="3" t="s">
        <v>1155</v>
      </c>
      <c r="I39" s="3" t="s">
        <v>1156</v>
      </c>
      <c r="J39" s="3" t="s">
        <v>19</v>
      </c>
      <c r="K39" s="3" t="s">
        <v>21</v>
      </c>
      <c r="L39" s="3" t="s">
        <v>22</v>
      </c>
      <c r="M39" s="4">
        <v>708</v>
      </c>
      <c r="N39" s="3" t="s">
        <v>23</v>
      </c>
      <c r="O39" s="3" t="s">
        <v>24</v>
      </c>
    </row>
    <row r="40" spans="1:15" ht="19.95" hidden="1" customHeight="1" x14ac:dyDescent="0.4">
      <c r="A40" s="7">
        <v>226</v>
      </c>
      <c r="B40" s="8" t="s">
        <v>1168</v>
      </c>
      <c r="C40" s="6" t="str">
        <f>IFERROR(IF(LEFT(D40,FIND(" ",D40)-1)="전라북도","전북특별자치도",LEFT(D40,FIND(" ",D40)-1)),"")</f>
        <v>강원특별자치도</v>
      </c>
      <c r="D40" s="3" t="s">
        <v>207</v>
      </c>
      <c r="E40" s="3" t="s">
        <v>1169</v>
      </c>
      <c r="F40" s="3" t="s">
        <v>1170</v>
      </c>
      <c r="G40" s="3" t="s">
        <v>19</v>
      </c>
      <c r="H40" s="3" t="s">
        <v>210</v>
      </c>
      <c r="I40" s="3" t="s">
        <v>19</v>
      </c>
      <c r="J40" s="3" t="s">
        <v>19</v>
      </c>
      <c r="K40" s="3" t="s">
        <v>21</v>
      </c>
      <c r="L40" s="3" t="s">
        <v>22</v>
      </c>
      <c r="M40" s="4">
        <v>97</v>
      </c>
      <c r="N40" s="3" t="s">
        <v>211</v>
      </c>
      <c r="O40" s="3" t="s">
        <v>24</v>
      </c>
    </row>
    <row r="41" spans="1:15" ht="22.05" customHeight="1" x14ac:dyDescent="0.4">
      <c r="A41" s="7">
        <v>249</v>
      </c>
      <c r="B41" s="8" t="s">
        <v>1270</v>
      </c>
      <c r="C41" s="6" t="str">
        <f>IFERROR(IF(LEFT(D41,FIND(" ",D41)-1)="전라북도","전북특별자치도",LEFT(D41,FIND(" ",D41)-1)),"")</f>
        <v>강원특별자치도</v>
      </c>
      <c r="D41" s="3" t="s">
        <v>1271</v>
      </c>
      <c r="E41" s="3" t="s">
        <v>1264</v>
      </c>
      <c r="F41" s="3" t="s">
        <v>305</v>
      </c>
      <c r="G41" s="3" t="s">
        <v>19</v>
      </c>
      <c r="H41" s="3" t="s">
        <v>1272</v>
      </c>
      <c r="I41" s="3" t="s">
        <v>19</v>
      </c>
      <c r="J41" s="3" t="s">
        <v>1273</v>
      </c>
      <c r="K41" s="3" t="s">
        <v>21</v>
      </c>
      <c r="L41" s="3" t="s">
        <v>22</v>
      </c>
      <c r="M41" s="4">
        <v>9425</v>
      </c>
      <c r="N41" s="3" t="s">
        <v>23</v>
      </c>
      <c r="O41" s="3" t="s">
        <v>24</v>
      </c>
    </row>
    <row r="42" spans="1:15" ht="22.05" customHeight="1" x14ac:dyDescent="0.4">
      <c r="A42" s="7">
        <v>257</v>
      </c>
      <c r="B42" s="8" t="s">
        <v>1311</v>
      </c>
      <c r="C42" s="6" t="str">
        <f>IFERROR(IF(LEFT(D42,FIND(" ",D42)-1)="전라북도","전북특별자치도",LEFT(D42,FIND(" ",D42)-1)),"")</f>
        <v>강원특별자치도</v>
      </c>
      <c r="D42" s="3" t="s">
        <v>1312</v>
      </c>
      <c r="E42" s="3" t="s">
        <v>1313</v>
      </c>
      <c r="F42" s="3" t="s">
        <v>1314</v>
      </c>
      <c r="G42" s="3" t="s">
        <v>19</v>
      </c>
      <c r="H42" s="3" t="s">
        <v>1315</v>
      </c>
      <c r="I42" s="3" t="s">
        <v>19</v>
      </c>
      <c r="J42" s="3" t="s">
        <v>400</v>
      </c>
      <c r="K42" s="3" t="s">
        <v>21</v>
      </c>
      <c r="L42" s="3" t="s">
        <v>22</v>
      </c>
      <c r="M42" s="4">
        <v>23667</v>
      </c>
      <c r="N42" s="3" t="s">
        <v>23</v>
      </c>
      <c r="O42" s="3" t="s">
        <v>24</v>
      </c>
    </row>
    <row r="43" spans="1:15" ht="22.05" customHeight="1" x14ac:dyDescent="0.4">
      <c r="A43" s="7">
        <v>260</v>
      </c>
      <c r="B43" s="8" t="s">
        <v>1324</v>
      </c>
      <c r="C43" s="6" t="str">
        <f>IFERROR(IF(LEFT(D43,FIND(" ",D43)-1)="전라북도","전북특별자치도",LEFT(D43,FIND(" ",D43)-1)),"")</f>
        <v>강원특별자치도</v>
      </c>
      <c r="D43" s="3" t="s">
        <v>1325</v>
      </c>
      <c r="E43" s="3" t="s">
        <v>1326</v>
      </c>
      <c r="F43" s="3" t="s">
        <v>1319</v>
      </c>
      <c r="G43" s="3" t="s">
        <v>19</v>
      </c>
      <c r="H43" s="3" t="s">
        <v>1327</v>
      </c>
      <c r="I43" s="3" t="s">
        <v>19</v>
      </c>
      <c r="J43" s="3" t="s">
        <v>1328</v>
      </c>
      <c r="K43" s="3" t="s">
        <v>21</v>
      </c>
      <c r="L43" s="3" t="s">
        <v>22</v>
      </c>
      <c r="M43" s="4">
        <v>4998</v>
      </c>
      <c r="N43" s="3" t="s">
        <v>23</v>
      </c>
      <c r="O43" s="3" t="s">
        <v>24</v>
      </c>
    </row>
    <row r="44" spans="1:15" ht="22.05" customHeight="1" x14ac:dyDescent="0.4">
      <c r="A44" s="7">
        <v>299</v>
      </c>
      <c r="B44" s="8" t="s">
        <v>1508</v>
      </c>
      <c r="C44" s="6" t="str">
        <f>IFERROR(IF(LEFT(D44,FIND(" ",D44)-1)="전라북도","전북특별자치도",LEFT(D44,FIND(" ",D44)-1)),"")</f>
        <v>강원특별자치도</v>
      </c>
      <c r="D44" s="3" t="s">
        <v>1509</v>
      </c>
      <c r="E44" s="3" t="s">
        <v>1510</v>
      </c>
      <c r="F44" s="3" t="s">
        <v>913</v>
      </c>
      <c r="G44" s="3" t="s">
        <v>19</v>
      </c>
      <c r="H44" s="3" t="s">
        <v>1511</v>
      </c>
      <c r="I44" s="3" t="s">
        <v>19</v>
      </c>
      <c r="J44" s="3" t="s">
        <v>19</v>
      </c>
      <c r="K44" s="3" t="s">
        <v>21</v>
      </c>
      <c r="L44" s="3" t="s">
        <v>22</v>
      </c>
      <c r="M44" s="4">
        <v>300</v>
      </c>
      <c r="N44" s="3" t="s">
        <v>1498</v>
      </c>
      <c r="O44" s="3" t="s">
        <v>24</v>
      </c>
    </row>
    <row r="45" spans="1:15" ht="22.05" customHeight="1" x14ac:dyDescent="0.4">
      <c r="A45" s="7">
        <v>300</v>
      </c>
      <c r="B45" s="8" t="s">
        <v>1512</v>
      </c>
      <c r="C45" s="6" t="str">
        <f>IFERROR(IF(LEFT(D45,FIND(" ",D45)-1)="전라북도","전북특별자치도",LEFT(D45,FIND(" ",D45)-1)),"")</f>
        <v>강원특별자치도</v>
      </c>
      <c r="D45" s="3" t="s">
        <v>1513</v>
      </c>
      <c r="E45" s="3" t="s">
        <v>1514</v>
      </c>
      <c r="F45" s="3" t="s">
        <v>119</v>
      </c>
      <c r="G45" s="3" t="s">
        <v>1515</v>
      </c>
      <c r="H45" s="3" t="s">
        <v>19</v>
      </c>
      <c r="I45" s="3" t="s">
        <v>1516</v>
      </c>
      <c r="J45" s="3" t="s">
        <v>19</v>
      </c>
      <c r="K45" s="3" t="s">
        <v>21</v>
      </c>
      <c r="L45" s="3" t="s">
        <v>22</v>
      </c>
      <c r="M45" s="4">
        <v>4983</v>
      </c>
      <c r="N45" s="3" t="s">
        <v>1498</v>
      </c>
      <c r="O45" s="3" t="s">
        <v>24</v>
      </c>
    </row>
    <row r="46" spans="1:15" ht="22.05" customHeight="1" x14ac:dyDescent="0.4">
      <c r="A46" s="7">
        <v>314</v>
      </c>
      <c r="B46" s="8" t="s">
        <v>1597</v>
      </c>
      <c r="C46" s="6" t="str">
        <f>IFERROR(IF(LEFT(D46,FIND(" ",D46)-1)="전라북도","전북특별자치도",LEFT(D46,FIND(" ",D46)-1)),"")</f>
        <v>강원특별자치도</v>
      </c>
      <c r="D46" s="3" t="s">
        <v>1598</v>
      </c>
      <c r="E46" s="3" t="s">
        <v>1599</v>
      </c>
      <c r="F46" s="3" t="s">
        <v>1600</v>
      </c>
      <c r="G46" s="3" t="s">
        <v>19</v>
      </c>
      <c r="H46" s="3" t="s">
        <v>436</v>
      </c>
      <c r="I46" s="3" t="s">
        <v>19</v>
      </c>
      <c r="J46" s="3" t="s">
        <v>19</v>
      </c>
      <c r="K46" s="3" t="s">
        <v>21</v>
      </c>
      <c r="L46" s="3" t="s">
        <v>147</v>
      </c>
      <c r="M46" s="4">
        <v>923</v>
      </c>
      <c r="N46" s="3" t="s">
        <v>1498</v>
      </c>
      <c r="O46" s="3" t="s">
        <v>24</v>
      </c>
    </row>
    <row r="47" spans="1:15" ht="22.05" customHeight="1" x14ac:dyDescent="0.4">
      <c r="A47" s="7">
        <v>348</v>
      </c>
      <c r="B47" s="8" t="s">
        <v>1766</v>
      </c>
      <c r="C47" s="6" t="str">
        <f>IFERROR(IF(LEFT(D47,FIND(" ",D47)-1)="전라북도","전북특별자치도",LEFT(D47,FIND(" ",D47)-1)),"")</f>
        <v>강원특별자치도</v>
      </c>
      <c r="D47" s="3" t="s">
        <v>1767</v>
      </c>
      <c r="E47" s="3" t="s">
        <v>1768</v>
      </c>
      <c r="F47" s="3" t="s">
        <v>1626</v>
      </c>
      <c r="G47" s="3" t="s">
        <v>1769</v>
      </c>
      <c r="H47" s="3" t="s">
        <v>1770</v>
      </c>
      <c r="I47" s="3" t="s">
        <v>1771</v>
      </c>
      <c r="J47" s="3" t="s">
        <v>1772</v>
      </c>
      <c r="K47" s="3" t="s">
        <v>21</v>
      </c>
      <c r="L47" s="3" t="s">
        <v>22</v>
      </c>
      <c r="M47" s="4">
        <v>46567</v>
      </c>
      <c r="N47" s="3" t="s">
        <v>1498</v>
      </c>
      <c r="O47" s="3" t="s">
        <v>24</v>
      </c>
    </row>
    <row r="48" spans="1:15" hidden="1" x14ac:dyDescent="0.4">
      <c r="A48" s="7">
        <v>47</v>
      </c>
      <c r="B48" s="8" t="s">
        <v>276</v>
      </c>
      <c r="C48" s="6" t="str">
        <f>IFERROR(IF(LEFT(D48,FIND(" ",D48)-1)="전라북도","전북특별자치도",LEFT(D48,FIND(" ",D48)-1)),"")</f>
        <v>경기도</v>
      </c>
      <c r="D48" s="3" t="s">
        <v>277</v>
      </c>
      <c r="E48" s="3" t="s">
        <v>278</v>
      </c>
      <c r="F48" s="3" t="s">
        <v>279</v>
      </c>
      <c r="G48" s="3" t="s">
        <v>19</v>
      </c>
      <c r="H48" s="3" t="s">
        <v>280</v>
      </c>
      <c r="I48" s="3" t="s">
        <v>19</v>
      </c>
      <c r="J48" s="3" t="s">
        <v>19</v>
      </c>
      <c r="K48" s="3" t="s">
        <v>21</v>
      </c>
      <c r="L48" s="3" t="s">
        <v>147</v>
      </c>
      <c r="M48" s="4">
        <v>1211</v>
      </c>
      <c r="N48" s="3" t="s">
        <v>23</v>
      </c>
      <c r="O48" s="3" t="s">
        <v>281</v>
      </c>
    </row>
    <row r="49" spans="1:15" ht="22.05" customHeight="1" x14ac:dyDescent="0.4">
      <c r="A49" s="7">
        <v>357</v>
      </c>
      <c r="B49" s="8" t="s">
        <v>1813</v>
      </c>
      <c r="C49" s="6" t="str">
        <f>IFERROR(IF(LEFT(D49,FIND(" ",D49)-1)="전라북도","전북특별자치도",LEFT(D49,FIND(" ",D49)-1)),"")</f>
        <v>강원특별자치도</v>
      </c>
      <c r="D49" s="3" t="s">
        <v>1814</v>
      </c>
      <c r="E49" s="3" t="s">
        <v>1815</v>
      </c>
      <c r="F49" s="3" t="s">
        <v>1816</v>
      </c>
      <c r="G49" s="3" t="s">
        <v>19</v>
      </c>
      <c r="H49" s="3" t="s">
        <v>1817</v>
      </c>
      <c r="I49" s="3" t="s">
        <v>19</v>
      </c>
      <c r="J49" s="3" t="s">
        <v>19</v>
      </c>
      <c r="K49" s="3" t="s">
        <v>21</v>
      </c>
      <c r="L49" s="3" t="s">
        <v>22</v>
      </c>
      <c r="M49" s="4">
        <v>813</v>
      </c>
      <c r="N49" s="3" t="s">
        <v>1498</v>
      </c>
      <c r="O49" s="3" t="s">
        <v>24</v>
      </c>
    </row>
    <row r="50" spans="1:15" ht="22.05" customHeight="1" x14ac:dyDescent="0.4">
      <c r="A50" s="7">
        <v>424</v>
      </c>
      <c r="B50" s="8" t="s">
        <v>2168</v>
      </c>
      <c r="C50" s="6" t="str">
        <f>IFERROR(IF(LEFT(D50,FIND(" ",D50)-1)="전라북도","전북특별자치도",LEFT(D50,FIND(" ",D50)-1)),"")</f>
        <v>강원특별자치도</v>
      </c>
      <c r="D50" s="3" t="s">
        <v>2169</v>
      </c>
      <c r="E50" s="3" t="s">
        <v>2170</v>
      </c>
      <c r="F50" s="3" t="s">
        <v>2171</v>
      </c>
      <c r="G50" s="3" t="s">
        <v>2172</v>
      </c>
      <c r="H50" s="3" t="s">
        <v>1110</v>
      </c>
      <c r="I50" s="3" t="s">
        <v>2173</v>
      </c>
      <c r="J50" s="3" t="s">
        <v>19</v>
      </c>
      <c r="K50" s="3" t="s">
        <v>21</v>
      </c>
      <c r="L50" s="3" t="s">
        <v>22</v>
      </c>
      <c r="M50" s="4">
        <v>14478</v>
      </c>
      <c r="N50" s="3" t="s">
        <v>2174</v>
      </c>
      <c r="O50" s="3" t="s">
        <v>24</v>
      </c>
    </row>
    <row r="51" spans="1:15" ht="22.05" customHeight="1" x14ac:dyDescent="0.4">
      <c r="A51" s="7">
        <v>485</v>
      </c>
      <c r="B51" s="8" t="s">
        <v>2441</v>
      </c>
      <c r="C51" s="6" t="str">
        <f>IFERROR(IF(LEFT(D51,FIND(" ",D51)-1)="전라북도","전북특별자치도",LEFT(D51,FIND(" ",D51)-1)),"")</f>
        <v>강원특별자치도</v>
      </c>
      <c r="D51" s="3" t="s">
        <v>2442</v>
      </c>
      <c r="E51" s="3" t="s">
        <v>1144</v>
      </c>
      <c r="F51" s="3" t="s">
        <v>2443</v>
      </c>
      <c r="G51" s="3" t="s">
        <v>2444</v>
      </c>
      <c r="H51" s="3" t="s">
        <v>2445</v>
      </c>
      <c r="I51" s="3" t="s">
        <v>2446</v>
      </c>
      <c r="J51" s="3" t="s">
        <v>19</v>
      </c>
      <c r="K51" s="3" t="s">
        <v>21</v>
      </c>
      <c r="L51" s="3" t="s">
        <v>22</v>
      </c>
      <c r="M51" s="4">
        <v>19738</v>
      </c>
      <c r="N51" s="3" t="s">
        <v>1498</v>
      </c>
      <c r="O51" s="3" t="s">
        <v>24</v>
      </c>
    </row>
    <row r="52" spans="1:15" ht="22.05" customHeight="1" x14ac:dyDescent="0.4">
      <c r="A52" s="7">
        <v>605</v>
      </c>
      <c r="B52" s="8" t="s">
        <v>2935</v>
      </c>
      <c r="C52" s="6" t="str">
        <f>IFERROR(IF(LEFT(D52,FIND(" ",D52)-1)="전라북도","전북특별자치도",LEFT(D52,FIND(" ",D52)-1)),"")</f>
        <v>강원특별자치도</v>
      </c>
      <c r="D52" s="3" t="s">
        <v>2936</v>
      </c>
      <c r="E52" s="3" t="s">
        <v>2937</v>
      </c>
      <c r="F52" s="3" t="s">
        <v>2002</v>
      </c>
      <c r="G52" s="3" t="s">
        <v>2938</v>
      </c>
      <c r="H52" s="3" t="s">
        <v>2939</v>
      </c>
      <c r="I52" s="3" t="s">
        <v>2940</v>
      </c>
      <c r="J52" s="3" t="s">
        <v>19</v>
      </c>
      <c r="K52" s="3" t="s">
        <v>21</v>
      </c>
      <c r="L52" s="3" t="s">
        <v>22</v>
      </c>
      <c r="M52" s="4">
        <v>14611</v>
      </c>
      <c r="N52" s="3" t="s">
        <v>1498</v>
      </c>
      <c r="O52" s="3" t="s">
        <v>24</v>
      </c>
    </row>
    <row r="53" spans="1:15" hidden="1" x14ac:dyDescent="0.4">
      <c r="A53" s="7">
        <v>52</v>
      </c>
      <c r="B53" s="8" t="s">
        <v>299</v>
      </c>
      <c r="C53" s="6" t="str">
        <f>IFERROR(IF(LEFT(D53,FIND(" ",D53)-1)="전라북도","전북특별자치도",LEFT(D53,FIND(" ",D53)-1)),"")</f>
        <v>경기도</v>
      </c>
      <c r="D53" s="3" t="s">
        <v>300</v>
      </c>
      <c r="E53" s="3" t="s">
        <v>301</v>
      </c>
      <c r="F53" s="3" t="s">
        <v>294</v>
      </c>
      <c r="G53" s="3" t="s">
        <v>19</v>
      </c>
      <c r="H53" s="3" t="s">
        <v>19</v>
      </c>
      <c r="I53" s="3" t="s">
        <v>302</v>
      </c>
      <c r="J53" s="3" t="s">
        <v>19</v>
      </c>
      <c r="K53" s="3" t="s">
        <v>21</v>
      </c>
      <c r="L53" s="3" t="s">
        <v>147</v>
      </c>
      <c r="M53" s="4">
        <v>309</v>
      </c>
      <c r="N53" s="3" t="s">
        <v>84</v>
      </c>
      <c r="O53" s="3" t="s">
        <v>281</v>
      </c>
    </row>
    <row r="54" spans="1:15" ht="22.05" customHeight="1" x14ac:dyDescent="0.4">
      <c r="A54" s="7">
        <v>701</v>
      </c>
      <c r="B54" s="8" t="s">
        <v>3336</v>
      </c>
      <c r="C54" s="6" t="str">
        <f>IFERROR(IF(LEFT(D54,FIND(" ",D54)-1)="전라북도","전북특별자치도",LEFT(D54,FIND(" ",D54)-1)),"")</f>
        <v>강원특별자치도</v>
      </c>
      <c r="D54" s="3" t="s">
        <v>3337</v>
      </c>
      <c r="E54" s="3" t="s">
        <v>1815</v>
      </c>
      <c r="F54" s="3" t="s">
        <v>3327</v>
      </c>
      <c r="G54" s="3" t="s">
        <v>19</v>
      </c>
      <c r="H54" s="3" t="s">
        <v>3338</v>
      </c>
      <c r="I54" s="3" t="s">
        <v>19</v>
      </c>
      <c r="J54" s="3" t="s">
        <v>19</v>
      </c>
      <c r="K54" s="3" t="s">
        <v>21</v>
      </c>
      <c r="L54" s="3" t="s">
        <v>147</v>
      </c>
      <c r="M54" s="4">
        <v>383</v>
      </c>
      <c r="N54" s="3" t="s">
        <v>1498</v>
      </c>
      <c r="O54" s="3" t="s">
        <v>24</v>
      </c>
    </row>
    <row r="55" spans="1:15" ht="22.05" customHeight="1" x14ac:dyDescent="0.4">
      <c r="A55" s="7">
        <v>37</v>
      </c>
      <c r="B55" s="8" t="s">
        <v>218</v>
      </c>
      <c r="C55" s="6" t="str">
        <f>IFERROR(IF(LEFT(D55,FIND(" ",D55)-1)="전라북도","전북특별자치도",LEFT(D55,FIND(" ",D55)-1)),"")</f>
        <v>경기도</v>
      </c>
      <c r="D55" s="3" t="s">
        <v>219</v>
      </c>
      <c r="E55" s="3" t="s">
        <v>220</v>
      </c>
      <c r="F55" s="3" t="s">
        <v>221</v>
      </c>
      <c r="G55" s="3" t="s">
        <v>19</v>
      </c>
      <c r="H55" s="3" t="s">
        <v>222</v>
      </c>
      <c r="I55" s="3" t="s">
        <v>19</v>
      </c>
      <c r="J55" s="3" t="s">
        <v>19</v>
      </c>
      <c r="K55" s="3" t="s">
        <v>21</v>
      </c>
      <c r="L55" s="3" t="s">
        <v>147</v>
      </c>
      <c r="M55" s="4">
        <v>942</v>
      </c>
      <c r="N55" s="3" t="s">
        <v>23</v>
      </c>
      <c r="O55" s="3" t="s">
        <v>24</v>
      </c>
    </row>
    <row r="56" spans="1:15" hidden="1" x14ac:dyDescent="0.4">
      <c r="A56" s="7">
        <v>55</v>
      </c>
      <c r="B56" s="8" t="s">
        <v>310</v>
      </c>
      <c r="C56" s="6" t="str">
        <f>IFERROR(IF(LEFT(D56,FIND(" ",D56)-1)="전라북도","전북특별자치도",LEFT(D56,FIND(" ",D56)-1)),"")</f>
        <v>전라남도</v>
      </c>
      <c r="D56" s="3" t="s">
        <v>311</v>
      </c>
      <c r="E56" s="3" t="s">
        <v>312</v>
      </c>
      <c r="F56" s="3" t="s">
        <v>313</v>
      </c>
      <c r="G56" s="3" t="s">
        <v>315</v>
      </c>
      <c r="H56" s="3" t="s">
        <v>19</v>
      </c>
      <c r="I56" s="3" t="s">
        <v>19</v>
      </c>
      <c r="J56" s="3" t="s">
        <v>315</v>
      </c>
      <c r="K56" s="3" t="s">
        <v>21</v>
      </c>
      <c r="L56" s="3" t="s">
        <v>147</v>
      </c>
      <c r="M56" s="4">
        <v>214</v>
      </c>
      <c r="N56" s="3" t="s">
        <v>23</v>
      </c>
      <c r="O56" s="3" t="s">
        <v>281</v>
      </c>
    </row>
    <row r="57" spans="1:15" ht="22.05" customHeight="1" x14ac:dyDescent="0.4">
      <c r="A57" s="7">
        <v>48</v>
      </c>
      <c r="B57" s="8" t="s">
        <v>282</v>
      </c>
      <c r="C57" s="6" t="str">
        <f>IFERROR(IF(LEFT(D57,FIND(" ",D57)-1)="전라북도","전북특별자치도",LEFT(D57,FIND(" ",D57)-1)),"")</f>
        <v>경기도</v>
      </c>
      <c r="D57" s="3" t="s">
        <v>283</v>
      </c>
      <c r="E57" s="3" t="s">
        <v>284</v>
      </c>
      <c r="F57" s="3" t="s">
        <v>279</v>
      </c>
      <c r="G57" s="3" t="s">
        <v>19</v>
      </c>
      <c r="H57" s="3" t="s">
        <v>285</v>
      </c>
      <c r="I57" s="3" t="s">
        <v>19</v>
      </c>
      <c r="J57" s="3" t="s">
        <v>19</v>
      </c>
      <c r="K57" s="3" t="s">
        <v>21</v>
      </c>
      <c r="L57" s="3" t="s">
        <v>147</v>
      </c>
      <c r="M57" s="4">
        <v>1344</v>
      </c>
      <c r="N57" s="3" t="s">
        <v>286</v>
      </c>
      <c r="O57" s="3" t="s">
        <v>24</v>
      </c>
    </row>
    <row r="58" spans="1:15" ht="22.05" customHeight="1" x14ac:dyDescent="0.4">
      <c r="A58" s="7">
        <v>50</v>
      </c>
      <c r="B58" s="8" t="s">
        <v>291</v>
      </c>
      <c r="C58" s="6" t="str">
        <f>IFERROR(IF(LEFT(D58,FIND(" ",D58)-1)="전라북도","전북특별자치도",LEFT(D58,FIND(" ",D58)-1)),"")</f>
        <v>경기도</v>
      </c>
      <c r="D58" s="3" t="s">
        <v>292</v>
      </c>
      <c r="E58" s="3" t="s">
        <v>293</v>
      </c>
      <c r="F58" s="3" t="s">
        <v>294</v>
      </c>
      <c r="G58" s="3" t="s">
        <v>19</v>
      </c>
      <c r="H58" s="3" t="s">
        <v>274</v>
      </c>
      <c r="I58" s="3" t="s">
        <v>19</v>
      </c>
      <c r="J58" s="3" t="s">
        <v>19</v>
      </c>
      <c r="K58" s="3" t="s">
        <v>21</v>
      </c>
      <c r="L58" s="3" t="s">
        <v>22</v>
      </c>
      <c r="M58" s="4">
        <v>300</v>
      </c>
      <c r="N58" s="3" t="s">
        <v>23</v>
      </c>
      <c r="O58" s="3" t="s">
        <v>24</v>
      </c>
    </row>
    <row r="59" spans="1:15" ht="22.05" customHeight="1" x14ac:dyDescent="0.4">
      <c r="A59" s="7">
        <v>51</v>
      </c>
      <c r="B59" s="8" t="s">
        <v>295</v>
      </c>
      <c r="C59" s="6" t="str">
        <f>IFERROR(IF(LEFT(D59,FIND(" ",D59)-1)="전라북도","전북특별자치도",LEFT(D59,FIND(" ",D59)-1)),"")</f>
        <v>경기도</v>
      </c>
      <c r="D59" s="3" t="s">
        <v>296</v>
      </c>
      <c r="E59" s="3" t="s">
        <v>297</v>
      </c>
      <c r="F59" s="3" t="s">
        <v>294</v>
      </c>
      <c r="G59" s="3" t="s">
        <v>298</v>
      </c>
      <c r="H59" s="3" t="s">
        <v>19</v>
      </c>
      <c r="I59" s="3" t="s">
        <v>19</v>
      </c>
      <c r="J59" s="3" t="s">
        <v>19</v>
      </c>
      <c r="K59" s="3" t="s">
        <v>21</v>
      </c>
      <c r="L59" s="3" t="s">
        <v>22</v>
      </c>
      <c r="M59" s="4">
        <v>1371</v>
      </c>
      <c r="N59" s="3" t="s">
        <v>123</v>
      </c>
      <c r="O59" s="3" t="s">
        <v>24</v>
      </c>
    </row>
    <row r="60" spans="1:15" hidden="1" x14ac:dyDescent="0.4">
      <c r="A60" s="7">
        <v>59</v>
      </c>
      <c r="B60" s="8" t="s">
        <v>331</v>
      </c>
      <c r="C60" s="6" t="str">
        <f>IFERROR(IF(LEFT(D60,FIND(" ",D60)-1)="전라북도","전북특별자치도",LEFT(D60,FIND(" ",D60)-1)),"")</f>
        <v>경상남도</v>
      </c>
      <c r="D60" s="3" t="s">
        <v>332</v>
      </c>
      <c r="E60" s="3" t="s">
        <v>333</v>
      </c>
      <c r="F60" s="3" t="s">
        <v>334</v>
      </c>
      <c r="G60" s="3" t="s">
        <v>19</v>
      </c>
      <c r="H60" s="3" t="s">
        <v>335</v>
      </c>
      <c r="I60" s="3" t="s">
        <v>19</v>
      </c>
      <c r="J60" s="3" t="s">
        <v>19</v>
      </c>
      <c r="K60" s="3" t="s">
        <v>21</v>
      </c>
      <c r="L60" s="3" t="s">
        <v>147</v>
      </c>
      <c r="M60" s="4">
        <v>1490</v>
      </c>
      <c r="N60" s="3" t="s">
        <v>123</v>
      </c>
      <c r="O60" s="3" t="s">
        <v>281</v>
      </c>
    </row>
    <row r="61" spans="1:15" ht="22.05" customHeight="1" x14ac:dyDescent="0.4">
      <c r="A61" s="7">
        <v>71</v>
      </c>
      <c r="B61" s="8" t="s">
        <v>387</v>
      </c>
      <c r="C61" s="6" t="str">
        <f>IFERROR(IF(LEFT(D61,FIND(" ",D61)-1)="전라북도","전북특별자치도",LEFT(D61,FIND(" ",D61)-1)),"")</f>
        <v>경기도</v>
      </c>
      <c r="D61" s="3" t="s">
        <v>388</v>
      </c>
      <c r="E61" s="3" t="s">
        <v>389</v>
      </c>
      <c r="F61" s="3" t="s">
        <v>390</v>
      </c>
      <c r="G61" s="3" t="s">
        <v>19</v>
      </c>
      <c r="H61" s="3" t="s">
        <v>391</v>
      </c>
      <c r="I61" s="3" t="s">
        <v>19</v>
      </c>
      <c r="J61" s="3" t="s">
        <v>19</v>
      </c>
      <c r="K61" s="3" t="s">
        <v>21</v>
      </c>
      <c r="L61" s="3" t="s">
        <v>22</v>
      </c>
      <c r="M61" s="4">
        <v>1287</v>
      </c>
      <c r="N61" s="3" t="s">
        <v>23</v>
      </c>
      <c r="O61" s="3" t="s">
        <v>24</v>
      </c>
    </row>
    <row r="62" spans="1:15" ht="19.95" hidden="1" customHeight="1" x14ac:dyDescent="0.4">
      <c r="A62" s="7">
        <v>85</v>
      </c>
      <c r="B62" s="8" t="s">
        <v>460</v>
      </c>
      <c r="C62" s="6" t="str">
        <f>IFERROR(IF(LEFT(D62,FIND(" ",D62)-1)="전라북도","전북특별자치도",LEFT(D62,FIND(" ",D62)-1)),"")</f>
        <v>경기도</v>
      </c>
      <c r="D62" s="3" t="s">
        <v>461</v>
      </c>
      <c r="E62" s="3" t="s">
        <v>462</v>
      </c>
      <c r="F62" s="3" t="s">
        <v>463</v>
      </c>
      <c r="G62" s="3" t="s">
        <v>19</v>
      </c>
      <c r="H62" s="3" t="s">
        <v>302</v>
      </c>
      <c r="I62" s="3" t="s">
        <v>19</v>
      </c>
      <c r="J62" s="3" t="s">
        <v>19</v>
      </c>
      <c r="K62" s="3" t="s">
        <v>21</v>
      </c>
      <c r="L62" s="3" t="s">
        <v>22</v>
      </c>
      <c r="M62" s="4">
        <v>193</v>
      </c>
      <c r="N62" s="3" t="s">
        <v>129</v>
      </c>
      <c r="O62" s="3" t="s">
        <v>24</v>
      </c>
    </row>
    <row r="63" spans="1:15" ht="19.95" hidden="1" customHeight="1" x14ac:dyDescent="0.4">
      <c r="A63" s="7">
        <v>91</v>
      </c>
      <c r="B63" s="8" t="s">
        <v>488</v>
      </c>
      <c r="C63" s="6" t="str">
        <f>IFERROR(IF(LEFT(D63,FIND(" ",D63)-1)="전라북도","전북특별자치도",LEFT(D63,FIND(" ",D63)-1)),"")</f>
        <v>경기도</v>
      </c>
      <c r="D63" s="3" t="s">
        <v>489</v>
      </c>
      <c r="E63" s="3" t="s">
        <v>490</v>
      </c>
      <c r="F63" s="3" t="s">
        <v>491</v>
      </c>
      <c r="G63" s="3" t="s">
        <v>19</v>
      </c>
      <c r="H63" s="3" t="s">
        <v>492</v>
      </c>
      <c r="I63" s="3" t="s">
        <v>19</v>
      </c>
      <c r="J63" s="3" t="s">
        <v>493</v>
      </c>
      <c r="K63" s="3" t="s">
        <v>21</v>
      </c>
      <c r="L63" s="3" t="s">
        <v>22</v>
      </c>
      <c r="M63" s="4">
        <v>196</v>
      </c>
      <c r="N63" s="3" t="s">
        <v>23</v>
      </c>
      <c r="O63" s="3" t="s">
        <v>24</v>
      </c>
    </row>
    <row r="64" spans="1:15" ht="19.95" hidden="1" customHeight="1" x14ac:dyDescent="0.4">
      <c r="A64" s="7">
        <v>92</v>
      </c>
      <c r="B64" s="8" t="s">
        <v>494</v>
      </c>
      <c r="C64" s="6" t="str">
        <f>IFERROR(IF(LEFT(D64,FIND(" ",D64)-1)="전라북도","전북특별자치도",LEFT(D64,FIND(" ",D64)-1)),"")</f>
        <v>경기도</v>
      </c>
      <c r="D64" s="3" t="s">
        <v>489</v>
      </c>
      <c r="E64" s="3" t="s">
        <v>490</v>
      </c>
      <c r="F64" s="3" t="s">
        <v>491</v>
      </c>
      <c r="G64" s="3" t="s">
        <v>19</v>
      </c>
      <c r="H64" s="3" t="s">
        <v>492</v>
      </c>
      <c r="I64" s="3" t="s">
        <v>19</v>
      </c>
      <c r="J64" s="3" t="s">
        <v>493</v>
      </c>
      <c r="K64" s="3" t="s">
        <v>21</v>
      </c>
      <c r="L64" s="3" t="s">
        <v>22</v>
      </c>
      <c r="M64" s="4">
        <v>196</v>
      </c>
      <c r="N64" s="3" t="s">
        <v>23</v>
      </c>
      <c r="O64" s="3" t="s">
        <v>24</v>
      </c>
    </row>
    <row r="65" spans="1:15" ht="19.95" hidden="1" customHeight="1" x14ac:dyDescent="0.4">
      <c r="A65" s="7">
        <v>93</v>
      </c>
      <c r="B65" s="8" t="s">
        <v>495</v>
      </c>
      <c r="C65" s="6" t="str">
        <f>IFERROR(IF(LEFT(D65,FIND(" ",D65)-1)="전라북도","전북특별자치도",LEFT(D65,FIND(" ",D65)-1)),"")</f>
        <v>경기도</v>
      </c>
      <c r="D65" s="3" t="s">
        <v>489</v>
      </c>
      <c r="E65" s="3" t="s">
        <v>490</v>
      </c>
      <c r="F65" s="3" t="s">
        <v>491</v>
      </c>
      <c r="G65" s="3" t="s">
        <v>19</v>
      </c>
      <c r="H65" s="3" t="s">
        <v>492</v>
      </c>
      <c r="I65" s="3" t="s">
        <v>19</v>
      </c>
      <c r="J65" s="3" t="s">
        <v>493</v>
      </c>
      <c r="K65" s="3" t="s">
        <v>21</v>
      </c>
      <c r="L65" s="3" t="s">
        <v>22</v>
      </c>
      <c r="M65" s="4">
        <v>196</v>
      </c>
      <c r="N65" s="3" t="s">
        <v>23</v>
      </c>
      <c r="O65" s="3" t="s">
        <v>24</v>
      </c>
    </row>
    <row r="66" spans="1:15" ht="22.05" customHeight="1" x14ac:dyDescent="0.4">
      <c r="A66" s="7">
        <v>113</v>
      </c>
      <c r="B66" s="8" t="s">
        <v>593</v>
      </c>
      <c r="C66" s="6" t="str">
        <f>IFERROR(IF(LEFT(D66,FIND(" ",D66)-1)="전라북도","전북특별자치도",LEFT(D66,FIND(" ",D66)-1)),"")</f>
        <v>경기도</v>
      </c>
      <c r="D66" s="3" t="s">
        <v>594</v>
      </c>
      <c r="E66" s="3" t="s">
        <v>595</v>
      </c>
      <c r="F66" s="3" t="s">
        <v>596</v>
      </c>
      <c r="G66" s="3" t="s">
        <v>19</v>
      </c>
      <c r="H66" s="3" t="s">
        <v>302</v>
      </c>
      <c r="I66" s="3" t="s">
        <v>19</v>
      </c>
      <c r="J66" s="3" t="s">
        <v>19</v>
      </c>
      <c r="K66" s="3" t="s">
        <v>21</v>
      </c>
      <c r="L66" s="3" t="s">
        <v>22</v>
      </c>
      <c r="M66" s="4">
        <v>972</v>
      </c>
      <c r="N66" s="3" t="s">
        <v>129</v>
      </c>
      <c r="O66" s="3" t="s">
        <v>24</v>
      </c>
    </row>
    <row r="67" spans="1:15" ht="22.05" customHeight="1" x14ac:dyDescent="0.4">
      <c r="A67" s="7">
        <v>122</v>
      </c>
      <c r="B67" s="8" t="s">
        <v>639</v>
      </c>
      <c r="C67" s="6" t="str">
        <f>IFERROR(IF(LEFT(D67,FIND(" ",D67)-1)="전라북도","전북특별자치도",LEFT(D67,FIND(" ",D67)-1)),"")</f>
        <v>경기도</v>
      </c>
      <c r="D67" s="3" t="s">
        <v>640</v>
      </c>
      <c r="E67" s="3" t="s">
        <v>641</v>
      </c>
      <c r="F67" s="3" t="s">
        <v>642</v>
      </c>
      <c r="G67" s="3" t="s">
        <v>19</v>
      </c>
      <c r="H67" s="3" t="s">
        <v>643</v>
      </c>
      <c r="I67" s="3" t="s">
        <v>19</v>
      </c>
      <c r="J67" s="3" t="s">
        <v>644</v>
      </c>
      <c r="K67" s="3" t="s">
        <v>21</v>
      </c>
      <c r="L67" s="3" t="s">
        <v>22</v>
      </c>
      <c r="M67" s="4">
        <v>109940</v>
      </c>
      <c r="N67" s="3" t="s">
        <v>23</v>
      </c>
      <c r="O67" s="3" t="s">
        <v>24</v>
      </c>
    </row>
    <row r="68" spans="1:15" ht="22.05" customHeight="1" x14ac:dyDescent="0.4">
      <c r="A68" s="7">
        <v>150</v>
      </c>
      <c r="B68" s="8" t="s">
        <v>777</v>
      </c>
      <c r="C68" s="6" t="str">
        <f>IFERROR(IF(LEFT(D68,FIND(" ",D68)-1)="전라북도","전북특별자치도",LEFT(D68,FIND(" ",D68)-1)),"")</f>
        <v>경기도</v>
      </c>
      <c r="D68" s="3" t="s">
        <v>778</v>
      </c>
      <c r="E68" s="3" t="s">
        <v>779</v>
      </c>
      <c r="F68" s="3" t="s">
        <v>767</v>
      </c>
      <c r="G68" s="3" t="s">
        <v>19</v>
      </c>
      <c r="H68" s="3" t="s">
        <v>780</v>
      </c>
      <c r="I68" s="3" t="s">
        <v>19</v>
      </c>
      <c r="J68" s="3" t="s">
        <v>19</v>
      </c>
      <c r="K68" s="3" t="s">
        <v>21</v>
      </c>
      <c r="L68" s="3" t="s">
        <v>22</v>
      </c>
      <c r="M68" s="4">
        <v>596</v>
      </c>
      <c r="N68" s="3" t="s">
        <v>781</v>
      </c>
      <c r="O68" s="3" t="s">
        <v>24</v>
      </c>
    </row>
    <row r="69" spans="1:15" ht="22.05" customHeight="1" x14ac:dyDescent="0.4">
      <c r="A69" s="7">
        <v>157</v>
      </c>
      <c r="B69" s="8" t="s">
        <v>812</v>
      </c>
      <c r="C69" s="6" t="str">
        <f>IFERROR(IF(LEFT(D69,FIND(" ",D69)-1)="전라북도","전북특별자치도",LEFT(D69,FIND(" ",D69)-1)),"")</f>
        <v>경기도</v>
      </c>
      <c r="D69" s="3" t="s">
        <v>813</v>
      </c>
      <c r="E69" s="3" t="s">
        <v>814</v>
      </c>
      <c r="F69" s="3" t="s">
        <v>815</v>
      </c>
      <c r="G69" s="3" t="s">
        <v>816</v>
      </c>
      <c r="H69" s="3" t="s">
        <v>19</v>
      </c>
      <c r="I69" s="3" t="s">
        <v>19</v>
      </c>
      <c r="J69" s="3" t="s">
        <v>19</v>
      </c>
      <c r="K69" s="3" t="s">
        <v>21</v>
      </c>
      <c r="L69" s="3" t="s">
        <v>22</v>
      </c>
      <c r="M69" s="4">
        <v>2343</v>
      </c>
      <c r="N69" s="3" t="s">
        <v>23</v>
      </c>
      <c r="O69" s="3" t="s">
        <v>24</v>
      </c>
    </row>
    <row r="70" spans="1:15" ht="22.05" customHeight="1" x14ac:dyDescent="0.4">
      <c r="A70" s="7">
        <v>173</v>
      </c>
      <c r="B70" s="8" t="s">
        <v>902</v>
      </c>
      <c r="C70" s="6" t="str">
        <f>IFERROR(IF(LEFT(D70,FIND(" ",D70)-1)="전라북도","전북특별자치도",LEFT(D70,FIND(" ",D70)-1)),"")</f>
        <v>경기도</v>
      </c>
      <c r="D70" s="3" t="s">
        <v>903</v>
      </c>
      <c r="E70" s="3" t="s">
        <v>904</v>
      </c>
      <c r="F70" s="3" t="s">
        <v>905</v>
      </c>
      <c r="G70" s="3" t="s">
        <v>19</v>
      </c>
      <c r="H70" s="3" t="s">
        <v>93</v>
      </c>
      <c r="I70" s="3" t="s">
        <v>19</v>
      </c>
      <c r="J70" s="3" t="s">
        <v>415</v>
      </c>
      <c r="K70" s="3" t="s">
        <v>21</v>
      </c>
      <c r="L70" s="3" t="s">
        <v>22</v>
      </c>
      <c r="M70" s="4">
        <v>99409</v>
      </c>
      <c r="N70" s="3" t="s">
        <v>906</v>
      </c>
      <c r="O70" s="3" t="s">
        <v>24</v>
      </c>
    </row>
    <row r="71" spans="1:15" hidden="1" x14ac:dyDescent="0.4">
      <c r="A71" s="7">
        <v>70</v>
      </c>
      <c r="B71" s="8" t="s">
        <v>381</v>
      </c>
      <c r="C71" s="6" t="str">
        <f>IFERROR(IF(LEFT(D71,FIND(" ",D71)-1)="전라북도","전북특별자치도",LEFT(D71,FIND(" ",D71)-1)),"")</f>
        <v>대전광역시</v>
      </c>
      <c r="D71" s="3" t="s">
        <v>382</v>
      </c>
      <c r="E71" s="3" t="s">
        <v>383</v>
      </c>
      <c r="F71" s="3" t="s">
        <v>197</v>
      </c>
      <c r="G71" s="3" t="s">
        <v>385</v>
      </c>
      <c r="H71" s="3" t="s">
        <v>386</v>
      </c>
      <c r="I71" s="3" t="s">
        <v>386</v>
      </c>
      <c r="J71" s="3" t="s">
        <v>19</v>
      </c>
      <c r="K71" s="3" t="s">
        <v>21</v>
      </c>
      <c r="L71" s="3" t="s">
        <v>147</v>
      </c>
      <c r="M71" s="4">
        <v>717</v>
      </c>
      <c r="N71" s="3" t="s">
        <v>23</v>
      </c>
      <c r="O71" s="3" t="s">
        <v>281</v>
      </c>
    </row>
    <row r="72" spans="1:15" ht="22.05" customHeight="1" x14ac:dyDescent="0.4">
      <c r="A72" s="7">
        <v>180</v>
      </c>
      <c r="B72" s="8" t="s">
        <v>941</v>
      </c>
      <c r="C72" s="6" t="str">
        <f>IFERROR(IF(LEFT(D72,FIND(" ",D72)-1)="전라북도","전북특별자치도",LEFT(D72,FIND(" ",D72)-1)),"")</f>
        <v>경기도</v>
      </c>
      <c r="D72" s="3" t="s">
        <v>942</v>
      </c>
      <c r="E72" s="3" t="s">
        <v>943</v>
      </c>
      <c r="F72" s="3" t="s">
        <v>944</v>
      </c>
      <c r="G72" s="3" t="s">
        <v>19</v>
      </c>
      <c r="H72" s="3" t="s">
        <v>151</v>
      </c>
      <c r="I72" s="3" t="s">
        <v>19</v>
      </c>
      <c r="J72" s="3" t="s">
        <v>945</v>
      </c>
      <c r="K72" s="3" t="s">
        <v>21</v>
      </c>
      <c r="L72" s="3" t="s">
        <v>22</v>
      </c>
      <c r="M72" s="4">
        <v>29977</v>
      </c>
      <c r="N72" s="3" t="s">
        <v>23</v>
      </c>
      <c r="O72" s="3" t="s">
        <v>24</v>
      </c>
    </row>
    <row r="73" spans="1:15" hidden="1" x14ac:dyDescent="0.4">
      <c r="A73" s="7">
        <v>72</v>
      </c>
      <c r="B73" s="8" t="s">
        <v>392</v>
      </c>
      <c r="C73" s="6" t="str">
        <f>IFERROR(IF(LEFT(D73,FIND(" ",D73)-1)="전라북도","전북특별자치도",LEFT(D73,FIND(" ",D73)-1)),"")</f>
        <v>경기도</v>
      </c>
      <c r="D73" s="3" t="s">
        <v>393</v>
      </c>
      <c r="E73" s="3" t="s">
        <v>394</v>
      </c>
      <c r="F73" s="3" t="s">
        <v>395</v>
      </c>
      <c r="G73" s="3" t="s">
        <v>19</v>
      </c>
      <c r="H73" s="3" t="s">
        <v>19</v>
      </c>
      <c r="I73" s="3" t="s">
        <v>302</v>
      </c>
      <c r="J73" s="3" t="s">
        <v>19</v>
      </c>
      <c r="K73" s="3" t="s">
        <v>21</v>
      </c>
      <c r="L73" s="3" t="s">
        <v>147</v>
      </c>
      <c r="M73" s="4">
        <v>325</v>
      </c>
      <c r="N73" s="3" t="s">
        <v>23</v>
      </c>
      <c r="O73" s="3" t="s">
        <v>281</v>
      </c>
    </row>
    <row r="74" spans="1:15" hidden="1" x14ac:dyDescent="0.4">
      <c r="A74" s="7">
        <v>73</v>
      </c>
      <c r="B74" s="8" t="s">
        <v>396</v>
      </c>
      <c r="C74" s="6" t="str">
        <f>IFERROR(IF(LEFT(D74,FIND(" ",D74)-1)="전라북도","전북특별자치도",LEFT(D74,FIND(" ",D74)-1)),"")</f>
        <v>경기도</v>
      </c>
      <c r="D74" s="3" t="s">
        <v>397</v>
      </c>
      <c r="E74" s="3" t="s">
        <v>398</v>
      </c>
      <c r="F74" s="3" t="s">
        <v>61</v>
      </c>
      <c r="G74" s="3" t="s">
        <v>400</v>
      </c>
      <c r="H74" s="3" t="s">
        <v>401</v>
      </c>
      <c r="I74" s="3" t="s">
        <v>401</v>
      </c>
      <c r="J74" s="3" t="s">
        <v>19</v>
      </c>
      <c r="K74" s="3" t="s">
        <v>21</v>
      </c>
      <c r="L74" s="3" t="s">
        <v>147</v>
      </c>
      <c r="M74" s="4">
        <v>617</v>
      </c>
      <c r="N74" s="3" t="s">
        <v>23</v>
      </c>
      <c r="O74" s="3" t="s">
        <v>281</v>
      </c>
    </row>
    <row r="75" spans="1:15" ht="22.05" customHeight="1" x14ac:dyDescent="0.4">
      <c r="A75" s="7">
        <v>181</v>
      </c>
      <c r="B75" s="8" t="s">
        <v>946</v>
      </c>
      <c r="C75" s="6" t="str">
        <f>IFERROR(IF(LEFT(D75,FIND(" ",D75)-1)="전라북도","전북특별자치도",LEFT(D75,FIND(" ",D75)-1)),"")</f>
        <v>경기도</v>
      </c>
      <c r="D75" s="3" t="s">
        <v>947</v>
      </c>
      <c r="E75" s="3" t="s">
        <v>948</v>
      </c>
      <c r="F75" s="3" t="s">
        <v>949</v>
      </c>
      <c r="G75" s="3" t="s">
        <v>19</v>
      </c>
      <c r="H75" s="3" t="s">
        <v>151</v>
      </c>
      <c r="I75" s="3" t="s">
        <v>19</v>
      </c>
      <c r="J75" s="3" t="s">
        <v>945</v>
      </c>
      <c r="K75" s="3" t="s">
        <v>21</v>
      </c>
      <c r="L75" s="3" t="s">
        <v>22</v>
      </c>
      <c r="M75" s="4">
        <v>40550</v>
      </c>
      <c r="N75" s="3" t="s">
        <v>23</v>
      </c>
      <c r="O75" s="3" t="s">
        <v>24</v>
      </c>
    </row>
    <row r="76" spans="1:15" hidden="1" x14ac:dyDescent="0.4">
      <c r="A76" s="7">
        <v>75</v>
      </c>
      <c r="B76" s="8" t="s">
        <v>21</v>
      </c>
      <c r="C76" s="6" t="str">
        <f>IFERROR(IF(LEFT(D76,FIND(" ",D76)-1)="전라북도","전북특별자치도",LEFT(D76,FIND(" ",D76)-1)),"")</f>
        <v>강원특별자치도</v>
      </c>
      <c r="D76" s="3" t="s">
        <v>408</v>
      </c>
      <c r="E76" s="3" t="s">
        <v>409</v>
      </c>
      <c r="F76" s="3" t="s">
        <v>383</v>
      </c>
      <c r="G76" s="3" t="s">
        <v>19</v>
      </c>
      <c r="H76" s="3" t="s">
        <v>410</v>
      </c>
      <c r="I76" s="3" t="s">
        <v>19</v>
      </c>
      <c r="J76" s="3" t="s">
        <v>19</v>
      </c>
      <c r="K76" s="3" t="s">
        <v>21</v>
      </c>
      <c r="L76" s="3" t="s">
        <v>147</v>
      </c>
      <c r="M76" s="4">
        <v>3616</v>
      </c>
      <c r="N76" s="3" t="s">
        <v>84</v>
      </c>
      <c r="O76" s="3" t="s">
        <v>281</v>
      </c>
    </row>
    <row r="77" spans="1:15" ht="22.05" customHeight="1" x14ac:dyDescent="0.4">
      <c r="A77" s="7">
        <v>182</v>
      </c>
      <c r="B77" s="8" t="s">
        <v>950</v>
      </c>
      <c r="C77" s="6" t="str">
        <f>IFERROR(IF(LEFT(D77,FIND(" ",D77)-1)="전라북도","전북특별자치도",LEFT(D77,FIND(" ",D77)-1)),"")</f>
        <v>경기도</v>
      </c>
      <c r="D77" s="3" t="s">
        <v>951</v>
      </c>
      <c r="E77" s="3" t="s">
        <v>447</v>
      </c>
      <c r="F77" s="3" t="s">
        <v>952</v>
      </c>
      <c r="G77" s="3" t="s">
        <v>19</v>
      </c>
      <c r="H77" s="3" t="s">
        <v>953</v>
      </c>
      <c r="I77" s="3" t="s">
        <v>19</v>
      </c>
      <c r="J77" s="3" t="s">
        <v>19</v>
      </c>
      <c r="K77" s="3" t="s">
        <v>21</v>
      </c>
      <c r="L77" s="3" t="s">
        <v>22</v>
      </c>
      <c r="M77" s="4">
        <v>1348</v>
      </c>
      <c r="N77" s="3" t="s">
        <v>84</v>
      </c>
      <c r="O77" s="3" t="s">
        <v>24</v>
      </c>
    </row>
    <row r="78" spans="1:15" hidden="1" x14ac:dyDescent="0.4">
      <c r="A78" s="7">
        <v>77</v>
      </c>
      <c r="B78" s="8" t="s">
        <v>416</v>
      </c>
      <c r="C78" s="6" t="str">
        <f>IFERROR(IF(LEFT(D78,FIND(" ",D78)-1)="전라북도","전북특별자치도",LEFT(D78,FIND(" ",D78)-1)),"")</f>
        <v>충청남도</v>
      </c>
      <c r="D78" s="3" t="s">
        <v>417</v>
      </c>
      <c r="E78" s="3" t="s">
        <v>418</v>
      </c>
      <c r="F78" s="3" t="s">
        <v>419</v>
      </c>
      <c r="G78" s="3" t="s">
        <v>421</v>
      </c>
      <c r="H78" s="3" t="s">
        <v>422</v>
      </c>
      <c r="I78" s="3" t="s">
        <v>19</v>
      </c>
      <c r="J78" s="3" t="s">
        <v>19</v>
      </c>
      <c r="K78" s="3" t="s">
        <v>21</v>
      </c>
      <c r="L78" s="3" t="s">
        <v>147</v>
      </c>
      <c r="M78" s="4">
        <v>1484</v>
      </c>
      <c r="N78" s="3" t="s">
        <v>23</v>
      </c>
      <c r="O78" s="3" t="s">
        <v>281</v>
      </c>
    </row>
    <row r="79" spans="1:15" ht="22.05" customHeight="1" x14ac:dyDescent="0.4">
      <c r="A79" s="7">
        <v>197</v>
      </c>
      <c r="B79" s="8" t="s">
        <v>1026</v>
      </c>
      <c r="C79" s="6" t="str">
        <f>IFERROR(IF(LEFT(D79,FIND(" ",D79)-1)="전라북도","전북특별자치도",LEFT(D79,FIND(" ",D79)-1)),"")</f>
        <v>경기도</v>
      </c>
      <c r="D79" s="3" t="s">
        <v>1027</v>
      </c>
      <c r="E79" s="3" t="s">
        <v>1028</v>
      </c>
      <c r="F79" s="3" t="s">
        <v>1024</v>
      </c>
      <c r="G79" s="3" t="s">
        <v>298</v>
      </c>
      <c r="H79" s="3" t="s">
        <v>302</v>
      </c>
      <c r="I79" s="3" t="s">
        <v>19</v>
      </c>
      <c r="J79" s="3" t="s">
        <v>19</v>
      </c>
      <c r="K79" s="3" t="s">
        <v>21</v>
      </c>
      <c r="L79" s="3" t="s">
        <v>22</v>
      </c>
      <c r="M79" s="4">
        <v>324</v>
      </c>
      <c r="N79" s="3" t="s">
        <v>23</v>
      </c>
      <c r="O79" s="3" t="s">
        <v>24</v>
      </c>
    </row>
    <row r="80" spans="1:15" hidden="1" x14ac:dyDescent="0.4">
      <c r="A80" s="7">
        <v>79</v>
      </c>
      <c r="B80" s="8" t="s">
        <v>428</v>
      </c>
      <c r="C80" s="6" t="str">
        <f>IFERROR(IF(LEFT(D80,FIND(" ",D80)-1)="전라북도","전북특별자치도",LEFT(D80,FIND(" ",D80)-1)),"")</f>
        <v>전북특별자치도</v>
      </c>
      <c r="D80" s="3" t="s">
        <v>429</v>
      </c>
      <c r="E80" s="3" t="s">
        <v>409</v>
      </c>
      <c r="F80" s="3" t="s">
        <v>409</v>
      </c>
      <c r="G80" s="3" t="s">
        <v>430</v>
      </c>
      <c r="H80" s="3" t="s">
        <v>431</v>
      </c>
      <c r="I80" s="3" t="s">
        <v>19</v>
      </c>
      <c r="J80" s="3" t="s">
        <v>430</v>
      </c>
      <c r="K80" s="3" t="s">
        <v>21</v>
      </c>
      <c r="L80" s="3" t="s">
        <v>147</v>
      </c>
      <c r="M80" s="4">
        <v>2259</v>
      </c>
      <c r="N80" s="3" t="s">
        <v>84</v>
      </c>
      <c r="O80" s="3" t="s">
        <v>281</v>
      </c>
    </row>
    <row r="81" spans="1:15" ht="22.05" customHeight="1" x14ac:dyDescent="0.4">
      <c r="A81" s="7">
        <v>201</v>
      </c>
      <c r="B81" s="8" t="s">
        <v>1045</v>
      </c>
      <c r="C81" s="6" t="str">
        <f>IFERROR(IF(LEFT(D81,FIND(" ",D81)-1)="전라북도","전북특별자치도",LEFT(D81,FIND(" ",D81)-1)),"")</f>
        <v>경기도</v>
      </c>
      <c r="D81" s="3" t="s">
        <v>1046</v>
      </c>
      <c r="E81" s="3" t="s">
        <v>1047</v>
      </c>
      <c r="F81" s="3" t="s">
        <v>1048</v>
      </c>
      <c r="G81" s="3" t="s">
        <v>1049</v>
      </c>
      <c r="H81" s="3" t="s">
        <v>1050</v>
      </c>
      <c r="I81" s="3" t="s">
        <v>19</v>
      </c>
      <c r="J81" s="3" t="s">
        <v>19</v>
      </c>
      <c r="K81" s="3" t="s">
        <v>21</v>
      </c>
      <c r="L81" s="3" t="s">
        <v>22</v>
      </c>
      <c r="M81" s="4">
        <v>5834</v>
      </c>
      <c r="N81" s="3" t="s">
        <v>23</v>
      </c>
      <c r="O81" s="3" t="s">
        <v>24</v>
      </c>
    </row>
    <row r="82" spans="1:15" hidden="1" x14ac:dyDescent="0.4">
      <c r="A82" s="7">
        <v>81</v>
      </c>
      <c r="B82" s="8" t="s">
        <v>438</v>
      </c>
      <c r="C82" s="6" t="str">
        <f>IFERROR(IF(LEFT(D82,FIND(" ",D82)-1)="전라북도","전북특별자치도",LEFT(D82,FIND(" ",D82)-1)),"")</f>
        <v>전남광주통합특별시</v>
      </c>
      <c r="D82" s="3" t="s">
        <v>439</v>
      </c>
      <c r="E82" s="3" t="s">
        <v>440</v>
      </c>
      <c r="F82" s="3" t="s">
        <v>409</v>
      </c>
      <c r="G82" s="3" t="s">
        <v>442</v>
      </c>
      <c r="H82" s="3" t="s">
        <v>443</v>
      </c>
      <c r="I82" s="3" t="s">
        <v>444</v>
      </c>
      <c r="J82" s="3" t="s">
        <v>19</v>
      </c>
      <c r="K82" s="3" t="s">
        <v>21</v>
      </c>
      <c r="L82" s="3" t="s">
        <v>22</v>
      </c>
      <c r="M82" s="4">
        <v>438</v>
      </c>
      <c r="N82" s="3" t="s">
        <v>84</v>
      </c>
      <c r="O82" s="3" t="s">
        <v>281</v>
      </c>
    </row>
    <row r="83" spans="1:15" ht="22.05" customHeight="1" x14ac:dyDescent="0.4">
      <c r="A83" s="7">
        <v>227</v>
      </c>
      <c r="B83" s="8" t="s">
        <v>1171</v>
      </c>
      <c r="C83" s="6" t="str">
        <f>IFERROR(IF(LEFT(D83,FIND(" ",D83)-1)="전라북도","전북특별자치도",LEFT(D83,FIND(" ",D83)-1)),"")</f>
        <v>경기도</v>
      </c>
      <c r="D83" s="3" t="s">
        <v>1172</v>
      </c>
      <c r="E83" s="3" t="s">
        <v>1173</v>
      </c>
      <c r="F83" s="3" t="s">
        <v>1174</v>
      </c>
      <c r="G83" s="3" t="s">
        <v>19</v>
      </c>
      <c r="H83" s="3" t="s">
        <v>19</v>
      </c>
      <c r="I83" s="3" t="s">
        <v>19</v>
      </c>
      <c r="J83" s="3" t="s">
        <v>1175</v>
      </c>
      <c r="K83" s="3" t="s">
        <v>21</v>
      </c>
      <c r="L83" s="3" t="s">
        <v>22</v>
      </c>
      <c r="M83" s="4">
        <v>1676</v>
      </c>
      <c r="N83" s="3" t="s">
        <v>23</v>
      </c>
      <c r="O83" s="3" t="s">
        <v>24</v>
      </c>
    </row>
    <row r="84" spans="1:15" ht="22.05" customHeight="1" x14ac:dyDescent="0.4">
      <c r="A84" s="7">
        <v>228</v>
      </c>
      <c r="B84" s="8" t="s">
        <v>1176</v>
      </c>
      <c r="C84" s="6" t="str">
        <f>IFERROR(IF(LEFT(D84,FIND(" ",D84)-1)="전라북도","전북특별자치도",LEFT(D84,FIND(" ",D84)-1)),"")</f>
        <v>경기도</v>
      </c>
      <c r="D84" s="3" t="s">
        <v>1177</v>
      </c>
      <c r="E84" s="3" t="s">
        <v>1178</v>
      </c>
      <c r="F84" s="3" t="s">
        <v>1008</v>
      </c>
      <c r="G84" s="3" t="s">
        <v>19</v>
      </c>
      <c r="H84" s="3" t="s">
        <v>302</v>
      </c>
      <c r="I84" s="3" t="s">
        <v>19</v>
      </c>
      <c r="J84" s="3" t="s">
        <v>19</v>
      </c>
      <c r="K84" s="3" t="s">
        <v>21</v>
      </c>
      <c r="L84" s="3" t="s">
        <v>22</v>
      </c>
      <c r="M84" s="4">
        <v>609</v>
      </c>
      <c r="N84" s="3" t="s">
        <v>129</v>
      </c>
      <c r="O84" s="3" t="s">
        <v>24</v>
      </c>
    </row>
    <row r="85" spans="1:15" ht="22.05" customHeight="1" x14ac:dyDescent="0.4">
      <c r="A85" s="7">
        <v>238</v>
      </c>
      <c r="B85" s="8" t="s">
        <v>1227</v>
      </c>
      <c r="C85" s="6" t="str">
        <f>IFERROR(IF(LEFT(D85,FIND(" ",D85)-1)="전라북도","전북특별자치도",LEFT(D85,FIND(" ",D85)-1)),"")</f>
        <v>경기도</v>
      </c>
      <c r="D85" s="3" t="s">
        <v>1228</v>
      </c>
      <c r="E85" s="3" t="s">
        <v>1229</v>
      </c>
      <c r="F85" s="3" t="s">
        <v>1224</v>
      </c>
      <c r="G85" s="3" t="s">
        <v>1230</v>
      </c>
      <c r="H85" s="3" t="s">
        <v>323</v>
      </c>
      <c r="I85" s="3" t="s">
        <v>1231</v>
      </c>
      <c r="J85" s="3" t="s">
        <v>1232</v>
      </c>
      <c r="K85" s="3" t="s">
        <v>21</v>
      </c>
      <c r="L85" s="3" t="s">
        <v>22</v>
      </c>
      <c r="M85" s="4">
        <v>2146</v>
      </c>
      <c r="N85" s="3" t="s">
        <v>23</v>
      </c>
      <c r="O85" s="3" t="s">
        <v>24</v>
      </c>
    </row>
    <row r="86" spans="1:15" ht="22.05" customHeight="1" x14ac:dyDescent="0.4">
      <c r="A86" s="7">
        <v>239</v>
      </c>
      <c r="B86" s="8" t="s">
        <v>1233</v>
      </c>
      <c r="C86" s="6" t="str">
        <f>IFERROR(IF(LEFT(D86,FIND(" ",D86)-1)="전라북도","전북특별자치도",LEFT(D86,FIND(" ",D86)-1)),"")</f>
        <v>경기도</v>
      </c>
      <c r="D86" s="3" t="s">
        <v>1234</v>
      </c>
      <c r="E86" s="3" t="s">
        <v>1235</v>
      </c>
      <c r="F86" s="3" t="s">
        <v>1236</v>
      </c>
      <c r="G86" s="3" t="s">
        <v>19</v>
      </c>
      <c r="H86" s="3" t="s">
        <v>1237</v>
      </c>
      <c r="I86" s="3" t="s">
        <v>19</v>
      </c>
      <c r="J86" s="3" t="s">
        <v>19</v>
      </c>
      <c r="K86" s="3" t="s">
        <v>1238</v>
      </c>
      <c r="L86" s="3" t="s">
        <v>22</v>
      </c>
      <c r="M86" s="4">
        <v>849</v>
      </c>
      <c r="N86" s="3" t="s">
        <v>129</v>
      </c>
      <c r="O86" s="3" t="s">
        <v>24</v>
      </c>
    </row>
    <row r="87" spans="1:15" ht="19.95" hidden="1" customHeight="1" x14ac:dyDescent="0.4">
      <c r="A87" s="7">
        <v>242</v>
      </c>
      <c r="B87" s="8" t="s">
        <v>1249</v>
      </c>
      <c r="C87" s="6" t="str">
        <f>IFERROR(IF(LEFT(D87,FIND(" ",D87)-1)="전라북도","전북특별자치도",LEFT(D87,FIND(" ",D87)-1)),"")</f>
        <v>경기도</v>
      </c>
      <c r="D87" s="3" t="s">
        <v>1250</v>
      </c>
      <c r="E87" s="3" t="s">
        <v>1251</v>
      </c>
      <c r="F87" s="3" t="s">
        <v>1252</v>
      </c>
      <c r="G87" s="3" t="s">
        <v>19</v>
      </c>
      <c r="H87" s="3" t="s">
        <v>953</v>
      </c>
      <c r="I87" s="3" t="s">
        <v>19</v>
      </c>
      <c r="J87" s="3" t="s">
        <v>19</v>
      </c>
      <c r="K87" s="3" t="s">
        <v>21</v>
      </c>
      <c r="L87" s="3" t="s">
        <v>22</v>
      </c>
      <c r="M87" s="4">
        <v>274</v>
      </c>
      <c r="N87" s="3" t="s">
        <v>23</v>
      </c>
      <c r="O87" s="3" t="s">
        <v>24</v>
      </c>
    </row>
    <row r="88" spans="1:15" hidden="1" x14ac:dyDescent="0.4">
      <c r="A88" s="7">
        <v>87</v>
      </c>
      <c r="B88" s="8" t="s">
        <v>468</v>
      </c>
      <c r="C88" s="6" t="str">
        <f>IFERROR(IF(LEFT(D88,FIND(" ",D88)-1)="전라북도","전북특별자치도",LEFT(D88,FIND(" ",D88)-1)),"")</f>
        <v>경기도</v>
      </c>
      <c r="D88" s="3" t="s">
        <v>469</v>
      </c>
      <c r="E88" s="3" t="s">
        <v>470</v>
      </c>
      <c r="F88" s="3" t="s">
        <v>471</v>
      </c>
      <c r="G88" s="3" t="s">
        <v>19</v>
      </c>
      <c r="H88" s="3" t="s">
        <v>472</v>
      </c>
      <c r="I88" s="3" t="s">
        <v>19</v>
      </c>
      <c r="J88" s="3" t="s">
        <v>19</v>
      </c>
      <c r="K88" s="3" t="s">
        <v>21</v>
      </c>
      <c r="L88" s="3" t="s">
        <v>22</v>
      </c>
      <c r="M88" s="4">
        <v>663</v>
      </c>
      <c r="N88" s="3" t="s">
        <v>123</v>
      </c>
      <c r="O88" s="3" t="s">
        <v>281</v>
      </c>
    </row>
    <row r="89" spans="1:15" hidden="1" x14ac:dyDescent="0.4">
      <c r="A89" s="7">
        <v>88</v>
      </c>
      <c r="B89" s="8" t="s">
        <v>473</v>
      </c>
      <c r="C89" s="6" t="str">
        <f>IFERROR(IF(LEFT(D89,FIND(" ",D89)-1)="전라북도","전북특별자치도",LEFT(D89,FIND(" ",D89)-1)),"")</f>
        <v>경기도</v>
      </c>
      <c r="D89" s="3" t="s">
        <v>474</v>
      </c>
      <c r="E89" s="3" t="s">
        <v>470</v>
      </c>
      <c r="F89" s="3" t="s">
        <v>471</v>
      </c>
      <c r="G89" s="3" t="s">
        <v>19</v>
      </c>
      <c r="H89" s="3" t="s">
        <v>472</v>
      </c>
      <c r="I89" s="3" t="s">
        <v>19</v>
      </c>
      <c r="J89" s="3" t="s">
        <v>19</v>
      </c>
      <c r="K89" s="3" t="s">
        <v>21</v>
      </c>
      <c r="L89" s="3" t="s">
        <v>22</v>
      </c>
      <c r="M89" s="4">
        <v>663</v>
      </c>
      <c r="N89" s="3" t="s">
        <v>123</v>
      </c>
      <c r="O89" s="3" t="s">
        <v>281</v>
      </c>
    </row>
    <row r="90" spans="1:15" ht="22.05" customHeight="1" x14ac:dyDescent="0.4">
      <c r="A90" s="7">
        <v>247</v>
      </c>
      <c r="B90" s="8" t="s">
        <v>1262</v>
      </c>
      <c r="C90" s="6" t="str">
        <f>IFERROR(IF(LEFT(D90,FIND(" ",D90)-1)="전라북도","전북특별자치도",LEFT(D90,FIND(" ",D90)-1)),"")</f>
        <v>경기도</v>
      </c>
      <c r="D90" s="3" t="s">
        <v>1263</v>
      </c>
      <c r="E90" s="3" t="s">
        <v>1264</v>
      </c>
      <c r="F90" s="3" t="s">
        <v>305</v>
      </c>
      <c r="G90" s="3" t="s">
        <v>19</v>
      </c>
      <c r="H90" s="3" t="s">
        <v>1265</v>
      </c>
      <c r="I90" s="3" t="s">
        <v>19</v>
      </c>
      <c r="J90" s="3" t="s">
        <v>19</v>
      </c>
      <c r="K90" s="3" t="s">
        <v>21</v>
      </c>
      <c r="L90" s="3" t="s">
        <v>22</v>
      </c>
      <c r="M90" s="4">
        <v>634</v>
      </c>
      <c r="N90" s="3" t="s">
        <v>23</v>
      </c>
      <c r="O90" s="3" t="s">
        <v>24</v>
      </c>
    </row>
    <row r="91" spans="1:15" ht="19.95" hidden="1" customHeight="1" x14ac:dyDescent="0.4">
      <c r="A91" s="7">
        <v>262</v>
      </c>
      <c r="B91" s="8" t="s">
        <v>1335</v>
      </c>
      <c r="C91" s="6" t="str">
        <f>IFERROR(IF(LEFT(D91,FIND(" ",D91)-1)="전라북도","전북특별자치도",LEFT(D91,FIND(" ",D91)-1)),"")</f>
        <v>경기도</v>
      </c>
      <c r="D91" s="3" t="s">
        <v>1336</v>
      </c>
      <c r="E91" s="3" t="s">
        <v>1337</v>
      </c>
      <c r="F91" s="3" t="s">
        <v>843</v>
      </c>
      <c r="G91" s="3" t="s">
        <v>19</v>
      </c>
      <c r="H91" s="3" t="s">
        <v>921</v>
      </c>
      <c r="I91" s="3" t="s">
        <v>19</v>
      </c>
      <c r="J91" s="3" t="s">
        <v>19</v>
      </c>
      <c r="K91" s="3" t="s">
        <v>21</v>
      </c>
      <c r="L91" s="3" t="s">
        <v>22</v>
      </c>
      <c r="M91" s="4">
        <v>247</v>
      </c>
      <c r="N91" s="3" t="s">
        <v>23</v>
      </c>
      <c r="O91" s="3" t="s">
        <v>24</v>
      </c>
    </row>
    <row r="92" spans="1:15" ht="19.95" hidden="1" customHeight="1" x14ac:dyDescent="0.4">
      <c r="A92" s="7">
        <v>279</v>
      </c>
      <c r="B92" s="8" t="s">
        <v>1430</v>
      </c>
      <c r="C92" s="6" t="str">
        <f>IFERROR(IF(LEFT(D92,FIND(" ",D92)-1)="전라북도","전북특별자치도",LEFT(D92,FIND(" ",D92)-1)),"")</f>
        <v>경기도</v>
      </c>
      <c r="D92" s="3" t="s">
        <v>1431</v>
      </c>
      <c r="E92" s="3" t="s">
        <v>1432</v>
      </c>
      <c r="F92" s="3" t="s">
        <v>1433</v>
      </c>
      <c r="G92" s="3" t="s">
        <v>19</v>
      </c>
      <c r="H92" s="3" t="s">
        <v>1237</v>
      </c>
      <c r="I92" s="3" t="s">
        <v>19</v>
      </c>
      <c r="J92" s="3" t="s">
        <v>19</v>
      </c>
      <c r="K92" s="3" t="s">
        <v>21</v>
      </c>
      <c r="L92" s="3" t="s">
        <v>22</v>
      </c>
      <c r="M92" s="4">
        <v>56</v>
      </c>
      <c r="N92" s="3" t="s">
        <v>84</v>
      </c>
      <c r="O92" s="3" t="s">
        <v>24</v>
      </c>
    </row>
    <row r="93" spans="1:15" ht="19.95" hidden="1" customHeight="1" x14ac:dyDescent="0.4">
      <c r="A93" s="7">
        <v>280</v>
      </c>
      <c r="B93" s="8" t="s">
        <v>1434</v>
      </c>
      <c r="C93" s="6" t="str">
        <f>IFERROR(IF(LEFT(D93,FIND(" ",D93)-1)="전라북도","전북특별자치도",LEFT(D93,FIND(" ",D93)-1)),"")</f>
        <v>경기도</v>
      </c>
      <c r="D93" s="3" t="s">
        <v>1431</v>
      </c>
      <c r="E93" s="3" t="s">
        <v>1432</v>
      </c>
      <c r="F93" s="3" t="s">
        <v>1433</v>
      </c>
      <c r="G93" s="3" t="s">
        <v>19</v>
      </c>
      <c r="H93" s="3" t="s">
        <v>1237</v>
      </c>
      <c r="I93" s="3" t="s">
        <v>19</v>
      </c>
      <c r="J93" s="3" t="s">
        <v>19</v>
      </c>
      <c r="K93" s="3" t="s">
        <v>21</v>
      </c>
      <c r="L93" s="3" t="s">
        <v>22</v>
      </c>
      <c r="M93" s="4">
        <v>102</v>
      </c>
      <c r="N93" s="3" t="s">
        <v>23</v>
      </c>
      <c r="O93" s="3" t="s">
        <v>24</v>
      </c>
    </row>
    <row r="94" spans="1:15" ht="22.05" customHeight="1" x14ac:dyDescent="0.4">
      <c r="A94" s="7">
        <v>290</v>
      </c>
      <c r="B94" s="8" t="s">
        <v>1481</v>
      </c>
      <c r="C94" s="6" t="str">
        <f>IFERROR(IF(LEFT(D94,FIND(" ",D94)-1)="전라북도","전북특별자치도",LEFT(D94,FIND(" ",D94)-1)),"")</f>
        <v>경기도</v>
      </c>
      <c r="D94" s="3" t="s">
        <v>1482</v>
      </c>
      <c r="E94" s="3" t="s">
        <v>1483</v>
      </c>
      <c r="F94" s="3" t="s">
        <v>1484</v>
      </c>
      <c r="G94" s="3" t="s">
        <v>19</v>
      </c>
      <c r="H94" s="3" t="s">
        <v>1485</v>
      </c>
      <c r="I94" s="3" t="s">
        <v>19</v>
      </c>
      <c r="J94" s="3" t="s">
        <v>19</v>
      </c>
      <c r="K94" s="3" t="s">
        <v>21</v>
      </c>
      <c r="L94" s="3" t="s">
        <v>22</v>
      </c>
      <c r="M94" s="4">
        <v>1569</v>
      </c>
      <c r="N94" s="3" t="s">
        <v>23</v>
      </c>
      <c r="O94" s="3" t="s">
        <v>24</v>
      </c>
    </row>
    <row r="95" spans="1:15" ht="19.95" hidden="1" customHeight="1" x14ac:dyDescent="0.4">
      <c r="A95" s="7">
        <v>291</v>
      </c>
      <c r="B95" s="8" t="s">
        <v>1486</v>
      </c>
      <c r="C95" s="6" t="str">
        <f>IFERROR(IF(LEFT(D95,FIND(" ",D95)-1)="전라북도","전북특별자치도",LEFT(D95,FIND(" ",D95)-1)),"")</f>
        <v>경기도</v>
      </c>
      <c r="D95" s="3" t="s">
        <v>1487</v>
      </c>
      <c r="E95" s="3" t="s">
        <v>1028</v>
      </c>
      <c r="F95" s="3" t="s">
        <v>1465</v>
      </c>
      <c r="G95" s="3" t="s">
        <v>19</v>
      </c>
      <c r="H95" s="3" t="s">
        <v>302</v>
      </c>
      <c r="I95" s="3" t="s">
        <v>19</v>
      </c>
      <c r="J95" s="3" t="s">
        <v>19</v>
      </c>
      <c r="K95" s="3" t="s">
        <v>21</v>
      </c>
      <c r="L95" s="3" t="s">
        <v>22</v>
      </c>
      <c r="M95" s="4">
        <v>295</v>
      </c>
      <c r="N95" s="3" t="s">
        <v>23</v>
      </c>
      <c r="O95" s="3" t="s">
        <v>24</v>
      </c>
    </row>
    <row r="96" spans="1:15" ht="19.95" hidden="1" customHeight="1" x14ac:dyDescent="0.4">
      <c r="A96" s="7">
        <v>292</v>
      </c>
      <c r="B96" s="8" t="s">
        <v>1488</v>
      </c>
      <c r="C96" s="6" t="str">
        <f>IFERROR(IF(LEFT(D96,FIND(" ",D96)-1)="전라북도","전북특별자치도",LEFT(D96,FIND(" ",D96)-1)),"")</f>
        <v>경기도</v>
      </c>
      <c r="D96" s="3" t="s">
        <v>1487</v>
      </c>
      <c r="E96" s="3" t="s">
        <v>1028</v>
      </c>
      <c r="F96" s="3" t="s">
        <v>1465</v>
      </c>
      <c r="G96" s="3" t="s">
        <v>19</v>
      </c>
      <c r="H96" s="3" t="s">
        <v>302</v>
      </c>
      <c r="I96" s="3" t="s">
        <v>19</v>
      </c>
      <c r="J96" s="3" t="s">
        <v>19</v>
      </c>
      <c r="K96" s="3" t="s">
        <v>21</v>
      </c>
      <c r="L96" s="3" t="s">
        <v>22</v>
      </c>
      <c r="M96" s="4">
        <v>295</v>
      </c>
      <c r="N96" s="3" t="s">
        <v>23</v>
      </c>
      <c r="O96" s="3" t="s">
        <v>24</v>
      </c>
    </row>
    <row r="97" spans="1:15" ht="19.95" hidden="1" customHeight="1" x14ac:dyDescent="0.4">
      <c r="A97" s="7">
        <v>293</v>
      </c>
      <c r="B97" s="8" t="s">
        <v>1491</v>
      </c>
      <c r="C97" s="6" t="str">
        <f>IFERROR(IF(LEFT(D97,FIND(" ",D97)-1)="전라북도","전북특별자치도",LEFT(D97,FIND(" ",D97)-1)),"")</f>
        <v>경기도</v>
      </c>
      <c r="D97" s="3" t="s">
        <v>1490</v>
      </c>
      <c r="E97" s="3" t="s">
        <v>1028</v>
      </c>
      <c r="F97" s="3" t="s">
        <v>1465</v>
      </c>
      <c r="G97" s="3" t="s">
        <v>19</v>
      </c>
      <c r="H97" s="3" t="s">
        <v>302</v>
      </c>
      <c r="I97" s="3" t="s">
        <v>19</v>
      </c>
      <c r="J97" s="3" t="s">
        <v>19</v>
      </c>
      <c r="K97" s="3" t="s">
        <v>21</v>
      </c>
      <c r="L97" s="3" t="s">
        <v>22</v>
      </c>
      <c r="M97" s="4">
        <v>274</v>
      </c>
      <c r="N97" s="3" t="s">
        <v>23</v>
      </c>
      <c r="O97" s="3" t="s">
        <v>24</v>
      </c>
    </row>
    <row r="98" spans="1:15" hidden="1" x14ac:dyDescent="0.4">
      <c r="A98" s="7">
        <v>97</v>
      </c>
      <c r="B98" s="8" t="s">
        <v>510</v>
      </c>
      <c r="C98" s="6" t="str">
        <f>IFERROR(IF(LEFT(D98,FIND(" ",D98)-1)="전라북도","전북특별자치도",LEFT(D98,FIND(" ",D98)-1)),"")</f>
        <v>서울특별시</v>
      </c>
      <c r="D98" s="3" t="s">
        <v>511</v>
      </c>
      <c r="E98" s="3" t="s">
        <v>512</v>
      </c>
      <c r="F98" s="3" t="s">
        <v>513</v>
      </c>
      <c r="G98" s="3" t="s">
        <v>385</v>
      </c>
      <c r="H98" s="3" t="s">
        <v>514</v>
      </c>
      <c r="I98" s="3" t="s">
        <v>19</v>
      </c>
      <c r="J98" s="3" t="s">
        <v>19</v>
      </c>
      <c r="K98" s="3" t="s">
        <v>21</v>
      </c>
      <c r="L98" s="3" t="s">
        <v>147</v>
      </c>
      <c r="M98" s="4">
        <v>1113</v>
      </c>
      <c r="N98" s="3" t="s">
        <v>23</v>
      </c>
      <c r="O98" s="3" t="s">
        <v>281</v>
      </c>
    </row>
    <row r="99" spans="1:15" ht="19.95" hidden="1" customHeight="1" x14ac:dyDescent="0.4">
      <c r="A99" s="7">
        <v>294</v>
      </c>
      <c r="B99" s="8" t="s">
        <v>1492</v>
      </c>
      <c r="C99" s="6" t="str">
        <f>IFERROR(IF(LEFT(D99,FIND(" ",D99)-1)="전라북도","전북특별자치도",LEFT(D99,FIND(" ",D99)-1)),"")</f>
        <v>경기도</v>
      </c>
      <c r="D99" s="3" t="s">
        <v>1493</v>
      </c>
      <c r="E99" s="3" t="s">
        <v>1028</v>
      </c>
      <c r="F99" s="3" t="s">
        <v>1465</v>
      </c>
      <c r="G99" s="3" t="s">
        <v>19</v>
      </c>
      <c r="H99" s="3" t="s">
        <v>302</v>
      </c>
      <c r="I99" s="3" t="s">
        <v>19</v>
      </c>
      <c r="J99" s="3" t="s">
        <v>19</v>
      </c>
      <c r="K99" s="3" t="s">
        <v>21</v>
      </c>
      <c r="L99" s="3" t="s">
        <v>22</v>
      </c>
      <c r="M99" s="4">
        <v>274</v>
      </c>
      <c r="N99" s="3" t="s">
        <v>23</v>
      </c>
      <c r="O99" s="3" t="s">
        <v>24</v>
      </c>
    </row>
    <row r="100" spans="1:15" ht="22.05" customHeight="1" x14ac:dyDescent="0.4">
      <c r="A100" s="7">
        <v>295</v>
      </c>
      <c r="B100" s="8" t="s">
        <v>1494</v>
      </c>
      <c r="C100" s="6" t="str">
        <f>IFERROR(IF(LEFT(D100,FIND(" ",D100)-1)="전라북도","전북특별자치도",LEFT(D100,FIND(" ",D100)-1)),"")</f>
        <v>경기도</v>
      </c>
      <c r="D100" s="3" t="s">
        <v>1495</v>
      </c>
      <c r="E100" s="3" t="s">
        <v>1028</v>
      </c>
      <c r="F100" s="3" t="s">
        <v>1465</v>
      </c>
      <c r="G100" s="3" t="s">
        <v>19</v>
      </c>
      <c r="H100" s="3" t="s">
        <v>302</v>
      </c>
      <c r="I100" s="3" t="s">
        <v>19</v>
      </c>
      <c r="J100" s="3" t="s">
        <v>19</v>
      </c>
      <c r="K100" s="3" t="s">
        <v>21</v>
      </c>
      <c r="L100" s="3" t="s">
        <v>22</v>
      </c>
      <c r="M100" s="4">
        <v>391</v>
      </c>
      <c r="N100" s="3" t="s">
        <v>23</v>
      </c>
      <c r="O100" s="3" t="s">
        <v>24</v>
      </c>
    </row>
    <row r="101" spans="1:15" ht="19.95" hidden="1" customHeight="1" x14ac:dyDescent="0.4">
      <c r="A101" s="7">
        <v>296</v>
      </c>
      <c r="B101" s="8" t="s">
        <v>1496</v>
      </c>
      <c r="C101" s="6" t="str">
        <f>IFERROR(IF(LEFT(D101,FIND(" ",D101)-1)="전라북도","전북특별자치도",LEFT(D101,FIND(" ",D101)-1)),"")</f>
        <v>경기도</v>
      </c>
      <c r="D101" s="3" t="s">
        <v>1497</v>
      </c>
      <c r="E101" s="3" t="s">
        <v>1028</v>
      </c>
      <c r="F101" s="3" t="s">
        <v>1465</v>
      </c>
      <c r="G101" s="3" t="s">
        <v>19</v>
      </c>
      <c r="H101" s="3" t="s">
        <v>302</v>
      </c>
      <c r="I101" s="3" t="s">
        <v>19</v>
      </c>
      <c r="J101" s="3" t="s">
        <v>19</v>
      </c>
      <c r="K101" s="3" t="s">
        <v>21</v>
      </c>
      <c r="L101" s="3" t="s">
        <v>22</v>
      </c>
      <c r="M101" s="4">
        <v>162</v>
      </c>
      <c r="N101" s="3" t="s">
        <v>1498</v>
      </c>
      <c r="O101" s="3" t="s">
        <v>24</v>
      </c>
    </row>
    <row r="102" spans="1:15" ht="22.05" customHeight="1" x14ac:dyDescent="0.4">
      <c r="A102" s="7">
        <v>304</v>
      </c>
      <c r="B102" s="8" t="s">
        <v>1538</v>
      </c>
      <c r="C102" s="6" t="str">
        <f>IFERROR(IF(LEFT(D102,FIND(" ",D102)-1)="전라북도","전북특별자치도",LEFT(D102,FIND(" ",D102)-1)),"")</f>
        <v>경기도</v>
      </c>
      <c r="D102" s="3" t="s">
        <v>1539</v>
      </c>
      <c r="E102" s="3" t="s">
        <v>1540</v>
      </c>
      <c r="F102" s="3" t="s">
        <v>1533</v>
      </c>
      <c r="G102" s="3" t="s">
        <v>1541</v>
      </c>
      <c r="H102" s="3" t="s">
        <v>1542</v>
      </c>
      <c r="I102" s="3" t="s">
        <v>1542</v>
      </c>
      <c r="J102" s="3" t="s">
        <v>19</v>
      </c>
      <c r="K102" s="3" t="s">
        <v>21</v>
      </c>
      <c r="L102" s="3" t="s">
        <v>22</v>
      </c>
      <c r="M102" s="4">
        <v>3586</v>
      </c>
      <c r="N102" s="3" t="s">
        <v>1498</v>
      </c>
      <c r="O102" s="3" t="s">
        <v>24</v>
      </c>
    </row>
    <row r="103" spans="1:15" ht="19.95" hidden="1" customHeight="1" x14ac:dyDescent="0.4">
      <c r="A103" s="7">
        <v>316</v>
      </c>
      <c r="B103" s="8" t="s">
        <v>1608</v>
      </c>
      <c r="C103" s="6" t="str">
        <f>IFERROR(IF(LEFT(D103,FIND(" ",D103)-1)="전라북도","전북특별자치도",LEFT(D103,FIND(" ",D103)-1)),"")</f>
        <v>경기도</v>
      </c>
      <c r="D103" s="3" t="s">
        <v>1609</v>
      </c>
      <c r="E103" s="3" t="s">
        <v>1610</v>
      </c>
      <c r="F103" s="3" t="s">
        <v>1611</v>
      </c>
      <c r="G103" s="3" t="s">
        <v>1612</v>
      </c>
      <c r="H103" s="3" t="s">
        <v>302</v>
      </c>
      <c r="I103" s="3" t="s">
        <v>19</v>
      </c>
      <c r="J103" s="3" t="s">
        <v>19</v>
      </c>
      <c r="K103" s="3" t="s">
        <v>21</v>
      </c>
      <c r="L103" s="3" t="s">
        <v>22</v>
      </c>
      <c r="M103" s="4">
        <v>197</v>
      </c>
      <c r="N103" s="3" t="s">
        <v>123</v>
      </c>
      <c r="O103" s="3" t="s">
        <v>24</v>
      </c>
    </row>
    <row r="104" spans="1:15" hidden="1" x14ac:dyDescent="0.4">
      <c r="A104" s="7">
        <v>103</v>
      </c>
      <c r="B104" s="8" t="s">
        <v>542</v>
      </c>
      <c r="C104" s="6" t="str">
        <f>IFERROR(IF(LEFT(D104,FIND(" ",D104)-1)="전라북도","전북특별자치도",LEFT(D104,FIND(" ",D104)-1)),"")</f>
        <v>경기도</v>
      </c>
      <c r="D104" s="3" t="s">
        <v>543</v>
      </c>
      <c r="E104" s="3" t="s">
        <v>544</v>
      </c>
      <c r="F104" s="3" t="s">
        <v>545</v>
      </c>
      <c r="G104" s="3" t="s">
        <v>19</v>
      </c>
      <c r="H104" s="3" t="s">
        <v>302</v>
      </c>
      <c r="I104" s="3" t="s">
        <v>19</v>
      </c>
      <c r="J104" s="3" t="s">
        <v>19</v>
      </c>
      <c r="K104" s="3" t="s">
        <v>21</v>
      </c>
      <c r="L104" s="3" t="s">
        <v>147</v>
      </c>
      <c r="M104" s="4">
        <v>470</v>
      </c>
      <c r="N104" s="3" t="s">
        <v>123</v>
      </c>
      <c r="O104" s="3" t="s">
        <v>281</v>
      </c>
    </row>
    <row r="105" spans="1:15" ht="22.05" customHeight="1" x14ac:dyDescent="0.4">
      <c r="A105" s="7">
        <v>321</v>
      </c>
      <c r="B105" s="8" t="s">
        <v>1637</v>
      </c>
      <c r="C105" s="6" t="str">
        <f>IFERROR(IF(LEFT(D105,FIND(" ",D105)-1)="전라북도","전북특별자치도",LEFT(D105,FIND(" ",D105)-1)),"")</f>
        <v>경기도</v>
      </c>
      <c r="D105" s="3" t="s">
        <v>1638</v>
      </c>
      <c r="E105" s="3" t="s">
        <v>1639</v>
      </c>
      <c r="F105" s="3" t="s">
        <v>1108</v>
      </c>
      <c r="G105" s="3" t="s">
        <v>1640</v>
      </c>
      <c r="H105" s="3" t="s">
        <v>1641</v>
      </c>
      <c r="I105" s="3" t="s">
        <v>1641</v>
      </c>
      <c r="J105" s="3" t="s">
        <v>19</v>
      </c>
      <c r="K105" s="3" t="s">
        <v>21</v>
      </c>
      <c r="L105" s="3" t="s">
        <v>22</v>
      </c>
      <c r="M105" s="4">
        <v>4668</v>
      </c>
      <c r="N105" s="3" t="s">
        <v>129</v>
      </c>
      <c r="O105" s="3" t="s">
        <v>24</v>
      </c>
    </row>
    <row r="106" spans="1:15" ht="22.05" customHeight="1" x14ac:dyDescent="0.4">
      <c r="A106" s="7">
        <v>324</v>
      </c>
      <c r="B106" s="8" t="s">
        <v>1652</v>
      </c>
      <c r="C106" s="6" t="str">
        <f>IFERROR(IF(LEFT(D106,FIND(" ",D106)-1)="전라북도","전북특별자치도",LEFT(D106,FIND(" ",D106)-1)),"")</f>
        <v>경기도</v>
      </c>
      <c r="D106" s="3" t="s">
        <v>1653</v>
      </c>
      <c r="E106" s="3" t="s">
        <v>1654</v>
      </c>
      <c r="F106" s="3" t="s">
        <v>1655</v>
      </c>
      <c r="G106" s="3" t="s">
        <v>1656</v>
      </c>
      <c r="H106" s="3" t="s">
        <v>1657</v>
      </c>
      <c r="I106" s="3" t="s">
        <v>19</v>
      </c>
      <c r="J106" s="3" t="s">
        <v>19</v>
      </c>
      <c r="K106" s="3" t="s">
        <v>21</v>
      </c>
      <c r="L106" s="3" t="s">
        <v>22</v>
      </c>
      <c r="M106" s="4">
        <v>358</v>
      </c>
      <c r="N106" s="3" t="s">
        <v>1498</v>
      </c>
      <c r="O106" s="3" t="s">
        <v>24</v>
      </c>
    </row>
    <row r="107" spans="1:15" ht="19.95" hidden="1" customHeight="1" x14ac:dyDescent="0.4">
      <c r="A107" s="7">
        <v>334</v>
      </c>
      <c r="B107" s="8" t="s">
        <v>1701</v>
      </c>
      <c r="C107" s="6" t="str">
        <f>IFERROR(IF(LEFT(D107,FIND(" ",D107)-1)="전라북도","전북특별자치도",LEFT(D107,FIND(" ",D107)-1)),"")</f>
        <v>경기도</v>
      </c>
      <c r="D107" s="3" t="s">
        <v>1702</v>
      </c>
      <c r="E107" s="3" t="s">
        <v>1703</v>
      </c>
      <c r="F107" s="3" t="s">
        <v>1699</v>
      </c>
      <c r="G107" s="3" t="s">
        <v>19</v>
      </c>
      <c r="H107" s="3" t="s">
        <v>1704</v>
      </c>
      <c r="I107" s="3" t="s">
        <v>19</v>
      </c>
      <c r="J107" s="3" t="s">
        <v>19</v>
      </c>
      <c r="K107" s="3" t="s">
        <v>21</v>
      </c>
      <c r="L107" s="3" t="s">
        <v>22</v>
      </c>
      <c r="M107" s="4">
        <v>194</v>
      </c>
      <c r="N107" s="3" t="s">
        <v>657</v>
      </c>
      <c r="O107" s="3" t="s">
        <v>24</v>
      </c>
    </row>
    <row r="108" spans="1:15" ht="22.05" customHeight="1" x14ac:dyDescent="0.4">
      <c r="A108" s="7">
        <v>346</v>
      </c>
      <c r="B108" s="8" t="s">
        <v>1759</v>
      </c>
      <c r="C108" s="6" t="str">
        <f>IFERROR(IF(LEFT(D108,FIND(" ",D108)-1)="전라북도","전북특별자치도",LEFT(D108,FIND(" ",D108)-1)),"")</f>
        <v>경기도</v>
      </c>
      <c r="D108" s="3" t="s">
        <v>1760</v>
      </c>
      <c r="E108" s="3" t="s">
        <v>78</v>
      </c>
      <c r="F108" s="3" t="s">
        <v>1761</v>
      </c>
      <c r="G108" s="3" t="s">
        <v>1762</v>
      </c>
      <c r="H108" s="3" t="s">
        <v>1763</v>
      </c>
      <c r="I108" s="3" t="s">
        <v>1763</v>
      </c>
      <c r="J108" s="3" t="s">
        <v>19</v>
      </c>
      <c r="K108" s="3" t="s">
        <v>21</v>
      </c>
      <c r="L108" s="3" t="s">
        <v>22</v>
      </c>
      <c r="M108" s="4">
        <v>1510</v>
      </c>
      <c r="N108" s="3" t="s">
        <v>1498</v>
      </c>
      <c r="O108" s="3" t="s">
        <v>24</v>
      </c>
    </row>
    <row r="109" spans="1:15" ht="22.05" customHeight="1" x14ac:dyDescent="0.4">
      <c r="A109" s="7">
        <v>347</v>
      </c>
      <c r="B109" s="8" t="s">
        <v>1759</v>
      </c>
      <c r="C109" s="6" t="str">
        <f>IFERROR(IF(LEFT(D109,FIND(" ",D109)-1)="전라북도","전북특별자치도",LEFT(D109,FIND(" ",D109)-1)),"")</f>
        <v>경기도</v>
      </c>
      <c r="D109" s="3" t="s">
        <v>1764</v>
      </c>
      <c r="E109" s="3" t="s">
        <v>1765</v>
      </c>
      <c r="F109" s="3" t="s">
        <v>1761</v>
      </c>
      <c r="G109" s="3" t="s">
        <v>1762</v>
      </c>
      <c r="H109" s="3" t="s">
        <v>1763</v>
      </c>
      <c r="I109" s="3" t="s">
        <v>1763</v>
      </c>
      <c r="J109" s="3" t="s">
        <v>19</v>
      </c>
      <c r="K109" s="3" t="s">
        <v>21</v>
      </c>
      <c r="L109" s="3" t="s">
        <v>22</v>
      </c>
      <c r="M109" s="4">
        <v>959</v>
      </c>
      <c r="N109" s="3" t="s">
        <v>1498</v>
      </c>
      <c r="O109" s="3" t="s">
        <v>24</v>
      </c>
    </row>
    <row r="110" spans="1:15" ht="19.95" hidden="1" customHeight="1" x14ac:dyDescent="0.4">
      <c r="A110" s="7">
        <v>350</v>
      </c>
      <c r="B110" s="8" t="s">
        <v>1784</v>
      </c>
      <c r="C110" s="6" t="str">
        <f>IFERROR(IF(LEFT(D110,FIND(" ",D110)-1)="전라북도","전북특별자치도",LEFT(D110,FIND(" ",D110)-1)),"")</f>
        <v>경기도</v>
      </c>
      <c r="D110" s="3" t="s">
        <v>1785</v>
      </c>
      <c r="E110" s="3" t="s">
        <v>1781</v>
      </c>
      <c r="F110" s="3" t="s">
        <v>1782</v>
      </c>
      <c r="G110" s="3" t="s">
        <v>19</v>
      </c>
      <c r="H110" s="3" t="s">
        <v>302</v>
      </c>
      <c r="I110" s="3" t="s">
        <v>19</v>
      </c>
      <c r="J110" s="3" t="s">
        <v>19</v>
      </c>
      <c r="K110" s="3" t="s">
        <v>21</v>
      </c>
      <c r="L110" s="3" t="s">
        <v>22</v>
      </c>
      <c r="M110" s="4">
        <v>176</v>
      </c>
      <c r="N110" s="3" t="s">
        <v>1498</v>
      </c>
      <c r="O110" s="3" t="s">
        <v>24</v>
      </c>
    </row>
    <row r="111" spans="1:15" hidden="1" x14ac:dyDescent="0.4">
      <c r="A111" s="7">
        <v>110</v>
      </c>
      <c r="B111" s="8" t="s">
        <v>578</v>
      </c>
      <c r="C111" s="6" t="str">
        <f>IFERROR(IF(LEFT(D111,FIND(" ",D111)-1)="전라북도","전북특별자치도",LEFT(D111,FIND(" ",D111)-1)),"")</f>
        <v>경상북도</v>
      </c>
      <c r="D111" s="3" t="s">
        <v>579</v>
      </c>
      <c r="E111" s="3" t="s">
        <v>580</v>
      </c>
      <c r="F111" s="3" t="s">
        <v>581</v>
      </c>
      <c r="G111" s="3" t="s">
        <v>583</v>
      </c>
      <c r="H111" s="3" t="s">
        <v>110</v>
      </c>
      <c r="I111" s="3" t="s">
        <v>19</v>
      </c>
      <c r="J111" s="3" t="s">
        <v>19</v>
      </c>
      <c r="K111" s="3" t="s">
        <v>21</v>
      </c>
      <c r="L111" s="3" t="s">
        <v>358</v>
      </c>
      <c r="M111" s="4">
        <v>2971</v>
      </c>
      <c r="N111" s="3" t="s">
        <v>23</v>
      </c>
      <c r="O111" s="3" t="s">
        <v>281</v>
      </c>
    </row>
    <row r="112" spans="1:15" ht="19.95" hidden="1" customHeight="1" x14ac:dyDescent="0.4">
      <c r="A112" s="7">
        <v>351</v>
      </c>
      <c r="B112" s="8" t="s">
        <v>1786</v>
      </c>
      <c r="C112" s="6" t="str">
        <f>IFERROR(IF(LEFT(D112,FIND(" ",D112)-1)="전라북도","전북특별자치도",LEFT(D112,FIND(" ",D112)-1)),"")</f>
        <v>경기도</v>
      </c>
      <c r="D112" s="3" t="s">
        <v>1785</v>
      </c>
      <c r="E112" s="3" t="s">
        <v>1781</v>
      </c>
      <c r="F112" s="3" t="s">
        <v>1782</v>
      </c>
      <c r="G112" s="3" t="s">
        <v>19</v>
      </c>
      <c r="H112" s="3" t="s">
        <v>302</v>
      </c>
      <c r="I112" s="3" t="s">
        <v>19</v>
      </c>
      <c r="J112" s="3" t="s">
        <v>19</v>
      </c>
      <c r="K112" s="3" t="s">
        <v>21</v>
      </c>
      <c r="L112" s="3" t="s">
        <v>22</v>
      </c>
      <c r="M112" s="4">
        <v>88</v>
      </c>
      <c r="N112" s="3" t="s">
        <v>1498</v>
      </c>
      <c r="O112" s="3" t="s">
        <v>24</v>
      </c>
    </row>
    <row r="113" spans="1:15" hidden="1" x14ac:dyDescent="0.4">
      <c r="A113" s="7">
        <v>112</v>
      </c>
      <c r="B113" s="8" t="s">
        <v>589</v>
      </c>
      <c r="C113" s="6" t="str">
        <f>IFERROR(IF(LEFT(D113,FIND(" ",D113)-1)="전라북도","전북특별자치도",LEFT(D113,FIND(" ",D113)-1)),"")</f>
        <v>강원특별자치도</v>
      </c>
      <c r="D113" s="3" t="s">
        <v>590</v>
      </c>
      <c r="E113" s="3" t="s">
        <v>591</v>
      </c>
      <c r="F113" s="3" t="s">
        <v>580</v>
      </c>
      <c r="G113" s="3" t="s">
        <v>19</v>
      </c>
      <c r="H113" s="3" t="s">
        <v>128</v>
      </c>
      <c r="I113" s="3" t="s">
        <v>19</v>
      </c>
      <c r="J113" s="3" t="s">
        <v>19</v>
      </c>
      <c r="K113" s="3" t="s">
        <v>21</v>
      </c>
      <c r="L113" s="3" t="s">
        <v>147</v>
      </c>
      <c r="M113" s="4">
        <v>341</v>
      </c>
      <c r="N113" s="3" t="s">
        <v>84</v>
      </c>
      <c r="O113" s="3" t="s">
        <v>281</v>
      </c>
    </row>
    <row r="114" spans="1:15" ht="22.05" customHeight="1" x14ac:dyDescent="0.4">
      <c r="A114" s="7">
        <v>352</v>
      </c>
      <c r="B114" s="8" t="s">
        <v>1794</v>
      </c>
      <c r="C114" s="6" t="str">
        <f>IFERROR(IF(LEFT(D114,FIND(" ",D114)-1)="전라북도","전북특별자치도",LEFT(D114,FIND(" ",D114)-1)),"")</f>
        <v>경기도</v>
      </c>
      <c r="D114" s="3" t="s">
        <v>1780</v>
      </c>
      <c r="E114" s="3" t="s">
        <v>1781</v>
      </c>
      <c r="F114" s="3" t="s">
        <v>1782</v>
      </c>
      <c r="G114" s="3" t="s">
        <v>19</v>
      </c>
      <c r="H114" s="3" t="s">
        <v>302</v>
      </c>
      <c r="I114" s="3" t="s">
        <v>19</v>
      </c>
      <c r="J114" s="3" t="s">
        <v>19</v>
      </c>
      <c r="K114" s="3" t="s">
        <v>21</v>
      </c>
      <c r="L114" s="3" t="s">
        <v>22</v>
      </c>
      <c r="M114" s="4">
        <v>353</v>
      </c>
      <c r="N114" s="3" t="s">
        <v>1498</v>
      </c>
      <c r="O114" s="3" t="s">
        <v>24</v>
      </c>
    </row>
    <row r="115" spans="1:15" hidden="1" x14ac:dyDescent="0.4">
      <c r="A115" s="7">
        <v>114</v>
      </c>
      <c r="B115" s="8" t="s">
        <v>597</v>
      </c>
      <c r="C115" s="6" t="str">
        <f>IFERROR(IF(LEFT(D115,FIND(" ",D115)-1)="전라북도","전북특별자치도",LEFT(D115,FIND(" ",D115)-1)),"")</f>
        <v>충청남도</v>
      </c>
      <c r="D115" s="3" t="s">
        <v>598</v>
      </c>
      <c r="E115" s="3" t="s">
        <v>599</v>
      </c>
      <c r="F115" s="3" t="s">
        <v>600</v>
      </c>
      <c r="G115" s="3" t="s">
        <v>602</v>
      </c>
      <c r="H115" s="3" t="s">
        <v>603</v>
      </c>
      <c r="I115" s="3" t="s">
        <v>422</v>
      </c>
      <c r="J115" s="3" t="s">
        <v>19</v>
      </c>
      <c r="K115" s="3" t="s">
        <v>21</v>
      </c>
      <c r="L115" s="3" t="s">
        <v>147</v>
      </c>
      <c r="M115" s="4">
        <v>363</v>
      </c>
      <c r="N115" s="3" t="s">
        <v>129</v>
      </c>
      <c r="O115" s="3" t="s">
        <v>281</v>
      </c>
    </row>
    <row r="116" spans="1:15" ht="22.05" customHeight="1" x14ac:dyDescent="0.4">
      <c r="A116" s="7">
        <v>353</v>
      </c>
      <c r="B116" s="8" t="s">
        <v>1796</v>
      </c>
      <c r="C116" s="6" t="str">
        <f>IFERROR(IF(LEFT(D116,FIND(" ",D116)-1)="전라북도","전북특별자치도",LEFT(D116,FIND(" ",D116)-1)),"")</f>
        <v>경기도</v>
      </c>
      <c r="D116" s="3" t="s">
        <v>1797</v>
      </c>
      <c r="E116" s="3" t="s">
        <v>1798</v>
      </c>
      <c r="F116" s="3" t="s">
        <v>1799</v>
      </c>
      <c r="G116" s="3" t="s">
        <v>1800</v>
      </c>
      <c r="H116" s="3" t="s">
        <v>1801</v>
      </c>
      <c r="I116" s="3" t="s">
        <v>19</v>
      </c>
      <c r="J116" s="3" t="s">
        <v>19</v>
      </c>
      <c r="K116" s="3" t="s">
        <v>21</v>
      </c>
      <c r="L116" s="3" t="s">
        <v>22</v>
      </c>
      <c r="M116" s="4">
        <v>618</v>
      </c>
      <c r="N116" s="3" t="s">
        <v>1498</v>
      </c>
      <c r="O116" s="3" t="s">
        <v>24</v>
      </c>
    </row>
    <row r="117" spans="1:15" ht="22.05" customHeight="1" x14ac:dyDescent="0.4">
      <c r="A117" s="7">
        <v>354</v>
      </c>
      <c r="B117" s="8" t="s">
        <v>1802</v>
      </c>
      <c r="C117" s="6" t="str">
        <f>IFERROR(IF(LEFT(D117,FIND(" ",D117)-1)="전라북도","전북특별자치도",LEFT(D117,FIND(" ",D117)-1)),"")</f>
        <v>경기도</v>
      </c>
      <c r="D117" s="3" t="s">
        <v>1803</v>
      </c>
      <c r="E117" s="3" t="s">
        <v>254</v>
      </c>
      <c r="F117" s="3" t="s">
        <v>1775</v>
      </c>
      <c r="G117" s="3" t="s">
        <v>1612</v>
      </c>
      <c r="H117" s="3" t="s">
        <v>302</v>
      </c>
      <c r="I117" s="3" t="s">
        <v>19</v>
      </c>
      <c r="J117" s="3" t="s">
        <v>19</v>
      </c>
      <c r="K117" s="3" t="s">
        <v>21</v>
      </c>
      <c r="L117" s="3" t="s">
        <v>22</v>
      </c>
      <c r="M117" s="4">
        <v>4235</v>
      </c>
      <c r="N117" s="3" t="s">
        <v>1498</v>
      </c>
      <c r="O117" s="3" t="s">
        <v>24</v>
      </c>
    </row>
    <row r="118" spans="1:15" ht="22.05" customHeight="1" x14ac:dyDescent="0.4">
      <c r="A118" s="7">
        <v>358</v>
      </c>
      <c r="B118" s="8" t="s">
        <v>1818</v>
      </c>
      <c r="C118" s="6" t="str">
        <f>IFERROR(IF(LEFT(D118,FIND(" ",D118)-1)="전라북도","전북특별자치도",LEFT(D118,FIND(" ",D118)-1)),"")</f>
        <v>경기도</v>
      </c>
      <c r="D118" s="3" t="s">
        <v>1819</v>
      </c>
      <c r="E118" s="3" t="s">
        <v>1820</v>
      </c>
      <c r="F118" s="3" t="s">
        <v>1683</v>
      </c>
      <c r="G118" s="3" t="s">
        <v>1821</v>
      </c>
      <c r="H118" s="3" t="s">
        <v>1822</v>
      </c>
      <c r="I118" s="3" t="s">
        <v>1822</v>
      </c>
      <c r="J118" s="3" t="s">
        <v>19</v>
      </c>
      <c r="K118" s="3" t="s">
        <v>21</v>
      </c>
      <c r="L118" s="3" t="s">
        <v>22</v>
      </c>
      <c r="M118" s="4">
        <v>634</v>
      </c>
      <c r="N118" s="3" t="s">
        <v>1498</v>
      </c>
      <c r="O118" s="3" t="s">
        <v>24</v>
      </c>
    </row>
    <row r="119" spans="1:15" hidden="1" x14ac:dyDescent="0.4">
      <c r="A119" s="7">
        <v>118</v>
      </c>
      <c r="B119" s="8" t="s">
        <v>617</v>
      </c>
      <c r="C119" s="6" t="str">
        <f>IFERROR(IF(LEFT(D119,FIND(" ",D119)-1)="전라북도","전북특별자치도",LEFT(D119,FIND(" ",D119)-1)),"")</f>
        <v>충청남도</v>
      </c>
      <c r="D119" s="3" t="s">
        <v>618</v>
      </c>
      <c r="E119" s="3" t="s">
        <v>619</v>
      </c>
      <c r="F119" s="3" t="s">
        <v>620</v>
      </c>
      <c r="G119" s="3" t="s">
        <v>19</v>
      </c>
      <c r="H119" s="3" t="s">
        <v>621</v>
      </c>
      <c r="I119" s="3" t="s">
        <v>19</v>
      </c>
      <c r="J119" s="3" t="s">
        <v>19</v>
      </c>
      <c r="K119" s="3" t="s">
        <v>21</v>
      </c>
      <c r="L119" s="3" t="s">
        <v>147</v>
      </c>
      <c r="M119" s="4">
        <v>781</v>
      </c>
      <c r="N119" s="3" t="s">
        <v>84</v>
      </c>
      <c r="O119" s="3" t="s">
        <v>281</v>
      </c>
    </row>
    <row r="120" spans="1:15" hidden="1" x14ac:dyDescent="0.4">
      <c r="A120" s="7">
        <v>119</v>
      </c>
      <c r="B120" s="8" t="s">
        <v>622</v>
      </c>
      <c r="C120" s="6" t="str">
        <f>IFERROR(IF(LEFT(D120,FIND(" ",D120)-1)="전라북도","전북특별자치도",LEFT(D120,FIND(" ",D120)-1)),"")</f>
        <v>강원특별자치도</v>
      </c>
      <c r="D120" s="3" t="s">
        <v>623</v>
      </c>
      <c r="E120" s="3" t="s">
        <v>624</v>
      </c>
      <c r="F120" s="3" t="s">
        <v>625</v>
      </c>
      <c r="G120" s="3" t="s">
        <v>626</v>
      </c>
      <c r="H120" s="3" t="s">
        <v>627</v>
      </c>
      <c r="I120" s="3" t="s">
        <v>627</v>
      </c>
      <c r="J120" s="3" t="s">
        <v>19</v>
      </c>
      <c r="K120" s="3" t="s">
        <v>21</v>
      </c>
      <c r="L120" s="3" t="s">
        <v>22</v>
      </c>
      <c r="M120" s="4">
        <v>271</v>
      </c>
      <c r="N120" s="3" t="s">
        <v>23</v>
      </c>
      <c r="O120" s="3" t="s">
        <v>281</v>
      </c>
    </row>
    <row r="121" spans="1:15" hidden="1" x14ac:dyDescent="0.4">
      <c r="A121" s="7">
        <v>120</v>
      </c>
      <c r="B121" s="8" t="s">
        <v>628</v>
      </c>
      <c r="C121" s="6" t="str">
        <f>IFERROR(IF(LEFT(D121,FIND(" ",D121)-1)="전라북도","전북특별자치도",LEFT(D121,FIND(" ",D121)-1)),"")</f>
        <v>강원특별자치도</v>
      </c>
      <c r="D121" s="3" t="s">
        <v>629</v>
      </c>
      <c r="E121" s="3" t="s">
        <v>630</v>
      </c>
      <c r="F121" s="3" t="s">
        <v>625</v>
      </c>
      <c r="G121" s="3" t="s">
        <v>626</v>
      </c>
      <c r="H121" s="3" t="s">
        <v>627</v>
      </c>
      <c r="I121" s="3" t="s">
        <v>627</v>
      </c>
      <c r="J121" s="3" t="s">
        <v>19</v>
      </c>
      <c r="K121" s="3" t="s">
        <v>21</v>
      </c>
      <c r="L121" s="3" t="s">
        <v>22</v>
      </c>
      <c r="M121" s="4">
        <v>271</v>
      </c>
      <c r="N121" s="3" t="s">
        <v>23</v>
      </c>
      <c r="O121" s="3" t="s">
        <v>281</v>
      </c>
    </row>
    <row r="122" spans="1:15" hidden="1" x14ac:dyDescent="0.4">
      <c r="A122" s="7">
        <v>121</v>
      </c>
      <c r="B122" s="8" t="s">
        <v>632</v>
      </c>
      <c r="C122" s="6" t="str">
        <f>IFERROR(IF(LEFT(D122,FIND(" ",D122)-1)="전라북도","전북특별자치도",LEFT(D122,FIND(" ",D122)-1)),"")</f>
        <v>경상남도</v>
      </c>
      <c r="D122" s="3" t="s">
        <v>633</v>
      </c>
      <c r="E122" s="3" t="s">
        <v>634</v>
      </c>
      <c r="F122" s="3" t="s">
        <v>635</v>
      </c>
      <c r="G122" s="3" t="s">
        <v>637</v>
      </c>
      <c r="H122" s="3" t="s">
        <v>638</v>
      </c>
      <c r="I122" s="3" t="s">
        <v>19</v>
      </c>
      <c r="J122" s="3" t="s">
        <v>19</v>
      </c>
      <c r="K122" s="3" t="s">
        <v>21</v>
      </c>
      <c r="L122" s="3" t="s">
        <v>22</v>
      </c>
      <c r="M122" s="4">
        <v>330</v>
      </c>
      <c r="N122" s="3" t="s">
        <v>129</v>
      </c>
      <c r="O122" s="3" t="s">
        <v>281</v>
      </c>
    </row>
    <row r="123" spans="1:15" ht="22.05" customHeight="1" x14ac:dyDescent="0.4">
      <c r="A123" s="7">
        <v>370</v>
      </c>
      <c r="B123" s="8" t="s">
        <v>1879</v>
      </c>
      <c r="C123" s="6" t="str">
        <f>IFERROR(IF(LEFT(D123,FIND(" ",D123)-1)="전라북도","전북특별자치도",LEFT(D123,FIND(" ",D123)-1)),"")</f>
        <v>경기도</v>
      </c>
      <c r="D123" s="3" t="s">
        <v>1880</v>
      </c>
      <c r="E123" s="3" t="s">
        <v>1881</v>
      </c>
      <c r="F123" s="3" t="s">
        <v>1882</v>
      </c>
      <c r="G123" s="3" t="s">
        <v>1883</v>
      </c>
      <c r="H123" s="3" t="s">
        <v>1884</v>
      </c>
      <c r="I123" s="3" t="s">
        <v>19</v>
      </c>
      <c r="J123" s="3" t="s">
        <v>19</v>
      </c>
      <c r="K123" s="3" t="s">
        <v>21</v>
      </c>
      <c r="L123" s="3" t="s">
        <v>22</v>
      </c>
      <c r="M123" s="4">
        <v>2137</v>
      </c>
      <c r="N123" s="3" t="s">
        <v>123</v>
      </c>
      <c r="O123" s="3" t="s">
        <v>24</v>
      </c>
    </row>
    <row r="124" spans="1:15" ht="22.05" customHeight="1" x14ac:dyDescent="0.4">
      <c r="A124" s="7">
        <v>386</v>
      </c>
      <c r="B124" s="8" t="s">
        <v>1956</v>
      </c>
      <c r="C124" s="6" t="str">
        <f>IFERROR(IF(LEFT(D124,FIND(" ",D124)-1)="전라북도","전북특별자치도",LEFT(D124,FIND(" ",D124)-1)),"")</f>
        <v>경기도</v>
      </c>
      <c r="D124" s="3" t="s">
        <v>1957</v>
      </c>
      <c r="E124" s="3" t="s">
        <v>684</v>
      </c>
      <c r="F124" s="3" t="s">
        <v>1958</v>
      </c>
      <c r="G124" s="3" t="s">
        <v>1959</v>
      </c>
      <c r="H124" s="3" t="s">
        <v>19</v>
      </c>
      <c r="I124" s="3" t="s">
        <v>19</v>
      </c>
      <c r="J124" s="3" t="s">
        <v>19</v>
      </c>
      <c r="K124" s="3" t="s">
        <v>21</v>
      </c>
      <c r="L124" s="3" t="s">
        <v>22</v>
      </c>
      <c r="M124" s="4">
        <v>574</v>
      </c>
      <c r="N124" s="3" t="s">
        <v>23</v>
      </c>
      <c r="O124" s="3" t="s">
        <v>24</v>
      </c>
    </row>
    <row r="125" spans="1:15" hidden="1" x14ac:dyDescent="0.4">
      <c r="A125" s="7">
        <v>124</v>
      </c>
      <c r="B125" s="8" t="s">
        <v>652</v>
      </c>
      <c r="C125" s="6" t="str">
        <f>IFERROR(IF(LEFT(D125,FIND(" ",D125)-1)="전라북도","전북특별자치도",LEFT(D125,FIND(" ",D125)-1)),"")</f>
        <v>충청남도</v>
      </c>
      <c r="D125" s="3" t="s">
        <v>653</v>
      </c>
      <c r="E125" s="3" t="s">
        <v>654</v>
      </c>
      <c r="F125" s="3" t="s">
        <v>655</v>
      </c>
      <c r="G125" s="3" t="s">
        <v>19</v>
      </c>
      <c r="H125" s="3" t="s">
        <v>603</v>
      </c>
      <c r="I125" s="3" t="s">
        <v>19</v>
      </c>
      <c r="J125" s="3" t="s">
        <v>19</v>
      </c>
      <c r="K125" s="3" t="s">
        <v>21</v>
      </c>
      <c r="L125" s="3" t="s">
        <v>147</v>
      </c>
      <c r="M125" s="4">
        <v>501</v>
      </c>
      <c r="N125" s="3" t="s">
        <v>657</v>
      </c>
      <c r="O125" s="3" t="s">
        <v>281</v>
      </c>
    </row>
    <row r="126" spans="1:15" hidden="1" x14ac:dyDescent="0.4">
      <c r="A126" s="7">
        <v>125</v>
      </c>
      <c r="B126" s="8" t="s">
        <v>658</v>
      </c>
      <c r="C126" s="6" t="str">
        <f>IFERROR(IF(LEFT(D126,FIND(" ",D126)-1)="전라북도","전북특별자치도",LEFT(D126,FIND(" ",D126)-1)),"")</f>
        <v>경상북도</v>
      </c>
      <c r="D126" s="3" t="s">
        <v>659</v>
      </c>
      <c r="E126" s="3" t="s">
        <v>660</v>
      </c>
      <c r="F126" s="3" t="s">
        <v>655</v>
      </c>
      <c r="G126" s="3" t="s">
        <v>662</v>
      </c>
      <c r="H126" s="3" t="s">
        <v>663</v>
      </c>
      <c r="I126" s="3" t="s">
        <v>664</v>
      </c>
      <c r="J126" s="3" t="s">
        <v>19</v>
      </c>
      <c r="K126" s="3" t="s">
        <v>21</v>
      </c>
      <c r="L126" s="3" t="s">
        <v>22</v>
      </c>
      <c r="M126" s="4">
        <v>442</v>
      </c>
      <c r="N126" s="3" t="s">
        <v>23</v>
      </c>
      <c r="O126" s="3" t="s">
        <v>281</v>
      </c>
    </row>
    <row r="127" spans="1:15" ht="22.05" customHeight="1" x14ac:dyDescent="0.4">
      <c r="A127" s="7">
        <v>387</v>
      </c>
      <c r="B127" s="8" t="s">
        <v>1961</v>
      </c>
      <c r="C127" s="6" t="str">
        <f>IFERROR(IF(LEFT(D127,FIND(" ",D127)-1)="전라북도","전북특별자치도",LEFT(D127,FIND(" ",D127)-1)),"")</f>
        <v>경기도</v>
      </c>
      <c r="D127" s="3" t="s">
        <v>1962</v>
      </c>
      <c r="E127" s="3" t="s">
        <v>1963</v>
      </c>
      <c r="F127" s="3" t="s">
        <v>1958</v>
      </c>
      <c r="G127" s="3" t="s">
        <v>19</v>
      </c>
      <c r="H127" s="3" t="s">
        <v>1155</v>
      </c>
      <c r="I127" s="3" t="s">
        <v>19</v>
      </c>
      <c r="J127" s="3" t="s">
        <v>19</v>
      </c>
      <c r="K127" s="3" t="s">
        <v>21</v>
      </c>
      <c r="L127" s="3" t="s">
        <v>22</v>
      </c>
      <c r="M127" s="4">
        <v>1334</v>
      </c>
      <c r="N127" s="3" t="s">
        <v>23</v>
      </c>
      <c r="O127" s="3" t="s">
        <v>24</v>
      </c>
    </row>
    <row r="128" spans="1:15" ht="22.05" customHeight="1" x14ac:dyDescent="0.4">
      <c r="A128" s="7">
        <v>389</v>
      </c>
      <c r="B128" s="8" t="s">
        <v>1969</v>
      </c>
      <c r="C128" s="6" t="str">
        <f>IFERROR(IF(LEFT(D128,FIND(" ",D128)-1)="전라북도","전북특별자치도",LEFT(D128,FIND(" ",D128)-1)),"")</f>
        <v>경기도</v>
      </c>
      <c r="D128" s="3" t="s">
        <v>1970</v>
      </c>
      <c r="E128" s="3" t="s">
        <v>1971</v>
      </c>
      <c r="F128" s="3" t="s">
        <v>1966</v>
      </c>
      <c r="G128" s="3" t="s">
        <v>1972</v>
      </c>
      <c r="H128" s="3" t="s">
        <v>1973</v>
      </c>
      <c r="I128" s="3" t="s">
        <v>1110</v>
      </c>
      <c r="J128" s="3" t="s">
        <v>1974</v>
      </c>
      <c r="K128" s="3" t="s">
        <v>21</v>
      </c>
      <c r="L128" s="3" t="s">
        <v>22</v>
      </c>
      <c r="M128" s="4">
        <v>3569</v>
      </c>
      <c r="N128" s="3" t="s">
        <v>129</v>
      </c>
      <c r="O128" s="3" t="s">
        <v>24</v>
      </c>
    </row>
    <row r="129" spans="1:15" ht="22.05" customHeight="1" x14ac:dyDescent="0.4">
      <c r="A129" s="7">
        <v>391</v>
      </c>
      <c r="B129" s="8" t="s">
        <v>1981</v>
      </c>
      <c r="C129" s="6" t="str">
        <f>IFERROR(IF(LEFT(D129,FIND(" ",D129)-1)="전라북도","전북특별자치도",LEFT(D129,FIND(" ",D129)-1)),"")</f>
        <v>경기도</v>
      </c>
      <c r="D129" s="3" t="s">
        <v>1982</v>
      </c>
      <c r="E129" s="3" t="s">
        <v>1983</v>
      </c>
      <c r="F129" s="3" t="s">
        <v>1978</v>
      </c>
      <c r="G129" s="3" t="s">
        <v>1984</v>
      </c>
      <c r="H129" s="3" t="s">
        <v>1985</v>
      </c>
      <c r="I129" s="3" t="s">
        <v>1986</v>
      </c>
      <c r="J129" s="3" t="s">
        <v>1984</v>
      </c>
      <c r="K129" s="3" t="s">
        <v>21</v>
      </c>
      <c r="L129" s="3" t="s">
        <v>22</v>
      </c>
      <c r="M129" s="4">
        <v>30232</v>
      </c>
      <c r="N129" s="3" t="s">
        <v>23</v>
      </c>
      <c r="O129" s="3" t="s">
        <v>24</v>
      </c>
    </row>
    <row r="130" spans="1:15" ht="22.05" customHeight="1" x14ac:dyDescent="0.4">
      <c r="A130" s="7">
        <v>434</v>
      </c>
      <c r="B130" s="8" t="s">
        <v>2227</v>
      </c>
      <c r="C130" s="6" t="str">
        <f>IFERROR(IF(LEFT(D130,FIND(" ",D130)-1)="전라북도","전북특별자치도",LEFT(D130,FIND(" ",D130)-1)),"")</f>
        <v>경기도</v>
      </c>
      <c r="D130" s="3" t="s">
        <v>2228</v>
      </c>
      <c r="E130" s="3" t="s">
        <v>2229</v>
      </c>
      <c r="F130" s="3" t="s">
        <v>2230</v>
      </c>
      <c r="G130" s="3" t="s">
        <v>2231</v>
      </c>
      <c r="H130" s="3" t="s">
        <v>2232</v>
      </c>
      <c r="I130" s="3" t="s">
        <v>2233</v>
      </c>
      <c r="J130" s="3" t="s">
        <v>19</v>
      </c>
      <c r="K130" s="3" t="s">
        <v>21</v>
      </c>
      <c r="L130" s="3" t="s">
        <v>22</v>
      </c>
      <c r="M130" s="4">
        <v>1275</v>
      </c>
      <c r="N130" s="3" t="s">
        <v>1498</v>
      </c>
      <c r="O130" s="3" t="s">
        <v>24</v>
      </c>
    </row>
    <row r="131" spans="1:15" hidden="1" x14ac:dyDescent="0.4">
      <c r="A131" s="7">
        <v>130</v>
      </c>
      <c r="B131" s="8" t="s">
        <v>687</v>
      </c>
      <c r="C131" s="6" t="str">
        <f>IFERROR(IF(LEFT(D131,FIND(" ",D131)-1)="전라북도","전북특별자치도",LEFT(D131,FIND(" ",D131)-1)),"")</f>
        <v>강원특별자치도</v>
      </c>
      <c r="D131" s="3" t="s">
        <v>688</v>
      </c>
      <c r="E131" s="3" t="s">
        <v>689</v>
      </c>
      <c r="F131" s="3" t="s">
        <v>690</v>
      </c>
      <c r="G131" s="3" t="s">
        <v>691</v>
      </c>
      <c r="H131" s="3" t="s">
        <v>128</v>
      </c>
      <c r="I131" s="3" t="s">
        <v>19</v>
      </c>
      <c r="J131" s="3" t="s">
        <v>692</v>
      </c>
      <c r="K131" s="3" t="s">
        <v>21</v>
      </c>
      <c r="L131" s="3" t="s">
        <v>147</v>
      </c>
      <c r="M131" s="4">
        <v>703</v>
      </c>
      <c r="N131" s="3" t="s">
        <v>23</v>
      </c>
      <c r="O131" s="3" t="s">
        <v>281</v>
      </c>
    </row>
    <row r="132" spans="1:15" hidden="1" x14ac:dyDescent="0.4">
      <c r="A132" s="7">
        <v>131</v>
      </c>
      <c r="B132" s="8" t="s">
        <v>693</v>
      </c>
      <c r="C132" s="6" t="str">
        <f>IFERROR(IF(LEFT(D132,FIND(" ",D132)-1)="전라북도","전북특별자치도",LEFT(D132,FIND(" ",D132)-1)),"")</f>
        <v>경기도</v>
      </c>
      <c r="D132" s="3" t="s">
        <v>694</v>
      </c>
      <c r="E132" s="3" t="s">
        <v>695</v>
      </c>
      <c r="F132" s="3" t="s">
        <v>696</v>
      </c>
      <c r="G132" s="3" t="s">
        <v>19</v>
      </c>
      <c r="H132" s="3" t="s">
        <v>697</v>
      </c>
      <c r="I132" s="3" t="s">
        <v>19</v>
      </c>
      <c r="J132" s="3" t="s">
        <v>19</v>
      </c>
      <c r="K132" s="3" t="s">
        <v>21</v>
      </c>
      <c r="L132" s="3" t="s">
        <v>147</v>
      </c>
      <c r="M132" s="4">
        <v>900</v>
      </c>
      <c r="N132" s="3" t="s">
        <v>23</v>
      </c>
      <c r="O132" s="3" t="s">
        <v>281</v>
      </c>
    </row>
    <row r="133" spans="1:15" hidden="1" x14ac:dyDescent="0.4">
      <c r="A133" s="7">
        <v>132</v>
      </c>
      <c r="B133" s="8" t="s">
        <v>698</v>
      </c>
      <c r="C133" s="6" t="str">
        <f>IFERROR(IF(LEFT(D133,FIND(" ",D133)-1)="전라북도","전북특별자치도",LEFT(D133,FIND(" ",D133)-1)),"")</f>
        <v>경기도</v>
      </c>
      <c r="D133" s="3" t="s">
        <v>694</v>
      </c>
      <c r="E133" s="3" t="s">
        <v>695</v>
      </c>
      <c r="F133" s="3" t="s">
        <v>696</v>
      </c>
      <c r="G133" s="3" t="s">
        <v>19</v>
      </c>
      <c r="H133" s="3" t="s">
        <v>697</v>
      </c>
      <c r="I133" s="3" t="s">
        <v>19</v>
      </c>
      <c r="J133" s="3" t="s">
        <v>19</v>
      </c>
      <c r="K133" s="3" t="s">
        <v>21</v>
      </c>
      <c r="L133" s="3" t="s">
        <v>147</v>
      </c>
      <c r="M133" s="4">
        <v>889</v>
      </c>
      <c r="N133" s="3" t="s">
        <v>23</v>
      </c>
      <c r="O133" s="3" t="s">
        <v>281</v>
      </c>
    </row>
    <row r="134" spans="1:15" ht="22.05" customHeight="1" x14ac:dyDescent="0.4">
      <c r="A134" s="7">
        <v>443</v>
      </c>
      <c r="B134" s="8" t="s">
        <v>2276</v>
      </c>
      <c r="C134" s="6" t="str">
        <f>IFERROR(IF(LEFT(D134,FIND(" ",D134)-1)="전라북도","전북특별자치도",LEFT(D134,FIND(" ",D134)-1)),"")</f>
        <v>경기도</v>
      </c>
      <c r="D134" s="3" t="s">
        <v>2277</v>
      </c>
      <c r="E134" s="3" t="s">
        <v>2210</v>
      </c>
      <c r="F134" s="3" t="s">
        <v>2263</v>
      </c>
      <c r="G134" s="3" t="s">
        <v>19</v>
      </c>
      <c r="H134" s="3" t="s">
        <v>391</v>
      </c>
      <c r="I134" s="3" t="s">
        <v>2278</v>
      </c>
      <c r="J134" s="3" t="s">
        <v>2279</v>
      </c>
      <c r="K134" s="3" t="s">
        <v>21</v>
      </c>
      <c r="L134" s="3" t="s">
        <v>22</v>
      </c>
      <c r="M134" s="4">
        <v>1969</v>
      </c>
      <c r="N134" s="3" t="s">
        <v>1498</v>
      </c>
      <c r="O134" s="3" t="s">
        <v>24</v>
      </c>
    </row>
    <row r="135" spans="1:15" hidden="1" x14ac:dyDescent="0.4">
      <c r="A135" s="7">
        <v>134</v>
      </c>
      <c r="B135" s="8" t="s">
        <v>705</v>
      </c>
      <c r="C135" s="6" t="str">
        <f>IFERROR(IF(LEFT(D135,FIND(" ",D135)-1)="전라북도","전북특별자치도",LEFT(D135,FIND(" ",D135)-1)),"")</f>
        <v>경상남도</v>
      </c>
      <c r="D135" s="3" t="s">
        <v>706</v>
      </c>
      <c r="E135" s="3" t="s">
        <v>707</v>
      </c>
      <c r="F135" s="3" t="s">
        <v>630</v>
      </c>
      <c r="G135" s="3" t="s">
        <v>19</v>
      </c>
      <c r="H135" s="3" t="s">
        <v>708</v>
      </c>
      <c r="I135" s="3" t="s">
        <v>19</v>
      </c>
      <c r="J135" s="3" t="s">
        <v>19</v>
      </c>
      <c r="K135" s="3" t="s">
        <v>21</v>
      </c>
      <c r="L135" s="3" t="s">
        <v>147</v>
      </c>
      <c r="M135" s="4">
        <v>214</v>
      </c>
      <c r="N135" s="3" t="s">
        <v>211</v>
      </c>
      <c r="O135" s="3" t="s">
        <v>281</v>
      </c>
    </row>
    <row r="136" spans="1:15" hidden="1" x14ac:dyDescent="0.4">
      <c r="A136" s="7">
        <v>135</v>
      </c>
      <c r="B136" s="8" t="s">
        <v>709</v>
      </c>
      <c r="C136" s="6" t="str">
        <f>IFERROR(IF(LEFT(D136,FIND(" ",D136)-1)="전라북도","전북특별자치도",LEFT(D136,FIND(" ",D136)-1)),"")</f>
        <v>경상남도</v>
      </c>
      <c r="D136" s="3" t="s">
        <v>710</v>
      </c>
      <c r="E136" s="3" t="s">
        <v>707</v>
      </c>
      <c r="F136" s="3" t="s">
        <v>630</v>
      </c>
      <c r="G136" s="3" t="s">
        <v>19</v>
      </c>
      <c r="H136" s="3" t="s">
        <v>708</v>
      </c>
      <c r="I136" s="3" t="s">
        <v>19</v>
      </c>
      <c r="J136" s="3" t="s">
        <v>19</v>
      </c>
      <c r="K136" s="3" t="s">
        <v>21</v>
      </c>
      <c r="L136" s="3" t="s">
        <v>147</v>
      </c>
      <c r="M136" s="4">
        <v>180</v>
      </c>
      <c r="N136" s="3" t="s">
        <v>211</v>
      </c>
      <c r="O136" s="3" t="s">
        <v>281</v>
      </c>
    </row>
    <row r="137" spans="1:15" ht="22.05" customHeight="1" x14ac:dyDescent="0.4">
      <c r="A137" s="7">
        <v>481</v>
      </c>
      <c r="B137" s="8" t="s">
        <v>1813</v>
      </c>
      <c r="C137" s="6" t="str">
        <f>IFERROR(IF(LEFT(D137,FIND(" ",D137)-1)="전라북도","전북특별자치도",LEFT(D137,FIND(" ",D137)-1)),"")</f>
        <v>경기도</v>
      </c>
      <c r="D137" s="3" t="s">
        <v>2425</v>
      </c>
      <c r="E137" s="3" t="s">
        <v>2426</v>
      </c>
      <c r="F137" s="3" t="s">
        <v>2427</v>
      </c>
      <c r="G137" s="3" t="s">
        <v>19</v>
      </c>
      <c r="H137" s="3" t="s">
        <v>140</v>
      </c>
      <c r="I137" s="3" t="s">
        <v>19</v>
      </c>
      <c r="J137" s="3" t="s">
        <v>19</v>
      </c>
      <c r="K137" s="3" t="s">
        <v>21</v>
      </c>
      <c r="L137" s="3" t="s">
        <v>147</v>
      </c>
      <c r="M137" s="4">
        <v>1110</v>
      </c>
      <c r="N137" s="3" t="s">
        <v>1498</v>
      </c>
      <c r="O137" s="3" t="s">
        <v>24</v>
      </c>
    </row>
    <row r="138" spans="1:15" hidden="1" x14ac:dyDescent="0.4">
      <c r="A138" s="7">
        <v>137</v>
      </c>
      <c r="B138" s="8" t="s">
        <v>716</v>
      </c>
      <c r="C138" s="6" t="str">
        <f>IFERROR(IF(LEFT(D138,FIND(" ",D138)-1)="전라북도","전북특별자치도",LEFT(D138,FIND(" ",D138)-1)),"")</f>
        <v>경상남도</v>
      </c>
      <c r="D138" s="3" t="s">
        <v>717</v>
      </c>
      <c r="E138" s="3" t="s">
        <v>718</v>
      </c>
      <c r="F138" s="3" t="s">
        <v>719</v>
      </c>
      <c r="G138" s="3" t="s">
        <v>721</v>
      </c>
      <c r="H138" s="3" t="s">
        <v>722</v>
      </c>
      <c r="I138" s="3" t="s">
        <v>19</v>
      </c>
      <c r="J138" s="3" t="s">
        <v>721</v>
      </c>
      <c r="K138" s="3" t="s">
        <v>21</v>
      </c>
      <c r="L138" s="3" t="s">
        <v>147</v>
      </c>
      <c r="M138" s="4">
        <v>1664</v>
      </c>
      <c r="N138" s="3" t="s">
        <v>23</v>
      </c>
      <c r="O138" s="3" t="s">
        <v>281</v>
      </c>
    </row>
    <row r="139" spans="1:15" hidden="1" x14ac:dyDescent="0.4">
      <c r="A139" s="7">
        <v>138</v>
      </c>
      <c r="B139" s="8" t="s">
        <v>723</v>
      </c>
      <c r="C139" s="6" t="str">
        <f>IFERROR(IF(LEFT(D139,FIND(" ",D139)-1)="전라북도","전북특별자치도",LEFT(D139,FIND(" ",D139)-1)),"")</f>
        <v>서울특별시</v>
      </c>
      <c r="D139" s="3" t="s">
        <v>724</v>
      </c>
      <c r="E139" s="3" t="s">
        <v>725</v>
      </c>
      <c r="F139" s="3" t="s">
        <v>726</v>
      </c>
      <c r="G139" s="3" t="s">
        <v>19</v>
      </c>
      <c r="H139" s="3" t="s">
        <v>728</v>
      </c>
      <c r="I139" s="3" t="s">
        <v>728</v>
      </c>
      <c r="J139" s="3" t="s">
        <v>19</v>
      </c>
      <c r="K139" s="3" t="s">
        <v>21</v>
      </c>
      <c r="L139" s="3" t="s">
        <v>147</v>
      </c>
      <c r="M139" s="4">
        <v>846</v>
      </c>
      <c r="N139" s="3" t="s">
        <v>23</v>
      </c>
      <c r="O139" s="3" t="s">
        <v>281</v>
      </c>
    </row>
    <row r="140" spans="1:15" ht="22.05" customHeight="1" x14ac:dyDescent="0.4">
      <c r="A140" s="7">
        <v>509</v>
      </c>
      <c r="B140" s="8" t="s">
        <v>1956</v>
      </c>
      <c r="C140" s="6" t="str">
        <f>IFERROR(IF(LEFT(D140,FIND(" ",D140)-1)="전라북도","전북특별자치도",LEFT(D140,FIND(" ",D140)-1)),"")</f>
        <v>경기도</v>
      </c>
      <c r="D140" s="3" t="s">
        <v>2552</v>
      </c>
      <c r="E140" s="3" t="s">
        <v>684</v>
      </c>
      <c r="F140" s="3" t="s">
        <v>2553</v>
      </c>
      <c r="G140" s="3" t="s">
        <v>1959</v>
      </c>
      <c r="H140" s="3" t="s">
        <v>1960</v>
      </c>
      <c r="I140" s="3" t="s">
        <v>1960</v>
      </c>
      <c r="J140" s="3" t="s">
        <v>19</v>
      </c>
      <c r="K140" s="3" t="s">
        <v>21</v>
      </c>
      <c r="L140" s="3" t="s">
        <v>22</v>
      </c>
      <c r="M140" s="4">
        <v>574</v>
      </c>
      <c r="N140" s="3" t="s">
        <v>1498</v>
      </c>
      <c r="O140" s="3" t="s">
        <v>24</v>
      </c>
    </row>
    <row r="141" spans="1:15" ht="22.05" customHeight="1" x14ac:dyDescent="0.4">
      <c r="A141" s="7">
        <v>510</v>
      </c>
      <c r="B141" s="8" t="s">
        <v>1956</v>
      </c>
      <c r="C141" s="6" t="str">
        <f>IFERROR(IF(LEFT(D141,FIND(" ",D141)-1)="전라북도","전북특별자치도",LEFT(D141,FIND(" ",D141)-1)),"")</f>
        <v>경기도</v>
      </c>
      <c r="D141" s="3" t="s">
        <v>2554</v>
      </c>
      <c r="E141" s="3" t="s">
        <v>684</v>
      </c>
      <c r="F141" s="3" t="s">
        <v>2555</v>
      </c>
      <c r="G141" s="3" t="s">
        <v>1959</v>
      </c>
      <c r="H141" s="3" t="s">
        <v>1960</v>
      </c>
      <c r="I141" s="3" t="s">
        <v>1960</v>
      </c>
      <c r="J141" s="3" t="s">
        <v>19</v>
      </c>
      <c r="K141" s="3" t="s">
        <v>21</v>
      </c>
      <c r="L141" s="3" t="s">
        <v>22</v>
      </c>
      <c r="M141" s="4">
        <v>574</v>
      </c>
      <c r="N141" s="3" t="s">
        <v>1498</v>
      </c>
      <c r="O141" s="3" t="s">
        <v>24</v>
      </c>
    </row>
    <row r="142" spans="1:15" hidden="1" x14ac:dyDescent="0.4">
      <c r="A142" s="7">
        <v>141</v>
      </c>
      <c r="B142" s="8" t="s">
        <v>737</v>
      </c>
      <c r="C142" s="6" t="str">
        <f>IFERROR(IF(LEFT(D142,FIND(" ",D142)-1)="전라북도","전북특별자치도",LEFT(D142,FIND(" ",D142)-1)),"")</f>
        <v>경상북도</v>
      </c>
      <c r="D142" s="3" t="s">
        <v>738</v>
      </c>
      <c r="E142" s="3" t="s">
        <v>739</v>
      </c>
      <c r="F142" s="3" t="s">
        <v>740</v>
      </c>
      <c r="G142" s="3" t="s">
        <v>742</v>
      </c>
      <c r="H142" s="3" t="s">
        <v>743</v>
      </c>
      <c r="I142" s="3" t="s">
        <v>19</v>
      </c>
      <c r="J142" s="3" t="s">
        <v>19</v>
      </c>
      <c r="K142" s="3" t="s">
        <v>21</v>
      </c>
      <c r="L142" s="3" t="s">
        <v>22</v>
      </c>
      <c r="M142" s="4">
        <v>422</v>
      </c>
      <c r="N142" s="3" t="s">
        <v>123</v>
      </c>
      <c r="O142" s="3" t="s">
        <v>281</v>
      </c>
    </row>
    <row r="143" spans="1:15" hidden="1" x14ac:dyDescent="0.4">
      <c r="A143" s="7">
        <v>142</v>
      </c>
      <c r="B143" s="8" t="s">
        <v>744</v>
      </c>
      <c r="C143" s="6" t="str">
        <f>IFERROR(IF(LEFT(D143,FIND(" ",D143)-1)="전라북도","전북특별자치도",LEFT(D143,FIND(" ",D143)-1)),"")</f>
        <v>충청북도</v>
      </c>
      <c r="D143" s="3" t="s">
        <v>745</v>
      </c>
      <c r="E143" s="3" t="s">
        <v>746</v>
      </c>
      <c r="F143" s="3" t="s">
        <v>747</v>
      </c>
      <c r="G143" s="3" t="s">
        <v>749</v>
      </c>
      <c r="H143" s="3" t="s">
        <v>621</v>
      </c>
      <c r="I143" s="3" t="s">
        <v>621</v>
      </c>
      <c r="J143" s="3" t="s">
        <v>750</v>
      </c>
      <c r="K143" s="3" t="s">
        <v>21</v>
      </c>
      <c r="L143" s="3" t="s">
        <v>228</v>
      </c>
      <c r="M143" s="4">
        <v>2451</v>
      </c>
      <c r="N143" s="3" t="s">
        <v>23</v>
      </c>
      <c r="O143" s="3" t="s">
        <v>281</v>
      </c>
    </row>
    <row r="144" spans="1:15" ht="19.95" hidden="1" customHeight="1" x14ac:dyDescent="0.4">
      <c r="A144" s="7">
        <v>537</v>
      </c>
      <c r="B144" s="8" t="s">
        <v>2664</v>
      </c>
      <c r="C144" s="6" t="str">
        <f>IFERROR(IF(LEFT(D144,FIND(" ",D144)-1)="전라북도","전북특별자치도",LEFT(D144,FIND(" ",D144)-1)),"")</f>
        <v>경기도</v>
      </c>
      <c r="D144" s="3" t="s">
        <v>2665</v>
      </c>
      <c r="E144" s="3" t="s">
        <v>1188</v>
      </c>
      <c r="F144" s="3" t="s">
        <v>2646</v>
      </c>
      <c r="G144" s="3" t="s">
        <v>2666</v>
      </c>
      <c r="H144" s="3" t="s">
        <v>19</v>
      </c>
      <c r="I144" s="3" t="s">
        <v>19</v>
      </c>
      <c r="J144" s="3" t="s">
        <v>2666</v>
      </c>
      <c r="K144" s="3" t="s">
        <v>21</v>
      </c>
      <c r="L144" s="3" t="s">
        <v>147</v>
      </c>
      <c r="M144" s="4">
        <v>286</v>
      </c>
      <c r="N144" s="3" t="s">
        <v>19</v>
      </c>
      <c r="O144" s="3" t="s">
        <v>24</v>
      </c>
    </row>
    <row r="145" spans="1:15" hidden="1" x14ac:dyDescent="0.4">
      <c r="A145" s="7">
        <v>144</v>
      </c>
      <c r="B145" s="8" t="s">
        <v>757</v>
      </c>
      <c r="C145" s="6" t="str">
        <f>IFERROR(IF(LEFT(D145,FIND(" ",D145)-1)="전라북도","전북특별자치도",LEFT(D145,FIND(" ",D145)-1)),"")</f>
        <v>경기도</v>
      </c>
      <c r="D145" s="3" t="s">
        <v>758</v>
      </c>
      <c r="E145" s="3" t="s">
        <v>759</v>
      </c>
      <c r="F145" s="3" t="s">
        <v>760</v>
      </c>
      <c r="G145" s="3" t="s">
        <v>762</v>
      </c>
      <c r="H145" s="3" t="s">
        <v>763</v>
      </c>
      <c r="I145" s="3" t="s">
        <v>19</v>
      </c>
      <c r="J145" s="3" t="s">
        <v>762</v>
      </c>
      <c r="K145" s="3" t="s">
        <v>21</v>
      </c>
      <c r="L145" s="3" t="s">
        <v>147</v>
      </c>
      <c r="M145" s="4">
        <v>2761</v>
      </c>
      <c r="N145" s="3" t="s">
        <v>129</v>
      </c>
      <c r="O145" s="3" t="s">
        <v>281</v>
      </c>
    </row>
    <row r="146" spans="1:15" hidden="1" x14ac:dyDescent="0.4">
      <c r="A146" s="7">
        <v>145</v>
      </c>
      <c r="B146" s="8" t="s">
        <v>764</v>
      </c>
      <c r="C146" s="6" t="str">
        <f>IFERROR(IF(LEFT(D146,FIND(" ",D146)-1)="전라북도","전북특별자치도",LEFT(D146,FIND(" ",D146)-1)),"")</f>
        <v>인천광역시</v>
      </c>
      <c r="D146" s="3" t="s">
        <v>765</v>
      </c>
      <c r="E146" s="3" t="s">
        <v>766</v>
      </c>
      <c r="F146" s="3" t="s">
        <v>767</v>
      </c>
      <c r="G146" s="3" t="s">
        <v>19</v>
      </c>
      <c r="H146" s="3" t="s">
        <v>768</v>
      </c>
      <c r="I146" s="3" t="s">
        <v>19</v>
      </c>
      <c r="J146" s="3" t="s">
        <v>19</v>
      </c>
      <c r="K146" s="3" t="s">
        <v>21</v>
      </c>
      <c r="L146" s="3" t="s">
        <v>147</v>
      </c>
      <c r="M146" s="4">
        <v>209</v>
      </c>
      <c r="N146" s="3" t="s">
        <v>23</v>
      </c>
      <c r="O146" s="3" t="s">
        <v>281</v>
      </c>
    </row>
    <row r="147" spans="1:15" hidden="1" x14ac:dyDescent="0.4">
      <c r="A147" s="7">
        <v>146</v>
      </c>
      <c r="B147" s="8" t="s">
        <v>769</v>
      </c>
      <c r="C147" s="6" t="str">
        <f>IFERROR(IF(LEFT(D147,FIND(" ",D147)-1)="전라북도","전북특별자치도",LEFT(D147,FIND(" ",D147)-1)),"")</f>
        <v>인천광역시</v>
      </c>
      <c r="D147" s="3" t="s">
        <v>770</v>
      </c>
      <c r="E147" s="3" t="s">
        <v>766</v>
      </c>
      <c r="F147" s="3" t="s">
        <v>767</v>
      </c>
      <c r="G147" s="3" t="s">
        <v>19</v>
      </c>
      <c r="H147" s="3" t="s">
        <v>768</v>
      </c>
      <c r="I147" s="3" t="s">
        <v>19</v>
      </c>
      <c r="J147" s="3" t="s">
        <v>19</v>
      </c>
      <c r="K147" s="3" t="s">
        <v>21</v>
      </c>
      <c r="L147" s="3" t="s">
        <v>147</v>
      </c>
      <c r="M147" s="4">
        <v>212</v>
      </c>
      <c r="N147" s="3" t="s">
        <v>23</v>
      </c>
      <c r="O147" s="3" t="s">
        <v>281</v>
      </c>
    </row>
    <row r="148" spans="1:15" hidden="1" x14ac:dyDescent="0.4">
      <c r="A148" s="7">
        <v>147</v>
      </c>
      <c r="B148" s="8" t="s">
        <v>771</v>
      </c>
      <c r="C148" s="6" t="str">
        <f>IFERROR(IF(LEFT(D148,FIND(" ",D148)-1)="전라북도","전북특별자치도",LEFT(D148,FIND(" ",D148)-1)),"")</f>
        <v>인천광역시</v>
      </c>
      <c r="D148" s="3" t="s">
        <v>772</v>
      </c>
      <c r="E148" s="3" t="s">
        <v>766</v>
      </c>
      <c r="F148" s="3" t="s">
        <v>767</v>
      </c>
      <c r="G148" s="3" t="s">
        <v>19</v>
      </c>
      <c r="H148" s="3" t="s">
        <v>768</v>
      </c>
      <c r="I148" s="3" t="s">
        <v>19</v>
      </c>
      <c r="J148" s="3" t="s">
        <v>19</v>
      </c>
      <c r="K148" s="3" t="s">
        <v>21</v>
      </c>
      <c r="L148" s="3" t="s">
        <v>147</v>
      </c>
      <c r="M148" s="4">
        <v>212</v>
      </c>
      <c r="N148" s="3" t="s">
        <v>23</v>
      </c>
      <c r="O148" s="3" t="s">
        <v>281</v>
      </c>
    </row>
    <row r="149" spans="1:15" hidden="1" x14ac:dyDescent="0.4">
      <c r="A149" s="7">
        <v>148</v>
      </c>
      <c r="B149" s="8" t="s">
        <v>773</v>
      </c>
      <c r="C149" s="6" t="str">
        <f>IFERROR(IF(LEFT(D149,FIND(" ",D149)-1)="전라북도","전북특별자치도",LEFT(D149,FIND(" ",D149)-1)),"")</f>
        <v>인천광역시</v>
      </c>
      <c r="D149" s="3" t="s">
        <v>774</v>
      </c>
      <c r="E149" s="3" t="s">
        <v>766</v>
      </c>
      <c r="F149" s="3" t="s">
        <v>767</v>
      </c>
      <c r="G149" s="3" t="s">
        <v>19</v>
      </c>
      <c r="H149" s="3" t="s">
        <v>768</v>
      </c>
      <c r="I149" s="3" t="s">
        <v>19</v>
      </c>
      <c r="J149" s="3" t="s">
        <v>19</v>
      </c>
      <c r="K149" s="3" t="s">
        <v>21</v>
      </c>
      <c r="L149" s="3" t="s">
        <v>147</v>
      </c>
      <c r="M149" s="4">
        <v>215</v>
      </c>
      <c r="N149" s="3" t="s">
        <v>23</v>
      </c>
      <c r="O149" s="3" t="s">
        <v>281</v>
      </c>
    </row>
    <row r="150" spans="1:15" hidden="1" x14ac:dyDescent="0.4">
      <c r="A150" s="7">
        <v>149</v>
      </c>
      <c r="B150" s="8" t="s">
        <v>775</v>
      </c>
      <c r="C150" s="6" t="str">
        <f>IFERROR(IF(LEFT(D150,FIND(" ",D150)-1)="전라북도","전북특별자치도",LEFT(D150,FIND(" ",D150)-1)),"")</f>
        <v>인천광역시</v>
      </c>
      <c r="D150" s="3" t="s">
        <v>776</v>
      </c>
      <c r="E150" s="3" t="s">
        <v>766</v>
      </c>
      <c r="F150" s="3" t="s">
        <v>767</v>
      </c>
      <c r="G150" s="3" t="s">
        <v>19</v>
      </c>
      <c r="H150" s="3" t="s">
        <v>768</v>
      </c>
      <c r="I150" s="3" t="s">
        <v>19</v>
      </c>
      <c r="J150" s="3" t="s">
        <v>19</v>
      </c>
      <c r="K150" s="3" t="s">
        <v>21</v>
      </c>
      <c r="L150" s="3" t="s">
        <v>147</v>
      </c>
      <c r="M150" s="4">
        <v>212</v>
      </c>
      <c r="N150" s="3" t="s">
        <v>23</v>
      </c>
      <c r="O150" s="3" t="s">
        <v>281</v>
      </c>
    </row>
    <row r="151" spans="1:15" ht="22.05" customHeight="1" x14ac:dyDescent="0.4">
      <c r="A151" s="7">
        <v>671</v>
      </c>
      <c r="B151" s="8" t="s">
        <v>3219</v>
      </c>
      <c r="C151" s="6" t="str">
        <f>IFERROR(IF(LEFT(D151,FIND(" ",D151)-1)="전라북도","전북특별자치도",LEFT(D151,FIND(" ",D151)-1)),"")</f>
        <v>경기도</v>
      </c>
      <c r="D151" s="3" t="s">
        <v>2932</v>
      </c>
      <c r="E151" s="3" t="s">
        <v>3220</v>
      </c>
      <c r="F151" s="3" t="s">
        <v>3221</v>
      </c>
      <c r="G151" s="3" t="s">
        <v>19</v>
      </c>
      <c r="H151" s="3" t="s">
        <v>953</v>
      </c>
      <c r="I151" s="3" t="s">
        <v>953</v>
      </c>
      <c r="J151" s="3" t="s">
        <v>19</v>
      </c>
      <c r="K151" s="3" t="s">
        <v>21</v>
      </c>
      <c r="L151" s="3" t="s">
        <v>22</v>
      </c>
      <c r="M151" s="4">
        <v>1575</v>
      </c>
      <c r="N151" s="3" t="s">
        <v>2155</v>
      </c>
      <c r="O151" s="3" t="s">
        <v>24</v>
      </c>
    </row>
    <row r="152" spans="1:15" ht="22.05" customHeight="1" x14ac:dyDescent="0.4">
      <c r="A152" s="7">
        <v>684</v>
      </c>
      <c r="B152" s="8" t="s">
        <v>3271</v>
      </c>
      <c r="C152" s="6" t="str">
        <f>IFERROR(IF(LEFT(D152,FIND(" ",D152)-1)="전라북도","전북특별자치도",LEFT(D152,FIND(" ",D152)-1)),"")</f>
        <v>경기도</v>
      </c>
      <c r="D152" s="3" t="s">
        <v>3272</v>
      </c>
      <c r="E152" s="3" t="s">
        <v>2713</v>
      </c>
      <c r="F152" s="3" t="s">
        <v>3266</v>
      </c>
      <c r="G152" s="3" t="s">
        <v>19</v>
      </c>
      <c r="H152" s="3" t="s">
        <v>401</v>
      </c>
      <c r="I152" s="3" t="s">
        <v>19</v>
      </c>
      <c r="J152" s="3" t="s">
        <v>19</v>
      </c>
      <c r="K152" s="3" t="s">
        <v>21</v>
      </c>
      <c r="L152" s="3" t="s">
        <v>147</v>
      </c>
      <c r="M152" s="4">
        <v>506</v>
      </c>
      <c r="N152" s="3" t="s">
        <v>84</v>
      </c>
      <c r="O152" s="3" t="s">
        <v>24</v>
      </c>
    </row>
    <row r="153" spans="1:15" ht="22.05" customHeight="1" x14ac:dyDescent="0.4">
      <c r="A153" s="7">
        <v>707</v>
      </c>
      <c r="B153" s="8" t="s">
        <v>3362</v>
      </c>
      <c r="C153" s="6" t="str">
        <f>IFERROR(IF(LEFT(D153,FIND(" ",D153)-1)="전라북도","전북특별자치도",LEFT(D153,FIND(" ",D153)-1)),"")</f>
        <v>경기도</v>
      </c>
      <c r="D153" s="3" t="s">
        <v>3363</v>
      </c>
      <c r="E153" s="3" t="s">
        <v>3364</v>
      </c>
      <c r="F153" s="3" t="s">
        <v>3365</v>
      </c>
      <c r="G153" s="3" t="s">
        <v>3366</v>
      </c>
      <c r="H153" s="3" t="s">
        <v>3367</v>
      </c>
      <c r="I153" s="3" t="s">
        <v>3367</v>
      </c>
      <c r="J153" s="3" t="s">
        <v>19</v>
      </c>
      <c r="K153" s="3" t="s">
        <v>21</v>
      </c>
      <c r="L153" s="3" t="s">
        <v>22</v>
      </c>
      <c r="M153" s="4">
        <v>4962</v>
      </c>
      <c r="N153" s="3" t="s">
        <v>1498</v>
      </c>
      <c r="O153" s="3" t="s">
        <v>24</v>
      </c>
    </row>
    <row r="154" spans="1:15" ht="22.05" customHeight="1" x14ac:dyDescent="0.4">
      <c r="A154" s="7">
        <v>711</v>
      </c>
      <c r="B154" s="8" t="s">
        <v>3382</v>
      </c>
      <c r="C154" s="6" t="str">
        <f>IFERROR(IF(LEFT(D154,FIND(" ",D154)-1)="전라북도","전북특별자치도",LEFT(D154,FIND(" ",D154)-1)),"")</f>
        <v>경기도</v>
      </c>
      <c r="D154" s="3" t="s">
        <v>3383</v>
      </c>
      <c r="E154" s="3" t="s">
        <v>991</v>
      </c>
      <c r="F154" s="3" t="s">
        <v>969</v>
      </c>
      <c r="G154" s="3" t="s">
        <v>3384</v>
      </c>
      <c r="H154" s="3" t="s">
        <v>3385</v>
      </c>
      <c r="I154" s="3" t="s">
        <v>19</v>
      </c>
      <c r="J154" s="3" t="s">
        <v>19</v>
      </c>
      <c r="K154" s="3" t="s">
        <v>21</v>
      </c>
      <c r="L154" s="3" t="s">
        <v>22</v>
      </c>
      <c r="M154" s="4">
        <v>500</v>
      </c>
      <c r="N154" s="3" t="s">
        <v>84</v>
      </c>
      <c r="O154" s="3" t="s">
        <v>24</v>
      </c>
    </row>
    <row r="155" spans="1:15" ht="22.05" customHeight="1" x14ac:dyDescent="0.4">
      <c r="A155" s="7">
        <v>712</v>
      </c>
      <c r="B155" s="8" t="s">
        <v>3386</v>
      </c>
      <c r="C155" s="6" t="str">
        <f>IFERROR(IF(LEFT(D155,FIND(" ",D155)-1)="전라북도","전북특별자치도",LEFT(D155,FIND(" ",D155)-1)),"")</f>
        <v>경기도</v>
      </c>
      <c r="D155" s="3" t="s">
        <v>3387</v>
      </c>
      <c r="E155" s="3" t="s">
        <v>3388</v>
      </c>
      <c r="F155" s="3" t="s">
        <v>969</v>
      </c>
      <c r="G155" s="3" t="s">
        <v>19</v>
      </c>
      <c r="H155" s="3" t="s">
        <v>3389</v>
      </c>
      <c r="I155" s="3" t="s">
        <v>19</v>
      </c>
      <c r="J155" s="3" t="s">
        <v>19</v>
      </c>
      <c r="K155" s="3" t="s">
        <v>21</v>
      </c>
      <c r="L155" s="3" t="s">
        <v>147</v>
      </c>
      <c r="M155" s="4">
        <v>1973</v>
      </c>
      <c r="N155" s="3" t="s">
        <v>1498</v>
      </c>
      <c r="O155" s="3" t="s">
        <v>24</v>
      </c>
    </row>
    <row r="156" spans="1:15" hidden="1" x14ac:dyDescent="0.4">
      <c r="A156" s="7">
        <v>155</v>
      </c>
      <c r="B156" s="8" t="s">
        <v>801</v>
      </c>
      <c r="C156" s="6" t="str">
        <f>IFERROR(IF(LEFT(D156,FIND(" ",D156)-1)="전라북도","전북특별자치도",LEFT(D156,FIND(" ",D156)-1)),"")</f>
        <v>충청남도</v>
      </c>
      <c r="D156" s="3" t="s">
        <v>802</v>
      </c>
      <c r="E156" s="3" t="s">
        <v>803</v>
      </c>
      <c r="F156" s="3" t="s">
        <v>804</v>
      </c>
      <c r="G156" s="3" t="s">
        <v>806</v>
      </c>
      <c r="H156" s="3" t="s">
        <v>19</v>
      </c>
      <c r="I156" s="3" t="s">
        <v>19</v>
      </c>
      <c r="J156" s="3" t="s">
        <v>806</v>
      </c>
      <c r="K156" s="3" t="s">
        <v>21</v>
      </c>
      <c r="L156" s="3" t="s">
        <v>358</v>
      </c>
      <c r="M156" s="4">
        <v>318</v>
      </c>
      <c r="N156" s="3" t="s">
        <v>23</v>
      </c>
      <c r="O156" s="3" t="s">
        <v>281</v>
      </c>
    </row>
    <row r="157" spans="1:15" ht="22.05" customHeight="1" x14ac:dyDescent="0.4">
      <c r="A157" s="7">
        <v>60</v>
      </c>
      <c r="B157" s="8" t="s">
        <v>336</v>
      </c>
      <c r="C157" s="6" t="str">
        <f>IFERROR(IF(LEFT(D157,FIND(" ",D157)-1)="전라북도","전북특별자치도",LEFT(D157,FIND(" ",D157)-1)),"")</f>
        <v>경상남도</v>
      </c>
      <c r="D157" s="3" t="s">
        <v>337</v>
      </c>
      <c r="E157" s="3" t="s">
        <v>338</v>
      </c>
      <c r="F157" s="3" t="s">
        <v>339</v>
      </c>
      <c r="G157" s="3" t="s">
        <v>19</v>
      </c>
      <c r="H157" s="3" t="s">
        <v>340</v>
      </c>
      <c r="I157" s="3" t="s">
        <v>19</v>
      </c>
      <c r="J157" s="3" t="s">
        <v>19</v>
      </c>
      <c r="K157" s="3" t="s">
        <v>21</v>
      </c>
      <c r="L157" s="3" t="s">
        <v>22</v>
      </c>
      <c r="M157" s="4">
        <v>1032</v>
      </c>
      <c r="N157" s="3" t="s">
        <v>23</v>
      </c>
      <c r="O157" s="3" t="s">
        <v>24</v>
      </c>
    </row>
    <row r="158" spans="1:15" ht="22.05" customHeight="1" x14ac:dyDescent="0.4">
      <c r="A158" s="7">
        <v>61</v>
      </c>
      <c r="B158" s="8" t="s">
        <v>341</v>
      </c>
      <c r="C158" s="6" t="str">
        <f>IFERROR(IF(LEFT(D158,FIND(" ",D158)-1)="전라북도","전북특별자치도",LEFT(D158,FIND(" ",D158)-1)),"")</f>
        <v>경상남도</v>
      </c>
      <c r="D158" s="3" t="s">
        <v>342</v>
      </c>
      <c r="E158" s="3" t="s">
        <v>343</v>
      </c>
      <c r="F158" s="3" t="s">
        <v>55</v>
      </c>
      <c r="G158" s="3" t="s">
        <v>19</v>
      </c>
      <c r="H158" s="3" t="s">
        <v>344</v>
      </c>
      <c r="I158" s="3" t="s">
        <v>19</v>
      </c>
      <c r="J158" s="3" t="s">
        <v>19</v>
      </c>
      <c r="K158" s="3" t="s">
        <v>21</v>
      </c>
      <c r="L158" s="3" t="s">
        <v>22</v>
      </c>
      <c r="M158" s="4">
        <v>1506</v>
      </c>
      <c r="N158" s="3" t="s">
        <v>23</v>
      </c>
      <c r="O158" s="3" t="s">
        <v>24</v>
      </c>
    </row>
    <row r="159" spans="1:15" hidden="1" x14ac:dyDescent="0.4">
      <c r="A159" s="7">
        <v>158</v>
      </c>
      <c r="B159" s="8" t="s">
        <v>817</v>
      </c>
      <c r="C159" s="6" t="str">
        <f>IFERROR(IF(LEFT(D159,FIND(" ",D159)-1)="전라북도","전북특별자치도",LEFT(D159,FIND(" ",D159)-1)),"")</f>
        <v>경기도</v>
      </c>
      <c r="D159" s="3" t="s">
        <v>818</v>
      </c>
      <c r="E159" s="3" t="s">
        <v>819</v>
      </c>
      <c r="F159" s="3" t="s">
        <v>820</v>
      </c>
      <c r="G159" s="3" t="s">
        <v>822</v>
      </c>
      <c r="H159" s="3" t="s">
        <v>823</v>
      </c>
      <c r="I159" s="3" t="s">
        <v>19</v>
      </c>
      <c r="J159" s="3" t="s">
        <v>822</v>
      </c>
      <c r="K159" s="3" t="s">
        <v>21</v>
      </c>
      <c r="L159" s="3" t="s">
        <v>22</v>
      </c>
      <c r="M159" s="4">
        <v>225</v>
      </c>
      <c r="N159" s="3" t="s">
        <v>824</v>
      </c>
      <c r="O159" s="3" t="s">
        <v>281</v>
      </c>
    </row>
    <row r="160" spans="1:15" ht="22.05" customHeight="1" x14ac:dyDescent="0.4">
      <c r="A160" s="7">
        <v>65</v>
      </c>
      <c r="B160" s="8" t="s">
        <v>363</v>
      </c>
      <c r="C160" s="6" t="str">
        <f>IFERROR(IF(LEFT(D160,FIND(" ",D160)-1)="전라북도","전북특별자치도",LEFT(D160,FIND(" ",D160)-1)),"")</f>
        <v>경상남도</v>
      </c>
      <c r="D160" s="3" t="s">
        <v>364</v>
      </c>
      <c r="E160" s="3" t="s">
        <v>365</v>
      </c>
      <c r="F160" s="3" t="s">
        <v>366</v>
      </c>
      <c r="G160" s="3" t="s">
        <v>19</v>
      </c>
      <c r="H160" s="3" t="s">
        <v>367</v>
      </c>
      <c r="I160" s="3" t="s">
        <v>19</v>
      </c>
      <c r="J160" s="3" t="s">
        <v>368</v>
      </c>
      <c r="K160" s="3" t="s">
        <v>21</v>
      </c>
      <c r="L160" s="3" t="s">
        <v>22</v>
      </c>
      <c r="M160" s="4">
        <v>34584</v>
      </c>
      <c r="N160" s="3" t="s">
        <v>23</v>
      </c>
      <c r="O160" s="3" t="s">
        <v>24</v>
      </c>
    </row>
    <row r="161" spans="1:15" ht="22.05" customHeight="1" x14ac:dyDescent="0.4">
      <c r="A161" s="7">
        <v>66</v>
      </c>
      <c r="B161" s="8" t="s">
        <v>369</v>
      </c>
      <c r="C161" s="6" t="str">
        <f>IFERROR(IF(LEFT(D161,FIND(" ",D161)-1)="전라북도","전북특별자치도",LEFT(D161,FIND(" ",D161)-1)),"")</f>
        <v>경상남도</v>
      </c>
      <c r="D161" s="3" t="s">
        <v>370</v>
      </c>
      <c r="E161" s="3" t="s">
        <v>365</v>
      </c>
      <c r="F161" s="3" t="s">
        <v>366</v>
      </c>
      <c r="G161" s="3" t="s">
        <v>19</v>
      </c>
      <c r="H161" s="3" t="s">
        <v>367</v>
      </c>
      <c r="I161" s="3" t="s">
        <v>19</v>
      </c>
      <c r="J161" s="3" t="s">
        <v>368</v>
      </c>
      <c r="K161" s="3" t="s">
        <v>21</v>
      </c>
      <c r="L161" s="3" t="s">
        <v>22</v>
      </c>
      <c r="M161" s="4">
        <v>25130</v>
      </c>
      <c r="N161" s="3" t="s">
        <v>23</v>
      </c>
      <c r="O161" s="3" t="s">
        <v>24</v>
      </c>
    </row>
    <row r="162" spans="1:15" hidden="1" x14ac:dyDescent="0.4">
      <c r="A162" s="7">
        <v>161</v>
      </c>
      <c r="B162" s="8" t="s">
        <v>835</v>
      </c>
      <c r="C162" s="6" t="str">
        <f>IFERROR(IF(LEFT(D162,FIND(" ",D162)-1)="전라북도","전북특별자치도",LEFT(D162,FIND(" ",D162)-1)),"")</f>
        <v>제주특별자치도</v>
      </c>
      <c r="D162" s="3" t="s">
        <v>836</v>
      </c>
      <c r="E162" s="3" t="s">
        <v>91</v>
      </c>
      <c r="F162" s="3" t="s">
        <v>837</v>
      </c>
      <c r="G162" s="3" t="s">
        <v>838</v>
      </c>
      <c r="H162" s="3" t="s">
        <v>839</v>
      </c>
      <c r="I162" s="3" t="s">
        <v>840</v>
      </c>
      <c r="J162" s="3" t="s">
        <v>19</v>
      </c>
      <c r="K162" s="3" t="s">
        <v>21</v>
      </c>
      <c r="L162" s="3" t="s">
        <v>22</v>
      </c>
      <c r="M162" s="4">
        <v>471</v>
      </c>
      <c r="N162" s="3" t="s">
        <v>23</v>
      </c>
      <c r="O162" s="3" t="s">
        <v>281</v>
      </c>
    </row>
    <row r="163" spans="1:15" ht="22.05" customHeight="1" x14ac:dyDescent="0.4">
      <c r="A163" s="7">
        <v>67</v>
      </c>
      <c r="B163" s="8" t="s">
        <v>371</v>
      </c>
      <c r="C163" s="6" t="str">
        <f>IFERROR(IF(LEFT(D163,FIND(" ",D163)-1)="전라북도","전북특별자치도",LEFT(D163,FIND(" ",D163)-1)),"")</f>
        <v>경상남도</v>
      </c>
      <c r="D163" s="3" t="s">
        <v>372</v>
      </c>
      <c r="E163" s="3" t="s">
        <v>365</v>
      </c>
      <c r="F163" s="3" t="s">
        <v>366</v>
      </c>
      <c r="G163" s="3" t="s">
        <v>19</v>
      </c>
      <c r="H163" s="3" t="s">
        <v>367</v>
      </c>
      <c r="I163" s="3" t="s">
        <v>19</v>
      </c>
      <c r="J163" s="3" t="s">
        <v>368</v>
      </c>
      <c r="K163" s="3" t="s">
        <v>21</v>
      </c>
      <c r="L163" s="3" t="s">
        <v>22</v>
      </c>
      <c r="M163" s="4">
        <v>30790</v>
      </c>
      <c r="N163" s="3" t="s">
        <v>23</v>
      </c>
      <c r="O163" s="3" t="s">
        <v>24</v>
      </c>
    </row>
    <row r="164" spans="1:15" ht="22.05" customHeight="1" x14ac:dyDescent="0.4">
      <c r="A164" s="7">
        <v>80</v>
      </c>
      <c r="B164" s="8" t="s">
        <v>432</v>
      </c>
      <c r="C164" s="6" t="str">
        <f>IFERROR(IF(LEFT(D164,FIND(" ",D164)-1)="전라북도","전북특별자치도",LEFT(D164,FIND(" ",D164)-1)),"")</f>
        <v>경상남도</v>
      </c>
      <c r="D164" s="3" t="s">
        <v>433</v>
      </c>
      <c r="E164" s="3" t="s">
        <v>434</v>
      </c>
      <c r="F164" s="3" t="s">
        <v>435</v>
      </c>
      <c r="G164" s="3" t="s">
        <v>19</v>
      </c>
      <c r="H164" s="3" t="s">
        <v>436</v>
      </c>
      <c r="I164" s="3" t="s">
        <v>19</v>
      </c>
      <c r="J164" s="3" t="s">
        <v>437</v>
      </c>
      <c r="K164" s="3" t="s">
        <v>21</v>
      </c>
      <c r="L164" s="3" t="s">
        <v>22</v>
      </c>
      <c r="M164" s="4">
        <v>14895</v>
      </c>
      <c r="N164" s="3" t="s">
        <v>23</v>
      </c>
      <c r="O164" s="3" t="s">
        <v>24</v>
      </c>
    </row>
    <row r="165" spans="1:15" ht="19.95" hidden="1" customHeight="1" x14ac:dyDescent="0.4">
      <c r="A165" s="7">
        <v>89</v>
      </c>
      <c r="B165" s="8" t="s">
        <v>475</v>
      </c>
      <c r="C165" s="6" t="str">
        <f>IFERROR(IF(LEFT(D165,FIND(" ",D165)-1)="전라북도","전북특별자치도",LEFT(D165,FIND(" ",D165)-1)),"")</f>
        <v>경상남도</v>
      </c>
      <c r="D165" s="3" t="s">
        <v>476</v>
      </c>
      <c r="E165" s="3" t="s">
        <v>477</v>
      </c>
      <c r="F165" s="3" t="s">
        <v>471</v>
      </c>
      <c r="G165" s="3" t="s">
        <v>478</v>
      </c>
      <c r="H165" s="3" t="s">
        <v>479</v>
      </c>
      <c r="I165" s="3" t="s">
        <v>480</v>
      </c>
      <c r="J165" s="3" t="s">
        <v>19</v>
      </c>
      <c r="K165" s="3" t="s">
        <v>481</v>
      </c>
      <c r="L165" s="3" t="s">
        <v>22</v>
      </c>
      <c r="M165" s="4">
        <v>81</v>
      </c>
      <c r="N165" s="3" t="s">
        <v>129</v>
      </c>
      <c r="O165" s="3" t="s">
        <v>24</v>
      </c>
    </row>
    <row r="166" spans="1:15" hidden="1" x14ac:dyDescent="0.4">
      <c r="A166" s="7">
        <v>165</v>
      </c>
      <c r="B166" s="8" t="s">
        <v>858</v>
      </c>
      <c r="C166" s="6" t="str">
        <f>IFERROR(IF(LEFT(D166,FIND(" ",D166)-1)="전라북도","전북특별자치도",LEFT(D166,FIND(" ",D166)-1)),"")</f>
        <v>충청남도</v>
      </c>
      <c r="D166" s="3" t="s">
        <v>859</v>
      </c>
      <c r="E166" s="3" t="s">
        <v>860</v>
      </c>
      <c r="F166" s="3" t="s">
        <v>861</v>
      </c>
      <c r="G166" s="3" t="s">
        <v>862</v>
      </c>
      <c r="H166" s="3" t="s">
        <v>863</v>
      </c>
      <c r="I166" s="3" t="s">
        <v>864</v>
      </c>
      <c r="J166" s="3" t="s">
        <v>19</v>
      </c>
      <c r="K166" s="3" t="s">
        <v>21</v>
      </c>
      <c r="L166" s="3" t="s">
        <v>22</v>
      </c>
      <c r="M166" s="4">
        <v>1472</v>
      </c>
      <c r="N166" s="3" t="s">
        <v>23</v>
      </c>
      <c r="O166" s="3" t="s">
        <v>281</v>
      </c>
    </row>
    <row r="167" spans="1:15" ht="22.05" customHeight="1" x14ac:dyDescent="0.4">
      <c r="A167" s="7">
        <v>156</v>
      </c>
      <c r="B167" s="8" t="s">
        <v>807</v>
      </c>
      <c r="C167" s="6" t="str">
        <f>IFERROR(IF(LEFT(D167,FIND(" ",D167)-1)="전라북도","전북특별자치도",LEFT(D167,FIND(" ",D167)-1)),"")</f>
        <v>경상남도</v>
      </c>
      <c r="D167" s="3" t="s">
        <v>808</v>
      </c>
      <c r="E167" s="3" t="s">
        <v>809</v>
      </c>
      <c r="F167" s="3" t="s">
        <v>810</v>
      </c>
      <c r="G167" s="3" t="s">
        <v>19</v>
      </c>
      <c r="H167" s="3" t="s">
        <v>811</v>
      </c>
      <c r="I167" s="3" t="s">
        <v>19</v>
      </c>
      <c r="J167" s="3" t="s">
        <v>19</v>
      </c>
      <c r="K167" s="3" t="s">
        <v>21</v>
      </c>
      <c r="L167" s="3" t="s">
        <v>22</v>
      </c>
      <c r="M167" s="4">
        <v>3101</v>
      </c>
      <c r="N167" s="3" t="s">
        <v>23</v>
      </c>
      <c r="O167" s="3" t="s">
        <v>24</v>
      </c>
    </row>
    <row r="168" spans="1:15" ht="22.05" customHeight="1" x14ac:dyDescent="0.4">
      <c r="A168" s="7">
        <v>164</v>
      </c>
      <c r="B168" s="8" t="s">
        <v>853</v>
      </c>
      <c r="C168" s="6" t="str">
        <f>IFERROR(IF(LEFT(D168,FIND(" ",D168)-1)="전라북도","전북특별자치도",LEFT(D168,FIND(" ",D168)-1)),"")</f>
        <v>경상남도</v>
      </c>
      <c r="D168" s="3" t="s">
        <v>854</v>
      </c>
      <c r="E168" s="3" t="s">
        <v>850</v>
      </c>
      <c r="F168" s="3" t="s">
        <v>855</v>
      </c>
      <c r="G168" s="3" t="s">
        <v>19</v>
      </c>
      <c r="H168" s="3" t="s">
        <v>856</v>
      </c>
      <c r="I168" s="3" t="s">
        <v>19</v>
      </c>
      <c r="J168" s="3" t="s">
        <v>857</v>
      </c>
      <c r="K168" s="3" t="s">
        <v>21</v>
      </c>
      <c r="L168" s="3" t="s">
        <v>22</v>
      </c>
      <c r="M168" s="4">
        <v>4933</v>
      </c>
      <c r="N168" s="3" t="s">
        <v>23</v>
      </c>
      <c r="O168" s="3" t="s">
        <v>24</v>
      </c>
    </row>
    <row r="169" spans="1:15" hidden="1" x14ac:dyDescent="0.4">
      <c r="A169" s="7">
        <v>168</v>
      </c>
      <c r="B169" s="8" t="s">
        <v>875</v>
      </c>
      <c r="C169" s="6" t="str">
        <f>IFERROR(IF(LEFT(D169,FIND(" ",D169)-1)="전라북도","전북특별자치도",LEFT(D169,FIND(" ",D169)-1)),"")</f>
        <v>충청남도</v>
      </c>
      <c r="D169" s="3" t="s">
        <v>876</v>
      </c>
      <c r="E169" s="3" t="s">
        <v>877</v>
      </c>
      <c r="F169" s="3" t="s">
        <v>878</v>
      </c>
      <c r="G169" s="3" t="s">
        <v>19</v>
      </c>
      <c r="H169" s="3" t="s">
        <v>157</v>
      </c>
      <c r="I169" s="3" t="s">
        <v>19</v>
      </c>
      <c r="J169" s="3" t="s">
        <v>19</v>
      </c>
      <c r="K169" s="3" t="s">
        <v>21</v>
      </c>
      <c r="L169" s="3" t="s">
        <v>147</v>
      </c>
      <c r="M169" s="4">
        <v>543</v>
      </c>
      <c r="N169" s="3" t="s">
        <v>23</v>
      </c>
      <c r="O169" s="3" t="s">
        <v>281</v>
      </c>
    </row>
    <row r="170" spans="1:15" hidden="1" x14ac:dyDescent="0.4">
      <c r="A170" s="7">
        <v>169</v>
      </c>
      <c r="B170" s="8" t="s">
        <v>880</v>
      </c>
      <c r="C170" s="6" t="str">
        <f>IFERROR(IF(LEFT(D170,FIND(" ",D170)-1)="전라북도","전북특별자치도",LEFT(D170,FIND(" ",D170)-1)),"")</f>
        <v>경기도</v>
      </c>
      <c r="D170" s="3" t="s">
        <v>881</v>
      </c>
      <c r="E170" s="3" t="s">
        <v>882</v>
      </c>
      <c r="F170" s="3" t="s">
        <v>883</v>
      </c>
      <c r="G170" s="3" t="s">
        <v>19</v>
      </c>
      <c r="H170" s="3" t="s">
        <v>885</v>
      </c>
      <c r="I170" s="3" t="s">
        <v>19</v>
      </c>
      <c r="J170" s="3" t="s">
        <v>19</v>
      </c>
      <c r="K170" s="3" t="s">
        <v>21</v>
      </c>
      <c r="L170" s="3" t="s">
        <v>147</v>
      </c>
      <c r="M170" s="4">
        <v>142</v>
      </c>
      <c r="N170" s="3" t="s">
        <v>886</v>
      </c>
      <c r="O170" s="3" t="s">
        <v>281</v>
      </c>
    </row>
    <row r="171" spans="1:15" hidden="1" x14ac:dyDescent="0.4">
      <c r="A171" s="7">
        <v>170</v>
      </c>
      <c r="B171" s="8" t="s">
        <v>887</v>
      </c>
      <c r="C171" s="6" t="str">
        <f>IFERROR(IF(LEFT(D171,FIND(" ",D171)-1)="전라북도","전북특별자치도",LEFT(D171,FIND(" ",D171)-1)),"")</f>
        <v>인천광역시</v>
      </c>
      <c r="D171" s="3" t="s">
        <v>888</v>
      </c>
      <c r="E171" s="3" t="s">
        <v>889</v>
      </c>
      <c r="F171" s="3" t="s">
        <v>753</v>
      </c>
      <c r="G171" s="3" t="s">
        <v>19</v>
      </c>
      <c r="H171" s="3" t="s">
        <v>890</v>
      </c>
      <c r="I171" s="3" t="s">
        <v>19</v>
      </c>
      <c r="J171" s="3" t="s">
        <v>19</v>
      </c>
      <c r="K171" s="3" t="s">
        <v>21</v>
      </c>
      <c r="L171" s="3" t="s">
        <v>147</v>
      </c>
      <c r="M171" s="4">
        <v>626</v>
      </c>
      <c r="N171" s="3" t="s">
        <v>84</v>
      </c>
      <c r="O171" s="3" t="s">
        <v>281</v>
      </c>
    </row>
    <row r="172" spans="1:15" ht="22.05" customHeight="1" x14ac:dyDescent="0.4">
      <c r="A172" s="7">
        <v>194</v>
      </c>
      <c r="B172" s="8" t="s">
        <v>1011</v>
      </c>
      <c r="C172" s="6" t="str">
        <f>IFERROR(IF(LEFT(D172,FIND(" ",D172)-1)="전라북도","전북특별자치도",LEFT(D172,FIND(" ",D172)-1)),"")</f>
        <v>경상남도</v>
      </c>
      <c r="D172" s="3" t="s">
        <v>1012</v>
      </c>
      <c r="E172" s="3" t="s">
        <v>1013</v>
      </c>
      <c r="F172" s="3" t="s">
        <v>1009</v>
      </c>
      <c r="G172" s="3" t="s">
        <v>1014</v>
      </c>
      <c r="H172" s="3" t="s">
        <v>1015</v>
      </c>
      <c r="I172" s="3" t="s">
        <v>1015</v>
      </c>
      <c r="J172" s="3" t="s">
        <v>1016</v>
      </c>
      <c r="K172" s="3" t="s">
        <v>21</v>
      </c>
      <c r="L172" s="3" t="s">
        <v>22</v>
      </c>
      <c r="M172" s="4">
        <v>1897</v>
      </c>
      <c r="N172" s="3" t="s">
        <v>23</v>
      </c>
      <c r="O172" s="3" t="s">
        <v>24</v>
      </c>
    </row>
    <row r="173" spans="1:15" ht="22.05" customHeight="1" x14ac:dyDescent="0.4">
      <c r="A173" s="7">
        <v>196</v>
      </c>
      <c r="B173" s="8" t="s">
        <v>1021</v>
      </c>
      <c r="C173" s="6" t="str">
        <f>IFERROR(IF(LEFT(D173,FIND(" ",D173)-1)="전라북도","전북특별자치도",LEFT(D173,FIND(" ",D173)-1)),"")</f>
        <v>경상남도</v>
      </c>
      <c r="D173" s="3" t="s">
        <v>1022</v>
      </c>
      <c r="E173" s="3" t="s">
        <v>1023</v>
      </c>
      <c r="F173" s="3" t="s">
        <v>1024</v>
      </c>
      <c r="G173" s="3" t="s">
        <v>19</v>
      </c>
      <c r="H173" s="3" t="s">
        <v>1025</v>
      </c>
      <c r="I173" s="3" t="s">
        <v>19</v>
      </c>
      <c r="J173" s="3" t="s">
        <v>19</v>
      </c>
      <c r="K173" s="3" t="s">
        <v>21</v>
      </c>
      <c r="L173" s="3" t="s">
        <v>22</v>
      </c>
      <c r="M173" s="4">
        <v>1886</v>
      </c>
      <c r="N173" s="3" t="s">
        <v>23</v>
      </c>
      <c r="O173" s="3" t="s">
        <v>24</v>
      </c>
    </row>
    <row r="174" spans="1:15" ht="22.05" customHeight="1" x14ac:dyDescent="0.4">
      <c r="A174" s="7">
        <v>278</v>
      </c>
      <c r="B174" s="8" t="s">
        <v>1423</v>
      </c>
      <c r="C174" s="6" t="str">
        <f>IFERROR(IF(LEFT(D174,FIND(" ",D174)-1)="전라북도","전북특별자치도",LEFT(D174,FIND(" ",D174)-1)),"")</f>
        <v>경상남도</v>
      </c>
      <c r="D174" s="3" t="s">
        <v>1424</v>
      </c>
      <c r="E174" s="3" t="s">
        <v>1425</v>
      </c>
      <c r="F174" s="3" t="s">
        <v>1426</v>
      </c>
      <c r="G174" s="3" t="s">
        <v>1427</v>
      </c>
      <c r="H174" s="3" t="s">
        <v>1428</v>
      </c>
      <c r="I174" s="3" t="s">
        <v>1428</v>
      </c>
      <c r="J174" s="3" t="s">
        <v>1429</v>
      </c>
      <c r="K174" s="3" t="s">
        <v>21</v>
      </c>
      <c r="L174" s="3" t="s">
        <v>22</v>
      </c>
      <c r="M174" s="4">
        <v>2398</v>
      </c>
      <c r="N174" s="3" t="s">
        <v>23</v>
      </c>
      <c r="O174" s="3" t="s">
        <v>24</v>
      </c>
    </row>
    <row r="175" spans="1:15" hidden="1" x14ac:dyDescent="0.4">
      <c r="A175" s="7">
        <v>174</v>
      </c>
      <c r="B175" s="8" t="s">
        <v>907</v>
      </c>
      <c r="C175" s="6" t="str">
        <f>IFERROR(IF(LEFT(D175,FIND(" ",D175)-1)="전라북도","전북특별자치도",LEFT(D175,FIND(" ",D175)-1)),"")</f>
        <v>경상북도</v>
      </c>
      <c r="D175" s="3" t="s">
        <v>908</v>
      </c>
      <c r="E175" s="3" t="s">
        <v>909</v>
      </c>
      <c r="F175" s="3" t="s">
        <v>484</v>
      </c>
      <c r="G175" s="3" t="s">
        <v>19</v>
      </c>
      <c r="H175" s="3" t="s">
        <v>910</v>
      </c>
      <c r="I175" s="3" t="s">
        <v>19</v>
      </c>
      <c r="J175" s="3" t="s">
        <v>19</v>
      </c>
      <c r="K175" s="3" t="s">
        <v>21</v>
      </c>
      <c r="L175" s="3" t="s">
        <v>147</v>
      </c>
      <c r="M175" s="4">
        <v>718</v>
      </c>
      <c r="N175" s="3" t="s">
        <v>23</v>
      </c>
      <c r="O175" s="3" t="s">
        <v>281</v>
      </c>
    </row>
    <row r="176" spans="1:15" ht="22.05" customHeight="1" x14ac:dyDescent="0.4">
      <c r="A176" s="7">
        <v>284</v>
      </c>
      <c r="B176" s="8" t="s">
        <v>1451</v>
      </c>
      <c r="C176" s="6" t="str">
        <f>IFERROR(IF(LEFT(D176,FIND(" ",D176)-1)="전라북도","전북특별자치도",LEFT(D176,FIND(" ",D176)-1)),"")</f>
        <v>경상남도</v>
      </c>
      <c r="D176" s="3" t="s">
        <v>1452</v>
      </c>
      <c r="E176" s="3" t="s">
        <v>1453</v>
      </c>
      <c r="F176" s="3" t="s">
        <v>1454</v>
      </c>
      <c r="G176" s="3" t="s">
        <v>1455</v>
      </c>
      <c r="H176" s="3" t="s">
        <v>1456</v>
      </c>
      <c r="I176" s="3" t="s">
        <v>1457</v>
      </c>
      <c r="J176" s="3" t="s">
        <v>1458</v>
      </c>
      <c r="K176" s="3" t="s">
        <v>21</v>
      </c>
      <c r="L176" s="3" t="s">
        <v>22</v>
      </c>
      <c r="M176" s="4">
        <v>5808</v>
      </c>
      <c r="N176" s="3" t="s">
        <v>1459</v>
      </c>
      <c r="O176" s="3" t="s">
        <v>24</v>
      </c>
    </row>
    <row r="177" spans="1:15" ht="22.05" customHeight="1" x14ac:dyDescent="0.4">
      <c r="A177" s="7">
        <v>302</v>
      </c>
      <c r="B177" s="8" t="s">
        <v>1524</v>
      </c>
      <c r="C177" s="6" t="str">
        <f>IFERROR(IF(LEFT(D177,FIND(" ",D177)-1)="전라북도","전북특별자치도",LEFT(D177,FIND(" ",D177)-1)),"")</f>
        <v>경상남도</v>
      </c>
      <c r="D177" s="3" t="s">
        <v>1525</v>
      </c>
      <c r="E177" s="3" t="s">
        <v>1526</v>
      </c>
      <c r="F177" s="3" t="s">
        <v>1527</v>
      </c>
      <c r="G177" s="3" t="s">
        <v>1528</v>
      </c>
      <c r="H177" s="3" t="s">
        <v>1529</v>
      </c>
      <c r="I177" s="3" t="s">
        <v>19</v>
      </c>
      <c r="J177" s="3" t="s">
        <v>19</v>
      </c>
      <c r="K177" s="3" t="s">
        <v>21</v>
      </c>
      <c r="L177" s="3" t="s">
        <v>22</v>
      </c>
      <c r="M177" s="4">
        <v>495</v>
      </c>
      <c r="N177" s="3" t="s">
        <v>1498</v>
      </c>
      <c r="O177" s="3" t="s">
        <v>24</v>
      </c>
    </row>
    <row r="178" spans="1:15" ht="22.05" customHeight="1" x14ac:dyDescent="0.4">
      <c r="A178" s="7">
        <v>323</v>
      </c>
      <c r="B178" s="8" t="s">
        <v>1648</v>
      </c>
      <c r="C178" s="6" t="str">
        <f>IFERROR(IF(LEFT(D178,FIND(" ",D178)-1)="전라북도","전북특별자치도",LEFT(D178,FIND(" ",D178)-1)),"")</f>
        <v>경상남도</v>
      </c>
      <c r="D178" s="3" t="s">
        <v>1649</v>
      </c>
      <c r="E178" s="3" t="s">
        <v>1099</v>
      </c>
      <c r="F178" s="3" t="s">
        <v>1645</v>
      </c>
      <c r="G178" s="3" t="s">
        <v>1650</v>
      </c>
      <c r="H178" s="3" t="s">
        <v>19</v>
      </c>
      <c r="I178" s="3" t="s">
        <v>19</v>
      </c>
      <c r="J178" s="3" t="s">
        <v>1651</v>
      </c>
      <c r="K178" s="3" t="s">
        <v>21</v>
      </c>
      <c r="L178" s="3" t="s">
        <v>22</v>
      </c>
      <c r="M178" s="4">
        <v>597</v>
      </c>
      <c r="N178" s="3" t="s">
        <v>1498</v>
      </c>
      <c r="O178" s="3" t="s">
        <v>24</v>
      </c>
    </row>
    <row r="179" spans="1:15" ht="22.05" customHeight="1" x14ac:dyDescent="0.4">
      <c r="A179" s="7">
        <v>374</v>
      </c>
      <c r="B179" s="8" t="s">
        <v>1897</v>
      </c>
      <c r="C179" s="6" t="str">
        <f>IFERROR(IF(LEFT(D179,FIND(" ",D179)-1)="전라북도","전북특별자치도",LEFT(D179,FIND(" ",D179)-1)),"")</f>
        <v>경상남도</v>
      </c>
      <c r="D179" s="3" t="s">
        <v>1898</v>
      </c>
      <c r="E179" s="3" t="s">
        <v>1899</v>
      </c>
      <c r="F179" s="3" t="s">
        <v>1896</v>
      </c>
      <c r="G179" s="3" t="s">
        <v>1900</v>
      </c>
      <c r="H179" s="3" t="s">
        <v>1901</v>
      </c>
      <c r="I179" s="3" t="s">
        <v>1902</v>
      </c>
      <c r="J179" s="3" t="s">
        <v>19</v>
      </c>
      <c r="K179" s="3" t="s">
        <v>21</v>
      </c>
      <c r="L179" s="3" t="s">
        <v>22</v>
      </c>
      <c r="M179" s="4">
        <v>826</v>
      </c>
      <c r="N179" s="3" t="s">
        <v>1498</v>
      </c>
      <c r="O179" s="3" t="s">
        <v>24</v>
      </c>
    </row>
    <row r="180" spans="1:15" hidden="1" x14ac:dyDescent="0.4">
      <c r="A180" s="7">
        <v>179</v>
      </c>
      <c r="B180" s="8" t="s">
        <v>934</v>
      </c>
      <c r="C180" s="6" t="str">
        <f>IFERROR(IF(LEFT(D180,FIND(" ",D180)-1)="전라북도","전북특별자치도",LEFT(D180,FIND(" ",D180)-1)),"")</f>
        <v>강원특별자치도</v>
      </c>
      <c r="D180" s="3" t="s">
        <v>935</v>
      </c>
      <c r="E180" s="3" t="s">
        <v>936</v>
      </c>
      <c r="F180" s="3" t="s">
        <v>937</v>
      </c>
      <c r="G180" s="3" t="s">
        <v>939</v>
      </c>
      <c r="H180" s="3" t="s">
        <v>940</v>
      </c>
      <c r="I180" s="3" t="s">
        <v>940</v>
      </c>
      <c r="J180" s="3" t="s">
        <v>19</v>
      </c>
      <c r="K180" s="3" t="s">
        <v>21</v>
      </c>
      <c r="L180" s="3" t="s">
        <v>22</v>
      </c>
      <c r="M180" s="4">
        <v>355</v>
      </c>
      <c r="N180" s="3" t="s">
        <v>129</v>
      </c>
      <c r="O180" s="3" t="s">
        <v>281</v>
      </c>
    </row>
    <row r="181" spans="1:15" ht="22.05" customHeight="1" x14ac:dyDescent="0.4">
      <c r="A181" s="7">
        <v>390</v>
      </c>
      <c r="B181" s="8" t="s">
        <v>1975</v>
      </c>
      <c r="C181" s="6" t="str">
        <f>IFERROR(IF(LEFT(D181,FIND(" ",D181)-1)="전라북도","전북특별자치도",LEFT(D181,FIND(" ",D181)-1)),"")</f>
        <v>경상남도</v>
      </c>
      <c r="D181" s="3" t="s">
        <v>1976</v>
      </c>
      <c r="E181" s="3" t="s">
        <v>1977</v>
      </c>
      <c r="F181" s="3" t="s">
        <v>1978</v>
      </c>
      <c r="G181" s="3" t="s">
        <v>1979</v>
      </c>
      <c r="H181" s="3" t="s">
        <v>1980</v>
      </c>
      <c r="I181" s="3" t="s">
        <v>19</v>
      </c>
      <c r="J181" s="3" t="s">
        <v>1979</v>
      </c>
      <c r="K181" s="3" t="s">
        <v>21</v>
      </c>
      <c r="L181" s="3" t="s">
        <v>22</v>
      </c>
      <c r="M181" s="4">
        <v>321</v>
      </c>
      <c r="N181" s="3" t="s">
        <v>129</v>
      </c>
      <c r="O181" s="3" t="s">
        <v>24</v>
      </c>
    </row>
    <row r="182" spans="1:15" ht="22.05" customHeight="1" x14ac:dyDescent="0.4">
      <c r="A182" s="7">
        <v>466</v>
      </c>
      <c r="B182" s="8" t="s">
        <v>2372</v>
      </c>
      <c r="C182" s="6" t="str">
        <f>IFERROR(IF(LEFT(D182,FIND(" ",D182)-1)="전라북도","전북특별자치도",LEFT(D182,FIND(" ",D182)-1)),"")</f>
        <v>경상남도</v>
      </c>
      <c r="D182" s="3" t="s">
        <v>2373</v>
      </c>
      <c r="E182" s="3" t="s">
        <v>2374</v>
      </c>
      <c r="F182" s="3" t="s">
        <v>2348</v>
      </c>
      <c r="G182" s="3" t="s">
        <v>2375</v>
      </c>
      <c r="H182" s="3" t="s">
        <v>2376</v>
      </c>
      <c r="I182" s="3" t="s">
        <v>2377</v>
      </c>
      <c r="J182" s="3" t="s">
        <v>19</v>
      </c>
      <c r="K182" s="3" t="s">
        <v>21</v>
      </c>
      <c r="L182" s="3" t="s">
        <v>147</v>
      </c>
      <c r="M182" s="4">
        <v>25782</v>
      </c>
      <c r="N182" s="3" t="s">
        <v>1498</v>
      </c>
      <c r="O182" s="3" t="s">
        <v>24</v>
      </c>
    </row>
    <row r="183" spans="1:15" ht="22.05" customHeight="1" x14ac:dyDescent="0.4">
      <c r="A183" s="7">
        <v>581</v>
      </c>
      <c r="B183" s="8" t="s">
        <v>2841</v>
      </c>
      <c r="C183" s="6" t="str">
        <f>IFERROR(IF(LEFT(D183,FIND(" ",D183)-1)="전라북도","전북특별자치도",LEFT(D183,FIND(" ",D183)-1)),"")</f>
        <v>경상남도</v>
      </c>
      <c r="D183" s="3" t="s">
        <v>2842</v>
      </c>
      <c r="E183" s="3" t="s">
        <v>779</v>
      </c>
      <c r="F183" s="3" t="s">
        <v>2789</v>
      </c>
      <c r="G183" s="3" t="s">
        <v>2843</v>
      </c>
      <c r="H183" s="3" t="s">
        <v>2844</v>
      </c>
      <c r="I183" s="3" t="s">
        <v>19</v>
      </c>
      <c r="J183" s="3" t="s">
        <v>19</v>
      </c>
      <c r="K183" s="3" t="s">
        <v>21</v>
      </c>
      <c r="L183" s="3" t="s">
        <v>22</v>
      </c>
      <c r="M183" s="4">
        <v>552</v>
      </c>
      <c r="N183" s="3" t="s">
        <v>1498</v>
      </c>
      <c r="O183" s="3" t="s">
        <v>24</v>
      </c>
    </row>
    <row r="184" spans="1:15" ht="22.05" customHeight="1" x14ac:dyDescent="0.4">
      <c r="A184" s="7">
        <v>638</v>
      </c>
      <c r="B184" s="8" t="s">
        <v>3072</v>
      </c>
      <c r="C184" s="6" t="str">
        <f>IFERROR(IF(LEFT(D184,FIND(" ",D184)-1)="전라북도","전북특별자치도",LEFT(D184,FIND(" ",D184)-1)),"")</f>
        <v>경상남도</v>
      </c>
      <c r="D184" s="3" t="s">
        <v>3073</v>
      </c>
      <c r="E184" s="3" t="s">
        <v>3074</v>
      </c>
      <c r="F184" s="3" t="s">
        <v>3044</v>
      </c>
      <c r="G184" s="3" t="s">
        <v>3075</v>
      </c>
      <c r="H184" s="3" t="s">
        <v>3076</v>
      </c>
      <c r="I184" s="3" t="s">
        <v>3077</v>
      </c>
      <c r="J184" s="3" t="s">
        <v>19</v>
      </c>
      <c r="K184" s="3" t="s">
        <v>21</v>
      </c>
      <c r="L184" s="3" t="s">
        <v>22</v>
      </c>
      <c r="M184" s="4">
        <v>950</v>
      </c>
      <c r="N184" s="3" t="s">
        <v>1498</v>
      </c>
      <c r="O184" s="3" t="s">
        <v>24</v>
      </c>
    </row>
    <row r="185" spans="1:15" hidden="1" x14ac:dyDescent="0.4">
      <c r="A185" s="7">
        <v>184</v>
      </c>
      <c r="B185" s="8" t="s">
        <v>957</v>
      </c>
      <c r="C185" s="6" t="str">
        <f>IFERROR(IF(LEFT(D185,FIND(" ",D185)-1)="전라북도","전북특별자치도",LEFT(D185,FIND(" ",D185)-1)),"")</f>
        <v>강원특별자치도</v>
      </c>
      <c r="D185" s="3" t="s">
        <v>958</v>
      </c>
      <c r="E185" s="3" t="s">
        <v>959</v>
      </c>
      <c r="F185" s="3" t="s">
        <v>960</v>
      </c>
      <c r="G185" s="3" t="s">
        <v>19</v>
      </c>
      <c r="H185" s="3" t="s">
        <v>940</v>
      </c>
      <c r="I185" s="3" t="s">
        <v>19</v>
      </c>
      <c r="J185" s="3" t="s">
        <v>19</v>
      </c>
      <c r="K185" s="3" t="s">
        <v>21</v>
      </c>
      <c r="L185" s="3" t="s">
        <v>147</v>
      </c>
      <c r="M185" s="4">
        <v>2005</v>
      </c>
      <c r="N185" s="3" t="s">
        <v>84</v>
      </c>
      <c r="O185" s="3" t="s">
        <v>281</v>
      </c>
    </row>
    <row r="186" spans="1:15" ht="22.05" customHeight="1" x14ac:dyDescent="0.4">
      <c r="A186" s="7">
        <v>658</v>
      </c>
      <c r="B186" s="8" t="s">
        <v>3166</v>
      </c>
      <c r="C186" s="6" t="str">
        <f>IFERROR(IF(LEFT(D186,FIND(" ",D186)-1)="전라북도","전북특별자치도",LEFT(D186,FIND(" ",D186)-1)),"")</f>
        <v>경상남도</v>
      </c>
      <c r="D186" s="3" t="s">
        <v>3167</v>
      </c>
      <c r="E186" s="3" t="s">
        <v>3168</v>
      </c>
      <c r="F186" s="3" t="s">
        <v>814</v>
      </c>
      <c r="G186" s="3" t="s">
        <v>2685</v>
      </c>
      <c r="H186" s="3" t="s">
        <v>376</v>
      </c>
      <c r="I186" s="3" t="s">
        <v>3169</v>
      </c>
      <c r="J186" s="3" t="s">
        <v>19</v>
      </c>
      <c r="K186" s="3" t="s">
        <v>21</v>
      </c>
      <c r="L186" s="3" t="s">
        <v>22</v>
      </c>
      <c r="M186" s="4">
        <v>3692</v>
      </c>
      <c r="N186" s="3" t="s">
        <v>1498</v>
      </c>
      <c r="O186" s="3" t="s">
        <v>24</v>
      </c>
    </row>
    <row r="187" spans="1:15" ht="22.05" customHeight="1" x14ac:dyDescent="0.4">
      <c r="A187" s="7">
        <v>756</v>
      </c>
      <c r="B187" s="8" t="s">
        <v>3543</v>
      </c>
      <c r="C187" s="6" t="str">
        <f>IFERROR(IF(LEFT(D187,FIND(" ",D187)-1)="전라북도","전북특별자치도",LEFT(D187,FIND(" ",D187)-1)),"")</f>
        <v>경상남도</v>
      </c>
      <c r="D187" s="3" t="s">
        <v>3544</v>
      </c>
      <c r="E187" s="3" t="s">
        <v>3341</v>
      </c>
      <c r="F187" s="3" t="s">
        <v>3360</v>
      </c>
      <c r="G187" s="3" t="s">
        <v>19</v>
      </c>
      <c r="H187" s="3" t="s">
        <v>1025</v>
      </c>
      <c r="I187" s="3" t="s">
        <v>19</v>
      </c>
      <c r="J187" s="3" t="s">
        <v>19</v>
      </c>
      <c r="K187" s="3" t="s">
        <v>21</v>
      </c>
      <c r="L187" s="3" t="s">
        <v>147</v>
      </c>
      <c r="M187" s="4">
        <v>1171</v>
      </c>
      <c r="N187" s="3" t="s">
        <v>1498</v>
      </c>
      <c r="O187" s="3" t="s">
        <v>24</v>
      </c>
    </row>
    <row r="188" spans="1:15" hidden="1" x14ac:dyDescent="0.4">
      <c r="A188" s="7">
        <v>187</v>
      </c>
      <c r="B188" s="8" t="s">
        <v>973</v>
      </c>
      <c r="C188" s="6" t="str">
        <f>IFERROR(IF(LEFT(D188,FIND(" ",D188)-1)="전라북도","전북특별자치도",LEFT(D188,FIND(" ",D188)-1)),"")</f>
        <v>경상북도</v>
      </c>
      <c r="D188" s="3" t="s">
        <v>974</v>
      </c>
      <c r="E188" s="3" t="s">
        <v>975</v>
      </c>
      <c r="F188" s="3" t="s">
        <v>143</v>
      </c>
      <c r="G188" s="3" t="s">
        <v>977</v>
      </c>
      <c r="H188" s="3" t="s">
        <v>743</v>
      </c>
      <c r="I188" s="3" t="s">
        <v>743</v>
      </c>
      <c r="J188" s="3" t="s">
        <v>19</v>
      </c>
      <c r="K188" s="3" t="s">
        <v>21</v>
      </c>
      <c r="L188" s="3" t="s">
        <v>147</v>
      </c>
      <c r="M188" s="4">
        <v>410</v>
      </c>
      <c r="N188" s="3" t="s">
        <v>23</v>
      </c>
      <c r="O188" s="3" t="s">
        <v>281</v>
      </c>
    </row>
    <row r="189" spans="1:15" ht="22.05" customHeight="1" x14ac:dyDescent="0.4">
      <c r="A189" s="7">
        <v>796</v>
      </c>
      <c r="B189" s="8" t="s">
        <v>3670</v>
      </c>
      <c r="C189" s="6" t="str">
        <f>IFERROR(IF(LEFT(D189,FIND(" ",D189)-1)="전라북도","전북특별자치도",LEFT(D189,FIND(" ",D189)-1)),"")</f>
        <v>경상남도</v>
      </c>
      <c r="D189" s="3" t="s">
        <v>3671</v>
      </c>
      <c r="E189" s="3" t="s">
        <v>3672</v>
      </c>
      <c r="F189" s="3" t="s">
        <v>3445</v>
      </c>
      <c r="G189" s="3" t="s">
        <v>19</v>
      </c>
      <c r="H189" s="3" t="s">
        <v>3673</v>
      </c>
      <c r="I189" s="3" t="s">
        <v>19</v>
      </c>
      <c r="J189" s="3" t="s">
        <v>19</v>
      </c>
      <c r="K189" s="3" t="s">
        <v>21</v>
      </c>
      <c r="L189" s="3" t="s">
        <v>147</v>
      </c>
      <c r="M189" s="4">
        <v>523</v>
      </c>
      <c r="N189" s="3" t="s">
        <v>84</v>
      </c>
      <c r="O189" s="3" t="s">
        <v>24</v>
      </c>
    </row>
    <row r="190" spans="1:15" ht="22.05" customHeight="1" x14ac:dyDescent="0.4">
      <c r="A190" s="7">
        <v>38</v>
      </c>
      <c r="B190" s="8" t="s">
        <v>223</v>
      </c>
      <c r="C190" s="6" t="str">
        <f>IFERROR(IF(LEFT(D190,FIND(" ",D190)-1)="전라북도","전북특별자치도",LEFT(D190,FIND(" ",D190)-1)),"")</f>
        <v>경상북도</v>
      </c>
      <c r="D190" s="3" t="s">
        <v>224</v>
      </c>
      <c r="E190" s="3" t="s">
        <v>225</v>
      </c>
      <c r="F190" s="3" t="s">
        <v>226</v>
      </c>
      <c r="G190" s="3" t="s">
        <v>19</v>
      </c>
      <c r="H190" s="3" t="s">
        <v>227</v>
      </c>
      <c r="I190" s="3" t="s">
        <v>19</v>
      </c>
      <c r="J190" s="3" t="s">
        <v>19</v>
      </c>
      <c r="K190" s="3" t="s">
        <v>21</v>
      </c>
      <c r="L190" s="3" t="s">
        <v>228</v>
      </c>
      <c r="M190" s="4">
        <v>1493</v>
      </c>
      <c r="N190" s="3" t="s">
        <v>23</v>
      </c>
      <c r="O190" s="3" t="s">
        <v>24</v>
      </c>
    </row>
    <row r="191" spans="1:15" ht="22.05" customHeight="1" x14ac:dyDescent="0.4">
      <c r="A191" s="7">
        <v>56</v>
      </c>
      <c r="B191" s="8" t="s">
        <v>316</v>
      </c>
      <c r="C191" s="6" t="str">
        <f>IFERROR(IF(LEFT(D191,FIND(" ",D191)-1)="전라북도","전북특별자치도",LEFT(D191,FIND(" ",D191)-1)),"")</f>
        <v>경상북도</v>
      </c>
      <c r="D191" s="3" t="s">
        <v>317</v>
      </c>
      <c r="E191" s="3" t="s">
        <v>318</v>
      </c>
      <c r="F191" s="3" t="s">
        <v>319</v>
      </c>
      <c r="G191" s="3" t="s">
        <v>19</v>
      </c>
      <c r="H191" s="3" t="s">
        <v>222</v>
      </c>
      <c r="I191" s="3" t="s">
        <v>19</v>
      </c>
      <c r="J191" s="3" t="s">
        <v>19</v>
      </c>
      <c r="K191" s="3" t="s">
        <v>21</v>
      </c>
      <c r="L191" s="3" t="s">
        <v>22</v>
      </c>
      <c r="M191" s="4">
        <v>1567</v>
      </c>
      <c r="N191" s="3" t="s">
        <v>23</v>
      </c>
      <c r="O191" s="3" t="s">
        <v>24</v>
      </c>
    </row>
    <row r="192" spans="1:15" ht="19.95" hidden="1" customHeight="1" x14ac:dyDescent="0.4">
      <c r="A192" s="7">
        <v>58</v>
      </c>
      <c r="B192" s="8" t="s">
        <v>325</v>
      </c>
      <c r="C192" s="6" t="str">
        <f>IFERROR(IF(LEFT(D192,FIND(" ",D192)-1)="전라북도","전북특별자치도",LEFT(D192,FIND(" ",D192)-1)),"")</f>
        <v>경상북도</v>
      </c>
      <c r="D192" s="3" t="s">
        <v>326</v>
      </c>
      <c r="E192" s="3" t="s">
        <v>327</v>
      </c>
      <c r="F192" s="3" t="s">
        <v>328</v>
      </c>
      <c r="G192" s="3" t="s">
        <v>19</v>
      </c>
      <c r="H192" s="3" t="s">
        <v>329</v>
      </c>
      <c r="I192" s="3" t="s">
        <v>19</v>
      </c>
      <c r="J192" s="3" t="s">
        <v>19</v>
      </c>
      <c r="K192" s="3" t="s">
        <v>21</v>
      </c>
      <c r="L192" s="3" t="s">
        <v>147</v>
      </c>
      <c r="M192" s="4">
        <v>144</v>
      </c>
      <c r="N192" s="3" t="s">
        <v>330</v>
      </c>
      <c r="O192" s="3" t="s">
        <v>24</v>
      </c>
    </row>
    <row r="193" spans="1:15" ht="22.05" customHeight="1" x14ac:dyDescent="0.4">
      <c r="A193" s="7">
        <v>64</v>
      </c>
      <c r="B193" s="8" t="s">
        <v>359</v>
      </c>
      <c r="C193" s="6" t="str">
        <f>IFERROR(IF(LEFT(D193,FIND(" ",D193)-1)="전라북도","전북특별자치도",LEFT(D193,FIND(" ",D193)-1)),"")</f>
        <v>경상북도</v>
      </c>
      <c r="D193" s="3" t="s">
        <v>360</v>
      </c>
      <c r="E193" s="3" t="s">
        <v>361</v>
      </c>
      <c r="F193" s="3" t="s">
        <v>353</v>
      </c>
      <c r="G193" s="3" t="s">
        <v>19</v>
      </c>
      <c r="H193" s="3" t="s">
        <v>362</v>
      </c>
      <c r="I193" s="3" t="s">
        <v>362</v>
      </c>
      <c r="J193" s="3" t="s">
        <v>19</v>
      </c>
      <c r="K193" s="3" t="s">
        <v>21</v>
      </c>
      <c r="L193" s="3" t="s">
        <v>147</v>
      </c>
      <c r="M193" s="4">
        <v>1726</v>
      </c>
      <c r="N193" s="3" t="s">
        <v>123</v>
      </c>
      <c r="O193" s="3" t="s">
        <v>24</v>
      </c>
    </row>
    <row r="194" spans="1:15" ht="22.05" customHeight="1" x14ac:dyDescent="0.4">
      <c r="A194" s="7">
        <v>99</v>
      </c>
      <c r="B194" s="8" t="s">
        <v>520</v>
      </c>
      <c r="C194" s="6" t="str">
        <f>IFERROR(IF(LEFT(D194,FIND(" ",D194)-1)="전라북도","전북특별자치도",LEFT(D194,FIND(" ",D194)-1)),"")</f>
        <v>경상북도</v>
      </c>
      <c r="D194" s="3" t="s">
        <v>521</v>
      </c>
      <c r="E194" s="3" t="s">
        <v>522</v>
      </c>
      <c r="F194" s="3" t="s">
        <v>523</v>
      </c>
      <c r="G194" s="3" t="s">
        <v>19</v>
      </c>
      <c r="H194" s="3" t="s">
        <v>524</v>
      </c>
      <c r="I194" s="3" t="s">
        <v>19</v>
      </c>
      <c r="J194" s="3" t="s">
        <v>19</v>
      </c>
      <c r="K194" s="3" t="s">
        <v>21</v>
      </c>
      <c r="L194" s="3" t="s">
        <v>22</v>
      </c>
      <c r="M194" s="4">
        <v>2681</v>
      </c>
      <c r="N194" s="3" t="s">
        <v>23</v>
      </c>
      <c r="O194" s="3" t="s">
        <v>24</v>
      </c>
    </row>
    <row r="195" spans="1:15" ht="19.95" hidden="1" customHeight="1" x14ac:dyDescent="0.4">
      <c r="A195" s="7">
        <v>107</v>
      </c>
      <c r="B195" s="8" t="s">
        <v>563</v>
      </c>
      <c r="C195" s="6" t="str">
        <f>IFERROR(IF(LEFT(D195,FIND(" ",D195)-1)="전라북도","전북특별자치도",LEFT(D195,FIND(" ",D195)-1)),"")</f>
        <v>경상북도</v>
      </c>
      <c r="D195" s="3" t="s">
        <v>564</v>
      </c>
      <c r="E195" s="3" t="s">
        <v>565</v>
      </c>
      <c r="F195" s="3" t="s">
        <v>560</v>
      </c>
      <c r="G195" s="3" t="s">
        <v>19</v>
      </c>
      <c r="H195" s="3" t="s">
        <v>566</v>
      </c>
      <c r="I195" s="3" t="s">
        <v>19</v>
      </c>
      <c r="J195" s="3" t="s">
        <v>567</v>
      </c>
      <c r="K195" s="3" t="s">
        <v>21</v>
      </c>
      <c r="L195" s="3" t="s">
        <v>22</v>
      </c>
      <c r="M195" s="4">
        <v>298</v>
      </c>
      <c r="N195" s="3" t="s">
        <v>23</v>
      </c>
      <c r="O195" s="3" t="s">
        <v>24</v>
      </c>
    </row>
    <row r="196" spans="1:15" ht="22.05" customHeight="1" x14ac:dyDescent="0.4">
      <c r="A196" s="7">
        <v>126</v>
      </c>
      <c r="B196" s="8" t="s">
        <v>665</v>
      </c>
      <c r="C196" s="6" t="str">
        <f>IFERROR(IF(LEFT(D196,FIND(" ",D196)-1)="전라북도","전북특별자치도",LEFT(D196,FIND(" ",D196)-1)),"")</f>
        <v>경상북도</v>
      </c>
      <c r="D196" s="3" t="s">
        <v>666</v>
      </c>
      <c r="E196" s="3" t="s">
        <v>667</v>
      </c>
      <c r="F196" s="3" t="s">
        <v>668</v>
      </c>
      <c r="G196" s="3" t="s">
        <v>669</v>
      </c>
      <c r="H196" s="3" t="s">
        <v>670</v>
      </c>
      <c r="I196" s="3" t="s">
        <v>670</v>
      </c>
      <c r="J196" s="3" t="s">
        <v>19</v>
      </c>
      <c r="K196" s="3" t="s">
        <v>21</v>
      </c>
      <c r="L196" s="3" t="s">
        <v>22</v>
      </c>
      <c r="M196" s="4">
        <v>694</v>
      </c>
      <c r="N196" s="3" t="s">
        <v>671</v>
      </c>
      <c r="O196" s="3" t="s">
        <v>24</v>
      </c>
    </row>
    <row r="197" spans="1:15" ht="22.05" customHeight="1" x14ac:dyDescent="0.4">
      <c r="A197" s="7">
        <v>140</v>
      </c>
      <c r="B197" s="8" t="s">
        <v>733</v>
      </c>
      <c r="C197" s="6" t="str">
        <f>IFERROR(IF(LEFT(D197,FIND(" ",D197)-1)="전라북도","전북특별자치도",LEFT(D197,FIND(" ",D197)-1)),"")</f>
        <v>경상북도</v>
      </c>
      <c r="D197" s="3" t="s">
        <v>734</v>
      </c>
      <c r="E197" s="3" t="s">
        <v>735</v>
      </c>
      <c r="F197" s="3" t="s">
        <v>736</v>
      </c>
      <c r="G197" s="3" t="s">
        <v>19</v>
      </c>
      <c r="H197" s="3" t="s">
        <v>524</v>
      </c>
      <c r="I197" s="3" t="s">
        <v>19</v>
      </c>
      <c r="J197" s="3" t="s">
        <v>19</v>
      </c>
      <c r="K197" s="3" t="s">
        <v>21</v>
      </c>
      <c r="L197" s="3" t="s">
        <v>22</v>
      </c>
      <c r="M197" s="4">
        <v>495</v>
      </c>
      <c r="N197" s="3" t="s">
        <v>23</v>
      </c>
      <c r="O197" s="3" t="s">
        <v>24</v>
      </c>
    </row>
    <row r="198" spans="1:15" ht="22.05" customHeight="1" x14ac:dyDescent="0.4">
      <c r="A198" s="7">
        <v>143</v>
      </c>
      <c r="B198" s="8" t="s">
        <v>751</v>
      </c>
      <c r="C198" s="6" t="str">
        <f>IFERROR(IF(LEFT(D198,FIND(" ",D198)-1)="전라북도","전북특별자치도",LEFT(D198,FIND(" ",D198)-1)),"")</f>
        <v>경상북도</v>
      </c>
      <c r="D198" s="3" t="s">
        <v>752</v>
      </c>
      <c r="E198" s="3" t="s">
        <v>753</v>
      </c>
      <c r="F198" s="3" t="s">
        <v>754</v>
      </c>
      <c r="G198" s="3" t="s">
        <v>755</v>
      </c>
      <c r="H198" s="3" t="s">
        <v>756</v>
      </c>
      <c r="I198" s="3" t="s">
        <v>19</v>
      </c>
      <c r="J198" s="3" t="s">
        <v>19</v>
      </c>
      <c r="K198" s="3" t="s">
        <v>21</v>
      </c>
      <c r="L198" s="3" t="s">
        <v>22</v>
      </c>
      <c r="M198" s="4">
        <v>1795</v>
      </c>
      <c r="N198" s="3" t="s">
        <v>23</v>
      </c>
      <c r="O198" s="3" t="s">
        <v>24</v>
      </c>
    </row>
    <row r="199" spans="1:15" hidden="1" x14ac:dyDescent="0.4">
      <c r="A199" s="7">
        <v>198</v>
      </c>
      <c r="B199" s="8" t="s">
        <v>1029</v>
      </c>
      <c r="C199" s="6" t="str">
        <f>IFERROR(IF(LEFT(D199,FIND(" ",D199)-1)="전라북도","전북특별자치도",LEFT(D199,FIND(" ",D199)-1)),"")</f>
        <v>강원특별자치도</v>
      </c>
      <c r="D199" s="3" t="s">
        <v>1030</v>
      </c>
      <c r="E199" s="3" t="s">
        <v>1031</v>
      </c>
      <c r="F199" s="3" t="s">
        <v>1032</v>
      </c>
      <c r="G199" s="3" t="s">
        <v>1033</v>
      </c>
      <c r="H199" s="3" t="s">
        <v>1034</v>
      </c>
      <c r="I199" s="3" t="s">
        <v>1034</v>
      </c>
      <c r="J199" s="3" t="s">
        <v>19</v>
      </c>
      <c r="K199" s="3" t="s">
        <v>21</v>
      </c>
      <c r="L199" s="3" t="s">
        <v>22</v>
      </c>
      <c r="M199" s="4">
        <v>410</v>
      </c>
      <c r="N199" s="3" t="s">
        <v>23</v>
      </c>
      <c r="O199" s="3" t="s">
        <v>281</v>
      </c>
    </row>
    <row r="200" spans="1:15" hidden="1" x14ac:dyDescent="0.4">
      <c r="A200" s="7">
        <v>199</v>
      </c>
      <c r="B200" s="8" t="s">
        <v>1035</v>
      </c>
      <c r="C200" s="6" t="str">
        <f>IFERROR(IF(LEFT(D200,FIND(" ",D200)-1)="전라북도","전북특별자치도",LEFT(D200,FIND(" ",D200)-1)),"")</f>
        <v>인천광역시</v>
      </c>
      <c r="D200" s="3" t="s">
        <v>1036</v>
      </c>
      <c r="E200" s="3" t="s">
        <v>1037</v>
      </c>
      <c r="F200" s="3" t="s">
        <v>1038</v>
      </c>
      <c r="G200" s="3" t="s">
        <v>19</v>
      </c>
      <c r="H200" s="3" t="s">
        <v>1040</v>
      </c>
      <c r="I200" s="3" t="s">
        <v>19</v>
      </c>
      <c r="J200" s="3" t="s">
        <v>19</v>
      </c>
      <c r="K200" s="3" t="s">
        <v>21</v>
      </c>
      <c r="L200" s="3" t="s">
        <v>22</v>
      </c>
      <c r="M200" s="4">
        <v>150</v>
      </c>
      <c r="N200" s="3" t="s">
        <v>23</v>
      </c>
      <c r="O200" s="3" t="s">
        <v>281</v>
      </c>
    </row>
    <row r="201" spans="1:15" ht="22.05" customHeight="1" x14ac:dyDescent="0.4">
      <c r="A201" s="7">
        <v>171</v>
      </c>
      <c r="B201" s="8" t="s">
        <v>891</v>
      </c>
      <c r="C201" s="6" t="str">
        <f>IFERROR(IF(LEFT(D201,FIND(" ",D201)-1)="전라북도","전북특별자치도",LEFT(D201,FIND(" ",D201)-1)),"")</f>
        <v>경상북도</v>
      </c>
      <c r="D201" s="3" t="s">
        <v>892</v>
      </c>
      <c r="E201" s="3" t="s">
        <v>893</v>
      </c>
      <c r="F201" s="3" t="s">
        <v>753</v>
      </c>
      <c r="G201" s="3" t="s">
        <v>894</v>
      </c>
      <c r="H201" s="3" t="s">
        <v>895</v>
      </c>
      <c r="I201" s="3" t="s">
        <v>896</v>
      </c>
      <c r="J201" s="3" t="s">
        <v>19</v>
      </c>
      <c r="K201" s="3" t="s">
        <v>21</v>
      </c>
      <c r="L201" s="3" t="s">
        <v>22</v>
      </c>
      <c r="M201" s="4">
        <v>5920</v>
      </c>
      <c r="N201" s="3" t="s">
        <v>23</v>
      </c>
      <c r="O201" s="3" t="s">
        <v>24</v>
      </c>
    </row>
    <row r="202" spans="1:15" ht="22.05" customHeight="1" x14ac:dyDescent="0.4">
      <c r="A202" s="7">
        <v>185</v>
      </c>
      <c r="B202" s="8" t="s">
        <v>961</v>
      </c>
      <c r="C202" s="6" t="str">
        <f>IFERROR(IF(LEFT(D202,FIND(" ",D202)-1)="전라북도","전북특별자치도",LEFT(D202,FIND(" ",D202)-1)),"")</f>
        <v>경상북도</v>
      </c>
      <c r="D202" s="3" t="s">
        <v>962</v>
      </c>
      <c r="E202" s="3" t="s">
        <v>963</v>
      </c>
      <c r="F202" s="3" t="s">
        <v>964</v>
      </c>
      <c r="G202" s="3" t="s">
        <v>965</v>
      </c>
      <c r="H202" s="3" t="s">
        <v>966</v>
      </c>
      <c r="I202" s="3" t="s">
        <v>19</v>
      </c>
      <c r="J202" s="3" t="s">
        <v>19</v>
      </c>
      <c r="K202" s="3" t="s">
        <v>21</v>
      </c>
      <c r="L202" s="3" t="s">
        <v>22</v>
      </c>
      <c r="M202" s="4">
        <v>351</v>
      </c>
      <c r="N202" s="3" t="s">
        <v>23</v>
      </c>
      <c r="O202" s="3" t="s">
        <v>24</v>
      </c>
    </row>
    <row r="203" spans="1:15" ht="22.05" customHeight="1" x14ac:dyDescent="0.4">
      <c r="A203" s="7">
        <v>190</v>
      </c>
      <c r="B203" s="8" t="s">
        <v>989</v>
      </c>
      <c r="C203" s="6" t="str">
        <f>IFERROR(IF(LEFT(D203,FIND(" ",D203)-1)="전라북도","전북특별자치도",LEFT(D203,FIND(" ",D203)-1)),"")</f>
        <v>경상북도</v>
      </c>
      <c r="D203" s="3" t="s">
        <v>990</v>
      </c>
      <c r="E203" s="3" t="s">
        <v>991</v>
      </c>
      <c r="F203" s="3" t="s">
        <v>992</v>
      </c>
      <c r="G203" s="3" t="s">
        <v>19</v>
      </c>
      <c r="H203" s="3" t="s">
        <v>993</v>
      </c>
      <c r="I203" s="3" t="s">
        <v>19</v>
      </c>
      <c r="J203" s="3" t="s">
        <v>19</v>
      </c>
      <c r="K203" s="3" t="s">
        <v>21</v>
      </c>
      <c r="L203" s="3" t="s">
        <v>22</v>
      </c>
      <c r="M203" s="4">
        <v>984</v>
      </c>
      <c r="N203" s="3" t="s">
        <v>23</v>
      </c>
      <c r="O203" s="3" t="s">
        <v>24</v>
      </c>
    </row>
    <row r="204" spans="1:15" hidden="1" x14ac:dyDescent="0.4">
      <c r="A204" s="7">
        <v>203</v>
      </c>
      <c r="B204" s="8" t="s">
        <v>1055</v>
      </c>
      <c r="C204" s="6" t="str">
        <f>IFERROR(IF(LEFT(D204,FIND(" ",D204)-1)="전라북도","전북특별자치도",LEFT(D204,FIND(" ",D204)-1)),"")</f>
        <v>전라남도</v>
      </c>
      <c r="D204" s="3" t="s">
        <v>1056</v>
      </c>
      <c r="E204" s="3" t="s">
        <v>225</v>
      </c>
      <c r="F204" s="3" t="s">
        <v>1054</v>
      </c>
      <c r="G204" s="3" t="s">
        <v>1058</v>
      </c>
      <c r="H204" s="3" t="s">
        <v>1059</v>
      </c>
      <c r="I204" s="3" t="s">
        <v>1059</v>
      </c>
      <c r="J204" s="3" t="s">
        <v>1060</v>
      </c>
      <c r="K204" s="3" t="s">
        <v>21</v>
      </c>
      <c r="L204" s="3" t="s">
        <v>22</v>
      </c>
      <c r="M204" s="4">
        <v>380</v>
      </c>
      <c r="N204" s="3" t="s">
        <v>84</v>
      </c>
      <c r="O204" s="3" t="s">
        <v>281</v>
      </c>
    </row>
    <row r="205" spans="1:15" hidden="1" x14ac:dyDescent="0.4">
      <c r="A205" s="7">
        <v>204</v>
      </c>
      <c r="B205" s="8" t="s">
        <v>1061</v>
      </c>
      <c r="C205" s="6" t="str">
        <f>IFERROR(IF(LEFT(D205,FIND(" ",D205)-1)="전라북도","전북특별자치도",LEFT(D205,FIND(" ",D205)-1)),"")</f>
        <v>경기도</v>
      </c>
      <c r="D205" s="3" t="s">
        <v>1062</v>
      </c>
      <c r="E205" s="3" t="s">
        <v>1063</v>
      </c>
      <c r="F205" s="3" t="s">
        <v>1064</v>
      </c>
      <c r="G205" s="3" t="s">
        <v>1066</v>
      </c>
      <c r="H205" s="3" t="s">
        <v>1067</v>
      </c>
      <c r="I205" s="3" t="s">
        <v>19</v>
      </c>
      <c r="J205" s="3" t="s">
        <v>1068</v>
      </c>
      <c r="K205" s="3" t="s">
        <v>21</v>
      </c>
      <c r="L205" s="3" t="s">
        <v>22</v>
      </c>
      <c r="M205" s="4">
        <v>806</v>
      </c>
      <c r="N205" s="3" t="s">
        <v>129</v>
      </c>
      <c r="O205" s="3" t="s">
        <v>281</v>
      </c>
    </row>
    <row r="206" spans="1:15" hidden="1" x14ac:dyDescent="0.4">
      <c r="A206" s="7">
        <v>205</v>
      </c>
      <c r="B206" s="8" t="s">
        <v>1069</v>
      </c>
      <c r="C206" s="6" t="str">
        <f>IFERROR(IF(LEFT(D206,FIND(" ",D206)-1)="전라북도","전북특별자치도",LEFT(D206,FIND(" ",D206)-1)),"")</f>
        <v>경기도</v>
      </c>
      <c r="D206" s="3" t="s">
        <v>1070</v>
      </c>
      <c r="E206" s="3" t="s">
        <v>1063</v>
      </c>
      <c r="F206" s="3" t="s">
        <v>1064</v>
      </c>
      <c r="G206" s="3" t="s">
        <v>1066</v>
      </c>
      <c r="H206" s="3" t="s">
        <v>1067</v>
      </c>
      <c r="I206" s="3" t="s">
        <v>19</v>
      </c>
      <c r="J206" s="3" t="s">
        <v>1068</v>
      </c>
      <c r="K206" s="3" t="s">
        <v>21</v>
      </c>
      <c r="L206" s="3" t="s">
        <v>22</v>
      </c>
      <c r="M206" s="4">
        <v>660</v>
      </c>
      <c r="N206" s="3" t="s">
        <v>84</v>
      </c>
      <c r="O206" s="3" t="s">
        <v>281</v>
      </c>
    </row>
    <row r="207" spans="1:15" hidden="1" x14ac:dyDescent="0.4">
      <c r="A207" s="7">
        <v>206</v>
      </c>
      <c r="B207" s="8" t="s">
        <v>1071</v>
      </c>
      <c r="C207" s="6" t="str">
        <f>IFERROR(IF(LEFT(D207,FIND(" ",D207)-1)="전라북도","전북특별자치도",LEFT(D207,FIND(" ",D207)-1)),"")</f>
        <v>강원특별자치도</v>
      </c>
      <c r="D207" s="3" t="s">
        <v>1072</v>
      </c>
      <c r="E207" s="3" t="s">
        <v>1073</v>
      </c>
      <c r="F207" s="3" t="s">
        <v>1064</v>
      </c>
      <c r="G207" s="3" t="s">
        <v>1074</v>
      </c>
      <c r="H207" s="3" t="s">
        <v>916</v>
      </c>
      <c r="I207" s="3" t="s">
        <v>916</v>
      </c>
      <c r="J207" s="3" t="s">
        <v>19</v>
      </c>
      <c r="K207" s="3" t="s">
        <v>21</v>
      </c>
      <c r="L207" s="3" t="s">
        <v>22</v>
      </c>
      <c r="M207" s="4">
        <v>777</v>
      </c>
      <c r="N207" s="3" t="s">
        <v>23</v>
      </c>
      <c r="O207" s="3" t="s">
        <v>281</v>
      </c>
    </row>
    <row r="208" spans="1:15" ht="22.05" customHeight="1" x14ac:dyDescent="0.4">
      <c r="A208" s="7">
        <v>191</v>
      </c>
      <c r="B208" s="8" t="s">
        <v>994</v>
      </c>
      <c r="C208" s="6" t="str">
        <f>IFERROR(IF(LEFT(D208,FIND(" ",D208)-1)="전라북도","전북특별자치도",LEFT(D208,FIND(" ",D208)-1)),"")</f>
        <v>경상북도</v>
      </c>
      <c r="D208" s="3" t="s">
        <v>995</v>
      </c>
      <c r="E208" s="3" t="s">
        <v>996</v>
      </c>
      <c r="F208" s="3" t="s">
        <v>997</v>
      </c>
      <c r="G208" s="3" t="s">
        <v>19</v>
      </c>
      <c r="H208" s="3" t="s">
        <v>998</v>
      </c>
      <c r="I208" s="3" t="s">
        <v>19</v>
      </c>
      <c r="J208" s="3" t="s">
        <v>19</v>
      </c>
      <c r="K208" s="3" t="s">
        <v>21</v>
      </c>
      <c r="L208" s="3" t="s">
        <v>22</v>
      </c>
      <c r="M208" s="4">
        <v>856</v>
      </c>
      <c r="N208" s="3" t="s">
        <v>23</v>
      </c>
      <c r="O208" s="3" t="s">
        <v>24</v>
      </c>
    </row>
    <row r="209" spans="1:15" hidden="1" x14ac:dyDescent="0.4">
      <c r="A209" s="7">
        <v>208</v>
      </c>
      <c r="B209" s="8" t="s">
        <v>1081</v>
      </c>
      <c r="C209" s="6" t="str">
        <f>IFERROR(IF(LEFT(D209,FIND(" ",D209)-1)="전라북도","전북특별자치도",LEFT(D209,FIND(" ",D209)-1)),"")</f>
        <v>경기도</v>
      </c>
      <c r="D209" s="3" t="s">
        <v>1082</v>
      </c>
      <c r="E209" s="3" t="s">
        <v>150</v>
      </c>
      <c r="F209" s="3" t="s">
        <v>1078</v>
      </c>
      <c r="G209" s="3" t="s">
        <v>1083</v>
      </c>
      <c r="H209" s="3" t="s">
        <v>1084</v>
      </c>
      <c r="I209" s="3" t="s">
        <v>19</v>
      </c>
      <c r="J209" s="3" t="s">
        <v>19</v>
      </c>
      <c r="K209" s="3" t="s">
        <v>21</v>
      </c>
      <c r="L209" s="3" t="s">
        <v>22</v>
      </c>
      <c r="M209" s="4">
        <v>991</v>
      </c>
      <c r="N209" s="3" t="s">
        <v>84</v>
      </c>
      <c r="O209" s="3" t="s">
        <v>281</v>
      </c>
    </row>
    <row r="210" spans="1:15" hidden="1" x14ac:dyDescent="0.4">
      <c r="A210" s="7">
        <v>209</v>
      </c>
      <c r="B210" s="8" t="s">
        <v>1085</v>
      </c>
      <c r="C210" s="6" t="str">
        <f>IFERROR(IF(LEFT(D210,FIND(" ",D210)-1)="전라북도","전북특별자치도",LEFT(D210,FIND(" ",D210)-1)),"")</f>
        <v>충청남도</v>
      </c>
      <c r="D210" s="3" t="s">
        <v>1086</v>
      </c>
      <c r="E210" s="3" t="s">
        <v>1087</v>
      </c>
      <c r="F210" s="3" t="s">
        <v>1088</v>
      </c>
      <c r="G210" s="3" t="s">
        <v>19</v>
      </c>
      <c r="H210" s="3" t="s">
        <v>1090</v>
      </c>
      <c r="I210" s="3" t="s">
        <v>19</v>
      </c>
      <c r="J210" s="3" t="s">
        <v>19</v>
      </c>
      <c r="K210" s="3" t="s">
        <v>21</v>
      </c>
      <c r="L210" s="3" t="s">
        <v>358</v>
      </c>
      <c r="M210" s="4">
        <v>239</v>
      </c>
      <c r="N210" s="3" t="s">
        <v>84</v>
      </c>
      <c r="O210" s="3" t="s">
        <v>281</v>
      </c>
    </row>
    <row r="211" spans="1:15" hidden="1" x14ac:dyDescent="0.4">
      <c r="A211" s="7">
        <v>210</v>
      </c>
      <c r="B211" s="8" t="s">
        <v>1091</v>
      </c>
      <c r="C211" s="6" t="str">
        <f>IFERROR(IF(LEFT(D211,FIND(" ",D211)-1)="전라북도","전북특별자치도",LEFT(D211,FIND(" ",D211)-1)),"")</f>
        <v>울산광역시</v>
      </c>
      <c r="D211" s="3" t="s">
        <v>1092</v>
      </c>
      <c r="E211" s="3" t="s">
        <v>1093</v>
      </c>
      <c r="F211" s="3" t="s">
        <v>1088</v>
      </c>
      <c r="G211" s="3" t="s">
        <v>1095</v>
      </c>
      <c r="H211" s="3" t="s">
        <v>1096</v>
      </c>
      <c r="I211" s="3" t="s">
        <v>1096</v>
      </c>
      <c r="J211" s="3" t="s">
        <v>19</v>
      </c>
      <c r="K211" s="3" t="s">
        <v>21</v>
      </c>
      <c r="L211" s="3" t="s">
        <v>22</v>
      </c>
      <c r="M211" s="4">
        <v>752</v>
      </c>
      <c r="N211" s="3" t="s">
        <v>23</v>
      </c>
      <c r="O211" s="3" t="s">
        <v>281</v>
      </c>
    </row>
    <row r="212" spans="1:15" ht="19.95" hidden="1" customHeight="1" x14ac:dyDescent="0.4">
      <c r="A212" s="7">
        <v>193</v>
      </c>
      <c r="B212" s="8" t="s">
        <v>1006</v>
      </c>
      <c r="C212" s="6" t="str">
        <f>IFERROR(IF(LEFT(D212,FIND(" ",D212)-1)="전라북도","전북특별자치도",LEFT(D212,FIND(" ",D212)-1)),"")</f>
        <v>경상북도</v>
      </c>
      <c r="D212" s="3" t="s">
        <v>1007</v>
      </c>
      <c r="E212" s="3" t="s">
        <v>1008</v>
      </c>
      <c r="F212" s="3" t="s">
        <v>1009</v>
      </c>
      <c r="G212" s="3" t="s">
        <v>1010</v>
      </c>
      <c r="H212" s="3" t="s">
        <v>743</v>
      </c>
      <c r="I212" s="3" t="s">
        <v>19</v>
      </c>
      <c r="J212" s="3" t="s">
        <v>19</v>
      </c>
      <c r="K212" s="3" t="s">
        <v>21</v>
      </c>
      <c r="L212" s="3" t="s">
        <v>22</v>
      </c>
      <c r="M212" s="4">
        <v>142</v>
      </c>
      <c r="N212" s="3" t="s">
        <v>123</v>
      </c>
      <c r="O212" s="3" t="s">
        <v>24</v>
      </c>
    </row>
    <row r="213" spans="1:15" hidden="1" x14ac:dyDescent="0.4">
      <c r="A213" s="7">
        <v>212</v>
      </c>
      <c r="B213" s="8" t="s">
        <v>1101</v>
      </c>
      <c r="C213" s="6" t="str">
        <f>IFERROR(IF(LEFT(D213,FIND(" ",D213)-1)="전라북도","전북특별자치도",LEFT(D213,FIND(" ",D213)-1)),"")</f>
        <v>경상북도</v>
      </c>
      <c r="D213" s="3" t="s">
        <v>1102</v>
      </c>
      <c r="E213" s="3" t="s">
        <v>1103</v>
      </c>
      <c r="F213" s="3" t="s">
        <v>1104</v>
      </c>
      <c r="G213" s="3" t="s">
        <v>1105</v>
      </c>
      <c r="H213" s="3" t="s">
        <v>19</v>
      </c>
      <c r="I213" s="3" t="s">
        <v>19</v>
      </c>
      <c r="J213" s="3" t="s">
        <v>19</v>
      </c>
      <c r="K213" s="3" t="s">
        <v>21</v>
      </c>
      <c r="L213" s="3" t="s">
        <v>147</v>
      </c>
      <c r="M213" s="4">
        <v>198</v>
      </c>
      <c r="N213" s="3" t="s">
        <v>23</v>
      </c>
      <c r="O213" s="3" t="s">
        <v>281</v>
      </c>
    </row>
    <row r="214" spans="1:15" hidden="1" x14ac:dyDescent="0.4">
      <c r="A214" s="7">
        <v>213</v>
      </c>
      <c r="B214" s="8" t="s">
        <v>1106</v>
      </c>
      <c r="C214" s="6" t="str">
        <f>IFERROR(IF(LEFT(D214,FIND(" ",D214)-1)="전라북도","전북특별자치도",LEFT(D214,FIND(" ",D214)-1)),"")</f>
        <v>경기도</v>
      </c>
      <c r="D214" s="3" t="s">
        <v>1107</v>
      </c>
      <c r="E214" s="3" t="s">
        <v>1108</v>
      </c>
      <c r="F214" s="3" t="s">
        <v>1104</v>
      </c>
      <c r="G214" s="3" t="s">
        <v>1109</v>
      </c>
      <c r="H214" s="3" t="s">
        <v>1110</v>
      </c>
      <c r="I214" s="3" t="s">
        <v>1110</v>
      </c>
      <c r="J214" s="3" t="s">
        <v>19</v>
      </c>
      <c r="K214" s="3" t="s">
        <v>21</v>
      </c>
      <c r="L214" s="3" t="s">
        <v>22</v>
      </c>
      <c r="M214" s="4">
        <v>522</v>
      </c>
      <c r="N214" s="3" t="s">
        <v>23</v>
      </c>
      <c r="O214" s="3" t="s">
        <v>281</v>
      </c>
    </row>
    <row r="215" spans="1:15" ht="22.05" customHeight="1" x14ac:dyDescent="0.4">
      <c r="A215" s="7">
        <v>200</v>
      </c>
      <c r="B215" s="8" t="s">
        <v>1041</v>
      </c>
      <c r="C215" s="6" t="str">
        <f>IFERROR(IF(LEFT(D215,FIND(" ",D215)-1)="전라북도","전북특별자치도",LEFT(D215,FIND(" ",D215)-1)),"")</f>
        <v>경상북도</v>
      </c>
      <c r="D215" s="3" t="s">
        <v>1042</v>
      </c>
      <c r="E215" s="3" t="s">
        <v>1043</v>
      </c>
      <c r="F215" s="3" t="s">
        <v>1044</v>
      </c>
      <c r="G215" s="3" t="s">
        <v>19</v>
      </c>
      <c r="H215" s="3" t="s">
        <v>222</v>
      </c>
      <c r="I215" s="3" t="s">
        <v>19</v>
      </c>
      <c r="J215" s="3" t="s">
        <v>19</v>
      </c>
      <c r="K215" s="3" t="s">
        <v>21</v>
      </c>
      <c r="L215" s="3" t="s">
        <v>22</v>
      </c>
      <c r="M215" s="4">
        <v>1998</v>
      </c>
      <c r="N215" s="3" t="s">
        <v>23</v>
      </c>
      <c r="O215" s="3" t="s">
        <v>24</v>
      </c>
    </row>
    <row r="216" spans="1:15" ht="19.95" hidden="1" customHeight="1" x14ac:dyDescent="0.4">
      <c r="A216" s="7">
        <v>217</v>
      </c>
      <c r="B216" s="8" t="s">
        <v>1124</v>
      </c>
      <c r="C216" s="6" t="str">
        <f>IFERROR(IF(LEFT(D216,FIND(" ",D216)-1)="전라북도","전북특별자치도",LEFT(D216,FIND(" ",D216)-1)),"")</f>
        <v>경상북도</v>
      </c>
      <c r="D216" s="3" t="s">
        <v>1125</v>
      </c>
      <c r="E216" s="3" t="s">
        <v>181</v>
      </c>
      <c r="F216" s="3" t="s">
        <v>1126</v>
      </c>
      <c r="G216" s="3" t="s">
        <v>1127</v>
      </c>
      <c r="H216" s="3" t="s">
        <v>743</v>
      </c>
      <c r="I216" s="3" t="s">
        <v>743</v>
      </c>
      <c r="J216" s="3" t="s">
        <v>19</v>
      </c>
      <c r="K216" s="3" t="s">
        <v>21</v>
      </c>
      <c r="L216" s="3" t="s">
        <v>22</v>
      </c>
      <c r="M216" s="4">
        <v>288</v>
      </c>
      <c r="N216" s="3" t="s">
        <v>23</v>
      </c>
      <c r="O216" s="3" t="s">
        <v>24</v>
      </c>
    </row>
    <row r="217" spans="1:15" ht="22.05" customHeight="1" x14ac:dyDescent="0.4">
      <c r="A217" s="7">
        <v>220</v>
      </c>
      <c r="B217" s="8" t="s">
        <v>1138</v>
      </c>
      <c r="C217" s="6" t="str">
        <f>IFERROR(IF(LEFT(D217,FIND(" ",D217)-1)="전라북도","전북특별자치도",LEFT(D217,FIND(" ",D217)-1)),"")</f>
        <v>경상북도</v>
      </c>
      <c r="D217" s="3" t="s">
        <v>1139</v>
      </c>
      <c r="E217" s="3" t="s">
        <v>1140</v>
      </c>
      <c r="F217" s="3" t="s">
        <v>1141</v>
      </c>
      <c r="G217" s="3" t="s">
        <v>1127</v>
      </c>
      <c r="H217" s="3" t="s">
        <v>743</v>
      </c>
      <c r="I217" s="3" t="s">
        <v>19</v>
      </c>
      <c r="J217" s="3" t="s">
        <v>19</v>
      </c>
      <c r="K217" s="3" t="s">
        <v>21</v>
      </c>
      <c r="L217" s="3" t="s">
        <v>22</v>
      </c>
      <c r="M217" s="4">
        <v>959</v>
      </c>
      <c r="N217" s="3" t="s">
        <v>23</v>
      </c>
      <c r="O217" s="3" t="s">
        <v>24</v>
      </c>
    </row>
    <row r="218" spans="1:15" ht="22.05" customHeight="1" x14ac:dyDescent="0.4">
      <c r="A218" s="7">
        <v>236</v>
      </c>
      <c r="B218" s="8" t="s">
        <v>1216</v>
      </c>
      <c r="C218" s="6" t="str">
        <f>IFERROR(IF(LEFT(D218,FIND(" ",D218)-1)="전라북도","전북특별자치도",LEFT(D218,FIND(" ",D218)-1)),"")</f>
        <v>경상북도</v>
      </c>
      <c r="D218" s="3" t="s">
        <v>1217</v>
      </c>
      <c r="E218" s="3" t="s">
        <v>1218</v>
      </c>
      <c r="F218" s="3" t="s">
        <v>1219</v>
      </c>
      <c r="G218" s="3" t="s">
        <v>19</v>
      </c>
      <c r="H218" s="3" t="s">
        <v>1220</v>
      </c>
      <c r="I218" s="3" t="s">
        <v>19</v>
      </c>
      <c r="J218" s="3" t="s">
        <v>1221</v>
      </c>
      <c r="K218" s="3" t="s">
        <v>21</v>
      </c>
      <c r="L218" s="3" t="s">
        <v>22</v>
      </c>
      <c r="M218" s="4">
        <v>6591</v>
      </c>
      <c r="N218" s="3" t="s">
        <v>23</v>
      </c>
      <c r="O218" s="3" t="s">
        <v>24</v>
      </c>
    </row>
    <row r="219" spans="1:15" ht="22.05" customHeight="1" x14ac:dyDescent="0.4">
      <c r="A219" s="7">
        <v>258</v>
      </c>
      <c r="B219" s="8" t="s">
        <v>1316</v>
      </c>
      <c r="C219" s="6" t="str">
        <f>IFERROR(IF(LEFT(D219,FIND(" ",D219)-1)="전라북도","전북특별자치도",LEFT(D219,FIND(" ",D219)-1)),"")</f>
        <v>경상북도</v>
      </c>
      <c r="D219" s="3" t="s">
        <v>1317</v>
      </c>
      <c r="E219" s="3" t="s">
        <v>1318</v>
      </c>
      <c r="F219" s="3" t="s">
        <v>1319</v>
      </c>
      <c r="G219" s="3" t="s">
        <v>1320</v>
      </c>
      <c r="H219" s="3" t="s">
        <v>1321</v>
      </c>
      <c r="I219" s="3" t="s">
        <v>1321</v>
      </c>
      <c r="J219" s="3" t="s">
        <v>19</v>
      </c>
      <c r="K219" s="3" t="s">
        <v>21</v>
      </c>
      <c r="L219" s="3" t="s">
        <v>22</v>
      </c>
      <c r="M219" s="4">
        <v>1783</v>
      </c>
      <c r="N219" s="3" t="s">
        <v>23</v>
      </c>
      <c r="O219" s="3" t="s">
        <v>24</v>
      </c>
    </row>
    <row r="220" spans="1:15" ht="19.95" hidden="1" customHeight="1" x14ac:dyDescent="0.4">
      <c r="A220" s="7">
        <v>363</v>
      </c>
      <c r="B220" s="8" t="s">
        <v>1845</v>
      </c>
      <c r="C220" s="6" t="str">
        <f>IFERROR(IF(LEFT(D220,FIND(" ",D220)-1)="전라북도","전북특별자치도",LEFT(D220,FIND(" ",D220)-1)),"")</f>
        <v>경상북도</v>
      </c>
      <c r="D220" s="3" t="s">
        <v>1317</v>
      </c>
      <c r="E220" s="3" t="s">
        <v>1318</v>
      </c>
      <c r="F220" s="3" t="s">
        <v>1846</v>
      </c>
      <c r="G220" s="3" t="s">
        <v>19</v>
      </c>
      <c r="H220" s="3" t="s">
        <v>1321</v>
      </c>
      <c r="I220" s="3" t="s">
        <v>19</v>
      </c>
      <c r="J220" s="3" t="s">
        <v>19</v>
      </c>
      <c r="K220" s="3" t="s">
        <v>21</v>
      </c>
      <c r="L220" s="3" t="s">
        <v>22</v>
      </c>
      <c r="M220" s="4">
        <v>289</v>
      </c>
      <c r="N220" s="3" t="s">
        <v>1498</v>
      </c>
      <c r="O220" s="3" t="s">
        <v>24</v>
      </c>
    </row>
    <row r="221" spans="1:15" ht="22.05" customHeight="1" x14ac:dyDescent="0.4">
      <c r="A221" s="7">
        <v>375</v>
      </c>
      <c r="B221" s="8" t="s">
        <v>1903</v>
      </c>
      <c r="C221" s="6" t="str">
        <f>IFERROR(IF(LEFT(D221,FIND(" ",D221)-1)="전라북도","전북특별자치도",LEFT(D221,FIND(" ",D221)-1)),"")</f>
        <v>경상북도</v>
      </c>
      <c r="D221" s="3" t="s">
        <v>1904</v>
      </c>
      <c r="E221" s="3" t="s">
        <v>1905</v>
      </c>
      <c r="F221" s="3" t="s">
        <v>1181</v>
      </c>
      <c r="G221" s="3" t="s">
        <v>1906</v>
      </c>
      <c r="H221" s="3" t="s">
        <v>1907</v>
      </c>
      <c r="I221" s="3" t="s">
        <v>1908</v>
      </c>
      <c r="J221" s="3" t="s">
        <v>19</v>
      </c>
      <c r="K221" s="3" t="s">
        <v>21</v>
      </c>
      <c r="L221" s="3" t="s">
        <v>22</v>
      </c>
      <c r="M221" s="4">
        <v>976</v>
      </c>
      <c r="N221" s="3" t="s">
        <v>1498</v>
      </c>
      <c r="O221" s="3" t="s">
        <v>24</v>
      </c>
    </row>
    <row r="222" spans="1:15" ht="22.05" customHeight="1" x14ac:dyDescent="0.4">
      <c r="A222" s="7">
        <v>392</v>
      </c>
      <c r="B222" s="8" t="s">
        <v>1987</v>
      </c>
      <c r="C222" s="6" t="str">
        <f>IFERROR(IF(LEFT(D222,FIND(" ",D222)-1)="전라북도","전북특별자치도",LEFT(D222,FIND(" ",D222)-1)),"")</f>
        <v>경상북도</v>
      </c>
      <c r="D222" s="3" t="s">
        <v>1988</v>
      </c>
      <c r="E222" s="3" t="s">
        <v>1989</v>
      </c>
      <c r="F222" s="3" t="s">
        <v>338</v>
      </c>
      <c r="G222" s="3" t="s">
        <v>1990</v>
      </c>
      <c r="H222" s="3" t="s">
        <v>19</v>
      </c>
      <c r="I222" s="3" t="s">
        <v>19</v>
      </c>
      <c r="J222" s="3" t="s">
        <v>1991</v>
      </c>
      <c r="K222" s="3" t="s">
        <v>21</v>
      </c>
      <c r="L222" s="3" t="s">
        <v>22</v>
      </c>
      <c r="M222" s="4">
        <v>311</v>
      </c>
      <c r="N222" s="3" t="s">
        <v>23</v>
      </c>
      <c r="O222" s="3" t="s">
        <v>24</v>
      </c>
    </row>
    <row r="223" spans="1:15" ht="19.95" hidden="1" customHeight="1" x14ac:dyDescent="0.4">
      <c r="A223" s="7">
        <v>403</v>
      </c>
      <c r="B223" s="8" t="s">
        <v>2044</v>
      </c>
      <c r="C223" s="6" t="str">
        <f>IFERROR(IF(LEFT(D223,FIND(" ",D223)-1)="전라북도","전북특별자치도",LEFT(D223,FIND(" ",D223)-1)),"")</f>
        <v>경상북도</v>
      </c>
      <c r="D223" s="3" t="s">
        <v>2045</v>
      </c>
      <c r="E223" s="3" t="s">
        <v>2046</v>
      </c>
      <c r="F223" s="3" t="s">
        <v>375</v>
      </c>
      <c r="G223" s="3" t="s">
        <v>2047</v>
      </c>
      <c r="H223" s="3" t="s">
        <v>2048</v>
      </c>
      <c r="I223" s="3" t="s">
        <v>2049</v>
      </c>
      <c r="J223" s="3" t="s">
        <v>19</v>
      </c>
      <c r="K223" s="3" t="s">
        <v>21</v>
      </c>
      <c r="L223" s="3" t="s">
        <v>22</v>
      </c>
      <c r="M223" s="4">
        <v>239</v>
      </c>
      <c r="N223" s="3" t="s">
        <v>23</v>
      </c>
      <c r="O223" s="3" t="s">
        <v>24</v>
      </c>
    </row>
    <row r="224" spans="1:15" ht="22.05" customHeight="1" x14ac:dyDescent="0.4">
      <c r="A224" s="7">
        <v>428</v>
      </c>
      <c r="B224" s="8" t="s">
        <v>2192</v>
      </c>
      <c r="C224" s="6" t="str">
        <f>IFERROR(IF(LEFT(D224,FIND(" ",D224)-1)="전라북도","전북특별자치도",LEFT(D224,FIND(" ",D224)-1)),"")</f>
        <v>경상북도</v>
      </c>
      <c r="D224" s="3" t="s">
        <v>2193</v>
      </c>
      <c r="E224" s="3" t="s">
        <v>1971</v>
      </c>
      <c r="F224" s="3" t="s">
        <v>1806</v>
      </c>
      <c r="G224" s="3" t="s">
        <v>2194</v>
      </c>
      <c r="H224" s="3" t="s">
        <v>1888</v>
      </c>
      <c r="I224" s="3" t="s">
        <v>2195</v>
      </c>
      <c r="J224" s="3" t="s">
        <v>19</v>
      </c>
      <c r="K224" s="3" t="s">
        <v>21</v>
      </c>
      <c r="L224" s="3" t="s">
        <v>22</v>
      </c>
      <c r="M224" s="4">
        <v>1304</v>
      </c>
      <c r="N224" s="3" t="s">
        <v>1498</v>
      </c>
      <c r="O224" s="3" t="s">
        <v>24</v>
      </c>
    </row>
    <row r="225" spans="1:15" hidden="1" x14ac:dyDescent="0.4">
      <c r="A225" s="7">
        <v>224</v>
      </c>
      <c r="B225" s="8" t="s">
        <v>1157</v>
      </c>
      <c r="C225" s="6" t="str">
        <f>IFERROR(IF(LEFT(D225,FIND(" ",D225)-1)="전라북도","전북특별자치도",LEFT(D225,FIND(" ",D225)-1)),"")</f>
        <v>강원특별자치도</v>
      </c>
      <c r="D225" s="3" t="s">
        <v>1158</v>
      </c>
      <c r="E225" s="3" t="s">
        <v>1159</v>
      </c>
      <c r="F225" s="3" t="s">
        <v>1153</v>
      </c>
      <c r="G225" s="3" t="s">
        <v>1160</v>
      </c>
      <c r="H225" s="3" t="s">
        <v>1161</v>
      </c>
      <c r="I225" s="3" t="s">
        <v>1162</v>
      </c>
      <c r="J225" s="3" t="s">
        <v>1160</v>
      </c>
      <c r="K225" s="3" t="s">
        <v>21</v>
      </c>
      <c r="L225" s="3" t="s">
        <v>22</v>
      </c>
      <c r="M225" s="4">
        <v>1204</v>
      </c>
      <c r="N225" s="3" t="s">
        <v>23</v>
      </c>
      <c r="O225" s="3" t="s">
        <v>281</v>
      </c>
    </row>
    <row r="226" spans="1:15" hidden="1" x14ac:dyDescent="0.4">
      <c r="A226" s="7">
        <v>225</v>
      </c>
      <c r="B226" s="8" t="s">
        <v>1163</v>
      </c>
      <c r="C226" s="6" t="str">
        <f>IFERROR(IF(LEFT(D226,FIND(" ",D226)-1)="전라북도","전북특별자치도",LEFT(D226,FIND(" ",D226)-1)),"")</f>
        <v>대전광역시</v>
      </c>
      <c r="D226" s="3" t="s">
        <v>1164</v>
      </c>
      <c r="E226" s="3" t="s">
        <v>1165</v>
      </c>
      <c r="F226" s="3" t="s">
        <v>1166</v>
      </c>
      <c r="G226" s="3" t="s">
        <v>385</v>
      </c>
      <c r="H226" s="3" t="s">
        <v>274</v>
      </c>
      <c r="I226" s="3" t="s">
        <v>19</v>
      </c>
      <c r="J226" s="3" t="s">
        <v>1167</v>
      </c>
      <c r="K226" s="3" t="s">
        <v>21</v>
      </c>
      <c r="L226" s="3" t="s">
        <v>228</v>
      </c>
      <c r="M226" s="4">
        <v>918</v>
      </c>
      <c r="N226" s="3" t="s">
        <v>23</v>
      </c>
      <c r="O226" s="3" t="s">
        <v>281</v>
      </c>
    </row>
    <row r="227" spans="1:15" ht="22.05" customHeight="1" x14ac:dyDescent="0.4">
      <c r="A227" s="7">
        <v>455</v>
      </c>
      <c r="B227" s="8" t="s">
        <v>2329</v>
      </c>
      <c r="C227" s="6" t="str">
        <f>IFERROR(IF(LEFT(D227,FIND(" ",D227)-1)="전라북도","전북특별자치도",LEFT(D227,FIND(" ",D227)-1)),"")</f>
        <v>경상북도</v>
      </c>
      <c r="D227" s="3" t="s">
        <v>2330</v>
      </c>
      <c r="E227" s="3" t="s">
        <v>2331</v>
      </c>
      <c r="F227" s="3" t="s">
        <v>2126</v>
      </c>
      <c r="G227" s="3" t="s">
        <v>19</v>
      </c>
      <c r="H227" s="3" t="s">
        <v>2332</v>
      </c>
      <c r="I227" s="3" t="s">
        <v>19</v>
      </c>
      <c r="J227" s="3" t="s">
        <v>19</v>
      </c>
      <c r="K227" s="3" t="s">
        <v>21</v>
      </c>
      <c r="L227" s="3" t="s">
        <v>147</v>
      </c>
      <c r="M227" s="4">
        <v>989</v>
      </c>
      <c r="N227" s="3" t="s">
        <v>1498</v>
      </c>
      <c r="O227" s="3" t="s">
        <v>24</v>
      </c>
    </row>
    <row r="228" spans="1:15" ht="19.95" hidden="1" customHeight="1" x14ac:dyDescent="0.4">
      <c r="A228" s="7">
        <v>471</v>
      </c>
      <c r="B228" s="8" t="s">
        <v>2392</v>
      </c>
      <c r="C228" s="6" t="str">
        <f>IFERROR(IF(LEFT(D228,FIND(" ",D228)-1)="전라북도","전북특별자치도",LEFT(D228,FIND(" ",D228)-1)),"")</f>
        <v>경상북도</v>
      </c>
      <c r="D228" s="3" t="s">
        <v>2393</v>
      </c>
      <c r="E228" s="3" t="s">
        <v>1372</v>
      </c>
      <c r="F228" s="3" t="s">
        <v>1510</v>
      </c>
      <c r="G228" s="3" t="s">
        <v>2394</v>
      </c>
      <c r="H228" s="3" t="s">
        <v>2395</v>
      </c>
      <c r="I228" s="3" t="s">
        <v>19</v>
      </c>
      <c r="J228" s="3" t="s">
        <v>2394</v>
      </c>
      <c r="K228" s="3" t="s">
        <v>21</v>
      </c>
      <c r="L228" s="3" t="s">
        <v>147</v>
      </c>
      <c r="M228" s="4">
        <v>93</v>
      </c>
      <c r="N228" s="3" t="s">
        <v>84</v>
      </c>
      <c r="O228" s="3" t="s">
        <v>24</v>
      </c>
    </row>
    <row r="229" spans="1:15" ht="22.05" customHeight="1" x14ac:dyDescent="0.4">
      <c r="A229" s="7">
        <v>560</v>
      </c>
      <c r="B229" s="8" t="s">
        <v>2763</v>
      </c>
      <c r="C229" s="6" t="str">
        <f>IFERROR(IF(LEFT(D229,FIND(" ",D229)-1)="전라북도","전북특별자치도",LEFT(D229,FIND(" ",D229)-1)),"")</f>
        <v>경상북도</v>
      </c>
      <c r="D229" s="3" t="s">
        <v>2764</v>
      </c>
      <c r="E229" s="3" t="s">
        <v>1229</v>
      </c>
      <c r="F229" s="3" t="s">
        <v>2325</v>
      </c>
      <c r="G229" s="3" t="s">
        <v>19</v>
      </c>
      <c r="H229" s="3" t="s">
        <v>2765</v>
      </c>
      <c r="I229" s="3" t="s">
        <v>19</v>
      </c>
      <c r="J229" s="3" t="s">
        <v>19</v>
      </c>
      <c r="K229" s="3" t="s">
        <v>21</v>
      </c>
      <c r="L229" s="3" t="s">
        <v>147</v>
      </c>
      <c r="M229" s="4">
        <v>1256</v>
      </c>
      <c r="N229" s="3" t="s">
        <v>84</v>
      </c>
      <c r="O229" s="3" t="s">
        <v>24</v>
      </c>
    </row>
    <row r="230" spans="1:15" hidden="1" x14ac:dyDescent="0.4">
      <c r="A230" s="7">
        <v>229</v>
      </c>
      <c r="B230" s="8" t="s">
        <v>1179</v>
      </c>
      <c r="C230" s="6" t="str">
        <f>IFERROR(IF(LEFT(D230,FIND(" ",D230)-1)="전라북도","전북특별자치도",LEFT(D230,FIND(" ",D230)-1)),"")</f>
        <v>전북특별자치도</v>
      </c>
      <c r="D230" s="3" t="s">
        <v>1180</v>
      </c>
      <c r="E230" s="3" t="s">
        <v>1181</v>
      </c>
      <c r="F230" s="3" t="s">
        <v>1063</v>
      </c>
      <c r="G230" s="3" t="s">
        <v>1183</v>
      </c>
      <c r="H230" s="3" t="s">
        <v>1184</v>
      </c>
      <c r="I230" s="3" t="s">
        <v>1185</v>
      </c>
      <c r="J230" s="3" t="s">
        <v>1183</v>
      </c>
      <c r="K230" s="3" t="s">
        <v>21</v>
      </c>
      <c r="L230" s="3" t="s">
        <v>147</v>
      </c>
      <c r="M230" s="4">
        <v>1371</v>
      </c>
      <c r="N230" s="3" t="s">
        <v>123</v>
      </c>
      <c r="O230" s="3" t="s">
        <v>281</v>
      </c>
    </row>
    <row r="231" spans="1:15" ht="22.05" customHeight="1" x14ac:dyDescent="0.4">
      <c r="A231" s="7">
        <v>648</v>
      </c>
      <c r="B231" s="8" t="s">
        <v>3119</v>
      </c>
      <c r="C231" s="6" t="str">
        <f>IFERROR(IF(LEFT(D231,FIND(" ",D231)-1)="전라북도","전북특별자치도",LEFT(D231,FIND(" ",D231)-1)),"")</f>
        <v>경상북도</v>
      </c>
      <c r="D231" s="3" t="s">
        <v>3120</v>
      </c>
      <c r="E231" s="3" t="s">
        <v>814</v>
      </c>
      <c r="F231" s="3" t="s">
        <v>3027</v>
      </c>
      <c r="G231" s="3" t="s">
        <v>19</v>
      </c>
      <c r="H231" s="3" t="s">
        <v>896</v>
      </c>
      <c r="I231" s="3" t="s">
        <v>19</v>
      </c>
      <c r="J231" s="3" t="s">
        <v>19</v>
      </c>
      <c r="K231" s="3" t="s">
        <v>21</v>
      </c>
      <c r="L231" s="3" t="s">
        <v>147</v>
      </c>
      <c r="M231" s="4">
        <v>3917</v>
      </c>
      <c r="N231" s="3" t="s">
        <v>1498</v>
      </c>
      <c r="O231" s="3" t="s">
        <v>24</v>
      </c>
    </row>
    <row r="232" spans="1:15" ht="22.05" customHeight="1" x14ac:dyDescent="0.4">
      <c r="A232" s="7">
        <v>677</v>
      </c>
      <c r="B232" s="8" t="s">
        <v>3240</v>
      </c>
      <c r="C232" s="6" t="str">
        <f>IFERROR(IF(LEFT(D232,FIND(" ",D232)-1)="전라북도","전북특별자치도",LEFT(D232,FIND(" ",D232)-1)),"")</f>
        <v>경상북도</v>
      </c>
      <c r="D232" s="3" t="s">
        <v>3241</v>
      </c>
      <c r="E232" s="3" t="s">
        <v>3242</v>
      </c>
      <c r="F232" s="3" t="s">
        <v>2951</v>
      </c>
      <c r="G232" s="3" t="s">
        <v>19</v>
      </c>
      <c r="H232" s="3" t="s">
        <v>2765</v>
      </c>
      <c r="I232" s="3" t="s">
        <v>19</v>
      </c>
      <c r="J232" s="3" t="s">
        <v>19</v>
      </c>
      <c r="K232" s="3" t="s">
        <v>21</v>
      </c>
      <c r="L232" s="3" t="s">
        <v>147</v>
      </c>
      <c r="M232" s="4">
        <v>1360</v>
      </c>
      <c r="N232" s="3" t="s">
        <v>1498</v>
      </c>
      <c r="O232" s="3" t="s">
        <v>24</v>
      </c>
    </row>
    <row r="233" spans="1:15" hidden="1" x14ac:dyDescent="0.4">
      <c r="A233" s="7">
        <v>232</v>
      </c>
      <c r="B233" s="8" t="s">
        <v>1195</v>
      </c>
      <c r="C233" s="6" t="str">
        <f>IFERROR(IF(LEFT(D233,FIND(" ",D233)-1)="전라북도","전북특별자치도",LEFT(D233,FIND(" ",D233)-1)),"")</f>
        <v>경기도</v>
      </c>
      <c r="D233" s="3" t="s">
        <v>1196</v>
      </c>
      <c r="E233" s="3" t="s">
        <v>1037</v>
      </c>
      <c r="F233" s="3" t="s">
        <v>1037</v>
      </c>
      <c r="G233" s="3" t="s">
        <v>19</v>
      </c>
      <c r="H233" s="3" t="s">
        <v>302</v>
      </c>
      <c r="I233" s="3" t="s">
        <v>19</v>
      </c>
      <c r="J233" s="3" t="s">
        <v>19</v>
      </c>
      <c r="K233" s="3" t="s">
        <v>21</v>
      </c>
      <c r="L233" s="3" t="s">
        <v>147</v>
      </c>
      <c r="M233" s="4">
        <v>1314</v>
      </c>
      <c r="N233" s="3" t="s">
        <v>84</v>
      </c>
      <c r="O233" s="3" t="s">
        <v>281</v>
      </c>
    </row>
    <row r="234" spans="1:15" ht="22.05" customHeight="1" x14ac:dyDescent="0.4">
      <c r="A234" s="7">
        <v>687</v>
      </c>
      <c r="B234" s="8" t="s">
        <v>3282</v>
      </c>
      <c r="C234" s="6" t="str">
        <f>IFERROR(IF(LEFT(D234,FIND(" ",D234)-1)="전라북도","전북특별자치도",LEFT(D234,FIND(" ",D234)-1)),"")</f>
        <v>경상북도</v>
      </c>
      <c r="D234" s="3" t="s">
        <v>3283</v>
      </c>
      <c r="E234" s="3" t="s">
        <v>3284</v>
      </c>
      <c r="F234" s="3" t="s">
        <v>919</v>
      </c>
      <c r="G234" s="3" t="s">
        <v>3285</v>
      </c>
      <c r="H234" s="3" t="s">
        <v>743</v>
      </c>
      <c r="I234" s="3" t="s">
        <v>743</v>
      </c>
      <c r="J234" s="3" t="s">
        <v>19</v>
      </c>
      <c r="K234" s="3" t="s">
        <v>21</v>
      </c>
      <c r="L234" s="3" t="s">
        <v>22</v>
      </c>
      <c r="M234" s="4">
        <v>919</v>
      </c>
      <c r="N234" s="3" t="s">
        <v>1498</v>
      </c>
      <c r="O234" s="3" t="s">
        <v>24</v>
      </c>
    </row>
    <row r="235" spans="1:15" hidden="1" x14ac:dyDescent="0.4">
      <c r="A235" s="7">
        <v>234</v>
      </c>
      <c r="B235" s="8" t="s">
        <v>1204</v>
      </c>
      <c r="C235" s="6" t="str">
        <f>IFERROR(IF(LEFT(D235,FIND(" ",D235)-1)="전라북도","전북특별자치도",LEFT(D235,FIND(" ",D235)-1)),"")</f>
        <v>경상북도</v>
      </c>
      <c r="D235" s="3" t="s">
        <v>1205</v>
      </c>
      <c r="E235" s="3" t="s">
        <v>1206</v>
      </c>
      <c r="F235" s="3" t="s">
        <v>1207</v>
      </c>
      <c r="G235" s="3" t="s">
        <v>1208</v>
      </c>
      <c r="H235" s="3" t="s">
        <v>1209</v>
      </c>
      <c r="I235" s="3" t="s">
        <v>19</v>
      </c>
      <c r="J235" s="3" t="s">
        <v>19</v>
      </c>
      <c r="K235" s="3" t="s">
        <v>21</v>
      </c>
      <c r="L235" s="3" t="s">
        <v>22</v>
      </c>
      <c r="M235" s="4">
        <v>88</v>
      </c>
      <c r="N235" s="3" t="s">
        <v>23</v>
      </c>
      <c r="O235" s="3" t="s">
        <v>281</v>
      </c>
    </row>
    <row r="236" spans="1:15" hidden="1" x14ac:dyDescent="0.4">
      <c r="A236" s="7">
        <v>235</v>
      </c>
      <c r="B236" s="8" t="s">
        <v>1210</v>
      </c>
      <c r="C236" s="6" t="str">
        <f>IFERROR(IF(LEFT(D236,FIND(" ",D236)-1)="전라북도","전북특별자치도",LEFT(D236,FIND(" ",D236)-1)),"")</f>
        <v>경상북도</v>
      </c>
      <c r="D236" s="3" t="s">
        <v>1211</v>
      </c>
      <c r="E236" s="3" t="s">
        <v>1212</v>
      </c>
      <c r="F236" s="3" t="s">
        <v>1213</v>
      </c>
      <c r="G236" s="3" t="s">
        <v>19</v>
      </c>
      <c r="H236" s="3" t="s">
        <v>1215</v>
      </c>
      <c r="I236" s="3" t="s">
        <v>19</v>
      </c>
      <c r="J236" s="3" t="s">
        <v>19</v>
      </c>
      <c r="K236" s="3" t="s">
        <v>21</v>
      </c>
      <c r="L236" s="3" t="s">
        <v>147</v>
      </c>
      <c r="M236" s="4">
        <v>398</v>
      </c>
      <c r="N236" s="3" t="s">
        <v>23</v>
      </c>
      <c r="O236" s="3" t="s">
        <v>281</v>
      </c>
    </row>
    <row r="237" spans="1:15" ht="22.05" customHeight="1" x14ac:dyDescent="0.4">
      <c r="A237" s="7">
        <v>745</v>
      </c>
      <c r="B237" s="8" t="s">
        <v>3507</v>
      </c>
      <c r="C237" s="6" t="str">
        <f>IFERROR(IF(LEFT(D237,FIND(" ",D237)-1)="전라북도","전북특별자치도",LEFT(D237,FIND(" ",D237)-1)),"")</f>
        <v>경상북도</v>
      </c>
      <c r="D237" s="3" t="s">
        <v>3508</v>
      </c>
      <c r="E237" s="3" t="s">
        <v>3509</v>
      </c>
      <c r="F237" s="3" t="s">
        <v>3226</v>
      </c>
      <c r="G237" s="3" t="s">
        <v>1887</v>
      </c>
      <c r="H237" s="3" t="s">
        <v>19</v>
      </c>
      <c r="I237" s="3" t="s">
        <v>19</v>
      </c>
      <c r="J237" s="3" t="s">
        <v>19</v>
      </c>
      <c r="K237" s="3" t="s">
        <v>21</v>
      </c>
      <c r="L237" s="3" t="s">
        <v>147</v>
      </c>
      <c r="M237" s="4">
        <v>985</v>
      </c>
      <c r="N237" s="3" t="s">
        <v>2174</v>
      </c>
      <c r="O237" s="3" t="s">
        <v>24</v>
      </c>
    </row>
    <row r="238" spans="1:15" hidden="1" x14ac:dyDescent="0.4">
      <c r="A238" s="7">
        <v>237</v>
      </c>
      <c r="B238" s="8" t="s">
        <v>1222</v>
      </c>
      <c r="C238" s="6" t="str">
        <f>IFERROR(IF(LEFT(D238,FIND(" ",D238)-1)="전라북도","전북특별자치도",LEFT(D238,FIND(" ",D238)-1)),"")</f>
        <v>부산광역시</v>
      </c>
      <c r="D238" s="3" t="s">
        <v>1223</v>
      </c>
      <c r="E238" s="3" t="s">
        <v>1212</v>
      </c>
      <c r="F238" s="3" t="s">
        <v>1224</v>
      </c>
      <c r="G238" s="3" t="s">
        <v>19</v>
      </c>
      <c r="H238" s="3" t="s">
        <v>380</v>
      </c>
      <c r="I238" s="3" t="s">
        <v>19</v>
      </c>
      <c r="J238" s="3" t="s">
        <v>1226</v>
      </c>
      <c r="K238" s="3" t="s">
        <v>21</v>
      </c>
      <c r="L238" s="3" t="s">
        <v>147</v>
      </c>
      <c r="M238" s="4">
        <v>2455</v>
      </c>
      <c r="N238" s="3" t="s">
        <v>23</v>
      </c>
      <c r="O238" s="3" t="s">
        <v>281</v>
      </c>
    </row>
    <row r="239" spans="1:15" ht="22.05" customHeight="1" x14ac:dyDescent="0.4">
      <c r="A239" s="7">
        <v>781</v>
      </c>
      <c r="B239" s="8" t="s">
        <v>3636</v>
      </c>
      <c r="C239" s="6" t="str">
        <f>IFERROR(IF(LEFT(D239,FIND(" ",D239)-1)="전라북도","전북특별자치도",LEFT(D239,FIND(" ",D239)-1)),"")</f>
        <v>경상북도</v>
      </c>
      <c r="D239" s="3" t="s">
        <v>3637</v>
      </c>
      <c r="E239" s="3" t="s">
        <v>3633</v>
      </c>
      <c r="F239" s="3" t="s">
        <v>3412</v>
      </c>
      <c r="G239" s="3" t="s">
        <v>3638</v>
      </c>
      <c r="H239" s="3" t="s">
        <v>222</v>
      </c>
      <c r="I239" s="3" t="s">
        <v>222</v>
      </c>
      <c r="J239" s="3" t="s">
        <v>3639</v>
      </c>
      <c r="K239" s="3" t="s">
        <v>21</v>
      </c>
      <c r="L239" s="3" t="s">
        <v>22</v>
      </c>
      <c r="M239" s="4">
        <v>1543</v>
      </c>
      <c r="N239" s="3" t="s">
        <v>3616</v>
      </c>
      <c r="O239" s="3" t="s">
        <v>24</v>
      </c>
    </row>
    <row r="240" spans="1:15" ht="22.05" customHeight="1" x14ac:dyDescent="0.4">
      <c r="A240" s="7">
        <v>207</v>
      </c>
      <c r="B240" s="8" t="s">
        <v>1075</v>
      </c>
      <c r="C240" s="6" t="str">
        <f>IFERROR(IF(LEFT(D240,FIND(" ",D240)-1)="전라북도","전북특별자치도",LEFT(D240,FIND(" ",D240)-1)),"")</f>
        <v>광주광역시</v>
      </c>
      <c r="D240" s="3" t="s">
        <v>1076</v>
      </c>
      <c r="E240" s="3" t="s">
        <v>1077</v>
      </c>
      <c r="F240" s="3" t="s">
        <v>1078</v>
      </c>
      <c r="G240" s="3" t="s">
        <v>1079</v>
      </c>
      <c r="H240" s="3" t="s">
        <v>1080</v>
      </c>
      <c r="I240" s="3" t="s">
        <v>1080</v>
      </c>
      <c r="J240" s="3" t="s">
        <v>19</v>
      </c>
      <c r="K240" s="3" t="s">
        <v>21</v>
      </c>
      <c r="L240" s="3" t="s">
        <v>22</v>
      </c>
      <c r="M240" s="4">
        <v>487</v>
      </c>
      <c r="N240" s="3" t="s">
        <v>23</v>
      </c>
      <c r="O240" s="3" t="s">
        <v>24</v>
      </c>
    </row>
    <row r="241" spans="1:15" hidden="1" x14ac:dyDescent="0.4">
      <c r="A241" s="7">
        <v>240</v>
      </c>
      <c r="B241" s="8" t="s">
        <v>1239</v>
      </c>
      <c r="C241" s="6" t="str">
        <f>IFERROR(IF(LEFT(D241,FIND(" ",D241)-1)="전라북도","전북특별자치도",LEFT(D241,FIND(" ",D241)-1)),"")</f>
        <v>전라남도</v>
      </c>
      <c r="D241" s="3" t="s">
        <v>1240</v>
      </c>
      <c r="E241" s="3" t="s">
        <v>793</v>
      </c>
      <c r="F241" s="3" t="s">
        <v>1130</v>
      </c>
      <c r="G241" s="3" t="s">
        <v>1242</v>
      </c>
      <c r="H241" s="3" t="s">
        <v>128</v>
      </c>
      <c r="I241" s="3" t="s">
        <v>128</v>
      </c>
      <c r="J241" s="3" t="s">
        <v>19</v>
      </c>
      <c r="K241" s="3" t="s">
        <v>21</v>
      </c>
      <c r="L241" s="3" t="s">
        <v>22</v>
      </c>
      <c r="M241" s="4">
        <v>262</v>
      </c>
      <c r="N241" s="3" t="s">
        <v>129</v>
      </c>
      <c r="O241" s="3" t="s">
        <v>281</v>
      </c>
    </row>
    <row r="242" spans="1:15" hidden="1" x14ac:dyDescent="0.4">
      <c r="A242" s="7">
        <v>241</v>
      </c>
      <c r="B242" s="8" t="s">
        <v>1243</v>
      </c>
      <c r="C242" s="6" t="str">
        <f>IFERROR(IF(LEFT(D242,FIND(" ",D242)-1)="전라북도","전북특별자치도",LEFT(D242,FIND(" ",D242)-1)),"")</f>
        <v>제주특별자치도</v>
      </c>
      <c r="D242" s="3" t="s">
        <v>1244</v>
      </c>
      <c r="E242" s="3" t="s">
        <v>1245</v>
      </c>
      <c r="F242" s="3" t="s">
        <v>1212</v>
      </c>
      <c r="G242" s="3" t="s">
        <v>1246</v>
      </c>
      <c r="H242" s="3" t="s">
        <v>1247</v>
      </c>
      <c r="I242" s="3" t="s">
        <v>19</v>
      </c>
      <c r="J242" s="3" t="s">
        <v>19</v>
      </c>
      <c r="K242" s="3" t="s">
        <v>21</v>
      </c>
      <c r="L242" s="3" t="s">
        <v>22</v>
      </c>
      <c r="M242" s="4">
        <v>729</v>
      </c>
      <c r="N242" s="3" t="s">
        <v>1248</v>
      </c>
      <c r="O242" s="3" t="s">
        <v>281</v>
      </c>
    </row>
    <row r="243" spans="1:15" ht="22.05" customHeight="1" x14ac:dyDescent="0.4">
      <c r="A243" s="7">
        <v>62</v>
      </c>
      <c r="B243" s="8" t="s">
        <v>345</v>
      </c>
      <c r="C243" s="6" t="str">
        <f>IFERROR(IF(LEFT(D243,FIND(" ",D243)-1)="전라북도","전북특별자치도",LEFT(D243,FIND(" ",D243)-1)),"")</f>
        <v>대구광역시</v>
      </c>
      <c r="D243" s="3" t="s">
        <v>346</v>
      </c>
      <c r="E243" s="3" t="s">
        <v>347</v>
      </c>
      <c r="F243" s="3" t="s">
        <v>348</v>
      </c>
      <c r="G243" s="3" t="s">
        <v>19</v>
      </c>
      <c r="H243" s="3" t="s">
        <v>349</v>
      </c>
      <c r="I243" s="3" t="s">
        <v>19</v>
      </c>
      <c r="J243" s="3" t="s">
        <v>19</v>
      </c>
      <c r="K243" s="3" t="s">
        <v>21</v>
      </c>
      <c r="L243" s="3" t="s">
        <v>22</v>
      </c>
      <c r="M243" s="4">
        <v>1996</v>
      </c>
      <c r="N243" s="3" t="s">
        <v>23</v>
      </c>
      <c r="O243" s="3" t="s">
        <v>24</v>
      </c>
    </row>
    <row r="244" spans="1:15" hidden="1" x14ac:dyDescent="0.4">
      <c r="A244" s="7">
        <v>243</v>
      </c>
      <c r="B244" s="8" t="s">
        <v>1253</v>
      </c>
      <c r="C244" s="6" t="str">
        <f>IFERROR(IF(LEFT(D244,FIND(" ",D244)-1)="전라북도","전북특별자치도",LEFT(D244,FIND(" ",D244)-1)),"")</f>
        <v>경기도</v>
      </c>
      <c r="D244" s="3" t="s">
        <v>1254</v>
      </c>
      <c r="E244" s="3" t="s">
        <v>1108</v>
      </c>
      <c r="F244" s="3" t="s">
        <v>1255</v>
      </c>
      <c r="G244" s="3" t="s">
        <v>1109</v>
      </c>
      <c r="H244" s="3" t="s">
        <v>1110</v>
      </c>
      <c r="I244" s="3" t="s">
        <v>1110</v>
      </c>
      <c r="J244" s="3" t="s">
        <v>19</v>
      </c>
      <c r="K244" s="3" t="s">
        <v>21</v>
      </c>
      <c r="L244" s="3" t="s">
        <v>22</v>
      </c>
      <c r="M244" s="4">
        <v>298</v>
      </c>
      <c r="N244" s="3" t="s">
        <v>23</v>
      </c>
      <c r="O244" s="3" t="s">
        <v>281</v>
      </c>
    </row>
    <row r="245" spans="1:15" hidden="1" x14ac:dyDescent="0.4">
      <c r="A245" s="7">
        <v>244</v>
      </c>
      <c r="B245" s="8" t="s">
        <v>1256</v>
      </c>
      <c r="C245" s="6" t="str">
        <f>IFERROR(IF(LEFT(D245,FIND(" ",D245)-1)="전라북도","전북특별자치도",LEFT(D245,FIND(" ",D245)-1)),"")</f>
        <v>경기도</v>
      </c>
      <c r="D245" s="3" t="s">
        <v>1257</v>
      </c>
      <c r="E245" s="3" t="s">
        <v>1108</v>
      </c>
      <c r="F245" s="3" t="s">
        <v>1255</v>
      </c>
      <c r="G245" s="3" t="s">
        <v>1109</v>
      </c>
      <c r="H245" s="3" t="s">
        <v>1110</v>
      </c>
      <c r="I245" s="3" t="s">
        <v>1110</v>
      </c>
      <c r="J245" s="3" t="s">
        <v>19</v>
      </c>
      <c r="K245" s="3" t="s">
        <v>21</v>
      </c>
      <c r="L245" s="3" t="s">
        <v>22</v>
      </c>
      <c r="M245" s="4">
        <v>298</v>
      </c>
      <c r="N245" s="3" t="s">
        <v>23</v>
      </c>
      <c r="O245" s="3" t="s">
        <v>281</v>
      </c>
    </row>
    <row r="246" spans="1:15" hidden="1" x14ac:dyDescent="0.4">
      <c r="A246" s="7">
        <v>245</v>
      </c>
      <c r="B246" s="8" t="s">
        <v>1258</v>
      </c>
      <c r="C246" s="6" t="str">
        <f>IFERROR(IF(LEFT(D246,FIND(" ",D246)-1)="전라북도","전북특별자치도",LEFT(D246,FIND(" ",D246)-1)),"")</f>
        <v>경기도</v>
      </c>
      <c r="D246" s="3" t="s">
        <v>1259</v>
      </c>
      <c r="E246" s="3" t="s">
        <v>1108</v>
      </c>
      <c r="F246" s="3" t="s">
        <v>1255</v>
      </c>
      <c r="G246" s="3" t="s">
        <v>1109</v>
      </c>
      <c r="H246" s="3" t="s">
        <v>1110</v>
      </c>
      <c r="I246" s="3" t="s">
        <v>1110</v>
      </c>
      <c r="J246" s="3" t="s">
        <v>19</v>
      </c>
      <c r="K246" s="3" t="s">
        <v>21</v>
      </c>
      <c r="L246" s="3" t="s">
        <v>22</v>
      </c>
      <c r="M246" s="4">
        <v>298</v>
      </c>
      <c r="N246" s="3" t="s">
        <v>23</v>
      </c>
      <c r="O246" s="3" t="s">
        <v>281</v>
      </c>
    </row>
    <row r="247" spans="1:15" hidden="1" x14ac:dyDescent="0.4">
      <c r="A247" s="7">
        <v>246</v>
      </c>
      <c r="B247" s="8" t="s">
        <v>1260</v>
      </c>
      <c r="C247" s="6" t="str">
        <f>IFERROR(IF(LEFT(D247,FIND(" ",D247)-1)="전라북도","전북특별자치도",LEFT(D247,FIND(" ",D247)-1)),"")</f>
        <v>경기도</v>
      </c>
      <c r="D247" s="3" t="s">
        <v>1261</v>
      </c>
      <c r="E247" s="3" t="s">
        <v>1108</v>
      </c>
      <c r="F247" s="3" t="s">
        <v>1255</v>
      </c>
      <c r="G247" s="3" t="s">
        <v>1109</v>
      </c>
      <c r="H247" s="3" t="s">
        <v>1110</v>
      </c>
      <c r="I247" s="3" t="s">
        <v>1110</v>
      </c>
      <c r="J247" s="3" t="s">
        <v>19</v>
      </c>
      <c r="K247" s="3" t="s">
        <v>21</v>
      </c>
      <c r="L247" s="3" t="s">
        <v>22</v>
      </c>
      <c r="M247" s="4">
        <v>298</v>
      </c>
      <c r="N247" s="3" t="s">
        <v>23</v>
      </c>
      <c r="O247" s="3" t="s">
        <v>281</v>
      </c>
    </row>
    <row r="248" spans="1:15" ht="22.05" customHeight="1" x14ac:dyDescent="0.4">
      <c r="A248" s="7">
        <v>84</v>
      </c>
      <c r="B248" s="8" t="s">
        <v>454</v>
      </c>
      <c r="C248" s="6" t="str">
        <f>IFERROR(IF(LEFT(D248,FIND(" ",D248)-1)="전라북도","전북특별자치도",LEFT(D248,FIND(" ",D248)-1)),"")</f>
        <v>대구광역시</v>
      </c>
      <c r="D248" s="3" t="s">
        <v>455</v>
      </c>
      <c r="E248" s="3" t="s">
        <v>456</v>
      </c>
      <c r="F248" s="3" t="s">
        <v>457</v>
      </c>
      <c r="G248" s="3" t="s">
        <v>19</v>
      </c>
      <c r="H248" s="3" t="s">
        <v>458</v>
      </c>
      <c r="I248" s="3" t="s">
        <v>19</v>
      </c>
      <c r="J248" s="3" t="s">
        <v>459</v>
      </c>
      <c r="K248" s="3" t="s">
        <v>21</v>
      </c>
      <c r="L248" s="3" t="s">
        <v>22</v>
      </c>
      <c r="M248" s="4">
        <v>10680</v>
      </c>
      <c r="N248" s="3" t="s">
        <v>23</v>
      </c>
      <c r="O248" s="3" t="s">
        <v>24</v>
      </c>
    </row>
    <row r="249" spans="1:15" ht="22.05" customHeight="1" x14ac:dyDescent="0.4">
      <c r="A249" s="7">
        <v>601</v>
      </c>
      <c r="B249" s="8" t="s">
        <v>2921</v>
      </c>
      <c r="C249" s="6" t="str">
        <f>IFERROR(IF(LEFT(D249,FIND(" ",D249)-1)="전라북도","전북특별자치도",LEFT(D249,FIND(" ",D249)-1)),"")</f>
        <v>대구광역시</v>
      </c>
      <c r="D249" s="3" t="s">
        <v>2922</v>
      </c>
      <c r="E249" s="3" t="s">
        <v>779</v>
      </c>
      <c r="F249" s="3" t="s">
        <v>2900</v>
      </c>
      <c r="G249" s="3" t="s">
        <v>2923</v>
      </c>
      <c r="H249" s="3" t="s">
        <v>2924</v>
      </c>
      <c r="I249" s="3" t="s">
        <v>2924</v>
      </c>
      <c r="J249" s="3" t="s">
        <v>19</v>
      </c>
      <c r="K249" s="3" t="s">
        <v>21</v>
      </c>
      <c r="L249" s="3" t="s">
        <v>228</v>
      </c>
      <c r="M249" s="4">
        <v>2212</v>
      </c>
      <c r="N249" s="3" t="s">
        <v>1498</v>
      </c>
      <c r="O249" s="3" t="s">
        <v>24</v>
      </c>
    </row>
    <row r="250" spans="1:15" ht="22.05" customHeight="1" x14ac:dyDescent="0.4">
      <c r="A250" s="7">
        <v>105</v>
      </c>
      <c r="B250" s="8" t="s">
        <v>551</v>
      </c>
      <c r="C250" s="6" t="str">
        <f>IFERROR(IF(LEFT(D250,FIND(" ",D250)-1)="전라북도","전북특별자치도",LEFT(D250,FIND(" ",D250)-1)),"")</f>
        <v>대전광역시</v>
      </c>
      <c r="D250" s="3" t="s">
        <v>552</v>
      </c>
      <c r="E250" s="3" t="s">
        <v>553</v>
      </c>
      <c r="F250" s="3" t="s">
        <v>554</v>
      </c>
      <c r="G250" s="3" t="s">
        <v>19</v>
      </c>
      <c r="H250" s="3" t="s">
        <v>555</v>
      </c>
      <c r="I250" s="3" t="s">
        <v>19</v>
      </c>
      <c r="J250" s="3" t="s">
        <v>556</v>
      </c>
      <c r="K250" s="3" t="s">
        <v>21</v>
      </c>
      <c r="L250" s="3" t="s">
        <v>22</v>
      </c>
      <c r="M250" s="4">
        <v>6423</v>
      </c>
      <c r="N250" s="3" t="s">
        <v>23</v>
      </c>
      <c r="O250" s="3" t="s">
        <v>24</v>
      </c>
    </row>
    <row r="251" spans="1:15" ht="22.05" customHeight="1" x14ac:dyDescent="0.4">
      <c r="A251" s="7">
        <v>30</v>
      </c>
      <c r="B251" s="8" t="s">
        <v>179</v>
      </c>
      <c r="C251" s="6" t="str">
        <f>IFERROR(IF(LEFT(D251,FIND(" ",D251)-1)="전라북도","전북특별자치도",LEFT(D251,FIND(" ",D251)-1)),"")</f>
        <v>부산광역시</v>
      </c>
      <c r="D251" s="3" t="s">
        <v>180</v>
      </c>
      <c r="E251" s="3" t="s">
        <v>181</v>
      </c>
      <c r="F251" s="3" t="s">
        <v>182</v>
      </c>
      <c r="G251" s="3" t="s">
        <v>19</v>
      </c>
      <c r="H251" s="3" t="s">
        <v>183</v>
      </c>
      <c r="I251" s="3" t="s">
        <v>19</v>
      </c>
      <c r="J251" s="3" t="s">
        <v>184</v>
      </c>
      <c r="K251" s="3" t="s">
        <v>21</v>
      </c>
      <c r="L251" s="3" t="s">
        <v>22</v>
      </c>
      <c r="M251" s="4">
        <v>14453</v>
      </c>
      <c r="N251" s="3" t="s">
        <v>23</v>
      </c>
      <c r="O251" s="3" t="s">
        <v>24</v>
      </c>
    </row>
    <row r="252" spans="1:15" ht="22.05" customHeight="1" x14ac:dyDescent="0.4">
      <c r="A252" s="7">
        <v>34</v>
      </c>
      <c r="B252" s="8" t="s">
        <v>201</v>
      </c>
      <c r="C252" s="6" t="str">
        <f>IFERROR(IF(LEFT(D252,FIND(" ",D252)-1)="전라북도","전북특별자치도",LEFT(D252,FIND(" ",D252)-1)),"")</f>
        <v>부산광역시</v>
      </c>
      <c r="D252" s="3" t="s">
        <v>202</v>
      </c>
      <c r="E252" s="3" t="s">
        <v>203</v>
      </c>
      <c r="F252" s="3" t="s">
        <v>204</v>
      </c>
      <c r="G252" s="3" t="s">
        <v>19</v>
      </c>
      <c r="H252" s="3" t="s">
        <v>205</v>
      </c>
      <c r="I252" s="3" t="s">
        <v>19</v>
      </c>
      <c r="J252" s="3" t="s">
        <v>19</v>
      </c>
      <c r="K252" s="3" t="s">
        <v>21</v>
      </c>
      <c r="L252" s="3" t="s">
        <v>22</v>
      </c>
      <c r="M252" s="4">
        <v>2000</v>
      </c>
      <c r="N252" s="3" t="s">
        <v>23</v>
      </c>
      <c r="O252" s="3" t="s">
        <v>24</v>
      </c>
    </row>
    <row r="253" spans="1:15" hidden="1" x14ac:dyDescent="0.4">
      <c r="A253" s="7">
        <v>252</v>
      </c>
      <c r="B253" s="8" t="s">
        <v>1285</v>
      </c>
      <c r="C253" s="6" t="str">
        <f>IFERROR(IF(LEFT(D253,FIND(" ",D253)-1)="전라북도","전북특별자치도",LEFT(D253,FIND(" ",D253)-1)),"")</f>
        <v>제주특별자치도</v>
      </c>
      <c r="D253" s="3" t="s">
        <v>1286</v>
      </c>
      <c r="E253" s="3" t="s">
        <v>171</v>
      </c>
      <c r="F253" s="3" t="s">
        <v>1287</v>
      </c>
      <c r="G253" s="3" t="s">
        <v>838</v>
      </c>
      <c r="H253" s="3" t="s">
        <v>1289</v>
      </c>
      <c r="I253" s="3" t="s">
        <v>1289</v>
      </c>
      <c r="J253" s="3" t="s">
        <v>1290</v>
      </c>
      <c r="K253" s="3" t="s">
        <v>21</v>
      </c>
      <c r="L253" s="3" t="s">
        <v>22</v>
      </c>
      <c r="M253" s="4">
        <v>471</v>
      </c>
      <c r="N253" s="3" t="s">
        <v>23</v>
      </c>
      <c r="O253" s="3" t="s">
        <v>281</v>
      </c>
    </row>
    <row r="254" spans="1:15" ht="22.05" customHeight="1" x14ac:dyDescent="0.4">
      <c r="A254" s="7">
        <v>44</v>
      </c>
      <c r="B254" s="8" t="s">
        <v>258</v>
      </c>
      <c r="C254" s="6" t="str">
        <f>IFERROR(IF(LEFT(D254,FIND(" ",D254)-1)="전라북도","전북특별자치도",LEFT(D254,FIND(" ",D254)-1)),"")</f>
        <v>부산광역시</v>
      </c>
      <c r="D254" s="3" t="s">
        <v>259</v>
      </c>
      <c r="E254" s="3" t="s">
        <v>254</v>
      </c>
      <c r="F254" s="3" t="s">
        <v>260</v>
      </c>
      <c r="G254" s="3" t="s">
        <v>19</v>
      </c>
      <c r="H254" s="3" t="s">
        <v>261</v>
      </c>
      <c r="I254" s="3" t="s">
        <v>19</v>
      </c>
      <c r="J254" s="3" t="s">
        <v>262</v>
      </c>
      <c r="K254" s="3" t="s">
        <v>21</v>
      </c>
      <c r="L254" s="3" t="s">
        <v>22</v>
      </c>
      <c r="M254" s="4">
        <v>8688</v>
      </c>
      <c r="N254" s="3" t="s">
        <v>23</v>
      </c>
      <c r="O254" s="3" t="s">
        <v>24</v>
      </c>
    </row>
    <row r="255" spans="1:15" ht="22.05" customHeight="1" x14ac:dyDescent="0.4">
      <c r="A255" s="7">
        <v>68</v>
      </c>
      <c r="B255" s="8" t="s">
        <v>373</v>
      </c>
      <c r="C255" s="6" t="str">
        <f>IFERROR(IF(LEFT(D255,FIND(" ",D255)-1)="전라북도","전북특별자치도",LEFT(D255,FIND(" ",D255)-1)),"")</f>
        <v>부산광역시</v>
      </c>
      <c r="D255" s="3" t="s">
        <v>374</v>
      </c>
      <c r="E255" s="3" t="s">
        <v>375</v>
      </c>
      <c r="F255" s="3" t="s">
        <v>35</v>
      </c>
      <c r="G255" s="3" t="s">
        <v>19</v>
      </c>
      <c r="H255" s="3" t="s">
        <v>376</v>
      </c>
      <c r="I255" s="3" t="s">
        <v>19</v>
      </c>
      <c r="J255" s="3" t="s">
        <v>19</v>
      </c>
      <c r="K255" s="3" t="s">
        <v>21</v>
      </c>
      <c r="L255" s="3" t="s">
        <v>22</v>
      </c>
      <c r="M255" s="4">
        <v>12142</v>
      </c>
      <c r="N255" s="3" t="s">
        <v>23</v>
      </c>
      <c r="O255" s="3" t="s">
        <v>24</v>
      </c>
    </row>
    <row r="256" spans="1:15" hidden="1" x14ac:dyDescent="0.4">
      <c r="A256" s="7">
        <v>255</v>
      </c>
      <c r="B256" s="8" t="s">
        <v>1303</v>
      </c>
      <c r="C256" s="6" t="str">
        <f>IFERROR(IF(LEFT(D256,FIND(" ",D256)-1)="전라북도","전북특별자치도",LEFT(D256,FIND(" ",D256)-1)),"")</f>
        <v>경기도</v>
      </c>
      <c r="D256" s="3" t="s">
        <v>1304</v>
      </c>
      <c r="E256" s="3" t="s">
        <v>843</v>
      </c>
      <c r="F256" s="3" t="s">
        <v>1305</v>
      </c>
      <c r="G256" s="3" t="s">
        <v>1306</v>
      </c>
      <c r="H256" s="3" t="s">
        <v>401</v>
      </c>
      <c r="I256" s="3" t="s">
        <v>401</v>
      </c>
      <c r="J256" s="3" t="s">
        <v>19</v>
      </c>
      <c r="K256" s="3" t="s">
        <v>21</v>
      </c>
      <c r="L256" s="3" t="s">
        <v>147</v>
      </c>
      <c r="M256" s="4">
        <v>594</v>
      </c>
      <c r="N256" s="3" t="s">
        <v>23</v>
      </c>
      <c r="O256" s="3" t="s">
        <v>281</v>
      </c>
    </row>
    <row r="257" spans="1:15" ht="22.05" customHeight="1" x14ac:dyDescent="0.4">
      <c r="A257" s="7">
        <v>69</v>
      </c>
      <c r="B257" s="8" t="s">
        <v>377</v>
      </c>
      <c r="C257" s="6" t="str">
        <f>IFERROR(IF(LEFT(D257,FIND(" ",D257)-1)="전라북도","전북특별자치도",LEFT(D257,FIND(" ",D257)-1)),"")</f>
        <v>부산광역시</v>
      </c>
      <c r="D257" s="3" t="s">
        <v>378</v>
      </c>
      <c r="E257" s="3" t="s">
        <v>284</v>
      </c>
      <c r="F257" s="3" t="s">
        <v>352</v>
      </c>
      <c r="G257" s="3" t="s">
        <v>379</v>
      </c>
      <c r="H257" s="3" t="s">
        <v>380</v>
      </c>
      <c r="I257" s="3" t="s">
        <v>19</v>
      </c>
      <c r="J257" s="3" t="s">
        <v>19</v>
      </c>
      <c r="K257" s="3" t="s">
        <v>21</v>
      </c>
      <c r="L257" s="3" t="s">
        <v>228</v>
      </c>
      <c r="M257" s="4">
        <v>974</v>
      </c>
      <c r="N257" s="3" t="s">
        <v>23</v>
      </c>
      <c r="O257" s="3" t="s">
        <v>24</v>
      </c>
    </row>
    <row r="258" spans="1:15" ht="22.05" customHeight="1" x14ac:dyDescent="0.4">
      <c r="A258" s="7">
        <v>78</v>
      </c>
      <c r="B258" s="8" t="s">
        <v>423</v>
      </c>
      <c r="C258" s="6" t="str">
        <f>IFERROR(IF(LEFT(D258,FIND(" ",D258)-1)="전라북도","전북특별자치도",LEFT(D258,FIND(" ",D258)-1)),"")</f>
        <v>부산광역시</v>
      </c>
      <c r="D258" s="3" t="s">
        <v>424</v>
      </c>
      <c r="E258" s="3" t="s">
        <v>425</v>
      </c>
      <c r="F258" s="3" t="s">
        <v>426</v>
      </c>
      <c r="G258" s="3" t="s">
        <v>19</v>
      </c>
      <c r="H258" s="3" t="s">
        <v>427</v>
      </c>
      <c r="I258" s="3" t="s">
        <v>19</v>
      </c>
      <c r="J258" s="3" t="s">
        <v>262</v>
      </c>
      <c r="K258" s="3" t="s">
        <v>21</v>
      </c>
      <c r="L258" s="3" t="s">
        <v>22</v>
      </c>
      <c r="M258" s="4">
        <v>22601</v>
      </c>
      <c r="N258" s="3" t="s">
        <v>23</v>
      </c>
      <c r="O258" s="3" t="s">
        <v>24</v>
      </c>
    </row>
    <row r="259" spans="1:15" ht="22.05" customHeight="1" x14ac:dyDescent="0.4">
      <c r="A259" s="7">
        <v>13</v>
      </c>
      <c r="B259" s="8" t="s">
        <v>85</v>
      </c>
      <c r="C259" s="6" t="str">
        <f>IFERROR(IF(LEFT(D259,FIND(" ",D259)-1)="전라북도","전북특별자치도",LEFT(D259,FIND(" ",D259)-1)),"")</f>
        <v>부산광역시</v>
      </c>
      <c r="D259" s="3" t="s">
        <v>86</v>
      </c>
      <c r="E259" s="3" t="s">
        <v>87</v>
      </c>
      <c r="F259" s="3" t="s">
        <v>88</v>
      </c>
      <c r="G259" s="3" t="s">
        <v>19</v>
      </c>
      <c r="H259" s="3" t="s">
        <v>19</v>
      </c>
      <c r="I259" s="3" t="s">
        <v>19</v>
      </c>
      <c r="J259" s="3" t="s">
        <v>19</v>
      </c>
      <c r="K259" s="3" t="s">
        <v>21</v>
      </c>
      <c r="L259" s="3" t="s">
        <v>22</v>
      </c>
      <c r="M259" s="4">
        <v>22409</v>
      </c>
      <c r="N259" s="3" t="s">
        <v>19</v>
      </c>
      <c r="O259" s="3" t="s">
        <v>24</v>
      </c>
    </row>
    <row r="260" spans="1:15" hidden="1" x14ac:dyDescent="0.4">
      <c r="A260" s="7">
        <v>259</v>
      </c>
      <c r="B260" s="8" t="s">
        <v>1322</v>
      </c>
      <c r="C260" s="6" t="str">
        <f>IFERROR(IF(LEFT(D260,FIND(" ",D260)-1)="전라북도","전북특별자치도",LEFT(D260,FIND(" ",D260)-1)),"")</f>
        <v>강원특별자치도</v>
      </c>
      <c r="D260" s="3" t="s">
        <v>1323</v>
      </c>
      <c r="E260" s="3" t="s">
        <v>1159</v>
      </c>
      <c r="F260" s="3" t="s">
        <v>1319</v>
      </c>
      <c r="G260" s="3" t="s">
        <v>1160</v>
      </c>
      <c r="H260" s="3" t="s">
        <v>1161</v>
      </c>
      <c r="I260" s="3" t="s">
        <v>1162</v>
      </c>
      <c r="J260" s="3" t="s">
        <v>1160</v>
      </c>
      <c r="K260" s="3" t="s">
        <v>21</v>
      </c>
      <c r="L260" s="3" t="s">
        <v>22</v>
      </c>
      <c r="M260" s="4">
        <v>1105</v>
      </c>
      <c r="N260" s="3" t="s">
        <v>23</v>
      </c>
      <c r="O260" s="3" t="s">
        <v>281</v>
      </c>
    </row>
    <row r="261" spans="1:15" ht="22.05" customHeight="1" x14ac:dyDescent="0.4">
      <c r="A261" s="7">
        <v>101</v>
      </c>
      <c r="B261" s="8" t="s">
        <v>531</v>
      </c>
      <c r="C261" s="6" t="str">
        <f>IFERROR(IF(LEFT(D261,FIND(" ",D261)-1)="전라북도","전북특별자치도",LEFT(D261,FIND(" ",D261)-1)),"")</f>
        <v>부산광역시</v>
      </c>
      <c r="D261" s="3" t="s">
        <v>532</v>
      </c>
      <c r="E261" s="3" t="s">
        <v>533</v>
      </c>
      <c r="F261" s="3" t="s">
        <v>534</v>
      </c>
      <c r="G261" s="3" t="s">
        <v>535</v>
      </c>
      <c r="H261" s="3" t="s">
        <v>536</v>
      </c>
      <c r="I261" s="3" t="s">
        <v>536</v>
      </c>
      <c r="J261" s="3" t="s">
        <v>19</v>
      </c>
      <c r="K261" s="3" t="s">
        <v>21</v>
      </c>
      <c r="L261" s="3" t="s">
        <v>147</v>
      </c>
      <c r="M261" s="4">
        <v>3245</v>
      </c>
      <c r="N261" s="3" t="s">
        <v>23</v>
      </c>
      <c r="O261" s="3" t="s">
        <v>24</v>
      </c>
    </row>
    <row r="262" spans="1:15" hidden="1" x14ac:dyDescent="0.4">
      <c r="A262" s="7">
        <v>261</v>
      </c>
      <c r="B262" s="8" t="s">
        <v>1329</v>
      </c>
      <c r="C262" s="6" t="str">
        <f>IFERROR(IF(LEFT(D262,FIND(" ",D262)-1)="전라북도","전북특별자치도",LEFT(D262,FIND(" ",D262)-1)),"")</f>
        <v>강원특별자치도</v>
      </c>
      <c r="D262" s="3" t="s">
        <v>1330</v>
      </c>
      <c r="E262" s="3" t="s">
        <v>1331</v>
      </c>
      <c r="F262" s="3" t="s">
        <v>843</v>
      </c>
      <c r="G262" s="3" t="s">
        <v>1333</v>
      </c>
      <c r="H262" s="3" t="s">
        <v>1334</v>
      </c>
      <c r="I262" s="3" t="s">
        <v>1334</v>
      </c>
      <c r="J262" s="3" t="s">
        <v>19</v>
      </c>
      <c r="K262" s="3" t="s">
        <v>21</v>
      </c>
      <c r="L262" s="3" t="s">
        <v>22</v>
      </c>
      <c r="M262" s="4">
        <v>196</v>
      </c>
      <c r="N262" s="3" t="s">
        <v>129</v>
      </c>
      <c r="O262" s="3" t="s">
        <v>281</v>
      </c>
    </row>
    <row r="263" spans="1:15" ht="22.05" customHeight="1" x14ac:dyDescent="0.4">
      <c r="A263" s="7">
        <v>115</v>
      </c>
      <c r="B263" s="8" t="s">
        <v>604</v>
      </c>
      <c r="C263" s="6" t="str">
        <f>IFERROR(IF(LEFT(D263,FIND(" ",D263)-1)="전라북도","전북특별자치도",LEFT(D263,FIND(" ",D263)-1)),"")</f>
        <v>부산광역시</v>
      </c>
      <c r="D263" s="3" t="s">
        <v>605</v>
      </c>
      <c r="E263" s="3" t="s">
        <v>606</v>
      </c>
      <c r="F263" s="3" t="s">
        <v>586</v>
      </c>
      <c r="G263" s="3" t="s">
        <v>19</v>
      </c>
      <c r="H263" s="3" t="s">
        <v>536</v>
      </c>
      <c r="I263" s="3" t="s">
        <v>19</v>
      </c>
      <c r="J263" s="3" t="s">
        <v>607</v>
      </c>
      <c r="K263" s="3" t="s">
        <v>21</v>
      </c>
      <c r="L263" s="3" t="s">
        <v>22</v>
      </c>
      <c r="M263" s="4">
        <v>13696</v>
      </c>
      <c r="N263" s="3" t="s">
        <v>23</v>
      </c>
      <c r="O263" s="3" t="s">
        <v>24</v>
      </c>
    </row>
    <row r="264" spans="1:15" ht="22.05" customHeight="1" x14ac:dyDescent="0.4">
      <c r="A264" s="7">
        <v>116</v>
      </c>
      <c r="B264" s="8" t="s">
        <v>608</v>
      </c>
      <c r="C264" s="6" t="str">
        <f>IFERROR(IF(LEFT(D264,FIND(" ",D264)-1)="전라북도","전북특별자치도",LEFT(D264,FIND(" ",D264)-1)),"")</f>
        <v>부산광역시</v>
      </c>
      <c r="D264" s="3" t="s">
        <v>609</v>
      </c>
      <c r="E264" s="3" t="s">
        <v>466</v>
      </c>
      <c r="F264" s="3" t="s">
        <v>610</v>
      </c>
      <c r="G264" s="3" t="s">
        <v>19</v>
      </c>
      <c r="H264" s="3" t="s">
        <v>151</v>
      </c>
      <c r="I264" s="3" t="s">
        <v>19</v>
      </c>
      <c r="J264" s="3" t="s">
        <v>611</v>
      </c>
      <c r="K264" s="3" t="s">
        <v>21</v>
      </c>
      <c r="L264" s="3" t="s">
        <v>22</v>
      </c>
      <c r="M264" s="4">
        <v>80917</v>
      </c>
      <c r="N264" s="3" t="s">
        <v>23</v>
      </c>
      <c r="O264" s="3" t="s">
        <v>24</v>
      </c>
    </row>
    <row r="265" spans="1:15" hidden="1" x14ac:dyDescent="0.4">
      <c r="A265" s="7">
        <v>264</v>
      </c>
      <c r="B265" s="8" t="s">
        <v>1343</v>
      </c>
      <c r="C265" s="6" t="str">
        <f>IFERROR(IF(LEFT(D265,FIND(" ",D265)-1)="전라북도","전북특별자치도",LEFT(D265,FIND(" ",D265)-1)),"")</f>
        <v>충청북도</v>
      </c>
      <c r="D265" s="3" t="s">
        <v>1344</v>
      </c>
      <c r="E265" s="3" t="s">
        <v>1345</v>
      </c>
      <c r="F265" s="3" t="s">
        <v>1346</v>
      </c>
      <c r="G265" s="3" t="s">
        <v>1348</v>
      </c>
      <c r="H265" s="3" t="s">
        <v>1189</v>
      </c>
      <c r="I265" s="3" t="s">
        <v>1189</v>
      </c>
      <c r="J265" s="3" t="s">
        <v>1349</v>
      </c>
      <c r="K265" s="3" t="s">
        <v>21</v>
      </c>
      <c r="L265" s="3" t="s">
        <v>22</v>
      </c>
      <c r="M265" s="4">
        <v>1446</v>
      </c>
      <c r="N265" s="3" t="s">
        <v>23</v>
      </c>
      <c r="O265" s="3" t="s">
        <v>281</v>
      </c>
    </row>
    <row r="266" spans="1:15" hidden="1" x14ac:dyDescent="0.4">
      <c r="A266" s="7">
        <v>265</v>
      </c>
      <c r="B266" s="8" t="s">
        <v>1350</v>
      </c>
      <c r="C266" s="6" t="str">
        <f>IFERROR(IF(LEFT(D266,FIND(" ",D266)-1)="전라북도","전북특별자치도",LEFT(D266,FIND(" ",D266)-1)),"")</f>
        <v>충청북도</v>
      </c>
      <c r="D266" s="3" t="s">
        <v>1351</v>
      </c>
      <c r="E266" s="3" t="s">
        <v>1352</v>
      </c>
      <c r="F266" s="3" t="s">
        <v>1206</v>
      </c>
      <c r="G266" s="3" t="s">
        <v>1353</v>
      </c>
      <c r="H266" s="3" t="s">
        <v>1353</v>
      </c>
      <c r="I266" s="3" t="s">
        <v>19</v>
      </c>
      <c r="J266" s="3" t="s">
        <v>1353</v>
      </c>
      <c r="K266" s="3" t="s">
        <v>1354</v>
      </c>
      <c r="L266" s="3" t="s">
        <v>147</v>
      </c>
      <c r="M266" s="4">
        <v>2998</v>
      </c>
      <c r="N266" s="3" t="s">
        <v>23</v>
      </c>
      <c r="O266" s="3" t="s">
        <v>281</v>
      </c>
    </row>
    <row r="267" spans="1:15" hidden="1" x14ac:dyDescent="0.4">
      <c r="A267" s="7">
        <v>266</v>
      </c>
      <c r="B267" s="8" t="s">
        <v>1355</v>
      </c>
      <c r="C267" s="6" t="str">
        <f>IFERROR(IF(LEFT(D267,FIND(" ",D267)-1)="전라북도","전북특별자치도",LEFT(D267,FIND(" ",D267)-1)),"")</f>
        <v>경기도</v>
      </c>
      <c r="D267" s="3" t="s">
        <v>1356</v>
      </c>
      <c r="E267" s="3" t="s">
        <v>1357</v>
      </c>
      <c r="F267" s="3" t="s">
        <v>1206</v>
      </c>
      <c r="G267" s="3" t="s">
        <v>1306</v>
      </c>
      <c r="H267" s="3" t="s">
        <v>953</v>
      </c>
      <c r="I267" s="3" t="s">
        <v>953</v>
      </c>
      <c r="J267" s="3" t="s">
        <v>19</v>
      </c>
      <c r="K267" s="3" t="s">
        <v>21</v>
      </c>
      <c r="L267" s="3" t="s">
        <v>22</v>
      </c>
      <c r="M267" s="4">
        <v>337</v>
      </c>
      <c r="N267" s="3" t="s">
        <v>84</v>
      </c>
      <c r="O267" s="3" t="s">
        <v>281</v>
      </c>
    </row>
    <row r="268" spans="1:15" hidden="1" x14ac:dyDescent="0.4">
      <c r="A268" s="7">
        <v>267</v>
      </c>
      <c r="B268" s="8" t="s">
        <v>1359</v>
      </c>
      <c r="C268" s="6" t="str">
        <f>IFERROR(IF(LEFT(D268,FIND(" ",D268)-1)="전라북도","전북특별자치도",LEFT(D268,FIND(" ",D268)-1)),"")</f>
        <v>충청남도</v>
      </c>
      <c r="D268" s="3" t="s">
        <v>1360</v>
      </c>
      <c r="E268" s="3" t="s">
        <v>1345</v>
      </c>
      <c r="F268" s="3" t="s">
        <v>1361</v>
      </c>
      <c r="G268" s="3" t="s">
        <v>19</v>
      </c>
      <c r="H268" s="3" t="s">
        <v>1363</v>
      </c>
      <c r="I268" s="3" t="s">
        <v>1363</v>
      </c>
      <c r="J268" s="3" t="s">
        <v>19</v>
      </c>
      <c r="K268" s="3" t="s">
        <v>21</v>
      </c>
      <c r="L268" s="3" t="s">
        <v>22</v>
      </c>
      <c r="M268" s="4">
        <v>1069</v>
      </c>
      <c r="N268" s="3" t="s">
        <v>129</v>
      </c>
      <c r="O268" s="3" t="s">
        <v>281</v>
      </c>
    </row>
    <row r="269" spans="1:15" ht="22.05" customHeight="1" x14ac:dyDescent="0.4">
      <c r="A269" s="7">
        <v>153</v>
      </c>
      <c r="B269" s="8" t="s">
        <v>791</v>
      </c>
      <c r="C269" s="6" t="str">
        <f>IFERROR(IF(LEFT(D269,FIND(" ",D269)-1)="전라북도","전북특별자치도",LEFT(D269,FIND(" ",D269)-1)),"")</f>
        <v>부산광역시</v>
      </c>
      <c r="D269" s="3" t="s">
        <v>792</v>
      </c>
      <c r="E269" s="3" t="s">
        <v>793</v>
      </c>
      <c r="F269" s="3" t="s">
        <v>794</v>
      </c>
      <c r="G269" s="3" t="s">
        <v>795</v>
      </c>
      <c r="H269" s="3" t="s">
        <v>796</v>
      </c>
      <c r="I269" s="3" t="s">
        <v>797</v>
      </c>
      <c r="J269" s="3" t="s">
        <v>798</v>
      </c>
      <c r="K269" s="3" t="s">
        <v>21</v>
      </c>
      <c r="L269" s="3" t="s">
        <v>22</v>
      </c>
      <c r="M269" s="4">
        <v>3975</v>
      </c>
      <c r="N269" s="3" t="s">
        <v>23</v>
      </c>
      <c r="O269" s="3" t="s">
        <v>24</v>
      </c>
    </row>
    <row r="270" spans="1:15" hidden="1" x14ac:dyDescent="0.4">
      <c r="A270" s="7">
        <v>269</v>
      </c>
      <c r="B270" s="8" t="s">
        <v>1370</v>
      </c>
      <c r="C270" s="6" t="str">
        <f>IFERROR(IF(LEFT(D270,FIND(" ",D270)-1)="전라북도","전북특별자치도",LEFT(D270,FIND(" ",D270)-1)),"")</f>
        <v>경기도</v>
      </c>
      <c r="D270" s="3" t="s">
        <v>1371</v>
      </c>
      <c r="E270" s="3" t="s">
        <v>1372</v>
      </c>
      <c r="F270" s="3" t="s">
        <v>1373</v>
      </c>
      <c r="G270" s="3" t="s">
        <v>1375</v>
      </c>
      <c r="H270" s="3" t="s">
        <v>1376</v>
      </c>
      <c r="I270" s="3" t="s">
        <v>1377</v>
      </c>
      <c r="J270" s="3" t="s">
        <v>1378</v>
      </c>
      <c r="K270" s="3" t="s">
        <v>21</v>
      </c>
      <c r="L270" s="3" t="s">
        <v>22</v>
      </c>
      <c r="M270" s="4">
        <v>1665</v>
      </c>
      <c r="N270" s="3" t="s">
        <v>23</v>
      </c>
      <c r="O270" s="3" t="s">
        <v>281</v>
      </c>
    </row>
    <row r="271" spans="1:15" ht="22.05" customHeight="1" x14ac:dyDescent="0.4">
      <c r="A271" s="7">
        <v>732</v>
      </c>
      <c r="B271" s="8" t="s">
        <v>3465</v>
      </c>
      <c r="C271" s="6" t="str">
        <f>IFERROR(IF(LEFT(D271,FIND(" ",D271)-1)="전라북도","전북특별자치도",LEFT(D271,FIND(" ",D271)-1)),"")</f>
        <v>부산광역시</v>
      </c>
      <c r="D271" s="3" t="s">
        <v>3466</v>
      </c>
      <c r="E271" s="3" t="s">
        <v>1099</v>
      </c>
      <c r="F271" s="3" t="s">
        <v>3464</v>
      </c>
      <c r="G271" s="3" t="s">
        <v>3467</v>
      </c>
      <c r="H271" s="3" t="s">
        <v>3468</v>
      </c>
      <c r="I271" s="3" t="s">
        <v>3469</v>
      </c>
      <c r="J271" s="3" t="s">
        <v>19</v>
      </c>
      <c r="K271" s="3" t="s">
        <v>21</v>
      </c>
      <c r="L271" s="3" t="s">
        <v>22</v>
      </c>
      <c r="M271" s="4">
        <v>625</v>
      </c>
      <c r="N271" s="3" t="s">
        <v>1498</v>
      </c>
      <c r="O271" s="3" t="s">
        <v>24</v>
      </c>
    </row>
    <row r="272" spans="1:15" hidden="1" x14ac:dyDescent="0.4">
      <c r="A272" s="7">
        <v>271</v>
      </c>
      <c r="B272" s="8" t="s">
        <v>1382</v>
      </c>
      <c r="C272" s="6" t="str">
        <f>IFERROR(IF(LEFT(D272,FIND(" ",D272)-1)="전라북도","전북특별자치도",LEFT(D272,FIND(" ",D272)-1)),"")</f>
        <v>전라남도</v>
      </c>
      <c r="D272" s="3" t="s">
        <v>1383</v>
      </c>
      <c r="E272" s="3" t="s">
        <v>1384</v>
      </c>
      <c r="F272" s="3" t="s">
        <v>1345</v>
      </c>
      <c r="G272" s="3" t="s">
        <v>19</v>
      </c>
      <c r="H272" s="3" t="s">
        <v>971</v>
      </c>
      <c r="I272" s="3" t="s">
        <v>971</v>
      </c>
      <c r="J272" s="3" t="s">
        <v>19</v>
      </c>
      <c r="K272" s="3" t="s">
        <v>21</v>
      </c>
      <c r="L272" s="3" t="s">
        <v>147</v>
      </c>
      <c r="M272" s="4">
        <v>795</v>
      </c>
      <c r="N272" s="3" t="s">
        <v>23</v>
      </c>
      <c r="O272" s="3" t="s">
        <v>281</v>
      </c>
    </row>
    <row r="273" spans="1:15" ht="22.05" customHeight="1" x14ac:dyDescent="0.4">
      <c r="A273" s="7">
        <v>29</v>
      </c>
      <c r="B273" s="8" t="s">
        <v>173</v>
      </c>
      <c r="C273" s="6" t="str">
        <f>IFERROR(IF(LEFT(D273,FIND(" ",D273)-1)="전라북도","전북특별자치도",LEFT(D273,FIND(" ",D273)-1)),"")</f>
        <v>서울특별시</v>
      </c>
      <c r="D273" s="3" t="s">
        <v>174</v>
      </c>
      <c r="E273" s="3" t="s">
        <v>175</v>
      </c>
      <c r="F273" s="3" t="s">
        <v>176</v>
      </c>
      <c r="G273" s="3" t="s">
        <v>19</v>
      </c>
      <c r="H273" s="3" t="s">
        <v>177</v>
      </c>
      <c r="I273" s="3" t="s">
        <v>19</v>
      </c>
      <c r="J273" s="3" t="s">
        <v>178</v>
      </c>
      <c r="K273" s="3" t="s">
        <v>21</v>
      </c>
      <c r="L273" s="3" t="s">
        <v>22</v>
      </c>
      <c r="M273" s="4">
        <v>6095</v>
      </c>
      <c r="N273" s="3" t="s">
        <v>23</v>
      </c>
      <c r="O273" s="3" t="s">
        <v>24</v>
      </c>
    </row>
    <row r="274" spans="1:15" hidden="1" x14ac:dyDescent="0.4">
      <c r="A274" s="7">
        <v>273</v>
      </c>
      <c r="B274" s="8" t="s">
        <v>1391</v>
      </c>
      <c r="C274" s="6" t="str">
        <f>IFERROR(IF(LEFT(D274,FIND(" ",D274)-1)="전라북도","전북특별자치도",LEFT(D274,FIND(" ",D274)-1)),"")</f>
        <v>경상남도</v>
      </c>
      <c r="D274" s="3" t="s">
        <v>1392</v>
      </c>
      <c r="E274" s="3" t="s">
        <v>1393</v>
      </c>
      <c r="F274" s="3" t="s">
        <v>1394</v>
      </c>
      <c r="G274" s="3" t="s">
        <v>1396</v>
      </c>
      <c r="H274" s="3" t="s">
        <v>1397</v>
      </c>
      <c r="I274" s="3" t="s">
        <v>1398</v>
      </c>
      <c r="J274" s="3" t="s">
        <v>19</v>
      </c>
      <c r="K274" s="3" t="s">
        <v>21</v>
      </c>
      <c r="L274" s="3" t="s">
        <v>22</v>
      </c>
      <c r="M274" s="4">
        <v>248</v>
      </c>
      <c r="N274" s="3" t="s">
        <v>84</v>
      </c>
      <c r="O274" s="3" t="s">
        <v>281</v>
      </c>
    </row>
    <row r="275" spans="1:15" ht="22.05" customHeight="1" x14ac:dyDescent="0.4">
      <c r="A275" s="7">
        <v>31</v>
      </c>
      <c r="B275" s="8" t="s">
        <v>185</v>
      </c>
      <c r="C275" s="6" t="str">
        <f>IFERROR(IF(LEFT(D275,FIND(" ",D275)-1)="전라북도","전북특별자치도",LEFT(D275,FIND(" ",D275)-1)),"")</f>
        <v>서울특별시</v>
      </c>
      <c r="D275" s="3" t="s">
        <v>186</v>
      </c>
      <c r="E275" s="3" t="s">
        <v>187</v>
      </c>
      <c r="F275" s="3" t="s">
        <v>188</v>
      </c>
      <c r="G275" s="3" t="s">
        <v>19</v>
      </c>
      <c r="H275" s="3" t="s">
        <v>189</v>
      </c>
      <c r="I275" s="3" t="s">
        <v>19</v>
      </c>
      <c r="J275" s="3" t="s">
        <v>19</v>
      </c>
      <c r="K275" s="3" t="s">
        <v>21</v>
      </c>
      <c r="L275" s="3" t="s">
        <v>22</v>
      </c>
      <c r="M275" s="4">
        <v>301</v>
      </c>
      <c r="N275" s="3" t="s">
        <v>23</v>
      </c>
      <c r="O275" s="3" t="s">
        <v>24</v>
      </c>
    </row>
    <row r="276" spans="1:15" hidden="1" x14ac:dyDescent="0.4">
      <c r="A276" s="7">
        <v>275</v>
      </c>
      <c r="B276" s="8" t="s">
        <v>1405</v>
      </c>
      <c r="C276" s="6" t="str">
        <f>IFERROR(IF(LEFT(D276,FIND(" ",D276)-1)="전라북도","전북특별자치도",LEFT(D276,FIND(" ",D276)-1)),"")</f>
        <v>경상북도</v>
      </c>
      <c r="D276" s="3" t="s">
        <v>1406</v>
      </c>
      <c r="E276" s="3" t="s">
        <v>1407</v>
      </c>
      <c r="F276" s="3" t="s">
        <v>103</v>
      </c>
      <c r="G276" s="3" t="s">
        <v>1409</v>
      </c>
      <c r="H276" s="3" t="s">
        <v>1410</v>
      </c>
      <c r="I276" s="3" t="s">
        <v>1410</v>
      </c>
      <c r="J276" s="3" t="s">
        <v>19</v>
      </c>
      <c r="K276" s="3" t="s">
        <v>21</v>
      </c>
      <c r="L276" s="3" t="s">
        <v>22</v>
      </c>
      <c r="M276" s="4">
        <v>500</v>
      </c>
      <c r="N276" s="3" t="s">
        <v>23</v>
      </c>
      <c r="O276" s="3" t="s">
        <v>281</v>
      </c>
    </row>
    <row r="277" spans="1:15" hidden="1" x14ac:dyDescent="0.4">
      <c r="A277" s="7">
        <v>276</v>
      </c>
      <c r="B277" s="8" t="s">
        <v>1411</v>
      </c>
      <c r="C277" s="6" t="str">
        <f>IFERROR(IF(LEFT(D277,FIND(" ",D277)-1)="전라북도","전북특별자치도",LEFT(D277,FIND(" ",D277)-1)),"")</f>
        <v>인천광역시</v>
      </c>
      <c r="D277" s="3" t="s">
        <v>1412</v>
      </c>
      <c r="E277" s="3" t="s">
        <v>1413</v>
      </c>
      <c r="F277" s="3" t="s">
        <v>103</v>
      </c>
      <c r="G277" s="3" t="s">
        <v>1415</v>
      </c>
      <c r="H277" s="3" t="s">
        <v>1416</v>
      </c>
      <c r="I277" s="3" t="s">
        <v>1417</v>
      </c>
      <c r="J277" s="3" t="s">
        <v>19</v>
      </c>
      <c r="K277" s="3" t="s">
        <v>21</v>
      </c>
      <c r="L277" s="3" t="s">
        <v>22</v>
      </c>
      <c r="M277" s="4">
        <v>77</v>
      </c>
      <c r="N277" s="3" t="s">
        <v>211</v>
      </c>
      <c r="O277" s="3" t="s">
        <v>281</v>
      </c>
    </row>
    <row r="278" spans="1:15" hidden="1" x14ac:dyDescent="0.4">
      <c r="A278" s="7">
        <v>277</v>
      </c>
      <c r="B278" s="8" t="s">
        <v>1418</v>
      </c>
      <c r="C278" s="6" t="str">
        <f>IFERROR(IF(LEFT(D278,FIND(" ",D278)-1)="전라북도","전북특별자치도",LEFT(D278,FIND(" ",D278)-1)),"")</f>
        <v>충청남도</v>
      </c>
      <c r="D278" s="3" t="s">
        <v>1419</v>
      </c>
      <c r="E278" s="3" t="s">
        <v>731</v>
      </c>
      <c r="F278" s="3" t="s">
        <v>1420</v>
      </c>
      <c r="G278" s="3" t="s">
        <v>1422</v>
      </c>
      <c r="H278" s="3" t="s">
        <v>157</v>
      </c>
      <c r="I278" s="3" t="s">
        <v>157</v>
      </c>
      <c r="J278" s="3" t="s">
        <v>19</v>
      </c>
      <c r="K278" s="3" t="s">
        <v>21</v>
      </c>
      <c r="L278" s="3" t="s">
        <v>22</v>
      </c>
      <c r="M278" s="4">
        <v>286</v>
      </c>
      <c r="N278" s="3" t="s">
        <v>236</v>
      </c>
      <c r="O278" s="3" t="s">
        <v>281</v>
      </c>
    </row>
    <row r="279" spans="1:15" ht="22.05" customHeight="1" x14ac:dyDescent="0.4">
      <c r="A279" s="7">
        <v>33</v>
      </c>
      <c r="B279" s="8" t="s">
        <v>195</v>
      </c>
      <c r="C279" s="6" t="str">
        <f>IFERROR(IF(LEFT(D279,FIND(" ",D279)-1)="전라북도","전북특별자치도",LEFT(D279,FIND(" ",D279)-1)),"")</f>
        <v>서울특별시</v>
      </c>
      <c r="D279" s="3" t="s">
        <v>196</v>
      </c>
      <c r="E279" s="3" t="s">
        <v>197</v>
      </c>
      <c r="F279" s="3" t="s">
        <v>198</v>
      </c>
      <c r="G279" s="3" t="s">
        <v>19</v>
      </c>
      <c r="H279" s="3" t="s">
        <v>199</v>
      </c>
      <c r="I279" s="3" t="s">
        <v>19</v>
      </c>
      <c r="J279" s="3" t="s">
        <v>200</v>
      </c>
      <c r="K279" s="3" t="s">
        <v>21</v>
      </c>
      <c r="L279" s="3" t="s">
        <v>22</v>
      </c>
      <c r="M279" s="4">
        <v>4482</v>
      </c>
      <c r="N279" s="3" t="s">
        <v>23</v>
      </c>
      <c r="O279" s="3" t="s">
        <v>24</v>
      </c>
    </row>
    <row r="280" spans="1:15" ht="22.05" customHeight="1" x14ac:dyDescent="0.4">
      <c r="A280" s="7">
        <v>2</v>
      </c>
      <c r="B280" s="8" t="s">
        <v>25</v>
      </c>
      <c r="C280" s="6" t="str">
        <f>IFERROR(IF(LEFT(D280,FIND(" ",D280)-1)="전라북도","전북특별자치도",LEFT(D280,FIND(" ",D280)-1)),"")</f>
        <v>서울특별시</v>
      </c>
      <c r="D280" s="3" t="s">
        <v>26</v>
      </c>
      <c r="E280" s="3" t="s">
        <v>27</v>
      </c>
      <c r="F280" s="3" t="s">
        <v>28</v>
      </c>
      <c r="G280" s="3" t="s">
        <v>29</v>
      </c>
      <c r="H280" s="3" t="s">
        <v>30</v>
      </c>
      <c r="I280" s="3" t="s">
        <v>31</v>
      </c>
      <c r="J280" s="3" t="s">
        <v>32</v>
      </c>
      <c r="K280" s="3" t="s">
        <v>21</v>
      </c>
      <c r="L280" s="3" t="s">
        <v>22</v>
      </c>
      <c r="M280" s="4">
        <v>3642</v>
      </c>
      <c r="N280" s="3" t="s">
        <v>23</v>
      </c>
      <c r="O280" s="3" t="s">
        <v>24</v>
      </c>
    </row>
    <row r="281" spans="1:15" ht="22.05" customHeight="1" x14ac:dyDescent="0.4">
      <c r="A281" s="7">
        <v>3</v>
      </c>
      <c r="B281" s="8" t="s">
        <v>33</v>
      </c>
      <c r="C281" s="6" t="str">
        <f>IFERROR(IF(LEFT(D281,FIND(" ",D281)-1)="전라북도","전북특별자치도",LEFT(D281,FIND(" ",D281)-1)),"")</f>
        <v>서울특별시</v>
      </c>
      <c r="D281" s="3" t="s">
        <v>34</v>
      </c>
      <c r="E281" s="3" t="s">
        <v>35</v>
      </c>
      <c r="F281" s="3" t="s">
        <v>36</v>
      </c>
      <c r="G281" s="3" t="s">
        <v>37</v>
      </c>
      <c r="H281" s="3" t="s">
        <v>38</v>
      </c>
      <c r="I281" s="3" t="s">
        <v>38</v>
      </c>
      <c r="J281" s="3" t="s">
        <v>19</v>
      </c>
      <c r="K281" s="3" t="s">
        <v>21</v>
      </c>
      <c r="L281" s="3" t="s">
        <v>22</v>
      </c>
      <c r="M281" s="4">
        <v>757</v>
      </c>
      <c r="N281" s="3" t="s">
        <v>23</v>
      </c>
      <c r="O281" s="3" t="s">
        <v>24</v>
      </c>
    </row>
    <row r="282" spans="1:15" ht="22.05" customHeight="1" x14ac:dyDescent="0.4">
      <c r="A282" s="7">
        <v>4</v>
      </c>
      <c r="B282" s="8" t="s">
        <v>39</v>
      </c>
      <c r="C282" s="6" t="str">
        <f>IFERROR(IF(LEFT(D282,FIND(" ",D282)-1)="전라북도","전북특별자치도",LEFT(D282,FIND(" ",D282)-1)),"")</f>
        <v>서울특별시</v>
      </c>
      <c r="D282" s="3" t="s">
        <v>40</v>
      </c>
      <c r="E282" s="3" t="s">
        <v>41</v>
      </c>
      <c r="F282" s="3" t="s">
        <v>42</v>
      </c>
      <c r="G282" s="3" t="s">
        <v>43</v>
      </c>
      <c r="H282" s="3" t="s">
        <v>44</v>
      </c>
      <c r="I282" s="3" t="s">
        <v>44</v>
      </c>
      <c r="J282" s="3" t="s">
        <v>45</v>
      </c>
      <c r="K282" s="3" t="s">
        <v>21</v>
      </c>
      <c r="L282" s="3" t="s">
        <v>22</v>
      </c>
      <c r="M282" s="4">
        <v>825</v>
      </c>
      <c r="N282" s="3" t="s">
        <v>23</v>
      </c>
      <c r="O282" s="3" t="s">
        <v>24</v>
      </c>
    </row>
    <row r="283" spans="1:15" ht="22.05" customHeight="1" x14ac:dyDescent="0.4">
      <c r="A283" s="7">
        <v>10</v>
      </c>
      <c r="B283" s="8" t="s">
        <v>70</v>
      </c>
      <c r="C283" s="6" t="str">
        <f>IFERROR(IF(LEFT(D283,FIND(" ",D283)-1)="전라북도","전북특별자치도",LEFT(D283,FIND(" ",D283)-1)),"")</f>
        <v>서울특별시</v>
      </c>
      <c r="D283" s="3" t="s">
        <v>71</v>
      </c>
      <c r="E283" s="3" t="s">
        <v>72</v>
      </c>
      <c r="F283" s="3" t="s">
        <v>73</v>
      </c>
      <c r="G283" s="3" t="s">
        <v>19</v>
      </c>
      <c r="H283" s="3" t="s">
        <v>74</v>
      </c>
      <c r="I283" s="3" t="s">
        <v>19</v>
      </c>
      <c r="J283" s="3" t="s">
        <v>75</v>
      </c>
      <c r="K283" s="3" t="s">
        <v>21</v>
      </c>
      <c r="L283" s="3" t="s">
        <v>22</v>
      </c>
      <c r="M283" s="4">
        <v>13748</v>
      </c>
      <c r="N283" s="3" t="s">
        <v>23</v>
      </c>
      <c r="O283" s="3" t="s">
        <v>24</v>
      </c>
    </row>
    <row r="284" spans="1:15" hidden="1" x14ac:dyDescent="0.4">
      <c r="A284" s="7">
        <v>283</v>
      </c>
      <c r="B284" s="8" t="s">
        <v>1445</v>
      </c>
      <c r="C284" s="6" t="str">
        <f>IFERROR(IF(LEFT(D284,FIND(" ",D284)-1)="전라북도","전북특별자치도",LEFT(D284,FIND(" ",D284)-1)),"")</f>
        <v>경기도</v>
      </c>
      <c r="D284" s="3" t="s">
        <v>1446</v>
      </c>
      <c r="E284" s="3" t="s">
        <v>1447</v>
      </c>
      <c r="F284" s="3" t="s">
        <v>1438</v>
      </c>
      <c r="G284" s="3" t="s">
        <v>1449</v>
      </c>
      <c r="H284" s="3" t="s">
        <v>1450</v>
      </c>
      <c r="I284" s="3" t="s">
        <v>1450</v>
      </c>
      <c r="J284" s="3" t="s">
        <v>1449</v>
      </c>
      <c r="K284" s="3" t="s">
        <v>21</v>
      </c>
      <c r="L284" s="3" t="s">
        <v>228</v>
      </c>
      <c r="M284" s="4">
        <v>986</v>
      </c>
      <c r="N284" s="3" t="s">
        <v>23</v>
      </c>
      <c r="O284" s="3" t="s">
        <v>281</v>
      </c>
    </row>
    <row r="285" spans="1:15" ht="22.05" customHeight="1" x14ac:dyDescent="0.4">
      <c r="A285" s="7">
        <v>111</v>
      </c>
      <c r="B285" s="8" t="s">
        <v>584</v>
      </c>
      <c r="C285" s="6" t="str">
        <f>IFERROR(IF(LEFT(D285,FIND(" ",D285)-1)="전라북도","전북특별자치도",LEFT(D285,FIND(" ",D285)-1)),"")</f>
        <v>서울특별시</v>
      </c>
      <c r="D285" s="3" t="s">
        <v>585</v>
      </c>
      <c r="E285" s="3" t="s">
        <v>586</v>
      </c>
      <c r="F285" s="3" t="s">
        <v>587</v>
      </c>
      <c r="G285" s="3" t="s">
        <v>19</v>
      </c>
      <c r="H285" s="3" t="s">
        <v>588</v>
      </c>
      <c r="I285" s="3" t="s">
        <v>19</v>
      </c>
      <c r="J285" s="3" t="s">
        <v>19</v>
      </c>
      <c r="K285" s="3" t="s">
        <v>21</v>
      </c>
      <c r="L285" s="3" t="s">
        <v>147</v>
      </c>
      <c r="M285" s="4">
        <v>1460</v>
      </c>
      <c r="N285" s="3" t="s">
        <v>23</v>
      </c>
      <c r="O285" s="3" t="s">
        <v>24</v>
      </c>
    </row>
    <row r="286" spans="1:15" hidden="1" x14ac:dyDescent="0.4">
      <c r="A286" s="7">
        <v>285</v>
      </c>
      <c r="B286" s="8" t="s">
        <v>1460</v>
      </c>
      <c r="C286" s="6" t="str">
        <f>IFERROR(IF(LEFT(D286,FIND(" ",D286)-1)="전라북도","전북특별자치도",LEFT(D286,FIND(" ",D286)-1)),"")</f>
        <v>충청남도</v>
      </c>
      <c r="D286" s="3" t="s">
        <v>1461</v>
      </c>
      <c r="E286" s="3" t="s">
        <v>1447</v>
      </c>
      <c r="F286" s="3" t="s">
        <v>1462</v>
      </c>
      <c r="G286" s="3" t="s">
        <v>19</v>
      </c>
      <c r="H286" s="3" t="s">
        <v>603</v>
      </c>
      <c r="I286" s="3" t="s">
        <v>603</v>
      </c>
      <c r="J286" s="3" t="s">
        <v>19</v>
      </c>
      <c r="K286" s="3" t="s">
        <v>21</v>
      </c>
      <c r="L286" s="3" t="s">
        <v>147</v>
      </c>
      <c r="M286" s="4">
        <v>486</v>
      </c>
      <c r="N286" s="3" t="s">
        <v>84</v>
      </c>
      <c r="O286" s="3" t="s">
        <v>281</v>
      </c>
    </row>
    <row r="287" spans="1:15" hidden="1" x14ac:dyDescent="0.4">
      <c r="A287" s="7">
        <v>286</v>
      </c>
      <c r="B287" s="8" t="s">
        <v>1463</v>
      </c>
      <c r="C287" s="6" t="str">
        <f>IFERROR(IF(LEFT(D287,FIND(" ",D287)-1)="전라북도","전북특별자치도",LEFT(D287,FIND(" ",D287)-1)),"")</f>
        <v>경상북도</v>
      </c>
      <c r="D287" s="3" t="s">
        <v>1464</v>
      </c>
      <c r="E287" s="3" t="s">
        <v>1465</v>
      </c>
      <c r="F287" s="3" t="s">
        <v>1466</v>
      </c>
      <c r="G287" s="3" t="s">
        <v>1105</v>
      </c>
      <c r="H287" s="3" t="s">
        <v>743</v>
      </c>
      <c r="I287" s="3" t="s">
        <v>743</v>
      </c>
      <c r="J287" s="3" t="s">
        <v>19</v>
      </c>
      <c r="K287" s="3" t="s">
        <v>21</v>
      </c>
      <c r="L287" s="3" t="s">
        <v>228</v>
      </c>
      <c r="M287" s="4">
        <v>432</v>
      </c>
      <c r="N287" s="3" t="s">
        <v>23</v>
      </c>
      <c r="O287" s="3" t="s">
        <v>281</v>
      </c>
    </row>
    <row r="288" spans="1:15" ht="22.05" customHeight="1" x14ac:dyDescent="0.4">
      <c r="A288" s="7">
        <v>254</v>
      </c>
      <c r="B288" s="8" t="s">
        <v>1297</v>
      </c>
      <c r="C288" s="6" t="str">
        <f>IFERROR(IF(LEFT(D288,FIND(" ",D288)-1)="전라북도","전북특별자치도",LEFT(D288,FIND(" ",D288)-1)),"")</f>
        <v>서울특별시</v>
      </c>
      <c r="D288" s="3" t="s">
        <v>1298</v>
      </c>
      <c r="E288" s="3" t="s">
        <v>1299</v>
      </c>
      <c r="F288" s="3" t="s">
        <v>1294</v>
      </c>
      <c r="G288" s="3" t="s">
        <v>1300</v>
      </c>
      <c r="H288" s="3" t="s">
        <v>1301</v>
      </c>
      <c r="I288" s="3" t="s">
        <v>1301</v>
      </c>
      <c r="J288" s="3" t="s">
        <v>1302</v>
      </c>
      <c r="K288" s="3" t="s">
        <v>21</v>
      </c>
      <c r="L288" s="3" t="s">
        <v>22</v>
      </c>
      <c r="M288" s="4">
        <v>4530</v>
      </c>
      <c r="N288" s="3" t="s">
        <v>23</v>
      </c>
      <c r="O288" s="3" t="s">
        <v>24</v>
      </c>
    </row>
    <row r="289" spans="1:15" ht="22.05" customHeight="1" x14ac:dyDescent="0.4">
      <c r="A289" s="7">
        <v>288</v>
      </c>
      <c r="B289" s="8" t="s">
        <v>1470</v>
      </c>
      <c r="C289" s="6" t="str">
        <f>IFERROR(IF(LEFT(D289,FIND(" ",D289)-1)="전라북도","전북특별자치도",LEFT(D289,FIND(" ",D289)-1)),"")</f>
        <v>서울특별시</v>
      </c>
      <c r="D289" s="3" t="s">
        <v>1471</v>
      </c>
      <c r="E289" s="3" t="s">
        <v>1472</v>
      </c>
      <c r="F289" s="3" t="s">
        <v>1473</v>
      </c>
      <c r="G289" s="3" t="s">
        <v>19</v>
      </c>
      <c r="H289" s="3" t="s">
        <v>1474</v>
      </c>
      <c r="I289" s="3" t="s">
        <v>19</v>
      </c>
      <c r="J289" s="3" t="s">
        <v>19</v>
      </c>
      <c r="K289" s="3" t="s">
        <v>21</v>
      </c>
      <c r="L289" s="3" t="s">
        <v>22</v>
      </c>
      <c r="M289" s="4">
        <v>1131</v>
      </c>
      <c r="N289" s="3" t="s">
        <v>23</v>
      </c>
      <c r="O289" s="3" t="s">
        <v>24</v>
      </c>
    </row>
    <row r="290" spans="1:15" hidden="1" x14ac:dyDescent="0.4">
      <c r="A290" s="7">
        <v>289</v>
      </c>
      <c r="B290" s="8" t="s">
        <v>1475</v>
      </c>
      <c r="C290" s="6" t="str">
        <f>IFERROR(IF(LEFT(D290,FIND(" ",D290)-1)="전라북도","전북특별자치도",LEFT(D290,FIND(" ",D290)-1)),"")</f>
        <v>강원특별자치도</v>
      </c>
      <c r="D290" s="3" t="s">
        <v>1476</v>
      </c>
      <c r="E290" s="3" t="s">
        <v>1477</v>
      </c>
      <c r="F290" s="3" t="s">
        <v>1001</v>
      </c>
      <c r="G290" s="3" t="s">
        <v>1479</v>
      </c>
      <c r="H290" s="3" t="s">
        <v>1480</v>
      </c>
      <c r="I290" s="3" t="s">
        <v>1480</v>
      </c>
      <c r="J290" s="3" t="s">
        <v>19</v>
      </c>
      <c r="K290" s="3" t="s">
        <v>21</v>
      </c>
      <c r="L290" s="3" t="s">
        <v>22</v>
      </c>
      <c r="M290" s="4">
        <v>371</v>
      </c>
      <c r="N290" s="3" t="s">
        <v>23</v>
      </c>
      <c r="O290" s="3" t="s">
        <v>281</v>
      </c>
    </row>
    <row r="291" spans="1:15" ht="22.05" customHeight="1" x14ac:dyDescent="0.4">
      <c r="A291" s="7">
        <v>306</v>
      </c>
      <c r="B291" s="8" t="s">
        <v>1557</v>
      </c>
      <c r="C291" s="6" t="str">
        <f>IFERROR(IF(LEFT(D291,FIND(" ",D291)-1)="전라북도","전북특별자치도",LEFT(D291,FIND(" ",D291)-1)),"")</f>
        <v>서울특별시</v>
      </c>
      <c r="D291" s="3" t="s">
        <v>1558</v>
      </c>
      <c r="E291" s="3" t="s">
        <v>1559</v>
      </c>
      <c r="F291" s="3" t="s">
        <v>1554</v>
      </c>
      <c r="G291" s="3" t="s">
        <v>1560</v>
      </c>
      <c r="H291" s="3" t="s">
        <v>1561</v>
      </c>
      <c r="I291" s="3" t="s">
        <v>1561</v>
      </c>
      <c r="J291" s="3" t="s">
        <v>1562</v>
      </c>
      <c r="K291" s="3" t="s">
        <v>21</v>
      </c>
      <c r="L291" s="3" t="s">
        <v>22</v>
      </c>
      <c r="M291" s="4">
        <v>1331</v>
      </c>
      <c r="N291" s="3" t="s">
        <v>1498</v>
      </c>
      <c r="O291" s="3" t="s">
        <v>24</v>
      </c>
    </row>
    <row r="292" spans="1:15" ht="22.05" customHeight="1" x14ac:dyDescent="0.4">
      <c r="A292" s="7">
        <v>63</v>
      </c>
      <c r="B292" s="8" t="s">
        <v>350</v>
      </c>
      <c r="C292" s="6" t="str">
        <f>IFERROR(IF(LEFT(D292,FIND(" ",D292)-1)="전라북도","전북특별자치도",LEFT(D292,FIND(" ",D292)-1)),"")</f>
        <v>울산광역시</v>
      </c>
      <c r="D292" s="3" t="s">
        <v>351</v>
      </c>
      <c r="E292" s="3" t="s">
        <v>352</v>
      </c>
      <c r="F292" s="3" t="s">
        <v>353</v>
      </c>
      <c r="G292" s="3" t="s">
        <v>354</v>
      </c>
      <c r="H292" s="3" t="s">
        <v>355</v>
      </c>
      <c r="I292" s="3" t="s">
        <v>356</v>
      </c>
      <c r="J292" s="3" t="s">
        <v>357</v>
      </c>
      <c r="K292" s="3" t="s">
        <v>21</v>
      </c>
      <c r="L292" s="3" t="s">
        <v>358</v>
      </c>
      <c r="M292" s="4">
        <v>761</v>
      </c>
      <c r="N292" s="3" t="s">
        <v>23</v>
      </c>
      <c r="O292" s="3" t="s">
        <v>24</v>
      </c>
    </row>
    <row r="293" spans="1:15" ht="22.05" customHeight="1" x14ac:dyDescent="0.4">
      <c r="A293" s="7">
        <v>32</v>
      </c>
      <c r="B293" s="8" t="s">
        <v>190</v>
      </c>
      <c r="C293" s="6" t="str">
        <f>IFERROR(IF(LEFT(D293,FIND(" ",D293)-1)="전라북도","전북특별자치도",LEFT(D293,FIND(" ",D293)-1)),"")</f>
        <v>인천광역시</v>
      </c>
      <c r="D293" s="3" t="s">
        <v>191</v>
      </c>
      <c r="E293" s="3" t="s">
        <v>192</v>
      </c>
      <c r="F293" s="3" t="s">
        <v>193</v>
      </c>
      <c r="G293" s="3" t="s">
        <v>19</v>
      </c>
      <c r="H293" s="3" t="s">
        <v>194</v>
      </c>
      <c r="I293" s="3" t="s">
        <v>19</v>
      </c>
      <c r="J293" s="3" t="s">
        <v>19</v>
      </c>
      <c r="K293" s="3" t="s">
        <v>21</v>
      </c>
      <c r="L293" s="3" t="s">
        <v>22</v>
      </c>
      <c r="M293" s="4">
        <v>1995</v>
      </c>
      <c r="N293" s="3" t="s">
        <v>23</v>
      </c>
      <c r="O293" s="3" t="s">
        <v>24</v>
      </c>
    </row>
    <row r="294" spans="1:15" ht="22.05" customHeight="1" x14ac:dyDescent="0.4">
      <c r="A294" s="7">
        <v>12</v>
      </c>
      <c r="B294" s="8" t="s">
        <v>80</v>
      </c>
      <c r="C294" s="6" t="str">
        <f>IFERROR(IF(LEFT(D294,FIND(" ",D294)-1)="전라북도","전북특별자치도",LEFT(D294,FIND(" ",D294)-1)),"")</f>
        <v>인천광역시</v>
      </c>
      <c r="D294" s="3" t="s">
        <v>81</v>
      </c>
      <c r="E294" s="3" t="s">
        <v>82</v>
      </c>
      <c r="F294" s="3" t="s">
        <v>83</v>
      </c>
      <c r="G294" s="3" t="s">
        <v>19</v>
      </c>
      <c r="H294" s="3" t="s">
        <v>19</v>
      </c>
      <c r="I294" s="3" t="s">
        <v>19</v>
      </c>
      <c r="J294" s="3" t="s">
        <v>19</v>
      </c>
      <c r="K294" s="3" t="s">
        <v>21</v>
      </c>
      <c r="L294" s="3" t="s">
        <v>22</v>
      </c>
      <c r="M294" s="4">
        <v>460</v>
      </c>
      <c r="N294" s="3" t="s">
        <v>84</v>
      </c>
      <c r="O294" s="3" t="s">
        <v>24</v>
      </c>
    </row>
    <row r="295" spans="1:15" ht="22.05" customHeight="1" x14ac:dyDescent="0.4">
      <c r="A295" s="7">
        <v>7</v>
      </c>
      <c r="B295" s="8" t="s">
        <v>58</v>
      </c>
      <c r="C295" s="6" t="str">
        <f>IFERROR(IF(LEFT(D295,FIND(" ",D295)-1)="전라북도","전북특별자치도",LEFT(D295,FIND(" ",D295)-1)),"")</f>
        <v>인천광역시</v>
      </c>
      <c r="D295" s="3" t="s">
        <v>59</v>
      </c>
      <c r="E295" s="3" t="s">
        <v>60</v>
      </c>
      <c r="F295" s="3" t="s">
        <v>61</v>
      </c>
      <c r="G295" s="3" t="s">
        <v>19</v>
      </c>
      <c r="H295" s="3" t="s">
        <v>62</v>
      </c>
      <c r="I295" s="3" t="s">
        <v>19</v>
      </c>
      <c r="J295" s="3" t="s">
        <v>63</v>
      </c>
      <c r="K295" s="3" t="s">
        <v>64</v>
      </c>
      <c r="L295" s="3" t="s">
        <v>22</v>
      </c>
      <c r="M295" s="4">
        <v>36582</v>
      </c>
      <c r="N295" s="3" t="s">
        <v>19</v>
      </c>
      <c r="O295" s="3" t="s">
        <v>24</v>
      </c>
    </row>
    <row r="296" spans="1:15" ht="22.05" customHeight="1" x14ac:dyDescent="0.4">
      <c r="A296" s="7">
        <v>8</v>
      </c>
      <c r="B296" s="8" t="s">
        <v>65</v>
      </c>
      <c r="C296" s="6" t="str">
        <f>IFERROR(IF(LEFT(D296,FIND(" ",D296)-1)="전라북도","전북특별자치도",LEFT(D296,FIND(" ",D296)-1)),"")</f>
        <v>인천광역시</v>
      </c>
      <c r="D296" s="3" t="s">
        <v>66</v>
      </c>
      <c r="E296" s="3" t="s">
        <v>60</v>
      </c>
      <c r="F296" s="3" t="s">
        <v>61</v>
      </c>
      <c r="G296" s="3" t="s">
        <v>19</v>
      </c>
      <c r="H296" s="3" t="s">
        <v>62</v>
      </c>
      <c r="I296" s="3" t="s">
        <v>19</v>
      </c>
      <c r="J296" s="3" t="s">
        <v>63</v>
      </c>
      <c r="K296" s="3" t="s">
        <v>64</v>
      </c>
      <c r="L296" s="3" t="s">
        <v>22</v>
      </c>
      <c r="M296" s="4">
        <v>36635</v>
      </c>
      <c r="N296" s="3" t="s">
        <v>19</v>
      </c>
      <c r="O296" s="3" t="s">
        <v>24</v>
      </c>
    </row>
    <row r="297" spans="1:15" ht="22.05" customHeight="1" x14ac:dyDescent="0.4">
      <c r="A297" s="7">
        <v>9</v>
      </c>
      <c r="B297" s="8" t="s">
        <v>67</v>
      </c>
      <c r="C297" s="6" t="str">
        <f>IFERROR(IF(LEFT(D297,FIND(" ",D297)-1)="전라북도","전북특별자치도",LEFT(D297,FIND(" ",D297)-1)),"")</f>
        <v>인천광역시</v>
      </c>
      <c r="D297" s="3" t="s">
        <v>68</v>
      </c>
      <c r="E297" s="3" t="s">
        <v>69</v>
      </c>
      <c r="F297" s="3" t="s">
        <v>61</v>
      </c>
      <c r="G297" s="3" t="s">
        <v>19</v>
      </c>
      <c r="H297" s="3" t="s">
        <v>62</v>
      </c>
      <c r="I297" s="3" t="s">
        <v>19</v>
      </c>
      <c r="J297" s="3" t="s">
        <v>63</v>
      </c>
      <c r="K297" s="3" t="s">
        <v>64</v>
      </c>
      <c r="L297" s="3" t="s">
        <v>22</v>
      </c>
      <c r="M297" s="4">
        <v>39880</v>
      </c>
      <c r="N297" s="3" t="s">
        <v>19</v>
      </c>
      <c r="O297" s="3" t="s">
        <v>24</v>
      </c>
    </row>
    <row r="298" spans="1:15" hidden="1" x14ac:dyDescent="0.4">
      <c r="A298" s="7">
        <v>297</v>
      </c>
      <c r="B298" s="8" t="s">
        <v>1500</v>
      </c>
      <c r="C298" s="6" t="str">
        <f>IFERROR(IF(LEFT(D298,FIND(" ",D298)-1)="전라북도","전북특별자치도",LEFT(D298,FIND(" ",D298)-1)),"")</f>
        <v>충청남도</v>
      </c>
      <c r="D298" s="3" t="s">
        <v>1501</v>
      </c>
      <c r="E298" s="3" t="s">
        <v>793</v>
      </c>
      <c r="F298" s="3" t="s">
        <v>113</v>
      </c>
      <c r="G298" s="3" t="s">
        <v>1502</v>
      </c>
      <c r="H298" s="3" t="s">
        <v>1503</v>
      </c>
      <c r="I298" s="3" t="s">
        <v>1503</v>
      </c>
      <c r="J298" s="3" t="s">
        <v>1504</v>
      </c>
      <c r="K298" s="3" t="s">
        <v>21</v>
      </c>
      <c r="L298" s="3" t="s">
        <v>228</v>
      </c>
      <c r="M298" s="4">
        <v>1761</v>
      </c>
      <c r="N298" s="3" t="s">
        <v>1498</v>
      </c>
      <c r="O298" s="3" t="s">
        <v>281</v>
      </c>
    </row>
    <row r="299" spans="1:15" ht="19.95" hidden="1" customHeight="1" x14ac:dyDescent="0.4">
      <c r="A299" s="7">
        <v>42</v>
      </c>
      <c r="B299" s="8" t="s">
        <v>248</v>
      </c>
      <c r="C299" s="6" t="str">
        <f>IFERROR(IF(LEFT(D299,FIND(" ",D299)-1)="전라북도","전북특별자치도",LEFT(D299,FIND(" ",D299)-1)),"")</f>
        <v>인천광역시</v>
      </c>
      <c r="D299" s="3" t="s">
        <v>249</v>
      </c>
      <c r="E299" s="3" t="s">
        <v>250</v>
      </c>
      <c r="F299" s="3" t="s">
        <v>251</v>
      </c>
      <c r="G299" s="3" t="s">
        <v>19</v>
      </c>
      <c r="H299" s="3" t="s">
        <v>252</v>
      </c>
      <c r="I299" s="3" t="s">
        <v>19</v>
      </c>
      <c r="J299" s="3" t="s">
        <v>19</v>
      </c>
      <c r="K299" s="3" t="s">
        <v>21</v>
      </c>
      <c r="L299" s="3" t="s">
        <v>147</v>
      </c>
      <c r="M299" s="4">
        <v>259</v>
      </c>
      <c r="N299" s="3" t="s">
        <v>123</v>
      </c>
      <c r="O299" s="3" t="s">
        <v>24</v>
      </c>
    </row>
    <row r="300" spans="1:15" ht="22.05" customHeight="1" x14ac:dyDescent="0.4">
      <c r="A300" s="7">
        <v>109</v>
      </c>
      <c r="B300" s="8" t="s">
        <v>574</v>
      </c>
      <c r="C300" s="6" t="str">
        <f>IFERROR(IF(LEFT(D300,FIND(" ",D300)-1)="전라북도","전북특별자치도",LEFT(D300,FIND(" ",D300)-1)),"")</f>
        <v>인천광역시</v>
      </c>
      <c r="D300" s="3" t="s">
        <v>575</v>
      </c>
      <c r="E300" s="3" t="s">
        <v>570</v>
      </c>
      <c r="F300" s="3" t="s">
        <v>576</v>
      </c>
      <c r="G300" s="3" t="s">
        <v>19</v>
      </c>
      <c r="H300" s="3" t="s">
        <v>577</v>
      </c>
      <c r="I300" s="3" t="s">
        <v>19</v>
      </c>
      <c r="J300" s="3" t="s">
        <v>19</v>
      </c>
      <c r="K300" s="3" t="s">
        <v>21</v>
      </c>
      <c r="L300" s="3" t="s">
        <v>22</v>
      </c>
      <c r="M300" s="4">
        <v>1212</v>
      </c>
      <c r="N300" s="3" t="s">
        <v>23</v>
      </c>
      <c r="O300" s="3" t="s">
        <v>24</v>
      </c>
    </row>
    <row r="301" spans="1:15" ht="22.05" customHeight="1" x14ac:dyDescent="0.4">
      <c r="A301" s="7">
        <v>166</v>
      </c>
      <c r="B301" s="8" t="s">
        <v>865</v>
      </c>
      <c r="C301" s="6" t="str">
        <f>IFERROR(IF(LEFT(D301,FIND(" ",D301)-1)="전라북도","전북특별자치도",LEFT(D301,FIND(" ",D301)-1)),"")</f>
        <v>인천광역시</v>
      </c>
      <c r="D301" s="3" t="s">
        <v>866</v>
      </c>
      <c r="E301" s="3" t="s">
        <v>867</v>
      </c>
      <c r="F301" s="3" t="s">
        <v>868</v>
      </c>
      <c r="G301" s="3" t="s">
        <v>19</v>
      </c>
      <c r="H301" s="3" t="s">
        <v>869</v>
      </c>
      <c r="I301" s="3" t="s">
        <v>19</v>
      </c>
      <c r="J301" s="3" t="s">
        <v>19</v>
      </c>
      <c r="K301" s="3" t="s">
        <v>21</v>
      </c>
      <c r="L301" s="3" t="s">
        <v>22</v>
      </c>
      <c r="M301" s="4">
        <v>738</v>
      </c>
      <c r="N301" s="3" t="s">
        <v>23</v>
      </c>
      <c r="O301" s="3" t="s">
        <v>24</v>
      </c>
    </row>
    <row r="302" spans="1:15" hidden="1" x14ac:dyDescent="0.4">
      <c r="A302" s="7">
        <v>301</v>
      </c>
      <c r="B302" s="8" t="s">
        <v>1517</v>
      </c>
      <c r="C302" s="6" t="str">
        <f>IFERROR(IF(LEFT(D302,FIND(" ",D302)-1)="전라북도","전북특별자치도",LEFT(D302,FIND(" ",D302)-1)),"")</f>
        <v>경상북도</v>
      </c>
      <c r="D302" s="3" t="s">
        <v>1518</v>
      </c>
      <c r="E302" s="3" t="s">
        <v>1519</v>
      </c>
      <c r="F302" s="3" t="s">
        <v>119</v>
      </c>
      <c r="G302" s="3" t="s">
        <v>1521</v>
      </c>
      <c r="H302" s="3" t="s">
        <v>1522</v>
      </c>
      <c r="I302" s="3" t="s">
        <v>1523</v>
      </c>
      <c r="J302" s="3" t="s">
        <v>1521</v>
      </c>
      <c r="K302" s="3" t="s">
        <v>21</v>
      </c>
      <c r="L302" s="3" t="s">
        <v>147</v>
      </c>
      <c r="M302" s="4">
        <v>2861</v>
      </c>
      <c r="N302" s="3" t="s">
        <v>1498</v>
      </c>
      <c r="O302" s="3" t="s">
        <v>281</v>
      </c>
    </row>
    <row r="303" spans="1:15" ht="22.05" customHeight="1" x14ac:dyDescent="0.4">
      <c r="A303" s="7">
        <v>178</v>
      </c>
      <c r="B303" s="8" t="s">
        <v>928</v>
      </c>
      <c r="C303" s="6" t="str">
        <f>IFERROR(IF(LEFT(D303,FIND(" ",D303)-1)="전라북도","전북특별자치도",LEFT(D303,FIND(" ",D303)-1)),"")</f>
        <v>인천광역시</v>
      </c>
      <c r="D303" s="3" t="s">
        <v>929</v>
      </c>
      <c r="E303" s="3" t="s">
        <v>930</v>
      </c>
      <c r="F303" s="3" t="s">
        <v>931</v>
      </c>
      <c r="G303" s="3" t="s">
        <v>932</v>
      </c>
      <c r="H303" s="3" t="s">
        <v>933</v>
      </c>
      <c r="I303" s="3" t="s">
        <v>933</v>
      </c>
      <c r="J303" s="3" t="s">
        <v>19</v>
      </c>
      <c r="K303" s="3" t="s">
        <v>64</v>
      </c>
      <c r="L303" s="3" t="s">
        <v>22</v>
      </c>
      <c r="M303" s="4">
        <v>14679</v>
      </c>
      <c r="N303" s="3" t="s">
        <v>23</v>
      </c>
      <c r="O303" s="3" t="s">
        <v>24</v>
      </c>
    </row>
    <row r="304" spans="1:15" hidden="1" x14ac:dyDescent="0.4">
      <c r="A304" s="7">
        <v>303</v>
      </c>
      <c r="B304" s="8" t="s">
        <v>1530</v>
      </c>
      <c r="C304" s="6" t="str">
        <f>IFERROR(IF(LEFT(D304,FIND(" ",D304)-1)="전라북도","전북특별자치도",LEFT(D304,FIND(" ",D304)-1)),"")</f>
        <v>강원특별자치도</v>
      </c>
      <c r="D304" s="3" t="s">
        <v>1531</v>
      </c>
      <c r="E304" s="3" t="s">
        <v>1532</v>
      </c>
      <c r="F304" s="3" t="s">
        <v>1533</v>
      </c>
      <c r="G304" s="3" t="s">
        <v>1535</v>
      </c>
      <c r="H304" s="3" t="s">
        <v>1536</v>
      </c>
      <c r="I304" s="3" t="s">
        <v>1537</v>
      </c>
      <c r="J304" s="3" t="s">
        <v>692</v>
      </c>
      <c r="K304" s="3" t="s">
        <v>21</v>
      </c>
      <c r="L304" s="3" t="s">
        <v>22</v>
      </c>
      <c r="M304" s="4">
        <v>229</v>
      </c>
      <c r="N304" s="3" t="s">
        <v>1498</v>
      </c>
      <c r="O304" s="3" t="s">
        <v>281</v>
      </c>
    </row>
    <row r="305" spans="1:15" ht="22.05" customHeight="1" x14ac:dyDescent="0.4">
      <c r="A305" s="7">
        <v>195</v>
      </c>
      <c r="B305" s="8" t="s">
        <v>1017</v>
      </c>
      <c r="C305" s="6" t="str">
        <f>IFERROR(IF(LEFT(D305,FIND(" ",D305)-1)="전라북도","전북특별자치도",LEFT(D305,FIND(" ",D305)-1)),"")</f>
        <v>인천광역시</v>
      </c>
      <c r="D305" s="3" t="s">
        <v>1018</v>
      </c>
      <c r="E305" s="3" t="s">
        <v>447</v>
      </c>
      <c r="F305" s="3" t="s">
        <v>1019</v>
      </c>
      <c r="G305" s="3" t="s">
        <v>19</v>
      </c>
      <c r="H305" s="3" t="s">
        <v>1020</v>
      </c>
      <c r="I305" s="3" t="s">
        <v>19</v>
      </c>
      <c r="J305" s="3" t="s">
        <v>19</v>
      </c>
      <c r="K305" s="3" t="s">
        <v>21</v>
      </c>
      <c r="L305" s="3" t="s">
        <v>22</v>
      </c>
      <c r="M305" s="4">
        <v>399</v>
      </c>
      <c r="N305" s="3" t="s">
        <v>23</v>
      </c>
      <c r="O305" s="3" t="s">
        <v>24</v>
      </c>
    </row>
    <row r="306" spans="1:15" hidden="1" x14ac:dyDescent="0.4">
      <c r="A306" s="7">
        <v>305</v>
      </c>
      <c r="B306" s="8" t="s">
        <v>1543</v>
      </c>
      <c r="C306" s="6" t="str">
        <f>IFERROR(IF(LEFT(D306,FIND(" ",D306)-1)="전라북도","전북특별자치도",LEFT(D306,FIND(" ",D306)-1)),"")</f>
        <v>전북특별자치도</v>
      </c>
      <c r="D306" s="3" t="s">
        <v>1544</v>
      </c>
      <c r="E306" s="3" t="s">
        <v>72</v>
      </c>
      <c r="F306" s="3" t="s">
        <v>1545</v>
      </c>
      <c r="G306" s="3" t="s">
        <v>1547</v>
      </c>
      <c r="H306" s="3" t="s">
        <v>1548</v>
      </c>
      <c r="I306" s="3" t="s">
        <v>1549</v>
      </c>
      <c r="J306" s="3" t="s">
        <v>1550</v>
      </c>
      <c r="K306" s="3" t="s">
        <v>21</v>
      </c>
      <c r="L306" s="3" t="s">
        <v>22</v>
      </c>
      <c r="M306" s="4">
        <v>2615</v>
      </c>
      <c r="N306" s="3" t="s">
        <v>1498</v>
      </c>
      <c r="O306" s="3" t="s">
        <v>281</v>
      </c>
    </row>
    <row r="307" spans="1:15" ht="19.95" hidden="1" customHeight="1" x14ac:dyDescent="0.4">
      <c r="A307" s="7">
        <v>230</v>
      </c>
      <c r="B307" s="8" t="s">
        <v>1186</v>
      </c>
      <c r="C307" s="6" t="str">
        <f>IFERROR(IF(LEFT(D307,FIND(" ",D307)-1)="전라북도","전북특별자치도",LEFT(D307,FIND(" ",D307)-1)),"")</f>
        <v>인천광역시</v>
      </c>
      <c r="D307" s="3" t="s">
        <v>1187</v>
      </c>
      <c r="E307" s="3" t="s">
        <v>1188</v>
      </c>
      <c r="F307" s="3" t="s">
        <v>1063</v>
      </c>
      <c r="G307" s="3" t="s">
        <v>19</v>
      </c>
      <c r="H307" s="3" t="s">
        <v>1189</v>
      </c>
      <c r="I307" s="3" t="s">
        <v>19</v>
      </c>
      <c r="J307" s="3" t="s">
        <v>19</v>
      </c>
      <c r="K307" s="3" t="s">
        <v>21</v>
      </c>
      <c r="L307" s="3" t="s">
        <v>22</v>
      </c>
      <c r="M307" s="4">
        <v>199</v>
      </c>
      <c r="N307" s="3" t="s">
        <v>23</v>
      </c>
      <c r="O307" s="3" t="s">
        <v>24</v>
      </c>
    </row>
    <row r="308" spans="1:15" ht="22.05" customHeight="1" x14ac:dyDescent="0.4">
      <c r="A308" s="7">
        <v>251</v>
      </c>
      <c r="B308" s="8" t="s">
        <v>1281</v>
      </c>
      <c r="C308" s="6" t="str">
        <f>IFERROR(IF(LEFT(D308,FIND(" ",D308)-1)="전라북도","전북특별자치도",LEFT(D308,FIND(" ",D308)-1)),"")</f>
        <v>인천광역시</v>
      </c>
      <c r="D308" s="3" t="s">
        <v>1282</v>
      </c>
      <c r="E308" s="3" t="s">
        <v>1283</v>
      </c>
      <c r="F308" s="3" t="s">
        <v>1284</v>
      </c>
      <c r="G308" s="3" t="s">
        <v>19</v>
      </c>
      <c r="H308" s="3" t="s">
        <v>933</v>
      </c>
      <c r="I308" s="3" t="s">
        <v>19</v>
      </c>
      <c r="J308" s="3" t="s">
        <v>19</v>
      </c>
      <c r="K308" s="3" t="s">
        <v>21</v>
      </c>
      <c r="L308" s="3" t="s">
        <v>22</v>
      </c>
      <c r="M308" s="4">
        <v>2689</v>
      </c>
      <c r="N308" s="3" t="s">
        <v>236</v>
      </c>
      <c r="O308" s="3" t="s">
        <v>24</v>
      </c>
    </row>
    <row r="309" spans="1:15" hidden="1" x14ac:dyDescent="0.4">
      <c r="A309" s="7">
        <v>308</v>
      </c>
      <c r="B309" s="8" t="s">
        <v>1565</v>
      </c>
      <c r="C309" s="6" t="str">
        <f>IFERROR(IF(LEFT(D309,FIND(" ",D309)-1)="전라북도","전북특별자치도",LEFT(D309,FIND(" ",D309)-1)),"")</f>
        <v>강원특별자치도</v>
      </c>
      <c r="D309" s="3" t="s">
        <v>1566</v>
      </c>
      <c r="E309" s="3" t="s">
        <v>1567</v>
      </c>
      <c r="F309" s="3" t="s">
        <v>1568</v>
      </c>
      <c r="G309" s="3" t="s">
        <v>19</v>
      </c>
      <c r="H309" s="3" t="s">
        <v>940</v>
      </c>
      <c r="I309" s="3" t="s">
        <v>940</v>
      </c>
      <c r="J309" s="3" t="s">
        <v>19</v>
      </c>
      <c r="K309" s="3" t="s">
        <v>21</v>
      </c>
      <c r="L309" s="3" t="s">
        <v>147</v>
      </c>
      <c r="M309" s="4">
        <v>880</v>
      </c>
      <c r="N309" s="3" t="s">
        <v>1498</v>
      </c>
      <c r="O309" s="3" t="s">
        <v>281</v>
      </c>
    </row>
    <row r="310" spans="1:15" hidden="1" x14ac:dyDescent="0.4">
      <c r="A310" s="7">
        <v>309</v>
      </c>
      <c r="B310" s="8" t="s">
        <v>1569</v>
      </c>
      <c r="C310" s="6" t="str">
        <f>IFERROR(IF(LEFT(D310,FIND(" ",D310)-1)="전라북도","전북특별자치도",LEFT(D310,FIND(" ",D310)-1)),"")</f>
        <v>경기도</v>
      </c>
      <c r="D310" s="3" t="s">
        <v>1570</v>
      </c>
      <c r="E310" s="3" t="s">
        <v>1571</v>
      </c>
      <c r="F310" s="3" t="s">
        <v>1572</v>
      </c>
      <c r="G310" s="3" t="s">
        <v>1574</v>
      </c>
      <c r="H310" s="3" t="s">
        <v>302</v>
      </c>
      <c r="I310" s="3" t="s">
        <v>19</v>
      </c>
      <c r="J310" s="3" t="s">
        <v>19</v>
      </c>
      <c r="K310" s="3" t="s">
        <v>21</v>
      </c>
      <c r="L310" s="3" t="s">
        <v>22</v>
      </c>
      <c r="M310" s="4">
        <v>334</v>
      </c>
      <c r="N310" s="3" t="s">
        <v>129</v>
      </c>
      <c r="O310" s="3" t="s">
        <v>281</v>
      </c>
    </row>
    <row r="311" spans="1:15" ht="22.05" customHeight="1" x14ac:dyDescent="0.4">
      <c r="A311" s="7">
        <v>330</v>
      </c>
      <c r="B311" s="8" t="s">
        <v>1676</v>
      </c>
      <c r="C311" s="6" t="str">
        <f>IFERROR(IF(LEFT(D311,FIND(" ",D311)-1)="전라북도","전북특별자치도",LEFT(D311,FIND(" ",D311)-1)),"")</f>
        <v>인천광역시</v>
      </c>
      <c r="D311" s="3" t="s">
        <v>1677</v>
      </c>
      <c r="E311" s="3" t="s">
        <v>1678</v>
      </c>
      <c r="F311" s="3" t="s">
        <v>1679</v>
      </c>
      <c r="G311" s="3" t="s">
        <v>1680</v>
      </c>
      <c r="H311" s="3" t="s">
        <v>19</v>
      </c>
      <c r="I311" s="3" t="s">
        <v>19</v>
      </c>
      <c r="J311" s="3" t="s">
        <v>19</v>
      </c>
      <c r="K311" s="3" t="s">
        <v>21</v>
      </c>
      <c r="L311" s="3" t="s">
        <v>228</v>
      </c>
      <c r="M311" s="4">
        <v>598</v>
      </c>
      <c r="N311" s="3" t="s">
        <v>123</v>
      </c>
      <c r="O311" s="3" t="s">
        <v>24</v>
      </c>
    </row>
    <row r="312" spans="1:15" hidden="1" x14ac:dyDescent="0.4">
      <c r="A312" s="7">
        <v>311</v>
      </c>
      <c r="B312" s="8" t="s">
        <v>1581</v>
      </c>
      <c r="C312" s="6" t="str">
        <f>IFERROR(IF(LEFT(D312,FIND(" ",D312)-1)="전라북도","전북특별자치도",LEFT(D312,FIND(" ",D312)-1)),"")</f>
        <v>충청남도</v>
      </c>
      <c r="D312" s="3" t="s">
        <v>1582</v>
      </c>
      <c r="E312" s="3" t="s">
        <v>1583</v>
      </c>
      <c r="F312" s="3" t="s">
        <v>1584</v>
      </c>
      <c r="G312" s="3" t="s">
        <v>19</v>
      </c>
      <c r="H312" s="3" t="s">
        <v>157</v>
      </c>
      <c r="I312" s="3" t="s">
        <v>19</v>
      </c>
      <c r="J312" s="3" t="s">
        <v>19</v>
      </c>
      <c r="K312" s="3" t="s">
        <v>21</v>
      </c>
      <c r="L312" s="3" t="s">
        <v>147</v>
      </c>
      <c r="M312" s="4">
        <v>1316</v>
      </c>
      <c r="N312" s="3" t="s">
        <v>1498</v>
      </c>
      <c r="O312" s="3" t="s">
        <v>281</v>
      </c>
    </row>
    <row r="313" spans="1:15" hidden="1" x14ac:dyDescent="0.4">
      <c r="A313" s="7">
        <v>312</v>
      </c>
      <c r="B313" s="8" t="s">
        <v>1585</v>
      </c>
      <c r="C313" s="6" t="str">
        <f>IFERROR(IF(LEFT(D313,FIND(" ",D313)-1)="전라북도","전북특별자치도",LEFT(D313,FIND(" ",D313)-1)),"")</f>
        <v>경기도</v>
      </c>
      <c r="D313" s="3" t="s">
        <v>1586</v>
      </c>
      <c r="E313" s="3" t="s">
        <v>1587</v>
      </c>
      <c r="F313" s="3" t="s">
        <v>1588</v>
      </c>
      <c r="G313" s="3" t="s">
        <v>1589</v>
      </c>
      <c r="H313" s="3" t="s">
        <v>1590</v>
      </c>
      <c r="I313" s="3" t="s">
        <v>1591</v>
      </c>
      <c r="J313" s="3" t="s">
        <v>19</v>
      </c>
      <c r="K313" s="3" t="s">
        <v>21</v>
      </c>
      <c r="L313" s="3" t="s">
        <v>22</v>
      </c>
      <c r="M313" s="4">
        <v>1127</v>
      </c>
      <c r="N313" s="3" t="s">
        <v>1498</v>
      </c>
      <c r="O313" s="3" t="s">
        <v>281</v>
      </c>
    </row>
    <row r="314" spans="1:15" ht="22.05" customHeight="1" x14ac:dyDescent="0.4">
      <c r="A314" s="7">
        <v>343</v>
      </c>
      <c r="B314" s="8" t="s">
        <v>1746</v>
      </c>
      <c r="C314" s="6" t="str">
        <f>IFERROR(IF(LEFT(D314,FIND(" ",D314)-1)="전라북도","전북특별자치도",LEFT(D314,FIND(" ",D314)-1)),"")</f>
        <v>인천광역시</v>
      </c>
      <c r="D314" s="3" t="s">
        <v>1747</v>
      </c>
      <c r="E314" s="3" t="s">
        <v>1748</v>
      </c>
      <c r="F314" s="3" t="s">
        <v>1749</v>
      </c>
      <c r="G314" s="3" t="s">
        <v>1750</v>
      </c>
      <c r="H314" s="3" t="s">
        <v>1751</v>
      </c>
      <c r="I314" s="3" t="s">
        <v>19</v>
      </c>
      <c r="J314" s="3" t="s">
        <v>19</v>
      </c>
      <c r="K314" s="3" t="s">
        <v>21</v>
      </c>
      <c r="L314" s="3" t="s">
        <v>22</v>
      </c>
      <c r="M314" s="4">
        <v>530</v>
      </c>
      <c r="N314" s="3" t="s">
        <v>1498</v>
      </c>
      <c r="O314" s="3" t="s">
        <v>24</v>
      </c>
    </row>
    <row r="315" spans="1:15" ht="22.05" customHeight="1" x14ac:dyDescent="0.4">
      <c r="A315" s="7">
        <v>361</v>
      </c>
      <c r="B315" s="8" t="s">
        <v>1833</v>
      </c>
      <c r="C315" s="6" t="str">
        <f>IFERROR(IF(LEFT(D315,FIND(" ",D315)-1)="전라북도","전북특별자치도",LEFT(D315,FIND(" ",D315)-1)),"")</f>
        <v>인천광역시</v>
      </c>
      <c r="D315" s="3" t="s">
        <v>1834</v>
      </c>
      <c r="E315" s="3" t="s">
        <v>832</v>
      </c>
      <c r="F315" s="3" t="s">
        <v>1829</v>
      </c>
      <c r="G315" s="3" t="s">
        <v>1835</v>
      </c>
      <c r="H315" s="3" t="s">
        <v>1836</v>
      </c>
      <c r="I315" s="3" t="s">
        <v>1837</v>
      </c>
      <c r="J315" s="3" t="s">
        <v>1838</v>
      </c>
      <c r="K315" s="3" t="s">
        <v>21</v>
      </c>
      <c r="L315" s="3" t="s">
        <v>22</v>
      </c>
      <c r="M315" s="4">
        <v>126473</v>
      </c>
      <c r="N315" s="3" t="s">
        <v>1839</v>
      </c>
      <c r="O315" s="3" t="s">
        <v>24</v>
      </c>
    </row>
    <row r="316" spans="1:15" hidden="1" x14ac:dyDescent="0.4">
      <c r="A316" s="7">
        <v>315</v>
      </c>
      <c r="B316" s="8" t="s">
        <v>1601</v>
      </c>
      <c r="C316" s="6" t="str">
        <f>IFERROR(IF(LEFT(D316,FIND(" ",D316)-1)="전라북도","전북특별자치도",LEFT(D316,FIND(" ",D316)-1)),"")</f>
        <v>충청남도</v>
      </c>
      <c r="D316" s="3" t="s">
        <v>1602</v>
      </c>
      <c r="E316" s="3" t="s">
        <v>1603</v>
      </c>
      <c r="F316" s="3" t="s">
        <v>1604</v>
      </c>
      <c r="G316" s="3" t="s">
        <v>1605</v>
      </c>
      <c r="H316" s="3" t="s">
        <v>1606</v>
      </c>
      <c r="I316" s="3" t="s">
        <v>1607</v>
      </c>
      <c r="J316" s="3" t="s">
        <v>19</v>
      </c>
      <c r="K316" s="3" t="s">
        <v>21</v>
      </c>
      <c r="L316" s="3" t="s">
        <v>22</v>
      </c>
      <c r="M316" s="4">
        <v>610</v>
      </c>
      <c r="N316" s="3" t="s">
        <v>1498</v>
      </c>
      <c r="O316" s="3" t="s">
        <v>281</v>
      </c>
    </row>
    <row r="317" spans="1:15" ht="19.95" hidden="1" customHeight="1" x14ac:dyDescent="0.4">
      <c r="A317" s="7">
        <v>394</v>
      </c>
      <c r="B317" s="8" t="s">
        <v>2000</v>
      </c>
      <c r="C317" s="6" t="str">
        <f>IFERROR(IF(LEFT(D317,FIND(" ",D317)-1)="전라북도","전북특별자치도",LEFT(D317,FIND(" ",D317)-1)),"")</f>
        <v>인천광역시</v>
      </c>
      <c r="D317" s="3" t="s">
        <v>2001</v>
      </c>
      <c r="E317" s="3" t="s">
        <v>2002</v>
      </c>
      <c r="F317" s="3" t="s">
        <v>347</v>
      </c>
      <c r="G317" s="3" t="s">
        <v>19</v>
      </c>
      <c r="H317" s="3" t="s">
        <v>2003</v>
      </c>
      <c r="I317" s="3" t="s">
        <v>19</v>
      </c>
      <c r="J317" s="3" t="s">
        <v>19</v>
      </c>
      <c r="K317" s="3" t="s">
        <v>21</v>
      </c>
      <c r="L317" s="3" t="s">
        <v>147</v>
      </c>
      <c r="M317" s="4">
        <v>149</v>
      </c>
      <c r="N317" s="3" t="s">
        <v>84</v>
      </c>
      <c r="O317" s="3" t="s">
        <v>24</v>
      </c>
    </row>
    <row r="318" spans="1:15" ht="22.05" customHeight="1" x14ac:dyDescent="0.4">
      <c r="A318" s="7">
        <v>518</v>
      </c>
      <c r="B318" s="8" t="s">
        <v>2585</v>
      </c>
      <c r="C318" s="6" t="str">
        <f>IFERROR(IF(LEFT(D318,FIND(" ",D318)-1)="전라북도","전북특별자치도",LEFT(D318,FIND(" ",D318)-1)),"")</f>
        <v>인천광역시</v>
      </c>
      <c r="D318" s="3" t="s">
        <v>2586</v>
      </c>
      <c r="E318" s="3" t="s">
        <v>2222</v>
      </c>
      <c r="F318" s="3" t="s">
        <v>2576</v>
      </c>
      <c r="G318" s="3" t="s">
        <v>2587</v>
      </c>
      <c r="H318" s="3" t="s">
        <v>2588</v>
      </c>
      <c r="I318" s="3" t="s">
        <v>2589</v>
      </c>
      <c r="J318" s="3" t="s">
        <v>19</v>
      </c>
      <c r="K318" s="3" t="s">
        <v>21</v>
      </c>
      <c r="L318" s="3" t="s">
        <v>22</v>
      </c>
      <c r="M318" s="4">
        <v>1991</v>
      </c>
      <c r="N318" s="3" t="s">
        <v>1498</v>
      </c>
      <c r="O318" s="3" t="s">
        <v>24</v>
      </c>
    </row>
    <row r="319" spans="1:15" ht="22.05" customHeight="1" x14ac:dyDescent="0.4">
      <c r="A319" s="7">
        <v>542</v>
      </c>
      <c r="B319" s="8" t="s">
        <v>2686</v>
      </c>
      <c r="C319" s="6" t="str">
        <f>IFERROR(IF(LEFT(D319,FIND(" ",D319)-1)="전라북도","전북특별자치도",LEFT(D319,FIND(" ",D319)-1)),"")</f>
        <v>인천광역시</v>
      </c>
      <c r="D319" s="3" t="s">
        <v>2687</v>
      </c>
      <c r="E319" s="3" t="s">
        <v>2688</v>
      </c>
      <c r="F319" s="3" t="s">
        <v>606</v>
      </c>
      <c r="G319" s="3" t="s">
        <v>19</v>
      </c>
      <c r="H319" s="3" t="s">
        <v>577</v>
      </c>
      <c r="I319" s="3" t="s">
        <v>19</v>
      </c>
      <c r="J319" s="3" t="s">
        <v>19</v>
      </c>
      <c r="K319" s="3" t="s">
        <v>21</v>
      </c>
      <c r="L319" s="3" t="s">
        <v>147</v>
      </c>
      <c r="M319" s="4">
        <v>1358</v>
      </c>
      <c r="N319" s="3" t="s">
        <v>19</v>
      </c>
      <c r="O319" s="3" t="s">
        <v>24</v>
      </c>
    </row>
    <row r="320" spans="1:15" hidden="1" x14ac:dyDescent="0.4">
      <c r="A320" s="7">
        <v>319</v>
      </c>
      <c r="B320" s="8" t="s">
        <v>1624</v>
      </c>
      <c r="C320" s="6" t="str">
        <f>IFERROR(IF(LEFT(D320,FIND(" ",D320)-1)="전라북도","전북특별자치도",LEFT(D320,FIND(" ",D320)-1)),"")</f>
        <v>경상북도</v>
      </c>
      <c r="D320" s="3" t="s">
        <v>1625</v>
      </c>
      <c r="E320" s="3" t="s">
        <v>1626</v>
      </c>
      <c r="F320" s="3" t="s">
        <v>793</v>
      </c>
      <c r="G320" s="3" t="s">
        <v>1627</v>
      </c>
      <c r="H320" s="3" t="s">
        <v>1628</v>
      </c>
      <c r="I320" s="3" t="s">
        <v>1629</v>
      </c>
      <c r="J320" s="3" t="s">
        <v>1630</v>
      </c>
      <c r="K320" s="3" t="s">
        <v>21</v>
      </c>
      <c r="L320" s="3" t="s">
        <v>22</v>
      </c>
      <c r="M320" s="4">
        <v>4762</v>
      </c>
      <c r="N320" s="3" t="s">
        <v>1498</v>
      </c>
      <c r="O320" s="3" t="s">
        <v>281</v>
      </c>
    </row>
    <row r="321" spans="1:15" hidden="1" x14ac:dyDescent="0.4">
      <c r="A321" s="7">
        <v>320</v>
      </c>
      <c r="B321" s="8" t="s">
        <v>1631</v>
      </c>
      <c r="C321" s="6" t="str">
        <f>IFERROR(IF(LEFT(D321,FIND(" ",D321)-1)="전라북도","전북특별자치도",LEFT(D321,FIND(" ",D321)-1)),"")</f>
        <v>경기도</v>
      </c>
      <c r="D321" s="3" t="s">
        <v>1632</v>
      </c>
      <c r="E321" s="3" t="s">
        <v>1633</v>
      </c>
      <c r="F321" s="3" t="s">
        <v>1634</v>
      </c>
      <c r="G321" s="3" t="s">
        <v>1635</v>
      </c>
      <c r="H321" s="3" t="s">
        <v>1636</v>
      </c>
      <c r="I321" s="3" t="s">
        <v>19</v>
      </c>
      <c r="J321" s="3" t="s">
        <v>1635</v>
      </c>
      <c r="K321" s="3" t="s">
        <v>21</v>
      </c>
      <c r="L321" s="3" t="s">
        <v>22</v>
      </c>
      <c r="M321" s="4">
        <v>193</v>
      </c>
      <c r="N321" s="3" t="s">
        <v>236</v>
      </c>
      <c r="O321" s="3" t="s">
        <v>281</v>
      </c>
    </row>
    <row r="322" spans="1:15" ht="19.95" hidden="1" customHeight="1" x14ac:dyDescent="0.4">
      <c r="A322" s="7">
        <v>590</v>
      </c>
      <c r="B322" s="8" t="s">
        <v>2875</v>
      </c>
      <c r="C322" s="6" t="str">
        <f>IFERROR(IF(LEFT(D322,FIND(" ",D322)-1)="전라북도","전북특별자치도",LEFT(D322,FIND(" ",D322)-1)),"")</f>
        <v>인천광역시</v>
      </c>
      <c r="D322" s="3" t="s">
        <v>2876</v>
      </c>
      <c r="E322" s="3" t="s">
        <v>2877</v>
      </c>
      <c r="F322" s="3" t="s">
        <v>679</v>
      </c>
      <c r="G322" s="3" t="s">
        <v>2878</v>
      </c>
      <c r="H322" s="3" t="s">
        <v>2879</v>
      </c>
      <c r="I322" s="3" t="s">
        <v>2880</v>
      </c>
      <c r="J322" s="3" t="s">
        <v>19</v>
      </c>
      <c r="K322" s="3" t="s">
        <v>21</v>
      </c>
      <c r="L322" s="3" t="s">
        <v>22</v>
      </c>
      <c r="M322" s="4">
        <v>204</v>
      </c>
      <c r="N322" s="3" t="s">
        <v>211</v>
      </c>
      <c r="O322" s="3" t="s">
        <v>24</v>
      </c>
    </row>
    <row r="323" spans="1:15" hidden="1" x14ac:dyDescent="0.4">
      <c r="A323" s="7">
        <v>322</v>
      </c>
      <c r="B323" s="8" t="s">
        <v>1642</v>
      </c>
      <c r="C323" s="6" t="str">
        <f>IFERROR(IF(LEFT(D323,FIND(" ",D323)-1)="전라북도","전북특별자치도",LEFT(D323,FIND(" ",D323)-1)),"")</f>
        <v>강원특별자치도</v>
      </c>
      <c r="D323" s="3" t="s">
        <v>1643</v>
      </c>
      <c r="E323" s="3" t="s">
        <v>1644</v>
      </c>
      <c r="F323" s="3" t="s">
        <v>1645</v>
      </c>
      <c r="G323" s="3" t="s">
        <v>939</v>
      </c>
      <c r="H323" s="3" t="s">
        <v>1647</v>
      </c>
      <c r="I323" s="3" t="s">
        <v>1647</v>
      </c>
      <c r="J323" s="3" t="s">
        <v>19</v>
      </c>
      <c r="K323" s="3" t="s">
        <v>21</v>
      </c>
      <c r="L323" s="3" t="s">
        <v>22</v>
      </c>
      <c r="M323" s="4">
        <v>474</v>
      </c>
      <c r="N323" s="3" t="s">
        <v>129</v>
      </c>
      <c r="O323" s="3" t="s">
        <v>281</v>
      </c>
    </row>
    <row r="324" spans="1:15" ht="19.95" hidden="1" customHeight="1" x14ac:dyDescent="0.4">
      <c r="A324" s="7">
        <v>591</v>
      </c>
      <c r="B324" s="8" t="s">
        <v>2881</v>
      </c>
      <c r="C324" s="6" t="str">
        <f>IFERROR(IF(LEFT(D324,FIND(" ",D324)-1)="전라북도","전북특별자치도",LEFT(D324,FIND(" ",D324)-1)),"")</f>
        <v>인천광역시</v>
      </c>
      <c r="D324" s="3" t="s">
        <v>2882</v>
      </c>
      <c r="E324" s="3" t="s">
        <v>2877</v>
      </c>
      <c r="F324" s="3" t="s">
        <v>679</v>
      </c>
      <c r="G324" s="3" t="s">
        <v>2878</v>
      </c>
      <c r="H324" s="3" t="s">
        <v>2879</v>
      </c>
      <c r="I324" s="3" t="s">
        <v>2880</v>
      </c>
      <c r="J324" s="3" t="s">
        <v>19</v>
      </c>
      <c r="K324" s="3" t="s">
        <v>21</v>
      </c>
      <c r="L324" s="3" t="s">
        <v>22</v>
      </c>
      <c r="M324" s="4">
        <v>199</v>
      </c>
      <c r="N324" s="3" t="s">
        <v>211</v>
      </c>
      <c r="O324" s="3" t="s">
        <v>24</v>
      </c>
    </row>
    <row r="325" spans="1:15" ht="19.95" hidden="1" customHeight="1" x14ac:dyDescent="0.4">
      <c r="A325" s="7">
        <v>768</v>
      </c>
      <c r="B325" s="8" t="s">
        <v>3589</v>
      </c>
      <c r="C325" s="6" t="str">
        <f>IFERROR(IF(LEFT(D325,FIND(" ",D325)-1)="전라북도","전북특별자치도",LEFT(D325,FIND(" ",D325)-1)),"")</f>
        <v>인천광역시</v>
      </c>
      <c r="D325" s="3" t="s">
        <v>3590</v>
      </c>
      <c r="E325" s="3" t="s">
        <v>1047</v>
      </c>
      <c r="F325" s="3" t="s">
        <v>3455</v>
      </c>
      <c r="G325" s="3" t="s">
        <v>19</v>
      </c>
      <c r="H325" s="3" t="s">
        <v>3591</v>
      </c>
      <c r="I325" s="3" t="s">
        <v>19</v>
      </c>
      <c r="J325" s="3" t="s">
        <v>19</v>
      </c>
      <c r="K325" s="3" t="s">
        <v>21</v>
      </c>
      <c r="L325" s="3" t="s">
        <v>22</v>
      </c>
      <c r="M325" s="4">
        <v>99</v>
      </c>
      <c r="N325" s="3" t="s">
        <v>211</v>
      </c>
      <c r="O325" s="3" t="s">
        <v>24</v>
      </c>
    </row>
    <row r="326" spans="1:15" hidden="1" x14ac:dyDescent="0.4">
      <c r="A326" s="7">
        <v>325</v>
      </c>
      <c r="B326" s="8" t="s">
        <v>1658</v>
      </c>
      <c r="C326" s="6" t="str">
        <f>IFERROR(IF(LEFT(D326,FIND(" ",D326)-1)="전라북도","전북특별자치도",LEFT(D326,FIND(" ",D326)-1)),"")</f>
        <v>경기도</v>
      </c>
      <c r="D326" s="3" t="s">
        <v>1659</v>
      </c>
      <c r="E326" s="3" t="s">
        <v>1660</v>
      </c>
      <c r="F326" s="3" t="s">
        <v>1661</v>
      </c>
      <c r="G326" s="3" t="s">
        <v>19</v>
      </c>
      <c r="H326" s="3" t="s">
        <v>302</v>
      </c>
      <c r="I326" s="3" t="s">
        <v>302</v>
      </c>
      <c r="J326" s="3" t="s">
        <v>19</v>
      </c>
      <c r="K326" s="3" t="s">
        <v>21</v>
      </c>
      <c r="L326" s="3" t="s">
        <v>147</v>
      </c>
      <c r="M326" s="4">
        <v>284</v>
      </c>
      <c r="N326" s="3" t="s">
        <v>211</v>
      </c>
      <c r="O326" s="3" t="s">
        <v>281</v>
      </c>
    </row>
    <row r="327" spans="1:15" hidden="1" x14ac:dyDescent="0.4">
      <c r="A327" s="7">
        <v>326</v>
      </c>
      <c r="B327" s="8" t="s">
        <v>1662</v>
      </c>
      <c r="C327" s="6" t="str">
        <f>IFERROR(IF(LEFT(D327,FIND(" ",D327)-1)="전라북도","전북특별자치도",LEFT(D327,FIND(" ",D327)-1)),"")</f>
        <v>울산광역시</v>
      </c>
      <c r="D327" s="3" t="s">
        <v>1663</v>
      </c>
      <c r="E327" s="3" t="s">
        <v>1664</v>
      </c>
      <c r="F327" s="3" t="s">
        <v>1661</v>
      </c>
      <c r="G327" s="3" t="s">
        <v>1665</v>
      </c>
      <c r="H327" s="3" t="s">
        <v>19</v>
      </c>
      <c r="I327" s="3" t="s">
        <v>19</v>
      </c>
      <c r="J327" s="3" t="s">
        <v>19</v>
      </c>
      <c r="K327" s="3" t="s">
        <v>21</v>
      </c>
      <c r="L327" s="3" t="s">
        <v>147</v>
      </c>
      <c r="M327" s="4">
        <v>604</v>
      </c>
      <c r="N327" s="3" t="s">
        <v>1498</v>
      </c>
      <c r="O327" s="3" t="s">
        <v>281</v>
      </c>
    </row>
    <row r="328" spans="1:15" hidden="1" x14ac:dyDescent="0.4">
      <c r="A328" s="7">
        <v>327</v>
      </c>
      <c r="B328" s="8" t="s">
        <v>1666</v>
      </c>
      <c r="C328" s="6" t="str">
        <f>IFERROR(IF(LEFT(D328,FIND(" ",D328)-1)="전라북도","전북특별자치도",LEFT(D328,FIND(" ",D328)-1)),"")</f>
        <v>경기도</v>
      </c>
      <c r="D328" s="3" t="s">
        <v>1667</v>
      </c>
      <c r="E328" s="3" t="s">
        <v>1660</v>
      </c>
      <c r="F328" s="3" t="s">
        <v>1661</v>
      </c>
      <c r="G328" s="3" t="s">
        <v>19</v>
      </c>
      <c r="H328" s="3" t="s">
        <v>302</v>
      </c>
      <c r="I328" s="3" t="s">
        <v>302</v>
      </c>
      <c r="J328" s="3" t="s">
        <v>19</v>
      </c>
      <c r="K328" s="3" t="s">
        <v>21</v>
      </c>
      <c r="L328" s="3" t="s">
        <v>147</v>
      </c>
      <c r="M328" s="4">
        <v>395</v>
      </c>
      <c r="N328" s="3" t="s">
        <v>84</v>
      </c>
      <c r="O328" s="3" t="s">
        <v>281</v>
      </c>
    </row>
    <row r="329" spans="1:15" hidden="1" x14ac:dyDescent="0.4">
      <c r="A329" s="7">
        <v>328</v>
      </c>
      <c r="B329" s="8" t="s">
        <v>1668</v>
      </c>
      <c r="C329" s="6" t="str">
        <f>IFERROR(IF(LEFT(D329,FIND(" ",D329)-1)="전라북도","전북특별자치도",LEFT(D329,FIND(" ",D329)-1)),"")</f>
        <v>경상남도</v>
      </c>
      <c r="D329" s="3" t="s">
        <v>1669</v>
      </c>
      <c r="E329" s="3" t="s">
        <v>1140</v>
      </c>
      <c r="F329" s="3" t="s">
        <v>1660</v>
      </c>
      <c r="G329" s="3" t="s">
        <v>1670</v>
      </c>
      <c r="H329" s="3" t="s">
        <v>205</v>
      </c>
      <c r="I329" s="3" t="s">
        <v>205</v>
      </c>
      <c r="J329" s="3" t="s">
        <v>1671</v>
      </c>
      <c r="K329" s="3" t="s">
        <v>21</v>
      </c>
      <c r="L329" s="3" t="s">
        <v>228</v>
      </c>
      <c r="M329" s="4">
        <v>1364</v>
      </c>
      <c r="N329" s="3" t="s">
        <v>1498</v>
      </c>
      <c r="O329" s="3" t="s">
        <v>281</v>
      </c>
    </row>
    <row r="330" spans="1:15" hidden="1" x14ac:dyDescent="0.4">
      <c r="A330" s="7">
        <v>329</v>
      </c>
      <c r="B330" s="8" t="s">
        <v>1672</v>
      </c>
      <c r="C330" s="6" t="str">
        <f>IFERROR(IF(LEFT(D330,FIND(" ",D330)-1)="전라북도","전북특별자치도",LEFT(D330,FIND(" ",D330)-1)),"")</f>
        <v>대구광역시</v>
      </c>
      <c r="D330" s="3" t="s">
        <v>1673</v>
      </c>
      <c r="E330" s="3" t="s">
        <v>1674</v>
      </c>
      <c r="F330" s="3" t="s">
        <v>1660</v>
      </c>
      <c r="G330" s="3" t="s">
        <v>19</v>
      </c>
      <c r="H330" s="3" t="s">
        <v>1675</v>
      </c>
      <c r="I330" s="3" t="s">
        <v>1675</v>
      </c>
      <c r="J330" s="3" t="s">
        <v>19</v>
      </c>
      <c r="K330" s="3" t="s">
        <v>21</v>
      </c>
      <c r="L330" s="3" t="s">
        <v>147</v>
      </c>
      <c r="M330" s="4">
        <v>536</v>
      </c>
      <c r="N330" s="3" t="s">
        <v>1498</v>
      </c>
      <c r="O330" s="3" t="s">
        <v>281</v>
      </c>
    </row>
    <row r="331" spans="1:15" ht="22.05" customHeight="1" x14ac:dyDescent="0.4">
      <c r="A331" s="7">
        <v>39</v>
      </c>
      <c r="B331" s="8" t="s">
        <v>229</v>
      </c>
      <c r="C331" s="6" t="str">
        <f>IFERROR(IF(LEFT(D331,FIND(" ",D331)-1)="전라북도","전북특별자치도",LEFT(D331,FIND(" ",D331)-1)),"")</f>
        <v>전남광주통합특별시</v>
      </c>
      <c r="D331" s="3" t="s">
        <v>230</v>
      </c>
      <c r="E331" s="3" t="s">
        <v>231</v>
      </c>
      <c r="F331" s="3" t="s">
        <v>232</v>
      </c>
      <c r="G331" s="3" t="s">
        <v>233</v>
      </c>
      <c r="H331" s="3" t="s">
        <v>234</v>
      </c>
      <c r="I331" s="3" t="s">
        <v>235</v>
      </c>
      <c r="J331" s="3" t="s">
        <v>19</v>
      </c>
      <c r="K331" s="3" t="s">
        <v>21</v>
      </c>
      <c r="L331" s="3" t="s">
        <v>22</v>
      </c>
      <c r="M331" s="4">
        <v>1139</v>
      </c>
      <c r="N331" s="3" t="s">
        <v>236</v>
      </c>
      <c r="O331" s="3" t="s">
        <v>24</v>
      </c>
    </row>
    <row r="332" spans="1:15" hidden="1" x14ac:dyDescent="0.4">
      <c r="A332" s="7">
        <v>331</v>
      </c>
      <c r="B332" s="8" t="s">
        <v>1681</v>
      </c>
      <c r="C332" s="6" t="str">
        <f>IFERROR(IF(LEFT(D332,FIND(" ",D332)-1)="전라북도","전북특별자치도",LEFT(D332,FIND(" ",D332)-1)),"")</f>
        <v>강원특별자치도</v>
      </c>
      <c r="D332" s="3" t="s">
        <v>1682</v>
      </c>
      <c r="E332" s="3" t="s">
        <v>1683</v>
      </c>
      <c r="F332" s="3" t="s">
        <v>1684</v>
      </c>
      <c r="G332" s="3" t="s">
        <v>1686</v>
      </c>
      <c r="H332" s="3" t="s">
        <v>1687</v>
      </c>
      <c r="I332" s="3" t="s">
        <v>19</v>
      </c>
      <c r="J332" s="3" t="s">
        <v>19</v>
      </c>
      <c r="K332" s="3" t="s">
        <v>21</v>
      </c>
      <c r="L332" s="3" t="s">
        <v>22</v>
      </c>
      <c r="M332" s="4">
        <v>260</v>
      </c>
      <c r="N332" s="3" t="s">
        <v>211</v>
      </c>
      <c r="O332" s="3" t="s">
        <v>281</v>
      </c>
    </row>
    <row r="333" spans="1:15" hidden="1" x14ac:dyDescent="0.4">
      <c r="A333" s="7">
        <v>332</v>
      </c>
      <c r="B333" s="8" t="s">
        <v>1688</v>
      </c>
      <c r="C333" s="6" t="str">
        <f>IFERROR(IF(LEFT(D333,FIND(" ",D333)-1)="전라북도","전북특별자치도",LEFT(D333,FIND(" ",D333)-1)),"")</f>
        <v>충청남도</v>
      </c>
      <c r="D333" s="3" t="s">
        <v>1689</v>
      </c>
      <c r="E333" s="3" t="s">
        <v>1690</v>
      </c>
      <c r="F333" s="3" t="s">
        <v>1691</v>
      </c>
      <c r="G333" s="3" t="s">
        <v>1693</v>
      </c>
      <c r="H333" s="3" t="s">
        <v>1694</v>
      </c>
      <c r="I333" s="3" t="s">
        <v>1695</v>
      </c>
      <c r="J333" s="3" t="s">
        <v>19</v>
      </c>
      <c r="K333" s="3" t="s">
        <v>21</v>
      </c>
      <c r="L333" s="3" t="s">
        <v>22</v>
      </c>
      <c r="M333" s="4">
        <v>211</v>
      </c>
      <c r="N333" s="3" t="s">
        <v>84</v>
      </c>
      <c r="O333" s="3" t="s">
        <v>281</v>
      </c>
    </row>
    <row r="334" spans="1:15" hidden="1" x14ac:dyDescent="0.4">
      <c r="A334" s="7">
        <v>333</v>
      </c>
      <c r="B334" s="8" t="s">
        <v>1696</v>
      </c>
      <c r="C334" s="6" t="str">
        <f>IFERROR(IF(LEFT(D334,FIND(" ",D334)-1)="전라북도","전북특별자치도",LEFT(D334,FIND(" ",D334)-1)),"")</f>
        <v>경기도</v>
      </c>
      <c r="D334" s="3" t="s">
        <v>1697</v>
      </c>
      <c r="E334" s="3" t="s">
        <v>1698</v>
      </c>
      <c r="F334" s="3" t="s">
        <v>1699</v>
      </c>
      <c r="G334" s="3" t="s">
        <v>19</v>
      </c>
      <c r="H334" s="3" t="s">
        <v>302</v>
      </c>
      <c r="I334" s="3" t="s">
        <v>302</v>
      </c>
      <c r="J334" s="3" t="s">
        <v>19</v>
      </c>
      <c r="K334" s="3" t="s">
        <v>21</v>
      </c>
      <c r="L334" s="3" t="s">
        <v>147</v>
      </c>
      <c r="M334" s="4">
        <v>594</v>
      </c>
      <c r="N334" s="3" t="s">
        <v>84</v>
      </c>
      <c r="O334" s="3" t="s">
        <v>281</v>
      </c>
    </row>
    <row r="335" spans="1:15" ht="22.05" customHeight="1" x14ac:dyDescent="0.4">
      <c r="A335" s="7">
        <v>104</v>
      </c>
      <c r="B335" s="8" t="s">
        <v>547</v>
      </c>
      <c r="C335" s="6" t="str">
        <f>IFERROR(IF(LEFT(D335,FIND(" ",D335)-1)="전라북도","전북특별자치도",LEFT(D335,FIND(" ",D335)-1)),"")</f>
        <v>전남광주통합특별시</v>
      </c>
      <c r="D335" s="3" t="s">
        <v>548</v>
      </c>
      <c r="E335" s="3" t="s">
        <v>549</v>
      </c>
      <c r="F335" s="3" t="s">
        <v>544</v>
      </c>
      <c r="G335" s="3" t="s">
        <v>19</v>
      </c>
      <c r="H335" s="3" t="s">
        <v>550</v>
      </c>
      <c r="I335" s="3" t="s">
        <v>19</v>
      </c>
      <c r="J335" s="3" t="s">
        <v>19</v>
      </c>
      <c r="K335" s="3" t="s">
        <v>21</v>
      </c>
      <c r="L335" s="3" t="s">
        <v>22</v>
      </c>
      <c r="M335" s="4">
        <v>514</v>
      </c>
      <c r="N335" s="3" t="s">
        <v>23</v>
      </c>
      <c r="O335" s="3" t="s">
        <v>24</v>
      </c>
    </row>
    <row r="336" spans="1:15" hidden="1" x14ac:dyDescent="0.4">
      <c r="A336" s="7">
        <v>335</v>
      </c>
      <c r="B336" s="8" t="s">
        <v>1705</v>
      </c>
      <c r="C336" s="6" t="str">
        <f>IFERROR(IF(LEFT(D336,FIND(" ",D336)-1)="전라북도","전북특별자치도",LEFT(D336,FIND(" ",D336)-1)),"")</f>
        <v>경상북도</v>
      </c>
      <c r="D336" s="3" t="s">
        <v>1706</v>
      </c>
      <c r="E336" s="3" t="s">
        <v>181</v>
      </c>
      <c r="F336" s="3" t="s">
        <v>1699</v>
      </c>
      <c r="G336" s="3" t="s">
        <v>1707</v>
      </c>
      <c r="H336" s="3" t="s">
        <v>110</v>
      </c>
      <c r="I336" s="3" t="s">
        <v>19</v>
      </c>
      <c r="J336" s="3" t="s">
        <v>1707</v>
      </c>
      <c r="K336" s="3" t="s">
        <v>21</v>
      </c>
      <c r="L336" s="3" t="s">
        <v>147</v>
      </c>
      <c r="M336" s="4">
        <v>882</v>
      </c>
      <c r="N336" s="3" t="s">
        <v>1498</v>
      </c>
      <c r="O336" s="3" t="s">
        <v>281</v>
      </c>
    </row>
    <row r="337" spans="1:15" hidden="1" x14ac:dyDescent="0.4">
      <c r="A337" s="7">
        <v>336</v>
      </c>
      <c r="B337" s="8" t="s">
        <v>1708</v>
      </c>
      <c r="C337" s="6" t="str">
        <f>IFERROR(IF(LEFT(D337,FIND(" ",D337)-1)="전라북도","전북특별자치도",LEFT(D337,FIND(" ",D337)-1)),"")</f>
        <v>제주특별자치도</v>
      </c>
      <c r="D337" s="3" t="s">
        <v>1709</v>
      </c>
      <c r="E337" s="3" t="s">
        <v>1710</v>
      </c>
      <c r="F337" s="3" t="s">
        <v>1711</v>
      </c>
      <c r="G337" s="3" t="s">
        <v>19</v>
      </c>
      <c r="H337" s="3" t="s">
        <v>1713</v>
      </c>
      <c r="I337" s="3" t="s">
        <v>19</v>
      </c>
      <c r="J337" s="3" t="s">
        <v>19</v>
      </c>
      <c r="K337" s="3" t="s">
        <v>21</v>
      </c>
      <c r="L337" s="3" t="s">
        <v>147</v>
      </c>
      <c r="M337" s="4">
        <v>884</v>
      </c>
      <c r="N337" s="3" t="s">
        <v>1498</v>
      </c>
      <c r="O337" s="3" t="s">
        <v>281</v>
      </c>
    </row>
    <row r="338" spans="1:15" hidden="1" x14ac:dyDescent="0.4">
      <c r="A338" s="7">
        <v>337</v>
      </c>
      <c r="B338" s="8" t="s">
        <v>1714</v>
      </c>
      <c r="C338" s="6" t="str">
        <f>IFERROR(IF(LEFT(D338,FIND(" ",D338)-1)="전라북도","전북특별자치도",LEFT(D338,FIND(" ",D338)-1)),"")</f>
        <v>광주광역시</v>
      </c>
      <c r="D338" s="3" t="s">
        <v>1715</v>
      </c>
      <c r="E338" s="3" t="s">
        <v>181</v>
      </c>
      <c r="F338" s="3" t="s">
        <v>1716</v>
      </c>
      <c r="G338" s="3" t="s">
        <v>19</v>
      </c>
      <c r="H338" s="3" t="s">
        <v>1718</v>
      </c>
      <c r="I338" s="3" t="s">
        <v>19</v>
      </c>
      <c r="J338" s="3" t="s">
        <v>19</v>
      </c>
      <c r="K338" s="3" t="s">
        <v>21</v>
      </c>
      <c r="L338" s="3" t="s">
        <v>147</v>
      </c>
      <c r="M338" s="4">
        <v>579</v>
      </c>
      <c r="N338" s="3" t="s">
        <v>1498</v>
      </c>
      <c r="O338" s="3" t="s">
        <v>281</v>
      </c>
    </row>
    <row r="339" spans="1:15" hidden="1" x14ac:dyDescent="0.4">
      <c r="A339" s="7">
        <v>338</v>
      </c>
      <c r="B339" s="8" t="s">
        <v>1719</v>
      </c>
      <c r="C339" s="6" t="str">
        <f>IFERROR(IF(LEFT(D339,FIND(" ",D339)-1)="전라북도","전북특별자치도",LEFT(D339,FIND(" ",D339)-1)),"")</f>
        <v>경기도</v>
      </c>
      <c r="D339" s="3" t="s">
        <v>1720</v>
      </c>
      <c r="E339" s="3" t="s">
        <v>1721</v>
      </c>
      <c r="F339" s="3" t="s">
        <v>1698</v>
      </c>
      <c r="G339" s="3" t="s">
        <v>1722</v>
      </c>
      <c r="H339" s="3" t="s">
        <v>953</v>
      </c>
      <c r="I339" s="3" t="s">
        <v>19</v>
      </c>
      <c r="J339" s="3" t="s">
        <v>19</v>
      </c>
      <c r="K339" s="3" t="s">
        <v>21</v>
      </c>
      <c r="L339" s="3" t="s">
        <v>147</v>
      </c>
      <c r="M339" s="4">
        <v>1242</v>
      </c>
      <c r="N339" s="3" t="s">
        <v>1498</v>
      </c>
      <c r="O339" s="3" t="s">
        <v>281</v>
      </c>
    </row>
    <row r="340" spans="1:15" hidden="1" x14ac:dyDescent="0.4">
      <c r="A340" s="7">
        <v>339</v>
      </c>
      <c r="B340" s="8" t="s">
        <v>1723</v>
      </c>
      <c r="C340" s="6" t="str">
        <f>IFERROR(IF(LEFT(D340,FIND(" ",D340)-1)="전라북도","전북특별자치도",LEFT(D340,FIND(" ",D340)-1)),"")</f>
        <v>경상북도</v>
      </c>
      <c r="D340" s="3" t="s">
        <v>1724</v>
      </c>
      <c r="E340" s="3" t="s">
        <v>1725</v>
      </c>
      <c r="F340" s="3" t="s">
        <v>1726</v>
      </c>
      <c r="G340" s="3" t="s">
        <v>1728</v>
      </c>
      <c r="H340" s="3" t="s">
        <v>1729</v>
      </c>
      <c r="I340" s="3" t="s">
        <v>1729</v>
      </c>
      <c r="J340" s="3" t="s">
        <v>1728</v>
      </c>
      <c r="K340" s="3" t="s">
        <v>21</v>
      </c>
      <c r="L340" s="3" t="s">
        <v>228</v>
      </c>
      <c r="M340" s="4">
        <v>1640</v>
      </c>
      <c r="N340" s="3" t="s">
        <v>1498</v>
      </c>
      <c r="O340" s="3" t="s">
        <v>281</v>
      </c>
    </row>
    <row r="341" spans="1:15" hidden="1" x14ac:dyDescent="0.4">
      <c r="A341" s="7">
        <v>340</v>
      </c>
      <c r="B341" s="8" t="s">
        <v>1730</v>
      </c>
      <c r="C341" s="6" t="str">
        <f>IFERROR(IF(LEFT(D341,FIND(" ",D341)-1)="전라북도","전북특별자치도",LEFT(D341,FIND(" ",D341)-1)),"")</f>
        <v>충청남도</v>
      </c>
      <c r="D341" s="3" t="s">
        <v>1731</v>
      </c>
      <c r="E341" s="3" t="s">
        <v>1732</v>
      </c>
      <c r="F341" s="3" t="s">
        <v>1726</v>
      </c>
      <c r="G341" s="3" t="s">
        <v>1733</v>
      </c>
      <c r="H341" s="3" t="s">
        <v>1734</v>
      </c>
      <c r="I341" s="3" t="s">
        <v>1735</v>
      </c>
      <c r="J341" s="3" t="s">
        <v>19</v>
      </c>
      <c r="K341" s="3" t="s">
        <v>21</v>
      </c>
      <c r="L341" s="3" t="s">
        <v>147</v>
      </c>
      <c r="M341" s="4">
        <v>2013</v>
      </c>
      <c r="N341" s="3" t="s">
        <v>1498</v>
      </c>
      <c r="O341" s="3" t="s">
        <v>281</v>
      </c>
    </row>
    <row r="342" spans="1:15" hidden="1" x14ac:dyDescent="0.4">
      <c r="A342" s="7">
        <v>341</v>
      </c>
      <c r="B342" s="8" t="s">
        <v>1736</v>
      </c>
      <c r="C342" s="6" t="str">
        <f>IFERROR(IF(LEFT(D342,FIND(" ",D342)-1)="전라북도","전북특별자치도",LEFT(D342,FIND(" ",D342)-1)),"")</f>
        <v>부산광역시</v>
      </c>
      <c r="D342" s="3" t="s">
        <v>1737</v>
      </c>
      <c r="E342" s="3" t="s">
        <v>713</v>
      </c>
      <c r="F342" s="3" t="s">
        <v>1738</v>
      </c>
      <c r="G342" s="3" t="s">
        <v>19</v>
      </c>
      <c r="H342" s="3" t="s">
        <v>1739</v>
      </c>
      <c r="I342" s="3" t="s">
        <v>1739</v>
      </c>
      <c r="J342" s="3" t="s">
        <v>19</v>
      </c>
      <c r="K342" s="3" t="s">
        <v>21</v>
      </c>
      <c r="L342" s="3" t="s">
        <v>228</v>
      </c>
      <c r="M342" s="4">
        <v>2916</v>
      </c>
      <c r="N342" s="3" t="s">
        <v>1498</v>
      </c>
      <c r="O342" s="3" t="s">
        <v>281</v>
      </c>
    </row>
    <row r="343" spans="1:15" hidden="1" x14ac:dyDescent="0.4">
      <c r="A343" s="7">
        <v>342</v>
      </c>
      <c r="B343" s="8" t="s">
        <v>1740</v>
      </c>
      <c r="C343" s="6" t="str">
        <f>IFERROR(IF(LEFT(D343,FIND(" ",D343)-1)="전라북도","전북특별자치도",LEFT(D343,FIND(" ",D343)-1)),"")</f>
        <v>충청남도</v>
      </c>
      <c r="D343" s="3" t="s">
        <v>1741</v>
      </c>
      <c r="E343" s="3" t="s">
        <v>1742</v>
      </c>
      <c r="F343" s="3" t="s">
        <v>1743</v>
      </c>
      <c r="G343" s="3" t="s">
        <v>1744</v>
      </c>
      <c r="H343" s="3" t="s">
        <v>1745</v>
      </c>
      <c r="I343" s="3" t="s">
        <v>19</v>
      </c>
      <c r="J343" s="3" t="s">
        <v>19</v>
      </c>
      <c r="K343" s="3" t="s">
        <v>21</v>
      </c>
      <c r="L343" s="3" t="s">
        <v>22</v>
      </c>
      <c r="M343" s="4">
        <v>198</v>
      </c>
      <c r="N343" s="3" t="s">
        <v>84</v>
      </c>
      <c r="O343" s="3" t="s">
        <v>281</v>
      </c>
    </row>
    <row r="344" spans="1:15" ht="19.95" hidden="1" customHeight="1" x14ac:dyDescent="0.4">
      <c r="A344" s="7">
        <v>106</v>
      </c>
      <c r="B344" s="8" t="s">
        <v>557</v>
      </c>
      <c r="C344" s="6" t="str">
        <f>IFERROR(IF(LEFT(D344,FIND(" ",D344)-1)="전라북도","전북특별자치도",LEFT(D344,FIND(" ",D344)-1)),"")</f>
        <v>전라남도</v>
      </c>
      <c r="D344" s="3" t="s">
        <v>558</v>
      </c>
      <c r="E344" s="3" t="s">
        <v>559</v>
      </c>
      <c r="F344" s="3" t="s">
        <v>560</v>
      </c>
      <c r="G344" s="3" t="s">
        <v>19</v>
      </c>
      <c r="H344" s="3" t="s">
        <v>561</v>
      </c>
      <c r="I344" s="3" t="s">
        <v>19</v>
      </c>
      <c r="J344" s="3" t="s">
        <v>19</v>
      </c>
      <c r="K344" s="3" t="s">
        <v>21</v>
      </c>
      <c r="L344" s="3" t="s">
        <v>22</v>
      </c>
      <c r="M344" s="4">
        <v>255</v>
      </c>
      <c r="N344" s="3" t="s">
        <v>562</v>
      </c>
      <c r="O344" s="3" t="s">
        <v>24</v>
      </c>
    </row>
    <row r="345" spans="1:15" hidden="1" x14ac:dyDescent="0.4">
      <c r="A345" s="7">
        <v>344</v>
      </c>
      <c r="B345" s="8" t="s">
        <v>1752</v>
      </c>
      <c r="C345" s="6" t="str">
        <f>IFERROR(IF(LEFT(D345,FIND(" ",D345)-1)="전라북도","전북특별자치도",LEFT(D345,FIND(" ",D345)-1)),"")</f>
        <v>충청남도</v>
      </c>
      <c r="D345" s="3" t="s">
        <v>1753</v>
      </c>
      <c r="E345" s="3" t="s">
        <v>1754</v>
      </c>
      <c r="F345" s="3" t="s">
        <v>1732</v>
      </c>
      <c r="G345" s="3" t="s">
        <v>19</v>
      </c>
      <c r="H345" s="3" t="s">
        <v>1090</v>
      </c>
      <c r="I345" s="3" t="s">
        <v>19</v>
      </c>
      <c r="J345" s="3" t="s">
        <v>19</v>
      </c>
      <c r="K345" s="3" t="s">
        <v>21</v>
      </c>
      <c r="L345" s="3" t="s">
        <v>147</v>
      </c>
      <c r="M345" s="4">
        <v>513</v>
      </c>
      <c r="N345" s="3" t="s">
        <v>84</v>
      </c>
      <c r="O345" s="3" t="s">
        <v>281</v>
      </c>
    </row>
    <row r="346" spans="1:15" hidden="1" x14ac:dyDescent="0.4">
      <c r="A346" s="7">
        <v>345</v>
      </c>
      <c r="B346" s="8" t="s">
        <v>1756</v>
      </c>
      <c r="C346" s="6" t="str">
        <f>IFERROR(IF(LEFT(D346,FIND(" ",D346)-1)="전라북도","전북특별자치도",LEFT(D346,FIND(" ",D346)-1)),"")</f>
        <v>전북특별자치도</v>
      </c>
      <c r="D346" s="3" t="s">
        <v>1757</v>
      </c>
      <c r="E346" s="3" t="s">
        <v>1626</v>
      </c>
      <c r="F346" s="3" t="s">
        <v>1732</v>
      </c>
      <c r="G346" s="3" t="s">
        <v>19</v>
      </c>
      <c r="H346" s="3" t="s">
        <v>1758</v>
      </c>
      <c r="I346" s="3" t="s">
        <v>19</v>
      </c>
      <c r="J346" s="3" t="s">
        <v>19</v>
      </c>
      <c r="K346" s="3" t="s">
        <v>21</v>
      </c>
      <c r="L346" s="3" t="s">
        <v>147</v>
      </c>
      <c r="M346" s="4">
        <v>956</v>
      </c>
      <c r="N346" s="3" t="s">
        <v>1498</v>
      </c>
      <c r="O346" s="3" t="s">
        <v>281</v>
      </c>
    </row>
    <row r="347" spans="1:15" ht="22.05" customHeight="1" x14ac:dyDescent="0.4">
      <c r="A347" s="7">
        <v>123</v>
      </c>
      <c r="B347" s="8" t="s">
        <v>645</v>
      </c>
      <c r="C347" s="6" t="str">
        <f>IFERROR(IF(LEFT(D347,FIND(" ",D347)-1)="전라북도","전북특별자치도",LEFT(D347,FIND(" ",D347)-1)),"")</f>
        <v>전라남도</v>
      </c>
      <c r="D347" s="3" t="s">
        <v>646</v>
      </c>
      <c r="E347" s="3" t="s">
        <v>647</v>
      </c>
      <c r="F347" s="3" t="s">
        <v>648</v>
      </c>
      <c r="G347" s="3" t="s">
        <v>649</v>
      </c>
      <c r="H347" s="3" t="s">
        <v>650</v>
      </c>
      <c r="I347" s="3" t="s">
        <v>650</v>
      </c>
      <c r="J347" s="3" t="s">
        <v>651</v>
      </c>
      <c r="K347" s="3" t="s">
        <v>21</v>
      </c>
      <c r="L347" s="3" t="s">
        <v>22</v>
      </c>
      <c r="M347" s="4">
        <v>638</v>
      </c>
      <c r="N347" s="3" t="s">
        <v>129</v>
      </c>
      <c r="O347" s="3" t="s">
        <v>24</v>
      </c>
    </row>
    <row r="348" spans="1:15" ht="22.05" customHeight="1" x14ac:dyDescent="0.4">
      <c r="A348" s="7">
        <v>160</v>
      </c>
      <c r="B348" s="8" t="s">
        <v>830</v>
      </c>
      <c r="C348" s="6" t="str">
        <f>IFERROR(IF(LEFT(D348,FIND(" ",D348)-1)="전라북도","전북특별자치도",LEFT(D348,FIND(" ",D348)-1)),"")</f>
        <v>전라남도</v>
      </c>
      <c r="D348" s="3" t="s">
        <v>831</v>
      </c>
      <c r="E348" s="3" t="s">
        <v>832</v>
      </c>
      <c r="F348" s="3" t="s">
        <v>833</v>
      </c>
      <c r="G348" s="3" t="s">
        <v>19</v>
      </c>
      <c r="H348" s="3" t="s">
        <v>834</v>
      </c>
      <c r="I348" s="3" t="s">
        <v>834</v>
      </c>
      <c r="J348" s="3" t="s">
        <v>19</v>
      </c>
      <c r="K348" s="3" t="s">
        <v>21</v>
      </c>
      <c r="L348" s="3" t="s">
        <v>22</v>
      </c>
      <c r="M348" s="4">
        <v>316</v>
      </c>
      <c r="N348" s="3" t="s">
        <v>23</v>
      </c>
      <c r="O348" s="3" t="s">
        <v>24</v>
      </c>
    </row>
    <row r="349" spans="1:15" ht="22.05" customHeight="1" x14ac:dyDescent="0.4">
      <c r="A349" s="7">
        <v>186</v>
      </c>
      <c r="B349" s="8" t="s">
        <v>967</v>
      </c>
      <c r="C349" s="6" t="str">
        <f>IFERROR(IF(LEFT(D349,FIND(" ",D349)-1)="전라북도","전북특별자치도",LEFT(D349,FIND(" ",D349)-1)),"")</f>
        <v>전라남도</v>
      </c>
      <c r="D349" s="3" t="s">
        <v>968</v>
      </c>
      <c r="E349" s="3" t="s">
        <v>969</v>
      </c>
      <c r="F349" s="3" t="s">
        <v>970</v>
      </c>
      <c r="G349" s="3" t="s">
        <v>19</v>
      </c>
      <c r="H349" s="3" t="s">
        <v>971</v>
      </c>
      <c r="I349" s="3" t="s">
        <v>19</v>
      </c>
      <c r="J349" s="3" t="s">
        <v>972</v>
      </c>
      <c r="K349" s="3" t="s">
        <v>21</v>
      </c>
      <c r="L349" s="3" t="s">
        <v>22</v>
      </c>
      <c r="M349" s="4">
        <v>47700</v>
      </c>
      <c r="N349" s="3" t="s">
        <v>236</v>
      </c>
      <c r="O349" s="3" t="s">
        <v>24</v>
      </c>
    </row>
    <row r="350" spans="1:15" hidden="1" x14ac:dyDescent="0.4">
      <c r="A350" s="7">
        <v>349</v>
      </c>
      <c r="B350" s="8" t="s">
        <v>1773</v>
      </c>
      <c r="C350" s="6" t="str">
        <f>IFERROR(IF(LEFT(D350,FIND(" ",D350)-1)="전라북도","전북특별자치도",LEFT(D350,FIND(" ",D350)-1)),"")</f>
        <v>강원특별자치도</v>
      </c>
      <c r="D350" s="3" t="s">
        <v>1774</v>
      </c>
      <c r="E350" s="3" t="s">
        <v>1775</v>
      </c>
      <c r="F350" s="3" t="s">
        <v>1776</v>
      </c>
      <c r="G350" s="3" t="s">
        <v>19</v>
      </c>
      <c r="H350" s="3" t="s">
        <v>1778</v>
      </c>
      <c r="I350" s="3" t="s">
        <v>19</v>
      </c>
      <c r="J350" s="3" t="s">
        <v>19</v>
      </c>
      <c r="K350" s="3" t="s">
        <v>21</v>
      </c>
      <c r="L350" s="3" t="s">
        <v>147</v>
      </c>
      <c r="M350" s="4">
        <v>94</v>
      </c>
      <c r="N350" s="3" t="s">
        <v>211</v>
      </c>
      <c r="O350" s="3" t="s">
        <v>281</v>
      </c>
    </row>
    <row r="351" spans="1:15" ht="22.05" customHeight="1" x14ac:dyDescent="0.4">
      <c r="A351" s="7">
        <v>233</v>
      </c>
      <c r="B351" s="8" t="s">
        <v>1198</v>
      </c>
      <c r="C351" s="6" t="str">
        <f>IFERROR(IF(LEFT(D351,FIND(" ",D351)-1)="전라북도","전북특별자치도",LEFT(D351,FIND(" ",D351)-1)),"")</f>
        <v>전라남도</v>
      </c>
      <c r="D351" s="3" t="s">
        <v>1199</v>
      </c>
      <c r="E351" s="3" t="s">
        <v>1200</v>
      </c>
      <c r="F351" s="3" t="s">
        <v>1201</v>
      </c>
      <c r="G351" s="3" t="s">
        <v>19</v>
      </c>
      <c r="H351" s="3" t="s">
        <v>1202</v>
      </c>
      <c r="I351" s="3" t="s">
        <v>19</v>
      </c>
      <c r="J351" s="3" t="s">
        <v>1203</v>
      </c>
      <c r="K351" s="3" t="s">
        <v>21</v>
      </c>
      <c r="L351" s="3" t="s">
        <v>22</v>
      </c>
      <c r="M351" s="4">
        <v>3741</v>
      </c>
      <c r="N351" s="3" t="s">
        <v>23</v>
      </c>
      <c r="O351" s="3" t="s">
        <v>24</v>
      </c>
    </row>
    <row r="352" spans="1:15" ht="22.05" customHeight="1" x14ac:dyDescent="0.4">
      <c r="A352" s="7">
        <v>248</v>
      </c>
      <c r="B352" s="8" t="s">
        <v>1266</v>
      </c>
      <c r="C352" s="6" t="str">
        <f>IFERROR(IF(LEFT(D352,FIND(" ",D352)-1)="전라북도","전북특별자치도",LEFT(D352,FIND(" ",D352)-1)),"")</f>
        <v>전라남도</v>
      </c>
      <c r="D352" s="3" t="s">
        <v>1267</v>
      </c>
      <c r="E352" s="3" t="s">
        <v>1268</v>
      </c>
      <c r="F352" s="3" t="s">
        <v>305</v>
      </c>
      <c r="G352" s="3" t="s">
        <v>1269</v>
      </c>
      <c r="H352" s="3" t="s">
        <v>1269</v>
      </c>
      <c r="I352" s="3" t="s">
        <v>19</v>
      </c>
      <c r="J352" s="3" t="s">
        <v>19</v>
      </c>
      <c r="K352" s="3" t="s">
        <v>21</v>
      </c>
      <c r="L352" s="3" t="s">
        <v>22</v>
      </c>
      <c r="M352" s="4">
        <v>1343</v>
      </c>
      <c r="N352" s="3" t="s">
        <v>23</v>
      </c>
      <c r="O352" s="3" t="s">
        <v>24</v>
      </c>
    </row>
    <row r="353" spans="1:15" ht="22.05" customHeight="1" x14ac:dyDescent="0.4">
      <c r="A353" s="7">
        <v>256</v>
      </c>
      <c r="B353" s="8" t="s">
        <v>1307</v>
      </c>
      <c r="C353" s="6" t="str">
        <f>IFERROR(IF(LEFT(D353,FIND(" ",D353)-1)="전라북도","전북특별자치도",LEFT(D353,FIND(" ",D353)-1)),"")</f>
        <v>전라남도</v>
      </c>
      <c r="D353" s="3" t="s">
        <v>1308</v>
      </c>
      <c r="E353" s="3" t="s">
        <v>1309</v>
      </c>
      <c r="F353" s="3" t="s">
        <v>1305</v>
      </c>
      <c r="G353" s="3" t="s">
        <v>19</v>
      </c>
      <c r="H353" s="3" t="s">
        <v>1025</v>
      </c>
      <c r="I353" s="3" t="s">
        <v>19</v>
      </c>
      <c r="J353" s="3" t="s">
        <v>1310</v>
      </c>
      <c r="K353" s="3" t="s">
        <v>21</v>
      </c>
      <c r="L353" s="3" t="s">
        <v>22</v>
      </c>
      <c r="M353" s="4">
        <v>16852</v>
      </c>
      <c r="N353" s="3" t="s">
        <v>23</v>
      </c>
      <c r="O353" s="3" t="s">
        <v>24</v>
      </c>
    </row>
    <row r="354" spans="1:15" ht="22.05" customHeight="1" x14ac:dyDescent="0.4">
      <c r="A354" s="7">
        <v>270</v>
      </c>
      <c r="B354" s="8" t="s">
        <v>1379</v>
      </c>
      <c r="C354" s="6" t="str">
        <f>IFERROR(IF(LEFT(D354,FIND(" ",D354)-1)="전라북도","전북특별자치도",LEFT(D354,FIND(" ",D354)-1)),"")</f>
        <v>전라남도</v>
      </c>
      <c r="D354" s="3" t="s">
        <v>1380</v>
      </c>
      <c r="E354" s="3" t="s">
        <v>1381</v>
      </c>
      <c r="F354" s="3" t="s">
        <v>1373</v>
      </c>
      <c r="G354" s="3" t="s">
        <v>19</v>
      </c>
      <c r="H354" s="3" t="s">
        <v>1015</v>
      </c>
      <c r="I354" s="3" t="s">
        <v>19</v>
      </c>
      <c r="J354" s="3" t="s">
        <v>19</v>
      </c>
      <c r="K354" s="3" t="s">
        <v>21</v>
      </c>
      <c r="L354" s="3" t="s">
        <v>22</v>
      </c>
      <c r="M354" s="4">
        <v>960</v>
      </c>
      <c r="N354" s="3" t="s">
        <v>330</v>
      </c>
      <c r="O354" s="3" t="s">
        <v>24</v>
      </c>
    </row>
    <row r="355" spans="1:15" ht="22.05" customHeight="1" x14ac:dyDescent="0.4">
      <c r="A355" s="7">
        <v>307</v>
      </c>
      <c r="B355" s="8" t="s">
        <v>1563</v>
      </c>
      <c r="C355" s="6" t="str">
        <f>IFERROR(IF(LEFT(D355,FIND(" ",D355)-1)="전라북도","전북특별자치도",LEFT(D355,FIND(" ",D355)-1)),"")</f>
        <v>전라남도</v>
      </c>
      <c r="D355" s="3" t="s">
        <v>1552</v>
      </c>
      <c r="E355" s="3" t="s">
        <v>1564</v>
      </c>
      <c r="F355" s="3" t="s">
        <v>1554</v>
      </c>
      <c r="G355" s="3" t="s">
        <v>1555</v>
      </c>
      <c r="H355" s="3" t="s">
        <v>1556</v>
      </c>
      <c r="I355" s="3" t="s">
        <v>1556</v>
      </c>
      <c r="J355" s="3" t="s">
        <v>19</v>
      </c>
      <c r="K355" s="3" t="s">
        <v>21</v>
      </c>
      <c r="L355" s="3" t="s">
        <v>22</v>
      </c>
      <c r="M355" s="4">
        <v>888</v>
      </c>
      <c r="N355" s="3" t="s">
        <v>1498</v>
      </c>
      <c r="O355" s="3" t="s">
        <v>24</v>
      </c>
    </row>
    <row r="356" spans="1:15" ht="19.95" hidden="1" customHeight="1" x14ac:dyDescent="0.4">
      <c r="A356" s="7">
        <v>310</v>
      </c>
      <c r="B356" s="8" t="s">
        <v>1575</v>
      </c>
      <c r="C356" s="6" t="str">
        <f>IFERROR(IF(LEFT(D356,FIND(" ",D356)-1)="전라북도","전북특별자치도",LEFT(D356,FIND(" ",D356)-1)),"")</f>
        <v>전라남도</v>
      </c>
      <c r="D356" s="3" t="s">
        <v>1576</v>
      </c>
      <c r="E356" s="3" t="s">
        <v>1577</v>
      </c>
      <c r="F356" s="3" t="s">
        <v>1578</v>
      </c>
      <c r="G356" s="3" t="s">
        <v>1579</v>
      </c>
      <c r="H356" s="3" t="s">
        <v>1580</v>
      </c>
      <c r="I356" s="3" t="s">
        <v>19</v>
      </c>
      <c r="J356" s="3" t="s">
        <v>19</v>
      </c>
      <c r="K356" s="3" t="s">
        <v>21</v>
      </c>
      <c r="L356" s="3" t="s">
        <v>22</v>
      </c>
      <c r="M356" s="4">
        <v>268</v>
      </c>
      <c r="N356" s="3" t="s">
        <v>129</v>
      </c>
      <c r="O356" s="3" t="s">
        <v>24</v>
      </c>
    </row>
    <row r="357" spans="1:15" ht="22.05" customHeight="1" x14ac:dyDescent="0.4">
      <c r="A357" s="7">
        <v>318</v>
      </c>
      <c r="B357" s="8" t="s">
        <v>1618</v>
      </c>
      <c r="C357" s="6" t="str">
        <f>IFERROR(IF(LEFT(D357,FIND(" ",D357)-1)="전라북도","전북특별자치도",LEFT(D357,FIND(" ",D357)-1)),"")</f>
        <v>전라남도</v>
      </c>
      <c r="D357" s="3" t="s">
        <v>1619</v>
      </c>
      <c r="E357" s="3" t="s">
        <v>1620</v>
      </c>
      <c r="F357" s="3" t="s">
        <v>1621</v>
      </c>
      <c r="G357" s="3" t="s">
        <v>1622</v>
      </c>
      <c r="H357" s="3" t="s">
        <v>1623</v>
      </c>
      <c r="I357" s="3" t="s">
        <v>1623</v>
      </c>
      <c r="J357" s="3" t="s">
        <v>19</v>
      </c>
      <c r="K357" s="3" t="s">
        <v>21</v>
      </c>
      <c r="L357" s="3" t="s">
        <v>22</v>
      </c>
      <c r="M357" s="4">
        <v>2120</v>
      </c>
      <c r="N357" s="3" t="s">
        <v>1498</v>
      </c>
      <c r="O357" s="3" t="s">
        <v>24</v>
      </c>
    </row>
    <row r="358" spans="1:15" ht="22.05" customHeight="1" x14ac:dyDescent="0.4">
      <c r="A358" s="7">
        <v>401</v>
      </c>
      <c r="B358" s="8" t="s">
        <v>2032</v>
      </c>
      <c r="C358" s="6" t="str">
        <f>IFERROR(IF(LEFT(D358,FIND(" ",D358)-1)="전라북도","전북특별자치도",LEFT(D358,FIND(" ",D358)-1)),"")</f>
        <v>전라남도</v>
      </c>
      <c r="D358" s="3" t="s">
        <v>2033</v>
      </c>
      <c r="E358" s="3" t="s">
        <v>2034</v>
      </c>
      <c r="F358" s="3" t="s">
        <v>2035</v>
      </c>
      <c r="G358" s="3" t="s">
        <v>2036</v>
      </c>
      <c r="H358" s="3" t="s">
        <v>2037</v>
      </c>
      <c r="I358" s="3" t="s">
        <v>19</v>
      </c>
      <c r="J358" s="3" t="s">
        <v>2038</v>
      </c>
      <c r="K358" s="3" t="s">
        <v>21</v>
      </c>
      <c r="L358" s="3" t="s">
        <v>22</v>
      </c>
      <c r="M358" s="4">
        <v>2603</v>
      </c>
      <c r="N358" s="3" t="s">
        <v>23</v>
      </c>
      <c r="O358" s="3" t="s">
        <v>24</v>
      </c>
    </row>
    <row r="359" spans="1:15" ht="22.05" customHeight="1" x14ac:dyDescent="0.4">
      <c r="A359" s="7">
        <v>421</v>
      </c>
      <c r="B359" s="8" t="s">
        <v>2150</v>
      </c>
      <c r="C359" s="6" t="str">
        <f>IFERROR(IF(LEFT(D359,FIND(" ",D359)-1)="전라북도","전북특별자치도",LEFT(D359,FIND(" ",D359)-1)),"")</f>
        <v>전라남도</v>
      </c>
      <c r="D359" s="3" t="s">
        <v>2151</v>
      </c>
      <c r="E359" s="3" t="s">
        <v>713</v>
      </c>
      <c r="F359" s="3" t="s">
        <v>2152</v>
      </c>
      <c r="G359" s="3" t="s">
        <v>2153</v>
      </c>
      <c r="H359" s="3" t="s">
        <v>2154</v>
      </c>
      <c r="I359" s="3" t="s">
        <v>19</v>
      </c>
      <c r="J359" s="3" t="s">
        <v>19</v>
      </c>
      <c r="K359" s="3" t="s">
        <v>21</v>
      </c>
      <c r="L359" s="3" t="s">
        <v>22</v>
      </c>
      <c r="M359" s="4">
        <v>658</v>
      </c>
      <c r="N359" s="3" t="s">
        <v>2155</v>
      </c>
      <c r="O359" s="3" t="s">
        <v>24</v>
      </c>
    </row>
    <row r="360" spans="1:15" hidden="1" x14ac:dyDescent="0.4">
      <c r="A360" s="7">
        <v>359</v>
      </c>
      <c r="B360" s="8" t="s">
        <v>1823</v>
      </c>
      <c r="C360" s="6" t="str">
        <f>IFERROR(IF(LEFT(D360,FIND(" ",D360)-1)="전라북도","전북특별자치도",LEFT(D360,FIND(" ",D360)-1)),"")</f>
        <v>제주특별자치도</v>
      </c>
      <c r="D360" s="3" t="s">
        <v>1824</v>
      </c>
      <c r="E360" s="3" t="s">
        <v>1825</v>
      </c>
      <c r="F360" s="3" t="s">
        <v>1710</v>
      </c>
      <c r="G360" s="3" t="s">
        <v>19</v>
      </c>
      <c r="H360" s="3" t="s">
        <v>1826</v>
      </c>
      <c r="I360" s="3" t="s">
        <v>1826</v>
      </c>
      <c r="J360" s="3" t="s">
        <v>19</v>
      </c>
      <c r="K360" s="3" t="s">
        <v>21</v>
      </c>
      <c r="L360" s="3" t="s">
        <v>147</v>
      </c>
      <c r="M360" s="4">
        <v>745</v>
      </c>
      <c r="N360" s="3" t="s">
        <v>1498</v>
      </c>
      <c r="O360" s="3" t="s">
        <v>281</v>
      </c>
    </row>
    <row r="361" spans="1:15" hidden="1" x14ac:dyDescent="0.4">
      <c r="A361" s="7">
        <v>360</v>
      </c>
      <c r="B361" s="8" t="s">
        <v>1827</v>
      </c>
      <c r="C361" s="6" t="str">
        <f>IFERROR(IF(LEFT(D361,FIND(" ",D361)-1)="전라북도","전북특별자치도",LEFT(D361,FIND(" ",D361)-1)),"")</f>
        <v>강원특별자치도</v>
      </c>
      <c r="D361" s="3" t="s">
        <v>1828</v>
      </c>
      <c r="E361" s="3" t="s">
        <v>365</v>
      </c>
      <c r="F361" s="3" t="s">
        <v>1829</v>
      </c>
      <c r="G361" s="3" t="s">
        <v>1830</v>
      </c>
      <c r="H361" s="3" t="s">
        <v>1831</v>
      </c>
      <c r="I361" s="3" t="s">
        <v>1831</v>
      </c>
      <c r="J361" s="3" t="s">
        <v>1832</v>
      </c>
      <c r="K361" s="3" t="s">
        <v>21</v>
      </c>
      <c r="L361" s="3" t="s">
        <v>22</v>
      </c>
      <c r="M361" s="4">
        <v>475</v>
      </c>
      <c r="N361" s="3" t="s">
        <v>1498</v>
      </c>
      <c r="O361" s="3" t="s">
        <v>281</v>
      </c>
    </row>
    <row r="362" spans="1:15" ht="22.05" customHeight="1" x14ac:dyDescent="0.4">
      <c r="A362" s="7">
        <v>433</v>
      </c>
      <c r="B362" s="8" t="s">
        <v>2220</v>
      </c>
      <c r="C362" s="6" t="str">
        <f>IFERROR(IF(LEFT(D362,FIND(" ",D362)-1)="전라북도","전북특별자치도",LEFT(D362,FIND(" ",D362)-1)),"")</f>
        <v>전라남도</v>
      </c>
      <c r="D362" s="3" t="s">
        <v>2221</v>
      </c>
      <c r="E362" s="3" t="s">
        <v>2222</v>
      </c>
      <c r="F362" s="3" t="s">
        <v>2223</v>
      </c>
      <c r="G362" s="3" t="s">
        <v>1769</v>
      </c>
      <c r="H362" s="3" t="s">
        <v>2224</v>
      </c>
      <c r="I362" s="3" t="s">
        <v>2225</v>
      </c>
      <c r="J362" s="3" t="s">
        <v>2226</v>
      </c>
      <c r="K362" s="3" t="s">
        <v>21</v>
      </c>
      <c r="L362" s="3" t="s">
        <v>22</v>
      </c>
      <c r="M362" s="4">
        <v>6553</v>
      </c>
      <c r="N362" s="3" t="s">
        <v>1498</v>
      </c>
      <c r="O362" s="3" t="s">
        <v>24</v>
      </c>
    </row>
    <row r="363" spans="1:15" hidden="1" x14ac:dyDescent="0.4">
      <c r="A363" s="7">
        <v>362</v>
      </c>
      <c r="B363" s="8" t="s">
        <v>1840</v>
      </c>
      <c r="C363" s="6" t="str">
        <f>IFERROR(IF(LEFT(D363,FIND(" ",D363)-1)="전라북도","전북특별자치도",LEFT(D363,FIND(" ",D363)-1)),"")</f>
        <v>강원특별자치도</v>
      </c>
      <c r="D363" s="3" t="s">
        <v>1841</v>
      </c>
      <c r="E363" s="3" t="s">
        <v>1842</v>
      </c>
      <c r="F363" s="3" t="s">
        <v>1843</v>
      </c>
      <c r="G363" s="3" t="s">
        <v>838</v>
      </c>
      <c r="H363" s="3" t="s">
        <v>210</v>
      </c>
      <c r="I363" s="3" t="s">
        <v>19</v>
      </c>
      <c r="J363" s="3" t="s">
        <v>1844</v>
      </c>
      <c r="K363" s="3" t="s">
        <v>21</v>
      </c>
      <c r="L363" s="3" t="s">
        <v>22</v>
      </c>
      <c r="M363" s="4">
        <v>207</v>
      </c>
      <c r="N363" s="3" t="s">
        <v>129</v>
      </c>
      <c r="O363" s="3" t="s">
        <v>281</v>
      </c>
    </row>
    <row r="364" spans="1:15" ht="22.05" customHeight="1" x14ac:dyDescent="0.4">
      <c r="A364" s="7">
        <v>438</v>
      </c>
      <c r="B364" s="8" t="s">
        <v>2246</v>
      </c>
      <c r="C364" s="6" t="str">
        <f>IFERROR(IF(LEFT(D364,FIND(" ",D364)-1)="전라북도","전북특별자치도",LEFT(D364,FIND(" ",D364)-1)),"")</f>
        <v>전라남도</v>
      </c>
      <c r="D364" s="3" t="s">
        <v>2247</v>
      </c>
      <c r="E364" s="3" t="s">
        <v>2248</v>
      </c>
      <c r="F364" s="3" t="s">
        <v>2249</v>
      </c>
      <c r="G364" s="3" t="s">
        <v>2250</v>
      </c>
      <c r="H364" s="3" t="s">
        <v>19</v>
      </c>
      <c r="I364" s="3" t="s">
        <v>2251</v>
      </c>
      <c r="J364" s="3" t="s">
        <v>2252</v>
      </c>
      <c r="K364" s="3" t="s">
        <v>21</v>
      </c>
      <c r="L364" s="3" t="s">
        <v>147</v>
      </c>
      <c r="M364" s="4">
        <v>18385</v>
      </c>
      <c r="N364" s="3" t="s">
        <v>2253</v>
      </c>
      <c r="O364" s="3" t="s">
        <v>24</v>
      </c>
    </row>
    <row r="365" spans="1:15" hidden="1" x14ac:dyDescent="0.4">
      <c r="A365" s="7">
        <v>364</v>
      </c>
      <c r="B365" s="8" t="s">
        <v>1847</v>
      </c>
      <c r="C365" s="6" t="str">
        <f>IFERROR(IF(LEFT(D365,FIND(" ",D365)-1)="전라북도","전북특별자치도",LEFT(D365,FIND(" ",D365)-1)),"")</f>
        <v>충청남도</v>
      </c>
      <c r="D365" s="3" t="s">
        <v>1848</v>
      </c>
      <c r="E365" s="3" t="s">
        <v>1849</v>
      </c>
      <c r="F365" s="3" t="s">
        <v>1846</v>
      </c>
      <c r="G365" s="3" t="s">
        <v>19</v>
      </c>
      <c r="H365" s="3" t="s">
        <v>157</v>
      </c>
      <c r="I365" s="3" t="s">
        <v>19</v>
      </c>
      <c r="J365" s="3" t="s">
        <v>19</v>
      </c>
      <c r="K365" s="3" t="s">
        <v>21</v>
      </c>
      <c r="L365" s="3" t="s">
        <v>147</v>
      </c>
      <c r="M365" s="4">
        <v>757</v>
      </c>
      <c r="N365" s="3" t="s">
        <v>84</v>
      </c>
      <c r="O365" s="3" t="s">
        <v>281</v>
      </c>
    </row>
    <row r="366" spans="1:15" hidden="1" x14ac:dyDescent="0.4">
      <c r="A366" s="7">
        <v>365</v>
      </c>
      <c r="B366" s="8" t="s">
        <v>1851</v>
      </c>
      <c r="C366" s="6" t="str">
        <f>IFERROR(IF(LEFT(D366,FIND(" ",D366)-1)="전라북도","전북특별자치도",LEFT(D366,FIND(" ",D366)-1)),"")</f>
        <v>충청남도</v>
      </c>
      <c r="D366" s="3" t="s">
        <v>1852</v>
      </c>
      <c r="E366" s="3" t="s">
        <v>1853</v>
      </c>
      <c r="F366" s="3" t="s">
        <v>265</v>
      </c>
      <c r="G366" s="3" t="s">
        <v>1854</v>
      </c>
      <c r="H366" s="3" t="s">
        <v>19</v>
      </c>
      <c r="I366" s="3" t="s">
        <v>19</v>
      </c>
      <c r="J366" s="3" t="s">
        <v>19</v>
      </c>
      <c r="K366" s="3" t="s">
        <v>21</v>
      </c>
      <c r="L366" s="3" t="s">
        <v>22</v>
      </c>
      <c r="M366" s="4">
        <v>1657</v>
      </c>
      <c r="N366" s="3" t="s">
        <v>1498</v>
      </c>
      <c r="O366" s="3" t="s">
        <v>281</v>
      </c>
    </row>
    <row r="367" spans="1:15" hidden="1" x14ac:dyDescent="0.4">
      <c r="A367" s="7">
        <v>366</v>
      </c>
      <c r="B367" s="8" t="s">
        <v>1855</v>
      </c>
      <c r="C367" s="6" t="str">
        <f>IFERROR(IF(LEFT(D367,FIND(" ",D367)-1)="전라북도","전북특별자치도",LEFT(D367,FIND(" ",D367)-1)),"")</f>
        <v>부산광역시</v>
      </c>
      <c r="D367" s="3" t="s">
        <v>1856</v>
      </c>
      <c r="E367" s="3" t="s">
        <v>1857</v>
      </c>
      <c r="F367" s="3" t="s">
        <v>265</v>
      </c>
      <c r="G367" s="3" t="s">
        <v>1859</v>
      </c>
      <c r="H367" s="3" t="s">
        <v>1860</v>
      </c>
      <c r="I367" s="3" t="s">
        <v>1861</v>
      </c>
      <c r="J367" s="3" t="s">
        <v>1859</v>
      </c>
      <c r="K367" s="3" t="s">
        <v>21</v>
      </c>
      <c r="L367" s="3" t="s">
        <v>147</v>
      </c>
      <c r="M367" s="4">
        <v>522</v>
      </c>
      <c r="N367" s="3" t="s">
        <v>1498</v>
      </c>
      <c r="O367" s="3" t="s">
        <v>281</v>
      </c>
    </row>
    <row r="368" spans="1:15" hidden="1" x14ac:dyDescent="0.4">
      <c r="A368" s="7">
        <v>367</v>
      </c>
      <c r="B368" s="8" t="s">
        <v>1862</v>
      </c>
      <c r="C368" s="6" t="str">
        <f>IFERROR(IF(LEFT(D368,FIND(" ",D368)-1)="전라북도","전북특별자치도",LEFT(D368,FIND(" ",D368)-1)),"")</f>
        <v>대구광역시</v>
      </c>
      <c r="D368" s="3" t="s">
        <v>1863</v>
      </c>
      <c r="E368" s="3" t="s">
        <v>1864</v>
      </c>
      <c r="F368" s="3" t="s">
        <v>1849</v>
      </c>
      <c r="G368" s="3" t="s">
        <v>1865</v>
      </c>
      <c r="H368" s="3" t="s">
        <v>1866</v>
      </c>
      <c r="I368" s="3" t="s">
        <v>1866</v>
      </c>
      <c r="J368" s="3" t="s">
        <v>1867</v>
      </c>
      <c r="K368" s="3" t="s">
        <v>21</v>
      </c>
      <c r="L368" s="3" t="s">
        <v>228</v>
      </c>
      <c r="M368" s="4">
        <v>2310</v>
      </c>
      <c r="N368" s="3" t="s">
        <v>123</v>
      </c>
      <c r="O368" s="3" t="s">
        <v>281</v>
      </c>
    </row>
    <row r="369" spans="1:15" hidden="1" x14ac:dyDescent="0.4">
      <c r="A369" s="7">
        <v>368</v>
      </c>
      <c r="B369" s="8" t="s">
        <v>1868</v>
      </c>
      <c r="C369" s="6" t="str">
        <f>IFERROR(IF(LEFT(D369,FIND(" ",D369)-1)="전라북도","전북특별자치도",LEFT(D369,FIND(" ",D369)-1)),"")</f>
        <v>경기도</v>
      </c>
      <c r="D369" s="3" t="s">
        <v>1869</v>
      </c>
      <c r="E369" s="3" t="s">
        <v>1870</v>
      </c>
      <c r="F369" s="3" t="s">
        <v>1871</v>
      </c>
      <c r="G369" s="3" t="s">
        <v>19</v>
      </c>
      <c r="H369" s="3" t="s">
        <v>302</v>
      </c>
      <c r="I369" s="3" t="s">
        <v>19</v>
      </c>
      <c r="J369" s="3" t="s">
        <v>19</v>
      </c>
      <c r="K369" s="3" t="s">
        <v>21</v>
      </c>
      <c r="L369" s="3" t="s">
        <v>147</v>
      </c>
      <c r="M369" s="4">
        <v>1574</v>
      </c>
      <c r="N369" s="3" t="s">
        <v>84</v>
      </c>
      <c r="O369" s="3" t="s">
        <v>281</v>
      </c>
    </row>
    <row r="370" spans="1:15" hidden="1" x14ac:dyDescent="0.4">
      <c r="A370" s="7">
        <v>369</v>
      </c>
      <c r="B370" s="8" t="s">
        <v>1872</v>
      </c>
      <c r="C370" s="6" t="str">
        <f>IFERROR(IF(LEFT(D370,FIND(" ",D370)-1)="전라북도","전북특별자치도",LEFT(D370,FIND(" ",D370)-1)),"")</f>
        <v>경기도</v>
      </c>
      <c r="D370" s="3" t="s">
        <v>1873</v>
      </c>
      <c r="E370" s="3" t="s">
        <v>1874</v>
      </c>
      <c r="F370" s="3" t="s">
        <v>1871</v>
      </c>
      <c r="G370" s="3" t="s">
        <v>1876</v>
      </c>
      <c r="H370" s="3" t="s">
        <v>1877</v>
      </c>
      <c r="I370" s="3" t="s">
        <v>19</v>
      </c>
      <c r="J370" s="3" t="s">
        <v>1878</v>
      </c>
      <c r="K370" s="3" t="s">
        <v>21</v>
      </c>
      <c r="L370" s="3" t="s">
        <v>22</v>
      </c>
      <c r="M370" s="4">
        <v>21714</v>
      </c>
      <c r="N370" s="3" t="s">
        <v>1498</v>
      </c>
      <c r="O370" s="3" t="s">
        <v>281</v>
      </c>
    </row>
    <row r="371" spans="1:15" ht="22.05" customHeight="1" x14ac:dyDescent="0.4">
      <c r="A371" s="7">
        <v>474</v>
      </c>
      <c r="B371" s="8" t="s">
        <v>2403</v>
      </c>
      <c r="C371" s="6" t="str">
        <f>IFERROR(IF(LEFT(D371,FIND(" ",D371)-1)="전라북도","전북특별자치도",LEFT(D371,FIND(" ",D371)-1)),"")</f>
        <v>전라남도</v>
      </c>
      <c r="D371" s="3" t="s">
        <v>2404</v>
      </c>
      <c r="E371" s="3" t="s">
        <v>2405</v>
      </c>
      <c r="F371" s="3" t="s">
        <v>2406</v>
      </c>
      <c r="G371" s="3" t="s">
        <v>19</v>
      </c>
      <c r="H371" s="3" t="s">
        <v>2407</v>
      </c>
      <c r="I371" s="3" t="s">
        <v>19</v>
      </c>
      <c r="J371" s="3" t="s">
        <v>19</v>
      </c>
      <c r="K371" s="3" t="s">
        <v>21</v>
      </c>
      <c r="L371" s="3" t="s">
        <v>147</v>
      </c>
      <c r="M371" s="4">
        <v>1310</v>
      </c>
      <c r="N371" s="3" t="s">
        <v>19</v>
      </c>
      <c r="O371" s="3" t="s">
        <v>24</v>
      </c>
    </row>
    <row r="372" spans="1:15" hidden="1" x14ac:dyDescent="0.4">
      <c r="A372" s="7">
        <v>371</v>
      </c>
      <c r="B372" s="8" t="s">
        <v>1885</v>
      </c>
      <c r="C372" s="6" t="str">
        <f>IFERROR(IF(LEFT(D372,FIND(" ",D372)-1)="전라북도","전북특별자치도",LEFT(D372,FIND(" ",D372)-1)),"")</f>
        <v>경상북도</v>
      </c>
      <c r="D372" s="3" t="s">
        <v>1102</v>
      </c>
      <c r="E372" s="3" t="s">
        <v>1886</v>
      </c>
      <c r="F372" s="3" t="s">
        <v>1870</v>
      </c>
      <c r="G372" s="3" t="s">
        <v>1887</v>
      </c>
      <c r="H372" s="3" t="s">
        <v>1888</v>
      </c>
      <c r="I372" s="3" t="s">
        <v>1888</v>
      </c>
      <c r="J372" s="3" t="s">
        <v>19</v>
      </c>
      <c r="K372" s="3" t="s">
        <v>21</v>
      </c>
      <c r="L372" s="3" t="s">
        <v>22</v>
      </c>
      <c r="M372" s="4">
        <v>181</v>
      </c>
      <c r="N372" s="3" t="s">
        <v>1498</v>
      </c>
      <c r="O372" s="3" t="s">
        <v>281</v>
      </c>
    </row>
    <row r="373" spans="1:15" hidden="1" x14ac:dyDescent="0.4">
      <c r="A373" s="7">
        <v>372</v>
      </c>
      <c r="B373" s="8" t="s">
        <v>1889</v>
      </c>
      <c r="C373" s="6" t="str">
        <f>IFERROR(IF(LEFT(D373,FIND(" ",D373)-1)="전라북도","전북특별자치도",LEFT(D373,FIND(" ",D373)-1)),"")</f>
        <v>충청남도</v>
      </c>
      <c r="D373" s="3" t="s">
        <v>1890</v>
      </c>
      <c r="E373" s="3" t="s">
        <v>713</v>
      </c>
      <c r="F373" s="3" t="s">
        <v>1870</v>
      </c>
      <c r="G373" s="3" t="s">
        <v>1891</v>
      </c>
      <c r="H373" s="3" t="s">
        <v>1892</v>
      </c>
      <c r="I373" s="3" t="s">
        <v>1893</v>
      </c>
      <c r="J373" s="3" t="s">
        <v>19</v>
      </c>
      <c r="K373" s="3" t="s">
        <v>21</v>
      </c>
      <c r="L373" s="3" t="s">
        <v>147</v>
      </c>
      <c r="M373" s="4">
        <v>4134</v>
      </c>
      <c r="N373" s="3" t="s">
        <v>211</v>
      </c>
      <c r="O373" s="3" t="s">
        <v>281</v>
      </c>
    </row>
    <row r="374" spans="1:15" hidden="1" x14ac:dyDescent="0.4">
      <c r="A374" s="7">
        <v>373</v>
      </c>
      <c r="B374" s="8" t="s">
        <v>1894</v>
      </c>
      <c r="C374" s="6" t="str">
        <f>IFERROR(IF(LEFT(D374,FIND(" ",D374)-1)="전라북도","전북특별자치도",LEFT(D374,FIND(" ",D374)-1)),"")</f>
        <v>경기도</v>
      </c>
      <c r="D374" s="3" t="s">
        <v>1895</v>
      </c>
      <c r="E374" s="3" t="s">
        <v>1181</v>
      </c>
      <c r="F374" s="3" t="s">
        <v>1896</v>
      </c>
      <c r="G374" s="3" t="s">
        <v>19</v>
      </c>
      <c r="H374" s="3" t="s">
        <v>1059</v>
      </c>
      <c r="I374" s="3" t="s">
        <v>19</v>
      </c>
      <c r="J374" s="3" t="s">
        <v>19</v>
      </c>
      <c r="K374" s="3" t="s">
        <v>21</v>
      </c>
      <c r="L374" s="3" t="s">
        <v>147</v>
      </c>
      <c r="M374" s="4">
        <v>212</v>
      </c>
      <c r="N374" s="3" t="s">
        <v>19</v>
      </c>
      <c r="O374" s="3" t="s">
        <v>281</v>
      </c>
    </row>
    <row r="375" spans="1:15" ht="22.05" customHeight="1" x14ac:dyDescent="0.4">
      <c r="A375" s="7">
        <v>505</v>
      </c>
      <c r="B375" s="8" t="s">
        <v>2534</v>
      </c>
      <c r="C375" s="6" t="str">
        <f>IFERROR(IF(LEFT(D375,FIND(" ",D375)-1)="전라북도","전북특별자치도",LEFT(D375,FIND(" ",D375)-1)),"")</f>
        <v>전라남도</v>
      </c>
      <c r="D375" s="3" t="s">
        <v>2535</v>
      </c>
      <c r="E375" s="3" t="s">
        <v>2536</v>
      </c>
      <c r="F375" s="3" t="s">
        <v>2331</v>
      </c>
      <c r="G375" s="3" t="s">
        <v>2537</v>
      </c>
      <c r="H375" s="3" t="s">
        <v>2232</v>
      </c>
      <c r="I375" s="3" t="s">
        <v>2224</v>
      </c>
      <c r="J375" s="3" t="s">
        <v>2538</v>
      </c>
      <c r="K375" s="3" t="s">
        <v>21</v>
      </c>
      <c r="L375" s="3" t="s">
        <v>22</v>
      </c>
      <c r="M375" s="4">
        <v>1520</v>
      </c>
      <c r="N375" s="3" t="s">
        <v>1498</v>
      </c>
      <c r="O375" s="3" t="s">
        <v>24</v>
      </c>
    </row>
    <row r="376" spans="1:15" ht="22.05" customHeight="1" x14ac:dyDescent="0.4">
      <c r="A376" s="7">
        <v>619</v>
      </c>
      <c r="B376" s="8" t="s">
        <v>2985</v>
      </c>
      <c r="C376" s="6" t="str">
        <f>IFERROR(IF(LEFT(D376,FIND(" ",D376)-1)="전라북도","전북특별자치도",LEFT(D376,FIND(" ",D376)-1)),"")</f>
        <v>전라남도</v>
      </c>
      <c r="D376" s="3" t="s">
        <v>2986</v>
      </c>
      <c r="E376" s="3" t="s">
        <v>2987</v>
      </c>
      <c r="F376" s="3" t="s">
        <v>2988</v>
      </c>
      <c r="G376" s="3" t="s">
        <v>2989</v>
      </c>
      <c r="H376" s="3" t="s">
        <v>2990</v>
      </c>
      <c r="I376" s="3" t="s">
        <v>2991</v>
      </c>
      <c r="J376" s="3" t="s">
        <v>415</v>
      </c>
      <c r="K376" s="3" t="s">
        <v>21</v>
      </c>
      <c r="L376" s="3" t="s">
        <v>22</v>
      </c>
      <c r="M376" s="4">
        <v>17621</v>
      </c>
      <c r="N376" s="3" t="s">
        <v>1498</v>
      </c>
      <c r="O376" s="3" t="s">
        <v>24</v>
      </c>
    </row>
    <row r="377" spans="1:15" hidden="1" x14ac:dyDescent="0.4">
      <c r="A377" s="7">
        <v>376</v>
      </c>
      <c r="B377" s="8" t="s">
        <v>1909</v>
      </c>
      <c r="C377" s="6" t="str">
        <f>IFERROR(IF(LEFT(D377,FIND(" ",D377)-1)="전라북도","전북특별자치도",LEFT(D377,FIND(" ",D377)-1)),"")</f>
        <v>제주특별자치도</v>
      </c>
      <c r="D377" s="3" t="s">
        <v>1910</v>
      </c>
      <c r="E377" s="3" t="s">
        <v>1911</v>
      </c>
      <c r="F377" s="3" t="s">
        <v>289</v>
      </c>
      <c r="G377" s="3" t="s">
        <v>1912</v>
      </c>
      <c r="H377" s="3" t="s">
        <v>1913</v>
      </c>
      <c r="I377" s="3" t="s">
        <v>19</v>
      </c>
      <c r="J377" s="3" t="s">
        <v>19</v>
      </c>
      <c r="K377" s="3" t="s">
        <v>21</v>
      </c>
      <c r="L377" s="3" t="s">
        <v>22</v>
      </c>
      <c r="M377" s="4">
        <v>849</v>
      </c>
      <c r="N377" s="3" t="s">
        <v>1498</v>
      </c>
      <c r="O377" s="3" t="s">
        <v>281</v>
      </c>
    </row>
    <row r="378" spans="1:15" hidden="1" x14ac:dyDescent="0.4">
      <c r="A378" s="7">
        <v>377</v>
      </c>
      <c r="B378" s="8" t="s">
        <v>1914</v>
      </c>
      <c r="C378" s="6" t="str">
        <f>IFERROR(IF(LEFT(D378,FIND(" ",D378)-1)="전라북도","전북특별자치도",LEFT(D378,FIND(" ",D378)-1)),"")</f>
        <v>경기도</v>
      </c>
      <c r="D378" s="3" t="s">
        <v>1915</v>
      </c>
      <c r="E378" s="3" t="s">
        <v>1916</v>
      </c>
      <c r="F378" s="3" t="s">
        <v>293</v>
      </c>
      <c r="G378" s="3" t="s">
        <v>1612</v>
      </c>
      <c r="H378" s="3" t="s">
        <v>302</v>
      </c>
      <c r="I378" s="3" t="s">
        <v>19</v>
      </c>
      <c r="J378" s="3" t="s">
        <v>1612</v>
      </c>
      <c r="K378" s="3" t="s">
        <v>21</v>
      </c>
      <c r="L378" s="3" t="s">
        <v>22</v>
      </c>
      <c r="M378" s="4">
        <v>475</v>
      </c>
      <c r="N378" s="3" t="s">
        <v>129</v>
      </c>
      <c r="O378" s="3" t="s">
        <v>281</v>
      </c>
    </row>
    <row r="379" spans="1:15" hidden="1" x14ac:dyDescent="0.4">
      <c r="A379" s="7">
        <v>378</v>
      </c>
      <c r="B379" s="8" t="s">
        <v>1917</v>
      </c>
      <c r="C379" s="6" t="str">
        <f>IFERROR(IF(LEFT(D379,FIND(" ",D379)-1)="전라북도","전북특별자치도",LEFT(D379,FIND(" ",D379)-1)),"")</f>
        <v>충청남도</v>
      </c>
      <c r="D379" s="3" t="s">
        <v>1918</v>
      </c>
      <c r="E379" s="3" t="s">
        <v>1842</v>
      </c>
      <c r="F379" s="3" t="s">
        <v>1919</v>
      </c>
      <c r="G379" s="3" t="s">
        <v>1920</v>
      </c>
      <c r="H379" s="3" t="s">
        <v>603</v>
      </c>
      <c r="I379" s="3" t="s">
        <v>1606</v>
      </c>
      <c r="J379" s="3" t="s">
        <v>19</v>
      </c>
      <c r="K379" s="3" t="s">
        <v>21</v>
      </c>
      <c r="L379" s="3" t="s">
        <v>22</v>
      </c>
      <c r="M379" s="4">
        <v>131</v>
      </c>
      <c r="N379" s="3" t="s">
        <v>84</v>
      </c>
      <c r="O379" s="3" t="s">
        <v>281</v>
      </c>
    </row>
    <row r="380" spans="1:15" hidden="1" x14ac:dyDescent="0.4">
      <c r="A380" s="7">
        <v>379</v>
      </c>
      <c r="B380" s="8" t="s">
        <v>1921</v>
      </c>
      <c r="C380" s="6" t="str">
        <f>IFERROR(IF(LEFT(D380,FIND(" ",D380)-1)="전라북도","전북특별자치도",LEFT(D380,FIND(" ",D380)-1)),"")</f>
        <v>경기도</v>
      </c>
      <c r="D380" s="3" t="s">
        <v>1922</v>
      </c>
      <c r="E380" s="3" t="s">
        <v>1923</v>
      </c>
      <c r="F380" s="3" t="s">
        <v>1924</v>
      </c>
      <c r="G380" s="3" t="s">
        <v>1926</v>
      </c>
      <c r="H380" s="3" t="s">
        <v>953</v>
      </c>
      <c r="I380" s="3" t="s">
        <v>953</v>
      </c>
      <c r="J380" s="3" t="s">
        <v>19</v>
      </c>
      <c r="K380" s="3" t="s">
        <v>21</v>
      </c>
      <c r="L380" s="3" t="s">
        <v>22</v>
      </c>
      <c r="M380" s="4">
        <v>1403</v>
      </c>
      <c r="N380" s="3" t="s">
        <v>23</v>
      </c>
      <c r="O380" s="3" t="s">
        <v>281</v>
      </c>
    </row>
    <row r="381" spans="1:15" hidden="1" x14ac:dyDescent="0.4">
      <c r="A381" s="7">
        <v>380</v>
      </c>
      <c r="B381" s="8" t="s">
        <v>1927</v>
      </c>
      <c r="C381" s="6" t="str">
        <f>IFERROR(IF(LEFT(D381,FIND(" ",D381)-1)="전라북도","전북특별자치도",LEFT(D381,FIND(" ",D381)-1)),"")</f>
        <v>경상북도</v>
      </c>
      <c r="D381" s="3" t="s">
        <v>1928</v>
      </c>
      <c r="E381" s="3" t="s">
        <v>1929</v>
      </c>
      <c r="F381" s="3" t="s">
        <v>1930</v>
      </c>
      <c r="G381" s="3" t="s">
        <v>19</v>
      </c>
      <c r="H381" s="3" t="s">
        <v>110</v>
      </c>
      <c r="I381" s="3" t="s">
        <v>19</v>
      </c>
      <c r="J381" s="3" t="s">
        <v>1931</v>
      </c>
      <c r="K381" s="3" t="s">
        <v>21</v>
      </c>
      <c r="L381" s="3" t="s">
        <v>147</v>
      </c>
      <c r="M381" s="4">
        <v>833</v>
      </c>
      <c r="N381" s="3" t="s">
        <v>23</v>
      </c>
      <c r="O381" s="3" t="s">
        <v>281</v>
      </c>
    </row>
    <row r="382" spans="1:15" hidden="1" x14ac:dyDescent="0.4">
      <c r="A382" s="7">
        <v>381</v>
      </c>
      <c r="B382" s="8" t="s">
        <v>1932</v>
      </c>
      <c r="C382" s="6" t="str">
        <f>IFERROR(IF(LEFT(D382,FIND(" ",D382)-1)="전라북도","전북특별자치도",LEFT(D382,FIND(" ",D382)-1)),"")</f>
        <v>전라남도</v>
      </c>
      <c r="D382" s="3" t="s">
        <v>1933</v>
      </c>
      <c r="E382" s="3" t="s">
        <v>1934</v>
      </c>
      <c r="F382" s="3" t="s">
        <v>1935</v>
      </c>
      <c r="G382" s="3" t="s">
        <v>19</v>
      </c>
      <c r="H382" s="3" t="s">
        <v>1937</v>
      </c>
      <c r="I382" s="3" t="s">
        <v>19</v>
      </c>
      <c r="J382" s="3" t="s">
        <v>19</v>
      </c>
      <c r="K382" s="3" t="s">
        <v>21</v>
      </c>
      <c r="L382" s="3" t="s">
        <v>147</v>
      </c>
      <c r="M382" s="4">
        <v>2235</v>
      </c>
      <c r="N382" s="3" t="s">
        <v>84</v>
      </c>
      <c r="O382" s="3" t="s">
        <v>281</v>
      </c>
    </row>
    <row r="383" spans="1:15" hidden="1" x14ac:dyDescent="0.4">
      <c r="A383" s="7">
        <v>382</v>
      </c>
      <c r="B383" s="8" t="s">
        <v>1938</v>
      </c>
      <c r="C383" s="6" t="str">
        <f>IFERROR(IF(LEFT(D383,FIND(" ",D383)-1)="전라북도","전북특별자치도",LEFT(D383,FIND(" ",D383)-1)),"")</f>
        <v>강원특별자치도</v>
      </c>
      <c r="D383" s="3" t="s">
        <v>1939</v>
      </c>
      <c r="E383" s="3" t="s">
        <v>1654</v>
      </c>
      <c r="F383" s="3" t="s">
        <v>1940</v>
      </c>
      <c r="G383" s="3" t="s">
        <v>1941</v>
      </c>
      <c r="H383" s="3" t="s">
        <v>1942</v>
      </c>
      <c r="I383" s="3" t="s">
        <v>1942</v>
      </c>
      <c r="J383" s="3" t="s">
        <v>19</v>
      </c>
      <c r="K383" s="3" t="s">
        <v>21</v>
      </c>
      <c r="L383" s="3" t="s">
        <v>22</v>
      </c>
      <c r="M383" s="4">
        <v>1704</v>
      </c>
      <c r="N383" s="3" t="s">
        <v>23</v>
      </c>
      <c r="O383" s="3" t="s">
        <v>281</v>
      </c>
    </row>
    <row r="384" spans="1:15" hidden="1" x14ac:dyDescent="0.4">
      <c r="A384" s="7">
        <v>383</v>
      </c>
      <c r="B384" s="8" t="s">
        <v>1943</v>
      </c>
      <c r="C384" s="6" t="str">
        <f>IFERROR(IF(LEFT(D384,FIND(" ",D384)-1)="전라북도","전북특별자치도",LEFT(D384,FIND(" ",D384)-1)),"")</f>
        <v>경기도</v>
      </c>
      <c r="D384" s="3" t="s">
        <v>1944</v>
      </c>
      <c r="E384" s="3" t="s">
        <v>69</v>
      </c>
      <c r="F384" s="3" t="s">
        <v>1934</v>
      </c>
      <c r="G384" s="3" t="s">
        <v>1945</v>
      </c>
      <c r="H384" s="3" t="s">
        <v>1946</v>
      </c>
      <c r="I384" s="3" t="s">
        <v>19</v>
      </c>
      <c r="J384" s="3" t="s">
        <v>1947</v>
      </c>
      <c r="K384" s="3" t="s">
        <v>21</v>
      </c>
      <c r="L384" s="3" t="s">
        <v>22</v>
      </c>
      <c r="M384" s="4">
        <v>239</v>
      </c>
      <c r="N384" s="3" t="s">
        <v>129</v>
      </c>
      <c r="O384" s="3" t="s">
        <v>281</v>
      </c>
    </row>
    <row r="385" spans="1:15" ht="22.05" customHeight="1" x14ac:dyDescent="0.4">
      <c r="A385" s="7">
        <v>653</v>
      </c>
      <c r="B385" s="8" t="s">
        <v>3142</v>
      </c>
      <c r="C385" s="6" t="str">
        <f>IFERROR(IF(LEFT(D385,FIND(" ",D385)-1)="전라북도","전북특별자치도",LEFT(D385,FIND(" ",D385)-1)),"")</f>
        <v>전라남도</v>
      </c>
      <c r="D385" s="3" t="s">
        <v>3143</v>
      </c>
      <c r="E385" s="3" t="s">
        <v>3144</v>
      </c>
      <c r="F385" s="3" t="s">
        <v>2744</v>
      </c>
      <c r="G385" s="3" t="s">
        <v>3145</v>
      </c>
      <c r="H385" s="3" t="s">
        <v>3146</v>
      </c>
      <c r="I385" s="3" t="s">
        <v>3146</v>
      </c>
      <c r="J385" s="3" t="s">
        <v>3147</v>
      </c>
      <c r="K385" s="3" t="s">
        <v>21</v>
      </c>
      <c r="L385" s="3" t="s">
        <v>22</v>
      </c>
      <c r="M385" s="4">
        <v>2208</v>
      </c>
      <c r="N385" s="3" t="s">
        <v>1498</v>
      </c>
      <c r="O385" s="3" t="s">
        <v>24</v>
      </c>
    </row>
    <row r="386" spans="1:15" hidden="1" x14ac:dyDescent="0.4">
      <c r="A386" s="7">
        <v>385</v>
      </c>
      <c r="B386" s="8" t="s">
        <v>1954</v>
      </c>
      <c r="C386" s="6" t="str">
        <f>IFERROR(IF(LEFT(D386,FIND(" ",D386)-1)="전라북도","전북특별자치도",LEFT(D386,FIND(" ",D386)-1)),"")</f>
        <v>충청남도</v>
      </c>
      <c r="D386" s="3" t="s">
        <v>1949</v>
      </c>
      <c r="E386" s="3" t="s">
        <v>1610</v>
      </c>
      <c r="F386" s="3" t="s">
        <v>1950</v>
      </c>
      <c r="G386" s="3" t="s">
        <v>1951</v>
      </c>
      <c r="H386" s="3" t="s">
        <v>1952</v>
      </c>
      <c r="I386" s="3" t="s">
        <v>19</v>
      </c>
      <c r="J386" s="3" t="s">
        <v>1953</v>
      </c>
      <c r="K386" s="3" t="s">
        <v>21</v>
      </c>
      <c r="L386" s="3" t="s">
        <v>22</v>
      </c>
      <c r="M386" s="4">
        <v>44</v>
      </c>
      <c r="N386" s="3" t="s">
        <v>129</v>
      </c>
      <c r="O386" s="3" t="s">
        <v>281</v>
      </c>
    </row>
    <row r="387" spans="1:15" ht="22.05" customHeight="1" x14ac:dyDescent="0.4">
      <c r="A387" s="7">
        <v>36</v>
      </c>
      <c r="B387" s="8" t="s">
        <v>212</v>
      </c>
      <c r="C387" s="6" t="str">
        <f>IFERROR(IF(LEFT(D387,FIND(" ",D387)-1)="전라북도","전북특별자치도",LEFT(D387,FIND(" ",D387)-1)),"")</f>
        <v>전북특별자치도</v>
      </c>
      <c r="D387" s="3" t="s">
        <v>213</v>
      </c>
      <c r="E387" s="3" t="s">
        <v>214</v>
      </c>
      <c r="F387" s="3" t="s">
        <v>215</v>
      </c>
      <c r="G387" s="3" t="s">
        <v>19</v>
      </c>
      <c r="H387" s="3" t="s">
        <v>216</v>
      </c>
      <c r="I387" s="3" t="s">
        <v>19</v>
      </c>
      <c r="J387" s="3" t="s">
        <v>217</v>
      </c>
      <c r="K387" s="3" t="s">
        <v>21</v>
      </c>
      <c r="L387" s="3" t="s">
        <v>22</v>
      </c>
      <c r="M387" s="4">
        <v>5417</v>
      </c>
      <c r="N387" s="3" t="s">
        <v>23</v>
      </c>
      <c r="O387" s="3" t="s">
        <v>24</v>
      </c>
    </row>
    <row r="388" spans="1:15" ht="22.05" customHeight="1" x14ac:dyDescent="0.4">
      <c r="A388" s="7">
        <v>74</v>
      </c>
      <c r="B388" s="8" t="s">
        <v>402</v>
      </c>
      <c r="C388" s="6" t="str">
        <f>IFERROR(IF(LEFT(D388,FIND(" ",D388)-1)="전라북도","전북특별자치도",LEFT(D388,FIND(" ",D388)-1)),"")</f>
        <v>전북특별자치도</v>
      </c>
      <c r="D388" s="3" t="s">
        <v>403</v>
      </c>
      <c r="E388" s="3" t="s">
        <v>404</v>
      </c>
      <c r="F388" s="3" t="s">
        <v>405</v>
      </c>
      <c r="G388" s="3" t="s">
        <v>19</v>
      </c>
      <c r="H388" s="3" t="s">
        <v>406</v>
      </c>
      <c r="I388" s="3" t="s">
        <v>19</v>
      </c>
      <c r="J388" s="3" t="s">
        <v>19</v>
      </c>
      <c r="K388" s="3" t="s">
        <v>21</v>
      </c>
      <c r="L388" s="3" t="s">
        <v>147</v>
      </c>
      <c r="M388" s="4">
        <v>304</v>
      </c>
      <c r="N388" s="3" t="s">
        <v>407</v>
      </c>
      <c r="O388" s="3" t="s">
        <v>24</v>
      </c>
    </row>
    <row r="389" spans="1:15" hidden="1" x14ac:dyDescent="0.4">
      <c r="A389" s="7">
        <v>388</v>
      </c>
      <c r="B389" s="8" t="s">
        <v>1964</v>
      </c>
      <c r="C389" s="6" t="str">
        <f>IFERROR(IF(LEFT(D389,FIND(" ",D389)-1)="전라북도","전북특별자치도",LEFT(D389,FIND(" ",D389)-1)),"")</f>
        <v>경상남도</v>
      </c>
      <c r="D389" s="3" t="s">
        <v>1965</v>
      </c>
      <c r="E389" s="3" t="s">
        <v>338</v>
      </c>
      <c r="F389" s="3" t="s">
        <v>1966</v>
      </c>
      <c r="G389" s="3" t="s">
        <v>19</v>
      </c>
      <c r="H389" s="3" t="s">
        <v>1968</v>
      </c>
      <c r="I389" s="3" t="s">
        <v>19</v>
      </c>
      <c r="J389" s="3" t="s">
        <v>19</v>
      </c>
      <c r="K389" s="3" t="s">
        <v>21</v>
      </c>
      <c r="L389" s="3" t="s">
        <v>228</v>
      </c>
      <c r="M389" s="4">
        <v>922</v>
      </c>
      <c r="N389" s="3" t="s">
        <v>23</v>
      </c>
      <c r="O389" s="3" t="s">
        <v>281</v>
      </c>
    </row>
    <row r="390" spans="1:15" ht="22.05" customHeight="1" x14ac:dyDescent="0.4">
      <c r="A390" s="7">
        <v>83</v>
      </c>
      <c r="B390" s="8" t="s">
        <v>450</v>
      </c>
      <c r="C390" s="6" t="str">
        <f>IFERROR(IF(LEFT(D390,FIND(" ",D390)-1)="전라북도","전북특별자치도",LEFT(D390,FIND(" ",D390)-1)),"")</f>
        <v>전북특별자치도</v>
      </c>
      <c r="D390" s="3" t="s">
        <v>451</v>
      </c>
      <c r="E390" s="3" t="s">
        <v>447</v>
      </c>
      <c r="F390" s="3" t="s">
        <v>448</v>
      </c>
      <c r="G390" s="3" t="s">
        <v>19</v>
      </c>
      <c r="H390" s="3" t="s">
        <v>452</v>
      </c>
      <c r="I390" s="3" t="s">
        <v>19</v>
      </c>
      <c r="J390" s="3" t="s">
        <v>453</v>
      </c>
      <c r="K390" s="3" t="s">
        <v>21</v>
      </c>
      <c r="L390" s="3" t="s">
        <v>22</v>
      </c>
      <c r="M390" s="4">
        <v>7187</v>
      </c>
      <c r="N390" s="3" t="s">
        <v>23</v>
      </c>
      <c r="O390" s="3" t="s">
        <v>24</v>
      </c>
    </row>
    <row r="391" spans="1:15" ht="22.05" customHeight="1" x14ac:dyDescent="0.4">
      <c r="A391" s="7">
        <v>136</v>
      </c>
      <c r="B391" s="8" t="s">
        <v>711</v>
      </c>
      <c r="C391" s="6" t="str">
        <f>IFERROR(IF(LEFT(D391,FIND(" ",D391)-1)="전라북도","전북특별자치도",LEFT(D391,FIND(" ",D391)-1)),"")</f>
        <v>전북특별자치도</v>
      </c>
      <c r="D391" s="3" t="s">
        <v>712</v>
      </c>
      <c r="E391" s="3" t="s">
        <v>713</v>
      </c>
      <c r="F391" s="3" t="s">
        <v>630</v>
      </c>
      <c r="G391" s="3" t="s">
        <v>19</v>
      </c>
      <c r="H391" s="3" t="s">
        <v>714</v>
      </c>
      <c r="I391" s="3" t="s">
        <v>19</v>
      </c>
      <c r="J391" s="3" t="s">
        <v>715</v>
      </c>
      <c r="K391" s="3" t="s">
        <v>21</v>
      </c>
      <c r="L391" s="3" t="s">
        <v>22</v>
      </c>
      <c r="M391" s="4">
        <v>14242</v>
      </c>
      <c r="N391" s="3" t="s">
        <v>23</v>
      </c>
      <c r="O391" s="3" t="s">
        <v>24</v>
      </c>
    </row>
    <row r="392" spans="1:15" ht="22.05" customHeight="1" x14ac:dyDescent="0.4">
      <c r="A392" s="7">
        <v>139</v>
      </c>
      <c r="B392" s="8" t="s">
        <v>729</v>
      </c>
      <c r="C392" s="6" t="str">
        <f>IFERROR(IF(LEFT(D392,FIND(" ",D392)-1)="전라북도","전북특별자치도",LEFT(D392,FIND(" ",D392)-1)),"")</f>
        <v>전북특별자치도</v>
      </c>
      <c r="D392" s="3" t="s">
        <v>730</v>
      </c>
      <c r="E392" s="3" t="s">
        <v>731</v>
      </c>
      <c r="F392" s="3" t="s">
        <v>707</v>
      </c>
      <c r="G392" s="3" t="s">
        <v>19</v>
      </c>
      <c r="H392" s="3" t="s">
        <v>732</v>
      </c>
      <c r="I392" s="3" t="s">
        <v>19</v>
      </c>
      <c r="J392" s="3" t="s">
        <v>19</v>
      </c>
      <c r="K392" s="3" t="s">
        <v>21</v>
      </c>
      <c r="L392" s="3" t="s">
        <v>22</v>
      </c>
      <c r="M392" s="4">
        <v>1682</v>
      </c>
      <c r="N392" s="3" t="s">
        <v>23</v>
      </c>
      <c r="O392" s="3" t="s">
        <v>24</v>
      </c>
    </row>
    <row r="393" spans="1:15" ht="22.05" customHeight="1" x14ac:dyDescent="0.4">
      <c r="A393" s="7">
        <v>176</v>
      </c>
      <c r="B393" s="8" t="s">
        <v>917</v>
      </c>
      <c r="C393" s="6" t="str">
        <f>IFERROR(IF(LEFT(D393,FIND(" ",D393)-1)="전라북도","전북특별자치도",LEFT(D393,FIND(" ",D393)-1)),"")</f>
        <v>전북특별자치도</v>
      </c>
      <c r="D393" s="3" t="s">
        <v>918</v>
      </c>
      <c r="E393" s="3" t="s">
        <v>919</v>
      </c>
      <c r="F393" s="3" t="s">
        <v>920</v>
      </c>
      <c r="G393" s="3" t="s">
        <v>19</v>
      </c>
      <c r="H393" s="3" t="s">
        <v>921</v>
      </c>
      <c r="I393" s="3" t="s">
        <v>19</v>
      </c>
      <c r="J393" s="3" t="s">
        <v>19</v>
      </c>
      <c r="K393" s="3" t="s">
        <v>21</v>
      </c>
      <c r="L393" s="3" t="s">
        <v>22</v>
      </c>
      <c r="M393" s="4">
        <v>588</v>
      </c>
      <c r="N393" s="3" t="s">
        <v>23</v>
      </c>
      <c r="O393" s="3" t="s">
        <v>24</v>
      </c>
    </row>
    <row r="394" spans="1:15" hidden="1" x14ac:dyDescent="0.4">
      <c r="A394" s="7">
        <v>393</v>
      </c>
      <c r="B394" s="8" t="s">
        <v>1995</v>
      </c>
      <c r="C394" s="6" t="str">
        <f>IFERROR(IF(LEFT(D394,FIND(" ",D394)-1)="전라북도","전북특별자치도",LEFT(D394,FIND(" ",D394)-1)),"")</f>
        <v>경기도</v>
      </c>
      <c r="D394" s="3" t="s">
        <v>1996</v>
      </c>
      <c r="E394" s="3" t="s">
        <v>1997</v>
      </c>
      <c r="F394" s="3" t="s">
        <v>338</v>
      </c>
      <c r="G394" s="3" t="s">
        <v>1999</v>
      </c>
      <c r="H394" s="3" t="s">
        <v>953</v>
      </c>
      <c r="I394" s="3" t="s">
        <v>953</v>
      </c>
      <c r="J394" s="3" t="s">
        <v>19</v>
      </c>
      <c r="K394" s="3" t="s">
        <v>21</v>
      </c>
      <c r="L394" s="3" t="s">
        <v>147</v>
      </c>
      <c r="M394" s="4">
        <v>658</v>
      </c>
      <c r="N394" s="3" t="s">
        <v>23</v>
      </c>
      <c r="O394" s="3" t="s">
        <v>281</v>
      </c>
    </row>
    <row r="395" spans="1:15" ht="22.05" customHeight="1" x14ac:dyDescent="0.4">
      <c r="A395" s="7">
        <v>189</v>
      </c>
      <c r="B395" s="8" t="s">
        <v>983</v>
      </c>
      <c r="C395" s="6" t="str">
        <f>IFERROR(IF(LEFT(D395,FIND(" ",D395)-1)="전라북도","전북특별자치도",LEFT(D395,FIND(" ",D395)-1)),"")</f>
        <v>전북특별자치도</v>
      </c>
      <c r="D395" s="3" t="s">
        <v>984</v>
      </c>
      <c r="E395" s="3" t="s">
        <v>985</v>
      </c>
      <c r="F395" s="3" t="s">
        <v>533</v>
      </c>
      <c r="G395" s="3" t="s">
        <v>986</v>
      </c>
      <c r="H395" s="3" t="s">
        <v>921</v>
      </c>
      <c r="I395" s="3" t="s">
        <v>987</v>
      </c>
      <c r="J395" s="3" t="s">
        <v>988</v>
      </c>
      <c r="K395" s="3" t="s">
        <v>21</v>
      </c>
      <c r="L395" s="3" t="s">
        <v>22</v>
      </c>
      <c r="M395" s="4">
        <v>2254</v>
      </c>
      <c r="N395" s="3" t="s">
        <v>236</v>
      </c>
      <c r="O395" s="3" t="s">
        <v>24</v>
      </c>
    </row>
    <row r="396" spans="1:15" hidden="1" x14ac:dyDescent="0.4">
      <c r="A396" s="7">
        <v>395</v>
      </c>
      <c r="B396" s="8" t="s">
        <v>2004</v>
      </c>
      <c r="C396" s="6" t="str">
        <f>IFERROR(IF(LEFT(D396,FIND(" ",D396)-1)="전라북도","전북특별자치도",LEFT(D396,FIND(" ",D396)-1)),"")</f>
        <v>강원특별자치도</v>
      </c>
      <c r="D396" s="3" t="s">
        <v>2005</v>
      </c>
      <c r="E396" s="3" t="s">
        <v>2006</v>
      </c>
      <c r="F396" s="3" t="s">
        <v>347</v>
      </c>
      <c r="G396" s="3" t="s">
        <v>2007</v>
      </c>
      <c r="H396" s="3" t="s">
        <v>2008</v>
      </c>
      <c r="I396" s="3" t="s">
        <v>19</v>
      </c>
      <c r="J396" s="3" t="s">
        <v>19</v>
      </c>
      <c r="K396" s="3" t="s">
        <v>21</v>
      </c>
      <c r="L396" s="3" t="s">
        <v>22</v>
      </c>
      <c r="M396" s="4">
        <v>186</v>
      </c>
      <c r="N396" s="3" t="s">
        <v>129</v>
      </c>
      <c r="O396" s="3" t="s">
        <v>281</v>
      </c>
    </row>
    <row r="397" spans="1:15" hidden="1" x14ac:dyDescent="0.4">
      <c r="A397" s="7">
        <v>396</v>
      </c>
      <c r="B397" s="8" t="s">
        <v>2009</v>
      </c>
      <c r="C397" s="6" t="str">
        <f>IFERROR(IF(LEFT(D397,FIND(" ",D397)-1)="전라북도","전북특별자치도",LEFT(D397,FIND(" ",D397)-1)),"")</f>
        <v>경기도</v>
      </c>
      <c r="D397" s="3" t="s">
        <v>2010</v>
      </c>
      <c r="E397" s="3" t="s">
        <v>2011</v>
      </c>
      <c r="F397" s="3" t="s">
        <v>2012</v>
      </c>
      <c r="G397" s="3" t="s">
        <v>1999</v>
      </c>
      <c r="H397" s="3" t="s">
        <v>953</v>
      </c>
      <c r="I397" s="3" t="s">
        <v>19</v>
      </c>
      <c r="J397" s="3" t="s">
        <v>19</v>
      </c>
      <c r="K397" s="3" t="s">
        <v>21</v>
      </c>
      <c r="L397" s="3" t="s">
        <v>22</v>
      </c>
      <c r="M397" s="4">
        <v>438</v>
      </c>
      <c r="N397" s="3" t="s">
        <v>84</v>
      </c>
      <c r="O397" s="3" t="s">
        <v>281</v>
      </c>
    </row>
    <row r="398" spans="1:15" hidden="1" x14ac:dyDescent="0.4">
      <c r="A398" s="7">
        <v>397</v>
      </c>
      <c r="B398" s="8" t="s">
        <v>1847</v>
      </c>
      <c r="C398" s="6" t="str">
        <f>IFERROR(IF(LEFT(D398,FIND(" ",D398)-1)="전라북도","전북특별자치도",LEFT(D398,FIND(" ",D398)-1)),"")</f>
        <v>충청남도</v>
      </c>
      <c r="D398" s="3" t="s">
        <v>2014</v>
      </c>
      <c r="E398" s="3" t="s">
        <v>2015</v>
      </c>
      <c r="F398" s="3" t="s">
        <v>2012</v>
      </c>
      <c r="G398" s="3" t="s">
        <v>19</v>
      </c>
      <c r="H398" s="3" t="s">
        <v>157</v>
      </c>
      <c r="I398" s="3" t="s">
        <v>19</v>
      </c>
      <c r="J398" s="3" t="s">
        <v>19</v>
      </c>
      <c r="K398" s="3" t="s">
        <v>21</v>
      </c>
      <c r="L398" s="3" t="s">
        <v>147</v>
      </c>
      <c r="M398" s="4">
        <v>727</v>
      </c>
      <c r="N398" s="3" t="s">
        <v>84</v>
      </c>
      <c r="O398" s="3" t="s">
        <v>281</v>
      </c>
    </row>
    <row r="399" spans="1:15" hidden="1" x14ac:dyDescent="0.4">
      <c r="A399" s="7">
        <v>398</v>
      </c>
      <c r="B399" s="8" t="s">
        <v>2017</v>
      </c>
      <c r="C399" s="6" t="str">
        <f>IFERROR(IF(LEFT(D399,FIND(" ",D399)-1)="전라북도","전북특별자치도",LEFT(D399,FIND(" ",D399)-1)),"")</f>
        <v>전북특별자치도</v>
      </c>
      <c r="D399" s="3" t="s">
        <v>2018</v>
      </c>
      <c r="E399" s="3" t="s">
        <v>1916</v>
      </c>
      <c r="F399" s="3" t="s">
        <v>2012</v>
      </c>
      <c r="G399" s="3" t="s">
        <v>2020</v>
      </c>
      <c r="H399" s="3" t="s">
        <v>2021</v>
      </c>
      <c r="I399" s="3" t="s">
        <v>2021</v>
      </c>
      <c r="J399" s="3" t="s">
        <v>19</v>
      </c>
      <c r="K399" s="3" t="s">
        <v>21</v>
      </c>
      <c r="L399" s="3" t="s">
        <v>22</v>
      </c>
      <c r="M399" s="4">
        <v>913</v>
      </c>
      <c r="N399" s="3" t="s">
        <v>23</v>
      </c>
      <c r="O399" s="3" t="s">
        <v>281</v>
      </c>
    </row>
    <row r="400" spans="1:15" hidden="1" x14ac:dyDescent="0.4">
      <c r="A400" s="7">
        <v>399</v>
      </c>
      <c r="B400" s="8" t="s">
        <v>2022</v>
      </c>
      <c r="C400" s="6" t="str">
        <f>IFERROR(IF(LEFT(D400,FIND(" ",D400)-1)="전라북도","전북특별자치도",LEFT(D400,FIND(" ",D400)-1)),"")</f>
        <v>경상북도</v>
      </c>
      <c r="D400" s="3" t="s">
        <v>2023</v>
      </c>
      <c r="E400" s="3" t="s">
        <v>1997</v>
      </c>
      <c r="F400" s="3" t="s">
        <v>735</v>
      </c>
      <c r="G400" s="3" t="s">
        <v>2024</v>
      </c>
      <c r="H400" s="3" t="s">
        <v>743</v>
      </c>
      <c r="I400" s="3" t="s">
        <v>743</v>
      </c>
      <c r="J400" s="3" t="s">
        <v>19</v>
      </c>
      <c r="K400" s="3" t="s">
        <v>21</v>
      </c>
      <c r="L400" s="3" t="s">
        <v>22</v>
      </c>
      <c r="M400" s="4">
        <v>289</v>
      </c>
      <c r="N400" s="3" t="s">
        <v>84</v>
      </c>
      <c r="O400" s="3" t="s">
        <v>281</v>
      </c>
    </row>
    <row r="401" spans="1:15" hidden="1" x14ac:dyDescent="0.4">
      <c r="A401" s="7">
        <v>400</v>
      </c>
      <c r="B401" s="8" t="s">
        <v>2025</v>
      </c>
      <c r="C401" s="6" t="str">
        <f>IFERROR(IF(LEFT(D401,FIND(" ",D401)-1)="전라북도","전북특별자치도",LEFT(D401,FIND(" ",D401)-1)),"")</f>
        <v>전북특별자치도</v>
      </c>
      <c r="D401" s="3" t="s">
        <v>2026</v>
      </c>
      <c r="E401" s="3" t="s">
        <v>2027</v>
      </c>
      <c r="F401" s="3" t="s">
        <v>2028</v>
      </c>
      <c r="G401" s="3" t="s">
        <v>2029</v>
      </c>
      <c r="H401" s="3" t="s">
        <v>2030</v>
      </c>
      <c r="I401" s="3" t="s">
        <v>2031</v>
      </c>
      <c r="J401" s="3" t="s">
        <v>19</v>
      </c>
      <c r="K401" s="3" t="s">
        <v>21</v>
      </c>
      <c r="L401" s="3" t="s">
        <v>22</v>
      </c>
      <c r="M401" s="4">
        <v>1653</v>
      </c>
      <c r="N401" s="3" t="s">
        <v>23</v>
      </c>
      <c r="O401" s="3" t="s">
        <v>281</v>
      </c>
    </row>
    <row r="402" spans="1:15" ht="22.05" customHeight="1" x14ac:dyDescent="0.4">
      <c r="A402" s="7">
        <v>214</v>
      </c>
      <c r="B402" s="8" t="s">
        <v>1111</v>
      </c>
      <c r="C402" s="6" t="str">
        <f>IFERROR(IF(LEFT(D402,FIND(" ",D402)-1)="전라북도","전북특별자치도",LEFT(D402,FIND(" ",D402)-1)),"")</f>
        <v>전북특별자치도</v>
      </c>
      <c r="D402" s="3" t="s">
        <v>1112</v>
      </c>
      <c r="E402" s="3" t="s">
        <v>1113</v>
      </c>
      <c r="F402" s="3" t="s">
        <v>1114</v>
      </c>
      <c r="G402" s="3" t="s">
        <v>19</v>
      </c>
      <c r="H402" s="3" t="s">
        <v>1115</v>
      </c>
      <c r="I402" s="3" t="s">
        <v>19</v>
      </c>
      <c r="J402" s="3" t="s">
        <v>19</v>
      </c>
      <c r="K402" s="3" t="s">
        <v>21</v>
      </c>
      <c r="L402" s="3" t="s">
        <v>22</v>
      </c>
      <c r="M402" s="4">
        <v>2499</v>
      </c>
      <c r="N402" s="3" t="s">
        <v>23</v>
      </c>
      <c r="O402" s="3" t="s">
        <v>24</v>
      </c>
    </row>
    <row r="403" spans="1:15" hidden="1" x14ac:dyDescent="0.4">
      <c r="A403" s="7">
        <v>402</v>
      </c>
      <c r="B403" s="8" t="s">
        <v>2039</v>
      </c>
      <c r="C403" s="6" t="str">
        <f>IFERROR(IF(LEFT(D403,FIND(" ",D403)-1)="전라북도","전북특별자치도",LEFT(D403,FIND(" ",D403)-1)),"")</f>
        <v>경기도</v>
      </c>
      <c r="D403" s="3" t="s">
        <v>2040</v>
      </c>
      <c r="E403" s="3" t="s">
        <v>2041</v>
      </c>
      <c r="F403" s="3" t="s">
        <v>2042</v>
      </c>
      <c r="G403" s="3" t="s">
        <v>2043</v>
      </c>
      <c r="H403" s="3" t="s">
        <v>869</v>
      </c>
      <c r="I403" s="3" t="s">
        <v>869</v>
      </c>
      <c r="J403" s="3" t="s">
        <v>19</v>
      </c>
      <c r="K403" s="3" t="s">
        <v>21</v>
      </c>
      <c r="L403" s="3" t="s">
        <v>22</v>
      </c>
      <c r="M403" s="4">
        <v>561</v>
      </c>
      <c r="N403" s="3" t="s">
        <v>23</v>
      </c>
      <c r="O403" s="3" t="s">
        <v>281</v>
      </c>
    </row>
    <row r="404" spans="1:15" ht="22.05" customHeight="1" x14ac:dyDescent="0.4">
      <c r="A404" s="7">
        <v>250</v>
      </c>
      <c r="B404" s="8" t="s">
        <v>1274</v>
      </c>
      <c r="C404" s="6" t="str">
        <f>IFERROR(IF(LEFT(D404,FIND(" ",D404)-1)="전라북도","전북특별자치도",LEFT(D404,FIND(" ",D404)-1)),"")</f>
        <v>전북특별자치도</v>
      </c>
      <c r="D404" s="3" t="s">
        <v>1275</v>
      </c>
      <c r="E404" s="3" t="s">
        <v>1276</v>
      </c>
      <c r="F404" s="3" t="s">
        <v>1277</v>
      </c>
      <c r="G404" s="3" t="s">
        <v>1278</v>
      </c>
      <c r="H404" s="3" t="s">
        <v>1279</v>
      </c>
      <c r="I404" s="3" t="s">
        <v>1280</v>
      </c>
      <c r="J404" s="3" t="s">
        <v>19</v>
      </c>
      <c r="K404" s="3" t="s">
        <v>21</v>
      </c>
      <c r="L404" s="3" t="s">
        <v>22</v>
      </c>
      <c r="M404" s="4">
        <v>2435</v>
      </c>
      <c r="N404" s="3" t="s">
        <v>23</v>
      </c>
      <c r="O404" s="3" t="s">
        <v>24</v>
      </c>
    </row>
    <row r="405" spans="1:15" hidden="1" x14ac:dyDescent="0.4">
      <c r="A405" s="7">
        <v>404</v>
      </c>
      <c r="B405" s="8" t="s">
        <v>2050</v>
      </c>
      <c r="C405" s="6" t="str">
        <f>IFERROR(IF(LEFT(D405,FIND(" ",D405)-1)="전라북도","전북특별자치도",LEFT(D405,FIND(" ",D405)-1)),"")</f>
        <v>전라남도</v>
      </c>
      <c r="D405" s="3" t="s">
        <v>2051</v>
      </c>
      <c r="E405" s="3" t="s">
        <v>2052</v>
      </c>
      <c r="F405" s="3" t="s">
        <v>2053</v>
      </c>
      <c r="G405" s="3" t="s">
        <v>2054</v>
      </c>
      <c r="H405" s="3" t="s">
        <v>2055</v>
      </c>
      <c r="I405" s="3" t="s">
        <v>1580</v>
      </c>
      <c r="J405" s="3" t="s">
        <v>19</v>
      </c>
      <c r="K405" s="3" t="s">
        <v>21</v>
      </c>
      <c r="L405" s="3" t="s">
        <v>22</v>
      </c>
      <c r="M405" s="4">
        <v>1262</v>
      </c>
      <c r="N405" s="3" t="s">
        <v>23</v>
      </c>
      <c r="O405" s="3" t="s">
        <v>281</v>
      </c>
    </row>
    <row r="406" spans="1:15" hidden="1" x14ac:dyDescent="0.4">
      <c r="A406" s="7">
        <v>405</v>
      </c>
      <c r="B406" s="8" t="s">
        <v>2056</v>
      </c>
      <c r="C406" s="6" t="str">
        <f>IFERROR(IF(LEFT(D406,FIND(" ",D406)-1)="전라북도","전북특별자치도",LEFT(D406,FIND(" ",D406)-1)),"")</f>
        <v>강원특별자치도</v>
      </c>
      <c r="D406" s="3" t="s">
        <v>2057</v>
      </c>
      <c r="E406" s="3" t="s">
        <v>2058</v>
      </c>
      <c r="F406" s="3" t="s">
        <v>2059</v>
      </c>
      <c r="G406" s="3" t="s">
        <v>2060</v>
      </c>
      <c r="H406" s="3" t="s">
        <v>2061</v>
      </c>
      <c r="I406" s="3" t="s">
        <v>2061</v>
      </c>
      <c r="J406" s="3" t="s">
        <v>19</v>
      </c>
      <c r="K406" s="3" t="s">
        <v>21</v>
      </c>
      <c r="L406" s="3" t="s">
        <v>22</v>
      </c>
      <c r="M406" s="4">
        <v>490</v>
      </c>
      <c r="N406" s="3" t="s">
        <v>23</v>
      </c>
      <c r="O406" s="3" t="s">
        <v>281</v>
      </c>
    </row>
    <row r="407" spans="1:15" hidden="1" x14ac:dyDescent="0.4">
      <c r="A407" s="7">
        <v>406</v>
      </c>
      <c r="B407" s="8" t="s">
        <v>2062</v>
      </c>
      <c r="C407" s="6" t="str">
        <f>IFERROR(IF(LEFT(D407,FIND(" ",D407)-1)="전라북도","전북특별자치도",LEFT(D407,FIND(" ",D407)-1)),"")</f>
        <v>경기도</v>
      </c>
      <c r="D407" s="3" t="s">
        <v>2063</v>
      </c>
      <c r="E407" s="3" t="s">
        <v>2064</v>
      </c>
      <c r="F407" s="3" t="s">
        <v>2065</v>
      </c>
      <c r="G407" s="3" t="s">
        <v>2066</v>
      </c>
      <c r="H407" s="3" t="s">
        <v>2067</v>
      </c>
      <c r="I407" s="3" t="s">
        <v>19</v>
      </c>
      <c r="J407" s="3" t="s">
        <v>19</v>
      </c>
      <c r="K407" s="3" t="s">
        <v>21</v>
      </c>
      <c r="L407" s="3" t="s">
        <v>147</v>
      </c>
      <c r="M407" s="4">
        <v>2751</v>
      </c>
      <c r="N407" s="3" t="s">
        <v>23</v>
      </c>
      <c r="O407" s="3" t="s">
        <v>281</v>
      </c>
    </row>
    <row r="408" spans="1:15" hidden="1" x14ac:dyDescent="0.4">
      <c r="A408" s="7">
        <v>407</v>
      </c>
      <c r="B408" s="8" t="s">
        <v>2068</v>
      </c>
      <c r="C408" s="6" t="str">
        <f>IFERROR(IF(LEFT(D408,FIND(" ",D408)-1)="전라북도","전북특별자치도",LEFT(D408,FIND(" ",D408)-1)),"")</f>
        <v>경상북도</v>
      </c>
      <c r="D408" s="3" t="s">
        <v>2069</v>
      </c>
      <c r="E408" s="3" t="s">
        <v>2070</v>
      </c>
      <c r="F408" s="3" t="s">
        <v>2071</v>
      </c>
      <c r="G408" s="3" t="s">
        <v>19</v>
      </c>
      <c r="H408" s="3" t="s">
        <v>2072</v>
      </c>
      <c r="I408" s="3" t="s">
        <v>19</v>
      </c>
      <c r="J408" s="3" t="s">
        <v>19</v>
      </c>
      <c r="K408" s="3" t="s">
        <v>21</v>
      </c>
      <c r="L408" s="3" t="s">
        <v>147</v>
      </c>
      <c r="M408" s="4">
        <v>683</v>
      </c>
      <c r="N408" s="3" t="s">
        <v>23</v>
      </c>
      <c r="O408" s="3" t="s">
        <v>281</v>
      </c>
    </row>
    <row r="409" spans="1:15" hidden="1" x14ac:dyDescent="0.4">
      <c r="A409" s="7">
        <v>408</v>
      </c>
      <c r="B409" s="8" t="s">
        <v>2073</v>
      </c>
      <c r="C409" s="6" t="str">
        <f>IFERROR(IF(LEFT(D409,FIND(" ",D409)-1)="전라북도","전북특별자치도",LEFT(D409,FIND(" ",D409)-1)),"")</f>
        <v>경상북도</v>
      </c>
      <c r="D409" s="3" t="s">
        <v>1518</v>
      </c>
      <c r="E409" s="3" t="s">
        <v>2074</v>
      </c>
      <c r="F409" s="3" t="s">
        <v>2071</v>
      </c>
      <c r="G409" s="3" t="s">
        <v>2075</v>
      </c>
      <c r="H409" s="3" t="s">
        <v>2076</v>
      </c>
      <c r="I409" s="3" t="s">
        <v>663</v>
      </c>
      <c r="J409" s="3" t="s">
        <v>2077</v>
      </c>
      <c r="K409" s="3" t="s">
        <v>21</v>
      </c>
      <c r="L409" s="3" t="s">
        <v>22</v>
      </c>
      <c r="M409" s="4">
        <v>4880</v>
      </c>
      <c r="N409" s="3" t="s">
        <v>23</v>
      </c>
      <c r="O409" s="3" t="s">
        <v>281</v>
      </c>
    </row>
    <row r="410" spans="1:15" hidden="1" x14ac:dyDescent="0.4">
      <c r="A410" s="7">
        <v>409</v>
      </c>
      <c r="B410" s="8" t="s">
        <v>2078</v>
      </c>
      <c r="C410" s="6" t="str">
        <f>IFERROR(IF(LEFT(D410,FIND(" ",D410)-1)="전라북도","전북특별자치도",LEFT(D410,FIND(" ",D410)-1)),"")</f>
        <v>경상남도</v>
      </c>
      <c r="D410" s="3" t="s">
        <v>2079</v>
      </c>
      <c r="E410" s="3" t="s">
        <v>1911</v>
      </c>
      <c r="F410" s="3" t="s">
        <v>2080</v>
      </c>
      <c r="G410" s="3" t="s">
        <v>19</v>
      </c>
      <c r="H410" s="3" t="s">
        <v>2082</v>
      </c>
      <c r="I410" s="3" t="s">
        <v>2082</v>
      </c>
      <c r="J410" s="3" t="s">
        <v>19</v>
      </c>
      <c r="K410" s="3" t="s">
        <v>21</v>
      </c>
      <c r="L410" s="3" t="s">
        <v>147</v>
      </c>
      <c r="M410" s="4">
        <v>1285</v>
      </c>
      <c r="N410" s="3" t="s">
        <v>23</v>
      </c>
      <c r="O410" s="3" t="s">
        <v>281</v>
      </c>
    </row>
    <row r="411" spans="1:15" hidden="1" x14ac:dyDescent="0.4">
      <c r="A411" s="7">
        <v>410</v>
      </c>
      <c r="B411" s="8" t="s">
        <v>2083</v>
      </c>
      <c r="C411" s="6" t="str">
        <f>IFERROR(IF(LEFT(D411,FIND(" ",D411)-1)="전라북도","전북특별자치도",LEFT(D411,FIND(" ",D411)-1)),"")</f>
        <v>경기도</v>
      </c>
      <c r="D411" s="3" t="s">
        <v>2084</v>
      </c>
      <c r="E411" s="3" t="s">
        <v>2085</v>
      </c>
      <c r="F411" s="3" t="s">
        <v>2085</v>
      </c>
      <c r="G411" s="3" t="s">
        <v>19</v>
      </c>
      <c r="H411" s="3" t="s">
        <v>302</v>
      </c>
      <c r="I411" s="3" t="s">
        <v>19</v>
      </c>
      <c r="J411" s="3" t="s">
        <v>19</v>
      </c>
      <c r="K411" s="3" t="s">
        <v>481</v>
      </c>
      <c r="L411" s="3" t="s">
        <v>147</v>
      </c>
      <c r="M411" s="4">
        <v>364</v>
      </c>
      <c r="N411" s="3" t="s">
        <v>84</v>
      </c>
      <c r="O411" s="3" t="s">
        <v>281</v>
      </c>
    </row>
    <row r="412" spans="1:15" hidden="1" x14ac:dyDescent="0.4">
      <c r="A412" s="7">
        <v>411</v>
      </c>
      <c r="B412" s="8" t="s">
        <v>2086</v>
      </c>
      <c r="C412" s="6" t="str">
        <f>IFERROR(IF(LEFT(D412,FIND(" ",D412)-1)="전라북도","전북특별자치도",LEFT(D412,FIND(" ",D412)-1)),"")</f>
        <v>경상북도</v>
      </c>
      <c r="D412" s="3" t="s">
        <v>2087</v>
      </c>
      <c r="E412" s="3" t="s">
        <v>2011</v>
      </c>
      <c r="F412" s="3" t="s">
        <v>2052</v>
      </c>
      <c r="G412" s="3" t="s">
        <v>2089</v>
      </c>
      <c r="H412" s="3" t="s">
        <v>2090</v>
      </c>
      <c r="I412" s="3" t="s">
        <v>2091</v>
      </c>
      <c r="J412" s="3" t="s">
        <v>2092</v>
      </c>
      <c r="K412" s="3" t="s">
        <v>21</v>
      </c>
      <c r="L412" s="3" t="s">
        <v>22</v>
      </c>
      <c r="M412" s="4">
        <v>466</v>
      </c>
      <c r="N412" s="3" t="s">
        <v>23</v>
      </c>
      <c r="O412" s="3" t="s">
        <v>281</v>
      </c>
    </row>
    <row r="413" spans="1:15" hidden="1" x14ac:dyDescent="0.4">
      <c r="A413" s="7">
        <v>412</v>
      </c>
      <c r="B413" s="8" t="s">
        <v>2093</v>
      </c>
      <c r="C413" s="6" t="str">
        <f>IFERROR(IF(LEFT(D413,FIND(" ",D413)-1)="전라북도","전북특별자치도",LEFT(D413,FIND(" ",D413)-1)),"")</f>
        <v>강원특별자치도</v>
      </c>
      <c r="D413" s="3" t="s">
        <v>2094</v>
      </c>
      <c r="E413" s="3" t="s">
        <v>2095</v>
      </c>
      <c r="F413" s="3" t="s">
        <v>2096</v>
      </c>
      <c r="G413" s="3" t="s">
        <v>2097</v>
      </c>
      <c r="H413" s="3" t="s">
        <v>2098</v>
      </c>
      <c r="I413" s="3" t="s">
        <v>19</v>
      </c>
      <c r="J413" s="3" t="s">
        <v>19</v>
      </c>
      <c r="K413" s="3" t="s">
        <v>21</v>
      </c>
      <c r="L413" s="3" t="s">
        <v>22</v>
      </c>
      <c r="M413" s="4">
        <v>75</v>
      </c>
      <c r="N413" s="3" t="s">
        <v>23</v>
      </c>
      <c r="O413" s="3" t="s">
        <v>281</v>
      </c>
    </row>
    <row r="414" spans="1:15" hidden="1" x14ac:dyDescent="0.4">
      <c r="A414" s="7">
        <v>413</v>
      </c>
      <c r="B414" s="8" t="s">
        <v>2099</v>
      </c>
      <c r="C414" s="6" t="str">
        <f>IFERROR(IF(LEFT(D414,FIND(" ",D414)-1)="전라북도","전북특별자치도",LEFT(D414,FIND(" ",D414)-1)),"")</f>
        <v>강원특별자치도</v>
      </c>
      <c r="D414" s="3" t="s">
        <v>2100</v>
      </c>
      <c r="E414" s="3" t="s">
        <v>1337</v>
      </c>
      <c r="F414" s="3" t="s">
        <v>2101</v>
      </c>
      <c r="G414" s="3" t="s">
        <v>2103</v>
      </c>
      <c r="H414" s="3" t="s">
        <v>2104</v>
      </c>
      <c r="I414" s="3" t="s">
        <v>2104</v>
      </c>
      <c r="J414" s="3" t="s">
        <v>19</v>
      </c>
      <c r="K414" s="3" t="s">
        <v>21</v>
      </c>
      <c r="L414" s="3" t="s">
        <v>147</v>
      </c>
      <c r="M414" s="4">
        <v>16171</v>
      </c>
      <c r="N414" s="3" t="s">
        <v>23</v>
      </c>
      <c r="O414" s="3" t="s">
        <v>281</v>
      </c>
    </row>
    <row r="415" spans="1:15" hidden="1" x14ac:dyDescent="0.4">
      <c r="A415" s="7">
        <v>414</v>
      </c>
      <c r="B415" s="8" t="s">
        <v>2105</v>
      </c>
      <c r="C415" s="6" t="str">
        <f>IFERROR(IF(LEFT(D415,FIND(" ",D415)-1)="전라북도","전북특별자치도",LEFT(D415,FIND(" ",D415)-1)),"")</f>
        <v>전라남도</v>
      </c>
      <c r="D415" s="3" t="s">
        <v>2106</v>
      </c>
      <c r="E415" s="3" t="s">
        <v>2107</v>
      </c>
      <c r="F415" s="3" t="s">
        <v>1874</v>
      </c>
      <c r="G415" s="3" t="s">
        <v>2109</v>
      </c>
      <c r="H415" s="3" t="s">
        <v>2110</v>
      </c>
      <c r="I415" s="3" t="s">
        <v>2110</v>
      </c>
      <c r="J415" s="3" t="s">
        <v>19</v>
      </c>
      <c r="K415" s="3" t="s">
        <v>21</v>
      </c>
      <c r="L415" s="3" t="s">
        <v>22</v>
      </c>
      <c r="M415" s="4">
        <v>492</v>
      </c>
      <c r="N415" s="3" t="s">
        <v>2111</v>
      </c>
      <c r="O415" s="3" t="s">
        <v>281</v>
      </c>
    </row>
    <row r="416" spans="1:15" ht="22.05" customHeight="1" x14ac:dyDescent="0.4">
      <c r="A416" s="7">
        <v>272</v>
      </c>
      <c r="B416" s="8" t="s">
        <v>1386</v>
      </c>
      <c r="C416" s="6" t="str">
        <f>IFERROR(IF(LEFT(D416,FIND(" ",D416)-1)="전라북도","전북특별자치도",LEFT(D416,FIND(" ",D416)-1)),"")</f>
        <v>전북특별자치도</v>
      </c>
      <c r="D416" s="3" t="s">
        <v>1387</v>
      </c>
      <c r="E416" s="3" t="s">
        <v>1388</v>
      </c>
      <c r="F416" s="3" t="s">
        <v>1389</v>
      </c>
      <c r="G416" s="3" t="s">
        <v>19</v>
      </c>
      <c r="H416" s="3" t="s">
        <v>1390</v>
      </c>
      <c r="I416" s="3" t="s">
        <v>19</v>
      </c>
      <c r="J416" s="3" t="s">
        <v>19</v>
      </c>
      <c r="K416" s="3" t="s">
        <v>21</v>
      </c>
      <c r="L416" s="3" t="s">
        <v>22</v>
      </c>
      <c r="M416" s="4">
        <v>1681</v>
      </c>
      <c r="N416" s="3" t="s">
        <v>23</v>
      </c>
      <c r="O416" s="3" t="s">
        <v>24</v>
      </c>
    </row>
    <row r="417" spans="1:15" hidden="1" x14ac:dyDescent="0.4">
      <c r="A417" s="7">
        <v>416</v>
      </c>
      <c r="B417" s="8" t="s">
        <v>2118</v>
      </c>
      <c r="C417" s="6" t="str">
        <f>IFERROR(IF(LEFT(D417,FIND(" ",D417)-1)="전라북도","전북특별자치도",LEFT(D417,FIND(" ",D417)-1)),"")</f>
        <v>경상북도</v>
      </c>
      <c r="D417" s="3" t="s">
        <v>2119</v>
      </c>
      <c r="E417" s="3" t="s">
        <v>2120</v>
      </c>
      <c r="F417" s="3" t="s">
        <v>2121</v>
      </c>
      <c r="G417" s="3" t="s">
        <v>2122</v>
      </c>
      <c r="H417" s="3" t="s">
        <v>2123</v>
      </c>
      <c r="I417" s="3" t="s">
        <v>2123</v>
      </c>
      <c r="J417" s="3" t="s">
        <v>19</v>
      </c>
      <c r="K417" s="3" t="s">
        <v>21</v>
      </c>
      <c r="L417" s="3" t="s">
        <v>228</v>
      </c>
      <c r="M417" s="4">
        <v>482</v>
      </c>
      <c r="N417" s="3" t="s">
        <v>1498</v>
      </c>
      <c r="O417" s="3" t="s">
        <v>281</v>
      </c>
    </row>
    <row r="418" spans="1:15" hidden="1" x14ac:dyDescent="0.4">
      <c r="A418" s="7">
        <v>417</v>
      </c>
      <c r="B418" s="8" t="s">
        <v>2124</v>
      </c>
      <c r="C418" s="6" t="str">
        <f>IFERROR(IF(LEFT(D418,FIND(" ",D418)-1)="전라북도","전북특별자치도",LEFT(D418,FIND(" ",D418)-1)),"")</f>
        <v>제주특별자치도</v>
      </c>
      <c r="D418" s="3" t="s">
        <v>2125</v>
      </c>
      <c r="E418" s="3" t="s">
        <v>2126</v>
      </c>
      <c r="F418" s="3" t="s">
        <v>2127</v>
      </c>
      <c r="G418" s="3" t="s">
        <v>2128</v>
      </c>
      <c r="H418" s="3" t="s">
        <v>2129</v>
      </c>
      <c r="I418" s="3" t="s">
        <v>2129</v>
      </c>
      <c r="J418" s="3" t="s">
        <v>19</v>
      </c>
      <c r="K418" s="3" t="s">
        <v>21</v>
      </c>
      <c r="L418" s="3" t="s">
        <v>147</v>
      </c>
      <c r="M418" s="4">
        <v>384</v>
      </c>
      <c r="N418" s="3" t="s">
        <v>1498</v>
      </c>
      <c r="O418" s="3" t="s">
        <v>281</v>
      </c>
    </row>
    <row r="419" spans="1:15" hidden="1" x14ac:dyDescent="0.4">
      <c r="A419" s="7">
        <v>418</v>
      </c>
      <c r="B419" s="8" t="s">
        <v>2130</v>
      </c>
      <c r="C419" s="6" t="str">
        <f>IFERROR(IF(LEFT(D419,FIND(" ",D419)-1)="전라북도","전북특별자치도",LEFT(D419,FIND(" ",D419)-1)),"")</f>
        <v>경상북도</v>
      </c>
      <c r="D419" s="3" t="s">
        <v>2131</v>
      </c>
      <c r="E419" s="3" t="s">
        <v>2132</v>
      </c>
      <c r="F419" s="3" t="s">
        <v>2133</v>
      </c>
      <c r="G419" s="3" t="s">
        <v>2135</v>
      </c>
      <c r="H419" s="3" t="s">
        <v>2136</v>
      </c>
      <c r="I419" s="3" t="s">
        <v>2137</v>
      </c>
      <c r="J419" s="3" t="s">
        <v>19</v>
      </c>
      <c r="K419" s="3" t="s">
        <v>21</v>
      </c>
      <c r="L419" s="3" t="s">
        <v>22</v>
      </c>
      <c r="M419" s="4">
        <v>809</v>
      </c>
      <c r="N419" s="3" t="s">
        <v>1498</v>
      </c>
      <c r="O419" s="3" t="s">
        <v>281</v>
      </c>
    </row>
    <row r="420" spans="1:15" hidden="1" x14ac:dyDescent="0.4">
      <c r="A420" s="7">
        <v>419</v>
      </c>
      <c r="B420" s="8" t="s">
        <v>2138</v>
      </c>
      <c r="C420" s="6" t="str">
        <f>IFERROR(IF(LEFT(D420,FIND(" ",D420)-1)="전라북도","전북특별자치도",LEFT(D420,FIND(" ",D420)-1)),"")</f>
        <v>강원특별자치도</v>
      </c>
      <c r="D420" s="3" t="s">
        <v>2139</v>
      </c>
      <c r="E420" s="3" t="s">
        <v>72</v>
      </c>
      <c r="F420" s="3" t="s">
        <v>2140</v>
      </c>
      <c r="G420" s="3" t="s">
        <v>2141</v>
      </c>
      <c r="H420" s="3" t="s">
        <v>19</v>
      </c>
      <c r="I420" s="3" t="s">
        <v>19</v>
      </c>
      <c r="J420" s="3" t="s">
        <v>19</v>
      </c>
      <c r="K420" s="3" t="s">
        <v>21</v>
      </c>
      <c r="L420" s="3" t="s">
        <v>22</v>
      </c>
      <c r="M420" s="4">
        <v>198</v>
      </c>
      <c r="N420" s="3" t="s">
        <v>1498</v>
      </c>
      <c r="O420" s="3" t="s">
        <v>281</v>
      </c>
    </row>
    <row r="421" spans="1:15" hidden="1" x14ac:dyDescent="0.4">
      <c r="A421" s="7">
        <v>420</v>
      </c>
      <c r="B421" s="8" t="s">
        <v>2142</v>
      </c>
      <c r="C421" s="6" t="str">
        <f>IFERROR(IF(LEFT(D421,FIND(" ",D421)-1)="전라북도","전북특별자치도",LEFT(D421,FIND(" ",D421)-1)),"")</f>
        <v>울산광역시</v>
      </c>
      <c r="D421" s="3" t="s">
        <v>2143</v>
      </c>
      <c r="E421" s="3" t="s">
        <v>1886</v>
      </c>
      <c r="F421" s="3" t="s">
        <v>2144</v>
      </c>
      <c r="G421" s="3" t="s">
        <v>2146</v>
      </c>
      <c r="H421" s="3" t="s">
        <v>2147</v>
      </c>
      <c r="I421" s="3" t="s">
        <v>2148</v>
      </c>
      <c r="J421" s="3" t="s">
        <v>2149</v>
      </c>
      <c r="K421" s="3" t="s">
        <v>21</v>
      </c>
      <c r="L421" s="3" t="s">
        <v>22</v>
      </c>
      <c r="M421" s="4">
        <v>904</v>
      </c>
      <c r="N421" s="3" t="s">
        <v>1498</v>
      </c>
      <c r="O421" s="3" t="s">
        <v>281</v>
      </c>
    </row>
    <row r="422" spans="1:15" ht="22.05" customHeight="1" x14ac:dyDescent="0.4">
      <c r="A422" s="7">
        <v>282</v>
      </c>
      <c r="B422" s="8" t="s">
        <v>1441</v>
      </c>
      <c r="C422" s="6" t="str">
        <f>IFERROR(IF(LEFT(D422,FIND(" ",D422)-1)="전라북도","전북특별자치도",LEFT(D422,FIND(" ",D422)-1)),"")</f>
        <v>전북특별자치도</v>
      </c>
      <c r="D422" s="3" t="s">
        <v>1442</v>
      </c>
      <c r="E422" s="3" t="s">
        <v>1443</v>
      </c>
      <c r="F422" s="3" t="s">
        <v>1438</v>
      </c>
      <c r="G422" s="3" t="s">
        <v>19</v>
      </c>
      <c r="H422" s="3" t="s">
        <v>1444</v>
      </c>
      <c r="I422" s="3" t="s">
        <v>19</v>
      </c>
      <c r="J422" s="3" t="s">
        <v>19</v>
      </c>
      <c r="K422" s="3" t="s">
        <v>21</v>
      </c>
      <c r="L422" s="3" t="s">
        <v>22</v>
      </c>
      <c r="M422" s="4">
        <v>7501</v>
      </c>
      <c r="N422" s="3" t="s">
        <v>23</v>
      </c>
      <c r="O422" s="3" t="s">
        <v>24</v>
      </c>
    </row>
    <row r="423" spans="1:15" hidden="1" x14ac:dyDescent="0.4">
      <c r="A423" s="7">
        <v>422</v>
      </c>
      <c r="B423" s="8" t="s">
        <v>2156</v>
      </c>
      <c r="C423" s="6" t="str">
        <f>IFERROR(IF(LEFT(D423,FIND(" ",D423)-1)="전라북도","전북특별자치도",LEFT(D423,FIND(" ",D423)-1)),"")</f>
        <v>경상북도</v>
      </c>
      <c r="D423" s="3" t="s">
        <v>2157</v>
      </c>
      <c r="E423" s="3" t="s">
        <v>2120</v>
      </c>
      <c r="F423" s="3" t="s">
        <v>2152</v>
      </c>
      <c r="G423" s="3" t="s">
        <v>2158</v>
      </c>
      <c r="H423" s="3" t="s">
        <v>2159</v>
      </c>
      <c r="I423" s="3" t="s">
        <v>2160</v>
      </c>
      <c r="J423" s="3" t="s">
        <v>2161</v>
      </c>
      <c r="K423" s="3" t="s">
        <v>21</v>
      </c>
      <c r="L423" s="3" t="s">
        <v>228</v>
      </c>
      <c r="M423" s="4">
        <v>4292</v>
      </c>
      <c r="N423" s="3" t="s">
        <v>1839</v>
      </c>
      <c r="O423" s="3" t="s">
        <v>281</v>
      </c>
    </row>
    <row r="424" spans="1:15" hidden="1" x14ac:dyDescent="0.4">
      <c r="A424" s="7">
        <v>423</v>
      </c>
      <c r="B424" s="8" t="s">
        <v>2162</v>
      </c>
      <c r="C424" s="6" t="str">
        <f>IFERROR(IF(LEFT(D424,FIND(" ",D424)-1)="전라북도","전북특별자치도",LEFT(D424,FIND(" ",D424)-1)),"")</f>
        <v>제주특별자치도</v>
      </c>
      <c r="D424" s="3" t="s">
        <v>2163</v>
      </c>
      <c r="E424" s="3" t="s">
        <v>2164</v>
      </c>
      <c r="F424" s="3" t="s">
        <v>1886</v>
      </c>
      <c r="G424" s="3" t="s">
        <v>2165</v>
      </c>
      <c r="H424" s="3" t="s">
        <v>2166</v>
      </c>
      <c r="I424" s="3" t="s">
        <v>19</v>
      </c>
      <c r="J424" s="3" t="s">
        <v>2167</v>
      </c>
      <c r="K424" s="3" t="s">
        <v>21</v>
      </c>
      <c r="L424" s="3" t="s">
        <v>147</v>
      </c>
      <c r="M424" s="4">
        <v>498</v>
      </c>
      <c r="N424" s="3" t="s">
        <v>84</v>
      </c>
      <c r="O424" s="3" t="s">
        <v>281</v>
      </c>
    </row>
    <row r="425" spans="1:15" ht="22.05" customHeight="1" x14ac:dyDescent="0.4">
      <c r="A425" s="7">
        <v>287</v>
      </c>
      <c r="B425" s="8" t="s">
        <v>1467</v>
      </c>
      <c r="C425" s="6" t="str">
        <f>IFERROR(IF(LEFT(D425,FIND(" ",D425)-1)="전라북도","전북특별자치도",LEFT(D425,FIND(" ",D425)-1)),"")</f>
        <v>전북특별자치도</v>
      </c>
      <c r="D425" s="3" t="s">
        <v>1468</v>
      </c>
      <c r="E425" s="3" t="s">
        <v>1152</v>
      </c>
      <c r="F425" s="3" t="s">
        <v>1469</v>
      </c>
      <c r="G425" s="3" t="s">
        <v>19</v>
      </c>
      <c r="H425" s="3" t="s">
        <v>686</v>
      </c>
      <c r="I425" s="3" t="s">
        <v>19</v>
      </c>
      <c r="J425" s="3" t="s">
        <v>19</v>
      </c>
      <c r="K425" s="3" t="s">
        <v>21</v>
      </c>
      <c r="L425" s="3" t="s">
        <v>22</v>
      </c>
      <c r="M425" s="4">
        <v>2517</v>
      </c>
      <c r="N425" s="3" t="s">
        <v>23</v>
      </c>
      <c r="O425" s="3" t="s">
        <v>24</v>
      </c>
    </row>
    <row r="426" spans="1:15" hidden="1" x14ac:dyDescent="0.4">
      <c r="A426" s="7">
        <v>425</v>
      </c>
      <c r="B426" s="8" t="s">
        <v>2175</v>
      </c>
      <c r="C426" s="6" t="str">
        <f>IFERROR(IF(LEFT(D426,FIND(" ",D426)-1)="전라북도","전북특별자치도",LEFT(D426,FIND(" ",D426)-1)),"")</f>
        <v>충청남도</v>
      </c>
      <c r="D426" s="3" t="s">
        <v>2176</v>
      </c>
      <c r="E426" s="3" t="s">
        <v>2177</v>
      </c>
      <c r="F426" s="3" t="s">
        <v>434</v>
      </c>
      <c r="G426" s="3" t="s">
        <v>2178</v>
      </c>
      <c r="H426" s="3" t="s">
        <v>2179</v>
      </c>
      <c r="I426" s="3" t="s">
        <v>603</v>
      </c>
      <c r="J426" s="3" t="s">
        <v>19</v>
      </c>
      <c r="K426" s="3" t="s">
        <v>21</v>
      </c>
      <c r="L426" s="3" t="s">
        <v>22</v>
      </c>
      <c r="M426" s="4">
        <v>1065</v>
      </c>
      <c r="N426" s="3" t="s">
        <v>123</v>
      </c>
      <c r="O426" s="3" t="s">
        <v>281</v>
      </c>
    </row>
    <row r="427" spans="1:15" hidden="1" x14ac:dyDescent="0.4">
      <c r="A427" s="7">
        <v>426</v>
      </c>
      <c r="B427" s="8" t="s">
        <v>2180</v>
      </c>
      <c r="C427" s="6" t="str">
        <f>IFERROR(IF(LEFT(D427,FIND(" ",D427)-1)="전라북도","전북특별자치도",LEFT(D427,FIND(" ",D427)-1)),"")</f>
        <v>경상남도</v>
      </c>
      <c r="D427" s="3" t="s">
        <v>2181</v>
      </c>
      <c r="E427" s="3" t="s">
        <v>2182</v>
      </c>
      <c r="F427" s="3" t="s">
        <v>2183</v>
      </c>
      <c r="G427" s="3" t="s">
        <v>2184</v>
      </c>
      <c r="H427" s="3" t="s">
        <v>2185</v>
      </c>
      <c r="I427" s="3" t="s">
        <v>2185</v>
      </c>
      <c r="J427" s="3" t="s">
        <v>2186</v>
      </c>
      <c r="K427" s="3" t="s">
        <v>21</v>
      </c>
      <c r="L427" s="3" t="s">
        <v>22</v>
      </c>
      <c r="M427" s="4">
        <v>793</v>
      </c>
      <c r="N427" s="3" t="s">
        <v>2155</v>
      </c>
      <c r="O427" s="3" t="s">
        <v>281</v>
      </c>
    </row>
    <row r="428" spans="1:15" hidden="1" x14ac:dyDescent="0.4">
      <c r="A428" s="7">
        <v>427</v>
      </c>
      <c r="B428" s="8" t="s">
        <v>2187</v>
      </c>
      <c r="C428" s="6" t="str">
        <f>IFERROR(IF(LEFT(D428,FIND(" ",D428)-1)="전라북도","전북특별자치도",LEFT(D428,FIND(" ",D428)-1)),"")</f>
        <v>전북특별자치도</v>
      </c>
      <c r="D428" s="3" t="s">
        <v>2188</v>
      </c>
      <c r="E428" s="3" t="s">
        <v>2189</v>
      </c>
      <c r="F428" s="3" t="s">
        <v>1806</v>
      </c>
      <c r="G428" s="3" t="s">
        <v>19</v>
      </c>
      <c r="H428" s="3" t="s">
        <v>2191</v>
      </c>
      <c r="I428" s="3" t="s">
        <v>19</v>
      </c>
      <c r="J428" s="3" t="s">
        <v>19</v>
      </c>
      <c r="K428" s="3" t="s">
        <v>21</v>
      </c>
      <c r="L428" s="3" t="s">
        <v>22</v>
      </c>
      <c r="M428" s="4">
        <v>578</v>
      </c>
      <c r="N428" s="3" t="s">
        <v>2155</v>
      </c>
      <c r="O428" s="3" t="s">
        <v>281</v>
      </c>
    </row>
    <row r="429" spans="1:15" ht="22.05" customHeight="1" x14ac:dyDescent="0.4">
      <c r="A429" s="7">
        <v>489</v>
      </c>
      <c r="B429" s="8" t="s">
        <v>2461</v>
      </c>
      <c r="C429" s="6" t="str">
        <f>IFERROR(IF(LEFT(D429,FIND(" ",D429)-1)="전라북도","전북특별자치도",LEFT(D429,FIND(" ",D429)-1)),"")</f>
        <v>전북특별자치도</v>
      </c>
      <c r="D429" s="3" t="s">
        <v>2462</v>
      </c>
      <c r="E429" s="3" t="s">
        <v>1526</v>
      </c>
      <c r="F429" s="3" t="s">
        <v>2041</v>
      </c>
      <c r="G429" s="3" t="s">
        <v>2463</v>
      </c>
      <c r="H429" s="3" t="s">
        <v>2464</v>
      </c>
      <c r="I429" s="3" t="s">
        <v>2464</v>
      </c>
      <c r="J429" s="3" t="s">
        <v>19</v>
      </c>
      <c r="K429" s="3" t="s">
        <v>21</v>
      </c>
      <c r="L429" s="3" t="s">
        <v>22</v>
      </c>
      <c r="M429" s="4">
        <v>1081</v>
      </c>
      <c r="N429" s="3" t="s">
        <v>1498</v>
      </c>
      <c r="O429" s="3" t="s">
        <v>24</v>
      </c>
    </row>
    <row r="430" spans="1:15" hidden="1" x14ac:dyDescent="0.4">
      <c r="A430" s="7">
        <v>429</v>
      </c>
      <c r="B430" s="8" t="s">
        <v>2196</v>
      </c>
      <c r="C430" s="6" t="str">
        <f>IFERROR(IF(LEFT(D430,FIND(" ",D430)-1)="전라북도","전북특별자치도",LEFT(D430,FIND(" ",D430)-1)),"")</f>
        <v>충청남도</v>
      </c>
      <c r="D430" s="3" t="s">
        <v>2197</v>
      </c>
      <c r="E430" s="3" t="s">
        <v>2198</v>
      </c>
      <c r="F430" s="3" t="s">
        <v>2199</v>
      </c>
      <c r="G430" s="3" t="s">
        <v>2201</v>
      </c>
      <c r="H430" s="3" t="s">
        <v>2202</v>
      </c>
      <c r="I430" s="3" t="s">
        <v>2203</v>
      </c>
      <c r="J430" s="3" t="s">
        <v>2204</v>
      </c>
      <c r="K430" s="3" t="s">
        <v>21</v>
      </c>
      <c r="L430" s="3" t="s">
        <v>22</v>
      </c>
      <c r="M430" s="4">
        <v>1770</v>
      </c>
      <c r="N430" s="3" t="s">
        <v>1498</v>
      </c>
      <c r="O430" s="3" t="s">
        <v>281</v>
      </c>
    </row>
    <row r="431" spans="1:15" hidden="1" x14ac:dyDescent="0.4">
      <c r="A431" s="7">
        <v>430</v>
      </c>
      <c r="B431" s="8" t="s">
        <v>2205</v>
      </c>
      <c r="C431" s="6" t="str">
        <f>IFERROR(IF(LEFT(D431,FIND(" ",D431)-1)="전라북도","전북특별자치도",LEFT(D431,FIND(" ",D431)-1)),"")</f>
        <v>충청남도</v>
      </c>
      <c r="D431" s="3" t="s">
        <v>2206</v>
      </c>
      <c r="E431" s="3" t="s">
        <v>2198</v>
      </c>
      <c r="F431" s="3" t="s">
        <v>2199</v>
      </c>
      <c r="G431" s="3" t="s">
        <v>2201</v>
      </c>
      <c r="H431" s="3" t="s">
        <v>2202</v>
      </c>
      <c r="I431" s="3" t="s">
        <v>2207</v>
      </c>
      <c r="J431" s="3" t="s">
        <v>2204</v>
      </c>
      <c r="K431" s="3" t="s">
        <v>21</v>
      </c>
      <c r="L431" s="3" t="s">
        <v>22</v>
      </c>
      <c r="M431" s="4">
        <v>1828</v>
      </c>
      <c r="N431" s="3" t="s">
        <v>1498</v>
      </c>
      <c r="O431" s="3" t="s">
        <v>281</v>
      </c>
    </row>
    <row r="432" spans="1:15" hidden="1" x14ac:dyDescent="0.4">
      <c r="A432" s="7">
        <v>431</v>
      </c>
      <c r="B432" s="8" t="s">
        <v>2208</v>
      </c>
      <c r="C432" s="6" t="str">
        <f>IFERROR(IF(LEFT(D432,FIND(" ",D432)-1)="전라북도","전북특별자치도",LEFT(D432,FIND(" ",D432)-1)),"")</f>
        <v>대전광역시</v>
      </c>
      <c r="D432" s="3" t="s">
        <v>2209</v>
      </c>
      <c r="E432" s="3" t="s">
        <v>2210</v>
      </c>
      <c r="F432" s="3" t="s">
        <v>2211</v>
      </c>
      <c r="G432" s="3" t="s">
        <v>2212</v>
      </c>
      <c r="H432" s="3" t="s">
        <v>2213</v>
      </c>
      <c r="I432" s="3" t="s">
        <v>2213</v>
      </c>
      <c r="J432" s="3" t="s">
        <v>2214</v>
      </c>
      <c r="K432" s="3" t="s">
        <v>21</v>
      </c>
      <c r="L432" s="3" t="s">
        <v>147</v>
      </c>
      <c r="M432" s="4">
        <v>18994</v>
      </c>
      <c r="N432" s="3" t="s">
        <v>1498</v>
      </c>
      <c r="O432" s="3" t="s">
        <v>281</v>
      </c>
    </row>
    <row r="433" spans="1:15" hidden="1" x14ac:dyDescent="0.4">
      <c r="A433" s="7">
        <v>432</v>
      </c>
      <c r="B433" s="8" t="s">
        <v>2215</v>
      </c>
      <c r="C433" s="6" t="str">
        <f>IFERROR(IF(LEFT(D433,FIND(" ",D433)-1)="전라북도","전북특별자치도",LEFT(D433,FIND(" ",D433)-1)),"")</f>
        <v>제주특별자치도</v>
      </c>
      <c r="D433" s="3" t="s">
        <v>2216</v>
      </c>
      <c r="E433" s="3" t="s">
        <v>447</v>
      </c>
      <c r="F433" s="3" t="s">
        <v>2217</v>
      </c>
      <c r="G433" s="3" t="s">
        <v>2218</v>
      </c>
      <c r="H433" s="3" t="s">
        <v>2219</v>
      </c>
      <c r="I433" s="3" t="s">
        <v>19</v>
      </c>
      <c r="J433" s="3" t="s">
        <v>2218</v>
      </c>
      <c r="K433" s="3" t="s">
        <v>21</v>
      </c>
      <c r="L433" s="3" t="s">
        <v>147</v>
      </c>
      <c r="M433" s="4">
        <v>15104</v>
      </c>
      <c r="N433" s="3" t="s">
        <v>1498</v>
      </c>
      <c r="O433" s="3" t="s">
        <v>281</v>
      </c>
    </row>
    <row r="434" spans="1:15" ht="22.05" customHeight="1" x14ac:dyDescent="0.4">
      <c r="A434" s="7">
        <v>490</v>
      </c>
      <c r="B434" s="8" t="s">
        <v>2465</v>
      </c>
      <c r="C434" s="6" t="str">
        <f>IFERROR(IF(LEFT(D434,FIND(" ",D434)-1)="전라북도","전북특별자치도",LEFT(D434,FIND(" ",D434)-1)),"")</f>
        <v>전북특별자치도</v>
      </c>
      <c r="D434" s="3" t="s">
        <v>2466</v>
      </c>
      <c r="E434" s="3" t="s">
        <v>1526</v>
      </c>
      <c r="F434" s="3" t="s">
        <v>2041</v>
      </c>
      <c r="G434" s="3" t="s">
        <v>2463</v>
      </c>
      <c r="H434" s="3" t="s">
        <v>2464</v>
      </c>
      <c r="I434" s="3" t="s">
        <v>2464</v>
      </c>
      <c r="J434" s="3" t="s">
        <v>19</v>
      </c>
      <c r="K434" s="3" t="s">
        <v>21</v>
      </c>
      <c r="L434" s="3" t="s">
        <v>22</v>
      </c>
      <c r="M434" s="4">
        <v>571</v>
      </c>
      <c r="N434" s="3" t="s">
        <v>1498</v>
      </c>
      <c r="O434" s="3" t="s">
        <v>24</v>
      </c>
    </row>
    <row r="435" spans="1:15" ht="22.05" customHeight="1" x14ac:dyDescent="0.4">
      <c r="A435" s="7">
        <v>40</v>
      </c>
      <c r="B435" s="8" t="s">
        <v>237</v>
      </c>
      <c r="C435" s="6" t="str">
        <f>IFERROR(IF(LEFT(D435,FIND(" ",D435)-1)="전라북도","전북특별자치도",LEFT(D435,FIND(" ",D435)-1)),"")</f>
        <v>제주특별자치도</v>
      </c>
      <c r="D435" s="3" t="s">
        <v>238</v>
      </c>
      <c r="E435" s="3" t="s">
        <v>239</v>
      </c>
      <c r="F435" s="3" t="s">
        <v>240</v>
      </c>
      <c r="G435" s="3" t="s">
        <v>19</v>
      </c>
      <c r="H435" s="3" t="s">
        <v>241</v>
      </c>
      <c r="I435" s="3" t="s">
        <v>19</v>
      </c>
      <c r="J435" s="3" t="s">
        <v>242</v>
      </c>
      <c r="K435" s="3" t="s">
        <v>21</v>
      </c>
      <c r="L435" s="3" t="s">
        <v>22</v>
      </c>
      <c r="M435" s="4">
        <v>2964</v>
      </c>
      <c r="N435" s="3" t="s">
        <v>19</v>
      </c>
      <c r="O435" s="3" t="s">
        <v>24</v>
      </c>
    </row>
    <row r="436" spans="1:15" hidden="1" x14ac:dyDescent="0.4">
      <c r="A436" s="7">
        <v>435</v>
      </c>
      <c r="B436" s="8" t="s">
        <v>2234</v>
      </c>
      <c r="C436" s="6" t="str">
        <f>IFERROR(IF(LEFT(D436,FIND(" ",D436)-1)="전라북도","전북특별자치도",LEFT(D436,FIND(" ",D436)-1)),"")</f>
        <v>경상남도</v>
      </c>
      <c r="D436" s="3" t="s">
        <v>2235</v>
      </c>
      <c r="E436" s="3" t="s">
        <v>2041</v>
      </c>
      <c r="F436" s="3" t="s">
        <v>2230</v>
      </c>
      <c r="G436" s="3" t="s">
        <v>2236</v>
      </c>
      <c r="H436" s="3" t="s">
        <v>2237</v>
      </c>
      <c r="I436" s="3" t="s">
        <v>2238</v>
      </c>
      <c r="J436" s="3" t="s">
        <v>2239</v>
      </c>
      <c r="K436" s="3" t="s">
        <v>21</v>
      </c>
      <c r="L436" s="3" t="s">
        <v>147</v>
      </c>
      <c r="M436" s="4">
        <v>774</v>
      </c>
      <c r="N436" s="3" t="s">
        <v>2155</v>
      </c>
      <c r="O436" s="3" t="s">
        <v>281</v>
      </c>
    </row>
    <row r="437" spans="1:15" hidden="1" x14ac:dyDescent="0.4">
      <c r="A437" s="7">
        <v>436</v>
      </c>
      <c r="B437" s="8" t="s">
        <v>2240</v>
      </c>
      <c r="C437" s="6" t="str">
        <f>IFERROR(IF(LEFT(D437,FIND(" ",D437)-1)="전라북도","전북특별자치도",LEFT(D437,FIND(" ",D437)-1)),"")</f>
        <v>경상북도</v>
      </c>
      <c r="D437" s="3" t="s">
        <v>2241</v>
      </c>
      <c r="E437" s="3" t="s">
        <v>2011</v>
      </c>
      <c r="F437" s="3" t="s">
        <v>2230</v>
      </c>
      <c r="G437" s="3" t="s">
        <v>2242</v>
      </c>
      <c r="H437" s="3" t="s">
        <v>227</v>
      </c>
      <c r="I437" s="3" t="s">
        <v>19</v>
      </c>
      <c r="J437" s="3" t="s">
        <v>2242</v>
      </c>
      <c r="K437" s="3" t="s">
        <v>21</v>
      </c>
      <c r="L437" s="3" t="s">
        <v>147</v>
      </c>
      <c r="M437" s="4">
        <v>39883</v>
      </c>
      <c r="N437" s="3" t="s">
        <v>84</v>
      </c>
      <c r="O437" s="3" t="s">
        <v>281</v>
      </c>
    </row>
    <row r="438" spans="1:15" hidden="1" x14ac:dyDescent="0.4">
      <c r="A438" s="7">
        <v>437</v>
      </c>
      <c r="B438" s="8" t="s">
        <v>2243</v>
      </c>
      <c r="C438" s="6" t="str">
        <f>IFERROR(IF(LEFT(D438,FIND(" ",D438)-1)="전라북도","전북특별자치도",LEFT(D438,FIND(" ",D438)-1)),"")</f>
        <v>경상북도</v>
      </c>
      <c r="D438" s="3" t="s">
        <v>2244</v>
      </c>
      <c r="E438" s="3" t="s">
        <v>2170</v>
      </c>
      <c r="F438" s="3" t="s">
        <v>447</v>
      </c>
      <c r="G438" s="3" t="s">
        <v>669</v>
      </c>
      <c r="H438" s="3" t="s">
        <v>1888</v>
      </c>
      <c r="I438" s="3" t="s">
        <v>1888</v>
      </c>
      <c r="J438" s="3" t="s">
        <v>19</v>
      </c>
      <c r="K438" s="3" t="s">
        <v>21</v>
      </c>
      <c r="L438" s="3" t="s">
        <v>22</v>
      </c>
      <c r="M438" s="4">
        <v>1357</v>
      </c>
      <c r="N438" s="3" t="s">
        <v>1498</v>
      </c>
      <c r="O438" s="3" t="s">
        <v>281</v>
      </c>
    </row>
    <row r="439" spans="1:15" ht="22.05" customHeight="1" x14ac:dyDescent="0.4">
      <c r="A439" s="7">
        <v>41</v>
      </c>
      <c r="B439" s="8" t="s">
        <v>243</v>
      </c>
      <c r="C439" s="6" t="str">
        <f>IFERROR(IF(LEFT(D439,FIND(" ",D439)-1)="전라북도","전북특별자치도",LEFT(D439,FIND(" ",D439)-1)),"")</f>
        <v>제주특별자치도</v>
      </c>
      <c r="D439" s="3" t="s">
        <v>244</v>
      </c>
      <c r="E439" s="3" t="s">
        <v>239</v>
      </c>
      <c r="F439" s="3" t="s">
        <v>245</v>
      </c>
      <c r="G439" s="3" t="s">
        <v>19</v>
      </c>
      <c r="H439" s="3" t="s">
        <v>246</v>
      </c>
      <c r="I439" s="3" t="s">
        <v>19</v>
      </c>
      <c r="J439" s="3" t="s">
        <v>247</v>
      </c>
      <c r="K439" s="3" t="s">
        <v>21</v>
      </c>
      <c r="L439" s="3" t="s">
        <v>22</v>
      </c>
      <c r="M439" s="4">
        <v>10831</v>
      </c>
      <c r="N439" s="3" t="s">
        <v>19</v>
      </c>
      <c r="O439" s="3" t="s">
        <v>24</v>
      </c>
    </row>
    <row r="440" spans="1:15" hidden="1" x14ac:dyDescent="0.4">
      <c r="A440" s="7">
        <v>439</v>
      </c>
      <c r="B440" s="8" t="s">
        <v>2254</v>
      </c>
      <c r="C440" s="6" t="str">
        <f>IFERROR(IF(LEFT(D440,FIND(" ",D440)-1)="전라북도","전북특별자치도",LEFT(D440,FIND(" ",D440)-1)),"")</f>
        <v>경기도</v>
      </c>
      <c r="D440" s="3" t="s">
        <v>2255</v>
      </c>
      <c r="E440" s="3" t="s">
        <v>2095</v>
      </c>
      <c r="F440" s="3" t="s">
        <v>2256</v>
      </c>
      <c r="G440" s="3" t="s">
        <v>2258</v>
      </c>
      <c r="H440" s="3" t="s">
        <v>2259</v>
      </c>
      <c r="I440" s="3" t="s">
        <v>2259</v>
      </c>
      <c r="J440" s="3" t="s">
        <v>2260</v>
      </c>
      <c r="K440" s="3" t="s">
        <v>21</v>
      </c>
      <c r="L440" s="3" t="s">
        <v>22</v>
      </c>
      <c r="M440" s="4">
        <v>2999</v>
      </c>
      <c r="N440" s="3" t="s">
        <v>1498</v>
      </c>
      <c r="O440" s="3" t="s">
        <v>281</v>
      </c>
    </row>
    <row r="441" spans="1:15" hidden="1" x14ac:dyDescent="0.4">
      <c r="A441" s="7">
        <v>440</v>
      </c>
      <c r="B441" s="8" t="s">
        <v>2261</v>
      </c>
      <c r="C441" s="6" t="str">
        <f>IFERROR(IF(LEFT(D441,FIND(" ",D441)-1)="전라북도","전북특별자치도",LEFT(D441,FIND(" ",D441)-1)),"")</f>
        <v>경기도</v>
      </c>
      <c r="D441" s="3" t="s">
        <v>2262</v>
      </c>
      <c r="E441" s="3" t="s">
        <v>2263</v>
      </c>
      <c r="F441" s="3" t="s">
        <v>2256</v>
      </c>
      <c r="G441" s="3" t="s">
        <v>2264</v>
      </c>
      <c r="H441" s="3" t="s">
        <v>2265</v>
      </c>
      <c r="I441" s="3" t="s">
        <v>19</v>
      </c>
      <c r="J441" s="3" t="s">
        <v>2264</v>
      </c>
      <c r="K441" s="3" t="s">
        <v>21</v>
      </c>
      <c r="L441" s="3" t="s">
        <v>147</v>
      </c>
      <c r="M441" s="4">
        <v>212</v>
      </c>
      <c r="N441" s="3" t="s">
        <v>2155</v>
      </c>
      <c r="O441" s="3" t="s">
        <v>281</v>
      </c>
    </row>
    <row r="442" spans="1:15" hidden="1" x14ac:dyDescent="0.4">
      <c r="A442" s="7">
        <v>441</v>
      </c>
      <c r="B442" s="8" t="s">
        <v>2266</v>
      </c>
      <c r="C442" s="6" t="str">
        <f>IFERROR(IF(LEFT(D442,FIND(" ",D442)-1)="전라북도","전북특별자치도",LEFT(D442,FIND(" ",D442)-1)),"")</f>
        <v>경기도</v>
      </c>
      <c r="D442" s="3" t="s">
        <v>2267</v>
      </c>
      <c r="E442" s="3" t="s">
        <v>192</v>
      </c>
      <c r="F442" s="3" t="s">
        <v>2256</v>
      </c>
      <c r="G442" s="3" t="s">
        <v>19</v>
      </c>
      <c r="H442" s="3" t="s">
        <v>2268</v>
      </c>
      <c r="I442" s="3" t="s">
        <v>19</v>
      </c>
      <c r="J442" s="3" t="s">
        <v>19</v>
      </c>
      <c r="K442" s="3" t="s">
        <v>21</v>
      </c>
      <c r="L442" s="3" t="s">
        <v>22</v>
      </c>
      <c r="M442" s="4">
        <v>101</v>
      </c>
      <c r="N442" s="3" t="s">
        <v>84</v>
      </c>
      <c r="O442" s="3" t="s">
        <v>281</v>
      </c>
    </row>
    <row r="443" spans="1:15" hidden="1" x14ac:dyDescent="0.4">
      <c r="A443" s="7">
        <v>442</v>
      </c>
      <c r="B443" s="8" t="s">
        <v>2269</v>
      </c>
      <c r="C443" s="6" t="str">
        <f>IFERROR(IF(LEFT(D443,FIND(" ",D443)-1)="전라북도","전북특별자치도",LEFT(D443,FIND(" ",D443)-1)),"")</f>
        <v>강원특별자치도</v>
      </c>
      <c r="D443" s="3" t="s">
        <v>2270</v>
      </c>
      <c r="E443" s="3" t="s">
        <v>2177</v>
      </c>
      <c r="F443" s="3" t="s">
        <v>2271</v>
      </c>
      <c r="G443" s="3" t="s">
        <v>2273</v>
      </c>
      <c r="H443" s="3" t="s">
        <v>2274</v>
      </c>
      <c r="I443" s="3" t="s">
        <v>2275</v>
      </c>
      <c r="J443" s="3" t="s">
        <v>19</v>
      </c>
      <c r="K443" s="3" t="s">
        <v>21</v>
      </c>
      <c r="L443" s="3" t="s">
        <v>22</v>
      </c>
      <c r="M443" s="4">
        <v>372</v>
      </c>
      <c r="N443" s="3" t="s">
        <v>1498</v>
      </c>
      <c r="O443" s="3" t="s">
        <v>281</v>
      </c>
    </row>
    <row r="444" spans="1:15" ht="22.05" customHeight="1" x14ac:dyDescent="0.4">
      <c r="A444" s="7">
        <v>49</v>
      </c>
      <c r="B444" s="8" t="s">
        <v>287</v>
      </c>
      <c r="C444" s="6" t="str">
        <f>IFERROR(IF(LEFT(D444,FIND(" ",D444)-1)="전라북도","전북특별자치도",LEFT(D444,FIND(" ",D444)-1)),"")</f>
        <v>제주특별자치도</v>
      </c>
      <c r="D444" s="3" t="s">
        <v>288</v>
      </c>
      <c r="E444" s="3" t="s">
        <v>289</v>
      </c>
      <c r="F444" s="3" t="s">
        <v>279</v>
      </c>
      <c r="G444" s="3" t="s">
        <v>19</v>
      </c>
      <c r="H444" s="3" t="s">
        <v>290</v>
      </c>
      <c r="I444" s="3" t="s">
        <v>19</v>
      </c>
      <c r="J444" s="3" t="s">
        <v>19</v>
      </c>
      <c r="K444" s="3" t="s">
        <v>21</v>
      </c>
      <c r="L444" s="3" t="s">
        <v>22</v>
      </c>
      <c r="M444" s="4">
        <v>795</v>
      </c>
      <c r="N444" s="3" t="s">
        <v>23</v>
      </c>
      <c r="O444" s="3" t="s">
        <v>24</v>
      </c>
    </row>
    <row r="445" spans="1:15" hidden="1" x14ac:dyDescent="0.4">
      <c r="A445" s="7">
        <v>444</v>
      </c>
      <c r="B445" s="8" t="s">
        <v>2280</v>
      </c>
      <c r="C445" s="6" t="str">
        <f>IFERROR(IF(LEFT(D445,FIND(" ",D445)-1)="전라북도","전북특별자치도",LEFT(D445,FIND(" ",D445)-1)),"")</f>
        <v>경상북도</v>
      </c>
      <c r="D445" s="3" t="s">
        <v>2281</v>
      </c>
      <c r="E445" s="3" t="s">
        <v>606</v>
      </c>
      <c r="F445" s="3" t="s">
        <v>2263</v>
      </c>
      <c r="G445" s="3" t="s">
        <v>2282</v>
      </c>
      <c r="H445" s="3" t="s">
        <v>2283</v>
      </c>
      <c r="I445" s="3" t="s">
        <v>2284</v>
      </c>
      <c r="J445" s="3" t="s">
        <v>19</v>
      </c>
      <c r="K445" s="3" t="s">
        <v>21</v>
      </c>
      <c r="L445" s="3" t="s">
        <v>22</v>
      </c>
      <c r="M445" s="4">
        <v>209</v>
      </c>
      <c r="N445" s="3" t="s">
        <v>1498</v>
      </c>
      <c r="O445" s="3" t="s">
        <v>281</v>
      </c>
    </row>
    <row r="446" spans="1:15" hidden="1" x14ac:dyDescent="0.4">
      <c r="A446" s="7">
        <v>445</v>
      </c>
      <c r="B446" s="8" t="s">
        <v>2285</v>
      </c>
      <c r="C446" s="6" t="str">
        <f>IFERROR(IF(LEFT(D446,FIND(" ",D446)-1)="전라북도","전북특별자치도",LEFT(D446,FIND(" ",D446)-1)),"")</f>
        <v>경상북도</v>
      </c>
      <c r="D446" s="3" t="s">
        <v>2286</v>
      </c>
      <c r="E446" s="3" t="s">
        <v>606</v>
      </c>
      <c r="F446" s="3" t="s">
        <v>2263</v>
      </c>
      <c r="G446" s="3" t="s">
        <v>2282</v>
      </c>
      <c r="H446" s="3" t="s">
        <v>2283</v>
      </c>
      <c r="I446" s="3" t="s">
        <v>2284</v>
      </c>
      <c r="J446" s="3" t="s">
        <v>19</v>
      </c>
      <c r="K446" s="3" t="s">
        <v>21</v>
      </c>
      <c r="L446" s="3" t="s">
        <v>22</v>
      </c>
      <c r="M446" s="4">
        <v>252</v>
      </c>
      <c r="N446" s="3" t="s">
        <v>1498</v>
      </c>
      <c r="O446" s="3" t="s">
        <v>281</v>
      </c>
    </row>
    <row r="447" spans="1:15" hidden="1" x14ac:dyDescent="0.4">
      <c r="A447" s="7">
        <v>446</v>
      </c>
      <c r="B447" s="8" t="s">
        <v>2287</v>
      </c>
      <c r="C447" s="6" t="str">
        <f>IFERROR(IF(LEFT(D447,FIND(" ",D447)-1)="전라북도","전북특별자치도",LEFT(D447,FIND(" ",D447)-1)),"")</f>
        <v>경상남도</v>
      </c>
      <c r="D447" s="3" t="s">
        <v>2288</v>
      </c>
      <c r="E447" s="3" t="s">
        <v>606</v>
      </c>
      <c r="F447" s="3" t="s">
        <v>2289</v>
      </c>
      <c r="G447" s="3" t="s">
        <v>2290</v>
      </c>
      <c r="H447" s="3" t="s">
        <v>2291</v>
      </c>
      <c r="I447" s="3" t="s">
        <v>2291</v>
      </c>
      <c r="J447" s="3" t="s">
        <v>2292</v>
      </c>
      <c r="K447" s="3" t="s">
        <v>21</v>
      </c>
      <c r="L447" s="3" t="s">
        <v>228</v>
      </c>
      <c r="M447" s="4">
        <v>2214</v>
      </c>
      <c r="N447" s="3" t="s">
        <v>1498</v>
      </c>
      <c r="O447" s="3" t="s">
        <v>281</v>
      </c>
    </row>
    <row r="448" spans="1:15" hidden="1" x14ac:dyDescent="0.4">
      <c r="A448" s="7">
        <v>447</v>
      </c>
      <c r="B448" s="8" t="s">
        <v>2293</v>
      </c>
      <c r="C448" s="6" t="str">
        <f>IFERROR(IF(LEFT(D448,FIND(" ",D448)-1)="전라북도","전북특별자치도",LEFT(D448,FIND(" ",D448)-1)),"")</f>
        <v>경기도</v>
      </c>
      <c r="D448" s="3" t="s">
        <v>2294</v>
      </c>
      <c r="E448" s="3" t="s">
        <v>2295</v>
      </c>
      <c r="F448" s="3" t="s">
        <v>2296</v>
      </c>
      <c r="G448" s="3" t="s">
        <v>2298</v>
      </c>
      <c r="H448" s="3" t="s">
        <v>2299</v>
      </c>
      <c r="I448" s="3" t="s">
        <v>19</v>
      </c>
      <c r="J448" s="3" t="s">
        <v>2300</v>
      </c>
      <c r="K448" s="3" t="s">
        <v>21</v>
      </c>
      <c r="L448" s="3" t="s">
        <v>147</v>
      </c>
      <c r="M448" s="4">
        <v>2206</v>
      </c>
      <c r="N448" s="3" t="s">
        <v>1498</v>
      </c>
      <c r="O448" s="3" t="s">
        <v>281</v>
      </c>
    </row>
    <row r="449" spans="1:15" hidden="1" x14ac:dyDescent="0.4">
      <c r="A449" s="7">
        <v>448</v>
      </c>
      <c r="B449" s="8" t="s">
        <v>2301</v>
      </c>
      <c r="C449" s="6" t="str">
        <f>IFERROR(IF(LEFT(D449,FIND(" ",D449)-1)="전라북도","전북특별자치도",LEFT(D449,FIND(" ",D449)-1)),"")</f>
        <v>경기도</v>
      </c>
      <c r="D449" s="3" t="s">
        <v>2302</v>
      </c>
      <c r="E449" s="3" t="s">
        <v>2198</v>
      </c>
      <c r="F449" s="3" t="s">
        <v>2303</v>
      </c>
      <c r="G449" s="3" t="s">
        <v>2304</v>
      </c>
      <c r="H449" s="3" t="s">
        <v>2305</v>
      </c>
      <c r="I449" s="3" t="s">
        <v>2305</v>
      </c>
      <c r="J449" s="3" t="s">
        <v>2306</v>
      </c>
      <c r="K449" s="3" t="s">
        <v>21</v>
      </c>
      <c r="L449" s="3" t="s">
        <v>22</v>
      </c>
      <c r="M449" s="4">
        <v>459</v>
      </c>
      <c r="N449" s="3" t="s">
        <v>1498</v>
      </c>
      <c r="O449" s="3" t="s">
        <v>281</v>
      </c>
    </row>
    <row r="450" spans="1:15" hidden="1" x14ac:dyDescent="0.4">
      <c r="A450" s="7">
        <v>449</v>
      </c>
      <c r="B450" s="8" t="s">
        <v>2307</v>
      </c>
      <c r="C450" s="6" t="str">
        <f>IFERROR(IF(LEFT(D450,FIND(" ",D450)-1)="전라북도","전북특별자치도",LEFT(D450,FIND(" ",D450)-1)),"")</f>
        <v>경기도</v>
      </c>
      <c r="D450" s="3" t="s">
        <v>2308</v>
      </c>
      <c r="E450" s="3" t="s">
        <v>2198</v>
      </c>
      <c r="F450" s="3" t="s">
        <v>2303</v>
      </c>
      <c r="G450" s="3" t="s">
        <v>2304</v>
      </c>
      <c r="H450" s="3" t="s">
        <v>2305</v>
      </c>
      <c r="I450" s="3" t="s">
        <v>2305</v>
      </c>
      <c r="J450" s="3" t="s">
        <v>2306</v>
      </c>
      <c r="K450" s="3" t="s">
        <v>21</v>
      </c>
      <c r="L450" s="3" t="s">
        <v>22</v>
      </c>
      <c r="M450" s="4">
        <v>250</v>
      </c>
      <c r="N450" s="3" t="s">
        <v>1498</v>
      </c>
      <c r="O450" s="3" t="s">
        <v>281</v>
      </c>
    </row>
    <row r="451" spans="1:15" hidden="1" x14ac:dyDescent="0.4">
      <c r="A451" s="7">
        <v>450</v>
      </c>
      <c r="B451" s="8" t="s">
        <v>2309</v>
      </c>
      <c r="C451" s="6" t="str">
        <f>IFERROR(IF(LEFT(D451,FIND(" ",D451)-1)="전라북도","전북특별자치도",LEFT(D451,FIND(" ",D451)-1)),"")</f>
        <v>경기도</v>
      </c>
      <c r="D451" s="3" t="s">
        <v>2310</v>
      </c>
      <c r="E451" s="3" t="s">
        <v>2198</v>
      </c>
      <c r="F451" s="3" t="s">
        <v>2303</v>
      </c>
      <c r="G451" s="3" t="s">
        <v>2304</v>
      </c>
      <c r="H451" s="3" t="s">
        <v>2305</v>
      </c>
      <c r="I451" s="3" t="s">
        <v>2305</v>
      </c>
      <c r="J451" s="3" t="s">
        <v>2306</v>
      </c>
      <c r="K451" s="3" t="s">
        <v>21</v>
      </c>
      <c r="L451" s="3" t="s">
        <v>22</v>
      </c>
      <c r="M451" s="4">
        <v>519</v>
      </c>
      <c r="N451" s="3" t="s">
        <v>1498</v>
      </c>
      <c r="O451" s="3" t="s">
        <v>281</v>
      </c>
    </row>
    <row r="452" spans="1:15" hidden="1" x14ac:dyDescent="0.4">
      <c r="A452" s="7">
        <v>451</v>
      </c>
      <c r="B452" s="8" t="s">
        <v>2311</v>
      </c>
      <c r="C452" s="6" t="str">
        <f>IFERROR(IF(LEFT(D452,FIND(" ",D452)-1)="전라북도","전북특별자치도",LEFT(D452,FIND(" ",D452)-1)),"")</f>
        <v>경기도</v>
      </c>
      <c r="D452" s="3" t="s">
        <v>2312</v>
      </c>
      <c r="E452" s="3" t="s">
        <v>2198</v>
      </c>
      <c r="F452" s="3" t="s">
        <v>2303</v>
      </c>
      <c r="G452" s="3" t="s">
        <v>2304</v>
      </c>
      <c r="H452" s="3" t="s">
        <v>2305</v>
      </c>
      <c r="I452" s="3" t="s">
        <v>2305</v>
      </c>
      <c r="J452" s="3" t="s">
        <v>2306</v>
      </c>
      <c r="K452" s="3" t="s">
        <v>21</v>
      </c>
      <c r="L452" s="3" t="s">
        <v>22</v>
      </c>
      <c r="M452" s="4">
        <v>270</v>
      </c>
      <c r="N452" s="3" t="s">
        <v>1498</v>
      </c>
      <c r="O452" s="3" t="s">
        <v>281</v>
      </c>
    </row>
    <row r="453" spans="1:15" hidden="1" x14ac:dyDescent="0.4">
      <c r="A453" s="7">
        <v>452</v>
      </c>
      <c r="B453" s="8" t="s">
        <v>2313</v>
      </c>
      <c r="C453" s="6" t="str">
        <f>IFERROR(IF(LEFT(D453,FIND(" ",D453)-1)="전라북도","전북특별자치도",LEFT(D453,FIND(" ",D453)-1)),"")</f>
        <v>경기도</v>
      </c>
      <c r="D453" s="3" t="s">
        <v>2314</v>
      </c>
      <c r="E453" s="3" t="s">
        <v>2315</v>
      </c>
      <c r="F453" s="3" t="s">
        <v>2058</v>
      </c>
      <c r="G453" s="3" t="s">
        <v>1999</v>
      </c>
      <c r="H453" s="3" t="s">
        <v>302</v>
      </c>
      <c r="I453" s="3" t="s">
        <v>19</v>
      </c>
      <c r="J453" s="3" t="s">
        <v>19</v>
      </c>
      <c r="K453" s="3" t="s">
        <v>21</v>
      </c>
      <c r="L453" s="3" t="s">
        <v>22</v>
      </c>
      <c r="M453" s="4">
        <v>450</v>
      </c>
      <c r="N453" s="3" t="s">
        <v>84</v>
      </c>
      <c r="O453" s="3" t="s">
        <v>281</v>
      </c>
    </row>
    <row r="454" spans="1:15" hidden="1" x14ac:dyDescent="0.4">
      <c r="A454" s="7">
        <v>453</v>
      </c>
      <c r="B454" s="8" t="s">
        <v>2317</v>
      </c>
      <c r="C454" s="6" t="str">
        <f>IFERROR(IF(LEFT(D454,FIND(" ",D454)-1)="전라북도","전북특별자치도",LEFT(D454,FIND(" ",D454)-1)),"")</f>
        <v>제주특별자치도</v>
      </c>
      <c r="D454" s="3" t="s">
        <v>2318</v>
      </c>
      <c r="E454" s="3" t="s">
        <v>527</v>
      </c>
      <c r="F454" s="3" t="s">
        <v>2058</v>
      </c>
      <c r="G454" s="3" t="s">
        <v>2320</v>
      </c>
      <c r="H454" s="3" t="s">
        <v>2321</v>
      </c>
      <c r="I454" s="3" t="s">
        <v>19</v>
      </c>
      <c r="J454" s="3" t="s">
        <v>2322</v>
      </c>
      <c r="K454" s="3" t="s">
        <v>21</v>
      </c>
      <c r="L454" s="3" t="s">
        <v>22</v>
      </c>
      <c r="M454" s="4">
        <v>792</v>
      </c>
      <c r="N454" s="3" t="s">
        <v>1498</v>
      </c>
      <c r="O454" s="3" t="s">
        <v>281</v>
      </c>
    </row>
    <row r="455" spans="1:15" hidden="1" x14ac:dyDescent="0.4">
      <c r="A455" s="7">
        <v>454</v>
      </c>
      <c r="B455" s="8" t="s">
        <v>2323</v>
      </c>
      <c r="C455" s="6" t="str">
        <f>IFERROR(IF(LEFT(D455,FIND(" ",D455)-1)="전라북도","전북특별자치도",LEFT(D455,FIND(" ",D455)-1)),"")</f>
        <v>경기도</v>
      </c>
      <c r="D455" s="3" t="s">
        <v>2324</v>
      </c>
      <c r="E455" s="3" t="s">
        <v>2325</v>
      </c>
      <c r="F455" s="3" t="s">
        <v>2326</v>
      </c>
      <c r="G455" s="3" t="s">
        <v>19</v>
      </c>
      <c r="H455" s="3" t="s">
        <v>2328</v>
      </c>
      <c r="I455" s="3" t="s">
        <v>19</v>
      </c>
      <c r="J455" s="3" t="s">
        <v>19</v>
      </c>
      <c r="K455" s="3" t="s">
        <v>21</v>
      </c>
      <c r="L455" s="3" t="s">
        <v>147</v>
      </c>
      <c r="M455" s="4">
        <v>1145</v>
      </c>
      <c r="N455" s="3" t="s">
        <v>1498</v>
      </c>
      <c r="O455" s="3" t="s">
        <v>281</v>
      </c>
    </row>
    <row r="456" spans="1:15" ht="22.05" customHeight="1" x14ac:dyDescent="0.4">
      <c r="A456" s="7">
        <v>53</v>
      </c>
      <c r="B456" s="8" t="s">
        <v>303</v>
      </c>
      <c r="C456" s="6" t="str">
        <f>IFERROR(IF(LEFT(D456,FIND(" ",D456)-1)="전라북도","전북특별자치도",LEFT(D456,FIND(" ",D456)-1)),"")</f>
        <v>제주특별자치도</v>
      </c>
      <c r="D456" s="3" t="s">
        <v>304</v>
      </c>
      <c r="E456" s="3" t="s">
        <v>305</v>
      </c>
      <c r="F456" s="3" t="s">
        <v>306</v>
      </c>
      <c r="G456" s="3" t="s">
        <v>19</v>
      </c>
      <c r="H456" s="3" t="s">
        <v>290</v>
      </c>
      <c r="I456" s="3" t="s">
        <v>19</v>
      </c>
      <c r="J456" s="3" t="s">
        <v>19</v>
      </c>
      <c r="K456" s="3" t="s">
        <v>21</v>
      </c>
      <c r="L456" s="3" t="s">
        <v>22</v>
      </c>
      <c r="M456" s="4">
        <v>368</v>
      </c>
      <c r="N456" s="3" t="s">
        <v>23</v>
      </c>
      <c r="O456" s="3" t="s">
        <v>24</v>
      </c>
    </row>
    <row r="457" spans="1:15" hidden="1" x14ac:dyDescent="0.4">
      <c r="A457" s="7">
        <v>456</v>
      </c>
      <c r="B457" s="8" t="s">
        <v>2333</v>
      </c>
      <c r="C457" s="6" t="str">
        <f>IFERROR(IF(LEFT(D457,FIND(" ",D457)-1)="전라북도","전북특별자치도",LEFT(D457,FIND(" ",D457)-1)),"")</f>
        <v>경기도</v>
      </c>
      <c r="D457" s="3" t="s">
        <v>2334</v>
      </c>
      <c r="E457" s="3" t="s">
        <v>1510</v>
      </c>
      <c r="F457" s="3" t="s">
        <v>2126</v>
      </c>
      <c r="G457" s="3" t="s">
        <v>2336</v>
      </c>
      <c r="H457" s="3" t="s">
        <v>19</v>
      </c>
      <c r="I457" s="3" t="s">
        <v>19</v>
      </c>
      <c r="J457" s="3" t="s">
        <v>19</v>
      </c>
      <c r="K457" s="3" t="s">
        <v>21</v>
      </c>
      <c r="L457" s="3" t="s">
        <v>147</v>
      </c>
      <c r="M457" s="4">
        <v>822</v>
      </c>
      <c r="N457" s="3" t="s">
        <v>1498</v>
      </c>
      <c r="O457" s="3" t="s">
        <v>281</v>
      </c>
    </row>
    <row r="458" spans="1:15" hidden="1" x14ac:dyDescent="0.4">
      <c r="A458" s="7">
        <v>457</v>
      </c>
      <c r="B458" s="8" t="s">
        <v>2337</v>
      </c>
      <c r="C458" s="6" t="str">
        <f>IFERROR(IF(LEFT(D458,FIND(" ",D458)-1)="전라북도","전북특별자치도",LEFT(D458,FIND(" ",D458)-1)),"")</f>
        <v>강원특별자치도</v>
      </c>
      <c r="D458" s="3" t="s">
        <v>2338</v>
      </c>
      <c r="E458" s="3" t="s">
        <v>2339</v>
      </c>
      <c r="F458" s="3" t="s">
        <v>2126</v>
      </c>
      <c r="G458" s="3" t="s">
        <v>2141</v>
      </c>
      <c r="H458" s="3" t="s">
        <v>19</v>
      </c>
      <c r="I458" s="3" t="s">
        <v>19</v>
      </c>
      <c r="J458" s="3" t="s">
        <v>19</v>
      </c>
      <c r="K458" s="3" t="s">
        <v>21</v>
      </c>
      <c r="L458" s="3" t="s">
        <v>22</v>
      </c>
      <c r="M458" s="4">
        <v>239</v>
      </c>
      <c r="N458" s="3" t="s">
        <v>1498</v>
      </c>
      <c r="O458" s="3" t="s">
        <v>281</v>
      </c>
    </row>
    <row r="459" spans="1:15" hidden="1" x14ac:dyDescent="0.4">
      <c r="A459" s="7">
        <v>458</v>
      </c>
      <c r="B459" s="8" t="s">
        <v>2340</v>
      </c>
      <c r="C459" s="6" t="str">
        <f>IFERROR(IF(LEFT(D459,FIND(" ",D459)-1)="전라북도","전북특별자치도",LEFT(D459,FIND(" ",D459)-1)),"")</f>
        <v>전라남도</v>
      </c>
      <c r="D459" s="3" t="s">
        <v>2341</v>
      </c>
      <c r="E459" s="3" t="s">
        <v>1053</v>
      </c>
      <c r="F459" s="3" t="s">
        <v>2126</v>
      </c>
      <c r="G459" s="3" t="s">
        <v>2342</v>
      </c>
      <c r="H459" s="3" t="s">
        <v>2343</v>
      </c>
      <c r="I459" s="3" t="s">
        <v>2344</v>
      </c>
      <c r="J459" s="3" t="s">
        <v>2345</v>
      </c>
      <c r="K459" s="3" t="s">
        <v>21</v>
      </c>
      <c r="L459" s="3" t="s">
        <v>22</v>
      </c>
      <c r="M459" s="4">
        <v>2186</v>
      </c>
      <c r="N459" s="3" t="s">
        <v>1498</v>
      </c>
      <c r="O459" s="3" t="s">
        <v>281</v>
      </c>
    </row>
    <row r="460" spans="1:15" hidden="1" x14ac:dyDescent="0.4">
      <c r="A460" s="7">
        <v>459</v>
      </c>
      <c r="B460" s="8" t="s">
        <v>2346</v>
      </c>
      <c r="C460" s="6" t="str">
        <f>IFERROR(IF(LEFT(D460,FIND(" ",D460)-1)="전라북도","전북특별자치도",LEFT(D460,FIND(" ",D460)-1)),"")</f>
        <v>전라남도</v>
      </c>
      <c r="D460" s="3" t="s">
        <v>2347</v>
      </c>
      <c r="E460" s="3" t="s">
        <v>2348</v>
      </c>
      <c r="F460" s="3" t="s">
        <v>2210</v>
      </c>
      <c r="G460" s="3" t="s">
        <v>19</v>
      </c>
      <c r="H460" s="3" t="s">
        <v>561</v>
      </c>
      <c r="I460" s="3" t="s">
        <v>19</v>
      </c>
      <c r="J460" s="3" t="s">
        <v>19</v>
      </c>
      <c r="K460" s="3" t="s">
        <v>21</v>
      </c>
      <c r="L460" s="3" t="s">
        <v>147</v>
      </c>
      <c r="M460" s="4">
        <v>399</v>
      </c>
      <c r="N460" s="3" t="s">
        <v>1498</v>
      </c>
      <c r="O460" s="3" t="s">
        <v>281</v>
      </c>
    </row>
    <row r="461" spans="1:15" hidden="1" x14ac:dyDescent="0.4">
      <c r="A461" s="7">
        <v>460</v>
      </c>
      <c r="B461" s="8" t="s">
        <v>2349</v>
      </c>
      <c r="C461" s="6" t="str">
        <f>IFERROR(IF(LEFT(D461,FIND(" ",D461)-1)="전라북도","전북특별자치도",LEFT(D461,FIND(" ",D461)-1)),"")</f>
        <v>전라남도</v>
      </c>
      <c r="D461" s="3" t="s">
        <v>2350</v>
      </c>
      <c r="E461" s="3" t="s">
        <v>2348</v>
      </c>
      <c r="F461" s="3" t="s">
        <v>2210</v>
      </c>
      <c r="G461" s="3" t="s">
        <v>19</v>
      </c>
      <c r="H461" s="3" t="s">
        <v>561</v>
      </c>
      <c r="I461" s="3" t="s">
        <v>19</v>
      </c>
      <c r="J461" s="3" t="s">
        <v>19</v>
      </c>
      <c r="K461" s="3" t="s">
        <v>21</v>
      </c>
      <c r="L461" s="3" t="s">
        <v>147</v>
      </c>
      <c r="M461" s="4">
        <v>389</v>
      </c>
      <c r="N461" s="3" t="s">
        <v>1498</v>
      </c>
      <c r="O461" s="3" t="s">
        <v>281</v>
      </c>
    </row>
    <row r="462" spans="1:15" hidden="1" x14ac:dyDescent="0.4">
      <c r="A462" s="7">
        <v>461</v>
      </c>
      <c r="B462" s="8" t="s">
        <v>2351</v>
      </c>
      <c r="C462" s="6" t="str">
        <f>IFERROR(IF(LEFT(D462,FIND(" ",D462)-1)="전라북도","전북특별자치도",LEFT(D462,FIND(" ",D462)-1)),"")</f>
        <v>강원특별자치도</v>
      </c>
      <c r="D462" s="3" t="s">
        <v>2352</v>
      </c>
      <c r="E462" s="3" t="s">
        <v>2353</v>
      </c>
      <c r="F462" s="3" t="s">
        <v>2210</v>
      </c>
      <c r="G462" s="3" t="s">
        <v>2355</v>
      </c>
      <c r="H462" s="3" t="s">
        <v>2356</v>
      </c>
      <c r="I462" s="3" t="s">
        <v>19</v>
      </c>
      <c r="J462" s="3" t="s">
        <v>19</v>
      </c>
      <c r="K462" s="3" t="s">
        <v>21</v>
      </c>
      <c r="L462" s="3" t="s">
        <v>147</v>
      </c>
      <c r="M462" s="4">
        <v>595</v>
      </c>
      <c r="N462" s="3" t="s">
        <v>2155</v>
      </c>
      <c r="O462" s="3" t="s">
        <v>281</v>
      </c>
    </row>
    <row r="463" spans="1:15" hidden="1" x14ac:dyDescent="0.4">
      <c r="A463" s="7">
        <v>462</v>
      </c>
      <c r="B463" s="8" t="s">
        <v>2357</v>
      </c>
      <c r="C463" s="6" t="str">
        <f>IFERROR(IF(LEFT(D463,FIND(" ",D463)-1)="전라북도","전북특별자치도",LEFT(D463,FIND(" ",D463)-1)),"")</f>
        <v>부산광역시</v>
      </c>
      <c r="D463" s="3" t="s">
        <v>2358</v>
      </c>
      <c r="E463" s="3" t="s">
        <v>2359</v>
      </c>
      <c r="F463" s="3" t="s">
        <v>2315</v>
      </c>
      <c r="G463" s="3" t="s">
        <v>2361</v>
      </c>
      <c r="H463" s="3" t="s">
        <v>2362</v>
      </c>
      <c r="I463" s="3" t="s">
        <v>2362</v>
      </c>
      <c r="J463" s="3" t="s">
        <v>19</v>
      </c>
      <c r="K463" s="3" t="s">
        <v>21</v>
      </c>
      <c r="L463" s="3" t="s">
        <v>228</v>
      </c>
      <c r="M463" s="4">
        <v>1633</v>
      </c>
      <c r="N463" s="3" t="s">
        <v>1498</v>
      </c>
      <c r="O463" s="3" t="s">
        <v>281</v>
      </c>
    </row>
    <row r="464" spans="1:15" hidden="1" x14ac:dyDescent="0.4">
      <c r="A464" s="7">
        <v>463</v>
      </c>
      <c r="B464" s="8" t="s">
        <v>2363</v>
      </c>
      <c r="C464" s="6" t="str">
        <f>IFERROR(IF(LEFT(D464,FIND(" ",D464)-1)="전라북도","전북특별자치도",LEFT(D464,FIND(" ",D464)-1)),"")</f>
        <v>경기도</v>
      </c>
      <c r="D464" s="3" t="s">
        <v>2364</v>
      </c>
      <c r="E464" s="3" t="s">
        <v>2339</v>
      </c>
      <c r="F464" s="3" t="s">
        <v>1853</v>
      </c>
      <c r="G464" s="3" t="s">
        <v>19</v>
      </c>
      <c r="H464" s="3" t="s">
        <v>953</v>
      </c>
      <c r="I464" s="3" t="s">
        <v>19</v>
      </c>
      <c r="J464" s="3" t="s">
        <v>19</v>
      </c>
      <c r="K464" s="3" t="s">
        <v>21</v>
      </c>
      <c r="L464" s="3" t="s">
        <v>22</v>
      </c>
      <c r="M464" s="4">
        <v>80</v>
      </c>
      <c r="N464" s="3" t="s">
        <v>84</v>
      </c>
      <c r="O464" s="3" t="s">
        <v>281</v>
      </c>
    </row>
    <row r="465" spans="1:15" hidden="1" x14ac:dyDescent="0.4">
      <c r="A465" s="7">
        <v>464</v>
      </c>
      <c r="B465" s="8" t="s">
        <v>2365</v>
      </c>
      <c r="C465" s="6" t="str">
        <f>IFERROR(IF(LEFT(D465,FIND(" ",D465)-1)="전라북도","전북특별자치도",LEFT(D465,FIND(" ",D465)-1)),"")</f>
        <v>경기도</v>
      </c>
      <c r="D465" s="3" t="s">
        <v>2366</v>
      </c>
      <c r="E465" s="3" t="s">
        <v>2367</v>
      </c>
      <c r="F465" s="3" t="s">
        <v>2339</v>
      </c>
      <c r="G465" s="3" t="s">
        <v>19</v>
      </c>
      <c r="H465" s="3" t="s">
        <v>2368</v>
      </c>
      <c r="I465" s="3" t="s">
        <v>19</v>
      </c>
      <c r="J465" s="3" t="s">
        <v>19</v>
      </c>
      <c r="K465" s="3" t="s">
        <v>21</v>
      </c>
      <c r="L465" s="3" t="s">
        <v>147</v>
      </c>
      <c r="M465" s="4">
        <v>3861</v>
      </c>
      <c r="N465" s="3" t="s">
        <v>1498</v>
      </c>
      <c r="O465" s="3" t="s">
        <v>281</v>
      </c>
    </row>
    <row r="466" spans="1:15" hidden="1" x14ac:dyDescent="0.4">
      <c r="A466" s="7">
        <v>465</v>
      </c>
      <c r="B466" s="8" t="s">
        <v>2369</v>
      </c>
      <c r="C466" s="6" t="str">
        <f>IFERROR(IF(LEFT(D466,FIND(" ",D466)-1)="전라북도","전북특별자치도",LEFT(D466,FIND(" ",D466)-1)),"")</f>
        <v>경기도</v>
      </c>
      <c r="D466" s="3" t="s">
        <v>2370</v>
      </c>
      <c r="E466" s="3" t="s">
        <v>2371</v>
      </c>
      <c r="F466" s="3" t="s">
        <v>2339</v>
      </c>
      <c r="G466" s="3" t="s">
        <v>1999</v>
      </c>
      <c r="H466" s="3" t="s">
        <v>845</v>
      </c>
      <c r="I466" s="3" t="s">
        <v>19</v>
      </c>
      <c r="J466" s="3" t="s">
        <v>19</v>
      </c>
      <c r="K466" s="3" t="s">
        <v>21</v>
      </c>
      <c r="L466" s="3" t="s">
        <v>22</v>
      </c>
      <c r="M466" s="4">
        <v>839</v>
      </c>
      <c r="N466" s="3" t="s">
        <v>2155</v>
      </c>
      <c r="O466" s="3" t="s">
        <v>281</v>
      </c>
    </row>
    <row r="467" spans="1:15" ht="22.05" customHeight="1" x14ac:dyDescent="0.4">
      <c r="A467" s="7">
        <v>54</v>
      </c>
      <c r="B467" s="8" t="s">
        <v>307</v>
      </c>
      <c r="C467" s="6" t="str">
        <f>IFERROR(IF(LEFT(D467,FIND(" ",D467)-1)="전라북도","전북특별자치도",LEFT(D467,FIND(" ",D467)-1)),"")</f>
        <v>제주특별자치도</v>
      </c>
      <c r="D467" s="3" t="s">
        <v>308</v>
      </c>
      <c r="E467" s="3" t="s">
        <v>305</v>
      </c>
      <c r="F467" s="3" t="s">
        <v>306</v>
      </c>
      <c r="G467" s="3" t="s">
        <v>19</v>
      </c>
      <c r="H467" s="3" t="s">
        <v>290</v>
      </c>
      <c r="I467" s="3" t="s">
        <v>19</v>
      </c>
      <c r="J467" s="3" t="s">
        <v>309</v>
      </c>
      <c r="K467" s="3" t="s">
        <v>21</v>
      </c>
      <c r="L467" s="3" t="s">
        <v>22</v>
      </c>
      <c r="M467" s="4">
        <v>439</v>
      </c>
      <c r="N467" s="3" t="s">
        <v>23</v>
      </c>
      <c r="O467" s="3" t="s">
        <v>24</v>
      </c>
    </row>
    <row r="468" spans="1:15" hidden="1" x14ac:dyDescent="0.4">
      <c r="A468" s="7">
        <v>467</v>
      </c>
      <c r="B468" s="8" t="s">
        <v>2378</v>
      </c>
      <c r="C468" s="6" t="str">
        <f>IFERROR(IF(LEFT(D468,FIND(" ",D468)-1)="전라북도","전북특별자치도",LEFT(D468,FIND(" ",D468)-1)),"")</f>
        <v>경기도</v>
      </c>
      <c r="D468" s="3" t="s">
        <v>2379</v>
      </c>
      <c r="E468" s="3" t="s">
        <v>2107</v>
      </c>
      <c r="F468" s="3" t="s">
        <v>2295</v>
      </c>
      <c r="G468" s="3" t="s">
        <v>19</v>
      </c>
      <c r="H468" s="3" t="s">
        <v>2380</v>
      </c>
      <c r="I468" s="3" t="s">
        <v>19</v>
      </c>
      <c r="J468" s="3" t="s">
        <v>19</v>
      </c>
      <c r="K468" s="3" t="s">
        <v>21</v>
      </c>
      <c r="L468" s="3" t="s">
        <v>147</v>
      </c>
      <c r="M468" s="4">
        <v>718</v>
      </c>
      <c r="N468" s="3" t="s">
        <v>824</v>
      </c>
      <c r="O468" s="3" t="s">
        <v>281</v>
      </c>
    </row>
    <row r="469" spans="1:15" hidden="1" x14ac:dyDescent="0.4">
      <c r="A469" s="7">
        <v>468</v>
      </c>
      <c r="B469" s="8" t="s">
        <v>2381</v>
      </c>
      <c r="C469" s="6" t="str">
        <f>IFERROR(IF(LEFT(D469,FIND(" ",D469)-1)="전라북도","전북특별자치도",LEFT(D469,FIND(" ",D469)-1)),"")</f>
        <v>전라남도</v>
      </c>
      <c r="D469" s="3" t="s">
        <v>2382</v>
      </c>
      <c r="E469" s="3" t="s">
        <v>1169</v>
      </c>
      <c r="F469" s="3" t="s">
        <v>2295</v>
      </c>
      <c r="G469" s="3" t="s">
        <v>2383</v>
      </c>
      <c r="H469" s="3" t="s">
        <v>971</v>
      </c>
      <c r="I469" s="3" t="s">
        <v>971</v>
      </c>
      <c r="J469" s="3" t="s">
        <v>2384</v>
      </c>
      <c r="K469" s="3" t="s">
        <v>21</v>
      </c>
      <c r="L469" s="3" t="s">
        <v>147</v>
      </c>
      <c r="M469" s="4">
        <v>25807</v>
      </c>
      <c r="N469" s="3" t="s">
        <v>84</v>
      </c>
      <c r="O469" s="3" t="s">
        <v>281</v>
      </c>
    </row>
    <row r="470" spans="1:15" hidden="1" x14ac:dyDescent="0.4">
      <c r="A470" s="7">
        <v>469</v>
      </c>
      <c r="B470" s="8" t="s">
        <v>2385</v>
      </c>
      <c r="C470" s="6" t="str">
        <f>IFERROR(IF(LEFT(D470,FIND(" ",D470)-1)="전라북도","전북특별자치도",LEFT(D470,FIND(" ",D470)-1)),"")</f>
        <v>경기도</v>
      </c>
      <c r="D470" s="3" t="s">
        <v>2386</v>
      </c>
      <c r="E470" s="3" t="s">
        <v>2248</v>
      </c>
      <c r="F470" s="3" t="s">
        <v>2387</v>
      </c>
      <c r="G470" s="3" t="s">
        <v>19</v>
      </c>
      <c r="H470" s="3" t="s">
        <v>1704</v>
      </c>
      <c r="I470" s="3" t="s">
        <v>19</v>
      </c>
      <c r="J470" s="3" t="s">
        <v>19</v>
      </c>
      <c r="K470" s="3" t="s">
        <v>21</v>
      </c>
      <c r="L470" s="3" t="s">
        <v>22</v>
      </c>
      <c r="M470" s="4">
        <v>57</v>
      </c>
      <c r="N470" s="3" t="s">
        <v>211</v>
      </c>
      <c r="O470" s="3" t="s">
        <v>281</v>
      </c>
    </row>
    <row r="471" spans="1:15" hidden="1" x14ac:dyDescent="0.4">
      <c r="A471" s="7">
        <v>470</v>
      </c>
      <c r="B471" s="8" t="s">
        <v>2388</v>
      </c>
      <c r="C471" s="6" t="str">
        <f>IFERROR(IF(LEFT(D471,FIND(" ",D471)-1)="전라북도","전북특별자치도",LEFT(D471,FIND(" ",D471)-1)),"")</f>
        <v>전라남도</v>
      </c>
      <c r="D471" s="3" t="s">
        <v>2389</v>
      </c>
      <c r="E471" s="3" t="s">
        <v>2390</v>
      </c>
      <c r="F471" s="3" t="s">
        <v>2359</v>
      </c>
      <c r="G471" s="3" t="s">
        <v>2391</v>
      </c>
      <c r="H471" s="3" t="s">
        <v>1480</v>
      </c>
      <c r="I471" s="3" t="s">
        <v>1480</v>
      </c>
      <c r="J471" s="3" t="s">
        <v>19</v>
      </c>
      <c r="K471" s="3" t="s">
        <v>21</v>
      </c>
      <c r="L471" s="3" t="s">
        <v>22</v>
      </c>
      <c r="M471" s="4">
        <v>165</v>
      </c>
      <c r="N471" s="3" t="s">
        <v>1498</v>
      </c>
      <c r="O471" s="3" t="s">
        <v>281</v>
      </c>
    </row>
    <row r="472" spans="1:15" ht="19.95" hidden="1" customHeight="1" x14ac:dyDescent="0.4">
      <c r="A472" s="7">
        <v>90</v>
      </c>
      <c r="B472" s="8" t="s">
        <v>482</v>
      </c>
      <c r="C472" s="6" t="str">
        <f>IFERROR(IF(LEFT(D472,FIND(" ",D472)-1)="전라북도","전북특별자치도",LEFT(D472,FIND(" ",D472)-1)),"")</f>
        <v>제주특별자치도</v>
      </c>
      <c r="D472" s="3" t="s">
        <v>483</v>
      </c>
      <c r="E472" s="3" t="s">
        <v>484</v>
      </c>
      <c r="F472" s="3" t="s">
        <v>485</v>
      </c>
      <c r="G472" s="3" t="s">
        <v>19</v>
      </c>
      <c r="H472" s="3" t="s">
        <v>486</v>
      </c>
      <c r="I472" s="3" t="s">
        <v>19</v>
      </c>
      <c r="J472" s="3" t="s">
        <v>487</v>
      </c>
      <c r="K472" s="3" t="s">
        <v>21</v>
      </c>
      <c r="L472" s="3" t="s">
        <v>22</v>
      </c>
      <c r="M472" s="4">
        <v>118</v>
      </c>
      <c r="N472" s="3" t="s">
        <v>23</v>
      </c>
      <c r="O472" s="3" t="s">
        <v>24</v>
      </c>
    </row>
    <row r="473" spans="1:15" hidden="1" x14ac:dyDescent="0.4">
      <c r="A473" s="7">
        <v>472</v>
      </c>
      <c r="B473" s="8" t="s">
        <v>2396</v>
      </c>
      <c r="C473" s="6" t="str">
        <f>IFERROR(IF(LEFT(D473,FIND(" ",D473)-1)="전라북도","전북특별자치도",LEFT(D473,FIND(" ",D473)-1)),"")</f>
        <v>경상남도</v>
      </c>
      <c r="D473" s="3" t="s">
        <v>2397</v>
      </c>
      <c r="E473" s="3" t="s">
        <v>2398</v>
      </c>
      <c r="F473" s="3" t="s">
        <v>501</v>
      </c>
      <c r="G473" s="3" t="s">
        <v>19</v>
      </c>
      <c r="H473" s="3" t="s">
        <v>1025</v>
      </c>
      <c r="I473" s="3" t="s">
        <v>19</v>
      </c>
      <c r="J473" s="3" t="s">
        <v>19</v>
      </c>
      <c r="K473" s="3" t="s">
        <v>21</v>
      </c>
      <c r="L473" s="3" t="s">
        <v>147</v>
      </c>
      <c r="M473" s="4">
        <v>1907</v>
      </c>
      <c r="N473" s="3" t="s">
        <v>19</v>
      </c>
      <c r="O473" s="3" t="s">
        <v>281</v>
      </c>
    </row>
    <row r="474" spans="1:15" hidden="1" x14ac:dyDescent="0.4">
      <c r="A474" s="7">
        <v>473</v>
      </c>
      <c r="B474" s="8" t="s">
        <v>2400</v>
      </c>
      <c r="C474" s="6" t="str">
        <f>IFERROR(IF(LEFT(D474,FIND(" ",D474)-1)="전라북도","전북특별자치도",LEFT(D474,FIND(" ",D474)-1)),"")</f>
        <v>경기도</v>
      </c>
      <c r="D474" s="3" t="s">
        <v>2401</v>
      </c>
      <c r="E474" s="3" t="s">
        <v>1144</v>
      </c>
      <c r="F474" s="3" t="s">
        <v>501</v>
      </c>
      <c r="G474" s="3" t="s">
        <v>2402</v>
      </c>
      <c r="H474" s="3" t="s">
        <v>953</v>
      </c>
      <c r="I474" s="3" t="s">
        <v>953</v>
      </c>
      <c r="J474" s="3" t="s">
        <v>19</v>
      </c>
      <c r="K474" s="3" t="s">
        <v>21</v>
      </c>
      <c r="L474" s="3" t="s">
        <v>22</v>
      </c>
      <c r="M474" s="4">
        <v>1298</v>
      </c>
      <c r="N474" s="3" t="s">
        <v>1498</v>
      </c>
      <c r="O474" s="3" t="s">
        <v>281</v>
      </c>
    </row>
    <row r="475" spans="1:15" ht="22.05" customHeight="1" x14ac:dyDescent="0.4">
      <c r="A475" s="7">
        <v>127</v>
      </c>
      <c r="B475" s="8" t="s">
        <v>672</v>
      </c>
      <c r="C475" s="6" t="str">
        <f>IFERROR(IF(LEFT(D475,FIND(" ",D475)-1)="전라북도","전북특별자치도",LEFT(D475,FIND(" ",D475)-1)),"")</f>
        <v>제주특별자치도</v>
      </c>
      <c r="D475" s="3" t="s">
        <v>673</v>
      </c>
      <c r="E475" s="3" t="s">
        <v>674</v>
      </c>
      <c r="F475" s="3" t="s">
        <v>668</v>
      </c>
      <c r="G475" s="3" t="s">
        <v>675</v>
      </c>
      <c r="H475" s="3" t="s">
        <v>676</v>
      </c>
      <c r="I475" s="3" t="s">
        <v>19</v>
      </c>
      <c r="J475" s="3" t="s">
        <v>19</v>
      </c>
      <c r="K475" s="3" t="s">
        <v>21</v>
      </c>
      <c r="L475" s="3" t="s">
        <v>22</v>
      </c>
      <c r="M475" s="4">
        <v>653</v>
      </c>
      <c r="N475" s="3" t="s">
        <v>84</v>
      </c>
      <c r="O475" s="3" t="s">
        <v>24</v>
      </c>
    </row>
    <row r="476" spans="1:15" ht="22.05" customHeight="1" x14ac:dyDescent="0.4">
      <c r="A476" s="7">
        <v>163</v>
      </c>
      <c r="B476" s="8" t="s">
        <v>848</v>
      </c>
      <c r="C476" s="6" t="str">
        <f>IFERROR(IF(LEFT(D476,FIND(" ",D476)-1)="전라북도","전북특별자치도",LEFT(D476,FIND(" ",D476)-1)),"")</f>
        <v>제주특별자치도</v>
      </c>
      <c r="D476" s="3" t="s">
        <v>849</v>
      </c>
      <c r="E476" s="3" t="s">
        <v>850</v>
      </c>
      <c r="F476" s="3" t="s">
        <v>851</v>
      </c>
      <c r="G476" s="3" t="s">
        <v>19</v>
      </c>
      <c r="H476" s="3" t="s">
        <v>852</v>
      </c>
      <c r="I476" s="3" t="s">
        <v>19</v>
      </c>
      <c r="J476" s="3" t="s">
        <v>19</v>
      </c>
      <c r="K476" s="3" t="s">
        <v>21</v>
      </c>
      <c r="L476" s="3" t="s">
        <v>22</v>
      </c>
      <c r="M476" s="4">
        <v>1499</v>
      </c>
      <c r="N476" s="3" t="s">
        <v>23</v>
      </c>
      <c r="O476" s="3" t="s">
        <v>24</v>
      </c>
    </row>
    <row r="477" spans="1:15" hidden="1" x14ac:dyDescent="0.4">
      <c r="A477" s="7">
        <v>476</v>
      </c>
      <c r="B477" s="8" t="s">
        <v>2410</v>
      </c>
      <c r="C477" s="6" t="str">
        <f>IFERROR(IF(LEFT(D477,FIND(" ",D477)-1)="전라북도","전북특별자치도",LEFT(D477,FIND(" ",D477)-1)),"")</f>
        <v>충청남도</v>
      </c>
      <c r="D477" s="3" t="s">
        <v>2411</v>
      </c>
      <c r="E477" s="3" t="s">
        <v>1615</v>
      </c>
      <c r="F477" s="3" t="s">
        <v>1372</v>
      </c>
      <c r="G477" s="3" t="s">
        <v>2412</v>
      </c>
      <c r="H477" s="3" t="s">
        <v>2413</v>
      </c>
      <c r="I477" s="3" t="s">
        <v>19</v>
      </c>
      <c r="J477" s="3" t="s">
        <v>19</v>
      </c>
      <c r="K477" s="3" t="s">
        <v>21</v>
      </c>
      <c r="L477" s="3" t="s">
        <v>147</v>
      </c>
      <c r="M477" s="4">
        <v>143</v>
      </c>
      <c r="N477" s="3" t="s">
        <v>84</v>
      </c>
      <c r="O477" s="3" t="s">
        <v>281</v>
      </c>
    </row>
    <row r="478" spans="1:15" hidden="1" x14ac:dyDescent="0.4">
      <c r="A478" s="7">
        <v>477</v>
      </c>
      <c r="B478" s="8" t="s">
        <v>1195</v>
      </c>
      <c r="C478" s="6" t="str">
        <f>IFERROR(IF(LEFT(D478,FIND(" ",D478)-1)="전라북도","전북특별자치도",LEFT(D478,FIND(" ",D478)-1)),"")</f>
        <v>경기도</v>
      </c>
      <c r="D478" s="3" t="s">
        <v>1196</v>
      </c>
      <c r="E478" s="3" t="s">
        <v>2367</v>
      </c>
      <c r="F478" s="3" t="s">
        <v>2405</v>
      </c>
      <c r="G478" s="3" t="s">
        <v>19</v>
      </c>
      <c r="H478" s="3" t="s">
        <v>302</v>
      </c>
      <c r="I478" s="3" t="s">
        <v>19</v>
      </c>
      <c r="J478" s="3" t="s">
        <v>19</v>
      </c>
      <c r="K478" s="3" t="s">
        <v>21</v>
      </c>
      <c r="L478" s="3" t="s">
        <v>147</v>
      </c>
      <c r="M478" s="4">
        <v>1301</v>
      </c>
      <c r="N478" s="3" t="s">
        <v>84</v>
      </c>
      <c r="O478" s="3" t="s">
        <v>281</v>
      </c>
    </row>
    <row r="479" spans="1:15" hidden="1" x14ac:dyDescent="0.4">
      <c r="A479" s="7">
        <v>478</v>
      </c>
      <c r="B479" s="8" t="s">
        <v>2414</v>
      </c>
      <c r="C479" s="6" t="str">
        <f>IFERROR(IF(LEFT(D479,FIND(" ",D479)-1)="전라북도","전북특별자치도",LEFT(D479,FIND(" ",D479)-1)),"")</f>
        <v>제주특별자치도</v>
      </c>
      <c r="D479" s="3" t="s">
        <v>2415</v>
      </c>
      <c r="E479" s="3" t="s">
        <v>2074</v>
      </c>
      <c r="F479" s="3" t="s">
        <v>2405</v>
      </c>
      <c r="G479" s="3" t="s">
        <v>19</v>
      </c>
      <c r="H479" s="3" t="s">
        <v>2416</v>
      </c>
      <c r="I479" s="3" t="s">
        <v>19</v>
      </c>
      <c r="J479" s="3" t="s">
        <v>19</v>
      </c>
      <c r="K479" s="3" t="s">
        <v>21</v>
      </c>
      <c r="L479" s="3" t="s">
        <v>147</v>
      </c>
      <c r="M479" s="4">
        <v>1068</v>
      </c>
      <c r="N479" s="3" t="s">
        <v>123</v>
      </c>
      <c r="O479" s="3" t="s">
        <v>281</v>
      </c>
    </row>
    <row r="480" spans="1:15" hidden="1" x14ac:dyDescent="0.4">
      <c r="A480" s="7">
        <v>479</v>
      </c>
      <c r="B480" s="8" t="s">
        <v>2417</v>
      </c>
      <c r="C480" s="6" t="str">
        <f>IFERROR(IF(LEFT(D480,FIND(" ",D480)-1)="전라북도","전북특별자치도",LEFT(D480,FIND(" ",D480)-1)),"")</f>
        <v>경기도</v>
      </c>
      <c r="D480" s="3" t="s">
        <v>2418</v>
      </c>
      <c r="E480" s="3" t="s">
        <v>2398</v>
      </c>
      <c r="F480" s="3" t="s">
        <v>2405</v>
      </c>
      <c r="G480" s="3" t="s">
        <v>2419</v>
      </c>
      <c r="H480" s="3" t="s">
        <v>210</v>
      </c>
      <c r="I480" s="3" t="s">
        <v>210</v>
      </c>
      <c r="J480" s="3" t="s">
        <v>19</v>
      </c>
      <c r="K480" s="3" t="s">
        <v>21</v>
      </c>
      <c r="L480" s="3" t="s">
        <v>358</v>
      </c>
      <c r="M480" s="4">
        <v>904</v>
      </c>
      <c r="N480" s="3" t="s">
        <v>1498</v>
      </c>
      <c r="O480" s="3" t="s">
        <v>281</v>
      </c>
    </row>
    <row r="481" spans="1:15" hidden="1" x14ac:dyDescent="0.4">
      <c r="A481" s="7">
        <v>480</v>
      </c>
      <c r="B481" s="8" t="s">
        <v>2420</v>
      </c>
      <c r="C481" s="6" t="str">
        <f>IFERROR(IF(LEFT(D481,FIND(" ",D481)-1)="전라북도","전북특별자치도",LEFT(D481,FIND(" ",D481)-1)),"")</f>
        <v>인천광역시</v>
      </c>
      <c r="D481" s="3" t="s">
        <v>2421</v>
      </c>
      <c r="E481" s="3" t="s">
        <v>559</v>
      </c>
      <c r="F481" s="3" t="s">
        <v>2422</v>
      </c>
      <c r="G481" s="3" t="s">
        <v>19</v>
      </c>
      <c r="H481" s="3" t="s">
        <v>2423</v>
      </c>
      <c r="I481" s="3" t="s">
        <v>19</v>
      </c>
      <c r="J481" s="3" t="s">
        <v>19</v>
      </c>
      <c r="K481" s="3" t="s">
        <v>21</v>
      </c>
      <c r="L481" s="3" t="s">
        <v>147</v>
      </c>
      <c r="M481" s="4">
        <v>1298</v>
      </c>
      <c r="N481" s="3" t="s">
        <v>2424</v>
      </c>
      <c r="O481" s="3" t="s">
        <v>281</v>
      </c>
    </row>
    <row r="482" spans="1:15" ht="22.05" customHeight="1" x14ac:dyDescent="0.4">
      <c r="A482" s="7">
        <v>188</v>
      </c>
      <c r="B482" s="8" t="s">
        <v>978</v>
      </c>
      <c r="C482" s="6" t="str">
        <f>IFERROR(IF(LEFT(D482,FIND(" ",D482)-1)="전라북도","전북특별자치도",LEFT(D482,FIND(" ",D482)-1)),"")</f>
        <v>제주특별자치도</v>
      </c>
      <c r="D482" s="3" t="s">
        <v>979</v>
      </c>
      <c r="E482" s="3" t="s">
        <v>980</v>
      </c>
      <c r="F482" s="3" t="s">
        <v>981</v>
      </c>
      <c r="G482" s="3" t="s">
        <v>19</v>
      </c>
      <c r="H482" s="3" t="s">
        <v>982</v>
      </c>
      <c r="I482" s="3" t="s">
        <v>19</v>
      </c>
      <c r="J482" s="3" t="s">
        <v>19</v>
      </c>
      <c r="K482" s="3" t="s">
        <v>21</v>
      </c>
      <c r="L482" s="3" t="s">
        <v>22</v>
      </c>
      <c r="M482" s="4">
        <v>3022</v>
      </c>
      <c r="N482" s="3" t="s">
        <v>236</v>
      </c>
      <c r="O482" s="3" t="s">
        <v>24</v>
      </c>
    </row>
    <row r="483" spans="1:15" hidden="1" x14ac:dyDescent="0.4">
      <c r="A483" s="7">
        <v>482</v>
      </c>
      <c r="B483" s="8" t="s">
        <v>2428</v>
      </c>
      <c r="C483" s="6" t="str">
        <f>IFERROR(IF(LEFT(D483,FIND(" ",D483)-1)="전라북도","전북특별자치도",LEFT(D483,FIND(" ",D483)-1)),"")</f>
        <v>경기도</v>
      </c>
      <c r="D483" s="3" t="s">
        <v>2429</v>
      </c>
      <c r="E483" s="3" t="s">
        <v>2430</v>
      </c>
      <c r="F483" s="3" t="s">
        <v>2431</v>
      </c>
      <c r="G483" s="3" t="s">
        <v>19</v>
      </c>
      <c r="H483" s="3" t="s">
        <v>885</v>
      </c>
      <c r="I483" s="3" t="s">
        <v>19</v>
      </c>
      <c r="J483" s="3" t="s">
        <v>19</v>
      </c>
      <c r="K483" s="3" t="s">
        <v>21</v>
      </c>
      <c r="L483" s="3" t="s">
        <v>147</v>
      </c>
      <c r="M483" s="4">
        <v>122</v>
      </c>
      <c r="N483" s="3" t="s">
        <v>211</v>
      </c>
      <c r="O483" s="3" t="s">
        <v>281</v>
      </c>
    </row>
    <row r="484" spans="1:15" hidden="1" x14ac:dyDescent="0.4">
      <c r="A484" s="7">
        <v>483</v>
      </c>
      <c r="B484" s="8" t="s">
        <v>2432</v>
      </c>
      <c r="C484" s="6" t="str">
        <f>IFERROR(IF(LEFT(D484,FIND(" ",D484)-1)="전라북도","전북특별자치도",LEFT(D484,FIND(" ",D484)-1)),"")</f>
        <v>경기도</v>
      </c>
      <c r="D484" s="3" t="s">
        <v>2433</v>
      </c>
      <c r="E484" s="3" t="s">
        <v>2434</v>
      </c>
      <c r="F484" s="3" t="s">
        <v>2431</v>
      </c>
      <c r="G484" s="3" t="s">
        <v>2436</v>
      </c>
      <c r="H484" s="3" t="s">
        <v>19</v>
      </c>
      <c r="I484" s="3" t="s">
        <v>19</v>
      </c>
      <c r="J484" s="3" t="s">
        <v>19</v>
      </c>
      <c r="K484" s="3" t="s">
        <v>21</v>
      </c>
      <c r="L484" s="3" t="s">
        <v>22</v>
      </c>
      <c r="M484" s="4">
        <v>253</v>
      </c>
      <c r="N484" s="3" t="s">
        <v>1498</v>
      </c>
      <c r="O484" s="3" t="s">
        <v>281</v>
      </c>
    </row>
    <row r="485" spans="1:15" hidden="1" x14ac:dyDescent="0.4">
      <c r="A485" s="7">
        <v>484</v>
      </c>
      <c r="B485" s="8" t="s">
        <v>2437</v>
      </c>
      <c r="C485" s="6" t="str">
        <f>IFERROR(IF(LEFT(D485,FIND(" ",D485)-1)="전라북도","전북특별자치도",LEFT(D485,FIND(" ",D485)-1)),"")</f>
        <v>전라남도</v>
      </c>
      <c r="D485" s="3" t="s">
        <v>2438</v>
      </c>
      <c r="E485" s="3" t="s">
        <v>1615</v>
      </c>
      <c r="F485" s="3" t="s">
        <v>2430</v>
      </c>
      <c r="G485" s="3" t="s">
        <v>2439</v>
      </c>
      <c r="H485" s="3" t="s">
        <v>2440</v>
      </c>
      <c r="I485" s="3" t="s">
        <v>2440</v>
      </c>
      <c r="J485" s="3" t="s">
        <v>19</v>
      </c>
      <c r="K485" s="3" t="s">
        <v>21</v>
      </c>
      <c r="L485" s="3" t="s">
        <v>22</v>
      </c>
      <c r="M485" s="4">
        <v>324</v>
      </c>
      <c r="N485" s="3" t="s">
        <v>1498</v>
      </c>
      <c r="O485" s="3" t="s">
        <v>281</v>
      </c>
    </row>
    <row r="486" spans="1:15" ht="22.05" customHeight="1" x14ac:dyDescent="0.4">
      <c r="A486" s="7">
        <v>216</v>
      </c>
      <c r="B486" s="8" t="s">
        <v>1121</v>
      </c>
      <c r="C486" s="6" t="str">
        <f>IFERROR(IF(LEFT(D486,FIND(" ",D486)-1)="전라북도","전북특별자치도",LEFT(D486,FIND(" ",D486)-1)),"")</f>
        <v>제주특별자치도</v>
      </c>
      <c r="D486" s="3" t="s">
        <v>1122</v>
      </c>
      <c r="E486" s="3" t="s">
        <v>1118</v>
      </c>
      <c r="F486" s="3" t="s">
        <v>1119</v>
      </c>
      <c r="G486" s="3" t="s">
        <v>19</v>
      </c>
      <c r="H486" s="3" t="s">
        <v>1123</v>
      </c>
      <c r="I486" s="3" t="s">
        <v>19</v>
      </c>
      <c r="J486" s="3" t="s">
        <v>19</v>
      </c>
      <c r="K486" s="3" t="s">
        <v>21</v>
      </c>
      <c r="L486" s="3" t="s">
        <v>147</v>
      </c>
      <c r="M486" s="4">
        <v>2045</v>
      </c>
      <c r="N486" s="3" t="s">
        <v>23</v>
      </c>
      <c r="O486" s="3" t="s">
        <v>24</v>
      </c>
    </row>
    <row r="487" spans="1:15" hidden="1" x14ac:dyDescent="0.4">
      <c r="A487" s="7">
        <v>486</v>
      </c>
      <c r="B487" s="8" t="s">
        <v>2447</v>
      </c>
      <c r="C487" s="6" t="str">
        <f>IFERROR(IF(LEFT(D487,FIND(" ",D487)-1)="전라북도","전북특별자치도",LEFT(D487,FIND(" ",D487)-1)),"")</f>
        <v>경기도</v>
      </c>
      <c r="D487" s="3" t="s">
        <v>2448</v>
      </c>
      <c r="E487" s="3" t="s">
        <v>1526</v>
      </c>
      <c r="F487" s="3" t="s">
        <v>2443</v>
      </c>
      <c r="G487" s="3" t="s">
        <v>19</v>
      </c>
      <c r="H487" s="3" t="s">
        <v>302</v>
      </c>
      <c r="I487" s="3" t="s">
        <v>302</v>
      </c>
      <c r="J487" s="3" t="s">
        <v>19</v>
      </c>
      <c r="K487" s="3" t="s">
        <v>21</v>
      </c>
      <c r="L487" s="3" t="s">
        <v>147</v>
      </c>
      <c r="M487" s="4">
        <v>608</v>
      </c>
      <c r="N487" s="3" t="s">
        <v>123</v>
      </c>
      <c r="O487" s="3" t="s">
        <v>281</v>
      </c>
    </row>
    <row r="488" spans="1:15" hidden="1" x14ac:dyDescent="0.4">
      <c r="A488" s="7">
        <v>487</v>
      </c>
      <c r="B488" s="8" t="s">
        <v>2449</v>
      </c>
      <c r="C488" s="6" t="str">
        <f>IFERROR(IF(LEFT(D488,FIND(" ",D488)-1)="전라북도","전북특별자치도",LEFT(D488,FIND(" ",D488)-1)),"")</f>
        <v>충청북도</v>
      </c>
      <c r="D488" s="3" t="s">
        <v>2450</v>
      </c>
      <c r="E488" s="3" t="s">
        <v>2451</v>
      </c>
      <c r="F488" s="3" t="s">
        <v>522</v>
      </c>
      <c r="G488" s="3" t="s">
        <v>2453</v>
      </c>
      <c r="H488" s="3" t="s">
        <v>2454</v>
      </c>
      <c r="I488" s="3" t="s">
        <v>2454</v>
      </c>
      <c r="J488" s="3" t="s">
        <v>2455</v>
      </c>
      <c r="K488" s="3" t="s">
        <v>21</v>
      </c>
      <c r="L488" s="3" t="s">
        <v>22</v>
      </c>
      <c r="M488" s="4">
        <v>750</v>
      </c>
      <c r="N488" s="3" t="s">
        <v>2155</v>
      </c>
      <c r="O488" s="3" t="s">
        <v>281</v>
      </c>
    </row>
    <row r="489" spans="1:15" hidden="1" x14ac:dyDescent="0.4">
      <c r="A489" s="7">
        <v>488</v>
      </c>
      <c r="B489" s="8" t="s">
        <v>2456</v>
      </c>
      <c r="C489" s="6" t="str">
        <f>IFERROR(IF(LEFT(D489,FIND(" ",D489)-1)="전라북도","전북특별자치도",LEFT(D489,FIND(" ",D489)-1)),"")</f>
        <v>경기도</v>
      </c>
      <c r="D489" s="3" t="s">
        <v>2457</v>
      </c>
      <c r="E489" s="3" t="s">
        <v>2458</v>
      </c>
      <c r="F489" s="3" t="s">
        <v>2459</v>
      </c>
      <c r="G489" s="3" t="s">
        <v>2460</v>
      </c>
      <c r="H489" s="3" t="s">
        <v>210</v>
      </c>
      <c r="I489" s="3" t="s">
        <v>210</v>
      </c>
      <c r="J489" s="3" t="s">
        <v>19</v>
      </c>
      <c r="K489" s="3" t="s">
        <v>21</v>
      </c>
      <c r="L489" s="3" t="s">
        <v>22</v>
      </c>
      <c r="M489" s="4">
        <v>563</v>
      </c>
      <c r="N489" s="3" t="s">
        <v>123</v>
      </c>
      <c r="O489" s="3" t="s">
        <v>281</v>
      </c>
    </row>
    <row r="490" spans="1:15" ht="22.05" customHeight="1" x14ac:dyDescent="0.4">
      <c r="A490" s="7">
        <v>219</v>
      </c>
      <c r="B490" s="8" t="s">
        <v>1132</v>
      </c>
      <c r="C490" s="6" t="str">
        <f>IFERROR(IF(LEFT(D490,FIND(" ",D490)-1)="전라북도","전북특별자치도",LEFT(D490,FIND(" ",D490)-1)),"")</f>
        <v>제주특별자치도</v>
      </c>
      <c r="D490" s="3" t="s">
        <v>1133</v>
      </c>
      <c r="E490" s="3" t="s">
        <v>1134</v>
      </c>
      <c r="F490" s="3" t="s">
        <v>1126</v>
      </c>
      <c r="G490" s="3" t="s">
        <v>1135</v>
      </c>
      <c r="H490" s="3" t="s">
        <v>1136</v>
      </c>
      <c r="I490" s="3" t="s">
        <v>1136</v>
      </c>
      <c r="J490" s="3" t="s">
        <v>1137</v>
      </c>
      <c r="K490" s="3" t="s">
        <v>21</v>
      </c>
      <c r="L490" s="3" t="s">
        <v>22</v>
      </c>
      <c r="M490" s="4">
        <v>996</v>
      </c>
      <c r="N490" s="3" t="s">
        <v>23</v>
      </c>
      <c r="O490" s="3" t="s">
        <v>24</v>
      </c>
    </row>
    <row r="491" spans="1:15" ht="22.05" customHeight="1" x14ac:dyDescent="0.4">
      <c r="A491" s="7">
        <v>281</v>
      </c>
      <c r="B491" s="8" t="s">
        <v>1435</v>
      </c>
      <c r="C491" s="6" t="str">
        <f>IFERROR(IF(LEFT(D491,FIND(" ",D491)-1)="전라북도","전북특별자치도",LEFT(D491,FIND(" ",D491)-1)),"")</f>
        <v>제주특별자치도</v>
      </c>
      <c r="D491" s="3" t="s">
        <v>1436</v>
      </c>
      <c r="E491" s="3" t="s">
        <v>1437</v>
      </c>
      <c r="F491" s="3" t="s">
        <v>1438</v>
      </c>
      <c r="G491" s="3" t="s">
        <v>1439</v>
      </c>
      <c r="H491" s="3" t="s">
        <v>1440</v>
      </c>
      <c r="I491" s="3" t="s">
        <v>1440</v>
      </c>
      <c r="J491" s="3" t="s">
        <v>19</v>
      </c>
      <c r="K491" s="3" t="s">
        <v>21</v>
      </c>
      <c r="L491" s="3" t="s">
        <v>22</v>
      </c>
      <c r="M491" s="4">
        <v>889</v>
      </c>
      <c r="N491" s="3" t="s">
        <v>23</v>
      </c>
      <c r="O491" s="3" t="s">
        <v>24</v>
      </c>
    </row>
    <row r="492" spans="1:15" hidden="1" x14ac:dyDescent="0.4">
      <c r="A492" s="7">
        <v>491</v>
      </c>
      <c r="B492" s="8" t="s">
        <v>2467</v>
      </c>
      <c r="C492" s="6" t="str">
        <f>IFERROR(IF(LEFT(D492,FIND(" ",D492)-1)="전라북도","전북특별자치도",LEFT(D492,FIND(" ",D492)-1)),"")</f>
        <v>충청남도</v>
      </c>
      <c r="D492" s="3" t="s">
        <v>2468</v>
      </c>
      <c r="E492" s="3" t="s">
        <v>570</v>
      </c>
      <c r="F492" s="3" t="s">
        <v>527</v>
      </c>
      <c r="G492" s="3" t="s">
        <v>2470</v>
      </c>
      <c r="H492" s="3" t="s">
        <v>2471</v>
      </c>
      <c r="I492" s="3" t="s">
        <v>2472</v>
      </c>
      <c r="J492" s="3" t="s">
        <v>2473</v>
      </c>
      <c r="K492" s="3" t="s">
        <v>21</v>
      </c>
      <c r="L492" s="3" t="s">
        <v>22</v>
      </c>
      <c r="M492" s="4">
        <v>1597</v>
      </c>
      <c r="N492" s="3" t="s">
        <v>1498</v>
      </c>
      <c r="O492" s="3" t="s">
        <v>281</v>
      </c>
    </row>
    <row r="493" spans="1:15" hidden="1" x14ac:dyDescent="0.4">
      <c r="A493" s="7">
        <v>492</v>
      </c>
      <c r="B493" s="8" t="s">
        <v>2474</v>
      </c>
      <c r="C493" s="6" t="str">
        <f>IFERROR(IF(LEFT(D493,FIND(" ",D493)-1)="전라북도","전북특별자치도",LEFT(D493,FIND(" ",D493)-1)),"")</f>
        <v>경기도</v>
      </c>
      <c r="D493" s="3" t="s">
        <v>2475</v>
      </c>
      <c r="E493" s="3" t="s">
        <v>2476</v>
      </c>
      <c r="F493" s="3" t="s">
        <v>527</v>
      </c>
      <c r="G493" s="3" t="s">
        <v>2436</v>
      </c>
      <c r="H493" s="3" t="s">
        <v>19</v>
      </c>
      <c r="I493" s="3" t="s">
        <v>19</v>
      </c>
      <c r="J493" s="3" t="s">
        <v>2478</v>
      </c>
      <c r="K493" s="3" t="s">
        <v>21</v>
      </c>
      <c r="L493" s="3" t="s">
        <v>22</v>
      </c>
      <c r="M493" s="4">
        <v>758</v>
      </c>
      <c r="N493" s="3" t="s">
        <v>1498</v>
      </c>
      <c r="O493" s="3" t="s">
        <v>281</v>
      </c>
    </row>
    <row r="494" spans="1:15" hidden="1" x14ac:dyDescent="0.4">
      <c r="A494" s="7">
        <v>493</v>
      </c>
      <c r="B494" s="8" t="s">
        <v>2479</v>
      </c>
      <c r="C494" s="6" t="str">
        <f>IFERROR(IF(LEFT(D494,FIND(" ",D494)-1)="전라북도","전북특별자치도",LEFT(D494,FIND(" ",D494)-1)),"")</f>
        <v>서울특별시</v>
      </c>
      <c r="D494" s="3" t="s">
        <v>2480</v>
      </c>
      <c r="E494" s="3" t="s">
        <v>2481</v>
      </c>
      <c r="F494" s="3" t="s">
        <v>2371</v>
      </c>
      <c r="G494" s="3" t="s">
        <v>2483</v>
      </c>
      <c r="H494" s="3" t="s">
        <v>134</v>
      </c>
      <c r="I494" s="3" t="s">
        <v>134</v>
      </c>
      <c r="J494" s="3" t="s">
        <v>51</v>
      </c>
      <c r="K494" s="3" t="s">
        <v>21</v>
      </c>
      <c r="L494" s="3" t="s">
        <v>22</v>
      </c>
      <c r="M494" s="4">
        <v>1993</v>
      </c>
      <c r="N494" s="3" t="s">
        <v>1498</v>
      </c>
      <c r="O494" s="3" t="s">
        <v>281</v>
      </c>
    </row>
    <row r="495" spans="1:15" hidden="1" x14ac:dyDescent="0.4">
      <c r="A495" s="7">
        <v>494</v>
      </c>
      <c r="B495" s="8" t="s">
        <v>2484</v>
      </c>
      <c r="C495" s="6" t="str">
        <f>IFERROR(IF(LEFT(D495,FIND(" ",D495)-1)="전라북도","전북특별자치도",LEFT(D495,FIND(" ",D495)-1)),"")</f>
        <v>서울특별시</v>
      </c>
      <c r="D495" s="3" t="s">
        <v>2485</v>
      </c>
      <c r="E495" s="3" t="s">
        <v>2481</v>
      </c>
      <c r="F495" s="3" t="s">
        <v>2371</v>
      </c>
      <c r="G495" s="3" t="s">
        <v>2483</v>
      </c>
      <c r="H495" s="3" t="s">
        <v>134</v>
      </c>
      <c r="I495" s="3" t="s">
        <v>134</v>
      </c>
      <c r="J495" s="3" t="s">
        <v>51</v>
      </c>
      <c r="K495" s="3" t="s">
        <v>21</v>
      </c>
      <c r="L495" s="3" t="s">
        <v>22</v>
      </c>
      <c r="M495" s="4">
        <v>1995</v>
      </c>
      <c r="N495" s="3" t="s">
        <v>1498</v>
      </c>
      <c r="O495" s="3" t="s">
        <v>281</v>
      </c>
    </row>
    <row r="496" spans="1:15" hidden="1" x14ac:dyDescent="0.4">
      <c r="A496" s="7">
        <v>495</v>
      </c>
      <c r="B496" s="8" t="s">
        <v>2486</v>
      </c>
      <c r="C496" s="6" t="str">
        <f>IFERROR(IF(LEFT(D496,FIND(" ",D496)-1)="전라북도","전북특별자치도",LEFT(D496,FIND(" ",D496)-1)),"")</f>
        <v>충청남도</v>
      </c>
      <c r="D496" s="3" t="s">
        <v>2487</v>
      </c>
      <c r="E496" s="3" t="s">
        <v>1178</v>
      </c>
      <c r="F496" s="3" t="s">
        <v>2177</v>
      </c>
      <c r="G496" s="3" t="s">
        <v>2488</v>
      </c>
      <c r="H496" s="3" t="s">
        <v>2489</v>
      </c>
      <c r="I496" s="3" t="s">
        <v>19</v>
      </c>
      <c r="J496" s="3" t="s">
        <v>19</v>
      </c>
      <c r="K496" s="3" t="s">
        <v>21</v>
      </c>
      <c r="L496" s="3" t="s">
        <v>22</v>
      </c>
      <c r="M496" s="4">
        <v>413</v>
      </c>
      <c r="N496" s="3" t="s">
        <v>1498</v>
      </c>
      <c r="O496" s="3" t="s">
        <v>281</v>
      </c>
    </row>
    <row r="497" spans="1:15" hidden="1" x14ac:dyDescent="0.4">
      <c r="A497" s="7">
        <v>496</v>
      </c>
      <c r="B497" s="8" t="s">
        <v>2490</v>
      </c>
      <c r="C497" s="6" t="str">
        <f>IFERROR(IF(LEFT(D497,FIND(" ",D497)-1)="전라북도","전북특별자치도",LEFT(D497,FIND(" ",D497)-1)),"")</f>
        <v>경상남도</v>
      </c>
      <c r="D497" s="3" t="s">
        <v>2491</v>
      </c>
      <c r="E497" s="3" t="s">
        <v>2492</v>
      </c>
      <c r="F497" s="3" t="s">
        <v>2493</v>
      </c>
      <c r="G497" s="3" t="s">
        <v>19</v>
      </c>
      <c r="H497" s="3" t="s">
        <v>2494</v>
      </c>
      <c r="I497" s="3" t="s">
        <v>19</v>
      </c>
      <c r="J497" s="3" t="s">
        <v>19</v>
      </c>
      <c r="K497" s="3" t="s">
        <v>21</v>
      </c>
      <c r="L497" s="3" t="s">
        <v>147</v>
      </c>
      <c r="M497" s="4">
        <v>563</v>
      </c>
      <c r="N497" s="3" t="s">
        <v>1498</v>
      </c>
      <c r="O497" s="3" t="s">
        <v>281</v>
      </c>
    </row>
    <row r="498" spans="1:15" hidden="1" x14ac:dyDescent="0.4">
      <c r="A498" s="7">
        <v>497</v>
      </c>
      <c r="B498" s="8" t="s">
        <v>2495</v>
      </c>
      <c r="C498" s="6" t="str">
        <f>IFERROR(IF(LEFT(D498,FIND(" ",D498)-1)="전라북도","전북특별자치도",LEFT(D498,FIND(" ",D498)-1)),"")</f>
        <v>경기도</v>
      </c>
      <c r="D498" s="3" t="s">
        <v>2496</v>
      </c>
      <c r="E498" s="3" t="s">
        <v>2497</v>
      </c>
      <c r="F498" s="3" t="s">
        <v>2493</v>
      </c>
      <c r="G498" s="3" t="s">
        <v>2498</v>
      </c>
      <c r="H498" s="3" t="s">
        <v>1237</v>
      </c>
      <c r="I498" s="3" t="s">
        <v>19</v>
      </c>
      <c r="J498" s="3" t="s">
        <v>19</v>
      </c>
      <c r="K498" s="3" t="s">
        <v>21</v>
      </c>
      <c r="L498" s="3" t="s">
        <v>22</v>
      </c>
      <c r="M498" s="4">
        <v>319</v>
      </c>
      <c r="N498" s="3" t="s">
        <v>84</v>
      </c>
      <c r="O498" s="3" t="s">
        <v>281</v>
      </c>
    </row>
    <row r="499" spans="1:15" hidden="1" x14ac:dyDescent="0.4">
      <c r="A499" s="7">
        <v>498</v>
      </c>
      <c r="B499" s="8" t="s">
        <v>2499</v>
      </c>
      <c r="C499" s="6" t="str">
        <f>IFERROR(IF(LEFT(D499,FIND(" ",D499)-1)="전라북도","전북특별자치도",LEFT(D499,FIND(" ",D499)-1)),"")</f>
        <v>경기도</v>
      </c>
      <c r="D499" s="3" t="s">
        <v>2496</v>
      </c>
      <c r="E499" s="3" t="s">
        <v>2497</v>
      </c>
      <c r="F499" s="3" t="s">
        <v>2493</v>
      </c>
      <c r="G499" s="3" t="s">
        <v>2498</v>
      </c>
      <c r="H499" s="3" t="s">
        <v>1237</v>
      </c>
      <c r="I499" s="3" t="s">
        <v>19</v>
      </c>
      <c r="J499" s="3" t="s">
        <v>19</v>
      </c>
      <c r="K499" s="3" t="s">
        <v>21</v>
      </c>
      <c r="L499" s="3" t="s">
        <v>22</v>
      </c>
      <c r="M499" s="4">
        <v>180</v>
      </c>
      <c r="N499" s="3" t="s">
        <v>84</v>
      </c>
      <c r="O499" s="3" t="s">
        <v>281</v>
      </c>
    </row>
    <row r="500" spans="1:15" hidden="1" x14ac:dyDescent="0.4">
      <c r="A500" s="7">
        <v>499</v>
      </c>
      <c r="B500" s="8" t="s">
        <v>2500</v>
      </c>
      <c r="C500" s="6" t="str">
        <f>IFERROR(IF(LEFT(D500,FIND(" ",D500)-1)="전라북도","전북특별자치도",LEFT(D500,FIND(" ",D500)-1)),"")</f>
        <v>강원특별자치도</v>
      </c>
      <c r="D500" s="3" t="s">
        <v>2501</v>
      </c>
      <c r="E500" s="3" t="s">
        <v>506</v>
      </c>
      <c r="F500" s="3" t="s">
        <v>2492</v>
      </c>
      <c r="G500" s="3" t="s">
        <v>2502</v>
      </c>
      <c r="H500" s="3" t="s">
        <v>1770</v>
      </c>
      <c r="I500" s="3" t="s">
        <v>31</v>
      </c>
      <c r="J500" s="3" t="s">
        <v>2503</v>
      </c>
      <c r="K500" s="3" t="s">
        <v>21</v>
      </c>
      <c r="L500" s="3" t="s">
        <v>22</v>
      </c>
      <c r="M500" s="4">
        <v>327</v>
      </c>
      <c r="N500" s="3" t="s">
        <v>1498</v>
      </c>
      <c r="O500" s="3" t="s">
        <v>281</v>
      </c>
    </row>
    <row r="501" spans="1:15" hidden="1" x14ac:dyDescent="0.4">
      <c r="A501" s="7">
        <v>500</v>
      </c>
      <c r="B501" s="8" t="s">
        <v>2505</v>
      </c>
      <c r="C501" s="6" t="str">
        <f>IFERROR(IF(LEFT(D501,FIND(" ",D501)-1)="전라북도","전북특별자치도",LEFT(D501,FIND(" ",D501)-1)),"")</f>
        <v>경상남도</v>
      </c>
      <c r="D501" s="3" t="s">
        <v>2506</v>
      </c>
      <c r="E501" s="3" t="s">
        <v>2507</v>
      </c>
      <c r="F501" s="3" t="s">
        <v>2508</v>
      </c>
      <c r="G501" s="3" t="s">
        <v>2509</v>
      </c>
      <c r="H501" s="3" t="s">
        <v>2510</v>
      </c>
      <c r="I501" s="3" t="s">
        <v>19</v>
      </c>
      <c r="J501" s="3" t="s">
        <v>2509</v>
      </c>
      <c r="K501" s="3" t="s">
        <v>21</v>
      </c>
      <c r="L501" s="3" t="s">
        <v>147</v>
      </c>
      <c r="M501" s="4">
        <v>644</v>
      </c>
      <c r="N501" s="3" t="s">
        <v>1498</v>
      </c>
      <c r="O501" s="3" t="s">
        <v>281</v>
      </c>
    </row>
    <row r="502" spans="1:15" hidden="1" x14ac:dyDescent="0.4">
      <c r="A502" s="7">
        <v>501</v>
      </c>
      <c r="B502" s="8" t="s">
        <v>2511</v>
      </c>
      <c r="C502" s="6" t="str">
        <f>IFERROR(IF(LEFT(D502,FIND(" ",D502)-1)="전라북도","전북특별자치도",LEFT(D502,FIND(" ",D502)-1)),"")</f>
        <v>경기도</v>
      </c>
      <c r="D502" s="3" t="s">
        <v>2512</v>
      </c>
      <c r="E502" s="3" t="s">
        <v>2513</v>
      </c>
      <c r="F502" s="3" t="s">
        <v>2514</v>
      </c>
      <c r="G502" s="3" t="s">
        <v>19</v>
      </c>
      <c r="H502" s="3" t="s">
        <v>1110</v>
      </c>
      <c r="I502" s="3" t="s">
        <v>19</v>
      </c>
      <c r="J502" s="3" t="s">
        <v>19</v>
      </c>
      <c r="K502" s="3" t="s">
        <v>21</v>
      </c>
      <c r="L502" s="3" t="s">
        <v>147</v>
      </c>
      <c r="M502" s="4">
        <v>791</v>
      </c>
      <c r="N502" s="3" t="s">
        <v>1498</v>
      </c>
      <c r="O502" s="3" t="s">
        <v>281</v>
      </c>
    </row>
    <row r="503" spans="1:15" hidden="1" x14ac:dyDescent="0.4">
      <c r="A503" s="7">
        <v>502</v>
      </c>
      <c r="B503" s="8" t="s">
        <v>2515</v>
      </c>
      <c r="C503" s="6" t="str">
        <f>IFERROR(IF(LEFT(D503,FIND(" ",D503)-1)="전라북도","전북특별자치도",LEFT(D503,FIND(" ",D503)-1)),"")</f>
        <v>세종특별자치시</v>
      </c>
      <c r="D503" s="3" t="s">
        <v>2516</v>
      </c>
      <c r="E503" s="3" t="s">
        <v>1169</v>
      </c>
      <c r="F503" s="3" t="s">
        <v>2514</v>
      </c>
      <c r="G503" s="3" t="s">
        <v>2517</v>
      </c>
      <c r="H503" s="3" t="s">
        <v>2518</v>
      </c>
      <c r="I503" s="3" t="s">
        <v>2518</v>
      </c>
      <c r="J503" s="3" t="s">
        <v>2519</v>
      </c>
      <c r="K503" s="3" t="s">
        <v>21</v>
      </c>
      <c r="L503" s="3" t="s">
        <v>228</v>
      </c>
      <c r="M503" s="4">
        <v>1173</v>
      </c>
      <c r="N503" s="3" t="s">
        <v>1498</v>
      </c>
      <c r="O503" s="3" t="s">
        <v>281</v>
      </c>
    </row>
    <row r="504" spans="1:15" hidden="1" x14ac:dyDescent="0.4">
      <c r="A504" s="7">
        <v>503</v>
      </c>
      <c r="B504" s="8" t="s">
        <v>2520</v>
      </c>
      <c r="C504" s="6" t="str">
        <f>IFERROR(IF(LEFT(D504,FIND(" ",D504)-1)="전라북도","전북특별자치도",LEFT(D504,FIND(" ",D504)-1)),"")</f>
        <v>충청남도</v>
      </c>
      <c r="D504" s="3" t="s">
        <v>2521</v>
      </c>
      <c r="E504" s="3" t="s">
        <v>1983</v>
      </c>
      <c r="F504" s="3" t="s">
        <v>2522</v>
      </c>
      <c r="G504" s="3" t="s">
        <v>2523</v>
      </c>
      <c r="H504" s="3" t="s">
        <v>2524</v>
      </c>
      <c r="I504" s="3" t="s">
        <v>2525</v>
      </c>
      <c r="J504" s="3" t="s">
        <v>2526</v>
      </c>
      <c r="K504" s="3" t="s">
        <v>21</v>
      </c>
      <c r="L504" s="3" t="s">
        <v>228</v>
      </c>
      <c r="M504" s="4">
        <v>1356</v>
      </c>
      <c r="N504" s="3" t="s">
        <v>1498</v>
      </c>
      <c r="O504" s="3" t="s">
        <v>281</v>
      </c>
    </row>
    <row r="505" spans="1:15" hidden="1" x14ac:dyDescent="0.4">
      <c r="A505" s="7">
        <v>504</v>
      </c>
      <c r="B505" s="8" t="s">
        <v>2527</v>
      </c>
      <c r="C505" s="6" t="str">
        <f>IFERROR(IF(LEFT(D505,FIND(" ",D505)-1)="전라북도","전북특별자치도",LEFT(D505,FIND(" ",D505)-1)),"")</f>
        <v>경상북도</v>
      </c>
      <c r="D505" s="3" t="s">
        <v>2528</v>
      </c>
      <c r="E505" s="3" t="s">
        <v>2529</v>
      </c>
      <c r="F505" s="3" t="s">
        <v>2522</v>
      </c>
      <c r="G505" s="3" t="s">
        <v>2530</v>
      </c>
      <c r="H505" s="3" t="s">
        <v>2531</v>
      </c>
      <c r="I505" s="3" t="s">
        <v>2532</v>
      </c>
      <c r="J505" s="3" t="s">
        <v>2533</v>
      </c>
      <c r="K505" s="3" t="s">
        <v>21</v>
      </c>
      <c r="L505" s="3" t="s">
        <v>22</v>
      </c>
      <c r="M505" s="4">
        <v>998</v>
      </c>
      <c r="N505" s="3" t="s">
        <v>1498</v>
      </c>
      <c r="O505" s="3" t="s">
        <v>281</v>
      </c>
    </row>
    <row r="506" spans="1:15" ht="19.95" hidden="1" customHeight="1" x14ac:dyDescent="0.4">
      <c r="A506" s="7">
        <v>317</v>
      </c>
      <c r="B506" s="8" t="s">
        <v>1613</v>
      </c>
      <c r="C506" s="6" t="str">
        <f>IFERROR(IF(LEFT(D506,FIND(" ",D506)-1)="전라북도","전북특별자치도",LEFT(D506,FIND(" ",D506)-1)),"")</f>
        <v>제주특별자치도</v>
      </c>
      <c r="D506" s="3" t="s">
        <v>1614</v>
      </c>
      <c r="E506" s="3" t="s">
        <v>1615</v>
      </c>
      <c r="F506" s="3" t="s">
        <v>1616</v>
      </c>
      <c r="G506" s="3" t="s">
        <v>19</v>
      </c>
      <c r="H506" s="3" t="s">
        <v>1617</v>
      </c>
      <c r="I506" s="3" t="s">
        <v>19</v>
      </c>
      <c r="J506" s="3" t="s">
        <v>19</v>
      </c>
      <c r="K506" s="3" t="s">
        <v>21</v>
      </c>
      <c r="L506" s="3" t="s">
        <v>22</v>
      </c>
      <c r="M506" s="4">
        <v>61</v>
      </c>
      <c r="N506" s="3" t="s">
        <v>1498</v>
      </c>
      <c r="O506" s="3" t="s">
        <v>24</v>
      </c>
    </row>
    <row r="507" spans="1:15" hidden="1" x14ac:dyDescent="0.4">
      <c r="A507" s="7">
        <v>506</v>
      </c>
      <c r="B507" s="8" t="s">
        <v>2539</v>
      </c>
      <c r="C507" s="6" t="str">
        <f>IFERROR(IF(LEFT(D507,FIND(" ",D507)-1)="전라북도","전북특별자치도",LEFT(D507,FIND(" ",D507)-1)),"")</f>
        <v>강원특별자치도</v>
      </c>
      <c r="D507" s="3" t="s">
        <v>2540</v>
      </c>
      <c r="E507" s="3" t="s">
        <v>701</v>
      </c>
      <c r="F507" s="3" t="s">
        <v>2541</v>
      </c>
      <c r="G507" s="3" t="s">
        <v>2542</v>
      </c>
      <c r="H507" s="3" t="s">
        <v>498</v>
      </c>
      <c r="I507" s="3" t="s">
        <v>498</v>
      </c>
      <c r="J507" s="3" t="s">
        <v>19</v>
      </c>
      <c r="K507" s="3" t="s">
        <v>21</v>
      </c>
      <c r="L507" s="3" t="s">
        <v>22</v>
      </c>
      <c r="M507" s="4">
        <v>990</v>
      </c>
      <c r="N507" s="3" t="s">
        <v>1498</v>
      </c>
      <c r="O507" s="3" t="s">
        <v>281</v>
      </c>
    </row>
    <row r="508" spans="1:15" hidden="1" x14ac:dyDescent="0.4">
      <c r="A508" s="7">
        <v>507</v>
      </c>
      <c r="B508" s="8" t="s">
        <v>2543</v>
      </c>
      <c r="C508" s="6" t="str">
        <f>IFERROR(IF(LEFT(D508,FIND(" ",D508)-1)="전라북도","전북특별자치도",LEFT(D508,FIND(" ",D508)-1)),"")</f>
        <v>제주특별자치도</v>
      </c>
      <c r="D508" s="3" t="s">
        <v>2544</v>
      </c>
      <c r="E508" s="3" t="s">
        <v>2545</v>
      </c>
      <c r="F508" s="3" t="s">
        <v>1526</v>
      </c>
      <c r="G508" s="3" t="s">
        <v>2546</v>
      </c>
      <c r="H508" s="3" t="s">
        <v>19</v>
      </c>
      <c r="I508" s="3" t="s">
        <v>19</v>
      </c>
      <c r="J508" s="3" t="s">
        <v>19</v>
      </c>
      <c r="K508" s="3" t="s">
        <v>21</v>
      </c>
      <c r="L508" s="3" t="s">
        <v>147</v>
      </c>
      <c r="M508" s="4">
        <v>181</v>
      </c>
      <c r="N508" s="3" t="s">
        <v>84</v>
      </c>
      <c r="O508" s="3" t="s">
        <v>281</v>
      </c>
    </row>
    <row r="509" spans="1:15" hidden="1" x14ac:dyDescent="0.4">
      <c r="A509" s="7">
        <v>508</v>
      </c>
      <c r="B509" s="8" t="s">
        <v>2547</v>
      </c>
      <c r="C509" s="6" t="str">
        <f>IFERROR(IF(LEFT(D509,FIND(" ",D509)-1)="전라북도","전북특별자치도",LEFT(D509,FIND(" ",D509)-1)),"")</f>
        <v>경상북도</v>
      </c>
      <c r="D509" s="3" t="s">
        <v>2548</v>
      </c>
      <c r="E509" s="3" t="s">
        <v>549</v>
      </c>
      <c r="F509" s="3" t="s">
        <v>2549</v>
      </c>
      <c r="G509" s="3" t="s">
        <v>315</v>
      </c>
      <c r="H509" s="3" t="s">
        <v>2550</v>
      </c>
      <c r="I509" s="3" t="s">
        <v>2551</v>
      </c>
      <c r="J509" s="3" t="s">
        <v>19</v>
      </c>
      <c r="K509" s="3" t="s">
        <v>21</v>
      </c>
      <c r="L509" s="3" t="s">
        <v>22</v>
      </c>
      <c r="M509" s="4">
        <v>445</v>
      </c>
      <c r="N509" s="3" t="s">
        <v>1498</v>
      </c>
      <c r="O509" s="3" t="s">
        <v>281</v>
      </c>
    </row>
    <row r="510" spans="1:15" ht="22.05" customHeight="1" x14ac:dyDescent="0.4">
      <c r="A510" s="7">
        <v>415</v>
      </c>
      <c r="B510" s="8" t="s">
        <v>2112</v>
      </c>
      <c r="C510" s="6" t="str">
        <f>IFERROR(IF(LEFT(D510,FIND(" ",D510)-1)="전라북도","전북특별자치도",LEFT(D510,FIND(" ",D510)-1)),"")</f>
        <v>제주특별자치도</v>
      </c>
      <c r="D510" s="3" t="s">
        <v>2113</v>
      </c>
      <c r="E510" s="3" t="s">
        <v>2114</v>
      </c>
      <c r="F510" s="3" t="s">
        <v>1874</v>
      </c>
      <c r="G510" s="3" t="s">
        <v>2115</v>
      </c>
      <c r="H510" s="3" t="s">
        <v>2116</v>
      </c>
      <c r="I510" s="3" t="s">
        <v>2116</v>
      </c>
      <c r="J510" s="3" t="s">
        <v>2117</v>
      </c>
      <c r="K510" s="3" t="s">
        <v>21</v>
      </c>
      <c r="L510" s="3" t="s">
        <v>22</v>
      </c>
      <c r="M510" s="4">
        <v>1018</v>
      </c>
      <c r="N510" s="3" t="s">
        <v>23</v>
      </c>
      <c r="O510" s="3" t="s">
        <v>24</v>
      </c>
    </row>
    <row r="511" spans="1:15" ht="22.05" customHeight="1" x14ac:dyDescent="0.4">
      <c r="A511" s="7">
        <v>475</v>
      </c>
      <c r="B511" s="8" t="s">
        <v>2408</v>
      </c>
      <c r="C511" s="6" t="str">
        <f>IFERROR(IF(LEFT(D511,FIND(" ",D511)-1)="전라북도","전북특별자치도",LEFT(D511,FIND(" ",D511)-1)),"")</f>
        <v>제주특별자치도</v>
      </c>
      <c r="D511" s="3" t="s">
        <v>2409</v>
      </c>
      <c r="E511" s="3" t="s">
        <v>2095</v>
      </c>
      <c r="F511" s="3" t="s">
        <v>2406</v>
      </c>
      <c r="G511" s="3" t="s">
        <v>19</v>
      </c>
      <c r="H511" s="3" t="s">
        <v>1440</v>
      </c>
      <c r="I511" s="3" t="s">
        <v>19</v>
      </c>
      <c r="J511" s="3" t="s">
        <v>19</v>
      </c>
      <c r="K511" s="3" t="s">
        <v>21</v>
      </c>
      <c r="L511" s="3" t="s">
        <v>147</v>
      </c>
      <c r="M511" s="4">
        <v>629</v>
      </c>
      <c r="N511" s="3" t="s">
        <v>19</v>
      </c>
      <c r="O511" s="3" t="s">
        <v>24</v>
      </c>
    </row>
    <row r="512" spans="1:15" hidden="1" x14ac:dyDescent="0.4">
      <c r="A512" s="7">
        <v>511</v>
      </c>
      <c r="B512" s="8" t="s">
        <v>2556</v>
      </c>
      <c r="C512" s="6" t="str">
        <f>IFERROR(IF(LEFT(D512,FIND(" ",D512)-1)="전라북도","전북특별자치도",LEFT(D512,FIND(" ",D512)-1)),"")</f>
        <v>강원특별자치도</v>
      </c>
      <c r="D512" s="3" t="s">
        <v>2557</v>
      </c>
      <c r="E512" s="3" t="s">
        <v>559</v>
      </c>
      <c r="F512" s="3" t="s">
        <v>2555</v>
      </c>
      <c r="G512" s="3" t="s">
        <v>19</v>
      </c>
      <c r="H512" s="3" t="s">
        <v>2559</v>
      </c>
      <c r="I512" s="3" t="s">
        <v>19</v>
      </c>
      <c r="J512" s="3" t="s">
        <v>19</v>
      </c>
      <c r="K512" s="3" t="s">
        <v>21</v>
      </c>
      <c r="L512" s="3" t="s">
        <v>22</v>
      </c>
      <c r="M512" s="4">
        <v>77</v>
      </c>
      <c r="N512" s="3" t="s">
        <v>211</v>
      </c>
      <c r="O512" s="3" t="s">
        <v>281</v>
      </c>
    </row>
    <row r="513" spans="1:15" hidden="1" x14ac:dyDescent="0.4">
      <c r="A513" s="7">
        <v>512</v>
      </c>
      <c r="B513" s="8" t="s">
        <v>2560</v>
      </c>
      <c r="C513" s="6" t="str">
        <f>IFERROR(IF(LEFT(D513,FIND(" ",D513)-1)="전라북도","전북특별자치도",LEFT(D513,FIND(" ",D513)-1)),"")</f>
        <v>대구광역시</v>
      </c>
      <c r="D513" s="3" t="s">
        <v>2561</v>
      </c>
      <c r="E513" s="3" t="s">
        <v>1293</v>
      </c>
      <c r="F513" s="3" t="s">
        <v>2562</v>
      </c>
      <c r="G513" s="3" t="s">
        <v>1095</v>
      </c>
      <c r="H513" s="3" t="s">
        <v>2564</v>
      </c>
      <c r="I513" s="3" t="s">
        <v>2564</v>
      </c>
      <c r="J513" s="3" t="s">
        <v>2565</v>
      </c>
      <c r="K513" s="3" t="s">
        <v>21</v>
      </c>
      <c r="L513" s="3" t="s">
        <v>22</v>
      </c>
      <c r="M513" s="4">
        <v>511</v>
      </c>
      <c r="N513" s="3" t="s">
        <v>1498</v>
      </c>
      <c r="O513" s="3" t="s">
        <v>281</v>
      </c>
    </row>
    <row r="514" spans="1:15" hidden="1" x14ac:dyDescent="0.4">
      <c r="A514" s="7">
        <v>513</v>
      </c>
      <c r="B514" s="8" t="s">
        <v>2566</v>
      </c>
      <c r="C514" s="6" t="str">
        <f>IFERROR(IF(LEFT(D514,FIND(" ",D514)-1)="전라북도","전북특별자치도",LEFT(D514,FIND(" ",D514)-1)),"")</f>
        <v>경기도</v>
      </c>
      <c r="D514" s="3" t="s">
        <v>2567</v>
      </c>
      <c r="E514" s="3" t="s">
        <v>1144</v>
      </c>
      <c r="F514" s="3" t="s">
        <v>2229</v>
      </c>
      <c r="G514" s="3" t="s">
        <v>2402</v>
      </c>
      <c r="H514" s="3" t="s">
        <v>953</v>
      </c>
      <c r="I514" s="3" t="s">
        <v>953</v>
      </c>
      <c r="J514" s="3" t="s">
        <v>19</v>
      </c>
      <c r="K514" s="3" t="s">
        <v>21</v>
      </c>
      <c r="L514" s="3" t="s">
        <v>22</v>
      </c>
      <c r="M514" s="4">
        <v>1089</v>
      </c>
      <c r="N514" s="3" t="s">
        <v>1498</v>
      </c>
      <c r="O514" s="3" t="s">
        <v>281</v>
      </c>
    </row>
    <row r="515" spans="1:15" hidden="1" x14ac:dyDescent="0.4">
      <c r="A515" s="7">
        <v>514</v>
      </c>
      <c r="B515" s="8" t="s">
        <v>2568</v>
      </c>
      <c r="C515" s="6" t="str">
        <f>IFERROR(IF(LEFT(D515,FIND(" ",D515)-1)="전라북도","전북특별자치도",LEFT(D515,FIND(" ",D515)-1)),"")</f>
        <v>부산광역시</v>
      </c>
      <c r="D515" s="3" t="s">
        <v>2569</v>
      </c>
      <c r="E515" s="3" t="s">
        <v>1188</v>
      </c>
      <c r="F515" s="3" t="s">
        <v>2229</v>
      </c>
      <c r="G515" s="3" t="s">
        <v>2290</v>
      </c>
      <c r="H515" s="3" t="s">
        <v>2291</v>
      </c>
      <c r="I515" s="3" t="s">
        <v>2291</v>
      </c>
      <c r="J515" s="3" t="s">
        <v>19</v>
      </c>
      <c r="K515" s="3" t="s">
        <v>21</v>
      </c>
      <c r="L515" s="3" t="s">
        <v>228</v>
      </c>
      <c r="M515" s="4">
        <v>2054</v>
      </c>
      <c r="N515" s="3" t="s">
        <v>1498</v>
      </c>
      <c r="O515" s="3" t="s">
        <v>281</v>
      </c>
    </row>
    <row r="516" spans="1:15" hidden="1" x14ac:dyDescent="0.4">
      <c r="A516" s="7">
        <v>515</v>
      </c>
      <c r="B516" s="8" t="s">
        <v>2570</v>
      </c>
      <c r="C516" s="6" t="str">
        <f>IFERROR(IF(LEFT(D516,FIND(" ",D516)-1)="전라북도","전북특별자치도",LEFT(D516,FIND(" ",D516)-1)),"")</f>
        <v>강원특별자치도</v>
      </c>
      <c r="D516" s="3" t="s">
        <v>1323</v>
      </c>
      <c r="E516" s="3" t="s">
        <v>2434</v>
      </c>
      <c r="F516" s="3" t="s">
        <v>2229</v>
      </c>
      <c r="G516" s="3" t="s">
        <v>1160</v>
      </c>
      <c r="H516" s="3" t="s">
        <v>2572</v>
      </c>
      <c r="I516" s="3" t="s">
        <v>2573</v>
      </c>
      <c r="J516" s="3" t="s">
        <v>1160</v>
      </c>
      <c r="K516" s="3" t="s">
        <v>21</v>
      </c>
      <c r="L516" s="3" t="s">
        <v>22</v>
      </c>
      <c r="M516" s="4">
        <v>981</v>
      </c>
      <c r="N516" s="3" t="s">
        <v>1498</v>
      </c>
      <c r="O516" s="3" t="s">
        <v>281</v>
      </c>
    </row>
    <row r="517" spans="1:15" hidden="1" x14ac:dyDescent="0.4">
      <c r="A517" s="7">
        <v>516</v>
      </c>
      <c r="B517" s="8" t="s">
        <v>2574</v>
      </c>
      <c r="C517" s="6" t="str">
        <f>IFERROR(IF(LEFT(D517,FIND(" ",D517)-1)="전라북도","전북특별자치도",LEFT(D517,FIND(" ",D517)-1)),"")</f>
        <v>충청북도</v>
      </c>
      <c r="D517" s="3" t="s">
        <v>1351</v>
      </c>
      <c r="E517" s="3" t="s">
        <v>2575</v>
      </c>
      <c r="F517" s="3" t="s">
        <v>2576</v>
      </c>
      <c r="G517" s="3" t="s">
        <v>2577</v>
      </c>
      <c r="H517" s="3" t="s">
        <v>19</v>
      </c>
      <c r="I517" s="3" t="s">
        <v>19</v>
      </c>
      <c r="J517" s="3" t="s">
        <v>1353</v>
      </c>
      <c r="K517" s="3" t="s">
        <v>2578</v>
      </c>
      <c r="L517" s="3" t="s">
        <v>22</v>
      </c>
      <c r="M517" s="4">
        <v>2942</v>
      </c>
      <c r="N517" s="3" t="s">
        <v>1498</v>
      </c>
      <c r="O517" s="3" t="s">
        <v>281</v>
      </c>
    </row>
    <row r="518" spans="1:15" hidden="1" x14ac:dyDescent="0.4">
      <c r="A518" s="7">
        <v>517</v>
      </c>
      <c r="B518" s="8" t="s">
        <v>2579</v>
      </c>
      <c r="C518" s="6" t="str">
        <f>IFERROR(IF(LEFT(D518,FIND(" ",D518)-1)="전라북도","전북특별자치도",LEFT(D518,FIND(" ",D518)-1)),"")</f>
        <v>경상북도</v>
      </c>
      <c r="D518" s="3" t="s">
        <v>2580</v>
      </c>
      <c r="E518" s="3" t="s">
        <v>1293</v>
      </c>
      <c r="F518" s="3" t="s">
        <v>2576</v>
      </c>
      <c r="G518" s="3" t="s">
        <v>2582</v>
      </c>
      <c r="H518" s="3" t="s">
        <v>2583</v>
      </c>
      <c r="I518" s="3" t="s">
        <v>19</v>
      </c>
      <c r="J518" s="3" t="s">
        <v>2584</v>
      </c>
      <c r="K518" s="3" t="s">
        <v>21</v>
      </c>
      <c r="L518" s="3" t="s">
        <v>22</v>
      </c>
      <c r="M518" s="4">
        <v>1407</v>
      </c>
      <c r="N518" s="3" t="s">
        <v>1498</v>
      </c>
      <c r="O518" s="3" t="s">
        <v>281</v>
      </c>
    </row>
    <row r="519" spans="1:15" ht="22.05" customHeight="1" x14ac:dyDescent="0.4">
      <c r="A519" s="7">
        <v>628</v>
      </c>
      <c r="B519" s="8" t="s">
        <v>3022</v>
      </c>
      <c r="C519" s="6" t="str">
        <f>IFERROR(IF(LEFT(D519,FIND(" ",D519)-1)="전라북도","전북특별자치도",LEFT(D519,FIND(" ",D519)-1)),"")</f>
        <v>제주특별자치도</v>
      </c>
      <c r="D519" s="3" t="s">
        <v>3023</v>
      </c>
      <c r="E519" s="3" t="s">
        <v>3024</v>
      </c>
      <c r="F519" s="3" t="s">
        <v>3015</v>
      </c>
      <c r="G519" s="3" t="s">
        <v>19</v>
      </c>
      <c r="H519" s="3" t="s">
        <v>2219</v>
      </c>
      <c r="I519" s="3" t="s">
        <v>19</v>
      </c>
      <c r="J519" s="3" t="s">
        <v>19</v>
      </c>
      <c r="K519" s="3" t="s">
        <v>21</v>
      </c>
      <c r="L519" s="3" t="s">
        <v>22</v>
      </c>
      <c r="M519" s="4">
        <v>449</v>
      </c>
      <c r="N519" s="3" t="s">
        <v>1498</v>
      </c>
      <c r="O519" s="3" t="s">
        <v>24</v>
      </c>
    </row>
    <row r="520" spans="1:15" hidden="1" x14ac:dyDescent="0.4">
      <c r="A520" s="7">
        <v>519</v>
      </c>
      <c r="B520" s="8" t="s">
        <v>2590</v>
      </c>
      <c r="C520" s="6" t="str">
        <f>IFERROR(IF(LEFT(D520,FIND(" ",D520)-1)="전라북도","전북특별자치도",LEFT(D520,FIND(" ",D520)-1)),"")</f>
        <v>부산광역시</v>
      </c>
      <c r="D520" s="3" t="s">
        <v>2591</v>
      </c>
      <c r="E520" s="3" t="s">
        <v>2592</v>
      </c>
      <c r="F520" s="3" t="s">
        <v>2593</v>
      </c>
      <c r="G520" s="3" t="s">
        <v>19</v>
      </c>
      <c r="H520" s="3" t="s">
        <v>2594</v>
      </c>
      <c r="I520" s="3" t="s">
        <v>2594</v>
      </c>
      <c r="J520" s="3" t="s">
        <v>19</v>
      </c>
      <c r="K520" s="3" t="s">
        <v>21</v>
      </c>
      <c r="L520" s="3" t="s">
        <v>228</v>
      </c>
      <c r="M520" s="4">
        <v>786</v>
      </c>
      <c r="N520" s="3" t="s">
        <v>1498</v>
      </c>
      <c r="O520" s="3" t="s">
        <v>281</v>
      </c>
    </row>
    <row r="521" spans="1:15" hidden="1" x14ac:dyDescent="0.4">
      <c r="A521" s="7">
        <v>520</v>
      </c>
      <c r="B521" s="8" t="s">
        <v>2595</v>
      </c>
      <c r="C521" s="6" t="str">
        <f>IFERROR(IF(LEFT(D521,FIND(" ",D521)-1)="전라북도","전북특별자치도",LEFT(D521,FIND(" ",D521)-1)),"")</f>
        <v>충청남도</v>
      </c>
      <c r="D521" s="3" t="s">
        <v>2596</v>
      </c>
      <c r="E521" s="3" t="s">
        <v>2597</v>
      </c>
      <c r="F521" s="3" t="s">
        <v>192</v>
      </c>
      <c r="G521" s="3" t="s">
        <v>2598</v>
      </c>
      <c r="H521" s="3" t="s">
        <v>1734</v>
      </c>
      <c r="I521" s="3" t="s">
        <v>19</v>
      </c>
      <c r="J521" s="3" t="s">
        <v>2598</v>
      </c>
      <c r="K521" s="3" t="s">
        <v>21</v>
      </c>
      <c r="L521" s="3" t="s">
        <v>147</v>
      </c>
      <c r="M521" s="4">
        <v>346</v>
      </c>
      <c r="N521" s="3" t="s">
        <v>2155</v>
      </c>
      <c r="O521" s="3" t="s">
        <v>281</v>
      </c>
    </row>
    <row r="522" spans="1:15" hidden="1" x14ac:dyDescent="0.4">
      <c r="A522" s="7">
        <v>521</v>
      </c>
      <c r="B522" s="8" t="s">
        <v>2599</v>
      </c>
      <c r="C522" s="6" t="str">
        <f>IFERROR(IF(LEFT(D522,FIND(" ",D522)-1)="전라북도","전북특별자치도",LEFT(D522,FIND(" ",D522)-1)),"")</f>
        <v>인천광역시</v>
      </c>
      <c r="D522" s="3" t="s">
        <v>2600</v>
      </c>
      <c r="E522" s="3" t="s">
        <v>1639</v>
      </c>
      <c r="F522" s="3" t="s">
        <v>2601</v>
      </c>
      <c r="G522" s="3" t="s">
        <v>2602</v>
      </c>
      <c r="H522" s="3" t="s">
        <v>2603</v>
      </c>
      <c r="I522" s="3" t="s">
        <v>2603</v>
      </c>
      <c r="J522" s="3" t="s">
        <v>19</v>
      </c>
      <c r="K522" s="3" t="s">
        <v>21</v>
      </c>
      <c r="L522" s="3" t="s">
        <v>228</v>
      </c>
      <c r="M522" s="4">
        <v>1272</v>
      </c>
      <c r="N522" s="3" t="s">
        <v>2604</v>
      </c>
      <c r="O522" s="3" t="s">
        <v>281</v>
      </c>
    </row>
    <row r="523" spans="1:15" hidden="1" x14ac:dyDescent="0.4">
      <c r="A523" s="7">
        <v>522</v>
      </c>
      <c r="B523" s="8" t="s">
        <v>2605</v>
      </c>
      <c r="C523" s="6" t="str">
        <f>IFERROR(IF(LEFT(D523,FIND(" ",D523)-1)="전라북도","전북특별자치도",LEFT(D523,FIND(" ",D523)-1)),"")</f>
        <v>충청남도</v>
      </c>
      <c r="D523" s="3" t="s">
        <v>2606</v>
      </c>
      <c r="E523" s="3" t="s">
        <v>2529</v>
      </c>
      <c r="F523" s="3" t="s">
        <v>2601</v>
      </c>
      <c r="G523" s="3" t="s">
        <v>2607</v>
      </c>
      <c r="H523" s="3" t="s">
        <v>2179</v>
      </c>
      <c r="I523" s="3" t="s">
        <v>2608</v>
      </c>
      <c r="J523" s="3" t="s">
        <v>19</v>
      </c>
      <c r="K523" s="3" t="s">
        <v>21</v>
      </c>
      <c r="L523" s="3" t="s">
        <v>147</v>
      </c>
      <c r="M523" s="4">
        <v>904</v>
      </c>
      <c r="N523" s="3" t="s">
        <v>123</v>
      </c>
      <c r="O523" s="3" t="s">
        <v>281</v>
      </c>
    </row>
    <row r="524" spans="1:15" hidden="1" x14ac:dyDescent="0.4">
      <c r="A524" s="7">
        <v>523</v>
      </c>
      <c r="B524" s="8" t="s">
        <v>2609</v>
      </c>
      <c r="C524" s="6" t="str">
        <f>IFERROR(IF(LEFT(D524,FIND(" ",D524)-1)="전라북도","전북특별자치도",LEFT(D524,FIND(" ",D524)-1)),"")</f>
        <v>충청북도</v>
      </c>
      <c r="D524" s="3" t="s">
        <v>2610</v>
      </c>
      <c r="E524" s="3" t="s">
        <v>684</v>
      </c>
      <c r="F524" s="3" t="s">
        <v>2114</v>
      </c>
      <c r="G524" s="3" t="s">
        <v>2612</v>
      </c>
      <c r="H524" s="3" t="s">
        <v>686</v>
      </c>
      <c r="I524" s="3" t="s">
        <v>686</v>
      </c>
      <c r="J524" s="3" t="s">
        <v>19</v>
      </c>
      <c r="K524" s="3" t="s">
        <v>21</v>
      </c>
      <c r="L524" s="3" t="s">
        <v>22</v>
      </c>
      <c r="M524" s="4">
        <v>594</v>
      </c>
      <c r="N524" s="3" t="s">
        <v>1498</v>
      </c>
      <c r="O524" s="3" t="s">
        <v>281</v>
      </c>
    </row>
    <row r="525" spans="1:15" hidden="1" x14ac:dyDescent="0.4">
      <c r="A525" s="7">
        <v>524</v>
      </c>
      <c r="B525" s="8" t="s">
        <v>2613</v>
      </c>
      <c r="C525" s="6" t="str">
        <f>IFERROR(IF(LEFT(D525,FIND(" ",D525)-1)="전라북도","전북특별자치도",LEFT(D525,FIND(" ",D525)-1)),"")</f>
        <v>경상남도</v>
      </c>
      <c r="D525" s="3" t="s">
        <v>2614</v>
      </c>
      <c r="E525" s="3" t="s">
        <v>2615</v>
      </c>
      <c r="F525" s="3" t="s">
        <v>2198</v>
      </c>
      <c r="G525" s="3" t="s">
        <v>2290</v>
      </c>
      <c r="H525" s="3" t="s">
        <v>2291</v>
      </c>
      <c r="I525" s="3" t="s">
        <v>19</v>
      </c>
      <c r="J525" s="3" t="s">
        <v>2616</v>
      </c>
      <c r="K525" s="3" t="s">
        <v>21</v>
      </c>
      <c r="L525" s="3" t="s">
        <v>228</v>
      </c>
      <c r="M525" s="4">
        <v>1182</v>
      </c>
      <c r="N525" s="3" t="s">
        <v>1498</v>
      </c>
      <c r="O525" s="3" t="s">
        <v>281</v>
      </c>
    </row>
    <row r="526" spans="1:15" hidden="1" x14ac:dyDescent="0.4">
      <c r="A526" s="7">
        <v>525</v>
      </c>
      <c r="B526" s="8" t="s">
        <v>2617</v>
      </c>
      <c r="C526" s="6" t="str">
        <f>IFERROR(IF(LEFT(D526,FIND(" ",D526)-1)="전라북도","전북특별자치도",LEFT(D526,FIND(" ",D526)-1)),"")</f>
        <v>경상남도</v>
      </c>
      <c r="D526" s="3" t="s">
        <v>2618</v>
      </c>
      <c r="E526" s="3" t="s">
        <v>2615</v>
      </c>
      <c r="F526" s="3" t="s">
        <v>2198</v>
      </c>
      <c r="G526" s="3" t="s">
        <v>2290</v>
      </c>
      <c r="H526" s="3" t="s">
        <v>2291</v>
      </c>
      <c r="I526" s="3" t="s">
        <v>19</v>
      </c>
      <c r="J526" s="3" t="s">
        <v>2616</v>
      </c>
      <c r="K526" s="3" t="s">
        <v>21</v>
      </c>
      <c r="L526" s="3" t="s">
        <v>228</v>
      </c>
      <c r="M526" s="4">
        <v>1692</v>
      </c>
      <c r="N526" s="3" t="s">
        <v>1498</v>
      </c>
      <c r="O526" s="3" t="s">
        <v>281</v>
      </c>
    </row>
    <row r="527" spans="1:15" hidden="1" x14ac:dyDescent="0.4">
      <c r="A527" s="7">
        <v>526</v>
      </c>
      <c r="B527" s="8" t="s">
        <v>2619</v>
      </c>
      <c r="C527" s="6" t="str">
        <f>IFERROR(IF(LEFT(D527,FIND(" ",D527)-1)="전라북도","전북특별자치도",LEFT(D527,FIND(" ",D527)-1)),"")</f>
        <v>충청남도</v>
      </c>
      <c r="D527" s="3" t="s">
        <v>2620</v>
      </c>
      <c r="E527" s="3" t="s">
        <v>2325</v>
      </c>
      <c r="F527" s="3" t="s">
        <v>2597</v>
      </c>
      <c r="G527" s="3" t="s">
        <v>1665</v>
      </c>
      <c r="H527" s="3" t="s">
        <v>157</v>
      </c>
      <c r="I527" s="3" t="s">
        <v>19</v>
      </c>
      <c r="J527" s="3" t="s">
        <v>19</v>
      </c>
      <c r="K527" s="3" t="s">
        <v>21</v>
      </c>
      <c r="L527" s="3" t="s">
        <v>22</v>
      </c>
      <c r="M527" s="4">
        <v>593</v>
      </c>
      <c r="N527" s="3" t="s">
        <v>2155</v>
      </c>
      <c r="O527" s="3" t="s">
        <v>281</v>
      </c>
    </row>
    <row r="528" spans="1:15" hidden="1" x14ac:dyDescent="0.4">
      <c r="A528" s="7">
        <v>527</v>
      </c>
      <c r="B528" s="8" t="s">
        <v>2621</v>
      </c>
      <c r="C528" s="6" t="str">
        <f>IFERROR(IF(LEFT(D528,FIND(" ",D528)-1)="전라북도","전북특별자치도",LEFT(D528,FIND(" ",D528)-1)),"")</f>
        <v>경상북도</v>
      </c>
      <c r="D528" s="3" t="s">
        <v>2622</v>
      </c>
      <c r="E528" s="3" t="s">
        <v>2513</v>
      </c>
      <c r="F528" s="3" t="s">
        <v>1825</v>
      </c>
      <c r="G528" s="3" t="s">
        <v>19</v>
      </c>
      <c r="H528" s="3" t="s">
        <v>2624</v>
      </c>
      <c r="I528" s="3" t="s">
        <v>2624</v>
      </c>
      <c r="J528" s="3" t="s">
        <v>19</v>
      </c>
      <c r="K528" s="3" t="s">
        <v>21</v>
      </c>
      <c r="L528" s="3" t="s">
        <v>147</v>
      </c>
      <c r="M528" s="4">
        <v>1542</v>
      </c>
      <c r="N528" s="3" t="s">
        <v>1498</v>
      </c>
      <c r="O528" s="3" t="s">
        <v>281</v>
      </c>
    </row>
    <row r="529" spans="1:15" hidden="1" x14ac:dyDescent="0.4">
      <c r="A529" s="7">
        <v>528</v>
      </c>
      <c r="B529" s="8" t="s">
        <v>2625</v>
      </c>
      <c r="C529" s="6" t="str">
        <f>IFERROR(IF(LEFT(D529,FIND(" ",D529)-1)="전라북도","전북특별자치도",LEFT(D529,FIND(" ",D529)-1)),"")</f>
        <v>전라남도</v>
      </c>
      <c r="D529" s="3" t="s">
        <v>2626</v>
      </c>
      <c r="E529" s="3" t="s">
        <v>1293</v>
      </c>
      <c r="F529" s="3" t="s">
        <v>2592</v>
      </c>
      <c r="G529" s="3" t="s">
        <v>2627</v>
      </c>
      <c r="H529" s="3" t="s">
        <v>2628</v>
      </c>
      <c r="I529" s="3" t="s">
        <v>2628</v>
      </c>
      <c r="J529" s="3" t="s">
        <v>19</v>
      </c>
      <c r="K529" s="3" t="s">
        <v>21</v>
      </c>
      <c r="L529" s="3" t="s">
        <v>147</v>
      </c>
      <c r="M529" s="4">
        <v>1137</v>
      </c>
      <c r="N529" s="3" t="s">
        <v>19</v>
      </c>
      <c r="O529" s="3" t="s">
        <v>281</v>
      </c>
    </row>
    <row r="530" spans="1:15" hidden="1" x14ac:dyDescent="0.4">
      <c r="A530" s="7">
        <v>529</v>
      </c>
      <c r="B530" s="8" t="s">
        <v>2629</v>
      </c>
      <c r="C530" s="6" t="str">
        <f>IFERROR(IF(LEFT(D530,FIND(" ",D530)-1)="전라북도","전북특별자치도",LEFT(D530,FIND(" ",D530)-1)),"")</f>
        <v>전라남도</v>
      </c>
      <c r="D530" s="3" t="s">
        <v>2630</v>
      </c>
      <c r="E530" s="3" t="s">
        <v>1188</v>
      </c>
      <c r="F530" s="3" t="s">
        <v>2592</v>
      </c>
      <c r="G530" s="3" t="s">
        <v>2632</v>
      </c>
      <c r="H530" s="3" t="s">
        <v>19</v>
      </c>
      <c r="I530" s="3" t="s">
        <v>19</v>
      </c>
      <c r="J530" s="3" t="s">
        <v>19</v>
      </c>
      <c r="K530" s="3" t="s">
        <v>21</v>
      </c>
      <c r="L530" s="3" t="s">
        <v>147</v>
      </c>
      <c r="M530" s="4">
        <v>593</v>
      </c>
      <c r="N530" s="3" t="s">
        <v>1498</v>
      </c>
      <c r="O530" s="3" t="s">
        <v>281</v>
      </c>
    </row>
    <row r="531" spans="1:15" hidden="1" x14ac:dyDescent="0.4">
      <c r="A531" s="7">
        <v>530</v>
      </c>
      <c r="B531" s="8" t="s">
        <v>2633</v>
      </c>
      <c r="C531" s="6" t="str">
        <f>IFERROR(IF(LEFT(D531,FIND(" ",D531)-1)="전라북도","전북특별자치도",LEFT(D531,FIND(" ",D531)-1)),"")</f>
        <v>경기도</v>
      </c>
      <c r="D531" s="3" t="s">
        <v>2634</v>
      </c>
      <c r="E531" s="3" t="s">
        <v>2635</v>
      </c>
      <c r="F531" s="3" t="s">
        <v>2636</v>
      </c>
      <c r="G531" s="3" t="s">
        <v>2637</v>
      </c>
      <c r="H531" s="3" t="s">
        <v>2638</v>
      </c>
      <c r="I531" s="3" t="s">
        <v>2638</v>
      </c>
      <c r="J531" s="3" t="s">
        <v>19</v>
      </c>
      <c r="K531" s="3" t="s">
        <v>21</v>
      </c>
      <c r="L531" s="3" t="s">
        <v>22</v>
      </c>
      <c r="M531" s="4">
        <v>951</v>
      </c>
      <c r="N531" s="3" t="s">
        <v>1498</v>
      </c>
      <c r="O531" s="3" t="s">
        <v>281</v>
      </c>
    </row>
    <row r="532" spans="1:15" hidden="1" x14ac:dyDescent="0.4">
      <c r="A532" s="7">
        <v>531</v>
      </c>
      <c r="B532" s="8" t="s">
        <v>2639</v>
      </c>
      <c r="C532" s="6" t="str">
        <f>IFERROR(IF(LEFT(D532,FIND(" ",D532)-1)="전라북도","전북특별자치도",LEFT(D532,FIND(" ",D532)-1)),"")</f>
        <v>전북특별자치도</v>
      </c>
      <c r="D532" s="3" t="s">
        <v>2640</v>
      </c>
      <c r="E532" s="3" t="s">
        <v>466</v>
      </c>
      <c r="F532" s="3" t="s">
        <v>2641</v>
      </c>
      <c r="G532" s="3" t="s">
        <v>2642</v>
      </c>
      <c r="H532" s="3" t="s">
        <v>2643</v>
      </c>
      <c r="I532" s="3" t="s">
        <v>2061</v>
      </c>
      <c r="J532" s="3" t="s">
        <v>19</v>
      </c>
      <c r="K532" s="3" t="s">
        <v>21</v>
      </c>
      <c r="L532" s="3" t="s">
        <v>147</v>
      </c>
      <c r="M532" s="4">
        <v>3988</v>
      </c>
      <c r="N532" s="3" t="s">
        <v>19</v>
      </c>
      <c r="O532" s="3" t="s">
        <v>281</v>
      </c>
    </row>
    <row r="533" spans="1:15" hidden="1" x14ac:dyDescent="0.4">
      <c r="A533" s="7">
        <v>532</v>
      </c>
      <c r="B533" s="8" t="s">
        <v>2644</v>
      </c>
      <c r="C533" s="6" t="str">
        <f>IFERROR(IF(LEFT(D533,FIND(" ",D533)-1)="전라북도","전북특별자치도",LEFT(D533,FIND(" ",D533)-1)),"")</f>
        <v>강원특별자치도</v>
      </c>
      <c r="D533" s="3" t="s">
        <v>2645</v>
      </c>
      <c r="E533" s="3" t="s">
        <v>2646</v>
      </c>
      <c r="F533" s="3" t="s">
        <v>2641</v>
      </c>
      <c r="G533" s="3" t="s">
        <v>2141</v>
      </c>
      <c r="H533" s="3" t="s">
        <v>19</v>
      </c>
      <c r="I533" s="3" t="s">
        <v>19</v>
      </c>
      <c r="J533" s="3" t="s">
        <v>19</v>
      </c>
      <c r="K533" s="3" t="s">
        <v>21</v>
      </c>
      <c r="L533" s="3" t="s">
        <v>22</v>
      </c>
      <c r="M533" s="4">
        <v>252</v>
      </c>
      <c r="N533" s="3" t="s">
        <v>1498</v>
      </c>
      <c r="O533" s="3" t="s">
        <v>281</v>
      </c>
    </row>
    <row r="534" spans="1:15" hidden="1" x14ac:dyDescent="0.4">
      <c r="A534" s="7">
        <v>533</v>
      </c>
      <c r="B534" s="8" t="s">
        <v>2647</v>
      </c>
      <c r="C534" s="6" t="str">
        <f>IFERROR(IF(LEFT(D534,FIND(" ",D534)-1)="전라북도","전북특별자치도",LEFT(D534,FIND(" ",D534)-1)),"")</f>
        <v>경상북도</v>
      </c>
      <c r="D534" s="3" t="s">
        <v>2648</v>
      </c>
      <c r="E534" s="3" t="s">
        <v>2646</v>
      </c>
      <c r="F534" s="3" t="s">
        <v>2513</v>
      </c>
      <c r="G534" s="3" t="s">
        <v>19</v>
      </c>
      <c r="H534" s="3" t="s">
        <v>2650</v>
      </c>
      <c r="I534" s="3" t="s">
        <v>19</v>
      </c>
      <c r="J534" s="3" t="s">
        <v>19</v>
      </c>
      <c r="K534" s="3" t="s">
        <v>21</v>
      </c>
      <c r="L534" s="3" t="s">
        <v>147</v>
      </c>
      <c r="M534" s="4">
        <v>641</v>
      </c>
      <c r="N534" s="3" t="s">
        <v>84</v>
      </c>
      <c r="O534" s="3" t="s">
        <v>281</v>
      </c>
    </row>
    <row r="535" spans="1:15" hidden="1" x14ac:dyDescent="0.4">
      <c r="A535" s="7">
        <v>534</v>
      </c>
      <c r="B535" s="8" t="s">
        <v>2651</v>
      </c>
      <c r="C535" s="6" t="str">
        <f>IFERROR(IF(LEFT(D535,FIND(" ",D535)-1)="전라북도","전북특별자치도",LEFT(D535,FIND(" ",D535)-1)),"")</f>
        <v>전라남도</v>
      </c>
      <c r="D535" s="3" t="s">
        <v>2652</v>
      </c>
      <c r="E535" s="3" t="s">
        <v>614</v>
      </c>
      <c r="F535" s="3" t="s">
        <v>1169</v>
      </c>
      <c r="G535" s="3" t="s">
        <v>2653</v>
      </c>
      <c r="H535" s="3" t="s">
        <v>2654</v>
      </c>
      <c r="I535" s="3" t="s">
        <v>2654</v>
      </c>
      <c r="J535" s="3" t="s">
        <v>2655</v>
      </c>
      <c r="K535" s="3" t="s">
        <v>21</v>
      </c>
      <c r="L535" s="3" t="s">
        <v>22</v>
      </c>
      <c r="M535" s="4">
        <v>1839</v>
      </c>
      <c r="N535" s="3" t="s">
        <v>1498</v>
      </c>
      <c r="O535" s="3" t="s">
        <v>281</v>
      </c>
    </row>
    <row r="536" spans="1:15" hidden="1" x14ac:dyDescent="0.4">
      <c r="A536" s="7">
        <v>535</v>
      </c>
      <c r="B536" s="8" t="s">
        <v>2656</v>
      </c>
      <c r="C536" s="6" t="str">
        <f>IFERROR(IF(LEFT(D536,FIND(" ",D536)-1)="전라북도","전북특별자치도",LEFT(D536,FIND(" ",D536)-1)),"")</f>
        <v>충청남도</v>
      </c>
      <c r="D536" s="3" t="s">
        <v>2657</v>
      </c>
      <c r="E536" s="3" t="s">
        <v>2658</v>
      </c>
      <c r="F536" s="3" t="s">
        <v>2659</v>
      </c>
      <c r="G536" s="3" t="s">
        <v>2660</v>
      </c>
      <c r="H536" s="3" t="s">
        <v>19</v>
      </c>
      <c r="I536" s="3" t="s">
        <v>19</v>
      </c>
      <c r="J536" s="3" t="s">
        <v>19</v>
      </c>
      <c r="K536" s="3" t="s">
        <v>21</v>
      </c>
      <c r="L536" s="3" t="s">
        <v>147</v>
      </c>
      <c r="M536" s="4">
        <v>177</v>
      </c>
      <c r="N536" s="3" t="s">
        <v>84</v>
      </c>
      <c r="O536" s="3" t="s">
        <v>281</v>
      </c>
    </row>
    <row r="537" spans="1:15" hidden="1" x14ac:dyDescent="0.4">
      <c r="A537" s="7">
        <v>536</v>
      </c>
      <c r="B537" s="8" t="s">
        <v>2661</v>
      </c>
      <c r="C537" s="6" t="str">
        <f>IFERROR(IF(LEFT(D537,FIND(" ",D537)-1)="전라북도","전북특별자치도",LEFT(D537,FIND(" ",D537)-1)),"")</f>
        <v>전북특별자치도</v>
      </c>
      <c r="D537" s="3" t="s">
        <v>2662</v>
      </c>
      <c r="E537" s="3" t="s">
        <v>647</v>
      </c>
      <c r="F537" s="3" t="s">
        <v>2646</v>
      </c>
      <c r="G537" s="3" t="s">
        <v>2663</v>
      </c>
      <c r="H537" s="3" t="s">
        <v>2643</v>
      </c>
      <c r="I537" s="3" t="s">
        <v>1549</v>
      </c>
      <c r="J537" s="3" t="s">
        <v>19</v>
      </c>
      <c r="K537" s="3" t="s">
        <v>21</v>
      </c>
      <c r="L537" s="3" t="s">
        <v>22</v>
      </c>
      <c r="M537" s="4">
        <v>3438</v>
      </c>
      <c r="N537" s="3" t="s">
        <v>1498</v>
      </c>
      <c r="O537" s="3" t="s">
        <v>281</v>
      </c>
    </row>
    <row r="538" spans="1:15" ht="22.05" customHeight="1" x14ac:dyDescent="0.4">
      <c r="A538" s="7">
        <v>675</v>
      </c>
      <c r="B538" s="8" t="s">
        <v>3233</v>
      </c>
      <c r="C538" s="6" t="str">
        <f>IFERROR(IF(LEFT(D538,FIND(" ",D538)-1)="전라북도","전북특별자치도",LEFT(D538,FIND(" ",D538)-1)),"")</f>
        <v>제주특별자치도</v>
      </c>
      <c r="D538" s="3" t="s">
        <v>3234</v>
      </c>
      <c r="E538" s="3" t="s">
        <v>2768</v>
      </c>
      <c r="F538" s="3" t="s">
        <v>2829</v>
      </c>
      <c r="G538" s="3" t="s">
        <v>19</v>
      </c>
      <c r="H538" s="3" t="s">
        <v>3235</v>
      </c>
      <c r="I538" s="3" t="s">
        <v>19</v>
      </c>
      <c r="J538" s="3" t="s">
        <v>19</v>
      </c>
      <c r="K538" s="3" t="s">
        <v>21</v>
      </c>
      <c r="L538" s="3" t="s">
        <v>22</v>
      </c>
      <c r="M538" s="4">
        <v>2986</v>
      </c>
      <c r="N538" s="3" t="s">
        <v>1498</v>
      </c>
      <c r="O538" s="3" t="s">
        <v>24</v>
      </c>
    </row>
    <row r="539" spans="1:15" hidden="1" x14ac:dyDescent="0.4">
      <c r="A539" s="7">
        <v>538</v>
      </c>
      <c r="B539" s="8" t="s">
        <v>2668</v>
      </c>
      <c r="C539" s="6" t="str">
        <f>IFERROR(IF(LEFT(D539,FIND(" ",D539)-1)="전라북도","전북특별자치도",LEFT(D539,FIND(" ",D539)-1)),"")</f>
        <v>충청북도</v>
      </c>
      <c r="D539" s="3" t="s">
        <v>2669</v>
      </c>
      <c r="E539" s="3" t="s">
        <v>343</v>
      </c>
      <c r="F539" s="3" t="s">
        <v>2670</v>
      </c>
      <c r="G539" s="3" t="s">
        <v>2671</v>
      </c>
      <c r="H539" s="3" t="s">
        <v>2672</v>
      </c>
      <c r="I539" s="3" t="s">
        <v>2672</v>
      </c>
      <c r="J539" s="3" t="s">
        <v>2673</v>
      </c>
      <c r="K539" s="3" t="s">
        <v>21</v>
      </c>
      <c r="L539" s="3" t="s">
        <v>228</v>
      </c>
      <c r="M539" s="4">
        <v>495</v>
      </c>
      <c r="N539" s="3" t="s">
        <v>1498</v>
      </c>
      <c r="O539" s="3" t="s">
        <v>281</v>
      </c>
    </row>
    <row r="540" spans="1:15" hidden="1" x14ac:dyDescent="0.4">
      <c r="A540" s="7">
        <v>539</v>
      </c>
      <c r="B540" s="8" t="s">
        <v>2674</v>
      </c>
      <c r="C540" s="6" t="str">
        <f>IFERROR(IF(LEFT(D540,FIND(" ",D540)-1)="전라북도","전북특별자치도",LEFT(D540,FIND(" ",D540)-1)),"")</f>
        <v>부산광역시</v>
      </c>
      <c r="D540" s="3" t="s">
        <v>2675</v>
      </c>
      <c r="E540" s="3" t="s">
        <v>466</v>
      </c>
      <c r="F540" s="3" t="s">
        <v>1178</v>
      </c>
      <c r="G540" s="3" t="s">
        <v>2677</v>
      </c>
      <c r="H540" s="3" t="s">
        <v>2678</v>
      </c>
      <c r="I540" s="3" t="s">
        <v>2678</v>
      </c>
      <c r="J540" s="3" t="s">
        <v>2677</v>
      </c>
      <c r="K540" s="3" t="s">
        <v>21</v>
      </c>
      <c r="L540" s="3" t="s">
        <v>147</v>
      </c>
      <c r="M540" s="4">
        <v>639</v>
      </c>
      <c r="N540" s="3" t="s">
        <v>1498</v>
      </c>
      <c r="O540" s="3" t="s">
        <v>281</v>
      </c>
    </row>
    <row r="541" spans="1:15" hidden="1" x14ac:dyDescent="0.4">
      <c r="A541" s="7">
        <v>540</v>
      </c>
      <c r="B541" s="8" t="s">
        <v>2679</v>
      </c>
      <c r="C541" s="6" t="str">
        <f>IFERROR(IF(LEFT(D541,FIND(" ",D541)-1)="전라북도","전북특별자치도",LEFT(D541,FIND(" ",D541)-1)),"")</f>
        <v>부산광역시</v>
      </c>
      <c r="D541" s="3" t="s">
        <v>2680</v>
      </c>
      <c r="E541" s="3" t="s">
        <v>1192</v>
      </c>
      <c r="F541" s="3" t="s">
        <v>1178</v>
      </c>
      <c r="G541" s="3" t="s">
        <v>19</v>
      </c>
      <c r="H541" s="3" t="s">
        <v>2678</v>
      </c>
      <c r="I541" s="3" t="s">
        <v>19</v>
      </c>
      <c r="J541" s="3" t="s">
        <v>19</v>
      </c>
      <c r="K541" s="3" t="s">
        <v>21</v>
      </c>
      <c r="L541" s="3" t="s">
        <v>147</v>
      </c>
      <c r="M541" s="4">
        <v>1602</v>
      </c>
      <c r="N541" s="3" t="s">
        <v>19</v>
      </c>
      <c r="O541" s="3" t="s">
        <v>281</v>
      </c>
    </row>
    <row r="542" spans="1:15" hidden="1" x14ac:dyDescent="0.4">
      <c r="A542" s="7">
        <v>541</v>
      </c>
      <c r="B542" s="8" t="s">
        <v>2681</v>
      </c>
      <c r="C542" s="6" t="str">
        <f>IFERROR(IF(LEFT(D542,FIND(" ",D542)-1)="전라북도","전북특별자치도",LEFT(D542,FIND(" ",D542)-1)),"")</f>
        <v>경상남도</v>
      </c>
      <c r="D542" s="3" t="s">
        <v>2682</v>
      </c>
      <c r="E542" s="3" t="s">
        <v>2683</v>
      </c>
      <c r="F542" s="3" t="s">
        <v>1178</v>
      </c>
      <c r="G542" s="3" t="s">
        <v>2685</v>
      </c>
      <c r="H542" s="3" t="s">
        <v>1025</v>
      </c>
      <c r="I542" s="3" t="s">
        <v>1025</v>
      </c>
      <c r="J542" s="3" t="s">
        <v>19</v>
      </c>
      <c r="K542" s="3" t="s">
        <v>21</v>
      </c>
      <c r="L542" s="3" t="s">
        <v>22</v>
      </c>
      <c r="M542" s="4">
        <v>1648</v>
      </c>
      <c r="N542" s="3" t="s">
        <v>1498</v>
      </c>
      <c r="O542" s="3" t="s">
        <v>281</v>
      </c>
    </row>
    <row r="543" spans="1:15" ht="22.05" customHeight="1" x14ac:dyDescent="0.4">
      <c r="A543" s="7">
        <v>1</v>
      </c>
      <c r="B543" s="8" t="s">
        <v>15</v>
      </c>
      <c r="C543" s="6" t="str">
        <f>IFERROR(IF(LEFT(D543,FIND(" ",D543)-1)="전라북도","전북특별자치도",LEFT(D543,FIND(" ",D543)-1)),"")</f>
        <v>충청남도</v>
      </c>
      <c r="D543" s="3" t="s">
        <v>16</v>
      </c>
      <c r="E543" s="3" t="s">
        <v>17</v>
      </c>
      <c r="F543" s="3" t="s">
        <v>18</v>
      </c>
      <c r="G543" s="3" t="s">
        <v>19</v>
      </c>
      <c r="H543" s="3" t="s">
        <v>20</v>
      </c>
      <c r="I543" s="3" t="s">
        <v>19</v>
      </c>
      <c r="J543" s="3" t="s">
        <v>19</v>
      </c>
      <c r="K543" s="3" t="s">
        <v>21</v>
      </c>
      <c r="L543" s="3" t="s">
        <v>22</v>
      </c>
      <c r="M543" s="4">
        <v>1811</v>
      </c>
      <c r="N543" s="3" t="s">
        <v>23</v>
      </c>
      <c r="O543" s="3" t="s">
        <v>24</v>
      </c>
    </row>
    <row r="544" spans="1:15" hidden="1" x14ac:dyDescent="0.4">
      <c r="A544" s="7">
        <v>543</v>
      </c>
      <c r="B544" s="8" t="s">
        <v>2689</v>
      </c>
      <c r="C544" s="6" t="str">
        <f>IFERROR(IF(LEFT(D544,FIND(" ",D544)-1)="전라북도","전북특별자치도",LEFT(D544,FIND(" ",D544)-1)),"")</f>
        <v>충청남도</v>
      </c>
      <c r="D544" s="3" t="s">
        <v>1848</v>
      </c>
      <c r="E544" s="3" t="s">
        <v>1587</v>
      </c>
      <c r="F544" s="3" t="s">
        <v>2476</v>
      </c>
      <c r="G544" s="3" t="s">
        <v>2691</v>
      </c>
      <c r="H544" s="3" t="s">
        <v>157</v>
      </c>
      <c r="I544" s="3" t="s">
        <v>19</v>
      </c>
      <c r="J544" s="3" t="s">
        <v>19</v>
      </c>
      <c r="K544" s="3" t="s">
        <v>21</v>
      </c>
      <c r="L544" s="3" t="s">
        <v>22</v>
      </c>
      <c r="M544" s="4">
        <v>669</v>
      </c>
      <c r="N544" s="3" t="s">
        <v>84</v>
      </c>
      <c r="O544" s="3" t="s">
        <v>281</v>
      </c>
    </row>
    <row r="545" spans="1:15" hidden="1" x14ac:dyDescent="0.4">
      <c r="A545" s="7">
        <v>544</v>
      </c>
      <c r="B545" s="8" t="s">
        <v>2692</v>
      </c>
      <c r="C545" s="6" t="str">
        <f>IFERROR(IF(LEFT(D545,FIND(" ",D545)-1)="전라북도","전북특별자치도",LEFT(D545,FIND(" ",D545)-1)),"")</f>
        <v>경상북도</v>
      </c>
      <c r="D545" s="3" t="s">
        <v>2693</v>
      </c>
      <c r="E545" s="3" t="s">
        <v>2575</v>
      </c>
      <c r="F545" s="3" t="s">
        <v>2476</v>
      </c>
      <c r="G545" s="3" t="s">
        <v>894</v>
      </c>
      <c r="H545" s="3" t="s">
        <v>896</v>
      </c>
      <c r="I545" s="3" t="s">
        <v>896</v>
      </c>
      <c r="J545" s="3" t="s">
        <v>19</v>
      </c>
      <c r="K545" s="3" t="s">
        <v>21</v>
      </c>
      <c r="L545" s="3" t="s">
        <v>22</v>
      </c>
      <c r="M545" s="4">
        <v>2738</v>
      </c>
      <c r="N545" s="3" t="s">
        <v>1498</v>
      </c>
      <c r="O545" s="3" t="s">
        <v>281</v>
      </c>
    </row>
    <row r="546" spans="1:15" hidden="1" x14ac:dyDescent="0.4">
      <c r="A546" s="7">
        <v>545</v>
      </c>
      <c r="B546" s="8" t="s">
        <v>2694</v>
      </c>
      <c r="C546" s="6" t="str">
        <f>IFERROR(IF(LEFT(D546,FIND(" ",D546)-1)="전라북도","전북특별자치도",LEFT(D546,FIND(" ",D546)-1)),"")</f>
        <v>경기도</v>
      </c>
      <c r="D546" s="3" t="s">
        <v>2695</v>
      </c>
      <c r="E546" s="3" t="s">
        <v>2696</v>
      </c>
      <c r="F546" s="3" t="s">
        <v>2434</v>
      </c>
      <c r="G546" s="3" t="s">
        <v>19</v>
      </c>
      <c r="H546" s="3" t="s">
        <v>1155</v>
      </c>
      <c r="I546" s="3" t="s">
        <v>19</v>
      </c>
      <c r="J546" s="3" t="s">
        <v>19</v>
      </c>
      <c r="K546" s="3" t="s">
        <v>21</v>
      </c>
      <c r="L546" s="3" t="s">
        <v>147</v>
      </c>
      <c r="M546" s="4">
        <v>918</v>
      </c>
      <c r="N546" s="3" t="s">
        <v>211</v>
      </c>
      <c r="O546" s="3" t="s">
        <v>281</v>
      </c>
    </row>
    <row r="547" spans="1:15" hidden="1" x14ac:dyDescent="0.4">
      <c r="A547" s="7">
        <v>546</v>
      </c>
      <c r="B547" s="8" t="s">
        <v>2697</v>
      </c>
      <c r="C547" s="6" t="str">
        <f>IFERROR(IF(LEFT(D547,FIND(" ",D547)-1)="전라북도","전북특별자치도",LEFT(D547,FIND(" ",D547)-1)),"")</f>
        <v>경기도</v>
      </c>
      <c r="D547" s="3" t="s">
        <v>2698</v>
      </c>
      <c r="E547" s="3" t="s">
        <v>809</v>
      </c>
      <c r="F547" s="3" t="s">
        <v>2434</v>
      </c>
      <c r="G547" s="3" t="s">
        <v>2699</v>
      </c>
      <c r="H547" s="3" t="s">
        <v>2700</v>
      </c>
      <c r="I547" s="3" t="s">
        <v>2700</v>
      </c>
      <c r="J547" s="3" t="s">
        <v>19</v>
      </c>
      <c r="K547" s="3" t="s">
        <v>21</v>
      </c>
      <c r="L547" s="3" t="s">
        <v>22</v>
      </c>
      <c r="M547" s="4">
        <v>611</v>
      </c>
      <c r="N547" s="3" t="s">
        <v>2174</v>
      </c>
      <c r="O547" s="3" t="s">
        <v>281</v>
      </c>
    </row>
    <row r="548" spans="1:15" hidden="1" x14ac:dyDescent="0.4">
      <c r="A548" s="7">
        <v>547</v>
      </c>
      <c r="B548" s="8" t="s">
        <v>2701</v>
      </c>
      <c r="C548" s="6" t="str">
        <f>IFERROR(IF(LEFT(D548,FIND(" ",D548)-1)="전라북도","전북특별자치도",LEFT(D548,FIND(" ",D548)-1)),"")</f>
        <v>경상북도</v>
      </c>
      <c r="D548" s="3" t="s">
        <v>2702</v>
      </c>
      <c r="E548" s="3" t="s">
        <v>2703</v>
      </c>
      <c r="F548" s="3" t="s">
        <v>1188</v>
      </c>
      <c r="G548" s="3" t="s">
        <v>2704</v>
      </c>
      <c r="H548" s="3" t="s">
        <v>670</v>
      </c>
      <c r="I548" s="3" t="s">
        <v>19</v>
      </c>
      <c r="J548" s="3" t="s">
        <v>19</v>
      </c>
      <c r="K548" s="3" t="s">
        <v>21</v>
      </c>
      <c r="L548" s="3" t="s">
        <v>22</v>
      </c>
      <c r="M548" s="4">
        <v>157</v>
      </c>
      <c r="N548" s="3" t="s">
        <v>84</v>
      </c>
      <c r="O548" s="3" t="s">
        <v>281</v>
      </c>
    </row>
    <row r="549" spans="1:15" hidden="1" x14ac:dyDescent="0.4">
      <c r="A549" s="7">
        <v>548</v>
      </c>
      <c r="B549" s="8" t="s">
        <v>2705</v>
      </c>
      <c r="C549" s="6" t="str">
        <f>IFERROR(IF(LEFT(D549,FIND(" ",D549)-1)="전라북도","전북특별자치도",LEFT(D549,FIND(" ",D549)-1)),"")</f>
        <v>강원특별자치도</v>
      </c>
      <c r="D549" s="3" t="s">
        <v>2706</v>
      </c>
      <c r="E549" s="3" t="s">
        <v>2707</v>
      </c>
      <c r="F549" s="3" t="s">
        <v>614</v>
      </c>
      <c r="G549" s="3" t="s">
        <v>2709</v>
      </c>
      <c r="H549" s="3" t="s">
        <v>2710</v>
      </c>
      <c r="I549" s="3" t="s">
        <v>2710</v>
      </c>
      <c r="J549" s="3" t="s">
        <v>19</v>
      </c>
      <c r="K549" s="3" t="s">
        <v>21</v>
      </c>
      <c r="L549" s="3" t="s">
        <v>22</v>
      </c>
      <c r="M549" s="4">
        <v>2176</v>
      </c>
      <c r="N549" s="3" t="s">
        <v>1498</v>
      </c>
      <c r="O549" s="3" t="s">
        <v>281</v>
      </c>
    </row>
    <row r="550" spans="1:15" hidden="1" x14ac:dyDescent="0.4">
      <c r="A550" s="7">
        <v>549</v>
      </c>
      <c r="B550" s="8" t="s">
        <v>2711</v>
      </c>
      <c r="C550" s="6" t="str">
        <f>IFERROR(IF(LEFT(D550,FIND(" ",D550)-1)="전라북도","전북특별자치도",LEFT(D550,FIND(" ",D550)-1)),"")</f>
        <v>강원특별자치도</v>
      </c>
      <c r="D550" s="3" t="s">
        <v>2712</v>
      </c>
      <c r="E550" s="3" t="s">
        <v>2713</v>
      </c>
      <c r="F550" s="3" t="s">
        <v>614</v>
      </c>
      <c r="G550" s="3" t="s">
        <v>2714</v>
      </c>
      <c r="H550" s="3" t="s">
        <v>210</v>
      </c>
      <c r="I550" s="3" t="s">
        <v>19</v>
      </c>
      <c r="J550" s="3" t="s">
        <v>2715</v>
      </c>
      <c r="K550" s="3" t="s">
        <v>21</v>
      </c>
      <c r="L550" s="3" t="s">
        <v>22</v>
      </c>
      <c r="M550" s="4">
        <v>1218</v>
      </c>
      <c r="N550" s="3" t="s">
        <v>2155</v>
      </c>
      <c r="O550" s="3" t="s">
        <v>281</v>
      </c>
    </row>
    <row r="551" spans="1:15" hidden="1" x14ac:dyDescent="0.4">
      <c r="A551" s="7">
        <v>550</v>
      </c>
      <c r="B551" s="8" t="s">
        <v>2716</v>
      </c>
      <c r="C551" s="6" t="str">
        <f>IFERROR(IF(LEFT(D551,FIND(" ",D551)-1)="전라북도","전북특별자치도",LEFT(D551,FIND(" ",D551)-1)),"")</f>
        <v>강원특별자치도</v>
      </c>
      <c r="D551" s="3" t="s">
        <v>2717</v>
      </c>
      <c r="E551" s="3" t="s">
        <v>1229</v>
      </c>
      <c r="F551" s="3" t="s">
        <v>614</v>
      </c>
      <c r="G551" s="3" t="s">
        <v>2718</v>
      </c>
      <c r="H551" s="3" t="s">
        <v>2719</v>
      </c>
      <c r="I551" s="3" t="s">
        <v>2173</v>
      </c>
      <c r="J551" s="3" t="s">
        <v>19</v>
      </c>
      <c r="K551" s="3" t="s">
        <v>21</v>
      </c>
      <c r="L551" s="3" t="s">
        <v>22</v>
      </c>
      <c r="M551" s="4">
        <v>1733</v>
      </c>
      <c r="N551" s="3" t="s">
        <v>1498</v>
      </c>
      <c r="O551" s="3" t="s">
        <v>281</v>
      </c>
    </row>
    <row r="552" spans="1:15" hidden="1" x14ac:dyDescent="0.4">
      <c r="A552" s="7">
        <v>551</v>
      </c>
      <c r="B552" s="8" t="s">
        <v>2720</v>
      </c>
      <c r="C552" s="6" t="str">
        <f>IFERROR(IF(LEFT(D552,FIND(" ",D552)-1)="전라북도","전북특별자치도",LEFT(D552,FIND(" ",D552)-1)),"")</f>
        <v>경상남도</v>
      </c>
      <c r="D552" s="3" t="s">
        <v>2721</v>
      </c>
      <c r="E552" s="3" t="s">
        <v>2722</v>
      </c>
      <c r="F552" s="3" t="s">
        <v>1192</v>
      </c>
      <c r="G552" s="3" t="s">
        <v>2723</v>
      </c>
      <c r="H552" s="3" t="s">
        <v>2724</v>
      </c>
      <c r="I552" s="3" t="s">
        <v>2724</v>
      </c>
      <c r="J552" s="3" t="s">
        <v>19</v>
      </c>
      <c r="K552" s="3" t="s">
        <v>21</v>
      </c>
      <c r="L552" s="3" t="s">
        <v>228</v>
      </c>
      <c r="M552" s="4">
        <v>1520</v>
      </c>
      <c r="N552" s="3" t="s">
        <v>1498</v>
      </c>
      <c r="O552" s="3" t="s">
        <v>281</v>
      </c>
    </row>
    <row r="553" spans="1:15" hidden="1" x14ac:dyDescent="0.4">
      <c r="A553" s="7">
        <v>552</v>
      </c>
      <c r="B553" s="8" t="s">
        <v>2725</v>
      </c>
      <c r="C553" s="6" t="str">
        <f>IFERROR(IF(LEFT(D553,FIND(" ",D553)-1)="전라북도","전북특별자치도",LEFT(D553,FIND(" ",D553)-1)),"")</f>
        <v>제주특별자치도</v>
      </c>
      <c r="D553" s="3" t="s">
        <v>2726</v>
      </c>
      <c r="E553" s="3" t="s">
        <v>1703</v>
      </c>
      <c r="F553" s="3" t="s">
        <v>2688</v>
      </c>
      <c r="G553" s="3" t="s">
        <v>2727</v>
      </c>
      <c r="H553" s="3" t="s">
        <v>2728</v>
      </c>
      <c r="I553" s="3" t="s">
        <v>2728</v>
      </c>
      <c r="J553" s="3" t="s">
        <v>2729</v>
      </c>
      <c r="K553" s="3" t="s">
        <v>21</v>
      </c>
      <c r="L553" s="3" t="s">
        <v>22</v>
      </c>
      <c r="M553" s="4">
        <v>640</v>
      </c>
      <c r="N553" s="3" t="s">
        <v>1498</v>
      </c>
      <c r="O553" s="3" t="s">
        <v>281</v>
      </c>
    </row>
    <row r="554" spans="1:15" hidden="1" x14ac:dyDescent="0.4">
      <c r="A554" s="7">
        <v>553</v>
      </c>
      <c r="B554" s="8" t="s">
        <v>2730</v>
      </c>
      <c r="C554" s="6" t="str">
        <f>IFERROR(IF(LEFT(D554,FIND(" ",D554)-1)="전라북도","전북특별자치도",LEFT(D554,FIND(" ",D554)-1)),"")</f>
        <v>경기도</v>
      </c>
      <c r="D554" s="3" t="s">
        <v>2731</v>
      </c>
      <c r="E554" s="3" t="s">
        <v>2732</v>
      </c>
      <c r="F554" s="3" t="s">
        <v>2733</v>
      </c>
      <c r="G554" s="3" t="s">
        <v>19</v>
      </c>
      <c r="H554" s="3" t="s">
        <v>2734</v>
      </c>
      <c r="I554" s="3" t="s">
        <v>19</v>
      </c>
      <c r="J554" s="3" t="s">
        <v>19</v>
      </c>
      <c r="K554" s="3" t="s">
        <v>21</v>
      </c>
      <c r="L554" s="3" t="s">
        <v>22</v>
      </c>
      <c r="M554" s="4">
        <v>240</v>
      </c>
      <c r="N554" s="3" t="s">
        <v>2155</v>
      </c>
      <c r="O554" s="3" t="s">
        <v>281</v>
      </c>
    </row>
    <row r="555" spans="1:15" hidden="1" x14ac:dyDescent="0.4">
      <c r="A555" s="7">
        <v>554</v>
      </c>
      <c r="B555" s="8" t="s">
        <v>2735</v>
      </c>
      <c r="C555" s="6" t="str">
        <f>IFERROR(IF(LEFT(D555,FIND(" ",D555)-1)="전라북도","전북특별자치도",LEFT(D555,FIND(" ",D555)-1)),"")</f>
        <v>경상남도</v>
      </c>
      <c r="D555" s="3" t="s">
        <v>2736</v>
      </c>
      <c r="E555" s="3" t="s">
        <v>641</v>
      </c>
      <c r="F555" s="3" t="s">
        <v>1559</v>
      </c>
      <c r="G555" s="3" t="s">
        <v>2737</v>
      </c>
      <c r="H555" s="3" t="s">
        <v>2738</v>
      </c>
      <c r="I555" s="3" t="s">
        <v>2238</v>
      </c>
      <c r="J555" s="3" t="s">
        <v>19</v>
      </c>
      <c r="K555" s="3" t="s">
        <v>21</v>
      </c>
      <c r="L555" s="3" t="s">
        <v>22</v>
      </c>
      <c r="M555" s="4">
        <v>164</v>
      </c>
      <c r="N555" s="3" t="s">
        <v>84</v>
      </c>
      <c r="O555" s="3" t="s">
        <v>281</v>
      </c>
    </row>
    <row r="556" spans="1:15" hidden="1" x14ac:dyDescent="0.4">
      <c r="A556" s="7">
        <v>555</v>
      </c>
      <c r="B556" s="8" t="s">
        <v>2739</v>
      </c>
      <c r="C556" s="6" t="str">
        <f>IFERROR(IF(LEFT(D556,FIND(" ",D556)-1)="전라북도","전북특별자치도",LEFT(D556,FIND(" ",D556)-1)),"")</f>
        <v>제주특별자치도</v>
      </c>
      <c r="D556" s="3" t="s">
        <v>2740</v>
      </c>
      <c r="E556" s="3" t="s">
        <v>1781</v>
      </c>
      <c r="F556" s="3" t="s">
        <v>1559</v>
      </c>
      <c r="G556" s="3" t="s">
        <v>2741</v>
      </c>
      <c r="H556" s="3" t="s">
        <v>2321</v>
      </c>
      <c r="I556" s="3" t="s">
        <v>19</v>
      </c>
      <c r="J556" s="3" t="s">
        <v>19</v>
      </c>
      <c r="K556" s="3" t="s">
        <v>21</v>
      </c>
      <c r="L556" s="3" t="s">
        <v>22</v>
      </c>
      <c r="M556" s="4">
        <v>871</v>
      </c>
      <c r="N556" s="3" t="s">
        <v>1498</v>
      </c>
      <c r="O556" s="3" t="s">
        <v>281</v>
      </c>
    </row>
    <row r="557" spans="1:15" hidden="1" x14ac:dyDescent="0.4">
      <c r="A557" s="7">
        <v>556</v>
      </c>
      <c r="B557" s="8" t="s">
        <v>2742</v>
      </c>
      <c r="C557" s="6" t="str">
        <f>IFERROR(IF(LEFT(D557,FIND(" ",D557)-1)="전라북도","전북특별자치도",LEFT(D557,FIND(" ",D557)-1)),"")</f>
        <v>전북특별자치도</v>
      </c>
      <c r="D557" s="3" t="s">
        <v>2743</v>
      </c>
      <c r="E557" s="3" t="s">
        <v>2744</v>
      </c>
      <c r="F557" s="3" t="s">
        <v>2745</v>
      </c>
      <c r="G557" s="3" t="s">
        <v>2746</v>
      </c>
      <c r="H557" s="3" t="s">
        <v>2021</v>
      </c>
      <c r="I557" s="3" t="s">
        <v>2747</v>
      </c>
      <c r="J557" s="3" t="s">
        <v>2748</v>
      </c>
      <c r="K557" s="3" t="s">
        <v>21</v>
      </c>
      <c r="L557" s="3" t="s">
        <v>22</v>
      </c>
      <c r="M557" s="4">
        <v>995</v>
      </c>
      <c r="N557" s="3" t="s">
        <v>1498</v>
      </c>
      <c r="O557" s="3" t="s">
        <v>281</v>
      </c>
    </row>
    <row r="558" spans="1:15" hidden="1" x14ac:dyDescent="0.4">
      <c r="A558" s="7">
        <v>557</v>
      </c>
      <c r="B558" s="8" t="s">
        <v>2749</v>
      </c>
      <c r="C558" s="6" t="str">
        <f>IFERROR(IF(LEFT(D558,FIND(" ",D558)-1)="전라북도","전북특별자치도",LEFT(D558,FIND(" ",D558)-1)),"")</f>
        <v>경기도</v>
      </c>
      <c r="D558" s="3" t="s">
        <v>2750</v>
      </c>
      <c r="E558" s="3" t="s">
        <v>2751</v>
      </c>
      <c r="F558" s="3" t="s">
        <v>1293</v>
      </c>
      <c r="G558" s="3" t="s">
        <v>401</v>
      </c>
      <c r="H558" s="3" t="s">
        <v>401</v>
      </c>
      <c r="I558" s="3" t="s">
        <v>19</v>
      </c>
      <c r="J558" s="3" t="s">
        <v>19</v>
      </c>
      <c r="K558" s="3" t="s">
        <v>21</v>
      </c>
      <c r="L558" s="3" t="s">
        <v>147</v>
      </c>
      <c r="M558" s="4">
        <v>476</v>
      </c>
      <c r="N558" s="3" t="s">
        <v>1498</v>
      </c>
      <c r="O558" s="3" t="s">
        <v>281</v>
      </c>
    </row>
    <row r="559" spans="1:15" hidden="1" x14ac:dyDescent="0.4">
      <c r="A559" s="7">
        <v>558</v>
      </c>
      <c r="B559" s="8" t="s">
        <v>2752</v>
      </c>
      <c r="C559" s="6" t="str">
        <f>IFERROR(IF(LEFT(D559,FIND(" ",D559)-1)="전라북도","전북특별자치도",LEFT(D559,FIND(" ",D559)-1)),"")</f>
        <v>충청남도</v>
      </c>
      <c r="D559" s="3" t="s">
        <v>2753</v>
      </c>
      <c r="E559" s="3" t="s">
        <v>2754</v>
      </c>
      <c r="F559" s="3" t="s">
        <v>2325</v>
      </c>
      <c r="G559" s="3" t="s">
        <v>2756</v>
      </c>
      <c r="H559" s="3" t="s">
        <v>2757</v>
      </c>
      <c r="I559" s="3" t="s">
        <v>1607</v>
      </c>
      <c r="J559" s="3" t="s">
        <v>19</v>
      </c>
      <c r="K559" s="3" t="s">
        <v>21</v>
      </c>
      <c r="L559" s="3" t="s">
        <v>22</v>
      </c>
      <c r="M559" s="4">
        <v>330</v>
      </c>
      <c r="N559" s="3" t="s">
        <v>1498</v>
      </c>
      <c r="O559" s="3" t="s">
        <v>281</v>
      </c>
    </row>
    <row r="560" spans="1:15" hidden="1" x14ac:dyDescent="0.4">
      <c r="A560" s="7">
        <v>559</v>
      </c>
      <c r="B560" s="8" t="s">
        <v>2758</v>
      </c>
      <c r="C560" s="6" t="str">
        <f>IFERROR(IF(LEFT(D560,FIND(" ",D560)-1)="전라북도","전북특별자치도",LEFT(D560,FIND(" ",D560)-1)),"")</f>
        <v>강원특별자치도</v>
      </c>
      <c r="D560" s="3" t="s">
        <v>2759</v>
      </c>
      <c r="E560" s="3" t="s">
        <v>343</v>
      </c>
      <c r="F560" s="3" t="s">
        <v>2325</v>
      </c>
      <c r="G560" s="3" t="s">
        <v>2760</v>
      </c>
      <c r="H560" s="3" t="s">
        <v>2761</v>
      </c>
      <c r="I560" s="3" t="s">
        <v>2762</v>
      </c>
      <c r="J560" s="3" t="s">
        <v>19</v>
      </c>
      <c r="K560" s="3" t="s">
        <v>21</v>
      </c>
      <c r="L560" s="3" t="s">
        <v>22</v>
      </c>
      <c r="M560" s="4">
        <v>633</v>
      </c>
      <c r="N560" s="3" t="s">
        <v>1498</v>
      </c>
      <c r="O560" s="3" t="s">
        <v>281</v>
      </c>
    </row>
    <row r="561" spans="1:15" ht="22.05" customHeight="1" x14ac:dyDescent="0.4">
      <c r="A561" s="7">
        <v>43</v>
      </c>
      <c r="B561" s="8" t="s">
        <v>21</v>
      </c>
      <c r="C561" s="6" t="str">
        <f>IFERROR(IF(LEFT(D561,FIND(" ",D561)-1)="전라북도","전북특별자치도",LEFT(D561,FIND(" ",D561)-1)),"")</f>
        <v>충청남도</v>
      </c>
      <c r="D561" s="3" t="s">
        <v>253</v>
      </c>
      <c r="E561" s="3" t="s">
        <v>254</v>
      </c>
      <c r="F561" s="3" t="s">
        <v>255</v>
      </c>
      <c r="G561" s="3" t="s">
        <v>19</v>
      </c>
      <c r="H561" s="3" t="s">
        <v>256</v>
      </c>
      <c r="I561" s="3" t="s">
        <v>19</v>
      </c>
      <c r="J561" s="3" t="s">
        <v>257</v>
      </c>
      <c r="K561" s="3" t="s">
        <v>21</v>
      </c>
      <c r="L561" s="3" t="s">
        <v>22</v>
      </c>
      <c r="M561" s="4">
        <v>5570</v>
      </c>
      <c r="N561" s="3" t="s">
        <v>23</v>
      </c>
      <c r="O561" s="3" t="s">
        <v>24</v>
      </c>
    </row>
    <row r="562" spans="1:15" hidden="1" x14ac:dyDescent="0.4">
      <c r="A562" s="7">
        <v>561</v>
      </c>
      <c r="B562" s="8" t="s">
        <v>2766</v>
      </c>
      <c r="C562" s="6" t="str">
        <f>IFERROR(IF(LEFT(D562,FIND(" ",D562)-1)="전라북도","전북특별자치도",LEFT(D562,FIND(" ",D562)-1)),"")</f>
        <v>경기도</v>
      </c>
      <c r="D562" s="3" t="s">
        <v>2767</v>
      </c>
      <c r="E562" s="3" t="s">
        <v>2768</v>
      </c>
      <c r="F562" s="3" t="s">
        <v>2325</v>
      </c>
      <c r="G562" s="3" t="s">
        <v>2769</v>
      </c>
      <c r="H562" s="3" t="s">
        <v>953</v>
      </c>
      <c r="I562" s="3" t="s">
        <v>953</v>
      </c>
      <c r="J562" s="3" t="s">
        <v>19</v>
      </c>
      <c r="K562" s="3" t="s">
        <v>21</v>
      </c>
      <c r="L562" s="3" t="s">
        <v>22</v>
      </c>
      <c r="M562" s="4">
        <v>1258</v>
      </c>
      <c r="N562" s="3" t="s">
        <v>1498</v>
      </c>
      <c r="O562" s="3" t="s">
        <v>281</v>
      </c>
    </row>
    <row r="563" spans="1:15" hidden="1" x14ac:dyDescent="0.4">
      <c r="A563" s="7">
        <v>562</v>
      </c>
      <c r="B563" s="8" t="s">
        <v>2770</v>
      </c>
      <c r="C563" s="6" t="str">
        <f>IFERROR(IF(LEFT(D563,FIND(" ",D563)-1)="전라북도","전북특별자치도",LEFT(D563,FIND(" ",D563)-1)),"")</f>
        <v>경상북도</v>
      </c>
      <c r="D563" s="3" t="s">
        <v>2771</v>
      </c>
      <c r="E563" s="3" t="s">
        <v>506</v>
      </c>
      <c r="F563" s="3" t="s">
        <v>2772</v>
      </c>
      <c r="G563" s="3" t="s">
        <v>19</v>
      </c>
      <c r="H563" s="3" t="s">
        <v>2773</v>
      </c>
      <c r="I563" s="3" t="s">
        <v>19</v>
      </c>
      <c r="J563" s="3" t="s">
        <v>19</v>
      </c>
      <c r="K563" s="3" t="s">
        <v>21</v>
      </c>
      <c r="L563" s="3" t="s">
        <v>147</v>
      </c>
      <c r="M563" s="4">
        <v>519</v>
      </c>
      <c r="N563" s="3" t="s">
        <v>84</v>
      </c>
      <c r="O563" s="3" t="s">
        <v>281</v>
      </c>
    </row>
    <row r="564" spans="1:15" hidden="1" x14ac:dyDescent="0.4">
      <c r="A564" s="7">
        <v>563</v>
      </c>
      <c r="B564" s="8" t="s">
        <v>2774</v>
      </c>
      <c r="C564" s="6" t="str">
        <f>IFERROR(IF(LEFT(D564,FIND(" ",D564)-1)="전라북도","전북특별자치도",LEFT(D564,FIND(" ",D564)-1)),"")</f>
        <v>충청남도</v>
      </c>
      <c r="D564" s="3" t="s">
        <v>2775</v>
      </c>
      <c r="E564" s="3" t="s">
        <v>647</v>
      </c>
      <c r="F564" s="3" t="s">
        <v>641</v>
      </c>
      <c r="G564" s="3" t="s">
        <v>2776</v>
      </c>
      <c r="H564" s="3" t="s">
        <v>2179</v>
      </c>
      <c r="I564" s="3" t="s">
        <v>2179</v>
      </c>
      <c r="J564" s="3" t="s">
        <v>2776</v>
      </c>
      <c r="K564" s="3" t="s">
        <v>21</v>
      </c>
      <c r="L564" s="3" t="s">
        <v>147</v>
      </c>
      <c r="M564" s="4">
        <v>1083</v>
      </c>
      <c r="N564" s="3" t="s">
        <v>2155</v>
      </c>
      <c r="O564" s="3" t="s">
        <v>281</v>
      </c>
    </row>
    <row r="565" spans="1:15" hidden="1" x14ac:dyDescent="0.4">
      <c r="A565" s="7">
        <v>564</v>
      </c>
      <c r="B565" s="8" t="s">
        <v>2777</v>
      </c>
      <c r="C565" s="6" t="str">
        <f>IFERROR(IF(LEFT(D565,FIND(" ",D565)-1)="전라북도","전북특별자치도",LEFT(D565,FIND(" ",D565)-1)),"")</f>
        <v>경상북도</v>
      </c>
      <c r="D565" s="3" t="s">
        <v>2778</v>
      </c>
      <c r="E565" s="3" t="s">
        <v>2536</v>
      </c>
      <c r="F565" s="3" t="s">
        <v>647</v>
      </c>
      <c r="G565" s="3" t="s">
        <v>2780</v>
      </c>
      <c r="H565" s="3" t="s">
        <v>2781</v>
      </c>
      <c r="I565" s="3" t="s">
        <v>1522</v>
      </c>
      <c r="J565" s="3" t="s">
        <v>19</v>
      </c>
      <c r="K565" s="3" t="s">
        <v>21</v>
      </c>
      <c r="L565" s="3" t="s">
        <v>22</v>
      </c>
      <c r="M565" s="4">
        <v>618</v>
      </c>
      <c r="N565" s="3" t="s">
        <v>1498</v>
      </c>
      <c r="O565" s="3" t="s">
        <v>281</v>
      </c>
    </row>
    <row r="566" spans="1:15" hidden="1" x14ac:dyDescent="0.4">
      <c r="A566" s="7">
        <v>565</v>
      </c>
      <c r="B566" s="8" t="s">
        <v>2782</v>
      </c>
      <c r="C566" s="6" t="str">
        <f>IFERROR(IF(LEFT(D566,FIND(" ",D566)-1)="전라북도","전북특별자치도",LEFT(D566,FIND(" ",D566)-1)),"")</f>
        <v>경기도</v>
      </c>
      <c r="D566" s="3" t="s">
        <v>2767</v>
      </c>
      <c r="E566" s="3" t="s">
        <v>2783</v>
      </c>
      <c r="F566" s="3" t="s">
        <v>647</v>
      </c>
      <c r="G566" s="3" t="s">
        <v>2769</v>
      </c>
      <c r="H566" s="3" t="s">
        <v>953</v>
      </c>
      <c r="I566" s="3" t="s">
        <v>19</v>
      </c>
      <c r="J566" s="3" t="s">
        <v>19</v>
      </c>
      <c r="K566" s="3" t="s">
        <v>21</v>
      </c>
      <c r="L566" s="3" t="s">
        <v>22</v>
      </c>
      <c r="M566" s="4">
        <v>629</v>
      </c>
      <c r="N566" s="3" t="s">
        <v>123</v>
      </c>
      <c r="O566" s="3" t="s">
        <v>281</v>
      </c>
    </row>
    <row r="567" spans="1:15" hidden="1" x14ac:dyDescent="0.4">
      <c r="A567" s="7">
        <v>566</v>
      </c>
      <c r="B567" s="8" t="s">
        <v>2784</v>
      </c>
      <c r="C567" s="6" t="str">
        <f>IFERROR(IF(LEFT(D567,FIND(" ",D567)-1)="전라북도","전북특별자치도",LEFT(D567,FIND(" ",D567)-1)),"")</f>
        <v>경기도</v>
      </c>
      <c r="D567" s="3" t="s">
        <v>2785</v>
      </c>
      <c r="E567" s="3" t="s">
        <v>2783</v>
      </c>
      <c r="F567" s="3" t="s">
        <v>647</v>
      </c>
      <c r="G567" s="3" t="s">
        <v>2769</v>
      </c>
      <c r="H567" s="3" t="s">
        <v>953</v>
      </c>
      <c r="I567" s="3" t="s">
        <v>19</v>
      </c>
      <c r="J567" s="3" t="s">
        <v>19</v>
      </c>
      <c r="K567" s="3" t="s">
        <v>21</v>
      </c>
      <c r="L567" s="3" t="s">
        <v>22</v>
      </c>
      <c r="M567" s="4">
        <v>464</v>
      </c>
      <c r="N567" s="3" t="s">
        <v>123</v>
      </c>
      <c r="O567" s="3" t="s">
        <v>281</v>
      </c>
    </row>
    <row r="568" spans="1:15" hidden="1" x14ac:dyDescent="0.4">
      <c r="A568" s="7">
        <v>567</v>
      </c>
      <c r="B568" s="8" t="s">
        <v>2786</v>
      </c>
      <c r="C568" s="6" t="str">
        <f>IFERROR(IF(LEFT(D568,FIND(" ",D568)-1)="전라북도","전북특별자치도",LEFT(D568,FIND(" ",D568)-1)),"")</f>
        <v>경기도</v>
      </c>
      <c r="D568" s="3" t="s">
        <v>2767</v>
      </c>
      <c r="E568" s="3" t="s">
        <v>2783</v>
      </c>
      <c r="F568" s="3" t="s">
        <v>647</v>
      </c>
      <c r="G568" s="3" t="s">
        <v>2769</v>
      </c>
      <c r="H568" s="3" t="s">
        <v>953</v>
      </c>
      <c r="I568" s="3" t="s">
        <v>953</v>
      </c>
      <c r="J568" s="3" t="s">
        <v>19</v>
      </c>
      <c r="K568" s="3" t="s">
        <v>21</v>
      </c>
      <c r="L568" s="3" t="s">
        <v>22</v>
      </c>
      <c r="M568" s="4">
        <v>892</v>
      </c>
      <c r="N568" s="3" t="s">
        <v>2174</v>
      </c>
      <c r="O568" s="3" t="s">
        <v>281</v>
      </c>
    </row>
    <row r="569" spans="1:15" hidden="1" x14ac:dyDescent="0.4">
      <c r="A569" s="7">
        <v>568</v>
      </c>
      <c r="B569" s="8" t="s">
        <v>2787</v>
      </c>
      <c r="C569" s="6" t="str">
        <f>IFERROR(IF(LEFT(D569,FIND(" ",D569)-1)="전라북도","전북특별자치도",LEFT(D569,FIND(" ",D569)-1)),"")</f>
        <v>경상남도</v>
      </c>
      <c r="D569" s="3" t="s">
        <v>2788</v>
      </c>
      <c r="E569" s="3" t="s">
        <v>2789</v>
      </c>
      <c r="F569" s="3" t="s">
        <v>2222</v>
      </c>
      <c r="G569" s="3" t="s">
        <v>2791</v>
      </c>
      <c r="H569" s="3" t="s">
        <v>2792</v>
      </c>
      <c r="I569" s="3" t="s">
        <v>2793</v>
      </c>
      <c r="J569" s="3" t="s">
        <v>19</v>
      </c>
      <c r="K569" s="3" t="s">
        <v>21</v>
      </c>
      <c r="L569" s="3" t="s">
        <v>228</v>
      </c>
      <c r="M569" s="4">
        <v>1656</v>
      </c>
      <c r="N569" s="3" t="s">
        <v>1498</v>
      </c>
      <c r="O569" s="3" t="s">
        <v>281</v>
      </c>
    </row>
    <row r="570" spans="1:15" hidden="1" x14ac:dyDescent="0.4">
      <c r="A570" s="7">
        <v>569</v>
      </c>
      <c r="B570" s="8" t="s">
        <v>2794</v>
      </c>
      <c r="C570" s="6" t="str">
        <f>IFERROR(IF(LEFT(D570,FIND(" ",D570)-1)="전라북도","전북특별자치도",LEFT(D570,FIND(" ",D570)-1)),"")</f>
        <v>강원특별자치도</v>
      </c>
      <c r="D570" s="3" t="s">
        <v>2795</v>
      </c>
      <c r="E570" s="3" t="s">
        <v>2796</v>
      </c>
      <c r="F570" s="3" t="s">
        <v>1905</v>
      </c>
      <c r="G570" s="3" t="s">
        <v>2797</v>
      </c>
      <c r="H570" s="3" t="s">
        <v>921</v>
      </c>
      <c r="I570" s="3" t="s">
        <v>2798</v>
      </c>
      <c r="J570" s="3" t="s">
        <v>19</v>
      </c>
      <c r="K570" s="3" t="s">
        <v>21</v>
      </c>
      <c r="L570" s="3" t="s">
        <v>22</v>
      </c>
      <c r="M570" s="4">
        <v>486</v>
      </c>
      <c r="N570" s="3" t="s">
        <v>1498</v>
      </c>
      <c r="O570" s="3" t="s">
        <v>281</v>
      </c>
    </row>
    <row r="571" spans="1:15" hidden="1" x14ac:dyDescent="0.4">
      <c r="A571" s="7">
        <v>570</v>
      </c>
      <c r="B571" s="8" t="s">
        <v>2799</v>
      </c>
      <c r="C571" s="6" t="str">
        <f>IFERROR(IF(LEFT(D571,FIND(" ",D571)-1)="전라북도","전북특별자치도",LEFT(D571,FIND(" ",D571)-1)),"")</f>
        <v>전라남도</v>
      </c>
      <c r="D571" s="3" t="s">
        <v>2800</v>
      </c>
      <c r="E571" s="3" t="s">
        <v>2801</v>
      </c>
      <c r="F571" s="3" t="s">
        <v>1905</v>
      </c>
      <c r="G571" s="3" t="s">
        <v>2802</v>
      </c>
      <c r="H571" s="3" t="s">
        <v>19</v>
      </c>
      <c r="I571" s="3" t="s">
        <v>19</v>
      </c>
      <c r="J571" s="3" t="s">
        <v>19</v>
      </c>
      <c r="K571" s="3" t="s">
        <v>21</v>
      </c>
      <c r="L571" s="3" t="s">
        <v>22</v>
      </c>
      <c r="M571" s="4">
        <v>240</v>
      </c>
      <c r="N571" s="3" t="s">
        <v>1498</v>
      </c>
      <c r="O571" s="3" t="s">
        <v>281</v>
      </c>
    </row>
    <row r="572" spans="1:15" hidden="1" x14ac:dyDescent="0.4">
      <c r="A572" s="7">
        <v>571</v>
      </c>
      <c r="B572" s="8" t="s">
        <v>2803</v>
      </c>
      <c r="C572" s="6" t="str">
        <f>IFERROR(IF(LEFT(D572,FIND(" ",D572)-1)="전라북도","전북특별자치도",LEFT(D572,FIND(" ",D572)-1)),"")</f>
        <v>강원특별자치도</v>
      </c>
      <c r="D572" s="3" t="s">
        <v>2804</v>
      </c>
      <c r="E572" s="3" t="s">
        <v>2796</v>
      </c>
      <c r="F572" s="3" t="s">
        <v>1905</v>
      </c>
      <c r="G572" s="3" t="s">
        <v>2797</v>
      </c>
      <c r="H572" s="3" t="s">
        <v>921</v>
      </c>
      <c r="I572" s="3" t="s">
        <v>2798</v>
      </c>
      <c r="J572" s="3" t="s">
        <v>19</v>
      </c>
      <c r="K572" s="3" t="s">
        <v>21</v>
      </c>
      <c r="L572" s="3" t="s">
        <v>22</v>
      </c>
      <c r="M572" s="4">
        <v>486</v>
      </c>
      <c r="N572" s="3" t="s">
        <v>1498</v>
      </c>
      <c r="O572" s="3" t="s">
        <v>281</v>
      </c>
    </row>
    <row r="573" spans="1:15" hidden="1" x14ac:dyDescent="0.4">
      <c r="A573" s="7">
        <v>572</v>
      </c>
      <c r="B573" s="8" t="s">
        <v>2805</v>
      </c>
      <c r="C573" s="6" t="str">
        <f>IFERROR(IF(LEFT(D573,FIND(" ",D573)-1)="전라북도","전북특별자치도",LEFT(D573,FIND(" ",D573)-1)),"")</f>
        <v>제주특별자치도</v>
      </c>
      <c r="D573" s="3" t="s">
        <v>2806</v>
      </c>
      <c r="E573" s="3" t="s">
        <v>1337</v>
      </c>
      <c r="F573" s="3" t="s">
        <v>2807</v>
      </c>
      <c r="G573" s="3" t="s">
        <v>2809</v>
      </c>
      <c r="H573" s="3" t="s">
        <v>2810</v>
      </c>
      <c r="I573" s="3" t="s">
        <v>19</v>
      </c>
      <c r="J573" s="3" t="s">
        <v>19</v>
      </c>
      <c r="K573" s="3" t="s">
        <v>21</v>
      </c>
      <c r="L573" s="3" t="s">
        <v>22</v>
      </c>
      <c r="M573" s="4">
        <v>156</v>
      </c>
      <c r="N573" s="3" t="s">
        <v>1498</v>
      </c>
      <c r="O573" s="3" t="s">
        <v>281</v>
      </c>
    </row>
    <row r="574" spans="1:15" hidden="1" x14ac:dyDescent="0.4">
      <c r="A574" s="7">
        <v>573</v>
      </c>
      <c r="B574" s="8" t="s">
        <v>2811</v>
      </c>
      <c r="C574" s="6" t="str">
        <f>IFERROR(IF(LEFT(D574,FIND(" ",D574)-1)="전라북도","전북특별자치도",LEFT(D574,FIND(" ",D574)-1)),"")</f>
        <v>경상북도</v>
      </c>
      <c r="D574" s="3" t="s">
        <v>2812</v>
      </c>
      <c r="E574" s="3" t="s">
        <v>2813</v>
      </c>
      <c r="F574" s="3" t="s">
        <v>1983</v>
      </c>
      <c r="G574" s="3" t="s">
        <v>19</v>
      </c>
      <c r="H574" s="3" t="s">
        <v>2814</v>
      </c>
      <c r="I574" s="3" t="s">
        <v>19</v>
      </c>
      <c r="J574" s="3" t="s">
        <v>19</v>
      </c>
      <c r="K574" s="3" t="s">
        <v>21</v>
      </c>
      <c r="L574" s="3" t="s">
        <v>147</v>
      </c>
      <c r="M574" s="4">
        <v>1042</v>
      </c>
      <c r="N574" s="3" t="s">
        <v>1498</v>
      </c>
      <c r="O574" s="3" t="s">
        <v>281</v>
      </c>
    </row>
    <row r="575" spans="1:15" hidden="1" x14ac:dyDescent="0.4">
      <c r="A575" s="7">
        <v>574</v>
      </c>
      <c r="B575" s="8" t="s">
        <v>2815</v>
      </c>
      <c r="C575" s="6" t="str">
        <f>IFERROR(IF(LEFT(D575,FIND(" ",D575)-1)="전라북도","전북특별자치도",LEFT(D575,FIND(" ",D575)-1)),"")</f>
        <v>부산광역시</v>
      </c>
      <c r="D575" s="3" t="s">
        <v>2816</v>
      </c>
      <c r="E575" s="3" t="s">
        <v>2027</v>
      </c>
      <c r="F575" s="3" t="s">
        <v>1983</v>
      </c>
      <c r="G575" s="3" t="s">
        <v>2290</v>
      </c>
      <c r="H575" s="3" t="s">
        <v>2291</v>
      </c>
      <c r="I575" s="3" t="s">
        <v>2291</v>
      </c>
      <c r="J575" s="3" t="s">
        <v>2818</v>
      </c>
      <c r="K575" s="3" t="s">
        <v>21</v>
      </c>
      <c r="L575" s="3" t="s">
        <v>228</v>
      </c>
      <c r="M575" s="4">
        <v>1997</v>
      </c>
      <c r="N575" s="3" t="s">
        <v>1498</v>
      </c>
      <c r="O575" s="3" t="s">
        <v>281</v>
      </c>
    </row>
    <row r="576" spans="1:15" hidden="1" x14ac:dyDescent="0.4">
      <c r="A576" s="7">
        <v>575</v>
      </c>
      <c r="B576" s="8" t="s">
        <v>2819</v>
      </c>
      <c r="C576" s="6" t="str">
        <f>IFERROR(IF(LEFT(D576,FIND(" ",D576)-1)="전라북도","전북특별자치도",LEFT(D576,FIND(" ",D576)-1)),"")</f>
        <v>충청남도</v>
      </c>
      <c r="D576" s="3" t="s">
        <v>2820</v>
      </c>
      <c r="E576" s="3" t="s">
        <v>2789</v>
      </c>
      <c r="F576" s="3" t="s">
        <v>343</v>
      </c>
      <c r="G576" s="3" t="s">
        <v>19</v>
      </c>
      <c r="H576" s="3" t="s">
        <v>1090</v>
      </c>
      <c r="I576" s="3" t="s">
        <v>19</v>
      </c>
      <c r="J576" s="3" t="s">
        <v>19</v>
      </c>
      <c r="K576" s="3" t="s">
        <v>21</v>
      </c>
      <c r="L576" s="3" t="s">
        <v>358</v>
      </c>
      <c r="M576" s="4">
        <v>358</v>
      </c>
      <c r="N576" s="3" t="s">
        <v>1498</v>
      </c>
      <c r="O576" s="3" t="s">
        <v>281</v>
      </c>
    </row>
    <row r="577" spans="1:15" hidden="1" x14ac:dyDescent="0.4">
      <c r="A577" s="7">
        <v>576</v>
      </c>
      <c r="B577" s="8" t="s">
        <v>2821</v>
      </c>
      <c r="C577" s="6" t="str">
        <f>IFERROR(IF(LEFT(D577,FIND(" ",D577)-1)="전라북도","전북특별자치도",LEFT(D577,FIND(" ",D577)-1)),"")</f>
        <v>충청북도</v>
      </c>
      <c r="D577" s="3" t="s">
        <v>2822</v>
      </c>
      <c r="E577" s="3" t="s">
        <v>2823</v>
      </c>
      <c r="F577" s="3" t="s">
        <v>2374</v>
      </c>
      <c r="G577" s="3" t="s">
        <v>19</v>
      </c>
      <c r="H577" s="3" t="s">
        <v>2207</v>
      </c>
      <c r="I577" s="3" t="s">
        <v>19</v>
      </c>
      <c r="J577" s="3" t="s">
        <v>19</v>
      </c>
      <c r="K577" s="3" t="s">
        <v>21</v>
      </c>
      <c r="L577" s="3" t="s">
        <v>147</v>
      </c>
      <c r="M577" s="4">
        <v>2521</v>
      </c>
      <c r="N577" s="3" t="s">
        <v>2155</v>
      </c>
      <c r="O577" s="3" t="s">
        <v>281</v>
      </c>
    </row>
    <row r="578" spans="1:15" hidden="1" x14ac:dyDescent="0.4">
      <c r="A578" s="7">
        <v>577</v>
      </c>
      <c r="B578" s="8" t="s">
        <v>2824</v>
      </c>
      <c r="C578" s="6" t="str">
        <f>IFERROR(IF(LEFT(D578,FIND(" ",D578)-1)="전라북도","전북특별자치도",LEFT(D578,FIND(" ",D578)-1)),"")</f>
        <v>경기도</v>
      </c>
      <c r="D578" s="3" t="s">
        <v>1869</v>
      </c>
      <c r="E578" s="3" t="s">
        <v>2732</v>
      </c>
      <c r="F578" s="3" t="s">
        <v>2374</v>
      </c>
      <c r="G578" s="3" t="s">
        <v>2826</v>
      </c>
      <c r="H578" s="3" t="s">
        <v>302</v>
      </c>
      <c r="I578" s="3" t="s">
        <v>19</v>
      </c>
      <c r="J578" s="3" t="s">
        <v>19</v>
      </c>
      <c r="K578" s="3" t="s">
        <v>21</v>
      </c>
      <c r="L578" s="3" t="s">
        <v>22</v>
      </c>
      <c r="M578" s="4">
        <v>1491</v>
      </c>
      <c r="N578" s="3" t="s">
        <v>84</v>
      </c>
      <c r="O578" s="3" t="s">
        <v>281</v>
      </c>
    </row>
    <row r="579" spans="1:15" hidden="1" x14ac:dyDescent="0.4">
      <c r="A579" s="7">
        <v>578</v>
      </c>
      <c r="B579" s="8" t="s">
        <v>2827</v>
      </c>
      <c r="C579" s="6" t="str">
        <f>IFERROR(IF(LEFT(D579,FIND(" ",D579)-1)="전라북도","전북특별자치도",LEFT(D579,FIND(" ",D579)-1)),"")</f>
        <v>경기도</v>
      </c>
      <c r="D579" s="3" t="s">
        <v>2828</v>
      </c>
      <c r="E579" s="3" t="s">
        <v>2829</v>
      </c>
      <c r="F579" s="3" t="s">
        <v>2374</v>
      </c>
      <c r="G579" s="3" t="s">
        <v>2830</v>
      </c>
      <c r="H579" s="3" t="s">
        <v>2831</v>
      </c>
      <c r="I579" s="3" t="s">
        <v>19</v>
      </c>
      <c r="J579" s="3" t="s">
        <v>19</v>
      </c>
      <c r="K579" s="3" t="s">
        <v>21</v>
      </c>
      <c r="L579" s="3" t="s">
        <v>22</v>
      </c>
      <c r="M579" s="4">
        <v>573</v>
      </c>
      <c r="N579" s="3" t="s">
        <v>2155</v>
      </c>
      <c r="O579" s="3" t="s">
        <v>281</v>
      </c>
    </row>
    <row r="580" spans="1:15" hidden="1" x14ac:dyDescent="0.4">
      <c r="A580" s="7">
        <v>579</v>
      </c>
      <c r="B580" s="8" t="s">
        <v>2832</v>
      </c>
      <c r="C580" s="6" t="str">
        <f>IFERROR(IF(LEFT(D580,FIND(" ",D580)-1)="전라북도","전북특별자치도",LEFT(D580,FIND(" ",D580)-1)),"")</f>
        <v>경상북도</v>
      </c>
      <c r="D580" s="3" t="s">
        <v>2833</v>
      </c>
      <c r="E580" s="3" t="s">
        <v>2823</v>
      </c>
      <c r="F580" s="3" t="s">
        <v>2834</v>
      </c>
      <c r="G580" s="3" t="s">
        <v>2835</v>
      </c>
      <c r="H580" s="3" t="s">
        <v>2836</v>
      </c>
      <c r="I580" s="3" t="s">
        <v>2836</v>
      </c>
      <c r="J580" s="3" t="s">
        <v>2835</v>
      </c>
      <c r="K580" s="3" t="s">
        <v>21</v>
      </c>
      <c r="L580" s="3" t="s">
        <v>228</v>
      </c>
      <c r="M580" s="4">
        <v>807</v>
      </c>
      <c r="N580" s="3" t="s">
        <v>1498</v>
      </c>
      <c r="O580" s="3" t="s">
        <v>281</v>
      </c>
    </row>
    <row r="581" spans="1:15" hidden="1" x14ac:dyDescent="0.4">
      <c r="A581" s="7">
        <v>580</v>
      </c>
      <c r="B581" s="8" t="s">
        <v>2837</v>
      </c>
      <c r="C581" s="6" t="str">
        <f>IFERROR(IF(LEFT(D581,FIND(" ",D581)-1)="전라북도","전북특별자치도",LEFT(D581,FIND(" ",D581)-1)),"")</f>
        <v>충청남도</v>
      </c>
      <c r="D581" s="3" t="s">
        <v>2838</v>
      </c>
      <c r="E581" s="3" t="s">
        <v>779</v>
      </c>
      <c r="F581" s="3" t="s">
        <v>2789</v>
      </c>
      <c r="G581" s="3" t="s">
        <v>2840</v>
      </c>
      <c r="H581" s="3" t="s">
        <v>2179</v>
      </c>
      <c r="I581" s="3" t="s">
        <v>19</v>
      </c>
      <c r="J581" s="3" t="s">
        <v>19</v>
      </c>
      <c r="K581" s="3" t="s">
        <v>21</v>
      </c>
      <c r="L581" s="3" t="s">
        <v>22</v>
      </c>
      <c r="M581" s="4">
        <v>550</v>
      </c>
      <c r="N581" s="3" t="s">
        <v>1498</v>
      </c>
      <c r="O581" s="3" t="s">
        <v>281</v>
      </c>
    </row>
    <row r="582" spans="1:15" ht="22.05" customHeight="1" x14ac:dyDescent="0.4">
      <c r="A582" s="7">
        <v>57</v>
      </c>
      <c r="B582" s="8" t="s">
        <v>320</v>
      </c>
      <c r="C582" s="6" t="str">
        <f>IFERROR(IF(LEFT(D582,FIND(" ",D582)-1)="전라북도","전북특별자치도",LEFT(D582,FIND(" ",D582)-1)),"")</f>
        <v>충청남도</v>
      </c>
      <c r="D582" s="3" t="s">
        <v>321</v>
      </c>
      <c r="E582" s="3" t="s">
        <v>322</v>
      </c>
      <c r="F582" s="3" t="s">
        <v>297</v>
      </c>
      <c r="G582" s="3" t="s">
        <v>19</v>
      </c>
      <c r="H582" s="3" t="s">
        <v>323</v>
      </c>
      <c r="I582" s="3" t="s">
        <v>19</v>
      </c>
      <c r="J582" s="3" t="s">
        <v>324</v>
      </c>
      <c r="K582" s="3" t="s">
        <v>21</v>
      </c>
      <c r="L582" s="3" t="s">
        <v>22</v>
      </c>
      <c r="M582" s="4">
        <v>2967</v>
      </c>
      <c r="N582" s="3" t="s">
        <v>23</v>
      </c>
      <c r="O582" s="3" t="s">
        <v>24</v>
      </c>
    </row>
    <row r="583" spans="1:15" hidden="1" x14ac:dyDescent="0.4">
      <c r="A583" s="7">
        <v>582</v>
      </c>
      <c r="B583" s="8" t="s">
        <v>2845</v>
      </c>
      <c r="C583" s="6" t="str">
        <f>IFERROR(IF(LEFT(D583,FIND(" ",D583)-1)="전라북도","전북특별자치도",LEFT(D583,FIND(" ",D583)-1)),"")</f>
        <v>부산광역시</v>
      </c>
      <c r="D583" s="3" t="s">
        <v>2846</v>
      </c>
      <c r="E583" s="3" t="s">
        <v>1587</v>
      </c>
      <c r="F583" s="3" t="s">
        <v>2847</v>
      </c>
      <c r="G583" s="3" t="s">
        <v>2848</v>
      </c>
      <c r="H583" s="3" t="s">
        <v>2849</v>
      </c>
      <c r="I583" s="3" t="s">
        <v>2849</v>
      </c>
      <c r="J583" s="3" t="s">
        <v>19</v>
      </c>
      <c r="K583" s="3" t="s">
        <v>21</v>
      </c>
      <c r="L583" s="3" t="s">
        <v>228</v>
      </c>
      <c r="M583" s="4">
        <v>1886</v>
      </c>
      <c r="N583" s="3" t="s">
        <v>1498</v>
      </c>
      <c r="O583" s="3" t="s">
        <v>281</v>
      </c>
    </row>
    <row r="584" spans="1:15" hidden="1" x14ac:dyDescent="0.4">
      <c r="A584" s="7">
        <v>583</v>
      </c>
      <c r="B584" s="8" t="s">
        <v>2850</v>
      </c>
      <c r="C584" s="6" t="str">
        <f>IFERROR(IF(LEFT(D584,FIND(" ",D584)-1)="전라북도","전북특별자치도",LEFT(D584,FIND(" ",D584)-1)),"")</f>
        <v>경기도</v>
      </c>
      <c r="D584" s="3" t="s">
        <v>2851</v>
      </c>
      <c r="E584" s="3" t="s">
        <v>2732</v>
      </c>
      <c r="F584" s="3" t="s">
        <v>2027</v>
      </c>
      <c r="G584" s="3" t="s">
        <v>19</v>
      </c>
      <c r="H584" s="3" t="s">
        <v>2852</v>
      </c>
      <c r="I584" s="3" t="s">
        <v>19</v>
      </c>
      <c r="J584" s="3" t="s">
        <v>19</v>
      </c>
      <c r="K584" s="3" t="s">
        <v>21</v>
      </c>
      <c r="L584" s="3" t="s">
        <v>147</v>
      </c>
      <c r="M584" s="4">
        <v>1276</v>
      </c>
      <c r="N584" s="3" t="s">
        <v>2424</v>
      </c>
      <c r="O584" s="3" t="s">
        <v>281</v>
      </c>
    </row>
    <row r="585" spans="1:15" hidden="1" x14ac:dyDescent="0.4">
      <c r="A585" s="7">
        <v>584</v>
      </c>
      <c r="B585" s="8" t="s">
        <v>2853</v>
      </c>
      <c r="C585" s="6" t="str">
        <f>IFERROR(IF(LEFT(D585,FIND(" ",D585)-1)="전라북도","전북특별자치도",LEFT(D585,FIND(" ",D585)-1)),"")</f>
        <v>전라남도</v>
      </c>
      <c r="D585" s="3" t="s">
        <v>2854</v>
      </c>
      <c r="E585" s="3" t="s">
        <v>2855</v>
      </c>
      <c r="F585" s="3" t="s">
        <v>2856</v>
      </c>
      <c r="G585" s="3" t="s">
        <v>2857</v>
      </c>
      <c r="H585" s="3" t="s">
        <v>2858</v>
      </c>
      <c r="I585" s="3" t="s">
        <v>2858</v>
      </c>
      <c r="J585" s="3" t="s">
        <v>19</v>
      </c>
      <c r="K585" s="3" t="s">
        <v>21</v>
      </c>
      <c r="L585" s="3" t="s">
        <v>147</v>
      </c>
      <c r="M585" s="4">
        <v>1218</v>
      </c>
      <c r="N585" s="3" t="s">
        <v>84</v>
      </c>
      <c r="O585" s="3" t="s">
        <v>281</v>
      </c>
    </row>
    <row r="586" spans="1:15" hidden="1" x14ac:dyDescent="0.4">
      <c r="A586" s="7">
        <v>585</v>
      </c>
      <c r="B586" s="8" t="s">
        <v>2859</v>
      </c>
      <c r="C586" s="6" t="str">
        <f>IFERROR(IF(LEFT(D586,FIND(" ",D586)-1)="전라북도","전북특별자치도",LEFT(D586,FIND(" ",D586)-1)),"")</f>
        <v>전북특별자치도</v>
      </c>
      <c r="D586" s="3" t="s">
        <v>2860</v>
      </c>
      <c r="E586" s="3" t="s">
        <v>2796</v>
      </c>
      <c r="F586" s="3" t="s">
        <v>2754</v>
      </c>
      <c r="G586" s="3" t="s">
        <v>2861</v>
      </c>
      <c r="H586" s="3" t="s">
        <v>2021</v>
      </c>
      <c r="I586" s="3" t="s">
        <v>2021</v>
      </c>
      <c r="J586" s="3" t="s">
        <v>19</v>
      </c>
      <c r="K586" s="3" t="s">
        <v>21</v>
      </c>
      <c r="L586" s="3" t="s">
        <v>22</v>
      </c>
      <c r="M586" s="4">
        <v>2147</v>
      </c>
      <c r="N586" s="3" t="s">
        <v>1498</v>
      </c>
      <c r="O586" s="3" t="s">
        <v>281</v>
      </c>
    </row>
    <row r="587" spans="1:15" hidden="1" x14ac:dyDescent="0.4">
      <c r="A587" s="7">
        <v>586</v>
      </c>
      <c r="B587" s="8" t="s">
        <v>2862</v>
      </c>
      <c r="C587" s="6" t="str">
        <f>IFERROR(IF(LEFT(D587,FIND(" ",D587)-1)="전라북도","전북특별자치도",LEFT(D587,FIND(" ",D587)-1)),"")</f>
        <v>제주특별자치도</v>
      </c>
      <c r="D587" s="3" t="s">
        <v>2863</v>
      </c>
      <c r="E587" s="3" t="s">
        <v>1432</v>
      </c>
      <c r="F587" s="3" t="s">
        <v>2754</v>
      </c>
      <c r="G587" s="3" t="s">
        <v>2864</v>
      </c>
      <c r="H587" s="3" t="s">
        <v>2219</v>
      </c>
      <c r="I587" s="3" t="s">
        <v>2219</v>
      </c>
      <c r="J587" s="3" t="s">
        <v>19</v>
      </c>
      <c r="K587" s="3" t="s">
        <v>21</v>
      </c>
      <c r="L587" s="3" t="s">
        <v>22</v>
      </c>
      <c r="M587" s="4">
        <v>1322</v>
      </c>
      <c r="N587" s="3" t="s">
        <v>1498</v>
      </c>
      <c r="O587" s="3" t="s">
        <v>281</v>
      </c>
    </row>
    <row r="588" spans="1:15" hidden="1" x14ac:dyDescent="0.4">
      <c r="A588" s="7">
        <v>587</v>
      </c>
      <c r="B588" s="8" t="s">
        <v>2865</v>
      </c>
      <c r="C588" s="6" t="str">
        <f>IFERROR(IF(LEFT(D588,FIND(" ",D588)-1)="전라북도","전북특별자치도",LEFT(D588,FIND(" ",D588)-1)),"")</f>
        <v>경기도</v>
      </c>
      <c r="D588" s="3" t="s">
        <v>2866</v>
      </c>
      <c r="E588" s="3" t="s">
        <v>2867</v>
      </c>
      <c r="F588" s="3" t="s">
        <v>679</v>
      </c>
      <c r="G588" s="3" t="s">
        <v>19</v>
      </c>
      <c r="H588" s="3" t="s">
        <v>2868</v>
      </c>
      <c r="I588" s="3" t="s">
        <v>2868</v>
      </c>
      <c r="J588" s="3" t="s">
        <v>19</v>
      </c>
      <c r="K588" s="3" t="s">
        <v>21</v>
      </c>
      <c r="L588" s="3" t="s">
        <v>228</v>
      </c>
      <c r="M588" s="4">
        <v>1309</v>
      </c>
      <c r="N588" s="3" t="s">
        <v>19</v>
      </c>
      <c r="O588" s="3" t="s">
        <v>281</v>
      </c>
    </row>
    <row r="589" spans="1:15" hidden="1" x14ac:dyDescent="0.4">
      <c r="A589" s="7">
        <v>588</v>
      </c>
      <c r="B589" s="8" t="s">
        <v>2869</v>
      </c>
      <c r="C589" s="6" t="str">
        <f>IFERROR(IF(LEFT(D589,FIND(" ",D589)-1)="전라북도","전북특별자치도",LEFT(D589,FIND(" ",D589)-1)),"")</f>
        <v>경기도</v>
      </c>
      <c r="D589" s="3" t="s">
        <v>2870</v>
      </c>
      <c r="E589" s="3" t="s">
        <v>2855</v>
      </c>
      <c r="F589" s="3" t="s">
        <v>679</v>
      </c>
      <c r="G589" s="3" t="s">
        <v>19</v>
      </c>
      <c r="H589" s="3" t="s">
        <v>2871</v>
      </c>
      <c r="I589" s="3" t="s">
        <v>19</v>
      </c>
      <c r="J589" s="3" t="s">
        <v>19</v>
      </c>
      <c r="K589" s="3" t="s">
        <v>21</v>
      </c>
      <c r="L589" s="3" t="s">
        <v>147</v>
      </c>
      <c r="M589" s="4">
        <v>396</v>
      </c>
      <c r="N589" s="3" t="s">
        <v>123</v>
      </c>
      <c r="O589" s="3" t="s">
        <v>281</v>
      </c>
    </row>
    <row r="590" spans="1:15" hidden="1" x14ac:dyDescent="0.4">
      <c r="A590" s="7">
        <v>589</v>
      </c>
      <c r="B590" s="8" t="s">
        <v>2872</v>
      </c>
      <c r="C590" s="6" t="str">
        <f>IFERROR(IF(LEFT(D590,FIND(" ",D590)-1)="전라북도","전북특별자치도",LEFT(D590,FIND(" ",D590)-1)),"")</f>
        <v>충청남도</v>
      </c>
      <c r="D590" s="3" t="s">
        <v>2873</v>
      </c>
      <c r="E590" s="3" t="s">
        <v>2874</v>
      </c>
      <c r="F590" s="3" t="s">
        <v>679</v>
      </c>
      <c r="G590" s="3" t="s">
        <v>2178</v>
      </c>
      <c r="H590" s="3" t="s">
        <v>1606</v>
      </c>
      <c r="I590" s="3" t="s">
        <v>19</v>
      </c>
      <c r="J590" s="3" t="s">
        <v>19</v>
      </c>
      <c r="K590" s="3" t="s">
        <v>21</v>
      </c>
      <c r="L590" s="3" t="s">
        <v>22</v>
      </c>
      <c r="M590" s="4">
        <v>270</v>
      </c>
      <c r="N590" s="3" t="s">
        <v>84</v>
      </c>
      <c r="O590" s="3" t="s">
        <v>281</v>
      </c>
    </row>
    <row r="591" spans="1:15" ht="22.05" customHeight="1" x14ac:dyDescent="0.4">
      <c r="A591" s="7">
        <v>86</v>
      </c>
      <c r="B591" s="8" t="s">
        <v>464</v>
      </c>
      <c r="C591" s="6" t="str">
        <f>IFERROR(IF(LEFT(D591,FIND(" ",D591)-1)="전라북도","전북특별자치도",LEFT(D591,FIND(" ",D591)-1)),"")</f>
        <v>충청남도</v>
      </c>
      <c r="D591" s="3" t="s">
        <v>465</v>
      </c>
      <c r="E591" s="3" t="s">
        <v>466</v>
      </c>
      <c r="F591" s="3" t="s">
        <v>467</v>
      </c>
      <c r="G591" s="3" t="s">
        <v>19</v>
      </c>
      <c r="H591" s="3" t="s">
        <v>422</v>
      </c>
      <c r="I591" s="3" t="s">
        <v>19</v>
      </c>
      <c r="J591" s="3" t="s">
        <v>19</v>
      </c>
      <c r="K591" s="3" t="s">
        <v>21</v>
      </c>
      <c r="L591" s="3" t="s">
        <v>22</v>
      </c>
      <c r="M591" s="4">
        <v>9665</v>
      </c>
      <c r="N591" s="3" t="s">
        <v>23</v>
      </c>
      <c r="O591" s="3" t="s">
        <v>24</v>
      </c>
    </row>
    <row r="592" spans="1:15" ht="22.05" customHeight="1" x14ac:dyDescent="0.4">
      <c r="A592" s="7">
        <v>95</v>
      </c>
      <c r="B592" s="8" t="s">
        <v>499</v>
      </c>
      <c r="C592" s="6" t="str">
        <f>IFERROR(IF(LEFT(D592,FIND(" ",D592)-1)="전라북도","전북특별자치도",LEFT(D592,FIND(" ",D592)-1)),"")</f>
        <v>충청남도</v>
      </c>
      <c r="D592" s="3" t="s">
        <v>500</v>
      </c>
      <c r="E592" s="3" t="s">
        <v>501</v>
      </c>
      <c r="F592" s="3" t="s">
        <v>502</v>
      </c>
      <c r="G592" s="3" t="s">
        <v>19</v>
      </c>
      <c r="H592" s="3" t="s">
        <v>503</v>
      </c>
      <c r="I592" s="3" t="s">
        <v>19</v>
      </c>
      <c r="J592" s="3" t="s">
        <v>19</v>
      </c>
      <c r="K592" s="3" t="s">
        <v>21</v>
      </c>
      <c r="L592" s="3" t="s">
        <v>22</v>
      </c>
      <c r="M592" s="4">
        <v>3114</v>
      </c>
      <c r="N592" s="3" t="s">
        <v>23</v>
      </c>
      <c r="O592" s="3" t="s">
        <v>24</v>
      </c>
    </row>
    <row r="593" spans="1:15" hidden="1" x14ac:dyDescent="0.4">
      <c r="A593" s="7">
        <v>592</v>
      </c>
      <c r="B593" s="8" t="s">
        <v>2883</v>
      </c>
      <c r="C593" s="6" t="str">
        <f>IFERROR(IF(LEFT(D593,FIND(" ",D593)-1)="전라북도","전북특별자치도",LEFT(D593,FIND(" ",D593)-1)),"")</f>
        <v>인천광역시</v>
      </c>
      <c r="D593" s="3" t="s">
        <v>2884</v>
      </c>
      <c r="E593" s="3" t="s">
        <v>2885</v>
      </c>
      <c r="F593" s="3" t="s">
        <v>2855</v>
      </c>
      <c r="G593" s="3" t="s">
        <v>2886</v>
      </c>
      <c r="H593" s="3" t="s">
        <v>2887</v>
      </c>
      <c r="I593" s="3" t="s">
        <v>2888</v>
      </c>
      <c r="J593" s="3" t="s">
        <v>19</v>
      </c>
      <c r="K593" s="3" t="s">
        <v>21</v>
      </c>
      <c r="L593" s="3" t="s">
        <v>22</v>
      </c>
      <c r="M593" s="4">
        <v>856</v>
      </c>
      <c r="N593" s="3" t="s">
        <v>1498</v>
      </c>
      <c r="O593" s="3" t="s">
        <v>281</v>
      </c>
    </row>
    <row r="594" spans="1:15" hidden="1" x14ac:dyDescent="0.4">
      <c r="A594" s="7">
        <v>593</v>
      </c>
      <c r="B594" s="8" t="s">
        <v>2889</v>
      </c>
      <c r="C594" s="6" t="str">
        <f>IFERROR(IF(LEFT(D594,FIND(" ",D594)-1)="전라북도","전북특별자치도",LEFT(D594,FIND(" ",D594)-1)),"")</f>
        <v>전라남도</v>
      </c>
      <c r="D594" s="3" t="s">
        <v>2890</v>
      </c>
      <c r="E594" s="3" t="s">
        <v>1587</v>
      </c>
      <c r="F594" s="3" t="s">
        <v>2536</v>
      </c>
      <c r="G594" s="3" t="s">
        <v>2892</v>
      </c>
      <c r="H594" s="3" t="s">
        <v>2893</v>
      </c>
      <c r="I594" s="3" t="s">
        <v>2893</v>
      </c>
      <c r="J594" s="3" t="s">
        <v>19</v>
      </c>
      <c r="K594" s="3" t="s">
        <v>21</v>
      </c>
      <c r="L594" s="3" t="s">
        <v>22</v>
      </c>
      <c r="M594" s="4">
        <v>947</v>
      </c>
      <c r="N594" s="3" t="s">
        <v>1498</v>
      </c>
      <c r="O594" s="3" t="s">
        <v>281</v>
      </c>
    </row>
    <row r="595" spans="1:15" hidden="1" x14ac:dyDescent="0.4">
      <c r="A595" s="7">
        <v>594</v>
      </c>
      <c r="B595" s="8" t="s">
        <v>2894</v>
      </c>
      <c r="C595" s="6" t="str">
        <f>IFERROR(IF(LEFT(D595,FIND(" ",D595)-1)="전라북도","전북특별자치도",LEFT(D595,FIND(" ",D595)-1)),"")</f>
        <v>경기도</v>
      </c>
      <c r="D595" s="3" t="s">
        <v>2895</v>
      </c>
      <c r="E595" s="3" t="s">
        <v>87</v>
      </c>
      <c r="F595" s="3" t="s">
        <v>2896</v>
      </c>
      <c r="G595" s="3" t="s">
        <v>19</v>
      </c>
      <c r="H595" s="3" t="s">
        <v>2897</v>
      </c>
      <c r="I595" s="3" t="s">
        <v>19</v>
      </c>
      <c r="J595" s="3" t="s">
        <v>19</v>
      </c>
      <c r="K595" s="3" t="s">
        <v>21</v>
      </c>
      <c r="L595" s="3" t="s">
        <v>147</v>
      </c>
      <c r="M595" s="4">
        <v>143</v>
      </c>
      <c r="N595" s="3" t="s">
        <v>84</v>
      </c>
      <c r="O595" s="3" t="s">
        <v>281</v>
      </c>
    </row>
    <row r="596" spans="1:15" hidden="1" x14ac:dyDescent="0.4">
      <c r="A596" s="7">
        <v>595</v>
      </c>
      <c r="B596" s="8" t="s">
        <v>2898</v>
      </c>
      <c r="C596" s="6" t="str">
        <f>IFERROR(IF(LEFT(D596,FIND(" ",D596)-1)="전라북도","전북특별자치도",LEFT(D596,FIND(" ",D596)-1)),"")</f>
        <v>경상북도</v>
      </c>
      <c r="D596" s="3" t="s">
        <v>2899</v>
      </c>
      <c r="E596" s="3" t="s">
        <v>2900</v>
      </c>
      <c r="F596" s="3" t="s">
        <v>2901</v>
      </c>
      <c r="G596" s="3" t="s">
        <v>2290</v>
      </c>
      <c r="H596" s="3" t="s">
        <v>2291</v>
      </c>
      <c r="I596" s="3" t="s">
        <v>2291</v>
      </c>
      <c r="J596" s="3" t="s">
        <v>19</v>
      </c>
      <c r="K596" s="3" t="s">
        <v>21</v>
      </c>
      <c r="L596" s="3" t="s">
        <v>228</v>
      </c>
      <c r="M596" s="4">
        <v>1551</v>
      </c>
      <c r="N596" s="3" t="s">
        <v>123</v>
      </c>
      <c r="O596" s="3" t="s">
        <v>281</v>
      </c>
    </row>
    <row r="597" spans="1:15" hidden="1" x14ac:dyDescent="0.4">
      <c r="A597" s="7">
        <v>596</v>
      </c>
      <c r="B597" s="8" t="s">
        <v>2902</v>
      </c>
      <c r="C597" s="6" t="str">
        <f>IFERROR(IF(LEFT(D597,FIND(" ",D597)-1)="전라북도","전북특별자치도",LEFT(D597,FIND(" ",D597)-1)),"")</f>
        <v>경기도</v>
      </c>
      <c r="D597" s="3" t="s">
        <v>2903</v>
      </c>
      <c r="E597" s="3" t="s">
        <v>2002</v>
      </c>
      <c r="F597" s="3" t="s">
        <v>2722</v>
      </c>
      <c r="G597" s="3" t="s">
        <v>19</v>
      </c>
      <c r="H597" s="3" t="s">
        <v>1237</v>
      </c>
      <c r="I597" s="3" t="s">
        <v>1237</v>
      </c>
      <c r="J597" s="3" t="s">
        <v>19</v>
      </c>
      <c r="K597" s="3" t="s">
        <v>21</v>
      </c>
      <c r="L597" s="3" t="s">
        <v>147</v>
      </c>
      <c r="M597" s="4">
        <v>418</v>
      </c>
      <c r="N597" s="3" t="s">
        <v>84</v>
      </c>
      <c r="O597" s="3" t="s">
        <v>281</v>
      </c>
    </row>
    <row r="598" spans="1:15" hidden="1" x14ac:dyDescent="0.4">
      <c r="A598" s="7">
        <v>597</v>
      </c>
      <c r="B598" s="8" t="s">
        <v>2904</v>
      </c>
      <c r="C598" s="6" t="str">
        <f>IFERROR(IF(LEFT(D598,FIND(" ",D598)-1)="전라북도","전북특별자치도",LEFT(D598,FIND(" ",D598)-1)),"")</f>
        <v>경기도</v>
      </c>
      <c r="D598" s="3" t="s">
        <v>2905</v>
      </c>
      <c r="E598" s="3" t="s">
        <v>1587</v>
      </c>
      <c r="F598" s="3" t="s">
        <v>2722</v>
      </c>
      <c r="G598" s="3" t="s">
        <v>19</v>
      </c>
      <c r="H598" s="3" t="s">
        <v>2906</v>
      </c>
      <c r="I598" s="3" t="s">
        <v>19</v>
      </c>
      <c r="J598" s="3" t="s">
        <v>19</v>
      </c>
      <c r="K598" s="3" t="s">
        <v>21</v>
      </c>
      <c r="L598" s="3" t="s">
        <v>22</v>
      </c>
      <c r="M598" s="4">
        <v>199</v>
      </c>
      <c r="N598" s="3" t="s">
        <v>1498</v>
      </c>
      <c r="O598" s="3" t="s">
        <v>281</v>
      </c>
    </row>
    <row r="599" spans="1:15" hidden="1" x14ac:dyDescent="0.4">
      <c r="A599" s="7">
        <v>598</v>
      </c>
      <c r="B599" s="8" t="s">
        <v>2907</v>
      </c>
      <c r="C599" s="6" t="str">
        <f>IFERROR(IF(LEFT(D599,FIND(" ",D599)-1)="전라북도","전북특별자치도",LEFT(D599,FIND(" ",D599)-1)),"")</f>
        <v>경기도</v>
      </c>
      <c r="D599" s="3" t="s">
        <v>2908</v>
      </c>
      <c r="E599" s="3" t="s">
        <v>1337</v>
      </c>
      <c r="F599" s="3" t="s">
        <v>2722</v>
      </c>
      <c r="G599" s="3" t="s">
        <v>2909</v>
      </c>
      <c r="H599" s="3" t="s">
        <v>210</v>
      </c>
      <c r="I599" s="3" t="s">
        <v>210</v>
      </c>
      <c r="J599" s="3" t="s">
        <v>19</v>
      </c>
      <c r="K599" s="3" t="s">
        <v>21</v>
      </c>
      <c r="L599" s="3" t="s">
        <v>22</v>
      </c>
      <c r="M599" s="4">
        <v>1285</v>
      </c>
      <c r="N599" s="3" t="s">
        <v>1498</v>
      </c>
      <c r="O599" s="3" t="s">
        <v>281</v>
      </c>
    </row>
    <row r="600" spans="1:15" hidden="1" x14ac:dyDescent="0.4">
      <c r="A600" s="7">
        <v>599</v>
      </c>
      <c r="B600" s="8" t="s">
        <v>2910</v>
      </c>
      <c r="C600" s="6" t="str">
        <f>IFERROR(IF(LEFT(D600,FIND(" ",D600)-1)="전라북도","전북특별자치도",LEFT(D600,FIND(" ",D600)-1)),"")</f>
        <v>경상북도</v>
      </c>
      <c r="D600" s="3" t="s">
        <v>2911</v>
      </c>
      <c r="E600" s="3" t="s">
        <v>2912</v>
      </c>
      <c r="F600" s="3" t="s">
        <v>684</v>
      </c>
      <c r="G600" s="3" t="s">
        <v>1887</v>
      </c>
      <c r="H600" s="3" t="s">
        <v>743</v>
      </c>
      <c r="I600" s="3" t="s">
        <v>743</v>
      </c>
      <c r="J600" s="3" t="s">
        <v>19</v>
      </c>
      <c r="K600" s="3" t="s">
        <v>21</v>
      </c>
      <c r="L600" s="3" t="s">
        <v>147</v>
      </c>
      <c r="M600" s="4">
        <v>485</v>
      </c>
      <c r="N600" s="3" t="s">
        <v>123</v>
      </c>
      <c r="O600" s="3" t="s">
        <v>281</v>
      </c>
    </row>
    <row r="601" spans="1:15" hidden="1" x14ac:dyDescent="0.4">
      <c r="A601" s="7">
        <v>600</v>
      </c>
      <c r="B601" s="8" t="s">
        <v>2914</v>
      </c>
      <c r="C601" s="6" t="str">
        <f>IFERROR(IF(LEFT(D601,FIND(" ",D601)-1)="전라북도","전북특별자치도",LEFT(D601,FIND(" ",D601)-1)),"")</f>
        <v>경상남도</v>
      </c>
      <c r="D601" s="3" t="s">
        <v>2915</v>
      </c>
      <c r="E601" s="3" t="s">
        <v>2916</v>
      </c>
      <c r="F601" s="3" t="s">
        <v>87</v>
      </c>
      <c r="G601" s="3" t="s">
        <v>2918</v>
      </c>
      <c r="H601" s="3" t="s">
        <v>2919</v>
      </c>
      <c r="I601" s="3" t="s">
        <v>2920</v>
      </c>
      <c r="J601" s="3" t="s">
        <v>19</v>
      </c>
      <c r="K601" s="3" t="s">
        <v>21</v>
      </c>
      <c r="L601" s="3" t="s">
        <v>22</v>
      </c>
      <c r="M601" s="4">
        <v>1207</v>
      </c>
      <c r="N601" s="3" t="s">
        <v>1498</v>
      </c>
      <c r="O601" s="3" t="s">
        <v>281</v>
      </c>
    </row>
    <row r="602" spans="1:15" ht="22.05" customHeight="1" x14ac:dyDescent="0.4">
      <c r="A602" s="7">
        <v>100</v>
      </c>
      <c r="B602" s="8" t="s">
        <v>525</v>
      </c>
      <c r="C602" s="6" t="str">
        <f>IFERROR(IF(LEFT(D602,FIND(" ",D602)-1)="전라북도","전북특별자치도",LEFT(D602,FIND(" ",D602)-1)),"")</f>
        <v>충청남도</v>
      </c>
      <c r="D602" s="3" t="s">
        <v>526</v>
      </c>
      <c r="E602" s="3" t="s">
        <v>527</v>
      </c>
      <c r="F602" s="3" t="s">
        <v>528</v>
      </c>
      <c r="G602" s="3" t="s">
        <v>19</v>
      </c>
      <c r="H602" s="3" t="s">
        <v>529</v>
      </c>
      <c r="I602" s="3" t="s">
        <v>19</v>
      </c>
      <c r="J602" s="3" t="s">
        <v>530</v>
      </c>
      <c r="K602" s="3" t="s">
        <v>21</v>
      </c>
      <c r="L602" s="3" t="s">
        <v>22</v>
      </c>
      <c r="M602" s="4">
        <v>4939</v>
      </c>
      <c r="N602" s="3" t="s">
        <v>23</v>
      </c>
      <c r="O602" s="3" t="s">
        <v>24</v>
      </c>
    </row>
    <row r="603" spans="1:15" hidden="1" x14ac:dyDescent="0.4">
      <c r="A603" s="7">
        <v>602</v>
      </c>
      <c r="B603" s="8" t="s">
        <v>2925</v>
      </c>
      <c r="C603" s="6" t="str">
        <f>IFERROR(IF(LEFT(D603,FIND(" ",D603)-1)="전라북도","전북특별자치도",LEFT(D603,FIND(" ",D603)-1)),"")</f>
        <v>경기도</v>
      </c>
      <c r="D603" s="3" t="s">
        <v>2926</v>
      </c>
      <c r="E603" s="3" t="s">
        <v>2927</v>
      </c>
      <c r="F603" s="3" t="s">
        <v>2928</v>
      </c>
      <c r="G603" s="3" t="s">
        <v>2930</v>
      </c>
      <c r="H603" s="3" t="s">
        <v>953</v>
      </c>
      <c r="I603" s="3" t="s">
        <v>953</v>
      </c>
      <c r="J603" s="3" t="s">
        <v>19</v>
      </c>
      <c r="K603" s="3" t="s">
        <v>21</v>
      </c>
      <c r="L603" s="3" t="s">
        <v>22</v>
      </c>
      <c r="M603" s="4">
        <v>742</v>
      </c>
      <c r="N603" s="3" t="s">
        <v>2155</v>
      </c>
      <c r="O603" s="3" t="s">
        <v>281</v>
      </c>
    </row>
    <row r="604" spans="1:15" hidden="1" x14ac:dyDescent="0.4">
      <c r="A604" s="7">
        <v>603</v>
      </c>
      <c r="B604" s="8" t="s">
        <v>2931</v>
      </c>
      <c r="C604" s="6" t="str">
        <f>IFERROR(IF(LEFT(D604,FIND(" ",D604)-1)="전라북도","전북특별자치도",LEFT(D604,FIND(" ",D604)-1)),"")</f>
        <v>경기도</v>
      </c>
      <c r="D604" s="3" t="s">
        <v>2932</v>
      </c>
      <c r="E604" s="3" t="s">
        <v>2927</v>
      </c>
      <c r="F604" s="3" t="s">
        <v>2928</v>
      </c>
      <c r="G604" s="3" t="s">
        <v>2930</v>
      </c>
      <c r="H604" s="3" t="s">
        <v>953</v>
      </c>
      <c r="I604" s="3" t="s">
        <v>19</v>
      </c>
      <c r="J604" s="3" t="s">
        <v>19</v>
      </c>
      <c r="K604" s="3" t="s">
        <v>21</v>
      </c>
      <c r="L604" s="3" t="s">
        <v>22</v>
      </c>
      <c r="M604" s="4">
        <v>465</v>
      </c>
      <c r="N604" s="3" t="s">
        <v>2155</v>
      </c>
      <c r="O604" s="3" t="s">
        <v>281</v>
      </c>
    </row>
    <row r="605" spans="1:15" hidden="1" x14ac:dyDescent="0.4">
      <c r="A605" s="7">
        <v>604</v>
      </c>
      <c r="B605" s="8" t="s">
        <v>2933</v>
      </c>
      <c r="C605" s="6" t="str">
        <f>IFERROR(IF(LEFT(D605,FIND(" ",D605)-1)="전라북도","전북특별자치도",LEFT(D605,FIND(" ",D605)-1)),"")</f>
        <v>경기도</v>
      </c>
      <c r="D605" s="3" t="s">
        <v>2934</v>
      </c>
      <c r="E605" s="3" t="s">
        <v>2927</v>
      </c>
      <c r="F605" s="3" t="s">
        <v>2928</v>
      </c>
      <c r="G605" s="3" t="s">
        <v>2930</v>
      </c>
      <c r="H605" s="3" t="s">
        <v>953</v>
      </c>
      <c r="I605" s="3" t="s">
        <v>19</v>
      </c>
      <c r="J605" s="3" t="s">
        <v>19</v>
      </c>
      <c r="K605" s="3" t="s">
        <v>21</v>
      </c>
      <c r="L605" s="3" t="s">
        <v>22</v>
      </c>
      <c r="M605" s="4">
        <v>432</v>
      </c>
      <c r="N605" s="3" t="s">
        <v>2155</v>
      </c>
      <c r="O605" s="3" t="s">
        <v>281</v>
      </c>
    </row>
    <row r="606" spans="1:15" ht="22.05" customHeight="1" x14ac:dyDescent="0.4">
      <c r="A606" s="7">
        <v>159</v>
      </c>
      <c r="B606" s="8" t="s">
        <v>825</v>
      </c>
      <c r="C606" s="6" t="str">
        <f>IFERROR(IF(LEFT(D606,FIND(" ",D606)-1)="전라북도","전북특별자치도",LEFT(D606,FIND(" ",D606)-1)),"")</f>
        <v>충청남도</v>
      </c>
      <c r="D606" s="3" t="s">
        <v>826</v>
      </c>
      <c r="E606" s="3" t="s">
        <v>827</v>
      </c>
      <c r="F606" s="3" t="s">
        <v>828</v>
      </c>
      <c r="G606" s="3" t="s">
        <v>19</v>
      </c>
      <c r="H606" s="3" t="s">
        <v>62</v>
      </c>
      <c r="I606" s="3" t="s">
        <v>19</v>
      </c>
      <c r="J606" s="3" t="s">
        <v>829</v>
      </c>
      <c r="K606" s="3" t="s">
        <v>21</v>
      </c>
      <c r="L606" s="3" t="s">
        <v>22</v>
      </c>
      <c r="M606" s="4">
        <v>99938</v>
      </c>
      <c r="N606" s="3" t="s">
        <v>23</v>
      </c>
      <c r="O606" s="3" t="s">
        <v>24</v>
      </c>
    </row>
    <row r="607" spans="1:15" hidden="1" x14ac:dyDescent="0.4">
      <c r="A607" s="7">
        <v>606</v>
      </c>
      <c r="B607" s="8" t="s">
        <v>2941</v>
      </c>
      <c r="C607" s="6" t="str">
        <f>IFERROR(IF(LEFT(D607,FIND(" ",D607)-1)="전라북도","전북특별자치도",LEFT(D607,FIND(" ",D607)-1)),"")</f>
        <v>충청남도</v>
      </c>
      <c r="D607" s="3" t="s">
        <v>2942</v>
      </c>
      <c r="E607" s="3" t="s">
        <v>943</v>
      </c>
      <c r="F607" s="3" t="s">
        <v>2943</v>
      </c>
      <c r="G607" s="3" t="s">
        <v>2930</v>
      </c>
      <c r="H607" s="3" t="s">
        <v>1189</v>
      </c>
      <c r="I607" s="3" t="s">
        <v>19</v>
      </c>
      <c r="J607" s="3" t="s">
        <v>19</v>
      </c>
      <c r="K607" s="3" t="s">
        <v>21</v>
      </c>
      <c r="L607" s="3" t="s">
        <v>22</v>
      </c>
      <c r="M607" s="4">
        <v>387</v>
      </c>
      <c r="N607" s="3" t="s">
        <v>2155</v>
      </c>
      <c r="O607" s="3" t="s">
        <v>281</v>
      </c>
    </row>
    <row r="608" spans="1:15" hidden="1" x14ac:dyDescent="0.4">
      <c r="A608" s="7">
        <v>607</v>
      </c>
      <c r="B608" s="8" t="s">
        <v>2944</v>
      </c>
      <c r="C608" s="6" t="str">
        <f>IFERROR(IF(LEFT(D608,FIND(" ",D608)-1)="전라북도","전북특별자치도",LEFT(D608,FIND(" ",D608)-1)),"")</f>
        <v>충청남도</v>
      </c>
      <c r="D608" s="3" t="s">
        <v>2945</v>
      </c>
      <c r="E608" s="3" t="s">
        <v>2946</v>
      </c>
      <c r="F608" s="3" t="s">
        <v>2943</v>
      </c>
      <c r="G608" s="3" t="s">
        <v>2947</v>
      </c>
      <c r="H608" s="3" t="s">
        <v>2948</v>
      </c>
      <c r="I608" s="3" t="s">
        <v>19</v>
      </c>
      <c r="J608" s="3" t="s">
        <v>19</v>
      </c>
      <c r="K608" s="3" t="s">
        <v>21</v>
      </c>
      <c r="L608" s="3" t="s">
        <v>147</v>
      </c>
      <c r="M608" s="4">
        <v>646</v>
      </c>
      <c r="N608" s="3" t="s">
        <v>1498</v>
      </c>
      <c r="O608" s="3" t="s">
        <v>281</v>
      </c>
    </row>
    <row r="609" spans="1:15" hidden="1" x14ac:dyDescent="0.4">
      <c r="A609" s="7">
        <v>608</v>
      </c>
      <c r="B609" s="8" t="s">
        <v>2949</v>
      </c>
      <c r="C609" s="6" t="str">
        <f>IFERROR(IF(LEFT(D609,FIND(" ",D609)-1)="전라북도","전북특별자치도",LEFT(D609,FIND(" ",D609)-1)),"")</f>
        <v>전라남도</v>
      </c>
      <c r="D609" s="3" t="s">
        <v>2950</v>
      </c>
      <c r="E609" s="3" t="s">
        <v>2951</v>
      </c>
      <c r="F609" s="3" t="s">
        <v>2943</v>
      </c>
      <c r="G609" s="3" t="s">
        <v>19</v>
      </c>
      <c r="H609" s="3" t="s">
        <v>2952</v>
      </c>
      <c r="I609" s="3" t="s">
        <v>19</v>
      </c>
      <c r="J609" s="3" t="s">
        <v>19</v>
      </c>
      <c r="K609" s="3" t="s">
        <v>21</v>
      </c>
      <c r="L609" s="3" t="s">
        <v>147</v>
      </c>
      <c r="M609" s="4">
        <v>143</v>
      </c>
      <c r="N609" s="3" t="s">
        <v>211</v>
      </c>
      <c r="O609" s="3" t="s">
        <v>281</v>
      </c>
    </row>
    <row r="610" spans="1:15" hidden="1" x14ac:dyDescent="0.4">
      <c r="A610" s="7">
        <v>609</v>
      </c>
      <c r="B610" s="8" t="s">
        <v>1813</v>
      </c>
      <c r="C610" s="6" t="str">
        <f>IFERROR(IF(LEFT(D610,FIND(" ",D610)-1)="전라북도","전북특별자치도",LEFT(D610,FIND(" ",D610)-1)),"")</f>
        <v>경기도</v>
      </c>
      <c r="D610" s="3" t="s">
        <v>2953</v>
      </c>
      <c r="E610" s="3" t="s">
        <v>1337</v>
      </c>
      <c r="F610" s="3" t="s">
        <v>701</v>
      </c>
      <c r="G610" s="3" t="s">
        <v>19</v>
      </c>
      <c r="H610" s="3" t="s">
        <v>302</v>
      </c>
      <c r="I610" s="3" t="s">
        <v>19</v>
      </c>
      <c r="J610" s="3" t="s">
        <v>19</v>
      </c>
      <c r="K610" s="3" t="s">
        <v>21</v>
      </c>
      <c r="L610" s="3" t="s">
        <v>147</v>
      </c>
      <c r="M610" s="4">
        <v>164</v>
      </c>
      <c r="N610" s="3" t="s">
        <v>84</v>
      </c>
      <c r="O610" s="3" t="s">
        <v>281</v>
      </c>
    </row>
    <row r="611" spans="1:15" hidden="1" x14ac:dyDescent="0.4">
      <c r="A611" s="7">
        <v>610</v>
      </c>
      <c r="B611" s="8" t="s">
        <v>2954</v>
      </c>
      <c r="C611" s="6" t="str">
        <f>IFERROR(IF(LEFT(D611,FIND(" ",D611)-1)="전라북도","전북특별자치도",LEFT(D611,FIND(" ",D611)-1)),"")</f>
        <v>경기도</v>
      </c>
      <c r="D611" s="3" t="s">
        <v>2955</v>
      </c>
      <c r="E611" s="3" t="s">
        <v>2956</v>
      </c>
      <c r="F611" s="3" t="s">
        <v>1587</v>
      </c>
      <c r="G611" s="3" t="s">
        <v>2930</v>
      </c>
      <c r="H611" s="3" t="s">
        <v>2957</v>
      </c>
      <c r="I611" s="3" t="s">
        <v>2957</v>
      </c>
      <c r="J611" s="3" t="s">
        <v>19</v>
      </c>
      <c r="K611" s="3" t="s">
        <v>21</v>
      </c>
      <c r="L611" s="3" t="s">
        <v>22</v>
      </c>
      <c r="M611" s="4">
        <v>498</v>
      </c>
      <c r="N611" s="3" t="s">
        <v>1498</v>
      </c>
      <c r="O611" s="3" t="s">
        <v>281</v>
      </c>
    </row>
    <row r="612" spans="1:15" hidden="1" x14ac:dyDescent="0.4">
      <c r="A612" s="7">
        <v>611</v>
      </c>
      <c r="B612" s="8" t="s">
        <v>2958</v>
      </c>
      <c r="C612" s="6" t="str">
        <f>IFERROR(IF(LEFT(D612,FIND(" ",D612)-1)="전라북도","전북특별자치도",LEFT(D612,FIND(" ",D612)-1)),"")</f>
        <v>경기도</v>
      </c>
      <c r="D612" s="3" t="s">
        <v>2959</v>
      </c>
      <c r="E612" s="3" t="s">
        <v>2960</v>
      </c>
      <c r="F612" s="3" t="s">
        <v>1587</v>
      </c>
      <c r="G612" s="3" t="s">
        <v>2961</v>
      </c>
      <c r="H612" s="3" t="s">
        <v>1884</v>
      </c>
      <c r="I612" s="3" t="s">
        <v>19</v>
      </c>
      <c r="J612" s="3" t="s">
        <v>19</v>
      </c>
      <c r="K612" s="3" t="s">
        <v>21</v>
      </c>
      <c r="L612" s="3" t="s">
        <v>22</v>
      </c>
      <c r="M612" s="4">
        <v>149</v>
      </c>
      <c r="N612" s="3" t="s">
        <v>211</v>
      </c>
      <c r="O612" s="3" t="s">
        <v>281</v>
      </c>
    </row>
    <row r="613" spans="1:15" hidden="1" x14ac:dyDescent="0.4">
      <c r="A613" s="7">
        <v>612</v>
      </c>
      <c r="B613" s="8" t="s">
        <v>2962</v>
      </c>
      <c r="C613" s="6" t="str">
        <f>IFERROR(IF(LEFT(D613,FIND(" ",D613)-1)="전라북도","전북특별자치도",LEFT(D613,FIND(" ",D613)-1)),"")</f>
        <v>경상북도</v>
      </c>
      <c r="D613" s="3" t="s">
        <v>2393</v>
      </c>
      <c r="E613" s="3" t="s">
        <v>2829</v>
      </c>
      <c r="F613" s="3" t="s">
        <v>1587</v>
      </c>
      <c r="G613" s="3" t="s">
        <v>2963</v>
      </c>
      <c r="H613" s="3" t="s">
        <v>2395</v>
      </c>
      <c r="I613" s="3" t="s">
        <v>19</v>
      </c>
      <c r="J613" s="3" t="s">
        <v>2963</v>
      </c>
      <c r="K613" s="3" t="s">
        <v>21</v>
      </c>
      <c r="L613" s="3" t="s">
        <v>22</v>
      </c>
      <c r="M613" s="4">
        <v>50</v>
      </c>
      <c r="N613" s="3" t="s">
        <v>84</v>
      </c>
      <c r="O613" s="3" t="s">
        <v>281</v>
      </c>
    </row>
    <row r="614" spans="1:15" hidden="1" x14ac:dyDescent="0.4">
      <c r="A614" s="7">
        <v>613</v>
      </c>
      <c r="B614" s="8" t="s">
        <v>2964</v>
      </c>
      <c r="C614" s="6" t="str">
        <f>IFERROR(IF(LEFT(D614,FIND(" ",D614)-1)="전라북도","전북특별자치도",LEFT(D614,FIND(" ",D614)-1)),"")</f>
        <v>경상북도</v>
      </c>
      <c r="D614" s="3" t="s">
        <v>2965</v>
      </c>
      <c r="E614" s="3" t="s">
        <v>2829</v>
      </c>
      <c r="F614" s="3" t="s">
        <v>1587</v>
      </c>
      <c r="G614" s="3" t="s">
        <v>2963</v>
      </c>
      <c r="H614" s="3" t="s">
        <v>2395</v>
      </c>
      <c r="I614" s="3" t="s">
        <v>19</v>
      </c>
      <c r="J614" s="3" t="s">
        <v>2963</v>
      </c>
      <c r="K614" s="3" t="s">
        <v>21</v>
      </c>
      <c r="L614" s="3" t="s">
        <v>22</v>
      </c>
      <c r="M614" s="4">
        <v>95</v>
      </c>
      <c r="N614" s="3" t="s">
        <v>84</v>
      </c>
      <c r="O614" s="3" t="s">
        <v>281</v>
      </c>
    </row>
    <row r="615" spans="1:15" hidden="1" x14ac:dyDescent="0.4">
      <c r="A615" s="7">
        <v>614</v>
      </c>
      <c r="B615" s="8" t="s">
        <v>2966</v>
      </c>
      <c r="C615" s="6" t="str">
        <f>IFERROR(IF(LEFT(D615,FIND(" ",D615)-1)="전라북도","전북특별자치도",LEFT(D615,FIND(" ",D615)-1)),"")</f>
        <v>경상남도</v>
      </c>
      <c r="D615" s="3" t="s">
        <v>2967</v>
      </c>
      <c r="E615" s="3" t="s">
        <v>2968</v>
      </c>
      <c r="F615" s="3" t="s">
        <v>2956</v>
      </c>
      <c r="G615" s="3" t="s">
        <v>2969</v>
      </c>
      <c r="H615" s="3" t="s">
        <v>2970</v>
      </c>
      <c r="I615" s="3" t="s">
        <v>19</v>
      </c>
      <c r="J615" s="3" t="s">
        <v>19</v>
      </c>
      <c r="K615" s="3" t="s">
        <v>21</v>
      </c>
      <c r="L615" s="3" t="s">
        <v>147</v>
      </c>
      <c r="M615" s="4">
        <v>93</v>
      </c>
      <c r="N615" s="3" t="s">
        <v>84</v>
      </c>
      <c r="O615" s="3" t="s">
        <v>281</v>
      </c>
    </row>
    <row r="616" spans="1:15" hidden="1" x14ac:dyDescent="0.4">
      <c r="A616" s="7">
        <v>615</v>
      </c>
      <c r="B616" s="8" t="s">
        <v>2971</v>
      </c>
      <c r="C616" s="6" t="str">
        <f>IFERROR(IF(LEFT(D616,FIND(" ",D616)-1)="전라북도","전북특별자치도",LEFT(D616,FIND(" ",D616)-1)),"")</f>
        <v>충청남도</v>
      </c>
      <c r="D616" s="3" t="s">
        <v>2972</v>
      </c>
      <c r="E616" s="3" t="s">
        <v>1437</v>
      </c>
      <c r="F616" s="3" t="s">
        <v>713</v>
      </c>
      <c r="G616" s="3" t="s">
        <v>2660</v>
      </c>
      <c r="H616" s="3" t="s">
        <v>1606</v>
      </c>
      <c r="I616" s="3" t="s">
        <v>19</v>
      </c>
      <c r="J616" s="3" t="s">
        <v>19</v>
      </c>
      <c r="K616" s="3" t="s">
        <v>21</v>
      </c>
      <c r="L616" s="3" t="s">
        <v>22</v>
      </c>
      <c r="M616" s="4">
        <v>156</v>
      </c>
      <c r="N616" s="3" t="s">
        <v>2155</v>
      </c>
      <c r="O616" s="3" t="s">
        <v>281</v>
      </c>
    </row>
    <row r="617" spans="1:15" hidden="1" x14ac:dyDescent="0.4">
      <c r="A617" s="7">
        <v>616</v>
      </c>
      <c r="B617" s="8" t="s">
        <v>2973</v>
      </c>
      <c r="C617" s="6" t="str">
        <f>IFERROR(IF(LEFT(D617,FIND(" ",D617)-1)="전라북도","전북특별자치도",LEFT(D617,FIND(" ",D617)-1)),"")</f>
        <v>서울특별시</v>
      </c>
      <c r="D617" s="3" t="s">
        <v>2974</v>
      </c>
      <c r="E617" s="3" t="s">
        <v>1432</v>
      </c>
      <c r="F617" s="3" t="s">
        <v>713</v>
      </c>
      <c r="G617" s="3" t="s">
        <v>1883</v>
      </c>
      <c r="H617" s="3" t="s">
        <v>2975</v>
      </c>
      <c r="I617" s="3" t="s">
        <v>2975</v>
      </c>
      <c r="J617" s="3" t="s">
        <v>2976</v>
      </c>
      <c r="K617" s="3" t="s">
        <v>21</v>
      </c>
      <c r="L617" s="3" t="s">
        <v>228</v>
      </c>
      <c r="M617" s="4">
        <v>2913</v>
      </c>
      <c r="N617" s="3" t="s">
        <v>1498</v>
      </c>
      <c r="O617" s="3" t="s">
        <v>281</v>
      </c>
    </row>
    <row r="618" spans="1:15" hidden="1" x14ac:dyDescent="0.4">
      <c r="A618" s="7">
        <v>617</v>
      </c>
      <c r="B618" s="8" t="s">
        <v>2977</v>
      </c>
      <c r="C618" s="6" t="str">
        <f>IFERROR(IF(LEFT(D618,FIND(" ",D618)-1)="전라북도","전북특별자치도",LEFT(D618,FIND(" ",D618)-1)),"")</f>
        <v>전라남도</v>
      </c>
      <c r="D618" s="3" t="s">
        <v>2978</v>
      </c>
      <c r="E618" s="3" t="s">
        <v>2979</v>
      </c>
      <c r="F618" s="3" t="s">
        <v>2968</v>
      </c>
      <c r="G618" s="3" t="s">
        <v>2980</v>
      </c>
      <c r="H618" s="3" t="s">
        <v>19</v>
      </c>
      <c r="I618" s="3" t="s">
        <v>19</v>
      </c>
      <c r="J618" s="3" t="s">
        <v>2981</v>
      </c>
      <c r="K618" s="3" t="s">
        <v>21</v>
      </c>
      <c r="L618" s="3" t="s">
        <v>22</v>
      </c>
      <c r="M618" s="4">
        <v>419</v>
      </c>
      <c r="N618" s="3" t="s">
        <v>1498</v>
      </c>
      <c r="O618" s="3" t="s">
        <v>281</v>
      </c>
    </row>
    <row r="619" spans="1:15" hidden="1" x14ac:dyDescent="0.4">
      <c r="A619" s="7">
        <v>618</v>
      </c>
      <c r="B619" s="8" t="s">
        <v>2982</v>
      </c>
      <c r="C619" s="6" t="str">
        <f>IFERROR(IF(LEFT(D619,FIND(" ",D619)-1)="전라북도","전북특별자치도",LEFT(D619,FIND(" ",D619)-1)),"")</f>
        <v>부산광역시</v>
      </c>
      <c r="D619" s="3" t="s">
        <v>2983</v>
      </c>
      <c r="E619" s="3" t="s">
        <v>1028</v>
      </c>
      <c r="F619" s="3" t="s">
        <v>2968</v>
      </c>
      <c r="G619" s="3" t="s">
        <v>2290</v>
      </c>
      <c r="H619" s="3" t="s">
        <v>2291</v>
      </c>
      <c r="I619" s="3" t="s">
        <v>2291</v>
      </c>
      <c r="J619" s="3" t="s">
        <v>2984</v>
      </c>
      <c r="K619" s="3" t="s">
        <v>21</v>
      </c>
      <c r="L619" s="3" t="s">
        <v>228</v>
      </c>
      <c r="M619" s="4">
        <v>3471</v>
      </c>
      <c r="N619" s="3" t="s">
        <v>1498</v>
      </c>
      <c r="O619" s="3" t="s">
        <v>281</v>
      </c>
    </row>
    <row r="620" spans="1:15" ht="22.05" customHeight="1" x14ac:dyDescent="0.4">
      <c r="A620" s="7">
        <v>172</v>
      </c>
      <c r="B620" s="8" t="s">
        <v>897</v>
      </c>
      <c r="C620" s="6" t="str">
        <f>IFERROR(IF(LEFT(D620,FIND(" ",D620)-1)="전라북도","전북특별자치도",LEFT(D620,FIND(" ",D620)-1)),"")</f>
        <v>충청남도</v>
      </c>
      <c r="D620" s="3" t="s">
        <v>898</v>
      </c>
      <c r="E620" s="3" t="s">
        <v>549</v>
      </c>
      <c r="F620" s="3" t="s">
        <v>899</v>
      </c>
      <c r="G620" s="3" t="s">
        <v>19</v>
      </c>
      <c r="H620" s="3" t="s">
        <v>900</v>
      </c>
      <c r="I620" s="3" t="s">
        <v>19</v>
      </c>
      <c r="J620" s="3" t="s">
        <v>901</v>
      </c>
      <c r="K620" s="3" t="s">
        <v>21</v>
      </c>
      <c r="L620" s="3" t="s">
        <v>22</v>
      </c>
      <c r="M620" s="4">
        <v>2055</v>
      </c>
      <c r="N620" s="3" t="s">
        <v>23</v>
      </c>
      <c r="O620" s="3" t="s">
        <v>24</v>
      </c>
    </row>
    <row r="621" spans="1:15" ht="22.05" customHeight="1" x14ac:dyDescent="0.4">
      <c r="A621" s="7">
        <v>177</v>
      </c>
      <c r="B621" s="8" t="s">
        <v>922</v>
      </c>
      <c r="C621" s="6" t="str">
        <f>IFERROR(IF(LEFT(D621,FIND(" ",D621)-1)="전라북도","전북특별자치도",LEFT(D621,FIND(" ",D621)-1)),"")</f>
        <v>충청남도</v>
      </c>
      <c r="D621" s="3" t="s">
        <v>923</v>
      </c>
      <c r="E621" s="3" t="s">
        <v>924</v>
      </c>
      <c r="F621" s="3" t="s">
        <v>925</v>
      </c>
      <c r="G621" s="3" t="s">
        <v>926</v>
      </c>
      <c r="H621" s="3" t="s">
        <v>927</v>
      </c>
      <c r="I621" s="3" t="s">
        <v>927</v>
      </c>
      <c r="J621" s="3" t="s">
        <v>19</v>
      </c>
      <c r="K621" s="3" t="s">
        <v>21</v>
      </c>
      <c r="L621" s="3" t="s">
        <v>22</v>
      </c>
      <c r="M621" s="4">
        <v>2513</v>
      </c>
      <c r="N621" s="3" t="s">
        <v>23</v>
      </c>
      <c r="O621" s="3" t="s">
        <v>24</v>
      </c>
    </row>
    <row r="622" spans="1:15" hidden="1" x14ac:dyDescent="0.4">
      <c r="A622" s="7">
        <v>621</v>
      </c>
      <c r="B622" s="8" t="s">
        <v>2997</v>
      </c>
      <c r="C622" s="6" t="str">
        <f>IFERROR(IF(LEFT(D622,FIND(" ",D622)-1)="전라북도","전북특별자치도",LEFT(D622,FIND(" ",D622)-1)),"")</f>
        <v>충청남도</v>
      </c>
      <c r="D622" s="3" t="s">
        <v>2998</v>
      </c>
      <c r="E622" s="3" t="s">
        <v>2994</v>
      </c>
      <c r="F622" s="3" t="s">
        <v>2995</v>
      </c>
      <c r="G622" s="3" t="s">
        <v>2996</v>
      </c>
      <c r="H622" s="3" t="s">
        <v>2999</v>
      </c>
      <c r="I622" s="3" t="s">
        <v>19</v>
      </c>
      <c r="J622" s="3" t="s">
        <v>19</v>
      </c>
      <c r="K622" s="3" t="s">
        <v>21</v>
      </c>
      <c r="L622" s="3" t="s">
        <v>22</v>
      </c>
      <c r="M622" s="4">
        <v>150</v>
      </c>
      <c r="N622" s="3" t="s">
        <v>84</v>
      </c>
      <c r="O622" s="3" t="s">
        <v>281</v>
      </c>
    </row>
    <row r="623" spans="1:15" ht="22.05" customHeight="1" x14ac:dyDescent="0.4">
      <c r="A623" s="7">
        <v>215</v>
      </c>
      <c r="B623" s="8" t="s">
        <v>1116</v>
      </c>
      <c r="C623" s="6" t="str">
        <f>IFERROR(IF(LEFT(D623,FIND(" ",D623)-1)="전라북도","전북특별자치도",LEFT(D623,FIND(" ",D623)-1)),"")</f>
        <v>충청남도</v>
      </c>
      <c r="D623" s="3" t="s">
        <v>1117</v>
      </c>
      <c r="E623" s="3" t="s">
        <v>1118</v>
      </c>
      <c r="F623" s="3" t="s">
        <v>1119</v>
      </c>
      <c r="G623" s="3" t="s">
        <v>19</v>
      </c>
      <c r="H623" s="3" t="s">
        <v>1120</v>
      </c>
      <c r="I623" s="3" t="s">
        <v>19</v>
      </c>
      <c r="J623" s="3" t="s">
        <v>19</v>
      </c>
      <c r="K623" s="3" t="s">
        <v>21</v>
      </c>
      <c r="L623" s="3" t="s">
        <v>22</v>
      </c>
      <c r="M623" s="4">
        <v>734</v>
      </c>
      <c r="N623" s="3" t="s">
        <v>23</v>
      </c>
      <c r="O623" s="3" t="s">
        <v>24</v>
      </c>
    </row>
    <row r="624" spans="1:15" hidden="1" x14ac:dyDescent="0.4">
      <c r="A624" s="7">
        <v>623</v>
      </c>
      <c r="B624" s="8" t="s">
        <v>3007</v>
      </c>
      <c r="C624" s="6" t="str">
        <f>IFERROR(IF(LEFT(D624,FIND(" ",D624)-1)="전라북도","전북특별자치도",LEFT(D624,FIND(" ",D624)-1)),"")</f>
        <v>전라남도</v>
      </c>
      <c r="D624" s="3" t="s">
        <v>3008</v>
      </c>
      <c r="E624" s="3" t="s">
        <v>2874</v>
      </c>
      <c r="F624" s="3" t="s">
        <v>2995</v>
      </c>
      <c r="G624" s="3" t="s">
        <v>2054</v>
      </c>
      <c r="H624" s="3" t="s">
        <v>2055</v>
      </c>
      <c r="I624" s="3" t="s">
        <v>1580</v>
      </c>
      <c r="J624" s="3" t="s">
        <v>19</v>
      </c>
      <c r="K624" s="3" t="s">
        <v>21</v>
      </c>
      <c r="L624" s="3" t="s">
        <v>22</v>
      </c>
      <c r="M624" s="4">
        <v>4670</v>
      </c>
      <c r="N624" s="3" t="s">
        <v>1498</v>
      </c>
      <c r="O624" s="3" t="s">
        <v>281</v>
      </c>
    </row>
    <row r="625" spans="1:15" hidden="1" x14ac:dyDescent="0.4">
      <c r="A625" s="7">
        <v>624</v>
      </c>
      <c r="B625" s="8" t="s">
        <v>3009</v>
      </c>
      <c r="C625" s="6" t="str">
        <f>IFERROR(IF(LEFT(D625,FIND(" ",D625)-1)="전라북도","전북특별자치도",LEFT(D625,FIND(" ",D625)-1)),"")</f>
        <v>경기도</v>
      </c>
      <c r="D625" s="3" t="s">
        <v>3010</v>
      </c>
      <c r="E625" s="3" t="s">
        <v>3011</v>
      </c>
      <c r="F625" s="3" t="s">
        <v>2927</v>
      </c>
      <c r="G625" s="3" t="s">
        <v>19</v>
      </c>
      <c r="H625" s="3" t="s">
        <v>140</v>
      </c>
      <c r="I625" s="3" t="s">
        <v>19</v>
      </c>
      <c r="J625" s="3" t="s">
        <v>19</v>
      </c>
      <c r="K625" s="3" t="s">
        <v>21</v>
      </c>
      <c r="L625" s="3" t="s">
        <v>147</v>
      </c>
      <c r="M625" s="4">
        <v>965</v>
      </c>
      <c r="N625" s="3" t="s">
        <v>1498</v>
      </c>
      <c r="O625" s="3" t="s">
        <v>281</v>
      </c>
    </row>
    <row r="626" spans="1:15" hidden="1" x14ac:dyDescent="0.4">
      <c r="A626" s="7">
        <v>625</v>
      </c>
      <c r="B626" s="8" t="s">
        <v>3012</v>
      </c>
      <c r="C626" s="6" t="str">
        <f>IFERROR(IF(LEFT(D626,FIND(" ",D626)-1)="전라북도","전북특별자치도",LEFT(D626,FIND(" ",D626)-1)),"")</f>
        <v>인천광역시</v>
      </c>
      <c r="D626" s="3" t="s">
        <v>3013</v>
      </c>
      <c r="E626" s="3" t="s">
        <v>3014</v>
      </c>
      <c r="F626" s="3" t="s">
        <v>3015</v>
      </c>
      <c r="G626" s="3" t="s">
        <v>3016</v>
      </c>
      <c r="H626" s="3" t="s">
        <v>3017</v>
      </c>
      <c r="I626" s="3" t="s">
        <v>3017</v>
      </c>
      <c r="J626" s="3" t="s">
        <v>19</v>
      </c>
      <c r="K626" s="3" t="s">
        <v>21</v>
      </c>
      <c r="L626" s="3" t="s">
        <v>22</v>
      </c>
      <c r="M626" s="4">
        <v>1746</v>
      </c>
      <c r="N626" s="3" t="s">
        <v>1498</v>
      </c>
      <c r="O626" s="3" t="s">
        <v>281</v>
      </c>
    </row>
    <row r="627" spans="1:15" hidden="1" x14ac:dyDescent="0.4">
      <c r="A627" s="7">
        <v>626</v>
      </c>
      <c r="B627" s="8" t="s">
        <v>3018</v>
      </c>
      <c r="C627" s="6" t="str">
        <f>IFERROR(IF(LEFT(D627,FIND(" ",D627)-1)="전라북도","전북특별자치도",LEFT(D627,FIND(" ",D627)-1)),"")</f>
        <v>경기도</v>
      </c>
      <c r="D627" s="3" t="s">
        <v>3019</v>
      </c>
      <c r="E627" s="3" t="s">
        <v>3020</v>
      </c>
      <c r="F627" s="3" t="s">
        <v>3015</v>
      </c>
      <c r="G627" s="3" t="s">
        <v>19</v>
      </c>
      <c r="H627" s="3" t="s">
        <v>3021</v>
      </c>
      <c r="I627" s="3" t="s">
        <v>19</v>
      </c>
      <c r="J627" s="3" t="s">
        <v>19</v>
      </c>
      <c r="K627" s="3" t="s">
        <v>21</v>
      </c>
      <c r="L627" s="3" t="s">
        <v>147</v>
      </c>
      <c r="M627" s="4">
        <v>1356</v>
      </c>
      <c r="N627" s="3" t="s">
        <v>1498</v>
      </c>
      <c r="O627" s="3" t="s">
        <v>281</v>
      </c>
    </row>
    <row r="628" spans="1:15" hidden="1" x14ac:dyDescent="0.4">
      <c r="A628" s="7">
        <v>627</v>
      </c>
      <c r="B628" s="8" t="s">
        <v>2543</v>
      </c>
      <c r="C628" s="6" t="str">
        <f>IFERROR(IF(LEFT(D628,FIND(" ",D628)-1)="전라북도","전북특별자치도",LEFT(D628,FIND(" ",D628)-1)),"")</f>
        <v>제주특별자치도</v>
      </c>
      <c r="D628" s="3" t="s">
        <v>2544</v>
      </c>
      <c r="E628" s="3" t="s">
        <v>2481</v>
      </c>
      <c r="F628" s="3" t="s">
        <v>3015</v>
      </c>
      <c r="G628" s="3" t="s">
        <v>2546</v>
      </c>
      <c r="H628" s="3" t="s">
        <v>19</v>
      </c>
      <c r="I628" s="3" t="s">
        <v>19</v>
      </c>
      <c r="J628" s="3" t="s">
        <v>19</v>
      </c>
      <c r="K628" s="3" t="s">
        <v>21</v>
      </c>
      <c r="L628" s="3" t="s">
        <v>147</v>
      </c>
      <c r="M628" s="4">
        <v>180</v>
      </c>
      <c r="N628" s="3" t="s">
        <v>84</v>
      </c>
      <c r="O628" s="3" t="s">
        <v>281</v>
      </c>
    </row>
    <row r="629" spans="1:15" ht="22.05" customHeight="1" x14ac:dyDescent="0.4">
      <c r="A629" s="7">
        <v>231</v>
      </c>
      <c r="B629" s="8" t="s">
        <v>1190</v>
      </c>
      <c r="C629" s="6" t="str">
        <f>IFERROR(IF(LEFT(D629,FIND(" ",D629)-1)="전라북도","전북특별자치도",LEFT(D629,FIND(" ",D629)-1)),"")</f>
        <v>충청남도</v>
      </c>
      <c r="D629" s="3" t="s">
        <v>1191</v>
      </c>
      <c r="E629" s="3" t="s">
        <v>1192</v>
      </c>
      <c r="F629" s="3" t="s">
        <v>1193</v>
      </c>
      <c r="G629" s="3" t="s">
        <v>19</v>
      </c>
      <c r="H629" s="3" t="s">
        <v>1194</v>
      </c>
      <c r="I629" s="3" t="s">
        <v>19</v>
      </c>
      <c r="J629" s="3" t="s">
        <v>19</v>
      </c>
      <c r="K629" s="3" t="s">
        <v>21</v>
      </c>
      <c r="L629" s="3" t="s">
        <v>22</v>
      </c>
      <c r="M629" s="4">
        <v>528</v>
      </c>
      <c r="N629" s="3" t="s">
        <v>123</v>
      </c>
      <c r="O629" s="3" t="s">
        <v>24</v>
      </c>
    </row>
    <row r="630" spans="1:15" hidden="1" x14ac:dyDescent="0.4">
      <c r="A630" s="7">
        <v>629</v>
      </c>
      <c r="B630" s="8" t="s">
        <v>3025</v>
      </c>
      <c r="C630" s="6" t="str">
        <f>IFERROR(IF(LEFT(D630,FIND(" ",D630)-1)="전라북도","전북특별자치도",LEFT(D630,FIND(" ",D630)-1)),"")</f>
        <v>충청북도</v>
      </c>
      <c r="D630" s="3" t="s">
        <v>3026</v>
      </c>
      <c r="E630" s="3" t="s">
        <v>3027</v>
      </c>
      <c r="F630" s="3" t="s">
        <v>3028</v>
      </c>
      <c r="G630" s="3" t="s">
        <v>3029</v>
      </c>
      <c r="H630" s="3" t="s">
        <v>3030</v>
      </c>
      <c r="I630" s="3" t="s">
        <v>19</v>
      </c>
      <c r="J630" s="3" t="s">
        <v>19</v>
      </c>
      <c r="K630" s="3" t="s">
        <v>21</v>
      </c>
      <c r="L630" s="3" t="s">
        <v>147</v>
      </c>
      <c r="M630" s="4">
        <v>3048</v>
      </c>
      <c r="N630" s="3" t="s">
        <v>1498</v>
      </c>
      <c r="O630" s="3" t="s">
        <v>281</v>
      </c>
    </row>
    <row r="631" spans="1:15" hidden="1" x14ac:dyDescent="0.4">
      <c r="A631" s="7">
        <v>630</v>
      </c>
      <c r="B631" s="8" t="s">
        <v>3031</v>
      </c>
      <c r="C631" s="6" t="str">
        <f>IFERROR(IF(LEFT(D631,FIND(" ",D631)-1)="전라북도","전북특별자치도",LEFT(D631,FIND(" ",D631)-1)),"")</f>
        <v>강원특별자치도</v>
      </c>
      <c r="D631" s="3" t="s">
        <v>3032</v>
      </c>
      <c r="E631" s="3" t="s">
        <v>779</v>
      </c>
      <c r="F631" s="3" t="s">
        <v>3033</v>
      </c>
      <c r="G631" s="3" t="s">
        <v>3034</v>
      </c>
      <c r="H631" s="3" t="s">
        <v>3035</v>
      </c>
      <c r="I631" s="3" t="s">
        <v>19</v>
      </c>
      <c r="J631" s="3" t="s">
        <v>19</v>
      </c>
      <c r="K631" s="3" t="s">
        <v>21</v>
      </c>
      <c r="L631" s="3" t="s">
        <v>147</v>
      </c>
      <c r="M631" s="4">
        <v>1028</v>
      </c>
      <c r="N631" s="3" t="s">
        <v>2155</v>
      </c>
      <c r="O631" s="3" t="s">
        <v>281</v>
      </c>
    </row>
    <row r="632" spans="1:15" hidden="1" x14ac:dyDescent="0.4">
      <c r="A632" s="7">
        <v>631</v>
      </c>
      <c r="B632" s="8" t="s">
        <v>3036</v>
      </c>
      <c r="C632" s="6" t="str">
        <f>IFERROR(IF(LEFT(D632,FIND(" ",D632)-1)="전라북도","전북특별자치도",LEFT(D632,FIND(" ",D632)-1)),"")</f>
        <v>경상북도</v>
      </c>
      <c r="D632" s="3" t="s">
        <v>3037</v>
      </c>
      <c r="E632" s="3" t="s">
        <v>3038</v>
      </c>
      <c r="F632" s="3" t="s">
        <v>3033</v>
      </c>
      <c r="G632" s="3" t="s">
        <v>3039</v>
      </c>
      <c r="H632" s="3" t="s">
        <v>3040</v>
      </c>
      <c r="I632" s="3" t="s">
        <v>3041</v>
      </c>
      <c r="J632" s="3" t="s">
        <v>19</v>
      </c>
      <c r="K632" s="3" t="s">
        <v>21</v>
      </c>
      <c r="L632" s="3" t="s">
        <v>228</v>
      </c>
      <c r="M632" s="4">
        <v>1715</v>
      </c>
      <c r="N632" s="3" t="s">
        <v>1498</v>
      </c>
      <c r="O632" s="3" t="s">
        <v>281</v>
      </c>
    </row>
    <row r="633" spans="1:15" hidden="1" x14ac:dyDescent="0.4">
      <c r="A633" s="7">
        <v>632</v>
      </c>
      <c r="B633" s="8" t="s">
        <v>3042</v>
      </c>
      <c r="C633" s="6" t="str">
        <f>IFERROR(IF(LEFT(D633,FIND(" ",D633)-1)="전라북도","전북특별자치도",LEFT(D633,FIND(" ",D633)-1)),"")</f>
        <v>경상북도</v>
      </c>
      <c r="D633" s="3" t="s">
        <v>3043</v>
      </c>
      <c r="E633" s="3" t="s">
        <v>3044</v>
      </c>
      <c r="F633" s="3" t="s">
        <v>3033</v>
      </c>
      <c r="G633" s="3" t="s">
        <v>3045</v>
      </c>
      <c r="H633" s="3" t="s">
        <v>3046</v>
      </c>
      <c r="I633" s="3" t="s">
        <v>19</v>
      </c>
      <c r="J633" s="3" t="s">
        <v>19</v>
      </c>
      <c r="K633" s="3" t="s">
        <v>21</v>
      </c>
      <c r="L633" s="3" t="s">
        <v>22</v>
      </c>
      <c r="M633" s="4">
        <v>454</v>
      </c>
      <c r="N633" s="3" t="s">
        <v>1498</v>
      </c>
      <c r="O633" s="3" t="s">
        <v>281</v>
      </c>
    </row>
    <row r="634" spans="1:15" hidden="1" x14ac:dyDescent="0.4">
      <c r="A634" s="7">
        <v>633</v>
      </c>
      <c r="B634" s="8" t="s">
        <v>3047</v>
      </c>
      <c r="C634" s="6" t="str">
        <f>IFERROR(IF(LEFT(D634,FIND(" ",D634)-1)="전라북도","전북특별자치도",LEFT(D634,FIND(" ",D634)-1)),"")</f>
        <v>부산광역시</v>
      </c>
      <c r="D634" s="3" t="s">
        <v>3048</v>
      </c>
      <c r="E634" s="3" t="s">
        <v>790</v>
      </c>
      <c r="F634" s="3" t="s">
        <v>3033</v>
      </c>
      <c r="G634" s="3" t="s">
        <v>3049</v>
      </c>
      <c r="H634" s="3" t="s">
        <v>2147</v>
      </c>
      <c r="I634" s="3" t="s">
        <v>2147</v>
      </c>
      <c r="J634" s="3" t="s">
        <v>3049</v>
      </c>
      <c r="K634" s="3" t="s">
        <v>3050</v>
      </c>
      <c r="L634" s="3" t="s">
        <v>228</v>
      </c>
      <c r="M634" s="4">
        <v>661135</v>
      </c>
      <c r="N634" s="3" t="s">
        <v>1498</v>
      </c>
      <c r="O634" s="3" t="s">
        <v>281</v>
      </c>
    </row>
    <row r="635" spans="1:15" hidden="1" x14ac:dyDescent="0.4">
      <c r="A635" s="7">
        <v>634</v>
      </c>
      <c r="B635" s="8" t="s">
        <v>3051</v>
      </c>
      <c r="C635" s="6" t="str">
        <f>IFERROR(IF(LEFT(D635,FIND(" ",D635)-1)="전라북도","전북특별자치도",LEFT(D635,FIND(" ",D635)-1)),"")</f>
        <v>경상남도</v>
      </c>
      <c r="D635" s="3" t="s">
        <v>3052</v>
      </c>
      <c r="E635" s="3" t="s">
        <v>3053</v>
      </c>
      <c r="F635" s="3" t="s">
        <v>2979</v>
      </c>
      <c r="G635" s="3" t="s">
        <v>3054</v>
      </c>
      <c r="H635" s="3" t="s">
        <v>3055</v>
      </c>
      <c r="I635" s="3" t="s">
        <v>1280</v>
      </c>
      <c r="J635" s="3" t="s">
        <v>3056</v>
      </c>
      <c r="K635" s="3" t="s">
        <v>21</v>
      </c>
      <c r="L635" s="3" t="s">
        <v>22</v>
      </c>
      <c r="M635" s="4">
        <v>2637</v>
      </c>
      <c r="N635" s="3" t="s">
        <v>1498</v>
      </c>
      <c r="O635" s="3" t="s">
        <v>281</v>
      </c>
    </row>
    <row r="636" spans="1:15" hidden="1" x14ac:dyDescent="0.4">
      <c r="A636" s="7">
        <v>635</v>
      </c>
      <c r="B636" s="8" t="s">
        <v>3057</v>
      </c>
      <c r="C636" s="6" t="str">
        <f>IFERROR(IF(LEFT(D636,FIND(" ",D636)-1)="전라북도","전북특별자치도",LEFT(D636,FIND(" ",D636)-1)),"")</f>
        <v>전라남도</v>
      </c>
      <c r="D636" s="3" t="s">
        <v>3058</v>
      </c>
      <c r="E636" s="3" t="s">
        <v>3059</v>
      </c>
      <c r="F636" s="3" t="s">
        <v>2979</v>
      </c>
      <c r="G636" s="3" t="s">
        <v>3060</v>
      </c>
      <c r="H636" s="3" t="s">
        <v>3061</v>
      </c>
      <c r="I636" s="3" t="s">
        <v>19</v>
      </c>
      <c r="J636" s="3" t="s">
        <v>19</v>
      </c>
      <c r="K636" s="3" t="s">
        <v>21</v>
      </c>
      <c r="L636" s="3" t="s">
        <v>22</v>
      </c>
      <c r="M636" s="4">
        <v>362</v>
      </c>
      <c r="N636" s="3" t="s">
        <v>84</v>
      </c>
      <c r="O636" s="3" t="s">
        <v>281</v>
      </c>
    </row>
    <row r="637" spans="1:15" hidden="1" x14ac:dyDescent="0.4">
      <c r="A637" s="7">
        <v>636</v>
      </c>
      <c r="B637" s="8" t="s">
        <v>3062</v>
      </c>
      <c r="C637" s="6" t="str">
        <f>IFERROR(IF(LEFT(D637,FIND(" ",D637)-1)="전라북도","전북특별자치도",LEFT(D637,FIND(" ",D637)-1)),"")</f>
        <v>전라남도</v>
      </c>
      <c r="D637" s="3" t="s">
        <v>3063</v>
      </c>
      <c r="E637" s="3" t="s">
        <v>1815</v>
      </c>
      <c r="F637" s="3" t="s">
        <v>2979</v>
      </c>
      <c r="G637" s="3" t="s">
        <v>3065</v>
      </c>
      <c r="H637" s="3" t="s">
        <v>2055</v>
      </c>
      <c r="I637" s="3" t="s">
        <v>2858</v>
      </c>
      <c r="J637" s="3" t="s">
        <v>19</v>
      </c>
      <c r="K637" s="3" t="s">
        <v>21</v>
      </c>
      <c r="L637" s="3" t="s">
        <v>22</v>
      </c>
      <c r="M637" s="4">
        <v>2365</v>
      </c>
      <c r="N637" s="3" t="s">
        <v>1498</v>
      </c>
      <c r="O637" s="3" t="s">
        <v>281</v>
      </c>
    </row>
    <row r="638" spans="1:15" hidden="1" x14ac:dyDescent="0.4">
      <c r="A638" s="7">
        <v>637</v>
      </c>
      <c r="B638" s="8" t="s">
        <v>3066</v>
      </c>
      <c r="C638" s="6" t="str">
        <f>IFERROR(IF(LEFT(D638,FIND(" ",D638)-1)="전라북도","전북특별자치도",LEFT(D638,FIND(" ",D638)-1)),"")</f>
        <v>경기도</v>
      </c>
      <c r="D638" s="3" t="s">
        <v>3067</v>
      </c>
      <c r="E638" s="3" t="s">
        <v>3068</v>
      </c>
      <c r="F638" s="3" t="s">
        <v>2796</v>
      </c>
      <c r="G638" s="3" t="s">
        <v>3069</v>
      </c>
      <c r="H638" s="3" t="s">
        <v>3070</v>
      </c>
      <c r="I638" s="3" t="s">
        <v>3070</v>
      </c>
      <c r="J638" s="3" t="s">
        <v>3071</v>
      </c>
      <c r="K638" s="3" t="s">
        <v>21</v>
      </c>
      <c r="L638" s="3" t="s">
        <v>228</v>
      </c>
      <c r="M638" s="4">
        <v>2204</v>
      </c>
      <c r="N638" s="3" t="s">
        <v>19</v>
      </c>
      <c r="O638" s="3" t="s">
        <v>281</v>
      </c>
    </row>
    <row r="639" spans="1:15" ht="22.05" customHeight="1" x14ac:dyDescent="0.4">
      <c r="A639" s="7">
        <v>253</v>
      </c>
      <c r="B639" s="8" t="s">
        <v>1291</v>
      </c>
      <c r="C639" s="6" t="str">
        <f>IFERROR(IF(LEFT(D639,FIND(" ",D639)-1)="전라북도","전북특별자치도",LEFT(D639,FIND(" ",D639)-1)),"")</f>
        <v>충청남도</v>
      </c>
      <c r="D639" s="3" t="s">
        <v>1292</v>
      </c>
      <c r="E639" s="3" t="s">
        <v>1293</v>
      </c>
      <c r="F639" s="3" t="s">
        <v>1294</v>
      </c>
      <c r="G639" s="3" t="s">
        <v>1295</v>
      </c>
      <c r="H639" s="3" t="s">
        <v>1296</v>
      </c>
      <c r="I639" s="3" t="s">
        <v>1296</v>
      </c>
      <c r="J639" s="3" t="s">
        <v>19</v>
      </c>
      <c r="K639" s="3" t="s">
        <v>21</v>
      </c>
      <c r="L639" s="3" t="s">
        <v>22</v>
      </c>
      <c r="M639" s="4">
        <v>528</v>
      </c>
      <c r="N639" s="3" t="s">
        <v>23</v>
      </c>
      <c r="O639" s="3" t="s">
        <v>24</v>
      </c>
    </row>
    <row r="640" spans="1:15" hidden="1" x14ac:dyDescent="0.4">
      <c r="A640" s="7">
        <v>639</v>
      </c>
      <c r="B640" s="8" t="s">
        <v>3078</v>
      </c>
      <c r="C640" s="6" t="str">
        <f>IFERROR(IF(LEFT(D640,FIND(" ",D640)-1)="전라북도","전북특별자치도",LEFT(D640,FIND(" ",D640)-1)),"")</f>
        <v>경상북도</v>
      </c>
      <c r="D640" s="3" t="s">
        <v>3079</v>
      </c>
      <c r="E640" s="3" t="s">
        <v>3080</v>
      </c>
      <c r="F640" s="3" t="s">
        <v>565</v>
      </c>
      <c r="G640" s="3" t="s">
        <v>3081</v>
      </c>
      <c r="H640" s="3" t="s">
        <v>3082</v>
      </c>
      <c r="I640" s="3" t="s">
        <v>3082</v>
      </c>
      <c r="J640" s="3" t="s">
        <v>19</v>
      </c>
      <c r="K640" s="3" t="s">
        <v>21</v>
      </c>
      <c r="L640" s="3" t="s">
        <v>22</v>
      </c>
      <c r="M640" s="4">
        <v>268</v>
      </c>
      <c r="N640" s="3" t="s">
        <v>1498</v>
      </c>
      <c r="O640" s="3" t="s">
        <v>281</v>
      </c>
    </row>
    <row r="641" spans="1:15" hidden="1" x14ac:dyDescent="0.4">
      <c r="A641" s="7">
        <v>640</v>
      </c>
      <c r="B641" s="8" t="s">
        <v>3083</v>
      </c>
      <c r="C641" s="6" t="str">
        <f>IFERROR(IF(LEFT(D641,FIND(" ",D641)-1)="전라북도","전북특별자치도",LEFT(D641,FIND(" ",D641)-1)),"")</f>
        <v>경기도</v>
      </c>
      <c r="D641" s="3" t="s">
        <v>3084</v>
      </c>
      <c r="E641" s="3" t="s">
        <v>3080</v>
      </c>
      <c r="F641" s="3" t="s">
        <v>565</v>
      </c>
      <c r="G641" s="3" t="s">
        <v>3085</v>
      </c>
      <c r="H641" s="3" t="s">
        <v>3086</v>
      </c>
      <c r="I641" s="3" t="s">
        <v>19</v>
      </c>
      <c r="J641" s="3" t="s">
        <v>19</v>
      </c>
      <c r="K641" s="3" t="s">
        <v>21</v>
      </c>
      <c r="L641" s="3" t="s">
        <v>22</v>
      </c>
      <c r="M641" s="4">
        <v>95</v>
      </c>
      <c r="N641" s="3" t="s">
        <v>123</v>
      </c>
      <c r="O641" s="3" t="s">
        <v>281</v>
      </c>
    </row>
    <row r="642" spans="1:15" hidden="1" x14ac:dyDescent="0.4">
      <c r="A642" s="7">
        <v>641</v>
      </c>
      <c r="B642" s="8" t="s">
        <v>3087</v>
      </c>
      <c r="C642" s="6" t="str">
        <f>IFERROR(IF(LEFT(D642,FIND(" ",D642)-1)="전라북도","전북특별자치도",LEFT(D642,FIND(" ",D642)-1)),"")</f>
        <v>전라남도</v>
      </c>
      <c r="D642" s="3" t="s">
        <v>3088</v>
      </c>
      <c r="E642" s="3" t="s">
        <v>3038</v>
      </c>
      <c r="F642" s="3" t="s">
        <v>565</v>
      </c>
      <c r="G642" s="3" t="s">
        <v>3089</v>
      </c>
      <c r="H642" s="3" t="s">
        <v>2858</v>
      </c>
      <c r="I642" s="3" t="s">
        <v>2858</v>
      </c>
      <c r="J642" s="3" t="s">
        <v>3090</v>
      </c>
      <c r="K642" s="3" t="s">
        <v>21</v>
      </c>
      <c r="L642" s="3" t="s">
        <v>147</v>
      </c>
      <c r="M642" s="4">
        <v>613</v>
      </c>
      <c r="N642" s="3" t="s">
        <v>562</v>
      </c>
      <c r="O642" s="3" t="s">
        <v>281</v>
      </c>
    </row>
    <row r="643" spans="1:15" hidden="1" x14ac:dyDescent="0.4">
      <c r="A643" s="7">
        <v>642</v>
      </c>
      <c r="B643" s="8" t="s">
        <v>3091</v>
      </c>
      <c r="C643" s="6" t="str">
        <f>IFERROR(IF(LEFT(D643,FIND(" ",D643)-1)="전라북도","전북특별자치도",LEFT(D643,FIND(" ",D643)-1)),"")</f>
        <v>부산광역시</v>
      </c>
      <c r="D643" s="3" t="s">
        <v>3092</v>
      </c>
      <c r="E643" s="3" t="s">
        <v>3093</v>
      </c>
      <c r="F643" s="3" t="s">
        <v>2635</v>
      </c>
      <c r="G643" s="3" t="s">
        <v>3094</v>
      </c>
      <c r="H643" s="3" t="s">
        <v>3095</v>
      </c>
      <c r="I643" s="3" t="s">
        <v>19</v>
      </c>
      <c r="J643" s="3" t="s">
        <v>19</v>
      </c>
      <c r="K643" s="3" t="s">
        <v>21</v>
      </c>
      <c r="L643" s="3" t="s">
        <v>147</v>
      </c>
      <c r="M643" s="4">
        <v>807</v>
      </c>
      <c r="N643" s="3" t="s">
        <v>19</v>
      </c>
      <c r="O643" s="3" t="s">
        <v>281</v>
      </c>
    </row>
    <row r="644" spans="1:15" hidden="1" x14ac:dyDescent="0.4">
      <c r="A644" s="7">
        <v>643</v>
      </c>
      <c r="B644" s="8" t="s">
        <v>3096</v>
      </c>
      <c r="C644" s="6" t="str">
        <f>IFERROR(IF(LEFT(D644,FIND(" ",D644)-1)="전라북도","전북특별자치도",LEFT(D644,FIND(" ",D644)-1)),"")</f>
        <v>전라남도</v>
      </c>
      <c r="D644" s="3" t="s">
        <v>3097</v>
      </c>
      <c r="E644" s="3" t="s">
        <v>3098</v>
      </c>
      <c r="F644" s="3" t="s">
        <v>2635</v>
      </c>
      <c r="G644" s="3" t="s">
        <v>3099</v>
      </c>
      <c r="H644" s="3" t="s">
        <v>1480</v>
      </c>
      <c r="I644" s="3" t="s">
        <v>1480</v>
      </c>
      <c r="J644" s="3" t="s">
        <v>3100</v>
      </c>
      <c r="K644" s="3" t="s">
        <v>21</v>
      </c>
      <c r="L644" s="3" t="s">
        <v>147</v>
      </c>
      <c r="M644" s="4">
        <v>1199</v>
      </c>
      <c r="N644" s="3" t="s">
        <v>2155</v>
      </c>
      <c r="O644" s="3" t="s">
        <v>281</v>
      </c>
    </row>
    <row r="645" spans="1:15" hidden="1" x14ac:dyDescent="0.4">
      <c r="A645" s="7">
        <v>644</v>
      </c>
      <c r="B645" s="8" t="s">
        <v>3101</v>
      </c>
      <c r="C645" s="6" t="str">
        <f>IFERROR(IF(LEFT(D645,FIND(" ",D645)-1)="전라북도","전북특별자치도",LEFT(D645,FIND(" ",D645)-1)),"")</f>
        <v>전라남도</v>
      </c>
      <c r="D645" s="3" t="s">
        <v>3102</v>
      </c>
      <c r="E645" s="3" t="s">
        <v>3103</v>
      </c>
      <c r="F645" s="3" t="s">
        <v>790</v>
      </c>
      <c r="G645" s="3" t="s">
        <v>3104</v>
      </c>
      <c r="H645" s="3" t="s">
        <v>971</v>
      </c>
      <c r="I645" s="3" t="s">
        <v>971</v>
      </c>
      <c r="J645" s="3" t="s">
        <v>19</v>
      </c>
      <c r="K645" s="3" t="s">
        <v>21</v>
      </c>
      <c r="L645" s="3" t="s">
        <v>22</v>
      </c>
      <c r="M645" s="4">
        <v>207</v>
      </c>
      <c r="N645" s="3" t="s">
        <v>1498</v>
      </c>
      <c r="O645" s="3" t="s">
        <v>281</v>
      </c>
    </row>
    <row r="646" spans="1:15" hidden="1" x14ac:dyDescent="0.4">
      <c r="A646" s="7">
        <v>645</v>
      </c>
      <c r="B646" s="8" t="s">
        <v>3105</v>
      </c>
      <c r="C646" s="6" t="str">
        <f>IFERROR(IF(LEFT(D646,FIND(" ",D646)-1)="전라북도","전북특별자치도",LEFT(D646,FIND(" ",D646)-1)),"")</f>
        <v>제주특별자치도</v>
      </c>
      <c r="D646" s="3" t="s">
        <v>3106</v>
      </c>
      <c r="E646" s="3" t="s">
        <v>2744</v>
      </c>
      <c r="F646" s="3" t="s">
        <v>790</v>
      </c>
      <c r="G646" s="3" t="s">
        <v>3107</v>
      </c>
      <c r="H646" s="3" t="s">
        <v>1713</v>
      </c>
      <c r="I646" s="3" t="s">
        <v>19</v>
      </c>
      <c r="J646" s="3" t="s">
        <v>19</v>
      </c>
      <c r="K646" s="3" t="s">
        <v>21</v>
      </c>
      <c r="L646" s="3" t="s">
        <v>147</v>
      </c>
      <c r="M646" s="4">
        <v>812</v>
      </c>
      <c r="N646" s="3" t="s">
        <v>1498</v>
      </c>
      <c r="O646" s="3" t="s">
        <v>281</v>
      </c>
    </row>
    <row r="647" spans="1:15" hidden="1" x14ac:dyDescent="0.4">
      <c r="A647" s="7">
        <v>646</v>
      </c>
      <c r="B647" s="8" t="s">
        <v>3108</v>
      </c>
      <c r="C647" s="6" t="str">
        <f>IFERROR(IF(LEFT(D647,FIND(" ",D647)-1)="전라북도","전북특별자치도",LEFT(D647,FIND(" ",D647)-1)),"")</f>
        <v>충청남도</v>
      </c>
      <c r="D647" s="3" t="s">
        <v>3109</v>
      </c>
      <c r="E647" s="3" t="s">
        <v>2248</v>
      </c>
      <c r="F647" s="3" t="s">
        <v>2707</v>
      </c>
      <c r="G647" s="3" t="s">
        <v>3110</v>
      </c>
      <c r="H647" s="3" t="s">
        <v>3111</v>
      </c>
      <c r="I647" s="3" t="s">
        <v>3112</v>
      </c>
      <c r="J647" s="3" t="s">
        <v>3113</v>
      </c>
      <c r="K647" s="3" t="s">
        <v>21</v>
      </c>
      <c r="L647" s="3" t="s">
        <v>22</v>
      </c>
      <c r="M647" s="4">
        <v>366</v>
      </c>
      <c r="N647" s="3" t="s">
        <v>1498</v>
      </c>
      <c r="O647" s="3" t="s">
        <v>281</v>
      </c>
    </row>
    <row r="648" spans="1:15" hidden="1" x14ac:dyDescent="0.4">
      <c r="A648" s="7">
        <v>647</v>
      </c>
      <c r="B648" s="8" t="s">
        <v>3114</v>
      </c>
      <c r="C648" s="6" t="str">
        <f>IFERROR(IF(LEFT(D648,FIND(" ",D648)-1)="전라북도","전북특별자치도",LEFT(D648,FIND(" ",D648)-1)),"")</f>
        <v>충청남도</v>
      </c>
      <c r="D648" s="3" t="s">
        <v>3115</v>
      </c>
      <c r="E648" s="3" t="s">
        <v>827</v>
      </c>
      <c r="F648" s="3" t="s">
        <v>2575</v>
      </c>
      <c r="G648" s="3" t="s">
        <v>3116</v>
      </c>
      <c r="H648" s="3" t="s">
        <v>3117</v>
      </c>
      <c r="I648" s="3" t="s">
        <v>3118</v>
      </c>
      <c r="J648" s="3" t="s">
        <v>19</v>
      </c>
      <c r="K648" s="3" t="s">
        <v>21</v>
      </c>
      <c r="L648" s="3" t="s">
        <v>22</v>
      </c>
      <c r="M648" s="4">
        <v>494</v>
      </c>
      <c r="N648" s="3" t="s">
        <v>1498</v>
      </c>
      <c r="O648" s="3" t="s">
        <v>281</v>
      </c>
    </row>
    <row r="649" spans="1:15" ht="22.05" customHeight="1" x14ac:dyDescent="0.4">
      <c r="A649" s="7">
        <v>263</v>
      </c>
      <c r="B649" s="8" t="s">
        <v>1338</v>
      </c>
      <c r="C649" s="6" t="str">
        <f>IFERROR(IF(LEFT(D649,FIND(" ",D649)-1)="전라북도","전북특별자치도",LEFT(D649,FIND(" ",D649)-1)),"")</f>
        <v>충청남도</v>
      </c>
      <c r="D649" s="3" t="s">
        <v>1339</v>
      </c>
      <c r="E649" s="3" t="s">
        <v>1340</v>
      </c>
      <c r="F649" s="3" t="s">
        <v>843</v>
      </c>
      <c r="G649" s="3" t="s">
        <v>1341</v>
      </c>
      <c r="H649" s="3" t="s">
        <v>1342</v>
      </c>
      <c r="I649" s="3" t="s">
        <v>1342</v>
      </c>
      <c r="J649" s="3" t="s">
        <v>19</v>
      </c>
      <c r="K649" s="3" t="s">
        <v>21</v>
      </c>
      <c r="L649" s="3" t="s">
        <v>22</v>
      </c>
      <c r="M649" s="4">
        <v>1865</v>
      </c>
      <c r="N649" s="3" t="s">
        <v>23</v>
      </c>
      <c r="O649" s="3" t="s">
        <v>24</v>
      </c>
    </row>
    <row r="650" spans="1:15" hidden="1" x14ac:dyDescent="0.4">
      <c r="A650" s="7">
        <v>649</v>
      </c>
      <c r="B650" s="8" t="s">
        <v>3121</v>
      </c>
      <c r="C650" s="6" t="str">
        <f>IFERROR(IF(LEFT(D650,FIND(" ",D650)-1)="전라북도","전북특별자치도",LEFT(D650,FIND(" ",D650)-1)),"")</f>
        <v>제주특별자치도</v>
      </c>
      <c r="D650" s="3" t="s">
        <v>3122</v>
      </c>
      <c r="E650" s="3" t="s">
        <v>3059</v>
      </c>
      <c r="F650" s="3" t="s">
        <v>3123</v>
      </c>
      <c r="G650" s="3" t="s">
        <v>3124</v>
      </c>
      <c r="H650" s="3" t="s">
        <v>241</v>
      </c>
      <c r="I650" s="3" t="s">
        <v>241</v>
      </c>
      <c r="J650" s="3" t="s">
        <v>3125</v>
      </c>
      <c r="K650" s="3" t="s">
        <v>21</v>
      </c>
      <c r="L650" s="3" t="s">
        <v>147</v>
      </c>
      <c r="M650" s="4">
        <v>87759</v>
      </c>
      <c r="N650" s="3" t="s">
        <v>3126</v>
      </c>
      <c r="O650" s="3" t="s">
        <v>281</v>
      </c>
    </row>
    <row r="651" spans="1:15" hidden="1" x14ac:dyDescent="0.4">
      <c r="A651" s="7">
        <v>650</v>
      </c>
      <c r="B651" s="8" t="s">
        <v>3127</v>
      </c>
      <c r="C651" s="6" t="str">
        <f>IFERROR(IF(LEFT(D651,FIND(" ",D651)-1)="전라북도","전북특별자치도",LEFT(D651,FIND(" ",D651)-1)),"")</f>
        <v>전북특별자치도</v>
      </c>
      <c r="D651" s="3" t="s">
        <v>3128</v>
      </c>
      <c r="E651" s="3" t="s">
        <v>3129</v>
      </c>
      <c r="F651" s="3" t="s">
        <v>3130</v>
      </c>
      <c r="G651" s="3" t="s">
        <v>3131</v>
      </c>
      <c r="H651" s="3" t="s">
        <v>19</v>
      </c>
      <c r="I651" s="3" t="s">
        <v>19</v>
      </c>
      <c r="J651" s="3" t="s">
        <v>3132</v>
      </c>
      <c r="K651" s="3" t="s">
        <v>21</v>
      </c>
      <c r="L651" s="3" t="s">
        <v>22</v>
      </c>
      <c r="M651" s="4">
        <v>2436</v>
      </c>
      <c r="N651" s="3" t="s">
        <v>1498</v>
      </c>
      <c r="O651" s="3" t="s">
        <v>281</v>
      </c>
    </row>
    <row r="652" spans="1:15" hidden="1" x14ac:dyDescent="0.4">
      <c r="A652" s="7">
        <v>651</v>
      </c>
      <c r="B652" s="8" t="s">
        <v>3133</v>
      </c>
      <c r="C652" s="6" t="str">
        <f>IFERROR(IF(LEFT(D652,FIND(" ",D652)-1)="전라북도","전북특별자치도",LEFT(D652,FIND(" ",D652)-1)),"")</f>
        <v>전북특별자치도</v>
      </c>
      <c r="D652" s="3" t="s">
        <v>3134</v>
      </c>
      <c r="E652" s="3" t="s">
        <v>3129</v>
      </c>
      <c r="F652" s="3" t="s">
        <v>3130</v>
      </c>
      <c r="G652" s="3" t="s">
        <v>3131</v>
      </c>
      <c r="H652" s="3" t="s">
        <v>19</v>
      </c>
      <c r="I652" s="3" t="s">
        <v>3135</v>
      </c>
      <c r="J652" s="3" t="s">
        <v>19</v>
      </c>
      <c r="K652" s="3" t="s">
        <v>21</v>
      </c>
      <c r="L652" s="3" t="s">
        <v>22</v>
      </c>
      <c r="M652" s="4">
        <v>2412</v>
      </c>
      <c r="N652" s="3" t="s">
        <v>1498</v>
      </c>
      <c r="O652" s="3" t="s">
        <v>281</v>
      </c>
    </row>
    <row r="653" spans="1:15" hidden="1" x14ac:dyDescent="0.4">
      <c r="A653" s="7">
        <v>652</v>
      </c>
      <c r="B653" s="8" t="s">
        <v>3136</v>
      </c>
      <c r="C653" s="6" t="str">
        <f>IFERROR(IF(LEFT(D653,FIND(" ",D653)-1)="전라북도","전북특별자치도",LEFT(D653,FIND(" ",D653)-1)),"")</f>
        <v>울산광역시</v>
      </c>
      <c r="D653" s="3" t="s">
        <v>3137</v>
      </c>
      <c r="E653" s="3" t="s">
        <v>3138</v>
      </c>
      <c r="F653" s="3" t="s">
        <v>3130</v>
      </c>
      <c r="G653" s="3" t="s">
        <v>3139</v>
      </c>
      <c r="H653" s="3" t="s">
        <v>3140</v>
      </c>
      <c r="I653" s="3" t="s">
        <v>3141</v>
      </c>
      <c r="J653" s="3" t="s">
        <v>19</v>
      </c>
      <c r="K653" s="3" t="s">
        <v>21</v>
      </c>
      <c r="L653" s="3" t="s">
        <v>228</v>
      </c>
      <c r="M653" s="4">
        <v>2195</v>
      </c>
      <c r="N653" s="3" t="s">
        <v>1498</v>
      </c>
      <c r="O653" s="3" t="s">
        <v>281</v>
      </c>
    </row>
    <row r="654" spans="1:15" ht="22.05" customHeight="1" x14ac:dyDescent="0.4">
      <c r="A654" s="7">
        <v>268</v>
      </c>
      <c r="B654" s="8" t="s">
        <v>1364</v>
      </c>
      <c r="C654" s="6" t="str">
        <f>IFERROR(IF(LEFT(D654,FIND(" ",D654)-1)="전라북도","전북특별자치도",LEFT(D654,FIND(" ",D654)-1)),"")</f>
        <v>충청남도</v>
      </c>
      <c r="D654" s="3" t="s">
        <v>1365</v>
      </c>
      <c r="E654" s="3" t="s">
        <v>1366</v>
      </c>
      <c r="F654" s="3" t="s">
        <v>1367</v>
      </c>
      <c r="G654" s="3" t="s">
        <v>1368</v>
      </c>
      <c r="H654" s="3" t="s">
        <v>1369</v>
      </c>
      <c r="I654" s="3" t="s">
        <v>1369</v>
      </c>
      <c r="J654" s="3" t="s">
        <v>19</v>
      </c>
      <c r="K654" s="3" t="s">
        <v>21</v>
      </c>
      <c r="L654" s="3" t="s">
        <v>22</v>
      </c>
      <c r="M654" s="4">
        <v>1145</v>
      </c>
      <c r="N654" s="3" t="s">
        <v>23</v>
      </c>
      <c r="O654" s="3" t="s">
        <v>24</v>
      </c>
    </row>
    <row r="655" spans="1:15" hidden="1" x14ac:dyDescent="0.4">
      <c r="A655" s="7">
        <v>654</v>
      </c>
      <c r="B655" s="8" t="s">
        <v>3148</v>
      </c>
      <c r="C655" s="6" t="str">
        <f>IFERROR(IF(LEFT(D655,FIND(" ",D655)-1)="전라북도","전북특별자치도",LEFT(D655,FIND(" ",D655)-1)),"")</f>
        <v>경기도</v>
      </c>
      <c r="D655" s="3" t="s">
        <v>3149</v>
      </c>
      <c r="E655" s="3" t="s">
        <v>3150</v>
      </c>
      <c r="F655" s="3" t="s">
        <v>827</v>
      </c>
      <c r="G655" s="3" t="s">
        <v>19</v>
      </c>
      <c r="H655" s="3" t="s">
        <v>3151</v>
      </c>
      <c r="I655" s="3" t="s">
        <v>3151</v>
      </c>
      <c r="J655" s="3" t="s">
        <v>19</v>
      </c>
      <c r="K655" s="3" t="s">
        <v>21</v>
      </c>
      <c r="L655" s="3" t="s">
        <v>228</v>
      </c>
      <c r="M655" s="4">
        <v>393</v>
      </c>
      <c r="N655" s="3" t="s">
        <v>3152</v>
      </c>
      <c r="O655" s="3" t="s">
        <v>281</v>
      </c>
    </row>
    <row r="656" spans="1:15" hidden="1" x14ac:dyDescent="0.4">
      <c r="A656" s="7">
        <v>655</v>
      </c>
      <c r="B656" s="8" t="s">
        <v>3153</v>
      </c>
      <c r="C656" s="6" t="str">
        <f>IFERROR(IF(LEFT(D656,FIND(" ",D656)-1)="전라북도","전북특별자치도",LEFT(D656,FIND(" ",D656)-1)),"")</f>
        <v>대전광역시</v>
      </c>
      <c r="D656" s="3" t="s">
        <v>3154</v>
      </c>
      <c r="E656" s="3" t="s">
        <v>2874</v>
      </c>
      <c r="F656" s="3" t="s">
        <v>827</v>
      </c>
      <c r="G656" s="3" t="s">
        <v>19</v>
      </c>
      <c r="H656" s="3" t="s">
        <v>3155</v>
      </c>
      <c r="I656" s="3" t="s">
        <v>19</v>
      </c>
      <c r="J656" s="3" t="s">
        <v>19</v>
      </c>
      <c r="K656" s="3" t="s">
        <v>21</v>
      </c>
      <c r="L656" s="3" t="s">
        <v>147</v>
      </c>
      <c r="M656" s="4">
        <v>2125</v>
      </c>
      <c r="N656" s="3" t="s">
        <v>1498</v>
      </c>
      <c r="O656" s="3" t="s">
        <v>281</v>
      </c>
    </row>
    <row r="657" spans="1:15" hidden="1" x14ac:dyDescent="0.4">
      <c r="A657" s="7">
        <v>656</v>
      </c>
      <c r="B657" s="8" t="s">
        <v>3156</v>
      </c>
      <c r="C657" s="6" t="str">
        <f>IFERROR(IF(LEFT(D657,FIND(" ",D657)-1)="전라북도","전북특별자치도",LEFT(D657,FIND(" ",D657)-1)),"")</f>
        <v>충청남도</v>
      </c>
      <c r="D657" s="3" t="s">
        <v>3157</v>
      </c>
      <c r="E657" s="3" t="s">
        <v>3158</v>
      </c>
      <c r="F657" s="3" t="s">
        <v>3159</v>
      </c>
      <c r="G657" s="3" t="s">
        <v>3161</v>
      </c>
      <c r="H657" s="3" t="s">
        <v>3162</v>
      </c>
      <c r="I657" s="3" t="s">
        <v>3162</v>
      </c>
      <c r="J657" s="3" t="s">
        <v>262</v>
      </c>
      <c r="K657" s="3" t="s">
        <v>21</v>
      </c>
      <c r="L657" s="3" t="s">
        <v>22</v>
      </c>
      <c r="M657" s="4">
        <v>13842</v>
      </c>
      <c r="N657" s="3" t="s">
        <v>1498</v>
      </c>
      <c r="O657" s="3" t="s">
        <v>281</v>
      </c>
    </row>
    <row r="658" spans="1:15" hidden="1" x14ac:dyDescent="0.4">
      <c r="A658" s="7">
        <v>657</v>
      </c>
      <c r="B658" s="8" t="s">
        <v>3163</v>
      </c>
      <c r="C658" s="6" t="str">
        <f>IFERROR(IF(LEFT(D658,FIND(" ",D658)-1)="전라북도","전북특별자치도",LEFT(D658,FIND(" ",D658)-1)),"")</f>
        <v>경기도</v>
      </c>
      <c r="D658" s="3" t="s">
        <v>3164</v>
      </c>
      <c r="E658" s="3" t="s">
        <v>2507</v>
      </c>
      <c r="F658" s="3" t="s">
        <v>814</v>
      </c>
      <c r="G658" s="3" t="s">
        <v>3165</v>
      </c>
      <c r="H658" s="3" t="s">
        <v>1110</v>
      </c>
      <c r="I658" s="3" t="s">
        <v>2957</v>
      </c>
      <c r="J658" s="3" t="s">
        <v>19</v>
      </c>
      <c r="K658" s="3" t="s">
        <v>21</v>
      </c>
      <c r="L658" s="3" t="s">
        <v>22</v>
      </c>
      <c r="M658" s="4">
        <v>614</v>
      </c>
      <c r="N658" s="3" t="s">
        <v>1498</v>
      </c>
      <c r="O658" s="3" t="s">
        <v>281</v>
      </c>
    </row>
    <row r="659" spans="1:15" ht="22.05" customHeight="1" x14ac:dyDescent="0.4">
      <c r="A659" s="7">
        <v>274</v>
      </c>
      <c r="B659" s="8" t="s">
        <v>1399</v>
      </c>
      <c r="C659" s="6" t="str">
        <f>IFERROR(IF(LEFT(D659,FIND(" ",D659)-1)="전라북도","전북특별자치도",LEFT(D659,FIND(" ",D659)-1)),"")</f>
        <v>충청남도</v>
      </c>
      <c r="D659" s="3" t="s">
        <v>1400</v>
      </c>
      <c r="E659" s="3" t="s">
        <v>1401</v>
      </c>
      <c r="F659" s="3" t="s">
        <v>1402</v>
      </c>
      <c r="G659" s="3" t="s">
        <v>19</v>
      </c>
      <c r="H659" s="3" t="s">
        <v>1403</v>
      </c>
      <c r="I659" s="3" t="s">
        <v>19</v>
      </c>
      <c r="J659" s="3" t="s">
        <v>1404</v>
      </c>
      <c r="K659" s="3" t="s">
        <v>21</v>
      </c>
      <c r="L659" s="3" t="s">
        <v>22</v>
      </c>
      <c r="M659" s="4">
        <v>4913</v>
      </c>
      <c r="N659" s="3" t="s">
        <v>23</v>
      </c>
      <c r="O659" s="3" t="s">
        <v>24</v>
      </c>
    </row>
    <row r="660" spans="1:15" hidden="1" x14ac:dyDescent="0.4">
      <c r="A660" s="7">
        <v>659</v>
      </c>
      <c r="B660" s="8" t="s">
        <v>3170</v>
      </c>
      <c r="C660" s="6" t="str">
        <f>IFERROR(IF(LEFT(D660,FIND(" ",D660)-1)="전라북도","전북특별자치도",LEFT(D660,FIND(" ",D660)-1)),"")</f>
        <v>인천광역시</v>
      </c>
      <c r="D660" s="3" t="s">
        <v>3171</v>
      </c>
      <c r="E660" s="3" t="s">
        <v>3172</v>
      </c>
      <c r="F660" s="3" t="s">
        <v>3173</v>
      </c>
      <c r="G660" s="3" t="s">
        <v>19</v>
      </c>
      <c r="H660" s="3" t="s">
        <v>3162</v>
      </c>
      <c r="I660" s="3" t="s">
        <v>19</v>
      </c>
      <c r="J660" s="3" t="s">
        <v>19</v>
      </c>
      <c r="K660" s="3" t="s">
        <v>21</v>
      </c>
      <c r="L660" s="3" t="s">
        <v>358</v>
      </c>
      <c r="M660" s="4">
        <v>480</v>
      </c>
      <c r="N660" s="3" t="s">
        <v>1498</v>
      </c>
      <c r="O660" s="3" t="s">
        <v>281</v>
      </c>
    </row>
    <row r="661" spans="1:15" hidden="1" x14ac:dyDescent="0.4">
      <c r="A661" s="7">
        <v>660</v>
      </c>
      <c r="B661" s="8" t="s">
        <v>3174</v>
      </c>
      <c r="C661" s="6" t="str">
        <f>IFERROR(IF(LEFT(D661,FIND(" ",D661)-1)="전라북도","전북특별자치도",LEFT(D661,FIND(" ",D661)-1)),"")</f>
        <v>서울특별시</v>
      </c>
      <c r="D661" s="3" t="s">
        <v>3175</v>
      </c>
      <c r="E661" s="3" t="s">
        <v>3176</v>
      </c>
      <c r="F661" s="3" t="s">
        <v>3024</v>
      </c>
      <c r="G661" s="3" t="s">
        <v>19</v>
      </c>
      <c r="H661" s="3" t="s">
        <v>3178</v>
      </c>
      <c r="I661" s="3" t="s">
        <v>3178</v>
      </c>
      <c r="J661" s="3" t="s">
        <v>19</v>
      </c>
      <c r="K661" s="3" t="s">
        <v>21</v>
      </c>
      <c r="L661" s="3" t="s">
        <v>147</v>
      </c>
      <c r="M661" s="4">
        <v>1127</v>
      </c>
      <c r="N661" s="3" t="s">
        <v>1498</v>
      </c>
      <c r="O661" s="3" t="s">
        <v>281</v>
      </c>
    </row>
    <row r="662" spans="1:15" hidden="1" x14ac:dyDescent="0.4">
      <c r="A662" s="7">
        <v>661</v>
      </c>
      <c r="B662" s="8" t="s">
        <v>3179</v>
      </c>
      <c r="C662" s="6" t="str">
        <f>IFERROR(IF(LEFT(D662,FIND(" ",D662)-1)="전라북도","전북특별자치도",LEFT(D662,FIND(" ",D662)-1)),"")</f>
        <v>경기도</v>
      </c>
      <c r="D662" s="3" t="s">
        <v>3180</v>
      </c>
      <c r="E662" s="3" t="s">
        <v>3181</v>
      </c>
      <c r="F662" s="3" t="s">
        <v>3024</v>
      </c>
      <c r="G662" s="3" t="s">
        <v>19</v>
      </c>
      <c r="H662" s="3" t="s">
        <v>3182</v>
      </c>
      <c r="I662" s="3" t="s">
        <v>19</v>
      </c>
      <c r="J662" s="3" t="s">
        <v>19</v>
      </c>
      <c r="K662" s="3" t="s">
        <v>21</v>
      </c>
      <c r="L662" s="3" t="s">
        <v>147</v>
      </c>
      <c r="M662" s="4">
        <v>653</v>
      </c>
      <c r="N662" s="3" t="s">
        <v>19</v>
      </c>
      <c r="O662" s="3" t="s">
        <v>281</v>
      </c>
    </row>
    <row r="663" spans="1:15" hidden="1" x14ac:dyDescent="0.4">
      <c r="A663" s="7">
        <v>662</v>
      </c>
      <c r="B663" s="8" t="s">
        <v>3183</v>
      </c>
      <c r="C663" s="6" t="str">
        <f>IFERROR(IF(LEFT(D663,FIND(" ",D663)-1)="전라북도","전북특별자치도",LEFT(D663,FIND(" ",D663)-1)),"")</f>
        <v>경기도</v>
      </c>
      <c r="D663" s="3" t="s">
        <v>3184</v>
      </c>
      <c r="E663" s="3" t="s">
        <v>3181</v>
      </c>
      <c r="F663" s="3" t="s">
        <v>3024</v>
      </c>
      <c r="G663" s="3" t="s">
        <v>19</v>
      </c>
      <c r="H663" s="3" t="s">
        <v>3182</v>
      </c>
      <c r="I663" s="3" t="s">
        <v>19</v>
      </c>
      <c r="J663" s="3" t="s">
        <v>19</v>
      </c>
      <c r="K663" s="3" t="s">
        <v>21</v>
      </c>
      <c r="L663" s="3" t="s">
        <v>147</v>
      </c>
      <c r="M663" s="4">
        <v>504</v>
      </c>
      <c r="N663" s="3" t="s">
        <v>19</v>
      </c>
      <c r="O663" s="3" t="s">
        <v>281</v>
      </c>
    </row>
    <row r="664" spans="1:15" hidden="1" x14ac:dyDescent="0.4">
      <c r="A664" s="7">
        <v>663</v>
      </c>
      <c r="B664" s="8" t="s">
        <v>3185</v>
      </c>
      <c r="C664" s="6" t="str">
        <f>IFERROR(IF(LEFT(D664,FIND(" ",D664)-1)="전라북도","전북특별자치도",LEFT(D664,FIND(" ",D664)-1)),"")</f>
        <v>서울특별시</v>
      </c>
      <c r="D664" s="3" t="s">
        <v>3186</v>
      </c>
      <c r="E664" s="3" t="s">
        <v>2783</v>
      </c>
      <c r="F664" s="3" t="s">
        <v>3187</v>
      </c>
      <c r="G664" s="3" t="s">
        <v>19</v>
      </c>
      <c r="H664" s="3" t="s">
        <v>3188</v>
      </c>
      <c r="I664" s="3" t="s">
        <v>3188</v>
      </c>
      <c r="J664" s="3" t="s">
        <v>19</v>
      </c>
      <c r="K664" s="3" t="s">
        <v>21</v>
      </c>
      <c r="L664" s="3" t="s">
        <v>147</v>
      </c>
      <c r="M664" s="4">
        <v>5783</v>
      </c>
      <c r="N664" s="3" t="s">
        <v>19</v>
      </c>
      <c r="O664" s="3" t="s">
        <v>281</v>
      </c>
    </row>
    <row r="665" spans="1:15" hidden="1" x14ac:dyDescent="0.4">
      <c r="A665" s="7">
        <v>664</v>
      </c>
      <c r="B665" s="8" t="s">
        <v>3189</v>
      </c>
      <c r="C665" s="6" t="str">
        <f>IFERROR(IF(LEFT(D665,FIND(" ",D665)-1)="전라북도","전북특별자치도",LEFT(D665,FIND(" ",D665)-1)),"")</f>
        <v>경기도</v>
      </c>
      <c r="D665" s="3" t="s">
        <v>3190</v>
      </c>
      <c r="E665" s="3" t="s">
        <v>924</v>
      </c>
      <c r="F665" s="3" t="s">
        <v>3191</v>
      </c>
      <c r="G665" s="3" t="s">
        <v>19</v>
      </c>
      <c r="H665" s="3" t="s">
        <v>2831</v>
      </c>
      <c r="I665" s="3" t="s">
        <v>19</v>
      </c>
      <c r="J665" s="3" t="s">
        <v>19</v>
      </c>
      <c r="K665" s="3" t="s">
        <v>21</v>
      </c>
      <c r="L665" s="3" t="s">
        <v>147</v>
      </c>
      <c r="M665" s="4">
        <v>509</v>
      </c>
      <c r="N665" s="3" t="s">
        <v>2155</v>
      </c>
      <c r="O665" s="3" t="s">
        <v>281</v>
      </c>
    </row>
    <row r="666" spans="1:15" hidden="1" x14ac:dyDescent="0.4">
      <c r="A666" s="7">
        <v>665</v>
      </c>
      <c r="B666" s="8" t="s">
        <v>3192</v>
      </c>
      <c r="C666" s="6" t="str">
        <f>IFERROR(IF(LEFT(D666,FIND(" ",D666)-1)="전라북도","전북특별자치도",LEFT(D666,FIND(" ",D666)-1)),"")</f>
        <v>제주특별자치도</v>
      </c>
      <c r="D666" s="3" t="s">
        <v>3193</v>
      </c>
      <c r="E666" s="3" t="s">
        <v>3053</v>
      </c>
      <c r="F666" s="3" t="s">
        <v>3194</v>
      </c>
      <c r="G666" s="3" t="s">
        <v>3195</v>
      </c>
      <c r="H666" s="3" t="s">
        <v>3196</v>
      </c>
      <c r="I666" s="3" t="s">
        <v>3196</v>
      </c>
      <c r="J666" s="3" t="s">
        <v>19</v>
      </c>
      <c r="K666" s="3" t="s">
        <v>21</v>
      </c>
      <c r="L666" s="3" t="s">
        <v>22</v>
      </c>
      <c r="M666" s="4">
        <v>316</v>
      </c>
      <c r="N666" s="3" t="s">
        <v>1498</v>
      </c>
      <c r="O666" s="3" t="s">
        <v>281</v>
      </c>
    </row>
    <row r="667" spans="1:15" hidden="1" x14ac:dyDescent="0.4">
      <c r="A667" s="7">
        <v>666</v>
      </c>
      <c r="B667" s="8" t="s">
        <v>3197</v>
      </c>
      <c r="C667" s="6" t="str">
        <f>IFERROR(IF(LEFT(D667,FIND(" ",D667)-1)="전라북도","전북특별자치도",LEFT(D667,FIND(" ",D667)-1)),"")</f>
        <v>울산광역시</v>
      </c>
      <c r="D667" s="3" t="s">
        <v>3198</v>
      </c>
      <c r="E667" s="3" t="s">
        <v>3199</v>
      </c>
      <c r="F667" s="3" t="s">
        <v>3176</v>
      </c>
      <c r="G667" s="3" t="s">
        <v>19</v>
      </c>
      <c r="H667" s="3" t="s">
        <v>3200</v>
      </c>
      <c r="I667" s="3" t="s">
        <v>19</v>
      </c>
      <c r="J667" s="3" t="s">
        <v>19</v>
      </c>
      <c r="K667" s="3" t="s">
        <v>21</v>
      </c>
      <c r="L667" s="3" t="s">
        <v>147</v>
      </c>
      <c r="M667" s="4">
        <v>815</v>
      </c>
      <c r="N667" s="3" t="s">
        <v>19</v>
      </c>
      <c r="O667" s="3" t="s">
        <v>281</v>
      </c>
    </row>
    <row r="668" spans="1:15" hidden="1" x14ac:dyDescent="0.4">
      <c r="A668" s="7">
        <v>667</v>
      </c>
      <c r="B668" s="8" t="s">
        <v>3201</v>
      </c>
      <c r="C668" s="6" t="str">
        <f>IFERROR(IF(LEFT(D668,FIND(" ",D668)-1)="전라북도","전북특별자치도",LEFT(D668,FIND(" ",D668)-1)),"")</f>
        <v>전라남도</v>
      </c>
      <c r="D668" s="3" t="s">
        <v>3202</v>
      </c>
      <c r="E668" s="3" t="s">
        <v>3203</v>
      </c>
      <c r="F668" s="3" t="s">
        <v>3199</v>
      </c>
      <c r="G668" s="3" t="s">
        <v>3204</v>
      </c>
      <c r="H668" s="3" t="s">
        <v>3205</v>
      </c>
      <c r="I668" s="3" t="s">
        <v>1591</v>
      </c>
      <c r="J668" s="3" t="s">
        <v>3206</v>
      </c>
      <c r="K668" s="3" t="s">
        <v>21</v>
      </c>
      <c r="L668" s="3" t="s">
        <v>22</v>
      </c>
      <c r="M668" s="4">
        <v>2861</v>
      </c>
      <c r="N668" s="3" t="s">
        <v>1498</v>
      </c>
      <c r="O668" s="3" t="s">
        <v>281</v>
      </c>
    </row>
    <row r="669" spans="1:15" hidden="1" x14ac:dyDescent="0.4">
      <c r="A669" s="7">
        <v>668</v>
      </c>
      <c r="B669" s="8" t="s">
        <v>3207</v>
      </c>
      <c r="C669" s="6" t="str">
        <f>IFERROR(IF(LEFT(D669,FIND(" ",D669)-1)="전라북도","전북특별자치도",LEFT(D669,FIND(" ",D669)-1)),"")</f>
        <v>경기도</v>
      </c>
      <c r="D669" s="3" t="s">
        <v>3208</v>
      </c>
      <c r="E669" s="3" t="s">
        <v>3209</v>
      </c>
      <c r="F669" s="3" t="s">
        <v>924</v>
      </c>
      <c r="G669" s="3" t="s">
        <v>3210</v>
      </c>
      <c r="H669" s="3" t="s">
        <v>3211</v>
      </c>
      <c r="I669" s="3" t="s">
        <v>19</v>
      </c>
      <c r="J669" s="3" t="s">
        <v>3210</v>
      </c>
      <c r="K669" s="3" t="s">
        <v>21</v>
      </c>
      <c r="L669" s="3" t="s">
        <v>228</v>
      </c>
      <c r="M669" s="4">
        <v>78099</v>
      </c>
      <c r="N669" s="3" t="s">
        <v>19</v>
      </c>
      <c r="O669" s="3" t="s">
        <v>281</v>
      </c>
    </row>
    <row r="670" spans="1:15" hidden="1" x14ac:dyDescent="0.4">
      <c r="A670" s="7">
        <v>669</v>
      </c>
      <c r="B670" s="8" t="s">
        <v>3212</v>
      </c>
      <c r="C670" s="6" t="str">
        <f>IFERROR(IF(LEFT(D670,FIND(" ",D670)-1)="전라북도","전북특별자치도",LEFT(D670,FIND(" ",D670)-1)),"")</f>
        <v>경기도</v>
      </c>
      <c r="D670" s="3" t="s">
        <v>3213</v>
      </c>
      <c r="E670" s="3" t="s">
        <v>3214</v>
      </c>
      <c r="F670" s="3" t="s">
        <v>850</v>
      </c>
      <c r="G670" s="3" t="s">
        <v>2402</v>
      </c>
      <c r="H670" s="3" t="s">
        <v>953</v>
      </c>
      <c r="I670" s="3" t="s">
        <v>953</v>
      </c>
      <c r="J670" s="3" t="s">
        <v>19</v>
      </c>
      <c r="K670" s="3" t="s">
        <v>21</v>
      </c>
      <c r="L670" s="3" t="s">
        <v>22</v>
      </c>
      <c r="M670" s="4">
        <v>1341</v>
      </c>
      <c r="N670" s="3" t="s">
        <v>1498</v>
      </c>
      <c r="O670" s="3" t="s">
        <v>281</v>
      </c>
    </row>
    <row r="671" spans="1:15" hidden="1" x14ac:dyDescent="0.4">
      <c r="A671" s="7">
        <v>670</v>
      </c>
      <c r="B671" s="8" t="s">
        <v>3215</v>
      </c>
      <c r="C671" s="6" t="str">
        <f>IFERROR(IF(LEFT(D671,FIND(" ",D671)-1)="전라북도","전북특별자치도",LEFT(D671,FIND(" ",D671)-1)),"")</f>
        <v>경상북도</v>
      </c>
      <c r="D671" s="3" t="s">
        <v>3216</v>
      </c>
      <c r="E671" s="3" t="s">
        <v>867</v>
      </c>
      <c r="F671" s="3" t="s">
        <v>3209</v>
      </c>
      <c r="G671" s="3" t="s">
        <v>3217</v>
      </c>
      <c r="H671" s="3" t="s">
        <v>3218</v>
      </c>
      <c r="I671" s="3" t="s">
        <v>3218</v>
      </c>
      <c r="J671" s="3" t="s">
        <v>19</v>
      </c>
      <c r="K671" s="3" t="s">
        <v>21</v>
      </c>
      <c r="L671" s="3" t="s">
        <v>22</v>
      </c>
      <c r="M671" s="4">
        <v>337</v>
      </c>
      <c r="N671" s="3" t="s">
        <v>1498</v>
      </c>
      <c r="O671" s="3" t="s">
        <v>281</v>
      </c>
    </row>
    <row r="672" spans="1:15" ht="19.95" hidden="1" customHeight="1" x14ac:dyDescent="0.4">
      <c r="A672" s="7">
        <v>298</v>
      </c>
      <c r="B672" s="8" t="s">
        <v>858</v>
      </c>
      <c r="C672" s="6" t="str">
        <f>IFERROR(IF(LEFT(D672,FIND(" ",D672)-1)="전라북도","전북특별자치도",LEFT(D672,FIND(" ",D672)-1)),"")</f>
        <v>충청남도</v>
      </c>
      <c r="D672" s="3" t="s">
        <v>859</v>
      </c>
      <c r="E672" s="3" t="s">
        <v>1505</v>
      </c>
      <c r="F672" s="3" t="s">
        <v>113</v>
      </c>
      <c r="G672" s="3" t="s">
        <v>1506</v>
      </c>
      <c r="H672" s="3" t="s">
        <v>863</v>
      </c>
      <c r="I672" s="3" t="s">
        <v>1506</v>
      </c>
      <c r="J672" s="3" t="s">
        <v>19</v>
      </c>
      <c r="K672" s="3" t="s">
        <v>21</v>
      </c>
      <c r="L672" s="3" t="s">
        <v>22</v>
      </c>
      <c r="M672" s="4">
        <v>194</v>
      </c>
      <c r="N672" s="3" t="s">
        <v>1507</v>
      </c>
      <c r="O672" s="3" t="s">
        <v>24</v>
      </c>
    </row>
    <row r="673" spans="1:15" hidden="1" x14ac:dyDescent="0.4">
      <c r="A673" s="7">
        <v>672</v>
      </c>
      <c r="B673" s="8" t="s">
        <v>3222</v>
      </c>
      <c r="C673" s="6" t="str">
        <f>IFERROR(IF(LEFT(D673,FIND(" ",D673)-1)="전라북도","전북특별자치도",LEFT(D673,FIND(" ",D673)-1)),"")</f>
        <v>경기도</v>
      </c>
      <c r="D673" s="3" t="s">
        <v>3223</v>
      </c>
      <c r="E673" s="3" t="s">
        <v>3220</v>
      </c>
      <c r="F673" s="3" t="s">
        <v>3221</v>
      </c>
      <c r="G673" s="3" t="s">
        <v>19</v>
      </c>
      <c r="H673" s="3" t="s">
        <v>953</v>
      </c>
      <c r="I673" s="3" t="s">
        <v>953</v>
      </c>
      <c r="J673" s="3" t="s">
        <v>19</v>
      </c>
      <c r="K673" s="3" t="s">
        <v>21</v>
      </c>
      <c r="L673" s="3" t="s">
        <v>22</v>
      </c>
      <c r="M673" s="4">
        <v>454</v>
      </c>
      <c r="N673" s="3" t="s">
        <v>2174</v>
      </c>
      <c r="O673" s="3" t="s">
        <v>281</v>
      </c>
    </row>
    <row r="674" spans="1:15" hidden="1" x14ac:dyDescent="0.4">
      <c r="A674" s="7">
        <v>673</v>
      </c>
      <c r="B674" s="8" t="s">
        <v>3224</v>
      </c>
      <c r="C674" s="6" t="str">
        <f>IFERROR(IF(LEFT(D674,FIND(" ",D674)-1)="전라북도","전북특별자치도",LEFT(D674,FIND(" ",D674)-1)),"")</f>
        <v>경기도</v>
      </c>
      <c r="D674" s="3" t="s">
        <v>3225</v>
      </c>
      <c r="E674" s="3" t="s">
        <v>3226</v>
      </c>
      <c r="F674" s="3" t="s">
        <v>3214</v>
      </c>
      <c r="G674" s="3" t="s">
        <v>3227</v>
      </c>
      <c r="H674" s="3" t="s">
        <v>953</v>
      </c>
      <c r="I674" s="3" t="s">
        <v>953</v>
      </c>
      <c r="J674" s="3" t="s">
        <v>19</v>
      </c>
      <c r="K674" s="3" t="s">
        <v>21</v>
      </c>
      <c r="L674" s="3" t="s">
        <v>22</v>
      </c>
      <c r="M674" s="4">
        <v>1363</v>
      </c>
      <c r="N674" s="3" t="s">
        <v>1498</v>
      </c>
      <c r="O674" s="3" t="s">
        <v>281</v>
      </c>
    </row>
    <row r="675" spans="1:15" hidden="1" x14ac:dyDescent="0.4">
      <c r="A675" s="7">
        <v>674</v>
      </c>
      <c r="B675" s="8" t="s">
        <v>3228</v>
      </c>
      <c r="C675" s="6" t="str">
        <f>IFERROR(IF(LEFT(D675,FIND(" ",D675)-1)="전라북도","전북특별자치도",LEFT(D675,FIND(" ",D675)-1)),"")</f>
        <v>전라남도</v>
      </c>
      <c r="D675" s="3" t="s">
        <v>3229</v>
      </c>
      <c r="E675" s="3" t="s">
        <v>3226</v>
      </c>
      <c r="F675" s="3" t="s">
        <v>3214</v>
      </c>
      <c r="G675" s="3" t="s">
        <v>3230</v>
      </c>
      <c r="H675" s="3" t="s">
        <v>3231</v>
      </c>
      <c r="I675" s="3" t="s">
        <v>3232</v>
      </c>
      <c r="J675" s="3" t="s">
        <v>19</v>
      </c>
      <c r="K675" s="3" t="s">
        <v>21</v>
      </c>
      <c r="L675" s="3" t="s">
        <v>147</v>
      </c>
      <c r="M675" s="4">
        <v>2572</v>
      </c>
      <c r="N675" s="3" t="s">
        <v>1498</v>
      </c>
      <c r="O675" s="3" t="s">
        <v>281</v>
      </c>
    </row>
    <row r="676" spans="1:15" ht="22.05" customHeight="1" x14ac:dyDescent="0.4">
      <c r="A676" s="7">
        <v>313</v>
      </c>
      <c r="B676" s="8" t="s">
        <v>1592</v>
      </c>
      <c r="C676" s="6" t="str">
        <f>IFERROR(IF(LEFT(D676,FIND(" ",D676)-1)="전라북도","전북특별자치도",LEFT(D676,FIND(" ",D676)-1)),"")</f>
        <v>충청남도</v>
      </c>
      <c r="D676" s="3" t="s">
        <v>1593</v>
      </c>
      <c r="E676" s="3" t="s">
        <v>991</v>
      </c>
      <c r="F676" s="3" t="s">
        <v>1594</v>
      </c>
      <c r="G676" s="3" t="s">
        <v>19</v>
      </c>
      <c r="H676" s="3" t="s">
        <v>1595</v>
      </c>
      <c r="I676" s="3" t="s">
        <v>19</v>
      </c>
      <c r="J676" s="3" t="s">
        <v>1596</v>
      </c>
      <c r="K676" s="3" t="s">
        <v>21</v>
      </c>
      <c r="L676" s="3" t="s">
        <v>147</v>
      </c>
      <c r="M676" s="4">
        <v>1994</v>
      </c>
      <c r="N676" s="3" t="s">
        <v>123</v>
      </c>
      <c r="O676" s="3" t="s">
        <v>24</v>
      </c>
    </row>
    <row r="677" spans="1:15" hidden="1" x14ac:dyDescent="0.4">
      <c r="A677" s="7">
        <v>676</v>
      </c>
      <c r="B677" s="8" t="s">
        <v>3236</v>
      </c>
      <c r="C677" s="6" t="str">
        <f>IFERROR(IF(LEFT(D677,FIND(" ",D677)-1)="전라북도","전북특별자치도",LEFT(D677,FIND(" ",D677)-1)),"")</f>
        <v>서울특별시</v>
      </c>
      <c r="D677" s="3" t="s">
        <v>3237</v>
      </c>
      <c r="E677" s="3" t="s">
        <v>3226</v>
      </c>
      <c r="F677" s="3" t="s">
        <v>2829</v>
      </c>
      <c r="G677" s="3" t="s">
        <v>3238</v>
      </c>
      <c r="H677" s="3" t="s">
        <v>3239</v>
      </c>
      <c r="I677" s="3" t="s">
        <v>3239</v>
      </c>
      <c r="J677" s="3" t="s">
        <v>135</v>
      </c>
      <c r="K677" s="3" t="s">
        <v>21</v>
      </c>
      <c r="L677" s="3" t="s">
        <v>22</v>
      </c>
      <c r="M677" s="4">
        <v>1035</v>
      </c>
      <c r="N677" s="3" t="s">
        <v>1498</v>
      </c>
      <c r="O677" s="3" t="s">
        <v>281</v>
      </c>
    </row>
    <row r="678" spans="1:15" ht="22.05" customHeight="1" x14ac:dyDescent="0.4">
      <c r="A678" s="7">
        <v>355</v>
      </c>
      <c r="B678" s="8" t="s">
        <v>1804</v>
      </c>
      <c r="C678" s="6" t="str">
        <f>IFERROR(IF(LEFT(D678,FIND(" ",D678)-1)="전라북도","전북특별자치도",LEFT(D678,FIND(" ",D678)-1)),"")</f>
        <v>충청남도</v>
      </c>
      <c r="D678" s="3" t="s">
        <v>1805</v>
      </c>
      <c r="E678" s="3" t="s">
        <v>1806</v>
      </c>
      <c r="F678" s="3" t="s">
        <v>1807</v>
      </c>
      <c r="G678" s="3" t="s">
        <v>1808</v>
      </c>
      <c r="H678" s="3" t="s">
        <v>1809</v>
      </c>
      <c r="I678" s="3" t="s">
        <v>1810</v>
      </c>
      <c r="J678" s="3" t="s">
        <v>19</v>
      </c>
      <c r="K678" s="3" t="s">
        <v>21</v>
      </c>
      <c r="L678" s="3" t="s">
        <v>22</v>
      </c>
      <c r="M678" s="4">
        <v>612</v>
      </c>
      <c r="N678" s="3" t="s">
        <v>1498</v>
      </c>
      <c r="O678" s="3" t="s">
        <v>24</v>
      </c>
    </row>
    <row r="679" spans="1:15" hidden="1" x14ac:dyDescent="0.4">
      <c r="A679" s="7">
        <v>678</v>
      </c>
      <c r="B679" s="8" t="s">
        <v>3243</v>
      </c>
      <c r="C679" s="6" t="str">
        <f>IFERROR(IF(LEFT(D679,FIND(" ",D679)-1)="전라북도","전북특별자치도",LEFT(D679,FIND(" ",D679)-1)),"")</f>
        <v>경기도</v>
      </c>
      <c r="D679" s="3" t="s">
        <v>1196</v>
      </c>
      <c r="E679" s="3" t="s">
        <v>2994</v>
      </c>
      <c r="F679" s="3" t="s">
        <v>3059</v>
      </c>
      <c r="G679" s="3" t="s">
        <v>19</v>
      </c>
      <c r="H679" s="3" t="s">
        <v>302</v>
      </c>
      <c r="I679" s="3" t="s">
        <v>19</v>
      </c>
      <c r="J679" s="3" t="s">
        <v>19</v>
      </c>
      <c r="K679" s="3" t="s">
        <v>21</v>
      </c>
      <c r="L679" s="3" t="s">
        <v>22</v>
      </c>
      <c r="M679" s="4">
        <v>1284</v>
      </c>
      <c r="N679" s="3" t="s">
        <v>2155</v>
      </c>
      <c r="O679" s="3" t="s">
        <v>281</v>
      </c>
    </row>
    <row r="680" spans="1:15" hidden="1" x14ac:dyDescent="0.4">
      <c r="A680" s="7">
        <v>679</v>
      </c>
      <c r="B680" s="8" t="s">
        <v>3244</v>
      </c>
      <c r="C680" s="6" t="str">
        <f>IFERROR(IF(LEFT(D680,FIND(" ",D680)-1)="전라북도","전북특별자치도",LEFT(D680,FIND(" ",D680)-1)),"")</f>
        <v>강원특별자치도</v>
      </c>
      <c r="D680" s="3" t="s">
        <v>3245</v>
      </c>
      <c r="E680" s="3" t="s">
        <v>3246</v>
      </c>
      <c r="F680" s="3" t="s">
        <v>3247</v>
      </c>
      <c r="G680" s="3" t="s">
        <v>3249</v>
      </c>
      <c r="H680" s="3" t="s">
        <v>3250</v>
      </c>
      <c r="I680" s="3" t="s">
        <v>3251</v>
      </c>
      <c r="J680" s="3" t="s">
        <v>3252</v>
      </c>
      <c r="K680" s="3" t="s">
        <v>21</v>
      </c>
      <c r="L680" s="3" t="s">
        <v>22</v>
      </c>
      <c r="M680" s="4">
        <v>1953</v>
      </c>
      <c r="N680" s="3" t="s">
        <v>1498</v>
      </c>
      <c r="O680" s="3" t="s">
        <v>281</v>
      </c>
    </row>
    <row r="681" spans="1:15" hidden="1" x14ac:dyDescent="0.4">
      <c r="A681" s="7">
        <v>680</v>
      </c>
      <c r="B681" s="8" t="s">
        <v>3253</v>
      </c>
      <c r="C681" s="6" t="str">
        <f>IFERROR(IF(LEFT(D681,FIND(" ",D681)-1)="전라북도","전북특별자치도",LEFT(D681,FIND(" ",D681)-1)),"")</f>
        <v>전라남도</v>
      </c>
      <c r="D681" s="3" t="s">
        <v>3254</v>
      </c>
      <c r="E681" s="3" t="s">
        <v>3129</v>
      </c>
      <c r="F681" s="3" t="s">
        <v>3053</v>
      </c>
      <c r="G681" s="3" t="s">
        <v>3255</v>
      </c>
      <c r="H681" s="3" t="s">
        <v>3256</v>
      </c>
      <c r="I681" s="3" t="s">
        <v>2343</v>
      </c>
      <c r="J681" s="3" t="s">
        <v>3257</v>
      </c>
      <c r="K681" s="3" t="s">
        <v>21</v>
      </c>
      <c r="L681" s="3" t="s">
        <v>147</v>
      </c>
      <c r="M681" s="4">
        <v>2667</v>
      </c>
      <c r="N681" s="3" t="s">
        <v>1498</v>
      </c>
      <c r="O681" s="3" t="s">
        <v>281</v>
      </c>
    </row>
    <row r="682" spans="1:15" hidden="1" x14ac:dyDescent="0.4">
      <c r="A682" s="7">
        <v>681</v>
      </c>
      <c r="B682" s="8" t="s">
        <v>3258</v>
      </c>
      <c r="C682" s="6" t="str">
        <f>IFERROR(IF(LEFT(D682,FIND(" ",D682)-1)="전라북도","전북특별자치도",LEFT(D682,FIND(" ",D682)-1)),"")</f>
        <v>충청남도</v>
      </c>
      <c r="D682" s="3" t="s">
        <v>3259</v>
      </c>
      <c r="E682" s="3" t="s">
        <v>3260</v>
      </c>
      <c r="F682" s="3" t="s">
        <v>3261</v>
      </c>
      <c r="G682" s="3" t="s">
        <v>3262</v>
      </c>
      <c r="H682" s="3" t="s">
        <v>3263</v>
      </c>
      <c r="I682" s="3" t="s">
        <v>3263</v>
      </c>
      <c r="J682" s="3" t="s">
        <v>19</v>
      </c>
      <c r="K682" s="3" t="s">
        <v>21</v>
      </c>
      <c r="L682" s="3" t="s">
        <v>22</v>
      </c>
      <c r="M682" s="4">
        <v>1855</v>
      </c>
      <c r="N682" s="3" t="s">
        <v>1498</v>
      </c>
      <c r="O682" s="3" t="s">
        <v>281</v>
      </c>
    </row>
    <row r="683" spans="1:15" hidden="1" x14ac:dyDescent="0.4">
      <c r="A683" s="7">
        <v>682</v>
      </c>
      <c r="B683" s="8" t="s">
        <v>3264</v>
      </c>
      <c r="C683" s="6" t="str">
        <f>IFERROR(IF(LEFT(D683,FIND(" ",D683)-1)="전라북도","전북특별자치도",LEFT(D683,FIND(" ",D683)-1)),"")</f>
        <v>경상북도</v>
      </c>
      <c r="D683" s="3" t="s">
        <v>3265</v>
      </c>
      <c r="E683" s="3" t="s">
        <v>3266</v>
      </c>
      <c r="F683" s="3" t="s">
        <v>3002</v>
      </c>
      <c r="G683" s="3" t="s">
        <v>19</v>
      </c>
      <c r="H683" s="3" t="s">
        <v>1215</v>
      </c>
      <c r="I683" s="3" t="s">
        <v>19</v>
      </c>
      <c r="J683" s="3" t="s">
        <v>19</v>
      </c>
      <c r="K683" s="3" t="s">
        <v>21</v>
      </c>
      <c r="L683" s="3" t="s">
        <v>147</v>
      </c>
      <c r="M683" s="4">
        <v>571</v>
      </c>
      <c r="N683" s="3" t="s">
        <v>19</v>
      </c>
      <c r="O683" s="3" t="s">
        <v>281</v>
      </c>
    </row>
    <row r="684" spans="1:15" hidden="1" x14ac:dyDescent="0.4">
      <c r="A684" s="7">
        <v>683</v>
      </c>
      <c r="B684" s="8" t="s">
        <v>3267</v>
      </c>
      <c r="C684" s="6" t="str">
        <f>IFERROR(IF(LEFT(D684,FIND(" ",D684)-1)="전라북도","전북특별자치도",LEFT(D684,FIND(" ",D684)-1)),"")</f>
        <v>경상북도</v>
      </c>
      <c r="D684" s="3" t="s">
        <v>3268</v>
      </c>
      <c r="E684" s="3" t="s">
        <v>3269</v>
      </c>
      <c r="F684" s="3" t="s">
        <v>2994</v>
      </c>
      <c r="G684" s="3" t="s">
        <v>19</v>
      </c>
      <c r="H684" s="3" t="s">
        <v>3270</v>
      </c>
      <c r="I684" s="3" t="s">
        <v>19</v>
      </c>
      <c r="J684" s="3" t="s">
        <v>19</v>
      </c>
      <c r="K684" s="3" t="s">
        <v>21</v>
      </c>
      <c r="L684" s="3" t="s">
        <v>22</v>
      </c>
      <c r="M684" s="4">
        <v>1864</v>
      </c>
      <c r="N684" s="3" t="s">
        <v>1498</v>
      </c>
      <c r="O684" s="3" t="s">
        <v>281</v>
      </c>
    </row>
    <row r="685" spans="1:15" ht="22.05" customHeight="1" x14ac:dyDescent="0.4">
      <c r="A685" s="7">
        <v>356</v>
      </c>
      <c r="B685" s="8" t="s">
        <v>1811</v>
      </c>
      <c r="C685" s="6" t="str">
        <f>IFERROR(IF(LEFT(D685,FIND(" ",D685)-1)="전라북도","전북특별자치도",LEFT(D685,FIND(" ",D685)-1)),"")</f>
        <v>충청남도</v>
      </c>
      <c r="D685" s="3" t="s">
        <v>1805</v>
      </c>
      <c r="E685" s="3" t="s">
        <v>1806</v>
      </c>
      <c r="F685" s="3" t="s">
        <v>1807</v>
      </c>
      <c r="G685" s="3" t="s">
        <v>1808</v>
      </c>
      <c r="H685" s="3" t="s">
        <v>1809</v>
      </c>
      <c r="I685" s="3" t="s">
        <v>1812</v>
      </c>
      <c r="J685" s="3" t="s">
        <v>19</v>
      </c>
      <c r="K685" s="3" t="s">
        <v>21</v>
      </c>
      <c r="L685" s="3" t="s">
        <v>22</v>
      </c>
      <c r="M685" s="4">
        <v>612</v>
      </c>
      <c r="N685" s="3" t="s">
        <v>1498</v>
      </c>
      <c r="O685" s="3" t="s">
        <v>24</v>
      </c>
    </row>
    <row r="686" spans="1:15" hidden="1" x14ac:dyDescent="0.4">
      <c r="A686" s="7">
        <v>685</v>
      </c>
      <c r="B686" s="8" t="s">
        <v>3273</v>
      </c>
      <c r="C686" s="6" t="str">
        <f>IFERROR(IF(LEFT(D686,FIND(" ",D686)-1)="전라북도","전북특별자치도",LEFT(D686,FIND(" ",D686)-1)),"")</f>
        <v>경상남도</v>
      </c>
      <c r="D686" s="3" t="s">
        <v>3274</v>
      </c>
      <c r="E686" s="3" t="s">
        <v>948</v>
      </c>
      <c r="F686" s="3" t="s">
        <v>2783</v>
      </c>
      <c r="G686" s="3" t="s">
        <v>3275</v>
      </c>
      <c r="H686" s="3" t="s">
        <v>3276</v>
      </c>
      <c r="I686" s="3" t="s">
        <v>2237</v>
      </c>
      <c r="J686" s="3" t="s">
        <v>19</v>
      </c>
      <c r="K686" s="3" t="s">
        <v>21</v>
      </c>
      <c r="L686" s="3" t="s">
        <v>147</v>
      </c>
      <c r="M686" s="4">
        <v>280</v>
      </c>
      <c r="N686" s="3" t="s">
        <v>1498</v>
      </c>
      <c r="O686" s="3" t="s">
        <v>281</v>
      </c>
    </row>
    <row r="687" spans="1:15" hidden="1" x14ac:dyDescent="0.4">
      <c r="A687" s="7">
        <v>686</v>
      </c>
      <c r="B687" s="8" t="s">
        <v>3277</v>
      </c>
      <c r="C687" s="6" t="str">
        <f>IFERROR(IF(LEFT(D687,FIND(" ",D687)-1)="전라북도","전북특별자치도",LEFT(D687,FIND(" ",D687)-1)),"")</f>
        <v>충청북도</v>
      </c>
      <c r="D687" s="3" t="s">
        <v>3278</v>
      </c>
      <c r="E687" s="3" t="s">
        <v>3279</v>
      </c>
      <c r="F687" s="3" t="s">
        <v>904</v>
      </c>
      <c r="G687" s="3" t="s">
        <v>3280</v>
      </c>
      <c r="H687" s="3" t="s">
        <v>3281</v>
      </c>
      <c r="I687" s="3" t="s">
        <v>3281</v>
      </c>
      <c r="J687" s="3" t="s">
        <v>19</v>
      </c>
      <c r="K687" s="3" t="s">
        <v>21</v>
      </c>
      <c r="L687" s="3" t="s">
        <v>22</v>
      </c>
      <c r="M687" s="4">
        <v>1396</v>
      </c>
      <c r="N687" s="3" t="s">
        <v>1498</v>
      </c>
      <c r="O687" s="3" t="s">
        <v>281</v>
      </c>
    </row>
    <row r="688" spans="1:15" ht="22.05" customHeight="1" x14ac:dyDescent="0.4">
      <c r="A688" s="7">
        <v>384</v>
      </c>
      <c r="B688" s="8" t="s">
        <v>1948</v>
      </c>
      <c r="C688" s="6" t="str">
        <f>IFERROR(IF(LEFT(D688,FIND(" ",D688)-1)="전라북도","전북특별자치도",LEFT(D688,FIND(" ",D688)-1)),"")</f>
        <v>충청남도</v>
      </c>
      <c r="D688" s="3" t="s">
        <v>1949</v>
      </c>
      <c r="E688" s="3" t="s">
        <v>1610</v>
      </c>
      <c r="F688" s="3" t="s">
        <v>1950</v>
      </c>
      <c r="G688" s="3" t="s">
        <v>1951</v>
      </c>
      <c r="H688" s="3" t="s">
        <v>1952</v>
      </c>
      <c r="I688" s="3" t="s">
        <v>19</v>
      </c>
      <c r="J688" s="3" t="s">
        <v>1953</v>
      </c>
      <c r="K688" s="3" t="s">
        <v>21</v>
      </c>
      <c r="L688" s="3" t="s">
        <v>22</v>
      </c>
      <c r="M688" s="4">
        <v>578</v>
      </c>
      <c r="N688" s="3" t="s">
        <v>211</v>
      </c>
      <c r="O688" s="3" t="s">
        <v>24</v>
      </c>
    </row>
    <row r="689" spans="1:15" hidden="1" x14ac:dyDescent="0.4">
      <c r="A689" s="7">
        <v>688</v>
      </c>
      <c r="B689" s="8" t="s">
        <v>3286</v>
      </c>
      <c r="C689" s="6" t="str">
        <f>IFERROR(IF(LEFT(D689,FIND(" ",D689)-1)="전라북도","전북특별자치도",LEFT(D689,FIND(" ",D689)-1)),"")</f>
        <v>제주특별자치도</v>
      </c>
      <c r="D689" s="3" t="s">
        <v>3287</v>
      </c>
      <c r="E689" s="3" t="s">
        <v>1047</v>
      </c>
      <c r="F689" s="3" t="s">
        <v>2615</v>
      </c>
      <c r="G689" s="3" t="s">
        <v>3288</v>
      </c>
      <c r="H689" s="3" t="s">
        <v>3289</v>
      </c>
      <c r="I689" s="3" t="s">
        <v>19</v>
      </c>
      <c r="J689" s="3" t="s">
        <v>19</v>
      </c>
      <c r="K689" s="3" t="s">
        <v>21</v>
      </c>
      <c r="L689" s="3" t="s">
        <v>22</v>
      </c>
      <c r="M689" s="4">
        <v>901</v>
      </c>
      <c r="N689" s="3" t="s">
        <v>2155</v>
      </c>
      <c r="O689" s="3" t="s">
        <v>281</v>
      </c>
    </row>
    <row r="690" spans="1:15" hidden="1" x14ac:dyDescent="0.4">
      <c r="A690" s="7">
        <v>689</v>
      </c>
      <c r="B690" s="8" t="s">
        <v>3290</v>
      </c>
      <c r="C690" s="6" t="str">
        <f>IFERROR(IF(LEFT(D690,FIND(" ",D690)-1)="전라북도","전북특별자치도",LEFT(D690,FIND(" ",D690)-1)),"")</f>
        <v>경상남도</v>
      </c>
      <c r="D690" s="3" t="s">
        <v>3291</v>
      </c>
      <c r="E690" s="3" t="s">
        <v>3292</v>
      </c>
      <c r="F690" s="3" t="s">
        <v>2615</v>
      </c>
      <c r="G690" s="3" t="s">
        <v>19</v>
      </c>
      <c r="H690" s="3" t="s">
        <v>340</v>
      </c>
      <c r="I690" s="3" t="s">
        <v>19</v>
      </c>
      <c r="J690" s="3" t="s">
        <v>19</v>
      </c>
      <c r="K690" s="3" t="s">
        <v>21</v>
      </c>
      <c r="L690" s="3" t="s">
        <v>147</v>
      </c>
      <c r="M690" s="4">
        <v>759</v>
      </c>
      <c r="N690" s="3" t="s">
        <v>1498</v>
      </c>
      <c r="O690" s="3" t="s">
        <v>281</v>
      </c>
    </row>
    <row r="691" spans="1:15" hidden="1" x14ac:dyDescent="0.4">
      <c r="A691" s="7">
        <v>690</v>
      </c>
      <c r="B691" s="8" t="s">
        <v>2365</v>
      </c>
      <c r="C691" s="6" t="str">
        <f>IFERROR(IF(LEFT(D691,FIND(" ",D691)-1)="전라북도","전북특별자치도",LEFT(D691,FIND(" ",D691)-1)),"")</f>
        <v>경기도</v>
      </c>
      <c r="D691" s="3" t="s">
        <v>2366</v>
      </c>
      <c r="E691" s="3" t="s">
        <v>3181</v>
      </c>
      <c r="F691" s="3" t="s">
        <v>3293</v>
      </c>
      <c r="G691" s="3" t="s">
        <v>19</v>
      </c>
      <c r="H691" s="3" t="s">
        <v>3294</v>
      </c>
      <c r="I691" s="3" t="s">
        <v>19</v>
      </c>
      <c r="J691" s="3" t="s">
        <v>19</v>
      </c>
      <c r="K691" s="3" t="s">
        <v>21</v>
      </c>
      <c r="L691" s="3" t="s">
        <v>147</v>
      </c>
      <c r="M691" s="4">
        <v>3798</v>
      </c>
      <c r="N691" s="3" t="s">
        <v>407</v>
      </c>
      <c r="O691" s="3" t="s">
        <v>281</v>
      </c>
    </row>
    <row r="692" spans="1:15" hidden="1" x14ac:dyDescent="0.4">
      <c r="A692" s="7">
        <v>691</v>
      </c>
      <c r="B692" s="8" t="s">
        <v>3295</v>
      </c>
      <c r="C692" s="6" t="str">
        <f>IFERROR(IF(LEFT(D692,FIND(" ",D692)-1)="전라북도","전북특별자치도",LEFT(D692,FIND(" ",D692)-1)),"")</f>
        <v>부산광역시</v>
      </c>
      <c r="D692" s="3" t="s">
        <v>3296</v>
      </c>
      <c r="E692" s="3" t="s">
        <v>2353</v>
      </c>
      <c r="F692" s="3" t="s">
        <v>3297</v>
      </c>
      <c r="G692" s="3" t="s">
        <v>3298</v>
      </c>
      <c r="H692" s="3" t="s">
        <v>2291</v>
      </c>
      <c r="I692" s="3" t="s">
        <v>2291</v>
      </c>
      <c r="J692" s="3" t="s">
        <v>19</v>
      </c>
      <c r="K692" s="3" t="s">
        <v>21</v>
      </c>
      <c r="L692" s="3" t="s">
        <v>228</v>
      </c>
      <c r="M692" s="4">
        <v>2000</v>
      </c>
      <c r="N692" s="3" t="s">
        <v>1498</v>
      </c>
      <c r="O692" s="3" t="s">
        <v>281</v>
      </c>
    </row>
    <row r="693" spans="1:15" hidden="1" x14ac:dyDescent="0.4">
      <c r="A693" s="7">
        <v>692</v>
      </c>
      <c r="B693" s="8" t="s">
        <v>3299</v>
      </c>
      <c r="C693" s="6" t="str">
        <f>IFERROR(IF(LEFT(D693,FIND(" ",D693)-1)="전라북도","전북특별자치도",LEFT(D693,FIND(" ",D693)-1)),"")</f>
        <v>경기도</v>
      </c>
      <c r="D693" s="3" t="s">
        <v>3300</v>
      </c>
      <c r="E693" s="3" t="s">
        <v>3138</v>
      </c>
      <c r="F693" s="3" t="s">
        <v>3297</v>
      </c>
      <c r="G693" s="3" t="s">
        <v>3301</v>
      </c>
      <c r="H693" s="3" t="s">
        <v>953</v>
      </c>
      <c r="I693" s="3" t="s">
        <v>953</v>
      </c>
      <c r="J693" s="3" t="s">
        <v>19</v>
      </c>
      <c r="K693" s="3" t="s">
        <v>21</v>
      </c>
      <c r="L693" s="3" t="s">
        <v>22</v>
      </c>
      <c r="M693" s="4">
        <v>429</v>
      </c>
      <c r="N693" s="3" t="s">
        <v>1498</v>
      </c>
      <c r="O693" s="3" t="s">
        <v>281</v>
      </c>
    </row>
    <row r="694" spans="1:15" hidden="1" x14ac:dyDescent="0.4">
      <c r="A694" s="7">
        <v>693</v>
      </c>
      <c r="B694" s="8" t="s">
        <v>3302</v>
      </c>
      <c r="C694" s="6" t="str">
        <f>IFERROR(IF(LEFT(D694,FIND(" ",D694)-1)="전라북도","전북특별자치도",LEFT(D694,FIND(" ",D694)-1)),"")</f>
        <v>경기도</v>
      </c>
      <c r="D694" s="3" t="s">
        <v>3303</v>
      </c>
      <c r="E694" s="3" t="s">
        <v>3138</v>
      </c>
      <c r="F694" s="3" t="s">
        <v>3297</v>
      </c>
      <c r="G694" s="3" t="s">
        <v>3301</v>
      </c>
      <c r="H694" s="3" t="s">
        <v>953</v>
      </c>
      <c r="I694" s="3" t="s">
        <v>953</v>
      </c>
      <c r="J694" s="3" t="s">
        <v>19</v>
      </c>
      <c r="K694" s="3" t="s">
        <v>21</v>
      </c>
      <c r="L694" s="3" t="s">
        <v>22</v>
      </c>
      <c r="M694" s="4">
        <v>408</v>
      </c>
      <c r="N694" s="3" t="s">
        <v>1498</v>
      </c>
      <c r="O694" s="3" t="s">
        <v>281</v>
      </c>
    </row>
    <row r="695" spans="1:15" hidden="1" x14ac:dyDescent="0.4">
      <c r="A695" s="7">
        <v>694</v>
      </c>
      <c r="B695" s="8" t="s">
        <v>3304</v>
      </c>
      <c r="C695" s="6" t="str">
        <f>IFERROR(IF(LEFT(D695,FIND(" ",D695)-1)="전라북도","전북특별자치도",LEFT(D695,FIND(" ",D695)-1)),"")</f>
        <v>울산광역시</v>
      </c>
      <c r="D695" s="3" t="s">
        <v>3305</v>
      </c>
      <c r="E695" s="3" t="s">
        <v>1005</v>
      </c>
      <c r="F695" s="3" t="s">
        <v>3306</v>
      </c>
      <c r="G695" s="3" t="s">
        <v>3307</v>
      </c>
      <c r="H695" s="3" t="s">
        <v>3308</v>
      </c>
      <c r="I695" s="3" t="s">
        <v>3309</v>
      </c>
      <c r="J695" s="3" t="s">
        <v>19</v>
      </c>
      <c r="K695" s="3" t="s">
        <v>21</v>
      </c>
      <c r="L695" s="3" t="s">
        <v>22</v>
      </c>
      <c r="M695" s="4">
        <v>993</v>
      </c>
      <c r="N695" s="3" t="s">
        <v>1498</v>
      </c>
      <c r="O695" s="3" t="s">
        <v>281</v>
      </c>
    </row>
    <row r="696" spans="1:15" hidden="1" x14ac:dyDescent="0.4">
      <c r="A696" s="7">
        <v>695</v>
      </c>
      <c r="B696" s="8" t="s">
        <v>3310</v>
      </c>
      <c r="C696" s="6" t="str">
        <f>IFERROR(IF(LEFT(D696,FIND(" ",D696)-1)="전라북도","전북특별자치도",LEFT(D696,FIND(" ",D696)-1)),"")</f>
        <v>전북특별자치도</v>
      </c>
      <c r="D696" s="3" t="s">
        <v>3311</v>
      </c>
      <c r="E696" s="3" t="s">
        <v>980</v>
      </c>
      <c r="F696" s="3" t="s">
        <v>3220</v>
      </c>
      <c r="G696" s="3" t="s">
        <v>3312</v>
      </c>
      <c r="H696" s="3" t="s">
        <v>3313</v>
      </c>
      <c r="I696" s="3" t="s">
        <v>3314</v>
      </c>
      <c r="J696" s="3" t="s">
        <v>3315</v>
      </c>
      <c r="K696" s="3" t="s">
        <v>21</v>
      </c>
      <c r="L696" s="3" t="s">
        <v>22</v>
      </c>
      <c r="M696" s="4">
        <v>718</v>
      </c>
      <c r="N696" s="3" t="s">
        <v>1498</v>
      </c>
      <c r="O696" s="3" t="s">
        <v>281</v>
      </c>
    </row>
    <row r="697" spans="1:15" hidden="1" x14ac:dyDescent="0.4">
      <c r="A697" s="7">
        <v>696</v>
      </c>
      <c r="B697" s="8" t="s">
        <v>3316</v>
      </c>
      <c r="C697" s="6" t="str">
        <f>IFERROR(IF(LEFT(D697,FIND(" ",D697)-1)="전라북도","전북특별자치도",LEFT(D697,FIND(" ",D697)-1)),"")</f>
        <v>충청북도</v>
      </c>
      <c r="D697" s="3" t="s">
        <v>3317</v>
      </c>
      <c r="E697" s="3" t="s">
        <v>3318</v>
      </c>
      <c r="F697" s="3" t="s">
        <v>3220</v>
      </c>
      <c r="G697" s="3" t="s">
        <v>3319</v>
      </c>
      <c r="H697" s="3" t="s">
        <v>987</v>
      </c>
      <c r="I697" s="3" t="s">
        <v>987</v>
      </c>
      <c r="J697" s="3" t="s">
        <v>3320</v>
      </c>
      <c r="K697" s="3" t="s">
        <v>21</v>
      </c>
      <c r="L697" s="3" t="s">
        <v>22</v>
      </c>
      <c r="M697" s="4">
        <v>12033</v>
      </c>
      <c r="N697" s="3" t="s">
        <v>1498</v>
      </c>
      <c r="O697" s="3" t="s">
        <v>281</v>
      </c>
    </row>
    <row r="698" spans="1:15" hidden="1" x14ac:dyDescent="0.4">
      <c r="A698" s="7">
        <v>697</v>
      </c>
      <c r="B698" s="8" t="s">
        <v>3321</v>
      </c>
      <c r="C698" s="6" t="str">
        <f>IFERROR(IF(LEFT(D698,FIND(" ",D698)-1)="전라북도","전북특별자치도",LEFT(D698,FIND(" ",D698)-1)),"")</f>
        <v>전라남도</v>
      </c>
      <c r="D698" s="3" t="s">
        <v>3322</v>
      </c>
      <c r="E698" s="3" t="s">
        <v>1318</v>
      </c>
      <c r="F698" s="3" t="s">
        <v>3220</v>
      </c>
      <c r="G698" s="3" t="s">
        <v>3145</v>
      </c>
      <c r="H698" s="3" t="s">
        <v>3146</v>
      </c>
      <c r="I698" s="3" t="s">
        <v>3323</v>
      </c>
      <c r="J698" s="3" t="s">
        <v>3324</v>
      </c>
      <c r="K698" s="3" t="s">
        <v>21</v>
      </c>
      <c r="L698" s="3" t="s">
        <v>22</v>
      </c>
      <c r="M698" s="4">
        <v>4733</v>
      </c>
      <c r="N698" s="3" t="s">
        <v>1498</v>
      </c>
      <c r="O698" s="3" t="s">
        <v>281</v>
      </c>
    </row>
    <row r="699" spans="1:15" hidden="1" x14ac:dyDescent="0.4">
      <c r="A699" s="7">
        <v>698</v>
      </c>
      <c r="B699" s="8" t="s">
        <v>3325</v>
      </c>
      <c r="C699" s="6" t="str">
        <f>IFERROR(IF(LEFT(D699,FIND(" ",D699)-1)="전라북도","전북특별자치도",LEFT(D699,FIND(" ",D699)-1)),"")</f>
        <v>충청북도</v>
      </c>
      <c r="D699" s="3" t="s">
        <v>3326</v>
      </c>
      <c r="E699" s="3" t="s">
        <v>3327</v>
      </c>
      <c r="F699" s="3" t="s">
        <v>943</v>
      </c>
      <c r="G699" s="3" t="s">
        <v>19</v>
      </c>
      <c r="H699" s="3" t="s">
        <v>3328</v>
      </c>
      <c r="I699" s="3" t="s">
        <v>19</v>
      </c>
      <c r="J699" s="3" t="s">
        <v>19</v>
      </c>
      <c r="K699" s="3" t="s">
        <v>21</v>
      </c>
      <c r="L699" s="3" t="s">
        <v>147</v>
      </c>
      <c r="M699" s="4">
        <v>1152</v>
      </c>
      <c r="N699" s="3" t="s">
        <v>19</v>
      </c>
      <c r="O699" s="3" t="s">
        <v>281</v>
      </c>
    </row>
    <row r="700" spans="1:15" hidden="1" x14ac:dyDescent="0.4">
      <c r="A700" s="7">
        <v>699</v>
      </c>
      <c r="B700" s="8" t="s">
        <v>3329</v>
      </c>
      <c r="C700" s="6" t="str">
        <f>IFERROR(IF(LEFT(D700,FIND(" ",D700)-1)="전라북도","전북특별자치도",LEFT(D700,FIND(" ",D700)-1)),"")</f>
        <v>충청북도</v>
      </c>
      <c r="D700" s="3" t="s">
        <v>3330</v>
      </c>
      <c r="E700" s="3" t="s">
        <v>948</v>
      </c>
      <c r="F700" s="3" t="s">
        <v>943</v>
      </c>
      <c r="G700" s="3" t="s">
        <v>19</v>
      </c>
      <c r="H700" s="3" t="s">
        <v>3331</v>
      </c>
      <c r="I700" s="3" t="s">
        <v>19</v>
      </c>
      <c r="J700" s="3" t="s">
        <v>19</v>
      </c>
      <c r="K700" s="3" t="s">
        <v>21</v>
      </c>
      <c r="L700" s="3" t="s">
        <v>147</v>
      </c>
      <c r="M700" s="4">
        <v>515</v>
      </c>
      <c r="N700" s="3" t="s">
        <v>19</v>
      </c>
      <c r="O700" s="3" t="s">
        <v>281</v>
      </c>
    </row>
    <row r="701" spans="1:15" hidden="1" x14ac:dyDescent="0.4">
      <c r="A701" s="7">
        <v>700</v>
      </c>
      <c r="B701" s="8" t="s">
        <v>3332</v>
      </c>
      <c r="C701" s="6" t="str">
        <f>IFERROR(IF(LEFT(D701,FIND(" ",D701)-1)="전라북도","전북특별자치도",LEFT(D701,FIND(" ",D701)-1)),"")</f>
        <v>충청남도</v>
      </c>
      <c r="D701" s="3" t="s">
        <v>3333</v>
      </c>
      <c r="E701" s="3" t="s">
        <v>3334</v>
      </c>
      <c r="F701" s="3" t="s">
        <v>3327</v>
      </c>
      <c r="G701" s="3" t="s">
        <v>3335</v>
      </c>
      <c r="H701" s="3" t="s">
        <v>3118</v>
      </c>
      <c r="I701" s="3" t="s">
        <v>19</v>
      </c>
      <c r="J701" s="3" t="s">
        <v>19</v>
      </c>
      <c r="K701" s="3" t="s">
        <v>21</v>
      </c>
      <c r="L701" s="3" t="s">
        <v>22</v>
      </c>
      <c r="M701" s="4">
        <v>1018</v>
      </c>
      <c r="N701" s="3" t="s">
        <v>1498</v>
      </c>
      <c r="O701" s="3" t="s">
        <v>281</v>
      </c>
    </row>
    <row r="702" spans="1:15" ht="22.05" customHeight="1" x14ac:dyDescent="0.4">
      <c r="A702" s="7">
        <v>620</v>
      </c>
      <c r="B702" s="8" t="s">
        <v>2992</v>
      </c>
      <c r="C702" s="6" t="str">
        <f>IFERROR(IF(LEFT(D702,FIND(" ",D702)-1)="전라북도","전북특별자치도",LEFT(D702,FIND(" ",D702)-1)),"")</f>
        <v>충청남도</v>
      </c>
      <c r="D702" s="3" t="s">
        <v>2993</v>
      </c>
      <c r="E702" s="3" t="s">
        <v>2994</v>
      </c>
      <c r="F702" s="3" t="s">
        <v>2995</v>
      </c>
      <c r="G702" s="3" t="s">
        <v>2996</v>
      </c>
      <c r="H702" s="3" t="s">
        <v>1809</v>
      </c>
      <c r="I702" s="3" t="s">
        <v>19</v>
      </c>
      <c r="J702" s="3" t="s">
        <v>19</v>
      </c>
      <c r="K702" s="3" t="s">
        <v>21</v>
      </c>
      <c r="L702" s="3" t="s">
        <v>22</v>
      </c>
      <c r="M702" s="4">
        <v>303</v>
      </c>
      <c r="N702" s="3" t="s">
        <v>84</v>
      </c>
      <c r="O702" s="3" t="s">
        <v>24</v>
      </c>
    </row>
    <row r="703" spans="1:15" hidden="1" x14ac:dyDescent="0.4">
      <c r="A703" s="7">
        <v>702</v>
      </c>
      <c r="B703" s="8" t="s">
        <v>3339</v>
      </c>
      <c r="C703" s="6" t="str">
        <f>IFERROR(IF(LEFT(D703,FIND(" ",D703)-1)="전라북도","전북특별자치도",LEFT(D703,FIND(" ",D703)-1)),"")</f>
        <v>전북특별자치도</v>
      </c>
      <c r="D703" s="3" t="s">
        <v>3340</v>
      </c>
      <c r="E703" s="3" t="s">
        <v>3341</v>
      </c>
      <c r="F703" s="3" t="s">
        <v>3342</v>
      </c>
      <c r="G703" s="3" t="s">
        <v>3343</v>
      </c>
      <c r="H703" s="3" t="s">
        <v>3344</v>
      </c>
      <c r="I703" s="3" t="s">
        <v>3345</v>
      </c>
      <c r="J703" s="3" t="s">
        <v>19</v>
      </c>
      <c r="K703" s="3" t="s">
        <v>21</v>
      </c>
      <c r="L703" s="3" t="s">
        <v>22</v>
      </c>
      <c r="M703" s="4">
        <v>149</v>
      </c>
      <c r="N703" s="3" t="s">
        <v>1498</v>
      </c>
      <c r="O703" s="3" t="s">
        <v>281</v>
      </c>
    </row>
    <row r="704" spans="1:15" hidden="1" x14ac:dyDescent="0.4">
      <c r="A704" s="7">
        <v>703</v>
      </c>
      <c r="B704" s="8" t="s">
        <v>3346</v>
      </c>
      <c r="C704" s="6" t="str">
        <f>IFERROR(IF(LEFT(D704,FIND(" ",D704)-1)="전라북도","전북특별자치도",LEFT(D704,FIND(" ",D704)-1)),"")</f>
        <v>경상남도</v>
      </c>
      <c r="D704" s="3" t="s">
        <v>3347</v>
      </c>
      <c r="E704" s="3" t="s">
        <v>1388</v>
      </c>
      <c r="F704" s="3" t="s">
        <v>3348</v>
      </c>
      <c r="G704" s="3" t="s">
        <v>19</v>
      </c>
      <c r="H704" s="3" t="s">
        <v>3349</v>
      </c>
      <c r="I704" s="3" t="s">
        <v>3350</v>
      </c>
      <c r="J704" s="3" t="s">
        <v>19</v>
      </c>
      <c r="K704" s="3" t="s">
        <v>21</v>
      </c>
      <c r="L704" s="3" t="s">
        <v>358</v>
      </c>
      <c r="M704" s="4">
        <v>1178</v>
      </c>
      <c r="N704" s="3" t="s">
        <v>1498</v>
      </c>
      <c r="O704" s="3" t="s">
        <v>281</v>
      </c>
    </row>
    <row r="705" spans="1:15" hidden="1" x14ac:dyDescent="0.4">
      <c r="A705" s="7">
        <v>704</v>
      </c>
      <c r="B705" s="8" t="s">
        <v>3351</v>
      </c>
      <c r="C705" s="6" t="str">
        <f>IFERROR(IF(LEFT(D705,FIND(" ",D705)-1)="전라북도","전북특별자치도",LEFT(D705,FIND(" ",D705)-1)),"")</f>
        <v>대전광역시</v>
      </c>
      <c r="D705" s="3" t="s">
        <v>3352</v>
      </c>
      <c r="E705" s="3" t="s">
        <v>3353</v>
      </c>
      <c r="F705" s="3" t="s">
        <v>3080</v>
      </c>
      <c r="G705" s="3" t="s">
        <v>19</v>
      </c>
      <c r="H705" s="3" t="s">
        <v>3354</v>
      </c>
      <c r="I705" s="3" t="s">
        <v>19</v>
      </c>
      <c r="J705" s="3" t="s">
        <v>19</v>
      </c>
      <c r="K705" s="3" t="s">
        <v>21</v>
      </c>
      <c r="L705" s="3" t="s">
        <v>147</v>
      </c>
      <c r="M705" s="4">
        <v>617</v>
      </c>
      <c r="N705" s="3" t="s">
        <v>19</v>
      </c>
      <c r="O705" s="3" t="s">
        <v>281</v>
      </c>
    </row>
    <row r="706" spans="1:15" hidden="1" x14ac:dyDescent="0.4">
      <c r="A706" s="7">
        <v>705</v>
      </c>
      <c r="B706" s="8" t="s">
        <v>3355</v>
      </c>
      <c r="C706" s="6" t="str">
        <f>IFERROR(IF(LEFT(D706,FIND(" ",D706)-1)="전라북도","전북특별자치도",LEFT(D706,FIND(" ",D706)-1)),"")</f>
        <v>경상남도</v>
      </c>
      <c r="D706" s="3" t="s">
        <v>3356</v>
      </c>
      <c r="E706" s="3" t="s">
        <v>1639</v>
      </c>
      <c r="F706" s="3" t="s">
        <v>3080</v>
      </c>
      <c r="G706" s="3" t="s">
        <v>3357</v>
      </c>
      <c r="H706" s="3" t="s">
        <v>2738</v>
      </c>
      <c r="I706" s="3" t="s">
        <v>19</v>
      </c>
      <c r="J706" s="3" t="s">
        <v>19</v>
      </c>
      <c r="K706" s="3" t="s">
        <v>21</v>
      </c>
      <c r="L706" s="3" t="s">
        <v>22</v>
      </c>
      <c r="M706" s="4">
        <v>442</v>
      </c>
      <c r="N706" s="3" t="s">
        <v>1498</v>
      </c>
      <c r="O706" s="3" t="s">
        <v>281</v>
      </c>
    </row>
    <row r="707" spans="1:15" hidden="1" x14ac:dyDescent="0.4">
      <c r="A707" s="7">
        <v>706</v>
      </c>
      <c r="B707" s="8" t="s">
        <v>3358</v>
      </c>
      <c r="C707" s="6" t="str">
        <f>IFERROR(IF(LEFT(D707,FIND(" ",D707)-1)="전라북도","전북특별자치도",LEFT(D707,FIND(" ",D707)-1)),"")</f>
        <v>충청남도</v>
      </c>
      <c r="D707" s="3" t="s">
        <v>3359</v>
      </c>
      <c r="E707" s="3" t="s">
        <v>3360</v>
      </c>
      <c r="F707" s="3" t="s">
        <v>3068</v>
      </c>
      <c r="G707" s="3" t="s">
        <v>3361</v>
      </c>
      <c r="H707" s="3" t="s">
        <v>1296</v>
      </c>
      <c r="I707" s="3" t="s">
        <v>19</v>
      </c>
      <c r="J707" s="3" t="s">
        <v>19</v>
      </c>
      <c r="K707" s="3" t="s">
        <v>21</v>
      </c>
      <c r="L707" s="3" t="s">
        <v>22</v>
      </c>
      <c r="M707" s="4">
        <v>500</v>
      </c>
      <c r="N707" s="3" t="s">
        <v>1498</v>
      </c>
      <c r="O707" s="3" t="s">
        <v>281</v>
      </c>
    </row>
    <row r="708" spans="1:15" ht="22.05" customHeight="1" x14ac:dyDescent="0.4">
      <c r="A708" s="7">
        <v>622</v>
      </c>
      <c r="B708" s="8" t="s">
        <v>3000</v>
      </c>
      <c r="C708" s="6" t="str">
        <f>IFERROR(IF(LEFT(D708,FIND(" ",D708)-1)="전라북도","전북특별자치도",LEFT(D708,FIND(" ",D708)-1)),"")</f>
        <v>충청남도</v>
      </c>
      <c r="D708" s="3" t="s">
        <v>3001</v>
      </c>
      <c r="E708" s="3" t="s">
        <v>3002</v>
      </c>
      <c r="F708" s="3" t="s">
        <v>2995</v>
      </c>
      <c r="G708" s="3" t="s">
        <v>3003</v>
      </c>
      <c r="H708" s="3" t="s">
        <v>3004</v>
      </c>
      <c r="I708" s="3" t="s">
        <v>3005</v>
      </c>
      <c r="J708" s="3" t="s">
        <v>3006</v>
      </c>
      <c r="K708" s="3" t="s">
        <v>21</v>
      </c>
      <c r="L708" s="3" t="s">
        <v>22</v>
      </c>
      <c r="M708" s="4">
        <v>274379</v>
      </c>
      <c r="N708" s="3" t="s">
        <v>1498</v>
      </c>
      <c r="O708" s="3" t="s">
        <v>24</v>
      </c>
    </row>
    <row r="709" spans="1:15" hidden="1" x14ac:dyDescent="0.4">
      <c r="A709" s="7">
        <v>708</v>
      </c>
      <c r="B709" s="8" t="s">
        <v>3368</v>
      </c>
      <c r="C709" s="6" t="str">
        <f>IFERROR(IF(LEFT(D709,FIND(" ",D709)-1)="전라북도","전북특별자치도",LEFT(D709,FIND(" ",D709)-1)),"")</f>
        <v>전북특별자치도</v>
      </c>
      <c r="D709" s="3" t="s">
        <v>3369</v>
      </c>
      <c r="E709" s="3" t="s">
        <v>1218</v>
      </c>
      <c r="F709" s="3" t="s">
        <v>3370</v>
      </c>
      <c r="G709" s="3" t="s">
        <v>3371</v>
      </c>
      <c r="H709" s="3" t="s">
        <v>3372</v>
      </c>
      <c r="I709" s="3" t="s">
        <v>3372</v>
      </c>
      <c r="J709" s="3" t="s">
        <v>3373</v>
      </c>
      <c r="K709" s="3" t="s">
        <v>21</v>
      </c>
      <c r="L709" s="3" t="s">
        <v>22</v>
      </c>
      <c r="M709" s="4">
        <v>1992</v>
      </c>
      <c r="N709" s="3" t="s">
        <v>1498</v>
      </c>
      <c r="O709" s="3" t="s">
        <v>281</v>
      </c>
    </row>
    <row r="710" spans="1:15" hidden="1" x14ac:dyDescent="0.4">
      <c r="A710" s="7">
        <v>709</v>
      </c>
      <c r="B710" s="8" t="s">
        <v>3374</v>
      </c>
      <c r="C710" s="6" t="str">
        <f>IFERROR(IF(LEFT(D710,FIND(" ",D710)-1)="전라북도","전북특별자치도",LEFT(D710,FIND(" ",D710)-1)),"")</f>
        <v>전북특별자치도</v>
      </c>
      <c r="D710" s="3" t="s">
        <v>3375</v>
      </c>
      <c r="E710" s="3" t="s">
        <v>3376</v>
      </c>
      <c r="F710" s="3" t="s">
        <v>3377</v>
      </c>
      <c r="G710" s="3" t="s">
        <v>3378</v>
      </c>
      <c r="H710" s="3" t="s">
        <v>436</v>
      </c>
      <c r="I710" s="3" t="s">
        <v>19</v>
      </c>
      <c r="J710" s="3" t="s">
        <v>19</v>
      </c>
      <c r="K710" s="3" t="s">
        <v>21</v>
      </c>
      <c r="L710" s="3" t="s">
        <v>147</v>
      </c>
      <c r="M710" s="4">
        <v>1395</v>
      </c>
      <c r="N710" s="3" t="s">
        <v>1498</v>
      </c>
      <c r="O710" s="3" t="s">
        <v>281</v>
      </c>
    </row>
    <row r="711" spans="1:15" hidden="1" x14ac:dyDescent="0.4">
      <c r="A711" s="7">
        <v>710</v>
      </c>
      <c r="B711" s="8" t="s">
        <v>3379</v>
      </c>
      <c r="C711" s="6" t="str">
        <f>IFERROR(IF(LEFT(D711,FIND(" ",D711)-1)="전라북도","전북특별자치도",LEFT(D711,FIND(" ",D711)-1)),"")</f>
        <v>충청남도</v>
      </c>
      <c r="D711" s="3" t="s">
        <v>3380</v>
      </c>
      <c r="E711" s="3" t="s">
        <v>1748</v>
      </c>
      <c r="F711" s="3" t="s">
        <v>2877</v>
      </c>
      <c r="G711" s="3" t="s">
        <v>2258</v>
      </c>
      <c r="H711" s="3" t="s">
        <v>2259</v>
      </c>
      <c r="I711" s="3" t="s">
        <v>2259</v>
      </c>
      <c r="J711" s="3" t="s">
        <v>3381</v>
      </c>
      <c r="K711" s="3" t="s">
        <v>21</v>
      </c>
      <c r="L711" s="3" t="s">
        <v>22</v>
      </c>
      <c r="M711" s="4">
        <v>2350</v>
      </c>
      <c r="N711" s="3" t="s">
        <v>1498</v>
      </c>
      <c r="O711" s="3" t="s">
        <v>281</v>
      </c>
    </row>
    <row r="712" spans="1:15" ht="22.05" customHeight="1" x14ac:dyDescent="0.4">
      <c r="A712" s="7">
        <v>729</v>
      </c>
      <c r="B712" s="8" t="s">
        <v>3453</v>
      </c>
      <c r="C712" s="6" t="str">
        <f>IFERROR(IF(LEFT(D712,FIND(" ",D712)-1)="전라북도","전북특별자치도",LEFT(D712,FIND(" ",D712)-1)),"")</f>
        <v>충청남도</v>
      </c>
      <c r="D712" s="3" t="s">
        <v>3454</v>
      </c>
      <c r="E712" s="3" t="s">
        <v>3455</v>
      </c>
      <c r="F712" s="3" t="s">
        <v>1005</v>
      </c>
      <c r="G712" s="3" t="s">
        <v>2947</v>
      </c>
      <c r="H712" s="3" t="s">
        <v>2948</v>
      </c>
      <c r="I712" s="3" t="s">
        <v>19</v>
      </c>
      <c r="J712" s="3" t="s">
        <v>19</v>
      </c>
      <c r="K712" s="3" t="s">
        <v>21</v>
      </c>
      <c r="L712" s="3" t="s">
        <v>22</v>
      </c>
      <c r="M712" s="4">
        <v>3092</v>
      </c>
      <c r="N712" s="3" t="s">
        <v>1498</v>
      </c>
      <c r="O712" s="3" t="s">
        <v>24</v>
      </c>
    </row>
    <row r="713" spans="1:15" ht="22.05" customHeight="1" x14ac:dyDescent="0.4">
      <c r="A713" s="7">
        <v>27</v>
      </c>
      <c r="B713" s="8" t="s">
        <v>164</v>
      </c>
      <c r="C713" s="6" t="str">
        <f>IFERROR(IF(LEFT(D713,FIND(" ",D713)-1)="전라북도","전북특별자치도",LEFT(D713,FIND(" ",D713)-1)),"")</f>
        <v>충청북도</v>
      </c>
      <c r="D713" s="3" t="s">
        <v>165</v>
      </c>
      <c r="E713" s="3" t="s">
        <v>166</v>
      </c>
      <c r="F713" s="3" t="s">
        <v>167</v>
      </c>
      <c r="G713" s="3" t="s">
        <v>19</v>
      </c>
      <c r="H713" s="3" t="s">
        <v>168</v>
      </c>
      <c r="I713" s="3" t="s">
        <v>19</v>
      </c>
      <c r="J713" s="3" t="s">
        <v>19</v>
      </c>
      <c r="K713" s="3" t="s">
        <v>21</v>
      </c>
      <c r="L713" s="3" t="s">
        <v>22</v>
      </c>
      <c r="M713" s="4">
        <v>2596</v>
      </c>
      <c r="N713" s="3" t="s">
        <v>23</v>
      </c>
      <c r="O713" s="3" t="s">
        <v>24</v>
      </c>
    </row>
    <row r="714" spans="1:15" hidden="1" x14ac:dyDescent="0.4">
      <c r="A714" s="7">
        <v>713</v>
      </c>
      <c r="B714" s="8" t="s">
        <v>3390</v>
      </c>
      <c r="C714" s="6" t="str">
        <f>IFERROR(IF(LEFT(D714,FIND(" ",D714)-1)="전라북도","전북특별자치도",LEFT(D714,FIND(" ",D714)-1)),"")</f>
        <v>경기도</v>
      </c>
      <c r="D714" s="3" t="s">
        <v>3383</v>
      </c>
      <c r="E714" s="3" t="s">
        <v>991</v>
      </c>
      <c r="F714" s="3" t="s">
        <v>969</v>
      </c>
      <c r="G714" s="3" t="s">
        <v>3391</v>
      </c>
      <c r="H714" s="3" t="s">
        <v>3385</v>
      </c>
      <c r="I714" s="3" t="s">
        <v>3385</v>
      </c>
      <c r="J714" s="3" t="s">
        <v>19</v>
      </c>
      <c r="K714" s="3" t="s">
        <v>21</v>
      </c>
      <c r="L714" s="3" t="s">
        <v>22</v>
      </c>
      <c r="M714" s="4">
        <v>1064</v>
      </c>
      <c r="N714" s="3" t="s">
        <v>2155</v>
      </c>
      <c r="O714" s="3" t="s">
        <v>281</v>
      </c>
    </row>
    <row r="715" spans="1:15" hidden="1" x14ac:dyDescent="0.4">
      <c r="A715" s="7">
        <v>714</v>
      </c>
      <c r="B715" s="8" t="s">
        <v>3392</v>
      </c>
      <c r="C715" s="6" t="str">
        <f>IFERROR(IF(LEFT(D715,FIND(" ",D715)-1)="전라북도","전북특별자치도",LEFT(D715,FIND(" ",D715)-1)),"")</f>
        <v>경기도</v>
      </c>
      <c r="D715" s="3" t="s">
        <v>3393</v>
      </c>
      <c r="E715" s="3" t="s">
        <v>1654</v>
      </c>
      <c r="F715" s="3" t="s">
        <v>3074</v>
      </c>
      <c r="G715" s="3" t="s">
        <v>19</v>
      </c>
      <c r="H715" s="3" t="s">
        <v>953</v>
      </c>
      <c r="I715" s="3" t="s">
        <v>953</v>
      </c>
      <c r="J715" s="3" t="s">
        <v>19</v>
      </c>
      <c r="K715" s="3" t="s">
        <v>21</v>
      </c>
      <c r="L715" s="3" t="s">
        <v>22</v>
      </c>
      <c r="M715" s="4">
        <v>707</v>
      </c>
      <c r="N715" s="3" t="s">
        <v>1498</v>
      </c>
      <c r="O715" s="3" t="s">
        <v>281</v>
      </c>
    </row>
    <row r="716" spans="1:15" hidden="1" x14ac:dyDescent="0.4">
      <c r="A716" s="7">
        <v>715</v>
      </c>
      <c r="B716" s="8" t="s">
        <v>3394</v>
      </c>
      <c r="C716" s="6" t="str">
        <f>IFERROR(IF(LEFT(D716,FIND(" ",D716)-1)="전라북도","전북특별자치도",LEFT(D716,FIND(" ",D716)-1)),"")</f>
        <v>경기도</v>
      </c>
      <c r="D716" s="3" t="s">
        <v>3395</v>
      </c>
      <c r="E716" s="3" t="s">
        <v>1654</v>
      </c>
      <c r="F716" s="3" t="s">
        <v>3074</v>
      </c>
      <c r="G716" s="3" t="s">
        <v>19</v>
      </c>
      <c r="H716" s="3" t="s">
        <v>953</v>
      </c>
      <c r="I716" s="3" t="s">
        <v>953</v>
      </c>
      <c r="J716" s="3" t="s">
        <v>19</v>
      </c>
      <c r="K716" s="3" t="s">
        <v>21</v>
      </c>
      <c r="L716" s="3" t="s">
        <v>22</v>
      </c>
      <c r="M716" s="4">
        <v>708</v>
      </c>
      <c r="N716" s="3" t="s">
        <v>1498</v>
      </c>
      <c r="O716" s="3" t="s">
        <v>281</v>
      </c>
    </row>
    <row r="717" spans="1:15" hidden="1" x14ac:dyDescent="0.4">
      <c r="A717" s="7">
        <v>716</v>
      </c>
      <c r="B717" s="8" t="s">
        <v>3396</v>
      </c>
      <c r="C717" s="6" t="str">
        <f>IFERROR(IF(LEFT(D717,FIND(" ",D717)-1)="전라북도","전북특별자치도",LEFT(D717,FIND(" ",D717)-1)),"")</f>
        <v>경기도</v>
      </c>
      <c r="D717" s="3" t="s">
        <v>3397</v>
      </c>
      <c r="E717" s="3" t="s">
        <v>3398</v>
      </c>
      <c r="F717" s="3" t="s">
        <v>3399</v>
      </c>
      <c r="G717" s="3" t="s">
        <v>2402</v>
      </c>
      <c r="H717" s="3" t="s">
        <v>210</v>
      </c>
      <c r="I717" s="3" t="s">
        <v>210</v>
      </c>
      <c r="J717" s="3" t="s">
        <v>51</v>
      </c>
      <c r="K717" s="3" t="s">
        <v>21</v>
      </c>
      <c r="L717" s="3" t="s">
        <v>22</v>
      </c>
      <c r="M717" s="4">
        <v>2420</v>
      </c>
      <c r="N717" s="3" t="s">
        <v>1498</v>
      </c>
      <c r="O717" s="3" t="s">
        <v>281</v>
      </c>
    </row>
    <row r="718" spans="1:15" hidden="1" x14ac:dyDescent="0.4">
      <c r="A718" s="7">
        <v>717</v>
      </c>
      <c r="B718" s="8" t="s">
        <v>3400</v>
      </c>
      <c r="C718" s="6" t="str">
        <f>IFERROR(IF(LEFT(D718,FIND(" ",D718)-1)="전라북도","전북특별자치도",LEFT(D718,FIND(" ",D718)-1)),"")</f>
        <v>전라남도</v>
      </c>
      <c r="D718" s="3" t="s">
        <v>3401</v>
      </c>
      <c r="E718" s="3" t="s">
        <v>3398</v>
      </c>
      <c r="F718" s="3" t="s">
        <v>956</v>
      </c>
      <c r="G718" s="3" t="s">
        <v>3402</v>
      </c>
      <c r="H718" s="3" t="s">
        <v>2893</v>
      </c>
      <c r="I718" s="3" t="s">
        <v>2893</v>
      </c>
      <c r="J718" s="3" t="s">
        <v>19</v>
      </c>
      <c r="K718" s="3" t="s">
        <v>21</v>
      </c>
      <c r="L718" s="3" t="s">
        <v>147</v>
      </c>
      <c r="M718" s="4">
        <v>495</v>
      </c>
      <c r="N718" s="3" t="s">
        <v>1498</v>
      </c>
      <c r="O718" s="3" t="s">
        <v>281</v>
      </c>
    </row>
    <row r="719" spans="1:15" hidden="1" x14ac:dyDescent="0.4">
      <c r="A719" s="7">
        <v>718</v>
      </c>
      <c r="B719" s="8" t="s">
        <v>3403</v>
      </c>
      <c r="C719" s="6" t="str">
        <f>IFERROR(IF(LEFT(D719,FIND(" ",D719)-1)="전라북도","전북특별자치도",LEFT(D719,FIND(" ",D719)-1)),"")</f>
        <v>경상북도</v>
      </c>
      <c r="D719" s="3" t="s">
        <v>3404</v>
      </c>
      <c r="E719" s="3" t="s">
        <v>3405</v>
      </c>
      <c r="F719" s="3" t="s">
        <v>3138</v>
      </c>
      <c r="G719" s="3" t="s">
        <v>3407</v>
      </c>
      <c r="H719" s="3" t="s">
        <v>3408</v>
      </c>
      <c r="I719" s="3" t="s">
        <v>3409</v>
      </c>
      <c r="J719" s="3" t="s">
        <v>19</v>
      </c>
      <c r="K719" s="3" t="s">
        <v>21</v>
      </c>
      <c r="L719" s="3" t="s">
        <v>147</v>
      </c>
      <c r="M719" s="4">
        <v>693</v>
      </c>
      <c r="N719" s="3" t="s">
        <v>2155</v>
      </c>
      <c r="O719" s="3" t="s">
        <v>281</v>
      </c>
    </row>
    <row r="720" spans="1:15" hidden="1" x14ac:dyDescent="0.4">
      <c r="A720" s="7">
        <v>719</v>
      </c>
      <c r="B720" s="8" t="s">
        <v>3410</v>
      </c>
      <c r="C720" s="6" t="str">
        <f>IFERROR(IF(LEFT(D720,FIND(" ",D720)-1)="전라북도","전북특별자치도",LEFT(D720,FIND(" ",D720)-1)),"")</f>
        <v>충청남도</v>
      </c>
      <c r="D720" s="3" t="s">
        <v>3411</v>
      </c>
      <c r="E720" s="3" t="s">
        <v>3412</v>
      </c>
      <c r="F720" s="3" t="s">
        <v>980</v>
      </c>
      <c r="G720" s="3" t="s">
        <v>3413</v>
      </c>
      <c r="H720" s="3" t="s">
        <v>2202</v>
      </c>
      <c r="I720" s="3" t="s">
        <v>2203</v>
      </c>
      <c r="J720" s="3" t="s">
        <v>19</v>
      </c>
      <c r="K720" s="3" t="s">
        <v>21</v>
      </c>
      <c r="L720" s="3" t="s">
        <v>22</v>
      </c>
      <c r="M720" s="4">
        <v>2041</v>
      </c>
      <c r="N720" s="3" t="s">
        <v>1498</v>
      </c>
      <c r="O720" s="3" t="s">
        <v>281</v>
      </c>
    </row>
    <row r="721" spans="1:15" hidden="1" x14ac:dyDescent="0.4">
      <c r="A721" s="7">
        <v>720</v>
      </c>
      <c r="B721" s="8" t="s">
        <v>3414</v>
      </c>
      <c r="C721" s="6" t="str">
        <f>IFERROR(IF(LEFT(D721,FIND(" ",D721)-1)="전라북도","전북특별자치도",LEFT(D721,FIND(" ",D721)-1)),"")</f>
        <v>강원특별자치도</v>
      </c>
      <c r="D721" s="3" t="s">
        <v>3415</v>
      </c>
      <c r="E721" s="3" t="s">
        <v>1043</v>
      </c>
      <c r="F721" s="3" t="s">
        <v>3376</v>
      </c>
      <c r="G721" s="3" t="s">
        <v>1160</v>
      </c>
      <c r="H721" s="3" t="s">
        <v>3416</v>
      </c>
      <c r="I721" s="3" t="s">
        <v>2573</v>
      </c>
      <c r="J721" s="3" t="s">
        <v>1160</v>
      </c>
      <c r="K721" s="3" t="s">
        <v>21</v>
      </c>
      <c r="L721" s="3" t="s">
        <v>22</v>
      </c>
      <c r="M721" s="4">
        <v>1532</v>
      </c>
      <c r="N721" s="3" t="s">
        <v>562</v>
      </c>
      <c r="O721" s="3" t="s">
        <v>281</v>
      </c>
    </row>
    <row r="722" spans="1:15" hidden="1" x14ac:dyDescent="0.4">
      <c r="A722" s="7">
        <v>721</v>
      </c>
      <c r="B722" s="8" t="s">
        <v>3417</v>
      </c>
      <c r="C722" s="6" t="str">
        <f>IFERROR(IF(LEFT(D722,FIND(" ",D722)-1)="전라북도","전북특별자치도",LEFT(D722,FIND(" ",D722)-1)),"")</f>
        <v>경상남도</v>
      </c>
      <c r="D722" s="3" t="s">
        <v>3418</v>
      </c>
      <c r="E722" s="3" t="s">
        <v>3226</v>
      </c>
      <c r="F722" s="3" t="s">
        <v>3376</v>
      </c>
      <c r="G722" s="3" t="s">
        <v>3075</v>
      </c>
      <c r="H722" s="3" t="s">
        <v>3076</v>
      </c>
      <c r="I722" s="3" t="s">
        <v>3077</v>
      </c>
      <c r="J722" s="3" t="s">
        <v>19</v>
      </c>
      <c r="K722" s="3" t="s">
        <v>21</v>
      </c>
      <c r="L722" s="3" t="s">
        <v>22</v>
      </c>
      <c r="M722" s="4">
        <v>808</v>
      </c>
      <c r="N722" s="3" t="s">
        <v>1498</v>
      </c>
      <c r="O722" s="3" t="s">
        <v>281</v>
      </c>
    </row>
    <row r="723" spans="1:15" hidden="1" x14ac:dyDescent="0.4">
      <c r="A723" s="7">
        <v>722</v>
      </c>
      <c r="B723" s="8" t="s">
        <v>3420</v>
      </c>
      <c r="C723" s="6" t="str">
        <f>IFERROR(IF(LEFT(D723,FIND(" ",D723)-1)="전라북도","전북특별자치도",LEFT(D723,FIND(" ",D723)-1)),"")</f>
        <v>경상남도</v>
      </c>
      <c r="D723" s="3" t="s">
        <v>3421</v>
      </c>
      <c r="E723" s="3" t="s">
        <v>2353</v>
      </c>
      <c r="F723" s="3" t="s">
        <v>3376</v>
      </c>
      <c r="G723" s="3" t="s">
        <v>3357</v>
      </c>
      <c r="H723" s="3" t="s">
        <v>3422</v>
      </c>
      <c r="I723" s="3" t="s">
        <v>19</v>
      </c>
      <c r="J723" s="3" t="s">
        <v>19</v>
      </c>
      <c r="K723" s="3" t="s">
        <v>21</v>
      </c>
      <c r="L723" s="3" t="s">
        <v>22</v>
      </c>
      <c r="M723" s="4">
        <v>667</v>
      </c>
      <c r="N723" s="3" t="s">
        <v>1498</v>
      </c>
      <c r="O723" s="3" t="s">
        <v>281</v>
      </c>
    </row>
    <row r="724" spans="1:15" hidden="1" x14ac:dyDescent="0.4">
      <c r="A724" s="7">
        <v>723</v>
      </c>
      <c r="B724" s="8" t="s">
        <v>3423</v>
      </c>
      <c r="C724" s="6" t="str">
        <f>IFERROR(IF(LEFT(D724,FIND(" ",D724)-1)="전라북도","전북특별자치도",LEFT(D724,FIND(" ",D724)-1)),"")</f>
        <v>강원특별자치도</v>
      </c>
      <c r="D724" s="3" t="s">
        <v>3424</v>
      </c>
      <c r="E724" s="3" t="s">
        <v>3425</v>
      </c>
      <c r="F724" s="3" t="s">
        <v>3426</v>
      </c>
      <c r="G724" s="3" t="s">
        <v>1750</v>
      </c>
      <c r="H724" s="3" t="s">
        <v>3427</v>
      </c>
      <c r="I724" s="3" t="s">
        <v>3427</v>
      </c>
      <c r="J724" s="3" t="s">
        <v>3428</v>
      </c>
      <c r="K724" s="3" t="s">
        <v>21</v>
      </c>
      <c r="L724" s="3" t="s">
        <v>147</v>
      </c>
      <c r="M724" s="4">
        <v>69669</v>
      </c>
      <c r="N724" s="3" t="s">
        <v>1498</v>
      </c>
      <c r="O724" s="3" t="s">
        <v>281</v>
      </c>
    </row>
    <row r="725" spans="1:15" hidden="1" x14ac:dyDescent="0.4">
      <c r="A725" s="7">
        <v>724</v>
      </c>
      <c r="B725" s="8" t="s">
        <v>3429</v>
      </c>
      <c r="C725" s="6" t="str">
        <f>IFERROR(IF(LEFT(D725,FIND(" ",D725)-1)="전라북도","전북특별자치도",LEFT(D725,FIND(" ",D725)-1)),"")</f>
        <v>충청남도</v>
      </c>
      <c r="D725" s="3" t="s">
        <v>3430</v>
      </c>
      <c r="E725" s="3" t="s">
        <v>3431</v>
      </c>
      <c r="F725" s="3" t="s">
        <v>3426</v>
      </c>
      <c r="G725" s="3" t="s">
        <v>3433</v>
      </c>
      <c r="H725" s="3" t="s">
        <v>1296</v>
      </c>
      <c r="I725" s="3" t="s">
        <v>19</v>
      </c>
      <c r="J725" s="3" t="s">
        <v>19</v>
      </c>
      <c r="K725" s="3" t="s">
        <v>21</v>
      </c>
      <c r="L725" s="3" t="s">
        <v>22</v>
      </c>
      <c r="M725" s="4">
        <v>239</v>
      </c>
      <c r="N725" s="3" t="s">
        <v>84</v>
      </c>
      <c r="O725" s="3" t="s">
        <v>281</v>
      </c>
    </row>
    <row r="726" spans="1:15" hidden="1" x14ac:dyDescent="0.4">
      <c r="A726" s="7">
        <v>725</v>
      </c>
      <c r="B726" s="8" t="s">
        <v>3434</v>
      </c>
      <c r="C726" s="6" t="str">
        <f>IFERROR(IF(LEFT(D726,FIND(" ",D726)-1)="전라북도","전북특별자치도",LEFT(D726,FIND(" ",D726)-1)),"")</f>
        <v>전라남도</v>
      </c>
      <c r="D726" s="3" t="s">
        <v>3435</v>
      </c>
      <c r="E726" s="3" t="s">
        <v>3436</v>
      </c>
      <c r="F726" s="3" t="s">
        <v>3398</v>
      </c>
      <c r="G726" s="3" t="s">
        <v>3204</v>
      </c>
      <c r="H726" s="3" t="s">
        <v>3437</v>
      </c>
      <c r="I726" s="3" t="s">
        <v>1591</v>
      </c>
      <c r="J726" s="3" t="s">
        <v>3438</v>
      </c>
      <c r="K726" s="3" t="s">
        <v>21</v>
      </c>
      <c r="L726" s="3" t="s">
        <v>22</v>
      </c>
      <c r="M726" s="4">
        <v>1993</v>
      </c>
      <c r="N726" s="3" t="s">
        <v>1498</v>
      </c>
      <c r="O726" s="3" t="s">
        <v>281</v>
      </c>
    </row>
    <row r="727" spans="1:15" hidden="1" x14ac:dyDescent="0.4">
      <c r="A727" s="7">
        <v>726</v>
      </c>
      <c r="B727" s="8" t="s">
        <v>3439</v>
      </c>
      <c r="C727" s="6" t="str">
        <f>IFERROR(IF(LEFT(D727,FIND(" ",D727)-1)="전라북도","전북특별자치도",LEFT(D727,FIND(" ",D727)-1)),"")</f>
        <v>충청남도</v>
      </c>
      <c r="D727" s="3" t="s">
        <v>3440</v>
      </c>
      <c r="E727" s="3" t="s">
        <v>991</v>
      </c>
      <c r="F727" s="3" t="s">
        <v>3441</v>
      </c>
      <c r="G727" s="3" t="s">
        <v>19</v>
      </c>
      <c r="H727" s="3" t="s">
        <v>3442</v>
      </c>
      <c r="I727" s="3" t="s">
        <v>19</v>
      </c>
      <c r="J727" s="3" t="s">
        <v>19</v>
      </c>
      <c r="K727" s="3" t="s">
        <v>21</v>
      </c>
      <c r="L727" s="3" t="s">
        <v>147</v>
      </c>
      <c r="M727" s="4">
        <v>430</v>
      </c>
      <c r="N727" s="3" t="s">
        <v>84</v>
      </c>
      <c r="O727" s="3" t="s">
        <v>281</v>
      </c>
    </row>
    <row r="728" spans="1:15" hidden="1" x14ac:dyDescent="0.4">
      <c r="A728" s="7">
        <v>727</v>
      </c>
      <c r="B728" s="8" t="s">
        <v>3443</v>
      </c>
      <c r="C728" s="6" t="str">
        <f>IFERROR(IF(LEFT(D728,FIND(" ",D728)-1)="전라북도","전북특별자치도",LEFT(D728,FIND(" ",D728)-1)),"")</f>
        <v>충청남도</v>
      </c>
      <c r="D728" s="3" t="s">
        <v>3444</v>
      </c>
      <c r="E728" s="3" t="s">
        <v>3445</v>
      </c>
      <c r="F728" s="3" t="s">
        <v>991</v>
      </c>
      <c r="G728" s="3" t="s">
        <v>3446</v>
      </c>
      <c r="H728" s="3" t="s">
        <v>3447</v>
      </c>
      <c r="I728" s="3" t="s">
        <v>19</v>
      </c>
      <c r="J728" s="3" t="s">
        <v>3448</v>
      </c>
      <c r="K728" s="3" t="s">
        <v>21</v>
      </c>
      <c r="L728" s="3" t="s">
        <v>147</v>
      </c>
      <c r="M728" s="4">
        <v>2250</v>
      </c>
      <c r="N728" s="3" t="s">
        <v>1498</v>
      </c>
      <c r="O728" s="3" t="s">
        <v>281</v>
      </c>
    </row>
    <row r="729" spans="1:15" hidden="1" x14ac:dyDescent="0.4">
      <c r="A729" s="7">
        <v>728</v>
      </c>
      <c r="B729" s="8" t="s">
        <v>3449</v>
      </c>
      <c r="C729" s="6" t="str">
        <f>IFERROR(IF(LEFT(D729,FIND(" ",D729)-1)="전라북도","전북특별자치도",LEFT(D729,FIND(" ",D729)-1)),"")</f>
        <v>제주특별자치도</v>
      </c>
      <c r="D729" s="3" t="s">
        <v>3450</v>
      </c>
      <c r="E729" s="3" t="s">
        <v>2801</v>
      </c>
      <c r="F729" s="3" t="s">
        <v>991</v>
      </c>
      <c r="G729" s="3" t="s">
        <v>3451</v>
      </c>
      <c r="H729" s="3" t="s">
        <v>241</v>
      </c>
      <c r="I729" s="3" t="s">
        <v>241</v>
      </c>
      <c r="J729" s="3" t="s">
        <v>3452</v>
      </c>
      <c r="K729" s="3" t="s">
        <v>21</v>
      </c>
      <c r="L729" s="3" t="s">
        <v>147</v>
      </c>
      <c r="M729" s="4">
        <v>2119</v>
      </c>
      <c r="N729" s="3" t="s">
        <v>19</v>
      </c>
      <c r="O729" s="3" t="s">
        <v>281</v>
      </c>
    </row>
    <row r="730" spans="1:15" ht="22.05" customHeight="1" x14ac:dyDescent="0.4">
      <c r="A730" s="7">
        <v>45</v>
      </c>
      <c r="B730" s="8" t="s">
        <v>263</v>
      </c>
      <c r="C730" s="6" t="str">
        <f>IFERROR(IF(LEFT(D730,FIND(" ",D730)-1)="전라북도","전북특별자치도",LEFT(D730,FIND(" ",D730)-1)),"")</f>
        <v>충청북도</v>
      </c>
      <c r="D730" s="3" t="s">
        <v>264</v>
      </c>
      <c r="E730" s="3" t="s">
        <v>265</v>
      </c>
      <c r="F730" s="3" t="s">
        <v>266</v>
      </c>
      <c r="G730" s="3" t="s">
        <v>19</v>
      </c>
      <c r="H730" s="3" t="s">
        <v>267</v>
      </c>
      <c r="I730" s="3" t="s">
        <v>19</v>
      </c>
      <c r="J730" s="3" t="s">
        <v>268</v>
      </c>
      <c r="K730" s="3" t="s">
        <v>21</v>
      </c>
      <c r="L730" s="3" t="s">
        <v>22</v>
      </c>
      <c r="M730" s="4">
        <v>6201</v>
      </c>
      <c r="N730" s="3" t="s">
        <v>23</v>
      </c>
      <c r="O730" s="3" t="s">
        <v>24</v>
      </c>
    </row>
    <row r="731" spans="1:15" hidden="1" x14ac:dyDescent="0.4">
      <c r="A731" s="7">
        <v>730</v>
      </c>
      <c r="B731" s="8" t="s">
        <v>3456</v>
      </c>
      <c r="C731" s="6" t="str">
        <f>IFERROR(IF(LEFT(D731,FIND(" ",D731)-1)="전라북도","전북특별자치도",LEFT(D731,FIND(" ",D731)-1)),"")</f>
        <v>경상북도</v>
      </c>
      <c r="D731" s="3" t="s">
        <v>3457</v>
      </c>
      <c r="E731" s="3" t="s">
        <v>3226</v>
      </c>
      <c r="F731" s="3" t="s">
        <v>1005</v>
      </c>
      <c r="G731" s="3" t="s">
        <v>3458</v>
      </c>
      <c r="H731" s="3" t="s">
        <v>3459</v>
      </c>
      <c r="I731" s="3" t="s">
        <v>3460</v>
      </c>
      <c r="J731" s="3" t="s">
        <v>3461</v>
      </c>
      <c r="K731" s="3" t="s">
        <v>21</v>
      </c>
      <c r="L731" s="3" t="s">
        <v>22</v>
      </c>
      <c r="M731" s="4">
        <v>857</v>
      </c>
      <c r="N731" s="3" t="s">
        <v>211</v>
      </c>
      <c r="O731" s="3" t="s">
        <v>281</v>
      </c>
    </row>
    <row r="732" spans="1:15" hidden="1" x14ac:dyDescent="0.4">
      <c r="A732" s="7">
        <v>731</v>
      </c>
      <c r="B732" s="8" t="s">
        <v>3462</v>
      </c>
      <c r="C732" s="6" t="str">
        <f>IFERROR(IF(LEFT(D732,FIND(" ",D732)-1)="전라북도","전북특별자치도",LEFT(D732,FIND(" ",D732)-1)),"")</f>
        <v>경기도</v>
      </c>
      <c r="D732" s="3" t="s">
        <v>3463</v>
      </c>
      <c r="E732" s="3" t="s">
        <v>3455</v>
      </c>
      <c r="F732" s="3" t="s">
        <v>3464</v>
      </c>
      <c r="G732" s="3" t="s">
        <v>19</v>
      </c>
      <c r="H732" s="3" t="s">
        <v>953</v>
      </c>
      <c r="I732" s="3" t="s">
        <v>953</v>
      </c>
      <c r="J732" s="3" t="s">
        <v>19</v>
      </c>
      <c r="K732" s="3" t="s">
        <v>21</v>
      </c>
      <c r="L732" s="3" t="s">
        <v>22</v>
      </c>
      <c r="M732" s="4">
        <v>326</v>
      </c>
      <c r="N732" s="3" t="s">
        <v>84</v>
      </c>
      <c r="O732" s="3" t="s">
        <v>281</v>
      </c>
    </row>
    <row r="733" spans="1:15" ht="22.05" customHeight="1" x14ac:dyDescent="0.4">
      <c r="A733" s="7">
        <v>6</v>
      </c>
      <c r="B733" s="8" t="s">
        <v>52</v>
      </c>
      <c r="C733" s="6" t="str">
        <f>IFERROR(IF(LEFT(D733,FIND(" ",D733)-1)="전라북도","전북특별자치도",LEFT(D733,FIND(" ",D733)-1)),"")</f>
        <v>충청북도</v>
      </c>
      <c r="D733" s="3" t="s">
        <v>53</v>
      </c>
      <c r="E733" s="3" t="s">
        <v>54</v>
      </c>
      <c r="F733" s="3" t="s">
        <v>55</v>
      </c>
      <c r="G733" s="3" t="s">
        <v>56</v>
      </c>
      <c r="H733" s="3" t="s">
        <v>57</v>
      </c>
      <c r="I733" s="3" t="s">
        <v>57</v>
      </c>
      <c r="J733" s="3" t="s">
        <v>19</v>
      </c>
      <c r="K733" s="3" t="s">
        <v>21</v>
      </c>
      <c r="L733" s="3" t="s">
        <v>22</v>
      </c>
      <c r="M733" s="4">
        <v>2923</v>
      </c>
      <c r="N733" s="3" t="s">
        <v>23</v>
      </c>
      <c r="O733" s="3" t="s">
        <v>24</v>
      </c>
    </row>
    <row r="734" spans="1:15" hidden="1" x14ac:dyDescent="0.4">
      <c r="A734" s="7">
        <v>733</v>
      </c>
      <c r="B734" s="8" t="s">
        <v>3470</v>
      </c>
      <c r="C734" s="6" t="str">
        <f>IFERROR(IF(LEFT(D734,FIND(" ",D734)-1)="전라북도","전북특별자치도",LEFT(D734,FIND(" ",D734)-1)),"")</f>
        <v>전라남도</v>
      </c>
      <c r="D734" s="3" t="s">
        <v>3471</v>
      </c>
      <c r="E734" s="3" t="s">
        <v>2353</v>
      </c>
      <c r="F734" s="3" t="s">
        <v>3388</v>
      </c>
      <c r="G734" s="3" t="s">
        <v>19</v>
      </c>
      <c r="H734" s="3" t="s">
        <v>3472</v>
      </c>
      <c r="I734" s="3" t="s">
        <v>19</v>
      </c>
      <c r="J734" s="3" t="s">
        <v>19</v>
      </c>
      <c r="K734" s="3" t="s">
        <v>21</v>
      </c>
      <c r="L734" s="3" t="s">
        <v>147</v>
      </c>
      <c r="M734" s="4">
        <v>407</v>
      </c>
      <c r="N734" s="3" t="s">
        <v>3473</v>
      </c>
      <c r="O734" s="3" t="s">
        <v>281</v>
      </c>
    </row>
    <row r="735" spans="1:15" hidden="1" x14ac:dyDescent="0.4">
      <c r="A735" s="7">
        <v>734</v>
      </c>
      <c r="B735" s="8" t="s">
        <v>3474</v>
      </c>
      <c r="C735" s="6" t="str">
        <f>IFERROR(IF(LEFT(D735,FIND(" ",D735)-1)="전라북도","전북특별자치도",LEFT(D735,FIND(" ",D735)-1)),"")</f>
        <v>충청북도</v>
      </c>
      <c r="D735" s="3" t="s">
        <v>3475</v>
      </c>
      <c r="E735" s="3" t="s">
        <v>2801</v>
      </c>
      <c r="F735" s="3" t="s">
        <v>3158</v>
      </c>
      <c r="G735" s="3" t="s">
        <v>3476</v>
      </c>
      <c r="H735" s="3" t="s">
        <v>3477</v>
      </c>
      <c r="I735" s="3" t="s">
        <v>3477</v>
      </c>
      <c r="J735" s="3" t="s">
        <v>19</v>
      </c>
      <c r="K735" s="3" t="s">
        <v>21</v>
      </c>
      <c r="L735" s="3" t="s">
        <v>22</v>
      </c>
      <c r="M735" s="4">
        <v>2845</v>
      </c>
      <c r="N735" s="3" t="s">
        <v>1498</v>
      </c>
      <c r="O735" s="3" t="s">
        <v>281</v>
      </c>
    </row>
    <row r="736" spans="1:15" hidden="1" x14ac:dyDescent="0.4">
      <c r="A736" s="7">
        <v>735</v>
      </c>
      <c r="B736" s="8" t="s">
        <v>3478</v>
      </c>
      <c r="C736" s="6" t="str">
        <f>IFERROR(IF(LEFT(D736,FIND(" ",D736)-1)="전라북도","전북특별자치도",LEFT(D736,FIND(" ",D736)-1)),"")</f>
        <v>경상북도</v>
      </c>
      <c r="D736" s="3" t="s">
        <v>3479</v>
      </c>
      <c r="E736" s="3" t="s">
        <v>1610</v>
      </c>
      <c r="F736" s="3" t="s">
        <v>3480</v>
      </c>
      <c r="G736" s="3" t="s">
        <v>1887</v>
      </c>
      <c r="H736" s="3" t="s">
        <v>1888</v>
      </c>
      <c r="I736" s="3" t="s">
        <v>1888</v>
      </c>
      <c r="J736" s="3" t="s">
        <v>19</v>
      </c>
      <c r="K736" s="3" t="s">
        <v>21</v>
      </c>
      <c r="L736" s="3" t="s">
        <v>22</v>
      </c>
      <c r="M736" s="4">
        <v>595</v>
      </c>
      <c r="N736" s="3" t="s">
        <v>1498</v>
      </c>
      <c r="O736" s="3" t="s">
        <v>281</v>
      </c>
    </row>
    <row r="737" spans="1:15" hidden="1" x14ac:dyDescent="0.4">
      <c r="A737" s="7">
        <v>736</v>
      </c>
      <c r="B737" s="8" t="s">
        <v>3481</v>
      </c>
      <c r="C737" s="6" t="str">
        <f>IFERROR(IF(LEFT(D737,FIND(" ",D737)-1)="전라북도","전북특별자치도",LEFT(D737,FIND(" ",D737)-1)),"")</f>
        <v>경기도</v>
      </c>
      <c r="D737" s="3" t="s">
        <v>3482</v>
      </c>
      <c r="E737" s="3" t="s">
        <v>3483</v>
      </c>
      <c r="F737" s="3" t="s">
        <v>2353</v>
      </c>
      <c r="G737" s="3" t="s">
        <v>3165</v>
      </c>
      <c r="H737" s="3" t="s">
        <v>19</v>
      </c>
      <c r="I737" s="3" t="s">
        <v>19</v>
      </c>
      <c r="J737" s="3" t="s">
        <v>19</v>
      </c>
      <c r="K737" s="3" t="s">
        <v>21</v>
      </c>
      <c r="L737" s="3" t="s">
        <v>22</v>
      </c>
      <c r="M737" s="4">
        <v>999</v>
      </c>
      <c r="N737" s="3" t="s">
        <v>1498</v>
      </c>
      <c r="O737" s="3" t="s">
        <v>281</v>
      </c>
    </row>
    <row r="738" spans="1:15" hidden="1" x14ac:dyDescent="0.4">
      <c r="A738" s="7">
        <v>737</v>
      </c>
      <c r="B738" s="8" t="s">
        <v>3484</v>
      </c>
      <c r="C738" s="6" t="str">
        <f>IFERROR(IF(LEFT(D738,FIND(" ",D738)-1)="전라북도","전북특별자치도",LEFT(D738,FIND(" ",D738)-1)),"")</f>
        <v>충청남도</v>
      </c>
      <c r="D738" s="3" t="s">
        <v>3485</v>
      </c>
      <c r="E738" s="3" t="s">
        <v>3360</v>
      </c>
      <c r="F738" s="3" t="s">
        <v>2353</v>
      </c>
      <c r="G738" s="3" t="s">
        <v>3486</v>
      </c>
      <c r="H738" s="3" t="s">
        <v>3487</v>
      </c>
      <c r="I738" s="3" t="s">
        <v>3488</v>
      </c>
      <c r="J738" s="3" t="s">
        <v>19</v>
      </c>
      <c r="K738" s="3" t="s">
        <v>21</v>
      </c>
      <c r="L738" s="3" t="s">
        <v>147</v>
      </c>
      <c r="M738" s="4">
        <v>2153</v>
      </c>
      <c r="N738" s="3" t="s">
        <v>1498</v>
      </c>
      <c r="O738" s="3" t="s">
        <v>281</v>
      </c>
    </row>
    <row r="739" spans="1:15" hidden="1" x14ac:dyDescent="0.4">
      <c r="A739" s="7">
        <v>738</v>
      </c>
      <c r="B739" s="8" t="s">
        <v>3489</v>
      </c>
      <c r="C739" s="6" t="str">
        <f>IFERROR(IF(LEFT(D739,FIND(" ",D739)-1)="전라북도","전북특별자치도",LEFT(D739,FIND(" ",D739)-1)),"")</f>
        <v>경기도</v>
      </c>
      <c r="D739" s="3" t="s">
        <v>3490</v>
      </c>
      <c r="E739" s="3" t="s">
        <v>1318</v>
      </c>
      <c r="F739" s="3" t="s">
        <v>3284</v>
      </c>
      <c r="G739" s="3" t="s">
        <v>2402</v>
      </c>
      <c r="H739" s="3" t="s">
        <v>210</v>
      </c>
      <c r="I739" s="3" t="s">
        <v>210</v>
      </c>
      <c r="J739" s="3" t="s">
        <v>19</v>
      </c>
      <c r="K739" s="3" t="s">
        <v>21</v>
      </c>
      <c r="L739" s="3" t="s">
        <v>22</v>
      </c>
      <c r="M739" s="4">
        <v>2728</v>
      </c>
      <c r="N739" s="3" t="s">
        <v>1498</v>
      </c>
      <c r="O739" s="3" t="s">
        <v>281</v>
      </c>
    </row>
    <row r="740" spans="1:15" hidden="1" x14ac:dyDescent="0.4">
      <c r="A740" s="7">
        <v>739</v>
      </c>
      <c r="B740" s="8" t="s">
        <v>3491</v>
      </c>
      <c r="C740" s="6" t="str">
        <f>IFERROR(IF(LEFT(D740,FIND(" ",D740)-1)="전라북도","전북특별자치도",LEFT(D740,FIND(" ",D740)-1)),"")</f>
        <v>경상남도</v>
      </c>
      <c r="D740" s="3" t="s">
        <v>3492</v>
      </c>
      <c r="E740" s="3" t="s">
        <v>3493</v>
      </c>
      <c r="F740" s="3" t="s">
        <v>3284</v>
      </c>
      <c r="G740" s="3" t="s">
        <v>19</v>
      </c>
      <c r="H740" s="3" t="s">
        <v>3494</v>
      </c>
      <c r="I740" s="3" t="s">
        <v>19</v>
      </c>
      <c r="J740" s="3" t="s">
        <v>19</v>
      </c>
      <c r="K740" s="3" t="s">
        <v>21</v>
      </c>
      <c r="L740" s="3" t="s">
        <v>147</v>
      </c>
      <c r="M740" s="4">
        <v>280</v>
      </c>
      <c r="N740" s="3" t="s">
        <v>2155</v>
      </c>
      <c r="O740" s="3" t="s">
        <v>281</v>
      </c>
    </row>
    <row r="741" spans="1:15" hidden="1" x14ac:dyDescent="0.4">
      <c r="A741" s="7">
        <v>740</v>
      </c>
      <c r="B741" s="8" t="s">
        <v>3495</v>
      </c>
      <c r="C741" s="6" t="str">
        <f>IFERROR(IF(LEFT(D741,FIND(" ",D741)-1)="전라북도","전북특별자치도",LEFT(D741,FIND(" ",D741)-1)),"")</f>
        <v>경기도</v>
      </c>
      <c r="D741" s="3" t="s">
        <v>3496</v>
      </c>
      <c r="E741" s="3" t="s">
        <v>3497</v>
      </c>
      <c r="F741" s="3" t="s">
        <v>3498</v>
      </c>
      <c r="G741" s="3" t="s">
        <v>19</v>
      </c>
      <c r="H741" s="3" t="s">
        <v>953</v>
      </c>
      <c r="I741" s="3" t="s">
        <v>953</v>
      </c>
      <c r="J741" s="3" t="s">
        <v>19</v>
      </c>
      <c r="K741" s="3" t="s">
        <v>21</v>
      </c>
      <c r="L741" s="3" t="s">
        <v>22</v>
      </c>
      <c r="M741" s="4">
        <v>473</v>
      </c>
      <c r="N741" s="3" t="s">
        <v>2155</v>
      </c>
      <c r="O741" s="3" t="s">
        <v>281</v>
      </c>
    </row>
    <row r="742" spans="1:15" hidden="1" x14ac:dyDescent="0.4">
      <c r="A742" s="7">
        <v>741</v>
      </c>
      <c r="B742" s="8" t="s">
        <v>3499</v>
      </c>
      <c r="C742" s="6" t="str">
        <f>IFERROR(IF(LEFT(D742,FIND(" ",D742)-1)="전라북도","전북특별자치도",LEFT(D742,FIND(" ",D742)-1)),"")</f>
        <v>경기도</v>
      </c>
      <c r="D742" s="3" t="s">
        <v>3500</v>
      </c>
      <c r="E742" s="3" t="s">
        <v>3497</v>
      </c>
      <c r="F742" s="3" t="s">
        <v>3498</v>
      </c>
      <c r="G742" s="3" t="s">
        <v>19</v>
      </c>
      <c r="H742" s="3" t="s">
        <v>953</v>
      </c>
      <c r="I742" s="3" t="s">
        <v>953</v>
      </c>
      <c r="J742" s="3" t="s">
        <v>19</v>
      </c>
      <c r="K742" s="3" t="s">
        <v>21</v>
      </c>
      <c r="L742" s="3" t="s">
        <v>22</v>
      </c>
      <c r="M742" s="4">
        <v>386</v>
      </c>
      <c r="N742" s="3" t="s">
        <v>2155</v>
      </c>
      <c r="O742" s="3" t="s">
        <v>281</v>
      </c>
    </row>
    <row r="743" spans="1:15" hidden="1" x14ac:dyDescent="0.4">
      <c r="A743" s="7">
        <v>742</v>
      </c>
      <c r="B743" s="8" t="s">
        <v>3501</v>
      </c>
      <c r="C743" s="6" t="str">
        <f>IFERROR(IF(LEFT(D743,FIND(" ",D743)-1)="전라북도","전북특별자치도",LEFT(D743,FIND(" ",D743)-1)),"")</f>
        <v>충청남도</v>
      </c>
      <c r="D743" s="3" t="s">
        <v>3502</v>
      </c>
      <c r="E743" s="3" t="s">
        <v>985</v>
      </c>
      <c r="F743" s="3" t="s">
        <v>3498</v>
      </c>
      <c r="G743" s="3" t="s">
        <v>1295</v>
      </c>
      <c r="H743" s="3" t="s">
        <v>603</v>
      </c>
      <c r="I743" s="3" t="s">
        <v>19</v>
      </c>
      <c r="J743" s="3" t="s">
        <v>19</v>
      </c>
      <c r="K743" s="3" t="s">
        <v>21</v>
      </c>
      <c r="L743" s="3" t="s">
        <v>22</v>
      </c>
      <c r="M743" s="4">
        <v>791</v>
      </c>
      <c r="N743" s="3" t="s">
        <v>2155</v>
      </c>
      <c r="O743" s="3" t="s">
        <v>281</v>
      </c>
    </row>
    <row r="744" spans="1:15" hidden="1" x14ac:dyDescent="0.4">
      <c r="A744" s="7">
        <v>743</v>
      </c>
      <c r="B744" s="8" t="s">
        <v>2396</v>
      </c>
      <c r="C744" s="6" t="str">
        <f>IFERROR(IF(LEFT(D744,FIND(" ",D744)-1)="전라북도","전북특별자치도",LEFT(D744,FIND(" ",D744)-1)),"")</f>
        <v>경상남도</v>
      </c>
      <c r="D744" s="3" t="s">
        <v>2397</v>
      </c>
      <c r="E744" s="3" t="s">
        <v>3203</v>
      </c>
      <c r="F744" s="3" t="s">
        <v>2801</v>
      </c>
      <c r="G744" s="3" t="s">
        <v>3503</v>
      </c>
      <c r="H744" s="3" t="s">
        <v>1025</v>
      </c>
      <c r="I744" s="3" t="s">
        <v>3504</v>
      </c>
      <c r="J744" s="3" t="s">
        <v>19</v>
      </c>
      <c r="K744" s="3" t="s">
        <v>21</v>
      </c>
      <c r="L744" s="3" t="s">
        <v>22</v>
      </c>
      <c r="M744" s="4">
        <v>1832</v>
      </c>
      <c r="N744" s="3" t="s">
        <v>1498</v>
      </c>
      <c r="O744" s="3" t="s">
        <v>281</v>
      </c>
    </row>
    <row r="745" spans="1:15" hidden="1" x14ac:dyDescent="0.4">
      <c r="A745" s="7">
        <v>744</v>
      </c>
      <c r="B745" s="8" t="s">
        <v>3505</v>
      </c>
      <c r="C745" s="6" t="str">
        <f>IFERROR(IF(LEFT(D745,FIND(" ",D745)-1)="전라북도","전북특별자치도",LEFT(D745,FIND(" ",D745)-1)),"")</f>
        <v>경상북도</v>
      </c>
      <c r="D745" s="3" t="s">
        <v>3506</v>
      </c>
      <c r="E745" s="3" t="s">
        <v>3412</v>
      </c>
      <c r="F745" s="3" t="s">
        <v>3226</v>
      </c>
      <c r="G745" s="3" t="s">
        <v>1670</v>
      </c>
      <c r="H745" s="3" t="s">
        <v>205</v>
      </c>
      <c r="I745" s="3" t="s">
        <v>205</v>
      </c>
      <c r="J745" s="3" t="s">
        <v>19</v>
      </c>
      <c r="K745" s="3" t="s">
        <v>21</v>
      </c>
      <c r="L745" s="3" t="s">
        <v>228</v>
      </c>
      <c r="M745" s="4">
        <v>3475</v>
      </c>
      <c r="N745" s="3" t="s">
        <v>19</v>
      </c>
      <c r="O745" s="3" t="s">
        <v>281</v>
      </c>
    </row>
    <row r="746" spans="1:15" ht="22.05" customHeight="1" x14ac:dyDescent="0.4">
      <c r="A746" s="7">
        <v>98</v>
      </c>
      <c r="B746" s="8" t="s">
        <v>515</v>
      </c>
      <c r="C746" s="6" t="str">
        <f>IFERROR(IF(LEFT(D746,FIND(" ",D746)-1)="전라북도","전북특별자치도",LEFT(D746,FIND(" ",D746)-1)),"")</f>
        <v>충청북도</v>
      </c>
      <c r="D746" s="3" t="s">
        <v>516</v>
      </c>
      <c r="E746" s="3" t="s">
        <v>517</v>
      </c>
      <c r="F746" s="3" t="s">
        <v>518</v>
      </c>
      <c r="G746" s="3" t="s">
        <v>519</v>
      </c>
      <c r="H746" s="3" t="s">
        <v>168</v>
      </c>
      <c r="I746" s="3" t="s">
        <v>19</v>
      </c>
      <c r="J746" s="3" t="s">
        <v>19</v>
      </c>
      <c r="K746" s="3" t="s">
        <v>21</v>
      </c>
      <c r="L746" s="3" t="s">
        <v>22</v>
      </c>
      <c r="M746" s="4">
        <v>2933</v>
      </c>
      <c r="N746" s="3" t="s">
        <v>23</v>
      </c>
      <c r="O746" s="3" t="s">
        <v>24</v>
      </c>
    </row>
    <row r="747" spans="1:15" hidden="1" x14ac:dyDescent="0.4">
      <c r="A747" s="7">
        <v>746</v>
      </c>
      <c r="B747" s="8" t="s">
        <v>3510</v>
      </c>
      <c r="C747" s="6" t="str">
        <f>IFERROR(IF(LEFT(D747,FIND(" ",D747)-1)="전라북도","전북특별자치도",LEFT(D747,FIND(" ",D747)-1)),"")</f>
        <v>충청남도</v>
      </c>
      <c r="D747" s="3" t="s">
        <v>3511</v>
      </c>
      <c r="E747" s="3" t="s">
        <v>3512</v>
      </c>
      <c r="F747" s="3" t="s">
        <v>3493</v>
      </c>
      <c r="G747" s="3" t="s">
        <v>3513</v>
      </c>
      <c r="H747" s="3" t="s">
        <v>3514</v>
      </c>
      <c r="I747" s="3" t="s">
        <v>3514</v>
      </c>
      <c r="J747" s="3" t="s">
        <v>19</v>
      </c>
      <c r="K747" s="3" t="s">
        <v>21</v>
      </c>
      <c r="L747" s="3" t="s">
        <v>22</v>
      </c>
      <c r="M747" s="4">
        <v>1751</v>
      </c>
      <c r="N747" s="3" t="s">
        <v>1498</v>
      </c>
      <c r="O747" s="3" t="s">
        <v>281</v>
      </c>
    </row>
    <row r="748" spans="1:15" hidden="1" x14ac:dyDescent="0.4">
      <c r="A748" s="7">
        <v>747</v>
      </c>
      <c r="B748" s="8" t="s">
        <v>3515</v>
      </c>
      <c r="C748" s="6" t="str">
        <f>IFERROR(IF(LEFT(D748,FIND(" ",D748)-1)="전라북도","전북특별자치도",LEFT(D748,FIND(" ",D748)-1)),"")</f>
        <v>경기도</v>
      </c>
      <c r="D748" s="3" t="s">
        <v>3516</v>
      </c>
      <c r="E748" s="3" t="s">
        <v>1173</v>
      </c>
      <c r="F748" s="3" t="s">
        <v>1023</v>
      </c>
      <c r="G748" s="3" t="s">
        <v>19</v>
      </c>
      <c r="H748" s="3" t="s">
        <v>3517</v>
      </c>
      <c r="I748" s="3" t="s">
        <v>19</v>
      </c>
      <c r="J748" s="3" t="s">
        <v>19</v>
      </c>
      <c r="K748" s="3" t="s">
        <v>21</v>
      </c>
      <c r="L748" s="3" t="s">
        <v>147</v>
      </c>
      <c r="M748" s="4">
        <v>1503</v>
      </c>
      <c r="N748" s="3" t="s">
        <v>2424</v>
      </c>
      <c r="O748" s="3" t="s">
        <v>281</v>
      </c>
    </row>
    <row r="749" spans="1:15" hidden="1" x14ac:dyDescent="0.4">
      <c r="A749" s="7">
        <v>748</v>
      </c>
      <c r="B749" s="8" t="s">
        <v>3518</v>
      </c>
      <c r="C749" s="6" t="str">
        <f>IFERROR(IF(LEFT(D749,FIND(" ",D749)-1)="전라북도","전북특별자치도",LEFT(D749,FIND(" ",D749)-1)),"")</f>
        <v>전라남도</v>
      </c>
      <c r="D749" s="3" t="s">
        <v>3519</v>
      </c>
      <c r="E749" s="3" t="s">
        <v>3520</v>
      </c>
      <c r="F749" s="3" t="s">
        <v>1173</v>
      </c>
      <c r="G749" s="3" t="s">
        <v>3521</v>
      </c>
      <c r="H749" s="3" t="s">
        <v>3522</v>
      </c>
      <c r="I749" s="3" t="s">
        <v>1628</v>
      </c>
      <c r="J749" s="3" t="s">
        <v>3523</v>
      </c>
      <c r="K749" s="3" t="s">
        <v>21</v>
      </c>
      <c r="L749" s="3" t="s">
        <v>22</v>
      </c>
      <c r="M749" s="4">
        <v>1509</v>
      </c>
      <c r="N749" s="3" t="s">
        <v>2155</v>
      </c>
      <c r="O749" s="3" t="s">
        <v>281</v>
      </c>
    </row>
    <row r="750" spans="1:15" hidden="1" x14ac:dyDescent="0.4">
      <c r="A750" s="7">
        <v>749</v>
      </c>
      <c r="B750" s="8" t="s">
        <v>3524</v>
      </c>
      <c r="C750" s="6" t="str">
        <f>IFERROR(IF(LEFT(D750,FIND(" ",D750)-1)="전라북도","전북특별자치도",LEFT(D750,FIND(" ",D750)-1)),"")</f>
        <v>경기도</v>
      </c>
      <c r="D750" s="3" t="s">
        <v>3525</v>
      </c>
      <c r="E750" s="3" t="s">
        <v>2507</v>
      </c>
      <c r="F750" s="3" t="s">
        <v>1173</v>
      </c>
      <c r="G750" s="3" t="s">
        <v>19</v>
      </c>
      <c r="H750" s="3" t="s">
        <v>953</v>
      </c>
      <c r="I750" s="3" t="s">
        <v>953</v>
      </c>
      <c r="J750" s="3" t="s">
        <v>19</v>
      </c>
      <c r="K750" s="3" t="s">
        <v>21</v>
      </c>
      <c r="L750" s="3" t="s">
        <v>22</v>
      </c>
      <c r="M750" s="4">
        <v>939</v>
      </c>
      <c r="N750" s="3" t="s">
        <v>2155</v>
      </c>
      <c r="O750" s="3" t="s">
        <v>281</v>
      </c>
    </row>
    <row r="751" spans="1:15" hidden="1" x14ac:dyDescent="0.4">
      <c r="A751" s="7">
        <v>750</v>
      </c>
      <c r="B751" s="8" t="s">
        <v>3526</v>
      </c>
      <c r="C751" s="6" t="str">
        <f>IFERROR(IF(LEFT(D751,FIND(" ",D751)-1)="전라북도","전북특별자치도",LEFT(D751,FIND(" ",D751)-1)),"")</f>
        <v>경기도</v>
      </c>
      <c r="D751" s="3" t="s">
        <v>3527</v>
      </c>
      <c r="E751" s="3" t="s">
        <v>2507</v>
      </c>
      <c r="F751" s="3" t="s">
        <v>1173</v>
      </c>
      <c r="G751" s="3" t="s">
        <v>19</v>
      </c>
      <c r="H751" s="3" t="s">
        <v>953</v>
      </c>
      <c r="I751" s="3" t="s">
        <v>953</v>
      </c>
      <c r="J751" s="3" t="s">
        <v>19</v>
      </c>
      <c r="K751" s="3" t="s">
        <v>21</v>
      </c>
      <c r="L751" s="3" t="s">
        <v>22</v>
      </c>
      <c r="M751" s="4">
        <v>572</v>
      </c>
      <c r="N751" s="3" t="s">
        <v>2155</v>
      </c>
      <c r="O751" s="3" t="s">
        <v>281</v>
      </c>
    </row>
    <row r="752" spans="1:15" hidden="1" x14ac:dyDescent="0.4">
      <c r="A752" s="7">
        <v>751</v>
      </c>
      <c r="B752" s="8" t="s">
        <v>3197</v>
      </c>
      <c r="C752" s="6" t="str">
        <f>IFERROR(IF(LEFT(D752,FIND(" ",D752)-1)="전라북도","전북특별자치도",LEFT(D752,FIND(" ",D752)-1)),"")</f>
        <v>울산광역시</v>
      </c>
      <c r="D752" s="3" t="s">
        <v>3198</v>
      </c>
      <c r="E752" s="3" t="s">
        <v>3242</v>
      </c>
      <c r="F752" s="3" t="s">
        <v>1654</v>
      </c>
      <c r="G752" s="3" t="s">
        <v>3528</v>
      </c>
      <c r="H752" s="3" t="s">
        <v>3529</v>
      </c>
      <c r="I752" s="3" t="s">
        <v>19</v>
      </c>
      <c r="J752" s="3" t="s">
        <v>19</v>
      </c>
      <c r="K752" s="3" t="s">
        <v>21</v>
      </c>
      <c r="L752" s="3" t="s">
        <v>147</v>
      </c>
      <c r="M752" s="4">
        <v>805</v>
      </c>
      <c r="N752" s="3" t="s">
        <v>1498</v>
      </c>
      <c r="O752" s="3" t="s">
        <v>281</v>
      </c>
    </row>
    <row r="753" spans="1:15" hidden="1" x14ac:dyDescent="0.4">
      <c r="A753" s="7">
        <v>752</v>
      </c>
      <c r="B753" s="8" t="s">
        <v>3530</v>
      </c>
      <c r="C753" s="6" t="str">
        <f>IFERROR(IF(LEFT(D753,FIND(" ",D753)-1)="전라북도","전북특별자치도",LEFT(D753,FIND(" ",D753)-1)),"")</f>
        <v>경기도</v>
      </c>
      <c r="D753" s="3" t="s">
        <v>3531</v>
      </c>
      <c r="E753" s="3" t="s">
        <v>3360</v>
      </c>
      <c r="F753" s="3" t="s">
        <v>1654</v>
      </c>
      <c r="G753" s="3" t="s">
        <v>19</v>
      </c>
      <c r="H753" s="3" t="s">
        <v>953</v>
      </c>
      <c r="I753" s="3" t="s">
        <v>19</v>
      </c>
      <c r="J753" s="3" t="s">
        <v>19</v>
      </c>
      <c r="K753" s="3" t="s">
        <v>21</v>
      </c>
      <c r="L753" s="3" t="s">
        <v>147</v>
      </c>
      <c r="M753" s="4">
        <v>861</v>
      </c>
      <c r="N753" s="3" t="s">
        <v>84</v>
      </c>
      <c r="O753" s="3" t="s">
        <v>281</v>
      </c>
    </row>
    <row r="754" spans="1:15" hidden="1" x14ac:dyDescent="0.4">
      <c r="A754" s="7">
        <v>753</v>
      </c>
      <c r="B754" s="8" t="s">
        <v>3532</v>
      </c>
      <c r="C754" s="6" t="str">
        <f>IFERROR(IF(LEFT(D754,FIND(" ",D754)-1)="전라북도","전북특별자치도",LEFT(D754,FIND(" ",D754)-1)),"")</f>
        <v>충청남도</v>
      </c>
      <c r="D754" s="3" t="s">
        <v>3533</v>
      </c>
      <c r="E754" s="3" t="s">
        <v>1113</v>
      </c>
      <c r="F754" s="3" t="s">
        <v>1639</v>
      </c>
      <c r="G754" s="3" t="s">
        <v>3535</v>
      </c>
      <c r="H754" s="3" t="s">
        <v>1734</v>
      </c>
      <c r="I754" s="3" t="s">
        <v>19</v>
      </c>
      <c r="J754" s="3" t="s">
        <v>19</v>
      </c>
      <c r="K754" s="3" t="s">
        <v>21</v>
      </c>
      <c r="L754" s="3" t="s">
        <v>147</v>
      </c>
      <c r="M754" s="4">
        <v>1562</v>
      </c>
      <c r="N754" s="3" t="s">
        <v>1498</v>
      </c>
      <c r="O754" s="3" t="s">
        <v>281</v>
      </c>
    </row>
    <row r="755" spans="1:15" hidden="1" x14ac:dyDescent="0.4">
      <c r="A755" s="7">
        <v>754</v>
      </c>
      <c r="B755" s="8" t="s">
        <v>3536</v>
      </c>
      <c r="C755" s="6" t="str">
        <f>IFERROR(IF(LEFT(D755,FIND(" ",D755)-1)="전라북도","전북특별자치도",LEFT(D755,FIND(" ",D755)-1)),"")</f>
        <v>충청남도</v>
      </c>
      <c r="D755" s="3" t="s">
        <v>3537</v>
      </c>
      <c r="E755" s="3" t="s">
        <v>1099</v>
      </c>
      <c r="F755" s="3" t="s">
        <v>1639</v>
      </c>
      <c r="G755" s="3" t="s">
        <v>3535</v>
      </c>
      <c r="H755" s="3" t="s">
        <v>1734</v>
      </c>
      <c r="I755" s="3" t="s">
        <v>19</v>
      </c>
      <c r="J755" s="3" t="s">
        <v>19</v>
      </c>
      <c r="K755" s="3" t="s">
        <v>21</v>
      </c>
      <c r="L755" s="3" t="s">
        <v>147</v>
      </c>
      <c r="M755" s="4">
        <v>584</v>
      </c>
      <c r="N755" s="3" t="s">
        <v>84</v>
      </c>
      <c r="O755" s="3" t="s">
        <v>281</v>
      </c>
    </row>
    <row r="756" spans="1:15" hidden="1" x14ac:dyDescent="0.4">
      <c r="A756" s="7">
        <v>755</v>
      </c>
      <c r="B756" s="8" t="s">
        <v>3538</v>
      </c>
      <c r="C756" s="6" t="str">
        <f>IFERROR(IF(LEFT(D756,FIND(" ",D756)-1)="전라북도","전북특별자치도",LEFT(D756,FIND(" ",D756)-1)),"")</f>
        <v>경상남도</v>
      </c>
      <c r="D756" s="3" t="s">
        <v>3539</v>
      </c>
      <c r="E756" s="3" t="s">
        <v>1043</v>
      </c>
      <c r="F756" s="3" t="s">
        <v>1639</v>
      </c>
      <c r="G756" s="3" t="s">
        <v>3541</v>
      </c>
      <c r="H756" s="3" t="s">
        <v>3542</v>
      </c>
      <c r="I756" s="3" t="s">
        <v>3542</v>
      </c>
      <c r="J756" s="3" t="s">
        <v>3541</v>
      </c>
      <c r="K756" s="3" t="s">
        <v>21</v>
      </c>
      <c r="L756" s="3" t="s">
        <v>147</v>
      </c>
      <c r="M756" s="4">
        <v>6015</v>
      </c>
      <c r="N756" s="3" t="s">
        <v>1498</v>
      </c>
      <c r="O756" s="3" t="s">
        <v>281</v>
      </c>
    </row>
    <row r="757" spans="1:15" ht="22.05" customHeight="1" x14ac:dyDescent="0.4">
      <c r="A757" s="7">
        <v>102</v>
      </c>
      <c r="B757" s="8" t="s">
        <v>537</v>
      </c>
      <c r="C757" s="6" t="str">
        <f>IFERROR(IF(LEFT(D757,FIND(" ",D757)-1)="전라북도","전북특별자치도",LEFT(D757,FIND(" ",D757)-1)),"")</f>
        <v>충청북도</v>
      </c>
      <c r="D757" s="3" t="s">
        <v>538</v>
      </c>
      <c r="E757" s="3" t="s">
        <v>539</v>
      </c>
      <c r="F757" s="3" t="s">
        <v>540</v>
      </c>
      <c r="G757" s="3" t="s">
        <v>19</v>
      </c>
      <c r="H757" s="3" t="s">
        <v>541</v>
      </c>
      <c r="I757" s="3" t="s">
        <v>19</v>
      </c>
      <c r="J757" s="3" t="s">
        <v>19</v>
      </c>
      <c r="K757" s="3" t="s">
        <v>21</v>
      </c>
      <c r="L757" s="3" t="s">
        <v>22</v>
      </c>
      <c r="M757" s="4">
        <v>2137</v>
      </c>
      <c r="N757" s="3" t="s">
        <v>23</v>
      </c>
      <c r="O757" s="3" t="s">
        <v>24</v>
      </c>
    </row>
    <row r="758" spans="1:15" hidden="1" x14ac:dyDescent="0.4">
      <c r="A758" s="7">
        <v>757</v>
      </c>
      <c r="B758" s="8" t="s">
        <v>3545</v>
      </c>
      <c r="C758" s="6" t="str">
        <f>IFERROR(IF(LEFT(D758,FIND(" ",D758)-1)="전라북도","전북특별자치도",LEFT(D758,FIND(" ",D758)-1)),"")</f>
        <v>서울특별시</v>
      </c>
      <c r="D758" s="3" t="s">
        <v>3546</v>
      </c>
      <c r="E758" s="3" t="s">
        <v>985</v>
      </c>
      <c r="F758" s="3" t="s">
        <v>3360</v>
      </c>
      <c r="G758" s="3" t="s">
        <v>3547</v>
      </c>
      <c r="H758" s="3" t="s">
        <v>3548</v>
      </c>
      <c r="I758" s="3" t="s">
        <v>3548</v>
      </c>
      <c r="J758" s="3" t="s">
        <v>3549</v>
      </c>
      <c r="K758" s="3" t="s">
        <v>21</v>
      </c>
      <c r="L758" s="3" t="s">
        <v>228</v>
      </c>
      <c r="M758" s="4">
        <v>584221</v>
      </c>
      <c r="N758" s="3" t="s">
        <v>781</v>
      </c>
      <c r="O758" s="3" t="s">
        <v>281</v>
      </c>
    </row>
    <row r="759" spans="1:15" hidden="1" x14ac:dyDescent="0.4">
      <c r="A759" s="7">
        <v>758</v>
      </c>
      <c r="B759" s="8" t="s">
        <v>3550</v>
      </c>
      <c r="C759" s="6" t="str">
        <f>IFERROR(IF(LEFT(D759,FIND(" ",D759)-1)="전라북도","전북특별자치도",LEFT(D759,FIND(" ",D759)-1)),"")</f>
        <v>충청북도</v>
      </c>
      <c r="D759" s="3" t="s">
        <v>3551</v>
      </c>
      <c r="E759" s="3" t="s">
        <v>3497</v>
      </c>
      <c r="F759" s="3" t="s">
        <v>3360</v>
      </c>
      <c r="G759" s="3" t="s">
        <v>19</v>
      </c>
      <c r="H759" s="3" t="s">
        <v>3553</v>
      </c>
      <c r="I759" s="3" t="s">
        <v>19</v>
      </c>
      <c r="J759" s="3" t="s">
        <v>19</v>
      </c>
      <c r="K759" s="3" t="s">
        <v>21</v>
      </c>
      <c r="L759" s="3" t="s">
        <v>147</v>
      </c>
      <c r="M759" s="4">
        <v>1469</v>
      </c>
      <c r="N759" s="3" t="s">
        <v>84</v>
      </c>
      <c r="O759" s="3" t="s">
        <v>281</v>
      </c>
    </row>
    <row r="760" spans="1:15" hidden="1" x14ac:dyDescent="0.4">
      <c r="A760" s="7">
        <v>759</v>
      </c>
      <c r="B760" s="8" t="s">
        <v>3554</v>
      </c>
      <c r="C760" s="6" t="str">
        <f>IFERROR(IF(LEFT(D760,FIND(" ",D760)-1)="전라북도","전북특별자치도",LEFT(D760,FIND(" ",D760)-1)),"")</f>
        <v>충청북도</v>
      </c>
      <c r="D760" s="3" t="s">
        <v>3555</v>
      </c>
      <c r="E760" s="3" t="s">
        <v>3556</v>
      </c>
      <c r="F760" s="3" t="s">
        <v>3360</v>
      </c>
      <c r="G760" s="3" t="s">
        <v>2282</v>
      </c>
      <c r="H760" s="3" t="s">
        <v>3557</v>
      </c>
      <c r="I760" s="3" t="s">
        <v>3557</v>
      </c>
      <c r="J760" s="3" t="s">
        <v>19</v>
      </c>
      <c r="K760" s="3" t="s">
        <v>21</v>
      </c>
      <c r="L760" s="3" t="s">
        <v>22</v>
      </c>
      <c r="M760" s="4">
        <v>2734</v>
      </c>
      <c r="N760" s="3" t="s">
        <v>1498</v>
      </c>
      <c r="O760" s="3" t="s">
        <v>281</v>
      </c>
    </row>
    <row r="761" spans="1:15" hidden="1" x14ac:dyDescent="0.4">
      <c r="A761" s="7">
        <v>760</v>
      </c>
      <c r="B761" s="8" t="s">
        <v>3558</v>
      </c>
      <c r="C761" s="6" t="str">
        <f>IFERROR(IF(LEFT(D761,FIND(" ",D761)-1)="전라북도","전북특별자치도",LEFT(D761,FIND(" ",D761)-1)),"")</f>
        <v>인천광역시</v>
      </c>
      <c r="D761" s="3" t="s">
        <v>3559</v>
      </c>
      <c r="E761" s="3" t="s">
        <v>3560</v>
      </c>
      <c r="F761" s="3" t="s">
        <v>3011</v>
      </c>
      <c r="G761" s="3" t="s">
        <v>19</v>
      </c>
      <c r="H761" s="3" t="s">
        <v>3162</v>
      </c>
      <c r="I761" s="3" t="s">
        <v>19</v>
      </c>
      <c r="J761" s="3" t="s">
        <v>19</v>
      </c>
      <c r="K761" s="3" t="s">
        <v>21</v>
      </c>
      <c r="L761" s="3" t="s">
        <v>358</v>
      </c>
      <c r="M761" s="4">
        <v>287</v>
      </c>
      <c r="N761" s="3" t="s">
        <v>19</v>
      </c>
      <c r="O761" s="3" t="s">
        <v>281</v>
      </c>
    </row>
    <row r="762" spans="1:15" hidden="1" x14ac:dyDescent="0.4">
      <c r="A762" s="7">
        <v>761</v>
      </c>
      <c r="B762" s="8" t="s">
        <v>3561</v>
      </c>
      <c r="C762" s="6" t="str">
        <f>IFERROR(IF(LEFT(D762,FIND(" ",D762)-1)="전라북도","전북특별자치도",LEFT(D762,FIND(" ",D762)-1)),"")</f>
        <v>경기도</v>
      </c>
      <c r="D762" s="3" t="s">
        <v>3562</v>
      </c>
      <c r="E762" s="3" t="s">
        <v>3563</v>
      </c>
      <c r="F762" s="3" t="s">
        <v>3011</v>
      </c>
      <c r="G762" s="3" t="s">
        <v>3564</v>
      </c>
      <c r="H762" s="3" t="s">
        <v>953</v>
      </c>
      <c r="I762" s="3" t="s">
        <v>953</v>
      </c>
      <c r="J762" s="3" t="s">
        <v>19</v>
      </c>
      <c r="K762" s="3" t="s">
        <v>21</v>
      </c>
      <c r="L762" s="3" t="s">
        <v>22</v>
      </c>
      <c r="M762" s="4">
        <v>789</v>
      </c>
      <c r="N762" s="3" t="s">
        <v>1498</v>
      </c>
      <c r="O762" s="3" t="s">
        <v>281</v>
      </c>
    </row>
    <row r="763" spans="1:15" hidden="1" x14ac:dyDescent="0.4">
      <c r="A763" s="7">
        <v>762</v>
      </c>
      <c r="B763" s="8" t="s">
        <v>3565</v>
      </c>
      <c r="C763" s="6" t="str">
        <f>IFERROR(IF(LEFT(D763,FIND(" ",D763)-1)="전라북도","전북특별자치도",LEFT(D763,FIND(" ",D763)-1)),"")</f>
        <v>경기도</v>
      </c>
      <c r="D763" s="3" t="s">
        <v>3566</v>
      </c>
      <c r="E763" s="3" t="s">
        <v>3279</v>
      </c>
      <c r="F763" s="3" t="s">
        <v>3341</v>
      </c>
      <c r="G763" s="3" t="s">
        <v>3567</v>
      </c>
      <c r="H763" s="3" t="s">
        <v>1084</v>
      </c>
      <c r="I763" s="3" t="s">
        <v>19</v>
      </c>
      <c r="J763" s="3" t="s">
        <v>19</v>
      </c>
      <c r="K763" s="3" t="s">
        <v>21</v>
      </c>
      <c r="L763" s="3" t="s">
        <v>22</v>
      </c>
      <c r="M763" s="4">
        <v>940</v>
      </c>
      <c r="N763" s="3" t="s">
        <v>123</v>
      </c>
      <c r="O763" s="3" t="s">
        <v>281</v>
      </c>
    </row>
    <row r="764" spans="1:15" hidden="1" x14ac:dyDescent="0.4">
      <c r="A764" s="7">
        <v>763</v>
      </c>
      <c r="B764" s="8" t="s">
        <v>3568</v>
      </c>
      <c r="C764" s="6" t="str">
        <f>IFERROR(IF(LEFT(D764,FIND(" ",D764)-1)="전라북도","전북특별자치도",LEFT(D764,FIND(" ",D764)-1)),"")</f>
        <v>경기도</v>
      </c>
      <c r="D764" s="3" t="s">
        <v>3569</v>
      </c>
      <c r="E764" s="3" t="s">
        <v>3570</v>
      </c>
      <c r="F764" s="3" t="s">
        <v>3563</v>
      </c>
      <c r="G764" s="3" t="s">
        <v>3572</v>
      </c>
      <c r="H764" s="3" t="s">
        <v>1155</v>
      </c>
      <c r="I764" s="3" t="s">
        <v>1155</v>
      </c>
      <c r="J764" s="3" t="s">
        <v>19</v>
      </c>
      <c r="K764" s="3" t="s">
        <v>21</v>
      </c>
      <c r="L764" s="3" t="s">
        <v>22</v>
      </c>
      <c r="M764" s="4">
        <v>971</v>
      </c>
      <c r="N764" s="3" t="s">
        <v>123</v>
      </c>
      <c r="O764" s="3" t="s">
        <v>281</v>
      </c>
    </row>
    <row r="765" spans="1:15" hidden="1" x14ac:dyDescent="0.4">
      <c r="A765" s="7">
        <v>764</v>
      </c>
      <c r="B765" s="8" t="s">
        <v>3573</v>
      </c>
      <c r="C765" s="6" t="str">
        <f>IFERROR(IF(LEFT(D765,FIND(" ",D765)-1)="전라북도","전북특별자치도",LEFT(D765,FIND(" ",D765)-1)),"")</f>
        <v>제주특별자치도</v>
      </c>
      <c r="D765" s="3" t="s">
        <v>3574</v>
      </c>
      <c r="E765" s="3" t="s">
        <v>3575</v>
      </c>
      <c r="F765" s="3" t="s">
        <v>3563</v>
      </c>
      <c r="G765" s="3" t="s">
        <v>3576</v>
      </c>
      <c r="H765" s="3" t="s">
        <v>3576</v>
      </c>
      <c r="I765" s="3" t="s">
        <v>3576</v>
      </c>
      <c r="J765" s="3" t="s">
        <v>3577</v>
      </c>
      <c r="K765" s="3" t="s">
        <v>21</v>
      </c>
      <c r="L765" s="3" t="s">
        <v>147</v>
      </c>
      <c r="M765" s="4">
        <v>8703</v>
      </c>
      <c r="N765" s="3" t="s">
        <v>2155</v>
      </c>
      <c r="O765" s="3" t="s">
        <v>281</v>
      </c>
    </row>
    <row r="766" spans="1:15" hidden="1" x14ac:dyDescent="0.4">
      <c r="A766" s="7">
        <v>765</v>
      </c>
      <c r="B766" s="8" t="s">
        <v>3578</v>
      </c>
      <c r="C766" s="6" t="str">
        <f>IFERROR(IF(LEFT(D766,FIND(" ",D766)-1)="전라북도","전북특별자치도",LEFT(D766,FIND(" ",D766)-1)),"")</f>
        <v>인천광역시</v>
      </c>
      <c r="D766" s="3" t="s">
        <v>3579</v>
      </c>
      <c r="E766" s="3" t="s">
        <v>3580</v>
      </c>
      <c r="F766" s="3" t="s">
        <v>3560</v>
      </c>
      <c r="G766" s="3" t="s">
        <v>3581</v>
      </c>
      <c r="H766" s="3" t="s">
        <v>3582</v>
      </c>
      <c r="I766" s="3" t="s">
        <v>19</v>
      </c>
      <c r="J766" s="3" t="s">
        <v>3581</v>
      </c>
      <c r="K766" s="3" t="s">
        <v>21</v>
      </c>
      <c r="L766" s="3" t="s">
        <v>147</v>
      </c>
      <c r="M766" s="4">
        <v>1049</v>
      </c>
      <c r="N766" s="3" t="s">
        <v>84</v>
      </c>
      <c r="O766" s="3" t="s">
        <v>281</v>
      </c>
    </row>
    <row r="767" spans="1:15" hidden="1" x14ac:dyDescent="0.4">
      <c r="A767" s="7">
        <v>766</v>
      </c>
      <c r="B767" s="8" t="s">
        <v>3583</v>
      </c>
      <c r="C767" s="6" t="str">
        <f>IFERROR(IF(LEFT(D767,FIND(" ",D767)-1)="전라북도","전북특별자치도",LEFT(D767,FIND(" ",D767)-1)),"")</f>
        <v>경기도</v>
      </c>
      <c r="D767" s="3" t="s">
        <v>3584</v>
      </c>
      <c r="E767" s="3" t="s">
        <v>1043</v>
      </c>
      <c r="F767" s="3" t="s">
        <v>3560</v>
      </c>
      <c r="G767" s="3" t="s">
        <v>3585</v>
      </c>
      <c r="H767" s="3" t="s">
        <v>210</v>
      </c>
      <c r="I767" s="3" t="s">
        <v>210</v>
      </c>
      <c r="J767" s="3" t="s">
        <v>3585</v>
      </c>
      <c r="K767" s="3" t="s">
        <v>21</v>
      </c>
      <c r="L767" s="3" t="s">
        <v>147</v>
      </c>
      <c r="M767" s="4">
        <v>208</v>
      </c>
      <c r="N767" s="3" t="s">
        <v>84</v>
      </c>
      <c r="O767" s="3" t="s">
        <v>281</v>
      </c>
    </row>
    <row r="768" spans="1:15" hidden="1" x14ac:dyDescent="0.4">
      <c r="A768" s="7">
        <v>767</v>
      </c>
      <c r="B768" s="8" t="s">
        <v>3586</v>
      </c>
      <c r="C768" s="6" t="str">
        <f>IFERROR(IF(LEFT(D768,FIND(" ",D768)-1)="전라북도","전북특별자치도",LEFT(D768,FIND(" ",D768)-1)),"")</f>
        <v>제주특별자치도</v>
      </c>
      <c r="D768" s="3" t="s">
        <v>3587</v>
      </c>
      <c r="E768" s="3" t="s">
        <v>2507</v>
      </c>
      <c r="F768" s="3" t="s">
        <v>3242</v>
      </c>
      <c r="G768" s="3" t="s">
        <v>19</v>
      </c>
      <c r="H768" s="3" t="s">
        <v>3588</v>
      </c>
      <c r="I768" s="3" t="s">
        <v>19</v>
      </c>
      <c r="J768" s="3" t="s">
        <v>19</v>
      </c>
      <c r="K768" s="3" t="s">
        <v>21</v>
      </c>
      <c r="L768" s="3" t="s">
        <v>147</v>
      </c>
      <c r="M768" s="4">
        <v>593</v>
      </c>
      <c r="N768" s="3" t="s">
        <v>2155</v>
      </c>
      <c r="O768" s="3" t="s">
        <v>281</v>
      </c>
    </row>
    <row r="769" spans="1:15" ht="22.05" customHeight="1" x14ac:dyDescent="0.4">
      <c r="A769" s="7">
        <v>129</v>
      </c>
      <c r="B769" s="8" t="s">
        <v>682</v>
      </c>
      <c r="C769" s="6" t="str">
        <f>IFERROR(IF(LEFT(D769,FIND(" ",D769)-1)="전라북도","전북특별자치도",LEFT(D769,FIND(" ",D769)-1)),"")</f>
        <v>충청북도</v>
      </c>
      <c r="D769" s="3" t="s">
        <v>683</v>
      </c>
      <c r="E769" s="3" t="s">
        <v>684</v>
      </c>
      <c r="F769" s="3" t="s">
        <v>685</v>
      </c>
      <c r="G769" s="3" t="s">
        <v>19</v>
      </c>
      <c r="H769" s="3" t="s">
        <v>686</v>
      </c>
      <c r="I769" s="3" t="s">
        <v>19</v>
      </c>
      <c r="J769" s="3" t="s">
        <v>19</v>
      </c>
      <c r="K769" s="3" t="s">
        <v>21</v>
      </c>
      <c r="L769" s="3" t="s">
        <v>22</v>
      </c>
      <c r="M769" s="4">
        <v>599</v>
      </c>
      <c r="N769" s="3" t="s">
        <v>23</v>
      </c>
      <c r="O769" s="3" t="s">
        <v>24</v>
      </c>
    </row>
    <row r="770" spans="1:15" hidden="1" x14ac:dyDescent="0.4">
      <c r="A770" s="7">
        <v>769</v>
      </c>
      <c r="B770" s="8" t="s">
        <v>3592</v>
      </c>
      <c r="C770" s="6" t="str">
        <f>IFERROR(IF(LEFT(D770,FIND(" ",D770)-1)="전라북도","전북특별자치도",LEFT(D770,FIND(" ",D770)-1)),"")</f>
        <v>경기도</v>
      </c>
      <c r="D770" s="3" t="s">
        <v>3593</v>
      </c>
      <c r="E770" s="3" t="s">
        <v>3431</v>
      </c>
      <c r="F770" s="3" t="s">
        <v>3455</v>
      </c>
      <c r="G770" s="3" t="s">
        <v>19</v>
      </c>
      <c r="H770" s="3" t="s">
        <v>3594</v>
      </c>
      <c r="I770" s="3" t="s">
        <v>3594</v>
      </c>
      <c r="J770" s="3" t="s">
        <v>19</v>
      </c>
      <c r="K770" s="3" t="s">
        <v>21</v>
      </c>
      <c r="L770" s="3" t="s">
        <v>147</v>
      </c>
      <c r="M770" s="4">
        <v>200</v>
      </c>
      <c r="N770" s="3" t="s">
        <v>330</v>
      </c>
      <c r="O770" s="3" t="s">
        <v>281</v>
      </c>
    </row>
    <row r="771" spans="1:15" hidden="1" x14ac:dyDescent="0.4">
      <c r="A771" s="7">
        <v>770</v>
      </c>
      <c r="B771" s="8" t="s">
        <v>3595</v>
      </c>
      <c r="C771" s="6" t="str">
        <f>IFERROR(IF(LEFT(D771,FIND(" ",D771)-1)="전라북도","전북특별자치도",LEFT(D771,FIND(" ",D771)-1)),"")</f>
        <v>전북특별자치도</v>
      </c>
      <c r="D771" s="3" t="s">
        <v>1757</v>
      </c>
      <c r="E771" s="3" t="s">
        <v>3596</v>
      </c>
      <c r="F771" s="3" t="s">
        <v>2507</v>
      </c>
      <c r="G771" s="3" t="s">
        <v>3597</v>
      </c>
      <c r="H771" s="3" t="s">
        <v>1758</v>
      </c>
      <c r="I771" s="3" t="s">
        <v>19</v>
      </c>
      <c r="J771" s="3" t="s">
        <v>19</v>
      </c>
      <c r="K771" s="3" t="s">
        <v>21</v>
      </c>
      <c r="L771" s="3" t="s">
        <v>22</v>
      </c>
      <c r="M771" s="4">
        <v>710</v>
      </c>
      <c r="N771" s="3" t="s">
        <v>1498</v>
      </c>
      <c r="O771" s="3" t="s">
        <v>281</v>
      </c>
    </row>
    <row r="772" spans="1:15" hidden="1" x14ac:dyDescent="0.4">
      <c r="A772" s="7">
        <v>771</v>
      </c>
      <c r="B772" s="8" t="s">
        <v>3598</v>
      </c>
      <c r="C772" s="6" t="str">
        <f>IFERROR(IF(LEFT(D772,FIND(" ",D772)-1)="전라북도","전북특별자치도",LEFT(D772,FIND(" ",D772)-1)),"")</f>
        <v>전라남도</v>
      </c>
      <c r="D772" s="3" t="s">
        <v>3599</v>
      </c>
      <c r="E772" s="3" t="s">
        <v>3203</v>
      </c>
      <c r="F772" s="3" t="s">
        <v>2507</v>
      </c>
      <c r="G772" s="3" t="s">
        <v>3145</v>
      </c>
      <c r="H772" s="3" t="s">
        <v>3146</v>
      </c>
      <c r="I772" s="3" t="s">
        <v>3146</v>
      </c>
      <c r="J772" s="3" t="s">
        <v>3600</v>
      </c>
      <c r="K772" s="3" t="s">
        <v>21</v>
      </c>
      <c r="L772" s="3" t="s">
        <v>22</v>
      </c>
      <c r="M772" s="4">
        <v>1780</v>
      </c>
      <c r="N772" s="3" t="s">
        <v>1498</v>
      </c>
      <c r="O772" s="3" t="s">
        <v>281</v>
      </c>
    </row>
    <row r="773" spans="1:15" hidden="1" x14ac:dyDescent="0.4">
      <c r="A773" s="7">
        <v>772</v>
      </c>
      <c r="B773" s="8" t="s">
        <v>3601</v>
      </c>
      <c r="C773" s="6" t="str">
        <f>IFERROR(IF(LEFT(D773,FIND(" ",D773)-1)="전라북도","전북특별자치도",LEFT(D773,FIND(" ",D773)-1)),"")</f>
        <v>인천광역시</v>
      </c>
      <c r="D773" s="3" t="s">
        <v>3602</v>
      </c>
      <c r="E773" s="3" t="s">
        <v>3603</v>
      </c>
      <c r="F773" s="3" t="s">
        <v>3604</v>
      </c>
      <c r="G773" s="3" t="s">
        <v>19</v>
      </c>
      <c r="H773" s="3" t="s">
        <v>3606</v>
      </c>
      <c r="I773" s="3" t="s">
        <v>19</v>
      </c>
      <c r="J773" s="3" t="s">
        <v>19</v>
      </c>
      <c r="K773" s="3" t="s">
        <v>21</v>
      </c>
      <c r="L773" s="3" t="s">
        <v>147</v>
      </c>
      <c r="M773" s="4">
        <v>544</v>
      </c>
      <c r="N773" s="3" t="s">
        <v>2111</v>
      </c>
      <c r="O773" s="3" t="s">
        <v>281</v>
      </c>
    </row>
    <row r="774" spans="1:15" hidden="1" x14ac:dyDescent="0.4">
      <c r="A774" s="7">
        <v>773</v>
      </c>
      <c r="B774" s="8" t="s">
        <v>3607</v>
      </c>
      <c r="C774" s="6" t="str">
        <f>IFERROR(IF(LEFT(D774,FIND(" ",D774)-1)="전라북도","전북특별자치도",LEFT(D774,FIND(" ",D774)-1)),"")</f>
        <v>경기도</v>
      </c>
      <c r="D774" s="3" t="s">
        <v>3608</v>
      </c>
      <c r="E774" s="3" t="s">
        <v>3431</v>
      </c>
      <c r="F774" s="3" t="s">
        <v>1047</v>
      </c>
      <c r="G774" s="3" t="s">
        <v>19</v>
      </c>
      <c r="H774" s="3" t="s">
        <v>953</v>
      </c>
      <c r="I774" s="3" t="s">
        <v>953</v>
      </c>
      <c r="J774" s="3" t="s">
        <v>19</v>
      </c>
      <c r="K774" s="3" t="s">
        <v>21</v>
      </c>
      <c r="L774" s="3" t="s">
        <v>22</v>
      </c>
      <c r="M774" s="4">
        <v>572</v>
      </c>
      <c r="N774" s="3" t="s">
        <v>84</v>
      </c>
      <c r="O774" s="3" t="s">
        <v>281</v>
      </c>
    </row>
    <row r="775" spans="1:15" hidden="1" x14ac:dyDescent="0.4">
      <c r="A775" s="7">
        <v>774</v>
      </c>
      <c r="B775" s="8" t="s">
        <v>3609</v>
      </c>
      <c r="C775" s="6" t="str">
        <f>IFERROR(IF(LEFT(D775,FIND(" ",D775)-1)="전라북도","전북특별자치도",LEFT(D775,FIND(" ",D775)-1)),"")</f>
        <v>경기도</v>
      </c>
      <c r="D775" s="3" t="s">
        <v>3610</v>
      </c>
      <c r="E775" s="3" t="s">
        <v>3570</v>
      </c>
      <c r="F775" s="3" t="s">
        <v>1047</v>
      </c>
      <c r="G775" s="3" t="s">
        <v>19</v>
      </c>
      <c r="H775" s="3" t="s">
        <v>302</v>
      </c>
      <c r="I775" s="3" t="s">
        <v>19</v>
      </c>
      <c r="J775" s="3" t="s">
        <v>19</v>
      </c>
      <c r="K775" s="3" t="s">
        <v>21</v>
      </c>
      <c r="L775" s="3" t="s">
        <v>147</v>
      </c>
      <c r="M775" s="4">
        <v>222</v>
      </c>
      <c r="N775" s="3" t="s">
        <v>84</v>
      </c>
      <c r="O775" s="3" t="s">
        <v>281</v>
      </c>
    </row>
    <row r="776" spans="1:15" hidden="1" x14ac:dyDescent="0.4">
      <c r="A776" s="7">
        <v>775</v>
      </c>
      <c r="B776" s="8" t="s">
        <v>3611</v>
      </c>
      <c r="C776" s="6" t="str">
        <f>IFERROR(IF(LEFT(D776,FIND(" ",D776)-1)="전라북도","전북특별자치도",LEFT(D776,FIND(" ",D776)-1)),"")</f>
        <v>전라남도</v>
      </c>
      <c r="D776" s="3" t="s">
        <v>3612</v>
      </c>
      <c r="E776" s="3" t="s">
        <v>3445</v>
      </c>
      <c r="F776" s="3" t="s">
        <v>1703</v>
      </c>
      <c r="G776" s="3" t="s">
        <v>3613</v>
      </c>
      <c r="H776" s="3" t="s">
        <v>3614</v>
      </c>
      <c r="I776" s="3" t="s">
        <v>3615</v>
      </c>
      <c r="J776" s="3" t="s">
        <v>19</v>
      </c>
      <c r="K776" s="3" t="s">
        <v>21</v>
      </c>
      <c r="L776" s="3" t="s">
        <v>228</v>
      </c>
      <c r="M776" s="4">
        <v>711</v>
      </c>
      <c r="N776" s="3" t="s">
        <v>3616</v>
      </c>
      <c r="O776" s="3" t="s">
        <v>281</v>
      </c>
    </row>
    <row r="777" spans="1:15" hidden="1" x14ac:dyDescent="0.4">
      <c r="A777" s="7">
        <v>776</v>
      </c>
      <c r="B777" s="8" t="s">
        <v>3617</v>
      </c>
      <c r="C777" s="6" t="str">
        <f>IFERROR(IF(LEFT(D777,FIND(" ",D777)-1)="전라북도","전북특별자치도",LEFT(D777,FIND(" ",D777)-1)),"")</f>
        <v>충청남도</v>
      </c>
      <c r="D777" s="3" t="s">
        <v>3618</v>
      </c>
      <c r="E777" s="3" t="s">
        <v>3412</v>
      </c>
      <c r="F777" s="3" t="s">
        <v>3203</v>
      </c>
      <c r="G777" s="3" t="s">
        <v>19</v>
      </c>
      <c r="H777" s="3" t="s">
        <v>3118</v>
      </c>
      <c r="I777" s="3" t="s">
        <v>19</v>
      </c>
      <c r="J777" s="3" t="s">
        <v>19</v>
      </c>
      <c r="K777" s="3" t="s">
        <v>21</v>
      </c>
      <c r="L777" s="3" t="s">
        <v>147</v>
      </c>
      <c r="M777" s="4">
        <v>268</v>
      </c>
      <c r="N777" s="3" t="s">
        <v>3616</v>
      </c>
      <c r="O777" s="3" t="s">
        <v>281</v>
      </c>
    </row>
    <row r="778" spans="1:15" hidden="1" x14ac:dyDescent="0.4">
      <c r="A778" s="7">
        <v>777</v>
      </c>
      <c r="B778" s="8" t="s">
        <v>3619</v>
      </c>
      <c r="C778" s="6" t="str">
        <f>IFERROR(IF(LEFT(D778,FIND(" ",D778)-1)="전라북도","전북특별자치도",LEFT(D778,FIND(" ",D778)-1)),"")</f>
        <v>서울특별시</v>
      </c>
      <c r="D778" s="3" t="s">
        <v>3620</v>
      </c>
      <c r="E778" s="3" t="s">
        <v>3621</v>
      </c>
      <c r="F778" s="3" t="s">
        <v>3203</v>
      </c>
      <c r="G778" s="3" t="s">
        <v>2723</v>
      </c>
      <c r="H778" s="3" t="s">
        <v>3622</v>
      </c>
      <c r="I778" s="3" t="s">
        <v>3622</v>
      </c>
      <c r="J778" s="3" t="s">
        <v>51</v>
      </c>
      <c r="K778" s="3" t="s">
        <v>21</v>
      </c>
      <c r="L778" s="3" t="s">
        <v>22</v>
      </c>
      <c r="M778" s="4">
        <v>2521</v>
      </c>
      <c r="N778" s="3" t="s">
        <v>3616</v>
      </c>
      <c r="O778" s="3" t="s">
        <v>281</v>
      </c>
    </row>
    <row r="779" spans="1:15" hidden="1" x14ac:dyDescent="0.4">
      <c r="A779" s="7">
        <v>778</v>
      </c>
      <c r="B779" s="8" t="s">
        <v>3623</v>
      </c>
      <c r="C779" s="6" t="str">
        <f>IFERROR(IF(LEFT(D779,FIND(" ",D779)-1)="전라북도","전북특별자치도",LEFT(D779,FIND(" ",D779)-1)),"")</f>
        <v>경상남도</v>
      </c>
      <c r="D779" s="3" t="s">
        <v>3624</v>
      </c>
      <c r="E779" s="3" t="s">
        <v>1099</v>
      </c>
      <c r="F779" s="3" t="s">
        <v>1690</v>
      </c>
      <c r="G779" s="3" t="s">
        <v>19</v>
      </c>
      <c r="H779" s="3" t="s">
        <v>1025</v>
      </c>
      <c r="I779" s="3" t="s">
        <v>19</v>
      </c>
      <c r="J779" s="3" t="s">
        <v>19</v>
      </c>
      <c r="K779" s="3" t="s">
        <v>21</v>
      </c>
      <c r="L779" s="3" t="s">
        <v>147</v>
      </c>
      <c r="M779" s="4">
        <v>1016</v>
      </c>
      <c r="N779" s="3" t="s">
        <v>3616</v>
      </c>
      <c r="O779" s="3" t="s">
        <v>281</v>
      </c>
    </row>
    <row r="780" spans="1:15" hidden="1" x14ac:dyDescent="0.4">
      <c r="A780" s="7">
        <v>779</v>
      </c>
      <c r="B780" s="8" t="s">
        <v>3625</v>
      </c>
      <c r="C780" s="6" t="str">
        <f>IFERROR(IF(LEFT(D780,FIND(" ",D780)-1)="전라북도","전북특별자치도",LEFT(D780,FIND(" ",D780)-1)),"")</f>
        <v>부산광역시</v>
      </c>
      <c r="D780" s="3" t="s">
        <v>3626</v>
      </c>
      <c r="E780" s="3" t="s">
        <v>3627</v>
      </c>
      <c r="F780" s="3" t="s">
        <v>1690</v>
      </c>
      <c r="G780" s="3" t="s">
        <v>3628</v>
      </c>
      <c r="H780" s="3" t="s">
        <v>3629</v>
      </c>
      <c r="I780" s="3" t="s">
        <v>3629</v>
      </c>
      <c r="J780" s="3" t="s">
        <v>3628</v>
      </c>
      <c r="K780" s="3" t="s">
        <v>21</v>
      </c>
      <c r="L780" s="3" t="s">
        <v>228</v>
      </c>
      <c r="M780" s="4">
        <v>379247</v>
      </c>
      <c r="N780" s="3" t="s">
        <v>3630</v>
      </c>
      <c r="O780" s="3" t="s">
        <v>281</v>
      </c>
    </row>
    <row r="781" spans="1:15" hidden="1" x14ac:dyDescent="0.4">
      <c r="A781" s="7">
        <v>780</v>
      </c>
      <c r="B781" s="8" t="s">
        <v>3631</v>
      </c>
      <c r="C781" s="6" t="str">
        <f>IFERROR(IF(LEFT(D781,FIND(" ",D781)-1)="전라북도","전북특별자치도",LEFT(D781,FIND(" ",D781)-1)),"")</f>
        <v>경기도</v>
      </c>
      <c r="D781" s="3" t="s">
        <v>3632</v>
      </c>
      <c r="E781" s="3" t="s">
        <v>3633</v>
      </c>
      <c r="F781" s="3" t="s">
        <v>3412</v>
      </c>
      <c r="G781" s="3" t="s">
        <v>3634</v>
      </c>
      <c r="H781" s="3" t="s">
        <v>1110</v>
      </c>
      <c r="I781" s="3" t="s">
        <v>3635</v>
      </c>
      <c r="J781" s="3" t="s">
        <v>19</v>
      </c>
      <c r="K781" s="3" t="s">
        <v>21</v>
      </c>
      <c r="L781" s="3" t="s">
        <v>22</v>
      </c>
      <c r="M781" s="4">
        <v>592</v>
      </c>
      <c r="N781" s="3" t="s">
        <v>3616</v>
      </c>
      <c r="O781" s="3" t="s">
        <v>281</v>
      </c>
    </row>
    <row r="782" spans="1:15" ht="22.05" customHeight="1" x14ac:dyDescent="0.4">
      <c r="A782" s="7">
        <v>162</v>
      </c>
      <c r="B782" s="8" t="s">
        <v>841</v>
      </c>
      <c r="C782" s="6" t="str">
        <f>IFERROR(IF(LEFT(D782,FIND(" ",D782)-1)="전라북도","전북특별자치도",LEFT(D782,FIND(" ",D782)-1)),"")</f>
        <v>충청북도</v>
      </c>
      <c r="D782" s="3" t="s">
        <v>842</v>
      </c>
      <c r="E782" s="3" t="s">
        <v>843</v>
      </c>
      <c r="F782" s="3" t="s">
        <v>819</v>
      </c>
      <c r="G782" s="3" t="s">
        <v>844</v>
      </c>
      <c r="H782" s="3" t="s">
        <v>845</v>
      </c>
      <c r="I782" s="3" t="s">
        <v>846</v>
      </c>
      <c r="J782" s="3" t="s">
        <v>847</v>
      </c>
      <c r="K782" s="3" t="s">
        <v>21</v>
      </c>
      <c r="L782" s="3" t="s">
        <v>22</v>
      </c>
      <c r="M782" s="4">
        <v>2996</v>
      </c>
      <c r="N782" s="3" t="s">
        <v>23</v>
      </c>
      <c r="O782" s="3" t="s">
        <v>24</v>
      </c>
    </row>
    <row r="783" spans="1:15" hidden="1" x14ac:dyDescent="0.4">
      <c r="A783" s="7">
        <v>782</v>
      </c>
      <c r="B783" s="8" t="s">
        <v>3640</v>
      </c>
      <c r="C783" s="6" t="str">
        <f>IFERROR(IF(LEFT(D783,FIND(" ",D783)-1)="전라북도","전북특별자치도",LEFT(D783,FIND(" ",D783)-1)),"")</f>
        <v>경기도</v>
      </c>
      <c r="D783" s="3" t="s">
        <v>3641</v>
      </c>
      <c r="E783" s="3" t="s">
        <v>3642</v>
      </c>
      <c r="F783" s="3" t="s">
        <v>3318</v>
      </c>
      <c r="G783" s="3" t="s">
        <v>2402</v>
      </c>
      <c r="H783" s="3" t="s">
        <v>885</v>
      </c>
      <c r="I783" s="3" t="s">
        <v>2897</v>
      </c>
      <c r="J783" s="3" t="s">
        <v>19</v>
      </c>
      <c r="K783" s="3" t="s">
        <v>21</v>
      </c>
      <c r="L783" s="3" t="s">
        <v>22</v>
      </c>
      <c r="M783" s="4">
        <v>1490</v>
      </c>
      <c r="N783" s="3" t="s">
        <v>3616</v>
      </c>
      <c r="O783" s="3" t="s">
        <v>281</v>
      </c>
    </row>
    <row r="784" spans="1:15" hidden="1" x14ac:dyDescent="0.4">
      <c r="A784" s="7">
        <v>783</v>
      </c>
      <c r="B784" s="8" t="s">
        <v>19</v>
      </c>
      <c r="C784" s="6" t="str">
        <f>IFERROR(IF(LEFT(D784,FIND(" ",D784)-1)="전라북도","전북특별자치도",LEFT(D784,FIND(" ",D784)-1)),"")</f>
        <v>경기도</v>
      </c>
      <c r="D784" s="3" t="s">
        <v>3644</v>
      </c>
      <c r="E784" s="3" t="s">
        <v>3645</v>
      </c>
      <c r="F784" s="3" t="s">
        <v>3431</v>
      </c>
      <c r="G784" s="3" t="s">
        <v>19</v>
      </c>
      <c r="H784" s="3" t="s">
        <v>1265</v>
      </c>
      <c r="I784" s="3" t="s">
        <v>19</v>
      </c>
      <c r="J784" s="3" t="s">
        <v>19</v>
      </c>
      <c r="K784" s="3" t="s">
        <v>21</v>
      </c>
      <c r="L784" s="3" t="s">
        <v>147</v>
      </c>
      <c r="M784" s="4">
        <v>143</v>
      </c>
      <c r="N784" s="3" t="s">
        <v>19</v>
      </c>
      <c r="O784" s="3" t="s">
        <v>281</v>
      </c>
    </row>
    <row r="785" spans="1:15" hidden="1" x14ac:dyDescent="0.4">
      <c r="A785" s="7">
        <v>784</v>
      </c>
      <c r="B785" s="8" t="s">
        <v>3646</v>
      </c>
      <c r="C785" s="6" t="str">
        <f>IFERROR(IF(LEFT(D785,FIND(" ",D785)-1)="전라북도","전북특별자치도",LEFT(D785,FIND(" ",D785)-1)),"")</f>
        <v>경기도</v>
      </c>
      <c r="D785" s="3" t="s">
        <v>3647</v>
      </c>
      <c r="E785" s="3" t="s">
        <v>3645</v>
      </c>
      <c r="F785" s="3" t="s">
        <v>3431</v>
      </c>
      <c r="G785" s="3" t="s">
        <v>19</v>
      </c>
      <c r="H785" s="3" t="s">
        <v>1265</v>
      </c>
      <c r="I785" s="3" t="s">
        <v>19</v>
      </c>
      <c r="J785" s="3" t="s">
        <v>19</v>
      </c>
      <c r="K785" s="3" t="s">
        <v>21</v>
      </c>
      <c r="L785" s="3" t="s">
        <v>147</v>
      </c>
      <c r="M785" s="4">
        <v>138</v>
      </c>
      <c r="N785" s="3" t="s">
        <v>19</v>
      </c>
      <c r="O785" s="3" t="s">
        <v>281</v>
      </c>
    </row>
    <row r="786" spans="1:15" hidden="1" x14ac:dyDescent="0.4">
      <c r="A786" s="7">
        <v>785</v>
      </c>
      <c r="B786" s="8" t="s">
        <v>3648</v>
      </c>
      <c r="C786" s="6" t="str">
        <f>IFERROR(IF(LEFT(D786,FIND(" ",D786)-1)="전라북도","전북특별자치도",LEFT(D786,FIND(" ",D786)-1)),"")</f>
        <v>경기도</v>
      </c>
      <c r="D786" s="3" t="s">
        <v>3649</v>
      </c>
      <c r="E786" s="3" t="s">
        <v>3645</v>
      </c>
      <c r="F786" s="3" t="s">
        <v>3431</v>
      </c>
      <c r="G786" s="3" t="s">
        <v>19</v>
      </c>
      <c r="H786" s="3" t="s">
        <v>1265</v>
      </c>
      <c r="I786" s="3" t="s">
        <v>19</v>
      </c>
      <c r="J786" s="3" t="s">
        <v>19</v>
      </c>
      <c r="K786" s="3" t="s">
        <v>21</v>
      </c>
      <c r="L786" s="3" t="s">
        <v>147</v>
      </c>
      <c r="M786" s="4">
        <v>135</v>
      </c>
      <c r="N786" s="3" t="s">
        <v>19</v>
      </c>
      <c r="O786" s="3" t="s">
        <v>281</v>
      </c>
    </row>
    <row r="787" spans="1:15" hidden="1" x14ac:dyDescent="0.4">
      <c r="A787" s="7">
        <v>786</v>
      </c>
      <c r="B787" s="8" t="s">
        <v>3650</v>
      </c>
      <c r="C787" s="6" t="str">
        <f>IFERROR(IF(LEFT(D787,FIND(" ",D787)-1)="전라북도","전북특별자치도",LEFT(D787,FIND(" ",D787)-1)),"")</f>
        <v>경기도</v>
      </c>
      <c r="D787" s="3" t="s">
        <v>3651</v>
      </c>
      <c r="E787" s="3" t="s">
        <v>3645</v>
      </c>
      <c r="F787" s="3" t="s">
        <v>3431</v>
      </c>
      <c r="G787" s="3" t="s">
        <v>19</v>
      </c>
      <c r="H787" s="3" t="s">
        <v>1265</v>
      </c>
      <c r="I787" s="3" t="s">
        <v>19</v>
      </c>
      <c r="J787" s="3" t="s">
        <v>19</v>
      </c>
      <c r="K787" s="3" t="s">
        <v>21</v>
      </c>
      <c r="L787" s="3" t="s">
        <v>147</v>
      </c>
      <c r="M787" s="4">
        <v>135</v>
      </c>
      <c r="N787" s="3" t="s">
        <v>19</v>
      </c>
      <c r="O787" s="3" t="s">
        <v>281</v>
      </c>
    </row>
    <row r="788" spans="1:15" hidden="1" x14ac:dyDescent="0.4">
      <c r="A788" s="7">
        <v>787</v>
      </c>
      <c r="B788" s="8" t="s">
        <v>3652</v>
      </c>
      <c r="C788" s="6" t="str">
        <f>IFERROR(IF(LEFT(D788,FIND(" ",D788)-1)="전라북도","전북특별자치도",LEFT(D788,FIND(" ",D788)-1)),"")</f>
        <v>경기도</v>
      </c>
      <c r="D788" s="3" t="s">
        <v>3653</v>
      </c>
      <c r="E788" s="3" t="s">
        <v>3645</v>
      </c>
      <c r="F788" s="3" t="s">
        <v>3431</v>
      </c>
      <c r="G788" s="3" t="s">
        <v>19</v>
      </c>
      <c r="H788" s="3" t="s">
        <v>1265</v>
      </c>
      <c r="I788" s="3" t="s">
        <v>19</v>
      </c>
      <c r="J788" s="3" t="s">
        <v>19</v>
      </c>
      <c r="K788" s="3" t="s">
        <v>21</v>
      </c>
      <c r="L788" s="3" t="s">
        <v>147</v>
      </c>
      <c r="M788" s="4">
        <v>138</v>
      </c>
      <c r="N788" s="3" t="s">
        <v>19</v>
      </c>
      <c r="O788" s="3" t="s">
        <v>281</v>
      </c>
    </row>
    <row r="789" spans="1:15" hidden="1" x14ac:dyDescent="0.4">
      <c r="A789" s="7">
        <v>788</v>
      </c>
      <c r="B789" s="8" t="s">
        <v>3654</v>
      </c>
      <c r="C789" s="6" t="str">
        <f>IFERROR(IF(LEFT(D789,FIND(" ",D789)-1)="전라북도","전북특별자치도",LEFT(D789,FIND(" ",D789)-1)),"")</f>
        <v/>
      </c>
      <c r="D789" s="3" t="s">
        <v>19</v>
      </c>
      <c r="E789" s="3" t="s">
        <v>19</v>
      </c>
      <c r="F789" s="3" t="s">
        <v>19</v>
      </c>
      <c r="G789" s="3" t="s">
        <v>19</v>
      </c>
      <c r="H789" s="3" t="s">
        <v>19</v>
      </c>
      <c r="I789" s="3" t="s">
        <v>19</v>
      </c>
      <c r="J789" s="3" t="s">
        <v>19</v>
      </c>
      <c r="K789" s="3" t="s">
        <v>19</v>
      </c>
      <c r="L789" s="3" t="s">
        <v>19</v>
      </c>
      <c r="M789" s="4" t="s">
        <v>19</v>
      </c>
      <c r="N789" s="3" t="s">
        <v>19</v>
      </c>
      <c r="O789" s="3" t="s">
        <v>19</v>
      </c>
    </row>
    <row r="790" spans="1:15" hidden="1" x14ac:dyDescent="0.4">
      <c r="A790" s="7">
        <v>789</v>
      </c>
      <c r="B790" s="8" t="s">
        <v>3655</v>
      </c>
      <c r="C790" s="6" t="str">
        <f>IFERROR(IF(LEFT(D790,FIND(" ",D790)-1)="전라북도","전북특별자치도",LEFT(D790,FIND(" ",D790)-1)),"")</f>
        <v>경기도</v>
      </c>
      <c r="D790" s="3" t="s">
        <v>3656</v>
      </c>
      <c r="E790" s="3" t="s">
        <v>3645</v>
      </c>
      <c r="F790" s="3" t="s">
        <v>3431</v>
      </c>
      <c r="G790" s="3" t="s">
        <v>19</v>
      </c>
      <c r="H790" s="3" t="s">
        <v>1265</v>
      </c>
      <c r="I790" s="3" t="s">
        <v>19</v>
      </c>
      <c r="J790" s="3" t="s">
        <v>19</v>
      </c>
      <c r="K790" s="3" t="s">
        <v>21</v>
      </c>
      <c r="L790" s="3" t="s">
        <v>147</v>
      </c>
      <c r="M790" s="4">
        <v>133</v>
      </c>
      <c r="N790" s="3" t="s">
        <v>19</v>
      </c>
      <c r="O790" s="3" t="s">
        <v>281</v>
      </c>
    </row>
    <row r="791" spans="1:15" hidden="1" x14ac:dyDescent="0.4">
      <c r="A791" s="7">
        <v>790</v>
      </c>
      <c r="B791" s="8" t="s">
        <v>3657</v>
      </c>
      <c r="C791" s="6" t="str">
        <f>IFERROR(IF(LEFT(D791,FIND(" ",D791)-1)="전라북도","전북특별자치도",LEFT(D791,FIND(" ",D791)-1)),"")</f>
        <v>경기도</v>
      </c>
      <c r="D791" s="3" t="s">
        <v>3658</v>
      </c>
      <c r="E791" s="3" t="s">
        <v>3645</v>
      </c>
      <c r="F791" s="3" t="s">
        <v>3431</v>
      </c>
      <c r="G791" s="3" t="s">
        <v>19</v>
      </c>
      <c r="H791" s="3" t="s">
        <v>1265</v>
      </c>
      <c r="I791" s="3" t="s">
        <v>19</v>
      </c>
      <c r="J791" s="3" t="s">
        <v>19</v>
      </c>
      <c r="K791" s="3" t="s">
        <v>21</v>
      </c>
      <c r="L791" s="3" t="s">
        <v>147</v>
      </c>
      <c r="M791" s="4">
        <v>133</v>
      </c>
      <c r="N791" s="3" t="s">
        <v>19</v>
      </c>
      <c r="O791" s="3" t="s">
        <v>281</v>
      </c>
    </row>
    <row r="792" spans="1:15" hidden="1" x14ac:dyDescent="0.4">
      <c r="A792" s="7">
        <v>791</v>
      </c>
      <c r="B792" s="8" t="s">
        <v>3659</v>
      </c>
      <c r="C792" s="6" t="str">
        <f>IFERROR(IF(LEFT(D792,FIND(" ",D792)-1)="전라북도","전북특별자치도",LEFT(D792,FIND(" ",D792)-1)),"")</f>
        <v>경기도</v>
      </c>
      <c r="D792" s="3" t="s">
        <v>3660</v>
      </c>
      <c r="E792" s="3" t="s">
        <v>3645</v>
      </c>
      <c r="F792" s="3" t="s">
        <v>3431</v>
      </c>
      <c r="G792" s="3" t="s">
        <v>19</v>
      </c>
      <c r="H792" s="3" t="s">
        <v>1265</v>
      </c>
      <c r="I792" s="3" t="s">
        <v>19</v>
      </c>
      <c r="J792" s="3" t="s">
        <v>19</v>
      </c>
      <c r="K792" s="3" t="s">
        <v>21</v>
      </c>
      <c r="L792" s="3" t="s">
        <v>147</v>
      </c>
      <c r="M792" s="4">
        <v>130</v>
      </c>
      <c r="N792" s="3" t="s">
        <v>19</v>
      </c>
      <c r="O792" s="3" t="s">
        <v>281</v>
      </c>
    </row>
    <row r="793" spans="1:15" hidden="1" x14ac:dyDescent="0.4">
      <c r="A793" s="7">
        <v>792</v>
      </c>
      <c r="B793" s="8" t="s">
        <v>3661</v>
      </c>
      <c r="C793" s="6" t="str">
        <f>IFERROR(IF(LEFT(D793,FIND(" ",D793)-1)="전라북도","전북특별자치도",LEFT(D793,FIND(" ",D793)-1)),"")</f>
        <v>경기도</v>
      </c>
      <c r="D793" s="3" t="s">
        <v>3662</v>
      </c>
      <c r="E793" s="3" t="s">
        <v>3645</v>
      </c>
      <c r="F793" s="3" t="s">
        <v>3431</v>
      </c>
      <c r="G793" s="3" t="s">
        <v>19</v>
      </c>
      <c r="H793" s="3" t="s">
        <v>1265</v>
      </c>
      <c r="I793" s="3" t="s">
        <v>19</v>
      </c>
      <c r="J793" s="3" t="s">
        <v>19</v>
      </c>
      <c r="K793" s="3" t="s">
        <v>21</v>
      </c>
      <c r="L793" s="3" t="s">
        <v>147</v>
      </c>
      <c r="M793" s="4">
        <v>130</v>
      </c>
      <c r="N793" s="3" t="s">
        <v>19</v>
      </c>
      <c r="O793" s="3" t="s">
        <v>281</v>
      </c>
    </row>
    <row r="794" spans="1:15" hidden="1" x14ac:dyDescent="0.4">
      <c r="A794" s="7">
        <v>793</v>
      </c>
      <c r="B794" s="8" t="s">
        <v>3663</v>
      </c>
      <c r="C794" s="6" t="str">
        <f>IFERROR(IF(LEFT(D794,FIND(" ",D794)-1)="전라북도","전북특별자치도",LEFT(D794,FIND(" ",D794)-1)),"")</f>
        <v>경기도</v>
      </c>
      <c r="D794" s="3" t="s">
        <v>3664</v>
      </c>
      <c r="E794" s="3" t="s">
        <v>3645</v>
      </c>
      <c r="F794" s="3" t="s">
        <v>3431</v>
      </c>
      <c r="G794" s="3" t="s">
        <v>19</v>
      </c>
      <c r="H794" s="3" t="s">
        <v>1265</v>
      </c>
      <c r="I794" s="3" t="s">
        <v>19</v>
      </c>
      <c r="J794" s="3" t="s">
        <v>19</v>
      </c>
      <c r="K794" s="3" t="s">
        <v>21</v>
      </c>
      <c r="L794" s="3" t="s">
        <v>147</v>
      </c>
      <c r="M794" s="4">
        <v>133</v>
      </c>
      <c r="N794" s="3" t="s">
        <v>19</v>
      </c>
      <c r="O794" s="3" t="s">
        <v>281</v>
      </c>
    </row>
    <row r="795" spans="1:15" hidden="1" x14ac:dyDescent="0.4">
      <c r="A795" s="7">
        <v>794</v>
      </c>
      <c r="B795" s="8" t="s">
        <v>3665</v>
      </c>
      <c r="C795" s="6" t="str">
        <f>IFERROR(IF(LEFT(D795,FIND(" ",D795)-1)="전라북도","전북특별자치도",LEFT(D795,FIND(" ",D795)-1)),"")</f>
        <v>경기도</v>
      </c>
      <c r="D795" s="3" t="s">
        <v>3666</v>
      </c>
      <c r="E795" s="3" t="s">
        <v>3645</v>
      </c>
      <c r="F795" s="3" t="s">
        <v>3431</v>
      </c>
      <c r="G795" s="3" t="s">
        <v>19</v>
      </c>
      <c r="H795" s="3" t="s">
        <v>1265</v>
      </c>
      <c r="I795" s="3" t="s">
        <v>19</v>
      </c>
      <c r="J795" s="3" t="s">
        <v>19</v>
      </c>
      <c r="K795" s="3" t="s">
        <v>21</v>
      </c>
      <c r="L795" s="3" t="s">
        <v>147</v>
      </c>
      <c r="M795" s="4">
        <v>135</v>
      </c>
      <c r="N795" s="3" t="s">
        <v>19</v>
      </c>
      <c r="O795" s="3" t="s">
        <v>281</v>
      </c>
    </row>
    <row r="796" spans="1:15" hidden="1" x14ac:dyDescent="0.4">
      <c r="A796" s="7">
        <v>795</v>
      </c>
      <c r="B796" s="8" t="s">
        <v>3667</v>
      </c>
      <c r="C796" s="6" t="str">
        <f>IFERROR(IF(LEFT(D796,FIND(" ",D796)-1)="전라북도","전북특별자치도",LEFT(D796,FIND(" ",D796)-1)),"")</f>
        <v>경기도</v>
      </c>
      <c r="D796" s="3" t="s">
        <v>3668</v>
      </c>
      <c r="E796" s="3" t="s">
        <v>3669</v>
      </c>
      <c r="F796" s="3" t="s">
        <v>3431</v>
      </c>
      <c r="G796" s="3" t="s">
        <v>19</v>
      </c>
      <c r="H796" s="3" t="s">
        <v>302</v>
      </c>
      <c r="I796" s="3" t="s">
        <v>19</v>
      </c>
      <c r="J796" s="3" t="s">
        <v>19</v>
      </c>
      <c r="K796" s="3" t="s">
        <v>21</v>
      </c>
      <c r="L796" s="3" t="s">
        <v>147</v>
      </c>
      <c r="M796" s="4">
        <v>579</v>
      </c>
      <c r="N796" s="3" t="s">
        <v>330</v>
      </c>
      <c r="O796" s="3" t="s">
        <v>281</v>
      </c>
    </row>
    <row r="797" spans="1:15" ht="22.05" customHeight="1" x14ac:dyDescent="0.4">
      <c r="A797" s="7">
        <v>202</v>
      </c>
      <c r="B797" s="8" t="s">
        <v>1051</v>
      </c>
      <c r="C797" s="6" t="str">
        <f>IFERROR(IF(LEFT(D797,FIND(" ",D797)-1)="전라북도","전북특별자치도",LEFT(D797,FIND(" ",D797)-1)),"")</f>
        <v>충청북도</v>
      </c>
      <c r="D797" s="3" t="s">
        <v>1052</v>
      </c>
      <c r="E797" s="3" t="s">
        <v>1053</v>
      </c>
      <c r="F797" s="3" t="s">
        <v>1054</v>
      </c>
      <c r="G797" s="3" t="s">
        <v>19</v>
      </c>
      <c r="H797" s="3" t="s">
        <v>234</v>
      </c>
      <c r="I797" s="3" t="s">
        <v>19</v>
      </c>
      <c r="J797" s="3" t="s">
        <v>19</v>
      </c>
      <c r="K797" s="3" t="s">
        <v>21</v>
      </c>
      <c r="L797" s="3" t="s">
        <v>22</v>
      </c>
      <c r="M797" s="4">
        <v>394</v>
      </c>
      <c r="N797" s="3" t="s">
        <v>23</v>
      </c>
      <c r="O797" s="3" t="s">
        <v>24</v>
      </c>
    </row>
    <row r="798" spans="1:15" hidden="1" x14ac:dyDescent="0.4">
      <c r="A798" s="7">
        <v>797</v>
      </c>
      <c r="B798" s="8" t="s">
        <v>3674</v>
      </c>
      <c r="C798" s="6" t="str">
        <f>IFERROR(IF(LEFT(D798,FIND(" ",D798)-1)="전라북도","전북특별자치도",LEFT(D798,FIND(" ",D798)-1)),"")</f>
        <v>전라남도</v>
      </c>
      <c r="D798" s="3" t="s">
        <v>3675</v>
      </c>
      <c r="E798" s="3" t="s">
        <v>3676</v>
      </c>
      <c r="F798" s="3" t="s">
        <v>3677</v>
      </c>
      <c r="G798" s="3" t="s">
        <v>3678</v>
      </c>
      <c r="H798" s="3" t="s">
        <v>3679</v>
      </c>
      <c r="I798" s="3" t="s">
        <v>3680</v>
      </c>
      <c r="J798" s="3" t="s">
        <v>3681</v>
      </c>
      <c r="K798" s="3" t="s">
        <v>21</v>
      </c>
      <c r="L798" s="3" t="s">
        <v>147</v>
      </c>
      <c r="M798" s="4">
        <v>765</v>
      </c>
      <c r="N798" s="3" t="s">
        <v>3616</v>
      </c>
      <c r="O798" s="3" t="s">
        <v>281</v>
      </c>
    </row>
    <row r="799" spans="1:15" hidden="1" x14ac:dyDescent="0.4">
      <c r="A799" s="7">
        <v>798</v>
      </c>
      <c r="B799" s="8" t="s">
        <v>3682</v>
      </c>
      <c r="C799" s="6" t="str">
        <f>IFERROR(IF(LEFT(D799,FIND(" ",D799)-1)="전라북도","전북특별자치도",LEFT(D799,FIND(" ",D799)-1)),"")</f>
        <v>충청남도</v>
      </c>
      <c r="D799" s="3" t="s">
        <v>3683</v>
      </c>
      <c r="E799" s="3" t="s">
        <v>3684</v>
      </c>
      <c r="F799" s="3" t="s">
        <v>3260</v>
      </c>
      <c r="G799" s="3" t="s">
        <v>19</v>
      </c>
      <c r="H799" s="3" t="s">
        <v>3685</v>
      </c>
      <c r="I799" s="3" t="s">
        <v>19</v>
      </c>
      <c r="J799" s="3" t="s">
        <v>19</v>
      </c>
      <c r="K799" s="3" t="s">
        <v>21</v>
      </c>
      <c r="L799" s="3" t="s">
        <v>147</v>
      </c>
      <c r="M799" s="4">
        <v>189</v>
      </c>
      <c r="N799" s="3" t="s">
        <v>19</v>
      </c>
      <c r="O799" s="3" t="s">
        <v>281</v>
      </c>
    </row>
    <row r="800" spans="1:15" hidden="1" x14ac:dyDescent="0.4">
      <c r="A800" s="7">
        <v>799</v>
      </c>
      <c r="B800" s="8" t="s">
        <v>3686</v>
      </c>
      <c r="C800" s="6" t="str">
        <f>IFERROR(IF(LEFT(D800,FIND(" ",D800)-1)="전라북도","전북특별자치도",LEFT(D800,FIND(" ",D800)-1)),"")</f>
        <v>부산광역시</v>
      </c>
      <c r="D800" s="3" t="s">
        <v>3687</v>
      </c>
      <c r="E800" s="3" t="s">
        <v>872</v>
      </c>
      <c r="F800" s="3" t="s">
        <v>3684</v>
      </c>
      <c r="G800" s="3" t="s">
        <v>3298</v>
      </c>
      <c r="H800" s="3" t="s">
        <v>2291</v>
      </c>
      <c r="I800" s="3" t="s">
        <v>2291</v>
      </c>
      <c r="J800" s="3" t="s">
        <v>19</v>
      </c>
      <c r="K800" s="3" t="s">
        <v>21</v>
      </c>
      <c r="L800" s="3" t="s">
        <v>228</v>
      </c>
      <c r="M800" s="4">
        <v>3111</v>
      </c>
      <c r="N800" s="3" t="s">
        <v>3616</v>
      </c>
      <c r="O800" s="3" t="s">
        <v>281</v>
      </c>
    </row>
    <row r="801" spans="1:15" hidden="1" x14ac:dyDescent="0.4">
      <c r="A801" s="7">
        <v>800</v>
      </c>
      <c r="B801" s="8" t="s">
        <v>3688</v>
      </c>
      <c r="C801" s="6" t="str">
        <f>IFERROR(IF(LEFT(D801,FIND(" ",D801)-1)="전라북도","전북특별자치도",LEFT(D801,FIND(" ",D801)-1)),"")</f>
        <v>전라남도</v>
      </c>
      <c r="D801" s="3" t="s">
        <v>3689</v>
      </c>
      <c r="E801" s="3" t="s">
        <v>3292</v>
      </c>
      <c r="F801" s="3" t="s">
        <v>3672</v>
      </c>
      <c r="G801" s="3" t="s">
        <v>19</v>
      </c>
      <c r="H801" s="3" t="s">
        <v>3690</v>
      </c>
      <c r="I801" s="3" t="s">
        <v>19</v>
      </c>
      <c r="J801" s="3" t="s">
        <v>3691</v>
      </c>
      <c r="K801" s="3" t="s">
        <v>21</v>
      </c>
      <c r="L801" s="3" t="s">
        <v>147</v>
      </c>
      <c r="M801" s="4">
        <v>826</v>
      </c>
      <c r="N801" s="3" t="s">
        <v>19</v>
      </c>
      <c r="O801" s="3" t="s">
        <v>281</v>
      </c>
    </row>
    <row r="802" spans="1:15" hidden="1" x14ac:dyDescent="0.4">
      <c r="A802" s="7">
        <v>801</v>
      </c>
      <c r="B802" s="8" t="s">
        <v>3692</v>
      </c>
      <c r="C802" s="6" t="str">
        <f>IFERROR(IF(LEFT(D802,FIND(" ",D802)-1)="전라북도","전북특별자치도",LEFT(D802,FIND(" ",D802)-1)),"")</f>
        <v>경기도</v>
      </c>
      <c r="D802" s="3" t="s">
        <v>3693</v>
      </c>
      <c r="E802" s="3" t="s">
        <v>3694</v>
      </c>
      <c r="F802" s="3" t="s">
        <v>3292</v>
      </c>
      <c r="G802" s="3" t="s">
        <v>3695</v>
      </c>
      <c r="H802" s="3" t="s">
        <v>3696</v>
      </c>
      <c r="I802" s="3" t="s">
        <v>3696</v>
      </c>
      <c r="J802" s="3" t="s">
        <v>19</v>
      </c>
      <c r="K802" s="3" t="s">
        <v>21</v>
      </c>
      <c r="L802" s="3" t="s">
        <v>147</v>
      </c>
      <c r="M802" s="4">
        <v>1327</v>
      </c>
      <c r="N802" s="3" t="s">
        <v>19</v>
      </c>
      <c r="O802" s="3" t="s">
        <v>281</v>
      </c>
    </row>
    <row r="803" spans="1:15" hidden="1" x14ac:dyDescent="0.4">
      <c r="A803" s="7">
        <v>802</v>
      </c>
      <c r="B803" s="8" t="s">
        <v>2894</v>
      </c>
      <c r="C803" s="6" t="str">
        <f>IFERROR(IF(LEFT(D803,FIND(" ",D803)-1)="전라북도","전북특별자치도",LEFT(D803,FIND(" ",D803)-1)),"")</f>
        <v>경기도</v>
      </c>
      <c r="D803" s="3" t="s">
        <v>2895</v>
      </c>
      <c r="E803" s="3" t="s">
        <v>3697</v>
      </c>
      <c r="F803" s="3" t="s">
        <v>3698</v>
      </c>
      <c r="G803" s="3" t="s">
        <v>19</v>
      </c>
      <c r="H803" s="3" t="s">
        <v>2897</v>
      </c>
      <c r="I803" s="3" t="s">
        <v>19</v>
      </c>
      <c r="J803" s="3" t="s">
        <v>19</v>
      </c>
      <c r="K803" s="3" t="s">
        <v>21</v>
      </c>
      <c r="L803" s="3" t="s">
        <v>22</v>
      </c>
      <c r="M803" s="4">
        <v>130</v>
      </c>
      <c r="N803" s="3" t="s">
        <v>84</v>
      </c>
      <c r="O803" s="3" t="s">
        <v>281</v>
      </c>
    </row>
    <row r="804" spans="1:15" hidden="1" x14ac:dyDescent="0.4">
      <c r="A804" s="7">
        <v>803</v>
      </c>
      <c r="B804" s="8" t="s">
        <v>3699</v>
      </c>
      <c r="C804" s="6" t="str">
        <f>IFERROR(IF(LEFT(D804,FIND(" ",D804)-1)="전라북도","전북특별자치도",LEFT(D804,FIND(" ",D804)-1)),"")</f>
        <v>충청북도</v>
      </c>
      <c r="D804" s="3" t="s">
        <v>3700</v>
      </c>
      <c r="E804" s="3" t="s">
        <v>1134</v>
      </c>
      <c r="F804" s="3" t="s">
        <v>3698</v>
      </c>
      <c r="G804" s="3" t="s">
        <v>3701</v>
      </c>
      <c r="H804" s="3" t="s">
        <v>3702</v>
      </c>
      <c r="I804" s="3" t="s">
        <v>3702</v>
      </c>
      <c r="J804" s="3" t="s">
        <v>3701</v>
      </c>
      <c r="K804" s="3" t="s">
        <v>21</v>
      </c>
      <c r="L804" s="3" t="s">
        <v>228</v>
      </c>
      <c r="M804" s="4">
        <v>3886</v>
      </c>
      <c r="N804" s="3" t="s">
        <v>19</v>
      </c>
      <c r="O804" s="3" t="s">
        <v>281</v>
      </c>
    </row>
    <row r="805" spans="1:15" hidden="1" x14ac:dyDescent="0.4">
      <c r="A805" s="7">
        <v>804</v>
      </c>
      <c r="B805" s="8" t="s">
        <v>3703</v>
      </c>
      <c r="C805" s="6" t="str">
        <f>IFERROR(IF(LEFT(D805,FIND(" ",D805)-1)="전라북도","전북특별자치도",LEFT(D805,FIND(" ",D805)-1)),"")</f>
        <v>인천광역시</v>
      </c>
      <c r="D805" s="3" t="s">
        <v>3704</v>
      </c>
      <c r="E805" s="3" t="s">
        <v>3705</v>
      </c>
      <c r="F805" s="3" t="s">
        <v>1118</v>
      </c>
      <c r="G805" s="3" t="s">
        <v>3706</v>
      </c>
      <c r="H805" s="3" t="s">
        <v>3707</v>
      </c>
      <c r="I805" s="3" t="s">
        <v>3707</v>
      </c>
      <c r="J805" s="3" t="s">
        <v>19</v>
      </c>
      <c r="K805" s="3" t="s">
        <v>21</v>
      </c>
      <c r="L805" s="3" t="s">
        <v>22</v>
      </c>
      <c r="M805" s="4">
        <v>736</v>
      </c>
      <c r="N805" s="3" t="s">
        <v>3616</v>
      </c>
      <c r="O805" s="3" t="s">
        <v>281</v>
      </c>
    </row>
    <row r="806" spans="1:15" hidden="1" x14ac:dyDescent="0.4">
      <c r="A806" s="7">
        <v>805</v>
      </c>
      <c r="B806" s="8" t="s">
        <v>3708</v>
      </c>
      <c r="C806" s="6" t="str">
        <f>IFERROR(IF(LEFT(D806,FIND(" ",D806)-1)="전라북도","전북특별자치도",LEFT(D806,FIND(" ",D806)-1)),"")</f>
        <v>경기도</v>
      </c>
      <c r="D806" s="3" t="s">
        <v>3709</v>
      </c>
      <c r="E806" s="3" t="s">
        <v>1118</v>
      </c>
      <c r="F806" s="3" t="s">
        <v>1118</v>
      </c>
      <c r="G806" s="3" t="s">
        <v>19</v>
      </c>
      <c r="H806" s="3" t="s">
        <v>3710</v>
      </c>
      <c r="I806" s="3" t="s">
        <v>19</v>
      </c>
      <c r="J806" s="3" t="s">
        <v>19</v>
      </c>
      <c r="K806" s="3" t="s">
        <v>21</v>
      </c>
      <c r="L806" s="3" t="s">
        <v>147</v>
      </c>
      <c r="M806" s="4">
        <v>103</v>
      </c>
      <c r="N806" s="3" t="s">
        <v>84</v>
      </c>
      <c r="O806" s="3" t="s">
        <v>281</v>
      </c>
    </row>
    <row r="807" spans="1:15" hidden="1" x14ac:dyDescent="0.4">
      <c r="A807" s="7">
        <v>806</v>
      </c>
      <c r="B807" s="8" t="s">
        <v>3711</v>
      </c>
      <c r="C807" s="6" t="str">
        <f>IFERROR(IF(LEFT(D807,FIND(" ",D807)-1)="전라북도","전북특별자치도",LEFT(D807,FIND(" ",D807)-1)),"")</f>
        <v>경기도</v>
      </c>
      <c r="D807" s="3" t="s">
        <v>3712</v>
      </c>
      <c r="E807" s="3" t="s">
        <v>1326</v>
      </c>
      <c r="F807" s="3" t="s">
        <v>3596</v>
      </c>
      <c r="G807" s="3" t="s">
        <v>3713</v>
      </c>
      <c r="H807" s="3" t="s">
        <v>1884</v>
      </c>
      <c r="I807" s="3" t="s">
        <v>1884</v>
      </c>
      <c r="J807" s="3" t="s">
        <v>19</v>
      </c>
      <c r="K807" s="3" t="s">
        <v>21</v>
      </c>
      <c r="L807" s="3" t="s">
        <v>22</v>
      </c>
      <c r="M807" s="4">
        <v>667</v>
      </c>
      <c r="N807" s="3" t="s">
        <v>3616</v>
      </c>
      <c r="O807" s="3" t="s">
        <v>281</v>
      </c>
    </row>
    <row r="808" spans="1:15" hidden="1" x14ac:dyDescent="0.4">
      <c r="A808" s="7">
        <v>807</v>
      </c>
      <c r="B808" s="8" t="s">
        <v>3714</v>
      </c>
      <c r="C808" s="6" t="str">
        <f>IFERROR(IF(LEFT(D808,FIND(" ",D808)-1)="전라북도","전북특별자치도",LEFT(D808,FIND(" ",D808)-1)),"")</f>
        <v>경기도</v>
      </c>
      <c r="D808" s="3" t="s">
        <v>3715</v>
      </c>
      <c r="E808" s="3" t="s">
        <v>3716</v>
      </c>
      <c r="F808" s="3" t="s">
        <v>3717</v>
      </c>
      <c r="G808" s="3" t="s">
        <v>19</v>
      </c>
      <c r="H808" s="3" t="s">
        <v>302</v>
      </c>
      <c r="I808" s="3" t="s">
        <v>19</v>
      </c>
      <c r="J808" s="3" t="s">
        <v>19</v>
      </c>
      <c r="K808" s="3" t="s">
        <v>21</v>
      </c>
      <c r="L808" s="3" t="s">
        <v>147</v>
      </c>
      <c r="M808" s="4">
        <v>1191</v>
      </c>
      <c r="N808" s="3" t="s">
        <v>3616</v>
      </c>
      <c r="O808" s="3" t="s">
        <v>281</v>
      </c>
    </row>
    <row r="809" spans="1:15" hidden="1" x14ac:dyDescent="0.4">
      <c r="A809" s="7">
        <v>808</v>
      </c>
      <c r="B809" s="8" t="s">
        <v>3718</v>
      </c>
      <c r="C809" s="6" t="str">
        <f>IFERROR(IF(LEFT(D809,FIND(" ",D809)-1)="전라북도","전북특별자치도",LEFT(D809,FIND(" ",D809)-1)),"")</f>
        <v>전라남도</v>
      </c>
      <c r="D809" s="3" t="s">
        <v>3719</v>
      </c>
      <c r="E809" s="3" t="s">
        <v>3436</v>
      </c>
      <c r="F809" s="3" t="s">
        <v>3717</v>
      </c>
      <c r="G809" s="3" t="s">
        <v>3145</v>
      </c>
      <c r="H809" s="3" t="s">
        <v>3146</v>
      </c>
      <c r="I809" s="3" t="s">
        <v>3146</v>
      </c>
      <c r="J809" s="3" t="s">
        <v>3720</v>
      </c>
      <c r="K809" s="3" t="s">
        <v>21</v>
      </c>
      <c r="L809" s="3" t="s">
        <v>22</v>
      </c>
      <c r="M809" s="4">
        <v>2334</v>
      </c>
      <c r="N809" s="3" t="s">
        <v>3616</v>
      </c>
      <c r="O809" s="3" t="s">
        <v>281</v>
      </c>
    </row>
    <row r="810" spans="1:15" hidden="1" x14ac:dyDescent="0.4">
      <c r="A810" s="7">
        <v>809</v>
      </c>
      <c r="B810" s="8" t="s">
        <v>3721</v>
      </c>
      <c r="C810" s="6" t="str">
        <f>IFERROR(IF(LEFT(D810,FIND(" ",D810)-1)="전라북도","전북특별자치도",LEFT(D810,FIND(" ",D810)-1)),"")</f>
        <v>경기도</v>
      </c>
      <c r="D810" s="3" t="s">
        <v>3722</v>
      </c>
      <c r="E810" s="3" t="s">
        <v>2683</v>
      </c>
      <c r="F810" s="3" t="s">
        <v>3723</v>
      </c>
      <c r="G810" s="3" t="s">
        <v>19</v>
      </c>
      <c r="H810" s="3" t="s">
        <v>3724</v>
      </c>
      <c r="I810" s="3" t="s">
        <v>19</v>
      </c>
      <c r="J810" s="3" t="s">
        <v>19</v>
      </c>
      <c r="K810" s="3" t="s">
        <v>21</v>
      </c>
      <c r="L810" s="3" t="s">
        <v>147</v>
      </c>
      <c r="M810" s="4">
        <v>537</v>
      </c>
      <c r="N810" s="3" t="s">
        <v>123</v>
      </c>
      <c r="O810" s="3" t="s">
        <v>281</v>
      </c>
    </row>
    <row r="811" spans="1:15" hidden="1" x14ac:dyDescent="0.4">
      <c r="A811" s="7">
        <v>810</v>
      </c>
      <c r="B811" s="8" t="s">
        <v>3725</v>
      </c>
      <c r="C811" s="6" t="str">
        <f>IFERROR(IF(LEFT(D811,FIND(" ",D811)-1)="전라북도","전북특별자치도",LEFT(D811,FIND(" ",D811)-1)),"")</f>
        <v>경기도</v>
      </c>
      <c r="D811" s="3" t="s">
        <v>3722</v>
      </c>
      <c r="E811" s="3" t="s">
        <v>3246</v>
      </c>
      <c r="F811" s="3" t="s">
        <v>3723</v>
      </c>
      <c r="G811" s="3" t="s">
        <v>19</v>
      </c>
      <c r="H811" s="3" t="s">
        <v>3724</v>
      </c>
      <c r="I811" s="3" t="s">
        <v>19</v>
      </c>
      <c r="J811" s="3" t="s">
        <v>19</v>
      </c>
      <c r="K811" s="3" t="s">
        <v>21</v>
      </c>
      <c r="L811" s="3" t="s">
        <v>147</v>
      </c>
      <c r="M811" s="4">
        <v>651</v>
      </c>
      <c r="N811" s="3" t="s">
        <v>123</v>
      </c>
      <c r="O811" s="3" t="s">
        <v>281</v>
      </c>
    </row>
    <row r="812" spans="1:15" hidden="1" x14ac:dyDescent="0.4">
      <c r="A812" s="7">
        <v>811</v>
      </c>
      <c r="B812" s="8" t="s">
        <v>3726</v>
      </c>
      <c r="C812" s="6" t="str">
        <f>IFERROR(IF(LEFT(D812,FIND(" ",D812)-1)="전라북도","전북특별자치도",LEFT(D812,FIND(" ",D812)-1)),"")</f>
        <v>경기도</v>
      </c>
      <c r="D812" s="3" t="s">
        <v>3727</v>
      </c>
      <c r="E812" s="3" t="s">
        <v>3633</v>
      </c>
      <c r="F812" s="3" t="s">
        <v>3728</v>
      </c>
      <c r="G812" s="3" t="s">
        <v>3730</v>
      </c>
      <c r="H812" s="3" t="s">
        <v>210</v>
      </c>
      <c r="I812" s="3" t="s">
        <v>210</v>
      </c>
      <c r="J812" s="3" t="s">
        <v>19</v>
      </c>
      <c r="K812" s="3" t="s">
        <v>21</v>
      </c>
      <c r="L812" s="3" t="s">
        <v>22</v>
      </c>
      <c r="M812" s="4">
        <v>1067</v>
      </c>
      <c r="N812" s="3" t="s">
        <v>123</v>
      </c>
      <c r="O812" s="3" t="s">
        <v>281</v>
      </c>
    </row>
    <row r="813" spans="1:15" hidden="1" x14ac:dyDescent="0.4">
      <c r="A813" s="7">
        <v>812</v>
      </c>
      <c r="B813" s="8" t="s">
        <v>3731</v>
      </c>
      <c r="C813" s="6" t="str">
        <f>IFERROR(IF(LEFT(D813,FIND(" ",D813)-1)="전라북도","전북특별자치도",LEFT(D813,FIND(" ",D813)-1)),"")</f>
        <v>인천광역시</v>
      </c>
      <c r="D813" s="3" t="s">
        <v>3732</v>
      </c>
      <c r="E813" s="3" t="s">
        <v>3733</v>
      </c>
      <c r="F813" s="3" t="s">
        <v>3728</v>
      </c>
      <c r="G813" s="3" t="s">
        <v>3734</v>
      </c>
      <c r="H813" s="3" t="s">
        <v>3735</v>
      </c>
      <c r="I813" s="3" t="s">
        <v>3735</v>
      </c>
      <c r="J813" s="3" t="s">
        <v>3736</v>
      </c>
      <c r="K813" s="3" t="s">
        <v>21</v>
      </c>
      <c r="L813" s="3" t="s">
        <v>228</v>
      </c>
      <c r="M813" s="4">
        <v>1103</v>
      </c>
      <c r="N813" s="3" t="s">
        <v>3616</v>
      </c>
      <c r="O813" s="3" t="s">
        <v>281</v>
      </c>
    </row>
    <row r="814" spans="1:15" hidden="1" x14ac:dyDescent="0.4">
      <c r="A814" s="7">
        <v>813</v>
      </c>
      <c r="B814" s="8" t="s">
        <v>3737</v>
      </c>
      <c r="C814" s="6" t="str">
        <f>IFERROR(IF(LEFT(D814,FIND(" ",D814)-1)="전라북도","전북특별자치도",LEFT(D814,FIND(" ",D814)-1)),"")</f>
        <v>경기도</v>
      </c>
      <c r="D814" s="3" t="s">
        <v>3738</v>
      </c>
      <c r="E814" s="3" t="s">
        <v>3739</v>
      </c>
      <c r="F814" s="3" t="s">
        <v>1781</v>
      </c>
      <c r="G814" s="3" t="s">
        <v>19</v>
      </c>
      <c r="H814" s="3" t="s">
        <v>2265</v>
      </c>
      <c r="I814" s="3" t="s">
        <v>19</v>
      </c>
      <c r="J814" s="3" t="s">
        <v>19</v>
      </c>
      <c r="K814" s="3" t="s">
        <v>21</v>
      </c>
      <c r="L814" s="3" t="s">
        <v>228</v>
      </c>
      <c r="M814" s="4">
        <v>122</v>
      </c>
      <c r="N814" s="3" t="s">
        <v>1507</v>
      </c>
      <c r="O814" s="3" t="s">
        <v>281</v>
      </c>
    </row>
    <row r="815" spans="1:15" hidden="1" x14ac:dyDescent="0.4">
      <c r="A815" s="7">
        <v>814</v>
      </c>
      <c r="B815" s="8" t="s">
        <v>3740</v>
      </c>
      <c r="C815" s="6" t="str">
        <f>IFERROR(IF(LEFT(D815,FIND(" ",D815)-1)="전라북도","전북특별자치도",LEFT(D815,FIND(" ",D815)-1)),"")</f>
        <v>경기도</v>
      </c>
      <c r="D815" s="3" t="s">
        <v>3741</v>
      </c>
      <c r="E815" s="3" t="s">
        <v>3020</v>
      </c>
      <c r="F815" s="3" t="s">
        <v>3742</v>
      </c>
      <c r="G815" s="3" t="s">
        <v>51</v>
      </c>
      <c r="H815" s="3" t="s">
        <v>19</v>
      </c>
      <c r="I815" s="3" t="s">
        <v>19</v>
      </c>
      <c r="J815" s="3" t="s">
        <v>51</v>
      </c>
      <c r="K815" s="3" t="s">
        <v>21</v>
      </c>
      <c r="L815" s="3" t="s">
        <v>147</v>
      </c>
      <c r="M815" s="4">
        <v>2600</v>
      </c>
      <c r="N815" s="3" t="s">
        <v>3616</v>
      </c>
      <c r="O815" s="3" t="s">
        <v>281</v>
      </c>
    </row>
    <row r="816" spans="1:15" hidden="1" x14ac:dyDescent="0.4">
      <c r="A816" s="7">
        <v>815</v>
      </c>
      <c r="B816" s="8" t="s">
        <v>3743</v>
      </c>
      <c r="C816" s="6" t="str">
        <f>IFERROR(IF(LEFT(D816,FIND(" ",D816)-1)="전라북도","전북특별자치도",LEFT(D816,FIND(" ",D816)-1)),"")</f>
        <v>경기도</v>
      </c>
      <c r="D816" s="3" t="s">
        <v>3744</v>
      </c>
      <c r="E816" s="3" t="s">
        <v>3093</v>
      </c>
      <c r="F816" s="3" t="s">
        <v>3436</v>
      </c>
      <c r="G816" s="3" t="s">
        <v>3745</v>
      </c>
      <c r="H816" s="3" t="s">
        <v>3746</v>
      </c>
      <c r="I816" s="3" t="s">
        <v>3746</v>
      </c>
      <c r="J816" s="3" t="s">
        <v>19</v>
      </c>
      <c r="K816" s="3" t="s">
        <v>21</v>
      </c>
      <c r="L816" s="3" t="s">
        <v>22</v>
      </c>
      <c r="M816" s="4">
        <v>303</v>
      </c>
      <c r="N816" s="3" t="s">
        <v>3616</v>
      </c>
      <c r="O816" s="3" t="s">
        <v>281</v>
      </c>
    </row>
    <row r="817" spans="1:15" hidden="1" x14ac:dyDescent="0.4">
      <c r="A817" s="7">
        <v>816</v>
      </c>
      <c r="B817" s="8" t="s">
        <v>3747</v>
      </c>
      <c r="C817" s="6" t="str">
        <f>IFERROR(IF(LEFT(D817,FIND(" ",D817)-1)="전라북도","전북특별자치도",LEFT(D817,FIND(" ",D817)-1)),"")</f>
        <v>경상북도</v>
      </c>
      <c r="D817" s="3" t="s">
        <v>3748</v>
      </c>
      <c r="E817" s="3" t="s">
        <v>1815</v>
      </c>
      <c r="F817" s="3" t="s">
        <v>3436</v>
      </c>
      <c r="G817" s="3" t="s">
        <v>19</v>
      </c>
      <c r="H817" s="3" t="s">
        <v>3749</v>
      </c>
      <c r="I817" s="3" t="s">
        <v>19</v>
      </c>
      <c r="J817" s="3" t="s">
        <v>19</v>
      </c>
      <c r="K817" s="3" t="s">
        <v>21</v>
      </c>
      <c r="L817" s="3" t="s">
        <v>147</v>
      </c>
      <c r="M817" s="4">
        <v>1060</v>
      </c>
      <c r="N817" s="3" t="s">
        <v>123</v>
      </c>
      <c r="O817" s="3" t="s">
        <v>281</v>
      </c>
    </row>
    <row r="818" spans="1:15" hidden="1" x14ac:dyDescent="0.4">
      <c r="A818" s="7">
        <v>817</v>
      </c>
      <c r="B818" s="8" t="s">
        <v>3750</v>
      </c>
      <c r="C818" s="6" t="str">
        <f>IFERROR(IF(LEFT(D818,FIND(" ",D818)-1)="전라북도","전북특별자치도",LEFT(D818,FIND(" ",D818)-1)),"")</f>
        <v>경기도</v>
      </c>
      <c r="D818" s="3" t="s">
        <v>3751</v>
      </c>
      <c r="E818" s="3" t="s">
        <v>3752</v>
      </c>
      <c r="F818" s="3" t="s">
        <v>1815</v>
      </c>
      <c r="G818" s="3" t="s">
        <v>19</v>
      </c>
      <c r="H818" s="3" t="s">
        <v>210</v>
      </c>
      <c r="I818" s="3" t="s">
        <v>19</v>
      </c>
      <c r="J818" s="3" t="s">
        <v>19</v>
      </c>
      <c r="K818" s="3" t="s">
        <v>21</v>
      </c>
      <c r="L818" s="3" t="s">
        <v>147</v>
      </c>
      <c r="M818" s="4">
        <v>626</v>
      </c>
      <c r="N818" s="3" t="s">
        <v>3616</v>
      </c>
      <c r="O818" s="3" t="s">
        <v>281</v>
      </c>
    </row>
    <row r="819" spans="1:15" hidden="1" x14ac:dyDescent="0.4">
      <c r="A819" s="7">
        <v>818</v>
      </c>
      <c r="B819" s="8" t="s">
        <v>3753</v>
      </c>
      <c r="C819" s="6" t="str">
        <f>IFERROR(IF(LEFT(D819,FIND(" ",D819)-1)="전라북도","전북특별자치도",LEFT(D819,FIND(" ",D819)-1)),"")</f>
        <v>경기도</v>
      </c>
      <c r="D819" s="3" t="s">
        <v>3754</v>
      </c>
      <c r="E819" s="3" t="s">
        <v>3755</v>
      </c>
      <c r="F819" s="3" t="s">
        <v>1815</v>
      </c>
      <c r="G819" s="3" t="s">
        <v>2172</v>
      </c>
      <c r="H819" s="3" t="s">
        <v>1110</v>
      </c>
      <c r="I819" s="3" t="s">
        <v>1110</v>
      </c>
      <c r="J819" s="3" t="s">
        <v>19</v>
      </c>
      <c r="K819" s="3" t="s">
        <v>21</v>
      </c>
      <c r="L819" s="3" t="s">
        <v>22</v>
      </c>
      <c r="M819" s="4">
        <v>1066</v>
      </c>
      <c r="N819" s="3" t="s">
        <v>123</v>
      </c>
      <c r="O819" s="3" t="s">
        <v>281</v>
      </c>
    </row>
    <row r="820" spans="1:15" hidden="1" x14ac:dyDescent="0.4">
      <c r="A820" s="7">
        <v>819</v>
      </c>
      <c r="B820" s="8" t="s">
        <v>3756</v>
      </c>
      <c r="C820" s="6" t="str">
        <f>IFERROR(IF(LEFT(D820,FIND(" ",D820)-1)="전라북도","전북특별자치도",LEFT(D820,FIND(" ",D820)-1)),"")</f>
        <v>경기도</v>
      </c>
      <c r="D820" s="3" t="s">
        <v>3757</v>
      </c>
      <c r="E820" s="3" t="s">
        <v>3758</v>
      </c>
      <c r="F820" s="3" t="s">
        <v>3697</v>
      </c>
      <c r="G820" s="3" t="s">
        <v>3759</v>
      </c>
      <c r="H820" s="3" t="s">
        <v>3760</v>
      </c>
      <c r="I820" s="3" t="s">
        <v>3760</v>
      </c>
      <c r="J820" s="3" t="s">
        <v>51</v>
      </c>
      <c r="K820" s="3" t="s">
        <v>21</v>
      </c>
      <c r="L820" s="3" t="s">
        <v>22</v>
      </c>
      <c r="M820" s="4">
        <v>3562</v>
      </c>
      <c r="N820" s="3" t="s">
        <v>3616</v>
      </c>
      <c r="O820" s="3" t="s">
        <v>281</v>
      </c>
    </row>
    <row r="821" spans="1:15" hidden="1" x14ac:dyDescent="0.4">
      <c r="A821" s="7">
        <v>820</v>
      </c>
      <c r="B821" s="8" t="s">
        <v>3761</v>
      </c>
      <c r="C821" s="6" t="str">
        <f>IFERROR(IF(LEFT(D821,FIND(" ",D821)-1)="전라북도","전북특별자치도",LEFT(D821,FIND(" ",D821)-1)),"")</f>
        <v>경기도</v>
      </c>
      <c r="D821" s="3" t="s">
        <v>3762</v>
      </c>
      <c r="E821" s="3" t="s">
        <v>3763</v>
      </c>
      <c r="F821" s="3" t="s">
        <v>3739</v>
      </c>
      <c r="G821" s="3" t="s">
        <v>442</v>
      </c>
      <c r="H821" s="3" t="s">
        <v>953</v>
      </c>
      <c r="I821" s="3" t="s">
        <v>953</v>
      </c>
      <c r="J821" s="3" t="s">
        <v>19</v>
      </c>
      <c r="K821" s="3" t="s">
        <v>21</v>
      </c>
      <c r="L821" s="3" t="s">
        <v>22</v>
      </c>
      <c r="M821" s="4">
        <v>725</v>
      </c>
      <c r="N821" s="3" t="s">
        <v>84</v>
      </c>
      <c r="O821" s="3" t="s">
        <v>281</v>
      </c>
    </row>
    <row r="822" spans="1:15" hidden="1" x14ac:dyDescent="0.4">
      <c r="A822" s="7">
        <v>821</v>
      </c>
      <c r="B822" s="8" t="s">
        <v>3764</v>
      </c>
      <c r="C822" s="6" t="str">
        <f>IFERROR(IF(LEFT(D822,FIND(" ",D822)-1)="전라북도","전북특별자치도",LEFT(D822,FIND(" ",D822)-1)),"")</f>
        <v>경상남도</v>
      </c>
      <c r="D822" s="3" t="s">
        <v>3765</v>
      </c>
      <c r="E822" s="3" t="s">
        <v>3766</v>
      </c>
      <c r="F822" s="3" t="s">
        <v>3556</v>
      </c>
      <c r="G822" s="3" t="s">
        <v>3767</v>
      </c>
      <c r="H822" s="3" t="s">
        <v>3768</v>
      </c>
      <c r="I822" s="3" t="s">
        <v>19</v>
      </c>
      <c r="J822" s="3" t="s">
        <v>19</v>
      </c>
      <c r="K822" s="3" t="s">
        <v>21</v>
      </c>
      <c r="L822" s="3" t="s">
        <v>228</v>
      </c>
      <c r="M822" s="4">
        <v>1213</v>
      </c>
      <c r="N822" s="3" t="s">
        <v>3616</v>
      </c>
      <c r="O822" s="3" t="s">
        <v>281</v>
      </c>
    </row>
    <row r="823" spans="1:15" hidden="1" x14ac:dyDescent="0.4">
      <c r="A823" s="7">
        <v>822</v>
      </c>
      <c r="B823" s="8" t="s">
        <v>3769</v>
      </c>
      <c r="C823" s="6" t="str">
        <f>IFERROR(IF(LEFT(D823,FIND(" ",D823)-1)="전라북도","전북특별자치도",LEFT(D823,FIND(" ",D823)-1)),"")</f>
        <v>인천광역시</v>
      </c>
      <c r="D823" s="3" t="s">
        <v>3770</v>
      </c>
      <c r="E823" s="3" t="s">
        <v>3771</v>
      </c>
      <c r="F823" s="3" t="s">
        <v>3733</v>
      </c>
      <c r="G823" s="3" t="s">
        <v>19</v>
      </c>
      <c r="H823" s="3" t="s">
        <v>1189</v>
      </c>
      <c r="I823" s="3" t="s">
        <v>19</v>
      </c>
      <c r="J823" s="3" t="s">
        <v>19</v>
      </c>
      <c r="K823" s="3" t="s">
        <v>21</v>
      </c>
      <c r="L823" s="3" t="s">
        <v>358</v>
      </c>
      <c r="M823" s="4">
        <v>485</v>
      </c>
      <c r="N823" s="3" t="s">
        <v>19</v>
      </c>
      <c r="O823" s="3" t="s">
        <v>281</v>
      </c>
    </row>
    <row r="824" spans="1:15" hidden="1" x14ac:dyDescent="0.4">
      <c r="A824" s="7">
        <v>823</v>
      </c>
      <c r="B824" s="8" t="s">
        <v>3772</v>
      </c>
      <c r="C824" s="6" t="str">
        <f>IFERROR(IF(LEFT(D824,FIND(" ",D824)-1)="전라북도","전북특별자치도",LEFT(D824,FIND(" ",D824)-1)),"")</f>
        <v>충청북도</v>
      </c>
      <c r="D824" s="3" t="s">
        <v>3773</v>
      </c>
      <c r="E824" s="3" t="s">
        <v>3144</v>
      </c>
      <c r="F824" s="3" t="s">
        <v>3733</v>
      </c>
      <c r="G824" s="3" t="s">
        <v>3774</v>
      </c>
      <c r="H824" s="3" t="s">
        <v>3775</v>
      </c>
      <c r="I824" s="3" t="s">
        <v>3775</v>
      </c>
      <c r="J824" s="3" t="s">
        <v>3776</v>
      </c>
      <c r="K824" s="3" t="s">
        <v>21</v>
      </c>
      <c r="L824" s="3" t="s">
        <v>22</v>
      </c>
      <c r="M824" s="4">
        <v>1638</v>
      </c>
      <c r="N824" s="3" t="s">
        <v>3616</v>
      </c>
      <c r="O824" s="3" t="s">
        <v>281</v>
      </c>
    </row>
    <row r="825" spans="1:15" hidden="1" x14ac:dyDescent="0.4">
      <c r="A825" s="7">
        <v>824</v>
      </c>
      <c r="B825" s="8" t="s">
        <v>3777</v>
      </c>
      <c r="C825" s="6" t="str">
        <f>IFERROR(IF(LEFT(D825,FIND(" ",D825)-1)="전라북도","전북특별자치도",LEFT(D825,FIND(" ",D825)-1)),"")</f>
        <v>경기도</v>
      </c>
      <c r="D825" s="3" t="s">
        <v>3778</v>
      </c>
      <c r="E825" s="3" t="s">
        <v>3763</v>
      </c>
      <c r="F825" s="3" t="s">
        <v>3779</v>
      </c>
      <c r="G825" s="3" t="s">
        <v>1230</v>
      </c>
      <c r="H825" s="3" t="s">
        <v>953</v>
      </c>
      <c r="I825" s="3" t="s">
        <v>953</v>
      </c>
      <c r="J825" s="3" t="s">
        <v>19</v>
      </c>
      <c r="K825" s="3" t="s">
        <v>21</v>
      </c>
      <c r="L825" s="3" t="s">
        <v>22</v>
      </c>
      <c r="M825" s="4">
        <v>720</v>
      </c>
      <c r="N825" s="3" t="s">
        <v>3616</v>
      </c>
      <c r="O825" s="3" t="s">
        <v>281</v>
      </c>
    </row>
    <row r="826" spans="1:15" hidden="1" x14ac:dyDescent="0.4">
      <c r="A826" s="7">
        <v>825</v>
      </c>
      <c r="B826" s="8" t="s">
        <v>3780</v>
      </c>
      <c r="C826" s="6" t="str">
        <f>IFERROR(IF(LEFT(D826,FIND(" ",D826)-1)="전라북도","전북특별자치도",LEFT(D826,FIND(" ",D826)-1)),"")</f>
        <v>제주특별자치도</v>
      </c>
      <c r="D826" s="3" t="s">
        <v>3781</v>
      </c>
      <c r="E826" s="3" t="s">
        <v>3755</v>
      </c>
      <c r="F826" s="3" t="s">
        <v>3779</v>
      </c>
      <c r="G826" s="3" t="s">
        <v>3782</v>
      </c>
      <c r="H826" s="3" t="s">
        <v>3783</v>
      </c>
      <c r="I826" s="3" t="s">
        <v>1123</v>
      </c>
      <c r="J826" s="3" t="s">
        <v>19</v>
      </c>
      <c r="K826" s="3" t="s">
        <v>21</v>
      </c>
      <c r="L826" s="3" t="s">
        <v>22</v>
      </c>
      <c r="M826" s="4">
        <v>468</v>
      </c>
      <c r="N826" s="3" t="s">
        <v>3616</v>
      </c>
      <c r="O826" s="3" t="s">
        <v>281</v>
      </c>
    </row>
    <row r="827" spans="1:15" hidden="1" x14ac:dyDescent="0.4">
      <c r="A827" s="7">
        <v>826</v>
      </c>
      <c r="B827" s="8" t="s">
        <v>3784</v>
      </c>
      <c r="C827" s="6" t="str">
        <f>IFERROR(IF(LEFT(D827,FIND(" ",D827)-1)="전라북도","전북특별자치도",LEFT(D827,FIND(" ",D827)-1)),"")</f>
        <v>전북특별자치도</v>
      </c>
      <c r="D827" s="3" t="s">
        <v>3785</v>
      </c>
      <c r="E827" s="3" t="s">
        <v>3763</v>
      </c>
      <c r="F827" s="3" t="s">
        <v>3779</v>
      </c>
      <c r="G827" s="3" t="s">
        <v>3451</v>
      </c>
      <c r="H827" s="3" t="s">
        <v>3786</v>
      </c>
      <c r="I827" s="3" t="s">
        <v>3786</v>
      </c>
      <c r="J827" s="3" t="s">
        <v>3787</v>
      </c>
      <c r="K827" s="3" t="s">
        <v>21</v>
      </c>
      <c r="L827" s="3" t="s">
        <v>147</v>
      </c>
      <c r="M827" s="4">
        <v>11085</v>
      </c>
      <c r="N827" s="3" t="s">
        <v>3616</v>
      </c>
      <c r="O827" s="3" t="s">
        <v>281</v>
      </c>
    </row>
    <row r="828" spans="1:15" hidden="1" x14ac:dyDescent="0.4">
      <c r="A828" s="7">
        <v>827</v>
      </c>
      <c r="B828" s="8" t="s">
        <v>3788</v>
      </c>
      <c r="C828" s="6" t="str">
        <f>IFERROR(IF(LEFT(D828,FIND(" ",D828)-1)="전라북도","전북특별자치도",LEFT(D828,FIND(" ",D828)-1)),"")</f>
        <v>대구광역시</v>
      </c>
      <c r="D828" s="3" t="s">
        <v>3789</v>
      </c>
      <c r="E828" s="3" t="s">
        <v>3790</v>
      </c>
      <c r="F828" s="3" t="s">
        <v>3779</v>
      </c>
      <c r="G828" s="3" t="s">
        <v>3791</v>
      </c>
      <c r="H828" s="3" t="s">
        <v>3792</v>
      </c>
      <c r="I828" s="3" t="s">
        <v>3792</v>
      </c>
      <c r="J828" s="3" t="s">
        <v>19</v>
      </c>
      <c r="K828" s="3" t="s">
        <v>21</v>
      </c>
      <c r="L828" s="3" t="s">
        <v>22</v>
      </c>
      <c r="M828" s="4">
        <v>1566</v>
      </c>
      <c r="N828" s="3" t="s">
        <v>3616</v>
      </c>
      <c r="O828" s="3" t="s">
        <v>281</v>
      </c>
    </row>
    <row r="829" spans="1:15" hidden="1" x14ac:dyDescent="0.4">
      <c r="A829" s="7">
        <v>828</v>
      </c>
      <c r="B829" s="8" t="s">
        <v>3793</v>
      </c>
      <c r="C829" s="6" t="str">
        <f>IFERROR(IF(LEFT(D829,FIND(" ",D829)-1)="전라북도","전북특별자치도",LEFT(D829,FIND(" ",D829)-1)),"")</f>
        <v>경상북도</v>
      </c>
      <c r="D829" s="3" t="s">
        <v>3794</v>
      </c>
      <c r="E829" s="3" t="s">
        <v>3795</v>
      </c>
      <c r="F829" s="3" t="s">
        <v>3779</v>
      </c>
      <c r="G829" s="3" t="s">
        <v>3796</v>
      </c>
      <c r="H829" s="3" t="s">
        <v>19</v>
      </c>
      <c r="I829" s="3" t="s">
        <v>3797</v>
      </c>
      <c r="J829" s="3" t="s">
        <v>3798</v>
      </c>
      <c r="K829" s="3" t="s">
        <v>21</v>
      </c>
      <c r="L829" s="3" t="s">
        <v>22</v>
      </c>
      <c r="M829" s="4">
        <v>2151</v>
      </c>
      <c r="N829" s="3" t="s">
        <v>3616</v>
      </c>
      <c r="O829" s="3" t="s">
        <v>281</v>
      </c>
    </row>
    <row r="830" spans="1:15" hidden="1" x14ac:dyDescent="0.4">
      <c r="A830" s="7">
        <v>829</v>
      </c>
      <c r="B830" s="8" t="s">
        <v>3799</v>
      </c>
      <c r="C830" s="6" t="str">
        <f>IFERROR(IF(LEFT(D830,FIND(" ",D830)-1)="전라북도","전북특별자치도",LEFT(D830,FIND(" ",D830)-1)),"")</f>
        <v>경기도</v>
      </c>
      <c r="D830" s="3" t="s">
        <v>3800</v>
      </c>
      <c r="E830" s="3" t="s">
        <v>3755</v>
      </c>
      <c r="F830" s="3" t="s">
        <v>3801</v>
      </c>
      <c r="G830" s="3" t="s">
        <v>2172</v>
      </c>
      <c r="H830" s="3" t="s">
        <v>1110</v>
      </c>
      <c r="I830" s="3" t="s">
        <v>1110</v>
      </c>
      <c r="J830" s="3" t="s">
        <v>19</v>
      </c>
      <c r="K830" s="3" t="s">
        <v>21</v>
      </c>
      <c r="L830" s="3" t="s">
        <v>22</v>
      </c>
      <c r="M830" s="4">
        <v>338</v>
      </c>
      <c r="N830" s="3" t="s">
        <v>123</v>
      </c>
      <c r="O830" s="3" t="s">
        <v>281</v>
      </c>
    </row>
    <row r="831" spans="1:15" hidden="1" x14ac:dyDescent="0.4">
      <c r="A831" s="7">
        <v>830</v>
      </c>
      <c r="B831" s="8" t="s">
        <v>3802</v>
      </c>
      <c r="C831" s="6" t="str">
        <f>IFERROR(IF(LEFT(D831,FIND(" ",D831)-1)="전라북도","전북특별자치도",LEFT(D831,FIND(" ",D831)-1)),"")</f>
        <v>경기도</v>
      </c>
      <c r="D831" s="3" t="s">
        <v>3803</v>
      </c>
      <c r="E831" s="3" t="s">
        <v>1268</v>
      </c>
      <c r="F831" s="3" t="s">
        <v>3801</v>
      </c>
      <c r="G831" s="3" t="s">
        <v>3301</v>
      </c>
      <c r="H831" s="3" t="s">
        <v>953</v>
      </c>
      <c r="I831" s="3" t="s">
        <v>953</v>
      </c>
      <c r="J831" s="3" t="s">
        <v>19</v>
      </c>
      <c r="K831" s="3" t="s">
        <v>21</v>
      </c>
      <c r="L831" s="3" t="s">
        <v>22</v>
      </c>
      <c r="M831" s="4">
        <v>474</v>
      </c>
      <c r="N831" s="3" t="s">
        <v>84</v>
      </c>
      <c r="O831" s="3" t="s">
        <v>281</v>
      </c>
    </row>
    <row r="832" spans="1:15" hidden="1" x14ac:dyDescent="0.4">
      <c r="A832" s="7">
        <v>831</v>
      </c>
      <c r="B832" s="8" t="s">
        <v>3804</v>
      </c>
      <c r="C832" s="6" t="str">
        <f>IFERROR(IF(LEFT(D832,FIND(" ",D832)-1)="전라북도","전북특별자치도",LEFT(D832,FIND(" ",D832)-1)),"")</f>
        <v>경기도</v>
      </c>
      <c r="D832" s="3" t="s">
        <v>3805</v>
      </c>
      <c r="E832" s="3" t="s">
        <v>3806</v>
      </c>
      <c r="F832" s="3" t="s">
        <v>3807</v>
      </c>
      <c r="G832" s="3" t="s">
        <v>3808</v>
      </c>
      <c r="H832" s="3" t="s">
        <v>3809</v>
      </c>
      <c r="I832" s="3" t="s">
        <v>3760</v>
      </c>
      <c r="J832" s="3" t="s">
        <v>19</v>
      </c>
      <c r="K832" s="3" t="s">
        <v>21</v>
      </c>
      <c r="L832" s="3" t="s">
        <v>22</v>
      </c>
      <c r="M832" s="4">
        <v>1490</v>
      </c>
      <c r="N832" s="3" t="s">
        <v>3616</v>
      </c>
      <c r="O832" s="3" t="s">
        <v>281</v>
      </c>
    </row>
    <row r="833" spans="1:15" hidden="1" x14ac:dyDescent="0.4">
      <c r="A833" s="7">
        <v>832</v>
      </c>
      <c r="B833" s="8" t="s">
        <v>3810</v>
      </c>
      <c r="C833" s="6" t="str">
        <f>IFERROR(IF(LEFT(D833,FIND(" ",D833)-1)="전라북도","전북특별자치도",LEFT(D833,FIND(" ",D833)-1)),"")</f>
        <v>부산광역시</v>
      </c>
      <c r="D833" s="3" t="s">
        <v>3811</v>
      </c>
      <c r="E833" s="3" t="s">
        <v>3144</v>
      </c>
      <c r="F833" s="3" t="s">
        <v>3812</v>
      </c>
      <c r="G833" s="3" t="s">
        <v>19</v>
      </c>
      <c r="H833" s="3" t="s">
        <v>3813</v>
      </c>
      <c r="I833" s="3" t="s">
        <v>3813</v>
      </c>
      <c r="J833" s="3" t="s">
        <v>19</v>
      </c>
      <c r="K833" s="3" t="s">
        <v>21</v>
      </c>
      <c r="L833" s="3" t="s">
        <v>228</v>
      </c>
      <c r="M833" s="4">
        <v>1050</v>
      </c>
      <c r="N833" s="3" t="s">
        <v>3616</v>
      </c>
      <c r="O833" s="3" t="s">
        <v>281</v>
      </c>
    </row>
    <row r="834" spans="1:15" hidden="1" x14ac:dyDescent="0.4">
      <c r="A834" s="7">
        <v>833</v>
      </c>
      <c r="B834" s="8" t="s">
        <v>3814</v>
      </c>
      <c r="C834" s="6" t="str">
        <f>IFERROR(IF(LEFT(D834,FIND(" ",D834)-1)="전라북도","전북특별자치도",LEFT(D834,FIND(" ",D834)-1)),"")</f>
        <v>경상남도</v>
      </c>
      <c r="D834" s="3" t="s">
        <v>3815</v>
      </c>
      <c r="E834" s="3" t="s">
        <v>3816</v>
      </c>
      <c r="F834" s="3" t="s">
        <v>3766</v>
      </c>
      <c r="G834" s="3" t="s">
        <v>3817</v>
      </c>
      <c r="H834" s="3" t="s">
        <v>3818</v>
      </c>
      <c r="I834" s="3" t="s">
        <v>3818</v>
      </c>
      <c r="J834" s="3" t="s">
        <v>19</v>
      </c>
      <c r="K834" s="3" t="s">
        <v>21</v>
      </c>
      <c r="L834" s="3" t="s">
        <v>22</v>
      </c>
      <c r="M834" s="4">
        <v>2727</v>
      </c>
      <c r="N834" s="3" t="s">
        <v>3616</v>
      </c>
      <c r="O834" s="3" t="s">
        <v>281</v>
      </c>
    </row>
    <row r="835" spans="1:15" hidden="1" x14ac:dyDescent="0.4">
      <c r="A835" s="7">
        <v>834</v>
      </c>
      <c r="B835" s="8" t="s">
        <v>3819</v>
      </c>
      <c r="C835" s="6" t="str">
        <f>IFERROR(IF(LEFT(D835,FIND(" ",D835)-1)="전라북도","전북특별자치도",LEFT(D835,FIND(" ",D835)-1)),"")</f>
        <v>전북특별자치도</v>
      </c>
      <c r="D835" s="3" t="s">
        <v>3375</v>
      </c>
      <c r="E835" s="3" t="s">
        <v>3642</v>
      </c>
      <c r="F835" s="3" t="s">
        <v>3820</v>
      </c>
      <c r="G835" s="3" t="s">
        <v>19</v>
      </c>
      <c r="H835" s="3" t="s">
        <v>436</v>
      </c>
      <c r="I835" s="3" t="s">
        <v>19</v>
      </c>
      <c r="J835" s="3" t="s">
        <v>19</v>
      </c>
      <c r="K835" s="3" t="s">
        <v>21</v>
      </c>
      <c r="L835" s="3" t="s">
        <v>147</v>
      </c>
      <c r="M835" s="4">
        <v>1355</v>
      </c>
      <c r="N835" s="3" t="s">
        <v>3616</v>
      </c>
      <c r="O835" s="3" t="s">
        <v>281</v>
      </c>
    </row>
    <row r="836" spans="1:15" hidden="1" x14ac:dyDescent="0.4">
      <c r="A836" s="7">
        <v>835</v>
      </c>
      <c r="B836" s="8" t="s">
        <v>3821</v>
      </c>
      <c r="C836" s="6" t="str">
        <f>IFERROR(IF(LEFT(D836,FIND(" ",D836)-1)="전라북도","전북특별자치도",LEFT(D836,FIND(" ",D836)-1)),"")</f>
        <v>경기도</v>
      </c>
      <c r="D836" s="3" t="s">
        <v>3822</v>
      </c>
      <c r="E836" s="3" t="s">
        <v>1283</v>
      </c>
      <c r="F836" s="3" t="s">
        <v>3823</v>
      </c>
      <c r="G836" s="3" t="s">
        <v>19</v>
      </c>
      <c r="H836" s="3" t="s">
        <v>3824</v>
      </c>
      <c r="I836" s="3" t="s">
        <v>19</v>
      </c>
      <c r="J836" s="3" t="s">
        <v>19</v>
      </c>
      <c r="K836" s="3" t="s">
        <v>21</v>
      </c>
      <c r="L836" s="3" t="s">
        <v>147</v>
      </c>
      <c r="M836" s="4">
        <v>690</v>
      </c>
      <c r="N836" s="3" t="s">
        <v>1507</v>
      </c>
      <c r="O836" s="3" t="s">
        <v>281</v>
      </c>
    </row>
    <row r="837" spans="1:15" hidden="1" x14ac:dyDescent="0.4">
      <c r="A837" s="7">
        <v>836</v>
      </c>
      <c r="B837" s="8" t="s">
        <v>3825</v>
      </c>
      <c r="C837" s="6" t="str">
        <f>IFERROR(IF(LEFT(D837,FIND(" ",D837)-1)="전라북도","전북특별자치도",LEFT(D837,FIND(" ",D837)-1)),"")</f>
        <v>경상남도</v>
      </c>
      <c r="D837" s="3" t="s">
        <v>3826</v>
      </c>
      <c r="E837" s="3" t="s">
        <v>3827</v>
      </c>
      <c r="F837" s="3" t="s">
        <v>3246</v>
      </c>
      <c r="G837" s="3" t="s">
        <v>3828</v>
      </c>
      <c r="H837" s="3" t="s">
        <v>3829</v>
      </c>
      <c r="I837" s="3" t="s">
        <v>3829</v>
      </c>
      <c r="J837" s="3" t="s">
        <v>3830</v>
      </c>
      <c r="K837" s="3" t="s">
        <v>21</v>
      </c>
      <c r="L837" s="3" t="s">
        <v>147</v>
      </c>
      <c r="M837" s="4">
        <v>5740</v>
      </c>
      <c r="N837" s="3" t="s">
        <v>3616</v>
      </c>
      <c r="O837" s="3" t="s">
        <v>281</v>
      </c>
    </row>
    <row r="838" spans="1:15" hidden="1" x14ac:dyDescent="0.4">
      <c r="A838" s="7">
        <v>837</v>
      </c>
      <c r="B838" s="8" t="s">
        <v>3831</v>
      </c>
      <c r="C838" s="6" t="str">
        <f>IFERROR(IF(LEFT(D838,FIND(" ",D838)-1)="전라북도","전북특별자치도",LEFT(D838,FIND(" ",D838)-1)),"")</f>
        <v>경상남도</v>
      </c>
      <c r="D838" s="3" t="s">
        <v>3832</v>
      </c>
      <c r="E838" s="3" t="s">
        <v>3833</v>
      </c>
      <c r="F838" s="3" t="s">
        <v>3834</v>
      </c>
      <c r="G838" s="3" t="s">
        <v>1670</v>
      </c>
      <c r="H838" s="3" t="s">
        <v>3835</v>
      </c>
      <c r="I838" s="3" t="s">
        <v>19</v>
      </c>
      <c r="J838" s="3" t="s">
        <v>3836</v>
      </c>
      <c r="K838" s="3" t="s">
        <v>21</v>
      </c>
      <c r="L838" s="3" t="s">
        <v>228</v>
      </c>
      <c r="M838" s="4">
        <v>659</v>
      </c>
      <c r="N838" s="3" t="s">
        <v>19</v>
      </c>
      <c r="O838" s="3" t="s">
        <v>281</v>
      </c>
    </row>
    <row r="839" spans="1:15" hidden="1" x14ac:dyDescent="0.4">
      <c r="A839" s="7">
        <v>838</v>
      </c>
      <c r="B839" s="8" t="s">
        <v>3837</v>
      </c>
      <c r="C839" s="6" t="str">
        <f>IFERROR(IF(LEFT(D839,FIND(" ",D839)-1)="전라북도","전북특별자치도",LEFT(D839,FIND(" ",D839)-1)),"")</f>
        <v>경상남도</v>
      </c>
      <c r="D839" s="3" t="s">
        <v>3832</v>
      </c>
      <c r="E839" s="3" t="s">
        <v>3833</v>
      </c>
      <c r="F839" s="3" t="s">
        <v>3834</v>
      </c>
      <c r="G839" s="3" t="s">
        <v>1670</v>
      </c>
      <c r="H839" s="3" t="s">
        <v>3835</v>
      </c>
      <c r="I839" s="3" t="s">
        <v>19</v>
      </c>
      <c r="J839" s="3" t="s">
        <v>3836</v>
      </c>
      <c r="K839" s="3" t="s">
        <v>21</v>
      </c>
      <c r="L839" s="3" t="s">
        <v>228</v>
      </c>
      <c r="M839" s="4">
        <v>659</v>
      </c>
      <c r="N839" s="3" t="s">
        <v>19</v>
      </c>
      <c r="O839" s="3" t="s">
        <v>281</v>
      </c>
    </row>
    <row r="840" spans="1:15" hidden="1" x14ac:dyDescent="0.4">
      <c r="A840" s="7">
        <v>839</v>
      </c>
      <c r="B840" s="8" t="s">
        <v>3838</v>
      </c>
      <c r="C840" s="6" t="str">
        <f>IFERROR(IF(LEFT(D840,FIND(" ",D840)-1)="전라북도","전북특별자치도",LEFT(D840,FIND(" ",D840)-1)),"")</f>
        <v>경기도</v>
      </c>
      <c r="D840" s="3" t="s">
        <v>3839</v>
      </c>
      <c r="E840" s="3" t="s">
        <v>3840</v>
      </c>
      <c r="F840" s="3" t="s">
        <v>3841</v>
      </c>
      <c r="G840" s="3" t="s">
        <v>19</v>
      </c>
      <c r="H840" s="3" t="s">
        <v>210</v>
      </c>
      <c r="I840" s="3" t="s">
        <v>210</v>
      </c>
      <c r="J840" s="3" t="s">
        <v>19</v>
      </c>
      <c r="K840" s="3" t="s">
        <v>21</v>
      </c>
      <c r="L840" s="3" t="s">
        <v>147</v>
      </c>
      <c r="M840" s="4">
        <v>495</v>
      </c>
      <c r="N840" s="3" t="s">
        <v>211</v>
      </c>
      <c r="O840" s="3" t="s">
        <v>281</v>
      </c>
    </row>
    <row r="841" spans="1:15" hidden="1" x14ac:dyDescent="0.4">
      <c r="A841" s="7">
        <v>840</v>
      </c>
      <c r="B841" s="8" t="s">
        <v>3842</v>
      </c>
      <c r="C841" s="6" t="str">
        <f>IFERROR(IF(LEFT(D841,FIND(" ",D841)-1)="전라북도","전북특별자치도",LEFT(D841,FIND(" ",D841)-1)),"")</f>
        <v>경상북도</v>
      </c>
      <c r="D841" s="3" t="s">
        <v>3843</v>
      </c>
      <c r="E841" s="3" t="s">
        <v>1326</v>
      </c>
      <c r="F841" s="3" t="s">
        <v>3763</v>
      </c>
      <c r="G841" s="3" t="s">
        <v>3844</v>
      </c>
      <c r="H841" s="3" t="s">
        <v>3845</v>
      </c>
      <c r="I841" s="3" t="s">
        <v>19</v>
      </c>
      <c r="J841" s="3" t="s">
        <v>3844</v>
      </c>
      <c r="K841" s="3" t="s">
        <v>21</v>
      </c>
      <c r="L841" s="3" t="s">
        <v>147</v>
      </c>
      <c r="M841" s="4">
        <v>1020</v>
      </c>
      <c r="N841" s="3" t="s">
        <v>3616</v>
      </c>
      <c r="O841" s="3" t="s">
        <v>281</v>
      </c>
    </row>
    <row r="842" spans="1:15" hidden="1" x14ac:dyDescent="0.4">
      <c r="A842" s="7">
        <v>841</v>
      </c>
      <c r="B842" s="8" t="s">
        <v>3846</v>
      </c>
      <c r="C842" s="6" t="str">
        <f>IFERROR(IF(LEFT(D842,FIND(" ",D842)-1)="전라북도","전북특별자치도",LEFT(D842,FIND(" ",D842)-1)),"")</f>
        <v>대구광역시</v>
      </c>
      <c r="D842" s="3" t="s">
        <v>3847</v>
      </c>
      <c r="E842" s="3" t="s">
        <v>3848</v>
      </c>
      <c r="F842" s="3" t="s">
        <v>1264</v>
      </c>
      <c r="G842" s="3" t="s">
        <v>3139</v>
      </c>
      <c r="H842" s="3" t="s">
        <v>3849</v>
      </c>
      <c r="I842" s="3" t="s">
        <v>3849</v>
      </c>
      <c r="J842" s="3" t="s">
        <v>3850</v>
      </c>
      <c r="K842" s="3" t="s">
        <v>21</v>
      </c>
      <c r="L842" s="3" t="s">
        <v>228</v>
      </c>
      <c r="M842" s="4">
        <v>2981</v>
      </c>
      <c r="N842" s="3" t="s">
        <v>3616</v>
      </c>
      <c r="O842" s="3" t="s">
        <v>281</v>
      </c>
    </row>
    <row r="843" spans="1:15" hidden="1" x14ac:dyDescent="0.4">
      <c r="A843" s="7">
        <v>842</v>
      </c>
      <c r="B843" s="8" t="s">
        <v>3851</v>
      </c>
      <c r="C843" s="6" t="str">
        <f>IFERROR(IF(LEFT(D843,FIND(" ",D843)-1)="전라북도","전북특별자치도",LEFT(D843,FIND(" ",D843)-1)),"")</f>
        <v>부산광역시</v>
      </c>
      <c r="D843" s="3" t="s">
        <v>3852</v>
      </c>
      <c r="E843" s="3" t="s">
        <v>2006</v>
      </c>
      <c r="F843" s="3" t="s">
        <v>1264</v>
      </c>
      <c r="G843" s="3" t="s">
        <v>3853</v>
      </c>
      <c r="H843" s="3" t="s">
        <v>3854</v>
      </c>
      <c r="I843" s="3" t="s">
        <v>3854</v>
      </c>
      <c r="J843" s="3" t="s">
        <v>19</v>
      </c>
      <c r="K843" s="3" t="s">
        <v>21</v>
      </c>
      <c r="L843" s="3" t="s">
        <v>228</v>
      </c>
      <c r="M843" s="4">
        <v>2207</v>
      </c>
      <c r="N843" s="3" t="s">
        <v>3616</v>
      </c>
      <c r="O843" s="3" t="s">
        <v>281</v>
      </c>
    </row>
    <row r="844" spans="1:15" hidden="1" x14ac:dyDescent="0.4">
      <c r="A844" s="7">
        <v>843</v>
      </c>
      <c r="B844" s="8" t="s">
        <v>3855</v>
      </c>
      <c r="C844" s="6" t="str">
        <f>IFERROR(IF(LEFT(D844,FIND(" ",D844)-1)="전라북도","전북특별자치도",LEFT(D844,FIND(" ",D844)-1)),"")</f>
        <v>충청북도</v>
      </c>
      <c r="D844" s="3" t="s">
        <v>3856</v>
      </c>
      <c r="E844" s="3" t="s">
        <v>3857</v>
      </c>
      <c r="F844" s="3" t="s">
        <v>3520</v>
      </c>
      <c r="G844" s="3" t="s">
        <v>1941</v>
      </c>
      <c r="H844" s="3" t="s">
        <v>2573</v>
      </c>
      <c r="I844" s="3" t="s">
        <v>2573</v>
      </c>
      <c r="J844" s="3" t="s">
        <v>19</v>
      </c>
      <c r="K844" s="3" t="s">
        <v>21</v>
      </c>
      <c r="L844" s="3" t="s">
        <v>22</v>
      </c>
      <c r="M844" s="4">
        <v>1383</v>
      </c>
      <c r="N844" s="3" t="s">
        <v>3616</v>
      </c>
      <c r="O844" s="3" t="s">
        <v>281</v>
      </c>
    </row>
    <row r="845" spans="1:15" hidden="1" x14ac:dyDescent="0.4">
      <c r="A845" s="7">
        <v>844</v>
      </c>
      <c r="B845" s="8" t="s">
        <v>3858</v>
      </c>
      <c r="C845" s="6" t="str">
        <f>IFERROR(IF(LEFT(D845,FIND(" ",D845)-1)="전라북도","전북특별자치도",LEFT(D845,FIND(" ",D845)-1)),"")</f>
        <v>대전광역시</v>
      </c>
      <c r="D845" s="3" t="s">
        <v>3352</v>
      </c>
      <c r="E845" s="3" t="s">
        <v>3859</v>
      </c>
      <c r="F845" s="3" t="s">
        <v>1313</v>
      </c>
      <c r="G845" s="3" t="s">
        <v>3860</v>
      </c>
      <c r="H845" s="3" t="s">
        <v>3354</v>
      </c>
      <c r="I845" s="3" t="s">
        <v>3354</v>
      </c>
      <c r="J845" s="3" t="s">
        <v>19</v>
      </c>
      <c r="K845" s="3" t="s">
        <v>21</v>
      </c>
      <c r="L845" s="3" t="s">
        <v>22</v>
      </c>
      <c r="M845" s="4">
        <v>589</v>
      </c>
      <c r="N845" s="3" t="s">
        <v>3616</v>
      </c>
      <c r="O845" s="3" t="s">
        <v>281</v>
      </c>
    </row>
    <row r="846" spans="1:15" hidden="1" x14ac:dyDescent="0.4">
      <c r="A846" s="7">
        <v>845</v>
      </c>
      <c r="B846" s="8" t="s">
        <v>3861</v>
      </c>
      <c r="C846" s="6" t="str">
        <f>IFERROR(IF(LEFT(D846,FIND(" ",D846)-1)="전라북도","전북특별자치도",LEFT(D846,FIND(" ",D846)-1)),"")</f>
        <v>경기도</v>
      </c>
      <c r="D846" s="3" t="s">
        <v>3862</v>
      </c>
      <c r="E846" s="3" t="s">
        <v>3857</v>
      </c>
      <c r="F846" s="3" t="s">
        <v>1963</v>
      </c>
      <c r="G846" s="3" t="s">
        <v>3433</v>
      </c>
      <c r="H846" s="3" t="s">
        <v>3710</v>
      </c>
      <c r="I846" s="3" t="s">
        <v>19</v>
      </c>
      <c r="J846" s="3" t="s">
        <v>19</v>
      </c>
      <c r="K846" s="3" t="s">
        <v>21</v>
      </c>
      <c r="L846" s="3" t="s">
        <v>22</v>
      </c>
      <c r="M846" s="4">
        <v>566</v>
      </c>
      <c r="N846" s="3" t="s">
        <v>3616</v>
      </c>
      <c r="O846" s="3" t="s">
        <v>281</v>
      </c>
    </row>
    <row r="847" spans="1:15" hidden="1" x14ac:dyDescent="0.4">
      <c r="A847" s="7">
        <v>846</v>
      </c>
      <c r="B847" s="8" t="s">
        <v>3863</v>
      </c>
      <c r="C847" s="6" t="str">
        <f>IFERROR(IF(LEFT(D847,FIND(" ",D847)-1)="전라북도","전북특별자치도",LEFT(D847,FIND(" ",D847)-1)),"")</f>
        <v>인천광역시</v>
      </c>
      <c r="D847" s="3" t="s">
        <v>3864</v>
      </c>
      <c r="E847" s="3" t="s">
        <v>3865</v>
      </c>
      <c r="F847" s="3" t="s">
        <v>3859</v>
      </c>
      <c r="G847" s="3" t="s">
        <v>3866</v>
      </c>
      <c r="H847" s="3" t="s">
        <v>3017</v>
      </c>
      <c r="I847" s="3" t="s">
        <v>3017</v>
      </c>
      <c r="J847" s="3" t="s">
        <v>19</v>
      </c>
      <c r="K847" s="3" t="s">
        <v>21</v>
      </c>
      <c r="L847" s="3" t="s">
        <v>22</v>
      </c>
      <c r="M847" s="4">
        <v>862</v>
      </c>
      <c r="N847" s="3" t="s">
        <v>3616</v>
      </c>
      <c r="O847" s="3" t="s">
        <v>281</v>
      </c>
    </row>
    <row r="848" spans="1:15" hidden="1" x14ac:dyDescent="0.4">
      <c r="A848" s="7">
        <v>847</v>
      </c>
      <c r="B848" s="8" t="s">
        <v>3867</v>
      </c>
      <c r="C848" s="6" t="str">
        <f>IFERROR(IF(LEFT(D848,FIND(" ",D848)-1)="전라북도","전북특별자치도",LEFT(D848,FIND(" ",D848)-1)),"")</f>
        <v>경기도</v>
      </c>
      <c r="D848" s="3" t="s">
        <v>3868</v>
      </c>
      <c r="E848" s="3" t="s">
        <v>1765</v>
      </c>
      <c r="F848" s="3" t="s">
        <v>3705</v>
      </c>
      <c r="G848" s="3" t="s">
        <v>19</v>
      </c>
      <c r="H848" s="3" t="s">
        <v>210</v>
      </c>
      <c r="I848" s="3" t="s">
        <v>210</v>
      </c>
      <c r="J848" s="3" t="s">
        <v>19</v>
      </c>
      <c r="K848" s="3" t="s">
        <v>21</v>
      </c>
      <c r="L848" s="3" t="s">
        <v>147</v>
      </c>
      <c r="M848" s="4">
        <v>372</v>
      </c>
      <c r="N848" s="3" t="s">
        <v>211</v>
      </c>
      <c r="O848" s="3" t="s">
        <v>281</v>
      </c>
    </row>
    <row r="849" spans="1:15" hidden="1" x14ac:dyDescent="0.4">
      <c r="A849" s="7">
        <v>848</v>
      </c>
      <c r="B849" s="8" t="s">
        <v>3870</v>
      </c>
      <c r="C849" s="6" t="str">
        <f>IFERROR(IF(LEFT(D849,FIND(" ",D849)-1)="전라북도","전북특별자치도",LEFT(D849,FIND(" ",D849)-1)),"")</f>
        <v>경상북도</v>
      </c>
      <c r="D849" s="3" t="s">
        <v>3871</v>
      </c>
      <c r="E849" s="3" t="s">
        <v>3872</v>
      </c>
      <c r="F849" s="3" t="s">
        <v>3857</v>
      </c>
      <c r="G849" s="3" t="s">
        <v>3873</v>
      </c>
      <c r="H849" s="3" t="s">
        <v>3874</v>
      </c>
      <c r="I849" s="3" t="s">
        <v>3875</v>
      </c>
      <c r="J849" s="3" t="s">
        <v>19</v>
      </c>
      <c r="K849" s="3" t="s">
        <v>21</v>
      </c>
      <c r="L849" s="3" t="s">
        <v>147</v>
      </c>
      <c r="M849" s="4">
        <v>1198</v>
      </c>
      <c r="N849" s="3" t="s">
        <v>3616</v>
      </c>
      <c r="O849" s="3" t="s">
        <v>281</v>
      </c>
    </row>
    <row r="850" spans="1:15" hidden="1" x14ac:dyDescent="0.4">
      <c r="A850" s="7">
        <v>849</v>
      </c>
      <c r="B850" s="8" t="s">
        <v>3876</v>
      </c>
      <c r="C850" s="6" t="str">
        <f>IFERROR(IF(LEFT(D850,FIND(" ",D850)-1)="전라북도","전북특별자치도",LEFT(D850,FIND(" ",D850)-1)),"")</f>
        <v>경기도</v>
      </c>
      <c r="D850" s="3" t="s">
        <v>3877</v>
      </c>
      <c r="E850" s="3" t="s">
        <v>3694</v>
      </c>
      <c r="F850" s="3" t="s">
        <v>3857</v>
      </c>
      <c r="G850" s="3" t="s">
        <v>3878</v>
      </c>
      <c r="H850" s="3" t="s">
        <v>3879</v>
      </c>
      <c r="I850" s="3" t="s">
        <v>3879</v>
      </c>
      <c r="J850" s="3" t="s">
        <v>19</v>
      </c>
      <c r="K850" s="3" t="s">
        <v>21</v>
      </c>
      <c r="L850" s="3" t="s">
        <v>147</v>
      </c>
      <c r="M850" s="4">
        <v>1906</v>
      </c>
      <c r="N850" s="3" t="s">
        <v>3616</v>
      </c>
      <c r="O850" s="3" t="s">
        <v>281</v>
      </c>
    </row>
    <row r="851" spans="1:15" hidden="1" x14ac:dyDescent="0.4">
      <c r="A851" s="7">
        <v>850</v>
      </c>
      <c r="B851" s="8" t="s">
        <v>3880</v>
      </c>
      <c r="C851" s="6" t="str">
        <f>IFERROR(IF(LEFT(D851,FIND(" ",D851)-1)="전라북도","전북특별자치도",LEFT(D851,FIND(" ",D851)-1)),"")</f>
        <v>충청북도</v>
      </c>
      <c r="D851" s="3" t="s">
        <v>3881</v>
      </c>
      <c r="E851" s="3" t="s">
        <v>3882</v>
      </c>
      <c r="F851" s="3" t="s">
        <v>3883</v>
      </c>
      <c r="G851" s="3" t="s">
        <v>3884</v>
      </c>
      <c r="H851" s="3" t="s">
        <v>3885</v>
      </c>
      <c r="I851" s="3" t="s">
        <v>3885</v>
      </c>
      <c r="J851" s="3" t="s">
        <v>3886</v>
      </c>
      <c r="K851" s="3" t="s">
        <v>21</v>
      </c>
      <c r="L851" s="3" t="s">
        <v>22</v>
      </c>
      <c r="M851" s="4">
        <v>2992</v>
      </c>
      <c r="N851" s="3" t="s">
        <v>19</v>
      </c>
      <c r="O851" s="3" t="s">
        <v>281</v>
      </c>
    </row>
    <row r="852" spans="1:15" hidden="1" x14ac:dyDescent="0.4">
      <c r="A852" s="7">
        <v>851</v>
      </c>
      <c r="B852" s="8" t="s">
        <v>2850</v>
      </c>
      <c r="C852" s="6" t="str">
        <f>IFERROR(IF(LEFT(D852,FIND(" ",D852)-1)="전라북도","전북특별자치도",LEFT(D852,FIND(" ",D852)-1)),"")</f>
        <v>경기도</v>
      </c>
      <c r="D852" s="3" t="s">
        <v>2851</v>
      </c>
      <c r="E852" s="3" t="s">
        <v>3887</v>
      </c>
      <c r="F852" s="3" t="s">
        <v>3888</v>
      </c>
      <c r="G852" s="3" t="s">
        <v>3889</v>
      </c>
      <c r="H852" s="3" t="s">
        <v>2852</v>
      </c>
      <c r="I852" s="3" t="s">
        <v>2852</v>
      </c>
      <c r="J852" s="3" t="s">
        <v>19</v>
      </c>
      <c r="K852" s="3" t="s">
        <v>21</v>
      </c>
      <c r="L852" s="3" t="s">
        <v>228</v>
      </c>
      <c r="M852" s="4">
        <v>1261</v>
      </c>
      <c r="N852" s="3" t="s">
        <v>3616</v>
      </c>
      <c r="O852" s="3" t="s">
        <v>281</v>
      </c>
    </row>
    <row r="853" spans="1:15" hidden="1" x14ac:dyDescent="0.4">
      <c r="A853" s="7">
        <v>852</v>
      </c>
      <c r="B853" s="8" t="s">
        <v>3890</v>
      </c>
      <c r="C853" s="6" t="str">
        <f>IFERROR(IF(LEFT(D853,FIND(" ",D853)-1)="전라북도","전북특별자치도",LEFT(D853,FIND(" ",D853)-1)),"")</f>
        <v>인천광역시</v>
      </c>
      <c r="D853" s="3" t="s">
        <v>3891</v>
      </c>
      <c r="E853" s="3" t="s">
        <v>3098</v>
      </c>
      <c r="F853" s="3" t="s">
        <v>3888</v>
      </c>
      <c r="G853" s="3" t="s">
        <v>3706</v>
      </c>
      <c r="H853" s="3" t="s">
        <v>3017</v>
      </c>
      <c r="I853" s="3" t="s">
        <v>3017</v>
      </c>
      <c r="J853" s="3" t="s">
        <v>19</v>
      </c>
      <c r="K853" s="3" t="s">
        <v>21</v>
      </c>
      <c r="L853" s="3" t="s">
        <v>22</v>
      </c>
      <c r="M853" s="4">
        <v>731</v>
      </c>
      <c r="N853" s="3" t="s">
        <v>3616</v>
      </c>
      <c r="O853" s="3" t="s">
        <v>281</v>
      </c>
    </row>
    <row r="854" spans="1:15" hidden="1" x14ac:dyDescent="0.4">
      <c r="A854" s="7">
        <v>853</v>
      </c>
      <c r="B854" s="8" t="s">
        <v>3893</v>
      </c>
      <c r="C854" s="6" t="str">
        <f>IFERROR(IF(LEFT(D854,FIND(" ",D854)-1)="전라북도","전북특별자치도",LEFT(D854,FIND(" ",D854)-1)),"")</f>
        <v>전북특별자치도</v>
      </c>
      <c r="D854" s="3" t="s">
        <v>3894</v>
      </c>
      <c r="E854" s="3" t="s">
        <v>3816</v>
      </c>
      <c r="F854" s="3" t="s">
        <v>3758</v>
      </c>
      <c r="G854" s="3" t="s">
        <v>3895</v>
      </c>
      <c r="H854" s="3" t="s">
        <v>3896</v>
      </c>
      <c r="I854" s="3" t="s">
        <v>19</v>
      </c>
      <c r="J854" s="3" t="s">
        <v>19</v>
      </c>
      <c r="K854" s="3" t="s">
        <v>21</v>
      </c>
      <c r="L854" s="3" t="s">
        <v>147</v>
      </c>
      <c r="M854" s="4">
        <v>744</v>
      </c>
      <c r="N854" s="3" t="s">
        <v>19</v>
      </c>
      <c r="O854" s="3" t="s">
        <v>281</v>
      </c>
    </row>
    <row r="855" spans="1:15" hidden="1" x14ac:dyDescent="0.4">
      <c r="A855" s="7">
        <v>854</v>
      </c>
      <c r="B855" s="8" t="s">
        <v>3897</v>
      </c>
      <c r="C855" s="6" t="str">
        <f>IFERROR(IF(LEFT(D855,FIND(" ",D855)-1)="전라북도","전북특별자치도",LEFT(D855,FIND(" ",D855)-1)),"")</f>
        <v>전라남도</v>
      </c>
      <c r="D855" s="3" t="s">
        <v>3898</v>
      </c>
      <c r="E855" s="3" t="s">
        <v>3872</v>
      </c>
      <c r="F855" s="3" t="s">
        <v>3899</v>
      </c>
      <c r="G855" s="3" t="s">
        <v>3900</v>
      </c>
      <c r="H855" s="3" t="s">
        <v>3901</v>
      </c>
      <c r="I855" s="3" t="s">
        <v>3901</v>
      </c>
      <c r="J855" s="3" t="s">
        <v>19</v>
      </c>
      <c r="K855" s="3" t="s">
        <v>21</v>
      </c>
      <c r="L855" s="3" t="s">
        <v>147</v>
      </c>
      <c r="M855" s="4">
        <v>592</v>
      </c>
      <c r="N855" s="3" t="s">
        <v>3616</v>
      </c>
      <c r="O855" s="3" t="s">
        <v>281</v>
      </c>
    </row>
    <row r="856" spans="1:15" hidden="1" x14ac:dyDescent="0.4">
      <c r="A856" s="7">
        <v>855</v>
      </c>
      <c r="B856" s="8" t="s">
        <v>3902</v>
      </c>
      <c r="C856" s="6" t="str">
        <f>IFERROR(IF(LEFT(D856,FIND(" ",D856)-1)="전라북도","전북특별자치도",LEFT(D856,FIND(" ",D856)-1)),"")</f>
        <v>전라남도</v>
      </c>
      <c r="D856" s="3" t="s">
        <v>3903</v>
      </c>
      <c r="E856" s="3" t="s">
        <v>3806</v>
      </c>
      <c r="F856" s="3" t="s">
        <v>3899</v>
      </c>
      <c r="G856" s="3" t="s">
        <v>3904</v>
      </c>
      <c r="H856" s="3" t="s">
        <v>916</v>
      </c>
      <c r="I856" s="3" t="s">
        <v>916</v>
      </c>
      <c r="J856" s="3" t="s">
        <v>19</v>
      </c>
      <c r="K856" s="3" t="s">
        <v>21</v>
      </c>
      <c r="L856" s="3" t="s">
        <v>22</v>
      </c>
      <c r="M856" s="4">
        <v>1491</v>
      </c>
      <c r="N856" s="3" t="s">
        <v>3616</v>
      </c>
      <c r="O856" s="3" t="s">
        <v>281</v>
      </c>
    </row>
    <row r="857" spans="1:15" hidden="1" x14ac:dyDescent="0.4">
      <c r="A857" s="7">
        <v>856</v>
      </c>
      <c r="B857" s="8" t="s">
        <v>3905</v>
      </c>
      <c r="C857" s="6" t="str">
        <f>IFERROR(IF(LEFT(D857,FIND(" ",D857)-1)="전라북도","전북특별자치도",LEFT(D857,FIND(" ",D857)-1)),"")</f>
        <v>경기도</v>
      </c>
      <c r="D857" s="3" t="s">
        <v>3906</v>
      </c>
      <c r="E857" s="3" t="s">
        <v>1472</v>
      </c>
      <c r="F857" s="3" t="s">
        <v>3907</v>
      </c>
      <c r="G857" s="3" t="s">
        <v>19</v>
      </c>
      <c r="H857" s="3" t="s">
        <v>1704</v>
      </c>
      <c r="I857" s="3" t="s">
        <v>19</v>
      </c>
      <c r="J857" s="3" t="s">
        <v>19</v>
      </c>
      <c r="K857" s="3" t="s">
        <v>21</v>
      </c>
      <c r="L857" s="3" t="s">
        <v>22</v>
      </c>
      <c r="M857" s="4">
        <v>450</v>
      </c>
      <c r="N857" s="3" t="s">
        <v>84</v>
      </c>
      <c r="O857" s="3" t="s">
        <v>281</v>
      </c>
    </row>
    <row r="858" spans="1:15" hidden="1" x14ac:dyDescent="0.4">
      <c r="A858" s="7">
        <v>857</v>
      </c>
      <c r="B858" s="8" t="s">
        <v>2511</v>
      </c>
      <c r="C858" s="6" t="str">
        <f>IFERROR(IF(LEFT(D858,FIND(" ",D858)-1)="전라북도","전북특별자치도",LEFT(D858,FIND(" ",D858)-1)),"")</f>
        <v>경기도</v>
      </c>
      <c r="D858" s="3" t="s">
        <v>2512</v>
      </c>
      <c r="E858" s="3" t="s">
        <v>3882</v>
      </c>
      <c r="F858" s="3" t="s">
        <v>3909</v>
      </c>
      <c r="G858" s="3" t="s">
        <v>3910</v>
      </c>
      <c r="H858" s="3" t="s">
        <v>1237</v>
      </c>
      <c r="I858" s="3" t="s">
        <v>19</v>
      </c>
      <c r="J858" s="3" t="s">
        <v>19</v>
      </c>
      <c r="K858" s="3" t="s">
        <v>21</v>
      </c>
      <c r="L858" s="3" t="s">
        <v>22</v>
      </c>
      <c r="M858" s="4">
        <v>738</v>
      </c>
      <c r="N858" s="3" t="s">
        <v>3616</v>
      </c>
      <c r="O858" s="3" t="s">
        <v>281</v>
      </c>
    </row>
    <row r="859" spans="1:15" hidden="1" x14ac:dyDescent="0.4">
      <c r="A859" s="7">
        <v>858</v>
      </c>
      <c r="B859" s="8" t="s">
        <v>3911</v>
      </c>
      <c r="C859" s="6" t="str">
        <f>IFERROR(IF(LEFT(D859,FIND(" ",D859)-1)="전라북도","전북특별자치도",LEFT(D859,FIND(" ",D859)-1)),"")</f>
        <v>경기도</v>
      </c>
      <c r="D859" s="3" t="s">
        <v>3912</v>
      </c>
      <c r="E859" s="3" t="s">
        <v>3913</v>
      </c>
      <c r="F859" s="3" t="s">
        <v>3914</v>
      </c>
      <c r="G859" s="3" t="s">
        <v>3915</v>
      </c>
      <c r="H859" s="3" t="s">
        <v>763</v>
      </c>
      <c r="I859" s="3" t="s">
        <v>3915</v>
      </c>
      <c r="J859" s="3" t="s">
        <v>19</v>
      </c>
      <c r="K859" s="3" t="s">
        <v>21</v>
      </c>
      <c r="L859" s="3" t="s">
        <v>22</v>
      </c>
      <c r="M859" s="4">
        <v>583</v>
      </c>
      <c r="N859" s="3" t="s">
        <v>84</v>
      </c>
      <c r="O859" s="3" t="s">
        <v>281</v>
      </c>
    </row>
    <row r="860" spans="1:15" hidden="1" x14ac:dyDescent="0.4">
      <c r="A860" s="7">
        <v>859</v>
      </c>
      <c r="B860" s="8" t="s">
        <v>3916</v>
      </c>
      <c r="C860" s="6" t="str">
        <f>IFERROR(IF(LEFT(D860,FIND(" ",D860)-1)="전라북도","전북특별자치도",LEFT(D860,FIND(" ",D860)-1)),"")</f>
        <v>전라남도</v>
      </c>
      <c r="D860" s="3" t="s">
        <v>3917</v>
      </c>
      <c r="E860" s="3" t="s">
        <v>3918</v>
      </c>
      <c r="F860" s="3" t="s">
        <v>3914</v>
      </c>
      <c r="G860" s="3" t="s">
        <v>3919</v>
      </c>
      <c r="H860" s="3" t="s">
        <v>3920</v>
      </c>
      <c r="I860" s="3" t="s">
        <v>3921</v>
      </c>
      <c r="J860" s="3" t="s">
        <v>3922</v>
      </c>
      <c r="K860" s="3" t="s">
        <v>21</v>
      </c>
      <c r="L860" s="3" t="s">
        <v>22</v>
      </c>
      <c r="M860" s="4">
        <v>2673</v>
      </c>
      <c r="N860" s="3" t="s">
        <v>3616</v>
      </c>
      <c r="O860" s="3" t="s">
        <v>281</v>
      </c>
    </row>
  </sheetData>
  <autoFilter ref="A1:O860" xr:uid="{00000000-0001-0000-0000-000000000000}">
    <filterColumn colId="12">
      <filters>
        <filter val="1,018"/>
        <filter val="1,032"/>
        <filter val="1,081"/>
        <filter val="1,110"/>
        <filter val="1,131"/>
        <filter val="1,139"/>
        <filter val="1,145"/>
        <filter val="1,171"/>
        <filter val="1,212"/>
        <filter val="1,256"/>
        <filter val="1,275"/>
        <filter val="1,287"/>
        <filter val="1,304"/>
        <filter val="1,310"/>
        <filter val="1,331"/>
        <filter val="1,334"/>
        <filter val="1,343"/>
        <filter val="1,344"/>
        <filter val="1,348"/>
        <filter val="1,358"/>
        <filter val="1,360"/>
        <filter val="1,371"/>
        <filter val="1,460"/>
        <filter val="1,483"/>
        <filter val="1,493"/>
        <filter val="1,499"/>
        <filter val="1,506"/>
        <filter val="1,510"/>
        <filter val="1,520"/>
        <filter val="1,543"/>
        <filter val="1,567"/>
        <filter val="1,569"/>
        <filter val="1,575"/>
        <filter val="1,676"/>
        <filter val="1,681"/>
        <filter val="1,682"/>
        <filter val="1,726"/>
        <filter val="1,783"/>
        <filter val="1,795"/>
        <filter val="1,811"/>
        <filter val="1,865"/>
        <filter val="1,886"/>
        <filter val="1,897"/>
        <filter val="1,969"/>
        <filter val="1,973"/>
        <filter val="1,991"/>
        <filter val="1,994"/>
        <filter val="1,995"/>
        <filter val="1,996"/>
        <filter val="1,998"/>
        <filter val="10,680"/>
        <filter val="10,831"/>
        <filter val="109,940"/>
        <filter val="12,142"/>
        <filter val="12,591"/>
        <filter val="126,473"/>
        <filter val="13,696"/>
        <filter val="13,748"/>
        <filter val="14,242"/>
        <filter val="14,453"/>
        <filter val="14,478"/>
        <filter val="14,611"/>
        <filter val="14,679"/>
        <filter val="14,868"/>
        <filter val="14,895"/>
        <filter val="16,852"/>
        <filter val="16,871"/>
        <filter val="17,621"/>
        <filter val="18,385"/>
        <filter val="19,738"/>
        <filter val="2,000"/>
        <filter val="2,045"/>
        <filter val="2,055"/>
        <filter val="2,088"/>
        <filter val="2,120"/>
        <filter val="2,137"/>
        <filter val="2,146"/>
        <filter val="2,208"/>
        <filter val="2,212"/>
        <filter val="2,254"/>
        <filter val="2,343"/>
        <filter val="2,398"/>
        <filter val="2,435"/>
        <filter val="2,499"/>
        <filter val="2,513"/>
        <filter val="2,517"/>
        <filter val="2,591"/>
        <filter val="2,596"/>
        <filter val="2,603"/>
        <filter val="2,681"/>
        <filter val="2,689"/>
        <filter val="2,923"/>
        <filter val="2,933"/>
        <filter val="2,964"/>
        <filter val="2,967"/>
        <filter val="2,986"/>
        <filter val="2,996"/>
        <filter val="22,409"/>
        <filter val="22,601"/>
        <filter val="23,667"/>
        <filter val="25,130"/>
        <filter val="25,782"/>
        <filter val="26,746"/>
        <filter val="274,379"/>
        <filter val="29,060"/>
        <filter val="29,977"/>
        <filter val="3,022"/>
        <filter val="3,092"/>
        <filter val="3,101"/>
        <filter val="3,114"/>
        <filter val="3,245"/>
        <filter val="3,569"/>
        <filter val="3,586"/>
        <filter val="3,642"/>
        <filter val="3,692"/>
        <filter val="3,741"/>
        <filter val="3,917"/>
        <filter val="3,975"/>
        <filter val="30,232"/>
        <filter val="30,790"/>
        <filter val="300"/>
        <filter val="301"/>
        <filter val="303"/>
        <filter val="304"/>
        <filter val="311"/>
        <filter val="316"/>
        <filter val="321"/>
        <filter val="324"/>
        <filter val="33,796"/>
        <filter val="34,584"/>
        <filter val="34,622"/>
        <filter val="351"/>
        <filter val="353"/>
        <filter val="358"/>
        <filter val="36,582"/>
        <filter val="36,635"/>
        <filter val="368"/>
        <filter val="383"/>
        <filter val="39,880"/>
        <filter val="391"/>
        <filter val="393"/>
        <filter val="394"/>
        <filter val="399"/>
        <filter val="4,235"/>
        <filter val="4,482"/>
        <filter val="4,530"/>
        <filter val="4,668"/>
        <filter val="4,913"/>
        <filter val="4,933"/>
        <filter val="4,939"/>
        <filter val="4,962"/>
        <filter val="4,983"/>
        <filter val="4,998"/>
        <filter val="40,550"/>
        <filter val="439"/>
        <filter val="449"/>
        <filter val="46,567"/>
        <filter val="460"/>
        <filter val="47,700"/>
        <filter val="487"/>
        <filter val="495"/>
        <filter val="5,417"/>
        <filter val="5,570"/>
        <filter val="5,808"/>
        <filter val="5,834"/>
        <filter val="5,920"/>
        <filter val="500"/>
        <filter val="506"/>
        <filter val="514"/>
        <filter val="523"/>
        <filter val="528"/>
        <filter val="530"/>
        <filter val="552"/>
        <filter val="571"/>
        <filter val="574"/>
        <filter val="578"/>
        <filter val="588"/>
        <filter val="596"/>
        <filter val="597"/>
        <filter val="598"/>
        <filter val="599"/>
        <filter val="6,095"/>
        <filter val="6,201"/>
        <filter val="6,423"/>
        <filter val="6,553"/>
        <filter val="6,591"/>
        <filter val="609"/>
        <filter val="612"/>
        <filter val="618"/>
        <filter val="625"/>
        <filter val="629"/>
        <filter val="634"/>
        <filter val="638"/>
        <filter val="653"/>
        <filter val="658"/>
        <filter val="694"/>
        <filter val="7,187"/>
        <filter val="7,501"/>
        <filter val="7,565"/>
        <filter val="708"/>
        <filter val="734"/>
        <filter val="738"/>
        <filter val="743"/>
        <filter val="757"/>
        <filter val="761"/>
        <filter val="795"/>
        <filter val="8,688"/>
        <filter val="80,772"/>
        <filter val="80,917"/>
        <filter val="813"/>
        <filter val="825"/>
        <filter val="826"/>
        <filter val="827"/>
        <filter val="838"/>
        <filter val="849"/>
        <filter val="856"/>
        <filter val="888"/>
        <filter val="889"/>
        <filter val="9,425"/>
        <filter val="9,665"/>
        <filter val="910"/>
        <filter val="919"/>
        <filter val="923"/>
        <filter val="942"/>
        <filter val="950"/>
        <filter val="959"/>
        <filter val="960"/>
        <filter val="972"/>
        <filter val="974"/>
        <filter val="976"/>
        <filter val="984"/>
        <filter val="985"/>
        <filter val="989"/>
        <filter val="99,409"/>
        <filter val="99,938"/>
        <filter val="996"/>
      </filters>
    </filterColumn>
    <filterColumn colId="14">
      <filters>
        <filter val="착공"/>
      </filters>
    </filterColumn>
    <sortState xmlns:xlrd2="http://schemas.microsoft.com/office/spreadsheetml/2017/richdata2" ref="A2:O797">
      <sortCondition ref="C1:C860"/>
    </sortState>
  </autoFilter>
  <phoneticPr fontId="2" type="noConversion"/>
  <conditionalFormatting sqref="A2:O860">
    <cfRule type="expression" dxfId="0" priority="1">
      <formula>$O2="착공"</formula>
    </cfRule>
  </conditionalFormatting>
  <dataValidations count="1">
    <dataValidation type="list" allowBlank="1" showInputMessage="1" showErrorMessage="1" sqref="C2:C860" xr:uid="{93610C94-EDA3-4320-969E-24E57C9D6F5E}">
      <formula1>"서울특별시,부산광역시,대구광역시,인천광역시,광주광역시,대전광역시,울산광역시,세종특별자치시,경기도,강원특별자치도,충청북도,충청남도,전북특별자치도,전라남도,경상북도,경상남도,제주특별자치도"</formula1>
    </dataValidation>
  </dataValidations>
  <pageMargins left="0.23622047244094491" right="0.23622047244094491" top="0.15748031496062992" bottom="0.15748031496062992" header="0.31496062992125984" footer="0.31496062992125984"/>
  <pageSetup paperSize="8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숙박시설 착공목록</vt:lpstr>
      <vt:lpstr>출처_안내</vt:lpstr>
      <vt:lpstr>원본_백업_260918</vt:lpstr>
      <vt:lpstr>백업_중복정리후_260918</vt:lpstr>
      <vt:lpstr>백업_중복정리후_260918!Print_Area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성윤 배</cp:lastModifiedBy>
  <cp:lastPrinted>2026-09-18T05:53:46Z</cp:lastPrinted>
  <dcterms:created xsi:type="dcterms:W3CDTF">2026-09-18T02:39:53Z</dcterms:created>
  <dcterms:modified xsi:type="dcterms:W3CDTF">2026-09-18T05:59:10Z</dcterms:modified>
</cp:coreProperties>
</file>