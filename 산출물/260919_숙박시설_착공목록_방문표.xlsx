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입력칸" sheetId="1" state="visible" r:id="rId1"/>
    <sheet xmlns:r="http://schemas.openxmlformats.org/officeDocument/2006/relationships" name="1.가야 할 곳(1500㎡↑)" sheetId="2" state="visible" r:id="rId2"/>
    <sheet xmlns:r="http://schemas.openxmlformats.org/officeDocument/2006/relationships" name="2.작은 곳(1500㎡미만)" sheetId="3" state="visible" r:id="rId3"/>
    <sheet xmlns:r="http://schemas.openxmlformats.org/officeDocument/2006/relationships" name="3.지역별 합계" sheetId="4" state="visible" r:id="rId4"/>
  </sheets>
  <definedNames>
    <definedName name="_xlnm._FilterDatabase" localSheetId="1" hidden="1">'1.가야 할 곳(1500㎡↑)'!$A$3:$O$145</definedName>
    <definedName name="_xlnm._FilterDatabase" localSheetId="2" hidden="1">'2.작은 곳(1500㎡미만)'!$A$3:$O$165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0392B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BF2DC"/>
      </patternFill>
    </fill>
    <fill>
      <patternFill patternType="solid">
        <fgColor rgb="002A6099"/>
      </patternFill>
    </fill>
    <fill>
      <patternFill patternType="solid">
        <fgColor rgb="00E6F3E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</cols>
  <sheetData>
    <row r="1">
      <c r="A1" s="1" t="inlineStr">
        <is>
          <t>여기 숫자만 넣으시면 「예상 객실수」가 저절로 계산됩니다</t>
        </is>
      </c>
    </row>
    <row r="3">
      <c r="A3" t="inlineStr">
        <is>
          <t>객실 1실당 연면적 (㎡)</t>
        </is>
      </c>
      <c r="B3" s="2" t="n"/>
      <c r="C3" t="inlineStr">
        <is>
          <t>← 여기에 숫자를 넣으십시오 (복도·로비·주차 포함한 값)</t>
        </is>
      </c>
    </row>
    <row r="5">
      <c r="A5" t="inlineStr">
        <is>
          <t>우리 매출 1실당 (원)</t>
        </is>
      </c>
      <c r="B5" s="2" t="n"/>
      <c r="C5" t="inlineStr">
        <is>
          <t>← 여기에 숫자를 넣으시면 「예상 금액」이 나옵니다</t>
        </is>
      </c>
    </row>
    <row r="7">
      <c r="A7" s="3" t="inlineStr">
        <is>
          <t>※ 이 두 값은 제가 정하지 않습니다. 차장님이 넣으셔야 1·2번 시트의 빈칸이 채워집니다.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8" customWidth="1" min="3" max="3"/>
    <col width="11" customWidth="1" min="4" max="4"/>
    <col width="9" customWidth="1" min="5" max="5"/>
    <col width="11" customWidth="1" min="6" max="6"/>
    <col width="10" customWidth="1" min="7" max="7"/>
    <col width="13" customWidth="1" min="8" max="8"/>
    <col width="9" customWidth="1" min="9" max="9"/>
    <col width="34" customWidth="1" min="10" max="10"/>
    <col width="28" customWidth="1" min="11" max="11"/>
    <col width="24" customWidth="1" min="12" max="12"/>
    <col width="26" customWidth="1" min="13" max="13"/>
    <col width="8" customWidth="1" min="14" max="14"/>
    <col width="44" customWidth="1" min="15" max="15"/>
  </cols>
  <sheetData>
    <row r="1">
      <c r="A1" s="4" t="inlineStr">
        <is>
          <t>연면적 1,500㎡ 이상 142곳 — 초록=시공사 정해짐(바로 접촉) / 회색=정보 없음(시·군·구 건축과)</t>
        </is>
      </c>
    </row>
    <row r="3">
      <c r="A3" s="5" t="inlineStr">
        <is>
          <t>지역</t>
        </is>
      </c>
      <c r="B3" s="5" t="inlineStr">
        <is>
          <t>시·군·구</t>
        </is>
      </c>
      <c r="C3" s="5" t="inlineStr">
        <is>
          <t>현장명</t>
        </is>
      </c>
      <c r="D3" s="5" t="inlineStr">
        <is>
          <t>착공일</t>
        </is>
      </c>
      <c r="E3" s="5" t="inlineStr">
        <is>
          <t>경과(개월)</t>
        </is>
      </c>
      <c r="F3" s="5" t="inlineStr">
        <is>
          <t>연면적(㎡)</t>
        </is>
      </c>
      <c r="G3" s="5" t="inlineStr">
        <is>
          <t>예상 객실수</t>
        </is>
      </c>
      <c r="H3" s="5" t="inlineStr">
        <is>
          <t>예상 금액</t>
        </is>
      </c>
      <c r="I3" s="5" t="inlineStr">
        <is>
          <t>시공사 유무</t>
        </is>
      </c>
      <c r="J3" s="5" t="inlineStr">
        <is>
          <t>접촉처</t>
        </is>
      </c>
      <c r="K3" s="5" t="inlineStr">
        <is>
          <t>설계사</t>
        </is>
      </c>
      <c r="L3" s="5" t="inlineStr">
        <is>
          <t>감리사</t>
        </is>
      </c>
      <c r="M3" s="5" t="inlineStr">
        <is>
          <t>건축주</t>
        </is>
      </c>
      <c r="N3" s="5" t="inlineStr">
        <is>
          <t>허가구분</t>
        </is>
      </c>
      <c r="O3" s="5" t="inlineStr">
        <is>
          <t>주소</t>
        </is>
      </c>
    </row>
    <row r="4">
      <c r="A4" s="6" t="inlineStr">
        <is>
          <t>서울특별시</t>
        </is>
      </c>
      <c r="B4" s="6" t="inlineStr">
        <is>
          <t>영등포구</t>
        </is>
      </c>
      <c r="C4" s="6" t="inlineStr">
        <is>
          <t>영등포동3가 5-10 숙박시설 ((주) 영등포중앙기업)</t>
        </is>
      </c>
      <c r="D4" s="6" t="inlineStr">
        <is>
          <t>2025-12-23</t>
        </is>
      </c>
      <c r="E4" s="6" t="n">
        <v>9</v>
      </c>
      <c r="F4" s="6" t="n">
        <v>13748</v>
      </c>
      <c r="G4" s="6">
        <f>IF('0.입력칸'!$B$3="","",ROUND(F4/'0.입력칸'!$B$3,0))</f>
        <v/>
      </c>
      <c r="H4" s="6">
        <f>IF(OR('0.입력칸'!$B$3="",'0.입력칸'!$B$5=""),"",ROUND(G4*'0.입력칸'!$B$5,0))</f>
        <v/>
      </c>
      <c r="I4" s="6" t="inlineStr">
        <is>
          <t>없음</t>
        </is>
      </c>
      <c r="J4" s="6" t="inlineStr">
        <is>
          <t>설계사 에스브이건축건축사사무소</t>
        </is>
      </c>
      <c r="K4" s="6" t="inlineStr">
        <is>
          <t>에스브이건축건축사사무소</t>
        </is>
      </c>
      <c r="L4" s="6" t="inlineStr"/>
      <c r="M4" s="6" t="inlineStr">
        <is>
          <t>(주)영등포중앙기업</t>
        </is>
      </c>
      <c r="N4" s="6" t="inlineStr">
        <is>
          <t>신축</t>
        </is>
      </c>
      <c r="O4" s="6" t="inlineStr">
        <is>
          <t>서울특별시 영등포구 영등포로 228 (영등포동3가)</t>
        </is>
      </c>
    </row>
    <row r="5">
      <c r="A5" s="6" t="inlineStr">
        <is>
          <t>서울특별시</t>
        </is>
      </c>
      <c r="B5" s="6" t="inlineStr">
        <is>
          <t>종로구</t>
        </is>
      </c>
      <c r="C5" s="6" t="inlineStr">
        <is>
          <t>종로5가 193-17 ,3 번지 관광숙박시설</t>
        </is>
      </c>
      <c r="D5" s="6" t="inlineStr">
        <is>
          <t>2026-07-15</t>
        </is>
      </c>
      <c r="E5" s="6" t="n">
        <v>2</v>
      </c>
      <c r="F5" s="6" t="n">
        <v>4482</v>
      </c>
      <c r="G5" s="6">
        <f>IF('0.입력칸'!$B$3="","",ROUND(F5/'0.입력칸'!$B$3,0))</f>
        <v/>
      </c>
      <c r="H5" s="6">
        <f>IF(OR('0.입력칸'!$B$3="",'0.입력칸'!$B$5=""),"",ROUND(G5*'0.입력칸'!$B$5,0))</f>
        <v/>
      </c>
      <c r="I5" s="6" t="inlineStr">
        <is>
          <t>없음</t>
        </is>
      </c>
      <c r="J5" s="6" t="inlineStr">
        <is>
          <t>설계사 (주)아이디아키텍츠건축사사무소</t>
        </is>
      </c>
      <c r="K5" s="6" t="inlineStr">
        <is>
          <t>(주)아이디아키텍츠건축사사무소</t>
        </is>
      </c>
      <c r="L5" s="6" t="inlineStr"/>
      <c r="M5" s="6" t="inlineStr">
        <is>
          <t>태재연구재단</t>
        </is>
      </c>
      <c r="N5" s="6" t="inlineStr">
        <is>
          <t>신축</t>
        </is>
      </c>
      <c r="O5" s="6" t="inlineStr">
        <is>
          <t>서울특별시 종로구 종로 228 (종로5가)</t>
        </is>
      </c>
    </row>
    <row r="6">
      <c r="A6" s="7" t="inlineStr">
        <is>
          <t>서울특별시</t>
        </is>
      </c>
      <c r="B6" s="7" t="inlineStr">
        <is>
          <t>종로구</t>
        </is>
      </c>
      <c r="C6" s="7" t="inlineStr">
        <is>
          <t>경운동 96-18 관광숙박시설</t>
        </is>
      </c>
      <c r="D6" s="7" t="inlineStr">
        <is>
          <t>2026-06-24</t>
        </is>
      </c>
      <c r="E6" s="7" t="n">
        <v>3</v>
      </c>
      <c r="F6" s="7" t="n">
        <v>3642</v>
      </c>
      <c r="G6" s="7">
        <f>IF('0.입력칸'!$B$3="","",ROUND(F6/'0.입력칸'!$B$3,0))</f>
        <v/>
      </c>
      <c r="H6" s="7">
        <f>IF(OR('0.입력칸'!$B$3="",'0.입력칸'!$B$5=""),"",ROUND(G6*'0.입력칸'!$B$5,0))</f>
        <v/>
      </c>
      <c r="I6" s="7" t="inlineStr">
        <is>
          <t>있음</t>
        </is>
      </c>
      <c r="J6" s="7" t="inlineStr">
        <is>
          <t>시공사 희상건설(주)</t>
        </is>
      </c>
      <c r="K6" s="7" t="inlineStr">
        <is>
          <t>제로투엔건축사사무소종합건설(주)</t>
        </is>
      </c>
      <c r="L6" s="7" t="inlineStr">
        <is>
          <t>(주)범씨엠건축사사무소</t>
        </is>
      </c>
      <c r="M6" s="7" t="inlineStr">
        <is>
          <t>(주)코람코라이프인프라위탁관리부…</t>
        </is>
      </c>
      <c r="N6" s="7" t="inlineStr">
        <is>
          <t>신축</t>
        </is>
      </c>
      <c r="O6" s="7" t="inlineStr">
        <is>
          <t>서울특별시 종로구 율곡로 58 (경운동)</t>
        </is>
      </c>
    </row>
    <row r="7">
      <c r="A7" s="6" t="inlineStr">
        <is>
          <t>서울특별시</t>
        </is>
      </c>
      <c r="B7" s="6" t="inlineStr">
        <is>
          <t>중구</t>
        </is>
      </c>
      <c r="C7" s="6" t="inlineStr">
        <is>
          <t>광희동1가 생활숙박시설 신축공사</t>
        </is>
      </c>
      <c r="D7" s="6" t="inlineStr">
        <is>
          <t>2026-11-29</t>
        </is>
      </c>
      <c r="E7" s="6" t="n">
        <v>-2</v>
      </c>
      <c r="F7" s="6" t="n">
        <v>8426</v>
      </c>
      <c r="G7" s="6">
        <f>IF('0.입력칸'!$B$3="","",ROUND(F7/'0.입력칸'!$B$3,0))</f>
        <v/>
      </c>
      <c r="H7" s="6">
        <f>IF(OR('0.입력칸'!$B$3="",'0.입력칸'!$B$5=""),"",ROUND(G7*'0.입력칸'!$B$5,0))</f>
        <v/>
      </c>
      <c r="I7" s="6" t="inlineStr">
        <is>
          <t>없음</t>
        </is>
      </c>
      <c r="J7" s="6" t="inlineStr">
        <is>
          <t>설계사 (주)종합건축사사무소도우건축</t>
        </is>
      </c>
      <c r="K7" s="6" t="inlineStr">
        <is>
          <t>(주)종합건축사사무소도우건축</t>
        </is>
      </c>
      <c r="L7" s="6" t="inlineStr"/>
      <c r="M7" s="6" t="inlineStr">
        <is>
          <t>(주)교보자산신탁</t>
        </is>
      </c>
      <c r="N7" s="6" t="inlineStr">
        <is>
          <t>신축</t>
        </is>
      </c>
      <c r="O7" s="6" t="inlineStr">
        <is>
          <t>서울특별시 중구 광희동1가 72-4번지</t>
        </is>
      </c>
    </row>
    <row r="8">
      <c r="A8" s="6" t="inlineStr">
        <is>
          <t>서울특별시</t>
        </is>
      </c>
      <c r="B8" s="6" t="inlineStr">
        <is>
          <t>중구</t>
        </is>
      </c>
      <c r="C8" s="6" t="inlineStr">
        <is>
          <t>명동2가 95-1 생활숙박시설 신축공사</t>
        </is>
      </c>
      <c r="D8" s="6" t="inlineStr">
        <is>
          <t>2026-08-17</t>
        </is>
      </c>
      <c r="E8" s="6" t="n">
        <v>1</v>
      </c>
      <c r="F8" s="6" t="n">
        <v>6095</v>
      </c>
      <c r="G8" s="6">
        <f>IF('0.입력칸'!$B$3="","",ROUND(F8/'0.입력칸'!$B$3,0))</f>
        <v/>
      </c>
      <c r="H8" s="6">
        <f>IF(OR('0.입력칸'!$B$3="",'0.입력칸'!$B$5=""),"",ROUND(G8*'0.입력칸'!$B$5,0))</f>
        <v/>
      </c>
      <c r="I8" s="6" t="inlineStr">
        <is>
          <t>없음</t>
        </is>
      </c>
      <c r="J8" s="6" t="inlineStr">
        <is>
          <t>설계사 (주)야손건축사사무소</t>
        </is>
      </c>
      <c r="K8" s="6" t="inlineStr">
        <is>
          <t>(주)야손건축사사무소</t>
        </is>
      </c>
      <c r="L8" s="6" t="inlineStr"/>
      <c r="M8" s="6" t="inlineStr">
        <is>
          <t>(주)시경개발</t>
        </is>
      </c>
      <c r="N8" s="6" t="inlineStr">
        <is>
          <t>신축</t>
        </is>
      </c>
      <c r="O8" s="6" t="inlineStr">
        <is>
          <t>서울특별시 중구 남대문로 64 (명동2가)</t>
        </is>
      </c>
    </row>
    <row r="9">
      <c r="A9" s="7" t="inlineStr">
        <is>
          <t>서울특별시</t>
        </is>
      </c>
      <c r="B9" s="7" t="inlineStr">
        <is>
          <t>중구</t>
        </is>
      </c>
      <c r="C9" s="7" t="inlineStr">
        <is>
          <t>광희동2가 40-1번지 외 5필지 일반숙박시설</t>
        </is>
      </c>
      <c r="D9" s="7" t="inlineStr">
        <is>
          <t>2024-04-15</t>
        </is>
      </c>
      <c r="E9" s="7" t="n">
        <v>29</v>
      </c>
      <c r="F9" s="7" t="n">
        <v>4530</v>
      </c>
      <c r="G9" s="7">
        <f>IF('0.입력칸'!$B$3="","",ROUND(F9/'0.입력칸'!$B$3,0))</f>
        <v/>
      </c>
      <c r="H9" s="7">
        <f>IF(OR('0.입력칸'!$B$3="",'0.입력칸'!$B$5=""),"",ROUND(G9*'0.입력칸'!$B$5,0))</f>
        <v/>
      </c>
      <c r="I9" s="7" t="inlineStr">
        <is>
          <t>있음</t>
        </is>
      </c>
      <c r="J9" s="7" t="inlineStr">
        <is>
          <t>시공사 도시건축종합건설(주)</t>
        </is>
      </c>
      <c r="K9" s="7" t="inlineStr">
        <is>
          <t>비욘드건축</t>
        </is>
      </c>
      <c r="L9" s="7" t="inlineStr">
        <is>
          <t>비욘드건축</t>
        </is>
      </c>
      <c r="M9" s="7" t="inlineStr">
        <is>
          <t>시에이1010(주)</t>
        </is>
      </c>
      <c r="N9" s="7" t="inlineStr">
        <is>
          <t>신축</t>
        </is>
      </c>
      <c r="O9" s="7" t="inlineStr">
        <is>
          <t>서울특별시 중구 광희동2가 40-1번지</t>
        </is>
      </c>
    </row>
    <row r="10">
      <c r="A10" s="7" t="inlineStr">
        <is>
          <t>인천광역시</t>
        </is>
      </c>
      <c r="B10" s="7" t="inlineStr">
        <is>
          <t>검단구</t>
        </is>
      </c>
      <c r="C10" s="7" t="inlineStr">
        <is>
          <t>인천 검단신도시 101 역세권 개발사업 C9-2블록 숙박시설</t>
        </is>
      </c>
      <c r="D10" s="7" t="inlineStr">
        <is>
          <t>2023-06-09</t>
        </is>
      </c>
      <c r="E10" s="7" t="n">
        <v>39</v>
      </c>
      <c r="F10" s="7" t="n">
        <v>126473</v>
      </c>
      <c r="G10" s="7">
        <f>IF('0.입력칸'!$B$3="","",ROUND(F10/'0.입력칸'!$B$3,0))</f>
        <v/>
      </c>
      <c r="H10" s="7">
        <f>IF(OR('0.입력칸'!$B$3="",'0.입력칸'!$B$5=""),"",ROUND(G10*'0.입력칸'!$B$5,0))</f>
        <v/>
      </c>
      <c r="I10" s="7" t="inlineStr">
        <is>
          <t>있음</t>
        </is>
      </c>
      <c r="J10" s="7" t="inlineStr">
        <is>
          <t>시공사 롯데건설(주)</t>
        </is>
      </c>
      <c r="K10" s="7" t="inlineStr">
        <is>
          <t>(주)건축사사무소광장</t>
        </is>
      </c>
      <c r="L10" s="7" t="inlineStr">
        <is>
          <t>(주)정림씨엠건축사사무소</t>
        </is>
      </c>
      <c r="M10" s="7" t="inlineStr">
        <is>
          <t>넥스트브이시티피에프브이(주)</t>
        </is>
      </c>
      <c r="N10" s="7" t="inlineStr">
        <is>
          <t>신축</t>
        </is>
      </c>
      <c r="O10" s="7" t="inlineStr">
        <is>
          <t>인천광역시 검단구 원당동 블록</t>
        </is>
      </c>
    </row>
    <row r="11">
      <c r="A11" s="7" t="inlineStr">
        <is>
          <t>인천광역시</t>
        </is>
      </c>
      <c r="B11" s="7" t="inlineStr">
        <is>
          <t>부평구</t>
        </is>
      </c>
      <c r="C11" s="7" t="inlineStr">
        <is>
          <t>부평동 531-3 오피스텔 및 생활숙박시설</t>
        </is>
      </c>
      <c r="D11" s="7" t="inlineStr">
        <is>
          <t>2024-12-06</t>
        </is>
      </c>
      <c r="E11" s="7" t="n">
        <v>21</v>
      </c>
      <c r="F11" s="7" t="n">
        <v>14679</v>
      </c>
      <c r="G11" s="7">
        <f>IF('0.입력칸'!$B$3="","",ROUND(F11/'0.입력칸'!$B$3,0))</f>
        <v/>
      </c>
      <c r="H11" s="7">
        <f>IF(OR('0.입력칸'!$B$3="",'0.입력칸'!$B$5=""),"",ROUND(G11*'0.입력칸'!$B$5,0))</f>
        <v/>
      </c>
      <c r="I11" s="7" t="inlineStr">
        <is>
          <t>있음</t>
        </is>
      </c>
      <c r="J11" s="7" t="inlineStr">
        <is>
          <t>시공사 (주)황산종합건설</t>
        </is>
      </c>
      <c r="K11" s="7" t="inlineStr">
        <is>
          <t>(주)충일건축사사무소</t>
        </is>
      </c>
      <c r="L11" s="7" t="inlineStr">
        <is>
          <t>(주)충일건축사사무소</t>
        </is>
      </c>
      <c r="M11" s="7" t="inlineStr"/>
      <c r="N11" s="7" t="inlineStr">
        <is>
          <t>신축</t>
        </is>
      </c>
      <c r="O11" s="7" t="inlineStr">
        <is>
          <t>인천광역시 부평구 장제로83번길 6 (부평동)</t>
        </is>
      </c>
    </row>
    <row r="12">
      <c r="A12" s="6" t="inlineStr">
        <is>
          <t>인천광역시</t>
        </is>
      </c>
      <c r="B12" s="6" t="inlineStr">
        <is>
          <t>서해구</t>
        </is>
      </c>
      <c r="C12" s="6" t="inlineStr">
        <is>
          <t>경서동 경서3구역 11블록 2로트 숙박시설 (***)</t>
        </is>
      </c>
      <c r="D12" s="6" t="inlineStr">
        <is>
          <t>2026-07-23</t>
        </is>
      </c>
      <c r="E12" s="6" t="n">
        <v>2</v>
      </c>
      <c r="F12" s="6" t="n">
        <v>1995</v>
      </c>
      <c r="G12" s="6">
        <f>IF('0.입력칸'!$B$3="","",ROUND(F12/'0.입력칸'!$B$3,0))</f>
        <v/>
      </c>
      <c r="H12" s="6">
        <f>IF(OR('0.입력칸'!$B$3="",'0.입력칸'!$B$5=""),"",ROUND(G12*'0.입력칸'!$B$5,0))</f>
        <v/>
      </c>
      <c r="I12" s="6" t="inlineStr">
        <is>
          <t>없음</t>
        </is>
      </c>
      <c r="J12" s="6" t="inlineStr">
        <is>
          <t>설계사 건축사무소 고강</t>
        </is>
      </c>
      <c r="K12" s="6" t="inlineStr">
        <is>
          <t>건축사무소 고강</t>
        </is>
      </c>
      <c r="L12" s="6" t="inlineStr"/>
      <c r="M12" s="6" t="inlineStr"/>
      <c r="N12" s="6" t="inlineStr">
        <is>
          <t>신축</t>
        </is>
      </c>
      <c r="O12" s="6" t="inlineStr">
        <is>
          <t>인천광역시 서해구 경서동 블록</t>
        </is>
      </c>
    </row>
    <row r="13">
      <c r="A13" s="7" t="inlineStr">
        <is>
          <t>인천광역시</t>
        </is>
      </c>
      <c r="B13" s="7" t="inlineStr">
        <is>
          <t>옹진군</t>
        </is>
      </c>
      <c r="C13" s="7" t="inlineStr">
        <is>
          <t>영흥면 내리 1212-4 숙박시설</t>
        </is>
      </c>
      <c r="D13" s="7" t="inlineStr">
        <is>
          <t>2022-07-22</t>
        </is>
      </c>
      <c r="E13" s="7" t="n">
        <v>50</v>
      </c>
      <c r="F13" s="7" t="n">
        <v>1991</v>
      </c>
      <c r="G13" s="7">
        <f>IF('0.입력칸'!$B$3="","",ROUND(F13/'0.입력칸'!$B$3,0))</f>
        <v/>
      </c>
      <c r="H13" s="7">
        <f>IF(OR('0.입력칸'!$B$3="",'0.입력칸'!$B$5=""),"",ROUND(G13*'0.입력칸'!$B$5,0))</f>
        <v/>
      </c>
      <c r="I13" s="7" t="inlineStr">
        <is>
          <t>있음</t>
        </is>
      </c>
      <c r="J13" s="7" t="inlineStr">
        <is>
          <t>시공사 엠에스종합건설(주)</t>
        </is>
      </c>
      <c r="K13" s="7" t="inlineStr">
        <is>
          <t>반달건축사사무소</t>
        </is>
      </c>
      <c r="L13" s="7" t="inlineStr">
        <is>
          <t>플랜B건축사사무소</t>
        </is>
      </c>
      <c r="M13" s="7" t="inlineStr"/>
      <c r="N13" s="7" t="inlineStr">
        <is>
          <t>신축</t>
        </is>
      </c>
      <c r="O13" s="7" t="inlineStr">
        <is>
          <t>인천광역시 옹진군 영흥면 영흥서로380번길 101-37</t>
        </is>
      </c>
    </row>
    <row r="14">
      <c r="A14" s="6" t="inlineStr">
        <is>
          <t>인천광역시</t>
        </is>
      </c>
      <c r="B14" s="6" t="inlineStr">
        <is>
          <t>중구</t>
        </is>
      </c>
      <c r="C14" s="6" t="inlineStr">
        <is>
          <t>인천광역시 중구 중산동 1960-10번지 오피스텔 및 생활숙박시설</t>
        </is>
      </c>
      <c r="D14" s="6" t="inlineStr">
        <is>
          <t>2026-01-12</t>
        </is>
      </c>
      <c r="E14" s="6" t="n">
        <v>8</v>
      </c>
      <c r="F14" s="6" t="n">
        <v>39880</v>
      </c>
      <c r="G14" s="6">
        <f>IF('0.입력칸'!$B$3="","",ROUND(F14/'0.입력칸'!$B$3,0))</f>
        <v/>
      </c>
      <c r="H14" s="6">
        <f>IF(OR('0.입력칸'!$B$3="",'0.입력칸'!$B$5=""),"",ROUND(G14*'0.입력칸'!$B$5,0))</f>
        <v/>
      </c>
      <c r="I14" s="6" t="inlineStr">
        <is>
          <t>없음</t>
        </is>
      </c>
      <c r="J14" s="6" t="inlineStr">
        <is>
          <t>설계사 (주)기안건축사사무소</t>
        </is>
      </c>
      <c r="K14" s="6" t="inlineStr">
        <is>
          <t>(주)기안건축사사무소</t>
        </is>
      </c>
      <c r="L14" s="6" t="inlineStr"/>
      <c r="M14" s="6" t="inlineStr">
        <is>
          <t>우리자산신탁(주)</t>
        </is>
      </c>
      <c r="N14" s="6" t="inlineStr">
        <is>
          <t>신축</t>
        </is>
      </c>
      <c r="O14" s="6" t="inlineStr">
        <is>
          <t>인천광역시 중구 중산동 1960-10번지</t>
        </is>
      </c>
    </row>
    <row r="15">
      <c r="A15" s="6" t="inlineStr">
        <is>
          <t>인천광역시</t>
        </is>
      </c>
      <c r="B15" s="6" t="inlineStr">
        <is>
          <t>중구</t>
        </is>
      </c>
      <c r="C15" s="6" t="inlineStr">
        <is>
          <t>인천광역시 중구 중산동 1960-9번지 오피스텔 및 생활숙박시설</t>
        </is>
      </c>
      <c r="D15" s="6" t="inlineStr">
        <is>
          <t>2026-01-12</t>
        </is>
      </c>
      <c r="E15" s="6" t="n">
        <v>8</v>
      </c>
      <c r="F15" s="6" t="n">
        <v>36635</v>
      </c>
      <c r="G15" s="6">
        <f>IF('0.입력칸'!$B$3="","",ROUND(F15/'0.입력칸'!$B$3,0))</f>
        <v/>
      </c>
      <c r="H15" s="6">
        <f>IF(OR('0.입력칸'!$B$3="",'0.입력칸'!$B$5=""),"",ROUND(G15*'0.입력칸'!$B$5,0))</f>
        <v/>
      </c>
      <c r="I15" s="6" t="inlineStr">
        <is>
          <t>없음</t>
        </is>
      </c>
      <c r="J15" s="6" t="inlineStr">
        <is>
          <t>설계사 (주)기안건축사사무소</t>
        </is>
      </c>
      <c r="K15" s="6" t="inlineStr">
        <is>
          <t>(주)기안건축사사무소</t>
        </is>
      </c>
      <c r="L15" s="6" t="inlineStr"/>
      <c r="M15" s="6" t="inlineStr">
        <is>
          <t>우리자산신탁(주)</t>
        </is>
      </c>
      <c r="N15" s="6" t="inlineStr">
        <is>
          <t>신축</t>
        </is>
      </c>
      <c r="O15" s="6" t="inlineStr">
        <is>
          <t>인천광역시 중구 중산동 1960-9번지</t>
        </is>
      </c>
    </row>
    <row r="16">
      <c r="A16" s="6" t="inlineStr">
        <is>
          <t>인천광역시</t>
        </is>
      </c>
      <c r="B16" s="6" t="inlineStr">
        <is>
          <t>중구</t>
        </is>
      </c>
      <c r="C16" s="6" t="inlineStr">
        <is>
          <t>인천광역시 중구 중산동 1960-8번지 오피스텔 및 생활숙박시설</t>
        </is>
      </c>
      <c r="D16" s="6" t="inlineStr">
        <is>
          <t>2026-01-12</t>
        </is>
      </c>
      <c r="E16" s="6" t="n">
        <v>8</v>
      </c>
      <c r="F16" s="6" t="n">
        <v>36582</v>
      </c>
      <c r="G16" s="6">
        <f>IF('0.입력칸'!$B$3="","",ROUND(F16/'0.입력칸'!$B$3,0))</f>
        <v/>
      </c>
      <c r="H16" s="6">
        <f>IF(OR('0.입력칸'!$B$3="",'0.입력칸'!$B$5=""),"",ROUND(G16*'0.입력칸'!$B$5,0))</f>
        <v/>
      </c>
      <c r="I16" s="6" t="inlineStr">
        <is>
          <t>없음</t>
        </is>
      </c>
      <c r="J16" s="6" t="inlineStr">
        <is>
          <t>설계사 (주)기안건축사사무소</t>
        </is>
      </c>
      <c r="K16" s="6" t="inlineStr">
        <is>
          <t>(주)기안건축사사무소</t>
        </is>
      </c>
      <c r="L16" s="6" t="inlineStr"/>
      <c r="M16" s="6" t="inlineStr">
        <is>
          <t>우리자산신탁(주)</t>
        </is>
      </c>
      <c r="N16" s="6" t="inlineStr">
        <is>
          <t>신축</t>
        </is>
      </c>
      <c r="O16" s="6" t="inlineStr">
        <is>
          <t>인천광역시 중구 중산동 1960-8번지</t>
        </is>
      </c>
    </row>
    <row r="17">
      <c r="A17" s="6" t="inlineStr">
        <is>
          <t>인천광역시</t>
        </is>
      </c>
      <c r="B17" s="6" t="inlineStr">
        <is>
          <t>중구</t>
        </is>
      </c>
      <c r="C17" s="6" t="inlineStr">
        <is>
          <t>덕교동 81-3 숙박시설</t>
        </is>
      </c>
      <c r="D17" s="6" t="inlineStr">
        <is>
          <t>2024-04-22</t>
        </is>
      </c>
      <c r="E17" s="6" t="n">
        <v>29</v>
      </c>
      <c r="F17" s="6" t="n">
        <v>2689</v>
      </c>
      <c r="G17" s="6">
        <f>IF('0.입력칸'!$B$3="","",ROUND(F17/'0.입력칸'!$B$3,0))</f>
        <v/>
      </c>
      <c r="H17" s="6">
        <f>IF(OR('0.입력칸'!$B$3="",'0.입력칸'!$B$5=""),"",ROUND(G17*'0.입력칸'!$B$5,0))</f>
        <v/>
      </c>
      <c r="I17" s="6" t="inlineStr">
        <is>
          <t>없음</t>
        </is>
      </c>
      <c r="J17" s="6" t="inlineStr">
        <is>
          <t>설계사 (주)충일건축사사무소</t>
        </is>
      </c>
      <c r="K17" s="6" t="inlineStr">
        <is>
          <t>(주)충일건축사사무소</t>
        </is>
      </c>
      <c r="L17" s="6" t="inlineStr"/>
      <c r="M17" s="6" t="inlineStr"/>
      <c r="N17" s="6" t="inlineStr">
        <is>
          <t>신축</t>
        </is>
      </c>
      <c r="O17" s="6" t="inlineStr">
        <is>
          <t>인천광역시 중구 덕교동 81-3번지</t>
        </is>
      </c>
    </row>
    <row r="18">
      <c r="A18" s="7" t="inlineStr">
        <is>
          <t>경기도</t>
        </is>
      </c>
      <c r="B18" s="7" t="inlineStr">
        <is>
          <t>가평군</t>
        </is>
      </c>
      <c r="C18" s="7" t="inlineStr">
        <is>
          <t>가평읍 복장리 66-6 숙박시설 (주식회사아아난티)</t>
        </is>
      </c>
      <c r="D18" s="7" t="inlineStr">
        <is>
          <t>2023-03-29</t>
        </is>
      </c>
      <c r="E18" s="7" t="n">
        <v>42</v>
      </c>
      <c r="F18" s="7" t="n">
        <v>30232</v>
      </c>
      <c r="G18" s="7">
        <f>IF('0.입력칸'!$B$3="","",ROUND(F18/'0.입력칸'!$B$3,0))</f>
        <v/>
      </c>
      <c r="H18" s="7">
        <f>IF(OR('0.입력칸'!$B$3="",'0.입력칸'!$B$5=""),"",ROUND(G18*'0.입력칸'!$B$5,0))</f>
        <v/>
      </c>
      <c r="I18" s="7" t="inlineStr">
        <is>
          <t>있음</t>
        </is>
      </c>
      <c r="J18" s="7" t="inlineStr">
        <is>
          <t>시공사 (주)아난티</t>
        </is>
      </c>
      <c r="K18" s="7" t="inlineStr">
        <is>
          <t>(주)에스케이엠건축사사무소</t>
        </is>
      </c>
      <c r="L18" s="7" t="inlineStr">
        <is>
          <t>(주)이앤건축사사무소</t>
        </is>
      </c>
      <c r="M18" s="7" t="inlineStr">
        <is>
          <t>(주)아난티</t>
        </is>
      </c>
      <c r="N18" s="7" t="inlineStr">
        <is>
          <t>신축</t>
        </is>
      </c>
      <c r="O18" s="7" t="inlineStr">
        <is>
          <t>경기도 가평군 가평읍 복장리 66-6번지</t>
        </is>
      </c>
    </row>
    <row r="19">
      <c r="A19" s="7" t="inlineStr">
        <is>
          <t>경기도</t>
        </is>
      </c>
      <c r="B19" s="7" t="inlineStr">
        <is>
          <t>가평군</t>
        </is>
      </c>
      <c r="C19" s="7" t="inlineStr">
        <is>
          <t>숙박시설-생활숙박시설(관광농원) - 농업회사법인(주)초원관…</t>
        </is>
      </c>
      <c r="D19" s="7" t="inlineStr">
        <is>
          <t>2023-06-23</t>
        </is>
      </c>
      <c r="E19" s="7" t="n">
        <v>39</v>
      </c>
      <c r="F19" s="7" t="n">
        <v>4235</v>
      </c>
      <c r="G19" s="7">
        <f>IF('0.입력칸'!$B$3="","",ROUND(F19/'0.입력칸'!$B$3,0))</f>
        <v/>
      </c>
      <c r="H19" s="7">
        <f>IF(OR('0.입력칸'!$B$3="",'0.입력칸'!$B$5=""),"",ROUND(G19*'0.입력칸'!$B$5,0))</f>
        <v/>
      </c>
      <c r="I19" s="7" t="inlineStr">
        <is>
          <t>있음</t>
        </is>
      </c>
      <c r="J19" s="7" t="inlineStr">
        <is>
          <t>시공사 (주)인정종합건설</t>
        </is>
      </c>
      <c r="K19" s="7" t="inlineStr">
        <is>
          <t>기준건축사사무소</t>
        </is>
      </c>
      <c r="L19" s="7" t="inlineStr"/>
      <c r="M19" s="7" t="inlineStr"/>
      <c r="N19" s="7" t="inlineStr">
        <is>
          <t>신축</t>
        </is>
      </c>
      <c r="O19" s="7" t="inlineStr">
        <is>
          <t>경기도 가평군 조종면 현등사길 55-430</t>
        </is>
      </c>
    </row>
    <row r="20">
      <c r="A20" s="7" t="inlineStr">
        <is>
          <t>경기도</t>
        </is>
      </c>
      <c r="B20" s="7" t="inlineStr">
        <is>
          <t>가평군</t>
        </is>
      </c>
      <c r="C20" s="7" t="inlineStr">
        <is>
          <t>설악면 위곡리 255 생활형숙박시설 테라스형 변경</t>
        </is>
      </c>
      <c r="D20" s="7" t="inlineStr">
        <is>
          <t>2025-02-14</t>
        </is>
      </c>
      <c r="E20" s="7" t="n">
        <v>19</v>
      </c>
      <c r="F20" s="7" t="n">
        <v>2343</v>
      </c>
      <c r="G20" s="7">
        <f>IF('0.입력칸'!$B$3="","",ROUND(F20/'0.입력칸'!$B$3,0))</f>
        <v/>
      </c>
      <c r="H20" s="7">
        <f>IF(OR('0.입력칸'!$B$3="",'0.입력칸'!$B$5=""),"",ROUND(G20*'0.입력칸'!$B$5,0))</f>
        <v/>
      </c>
      <c r="I20" s="7" t="inlineStr">
        <is>
          <t>있음</t>
        </is>
      </c>
      <c r="J20" s="7" t="inlineStr">
        <is>
          <t>시공사 (주)루영건설</t>
        </is>
      </c>
      <c r="K20" s="7" t="inlineStr"/>
      <c r="L20" s="7" t="inlineStr"/>
      <c r="M20" s="7" t="inlineStr"/>
      <c r="N20" s="7" t="inlineStr">
        <is>
          <t>신축</t>
        </is>
      </c>
      <c r="O20" s="7" t="inlineStr">
        <is>
          <t>경기도 가평군 설악면 위곡리 256번지</t>
        </is>
      </c>
    </row>
    <row r="21">
      <c r="A21" s="7" t="inlineStr">
        <is>
          <t>경기도</t>
        </is>
      </c>
      <c r="B21" s="7" t="inlineStr">
        <is>
          <t>가평군</t>
        </is>
      </c>
      <c r="C21" s="7" t="inlineStr">
        <is>
          <t>설악 설곡리 736-4 숙박시설 (***)</t>
        </is>
      </c>
      <c r="D21" s="7" t="inlineStr">
        <is>
          <t>2023-05-11</t>
        </is>
      </c>
      <c r="E21" s="7" t="n">
        <v>40</v>
      </c>
      <c r="F21" s="7" t="n">
        <v>2137</v>
      </c>
      <c r="G21" s="7">
        <f>IF('0.입력칸'!$B$3="","",ROUND(F21/'0.입력칸'!$B$3,0))</f>
        <v/>
      </c>
      <c r="H21" s="7">
        <f>IF(OR('0.입력칸'!$B$3="",'0.입력칸'!$B$5=""),"",ROUND(G21*'0.입력칸'!$B$5,0))</f>
        <v/>
      </c>
      <c r="I21" s="7" t="inlineStr">
        <is>
          <t>있음</t>
        </is>
      </c>
      <c r="J21" s="7" t="inlineStr">
        <is>
          <t>시공사 (주)청우개발종합건설</t>
        </is>
      </c>
      <c r="K21" s="7" t="inlineStr">
        <is>
          <t>건축사무소명성</t>
        </is>
      </c>
      <c r="L21" s="7" t="inlineStr"/>
      <c r="M21" s="7" t="inlineStr"/>
      <c r="N21" s="7" t="inlineStr">
        <is>
          <t>신축</t>
        </is>
      </c>
      <c r="O21" s="7" t="inlineStr">
        <is>
          <t>경기도 가평군 설악면 설곡리 736-4번지</t>
        </is>
      </c>
    </row>
    <row r="22">
      <c r="A22" s="6" t="inlineStr">
        <is>
          <t>경기도</t>
        </is>
      </c>
      <c r="B22" s="6" t="inlineStr">
        <is>
          <t>가평군</t>
        </is>
      </c>
      <c r="C22" s="6" t="inlineStr">
        <is>
          <t>상면 상동리 370000 숙박시설 (에이피엘시스템(***))</t>
        </is>
      </c>
      <c r="D22" s="6" t="inlineStr">
        <is>
          <t>2022-11-16</t>
        </is>
      </c>
      <c r="E22" s="6" t="n">
        <v>46</v>
      </c>
      <c r="F22" s="6" t="n">
        <v>1969</v>
      </c>
      <c r="G22" s="6">
        <f>IF('0.입력칸'!$B$3="","",ROUND(F22/'0.입력칸'!$B$3,0))</f>
        <v/>
      </c>
      <c r="H22" s="6">
        <f>IF(OR('0.입력칸'!$B$3="",'0.입력칸'!$B$5=""),"",ROUND(G22*'0.입력칸'!$B$5,0))</f>
        <v/>
      </c>
      <c r="I22" s="6" t="inlineStr">
        <is>
          <t>없음</t>
        </is>
      </c>
      <c r="J22" s="6" t="inlineStr">
        <is>
          <t>설계사 (주)삼우건축사사무소</t>
        </is>
      </c>
      <c r="K22" s="6" t="inlineStr">
        <is>
          <t>(주)삼우건축사사무소</t>
        </is>
      </c>
      <c r="L22" s="6" t="inlineStr">
        <is>
          <t>(주)예다인건축사사무소</t>
        </is>
      </c>
      <c r="M22" s="6" t="inlineStr">
        <is>
          <t>에이피엘시스템(주)</t>
        </is>
      </c>
      <c r="N22" s="6" t="inlineStr">
        <is>
          <t>신축</t>
        </is>
      </c>
      <c r="O22" s="6" t="inlineStr">
        <is>
          <t>경기도 가평군 상면 도야울길 88-33</t>
        </is>
      </c>
    </row>
    <row r="23">
      <c r="A23" s="6" t="inlineStr">
        <is>
          <t>경기도</t>
        </is>
      </c>
      <c r="B23" s="6" t="inlineStr">
        <is>
          <t>가평군</t>
        </is>
      </c>
      <c r="C23" s="6" t="inlineStr">
        <is>
          <t>상면 임초리 206 숙박시설 (***)</t>
        </is>
      </c>
      <c r="D23" s="6" t="inlineStr">
        <is>
          <t>2022-01-13</t>
        </is>
      </c>
      <c r="E23" s="6" t="n">
        <v>56</v>
      </c>
      <c r="F23" s="6" t="n">
        <v>1575</v>
      </c>
      <c r="G23" s="6">
        <f>IF('0.입력칸'!$B$3="","",ROUND(F23/'0.입력칸'!$B$3,0))</f>
        <v/>
      </c>
      <c r="H23" s="6">
        <f>IF(OR('0.입력칸'!$B$3="",'0.입력칸'!$B$5=""),"",ROUND(G23*'0.입력칸'!$B$5,0))</f>
        <v/>
      </c>
      <c r="I23" s="6" t="inlineStr">
        <is>
          <t>없음</t>
        </is>
      </c>
      <c r="J23" s="6" t="inlineStr">
        <is>
          <t>설계사 한성건축사사무소</t>
        </is>
      </c>
      <c r="K23" s="6" t="inlineStr">
        <is>
          <t>한성건축사사무소</t>
        </is>
      </c>
      <c r="L23" s="6" t="inlineStr">
        <is>
          <t>한성건축사사무소</t>
        </is>
      </c>
      <c r="M23" s="6" t="inlineStr"/>
      <c r="N23" s="6" t="inlineStr">
        <is>
          <t>신축</t>
        </is>
      </c>
      <c r="O23" s="6" t="inlineStr">
        <is>
          <t>경기도 가평군 상면 임초방안골로 119-100</t>
        </is>
      </c>
    </row>
    <row r="24">
      <c r="A24" s="6" t="inlineStr">
        <is>
          <t>경기도</t>
        </is>
      </c>
      <c r="B24" s="6" t="inlineStr">
        <is>
          <t>남양주시</t>
        </is>
      </c>
      <c r="C24" s="6" t="inlineStr">
        <is>
          <t>별내동 990 생활숙박시설 개발사업 (에스피남양주별내피에프…</t>
        </is>
      </c>
      <c r="D24" s="6" t="inlineStr">
        <is>
          <t>2027-11-13</t>
        </is>
      </c>
      <c r="E24" s="6" t="n">
        <v>-14</v>
      </c>
      <c r="F24" s="6" t="n">
        <v>99547</v>
      </c>
      <c r="G24" s="6">
        <f>IF('0.입력칸'!$B$3="","",ROUND(F24/'0.입력칸'!$B$3,0))</f>
        <v/>
      </c>
      <c r="H24" s="6">
        <f>IF(OR('0.입력칸'!$B$3="",'0.입력칸'!$B$5=""),"",ROUND(G24*'0.입력칸'!$B$5,0))</f>
        <v/>
      </c>
      <c r="I24" s="6" t="inlineStr">
        <is>
          <t>없음</t>
        </is>
      </c>
      <c r="J24" s="6" t="inlineStr">
        <is>
          <t>설계사 (주)정림건축종합건축사사무소</t>
        </is>
      </c>
      <c r="K24" s="6" t="inlineStr">
        <is>
          <t>(주)정림건축종합건축사사무소</t>
        </is>
      </c>
      <c r="L24" s="6" t="inlineStr"/>
      <c r="M24" s="6" t="inlineStr">
        <is>
          <t>에스피남양주별내피에프브이(주)</t>
        </is>
      </c>
      <c r="N24" s="6" t="inlineStr">
        <is>
          <t>신축</t>
        </is>
      </c>
      <c r="O24" s="6" t="inlineStr">
        <is>
          <t>경기도 남양주시 별내동 990번지</t>
        </is>
      </c>
    </row>
    <row r="25">
      <c r="A25" s="6" t="inlineStr">
        <is>
          <t>경기도</t>
        </is>
      </c>
      <c r="B25" s="6" t="inlineStr">
        <is>
          <t>시흥시</t>
        </is>
      </c>
      <c r="C25" s="6" t="inlineStr">
        <is>
          <t>시화 MTV 거북섬상업 4-1, 4-2블럭 생활숙박시설</t>
        </is>
      </c>
      <c r="D25" s="6" t="inlineStr">
        <is>
          <t>2025-05-24</t>
        </is>
      </c>
      <c r="E25" s="6" t="n">
        <v>16</v>
      </c>
      <c r="F25" s="6" t="n">
        <v>109940</v>
      </c>
      <c r="G25" s="6">
        <f>IF('0.입력칸'!$B$3="","",ROUND(F25/'0.입력칸'!$B$3,0))</f>
        <v/>
      </c>
      <c r="H25" s="6">
        <f>IF(OR('0.입력칸'!$B$3="",'0.입력칸'!$B$5=""),"",ROUND(G25*'0.입력칸'!$B$5,0))</f>
        <v/>
      </c>
      <c r="I25" s="6" t="inlineStr">
        <is>
          <t>없음</t>
        </is>
      </c>
      <c r="J25" s="6" t="inlineStr">
        <is>
          <t>설계사 (주)지에이건축사사무소</t>
        </is>
      </c>
      <c r="K25" s="6" t="inlineStr">
        <is>
          <t>(주)지에이건축사사무소</t>
        </is>
      </c>
      <c r="L25" s="6" t="inlineStr"/>
      <c r="M25" s="6" t="inlineStr">
        <is>
          <t>신한자산신탁(주)</t>
        </is>
      </c>
      <c r="N25" s="6" t="inlineStr">
        <is>
          <t>신축</t>
        </is>
      </c>
      <c r="O25" s="6" t="inlineStr">
        <is>
          <t>경기도 시흥시 거북섬로 113 (정왕동)</t>
        </is>
      </c>
    </row>
    <row r="26">
      <c r="A26" s="6" t="inlineStr">
        <is>
          <t>경기도</t>
        </is>
      </c>
      <c r="B26" s="6" t="inlineStr">
        <is>
          <t>시흥시</t>
        </is>
      </c>
      <c r="C26" s="6" t="inlineStr">
        <is>
          <t>정왕동 시화MT 거북섬 상업 1블록 숙박시설 (케이비부동산신…</t>
        </is>
      </c>
      <c r="D26" s="6" t="inlineStr">
        <is>
          <t>2024-12-20</t>
        </is>
      </c>
      <c r="E26" s="6" t="n">
        <v>21</v>
      </c>
      <c r="F26" s="6" t="n">
        <v>99409</v>
      </c>
      <c r="G26" s="6">
        <f>IF('0.입력칸'!$B$3="","",ROUND(F26/'0.입력칸'!$B$3,0))</f>
        <v/>
      </c>
      <c r="H26" s="6">
        <f>IF(OR('0.입력칸'!$B$3="",'0.입력칸'!$B$5=""),"",ROUND(G26*'0.입력칸'!$B$5,0))</f>
        <v/>
      </c>
      <c r="I26" s="6" t="inlineStr">
        <is>
          <t>없음</t>
        </is>
      </c>
      <c r="J26" s="6" t="inlineStr">
        <is>
          <t>설계사 (주)정림건축종합건축사사무소</t>
        </is>
      </c>
      <c r="K26" s="6" t="inlineStr">
        <is>
          <t>(주)정림건축종합건축사사무소</t>
        </is>
      </c>
      <c r="L26" s="6" t="inlineStr"/>
      <c r="M26" s="6" t="inlineStr">
        <is>
          <t>케이비부동산신탁(주)</t>
        </is>
      </c>
      <c r="N26" s="6" t="inlineStr">
        <is>
          <t>신축</t>
        </is>
      </c>
      <c r="O26" s="6" t="inlineStr">
        <is>
          <t>경기도 시흥시 정왕동 2723번지</t>
        </is>
      </c>
    </row>
    <row r="27">
      <c r="A27" s="7" t="inlineStr">
        <is>
          <t>경기도</t>
        </is>
      </c>
      <c r="B27" s="7" t="inlineStr">
        <is>
          <t>양평군</t>
        </is>
      </c>
      <c r="C27" s="7" t="inlineStr">
        <is>
          <t>용문면 마룡리 179-2 관광숙박시설</t>
        </is>
      </c>
      <c r="D27" s="7" t="inlineStr">
        <is>
          <t>2023-03-30</t>
        </is>
      </c>
      <c r="E27" s="7" t="n">
        <v>42</v>
      </c>
      <c r="F27" s="7" t="n">
        <v>3569</v>
      </c>
      <c r="G27" s="7">
        <f>IF('0.입력칸'!$B$3="","",ROUND(F27/'0.입력칸'!$B$3,0))</f>
        <v/>
      </c>
      <c r="H27" s="7">
        <f>IF(OR('0.입력칸'!$B$3="",'0.입력칸'!$B$5=""),"",ROUND(G27*'0.입력칸'!$B$5,0))</f>
        <v/>
      </c>
      <c r="I27" s="7" t="inlineStr">
        <is>
          <t>있음</t>
        </is>
      </c>
      <c r="J27" s="7" t="inlineStr">
        <is>
          <t>시공사 (주)태림건설</t>
        </is>
      </c>
      <c r="K27" s="7" t="inlineStr">
        <is>
          <t>(주)크리트건축사사무소</t>
        </is>
      </c>
      <c r="L27" s="7" t="inlineStr">
        <is>
          <t>(주)삼희건축사사무소</t>
        </is>
      </c>
      <c r="M27" s="7" t="inlineStr">
        <is>
          <t>포인트컨설팅(주)</t>
        </is>
      </c>
      <c r="N27" s="7" t="inlineStr">
        <is>
          <t>신축</t>
        </is>
      </c>
      <c r="O27" s="7" t="inlineStr">
        <is>
          <t>경기도 양평군 용문면 마룡리 179-2번지</t>
        </is>
      </c>
    </row>
    <row r="28">
      <c r="A28" s="7" t="inlineStr">
        <is>
          <t>경기도</t>
        </is>
      </c>
      <c r="B28" s="7" t="inlineStr">
        <is>
          <t>양평군</t>
        </is>
      </c>
      <c r="C28" s="7" t="inlineStr">
        <is>
          <t>옥천면 신복리 665-21 숙박시설 (주식회사에이치엔케이투)</t>
        </is>
      </c>
      <c r="D28" s="7" t="inlineStr">
        <is>
          <t>2024-05-20</t>
        </is>
      </c>
      <c r="E28" s="7" t="n">
        <v>28</v>
      </c>
      <c r="F28" s="7" t="n">
        <v>2146</v>
      </c>
      <c r="G28" s="7">
        <f>IF('0.입력칸'!$B$3="","",ROUND(F28/'0.입력칸'!$B$3,0))</f>
        <v/>
      </c>
      <c r="H28" s="7">
        <f>IF(OR('0.입력칸'!$B$3="",'0.입력칸'!$B$5=""),"",ROUND(G28*'0.입력칸'!$B$5,0))</f>
        <v/>
      </c>
      <c r="I28" s="7" t="inlineStr">
        <is>
          <t>있음</t>
        </is>
      </c>
      <c r="J28" s="7" t="inlineStr">
        <is>
          <t>시공사 (주)아일종합건설</t>
        </is>
      </c>
      <c r="K28" s="7" t="inlineStr">
        <is>
          <t>더나인건축사사무소(주)</t>
        </is>
      </c>
      <c r="L28" s="7" t="inlineStr">
        <is>
          <t>유에이도시건축사사무소</t>
        </is>
      </c>
      <c r="M28" s="7" t="inlineStr">
        <is>
          <t>(주)에이치엔케이투</t>
        </is>
      </c>
      <c r="N28" s="7" t="inlineStr">
        <is>
          <t>신축</t>
        </is>
      </c>
      <c r="O28" s="7" t="inlineStr">
        <is>
          <t>경기도 양평군 옥천면 신복리 665-21번지</t>
        </is>
      </c>
    </row>
    <row r="29">
      <c r="A29" s="7" t="inlineStr">
        <is>
          <t>경기도</t>
        </is>
      </c>
      <c r="B29" s="7" t="inlineStr">
        <is>
          <t>용인시</t>
        </is>
      </c>
      <c r="C29" s="7" t="inlineStr">
        <is>
          <t>이동읍 화산리 643-16 숙박시설 (***)</t>
        </is>
      </c>
      <c r="D29" s="7" t="inlineStr">
        <is>
          <t>2023-11-23</t>
        </is>
      </c>
      <c r="E29" s="7" t="n">
        <v>34</v>
      </c>
      <c r="F29" s="7" t="n">
        <v>3586</v>
      </c>
      <c r="G29" s="7">
        <f>IF('0.입력칸'!$B$3="","",ROUND(F29/'0.입력칸'!$B$3,0))</f>
        <v/>
      </c>
      <c r="H29" s="7">
        <f>IF(OR('0.입력칸'!$B$3="",'0.입력칸'!$B$5=""),"",ROUND(G29*'0.입력칸'!$B$5,0))</f>
        <v/>
      </c>
      <c r="I29" s="7" t="inlineStr">
        <is>
          <t>있음</t>
        </is>
      </c>
      <c r="J29" s="7" t="inlineStr">
        <is>
          <t>시공사 (주)이도이엔씨</t>
        </is>
      </c>
      <c r="K29" s="7" t="inlineStr">
        <is>
          <t>(주)혜림건축사사무소</t>
        </is>
      </c>
      <c r="L29" s="7" t="inlineStr">
        <is>
          <t>(주)혜림건축사사무소</t>
        </is>
      </c>
      <c r="M29" s="7" t="inlineStr"/>
      <c r="N29" s="7" t="inlineStr">
        <is>
          <t>신축</t>
        </is>
      </c>
      <c r="O29" s="7" t="inlineStr">
        <is>
          <t>경기도 용인시 처인구 이동읍 화산리 643-16번지</t>
        </is>
      </c>
    </row>
    <row r="30">
      <c r="A30" s="7" t="inlineStr">
        <is>
          <t>경기도</t>
        </is>
      </c>
      <c r="B30" s="7" t="inlineStr">
        <is>
          <t>용인시</t>
        </is>
      </c>
      <c r="C30" s="7" t="inlineStr">
        <is>
          <t>화산리 숙박시설 신축공사</t>
        </is>
      </c>
      <c r="D30" s="7" t="inlineStr">
        <is>
          <t>2023-07-10</t>
        </is>
      </c>
      <c r="E30" s="7" t="n">
        <v>38</v>
      </c>
      <c r="F30" s="7" t="n">
        <v>1510</v>
      </c>
      <c r="G30" s="7">
        <f>IF('0.입력칸'!$B$3="","",ROUND(F30/'0.입력칸'!$B$3,0))</f>
        <v/>
      </c>
      <c r="H30" s="7">
        <f>IF(OR('0.입력칸'!$B$3="",'0.입력칸'!$B$5=""),"",ROUND(G30*'0.입력칸'!$B$5,0))</f>
        <v/>
      </c>
      <c r="I30" s="7" t="inlineStr">
        <is>
          <t>있음</t>
        </is>
      </c>
      <c r="J30" s="7" t="inlineStr">
        <is>
          <t>시공사 (주)아이엠종합건설</t>
        </is>
      </c>
      <c r="K30" s="7" t="inlineStr">
        <is>
          <t>정음건축사사무소</t>
        </is>
      </c>
      <c r="L30" s="7" t="inlineStr">
        <is>
          <t>정음건축사사무소</t>
        </is>
      </c>
      <c r="M30" s="7" t="inlineStr"/>
      <c r="N30" s="7" t="inlineStr">
        <is>
          <t>신축</t>
        </is>
      </c>
      <c r="O30" s="7" t="inlineStr">
        <is>
          <t>경기도 용인시 처인구 이동읍 화산리 670-1번지</t>
        </is>
      </c>
    </row>
    <row r="31">
      <c r="A31" s="7" t="inlineStr">
        <is>
          <t>경기도</t>
        </is>
      </c>
      <c r="B31" s="7" t="inlineStr">
        <is>
          <t>파주시</t>
        </is>
      </c>
      <c r="C31" s="7" t="inlineStr">
        <is>
          <t>대동리 관광숙박시설</t>
        </is>
      </c>
      <c r="D31" s="7" t="inlineStr">
        <is>
          <t>2023-09-08</t>
        </is>
      </c>
      <c r="E31" s="7" t="n">
        <v>36</v>
      </c>
      <c r="F31" s="7" t="n">
        <v>4668</v>
      </c>
      <c r="G31" s="7">
        <f>IF('0.입력칸'!$B$3="","",ROUND(F31/'0.입력칸'!$B$3,0))</f>
        <v/>
      </c>
      <c r="H31" s="7">
        <f>IF(OR('0.입력칸'!$B$3="",'0.입력칸'!$B$5=""),"",ROUND(G31*'0.입력칸'!$B$5,0))</f>
        <v/>
      </c>
      <c r="I31" s="7" t="inlineStr">
        <is>
          <t>있음</t>
        </is>
      </c>
      <c r="J31" s="7" t="inlineStr">
        <is>
          <t>시공사 (주)어반씨앤디</t>
        </is>
      </c>
      <c r="K31" s="7" t="inlineStr">
        <is>
          <t>건축사사무소예담</t>
        </is>
      </c>
      <c r="L31" s="7" t="inlineStr">
        <is>
          <t>건축사사무소예담</t>
        </is>
      </c>
      <c r="M31" s="7" t="inlineStr"/>
      <c r="N31" s="7" t="inlineStr">
        <is>
          <t>신축</t>
        </is>
      </c>
      <c r="O31" s="7" t="inlineStr">
        <is>
          <t>경기도 파주시 탄현면 새오리로 167-19</t>
        </is>
      </c>
    </row>
    <row r="32">
      <c r="A32" s="7" t="inlineStr">
        <is>
          <t>경기도</t>
        </is>
      </c>
      <c r="B32" s="7" t="inlineStr">
        <is>
          <t>평택시</t>
        </is>
      </c>
      <c r="C32" s="7" t="inlineStr">
        <is>
          <t>평택시 팽성읍 안정리 169-19 생활숙박시설</t>
        </is>
      </c>
      <c r="D32" s="7" t="inlineStr">
        <is>
          <t>2024-08-26</t>
        </is>
      </c>
      <c r="E32" s="7" t="n">
        <v>25</v>
      </c>
      <c r="F32" s="7" t="n">
        <v>5834</v>
      </c>
      <c r="G32" s="7">
        <f>IF('0.입력칸'!$B$3="","",ROUND(F32/'0.입력칸'!$B$3,0))</f>
        <v/>
      </c>
      <c r="H32" s="7">
        <f>IF(OR('0.입력칸'!$B$3="",'0.입력칸'!$B$5=""),"",ROUND(G32*'0.입력칸'!$B$5,0))</f>
        <v/>
      </c>
      <c r="I32" s="7" t="inlineStr">
        <is>
          <t>있음</t>
        </is>
      </c>
      <c r="J32" s="7" t="inlineStr">
        <is>
          <t>시공사 (주)젠건축사사무소</t>
        </is>
      </c>
      <c r="K32" s="7" t="inlineStr">
        <is>
          <t>빌더스플랜(주)</t>
        </is>
      </c>
      <c r="L32" s="7" t="inlineStr"/>
      <c r="M32" s="7" t="inlineStr"/>
      <c r="N32" s="7" t="inlineStr">
        <is>
          <t>신축</t>
        </is>
      </c>
      <c r="O32" s="7" t="inlineStr">
        <is>
          <t>경기도 평택시 팽성읍 안정리 169-19번지</t>
        </is>
      </c>
    </row>
    <row r="33">
      <c r="A33" s="7" t="inlineStr">
        <is>
          <t>경기도</t>
        </is>
      </c>
      <c r="B33" s="7" t="inlineStr">
        <is>
          <t>평택시</t>
        </is>
      </c>
      <c r="C33" s="7" t="inlineStr">
        <is>
          <t>신장동 208-22 일반숙박시설 및 근생시설</t>
        </is>
      </c>
      <c r="D33" s="7" t="inlineStr">
        <is>
          <t>2021-11-19</t>
        </is>
      </c>
      <c r="E33" s="7" t="n">
        <v>58</v>
      </c>
      <c r="F33" s="7" t="n">
        <v>4962</v>
      </c>
      <c r="G33" s="7">
        <f>IF('0.입력칸'!$B$3="","",ROUND(F33/'0.입력칸'!$B$3,0))</f>
        <v/>
      </c>
      <c r="H33" s="7">
        <f>IF(OR('0.입력칸'!$B$3="",'0.입력칸'!$B$5=""),"",ROUND(G33*'0.입력칸'!$B$5,0))</f>
        <v/>
      </c>
      <c r="I33" s="7" t="inlineStr">
        <is>
          <t>있음</t>
        </is>
      </c>
      <c r="J33" s="7" t="inlineStr">
        <is>
          <t>시공사 (주)지오종합건설</t>
        </is>
      </c>
      <c r="K33" s="7" t="inlineStr">
        <is>
          <t>(주)정헌섭건축사사무소</t>
        </is>
      </c>
      <c r="L33" s="7" t="inlineStr">
        <is>
          <t>(주)정헌섭건축사사무소</t>
        </is>
      </c>
      <c r="M33" s="7" t="inlineStr"/>
      <c r="N33" s="7" t="inlineStr">
        <is>
          <t>신축</t>
        </is>
      </c>
      <c r="O33" s="7" t="inlineStr">
        <is>
          <t>경기도 평택시 신장동 208-22번지</t>
        </is>
      </c>
    </row>
    <row r="34">
      <c r="A34" s="6" t="inlineStr">
        <is>
          <t>경기도</t>
        </is>
      </c>
      <c r="B34" s="6" t="inlineStr">
        <is>
          <t>평택시</t>
        </is>
      </c>
      <c r="C34" s="6" t="inlineStr">
        <is>
          <t>고덕면 동청리 34-4 숙박시설</t>
        </is>
      </c>
      <c r="D34" s="6" t="inlineStr">
        <is>
          <t>2021-11-09</t>
        </is>
      </c>
      <c r="E34" s="6" t="n">
        <v>58</v>
      </c>
      <c r="F34" s="6" t="n">
        <v>1973</v>
      </c>
      <c r="G34" s="6">
        <f>IF('0.입력칸'!$B$3="","",ROUND(F34/'0.입력칸'!$B$3,0))</f>
        <v/>
      </c>
      <c r="H34" s="6">
        <f>IF(OR('0.입력칸'!$B$3="",'0.입력칸'!$B$5=""),"",ROUND(G34*'0.입력칸'!$B$5,0))</f>
        <v/>
      </c>
      <c r="I34" s="6" t="inlineStr">
        <is>
          <t>없음</t>
        </is>
      </c>
      <c r="J34" s="6" t="inlineStr">
        <is>
          <t>설계사 아키원건축사사무소</t>
        </is>
      </c>
      <c r="K34" s="6" t="inlineStr">
        <is>
          <t>아키원건축사사무소</t>
        </is>
      </c>
      <c r="L34" s="6" t="inlineStr"/>
      <c r="M34" s="6" t="inlineStr"/>
      <c r="N34" s="6" t="inlineStr">
        <is>
          <t>증축</t>
        </is>
      </c>
      <c r="O34" s="6" t="inlineStr">
        <is>
          <t>경기도 평택시 고덕면 청원로 661-15</t>
        </is>
      </c>
    </row>
    <row r="35">
      <c r="A35" s="6" t="inlineStr">
        <is>
          <t>경기도</t>
        </is>
      </c>
      <c r="B35" s="6" t="inlineStr">
        <is>
          <t>평택시</t>
        </is>
      </c>
      <c r="C35" s="6" t="inlineStr">
        <is>
          <t>지제동 302-20 숙박시설 (***)</t>
        </is>
      </c>
      <c r="D35" s="6" t="inlineStr">
        <is>
          <t>2024-01-08</t>
        </is>
      </c>
      <c r="E35" s="6" t="n">
        <v>32</v>
      </c>
      <c r="F35" s="6" t="n">
        <v>1569</v>
      </c>
      <c r="G35" s="6">
        <f>IF('0.입력칸'!$B$3="","",ROUND(F35/'0.입력칸'!$B$3,0))</f>
        <v/>
      </c>
      <c r="H35" s="6">
        <f>IF(OR('0.입력칸'!$B$3="",'0.입력칸'!$B$5=""),"",ROUND(G35*'0.입력칸'!$B$5,0))</f>
        <v/>
      </c>
      <c r="I35" s="6" t="inlineStr">
        <is>
          <t>없음</t>
        </is>
      </c>
      <c r="J35" s="6" t="inlineStr">
        <is>
          <t>설계사 (주)정석건축사사무소</t>
        </is>
      </c>
      <c r="K35" s="6" t="inlineStr">
        <is>
          <t>(주)정석건축사사무소</t>
        </is>
      </c>
      <c r="L35" s="6" t="inlineStr"/>
      <c r="M35" s="6" t="inlineStr"/>
      <c r="N35" s="6" t="inlineStr">
        <is>
          <t>신축</t>
        </is>
      </c>
      <c r="O35" s="6" t="inlineStr">
        <is>
          <t>경기도 평택시 남북대로 233-25 (지제동)</t>
        </is>
      </c>
    </row>
    <row r="36">
      <c r="A36" s="6" t="inlineStr">
        <is>
          <t>경기도</t>
        </is>
      </c>
      <c r="B36" s="6" t="inlineStr">
        <is>
          <t>포천시</t>
        </is>
      </c>
      <c r="C36" s="6" t="inlineStr">
        <is>
          <t>영북면 산정리 460 숙박시설-2부지 (주식회사리얼투게더)</t>
        </is>
      </c>
      <c r="D36" s="6" t="inlineStr">
        <is>
          <t>2024-06-30</t>
        </is>
      </c>
      <c r="E36" s="6" t="n">
        <v>27</v>
      </c>
      <c r="F36" s="6" t="n">
        <v>1676</v>
      </c>
      <c r="G36" s="6">
        <f>IF('0.입력칸'!$B$3="","",ROUND(F36/'0.입력칸'!$B$3,0))</f>
        <v/>
      </c>
      <c r="H36" s="6">
        <f>IF(OR('0.입력칸'!$B$3="",'0.입력칸'!$B$5=""),"",ROUND(G36*'0.입력칸'!$B$5,0))</f>
        <v/>
      </c>
      <c r="I36" s="6" t="inlineStr">
        <is>
          <t>없음</t>
        </is>
      </c>
      <c r="J36" s="6" t="inlineStr">
        <is>
          <t>건축주 (주)리얼투게더</t>
        </is>
      </c>
      <c r="K36" s="6" t="inlineStr"/>
      <c r="L36" s="6" t="inlineStr"/>
      <c r="M36" s="6" t="inlineStr">
        <is>
          <t>(주)리얼투게더</t>
        </is>
      </c>
      <c r="N36" s="6" t="inlineStr">
        <is>
          <t>신축</t>
        </is>
      </c>
      <c r="O36" s="6" t="inlineStr">
        <is>
          <t>경기도 포천시 영북면 산정리 460번지</t>
        </is>
      </c>
    </row>
    <row r="37">
      <c r="A37" s="6" t="inlineStr">
        <is>
          <t>경기도</t>
        </is>
      </c>
      <c r="B37" s="6" t="inlineStr">
        <is>
          <t>화성시</t>
        </is>
      </c>
      <c r="C37" s="6" t="inlineStr">
        <is>
          <t>화성병점 복합타운 8BL 생활숙박시설</t>
        </is>
      </c>
      <c r="D37" s="6" t="inlineStr">
        <is>
          <t>2024-11-29</t>
        </is>
      </c>
      <c r="E37" s="6" t="n">
        <v>22</v>
      </c>
      <c r="F37" s="6" t="n">
        <v>40550</v>
      </c>
      <c r="G37" s="6">
        <f>IF('0.입력칸'!$B$3="","",ROUND(F37/'0.입력칸'!$B$3,0))</f>
        <v/>
      </c>
      <c r="H37" s="6">
        <f>IF(OR('0.입력칸'!$B$3="",'0.입력칸'!$B$5=""),"",ROUND(G37*'0.입력칸'!$B$5,0))</f>
        <v/>
      </c>
      <c r="I37" s="6" t="inlineStr">
        <is>
          <t>없음</t>
        </is>
      </c>
      <c r="J37" s="6" t="inlineStr">
        <is>
          <t>설계사 (주)종합건축사사무소건원</t>
        </is>
      </c>
      <c r="K37" s="6" t="inlineStr">
        <is>
          <t>(주)종합건축사사무소건원</t>
        </is>
      </c>
      <c r="L37" s="6" t="inlineStr"/>
      <c r="M37" s="6" t="inlineStr">
        <is>
          <t>(주)원희캐슬병점</t>
        </is>
      </c>
      <c r="N37" s="6" t="inlineStr">
        <is>
          <t>신축</t>
        </is>
      </c>
      <c r="O37" s="6" t="inlineStr">
        <is>
          <t>경기도 화성시 진안동 943-3번지</t>
        </is>
      </c>
    </row>
    <row r="38">
      <c r="A38" s="6" t="inlineStr">
        <is>
          <t>경기도</t>
        </is>
      </c>
      <c r="B38" s="6" t="inlineStr">
        <is>
          <t>화성시</t>
        </is>
      </c>
      <c r="C38" s="6" t="inlineStr">
        <is>
          <t>화성 병점복합타운 숙박시설</t>
        </is>
      </c>
      <c r="D38" s="6" t="inlineStr">
        <is>
          <t>2024-12-01</t>
        </is>
      </c>
      <c r="E38" s="6" t="n">
        <v>22</v>
      </c>
      <c r="F38" s="6" t="n">
        <v>29977</v>
      </c>
      <c r="G38" s="6">
        <f>IF('0.입력칸'!$B$3="","",ROUND(F38/'0.입력칸'!$B$3,0))</f>
        <v/>
      </c>
      <c r="H38" s="6">
        <f>IF(OR('0.입력칸'!$B$3="",'0.입력칸'!$B$5=""),"",ROUND(G38*'0.입력칸'!$B$5,0))</f>
        <v/>
      </c>
      <c r="I38" s="6" t="inlineStr">
        <is>
          <t>없음</t>
        </is>
      </c>
      <c r="J38" s="6" t="inlineStr">
        <is>
          <t>설계사 (주)종합건축사사무소건원</t>
        </is>
      </c>
      <c r="K38" s="6" t="inlineStr">
        <is>
          <t>(주)종합건축사사무소건원</t>
        </is>
      </c>
      <c r="L38" s="6" t="inlineStr"/>
      <c r="M38" s="6" t="inlineStr">
        <is>
          <t>(주)원희캐슬병점</t>
        </is>
      </c>
      <c r="N38" s="6" t="inlineStr">
        <is>
          <t>신축</t>
        </is>
      </c>
      <c r="O38" s="6" t="inlineStr">
        <is>
          <t>경기도 화성시 진안동 944-1번지</t>
        </is>
      </c>
    </row>
    <row r="39">
      <c r="A39" s="6" t="inlineStr">
        <is>
          <t>경기도</t>
        </is>
      </c>
      <c r="B39" s="6" t="inlineStr">
        <is>
          <t>화성시</t>
        </is>
      </c>
      <c r="C39" s="6" t="inlineStr">
        <is>
          <t>제부리 숙박시설</t>
        </is>
      </c>
      <c r="D39" s="6" t="inlineStr">
        <is>
          <t>2026-12-24</t>
        </is>
      </c>
      <c r="E39" s="6" t="n">
        <v>-3</v>
      </c>
      <c r="F39" s="6" t="n">
        <v>2772</v>
      </c>
      <c r="G39" s="6">
        <f>IF('0.입력칸'!$B$3="","",ROUND(F39/'0.입력칸'!$B$3,0))</f>
        <v/>
      </c>
      <c r="H39" s="6">
        <f>IF(OR('0.입력칸'!$B$3="",'0.입력칸'!$B$5=""),"",ROUND(G39*'0.입력칸'!$B$5,0))</f>
        <v/>
      </c>
      <c r="I39" s="6" t="inlineStr">
        <is>
          <t>없음</t>
        </is>
      </c>
      <c r="J39" s="6" t="inlineStr">
        <is>
          <t>설계사 (주)스페셜파트너건축사사무소</t>
        </is>
      </c>
      <c r="K39" s="6" t="inlineStr">
        <is>
          <t>(주)스페셜파트너건축사사무소</t>
        </is>
      </c>
      <c r="L39" s="6" t="inlineStr"/>
      <c r="M39" s="6" t="inlineStr">
        <is>
          <t>이레레저개발(주)</t>
        </is>
      </c>
      <c r="N39" s="6" t="inlineStr">
        <is>
          <t>신축</t>
        </is>
      </c>
      <c r="O39" s="6" t="inlineStr">
        <is>
          <t>경기도 화성시 서신면 해안길 272</t>
        </is>
      </c>
    </row>
    <row r="40">
      <c r="A40" s="6" t="inlineStr">
        <is>
          <t>강원특별자치도</t>
        </is>
      </c>
      <c r="B40" s="6" t="inlineStr">
        <is>
          <t>강릉시</t>
        </is>
      </c>
      <c r="C40" s="6" t="inlineStr">
        <is>
          <t>안현동 201-16 관광숙박시설(휴양콘도미니엄)</t>
        </is>
      </c>
      <c r="D40" s="6" t="inlineStr">
        <is>
          <t>2025-12-30</t>
        </is>
      </c>
      <c r="E40" s="6" t="n">
        <v>9</v>
      </c>
      <c r="F40" s="6" t="n">
        <v>34622</v>
      </c>
      <c r="G40" s="6">
        <f>IF('0.입력칸'!$B$3="","",ROUND(F40/'0.입력칸'!$B$3,0))</f>
        <v/>
      </c>
      <c r="H40" s="6">
        <f>IF(OR('0.입력칸'!$B$3="",'0.입력칸'!$B$5=""),"",ROUND(G40*'0.입력칸'!$B$5,0))</f>
        <v/>
      </c>
      <c r="I40" s="6" t="inlineStr">
        <is>
          <t>없음</t>
        </is>
      </c>
      <c r="J40" s="6" t="inlineStr">
        <is>
          <t>설계사 (주)에스엔비건축사사무소</t>
        </is>
      </c>
      <c r="K40" s="6" t="inlineStr">
        <is>
          <t>(주)에스엔비건축사사무소</t>
        </is>
      </c>
      <c r="L40" s="6" t="inlineStr"/>
      <c r="M40" s="6" t="inlineStr">
        <is>
          <t>케이비부동산신탁(주)</t>
        </is>
      </c>
      <c r="N40" s="6" t="inlineStr">
        <is>
          <t>신축</t>
        </is>
      </c>
      <c r="O40" s="6" t="inlineStr">
        <is>
          <t>강원특별자치도 강릉시 안현동 201-16번지</t>
        </is>
      </c>
    </row>
    <row r="41">
      <c r="A41" s="7" t="inlineStr">
        <is>
          <t>강원특별자치도</t>
        </is>
      </c>
      <c r="B41" s="7" t="inlineStr">
        <is>
          <t>강릉시</t>
        </is>
      </c>
      <c r="C41" s="7" t="inlineStr">
        <is>
          <t>주문진읍 교항리 171-7 숙박시설</t>
        </is>
      </c>
      <c r="D41" s="7" t="inlineStr">
        <is>
          <t>2022-04-12</t>
        </is>
      </c>
      <c r="E41" s="7" t="n">
        <v>53</v>
      </c>
      <c r="F41" s="7" t="n">
        <v>14611</v>
      </c>
      <c r="G41" s="7">
        <f>IF('0.입력칸'!$B$3="","",ROUND(F41/'0.입력칸'!$B$3,0))</f>
        <v/>
      </c>
      <c r="H41" s="7">
        <f>IF(OR('0.입력칸'!$B$3="",'0.입력칸'!$B$5=""),"",ROUND(G41*'0.입력칸'!$B$5,0))</f>
        <v/>
      </c>
      <c r="I41" s="7" t="inlineStr">
        <is>
          <t>있음</t>
        </is>
      </c>
      <c r="J41" s="7" t="inlineStr">
        <is>
          <t>시공사 신화건설(주)</t>
        </is>
      </c>
      <c r="K41" s="7" t="inlineStr">
        <is>
          <t>(주)가온아키건축사사무소</t>
        </is>
      </c>
      <c r="L41" s="7" t="inlineStr">
        <is>
          <t>(주)건축사사무소건일종합기술</t>
        </is>
      </c>
      <c r="M41" s="7" t="inlineStr"/>
      <c r="N41" s="7" t="inlineStr">
        <is>
          <t>신축</t>
        </is>
      </c>
      <c r="O41" s="7" t="inlineStr">
        <is>
          <t>강원특별자치도 강릉시 주문진읍 시장길 9</t>
        </is>
      </c>
    </row>
    <row r="42">
      <c r="A42" s="7" t="inlineStr">
        <is>
          <t>강원특별자치도</t>
        </is>
      </c>
      <c r="B42" s="7" t="inlineStr">
        <is>
          <t>고성군</t>
        </is>
      </c>
      <c r="C42" s="7" t="inlineStr">
        <is>
          <t>토성면 성천리 6-2 숙박시설</t>
        </is>
      </c>
      <c r="D42" s="7" t="inlineStr">
        <is>
          <t>2022-12-21</t>
        </is>
      </c>
      <c r="E42" s="7" t="n">
        <v>45</v>
      </c>
      <c r="F42" s="7" t="n">
        <v>14478</v>
      </c>
      <c r="G42" s="7">
        <f>IF('0.입력칸'!$B$3="","",ROUND(F42/'0.입력칸'!$B$3,0))</f>
        <v/>
      </c>
      <c r="H42" s="7">
        <f>IF(OR('0.입력칸'!$B$3="",'0.입력칸'!$B$5=""),"",ROUND(G42*'0.입력칸'!$B$5,0))</f>
        <v/>
      </c>
      <c r="I42" s="7" t="inlineStr">
        <is>
          <t>있음</t>
        </is>
      </c>
      <c r="J42" s="7" t="inlineStr">
        <is>
          <t>시공사 흥익건설(주)</t>
        </is>
      </c>
      <c r="K42" s="7" t="inlineStr">
        <is>
          <t>(주)삼희건축사사무소</t>
        </is>
      </c>
      <c r="L42" s="7" t="inlineStr">
        <is>
          <t>(주)삼솔건축사사무소</t>
        </is>
      </c>
      <c r="M42" s="7" t="inlineStr"/>
      <c r="N42" s="7" t="inlineStr">
        <is>
          <t>신축</t>
        </is>
      </c>
      <c r="O42" s="7" t="inlineStr">
        <is>
          <t>강원특별자치도 고성군 토성면 성천리 6-2번지</t>
        </is>
      </c>
    </row>
    <row r="43">
      <c r="A43" s="6" t="inlineStr">
        <is>
          <t>강원특별자치도</t>
        </is>
      </c>
      <c r="B43" s="6" t="inlineStr">
        <is>
          <t>고성군</t>
        </is>
      </c>
      <c r="C43" s="6" t="inlineStr">
        <is>
          <t>죽왕면 삼포리 315 외 2필지 관광숙박시설</t>
        </is>
      </c>
      <c r="D43" s="6" t="inlineStr">
        <is>
          <t>2025-07-25</t>
        </is>
      </c>
      <c r="E43" s="6" t="n">
        <v>14</v>
      </c>
      <c r="F43" s="6" t="n">
        <v>12591</v>
      </c>
      <c r="G43" s="6">
        <f>IF('0.입력칸'!$B$3="","",ROUND(F43/'0.입력칸'!$B$3,0))</f>
        <v/>
      </c>
      <c r="H43" s="6">
        <f>IF(OR('0.입력칸'!$B$3="",'0.입력칸'!$B$5=""),"",ROUND(G43*'0.입력칸'!$B$5,0))</f>
        <v/>
      </c>
      <c r="I43" s="6" t="inlineStr">
        <is>
          <t>없음</t>
        </is>
      </c>
      <c r="J43" s="6" t="inlineStr">
        <is>
          <t>설계사 (주)에스오엠이건축사사무소</t>
        </is>
      </c>
      <c r="K43" s="6" t="inlineStr">
        <is>
          <t>(주)에스오엠이건축사사무소</t>
        </is>
      </c>
      <c r="L43" s="6" t="inlineStr"/>
      <c r="M43" s="6" t="inlineStr">
        <is>
          <t>오션개발(주)</t>
        </is>
      </c>
      <c r="N43" s="6" t="inlineStr">
        <is>
          <t>신축</t>
        </is>
      </c>
      <c r="O43" s="6" t="inlineStr">
        <is>
          <t>강원특별자치도 고성군 죽왕면 봉수대길 16</t>
        </is>
      </c>
    </row>
    <row r="44">
      <c r="A44" s="6" t="inlineStr">
        <is>
          <t>강원특별자치도</t>
        </is>
      </c>
      <c r="B44" s="6" t="inlineStr">
        <is>
          <t>고성군</t>
        </is>
      </c>
      <c r="C44" s="6" t="inlineStr">
        <is>
          <t>토성면 아야진리 247-5 숙박시설 ((주)에스비산업개발)</t>
        </is>
      </c>
      <c r="D44" s="6" t="inlineStr">
        <is>
          <t>2025-04-06</t>
        </is>
      </c>
      <c r="E44" s="6" t="n">
        <v>17</v>
      </c>
      <c r="F44" s="6" t="n">
        <v>2088</v>
      </c>
      <c r="G44" s="6">
        <f>IF('0.입력칸'!$B$3="","",ROUND(F44/'0.입력칸'!$B$3,0))</f>
        <v/>
      </c>
      <c r="H44" s="6">
        <f>IF(OR('0.입력칸'!$B$3="",'0.입력칸'!$B$5=""),"",ROUND(G44*'0.입력칸'!$B$5,0))</f>
        <v/>
      </c>
      <c r="I44" s="6" t="inlineStr">
        <is>
          <t>없음</t>
        </is>
      </c>
      <c r="J44" s="6" t="inlineStr">
        <is>
          <t>설계사 (주)건축사사무소수</t>
        </is>
      </c>
      <c r="K44" s="6" t="inlineStr">
        <is>
          <t>(주)건축사사무소수</t>
        </is>
      </c>
      <c r="L44" s="6" t="inlineStr"/>
      <c r="M44" s="6" t="inlineStr">
        <is>
          <t>(주)에스비산업개발</t>
        </is>
      </c>
      <c r="N44" s="6" t="inlineStr">
        <is>
          <t>신축</t>
        </is>
      </c>
      <c r="O44" s="6" t="inlineStr">
        <is>
          <t>강원특별자치도 고성군 토성면 아야진리 247-5번지</t>
        </is>
      </c>
    </row>
    <row r="45">
      <c r="A45" s="6" t="inlineStr">
        <is>
          <t>강원특별자치도</t>
        </is>
      </c>
      <c r="B45" s="6" t="inlineStr">
        <is>
          <t>속초시</t>
        </is>
      </c>
      <c r="C45" s="6" t="inlineStr">
        <is>
          <t>조양동 1558-3 생활숙박시설</t>
        </is>
      </c>
      <c r="D45" s="6" t="inlineStr">
        <is>
          <t>2026-09-14</t>
        </is>
      </c>
      <c r="E45" s="6" t="n">
        <v>0</v>
      </c>
      <c r="F45" s="6" t="n">
        <v>14868</v>
      </c>
      <c r="G45" s="6">
        <f>IF('0.입력칸'!$B$3="","",ROUND(F45/'0.입력칸'!$B$3,0))</f>
        <v/>
      </c>
      <c r="H45" s="6">
        <f>IF(OR('0.입력칸'!$B$3="",'0.입력칸'!$B$5=""),"",ROUND(G45*'0.입력칸'!$B$5,0))</f>
        <v/>
      </c>
      <c r="I45" s="6" t="inlineStr">
        <is>
          <t>없음</t>
        </is>
      </c>
      <c r="J45" s="6" t="inlineStr">
        <is>
          <t>설계사 (주)파인드건축사사무소</t>
        </is>
      </c>
      <c r="K45" s="6" t="inlineStr">
        <is>
          <t>(주)파인드건축사사무소</t>
        </is>
      </c>
      <c r="L45" s="6" t="inlineStr"/>
      <c r="M45" s="6" t="inlineStr"/>
      <c r="N45" s="6" t="inlineStr">
        <is>
          <t>신축</t>
        </is>
      </c>
      <c r="O45" s="6" t="inlineStr">
        <is>
          <t>강원특별자치도 속초시 조양동 1558-3번지</t>
        </is>
      </c>
    </row>
    <row r="46">
      <c r="A46" s="6" t="inlineStr">
        <is>
          <t>강원특별자치도</t>
        </is>
      </c>
      <c r="B46" s="6" t="inlineStr">
        <is>
          <t>양양군</t>
        </is>
      </c>
      <c r="C46" s="6" t="inlineStr">
        <is>
          <t>낙산 더뷰 컨시어지 호텔 (양양군 강현면 전진리 7-14외 5필지…)</t>
        </is>
      </c>
      <c r="D46" s="6" t="inlineStr">
        <is>
          <t>2025-04-28</t>
        </is>
      </c>
      <c r="E46" s="6" t="n">
        <v>17</v>
      </c>
      <c r="F46" s="6" t="n">
        <v>80772</v>
      </c>
      <c r="G46" s="6">
        <f>IF('0.입력칸'!$B$3="","",ROUND(F46/'0.입력칸'!$B$3,0))</f>
        <v/>
      </c>
      <c r="H46" s="6">
        <f>IF(OR('0.입력칸'!$B$3="",'0.입력칸'!$B$5=""),"",ROUND(G46*'0.입력칸'!$B$5,0))</f>
        <v/>
      </c>
      <c r="I46" s="6" t="inlineStr">
        <is>
          <t>없음</t>
        </is>
      </c>
      <c r="J46" s="6" t="inlineStr">
        <is>
          <t>설계사 (주)엠오플러스건축사사무소</t>
        </is>
      </c>
      <c r="K46" s="6" t="inlineStr">
        <is>
          <t>(주)엠오플러스건축사사무소</t>
        </is>
      </c>
      <c r="L46" s="6" t="inlineStr"/>
      <c r="M46" s="6" t="inlineStr"/>
      <c r="N46" s="6" t="inlineStr">
        <is>
          <t>신축</t>
        </is>
      </c>
      <c r="O46" s="6" t="inlineStr">
        <is>
          <t>강원특별자치도 양양군 강현면 해맞이길 24</t>
        </is>
      </c>
    </row>
    <row r="47">
      <c r="A47" s="7" t="inlineStr">
        <is>
          <t>강원특별자치도</t>
        </is>
      </c>
      <c r="B47" s="7" t="inlineStr">
        <is>
          <t>양양군</t>
        </is>
      </c>
      <c r="C47" s="7" t="inlineStr">
        <is>
          <t>손양면 상양혈리 154-14 숙박시설 (주식회사 새서울레저)</t>
        </is>
      </c>
      <c r="D47" s="7" t="inlineStr">
        <is>
          <t>2023-07-07</t>
        </is>
      </c>
      <c r="E47" s="7" t="n">
        <v>38</v>
      </c>
      <c r="F47" s="7" t="n">
        <v>46567</v>
      </c>
      <c r="G47" s="7">
        <f>IF('0.입력칸'!$B$3="","",ROUND(F47/'0.입력칸'!$B$3,0))</f>
        <v/>
      </c>
      <c r="H47" s="7">
        <f>IF(OR('0.입력칸'!$B$3="",'0.입력칸'!$B$5=""),"",ROUND(G47*'0.입력칸'!$B$5,0))</f>
        <v/>
      </c>
      <c r="I47" s="7" t="inlineStr">
        <is>
          <t>있음</t>
        </is>
      </c>
      <c r="J47" s="7" t="inlineStr">
        <is>
          <t>시공사 (주)마노건설</t>
        </is>
      </c>
      <c r="K47" s="7" t="inlineStr">
        <is>
          <t>(주)간삼건축종합건축사사무소</t>
        </is>
      </c>
      <c r="L47" s="7" t="inlineStr">
        <is>
          <t>더블유에스피아시아리미티드</t>
        </is>
      </c>
      <c r="M47" s="7" t="inlineStr">
        <is>
          <t>(주)새서울레저</t>
        </is>
      </c>
      <c r="N47" s="7" t="inlineStr">
        <is>
          <t>신축</t>
        </is>
      </c>
      <c r="O47" s="7" t="inlineStr">
        <is>
          <t>강원특별자치도 양양군 손양면 상양혈리 154-14번지</t>
        </is>
      </c>
    </row>
    <row r="48">
      <c r="A48" s="6" t="inlineStr">
        <is>
          <t>강원특별자치도</t>
        </is>
      </c>
      <c r="B48" s="6" t="inlineStr">
        <is>
          <t>양양군</t>
        </is>
      </c>
      <c r="C48" s="6" t="inlineStr">
        <is>
          <t>양양군 연창리 생활숙박시설 신축공사</t>
        </is>
      </c>
      <c r="D48" s="6" t="inlineStr">
        <is>
          <t>2026-05-09</t>
        </is>
      </c>
      <c r="E48" s="6" t="n">
        <v>4</v>
      </c>
      <c r="F48" s="6" t="n">
        <v>33796</v>
      </c>
      <c r="G48" s="6">
        <f>IF('0.입력칸'!$B$3="","",ROUND(F48/'0.입력칸'!$B$3,0))</f>
        <v/>
      </c>
      <c r="H48" s="6">
        <f>IF(OR('0.입력칸'!$B$3="",'0.입력칸'!$B$5=""),"",ROUND(G48*'0.입력칸'!$B$5,0))</f>
        <v/>
      </c>
      <c r="I48" s="6" t="inlineStr">
        <is>
          <t>없음</t>
        </is>
      </c>
      <c r="J48" s="6" t="inlineStr">
        <is>
          <t>설계사 (주)종합건축사사무소지엔에이</t>
        </is>
      </c>
      <c r="K48" s="6" t="inlineStr">
        <is>
          <t>(주)종합건축사사무소지엔에이</t>
        </is>
      </c>
      <c r="L48" s="6" t="inlineStr"/>
      <c r="M48" s="6" t="inlineStr">
        <is>
          <t>코리아신탁(주)</t>
        </is>
      </c>
      <c r="N48" s="6" t="inlineStr">
        <is>
          <t>신축</t>
        </is>
      </c>
      <c r="O48" s="6" t="inlineStr">
        <is>
          <t>강원특별자치도 양양군 양양읍 연창리 180-19번지</t>
        </is>
      </c>
    </row>
    <row r="49">
      <c r="A49" s="6" t="inlineStr">
        <is>
          <t>강원특별자치도</t>
        </is>
      </c>
      <c r="B49" s="6" t="inlineStr">
        <is>
          <t>양양군</t>
        </is>
      </c>
      <c r="C49" s="6" t="inlineStr">
        <is>
          <t>양양군 조산리 생활숙박시설</t>
        </is>
      </c>
      <c r="D49" s="6" t="inlineStr">
        <is>
          <t>2025-10-11</t>
        </is>
      </c>
      <c r="E49" s="6" t="n">
        <v>11</v>
      </c>
      <c r="F49" s="6" t="n">
        <v>29060</v>
      </c>
      <c r="G49" s="6">
        <f>IF('0.입력칸'!$B$3="","",ROUND(F49/'0.입력칸'!$B$3,0))</f>
        <v/>
      </c>
      <c r="H49" s="6">
        <f>IF(OR('0.입력칸'!$B$3="",'0.입력칸'!$B$5=""),"",ROUND(G49*'0.입력칸'!$B$5,0))</f>
        <v/>
      </c>
      <c r="I49" s="6" t="inlineStr">
        <is>
          <t>없음</t>
        </is>
      </c>
      <c r="J49" s="6" t="inlineStr">
        <is>
          <t>설계사 (주)종합건축사사무소지엔에이</t>
        </is>
      </c>
      <c r="K49" s="6" t="inlineStr">
        <is>
          <t>(주)종합건축사사무소지엔에이</t>
        </is>
      </c>
      <c r="L49" s="6" t="inlineStr"/>
      <c r="M49" s="6" t="inlineStr">
        <is>
          <t>코리아신탁(주)</t>
        </is>
      </c>
      <c r="N49" s="6" t="inlineStr">
        <is>
          <t>신축</t>
        </is>
      </c>
      <c r="O49" s="6" t="inlineStr">
        <is>
          <t>강원특별자치도 양양군 해맞이길 84</t>
        </is>
      </c>
    </row>
    <row r="50">
      <c r="A50" s="6" t="inlineStr">
        <is>
          <t>강원특별자치도</t>
        </is>
      </c>
      <c r="B50" s="6" t="inlineStr">
        <is>
          <t>양양군</t>
        </is>
      </c>
      <c r="C50" s="6" t="inlineStr">
        <is>
          <t>양양군 손양면 수여리 생활숙박시설</t>
        </is>
      </c>
      <c r="D50" s="6" t="inlineStr">
        <is>
          <t>2024-04-07</t>
        </is>
      </c>
      <c r="E50" s="6" t="n">
        <v>29</v>
      </c>
      <c r="F50" s="6" t="n">
        <v>23667</v>
      </c>
      <c r="G50" s="6">
        <f>IF('0.입력칸'!$B$3="","",ROUND(F50/'0.입력칸'!$B$3,0))</f>
        <v/>
      </c>
      <c r="H50" s="6">
        <f>IF(OR('0.입력칸'!$B$3="",'0.입력칸'!$B$5=""),"",ROUND(G50*'0.입력칸'!$B$5,0))</f>
        <v/>
      </c>
      <c r="I50" s="6" t="inlineStr">
        <is>
          <t>없음</t>
        </is>
      </c>
      <c r="J50" s="6" t="inlineStr">
        <is>
          <t>설계사 (주)무한종합건축사사무소</t>
        </is>
      </c>
      <c r="K50" s="6" t="inlineStr">
        <is>
          <t>(주)무한종합건축사사무소</t>
        </is>
      </c>
      <c r="L50" s="6" t="inlineStr"/>
      <c r="M50" s="6" t="inlineStr">
        <is>
          <t>(주)은민에스엔디</t>
        </is>
      </c>
      <c r="N50" s="6" t="inlineStr">
        <is>
          <t>신축</t>
        </is>
      </c>
      <c r="O50" s="6" t="inlineStr">
        <is>
          <t>강원특별자치도 양양군 손양면 수여리 산 25번지</t>
        </is>
      </c>
    </row>
    <row r="51">
      <c r="A51" s="6" t="inlineStr">
        <is>
          <t>강원특별자치도</t>
        </is>
      </c>
      <c r="B51" s="6" t="inlineStr">
        <is>
          <t>양양군</t>
        </is>
      </c>
      <c r="C51" s="6" t="inlineStr">
        <is>
          <t>현북면 하광정리 613-9 숙박시설 (주식회사 하조베이비치앤리…)</t>
        </is>
      </c>
      <c r="D51" s="6" t="inlineStr">
        <is>
          <t>2024-04-05</t>
        </is>
      </c>
      <c r="E51" s="6" t="n">
        <v>30</v>
      </c>
      <c r="F51" s="6" t="n">
        <v>4998</v>
      </c>
      <c r="G51" s="6">
        <f>IF('0.입력칸'!$B$3="","",ROUND(F51/'0.입력칸'!$B$3,0))</f>
        <v/>
      </c>
      <c r="H51" s="6">
        <f>IF(OR('0.입력칸'!$B$3="",'0.입력칸'!$B$5=""),"",ROUND(G51*'0.입력칸'!$B$5,0))</f>
        <v/>
      </c>
      <c r="I51" s="6" t="inlineStr">
        <is>
          <t>없음</t>
        </is>
      </c>
      <c r="J51" s="6" t="inlineStr">
        <is>
          <t>설계사 건축사사무소노드아키텍스</t>
        </is>
      </c>
      <c r="K51" s="6" t="inlineStr">
        <is>
          <t>건축사사무소노드아키텍스</t>
        </is>
      </c>
      <c r="L51" s="6" t="inlineStr"/>
      <c r="M51" s="6" t="inlineStr">
        <is>
          <t>(주)하조베이비치앤리조트</t>
        </is>
      </c>
      <c r="N51" s="6" t="inlineStr">
        <is>
          <t>신축</t>
        </is>
      </c>
      <c r="O51" s="6" t="inlineStr">
        <is>
          <t>강원특별자치도 양양군 현북면 하광정리 613-9번지</t>
        </is>
      </c>
    </row>
    <row r="52">
      <c r="A52" s="6" t="inlineStr">
        <is>
          <t>강원특별자치도</t>
        </is>
      </c>
      <c r="B52" s="6" t="inlineStr">
        <is>
          <t>춘천시</t>
        </is>
      </c>
      <c r="C52" s="6" t="inlineStr">
        <is>
          <t>퇴계동 4 숙박시설 (패밀리주식회사대표박종관)</t>
        </is>
      </c>
      <c r="D52" s="6" t="inlineStr">
        <is>
          <t>2024-04-26</t>
        </is>
      </c>
      <c r="E52" s="6" t="n">
        <v>29</v>
      </c>
      <c r="F52" s="6" t="n">
        <v>9425</v>
      </c>
      <c r="G52" s="6">
        <f>IF('0.입력칸'!$B$3="","",ROUND(F52/'0.입력칸'!$B$3,0))</f>
        <v/>
      </c>
      <c r="H52" s="6">
        <f>IF(OR('0.입력칸'!$B$3="",'0.입력칸'!$B$5=""),"",ROUND(G52*'0.입력칸'!$B$5,0))</f>
        <v/>
      </c>
      <c r="I52" s="6" t="inlineStr">
        <is>
          <t>없음</t>
        </is>
      </c>
      <c r="J52" s="6" t="inlineStr">
        <is>
          <t>설계사 종합건축사사무소원건축</t>
        </is>
      </c>
      <c r="K52" s="6" t="inlineStr">
        <is>
          <t>종합건축사사무소원건축</t>
        </is>
      </c>
      <c r="L52" s="6" t="inlineStr"/>
      <c r="M52" s="6" t="inlineStr">
        <is>
          <t>패밀리(주)</t>
        </is>
      </c>
      <c r="N52" s="6" t="inlineStr">
        <is>
          <t>신축</t>
        </is>
      </c>
      <c r="O52" s="6" t="inlineStr">
        <is>
          <t>강원특별자치도 춘천시 칠전동 산4번지</t>
        </is>
      </c>
    </row>
    <row r="53">
      <c r="A53" s="6" t="inlineStr">
        <is>
          <t>강원특별자치도</t>
        </is>
      </c>
      <c r="B53" s="6" t="inlineStr">
        <is>
          <t>춘천시</t>
        </is>
      </c>
      <c r="C53" s="6" t="inlineStr">
        <is>
          <t>남면 박암리 23-4 생활숙박시설</t>
        </is>
      </c>
      <c r="D53" s="6" t="inlineStr">
        <is>
          <t>2025-01-09</t>
        </is>
      </c>
      <c r="E53" s="6" t="n">
        <v>20</v>
      </c>
      <c r="F53" s="6" t="n">
        <v>4998</v>
      </c>
      <c r="G53" s="6">
        <f>IF('0.입력칸'!$B$3="","",ROUND(F53/'0.입력칸'!$B$3,0))</f>
        <v/>
      </c>
      <c r="H53" s="6">
        <f>IF(OR('0.입력칸'!$B$3="",'0.입력칸'!$B$5=""),"",ROUND(G53*'0.입력칸'!$B$5,0))</f>
        <v/>
      </c>
      <c r="I53" s="6" t="inlineStr">
        <is>
          <t>없음</t>
        </is>
      </c>
      <c r="J53" s="6" t="inlineStr">
        <is>
          <t>설계사 건축사사무소이엘</t>
        </is>
      </c>
      <c r="K53" s="6" t="inlineStr">
        <is>
          <t>건축사사무소이엘</t>
        </is>
      </c>
      <c r="L53" s="6" t="inlineStr">
        <is>
          <t>건축사사무소이엘</t>
        </is>
      </c>
      <c r="M53" s="6" t="inlineStr">
        <is>
          <t>웨스트아일랜드</t>
        </is>
      </c>
      <c r="N53" s="6" t="inlineStr">
        <is>
          <t>신축</t>
        </is>
      </c>
      <c r="O53" s="6" t="inlineStr">
        <is>
          <t>강원특별자치도 춘천시 남면 박암리 23-4번지</t>
        </is>
      </c>
    </row>
    <row r="54">
      <c r="A54" s="7" t="inlineStr">
        <is>
          <t>강원특별자치도</t>
        </is>
      </c>
      <c r="B54" s="7" t="inlineStr">
        <is>
          <t>춘천시</t>
        </is>
      </c>
      <c r="C54" s="7" t="inlineStr">
        <is>
          <t>삼천동 71-14 숙박시설 (***)</t>
        </is>
      </c>
      <c r="D54" s="7" t="inlineStr">
        <is>
          <t>2023-12-14</t>
        </is>
      </c>
      <c r="E54" s="7" t="n">
        <v>33</v>
      </c>
      <c r="F54" s="7" t="n">
        <v>4983</v>
      </c>
      <c r="G54" s="7">
        <f>IF('0.입력칸'!$B$3="","",ROUND(F54/'0.입력칸'!$B$3,0))</f>
        <v/>
      </c>
      <c r="H54" s="7">
        <f>IF(OR('0.입력칸'!$B$3="",'0.입력칸'!$B$5=""),"",ROUND(G54*'0.입력칸'!$B$5,0))</f>
        <v/>
      </c>
      <c r="I54" s="7" t="inlineStr">
        <is>
          <t>있음</t>
        </is>
      </c>
      <c r="J54" s="7" t="inlineStr">
        <is>
          <t>시공사 (주)일정개발</t>
        </is>
      </c>
      <c r="K54" s="7" t="inlineStr"/>
      <c r="L54" s="7" t="inlineStr">
        <is>
          <t>어울림건축사사무소</t>
        </is>
      </c>
      <c r="M54" s="7" t="inlineStr"/>
      <c r="N54" s="7" t="inlineStr">
        <is>
          <t>신축</t>
        </is>
      </c>
      <c r="O54" s="7" t="inlineStr">
        <is>
          <t>강원특별자치도 춘천시 스포츠타운길 338 (삼천동)</t>
        </is>
      </c>
    </row>
    <row r="55">
      <c r="A55" s="6" t="inlineStr">
        <is>
          <t>강원특별자치도</t>
        </is>
      </c>
      <c r="B55" s="6" t="inlineStr">
        <is>
          <t>평창군</t>
        </is>
      </c>
      <c r="C55" s="6" t="inlineStr">
        <is>
          <t>대관령면 용산리 생활숙박시설</t>
        </is>
      </c>
      <c r="D55" s="6" t="inlineStr">
        <is>
          <t>2025-02-28</t>
        </is>
      </c>
      <c r="E55" s="6" t="n">
        <v>19</v>
      </c>
      <c r="F55" s="6" t="n">
        <v>16871</v>
      </c>
      <c r="G55" s="6">
        <f>IF('0.입력칸'!$B$3="","",ROUND(F55/'0.입력칸'!$B$3,0))</f>
        <v/>
      </c>
      <c r="H55" s="6">
        <f>IF(OR('0.입력칸'!$B$3="",'0.입력칸'!$B$5=""),"",ROUND(G55*'0.입력칸'!$B$5,0))</f>
        <v/>
      </c>
      <c r="I55" s="6" t="inlineStr">
        <is>
          <t>없음</t>
        </is>
      </c>
      <c r="J55" s="6" t="inlineStr">
        <is>
          <t>설계사 (주)파랑건축사사무소</t>
        </is>
      </c>
      <c r="K55" s="6" t="inlineStr">
        <is>
          <t>(주)파랑건축사사무소</t>
        </is>
      </c>
      <c r="L55" s="6" t="inlineStr"/>
      <c r="M55" s="6" t="inlineStr"/>
      <c r="N55" s="6" t="inlineStr">
        <is>
          <t>신축</t>
        </is>
      </c>
      <c r="O55" s="6" t="inlineStr">
        <is>
          <t>강원특별자치도 평창군 대관령면 용산리 394-27번지</t>
        </is>
      </c>
    </row>
    <row r="56">
      <c r="A56" s="6" t="inlineStr">
        <is>
          <t>강원특별자치도</t>
        </is>
      </c>
      <c r="B56" s="6" t="inlineStr">
        <is>
          <t>평창군</t>
        </is>
      </c>
      <c r="C56" s="6" t="inlineStr">
        <is>
          <t>평창군 횡계리 350 생활숙박시설</t>
        </is>
      </c>
      <c r="D56" s="6" t="inlineStr">
        <is>
          <t>2025-11-28</t>
        </is>
      </c>
      <c r="E56" s="6" t="n">
        <v>10</v>
      </c>
      <c r="F56" s="6" t="n">
        <v>7565</v>
      </c>
      <c r="G56" s="6">
        <f>IF('0.입력칸'!$B$3="","",ROUND(F56/'0.입력칸'!$B$3,0))</f>
        <v/>
      </c>
      <c r="H56" s="6">
        <f>IF(OR('0.입력칸'!$B$3="",'0.입력칸'!$B$5=""),"",ROUND(G56*'0.입력칸'!$B$5,0))</f>
        <v/>
      </c>
      <c r="I56" s="6" t="inlineStr">
        <is>
          <t>없음</t>
        </is>
      </c>
      <c r="J56" s="6" t="inlineStr">
        <is>
          <t>설계사 (주)탑씨엔디도시건축사사무소</t>
        </is>
      </c>
      <c r="K56" s="6" t="inlineStr">
        <is>
          <t>(주)탑씨엔디도시건축사사무소</t>
        </is>
      </c>
      <c r="L56" s="6" t="inlineStr"/>
      <c r="M56" s="6" t="inlineStr"/>
      <c r="N56" s="6" t="inlineStr">
        <is>
          <t>신축</t>
        </is>
      </c>
      <c r="O56" s="6" t="inlineStr">
        <is>
          <t>강원특별자치도 평창군 대관령면 송천2길 2</t>
        </is>
      </c>
    </row>
    <row r="57">
      <c r="A57" s="6" t="inlineStr">
        <is>
          <t>강원특별자치도</t>
        </is>
      </c>
      <c r="B57" s="6" t="inlineStr">
        <is>
          <t>홍천군</t>
        </is>
      </c>
      <c r="C57" s="6" t="inlineStr">
        <is>
          <t>북방면 소매곡리 35외5필지 숙박시설 (유한회사 성은라이프)</t>
        </is>
      </c>
      <c r="D57" s="6" t="inlineStr">
        <is>
          <t>2025-09-30</t>
        </is>
      </c>
      <c r="E57" s="6" t="n">
        <v>12</v>
      </c>
      <c r="F57" s="6" t="n">
        <v>26746</v>
      </c>
      <c r="G57" s="6">
        <f>IF('0.입력칸'!$B$3="","",ROUND(F57/'0.입력칸'!$B$3,0))</f>
        <v/>
      </c>
      <c r="H57" s="6">
        <f>IF(OR('0.입력칸'!$B$3="",'0.입력칸'!$B$5=""),"",ROUND(G57*'0.입력칸'!$B$5,0))</f>
        <v/>
      </c>
      <c r="I57" s="6" t="inlineStr">
        <is>
          <t>없음</t>
        </is>
      </c>
      <c r="J57" s="6" t="inlineStr">
        <is>
          <t>설계사 (주)디자인그룹이루건축사사무소</t>
        </is>
      </c>
      <c r="K57" s="6" t="inlineStr">
        <is>
          <t>(주)디자인그룹이루건축사사무소</t>
        </is>
      </c>
      <c r="L57" s="6" t="inlineStr"/>
      <c r="M57" s="6" t="inlineStr">
        <is>
          <t>(유)성은라이프</t>
        </is>
      </c>
      <c r="N57" s="6" t="inlineStr">
        <is>
          <t>증축</t>
        </is>
      </c>
      <c r="O57" s="6" t="inlineStr">
        <is>
          <t>강원특별자치도 홍천군 북방면 온천길 182</t>
        </is>
      </c>
    </row>
    <row r="58">
      <c r="A58" s="7" t="inlineStr">
        <is>
          <t>강원특별자치도</t>
        </is>
      </c>
      <c r="B58" s="7" t="inlineStr">
        <is>
          <t>홍천군</t>
        </is>
      </c>
      <c r="C58" s="7" t="inlineStr">
        <is>
          <t>서면 대곡리 349-6 숙박시설 (도영철)</t>
        </is>
      </c>
      <c r="D58" s="7" t="inlineStr">
        <is>
          <t>2022-09-08</t>
        </is>
      </c>
      <c r="E58" s="7" t="n">
        <v>48</v>
      </c>
      <c r="F58" s="7" t="n">
        <v>19738</v>
      </c>
      <c r="G58" s="7">
        <f>IF('0.입력칸'!$B$3="","",ROUND(F58/'0.입력칸'!$B$3,0))</f>
        <v/>
      </c>
      <c r="H58" s="7">
        <f>IF(OR('0.입력칸'!$B$3="",'0.입력칸'!$B$5=""),"",ROUND(G58*'0.입력칸'!$B$5,0))</f>
        <v/>
      </c>
      <c r="I58" s="7" t="inlineStr">
        <is>
          <t>있음</t>
        </is>
      </c>
      <c r="J58" s="7" t="inlineStr">
        <is>
          <t>시공사 (주)일군토건</t>
        </is>
      </c>
      <c r="K58" s="7" t="inlineStr">
        <is>
          <t>(주)예공종합건축사사무소</t>
        </is>
      </c>
      <c r="L58" s="7" t="inlineStr">
        <is>
          <t>(주)하나건축사사무소</t>
        </is>
      </c>
      <c r="M58" s="7" t="inlineStr"/>
      <c r="N58" s="7" t="inlineStr">
        <is>
          <t>신축</t>
        </is>
      </c>
      <c r="O58" s="7" t="inlineStr">
        <is>
          <t>강원특별자치도 홍천군 서면 대곡리 349-6번지</t>
        </is>
      </c>
    </row>
    <row r="59">
      <c r="A59" s="6" t="inlineStr">
        <is>
          <t>강원특별자치도</t>
        </is>
      </c>
      <c r="B59" s="6" t="inlineStr">
        <is>
          <t>횡성군</t>
        </is>
      </c>
      <c r="C59" s="6" t="inlineStr">
        <is>
          <t>저층형 생활숙박시설</t>
        </is>
      </c>
      <c r="D59" s="6" t="inlineStr">
        <is>
          <t>2025-03-01</t>
        </is>
      </c>
      <c r="E59" s="6" t="n">
        <v>19</v>
      </c>
      <c r="F59" s="6" t="n">
        <v>2591</v>
      </c>
      <c r="G59" s="6">
        <f>IF('0.입력칸'!$B$3="","",ROUND(F59/'0.입력칸'!$B$3,0))</f>
        <v/>
      </c>
      <c r="H59" s="6">
        <f>IF(OR('0.입력칸'!$B$3="",'0.입력칸'!$B$5=""),"",ROUND(G59*'0.입력칸'!$B$5,0))</f>
        <v/>
      </c>
      <c r="I59" s="6" t="inlineStr">
        <is>
          <t>없음</t>
        </is>
      </c>
      <c r="J59" s="6" t="inlineStr">
        <is>
          <t>설계사 (주)마이건축사사무소</t>
        </is>
      </c>
      <c r="K59" s="6" t="inlineStr">
        <is>
          <t>(주)마이건축사사무소</t>
        </is>
      </c>
      <c r="L59" s="6" t="inlineStr"/>
      <c r="M59" s="6" t="inlineStr">
        <is>
          <t>(주)미지엔리조트</t>
        </is>
      </c>
      <c r="N59" s="6" t="inlineStr">
        <is>
          <t>신축</t>
        </is>
      </c>
      <c r="O59" s="6" t="inlineStr">
        <is>
          <t>강원특별자치도 횡성군 서원면 석화리 산261-1번지</t>
        </is>
      </c>
    </row>
    <row r="60">
      <c r="A60" s="6" t="inlineStr">
        <is>
          <t>충청남도</t>
        </is>
      </c>
      <c r="B60" s="6" t="inlineStr">
        <is>
          <t>계룡시</t>
        </is>
      </c>
      <c r="C60" s="6" t="inlineStr">
        <is>
          <t>엄사면 엄사리 177-3 숙박시설 (종단대순진리회성주회)</t>
        </is>
      </c>
      <c r="D60" s="6" t="inlineStr">
        <is>
          <t>2023-10-22</t>
        </is>
      </c>
      <c r="E60" s="6" t="n">
        <v>35</v>
      </c>
      <c r="F60" s="6" t="n">
        <v>1994</v>
      </c>
      <c r="G60" s="6">
        <f>IF('0.입력칸'!$B$3="","",ROUND(F60/'0.입력칸'!$B$3,0))</f>
        <v/>
      </c>
      <c r="H60" s="6">
        <f>IF(OR('0.입력칸'!$B$3="",'0.입력칸'!$B$5=""),"",ROUND(G60*'0.입력칸'!$B$5,0))</f>
        <v/>
      </c>
      <c r="I60" s="6" t="inlineStr">
        <is>
          <t>없음</t>
        </is>
      </c>
      <c r="J60" s="6" t="inlineStr">
        <is>
          <t>설계사 미당건축사사무소</t>
        </is>
      </c>
      <c r="K60" s="6" t="inlineStr">
        <is>
          <t>미당건축사사무소</t>
        </is>
      </c>
      <c r="L60" s="6" t="inlineStr"/>
      <c r="M60" s="6" t="inlineStr">
        <is>
          <t>종단대순진리회성주회</t>
        </is>
      </c>
      <c r="N60" s="6" t="inlineStr">
        <is>
          <t>증축</t>
        </is>
      </c>
      <c r="O60" s="6" t="inlineStr">
        <is>
          <t>충청남도 계룡시 엄사면 번영1길 6-5</t>
        </is>
      </c>
    </row>
    <row r="61">
      <c r="A61" s="6" t="inlineStr">
        <is>
          <t>충청남도</t>
        </is>
      </c>
      <c r="B61" s="6" t="inlineStr">
        <is>
          <t>논산시</t>
        </is>
      </c>
      <c r="C61" s="6" t="inlineStr">
        <is>
          <t>은진면 토양리 50-1 숙박시설</t>
        </is>
      </c>
      <c r="D61" s="6" t="inlineStr">
        <is>
          <t>2024-12-23</t>
        </is>
      </c>
      <c r="E61" s="6" t="n">
        <v>21</v>
      </c>
      <c r="F61" s="6" t="n">
        <v>2055</v>
      </c>
      <c r="G61" s="6">
        <f>IF('0.입력칸'!$B$3="","",ROUND(F61/'0.입력칸'!$B$3,0))</f>
        <v/>
      </c>
      <c r="H61" s="6">
        <f>IF(OR('0.입력칸'!$B$3="",'0.입력칸'!$B$5=""),"",ROUND(G61*'0.입력칸'!$B$5,0))</f>
        <v/>
      </c>
      <c r="I61" s="6" t="inlineStr">
        <is>
          <t>없음</t>
        </is>
      </c>
      <c r="J61" s="6" t="inlineStr">
        <is>
          <t>설계사 대동건축사사무소</t>
        </is>
      </c>
      <c r="K61" s="6" t="inlineStr">
        <is>
          <t>대동건축사사무소</t>
        </is>
      </c>
      <c r="L61" s="6" t="inlineStr"/>
      <c r="M61" s="6" t="inlineStr">
        <is>
          <t>(주)논산고무신호텔</t>
        </is>
      </c>
      <c r="N61" s="6" t="inlineStr">
        <is>
          <t>신축</t>
        </is>
      </c>
      <c r="O61" s="6" t="inlineStr">
        <is>
          <t>충청남도 논산시 은진면 안심로277번길 14</t>
        </is>
      </c>
    </row>
    <row r="62">
      <c r="A62" s="6" t="inlineStr">
        <is>
          <t>충청남도</t>
        </is>
      </c>
      <c r="B62" s="6" t="inlineStr">
        <is>
          <t>당진시</t>
        </is>
      </c>
      <c r="C62" s="6" t="inlineStr">
        <is>
          <t>석문면 장고항리 1335 숙박시설 (주식회사 석문산업개발)</t>
        </is>
      </c>
      <c r="D62" s="6" t="inlineStr">
        <is>
          <t>2024-03-07</t>
        </is>
      </c>
      <c r="E62" s="6" t="n">
        <v>30</v>
      </c>
      <c r="F62" s="6" t="n">
        <v>4913</v>
      </c>
      <c r="G62" s="6">
        <f>IF('0.입력칸'!$B$3="","",ROUND(F62/'0.입력칸'!$B$3,0))</f>
        <v/>
      </c>
      <c r="H62" s="6">
        <f>IF(OR('0.입력칸'!$B$3="",'0.입력칸'!$B$5=""),"",ROUND(G62*'0.입력칸'!$B$5,0))</f>
        <v/>
      </c>
      <c r="I62" s="6" t="inlineStr">
        <is>
          <t>없음</t>
        </is>
      </c>
      <c r="J62" s="6" t="inlineStr">
        <is>
          <t>설계사 아이디에스(IDS)건축사사무소</t>
        </is>
      </c>
      <c r="K62" s="6" t="inlineStr">
        <is>
          <t>아이디에스(IDS)건축사사무소</t>
        </is>
      </c>
      <c r="L62" s="6" t="inlineStr"/>
      <c r="M62" s="6" t="inlineStr">
        <is>
          <t>(주)엠에스미소산업</t>
        </is>
      </c>
      <c r="N62" s="6" t="inlineStr">
        <is>
          <t>신축</t>
        </is>
      </c>
      <c r="O62" s="6" t="inlineStr">
        <is>
          <t>충청남도 당진시 석문면 장고항리 1335번지</t>
        </is>
      </c>
    </row>
    <row r="63">
      <c r="A63" s="6" t="inlineStr">
        <is>
          <t>충청남도</t>
        </is>
      </c>
      <c r="B63" s="6" t="inlineStr">
        <is>
          <t>보령시</t>
        </is>
      </c>
      <c r="C63" s="6" t="inlineStr">
        <is>
          <t>충청남도 보령시 신흑동 2208-1번지 외 2필지 숙박시설 신축…</t>
        </is>
      </c>
      <c r="D63" s="6" t="inlineStr">
        <is>
          <t>2025-02-07</t>
        </is>
      </c>
      <c r="E63" s="6" t="n">
        <v>19</v>
      </c>
      <c r="F63" s="6" t="n">
        <v>99938</v>
      </c>
      <c r="G63" s="6">
        <f>IF('0.입력칸'!$B$3="","",ROUND(F63/'0.입력칸'!$B$3,0))</f>
        <v/>
      </c>
      <c r="H63" s="6">
        <f>IF(OR('0.입력칸'!$B$3="",'0.입력칸'!$B$5=""),"",ROUND(G63*'0.입력칸'!$B$5,0))</f>
        <v/>
      </c>
      <c r="I63" s="6" t="inlineStr">
        <is>
          <t>없음</t>
        </is>
      </c>
      <c r="J63" s="6" t="inlineStr">
        <is>
          <t>설계사 (주)기안건축사사무소</t>
        </is>
      </c>
      <c r="K63" s="6" t="inlineStr">
        <is>
          <t>(주)기안건축사사무소</t>
        </is>
      </c>
      <c r="L63" s="6" t="inlineStr"/>
      <c r="M63" s="6" t="inlineStr">
        <is>
          <t>(주)디에스개발</t>
        </is>
      </c>
      <c r="N63" s="6" t="inlineStr">
        <is>
          <t>신축</t>
        </is>
      </c>
      <c r="O63" s="6" t="inlineStr">
        <is>
          <t>충청남도 보령시 신흑동 2208-1번지</t>
        </is>
      </c>
    </row>
    <row r="64">
      <c r="A64" s="7" t="inlineStr">
        <is>
          <t>충청남도</t>
        </is>
      </c>
      <c r="B64" s="7" t="inlineStr">
        <is>
          <t>보령시</t>
        </is>
      </c>
      <c r="C64" s="7" t="inlineStr">
        <is>
          <t>주교면 주교리 24-4 숙박시설 (***)</t>
        </is>
      </c>
      <c r="D64" s="7" t="inlineStr">
        <is>
          <t>2024-12-13</t>
        </is>
      </c>
      <c r="E64" s="7" t="n">
        <v>21</v>
      </c>
      <c r="F64" s="7" t="n">
        <v>2513</v>
      </c>
      <c r="G64" s="7">
        <f>IF('0.입력칸'!$B$3="","",ROUND(F64/'0.입력칸'!$B$3,0))</f>
        <v/>
      </c>
      <c r="H64" s="7">
        <f>IF(OR('0.입력칸'!$B$3="",'0.입력칸'!$B$5=""),"",ROUND(G64*'0.입력칸'!$B$5,0))</f>
        <v/>
      </c>
      <c r="I64" s="7" t="inlineStr">
        <is>
          <t>있음</t>
        </is>
      </c>
      <c r="J64" s="7" t="inlineStr">
        <is>
          <t>시공사 아람종합건설(주)</t>
        </is>
      </c>
      <c r="K64" s="7" t="inlineStr">
        <is>
          <t>해인이엔씨건축사사무소</t>
        </is>
      </c>
      <c r="L64" s="7" t="inlineStr">
        <is>
          <t>해인이엔씨건축사사무소</t>
        </is>
      </c>
      <c r="M64" s="7" t="inlineStr"/>
      <c r="N64" s="7" t="inlineStr">
        <is>
          <t>신축</t>
        </is>
      </c>
      <c r="O64" s="7" t="inlineStr">
        <is>
          <t>충청남도 보령시 주교면 주교리 24-4번지</t>
        </is>
      </c>
    </row>
    <row r="65">
      <c r="A65" s="7" t="inlineStr">
        <is>
          <t>충청남도</t>
        </is>
      </c>
      <c r="B65" s="7" t="inlineStr">
        <is>
          <t>아산시</t>
        </is>
      </c>
      <c r="C65" s="7" t="inlineStr">
        <is>
          <t>아산배방지구 11BL 생활숙박시설 개발사업</t>
        </is>
      </c>
      <c r="D65" s="7" t="inlineStr">
        <is>
          <t>2022-03-24</t>
        </is>
      </c>
      <c r="E65" s="7" t="n">
        <v>54</v>
      </c>
      <c r="F65" s="7" t="n">
        <v>274379</v>
      </c>
      <c r="G65" s="7">
        <f>IF('0.입력칸'!$B$3="","",ROUND(F65/'0.입력칸'!$B$3,0))</f>
        <v/>
      </c>
      <c r="H65" s="7">
        <f>IF(OR('0.입력칸'!$B$3="",'0.입력칸'!$B$5=""),"",ROUND(G65*'0.입력칸'!$B$5,0))</f>
        <v/>
      </c>
      <c r="I65" s="7" t="inlineStr">
        <is>
          <t>있음</t>
        </is>
      </c>
      <c r="J65" s="7" t="inlineStr">
        <is>
          <t>시공사 (주)한화</t>
        </is>
      </c>
      <c r="K65" s="7" t="inlineStr">
        <is>
          <t>(주)해안종합건축사사무소</t>
        </is>
      </c>
      <c r="L65" s="7" t="inlineStr">
        <is>
          <t>(주)한미글로벌건축사사무소</t>
        </is>
      </c>
      <c r="M65" s="7" t="inlineStr">
        <is>
          <t>(주)코람코자산신탁</t>
        </is>
      </c>
      <c r="N65" s="7" t="inlineStr">
        <is>
          <t>신축</t>
        </is>
      </c>
      <c r="O65" s="7" t="inlineStr">
        <is>
          <t>충청남도 아산시 배방읍 아산녹로 10</t>
        </is>
      </c>
    </row>
    <row r="66">
      <c r="A66" s="6" t="inlineStr">
        <is>
          <t>충청남도</t>
        </is>
      </c>
      <c r="B66" s="6" t="inlineStr">
        <is>
          <t>아산시</t>
        </is>
      </c>
      <c r="C66" s="6" t="inlineStr">
        <is>
          <t>배방읍 공수리 1666 일반숙박시설</t>
        </is>
      </c>
      <c r="D66" s="6" t="inlineStr">
        <is>
          <t>2026-08-08</t>
        </is>
      </c>
      <c r="E66" s="6" t="n">
        <v>1</v>
      </c>
      <c r="F66" s="6" t="n">
        <v>1811</v>
      </c>
      <c r="G66" s="6">
        <f>IF('0.입력칸'!$B$3="","",ROUND(F66/'0.입력칸'!$B$3,0))</f>
        <v/>
      </c>
      <c r="H66" s="6">
        <f>IF(OR('0.입력칸'!$B$3="",'0.입력칸'!$B$5=""),"",ROUND(G66*'0.입력칸'!$B$5,0))</f>
        <v/>
      </c>
      <c r="I66" s="6" t="inlineStr">
        <is>
          <t>없음</t>
        </is>
      </c>
      <c r="J66" s="6" t="inlineStr">
        <is>
          <t>설계사 건축사사무소휴먼아트</t>
        </is>
      </c>
      <c r="K66" s="6" t="inlineStr">
        <is>
          <t>건축사사무소휴먼아트</t>
        </is>
      </c>
      <c r="L66" s="6" t="inlineStr"/>
      <c r="M66" s="6" t="inlineStr"/>
      <c r="N66" s="6" t="inlineStr">
        <is>
          <t>신축</t>
        </is>
      </c>
      <c r="O66" s="6" t="inlineStr">
        <is>
          <t>충청남도 아산시 배방읍 공수리 1666번지</t>
        </is>
      </c>
    </row>
    <row r="67">
      <c r="A67" s="6" t="inlineStr">
        <is>
          <t>충청남도</t>
        </is>
      </c>
      <c r="B67" s="6" t="inlineStr">
        <is>
          <t>예산군</t>
        </is>
      </c>
      <c r="C67" s="6" t="inlineStr">
        <is>
          <t>숙박시설</t>
        </is>
      </c>
      <c r="D67" s="6" t="inlineStr">
        <is>
          <t>2026-05-26</t>
        </is>
      </c>
      <c r="E67" s="6" t="n">
        <v>4</v>
      </c>
      <c r="F67" s="6" t="n">
        <v>5570</v>
      </c>
      <c r="G67" s="6">
        <f>IF('0.입력칸'!$B$3="","",ROUND(F67/'0.입력칸'!$B$3,0))</f>
        <v/>
      </c>
      <c r="H67" s="6">
        <f>IF(OR('0.입력칸'!$B$3="",'0.입력칸'!$B$5=""),"",ROUND(G67*'0.입력칸'!$B$5,0))</f>
        <v/>
      </c>
      <c r="I67" s="6" t="inlineStr">
        <is>
          <t>없음</t>
        </is>
      </c>
      <c r="J67" s="6" t="inlineStr">
        <is>
          <t>설계사 팀에이종합건축사사무소(주)</t>
        </is>
      </c>
      <c r="K67" s="6" t="inlineStr">
        <is>
          <t>팀에이종합건축사사무소(주)</t>
        </is>
      </c>
      <c r="L67" s="6" t="inlineStr"/>
      <c r="M67" s="6" t="inlineStr">
        <is>
          <t>신성종합개발(주)</t>
        </is>
      </c>
      <c r="N67" s="6" t="inlineStr">
        <is>
          <t>신축</t>
        </is>
      </c>
      <c r="O67" s="6" t="inlineStr">
        <is>
          <t>충청남도 예산군 덕산면 사동리 360번지</t>
        </is>
      </c>
    </row>
    <row r="68">
      <c r="A68" s="6" t="inlineStr">
        <is>
          <t>충청남도</t>
        </is>
      </c>
      <c r="B68" s="6" t="inlineStr">
        <is>
          <t>예산군</t>
        </is>
      </c>
      <c r="C68" s="6" t="inlineStr">
        <is>
          <t>응봉면 노화리 220 숙박시설</t>
        </is>
      </c>
      <c r="D68" s="6" t="inlineStr">
        <is>
          <t>2025-10-05</t>
        </is>
      </c>
      <c r="E68" s="6" t="n">
        <v>11</v>
      </c>
      <c r="F68" s="6" t="n">
        <v>3114</v>
      </c>
      <c r="G68" s="6">
        <f>IF('0.입력칸'!$B$3="","",ROUND(F68/'0.입력칸'!$B$3,0))</f>
        <v/>
      </c>
      <c r="H68" s="6">
        <f>IF(OR('0.입력칸'!$B$3="",'0.입력칸'!$B$5=""),"",ROUND(G68*'0.입력칸'!$B$5,0))</f>
        <v/>
      </c>
      <c r="I68" s="6" t="inlineStr">
        <is>
          <t>없음</t>
        </is>
      </c>
      <c r="J68" s="6" t="inlineStr">
        <is>
          <t>설계사 종합건축사사무소 소헌</t>
        </is>
      </c>
      <c r="K68" s="6" t="inlineStr">
        <is>
          <t>종합건축사사무소 소헌</t>
        </is>
      </c>
      <c r="L68" s="6" t="inlineStr"/>
      <c r="M68" s="6" t="inlineStr"/>
      <c r="N68" s="6" t="inlineStr">
        <is>
          <t>신축</t>
        </is>
      </c>
      <c r="O68" s="6" t="inlineStr">
        <is>
          <t>충청남도 예산군 응봉면 운곡사당골길 23</t>
        </is>
      </c>
    </row>
    <row r="69">
      <c r="A69" s="7" t="inlineStr">
        <is>
          <t>충청남도</t>
        </is>
      </c>
      <c r="B69" s="7" t="inlineStr">
        <is>
          <t>예산군</t>
        </is>
      </c>
      <c r="C69" s="7" t="inlineStr">
        <is>
          <t>응봉면 평촌리 92-2 숙박시설 (최지원 외 1인)</t>
        </is>
      </c>
      <c r="D69" s="7" t="inlineStr">
        <is>
          <t>2024-04-03</t>
        </is>
      </c>
      <c r="E69" s="7" t="n">
        <v>30</v>
      </c>
      <c r="F69" s="7" t="n">
        <v>1865</v>
      </c>
      <c r="G69" s="7">
        <f>IF('0.입력칸'!$B$3="","",ROUND(F69/'0.입력칸'!$B$3,0))</f>
        <v/>
      </c>
      <c r="H69" s="7">
        <f>IF(OR('0.입력칸'!$B$3="",'0.입력칸'!$B$5=""),"",ROUND(G69*'0.입력칸'!$B$5,0))</f>
        <v/>
      </c>
      <c r="I69" s="7" t="inlineStr">
        <is>
          <t>있음</t>
        </is>
      </c>
      <c r="J69" s="7" t="inlineStr">
        <is>
          <t>시공사 (주)근영종합건설</t>
        </is>
      </c>
      <c r="K69" s="7" t="inlineStr">
        <is>
          <t>(주)한라건축사사무소</t>
        </is>
      </c>
      <c r="L69" s="7" t="inlineStr">
        <is>
          <t>(주)한라건축사사무소</t>
        </is>
      </c>
      <c r="M69" s="7" t="inlineStr"/>
      <c r="N69" s="7" t="inlineStr">
        <is>
          <t>신축</t>
        </is>
      </c>
      <c r="O69" s="7" t="inlineStr">
        <is>
          <t>충청남도 예산군 응봉면 평촌리 92-2번지</t>
        </is>
      </c>
    </row>
    <row r="70">
      <c r="A70" s="6" t="inlineStr">
        <is>
          <t>충청남도</t>
        </is>
      </c>
      <c r="B70" s="6" t="inlineStr">
        <is>
          <t>천안시</t>
        </is>
      </c>
      <c r="C70" s="6" t="inlineStr">
        <is>
          <t>골드힐카운티리조트 생활숙박시설 21부지</t>
        </is>
      </c>
      <c r="D70" s="6" t="inlineStr">
        <is>
          <t>2026-04-10</t>
        </is>
      </c>
      <c r="E70" s="6" t="n">
        <v>5</v>
      </c>
      <c r="F70" s="6" t="n">
        <v>2967</v>
      </c>
      <c r="G70" s="6">
        <f>IF('0.입력칸'!$B$3="","",ROUND(F70/'0.입력칸'!$B$3,0))</f>
        <v/>
      </c>
      <c r="H70" s="6">
        <f>IF(OR('0.입력칸'!$B$3="",'0.입력칸'!$B$5=""),"",ROUND(G70*'0.입력칸'!$B$5,0))</f>
        <v/>
      </c>
      <c r="I70" s="6" t="inlineStr">
        <is>
          <t>없음</t>
        </is>
      </c>
      <c r="J70" s="6" t="inlineStr">
        <is>
          <t>설계사 더나인건축사사무소(주)</t>
        </is>
      </c>
      <c r="K70" s="6" t="inlineStr">
        <is>
          <t>더나인건축사사무소(주)</t>
        </is>
      </c>
      <c r="L70" s="6" t="inlineStr"/>
      <c r="M70" s="6" t="inlineStr">
        <is>
          <t>(주)버드우드대부</t>
        </is>
      </c>
      <c r="N70" s="6" t="inlineStr">
        <is>
          <t>신축</t>
        </is>
      </c>
      <c r="O70" s="6" t="inlineStr">
        <is>
          <t>충청남도 천안시 서북구 입장면 기로리 산16-1번지</t>
        </is>
      </c>
    </row>
    <row r="71">
      <c r="A71" s="6" t="inlineStr">
        <is>
          <t>충청남도</t>
        </is>
      </c>
      <c r="B71" s="6" t="inlineStr">
        <is>
          <t>태안군</t>
        </is>
      </c>
      <c r="C71" s="6" t="inlineStr">
        <is>
          <t>소원면 의항리 1128 숙박시설 (***)</t>
        </is>
      </c>
      <c r="D71" s="6" t="inlineStr">
        <is>
          <t>2025-10-30</t>
        </is>
      </c>
      <c r="E71" s="6" t="n">
        <v>11</v>
      </c>
      <c r="F71" s="6" t="n">
        <v>9665</v>
      </c>
      <c r="G71" s="6">
        <f>IF('0.입력칸'!$B$3="","",ROUND(F71/'0.입력칸'!$B$3,0))</f>
        <v/>
      </c>
      <c r="H71" s="6">
        <f>IF(OR('0.입력칸'!$B$3="",'0.입력칸'!$B$5=""),"",ROUND(G71*'0.입력칸'!$B$5,0))</f>
        <v/>
      </c>
      <c r="I71" s="6" t="inlineStr">
        <is>
          <t>없음</t>
        </is>
      </c>
      <c r="J71" s="6" t="inlineStr">
        <is>
          <t>설계사 건축사사무소벧엘건축</t>
        </is>
      </c>
      <c r="K71" s="6" t="inlineStr">
        <is>
          <t>건축사사무소벧엘건축</t>
        </is>
      </c>
      <c r="L71" s="6" t="inlineStr"/>
      <c r="M71" s="6" t="inlineStr"/>
      <c r="N71" s="6" t="inlineStr">
        <is>
          <t>신축</t>
        </is>
      </c>
      <c r="O71" s="6" t="inlineStr">
        <is>
          <t>충청남도 태안군 소원면 만리포2길 208</t>
        </is>
      </c>
    </row>
    <row r="72">
      <c r="A72" s="6" t="inlineStr">
        <is>
          <t>충청남도</t>
        </is>
      </c>
      <c r="B72" s="6" t="inlineStr">
        <is>
          <t>태안군</t>
        </is>
      </c>
      <c r="C72" s="6" t="inlineStr">
        <is>
          <t>태안 곰섬 숙박시설</t>
        </is>
      </c>
      <c r="D72" s="6" t="inlineStr">
        <is>
          <t>2025-09-01</t>
        </is>
      </c>
      <c r="E72" s="6" t="n">
        <v>13</v>
      </c>
      <c r="F72" s="6" t="n">
        <v>4939</v>
      </c>
      <c r="G72" s="6">
        <f>IF('0.입력칸'!$B$3="","",ROUND(F72/'0.입력칸'!$B$3,0))</f>
        <v/>
      </c>
      <c r="H72" s="6">
        <f>IF(OR('0.입력칸'!$B$3="",'0.입력칸'!$B$5=""),"",ROUND(G72*'0.입력칸'!$B$5,0))</f>
        <v/>
      </c>
      <c r="I72" s="6" t="inlineStr">
        <is>
          <t>없음</t>
        </is>
      </c>
      <c r="J72" s="6" t="inlineStr">
        <is>
          <t>설계사 (주)종합건축사사무소케이엔피</t>
        </is>
      </c>
      <c r="K72" s="6" t="inlineStr">
        <is>
          <t>(주)종합건축사사무소케이엔피</t>
        </is>
      </c>
      <c r="L72" s="6" t="inlineStr"/>
      <c r="M72" s="6" t="inlineStr">
        <is>
          <t>(주)세움디엠씨</t>
        </is>
      </c>
      <c r="N72" s="6" t="inlineStr">
        <is>
          <t>신축</t>
        </is>
      </c>
      <c r="O72" s="6" t="inlineStr">
        <is>
          <t>충청남도 태안군 남면 신온리 888-1번지</t>
        </is>
      </c>
    </row>
    <row r="73">
      <c r="A73" s="6" t="inlineStr">
        <is>
          <t>충청남도</t>
        </is>
      </c>
      <c r="B73" s="6" t="inlineStr">
        <is>
          <t>태안군</t>
        </is>
      </c>
      <c r="C73" s="6" t="inlineStr">
        <is>
          <t>원북면 신두리 1210-14 숙박시설 및 근린생활시설</t>
        </is>
      </c>
      <c r="D73" s="6" t="inlineStr">
        <is>
          <t>2026-10-02</t>
        </is>
      </c>
      <c r="E73" s="6" t="n">
        <v>0</v>
      </c>
      <c r="F73" s="6" t="n">
        <v>2038</v>
      </c>
      <c r="G73" s="6">
        <f>IF('0.입력칸'!$B$3="","",ROUND(F73/'0.입력칸'!$B$3,0))</f>
        <v/>
      </c>
      <c r="H73" s="6">
        <f>IF(OR('0.입력칸'!$B$3="",'0.입력칸'!$B$5=""),"",ROUND(G73*'0.입력칸'!$B$5,0))</f>
        <v/>
      </c>
      <c r="I73" s="6" t="inlineStr">
        <is>
          <t>없음</t>
        </is>
      </c>
      <c r="J73" s="6" t="inlineStr">
        <is>
          <t>설계사 주건축사사무소</t>
        </is>
      </c>
      <c r="K73" s="6" t="inlineStr">
        <is>
          <t>주건축사사무소</t>
        </is>
      </c>
      <c r="L73" s="6" t="inlineStr"/>
      <c r="M73" s="6" t="inlineStr">
        <is>
          <t>(주)미림</t>
        </is>
      </c>
      <c r="N73" s="6" t="inlineStr">
        <is>
          <t>신축</t>
        </is>
      </c>
      <c r="O73" s="6" t="inlineStr">
        <is>
          <t>충청남도 태안군 원북면 신두로 712-16</t>
        </is>
      </c>
    </row>
    <row r="74">
      <c r="A74" s="7" t="inlineStr">
        <is>
          <t>충청남도</t>
        </is>
      </c>
      <c r="B74" s="7" t="inlineStr">
        <is>
          <t>홍성군</t>
        </is>
      </c>
      <c r="C74" s="7" t="inlineStr">
        <is>
          <t>서부면 남당리 620-2 숙박시설 (***)</t>
        </is>
      </c>
      <c r="D74" s="7" t="inlineStr">
        <is>
          <t>2021-10-21</t>
        </is>
      </c>
      <c r="E74" s="7" t="n">
        <v>59</v>
      </c>
      <c r="F74" s="7" t="n">
        <v>3092</v>
      </c>
      <c r="G74" s="7">
        <f>IF('0.입력칸'!$B$3="","",ROUND(F74/'0.입력칸'!$B$3,0))</f>
        <v/>
      </c>
      <c r="H74" s="7">
        <f>IF(OR('0.입력칸'!$B$3="",'0.입력칸'!$B$5=""),"",ROUND(G74*'0.입력칸'!$B$5,0))</f>
        <v/>
      </c>
      <c r="I74" s="7" t="inlineStr">
        <is>
          <t>있음</t>
        </is>
      </c>
      <c r="J74" s="7" t="inlineStr">
        <is>
          <t>시공사 (주)신동양종합건설</t>
        </is>
      </c>
      <c r="K74" s="7" t="inlineStr">
        <is>
          <t>한우리건축사사무소</t>
        </is>
      </c>
      <c r="L74" s="7" t="inlineStr"/>
      <c r="M74" s="7" t="inlineStr"/>
      <c r="N74" s="7" t="inlineStr">
        <is>
          <t>신축</t>
        </is>
      </c>
      <c r="O74" s="7" t="inlineStr">
        <is>
          <t>충청남도 홍성군 서부면 남당리 620-2번지</t>
        </is>
      </c>
    </row>
    <row r="75">
      <c r="A75" s="6" t="inlineStr">
        <is>
          <t>충청북도</t>
        </is>
      </c>
      <c r="B75" s="6" t="inlineStr">
        <is>
          <t>보은군</t>
        </is>
      </c>
      <c r="C75" s="6" t="inlineStr">
        <is>
          <t>보은읍 죽전리 123-1 생활형 숙박시설</t>
        </is>
      </c>
      <c r="D75" s="6" t="inlineStr">
        <is>
          <t>2026-05-22</t>
        </is>
      </c>
      <c r="E75" s="6" t="n">
        <v>4</v>
      </c>
      <c r="F75" s="6" t="n">
        <v>6201</v>
      </c>
      <c r="G75" s="6">
        <f>IF('0.입력칸'!$B$3="","",ROUND(F75/'0.입력칸'!$B$3,0))</f>
        <v/>
      </c>
      <c r="H75" s="6">
        <f>IF(OR('0.입력칸'!$B$3="",'0.입력칸'!$B$5=""),"",ROUND(G75*'0.입력칸'!$B$5,0))</f>
        <v/>
      </c>
      <c r="I75" s="6" t="inlineStr">
        <is>
          <t>없음</t>
        </is>
      </c>
      <c r="J75" s="6" t="inlineStr">
        <is>
          <t>설계사 우상현건축사사무소</t>
        </is>
      </c>
      <c r="K75" s="6" t="inlineStr">
        <is>
          <t>우상현건축사사무소</t>
        </is>
      </c>
      <c r="L75" s="6" t="inlineStr"/>
      <c r="M75" s="6" t="inlineStr">
        <is>
          <t>이도리브앳디보은(주)</t>
        </is>
      </c>
      <c r="N75" s="6" t="inlineStr">
        <is>
          <t>신축</t>
        </is>
      </c>
      <c r="O75" s="6" t="inlineStr">
        <is>
          <t>충청북도 보은군 보은읍 죽전4길 23</t>
        </is>
      </c>
    </row>
    <row r="76">
      <c r="A76" s="7" t="inlineStr">
        <is>
          <t>충청북도</t>
        </is>
      </c>
      <c r="B76" s="7" t="inlineStr">
        <is>
          <t>음성군</t>
        </is>
      </c>
      <c r="C76" s="7" t="inlineStr">
        <is>
          <t>대소면 성본리 910 숙박시설</t>
        </is>
      </c>
      <c r="D76" s="7" t="inlineStr">
        <is>
          <t>2025-01-20</t>
        </is>
      </c>
      <c r="E76" s="7" t="n">
        <v>20</v>
      </c>
      <c r="F76" s="7" t="n">
        <v>2996</v>
      </c>
      <c r="G76" s="7">
        <f>IF('0.입력칸'!$B$3="","",ROUND(F76/'0.입력칸'!$B$3,0))</f>
        <v/>
      </c>
      <c r="H76" s="7">
        <f>IF(OR('0.입력칸'!$B$3="",'0.입력칸'!$B$5=""),"",ROUND(G76*'0.입력칸'!$B$5,0))</f>
        <v/>
      </c>
      <c r="I76" s="7" t="inlineStr">
        <is>
          <t>있음</t>
        </is>
      </c>
      <c r="J76" s="7" t="inlineStr">
        <is>
          <t>시공사 명림건설(주)</t>
        </is>
      </c>
      <c r="K76" s="7" t="inlineStr">
        <is>
          <t>건축사사무소명성</t>
        </is>
      </c>
      <c r="L76" s="7" t="inlineStr">
        <is>
          <t>(주)일건축사사무소</t>
        </is>
      </c>
      <c r="M76" s="7" t="inlineStr">
        <is>
          <t>(주)골드</t>
        </is>
      </c>
      <c r="N76" s="7" t="inlineStr">
        <is>
          <t>신축</t>
        </is>
      </c>
      <c r="O76" s="7" t="inlineStr">
        <is>
          <t>충청북도 음성군 대소면 성본상가로 33</t>
        </is>
      </c>
    </row>
    <row r="77">
      <c r="A77" s="6" t="inlineStr">
        <is>
          <t>충청북도</t>
        </is>
      </c>
      <c r="B77" s="6" t="inlineStr">
        <is>
          <t>음성군</t>
        </is>
      </c>
      <c r="C77" s="6" t="inlineStr">
        <is>
          <t>대소면 성본리 115-5 숙박시설</t>
        </is>
      </c>
      <c r="D77" s="6" t="inlineStr">
        <is>
          <t>2026-09-14</t>
        </is>
      </c>
      <c r="E77" s="6" t="n">
        <v>0</v>
      </c>
      <c r="F77" s="6" t="n">
        <v>2596</v>
      </c>
      <c r="G77" s="6">
        <f>IF('0.입력칸'!$B$3="","",ROUND(F77/'0.입력칸'!$B$3,0))</f>
        <v/>
      </c>
      <c r="H77" s="6">
        <f>IF(OR('0.입력칸'!$B$3="",'0.입력칸'!$B$5=""),"",ROUND(G77*'0.입력칸'!$B$5,0))</f>
        <v/>
      </c>
      <c r="I77" s="6" t="inlineStr">
        <is>
          <t>없음</t>
        </is>
      </c>
      <c r="J77" s="6" t="inlineStr">
        <is>
          <t>설계사 태건축사사무소</t>
        </is>
      </c>
      <c r="K77" s="6" t="inlineStr">
        <is>
          <t>태건축사사무소</t>
        </is>
      </c>
      <c r="L77" s="6" t="inlineStr"/>
      <c r="M77" s="6" t="inlineStr"/>
      <c r="N77" s="6" t="inlineStr">
        <is>
          <t>신축</t>
        </is>
      </c>
      <c r="O77" s="6" t="inlineStr">
        <is>
          <t>충청북도 음성군 대소면 성본리 산115-5번지</t>
        </is>
      </c>
    </row>
    <row r="78">
      <c r="A78" s="6" t="inlineStr">
        <is>
          <t>충청북도</t>
        </is>
      </c>
      <c r="B78" s="6" t="inlineStr">
        <is>
          <t>제천시</t>
        </is>
      </c>
      <c r="C78" s="6" t="inlineStr">
        <is>
          <t>화산동 197-1 숙박시설 (***)</t>
        </is>
      </c>
      <c r="D78" s="6" t="inlineStr">
        <is>
          <t>2025-08-24</t>
        </is>
      </c>
      <c r="E78" s="6" t="n">
        <v>13</v>
      </c>
      <c r="F78" s="6" t="n">
        <v>2137</v>
      </c>
      <c r="G78" s="6">
        <f>IF('0.입력칸'!$B$3="","",ROUND(F78/'0.입력칸'!$B$3,0))</f>
        <v/>
      </c>
      <c r="H78" s="6">
        <f>IF(OR('0.입력칸'!$B$3="",'0.입력칸'!$B$5=""),"",ROUND(G78*'0.입력칸'!$B$5,0))</f>
        <v/>
      </c>
      <c r="I78" s="6" t="inlineStr">
        <is>
          <t>없음</t>
        </is>
      </c>
      <c r="J78" s="6" t="inlineStr">
        <is>
          <t>설계사 건축사사무소미래</t>
        </is>
      </c>
      <c r="K78" s="6" t="inlineStr">
        <is>
          <t>건축사사무소미래</t>
        </is>
      </c>
      <c r="L78" s="6" t="inlineStr"/>
      <c r="M78" s="6" t="inlineStr"/>
      <c r="N78" s="6" t="inlineStr">
        <is>
          <t>신축</t>
        </is>
      </c>
      <c r="O78" s="6" t="inlineStr">
        <is>
          <t>충청북도 제천시 화산동 197-1번지</t>
        </is>
      </c>
    </row>
    <row r="79">
      <c r="A79" s="7" t="inlineStr">
        <is>
          <t>충청북도</t>
        </is>
      </c>
      <c r="B79" s="7" t="inlineStr">
        <is>
          <t>청주시</t>
        </is>
      </c>
      <c r="C79" s="7" t="inlineStr">
        <is>
          <t>오창읍 주성리 634 일반숙박시설</t>
        </is>
      </c>
      <c r="D79" s="7" t="inlineStr">
        <is>
          <t>2025-09-08</t>
        </is>
      </c>
      <c r="E79" s="7" t="n">
        <v>12</v>
      </c>
      <c r="F79" s="7" t="n">
        <v>2933</v>
      </c>
      <c r="G79" s="7">
        <f>IF('0.입력칸'!$B$3="","",ROUND(F79/'0.입력칸'!$B$3,0))</f>
        <v/>
      </c>
      <c r="H79" s="7">
        <f>IF(OR('0.입력칸'!$B$3="",'0.입력칸'!$B$5=""),"",ROUND(G79*'0.입력칸'!$B$5,0))</f>
        <v/>
      </c>
      <c r="I79" s="7" t="inlineStr">
        <is>
          <t>있음</t>
        </is>
      </c>
      <c r="J79" s="7" t="inlineStr">
        <is>
          <t>시공사 지율건설(주)</t>
        </is>
      </c>
      <c r="K79" s="7" t="inlineStr">
        <is>
          <t>태건축사사무소</t>
        </is>
      </c>
      <c r="L79" s="7" t="inlineStr"/>
      <c r="M79" s="7" t="inlineStr"/>
      <c r="N79" s="7" t="inlineStr">
        <is>
          <t>신축</t>
        </is>
      </c>
      <c r="O79" s="7" t="inlineStr">
        <is>
          <t>충청북도 청주시 청원구 오창읍 주성리 634번지</t>
        </is>
      </c>
    </row>
    <row r="80">
      <c r="A80" s="7" t="inlineStr">
        <is>
          <t>충청북도</t>
        </is>
      </c>
      <c r="B80" s="7" t="inlineStr">
        <is>
          <t>청주시</t>
        </is>
      </c>
      <c r="C80" s="7" t="inlineStr">
        <is>
          <t>오창읍 양청리 숙박시설</t>
        </is>
      </c>
      <c r="D80" s="7" t="inlineStr">
        <is>
          <t>2026-03-25</t>
        </is>
      </c>
      <c r="E80" s="7" t="n">
        <v>6</v>
      </c>
      <c r="F80" s="7" t="n">
        <v>2923</v>
      </c>
      <c r="G80" s="7">
        <f>IF('0.입력칸'!$B$3="","",ROUND(F80/'0.입력칸'!$B$3,0))</f>
        <v/>
      </c>
      <c r="H80" s="7">
        <f>IF(OR('0.입력칸'!$B$3="",'0.입력칸'!$B$5=""),"",ROUND(G80*'0.입력칸'!$B$5,0))</f>
        <v/>
      </c>
      <c r="I80" s="7" t="inlineStr">
        <is>
          <t>있음</t>
        </is>
      </c>
      <c r="J80" s="7" t="inlineStr">
        <is>
          <t>시공사 제이건설(주)</t>
        </is>
      </c>
      <c r="K80" s="7" t="inlineStr">
        <is>
          <t>이음건축사사무소</t>
        </is>
      </c>
      <c r="L80" s="7" t="inlineStr">
        <is>
          <t>이음건축사사무소</t>
        </is>
      </c>
      <c r="M80" s="7" t="inlineStr"/>
      <c r="N80" s="7" t="inlineStr">
        <is>
          <t>신축</t>
        </is>
      </c>
      <c r="O80" s="7" t="inlineStr">
        <is>
          <t>충청북도 청주시 청원구 오창읍 중심상업로 51-11</t>
        </is>
      </c>
    </row>
    <row r="81">
      <c r="A81" s="6" t="inlineStr">
        <is>
          <t>대전광역시</t>
        </is>
      </c>
      <c r="B81" s="6" t="inlineStr">
        <is>
          <t>동구</t>
        </is>
      </c>
      <c r="C81" s="6" t="inlineStr">
        <is>
          <t>대전시 동구 정동 생활숙박시설 신축공사</t>
        </is>
      </c>
      <c r="D81" s="6" t="inlineStr">
        <is>
          <t>2025-08-09</t>
        </is>
      </c>
      <c r="E81" s="6" t="n">
        <v>13</v>
      </c>
      <c r="F81" s="6" t="n">
        <v>6423</v>
      </c>
      <c r="G81" s="6">
        <f>IF('0.입력칸'!$B$3="","",ROUND(F81/'0.입력칸'!$B$3,0))</f>
        <v/>
      </c>
      <c r="H81" s="6">
        <f>IF(OR('0.입력칸'!$B$3="",'0.입력칸'!$B$5=""),"",ROUND(G81*'0.입력칸'!$B$5,0))</f>
        <v/>
      </c>
      <c r="I81" s="6" t="inlineStr">
        <is>
          <t>없음</t>
        </is>
      </c>
      <c r="J81" s="6" t="inlineStr">
        <is>
          <t>설계사 (주)우리창우종합건축사사무소</t>
        </is>
      </c>
      <c r="K81" s="6" t="inlineStr">
        <is>
          <t>(주)우리창우종합건축사사무소</t>
        </is>
      </c>
      <c r="L81" s="6" t="inlineStr"/>
      <c r="M81" s="6" t="inlineStr">
        <is>
          <t>아이에스지(주)</t>
        </is>
      </c>
      <c r="N81" s="6" t="inlineStr">
        <is>
          <t>신축</t>
        </is>
      </c>
      <c r="O81" s="6" t="inlineStr">
        <is>
          <t>대전광역시 동구 중앙로203번길 60 (정동)</t>
        </is>
      </c>
    </row>
    <row r="82">
      <c r="A82" s="6" t="inlineStr">
        <is>
          <t>경상북도</t>
        </is>
      </c>
      <c r="B82" s="6" t="inlineStr">
        <is>
          <t>경주시</t>
        </is>
      </c>
      <c r="C82" s="6" t="inlineStr">
        <is>
          <t>감포읍 대본리 372 숙박시설 (***)</t>
        </is>
      </c>
      <c r="D82" s="6" t="inlineStr">
        <is>
          <t>2024-05-24</t>
        </is>
      </c>
      <c r="E82" s="6" t="n">
        <v>28</v>
      </c>
      <c r="F82" s="6" t="n">
        <v>6591</v>
      </c>
      <c r="G82" s="6">
        <f>IF('0.입력칸'!$B$3="","",ROUND(F82/'0.입력칸'!$B$3,0))</f>
        <v/>
      </c>
      <c r="H82" s="6">
        <f>IF(OR('0.입력칸'!$B$3="",'0.입력칸'!$B$5=""),"",ROUND(G82*'0.입력칸'!$B$5,0))</f>
        <v/>
      </c>
      <c r="I82" s="6" t="inlineStr">
        <is>
          <t>없음</t>
        </is>
      </c>
      <c r="J82" s="6" t="inlineStr">
        <is>
          <t>설계사 (주)예조종합건축사사무소</t>
        </is>
      </c>
      <c r="K82" s="6" t="inlineStr">
        <is>
          <t>(주)예조종합건축사사무소</t>
        </is>
      </c>
      <c r="L82" s="6" t="inlineStr"/>
      <c r="M82" s="6" t="inlineStr">
        <is>
          <t>지에스개발(주)</t>
        </is>
      </c>
      <c r="N82" s="6" t="inlineStr">
        <is>
          <t>신축</t>
        </is>
      </c>
      <c r="O82" s="6" t="inlineStr">
        <is>
          <t>경상북도 경주시 감포읍 동해안로 1618</t>
        </is>
      </c>
    </row>
    <row r="83">
      <c r="A83" s="7" t="inlineStr">
        <is>
          <t>경상북도</t>
        </is>
      </c>
      <c r="B83" s="7" t="inlineStr">
        <is>
          <t>경주시</t>
        </is>
      </c>
      <c r="C83" s="7" t="inlineStr">
        <is>
          <t>성건동 408-1 숙박시설 (주식회사소노테크)</t>
        </is>
      </c>
      <c r="D83" s="7" t="inlineStr">
        <is>
          <t>2024-12-24</t>
        </is>
      </c>
      <c r="E83" s="7" t="n">
        <v>21</v>
      </c>
      <c r="F83" s="7" t="n">
        <v>5920</v>
      </c>
      <c r="G83" s="7">
        <f>IF('0.입력칸'!$B$3="","",ROUND(F83/'0.입력칸'!$B$3,0))</f>
        <v/>
      </c>
      <c r="H83" s="7">
        <f>IF(OR('0.입력칸'!$B$3="",'0.입력칸'!$B$5=""),"",ROUND(G83*'0.입력칸'!$B$5,0))</f>
        <v/>
      </c>
      <c r="I83" s="7" t="inlineStr">
        <is>
          <t>있음</t>
        </is>
      </c>
      <c r="J83" s="7" t="inlineStr">
        <is>
          <t>시공사 동부이끌림(주)</t>
        </is>
      </c>
      <c r="K83" s="7" t="inlineStr">
        <is>
          <t>건축사사무소원일</t>
        </is>
      </c>
      <c r="L83" s="7" t="inlineStr">
        <is>
          <t>이공건축사사무소</t>
        </is>
      </c>
      <c r="M83" s="7" t="inlineStr"/>
      <c r="N83" s="7" t="inlineStr">
        <is>
          <t>신축</t>
        </is>
      </c>
      <c r="O83" s="7" t="inlineStr">
        <is>
          <t>경상북도 경주시 화랑로 2 (성건동)</t>
        </is>
      </c>
    </row>
    <row r="84">
      <c r="A84" s="6" t="inlineStr">
        <is>
          <t>경상북도</t>
        </is>
      </c>
      <c r="B84" s="6" t="inlineStr">
        <is>
          <t>경주시</t>
        </is>
      </c>
      <c r="C84" s="6" t="inlineStr">
        <is>
          <t>진현동 700-25 숙박시설 (***)</t>
        </is>
      </c>
      <c r="D84" s="6" t="inlineStr">
        <is>
          <t>2022-02-22</t>
        </is>
      </c>
      <c r="E84" s="6" t="n">
        <v>55</v>
      </c>
      <c r="F84" s="6" t="n">
        <v>3917</v>
      </c>
      <c r="G84" s="6">
        <f>IF('0.입력칸'!$B$3="","",ROUND(F84/'0.입력칸'!$B$3,0))</f>
        <v/>
      </c>
      <c r="H84" s="6">
        <f>IF(OR('0.입력칸'!$B$3="",'0.입력칸'!$B$5=""),"",ROUND(G84*'0.입력칸'!$B$5,0))</f>
        <v/>
      </c>
      <c r="I84" s="6" t="inlineStr">
        <is>
          <t>없음</t>
        </is>
      </c>
      <c r="J84" s="6" t="inlineStr">
        <is>
          <t>설계사 이공건축사사무소</t>
        </is>
      </c>
      <c r="K84" s="6" t="inlineStr">
        <is>
          <t>이공건축사사무소</t>
        </is>
      </c>
      <c r="L84" s="6" t="inlineStr"/>
      <c r="M84" s="6" t="inlineStr"/>
      <c r="N84" s="6" t="inlineStr">
        <is>
          <t>증축</t>
        </is>
      </c>
      <c r="O84" s="6" t="inlineStr">
        <is>
          <t>경상북도 경주시 불국신단지1길 31 (진현동)</t>
        </is>
      </c>
    </row>
    <row r="85">
      <c r="A85" s="6" t="inlineStr">
        <is>
          <t>경상북도</t>
        </is>
      </c>
      <c r="B85" s="6" t="inlineStr">
        <is>
          <t>영덕군</t>
        </is>
      </c>
      <c r="C85" s="6" t="inlineStr">
        <is>
          <t>강구면 하저리 467-4 숙박시설 (***)</t>
        </is>
      </c>
      <c r="D85" s="6" t="inlineStr">
        <is>
          <t>2024-08-31</t>
        </is>
      </c>
      <c r="E85" s="6" t="n">
        <v>25</v>
      </c>
      <c r="F85" s="6" t="n">
        <v>1998</v>
      </c>
      <c r="G85" s="6">
        <f>IF('0.입력칸'!$B$3="","",ROUND(F85/'0.입력칸'!$B$3,0))</f>
        <v/>
      </c>
      <c r="H85" s="6">
        <f>IF(OR('0.입력칸'!$B$3="",'0.입력칸'!$B$5=""),"",ROUND(G85*'0.입력칸'!$B$5,0))</f>
        <v/>
      </c>
      <c r="I85" s="6" t="inlineStr">
        <is>
          <t>없음</t>
        </is>
      </c>
      <c r="J85" s="6" t="inlineStr">
        <is>
          <t>설계사 알에이케이건축사사무소</t>
        </is>
      </c>
      <c r="K85" s="6" t="inlineStr">
        <is>
          <t>알에이케이건축사사무소</t>
        </is>
      </c>
      <c r="L85" s="6" t="inlineStr"/>
      <c r="M85" s="6" t="inlineStr"/>
      <c r="N85" s="6" t="inlineStr">
        <is>
          <t>신축</t>
        </is>
      </c>
      <c r="O85" s="6" t="inlineStr">
        <is>
          <t>경상북도 영덕군 강구면 하저리 467-4번지</t>
        </is>
      </c>
    </row>
    <row r="86">
      <c r="A86" s="7" t="inlineStr">
        <is>
          <t>경상북도</t>
        </is>
      </c>
      <c r="B86" s="7" t="inlineStr">
        <is>
          <t>영덕군</t>
        </is>
      </c>
      <c r="C86" s="7" t="inlineStr">
        <is>
          <t>병곡리 4 숙박시설 (***)</t>
        </is>
      </c>
      <c r="D86" s="7" t="inlineStr">
        <is>
          <t>2024-04-05</t>
        </is>
      </c>
      <c r="E86" s="7" t="n">
        <v>30</v>
      </c>
      <c r="F86" s="7" t="n">
        <v>1783</v>
      </c>
      <c r="G86" s="7">
        <f>IF('0.입력칸'!$B$3="","",ROUND(F86/'0.입력칸'!$B$3,0))</f>
        <v/>
      </c>
      <c r="H86" s="7">
        <f>IF(OR('0.입력칸'!$B$3="",'0.입력칸'!$B$5=""),"",ROUND(G86*'0.입력칸'!$B$5,0))</f>
        <v/>
      </c>
      <c r="I86" s="7" t="inlineStr">
        <is>
          <t>있음</t>
        </is>
      </c>
      <c r="J86" s="7" t="inlineStr">
        <is>
          <t>시공사 (주)진홍종합건설</t>
        </is>
      </c>
      <c r="K86" s="7" t="inlineStr">
        <is>
          <t>짓다건축사사무소</t>
        </is>
      </c>
      <c r="L86" s="7" t="inlineStr">
        <is>
          <t>짓다건축사사무소</t>
        </is>
      </c>
      <c r="M86" s="7" t="inlineStr"/>
      <c r="N86" s="7" t="inlineStr">
        <is>
          <t>신축</t>
        </is>
      </c>
      <c r="O86" s="7" t="inlineStr">
        <is>
          <t>경상북도 영덕군 병곡면 병곡리 4번지</t>
        </is>
      </c>
    </row>
    <row r="87">
      <c r="A87" s="6" t="inlineStr">
        <is>
          <t>경상북도</t>
        </is>
      </c>
      <c r="B87" s="6" t="inlineStr">
        <is>
          <t>영덕군</t>
        </is>
      </c>
      <c r="C87" s="6" t="inlineStr">
        <is>
          <t>강구면 삼사리 9-90 일반숙박시설</t>
        </is>
      </c>
      <c r="D87" s="6" t="inlineStr">
        <is>
          <t>2026-04-13</t>
        </is>
      </c>
      <c r="E87" s="6" t="n">
        <v>5</v>
      </c>
      <c r="F87" s="6" t="n">
        <v>1567</v>
      </c>
      <c r="G87" s="6">
        <f>IF('0.입력칸'!$B$3="","",ROUND(F87/'0.입력칸'!$B$3,0))</f>
        <v/>
      </c>
      <c r="H87" s="6">
        <f>IF(OR('0.입력칸'!$B$3="",'0.입력칸'!$B$5=""),"",ROUND(G87*'0.입력칸'!$B$5,0))</f>
        <v/>
      </c>
      <c r="I87" s="6" t="inlineStr">
        <is>
          <t>없음</t>
        </is>
      </c>
      <c r="J87" s="6" t="inlineStr">
        <is>
          <t>설계사 알에이케이건축사사무소</t>
        </is>
      </c>
      <c r="K87" s="6" t="inlineStr">
        <is>
          <t>알에이케이건축사사무소</t>
        </is>
      </c>
      <c r="L87" s="6" t="inlineStr"/>
      <c r="M87" s="6" t="inlineStr"/>
      <c r="N87" s="6" t="inlineStr">
        <is>
          <t>신축</t>
        </is>
      </c>
      <c r="O87" s="6" t="inlineStr">
        <is>
          <t>경상북도 영덕군 강구면 삼사리 9-90번지</t>
        </is>
      </c>
    </row>
    <row r="88">
      <c r="A88" s="6" t="inlineStr">
        <is>
          <t>경상북도</t>
        </is>
      </c>
      <c r="B88" s="6" t="inlineStr">
        <is>
          <t>울릉군</t>
        </is>
      </c>
      <c r="C88" s="6" t="inlineStr">
        <is>
          <t>울릉읍 사동리 574-1 관광숙박시설</t>
        </is>
      </c>
      <c r="D88" s="6" t="inlineStr">
        <is>
          <t>2026-09-25</t>
        </is>
      </c>
      <c r="E88" s="6" t="n">
        <v>0</v>
      </c>
      <c r="F88" s="6" t="n">
        <v>5431</v>
      </c>
      <c r="G88" s="6">
        <f>IF('0.입력칸'!$B$3="","",ROUND(F88/'0.입력칸'!$B$3,0))</f>
        <v/>
      </c>
      <c r="H88" s="6">
        <f>IF(OR('0.입력칸'!$B$3="",'0.입력칸'!$B$5=""),"",ROUND(G88*'0.입력칸'!$B$5,0))</f>
        <v/>
      </c>
      <c r="I88" s="6" t="inlineStr">
        <is>
          <t>없음</t>
        </is>
      </c>
      <c r="J88" s="6" t="inlineStr">
        <is>
          <t>설계사 건축사사무소아살공</t>
        </is>
      </c>
      <c r="K88" s="6" t="inlineStr">
        <is>
          <t>건축사사무소아살공</t>
        </is>
      </c>
      <c r="L88" s="6" t="inlineStr"/>
      <c r="M88" s="6" t="inlineStr"/>
      <c r="N88" s="6" t="inlineStr">
        <is>
          <t>증축</t>
        </is>
      </c>
      <c r="O88" s="6" t="inlineStr">
        <is>
          <t>경상북도 울릉군 울릉읍 울릉순환로 772</t>
        </is>
      </c>
    </row>
    <row r="89">
      <c r="A89" s="6" t="inlineStr">
        <is>
          <t>경상북도</t>
        </is>
      </c>
      <c r="B89" s="6" t="inlineStr">
        <is>
          <t>청도군</t>
        </is>
      </c>
      <c r="C89" s="6" t="inlineStr">
        <is>
          <t>대전리 생활형숙박시설(***)</t>
        </is>
      </c>
      <c r="D89" s="6" t="inlineStr">
        <is>
          <t>2025-09-07</t>
        </is>
      </c>
      <c r="E89" s="6" t="n">
        <v>12</v>
      </c>
      <c r="F89" s="6" t="n">
        <v>2681</v>
      </c>
      <c r="G89" s="6">
        <f>IF('0.입력칸'!$B$3="","",ROUND(F89/'0.입력칸'!$B$3,0))</f>
        <v/>
      </c>
      <c r="H89" s="6">
        <f>IF(OR('0.입력칸'!$B$3="",'0.입력칸'!$B$5=""),"",ROUND(G89*'0.입력칸'!$B$5,0))</f>
        <v/>
      </c>
      <c r="I89" s="6" t="inlineStr">
        <is>
          <t>없음</t>
        </is>
      </c>
      <c r="J89" s="6" t="inlineStr">
        <is>
          <t>설계사 한길건축사사무소</t>
        </is>
      </c>
      <c r="K89" s="6" t="inlineStr">
        <is>
          <t>한길건축사사무소</t>
        </is>
      </c>
      <c r="L89" s="6" t="inlineStr"/>
      <c r="M89" s="6" t="inlineStr"/>
      <c r="N89" s="6" t="inlineStr">
        <is>
          <t>신축</t>
        </is>
      </c>
      <c r="O89" s="6" t="inlineStr">
        <is>
          <t>경상북도 청도군 이서면 대전리 332번지</t>
        </is>
      </c>
    </row>
    <row r="90">
      <c r="A90" s="7" t="inlineStr">
        <is>
          <t>경상북도</t>
        </is>
      </c>
      <c r="B90" s="7" t="inlineStr">
        <is>
          <t>포항시</t>
        </is>
      </c>
      <c r="C90" s="7" t="inlineStr">
        <is>
          <t>관광숙박시설(호스텔)</t>
        </is>
      </c>
      <c r="D90" s="7" t="inlineStr">
        <is>
          <t>2025-03-18</t>
        </is>
      </c>
      <c r="E90" s="7" t="n">
        <v>18</v>
      </c>
      <c r="F90" s="7" t="n">
        <v>1795</v>
      </c>
      <c r="G90" s="7">
        <f>IF('0.입력칸'!$B$3="","",ROUND(F90/'0.입력칸'!$B$3,0))</f>
        <v/>
      </c>
      <c r="H90" s="7">
        <f>IF(OR('0.입력칸'!$B$3="",'0.입력칸'!$B$5=""),"",ROUND(G90*'0.입력칸'!$B$5,0))</f>
        <v/>
      </c>
      <c r="I90" s="7" t="inlineStr">
        <is>
          <t>있음</t>
        </is>
      </c>
      <c r="J90" s="7" t="inlineStr">
        <is>
          <t>시공사 (주)주원이앤씨</t>
        </is>
      </c>
      <c r="K90" s="7" t="inlineStr">
        <is>
          <t>(주)최성민건축사사무소</t>
        </is>
      </c>
      <c r="L90" s="7" t="inlineStr"/>
      <c r="M90" s="7" t="inlineStr"/>
      <c r="N90" s="7" t="inlineStr">
        <is>
          <t>신축</t>
        </is>
      </c>
      <c r="O90" s="7" t="inlineStr">
        <is>
          <t>경상북도 포항시 남구 구룡포읍 동해안로 4248</t>
        </is>
      </c>
    </row>
    <row r="91">
      <c r="A91" s="6" t="inlineStr">
        <is>
          <t>경상북도</t>
        </is>
      </c>
      <c r="B91" s="6" t="inlineStr">
        <is>
          <t>포항시</t>
        </is>
      </c>
      <c r="C91" s="6" t="inlineStr">
        <is>
          <t>오천읍 문덕리 316-4 숙박시설 증축 공사</t>
        </is>
      </c>
      <c r="D91" s="6" t="inlineStr">
        <is>
          <t>2026-03-16</t>
        </is>
      </c>
      <c r="E91" s="6" t="n">
        <v>6</v>
      </c>
      <c r="F91" s="6" t="n">
        <v>1726</v>
      </c>
      <c r="G91" s="6">
        <f>IF('0.입력칸'!$B$3="","",ROUND(F91/'0.입력칸'!$B$3,0))</f>
        <v/>
      </c>
      <c r="H91" s="6">
        <f>IF(OR('0.입력칸'!$B$3="",'0.입력칸'!$B$5=""),"",ROUND(G91*'0.입력칸'!$B$5,0))</f>
        <v/>
      </c>
      <c r="I91" s="6" t="inlineStr">
        <is>
          <t>없음</t>
        </is>
      </c>
      <c r="J91" s="6" t="inlineStr">
        <is>
          <t>설계사 동해건축사사무소</t>
        </is>
      </c>
      <c r="K91" s="6" t="inlineStr">
        <is>
          <t>동해건축사사무소</t>
        </is>
      </c>
      <c r="L91" s="6" t="inlineStr">
        <is>
          <t>동해건축사사무소</t>
        </is>
      </c>
      <c r="M91" s="6" t="inlineStr"/>
      <c r="N91" s="6" t="inlineStr">
        <is>
          <t>증축</t>
        </is>
      </c>
      <c r="O91" s="6" t="inlineStr">
        <is>
          <t>경상북도 포항시 남구 오천읍 문덕로37번길 9</t>
        </is>
      </c>
    </row>
    <row r="92">
      <c r="A92" s="7" t="inlineStr">
        <is>
          <t>경상북도</t>
        </is>
      </c>
      <c r="B92" s="7" t="inlineStr">
        <is>
          <t>포항시</t>
        </is>
      </c>
      <c r="C92" s="7" t="inlineStr">
        <is>
          <t>장기면 계원리 177 숙박시설 (***)</t>
        </is>
      </c>
      <c r="D92" s="7" t="inlineStr">
        <is>
          <t>2021-08-10</t>
        </is>
      </c>
      <c r="E92" s="7" t="n">
        <v>61</v>
      </c>
      <c r="F92" s="7" t="n">
        <v>1543</v>
      </c>
      <c r="G92" s="7">
        <f>IF('0.입력칸'!$B$3="","",ROUND(F92/'0.입력칸'!$B$3,0))</f>
        <v/>
      </c>
      <c r="H92" s="7">
        <f>IF(OR('0.입력칸'!$B$3="",'0.입력칸'!$B$5=""),"",ROUND(G92*'0.입력칸'!$B$5,0))</f>
        <v/>
      </c>
      <c r="I92" s="7" t="inlineStr">
        <is>
          <t>있음</t>
        </is>
      </c>
      <c r="J92" s="7" t="inlineStr">
        <is>
          <t>시공사 (주)대명종합건설</t>
        </is>
      </c>
      <c r="K92" s="7" t="inlineStr">
        <is>
          <t>알에이케이건축사사무소</t>
        </is>
      </c>
      <c r="L92" s="7" t="inlineStr">
        <is>
          <t>알에이케이건축사사무소</t>
        </is>
      </c>
      <c r="M92" s="7" t="inlineStr">
        <is>
          <t>금채개발</t>
        </is>
      </c>
      <c r="N92" s="7" t="inlineStr">
        <is>
          <t>신축</t>
        </is>
      </c>
      <c r="O92" s="7" t="inlineStr">
        <is>
          <t>경상북도 포항시 남구 장기면 동해안로 3081-31</t>
        </is>
      </c>
    </row>
    <row r="93">
      <c r="A93" s="6" t="inlineStr">
        <is>
          <t>대구광역시</t>
        </is>
      </c>
      <c r="B93" s="6" t="inlineStr">
        <is>
          <t>군위군</t>
        </is>
      </c>
      <c r="C93" s="6" t="inlineStr">
        <is>
          <t>군위읍 오곡리 109-9 숙박시설 (***)</t>
        </is>
      </c>
      <c r="D93" s="6" t="inlineStr">
        <is>
          <t>2026-03-23</t>
        </is>
      </c>
      <c r="E93" s="6" t="n">
        <v>6</v>
      </c>
      <c r="F93" s="6" t="n">
        <v>1996</v>
      </c>
      <c r="G93" s="6">
        <f>IF('0.입력칸'!$B$3="","",ROUND(F93/'0.입력칸'!$B$3,0))</f>
        <v/>
      </c>
      <c r="H93" s="6">
        <f>IF(OR('0.입력칸'!$B$3="",'0.입력칸'!$B$5=""),"",ROUND(G93*'0.입력칸'!$B$5,0))</f>
        <v/>
      </c>
      <c r="I93" s="6" t="inlineStr">
        <is>
          <t>없음</t>
        </is>
      </c>
      <c r="J93" s="6" t="inlineStr">
        <is>
          <t>설계사 건축사무소대명원</t>
        </is>
      </c>
      <c r="K93" s="6" t="inlineStr">
        <is>
          <t>건축사무소대명원</t>
        </is>
      </c>
      <c r="L93" s="6" t="inlineStr"/>
      <c r="M93" s="6" t="inlineStr"/>
      <c r="N93" s="6" t="inlineStr">
        <is>
          <t>신축</t>
        </is>
      </c>
      <c r="O93" s="6" t="inlineStr">
        <is>
          <t>대구광역시 군위군 군위읍 오곡리 산109-9번지</t>
        </is>
      </c>
    </row>
    <row r="94">
      <c r="A94" s="6" t="inlineStr">
        <is>
          <t>대구광역시</t>
        </is>
      </c>
      <c r="B94" s="6" t="inlineStr">
        <is>
          <t>달성군</t>
        </is>
      </c>
      <c r="C94" s="6" t="inlineStr">
        <is>
          <t>숙박시설 (주식회사 대산1)</t>
        </is>
      </c>
      <c r="D94" s="6" t="inlineStr">
        <is>
          <t>2025-11-06</t>
        </is>
      </c>
      <c r="E94" s="6" t="n">
        <v>10</v>
      </c>
      <c r="F94" s="6" t="n">
        <v>10680</v>
      </c>
      <c r="G94" s="6">
        <f>IF('0.입력칸'!$B$3="","",ROUND(F94/'0.입력칸'!$B$3,0))</f>
        <v/>
      </c>
      <c r="H94" s="6">
        <f>IF(OR('0.입력칸'!$B$3="",'0.입력칸'!$B$5=""),"",ROUND(G94*'0.입력칸'!$B$5,0))</f>
        <v/>
      </c>
      <c r="I94" s="6" t="inlineStr">
        <is>
          <t>없음</t>
        </is>
      </c>
      <c r="J94" s="6" t="inlineStr">
        <is>
          <t>설계사 (주)파랑건축사사무소</t>
        </is>
      </c>
      <c r="K94" s="6" t="inlineStr">
        <is>
          <t>(주)파랑건축사사무소</t>
        </is>
      </c>
      <c r="L94" s="6" t="inlineStr"/>
      <c r="M94" s="6" t="inlineStr">
        <is>
          <t>(주)대산1</t>
        </is>
      </c>
      <c r="N94" s="6" t="inlineStr">
        <is>
          <t>신축</t>
        </is>
      </c>
      <c r="O94" s="6" t="inlineStr">
        <is>
          <t>대구광역시 달성군 구지면 응암리 1240-3번지</t>
        </is>
      </c>
    </row>
    <row r="95">
      <c r="A95" s="7" t="inlineStr">
        <is>
          <t>대구광역시</t>
        </is>
      </c>
      <c r="B95" s="7" t="inlineStr">
        <is>
          <t>북구</t>
        </is>
      </c>
      <c r="C95" s="7" t="inlineStr">
        <is>
          <t>서변동 1779-8 숙박시설 (***)</t>
        </is>
      </c>
      <c r="D95" s="7" t="inlineStr">
        <is>
          <t>2022-04-14</t>
        </is>
      </c>
      <c r="E95" s="7" t="n">
        <v>53</v>
      </c>
      <c r="F95" s="7" t="n">
        <v>2212</v>
      </c>
      <c r="G95" s="7">
        <f>IF('0.입력칸'!$B$3="","",ROUND(F95/'0.입력칸'!$B$3,0))</f>
        <v/>
      </c>
      <c r="H95" s="7">
        <f>IF(OR('0.입력칸'!$B$3="",'0.입력칸'!$B$5=""),"",ROUND(G95*'0.입력칸'!$B$5,0))</f>
        <v/>
      </c>
      <c r="I95" s="7" t="inlineStr">
        <is>
          <t>있음</t>
        </is>
      </c>
      <c r="J95" s="7" t="inlineStr">
        <is>
          <t>시공사 (주)일성건설</t>
        </is>
      </c>
      <c r="K95" s="7" t="inlineStr">
        <is>
          <t>건축사사무소예지</t>
        </is>
      </c>
      <c r="L95" s="7" t="inlineStr">
        <is>
          <t>건축사사무소예지</t>
        </is>
      </c>
      <c r="M95" s="7" t="inlineStr"/>
      <c r="N95" s="7" t="inlineStr">
        <is>
          <t>대수선</t>
        </is>
      </c>
      <c r="O95" s="7" t="inlineStr">
        <is>
          <t>대구광역시 북구 호국로 239 (서변동)</t>
        </is>
      </c>
    </row>
    <row r="96">
      <c r="A96" s="6" t="inlineStr">
        <is>
          <t>경상남도</t>
        </is>
      </c>
      <c r="B96" s="6" t="inlineStr">
        <is>
          <t>거제시</t>
        </is>
      </c>
      <c r="C96" s="6" t="inlineStr">
        <is>
          <t>일운면 소동리 19-1 숙박시설 (주식회사 아레포즈거제)</t>
        </is>
      </c>
      <c r="D96" s="6" t="inlineStr">
        <is>
          <t>2026-10-30</t>
        </is>
      </c>
      <c r="E96" s="6" t="n">
        <v>-1</v>
      </c>
      <c r="F96" s="6" t="n">
        <v>111820</v>
      </c>
      <c r="G96" s="6">
        <f>IF('0.입력칸'!$B$3="","",ROUND(F96/'0.입력칸'!$B$3,0))</f>
        <v/>
      </c>
      <c r="H96" s="6">
        <f>IF(OR('0.입력칸'!$B$3="",'0.입력칸'!$B$5=""),"",ROUND(G96*'0.입력칸'!$B$5,0))</f>
        <v/>
      </c>
      <c r="I96" s="6" t="inlineStr">
        <is>
          <t>없음</t>
        </is>
      </c>
      <c r="J96" s="6" t="inlineStr">
        <is>
          <t>설계사 (주)종합건축사사무소건원</t>
        </is>
      </c>
      <c r="K96" s="6" t="inlineStr">
        <is>
          <t>(주)종합건축사사무소건원</t>
        </is>
      </c>
      <c r="L96" s="6" t="inlineStr"/>
      <c r="M96" s="6" t="inlineStr">
        <is>
          <t>(주)아레포즈거제</t>
        </is>
      </c>
      <c r="N96" s="6" t="inlineStr">
        <is>
          <t>신축</t>
        </is>
      </c>
      <c r="O96" s="6" t="inlineStr">
        <is>
          <t>경상남도 거제시 일운면 소동리 19-1번지</t>
        </is>
      </c>
    </row>
    <row r="97">
      <c r="A97" s="6" t="inlineStr">
        <is>
          <t>경상남도</t>
        </is>
      </c>
      <c r="B97" s="6" t="inlineStr">
        <is>
          <t>거제시</t>
        </is>
      </c>
      <c r="C97" s="6" t="inlineStr">
        <is>
          <t>거제빅아일랜드 4BL 생활숙박시설</t>
        </is>
      </c>
      <c r="D97" s="6" t="inlineStr">
        <is>
          <t>2026-03-10</t>
        </is>
      </c>
      <c r="E97" s="6" t="n">
        <v>6</v>
      </c>
      <c r="F97" s="6" t="n">
        <v>34584</v>
      </c>
      <c r="G97" s="6">
        <f>IF('0.입력칸'!$B$3="","",ROUND(F97/'0.입력칸'!$B$3,0))</f>
        <v/>
      </c>
      <c r="H97" s="6">
        <f>IF(OR('0.입력칸'!$B$3="",'0.입력칸'!$B$5=""),"",ROUND(G97*'0.입력칸'!$B$5,0))</f>
        <v/>
      </c>
      <c r="I97" s="6" t="inlineStr">
        <is>
          <t>없음</t>
        </is>
      </c>
      <c r="J97" s="6" t="inlineStr">
        <is>
          <t>설계사 (주)종합건축사사무소동일건축</t>
        </is>
      </c>
      <c r="K97" s="6" t="inlineStr">
        <is>
          <t>(주)종합건축사사무소동일건축</t>
        </is>
      </c>
      <c r="L97" s="6" t="inlineStr"/>
      <c r="M97" s="6" t="inlineStr">
        <is>
          <t>(주)더봄플러스</t>
        </is>
      </c>
      <c r="N97" s="6" t="inlineStr">
        <is>
          <t>신축</t>
        </is>
      </c>
      <c r="O97" s="6" t="inlineStr">
        <is>
          <t>경상남도 거제시 고현동 1118번지</t>
        </is>
      </c>
    </row>
    <row r="98">
      <c r="A98" s="6" t="inlineStr">
        <is>
          <t>경상남도</t>
        </is>
      </c>
      <c r="B98" s="6" t="inlineStr">
        <is>
          <t>거제시</t>
        </is>
      </c>
      <c r="C98" s="6" t="inlineStr">
        <is>
          <t>고현동 1110 거제빅아일랜드 5-2BL 관광숙박시설</t>
        </is>
      </c>
      <c r="D98" s="6" t="inlineStr">
        <is>
          <t>2026-03-10</t>
        </is>
      </c>
      <c r="E98" s="6" t="n">
        <v>6</v>
      </c>
      <c r="F98" s="6" t="n">
        <v>30790</v>
      </c>
      <c r="G98" s="6">
        <f>IF('0.입력칸'!$B$3="","",ROUND(F98/'0.입력칸'!$B$3,0))</f>
        <v/>
      </c>
      <c r="H98" s="6">
        <f>IF(OR('0.입력칸'!$B$3="",'0.입력칸'!$B$5=""),"",ROUND(G98*'0.입력칸'!$B$5,0))</f>
        <v/>
      </c>
      <c r="I98" s="6" t="inlineStr">
        <is>
          <t>없음</t>
        </is>
      </c>
      <c r="J98" s="6" t="inlineStr">
        <is>
          <t>설계사 (주)종합건축사사무소동일건축</t>
        </is>
      </c>
      <c r="K98" s="6" t="inlineStr">
        <is>
          <t>(주)종합건축사사무소동일건축</t>
        </is>
      </c>
      <c r="L98" s="6" t="inlineStr"/>
      <c r="M98" s="6" t="inlineStr">
        <is>
          <t>(주)더봄플러스</t>
        </is>
      </c>
      <c r="N98" s="6" t="inlineStr">
        <is>
          <t>신축</t>
        </is>
      </c>
      <c r="O98" s="6" t="inlineStr">
        <is>
          <t>경상남도 거제시 고현동 1110번지</t>
        </is>
      </c>
    </row>
    <row r="99">
      <c r="A99" s="6" t="inlineStr">
        <is>
          <t>경상남도</t>
        </is>
      </c>
      <c r="B99" s="6" t="inlineStr">
        <is>
          <t>거제시</t>
        </is>
      </c>
      <c r="C99" s="6" t="inlineStr">
        <is>
          <t>거제빅아일랜드 5-1BL 생활숙박시설</t>
        </is>
      </c>
      <c r="D99" s="6" t="inlineStr">
        <is>
          <t>2026-03-10</t>
        </is>
      </c>
      <c r="E99" s="6" t="n">
        <v>6</v>
      </c>
      <c r="F99" s="6" t="n">
        <v>25130</v>
      </c>
      <c r="G99" s="6">
        <f>IF('0.입력칸'!$B$3="","",ROUND(F99/'0.입력칸'!$B$3,0))</f>
        <v/>
      </c>
      <c r="H99" s="6">
        <f>IF(OR('0.입력칸'!$B$3="",'0.입력칸'!$B$5=""),"",ROUND(G99*'0.입력칸'!$B$5,0))</f>
        <v/>
      </c>
      <c r="I99" s="6" t="inlineStr">
        <is>
          <t>없음</t>
        </is>
      </c>
      <c r="J99" s="6" t="inlineStr">
        <is>
          <t>설계사 (주)종합건축사사무소동일건축</t>
        </is>
      </c>
      <c r="K99" s="6" t="inlineStr">
        <is>
          <t>(주)종합건축사사무소동일건축</t>
        </is>
      </c>
      <c r="L99" s="6" t="inlineStr"/>
      <c r="M99" s="6" t="inlineStr">
        <is>
          <t>(주)더봄플러스</t>
        </is>
      </c>
      <c r="N99" s="6" t="inlineStr">
        <is>
          <t>신축</t>
        </is>
      </c>
      <c r="O99" s="6" t="inlineStr">
        <is>
          <t>경상남도 거제시 고현동 1113번지</t>
        </is>
      </c>
    </row>
    <row r="100">
      <c r="A100" s="6" t="inlineStr">
        <is>
          <t>경상남도</t>
        </is>
      </c>
      <c r="B100" s="6" t="inlineStr">
        <is>
          <t>남해군</t>
        </is>
      </c>
      <c r="C100" s="6" t="inlineStr">
        <is>
          <t>창선면 대벽리 178-43 숙박시설 ((주)카프리)</t>
        </is>
      </c>
      <c r="D100" s="6" t="inlineStr">
        <is>
          <t>2025-01-15</t>
        </is>
      </c>
      <c r="E100" s="6" t="n">
        <v>20</v>
      </c>
      <c r="F100" s="6" t="n">
        <v>4933</v>
      </c>
      <c r="G100" s="6">
        <f>IF('0.입력칸'!$B$3="","",ROUND(F100/'0.입력칸'!$B$3,0))</f>
        <v/>
      </c>
      <c r="H100" s="6">
        <f>IF(OR('0.입력칸'!$B$3="",'0.입력칸'!$B$5=""),"",ROUND(G100*'0.입력칸'!$B$5,0))</f>
        <v/>
      </c>
      <c r="I100" s="6" t="inlineStr">
        <is>
          <t>없음</t>
        </is>
      </c>
      <c r="J100" s="6" t="inlineStr">
        <is>
          <t>설계사 건축사사무소돌</t>
        </is>
      </c>
      <c r="K100" s="6" t="inlineStr">
        <is>
          <t>건축사사무소돌</t>
        </is>
      </c>
      <c r="L100" s="6" t="inlineStr"/>
      <c r="M100" s="6" t="inlineStr">
        <is>
          <t>(주)카프리</t>
        </is>
      </c>
      <c r="N100" s="6" t="inlineStr">
        <is>
          <t>신축</t>
        </is>
      </c>
      <c r="O100" s="6" t="inlineStr">
        <is>
          <t>경상남도 남해군 창선면 대벽리 178-43번지</t>
        </is>
      </c>
    </row>
    <row r="101">
      <c r="A101" s="7" t="inlineStr">
        <is>
          <t>경상남도</t>
        </is>
      </c>
      <c r="B101" s="7" t="inlineStr">
        <is>
          <t>남해군</t>
        </is>
      </c>
      <c r="C101" s="7" t="inlineStr">
        <is>
          <t>고현면 갈화리 20-3 숙박시설 (파라다이스건설(***))</t>
        </is>
      </c>
      <c r="D101" s="7" t="inlineStr">
        <is>
          <t>2022-02-07</t>
        </is>
      </c>
      <c r="E101" s="7" t="n">
        <v>55</v>
      </c>
      <c r="F101" s="7" t="n">
        <v>3692</v>
      </c>
      <c r="G101" s="7">
        <f>IF('0.입력칸'!$B$3="","",ROUND(F101/'0.입력칸'!$B$3,0))</f>
        <v/>
      </c>
      <c r="H101" s="7">
        <f>IF(OR('0.입력칸'!$B$3="",'0.입력칸'!$B$5=""),"",ROUND(G101*'0.입력칸'!$B$5,0))</f>
        <v/>
      </c>
      <c r="I101" s="7" t="inlineStr">
        <is>
          <t>있음</t>
        </is>
      </c>
      <c r="J101" s="7" t="inlineStr">
        <is>
          <t>시공사 (주)휘성종합건설</t>
        </is>
      </c>
      <c r="K101" s="7" t="inlineStr">
        <is>
          <t>(주)비전21건축사사무소</t>
        </is>
      </c>
      <c r="L101" s="7" t="inlineStr">
        <is>
          <t>사이버존</t>
        </is>
      </c>
      <c r="M101" s="7" t="inlineStr"/>
      <c r="N101" s="7" t="inlineStr">
        <is>
          <t>신축</t>
        </is>
      </c>
      <c r="O101" s="7" t="inlineStr">
        <is>
          <t>경상남도 남해군 고현면 남서대로 3198-33</t>
        </is>
      </c>
    </row>
    <row r="102">
      <c r="A102" s="7" t="inlineStr">
        <is>
          <t>경상남도</t>
        </is>
      </c>
      <c r="B102" s="7" t="inlineStr">
        <is>
          <t>남해군</t>
        </is>
      </c>
      <c r="C102" s="7" t="inlineStr">
        <is>
          <t>남면 석교리 203숙박시설 (대성에너지(주))</t>
        </is>
      </c>
      <c r="D102" s="7" t="inlineStr">
        <is>
          <t>2024-10-16</t>
        </is>
      </c>
      <c r="E102" s="7" t="n">
        <v>23</v>
      </c>
      <c r="F102" s="7" t="n">
        <v>1897</v>
      </c>
      <c r="G102" s="7">
        <f>IF('0.입력칸'!$B$3="","",ROUND(F102/'0.입력칸'!$B$3,0))</f>
        <v/>
      </c>
      <c r="H102" s="7">
        <f>IF(OR('0.입력칸'!$B$3="",'0.입력칸'!$B$5=""),"",ROUND(G102*'0.입력칸'!$B$5,0))</f>
        <v/>
      </c>
      <c r="I102" s="7" t="inlineStr">
        <is>
          <t>있음</t>
        </is>
      </c>
      <c r="J102" s="7" t="inlineStr">
        <is>
          <t>시공사 (주)한을</t>
        </is>
      </c>
      <c r="K102" s="7" t="inlineStr">
        <is>
          <t>민건축사사무소</t>
        </is>
      </c>
      <c r="L102" s="7" t="inlineStr">
        <is>
          <t>민건축사사무소</t>
        </is>
      </c>
      <c r="M102" s="7" t="inlineStr">
        <is>
          <t>대성홀딩스(주)</t>
        </is>
      </c>
      <c r="N102" s="7" t="inlineStr">
        <is>
          <t>신축</t>
        </is>
      </c>
      <c r="O102" s="7" t="inlineStr">
        <is>
          <t>경상남도 남해군 남면 남면로 161-58</t>
        </is>
      </c>
    </row>
    <row r="103">
      <c r="A103" s="7" t="inlineStr">
        <is>
          <t>경상남도</t>
        </is>
      </c>
      <c r="B103" s="7" t="inlineStr">
        <is>
          <t>밀양시</t>
        </is>
      </c>
      <c r="C103" s="7" t="inlineStr">
        <is>
          <t>밀양 에스파크리조트 숙박시설(단독형)</t>
        </is>
      </c>
      <c r="D103" s="7" t="inlineStr">
        <is>
          <t>2024-02-08</t>
        </is>
      </c>
      <c r="E103" s="7" t="n">
        <v>31</v>
      </c>
      <c r="F103" s="7" t="n">
        <v>5808</v>
      </c>
      <c r="G103" s="7">
        <f>IF('0.입력칸'!$B$3="","",ROUND(F103/'0.입력칸'!$B$3,0))</f>
        <v/>
      </c>
      <c r="H103" s="7">
        <f>IF(OR('0.입력칸'!$B$3="",'0.입력칸'!$B$5=""),"",ROUND(G103*'0.입력칸'!$B$5,0))</f>
        <v/>
      </c>
      <c r="I103" s="7" t="inlineStr">
        <is>
          <t>있음</t>
        </is>
      </c>
      <c r="J103" s="7" t="inlineStr">
        <is>
          <t>시공사 창성종합건설(주)</t>
        </is>
      </c>
      <c r="K103" s="7" t="inlineStr">
        <is>
          <t>제이에이치엔건축사사무소</t>
        </is>
      </c>
      <c r="L103" s="7" t="inlineStr">
        <is>
          <t>(주)나이스에너지</t>
        </is>
      </c>
      <c r="M103" s="7" t="inlineStr">
        <is>
          <t>밀양관광단지조성사업단(주)</t>
        </is>
      </c>
      <c r="N103" s="7" t="inlineStr">
        <is>
          <t>신축</t>
        </is>
      </c>
      <c r="O103" s="7" t="inlineStr">
        <is>
          <t>경상남도 밀양시 산외면 다죽리 1363번지</t>
        </is>
      </c>
    </row>
    <row r="104">
      <c r="A104" s="6" t="inlineStr">
        <is>
          <t>경상남도</t>
        </is>
      </c>
      <c r="B104" s="6" t="inlineStr">
        <is>
          <t>사천시</t>
        </is>
      </c>
      <c r="C104" s="6" t="inlineStr">
        <is>
          <t>서금동 9-3 숙박시설 (옥경희)</t>
        </is>
      </c>
      <c r="D104" s="6" t="inlineStr">
        <is>
          <t>2024-09-25</t>
        </is>
      </c>
      <c r="E104" s="6" t="n">
        <v>24</v>
      </c>
      <c r="F104" s="6" t="n">
        <v>1886</v>
      </c>
      <c r="G104" s="6">
        <f>IF('0.입력칸'!$B$3="","",ROUND(F104/'0.입력칸'!$B$3,0))</f>
        <v/>
      </c>
      <c r="H104" s="6">
        <f>IF(OR('0.입력칸'!$B$3="",'0.입력칸'!$B$5=""),"",ROUND(G104*'0.입력칸'!$B$5,0))</f>
        <v/>
      </c>
      <c r="I104" s="6" t="inlineStr">
        <is>
          <t>없음</t>
        </is>
      </c>
      <c r="J104" s="6" t="inlineStr">
        <is>
          <t>설계사 건축사사무소가인</t>
        </is>
      </c>
      <c r="K104" s="6" t="inlineStr">
        <is>
          <t>건축사사무소가인</t>
        </is>
      </c>
      <c r="L104" s="6" t="inlineStr"/>
      <c r="M104" s="6" t="inlineStr"/>
      <c r="N104" s="6" t="inlineStr">
        <is>
          <t>신축</t>
        </is>
      </c>
      <c r="O104" s="6" t="inlineStr">
        <is>
          <t>경상남도 사천시 팔포3길 17-8 (서금동)</t>
        </is>
      </c>
    </row>
    <row r="105">
      <c r="A105" s="6" t="inlineStr">
        <is>
          <t>경상남도</t>
        </is>
      </c>
      <c r="B105" s="6" t="inlineStr">
        <is>
          <t>통영시</t>
        </is>
      </c>
      <c r="C105" s="6" t="inlineStr">
        <is>
          <t>산양읍 연화리 1850000 숙박시설 (우람개발(***)</t>
        </is>
      </c>
      <c r="D105" s="6" t="inlineStr">
        <is>
          <t>2025-12-12</t>
        </is>
      </c>
      <c r="E105" s="6" t="n">
        <v>9</v>
      </c>
      <c r="F105" s="6" t="n">
        <v>14895</v>
      </c>
      <c r="G105" s="6">
        <f>IF('0.입력칸'!$B$3="","",ROUND(F105/'0.입력칸'!$B$3,0))</f>
        <v/>
      </c>
      <c r="H105" s="6">
        <f>IF(OR('0.입력칸'!$B$3="",'0.입력칸'!$B$5=""),"",ROUND(G105*'0.입력칸'!$B$5,0))</f>
        <v/>
      </c>
      <c r="I105" s="6" t="inlineStr">
        <is>
          <t>없음</t>
        </is>
      </c>
      <c r="J105" s="6" t="inlineStr">
        <is>
          <t>설계사 한솔건축사사무소</t>
        </is>
      </c>
      <c r="K105" s="6" t="inlineStr">
        <is>
          <t>한솔건축사사무소</t>
        </is>
      </c>
      <c r="L105" s="6" t="inlineStr"/>
      <c r="M105" s="6" t="inlineStr">
        <is>
          <t>우람개발(주)</t>
        </is>
      </c>
      <c r="N105" s="6" t="inlineStr">
        <is>
          <t>신축</t>
        </is>
      </c>
      <c r="O105" s="6" t="inlineStr">
        <is>
          <t>경상남도 통영시 산양읍 산양일주로 1203-34</t>
        </is>
      </c>
    </row>
    <row r="106">
      <c r="A106" s="6" t="inlineStr">
        <is>
          <t>경상남도</t>
        </is>
      </c>
      <c r="B106" s="6" t="inlineStr">
        <is>
          <t>통영시</t>
        </is>
      </c>
      <c r="C106" s="6" t="inlineStr">
        <is>
          <t>용남면 장평리 00 관광숙박시설</t>
        </is>
      </c>
      <c r="D106" s="6" t="inlineStr">
        <is>
          <t>2025-02-16</t>
        </is>
      </c>
      <c r="E106" s="6" t="n">
        <v>19</v>
      </c>
      <c r="F106" s="6" t="n">
        <v>3101</v>
      </c>
      <c r="G106" s="6">
        <f>IF('0.입력칸'!$B$3="","",ROUND(F106/'0.입력칸'!$B$3,0))</f>
        <v/>
      </c>
      <c r="H106" s="6">
        <f>IF(OR('0.입력칸'!$B$3="",'0.입력칸'!$B$5=""),"",ROUND(G106*'0.입력칸'!$B$5,0))</f>
        <v/>
      </c>
      <c r="I106" s="6" t="inlineStr">
        <is>
          <t>없음</t>
        </is>
      </c>
      <c r="J106" s="6" t="inlineStr">
        <is>
          <t>설계사 (주)예성토탈건축사사무소</t>
        </is>
      </c>
      <c r="K106" s="6" t="inlineStr">
        <is>
          <t>(주)예성토탈건축사사무소</t>
        </is>
      </c>
      <c r="L106" s="6" t="inlineStr"/>
      <c r="M106" s="6" t="inlineStr"/>
      <c r="N106" s="6" t="inlineStr">
        <is>
          <t>신축</t>
        </is>
      </c>
      <c r="O106" s="6" t="inlineStr">
        <is>
          <t>경상남도 통영시 용남면 견유1길 159</t>
        </is>
      </c>
    </row>
    <row r="107">
      <c r="A107" s="6" t="inlineStr">
        <is>
          <t>경상남도</t>
        </is>
      </c>
      <c r="B107" s="6" t="inlineStr">
        <is>
          <t>통영시</t>
        </is>
      </c>
      <c r="C107" s="6" t="inlineStr">
        <is>
          <t>도산면 법송리 1190-2 숙박시설 (***)</t>
        </is>
      </c>
      <c r="D107" s="6" t="inlineStr">
        <is>
          <t>2026-03-25</t>
        </is>
      </c>
      <c r="E107" s="6" t="n">
        <v>6</v>
      </c>
      <c r="F107" s="6" t="n">
        <v>1506</v>
      </c>
      <c r="G107" s="6">
        <f>IF('0.입력칸'!$B$3="","",ROUND(F107/'0.입력칸'!$B$3,0))</f>
        <v/>
      </c>
      <c r="H107" s="6">
        <f>IF(OR('0.입력칸'!$B$3="",'0.입력칸'!$B$5=""),"",ROUND(G107*'0.입력칸'!$B$5,0))</f>
        <v/>
      </c>
      <c r="I107" s="6" t="inlineStr">
        <is>
          <t>없음</t>
        </is>
      </c>
      <c r="J107" s="6" t="inlineStr">
        <is>
          <t>설계사 (주)바우하우스건축사사무소</t>
        </is>
      </c>
      <c r="K107" s="6" t="inlineStr">
        <is>
          <t>(주)바우하우스건축사사무소</t>
        </is>
      </c>
      <c r="L107" s="6" t="inlineStr"/>
      <c r="M107" s="6" t="inlineStr"/>
      <c r="N107" s="6" t="inlineStr">
        <is>
          <t>신축</t>
        </is>
      </c>
      <c r="O107" s="6" t="inlineStr">
        <is>
          <t>경상남도 통영시 도산면 수월길 33</t>
        </is>
      </c>
    </row>
    <row r="108">
      <c r="A108" s="7" t="inlineStr">
        <is>
          <t>경상남도</t>
        </is>
      </c>
      <c r="B108" s="7" t="inlineStr">
        <is>
          <t>하동군</t>
        </is>
      </c>
      <c r="C108" s="7" t="inlineStr">
        <is>
          <t>화개면 정금리 생활숙박시설 B단지</t>
        </is>
      </c>
      <c r="D108" s="7" t="inlineStr">
        <is>
          <t>2024-02-28</t>
        </is>
      </c>
      <c r="E108" s="7" t="n">
        <v>31</v>
      </c>
      <c r="F108" s="7" t="n">
        <v>2398</v>
      </c>
      <c r="G108" s="7">
        <f>IF('0.입력칸'!$B$3="","",ROUND(F108/'0.입력칸'!$B$3,0))</f>
        <v/>
      </c>
      <c r="H108" s="7">
        <f>IF(OR('0.입력칸'!$B$3="",'0.입력칸'!$B$5=""),"",ROUND(G108*'0.입력칸'!$B$5,0))</f>
        <v/>
      </c>
      <c r="I108" s="7" t="inlineStr">
        <is>
          <t>있음</t>
        </is>
      </c>
      <c r="J108" s="7" t="inlineStr">
        <is>
          <t>시공사 (주)씨엠종합건설</t>
        </is>
      </c>
      <c r="K108" s="7" t="inlineStr">
        <is>
          <t>건축사사무소창명</t>
        </is>
      </c>
      <c r="L108" s="7" t="inlineStr">
        <is>
          <t>건축사사무소창명</t>
        </is>
      </c>
      <c r="M108" s="7" t="inlineStr">
        <is>
          <t>(주)우리명가디엔씨</t>
        </is>
      </c>
      <c r="N108" s="7" t="inlineStr">
        <is>
          <t>신축</t>
        </is>
      </c>
      <c r="O108" s="7" t="inlineStr">
        <is>
          <t>경상남도 하동군 화개면 쌍계로 268</t>
        </is>
      </c>
    </row>
    <row r="109">
      <c r="A109" s="7" t="inlineStr">
        <is>
          <t>경상남도</t>
        </is>
      </c>
      <c r="B109" s="7" t="inlineStr">
        <is>
          <t>합천군</t>
        </is>
      </c>
      <c r="C109" s="7" t="inlineStr">
        <is>
          <t>용주면 가호리 4180000 숙박시설 (합천관광개발 유한회사)</t>
        </is>
      </c>
      <c r="D109" s="7" t="inlineStr">
        <is>
          <t>2022-10-25</t>
        </is>
      </c>
      <c r="E109" s="7" t="n">
        <v>47</v>
      </c>
      <c r="F109" s="7" t="n">
        <v>25782</v>
      </c>
      <c r="G109" s="7">
        <f>IF('0.입력칸'!$B$3="","",ROUND(F109/'0.입력칸'!$B$3,0))</f>
        <v/>
      </c>
      <c r="H109" s="7">
        <f>IF(OR('0.입력칸'!$B$3="",'0.입력칸'!$B$5=""),"",ROUND(G109*'0.입력칸'!$B$5,0))</f>
        <v/>
      </c>
      <c r="I109" s="7" t="inlineStr">
        <is>
          <t>있음</t>
        </is>
      </c>
      <c r="J109" s="7" t="inlineStr">
        <is>
          <t>시공사 일광이앤씨(주)</t>
        </is>
      </c>
      <c r="K109" s="7" t="inlineStr">
        <is>
          <t>건축사사무소눅</t>
        </is>
      </c>
      <c r="L109" s="7" t="inlineStr">
        <is>
          <t>(주)미래플랜</t>
        </is>
      </c>
      <c r="M109" s="7" t="inlineStr"/>
      <c r="N109" s="7" t="inlineStr">
        <is>
          <t>증축</t>
        </is>
      </c>
      <c r="O109" s="7" t="inlineStr">
        <is>
          <t>경상남도 합천군 용주면 합천호수로 757</t>
        </is>
      </c>
    </row>
    <row r="110">
      <c r="A110" s="8" t="inlineStr">
        <is>
          <t>부산광역시</t>
        </is>
      </c>
      <c r="B110" s="8" t="inlineStr">
        <is>
          <t>강서구</t>
        </is>
      </c>
      <c r="C110" s="8" t="inlineStr">
        <is>
          <t>범방동 1898-7 생활숙박시설</t>
        </is>
      </c>
      <c r="D110" s="8" t="inlineStr">
        <is>
          <t>2025-10-31</t>
        </is>
      </c>
      <c r="E110" s="8" t="n">
        <v>11</v>
      </c>
      <c r="F110" s="8" t="n">
        <v>22409</v>
      </c>
      <c r="G110" s="8">
        <f>IF('0.입력칸'!$B$3="","",ROUND(F110/'0.입력칸'!$B$3,0))</f>
        <v/>
      </c>
      <c r="H110" s="8">
        <f>IF(OR('0.입력칸'!$B$3="",'0.입력칸'!$B$5=""),"",ROUND(G110*'0.입력칸'!$B$5,0))</f>
        <v/>
      </c>
      <c r="I110" s="8" t="inlineStr">
        <is>
          <t>없음</t>
        </is>
      </c>
      <c r="J110" s="8" t="inlineStr">
        <is>
          <t>(정보 없음 — 시·군·구 건축과)</t>
        </is>
      </c>
      <c r="K110" s="8" t="inlineStr"/>
      <c r="L110" s="8" t="inlineStr"/>
      <c r="M110" s="8" t="inlineStr"/>
      <c r="N110" s="8" t="inlineStr">
        <is>
          <t>신축</t>
        </is>
      </c>
      <c r="O110" s="8" t="inlineStr">
        <is>
          <t>부산광역시 강서구 범방동 1898-7번지</t>
        </is>
      </c>
    </row>
    <row r="111">
      <c r="A111" s="6" t="inlineStr">
        <is>
          <t>부산광역시</t>
        </is>
      </c>
      <c r="B111" s="6" t="inlineStr">
        <is>
          <t>기장군</t>
        </is>
      </c>
      <c r="C111" s="6" t="inlineStr">
        <is>
          <t>일광면 삼성리 716-11 숙박시설 (호텔코티에르일광 주식회사)</t>
        </is>
      </c>
      <c r="D111" s="6" t="inlineStr">
        <is>
          <t>2025-06-24</t>
        </is>
      </c>
      <c r="E111" s="6" t="n">
        <v>15</v>
      </c>
      <c r="F111" s="6" t="n">
        <v>13696</v>
      </c>
      <c r="G111" s="6">
        <f>IF('0.입력칸'!$B$3="","",ROUND(F111/'0.입력칸'!$B$3,0))</f>
        <v/>
      </c>
      <c r="H111" s="6">
        <f>IF(OR('0.입력칸'!$B$3="",'0.입력칸'!$B$5=""),"",ROUND(G111*'0.입력칸'!$B$5,0))</f>
        <v/>
      </c>
      <c r="I111" s="6" t="inlineStr">
        <is>
          <t>없음</t>
        </is>
      </c>
      <c r="J111" s="6" t="inlineStr">
        <is>
          <t>설계사 (주)루원건축사사무소</t>
        </is>
      </c>
      <c r="K111" s="6" t="inlineStr">
        <is>
          <t>(주)루원건축사사무소</t>
        </is>
      </c>
      <c r="L111" s="6" t="inlineStr"/>
      <c r="M111" s="6" t="inlineStr">
        <is>
          <t>호텔코티에르일광(주)</t>
        </is>
      </c>
      <c r="N111" s="6" t="inlineStr">
        <is>
          <t>신축</t>
        </is>
      </c>
      <c r="O111" s="6" t="inlineStr">
        <is>
          <t>부산광역시 기장군 일광읍 삼성리 716-11번지</t>
        </is>
      </c>
    </row>
    <row r="112">
      <c r="A112" s="7" t="inlineStr">
        <is>
          <t>부산광역시</t>
        </is>
      </c>
      <c r="B112" s="7" t="inlineStr">
        <is>
          <t>기장군</t>
        </is>
      </c>
      <c r="C112" s="7" t="inlineStr">
        <is>
          <t>기장읍 시랑리 616-3 관광숙박시설 신축공사</t>
        </is>
      </c>
      <c r="D112" s="7" t="inlineStr">
        <is>
          <t>2025-02-26</t>
        </is>
      </c>
      <c r="E112" s="7" t="n">
        <v>19</v>
      </c>
      <c r="F112" s="7" t="n">
        <v>3975</v>
      </c>
      <c r="G112" s="7">
        <f>IF('0.입력칸'!$B$3="","",ROUND(F112/'0.입력칸'!$B$3,0))</f>
        <v/>
      </c>
      <c r="H112" s="7">
        <f>IF(OR('0.입력칸'!$B$3="",'0.입력칸'!$B$5=""),"",ROUND(G112*'0.입력칸'!$B$5,0))</f>
        <v/>
      </c>
      <c r="I112" s="7" t="inlineStr">
        <is>
          <t>있음</t>
        </is>
      </c>
      <c r="J112" s="7" t="inlineStr">
        <is>
          <t>시공사 (주)종합건설현범</t>
        </is>
      </c>
      <c r="K112" s="7" t="inlineStr">
        <is>
          <t>(주)지엔건축사사무소</t>
        </is>
      </c>
      <c r="L112" s="7" t="inlineStr">
        <is>
          <t>(주)인우건축사사무소</t>
        </is>
      </c>
      <c r="M112" s="7" t="inlineStr">
        <is>
          <t>(주)넥스트앤파트너스</t>
        </is>
      </c>
      <c r="N112" s="7" t="inlineStr">
        <is>
          <t>신축</t>
        </is>
      </c>
      <c r="O112" s="7" t="inlineStr">
        <is>
          <t>부산광역시 기장군 기장읍 시랑리 616-3번지</t>
        </is>
      </c>
    </row>
    <row r="113">
      <c r="A113" s="6" t="inlineStr">
        <is>
          <t>부산광역시</t>
        </is>
      </c>
      <c r="B113" s="6" t="inlineStr">
        <is>
          <t>부산진구</t>
        </is>
      </c>
      <c r="C113" s="6" t="inlineStr">
        <is>
          <t>부전동 숙박시설</t>
        </is>
      </c>
      <c r="D113" s="6" t="inlineStr">
        <is>
          <t>2026-07-06</t>
        </is>
      </c>
      <c r="E113" s="6" t="n">
        <v>2</v>
      </c>
      <c r="F113" s="6" t="n">
        <v>2000</v>
      </c>
      <c r="G113" s="6">
        <f>IF('0.입력칸'!$B$3="","",ROUND(F113/'0.입력칸'!$B$3,0))</f>
        <v/>
      </c>
      <c r="H113" s="6">
        <f>IF(OR('0.입력칸'!$B$3="",'0.입력칸'!$B$5=""),"",ROUND(G113*'0.입력칸'!$B$5,0))</f>
        <v/>
      </c>
      <c r="I113" s="6" t="inlineStr">
        <is>
          <t>없음</t>
        </is>
      </c>
      <c r="J113" s="6" t="inlineStr">
        <is>
          <t>설계사 이진건축사사무소</t>
        </is>
      </c>
      <c r="K113" s="6" t="inlineStr">
        <is>
          <t>이진건축사사무소</t>
        </is>
      </c>
      <c r="L113" s="6" t="inlineStr"/>
      <c r="M113" s="6" t="inlineStr"/>
      <c r="N113" s="6" t="inlineStr">
        <is>
          <t>신축</t>
        </is>
      </c>
      <c r="O113" s="6" t="inlineStr">
        <is>
          <t>부산광역시 부산진구 중앙대로680번가길 56-9 (부전동)</t>
        </is>
      </c>
    </row>
    <row r="114">
      <c r="A114" s="7" t="inlineStr">
        <is>
          <t>부산광역시</t>
        </is>
      </c>
      <c r="B114" s="7" t="inlineStr">
        <is>
          <t>서구</t>
        </is>
      </c>
      <c r="C114" s="7" t="inlineStr">
        <is>
          <t>암남동 131-2 관광숙박시설</t>
        </is>
      </c>
      <c r="D114" s="7" t="inlineStr">
        <is>
          <t>2025-08-25</t>
        </is>
      </c>
      <c r="E114" s="7" t="n">
        <v>13</v>
      </c>
      <c r="F114" s="7" t="n">
        <v>3245</v>
      </c>
      <c r="G114" s="7">
        <f>IF('0.입력칸'!$B$3="","",ROUND(F114/'0.입력칸'!$B$3,0))</f>
        <v/>
      </c>
      <c r="H114" s="7">
        <f>IF(OR('0.입력칸'!$B$3="",'0.입력칸'!$B$5=""),"",ROUND(G114*'0.입력칸'!$B$5,0))</f>
        <v/>
      </c>
      <c r="I114" s="7" t="inlineStr">
        <is>
          <t>있음</t>
        </is>
      </c>
      <c r="J114" s="7" t="inlineStr">
        <is>
          <t>시공사 (주)루원산업개발</t>
        </is>
      </c>
      <c r="K114" s="7" t="inlineStr">
        <is>
          <t>(주)루원건축사사무소</t>
        </is>
      </c>
      <c r="L114" s="7" t="inlineStr">
        <is>
          <t>(주)루원건축사사무소</t>
        </is>
      </c>
      <c r="M114" s="7" t="inlineStr"/>
      <c r="N114" s="7" t="inlineStr">
        <is>
          <t>증축</t>
        </is>
      </c>
      <c r="O114" s="7" t="inlineStr">
        <is>
          <t>부산광역시 서구 송도해변로 141 (암남동)</t>
        </is>
      </c>
    </row>
    <row r="115">
      <c r="A115" s="6" t="inlineStr">
        <is>
          <t>부산광역시</t>
        </is>
      </c>
      <c r="B115" s="6" t="inlineStr">
        <is>
          <t>영도구</t>
        </is>
      </c>
      <c r="C115" s="6" t="inlineStr">
        <is>
          <t>대교동1가 41번지 OO생활숙박시설</t>
        </is>
      </c>
      <c r="D115" s="6" t="inlineStr">
        <is>
          <t>2026-03-06</t>
        </is>
      </c>
      <c r="E115" s="6" t="n">
        <v>6</v>
      </c>
      <c r="F115" s="6" t="n">
        <v>12142</v>
      </c>
      <c r="G115" s="6">
        <f>IF('0.입력칸'!$B$3="","",ROUND(F115/'0.입력칸'!$B$3,0))</f>
        <v/>
      </c>
      <c r="H115" s="6">
        <f>IF(OR('0.입력칸'!$B$3="",'0.입력칸'!$B$5=""),"",ROUND(G115*'0.입력칸'!$B$5,0))</f>
        <v/>
      </c>
      <c r="I115" s="6" t="inlineStr">
        <is>
          <t>없음</t>
        </is>
      </c>
      <c r="J115" s="6" t="inlineStr">
        <is>
          <t>설계사 (주)비전21건축사사무소</t>
        </is>
      </c>
      <c r="K115" s="6" t="inlineStr">
        <is>
          <t>(주)비전21건축사사무소</t>
        </is>
      </c>
      <c r="L115" s="6" t="inlineStr"/>
      <c r="M115" s="6" t="inlineStr"/>
      <c r="N115" s="6" t="inlineStr">
        <is>
          <t>신축</t>
        </is>
      </c>
      <c r="O115" s="6" t="inlineStr">
        <is>
          <t>부산광역시 영도구 태종로 45 (대교동1가)</t>
        </is>
      </c>
    </row>
    <row r="116">
      <c r="A116" s="6" t="inlineStr">
        <is>
          <t>부산광역시</t>
        </is>
      </c>
      <c r="B116" s="6" t="inlineStr">
        <is>
          <t>중구</t>
        </is>
      </c>
      <c r="C116" s="6" t="inlineStr">
        <is>
          <t>부산시 중구 남포동3가 생활형숙박시설</t>
        </is>
      </c>
      <c r="D116" s="6" t="inlineStr">
        <is>
          <t>2026-07-31</t>
        </is>
      </c>
      <c r="E116" s="6" t="n">
        <v>2</v>
      </c>
      <c r="F116" s="6" t="n">
        <v>14453</v>
      </c>
      <c r="G116" s="6">
        <f>IF('0.입력칸'!$B$3="","",ROUND(F116/'0.입력칸'!$B$3,0))</f>
        <v/>
      </c>
      <c r="H116" s="6">
        <f>IF(OR('0.입력칸'!$B$3="",'0.입력칸'!$B$5=""),"",ROUND(G116*'0.입력칸'!$B$5,0))</f>
        <v/>
      </c>
      <c r="I116" s="6" t="inlineStr">
        <is>
          <t>없음</t>
        </is>
      </c>
      <c r="J116" s="6" t="inlineStr">
        <is>
          <t>설계사 (주)상지이앤에이건축사사무소</t>
        </is>
      </c>
      <c r="K116" s="6" t="inlineStr">
        <is>
          <t>(주)상지이앤에이건축사사무소</t>
        </is>
      </c>
      <c r="L116" s="6" t="inlineStr"/>
      <c r="M116" s="6" t="inlineStr">
        <is>
          <t>(주)평광이앤씨</t>
        </is>
      </c>
      <c r="N116" s="6" t="inlineStr">
        <is>
          <t>신축</t>
        </is>
      </c>
      <c r="O116" s="6" t="inlineStr">
        <is>
          <t>부산광역시 중구 남포길 16 (남포동3가)</t>
        </is>
      </c>
    </row>
    <row r="117">
      <c r="A117" s="6" t="inlineStr">
        <is>
          <t>부산광역시</t>
        </is>
      </c>
      <c r="B117" s="6" t="inlineStr">
        <is>
          <t>해운대구</t>
        </is>
      </c>
      <c r="C117" s="6" t="inlineStr">
        <is>
          <t>우동 636-6 숙박시설 (마스턴제107호해운대2피에프브이주식…)</t>
        </is>
      </c>
      <c r="D117" s="6" t="inlineStr">
        <is>
          <t>2025-06-20</t>
        </is>
      </c>
      <c r="E117" s="6" t="n">
        <v>15</v>
      </c>
      <c r="F117" s="6" t="n">
        <v>80917</v>
      </c>
      <c r="G117" s="6">
        <f>IF('0.입력칸'!$B$3="","",ROUND(F117/'0.입력칸'!$B$3,0))</f>
        <v/>
      </c>
      <c r="H117" s="6">
        <f>IF(OR('0.입력칸'!$B$3="",'0.입력칸'!$B$5=""),"",ROUND(G117*'0.입력칸'!$B$5,0))</f>
        <v/>
      </c>
      <c r="I117" s="6" t="inlineStr">
        <is>
          <t>없음</t>
        </is>
      </c>
      <c r="J117" s="6" t="inlineStr">
        <is>
          <t>설계사 (주)종합건축사사무소건원</t>
        </is>
      </c>
      <c r="K117" s="6" t="inlineStr">
        <is>
          <t>(주)종합건축사사무소건원</t>
        </is>
      </c>
      <c r="L117" s="6" t="inlineStr"/>
      <c r="M117" s="6" t="inlineStr">
        <is>
          <t>마스턴제107호해운대2피에프브이(주)</t>
        </is>
      </c>
      <c r="N117" s="6" t="inlineStr">
        <is>
          <t>신축</t>
        </is>
      </c>
      <c r="O117" s="6" t="inlineStr">
        <is>
          <t>부산광역시 해운대구 우동 636-6번지</t>
        </is>
      </c>
    </row>
    <row r="118">
      <c r="A118" s="6" t="inlineStr">
        <is>
          <t>부산광역시</t>
        </is>
      </c>
      <c r="B118" s="6" t="inlineStr">
        <is>
          <t>해운대구</t>
        </is>
      </c>
      <c r="C118" s="6" t="inlineStr">
        <is>
          <t>숙박시설 (왕희숙)</t>
        </is>
      </c>
      <c r="D118" s="6" t="inlineStr">
        <is>
          <t>2025-12-14</t>
        </is>
      </c>
      <c r="E118" s="6" t="n">
        <v>9</v>
      </c>
      <c r="F118" s="6" t="n">
        <v>22601</v>
      </c>
      <c r="G118" s="6">
        <f>IF('0.입력칸'!$B$3="","",ROUND(F118/'0.입력칸'!$B$3,0))</f>
        <v/>
      </c>
      <c r="H118" s="6">
        <f>IF(OR('0.입력칸'!$B$3="",'0.입력칸'!$B$5=""),"",ROUND(G118*'0.입력칸'!$B$5,0))</f>
        <v/>
      </c>
      <c r="I118" s="6" t="inlineStr">
        <is>
          <t>없음</t>
        </is>
      </c>
      <c r="J118" s="6" t="inlineStr">
        <is>
          <t>설계사 (주)한미건축종합건축사사무소</t>
        </is>
      </c>
      <c r="K118" s="6" t="inlineStr">
        <is>
          <t>(주)한미건축종합건축사사무소</t>
        </is>
      </c>
      <c r="L118" s="6" t="inlineStr"/>
      <c r="M118" s="6" t="inlineStr">
        <is>
          <t>(주)무궁화신탁</t>
        </is>
      </c>
      <c r="N118" s="6" t="inlineStr">
        <is>
          <t>신축</t>
        </is>
      </c>
      <c r="O118" s="6" t="inlineStr">
        <is>
          <t>부산광역시 해운대구 송정동 297-83번지</t>
        </is>
      </c>
    </row>
    <row r="119">
      <c r="A119" s="6" t="inlineStr">
        <is>
          <t>부산광역시</t>
        </is>
      </c>
      <c r="B119" s="6" t="inlineStr">
        <is>
          <t>해운대구</t>
        </is>
      </c>
      <c r="C119" s="6" t="inlineStr">
        <is>
          <t>우동 649-5 번지 관광숙박시설</t>
        </is>
      </c>
      <c r="D119" s="6" t="inlineStr">
        <is>
          <t>2026-05-25</t>
        </is>
      </c>
      <c r="E119" s="6" t="n">
        <v>4</v>
      </c>
      <c r="F119" s="6" t="n">
        <v>8688</v>
      </c>
      <c r="G119" s="6">
        <f>IF('0.입력칸'!$B$3="","",ROUND(F119/'0.입력칸'!$B$3,0))</f>
        <v/>
      </c>
      <c r="H119" s="6">
        <f>IF(OR('0.입력칸'!$B$3="",'0.입력칸'!$B$5=""),"",ROUND(G119*'0.입력칸'!$B$5,0))</f>
        <v/>
      </c>
      <c r="I119" s="6" t="inlineStr">
        <is>
          <t>없음</t>
        </is>
      </c>
      <c r="J119" s="6" t="inlineStr">
        <is>
          <t>설계사 (주)라라호호건축사사무소</t>
        </is>
      </c>
      <c r="K119" s="6" t="inlineStr">
        <is>
          <t>(주)라라호호건축사사무소</t>
        </is>
      </c>
      <c r="L119" s="6" t="inlineStr"/>
      <c r="M119" s="6" t="inlineStr">
        <is>
          <t>(주)무궁화신탁</t>
        </is>
      </c>
      <c r="N119" s="6" t="inlineStr">
        <is>
          <t>신축</t>
        </is>
      </c>
      <c r="O119" s="6" t="inlineStr">
        <is>
          <t>부산광역시 해운대구 우동 649-5번지</t>
        </is>
      </c>
    </row>
    <row r="120">
      <c r="A120" s="7" t="inlineStr">
        <is>
          <t>전라남도</t>
        </is>
      </c>
      <c r="B120" s="7" t="inlineStr">
        <is>
          <t>담양군</t>
        </is>
      </c>
      <c r="C120" s="7" t="inlineStr">
        <is>
          <t>금성면 대성리 24 생활형 숙박시설</t>
        </is>
      </c>
      <c r="D120" s="7" t="inlineStr">
        <is>
          <t>2022-11-30</t>
        </is>
      </c>
      <c r="E120" s="7" t="n">
        <v>46</v>
      </c>
      <c r="F120" s="7" t="n">
        <v>6553</v>
      </c>
      <c r="G120" s="7">
        <f>IF('0.입력칸'!$B$3="","",ROUND(F120/'0.입력칸'!$B$3,0))</f>
        <v/>
      </c>
      <c r="H120" s="7">
        <f>IF(OR('0.입력칸'!$B$3="",'0.입력칸'!$B$5=""),"",ROUND(G120*'0.입력칸'!$B$5,0))</f>
        <v/>
      </c>
      <c r="I120" s="7" t="inlineStr">
        <is>
          <t>있음</t>
        </is>
      </c>
      <c r="J120" s="7" t="inlineStr">
        <is>
          <t>시공사 (주)마노건설</t>
        </is>
      </c>
      <c r="K120" s="7" t="inlineStr">
        <is>
          <t>대진건축사사무소</t>
        </is>
      </c>
      <c r="L120" s="7" t="inlineStr">
        <is>
          <t>건축사사무소에이디그룹에스아이엠</t>
        </is>
      </c>
      <c r="M120" s="7" t="inlineStr">
        <is>
          <t>(주)라도산업</t>
        </is>
      </c>
      <c r="N120" s="7" t="inlineStr">
        <is>
          <t>신축</t>
        </is>
      </c>
      <c r="O120" s="7" t="inlineStr">
        <is>
          <t>전라남도 담양군 금성면 금성산성길 280</t>
        </is>
      </c>
    </row>
    <row r="121">
      <c r="A121" s="6" t="inlineStr">
        <is>
          <t>전라남도</t>
        </is>
      </c>
      <c r="B121" s="6" t="inlineStr">
        <is>
          <t>목포시</t>
        </is>
      </c>
      <c r="C121" s="6" t="inlineStr">
        <is>
          <t>율도동 10000 숙박시설 (주식회사쉼)</t>
        </is>
      </c>
      <c r="D121" s="6" t="inlineStr">
        <is>
          <t>2024-11-01</t>
        </is>
      </c>
      <c r="E121" s="6" t="n">
        <v>23</v>
      </c>
      <c r="F121" s="6" t="n">
        <v>47700</v>
      </c>
      <c r="G121" s="6">
        <f>IF('0.입력칸'!$B$3="","",ROUND(F121/'0.입력칸'!$B$3,0))</f>
        <v/>
      </c>
      <c r="H121" s="6">
        <f>IF(OR('0.입력칸'!$B$3="",'0.입력칸'!$B$5=""),"",ROUND(G121*'0.입력칸'!$B$5,0))</f>
        <v/>
      </c>
      <c r="I121" s="6" t="inlineStr">
        <is>
          <t>없음</t>
        </is>
      </c>
      <c r="J121" s="6" t="inlineStr">
        <is>
          <t>설계사 건축사사무소아키플랜</t>
        </is>
      </c>
      <c r="K121" s="6" t="inlineStr">
        <is>
          <t>건축사사무소아키플랜</t>
        </is>
      </c>
      <c r="L121" s="6" t="inlineStr"/>
      <c r="M121" s="6" t="inlineStr">
        <is>
          <t>(주)쉼</t>
        </is>
      </c>
      <c r="N121" s="6" t="inlineStr">
        <is>
          <t>신축</t>
        </is>
      </c>
      <c r="O121" s="6" t="inlineStr">
        <is>
          <t>전라남도 목포시 장좌도길 362 (율도동)</t>
        </is>
      </c>
    </row>
    <row r="122">
      <c r="A122" s="7" t="inlineStr">
        <is>
          <t>전라남도</t>
        </is>
      </c>
      <c r="B122" s="7" t="inlineStr">
        <is>
          <t>목포시</t>
        </is>
      </c>
      <c r="C122" s="7" t="inlineStr">
        <is>
          <t>해안동1가 10-1 숙박시설 (㈜청린)</t>
        </is>
      </c>
      <c r="D122" s="7" t="inlineStr">
        <is>
          <t>2022-08-19</t>
        </is>
      </c>
      <c r="E122" s="7" t="n">
        <v>49</v>
      </c>
      <c r="F122" s="7" t="n">
        <v>1520</v>
      </c>
      <c r="G122" s="7">
        <f>IF('0.입력칸'!$B$3="","",ROUND(F122/'0.입력칸'!$B$3,0))</f>
        <v/>
      </c>
      <c r="H122" s="7">
        <f>IF(OR('0.입력칸'!$B$3="",'0.입력칸'!$B$5=""),"",ROUND(G122*'0.입력칸'!$B$5,0))</f>
        <v/>
      </c>
      <c r="I122" s="7" t="inlineStr">
        <is>
          <t>있음</t>
        </is>
      </c>
      <c r="J122" s="7" t="inlineStr">
        <is>
          <t>시공사 (주)더조은종합건설</t>
        </is>
      </c>
      <c r="K122" s="7" t="inlineStr">
        <is>
          <t>(주)케이와이케이건축사사무소</t>
        </is>
      </c>
      <c r="L122" s="7" t="inlineStr">
        <is>
          <t>대진건축사사무소</t>
        </is>
      </c>
      <c r="M122" s="7" t="inlineStr">
        <is>
          <t>(주)청린</t>
        </is>
      </c>
      <c r="N122" s="7" t="inlineStr">
        <is>
          <t>신축</t>
        </is>
      </c>
      <c r="O122" s="7" t="inlineStr">
        <is>
          <t>전라남도 목포시 해안로188번길 23 (해안동1가)</t>
        </is>
      </c>
    </row>
    <row r="123">
      <c r="A123" s="7" t="inlineStr">
        <is>
          <t>전라남도</t>
        </is>
      </c>
      <c r="B123" s="7" t="inlineStr">
        <is>
          <t>무안군</t>
        </is>
      </c>
      <c r="C123" s="7" t="inlineStr">
        <is>
          <t>청계면 서호리 934-4 숙박시설 (남화산업(***))</t>
        </is>
      </c>
      <c r="D123" s="7" t="inlineStr">
        <is>
          <t>2022-11-24</t>
        </is>
      </c>
      <c r="E123" s="7" t="n">
        <v>46</v>
      </c>
      <c r="F123" s="7" t="n">
        <v>18385</v>
      </c>
      <c r="G123" s="7">
        <f>IF('0.입력칸'!$B$3="","",ROUND(F123/'0.입력칸'!$B$3,0))</f>
        <v/>
      </c>
      <c r="H123" s="7">
        <f>IF(OR('0.입력칸'!$B$3="",'0.입력칸'!$B$5=""),"",ROUND(G123*'0.입력칸'!$B$5,0))</f>
        <v/>
      </c>
      <c r="I123" s="7" t="inlineStr">
        <is>
          <t>있음</t>
        </is>
      </c>
      <c r="J123" s="7" t="inlineStr">
        <is>
          <t>시공사 남화토건(주)</t>
        </is>
      </c>
      <c r="K123" s="7" t="inlineStr"/>
      <c r="L123" s="7" t="inlineStr">
        <is>
          <t>대영건축사사무소</t>
        </is>
      </c>
      <c r="M123" s="7" t="inlineStr">
        <is>
          <t>남화산업(주)</t>
        </is>
      </c>
      <c r="N123" s="7" t="inlineStr">
        <is>
          <t>증축</t>
        </is>
      </c>
      <c r="O123" s="7" t="inlineStr">
        <is>
          <t>전라남도 무안군 청계면 서호로 300</t>
        </is>
      </c>
    </row>
    <row r="124">
      <c r="A124" s="7" t="inlineStr">
        <is>
          <t>전라남도</t>
        </is>
      </c>
      <c r="B124" s="7" t="inlineStr">
        <is>
          <t>여수시</t>
        </is>
      </c>
      <c r="C124" s="7" t="inlineStr">
        <is>
          <t>봉산동 275-7 숙박시설 (케이비부동산신탁(***))</t>
        </is>
      </c>
      <c r="D124" s="7" t="inlineStr">
        <is>
          <t>2022-03-28</t>
        </is>
      </c>
      <c r="E124" s="7" t="n">
        <v>54</v>
      </c>
      <c r="F124" s="7" t="n">
        <v>17621</v>
      </c>
      <c r="G124" s="7">
        <f>IF('0.입력칸'!$B$3="","",ROUND(F124/'0.입력칸'!$B$3,0))</f>
        <v/>
      </c>
      <c r="H124" s="7">
        <f>IF(OR('0.입력칸'!$B$3="",'0.입력칸'!$B$5=""),"",ROUND(G124*'0.입력칸'!$B$5,0))</f>
        <v/>
      </c>
      <c r="I124" s="7" t="inlineStr">
        <is>
          <t>있음</t>
        </is>
      </c>
      <c r="J124" s="7" t="inlineStr">
        <is>
          <t>시공사 한양산업개발(주)</t>
        </is>
      </c>
      <c r="K124" s="7" t="inlineStr">
        <is>
          <t>(주)포인엔지니어링건축사사무소</t>
        </is>
      </c>
      <c r="L124" s="7" t="inlineStr">
        <is>
          <t>한려건축사사무소</t>
        </is>
      </c>
      <c r="M124" s="7" t="inlineStr">
        <is>
          <t>케이비부동산신탁(주)</t>
        </is>
      </c>
      <c r="N124" s="7" t="inlineStr">
        <is>
          <t>신축</t>
        </is>
      </c>
      <c r="O124" s="7" t="inlineStr">
        <is>
          <t>전라남도 여수시 봉산남8길 11 (봉산동)</t>
        </is>
      </c>
    </row>
    <row r="125">
      <c r="A125" s="6" t="inlineStr">
        <is>
          <t>전라남도</t>
        </is>
      </c>
      <c r="B125" s="6" t="inlineStr">
        <is>
          <t>여수시</t>
        </is>
      </c>
      <c r="C125" s="6" t="inlineStr">
        <is>
          <t>학동 200-21 숙박시설 (주식회사 디오션홀딩스)</t>
        </is>
      </c>
      <c r="D125" s="6" t="inlineStr">
        <is>
          <t>2024-04-12</t>
        </is>
      </c>
      <c r="E125" s="6" t="n">
        <v>29</v>
      </c>
      <c r="F125" s="6" t="n">
        <v>16852</v>
      </c>
      <c r="G125" s="6">
        <f>IF('0.입력칸'!$B$3="","",ROUND(F125/'0.입력칸'!$B$3,0))</f>
        <v/>
      </c>
      <c r="H125" s="6">
        <f>IF(OR('0.입력칸'!$B$3="",'0.입력칸'!$B$5=""),"",ROUND(G125*'0.입력칸'!$B$5,0))</f>
        <v/>
      </c>
      <c r="I125" s="6" t="inlineStr">
        <is>
          <t>없음</t>
        </is>
      </c>
      <c r="J125" s="6" t="inlineStr">
        <is>
          <t>설계사 건축사사무소가인</t>
        </is>
      </c>
      <c r="K125" s="6" t="inlineStr">
        <is>
          <t>건축사사무소가인</t>
        </is>
      </c>
      <c r="L125" s="6" t="inlineStr"/>
      <c r="M125" s="6" t="inlineStr">
        <is>
          <t>(주)디오션홀딩스</t>
        </is>
      </c>
      <c r="N125" s="6" t="inlineStr">
        <is>
          <t>신축</t>
        </is>
      </c>
      <c r="O125" s="6" t="inlineStr">
        <is>
          <t>전라남도 여수시 시청서6길 9 (학동)</t>
        </is>
      </c>
    </row>
    <row r="126">
      <c r="A126" s="6" t="inlineStr">
        <is>
          <t>전라남도</t>
        </is>
      </c>
      <c r="B126" s="6" t="inlineStr">
        <is>
          <t>여수시</t>
        </is>
      </c>
      <c r="C126" s="6" t="inlineStr">
        <is>
          <t>돌산읍 평사리 1318-58 숙박시설 (주식회사 토정)</t>
        </is>
      </c>
      <c r="D126" s="6" t="inlineStr">
        <is>
          <t>2024-06-01</t>
        </is>
      </c>
      <c r="E126" s="6" t="n">
        <v>28</v>
      </c>
      <c r="F126" s="6" t="n">
        <v>3741</v>
      </c>
      <c r="G126" s="6">
        <f>IF('0.입력칸'!$B$3="","",ROUND(F126/'0.입력칸'!$B$3,0))</f>
        <v/>
      </c>
      <c r="H126" s="6">
        <f>IF(OR('0.입력칸'!$B$3="",'0.입력칸'!$B$5=""),"",ROUND(G126*'0.입력칸'!$B$5,0))</f>
        <v/>
      </c>
      <c r="I126" s="6" t="inlineStr">
        <is>
          <t>없음</t>
        </is>
      </c>
      <c r="J126" s="6" t="inlineStr">
        <is>
          <t>설계사 건축사사무소세움</t>
        </is>
      </c>
      <c r="K126" s="6" t="inlineStr">
        <is>
          <t>건축사사무소세움</t>
        </is>
      </c>
      <c r="L126" s="6" t="inlineStr"/>
      <c r="M126" s="6" t="inlineStr">
        <is>
          <t>(주)토정</t>
        </is>
      </c>
      <c r="N126" s="6" t="inlineStr">
        <is>
          <t>신축</t>
        </is>
      </c>
      <c r="O126" s="6" t="inlineStr">
        <is>
          <t>전라남도 여수시 돌산읍 평사리 1318-58번지</t>
        </is>
      </c>
    </row>
    <row r="127">
      <c r="A127" s="7" t="inlineStr">
        <is>
          <t>전라남도</t>
        </is>
      </c>
      <c r="B127" s="7" t="inlineStr">
        <is>
          <t>여수시</t>
        </is>
      </c>
      <c r="C127" s="7" t="inlineStr">
        <is>
          <t>돌산읍 평사리 1266-45 관광숙박시설 (주원산업개발주식회…)</t>
        </is>
      </c>
      <c r="D127" s="7" t="inlineStr">
        <is>
          <t>2023-03-13</t>
        </is>
      </c>
      <c r="E127" s="7" t="n">
        <v>42</v>
      </c>
      <c r="F127" s="7" t="n">
        <v>2603</v>
      </c>
      <c r="G127" s="7">
        <f>IF('0.입력칸'!$B$3="","",ROUND(F127/'0.입력칸'!$B$3,0))</f>
        <v/>
      </c>
      <c r="H127" s="7">
        <f>IF(OR('0.입력칸'!$B$3="",'0.입력칸'!$B$5=""),"",ROUND(G127*'0.입력칸'!$B$5,0))</f>
        <v/>
      </c>
      <c r="I127" s="7" t="inlineStr">
        <is>
          <t>있음</t>
        </is>
      </c>
      <c r="J127" s="7" t="inlineStr">
        <is>
          <t>시공사 부광종합건설(주)</t>
        </is>
      </c>
      <c r="K127" s="7" t="inlineStr">
        <is>
          <t>건축사사무소대경</t>
        </is>
      </c>
      <c r="L127" s="7" t="inlineStr"/>
      <c r="M127" s="7" t="inlineStr">
        <is>
          <t>주원산업개발(주)</t>
        </is>
      </c>
      <c r="N127" s="7" t="inlineStr">
        <is>
          <t>신축</t>
        </is>
      </c>
      <c r="O127" s="7" t="inlineStr">
        <is>
          <t>전라남도 여수시 돌산읍 평사리 1266-45번지</t>
        </is>
      </c>
    </row>
    <row r="128">
      <c r="A128" s="7" t="inlineStr">
        <is>
          <t>전라남도</t>
        </is>
      </c>
      <c r="B128" s="7" t="inlineStr">
        <is>
          <t>장흥군</t>
        </is>
      </c>
      <c r="C128" s="7" t="inlineStr">
        <is>
          <t>안양면 기산리 642-3 숙박시설 (***)</t>
        </is>
      </c>
      <c r="D128" s="7" t="inlineStr">
        <is>
          <t>2023-10-05</t>
        </is>
      </c>
      <c r="E128" s="7" t="n">
        <v>36</v>
      </c>
      <c r="F128" s="7" t="n">
        <v>2120</v>
      </c>
      <c r="G128" s="7">
        <f>IF('0.입력칸'!$B$3="","",ROUND(F128/'0.입력칸'!$B$3,0))</f>
        <v/>
      </c>
      <c r="H128" s="7">
        <f>IF(OR('0.입력칸'!$B$3="",'0.입력칸'!$B$5=""),"",ROUND(G128*'0.입력칸'!$B$5,0))</f>
        <v/>
      </c>
      <c r="I128" s="7" t="inlineStr">
        <is>
          <t>있음</t>
        </is>
      </c>
      <c r="J128" s="7" t="inlineStr">
        <is>
          <t>시공사 강호종합건설(주)</t>
        </is>
      </c>
      <c r="K128" s="7" t="inlineStr">
        <is>
          <t>건축사사무소도담</t>
        </is>
      </c>
      <c r="L128" s="7" t="inlineStr">
        <is>
          <t>건축사사무소도담</t>
        </is>
      </c>
      <c r="M128" s="7" t="inlineStr"/>
      <c r="N128" s="7" t="inlineStr">
        <is>
          <t>신축</t>
        </is>
      </c>
      <c r="O128" s="7" t="inlineStr">
        <is>
          <t>전라남도 장흥군 안양면 남부관광로 322</t>
        </is>
      </c>
    </row>
    <row r="129">
      <c r="A129" s="6" t="inlineStr">
        <is>
          <t>전라남도</t>
        </is>
      </c>
      <c r="B129" s="6" t="inlineStr">
        <is>
          <t>함평군</t>
        </is>
      </c>
      <c r="C129" s="6" t="inlineStr">
        <is>
          <t>학교면 곡창리 1-196 외 3필지 생활숙박시설 (유한회사 에스…</t>
        </is>
      </c>
      <c r="D129" s="6" t="inlineStr">
        <is>
          <t>2026-12-14</t>
        </is>
      </c>
      <c r="E129" s="6" t="n">
        <v>-3</v>
      </c>
      <c r="F129" s="6" t="n">
        <v>20188</v>
      </c>
      <c r="G129" s="6">
        <f>IF('0.입력칸'!$B$3="","",ROUND(F129/'0.입력칸'!$B$3,0))</f>
        <v/>
      </c>
      <c r="H129" s="6">
        <f>IF(OR('0.입력칸'!$B$3="",'0.입력칸'!$B$5=""),"",ROUND(G129*'0.입력칸'!$B$5,0))</f>
        <v/>
      </c>
      <c r="I129" s="6" t="inlineStr">
        <is>
          <t>없음</t>
        </is>
      </c>
      <c r="J129" s="6" t="inlineStr">
        <is>
          <t>설계사 (주)유탑건축사사무소</t>
        </is>
      </c>
      <c r="K129" s="6" t="inlineStr">
        <is>
          <t>(주)유탑건축사사무소</t>
        </is>
      </c>
      <c r="L129" s="6" t="inlineStr"/>
      <c r="M129" s="6" t="inlineStr">
        <is>
          <t>(유)에스케이공업</t>
        </is>
      </c>
      <c r="N129" s="6" t="inlineStr">
        <is>
          <t>신축</t>
        </is>
      </c>
      <c r="O129" s="6" t="inlineStr">
        <is>
          <t>전라남도 함평군 학교면 곡창리 1-196번지</t>
        </is>
      </c>
    </row>
    <row r="130">
      <c r="A130" s="7" t="inlineStr">
        <is>
          <t>전라남도</t>
        </is>
      </c>
      <c r="B130" s="7" t="inlineStr">
        <is>
          <t>화순군</t>
        </is>
      </c>
      <c r="C130" s="7" t="inlineStr">
        <is>
          <t>도곡면 천암리 8190000 숙박시설 (한주실업주식회사)</t>
        </is>
      </c>
      <c r="D130" s="7" t="inlineStr">
        <is>
          <t>2022-02-11</t>
        </is>
      </c>
      <c r="E130" s="7" t="n">
        <v>55</v>
      </c>
      <c r="F130" s="7" t="n">
        <v>2208</v>
      </c>
      <c r="G130" s="7">
        <f>IF('0.입력칸'!$B$3="","",ROUND(F130/'0.입력칸'!$B$3,0))</f>
        <v/>
      </c>
      <c r="H130" s="7">
        <f>IF(OR('0.입력칸'!$B$3="",'0.입력칸'!$B$5=""),"",ROUND(G130*'0.입력칸'!$B$5,0))</f>
        <v/>
      </c>
      <c r="I130" s="7" t="inlineStr">
        <is>
          <t>있음</t>
        </is>
      </c>
      <c r="J130" s="7" t="inlineStr">
        <is>
          <t>시공사 더원종합건설산업(주)</t>
        </is>
      </c>
      <c r="K130" s="7" t="inlineStr">
        <is>
          <t>에스에이치건축사사무소</t>
        </is>
      </c>
      <c r="L130" s="7" t="inlineStr">
        <is>
          <t>에스에이치건축사사무소</t>
        </is>
      </c>
      <c r="M130" s="7" t="inlineStr">
        <is>
          <t>한주실업(주)</t>
        </is>
      </c>
      <c r="N130" s="7" t="inlineStr">
        <is>
          <t>신축</t>
        </is>
      </c>
      <c r="O130" s="7" t="inlineStr">
        <is>
          <t>전라남도 화순군 도곡면 천암리 819번지</t>
        </is>
      </c>
    </row>
    <row r="131">
      <c r="A131" s="6" t="inlineStr">
        <is>
          <t>전북특별자치도</t>
        </is>
      </c>
      <c r="B131" s="6" t="inlineStr">
        <is>
          <t>고창군</t>
        </is>
      </c>
      <c r="C131" s="6" t="inlineStr">
        <is>
          <t>고창읍 주곡리 60-29 숙박시설 (***)</t>
        </is>
      </c>
      <c r="D131" s="6" t="inlineStr">
        <is>
          <t>2024-01-21</t>
        </is>
      </c>
      <c r="E131" s="6" t="n">
        <v>32</v>
      </c>
      <c r="F131" s="6" t="n">
        <v>2517</v>
      </c>
      <c r="G131" s="6">
        <f>IF('0.입력칸'!$B$3="","",ROUND(F131/'0.입력칸'!$B$3,0))</f>
        <v/>
      </c>
      <c r="H131" s="6">
        <f>IF(OR('0.입력칸'!$B$3="",'0.입력칸'!$B$5=""),"",ROUND(G131*'0.입력칸'!$B$5,0))</f>
        <v/>
      </c>
      <c r="I131" s="6" t="inlineStr">
        <is>
          <t>없음</t>
        </is>
      </c>
      <c r="J131" s="6" t="inlineStr">
        <is>
          <t>설계사 (주)이루안건축사사무소</t>
        </is>
      </c>
      <c r="K131" s="6" t="inlineStr">
        <is>
          <t>(주)이루안건축사사무소</t>
        </is>
      </c>
      <c r="L131" s="6" t="inlineStr"/>
      <c r="M131" s="6" t="inlineStr"/>
      <c r="N131" s="6" t="inlineStr">
        <is>
          <t>신축</t>
        </is>
      </c>
      <c r="O131" s="6" t="inlineStr">
        <is>
          <t>전북특별자치도 고창군 고창읍 주곡리 60-29번지</t>
        </is>
      </c>
    </row>
    <row r="132">
      <c r="A132" s="6" t="inlineStr">
        <is>
          <t>전북특별자치도</t>
        </is>
      </c>
      <c r="B132" s="6" t="inlineStr">
        <is>
          <t>군산시</t>
        </is>
      </c>
      <c r="C132" s="6" t="inlineStr">
        <is>
          <t>신영동 3-14 숙박시설,근린생활시설</t>
        </is>
      </c>
      <c r="D132" s="6" t="inlineStr">
        <is>
          <t>2024-02-15</t>
        </is>
      </c>
      <c r="E132" s="6" t="n">
        <v>31</v>
      </c>
      <c r="F132" s="6" t="n">
        <v>7501</v>
      </c>
      <c r="G132" s="6">
        <f>IF('0.입력칸'!$B$3="","",ROUND(F132/'0.입력칸'!$B$3,0))</f>
        <v/>
      </c>
      <c r="H132" s="6">
        <f>IF(OR('0.입력칸'!$B$3="",'0.입력칸'!$B$5=""),"",ROUND(G132*'0.입력칸'!$B$5,0))</f>
        <v/>
      </c>
      <c r="I132" s="6" t="inlineStr">
        <is>
          <t>없음</t>
        </is>
      </c>
      <c r="J132" s="6" t="inlineStr">
        <is>
          <t>설계사 건축사사무소두울</t>
        </is>
      </c>
      <c r="K132" s="6" t="inlineStr">
        <is>
          <t>건축사사무소두울</t>
        </is>
      </c>
      <c r="L132" s="6" t="inlineStr"/>
      <c r="M132" s="6" t="inlineStr"/>
      <c r="N132" s="6" t="inlineStr">
        <is>
          <t>신축</t>
        </is>
      </c>
      <c r="O132" s="6" t="inlineStr">
        <is>
          <t>전북특별자치도 군산시 죽성로 45 (신영동)</t>
        </is>
      </c>
    </row>
    <row r="133">
      <c r="A133" s="6" t="inlineStr">
        <is>
          <t>전북특별자치도</t>
        </is>
      </c>
      <c r="B133" s="6" t="inlineStr">
        <is>
          <t>김제시</t>
        </is>
      </c>
      <c r="C133" s="6" t="inlineStr">
        <is>
          <t>백산면 부거리 1592-8 숙박시설 (***)</t>
        </is>
      </c>
      <c r="D133" s="6" t="inlineStr">
        <is>
          <t>2025-03-24</t>
        </is>
      </c>
      <c r="E133" s="6" t="n">
        <v>18</v>
      </c>
      <c r="F133" s="6" t="n">
        <v>1682</v>
      </c>
      <c r="G133" s="6">
        <f>IF('0.입력칸'!$B$3="","",ROUND(F133/'0.입력칸'!$B$3,0))</f>
        <v/>
      </c>
      <c r="H133" s="6">
        <f>IF(OR('0.입력칸'!$B$3="",'0.입력칸'!$B$5=""),"",ROUND(G133*'0.입력칸'!$B$5,0))</f>
        <v/>
      </c>
      <c r="I133" s="6" t="inlineStr">
        <is>
          <t>없음</t>
        </is>
      </c>
      <c r="J133" s="6" t="inlineStr">
        <is>
          <t>설계사 삼아씨엠건축사사무소</t>
        </is>
      </c>
      <c r="K133" s="6" t="inlineStr">
        <is>
          <t>삼아씨엠건축사사무소</t>
        </is>
      </c>
      <c r="L133" s="6" t="inlineStr"/>
      <c r="M133" s="6" t="inlineStr"/>
      <c r="N133" s="6" t="inlineStr">
        <is>
          <t>신축</t>
        </is>
      </c>
      <c r="O133" s="6" t="inlineStr">
        <is>
          <t>전북특별자치도 김제시 백산면 부거리 1592-8번지</t>
        </is>
      </c>
    </row>
    <row r="134">
      <c r="A134" s="7" t="inlineStr">
        <is>
          <t>전북특별자치도</t>
        </is>
      </c>
      <c r="B134" s="7" t="inlineStr">
        <is>
          <t>무주군</t>
        </is>
      </c>
      <c r="C134" s="7" t="inlineStr">
        <is>
          <t>설천면 삼공리 숙박시설</t>
        </is>
      </c>
      <c r="D134" s="7" t="inlineStr">
        <is>
          <t>2024-10-25</t>
        </is>
      </c>
      <c r="E134" s="7" t="n">
        <v>23</v>
      </c>
      <c r="F134" s="7" t="n">
        <v>2254</v>
      </c>
      <c r="G134" s="7">
        <f>IF('0.입력칸'!$B$3="","",ROUND(F134/'0.입력칸'!$B$3,0))</f>
        <v/>
      </c>
      <c r="H134" s="7">
        <f>IF(OR('0.입력칸'!$B$3="",'0.입력칸'!$B$5=""),"",ROUND(G134*'0.입력칸'!$B$5,0))</f>
        <v/>
      </c>
      <c r="I134" s="7" t="inlineStr">
        <is>
          <t>있음</t>
        </is>
      </c>
      <c r="J134" s="7" t="inlineStr">
        <is>
          <t>시공사 (주)디에이치건설</t>
        </is>
      </c>
      <c r="K134" s="7" t="inlineStr">
        <is>
          <t>(주)아키후드건축사사무소</t>
        </is>
      </c>
      <c r="L134" s="7" t="inlineStr">
        <is>
          <t>(주)건축사사무소아진건축</t>
        </is>
      </c>
      <c r="M134" s="7" t="inlineStr">
        <is>
          <t>(주)호진</t>
        </is>
      </c>
      <c r="N134" s="7" t="inlineStr">
        <is>
          <t>신축</t>
        </is>
      </c>
      <c r="O134" s="7" t="inlineStr">
        <is>
          <t>전북특별자치도 무주군 설천면 삼공리 산92-5번지</t>
        </is>
      </c>
    </row>
    <row r="135">
      <c r="A135" s="6" t="inlineStr">
        <is>
          <t>전북특별자치도</t>
        </is>
      </c>
      <c r="B135" s="6" t="inlineStr">
        <is>
          <t>부안군</t>
        </is>
      </c>
      <c r="C135" s="6" t="inlineStr">
        <is>
          <t>변산면 도청리 612-68 숙박시설 ((유)지온림)</t>
        </is>
      </c>
      <c r="D135" s="6" t="inlineStr">
        <is>
          <t>2025-11-28</t>
        </is>
      </c>
      <c r="E135" s="6" t="n">
        <v>10</v>
      </c>
      <c r="F135" s="6" t="n">
        <v>7187</v>
      </c>
      <c r="G135" s="6">
        <f>IF('0.입력칸'!$B$3="","",ROUND(F135/'0.입력칸'!$B$3,0))</f>
        <v/>
      </c>
      <c r="H135" s="6">
        <f>IF(OR('0.입력칸'!$B$3="",'0.입력칸'!$B$5=""),"",ROUND(G135*'0.입력칸'!$B$5,0))</f>
        <v/>
      </c>
      <c r="I135" s="6" t="inlineStr">
        <is>
          <t>없음</t>
        </is>
      </c>
      <c r="J135" s="6" t="inlineStr">
        <is>
          <t>설계사 건축사사무소예현</t>
        </is>
      </c>
      <c r="K135" s="6" t="inlineStr">
        <is>
          <t>건축사사무소예현</t>
        </is>
      </c>
      <c r="L135" s="6" t="inlineStr"/>
      <c r="M135" s="6" t="inlineStr">
        <is>
          <t>(유)지온림</t>
        </is>
      </c>
      <c r="N135" s="6" t="inlineStr">
        <is>
          <t>신축</t>
        </is>
      </c>
      <c r="O135" s="6" t="inlineStr">
        <is>
          <t>전북특별자치도 부안군 변산면 궁항로 82-17</t>
        </is>
      </c>
    </row>
    <row r="136">
      <c r="A136" s="7" t="inlineStr">
        <is>
          <t>전북특별자치도</t>
        </is>
      </c>
      <c r="B136" s="7" t="inlineStr">
        <is>
          <t>부안군</t>
        </is>
      </c>
      <c r="C136" s="7" t="inlineStr">
        <is>
          <t>진서면 곰소리 1006 (일반숙박시설)</t>
        </is>
      </c>
      <c r="D136" s="7" t="inlineStr">
        <is>
          <t>2024-04-25</t>
        </is>
      </c>
      <c r="E136" s="7" t="n">
        <v>29</v>
      </c>
      <c r="F136" s="7" t="n">
        <v>2435</v>
      </c>
      <c r="G136" s="7">
        <f>IF('0.입력칸'!$B$3="","",ROUND(F136/'0.입력칸'!$B$3,0))</f>
        <v/>
      </c>
      <c r="H136" s="7">
        <f>IF(OR('0.입력칸'!$B$3="",'0.입력칸'!$B$5=""),"",ROUND(G136*'0.입력칸'!$B$5,0))</f>
        <v/>
      </c>
      <c r="I136" s="7" t="inlineStr">
        <is>
          <t>있음</t>
        </is>
      </c>
      <c r="J136" s="7" t="inlineStr">
        <is>
          <t>시공사 (주)중원종합건설</t>
        </is>
      </c>
      <c r="K136" s="7" t="inlineStr">
        <is>
          <t>건축사사무소더공감건축</t>
        </is>
      </c>
      <c r="L136" s="7" t="inlineStr">
        <is>
          <t>(주)다온건축사사무소</t>
        </is>
      </c>
      <c r="M136" s="7" t="inlineStr"/>
      <c r="N136" s="7" t="inlineStr">
        <is>
          <t>신축</t>
        </is>
      </c>
      <c r="O136" s="7" t="inlineStr">
        <is>
          <t>전북특별자치도 부안군 진서면 곰소리 1006번지</t>
        </is>
      </c>
    </row>
    <row r="137">
      <c r="A137" s="6" t="inlineStr">
        <is>
          <t>전북특별자치도</t>
        </is>
      </c>
      <c r="B137" s="6" t="inlineStr">
        <is>
          <t>완주군</t>
        </is>
      </c>
      <c r="C137" s="6" t="inlineStr">
        <is>
          <t>삼례읍 수계리 1256-5 숙박시설 (유한회사라우렌)</t>
        </is>
      </c>
      <c r="D137" s="6" t="inlineStr">
        <is>
          <t>2025-03-31</t>
        </is>
      </c>
      <c r="E137" s="6" t="n">
        <v>18</v>
      </c>
      <c r="F137" s="6" t="n">
        <v>14242</v>
      </c>
      <c r="G137" s="6">
        <f>IF('0.입력칸'!$B$3="","",ROUND(F137/'0.입력칸'!$B$3,0))</f>
        <v/>
      </c>
      <c r="H137" s="6">
        <f>IF(OR('0.입력칸'!$B$3="",'0.입력칸'!$B$5=""),"",ROUND(G137*'0.입력칸'!$B$5,0))</f>
        <v/>
      </c>
      <c r="I137" s="6" t="inlineStr">
        <is>
          <t>없음</t>
        </is>
      </c>
      <c r="J137" s="6" t="inlineStr">
        <is>
          <t>설계사 건축사사무소예헌</t>
        </is>
      </c>
      <c r="K137" s="6" t="inlineStr">
        <is>
          <t>건축사사무소예헌</t>
        </is>
      </c>
      <c r="L137" s="6" t="inlineStr"/>
      <c r="M137" s="6" t="inlineStr">
        <is>
          <t>(유)라우렌</t>
        </is>
      </c>
      <c r="N137" s="6" t="inlineStr">
        <is>
          <t>신축</t>
        </is>
      </c>
      <c r="O137" s="6" t="inlineStr">
        <is>
          <t>전북특별자치도 완주군 삼례읍 수계리 1256-5번지</t>
        </is>
      </c>
    </row>
    <row r="138">
      <c r="A138" s="6" t="inlineStr">
        <is>
          <t>전북특별자치도</t>
        </is>
      </c>
      <c r="B138" s="6" t="inlineStr">
        <is>
          <t>완주군</t>
        </is>
      </c>
      <c r="C138" s="6" t="inlineStr">
        <is>
          <t>삼례읍 수계리 1256-3 숙박시설</t>
        </is>
      </c>
      <c r="D138" s="6" t="inlineStr">
        <is>
          <t>2026-06-16</t>
        </is>
      </c>
      <c r="E138" s="6" t="n">
        <v>3</v>
      </c>
      <c r="F138" s="6" t="n">
        <v>5417</v>
      </c>
      <c r="G138" s="6">
        <f>IF('0.입력칸'!$B$3="","",ROUND(F138/'0.입력칸'!$B$3,0))</f>
        <v/>
      </c>
      <c r="H138" s="6">
        <f>IF(OR('0.입력칸'!$B$3="",'0.입력칸'!$B$5=""),"",ROUND(G138*'0.입력칸'!$B$5,0))</f>
        <v/>
      </c>
      <c r="I138" s="6" t="inlineStr">
        <is>
          <t>없음</t>
        </is>
      </c>
      <c r="J138" s="6" t="inlineStr">
        <is>
          <t>설계사 건축사사무소태솔</t>
        </is>
      </c>
      <c r="K138" s="6" t="inlineStr">
        <is>
          <t>건축사사무소태솔</t>
        </is>
      </c>
      <c r="L138" s="6" t="inlineStr"/>
      <c r="M138" s="6" t="inlineStr">
        <is>
          <t>(주)가온누리개발</t>
        </is>
      </c>
      <c r="N138" s="6" t="inlineStr">
        <is>
          <t>신축</t>
        </is>
      </c>
      <c r="O138" s="6" t="inlineStr">
        <is>
          <t>전북특별자치도 완주군 삼례읍 수계리 1256-3번지</t>
        </is>
      </c>
    </row>
    <row r="139">
      <c r="A139" s="6" t="inlineStr">
        <is>
          <t>전북특별자치도</t>
        </is>
      </c>
      <c r="B139" s="6" t="inlineStr">
        <is>
          <t>완주군</t>
        </is>
      </c>
      <c r="C139" s="6" t="inlineStr">
        <is>
          <t>봉동읍 둔산리 900-4 숙박시설 (***)</t>
        </is>
      </c>
      <c r="D139" s="6" t="inlineStr">
        <is>
          <t>2024-07-27</t>
        </is>
      </c>
      <c r="E139" s="6" t="n">
        <v>26</v>
      </c>
      <c r="F139" s="6" t="n">
        <v>2499</v>
      </c>
      <c r="G139" s="6">
        <f>IF('0.입력칸'!$B$3="","",ROUND(F139/'0.입력칸'!$B$3,0))</f>
        <v/>
      </c>
      <c r="H139" s="6">
        <f>IF(OR('0.입력칸'!$B$3="",'0.입력칸'!$B$5=""),"",ROUND(G139*'0.입력칸'!$B$5,0))</f>
        <v/>
      </c>
      <c r="I139" s="6" t="inlineStr">
        <is>
          <t>없음</t>
        </is>
      </c>
      <c r="J139" s="6" t="inlineStr">
        <is>
          <t>설계사 건축사사무소이음플러스</t>
        </is>
      </c>
      <c r="K139" s="6" t="inlineStr">
        <is>
          <t>건축사사무소이음플러스</t>
        </is>
      </c>
      <c r="L139" s="6" t="inlineStr"/>
      <c r="M139" s="6" t="inlineStr"/>
      <c r="N139" s="6" t="inlineStr">
        <is>
          <t>신축</t>
        </is>
      </c>
      <c r="O139" s="6" t="inlineStr">
        <is>
          <t>전북특별자치도 완주군 봉동읍 둔산리 900-4번지</t>
        </is>
      </c>
    </row>
    <row r="140">
      <c r="A140" s="6" t="inlineStr">
        <is>
          <t>전북특별자치도</t>
        </is>
      </c>
      <c r="B140" s="6" t="inlineStr">
        <is>
          <t>완주군</t>
        </is>
      </c>
      <c r="C140" s="6" t="inlineStr">
        <is>
          <t>삼례읍 삼례리 1309-3 숙박시설</t>
        </is>
      </c>
      <c r="D140" s="6" t="inlineStr">
        <is>
          <t>2024-03-12</t>
        </is>
      </c>
      <c r="E140" s="6" t="n">
        <v>30</v>
      </c>
      <c r="F140" s="6" t="n">
        <v>1681</v>
      </c>
      <c r="G140" s="6">
        <f>IF('0.입력칸'!$B$3="","",ROUND(F140/'0.입력칸'!$B$3,0))</f>
        <v/>
      </c>
      <c r="H140" s="6">
        <f>IF(OR('0.입력칸'!$B$3="",'0.입력칸'!$B$5=""),"",ROUND(G140*'0.입력칸'!$B$5,0))</f>
        <v/>
      </c>
      <c r="I140" s="6" t="inlineStr">
        <is>
          <t>없음</t>
        </is>
      </c>
      <c r="J140" s="6" t="inlineStr">
        <is>
          <t>설계사 건축사사무소뿌리</t>
        </is>
      </c>
      <c r="K140" s="6" t="inlineStr">
        <is>
          <t>건축사사무소뿌리</t>
        </is>
      </c>
      <c r="L140" s="6" t="inlineStr"/>
      <c r="M140" s="6" t="inlineStr"/>
      <c r="N140" s="6" t="inlineStr">
        <is>
          <t>신축</t>
        </is>
      </c>
      <c r="O140" s="6" t="inlineStr">
        <is>
          <t>전북특별자치도 완주군 삼례읍 만경하서길 1-5</t>
        </is>
      </c>
    </row>
    <row r="141">
      <c r="A141" s="6" t="inlineStr">
        <is>
          <t>제주특별자치도</t>
        </is>
      </c>
      <c r="B141" s="6" t="inlineStr">
        <is>
          <t>서귀포시</t>
        </is>
      </c>
      <c r="C141" s="6" t="inlineStr">
        <is>
          <t>안덕면 서광리 24-8 숙박시설 (람정제주개발 주식회사)</t>
        </is>
      </c>
      <c r="D141" s="6" t="inlineStr">
        <is>
          <t>2026-06-04</t>
        </is>
      </c>
      <c r="E141" s="6" t="n">
        <v>4</v>
      </c>
      <c r="F141" s="6" t="n">
        <v>10831</v>
      </c>
      <c r="G141" s="6">
        <f>IF('0.입력칸'!$B$3="","",ROUND(F141/'0.입력칸'!$B$3,0))</f>
        <v/>
      </c>
      <c r="H141" s="6">
        <f>IF(OR('0.입력칸'!$B$3="",'0.입력칸'!$B$5=""),"",ROUND(G141*'0.입력칸'!$B$5,0))</f>
        <v/>
      </c>
      <c r="I141" s="6" t="inlineStr">
        <is>
          <t>없음</t>
        </is>
      </c>
      <c r="J141" s="6" t="inlineStr">
        <is>
          <t>설계사 (주)삼우종합건축사사무소</t>
        </is>
      </c>
      <c r="K141" s="6" t="inlineStr">
        <is>
          <t>(주)삼우종합건축사사무소</t>
        </is>
      </c>
      <c r="L141" s="6" t="inlineStr"/>
      <c r="M141" s="6" t="inlineStr">
        <is>
          <t>람정제주개발(주)</t>
        </is>
      </c>
      <c r="N141" s="6" t="inlineStr">
        <is>
          <t>신축</t>
        </is>
      </c>
      <c r="O141" s="6" t="inlineStr">
        <is>
          <t>제주특별자치도 서귀포시 안덕면 서광리 산24-8번지</t>
        </is>
      </c>
    </row>
    <row r="142">
      <c r="A142" s="6" t="inlineStr">
        <is>
          <t>제주특별자치도</t>
        </is>
      </c>
      <c r="B142" s="6" t="inlineStr">
        <is>
          <t>서귀포시</t>
        </is>
      </c>
      <c r="C142" s="6" t="inlineStr">
        <is>
          <t>안덕면 사계리 153-1 (B.L1-14) 관광숙박시설</t>
        </is>
      </c>
      <c r="D142" s="6" t="inlineStr">
        <is>
          <t>2026-06-07</t>
        </is>
      </c>
      <c r="E142" s="6" t="n">
        <v>3</v>
      </c>
      <c r="F142" s="6" t="n">
        <v>2964</v>
      </c>
      <c r="G142" s="6">
        <f>IF('0.입력칸'!$B$3="","",ROUND(F142/'0.입력칸'!$B$3,0))</f>
        <v/>
      </c>
      <c r="H142" s="6">
        <f>IF(OR('0.입력칸'!$B$3="",'0.입력칸'!$B$5=""),"",ROUND(G142*'0.입력칸'!$B$5,0))</f>
        <v/>
      </c>
      <c r="I142" s="6" t="inlineStr">
        <is>
          <t>없음</t>
        </is>
      </c>
      <c r="J142" s="6" t="inlineStr">
        <is>
          <t>설계사 건축사사무소우건축</t>
        </is>
      </c>
      <c r="K142" s="6" t="inlineStr">
        <is>
          <t>건축사사무소우건축</t>
        </is>
      </c>
      <c r="L142" s="6" t="inlineStr"/>
      <c r="M142" s="6" t="inlineStr">
        <is>
          <t>(주)하이드어웨이</t>
        </is>
      </c>
      <c r="N142" s="6" t="inlineStr">
        <is>
          <t>신축</t>
        </is>
      </c>
      <c r="O142" s="6" t="inlineStr">
        <is>
          <t>제주특별자치도 서귀포시 안덕면 사계리 153-1번지</t>
        </is>
      </c>
    </row>
    <row r="143">
      <c r="A143" s="6" t="inlineStr">
        <is>
          <t>제주특별자치도</t>
        </is>
      </c>
      <c r="B143" s="6" t="inlineStr">
        <is>
          <t>제주시</t>
        </is>
      </c>
      <c r="C143" s="6" t="inlineStr">
        <is>
          <t>한림읍 협재리 2697-1 숙박시설 (양위환)</t>
        </is>
      </c>
      <c r="D143" s="6" t="inlineStr">
        <is>
          <t>2024-10-29</t>
        </is>
      </c>
      <c r="E143" s="6" t="n">
        <v>23</v>
      </c>
      <c r="F143" s="6" t="n">
        <v>3022</v>
      </c>
      <c r="G143" s="6">
        <f>IF('0.입력칸'!$B$3="","",ROUND(F143/'0.입력칸'!$B$3,0))</f>
        <v/>
      </c>
      <c r="H143" s="6">
        <f>IF(OR('0.입력칸'!$B$3="",'0.입력칸'!$B$5=""),"",ROUND(G143*'0.입력칸'!$B$5,0))</f>
        <v/>
      </c>
      <c r="I143" s="6" t="inlineStr">
        <is>
          <t>없음</t>
        </is>
      </c>
      <c r="J143" s="6" t="inlineStr">
        <is>
          <t>설계사 건축사사무소지음</t>
        </is>
      </c>
      <c r="K143" s="6" t="inlineStr">
        <is>
          <t>건축사사무소지음</t>
        </is>
      </c>
      <c r="L143" s="6" t="inlineStr"/>
      <c r="M143" s="6" t="inlineStr"/>
      <c r="N143" s="6" t="inlineStr">
        <is>
          <t>신축</t>
        </is>
      </c>
      <c r="O143" s="6" t="inlineStr">
        <is>
          <t>제주특별자치도 제주시 한림읍 협재리 2697-1번지</t>
        </is>
      </c>
    </row>
    <row r="144">
      <c r="A144" s="6" t="inlineStr">
        <is>
          <t>제주특별자치도</t>
        </is>
      </c>
      <c r="B144" s="6" t="inlineStr">
        <is>
          <t>제주시</t>
        </is>
      </c>
      <c r="C144" s="6" t="inlineStr">
        <is>
          <t>애월읍 상귀리 1229-1 숙박시설 (***)</t>
        </is>
      </c>
      <c r="D144" s="6" t="inlineStr">
        <is>
          <t>2022-01-06</t>
        </is>
      </c>
      <c r="E144" s="6" t="n">
        <v>56</v>
      </c>
      <c r="F144" s="6" t="n">
        <v>2986</v>
      </c>
      <c r="G144" s="6">
        <f>IF('0.입력칸'!$B$3="","",ROUND(F144/'0.입력칸'!$B$3,0))</f>
        <v/>
      </c>
      <c r="H144" s="6">
        <f>IF(OR('0.입력칸'!$B$3="",'0.입력칸'!$B$5=""),"",ROUND(G144*'0.입력칸'!$B$5,0))</f>
        <v/>
      </c>
      <c r="I144" s="6" t="inlineStr">
        <is>
          <t>없음</t>
        </is>
      </c>
      <c r="J144" s="6" t="inlineStr">
        <is>
          <t>설계사 (주)가람영산건축사사무소</t>
        </is>
      </c>
      <c r="K144" s="6" t="inlineStr">
        <is>
          <t>(주)가람영산건축사사무소</t>
        </is>
      </c>
      <c r="L144" s="6" t="inlineStr"/>
      <c r="M144" s="6" t="inlineStr"/>
      <c r="N144" s="6" t="inlineStr">
        <is>
          <t>신축</t>
        </is>
      </c>
      <c r="O144" s="6" t="inlineStr">
        <is>
          <t>제주특별자치도 제주시 애월읍 예소길 49-1</t>
        </is>
      </c>
    </row>
    <row r="145">
      <c r="A145" s="6" t="inlineStr">
        <is>
          <t>제주특별자치도</t>
        </is>
      </c>
      <c r="B145" s="6" t="inlineStr">
        <is>
          <t>제주시</t>
        </is>
      </c>
      <c r="C145" s="6" t="inlineStr">
        <is>
          <t>한림읍 협재리 2446-3 숙박시설 (***)</t>
        </is>
      </c>
      <c r="D145" s="6" t="inlineStr">
        <is>
          <t>2024-07-13</t>
        </is>
      </c>
      <c r="E145" s="6" t="n">
        <v>26</v>
      </c>
      <c r="F145" s="6" t="n">
        <v>2045</v>
      </c>
      <c r="G145" s="6">
        <f>IF('0.입력칸'!$B$3="","",ROUND(F145/'0.입력칸'!$B$3,0))</f>
        <v/>
      </c>
      <c r="H145" s="6">
        <f>IF(OR('0.입력칸'!$B$3="",'0.입력칸'!$B$5=""),"",ROUND(G145*'0.입력칸'!$B$5,0))</f>
        <v/>
      </c>
      <c r="I145" s="6" t="inlineStr">
        <is>
          <t>없음</t>
        </is>
      </c>
      <c r="J145" s="6" t="inlineStr">
        <is>
          <t>설계사 (주)종합건축사사무소아키인</t>
        </is>
      </c>
      <c r="K145" s="6" t="inlineStr">
        <is>
          <t>(주)종합건축사사무소아키인</t>
        </is>
      </c>
      <c r="L145" s="6" t="inlineStr"/>
      <c r="M145" s="6" t="inlineStr"/>
      <c r="N145" s="6" t="inlineStr">
        <is>
          <t>증축</t>
        </is>
      </c>
      <c r="O145" s="6" t="inlineStr">
        <is>
          <t>제주특별자치도 제주시 한림읍 한림로 339</t>
        </is>
      </c>
    </row>
  </sheetData>
  <autoFilter ref="A3:O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8" customWidth="1" min="3" max="3"/>
    <col width="11" customWidth="1" min="4" max="4"/>
    <col width="9" customWidth="1" min="5" max="5"/>
    <col width="11" customWidth="1" min="6" max="6"/>
    <col width="10" customWidth="1" min="7" max="7"/>
    <col width="13" customWidth="1" min="8" max="8"/>
    <col width="9" customWidth="1" min="9" max="9"/>
    <col width="34" customWidth="1" min="10" max="10"/>
    <col width="28" customWidth="1" min="11" max="11"/>
    <col width="24" customWidth="1" min="12" max="12"/>
    <col width="26" customWidth="1" min="13" max="13"/>
    <col width="8" customWidth="1" min="14" max="14"/>
    <col width="44" customWidth="1" min="15" max="15"/>
  </cols>
  <sheetData>
    <row r="1">
      <c r="A1" s="4" t="inlineStr">
        <is>
          <t>연면적 1,500㎡ 미만 162곳 — 객실이 적어 우선순위는 낮습니다</t>
        </is>
      </c>
    </row>
    <row r="3">
      <c r="A3" s="5" t="inlineStr">
        <is>
          <t>지역</t>
        </is>
      </c>
      <c r="B3" s="5" t="inlineStr">
        <is>
          <t>시·군·구</t>
        </is>
      </c>
      <c r="C3" s="5" t="inlineStr">
        <is>
          <t>현장명</t>
        </is>
      </c>
      <c r="D3" s="5" t="inlineStr">
        <is>
          <t>착공일</t>
        </is>
      </c>
      <c r="E3" s="5" t="inlineStr">
        <is>
          <t>경과(개월)</t>
        </is>
      </c>
      <c r="F3" s="5" t="inlineStr">
        <is>
          <t>연면적(㎡)</t>
        </is>
      </c>
      <c r="G3" s="5" t="inlineStr">
        <is>
          <t>예상 객실수</t>
        </is>
      </c>
      <c r="H3" s="5" t="inlineStr">
        <is>
          <t>예상 금액</t>
        </is>
      </c>
      <c r="I3" s="5" t="inlineStr">
        <is>
          <t>시공사 유무</t>
        </is>
      </c>
      <c r="J3" s="5" t="inlineStr">
        <is>
          <t>접촉처</t>
        </is>
      </c>
      <c r="K3" s="5" t="inlineStr">
        <is>
          <t>설계사</t>
        </is>
      </c>
      <c r="L3" s="5" t="inlineStr">
        <is>
          <t>감리사</t>
        </is>
      </c>
      <c r="M3" s="5" t="inlineStr">
        <is>
          <t>건축주</t>
        </is>
      </c>
      <c r="N3" s="5" t="inlineStr">
        <is>
          <t>허가구분</t>
        </is>
      </c>
      <c r="O3" s="5" t="inlineStr">
        <is>
          <t>주소</t>
        </is>
      </c>
    </row>
    <row r="4">
      <c r="A4" s="7" t="inlineStr">
        <is>
          <t>서울특별시</t>
        </is>
      </c>
      <c r="B4" s="7" t="inlineStr">
        <is>
          <t>성동구</t>
        </is>
      </c>
      <c r="C4" s="7" t="inlineStr">
        <is>
          <t>성수동2가 299-195 관광숙박시설</t>
        </is>
      </c>
      <c r="D4" s="7" t="inlineStr">
        <is>
          <t>2026-05-19</t>
        </is>
      </c>
      <c r="E4" s="7" t="n">
        <v>4</v>
      </c>
      <c r="F4" s="7" t="n">
        <v>757</v>
      </c>
      <c r="G4" s="7">
        <f>IF('0.입력칸'!$B$3="","",ROUND(F4/'0.입력칸'!$B$3,0))</f>
        <v/>
      </c>
      <c r="H4" s="7">
        <f>IF(OR('0.입력칸'!$B$3="",'0.입력칸'!$B$5=""),"",ROUND(G4*'0.입력칸'!$B$5,0))</f>
        <v/>
      </c>
      <c r="I4" s="7" t="inlineStr">
        <is>
          <t>있음</t>
        </is>
      </c>
      <c r="J4" s="7" t="inlineStr">
        <is>
          <t>시공사 신아주종합건설(주)</t>
        </is>
      </c>
      <c r="K4" s="7" t="inlineStr">
        <is>
          <t>고도플루토도시계획건축사사무소(주)</t>
        </is>
      </c>
      <c r="L4" s="7" t="inlineStr">
        <is>
          <t>고도플루토도시계획건축사사무소(주)</t>
        </is>
      </c>
      <c r="M4" s="7" t="inlineStr"/>
      <c r="N4" s="7" t="inlineStr">
        <is>
          <t>신축</t>
        </is>
      </c>
      <c r="O4" s="7" t="inlineStr">
        <is>
          <t>서울특별시 성동구 성수동2가 299-195번지</t>
        </is>
      </c>
    </row>
    <row r="5">
      <c r="A5" s="7" t="inlineStr">
        <is>
          <t>서울특별시</t>
        </is>
      </c>
      <c r="B5" s="7" t="inlineStr">
        <is>
          <t>종로구</t>
        </is>
      </c>
      <c r="C5" s="7" t="inlineStr">
        <is>
          <t>종로구 연건동 관광숙박시설 및 근린생활시설</t>
        </is>
      </c>
      <c r="D5" s="7" t="inlineStr">
        <is>
          <t>2023-11-20</t>
        </is>
      </c>
      <c r="E5" s="7" t="n">
        <v>34</v>
      </c>
      <c r="F5" s="7" t="n">
        <v>1331</v>
      </c>
      <c r="G5" s="7">
        <f>IF('0.입력칸'!$B$3="","",ROUND(F5/'0.입력칸'!$B$3,0))</f>
        <v/>
      </c>
      <c r="H5" s="7">
        <f>IF(OR('0.입력칸'!$B$3="",'0.입력칸'!$B$5=""),"",ROUND(G5*'0.입력칸'!$B$5,0))</f>
        <v/>
      </c>
      <c r="I5" s="7" t="inlineStr">
        <is>
          <t>있음</t>
        </is>
      </c>
      <c r="J5" s="7" t="inlineStr">
        <is>
          <t>시공사 (주)범세종합건설</t>
        </is>
      </c>
      <c r="K5" s="7" t="inlineStr">
        <is>
          <t>(주)건축사사무소위즈</t>
        </is>
      </c>
      <c r="L5" s="7" t="inlineStr">
        <is>
          <t>(주)건축사사무소위즈</t>
        </is>
      </c>
      <c r="M5" s="7" t="inlineStr">
        <is>
          <t>(주)케이브홀딩스</t>
        </is>
      </c>
      <c r="N5" s="7" t="inlineStr">
        <is>
          <t>신축</t>
        </is>
      </c>
      <c r="O5" s="7" t="inlineStr">
        <is>
          <t>서울특별시 종로구 창경궁로16길 73-4 (연건동)</t>
        </is>
      </c>
    </row>
    <row r="6">
      <c r="A6" s="6" t="inlineStr">
        <is>
          <t>서울특별시</t>
        </is>
      </c>
      <c r="B6" s="6" t="inlineStr">
        <is>
          <t>종로구</t>
        </is>
      </c>
      <c r="C6" s="6" t="inlineStr">
        <is>
          <t>와룡동 37 관광숙박시설</t>
        </is>
      </c>
      <c r="D6" s="6" t="inlineStr">
        <is>
          <t>2026-07-30</t>
        </is>
      </c>
      <c r="E6" s="6" t="n">
        <v>2</v>
      </c>
      <c r="F6" s="6" t="n">
        <v>301</v>
      </c>
      <c r="G6" s="6">
        <f>IF('0.입력칸'!$B$3="","",ROUND(F6/'0.입력칸'!$B$3,0))</f>
        <v/>
      </c>
      <c r="H6" s="6">
        <f>IF(OR('0.입력칸'!$B$3="",'0.입력칸'!$B$5=""),"",ROUND(G6*'0.입력칸'!$B$5,0))</f>
        <v/>
      </c>
      <c r="I6" s="6" t="inlineStr">
        <is>
          <t>없음</t>
        </is>
      </c>
      <c r="J6" s="6" t="inlineStr">
        <is>
          <t>설계사 오파드건축연구소</t>
        </is>
      </c>
      <c r="K6" s="6" t="inlineStr">
        <is>
          <t>오파드건축연구소</t>
        </is>
      </c>
      <c r="L6" s="6" t="inlineStr"/>
      <c r="M6" s="6" t="inlineStr"/>
      <c r="N6" s="6" t="inlineStr">
        <is>
          <t>신축</t>
        </is>
      </c>
      <c r="O6" s="6" t="inlineStr">
        <is>
          <t>서울특별시 종로구 와룡동 37번지</t>
        </is>
      </c>
    </row>
    <row r="7">
      <c r="A7" s="6" t="inlineStr">
        <is>
          <t>서울특별시</t>
        </is>
      </c>
      <c r="B7" s="6" t="inlineStr">
        <is>
          <t>중구</t>
        </is>
      </c>
      <c r="C7" s="6" t="inlineStr">
        <is>
          <t>을지로5가 270-9 생활형숙박시설</t>
        </is>
      </c>
      <c r="D7" s="6" t="inlineStr">
        <is>
          <t>2025-07-10</t>
        </is>
      </c>
      <c r="E7" s="6" t="n">
        <v>14</v>
      </c>
      <c r="F7" s="6" t="n">
        <v>1460</v>
      </c>
      <c r="G7" s="6">
        <f>IF('0.입력칸'!$B$3="","",ROUND(F7/'0.입력칸'!$B$3,0))</f>
        <v/>
      </c>
      <c r="H7" s="6">
        <f>IF(OR('0.입력칸'!$B$3="",'0.입력칸'!$B$5=""),"",ROUND(G7*'0.입력칸'!$B$5,0))</f>
        <v/>
      </c>
      <c r="I7" s="6" t="inlineStr">
        <is>
          <t>없음</t>
        </is>
      </c>
      <c r="J7" s="6" t="inlineStr">
        <is>
          <t>설계사 (주)건축사사무소태아건축</t>
        </is>
      </c>
      <c r="K7" s="6" t="inlineStr">
        <is>
          <t>(주)건축사사무소태아건축</t>
        </is>
      </c>
      <c r="L7" s="6" t="inlineStr"/>
      <c r="M7" s="6" t="inlineStr"/>
      <c r="N7" s="6" t="inlineStr">
        <is>
          <t>증축</t>
        </is>
      </c>
      <c r="O7" s="6" t="inlineStr">
        <is>
          <t>서울특별시 중구 동호로35길 28 (을지로5가)</t>
        </is>
      </c>
    </row>
    <row r="8">
      <c r="A8" s="6" t="inlineStr">
        <is>
          <t>서울특별시</t>
        </is>
      </c>
      <c r="B8" s="6" t="inlineStr">
        <is>
          <t>중구</t>
        </is>
      </c>
      <c r="C8" s="6" t="inlineStr">
        <is>
          <t>황학동 17700000 숙박시설 (금주영)</t>
        </is>
      </c>
      <c r="D8" s="6" t="inlineStr">
        <is>
          <t>2024-01-13</t>
        </is>
      </c>
      <c r="E8" s="6" t="n">
        <v>32</v>
      </c>
      <c r="F8" s="6" t="n">
        <v>1131</v>
      </c>
      <c r="G8" s="6">
        <f>IF('0.입력칸'!$B$3="","",ROUND(F8/'0.입력칸'!$B$3,0))</f>
        <v/>
      </c>
      <c r="H8" s="6">
        <f>IF(OR('0.입력칸'!$B$3="",'0.입력칸'!$B$5=""),"",ROUND(G8*'0.입력칸'!$B$5,0))</f>
        <v/>
      </c>
      <c r="I8" s="6" t="inlineStr">
        <is>
          <t>없음</t>
        </is>
      </c>
      <c r="J8" s="6" t="inlineStr">
        <is>
          <t>설계사 예건원건축사사무소</t>
        </is>
      </c>
      <c r="K8" s="6" t="inlineStr">
        <is>
          <t>예건원건축사사무소</t>
        </is>
      </c>
      <c r="L8" s="6" t="inlineStr"/>
      <c r="M8" s="6" t="inlineStr"/>
      <c r="N8" s="6" t="inlineStr">
        <is>
          <t>신축</t>
        </is>
      </c>
      <c r="O8" s="6" t="inlineStr">
        <is>
          <t>서울특별시 중구 난계로17길 60-20 (황학동)</t>
        </is>
      </c>
    </row>
    <row r="9">
      <c r="A9" s="7" t="inlineStr">
        <is>
          <t>서울특별시</t>
        </is>
      </c>
      <c r="B9" s="7" t="inlineStr">
        <is>
          <t>중구</t>
        </is>
      </c>
      <c r="C9" s="7" t="inlineStr">
        <is>
          <t>00숙박시설</t>
        </is>
      </c>
      <c r="D9" s="7" t="inlineStr">
        <is>
          <t>2026-05-14</t>
        </is>
      </c>
      <c r="E9" s="7" t="n">
        <v>4</v>
      </c>
      <c r="F9" s="7" t="n">
        <v>825</v>
      </c>
      <c r="G9" s="7">
        <f>IF('0.입력칸'!$B$3="","",ROUND(F9/'0.입력칸'!$B$3,0))</f>
        <v/>
      </c>
      <c r="H9" s="7">
        <f>IF(OR('0.입력칸'!$B$3="",'0.입력칸'!$B$5=""),"",ROUND(G9*'0.입력칸'!$B$5,0))</f>
        <v/>
      </c>
      <c r="I9" s="7" t="inlineStr">
        <is>
          <t>있음</t>
        </is>
      </c>
      <c r="J9" s="7" t="inlineStr">
        <is>
          <t>시공사 금원종합건설(주)</t>
        </is>
      </c>
      <c r="K9" s="7" t="inlineStr">
        <is>
          <t>(주)예원종합건축사사무소</t>
        </is>
      </c>
      <c r="L9" s="7" t="inlineStr">
        <is>
          <t>(주)예원종합건축사사무소</t>
        </is>
      </c>
      <c r="M9" s="7" t="inlineStr">
        <is>
          <t>(주)엔티에스개발</t>
        </is>
      </c>
      <c r="N9" s="7" t="inlineStr">
        <is>
          <t>신축</t>
        </is>
      </c>
      <c r="O9" s="7" t="inlineStr">
        <is>
          <t>서울특별시 중구 을지로42길 24 (광희동1가)</t>
        </is>
      </c>
    </row>
    <row r="10">
      <c r="A10" s="7" t="inlineStr">
        <is>
          <t>인천광역시</t>
        </is>
      </c>
      <c r="B10" s="7" t="inlineStr">
        <is>
          <t>강화군</t>
        </is>
      </c>
      <c r="C10" s="7" t="inlineStr">
        <is>
          <t>화도면 내리 2175 숙박시설 (주식회사케이앤에이치강화)</t>
        </is>
      </c>
      <c r="D10" s="7" t="inlineStr">
        <is>
          <t>2023-07-21</t>
        </is>
      </c>
      <c r="E10" s="7" t="n">
        <v>38</v>
      </c>
      <c r="F10" s="7" t="n">
        <v>530</v>
      </c>
      <c r="G10" s="7">
        <f>IF('0.입력칸'!$B$3="","",ROUND(F10/'0.입력칸'!$B$3,0))</f>
        <v/>
      </c>
      <c r="H10" s="7">
        <f>IF(OR('0.입력칸'!$B$3="",'0.입력칸'!$B$5=""),"",ROUND(G10*'0.입력칸'!$B$5,0))</f>
        <v/>
      </c>
      <c r="I10" s="7" t="inlineStr">
        <is>
          <t>있음</t>
        </is>
      </c>
      <c r="J10" s="7" t="inlineStr">
        <is>
          <t>시공사 장학건설(주)</t>
        </is>
      </c>
      <c r="K10" s="7" t="inlineStr">
        <is>
          <t>태멘건축사사무소</t>
        </is>
      </c>
      <c r="L10" s="7" t="inlineStr"/>
      <c r="M10" s="7" t="inlineStr"/>
      <c r="N10" s="7" t="inlineStr">
        <is>
          <t>신축</t>
        </is>
      </c>
      <c r="O10" s="7" t="inlineStr">
        <is>
          <t>인천광역시 강화군 화도면 내리 2175번지</t>
        </is>
      </c>
    </row>
    <row r="11">
      <c r="A11" s="8" t="inlineStr">
        <is>
          <t>인천광역시</t>
        </is>
      </c>
      <c r="B11" s="8" t="inlineStr">
        <is>
          <t>강화군</t>
        </is>
      </c>
      <c r="C11" s="8" t="inlineStr">
        <is>
          <t>길상면 선두리 976-7 생활숙박시설</t>
        </is>
      </c>
      <c r="D11" s="8" t="inlineStr">
        <is>
          <t>2026-07-02</t>
        </is>
      </c>
      <c r="E11" s="8" t="n">
        <v>3</v>
      </c>
      <c r="F11" s="8" t="n">
        <v>460</v>
      </c>
      <c r="G11" s="8">
        <f>IF('0.입력칸'!$B$3="","",ROUND(F11/'0.입력칸'!$B$3,0))</f>
        <v/>
      </c>
      <c r="H11" s="8">
        <f>IF(OR('0.입력칸'!$B$3="",'0.입력칸'!$B$5=""),"",ROUND(G11*'0.입력칸'!$B$5,0))</f>
        <v/>
      </c>
      <c r="I11" s="8" t="inlineStr">
        <is>
          <t>없음</t>
        </is>
      </c>
      <c r="J11" s="8" t="inlineStr">
        <is>
          <t>(정보 없음 — 시·군·구 건축과)</t>
        </is>
      </c>
      <c r="K11" s="8" t="inlineStr"/>
      <c r="L11" s="8" t="inlineStr"/>
      <c r="M11" s="8" t="inlineStr"/>
      <c r="N11" s="8" t="inlineStr">
        <is>
          <t>신축</t>
        </is>
      </c>
      <c r="O11" s="8" t="inlineStr">
        <is>
          <t>인천광역시 강화군 길상면 선두리 976-7번지</t>
        </is>
      </c>
    </row>
    <row r="12">
      <c r="A12" s="6" t="inlineStr">
        <is>
          <t>인천광역시</t>
        </is>
      </c>
      <c r="B12" s="6" t="inlineStr">
        <is>
          <t>강화군</t>
        </is>
      </c>
      <c r="C12" s="6" t="inlineStr">
        <is>
          <t>삼산면 매음리 627-132 생활형숙박시설</t>
        </is>
      </c>
      <c r="D12" s="6" t="inlineStr">
        <is>
          <t>2024-10-03</t>
        </is>
      </c>
      <c r="E12" s="6" t="n">
        <v>24</v>
      </c>
      <c r="F12" s="6" t="n">
        <v>399</v>
      </c>
      <c r="G12" s="6">
        <f>IF('0.입력칸'!$B$3="","",ROUND(F12/'0.입력칸'!$B$3,0))</f>
        <v/>
      </c>
      <c r="H12" s="6">
        <f>IF(OR('0.입력칸'!$B$3="",'0.입력칸'!$B$5=""),"",ROUND(G12*'0.입력칸'!$B$5,0))</f>
        <v/>
      </c>
      <c r="I12" s="6" t="inlineStr">
        <is>
          <t>없음</t>
        </is>
      </c>
      <c r="J12" s="6" t="inlineStr">
        <is>
          <t>설계사 종현건축사사무소</t>
        </is>
      </c>
      <c r="K12" s="6" t="inlineStr">
        <is>
          <t>종현건축사사무소</t>
        </is>
      </c>
      <c r="L12" s="6" t="inlineStr"/>
      <c r="M12" s="6" t="inlineStr"/>
      <c r="N12" s="6" t="inlineStr">
        <is>
          <t>신축</t>
        </is>
      </c>
      <c r="O12" s="6" t="inlineStr">
        <is>
          <t>인천광역시 강화군 삼산면 매음리 627-132번지</t>
        </is>
      </c>
    </row>
    <row r="13">
      <c r="A13" s="7" t="inlineStr">
        <is>
          <t>인천광역시</t>
        </is>
      </c>
      <c r="B13" s="7" t="inlineStr">
        <is>
          <t>강화군</t>
        </is>
      </c>
      <c r="C13" s="7" t="inlineStr">
        <is>
          <t>삼산면 매음리 114-211 숙박시설 (***) / A-8</t>
        </is>
      </c>
      <c r="D13" s="7" t="inlineStr">
        <is>
          <t>2022-04-28</t>
        </is>
      </c>
      <c r="E13" s="7" t="n">
        <v>53</v>
      </c>
      <c r="F13" s="7" t="n">
        <v>204</v>
      </c>
      <c r="G13" s="7">
        <f>IF('0.입력칸'!$B$3="","",ROUND(F13/'0.입력칸'!$B$3,0))</f>
        <v/>
      </c>
      <c r="H13" s="7">
        <f>IF(OR('0.입력칸'!$B$3="",'0.입력칸'!$B$5=""),"",ROUND(G13*'0.입력칸'!$B$5,0))</f>
        <v/>
      </c>
      <c r="I13" s="7" t="inlineStr">
        <is>
          <t>있음</t>
        </is>
      </c>
      <c r="J13" s="7" t="inlineStr">
        <is>
          <t>시공사 동호건설(주)</t>
        </is>
      </c>
      <c r="K13" s="7" t="inlineStr">
        <is>
          <t>태엔건축사사무소</t>
        </is>
      </c>
      <c r="L13" s="7" t="inlineStr">
        <is>
          <t>광덕건축사사무소</t>
        </is>
      </c>
      <c r="M13" s="7" t="inlineStr"/>
      <c r="N13" s="7" t="inlineStr">
        <is>
          <t>신축</t>
        </is>
      </c>
      <c r="O13" s="7" t="inlineStr">
        <is>
          <t>인천광역시 강화군 삼산면 매음리 114-211번지</t>
        </is>
      </c>
    </row>
    <row r="14">
      <c r="A14" s="6" t="inlineStr">
        <is>
          <t>인천광역시</t>
        </is>
      </c>
      <c r="B14" s="6" t="inlineStr">
        <is>
          <t>강화군</t>
        </is>
      </c>
      <c r="C14" s="6" t="inlineStr">
        <is>
          <t>길상면 장흥리 276-57 숙박시설 (원유석)</t>
        </is>
      </c>
      <c r="D14" s="6" t="inlineStr">
        <is>
          <t>2024-06-19</t>
        </is>
      </c>
      <c r="E14" s="6" t="n">
        <v>27</v>
      </c>
      <c r="F14" s="6" t="n">
        <v>199</v>
      </c>
      <c r="G14" s="6">
        <f>IF('0.입력칸'!$B$3="","",ROUND(F14/'0.입력칸'!$B$3,0))</f>
        <v/>
      </c>
      <c r="H14" s="6">
        <f>IF(OR('0.입력칸'!$B$3="",'0.입력칸'!$B$5=""),"",ROUND(G14*'0.입력칸'!$B$5,0))</f>
        <v/>
      </c>
      <c r="I14" s="6" t="inlineStr">
        <is>
          <t>없음</t>
        </is>
      </c>
      <c r="J14" s="6" t="inlineStr">
        <is>
          <t>설계사 홍건축사사무소</t>
        </is>
      </c>
      <c r="K14" s="6" t="inlineStr">
        <is>
          <t>홍건축사사무소</t>
        </is>
      </c>
      <c r="L14" s="6" t="inlineStr"/>
      <c r="M14" s="6" t="inlineStr"/>
      <c r="N14" s="6" t="inlineStr">
        <is>
          <t>신축</t>
        </is>
      </c>
      <c r="O14" s="6" t="inlineStr">
        <is>
          <t>인천광역시 강화군 길상면 장흥리 276-57번지</t>
        </is>
      </c>
    </row>
    <row r="15">
      <c r="A15" s="7" t="inlineStr">
        <is>
          <t>인천광역시</t>
        </is>
      </c>
      <c r="B15" s="7" t="inlineStr">
        <is>
          <t>강화군</t>
        </is>
      </c>
      <c r="C15" s="7" t="inlineStr">
        <is>
          <t>삼산면 매음리 114-211 숙박시설 (***) / A-9</t>
        </is>
      </c>
      <c r="D15" s="7" t="inlineStr">
        <is>
          <t>2022-04-28</t>
        </is>
      </c>
      <c r="E15" s="7" t="n">
        <v>53</v>
      </c>
      <c r="F15" s="7" t="n">
        <v>199</v>
      </c>
      <c r="G15" s="7">
        <f>IF('0.입력칸'!$B$3="","",ROUND(F15/'0.입력칸'!$B$3,0))</f>
        <v/>
      </c>
      <c r="H15" s="7">
        <f>IF(OR('0.입력칸'!$B$3="",'0.입력칸'!$B$5=""),"",ROUND(G15*'0.입력칸'!$B$5,0))</f>
        <v/>
      </c>
      <c r="I15" s="7" t="inlineStr">
        <is>
          <t>있음</t>
        </is>
      </c>
      <c r="J15" s="7" t="inlineStr">
        <is>
          <t>시공사 동호건설(주)</t>
        </is>
      </c>
      <c r="K15" s="7" t="inlineStr">
        <is>
          <t>태엔건축사사무소</t>
        </is>
      </c>
      <c r="L15" s="7" t="inlineStr">
        <is>
          <t>광덕건축사사무소</t>
        </is>
      </c>
      <c r="M15" s="7" t="inlineStr"/>
      <c r="N15" s="7" t="inlineStr">
        <is>
          <t>신축</t>
        </is>
      </c>
      <c r="O15" s="7" t="inlineStr">
        <is>
          <t>인천광역시 강화군 삼산면 매음리 114-212번지</t>
        </is>
      </c>
    </row>
    <row r="16">
      <c r="A16" s="6" t="inlineStr">
        <is>
          <t>인천광역시</t>
        </is>
      </c>
      <c r="B16" s="6" t="inlineStr">
        <is>
          <t>강화군</t>
        </is>
      </c>
      <c r="C16" s="6" t="inlineStr">
        <is>
          <t>삼산면 매음리 114-243 숙박시설 (***)</t>
        </is>
      </c>
      <c r="D16" s="6" t="inlineStr">
        <is>
          <t>2021-08-31</t>
        </is>
      </c>
      <c r="E16" s="6" t="n">
        <v>61</v>
      </c>
      <c r="F16" s="6" t="n">
        <v>99</v>
      </c>
      <c r="G16" s="6">
        <f>IF('0.입력칸'!$B$3="","",ROUND(F16/'0.입력칸'!$B$3,0))</f>
        <v/>
      </c>
      <c r="H16" s="6">
        <f>IF(OR('0.입력칸'!$B$3="",'0.입력칸'!$B$5=""),"",ROUND(G16*'0.입력칸'!$B$5,0))</f>
        <v/>
      </c>
      <c r="I16" s="6" t="inlineStr">
        <is>
          <t>없음</t>
        </is>
      </c>
      <c r="J16" s="6" t="inlineStr">
        <is>
          <t>설계사 건축사사무소알앤비</t>
        </is>
      </c>
      <c r="K16" s="6" t="inlineStr">
        <is>
          <t>건축사사무소알앤비</t>
        </is>
      </c>
      <c r="L16" s="6" t="inlineStr"/>
      <c r="M16" s="6" t="inlineStr"/>
      <c r="N16" s="6" t="inlineStr">
        <is>
          <t>신축</t>
        </is>
      </c>
      <c r="O16" s="6" t="inlineStr">
        <is>
          <t>인천광역시 강화군 삼산면 매음리 114-243번지</t>
        </is>
      </c>
    </row>
    <row r="17">
      <c r="A17" s="6" t="inlineStr">
        <is>
          <t>인천광역시</t>
        </is>
      </c>
      <c r="B17" s="6" t="inlineStr">
        <is>
          <t>미추홀구</t>
        </is>
      </c>
      <c r="C17" s="6" t="inlineStr">
        <is>
          <t>용현동 624-9 숙박시설(수협은행)</t>
        </is>
      </c>
      <c r="D17" s="6" t="inlineStr">
        <is>
          <t>2022-06-24</t>
        </is>
      </c>
      <c r="E17" s="6" t="n">
        <v>51</v>
      </c>
      <c r="F17" s="6" t="n">
        <v>1358</v>
      </c>
      <c r="G17" s="6">
        <f>IF('0.입력칸'!$B$3="","",ROUND(F17/'0.입력칸'!$B$3,0))</f>
        <v/>
      </c>
      <c r="H17" s="6">
        <f>IF(OR('0.입력칸'!$B$3="",'0.입력칸'!$B$5=""),"",ROUND(G17*'0.입력칸'!$B$5,0))</f>
        <v/>
      </c>
      <c r="I17" s="6" t="inlineStr">
        <is>
          <t>없음</t>
        </is>
      </c>
      <c r="J17" s="6" t="inlineStr">
        <is>
          <t>설계사 (주)미성건축사사무소</t>
        </is>
      </c>
      <c r="K17" s="6" t="inlineStr">
        <is>
          <t>(주)미성건축사사무소</t>
        </is>
      </c>
      <c r="L17" s="6" t="inlineStr"/>
      <c r="M17" s="6" t="inlineStr"/>
      <c r="N17" s="6" t="inlineStr">
        <is>
          <t>증축</t>
        </is>
      </c>
      <c r="O17" s="6" t="inlineStr">
        <is>
          <t>인천광역시 미추홀구 아암대로53번길 15 (용현동)</t>
        </is>
      </c>
    </row>
    <row r="18">
      <c r="A18" s="6" t="inlineStr">
        <is>
          <t>인천광역시</t>
        </is>
      </c>
      <c r="B18" s="6" t="inlineStr">
        <is>
          <t>옹진군</t>
        </is>
      </c>
      <c r="C18" s="6" t="inlineStr">
        <is>
          <t>영흥면 선재리 521-90 숙박시설 (***)</t>
        </is>
      </c>
      <c r="D18" s="6" t="inlineStr">
        <is>
          <t>2025-07-24</t>
        </is>
      </c>
      <c r="E18" s="6" t="n">
        <v>14</v>
      </c>
      <c r="F18" s="6" t="n">
        <v>1212</v>
      </c>
      <c r="G18" s="6">
        <f>IF('0.입력칸'!$B$3="","",ROUND(F18/'0.입력칸'!$B$3,0))</f>
        <v/>
      </c>
      <c r="H18" s="6">
        <f>IF(OR('0.입력칸'!$B$3="",'0.입력칸'!$B$5=""),"",ROUND(G18*'0.입력칸'!$B$5,0))</f>
        <v/>
      </c>
      <c r="I18" s="6" t="inlineStr">
        <is>
          <t>없음</t>
        </is>
      </c>
      <c r="J18" s="6" t="inlineStr">
        <is>
          <t>설계사 (주)미성건축사사무소</t>
        </is>
      </c>
      <c r="K18" s="6" t="inlineStr">
        <is>
          <t>(주)미성건축사사무소</t>
        </is>
      </c>
      <c r="L18" s="6" t="inlineStr"/>
      <c r="M18" s="6" t="inlineStr"/>
      <c r="N18" s="6" t="inlineStr">
        <is>
          <t>신축</t>
        </is>
      </c>
      <c r="O18" s="6" t="inlineStr">
        <is>
          <t>인천광역시 옹진군 영흥면 선재226번길 107-9</t>
        </is>
      </c>
    </row>
    <row r="19">
      <c r="A19" s="6" t="inlineStr">
        <is>
          <t>인천광역시</t>
        </is>
      </c>
      <c r="B19" s="6" t="inlineStr">
        <is>
          <t>옹진군</t>
        </is>
      </c>
      <c r="C19" s="6" t="inlineStr">
        <is>
          <t>영흥면 외리 17-32 숙박시설 (***)</t>
        </is>
      </c>
      <c r="D19" s="6" t="inlineStr">
        <is>
          <t>2025-01-09</t>
        </is>
      </c>
      <c r="E19" s="6" t="n">
        <v>20</v>
      </c>
      <c r="F19" s="6" t="n">
        <v>738</v>
      </c>
      <c r="G19" s="6">
        <f>IF('0.입력칸'!$B$3="","",ROUND(F19/'0.입력칸'!$B$3,0))</f>
        <v/>
      </c>
      <c r="H19" s="6">
        <f>IF(OR('0.입력칸'!$B$3="",'0.입력칸'!$B$5=""),"",ROUND(G19*'0.입력칸'!$B$5,0))</f>
        <v/>
      </c>
      <c r="I19" s="6" t="inlineStr">
        <is>
          <t>없음</t>
        </is>
      </c>
      <c r="J19" s="6" t="inlineStr">
        <is>
          <t>설계사 아침건축사사무소</t>
        </is>
      </c>
      <c r="K19" s="6" t="inlineStr">
        <is>
          <t>아침건축사사무소</t>
        </is>
      </c>
      <c r="L19" s="6" t="inlineStr"/>
      <c r="M19" s="6" t="inlineStr"/>
      <c r="N19" s="6" t="inlineStr">
        <is>
          <t>신축</t>
        </is>
      </c>
      <c r="O19" s="6" t="inlineStr">
        <is>
          <t>인천광역시 옹진군 영흥면 외리 17-32번지</t>
        </is>
      </c>
    </row>
    <row r="20">
      <c r="A20" s="6" t="inlineStr">
        <is>
          <t>인천광역시</t>
        </is>
      </c>
      <c r="B20" s="6" t="inlineStr">
        <is>
          <t>옹진군</t>
        </is>
      </c>
      <c r="C20" s="6" t="inlineStr">
        <is>
          <t>관광숙박시설-호스텔</t>
        </is>
      </c>
      <c r="D20" s="6" t="inlineStr">
        <is>
          <t>2026-06-02</t>
        </is>
      </c>
      <c r="E20" s="6" t="n">
        <v>4</v>
      </c>
      <c r="F20" s="6" t="n">
        <v>259</v>
      </c>
      <c r="G20" s="6">
        <f>IF('0.입력칸'!$B$3="","",ROUND(F20/'0.입력칸'!$B$3,0))</f>
        <v/>
      </c>
      <c r="H20" s="6">
        <f>IF(OR('0.입력칸'!$B$3="",'0.입력칸'!$B$5=""),"",ROUND(G20*'0.입력칸'!$B$5,0))</f>
        <v/>
      </c>
      <c r="I20" s="6" t="inlineStr">
        <is>
          <t>없음</t>
        </is>
      </c>
      <c r="J20" s="6" t="inlineStr">
        <is>
          <t>설계사 (주)호누건축사사무소</t>
        </is>
      </c>
      <c r="K20" s="6" t="inlineStr">
        <is>
          <t>(주)호누건축사사무소</t>
        </is>
      </c>
      <c r="L20" s="6" t="inlineStr"/>
      <c r="M20" s="6" t="inlineStr"/>
      <c r="N20" s="6" t="inlineStr">
        <is>
          <t>증축</t>
        </is>
      </c>
      <c r="O20" s="6" t="inlineStr">
        <is>
          <t>인천광역시 옹진군 영흥면 영흥로643번길 15-1</t>
        </is>
      </c>
    </row>
    <row r="21">
      <c r="A21" s="7" t="inlineStr">
        <is>
          <t>인천광역시</t>
        </is>
      </c>
      <c r="B21" s="7" t="inlineStr">
        <is>
          <t>중구</t>
        </is>
      </c>
      <c r="C21" s="7" t="inlineStr">
        <is>
          <t>을왕동 762-119 관광숙박시설(호스텔)-이혜석</t>
        </is>
      </c>
      <c r="D21" s="7" t="inlineStr">
        <is>
          <t>2023-08-28</t>
        </is>
      </c>
      <c r="E21" s="7" t="n">
        <v>37</v>
      </c>
      <c r="F21" s="7" t="n">
        <v>598</v>
      </c>
      <c r="G21" s="7">
        <f>IF('0.입력칸'!$B$3="","",ROUND(F21/'0.입력칸'!$B$3,0))</f>
        <v/>
      </c>
      <c r="H21" s="7">
        <f>IF(OR('0.입력칸'!$B$3="",'0.입력칸'!$B$5=""),"",ROUND(G21*'0.입력칸'!$B$5,0))</f>
        <v/>
      </c>
      <c r="I21" s="7" t="inlineStr">
        <is>
          <t>있음</t>
        </is>
      </c>
      <c r="J21" s="7" t="inlineStr">
        <is>
          <t>시공사 (주)태원건설</t>
        </is>
      </c>
      <c r="K21" s="7" t="inlineStr"/>
      <c r="L21" s="7" t="inlineStr"/>
      <c r="M21" s="7" t="inlineStr"/>
      <c r="N21" s="7" t="inlineStr">
        <is>
          <t>대수선</t>
        </is>
      </c>
      <c r="O21" s="7" t="inlineStr">
        <is>
          <t>인천광역시 중구 용유서로348번길 12 (을왕동, 비치뷰하우스)</t>
        </is>
      </c>
    </row>
    <row r="22">
      <c r="A22" s="6" t="inlineStr">
        <is>
          <t>인천광역시</t>
        </is>
      </c>
      <c r="B22" s="6" t="inlineStr">
        <is>
          <t>중구</t>
        </is>
      </c>
      <c r="C22" s="6" t="inlineStr">
        <is>
          <t>을왕동 742-12 숙박시설 (***)</t>
        </is>
      </c>
      <c r="D22" s="6" t="inlineStr">
        <is>
          <t>2023-03-24</t>
        </is>
      </c>
      <c r="E22" s="6" t="n">
        <v>42</v>
      </c>
      <c r="F22" s="6" t="n">
        <v>149</v>
      </c>
      <c r="G22" s="6">
        <f>IF('0.입력칸'!$B$3="","",ROUND(F22/'0.입력칸'!$B$3,0))</f>
        <v/>
      </c>
      <c r="H22" s="6">
        <f>IF(OR('0.입력칸'!$B$3="",'0.입력칸'!$B$5=""),"",ROUND(G22*'0.입력칸'!$B$5,0))</f>
        <v/>
      </c>
      <c r="I22" s="6" t="inlineStr">
        <is>
          <t>없음</t>
        </is>
      </c>
      <c r="J22" s="6" t="inlineStr">
        <is>
          <t>설계사 팀이십일건축사사무소</t>
        </is>
      </c>
      <c r="K22" s="6" t="inlineStr">
        <is>
          <t>팀이십일건축사사무소</t>
        </is>
      </c>
      <c r="L22" s="6" t="inlineStr"/>
      <c r="M22" s="6" t="inlineStr"/>
      <c r="N22" s="6" t="inlineStr">
        <is>
          <t>증축</t>
        </is>
      </c>
      <c r="O22" s="6" t="inlineStr">
        <is>
          <t>인천광역시 중구 용유서로302번길 23 (을왕동)</t>
        </is>
      </c>
    </row>
    <row r="23">
      <c r="A23" s="7" t="inlineStr">
        <is>
          <t>경기도</t>
        </is>
      </c>
      <c r="B23" s="7" t="inlineStr">
        <is>
          <t>가평군</t>
        </is>
      </c>
      <c r="C23" s="7" t="inlineStr">
        <is>
          <t>숙박시설(생활숙박시설) - 주식회사 에이치와이개발</t>
        </is>
      </c>
      <c r="D23" s="7" t="inlineStr">
        <is>
          <t>2026-04-27</t>
        </is>
      </c>
      <c r="E23" s="7" t="n">
        <v>5</v>
      </c>
      <c r="F23" s="7" t="n">
        <v>1371</v>
      </c>
      <c r="G23" s="7">
        <f>IF('0.입력칸'!$B$3="","",ROUND(F23/'0.입력칸'!$B$3,0))</f>
        <v/>
      </c>
      <c r="H23" s="7">
        <f>IF(OR('0.입력칸'!$B$3="",'0.입력칸'!$B$5=""),"",ROUND(G23*'0.입력칸'!$B$5,0))</f>
        <v/>
      </c>
      <c r="I23" s="7" t="inlineStr">
        <is>
          <t>있음</t>
        </is>
      </c>
      <c r="J23" s="7" t="inlineStr">
        <is>
          <t>시공사 지건설(주)</t>
        </is>
      </c>
      <c r="K23" s="7" t="inlineStr"/>
      <c r="L23" s="7" t="inlineStr"/>
      <c r="M23" s="7" t="inlineStr"/>
      <c r="N23" s="7" t="inlineStr">
        <is>
          <t>신축</t>
        </is>
      </c>
      <c r="O23" s="7" t="inlineStr">
        <is>
          <t>경기도 가평군 조종면 운악리 산176-1번지</t>
        </is>
      </c>
    </row>
    <row r="24">
      <c r="A24" s="6" t="inlineStr">
        <is>
          <t>경기도</t>
        </is>
      </c>
      <c r="B24" s="6" t="inlineStr">
        <is>
          <t>가평군</t>
        </is>
      </c>
      <c r="C24" s="6" t="inlineStr">
        <is>
          <t>조종면 상판리 3790000 숙박시설 (***)</t>
        </is>
      </c>
      <c r="D24" s="6" t="inlineStr">
        <is>
          <t>2024-11-27</t>
        </is>
      </c>
      <c r="E24" s="6" t="n">
        <v>22</v>
      </c>
      <c r="F24" s="6" t="n">
        <v>1348</v>
      </c>
      <c r="G24" s="6">
        <f>IF('0.입력칸'!$B$3="","",ROUND(F24/'0.입력칸'!$B$3,0))</f>
        <v/>
      </c>
      <c r="H24" s="6">
        <f>IF(OR('0.입력칸'!$B$3="",'0.입력칸'!$B$5=""),"",ROUND(G24*'0.입력칸'!$B$5,0))</f>
        <v/>
      </c>
      <c r="I24" s="6" t="inlineStr">
        <is>
          <t>없음</t>
        </is>
      </c>
      <c r="J24" s="6" t="inlineStr">
        <is>
          <t>설계사 한성건축사사무소</t>
        </is>
      </c>
      <c r="K24" s="6" t="inlineStr">
        <is>
          <t>한성건축사사무소</t>
        </is>
      </c>
      <c r="L24" s="6" t="inlineStr"/>
      <c r="M24" s="6" t="inlineStr"/>
      <c r="N24" s="6" t="inlineStr">
        <is>
          <t>신축</t>
        </is>
      </c>
      <c r="O24" s="6" t="inlineStr">
        <is>
          <t>경기도 가평군 조종면 상판리 379번지</t>
        </is>
      </c>
    </row>
    <row r="25">
      <c r="A25" s="6" t="inlineStr">
        <is>
          <t>경기도</t>
        </is>
      </c>
      <c r="B25" s="6" t="inlineStr">
        <is>
          <t>가평군</t>
        </is>
      </c>
      <c r="C25" s="6" t="inlineStr">
        <is>
          <t>청평면 삼회리 188-1 숙박시설 ((주)이스페이스)</t>
        </is>
      </c>
      <c r="D25" s="6" t="inlineStr">
        <is>
          <t>2023-04-04</t>
        </is>
      </c>
      <c r="E25" s="6" t="n">
        <v>42</v>
      </c>
      <c r="F25" s="6" t="n">
        <v>1334</v>
      </c>
      <c r="G25" s="6">
        <f>IF('0.입력칸'!$B$3="","",ROUND(F25/'0.입력칸'!$B$3,0))</f>
        <v/>
      </c>
      <c r="H25" s="6">
        <f>IF(OR('0.입력칸'!$B$3="",'0.입력칸'!$B$5=""),"",ROUND(G25*'0.입력칸'!$B$5,0))</f>
        <v/>
      </c>
      <c r="I25" s="6" t="inlineStr">
        <is>
          <t>없음</t>
        </is>
      </c>
      <c r="J25" s="6" t="inlineStr">
        <is>
          <t>설계사 정풍건축사사무소</t>
        </is>
      </c>
      <c r="K25" s="6" t="inlineStr">
        <is>
          <t>정풍건축사사무소</t>
        </is>
      </c>
      <c r="L25" s="6" t="inlineStr"/>
      <c r="M25" s="6" t="inlineStr"/>
      <c r="N25" s="6" t="inlineStr">
        <is>
          <t>신축</t>
        </is>
      </c>
      <c r="O25" s="6" t="inlineStr">
        <is>
          <t>경기도 가평군 청평면 삼회리 188-1번지</t>
        </is>
      </c>
    </row>
    <row r="26">
      <c r="A26" s="7" t="inlineStr">
        <is>
          <t>경기도</t>
        </is>
      </c>
      <c r="B26" s="7" t="inlineStr">
        <is>
          <t>가평군</t>
        </is>
      </c>
      <c r="C26" s="7" t="inlineStr">
        <is>
          <t>북면 백둔리 66 숙박시설 (***)</t>
        </is>
      </c>
      <c r="D26" s="7" t="inlineStr">
        <is>
          <t>2022-11-29</t>
        </is>
      </c>
      <c r="E26" s="7" t="n">
        <v>46</v>
      </c>
      <c r="F26" s="7" t="n">
        <v>1275</v>
      </c>
      <c r="G26" s="7">
        <f>IF('0.입력칸'!$B$3="","",ROUND(F26/'0.입력칸'!$B$3,0))</f>
        <v/>
      </c>
      <c r="H26" s="7">
        <f>IF(OR('0.입력칸'!$B$3="",'0.입력칸'!$B$5=""),"",ROUND(G26*'0.입력칸'!$B$5,0))</f>
        <v/>
      </c>
      <c r="I26" s="7" t="inlineStr">
        <is>
          <t>있음</t>
        </is>
      </c>
      <c r="J26" s="7" t="inlineStr">
        <is>
          <t>시공사 제이풀건설(주)</t>
        </is>
      </c>
      <c r="K26" s="7" t="inlineStr">
        <is>
          <t>(주)케이와이케이건축사사무소</t>
        </is>
      </c>
      <c r="L26" s="7" t="inlineStr">
        <is>
          <t>(주)제이풀씨엠건축사사무소</t>
        </is>
      </c>
      <c r="M26" s="7" t="inlineStr"/>
      <c r="N26" s="7" t="inlineStr">
        <is>
          <t>신축</t>
        </is>
      </c>
      <c r="O26" s="7" t="inlineStr">
        <is>
          <t>경기도 가평군 북면 백둔로133번길 63</t>
        </is>
      </c>
    </row>
    <row r="27">
      <c r="A27" s="6" t="inlineStr">
        <is>
          <t>경기도</t>
        </is>
      </c>
      <c r="B27" s="6" t="inlineStr">
        <is>
          <t>가평군</t>
        </is>
      </c>
      <c r="C27" s="6" t="inlineStr">
        <is>
          <t>숙박시설(생활숙박) - 정현주</t>
        </is>
      </c>
      <c r="D27" s="6" t="inlineStr">
        <is>
          <t>2025-06-28</t>
        </is>
      </c>
      <c r="E27" s="6" t="n">
        <v>15</v>
      </c>
      <c r="F27" s="6" t="n">
        <v>972</v>
      </c>
      <c r="G27" s="6">
        <f>IF('0.입력칸'!$B$3="","",ROUND(F27/'0.입력칸'!$B$3,0))</f>
        <v/>
      </c>
      <c r="H27" s="6">
        <f>IF(OR('0.입력칸'!$B$3="",'0.입력칸'!$B$5=""),"",ROUND(G27*'0.입력칸'!$B$5,0))</f>
        <v/>
      </c>
      <c r="I27" s="6" t="inlineStr">
        <is>
          <t>없음</t>
        </is>
      </c>
      <c r="J27" s="6" t="inlineStr">
        <is>
          <t>설계사 기준건축사사무소</t>
        </is>
      </c>
      <c r="K27" s="6" t="inlineStr">
        <is>
          <t>기준건축사사무소</t>
        </is>
      </c>
      <c r="L27" s="6" t="inlineStr"/>
      <c r="M27" s="6" t="inlineStr"/>
      <c r="N27" s="6" t="inlineStr">
        <is>
          <t>신축</t>
        </is>
      </c>
      <c r="O27" s="6" t="inlineStr">
        <is>
          <t>경기도 가평군 청평면 양진길 72</t>
        </is>
      </c>
    </row>
    <row r="28">
      <c r="A28" s="6" t="inlineStr">
        <is>
          <t>경기도</t>
        </is>
      </c>
      <c r="B28" s="6" t="inlineStr">
        <is>
          <t>가평군</t>
        </is>
      </c>
      <c r="C28" s="6" t="inlineStr">
        <is>
          <t>북면 제령리 557-7 생활형숙박시설 증축공사</t>
        </is>
      </c>
      <c r="D28" s="6" t="inlineStr">
        <is>
          <t>2026-06-12</t>
        </is>
      </c>
      <c r="E28" s="6" t="n">
        <v>3</v>
      </c>
      <c r="F28" s="6" t="n">
        <v>942</v>
      </c>
      <c r="G28" s="6">
        <f>IF('0.입력칸'!$B$3="","",ROUND(F28/'0.입력칸'!$B$3,0))</f>
        <v/>
      </c>
      <c r="H28" s="6">
        <f>IF(OR('0.입력칸'!$B$3="",'0.입력칸'!$B$5=""),"",ROUND(G28*'0.입력칸'!$B$5,0))</f>
        <v/>
      </c>
      <c r="I28" s="6" t="inlineStr">
        <is>
          <t>없음</t>
        </is>
      </c>
      <c r="J28" s="6" t="inlineStr">
        <is>
          <t>설계사 알에이케이건축사사무소</t>
        </is>
      </c>
      <c r="K28" s="6" t="inlineStr">
        <is>
          <t>알에이케이건축사사무소</t>
        </is>
      </c>
      <c r="L28" s="6" t="inlineStr"/>
      <c r="M28" s="6" t="inlineStr"/>
      <c r="N28" s="6" t="inlineStr">
        <is>
          <t>증축</t>
        </is>
      </c>
      <c r="O28" s="6" t="inlineStr">
        <is>
          <t>경기도 가평군 북면 꽃넘이길 115-47</t>
        </is>
      </c>
    </row>
    <row r="29">
      <c r="A29" s="6" t="inlineStr">
        <is>
          <t>경기도</t>
        </is>
      </c>
      <c r="B29" s="6" t="inlineStr">
        <is>
          <t>가평군</t>
        </is>
      </c>
      <c r="C29" s="6" t="inlineStr">
        <is>
          <t>가평읍 산유리 67 숙박시설 ((주)호명산힐링타운)</t>
        </is>
      </c>
      <c r="D29" s="6" t="inlineStr">
        <is>
          <t>2024-05-17</t>
        </is>
      </c>
      <c r="E29" s="6" t="n">
        <v>28</v>
      </c>
      <c r="F29" s="6" t="n">
        <v>849</v>
      </c>
      <c r="G29" s="6">
        <f>IF('0.입력칸'!$B$3="","",ROUND(F29/'0.입력칸'!$B$3,0))</f>
        <v/>
      </c>
      <c r="H29" s="6">
        <f>IF(OR('0.입력칸'!$B$3="",'0.입력칸'!$B$5=""),"",ROUND(G29*'0.입력칸'!$B$5,0))</f>
        <v/>
      </c>
      <c r="I29" s="6" t="inlineStr">
        <is>
          <t>없음</t>
        </is>
      </c>
      <c r="J29" s="6" t="inlineStr">
        <is>
          <t>설계사 건축사사무소태은</t>
        </is>
      </c>
      <c r="K29" s="6" t="inlineStr">
        <is>
          <t>건축사사무소태은</t>
        </is>
      </c>
      <c r="L29" s="6" t="inlineStr"/>
      <c r="M29" s="6" t="inlineStr"/>
      <c r="N29" s="6" t="inlineStr">
        <is>
          <t>신축</t>
        </is>
      </c>
      <c r="O29" s="6" t="inlineStr">
        <is>
          <t>경기도 가평군 가평읍 산유리 산 67번지</t>
        </is>
      </c>
    </row>
    <row r="30">
      <c r="A30" s="6" t="inlineStr">
        <is>
          <t>경기도</t>
        </is>
      </c>
      <c r="B30" s="6" t="inlineStr">
        <is>
          <t>가평군</t>
        </is>
      </c>
      <c r="C30" s="6" t="inlineStr">
        <is>
          <t>청평면 삼회리 470-1 숙박시설 (***)</t>
        </is>
      </c>
      <c r="D30" s="6" t="inlineStr">
        <is>
          <t>2024-04-26</t>
        </is>
      </c>
      <c r="E30" s="6" t="n">
        <v>29</v>
      </c>
      <c r="F30" s="6" t="n">
        <v>634</v>
      </c>
      <c r="G30" s="6">
        <f>IF('0.입력칸'!$B$3="","",ROUND(F30/'0.입력칸'!$B$3,0))</f>
        <v/>
      </c>
      <c r="H30" s="6">
        <f>IF(OR('0.입력칸'!$B$3="",'0.입력칸'!$B$5=""),"",ROUND(G30*'0.입력칸'!$B$5,0))</f>
        <v/>
      </c>
      <c r="I30" s="6" t="inlineStr">
        <is>
          <t>없음</t>
        </is>
      </c>
      <c r="J30" s="6" t="inlineStr">
        <is>
          <t>설계사 (주)한서건축사사무소</t>
        </is>
      </c>
      <c r="K30" s="6" t="inlineStr">
        <is>
          <t>(주)한서건축사사무소</t>
        </is>
      </c>
      <c r="L30" s="6" t="inlineStr"/>
      <c r="M30" s="6" t="inlineStr"/>
      <c r="N30" s="6" t="inlineStr">
        <is>
          <t>신축</t>
        </is>
      </c>
      <c r="O30" s="6" t="inlineStr">
        <is>
          <t>경기도 가평군 청평면 삼회리 470-1번지</t>
        </is>
      </c>
    </row>
    <row r="31">
      <c r="A31" s="6" t="inlineStr">
        <is>
          <t>경기도</t>
        </is>
      </c>
      <c r="B31" s="6" t="inlineStr">
        <is>
          <t>가평군</t>
        </is>
      </c>
      <c r="C31" s="6" t="inlineStr">
        <is>
          <t>상면 행현리 460 숙박시설 (***)</t>
        </is>
      </c>
      <c r="D31" s="6" t="inlineStr">
        <is>
          <t>2024-06-25</t>
        </is>
      </c>
      <c r="E31" s="6" t="n">
        <v>27</v>
      </c>
      <c r="F31" s="6" t="n">
        <v>609</v>
      </c>
      <c r="G31" s="6">
        <f>IF('0.입력칸'!$B$3="","",ROUND(F31/'0.입력칸'!$B$3,0))</f>
        <v/>
      </c>
      <c r="H31" s="6">
        <f>IF(OR('0.입력칸'!$B$3="",'0.입력칸'!$B$5=""),"",ROUND(G31*'0.입력칸'!$B$5,0))</f>
        <v/>
      </c>
      <c r="I31" s="6" t="inlineStr">
        <is>
          <t>없음</t>
        </is>
      </c>
      <c r="J31" s="6" t="inlineStr">
        <is>
          <t>설계사 기준건축사사무소</t>
        </is>
      </c>
      <c r="K31" s="6" t="inlineStr">
        <is>
          <t>기준건축사사무소</t>
        </is>
      </c>
      <c r="L31" s="6" t="inlineStr"/>
      <c r="M31" s="6" t="inlineStr"/>
      <c r="N31" s="6" t="inlineStr">
        <is>
          <t>신축</t>
        </is>
      </c>
      <c r="O31" s="6" t="inlineStr">
        <is>
          <t>경기도 가평군 상면 행현리 460번지</t>
        </is>
      </c>
    </row>
    <row r="32">
      <c r="A32" s="7" t="inlineStr">
        <is>
          <t>경기도</t>
        </is>
      </c>
      <c r="B32" s="7" t="inlineStr">
        <is>
          <t>가평군</t>
        </is>
      </c>
      <c r="C32" s="7" t="inlineStr">
        <is>
          <t>생활숙박시설</t>
        </is>
      </c>
      <c r="D32" s="7" t="inlineStr">
        <is>
          <t>2023-04-04</t>
        </is>
      </c>
      <c r="E32" s="7" t="n">
        <v>42</v>
      </c>
      <c r="F32" s="7" t="n">
        <v>574</v>
      </c>
      <c r="G32" s="7">
        <f>IF('0.입력칸'!$B$3="","",ROUND(F32/'0.입력칸'!$B$3,0))</f>
        <v/>
      </c>
      <c r="H32" s="7">
        <f>IF(OR('0.입력칸'!$B$3="",'0.입력칸'!$B$5=""),"",ROUND(G32*'0.입력칸'!$B$5,0))</f>
        <v/>
      </c>
      <c r="I32" s="7" t="inlineStr">
        <is>
          <t>있음</t>
        </is>
      </c>
      <c r="J32" s="7" t="inlineStr">
        <is>
          <t>시공사 (주)오케이종합건설</t>
        </is>
      </c>
      <c r="K32" s="7" t="inlineStr"/>
      <c r="L32" s="7" t="inlineStr"/>
      <c r="M32" s="7" t="inlineStr"/>
      <c r="N32" s="7" t="inlineStr">
        <is>
          <t>신축</t>
        </is>
      </c>
      <c r="O32" s="7" t="inlineStr">
        <is>
          <t>경기도 가평군 조종면 운악청로 238-38</t>
        </is>
      </c>
    </row>
    <row r="33">
      <c r="A33" s="7" t="inlineStr">
        <is>
          <t>경기도</t>
        </is>
      </c>
      <c r="B33" s="7" t="inlineStr">
        <is>
          <t>가평군</t>
        </is>
      </c>
      <c r="C33" s="7" t="inlineStr">
        <is>
          <t>생활숙박시설</t>
        </is>
      </c>
      <c r="D33" s="7" t="inlineStr">
        <is>
          <t>2022-08-04</t>
        </is>
      </c>
      <c r="E33" s="7" t="n">
        <v>50</v>
      </c>
      <c r="F33" s="7" t="n">
        <v>574</v>
      </c>
      <c r="G33" s="7">
        <f>IF('0.입력칸'!$B$3="","",ROUND(F33/'0.입력칸'!$B$3,0))</f>
        <v/>
      </c>
      <c r="H33" s="7">
        <f>IF(OR('0.입력칸'!$B$3="",'0.입력칸'!$B$5=""),"",ROUND(G33*'0.입력칸'!$B$5,0))</f>
        <v/>
      </c>
      <c r="I33" s="7" t="inlineStr">
        <is>
          <t>있음</t>
        </is>
      </c>
      <c r="J33" s="7" t="inlineStr">
        <is>
          <t>시공사 (주)오케이종합건설</t>
        </is>
      </c>
      <c r="K33" s="7" t="inlineStr">
        <is>
          <t>월드건축사사무소</t>
        </is>
      </c>
      <c r="L33" s="7" t="inlineStr">
        <is>
          <t>월드건축사사무소</t>
        </is>
      </c>
      <c r="M33" s="7" t="inlineStr"/>
      <c r="N33" s="7" t="inlineStr">
        <is>
          <t>신축</t>
        </is>
      </c>
      <c r="O33" s="7" t="inlineStr">
        <is>
          <t>경기도 가평군 조종면 운악청계로 238-38</t>
        </is>
      </c>
    </row>
    <row r="34">
      <c r="A34" s="7" t="inlineStr">
        <is>
          <t>경기도</t>
        </is>
      </c>
      <c r="B34" s="7" t="inlineStr">
        <is>
          <t>가평군</t>
        </is>
      </c>
      <c r="C34" s="7" t="inlineStr">
        <is>
          <t>생활숙박시설</t>
        </is>
      </c>
      <c r="D34" s="7" t="inlineStr">
        <is>
          <t>2022-08-03</t>
        </is>
      </c>
      <c r="E34" s="7" t="n">
        <v>50</v>
      </c>
      <c r="F34" s="7" t="n">
        <v>574</v>
      </c>
      <c r="G34" s="7">
        <f>IF('0.입력칸'!$B$3="","",ROUND(F34/'0.입력칸'!$B$3,0))</f>
        <v/>
      </c>
      <c r="H34" s="7">
        <f>IF(OR('0.입력칸'!$B$3="",'0.입력칸'!$B$5=""),"",ROUND(G34*'0.입력칸'!$B$5,0))</f>
        <v/>
      </c>
      <c r="I34" s="7" t="inlineStr">
        <is>
          <t>있음</t>
        </is>
      </c>
      <c r="J34" s="7" t="inlineStr">
        <is>
          <t>시공사 (주)오케이종합건설</t>
        </is>
      </c>
      <c r="K34" s="7" t="inlineStr">
        <is>
          <t>월드건축사사무소</t>
        </is>
      </c>
      <c r="L34" s="7" t="inlineStr">
        <is>
          <t>월드건축사사무소</t>
        </is>
      </c>
      <c r="M34" s="7" t="inlineStr"/>
      <c r="N34" s="7" t="inlineStr">
        <is>
          <t>신축</t>
        </is>
      </c>
      <c r="O34" s="7" t="inlineStr">
        <is>
          <t>경기도 가평군 조종면 현리 2-5번지</t>
        </is>
      </c>
    </row>
    <row r="35">
      <c r="A35" s="6" t="inlineStr">
        <is>
          <t>경기도</t>
        </is>
      </c>
      <c r="B35" s="6" t="inlineStr">
        <is>
          <t>가평군</t>
        </is>
      </c>
      <c r="C35" s="6" t="inlineStr">
        <is>
          <t>상면 행현리 322-13 숙박시설 및 근생</t>
        </is>
      </c>
      <c r="D35" s="6" t="inlineStr">
        <is>
          <t>2021-12-24</t>
        </is>
      </c>
      <c r="E35" s="6" t="n">
        <v>57</v>
      </c>
      <c r="F35" s="6" t="n">
        <v>506</v>
      </c>
      <c r="G35" s="6">
        <f>IF('0.입력칸'!$B$3="","",ROUND(F35/'0.입력칸'!$B$3,0))</f>
        <v/>
      </c>
      <c r="H35" s="6">
        <f>IF(OR('0.입력칸'!$B$3="",'0.입력칸'!$B$5=""),"",ROUND(G35*'0.입력칸'!$B$5,0))</f>
        <v/>
      </c>
      <c r="I35" s="6" t="inlineStr">
        <is>
          <t>없음</t>
        </is>
      </c>
      <c r="J35" s="6" t="inlineStr">
        <is>
          <t>설계사 아뜰리에노에마</t>
        </is>
      </c>
      <c r="K35" s="6" t="inlineStr">
        <is>
          <t>아뜰리에노에마</t>
        </is>
      </c>
      <c r="L35" s="6" t="inlineStr"/>
      <c r="M35" s="6" t="inlineStr"/>
      <c r="N35" s="6" t="inlineStr">
        <is>
          <t>증축</t>
        </is>
      </c>
      <c r="O35" s="6" t="inlineStr">
        <is>
          <t>경기도 가평군 상면 측령로45번길 93-48</t>
        </is>
      </c>
    </row>
    <row r="36">
      <c r="A36" s="6" t="inlineStr">
        <is>
          <t>경기도</t>
        </is>
      </c>
      <c r="B36" s="6" t="inlineStr">
        <is>
          <t>가평군</t>
        </is>
      </c>
      <c r="C36" s="6" t="inlineStr">
        <is>
          <t>조종면 운악리 162-54 숙박시설 (***)-6</t>
        </is>
      </c>
      <c r="D36" s="6" t="inlineStr">
        <is>
          <t>2024-01-05</t>
        </is>
      </c>
      <c r="E36" s="6" t="n">
        <v>32</v>
      </c>
      <c r="F36" s="6" t="n">
        <v>391</v>
      </c>
      <c r="G36" s="6">
        <f>IF('0.입력칸'!$B$3="","",ROUND(F36/'0.입력칸'!$B$3,0))</f>
        <v/>
      </c>
      <c r="H36" s="6">
        <f>IF(OR('0.입력칸'!$B$3="",'0.입력칸'!$B$5=""),"",ROUND(G36*'0.입력칸'!$B$5,0))</f>
        <v/>
      </c>
      <c r="I36" s="6" t="inlineStr">
        <is>
          <t>없음</t>
        </is>
      </c>
      <c r="J36" s="6" t="inlineStr">
        <is>
          <t>설계사 기준건축사사무소</t>
        </is>
      </c>
      <c r="K36" s="6" t="inlineStr">
        <is>
          <t>기준건축사사무소</t>
        </is>
      </c>
      <c r="L36" s="6" t="inlineStr"/>
      <c r="M36" s="6" t="inlineStr"/>
      <c r="N36" s="6" t="inlineStr">
        <is>
          <t>신축</t>
        </is>
      </c>
      <c r="O36" s="6" t="inlineStr">
        <is>
          <t>경기도 가평군 조종면 운악리 산 162-54번지</t>
        </is>
      </c>
    </row>
    <row r="37">
      <c r="A37" s="6" t="inlineStr">
        <is>
          <t>경기도</t>
        </is>
      </c>
      <c r="B37" s="6" t="inlineStr">
        <is>
          <t>가평군</t>
        </is>
      </c>
      <c r="C37" s="6" t="inlineStr">
        <is>
          <t>조종면 운악리 162-56 숙박시설 ((주)운악산에코랜드) -14</t>
        </is>
      </c>
      <c r="D37" s="6" t="inlineStr">
        <is>
          <t>2023-06-29</t>
        </is>
      </c>
      <c r="E37" s="6" t="n">
        <v>39</v>
      </c>
      <c r="F37" s="6" t="n">
        <v>353</v>
      </c>
      <c r="G37" s="6">
        <f>IF('0.입력칸'!$B$3="","",ROUND(F37/'0.입력칸'!$B$3,0))</f>
        <v/>
      </c>
      <c r="H37" s="6">
        <f>IF(OR('0.입력칸'!$B$3="",'0.입력칸'!$B$5=""),"",ROUND(G37*'0.입력칸'!$B$5,0))</f>
        <v/>
      </c>
      <c r="I37" s="6" t="inlineStr">
        <is>
          <t>없음</t>
        </is>
      </c>
      <c r="J37" s="6" t="inlineStr">
        <is>
          <t>설계사 기준건축사사무소</t>
        </is>
      </c>
      <c r="K37" s="6" t="inlineStr">
        <is>
          <t>기준건축사사무소</t>
        </is>
      </c>
      <c r="L37" s="6" t="inlineStr"/>
      <c r="M37" s="6" t="inlineStr"/>
      <c r="N37" s="6" t="inlineStr">
        <is>
          <t>신축</t>
        </is>
      </c>
      <c r="O37" s="6" t="inlineStr">
        <is>
          <t>경기도 가평군 조종면 운악리 산 162-56번지</t>
        </is>
      </c>
    </row>
    <row r="38">
      <c r="A38" s="7" t="inlineStr">
        <is>
          <t>경기도</t>
        </is>
      </c>
      <c r="B38" s="7" t="inlineStr">
        <is>
          <t>가평군</t>
        </is>
      </c>
      <c r="C38" s="7" t="inlineStr">
        <is>
          <t>조종면 운악리 419-21 숙박시설 (***)</t>
        </is>
      </c>
      <c r="D38" s="7" t="inlineStr">
        <is>
          <t>2024-09-25</t>
        </is>
      </c>
      <c r="E38" s="7" t="n">
        <v>24</v>
      </c>
      <c r="F38" s="7" t="n">
        <v>324</v>
      </c>
      <c r="G38" s="7">
        <f>IF('0.입력칸'!$B$3="","",ROUND(F38/'0.입력칸'!$B$3,0))</f>
        <v/>
      </c>
      <c r="H38" s="7">
        <f>IF(OR('0.입력칸'!$B$3="",'0.입력칸'!$B$5=""),"",ROUND(G38*'0.입력칸'!$B$5,0))</f>
        <v/>
      </c>
      <c r="I38" s="7" t="inlineStr">
        <is>
          <t>있음</t>
        </is>
      </c>
      <c r="J38" s="7" t="inlineStr">
        <is>
          <t>시공사 지건설(주)</t>
        </is>
      </c>
      <c r="K38" s="7" t="inlineStr">
        <is>
          <t>기준건축사사무소</t>
        </is>
      </c>
      <c r="L38" s="7" t="inlineStr"/>
      <c r="M38" s="7" t="inlineStr"/>
      <c r="N38" s="7" t="inlineStr">
        <is>
          <t>신축</t>
        </is>
      </c>
      <c r="O38" s="7" t="inlineStr">
        <is>
          <t>경기도 가평군 조종면 운악리 419-21번지</t>
        </is>
      </c>
    </row>
    <row r="39">
      <c r="A39" s="6" t="inlineStr">
        <is>
          <t>경기도</t>
        </is>
      </c>
      <c r="B39" s="6" t="inlineStr">
        <is>
          <t>가평군</t>
        </is>
      </c>
      <c r="C39" s="6" t="inlineStr">
        <is>
          <t>상면 상동리 숙박시설</t>
        </is>
      </c>
      <c r="D39" s="6" t="inlineStr">
        <is>
          <t>2026-04-27</t>
        </is>
      </c>
      <c r="E39" s="6" t="n">
        <v>5</v>
      </c>
      <c r="F39" s="6" t="n">
        <v>300</v>
      </c>
      <c r="G39" s="6">
        <f>IF('0.입력칸'!$B$3="","",ROUND(F39/'0.입력칸'!$B$3,0))</f>
        <v/>
      </c>
      <c r="H39" s="6">
        <f>IF(OR('0.입력칸'!$B$3="",'0.입력칸'!$B$5=""),"",ROUND(G39*'0.입력칸'!$B$5,0))</f>
        <v/>
      </c>
      <c r="I39" s="6" t="inlineStr">
        <is>
          <t>없음</t>
        </is>
      </c>
      <c r="J39" s="6" t="inlineStr">
        <is>
          <t>설계사 더블유에스엘건축사사무소</t>
        </is>
      </c>
      <c r="K39" s="6" t="inlineStr">
        <is>
          <t>더블유에스엘건축사사무소</t>
        </is>
      </c>
      <c r="L39" s="6" t="inlineStr"/>
      <c r="M39" s="6" t="inlineStr"/>
      <c r="N39" s="6" t="inlineStr">
        <is>
          <t>신축</t>
        </is>
      </c>
      <c r="O39" s="6" t="inlineStr">
        <is>
          <t>경기도 가평군 상면 상동리 43-7번지</t>
        </is>
      </c>
    </row>
    <row r="40">
      <c r="A40" s="6" t="inlineStr">
        <is>
          <t>경기도</t>
        </is>
      </c>
      <c r="B40" s="6" t="inlineStr">
        <is>
          <t>가평군</t>
        </is>
      </c>
      <c r="C40" s="6" t="inlineStr">
        <is>
          <t>숙박시설 (***)-1</t>
        </is>
      </c>
      <c r="D40" s="6" t="inlineStr">
        <is>
          <t>2024-01-05</t>
        </is>
      </c>
      <c r="E40" s="6" t="n">
        <v>32</v>
      </c>
      <c r="F40" s="6" t="n">
        <v>295</v>
      </c>
      <c r="G40" s="6">
        <f>IF('0.입력칸'!$B$3="","",ROUND(F40/'0.입력칸'!$B$3,0))</f>
        <v/>
      </c>
      <c r="H40" s="6">
        <f>IF(OR('0.입력칸'!$B$3="",'0.입력칸'!$B$5=""),"",ROUND(G40*'0.입력칸'!$B$5,0))</f>
        <v/>
      </c>
      <c r="I40" s="6" t="inlineStr">
        <is>
          <t>없음</t>
        </is>
      </c>
      <c r="J40" s="6" t="inlineStr">
        <is>
          <t>설계사 기준건축사사무소</t>
        </is>
      </c>
      <c r="K40" s="6" t="inlineStr">
        <is>
          <t>기준건축사사무소</t>
        </is>
      </c>
      <c r="L40" s="6" t="inlineStr"/>
      <c r="M40" s="6" t="inlineStr"/>
      <c r="N40" s="6" t="inlineStr">
        <is>
          <t>신축</t>
        </is>
      </c>
      <c r="O40" s="6" t="inlineStr">
        <is>
          <t>경기도 가평군 조종면 운악리 산 162-87번지</t>
        </is>
      </c>
    </row>
    <row r="41">
      <c r="A41" s="6" t="inlineStr">
        <is>
          <t>경기도</t>
        </is>
      </c>
      <c r="B41" s="6" t="inlineStr">
        <is>
          <t>가평군</t>
        </is>
      </c>
      <c r="C41" s="6" t="inlineStr">
        <is>
          <t>조종면 운악리 162-87 숙박시설 (***)-2</t>
        </is>
      </c>
      <c r="D41" s="6" t="inlineStr">
        <is>
          <t>2024-01-05</t>
        </is>
      </c>
      <c r="E41" s="6" t="n">
        <v>32</v>
      </c>
      <c r="F41" s="6" t="n">
        <v>295</v>
      </c>
      <c r="G41" s="6">
        <f>IF('0.입력칸'!$B$3="","",ROUND(F41/'0.입력칸'!$B$3,0))</f>
        <v/>
      </c>
      <c r="H41" s="6">
        <f>IF(OR('0.입력칸'!$B$3="",'0.입력칸'!$B$5=""),"",ROUND(G41*'0.입력칸'!$B$5,0))</f>
        <v/>
      </c>
      <c r="I41" s="6" t="inlineStr">
        <is>
          <t>없음</t>
        </is>
      </c>
      <c r="J41" s="6" t="inlineStr">
        <is>
          <t>설계사 기준건축사사무소</t>
        </is>
      </c>
      <c r="K41" s="6" t="inlineStr">
        <is>
          <t>기준건축사사무소</t>
        </is>
      </c>
      <c r="L41" s="6" t="inlineStr"/>
      <c r="M41" s="6" t="inlineStr"/>
      <c r="N41" s="6" t="inlineStr">
        <is>
          <t>신축</t>
        </is>
      </c>
      <c r="O41" s="6" t="inlineStr">
        <is>
          <t>경기도 가평군 조종면 운악리 산 162-87번지</t>
        </is>
      </c>
    </row>
    <row r="42">
      <c r="A42" s="7" t="inlineStr">
        <is>
          <t>경기도</t>
        </is>
      </c>
      <c r="B42" s="7" t="inlineStr">
        <is>
          <t>가평군</t>
        </is>
      </c>
      <c r="C42" s="7" t="inlineStr">
        <is>
          <t>가평읍 달전리 138-7 숙박시설 (유한회사나눔이앤케이)</t>
        </is>
      </c>
      <c r="D42" s="7" t="inlineStr">
        <is>
          <t>2022-06-29</t>
        </is>
      </c>
      <c r="E42" s="7" t="n">
        <v>51</v>
      </c>
      <c r="F42" s="7" t="n">
        <v>286</v>
      </c>
      <c r="G42" s="7">
        <f>IF('0.입력칸'!$B$3="","",ROUND(F42/'0.입력칸'!$B$3,0))</f>
        <v/>
      </c>
      <c r="H42" s="7">
        <f>IF(OR('0.입력칸'!$B$3="",'0.입력칸'!$B$5=""),"",ROUND(G42*'0.입력칸'!$B$5,0))</f>
        <v/>
      </c>
      <c r="I42" s="7" t="inlineStr">
        <is>
          <t>있음</t>
        </is>
      </c>
      <c r="J42" s="7" t="inlineStr">
        <is>
          <t>시공사 (유)나눔이앤케이</t>
        </is>
      </c>
      <c r="K42" s="7" t="inlineStr"/>
      <c r="L42" s="7" t="inlineStr"/>
      <c r="M42" s="7" t="inlineStr">
        <is>
          <t>(유)나눔이앤케이</t>
        </is>
      </c>
      <c r="N42" s="7" t="inlineStr">
        <is>
          <t>증축</t>
        </is>
      </c>
      <c r="O42" s="7" t="inlineStr">
        <is>
          <t>경기도 가평군 가평읍 북한강변로 1007-74</t>
        </is>
      </c>
    </row>
    <row r="43">
      <c r="A43" s="6" t="inlineStr">
        <is>
          <t>경기도</t>
        </is>
      </c>
      <c r="B43" s="6" t="inlineStr">
        <is>
          <t>가평군</t>
        </is>
      </c>
      <c r="C43" s="6" t="inlineStr">
        <is>
          <t>청평면 삼회리 474-2 숙박시설 (***)</t>
        </is>
      </c>
      <c r="D43" s="6" t="inlineStr">
        <is>
          <t>2024-05-03</t>
        </is>
      </c>
      <c r="E43" s="6" t="n">
        <v>29</v>
      </c>
      <c r="F43" s="6" t="n">
        <v>274</v>
      </c>
      <c r="G43" s="6">
        <f>IF('0.입력칸'!$B$3="","",ROUND(F43/'0.입력칸'!$B$3,0))</f>
        <v/>
      </c>
      <c r="H43" s="6">
        <f>IF(OR('0.입력칸'!$B$3="",'0.입력칸'!$B$5=""),"",ROUND(G43*'0.입력칸'!$B$5,0))</f>
        <v/>
      </c>
      <c r="I43" s="6" t="inlineStr">
        <is>
          <t>없음</t>
        </is>
      </c>
      <c r="J43" s="6" t="inlineStr">
        <is>
          <t>설계사 한성건축사사무소</t>
        </is>
      </c>
      <c r="K43" s="6" t="inlineStr">
        <is>
          <t>한성건축사사무소</t>
        </is>
      </c>
      <c r="L43" s="6" t="inlineStr"/>
      <c r="M43" s="6" t="inlineStr"/>
      <c r="N43" s="6" t="inlineStr">
        <is>
          <t>신축</t>
        </is>
      </c>
      <c r="O43" s="6" t="inlineStr">
        <is>
          <t>경기도 가평군 청평면 삼회리 474-2번지</t>
        </is>
      </c>
    </row>
    <row r="44">
      <c r="A44" s="6" t="inlineStr">
        <is>
          <t>경기도</t>
        </is>
      </c>
      <c r="B44" s="6" t="inlineStr">
        <is>
          <t>가평군</t>
        </is>
      </c>
      <c r="C44" s="6" t="inlineStr">
        <is>
          <t>조종면 운악리 162-90 숙박시설 (***)-4</t>
        </is>
      </c>
      <c r="D44" s="6" t="inlineStr">
        <is>
          <t>2024-01-05</t>
        </is>
      </c>
      <c r="E44" s="6" t="n">
        <v>32</v>
      </c>
      <c r="F44" s="6" t="n">
        <v>274</v>
      </c>
      <c r="G44" s="6">
        <f>IF('0.입력칸'!$B$3="","",ROUND(F44/'0.입력칸'!$B$3,0))</f>
        <v/>
      </c>
      <c r="H44" s="6">
        <f>IF(OR('0.입력칸'!$B$3="",'0.입력칸'!$B$5=""),"",ROUND(G44*'0.입력칸'!$B$5,0))</f>
        <v/>
      </c>
      <c r="I44" s="6" t="inlineStr">
        <is>
          <t>없음</t>
        </is>
      </c>
      <c r="J44" s="6" t="inlineStr">
        <is>
          <t>설계사 기준건축사사무소</t>
        </is>
      </c>
      <c r="K44" s="6" t="inlineStr">
        <is>
          <t>기준건축사사무소</t>
        </is>
      </c>
      <c r="L44" s="6" t="inlineStr"/>
      <c r="M44" s="6" t="inlineStr"/>
      <c r="N44" s="6" t="inlineStr">
        <is>
          <t>신축</t>
        </is>
      </c>
      <c r="O44" s="6" t="inlineStr">
        <is>
          <t>경기도 가평군 조종면 운악리 산 162-90번지</t>
        </is>
      </c>
    </row>
    <row r="45">
      <c r="A45" s="6" t="inlineStr">
        <is>
          <t>경기도</t>
        </is>
      </c>
      <c r="B45" s="6" t="inlineStr">
        <is>
          <t>가평군</t>
        </is>
      </c>
      <c r="C45" s="6" t="inlineStr">
        <is>
          <t>조종면 운악리 162-55 숙박시설 (***)-5</t>
        </is>
      </c>
      <c r="D45" s="6" t="inlineStr">
        <is>
          <t>2024-01-05</t>
        </is>
      </c>
      <c r="E45" s="6" t="n">
        <v>32</v>
      </c>
      <c r="F45" s="6" t="n">
        <v>274</v>
      </c>
      <c r="G45" s="6">
        <f>IF('0.입력칸'!$B$3="","",ROUND(F45/'0.입력칸'!$B$3,0))</f>
        <v/>
      </c>
      <c r="H45" s="6">
        <f>IF(OR('0.입력칸'!$B$3="",'0.입력칸'!$B$5=""),"",ROUND(G45*'0.입력칸'!$B$5,0))</f>
        <v/>
      </c>
      <c r="I45" s="6" t="inlineStr">
        <is>
          <t>없음</t>
        </is>
      </c>
      <c r="J45" s="6" t="inlineStr">
        <is>
          <t>설계사 기준건축사사무소</t>
        </is>
      </c>
      <c r="K45" s="6" t="inlineStr">
        <is>
          <t>기준건축사사무소</t>
        </is>
      </c>
      <c r="L45" s="6" t="inlineStr"/>
      <c r="M45" s="6" t="inlineStr"/>
      <c r="N45" s="6" t="inlineStr">
        <is>
          <t>신축</t>
        </is>
      </c>
      <c r="O45" s="6" t="inlineStr">
        <is>
          <t>경기도 가평군 조종면 운악리 산 162-55번지</t>
        </is>
      </c>
    </row>
    <row r="46">
      <c r="A46" s="6" t="inlineStr">
        <is>
          <t>경기도</t>
        </is>
      </c>
      <c r="B46" s="6" t="inlineStr">
        <is>
          <t>가평군</t>
        </is>
      </c>
      <c r="C46" s="6" t="inlineStr">
        <is>
          <t>조종면 신상리 612-1 숙박시설 (***)</t>
        </is>
      </c>
      <c r="D46" s="6" t="inlineStr">
        <is>
          <t>2024-04-03</t>
        </is>
      </c>
      <c r="E46" s="6" t="n">
        <v>30</v>
      </c>
      <c r="F46" s="6" t="n">
        <v>247</v>
      </c>
      <c r="G46" s="6">
        <f>IF('0.입력칸'!$B$3="","",ROUND(F46/'0.입력칸'!$B$3,0))</f>
        <v/>
      </c>
      <c r="H46" s="6">
        <f>IF(OR('0.입력칸'!$B$3="",'0.입력칸'!$B$5=""),"",ROUND(G46*'0.입력칸'!$B$5,0))</f>
        <v/>
      </c>
      <c r="I46" s="6" t="inlineStr">
        <is>
          <t>없음</t>
        </is>
      </c>
      <c r="J46" s="6" t="inlineStr">
        <is>
          <t>설계사 (주)아키후드건축사사무소</t>
        </is>
      </c>
      <c r="K46" s="6" t="inlineStr">
        <is>
          <t>(주)아키후드건축사사무소</t>
        </is>
      </c>
      <c r="L46" s="6" t="inlineStr"/>
      <c r="M46" s="6" t="inlineStr"/>
      <c r="N46" s="6" t="inlineStr">
        <is>
          <t>신축</t>
        </is>
      </c>
      <c r="O46" s="6" t="inlineStr">
        <is>
          <t>경기도 가평군 조종면 신상리 612-1번지</t>
        </is>
      </c>
    </row>
    <row r="47">
      <c r="A47" s="7" t="inlineStr">
        <is>
          <t>경기도</t>
        </is>
      </c>
      <c r="B47" s="7" t="inlineStr">
        <is>
          <t>가평군</t>
        </is>
      </c>
      <c r="C47" s="7" t="inlineStr">
        <is>
          <t>조종면 운악리 418-102 숙박시설 ((주)진흥물산)</t>
        </is>
      </c>
      <c r="D47" s="7" t="inlineStr">
        <is>
          <t>2023-10-16</t>
        </is>
      </c>
      <c r="E47" s="7" t="n">
        <v>35</v>
      </c>
      <c r="F47" s="7" t="n">
        <v>197</v>
      </c>
      <c r="G47" s="7">
        <f>IF('0.입력칸'!$B$3="","",ROUND(F47/'0.입력칸'!$B$3,0))</f>
        <v/>
      </c>
      <c r="H47" s="7">
        <f>IF(OR('0.입력칸'!$B$3="",'0.입력칸'!$B$5=""),"",ROUND(G47*'0.입력칸'!$B$5,0))</f>
        <v/>
      </c>
      <c r="I47" s="7" t="inlineStr">
        <is>
          <t>있음</t>
        </is>
      </c>
      <c r="J47" s="7" t="inlineStr">
        <is>
          <t>시공사 (주)인정종합건설</t>
        </is>
      </c>
      <c r="K47" s="7" t="inlineStr">
        <is>
          <t>기준건축사사무소</t>
        </is>
      </c>
      <c r="L47" s="7" t="inlineStr"/>
      <c r="M47" s="7" t="inlineStr"/>
      <c r="N47" s="7" t="inlineStr">
        <is>
          <t>신축</t>
        </is>
      </c>
      <c r="O47" s="7" t="inlineStr">
        <is>
          <t>경기도 가평군 조종면 운악리 418-102번지</t>
        </is>
      </c>
    </row>
    <row r="48">
      <c r="A48" s="6" t="inlineStr">
        <is>
          <t>경기도</t>
        </is>
      </c>
      <c r="B48" s="6" t="inlineStr">
        <is>
          <t>가평군</t>
        </is>
      </c>
      <c r="C48" s="6" t="inlineStr">
        <is>
          <t>상면 임초리 206-6 숙박시설(9부지)</t>
        </is>
      </c>
      <c r="D48" s="6" t="inlineStr">
        <is>
          <t>2025-10-17</t>
        </is>
      </c>
      <c r="E48" s="6" t="n">
        <v>11</v>
      </c>
      <c r="F48" s="6" t="n">
        <v>196</v>
      </c>
      <c r="G48" s="6">
        <f>IF('0.입력칸'!$B$3="","",ROUND(F48/'0.입력칸'!$B$3,0))</f>
        <v/>
      </c>
      <c r="H48" s="6">
        <f>IF(OR('0.입력칸'!$B$3="",'0.입력칸'!$B$5=""),"",ROUND(G48*'0.입력칸'!$B$5,0))</f>
        <v/>
      </c>
      <c r="I48" s="6" t="inlineStr">
        <is>
          <t>없음</t>
        </is>
      </c>
      <c r="J48" s="6" t="inlineStr">
        <is>
          <t>설계사 비욘드스페이스건축사사무소</t>
        </is>
      </c>
      <c r="K48" s="6" t="inlineStr">
        <is>
          <t>비욘드스페이스건축사사무소</t>
        </is>
      </c>
      <c r="L48" s="6" t="inlineStr"/>
      <c r="M48" s="6" t="inlineStr">
        <is>
          <t>(주)수</t>
        </is>
      </c>
      <c r="N48" s="6" t="inlineStr">
        <is>
          <t>신축</t>
        </is>
      </c>
      <c r="O48" s="6" t="inlineStr">
        <is>
          <t>경기도 가평군 상면 임초밤안골로 119-112</t>
        </is>
      </c>
    </row>
    <row r="49">
      <c r="A49" s="6" t="inlineStr">
        <is>
          <t>경기도</t>
        </is>
      </c>
      <c r="B49" s="6" t="inlineStr">
        <is>
          <t>가평군</t>
        </is>
      </c>
      <c r="C49" s="6" t="inlineStr">
        <is>
          <t>상면 임초리 206-6 숙박시설(10부지)</t>
        </is>
      </c>
      <c r="D49" s="6" t="inlineStr">
        <is>
          <t>2025-10-17</t>
        </is>
      </c>
      <c r="E49" s="6" t="n">
        <v>11</v>
      </c>
      <c r="F49" s="6" t="n">
        <v>196</v>
      </c>
      <c r="G49" s="6">
        <f>IF('0.입력칸'!$B$3="","",ROUND(F49/'0.입력칸'!$B$3,0))</f>
        <v/>
      </c>
      <c r="H49" s="6">
        <f>IF(OR('0.입력칸'!$B$3="",'0.입력칸'!$B$5=""),"",ROUND(G49*'0.입력칸'!$B$5,0))</f>
        <v/>
      </c>
      <c r="I49" s="6" t="inlineStr">
        <is>
          <t>없음</t>
        </is>
      </c>
      <c r="J49" s="6" t="inlineStr">
        <is>
          <t>설계사 비욘드스페이스건축사사무소</t>
        </is>
      </c>
      <c r="K49" s="6" t="inlineStr">
        <is>
          <t>비욘드스페이스건축사사무소</t>
        </is>
      </c>
      <c r="L49" s="6" t="inlineStr"/>
      <c r="M49" s="6" t="inlineStr">
        <is>
          <t>(주)수</t>
        </is>
      </c>
      <c r="N49" s="6" t="inlineStr">
        <is>
          <t>신축</t>
        </is>
      </c>
      <c r="O49" s="6" t="inlineStr">
        <is>
          <t>경기도 가평군 상면 임초밤안골로 119-112</t>
        </is>
      </c>
    </row>
    <row r="50">
      <c r="A50" s="6" t="inlineStr">
        <is>
          <t>경기도</t>
        </is>
      </c>
      <c r="B50" s="6" t="inlineStr">
        <is>
          <t>가평군</t>
        </is>
      </c>
      <c r="C50" s="6" t="inlineStr">
        <is>
          <t>상면 임초리 206-6 숙박시설(11부지)</t>
        </is>
      </c>
      <c r="D50" s="6" t="inlineStr">
        <is>
          <t>2025-10-17</t>
        </is>
      </c>
      <c r="E50" s="6" t="n">
        <v>11</v>
      </c>
      <c r="F50" s="6" t="n">
        <v>196</v>
      </c>
      <c r="G50" s="6">
        <f>IF('0.입력칸'!$B$3="","",ROUND(F50/'0.입력칸'!$B$3,0))</f>
        <v/>
      </c>
      <c r="H50" s="6">
        <f>IF(OR('0.입력칸'!$B$3="",'0.입력칸'!$B$5=""),"",ROUND(G50*'0.입력칸'!$B$5,0))</f>
        <v/>
      </c>
      <c r="I50" s="6" t="inlineStr">
        <is>
          <t>없음</t>
        </is>
      </c>
      <c r="J50" s="6" t="inlineStr">
        <is>
          <t>설계사 비욘드스페이스건축사사무소</t>
        </is>
      </c>
      <c r="K50" s="6" t="inlineStr">
        <is>
          <t>비욘드스페이스건축사사무소</t>
        </is>
      </c>
      <c r="L50" s="6" t="inlineStr"/>
      <c r="M50" s="6" t="inlineStr">
        <is>
          <t>(주)수</t>
        </is>
      </c>
      <c r="N50" s="6" t="inlineStr">
        <is>
          <t>신축</t>
        </is>
      </c>
      <c r="O50" s="6" t="inlineStr">
        <is>
          <t>경기도 가평군 상면 임초밤안골로 119-112</t>
        </is>
      </c>
    </row>
    <row r="51">
      <c r="A51" s="6" t="inlineStr">
        <is>
          <t>경기도</t>
        </is>
      </c>
      <c r="B51" s="6" t="inlineStr">
        <is>
          <t>가평군</t>
        </is>
      </c>
      <c r="C51" s="6" t="inlineStr">
        <is>
          <t>숙박시설(생활숙박) - 이기순</t>
        </is>
      </c>
      <c r="D51" s="6" t="inlineStr">
        <is>
          <t>2025-11-04</t>
        </is>
      </c>
      <c r="E51" s="6" t="n">
        <v>10</v>
      </c>
      <c r="F51" s="6" t="n">
        <v>193</v>
      </c>
      <c r="G51" s="6">
        <f>IF('0.입력칸'!$B$3="","",ROUND(F51/'0.입력칸'!$B$3,0))</f>
        <v/>
      </c>
      <c r="H51" s="6">
        <f>IF(OR('0.입력칸'!$B$3="",'0.입력칸'!$B$5=""),"",ROUND(G51*'0.입력칸'!$B$5,0))</f>
        <v/>
      </c>
      <c r="I51" s="6" t="inlineStr">
        <is>
          <t>없음</t>
        </is>
      </c>
      <c r="J51" s="6" t="inlineStr">
        <is>
          <t>설계사 기준건축사사무소</t>
        </is>
      </c>
      <c r="K51" s="6" t="inlineStr">
        <is>
          <t>기준건축사사무소</t>
        </is>
      </c>
      <c r="L51" s="6" t="inlineStr"/>
      <c r="M51" s="6" t="inlineStr"/>
      <c r="N51" s="6" t="inlineStr">
        <is>
          <t>신축</t>
        </is>
      </c>
      <c r="O51" s="6" t="inlineStr">
        <is>
          <t>경기도 가평군 가평읍 경반리 93번지</t>
        </is>
      </c>
    </row>
    <row r="52">
      <c r="A52" s="6" t="inlineStr">
        <is>
          <t>경기도</t>
        </is>
      </c>
      <c r="B52" s="6" t="inlineStr">
        <is>
          <t>가평군</t>
        </is>
      </c>
      <c r="C52" s="6" t="inlineStr">
        <is>
          <t>조종면 운악리 162-57 숙박시설 ((주)운악산에코랜드) - 5</t>
        </is>
      </c>
      <c r="D52" s="6" t="inlineStr">
        <is>
          <t>2023-06-29</t>
        </is>
      </c>
      <c r="E52" s="6" t="n">
        <v>39</v>
      </c>
      <c r="F52" s="6" t="n">
        <v>176</v>
      </c>
      <c r="G52" s="6">
        <f>IF('0.입력칸'!$B$3="","",ROUND(F52/'0.입력칸'!$B$3,0))</f>
        <v/>
      </c>
      <c r="H52" s="6">
        <f>IF(OR('0.입력칸'!$B$3="",'0.입력칸'!$B$5=""),"",ROUND(G52*'0.입력칸'!$B$5,0))</f>
        <v/>
      </c>
      <c r="I52" s="6" t="inlineStr">
        <is>
          <t>없음</t>
        </is>
      </c>
      <c r="J52" s="6" t="inlineStr">
        <is>
          <t>설계사 기준건축사사무소</t>
        </is>
      </c>
      <c r="K52" s="6" t="inlineStr">
        <is>
          <t>기준건축사사무소</t>
        </is>
      </c>
      <c r="L52" s="6" t="inlineStr"/>
      <c r="M52" s="6" t="inlineStr"/>
      <c r="N52" s="6" t="inlineStr">
        <is>
          <t>신축</t>
        </is>
      </c>
      <c r="O52" s="6" t="inlineStr">
        <is>
          <t>경기도 가평군 조종면 운악리 산 162-57번지</t>
        </is>
      </c>
    </row>
    <row r="53">
      <c r="A53" s="6" t="inlineStr">
        <is>
          <t>경기도</t>
        </is>
      </c>
      <c r="B53" s="6" t="inlineStr">
        <is>
          <t>가평군</t>
        </is>
      </c>
      <c r="C53" s="6" t="inlineStr">
        <is>
          <t>조종면 운악리 162-53 숙박시설 (***) - 12</t>
        </is>
      </c>
      <c r="D53" s="6" t="inlineStr">
        <is>
          <t>2024-01-05</t>
        </is>
      </c>
      <c r="E53" s="6" t="n">
        <v>32</v>
      </c>
      <c r="F53" s="6" t="n">
        <v>162</v>
      </c>
      <c r="G53" s="6">
        <f>IF('0.입력칸'!$B$3="","",ROUND(F53/'0.입력칸'!$B$3,0))</f>
        <v/>
      </c>
      <c r="H53" s="6">
        <f>IF(OR('0.입력칸'!$B$3="",'0.입력칸'!$B$5=""),"",ROUND(G53*'0.입력칸'!$B$5,0))</f>
        <v/>
      </c>
      <c r="I53" s="6" t="inlineStr">
        <is>
          <t>없음</t>
        </is>
      </c>
      <c r="J53" s="6" t="inlineStr">
        <is>
          <t>설계사 기준건축사사무소</t>
        </is>
      </c>
      <c r="K53" s="6" t="inlineStr">
        <is>
          <t>기준건축사사무소</t>
        </is>
      </c>
      <c r="L53" s="6" t="inlineStr"/>
      <c r="M53" s="6" t="inlineStr"/>
      <c r="N53" s="6" t="inlineStr">
        <is>
          <t>신축</t>
        </is>
      </c>
      <c r="O53" s="6" t="inlineStr">
        <is>
          <t>경기도 가평군 조종면 운악리 산 162-53번지</t>
        </is>
      </c>
    </row>
    <row r="54">
      <c r="A54" s="6" t="inlineStr">
        <is>
          <t>경기도</t>
        </is>
      </c>
      <c r="B54" s="6" t="inlineStr">
        <is>
          <t>가평군</t>
        </is>
      </c>
      <c r="C54" s="6" t="inlineStr">
        <is>
          <t>가평읍 이화리 89-6 숙박시설 (***)2단지</t>
        </is>
      </c>
      <c r="D54" s="6" t="inlineStr">
        <is>
          <t>2024-02-23</t>
        </is>
      </c>
      <c r="E54" s="6" t="n">
        <v>31</v>
      </c>
      <c r="F54" s="6" t="n">
        <v>102</v>
      </c>
      <c r="G54" s="6">
        <f>IF('0.입력칸'!$B$3="","",ROUND(F54/'0.입력칸'!$B$3,0))</f>
        <v/>
      </c>
      <c r="H54" s="6">
        <f>IF(OR('0.입력칸'!$B$3="",'0.입력칸'!$B$5=""),"",ROUND(G54*'0.입력칸'!$B$5,0))</f>
        <v/>
      </c>
      <c r="I54" s="6" t="inlineStr">
        <is>
          <t>없음</t>
        </is>
      </c>
      <c r="J54" s="6" t="inlineStr">
        <is>
          <t>설계사 건축사사무소태은</t>
        </is>
      </c>
      <c r="K54" s="6" t="inlineStr">
        <is>
          <t>건축사사무소태은</t>
        </is>
      </c>
      <c r="L54" s="6" t="inlineStr"/>
      <c r="M54" s="6" t="inlineStr"/>
      <c r="N54" s="6" t="inlineStr">
        <is>
          <t>신축</t>
        </is>
      </c>
      <c r="O54" s="6" t="inlineStr">
        <is>
          <t>경기도 가평군 가평읍 이화리 89-6번지</t>
        </is>
      </c>
    </row>
    <row r="55">
      <c r="A55" s="6" t="inlineStr">
        <is>
          <t>경기도</t>
        </is>
      </c>
      <c r="B55" s="6" t="inlineStr">
        <is>
          <t>가평군</t>
        </is>
      </c>
      <c r="C55" s="6" t="inlineStr">
        <is>
          <t>조종면 운악리 162-57 숙박시설 운악산에코랜드-6</t>
        </is>
      </c>
      <c r="D55" s="6" t="inlineStr">
        <is>
          <t>2023-06-29</t>
        </is>
      </c>
      <c r="E55" s="6" t="n">
        <v>39</v>
      </c>
      <c r="F55" s="6" t="n">
        <v>88</v>
      </c>
      <c r="G55" s="6">
        <f>IF('0.입력칸'!$B$3="","",ROUND(F55/'0.입력칸'!$B$3,0))</f>
        <v/>
      </c>
      <c r="H55" s="6">
        <f>IF(OR('0.입력칸'!$B$3="",'0.입력칸'!$B$5=""),"",ROUND(G55*'0.입력칸'!$B$5,0))</f>
        <v/>
      </c>
      <c r="I55" s="6" t="inlineStr">
        <is>
          <t>없음</t>
        </is>
      </c>
      <c r="J55" s="6" t="inlineStr">
        <is>
          <t>설계사 기준건축사사무소</t>
        </is>
      </c>
      <c r="K55" s="6" t="inlineStr">
        <is>
          <t>기준건축사사무소</t>
        </is>
      </c>
      <c r="L55" s="6" t="inlineStr"/>
      <c r="M55" s="6" t="inlineStr"/>
      <c r="N55" s="6" t="inlineStr">
        <is>
          <t>신축</t>
        </is>
      </c>
      <c r="O55" s="6" t="inlineStr">
        <is>
          <t>경기도 가평군 조종면 운악리 산 162-57번지</t>
        </is>
      </c>
    </row>
    <row r="56">
      <c r="A56" s="6" t="inlineStr">
        <is>
          <t>경기도</t>
        </is>
      </c>
      <c r="B56" s="6" t="inlineStr">
        <is>
          <t>가평군</t>
        </is>
      </c>
      <c r="C56" s="6" t="inlineStr">
        <is>
          <t>가평읍 이화리 89-6 숙박시설 (***)8호</t>
        </is>
      </c>
      <c r="D56" s="6" t="inlineStr">
        <is>
          <t>2024-02-23</t>
        </is>
      </c>
      <c r="E56" s="6" t="n">
        <v>31</v>
      </c>
      <c r="F56" s="6" t="n">
        <v>56</v>
      </c>
      <c r="G56" s="6">
        <f>IF('0.입력칸'!$B$3="","",ROUND(F56/'0.입력칸'!$B$3,0))</f>
        <v/>
      </c>
      <c r="H56" s="6">
        <f>IF(OR('0.입력칸'!$B$3="",'0.입력칸'!$B$5=""),"",ROUND(G56*'0.입력칸'!$B$5,0))</f>
        <v/>
      </c>
      <c r="I56" s="6" t="inlineStr">
        <is>
          <t>없음</t>
        </is>
      </c>
      <c r="J56" s="6" t="inlineStr">
        <is>
          <t>설계사 건축사사무소태은</t>
        </is>
      </c>
      <c r="K56" s="6" t="inlineStr">
        <is>
          <t>건축사사무소태은</t>
        </is>
      </c>
      <c r="L56" s="6" t="inlineStr"/>
      <c r="M56" s="6" t="inlineStr"/>
      <c r="N56" s="6" t="inlineStr">
        <is>
          <t>신축</t>
        </is>
      </c>
      <c r="O56" s="6" t="inlineStr">
        <is>
          <t>경기도 가평군 가평읍 이화리 89-6번지</t>
        </is>
      </c>
    </row>
    <row r="57">
      <c r="A57" s="6" t="inlineStr">
        <is>
          <t>경기도</t>
        </is>
      </c>
      <c r="B57" s="6" t="inlineStr">
        <is>
          <t>구리시</t>
        </is>
      </c>
      <c r="C57" s="6" t="inlineStr">
        <is>
          <t>수택동 374-14 숙박시설</t>
        </is>
      </c>
      <c r="D57" s="6" t="inlineStr">
        <is>
          <t>2026-10-30</t>
        </is>
      </c>
      <c r="E57" s="6" t="n">
        <v>-1</v>
      </c>
      <c r="F57" s="6" t="n">
        <v>538</v>
      </c>
      <c r="G57" s="6">
        <f>IF('0.입력칸'!$B$3="","",ROUND(F57/'0.입력칸'!$B$3,0))</f>
        <v/>
      </c>
      <c r="H57" s="6">
        <f>IF(OR('0.입력칸'!$B$3="",'0.입력칸'!$B$5=""),"",ROUND(G57*'0.입력칸'!$B$5,0))</f>
        <v/>
      </c>
      <c r="I57" s="6" t="inlineStr">
        <is>
          <t>없음</t>
        </is>
      </c>
      <c r="J57" s="6" t="inlineStr">
        <is>
          <t>설계사 하나건축사사무소</t>
        </is>
      </c>
      <c r="K57" s="6" t="inlineStr">
        <is>
          <t>하나건축사사무소</t>
        </is>
      </c>
      <c r="L57" s="6" t="inlineStr"/>
      <c r="M57" s="6" t="inlineStr">
        <is>
          <t>신영부동산신탁(주)</t>
        </is>
      </c>
      <c r="N57" s="6" t="inlineStr">
        <is>
          <t>증축</t>
        </is>
      </c>
      <c r="O57" s="6" t="inlineStr">
        <is>
          <t>경기도 구리시 체육관로172번길 34-6 (수택동)</t>
        </is>
      </c>
    </row>
    <row r="58">
      <c r="A58" s="7" t="inlineStr">
        <is>
          <t>경기도</t>
        </is>
      </c>
      <c r="B58" s="7" t="inlineStr">
        <is>
          <t>양평군</t>
        </is>
      </c>
      <c r="C58" s="7" t="inlineStr">
        <is>
          <t>양동면 단석리 940-32 (홍혜경남 생활숙박시설)</t>
        </is>
      </c>
      <c r="D58" s="7" t="inlineStr">
        <is>
          <t>2023-06-28</t>
        </is>
      </c>
      <c r="E58" s="7" t="n">
        <v>39</v>
      </c>
      <c r="F58" s="7" t="n">
        <v>618</v>
      </c>
      <c r="G58" s="7">
        <f>IF('0.입력칸'!$B$3="","",ROUND(F58/'0.입력칸'!$B$3,0))</f>
        <v/>
      </c>
      <c r="H58" s="7">
        <f>IF(OR('0.입력칸'!$B$3="",'0.입력칸'!$B$5=""),"",ROUND(G58*'0.입력칸'!$B$5,0))</f>
        <v/>
      </c>
      <c r="I58" s="7" t="inlineStr">
        <is>
          <t>있음</t>
        </is>
      </c>
      <c r="J58" s="7" t="inlineStr">
        <is>
          <t>시공사 (주)티더블유종합건설</t>
        </is>
      </c>
      <c r="K58" s="7" t="inlineStr">
        <is>
          <t>선우건축사사무소(주)</t>
        </is>
      </c>
      <c r="L58" s="7" t="inlineStr"/>
      <c r="M58" s="7" t="inlineStr"/>
      <c r="N58" s="7" t="inlineStr">
        <is>
          <t>신축</t>
        </is>
      </c>
      <c r="O58" s="7" t="inlineStr">
        <is>
          <t>경기도 양평군 양동면 단석리 940-32번지</t>
        </is>
      </c>
    </row>
    <row r="59">
      <c r="A59" s="7" t="inlineStr">
        <is>
          <t>경기도</t>
        </is>
      </c>
      <c r="B59" s="7" t="inlineStr">
        <is>
          <t>양평군</t>
        </is>
      </c>
      <c r="C59" s="7" t="inlineStr">
        <is>
          <t>명성리 숙박시설</t>
        </is>
      </c>
      <c r="D59" s="7" t="inlineStr">
        <is>
          <t>2021-11-09</t>
        </is>
      </c>
      <c r="E59" s="7" t="n">
        <v>58</v>
      </c>
      <c r="F59" s="7" t="n">
        <v>500</v>
      </c>
      <c r="G59" s="7">
        <f>IF('0.입력칸'!$B$3="","",ROUND(F59/'0.입력칸'!$B$3,0))</f>
        <v/>
      </c>
      <c r="H59" s="7">
        <f>IF(OR('0.입력칸'!$B$3="",'0.입력칸'!$B$5=""),"",ROUND(G59*'0.입력칸'!$B$5,0))</f>
        <v/>
      </c>
      <c r="I59" s="7" t="inlineStr">
        <is>
          <t>있음</t>
        </is>
      </c>
      <c r="J59" s="7" t="inlineStr">
        <is>
          <t>시공사 (주)믿음종합건설</t>
        </is>
      </c>
      <c r="K59" s="7" t="inlineStr">
        <is>
          <t>아키필건축사사무소</t>
        </is>
      </c>
      <c r="L59" s="7" t="inlineStr"/>
      <c r="M59" s="7" t="inlineStr"/>
      <c r="N59" s="7" t="inlineStr">
        <is>
          <t>신축</t>
        </is>
      </c>
      <c r="O59" s="7" t="inlineStr">
        <is>
          <t>경기도 양평군 단월면 동충길 50-21</t>
        </is>
      </c>
    </row>
    <row r="60">
      <c r="A60" s="7" t="inlineStr">
        <is>
          <t>경기도</t>
        </is>
      </c>
      <c r="B60" s="7" t="inlineStr">
        <is>
          <t>양평군</t>
        </is>
      </c>
      <c r="C60" s="7" t="inlineStr">
        <is>
          <t>용문면 연수리 275-1 숙박시설 (***)</t>
        </is>
      </c>
      <c r="D60" s="7" t="inlineStr">
        <is>
          <t>2023-09-06</t>
        </is>
      </c>
      <c r="E60" s="7" t="n">
        <v>36</v>
      </c>
      <c r="F60" s="7" t="n">
        <v>358</v>
      </c>
      <c r="G60" s="7">
        <f>IF('0.입력칸'!$B$3="","",ROUND(F60/'0.입력칸'!$B$3,0))</f>
        <v/>
      </c>
      <c r="H60" s="7">
        <f>IF(OR('0.입력칸'!$B$3="",'0.입력칸'!$B$5=""),"",ROUND(G60*'0.입력칸'!$B$5,0))</f>
        <v/>
      </c>
      <c r="I60" s="7" t="inlineStr">
        <is>
          <t>있음</t>
        </is>
      </c>
      <c r="J60" s="7" t="inlineStr">
        <is>
          <t>시공사 건아토건(주)</t>
        </is>
      </c>
      <c r="K60" s="7" t="inlineStr">
        <is>
          <t>(주)제이앤피종합건축사사무소</t>
        </is>
      </c>
      <c r="L60" s="7" t="inlineStr"/>
      <c r="M60" s="7" t="inlineStr"/>
      <c r="N60" s="7" t="inlineStr">
        <is>
          <t>신축</t>
        </is>
      </c>
      <c r="O60" s="7" t="inlineStr">
        <is>
          <t>경기도 양평군 용문면 연수리 275-1번지</t>
        </is>
      </c>
    </row>
    <row r="61">
      <c r="A61" s="6" t="inlineStr">
        <is>
          <t>경기도</t>
        </is>
      </c>
      <c r="B61" s="6" t="inlineStr">
        <is>
          <t>양평군</t>
        </is>
      </c>
      <c r="C61" s="6" t="inlineStr">
        <is>
          <t>옥천면 신복리 390-40 숙박시설 (***)</t>
        </is>
      </c>
      <c r="D61" s="6" t="inlineStr">
        <is>
          <t>2023-08-17</t>
        </is>
      </c>
      <c r="E61" s="6" t="n">
        <v>37</v>
      </c>
      <c r="F61" s="6" t="n">
        <v>194</v>
      </c>
      <c r="G61" s="6">
        <f>IF('0.입력칸'!$B$3="","",ROUND(F61/'0.입력칸'!$B$3,0))</f>
        <v/>
      </c>
      <c r="H61" s="6">
        <f>IF(OR('0.입력칸'!$B$3="",'0.입력칸'!$B$5=""),"",ROUND(G61*'0.입력칸'!$B$5,0))</f>
        <v/>
      </c>
      <c r="I61" s="6" t="inlineStr">
        <is>
          <t>없음</t>
        </is>
      </c>
      <c r="J61" s="6" t="inlineStr">
        <is>
          <t>설계사 희우건축사사무소</t>
        </is>
      </c>
      <c r="K61" s="6" t="inlineStr">
        <is>
          <t>희우건축사사무소</t>
        </is>
      </c>
      <c r="L61" s="6" t="inlineStr"/>
      <c r="M61" s="6" t="inlineStr"/>
      <c r="N61" s="6" t="inlineStr">
        <is>
          <t>신축</t>
        </is>
      </c>
      <c r="O61" s="6" t="inlineStr">
        <is>
          <t>경기도 양평군 옥천면 신복리 390-40번지</t>
        </is>
      </c>
    </row>
    <row r="62">
      <c r="A62" s="6" t="inlineStr">
        <is>
          <t>경기도</t>
        </is>
      </c>
      <c r="B62" s="6" t="inlineStr">
        <is>
          <t>여주시</t>
        </is>
      </c>
      <c r="C62" s="6" t="inlineStr">
        <is>
          <t>창동 140-1 숙박시설 지승연</t>
        </is>
      </c>
      <c r="D62" s="6" t="inlineStr">
        <is>
          <t>2026-04-30</t>
        </is>
      </c>
      <c r="E62" s="6" t="n">
        <v>5</v>
      </c>
      <c r="F62" s="6" t="n">
        <v>1344</v>
      </c>
      <c r="G62" s="6">
        <f>IF('0.입력칸'!$B$3="","",ROUND(F62/'0.입력칸'!$B$3,0))</f>
        <v/>
      </c>
      <c r="H62" s="6">
        <f>IF(OR('0.입력칸'!$B$3="",'0.입력칸'!$B$5=""),"",ROUND(G62*'0.입력칸'!$B$5,0))</f>
        <v/>
      </c>
      <c r="I62" s="6" t="inlineStr">
        <is>
          <t>없음</t>
        </is>
      </c>
      <c r="J62" s="6" t="inlineStr">
        <is>
          <t>설계사 아트건축사사무소</t>
        </is>
      </c>
      <c r="K62" s="6" t="inlineStr">
        <is>
          <t>아트건축사사무소</t>
        </is>
      </c>
      <c r="L62" s="6" t="inlineStr"/>
      <c r="M62" s="6" t="inlineStr"/>
      <c r="N62" s="6" t="inlineStr">
        <is>
          <t>증축</t>
        </is>
      </c>
      <c r="O62" s="6" t="inlineStr">
        <is>
          <t>경기도 여주시 우암로 39 (창동)</t>
        </is>
      </c>
    </row>
    <row r="63">
      <c r="A63" s="7" t="inlineStr">
        <is>
          <t>경기도</t>
        </is>
      </c>
      <c r="B63" s="7" t="inlineStr">
        <is>
          <t>여주시</t>
        </is>
      </c>
      <c r="C63" s="7" t="inlineStr">
        <is>
          <t>대신면 천남리 53 숙박시설</t>
        </is>
      </c>
      <c r="D63" s="7" t="inlineStr">
        <is>
          <t>2023-06-14</t>
        </is>
      </c>
      <c r="E63" s="7" t="n">
        <v>39</v>
      </c>
      <c r="F63" s="7" t="n">
        <v>634</v>
      </c>
      <c r="G63" s="7">
        <f>IF('0.입력칸'!$B$3="","",ROUND(F63/'0.입력칸'!$B$3,0))</f>
        <v/>
      </c>
      <c r="H63" s="7">
        <f>IF(OR('0.입력칸'!$B$3="",'0.입력칸'!$B$5=""),"",ROUND(G63*'0.입력칸'!$B$5,0))</f>
        <v/>
      </c>
      <c r="I63" s="7" t="inlineStr">
        <is>
          <t>있음</t>
        </is>
      </c>
      <c r="J63" s="7" t="inlineStr">
        <is>
          <t>시공사 (주)백영종합건설</t>
        </is>
      </c>
      <c r="K63" s="7" t="inlineStr">
        <is>
          <t>거진건축</t>
        </is>
      </c>
      <c r="L63" s="7" t="inlineStr">
        <is>
          <t>거진건축</t>
        </is>
      </c>
      <c r="M63" s="7" t="inlineStr"/>
      <c r="N63" s="7" t="inlineStr">
        <is>
          <t>신축</t>
        </is>
      </c>
      <c r="O63" s="7" t="inlineStr">
        <is>
          <t>경기도 여주시 대신면 천남2길 19-14</t>
        </is>
      </c>
    </row>
    <row r="64">
      <c r="A64" s="7" t="inlineStr">
        <is>
          <t>경기도</t>
        </is>
      </c>
      <c r="B64" s="7" t="inlineStr">
        <is>
          <t>용인시</t>
        </is>
      </c>
      <c r="C64" s="7" t="inlineStr">
        <is>
          <t>화산리 숙박시설 신축공사</t>
        </is>
      </c>
      <c r="D64" s="7" t="inlineStr">
        <is>
          <t>2023-07-10</t>
        </is>
      </c>
      <c r="E64" s="7" t="n">
        <v>38</v>
      </c>
      <c r="F64" s="7" t="n">
        <v>959</v>
      </c>
      <c r="G64" s="7">
        <f>IF('0.입력칸'!$B$3="","",ROUND(F64/'0.입력칸'!$B$3,0))</f>
        <v/>
      </c>
      <c r="H64" s="7">
        <f>IF(OR('0.입력칸'!$B$3="",'0.입력칸'!$B$5=""),"",ROUND(G64*'0.입력칸'!$B$5,0))</f>
        <v/>
      </c>
      <c r="I64" s="7" t="inlineStr">
        <is>
          <t>있음</t>
        </is>
      </c>
      <c r="J64" s="7" t="inlineStr">
        <is>
          <t>시공사 (주)아이엠종합건설</t>
        </is>
      </c>
      <c r="K64" s="7" t="inlineStr">
        <is>
          <t>정음건축사사무소</t>
        </is>
      </c>
      <c r="L64" s="7" t="inlineStr">
        <is>
          <t>정음건축사사무소</t>
        </is>
      </c>
      <c r="M64" s="7" t="inlineStr"/>
      <c r="N64" s="7" t="inlineStr">
        <is>
          <t>신축</t>
        </is>
      </c>
      <c r="O64" s="7" t="inlineStr">
        <is>
          <t>경기도 용인시 처인구 이동읍 화산리 664-11번지</t>
        </is>
      </c>
    </row>
    <row r="65">
      <c r="A65" s="6" t="inlineStr">
        <is>
          <t>경기도</t>
        </is>
      </c>
      <c r="B65" s="6" t="inlineStr">
        <is>
          <t>의정부시</t>
        </is>
      </c>
      <c r="C65" s="6" t="inlineStr">
        <is>
          <t>의정부동 135-38 생활형숙박시설</t>
        </is>
      </c>
      <c r="D65" s="6" t="inlineStr">
        <is>
          <t>2025-03-10</t>
        </is>
      </c>
      <c r="E65" s="6" t="n">
        <v>18</v>
      </c>
      <c r="F65" s="6" t="n">
        <v>596</v>
      </c>
      <c r="G65" s="6">
        <f>IF('0.입력칸'!$B$3="","",ROUND(F65/'0.입력칸'!$B$3,0))</f>
        <v/>
      </c>
      <c r="H65" s="6">
        <f>IF(OR('0.입력칸'!$B$3="",'0.입력칸'!$B$5=""),"",ROUND(G65*'0.입력칸'!$B$5,0))</f>
        <v/>
      </c>
      <c r="I65" s="6" t="inlineStr">
        <is>
          <t>없음</t>
        </is>
      </c>
      <c r="J65" s="6" t="inlineStr">
        <is>
          <t>설계사 (주)종합건축사사무소주성</t>
        </is>
      </c>
      <c r="K65" s="6" t="inlineStr">
        <is>
          <t>(주)종합건축사사무소주성</t>
        </is>
      </c>
      <c r="L65" s="6" t="inlineStr"/>
      <c r="M65" s="6" t="inlineStr"/>
      <c r="N65" s="6" t="inlineStr">
        <is>
          <t>신축</t>
        </is>
      </c>
      <c r="O65" s="6" t="inlineStr">
        <is>
          <t>경기도 의정부시 시민로122번길 41-46 (의정부동, MS PALACE)</t>
        </is>
      </c>
    </row>
    <row r="66">
      <c r="A66" s="6" t="inlineStr">
        <is>
          <t>경기도</t>
        </is>
      </c>
      <c r="B66" s="6" t="inlineStr">
        <is>
          <t>평택시</t>
        </is>
      </c>
      <c r="C66" s="6" t="inlineStr">
        <is>
          <t>숙박시설 (***)</t>
        </is>
      </c>
      <c r="D66" s="6" t="inlineStr">
        <is>
          <t>2022-09-22</t>
        </is>
      </c>
      <c r="E66" s="6" t="n">
        <v>48</v>
      </c>
      <c r="F66" s="6" t="n">
        <v>1110</v>
      </c>
      <c r="G66" s="6">
        <f>IF('0.입력칸'!$B$3="","",ROUND(F66/'0.입력칸'!$B$3,0))</f>
        <v/>
      </c>
      <c r="H66" s="6">
        <f>IF(OR('0.입력칸'!$B$3="",'0.입력칸'!$B$5=""),"",ROUND(G66*'0.입력칸'!$B$5,0))</f>
        <v/>
      </c>
      <c r="I66" s="6" t="inlineStr">
        <is>
          <t>없음</t>
        </is>
      </c>
      <c r="J66" s="6" t="inlineStr">
        <is>
          <t>설계사 에이티동우건축사사무소</t>
        </is>
      </c>
      <c r="K66" s="6" t="inlineStr">
        <is>
          <t>에이티동우건축사사무소</t>
        </is>
      </c>
      <c r="L66" s="6" t="inlineStr"/>
      <c r="M66" s="6" t="inlineStr"/>
      <c r="N66" s="6" t="inlineStr">
        <is>
          <t>증축</t>
        </is>
      </c>
      <c r="O66" s="6" t="inlineStr">
        <is>
          <t>경기도 평택시 송탄로 377-3 (지산동)</t>
        </is>
      </c>
    </row>
    <row r="67">
      <c r="A67" s="6" t="inlineStr">
        <is>
          <t>경기도</t>
        </is>
      </c>
      <c r="B67" s="6" t="inlineStr">
        <is>
          <t>포천시</t>
        </is>
      </c>
      <c r="C67" s="6" t="inlineStr">
        <is>
          <t>동교동 숙박시설</t>
        </is>
      </c>
      <c r="D67" s="6" t="inlineStr">
        <is>
          <t>2026-01-27</t>
        </is>
      </c>
      <c r="E67" s="6" t="n">
        <v>8</v>
      </c>
      <c r="F67" s="6" t="n">
        <v>1287</v>
      </c>
      <c r="G67" s="6">
        <f>IF('0.입력칸'!$B$3="","",ROUND(F67/'0.입력칸'!$B$3,0))</f>
        <v/>
      </c>
      <c r="H67" s="6">
        <f>IF(OR('0.입력칸'!$B$3="",'0.입력칸'!$B$5=""),"",ROUND(G67*'0.입력칸'!$B$5,0))</f>
        <v/>
      </c>
      <c r="I67" s="6" t="inlineStr">
        <is>
          <t>없음</t>
        </is>
      </c>
      <c r="J67" s="6" t="inlineStr">
        <is>
          <t>설계사 (주)삼우건축사사무소</t>
        </is>
      </c>
      <c r="K67" s="6" t="inlineStr">
        <is>
          <t>(주)삼우건축사사무소</t>
        </is>
      </c>
      <c r="L67" s="6" t="inlineStr"/>
      <c r="M67" s="6" t="inlineStr"/>
      <c r="N67" s="6" t="inlineStr">
        <is>
          <t>신축</t>
        </is>
      </c>
      <c r="O67" s="6" t="inlineStr">
        <is>
          <t>경기도 포천시 천보길 53 (동교동)</t>
        </is>
      </c>
    </row>
    <row r="68">
      <c r="A68" s="7" t="inlineStr">
        <is>
          <t>강원특별자치도</t>
        </is>
      </c>
      <c r="B68" s="7" t="inlineStr">
        <is>
          <t>강릉시</t>
        </is>
      </c>
      <c r="C68" s="7" t="inlineStr">
        <is>
          <t>사천면 미노리 150번지 숙박시설(여석운)</t>
        </is>
      </c>
      <c r="D68" s="7" t="inlineStr">
        <is>
          <t>2024-12-18</t>
        </is>
      </c>
      <c r="E68" s="7" t="n">
        <v>21</v>
      </c>
      <c r="F68" s="7" t="n">
        <v>1483</v>
      </c>
      <c r="G68" s="7">
        <f>IF('0.입력칸'!$B$3="","",ROUND(F68/'0.입력칸'!$B$3,0))</f>
        <v/>
      </c>
      <c r="H68" s="7">
        <f>IF(OR('0.입력칸'!$B$3="",'0.입력칸'!$B$5=""),"",ROUND(G68*'0.입력칸'!$B$5,0))</f>
        <v/>
      </c>
      <c r="I68" s="7" t="inlineStr">
        <is>
          <t>있음</t>
        </is>
      </c>
      <c r="J68" s="7" t="inlineStr">
        <is>
          <t>시공사 서연건설산업(주)</t>
        </is>
      </c>
      <c r="K68" s="7" t="inlineStr">
        <is>
          <t>예인건축사사무소</t>
        </is>
      </c>
      <c r="L68" s="7" t="inlineStr">
        <is>
          <t>예인건축사사무소</t>
        </is>
      </c>
      <c r="M68" s="7" t="inlineStr"/>
      <c r="N68" s="7" t="inlineStr">
        <is>
          <t>신축</t>
        </is>
      </c>
      <c r="O68" s="7" t="inlineStr">
        <is>
          <t>강원특별자치도 강릉시 사천면 미노리 150번지</t>
        </is>
      </c>
    </row>
    <row r="69">
      <c r="A69" s="6" t="inlineStr">
        <is>
          <t>강원특별자치도</t>
        </is>
      </c>
      <c r="B69" s="6" t="inlineStr">
        <is>
          <t>강릉시</t>
        </is>
      </c>
      <c r="C69" s="6" t="inlineStr">
        <is>
          <t>사천진리 산90 외 2필지 관광숙박시설(호스텔)</t>
        </is>
      </c>
      <c r="D69" s="6" t="inlineStr">
        <is>
          <t>2026-11-20</t>
        </is>
      </c>
      <c r="E69" s="6" t="n">
        <v>-2</v>
      </c>
      <c r="F69" s="6" t="n">
        <v>998</v>
      </c>
      <c r="G69" s="6">
        <f>IF('0.입력칸'!$B$3="","",ROUND(F69/'0.입력칸'!$B$3,0))</f>
        <v/>
      </c>
      <c r="H69" s="6">
        <f>IF(OR('0.입력칸'!$B$3="",'0.입력칸'!$B$5=""),"",ROUND(G69*'0.입력칸'!$B$5,0))</f>
        <v/>
      </c>
      <c r="I69" s="6" t="inlineStr">
        <is>
          <t>없음</t>
        </is>
      </c>
      <c r="J69" s="6" t="inlineStr">
        <is>
          <t>설계사 에이티동우건축사사무소</t>
        </is>
      </c>
      <c r="K69" s="6" t="inlineStr">
        <is>
          <t>에이티동우건축사사무소</t>
        </is>
      </c>
      <c r="L69" s="6" t="inlineStr"/>
      <c r="M69" s="6" t="inlineStr"/>
      <c r="N69" s="6" t="inlineStr">
        <is>
          <t>신축</t>
        </is>
      </c>
      <c r="O69" s="6" t="inlineStr">
        <is>
          <t>강원특별자치도 강릉시 사천면 사천진리 산90번지</t>
        </is>
      </c>
    </row>
    <row r="70">
      <c r="A70" s="6" t="inlineStr">
        <is>
          <t>강원특별자치도</t>
        </is>
      </c>
      <c r="B70" s="6" t="inlineStr">
        <is>
          <t>강릉시</t>
        </is>
      </c>
      <c r="C70" s="6" t="inlineStr">
        <is>
          <t>안현동 218-12 숙박시설 (금승호)</t>
        </is>
      </c>
      <c r="D70" s="6" t="inlineStr">
        <is>
          <t>2024-08-06</t>
        </is>
      </c>
      <c r="E70" s="6" t="n">
        <v>25</v>
      </c>
      <c r="F70" s="6" t="n">
        <v>827</v>
      </c>
      <c r="G70" s="6">
        <f>IF('0.입력칸'!$B$3="","",ROUND(F70/'0.입력칸'!$B$3,0))</f>
        <v/>
      </c>
      <c r="H70" s="6">
        <f>IF(OR('0.입력칸'!$B$3="",'0.입력칸'!$B$5=""),"",ROUND(G70*'0.입력칸'!$B$5,0))</f>
        <v/>
      </c>
      <c r="I70" s="6" t="inlineStr">
        <is>
          <t>없음</t>
        </is>
      </c>
      <c r="J70" s="6" t="inlineStr">
        <is>
          <t>설계사 예인건축사사무소</t>
        </is>
      </c>
      <c r="K70" s="6" t="inlineStr">
        <is>
          <t>예인건축사사무소</t>
        </is>
      </c>
      <c r="L70" s="6" t="inlineStr"/>
      <c r="M70" s="6" t="inlineStr"/>
      <c r="N70" s="6" t="inlineStr">
        <is>
          <t>신축</t>
        </is>
      </c>
      <c r="O70" s="6" t="inlineStr">
        <is>
          <t>강원특별자치도 강릉시 안현동 218-12번지</t>
        </is>
      </c>
    </row>
    <row r="71">
      <c r="A71" s="6" t="inlineStr">
        <is>
          <t>강원특별자치도</t>
        </is>
      </c>
      <c r="B71" s="6" t="inlineStr">
        <is>
          <t>강릉시</t>
        </is>
      </c>
      <c r="C71" s="6" t="inlineStr">
        <is>
          <t>임당동 15-12 숙박시설</t>
        </is>
      </c>
      <c r="D71" s="6" t="inlineStr">
        <is>
          <t>2025-10-11</t>
        </is>
      </c>
      <c r="E71" s="6" t="n">
        <v>11</v>
      </c>
      <c r="F71" s="6" t="n">
        <v>599</v>
      </c>
      <c r="G71" s="6">
        <f>IF('0.입력칸'!$B$3="","",ROUND(F71/'0.입력칸'!$B$3,0))</f>
        <v/>
      </c>
      <c r="H71" s="6">
        <f>IF(OR('0.입력칸'!$B$3="",'0.입력칸'!$B$5=""),"",ROUND(G71*'0.입력칸'!$B$5,0))</f>
        <v/>
      </c>
      <c r="I71" s="6" t="inlineStr">
        <is>
          <t>없음</t>
        </is>
      </c>
      <c r="J71" s="6" t="inlineStr">
        <is>
          <t>설계사 명진건축사사무소</t>
        </is>
      </c>
      <c r="K71" s="6" t="inlineStr">
        <is>
          <t>명진건축사사무소</t>
        </is>
      </c>
      <c r="L71" s="6" t="inlineStr"/>
      <c r="M71" s="6" t="inlineStr"/>
      <c r="N71" s="6" t="inlineStr">
        <is>
          <t>신축</t>
        </is>
      </c>
      <c r="O71" s="6" t="inlineStr">
        <is>
          <t>강원특별자치도 강릉시 임당동 15-12번지</t>
        </is>
      </c>
    </row>
    <row r="72">
      <c r="A72" s="7" t="inlineStr">
        <is>
          <t>강원특별자치도</t>
        </is>
      </c>
      <c r="B72" s="7" t="inlineStr">
        <is>
          <t>고성군</t>
        </is>
      </c>
      <c r="C72" s="7" t="inlineStr">
        <is>
          <t>토성면 신평리 598-7 숙박시설</t>
        </is>
      </c>
      <c r="D72" s="7" t="inlineStr">
        <is>
          <t>2024-07-12</t>
        </is>
      </c>
      <c r="E72" s="7" t="n">
        <v>26</v>
      </c>
      <c r="F72" s="7" t="n">
        <v>910</v>
      </c>
      <c r="G72" s="7">
        <f>IF('0.입력칸'!$B$3="","",ROUND(F72/'0.입력칸'!$B$3,0))</f>
        <v/>
      </c>
      <c r="H72" s="7">
        <f>IF(OR('0.입력칸'!$B$3="",'0.입력칸'!$B$5=""),"",ROUND(G72*'0.입력칸'!$B$5,0))</f>
        <v/>
      </c>
      <c r="I72" s="7" t="inlineStr">
        <is>
          <t>있음</t>
        </is>
      </c>
      <c r="J72" s="7" t="inlineStr">
        <is>
          <t>시공사 (주)덕구건설</t>
        </is>
      </c>
      <c r="K72" s="7" t="inlineStr">
        <is>
          <t>가람건축사사무소</t>
        </is>
      </c>
      <c r="L72" s="7" t="inlineStr"/>
      <c r="M72" s="7" t="inlineStr"/>
      <c r="N72" s="7" t="inlineStr">
        <is>
          <t>신축</t>
        </is>
      </c>
      <c r="O72" s="7" t="inlineStr">
        <is>
          <t>강원특별자치도 고성군 토성면 서신평2길 44-17</t>
        </is>
      </c>
    </row>
    <row r="73">
      <c r="A73" s="7" t="inlineStr">
        <is>
          <t>강원특별자치도</t>
        </is>
      </c>
      <c r="B73" s="7" t="inlineStr">
        <is>
          <t>고성군</t>
        </is>
      </c>
      <c r="C73" s="7" t="inlineStr">
        <is>
          <t>죽왕면 인정리 163-9 생활숙박시설</t>
        </is>
      </c>
      <c r="D73" s="7" t="inlineStr">
        <is>
          <t>2024-07-11</t>
        </is>
      </c>
      <c r="E73" s="7" t="n">
        <v>26</v>
      </c>
      <c r="F73" s="7" t="n">
        <v>743</v>
      </c>
      <c r="G73" s="7">
        <f>IF('0.입력칸'!$B$3="","",ROUND(F73/'0.입력칸'!$B$3,0))</f>
        <v/>
      </c>
      <c r="H73" s="7">
        <f>IF(OR('0.입력칸'!$B$3="",'0.입력칸'!$B$5=""),"",ROUND(G73*'0.입력칸'!$B$5,0))</f>
        <v/>
      </c>
      <c r="I73" s="7" t="inlineStr">
        <is>
          <t>있음</t>
        </is>
      </c>
      <c r="J73" s="7" t="inlineStr">
        <is>
          <t>시공사 (주)성우건설</t>
        </is>
      </c>
      <c r="K73" s="7" t="inlineStr">
        <is>
          <t>가람건축사사무소</t>
        </is>
      </c>
      <c r="L73" s="7" t="inlineStr"/>
      <c r="M73" s="7" t="inlineStr"/>
      <c r="N73" s="7" t="inlineStr">
        <is>
          <t>신축</t>
        </is>
      </c>
      <c r="O73" s="7" t="inlineStr">
        <is>
          <t>강원특별자치도 고성군 토성면 잼버리도로 359</t>
        </is>
      </c>
    </row>
    <row r="74">
      <c r="A74" s="7" t="inlineStr">
        <is>
          <t>강원특별자치도</t>
        </is>
      </c>
      <c r="B74" s="7" t="inlineStr">
        <is>
          <t>고성군</t>
        </is>
      </c>
      <c r="C74" s="7" t="inlineStr">
        <is>
          <t>토성면 아야진리 56-30 관광숙박시설 (***)</t>
        </is>
      </c>
      <c r="D74" s="7" t="inlineStr">
        <is>
          <t>2024-07-09</t>
        </is>
      </c>
      <c r="E74" s="7" t="n">
        <v>26</v>
      </c>
      <c r="F74" s="7" t="n">
        <v>708</v>
      </c>
      <c r="G74" s="7">
        <f>IF('0.입력칸'!$B$3="","",ROUND(F74/'0.입력칸'!$B$3,0))</f>
        <v/>
      </c>
      <c r="H74" s="7">
        <f>IF(OR('0.입력칸'!$B$3="",'0.입력칸'!$B$5=""),"",ROUND(G74*'0.입력칸'!$B$5,0))</f>
        <v/>
      </c>
      <c r="I74" s="7" t="inlineStr">
        <is>
          <t>있음</t>
        </is>
      </c>
      <c r="J74" s="7" t="inlineStr">
        <is>
          <t>시공사 상지건설(주)</t>
        </is>
      </c>
      <c r="K74" s="7" t="inlineStr">
        <is>
          <t>정풍건축사사무소</t>
        </is>
      </c>
      <c r="L74" s="7" t="inlineStr">
        <is>
          <t>건축사사무소 영</t>
        </is>
      </c>
      <c r="M74" s="7" t="inlineStr"/>
      <c r="N74" s="7" t="inlineStr">
        <is>
          <t>신축</t>
        </is>
      </c>
      <c r="O74" s="7" t="inlineStr">
        <is>
          <t>강원특별자치도 고성군 토성면 아야진리 56-30번지</t>
        </is>
      </c>
    </row>
    <row r="75">
      <c r="A75" s="7" t="inlineStr">
        <is>
          <t>강원특별자치도</t>
        </is>
      </c>
      <c r="B75" s="7" t="inlineStr">
        <is>
          <t>고성군</t>
        </is>
      </c>
      <c r="C75" s="7" t="inlineStr">
        <is>
          <t>죽왕면 인정리 345 숙박시설 (***)</t>
        </is>
      </c>
      <c r="D75" s="7" t="inlineStr">
        <is>
          <t>2024-10-18</t>
        </is>
      </c>
      <c r="E75" s="7" t="n">
        <v>23</v>
      </c>
      <c r="F75" s="7" t="n">
        <v>208</v>
      </c>
      <c r="G75" s="7">
        <f>IF('0.입력칸'!$B$3="","",ROUND(F75/'0.입력칸'!$B$3,0))</f>
        <v/>
      </c>
      <c r="H75" s="7">
        <f>IF(OR('0.입력칸'!$B$3="",'0.입력칸'!$B$5=""),"",ROUND(G75*'0.입력칸'!$B$5,0))</f>
        <v/>
      </c>
      <c r="I75" s="7" t="inlineStr">
        <is>
          <t>있음</t>
        </is>
      </c>
      <c r="J75" s="7" t="inlineStr">
        <is>
          <t>시공사 (주)동국건설</t>
        </is>
      </c>
      <c r="K75" s="7" t="inlineStr">
        <is>
          <t>호동건설산업</t>
        </is>
      </c>
      <c r="L75" s="7" t="inlineStr"/>
      <c r="M75" s="7" t="inlineStr"/>
      <c r="N75" s="7" t="inlineStr">
        <is>
          <t>신축</t>
        </is>
      </c>
      <c r="O75" s="7" t="inlineStr">
        <is>
          <t>강원특별자치도 고성군 죽왕면 인정리 345번지</t>
        </is>
      </c>
    </row>
    <row r="76">
      <c r="A76" s="7" t="inlineStr">
        <is>
          <t>강원특별자치도</t>
        </is>
      </c>
      <c r="B76" s="7" t="inlineStr">
        <is>
          <t>동해시</t>
        </is>
      </c>
      <c r="C76" s="7" t="inlineStr">
        <is>
          <t>동해 대진동 숙박시설</t>
        </is>
      </c>
      <c r="D76" s="7" t="inlineStr">
        <is>
          <t>2026-05-15</t>
        </is>
      </c>
      <c r="E76" s="7" t="n">
        <v>4</v>
      </c>
      <c r="F76" s="7" t="n">
        <v>244</v>
      </c>
      <c r="G76" s="7">
        <f>IF('0.입력칸'!$B$3="","",ROUND(F76/'0.입력칸'!$B$3,0))</f>
        <v/>
      </c>
      <c r="H76" s="7">
        <f>IF(OR('0.입력칸'!$B$3="",'0.입력칸'!$B$5=""),"",ROUND(G76*'0.입력칸'!$B$5,0))</f>
        <v/>
      </c>
      <c r="I76" s="7" t="inlineStr">
        <is>
          <t>있음</t>
        </is>
      </c>
      <c r="J76" s="7" t="inlineStr">
        <is>
          <t>시공사 태강(주)</t>
        </is>
      </c>
      <c r="K76" s="7" t="inlineStr">
        <is>
          <t>더블유에스엘건축사사무소</t>
        </is>
      </c>
      <c r="L76" s="7" t="inlineStr">
        <is>
          <t>토우건축사사무소</t>
        </is>
      </c>
      <c r="M76" s="7" t="inlineStr"/>
      <c r="N76" s="7" t="inlineStr">
        <is>
          <t>증축</t>
        </is>
      </c>
      <c r="O76" s="7" t="inlineStr">
        <is>
          <t>강원특별자치도 동해시 대진항길 41-1 (대진동)</t>
        </is>
      </c>
    </row>
    <row r="77">
      <c r="A77" s="6" t="inlineStr">
        <is>
          <t>강원특별자치도</t>
        </is>
      </c>
      <c r="B77" s="6" t="inlineStr">
        <is>
          <t>양양군</t>
        </is>
      </c>
      <c r="C77" s="6" t="inlineStr">
        <is>
          <t>현남면 원포리 108-11 숙박시설 (***)</t>
        </is>
      </c>
      <c r="D77" s="6" t="inlineStr">
        <is>
          <t>2024-11-25</t>
        </is>
      </c>
      <c r="E77" s="6" t="n">
        <v>22</v>
      </c>
      <c r="F77" s="6" t="n">
        <v>838</v>
      </c>
      <c r="G77" s="6">
        <f>IF('0.입력칸'!$B$3="","",ROUND(F77/'0.입력칸'!$B$3,0))</f>
        <v/>
      </c>
      <c r="H77" s="6">
        <f>IF(OR('0.입력칸'!$B$3="",'0.입력칸'!$B$5=""),"",ROUND(G77*'0.입력칸'!$B$5,0))</f>
        <v/>
      </c>
      <c r="I77" s="6" t="inlineStr">
        <is>
          <t>없음</t>
        </is>
      </c>
      <c r="J77" s="6" t="inlineStr">
        <is>
          <t>설계사 태웅건축사사무소</t>
        </is>
      </c>
      <c r="K77" s="6" t="inlineStr">
        <is>
          <t>태웅건축사사무소</t>
        </is>
      </c>
      <c r="L77" s="6" t="inlineStr">
        <is>
          <t>태웅건축사사무소</t>
        </is>
      </c>
      <c r="M77" s="6" t="inlineStr"/>
      <c r="N77" s="6" t="inlineStr">
        <is>
          <t>증축</t>
        </is>
      </c>
      <c r="O77" s="6" t="inlineStr">
        <is>
          <t>강원특별자치도 양양군 현남면 동해대로 243</t>
        </is>
      </c>
    </row>
    <row r="78">
      <c r="A78" s="6" t="inlineStr">
        <is>
          <t>강원특별자치도</t>
        </is>
      </c>
      <c r="B78" s="6" t="inlineStr">
        <is>
          <t>양양군</t>
        </is>
      </c>
      <c r="C78" s="6" t="inlineStr">
        <is>
          <t>현북면 하광정리 622-4 숙박시설 (***)</t>
        </is>
      </c>
      <c r="D78" s="6" t="inlineStr">
        <is>
          <t>2021-12-01</t>
        </is>
      </c>
      <c r="E78" s="6" t="n">
        <v>58</v>
      </c>
      <c r="F78" s="6" t="n">
        <v>383</v>
      </c>
      <c r="G78" s="6">
        <f>IF('0.입력칸'!$B$3="","",ROUND(F78/'0.입력칸'!$B$3,0))</f>
        <v/>
      </c>
      <c r="H78" s="6">
        <f>IF(OR('0.입력칸'!$B$3="",'0.입력칸'!$B$5=""),"",ROUND(G78*'0.입력칸'!$B$5,0))</f>
        <v/>
      </c>
      <c r="I78" s="6" t="inlineStr">
        <is>
          <t>없음</t>
        </is>
      </c>
      <c r="J78" s="6" t="inlineStr">
        <is>
          <t>설계사 삼성건축사사무소</t>
        </is>
      </c>
      <c r="K78" s="6" t="inlineStr">
        <is>
          <t>삼성건축사사무소</t>
        </is>
      </c>
      <c r="L78" s="6" t="inlineStr"/>
      <c r="M78" s="6" t="inlineStr"/>
      <c r="N78" s="6" t="inlineStr">
        <is>
          <t>증축</t>
        </is>
      </c>
      <c r="O78" s="6" t="inlineStr">
        <is>
          <t>강원특별자치도 양양군 현북면 하조대해안길 31</t>
        </is>
      </c>
    </row>
    <row r="79">
      <c r="A79" s="6" t="inlineStr">
        <is>
          <t>강원특별자치도</t>
        </is>
      </c>
      <c r="B79" s="6" t="inlineStr">
        <is>
          <t>춘천시</t>
        </is>
      </c>
      <c r="C79" s="6" t="inlineStr">
        <is>
          <t>근화동 283-8 숙박시설</t>
        </is>
      </c>
      <c r="D79" s="6" t="inlineStr">
        <is>
          <t>2023-10-20</t>
        </is>
      </c>
      <c r="E79" s="6" t="n">
        <v>35</v>
      </c>
      <c r="F79" s="6" t="n">
        <v>923</v>
      </c>
      <c r="G79" s="6">
        <f>IF('0.입력칸'!$B$3="","",ROUND(F79/'0.입력칸'!$B$3,0))</f>
        <v/>
      </c>
      <c r="H79" s="6">
        <f>IF(OR('0.입력칸'!$B$3="",'0.입력칸'!$B$5=""),"",ROUND(G79*'0.입력칸'!$B$5,0))</f>
        <v/>
      </c>
      <c r="I79" s="6" t="inlineStr">
        <is>
          <t>없음</t>
        </is>
      </c>
      <c r="J79" s="6" t="inlineStr">
        <is>
          <t>설계사 한솔건축사사무소</t>
        </is>
      </c>
      <c r="K79" s="6" t="inlineStr">
        <is>
          <t>한솔건축사사무소</t>
        </is>
      </c>
      <c r="L79" s="6" t="inlineStr"/>
      <c r="M79" s="6" t="inlineStr"/>
      <c r="N79" s="6" t="inlineStr">
        <is>
          <t>증축</t>
        </is>
      </c>
      <c r="O79" s="6" t="inlineStr">
        <is>
          <t>강원특별자치도 춘천시 방송길36번길 73-5 (근화동)</t>
        </is>
      </c>
    </row>
    <row r="80">
      <c r="A80" s="6" t="inlineStr">
        <is>
          <t>강원특별자치도</t>
        </is>
      </c>
      <c r="B80" s="6" t="inlineStr">
        <is>
          <t>춘천시</t>
        </is>
      </c>
      <c r="C80" s="6" t="inlineStr">
        <is>
          <t>동산면 군자리 1023 숙박시설 (***)</t>
        </is>
      </c>
      <c r="D80" s="6" t="inlineStr">
        <is>
          <t>2023-12-15</t>
        </is>
      </c>
      <c r="E80" s="6" t="n">
        <v>33</v>
      </c>
      <c r="F80" s="6" t="n">
        <v>300</v>
      </c>
      <c r="G80" s="6">
        <f>IF('0.입력칸'!$B$3="","",ROUND(F80/'0.입력칸'!$B$3,0))</f>
        <v/>
      </c>
      <c r="H80" s="6">
        <f>IF(OR('0.입력칸'!$B$3="",'0.입력칸'!$B$5=""),"",ROUND(G80*'0.입력칸'!$B$5,0))</f>
        <v/>
      </c>
      <c r="I80" s="6" t="inlineStr">
        <is>
          <t>없음</t>
        </is>
      </c>
      <c r="J80" s="6" t="inlineStr">
        <is>
          <t>설계사 (주)시.공종합건축사사무소</t>
        </is>
      </c>
      <c r="K80" s="6" t="inlineStr">
        <is>
          <t>(주)시.공종합건축사사무소</t>
        </is>
      </c>
      <c r="L80" s="6" t="inlineStr"/>
      <c r="M80" s="6" t="inlineStr"/>
      <c r="N80" s="6" t="inlineStr">
        <is>
          <t>신축</t>
        </is>
      </c>
      <c r="O80" s="6" t="inlineStr">
        <is>
          <t>강원특별자치도 춘천시 동산면 군자리 1023번지</t>
        </is>
      </c>
    </row>
    <row r="81">
      <c r="A81" s="6" t="inlineStr">
        <is>
          <t>강원특별자치도</t>
        </is>
      </c>
      <c r="B81" s="6" t="inlineStr">
        <is>
          <t>춘천시</t>
        </is>
      </c>
      <c r="C81" s="6" t="inlineStr">
        <is>
          <t>남산면 광판리 1099-2 숙박시설 (***)</t>
        </is>
      </c>
      <c r="D81" s="6" t="inlineStr">
        <is>
          <t>2025-06-17</t>
        </is>
      </c>
      <c r="E81" s="6" t="n">
        <v>15</v>
      </c>
      <c r="F81" s="6" t="n">
        <v>244</v>
      </c>
      <c r="G81" s="6">
        <f>IF('0.입력칸'!$B$3="","",ROUND(F81/'0.입력칸'!$B$3,0))</f>
        <v/>
      </c>
      <c r="H81" s="6">
        <f>IF(OR('0.입력칸'!$B$3="",'0.입력칸'!$B$5=""),"",ROUND(G81*'0.입력칸'!$B$5,0))</f>
        <v/>
      </c>
      <c r="I81" s="6" t="inlineStr">
        <is>
          <t>없음</t>
        </is>
      </c>
      <c r="J81" s="6" t="inlineStr">
        <is>
          <t>설계사 (주)소보건축사사무소</t>
        </is>
      </c>
      <c r="K81" s="6" t="inlineStr">
        <is>
          <t>(주)소보건축사사무소</t>
        </is>
      </c>
      <c r="L81" s="6" t="inlineStr"/>
      <c r="M81" s="6" t="inlineStr"/>
      <c r="N81" s="6" t="inlineStr">
        <is>
          <t>신축</t>
        </is>
      </c>
      <c r="O81" s="6" t="inlineStr">
        <is>
          <t>강원특별자치도 춘천시 남산면 광판리 1099-2번지</t>
        </is>
      </c>
    </row>
    <row r="82">
      <c r="A82" s="7" t="inlineStr">
        <is>
          <t>강원특별자치도</t>
        </is>
      </c>
      <c r="B82" s="7" t="inlineStr">
        <is>
          <t>평창군</t>
        </is>
      </c>
      <c r="C82" s="7" t="inlineStr">
        <is>
          <t>대관령면 수하리 203 숙박시설 (***)</t>
        </is>
      </c>
      <c r="D82" s="7" t="inlineStr">
        <is>
          <t>2024-07-11</t>
        </is>
      </c>
      <c r="E82" s="7" t="n">
        <v>26</v>
      </c>
      <c r="F82" s="7" t="n">
        <v>393</v>
      </c>
      <c r="G82" s="7">
        <f>IF('0.입력칸'!$B$3="","",ROUND(F82/'0.입력칸'!$B$3,0))</f>
        <v/>
      </c>
      <c r="H82" s="7">
        <f>IF(OR('0.입력칸'!$B$3="",'0.입력칸'!$B$5=""),"",ROUND(G82*'0.입력칸'!$B$5,0))</f>
        <v/>
      </c>
      <c r="I82" s="7" t="inlineStr">
        <is>
          <t>있음</t>
        </is>
      </c>
      <c r="J82" s="7" t="inlineStr">
        <is>
          <t>시공사 (주)씨지건설</t>
        </is>
      </c>
      <c r="K82" s="7" t="inlineStr"/>
      <c r="L82" s="7" t="inlineStr"/>
      <c r="M82" s="7" t="inlineStr"/>
      <c r="N82" s="7" t="inlineStr">
        <is>
          <t>신축</t>
        </is>
      </c>
      <c r="O82" s="7" t="inlineStr">
        <is>
          <t>강원특별자치도 평창군 대관령면 수하리 203번지</t>
        </is>
      </c>
    </row>
    <row r="83">
      <c r="A83" s="6" t="inlineStr">
        <is>
          <t>강원특별자치도</t>
        </is>
      </c>
      <c r="B83" s="6" t="inlineStr">
        <is>
          <t>홍천군</t>
        </is>
      </c>
      <c r="C83" s="6" t="inlineStr">
        <is>
          <t>서면 중방대리 106 일반숙박시설</t>
        </is>
      </c>
      <c r="D83" s="6" t="inlineStr">
        <is>
          <t>2026-06-30</t>
        </is>
      </c>
      <c r="E83" s="6" t="n">
        <v>3</v>
      </c>
      <c r="F83" s="6" t="n">
        <v>97</v>
      </c>
      <c r="G83" s="6">
        <f>IF('0.입력칸'!$B$3="","",ROUND(F83/'0.입력칸'!$B$3,0))</f>
        <v/>
      </c>
      <c r="H83" s="6">
        <f>IF(OR('0.입력칸'!$B$3="",'0.입력칸'!$B$5=""),"",ROUND(G83*'0.입력칸'!$B$5,0))</f>
        <v/>
      </c>
      <c r="I83" s="6" t="inlineStr">
        <is>
          <t>없음</t>
        </is>
      </c>
      <c r="J83" s="6" t="inlineStr">
        <is>
          <t>설계사 (주)세움건축사사무소</t>
        </is>
      </c>
      <c r="K83" s="6" t="inlineStr">
        <is>
          <t>(주)세움건축사사무소</t>
        </is>
      </c>
      <c r="L83" s="6" t="inlineStr"/>
      <c r="M83" s="6" t="inlineStr"/>
      <c r="N83" s="6" t="inlineStr">
        <is>
          <t>신축</t>
        </is>
      </c>
      <c r="O83" s="6" t="inlineStr">
        <is>
          <t>강원특별자치도 홍천군 서면 고루개길 112</t>
        </is>
      </c>
    </row>
    <row r="84">
      <c r="A84" s="6" t="inlineStr">
        <is>
          <t>강원특별자치도</t>
        </is>
      </c>
      <c r="B84" s="6" t="inlineStr">
        <is>
          <t>홍천군</t>
        </is>
      </c>
      <c r="C84" s="6" t="inlineStr">
        <is>
          <t>서면 중방대리 1060000 숙박시설 (***)</t>
        </is>
      </c>
      <c r="D84" s="6" t="inlineStr">
        <is>
          <t>2024-07-03</t>
        </is>
      </c>
      <c r="E84" s="6" t="n">
        <v>27</v>
      </c>
      <c r="F84" s="6" t="n">
        <v>97</v>
      </c>
      <c r="G84" s="6">
        <f>IF('0.입력칸'!$B$3="","",ROUND(F84/'0.입력칸'!$B$3,0))</f>
        <v/>
      </c>
      <c r="H84" s="6">
        <f>IF(OR('0.입력칸'!$B$3="",'0.입력칸'!$B$5=""),"",ROUND(G84*'0.입력칸'!$B$5,0))</f>
        <v/>
      </c>
      <c r="I84" s="6" t="inlineStr">
        <is>
          <t>없음</t>
        </is>
      </c>
      <c r="J84" s="6" t="inlineStr">
        <is>
          <t>설계사 (주)세움건축사사무소</t>
        </is>
      </c>
      <c r="K84" s="6" t="inlineStr">
        <is>
          <t>(주)세움건축사사무소</t>
        </is>
      </c>
      <c r="L84" s="6" t="inlineStr"/>
      <c r="M84" s="6" t="inlineStr"/>
      <c r="N84" s="6" t="inlineStr">
        <is>
          <t>신축</t>
        </is>
      </c>
      <c r="O84" s="6" t="inlineStr">
        <is>
          <t>강원특별자치도 홍천군 서면 고루개길 112</t>
        </is>
      </c>
    </row>
    <row r="85">
      <c r="A85" s="6" t="inlineStr">
        <is>
          <t>강원특별자치도</t>
        </is>
      </c>
      <c r="B85" s="6" t="inlineStr">
        <is>
          <t>홍천군</t>
        </is>
      </c>
      <c r="C85" s="6" t="inlineStr">
        <is>
          <t>화촌면 군업리 1295-29번지 외3필지 생활숙박시설</t>
        </is>
      </c>
      <c r="D85" s="6" t="inlineStr">
        <is>
          <t>2027-06-01</t>
        </is>
      </c>
      <c r="E85" s="6" t="n">
        <v>-8</v>
      </c>
      <c r="F85" s="6" t="n">
        <v>50</v>
      </c>
      <c r="G85" s="6">
        <f>IF('0.입력칸'!$B$3="","",ROUND(F85/'0.입력칸'!$B$3,0))</f>
        <v/>
      </c>
      <c r="H85" s="6">
        <f>IF(OR('0.입력칸'!$B$3="",'0.입력칸'!$B$5=""),"",ROUND(G85*'0.입력칸'!$B$5,0))</f>
        <v/>
      </c>
      <c r="I85" s="6" t="inlineStr">
        <is>
          <t>없음</t>
        </is>
      </c>
      <c r="J85" s="6" t="inlineStr">
        <is>
          <t>설계사 도시건축사사무소</t>
        </is>
      </c>
      <c r="K85" s="6" t="inlineStr">
        <is>
          <t>도시건축사사무소</t>
        </is>
      </c>
      <c r="L85" s="6" t="inlineStr"/>
      <c r="M85" s="6" t="inlineStr"/>
      <c r="N85" s="6" t="inlineStr">
        <is>
          <t>신축</t>
        </is>
      </c>
      <c r="O85" s="6" t="inlineStr">
        <is>
          <t>강원특별자치도 홍천군 화촌면 군업리 1295-29번지</t>
        </is>
      </c>
    </row>
    <row r="86">
      <c r="A86" s="6" t="inlineStr">
        <is>
          <t>강원특별자치도</t>
        </is>
      </c>
      <c r="B86" s="6" t="inlineStr">
        <is>
          <t>홍천군</t>
        </is>
      </c>
      <c r="C86" s="6" t="inlineStr">
        <is>
          <t>화촌면 군업리 1295-26 번지</t>
        </is>
      </c>
      <c r="D86" s="6" t="inlineStr">
        <is>
          <t>2025-02-24</t>
        </is>
      </c>
      <c r="E86" s="6" t="n">
        <v>19</v>
      </c>
      <c r="F86" s="6" t="n">
        <v>50</v>
      </c>
      <c r="G86" s="6">
        <f>IF('0.입력칸'!$B$3="","",ROUND(F86/'0.입력칸'!$B$3,0))</f>
        <v/>
      </c>
      <c r="H86" s="6">
        <f>IF(OR('0.입력칸'!$B$3="",'0.입력칸'!$B$5=""),"",ROUND(G86*'0.입력칸'!$B$5,0))</f>
        <v/>
      </c>
      <c r="I86" s="6" t="inlineStr">
        <is>
          <t>없음</t>
        </is>
      </c>
      <c r="J86" s="6" t="inlineStr">
        <is>
          <t>설계사 도시건축사사무소</t>
        </is>
      </c>
      <c r="K86" s="6" t="inlineStr">
        <is>
          <t>도시건축사사무소</t>
        </is>
      </c>
      <c r="L86" s="6" t="inlineStr"/>
      <c r="M86" s="6" t="inlineStr"/>
      <c r="N86" s="6" t="inlineStr">
        <is>
          <t>신축</t>
        </is>
      </c>
      <c r="O86" s="6" t="inlineStr">
        <is>
          <t>강원특별자치도 홍천군 화촌면 군업리 1295-26번지</t>
        </is>
      </c>
    </row>
    <row r="87">
      <c r="A87" s="6" t="inlineStr">
        <is>
          <t>강원특별자치도</t>
        </is>
      </c>
      <c r="B87" s="6" t="inlineStr">
        <is>
          <t>횡성군</t>
        </is>
      </c>
      <c r="C87" s="6" t="inlineStr">
        <is>
          <t>숙박시설 (***)</t>
        </is>
      </c>
      <c r="D87" s="6" t="inlineStr">
        <is>
          <t>2023-06-20</t>
        </is>
      </c>
      <c r="E87" s="6" t="n">
        <v>39</v>
      </c>
      <c r="F87" s="6" t="n">
        <v>813</v>
      </c>
      <c r="G87" s="6">
        <f>IF('0.입력칸'!$B$3="","",ROUND(F87/'0.입력칸'!$B$3,0))</f>
        <v/>
      </c>
      <c r="H87" s="6">
        <f>IF(OR('0.입력칸'!$B$3="",'0.입력칸'!$B$5=""),"",ROUND(G87*'0.입력칸'!$B$5,0))</f>
        <v/>
      </c>
      <c r="I87" s="6" t="inlineStr">
        <is>
          <t>없음</t>
        </is>
      </c>
      <c r="J87" s="6" t="inlineStr">
        <is>
          <t>설계사 건축사사무소담아</t>
        </is>
      </c>
      <c r="K87" s="6" t="inlineStr">
        <is>
          <t>건축사사무소담아</t>
        </is>
      </c>
      <c r="L87" s="6" t="inlineStr"/>
      <c r="M87" s="6" t="inlineStr"/>
      <c r="N87" s="6" t="inlineStr">
        <is>
          <t>신축</t>
        </is>
      </c>
      <c r="O87" s="6" t="inlineStr">
        <is>
          <t>강원특별자치도 횡성군 양흥면 상안리 298-4번지</t>
        </is>
      </c>
    </row>
    <row r="88">
      <c r="A88" s="7" t="inlineStr">
        <is>
          <t>충청남도</t>
        </is>
      </c>
      <c r="B88" s="7" t="inlineStr">
        <is>
          <t>당진시</t>
        </is>
      </c>
      <c r="C88" s="7" t="inlineStr">
        <is>
          <t>신평면 매산리 1-255 숙박시설 2단지 (***)</t>
        </is>
      </c>
      <c r="D88" s="7" t="inlineStr">
        <is>
          <t>2023-06-21</t>
        </is>
      </c>
      <c r="E88" s="7" t="n">
        <v>39</v>
      </c>
      <c r="F88" s="7" t="n">
        <v>612</v>
      </c>
      <c r="G88" s="7">
        <f>IF('0.입력칸'!$B$3="","",ROUND(F88/'0.입력칸'!$B$3,0))</f>
        <v/>
      </c>
      <c r="H88" s="7">
        <f>IF(OR('0.입력칸'!$B$3="",'0.입력칸'!$B$5=""),"",ROUND(G88*'0.입력칸'!$B$5,0))</f>
        <v/>
      </c>
      <c r="I88" s="7" t="inlineStr">
        <is>
          <t>있음</t>
        </is>
      </c>
      <c r="J88" s="7" t="inlineStr">
        <is>
          <t>시공사 동경종합건설(주)</t>
        </is>
      </c>
      <c r="K88" s="7" t="inlineStr">
        <is>
          <t>종합건축사사무소도시공간</t>
        </is>
      </c>
      <c r="L88" s="7" t="inlineStr">
        <is>
          <t>(주)인터건축사사무소</t>
        </is>
      </c>
      <c r="M88" s="7" t="inlineStr"/>
      <c r="N88" s="7" t="inlineStr">
        <is>
          <t>신축</t>
        </is>
      </c>
      <c r="O88" s="7" t="inlineStr">
        <is>
          <t>충청남도 당진시 신평면 매산리 1-255번지</t>
        </is>
      </c>
    </row>
    <row r="89">
      <c r="A89" s="7" t="inlineStr">
        <is>
          <t>충청남도</t>
        </is>
      </c>
      <c r="B89" s="7" t="inlineStr">
        <is>
          <t>당진시</t>
        </is>
      </c>
      <c r="C89" s="7" t="inlineStr">
        <is>
          <t>신평면 매산리 1-255 숙박시설 3단지(***)</t>
        </is>
      </c>
      <c r="D89" s="7" t="inlineStr">
        <is>
          <t>2023-06-21</t>
        </is>
      </c>
      <c r="E89" s="7" t="n">
        <v>39</v>
      </c>
      <c r="F89" s="7" t="n">
        <v>612</v>
      </c>
      <c r="G89" s="7">
        <f>IF('0.입력칸'!$B$3="","",ROUND(F89/'0.입력칸'!$B$3,0))</f>
        <v/>
      </c>
      <c r="H89" s="7">
        <f>IF(OR('0.입력칸'!$B$3="",'0.입력칸'!$B$5=""),"",ROUND(G89*'0.입력칸'!$B$5,0))</f>
        <v/>
      </c>
      <c r="I89" s="7" t="inlineStr">
        <is>
          <t>있음</t>
        </is>
      </c>
      <c r="J89" s="7" t="inlineStr">
        <is>
          <t>시공사 동경종합건설(주)</t>
        </is>
      </c>
      <c r="K89" s="7" t="inlineStr">
        <is>
          <t>종합건축사사무소도시공간</t>
        </is>
      </c>
      <c r="L89" s="7" t="inlineStr">
        <is>
          <t>건원건축사사무소</t>
        </is>
      </c>
      <c r="M89" s="7" t="inlineStr"/>
      <c r="N89" s="7" t="inlineStr">
        <is>
          <t>신축</t>
        </is>
      </c>
      <c r="O89" s="7" t="inlineStr">
        <is>
          <t>충청남도 당진시 신평면 매산리 1-255번지</t>
        </is>
      </c>
    </row>
    <row r="90">
      <c r="A90" s="7" t="inlineStr">
        <is>
          <t>충청남도</t>
        </is>
      </c>
      <c r="B90" s="7" t="inlineStr">
        <is>
          <t>당진시</t>
        </is>
      </c>
      <c r="C90" s="7" t="inlineStr">
        <is>
          <t>석문면 교로리 768-1 생활숙박시설 ((주)엘에스건설개발) 1…</t>
        </is>
      </c>
      <c r="D90" s="7" t="inlineStr">
        <is>
          <t>2023-04-06</t>
        </is>
      </c>
      <c r="E90" s="7" t="n">
        <v>42</v>
      </c>
      <c r="F90" s="7" t="n">
        <v>578</v>
      </c>
      <c r="G90" s="7">
        <f>IF('0.입력칸'!$B$3="","",ROUND(F90/'0.입력칸'!$B$3,0))</f>
        <v/>
      </c>
      <c r="H90" s="7">
        <f>IF(OR('0.입력칸'!$B$3="",'0.입력칸'!$B$5=""),"",ROUND(G90*'0.입력칸'!$B$5,0))</f>
        <v/>
      </c>
      <c r="I90" s="7" t="inlineStr">
        <is>
          <t>있음</t>
        </is>
      </c>
      <c r="J90" s="7" t="inlineStr">
        <is>
          <t>시공사 (주)엘제이종합건설</t>
        </is>
      </c>
      <c r="K90" s="7" t="inlineStr">
        <is>
          <t>(주)나라종합건축사사무소</t>
        </is>
      </c>
      <c r="L90" s="7" t="inlineStr"/>
      <c r="M90" s="7" t="inlineStr">
        <is>
          <t>(주)엘에스건설개발</t>
        </is>
      </c>
      <c r="N90" s="7" t="inlineStr">
        <is>
          <t>신축</t>
        </is>
      </c>
      <c r="O90" s="7" t="inlineStr">
        <is>
          <t>충청남도 당진시 석문면 새터길 43-21</t>
        </is>
      </c>
    </row>
    <row r="91">
      <c r="A91" s="7" t="inlineStr">
        <is>
          <t>충청남도</t>
        </is>
      </c>
      <c r="B91" s="7" t="inlineStr">
        <is>
          <t>당진시</t>
        </is>
      </c>
      <c r="C91" s="7" t="inlineStr">
        <is>
          <t>신평면 부수리 216-6 숙박시설 (***)</t>
        </is>
      </c>
      <c r="D91" s="7" t="inlineStr">
        <is>
          <t>2022-03-24</t>
        </is>
      </c>
      <c r="E91" s="7" t="n">
        <v>54</v>
      </c>
      <c r="F91" s="7" t="n">
        <v>303</v>
      </c>
      <c r="G91" s="7">
        <f>IF('0.입력칸'!$B$3="","",ROUND(F91/'0.입력칸'!$B$3,0))</f>
        <v/>
      </c>
      <c r="H91" s="7">
        <f>IF(OR('0.입력칸'!$B$3="",'0.입력칸'!$B$5=""),"",ROUND(G91*'0.입력칸'!$B$5,0))</f>
        <v/>
      </c>
      <c r="I91" s="7" t="inlineStr">
        <is>
          <t>있음</t>
        </is>
      </c>
      <c r="J91" s="7" t="inlineStr">
        <is>
          <t>시공사 (주)각림종합건설</t>
        </is>
      </c>
      <c r="K91" s="7" t="inlineStr">
        <is>
          <t>종합건축사사무소도시공간</t>
        </is>
      </c>
      <c r="L91" s="7" t="inlineStr"/>
      <c r="M91" s="7" t="inlineStr"/>
      <c r="N91" s="7" t="inlineStr">
        <is>
          <t>신축</t>
        </is>
      </c>
      <c r="O91" s="7" t="inlineStr">
        <is>
          <t>충청남도 당진시 신평면 부수리 216-7번지</t>
        </is>
      </c>
    </row>
    <row r="92">
      <c r="A92" s="7" t="inlineStr">
        <is>
          <t>충청남도</t>
        </is>
      </c>
      <c r="B92" s="7" t="inlineStr">
        <is>
          <t>당진시</t>
        </is>
      </c>
      <c r="C92" s="7" t="inlineStr">
        <is>
          <t>석문면 장고항리 1334 숙박시설</t>
        </is>
      </c>
      <c r="D92" s="7" t="inlineStr">
        <is>
          <t>2024-01-03</t>
        </is>
      </c>
      <c r="E92" s="7" t="n">
        <v>33</v>
      </c>
      <c r="F92" s="7" t="n">
        <v>194</v>
      </c>
      <c r="G92" s="7">
        <f>IF('0.입력칸'!$B$3="","",ROUND(F92/'0.입력칸'!$B$3,0))</f>
        <v/>
      </c>
      <c r="H92" s="7">
        <f>IF(OR('0.입력칸'!$B$3="",'0.입력칸'!$B$5=""),"",ROUND(G92*'0.입력칸'!$B$5,0))</f>
        <v/>
      </c>
      <c r="I92" s="7" t="inlineStr">
        <is>
          <t>있음</t>
        </is>
      </c>
      <c r="J92" s="7" t="inlineStr">
        <is>
          <t>시공사 (주)목인건축사사무소</t>
        </is>
      </c>
      <c r="K92" s="7" t="inlineStr">
        <is>
          <t>누리건축사사무소</t>
        </is>
      </c>
      <c r="L92" s="7" t="inlineStr">
        <is>
          <t>(주)목인건축사사무소</t>
        </is>
      </c>
      <c r="M92" s="7" t="inlineStr"/>
      <c r="N92" s="7" t="inlineStr">
        <is>
          <t>신축</t>
        </is>
      </c>
      <c r="O92" s="7" t="inlineStr">
        <is>
          <t>충청남도 당진시 석문면 장고항리 1334번지</t>
        </is>
      </c>
    </row>
    <row r="93">
      <c r="A93" s="6" t="inlineStr">
        <is>
          <t>충청남도</t>
        </is>
      </c>
      <c r="B93" s="6" t="inlineStr">
        <is>
          <t>서산시</t>
        </is>
      </c>
      <c r="C93" s="6" t="inlineStr">
        <is>
          <t>음암면 유계리 410-6 숙박시설 (***)</t>
        </is>
      </c>
      <c r="D93" s="6" t="inlineStr">
        <is>
          <t>2024-06-16</t>
        </is>
      </c>
      <c r="E93" s="6" t="n">
        <v>27</v>
      </c>
      <c r="F93" s="6" t="n">
        <v>528</v>
      </c>
      <c r="G93" s="6">
        <f>IF('0.입력칸'!$B$3="","",ROUND(F93/'0.입력칸'!$B$3,0))</f>
        <v/>
      </c>
      <c r="H93" s="6">
        <f>IF(OR('0.입력칸'!$B$3="",'0.입력칸'!$B$5=""),"",ROUND(G93*'0.입력칸'!$B$5,0))</f>
        <v/>
      </c>
      <c r="I93" s="6" t="inlineStr">
        <is>
          <t>없음</t>
        </is>
      </c>
      <c r="J93" s="6" t="inlineStr">
        <is>
          <t>설계사 반도건축사사무소</t>
        </is>
      </c>
      <c r="K93" s="6" t="inlineStr">
        <is>
          <t>반도건축사사무소</t>
        </is>
      </c>
      <c r="L93" s="6" t="inlineStr"/>
      <c r="M93" s="6" t="inlineStr"/>
      <c r="N93" s="6" t="inlineStr">
        <is>
          <t>신축</t>
        </is>
      </c>
      <c r="O93" s="6" t="inlineStr">
        <is>
          <t>충청남도 서산시 음암면 유계리 410-6번지</t>
        </is>
      </c>
    </row>
    <row r="94">
      <c r="A94" s="7" t="inlineStr">
        <is>
          <t>충청남도</t>
        </is>
      </c>
      <c r="B94" s="7" t="inlineStr">
        <is>
          <t>아산시</t>
        </is>
      </c>
      <c r="C94" s="7" t="inlineStr">
        <is>
          <t>온천동 202-18 숙박시설 (예상국)</t>
        </is>
      </c>
      <c r="D94" s="7" t="inlineStr">
        <is>
          <t>2024-03-25</t>
        </is>
      </c>
      <c r="E94" s="7" t="n">
        <v>30</v>
      </c>
      <c r="F94" s="7" t="n">
        <v>1145</v>
      </c>
      <c r="G94" s="7">
        <f>IF('0.입력칸'!$B$3="","",ROUND(F94/'0.입력칸'!$B$3,0))</f>
        <v/>
      </c>
      <c r="H94" s="7">
        <f>IF(OR('0.입력칸'!$B$3="",'0.입력칸'!$B$5=""),"",ROUND(G94*'0.입력칸'!$B$5,0))</f>
        <v/>
      </c>
      <c r="I94" s="7" t="inlineStr">
        <is>
          <t>있음</t>
        </is>
      </c>
      <c r="J94" s="7" t="inlineStr">
        <is>
          <t>시공사 (주)주성건설산업</t>
        </is>
      </c>
      <c r="K94" s="7" t="inlineStr">
        <is>
          <t>이가건축사사무소</t>
        </is>
      </c>
      <c r="L94" s="7" t="inlineStr">
        <is>
          <t>이가건축사사무소</t>
        </is>
      </c>
      <c r="M94" s="7" t="inlineStr"/>
      <c r="N94" s="7" t="inlineStr">
        <is>
          <t>신축</t>
        </is>
      </c>
      <c r="O94" s="7" t="inlineStr">
        <is>
          <t>충청남도 아산시 남산로6번길 48 (온천동)</t>
        </is>
      </c>
    </row>
    <row r="95">
      <c r="A95" s="6" t="inlineStr">
        <is>
          <t>충청남도</t>
        </is>
      </c>
      <c r="B95" s="6" t="inlineStr">
        <is>
          <t>천안시</t>
        </is>
      </c>
      <c r="C95" s="6" t="inlineStr">
        <is>
          <t>성정동 1389 숙박시설 (***)</t>
        </is>
      </c>
      <c r="D95" s="6" t="inlineStr">
        <is>
          <t>2024-07-13</t>
        </is>
      </c>
      <c r="E95" s="6" t="n">
        <v>26</v>
      </c>
      <c r="F95" s="6" t="n">
        <v>734</v>
      </c>
      <c r="G95" s="6">
        <f>IF('0.입력칸'!$B$3="","",ROUND(F95/'0.입력칸'!$B$3,0))</f>
        <v/>
      </c>
      <c r="H95" s="6">
        <f>IF(OR('0.입력칸'!$B$3="",'0.입력칸'!$B$5=""),"",ROUND(G95*'0.입력칸'!$B$5,0))</f>
        <v/>
      </c>
      <c r="I95" s="6" t="inlineStr">
        <is>
          <t>없음</t>
        </is>
      </c>
      <c r="J95" s="6" t="inlineStr">
        <is>
          <t>설계사 (주)종합건축사사무소 토우</t>
        </is>
      </c>
      <c r="K95" s="6" t="inlineStr">
        <is>
          <t>(주)종합건축사사무소 토우</t>
        </is>
      </c>
      <c r="L95" s="6" t="inlineStr"/>
      <c r="M95" s="6" t="inlineStr"/>
      <c r="N95" s="6" t="inlineStr">
        <is>
          <t>신축</t>
        </is>
      </c>
      <c r="O95" s="6" t="inlineStr">
        <is>
          <t>충청남도 천안시 서북구 성정동 1389번지</t>
        </is>
      </c>
    </row>
    <row r="96">
      <c r="A96" s="7" t="inlineStr">
        <is>
          <t>충청남도</t>
        </is>
      </c>
      <c r="B96" s="7" t="inlineStr">
        <is>
          <t>태안군</t>
        </is>
      </c>
      <c r="C96" s="7" t="inlineStr">
        <is>
          <t>남면 원창리 512-96 숙박시설 (***)</t>
        </is>
      </c>
      <c r="D96" s="7" t="inlineStr">
        <is>
          <t>2024-04-15</t>
        </is>
      </c>
      <c r="E96" s="7" t="n">
        <v>29</v>
      </c>
      <c r="F96" s="7" t="n">
        <v>528</v>
      </c>
      <c r="G96" s="7">
        <f>IF('0.입력칸'!$B$3="","",ROUND(F96/'0.입력칸'!$B$3,0))</f>
        <v/>
      </c>
      <c r="H96" s="7">
        <f>IF(OR('0.입력칸'!$B$3="",'0.입력칸'!$B$5=""),"",ROUND(G96*'0.입력칸'!$B$5,0))</f>
        <v/>
      </c>
      <c r="I96" s="7" t="inlineStr">
        <is>
          <t>있음</t>
        </is>
      </c>
      <c r="J96" s="7" t="inlineStr">
        <is>
          <t>시공사 (주)세움</t>
        </is>
      </c>
      <c r="K96" s="7" t="inlineStr">
        <is>
          <t>로뎀빌</t>
        </is>
      </c>
      <c r="L96" s="7" t="inlineStr">
        <is>
          <t>로뎀빌</t>
        </is>
      </c>
      <c r="M96" s="7" t="inlineStr"/>
      <c r="N96" s="7" t="inlineStr">
        <is>
          <t>신축</t>
        </is>
      </c>
      <c r="O96" s="7" t="inlineStr">
        <is>
          <t>충청남도 태안군 남면 청포대길 29</t>
        </is>
      </c>
    </row>
    <row r="97">
      <c r="A97" s="6" t="inlineStr">
        <is>
          <t>충청남도</t>
        </is>
      </c>
      <c r="B97" s="6" t="inlineStr">
        <is>
          <t>태안군</t>
        </is>
      </c>
      <c r="C97" s="6" t="inlineStr">
        <is>
          <t>소원면 의항리 978-49 숙박시설</t>
        </is>
      </c>
      <c r="D97" s="6" t="inlineStr">
        <is>
          <t>2027-03-04</t>
        </is>
      </c>
      <c r="E97" s="6" t="n">
        <v>-5</v>
      </c>
      <c r="F97" s="6" t="n">
        <v>259</v>
      </c>
      <c r="G97" s="6">
        <f>IF('0.입력칸'!$B$3="","",ROUND(F97/'0.입력칸'!$B$3,0))</f>
        <v/>
      </c>
      <c r="H97" s="6">
        <f>IF(OR('0.입력칸'!$B$3="",'0.입력칸'!$B$5=""),"",ROUND(G97*'0.입력칸'!$B$5,0))</f>
        <v/>
      </c>
      <c r="I97" s="6" t="inlineStr">
        <is>
          <t>없음</t>
        </is>
      </c>
      <c r="J97" s="6" t="inlineStr">
        <is>
          <t>건축주 (주)엘리트렌탈</t>
        </is>
      </c>
      <c r="K97" s="6" t="inlineStr"/>
      <c r="L97" s="6" t="inlineStr"/>
      <c r="M97" s="6" t="inlineStr">
        <is>
          <t>(주)엘리트렌탈</t>
        </is>
      </c>
      <c r="N97" s="6" t="inlineStr">
        <is>
          <t>신축</t>
        </is>
      </c>
      <c r="O97" s="6" t="inlineStr">
        <is>
          <t>충청남도 태안군 소원면 의항리 978-49번지</t>
        </is>
      </c>
    </row>
    <row r="98">
      <c r="A98" s="6" t="inlineStr">
        <is>
          <t>충청북도</t>
        </is>
      </c>
      <c r="B98" s="6" t="inlineStr">
        <is>
          <t>영동군</t>
        </is>
      </c>
      <c r="C98" s="6" t="inlineStr">
        <is>
          <t>용산면 백자전리 243 숙박시설 (***)</t>
        </is>
      </c>
      <c r="D98" s="6" t="inlineStr">
        <is>
          <t>2024-08-16</t>
        </is>
      </c>
      <c r="E98" s="6" t="n">
        <v>25</v>
      </c>
      <c r="F98" s="6" t="n">
        <v>394</v>
      </c>
      <c r="G98" s="6">
        <f>IF('0.입력칸'!$B$3="","",ROUND(F98/'0.입력칸'!$B$3,0))</f>
        <v/>
      </c>
      <c r="H98" s="6">
        <f>IF(OR('0.입력칸'!$B$3="",'0.입력칸'!$B$5=""),"",ROUND(G98*'0.입력칸'!$B$5,0))</f>
        <v/>
      </c>
      <c r="I98" s="6" t="inlineStr">
        <is>
          <t>없음</t>
        </is>
      </c>
      <c r="J98" s="6" t="inlineStr">
        <is>
          <t>설계사 마루건축사사무소</t>
        </is>
      </c>
      <c r="K98" s="6" t="inlineStr">
        <is>
          <t>마루건축사사무소</t>
        </is>
      </c>
      <c r="L98" s="6" t="inlineStr"/>
      <c r="M98" s="6" t="inlineStr"/>
      <c r="N98" s="6" t="inlineStr">
        <is>
          <t>신축</t>
        </is>
      </c>
      <c r="O98" s="6" t="inlineStr">
        <is>
          <t>충청북도 영동군 용산면 백자전리 243번지</t>
        </is>
      </c>
    </row>
    <row r="99">
      <c r="A99" s="6" t="inlineStr">
        <is>
          <t>충청북도</t>
        </is>
      </c>
      <c r="B99" s="6" t="inlineStr">
        <is>
          <t>음성군</t>
        </is>
      </c>
      <c r="C99" s="6" t="inlineStr">
        <is>
          <t>대소면 오류리 808 숙박시설 (***)-B</t>
        </is>
      </c>
      <c r="D99" s="6" t="inlineStr">
        <is>
          <t>2025-04-18</t>
        </is>
      </c>
      <c r="E99" s="6" t="n">
        <v>17</v>
      </c>
      <c r="F99" s="6" t="n">
        <v>599</v>
      </c>
      <c r="G99" s="6">
        <f>IF('0.입력칸'!$B$3="","",ROUND(F99/'0.입력칸'!$B$3,0))</f>
        <v/>
      </c>
      <c r="H99" s="6">
        <f>IF(OR('0.입력칸'!$B$3="",'0.입력칸'!$B$5=""),"",ROUND(G99*'0.입력칸'!$B$5,0))</f>
        <v/>
      </c>
      <c r="I99" s="6" t="inlineStr">
        <is>
          <t>없음</t>
        </is>
      </c>
      <c r="J99" s="6" t="inlineStr">
        <is>
          <t>설계사 (주)이루안건축사사무소</t>
        </is>
      </c>
      <c r="K99" s="6" t="inlineStr">
        <is>
          <t>(주)이루안건축사사무소</t>
        </is>
      </c>
      <c r="L99" s="6" t="inlineStr"/>
      <c r="M99" s="6" t="inlineStr"/>
      <c r="N99" s="6" t="inlineStr">
        <is>
          <t>신축</t>
        </is>
      </c>
      <c r="O99" s="6" t="inlineStr">
        <is>
          <t>충청북도 음성군 대소면 대물1길 5-4</t>
        </is>
      </c>
    </row>
    <row r="100">
      <c r="A100" s="6" t="inlineStr">
        <is>
          <t>경상북도</t>
        </is>
      </c>
      <c r="B100" s="6" t="inlineStr">
        <is>
          <t>경주시</t>
        </is>
      </c>
      <c r="C100" s="6" t="inlineStr">
        <is>
          <t>양남면 읍천리 400-1 숙박시설 (***)</t>
        </is>
      </c>
      <c r="D100" s="6" t="inlineStr">
        <is>
          <t>2022-01-05</t>
        </is>
      </c>
      <c r="E100" s="6" t="n">
        <v>57</v>
      </c>
      <c r="F100" s="6" t="n">
        <v>1360</v>
      </c>
      <c r="G100" s="6">
        <f>IF('0.입력칸'!$B$3="","",ROUND(F100/'0.입력칸'!$B$3,0))</f>
        <v/>
      </c>
      <c r="H100" s="6">
        <f>IF(OR('0.입력칸'!$B$3="",'0.입력칸'!$B$5=""),"",ROUND(G100*'0.입력칸'!$B$5,0))</f>
        <v/>
      </c>
      <c r="I100" s="6" t="inlineStr">
        <is>
          <t>없음</t>
        </is>
      </c>
      <c r="J100" s="6" t="inlineStr">
        <is>
          <t>설계사 신영건축사사무소</t>
        </is>
      </c>
      <c r="K100" s="6" t="inlineStr">
        <is>
          <t>신영건축사사무소</t>
        </is>
      </c>
      <c r="L100" s="6" t="inlineStr"/>
      <c r="M100" s="6" t="inlineStr"/>
      <c r="N100" s="6" t="inlineStr">
        <is>
          <t>증축</t>
        </is>
      </c>
      <c r="O100" s="6" t="inlineStr">
        <is>
          <t>경상북도 경주시 양남면 동해안로 512</t>
        </is>
      </c>
    </row>
    <row r="101">
      <c r="A101" s="6" t="inlineStr">
        <is>
          <t>경상북도</t>
        </is>
      </c>
      <c r="B101" s="6" t="inlineStr">
        <is>
          <t>경주시</t>
        </is>
      </c>
      <c r="C101" s="6" t="inlineStr">
        <is>
          <t>양남면 하서리 190-1 숙박시설 (***)</t>
        </is>
      </c>
      <c r="D101" s="6" t="inlineStr">
        <is>
          <t>2022-05-30</t>
        </is>
      </c>
      <c r="E101" s="6" t="n">
        <v>52</v>
      </c>
      <c r="F101" s="6" t="n">
        <v>1256</v>
      </c>
      <c r="G101" s="6">
        <f>IF('0.입력칸'!$B$3="","",ROUND(F101/'0.입력칸'!$B$3,0))</f>
        <v/>
      </c>
      <c r="H101" s="6">
        <f>IF(OR('0.입력칸'!$B$3="",'0.입력칸'!$B$5=""),"",ROUND(G101*'0.입력칸'!$B$5,0))</f>
        <v/>
      </c>
      <c r="I101" s="6" t="inlineStr">
        <is>
          <t>없음</t>
        </is>
      </c>
      <c r="J101" s="6" t="inlineStr">
        <is>
          <t>설계사 신영건축사사무소</t>
        </is>
      </c>
      <c r="K101" s="6" t="inlineStr">
        <is>
          <t>신영건축사사무소</t>
        </is>
      </c>
      <c r="L101" s="6" t="inlineStr"/>
      <c r="M101" s="6" t="inlineStr"/>
      <c r="N101" s="6" t="inlineStr">
        <is>
          <t>증축</t>
        </is>
      </c>
      <c r="O101" s="6" t="inlineStr">
        <is>
          <t>경상북도 경주시 양남면 동해안로 415-5</t>
        </is>
      </c>
    </row>
    <row r="102">
      <c r="A102" s="6" t="inlineStr">
        <is>
          <t>경상북도</t>
        </is>
      </c>
      <c r="B102" s="6" t="inlineStr">
        <is>
          <t>경주시</t>
        </is>
      </c>
      <c r="C102" s="6" t="inlineStr">
        <is>
          <t>안강리 숙박시설 (***)</t>
        </is>
      </c>
      <c r="D102" s="6" t="inlineStr">
        <is>
          <t>2024-10-22</t>
        </is>
      </c>
      <c r="E102" s="6" t="n">
        <v>23</v>
      </c>
      <c r="F102" s="6" t="n">
        <v>984</v>
      </c>
      <c r="G102" s="6">
        <f>IF('0.입력칸'!$B$3="","",ROUND(F102/'0.입력칸'!$B$3,0))</f>
        <v/>
      </c>
      <c r="H102" s="6">
        <f>IF(OR('0.입력칸'!$B$3="",'0.입력칸'!$B$5=""),"",ROUND(G102*'0.입력칸'!$B$5,0))</f>
        <v/>
      </c>
      <c r="I102" s="6" t="inlineStr">
        <is>
          <t>없음</t>
        </is>
      </c>
      <c r="J102" s="6" t="inlineStr">
        <is>
          <t>설계사 큰가람 건축사사무소</t>
        </is>
      </c>
      <c r="K102" s="6" t="inlineStr">
        <is>
          <t>큰가람 건축사사무소</t>
        </is>
      </c>
      <c r="L102" s="6" t="inlineStr"/>
      <c r="M102" s="6" t="inlineStr"/>
      <c r="N102" s="6" t="inlineStr">
        <is>
          <t>신축</t>
        </is>
      </c>
      <c r="O102" s="6" t="inlineStr">
        <is>
          <t>경상북도 경주시 안강읍 북부리2길 3</t>
        </is>
      </c>
    </row>
    <row r="103">
      <c r="A103" s="6" t="inlineStr">
        <is>
          <t>경상북도</t>
        </is>
      </c>
      <c r="B103" s="6" t="inlineStr">
        <is>
          <t>경주시</t>
        </is>
      </c>
      <c r="C103" s="6" t="inlineStr">
        <is>
          <t>노동동 49-9 숙박시설</t>
        </is>
      </c>
      <c r="D103" s="6" t="inlineStr">
        <is>
          <t>2027-02-13</t>
        </is>
      </c>
      <c r="E103" s="6" t="n">
        <v>-5</v>
      </c>
      <c r="F103" s="6" t="n">
        <v>363</v>
      </c>
      <c r="G103" s="6">
        <f>IF('0.입력칸'!$B$3="","",ROUND(F103/'0.입력칸'!$B$3,0))</f>
        <v/>
      </c>
      <c r="H103" s="6">
        <f>IF(OR('0.입력칸'!$B$3="",'0.입력칸'!$B$5=""),"",ROUND(G103*'0.입력칸'!$B$5,0))</f>
        <v/>
      </c>
      <c r="I103" s="6" t="inlineStr">
        <is>
          <t>없음</t>
        </is>
      </c>
      <c r="J103" s="6" t="inlineStr">
        <is>
          <t>설계사 건축사사무소마루</t>
        </is>
      </c>
      <c r="K103" s="6" t="inlineStr">
        <is>
          <t>건축사사무소마루</t>
        </is>
      </c>
      <c r="L103" s="6" t="inlineStr"/>
      <c r="M103" s="6" t="inlineStr"/>
      <c r="N103" s="6" t="inlineStr">
        <is>
          <t>신축</t>
        </is>
      </c>
      <c r="O103" s="6" t="inlineStr">
        <is>
          <t>경상북도 경주시 중앙로16번길 5-6 (노동동)</t>
        </is>
      </c>
    </row>
    <row r="104">
      <c r="A104" s="6" t="inlineStr">
        <is>
          <t>경상북도</t>
        </is>
      </c>
      <c r="B104" s="6" t="inlineStr">
        <is>
          <t>경주시</t>
        </is>
      </c>
      <c r="C104" s="6" t="inlineStr">
        <is>
          <t>성건동 208-2 숙박시설</t>
        </is>
      </c>
      <c r="D104" s="6" t="inlineStr">
        <is>
          <t>2026-04-08</t>
        </is>
      </c>
      <c r="E104" s="6" t="n">
        <v>5</v>
      </c>
      <c r="F104" s="6" t="n">
        <v>144</v>
      </c>
      <c r="G104" s="6">
        <f>IF('0.입력칸'!$B$3="","",ROUND(F104/'0.입력칸'!$B$3,0))</f>
        <v/>
      </c>
      <c r="H104" s="6">
        <f>IF(OR('0.입력칸'!$B$3="",'0.입력칸'!$B$5=""),"",ROUND(G104*'0.입력칸'!$B$5,0))</f>
        <v/>
      </c>
      <c r="I104" s="6" t="inlineStr">
        <is>
          <t>없음</t>
        </is>
      </c>
      <c r="J104" s="6" t="inlineStr">
        <is>
          <t>설계사 유현건축사사무소</t>
        </is>
      </c>
      <c r="K104" s="6" t="inlineStr">
        <is>
          <t>유현건축사사무소</t>
        </is>
      </c>
      <c r="L104" s="6" t="inlineStr"/>
      <c r="M104" s="6" t="inlineStr"/>
      <c r="N104" s="6" t="inlineStr">
        <is>
          <t>증축</t>
        </is>
      </c>
      <c r="O104" s="6" t="inlineStr">
        <is>
          <t>경상북도 경주시 화랑로47번길 16 (성건동)</t>
        </is>
      </c>
    </row>
    <row r="105">
      <c r="A105" s="6" t="inlineStr">
        <is>
          <t>경상북도</t>
        </is>
      </c>
      <c r="B105" s="6" t="inlineStr">
        <is>
          <t>문경시</t>
        </is>
      </c>
      <c r="C105" s="6" t="inlineStr">
        <is>
          <t>점촌동 131-3 숙박시설 대수선</t>
        </is>
      </c>
      <c r="D105" s="6" t="inlineStr">
        <is>
          <t>2026-06-11</t>
        </is>
      </c>
      <c r="E105" s="6" t="n">
        <v>3</v>
      </c>
      <c r="F105" s="6" t="n">
        <v>1493</v>
      </c>
      <c r="G105" s="6">
        <f>IF('0.입력칸'!$B$3="","",ROUND(F105/'0.입력칸'!$B$3,0))</f>
        <v/>
      </c>
      <c r="H105" s="6">
        <f>IF(OR('0.입력칸'!$B$3="",'0.입력칸'!$B$5=""),"",ROUND(G105*'0.입력칸'!$B$5,0))</f>
        <v/>
      </c>
      <c r="I105" s="6" t="inlineStr">
        <is>
          <t>없음</t>
        </is>
      </c>
      <c r="J105" s="6" t="inlineStr">
        <is>
          <t>설계사 예도건축사사무소</t>
        </is>
      </c>
      <c r="K105" s="6" t="inlineStr">
        <is>
          <t>예도건축사사무소</t>
        </is>
      </c>
      <c r="L105" s="6" t="inlineStr"/>
      <c r="M105" s="6" t="inlineStr"/>
      <c r="N105" s="6" t="inlineStr">
        <is>
          <t>대수선</t>
        </is>
      </c>
      <c r="O105" s="6" t="inlineStr">
        <is>
          <t>경상북도 문경시 중앙7길 42 (점촌동)</t>
        </is>
      </c>
    </row>
    <row r="106">
      <c r="A106" s="6" t="inlineStr">
        <is>
          <t>경상북도</t>
        </is>
      </c>
      <c r="B106" s="6" t="inlineStr">
        <is>
          <t>영덕군</t>
        </is>
      </c>
      <c r="C106" s="6" t="inlineStr">
        <is>
          <t>병곡면 병곡리 4 숙박시설 (***)</t>
        </is>
      </c>
      <c r="D106" s="6" t="inlineStr">
        <is>
          <t>2023-05-31</t>
        </is>
      </c>
      <c r="E106" s="6" t="n">
        <v>40</v>
      </c>
      <c r="F106" s="6" t="n">
        <v>289</v>
      </c>
      <c r="G106" s="6">
        <f>IF('0.입력칸'!$B$3="","",ROUND(F106/'0.입력칸'!$B$3,0))</f>
        <v/>
      </c>
      <c r="H106" s="6">
        <f>IF(OR('0.입력칸'!$B$3="",'0.입력칸'!$B$5=""),"",ROUND(G106*'0.입력칸'!$B$5,0))</f>
        <v/>
      </c>
      <c r="I106" s="6" t="inlineStr">
        <is>
          <t>없음</t>
        </is>
      </c>
      <c r="J106" s="6" t="inlineStr">
        <is>
          <t>설계사 짓다건축사사무소</t>
        </is>
      </c>
      <c r="K106" s="6" t="inlineStr">
        <is>
          <t>짓다건축사사무소</t>
        </is>
      </c>
      <c r="L106" s="6" t="inlineStr"/>
      <c r="M106" s="6" t="inlineStr"/>
      <c r="N106" s="6" t="inlineStr">
        <is>
          <t>신축</t>
        </is>
      </c>
      <c r="O106" s="6" t="inlineStr">
        <is>
          <t>경상북도 영덕군 병곡면 병곡리 4번지</t>
        </is>
      </c>
    </row>
    <row r="107">
      <c r="A107" s="7" t="inlineStr">
        <is>
          <t>경상북도</t>
        </is>
      </c>
      <c r="B107" s="7" t="inlineStr">
        <is>
          <t>영덕군</t>
        </is>
      </c>
      <c r="C107" s="7" t="inlineStr">
        <is>
          <t>영덕읍 대부리 426-10 숙박시설 (주식회사하일마케팅)</t>
        </is>
      </c>
      <c r="D107" s="7" t="inlineStr">
        <is>
          <t>2022-10-17</t>
        </is>
      </c>
      <c r="E107" s="7" t="n">
        <v>47</v>
      </c>
      <c r="F107" s="7" t="n">
        <v>93</v>
      </c>
      <c r="G107" s="7">
        <f>IF('0.입력칸'!$B$3="","",ROUND(F107/'0.입력칸'!$B$3,0))</f>
        <v/>
      </c>
      <c r="H107" s="7">
        <f>IF(OR('0.입력칸'!$B$3="",'0.입력칸'!$B$5=""),"",ROUND(G107*'0.입력칸'!$B$5,0))</f>
        <v/>
      </c>
      <c r="I107" s="7" t="inlineStr">
        <is>
          <t>있음</t>
        </is>
      </c>
      <c r="J107" s="7" t="inlineStr">
        <is>
          <t>시공사 (주)백년의약속</t>
        </is>
      </c>
      <c r="K107" s="7" t="inlineStr">
        <is>
          <t>모던건축사사무소</t>
        </is>
      </c>
      <c r="L107" s="7" t="inlineStr"/>
      <c r="M107" s="7" t="inlineStr">
        <is>
          <t>(주)백년의약속</t>
        </is>
      </c>
      <c r="N107" s="7" t="inlineStr">
        <is>
          <t>증축</t>
        </is>
      </c>
      <c r="O107" s="7" t="inlineStr">
        <is>
          <t>경상북도 영덕군 영덕읍 영덕대게로 589</t>
        </is>
      </c>
    </row>
    <row r="108">
      <c r="A108" s="7" t="inlineStr">
        <is>
          <t>경상북도</t>
        </is>
      </c>
      <c r="B108" s="7" t="inlineStr">
        <is>
          <t>울릉군</t>
        </is>
      </c>
      <c r="C108" s="7" t="inlineStr">
        <is>
          <t>울릉읍 저동리 18-1 숙박시설 (***)</t>
        </is>
      </c>
      <c r="D108" s="7" t="inlineStr">
        <is>
          <t>2021-09-30</t>
        </is>
      </c>
      <c r="E108" s="7" t="n">
        <v>60</v>
      </c>
      <c r="F108" s="7" t="n">
        <v>985</v>
      </c>
      <c r="G108" s="7">
        <f>IF('0.입력칸'!$B$3="","",ROUND(F108/'0.입력칸'!$B$3,0))</f>
        <v/>
      </c>
      <c r="H108" s="7">
        <f>IF(OR('0.입력칸'!$B$3="",'0.입력칸'!$B$5=""),"",ROUND(G108*'0.입력칸'!$B$5,0))</f>
        <v/>
      </c>
      <c r="I108" s="7" t="inlineStr">
        <is>
          <t>있음</t>
        </is>
      </c>
      <c r="J108" s="7" t="inlineStr">
        <is>
          <t>시공사 (주)미강건설</t>
        </is>
      </c>
      <c r="K108" s="7" t="inlineStr"/>
      <c r="L108" s="7" t="inlineStr"/>
      <c r="M108" s="7" t="inlineStr"/>
      <c r="N108" s="7" t="inlineStr">
        <is>
          <t>증축</t>
        </is>
      </c>
      <c r="O108" s="7" t="inlineStr">
        <is>
          <t>경상북도 울릉군 울릉읍 울릉순환로 31-19</t>
        </is>
      </c>
    </row>
    <row r="109">
      <c r="A109" s="7" t="inlineStr">
        <is>
          <t>경상북도</t>
        </is>
      </c>
      <c r="B109" s="7" t="inlineStr">
        <is>
          <t>울릉군</t>
        </is>
      </c>
      <c r="C109" s="7" t="inlineStr">
        <is>
          <t>북면 천부리 316-1 숙박시설</t>
        </is>
      </c>
      <c r="D109" s="7" t="inlineStr">
        <is>
          <t>2024-07-11</t>
        </is>
      </c>
      <c r="E109" s="7" t="n">
        <v>26</v>
      </c>
      <c r="F109" s="7" t="n">
        <v>959</v>
      </c>
      <c r="G109" s="7">
        <f>IF('0.입력칸'!$B$3="","",ROUND(F109/'0.입력칸'!$B$3,0))</f>
        <v/>
      </c>
      <c r="H109" s="7">
        <f>IF(OR('0.입력칸'!$B$3="",'0.입력칸'!$B$5=""),"",ROUND(G109*'0.입력칸'!$B$5,0))</f>
        <v/>
      </c>
      <c r="I109" s="7" t="inlineStr">
        <is>
          <t>있음</t>
        </is>
      </c>
      <c r="J109" s="7" t="inlineStr">
        <is>
          <t>시공사 (주)삼우건설</t>
        </is>
      </c>
      <c r="K109" s="7" t="inlineStr">
        <is>
          <t>건축사사무소아삶공</t>
        </is>
      </c>
      <c r="L109" s="7" t="inlineStr"/>
      <c r="M109" s="7" t="inlineStr"/>
      <c r="N109" s="7" t="inlineStr">
        <is>
          <t>신축</t>
        </is>
      </c>
      <c r="O109" s="7" t="inlineStr">
        <is>
          <t>경상북도 울릉군 북면 천부리 316-1번지</t>
        </is>
      </c>
    </row>
    <row r="110">
      <c r="A110" s="7" t="inlineStr">
        <is>
          <t>경상북도</t>
        </is>
      </c>
      <c r="B110" s="7" t="inlineStr">
        <is>
          <t>울릉군</t>
        </is>
      </c>
      <c r="C110" s="7" t="inlineStr">
        <is>
          <t>서면 태하리 477-1 숙박시설</t>
        </is>
      </c>
      <c r="D110" s="7" t="inlineStr">
        <is>
          <t>2021-12-17</t>
        </is>
      </c>
      <c r="E110" s="7" t="n">
        <v>57</v>
      </c>
      <c r="F110" s="7" t="n">
        <v>919</v>
      </c>
      <c r="G110" s="7">
        <f>IF('0.입력칸'!$B$3="","",ROUND(F110/'0.입력칸'!$B$3,0))</f>
        <v/>
      </c>
      <c r="H110" s="7">
        <f>IF(OR('0.입력칸'!$B$3="",'0.입력칸'!$B$5=""),"",ROUND(G110*'0.입력칸'!$B$5,0))</f>
        <v/>
      </c>
      <c r="I110" s="7" t="inlineStr">
        <is>
          <t>있음</t>
        </is>
      </c>
      <c r="J110" s="7" t="inlineStr">
        <is>
          <t>시공사 이에스종합건설(주)</t>
        </is>
      </c>
      <c r="K110" s="7" t="inlineStr">
        <is>
          <t>건축사사무소아삶공</t>
        </is>
      </c>
      <c r="L110" s="7" t="inlineStr">
        <is>
          <t>건축사사무소아삶공</t>
        </is>
      </c>
      <c r="M110" s="7" t="inlineStr"/>
      <c r="N110" s="7" t="inlineStr">
        <is>
          <t>신축</t>
        </is>
      </c>
      <c r="O110" s="7" t="inlineStr">
        <is>
          <t>경상북도 울릉군 서면 태하리 477-1번지</t>
        </is>
      </c>
    </row>
    <row r="111">
      <c r="A111" s="7" t="inlineStr">
        <is>
          <t>경상북도</t>
        </is>
      </c>
      <c r="B111" s="7" t="inlineStr">
        <is>
          <t>울릉군</t>
        </is>
      </c>
      <c r="C111" s="7" t="inlineStr">
        <is>
          <t>현포리 숙박시설</t>
        </is>
      </c>
      <c r="D111" s="7" t="inlineStr">
        <is>
          <t>2025-04-30</t>
        </is>
      </c>
      <c r="E111" s="7" t="n">
        <v>17</v>
      </c>
      <c r="F111" s="7" t="n">
        <v>694</v>
      </c>
      <c r="G111" s="7">
        <f>IF('0.입력칸'!$B$3="","",ROUND(F111/'0.입력칸'!$B$3,0))</f>
        <v/>
      </c>
      <c r="H111" s="7">
        <f>IF(OR('0.입력칸'!$B$3="",'0.입력칸'!$B$5=""),"",ROUND(G111*'0.입력칸'!$B$5,0))</f>
        <v/>
      </c>
      <c r="I111" s="7" t="inlineStr">
        <is>
          <t>있음</t>
        </is>
      </c>
      <c r="J111" s="7" t="inlineStr">
        <is>
          <t>시공사 (주)태진건설산업</t>
        </is>
      </c>
      <c r="K111" s="7" t="inlineStr">
        <is>
          <t>(주)무진종합건축사사무소</t>
        </is>
      </c>
      <c r="L111" s="7" t="inlineStr">
        <is>
          <t>(주)무진종합건축사사무소</t>
        </is>
      </c>
      <c r="M111" s="7" t="inlineStr"/>
      <c r="N111" s="7" t="inlineStr">
        <is>
          <t>신축</t>
        </is>
      </c>
      <c r="O111" s="7" t="inlineStr">
        <is>
          <t>경상북도 울릉군 북면 현포리 714-1번지</t>
        </is>
      </c>
    </row>
    <row r="112">
      <c r="A112" s="6" t="inlineStr">
        <is>
          <t>경상북도</t>
        </is>
      </c>
      <c r="B112" s="6" t="inlineStr">
        <is>
          <t>울릉군</t>
        </is>
      </c>
      <c r="C112" s="6" t="inlineStr">
        <is>
          <t>북면 천부리 3380000 숙박시설 (주식회사삼주)</t>
        </is>
      </c>
      <c r="D112" s="6" t="inlineStr">
        <is>
          <t>2025-07-30</t>
        </is>
      </c>
      <c r="E112" s="6" t="n">
        <v>14</v>
      </c>
      <c r="F112" s="6" t="n">
        <v>298</v>
      </c>
      <c r="G112" s="6">
        <f>IF('0.입력칸'!$B$3="","",ROUND(F112/'0.입력칸'!$B$3,0))</f>
        <v/>
      </c>
      <c r="H112" s="6">
        <f>IF(OR('0.입력칸'!$B$3="",'0.입력칸'!$B$5=""),"",ROUND(G112*'0.입력칸'!$B$5,0))</f>
        <v/>
      </c>
      <c r="I112" s="6" t="inlineStr">
        <is>
          <t>없음</t>
        </is>
      </c>
      <c r="J112" s="6" t="inlineStr">
        <is>
          <t>설계사 건축사사무소프로세스</t>
        </is>
      </c>
      <c r="K112" s="6" t="inlineStr">
        <is>
          <t>건축사사무소프로세스</t>
        </is>
      </c>
      <c r="L112" s="6" t="inlineStr"/>
      <c r="M112" s="6" t="inlineStr">
        <is>
          <t>(주)삼주</t>
        </is>
      </c>
      <c r="N112" s="6" t="inlineStr">
        <is>
          <t>신축</t>
        </is>
      </c>
      <c r="O112" s="6" t="inlineStr">
        <is>
          <t>경상북도 울릉군 북면 울릉순환로 3322</t>
        </is>
      </c>
    </row>
    <row r="113">
      <c r="A113" s="7" t="inlineStr">
        <is>
          <t>경상북도</t>
        </is>
      </c>
      <c r="B113" s="7" t="inlineStr">
        <is>
          <t>울릉군</t>
        </is>
      </c>
      <c r="C113" s="7" t="inlineStr">
        <is>
          <t>북면 천부리 316-5 숙박시설</t>
        </is>
      </c>
      <c r="D113" s="7" t="inlineStr">
        <is>
          <t>2024-07-12</t>
        </is>
      </c>
      <c r="E113" s="7" t="n">
        <v>26</v>
      </c>
      <c r="F113" s="7" t="n">
        <v>288</v>
      </c>
      <c r="G113" s="7">
        <f>IF('0.입력칸'!$B$3="","",ROUND(F113/'0.입력칸'!$B$3,0))</f>
        <v/>
      </c>
      <c r="H113" s="7">
        <f>IF(OR('0.입력칸'!$B$3="",'0.입력칸'!$B$5=""),"",ROUND(G113*'0.입력칸'!$B$5,0))</f>
        <v/>
      </c>
      <c r="I113" s="7" t="inlineStr">
        <is>
          <t>있음</t>
        </is>
      </c>
      <c r="J113" s="7" t="inlineStr">
        <is>
          <t>시공사 (주)삼우건설</t>
        </is>
      </c>
      <c r="K113" s="7" t="inlineStr">
        <is>
          <t>건축사사무소아삶공</t>
        </is>
      </c>
      <c r="L113" s="7" t="inlineStr">
        <is>
          <t>건축사사무소아삶공</t>
        </is>
      </c>
      <c r="M113" s="7" t="inlineStr"/>
      <c r="N113" s="7" t="inlineStr">
        <is>
          <t>신축</t>
        </is>
      </c>
      <c r="O113" s="7" t="inlineStr">
        <is>
          <t>경상북도 울릉군 북면 천부리 316번지</t>
        </is>
      </c>
    </row>
    <row r="114">
      <c r="A114" s="7" t="inlineStr">
        <is>
          <t>경상북도</t>
        </is>
      </c>
      <c r="B114" s="7" t="inlineStr">
        <is>
          <t>울릉군</t>
        </is>
      </c>
      <c r="C114" s="7" t="inlineStr">
        <is>
          <t>울릉읍 저동리 447-9 숙박시설 (***)</t>
        </is>
      </c>
      <c r="D114" s="7" t="inlineStr">
        <is>
          <t>2023-03-07</t>
        </is>
      </c>
      <c r="E114" s="7" t="n">
        <v>42</v>
      </c>
      <c r="F114" s="7" t="n">
        <v>239</v>
      </c>
      <c r="G114" s="7">
        <f>IF('0.입력칸'!$B$3="","",ROUND(F114/'0.입력칸'!$B$3,0))</f>
        <v/>
      </c>
      <c r="H114" s="7">
        <f>IF(OR('0.입력칸'!$B$3="",'0.입력칸'!$B$5=""),"",ROUND(G114*'0.입력칸'!$B$5,0))</f>
        <v/>
      </c>
      <c r="I114" s="7" t="inlineStr">
        <is>
          <t>있음</t>
        </is>
      </c>
      <c r="J114" s="7" t="inlineStr">
        <is>
          <t>시공사 일우종합건설(주)</t>
        </is>
      </c>
      <c r="K114" s="7" t="inlineStr">
        <is>
          <t>케이이아이건축사사무소</t>
        </is>
      </c>
      <c r="L114" s="7" t="inlineStr">
        <is>
          <t>신경도건축사사무소</t>
        </is>
      </c>
      <c r="M114" s="7" t="inlineStr"/>
      <c r="N114" s="7" t="inlineStr">
        <is>
          <t>신축</t>
        </is>
      </c>
      <c r="O114" s="7" t="inlineStr">
        <is>
          <t>경상북도 울릉군 울릉읍 저동길 71-7</t>
        </is>
      </c>
    </row>
    <row r="115">
      <c r="A115" s="7" t="inlineStr">
        <is>
          <t>경상북도</t>
        </is>
      </c>
      <c r="B115" s="7" t="inlineStr">
        <is>
          <t>울릉군</t>
        </is>
      </c>
      <c r="C115" s="7" t="inlineStr">
        <is>
          <t>북면 천부리 590 숙박시설</t>
        </is>
      </c>
      <c r="D115" s="7" t="inlineStr">
        <is>
          <t>2024-10-16</t>
        </is>
      </c>
      <c r="E115" s="7" t="n">
        <v>23</v>
      </c>
      <c r="F115" s="7" t="n">
        <v>142</v>
      </c>
      <c r="G115" s="7">
        <f>IF('0.입력칸'!$B$3="","",ROUND(F115/'0.입력칸'!$B$3,0))</f>
        <v/>
      </c>
      <c r="H115" s="7">
        <f>IF(OR('0.입력칸'!$B$3="",'0.입력칸'!$B$5=""),"",ROUND(G115*'0.입력칸'!$B$5,0))</f>
        <v/>
      </c>
      <c r="I115" s="7" t="inlineStr">
        <is>
          <t>있음</t>
        </is>
      </c>
      <c r="J115" s="7" t="inlineStr">
        <is>
          <t>시공사 (주)와이엠케이종합건설</t>
        </is>
      </c>
      <c r="K115" s="7" t="inlineStr">
        <is>
          <t>건축사사무소아삶공</t>
        </is>
      </c>
      <c r="L115" s="7" t="inlineStr"/>
      <c r="M115" s="7" t="inlineStr"/>
      <c r="N115" s="7" t="inlineStr">
        <is>
          <t>신축</t>
        </is>
      </c>
      <c r="O115" s="7" t="inlineStr">
        <is>
          <t>경상북도 울릉군 북면 천부리 590번지</t>
        </is>
      </c>
    </row>
    <row r="116">
      <c r="A116" s="7" t="inlineStr">
        <is>
          <t>경상북도</t>
        </is>
      </c>
      <c r="B116" s="7" t="inlineStr">
        <is>
          <t>울진군</t>
        </is>
      </c>
      <c r="C116" s="7" t="inlineStr">
        <is>
          <t>기성면 망양리 88 숙박시설</t>
        </is>
      </c>
      <c r="D116" s="7" t="inlineStr">
        <is>
          <t>2023-03-28</t>
        </is>
      </c>
      <c r="E116" s="7" t="n">
        <v>42</v>
      </c>
      <c r="F116" s="7" t="n">
        <v>311</v>
      </c>
      <c r="G116" s="7">
        <f>IF('0.입력칸'!$B$3="","",ROUND(F116/'0.입력칸'!$B$3,0))</f>
        <v/>
      </c>
      <c r="H116" s="7">
        <f>IF(OR('0.입력칸'!$B$3="",'0.입력칸'!$B$5=""),"",ROUND(G116*'0.입력칸'!$B$5,0))</f>
        <v/>
      </c>
      <c r="I116" s="7" t="inlineStr">
        <is>
          <t>있음</t>
        </is>
      </c>
      <c r="J116" s="7" t="inlineStr">
        <is>
          <t>시공사 지인종합건설(주)</t>
        </is>
      </c>
      <c r="K116" s="7" t="inlineStr"/>
      <c r="L116" s="7" t="inlineStr"/>
      <c r="M116" s="7" t="inlineStr">
        <is>
          <t>(주)에스제이커뮤니케이션</t>
        </is>
      </c>
      <c r="N116" s="7" t="inlineStr">
        <is>
          <t>신축</t>
        </is>
      </c>
      <c r="O116" s="7" t="inlineStr">
        <is>
          <t>경상북도 울진군 기성면 당양1길 22-7</t>
        </is>
      </c>
    </row>
    <row r="117">
      <c r="A117" s="6" t="inlineStr">
        <is>
          <t>경상북도</t>
        </is>
      </c>
      <c r="B117" s="6" t="inlineStr">
        <is>
          <t>청도군</t>
        </is>
      </c>
      <c r="C117" s="6" t="inlineStr">
        <is>
          <t>옥산리 생활형숙박시설</t>
        </is>
      </c>
      <c r="D117" s="6" t="inlineStr">
        <is>
          <t>2025-03-22</t>
        </is>
      </c>
      <c r="E117" s="6" t="n">
        <v>18</v>
      </c>
      <c r="F117" s="6" t="n">
        <v>495</v>
      </c>
      <c r="G117" s="6">
        <f>IF('0.입력칸'!$B$3="","",ROUND(F117/'0.입력칸'!$B$3,0))</f>
        <v/>
      </c>
      <c r="H117" s="6">
        <f>IF(OR('0.입력칸'!$B$3="",'0.입력칸'!$B$5=""),"",ROUND(G117*'0.입력칸'!$B$5,0))</f>
        <v/>
      </c>
      <c r="I117" s="6" t="inlineStr">
        <is>
          <t>없음</t>
        </is>
      </c>
      <c r="J117" s="6" t="inlineStr">
        <is>
          <t>설계사 한길건축사사무소</t>
        </is>
      </c>
      <c r="K117" s="6" t="inlineStr">
        <is>
          <t>한길건축사사무소</t>
        </is>
      </c>
      <c r="L117" s="6" t="inlineStr"/>
      <c r="M117" s="6" t="inlineStr"/>
      <c r="N117" s="6" t="inlineStr">
        <is>
          <t>신축</t>
        </is>
      </c>
      <c r="O117" s="6" t="inlineStr">
        <is>
          <t>경상북도 청도군 각남면 옥산리 831-1번지</t>
        </is>
      </c>
    </row>
    <row r="118">
      <c r="A118" s="7" t="inlineStr">
        <is>
          <t>경상북도</t>
        </is>
      </c>
      <c r="B118" s="7" t="inlineStr">
        <is>
          <t>청송군</t>
        </is>
      </c>
      <c r="C118" s="7" t="inlineStr">
        <is>
          <t>청송읍 부곡리 356-50 숙박시설 (***)</t>
        </is>
      </c>
      <c r="D118" s="7" t="inlineStr">
        <is>
          <t>2023-05-03</t>
        </is>
      </c>
      <c r="E118" s="7" t="n">
        <v>41</v>
      </c>
      <c r="F118" s="7" t="n">
        <v>976</v>
      </c>
      <c r="G118" s="7">
        <f>IF('0.입력칸'!$B$3="","",ROUND(F118/'0.입력칸'!$B$3,0))</f>
        <v/>
      </c>
      <c r="H118" s="7">
        <f>IF(OR('0.입력칸'!$B$3="",'0.입력칸'!$B$5=""),"",ROUND(G118*'0.입력칸'!$B$5,0))</f>
        <v/>
      </c>
      <c r="I118" s="7" t="inlineStr">
        <is>
          <t>있음</t>
        </is>
      </c>
      <c r="J118" s="7" t="inlineStr">
        <is>
          <t>시공사 대화건설산업(주)</t>
        </is>
      </c>
      <c r="K118" s="7" t="inlineStr">
        <is>
          <t>건축사사무소마을건축</t>
        </is>
      </c>
      <c r="L118" s="7" t="inlineStr">
        <is>
          <t>애플건축사사무소</t>
        </is>
      </c>
      <c r="M118" s="7" t="inlineStr"/>
      <c r="N118" s="7" t="inlineStr">
        <is>
          <t>신축</t>
        </is>
      </c>
      <c r="O118" s="7" t="inlineStr">
        <is>
          <t>경상북도 청송군 청송읍 부곡리 356-50번지</t>
        </is>
      </c>
    </row>
    <row r="119">
      <c r="A119" s="7" t="inlineStr">
        <is>
          <t>경상북도</t>
        </is>
      </c>
      <c r="B119" s="7" t="inlineStr">
        <is>
          <t>포항시</t>
        </is>
      </c>
      <c r="C119" s="7" t="inlineStr">
        <is>
          <t>흥해읍 죽천리 77 숙박시설 (***)</t>
        </is>
      </c>
      <c r="D119" s="7" t="inlineStr">
        <is>
          <t>2022-12-08</t>
        </is>
      </c>
      <c r="E119" s="7" t="n">
        <v>45</v>
      </c>
      <c r="F119" s="7" t="n">
        <v>1304</v>
      </c>
      <c r="G119" s="7">
        <f>IF('0.입력칸'!$B$3="","",ROUND(F119/'0.입력칸'!$B$3,0))</f>
        <v/>
      </c>
      <c r="H119" s="7">
        <f>IF(OR('0.입력칸'!$B$3="",'0.입력칸'!$B$5=""),"",ROUND(G119*'0.입력칸'!$B$5,0))</f>
        <v/>
      </c>
      <c r="I119" s="7" t="inlineStr">
        <is>
          <t>있음</t>
        </is>
      </c>
      <c r="J119" s="7" t="inlineStr">
        <is>
          <t>시공사 상지종합건설(주)</t>
        </is>
      </c>
      <c r="K119" s="7" t="inlineStr">
        <is>
          <t>건축사사무소아삼공</t>
        </is>
      </c>
      <c r="L119" s="7" t="inlineStr">
        <is>
          <t>건축사사무소탑</t>
        </is>
      </c>
      <c r="M119" s="7" t="inlineStr"/>
      <c r="N119" s="7" t="inlineStr">
        <is>
          <t>신축</t>
        </is>
      </c>
      <c r="O119" s="7" t="inlineStr">
        <is>
          <t>경상북도 포항시 북구 흥해읍 죽천리 117</t>
        </is>
      </c>
    </row>
    <row r="120">
      <c r="A120" s="6" t="inlineStr">
        <is>
          <t>경상북도</t>
        </is>
      </c>
      <c r="B120" s="6" t="inlineStr">
        <is>
          <t>포항시</t>
        </is>
      </c>
      <c r="C120" s="6" t="inlineStr">
        <is>
          <t>두호동 1030-18 숙박시설 (***)</t>
        </is>
      </c>
      <c r="D120" s="6" t="inlineStr">
        <is>
          <t>2022-11-02</t>
        </is>
      </c>
      <c r="E120" s="6" t="n">
        <v>47</v>
      </c>
      <c r="F120" s="6" t="n">
        <v>989</v>
      </c>
      <c r="G120" s="6">
        <f>IF('0.입력칸'!$B$3="","",ROUND(F120/'0.입력칸'!$B$3,0))</f>
        <v/>
      </c>
      <c r="H120" s="6">
        <f>IF(OR('0.입력칸'!$B$3="",'0.입력칸'!$B$5=""),"",ROUND(G120*'0.입력칸'!$B$5,0))</f>
        <v/>
      </c>
      <c r="I120" s="6" t="inlineStr">
        <is>
          <t>없음</t>
        </is>
      </c>
      <c r="J120" s="6" t="inlineStr">
        <is>
          <t>설계사 건축사사무소건우현</t>
        </is>
      </c>
      <c r="K120" s="6" t="inlineStr">
        <is>
          <t>건축사사무소건우현</t>
        </is>
      </c>
      <c r="L120" s="6" t="inlineStr"/>
      <c r="M120" s="6" t="inlineStr"/>
      <c r="N120" s="6" t="inlineStr">
        <is>
          <t>증축</t>
        </is>
      </c>
      <c r="O120" s="6" t="inlineStr">
        <is>
          <t>경상북도 포항시 북구 삼호로245번길 11 (두호동)</t>
        </is>
      </c>
    </row>
    <row r="121">
      <c r="A121" s="6" t="inlineStr">
        <is>
          <t>경상북도</t>
        </is>
      </c>
      <c r="B121" s="6" t="inlineStr">
        <is>
          <t>포항시</t>
        </is>
      </c>
      <c r="C121" s="6" t="inlineStr">
        <is>
          <t>장기면 계원리 38 숙박시설 (***)</t>
        </is>
      </c>
      <c r="D121" s="6" t="inlineStr">
        <is>
          <t>2024-10-18</t>
        </is>
      </c>
      <c r="E121" s="6" t="n">
        <v>23</v>
      </c>
      <c r="F121" s="6" t="n">
        <v>856</v>
      </c>
      <c r="G121" s="6">
        <f>IF('0.입력칸'!$B$3="","",ROUND(F121/'0.입력칸'!$B$3,0))</f>
        <v/>
      </c>
      <c r="H121" s="6">
        <f>IF(OR('0.입력칸'!$B$3="",'0.입력칸'!$B$5=""),"",ROUND(G121*'0.입력칸'!$B$5,0))</f>
        <v/>
      </c>
      <c r="I121" s="6" t="inlineStr">
        <is>
          <t>없음</t>
        </is>
      </c>
      <c r="J121" s="6" t="inlineStr">
        <is>
          <t>설계사 (주)건축사사무소에이쓰리</t>
        </is>
      </c>
      <c r="K121" s="6" t="inlineStr">
        <is>
          <t>(주)건축사사무소에이쓰리</t>
        </is>
      </c>
      <c r="L121" s="6" t="inlineStr"/>
      <c r="M121" s="6" t="inlineStr"/>
      <c r="N121" s="6" t="inlineStr">
        <is>
          <t>신축</t>
        </is>
      </c>
      <c r="O121" s="6" t="inlineStr">
        <is>
          <t>경상북도 포항시 남구 장기면 계원1길 12</t>
        </is>
      </c>
    </row>
    <row r="122">
      <c r="A122" s="7" t="inlineStr">
        <is>
          <t>경상북도</t>
        </is>
      </c>
      <c r="B122" s="7" t="inlineStr">
        <is>
          <t>포항시</t>
        </is>
      </c>
      <c r="C122" s="7" t="inlineStr">
        <is>
          <t>흥해읍 오도리 240 숙박시설 (***)</t>
        </is>
      </c>
      <c r="D122" s="7" t="inlineStr">
        <is>
          <t>2024-11-08</t>
        </is>
      </c>
      <c r="E122" s="7" t="n">
        <v>22</v>
      </c>
      <c r="F122" s="7" t="n">
        <v>351</v>
      </c>
      <c r="G122" s="7">
        <f>IF('0.입력칸'!$B$3="","",ROUND(F122/'0.입력칸'!$B$3,0))</f>
        <v/>
      </c>
      <c r="H122" s="7">
        <f>IF(OR('0.입력칸'!$B$3="",'0.입력칸'!$B$5=""),"",ROUND(G122*'0.입력칸'!$B$5,0))</f>
        <v/>
      </c>
      <c r="I122" s="7" t="inlineStr">
        <is>
          <t>있음</t>
        </is>
      </c>
      <c r="J122" s="7" t="inlineStr">
        <is>
          <t>시공사 (주)두창종합건설</t>
        </is>
      </c>
      <c r="K122" s="7" t="inlineStr">
        <is>
          <t>(주)우원건축사사무소</t>
        </is>
      </c>
      <c r="L122" s="7" t="inlineStr"/>
      <c r="M122" s="7" t="inlineStr"/>
      <c r="N122" s="7" t="inlineStr">
        <is>
          <t>신축</t>
        </is>
      </c>
      <c r="O122" s="7" t="inlineStr">
        <is>
          <t>경상북도 포항시 북구 흥해읍 해안로1732번길 9</t>
        </is>
      </c>
    </row>
    <row r="123">
      <c r="A123" s="6" t="inlineStr">
        <is>
          <t>경상남도</t>
        </is>
      </c>
      <c r="B123" s="6" t="inlineStr">
        <is>
          <t>거창군</t>
        </is>
      </c>
      <c r="C123" s="6" t="inlineStr">
        <is>
          <t>가조면 일부리 1374 숙박시설</t>
        </is>
      </c>
      <c r="D123" s="6" t="inlineStr">
        <is>
          <t>2026-03-27</t>
        </is>
      </c>
      <c r="E123" s="6" t="n">
        <v>6</v>
      </c>
      <c r="F123" s="6" t="n">
        <v>1032</v>
      </c>
      <c r="G123" s="6">
        <f>IF('0.입력칸'!$B$3="","",ROUND(F123/'0.입력칸'!$B$3,0))</f>
        <v/>
      </c>
      <c r="H123" s="6">
        <f>IF(OR('0.입력칸'!$B$3="",'0.입력칸'!$B$5=""),"",ROUND(G123*'0.입력칸'!$B$5,0))</f>
        <v/>
      </c>
      <c r="I123" s="6" t="inlineStr">
        <is>
          <t>없음</t>
        </is>
      </c>
      <c r="J123" s="6" t="inlineStr">
        <is>
          <t>설계사 거창가람건축사사무소</t>
        </is>
      </c>
      <c r="K123" s="6" t="inlineStr">
        <is>
          <t>거창가람건축사사무소</t>
        </is>
      </c>
      <c r="L123" s="6" t="inlineStr"/>
      <c r="M123" s="6" t="inlineStr"/>
      <c r="N123" s="6" t="inlineStr">
        <is>
          <t>신축</t>
        </is>
      </c>
      <c r="O123" s="6" t="inlineStr">
        <is>
          <t>경상남도 거창군 가조면 일부리 1374번지</t>
        </is>
      </c>
    </row>
    <row r="124">
      <c r="A124" s="7" t="inlineStr">
        <is>
          <t>경상남도</t>
        </is>
      </c>
      <c r="B124" s="7" t="inlineStr">
        <is>
          <t>거창군</t>
        </is>
      </c>
      <c r="C124" s="7" t="inlineStr">
        <is>
          <t>가조면 일부리 13520000 숙박시설 (***)</t>
        </is>
      </c>
      <c r="D124" s="7" t="inlineStr">
        <is>
          <t>2022-03-08</t>
        </is>
      </c>
      <c r="E124" s="7" t="n">
        <v>54</v>
      </c>
      <c r="F124" s="7" t="n">
        <v>950</v>
      </c>
      <c r="G124" s="7">
        <f>IF('0.입력칸'!$B$3="","",ROUND(F124/'0.입력칸'!$B$3,0))</f>
        <v/>
      </c>
      <c r="H124" s="7">
        <f>IF(OR('0.입력칸'!$B$3="",'0.입력칸'!$B$5=""),"",ROUND(G124*'0.입력칸'!$B$5,0))</f>
        <v/>
      </c>
      <c r="I124" s="7" t="inlineStr">
        <is>
          <t>있음</t>
        </is>
      </c>
      <c r="J124" s="7" t="inlineStr">
        <is>
          <t>시공사 (주)지안종합건설</t>
        </is>
      </c>
      <c r="K124" s="7" t="inlineStr">
        <is>
          <t>도원지티건축사사무소</t>
        </is>
      </c>
      <c r="L124" s="7" t="inlineStr">
        <is>
          <t>명가종합건축사사무소</t>
        </is>
      </c>
      <c r="M124" s="7" t="inlineStr"/>
      <c r="N124" s="7" t="inlineStr">
        <is>
          <t>신축</t>
        </is>
      </c>
      <c r="O124" s="7" t="inlineStr">
        <is>
          <t>경상남도 거창군 가조면 일부리 1352번지</t>
        </is>
      </c>
    </row>
    <row r="125">
      <c r="A125" s="7" t="inlineStr">
        <is>
          <t>경상남도</t>
        </is>
      </c>
      <c r="B125" s="7" t="inlineStr">
        <is>
          <t>고성군</t>
        </is>
      </c>
      <c r="C125" s="7" t="inlineStr">
        <is>
          <t>하이면 월흥리 173-9 숙박시설 (주식회사미래로)</t>
        </is>
      </c>
      <c r="D125" s="7" t="inlineStr">
        <is>
          <t>2023-09-07</t>
        </is>
      </c>
      <c r="E125" s="7" t="n">
        <v>36</v>
      </c>
      <c r="F125" s="7" t="n">
        <v>597</v>
      </c>
      <c r="G125" s="7">
        <f>IF('0.입력칸'!$B$3="","",ROUND(F125/'0.입력칸'!$B$3,0))</f>
        <v/>
      </c>
      <c r="H125" s="7">
        <f>IF(OR('0.입력칸'!$B$3="",'0.입력칸'!$B$5=""),"",ROUND(G125*'0.입력칸'!$B$5,0))</f>
        <v/>
      </c>
      <c r="I125" s="7" t="inlineStr">
        <is>
          <t>있음</t>
        </is>
      </c>
      <c r="J125" s="7" t="inlineStr">
        <is>
          <t>시공사 (주)수암종합건설</t>
        </is>
      </c>
      <c r="K125" s="7" t="inlineStr"/>
      <c r="L125" s="7" t="inlineStr"/>
      <c r="M125" s="7" t="inlineStr">
        <is>
          <t>(주)미래로</t>
        </is>
      </c>
      <c r="N125" s="7" t="inlineStr">
        <is>
          <t>신축</t>
        </is>
      </c>
      <c r="O125" s="7" t="inlineStr">
        <is>
          <t>경상남도 고성군 하이면 공룡로 318</t>
        </is>
      </c>
    </row>
    <row r="126">
      <c r="A126" s="7" t="inlineStr">
        <is>
          <t>경상남도</t>
        </is>
      </c>
      <c r="B126" s="7" t="inlineStr">
        <is>
          <t>고성군</t>
        </is>
      </c>
      <c r="C126" s="7" t="inlineStr">
        <is>
          <t>동해면 봉암리 90-3 숙박시설 (***)</t>
        </is>
      </c>
      <c r="D126" s="7" t="inlineStr">
        <is>
          <t>2022-05-10</t>
        </is>
      </c>
      <c r="E126" s="7" t="n">
        <v>52</v>
      </c>
      <c r="F126" s="7" t="n">
        <v>552</v>
      </c>
      <c r="G126" s="7">
        <f>IF('0.입력칸'!$B$3="","",ROUND(F126/'0.입력칸'!$B$3,0))</f>
        <v/>
      </c>
      <c r="H126" s="7">
        <f>IF(OR('0.입력칸'!$B$3="",'0.입력칸'!$B$5=""),"",ROUND(G126*'0.입력칸'!$B$5,0))</f>
        <v/>
      </c>
      <c r="I126" s="7" t="inlineStr">
        <is>
          <t>있음</t>
        </is>
      </c>
      <c r="J126" s="7" t="inlineStr">
        <is>
          <t>시공사 우원건설(주)</t>
        </is>
      </c>
      <c r="K126" s="7" t="inlineStr">
        <is>
          <t>대호종합건축사사무소</t>
        </is>
      </c>
      <c r="L126" s="7" t="inlineStr"/>
      <c r="M126" s="7" t="inlineStr"/>
      <c r="N126" s="7" t="inlineStr">
        <is>
          <t>신축</t>
        </is>
      </c>
      <c r="O126" s="7" t="inlineStr">
        <is>
          <t>경상남도 고성군 동해면 봉암리 산 90-3번지</t>
        </is>
      </c>
    </row>
    <row r="127">
      <c r="A127" s="7" t="inlineStr">
        <is>
          <t>경상남도</t>
        </is>
      </c>
      <c r="B127" s="7" t="inlineStr">
        <is>
          <t>남해군</t>
        </is>
      </c>
      <c r="C127" s="7" t="inlineStr">
        <is>
          <t>남면 평산리 1081 생활숙박시설(A단지)</t>
        </is>
      </c>
      <c r="D127" s="7" t="inlineStr">
        <is>
          <t>2023-03-29</t>
        </is>
      </c>
      <c r="E127" s="7" t="n">
        <v>42</v>
      </c>
      <c r="F127" s="7" t="n">
        <v>321</v>
      </c>
      <c r="G127" s="7">
        <f>IF('0.입력칸'!$B$3="","",ROUND(F127/'0.입력칸'!$B$3,0))</f>
        <v/>
      </c>
      <c r="H127" s="7">
        <f>IF(OR('0.입력칸'!$B$3="",'0.입력칸'!$B$5=""),"",ROUND(G127*'0.입력칸'!$B$5,0))</f>
        <v/>
      </c>
      <c r="I127" s="7" t="inlineStr">
        <is>
          <t>있음</t>
        </is>
      </c>
      <c r="J127" s="7" t="inlineStr">
        <is>
          <t>시공사 (주)정원</t>
        </is>
      </c>
      <c r="K127" s="7" t="inlineStr">
        <is>
          <t>건축사사무소가토</t>
        </is>
      </c>
      <c r="L127" s="7" t="inlineStr"/>
      <c r="M127" s="7" t="inlineStr">
        <is>
          <t>(주)정원</t>
        </is>
      </c>
      <c r="N127" s="7" t="inlineStr">
        <is>
          <t>신축</t>
        </is>
      </c>
      <c r="O127" s="7" t="inlineStr">
        <is>
          <t>경상남도 남해군 남면 평산리 1081번지</t>
        </is>
      </c>
    </row>
    <row r="128">
      <c r="A128" s="7" t="inlineStr">
        <is>
          <t>경상남도</t>
        </is>
      </c>
      <c r="B128" s="7" t="inlineStr">
        <is>
          <t>남해군</t>
        </is>
      </c>
      <c r="C128" s="7" t="inlineStr">
        <is>
          <t>남해군 폐교활용 지역특화형 숙박시설 신축공사 (야영장시설)</t>
        </is>
      </c>
      <c r="D128" s="7" t="inlineStr">
        <is>
          <t>2025-10-27</t>
        </is>
      </c>
      <c r="E128" s="7" t="n">
        <v>11</v>
      </c>
      <c r="F128" s="7" t="n">
        <v>81</v>
      </c>
      <c r="G128" s="7">
        <f>IF('0.입력칸'!$B$3="","",ROUND(F128/'0.입력칸'!$B$3,0))</f>
        <v/>
      </c>
      <c r="H128" s="7">
        <f>IF(OR('0.입력칸'!$B$3="",'0.입력칸'!$B$5=""),"",ROUND(G128*'0.입력칸'!$B$5,0))</f>
        <v/>
      </c>
      <c r="I128" s="7" t="inlineStr">
        <is>
          <t>있음</t>
        </is>
      </c>
      <c r="J128" s="7" t="inlineStr">
        <is>
          <t>시공사 더씨티종합건설(주)</t>
        </is>
      </c>
      <c r="K128" s="7" t="inlineStr">
        <is>
          <t>일구구공도시건축건축사사무소(주)</t>
        </is>
      </c>
      <c r="L128" s="7" t="inlineStr">
        <is>
          <t>김윤섭건축사사무소</t>
        </is>
      </c>
      <c r="M128" s="7" t="inlineStr"/>
      <c r="N128" s="7" t="inlineStr">
        <is>
          <t>신축</t>
        </is>
      </c>
      <c r="O128" s="7" t="inlineStr">
        <is>
          <t>경상남도 남해군 서면 노구리 360번지</t>
        </is>
      </c>
    </row>
    <row r="129">
      <c r="A129" s="6" t="inlineStr">
        <is>
          <t>경상남도</t>
        </is>
      </c>
      <c r="B129" s="6" t="inlineStr">
        <is>
          <t>밀양시</t>
        </is>
      </c>
      <c r="C129" s="6" t="inlineStr">
        <is>
          <t>김영미씨 숙박시설</t>
        </is>
      </c>
      <c r="D129" s="6" t="inlineStr">
        <is>
          <t>2021-07-27</t>
        </is>
      </c>
      <c r="E129" s="6" t="n">
        <v>62</v>
      </c>
      <c r="F129" s="6" t="n">
        <v>523</v>
      </c>
      <c r="G129" s="6">
        <f>IF('0.입력칸'!$B$3="","",ROUND(F129/'0.입력칸'!$B$3,0))</f>
        <v/>
      </c>
      <c r="H129" s="6">
        <f>IF(OR('0.입력칸'!$B$3="",'0.입력칸'!$B$5=""),"",ROUND(G129*'0.입력칸'!$B$5,0))</f>
        <v/>
      </c>
      <c r="I129" s="6" t="inlineStr">
        <is>
          <t>없음</t>
        </is>
      </c>
      <c r="J129" s="6" t="inlineStr">
        <is>
          <t>설계사 공간종합건축사사무소</t>
        </is>
      </c>
      <c r="K129" s="6" t="inlineStr">
        <is>
          <t>공간종합건축사사무소</t>
        </is>
      </c>
      <c r="L129" s="6" t="inlineStr"/>
      <c r="M129" s="6" t="inlineStr"/>
      <c r="N129" s="6" t="inlineStr">
        <is>
          <t>증축</t>
        </is>
      </c>
      <c r="O129" s="6" t="inlineStr">
        <is>
          <t>경상남도 밀양시 단장면 시천2길 12-1</t>
        </is>
      </c>
    </row>
    <row r="130">
      <c r="A130" s="6" t="inlineStr">
        <is>
          <t>경상남도</t>
        </is>
      </c>
      <c r="B130" s="6" t="inlineStr">
        <is>
          <t>사천시</t>
        </is>
      </c>
      <c r="C130" s="6" t="inlineStr">
        <is>
          <t>서금동 144 숙박시설 (***)</t>
        </is>
      </c>
      <c r="D130" s="6" t="inlineStr">
        <is>
          <t>2021-09-10</t>
        </is>
      </c>
      <c r="E130" s="6" t="n">
        <v>60</v>
      </c>
      <c r="F130" s="6" t="n">
        <v>1171</v>
      </c>
      <c r="G130" s="6">
        <f>IF('0.입력칸'!$B$3="","",ROUND(F130/'0.입력칸'!$B$3,0))</f>
        <v/>
      </c>
      <c r="H130" s="6">
        <f>IF(OR('0.입력칸'!$B$3="",'0.입력칸'!$B$5=""),"",ROUND(G130*'0.입력칸'!$B$5,0))</f>
        <v/>
      </c>
      <c r="I130" s="6" t="inlineStr">
        <is>
          <t>없음</t>
        </is>
      </c>
      <c r="J130" s="6" t="inlineStr">
        <is>
          <t>설계사 건축사사무소가인</t>
        </is>
      </c>
      <c r="K130" s="6" t="inlineStr">
        <is>
          <t>건축사사무소가인</t>
        </is>
      </c>
      <c r="L130" s="6" t="inlineStr"/>
      <c r="M130" s="6" t="inlineStr"/>
      <c r="N130" s="6" t="inlineStr">
        <is>
          <t>증축</t>
        </is>
      </c>
      <c r="O130" s="6" t="inlineStr">
        <is>
          <t>경상남도 사천시 목섬길 45 (서금동)</t>
        </is>
      </c>
    </row>
    <row r="131">
      <c r="A131" s="7" t="inlineStr">
        <is>
          <t>경상남도</t>
        </is>
      </c>
      <c r="B131" s="7" t="inlineStr">
        <is>
          <t>하동군</t>
        </is>
      </c>
      <c r="C131" s="7" t="inlineStr">
        <is>
          <t>금남면 계천리 470-1 숙박시설</t>
        </is>
      </c>
      <c r="D131" s="7" t="inlineStr">
        <is>
          <t>2023-05-04</t>
        </is>
      </c>
      <c r="E131" s="7" t="n">
        <v>41</v>
      </c>
      <c r="F131" s="7" t="n">
        <v>826</v>
      </c>
      <c r="G131" s="7">
        <f>IF('0.입력칸'!$B$3="","",ROUND(F131/'0.입력칸'!$B$3,0))</f>
        <v/>
      </c>
      <c r="H131" s="7">
        <f>IF(OR('0.입력칸'!$B$3="",'0.입력칸'!$B$5=""),"",ROUND(G131*'0.입력칸'!$B$5,0))</f>
        <v/>
      </c>
      <c r="I131" s="7" t="inlineStr">
        <is>
          <t>있음</t>
        </is>
      </c>
      <c r="J131" s="7" t="inlineStr">
        <is>
          <t>시공사 대림건설(주)</t>
        </is>
      </c>
      <c r="K131" s="7" t="inlineStr">
        <is>
          <t>건축사사무소맥</t>
        </is>
      </c>
      <c r="L131" s="7" t="inlineStr">
        <is>
          <t>건축사사무소오름</t>
        </is>
      </c>
      <c r="M131" s="7" t="inlineStr"/>
      <c r="N131" s="7" t="inlineStr">
        <is>
          <t>신축</t>
        </is>
      </c>
      <c r="O131" s="7" t="inlineStr">
        <is>
          <t>경상남도 하동군 금남면 계천리 470-1번지</t>
        </is>
      </c>
    </row>
    <row r="132">
      <c r="A132" s="7" t="inlineStr">
        <is>
          <t>경상남도</t>
        </is>
      </c>
      <c r="B132" s="7" t="inlineStr">
        <is>
          <t>합천군</t>
        </is>
      </c>
      <c r="C132" s="7" t="inlineStr">
        <is>
          <t>대병면 유전리 61-2 숙박시설 (농업회사법인주식회사대경)</t>
        </is>
      </c>
      <c r="D132" s="7" t="inlineStr">
        <is>
          <t>2023-12-01</t>
        </is>
      </c>
      <c r="E132" s="7" t="n">
        <v>34</v>
      </c>
      <c r="F132" s="7" t="n">
        <v>495</v>
      </c>
      <c r="G132" s="7">
        <f>IF('0.입력칸'!$B$3="","",ROUND(F132/'0.입력칸'!$B$3,0))</f>
        <v/>
      </c>
      <c r="H132" s="7">
        <f>IF(OR('0.입력칸'!$B$3="",'0.입력칸'!$B$5=""),"",ROUND(G132*'0.입력칸'!$B$5,0))</f>
        <v/>
      </c>
      <c r="I132" s="7" t="inlineStr">
        <is>
          <t>있음</t>
        </is>
      </c>
      <c r="J132" s="7" t="inlineStr">
        <is>
          <t>시공사 (주)인주종합건설</t>
        </is>
      </c>
      <c r="K132" s="7" t="inlineStr">
        <is>
          <t>대광건축사</t>
        </is>
      </c>
      <c r="L132" s="7" t="inlineStr"/>
      <c r="M132" s="7" t="inlineStr"/>
      <c r="N132" s="7" t="inlineStr">
        <is>
          <t>신축</t>
        </is>
      </c>
      <c r="O132" s="7" t="inlineStr">
        <is>
          <t>경상남도 합천군 대병면 유전리 산 61-2번지</t>
        </is>
      </c>
    </row>
    <row r="133">
      <c r="A133" s="7" t="inlineStr">
        <is>
          <t>부산광역시</t>
        </is>
      </c>
      <c r="B133" s="7" t="inlineStr">
        <is>
          <t>해운대구</t>
        </is>
      </c>
      <c r="C133" s="7" t="inlineStr">
        <is>
          <t>송정동 800번지 외 1필지 숙박시설</t>
        </is>
      </c>
      <c r="D133" s="7" t="inlineStr">
        <is>
          <t>2026-03-04</t>
        </is>
      </c>
      <c r="E133" s="7" t="n">
        <v>7</v>
      </c>
      <c r="F133" s="7" t="n">
        <v>974</v>
      </c>
      <c r="G133" s="7">
        <f>IF('0.입력칸'!$B$3="","",ROUND(F133/'0.입력칸'!$B$3,0))</f>
        <v/>
      </c>
      <c r="H133" s="7">
        <f>IF(OR('0.입력칸'!$B$3="",'0.입력칸'!$B$5=""),"",ROUND(G133*'0.입력칸'!$B$5,0))</f>
        <v/>
      </c>
      <c r="I133" s="7" t="inlineStr">
        <is>
          <t>있음</t>
        </is>
      </c>
      <c r="J133" s="7" t="inlineStr">
        <is>
          <t>시공사 (주)우은</t>
        </is>
      </c>
      <c r="K133" s="7" t="inlineStr">
        <is>
          <t>2PD건축사사무소</t>
        </is>
      </c>
      <c r="L133" s="7" t="inlineStr"/>
      <c r="M133" s="7" t="inlineStr"/>
      <c r="N133" s="7" t="inlineStr">
        <is>
          <t>대수선</t>
        </is>
      </c>
      <c r="O133" s="7" t="inlineStr">
        <is>
          <t>부산광역시 해운대구 송정구덕포길 80-4 (송정동)</t>
        </is>
      </c>
    </row>
    <row r="134">
      <c r="A134" s="7" t="inlineStr">
        <is>
          <t>부산광역시</t>
        </is>
      </c>
      <c r="B134" s="7" t="inlineStr">
        <is>
          <t>해운대구</t>
        </is>
      </c>
      <c r="C134" s="7" t="inlineStr">
        <is>
          <t>송정동 312-16 숙박시설 (주식회사호연포레)</t>
        </is>
      </c>
      <c r="D134" s="7" t="inlineStr">
        <is>
          <t>2021-10-19</t>
        </is>
      </c>
      <c r="E134" s="7" t="n">
        <v>59</v>
      </c>
      <c r="F134" s="7" t="n">
        <v>625</v>
      </c>
      <c r="G134" s="7">
        <f>IF('0.입력칸'!$B$3="","",ROUND(F134/'0.입력칸'!$B$3,0))</f>
        <v/>
      </c>
      <c r="H134" s="7">
        <f>IF(OR('0.입력칸'!$B$3="",'0.입력칸'!$B$5=""),"",ROUND(G134*'0.입력칸'!$B$5,0))</f>
        <v/>
      </c>
      <c r="I134" s="7" t="inlineStr">
        <is>
          <t>있음</t>
        </is>
      </c>
      <c r="J134" s="7" t="inlineStr">
        <is>
          <t>시공사 솔터건설(주)</t>
        </is>
      </c>
      <c r="K134" s="7" t="inlineStr">
        <is>
          <t>건축사사무소일지</t>
        </is>
      </c>
      <c r="L134" s="7" t="inlineStr">
        <is>
          <t>(주)가산건축사사무소</t>
        </is>
      </c>
      <c r="M134" s="7" t="inlineStr"/>
      <c r="N134" s="7" t="inlineStr">
        <is>
          <t>신축</t>
        </is>
      </c>
      <c r="O134" s="7" t="inlineStr">
        <is>
          <t>부산광역시 해운대구 송정동 312-16번지</t>
        </is>
      </c>
    </row>
    <row r="135">
      <c r="A135" s="7" t="inlineStr">
        <is>
          <t>울산광역시</t>
        </is>
      </c>
      <c r="B135" s="7" t="inlineStr">
        <is>
          <t>남구</t>
        </is>
      </c>
      <c r="C135" s="7" t="inlineStr">
        <is>
          <t>고래잠 숙박시설</t>
        </is>
      </c>
      <c r="D135" s="7" t="inlineStr">
        <is>
          <t>2026-03-16</t>
        </is>
      </c>
      <c r="E135" s="7" t="n">
        <v>6</v>
      </c>
      <c r="F135" s="7" t="n">
        <v>761</v>
      </c>
      <c r="G135" s="7">
        <f>IF('0.입력칸'!$B$3="","",ROUND(F135/'0.입력칸'!$B$3,0))</f>
        <v/>
      </c>
      <c r="H135" s="7">
        <f>IF(OR('0.입력칸'!$B$3="",'0.입력칸'!$B$5=""),"",ROUND(G135*'0.입력칸'!$B$5,0))</f>
        <v/>
      </c>
      <c r="I135" s="7" t="inlineStr">
        <is>
          <t>있음</t>
        </is>
      </c>
      <c r="J135" s="7" t="inlineStr">
        <is>
          <t>시공사 (주)갑인</t>
        </is>
      </c>
      <c r="K135" s="7" t="inlineStr">
        <is>
          <t>지엘건축사사무소</t>
        </is>
      </c>
      <c r="L135" s="7" t="inlineStr">
        <is>
          <t>(주)대홍종합엔지니어링건축사사무소</t>
        </is>
      </c>
      <c r="M135" s="7" t="inlineStr">
        <is>
          <t>울산광역시남구</t>
        </is>
      </c>
      <c r="N135" s="7" t="inlineStr">
        <is>
          <t>용도변경</t>
        </is>
      </c>
      <c r="O135" s="7" t="inlineStr">
        <is>
          <t>울산광역시 남구 장생포로376번길 43 (매암동)</t>
        </is>
      </c>
    </row>
    <row r="136">
      <c r="A136" s="7" t="inlineStr">
        <is>
          <t>전라남도</t>
        </is>
      </c>
      <c r="B136" s="7" t="inlineStr">
        <is>
          <t>담양군</t>
        </is>
      </c>
      <c r="C136" s="7" t="inlineStr">
        <is>
          <t>금성면 봉서리 518 숙박시설 (유한회사더피닉스이철용)</t>
        </is>
      </c>
      <c r="D136" s="7" t="inlineStr">
        <is>
          <t>2025-05-23</t>
        </is>
      </c>
      <c r="E136" s="7" t="n">
        <v>16</v>
      </c>
      <c r="F136" s="7" t="n">
        <v>638</v>
      </c>
      <c r="G136" s="7">
        <f>IF('0.입력칸'!$B$3="","",ROUND(F136/'0.입력칸'!$B$3,0))</f>
        <v/>
      </c>
      <c r="H136" s="7">
        <f>IF(OR('0.입력칸'!$B$3="",'0.입력칸'!$B$5=""),"",ROUND(G136*'0.입력칸'!$B$5,0))</f>
        <v/>
      </c>
      <c r="I136" s="7" t="inlineStr">
        <is>
          <t>있음</t>
        </is>
      </c>
      <c r="J136" s="7" t="inlineStr">
        <is>
          <t>시공사 계림건설(주)</t>
        </is>
      </c>
      <c r="K136" s="7" t="inlineStr">
        <is>
          <t>(주)건축사사무소합동건축</t>
        </is>
      </c>
      <c r="L136" s="7" t="inlineStr">
        <is>
          <t>(주)건축사사무소합동건축</t>
        </is>
      </c>
      <c r="M136" s="7" t="inlineStr">
        <is>
          <t>(유)더 피닉스</t>
        </is>
      </c>
      <c r="N136" s="7" t="inlineStr">
        <is>
          <t>신축</t>
        </is>
      </c>
      <c r="O136" s="7" t="inlineStr">
        <is>
          <t>전라남도 담양군 금성면 봉서리 518번지</t>
        </is>
      </c>
    </row>
    <row r="137">
      <c r="A137" s="7" t="inlineStr">
        <is>
          <t>전라남도</t>
        </is>
      </c>
      <c r="B137" s="7" t="inlineStr">
        <is>
          <t>무안군</t>
        </is>
      </c>
      <c r="C137" s="7" t="inlineStr">
        <is>
          <t>청계면 복길리 128-6 숙박시설</t>
        </is>
      </c>
      <c r="D137" s="7" t="inlineStr">
        <is>
          <t>2022-12-28</t>
        </is>
      </c>
      <c r="E137" s="7" t="n">
        <v>45</v>
      </c>
      <c r="F137" s="7" t="n">
        <v>658</v>
      </c>
      <c r="G137" s="7">
        <f>IF('0.입력칸'!$B$3="","",ROUND(F137/'0.입력칸'!$B$3,0))</f>
        <v/>
      </c>
      <c r="H137" s="7">
        <f>IF(OR('0.입력칸'!$B$3="",'0.입력칸'!$B$5=""),"",ROUND(G137*'0.입력칸'!$B$5,0))</f>
        <v/>
      </c>
      <c r="I137" s="7" t="inlineStr">
        <is>
          <t>있음</t>
        </is>
      </c>
      <c r="J137" s="7" t="inlineStr">
        <is>
          <t>시공사 (주)미교종합건설</t>
        </is>
      </c>
      <c r="K137" s="7" t="inlineStr">
        <is>
          <t>탑건축사사무소</t>
        </is>
      </c>
      <c r="L137" s="7" t="inlineStr"/>
      <c r="M137" s="7" t="inlineStr"/>
      <c r="N137" s="7" t="inlineStr">
        <is>
          <t>신축</t>
        </is>
      </c>
      <c r="O137" s="7" t="inlineStr">
        <is>
          <t>전라남도 무안군 청계면 복길로 450-46</t>
        </is>
      </c>
    </row>
    <row r="138">
      <c r="A138" s="7" t="inlineStr">
        <is>
          <t>전라남도</t>
        </is>
      </c>
      <c r="B138" s="7" t="inlineStr">
        <is>
          <t>신안군</t>
        </is>
      </c>
      <c r="C138" s="7" t="inlineStr">
        <is>
          <t>임자면 대기리 331-11 숙박시설 (***)</t>
        </is>
      </c>
      <c r="D138" s="7" t="inlineStr">
        <is>
          <t>2024-04-26</t>
        </is>
      </c>
      <c r="E138" s="7" t="n">
        <v>29</v>
      </c>
      <c r="F138" s="7" t="n">
        <v>1343</v>
      </c>
      <c r="G138" s="7">
        <f>IF('0.입력칸'!$B$3="","",ROUND(F138/'0.입력칸'!$B$3,0))</f>
        <v/>
      </c>
      <c r="H138" s="7">
        <f>IF(OR('0.입력칸'!$B$3="",'0.입력칸'!$B$5=""),"",ROUND(G138*'0.입력칸'!$B$5,0))</f>
        <v/>
      </c>
      <c r="I138" s="7" t="inlineStr">
        <is>
          <t>있음</t>
        </is>
      </c>
      <c r="J138" s="7" t="inlineStr">
        <is>
          <t>시공사 (주)청룡건설</t>
        </is>
      </c>
      <c r="K138" s="7" t="inlineStr">
        <is>
          <t>(주)청룡건설</t>
        </is>
      </c>
      <c r="L138" s="7" t="inlineStr"/>
      <c r="M138" s="7" t="inlineStr"/>
      <c r="N138" s="7" t="inlineStr">
        <is>
          <t>신축</t>
        </is>
      </c>
      <c r="O138" s="7" t="inlineStr">
        <is>
          <t>전라남도 신안군 임자면 대광해수욕장 108</t>
        </is>
      </c>
    </row>
    <row r="139">
      <c r="A139" s="6" t="inlineStr">
        <is>
          <t>전라남도</t>
        </is>
      </c>
      <c r="B139" s="6" t="inlineStr">
        <is>
          <t>신안군</t>
        </is>
      </c>
      <c r="C139" s="6" t="inlineStr">
        <is>
          <t>자은면 백산리 00숙박시설</t>
        </is>
      </c>
      <c r="D139" s="6" t="inlineStr">
        <is>
          <t>2026-12-10</t>
        </is>
      </c>
      <c r="E139" s="6" t="n">
        <v>-3</v>
      </c>
      <c r="F139" s="6" t="n">
        <v>501</v>
      </c>
      <c r="G139" s="6">
        <f>IF('0.입력칸'!$B$3="","",ROUND(F139/'0.입력칸'!$B$3,0))</f>
        <v/>
      </c>
      <c r="H139" s="6">
        <f>IF(OR('0.입력칸'!$B$3="",'0.입력칸'!$B$5=""),"",ROUND(G139*'0.입력칸'!$B$5,0))</f>
        <v/>
      </c>
      <c r="I139" s="6" t="inlineStr">
        <is>
          <t>없음</t>
        </is>
      </c>
      <c r="J139" s="6" t="inlineStr">
        <is>
          <t>설계사 가람건축사사무소</t>
        </is>
      </c>
      <c r="K139" s="6" t="inlineStr">
        <is>
          <t>가람건축사사무소</t>
        </is>
      </c>
      <c r="L139" s="6" t="inlineStr"/>
      <c r="M139" s="6" t="inlineStr"/>
      <c r="N139" s="6" t="inlineStr">
        <is>
          <t>신축</t>
        </is>
      </c>
      <c r="O139" s="6" t="inlineStr">
        <is>
          <t>전라남도 신안군 자은면 자은서부2길 631-34</t>
        </is>
      </c>
    </row>
    <row r="140">
      <c r="A140" s="7" t="inlineStr">
        <is>
          <t>전라남도</t>
        </is>
      </c>
      <c r="B140" s="7" t="inlineStr">
        <is>
          <t>여수시</t>
        </is>
      </c>
      <c r="C140" s="7" t="inlineStr">
        <is>
          <t>돌산읍 평사리 318-94(택지2) 숙박시설 (하준이,심선오)</t>
        </is>
      </c>
      <c r="D140" s="7" t="inlineStr">
        <is>
          <t>2023-11-20</t>
        </is>
      </c>
      <c r="E140" s="7" t="n">
        <v>34</v>
      </c>
      <c r="F140" s="7" t="n">
        <v>888</v>
      </c>
      <c r="G140" s="7">
        <f>IF('0.입력칸'!$B$3="","",ROUND(F140/'0.입력칸'!$B$3,0))</f>
        <v/>
      </c>
      <c r="H140" s="7">
        <f>IF(OR('0.입력칸'!$B$3="",'0.입력칸'!$B$5=""),"",ROUND(G140*'0.입력칸'!$B$5,0))</f>
        <v/>
      </c>
      <c r="I140" s="7" t="inlineStr">
        <is>
          <t>있음</t>
        </is>
      </c>
      <c r="J140" s="7" t="inlineStr">
        <is>
          <t>시공사 인보종합건설(주)</t>
        </is>
      </c>
      <c r="K140" s="7" t="inlineStr">
        <is>
          <t>(주)간토건축사사무소</t>
        </is>
      </c>
      <c r="L140" s="7" t="inlineStr">
        <is>
          <t>(주)간토건축사사무소</t>
        </is>
      </c>
      <c r="M140" s="7" t="inlineStr"/>
      <c r="N140" s="7" t="inlineStr">
        <is>
          <t>신축</t>
        </is>
      </c>
      <c r="O140" s="7" t="inlineStr">
        <is>
          <t>전라남도 여수시 돌산읍 평사리 산 318-94번지</t>
        </is>
      </c>
    </row>
    <row r="141">
      <c r="A141" s="6" t="inlineStr">
        <is>
          <t>전라남도</t>
        </is>
      </c>
      <c r="B141" s="6" t="inlineStr">
        <is>
          <t>여수시</t>
        </is>
      </c>
      <c r="C141" s="6" t="inlineStr">
        <is>
          <t>소라면 사곡리 1094 관광숙박시설</t>
        </is>
      </c>
      <c r="D141" s="6" t="inlineStr">
        <is>
          <t>2025-02-05</t>
        </is>
      </c>
      <c r="E141" s="6" t="n">
        <v>19</v>
      </c>
      <c r="F141" s="6" t="n">
        <v>316</v>
      </c>
      <c r="G141" s="6">
        <f>IF('0.입력칸'!$B$3="","",ROUND(F141/'0.입력칸'!$B$3,0))</f>
        <v/>
      </c>
      <c r="H141" s="6">
        <f>IF(OR('0.입력칸'!$B$3="",'0.입력칸'!$B$5=""),"",ROUND(G141*'0.입력칸'!$B$5,0))</f>
        <v/>
      </c>
      <c r="I141" s="6" t="inlineStr">
        <is>
          <t>없음</t>
        </is>
      </c>
      <c r="J141" s="6" t="inlineStr">
        <is>
          <t>설계사 건축사사무소더함</t>
        </is>
      </c>
      <c r="K141" s="6" t="inlineStr">
        <is>
          <t>건축사사무소더함</t>
        </is>
      </c>
      <c r="L141" s="6" t="inlineStr">
        <is>
          <t>건축사사무소더함</t>
        </is>
      </c>
      <c r="M141" s="6" t="inlineStr"/>
      <c r="N141" s="6" t="inlineStr">
        <is>
          <t>신축</t>
        </is>
      </c>
      <c r="O141" s="6" t="inlineStr">
        <is>
          <t>전라남도 여수시 소라면 사곡리 1094번지</t>
        </is>
      </c>
    </row>
    <row r="142">
      <c r="A142" s="7" t="inlineStr">
        <is>
          <t>전라남도</t>
        </is>
      </c>
      <c r="B142" s="7" t="inlineStr">
        <is>
          <t>여수시</t>
        </is>
      </c>
      <c r="C142" s="7" t="inlineStr">
        <is>
          <t>화양면 나진리 206 숙박시설 (***)</t>
        </is>
      </c>
      <c r="D142" s="7" t="inlineStr">
        <is>
          <t>2023-11-10</t>
        </is>
      </c>
      <c r="E142" s="7" t="n">
        <v>34</v>
      </c>
      <c r="F142" s="7" t="n">
        <v>268</v>
      </c>
      <c r="G142" s="7">
        <f>IF('0.입력칸'!$B$3="","",ROUND(F142/'0.입력칸'!$B$3,0))</f>
        <v/>
      </c>
      <c r="H142" s="7">
        <f>IF(OR('0.입력칸'!$B$3="",'0.입력칸'!$B$5=""),"",ROUND(G142*'0.입력칸'!$B$5,0))</f>
        <v/>
      </c>
      <c r="I142" s="7" t="inlineStr">
        <is>
          <t>있음</t>
        </is>
      </c>
      <c r="J142" s="7" t="inlineStr">
        <is>
          <t>시공사 우주이엔씨(주)</t>
        </is>
      </c>
      <c r="K142" s="7" t="inlineStr">
        <is>
          <t>건축사사무소희람</t>
        </is>
      </c>
      <c r="L142" s="7" t="inlineStr"/>
      <c r="M142" s="7" t="inlineStr"/>
      <c r="N142" s="7" t="inlineStr">
        <is>
          <t>신축</t>
        </is>
      </c>
      <c r="O142" s="7" t="inlineStr">
        <is>
          <t>전라남도 여수시 화양면 나진리 산 206번지</t>
        </is>
      </c>
    </row>
    <row r="143">
      <c r="A143" s="6" t="inlineStr">
        <is>
          <t>전라남도</t>
        </is>
      </c>
      <c r="B143" s="6" t="inlineStr">
        <is>
          <t>완도군</t>
        </is>
      </c>
      <c r="C143" s="6" t="inlineStr">
        <is>
          <t>신지면 신리 540-4 숙박시설 (***)</t>
        </is>
      </c>
      <c r="D143" s="6" t="inlineStr">
        <is>
          <t>2025-07-30</t>
        </is>
      </c>
      <c r="E143" s="6" t="n">
        <v>14</v>
      </c>
      <c r="F143" s="6" t="n">
        <v>255</v>
      </c>
      <c r="G143" s="6">
        <f>IF('0.입력칸'!$B$3="","",ROUND(F143/'0.입력칸'!$B$3,0))</f>
        <v/>
      </c>
      <c r="H143" s="6">
        <f>IF(OR('0.입력칸'!$B$3="",'0.입력칸'!$B$5=""),"",ROUND(G143*'0.입력칸'!$B$5,0))</f>
        <v/>
      </c>
      <c r="I143" s="6" t="inlineStr">
        <is>
          <t>없음</t>
        </is>
      </c>
      <c r="J143" s="6" t="inlineStr">
        <is>
          <t>설계사 푸른건축사사무소</t>
        </is>
      </c>
      <c r="K143" s="6" t="inlineStr">
        <is>
          <t>푸른건축사사무소</t>
        </is>
      </c>
      <c r="L143" s="6" t="inlineStr"/>
      <c r="M143" s="6" t="inlineStr"/>
      <c r="N143" s="6" t="inlineStr">
        <is>
          <t>신축</t>
        </is>
      </c>
      <c r="O143" s="6" t="inlineStr">
        <is>
          <t>전라남도 완도군 신지면 신리 540-4번지</t>
        </is>
      </c>
    </row>
    <row r="144">
      <c r="A144" s="6" t="inlineStr">
        <is>
          <t>전라남도</t>
        </is>
      </c>
      <c r="B144" s="6" t="inlineStr">
        <is>
          <t>장흥군</t>
        </is>
      </c>
      <c r="C144" s="6" t="inlineStr">
        <is>
          <t>안양면 수문리 102-13 숙박시설 (***)</t>
        </is>
      </c>
      <c r="D144" s="6" t="inlineStr">
        <is>
          <t>2022-10-05</t>
        </is>
      </c>
      <c r="E144" s="6" t="n">
        <v>48</v>
      </c>
      <c r="F144" s="6" t="n">
        <v>1310</v>
      </c>
      <c r="G144" s="6">
        <f>IF('0.입력칸'!$B$3="","",ROUND(F144/'0.입력칸'!$B$3,0))</f>
        <v/>
      </c>
      <c r="H144" s="6">
        <f>IF(OR('0.입력칸'!$B$3="",'0.입력칸'!$B$5=""),"",ROUND(G144*'0.입력칸'!$B$5,0))</f>
        <v/>
      </c>
      <c r="I144" s="6" t="inlineStr">
        <is>
          <t>없음</t>
        </is>
      </c>
      <c r="J144" s="6" t="inlineStr">
        <is>
          <t>설계사 조건축사사무소</t>
        </is>
      </c>
      <c r="K144" s="6" t="inlineStr">
        <is>
          <t>조건축사사무소</t>
        </is>
      </c>
      <c r="L144" s="6" t="inlineStr"/>
      <c r="M144" s="6" t="inlineStr"/>
      <c r="N144" s="6" t="inlineStr">
        <is>
          <t>증축</t>
        </is>
      </c>
      <c r="O144" s="6" t="inlineStr">
        <is>
          <t>전라남도 장흥군 안양면 수문용교로 193-33</t>
        </is>
      </c>
    </row>
    <row r="145">
      <c r="A145" s="6" t="inlineStr">
        <is>
          <t>전라남도</t>
        </is>
      </c>
      <c r="B145" s="6" t="inlineStr">
        <is>
          <t>해남군</t>
        </is>
      </c>
      <c r="C145" s="6" t="inlineStr">
        <is>
          <t>송지면 송호리 1123-9 숙박시설 (***)</t>
        </is>
      </c>
      <c r="D145" s="6" t="inlineStr">
        <is>
          <t>2024-03-20</t>
        </is>
      </c>
      <c r="E145" s="6" t="n">
        <v>30</v>
      </c>
      <c r="F145" s="6" t="n">
        <v>960</v>
      </c>
      <c r="G145" s="6">
        <f>IF('0.입력칸'!$B$3="","",ROUND(F145/'0.입력칸'!$B$3,0))</f>
        <v/>
      </c>
      <c r="H145" s="6">
        <f>IF(OR('0.입력칸'!$B$3="",'0.입력칸'!$B$5=""),"",ROUND(G145*'0.입력칸'!$B$5,0))</f>
        <v/>
      </c>
      <c r="I145" s="6" t="inlineStr">
        <is>
          <t>없음</t>
        </is>
      </c>
      <c r="J145" s="6" t="inlineStr">
        <is>
          <t>설계사 민건축사사무소</t>
        </is>
      </c>
      <c r="K145" s="6" t="inlineStr">
        <is>
          <t>민건축사사무소</t>
        </is>
      </c>
      <c r="L145" s="6" t="inlineStr"/>
      <c r="M145" s="6" t="inlineStr"/>
      <c r="N145" s="6" t="inlineStr">
        <is>
          <t>신축</t>
        </is>
      </c>
      <c r="O145" s="6" t="inlineStr">
        <is>
          <t>전라남도 해남군 송지면 땅끝해안로 2084</t>
        </is>
      </c>
    </row>
    <row r="146">
      <c r="A146" s="7" t="inlineStr">
        <is>
          <t>전북특별자치도</t>
        </is>
      </c>
      <c r="B146" s="7" t="inlineStr">
        <is>
          <t>무주군</t>
        </is>
      </c>
      <c r="C146" s="7" t="inlineStr">
        <is>
          <t>무풍면 삼거리 259 숙박시설 (***)(2단지)</t>
        </is>
      </c>
      <c r="D146" s="7" t="inlineStr">
        <is>
          <t>2022-09-05</t>
        </is>
      </c>
      <c r="E146" s="7" t="n">
        <v>49</v>
      </c>
      <c r="F146" s="7" t="n">
        <v>1081</v>
      </c>
      <c r="G146" s="7">
        <f>IF('0.입력칸'!$B$3="","",ROUND(F146/'0.입력칸'!$B$3,0))</f>
        <v/>
      </c>
      <c r="H146" s="7">
        <f>IF(OR('0.입력칸'!$B$3="",'0.입력칸'!$B$5=""),"",ROUND(G146*'0.입력칸'!$B$5,0))</f>
        <v/>
      </c>
      <c r="I146" s="7" t="inlineStr">
        <is>
          <t>있음</t>
        </is>
      </c>
      <c r="J146" s="7" t="inlineStr">
        <is>
          <t>시공사 (유)더지음</t>
        </is>
      </c>
      <c r="K146" s="7" t="inlineStr">
        <is>
          <t>건축사사무소이건</t>
        </is>
      </c>
      <c r="L146" s="7" t="inlineStr">
        <is>
          <t>건축사사무소이건</t>
        </is>
      </c>
      <c r="M146" s="7" t="inlineStr"/>
      <c r="N146" s="7" t="inlineStr">
        <is>
          <t>신축</t>
        </is>
      </c>
      <c r="O146" s="7" t="inlineStr">
        <is>
          <t>전북특별자치도 무주군 무풍면 구천동로 437</t>
        </is>
      </c>
    </row>
    <row r="147">
      <c r="A147" s="6" t="inlineStr">
        <is>
          <t>전북특별자치도</t>
        </is>
      </c>
      <c r="B147" s="6" t="inlineStr">
        <is>
          <t>무주군</t>
        </is>
      </c>
      <c r="C147" s="6" t="inlineStr">
        <is>
          <t>설천면 삼공리 348-3 숙박시설</t>
        </is>
      </c>
      <c r="D147" s="6" t="inlineStr">
        <is>
          <t>2024-12-16</t>
        </is>
      </c>
      <c r="E147" s="6" t="n">
        <v>21</v>
      </c>
      <c r="F147" s="6" t="n">
        <v>588</v>
      </c>
      <c r="G147" s="6">
        <f>IF('0.입력칸'!$B$3="","",ROUND(F147/'0.입력칸'!$B$3,0))</f>
        <v/>
      </c>
      <c r="H147" s="6">
        <f>IF(OR('0.입력칸'!$B$3="",'0.입력칸'!$B$5=""),"",ROUND(G147*'0.입력칸'!$B$5,0))</f>
        <v/>
      </c>
      <c r="I147" s="6" t="inlineStr">
        <is>
          <t>없음</t>
        </is>
      </c>
      <c r="J147" s="6" t="inlineStr">
        <is>
          <t>설계사 (주)아키후드건축사사무소</t>
        </is>
      </c>
      <c r="K147" s="6" t="inlineStr">
        <is>
          <t>(주)아키후드건축사사무소</t>
        </is>
      </c>
      <c r="L147" s="6" t="inlineStr"/>
      <c r="M147" s="6" t="inlineStr"/>
      <c r="N147" s="6" t="inlineStr">
        <is>
          <t>신축</t>
        </is>
      </c>
      <c r="O147" s="6" t="inlineStr">
        <is>
          <t>전북특별자치도 무주군 설천면 삼공리 348-3번지</t>
        </is>
      </c>
    </row>
    <row r="148">
      <c r="A148" s="7" t="inlineStr">
        <is>
          <t>전북특별자치도</t>
        </is>
      </c>
      <c r="B148" s="7" t="inlineStr">
        <is>
          <t>무주군</t>
        </is>
      </c>
      <c r="C148" s="7" t="inlineStr">
        <is>
          <t>무풍면 삼거리 259 숙박시설 (***)(1단지)</t>
        </is>
      </c>
      <c r="D148" s="7" t="inlineStr">
        <is>
          <t>2022-09-05</t>
        </is>
      </c>
      <c r="E148" s="7" t="n">
        <v>49</v>
      </c>
      <c r="F148" s="7" t="n">
        <v>571</v>
      </c>
      <c r="G148" s="7">
        <f>IF('0.입력칸'!$B$3="","",ROUND(F148/'0.입력칸'!$B$3,0))</f>
        <v/>
      </c>
      <c r="H148" s="7">
        <f>IF(OR('0.입력칸'!$B$3="",'0.입력칸'!$B$5=""),"",ROUND(G148*'0.입력칸'!$B$5,0))</f>
        <v/>
      </c>
      <c r="I148" s="7" t="inlineStr">
        <is>
          <t>있음</t>
        </is>
      </c>
      <c r="J148" s="7" t="inlineStr">
        <is>
          <t>시공사 (유)더지음</t>
        </is>
      </c>
      <c r="K148" s="7" t="inlineStr">
        <is>
          <t>건축사사무소이건</t>
        </is>
      </c>
      <c r="L148" s="7" t="inlineStr">
        <is>
          <t>건축사사무소이건</t>
        </is>
      </c>
      <c r="M148" s="7" t="inlineStr"/>
      <c r="N148" s="7" t="inlineStr">
        <is>
          <t>신축</t>
        </is>
      </c>
      <c r="O148" s="7" t="inlineStr">
        <is>
          <t>전북특별자치도 무주군 무풍면 구천동로 435</t>
        </is>
      </c>
    </row>
    <row r="149">
      <c r="A149" s="6" t="inlineStr">
        <is>
          <t>전북특별자치도</t>
        </is>
      </c>
      <c r="B149" s="6" t="inlineStr">
        <is>
          <t>부안군</t>
        </is>
      </c>
      <c r="C149" s="6" t="inlineStr">
        <is>
          <t>변산면 대항리 366-1 숙박시설</t>
        </is>
      </c>
      <c r="D149" s="6" t="inlineStr">
        <is>
          <t>2026-01-06</t>
        </is>
      </c>
      <c r="E149" s="6" t="n">
        <v>8</v>
      </c>
      <c r="F149" s="6" t="n">
        <v>304</v>
      </c>
      <c r="G149" s="6">
        <f>IF('0.입력칸'!$B$3="","",ROUND(F149/'0.입력칸'!$B$3,0))</f>
        <v/>
      </c>
      <c r="H149" s="6">
        <f>IF(OR('0.입력칸'!$B$3="",'0.입력칸'!$B$5=""),"",ROUND(G149*'0.입력칸'!$B$5,0))</f>
        <v/>
      </c>
      <c r="I149" s="6" t="inlineStr">
        <is>
          <t>없음</t>
        </is>
      </c>
      <c r="J149" s="6" t="inlineStr">
        <is>
          <t>설계사 건축사사무소예림</t>
        </is>
      </c>
      <c r="K149" s="6" t="inlineStr">
        <is>
          <t>건축사사무소예림</t>
        </is>
      </c>
      <c r="L149" s="6" t="inlineStr"/>
      <c r="M149" s="6" t="inlineStr"/>
      <c r="N149" s="6" t="inlineStr">
        <is>
          <t>증축</t>
        </is>
      </c>
      <c r="O149" s="6" t="inlineStr">
        <is>
          <t>전북특별자치도 부안군 변산면 대항길 68-7</t>
        </is>
      </c>
    </row>
    <row r="150">
      <c r="A150" s="7" t="inlineStr">
        <is>
          <t>광주광역시</t>
        </is>
      </c>
      <c r="B150" s="7" t="inlineStr">
        <is>
          <t>동구</t>
        </is>
      </c>
      <c r="C150" s="7" t="inlineStr">
        <is>
          <t>운림동 1001 번지 관광숙박시설 호스텔</t>
        </is>
      </c>
      <c r="D150" s="7" t="inlineStr">
        <is>
          <t>2024-08-12</t>
        </is>
      </c>
      <c r="E150" s="7" t="n">
        <v>25</v>
      </c>
      <c r="F150" s="7" t="n">
        <v>487</v>
      </c>
      <c r="G150" s="7">
        <f>IF('0.입력칸'!$B$3="","",ROUND(F150/'0.입력칸'!$B$3,0))</f>
        <v/>
      </c>
      <c r="H150" s="7">
        <f>IF(OR('0.입력칸'!$B$3="",'0.입력칸'!$B$5=""),"",ROUND(G150*'0.입력칸'!$B$5,0))</f>
        <v/>
      </c>
      <c r="I150" s="7" t="inlineStr">
        <is>
          <t>있음</t>
        </is>
      </c>
      <c r="J150" s="7" t="inlineStr">
        <is>
          <t>시공사 (주)탑종합건설</t>
        </is>
      </c>
      <c r="K150" s="7" t="inlineStr">
        <is>
          <t>원건축사사무소</t>
        </is>
      </c>
      <c r="L150" s="7" t="inlineStr">
        <is>
          <t>원건축사사무소</t>
        </is>
      </c>
      <c r="M150" s="7" t="inlineStr"/>
      <c r="N150" s="7" t="inlineStr">
        <is>
          <t>신축</t>
        </is>
      </c>
      <c r="O150" s="7" t="inlineStr">
        <is>
          <t>광주광역시 동구 중심사길30번길 39-2 (운림동)</t>
        </is>
      </c>
    </row>
    <row r="151">
      <c r="A151" s="6" t="inlineStr">
        <is>
          <t>전남광주통합특별시</t>
        </is>
      </c>
      <c r="B151" s="6" t="inlineStr">
        <is>
          <t>영암군</t>
        </is>
      </c>
      <c r="C151" s="6" t="inlineStr">
        <is>
          <t>영암읍 개신리 484-32 숙박시설 (***)</t>
        </is>
      </c>
      <c r="D151" s="6" t="inlineStr">
        <is>
          <t>2025-08-12</t>
        </is>
      </c>
      <c r="E151" s="6" t="n">
        <v>13</v>
      </c>
      <c r="F151" s="6" t="n">
        <v>514</v>
      </c>
      <c r="G151" s="6">
        <f>IF('0.입력칸'!$B$3="","",ROUND(F151/'0.입력칸'!$B$3,0))</f>
        <v/>
      </c>
      <c r="H151" s="6">
        <f>IF(OR('0.입력칸'!$B$3="",'0.입력칸'!$B$5=""),"",ROUND(G151*'0.입력칸'!$B$5,0))</f>
        <v/>
      </c>
      <c r="I151" s="6" t="inlineStr">
        <is>
          <t>없음</t>
        </is>
      </c>
      <c r="J151" s="6" t="inlineStr">
        <is>
          <t>설계사 명제건축사사무소</t>
        </is>
      </c>
      <c r="K151" s="6" t="inlineStr">
        <is>
          <t>명제건축사사무소</t>
        </is>
      </c>
      <c r="L151" s="6" t="inlineStr"/>
      <c r="M151" s="6" t="inlineStr"/>
      <c r="N151" s="6" t="inlineStr">
        <is>
          <t>신축</t>
        </is>
      </c>
      <c r="O151" s="6" t="inlineStr">
        <is>
          <t>전남광주통합특별시 영암군 영암읍 개신리 484-32번지</t>
        </is>
      </c>
    </row>
    <row r="152">
      <c r="A152" s="7" t="inlineStr">
        <is>
          <t>전남광주통합특별시</t>
        </is>
      </c>
      <c r="B152" s="7" t="inlineStr">
        <is>
          <t>완도군</t>
        </is>
      </c>
      <c r="C152" s="7" t="inlineStr">
        <is>
          <t>신지면 신리 816-1 생활숙박시설</t>
        </is>
      </c>
      <c r="D152" s="7" t="inlineStr">
        <is>
          <t>2026-06-09</t>
        </is>
      </c>
      <c r="E152" s="7" t="n">
        <v>3</v>
      </c>
      <c r="F152" s="7" t="n">
        <v>1139</v>
      </c>
      <c r="G152" s="7">
        <f>IF('0.입력칸'!$B$3="","",ROUND(F152/'0.입력칸'!$B$3,0))</f>
        <v/>
      </c>
      <c r="H152" s="7">
        <f>IF(OR('0.입력칸'!$B$3="",'0.입력칸'!$B$5=""),"",ROUND(G152*'0.입력칸'!$B$5,0))</f>
        <v/>
      </c>
      <c r="I152" s="7" t="inlineStr">
        <is>
          <t>있음</t>
        </is>
      </c>
      <c r="J152" s="7" t="inlineStr">
        <is>
          <t>시공사 (주)바른종합건설</t>
        </is>
      </c>
      <c r="K152" s="7" t="inlineStr">
        <is>
          <t>마루건축사사무소</t>
        </is>
      </c>
      <c r="L152" s="7" t="inlineStr">
        <is>
          <t>우리공간건축사사무소</t>
        </is>
      </c>
      <c r="M152" s="7" t="inlineStr"/>
      <c r="N152" s="7" t="inlineStr">
        <is>
          <t>신축</t>
        </is>
      </c>
      <c r="O152" s="7" t="inlineStr">
        <is>
          <t>전남광주통합특별시 완도군 신지면 신리 816-1번지</t>
        </is>
      </c>
    </row>
    <row r="153">
      <c r="A153" s="6" t="inlineStr">
        <is>
          <t>제주특별자치도</t>
        </is>
      </c>
      <c r="B153" s="6" t="inlineStr">
        <is>
          <t>서귀포시</t>
        </is>
      </c>
      <c r="C153" s="6" t="inlineStr">
        <is>
          <t>안덕면 사계리 2795-6 번지 생활숙박시설 신축공사</t>
        </is>
      </c>
      <c r="D153" s="6" t="inlineStr">
        <is>
          <t>2026-04-30</t>
        </is>
      </c>
      <c r="E153" s="6" t="n">
        <v>5</v>
      </c>
      <c r="F153" s="6" t="n">
        <v>795</v>
      </c>
      <c r="G153" s="6">
        <f>IF('0.입력칸'!$B$3="","",ROUND(F153/'0.입력칸'!$B$3,0))</f>
        <v/>
      </c>
      <c r="H153" s="6">
        <f>IF(OR('0.입력칸'!$B$3="",'0.입력칸'!$B$5=""),"",ROUND(G153*'0.입력칸'!$B$5,0))</f>
        <v/>
      </c>
      <c r="I153" s="6" t="inlineStr">
        <is>
          <t>없음</t>
        </is>
      </c>
      <c r="J153" s="6" t="inlineStr">
        <is>
          <t>설계사 건축사사무소담현</t>
        </is>
      </c>
      <c r="K153" s="6" t="inlineStr">
        <is>
          <t>건축사사무소담현</t>
        </is>
      </c>
      <c r="L153" s="6" t="inlineStr"/>
      <c r="M153" s="6" t="inlineStr"/>
      <c r="N153" s="6" t="inlineStr">
        <is>
          <t>신축</t>
        </is>
      </c>
      <c r="O153" s="6" t="inlineStr">
        <is>
          <t>제주특별자치도 서귀포시 안덕면 사계리 2795-6번지</t>
        </is>
      </c>
    </row>
    <row r="154">
      <c r="A154" s="6" t="inlineStr">
        <is>
          <t>제주특별자치도</t>
        </is>
      </c>
      <c r="B154" s="6" t="inlineStr">
        <is>
          <t>서귀포시</t>
        </is>
      </c>
      <c r="C154" s="6" t="inlineStr">
        <is>
          <t>안덕면 사계리 2796 생활숙박시설 신축공사</t>
        </is>
      </c>
      <c r="D154" s="6" t="inlineStr">
        <is>
          <t>2026-04-24</t>
        </is>
      </c>
      <c r="E154" s="6" t="n">
        <v>5</v>
      </c>
      <c r="F154" s="6" t="n">
        <v>439</v>
      </c>
      <c r="G154" s="6">
        <f>IF('0.입력칸'!$B$3="","",ROUND(F154/'0.입력칸'!$B$3,0))</f>
        <v/>
      </c>
      <c r="H154" s="6">
        <f>IF(OR('0.입력칸'!$B$3="",'0.입력칸'!$B$5=""),"",ROUND(G154*'0.입력칸'!$B$5,0))</f>
        <v/>
      </c>
      <c r="I154" s="6" t="inlineStr">
        <is>
          <t>없음</t>
        </is>
      </c>
      <c r="J154" s="6" t="inlineStr">
        <is>
          <t>설계사 건축사사무소담현</t>
        </is>
      </c>
      <c r="K154" s="6" t="inlineStr">
        <is>
          <t>건축사사무소담현</t>
        </is>
      </c>
      <c r="L154" s="6" t="inlineStr"/>
      <c r="M154" s="6" t="inlineStr">
        <is>
          <t>(주)에이치케이</t>
        </is>
      </c>
      <c r="N154" s="6" t="inlineStr">
        <is>
          <t>신축</t>
        </is>
      </c>
      <c r="O154" s="6" t="inlineStr">
        <is>
          <t>제주특별자치도 서귀포시 안덕면 사계리 2796번지</t>
        </is>
      </c>
    </row>
    <row r="155">
      <c r="A155" s="6" t="inlineStr">
        <is>
          <t>제주특별자치도</t>
        </is>
      </c>
      <c r="B155" s="6" t="inlineStr">
        <is>
          <t>서귀포시</t>
        </is>
      </c>
      <c r="C155" s="6" t="inlineStr">
        <is>
          <t>안덕면 사계리 2800-7 숙박시설신축공사</t>
        </is>
      </c>
      <c r="D155" s="6" t="inlineStr">
        <is>
          <t>2026-04-24</t>
        </is>
      </c>
      <c r="E155" s="6" t="n">
        <v>5</v>
      </c>
      <c r="F155" s="6" t="n">
        <v>368</v>
      </c>
      <c r="G155" s="6">
        <f>IF('0.입력칸'!$B$3="","",ROUND(F155/'0.입력칸'!$B$3,0))</f>
        <v/>
      </c>
      <c r="H155" s="6">
        <f>IF(OR('0.입력칸'!$B$3="",'0.입력칸'!$B$5=""),"",ROUND(G155*'0.입력칸'!$B$5,0))</f>
        <v/>
      </c>
      <c r="I155" s="6" t="inlineStr">
        <is>
          <t>없음</t>
        </is>
      </c>
      <c r="J155" s="6" t="inlineStr">
        <is>
          <t>설계사 건축사사무소담현</t>
        </is>
      </c>
      <c r="K155" s="6" t="inlineStr">
        <is>
          <t>건축사사무소담현</t>
        </is>
      </c>
      <c r="L155" s="6" t="inlineStr"/>
      <c r="M155" s="6" t="inlineStr"/>
      <c r="N155" s="6" t="inlineStr">
        <is>
          <t>신축</t>
        </is>
      </c>
      <c r="O155" s="6" t="inlineStr">
        <is>
          <t>제주특별자치도 서귀포시 안덕면 사계리 2800-7번지</t>
        </is>
      </c>
    </row>
    <row r="156">
      <c r="A156" s="6" t="inlineStr">
        <is>
          <t>제주특별자치도</t>
        </is>
      </c>
      <c r="B156" s="6" t="inlineStr">
        <is>
          <t>서귀포시</t>
        </is>
      </c>
      <c r="C156" s="6" t="inlineStr">
        <is>
          <t>성산읍 성산리 196-1 숙박시설 (***)</t>
        </is>
      </c>
      <c r="D156" s="6" t="inlineStr">
        <is>
          <t>2023-10-12</t>
        </is>
      </c>
      <c r="E156" s="6" t="n">
        <v>35</v>
      </c>
      <c r="F156" s="6" t="n">
        <v>61</v>
      </c>
      <c r="G156" s="6">
        <f>IF('0.입력칸'!$B$3="","",ROUND(F156/'0.입력칸'!$B$3,0))</f>
        <v/>
      </c>
      <c r="H156" s="6">
        <f>IF(OR('0.입력칸'!$B$3="",'0.입력칸'!$B$5=""),"",ROUND(G156*'0.입력칸'!$B$5,0))</f>
        <v/>
      </c>
      <c r="I156" s="6" t="inlineStr">
        <is>
          <t>없음</t>
        </is>
      </c>
      <c r="J156" s="6" t="inlineStr">
        <is>
          <t>설계사 오조건축사사무소</t>
        </is>
      </c>
      <c r="K156" s="6" t="inlineStr">
        <is>
          <t>오조건축사사무소</t>
        </is>
      </c>
      <c r="L156" s="6" t="inlineStr"/>
      <c r="M156" s="6" t="inlineStr"/>
      <c r="N156" s="6" t="inlineStr">
        <is>
          <t>신축</t>
        </is>
      </c>
      <c r="O156" s="6" t="inlineStr">
        <is>
          <t>제주특별자치도 서귀포시 성산읍 성산리 196-1번지</t>
        </is>
      </c>
    </row>
    <row r="157">
      <c r="A157" s="6" t="inlineStr">
        <is>
          <t>제주특별자치도</t>
        </is>
      </c>
      <c r="B157" s="6" t="inlineStr">
        <is>
          <t>제주시</t>
        </is>
      </c>
      <c r="C157" s="6" t="inlineStr">
        <is>
          <t>구좌읍 세화리 1519-1 숙박시설 (***)</t>
        </is>
      </c>
      <c r="D157" s="6" t="inlineStr">
        <is>
          <t>2025-01-17</t>
        </is>
      </c>
      <c r="E157" s="6" t="n">
        <v>20</v>
      </c>
      <c r="F157" s="6" t="n">
        <v>1499</v>
      </c>
      <c r="G157" s="6">
        <f>IF('0.입력칸'!$B$3="","",ROUND(F157/'0.입력칸'!$B$3,0))</f>
        <v/>
      </c>
      <c r="H157" s="6">
        <f>IF(OR('0.입력칸'!$B$3="",'0.입력칸'!$B$5=""),"",ROUND(G157*'0.입력칸'!$B$5,0))</f>
        <v/>
      </c>
      <c r="I157" s="6" t="inlineStr">
        <is>
          <t>없음</t>
        </is>
      </c>
      <c r="J157" s="6" t="inlineStr">
        <is>
          <t>설계사 도도건축사사무소</t>
        </is>
      </c>
      <c r="K157" s="6" t="inlineStr">
        <is>
          <t>도도건축사사무소</t>
        </is>
      </c>
      <c r="L157" s="6" t="inlineStr"/>
      <c r="M157" s="6" t="inlineStr"/>
      <c r="N157" s="6" t="inlineStr">
        <is>
          <t>신축</t>
        </is>
      </c>
      <c r="O157" s="6" t="inlineStr">
        <is>
          <t>제주특별자치도 제주시 구좌읍 구좌로 33-8</t>
        </is>
      </c>
    </row>
    <row r="158">
      <c r="A158" s="7" t="inlineStr">
        <is>
          <t>제주특별자치도</t>
        </is>
      </c>
      <c r="B158" s="7" t="inlineStr">
        <is>
          <t>제주시</t>
        </is>
      </c>
      <c r="C158" s="7" t="inlineStr">
        <is>
          <t>이도일동 1466-1 숙박시설 ((주)원탑건설)</t>
        </is>
      </c>
      <c r="D158" s="7" t="inlineStr">
        <is>
          <t>2023-01-19</t>
        </is>
      </c>
      <c r="E158" s="7" t="n">
        <v>44</v>
      </c>
      <c r="F158" s="7" t="n">
        <v>1018</v>
      </c>
      <c r="G158" s="7">
        <f>IF('0.입력칸'!$B$3="","",ROUND(F158/'0.입력칸'!$B$3,0))</f>
        <v/>
      </c>
      <c r="H158" s="7">
        <f>IF(OR('0.입력칸'!$B$3="",'0.입력칸'!$B$5=""),"",ROUND(G158*'0.입력칸'!$B$5,0))</f>
        <v/>
      </c>
      <c r="I158" s="7" t="inlineStr">
        <is>
          <t>있음</t>
        </is>
      </c>
      <c r="J158" s="7" t="inlineStr">
        <is>
          <t>시공사 네스트종합건설(주)</t>
        </is>
      </c>
      <c r="K158" s="7" t="inlineStr">
        <is>
          <t>(주)태광종합건축사사무소</t>
        </is>
      </c>
      <c r="L158" s="7" t="inlineStr">
        <is>
          <t>(주)태광종합건축사사무소</t>
        </is>
      </c>
      <c r="M158" s="7" t="inlineStr">
        <is>
          <t>원탑건설(주)</t>
        </is>
      </c>
      <c r="N158" s="7" t="inlineStr">
        <is>
          <t>신축</t>
        </is>
      </c>
      <c r="O158" s="7" t="inlineStr">
        <is>
          <t>제주특별자치도 제주시 이도일동 1466-1번지</t>
        </is>
      </c>
    </row>
    <row r="159">
      <c r="A159" s="7" t="inlineStr">
        <is>
          <t>제주특별자치도</t>
        </is>
      </c>
      <c r="B159" s="7" t="inlineStr">
        <is>
          <t>제주시</t>
        </is>
      </c>
      <c r="C159" s="7" t="inlineStr">
        <is>
          <t>조천읍 신촌리 1310-5 숙박시설</t>
        </is>
      </c>
      <c r="D159" s="7" t="inlineStr">
        <is>
          <t>2024-07-12</t>
        </is>
      </c>
      <c r="E159" s="7" t="n">
        <v>26</v>
      </c>
      <c r="F159" s="7" t="n">
        <v>996</v>
      </c>
      <c r="G159" s="7">
        <f>IF('0.입력칸'!$B$3="","",ROUND(F159/'0.입력칸'!$B$3,0))</f>
        <v/>
      </c>
      <c r="H159" s="7">
        <f>IF(OR('0.입력칸'!$B$3="",'0.입력칸'!$B$5=""),"",ROUND(G159*'0.입력칸'!$B$5,0))</f>
        <v/>
      </c>
      <c r="I159" s="7" t="inlineStr">
        <is>
          <t>있음</t>
        </is>
      </c>
      <c r="J159" s="7" t="inlineStr">
        <is>
          <t>시공사 한탑종합건설(주)</t>
        </is>
      </c>
      <c r="K159" s="7" t="inlineStr">
        <is>
          <t>김상대</t>
        </is>
      </c>
      <c r="L159" s="7" t="inlineStr">
        <is>
          <t>김상대</t>
        </is>
      </c>
      <c r="M159" s="7" t="inlineStr">
        <is>
          <t>폴라리스(주)</t>
        </is>
      </c>
      <c r="N159" s="7" t="inlineStr">
        <is>
          <t>신축</t>
        </is>
      </c>
      <c r="O159" s="7" t="inlineStr">
        <is>
          <t>제주특별자치도 제주시 조천읍 신촌리 1310-5번지</t>
        </is>
      </c>
    </row>
    <row r="160">
      <c r="A160" s="7" t="inlineStr">
        <is>
          <t>제주특별자치도</t>
        </is>
      </c>
      <c r="B160" s="7" t="inlineStr">
        <is>
          <t>제주시</t>
        </is>
      </c>
      <c r="C160" s="7" t="inlineStr">
        <is>
          <t>한림읍 상대리 2648-6 숙박시설 (***)</t>
        </is>
      </c>
      <c r="D160" s="7" t="inlineStr">
        <is>
          <t>2024-02-15</t>
        </is>
      </c>
      <c r="E160" s="7" t="n">
        <v>31</v>
      </c>
      <c r="F160" s="7" t="n">
        <v>889</v>
      </c>
      <c r="G160" s="7">
        <f>IF('0.입력칸'!$B$3="","",ROUND(F160/'0.입력칸'!$B$3,0))</f>
        <v/>
      </c>
      <c r="H160" s="7">
        <f>IF(OR('0.입력칸'!$B$3="",'0.입력칸'!$B$5=""),"",ROUND(G160*'0.입력칸'!$B$5,0))</f>
        <v/>
      </c>
      <c r="I160" s="7" t="inlineStr">
        <is>
          <t>있음</t>
        </is>
      </c>
      <c r="J160" s="7" t="inlineStr">
        <is>
          <t>시공사 (주)황보종합건설</t>
        </is>
      </c>
      <c r="K160" s="7" t="inlineStr">
        <is>
          <t>(주)서웅건축사사무소</t>
        </is>
      </c>
      <c r="L160" s="7" t="inlineStr">
        <is>
          <t>(주)서웅건축사사무소</t>
        </is>
      </c>
      <c r="M160" s="7" t="inlineStr"/>
      <c r="N160" s="7" t="inlineStr">
        <is>
          <t>신축</t>
        </is>
      </c>
      <c r="O160" s="7" t="inlineStr">
        <is>
          <t>제주특별자치도 제주시 한림읍 상대리 2648-6번지</t>
        </is>
      </c>
    </row>
    <row r="161">
      <c r="A161" s="7" t="inlineStr">
        <is>
          <t>제주특별자치도</t>
        </is>
      </c>
      <c r="B161" s="7" t="inlineStr">
        <is>
          <t>제주시</t>
        </is>
      </c>
      <c r="C161" s="7" t="inlineStr">
        <is>
          <t>우도면 연평리 547 생활형숙박시설</t>
        </is>
      </c>
      <c r="D161" s="7" t="inlineStr">
        <is>
          <t>2025-04-30</t>
        </is>
      </c>
      <c r="E161" s="7" t="n">
        <v>17</v>
      </c>
      <c r="F161" s="7" t="n">
        <v>653</v>
      </c>
      <c r="G161" s="7">
        <f>IF('0.입력칸'!$B$3="","",ROUND(F161/'0.입력칸'!$B$3,0))</f>
        <v/>
      </c>
      <c r="H161" s="7">
        <f>IF(OR('0.입력칸'!$B$3="",'0.입력칸'!$B$5=""),"",ROUND(G161*'0.입력칸'!$B$5,0))</f>
        <v/>
      </c>
      <c r="I161" s="7" t="inlineStr">
        <is>
          <t>있음</t>
        </is>
      </c>
      <c r="J161" s="7" t="inlineStr">
        <is>
          <t>시공사 (주)한신시에스건설</t>
        </is>
      </c>
      <c r="K161" s="7" t="inlineStr">
        <is>
          <t>맵스아키텍츠건축사사무소</t>
        </is>
      </c>
      <c r="L161" s="7" t="inlineStr"/>
      <c r="M161" s="7" t="inlineStr"/>
      <c r="N161" s="7" t="inlineStr">
        <is>
          <t>신축</t>
        </is>
      </c>
      <c r="O161" s="7" t="inlineStr">
        <is>
          <t>제주특별자치도 제주시 우도면 연평리 547번지</t>
        </is>
      </c>
    </row>
    <row r="162">
      <c r="A162" s="6" t="inlineStr">
        <is>
          <t>제주특별자치도</t>
        </is>
      </c>
      <c r="B162" s="6" t="inlineStr">
        <is>
          <t>제주시</t>
        </is>
      </c>
      <c r="C162" s="6" t="inlineStr">
        <is>
          <t>애월읍 광령리 1300000 숙박시설 (***)</t>
        </is>
      </c>
      <c r="D162" s="6" t="inlineStr">
        <is>
          <t>2022-10-05</t>
        </is>
      </c>
      <c r="E162" s="6" t="n">
        <v>48</v>
      </c>
      <c r="F162" s="6" t="n">
        <v>629</v>
      </c>
      <c r="G162" s="6">
        <f>IF('0.입력칸'!$B$3="","",ROUND(F162/'0.입력칸'!$B$3,0))</f>
        <v/>
      </c>
      <c r="H162" s="6">
        <f>IF(OR('0.입력칸'!$B$3="",'0.입력칸'!$B$5=""),"",ROUND(G162*'0.입력칸'!$B$5,0))</f>
        <v/>
      </c>
      <c r="I162" s="6" t="inlineStr">
        <is>
          <t>없음</t>
        </is>
      </c>
      <c r="J162" s="6" t="inlineStr">
        <is>
          <t>설계사 (주)서웅건축사사무소</t>
        </is>
      </c>
      <c r="K162" s="6" t="inlineStr">
        <is>
          <t>(주)서웅건축사사무소</t>
        </is>
      </c>
      <c r="L162" s="6" t="inlineStr"/>
      <c r="M162" s="6" t="inlineStr"/>
      <c r="N162" s="6" t="inlineStr">
        <is>
          <t>증축</t>
        </is>
      </c>
      <c r="O162" s="6" t="inlineStr">
        <is>
          <t>제주특별자치도 제주시 애월읍 평화로 2820-67</t>
        </is>
      </c>
    </row>
    <row r="163">
      <c r="A163" s="6" t="inlineStr">
        <is>
          <t>제주특별자치도</t>
        </is>
      </c>
      <c r="B163" s="6" t="inlineStr">
        <is>
          <t>제주시</t>
        </is>
      </c>
      <c r="C163" s="6" t="inlineStr">
        <is>
          <t>애월읍 어음리 3458-1 숙박시설 (***)</t>
        </is>
      </c>
      <c r="D163" s="6" t="inlineStr">
        <is>
          <t>2022-03-21</t>
        </is>
      </c>
      <c r="E163" s="6" t="n">
        <v>54</v>
      </c>
      <c r="F163" s="6" t="n">
        <v>449</v>
      </c>
      <c r="G163" s="6">
        <f>IF('0.입력칸'!$B$3="","",ROUND(F163/'0.입력칸'!$B$3,0))</f>
        <v/>
      </c>
      <c r="H163" s="6">
        <f>IF(OR('0.입력칸'!$B$3="",'0.입력칸'!$B$5=""),"",ROUND(G163*'0.입력칸'!$B$5,0))</f>
        <v/>
      </c>
      <c r="I163" s="6" t="inlineStr">
        <is>
          <t>없음</t>
        </is>
      </c>
      <c r="J163" s="6" t="inlineStr">
        <is>
          <t>설계사 (주)아뜰리에일일건축사사무소</t>
        </is>
      </c>
      <c r="K163" s="6" t="inlineStr">
        <is>
          <t>(주)아뜰리에일일건축사사무소</t>
        </is>
      </c>
      <c r="L163" s="6" t="inlineStr"/>
      <c r="M163" s="6" t="inlineStr"/>
      <c r="N163" s="6" t="inlineStr">
        <is>
          <t>신축</t>
        </is>
      </c>
      <c r="O163" s="6" t="inlineStr">
        <is>
          <t>제주특별자치도 제주시 애월읍 어음리 3458-1번지</t>
        </is>
      </c>
    </row>
    <row r="164">
      <c r="A164" s="6" t="inlineStr">
        <is>
          <t>제주특별자치도</t>
        </is>
      </c>
      <c r="B164" s="6" t="inlineStr">
        <is>
          <t>제주시</t>
        </is>
      </c>
      <c r="C164" s="6" t="inlineStr">
        <is>
          <t>애월읍 하가리 1359-10 숙박시설</t>
        </is>
      </c>
      <c r="D164" s="6" t="inlineStr">
        <is>
          <t>2025-10-25</t>
        </is>
      </c>
      <c r="E164" s="6" t="n">
        <v>11</v>
      </c>
      <c r="F164" s="6" t="n">
        <v>118</v>
      </c>
      <c r="G164" s="6">
        <f>IF('0.입력칸'!$B$3="","",ROUND(F164/'0.입력칸'!$B$3,0))</f>
        <v/>
      </c>
      <c r="H164" s="6">
        <f>IF(OR('0.입력칸'!$B$3="",'0.입력칸'!$B$5=""),"",ROUND(G164*'0.입력칸'!$B$5,0))</f>
        <v/>
      </c>
      <c r="I164" s="6" t="inlineStr">
        <is>
          <t>없음</t>
        </is>
      </c>
      <c r="J164" s="6" t="inlineStr">
        <is>
          <t>설계사 에스오디에이건축사사무소</t>
        </is>
      </c>
      <c r="K164" s="6" t="inlineStr">
        <is>
          <t>에스오디에이건축사사무소</t>
        </is>
      </c>
      <c r="L164" s="6" t="inlineStr"/>
      <c r="M164" s="6" t="inlineStr">
        <is>
          <t>(주)원더</t>
        </is>
      </c>
      <c r="N164" s="6" t="inlineStr">
        <is>
          <t>신축</t>
        </is>
      </c>
      <c r="O164" s="6" t="inlineStr">
        <is>
          <t>제주특별자치도 제주시 애월읍 하가리 1359-10번지</t>
        </is>
      </c>
    </row>
    <row r="165">
      <c r="A165" s="8" t="inlineStr"/>
      <c r="B165" s="8" t="inlineStr"/>
      <c r="C165" s="8" t="inlineStr">
        <is>
          <t>설악면 회곡리 256-22 숙박시설 (***)</t>
        </is>
      </c>
      <c r="D165" s="8" t="inlineStr"/>
      <c r="E165" s="8" t="n"/>
      <c r="F165" s="8" t="n">
        <v>0</v>
      </c>
      <c r="G165" s="8">
        <f>IF('0.입력칸'!$B$3="","",ROUND(F165/'0.입력칸'!$B$3,0))</f>
        <v/>
      </c>
      <c r="H165" s="8">
        <f>IF(OR('0.입력칸'!$B$3="",'0.입력칸'!$B$5=""),"",ROUND(G165*'0.입력칸'!$B$5,0))</f>
        <v/>
      </c>
      <c r="I165" s="8" t="inlineStr">
        <is>
          <t>없음</t>
        </is>
      </c>
      <c r="J165" s="8" t="inlineStr">
        <is>
          <t>(정보 없음 — 시·군·구 건축과)</t>
        </is>
      </c>
      <c r="K165" s="8" t="inlineStr"/>
      <c r="L165" s="8" t="inlineStr"/>
      <c r="M165" s="8" t="inlineStr"/>
      <c r="N165" s="8" t="inlineStr"/>
      <c r="O165" s="8" t="inlineStr"/>
    </row>
  </sheetData>
  <autoFilter ref="A3:O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44" customWidth="1" min="5" max="5"/>
  </cols>
  <sheetData>
    <row r="1">
      <c r="A1" s="9" t="inlineStr">
        <is>
          <t>지역</t>
        </is>
      </c>
      <c r="B1" s="9" t="inlineStr">
        <is>
          <t>1500㎡↑ 곳수</t>
        </is>
      </c>
      <c r="C1" s="9" t="inlineStr">
        <is>
          <t>시공사 정해짐</t>
        </is>
      </c>
      <c r="D1" s="9" t="inlineStr">
        <is>
          <t>합계 연면적(㎡)</t>
        </is>
      </c>
      <c r="E1" s="9" t="inlineStr">
        <is>
          <t>가장 큰 현장</t>
        </is>
      </c>
    </row>
    <row r="2">
      <c r="A2" s="6" t="inlineStr">
        <is>
          <t>서울특별시</t>
        </is>
      </c>
      <c r="B2" s="6" t="n">
        <v>6</v>
      </c>
      <c r="C2" s="6" t="n">
        <v>2</v>
      </c>
      <c r="D2" s="6" t="n">
        <v>40923</v>
      </c>
      <c r="E2" s="6" t="inlineStr">
        <is>
          <t>영등포동3가 5-10 숙박시설 ((주) 영등포중앙기업)</t>
        </is>
      </c>
    </row>
    <row r="3">
      <c r="A3" s="6" t="inlineStr">
        <is>
          <t>인천광역시</t>
        </is>
      </c>
      <c r="B3" s="6" t="n">
        <v>8</v>
      </c>
      <c r="C3" s="6" t="n">
        <v>3</v>
      </c>
      <c r="D3" s="6" t="n">
        <v>260924</v>
      </c>
      <c r="E3" s="6" t="inlineStr">
        <is>
          <t>인천 검단신도시 101 역세권 개발사업 C9-2블록 숙박시설</t>
        </is>
      </c>
    </row>
    <row r="4">
      <c r="A4" s="6" t="inlineStr">
        <is>
          <t>경기도</t>
        </is>
      </c>
      <c r="B4" s="6" t="n">
        <v>22</v>
      </c>
      <c r="C4" s="6" t="n">
        <v>11</v>
      </c>
      <c r="D4" s="6" t="n">
        <v>456179</v>
      </c>
      <c r="E4" s="6" t="inlineStr">
        <is>
          <t>시화 MTV 거북섬상업 4-1, 4-2블럭 생활숙박시설</t>
        </is>
      </c>
    </row>
    <row r="5">
      <c r="A5" s="6" t="inlineStr">
        <is>
          <t>강원특별자치도</t>
        </is>
      </c>
      <c r="B5" s="6" t="n">
        <v>20</v>
      </c>
      <c r="C5" s="6" t="n">
        <v>5</v>
      </c>
      <c r="D5" s="6" t="n">
        <v>405035</v>
      </c>
      <c r="E5" s="6" t="inlineStr">
        <is>
          <t>낙산 더뷰 컨시어지 호텔 (양양군 강현면 전진리 7-14외 5필지…)</t>
        </is>
      </c>
    </row>
    <row r="6">
      <c r="A6" s="6" t="inlineStr">
        <is>
          <t>충청남도</t>
        </is>
      </c>
      <c r="B6" s="6" t="n">
        <v>15</v>
      </c>
      <c r="C6" s="6" t="n">
        <v>4</v>
      </c>
      <c r="D6" s="6" t="n">
        <v>420853</v>
      </c>
      <c r="E6" s="6" t="inlineStr">
        <is>
          <t>아산배방지구 11BL 생활숙박시설 개발사업</t>
        </is>
      </c>
    </row>
    <row r="7">
      <c r="A7" s="6" t="inlineStr">
        <is>
          <t>충청북도</t>
        </is>
      </c>
      <c r="B7" s="6" t="n">
        <v>6</v>
      </c>
      <c r="C7" s="6" t="n">
        <v>3</v>
      </c>
      <c r="D7" s="6" t="n">
        <v>19786</v>
      </c>
      <c r="E7" s="6" t="inlineStr">
        <is>
          <t>보은읍 죽전리 123-1 생활형 숙박시설</t>
        </is>
      </c>
    </row>
    <row r="8">
      <c r="A8" s="6" t="inlineStr">
        <is>
          <t>대전광역시</t>
        </is>
      </c>
      <c r="B8" s="6" t="n">
        <v>1</v>
      </c>
      <c r="C8" s="6" t="n">
        <v>0</v>
      </c>
      <c r="D8" s="6" t="n">
        <v>6423</v>
      </c>
      <c r="E8" s="6" t="inlineStr">
        <is>
          <t>대전시 동구 정동 생활숙박시설 신축공사</t>
        </is>
      </c>
    </row>
    <row r="9">
      <c r="A9" s="6" t="inlineStr">
        <is>
          <t>경상북도</t>
        </is>
      </c>
      <c r="B9" s="6" t="n">
        <v>11</v>
      </c>
      <c r="C9" s="6" t="n">
        <v>4</v>
      </c>
      <c r="D9" s="6" t="n">
        <v>34952</v>
      </c>
      <c r="E9" s="6" t="inlineStr">
        <is>
          <t>감포읍 대본리 372 숙박시설 (***)</t>
        </is>
      </c>
    </row>
    <row r="10">
      <c r="A10" s="6" t="inlineStr">
        <is>
          <t>대구광역시</t>
        </is>
      </c>
      <c r="B10" s="6" t="n">
        <v>3</v>
      </c>
      <c r="C10" s="6" t="n">
        <v>1</v>
      </c>
      <c r="D10" s="6" t="n">
        <v>14888</v>
      </c>
      <c r="E10" s="6" t="inlineStr">
        <is>
          <t>숙박시설 (주식회사 대산1)</t>
        </is>
      </c>
    </row>
    <row r="11">
      <c r="A11" s="6" t="inlineStr">
        <is>
          <t>경상남도</t>
        </is>
      </c>
      <c r="B11" s="6" t="n">
        <v>14</v>
      </c>
      <c r="C11" s="6" t="n">
        <v>5</v>
      </c>
      <c r="D11" s="6" t="n">
        <v>268222</v>
      </c>
      <c r="E11" s="6" t="inlineStr">
        <is>
          <t>일운면 소동리 19-1 숙박시설 (주식회사 아레포즈거제)</t>
        </is>
      </c>
    </row>
    <row r="12">
      <c r="A12" s="6" t="inlineStr">
        <is>
          <t>부산광역시</t>
        </is>
      </c>
      <c r="B12" s="6" t="n">
        <v>10</v>
      </c>
      <c r="C12" s="6" t="n">
        <v>2</v>
      </c>
      <c r="D12" s="6" t="n">
        <v>184126</v>
      </c>
      <c r="E12" s="6" t="inlineStr">
        <is>
          <t>우동 636-6 숙박시설 (마스턴제107호해운대2피에프브이주식…)</t>
        </is>
      </c>
    </row>
    <row r="13">
      <c r="A13" s="6" t="inlineStr">
        <is>
          <t>전라남도</t>
        </is>
      </c>
      <c r="B13" s="6" t="n">
        <v>11</v>
      </c>
      <c r="C13" s="6" t="n">
        <v>7</v>
      </c>
      <c r="D13" s="6" t="n">
        <v>139491</v>
      </c>
      <c r="E13" s="6" t="inlineStr">
        <is>
          <t>율도동 10000 숙박시설 (주식회사쉼)</t>
        </is>
      </c>
    </row>
    <row r="14">
      <c r="A14" s="6" t="inlineStr">
        <is>
          <t>전북특별자치도</t>
        </is>
      </c>
      <c r="B14" s="6" t="n">
        <v>10</v>
      </c>
      <c r="C14" s="6" t="n">
        <v>2</v>
      </c>
      <c r="D14" s="6" t="n">
        <v>47415</v>
      </c>
      <c r="E14" s="6" t="inlineStr">
        <is>
          <t>삼례읍 수계리 1256-5 숙박시설 (유한회사라우렌)</t>
        </is>
      </c>
    </row>
    <row r="15">
      <c r="A15" s="6" t="inlineStr">
        <is>
          <t>제주특별자치도</t>
        </is>
      </c>
      <c r="B15" s="6" t="n">
        <v>5</v>
      </c>
      <c r="C15" s="6" t="n">
        <v>0</v>
      </c>
      <c r="D15" s="6" t="n">
        <v>21848</v>
      </c>
      <c r="E15" s="6" t="inlineStr">
        <is>
          <t>안덕면 서광리 24-8 숙박시설 (람정제주개발 주식회사)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2026-09-19T03:42:54Z</dcterms:created>
  <dcterms:modified xmlns:dcterms="http://purl.org/dc/terms/" xmlns:xsi="http://www.w3.org/2001/XMLSchema-instance" xsi:type="dcterms:W3CDTF">2026-09-19T03:42:54Z</dcterms:modified>
</cp:coreProperties>
</file>