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사용법" sheetId="1" state="visible" r:id="rId1"/>
    <sheet name="0.자가진단" sheetId="2" state="visible" r:id="rId2"/>
    <sheet name="1.산군_붙여넣기" sheetId="3" state="visible" r:id="rId3"/>
    <sheet name="5.이번주_갈곳" sheetId="4" state="visible" r:id="rId4"/>
    <sheet name="3.설계사" sheetId="5" state="visible" r:id="rId5"/>
    <sheet name="4.방문기록" sheetId="6" state="visible" r:id="rId6"/>
    <sheet name="7.문안" sheetId="7" state="visible" r:id="rId7"/>
    <sheet name="2.현장" sheetId="8" state="visible" r:id="rId8"/>
    <sheet name="6.본전계산" sheetId="9" state="visible" r:id="rId9"/>
    <sheet name="설계사_메모" sheetId="10" state="visible" r:id="rId10"/>
    <sheet name="설정" sheetId="11" state="visible" r:id="rId11"/>
  </sheets>
  <definedNames>
    <definedName name="_xlnm._FilterDatabase" localSheetId="7" hidden="1">'2.현장'!$A$1:$Z$1001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4" borderId="0" applyAlignment="1" pivotButton="0" quotePrefix="0" xfId="0">
      <alignment vertical="top" wrapText="1"/>
    </xf>
    <xf numFmtId="164" fontId="0" fillId="4" borderId="0" pivotButton="0" quotePrefix="0" xfId="0"/>
    <xf numFmtId="3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시트 3번 「영업판」 v1 (2026-09-27) — 산군 + 설계사 영업 전용</t>
        </is>
      </c>
    </row>
    <row r="3">
      <c r="A3" s="2" t="inlineStr">
        <is>
          <t>■ 프로님 손은 1번 : 매주 월요일 산군 엑셀을 받아 「1.산군_붙여넣기」 탭 A1 칸을 누르고 통째로 붙여넣기(전체 덮어쓰기).</t>
        </is>
      </c>
    </row>
    <row r="4">
      <c r="A4" s="2" t="inlineStr">
        <is>
          <t xml:space="preserve">   → 2.현장 · 3.설계사 · 5.이번주_갈곳 · 7.문안 · 6.본전계산 이 저절로 바뀝니다.</t>
        </is>
      </c>
    </row>
    <row r="5">
      <c r="A5" s="2" t="inlineStr">
        <is>
          <t>■ 처음 한 번만 : 「설정」 탭 B4~B15 에 산군 엑셀 1행의 열 이름을 똑같이 적기(지금은 짐작값). 「0.자가진단」 1번이 「통과」 면 끝.</t>
        </is>
      </c>
    </row>
    <row r="6">
      <c r="A6" s="2" t="inlineStr">
        <is>
          <t>■ 다녀오시면 : 「4.방문기록」 에 한 줄(날짜·설계사무소·결과). 결과를 「관심 없음」 으로 고르면 그 사무소는 갈 곳 목록에서 빠집니다.</t>
        </is>
      </c>
    </row>
    <row r="7">
      <c r="A7" s="2" t="inlineStr">
        <is>
          <t>■ 담당자·전화를 알게 되면 : 「설계사_메모」 에 한 줄. 3·5·7번 탭에 저절로 붙습니다.</t>
        </is>
      </c>
    </row>
    <row r="8">
      <c r="A8" s="2" t="inlineStr">
        <is>
          <t>■ 전화·메일 문안 : 「7.문안」 B3 에서 설계사무소를 고르면 전화 첫마디·문자·메일 제목·본문이 채워집니다. 복사해서 쓰시면 됩니다.</t>
        </is>
      </c>
    </row>
    <row r="9">
      <c r="A9" s="2" t="inlineStr">
        <is>
          <t>■ 노란 칸 = 프로님 입력칸 / 초록 칸 = 자동(건드리지 않음).</t>
        </is>
      </c>
    </row>
    <row r="10">
      <c r="A10" s="2" t="inlineStr">
        <is>
          <t>■ 누구를 만나나 : 산군 공사단계가 허가·설계 단계 → 설계사무소(객실관리를 설계에 넣게) / 착공 이후 → 시공사 / 마감·준공 → 늦음.</t>
        </is>
      </c>
    </row>
    <row r="11">
      <c r="A11" s="2" t="inlineStr">
        <is>
          <t>■ 예시 줄 : [예시] 가 붙은 줄은 동작을 보여 드리려고 넣은 가짜입니다. 산군 엑셀을 붙여넣으면 자동으로 사라집니다(방문기록 예시 1줄은 직접 지우기).</t>
        </is>
      </c>
    </row>
    <row r="12">
      <c r="A12" s="2" t="inlineStr">
        <is>
          <t>■ 이 시트는 회의록·견적·공정·수금과 섞지 않습니다. 기존 레이더·도구 47번과도 따로입니다(계획서 9절).</t>
        </is>
      </c>
    </row>
    <row r="13">
      <c r="A13" s="2" t="inlineStr">
        <is>
          <t>■ 바꿀 때는 덮어쓰지 않고 새 판(v2)으로 냅니다. 변경 이력은 「0.자가진단」 아래에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50" customWidth="1" min="4" max="4"/>
  </cols>
  <sheetData>
    <row r="1">
      <c r="A1" s="1" t="inlineStr">
        <is>
          <t>자가진단 — 전부 「통과」 면 정상 (v1)</t>
        </is>
      </c>
    </row>
    <row r="3">
      <c r="A3" s="3" t="inlineStr">
        <is>
          <t>번호</t>
        </is>
      </c>
      <c r="B3" s="3" t="inlineStr">
        <is>
          <t>검사</t>
        </is>
      </c>
      <c r="C3" s="3" t="inlineStr">
        <is>
          <t>값</t>
        </is>
      </c>
      <c r="D3" s="3" t="inlineStr">
        <is>
          <t>판정</t>
        </is>
      </c>
    </row>
    <row r="4">
      <c r="A4" t="n">
        <v>1</v>
      </c>
      <c r="B4" t="inlineStr">
        <is>
          <t>산군 열 이름 12개 중 찾은 수</t>
        </is>
      </c>
      <c r="C4">
        <f>COUNT(설정!C4:C15)</f>
        <v/>
      </c>
      <c r="D4">
        <f>IF(C4=12,"통과",IF(AND(설정!C4&lt;&gt;"",설정!C5&lt;&gt;"",설정!C9&lt;&gt;""),"통과(일부 열 없음 — 설정 확인)","실패 — 설정 B4~B15"))</f>
        <v/>
      </c>
    </row>
    <row r="5">
      <c r="A5" t="n">
        <v>2</v>
      </c>
      <c r="B5" t="inlineStr">
        <is>
          <t>붙여넣은 줄 수(1행 제외)</t>
        </is>
      </c>
      <c r="C5">
        <f>MAX(COUNTA('1.산군_붙여넣기'!A:A)-1,0)</f>
        <v/>
      </c>
      <c r="D5">
        <f>IF(C5&lt;=1000,"통과","실패 — 1000줄 넘음, 아래는 안 읽힘")</f>
        <v/>
      </c>
    </row>
    <row r="6">
      <c r="A6" t="n">
        <v>3</v>
      </c>
      <c r="B6" t="inlineStr">
        <is>
          <t>읽은 현장 줄</t>
        </is>
      </c>
      <c r="C6">
        <f>COUNTIF('2.현장'!O2:O1001,TRUE)</f>
        <v/>
      </c>
      <c r="D6">
        <f>IF(C6=C5,"통과","확인 — 빈 줄·제목줄 섞임")</f>
        <v/>
      </c>
    </row>
    <row r="7">
      <c r="A7" t="n">
        <v>4</v>
      </c>
      <c r="B7" t="inlineStr">
        <is>
          <t>중복 뺀 현장</t>
        </is>
      </c>
      <c r="C7">
        <f>COUNTIF('2.현장'!Q2:Q1001,TRUE)</f>
        <v/>
      </c>
      <c r="D7">
        <f>"참고"</f>
        <v/>
      </c>
    </row>
    <row r="8">
      <c r="A8" t="n">
        <v>5</v>
      </c>
      <c r="B8" t="inlineStr">
        <is>
          <t>대상(용도·면적 맞음)</t>
        </is>
      </c>
      <c r="C8">
        <f>COUNTIF('2.현장'!T2:T1001,TRUE)</f>
        <v/>
      </c>
      <c r="D8">
        <f>"참고"</f>
        <v/>
      </c>
    </row>
    <row r="9">
      <c r="A9" t="n">
        <v>6</v>
      </c>
      <c r="B9" t="inlineStr">
        <is>
          <t>설계사행 + 시공사행 + 늦음 = 대상</t>
        </is>
      </c>
      <c r="C9">
        <f>COUNTIF('2.현장'!U2:U1001,"설계사")+COUNTIF('2.현장'!U2:U1001,"시공사")+COUNTIF('2.현장'!U2:U1001,"늦음")</f>
        <v/>
      </c>
      <c r="D9">
        <f>IF(C9=C8,"통과","실패 — 설정 단계 행선지 확인")</f>
        <v/>
      </c>
    </row>
    <row r="10">
      <c r="A10" t="n">
        <v>7</v>
      </c>
      <c r="B10" t="inlineStr">
        <is>
          <t>설계사무소 수 = 번호 최댓값</t>
        </is>
      </c>
      <c r="C10">
        <f>COUNTIF('3.설계사'!B4:B303,"?*")</f>
        <v/>
      </c>
      <c r="D10">
        <f>IF(C10=MAX('2.현장'!W2:W1001),IF(C10&lt;300,"통과","실패 — 300곳 넘음"),"실패")</f>
        <v/>
      </c>
    </row>
    <row r="11">
      <c r="A11" t="n">
        <v>8</v>
      </c>
      <c r="B11" t="inlineStr">
        <is>
          <t>설계사 이름 빈 대상 현장</t>
        </is>
      </c>
      <c r="C11">
        <f>COUNTIFS('2.현장'!T2:T1001,TRUE,'2.현장'!V2:V1001,"")</f>
        <v/>
      </c>
      <c r="D11">
        <f>IF(C11=0,"통과","확인 — 산군에 설계사 없는 현장(2.현장 필터)")</f>
        <v/>
      </c>
    </row>
    <row r="12">
      <c r="A12" t="n">
        <v>9</v>
      </c>
      <c r="B12" t="inlineStr">
        <is>
          <t>방문기록 중 목록에 없는 사무소</t>
        </is>
      </c>
      <c r="C12">
        <f>SUM('4.방문기록'!J3:J502)</f>
        <v/>
      </c>
      <c r="D12">
        <f>IF(C12=0,"통과","확인 — 이름이 3.설계사와 다름(드롭다운으로 고르기)")</f>
        <v/>
      </c>
    </row>
    <row r="13">
      <c r="A13" t="n">
        <v>10</v>
      </c>
      <c r="B13" t="inlineStr">
        <is>
          <t>예시 줄 남음</t>
        </is>
      </c>
      <c r="C13">
        <f>COUNTIF('1.산군_붙여넣기'!B:B,"[예시]*")+COUNTIF('4.방문기록'!B:B,"[예시]*")</f>
        <v/>
      </c>
      <c r="D13">
        <f>IF(C13=0,"통과","알림 — [예시] 줄이 있음. 산군 붙여넣기 후 방문기록 예시 줄 지우기")</f>
        <v/>
      </c>
    </row>
    <row r="16">
      <c r="A16" s="4" t="inlineStr">
        <is>
          <t>변경 이력</t>
        </is>
      </c>
    </row>
    <row r="17">
      <c r="A17" s="3" t="inlineStr">
        <is>
          <t>날짜</t>
        </is>
      </c>
      <c r="B17" s="3" t="inlineStr">
        <is>
          <t>판</t>
        </is>
      </c>
      <c r="C17" s="3" t="inlineStr">
        <is>
          <t>내용</t>
        </is>
      </c>
      <c r="D17" s="3" t="inlineStr">
        <is>
          <t>이전 값</t>
        </is>
      </c>
    </row>
    <row r="18">
      <c r="A18" t="inlineStr">
        <is>
          <t>2026-09-27</t>
        </is>
      </c>
      <c r="B18" t="inlineStr">
        <is>
          <t>v1</t>
        </is>
      </c>
      <c r="C18" t="inlineStr">
        <is>
          <t>최초 작성 — 11개 탭(사용법·0~7·설정·설계사_메모). 계획서 v1 구조 그대로.</t>
        </is>
      </c>
      <c r="D18" t="inlineStr">
        <is>
          <t>없음</t>
        </is>
      </c>
    </row>
  </sheetData>
  <conditionalFormatting sqref="D4:D13">
    <cfRule type="expression" priority="1" dxfId="0">
      <formula>LEFT(D4,2)="통과"</formula>
    </cfRule>
    <cfRule type="expression" priority="2" dxfId="1">
      <formula>LEFT(D4,2)="실패"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현장주소</t>
        </is>
      </c>
      <c r="B1" s="4" t="inlineStr">
        <is>
          <t>건물명</t>
        </is>
      </c>
      <c r="C1" s="4" t="inlineStr">
        <is>
          <t>연면적</t>
        </is>
      </c>
      <c r="D1" s="4" t="inlineStr">
        <is>
          <t>주용도</t>
        </is>
      </c>
      <c r="E1" s="4" t="inlineStr">
        <is>
          <t>허가구분</t>
        </is>
      </c>
      <c r="F1" s="4" t="inlineStr">
        <is>
          <t>공사단계</t>
        </is>
      </c>
      <c r="G1" s="4" t="inlineStr">
        <is>
          <t>허가일</t>
        </is>
      </c>
      <c r="H1" s="4" t="inlineStr">
        <is>
          <t>착공일</t>
        </is>
      </c>
      <c r="I1" s="4" t="inlineStr">
        <is>
          <t>건축주</t>
        </is>
      </c>
      <c r="J1" s="4" t="inlineStr">
        <is>
          <t>설계사</t>
        </is>
      </c>
      <c r="K1" s="4" t="inlineStr">
        <is>
          <t>시공사</t>
        </is>
      </c>
      <c r="L1" s="4" t="inlineStr">
        <is>
          <t>감리</t>
        </is>
      </c>
    </row>
    <row r="2">
      <c r="A2" t="inlineStr">
        <is>
          <t>서울특별시 중구 예시동 1</t>
        </is>
      </c>
      <c r="B2" t="inlineStr">
        <is>
          <t>[예시]가나호텔</t>
        </is>
      </c>
      <c r="C2" t="inlineStr">
        <is>
          <t>12,500</t>
        </is>
      </c>
      <c r="D2" t="inlineStr">
        <is>
          <t>숙박시설(관광호텔)</t>
        </is>
      </c>
      <c r="E2" t="inlineStr">
        <is>
          <t>신축</t>
        </is>
      </c>
      <c r="F2" t="inlineStr">
        <is>
          <t>건축허가</t>
        </is>
      </c>
      <c r="G2" t="inlineStr">
        <is>
          <t>2026-08-12</t>
        </is>
      </c>
      <c r="H2" t="inlineStr"/>
      <c r="I2" t="inlineStr">
        <is>
          <t>[예시]가나개발</t>
        </is>
      </c>
      <c r="J2" t="inlineStr">
        <is>
          <t>[예시]가나건축사사무소</t>
        </is>
      </c>
      <c r="K2" t="inlineStr"/>
      <c r="L2" t="inlineStr"/>
    </row>
    <row r="3">
      <c r="A3" t="inlineStr">
        <is>
          <t>서울특별시 강남구 예시동 2</t>
        </is>
      </c>
      <c r="B3" t="inlineStr">
        <is>
          <t>[예시]다라호텔</t>
        </is>
      </c>
      <c r="C3" t="inlineStr">
        <is>
          <t>8400</t>
        </is>
      </c>
      <c r="D3" t="inlineStr">
        <is>
          <t>숙박시설</t>
        </is>
      </c>
      <c r="E3" t="inlineStr">
        <is>
          <t>신축</t>
        </is>
      </c>
      <c r="F3" t="inlineStr">
        <is>
          <t>착공</t>
        </is>
      </c>
      <c r="G3" t="inlineStr">
        <is>
          <t>2026-03-02</t>
        </is>
      </c>
      <c r="H3" t="inlineStr">
        <is>
          <t>2026-07-01</t>
        </is>
      </c>
      <c r="I3" t="inlineStr">
        <is>
          <t>[예시]다라산업</t>
        </is>
      </c>
      <c r="J3" t="inlineStr">
        <is>
          <t>(주)[예시]가나건축사사무소</t>
        </is>
      </c>
      <c r="K3" t="inlineStr">
        <is>
          <t>[예시]마바건설</t>
        </is>
      </c>
      <c r="L3" t="inlineStr">
        <is>
          <t>[예시]감리</t>
        </is>
      </c>
    </row>
    <row r="4">
      <c r="A4" t="inlineStr">
        <is>
          <t>강원특별자치도 양양군 예시리 3</t>
        </is>
      </c>
      <c r="B4" t="inlineStr">
        <is>
          <t>[예시]사아리조트</t>
        </is>
      </c>
      <c r="C4" t="inlineStr">
        <is>
          <t>31,000</t>
        </is>
      </c>
      <c r="D4" t="inlineStr">
        <is>
          <t>숙박시설(콘도)</t>
        </is>
      </c>
      <c r="E4" t="inlineStr">
        <is>
          <t>신축</t>
        </is>
      </c>
      <c r="F4" t="inlineStr">
        <is>
          <t>설계</t>
        </is>
      </c>
      <c r="G4" t="inlineStr">
        <is>
          <t>2026-09-01</t>
        </is>
      </c>
      <c r="H4" t="inlineStr"/>
      <c r="I4" t="inlineStr">
        <is>
          <t>[예시]사아레저</t>
        </is>
      </c>
      <c r="J4" t="inlineStr">
        <is>
          <t>[예시]사아종합건축사사무소</t>
        </is>
      </c>
      <c r="K4" t="inlineStr"/>
      <c r="L4" t="inlineStr"/>
    </row>
    <row r="5">
      <c r="A5" t="inlineStr">
        <is>
          <t>경기도 이천시 예시동 4</t>
        </is>
      </c>
      <c r="B5" t="inlineStr">
        <is>
          <t>[예시]자차기숙사</t>
        </is>
      </c>
      <c r="C5" t="inlineStr">
        <is>
          <t>22000</t>
        </is>
      </c>
      <c r="D5" t="inlineStr">
        <is>
          <t>교육연구시설(기숙사)</t>
        </is>
      </c>
      <c r="E5" t="inlineStr">
        <is>
          <t>신축</t>
        </is>
      </c>
      <c r="F5" t="inlineStr">
        <is>
          <t>건축허가</t>
        </is>
      </c>
      <c r="G5" t="inlineStr">
        <is>
          <t>2026-07-20</t>
        </is>
      </c>
      <c r="H5" t="inlineStr"/>
      <c r="I5" t="inlineStr">
        <is>
          <t>[예시]자차</t>
        </is>
      </c>
      <c r="J5" t="inlineStr">
        <is>
          <t>[예시]카타건축</t>
        </is>
      </c>
      <c r="K5" t="inlineStr"/>
      <c r="L5" t="inlineStr"/>
    </row>
    <row r="6">
      <c r="A6" t="inlineStr">
        <is>
          <t>경기도 성남시 예시동 5</t>
        </is>
      </c>
      <c r="B6" t="inlineStr">
        <is>
          <t>[예시]파하오피스</t>
        </is>
      </c>
      <c r="C6" t="inlineStr">
        <is>
          <t>40000</t>
        </is>
      </c>
      <c r="D6" t="inlineStr">
        <is>
          <t>업무시설</t>
        </is>
      </c>
      <c r="E6" t="inlineStr">
        <is>
          <t>신축</t>
        </is>
      </c>
      <c r="F6" t="inlineStr">
        <is>
          <t>건축허가</t>
        </is>
      </c>
      <c r="G6" t="inlineStr">
        <is>
          <t>2026-06-01</t>
        </is>
      </c>
      <c r="H6" t="inlineStr"/>
      <c r="I6" t="inlineStr">
        <is>
          <t>[예시]파하</t>
        </is>
      </c>
      <c r="J6" t="inlineStr">
        <is>
          <t>[예시]가나건축사사무소</t>
        </is>
      </c>
      <c r="K6" t="inlineStr"/>
      <c r="L6" t="inlineStr"/>
    </row>
    <row r="7">
      <c r="A7" t="inlineStr">
        <is>
          <t>부산광역시 해운대구 예시동 6</t>
        </is>
      </c>
      <c r="B7" t="inlineStr">
        <is>
          <t>[예시]거너호텔</t>
        </is>
      </c>
      <c r="C7" t="inlineStr">
        <is>
          <t>900</t>
        </is>
      </c>
      <c r="D7" t="inlineStr">
        <is>
          <t>숙박시설</t>
        </is>
      </c>
      <c r="E7" t="inlineStr">
        <is>
          <t>신축</t>
        </is>
      </c>
      <c r="F7" t="inlineStr">
        <is>
          <t>건축허가</t>
        </is>
      </c>
      <c r="G7" t="inlineStr">
        <is>
          <t>2026-05-01</t>
        </is>
      </c>
      <c r="H7" t="inlineStr"/>
      <c r="I7" t="inlineStr">
        <is>
          <t>[예시]거너</t>
        </is>
      </c>
      <c r="J7" t="inlineStr">
        <is>
          <t>[예시]거너건축</t>
        </is>
      </c>
      <c r="K7" t="inlineStr"/>
      <c r="L7" t="inlineStr"/>
    </row>
    <row r="8">
      <c r="A8" t="inlineStr">
        <is>
          <t>서울특별시 중구 예시동 1</t>
        </is>
      </c>
      <c r="B8" t="inlineStr">
        <is>
          <t>[예시]가나호텔</t>
        </is>
      </c>
      <c r="C8" t="inlineStr">
        <is>
          <t>12,500</t>
        </is>
      </c>
      <c r="D8" t="inlineStr">
        <is>
          <t>숙박시설(관광호텔)</t>
        </is>
      </c>
      <c r="E8" t="inlineStr">
        <is>
          <t>신축</t>
        </is>
      </c>
      <c r="F8" t="inlineStr">
        <is>
          <t>건축허가</t>
        </is>
      </c>
      <c r="G8" t="inlineStr">
        <is>
          <t>2026-08-12</t>
        </is>
      </c>
      <c r="H8" t="inlineStr"/>
      <c r="I8" t="inlineStr">
        <is>
          <t>[예시]가나개발</t>
        </is>
      </c>
      <c r="J8" t="inlineStr">
        <is>
          <t>[예시]가나건축사사무소</t>
        </is>
      </c>
      <c r="K8" t="inlineStr"/>
      <c r="L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20" customWidth="1" min="4" max="4"/>
    <col width="12" customWidth="1" min="5" max="5"/>
    <col width="11" customWidth="1" min="6" max="6"/>
    <col width="10" customWidth="1" min="7" max="7"/>
    <col width="14" customWidth="1" min="8" max="8"/>
    <col width="70" customWidth="1" min="9" max="9"/>
    <col hidden="1" width="13" customWidth="1" min="10" max="10"/>
  </cols>
  <sheetData>
    <row r="1">
      <c r="A1" s="1">
        <f>"이번 주 찾아갈 설계사무소 "&amp;COUNT('3.설계사'!R4:R303)&amp;"곳 · 지역: "&amp;IF(설정!B21="","전국",설정!B21)&amp;" · 기준일 "&amp;TEXT(설정!B24,"yyyy-mm-dd")</f>
        <v/>
      </c>
    </row>
    <row r="2">
      <c r="A2" t="inlineStr">
        <is>
          <t>순서 : ①7일 안 약속 ②설계단계 현장이 많고 안 가본 곳 ③오래 안 간 곳. 관심 없음·최근 방문(재방문 간격 안)은 빠짐. 지역은 설정 B21.</t>
        </is>
      </c>
    </row>
    <row r="3">
      <c r="A3" s="3" t="inlineStr">
        <is>
          <t>순위</t>
        </is>
      </c>
      <c r="B3" s="3" t="inlineStr">
        <is>
          <t>설계사무소</t>
        </is>
      </c>
      <c r="C3" s="3" t="inlineStr">
        <is>
          <t>왜 가야 하나</t>
        </is>
      </c>
      <c r="D3" s="3" t="inlineStr">
        <is>
          <t>대표 현장</t>
        </is>
      </c>
      <c r="E3" s="3" t="inlineStr">
        <is>
          <t>지역</t>
        </is>
      </c>
      <c r="F3" s="3" t="inlineStr">
        <is>
          <t>최대 연면적</t>
        </is>
      </c>
      <c r="G3" s="3" t="inlineStr">
        <is>
          <t>담당자</t>
        </is>
      </c>
      <c r="H3" s="3" t="inlineStr">
        <is>
          <t>전화</t>
        </is>
      </c>
      <c r="I3" s="3" t="inlineStr">
        <is>
          <t>전화 첫마디(복사)</t>
        </is>
      </c>
      <c r="J3" s="3" t="inlineStr">
        <is>
          <t>_행</t>
        </is>
      </c>
    </row>
    <row r="4">
      <c r="A4">
        <f>IF(J4="","",1)</f>
        <v/>
      </c>
      <c r="B4">
        <f>IF(J4="","",INDEX('3.설계사'!$B$4:$B$303,J4))</f>
        <v/>
      </c>
      <c r="C4" s="2">
        <f>IF(J4="","",IF(INDEX('3.설계사'!$Q$4:$Q$303,J4)&gt;=100,"약속 "&amp;TEXT(INDEX('3.설계사'!$N$4:$N$303,J4),"m/d")&amp;" · ",IF(INDEX('3.설계사'!$L$4:$L$303,J4)="","아직 안 가봄 · ","마지막 방문 "&amp;INDEX('3.설계사'!$M$4:$M$303,J4)&amp;"일 전 · "))&amp;"설계단계 "&amp;INDEX('3.설계사'!$D$4:$D$303,J4)&amp;"건"&amp;IF(INDEX('3.설계사'!$E$4:$E$303,J4)&gt;0," · 시공단계 "&amp;INDEX('3.설계사'!$E$4:$E$303,J4)&amp;"건",""))</f>
        <v/>
      </c>
      <c r="D4">
        <f>IF(J4="","",INDEX('3.설계사'!$H$4:$H$303,J4))</f>
        <v/>
      </c>
      <c r="E4">
        <f>IF(J4="","",INDEX('3.설계사'!$I$4:$I$303,J4))</f>
        <v/>
      </c>
      <c r="F4" s="5">
        <f>IF(J4="","",INDEX('3.설계사'!$F$4:$F$303,J4))</f>
        <v/>
      </c>
      <c r="G4">
        <f>IF(J4="","",INDEX('3.설계사'!$J$4:$J$303,J4))</f>
        <v/>
      </c>
      <c r="H4">
        <f>IF(J4="","",INDEX('3.설계사'!$K$4:$K$303,J4))</f>
        <v/>
      </c>
      <c r="I4" s="2">
        <f>IF(J4="","","한국마이크로닉 배성윤 차장입니다. "&amp;INDEX('3.설계사'!$H$4:$H$303,J4)&amp;"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4">
        <f>IFERROR(MATCH(1,'3.설계사'!$R$4:$R$303,0),"")</f>
        <v/>
      </c>
    </row>
    <row r="5">
      <c r="A5">
        <f>IF(J5="","",2)</f>
        <v/>
      </c>
      <c r="B5">
        <f>IF(J5="","",INDEX('3.설계사'!$B$4:$B$303,J5))</f>
        <v/>
      </c>
      <c r="C5" s="2">
        <f>IF(J5="","",IF(INDEX('3.설계사'!$Q$4:$Q$303,J5)&gt;=100,"약속 "&amp;TEXT(INDEX('3.설계사'!$N$4:$N$303,J5),"m/d")&amp;" · ",IF(INDEX('3.설계사'!$L$4:$L$303,J5)="","아직 안 가봄 · ","마지막 방문 "&amp;INDEX('3.설계사'!$M$4:$M$303,J5)&amp;"일 전 · "))&amp;"설계단계 "&amp;INDEX('3.설계사'!$D$4:$D$303,J5)&amp;"건"&amp;IF(INDEX('3.설계사'!$E$4:$E$303,J5)&gt;0," · 시공단계 "&amp;INDEX('3.설계사'!$E$4:$E$303,J5)&amp;"건",""))</f>
        <v/>
      </c>
      <c r="D5">
        <f>IF(J5="","",INDEX('3.설계사'!$H$4:$H$303,J5))</f>
        <v/>
      </c>
      <c r="E5">
        <f>IF(J5="","",INDEX('3.설계사'!$I$4:$I$303,J5))</f>
        <v/>
      </c>
      <c r="F5" s="5">
        <f>IF(J5="","",INDEX('3.설계사'!$F$4:$F$303,J5))</f>
        <v/>
      </c>
      <c r="G5">
        <f>IF(J5="","",INDEX('3.설계사'!$J$4:$J$303,J5))</f>
        <v/>
      </c>
      <c r="H5">
        <f>IF(J5="","",INDEX('3.설계사'!$K$4:$K$303,J5))</f>
        <v/>
      </c>
      <c r="I5" s="2">
        <f>IF(J5="","","한국마이크로닉 배성윤 차장입니다. "&amp;INDEX('3.설계사'!$H$4:$H$303,J5)&amp;"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5">
        <f>IFERROR(MATCH(2,'3.설계사'!$R$4:$R$303,0),"")</f>
        <v/>
      </c>
    </row>
    <row r="6">
      <c r="A6">
        <f>IF(J6="","",3)</f>
        <v/>
      </c>
      <c r="B6">
        <f>IF(J6="","",INDEX('3.설계사'!$B$4:$B$303,J6))</f>
        <v/>
      </c>
      <c r="C6" s="2">
        <f>IF(J6="","",IF(INDEX('3.설계사'!$Q$4:$Q$303,J6)&gt;=100,"약속 "&amp;TEXT(INDEX('3.설계사'!$N$4:$N$303,J6),"m/d")&amp;" · ",IF(INDEX('3.설계사'!$L$4:$L$303,J6)="","아직 안 가봄 · ","마지막 방문 "&amp;INDEX('3.설계사'!$M$4:$M$303,J6)&amp;"일 전 · "))&amp;"설계단계 "&amp;INDEX('3.설계사'!$D$4:$D$303,J6)&amp;"건"&amp;IF(INDEX('3.설계사'!$E$4:$E$303,J6)&gt;0," · 시공단계 "&amp;INDEX('3.설계사'!$E$4:$E$303,J6)&amp;"건",""))</f>
        <v/>
      </c>
      <c r="D6">
        <f>IF(J6="","",INDEX('3.설계사'!$H$4:$H$303,J6))</f>
        <v/>
      </c>
      <c r="E6">
        <f>IF(J6="","",INDEX('3.설계사'!$I$4:$I$303,J6))</f>
        <v/>
      </c>
      <c r="F6" s="5">
        <f>IF(J6="","",INDEX('3.설계사'!$F$4:$F$303,J6))</f>
        <v/>
      </c>
      <c r="G6">
        <f>IF(J6="","",INDEX('3.설계사'!$J$4:$J$303,J6))</f>
        <v/>
      </c>
      <c r="H6">
        <f>IF(J6="","",INDEX('3.설계사'!$K$4:$K$303,J6))</f>
        <v/>
      </c>
      <c r="I6" s="2">
        <f>IF(J6="","","한국마이크로닉 배성윤 차장입니다. "&amp;INDEX('3.설계사'!$H$4:$H$303,J6)&amp;"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6">
        <f>IFERROR(MATCH(3,'3.설계사'!$R$4:$R$303,0),"")</f>
        <v/>
      </c>
    </row>
    <row r="7">
      <c r="A7">
        <f>IF(J7="","",4)</f>
        <v/>
      </c>
      <c r="B7">
        <f>IF(J7="","",INDEX('3.설계사'!$B$4:$B$303,J7))</f>
        <v/>
      </c>
      <c r="C7" s="2">
        <f>IF(J7="","",IF(INDEX('3.설계사'!$Q$4:$Q$303,J7)&gt;=100,"약속 "&amp;TEXT(INDEX('3.설계사'!$N$4:$N$303,J7),"m/d")&amp;" · ",IF(INDEX('3.설계사'!$L$4:$L$303,J7)="","아직 안 가봄 · ","마지막 방문 "&amp;INDEX('3.설계사'!$M$4:$M$303,J7)&amp;"일 전 · "))&amp;"설계단계 "&amp;INDEX('3.설계사'!$D$4:$D$303,J7)&amp;"건"&amp;IF(INDEX('3.설계사'!$E$4:$E$303,J7)&gt;0," · 시공단계 "&amp;INDEX('3.설계사'!$E$4:$E$303,J7)&amp;"건",""))</f>
        <v/>
      </c>
      <c r="D7">
        <f>IF(J7="","",INDEX('3.설계사'!$H$4:$H$303,J7))</f>
        <v/>
      </c>
      <c r="E7">
        <f>IF(J7="","",INDEX('3.설계사'!$I$4:$I$303,J7))</f>
        <v/>
      </c>
      <c r="F7" s="5">
        <f>IF(J7="","",INDEX('3.설계사'!$F$4:$F$303,J7))</f>
        <v/>
      </c>
      <c r="G7">
        <f>IF(J7="","",INDEX('3.설계사'!$J$4:$J$303,J7))</f>
        <v/>
      </c>
      <c r="H7">
        <f>IF(J7="","",INDEX('3.설계사'!$K$4:$K$303,J7))</f>
        <v/>
      </c>
      <c r="I7" s="2">
        <f>IF(J7="","","한국마이크로닉 배성윤 차장입니다. "&amp;INDEX('3.설계사'!$H$4:$H$303,J7)&amp;"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7">
        <f>IFERROR(MATCH(4,'3.설계사'!$R$4:$R$303,0),"")</f>
        <v/>
      </c>
    </row>
    <row r="8">
      <c r="A8">
        <f>IF(J8="","",5)</f>
        <v/>
      </c>
      <c r="B8">
        <f>IF(J8="","",INDEX('3.설계사'!$B$4:$B$303,J8))</f>
        <v/>
      </c>
      <c r="C8" s="2">
        <f>IF(J8="","",IF(INDEX('3.설계사'!$Q$4:$Q$303,J8)&gt;=100,"약속 "&amp;TEXT(INDEX('3.설계사'!$N$4:$N$303,J8),"m/d")&amp;" · ",IF(INDEX('3.설계사'!$L$4:$L$303,J8)="","아직 안 가봄 · ","마지막 방문 "&amp;INDEX('3.설계사'!$M$4:$M$303,J8)&amp;"일 전 · "))&amp;"설계단계 "&amp;INDEX('3.설계사'!$D$4:$D$303,J8)&amp;"건"&amp;IF(INDEX('3.설계사'!$E$4:$E$303,J8)&gt;0," · 시공단계 "&amp;INDEX('3.설계사'!$E$4:$E$303,J8)&amp;"건",""))</f>
        <v/>
      </c>
      <c r="D8">
        <f>IF(J8="","",INDEX('3.설계사'!$H$4:$H$303,J8))</f>
        <v/>
      </c>
      <c r="E8">
        <f>IF(J8="","",INDEX('3.설계사'!$I$4:$I$303,J8))</f>
        <v/>
      </c>
      <c r="F8" s="5">
        <f>IF(J8="","",INDEX('3.설계사'!$F$4:$F$303,J8))</f>
        <v/>
      </c>
      <c r="G8">
        <f>IF(J8="","",INDEX('3.설계사'!$J$4:$J$303,J8))</f>
        <v/>
      </c>
      <c r="H8">
        <f>IF(J8="","",INDEX('3.설계사'!$K$4:$K$303,J8))</f>
        <v/>
      </c>
      <c r="I8" s="2">
        <f>IF(J8="","","한국마이크로닉 배성윤 차장입니다. "&amp;INDEX('3.설계사'!$H$4:$H$303,J8)&amp;"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8">
        <f>IFERROR(MATCH(5,'3.설계사'!$R$4:$R$303,0),"")</f>
        <v/>
      </c>
    </row>
    <row r="9">
      <c r="A9">
        <f>IF(J9="","",6)</f>
        <v/>
      </c>
      <c r="B9">
        <f>IF(J9="","",INDEX('3.설계사'!$B$4:$B$303,J9))</f>
        <v/>
      </c>
      <c r="C9" s="2">
        <f>IF(J9="","",IF(INDEX('3.설계사'!$Q$4:$Q$303,J9)&gt;=100,"약속 "&amp;TEXT(INDEX('3.설계사'!$N$4:$N$303,J9),"m/d")&amp;" · ",IF(INDEX('3.설계사'!$L$4:$L$303,J9)="","아직 안 가봄 · ","마지막 방문 "&amp;INDEX('3.설계사'!$M$4:$M$303,J9)&amp;"일 전 · "))&amp;"설계단계 "&amp;INDEX('3.설계사'!$D$4:$D$303,J9)&amp;"건"&amp;IF(INDEX('3.설계사'!$E$4:$E$303,J9)&gt;0," · 시공단계 "&amp;INDEX('3.설계사'!$E$4:$E$303,J9)&amp;"건",""))</f>
        <v/>
      </c>
      <c r="D9">
        <f>IF(J9="","",INDEX('3.설계사'!$H$4:$H$303,J9))</f>
        <v/>
      </c>
      <c r="E9">
        <f>IF(J9="","",INDEX('3.설계사'!$I$4:$I$303,J9))</f>
        <v/>
      </c>
      <c r="F9" s="5">
        <f>IF(J9="","",INDEX('3.설계사'!$F$4:$F$303,J9))</f>
        <v/>
      </c>
      <c r="G9">
        <f>IF(J9="","",INDEX('3.설계사'!$J$4:$J$303,J9))</f>
        <v/>
      </c>
      <c r="H9">
        <f>IF(J9="","",INDEX('3.설계사'!$K$4:$K$303,J9))</f>
        <v/>
      </c>
      <c r="I9" s="2">
        <f>IF(J9="","","한국마이크로닉 배성윤 차장입니다. "&amp;INDEX('3.설계사'!$H$4:$H$303,J9)&amp;"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9">
        <f>IFERROR(MATCH(6,'3.설계사'!$R$4:$R$303,0),"")</f>
        <v/>
      </c>
    </row>
    <row r="10">
      <c r="A10">
        <f>IF(J10="","",7)</f>
        <v/>
      </c>
      <c r="B10">
        <f>IF(J10="","",INDEX('3.설계사'!$B$4:$B$303,J10))</f>
        <v/>
      </c>
      <c r="C10" s="2">
        <f>IF(J10="","",IF(INDEX('3.설계사'!$Q$4:$Q$303,J10)&gt;=100,"약속 "&amp;TEXT(INDEX('3.설계사'!$N$4:$N$303,J10),"m/d")&amp;" · ",IF(INDEX('3.설계사'!$L$4:$L$303,J10)="","아직 안 가봄 · ","마지막 방문 "&amp;INDEX('3.설계사'!$M$4:$M$303,J10)&amp;"일 전 · "))&amp;"설계단계 "&amp;INDEX('3.설계사'!$D$4:$D$303,J10)&amp;"건"&amp;IF(INDEX('3.설계사'!$E$4:$E$303,J10)&gt;0," · 시공단계 "&amp;INDEX('3.설계사'!$E$4:$E$303,J10)&amp;"건",""))</f>
        <v/>
      </c>
      <c r="D10">
        <f>IF(J10="","",INDEX('3.설계사'!$H$4:$H$303,J10))</f>
        <v/>
      </c>
      <c r="E10">
        <f>IF(J10="","",INDEX('3.설계사'!$I$4:$I$303,J10))</f>
        <v/>
      </c>
      <c r="F10" s="5">
        <f>IF(J10="","",INDEX('3.설계사'!$F$4:$F$303,J10))</f>
        <v/>
      </c>
      <c r="G10">
        <f>IF(J10="","",INDEX('3.설계사'!$J$4:$J$303,J10))</f>
        <v/>
      </c>
      <c r="H10">
        <f>IF(J10="","",INDEX('3.설계사'!$K$4:$K$303,J10))</f>
        <v/>
      </c>
      <c r="I10" s="2">
        <f>IF(J10="","","한국마이크로닉 배성윤 차장입니다. "&amp;INDEX('3.설계사'!$H$4:$H$303,J10)&amp;"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0">
        <f>IFERROR(MATCH(7,'3.설계사'!$R$4:$R$303,0),"")</f>
        <v/>
      </c>
    </row>
    <row r="11">
      <c r="A11">
        <f>IF(J11="","",8)</f>
        <v/>
      </c>
      <c r="B11">
        <f>IF(J11="","",INDEX('3.설계사'!$B$4:$B$303,J11))</f>
        <v/>
      </c>
      <c r="C11" s="2">
        <f>IF(J11="","",IF(INDEX('3.설계사'!$Q$4:$Q$303,J11)&gt;=100,"약속 "&amp;TEXT(INDEX('3.설계사'!$N$4:$N$303,J11),"m/d")&amp;" · ",IF(INDEX('3.설계사'!$L$4:$L$303,J11)="","아직 안 가봄 · ","마지막 방문 "&amp;INDEX('3.설계사'!$M$4:$M$303,J11)&amp;"일 전 · "))&amp;"설계단계 "&amp;INDEX('3.설계사'!$D$4:$D$303,J11)&amp;"건"&amp;IF(INDEX('3.설계사'!$E$4:$E$303,J11)&gt;0," · 시공단계 "&amp;INDEX('3.설계사'!$E$4:$E$303,J11)&amp;"건",""))</f>
        <v/>
      </c>
      <c r="D11">
        <f>IF(J11="","",INDEX('3.설계사'!$H$4:$H$303,J11))</f>
        <v/>
      </c>
      <c r="E11">
        <f>IF(J11="","",INDEX('3.설계사'!$I$4:$I$303,J11))</f>
        <v/>
      </c>
      <c r="F11" s="5">
        <f>IF(J11="","",INDEX('3.설계사'!$F$4:$F$303,J11))</f>
        <v/>
      </c>
      <c r="G11">
        <f>IF(J11="","",INDEX('3.설계사'!$J$4:$J$303,J11))</f>
        <v/>
      </c>
      <c r="H11">
        <f>IF(J11="","",INDEX('3.설계사'!$K$4:$K$303,J11))</f>
        <v/>
      </c>
      <c r="I11" s="2">
        <f>IF(J11="","","한국마이크로닉 배성윤 차장입니다. "&amp;INDEX('3.설계사'!$H$4:$H$303,J11)&amp;"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1">
        <f>IFERROR(MATCH(8,'3.설계사'!$R$4:$R$303,0),"")</f>
        <v/>
      </c>
    </row>
    <row r="12">
      <c r="A12">
        <f>IF(J12="","",9)</f>
        <v/>
      </c>
      <c r="B12">
        <f>IF(J12="","",INDEX('3.설계사'!$B$4:$B$303,J12))</f>
        <v/>
      </c>
      <c r="C12" s="2">
        <f>IF(J12="","",IF(INDEX('3.설계사'!$Q$4:$Q$303,J12)&gt;=100,"약속 "&amp;TEXT(INDEX('3.설계사'!$N$4:$N$303,J12),"m/d")&amp;" · ",IF(INDEX('3.설계사'!$L$4:$L$303,J12)="","아직 안 가봄 · ","마지막 방문 "&amp;INDEX('3.설계사'!$M$4:$M$303,J12)&amp;"일 전 · "))&amp;"설계단계 "&amp;INDEX('3.설계사'!$D$4:$D$303,J12)&amp;"건"&amp;IF(INDEX('3.설계사'!$E$4:$E$303,J12)&gt;0," · 시공단계 "&amp;INDEX('3.설계사'!$E$4:$E$303,J12)&amp;"건",""))</f>
        <v/>
      </c>
      <c r="D12">
        <f>IF(J12="","",INDEX('3.설계사'!$H$4:$H$303,J12))</f>
        <v/>
      </c>
      <c r="E12">
        <f>IF(J12="","",INDEX('3.설계사'!$I$4:$I$303,J12))</f>
        <v/>
      </c>
      <c r="F12" s="5">
        <f>IF(J12="","",INDEX('3.설계사'!$F$4:$F$303,J12))</f>
        <v/>
      </c>
      <c r="G12">
        <f>IF(J12="","",INDEX('3.설계사'!$J$4:$J$303,J12))</f>
        <v/>
      </c>
      <c r="H12">
        <f>IF(J12="","",INDEX('3.설계사'!$K$4:$K$303,J12))</f>
        <v/>
      </c>
      <c r="I12" s="2">
        <f>IF(J12="","","한국마이크로닉 배성윤 차장입니다. "&amp;INDEX('3.설계사'!$H$4:$H$303,J12)&amp;"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2">
        <f>IFERROR(MATCH(9,'3.설계사'!$R$4:$R$303,0),"")</f>
        <v/>
      </c>
    </row>
    <row r="13">
      <c r="A13">
        <f>IF(J13="","",10)</f>
        <v/>
      </c>
      <c r="B13">
        <f>IF(J13="","",INDEX('3.설계사'!$B$4:$B$303,J13))</f>
        <v/>
      </c>
      <c r="C13" s="2">
        <f>IF(J13="","",IF(INDEX('3.설계사'!$Q$4:$Q$303,J13)&gt;=100,"약속 "&amp;TEXT(INDEX('3.설계사'!$N$4:$N$303,J13),"m/d")&amp;" · ",IF(INDEX('3.설계사'!$L$4:$L$303,J13)="","아직 안 가봄 · ","마지막 방문 "&amp;INDEX('3.설계사'!$M$4:$M$303,J13)&amp;"일 전 · "))&amp;"설계단계 "&amp;INDEX('3.설계사'!$D$4:$D$303,J13)&amp;"건"&amp;IF(INDEX('3.설계사'!$E$4:$E$303,J13)&gt;0," · 시공단계 "&amp;INDEX('3.설계사'!$E$4:$E$303,J13)&amp;"건",""))</f>
        <v/>
      </c>
      <c r="D13">
        <f>IF(J13="","",INDEX('3.설계사'!$H$4:$H$303,J13))</f>
        <v/>
      </c>
      <c r="E13">
        <f>IF(J13="","",INDEX('3.설계사'!$I$4:$I$303,J13))</f>
        <v/>
      </c>
      <c r="F13" s="5">
        <f>IF(J13="","",INDEX('3.설계사'!$F$4:$F$303,J13))</f>
        <v/>
      </c>
      <c r="G13">
        <f>IF(J13="","",INDEX('3.설계사'!$J$4:$J$303,J13))</f>
        <v/>
      </c>
      <c r="H13">
        <f>IF(J13="","",INDEX('3.설계사'!$K$4:$K$303,J13))</f>
        <v/>
      </c>
      <c r="I13" s="2">
        <f>IF(J13="","","한국마이크로닉 배성윤 차장입니다. "&amp;INDEX('3.설계사'!$H$4:$H$303,J13)&amp;"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3">
        <f>IFERROR(MATCH(10,'3.설계사'!$R$4:$R$303,0),"")</f>
        <v/>
      </c>
    </row>
    <row r="14">
      <c r="A14">
        <f>IF(J14="","",11)</f>
        <v/>
      </c>
      <c r="B14">
        <f>IF(J14="","",INDEX('3.설계사'!$B$4:$B$303,J14))</f>
        <v/>
      </c>
      <c r="C14" s="2">
        <f>IF(J14="","",IF(INDEX('3.설계사'!$Q$4:$Q$303,J14)&gt;=100,"약속 "&amp;TEXT(INDEX('3.설계사'!$N$4:$N$303,J14),"m/d")&amp;" · ",IF(INDEX('3.설계사'!$L$4:$L$303,J14)="","아직 안 가봄 · ","마지막 방문 "&amp;INDEX('3.설계사'!$M$4:$M$303,J14)&amp;"일 전 · "))&amp;"설계단계 "&amp;INDEX('3.설계사'!$D$4:$D$303,J14)&amp;"건"&amp;IF(INDEX('3.설계사'!$E$4:$E$303,J14)&gt;0," · 시공단계 "&amp;INDEX('3.설계사'!$E$4:$E$303,J14)&amp;"건",""))</f>
        <v/>
      </c>
      <c r="D14">
        <f>IF(J14="","",INDEX('3.설계사'!$H$4:$H$303,J14))</f>
        <v/>
      </c>
      <c r="E14">
        <f>IF(J14="","",INDEX('3.설계사'!$I$4:$I$303,J14))</f>
        <v/>
      </c>
      <c r="F14" s="5">
        <f>IF(J14="","",INDEX('3.설계사'!$F$4:$F$303,J14))</f>
        <v/>
      </c>
      <c r="G14">
        <f>IF(J14="","",INDEX('3.설계사'!$J$4:$J$303,J14))</f>
        <v/>
      </c>
      <c r="H14">
        <f>IF(J14="","",INDEX('3.설계사'!$K$4:$K$303,J14))</f>
        <v/>
      </c>
      <c r="I14" s="2">
        <f>IF(J14="","","한국마이크로닉 배성윤 차장입니다. "&amp;INDEX('3.설계사'!$H$4:$H$303,J14)&amp;"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4">
        <f>IFERROR(MATCH(11,'3.설계사'!$R$4:$R$303,0),"")</f>
        <v/>
      </c>
    </row>
    <row r="15">
      <c r="A15">
        <f>IF(J15="","",12)</f>
        <v/>
      </c>
      <c r="B15">
        <f>IF(J15="","",INDEX('3.설계사'!$B$4:$B$303,J15))</f>
        <v/>
      </c>
      <c r="C15" s="2">
        <f>IF(J15="","",IF(INDEX('3.설계사'!$Q$4:$Q$303,J15)&gt;=100,"약속 "&amp;TEXT(INDEX('3.설계사'!$N$4:$N$303,J15),"m/d")&amp;" · ",IF(INDEX('3.설계사'!$L$4:$L$303,J15)="","아직 안 가봄 · ","마지막 방문 "&amp;INDEX('3.설계사'!$M$4:$M$303,J15)&amp;"일 전 · "))&amp;"설계단계 "&amp;INDEX('3.설계사'!$D$4:$D$303,J15)&amp;"건"&amp;IF(INDEX('3.설계사'!$E$4:$E$303,J15)&gt;0," · 시공단계 "&amp;INDEX('3.설계사'!$E$4:$E$303,J15)&amp;"건",""))</f>
        <v/>
      </c>
      <c r="D15">
        <f>IF(J15="","",INDEX('3.설계사'!$H$4:$H$303,J15))</f>
        <v/>
      </c>
      <c r="E15">
        <f>IF(J15="","",INDEX('3.설계사'!$I$4:$I$303,J15))</f>
        <v/>
      </c>
      <c r="F15" s="5">
        <f>IF(J15="","",INDEX('3.설계사'!$F$4:$F$303,J15))</f>
        <v/>
      </c>
      <c r="G15">
        <f>IF(J15="","",INDEX('3.설계사'!$J$4:$J$303,J15))</f>
        <v/>
      </c>
      <c r="H15">
        <f>IF(J15="","",INDEX('3.설계사'!$K$4:$K$303,J15))</f>
        <v/>
      </c>
      <c r="I15" s="2">
        <f>IF(J15="","","한국마이크로닉 배성윤 차장입니다. "&amp;INDEX('3.설계사'!$H$4:$H$303,J15)&amp;"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5">
        <f>IFERROR(MATCH(12,'3.설계사'!$R$4:$R$303,0),"")</f>
        <v/>
      </c>
    </row>
    <row r="16">
      <c r="A16">
        <f>IF(J16="","",13)</f>
        <v/>
      </c>
      <c r="B16">
        <f>IF(J16="","",INDEX('3.설계사'!$B$4:$B$303,J16))</f>
        <v/>
      </c>
      <c r="C16" s="2">
        <f>IF(J16="","",IF(INDEX('3.설계사'!$Q$4:$Q$303,J16)&gt;=100,"약속 "&amp;TEXT(INDEX('3.설계사'!$N$4:$N$303,J16),"m/d")&amp;" · ",IF(INDEX('3.설계사'!$L$4:$L$303,J16)="","아직 안 가봄 · ","마지막 방문 "&amp;INDEX('3.설계사'!$M$4:$M$303,J16)&amp;"일 전 · "))&amp;"설계단계 "&amp;INDEX('3.설계사'!$D$4:$D$303,J16)&amp;"건"&amp;IF(INDEX('3.설계사'!$E$4:$E$303,J16)&gt;0," · 시공단계 "&amp;INDEX('3.설계사'!$E$4:$E$303,J16)&amp;"건",""))</f>
        <v/>
      </c>
      <c r="D16">
        <f>IF(J16="","",INDEX('3.설계사'!$H$4:$H$303,J16))</f>
        <v/>
      </c>
      <c r="E16">
        <f>IF(J16="","",INDEX('3.설계사'!$I$4:$I$303,J16))</f>
        <v/>
      </c>
      <c r="F16" s="5">
        <f>IF(J16="","",INDEX('3.설계사'!$F$4:$F$303,J16))</f>
        <v/>
      </c>
      <c r="G16">
        <f>IF(J16="","",INDEX('3.설계사'!$J$4:$J$303,J16))</f>
        <v/>
      </c>
      <c r="H16">
        <f>IF(J16="","",INDEX('3.설계사'!$K$4:$K$303,J16))</f>
        <v/>
      </c>
      <c r="I16" s="2">
        <f>IF(J16="","","한국마이크로닉 배성윤 차장입니다. "&amp;INDEX('3.설계사'!$H$4:$H$303,J16)&amp;"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6">
        <f>IFERROR(MATCH(13,'3.설계사'!$R$4:$R$303,0),"")</f>
        <v/>
      </c>
    </row>
    <row r="17">
      <c r="A17">
        <f>IF(J17="","",14)</f>
        <v/>
      </c>
      <c r="B17">
        <f>IF(J17="","",INDEX('3.설계사'!$B$4:$B$303,J17))</f>
        <v/>
      </c>
      <c r="C17" s="2">
        <f>IF(J17="","",IF(INDEX('3.설계사'!$Q$4:$Q$303,J17)&gt;=100,"약속 "&amp;TEXT(INDEX('3.설계사'!$N$4:$N$303,J17),"m/d")&amp;" · ",IF(INDEX('3.설계사'!$L$4:$L$303,J17)="","아직 안 가봄 · ","마지막 방문 "&amp;INDEX('3.설계사'!$M$4:$M$303,J17)&amp;"일 전 · "))&amp;"설계단계 "&amp;INDEX('3.설계사'!$D$4:$D$303,J17)&amp;"건"&amp;IF(INDEX('3.설계사'!$E$4:$E$303,J17)&gt;0," · 시공단계 "&amp;INDEX('3.설계사'!$E$4:$E$303,J17)&amp;"건",""))</f>
        <v/>
      </c>
      <c r="D17">
        <f>IF(J17="","",INDEX('3.설계사'!$H$4:$H$303,J17))</f>
        <v/>
      </c>
      <c r="E17">
        <f>IF(J17="","",INDEX('3.설계사'!$I$4:$I$303,J17))</f>
        <v/>
      </c>
      <c r="F17" s="5">
        <f>IF(J17="","",INDEX('3.설계사'!$F$4:$F$303,J17))</f>
        <v/>
      </c>
      <c r="G17">
        <f>IF(J17="","",INDEX('3.설계사'!$J$4:$J$303,J17))</f>
        <v/>
      </c>
      <c r="H17">
        <f>IF(J17="","",INDEX('3.설계사'!$K$4:$K$303,J17))</f>
        <v/>
      </c>
      <c r="I17" s="2">
        <f>IF(J17="","","한국마이크로닉 배성윤 차장입니다. "&amp;INDEX('3.설계사'!$H$4:$H$303,J17)&amp;"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7">
        <f>IFERROR(MATCH(14,'3.설계사'!$R$4:$R$303,0),"")</f>
        <v/>
      </c>
    </row>
    <row r="18">
      <c r="A18">
        <f>IF(J18="","",15)</f>
        <v/>
      </c>
      <c r="B18">
        <f>IF(J18="","",INDEX('3.설계사'!$B$4:$B$303,J18))</f>
        <v/>
      </c>
      <c r="C18" s="2">
        <f>IF(J18="","",IF(INDEX('3.설계사'!$Q$4:$Q$303,J18)&gt;=100,"약속 "&amp;TEXT(INDEX('3.설계사'!$N$4:$N$303,J18),"m/d")&amp;" · ",IF(INDEX('3.설계사'!$L$4:$L$303,J18)="","아직 안 가봄 · ","마지막 방문 "&amp;INDEX('3.설계사'!$M$4:$M$303,J18)&amp;"일 전 · "))&amp;"설계단계 "&amp;INDEX('3.설계사'!$D$4:$D$303,J18)&amp;"건"&amp;IF(INDEX('3.설계사'!$E$4:$E$303,J18)&gt;0," · 시공단계 "&amp;INDEX('3.설계사'!$E$4:$E$303,J18)&amp;"건",""))</f>
        <v/>
      </c>
      <c r="D18">
        <f>IF(J18="","",INDEX('3.설계사'!$H$4:$H$303,J18))</f>
        <v/>
      </c>
      <c r="E18">
        <f>IF(J18="","",INDEX('3.설계사'!$I$4:$I$303,J18))</f>
        <v/>
      </c>
      <c r="F18" s="5">
        <f>IF(J18="","",INDEX('3.설계사'!$F$4:$F$303,J18))</f>
        <v/>
      </c>
      <c r="G18">
        <f>IF(J18="","",INDEX('3.설계사'!$J$4:$J$303,J18))</f>
        <v/>
      </c>
      <c r="H18">
        <f>IF(J18="","",INDEX('3.설계사'!$K$4:$K$303,J18))</f>
        <v/>
      </c>
      <c r="I18" s="2">
        <f>IF(J18="","","한국마이크로닉 배성윤 차장입니다. "&amp;INDEX('3.설계사'!$H$4:$H$303,J18)&amp;"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8">
        <f>IFERROR(MATCH(15,'3.설계사'!$R$4:$R$303,0),"")</f>
        <v/>
      </c>
    </row>
    <row r="19">
      <c r="A19">
        <f>IF(J19="","",16)</f>
        <v/>
      </c>
      <c r="B19">
        <f>IF(J19="","",INDEX('3.설계사'!$B$4:$B$303,J19))</f>
        <v/>
      </c>
      <c r="C19" s="2">
        <f>IF(J19="","",IF(INDEX('3.설계사'!$Q$4:$Q$303,J19)&gt;=100,"약속 "&amp;TEXT(INDEX('3.설계사'!$N$4:$N$303,J19),"m/d")&amp;" · ",IF(INDEX('3.설계사'!$L$4:$L$303,J19)="","아직 안 가봄 · ","마지막 방문 "&amp;INDEX('3.설계사'!$M$4:$M$303,J19)&amp;"일 전 · "))&amp;"설계단계 "&amp;INDEX('3.설계사'!$D$4:$D$303,J19)&amp;"건"&amp;IF(INDEX('3.설계사'!$E$4:$E$303,J19)&gt;0," · 시공단계 "&amp;INDEX('3.설계사'!$E$4:$E$303,J19)&amp;"건",""))</f>
        <v/>
      </c>
      <c r="D19">
        <f>IF(J19="","",INDEX('3.설계사'!$H$4:$H$303,J19))</f>
        <v/>
      </c>
      <c r="E19">
        <f>IF(J19="","",INDEX('3.설계사'!$I$4:$I$303,J19))</f>
        <v/>
      </c>
      <c r="F19" s="5">
        <f>IF(J19="","",INDEX('3.설계사'!$F$4:$F$303,J19))</f>
        <v/>
      </c>
      <c r="G19">
        <f>IF(J19="","",INDEX('3.설계사'!$J$4:$J$303,J19))</f>
        <v/>
      </c>
      <c r="H19">
        <f>IF(J19="","",INDEX('3.설계사'!$K$4:$K$303,J19))</f>
        <v/>
      </c>
      <c r="I19" s="2">
        <f>IF(J19="","","한국마이크로닉 배성윤 차장입니다. "&amp;INDEX('3.설계사'!$H$4:$H$303,J19)&amp;"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19">
        <f>IFERROR(MATCH(16,'3.설계사'!$R$4:$R$303,0),"")</f>
        <v/>
      </c>
    </row>
    <row r="20">
      <c r="A20">
        <f>IF(J20="","",17)</f>
        <v/>
      </c>
      <c r="B20">
        <f>IF(J20="","",INDEX('3.설계사'!$B$4:$B$303,J20))</f>
        <v/>
      </c>
      <c r="C20" s="2">
        <f>IF(J20="","",IF(INDEX('3.설계사'!$Q$4:$Q$303,J20)&gt;=100,"약속 "&amp;TEXT(INDEX('3.설계사'!$N$4:$N$303,J20),"m/d")&amp;" · ",IF(INDEX('3.설계사'!$L$4:$L$303,J20)="","아직 안 가봄 · ","마지막 방문 "&amp;INDEX('3.설계사'!$M$4:$M$303,J20)&amp;"일 전 · "))&amp;"설계단계 "&amp;INDEX('3.설계사'!$D$4:$D$303,J20)&amp;"건"&amp;IF(INDEX('3.설계사'!$E$4:$E$303,J20)&gt;0," · 시공단계 "&amp;INDEX('3.설계사'!$E$4:$E$303,J20)&amp;"건",""))</f>
        <v/>
      </c>
      <c r="D20">
        <f>IF(J20="","",INDEX('3.설계사'!$H$4:$H$303,J20))</f>
        <v/>
      </c>
      <c r="E20">
        <f>IF(J20="","",INDEX('3.설계사'!$I$4:$I$303,J20))</f>
        <v/>
      </c>
      <c r="F20" s="5">
        <f>IF(J20="","",INDEX('3.설계사'!$F$4:$F$303,J20))</f>
        <v/>
      </c>
      <c r="G20">
        <f>IF(J20="","",INDEX('3.설계사'!$J$4:$J$303,J20))</f>
        <v/>
      </c>
      <c r="H20">
        <f>IF(J20="","",INDEX('3.설계사'!$K$4:$K$303,J20))</f>
        <v/>
      </c>
      <c r="I20" s="2">
        <f>IF(J20="","","한국마이크로닉 배성윤 차장입니다. "&amp;INDEX('3.설계사'!$H$4:$H$303,J20)&amp;"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0">
        <f>IFERROR(MATCH(17,'3.설계사'!$R$4:$R$303,0),"")</f>
        <v/>
      </c>
    </row>
    <row r="21">
      <c r="A21">
        <f>IF(J21="","",18)</f>
        <v/>
      </c>
      <c r="B21">
        <f>IF(J21="","",INDEX('3.설계사'!$B$4:$B$303,J21))</f>
        <v/>
      </c>
      <c r="C21" s="2">
        <f>IF(J21="","",IF(INDEX('3.설계사'!$Q$4:$Q$303,J21)&gt;=100,"약속 "&amp;TEXT(INDEX('3.설계사'!$N$4:$N$303,J21),"m/d")&amp;" · ",IF(INDEX('3.설계사'!$L$4:$L$303,J21)="","아직 안 가봄 · ","마지막 방문 "&amp;INDEX('3.설계사'!$M$4:$M$303,J21)&amp;"일 전 · "))&amp;"설계단계 "&amp;INDEX('3.설계사'!$D$4:$D$303,J21)&amp;"건"&amp;IF(INDEX('3.설계사'!$E$4:$E$303,J21)&gt;0," · 시공단계 "&amp;INDEX('3.설계사'!$E$4:$E$303,J21)&amp;"건",""))</f>
        <v/>
      </c>
      <c r="D21">
        <f>IF(J21="","",INDEX('3.설계사'!$H$4:$H$303,J21))</f>
        <v/>
      </c>
      <c r="E21">
        <f>IF(J21="","",INDEX('3.설계사'!$I$4:$I$303,J21))</f>
        <v/>
      </c>
      <c r="F21" s="5">
        <f>IF(J21="","",INDEX('3.설계사'!$F$4:$F$303,J21))</f>
        <v/>
      </c>
      <c r="G21">
        <f>IF(J21="","",INDEX('3.설계사'!$J$4:$J$303,J21))</f>
        <v/>
      </c>
      <c r="H21">
        <f>IF(J21="","",INDEX('3.설계사'!$K$4:$K$303,J21))</f>
        <v/>
      </c>
      <c r="I21" s="2">
        <f>IF(J21="","","한국마이크로닉 배성윤 차장입니다. "&amp;INDEX('3.설계사'!$H$4:$H$303,J21)&amp;"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1">
        <f>IFERROR(MATCH(18,'3.설계사'!$R$4:$R$303,0),"")</f>
        <v/>
      </c>
    </row>
    <row r="22">
      <c r="A22">
        <f>IF(J22="","",19)</f>
        <v/>
      </c>
      <c r="B22">
        <f>IF(J22="","",INDEX('3.설계사'!$B$4:$B$303,J22))</f>
        <v/>
      </c>
      <c r="C22" s="2">
        <f>IF(J22="","",IF(INDEX('3.설계사'!$Q$4:$Q$303,J22)&gt;=100,"약속 "&amp;TEXT(INDEX('3.설계사'!$N$4:$N$303,J22),"m/d")&amp;" · ",IF(INDEX('3.설계사'!$L$4:$L$303,J22)="","아직 안 가봄 · ","마지막 방문 "&amp;INDEX('3.설계사'!$M$4:$M$303,J22)&amp;"일 전 · "))&amp;"설계단계 "&amp;INDEX('3.설계사'!$D$4:$D$303,J22)&amp;"건"&amp;IF(INDEX('3.설계사'!$E$4:$E$303,J22)&gt;0," · 시공단계 "&amp;INDEX('3.설계사'!$E$4:$E$303,J22)&amp;"건",""))</f>
        <v/>
      </c>
      <c r="D22">
        <f>IF(J22="","",INDEX('3.설계사'!$H$4:$H$303,J22))</f>
        <v/>
      </c>
      <c r="E22">
        <f>IF(J22="","",INDEX('3.설계사'!$I$4:$I$303,J22))</f>
        <v/>
      </c>
      <c r="F22" s="5">
        <f>IF(J22="","",INDEX('3.설계사'!$F$4:$F$303,J22))</f>
        <v/>
      </c>
      <c r="G22">
        <f>IF(J22="","",INDEX('3.설계사'!$J$4:$J$303,J22))</f>
        <v/>
      </c>
      <c r="H22">
        <f>IF(J22="","",INDEX('3.설계사'!$K$4:$K$303,J22))</f>
        <v/>
      </c>
      <c r="I22" s="2">
        <f>IF(J22="","","한국마이크로닉 배성윤 차장입니다. "&amp;INDEX('3.설계사'!$H$4:$H$303,J22)&amp;"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2">
        <f>IFERROR(MATCH(19,'3.설계사'!$R$4:$R$303,0),"")</f>
        <v/>
      </c>
    </row>
    <row r="23">
      <c r="A23">
        <f>IF(J23="","",20)</f>
        <v/>
      </c>
      <c r="B23">
        <f>IF(J23="","",INDEX('3.설계사'!$B$4:$B$303,J23))</f>
        <v/>
      </c>
      <c r="C23" s="2">
        <f>IF(J23="","",IF(INDEX('3.설계사'!$Q$4:$Q$303,J23)&gt;=100,"약속 "&amp;TEXT(INDEX('3.설계사'!$N$4:$N$303,J23),"m/d")&amp;" · ",IF(INDEX('3.설계사'!$L$4:$L$303,J23)="","아직 안 가봄 · ","마지막 방문 "&amp;INDEX('3.설계사'!$M$4:$M$303,J23)&amp;"일 전 · "))&amp;"설계단계 "&amp;INDEX('3.설계사'!$D$4:$D$303,J23)&amp;"건"&amp;IF(INDEX('3.설계사'!$E$4:$E$303,J23)&gt;0," · 시공단계 "&amp;INDEX('3.설계사'!$E$4:$E$303,J23)&amp;"건",""))</f>
        <v/>
      </c>
      <c r="D23">
        <f>IF(J23="","",INDEX('3.설계사'!$H$4:$H$303,J23))</f>
        <v/>
      </c>
      <c r="E23">
        <f>IF(J23="","",INDEX('3.설계사'!$I$4:$I$303,J23))</f>
        <v/>
      </c>
      <c r="F23" s="5">
        <f>IF(J23="","",INDEX('3.설계사'!$F$4:$F$303,J23))</f>
        <v/>
      </c>
      <c r="G23">
        <f>IF(J23="","",INDEX('3.설계사'!$J$4:$J$303,J23))</f>
        <v/>
      </c>
      <c r="H23">
        <f>IF(J23="","",INDEX('3.설계사'!$K$4:$K$303,J23))</f>
        <v/>
      </c>
      <c r="I23" s="2">
        <f>IF(J23="","","한국마이크로닉 배성윤 차장입니다. "&amp;INDEX('3.설계사'!$H$4:$H$303,J23)&amp;"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3">
        <f>IFERROR(MATCH(20,'3.설계사'!$R$4:$R$303,0),"")</f>
        <v/>
      </c>
    </row>
    <row r="24">
      <c r="A24">
        <f>IF(J24="","",21)</f>
        <v/>
      </c>
      <c r="B24">
        <f>IF(J24="","",INDEX('3.설계사'!$B$4:$B$303,J24))</f>
        <v/>
      </c>
      <c r="C24" s="2">
        <f>IF(J24="","",IF(INDEX('3.설계사'!$Q$4:$Q$303,J24)&gt;=100,"약속 "&amp;TEXT(INDEX('3.설계사'!$N$4:$N$303,J24),"m/d")&amp;" · ",IF(INDEX('3.설계사'!$L$4:$L$303,J24)="","아직 안 가봄 · ","마지막 방문 "&amp;INDEX('3.설계사'!$M$4:$M$303,J24)&amp;"일 전 · "))&amp;"설계단계 "&amp;INDEX('3.설계사'!$D$4:$D$303,J24)&amp;"건"&amp;IF(INDEX('3.설계사'!$E$4:$E$303,J24)&gt;0," · 시공단계 "&amp;INDEX('3.설계사'!$E$4:$E$303,J24)&amp;"건",""))</f>
        <v/>
      </c>
      <c r="D24">
        <f>IF(J24="","",INDEX('3.설계사'!$H$4:$H$303,J24))</f>
        <v/>
      </c>
      <c r="E24">
        <f>IF(J24="","",INDEX('3.설계사'!$I$4:$I$303,J24))</f>
        <v/>
      </c>
      <c r="F24" s="5">
        <f>IF(J24="","",INDEX('3.설계사'!$F$4:$F$303,J24))</f>
        <v/>
      </c>
      <c r="G24">
        <f>IF(J24="","",INDEX('3.설계사'!$J$4:$J$303,J24))</f>
        <v/>
      </c>
      <c r="H24">
        <f>IF(J24="","",INDEX('3.설계사'!$K$4:$K$303,J24))</f>
        <v/>
      </c>
      <c r="I24" s="2">
        <f>IF(J24="","","한국마이크로닉 배성윤 차장입니다. "&amp;INDEX('3.설계사'!$H$4:$H$303,J24)&amp;"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4">
        <f>IFERROR(MATCH(21,'3.설계사'!$R$4:$R$303,0),"")</f>
        <v/>
      </c>
    </row>
    <row r="25">
      <c r="A25">
        <f>IF(J25="","",22)</f>
        <v/>
      </c>
      <c r="B25">
        <f>IF(J25="","",INDEX('3.설계사'!$B$4:$B$303,J25))</f>
        <v/>
      </c>
      <c r="C25" s="2">
        <f>IF(J25="","",IF(INDEX('3.설계사'!$Q$4:$Q$303,J25)&gt;=100,"약속 "&amp;TEXT(INDEX('3.설계사'!$N$4:$N$303,J25),"m/d")&amp;" · ",IF(INDEX('3.설계사'!$L$4:$L$303,J25)="","아직 안 가봄 · ","마지막 방문 "&amp;INDEX('3.설계사'!$M$4:$M$303,J25)&amp;"일 전 · "))&amp;"설계단계 "&amp;INDEX('3.설계사'!$D$4:$D$303,J25)&amp;"건"&amp;IF(INDEX('3.설계사'!$E$4:$E$303,J25)&gt;0," · 시공단계 "&amp;INDEX('3.설계사'!$E$4:$E$303,J25)&amp;"건",""))</f>
        <v/>
      </c>
      <c r="D25">
        <f>IF(J25="","",INDEX('3.설계사'!$H$4:$H$303,J25))</f>
        <v/>
      </c>
      <c r="E25">
        <f>IF(J25="","",INDEX('3.설계사'!$I$4:$I$303,J25))</f>
        <v/>
      </c>
      <c r="F25" s="5">
        <f>IF(J25="","",INDEX('3.설계사'!$F$4:$F$303,J25))</f>
        <v/>
      </c>
      <c r="G25">
        <f>IF(J25="","",INDEX('3.설계사'!$J$4:$J$303,J25))</f>
        <v/>
      </c>
      <c r="H25">
        <f>IF(J25="","",INDEX('3.설계사'!$K$4:$K$303,J25))</f>
        <v/>
      </c>
      <c r="I25" s="2">
        <f>IF(J25="","","한국마이크로닉 배성윤 차장입니다. "&amp;INDEX('3.설계사'!$H$4:$H$303,J25)&amp;"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5">
        <f>IFERROR(MATCH(22,'3.설계사'!$R$4:$R$303,0),"")</f>
        <v/>
      </c>
    </row>
    <row r="26">
      <c r="A26">
        <f>IF(J26="","",23)</f>
        <v/>
      </c>
      <c r="B26">
        <f>IF(J26="","",INDEX('3.설계사'!$B$4:$B$303,J26))</f>
        <v/>
      </c>
      <c r="C26" s="2">
        <f>IF(J26="","",IF(INDEX('3.설계사'!$Q$4:$Q$303,J26)&gt;=100,"약속 "&amp;TEXT(INDEX('3.설계사'!$N$4:$N$303,J26),"m/d")&amp;" · ",IF(INDEX('3.설계사'!$L$4:$L$303,J26)="","아직 안 가봄 · ","마지막 방문 "&amp;INDEX('3.설계사'!$M$4:$M$303,J26)&amp;"일 전 · "))&amp;"설계단계 "&amp;INDEX('3.설계사'!$D$4:$D$303,J26)&amp;"건"&amp;IF(INDEX('3.설계사'!$E$4:$E$303,J26)&gt;0," · 시공단계 "&amp;INDEX('3.설계사'!$E$4:$E$303,J26)&amp;"건",""))</f>
        <v/>
      </c>
      <c r="D26">
        <f>IF(J26="","",INDEX('3.설계사'!$H$4:$H$303,J26))</f>
        <v/>
      </c>
      <c r="E26">
        <f>IF(J26="","",INDEX('3.설계사'!$I$4:$I$303,J26))</f>
        <v/>
      </c>
      <c r="F26" s="5">
        <f>IF(J26="","",INDEX('3.설계사'!$F$4:$F$303,J26))</f>
        <v/>
      </c>
      <c r="G26">
        <f>IF(J26="","",INDEX('3.설계사'!$J$4:$J$303,J26))</f>
        <v/>
      </c>
      <c r="H26">
        <f>IF(J26="","",INDEX('3.설계사'!$K$4:$K$303,J26))</f>
        <v/>
      </c>
      <c r="I26" s="2">
        <f>IF(J26="","","한국마이크로닉 배성윤 차장입니다. "&amp;INDEX('3.설계사'!$H$4:$H$303,J26)&amp;"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6">
        <f>IFERROR(MATCH(23,'3.설계사'!$R$4:$R$303,0),"")</f>
        <v/>
      </c>
    </row>
    <row r="27">
      <c r="A27">
        <f>IF(J27="","",24)</f>
        <v/>
      </c>
      <c r="B27">
        <f>IF(J27="","",INDEX('3.설계사'!$B$4:$B$303,J27))</f>
        <v/>
      </c>
      <c r="C27" s="2">
        <f>IF(J27="","",IF(INDEX('3.설계사'!$Q$4:$Q$303,J27)&gt;=100,"약속 "&amp;TEXT(INDEX('3.설계사'!$N$4:$N$303,J27),"m/d")&amp;" · ",IF(INDEX('3.설계사'!$L$4:$L$303,J27)="","아직 안 가봄 · ","마지막 방문 "&amp;INDEX('3.설계사'!$M$4:$M$303,J27)&amp;"일 전 · "))&amp;"설계단계 "&amp;INDEX('3.설계사'!$D$4:$D$303,J27)&amp;"건"&amp;IF(INDEX('3.설계사'!$E$4:$E$303,J27)&gt;0," · 시공단계 "&amp;INDEX('3.설계사'!$E$4:$E$303,J27)&amp;"건",""))</f>
        <v/>
      </c>
      <c r="D27">
        <f>IF(J27="","",INDEX('3.설계사'!$H$4:$H$303,J27))</f>
        <v/>
      </c>
      <c r="E27">
        <f>IF(J27="","",INDEX('3.설계사'!$I$4:$I$303,J27))</f>
        <v/>
      </c>
      <c r="F27" s="5">
        <f>IF(J27="","",INDEX('3.설계사'!$F$4:$F$303,J27))</f>
        <v/>
      </c>
      <c r="G27">
        <f>IF(J27="","",INDEX('3.설계사'!$J$4:$J$303,J27))</f>
        <v/>
      </c>
      <c r="H27">
        <f>IF(J27="","",INDEX('3.설계사'!$K$4:$K$303,J27))</f>
        <v/>
      </c>
      <c r="I27" s="2">
        <f>IF(J27="","","한국마이크로닉 배성윤 차장입니다. "&amp;INDEX('3.설계사'!$H$4:$H$303,J27)&amp;"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7">
        <f>IFERROR(MATCH(24,'3.설계사'!$R$4:$R$303,0),"")</f>
        <v/>
      </c>
    </row>
    <row r="28">
      <c r="A28">
        <f>IF(J28="","",25)</f>
        <v/>
      </c>
      <c r="B28">
        <f>IF(J28="","",INDEX('3.설계사'!$B$4:$B$303,J28))</f>
        <v/>
      </c>
      <c r="C28" s="2">
        <f>IF(J28="","",IF(INDEX('3.설계사'!$Q$4:$Q$303,J28)&gt;=100,"약속 "&amp;TEXT(INDEX('3.설계사'!$N$4:$N$303,J28),"m/d")&amp;" · ",IF(INDEX('3.설계사'!$L$4:$L$303,J28)="","아직 안 가봄 · ","마지막 방문 "&amp;INDEX('3.설계사'!$M$4:$M$303,J28)&amp;"일 전 · "))&amp;"설계단계 "&amp;INDEX('3.설계사'!$D$4:$D$303,J28)&amp;"건"&amp;IF(INDEX('3.설계사'!$E$4:$E$303,J28)&gt;0," · 시공단계 "&amp;INDEX('3.설계사'!$E$4:$E$303,J28)&amp;"건",""))</f>
        <v/>
      </c>
      <c r="D28">
        <f>IF(J28="","",INDEX('3.설계사'!$H$4:$H$303,J28))</f>
        <v/>
      </c>
      <c r="E28">
        <f>IF(J28="","",INDEX('3.설계사'!$I$4:$I$303,J28))</f>
        <v/>
      </c>
      <c r="F28" s="5">
        <f>IF(J28="","",INDEX('3.설계사'!$F$4:$F$303,J28))</f>
        <v/>
      </c>
      <c r="G28">
        <f>IF(J28="","",INDEX('3.설계사'!$J$4:$J$303,J28))</f>
        <v/>
      </c>
      <c r="H28">
        <f>IF(J28="","",INDEX('3.설계사'!$K$4:$K$303,J28))</f>
        <v/>
      </c>
      <c r="I28" s="2">
        <f>IF(J28="","","한국마이크로닉 배성윤 차장입니다. "&amp;INDEX('3.설계사'!$H$4:$H$303,J28)&amp;"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8">
        <f>IFERROR(MATCH(25,'3.설계사'!$R$4:$R$303,0),"")</f>
        <v/>
      </c>
    </row>
    <row r="29">
      <c r="A29">
        <f>IF(J29="","",26)</f>
        <v/>
      </c>
      <c r="B29">
        <f>IF(J29="","",INDEX('3.설계사'!$B$4:$B$303,J29))</f>
        <v/>
      </c>
      <c r="C29" s="2">
        <f>IF(J29="","",IF(INDEX('3.설계사'!$Q$4:$Q$303,J29)&gt;=100,"약속 "&amp;TEXT(INDEX('3.설계사'!$N$4:$N$303,J29),"m/d")&amp;" · ",IF(INDEX('3.설계사'!$L$4:$L$303,J29)="","아직 안 가봄 · ","마지막 방문 "&amp;INDEX('3.설계사'!$M$4:$M$303,J29)&amp;"일 전 · "))&amp;"설계단계 "&amp;INDEX('3.설계사'!$D$4:$D$303,J29)&amp;"건"&amp;IF(INDEX('3.설계사'!$E$4:$E$303,J29)&gt;0," · 시공단계 "&amp;INDEX('3.설계사'!$E$4:$E$303,J29)&amp;"건",""))</f>
        <v/>
      </c>
      <c r="D29">
        <f>IF(J29="","",INDEX('3.설계사'!$H$4:$H$303,J29))</f>
        <v/>
      </c>
      <c r="E29">
        <f>IF(J29="","",INDEX('3.설계사'!$I$4:$I$303,J29))</f>
        <v/>
      </c>
      <c r="F29" s="5">
        <f>IF(J29="","",INDEX('3.설계사'!$F$4:$F$303,J29))</f>
        <v/>
      </c>
      <c r="G29">
        <f>IF(J29="","",INDEX('3.설계사'!$J$4:$J$303,J29))</f>
        <v/>
      </c>
      <c r="H29">
        <f>IF(J29="","",INDEX('3.설계사'!$K$4:$K$303,J29))</f>
        <v/>
      </c>
      <c r="I29" s="2">
        <f>IF(J29="","","한국마이크로닉 배성윤 차장입니다. "&amp;INDEX('3.설계사'!$H$4:$H$303,J29)&amp;"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29">
        <f>IFERROR(MATCH(26,'3.설계사'!$R$4:$R$303,0),"")</f>
        <v/>
      </c>
    </row>
    <row r="30">
      <c r="A30">
        <f>IF(J30="","",27)</f>
        <v/>
      </c>
      <c r="B30">
        <f>IF(J30="","",INDEX('3.설계사'!$B$4:$B$303,J30))</f>
        <v/>
      </c>
      <c r="C30" s="2">
        <f>IF(J30="","",IF(INDEX('3.설계사'!$Q$4:$Q$303,J30)&gt;=100,"약속 "&amp;TEXT(INDEX('3.설계사'!$N$4:$N$303,J30),"m/d")&amp;" · ",IF(INDEX('3.설계사'!$L$4:$L$303,J30)="","아직 안 가봄 · ","마지막 방문 "&amp;INDEX('3.설계사'!$M$4:$M$303,J30)&amp;"일 전 · "))&amp;"설계단계 "&amp;INDEX('3.설계사'!$D$4:$D$303,J30)&amp;"건"&amp;IF(INDEX('3.설계사'!$E$4:$E$303,J30)&gt;0," · 시공단계 "&amp;INDEX('3.설계사'!$E$4:$E$303,J30)&amp;"건",""))</f>
        <v/>
      </c>
      <c r="D30">
        <f>IF(J30="","",INDEX('3.설계사'!$H$4:$H$303,J30))</f>
        <v/>
      </c>
      <c r="E30">
        <f>IF(J30="","",INDEX('3.설계사'!$I$4:$I$303,J30))</f>
        <v/>
      </c>
      <c r="F30" s="5">
        <f>IF(J30="","",INDEX('3.설계사'!$F$4:$F$303,J30))</f>
        <v/>
      </c>
      <c r="G30">
        <f>IF(J30="","",INDEX('3.설계사'!$J$4:$J$303,J30))</f>
        <v/>
      </c>
      <c r="H30">
        <f>IF(J30="","",INDEX('3.설계사'!$K$4:$K$303,J30))</f>
        <v/>
      </c>
      <c r="I30" s="2">
        <f>IF(J30="","","한국마이크로닉 배성윤 차장입니다. "&amp;INDEX('3.설계사'!$H$4:$H$303,J30)&amp;"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30">
        <f>IFERROR(MATCH(27,'3.설계사'!$R$4:$R$303,0),"")</f>
        <v/>
      </c>
    </row>
    <row r="31">
      <c r="A31">
        <f>IF(J31="","",28)</f>
        <v/>
      </c>
      <c r="B31">
        <f>IF(J31="","",INDEX('3.설계사'!$B$4:$B$303,J31))</f>
        <v/>
      </c>
      <c r="C31" s="2">
        <f>IF(J31="","",IF(INDEX('3.설계사'!$Q$4:$Q$303,J31)&gt;=100,"약속 "&amp;TEXT(INDEX('3.설계사'!$N$4:$N$303,J31),"m/d")&amp;" · ",IF(INDEX('3.설계사'!$L$4:$L$303,J31)="","아직 안 가봄 · ","마지막 방문 "&amp;INDEX('3.설계사'!$M$4:$M$303,J31)&amp;"일 전 · "))&amp;"설계단계 "&amp;INDEX('3.설계사'!$D$4:$D$303,J31)&amp;"건"&amp;IF(INDEX('3.설계사'!$E$4:$E$303,J31)&gt;0," · 시공단계 "&amp;INDEX('3.설계사'!$E$4:$E$303,J31)&amp;"건",""))</f>
        <v/>
      </c>
      <c r="D31">
        <f>IF(J31="","",INDEX('3.설계사'!$H$4:$H$303,J31))</f>
        <v/>
      </c>
      <c r="E31">
        <f>IF(J31="","",INDEX('3.설계사'!$I$4:$I$303,J31))</f>
        <v/>
      </c>
      <c r="F31" s="5">
        <f>IF(J31="","",INDEX('3.설계사'!$F$4:$F$303,J31))</f>
        <v/>
      </c>
      <c r="G31">
        <f>IF(J31="","",INDEX('3.설계사'!$J$4:$J$303,J31))</f>
        <v/>
      </c>
      <c r="H31">
        <f>IF(J31="","",INDEX('3.설계사'!$K$4:$K$303,J31))</f>
        <v/>
      </c>
      <c r="I31" s="2">
        <f>IF(J31="","","한국마이크로닉 배성윤 차장입니다. "&amp;INDEX('3.설계사'!$H$4:$H$303,J31)&amp;"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31">
        <f>IFERROR(MATCH(28,'3.설계사'!$R$4:$R$303,0),"")</f>
        <v/>
      </c>
    </row>
    <row r="32">
      <c r="A32">
        <f>IF(J32="","",29)</f>
        <v/>
      </c>
      <c r="B32">
        <f>IF(J32="","",INDEX('3.설계사'!$B$4:$B$303,J32))</f>
        <v/>
      </c>
      <c r="C32" s="2">
        <f>IF(J32="","",IF(INDEX('3.설계사'!$Q$4:$Q$303,J32)&gt;=100,"약속 "&amp;TEXT(INDEX('3.설계사'!$N$4:$N$303,J32),"m/d")&amp;" · ",IF(INDEX('3.설계사'!$L$4:$L$303,J32)="","아직 안 가봄 · ","마지막 방문 "&amp;INDEX('3.설계사'!$M$4:$M$303,J32)&amp;"일 전 · "))&amp;"설계단계 "&amp;INDEX('3.설계사'!$D$4:$D$303,J32)&amp;"건"&amp;IF(INDEX('3.설계사'!$E$4:$E$303,J32)&gt;0," · 시공단계 "&amp;INDEX('3.설계사'!$E$4:$E$303,J32)&amp;"건",""))</f>
        <v/>
      </c>
      <c r="D32">
        <f>IF(J32="","",INDEX('3.설계사'!$H$4:$H$303,J32))</f>
        <v/>
      </c>
      <c r="E32">
        <f>IF(J32="","",INDEX('3.설계사'!$I$4:$I$303,J32))</f>
        <v/>
      </c>
      <c r="F32" s="5">
        <f>IF(J32="","",INDEX('3.설계사'!$F$4:$F$303,J32))</f>
        <v/>
      </c>
      <c r="G32">
        <f>IF(J32="","",INDEX('3.설계사'!$J$4:$J$303,J32))</f>
        <v/>
      </c>
      <c r="H32">
        <f>IF(J32="","",INDEX('3.설계사'!$K$4:$K$303,J32))</f>
        <v/>
      </c>
      <c r="I32" s="2">
        <f>IF(J32="","","한국마이크로닉 배성윤 차장입니다. "&amp;INDEX('3.설계사'!$H$4:$H$303,J32)&amp;"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32">
        <f>IFERROR(MATCH(29,'3.설계사'!$R$4:$R$303,0),"")</f>
        <v/>
      </c>
    </row>
    <row r="33">
      <c r="A33">
        <f>IF(J33="","",30)</f>
        <v/>
      </c>
      <c r="B33">
        <f>IF(J33="","",INDEX('3.설계사'!$B$4:$B$303,J33))</f>
        <v/>
      </c>
      <c r="C33" s="2">
        <f>IF(J33="","",IF(INDEX('3.설계사'!$Q$4:$Q$303,J33)&gt;=100,"약속 "&amp;TEXT(INDEX('3.설계사'!$N$4:$N$303,J33),"m/d")&amp;" · ",IF(INDEX('3.설계사'!$L$4:$L$303,J33)="","아직 안 가봄 · ","마지막 방문 "&amp;INDEX('3.설계사'!$M$4:$M$303,J33)&amp;"일 전 · "))&amp;"설계단계 "&amp;INDEX('3.설계사'!$D$4:$D$303,J33)&amp;"건"&amp;IF(INDEX('3.설계사'!$E$4:$E$303,J33)&gt;0," · 시공단계 "&amp;INDEX('3.설계사'!$E$4:$E$303,J33)&amp;"건",""))</f>
        <v/>
      </c>
      <c r="D33">
        <f>IF(J33="","",INDEX('3.설계사'!$H$4:$H$303,J33))</f>
        <v/>
      </c>
      <c r="E33">
        <f>IF(J33="","",INDEX('3.설계사'!$I$4:$I$303,J33))</f>
        <v/>
      </c>
      <c r="F33" s="5">
        <f>IF(J33="","",INDEX('3.설계사'!$F$4:$F$303,J33))</f>
        <v/>
      </c>
      <c r="G33">
        <f>IF(J33="","",INDEX('3.설계사'!$J$4:$J$303,J33))</f>
        <v/>
      </c>
      <c r="H33">
        <f>IF(J33="","",INDEX('3.설계사'!$K$4:$K$303,J33))</f>
        <v/>
      </c>
      <c r="I33" s="2">
        <f>IF(J33="","","한국마이크로닉 배성윤 차장입니다. "&amp;INDEX('3.설계사'!$H$4:$H$303,J33)&amp;" 설계 진행하고 계신 걸로 알고 연락드렸습니다. 호텔 객실관리(키센서·온도조절기·조명 제어) 도면과 특기시방서를 무상으로 지원해 드리고 있어서, 이번 주에 10분만 찾아뵈어도 될까요?")</f>
        <v/>
      </c>
      <c r="J33">
        <f>IFERROR(MATCH(30,'3.설계사'!$R$4:$R$303,0),"")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11" customWidth="1" min="6" max="6"/>
    <col width="11" customWidth="1" min="7" max="7"/>
    <col width="20" customWidth="1" min="8" max="8"/>
    <col width="12" customWidth="1" min="9" max="9"/>
    <col width="10" customWidth="1" min="10" max="10"/>
    <col width="14" customWidth="1" min="11" max="11"/>
    <col width="11" customWidth="1" min="12" max="12"/>
    <col width="7" customWidth="1" min="13" max="13"/>
    <col width="11" customWidth="1" min="14" max="14"/>
    <col width="12" customWidth="1" min="15" max="15"/>
    <col width="11" customWidth="1" min="16" max="16"/>
    <col width="8" customWidth="1" min="17" max="17"/>
    <col width="6" customWidth="1" min="18" max="18"/>
  </cols>
  <sheetData>
    <row r="1">
      <c r="A1" s="1" t="inlineStr">
        <is>
          <t>설계사무소별 모음 (자동) — 산군 대상 현장을 설계사무소 이름으로 묶음</t>
        </is>
      </c>
    </row>
    <row r="2">
      <c r="A2">
        <f>"설계사무소 "&amp;COUNTIF(B4:B303,"?*")&amp;"곳 · 대상 현장 "&amp;COUNTIF('2.현장'!T2:T1001,TRUE)&amp;"건"</f>
        <v/>
      </c>
    </row>
    <row r="3">
      <c r="A3" s="3" t="inlineStr">
        <is>
          <t>번호</t>
        </is>
      </c>
      <c r="B3" s="3" t="inlineStr">
        <is>
          <t>설계사무소</t>
        </is>
      </c>
      <c r="C3" s="3" t="inlineStr">
        <is>
          <t>대상 현장</t>
        </is>
      </c>
      <c r="D3" s="3" t="inlineStr">
        <is>
          <t>설계단계</t>
        </is>
      </c>
      <c r="E3" s="3" t="inlineStr">
        <is>
          <t>시공단계</t>
        </is>
      </c>
      <c r="F3" s="3" t="inlineStr">
        <is>
          <t>최대 연면적</t>
        </is>
      </c>
      <c r="G3" s="3" t="inlineStr">
        <is>
          <t>최근 허가일</t>
        </is>
      </c>
      <c r="H3" s="3" t="inlineStr">
        <is>
          <t>대표 현장</t>
        </is>
      </c>
      <c r="I3" s="3" t="inlineStr">
        <is>
          <t>지역</t>
        </is>
      </c>
      <c r="J3" s="3" t="inlineStr">
        <is>
          <t>담당자</t>
        </is>
      </c>
      <c r="K3" s="3" t="inlineStr">
        <is>
          <t>전화</t>
        </is>
      </c>
      <c r="L3" s="3" t="inlineStr">
        <is>
          <t>마지막 방문</t>
        </is>
      </c>
      <c r="M3" s="3" t="inlineStr">
        <is>
          <t>경과일</t>
        </is>
      </c>
      <c r="N3" s="3" t="inlineStr">
        <is>
          <t>다음 약속</t>
        </is>
      </c>
      <c r="O3" s="3" t="inlineStr">
        <is>
          <t>최근 결과</t>
        </is>
      </c>
      <c r="P3" s="3" t="inlineStr">
        <is>
          <t>상태</t>
        </is>
      </c>
      <c r="Q3" s="3" t="inlineStr">
        <is>
          <t>우선점수</t>
        </is>
      </c>
      <c r="R3" s="3" t="inlineStr">
        <is>
          <t>순위</t>
        </is>
      </c>
    </row>
    <row r="4">
      <c r="A4">
        <f>IF(B4="","",1)</f>
        <v/>
      </c>
      <c r="B4">
        <f>IFERROR(INDEX('2.현장'!$V$2:$V$1001,MATCH(1,'2.현장'!$W$2:$W$1001,0)),"")</f>
        <v/>
      </c>
      <c r="C4">
        <f>IF(B4="","",COUNTIFS('2.현장'!$V$2:$V$1001,B4,'2.현장'!$T$2:$T$1001,TRUE))</f>
        <v/>
      </c>
      <c r="D4">
        <f>IF(B4="","",COUNTIFS('2.현장'!$V$2:$V$1001,B4,'2.현장'!$U$2:$U$1001,"설계사"))</f>
        <v/>
      </c>
      <c r="E4">
        <f>IF(B4="","",COUNTIFS('2.현장'!$V$2:$V$1001,B4,'2.현장'!$U$2:$U$1001,"시공사"))</f>
        <v/>
      </c>
      <c r="F4" s="5">
        <f>IF(B4="","",_xlfn.MAXIFS('2.현장'!$D$2:$D$1001,'2.현장'!$V$2:$V$1001,B4,'2.현장'!$T$2:$T$1001,TRUE))</f>
        <v/>
      </c>
      <c r="G4" s="6">
        <f>IF(B4="","",IF(_xlfn.MAXIFS('2.현장'!$L$2:$L$1001,'2.현장'!$V$2:$V$1001,B4,'2.현장'!$T$2:$T$1001,TRUE)=0,"",_xlfn.MAXIFS('2.현장'!$L$2:$L$1001,'2.현장'!$V$2:$V$1001,B4,'2.현장'!$T$2:$T$1001,TRUE)))</f>
        <v/>
      </c>
      <c r="H4">
        <f>IF(B4="","",IFERROR(INDEX('2.현장'!$C$2:$C$1001,IFERROR(MATCH(B4&amp;"|설계사",'2.현장'!$Z$2:$Z$1001,0),IFERROR(MATCH(B4&amp;"|시공사",'2.현장'!$Z$2:$Z$1001,0),MATCH(B4&amp;"|늦음",'2.현장'!$Z$2:$Z$1001,0)))),""))</f>
        <v/>
      </c>
      <c r="I4">
        <f>IF(B4="","",IFERROR(INDEX('2.현장'!$N$2:$N$1001,IFERROR(MATCH(B4&amp;"|설계사",'2.현장'!$Z$2:$Z$1001,0),IFERROR(MATCH(B4&amp;"|시공사",'2.현장'!$Z$2:$Z$1001,0),MATCH(B4&amp;"|늦음",'2.현장'!$Z$2:$Z$1001,0)))),""))</f>
        <v/>
      </c>
      <c r="J4">
        <f>IF(B4="","",IFERROR(VLOOKUP(B4,설계사_메모!$A$3:$G$302,2,FALSE)&amp;"",""))</f>
        <v/>
      </c>
      <c r="K4">
        <f>IF(B4="","",IFERROR(VLOOKUP(B4,설계사_메모!$A$3:$G$302,4,FALSE)&amp;"",""))</f>
        <v/>
      </c>
      <c r="L4" s="6">
        <f>IF(B4="","",IF(COUNTIF('4.방문기록'!$B$3:$B$502,B4)=0,"",_xlfn.MAXIFS('4.방문기록'!$A$3:$A$502,'4.방문기록'!$B$3:$B$502,B4)))</f>
        <v/>
      </c>
      <c r="M4">
        <f>IF(L4="","",설정!$B$24-L4)</f>
        <v/>
      </c>
      <c r="N4" s="6">
        <f>IF(B4="","",IF(_xlfn.MAXIFS('4.방문기록'!$F$3:$F$502,'4.방문기록'!$B$3:$B$502,B4)=0,"",_xlfn.MAXIFS('4.방문기록'!$F$3:$F$502,'4.방문기록'!$B$3:$B$502,B4)))</f>
        <v/>
      </c>
      <c r="O4">
        <f>IF(L4="","",IFERROR(INDEX('4.방문기록'!$H$3:$H$502,MATCH(B4&amp;"|"&amp;(L4*1),'4.방문기록'!$I$3:$I$502,0))&amp;"",""))</f>
        <v/>
      </c>
      <c r="P4">
        <f>IF(B4="","",IF(O4="관심 없음","제외",IF(L4="","안 가봄",IF(M4&gt;=설정!$B$20,M4&amp;"일 지남","최근 방문"))))</f>
        <v/>
      </c>
      <c r="Q4" s="7">
        <f>IF(B4="","",IF(P4="제외","",IF(AND(설정!$B$21&lt;&gt;"",I4&lt;&gt;설정!$B$21),"",IF(AND(N4&lt;&gt;"",N4&gt;N(L4),N4&lt;=설정!$B$24+7),100+7-(N4-설정!$B$24),IF(AND(D4&gt;0,OR(P4="안 가봄",RIGHT(P4,2)="지남")),D4*10+IF(L4="",30,MIN(M4,60)/2)+MIN(N(F4)/1000,20),"")))))</f>
        <v/>
      </c>
      <c r="R4">
        <f>IF(Q4="","",COUNTIF(Q$4:Q$303,"&gt;"&amp;Q4)+COUNTIF(Q$4:Q4,Q4))</f>
        <v/>
      </c>
    </row>
    <row r="5">
      <c r="A5">
        <f>IF(B5="","",2)</f>
        <v/>
      </c>
      <c r="B5">
        <f>IFERROR(INDEX('2.현장'!$V$2:$V$1001,MATCH(2,'2.현장'!$W$2:$W$1001,0)),"")</f>
        <v/>
      </c>
      <c r="C5">
        <f>IF(B5="","",COUNTIFS('2.현장'!$V$2:$V$1001,B5,'2.현장'!$T$2:$T$1001,TRUE))</f>
        <v/>
      </c>
      <c r="D5">
        <f>IF(B5="","",COUNTIFS('2.현장'!$V$2:$V$1001,B5,'2.현장'!$U$2:$U$1001,"설계사"))</f>
        <v/>
      </c>
      <c r="E5">
        <f>IF(B5="","",COUNTIFS('2.현장'!$V$2:$V$1001,B5,'2.현장'!$U$2:$U$1001,"시공사"))</f>
        <v/>
      </c>
      <c r="F5" s="5">
        <f>IF(B5="","",_xlfn.MAXIFS('2.현장'!$D$2:$D$1001,'2.현장'!$V$2:$V$1001,B5,'2.현장'!$T$2:$T$1001,TRUE))</f>
        <v/>
      </c>
      <c r="G5" s="6">
        <f>IF(B5="","",IF(_xlfn.MAXIFS('2.현장'!$L$2:$L$1001,'2.현장'!$V$2:$V$1001,B5,'2.현장'!$T$2:$T$1001,TRUE)=0,"",_xlfn.MAXIFS('2.현장'!$L$2:$L$1001,'2.현장'!$V$2:$V$1001,B5,'2.현장'!$T$2:$T$1001,TRUE)))</f>
        <v/>
      </c>
      <c r="H5">
        <f>IF(B5="","",IFERROR(INDEX('2.현장'!$C$2:$C$1001,IFERROR(MATCH(B5&amp;"|설계사",'2.현장'!$Z$2:$Z$1001,0),IFERROR(MATCH(B5&amp;"|시공사",'2.현장'!$Z$2:$Z$1001,0),MATCH(B5&amp;"|늦음",'2.현장'!$Z$2:$Z$1001,0)))),""))</f>
        <v/>
      </c>
      <c r="I5">
        <f>IF(B5="","",IFERROR(INDEX('2.현장'!$N$2:$N$1001,IFERROR(MATCH(B5&amp;"|설계사",'2.현장'!$Z$2:$Z$1001,0),IFERROR(MATCH(B5&amp;"|시공사",'2.현장'!$Z$2:$Z$1001,0),MATCH(B5&amp;"|늦음",'2.현장'!$Z$2:$Z$1001,0)))),""))</f>
        <v/>
      </c>
      <c r="J5">
        <f>IF(B5="","",IFERROR(VLOOKUP(B5,설계사_메모!$A$3:$G$302,2,FALSE)&amp;"",""))</f>
        <v/>
      </c>
      <c r="K5">
        <f>IF(B5="","",IFERROR(VLOOKUP(B5,설계사_메모!$A$3:$G$302,4,FALSE)&amp;"",""))</f>
        <v/>
      </c>
      <c r="L5" s="6">
        <f>IF(B5="","",IF(COUNTIF('4.방문기록'!$B$3:$B$502,B5)=0,"",_xlfn.MAXIFS('4.방문기록'!$A$3:$A$502,'4.방문기록'!$B$3:$B$502,B5)))</f>
        <v/>
      </c>
      <c r="M5">
        <f>IF(L5="","",설정!$B$24-L5)</f>
        <v/>
      </c>
      <c r="N5" s="6">
        <f>IF(B5="","",IF(_xlfn.MAXIFS('4.방문기록'!$F$3:$F$502,'4.방문기록'!$B$3:$B$502,B5)=0,"",_xlfn.MAXIFS('4.방문기록'!$F$3:$F$502,'4.방문기록'!$B$3:$B$502,B5)))</f>
        <v/>
      </c>
      <c r="O5">
        <f>IF(L5="","",IFERROR(INDEX('4.방문기록'!$H$3:$H$502,MATCH(B5&amp;"|"&amp;(L5*1),'4.방문기록'!$I$3:$I$502,0))&amp;"",""))</f>
        <v/>
      </c>
      <c r="P5">
        <f>IF(B5="","",IF(O5="관심 없음","제외",IF(L5="","안 가봄",IF(M5&gt;=설정!$B$20,M5&amp;"일 지남","최근 방문"))))</f>
        <v/>
      </c>
      <c r="Q5" s="7">
        <f>IF(B5="","",IF(P5="제외","",IF(AND(설정!$B$21&lt;&gt;"",I5&lt;&gt;설정!$B$21),"",IF(AND(N5&lt;&gt;"",N5&gt;N(L5),N5&lt;=설정!$B$24+7),100+7-(N5-설정!$B$24),IF(AND(D5&gt;0,OR(P5="안 가봄",RIGHT(P5,2)="지남")),D5*10+IF(L5="",30,MIN(M5,60)/2)+MIN(N(F5)/1000,20),"")))))</f>
        <v/>
      </c>
      <c r="R5">
        <f>IF(Q5="","",COUNTIF(Q$4:Q$303,"&gt;"&amp;Q5)+COUNTIF(Q$4:Q5,Q5))</f>
        <v/>
      </c>
    </row>
    <row r="6">
      <c r="A6">
        <f>IF(B6="","",3)</f>
        <v/>
      </c>
      <c r="B6">
        <f>IFERROR(INDEX('2.현장'!$V$2:$V$1001,MATCH(3,'2.현장'!$W$2:$W$1001,0)),"")</f>
        <v/>
      </c>
      <c r="C6">
        <f>IF(B6="","",COUNTIFS('2.현장'!$V$2:$V$1001,B6,'2.현장'!$T$2:$T$1001,TRUE))</f>
        <v/>
      </c>
      <c r="D6">
        <f>IF(B6="","",COUNTIFS('2.현장'!$V$2:$V$1001,B6,'2.현장'!$U$2:$U$1001,"설계사"))</f>
        <v/>
      </c>
      <c r="E6">
        <f>IF(B6="","",COUNTIFS('2.현장'!$V$2:$V$1001,B6,'2.현장'!$U$2:$U$1001,"시공사"))</f>
        <v/>
      </c>
      <c r="F6" s="5">
        <f>IF(B6="","",_xlfn.MAXIFS('2.현장'!$D$2:$D$1001,'2.현장'!$V$2:$V$1001,B6,'2.현장'!$T$2:$T$1001,TRUE))</f>
        <v/>
      </c>
      <c r="G6" s="6">
        <f>IF(B6="","",IF(_xlfn.MAXIFS('2.현장'!$L$2:$L$1001,'2.현장'!$V$2:$V$1001,B6,'2.현장'!$T$2:$T$1001,TRUE)=0,"",_xlfn.MAXIFS('2.현장'!$L$2:$L$1001,'2.현장'!$V$2:$V$1001,B6,'2.현장'!$T$2:$T$1001,TRUE)))</f>
        <v/>
      </c>
      <c r="H6">
        <f>IF(B6="","",IFERROR(INDEX('2.현장'!$C$2:$C$1001,IFERROR(MATCH(B6&amp;"|설계사",'2.현장'!$Z$2:$Z$1001,0),IFERROR(MATCH(B6&amp;"|시공사",'2.현장'!$Z$2:$Z$1001,0),MATCH(B6&amp;"|늦음",'2.현장'!$Z$2:$Z$1001,0)))),""))</f>
        <v/>
      </c>
      <c r="I6">
        <f>IF(B6="","",IFERROR(INDEX('2.현장'!$N$2:$N$1001,IFERROR(MATCH(B6&amp;"|설계사",'2.현장'!$Z$2:$Z$1001,0),IFERROR(MATCH(B6&amp;"|시공사",'2.현장'!$Z$2:$Z$1001,0),MATCH(B6&amp;"|늦음",'2.현장'!$Z$2:$Z$1001,0)))),""))</f>
        <v/>
      </c>
      <c r="J6">
        <f>IF(B6="","",IFERROR(VLOOKUP(B6,설계사_메모!$A$3:$G$302,2,FALSE)&amp;"",""))</f>
        <v/>
      </c>
      <c r="K6">
        <f>IF(B6="","",IFERROR(VLOOKUP(B6,설계사_메모!$A$3:$G$302,4,FALSE)&amp;"",""))</f>
        <v/>
      </c>
      <c r="L6" s="6">
        <f>IF(B6="","",IF(COUNTIF('4.방문기록'!$B$3:$B$502,B6)=0,"",_xlfn.MAXIFS('4.방문기록'!$A$3:$A$502,'4.방문기록'!$B$3:$B$502,B6)))</f>
        <v/>
      </c>
      <c r="M6">
        <f>IF(L6="","",설정!$B$24-L6)</f>
        <v/>
      </c>
      <c r="N6" s="6">
        <f>IF(B6="","",IF(_xlfn.MAXIFS('4.방문기록'!$F$3:$F$502,'4.방문기록'!$B$3:$B$502,B6)=0,"",_xlfn.MAXIFS('4.방문기록'!$F$3:$F$502,'4.방문기록'!$B$3:$B$502,B6)))</f>
        <v/>
      </c>
      <c r="O6">
        <f>IF(L6="","",IFERROR(INDEX('4.방문기록'!$H$3:$H$502,MATCH(B6&amp;"|"&amp;(L6*1),'4.방문기록'!$I$3:$I$502,0))&amp;"",""))</f>
        <v/>
      </c>
      <c r="P6">
        <f>IF(B6="","",IF(O6="관심 없음","제외",IF(L6="","안 가봄",IF(M6&gt;=설정!$B$20,M6&amp;"일 지남","최근 방문"))))</f>
        <v/>
      </c>
      <c r="Q6" s="7">
        <f>IF(B6="","",IF(P6="제외","",IF(AND(설정!$B$21&lt;&gt;"",I6&lt;&gt;설정!$B$21),"",IF(AND(N6&lt;&gt;"",N6&gt;N(L6),N6&lt;=설정!$B$24+7),100+7-(N6-설정!$B$24),IF(AND(D6&gt;0,OR(P6="안 가봄",RIGHT(P6,2)="지남")),D6*10+IF(L6="",30,MIN(M6,60)/2)+MIN(N(F6)/1000,20),"")))))</f>
        <v/>
      </c>
      <c r="R6">
        <f>IF(Q6="","",COUNTIF(Q$4:Q$303,"&gt;"&amp;Q6)+COUNTIF(Q$4:Q6,Q6))</f>
        <v/>
      </c>
    </row>
    <row r="7">
      <c r="A7">
        <f>IF(B7="","",4)</f>
        <v/>
      </c>
      <c r="B7">
        <f>IFERROR(INDEX('2.현장'!$V$2:$V$1001,MATCH(4,'2.현장'!$W$2:$W$1001,0)),"")</f>
        <v/>
      </c>
      <c r="C7">
        <f>IF(B7="","",COUNTIFS('2.현장'!$V$2:$V$1001,B7,'2.현장'!$T$2:$T$1001,TRUE))</f>
        <v/>
      </c>
      <c r="D7">
        <f>IF(B7="","",COUNTIFS('2.현장'!$V$2:$V$1001,B7,'2.현장'!$U$2:$U$1001,"설계사"))</f>
        <v/>
      </c>
      <c r="E7">
        <f>IF(B7="","",COUNTIFS('2.현장'!$V$2:$V$1001,B7,'2.현장'!$U$2:$U$1001,"시공사"))</f>
        <v/>
      </c>
      <c r="F7" s="5">
        <f>IF(B7="","",_xlfn.MAXIFS('2.현장'!$D$2:$D$1001,'2.현장'!$V$2:$V$1001,B7,'2.현장'!$T$2:$T$1001,TRUE))</f>
        <v/>
      </c>
      <c r="G7" s="6">
        <f>IF(B7="","",IF(_xlfn.MAXIFS('2.현장'!$L$2:$L$1001,'2.현장'!$V$2:$V$1001,B7,'2.현장'!$T$2:$T$1001,TRUE)=0,"",_xlfn.MAXIFS('2.현장'!$L$2:$L$1001,'2.현장'!$V$2:$V$1001,B7,'2.현장'!$T$2:$T$1001,TRUE)))</f>
        <v/>
      </c>
      <c r="H7">
        <f>IF(B7="","",IFERROR(INDEX('2.현장'!$C$2:$C$1001,IFERROR(MATCH(B7&amp;"|설계사",'2.현장'!$Z$2:$Z$1001,0),IFERROR(MATCH(B7&amp;"|시공사",'2.현장'!$Z$2:$Z$1001,0),MATCH(B7&amp;"|늦음",'2.현장'!$Z$2:$Z$1001,0)))),""))</f>
        <v/>
      </c>
      <c r="I7">
        <f>IF(B7="","",IFERROR(INDEX('2.현장'!$N$2:$N$1001,IFERROR(MATCH(B7&amp;"|설계사",'2.현장'!$Z$2:$Z$1001,0),IFERROR(MATCH(B7&amp;"|시공사",'2.현장'!$Z$2:$Z$1001,0),MATCH(B7&amp;"|늦음",'2.현장'!$Z$2:$Z$1001,0)))),""))</f>
        <v/>
      </c>
      <c r="J7">
        <f>IF(B7="","",IFERROR(VLOOKUP(B7,설계사_메모!$A$3:$G$302,2,FALSE)&amp;"",""))</f>
        <v/>
      </c>
      <c r="K7">
        <f>IF(B7="","",IFERROR(VLOOKUP(B7,설계사_메모!$A$3:$G$302,4,FALSE)&amp;"",""))</f>
        <v/>
      </c>
      <c r="L7" s="6">
        <f>IF(B7="","",IF(COUNTIF('4.방문기록'!$B$3:$B$502,B7)=0,"",_xlfn.MAXIFS('4.방문기록'!$A$3:$A$502,'4.방문기록'!$B$3:$B$502,B7)))</f>
        <v/>
      </c>
      <c r="M7">
        <f>IF(L7="","",설정!$B$24-L7)</f>
        <v/>
      </c>
      <c r="N7" s="6">
        <f>IF(B7="","",IF(_xlfn.MAXIFS('4.방문기록'!$F$3:$F$502,'4.방문기록'!$B$3:$B$502,B7)=0,"",_xlfn.MAXIFS('4.방문기록'!$F$3:$F$502,'4.방문기록'!$B$3:$B$502,B7)))</f>
        <v/>
      </c>
      <c r="O7">
        <f>IF(L7="","",IFERROR(INDEX('4.방문기록'!$H$3:$H$502,MATCH(B7&amp;"|"&amp;(L7*1),'4.방문기록'!$I$3:$I$502,0))&amp;"",""))</f>
        <v/>
      </c>
      <c r="P7">
        <f>IF(B7="","",IF(O7="관심 없음","제외",IF(L7="","안 가봄",IF(M7&gt;=설정!$B$20,M7&amp;"일 지남","최근 방문"))))</f>
        <v/>
      </c>
      <c r="Q7" s="7">
        <f>IF(B7="","",IF(P7="제외","",IF(AND(설정!$B$21&lt;&gt;"",I7&lt;&gt;설정!$B$21),"",IF(AND(N7&lt;&gt;"",N7&gt;N(L7),N7&lt;=설정!$B$24+7),100+7-(N7-설정!$B$24),IF(AND(D7&gt;0,OR(P7="안 가봄",RIGHT(P7,2)="지남")),D7*10+IF(L7="",30,MIN(M7,60)/2)+MIN(N(F7)/1000,20),"")))))</f>
        <v/>
      </c>
      <c r="R7">
        <f>IF(Q7="","",COUNTIF(Q$4:Q$303,"&gt;"&amp;Q7)+COUNTIF(Q$4:Q7,Q7))</f>
        <v/>
      </c>
    </row>
    <row r="8">
      <c r="A8">
        <f>IF(B8="","",5)</f>
        <v/>
      </c>
      <c r="B8">
        <f>IFERROR(INDEX('2.현장'!$V$2:$V$1001,MATCH(5,'2.현장'!$W$2:$W$1001,0)),"")</f>
        <v/>
      </c>
      <c r="C8">
        <f>IF(B8="","",COUNTIFS('2.현장'!$V$2:$V$1001,B8,'2.현장'!$T$2:$T$1001,TRUE))</f>
        <v/>
      </c>
      <c r="D8">
        <f>IF(B8="","",COUNTIFS('2.현장'!$V$2:$V$1001,B8,'2.현장'!$U$2:$U$1001,"설계사"))</f>
        <v/>
      </c>
      <c r="E8">
        <f>IF(B8="","",COUNTIFS('2.현장'!$V$2:$V$1001,B8,'2.현장'!$U$2:$U$1001,"시공사"))</f>
        <v/>
      </c>
      <c r="F8" s="5">
        <f>IF(B8="","",_xlfn.MAXIFS('2.현장'!$D$2:$D$1001,'2.현장'!$V$2:$V$1001,B8,'2.현장'!$T$2:$T$1001,TRUE))</f>
        <v/>
      </c>
      <c r="G8" s="6">
        <f>IF(B8="","",IF(_xlfn.MAXIFS('2.현장'!$L$2:$L$1001,'2.현장'!$V$2:$V$1001,B8,'2.현장'!$T$2:$T$1001,TRUE)=0,"",_xlfn.MAXIFS('2.현장'!$L$2:$L$1001,'2.현장'!$V$2:$V$1001,B8,'2.현장'!$T$2:$T$1001,TRUE)))</f>
        <v/>
      </c>
      <c r="H8">
        <f>IF(B8="","",IFERROR(INDEX('2.현장'!$C$2:$C$1001,IFERROR(MATCH(B8&amp;"|설계사",'2.현장'!$Z$2:$Z$1001,0),IFERROR(MATCH(B8&amp;"|시공사",'2.현장'!$Z$2:$Z$1001,0),MATCH(B8&amp;"|늦음",'2.현장'!$Z$2:$Z$1001,0)))),""))</f>
        <v/>
      </c>
      <c r="I8">
        <f>IF(B8="","",IFERROR(INDEX('2.현장'!$N$2:$N$1001,IFERROR(MATCH(B8&amp;"|설계사",'2.현장'!$Z$2:$Z$1001,0),IFERROR(MATCH(B8&amp;"|시공사",'2.현장'!$Z$2:$Z$1001,0),MATCH(B8&amp;"|늦음",'2.현장'!$Z$2:$Z$1001,0)))),""))</f>
        <v/>
      </c>
      <c r="J8">
        <f>IF(B8="","",IFERROR(VLOOKUP(B8,설계사_메모!$A$3:$G$302,2,FALSE)&amp;"",""))</f>
        <v/>
      </c>
      <c r="K8">
        <f>IF(B8="","",IFERROR(VLOOKUP(B8,설계사_메모!$A$3:$G$302,4,FALSE)&amp;"",""))</f>
        <v/>
      </c>
      <c r="L8" s="6">
        <f>IF(B8="","",IF(COUNTIF('4.방문기록'!$B$3:$B$502,B8)=0,"",_xlfn.MAXIFS('4.방문기록'!$A$3:$A$502,'4.방문기록'!$B$3:$B$502,B8)))</f>
        <v/>
      </c>
      <c r="M8">
        <f>IF(L8="","",설정!$B$24-L8)</f>
        <v/>
      </c>
      <c r="N8" s="6">
        <f>IF(B8="","",IF(_xlfn.MAXIFS('4.방문기록'!$F$3:$F$502,'4.방문기록'!$B$3:$B$502,B8)=0,"",_xlfn.MAXIFS('4.방문기록'!$F$3:$F$502,'4.방문기록'!$B$3:$B$502,B8)))</f>
        <v/>
      </c>
      <c r="O8">
        <f>IF(L8="","",IFERROR(INDEX('4.방문기록'!$H$3:$H$502,MATCH(B8&amp;"|"&amp;(L8*1),'4.방문기록'!$I$3:$I$502,0))&amp;"",""))</f>
        <v/>
      </c>
      <c r="P8">
        <f>IF(B8="","",IF(O8="관심 없음","제외",IF(L8="","안 가봄",IF(M8&gt;=설정!$B$20,M8&amp;"일 지남","최근 방문"))))</f>
        <v/>
      </c>
      <c r="Q8" s="7">
        <f>IF(B8="","",IF(P8="제외","",IF(AND(설정!$B$21&lt;&gt;"",I8&lt;&gt;설정!$B$21),"",IF(AND(N8&lt;&gt;"",N8&gt;N(L8),N8&lt;=설정!$B$24+7),100+7-(N8-설정!$B$24),IF(AND(D8&gt;0,OR(P8="안 가봄",RIGHT(P8,2)="지남")),D8*10+IF(L8="",30,MIN(M8,60)/2)+MIN(N(F8)/1000,20),"")))))</f>
        <v/>
      </c>
      <c r="R8">
        <f>IF(Q8="","",COUNTIF(Q$4:Q$303,"&gt;"&amp;Q8)+COUNTIF(Q$4:Q8,Q8))</f>
        <v/>
      </c>
    </row>
    <row r="9">
      <c r="A9">
        <f>IF(B9="","",6)</f>
        <v/>
      </c>
      <c r="B9">
        <f>IFERROR(INDEX('2.현장'!$V$2:$V$1001,MATCH(6,'2.현장'!$W$2:$W$1001,0)),"")</f>
        <v/>
      </c>
      <c r="C9">
        <f>IF(B9="","",COUNTIFS('2.현장'!$V$2:$V$1001,B9,'2.현장'!$T$2:$T$1001,TRUE))</f>
        <v/>
      </c>
      <c r="D9">
        <f>IF(B9="","",COUNTIFS('2.현장'!$V$2:$V$1001,B9,'2.현장'!$U$2:$U$1001,"설계사"))</f>
        <v/>
      </c>
      <c r="E9">
        <f>IF(B9="","",COUNTIFS('2.현장'!$V$2:$V$1001,B9,'2.현장'!$U$2:$U$1001,"시공사"))</f>
        <v/>
      </c>
      <c r="F9" s="5">
        <f>IF(B9="","",_xlfn.MAXIFS('2.현장'!$D$2:$D$1001,'2.현장'!$V$2:$V$1001,B9,'2.현장'!$T$2:$T$1001,TRUE))</f>
        <v/>
      </c>
      <c r="G9" s="6">
        <f>IF(B9="","",IF(_xlfn.MAXIFS('2.현장'!$L$2:$L$1001,'2.현장'!$V$2:$V$1001,B9,'2.현장'!$T$2:$T$1001,TRUE)=0,"",_xlfn.MAXIFS('2.현장'!$L$2:$L$1001,'2.현장'!$V$2:$V$1001,B9,'2.현장'!$T$2:$T$1001,TRUE)))</f>
        <v/>
      </c>
      <c r="H9">
        <f>IF(B9="","",IFERROR(INDEX('2.현장'!$C$2:$C$1001,IFERROR(MATCH(B9&amp;"|설계사",'2.현장'!$Z$2:$Z$1001,0),IFERROR(MATCH(B9&amp;"|시공사",'2.현장'!$Z$2:$Z$1001,0),MATCH(B9&amp;"|늦음",'2.현장'!$Z$2:$Z$1001,0)))),""))</f>
        <v/>
      </c>
      <c r="I9">
        <f>IF(B9="","",IFERROR(INDEX('2.현장'!$N$2:$N$1001,IFERROR(MATCH(B9&amp;"|설계사",'2.현장'!$Z$2:$Z$1001,0),IFERROR(MATCH(B9&amp;"|시공사",'2.현장'!$Z$2:$Z$1001,0),MATCH(B9&amp;"|늦음",'2.현장'!$Z$2:$Z$1001,0)))),""))</f>
        <v/>
      </c>
      <c r="J9">
        <f>IF(B9="","",IFERROR(VLOOKUP(B9,설계사_메모!$A$3:$G$302,2,FALSE)&amp;"",""))</f>
        <v/>
      </c>
      <c r="K9">
        <f>IF(B9="","",IFERROR(VLOOKUP(B9,설계사_메모!$A$3:$G$302,4,FALSE)&amp;"",""))</f>
        <v/>
      </c>
      <c r="L9" s="6">
        <f>IF(B9="","",IF(COUNTIF('4.방문기록'!$B$3:$B$502,B9)=0,"",_xlfn.MAXIFS('4.방문기록'!$A$3:$A$502,'4.방문기록'!$B$3:$B$502,B9)))</f>
        <v/>
      </c>
      <c r="M9">
        <f>IF(L9="","",설정!$B$24-L9)</f>
        <v/>
      </c>
      <c r="N9" s="6">
        <f>IF(B9="","",IF(_xlfn.MAXIFS('4.방문기록'!$F$3:$F$502,'4.방문기록'!$B$3:$B$502,B9)=0,"",_xlfn.MAXIFS('4.방문기록'!$F$3:$F$502,'4.방문기록'!$B$3:$B$502,B9)))</f>
        <v/>
      </c>
      <c r="O9">
        <f>IF(L9="","",IFERROR(INDEX('4.방문기록'!$H$3:$H$502,MATCH(B9&amp;"|"&amp;(L9*1),'4.방문기록'!$I$3:$I$502,0))&amp;"",""))</f>
        <v/>
      </c>
      <c r="P9">
        <f>IF(B9="","",IF(O9="관심 없음","제외",IF(L9="","안 가봄",IF(M9&gt;=설정!$B$20,M9&amp;"일 지남","최근 방문"))))</f>
        <v/>
      </c>
      <c r="Q9" s="7">
        <f>IF(B9="","",IF(P9="제외","",IF(AND(설정!$B$21&lt;&gt;"",I9&lt;&gt;설정!$B$21),"",IF(AND(N9&lt;&gt;"",N9&gt;N(L9),N9&lt;=설정!$B$24+7),100+7-(N9-설정!$B$24),IF(AND(D9&gt;0,OR(P9="안 가봄",RIGHT(P9,2)="지남")),D9*10+IF(L9="",30,MIN(M9,60)/2)+MIN(N(F9)/1000,20),"")))))</f>
        <v/>
      </c>
      <c r="R9">
        <f>IF(Q9="","",COUNTIF(Q$4:Q$303,"&gt;"&amp;Q9)+COUNTIF(Q$4:Q9,Q9))</f>
        <v/>
      </c>
    </row>
    <row r="10">
      <c r="A10">
        <f>IF(B10="","",7)</f>
        <v/>
      </c>
      <c r="B10">
        <f>IFERROR(INDEX('2.현장'!$V$2:$V$1001,MATCH(7,'2.현장'!$W$2:$W$1001,0)),"")</f>
        <v/>
      </c>
      <c r="C10">
        <f>IF(B10="","",COUNTIFS('2.현장'!$V$2:$V$1001,B10,'2.현장'!$T$2:$T$1001,TRUE))</f>
        <v/>
      </c>
      <c r="D10">
        <f>IF(B10="","",COUNTIFS('2.현장'!$V$2:$V$1001,B10,'2.현장'!$U$2:$U$1001,"설계사"))</f>
        <v/>
      </c>
      <c r="E10">
        <f>IF(B10="","",COUNTIFS('2.현장'!$V$2:$V$1001,B10,'2.현장'!$U$2:$U$1001,"시공사"))</f>
        <v/>
      </c>
      <c r="F10" s="5">
        <f>IF(B10="","",_xlfn.MAXIFS('2.현장'!$D$2:$D$1001,'2.현장'!$V$2:$V$1001,B10,'2.현장'!$T$2:$T$1001,TRUE))</f>
        <v/>
      </c>
      <c r="G10" s="6">
        <f>IF(B10="","",IF(_xlfn.MAXIFS('2.현장'!$L$2:$L$1001,'2.현장'!$V$2:$V$1001,B10,'2.현장'!$T$2:$T$1001,TRUE)=0,"",_xlfn.MAXIFS('2.현장'!$L$2:$L$1001,'2.현장'!$V$2:$V$1001,B10,'2.현장'!$T$2:$T$1001,TRUE)))</f>
        <v/>
      </c>
      <c r="H10">
        <f>IF(B10="","",IFERROR(INDEX('2.현장'!$C$2:$C$1001,IFERROR(MATCH(B10&amp;"|설계사",'2.현장'!$Z$2:$Z$1001,0),IFERROR(MATCH(B10&amp;"|시공사",'2.현장'!$Z$2:$Z$1001,0),MATCH(B10&amp;"|늦음",'2.현장'!$Z$2:$Z$1001,0)))),""))</f>
        <v/>
      </c>
      <c r="I10">
        <f>IF(B10="","",IFERROR(INDEX('2.현장'!$N$2:$N$1001,IFERROR(MATCH(B10&amp;"|설계사",'2.현장'!$Z$2:$Z$1001,0),IFERROR(MATCH(B10&amp;"|시공사",'2.현장'!$Z$2:$Z$1001,0),MATCH(B10&amp;"|늦음",'2.현장'!$Z$2:$Z$1001,0)))),""))</f>
        <v/>
      </c>
      <c r="J10">
        <f>IF(B10="","",IFERROR(VLOOKUP(B10,설계사_메모!$A$3:$G$302,2,FALSE)&amp;"",""))</f>
        <v/>
      </c>
      <c r="K10">
        <f>IF(B10="","",IFERROR(VLOOKUP(B10,설계사_메모!$A$3:$G$302,4,FALSE)&amp;"",""))</f>
        <v/>
      </c>
      <c r="L10" s="6">
        <f>IF(B10="","",IF(COUNTIF('4.방문기록'!$B$3:$B$502,B10)=0,"",_xlfn.MAXIFS('4.방문기록'!$A$3:$A$502,'4.방문기록'!$B$3:$B$502,B10)))</f>
        <v/>
      </c>
      <c r="M10">
        <f>IF(L10="","",설정!$B$24-L10)</f>
        <v/>
      </c>
      <c r="N10" s="6">
        <f>IF(B10="","",IF(_xlfn.MAXIFS('4.방문기록'!$F$3:$F$502,'4.방문기록'!$B$3:$B$502,B10)=0,"",_xlfn.MAXIFS('4.방문기록'!$F$3:$F$502,'4.방문기록'!$B$3:$B$502,B10)))</f>
        <v/>
      </c>
      <c r="O10">
        <f>IF(L10="","",IFERROR(INDEX('4.방문기록'!$H$3:$H$502,MATCH(B10&amp;"|"&amp;(L10*1),'4.방문기록'!$I$3:$I$502,0))&amp;"",""))</f>
        <v/>
      </c>
      <c r="P10">
        <f>IF(B10="","",IF(O10="관심 없음","제외",IF(L10="","안 가봄",IF(M10&gt;=설정!$B$20,M10&amp;"일 지남","최근 방문"))))</f>
        <v/>
      </c>
      <c r="Q10" s="7">
        <f>IF(B10="","",IF(P10="제외","",IF(AND(설정!$B$21&lt;&gt;"",I10&lt;&gt;설정!$B$21),"",IF(AND(N10&lt;&gt;"",N10&gt;N(L10),N10&lt;=설정!$B$24+7),100+7-(N10-설정!$B$24),IF(AND(D10&gt;0,OR(P10="안 가봄",RIGHT(P10,2)="지남")),D10*10+IF(L10="",30,MIN(M10,60)/2)+MIN(N(F10)/1000,20),"")))))</f>
        <v/>
      </c>
      <c r="R10">
        <f>IF(Q10="","",COUNTIF(Q$4:Q$303,"&gt;"&amp;Q10)+COUNTIF(Q$4:Q10,Q10))</f>
        <v/>
      </c>
    </row>
    <row r="11">
      <c r="A11">
        <f>IF(B11="","",8)</f>
        <v/>
      </c>
      <c r="B11">
        <f>IFERROR(INDEX('2.현장'!$V$2:$V$1001,MATCH(8,'2.현장'!$W$2:$W$1001,0)),"")</f>
        <v/>
      </c>
      <c r="C11">
        <f>IF(B11="","",COUNTIFS('2.현장'!$V$2:$V$1001,B11,'2.현장'!$T$2:$T$1001,TRUE))</f>
        <v/>
      </c>
      <c r="D11">
        <f>IF(B11="","",COUNTIFS('2.현장'!$V$2:$V$1001,B11,'2.현장'!$U$2:$U$1001,"설계사"))</f>
        <v/>
      </c>
      <c r="E11">
        <f>IF(B11="","",COUNTIFS('2.현장'!$V$2:$V$1001,B11,'2.현장'!$U$2:$U$1001,"시공사"))</f>
        <v/>
      </c>
      <c r="F11" s="5">
        <f>IF(B11="","",_xlfn.MAXIFS('2.현장'!$D$2:$D$1001,'2.현장'!$V$2:$V$1001,B11,'2.현장'!$T$2:$T$1001,TRUE))</f>
        <v/>
      </c>
      <c r="G11" s="6">
        <f>IF(B11="","",IF(_xlfn.MAXIFS('2.현장'!$L$2:$L$1001,'2.현장'!$V$2:$V$1001,B11,'2.현장'!$T$2:$T$1001,TRUE)=0,"",_xlfn.MAXIFS('2.현장'!$L$2:$L$1001,'2.현장'!$V$2:$V$1001,B11,'2.현장'!$T$2:$T$1001,TRUE)))</f>
        <v/>
      </c>
      <c r="H11">
        <f>IF(B11="","",IFERROR(INDEX('2.현장'!$C$2:$C$1001,IFERROR(MATCH(B11&amp;"|설계사",'2.현장'!$Z$2:$Z$1001,0),IFERROR(MATCH(B11&amp;"|시공사",'2.현장'!$Z$2:$Z$1001,0),MATCH(B11&amp;"|늦음",'2.현장'!$Z$2:$Z$1001,0)))),""))</f>
        <v/>
      </c>
      <c r="I11">
        <f>IF(B11="","",IFERROR(INDEX('2.현장'!$N$2:$N$1001,IFERROR(MATCH(B11&amp;"|설계사",'2.현장'!$Z$2:$Z$1001,0),IFERROR(MATCH(B11&amp;"|시공사",'2.현장'!$Z$2:$Z$1001,0),MATCH(B11&amp;"|늦음",'2.현장'!$Z$2:$Z$1001,0)))),""))</f>
        <v/>
      </c>
      <c r="J11">
        <f>IF(B11="","",IFERROR(VLOOKUP(B11,설계사_메모!$A$3:$G$302,2,FALSE)&amp;"",""))</f>
        <v/>
      </c>
      <c r="K11">
        <f>IF(B11="","",IFERROR(VLOOKUP(B11,설계사_메모!$A$3:$G$302,4,FALSE)&amp;"",""))</f>
        <v/>
      </c>
      <c r="L11" s="6">
        <f>IF(B11="","",IF(COUNTIF('4.방문기록'!$B$3:$B$502,B11)=0,"",_xlfn.MAXIFS('4.방문기록'!$A$3:$A$502,'4.방문기록'!$B$3:$B$502,B11)))</f>
        <v/>
      </c>
      <c r="M11">
        <f>IF(L11="","",설정!$B$24-L11)</f>
        <v/>
      </c>
      <c r="N11" s="6">
        <f>IF(B11="","",IF(_xlfn.MAXIFS('4.방문기록'!$F$3:$F$502,'4.방문기록'!$B$3:$B$502,B11)=0,"",_xlfn.MAXIFS('4.방문기록'!$F$3:$F$502,'4.방문기록'!$B$3:$B$502,B11)))</f>
        <v/>
      </c>
      <c r="O11">
        <f>IF(L11="","",IFERROR(INDEX('4.방문기록'!$H$3:$H$502,MATCH(B11&amp;"|"&amp;(L11*1),'4.방문기록'!$I$3:$I$502,0))&amp;"",""))</f>
        <v/>
      </c>
      <c r="P11">
        <f>IF(B11="","",IF(O11="관심 없음","제외",IF(L11="","안 가봄",IF(M11&gt;=설정!$B$20,M11&amp;"일 지남","최근 방문"))))</f>
        <v/>
      </c>
      <c r="Q11" s="7">
        <f>IF(B11="","",IF(P11="제외","",IF(AND(설정!$B$21&lt;&gt;"",I11&lt;&gt;설정!$B$21),"",IF(AND(N11&lt;&gt;"",N11&gt;N(L11),N11&lt;=설정!$B$24+7),100+7-(N11-설정!$B$24),IF(AND(D11&gt;0,OR(P11="안 가봄",RIGHT(P11,2)="지남")),D11*10+IF(L11="",30,MIN(M11,60)/2)+MIN(N(F11)/1000,20),"")))))</f>
        <v/>
      </c>
      <c r="R11">
        <f>IF(Q11="","",COUNTIF(Q$4:Q$303,"&gt;"&amp;Q11)+COUNTIF(Q$4:Q11,Q11))</f>
        <v/>
      </c>
    </row>
    <row r="12">
      <c r="A12">
        <f>IF(B12="","",9)</f>
        <v/>
      </c>
      <c r="B12">
        <f>IFERROR(INDEX('2.현장'!$V$2:$V$1001,MATCH(9,'2.현장'!$W$2:$W$1001,0)),"")</f>
        <v/>
      </c>
      <c r="C12">
        <f>IF(B12="","",COUNTIFS('2.현장'!$V$2:$V$1001,B12,'2.현장'!$T$2:$T$1001,TRUE))</f>
        <v/>
      </c>
      <c r="D12">
        <f>IF(B12="","",COUNTIFS('2.현장'!$V$2:$V$1001,B12,'2.현장'!$U$2:$U$1001,"설계사"))</f>
        <v/>
      </c>
      <c r="E12">
        <f>IF(B12="","",COUNTIFS('2.현장'!$V$2:$V$1001,B12,'2.현장'!$U$2:$U$1001,"시공사"))</f>
        <v/>
      </c>
      <c r="F12" s="5">
        <f>IF(B12="","",_xlfn.MAXIFS('2.현장'!$D$2:$D$1001,'2.현장'!$V$2:$V$1001,B12,'2.현장'!$T$2:$T$1001,TRUE))</f>
        <v/>
      </c>
      <c r="G12" s="6">
        <f>IF(B12="","",IF(_xlfn.MAXIFS('2.현장'!$L$2:$L$1001,'2.현장'!$V$2:$V$1001,B12,'2.현장'!$T$2:$T$1001,TRUE)=0,"",_xlfn.MAXIFS('2.현장'!$L$2:$L$1001,'2.현장'!$V$2:$V$1001,B12,'2.현장'!$T$2:$T$1001,TRUE)))</f>
        <v/>
      </c>
      <c r="H12">
        <f>IF(B12="","",IFERROR(INDEX('2.현장'!$C$2:$C$1001,IFERROR(MATCH(B12&amp;"|설계사",'2.현장'!$Z$2:$Z$1001,0),IFERROR(MATCH(B12&amp;"|시공사",'2.현장'!$Z$2:$Z$1001,0),MATCH(B12&amp;"|늦음",'2.현장'!$Z$2:$Z$1001,0)))),""))</f>
        <v/>
      </c>
      <c r="I12">
        <f>IF(B12="","",IFERROR(INDEX('2.현장'!$N$2:$N$1001,IFERROR(MATCH(B12&amp;"|설계사",'2.현장'!$Z$2:$Z$1001,0),IFERROR(MATCH(B12&amp;"|시공사",'2.현장'!$Z$2:$Z$1001,0),MATCH(B12&amp;"|늦음",'2.현장'!$Z$2:$Z$1001,0)))),""))</f>
        <v/>
      </c>
      <c r="J12">
        <f>IF(B12="","",IFERROR(VLOOKUP(B12,설계사_메모!$A$3:$G$302,2,FALSE)&amp;"",""))</f>
        <v/>
      </c>
      <c r="K12">
        <f>IF(B12="","",IFERROR(VLOOKUP(B12,설계사_메모!$A$3:$G$302,4,FALSE)&amp;"",""))</f>
        <v/>
      </c>
      <c r="L12" s="6">
        <f>IF(B12="","",IF(COUNTIF('4.방문기록'!$B$3:$B$502,B12)=0,"",_xlfn.MAXIFS('4.방문기록'!$A$3:$A$502,'4.방문기록'!$B$3:$B$502,B12)))</f>
        <v/>
      </c>
      <c r="M12">
        <f>IF(L12="","",설정!$B$24-L12)</f>
        <v/>
      </c>
      <c r="N12" s="6">
        <f>IF(B12="","",IF(_xlfn.MAXIFS('4.방문기록'!$F$3:$F$502,'4.방문기록'!$B$3:$B$502,B12)=0,"",_xlfn.MAXIFS('4.방문기록'!$F$3:$F$502,'4.방문기록'!$B$3:$B$502,B12)))</f>
        <v/>
      </c>
      <c r="O12">
        <f>IF(L12="","",IFERROR(INDEX('4.방문기록'!$H$3:$H$502,MATCH(B12&amp;"|"&amp;(L12*1),'4.방문기록'!$I$3:$I$502,0))&amp;"",""))</f>
        <v/>
      </c>
      <c r="P12">
        <f>IF(B12="","",IF(O12="관심 없음","제외",IF(L12="","안 가봄",IF(M12&gt;=설정!$B$20,M12&amp;"일 지남","최근 방문"))))</f>
        <v/>
      </c>
      <c r="Q12" s="7">
        <f>IF(B12="","",IF(P12="제외","",IF(AND(설정!$B$21&lt;&gt;"",I12&lt;&gt;설정!$B$21),"",IF(AND(N12&lt;&gt;"",N12&gt;N(L12),N12&lt;=설정!$B$24+7),100+7-(N12-설정!$B$24),IF(AND(D12&gt;0,OR(P12="안 가봄",RIGHT(P12,2)="지남")),D12*10+IF(L12="",30,MIN(M12,60)/2)+MIN(N(F12)/1000,20),"")))))</f>
        <v/>
      </c>
      <c r="R12">
        <f>IF(Q12="","",COUNTIF(Q$4:Q$303,"&gt;"&amp;Q12)+COUNTIF(Q$4:Q12,Q12))</f>
        <v/>
      </c>
    </row>
    <row r="13">
      <c r="A13">
        <f>IF(B13="","",10)</f>
        <v/>
      </c>
      <c r="B13">
        <f>IFERROR(INDEX('2.현장'!$V$2:$V$1001,MATCH(10,'2.현장'!$W$2:$W$1001,0)),"")</f>
        <v/>
      </c>
      <c r="C13">
        <f>IF(B13="","",COUNTIFS('2.현장'!$V$2:$V$1001,B13,'2.현장'!$T$2:$T$1001,TRUE))</f>
        <v/>
      </c>
      <c r="D13">
        <f>IF(B13="","",COUNTIFS('2.현장'!$V$2:$V$1001,B13,'2.현장'!$U$2:$U$1001,"설계사"))</f>
        <v/>
      </c>
      <c r="E13">
        <f>IF(B13="","",COUNTIFS('2.현장'!$V$2:$V$1001,B13,'2.현장'!$U$2:$U$1001,"시공사"))</f>
        <v/>
      </c>
      <c r="F13" s="5">
        <f>IF(B13="","",_xlfn.MAXIFS('2.현장'!$D$2:$D$1001,'2.현장'!$V$2:$V$1001,B13,'2.현장'!$T$2:$T$1001,TRUE))</f>
        <v/>
      </c>
      <c r="G13" s="6">
        <f>IF(B13="","",IF(_xlfn.MAXIFS('2.현장'!$L$2:$L$1001,'2.현장'!$V$2:$V$1001,B13,'2.현장'!$T$2:$T$1001,TRUE)=0,"",_xlfn.MAXIFS('2.현장'!$L$2:$L$1001,'2.현장'!$V$2:$V$1001,B13,'2.현장'!$T$2:$T$1001,TRUE)))</f>
        <v/>
      </c>
      <c r="H13">
        <f>IF(B13="","",IFERROR(INDEX('2.현장'!$C$2:$C$1001,IFERROR(MATCH(B13&amp;"|설계사",'2.현장'!$Z$2:$Z$1001,0),IFERROR(MATCH(B13&amp;"|시공사",'2.현장'!$Z$2:$Z$1001,0),MATCH(B13&amp;"|늦음",'2.현장'!$Z$2:$Z$1001,0)))),""))</f>
        <v/>
      </c>
      <c r="I13">
        <f>IF(B13="","",IFERROR(INDEX('2.현장'!$N$2:$N$1001,IFERROR(MATCH(B13&amp;"|설계사",'2.현장'!$Z$2:$Z$1001,0),IFERROR(MATCH(B13&amp;"|시공사",'2.현장'!$Z$2:$Z$1001,0),MATCH(B13&amp;"|늦음",'2.현장'!$Z$2:$Z$1001,0)))),""))</f>
        <v/>
      </c>
      <c r="J13">
        <f>IF(B13="","",IFERROR(VLOOKUP(B13,설계사_메모!$A$3:$G$302,2,FALSE)&amp;"",""))</f>
        <v/>
      </c>
      <c r="K13">
        <f>IF(B13="","",IFERROR(VLOOKUP(B13,설계사_메모!$A$3:$G$302,4,FALSE)&amp;"",""))</f>
        <v/>
      </c>
      <c r="L13" s="6">
        <f>IF(B13="","",IF(COUNTIF('4.방문기록'!$B$3:$B$502,B13)=0,"",_xlfn.MAXIFS('4.방문기록'!$A$3:$A$502,'4.방문기록'!$B$3:$B$502,B13)))</f>
        <v/>
      </c>
      <c r="M13">
        <f>IF(L13="","",설정!$B$24-L13)</f>
        <v/>
      </c>
      <c r="N13" s="6">
        <f>IF(B13="","",IF(_xlfn.MAXIFS('4.방문기록'!$F$3:$F$502,'4.방문기록'!$B$3:$B$502,B13)=0,"",_xlfn.MAXIFS('4.방문기록'!$F$3:$F$502,'4.방문기록'!$B$3:$B$502,B13)))</f>
        <v/>
      </c>
      <c r="O13">
        <f>IF(L13="","",IFERROR(INDEX('4.방문기록'!$H$3:$H$502,MATCH(B13&amp;"|"&amp;(L13*1),'4.방문기록'!$I$3:$I$502,0))&amp;"",""))</f>
        <v/>
      </c>
      <c r="P13">
        <f>IF(B13="","",IF(O13="관심 없음","제외",IF(L13="","안 가봄",IF(M13&gt;=설정!$B$20,M13&amp;"일 지남","최근 방문"))))</f>
        <v/>
      </c>
      <c r="Q13" s="7">
        <f>IF(B13="","",IF(P13="제외","",IF(AND(설정!$B$21&lt;&gt;"",I13&lt;&gt;설정!$B$21),"",IF(AND(N13&lt;&gt;"",N13&gt;N(L13),N13&lt;=설정!$B$24+7),100+7-(N13-설정!$B$24),IF(AND(D13&gt;0,OR(P13="안 가봄",RIGHT(P13,2)="지남")),D13*10+IF(L13="",30,MIN(M13,60)/2)+MIN(N(F13)/1000,20),"")))))</f>
        <v/>
      </c>
      <c r="R13">
        <f>IF(Q13="","",COUNTIF(Q$4:Q$303,"&gt;"&amp;Q13)+COUNTIF(Q$4:Q13,Q13))</f>
        <v/>
      </c>
    </row>
    <row r="14">
      <c r="A14">
        <f>IF(B14="","",11)</f>
        <v/>
      </c>
      <c r="B14">
        <f>IFERROR(INDEX('2.현장'!$V$2:$V$1001,MATCH(11,'2.현장'!$W$2:$W$1001,0)),"")</f>
        <v/>
      </c>
      <c r="C14">
        <f>IF(B14="","",COUNTIFS('2.현장'!$V$2:$V$1001,B14,'2.현장'!$T$2:$T$1001,TRUE))</f>
        <v/>
      </c>
      <c r="D14">
        <f>IF(B14="","",COUNTIFS('2.현장'!$V$2:$V$1001,B14,'2.현장'!$U$2:$U$1001,"설계사"))</f>
        <v/>
      </c>
      <c r="E14">
        <f>IF(B14="","",COUNTIFS('2.현장'!$V$2:$V$1001,B14,'2.현장'!$U$2:$U$1001,"시공사"))</f>
        <v/>
      </c>
      <c r="F14" s="5">
        <f>IF(B14="","",_xlfn.MAXIFS('2.현장'!$D$2:$D$1001,'2.현장'!$V$2:$V$1001,B14,'2.현장'!$T$2:$T$1001,TRUE))</f>
        <v/>
      </c>
      <c r="G14" s="6">
        <f>IF(B14="","",IF(_xlfn.MAXIFS('2.현장'!$L$2:$L$1001,'2.현장'!$V$2:$V$1001,B14,'2.현장'!$T$2:$T$1001,TRUE)=0,"",_xlfn.MAXIFS('2.현장'!$L$2:$L$1001,'2.현장'!$V$2:$V$1001,B14,'2.현장'!$T$2:$T$1001,TRUE)))</f>
        <v/>
      </c>
      <c r="H14">
        <f>IF(B14="","",IFERROR(INDEX('2.현장'!$C$2:$C$1001,IFERROR(MATCH(B14&amp;"|설계사",'2.현장'!$Z$2:$Z$1001,0),IFERROR(MATCH(B14&amp;"|시공사",'2.현장'!$Z$2:$Z$1001,0),MATCH(B14&amp;"|늦음",'2.현장'!$Z$2:$Z$1001,0)))),""))</f>
        <v/>
      </c>
      <c r="I14">
        <f>IF(B14="","",IFERROR(INDEX('2.현장'!$N$2:$N$1001,IFERROR(MATCH(B14&amp;"|설계사",'2.현장'!$Z$2:$Z$1001,0),IFERROR(MATCH(B14&amp;"|시공사",'2.현장'!$Z$2:$Z$1001,0),MATCH(B14&amp;"|늦음",'2.현장'!$Z$2:$Z$1001,0)))),""))</f>
        <v/>
      </c>
      <c r="J14">
        <f>IF(B14="","",IFERROR(VLOOKUP(B14,설계사_메모!$A$3:$G$302,2,FALSE)&amp;"",""))</f>
        <v/>
      </c>
      <c r="K14">
        <f>IF(B14="","",IFERROR(VLOOKUP(B14,설계사_메모!$A$3:$G$302,4,FALSE)&amp;"",""))</f>
        <v/>
      </c>
      <c r="L14" s="6">
        <f>IF(B14="","",IF(COUNTIF('4.방문기록'!$B$3:$B$502,B14)=0,"",_xlfn.MAXIFS('4.방문기록'!$A$3:$A$502,'4.방문기록'!$B$3:$B$502,B14)))</f>
        <v/>
      </c>
      <c r="M14">
        <f>IF(L14="","",설정!$B$24-L14)</f>
        <v/>
      </c>
      <c r="N14" s="6">
        <f>IF(B14="","",IF(_xlfn.MAXIFS('4.방문기록'!$F$3:$F$502,'4.방문기록'!$B$3:$B$502,B14)=0,"",_xlfn.MAXIFS('4.방문기록'!$F$3:$F$502,'4.방문기록'!$B$3:$B$502,B14)))</f>
        <v/>
      </c>
      <c r="O14">
        <f>IF(L14="","",IFERROR(INDEX('4.방문기록'!$H$3:$H$502,MATCH(B14&amp;"|"&amp;(L14*1),'4.방문기록'!$I$3:$I$502,0))&amp;"",""))</f>
        <v/>
      </c>
      <c r="P14">
        <f>IF(B14="","",IF(O14="관심 없음","제외",IF(L14="","안 가봄",IF(M14&gt;=설정!$B$20,M14&amp;"일 지남","최근 방문"))))</f>
        <v/>
      </c>
      <c r="Q14" s="7">
        <f>IF(B14="","",IF(P14="제외","",IF(AND(설정!$B$21&lt;&gt;"",I14&lt;&gt;설정!$B$21),"",IF(AND(N14&lt;&gt;"",N14&gt;N(L14),N14&lt;=설정!$B$24+7),100+7-(N14-설정!$B$24),IF(AND(D14&gt;0,OR(P14="안 가봄",RIGHT(P14,2)="지남")),D14*10+IF(L14="",30,MIN(M14,60)/2)+MIN(N(F14)/1000,20),"")))))</f>
        <v/>
      </c>
      <c r="R14">
        <f>IF(Q14="","",COUNTIF(Q$4:Q$303,"&gt;"&amp;Q14)+COUNTIF(Q$4:Q14,Q14))</f>
        <v/>
      </c>
    </row>
    <row r="15">
      <c r="A15">
        <f>IF(B15="","",12)</f>
        <v/>
      </c>
      <c r="B15">
        <f>IFERROR(INDEX('2.현장'!$V$2:$V$1001,MATCH(12,'2.현장'!$W$2:$W$1001,0)),"")</f>
        <v/>
      </c>
      <c r="C15">
        <f>IF(B15="","",COUNTIFS('2.현장'!$V$2:$V$1001,B15,'2.현장'!$T$2:$T$1001,TRUE))</f>
        <v/>
      </c>
      <c r="D15">
        <f>IF(B15="","",COUNTIFS('2.현장'!$V$2:$V$1001,B15,'2.현장'!$U$2:$U$1001,"설계사"))</f>
        <v/>
      </c>
      <c r="E15">
        <f>IF(B15="","",COUNTIFS('2.현장'!$V$2:$V$1001,B15,'2.현장'!$U$2:$U$1001,"시공사"))</f>
        <v/>
      </c>
      <c r="F15" s="5">
        <f>IF(B15="","",_xlfn.MAXIFS('2.현장'!$D$2:$D$1001,'2.현장'!$V$2:$V$1001,B15,'2.현장'!$T$2:$T$1001,TRUE))</f>
        <v/>
      </c>
      <c r="G15" s="6">
        <f>IF(B15="","",IF(_xlfn.MAXIFS('2.현장'!$L$2:$L$1001,'2.현장'!$V$2:$V$1001,B15,'2.현장'!$T$2:$T$1001,TRUE)=0,"",_xlfn.MAXIFS('2.현장'!$L$2:$L$1001,'2.현장'!$V$2:$V$1001,B15,'2.현장'!$T$2:$T$1001,TRUE)))</f>
        <v/>
      </c>
      <c r="H15">
        <f>IF(B15="","",IFERROR(INDEX('2.현장'!$C$2:$C$1001,IFERROR(MATCH(B15&amp;"|설계사",'2.현장'!$Z$2:$Z$1001,0),IFERROR(MATCH(B15&amp;"|시공사",'2.현장'!$Z$2:$Z$1001,0),MATCH(B15&amp;"|늦음",'2.현장'!$Z$2:$Z$1001,0)))),""))</f>
        <v/>
      </c>
      <c r="I15">
        <f>IF(B15="","",IFERROR(INDEX('2.현장'!$N$2:$N$1001,IFERROR(MATCH(B15&amp;"|설계사",'2.현장'!$Z$2:$Z$1001,0),IFERROR(MATCH(B15&amp;"|시공사",'2.현장'!$Z$2:$Z$1001,0),MATCH(B15&amp;"|늦음",'2.현장'!$Z$2:$Z$1001,0)))),""))</f>
        <v/>
      </c>
      <c r="J15">
        <f>IF(B15="","",IFERROR(VLOOKUP(B15,설계사_메모!$A$3:$G$302,2,FALSE)&amp;"",""))</f>
        <v/>
      </c>
      <c r="K15">
        <f>IF(B15="","",IFERROR(VLOOKUP(B15,설계사_메모!$A$3:$G$302,4,FALSE)&amp;"",""))</f>
        <v/>
      </c>
      <c r="L15" s="6">
        <f>IF(B15="","",IF(COUNTIF('4.방문기록'!$B$3:$B$502,B15)=0,"",_xlfn.MAXIFS('4.방문기록'!$A$3:$A$502,'4.방문기록'!$B$3:$B$502,B15)))</f>
        <v/>
      </c>
      <c r="M15">
        <f>IF(L15="","",설정!$B$24-L15)</f>
        <v/>
      </c>
      <c r="N15" s="6">
        <f>IF(B15="","",IF(_xlfn.MAXIFS('4.방문기록'!$F$3:$F$502,'4.방문기록'!$B$3:$B$502,B15)=0,"",_xlfn.MAXIFS('4.방문기록'!$F$3:$F$502,'4.방문기록'!$B$3:$B$502,B15)))</f>
        <v/>
      </c>
      <c r="O15">
        <f>IF(L15="","",IFERROR(INDEX('4.방문기록'!$H$3:$H$502,MATCH(B15&amp;"|"&amp;(L15*1),'4.방문기록'!$I$3:$I$502,0))&amp;"",""))</f>
        <v/>
      </c>
      <c r="P15">
        <f>IF(B15="","",IF(O15="관심 없음","제외",IF(L15="","안 가봄",IF(M15&gt;=설정!$B$20,M15&amp;"일 지남","최근 방문"))))</f>
        <v/>
      </c>
      <c r="Q15" s="7">
        <f>IF(B15="","",IF(P15="제외","",IF(AND(설정!$B$21&lt;&gt;"",I15&lt;&gt;설정!$B$21),"",IF(AND(N15&lt;&gt;"",N15&gt;N(L15),N15&lt;=설정!$B$24+7),100+7-(N15-설정!$B$24),IF(AND(D15&gt;0,OR(P15="안 가봄",RIGHT(P15,2)="지남")),D15*10+IF(L15="",30,MIN(M15,60)/2)+MIN(N(F15)/1000,20),"")))))</f>
        <v/>
      </c>
      <c r="R15">
        <f>IF(Q15="","",COUNTIF(Q$4:Q$303,"&gt;"&amp;Q15)+COUNTIF(Q$4:Q15,Q15))</f>
        <v/>
      </c>
    </row>
    <row r="16">
      <c r="A16">
        <f>IF(B16="","",13)</f>
        <v/>
      </c>
      <c r="B16">
        <f>IFERROR(INDEX('2.현장'!$V$2:$V$1001,MATCH(13,'2.현장'!$W$2:$W$1001,0)),"")</f>
        <v/>
      </c>
      <c r="C16">
        <f>IF(B16="","",COUNTIFS('2.현장'!$V$2:$V$1001,B16,'2.현장'!$T$2:$T$1001,TRUE))</f>
        <v/>
      </c>
      <c r="D16">
        <f>IF(B16="","",COUNTIFS('2.현장'!$V$2:$V$1001,B16,'2.현장'!$U$2:$U$1001,"설계사"))</f>
        <v/>
      </c>
      <c r="E16">
        <f>IF(B16="","",COUNTIFS('2.현장'!$V$2:$V$1001,B16,'2.현장'!$U$2:$U$1001,"시공사"))</f>
        <v/>
      </c>
      <c r="F16" s="5">
        <f>IF(B16="","",_xlfn.MAXIFS('2.현장'!$D$2:$D$1001,'2.현장'!$V$2:$V$1001,B16,'2.현장'!$T$2:$T$1001,TRUE))</f>
        <v/>
      </c>
      <c r="G16" s="6">
        <f>IF(B16="","",IF(_xlfn.MAXIFS('2.현장'!$L$2:$L$1001,'2.현장'!$V$2:$V$1001,B16,'2.현장'!$T$2:$T$1001,TRUE)=0,"",_xlfn.MAXIFS('2.현장'!$L$2:$L$1001,'2.현장'!$V$2:$V$1001,B16,'2.현장'!$T$2:$T$1001,TRUE)))</f>
        <v/>
      </c>
      <c r="H16">
        <f>IF(B16="","",IFERROR(INDEX('2.현장'!$C$2:$C$1001,IFERROR(MATCH(B16&amp;"|설계사",'2.현장'!$Z$2:$Z$1001,0),IFERROR(MATCH(B16&amp;"|시공사",'2.현장'!$Z$2:$Z$1001,0),MATCH(B16&amp;"|늦음",'2.현장'!$Z$2:$Z$1001,0)))),""))</f>
        <v/>
      </c>
      <c r="I16">
        <f>IF(B16="","",IFERROR(INDEX('2.현장'!$N$2:$N$1001,IFERROR(MATCH(B16&amp;"|설계사",'2.현장'!$Z$2:$Z$1001,0),IFERROR(MATCH(B16&amp;"|시공사",'2.현장'!$Z$2:$Z$1001,0),MATCH(B16&amp;"|늦음",'2.현장'!$Z$2:$Z$1001,0)))),""))</f>
        <v/>
      </c>
      <c r="J16">
        <f>IF(B16="","",IFERROR(VLOOKUP(B16,설계사_메모!$A$3:$G$302,2,FALSE)&amp;"",""))</f>
        <v/>
      </c>
      <c r="K16">
        <f>IF(B16="","",IFERROR(VLOOKUP(B16,설계사_메모!$A$3:$G$302,4,FALSE)&amp;"",""))</f>
        <v/>
      </c>
      <c r="L16" s="6">
        <f>IF(B16="","",IF(COUNTIF('4.방문기록'!$B$3:$B$502,B16)=0,"",_xlfn.MAXIFS('4.방문기록'!$A$3:$A$502,'4.방문기록'!$B$3:$B$502,B16)))</f>
        <v/>
      </c>
      <c r="M16">
        <f>IF(L16="","",설정!$B$24-L16)</f>
        <v/>
      </c>
      <c r="N16" s="6">
        <f>IF(B16="","",IF(_xlfn.MAXIFS('4.방문기록'!$F$3:$F$502,'4.방문기록'!$B$3:$B$502,B16)=0,"",_xlfn.MAXIFS('4.방문기록'!$F$3:$F$502,'4.방문기록'!$B$3:$B$502,B16)))</f>
        <v/>
      </c>
      <c r="O16">
        <f>IF(L16="","",IFERROR(INDEX('4.방문기록'!$H$3:$H$502,MATCH(B16&amp;"|"&amp;(L16*1),'4.방문기록'!$I$3:$I$502,0))&amp;"",""))</f>
        <v/>
      </c>
      <c r="P16">
        <f>IF(B16="","",IF(O16="관심 없음","제외",IF(L16="","안 가봄",IF(M16&gt;=설정!$B$20,M16&amp;"일 지남","최근 방문"))))</f>
        <v/>
      </c>
      <c r="Q16" s="7">
        <f>IF(B16="","",IF(P16="제외","",IF(AND(설정!$B$21&lt;&gt;"",I16&lt;&gt;설정!$B$21),"",IF(AND(N16&lt;&gt;"",N16&gt;N(L16),N16&lt;=설정!$B$24+7),100+7-(N16-설정!$B$24),IF(AND(D16&gt;0,OR(P16="안 가봄",RIGHT(P16,2)="지남")),D16*10+IF(L16="",30,MIN(M16,60)/2)+MIN(N(F16)/1000,20),"")))))</f>
        <v/>
      </c>
      <c r="R16">
        <f>IF(Q16="","",COUNTIF(Q$4:Q$303,"&gt;"&amp;Q16)+COUNTIF(Q$4:Q16,Q16))</f>
        <v/>
      </c>
    </row>
    <row r="17">
      <c r="A17">
        <f>IF(B17="","",14)</f>
        <v/>
      </c>
      <c r="B17">
        <f>IFERROR(INDEX('2.현장'!$V$2:$V$1001,MATCH(14,'2.현장'!$W$2:$W$1001,0)),"")</f>
        <v/>
      </c>
      <c r="C17">
        <f>IF(B17="","",COUNTIFS('2.현장'!$V$2:$V$1001,B17,'2.현장'!$T$2:$T$1001,TRUE))</f>
        <v/>
      </c>
      <c r="D17">
        <f>IF(B17="","",COUNTIFS('2.현장'!$V$2:$V$1001,B17,'2.현장'!$U$2:$U$1001,"설계사"))</f>
        <v/>
      </c>
      <c r="E17">
        <f>IF(B17="","",COUNTIFS('2.현장'!$V$2:$V$1001,B17,'2.현장'!$U$2:$U$1001,"시공사"))</f>
        <v/>
      </c>
      <c r="F17" s="5">
        <f>IF(B17="","",_xlfn.MAXIFS('2.현장'!$D$2:$D$1001,'2.현장'!$V$2:$V$1001,B17,'2.현장'!$T$2:$T$1001,TRUE))</f>
        <v/>
      </c>
      <c r="G17" s="6">
        <f>IF(B17="","",IF(_xlfn.MAXIFS('2.현장'!$L$2:$L$1001,'2.현장'!$V$2:$V$1001,B17,'2.현장'!$T$2:$T$1001,TRUE)=0,"",_xlfn.MAXIFS('2.현장'!$L$2:$L$1001,'2.현장'!$V$2:$V$1001,B17,'2.현장'!$T$2:$T$1001,TRUE)))</f>
        <v/>
      </c>
      <c r="H17">
        <f>IF(B17="","",IFERROR(INDEX('2.현장'!$C$2:$C$1001,IFERROR(MATCH(B17&amp;"|설계사",'2.현장'!$Z$2:$Z$1001,0),IFERROR(MATCH(B17&amp;"|시공사",'2.현장'!$Z$2:$Z$1001,0),MATCH(B17&amp;"|늦음",'2.현장'!$Z$2:$Z$1001,0)))),""))</f>
        <v/>
      </c>
      <c r="I17">
        <f>IF(B17="","",IFERROR(INDEX('2.현장'!$N$2:$N$1001,IFERROR(MATCH(B17&amp;"|설계사",'2.현장'!$Z$2:$Z$1001,0),IFERROR(MATCH(B17&amp;"|시공사",'2.현장'!$Z$2:$Z$1001,0),MATCH(B17&amp;"|늦음",'2.현장'!$Z$2:$Z$1001,0)))),""))</f>
        <v/>
      </c>
      <c r="J17">
        <f>IF(B17="","",IFERROR(VLOOKUP(B17,설계사_메모!$A$3:$G$302,2,FALSE)&amp;"",""))</f>
        <v/>
      </c>
      <c r="K17">
        <f>IF(B17="","",IFERROR(VLOOKUP(B17,설계사_메모!$A$3:$G$302,4,FALSE)&amp;"",""))</f>
        <v/>
      </c>
      <c r="L17" s="6">
        <f>IF(B17="","",IF(COUNTIF('4.방문기록'!$B$3:$B$502,B17)=0,"",_xlfn.MAXIFS('4.방문기록'!$A$3:$A$502,'4.방문기록'!$B$3:$B$502,B17)))</f>
        <v/>
      </c>
      <c r="M17">
        <f>IF(L17="","",설정!$B$24-L17)</f>
        <v/>
      </c>
      <c r="N17" s="6">
        <f>IF(B17="","",IF(_xlfn.MAXIFS('4.방문기록'!$F$3:$F$502,'4.방문기록'!$B$3:$B$502,B17)=0,"",_xlfn.MAXIFS('4.방문기록'!$F$3:$F$502,'4.방문기록'!$B$3:$B$502,B17)))</f>
        <v/>
      </c>
      <c r="O17">
        <f>IF(L17="","",IFERROR(INDEX('4.방문기록'!$H$3:$H$502,MATCH(B17&amp;"|"&amp;(L17*1),'4.방문기록'!$I$3:$I$502,0))&amp;"",""))</f>
        <v/>
      </c>
      <c r="P17">
        <f>IF(B17="","",IF(O17="관심 없음","제외",IF(L17="","안 가봄",IF(M17&gt;=설정!$B$20,M17&amp;"일 지남","최근 방문"))))</f>
        <v/>
      </c>
      <c r="Q17" s="7">
        <f>IF(B17="","",IF(P17="제외","",IF(AND(설정!$B$21&lt;&gt;"",I17&lt;&gt;설정!$B$21),"",IF(AND(N17&lt;&gt;"",N17&gt;N(L17),N17&lt;=설정!$B$24+7),100+7-(N17-설정!$B$24),IF(AND(D17&gt;0,OR(P17="안 가봄",RIGHT(P17,2)="지남")),D17*10+IF(L17="",30,MIN(M17,60)/2)+MIN(N(F17)/1000,20),"")))))</f>
        <v/>
      </c>
      <c r="R17">
        <f>IF(Q17="","",COUNTIF(Q$4:Q$303,"&gt;"&amp;Q17)+COUNTIF(Q$4:Q17,Q17))</f>
        <v/>
      </c>
    </row>
    <row r="18">
      <c r="A18">
        <f>IF(B18="","",15)</f>
        <v/>
      </c>
      <c r="B18">
        <f>IFERROR(INDEX('2.현장'!$V$2:$V$1001,MATCH(15,'2.현장'!$W$2:$W$1001,0)),"")</f>
        <v/>
      </c>
      <c r="C18">
        <f>IF(B18="","",COUNTIFS('2.현장'!$V$2:$V$1001,B18,'2.현장'!$T$2:$T$1001,TRUE))</f>
        <v/>
      </c>
      <c r="D18">
        <f>IF(B18="","",COUNTIFS('2.현장'!$V$2:$V$1001,B18,'2.현장'!$U$2:$U$1001,"설계사"))</f>
        <v/>
      </c>
      <c r="E18">
        <f>IF(B18="","",COUNTIFS('2.현장'!$V$2:$V$1001,B18,'2.현장'!$U$2:$U$1001,"시공사"))</f>
        <v/>
      </c>
      <c r="F18" s="5">
        <f>IF(B18="","",_xlfn.MAXIFS('2.현장'!$D$2:$D$1001,'2.현장'!$V$2:$V$1001,B18,'2.현장'!$T$2:$T$1001,TRUE))</f>
        <v/>
      </c>
      <c r="G18" s="6">
        <f>IF(B18="","",IF(_xlfn.MAXIFS('2.현장'!$L$2:$L$1001,'2.현장'!$V$2:$V$1001,B18,'2.현장'!$T$2:$T$1001,TRUE)=0,"",_xlfn.MAXIFS('2.현장'!$L$2:$L$1001,'2.현장'!$V$2:$V$1001,B18,'2.현장'!$T$2:$T$1001,TRUE)))</f>
        <v/>
      </c>
      <c r="H18">
        <f>IF(B18="","",IFERROR(INDEX('2.현장'!$C$2:$C$1001,IFERROR(MATCH(B18&amp;"|설계사",'2.현장'!$Z$2:$Z$1001,0),IFERROR(MATCH(B18&amp;"|시공사",'2.현장'!$Z$2:$Z$1001,0),MATCH(B18&amp;"|늦음",'2.현장'!$Z$2:$Z$1001,0)))),""))</f>
        <v/>
      </c>
      <c r="I18">
        <f>IF(B18="","",IFERROR(INDEX('2.현장'!$N$2:$N$1001,IFERROR(MATCH(B18&amp;"|설계사",'2.현장'!$Z$2:$Z$1001,0),IFERROR(MATCH(B18&amp;"|시공사",'2.현장'!$Z$2:$Z$1001,0),MATCH(B18&amp;"|늦음",'2.현장'!$Z$2:$Z$1001,0)))),""))</f>
        <v/>
      </c>
      <c r="J18">
        <f>IF(B18="","",IFERROR(VLOOKUP(B18,설계사_메모!$A$3:$G$302,2,FALSE)&amp;"",""))</f>
        <v/>
      </c>
      <c r="K18">
        <f>IF(B18="","",IFERROR(VLOOKUP(B18,설계사_메모!$A$3:$G$302,4,FALSE)&amp;"",""))</f>
        <v/>
      </c>
      <c r="L18" s="6">
        <f>IF(B18="","",IF(COUNTIF('4.방문기록'!$B$3:$B$502,B18)=0,"",_xlfn.MAXIFS('4.방문기록'!$A$3:$A$502,'4.방문기록'!$B$3:$B$502,B18)))</f>
        <v/>
      </c>
      <c r="M18">
        <f>IF(L18="","",설정!$B$24-L18)</f>
        <v/>
      </c>
      <c r="N18" s="6">
        <f>IF(B18="","",IF(_xlfn.MAXIFS('4.방문기록'!$F$3:$F$502,'4.방문기록'!$B$3:$B$502,B18)=0,"",_xlfn.MAXIFS('4.방문기록'!$F$3:$F$502,'4.방문기록'!$B$3:$B$502,B18)))</f>
        <v/>
      </c>
      <c r="O18">
        <f>IF(L18="","",IFERROR(INDEX('4.방문기록'!$H$3:$H$502,MATCH(B18&amp;"|"&amp;(L18*1),'4.방문기록'!$I$3:$I$502,0))&amp;"",""))</f>
        <v/>
      </c>
      <c r="P18">
        <f>IF(B18="","",IF(O18="관심 없음","제외",IF(L18="","안 가봄",IF(M18&gt;=설정!$B$20,M18&amp;"일 지남","최근 방문"))))</f>
        <v/>
      </c>
      <c r="Q18" s="7">
        <f>IF(B18="","",IF(P18="제외","",IF(AND(설정!$B$21&lt;&gt;"",I18&lt;&gt;설정!$B$21),"",IF(AND(N18&lt;&gt;"",N18&gt;N(L18),N18&lt;=설정!$B$24+7),100+7-(N18-설정!$B$24),IF(AND(D18&gt;0,OR(P18="안 가봄",RIGHT(P18,2)="지남")),D18*10+IF(L18="",30,MIN(M18,60)/2)+MIN(N(F18)/1000,20),"")))))</f>
        <v/>
      </c>
      <c r="R18">
        <f>IF(Q18="","",COUNTIF(Q$4:Q$303,"&gt;"&amp;Q18)+COUNTIF(Q$4:Q18,Q18))</f>
        <v/>
      </c>
    </row>
    <row r="19">
      <c r="A19">
        <f>IF(B19="","",16)</f>
        <v/>
      </c>
      <c r="B19">
        <f>IFERROR(INDEX('2.현장'!$V$2:$V$1001,MATCH(16,'2.현장'!$W$2:$W$1001,0)),"")</f>
        <v/>
      </c>
      <c r="C19">
        <f>IF(B19="","",COUNTIFS('2.현장'!$V$2:$V$1001,B19,'2.현장'!$T$2:$T$1001,TRUE))</f>
        <v/>
      </c>
      <c r="D19">
        <f>IF(B19="","",COUNTIFS('2.현장'!$V$2:$V$1001,B19,'2.현장'!$U$2:$U$1001,"설계사"))</f>
        <v/>
      </c>
      <c r="E19">
        <f>IF(B19="","",COUNTIFS('2.현장'!$V$2:$V$1001,B19,'2.현장'!$U$2:$U$1001,"시공사"))</f>
        <v/>
      </c>
      <c r="F19" s="5">
        <f>IF(B19="","",_xlfn.MAXIFS('2.현장'!$D$2:$D$1001,'2.현장'!$V$2:$V$1001,B19,'2.현장'!$T$2:$T$1001,TRUE))</f>
        <v/>
      </c>
      <c r="G19" s="6">
        <f>IF(B19="","",IF(_xlfn.MAXIFS('2.현장'!$L$2:$L$1001,'2.현장'!$V$2:$V$1001,B19,'2.현장'!$T$2:$T$1001,TRUE)=0,"",_xlfn.MAXIFS('2.현장'!$L$2:$L$1001,'2.현장'!$V$2:$V$1001,B19,'2.현장'!$T$2:$T$1001,TRUE)))</f>
        <v/>
      </c>
      <c r="H19">
        <f>IF(B19="","",IFERROR(INDEX('2.현장'!$C$2:$C$1001,IFERROR(MATCH(B19&amp;"|설계사",'2.현장'!$Z$2:$Z$1001,0),IFERROR(MATCH(B19&amp;"|시공사",'2.현장'!$Z$2:$Z$1001,0),MATCH(B19&amp;"|늦음",'2.현장'!$Z$2:$Z$1001,0)))),""))</f>
        <v/>
      </c>
      <c r="I19">
        <f>IF(B19="","",IFERROR(INDEX('2.현장'!$N$2:$N$1001,IFERROR(MATCH(B19&amp;"|설계사",'2.현장'!$Z$2:$Z$1001,0),IFERROR(MATCH(B19&amp;"|시공사",'2.현장'!$Z$2:$Z$1001,0),MATCH(B19&amp;"|늦음",'2.현장'!$Z$2:$Z$1001,0)))),""))</f>
        <v/>
      </c>
      <c r="J19">
        <f>IF(B19="","",IFERROR(VLOOKUP(B19,설계사_메모!$A$3:$G$302,2,FALSE)&amp;"",""))</f>
        <v/>
      </c>
      <c r="K19">
        <f>IF(B19="","",IFERROR(VLOOKUP(B19,설계사_메모!$A$3:$G$302,4,FALSE)&amp;"",""))</f>
        <v/>
      </c>
      <c r="L19" s="6">
        <f>IF(B19="","",IF(COUNTIF('4.방문기록'!$B$3:$B$502,B19)=0,"",_xlfn.MAXIFS('4.방문기록'!$A$3:$A$502,'4.방문기록'!$B$3:$B$502,B19)))</f>
        <v/>
      </c>
      <c r="M19">
        <f>IF(L19="","",설정!$B$24-L19)</f>
        <v/>
      </c>
      <c r="N19" s="6">
        <f>IF(B19="","",IF(_xlfn.MAXIFS('4.방문기록'!$F$3:$F$502,'4.방문기록'!$B$3:$B$502,B19)=0,"",_xlfn.MAXIFS('4.방문기록'!$F$3:$F$502,'4.방문기록'!$B$3:$B$502,B19)))</f>
        <v/>
      </c>
      <c r="O19">
        <f>IF(L19="","",IFERROR(INDEX('4.방문기록'!$H$3:$H$502,MATCH(B19&amp;"|"&amp;(L19*1),'4.방문기록'!$I$3:$I$502,0))&amp;"",""))</f>
        <v/>
      </c>
      <c r="P19">
        <f>IF(B19="","",IF(O19="관심 없음","제외",IF(L19="","안 가봄",IF(M19&gt;=설정!$B$20,M19&amp;"일 지남","최근 방문"))))</f>
        <v/>
      </c>
      <c r="Q19" s="7">
        <f>IF(B19="","",IF(P19="제외","",IF(AND(설정!$B$21&lt;&gt;"",I19&lt;&gt;설정!$B$21),"",IF(AND(N19&lt;&gt;"",N19&gt;N(L19),N19&lt;=설정!$B$24+7),100+7-(N19-설정!$B$24),IF(AND(D19&gt;0,OR(P19="안 가봄",RIGHT(P19,2)="지남")),D19*10+IF(L19="",30,MIN(M19,60)/2)+MIN(N(F19)/1000,20),"")))))</f>
        <v/>
      </c>
      <c r="R19">
        <f>IF(Q19="","",COUNTIF(Q$4:Q$303,"&gt;"&amp;Q19)+COUNTIF(Q$4:Q19,Q19))</f>
        <v/>
      </c>
    </row>
    <row r="20">
      <c r="A20">
        <f>IF(B20="","",17)</f>
        <v/>
      </c>
      <c r="B20">
        <f>IFERROR(INDEX('2.현장'!$V$2:$V$1001,MATCH(17,'2.현장'!$W$2:$W$1001,0)),"")</f>
        <v/>
      </c>
      <c r="C20">
        <f>IF(B20="","",COUNTIFS('2.현장'!$V$2:$V$1001,B20,'2.현장'!$T$2:$T$1001,TRUE))</f>
        <v/>
      </c>
      <c r="D20">
        <f>IF(B20="","",COUNTIFS('2.현장'!$V$2:$V$1001,B20,'2.현장'!$U$2:$U$1001,"설계사"))</f>
        <v/>
      </c>
      <c r="E20">
        <f>IF(B20="","",COUNTIFS('2.현장'!$V$2:$V$1001,B20,'2.현장'!$U$2:$U$1001,"시공사"))</f>
        <v/>
      </c>
      <c r="F20" s="5">
        <f>IF(B20="","",_xlfn.MAXIFS('2.현장'!$D$2:$D$1001,'2.현장'!$V$2:$V$1001,B20,'2.현장'!$T$2:$T$1001,TRUE))</f>
        <v/>
      </c>
      <c r="G20" s="6">
        <f>IF(B20="","",IF(_xlfn.MAXIFS('2.현장'!$L$2:$L$1001,'2.현장'!$V$2:$V$1001,B20,'2.현장'!$T$2:$T$1001,TRUE)=0,"",_xlfn.MAXIFS('2.현장'!$L$2:$L$1001,'2.현장'!$V$2:$V$1001,B20,'2.현장'!$T$2:$T$1001,TRUE)))</f>
        <v/>
      </c>
      <c r="H20">
        <f>IF(B20="","",IFERROR(INDEX('2.현장'!$C$2:$C$1001,IFERROR(MATCH(B20&amp;"|설계사",'2.현장'!$Z$2:$Z$1001,0),IFERROR(MATCH(B20&amp;"|시공사",'2.현장'!$Z$2:$Z$1001,0),MATCH(B20&amp;"|늦음",'2.현장'!$Z$2:$Z$1001,0)))),""))</f>
        <v/>
      </c>
      <c r="I20">
        <f>IF(B20="","",IFERROR(INDEX('2.현장'!$N$2:$N$1001,IFERROR(MATCH(B20&amp;"|설계사",'2.현장'!$Z$2:$Z$1001,0),IFERROR(MATCH(B20&amp;"|시공사",'2.현장'!$Z$2:$Z$1001,0),MATCH(B20&amp;"|늦음",'2.현장'!$Z$2:$Z$1001,0)))),""))</f>
        <v/>
      </c>
      <c r="J20">
        <f>IF(B20="","",IFERROR(VLOOKUP(B20,설계사_메모!$A$3:$G$302,2,FALSE)&amp;"",""))</f>
        <v/>
      </c>
      <c r="K20">
        <f>IF(B20="","",IFERROR(VLOOKUP(B20,설계사_메모!$A$3:$G$302,4,FALSE)&amp;"",""))</f>
        <v/>
      </c>
      <c r="L20" s="6">
        <f>IF(B20="","",IF(COUNTIF('4.방문기록'!$B$3:$B$502,B20)=0,"",_xlfn.MAXIFS('4.방문기록'!$A$3:$A$502,'4.방문기록'!$B$3:$B$502,B20)))</f>
        <v/>
      </c>
      <c r="M20">
        <f>IF(L20="","",설정!$B$24-L20)</f>
        <v/>
      </c>
      <c r="N20" s="6">
        <f>IF(B20="","",IF(_xlfn.MAXIFS('4.방문기록'!$F$3:$F$502,'4.방문기록'!$B$3:$B$502,B20)=0,"",_xlfn.MAXIFS('4.방문기록'!$F$3:$F$502,'4.방문기록'!$B$3:$B$502,B20)))</f>
        <v/>
      </c>
      <c r="O20">
        <f>IF(L20="","",IFERROR(INDEX('4.방문기록'!$H$3:$H$502,MATCH(B20&amp;"|"&amp;(L20*1),'4.방문기록'!$I$3:$I$502,0))&amp;"",""))</f>
        <v/>
      </c>
      <c r="P20">
        <f>IF(B20="","",IF(O20="관심 없음","제외",IF(L20="","안 가봄",IF(M20&gt;=설정!$B$20,M20&amp;"일 지남","최근 방문"))))</f>
        <v/>
      </c>
      <c r="Q20" s="7">
        <f>IF(B20="","",IF(P20="제외","",IF(AND(설정!$B$21&lt;&gt;"",I20&lt;&gt;설정!$B$21),"",IF(AND(N20&lt;&gt;"",N20&gt;N(L20),N20&lt;=설정!$B$24+7),100+7-(N20-설정!$B$24),IF(AND(D20&gt;0,OR(P20="안 가봄",RIGHT(P20,2)="지남")),D20*10+IF(L20="",30,MIN(M20,60)/2)+MIN(N(F20)/1000,20),"")))))</f>
        <v/>
      </c>
      <c r="R20">
        <f>IF(Q20="","",COUNTIF(Q$4:Q$303,"&gt;"&amp;Q20)+COUNTIF(Q$4:Q20,Q20))</f>
        <v/>
      </c>
    </row>
    <row r="21">
      <c r="A21">
        <f>IF(B21="","",18)</f>
        <v/>
      </c>
      <c r="B21">
        <f>IFERROR(INDEX('2.현장'!$V$2:$V$1001,MATCH(18,'2.현장'!$W$2:$W$1001,0)),"")</f>
        <v/>
      </c>
      <c r="C21">
        <f>IF(B21="","",COUNTIFS('2.현장'!$V$2:$V$1001,B21,'2.현장'!$T$2:$T$1001,TRUE))</f>
        <v/>
      </c>
      <c r="D21">
        <f>IF(B21="","",COUNTIFS('2.현장'!$V$2:$V$1001,B21,'2.현장'!$U$2:$U$1001,"설계사"))</f>
        <v/>
      </c>
      <c r="E21">
        <f>IF(B21="","",COUNTIFS('2.현장'!$V$2:$V$1001,B21,'2.현장'!$U$2:$U$1001,"시공사"))</f>
        <v/>
      </c>
      <c r="F21" s="5">
        <f>IF(B21="","",_xlfn.MAXIFS('2.현장'!$D$2:$D$1001,'2.현장'!$V$2:$V$1001,B21,'2.현장'!$T$2:$T$1001,TRUE))</f>
        <v/>
      </c>
      <c r="G21" s="6">
        <f>IF(B21="","",IF(_xlfn.MAXIFS('2.현장'!$L$2:$L$1001,'2.현장'!$V$2:$V$1001,B21,'2.현장'!$T$2:$T$1001,TRUE)=0,"",_xlfn.MAXIFS('2.현장'!$L$2:$L$1001,'2.현장'!$V$2:$V$1001,B21,'2.현장'!$T$2:$T$1001,TRUE)))</f>
        <v/>
      </c>
      <c r="H21">
        <f>IF(B21="","",IFERROR(INDEX('2.현장'!$C$2:$C$1001,IFERROR(MATCH(B21&amp;"|설계사",'2.현장'!$Z$2:$Z$1001,0),IFERROR(MATCH(B21&amp;"|시공사",'2.현장'!$Z$2:$Z$1001,0),MATCH(B21&amp;"|늦음",'2.현장'!$Z$2:$Z$1001,0)))),""))</f>
        <v/>
      </c>
      <c r="I21">
        <f>IF(B21="","",IFERROR(INDEX('2.현장'!$N$2:$N$1001,IFERROR(MATCH(B21&amp;"|설계사",'2.현장'!$Z$2:$Z$1001,0),IFERROR(MATCH(B21&amp;"|시공사",'2.현장'!$Z$2:$Z$1001,0),MATCH(B21&amp;"|늦음",'2.현장'!$Z$2:$Z$1001,0)))),""))</f>
        <v/>
      </c>
      <c r="J21">
        <f>IF(B21="","",IFERROR(VLOOKUP(B21,설계사_메모!$A$3:$G$302,2,FALSE)&amp;"",""))</f>
        <v/>
      </c>
      <c r="K21">
        <f>IF(B21="","",IFERROR(VLOOKUP(B21,설계사_메모!$A$3:$G$302,4,FALSE)&amp;"",""))</f>
        <v/>
      </c>
      <c r="L21" s="6">
        <f>IF(B21="","",IF(COUNTIF('4.방문기록'!$B$3:$B$502,B21)=0,"",_xlfn.MAXIFS('4.방문기록'!$A$3:$A$502,'4.방문기록'!$B$3:$B$502,B21)))</f>
        <v/>
      </c>
      <c r="M21">
        <f>IF(L21="","",설정!$B$24-L21)</f>
        <v/>
      </c>
      <c r="N21" s="6">
        <f>IF(B21="","",IF(_xlfn.MAXIFS('4.방문기록'!$F$3:$F$502,'4.방문기록'!$B$3:$B$502,B21)=0,"",_xlfn.MAXIFS('4.방문기록'!$F$3:$F$502,'4.방문기록'!$B$3:$B$502,B21)))</f>
        <v/>
      </c>
      <c r="O21">
        <f>IF(L21="","",IFERROR(INDEX('4.방문기록'!$H$3:$H$502,MATCH(B21&amp;"|"&amp;(L21*1),'4.방문기록'!$I$3:$I$502,0))&amp;"",""))</f>
        <v/>
      </c>
      <c r="P21">
        <f>IF(B21="","",IF(O21="관심 없음","제외",IF(L21="","안 가봄",IF(M21&gt;=설정!$B$20,M21&amp;"일 지남","최근 방문"))))</f>
        <v/>
      </c>
      <c r="Q21" s="7">
        <f>IF(B21="","",IF(P21="제외","",IF(AND(설정!$B$21&lt;&gt;"",I21&lt;&gt;설정!$B$21),"",IF(AND(N21&lt;&gt;"",N21&gt;N(L21),N21&lt;=설정!$B$24+7),100+7-(N21-설정!$B$24),IF(AND(D21&gt;0,OR(P21="안 가봄",RIGHT(P21,2)="지남")),D21*10+IF(L21="",30,MIN(M21,60)/2)+MIN(N(F21)/1000,20),"")))))</f>
        <v/>
      </c>
      <c r="R21">
        <f>IF(Q21="","",COUNTIF(Q$4:Q$303,"&gt;"&amp;Q21)+COUNTIF(Q$4:Q21,Q21))</f>
        <v/>
      </c>
    </row>
    <row r="22">
      <c r="A22">
        <f>IF(B22="","",19)</f>
        <v/>
      </c>
      <c r="B22">
        <f>IFERROR(INDEX('2.현장'!$V$2:$V$1001,MATCH(19,'2.현장'!$W$2:$W$1001,0)),"")</f>
        <v/>
      </c>
      <c r="C22">
        <f>IF(B22="","",COUNTIFS('2.현장'!$V$2:$V$1001,B22,'2.현장'!$T$2:$T$1001,TRUE))</f>
        <v/>
      </c>
      <c r="D22">
        <f>IF(B22="","",COUNTIFS('2.현장'!$V$2:$V$1001,B22,'2.현장'!$U$2:$U$1001,"설계사"))</f>
        <v/>
      </c>
      <c r="E22">
        <f>IF(B22="","",COUNTIFS('2.현장'!$V$2:$V$1001,B22,'2.현장'!$U$2:$U$1001,"시공사"))</f>
        <v/>
      </c>
      <c r="F22" s="5">
        <f>IF(B22="","",_xlfn.MAXIFS('2.현장'!$D$2:$D$1001,'2.현장'!$V$2:$V$1001,B22,'2.현장'!$T$2:$T$1001,TRUE))</f>
        <v/>
      </c>
      <c r="G22" s="6">
        <f>IF(B22="","",IF(_xlfn.MAXIFS('2.현장'!$L$2:$L$1001,'2.현장'!$V$2:$V$1001,B22,'2.현장'!$T$2:$T$1001,TRUE)=0,"",_xlfn.MAXIFS('2.현장'!$L$2:$L$1001,'2.현장'!$V$2:$V$1001,B22,'2.현장'!$T$2:$T$1001,TRUE)))</f>
        <v/>
      </c>
      <c r="H22">
        <f>IF(B22="","",IFERROR(INDEX('2.현장'!$C$2:$C$1001,IFERROR(MATCH(B22&amp;"|설계사",'2.현장'!$Z$2:$Z$1001,0),IFERROR(MATCH(B22&amp;"|시공사",'2.현장'!$Z$2:$Z$1001,0),MATCH(B22&amp;"|늦음",'2.현장'!$Z$2:$Z$1001,0)))),""))</f>
        <v/>
      </c>
      <c r="I22">
        <f>IF(B22="","",IFERROR(INDEX('2.현장'!$N$2:$N$1001,IFERROR(MATCH(B22&amp;"|설계사",'2.현장'!$Z$2:$Z$1001,0),IFERROR(MATCH(B22&amp;"|시공사",'2.현장'!$Z$2:$Z$1001,0),MATCH(B22&amp;"|늦음",'2.현장'!$Z$2:$Z$1001,0)))),""))</f>
        <v/>
      </c>
      <c r="J22">
        <f>IF(B22="","",IFERROR(VLOOKUP(B22,설계사_메모!$A$3:$G$302,2,FALSE)&amp;"",""))</f>
        <v/>
      </c>
      <c r="K22">
        <f>IF(B22="","",IFERROR(VLOOKUP(B22,설계사_메모!$A$3:$G$302,4,FALSE)&amp;"",""))</f>
        <v/>
      </c>
      <c r="L22" s="6">
        <f>IF(B22="","",IF(COUNTIF('4.방문기록'!$B$3:$B$502,B22)=0,"",_xlfn.MAXIFS('4.방문기록'!$A$3:$A$502,'4.방문기록'!$B$3:$B$502,B22)))</f>
        <v/>
      </c>
      <c r="M22">
        <f>IF(L22="","",설정!$B$24-L22)</f>
        <v/>
      </c>
      <c r="N22" s="6">
        <f>IF(B22="","",IF(_xlfn.MAXIFS('4.방문기록'!$F$3:$F$502,'4.방문기록'!$B$3:$B$502,B22)=0,"",_xlfn.MAXIFS('4.방문기록'!$F$3:$F$502,'4.방문기록'!$B$3:$B$502,B22)))</f>
        <v/>
      </c>
      <c r="O22">
        <f>IF(L22="","",IFERROR(INDEX('4.방문기록'!$H$3:$H$502,MATCH(B22&amp;"|"&amp;(L22*1),'4.방문기록'!$I$3:$I$502,0))&amp;"",""))</f>
        <v/>
      </c>
      <c r="P22">
        <f>IF(B22="","",IF(O22="관심 없음","제외",IF(L22="","안 가봄",IF(M22&gt;=설정!$B$20,M22&amp;"일 지남","최근 방문"))))</f>
        <v/>
      </c>
      <c r="Q22" s="7">
        <f>IF(B22="","",IF(P22="제외","",IF(AND(설정!$B$21&lt;&gt;"",I22&lt;&gt;설정!$B$21),"",IF(AND(N22&lt;&gt;"",N22&gt;N(L22),N22&lt;=설정!$B$24+7),100+7-(N22-설정!$B$24),IF(AND(D22&gt;0,OR(P22="안 가봄",RIGHT(P22,2)="지남")),D22*10+IF(L22="",30,MIN(M22,60)/2)+MIN(N(F22)/1000,20),"")))))</f>
        <v/>
      </c>
      <c r="R22">
        <f>IF(Q22="","",COUNTIF(Q$4:Q$303,"&gt;"&amp;Q22)+COUNTIF(Q$4:Q22,Q22))</f>
        <v/>
      </c>
    </row>
    <row r="23">
      <c r="A23">
        <f>IF(B23="","",20)</f>
        <v/>
      </c>
      <c r="B23">
        <f>IFERROR(INDEX('2.현장'!$V$2:$V$1001,MATCH(20,'2.현장'!$W$2:$W$1001,0)),"")</f>
        <v/>
      </c>
      <c r="C23">
        <f>IF(B23="","",COUNTIFS('2.현장'!$V$2:$V$1001,B23,'2.현장'!$T$2:$T$1001,TRUE))</f>
        <v/>
      </c>
      <c r="D23">
        <f>IF(B23="","",COUNTIFS('2.현장'!$V$2:$V$1001,B23,'2.현장'!$U$2:$U$1001,"설계사"))</f>
        <v/>
      </c>
      <c r="E23">
        <f>IF(B23="","",COUNTIFS('2.현장'!$V$2:$V$1001,B23,'2.현장'!$U$2:$U$1001,"시공사"))</f>
        <v/>
      </c>
      <c r="F23" s="5">
        <f>IF(B23="","",_xlfn.MAXIFS('2.현장'!$D$2:$D$1001,'2.현장'!$V$2:$V$1001,B23,'2.현장'!$T$2:$T$1001,TRUE))</f>
        <v/>
      </c>
      <c r="G23" s="6">
        <f>IF(B23="","",IF(_xlfn.MAXIFS('2.현장'!$L$2:$L$1001,'2.현장'!$V$2:$V$1001,B23,'2.현장'!$T$2:$T$1001,TRUE)=0,"",_xlfn.MAXIFS('2.현장'!$L$2:$L$1001,'2.현장'!$V$2:$V$1001,B23,'2.현장'!$T$2:$T$1001,TRUE)))</f>
        <v/>
      </c>
      <c r="H23">
        <f>IF(B23="","",IFERROR(INDEX('2.현장'!$C$2:$C$1001,IFERROR(MATCH(B23&amp;"|설계사",'2.현장'!$Z$2:$Z$1001,0),IFERROR(MATCH(B23&amp;"|시공사",'2.현장'!$Z$2:$Z$1001,0),MATCH(B23&amp;"|늦음",'2.현장'!$Z$2:$Z$1001,0)))),""))</f>
        <v/>
      </c>
      <c r="I23">
        <f>IF(B23="","",IFERROR(INDEX('2.현장'!$N$2:$N$1001,IFERROR(MATCH(B23&amp;"|설계사",'2.현장'!$Z$2:$Z$1001,0),IFERROR(MATCH(B23&amp;"|시공사",'2.현장'!$Z$2:$Z$1001,0),MATCH(B23&amp;"|늦음",'2.현장'!$Z$2:$Z$1001,0)))),""))</f>
        <v/>
      </c>
      <c r="J23">
        <f>IF(B23="","",IFERROR(VLOOKUP(B23,설계사_메모!$A$3:$G$302,2,FALSE)&amp;"",""))</f>
        <v/>
      </c>
      <c r="K23">
        <f>IF(B23="","",IFERROR(VLOOKUP(B23,설계사_메모!$A$3:$G$302,4,FALSE)&amp;"",""))</f>
        <v/>
      </c>
      <c r="L23" s="6">
        <f>IF(B23="","",IF(COUNTIF('4.방문기록'!$B$3:$B$502,B23)=0,"",_xlfn.MAXIFS('4.방문기록'!$A$3:$A$502,'4.방문기록'!$B$3:$B$502,B23)))</f>
        <v/>
      </c>
      <c r="M23">
        <f>IF(L23="","",설정!$B$24-L23)</f>
        <v/>
      </c>
      <c r="N23" s="6">
        <f>IF(B23="","",IF(_xlfn.MAXIFS('4.방문기록'!$F$3:$F$502,'4.방문기록'!$B$3:$B$502,B23)=0,"",_xlfn.MAXIFS('4.방문기록'!$F$3:$F$502,'4.방문기록'!$B$3:$B$502,B23)))</f>
        <v/>
      </c>
      <c r="O23">
        <f>IF(L23="","",IFERROR(INDEX('4.방문기록'!$H$3:$H$502,MATCH(B23&amp;"|"&amp;(L23*1),'4.방문기록'!$I$3:$I$502,0))&amp;"",""))</f>
        <v/>
      </c>
      <c r="P23">
        <f>IF(B23="","",IF(O23="관심 없음","제외",IF(L23="","안 가봄",IF(M23&gt;=설정!$B$20,M23&amp;"일 지남","최근 방문"))))</f>
        <v/>
      </c>
      <c r="Q23" s="7">
        <f>IF(B23="","",IF(P23="제외","",IF(AND(설정!$B$21&lt;&gt;"",I23&lt;&gt;설정!$B$21),"",IF(AND(N23&lt;&gt;"",N23&gt;N(L23),N23&lt;=설정!$B$24+7),100+7-(N23-설정!$B$24),IF(AND(D23&gt;0,OR(P23="안 가봄",RIGHT(P23,2)="지남")),D23*10+IF(L23="",30,MIN(M23,60)/2)+MIN(N(F23)/1000,20),"")))))</f>
        <v/>
      </c>
      <c r="R23">
        <f>IF(Q23="","",COUNTIF(Q$4:Q$303,"&gt;"&amp;Q23)+COUNTIF(Q$4:Q23,Q23))</f>
        <v/>
      </c>
    </row>
    <row r="24">
      <c r="A24">
        <f>IF(B24="","",21)</f>
        <v/>
      </c>
      <c r="B24">
        <f>IFERROR(INDEX('2.현장'!$V$2:$V$1001,MATCH(21,'2.현장'!$W$2:$W$1001,0)),"")</f>
        <v/>
      </c>
      <c r="C24">
        <f>IF(B24="","",COUNTIFS('2.현장'!$V$2:$V$1001,B24,'2.현장'!$T$2:$T$1001,TRUE))</f>
        <v/>
      </c>
      <c r="D24">
        <f>IF(B24="","",COUNTIFS('2.현장'!$V$2:$V$1001,B24,'2.현장'!$U$2:$U$1001,"설계사"))</f>
        <v/>
      </c>
      <c r="E24">
        <f>IF(B24="","",COUNTIFS('2.현장'!$V$2:$V$1001,B24,'2.현장'!$U$2:$U$1001,"시공사"))</f>
        <v/>
      </c>
      <c r="F24" s="5">
        <f>IF(B24="","",_xlfn.MAXIFS('2.현장'!$D$2:$D$1001,'2.현장'!$V$2:$V$1001,B24,'2.현장'!$T$2:$T$1001,TRUE))</f>
        <v/>
      </c>
      <c r="G24" s="6">
        <f>IF(B24="","",IF(_xlfn.MAXIFS('2.현장'!$L$2:$L$1001,'2.현장'!$V$2:$V$1001,B24,'2.현장'!$T$2:$T$1001,TRUE)=0,"",_xlfn.MAXIFS('2.현장'!$L$2:$L$1001,'2.현장'!$V$2:$V$1001,B24,'2.현장'!$T$2:$T$1001,TRUE)))</f>
        <v/>
      </c>
      <c r="H24">
        <f>IF(B24="","",IFERROR(INDEX('2.현장'!$C$2:$C$1001,IFERROR(MATCH(B24&amp;"|설계사",'2.현장'!$Z$2:$Z$1001,0),IFERROR(MATCH(B24&amp;"|시공사",'2.현장'!$Z$2:$Z$1001,0),MATCH(B24&amp;"|늦음",'2.현장'!$Z$2:$Z$1001,0)))),""))</f>
        <v/>
      </c>
      <c r="I24">
        <f>IF(B24="","",IFERROR(INDEX('2.현장'!$N$2:$N$1001,IFERROR(MATCH(B24&amp;"|설계사",'2.현장'!$Z$2:$Z$1001,0),IFERROR(MATCH(B24&amp;"|시공사",'2.현장'!$Z$2:$Z$1001,0),MATCH(B24&amp;"|늦음",'2.현장'!$Z$2:$Z$1001,0)))),""))</f>
        <v/>
      </c>
      <c r="J24">
        <f>IF(B24="","",IFERROR(VLOOKUP(B24,설계사_메모!$A$3:$G$302,2,FALSE)&amp;"",""))</f>
        <v/>
      </c>
      <c r="K24">
        <f>IF(B24="","",IFERROR(VLOOKUP(B24,설계사_메모!$A$3:$G$302,4,FALSE)&amp;"",""))</f>
        <v/>
      </c>
      <c r="L24" s="6">
        <f>IF(B24="","",IF(COUNTIF('4.방문기록'!$B$3:$B$502,B24)=0,"",_xlfn.MAXIFS('4.방문기록'!$A$3:$A$502,'4.방문기록'!$B$3:$B$502,B24)))</f>
        <v/>
      </c>
      <c r="M24">
        <f>IF(L24="","",설정!$B$24-L24)</f>
        <v/>
      </c>
      <c r="N24" s="6">
        <f>IF(B24="","",IF(_xlfn.MAXIFS('4.방문기록'!$F$3:$F$502,'4.방문기록'!$B$3:$B$502,B24)=0,"",_xlfn.MAXIFS('4.방문기록'!$F$3:$F$502,'4.방문기록'!$B$3:$B$502,B24)))</f>
        <v/>
      </c>
      <c r="O24">
        <f>IF(L24="","",IFERROR(INDEX('4.방문기록'!$H$3:$H$502,MATCH(B24&amp;"|"&amp;(L24*1),'4.방문기록'!$I$3:$I$502,0))&amp;"",""))</f>
        <v/>
      </c>
      <c r="P24">
        <f>IF(B24="","",IF(O24="관심 없음","제외",IF(L24="","안 가봄",IF(M24&gt;=설정!$B$20,M24&amp;"일 지남","최근 방문"))))</f>
        <v/>
      </c>
      <c r="Q24" s="7">
        <f>IF(B24="","",IF(P24="제외","",IF(AND(설정!$B$21&lt;&gt;"",I24&lt;&gt;설정!$B$21),"",IF(AND(N24&lt;&gt;"",N24&gt;N(L24),N24&lt;=설정!$B$24+7),100+7-(N24-설정!$B$24),IF(AND(D24&gt;0,OR(P24="안 가봄",RIGHT(P24,2)="지남")),D24*10+IF(L24="",30,MIN(M24,60)/2)+MIN(N(F24)/1000,20),"")))))</f>
        <v/>
      </c>
      <c r="R24">
        <f>IF(Q24="","",COUNTIF(Q$4:Q$303,"&gt;"&amp;Q24)+COUNTIF(Q$4:Q24,Q24))</f>
        <v/>
      </c>
    </row>
    <row r="25">
      <c r="A25">
        <f>IF(B25="","",22)</f>
        <v/>
      </c>
      <c r="B25">
        <f>IFERROR(INDEX('2.현장'!$V$2:$V$1001,MATCH(22,'2.현장'!$W$2:$W$1001,0)),"")</f>
        <v/>
      </c>
      <c r="C25">
        <f>IF(B25="","",COUNTIFS('2.현장'!$V$2:$V$1001,B25,'2.현장'!$T$2:$T$1001,TRUE))</f>
        <v/>
      </c>
      <c r="D25">
        <f>IF(B25="","",COUNTIFS('2.현장'!$V$2:$V$1001,B25,'2.현장'!$U$2:$U$1001,"설계사"))</f>
        <v/>
      </c>
      <c r="E25">
        <f>IF(B25="","",COUNTIFS('2.현장'!$V$2:$V$1001,B25,'2.현장'!$U$2:$U$1001,"시공사"))</f>
        <v/>
      </c>
      <c r="F25" s="5">
        <f>IF(B25="","",_xlfn.MAXIFS('2.현장'!$D$2:$D$1001,'2.현장'!$V$2:$V$1001,B25,'2.현장'!$T$2:$T$1001,TRUE))</f>
        <v/>
      </c>
      <c r="G25" s="6">
        <f>IF(B25="","",IF(_xlfn.MAXIFS('2.현장'!$L$2:$L$1001,'2.현장'!$V$2:$V$1001,B25,'2.현장'!$T$2:$T$1001,TRUE)=0,"",_xlfn.MAXIFS('2.현장'!$L$2:$L$1001,'2.현장'!$V$2:$V$1001,B25,'2.현장'!$T$2:$T$1001,TRUE)))</f>
        <v/>
      </c>
      <c r="H25">
        <f>IF(B25="","",IFERROR(INDEX('2.현장'!$C$2:$C$1001,IFERROR(MATCH(B25&amp;"|설계사",'2.현장'!$Z$2:$Z$1001,0),IFERROR(MATCH(B25&amp;"|시공사",'2.현장'!$Z$2:$Z$1001,0),MATCH(B25&amp;"|늦음",'2.현장'!$Z$2:$Z$1001,0)))),""))</f>
        <v/>
      </c>
      <c r="I25">
        <f>IF(B25="","",IFERROR(INDEX('2.현장'!$N$2:$N$1001,IFERROR(MATCH(B25&amp;"|설계사",'2.현장'!$Z$2:$Z$1001,0),IFERROR(MATCH(B25&amp;"|시공사",'2.현장'!$Z$2:$Z$1001,0),MATCH(B25&amp;"|늦음",'2.현장'!$Z$2:$Z$1001,0)))),""))</f>
        <v/>
      </c>
      <c r="J25">
        <f>IF(B25="","",IFERROR(VLOOKUP(B25,설계사_메모!$A$3:$G$302,2,FALSE)&amp;"",""))</f>
        <v/>
      </c>
      <c r="K25">
        <f>IF(B25="","",IFERROR(VLOOKUP(B25,설계사_메모!$A$3:$G$302,4,FALSE)&amp;"",""))</f>
        <v/>
      </c>
      <c r="L25" s="6">
        <f>IF(B25="","",IF(COUNTIF('4.방문기록'!$B$3:$B$502,B25)=0,"",_xlfn.MAXIFS('4.방문기록'!$A$3:$A$502,'4.방문기록'!$B$3:$B$502,B25)))</f>
        <v/>
      </c>
      <c r="M25">
        <f>IF(L25="","",설정!$B$24-L25)</f>
        <v/>
      </c>
      <c r="N25" s="6">
        <f>IF(B25="","",IF(_xlfn.MAXIFS('4.방문기록'!$F$3:$F$502,'4.방문기록'!$B$3:$B$502,B25)=0,"",_xlfn.MAXIFS('4.방문기록'!$F$3:$F$502,'4.방문기록'!$B$3:$B$502,B25)))</f>
        <v/>
      </c>
      <c r="O25">
        <f>IF(L25="","",IFERROR(INDEX('4.방문기록'!$H$3:$H$502,MATCH(B25&amp;"|"&amp;(L25*1),'4.방문기록'!$I$3:$I$502,0))&amp;"",""))</f>
        <v/>
      </c>
      <c r="P25">
        <f>IF(B25="","",IF(O25="관심 없음","제외",IF(L25="","안 가봄",IF(M25&gt;=설정!$B$20,M25&amp;"일 지남","최근 방문"))))</f>
        <v/>
      </c>
      <c r="Q25" s="7">
        <f>IF(B25="","",IF(P25="제외","",IF(AND(설정!$B$21&lt;&gt;"",I25&lt;&gt;설정!$B$21),"",IF(AND(N25&lt;&gt;"",N25&gt;N(L25),N25&lt;=설정!$B$24+7),100+7-(N25-설정!$B$24),IF(AND(D25&gt;0,OR(P25="안 가봄",RIGHT(P25,2)="지남")),D25*10+IF(L25="",30,MIN(M25,60)/2)+MIN(N(F25)/1000,20),"")))))</f>
        <v/>
      </c>
      <c r="R25">
        <f>IF(Q25="","",COUNTIF(Q$4:Q$303,"&gt;"&amp;Q25)+COUNTIF(Q$4:Q25,Q25))</f>
        <v/>
      </c>
    </row>
    <row r="26">
      <c r="A26">
        <f>IF(B26="","",23)</f>
        <v/>
      </c>
      <c r="B26">
        <f>IFERROR(INDEX('2.현장'!$V$2:$V$1001,MATCH(23,'2.현장'!$W$2:$W$1001,0)),"")</f>
        <v/>
      </c>
      <c r="C26">
        <f>IF(B26="","",COUNTIFS('2.현장'!$V$2:$V$1001,B26,'2.현장'!$T$2:$T$1001,TRUE))</f>
        <v/>
      </c>
      <c r="D26">
        <f>IF(B26="","",COUNTIFS('2.현장'!$V$2:$V$1001,B26,'2.현장'!$U$2:$U$1001,"설계사"))</f>
        <v/>
      </c>
      <c r="E26">
        <f>IF(B26="","",COUNTIFS('2.현장'!$V$2:$V$1001,B26,'2.현장'!$U$2:$U$1001,"시공사"))</f>
        <v/>
      </c>
      <c r="F26" s="5">
        <f>IF(B26="","",_xlfn.MAXIFS('2.현장'!$D$2:$D$1001,'2.현장'!$V$2:$V$1001,B26,'2.현장'!$T$2:$T$1001,TRUE))</f>
        <v/>
      </c>
      <c r="G26" s="6">
        <f>IF(B26="","",IF(_xlfn.MAXIFS('2.현장'!$L$2:$L$1001,'2.현장'!$V$2:$V$1001,B26,'2.현장'!$T$2:$T$1001,TRUE)=0,"",_xlfn.MAXIFS('2.현장'!$L$2:$L$1001,'2.현장'!$V$2:$V$1001,B26,'2.현장'!$T$2:$T$1001,TRUE)))</f>
        <v/>
      </c>
      <c r="H26">
        <f>IF(B26="","",IFERROR(INDEX('2.현장'!$C$2:$C$1001,IFERROR(MATCH(B26&amp;"|설계사",'2.현장'!$Z$2:$Z$1001,0),IFERROR(MATCH(B26&amp;"|시공사",'2.현장'!$Z$2:$Z$1001,0),MATCH(B26&amp;"|늦음",'2.현장'!$Z$2:$Z$1001,0)))),""))</f>
        <v/>
      </c>
      <c r="I26">
        <f>IF(B26="","",IFERROR(INDEX('2.현장'!$N$2:$N$1001,IFERROR(MATCH(B26&amp;"|설계사",'2.현장'!$Z$2:$Z$1001,0),IFERROR(MATCH(B26&amp;"|시공사",'2.현장'!$Z$2:$Z$1001,0),MATCH(B26&amp;"|늦음",'2.현장'!$Z$2:$Z$1001,0)))),""))</f>
        <v/>
      </c>
      <c r="J26">
        <f>IF(B26="","",IFERROR(VLOOKUP(B26,설계사_메모!$A$3:$G$302,2,FALSE)&amp;"",""))</f>
        <v/>
      </c>
      <c r="K26">
        <f>IF(B26="","",IFERROR(VLOOKUP(B26,설계사_메모!$A$3:$G$302,4,FALSE)&amp;"",""))</f>
        <v/>
      </c>
      <c r="L26" s="6">
        <f>IF(B26="","",IF(COUNTIF('4.방문기록'!$B$3:$B$502,B26)=0,"",_xlfn.MAXIFS('4.방문기록'!$A$3:$A$502,'4.방문기록'!$B$3:$B$502,B26)))</f>
        <v/>
      </c>
      <c r="M26">
        <f>IF(L26="","",설정!$B$24-L26)</f>
        <v/>
      </c>
      <c r="N26" s="6">
        <f>IF(B26="","",IF(_xlfn.MAXIFS('4.방문기록'!$F$3:$F$502,'4.방문기록'!$B$3:$B$502,B26)=0,"",_xlfn.MAXIFS('4.방문기록'!$F$3:$F$502,'4.방문기록'!$B$3:$B$502,B26)))</f>
        <v/>
      </c>
      <c r="O26">
        <f>IF(L26="","",IFERROR(INDEX('4.방문기록'!$H$3:$H$502,MATCH(B26&amp;"|"&amp;(L26*1),'4.방문기록'!$I$3:$I$502,0))&amp;"",""))</f>
        <v/>
      </c>
      <c r="P26">
        <f>IF(B26="","",IF(O26="관심 없음","제외",IF(L26="","안 가봄",IF(M26&gt;=설정!$B$20,M26&amp;"일 지남","최근 방문"))))</f>
        <v/>
      </c>
      <c r="Q26" s="7">
        <f>IF(B26="","",IF(P26="제외","",IF(AND(설정!$B$21&lt;&gt;"",I26&lt;&gt;설정!$B$21),"",IF(AND(N26&lt;&gt;"",N26&gt;N(L26),N26&lt;=설정!$B$24+7),100+7-(N26-설정!$B$24),IF(AND(D26&gt;0,OR(P26="안 가봄",RIGHT(P26,2)="지남")),D26*10+IF(L26="",30,MIN(M26,60)/2)+MIN(N(F26)/1000,20),"")))))</f>
        <v/>
      </c>
      <c r="R26">
        <f>IF(Q26="","",COUNTIF(Q$4:Q$303,"&gt;"&amp;Q26)+COUNTIF(Q$4:Q26,Q26))</f>
        <v/>
      </c>
    </row>
    <row r="27">
      <c r="A27">
        <f>IF(B27="","",24)</f>
        <v/>
      </c>
      <c r="B27">
        <f>IFERROR(INDEX('2.현장'!$V$2:$V$1001,MATCH(24,'2.현장'!$W$2:$W$1001,0)),"")</f>
        <v/>
      </c>
      <c r="C27">
        <f>IF(B27="","",COUNTIFS('2.현장'!$V$2:$V$1001,B27,'2.현장'!$T$2:$T$1001,TRUE))</f>
        <v/>
      </c>
      <c r="D27">
        <f>IF(B27="","",COUNTIFS('2.현장'!$V$2:$V$1001,B27,'2.현장'!$U$2:$U$1001,"설계사"))</f>
        <v/>
      </c>
      <c r="E27">
        <f>IF(B27="","",COUNTIFS('2.현장'!$V$2:$V$1001,B27,'2.현장'!$U$2:$U$1001,"시공사"))</f>
        <v/>
      </c>
      <c r="F27" s="5">
        <f>IF(B27="","",_xlfn.MAXIFS('2.현장'!$D$2:$D$1001,'2.현장'!$V$2:$V$1001,B27,'2.현장'!$T$2:$T$1001,TRUE))</f>
        <v/>
      </c>
      <c r="G27" s="6">
        <f>IF(B27="","",IF(_xlfn.MAXIFS('2.현장'!$L$2:$L$1001,'2.현장'!$V$2:$V$1001,B27,'2.현장'!$T$2:$T$1001,TRUE)=0,"",_xlfn.MAXIFS('2.현장'!$L$2:$L$1001,'2.현장'!$V$2:$V$1001,B27,'2.현장'!$T$2:$T$1001,TRUE)))</f>
        <v/>
      </c>
      <c r="H27">
        <f>IF(B27="","",IFERROR(INDEX('2.현장'!$C$2:$C$1001,IFERROR(MATCH(B27&amp;"|설계사",'2.현장'!$Z$2:$Z$1001,0),IFERROR(MATCH(B27&amp;"|시공사",'2.현장'!$Z$2:$Z$1001,0),MATCH(B27&amp;"|늦음",'2.현장'!$Z$2:$Z$1001,0)))),""))</f>
        <v/>
      </c>
      <c r="I27">
        <f>IF(B27="","",IFERROR(INDEX('2.현장'!$N$2:$N$1001,IFERROR(MATCH(B27&amp;"|설계사",'2.현장'!$Z$2:$Z$1001,0),IFERROR(MATCH(B27&amp;"|시공사",'2.현장'!$Z$2:$Z$1001,0),MATCH(B27&amp;"|늦음",'2.현장'!$Z$2:$Z$1001,0)))),""))</f>
        <v/>
      </c>
      <c r="J27">
        <f>IF(B27="","",IFERROR(VLOOKUP(B27,설계사_메모!$A$3:$G$302,2,FALSE)&amp;"",""))</f>
        <v/>
      </c>
      <c r="K27">
        <f>IF(B27="","",IFERROR(VLOOKUP(B27,설계사_메모!$A$3:$G$302,4,FALSE)&amp;"",""))</f>
        <v/>
      </c>
      <c r="L27" s="6">
        <f>IF(B27="","",IF(COUNTIF('4.방문기록'!$B$3:$B$502,B27)=0,"",_xlfn.MAXIFS('4.방문기록'!$A$3:$A$502,'4.방문기록'!$B$3:$B$502,B27)))</f>
        <v/>
      </c>
      <c r="M27">
        <f>IF(L27="","",설정!$B$24-L27)</f>
        <v/>
      </c>
      <c r="N27" s="6">
        <f>IF(B27="","",IF(_xlfn.MAXIFS('4.방문기록'!$F$3:$F$502,'4.방문기록'!$B$3:$B$502,B27)=0,"",_xlfn.MAXIFS('4.방문기록'!$F$3:$F$502,'4.방문기록'!$B$3:$B$502,B27)))</f>
        <v/>
      </c>
      <c r="O27">
        <f>IF(L27="","",IFERROR(INDEX('4.방문기록'!$H$3:$H$502,MATCH(B27&amp;"|"&amp;(L27*1),'4.방문기록'!$I$3:$I$502,0))&amp;"",""))</f>
        <v/>
      </c>
      <c r="P27">
        <f>IF(B27="","",IF(O27="관심 없음","제외",IF(L27="","안 가봄",IF(M27&gt;=설정!$B$20,M27&amp;"일 지남","최근 방문"))))</f>
        <v/>
      </c>
      <c r="Q27" s="7">
        <f>IF(B27="","",IF(P27="제외","",IF(AND(설정!$B$21&lt;&gt;"",I27&lt;&gt;설정!$B$21),"",IF(AND(N27&lt;&gt;"",N27&gt;N(L27),N27&lt;=설정!$B$24+7),100+7-(N27-설정!$B$24),IF(AND(D27&gt;0,OR(P27="안 가봄",RIGHT(P27,2)="지남")),D27*10+IF(L27="",30,MIN(M27,60)/2)+MIN(N(F27)/1000,20),"")))))</f>
        <v/>
      </c>
      <c r="R27">
        <f>IF(Q27="","",COUNTIF(Q$4:Q$303,"&gt;"&amp;Q27)+COUNTIF(Q$4:Q27,Q27))</f>
        <v/>
      </c>
    </row>
    <row r="28">
      <c r="A28">
        <f>IF(B28="","",25)</f>
        <v/>
      </c>
      <c r="B28">
        <f>IFERROR(INDEX('2.현장'!$V$2:$V$1001,MATCH(25,'2.현장'!$W$2:$W$1001,0)),"")</f>
        <v/>
      </c>
      <c r="C28">
        <f>IF(B28="","",COUNTIFS('2.현장'!$V$2:$V$1001,B28,'2.현장'!$T$2:$T$1001,TRUE))</f>
        <v/>
      </c>
      <c r="D28">
        <f>IF(B28="","",COUNTIFS('2.현장'!$V$2:$V$1001,B28,'2.현장'!$U$2:$U$1001,"설계사"))</f>
        <v/>
      </c>
      <c r="E28">
        <f>IF(B28="","",COUNTIFS('2.현장'!$V$2:$V$1001,B28,'2.현장'!$U$2:$U$1001,"시공사"))</f>
        <v/>
      </c>
      <c r="F28" s="5">
        <f>IF(B28="","",_xlfn.MAXIFS('2.현장'!$D$2:$D$1001,'2.현장'!$V$2:$V$1001,B28,'2.현장'!$T$2:$T$1001,TRUE))</f>
        <v/>
      </c>
      <c r="G28" s="6">
        <f>IF(B28="","",IF(_xlfn.MAXIFS('2.현장'!$L$2:$L$1001,'2.현장'!$V$2:$V$1001,B28,'2.현장'!$T$2:$T$1001,TRUE)=0,"",_xlfn.MAXIFS('2.현장'!$L$2:$L$1001,'2.현장'!$V$2:$V$1001,B28,'2.현장'!$T$2:$T$1001,TRUE)))</f>
        <v/>
      </c>
      <c r="H28">
        <f>IF(B28="","",IFERROR(INDEX('2.현장'!$C$2:$C$1001,IFERROR(MATCH(B28&amp;"|설계사",'2.현장'!$Z$2:$Z$1001,0),IFERROR(MATCH(B28&amp;"|시공사",'2.현장'!$Z$2:$Z$1001,0),MATCH(B28&amp;"|늦음",'2.현장'!$Z$2:$Z$1001,0)))),""))</f>
        <v/>
      </c>
      <c r="I28">
        <f>IF(B28="","",IFERROR(INDEX('2.현장'!$N$2:$N$1001,IFERROR(MATCH(B28&amp;"|설계사",'2.현장'!$Z$2:$Z$1001,0),IFERROR(MATCH(B28&amp;"|시공사",'2.현장'!$Z$2:$Z$1001,0),MATCH(B28&amp;"|늦음",'2.현장'!$Z$2:$Z$1001,0)))),""))</f>
        <v/>
      </c>
      <c r="J28">
        <f>IF(B28="","",IFERROR(VLOOKUP(B28,설계사_메모!$A$3:$G$302,2,FALSE)&amp;"",""))</f>
        <v/>
      </c>
      <c r="K28">
        <f>IF(B28="","",IFERROR(VLOOKUP(B28,설계사_메모!$A$3:$G$302,4,FALSE)&amp;"",""))</f>
        <v/>
      </c>
      <c r="L28" s="6">
        <f>IF(B28="","",IF(COUNTIF('4.방문기록'!$B$3:$B$502,B28)=0,"",_xlfn.MAXIFS('4.방문기록'!$A$3:$A$502,'4.방문기록'!$B$3:$B$502,B28)))</f>
        <v/>
      </c>
      <c r="M28">
        <f>IF(L28="","",설정!$B$24-L28)</f>
        <v/>
      </c>
      <c r="N28" s="6">
        <f>IF(B28="","",IF(_xlfn.MAXIFS('4.방문기록'!$F$3:$F$502,'4.방문기록'!$B$3:$B$502,B28)=0,"",_xlfn.MAXIFS('4.방문기록'!$F$3:$F$502,'4.방문기록'!$B$3:$B$502,B28)))</f>
        <v/>
      </c>
      <c r="O28">
        <f>IF(L28="","",IFERROR(INDEX('4.방문기록'!$H$3:$H$502,MATCH(B28&amp;"|"&amp;(L28*1),'4.방문기록'!$I$3:$I$502,0))&amp;"",""))</f>
        <v/>
      </c>
      <c r="P28">
        <f>IF(B28="","",IF(O28="관심 없음","제외",IF(L28="","안 가봄",IF(M28&gt;=설정!$B$20,M28&amp;"일 지남","최근 방문"))))</f>
        <v/>
      </c>
      <c r="Q28" s="7">
        <f>IF(B28="","",IF(P28="제외","",IF(AND(설정!$B$21&lt;&gt;"",I28&lt;&gt;설정!$B$21),"",IF(AND(N28&lt;&gt;"",N28&gt;N(L28),N28&lt;=설정!$B$24+7),100+7-(N28-설정!$B$24),IF(AND(D28&gt;0,OR(P28="안 가봄",RIGHT(P28,2)="지남")),D28*10+IF(L28="",30,MIN(M28,60)/2)+MIN(N(F28)/1000,20),"")))))</f>
        <v/>
      </c>
      <c r="R28">
        <f>IF(Q28="","",COUNTIF(Q$4:Q$303,"&gt;"&amp;Q28)+COUNTIF(Q$4:Q28,Q28))</f>
        <v/>
      </c>
    </row>
    <row r="29">
      <c r="A29">
        <f>IF(B29="","",26)</f>
        <v/>
      </c>
      <c r="B29">
        <f>IFERROR(INDEX('2.현장'!$V$2:$V$1001,MATCH(26,'2.현장'!$W$2:$W$1001,0)),"")</f>
        <v/>
      </c>
      <c r="C29">
        <f>IF(B29="","",COUNTIFS('2.현장'!$V$2:$V$1001,B29,'2.현장'!$T$2:$T$1001,TRUE))</f>
        <v/>
      </c>
      <c r="D29">
        <f>IF(B29="","",COUNTIFS('2.현장'!$V$2:$V$1001,B29,'2.현장'!$U$2:$U$1001,"설계사"))</f>
        <v/>
      </c>
      <c r="E29">
        <f>IF(B29="","",COUNTIFS('2.현장'!$V$2:$V$1001,B29,'2.현장'!$U$2:$U$1001,"시공사"))</f>
        <v/>
      </c>
      <c r="F29" s="5">
        <f>IF(B29="","",_xlfn.MAXIFS('2.현장'!$D$2:$D$1001,'2.현장'!$V$2:$V$1001,B29,'2.현장'!$T$2:$T$1001,TRUE))</f>
        <v/>
      </c>
      <c r="G29" s="6">
        <f>IF(B29="","",IF(_xlfn.MAXIFS('2.현장'!$L$2:$L$1001,'2.현장'!$V$2:$V$1001,B29,'2.현장'!$T$2:$T$1001,TRUE)=0,"",_xlfn.MAXIFS('2.현장'!$L$2:$L$1001,'2.현장'!$V$2:$V$1001,B29,'2.현장'!$T$2:$T$1001,TRUE)))</f>
        <v/>
      </c>
      <c r="H29">
        <f>IF(B29="","",IFERROR(INDEX('2.현장'!$C$2:$C$1001,IFERROR(MATCH(B29&amp;"|설계사",'2.현장'!$Z$2:$Z$1001,0),IFERROR(MATCH(B29&amp;"|시공사",'2.현장'!$Z$2:$Z$1001,0),MATCH(B29&amp;"|늦음",'2.현장'!$Z$2:$Z$1001,0)))),""))</f>
        <v/>
      </c>
      <c r="I29">
        <f>IF(B29="","",IFERROR(INDEX('2.현장'!$N$2:$N$1001,IFERROR(MATCH(B29&amp;"|설계사",'2.현장'!$Z$2:$Z$1001,0),IFERROR(MATCH(B29&amp;"|시공사",'2.현장'!$Z$2:$Z$1001,0),MATCH(B29&amp;"|늦음",'2.현장'!$Z$2:$Z$1001,0)))),""))</f>
        <v/>
      </c>
      <c r="J29">
        <f>IF(B29="","",IFERROR(VLOOKUP(B29,설계사_메모!$A$3:$G$302,2,FALSE)&amp;"",""))</f>
        <v/>
      </c>
      <c r="K29">
        <f>IF(B29="","",IFERROR(VLOOKUP(B29,설계사_메모!$A$3:$G$302,4,FALSE)&amp;"",""))</f>
        <v/>
      </c>
      <c r="L29" s="6">
        <f>IF(B29="","",IF(COUNTIF('4.방문기록'!$B$3:$B$502,B29)=0,"",_xlfn.MAXIFS('4.방문기록'!$A$3:$A$502,'4.방문기록'!$B$3:$B$502,B29)))</f>
        <v/>
      </c>
      <c r="M29">
        <f>IF(L29="","",설정!$B$24-L29)</f>
        <v/>
      </c>
      <c r="N29" s="6">
        <f>IF(B29="","",IF(_xlfn.MAXIFS('4.방문기록'!$F$3:$F$502,'4.방문기록'!$B$3:$B$502,B29)=0,"",_xlfn.MAXIFS('4.방문기록'!$F$3:$F$502,'4.방문기록'!$B$3:$B$502,B29)))</f>
        <v/>
      </c>
      <c r="O29">
        <f>IF(L29="","",IFERROR(INDEX('4.방문기록'!$H$3:$H$502,MATCH(B29&amp;"|"&amp;(L29*1),'4.방문기록'!$I$3:$I$502,0))&amp;"",""))</f>
        <v/>
      </c>
      <c r="P29">
        <f>IF(B29="","",IF(O29="관심 없음","제외",IF(L29="","안 가봄",IF(M29&gt;=설정!$B$20,M29&amp;"일 지남","최근 방문"))))</f>
        <v/>
      </c>
      <c r="Q29" s="7">
        <f>IF(B29="","",IF(P29="제외","",IF(AND(설정!$B$21&lt;&gt;"",I29&lt;&gt;설정!$B$21),"",IF(AND(N29&lt;&gt;"",N29&gt;N(L29),N29&lt;=설정!$B$24+7),100+7-(N29-설정!$B$24),IF(AND(D29&gt;0,OR(P29="안 가봄",RIGHT(P29,2)="지남")),D29*10+IF(L29="",30,MIN(M29,60)/2)+MIN(N(F29)/1000,20),"")))))</f>
        <v/>
      </c>
      <c r="R29">
        <f>IF(Q29="","",COUNTIF(Q$4:Q$303,"&gt;"&amp;Q29)+COUNTIF(Q$4:Q29,Q29))</f>
        <v/>
      </c>
    </row>
    <row r="30">
      <c r="A30">
        <f>IF(B30="","",27)</f>
        <v/>
      </c>
      <c r="B30">
        <f>IFERROR(INDEX('2.현장'!$V$2:$V$1001,MATCH(27,'2.현장'!$W$2:$W$1001,0)),"")</f>
        <v/>
      </c>
      <c r="C30">
        <f>IF(B30="","",COUNTIFS('2.현장'!$V$2:$V$1001,B30,'2.현장'!$T$2:$T$1001,TRUE))</f>
        <v/>
      </c>
      <c r="D30">
        <f>IF(B30="","",COUNTIFS('2.현장'!$V$2:$V$1001,B30,'2.현장'!$U$2:$U$1001,"설계사"))</f>
        <v/>
      </c>
      <c r="E30">
        <f>IF(B30="","",COUNTIFS('2.현장'!$V$2:$V$1001,B30,'2.현장'!$U$2:$U$1001,"시공사"))</f>
        <v/>
      </c>
      <c r="F30" s="5">
        <f>IF(B30="","",_xlfn.MAXIFS('2.현장'!$D$2:$D$1001,'2.현장'!$V$2:$V$1001,B30,'2.현장'!$T$2:$T$1001,TRUE))</f>
        <v/>
      </c>
      <c r="G30" s="6">
        <f>IF(B30="","",IF(_xlfn.MAXIFS('2.현장'!$L$2:$L$1001,'2.현장'!$V$2:$V$1001,B30,'2.현장'!$T$2:$T$1001,TRUE)=0,"",_xlfn.MAXIFS('2.현장'!$L$2:$L$1001,'2.현장'!$V$2:$V$1001,B30,'2.현장'!$T$2:$T$1001,TRUE)))</f>
        <v/>
      </c>
      <c r="H30">
        <f>IF(B30="","",IFERROR(INDEX('2.현장'!$C$2:$C$1001,IFERROR(MATCH(B30&amp;"|설계사",'2.현장'!$Z$2:$Z$1001,0),IFERROR(MATCH(B30&amp;"|시공사",'2.현장'!$Z$2:$Z$1001,0),MATCH(B30&amp;"|늦음",'2.현장'!$Z$2:$Z$1001,0)))),""))</f>
        <v/>
      </c>
      <c r="I30">
        <f>IF(B30="","",IFERROR(INDEX('2.현장'!$N$2:$N$1001,IFERROR(MATCH(B30&amp;"|설계사",'2.현장'!$Z$2:$Z$1001,0),IFERROR(MATCH(B30&amp;"|시공사",'2.현장'!$Z$2:$Z$1001,0),MATCH(B30&amp;"|늦음",'2.현장'!$Z$2:$Z$1001,0)))),""))</f>
        <v/>
      </c>
      <c r="J30">
        <f>IF(B30="","",IFERROR(VLOOKUP(B30,설계사_메모!$A$3:$G$302,2,FALSE)&amp;"",""))</f>
        <v/>
      </c>
      <c r="K30">
        <f>IF(B30="","",IFERROR(VLOOKUP(B30,설계사_메모!$A$3:$G$302,4,FALSE)&amp;"",""))</f>
        <v/>
      </c>
      <c r="L30" s="6">
        <f>IF(B30="","",IF(COUNTIF('4.방문기록'!$B$3:$B$502,B30)=0,"",_xlfn.MAXIFS('4.방문기록'!$A$3:$A$502,'4.방문기록'!$B$3:$B$502,B30)))</f>
        <v/>
      </c>
      <c r="M30">
        <f>IF(L30="","",설정!$B$24-L30)</f>
        <v/>
      </c>
      <c r="N30" s="6">
        <f>IF(B30="","",IF(_xlfn.MAXIFS('4.방문기록'!$F$3:$F$502,'4.방문기록'!$B$3:$B$502,B30)=0,"",_xlfn.MAXIFS('4.방문기록'!$F$3:$F$502,'4.방문기록'!$B$3:$B$502,B30)))</f>
        <v/>
      </c>
      <c r="O30">
        <f>IF(L30="","",IFERROR(INDEX('4.방문기록'!$H$3:$H$502,MATCH(B30&amp;"|"&amp;(L30*1),'4.방문기록'!$I$3:$I$502,0))&amp;"",""))</f>
        <v/>
      </c>
      <c r="P30">
        <f>IF(B30="","",IF(O30="관심 없음","제외",IF(L30="","안 가봄",IF(M30&gt;=설정!$B$20,M30&amp;"일 지남","최근 방문"))))</f>
        <v/>
      </c>
      <c r="Q30" s="7">
        <f>IF(B30="","",IF(P30="제외","",IF(AND(설정!$B$21&lt;&gt;"",I30&lt;&gt;설정!$B$21),"",IF(AND(N30&lt;&gt;"",N30&gt;N(L30),N30&lt;=설정!$B$24+7),100+7-(N30-설정!$B$24),IF(AND(D30&gt;0,OR(P30="안 가봄",RIGHT(P30,2)="지남")),D30*10+IF(L30="",30,MIN(M30,60)/2)+MIN(N(F30)/1000,20),"")))))</f>
        <v/>
      </c>
      <c r="R30">
        <f>IF(Q30="","",COUNTIF(Q$4:Q$303,"&gt;"&amp;Q30)+COUNTIF(Q$4:Q30,Q30))</f>
        <v/>
      </c>
    </row>
    <row r="31">
      <c r="A31">
        <f>IF(B31="","",28)</f>
        <v/>
      </c>
      <c r="B31">
        <f>IFERROR(INDEX('2.현장'!$V$2:$V$1001,MATCH(28,'2.현장'!$W$2:$W$1001,0)),"")</f>
        <v/>
      </c>
      <c r="C31">
        <f>IF(B31="","",COUNTIFS('2.현장'!$V$2:$V$1001,B31,'2.현장'!$T$2:$T$1001,TRUE))</f>
        <v/>
      </c>
      <c r="D31">
        <f>IF(B31="","",COUNTIFS('2.현장'!$V$2:$V$1001,B31,'2.현장'!$U$2:$U$1001,"설계사"))</f>
        <v/>
      </c>
      <c r="E31">
        <f>IF(B31="","",COUNTIFS('2.현장'!$V$2:$V$1001,B31,'2.현장'!$U$2:$U$1001,"시공사"))</f>
        <v/>
      </c>
      <c r="F31" s="5">
        <f>IF(B31="","",_xlfn.MAXIFS('2.현장'!$D$2:$D$1001,'2.현장'!$V$2:$V$1001,B31,'2.현장'!$T$2:$T$1001,TRUE))</f>
        <v/>
      </c>
      <c r="G31" s="6">
        <f>IF(B31="","",IF(_xlfn.MAXIFS('2.현장'!$L$2:$L$1001,'2.현장'!$V$2:$V$1001,B31,'2.현장'!$T$2:$T$1001,TRUE)=0,"",_xlfn.MAXIFS('2.현장'!$L$2:$L$1001,'2.현장'!$V$2:$V$1001,B31,'2.현장'!$T$2:$T$1001,TRUE)))</f>
        <v/>
      </c>
      <c r="H31">
        <f>IF(B31="","",IFERROR(INDEX('2.현장'!$C$2:$C$1001,IFERROR(MATCH(B31&amp;"|설계사",'2.현장'!$Z$2:$Z$1001,0),IFERROR(MATCH(B31&amp;"|시공사",'2.현장'!$Z$2:$Z$1001,0),MATCH(B31&amp;"|늦음",'2.현장'!$Z$2:$Z$1001,0)))),""))</f>
        <v/>
      </c>
      <c r="I31">
        <f>IF(B31="","",IFERROR(INDEX('2.현장'!$N$2:$N$1001,IFERROR(MATCH(B31&amp;"|설계사",'2.현장'!$Z$2:$Z$1001,0),IFERROR(MATCH(B31&amp;"|시공사",'2.현장'!$Z$2:$Z$1001,0),MATCH(B31&amp;"|늦음",'2.현장'!$Z$2:$Z$1001,0)))),""))</f>
        <v/>
      </c>
      <c r="J31">
        <f>IF(B31="","",IFERROR(VLOOKUP(B31,설계사_메모!$A$3:$G$302,2,FALSE)&amp;"",""))</f>
        <v/>
      </c>
      <c r="K31">
        <f>IF(B31="","",IFERROR(VLOOKUP(B31,설계사_메모!$A$3:$G$302,4,FALSE)&amp;"",""))</f>
        <v/>
      </c>
      <c r="L31" s="6">
        <f>IF(B31="","",IF(COUNTIF('4.방문기록'!$B$3:$B$502,B31)=0,"",_xlfn.MAXIFS('4.방문기록'!$A$3:$A$502,'4.방문기록'!$B$3:$B$502,B31)))</f>
        <v/>
      </c>
      <c r="M31">
        <f>IF(L31="","",설정!$B$24-L31)</f>
        <v/>
      </c>
      <c r="N31" s="6">
        <f>IF(B31="","",IF(_xlfn.MAXIFS('4.방문기록'!$F$3:$F$502,'4.방문기록'!$B$3:$B$502,B31)=0,"",_xlfn.MAXIFS('4.방문기록'!$F$3:$F$502,'4.방문기록'!$B$3:$B$502,B31)))</f>
        <v/>
      </c>
      <c r="O31">
        <f>IF(L31="","",IFERROR(INDEX('4.방문기록'!$H$3:$H$502,MATCH(B31&amp;"|"&amp;(L31*1),'4.방문기록'!$I$3:$I$502,0))&amp;"",""))</f>
        <v/>
      </c>
      <c r="P31">
        <f>IF(B31="","",IF(O31="관심 없음","제외",IF(L31="","안 가봄",IF(M31&gt;=설정!$B$20,M31&amp;"일 지남","최근 방문"))))</f>
        <v/>
      </c>
      <c r="Q31" s="7">
        <f>IF(B31="","",IF(P31="제외","",IF(AND(설정!$B$21&lt;&gt;"",I31&lt;&gt;설정!$B$21),"",IF(AND(N31&lt;&gt;"",N31&gt;N(L31),N31&lt;=설정!$B$24+7),100+7-(N31-설정!$B$24),IF(AND(D31&gt;0,OR(P31="안 가봄",RIGHT(P31,2)="지남")),D31*10+IF(L31="",30,MIN(M31,60)/2)+MIN(N(F31)/1000,20),"")))))</f>
        <v/>
      </c>
      <c r="R31">
        <f>IF(Q31="","",COUNTIF(Q$4:Q$303,"&gt;"&amp;Q31)+COUNTIF(Q$4:Q31,Q31))</f>
        <v/>
      </c>
    </row>
    <row r="32">
      <c r="A32">
        <f>IF(B32="","",29)</f>
        <v/>
      </c>
      <c r="B32">
        <f>IFERROR(INDEX('2.현장'!$V$2:$V$1001,MATCH(29,'2.현장'!$W$2:$W$1001,0)),"")</f>
        <v/>
      </c>
      <c r="C32">
        <f>IF(B32="","",COUNTIFS('2.현장'!$V$2:$V$1001,B32,'2.현장'!$T$2:$T$1001,TRUE))</f>
        <v/>
      </c>
      <c r="D32">
        <f>IF(B32="","",COUNTIFS('2.현장'!$V$2:$V$1001,B32,'2.현장'!$U$2:$U$1001,"설계사"))</f>
        <v/>
      </c>
      <c r="E32">
        <f>IF(B32="","",COUNTIFS('2.현장'!$V$2:$V$1001,B32,'2.현장'!$U$2:$U$1001,"시공사"))</f>
        <v/>
      </c>
      <c r="F32" s="5">
        <f>IF(B32="","",_xlfn.MAXIFS('2.현장'!$D$2:$D$1001,'2.현장'!$V$2:$V$1001,B32,'2.현장'!$T$2:$T$1001,TRUE))</f>
        <v/>
      </c>
      <c r="G32" s="6">
        <f>IF(B32="","",IF(_xlfn.MAXIFS('2.현장'!$L$2:$L$1001,'2.현장'!$V$2:$V$1001,B32,'2.현장'!$T$2:$T$1001,TRUE)=0,"",_xlfn.MAXIFS('2.현장'!$L$2:$L$1001,'2.현장'!$V$2:$V$1001,B32,'2.현장'!$T$2:$T$1001,TRUE)))</f>
        <v/>
      </c>
      <c r="H32">
        <f>IF(B32="","",IFERROR(INDEX('2.현장'!$C$2:$C$1001,IFERROR(MATCH(B32&amp;"|설계사",'2.현장'!$Z$2:$Z$1001,0),IFERROR(MATCH(B32&amp;"|시공사",'2.현장'!$Z$2:$Z$1001,0),MATCH(B32&amp;"|늦음",'2.현장'!$Z$2:$Z$1001,0)))),""))</f>
        <v/>
      </c>
      <c r="I32">
        <f>IF(B32="","",IFERROR(INDEX('2.현장'!$N$2:$N$1001,IFERROR(MATCH(B32&amp;"|설계사",'2.현장'!$Z$2:$Z$1001,0),IFERROR(MATCH(B32&amp;"|시공사",'2.현장'!$Z$2:$Z$1001,0),MATCH(B32&amp;"|늦음",'2.현장'!$Z$2:$Z$1001,0)))),""))</f>
        <v/>
      </c>
      <c r="J32">
        <f>IF(B32="","",IFERROR(VLOOKUP(B32,설계사_메모!$A$3:$G$302,2,FALSE)&amp;"",""))</f>
        <v/>
      </c>
      <c r="K32">
        <f>IF(B32="","",IFERROR(VLOOKUP(B32,설계사_메모!$A$3:$G$302,4,FALSE)&amp;"",""))</f>
        <v/>
      </c>
      <c r="L32" s="6">
        <f>IF(B32="","",IF(COUNTIF('4.방문기록'!$B$3:$B$502,B32)=0,"",_xlfn.MAXIFS('4.방문기록'!$A$3:$A$502,'4.방문기록'!$B$3:$B$502,B32)))</f>
        <v/>
      </c>
      <c r="M32">
        <f>IF(L32="","",설정!$B$24-L32)</f>
        <v/>
      </c>
      <c r="N32" s="6">
        <f>IF(B32="","",IF(_xlfn.MAXIFS('4.방문기록'!$F$3:$F$502,'4.방문기록'!$B$3:$B$502,B32)=0,"",_xlfn.MAXIFS('4.방문기록'!$F$3:$F$502,'4.방문기록'!$B$3:$B$502,B32)))</f>
        <v/>
      </c>
      <c r="O32">
        <f>IF(L32="","",IFERROR(INDEX('4.방문기록'!$H$3:$H$502,MATCH(B32&amp;"|"&amp;(L32*1),'4.방문기록'!$I$3:$I$502,0))&amp;"",""))</f>
        <v/>
      </c>
      <c r="P32">
        <f>IF(B32="","",IF(O32="관심 없음","제외",IF(L32="","안 가봄",IF(M32&gt;=설정!$B$20,M32&amp;"일 지남","최근 방문"))))</f>
        <v/>
      </c>
      <c r="Q32" s="7">
        <f>IF(B32="","",IF(P32="제외","",IF(AND(설정!$B$21&lt;&gt;"",I32&lt;&gt;설정!$B$21),"",IF(AND(N32&lt;&gt;"",N32&gt;N(L32),N32&lt;=설정!$B$24+7),100+7-(N32-설정!$B$24),IF(AND(D32&gt;0,OR(P32="안 가봄",RIGHT(P32,2)="지남")),D32*10+IF(L32="",30,MIN(M32,60)/2)+MIN(N(F32)/1000,20),"")))))</f>
        <v/>
      </c>
      <c r="R32">
        <f>IF(Q32="","",COUNTIF(Q$4:Q$303,"&gt;"&amp;Q32)+COUNTIF(Q$4:Q32,Q32))</f>
        <v/>
      </c>
    </row>
    <row r="33">
      <c r="A33">
        <f>IF(B33="","",30)</f>
        <v/>
      </c>
      <c r="B33">
        <f>IFERROR(INDEX('2.현장'!$V$2:$V$1001,MATCH(30,'2.현장'!$W$2:$W$1001,0)),"")</f>
        <v/>
      </c>
      <c r="C33">
        <f>IF(B33="","",COUNTIFS('2.현장'!$V$2:$V$1001,B33,'2.현장'!$T$2:$T$1001,TRUE))</f>
        <v/>
      </c>
      <c r="D33">
        <f>IF(B33="","",COUNTIFS('2.현장'!$V$2:$V$1001,B33,'2.현장'!$U$2:$U$1001,"설계사"))</f>
        <v/>
      </c>
      <c r="E33">
        <f>IF(B33="","",COUNTIFS('2.현장'!$V$2:$V$1001,B33,'2.현장'!$U$2:$U$1001,"시공사"))</f>
        <v/>
      </c>
      <c r="F33" s="5">
        <f>IF(B33="","",_xlfn.MAXIFS('2.현장'!$D$2:$D$1001,'2.현장'!$V$2:$V$1001,B33,'2.현장'!$T$2:$T$1001,TRUE))</f>
        <v/>
      </c>
      <c r="G33" s="6">
        <f>IF(B33="","",IF(_xlfn.MAXIFS('2.현장'!$L$2:$L$1001,'2.현장'!$V$2:$V$1001,B33,'2.현장'!$T$2:$T$1001,TRUE)=0,"",_xlfn.MAXIFS('2.현장'!$L$2:$L$1001,'2.현장'!$V$2:$V$1001,B33,'2.현장'!$T$2:$T$1001,TRUE)))</f>
        <v/>
      </c>
      <c r="H33">
        <f>IF(B33="","",IFERROR(INDEX('2.현장'!$C$2:$C$1001,IFERROR(MATCH(B33&amp;"|설계사",'2.현장'!$Z$2:$Z$1001,0),IFERROR(MATCH(B33&amp;"|시공사",'2.현장'!$Z$2:$Z$1001,0),MATCH(B33&amp;"|늦음",'2.현장'!$Z$2:$Z$1001,0)))),""))</f>
        <v/>
      </c>
      <c r="I33">
        <f>IF(B33="","",IFERROR(INDEX('2.현장'!$N$2:$N$1001,IFERROR(MATCH(B33&amp;"|설계사",'2.현장'!$Z$2:$Z$1001,0),IFERROR(MATCH(B33&amp;"|시공사",'2.현장'!$Z$2:$Z$1001,0),MATCH(B33&amp;"|늦음",'2.현장'!$Z$2:$Z$1001,0)))),""))</f>
        <v/>
      </c>
      <c r="J33">
        <f>IF(B33="","",IFERROR(VLOOKUP(B33,설계사_메모!$A$3:$G$302,2,FALSE)&amp;"",""))</f>
        <v/>
      </c>
      <c r="K33">
        <f>IF(B33="","",IFERROR(VLOOKUP(B33,설계사_메모!$A$3:$G$302,4,FALSE)&amp;"",""))</f>
        <v/>
      </c>
      <c r="L33" s="6">
        <f>IF(B33="","",IF(COUNTIF('4.방문기록'!$B$3:$B$502,B33)=0,"",_xlfn.MAXIFS('4.방문기록'!$A$3:$A$502,'4.방문기록'!$B$3:$B$502,B33)))</f>
        <v/>
      </c>
      <c r="M33">
        <f>IF(L33="","",설정!$B$24-L33)</f>
        <v/>
      </c>
      <c r="N33" s="6">
        <f>IF(B33="","",IF(_xlfn.MAXIFS('4.방문기록'!$F$3:$F$502,'4.방문기록'!$B$3:$B$502,B33)=0,"",_xlfn.MAXIFS('4.방문기록'!$F$3:$F$502,'4.방문기록'!$B$3:$B$502,B33)))</f>
        <v/>
      </c>
      <c r="O33">
        <f>IF(L33="","",IFERROR(INDEX('4.방문기록'!$H$3:$H$502,MATCH(B33&amp;"|"&amp;(L33*1),'4.방문기록'!$I$3:$I$502,0))&amp;"",""))</f>
        <v/>
      </c>
      <c r="P33">
        <f>IF(B33="","",IF(O33="관심 없음","제외",IF(L33="","안 가봄",IF(M33&gt;=설정!$B$20,M33&amp;"일 지남","최근 방문"))))</f>
        <v/>
      </c>
      <c r="Q33" s="7">
        <f>IF(B33="","",IF(P33="제외","",IF(AND(설정!$B$21&lt;&gt;"",I33&lt;&gt;설정!$B$21),"",IF(AND(N33&lt;&gt;"",N33&gt;N(L33),N33&lt;=설정!$B$24+7),100+7-(N33-설정!$B$24),IF(AND(D33&gt;0,OR(P33="안 가봄",RIGHT(P33,2)="지남")),D33*10+IF(L33="",30,MIN(M33,60)/2)+MIN(N(F33)/1000,20),"")))))</f>
        <v/>
      </c>
      <c r="R33">
        <f>IF(Q33="","",COUNTIF(Q$4:Q$303,"&gt;"&amp;Q33)+COUNTIF(Q$4:Q33,Q33))</f>
        <v/>
      </c>
    </row>
    <row r="34">
      <c r="A34">
        <f>IF(B34="","",31)</f>
        <v/>
      </c>
      <c r="B34">
        <f>IFERROR(INDEX('2.현장'!$V$2:$V$1001,MATCH(31,'2.현장'!$W$2:$W$1001,0)),"")</f>
        <v/>
      </c>
      <c r="C34">
        <f>IF(B34="","",COUNTIFS('2.현장'!$V$2:$V$1001,B34,'2.현장'!$T$2:$T$1001,TRUE))</f>
        <v/>
      </c>
      <c r="D34">
        <f>IF(B34="","",COUNTIFS('2.현장'!$V$2:$V$1001,B34,'2.현장'!$U$2:$U$1001,"설계사"))</f>
        <v/>
      </c>
      <c r="E34">
        <f>IF(B34="","",COUNTIFS('2.현장'!$V$2:$V$1001,B34,'2.현장'!$U$2:$U$1001,"시공사"))</f>
        <v/>
      </c>
      <c r="F34" s="5">
        <f>IF(B34="","",_xlfn.MAXIFS('2.현장'!$D$2:$D$1001,'2.현장'!$V$2:$V$1001,B34,'2.현장'!$T$2:$T$1001,TRUE))</f>
        <v/>
      </c>
      <c r="G34" s="6">
        <f>IF(B34="","",IF(_xlfn.MAXIFS('2.현장'!$L$2:$L$1001,'2.현장'!$V$2:$V$1001,B34,'2.현장'!$T$2:$T$1001,TRUE)=0,"",_xlfn.MAXIFS('2.현장'!$L$2:$L$1001,'2.현장'!$V$2:$V$1001,B34,'2.현장'!$T$2:$T$1001,TRUE)))</f>
        <v/>
      </c>
      <c r="H34">
        <f>IF(B34="","",IFERROR(INDEX('2.현장'!$C$2:$C$1001,IFERROR(MATCH(B34&amp;"|설계사",'2.현장'!$Z$2:$Z$1001,0),IFERROR(MATCH(B34&amp;"|시공사",'2.현장'!$Z$2:$Z$1001,0),MATCH(B34&amp;"|늦음",'2.현장'!$Z$2:$Z$1001,0)))),""))</f>
        <v/>
      </c>
      <c r="I34">
        <f>IF(B34="","",IFERROR(INDEX('2.현장'!$N$2:$N$1001,IFERROR(MATCH(B34&amp;"|설계사",'2.현장'!$Z$2:$Z$1001,0),IFERROR(MATCH(B34&amp;"|시공사",'2.현장'!$Z$2:$Z$1001,0),MATCH(B34&amp;"|늦음",'2.현장'!$Z$2:$Z$1001,0)))),""))</f>
        <v/>
      </c>
      <c r="J34">
        <f>IF(B34="","",IFERROR(VLOOKUP(B34,설계사_메모!$A$3:$G$302,2,FALSE)&amp;"",""))</f>
        <v/>
      </c>
      <c r="K34">
        <f>IF(B34="","",IFERROR(VLOOKUP(B34,설계사_메모!$A$3:$G$302,4,FALSE)&amp;"",""))</f>
        <v/>
      </c>
      <c r="L34" s="6">
        <f>IF(B34="","",IF(COUNTIF('4.방문기록'!$B$3:$B$502,B34)=0,"",_xlfn.MAXIFS('4.방문기록'!$A$3:$A$502,'4.방문기록'!$B$3:$B$502,B34)))</f>
        <v/>
      </c>
      <c r="M34">
        <f>IF(L34="","",설정!$B$24-L34)</f>
        <v/>
      </c>
      <c r="N34" s="6">
        <f>IF(B34="","",IF(_xlfn.MAXIFS('4.방문기록'!$F$3:$F$502,'4.방문기록'!$B$3:$B$502,B34)=0,"",_xlfn.MAXIFS('4.방문기록'!$F$3:$F$502,'4.방문기록'!$B$3:$B$502,B34)))</f>
        <v/>
      </c>
      <c r="O34">
        <f>IF(L34="","",IFERROR(INDEX('4.방문기록'!$H$3:$H$502,MATCH(B34&amp;"|"&amp;(L34*1),'4.방문기록'!$I$3:$I$502,0))&amp;"",""))</f>
        <v/>
      </c>
      <c r="P34">
        <f>IF(B34="","",IF(O34="관심 없음","제외",IF(L34="","안 가봄",IF(M34&gt;=설정!$B$20,M34&amp;"일 지남","최근 방문"))))</f>
        <v/>
      </c>
      <c r="Q34" s="7">
        <f>IF(B34="","",IF(P34="제외","",IF(AND(설정!$B$21&lt;&gt;"",I34&lt;&gt;설정!$B$21),"",IF(AND(N34&lt;&gt;"",N34&gt;N(L34),N34&lt;=설정!$B$24+7),100+7-(N34-설정!$B$24),IF(AND(D34&gt;0,OR(P34="안 가봄",RIGHT(P34,2)="지남")),D34*10+IF(L34="",30,MIN(M34,60)/2)+MIN(N(F34)/1000,20),"")))))</f>
        <v/>
      </c>
      <c r="R34">
        <f>IF(Q34="","",COUNTIF(Q$4:Q$303,"&gt;"&amp;Q34)+COUNTIF(Q$4:Q34,Q34))</f>
        <v/>
      </c>
    </row>
    <row r="35">
      <c r="A35">
        <f>IF(B35="","",32)</f>
        <v/>
      </c>
      <c r="B35">
        <f>IFERROR(INDEX('2.현장'!$V$2:$V$1001,MATCH(32,'2.현장'!$W$2:$W$1001,0)),"")</f>
        <v/>
      </c>
      <c r="C35">
        <f>IF(B35="","",COUNTIFS('2.현장'!$V$2:$V$1001,B35,'2.현장'!$T$2:$T$1001,TRUE))</f>
        <v/>
      </c>
      <c r="D35">
        <f>IF(B35="","",COUNTIFS('2.현장'!$V$2:$V$1001,B35,'2.현장'!$U$2:$U$1001,"설계사"))</f>
        <v/>
      </c>
      <c r="E35">
        <f>IF(B35="","",COUNTIFS('2.현장'!$V$2:$V$1001,B35,'2.현장'!$U$2:$U$1001,"시공사"))</f>
        <v/>
      </c>
      <c r="F35" s="5">
        <f>IF(B35="","",_xlfn.MAXIFS('2.현장'!$D$2:$D$1001,'2.현장'!$V$2:$V$1001,B35,'2.현장'!$T$2:$T$1001,TRUE))</f>
        <v/>
      </c>
      <c r="G35" s="6">
        <f>IF(B35="","",IF(_xlfn.MAXIFS('2.현장'!$L$2:$L$1001,'2.현장'!$V$2:$V$1001,B35,'2.현장'!$T$2:$T$1001,TRUE)=0,"",_xlfn.MAXIFS('2.현장'!$L$2:$L$1001,'2.현장'!$V$2:$V$1001,B35,'2.현장'!$T$2:$T$1001,TRUE)))</f>
        <v/>
      </c>
      <c r="H35">
        <f>IF(B35="","",IFERROR(INDEX('2.현장'!$C$2:$C$1001,IFERROR(MATCH(B35&amp;"|설계사",'2.현장'!$Z$2:$Z$1001,0),IFERROR(MATCH(B35&amp;"|시공사",'2.현장'!$Z$2:$Z$1001,0),MATCH(B35&amp;"|늦음",'2.현장'!$Z$2:$Z$1001,0)))),""))</f>
        <v/>
      </c>
      <c r="I35">
        <f>IF(B35="","",IFERROR(INDEX('2.현장'!$N$2:$N$1001,IFERROR(MATCH(B35&amp;"|설계사",'2.현장'!$Z$2:$Z$1001,0),IFERROR(MATCH(B35&amp;"|시공사",'2.현장'!$Z$2:$Z$1001,0),MATCH(B35&amp;"|늦음",'2.현장'!$Z$2:$Z$1001,0)))),""))</f>
        <v/>
      </c>
      <c r="J35">
        <f>IF(B35="","",IFERROR(VLOOKUP(B35,설계사_메모!$A$3:$G$302,2,FALSE)&amp;"",""))</f>
        <v/>
      </c>
      <c r="K35">
        <f>IF(B35="","",IFERROR(VLOOKUP(B35,설계사_메모!$A$3:$G$302,4,FALSE)&amp;"",""))</f>
        <v/>
      </c>
      <c r="L35" s="6">
        <f>IF(B35="","",IF(COUNTIF('4.방문기록'!$B$3:$B$502,B35)=0,"",_xlfn.MAXIFS('4.방문기록'!$A$3:$A$502,'4.방문기록'!$B$3:$B$502,B35)))</f>
        <v/>
      </c>
      <c r="M35">
        <f>IF(L35="","",설정!$B$24-L35)</f>
        <v/>
      </c>
      <c r="N35" s="6">
        <f>IF(B35="","",IF(_xlfn.MAXIFS('4.방문기록'!$F$3:$F$502,'4.방문기록'!$B$3:$B$502,B35)=0,"",_xlfn.MAXIFS('4.방문기록'!$F$3:$F$502,'4.방문기록'!$B$3:$B$502,B35)))</f>
        <v/>
      </c>
      <c r="O35">
        <f>IF(L35="","",IFERROR(INDEX('4.방문기록'!$H$3:$H$502,MATCH(B35&amp;"|"&amp;(L35*1),'4.방문기록'!$I$3:$I$502,0))&amp;"",""))</f>
        <v/>
      </c>
      <c r="P35">
        <f>IF(B35="","",IF(O35="관심 없음","제외",IF(L35="","안 가봄",IF(M35&gt;=설정!$B$20,M35&amp;"일 지남","최근 방문"))))</f>
        <v/>
      </c>
      <c r="Q35" s="7">
        <f>IF(B35="","",IF(P35="제외","",IF(AND(설정!$B$21&lt;&gt;"",I35&lt;&gt;설정!$B$21),"",IF(AND(N35&lt;&gt;"",N35&gt;N(L35),N35&lt;=설정!$B$24+7),100+7-(N35-설정!$B$24),IF(AND(D35&gt;0,OR(P35="안 가봄",RIGHT(P35,2)="지남")),D35*10+IF(L35="",30,MIN(M35,60)/2)+MIN(N(F35)/1000,20),"")))))</f>
        <v/>
      </c>
      <c r="R35">
        <f>IF(Q35="","",COUNTIF(Q$4:Q$303,"&gt;"&amp;Q35)+COUNTIF(Q$4:Q35,Q35))</f>
        <v/>
      </c>
    </row>
    <row r="36">
      <c r="A36">
        <f>IF(B36="","",33)</f>
        <v/>
      </c>
      <c r="B36">
        <f>IFERROR(INDEX('2.현장'!$V$2:$V$1001,MATCH(33,'2.현장'!$W$2:$W$1001,0)),"")</f>
        <v/>
      </c>
      <c r="C36">
        <f>IF(B36="","",COUNTIFS('2.현장'!$V$2:$V$1001,B36,'2.현장'!$T$2:$T$1001,TRUE))</f>
        <v/>
      </c>
      <c r="D36">
        <f>IF(B36="","",COUNTIFS('2.현장'!$V$2:$V$1001,B36,'2.현장'!$U$2:$U$1001,"설계사"))</f>
        <v/>
      </c>
      <c r="E36">
        <f>IF(B36="","",COUNTIFS('2.현장'!$V$2:$V$1001,B36,'2.현장'!$U$2:$U$1001,"시공사"))</f>
        <v/>
      </c>
      <c r="F36" s="5">
        <f>IF(B36="","",_xlfn.MAXIFS('2.현장'!$D$2:$D$1001,'2.현장'!$V$2:$V$1001,B36,'2.현장'!$T$2:$T$1001,TRUE))</f>
        <v/>
      </c>
      <c r="G36" s="6">
        <f>IF(B36="","",IF(_xlfn.MAXIFS('2.현장'!$L$2:$L$1001,'2.현장'!$V$2:$V$1001,B36,'2.현장'!$T$2:$T$1001,TRUE)=0,"",_xlfn.MAXIFS('2.현장'!$L$2:$L$1001,'2.현장'!$V$2:$V$1001,B36,'2.현장'!$T$2:$T$1001,TRUE)))</f>
        <v/>
      </c>
      <c r="H36">
        <f>IF(B36="","",IFERROR(INDEX('2.현장'!$C$2:$C$1001,IFERROR(MATCH(B36&amp;"|설계사",'2.현장'!$Z$2:$Z$1001,0),IFERROR(MATCH(B36&amp;"|시공사",'2.현장'!$Z$2:$Z$1001,0),MATCH(B36&amp;"|늦음",'2.현장'!$Z$2:$Z$1001,0)))),""))</f>
        <v/>
      </c>
      <c r="I36">
        <f>IF(B36="","",IFERROR(INDEX('2.현장'!$N$2:$N$1001,IFERROR(MATCH(B36&amp;"|설계사",'2.현장'!$Z$2:$Z$1001,0),IFERROR(MATCH(B36&amp;"|시공사",'2.현장'!$Z$2:$Z$1001,0),MATCH(B36&amp;"|늦음",'2.현장'!$Z$2:$Z$1001,0)))),""))</f>
        <v/>
      </c>
      <c r="J36">
        <f>IF(B36="","",IFERROR(VLOOKUP(B36,설계사_메모!$A$3:$G$302,2,FALSE)&amp;"",""))</f>
        <v/>
      </c>
      <c r="K36">
        <f>IF(B36="","",IFERROR(VLOOKUP(B36,설계사_메모!$A$3:$G$302,4,FALSE)&amp;"",""))</f>
        <v/>
      </c>
      <c r="L36" s="6">
        <f>IF(B36="","",IF(COUNTIF('4.방문기록'!$B$3:$B$502,B36)=0,"",_xlfn.MAXIFS('4.방문기록'!$A$3:$A$502,'4.방문기록'!$B$3:$B$502,B36)))</f>
        <v/>
      </c>
      <c r="M36">
        <f>IF(L36="","",설정!$B$24-L36)</f>
        <v/>
      </c>
      <c r="N36" s="6">
        <f>IF(B36="","",IF(_xlfn.MAXIFS('4.방문기록'!$F$3:$F$502,'4.방문기록'!$B$3:$B$502,B36)=0,"",_xlfn.MAXIFS('4.방문기록'!$F$3:$F$502,'4.방문기록'!$B$3:$B$502,B36)))</f>
        <v/>
      </c>
      <c r="O36">
        <f>IF(L36="","",IFERROR(INDEX('4.방문기록'!$H$3:$H$502,MATCH(B36&amp;"|"&amp;(L36*1),'4.방문기록'!$I$3:$I$502,0))&amp;"",""))</f>
        <v/>
      </c>
      <c r="P36">
        <f>IF(B36="","",IF(O36="관심 없음","제외",IF(L36="","안 가봄",IF(M36&gt;=설정!$B$20,M36&amp;"일 지남","최근 방문"))))</f>
        <v/>
      </c>
      <c r="Q36" s="7">
        <f>IF(B36="","",IF(P36="제외","",IF(AND(설정!$B$21&lt;&gt;"",I36&lt;&gt;설정!$B$21),"",IF(AND(N36&lt;&gt;"",N36&gt;N(L36),N36&lt;=설정!$B$24+7),100+7-(N36-설정!$B$24),IF(AND(D36&gt;0,OR(P36="안 가봄",RIGHT(P36,2)="지남")),D36*10+IF(L36="",30,MIN(M36,60)/2)+MIN(N(F36)/1000,20),"")))))</f>
        <v/>
      </c>
      <c r="R36">
        <f>IF(Q36="","",COUNTIF(Q$4:Q$303,"&gt;"&amp;Q36)+COUNTIF(Q$4:Q36,Q36))</f>
        <v/>
      </c>
    </row>
    <row r="37">
      <c r="A37">
        <f>IF(B37="","",34)</f>
        <v/>
      </c>
      <c r="B37">
        <f>IFERROR(INDEX('2.현장'!$V$2:$V$1001,MATCH(34,'2.현장'!$W$2:$W$1001,0)),"")</f>
        <v/>
      </c>
      <c r="C37">
        <f>IF(B37="","",COUNTIFS('2.현장'!$V$2:$V$1001,B37,'2.현장'!$T$2:$T$1001,TRUE))</f>
        <v/>
      </c>
      <c r="D37">
        <f>IF(B37="","",COUNTIFS('2.현장'!$V$2:$V$1001,B37,'2.현장'!$U$2:$U$1001,"설계사"))</f>
        <v/>
      </c>
      <c r="E37">
        <f>IF(B37="","",COUNTIFS('2.현장'!$V$2:$V$1001,B37,'2.현장'!$U$2:$U$1001,"시공사"))</f>
        <v/>
      </c>
      <c r="F37" s="5">
        <f>IF(B37="","",_xlfn.MAXIFS('2.현장'!$D$2:$D$1001,'2.현장'!$V$2:$V$1001,B37,'2.현장'!$T$2:$T$1001,TRUE))</f>
        <v/>
      </c>
      <c r="G37" s="6">
        <f>IF(B37="","",IF(_xlfn.MAXIFS('2.현장'!$L$2:$L$1001,'2.현장'!$V$2:$V$1001,B37,'2.현장'!$T$2:$T$1001,TRUE)=0,"",_xlfn.MAXIFS('2.현장'!$L$2:$L$1001,'2.현장'!$V$2:$V$1001,B37,'2.현장'!$T$2:$T$1001,TRUE)))</f>
        <v/>
      </c>
      <c r="H37">
        <f>IF(B37="","",IFERROR(INDEX('2.현장'!$C$2:$C$1001,IFERROR(MATCH(B37&amp;"|설계사",'2.현장'!$Z$2:$Z$1001,0),IFERROR(MATCH(B37&amp;"|시공사",'2.현장'!$Z$2:$Z$1001,0),MATCH(B37&amp;"|늦음",'2.현장'!$Z$2:$Z$1001,0)))),""))</f>
        <v/>
      </c>
      <c r="I37">
        <f>IF(B37="","",IFERROR(INDEX('2.현장'!$N$2:$N$1001,IFERROR(MATCH(B37&amp;"|설계사",'2.현장'!$Z$2:$Z$1001,0),IFERROR(MATCH(B37&amp;"|시공사",'2.현장'!$Z$2:$Z$1001,0),MATCH(B37&amp;"|늦음",'2.현장'!$Z$2:$Z$1001,0)))),""))</f>
        <v/>
      </c>
      <c r="J37">
        <f>IF(B37="","",IFERROR(VLOOKUP(B37,설계사_메모!$A$3:$G$302,2,FALSE)&amp;"",""))</f>
        <v/>
      </c>
      <c r="K37">
        <f>IF(B37="","",IFERROR(VLOOKUP(B37,설계사_메모!$A$3:$G$302,4,FALSE)&amp;"",""))</f>
        <v/>
      </c>
      <c r="L37" s="6">
        <f>IF(B37="","",IF(COUNTIF('4.방문기록'!$B$3:$B$502,B37)=0,"",_xlfn.MAXIFS('4.방문기록'!$A$3:$A$502,'4.방문기록'!$B$3:$B$502,B37)))</f>
        <v/>
      </c>
      <c r="M37">
        <f>IF(L37="","",설정!$B$24-L37)</f>
        <v/>
      </c>
      <c r="N37" s="6">
        <f>IF(B37="","",IF(_xlfn.MAXIFS('4.방문기록'!$F$3:$F$502,'4.방문기록'!$B$3:$B$502,B37)=0,"",_xlfn.MAXIFS('4.방문기록'!$F$3:$F$502,'4.방문기록'!$B$3:$B$502,B37)))</f>
        <v/>
      </c>
      <c r="O37">
        <f>IF(L37="","",IFERROR(INDEX('4.방문기록'!$H$3:$H$502,MATCH(B37&amp;"|"&amp;(L37*1),'4.방문기록'!$I$3:$I$502,0))&amp;"",""))</f>
        <v/>
      </c>
      <c r="P37">
        <f>IF(B37="","",IF(O37="관심 없음","제외",IF(L37="","안 가봄",IF(M37&gt;=설정!$B$20,M37&amp;"일 지남","최근 방문"))))</f>
        <v/>
      </c>
      <c r="Q37" s="7">
        <f>IF(B37="","",IF(P37="제외","",IF(AND(설정!$B$21&lt;&gt;"",I37&lt;&gt;설정!$B$21),"",IF(AND(N37&lt;&gt;"",N37&gt;N(L37),N37&lt;=설정!$B$24+7),100+7-(N37-설정!$B$24),IF(AND(D37&gt;0,OR(P37="안 가봄",RIGHT(P37,2)="지남")),D37*10+IF(L37="",30,MIN(M37,60)/2)+MIN(N(F37)/1000,20),"")))))</f>
        <v/>
      </c>
      <c r="R37">
        <f>IF(Q37="","",COUNTIF(Q$4:Q$303,"&gt;"&amp;Q37)+COUNTIF(Q$4:Q37,Q37))</f>
        <v/>
      </c>
    </row>
    <row r="38">
      <c r="A38">
        <f>IF(B38="","",35)</f>
        <v/>
      </c>
      <c r="B38">
        <f>IFERROR(INDEX('2.현장'!$V$2:$V$1001,MATCH(35,'2.현장'!$W$2:$W$1001,0)),"")</f>
        <v/>
      </c>
      <c r="C38">
        <f>IF(B38="","",COUNTIFS('2.현장'!$V$2:$V$1001,B38,'2.현장'!$T$2:$T$1001,TRUE))</f>
        <v/>
      </c>
      <c r="D38">
        <f>IF(B38="","",COUNTIFS('2.현장'!$V$2:$V$1001,B38,'2.현장'!$U$2:$U$1001,"설계사"))</f>
        <v/>
      </c>
      <c r="E38">
        <f>IF(B38="","",COUNTIFS('2.현장'!$V$2:$V$1001,B38,'2.현장'!$U$2:$U$1001,"시공사"))</f>
        <v/>
      </c>
      <c r="F38" s="5">
        <f>IF(B38="","",_xlfn.MAXIFS('2.현장'!$D$2:$D$1001,'2.현장'!$V$2:$V$1001,B38,'2.현장'!$T$2:$T$1001,TRUE))</f>
        <v/>
      </c>
      <c r="G38" s="6">
        <f>IF(B38="","",IF(_xlfn.MAXIFS('2.현장'!$L$2:$L$1001,'2.현장'!$V$2:$V$1001,B38,'2.현장'!$T$2:$T$1001,TRUE)=0,"",_xlfn.MAXIFS('2.현장'!$L$2:$L$1001,'2.현장'!$V$2:$V$1001,B38,'2.현장'!$T$2:$T$1001,TRUE)))</f>
        <v/>
      </c>
      <c r="H38">
        <f>IF(B38="","",IFERROR(INDEX('2.현장'!$C$2:$C$1001,IFERROR(MATCH(B38&amp;"|설계사",'2.현장'!$Z$2:$Z$1001,0),IFERROR(MATCH(B38&amp;"|시공사",'2.현장'!$Z$2:$Z$1001,0),MATCH(B38&amp;"|늦음",'2.현장'!$Z$2:$Z$1001,0)))),""))</f>
        <v/>
      </c>
      <c r="I38">
        <f>IF(B38="","",IFERROR(INDEX('2.현장'!$N$2:$N$1001,IFERROR(MATCH(B38&amp;"|설계사",'2.현장'!$Z$2:$Z$1001,0),IFERROR(MATCH(B38&amp;"|시공사",'2.현장'!$Z$2:$Z$1001,0),MATCH(B38&amp;"|늦음",'2.현장'!$Z$2:$Z$1001,0)))),""))</f>
        <v/>
      </c>
      <c r="J38">
        <f>IF(B38="","",IFERROR(VLOOKUP(B38,설계사_메모!$A$3:$G$302,2,FALSE)&amp;"",""))</f>
        <v/>
      </c>
      <c r="K38">
        <f>IF(B38="","",IFERROR(VLOOKUP(B38,설계사_메모!$A$3:$G$302,4,FALSE)&amp;"",""))</f>
        <v/>
      </c>
      <c r="L38" s="6">
        <f>IF(B38="","",IF(COUNTIF('4.방문기록'!$B$3:$B$502,B38)=0,"",_xlfn.MAXIFS('4.방문기록'!$A$3:$A$502,'4.방문기록'!$B$3:$B$502,B38)))</f>
        <v/>
      </c>
      <c r="M38">
        <f>IF(L38="","",설정!$B$24-L38)</f>
        <v/>
      </c>
      <c r="N38" s="6">
        <f>IF(B38="","",IF(_xlfn.MAXIFS('4.방문기록'!$F$3:$F$502,'4.방문기록'!$B$3:$B$502,B38)=0,"",_xlfn.MAXIFS('4.방문기록'!$F$3:$F$502,'4.방문기록'!$B$3:$B$502,B38)))</f>
        <v/>
      </c>
      <c r="O38">
        <f>IF(L38="","",IFERROR(INDEX('4.방문기록'!$H$3:$H$502,MATCH(B38&amp;"|"&amp;(L38*1),'4.방문기록'!$I$3:$I$502,0))&amp;"",""))</f>
        <v/>
      </c>
      <c r="P38">
        <f>IF(B38="","",IF(O38="관심 없음","제외",IF(L38="","안 가봄",IF(M38&gt;=설정!$B$20,M38&amp;"일 지남","최근 방문"))))</f>
        <v/>
      </c>
      <c r="Q38" s="7">
        <f>IF(B38="","",IF(P38="제외","",IF(AND(설정!$B$21&lt;&gt;"",I38&lt;&gt;설정!$B$21),"",IF(AND(N38&lt;&gt;"",N38&gt;N(L38),N38&lt;=설정!$B$24+7),100+7-(N38-설정!$B$24),IF(AND(D38&gt;0,OR(P38="안 가봄",RIGHT(P38,2)="지남")),D38*10+IF(L38="",30,MIN(M38,60)/2)+MIN(N(F38)/1000,20),"")))))</f>
        <v/>
      </c>
      <c r="R38">
        <f>IF(Q38="","",COUNTIF(Q$4:Q$303,"&gt;"&amp;Q38)+COUNTIF(Q$4:Q38,Q38))</f>
        <v/>
      </c>
    </row>
    <row r="39">
      <c r="A39">
        <f>IF(B39="","",36)</f>
        <v/>
      </c>
      <c r="B39">
        <f>IFERROR(INDEX('2.현장'!$V$2:$V$1001,MATCH(36,'2.현장'!$W$2:$W$1001,0)),"")</f>
        <v/>
      </c>
      <c r="C39">
        <f>IF(B39="","",COUNTIFS('2.현장'!$V$2:$V$1001,B39,'2.현장'!$T$2:$T$1001,TRUE))</f>
        <v/>
      </c>
      <c r="D39">
        <f>IF(B39="","",COUNTIFS('2.현장'!$V$2:$V$1001,B39,'2.현장'!$U$2:$U$1001,"설계사"))</f>
        <v/>
      </c>
      <c r="E39">
        <f>IF(B39="","",COUNTIFS('2.현장'!$V$2:$V$1001,B39,'2.현장'!$U$2:$U$1001,"시공사"))</f>
        <v/>
      </c>
      <c r="F39" s="5">
        <f>IF(B39="","",_xlfn.MAXIFS('2.현장'!$D$2:$D$1001,'2.현장'!$V$2:$V$1001,B39,'2.현장'!$T$2:$T$1001,TRUE))</f>
        <v/>
      </c>
      <c r="G39" s="6">
        <f>IF(B39="","",IF(_xlfn.MAXIFS('2.현장'!$L$2:$L$1001,'2.현장'!$V$2:$V$1001,B39,'2.현장'!$T$2:$T$1001,TRUE)=0,"",_xlfn.MAXIFS('2.현장'!$L$2:$L$1001,'2.현장'!$V$2:$V$1001,B39,'2.현장'!$T$2:$T$1001,TRUE)))</f>
        <v/>
      </c>
      <c r="H39">
        <f>IF(B39="","",IFERROR(INDEX('2.현장'!$C$2:$C$1001,IFERROR(MATCH(B39&amp;"|설계사",'2.현장'!$Z$2:$Z$1001,0),IFERROR(MATCH(B39&amp;"|시공사",'2.현장'!$Z$2:$Z$1001,0),MATCH(B39&amp;"|늦음",'2.현장'!$Z$2:$Z$1001,0)))),""))</f>
        <v/>
      </c>
      <c r="I39">
        <f>IF(B39="","",IFERROR(INDEX('2.현장'!$N$2:$N$1001,IFERROR(MATCH(B39&amp;"|설계사",'2.현장'!$Z$2:$Z$1001,0),IFERROR(MATCH(B39&amp;"|시공사",'2.현장'!$Z$2:$Z$1001,0),MATCH(B39&amp;"|늦음",'2.현장'!$Z$2:$Z$1001,0)))),""))</f>
        <v/>
      </c>
      <c r="J39">
        <f>IF(B39="","",IFERROR(VLOOKUP(B39,설계사_메모!$A$3:$G$302,2,FALSE)&amp;"",""))</f>
        <v/>
      </c>
      <c r="K39">
        <f>IF(B39="","",IFERROR(VLOOKUP(B39,설계사_메모!$A$3:$G$302,4,FALSE)&amp;"",""))</f>
        <v/>
      </c>
      <c r="L39" s="6">
        <f>IF(B39="","",IF(COUNTIF('4.방문기록'!$B$3:$B$502,B39)=0,"",_xlfn.MAXIFS('4.방문기록'!$A$3:$A$502,'4.방문기록'!$B$3:$B$502,B39)))</f>
        <v/>
      </c>
      <c r="M39">
        <f>IF(L39="","",설정!$B$24-L39)</f>
        <v/>
      </c>
      <c r="N39" s="6">
        <f>IF(B39="","",IF(_xlfn.MAXIFS('4.방문기록'!$F$3:$F$502,'4.방문기록'!$B$3:$B$502,B39)=0,"",_xlfn.MAXIFS('4.방문기록'!$F$3:$F$502,'4.방문기록'!$B$3:$B$502,B39)))</f>
        <v/>
      </c>
      <c r="O39">
        <f>IF(L39="","",IFERROR(INDEX('4.방문기록'!$H$3:$H$502,MATCH(B39&amp;"|"&amp;(L39*1),'4.방문기록'!$I$3:$I$502,0))&amp;"",""))</f>
        <v/>
      </c>
      <c r="P39">
        <f>IF(B39="","",IF(O39="관심 없음","제외",IF(L39="","안 가봄",IF(M39&gt;=설정!$B$20,M39&amp;"일 지남","최근 방문"))))</f>
        <v/>
      </c>
      <c r="Q39" s="7">
        <f>IF(B39="","",IF(P39="제외","",IF(AND(설정!$B$21&lt;&gt;"",I39&lt;&gt;설정!$B$21),"",IF(AND(N39&lt;&gt;"",N39&gt;N(L39),N39&lt;=설정!$B$24+7),100+7-(N39-설정!$B$24),IF(AND(D39&gt;0,OR(P39="안 가봄",RIGHT(P39,2)="지남")),D39*10+IF(L39="",30,MIN(M39,60)/2)+MIN(N(F39)/1000,20),"")))))</f>
        <v/>
      </c>
      <c r="R39">
        <f>IF(Q39="","",COUNTIF(Q$4:Q$303,"&gt;"&amp;Q39)+COUNTIF(Q$4:Q39,Q39))</f>
        <v/>
      </c>
    </row>
    <row r="40">
      <c r="A40">
        <f>IF(B40="","",37)</f>
        <v/>
      </c>
      <c r="B40">
        <f>IFERROR(INDEX('2.현장'!$V$2:$V$1001,MATCH(37,'2.현장'!$W$2:$W$1001,0)),"")</f>
        <v/>
      </c>
      <c r="C40">
        <f>IF(B40="","",COUNTIFS('2.현장'!$V$2:$V$1001,B40,'2.현장'!$T$2:$T$1001,TRUE))</f>
        <v/>
      </c>
      <c r="D40">
        <f>IF(B40="","",COUNTIFS('2.현장'!$V$2:$V$1001,B40,'2.현장'!$U$2:$U$1001,"설계사"))</f>
        <v/>
      </c>
      <c r="E40">
        <f>IF(B40="","",COUNTIFS('2.현장'!$V$2:$V$1001,B40,'2.현장'!$U$2:$U$1001,"시공사"))</f>
        <v/>
      </c>
      <c r="F40" s="5">
        <f>IF(B40="","",_xlfn.MAXIFS('2.현장'!$D$2:$D$1001,'2.현장'!$V$2:$V$1001,B40,'2.현장'!$T$2:$T$1001,TRUE))</f>
        <v/>
      </c>
      <c r="G40" s="6">
        <f>IF(B40="","",IF(_xlfn.MAXIFS('2.현장'!$L$2:$L$1001,'2.현장'!$V$2:$V$1001,B40,'2.현장'!$T$2:$T$1001,TRUE)=0,"",_xlfn.MAXIFS('2.현장'!$L$2:$L$1001,'2.현장'!$V$2:$V$1001,B40,'2.현장'!$T$2:$T$1001,TRUE)))</f>
        <v/>
      </c>
      <c r="H40">
        <f>IF(B40="","",IFERROR(INDEX('2.현장'!$C$2:$C$1001,IFERROR(MATCH(B40&amp;"|설계사",'2.현장'!$Z$2:$Z$1001,0),IFERROR(MATCH(B40&amp;"|시공사",'2.현장'!$Z$2:$Z$1001,0),MATCH(B40&amp;"|늦음",'2.현장'!$Z$2:$Z$1001,0)))),""))</f>
        <v/>
      </c>
      <c r="I40">
        <f>IF(B40="","",IFERROR(INDEX('2.현장'!$N$2:$N$1001,IFERROR(MATCH(B40&amp;"|설계사",'2.현장'!$Z$2:$Z$1001,0),IFERROR(MATCH(B40&amp;"|시공사",'2.현장'!$Z$2:$Z$1001,0),MATCH(B40&amp;"|늦음",'2.현장'!$Z$2:$Z$1001,0)))),""))</f>
        <v/>
      </c>
      <c r="J40">
        <f>IF(B40="","",IFERROR(VLOOKUP(B40,설계사_메모!$A$3:$G$302,2,FALSE)&amp;"",""))</f>
        <v/>
      </c>
      <c r="K40">
        <f>IF(B40="","",IFERROR(VLOOKUP(B40,설계사_메모!$A$3:$G$302,4,FALSE)&amp;"",""))</f>
        <v/>
      </c>
      <c r="L40" s="6">
        <f>IF(B40="","",IF(COUNTIF('4.방문기록'!$B$3:$B$502,B40)=0,"",_xlfn.MAXIFS('4.방문기록'!$A$3:$A$502,'4.방문기록'!$B$3:$B$502,B40)))</f>
        <v/>
      </c>
      <c r="M40">
        <f>IF(L40="","",설정!$B$24-L40)</f>
        <v/>
      </c>
      <c r="N40" s="6">
        <f>IF(B40="","",IF(_xlfn.MAXIFS('4.방문기록'!$F$3:$F$502,'4.방문기록'!$B$3:$B$502,B40)=0,"",_xlfn.MAXIFS('4.방문기록'!$F$3:$F$502,'4.방문기록'!$B$3:$B$502,B40)))</f>
        <v/>
      </c>
      <c r="O40">
        <f>IF(L40="","",IFERROR(INDEX('4.방문기록'!$H$3:$H$502,MATCH(B40&amp;"|"&amp;(L40*1),'4.방문기록'!$I$3:$I$502,0))&amp;"",""))</f>
        <v/>
      </c>
      <c r="P40">
        <f>IF(B40="","",IF(O40="관심 없음","제외",IF(L40="","안 가봄",IF(M40&gt;=설정!$B$20,M40&amp;"일 지남","최근 방문"))))</f>
        <v/>
      </c>
      <c r="Q40" s="7">
        <f>IF(B40="","",IF(P40="제외","",IF(AND(설정!$B$21&lt;&gt;"",I40&lt;&gt;설정!$B$21),"",IF(AND(N40&lt;&gt;"",N40&gt;N(L40),N40&lt;=설정!$B$24+7),100+7-(N40-설정!$B$24),IF(AND(D40&gt;0,OR(P40="안 가봄",RIGHT(P40,2)="지남")),D40*10+IF(L40="",30,MIN(M40,60)/2)+MIN(N(F40)/1000,20),"")))))</f>
        <v/>
      </c>
      <c r="R40">
        <f>IF(Q40="","",COUNTIF(Q$4:Q$303,"&gt;"&amp;Q40)+COUNTIF(Q$4:Q40,Q40))</f>
        <v/>
      </c>
    </row>
    <row r="41">
      <c r="A41">
        <f>IF(B41="","",38)</f>
        <v/>
      </c>
      <c r="B41">
        <f>IFERROR(INDEX('2.현장'!$V$2:$V$1001,MATCH(38,'2.현장'!$W$2:$W$1001,0)),"")</f>
        <v/>
      </c>
      <c r="C41">
        <f>IF(B41="","",COUNTIFS('2.현장'!$V$2:$V$1001,B41,'2.현장'!$T$2:$T$1001,TRUE))</f>
        <v/>
      </c>
      <c r="D41">
        <f>IF(B41="","",COUNTIFS('2.현장'!$V$2:$V$1001,B41,'2.현장'!$U$2:$U$1001,"설계사"))</f>
        <v/>
      </c>
      <c r="E41">
        <f>IF(B41="","",COUNTIFS('2.현장'!$V$2:$V$1001,B41,'2.현장'!$U$2:$U$1001,"시공사"))</f>
        <v/>
      </c>
      <c r="F41" s="5">
        <f>IF(B41="","",_xlfn.MAXIFS('2.현장'!$D$2:$D$1001,'2.현장'!$V$2:$V$1001,B41,'2.현장'!$T$2:$T$1001,TRUE))</f>
        <v/>
      </c>
      <c r="G41" s="6">
        <f>IF(B41="","",IF(_xlfn.MAXIFS('2.현장'!$L$2:$L$1001,'2.현장'!$V$2:$V$1001,B41,'2.현장'!$T$2:$T$1001,TRUE)=0,"",_xlfn.MAXIFS('2.현장'!$L$2:$L$1001,'2.현장'!$V$2:$V$1001,B41,'2.현장'!$T$2:$T$1001,TRUE)))</f>
        <v/>
      </c>
      <c r="H41">
        <f>IF(B41="","",IFERROR(INDEX('2.현장'!$C$2:$C$1001,IFERROR(MATCH(B41&amp;"|설계사",'2.현장'!$Z$2:$Z$1001,0),IFERROR(MATCH(B41&amp;"|시공사",'2.현장'!$Z$2:$Z$1001,0),MATCH(B41&amp;"|늦음",'2.현장'!$Z$2:$Z$1001,0)))),""))</f>
        <v/>
      </c>
      <c r="I41">
        <f>IF(B41="","",IFERROR(INDEX('2.현장'!$N$2:$N$1001,IFERROR(MATCH(B41&amp;"|설계사",'2.현장'!$Z$2:$Z$1001,0),IFERROR(MATCH(B41&amp;"|시공사",'2.현장'!$Z$2:$Z$1001,0),MATCH(B41&amp;"|늦음",'2.현장'!$Z$2:$Z$1001,0)))),""))</f>
        <v/>
      </c>
      <c r="J41">
        <f>IF(B41="","",IFERROR(VLOOKUP(B41,설계사_메모!$A$3:$G$302,2,FALSE)&amp;"",""))</f>
        <v/>
      </c>
      <c r="K41">
        <f>IF(B41="","",IFERROR(VLOOKUP(B41,설계사_메모!$A$3:$G$302,4,FALSE)&amp;"",""))</f>
        <v/>
      </c>
      <c r="L41" s="6">
        <f>IF(B41="","",IF(COUNTIF('4.방문기록'!$B$3:$B$502,B41)=0,"",_xlfn.MAXIFS('4.방문기록'!$A$3:$A$502,'4.방문기록'!$B$3:$B$502,B41)))</f>
        <v/>
      </c>
      <c r="M41">
        <f>IF(L41="","",설정!$B$24-L41)</f>
        <v/>
      </c>
      <c r="N41" s="6">
        <f>IF(B41="","",IF(_xlfn.MAXIFS('4.방문기록'!$F$3:$F$502,'4.방문기록'!$B$3:$B$502,B41)=0,"",_xlfn.MAXIFS('4.방문기록'!$F$3:$F$502,'4.방문기록'!$B$3:$B$502,B41)))</f>
        <v/>
      </c>
      <c r="O41">
        <f>IF(L41="","",IFERROR(INDEX('4.방문기록'!$H$3:$H$502,MATCH(B41&amp;"|"&amp;(L41*1),'4.방문기록'!$I$3:$I$502,0))&amp;"",""))</f>
        <v/>
      </c>
      <c r="P41">
        <f>IF(B41="","",IF(O41="관심 없음","제외",IF(L41="","안 가봄",IF(M41&gt;=설정!$B$20,M41&amp;"일 지남","최근 방문"))))</f>
        <v/>
      </c>
      <c r="Q41" s="7">
        <f>IF(B41="","",IF(P41="제외","",IF(AND(설정!$B$21&lt;&gt;"",I41&lt;&gt;설정!$B$21),"",IF(AND(N41&lt;&gt;"",N41&gt;N(L41),N41&lt;=설정!$B$24+7),100+7-(N41-설정!$B$24),IF(AND(D41&gt;0,OR(P41="안 가봄",RIGHT(P41,2)="지남")),D41*10+IF(L41="",30,MIN(M41,60)/2)+MIN(N(F41)/1000,20),"")))))</f>
        <v/>
      </c>
      <c r="R41">
        <f>IF(Q41="","",COUNTIF(Q$4:Q$303,"&gt;"&amp;Q41)+COUNTIF(Q$4:Q41,Q41))</f>
        <v/>
      </c>
    </row>
    <row r="42">
      <c r="A42">
        <f>IF(B42="","",39)</f>
        <v/>
      </c>
      <c r="B42">
        <f>IFERROR(INDEX('2.현장'!$V$2:$V$1001,MATCH(39,'2.현장'!$W$2:$W$1001,0)),"")</f>
        <v/>
      </c>
      <c r="C42">
        <f>IF(B42="","",COUNTIFS('2.현장'!$V$2:$V$1001,B42,'2.현장'!$T$2:$T$1001,TRUE))</f>
        <v/>
      </c>
      <c r="D42">
        <f>IF(B42="","",COUNTIFS('2.현장'!$V$2:$V$1001,B42,'2.현장'!$U$2:$U$1001,"설계사"))</f>
        <v/>
      </c>
      <c r="E42">
        <f>IF(B42="","",COUNTIFS('2.현장'!$V$2:$V$1001,B42,'2.현장'!$U$2:$U$1001,"시공사"))</f>
        <v/>
      </c>
      <c r="F42" s="5">
        <f>IF(B42="","",_xlfn.MAXIFS('2.현장'!$D$2:$D$1001,'2.현장'!$V$2:$V$1001,B42,'2.현장'!$T$2:$T$1001,TRUE))</f>
        <v/>
      </c>
      <c r="G42" s="6">
        <f>IF(B42="","",IF(_xlfn.MAXIFS('2.현장'!$L$2:$L$1001,'2.현장'!$V$2:$V$1001,B42,'2.현장'!$T$2:$T$1001,TRUE)=0,"",_xlfn.MAXIFS('2.현장'!$L$2:$L$1001,'2.현장'!$V$2:$V$1001,B42,'2.현장'!$T$2:$T$1001,TRUE)))</f>
        <v/>
      </c>
      <c r="H42">
        <f>IF(B42="","",IFERROR(INDEX('2.현장'!$C$2:$C$1001,IFERROR(MATCH(B42&amp;"|설계사",'2.현장'!$Z$2:$Z$1001,0),IFERROR(MATCH(B42&amp;"|시공사",'2.현장'!$Z$2:$Z$1001,0),MATCH(B42&amp;"|늦음",'2.현장'!$Z$2:$Z$1001,0)))),""))</f>
        <v/>
      </c>
      <c r="I42">
        <f>IF(B42="","",IFERROR(INDEX('2.현장'!$N$2:$N$1001,IFERROR(MATCH(B42&amp;"|설계사",'2.현장'!$Z$2:$Z$1001,0),IFERROR(MATCH(B42&amp;"|시공사",'2.현장'!$Z$2:$Z$1001,0),MATCH(B42&amp;"|늦음",'2.현장'!$Z$2:$Z$1001,0)))),""))</f>
        <v/>
      </c>
      <c r="J42">
        <f>IF(B42="","",IFERROR(VLOOKUP(B42,설계사_메모!$A$3:$G$302,2,FALSE)&amp;"",""))</f>
        <v/>
      </c>
      <c r="K42">
        <f>IF(B42="","",IFERROR(VLOOKUP(B42,설계사_메모!$A$3:$G$302,4,FALSE)&amp;"",""))</f>
        <v/>
      </c>
      <c r="L42" s="6">
        <f>IF(B42="","",IF(COUNTIF('4.방문기록'!$B$3:$B$502,B42)=0,"",_xlfn.MAXIFS('4.방문기록'!$A$3:$A$502,'4.방문기록'!$B$3:$B$502,B42)))</f>
        <v/>
      </c>
      <c r="M42">
        <f>IF(L42="","",설정!$B$24-L42)</f>
        <v/>
      </c>
      <c r="N42" s="6">
        <f>IF(B42="","",IF(_xlfn.MAXIFS('4.방문기록'!$F$3:$F$502,'4.방문기록'!$B$3:$B$502,B42)=0,"",_xlfn.MAXIFS('4.방문기록'!$F$3:$F$502,'4.방문기록'!$B$3:$B$502,B42)))</f>
        <v/>
      </c>
      <c r="O42">
        <f>IF(L42="","",IFERROR(INDEX('4.방문기록'!$H$3:$H$502,MATCH(B42&amp;"|"&amp;(L42*1),'4.방문기록'!$I$3:$I$502,0))&amp;"",""))</f>
        <v/>
      </c>
      <c r="P42">
        <f>IF(B42="","",IF(O42="관심 없음","제외",IF(L42="","안 가봄",IF(M42&gt;=설정!$B$20,M42&amp;"일 지남","최근 방문"))))</f>
        <v/>
      </c>
      <c r="Q42" s="7">
        <f>IF(B42="","",IF(P42="제외","",IF(AND(설정!$B$21&lt;&gt;"",I42&lt;&gt;설정!$B$21),"",IF(AND(N42&lt;&gt;"",N42&gt;N(L42),N42&lt;=설정!$B$24+7),100+7-(N42-설정!$B$24),IF(AND(D42&gt;0,OR(P42="안 가봄",RIGHT(P42,2)="지남")),D42*10+IF(L42="",30,MIN(M42,60)/2)+MIN(N(F42)/1000,20),"")))))</f>
        <v/>
      </c>
      <c r="R42">
        <f>IF(Q42="","",COUNTIF(Q$4:Q$303,"&gt;"&amp;Q42)+COUNTIF(Q$4:Q42,Q42))</f>
        <v/>
      </c>
    </row>
    <row r="43">
      <c r="A43">
        <f>IF(B43="","",40)</f>
        <v/>
      </c>
      <c r="B43">
        <f>IFERROR(INDEX('2.현장'!$V$2:$V$1001,MATCH(40,'2.현장'!$W$2:$W$1001,0)),"")</f>
        <v/>
      </c>
      <c r="C43">
        <f>IF(B43="","",COUNTIFS('2.현장'!$V$2:$V$1001,B43,'2.현장'!$T$2:$T$1001,TRUE))</f>
        <v/>
      </c>
      <c r="D43">
        <f>IF(B43="","",COUNTIFS('2.현장'!$V$2:$V$1001,B43,'2.현장'!$U$2:$U$1001,"설계사"))</f>
        <v/>
      </c>
      <c r="E43">
        <f>IF(B43="","",COUNTIFS('2.현장'!$V$2:$V$1001,B43,'2.현장'!$U$2:$U$1001,"시공사"))</f>
        <v/>
      </c>
      <c r="F43" s="5">
        <f>IF(B43="","",_xlfn.MAXIFS('2.현장'!$D$2:$D$1001,'2.현장'!$V$2:$V$1001,B43,'2.현장'!$T$2:$T$1001,TRUE))</f>
        <v/>
      </c>
      <c r="G43" s="6">
        <f>IF(B43="","",IF(_xlfn.MAXIFS('2.현장'!$L$2:$L$1001,'2.현장'!$V$2:$V$1001,B43,'2.현장'!$T$2:$T$1001,TRUE)=0,"",_xlfn.MAXIFS('2.현장'!$L$2:$L$1001,'2.현장'!$V$2:$V$1001,B43,'2.현장'!$T$2:$T$1001,TRUE)))</f>
        <v/>
      </c>
      <c r="H43">
        <f>IF(B43="","",IFERROR(INDEX('2.현장'!$C$2:$C$1001,IFERROR(MATCH(B43&amp;"|설계사",'2.현장'!$Z$2:$Z$1001,0),IFERROR(MATCH(B43&amp;"|시공사",'2.현장'!$Z$2:$Z$1001,0),MATCH(B43&amp;"|늦음",'2.현장'!$Z$2:$Z$1001,0)))),""))</f>
        <v/>
      </c>
      <c r="I43">
        <f>IF(B43="","",IFERROR(INDEX('2.현장'!$N$2:$N$1001,IFERROR(MATCH(B43&amp;"|설계사",'2.현장'!$Z$2:$Z$1001,0),IFERROR(MATCH(B43&amp;"|시공사",'2.현장'!$Z$2:$Z$1001,0),MATCH(B43&amp;"|늦음",'2.현장'!$Z$2:$Z$1001,0)))),""))</f>
        <v/>
      </c>
      <c r="J43">
        <f>IF(B43="","",IFERROR(VLOOKUP(B43,설계사_메모!$A$3:$G$302,2,FALSE)&amp;"",""))</f>
        <v/>
      </c>
      <c r="K43">
        <f>IF(B43="","",IFERROR(VLOOKUP(B43,설계사_메모!$A$3:$G$302,4,FALSE)&amp;"",""))</f>
        <v/>
      </c>
      <c r="L43" s="6">
        <f>IF(B43="","",IF(COUNTIF('4.방문기록'!$B$3:$B$502,B43)=0,"",_xlfn.MAXIFS('4.방문기록'!$A$3:$A$502,'4.방문기록'!$B$3:$B$502,B43)))</f>
        <v/>
      </c>
      <c r="M43">
        <f>IF(L43="","",설정!$B$24-L43)</f>
        <v/>
      </c>
      <c r="N43" s="6">
        <f>IF(B43="","",IF(_xlfn.MAXIFS('4.방문기록'!$F$3:$F$502,'4.방문기록'!$B$3:$B$502,B43)=0,"",_xlfn.MAXIFS('4.방문기록'!$F$3:$F$502,'4.방문기록'!$B$3:$B$502,B43)))</f>
        <v/>
      </c>
      <c r="O43">
        <f>IF(L43="","",IFERROR(INDEX('4.방문기록'!$H$3:$H$502,MATCH(B43&amp;"|"&amp;(L43*1),'4.방문기록'!$I$3:$I$502,0))&amp;"",""))</f>
        <v/>
      </c>
      <c r="P43">
        <f>IF(B43="","",IF(O43="관심 없음","제외",IF(L43="","안 가봄",IF(M43&gt;=설정!$B$20,M43&amp;"일 지남","최근 방문"))))</f>
        <v/>
      </c>
      <c r="Q43" s="7">
        <f>IF(B43="","",IF(P43="제외","",IF(AND(설정!$B$21&lt;&gt;"",I43&lt;&gt;설정!$B$21),"",IF(AND(N43&lt;&gt;"",N43&gt;N(L43),N43&lt;=설정!$B$24+7),100+7-(N43-설정!$B$24),IF(AND(D43&gt;0,OR(P43="안 가봄",RIGHT(P43,2)="지남")),D43*10+IF(L43="",30,MIN(M43,60)/2)+MIN(N(F43)/1000,20),"")))))</f>
        <v/>
      </c>
      <c r="R43">
        <f>IF(Q43="","",COUNTIF(Q$4:Q$303,"&gt;"&amp;Q43)+COUNTIF(Q$4:Q43,Q43))</f>
        <v/>
      </c>
    </row>
    <row r="44">
      <c r="A44">
        <f>IF(B44="","",41)</f>
        <v/>
      </c>
      <c r="B44">
        <f>IFERROR(INDEX('2.현장'!$V$2:$V$1001,MATCH(41,'2.현장'!$W$2:$W$1001,0)),"")</f>
        <v/>
      </c>
      <c r="C44">
        <f>IF(B44="","",COUNTIFS('2.현장'!$V$2:$V$1001,B44,'2.현장'!$T$2:$T$1001,TRUE))</f>
        <v/>
      </c>
      <c r="D44">
        <f>IF(B44="","",COUNTIFS('2.현장'!$V$2:$V$1001,B44,'2.현장'!$U$2:$U$1001,"설계사"))</f>
        <v/>
      </c>
      <c r="E44">
        <f>IF(B44="","",COUNTIFS('2.현장'!$V$2:$V$1001,B44,'2.현장'!$U$2:$U$1001,"시공사"))</f>
        <v/>
      </c>
      <c r="F44" s="5">
        <f>IF(B44="","",_xlfn.MAXIFS('2.현장'!$D$2:$D$1001,'2.현장'!$V$2:$V$1001,B44,'2.현장'!$T$2:$T$1001,TRUE))</f>
        <v/>
      </c>
      <c r="G44" s="6">
        <f>IF(B44="","",IF(_xlfn.MAXIFS('2.현장'!$L$2:$L$1001,'2.현장'!$V$2:$V$1001,B44,'2.현장'!$T$2:$T$1001,TRUE)=0,"",_xlfn.MAXIFS('2.현장'!$L$2:$L$1001,'2.현장'!$V$2:$V$1001,B44,'2.현장'!$T$2:$T$1001,TRUE)))</f>
        <v/>
      </c>
      <c r="H44">
        <f>IF(B44="","",IFERROR(INDEX('2.현장'!$C$2:$C$1001,IFERROR(MATCH(B44&amp;"|설계사",'2.현장'!$Z$2:$Z$1001,0),IFERROR(MATCH(B44&amp;"|시공사",'2.현장'!$Z$2:$Z$1001,0),MATCH(B44&amp;"|늦음",'2.현장'!$Z$2:$Z$1001,0)))),""))</f>
        <v/>
      </c>
      <c r="I44">
        <f>IF(B44="","",IFERROR(INDEX('2.현장'!$N$2:$N$1001,IFERROR(MATCH(B44&amp;"|설계사",'2.현장'!$Z$2:$Z$1001,0),IFERROR(MATCH(B44&amp;"|시공사",'2.현장'!$Z$2:$Z$1001,0),MATCH(B44&amp;"|늦음",'2.현장'!$Z$2:$Z$1001,0)))),""))</f>
        <v/>
      </c>
      <c r="J44">
        <f>IF(B44="","",IFERROR(VLOOKUP(B44,설계사_메모!$A$3:$G$302,2,FALSE)&amp;"",""))</f>
        <v/>
      </c>
      <c r="K44">
        <f>IF(B44="","",IFERROR(VLOOKUP(B44,설계사_메모!$A$3:$G$302,4,FALSE)&amp;"",""))</f>
        <v/>
      </c>
      <c r="L44" s="6">
        <f>IF(B44="","",IF(COUNTIF('4.방문기록'!$B$3:$B$502,B44)=0,"",_xlfn.MAXIFS('4.방문기록'!$A$3:$A$502,'4.방문기록'!$B$3:$B$502,B44)))</f>
        <v/>
      </c>
      <c r="M44">
        <f>IF(L44="","",설정!$B$24-L44)</f>
        <v/>
      </c>
      <c r="N44" s="6">
        <f>IF(B44="","",IF(_xlfn.MAXIFS('4.방문기록'!$F$3:$F$502,'4.방문기록'!$B$3:$B$502,B44)=0,"",_xlfn.MAXIFS('4.방문기록'!$F$3:$F$502,'4.방문기록'!$B$3:$B$502,B44)))</f>
        <v/>
      </c>
      <c r="O44">
        <f>IF(L44="","",IFERROR(INDEX('4.방문기록'!$H$3:$H$502,MATCH(B44&amp;"|"&amp;(L44*1),'4.방문기록'!$I$3:$I$502,0))&amp;"",""))</f>
        <v/>
      </c>
      <c r="P44">
        <f>IF(B44="","",IF(O44="관심 없음","제외",IF(L44="","안 가봄",IF(M44&gt;=설정!$B$20,M44&amp;"일 지남","최근 방문"))))</f>
        <v/>
      </c>
      <c r="Q44" s="7">
        <f>IF(B44="","",IF(P44="제외","",IF(AND(설정!$B$21&lt;&gt;"",I44&lt;&gt;설정!$B$21),"",IF(AND(N44&lt;&gt;"",N44&gt;N(L44),N44&lt;=설정!$B$24+7),100+7-(N44-설정!$B$24),IF(AND(D44&gt;0,OR(P44="안 가봄",RIGHT(P44,2)="지남")),D44*10+IF(L44="",30,MIN(M44,60)/2)+MIN(N(F44)/1000,20),"")))))</f>
        <v/>
      </c>
      <c r="R44">
        <f>IF(Q44="","",COUNTIF(Q$4:Q$303,"&gt;"&amp;Q44)+COUNTIF(Q$4:Q44,Q44))</f>
        <v/>
      </c>
    </row>
    <row r="45">
      <c r="A45">
        <f>IF(B45="","",42)</f>
        <v/>
      </c>
      <c r="B45">
        <f>IFERROR(INDEX('2.현장'!$V$2:$V$1001,MATCH(42,'2.현장'!$W$2:$W$1001,0)),"")</f>
        <v/>
      </c>
      <c r="C45">
        <f>IF(B45="","",COUNTIFS('2.현장'!$V$2:$V$1001,B45,'2.현장'!$T$2:$T$1001,TRUE))</f>
        <v/>
      </c>
      <c r="D45">
        <f>IF(B45="","",COUNTIFS('2.현장'!$V$2:$V$1001,B45,'2.현장'!$U$2:$U$1001,"설계사"))</f>
        <v/>
      </c>
      <c r="E45">
        <f>IF(B45="","",COUNTIFS('2.현장'!$V$2:$V$1001,B45,'2.현장'!$U$2:$U$1001,"시공사"))</f>
        <v/>
      </c>
      <c r="F45" s="5">
        <f>IF(B45="","",_xlfn.MAXIFS('2.현장'!$D$2:$D$1001,'2.현장'!$V$2:$V$1001,B45,'2.현장'!$T$2:$T$1001,TRUE))</f>
        <v/>
      </c>
      <c r="G45" s="6">
        <f>IF(B45="","",IF(_xlfn.MAXIFS('2.현장'!$L$2:$L$1001,'2.현장'!$V$2:$V$1001,B45,'2.현장'!$T$2:$T$1001,TRUE)=0,"",_xlfn.MAXIFS('2.현장'!$L$2:$L$1001,'2.현장'!$V$2:$V$1001,B45,'2.현장'!$T$2:$T$1001,TRUE)))</f>
        <v/>
      </c>
      <c r="H45">
        <f>IF(B45="","",IFERROR(INDEX('2.현장'!$C$2:$C$1001,IFERROR(MATCH(B45&amp;"|설계사",'2.현장'!$Z$2:$Z$1001,0),IFERROR(MATCH(B45&amp;"|시공사",'2.현장'!$Z$2:$Z$1001,0),MATCH(B45&amp;"|늦음",'2.현장'!$Z$2:$Z$1001,0)))),""))</f>
        <v/>
      </c>
      <c r="I45">
        <f>IF(B45="","",IFERROR(INDEX('2.현장'!$N$2:$N$1001,IFERROR(MATCH(B45&amp;"|설계사",'2.현장'!$Z$2:$Z$1001,0),IFERROR(MATCH(B45&amp;"|시공사",'2.현장'!$Z$2:$Z$1001,0),MATCH(B45&amp;"|늦음",'2.현장'!$Z$2:$Z$1001,0)))),""))</f>
        <v/>
      </c>
      <c r="J45">
        <f>IF(B45="","",IFERROR(VLOOKUP(B45,설계사_메모!$A$3:$G$302,2,FALSE)&amp;"",""))</f>
        <v/>
      </c>
      <c r="K45">
        <f>IF(B45="","",IFERROR(VLOOKUP(B45,설계사_메모!$A$3:$G$302,4,FALSE)&amp;"",""))</f>
        <v/>
      </c>
      <c r="L45" s="6">
        <f>IF(B45="","",IF(COUNTIF('4.방문기록'!$B$3:$B$502,B45)=0,"",_xlfn.MAXIFS('4.방문기록'!$A$3:$A$502,'4.방문기록'!$B$3:$B$502,B45)))</f>
        <v/>
      </c>
      <c r="M45">
        <f>IF(L45="","",설정!$B$24-L45)</f>
        <v/>
      </c>
      <c r="N45" s="6">
        <f>IF(B45="","",IF(_xlfn.MAXIFS('4.방문기록'!$F$3:$F$502,'4.방문기록'!$B$3:$B$502,B45)=0,"",_xlfn.MAXIFS('4.방문기록'!$F$3:$F$502,'4.방문기록'!$B$3:$B$502,B45)))</f>
        <v/>
      </c>
      <c r="O45">
        <f>IF(L45="","",IFERROR(INDEX('4.방문기록'!$H$3:$H$502,MATCH(B45&amp;"|"&amp;(L45*1),'4.방문기록'!$I$3:$I$502,0))&amp;"",""))</f>
        <v/>
      </c>
      <c r="P45">
        <f>IF(B45="","",IF(O45="관심 없음","제외",IF(L45="","안 가봄",IF(M45&gt;=설정!$B$20,M45&amp;"일 지남","최근 방문"))))</f>
        <v/>
      </c>
      <c r="Q45" s="7">
        <f>IF(B45="","",IF(P45="제외","",IF(AND(설정!$B$21&lt;&gt;"",I45&lt;&gt;설정!$B$21),"",IF(AND(N45&lt;&gt;"",N45&gt;N(L45),N45&lt;=설정!$B$24+7),100+7-(N45-설정!$B$24),IF(AND(D45&gt;0,OR(P45="안 가봄",RIGHT(P45,2)="지남")),D45*10+IF(L45="",30,MIN(M45,60)/2)+MIN(N(F45)/1000,20),"")))))</f>
        <v/>
      </c>
      <c r="R45">
        <f>IF(Q45="","",COUNTIF(Q$4:Q$303,"&gt;"&amp;Q45)+COUNTIF(Q$4:Q45,Q45))</f>
        <v/>
      </c>
    </row>
    <row r="46">
      <c r="A46">
        <f>IF(B46="","",43)</f>
        <v/>
      </c>
      <c r="B46">
        <f>IFERROR(INDEX('2.현장'!$V$2:$V$1001,MATCH(43,'2.현장'!$W$2:$W$1001,0)),"")</f>
        <v/>
      </c>
      <c r="C46">
        <f>IF(B46="","",COUNTIFS('2.현장'!$V$2:$V$1001,B46,'2.현장'!$T$2:$T$1001,TRUE))</f>
        <v/>
      </c>
      <c r="D46">
        <f>IF(B46="","",COUNTIFS('2.현장'!$V$2:$V$1001,B46,'2.현장'!$U$2:$U$1001,"설계사"))</f>
        <v/>
      </c>
      <c r="E46">
        <f>IF(B46="","",COUNTIFS('2.현장'!$V$2:$V$1001,B46,'2.현장'!$U$2:$U$1001,"시공사"))</f>
        <v/>
      </c>
      <c r="F46" s="5">
        <f>IF(B46="","",_xlfn.MAXIFS('2.현장'!$D$2:$D$1001,'2.현장'!$V$2:$V$1001,B46,'2.현장'!$T$2:$T$1001,TRUE))</f>
        <v/>
      </c>
      <c r="G46" s="6">
        <f>IF(B46="","",IF(_xlfn.MAXIFS('2.현장'!$L$2:$L$1001,'2.현장'!$V$2:$V$1001,B46,'2.현장'!$T$2:$T$1001,TRUE)=0,"",_xlfn.MAXIFS('2.현장'!$L$2:$L$1001,'2.현장'!$V$2:$V$1001,B46,'2.현장'!$T$2:$T$1001,TRUE)))</f>
        <v/>
      </c>
      <c r="H46">
        <f>IF(B46="","",IFERROR(INDEX('2.현장'!$C$2:$C$1001,IFERROR(MATCH(B46&amp;"|설계사",'2.현장'!$Z$2:$Z$1001,0),IFERROR(MATCH(B46&amp;"|시공사",'2.현장'!$Z$2:$Z$1001,0),MATCH(B46&amp;"|늦음",'2.현장'!$Z$2:$Z$1001,0)))),""))</f>
        <v/>
      </c>
      <c r="I46">
        <f>IF(B46="","",IFERROR(INDEX('2.현장'!$N$2:$N$1001,IFERROR(MATCH(B46&amp;"|설계사",'2.현장'!$Z$2:$Z$1001,0),IFERROR(MATCH(B46&amp;"|시공사",'2.현장'!$Z$2:$Z$1001,0),MATCH(B46&amp;"|늦음",'2.현장'!$Z$2:$Z$1001,0)))),""))</f>
        <v/>
      </c>
      <c r="J46">
        <f>IF(B46="","",IFERROR(VLOOKUP(B46,설계사_메모!$A$3:$G$302,2,FALSE)&amp;"",""))</f>
        <v/>
      </c>
      <c r="K46">
        <f>IF(B46="","",IFERROR(VLOOKUP(B46,설계사_메모!$A$3:$G$302,4,FALSE)&amp;"",""))</f>
        <v/>
      </c>
      <c r="L46" s="6">
        <f>IF(B46="","",IF(COUNTIF('4.방문기록'!$B$3:$B$502,B46)=0,"",_xlfn.MAXIFS('4.방문기록'!$A$3:$A$502,'4.방문기록'!$B$3:$B$502,B46)))</f>
        <v/>
      </c>
      <c r="M46">
        <f>IF(L46="","",설정!$B$24-L46)</f>
        <v/>
      </c>
      <c r="N46" s="6">
        <f>IF(B46="","",IF(_xlfn.MAXIFS('4.방문기록'!$F$3:$F$502,'4.방문기록'!$B$3:$B$502,B46)=0,"",_xlfn.MAXIFS('4.방문기록'!$F$3:$F$502,'4.방문기록'!$B$3:$B$502,B46)))</f>
        <v/>
      </c>
      <c r="O46">
        <f>IF(L46="","",IFERROR(INDEX('4.방문기록'!$H$3:$H$502,MATCH(B46&amp;"|"&amp;(L46*1),'4.방문기록'!$I$3:$I$502,0))&amp;"",""))</f>
        <v/>
      </c>
      <c r="P46">
        <f>IF(B46="","",IF(O46="관심 없음","제외",IF(L46="","안 가봄",IF(M46&gt;=설정!$B$20,M46&amp;"일 지남","최근 방문"))))</f>
        <v/>
      </c>
      <c r="Q46" s="7">
        <f>IF(B46="","",IF(P46="제외","",IF(AND(설정!$B$21&lt;&gt;"",I46&lt;&gt;설정!$B$21),"",IF(AND(N46&lt;&gt;"",N46&gt;N(L46),N46&lt;=설정!$B$24+7),100+7-(N46-설정!$B$24),IF(AND(D46&gt;0,OR(P46="안 가봄",RIGHT(P46,2)="지남")),D46*10+IF(L46="",30,MIN(M46,60)/2)+MIN(N(F46)/1000,20),"")))))</f>
        <v/>
      </c>
      <c r="R46">
        <f>IF(Q46="","",COUNTIF(Q$4:Q$303,"&gt;"&amp;Q46)+COUNTIF(Q$4:Q46,Q46))</f>
        <v/>
      </c>
    </row>
    <row r="47">
      <c r="A47">
        <f>IF(B47="","",44)</f>
        <v/>
      </c>
      <c r="B47">
        <f>IFERROR(INDEX('2.현장'!$V$2:$V$1001,MATCH(44,'2.현장'!$W$2:$W$1001,0)),"")</f>
        <v/>
      </c>
      <c r="C47">
        <f>IF(B47="","",COUNTIFS('2.현장'!$V$2:$V$1001,B47,'2.현장'!$T$2:$T$1001,TRUE))</f>
        <v/>
      </c>
      <c r="D47">
        <f>IF(B47="","",COUNTIFS('2.현장'!$V$2:$V$1001,B47,'2.현장'!$U$2:$U$1001,"설계사"))</f>
        <v/>
      </c>
      <c r="E47">
        <f>IF(B47="","",COUNTIFS('2.현장'!$V$2:$V$1001,B47,'2.현장'!$U$2:$U$1001,"시공사"))</f>
        <v/>
      </c>
      <c r="F47" s="5">
        <f>IF(B47="","",_xlfn.MAXIFS('2.현장'!$D$2:$D$1001,'2.현장'!$V$2:$V$1001,B47,'2.현장'!$T$2:$T$1001,TRUE))</f>
        <v/>
      </c>
      <c r="G47" s="6">
        <f>IF(B47="","",IF(_xlfn.MAXIFS('2.현장'!$L$2:$L$1001,'2.현장'!$V$2:$V$1001,B47,'2.현장'!$T$2:$T$1001,TRUE)=0,"",_xlfn.MAXIFS('2.현장'!$L$2:$L$1001,'2.현장'!$V$2:$V$1001,B47,'2.현장'!$T$2:$T$1001,TRUE)))</f>
        <v/>
      </c>
      <c r="H47">
        <f>IF(B47="","",IFERROR(INDEX('2.현장'!$C$2:$C$1001,IFERROR(MATCH(B47&amp;"|설계사",'2.현장'!$Z$2:$Z$1001,0),IFERROR(MATCH(B47&amp;"|시공사",'2.현장'!$Z$2:$Z$1001,0),MATCH(B47&amp;"|늦음",'2.현장'!$Z$2:$Z$1001,0)))),""))</f>
        <v/>
      </c>
      <c r="I47">
        <f>IF(B47="","",IFERROR(INDEX('2.현장'!$N$2:$N$1001,IFERROR(MATCH(B47&amp;"|설계사",'2.현장'!$Z$2:$Z$1001,0),IFERROR(MATCH(B47&amp;"|시공사",'2.현장'!$Z$2:$Z$1001,0),MATCH(B47&amp;"|늦음",'2.현장'!$Z$2:$Z$1001,0)))),""))</f>
        <v/>
      </c>
      <c r="J47">
        <f>IF(B47="","",IFERROR(VLOOKUP(B47,설계사_메모!$A$3:$G$302,2,FALSE)&amp;"",""))</f>
        <v/>
      </c>
      <c r="K47">
        <f>IF(B47="","",IFERROR(VLOOKUP(B47,설계사_메모!$A$3:$G$302,4,FALSE)&amp;"",""))</f>
        <v/>
      </c>
      <c r="L47" s="6">
        <f>IF(B47="","",IF(COUNTIF('4.방문기록'!$B$3:$B$502,B47)=0,"",_xlfn.MAXIFS('4.방문기록'!$A$3:$A$502,'4.방문기록'!$B$3:$B$502,B47)))</f>
        <v/>
      </c>
      <c r="M47">
        <f>IF(L47="","",설정!$B$24-L47)</f>
        <v/>
      </c>
      <c r="N47" s="6">
        <f>IF(B47="","",IF(_xlfn.MAXIFS('4.방문기록'!$F$3:$F$502,'4.방문기록'!$B$3:$B$502,B47)=0,"",_xlfn.MAXIFS('4.방문기록'!$F$3:$F$502,'4.방문기록'!$B$3:$B$502,B47)))</f>
        <v/>
      </c>
      <c r="O47">
        <f>IF(L47="","",IFERROR(INDEX('4.방문기록'!$H$3:$H$502,MATCH(B47&amp;"|"&amp;(L47*1),'4.방문기록'!$I$3:$I$502,0))&amp;"",""))</f>
        <v/>
      </c>
      <c r="P47">
        <f>IF(B47="","",IF(O47="관심 없음","제외",IF(L47="","안 가봄",IF(M47&gt;=설정!$B$20,M47&amp;"일 지남","최근 방문"))))</f>
        <v/>
      </c>
      <c r="Q47" s="7">
        <f>IF(B47="","",IF(P47="제외","",IF(AND(설정!$B$21&lt;&gt;"",I47&lt;&gt;설정!$B$21),"",IF(AND(N47&lt;&gt;"",N47&gt;N(L47),N47&lt;=설정!$B$24+7),100+7-(N47-설정!$B$24),IF(AND(D47&gt;0,OR(P47="안 가봄",RIGHT(P47,2)="지남")),D47*10+IF(L47="",30,MIN(M47,60)/2)+MIN(N(F47)/1000,20),"")))))</f>
        <v/>
      </c>
      <c r="R47">
        <f>IF(Q47="","",COUNTIF(Q$4:Q$303,"&gt;"&amp;Q47)+COUNTIF(Q$4:Q47,Q47))</f>
        <v/>
      </c>
    </row>
    <row r="48">
      <c r="A48">
        <f>IF(B48="","",45)</f>
        <v/>
      </c>
      <c r="B48">
        <f>IFERROR(INDEX('2.현장'!$V$2:$V$1001,MATCH(45,'2.현장'!$W$2:$W$1001,0)),"")</f>
        <v/>
      </c>
      <c r="C48">
        <f>IF(B48="","",COUNTIFS('2.현장'!$V$2:$V$1001,B48,'2.현장'!$T$2:$T$1001,TRUE))</f>
        <v/>
      </c>
      <c r="D48">
        <f>IF(B48="","",COUNTIFS('2.현장'!$V$2:$V$1001,B48,'2.현장'!$U$2:$U$1001,"설계사"))</f>
        <v/>
      </c>
      <c r="E48">
        <f>IF(B48="","",COUNTIFS('2.현장'!$V$2:$V$1001,B48,'2.현장'!$U$2:$U$1001,"시공사"))</f>
        <v/>
      </c>
      <c r="F48" s="5">
        <f>IF(B48="","",_xlfn.MAXIFS('2.현장'!$D$2:$D$1001,'2.현장'!$V$2:$V$1001,B48,'2.현장'!$T$2:$T$1001,TRUE))</f>
        <v/>
      </c>
      <c r="G48" s="6">
        <f>IF(B48="","",IF(_xlfn.MAXIFS('2.현장'!$L$2:$L$1001,'2.현장'!$V$2:$V$1001,B48,'2.현장'!$T$2:$T$1001,TRUE)=0,"",_xlfn.MAXIFS('2.현장'!$L$2:$L$1001,'2.현장'!$V$2:$V$1001,B48,'2.현장'!$T$2:$T$1001,TRUE)))</f>
        <v/>
      </c>
      <c r="H48">
        <f>IF(B48="","",IFERROR(INDEX('2.현장'!$C$2:$C$1001,IFERROR(MATCH(B48&amp;"|설계사",'2.현장'!$Z$2:$Z$1001,0),IFERROR(MATCH(B48&amp;"|시공사",'2.현장'!$Z$2:$Z$1001,0),MATCH(B48&amp;"|늦음",'2.현장'!$Z$2:$Z$1001,0)))),""))</f>
        <v/>
      </c>
      <c r="I48">
        <f>IF(B48="","",IFERROR(INDEX('2.현장'!$N$2:$N$1001,IFERROR(MATCH(B48&amp;"|설계사",'2.현장'!$Z$2:$Z$1001,0),IFERROR(MATCH(B48&amp;"|시공사",'2.현장'!$Z$2:$Z$1001,0),MATCH(B48&amp;"|늦음",'2.현장'!$Z$2:$Z$1001,0)))),""))</f>
        <v/>
      </c>
      <c r="J48">
        <f>IF(B48="","",IFERROR(VLOOKUP(B48,설계사_메모!$A$3:$G$302,2,FALSE)&amp;"",""))</f>
        <v/>
      </c>
      <c r="K48">
        <f>IF(B48="","",IFERROR(VLOOKUP(B48,설계사_메모!$A$3:$G$302,4,FALSE)&amp;"",""))</f>
        <v/>
      </c>
      <c r="L48" s="6">
        <f>IF(B48="","",IF(COUNTIF('4.방문기록'!$B$3:$B$502,B48)=0,"",_xlfn.MAXIFS('4.방문기록'!$A$3:$A$502,'4.방문기록'!$B$3:$B$502,B48)))</f>
        <v/>
      </c>
      <c r="M48">
        <f>IF(L48="","",설정!$B$24-L48)</f>
        <v/>
      </c>
      <c r="N48" s="6">
        <f>IF(B48="","",IF(_xlfn.MAXIFS('4.방문기록'!$F$3:$F$502,'4.방문기록'!$B$3:$B$502,B48)=0,"",_xlfn.MAXIFS('4.방문기록'!$F$3:$F$502,'4.방문기록'!$B$3:$B$502,B48)))</f>
        <v/>
      </c>
      <c r="O48">
        <f>IF(L48="","",IFERROR(INDEX('4.방문기록'!$H$3:$H$502,MATCH(B48&amp;"|"&amp;(L48*1),'4.방문기록'!$I$3:$I$502,0))&amp;"",""))</f>
        <v/>
      </c>
      <c r="P48">
        <f>IF(B48="","",IF(O48="관심 없음","제외",IF(L48="","안 가봄",IF(M48&gt;=설정!$B$20,M48&amp;"일 지남","최근 방문"))))</f>
        <v/>
      </c>
      <c r="Q48" s="7">
        <f>IF(B48="","",IF(P48="제외","",IF(AND(설정!$B$21&lt;&gt;"",I48&lt;&gt;설정!$B$21),"",IF(AND(N48&lt;&gt;"",N48&gt;N(L48),N48&lt;=설정!$B$24+7),100+7-(N48-설정!$B$24),IF(AND(D48&gt;0,OR(P48="안 가봄",RIGHT(P48,2)="지남")),D48*10+IF(L48="",30,MIN(M48,60)/2)+MIN(N(F48)/1000,20),"")))))</f>
        <v/>
      </c>
      <c r="R48">
        <f>IF(Q48="","",COUNTIF(Q$4:Q$303,"&gt;"&amp;Q48)+COUNTIF(Q$4:Q48,Q48))</f>
        <v/>
      </c>
    </row>
    <row r="49">
      <c r="A49">
        <f>IF(B49="","",46)</f>
        <v/>
      </c>
      <c r="B49">
        <f>IFERROR(INDEX('2.현장'!$V$2:$V$1001,MATCH(46,'2.현장'!$W$2:$W$1001,0)),"")</f>
        <v/>
      </c>
      <c r="C49">
        <f>IF(B49="","",COUNTIFS('2.현장'!$V$2:$V$1001,B49,'2.현장'!$T$2:$T$1001,TRUE))</f>
        <v/>
      </c>
      <c r="D49">
        <f>IF(B49="","",COUNTIFS('2.현장'!$V$2:$V$1001,B49,'2.현장'!$U$2:$U$1001,"설계사"))</f>
        <v/>
      </c>
      <c r="E49">
        <f>IF(B49="","",COUNTIFS('2.현장'!$V$2:$V$1001,B49,'2.현장'!$U$2:$U$1001,"시공사"))</f>
        <v/>
      </c>
      <c r="F49" s="5">
        <f>IF(B49="","",_xlfn.MAXIFS('2.현장'!$D$2:$D$1001,'2.현장'!$V$2:$V$1001,B49,'2.현장'!$T$2:$T$1001,TRUE))</f>
        <v/>
      </c>
      <c r="G49" s="6">
        <f>IF(B49="","",IF(_xlfn.MAXIFS('2.현장'!$L$2:$L$1001,'2.현장'!$V$2:$V$1001,B49,'2.현장'!$T$2:$T$1001,TRUE)=0,"",_xlfn.MAXIFS('2.현장'!$L$2:$L$1001,'2.현장'!$V$2:$V$1001,B49,'2.현장'!$T$2:$T$1001,TRUE)))</f>
        <v/>
      </c>
      <c r="H49">
        <f>IF(B49="","",IFERROR(INDEX('2.현장'!$C$2:$C$1001,IFERROR(MATCH(B49&amp;"|설계사",'2.현장'!$Z$2:$Z$1001,0),IFERROR(MATCH(B49&amp;"|시공사",'2.현장'!$Z$2:$Z$1001,0),MATCH(B49&amp;"|늦음",'2.현장'!$Z$2:$Z$1001,0)))),""))</f>
        <v/>
      </c>
      <c r="I49">
        <f>IF(B49="","",IFERROR(INDEX('2.현장'!$N$2:$N$1001,IFERROR(MATCH(B49&amp;"|설계사",'2.현장'!$Z$2:$Z$1001,0),IFERROR(MATCH(B49&amp;"|시공사",'2.현장'!$Z$2:$Z$1001,0),MATCH(B49&amp;"|늦음",'2.현장'!$Z$2:$Z$1001,0)))),""))</f>
        <v/>
      </c>
      <c r="J49">
        <f>IF(B49="","",IFERROR(VLOOKUP(B49,설계사_메모!$A$3:$G$302,2,FALSE)&amp;"",""))</f>
        <v/>
      </c>
      <c r="K49">
        <f>IF(B49="","",IFERROR(VLOOKUP(B49,설계사_메모!$A$3:$G$302,4,FALSE)&amp;"",""))</f>
        <v/>
      </c>
      <c r="L49" s="6">
        <f>IF(B49="","",IF(COUNTIF('4.방문기록'!$B$3:$B$502,B49)=0,"",_xlfn.MAXIFS('4.방문기록'!$A$3:$A$502,'4.방문기록'!$B$3:$B$502,B49)))</f>
        <v/>
      </c>
      <c r="M49">
        <f>IF(L49="","",설정!$B$24-L49)</f>
        <v/>
      </c>
      <c r="N49" s="6">
        <f>IF(B49="","",IF(_xlfn.MAXIFS('4.방문기록'!$F$3:$F$502,'4.방문기록'!$B$3:$B$502,B49)=0,"",_xlfn.MAXIFS('4.방문기록'!$F$3:$F$502,'4.방문기록'!$B$3:$B$502,B49)))</f>
        <v/>
      </c>
      <c r="O49">
        <f>IF(L49="","",IFERROR(INDEX('4.방문기록'!$H$3:$H$502,MATCH(B49&amp;"|"&amp;(L49*1),'4.방문기록'!$I$3:$I$502,0))&amp;"",""))</f>
        <v/>
      </c>
      <c r="P49">
        <f>IF(B49="","",IF(O49="관심 없음","제외",IF(L49="","안 가봄",IF(M49&gt;=설정!$B$20,M49&amp;"일 지남","최근 방문"))))</f>
        <v/>
      </c>
      <c r="Q49" s="7">
        <f>IF(B49="","",IF(P49="제외","",IF(AND(설정!$B$21&lt;&gt;"",I49&lt;&gt;설정!$B$21),"",IF(AND(N49&lt;&gt;"",N49&gt;N(L49),N49&lt;=설정!$B$24+7),100+7-(N49-설정!$B$24),IF(AND(D49&gt;0,OR(P49="안 가봄",RIGHT(P49,2)="지남")),D49*10+IF(L49="",30,MIN(M49,60)/2)+MIN(N(F49)/1000,20),"")))))</f>
        <v/>
      </c>
      <c r="R49">
        <f>IF(Q49="","",COUNTIF(Q$4:Q$303,"&gt;"&amp;Q49)+COUNTIF(Q$4:Q49,Q49))</f>
        <v/>
      </c>
    </row>
    <row r="50">
      <c r="A50">
        <f>IF(B50="","",47)</f>
        <v/>
      </c>
      <c r="B50">
        <f>IFERROR(INDEX('2.현장'!$V$2:$V$1001,MATCH(47,'2.현장'!$W$2:$W$1001,0)),"")</f>
        <v/>
      </c>
      <c r="C50">
        <f>IF(B50="","",COUNTIFS('2.현장'!$V$2:$V$1001,B50,'2.현장'!$T$2:$T$1001,TRUE))</f>
        <v/>
      </c>
      <c r="D50">
        <f>IF(B50="","",COUNTIFS('2.현장'!$V$2:$V$1001,B50,'2.현장'!$U$2:$U$1001,"설계사"))</f>
        <v/>
      </c>
      <c r="E50">
        <f>IF(B50="","",COUNTIFS('2.현장'!$V$2:$V$1001,B50,'2.현장'!$U$2:$U$1001,"시공사"))</f>
        <v/>
      </c>
      <c r="F50" s="5">
        <f>IF(B50="","",_xlfn.MAXIFS('2.현장'!$D$2:$D$1001,'2.현장'!$V$2:$V$1001,B50,'2.현장'!$T$2:$T$1001,TRUE))</f>
        <v/>
      </c>
      <c r="G50" s="6">
        <f>IF(B50="","",IF(_xlfn.MAXIFS('2.현장'!$L$2:$L$1001,'2.현장'!$V$2:$V$1001,B50,'2.현장'!$T$2:$T$1001,TRUE)=0,"",_xlfn.MAXIFS('2.현장'!$L$2:$L$1001,'2.현장'!$V$2:$V$1001,B50,'2.현장'!$T$2:$T$1001,TRUE)))</f>
        <v/>
      </c>
      <c r="H50">
        <f>IF(B50="","",IFERROR(INDEX('2.현장'!$C$2:$C$1001,IFERROR(MATCH(B50&amp;"|설계사",'2.현장'!$Z$2:$Z$1001,0),IFERROR(MATCH(B50&amp;"|시공사",'2.현장'!$Z$2:$Z$1001,0),MATCH(B50&amp;"|늦음",'2.현장'!$Z$2:$Z$1001,0)))),""))</f>
        <v/>
      </c>
      <c r="I50">
        <f>IF(B50="","",IFERROR(INDEX('2.현장'!$N$2:$N$1001,IFERROR(MATCH(B50&amp;"|설계사",'2.현장'!$Z$2:$Z$1001,0),IFERROR(MATCH(B50&amp;"|시공사",'2.현장'!$Z$2:$Z$1001,0),MATCH(B50&amp;"|늦음",'2.현장'!$Z$2:$Z$1001,0)))),""))</f>
        <v/>
      </c>
      <c r="J50">
        <f>IF(B50="","",IFERROR(VLOOKUP(B50,설계사_메모!$A$3:$G$302,2,FALSE)&amp;"",""))</f>
        <v/>
      </c>
      <c r="K50">
        <f>IF(B50="","",IFERROR(VLOOKUP(B50,설계사_메모!$A$3:$G$302,4,FALSE)&amp;"",""))</f>
        <v/>
      </c>
      <c r="L50" s="6">
        <f>IF(B50="","",IF(COUNTIF('4.방문기록'!$B$3:$B$502,B50)=0,"",_xlfn.MAXIFS('4.방문기록'!$A$3:$A$502,'4.방문기록'!$B$3:$B$502,B50)))</f>
        <v/>
      </c>
      <c r="M50">
        <f>IF(L50="","",설정!$B$24-L50)</f>
        <v/>
      </c>
      <c r="N50" s="6">
        <f>IF(B50="","",IF(_xlfn.MAXIFS('4.방문기록'!$F$3:$F$502,'4.방문기록'!$B$3:$B$502,B50)=0,"",_xlfn.MAXIFS('4.방문기록'!$F$3:$F$502,'4.방문기록'!$B$3:$B$502,B50)))</f>
        <v/>
      </c>
      <c r="O50">
        <f>IF(L50="","",IFERROR(INDEX('4.방문기록'!$H$3:$H$502,MATCH(B50&amp;"|"&amp;(L50*1),'4.방문기록'!$I$3:$I$502,0))&amp;"",""))</f>
        <v/>
      </c>
      <c r="P50">
        <f>IF(B50="","",IF(O50="관심 없음","제외",IF(L50="","안 가봄",IF(M50&gt;=설정!$B$20,M50&amp;"일 지남","최근 방문"))))</f>
        <v/>
      </c>
      <c r="Q50" s="7">
        <f>IF(B50="","",IF(P50="제외","",IF(AND(설정!$B$21&lt;&gt;"",I50&lt;&gt;설정!$B$21),"",IF(AND(N50&lt;&gt;"",N50&gt;N(L50),N50&lt;=설정!$B$24+7),100+7-(N50-설정!$B$24),IF(AND(D50&gt;0,OR(P50="안 가봄",RIGHT(P50,2)="지남")),D50*10+IF(L50="",30,MIN(M50,60)/2)+MIN(N(F50)/1000,20),"")))))</f>
        <v/>
      </c>
      <c r="R50">
        <f>IF(Q50="","",COUNTIF(Q$4:Q$303,"&gt;"&amp;Q50)+COUNTIF(Q$4:Q50,Q50))</f>
        <v/>
      </c>
    </row>
    <row r="51">
      <c r="A51">
        <f>IF(B51="","",48)</f>
        <v/>
      </c>
      <c r="B51">
        <f>IFERROR(INDEX('2.현장'!$V$2:$V$1001,MATCH(48,'2.현장'!$W$2:$W$1001,0)),"")</f>
        <v/>
      </c>
      <c r="C51">
        <f>IF(B51="","",COUNTIFS('2.현장'!$V$2:$V$1001,B51,'2.현장'!$T$2:$T$1001,TRUE))</f>
        <v/>
      </c>
      <c r="D51">
        <f>IF(B51="","",COUNTIFS('2.현장'!$V$2:$V$1001,B51,'2.현장'!$U$2:$U$1001,"설계사"))</f>
        <v/>
      </c>
      <c r="E51">
        <f>IF(B51="","",COUNTIFS('2.현장'!$V$2:$V$1001,B51,'2.현장'!$U$2:$U$1001,"시공사"))</f>
        <v/>
      </c>
      <c r="F51" s="5">
        <f>IF(B51="","",_xlfn.MAXIFS('2.현장'!$D$2:$D$1001,'2.현장'!$V$2:$V$1001,B51,'2.현장'!$T$2:$T$1001,TRUE))</f>
        <v/>
      </c>
      <c r="G51" s="6">
        <f>IF(B51="","",IF(_xlfn.MAXIFS('2.현장'!$L$2:$L$1001,'2.현장'!$V$2:$V$1001,B51,'2.현장'!$T$2:$T$1001,TRUE)=0,"",_xlfn.MAXIFS('2.현장'!$L$2:$L$1001,'2.현장'!$V$2:$V$1001,B51,'2.현장'!$T$2:$T$1001,TRUE)))</f>
        <v/>
      </c>
      <c r="H51">
        <f>IF(B51="","",IFERROR(INDEX('2.현장'!$C$2:$C$1001,IFERROR(MATCH(B51&amp;"|설계사",'2.현장'!$Z$2:$Z$1001,0),IFERROR(MATCH(B51&amp;"|시공사",'2.현장'!$Z$2:$Z$1001,0),MATCH(B51&amp;"|늦음",'2.현장'!$Z$2:$Z$1001,0)))),""))</f>
        <v/>
      </c>
      <c r="I51">
        <f>IF(B51="","",IFERROR(INDEX('2.현장'!$N$2:$N$1001,IFERROR(MATCH(B51&amp;"|설계사",'2.현장'!$Z$2:$Z$1001,0),IFERROR(MATCH(B51&amp;"|시공사",'2.현장'!$Z$2:$Z$1001,0),MATCH(B51&amp;"|늦음",'2.현장'!$Z$2:$Z$1001,0)))),""))</f>
        <v/>
      </c>
      <c r="J51">
        <f>IF(B51="","",IFERROR(VLOOKUP(B51,설계사_메모!$A$3:$G$302,2,FALSE)&amp;"",""))</f>
        <v/>
      </c>
      <c r="K51">
        <f>IF(B51="","",IFERROR(VLOOKUP(B51,설계사_메모!$A$3:$G$302,4,FALSE)&amp;"",""))</f>
        <v/>
      </c>
      <c r="L51" s="6">
        <f>IF(B51="","",IF(COUNTIF('4.방문기록'!$B$3:$B$502,B51)=0,"",_xlfn.MAXIFS('4.방문기록'!$A$3:$A$502,'4.방문기록'!$B$3:$B$502,B51)))</f>
        <v/>
      </c>
      <c r="M51">
        <f>IF(L51="","",설정!$B$24-L51)</f>
        <v/>
      </c>
      <c r="N51" s="6">
        <f>IF(B51="","",IF(_xlfn.MAXIFS('4.방문기록'!$F$3:$F$502,'4.방문기록'!$B$3:$B$502,B51)=0,"",_xlfn.MAXIFS('4.방문기록'!$F$3:$F$502,'4.방문기록'!$B$3:$B$502,B51)))</f>
        <v/>
      </c>
      <c r="O51">
        <f>IF(L51="","",IFERROR(INDEX('4.방문기록'!$H$3:$H$502,MATCH(B51&amp;"|"&amp;(L51*1),'4.방문기록'!$I$3:$I$502,0))&amp;"",""))</f>
        <v/>
      </c>
      <c r="P51">
        <f>IF(B51="","",IF(O51="관심 없음","제외",IF(L51="","안 가봄",IF(M51&gt;=설정!$B$20,M51&amp;"일 지남","최근 방문"))))</f>
        <v/>
      </c>
      <c r="Q51" s="7">
        <f>IF(B51="","",IF(P51="제외","",IF(AND(설정!$B$21&lt;&gt;"",I51&lt;&gt;설정!$B$21),"",IF(AND(N51&lt;&gt;"",N51&gt;N(L51),N51&lt;=설정!$B$24+7),100+7-(N51-설정!$B$24),IF(AND(D51&gt;0,OR(P51="안 가봄",RIGHT(P51,2)="지남")),D51*10+IF(L51="",30,MIN(M51,60)/2)+MIN(N(F51)/1000,20),"")))))</f>
        <v/>
      </c>
      <c r="R51">
        <f>IF(Q51="","",COUNTIF(Q$4:Q$303,"&gt;"&amp;Q51)+COUNTIF(Q$4:Q51,Q51))</f>
        <v/>
      </c>
    </row>
    <row r="52">
      <c r="A52">
        <f>IF(B52="","",49)</f>
        <v/>
      </c>
      <c r="B52">
        <f>IFERROR(INDEX('2.현장'!$V$2:$V$1001,MATCH(49,'2.현장'!$W$2:$W$1001,0)),"")</f>
        <v/>
      </c>
      <c r="C52">
        <f>IF(B52="","",COUNTIFS('2.현장'!$V$2:$V$1001,B52,'2.현장'!$T$2:$T$1001,TRUE))</f>
        <v/>
      </c>
      <c r="D52">
        <f>IF(B52="","",COUNTIFS('2.현장'!$V$2:$V$1001,B52,'2.현장'!$U$2:$U$1001,"설계사"))</f>
        <v/>
      </c>
      <c r="E52">
        <f>IF(B52="","",COUNTIFS('2.현장'!$V$2:$V$1001,B52,'2.현장'!$U$2:$U$1001,"시공사"))</f>
        <v/>
      </c>
      <c r="F52" s="5">
        <f>IF(B52="","",_xlfn.MAXIFS('2.현장'!$D$2:$D$1001,'2.현장'!$V$2:$V$1001,B52,'2.현장'!$T$2:$T$1001,TRUE))</f>
        <v/>
      </c>
      <c r="G52" s="6">
        <f>IF(B52="","",IF(_xlfn.MAXIFS('2.현장'!$L$2:$L$1001,'2.현장'!$V$2:$V$1001,B52,'2.현장'!$T$2:$T$1001,TRUE)=0,"",_xlfn.MAXIFS('2.현장'!$L$2:$L$1001,'2.현장'!$V$2:$V$1001,B52,'2.현장'!$T$2:$T$1001,TRUE)))</f>
        <v/>
      </c>
      <c r="H52">
        <f>IF(B52="","",IFERROR(INDEX('2.현장'!$C$2:$C$1001,IFERROR(MATCH(B52&amp;"|설계사",'2.현장'!$Z$2:$Z$1001,0),IFERROR(MATCH(B52&amp;"|시공사",'2.현장'!$Z$2:$Z$1001,0),MATCH(B52&amp;"|늦음",'2.현장'!$Z$2:$Z$1001,0)))),""))</f>
        <v/>
      </c>
      <c r="I52">
        <f>IF(B52="","",IFERROR(INDEX('2.현장'!$N$2:$N$1001,IFERROR(MATCH(B52&amp;"|설계사",'2.현장'!$Z$2:$Z$1001,0),IFERROR(MATCH(B52&amp;"|시공사",'2.현장'!$Z$2:$Z$1001,0),MATCH(B52&amp;"|늦음",'2.현장'!$Z$2:$Z$1001,0)))),""))</f>
        <v/>
      </c>
      <c r="J52">
        <f>IF(B52="","",IFERROR(VLOOKUP(B52,설계사_메모!$A$3:$G$302,2,FALSE)&amp;"",""))</f>
        <v/>
      </c>
      <c r="K52">
        <f>IF(B52="","",IFERROR(VLOOKUP(B52,설계사_메모!$A$3:$G$302,4,FALSE)&amp;"",""))</f>
        <v/>
      </c>
      <c r="L52" s="6">
        <f>IF(B52="","",IF(COUNTIF('4.방문기록'!$B$3:$B$502,B52)=0,"",_xlfn.MAXIFS('4.방문기록'!$A$3:$A$502,'4.방문기록'!$B$3:$B$502,B52)))</f>
        <v/>
      </c>
      <c r="M52">
        <f>IF(L52="","",설정!$B$24-L52)</f>
        <v/>
      </c>
      <c r="N52" s="6">
        <f>IF(B52="","",IF(_xlfn.MAXIFS('4.방문기록'!$F$3:$F$502,'4.방문기록'!$B$3:$B$502,B52)=0,"",_xlfn.MAXIFS('4.방문기록'!$F$3:$F$502,'4.방문기록'!$B$3:$B$502,B52)))</f>
        <v/>
      </c>
      <c r="O52">
        <f>IF(L52="","",IFERROR(INDEX('4.방문기록'!$H$3:$H$502,MATCH(B52&amp;"|"&amp;(L52*1),'4.방문기록'!$I$3:$I$502,0))&amp;"",""))</f>
        <v/>
      </c>
      <c r="P52">
        <f>IF(B52="","",IF(O52="관심 없음","제외",IF(L52="","안 가봄",IF(M52&gt;=설정!$B$20,M52&amp;"일 지남","최근 방문"))))</f>
        <v/>
      </c>
      <c r="Q52" s="7">
        <f>IF(B52="","",IF(P52="제외","",IF(AND(설정!$B$21&lt;&gt;"",I52&lt;&gt;설정!$B$21),"",IF(AND(N52&lt;&gt;"",N52&gt;N(L52),N52&lt;=설정!$B$24+7),100+7-(N52-설정!$B$24),IF(AND(D52&gt;0,OR(P52="안 가봄",RIGHT(P52,2)="지남")),D52*10+IF(L52="",30,MIN(M52,60)/2)+MIN(N(F52)/1000,20),"")))))</f>
        <v/>
      </c>
      <c r="R52">
        <f>IF(Q52="","",COUNTIF(Q$4:Q$303,"&gt;"&amp;Q52)+COUNTIF(Q$4:Q52,Q52))</f>
        <v/>
      </c>
    </row>
    <row r="53">
      <c r="A53">
        <f>IF(B53="","",50)</f>
        <v/>
      </c>
      <c r="B53">
        <f>IFERROR(INDEX('2.현장'!$V$2:$V$1001,MATCH(50,'2.현장'!$W$2:$W$1001,0)),"")</f>
        <v/>
      </c>
      <c r="C53">
        <f>IF(B53="","",COUNTIFS('2.현장'!$V$2:$V$1001,B53,'2.현장'!$T$2:$T$1001,TRUE))</f>
        <v/>
      </c>
      <c r="D53">
        <f>IF(B53="","",COUNTIFS('2.현장'!$V$2:$V$1001,B53,'2.현장'!$U$2:$U$1001,"설계사"))</f>
        <v/>
      </c>
      <c r="E53">
        <f>IF(B53="","",COUNTIFS('2.현장'!$V$2:$V$1001,B53,'2.현장'!$U$2:$U$1001,"시공사"))</f>
        <v/>
      </c>
      <c r="F53" s="5">
        <f>IF(B53="","",_xlfn.MAXIFS('2.현장'!$D$2:$D$1001,'2.현장'!$V$2:$V$1001,B53,'2.현장'!$T$2:$T$1001,TRUE))</f>
        <v/>
      </c>
      <c r="G53" s="6">
        <f>IF(B53="","",IF(_xlfn.MAXIFS('2.현장'!$L$2:$L$1001,'2.현장'!$V$2:$V$1001,B53,'2.현장'!$T$2:$T$1001,TRUE)=0,"",_xlfn.MAXIFS('2.현장'!$L$2:$L$1001,'2.현장'!$V$2:$V$1001,B53,'2.현장'!$T$2:$T$1001,TRUE)))</f>
        <v/>
      </c>
      <c r="H53">
        <f>IF(B53="","",IFERROR(INDEX('2.현장'!$C$2:$C$1001,IFERROR(MATCH(B53&amp;"|설계사",'2.현장'!$Z$2:$Z$1001,0),IFERROR(MATCH(B53&amp;"|시공사",'2.현장'!$Z$2:$Z$1001,0),MATCH(B53&amp;"|늦음",'2.현장'!$Z$2:$Z$1001,0)))),""))</f>
        <v/>
      </c>
      <c r="I53">
        <f>IF(B53="","",IFERROR(INDEX('2.현장'!$N$2:$N$1001,IFERROR(MATCH(B53&amp;"|설계사",'2.현장'!$Z$2:$Z$1001,0),IFERROR(MATCH(B53&amp;"|시공사",'2.현장'!$Z$2:$Z$1001,0),MATCH(B53&amp;"|늦음",'2.현장'!$Z$2:$Z$1001,0)))),""))</f>
        <v/>
      </c>
      <c r="J53">
        <f>IF(B53="","",IFERROR(VLOOKUP(B53,설계사_메모!$A$3:$G$302,2,FALSE)&amp;"",""))</f>
        <v/>
      </c>
      <c r="K53">
        <f>IF(B53="","",IFERROR(VLOOKUP(B53,설계사_메모!$A$3:$G$302,4,FALSE)&amp;"",""))</f>
        <v/>
      </c>
      <c r="L53" s="6">
        <f>IF(B53="","",IF(COUNTIF('4.방문기록'!$B$3:$B$502,B53)=0,"",_xlfn.MAXIFS('4.방문기록'!$A$3:$A$502,'4.방문기록'!$B$3:$B$502,B53)))</f>
        <v/>
      </c>
      <c r="M53">
        <f>IF(L53="","",설정!$B$24-L53)</f>
        <v/>
      </c>
      <c r="N53" s="6">
        <f>IF(B53="","",IF(_xlfn.MAXIFS('4.방문기록'!$F$3:$F$502,'4.방문기록'!$B$3:$B$502,B53)=0,"",_xlfn.MAXIFS('4.방문기록'!$F$3:$F$502,'4.방문기록'!$B$3:$B$502,B53)))</f>
        <v/>
      </c>
      <c r="O53">
        <f>IF(L53="","",IFERROR(INDEX('4.방문기록'!$H$3:$H$502,MATCH(B53&amp;"|"&amp;(L53*1),'4.방문기록'!$I$3:$I$502,0))&amp;"",""))</f>
        <v/>
      </c>
      <c r="P53">
        <f>IF(B53="","",IF(O53="관심 없음","제외",IF(L53="","안 가봄",IF(M53&gt;=설정!$B$20,M53&amp;"일 지남","최근 방문"))))</f>
        <v/>
      </c>
      <c r="Q53" s="7">
        <f>IF(B53="","",IF(P53="제외","",IF(AND(설정!$B$21&lt;&gt;"",I53&lt;&gt;설정!$B$21),"",IF(AND(N53&lt;&gt;"",N53&gt;N(L53),N53&lt;=설정!$B$24+7),100+7-(N53-설정!$B$24),IF(AND(D53&gt;0,OR(P53="안 가봄",RIGHT(P53,2)="지남")),D53*10+IF(L53="",30,MIN(M53,60)/2)+MIN(N(F53)/1000,20),"")))))</f>
        <v/>
      </c>
      <c r="R53">
        <f>IF(Q53="","",COUNTIF(Q$4:Q$303,"&gt;"&amp;Q53)+COUNTIF(Q$4:Q53,Q53))</f>
        <v/>
      </c>
    </row>
    <row r="54">
      <c r="A54">
        <f>IF(B54="","",51)</f>
        <v/>
      </c>
      <c r="B54">
        <f>IFERROR(INDEX('2.현장'!$V$2:$V$1001,MATCH(51,'2.현장'!$W$2:$W$1001,0)),"")</f>
        <v/>
      </c>
      <c r="C54">
        <f>IF(B54="","",COUNTIFS('2.현장'!$V$2:$V$1001,B54,'2.현장'!$T$2:$T$1001,TRUE))</f>
        <v/>
      </c>
      <c r="D54">
        <f>IF(B54="","",COUNTIFS('2.현장'!$V$2:$V$1001,B54,'2.현장'!$U$2:$U$1001,"설계사"))</f>
        <v/>
      </c>
      <c r="E54">
        <f>IF(B54="","",COUNTIFS('2.현장'!$V$2:$V$1001,B54,'2.현장'!$U$2:$U$1001,"시공사"))</f>
        <v/>
      </c>
      <c r="F54" s="5">
        <f>IF(B54="","",_xlfn.MAXIFS('2.현장'!$D$2:$D$1001,'2.현장'!$V$2:$V$1001,B54,'2.현장'!$T$2:$T$1001,TRUE))</f>
        <v/>
      </c>
      <c r="G54" s="6">
        <f>IF(B54="","",IF(_xlfn.MAXIFS('2.현장'!$L$2:$L$1001,'2.현장'!$V$2:$V$1001,B54,'2.현장'!$T$2:$T$1001,TRUE)=0,"",_xlfn.MAXIFS('2.현장'!$L$2:$L$1001,'2.현장'!$V$2:$V$1001,B54,'2.현장'!$T$2:$T$1001,TRUE)))</f>
        <v/>
      </c>
      <c r="H54">
        <f>IF(B54="","",IFERROR(INDEX('2.현장'!$C$2:$C$1001,IFERROR(MATCH(B54&amp;"|설계사",'2.현장'!$Z$2:$Z$1001,0),IFERROR(MATCH(B54&amp;"|시공사",'2.현장'!$Z$2:$Z$1001,0),MATCH(B54&amp;"|늦음",'2.현장'!$Z$2:$Z$1001,0)))),""))</f>
        <v/>
      </c>
      <c r="I54">
        <f>IF(B54="","",IFERROR(INDEX('2.현장'!$N$2:$N$1001,IFERROR(MATCH(B54&amp;"|설계사",'2.현장'!$Z$2:$Z$1001,0),IFERROR(MATCH(B54&amp;"|시공사",'2.현장'!$Z$2:$Z$1001,0),MATCH(B54&amp;"|늦음",'2.현장'!$Z$2:$Z$1001,0)))),""))</f>
        <v/>
      </c>
      <c r="J54">
        <f>IF(B54="","",IFERROR(VLOOKUP(B54,설계사_메모!$A$3:$G$302,2,FALSE)&amp;"",""))</f>
        <v/>
      </c>
      <c r="K54">
        <f>IF(B54="","",IFERROR(VLOOKUP(B54,설계사_메모!$A$3:$G$302,4,FALSE)&amp;"",""))</f>
        <v/>
      </c>
      <c r="L54" s="6">
        <f>IF(B54="","",IF(COUNTIF('4.방문기록'!$B$3:$B$502,B54)=0,"",_xlfn.MAXIFS('4.방문기록'!$A$3:$A$502,'4.방문기록'!$B$3:$B$502,B54)))</f>
        <v/>
      </c>
      <c r="M54">
        <f>IF(L54="","",설정!$B$24-L54)</f>
        <v/>
      </c>
      <c r="N54" s="6">
        <f>IF(B54="","",IF(_xlfn.MAXIFS('4.방문기록'!$F$3:$F$502,'4.방문기록'!$B$3:$B$502,B54)=0,"",_xlfn.MAXIFS('4.방문기록'!$F$3:$F$502,'4.방문기록'!$B$3:$B$502,B54)))</f>
        <v/>
      </c>
      <c r="O54">
        <f>IF(L54="","",IFERROR(INDEX('4.방문기록'!$H$3:$H$502,MATCH(B54&amp;"|"&amp;(L54*1),'4.방문기록'!$I$3:$I$502,0))&amp;"",""))</f>
        <v/>
      </c>
      <c r="P54">
        <f>IF(B54="","",IF(O54="관심 없음","제외",IF(L54="","안 가봄",IF(M54&gt;=설정!$B$20,M54&amp;"일 지남","최근 방문"))))</f>
        <v/>
      </c>
      <c r="Q54" s="7">
        <f>IF(B54="","",IF(P54="제외","",IF(AND(설정!$B$21&lt;&gt;"",I54&lt;&gt;설정!$B$21),"",IF(AND(N54&lt;&gt;"",N54&gt;N(L54),N54&lt;=설정!$B$24+7),100+7-(N54-설정!$B$24),IF(AND(D54&gt;0,OR(P54="안 가봄",RIGHT(P54,2)="지남")),D54*10+IF(L54="",30,MIN(M54,60)/2)+MIN(N(F54)/1000,20),"")))))</f>
        <v/>
      </c>
      <c r="R54">
        <f>IF(Q54="","",COUNTIF(Q$4:Q$303,"&gt;"&amp;Q54)+COUNTIF(Q$4:Q54,Q54))</f>
        <v/>
      </c>
    </row>
    <row r="55">
      <c r="A55">
        <f>IF(B55="","",52)</f>
        <v/>
      </c>
      <c r="B55">
        <f>IFERROR(INDEX('2.현장'!$V$2:$V$1001,MATCH(52,'2.현장'!$W$2:$W$1001,0)),"")</f>
        <v/>
      </c>
      <c r="C55">
        <f>IF(B55="","",COUNTIFS('2.현장'!$V$2:$V$1001,B55,'2.현장'!$T$2:$T$1001,TRUE))</f>
        <v/>
      </c>
      <c r="D55">
        <f>IF(B55="","",COUNTIFS('2.현장'!$V$2:$V$1001,B55,'2.현장'!$U$2:$U$1001,"설계사"))</f>
        <v/>
      </c>
      <c r="E55">
        <f>IF(B55="","",COUNTIFS('2.현장'!$V$2:$V$1001,B55,'2.현장'!$U$2:$U$1001,"시공사"))</f>
        <v/>
      </c>
      <c r="F55" s="5">
        <f>IF(B55="","",_xlfn.MAXIFS('2.현장'!$D$2:$D$1001,'2.현장'!$V$2:$V$1001,B55,'2.현장'!$T$2:$T$1001,TRUE))</f>
        <v/>
      </c>
      <c r="G55" s="6">
        <f>IF(B55="","",IF(_xlfn.MAXIFS('2.현장'!$L$2:$L$1001,'2.현장'!$V$2:$V$1001,B55,'2.현장'!$T$2:$T$1001,TRUE)=0,"",_xlfn.MAXIFS('2.현장'!$L$2:$L$1001,'2.현장'!$V$2:$V$1001,B55,'2.현장'!$T$2:$T$1001,TRUE)))</f>
        <v/>
      </c>
      <c r="H55">
        <f>IF(B55="","",IFERROR(INDEX('2.현장'!$C$2:$C$1001,IFERROR(MATCH(B55&amp;"|설계사",'2.현장'!$Z$2:$Z$1001,0),IFERROR(MATCH(B55&amp;"|시공사",'2.현장'!$Z$2:$Z$1001,0),MATCH(B55&amp;"|늦음",'2.현장'!$Z$2:$Z$1001,0)))),""))</f>
        <v/>
      </c>
      <c r="I55">
        <f>IF(B55="","",IFERROR(INDEX('2.현장'!$N$2:$N$1001,IFERROR(MATCH(B55&amp;"|설계사",'2.현장'!$Z$2:$Z$1001,0),IFERROR(MATCH(B55&amp;"|시공사",'2.현장'!$Z$2:$Z$1001,0),MATCH(B55&amp;"|늦음",'2.현장'!$Z$2:$Z$1001,0)))),""))</f>
        <v/>
      </c>
      <c r="J55">
        <f>IF(B55="","",IFERROR(VLOOKUP(B55,설계사_메모!$A$3:$G$302,2,FALSE)&amp;"",""))</f>
        <v/>
      </c>
      <c r="K55">
        <f>IF(B55="","",IFERROR(VLOOKUP(B55,설계사_메모!$A$3:$G$302,4,FALSE)&amp;"",""))</f>
        <v/>
      </c>
      <c r="L55" s="6">
        <f>IF(B55="","",IF(COUNTIF('4.방문기록'!$B$3:$B$502,B55)=0,"",_xlfn.MAXIFS('4.방문기록'!$A$3:$A$502,'4.방문기록'!$B$3:$B$502,B55)))</f>
        <v/>
      </c>
      <c r="M55">
        <f>IF(L55="","",설정!$B$24-L55)</f>
        <v/>
      </c>
      <c r="N55" s="6">
        <f>IF(B55="","",IF(_xlfn.MAXIFS('4.방문기록'!$F$3:$F$502,'4.방문기록'!$B$3:$B$502,B55)=0,"",_xlfn.MAXIFS('4.방문기록'!$F$3:$F$502,'4.방문기록'!$B$3:$B$502,B55)))</f>
        <v/>
      </c>
      <c r="O55">
        <f>IF(L55="","",IFERROR(INDEX('4.방문기록'!$H$3:$H$502,MATCH(B55&amp;"|"&amp;(L55*1),'4.방문기록'!$I$3:$I$502,0))&amp;"",""))</f>
        <v/>
      </c>
      <c r="P55">
        <f>IF(B55="","",IF(O55="관심 없음","제외",IF(L55="","안 가봄",IF(M55&gt;=설정!$B$20,M55&amp;"일 지남","최근 방문"))))</f>
        <v/>
      </c>
      <c r="Q55" s="7">
        <f>IF(B55="","",IF(P55="제외","",IF(AND(설정!$B$21&lt;&gt;"",I55&lt;&gt;설정!$B$21),"",IF(AND(N55&lt;&gt;"",N55&gt;N(L55),N55&lt;=설정!$B$24+7),100+7-(N55-설정!$B$24),IF(AND(D55&gt;0,OR(P55="안 가봄",RIGHT(P55,2)="지남")),D55*10+IF(L55="",30,MIN(M55,60)/2)+MIN(N(F55)/1000,20),"")))))</f>
        <v/>
      </c>
      <c r="R55">
        <f>IF(Q55="","",COUNTIF(Q$4:Q$303,"&gt;"&amp;Q55)+COUNTIF(Q$4:Q55,Q55))</f>
        <v/>
      </c>
    </row>
    <row r="56">
      <c r="A56">
        <f>IF(B56="","",53)</f>
        <v/>
      </c>
      <c r="B56">
        <f>IFERROR(INDEX('2.현장'!$V$2:$V$1001,MATCH(53,'2.현장'!$W$2:$W$1001,0)),"")</f>
        <v/>
      </c>
      <c r="C56">
        <f>IF(B56="","",COUNTIFS('2.현장'!$V$2:$V$1001,B56,'2.현장'!$T$2:$T$1001,TRUE))</f>
        <v/>
      </c>
      <c r="D56">
        <f>IF(B56="","",COUNTIFS('2.현장'!$V$2:$V$1001,B56,'2.현장'!$U$2:$U$1001,"설계사"))</f>
        <v/>
      </c>
      <c r="E56">
        <f>IF(B56="","",COUNTIFS('2.현장'!$V$2:$V$1001,B56,'2.현장'!$U$2:$U$1001,"시공사"))</f>
        <v/>
      </c>
      <c r="F56" s="5">
        <f>IF(B56="","",_xlfn.MAXIFS('2.현장'!$D$2:$D$1001,'2.현장'!$V$2:$V$1001,B56,'2.현장'!$T$2:$T$1001,TRUE))</f>
        <v/>
      </c>
      <c r="G56" s="6">
        <f>IF(B56="","",IF(_xlfn.MAXIFS('2.현장'!$L$2:$L$1001,'2.현장'!$V$2:$V$1001,B56,'2.현장'!$T$2:$T$1001,TRUE)=0,"",_xlfn.MAXIFS('2.현장'!$L$2:$L$1001,'2.현장'!$V$2:$V$1001,B56,'2.현장'!$T$2:$T$1001,TRUE)))</f>
        <v/>
      </c>
      <c r="H56">
        <f>IF(B56="","",IFERROR(INDEX('2.현장'!$C$2:$C$1001,IFERROR(MATCH(B56&amp;"|설계사",'2.현장'!$Z$2:$Z$1001,0),IFERROR(MATCH(B56&amp;"|시공사",'2.현장'!$Z$2:$Z$1001,0),MATCH(B56&amp;"|늦음",'2.현장'!$Z$2:$Z$1001,0)))),""))</f>
        <v/>
      </c>
      <c r="I56">
        <f>IF(B56="","",IFERROR(INDEX('2.현장'!$N$2:$N$1001,IFERROR(MATCH(B56&amp;"|설계사",'2.현장'!$Z$2:$Z$1001,0),IFERROR(MATCH(B56&amp;"|시공사",'2.현장'!$Z$2:$Z$1001,0),MATCH(B56&amp;"|늦음",'2.현장'!$Z$2:$Z$1001,0)))),""))</f>
        <v/>
      </c>
      <c r="J56">
        <f>IF(B56="","",IFERROR(VLOOKUP(B56,설계사_메모!$A$3:$G$302,2,FALSE)&amp;"",""))</f>
        <v/>
      </c>
      <c r="K56">
        <f>IF(B56="","",IFERROR(VLOOKUP(B56,설계사_메모!$A$3:$G$302,4,FALSE)&amp;"",""))</f>
        <v/>
      </c>
      <c r="L56" s="6">
        <f>IF(B56="","",IF(COUNTIF('4.방문기록'!$B$3:$B$502,B56)=0,"",_xlfn.MAXIFS('4.방문기록'!$A$3:$A$502,'4.방문기록'!$B$3:$B$502,B56)))</f>
        <v/>
      </c>
      <c r="M56">
        <f>IF(L56="","",설정!$B$24-L56)</f>
        <v/>
      </c>
      <c r="N56" s="6">
        <f>IF(B56="","",IF(_xlfn.MAXIFS('4.방문기록'!$F$3:$F$502,'4.방문기록'!$B$3:$B$502,B56)=0,"",_xlfn.MAXIFS('4.방문기록'!$F$3:$F$502,'4.방문기록'!$B$3:$B$502,B56)))</f>
        <v/>
      </c>
      <c r="O56">
        <f>IF(L56="","",IFERROR(INDEX('4.방문기록'!$H$3:$H$502,MATCH(B56&amp;"|"&amp;(L56*1),'4.방문기록'!$I$3:$I$502,0))&amp;"",""))</f>
        <v/>
      </c>
      <c r="P56">
        <f>IF(B56="","",IF(O56="관심 없음","제외",IF(L56="","안 가봄",IF(M56&gt;=설정!$B$20,M56&amp;"일 지남","최근 방문"))))</f>
        <v/>
      </c>
      <c r="Q56" s="7">
        <f>IF(B56="","",IF(P56="제외","",IF(AND(설정!$B$21&lt;&gt;"",I56&lt;&gt;설정!$B$21),"",IF(AND(N56&lt;&gt;"",N56&gt;N(L56),N56&lt;=설정!$B$24+7),100+7-(N56-설정!$B$24),IF(AND(D56&gt;0,OR(P56="안 가봄",RIGHT(P56,2)="지남")),D56*10+IF(L56="",30,MIN(M56,60)/2)+MIN(N(F56)/1000,20),"")))))</f>
        <v/>
      </c>
      <c r="R56">
        <f>IF(Q56="","",COUNTIF(Q$4:Q$303,"&gt;"&amp;Q56)+COUNTIF(Q$4:Q56,Q56))</f>
        <v/>
      </c>
    </row>
    <row r="57">
      <c r="A57">
        <f>IF(B57="","",54)</f>
        <v/>
      </c>
      <c r="B57">
        <f>IFERROR(INDEX('2.현장'!$V$2:$V$1001,MATCH(54,'2.현장'!$W$2:$W$1001,0)),"")</f>
        <v/>
      </c>
      <c r="C57">
        <f>IF(B57="","",COUNTIFS('2.현장'!$V$2:$V$1001,B57,'2.현장'!$T$2:$T$1001,TRUE))</f>
        <v/>
      </c>
      <c r="D57">
        <f>IF(B57="","",COUNTIFS('2.현장'!$V$2:$V$1001,B57,'2.현장'!$U$2:$U$1001,"설계사"))</f>
        <v/>
      </c>
      <c r="E57">
        <f>IF(B57="","",COUNTIFS('2.현장'!$V$2:$V$1001,B57,'2.현장'!$U$2:$U$1001,"시공사"))</f>
        <v/>
      </c>
      <c r="F57" s="5">
        <f>IF(B57="","",_xlfn.MAXIFS('2.현장'!$D$2:$D$1001,'2.현장'!$V$2:$V$1001,B57,'2.현장'!$T$2:$T$1001,TRUE))</f>
        <v/>
      </c>
      <c r="G57" s="6">
        <f>IF(B57="","",IF(_xlfn.MAXIFS('2.현장'!$L$2:$L$1001,'2.현장'!$V$2:$V$1001,B57,'2.현장'!$T$2:$T$1001,TRUE)=0,"",_xlfn.MAXIFS('2.현장'!$L$2:$L$1001,'2.현장'!$V$2:$V$1001,B57,'2.현장'!$T$2:$T$1001,TRUE)))</f>
        <v/>
      </c>
      <c r="H57">
        <f>IF(B57="","",IFERROR(INDEX('2.현장'!$C$2:$C$1001,IFERROR(MATCH(B57&amp;"|설계사",'2.현장'!$Z$2:$Z$1001,0),IFERROR(MATCH(B57&amp;"|시공사",'2.현장'!$Z$2:$Z$1001,0),MATCH(B57&amp;"|늦음",'2.현장'!$Z$2:$Z$1001,0)))),""))</f>
        <v/>
      </c>
      <c r="I57">
        <f>IF(B57="","",IFERROR(INDEX('2.현장'!$N$2:$N$1001,IFERROR(MATCH(B57&amp;"|설계사",'2.현장'!$Z$2:$Z$1001,0),IFERROR(MATCH(B57&amp;"|시공사",'2.현장'!$Z$2:$Z$1001,0),MATCH(B57&amp;"|늦음",'2.현장'!$Z$2:$Z$1001,0)))),""))</f>
        <v/>
      </c>
      <c r="J57">
        <f>IF(B57="","",IFERROR(VLOOKUP(B57,설계사_메모!$A$3:$G$302,2,FALSE)&amp;"",""))</f>
        <v/>
      </c>
      <c r="K57">
        <f>IF(B57="","",IFERROR(VLOOKUP(B57,설계사_메모!$A$3:$G$302,4,FALSE)&amp;"",""))</f>
        <v/>
      </c>
      <c r="L57" s="6">
        <f>IF(B57="","",IF(COUNTIF('4.방문기록'!$B$3:$B$502,B57)=0,"",_xlfn.MAXIFS('4.방문기록'!$A$3:$A$502,'4.방문기록'!$B$3:$B$502,B57)))</f>
        <v/>
      </c>
      <c r="M57">
        <f>IF(L57="","",설정!$B$24-L57)</f>
        <v/>
      </c>
      <c r="N57" s="6">
        <f>IF(B57="","",IF(_xlfn.MAXIFS('4.방문기록'!$F$3:$F$502,'4.방문기록'!$B$3:$B$502,B57)=0,"",_xlfn.MAXIFS('4.방문기록'!$F$3:$F$502,'4.방문기록'!$B$3:$B$502,B57)))</f>
        <v/>
      </c>
      <c r="O57">
        <f>IF(L57="","",IFERROR(INDEX('4.방문기록'!$H$3:$H$502,MATCH(B57&amp;"|"&amp;(L57*1),'4.방문기록'!$I$3:$I$502,0))&amp;"",""))</f>
        <v/>
      </c>
      <c r="P57">
        <f>IF(B57="","",IF(O57="관심 없음","제외",IF(L57="","안 가봄",IF(M57&gt;=설정!$B$20,M57&amp;"일 지남","최근 방문"))))</f>
        <v/>
      </c>
      <c r="Q57" s="7">
        <f>IF(B57="","",IF(P57="제외","",IF(AND(설정!$B$21&lt;&gt;"",I57&lt;&gt;설정!$B$21),"",IF(AND(N57&lt;&gt;"",N57&gt;N(L57),N57&lt;=설정!$B$24+7),100+7-(N57-설정!$B$24),IF(AND(D57&gt;0,OR(P57="안 가봄",RIGHT(P57,2)="지남")),D57*10+IF(L57="",30,MIN(M57,60)/2)+MIN(N(F57)/1000,20),"")))))</f>
        <v/>
      </c>
      <c r="R57">
        <f>IF(Q57="","",COUNTIF(Q$4:Q$303,"&gt;"&amp;Q57)+COUNTIF(Q$4:Q57,Q57))</f>
        <v/>
      </c>
    </row>
    <row r="58">
      <c r="A58">
        <f>IF(B58="","",55)</f>
        <v/>
      </c>
      <c r="B58">
        <f>IFERROR(INDEX('2.현장'!$V$2:$V$1001,MATCH(55,'2.현장'!$W$2:$W$1001,0)),"")</f>
        <v/>
      </c>
      <c r="C58">
        <f>IF(B58="","",COUNTIFS('2.현장'!$V$2:$V$1001,B58,'2.현장'!$T$2:$T$1001,TRUE))</f>
        <v/>
      </c>
      <c r="D58">
        <f>IF(B58="","",COUNTIFS('2.현장'!$V$2:$V$1001,B58,'2.현장'!$U$2:$U$1001,"설계사"))</f>
        <v/>
      </c>
      <c r="E58">
        <f>IF(B58="","",COUNTIFS('2.현장'!$V$2:$V$1001,B58,'2.현장'!$U$2:$U$1001,"시공사"))</f>
        <v/>
      </c>
      <c r="F58" s="5">
        <f>IF(B58="","",_xlfn.MAXIFS('2.현장'!$D$2:$D$1001,'2.현장'!$V$2:$V$1001,B58,'2.현장'!$T$2:$T$1001,TRUE))</f>
        <v/>
      </c>
      <c r="G58" s="6">
        <f>IF(B58="","",IF(_xlfn.MAXIFS('2.현장'!$L$2:$L$1001,'2.현장'!$V$2:$V$1001,B58,'2.현장'!$T$2:$T$1001,TRUE)=0,"",_xlfn.MAXIFS('2.현장'!$L$2:$L$1001,'2.현장'!$V$2:$V$1001,B58,'2.현장'!$T$2:$T$1001,TRUE)))</f>
        <v/>
      </c>
      <c r="H58">
        <f>IF(B58="","",IFERROR(INDEX('2.현장'!$C$2:$C$1001,IFERROR(MATCH(B58&amp;"|설계사",'2.현장'!$Z$2:$Z$1001,0),IFERROR(MATCH(B58&amp;"|시공사",'2.현장'!$Z$2:$Z$1001,0),MATCH(B58&amp;"|늦음",'2.현장'!$Z$2:$Z$1001,0)))),""))</f>
        <v/>
      </c>
      <c r="I58">
        <f>IF(B58="","",IFERROR(INDEX('2.현장'!$N$2:$N$1001,IFERROR(MATCH(B58&amp;"|설계사",'2.현장'!$Z$2:$Z$1001,0),IFERROR(MATCH(B58&amp;"|시공사",'2.현장'!$Z$2:$Z$1001,0),MATCH(B58&amp;"|늦음",'2.현장'!$Z$2:$Z$1001,0)))),""))</f>
        <v/>
      </c>
      <c r="J58">
        <f>IF(B58="","",IFERROR(VLOOKUP(B58,설계사_메모!$A$3:$G$302,2,FALSE)&amp;"",""))</f>
        <v/>
      </c>
      <c r="K58">
        <f>IF(B58="","",IFERROR(VLOOKUP(B58,설계사_메모!$A$3:$G$302,4,FALSE)&amp;"",""))</f>
        <v/>
      </c>
      <c r="L58" s="6">
        <f>IF(B58="","",IF(COUNTIF('4.방문기록'!$B$3:$B$502,B58)=0,"",_xlfn.MAXIFS('4.방문기록'!$A$3:$A$502,'4.방문기록'!$B$3:$B$502,B58)))</f>
        <v/>
      </c>
      <c r="M58">
        <f>IF(L58="","",설정!$B$24-L58)</f>
        <v/>
      </c>
      <c r="N58" s="6">
        <f>IF(B58="","",IF(_xlfn.MAXIFS('4.방문기록'!$F$3:$F$502,'4.방문기록'!$B$3:$B$502,B58)=0,"",_xlfn.MAXIFS('4.방문기록'!$F$3:$F$502,'4.방문기록'!$B$3:$B$502,B58)))</f>
        <v/>
      </c>
      <c r="O58">
        <f>IF(L58="","",IFERROR(INDEX('4.방문기록'!$H$3:$H$502,MATCH(B58&amp;"|"&amp;(L58*1),'4.방문기록'!$I$3:$I$502,0))&amp;"",""))</f>
        <v/>
      </c>
      <c r="P58">
        <f>IF(B58="","",IF(O58="관심 없음","제외",IF(L58="","안 가봄",IF(M58&gt;=설정!$B$20,M58&amp;"일 지남","최근 방문"))))</f>
        <v/>
      </c>
      <c r="Q58" s="7">
        <f>IF(B58="","",IF(P58="제외","",IF(AND(설정!$B$21&lt;&gt;"",I58&lt;&gt;설정!$B$21),"",IF(AND(N58&lt;&gt;"",N58&gt;N(L58),N58&lt;=설정!$B$24+7),100+7-(N58-설정!$B$24),IF(AND(D58&gt;0,OR(P58="안 가봄",RIGHT(P58,2)="지남")),D58*10+IF(L58="",30,MIN(M58,60)/2)+MIN(N(F58)/1000,20),"")))))</f>
        <v/>
      </c>
      <c r="R58">
        <f>IF(Q58="","",COUNTIF(Q$4:Q$303,"&gt;"&amp;Q58)+COUNTIF(Q$4:Q58,Q58))</f>
        <v/>
      </c>
    </row>
    <row r="59">
      <c r="A59">
        <f>IF(B59="","",56)</f>
        <v/>
      </c>
      <c r="B59">
        <f>IFERROR(INDEX('2.현장'!$V$2:$V$1001,MATCH(56,'2.현장'!$W$2:$W$1001,0)),"")</f>
        <v/>
      </c>
      <c r="C59">
        <f>IF(B59="","",COUNTIFS('2.현장'!$V$2:$V$1001,B59,'2.현장'!$T$2:$T$1001,TRUE))</f>
        <v/>
      </c>
      <c r="D59">
        <f>IF(B59="","",COUNTIFS('2.현장'!$V$2:$V$1001,B59,'2.현장'!$U$2:$U$1001,"설계사"))</f>
        <v/>
      </c>
      <c r="E59">
        <f>IF(B59="","",COUNTIFS('2.현장'!$V$2:$V$1001,B59,'2.현장'!$U$2:$U$1001,"시공사"))</f>
        <v/>
      </c>
      <c r="F59" s="5">
        <f>IF(B59="","",_xlfn.MAXIFS('2.현장'!$D$2:$D$1001,'2.현장'!$V$2:$V$1001,B59,'2.현장'!$T$2:$T$1001,TRUE))</f>
        <v/>
      </c>
      <c r="G59" s="6">
        <f>IF(B59="","",IF(_xlfn.MAXIFS('2.현장'!$L$2:$L$1001,'2.현장'!$V$2:$V$1001,B59,'2.현장'!$T$2:$T$1001,TRUE)=0,"",_xlfn.MAXIFS('2.현장'!$L$2:$L$1001,'2.현장'!$V$2:$V$1001,B59,'2.현장'!$T$2:$T$1001,TRUE)))</f>
        <v/>
      </c>
      <c r="H59">
        <f>IF(B59="","",IFERROR(INDEX('2.현장'!$C$2:$C$1001,IFERROR(MATCH(B59&amp;"|설계사",'2.현장'!$Z$2:$Z$1001,0),IFERROR(MATCH(B59&amp;"|시공사",'2.현장'!$Z$2:$Z$1001,0),MATCH(B59&amp;"|늦음",'2.현장'!$Z$2:$Z$1001,0)))),""))</f>
        <v/>
      </c>
      <c r="I59">
        <f>IF(B59="","",IFERROR(INDEX('2.현장'!$N$2:$N$1001,IFERROR(MATCH(B59&amp;"|설계사",'2.현장'!$Z$2:$Z$1001,0),IFERROR(MATCH(B59&amp;"|시공사",'2.현장'!$Z$2:$Z$1001,0),MATCH(B59&amp;"|늦음",'2.현장'!$Z$2:$Z$1001,0)))),""))</f>
        <v/>
      </c>
      <c r="J59">
        <f>IF(B59="","",IFERROR(VLOOKUP(B59,설계사_메모!$A$3:$G$302,2,FALSE)&amp;"",""))</f>
        <v/>
      </c>
      <c r="K59">
        <f>IF(B59="","",IFERROR(VLOOKUP(B59,설계사_메모!$A$3:$G$302,4,FALSE)&amp;"",""))</f>
        <v/>
      </c>
      <c r="L59" s="6">
        <f>IF(B59="","",IF(COUNTIF('4.방문기록'!$B$3:$B$502,B59)=0,"",_xlfn.MAXIFS('4.방문기록'!$A$3:$A$502,'4.방문기록'!$B$3:$B$502,B59)))</f>
        <v/>
      </c>
      <c r="M59">
        <f>IF(L59="","",설정!$B$24-L59)</f>
        <v/>
      </c>
      <c r="N59" s="6">
        <f>IF(B59="","",IF(_xlfn.MAXIFS('4.방문기록'!$F$3:$F$502,'4.방문기록'!$B$3:$B$502,B59)=0,"",_xlfn.MAXIFS('4.방문기록'!$F$3:$F$502,'4.방문기록'!$B$3:$B$502,B59)))</f>
        <v/>
      </c>
      <c r="O59">
        <f>IF(L59="","",IFERROR(INDEX('4.방문기록'!$H$3:$H$502,MATCH(B59&amp;"|"&amp;(L59*1),'4.방문기록'!$I$3:$I$502,0))&amp;"",""))</f>
        <v/>
      </c>
      <c r="P59">
        <f>IF(B59="","",IF(O59="관심 없음","제외",IF(L59="","안 가봄",IF(M59&gt;=설정!$B$20,M59&amp;"일 지남","최근 방문"))))</f>
        <v/>
      </c>
      <c r="Q59" s="7">
        <f>IF(B59="","",IF(P59="제외","",IF(AND(설정!$B$21&lt;&gt;"",I59&lt;&gt;설정!$B$21),"",IF(AND(N59&lt;&gt;"",N59&gt;N(L59),N59&lt;=설정!$B$24+7),100+7-(N59-설정!$B$24),IF(AND(D59&gt;0,OR(P59="안 가봄",RIGHT(P59,2)="지남")),D59*10+IF(L59="",30,MIN(M59,60)/2)+MIN(N(F59)/1000,20),"")))))</f>
        <v/>
      </c>
      <c r="R59">
        <f>IF(Q59="","",COUNTIF(Q$4:Q$303,"&gt;"&amp;Q59)+COUNTIF(Q$4:Q59,Q59))</f>
        <v/>
      </c>
    </row>
    <row r="60">
      <c r="A60">
        <f>IF(B60="","",57)</f>
        <v/>
      </c>
      <c r="B60">
        <f>IFERROR(INDEX('2.현장'!$V$2:$V$1001,MATCH(57,'2.현장'!$W$2:$W$1001,0)),"")</f>
        <v/>
      </c>
      <c r="C60">
        <f>IF(B60="","",COUNTIFS('2.현장'!$V$2:$V$1001,B60,'2.현장'!$T$2:$T$1001,TRUE))</f>
        <v/>
      </c>
      <c r="D60">
        <f>IF(B60="","",COUNTIFS('2.현장'!$V$2:$V$1001,B60,'2.현장'!$U$2:$U$1001,"설계사"))</f>
        <v/>
      </c>
      <c r="E60">
        <f>IF(B60="","",COUNTIFS('2.현장'!$V$2:$V$1001,B60,'2.현장'!$U$2:$U$1001,"시공사"))</f>
        <v/>
      </c>
      <c r="F60" s="5">
        <f>IF(B60="","",_xlfn.MAXIFS('2.현장'!$D$2:$D$1001,'2.현장'!$V$2:$V$1001,B60,'2.현장'!$T$2:$T$1001,TRUE))</f>
        <v/>
      </c>
      <c r="G60" s="6">
        <f>IF(B60="","",IF(_xlfn.MAXIFS('2.현장'!$L$2:$L$1001,'2.현장'!$V$2:$V$1001,B60,'2.현장'!$T$2:$T$1001,TRUE)=0,"",_xlfn.MAXIFS('2.현장'!$L$2:$L$1001,'2.현장'!$V$2:$V$1001,B60,'2.현장'!$T$2:$T$1001,TRUE)))</f>
        <v/>
      </c>
      <c r="H60">
        <f>IF(B60="","",IFERROR(INDEX('2.현장'!$C$2:$C$1001,IFERROR(MATCH(B60&amp;"|설계사",'2.현장'!$Z$2:$Z$1001,0),IFERROR(MATCH(B60&amp;"|시공사",'2.현장'!$Z$2:$Z$1001,0),MATCH(B60&amp;"|늦음",'2.현장'!$Z$2:$Z$1001,0)))),""))</f>
        <v/>
      </c>
      <c r="I60">
        <f>IF(B60="","",IFERROR(INDEX('2.현장'!$N$2:$N$1001,IFERROR(MATCH(B60&amp;"|설계사",'2.현장'!$Z$2:$Z$1001,0),IFERROR(MATCH(B60&amp;"|시공사",'2.현장'!$Z$2:$Z$1001,0),MATCH(B60&amp;"|늦음",'2.현장'!$Z$2:$Z$1001,0)))),""))</f>
        <v/>
      </c>
      <c r="J60">
        <f>IF(B60="","",IFERROR(VLOOKUP(B60,설계사_메모!$A$3:$G$302,2,FALSE)&amp;"",""))</f>
        <v/>
      </c>
      <c r="K60">
        <f>IF(B60="","",IFERROR(VLOOKUP(B60,설계사_메모!$A$3:$G$302,4,FALSE)&amp;"",""))</f>
        <v/>
      </c>
      <c r="L60" s="6">
        <f>IF(B60="","",IF(COUNTIF('4.방문기록'!$B$3:$B$502,B60)=0,"",_xlfn.MAXIFS('4.방문기록'!$A$3:$A$502,'4.방문기록'!$B$3:$B$502,B60)))</f>
        <v/>
      </c>
      <c r="M60">
        <f>IF(L60="","",설정!$B$24-L60)</f>
        <v/>
      </c>
      <c r="N60" s="6">
        <f>IF(B60="","",IF(_xlfn.MAXIFS('4.방문기록'!$F$3:$F$502,'4.방문기록'!$B$3:$B$502,B60)=0,"",_xlfn.MAXIFS('4.방문기록'!$F$3:$F$502,'4.방문기록'!$B$3:$B$502,B60)))</f>
        <v/>
      </c>
      <c r="O60">
        <f>IF(L60="","",IFERROR(INDEX('4.방문기록'!$H$3:$H$502,MATCH(B60&amp;"|"&amp;(L60*1),'4.방문기록'!$I$3:$I$502,0))&amp;"",""))</f>
        <v/>
      </c>
      <c r="P60">
        <f>IF(B60="","",IF(O60="관심 없음","제외",IF(L60="","안 가봄",IF(M60&gt;=설정!$B$20,M60&amp;"일 지남","최근 방문"))))</f>
        <v/>
      </c>
      <c r="Q60" s="7">
        <f>IF(B60="","",IF(P60="제외","",IF(AND(설정!$B$21&lt;&gt;"",I60&lt;&gt;설정!$B$21),"",IF(AND(N60&lt;&gt;"",N60&gt;N(L60),N60&lt;=설정!$B$24+7),100+7-(N60-설정!$B$24),IF(AND(D60&gt;0,OR(P60="안 가봄",RIGHT(P60,2)="지남")),D60*10+IF(L60="",30,MIN(M60,60)/2)+MIN(N(F60)/1000,20),"")))))</f>
        <v/>
      </c>
      <c r="R60">
        <f>IF(Q60="","",COUNTIF(Q$4:Q$303,"&gt;"&amp;Q60)+COUNTIF(Q$4:Q60,Q60))</f>
        <v/>
      </c>
    </row>
    <row r="61">
      <c r="A61">
        <f>IF(B61="","",58)</f>
        <v/>
      </c>
      <c r="B61">
        <f>IFERROR(INDEX('2.현장'!$V$2:$V$1001,MATCH(58,'2.현장'!$W$2:$W$1001,0)),"")</f>
        <v/>
      </c>
      <c r="C61">
        <f>IF(B61="","",COUNTIFS('2.현장'!$V$2:$V$1001,B61,'2.현장'!$T$2:$T$1001,TRUE))</f>
        <v/>
      </c>
      <c r="D61">
        <f>IF(B61="","",COUNTIFS('2.현장'!$V$2:$V$1001,B61,'2.현장'!$U$2:$U$1001,"설계사"))</f>
        <v/>
      </c>
      <c r="E61">
        <f>IF(B61="","",COUNTIFS('2.현장'!$V$2:$V$1001,B61,'2.현장'!$U$2:$U$1001,"시공사"))</f>
        <v/>
      </c>
      <c r="F61" s="5">
        <f>IF(B61="","",_xlfn.MAXIFS('2.현장'!$D$2:$D$1001,'2.현장'!$V$2:$V$1001,B61,'2.현장'!$T$2:$T$1001,TRUE))</f>
        <v/>
      </c>
      <c r="G61" s="6">
        <f>IF(B61="","",IF(_xlfn.MAXIFS('2.현장'!$L$2:$L$1001,'2.현장'!$V$2:$V$1001,B61,'2.현장'!$T$2:$T$1001,TRUE)=0,"",_xlfn.MAXIFS('2.현장'!$L$2:$L$1001,'2.현장'!$V$2:$V$1001,B61,'2.현장'!$T$2:$T$1001,TRUE)))</f>
        <v/>
      </c>
      <c r="H61">
        <f>IF(B61="","",IFERROR(INDEX('2.현장'!$C$2:$C$1001,IFERROR(MATCH(B61&amp;"|설계사",'2.현장'!$Z$2:$Z$1001,0),IFERROR(MATCH(B61&amp;"|시공사",'2.현장'!$Z$2:$Z$1001,0),MATCH(B61&amp;"|늦음",'2.현장'!$Z$2:$Z$1001,0)))),""))</f>
        <v/>
      </c>
      <c r="I61">
        <f>IF(B61="","",IFERROR(INDEX('2.현장'!$N$2:$N$1001,IFERROR(MATCH(B61&amp;"|설계사",'2.현장'!$Z$2:$Z$1001,0),IFERROR(MATCH(B61&amp;"|시공사",'2.현장'!$Z$2:$Z$1001,0),MATCH(B61&amp;"|늦음",'2.현장'!$Z$2:$Z$1001,0)))),""))</f>
        <v/>
      </c>
      <c r="J61">
        <f>IF(B61="","",IFERROR(VLOOKUP(B61,설계사_메모!$A$3:$G$302,2,FALSE)&amp;"",""))</f>
        <v/>
      </c>
      <c r="K61">
        <f>IF(B61="","",IFERROR(VLOOKUP(B61,설계사_메모!$A$3:$G$302,4,FALSE)&amp;"",""))</f>
        <v/>
      </c>
      <c r="L61" s="6">
        <f>IF(B61="","",IF(COUNTIF('4.방문기록'!$B$3:$B$502,B61)=0,"",_xlfn.MAXIFS('4.방문기록'!$A$3:$A$502,'4.방문기록'!$B$3:$B$502,B61)))</f>
        <v/>
      </c>
      <c r="M61">
        <f>IF(L61="","",설정!$B$24-L61)</f>
        <v/>
      </c>
      <c r="N61" s="6">
        <f>IF(B61="","",IF(_xlfn.MAXIFS('4.방문기록'!$F$3:$F$502,'4.방문기록'!$B$3:$B$502,B61)=0,"",_xlfn.MAXIFS('4.방문기록'!$F$3:$F$502,'4.방문기록'!$B$3:$B$502,B61)))</f>
        <v/>
      </c>
      <c r="O61">
        <f>IF(L61="","",IFERROR(INDEX('4.방문기록'!$H$3:$H$502,MATCH(B61&amp;"|"&amp;(L61*1),'4.방문기록'!$I$3:$I$502,0))&amp;"",""))</f>
        <v/>
      </c>
      <c r="P61">
        <f>IF(B61="","",IF(O61="관심 없음","제외",IF(L61="","안 가봄",IF(M61&gt;=설정!$B$20,M61&amp;"일 지남","최근 방문"))))</f>
        <v/>
      </c>
      <c r="Q61" s="7">
        <f>IF(B61="","",IF(P61="제외","",IF(AND(설정!$B$21&lt;&gt;"",I61&lt;&gt;설정!$B$21),"",IF(AND(N61&lt;&gt;"",N61&gt;N(L61),N61&lt;=설정!$B$24+7),100+7-(N61-설정!$B$24),IF(AND(D61&gt;0,OR(P61="안 가봄",RIGHT(P61,2)="지남")),D61*10+IF(L61="",30,MIN(M61,60)/2)+MIN(N(F61)/1000,20),"")))))</f>
        <v/>
      </c>
      <c r="R61">
        <f>IF(Q61="","",COUNTIF(Q$4:Q$303,"&gt;"&amp;Q61)+COUNTIF(Q$4:Q61,Q61))</f>
        <v/>
      </c>
    </row>
    <row r="62">
      <c r="A62">
        <f>IF(B62="","",59)</f>
        <v/>
      </c>
      <c r="B62">
        <f>IFERROR(INDEX('2.현장'!$V$2:$V$1001,MATCH(59,'2.현장'!$W$2:$W$1001,0)),"")</f>
        <v/>
      </c>
      <c r="C62">
        <f>IF(B62="","",COUNTIFS('2.현장'!$V$2:$V$1001,B62,'2.현장'!$T$2:$T$1001,TRUE))</f>
        <v/>
      </c>
      <c r="D62">
        <f>IF(B62="","",COUNTIFS('2.현장'!$V$2:$V$1001,B62,'2.현장'!$U$2:$U$1001,"설계사"))</f>
        <v/>
      </c>
      <c r="E62">
        <f>IF(B62="","",COUNTIFS('2.현장'!$V$2:$V$1001,B62,'2.현장'!$U$2:$U$1001,"시공사"))</f>
        <v/>
      </c>
      <c r="F62" s="5">
        <f>IF(B62="","",_xlfn.MAXIFS('2.현장'!$D$2:$D$1001,'2.현장'!$V$2:$V$1001,B62,'2.현장'!$T$2:$T$1001,TRUE))</f>
        <v/>
      </c>
      <c r="G62" s="6">
        <f>IF(B62="","",IF(_xlfn.MAXIFS('2.현장'!$L$2:$L$1001,'2.현장'!$V$2:$V$1001,B62,'2.현장'!$T$2:$T$1001,TRUE)=0,"",_xlfn.MAXIFS('2.현장'!$L$2:$L$1001,'2.현장'!$V$2:$V$1001,B62,'2.현장'!$T$2:$T$1001,TRUE)))</f>
        <v/>
      </c>
      <c r="H62">
        <f>IF(B62="","",IFERROR(INDEX('2.현장'!$C$2:$C$1001,IFERROR(MATCH(B62&amp;"|설계사",'2.현장'!$Z$2:$Z$1001,0),IFERROR(MATCH(B62&amp;"|시공사",'2.현장'!$Z$2:$Z$1001,0),MATCH(B62&amp;"|늦음",'2.현장'!$Z$2:$Z$1001,0)))),""))</f>
        <v/>
      </c>
      <c r="I62">
        <f>IF(B62="","",IFERROR(INDEX('2.현장'!$N$2:$N$1001,IFERROR(MATCH(B62&amp;"|설계사",'2.현장'!$Z$2:$Z$1001,0),IFERROR(MATCH(B62&amp;"|시공사",'2.현장'!$Z$2:$Z$1001,0),MATCH(B62&amp;"|늦음",'2.현장'!$Z$2:$Z$1001,0)))),""))</f>
        <v/>
      </c>
      <c r="J62">
        <f>IF(B62="","",IFERROR(VLOOKUP(B62,설계사_메모!$A$3:$G$302,2,FALSE)&amp;"",""))</f>
        <v/>
      </c>
      <c r="K62">
        <f>IF(B62="","",IFERROR(VLOOKUP(B62,설계사_메모!$A$3:$G$302,4,FALSE)&amp;"",""))</f>
        <v/>
      </c>
      <c r="L62" s="6">
        <f>IF(B62="","",IF(COUNTIF('4.방문기록'!$B$3:$B$502,B62)=0,"",_xlfn.MAXIFS('4.방문기록'!$A$3:$A$502,'4.방문기록'!$B$3:$B$502,B62)))</f>
        <v/>
      </c>
      <c r="M62">
        <f>IF(L62="","",설정!$B$24-L62)</f>
        <v/>
      </c>
      <c r="N62" s="6">
        <f>IF(B62="","",IF(_xlfn.MAXIFS('4.방문기록'!$F$3:$F$502,'4.방문기록'!$B$3:$B$502,B62)=0,"",_xlfn.MAXIFS('4.방문기록'!$F$3:$F$502,'4.방문기록'!$B$3:$B$502,B62)))</f>
        <v/>
      </c>
      <c r="O62">
        <f>IF(L62="","",IFERROR(INDEX('4.방문기록'!$H$3:$H$502,MATCH(B62&amp;"|"&amp;(L62*1),'4.방문기록'!$I$3:$I$502,0))&amp;"",""))</f>
        <v/>
      </c>
      <c r="P62">
        <f>IF(B62="","",IF(O62="관심 없음","제외",IF(L62="","안 가봄",IF(M62&gt;=설정!$B$20,M62&amp;"일 지남","최근 방문"))))</f>
        <v/>
      </c>
      <c r="Q62" s="7">
        <f>IF(B62="","",IF(P62="제외","",IF(AND(설정!$B$21&lt;&gt;"",I62&lt;&gt;설정!$B$21),"",IF(AND(N62&lt;&gt;"",N62&gt;N(L62),N62&lt;=설정!$B$24+7),100+7-(N62-설정!$B$24),IF(AND(D62&gt;0,OR(P62="안 가봄",RIGHT(P62,2)="지남")),D62*10+IF(L62="",30,MIN(M62,60)/2)+MIN(N(F62)/1000,20),"")))))</f>
        <v/>
      </c>
      <c r="R62">
        <f>IF(Q62="","",COUNTIF(Q$4:Q$303,"&gt;"&amp;Q62)+COUNTIF(Q$4:Q62,Q62))</f>
        <v/>
      </c>
    </row>
    <row r="63">
      <c r="A63">
        <f>IF(B63="","",60)</f>
        <v/>
      </c>
      <c r="B63">
        <f>IFERROR(INDEX('2.현장'!$V$2:$V$1001,MATCH(60,'2.현장'!$W$2:$W$1001,0)),"")</f>
        <v/>
      </c>
      <c r="C63">
        <f>IF(B63="","",COUNTIFS('2.현장'!$V$2:$V$1001,B63,'2.현장'!$T$2:$T$1001,TRUE))</f>
        <v/>
      </c>
      <c r="D63">
        <f>IF(B63="","",COUNTIFS('2.현장'!$V$2:$V$1001,B63,'2.현장'!$U$2:$U$1001,"설계사"))</f>
        <v/>
      </c>
      <c r="E63">
        <f>IF(B63="","",COUNTIFS('2.현장'!$V$2:$V$1001,B63,'2.현장'!$U$2:$U$1001,"시공사"))</f>
        <v/>
      </c>
      <c r="F63" s="5">
        <f>IF(B63="","",_xlfn.MAXIFS('2.현장'!$D$2:$D$1001,'2.현장'!$V$2:$V$1001,B63,'2.현장'!$T$2:$T$1001,TRUE))</f>
        <v/>
      </c>
      <c r="G63" s="6">
        <f>IF(B63="","",IF(_xlfn.MAXIFS('2.현장'!$L$2:$L$1001,'2.현장'!$V$2:$V$1001,B63,'2.현장'!$T$2:$T$1001,TRUE)=0,"",_xlfn.MAXIFS('2.현장'!$L$2:$L$1001,'2.현장'!$V$2:$V$1001,B63,'2.현장'!$T$2:$T$1001,TRUE)))</f>
        <v/>
      </c>
      <c r="H63">
        <f>IF(B63="","",IFERROR(INDEX('2.현장'!$C$2:$C$1001,IFERROR(MATCH(B63&amp;"|설계사",'2.현장'!$Z$2:$Z$1001,0),IFERROR(MATCH(B63&amp;"|시공사",'2.현장'!$Z$2:$Z$1001,0),MATCH(B63&amp;"|늦음",'2.현장'!$Z$2:$Z$1001,0)))),""))</f>
        <v/>
      </c>
      <c r="I63">
        <f>IF(B63="","",IFERROR(INDEX('2.현장'!$N$2:$N$1001,IFERROR(MATCH(B63&amp;"|설계사",'2.현장'!$Z$2:$Z$1001,0),IFERROR(MATCH(B63&amp;"|시공사",'2.현장'!$Z$2:$Z$1001,0),MATCH(B63&amp;"|늦음",'2.현장'!$Z$2:$Z$1001,0)))),""))</f>
        <v/>
      </c>
      <c r="J63">
        <f>IF(B63="","",IFERROR(VLOOKUP(B63,설계사_메모!$A$3:$G$302,2,FALSE)&amp;"",""))</f>
        <v/>
      </c>
      <c r="K63">
        <f>IF(B63="","",IFERROR(VLOOKUP(B63,설계사_메모!$A$3:$G$302,4,FALSE)&amp;"",""))</f>
        <v/>
      </c>
      <c r="L63" s="6">
        <f>IF(B63="","",IF(COUNTIF('4.방문기록'!$B$3:$B$502,B63)=0,"",_xlfn.MAXIFS('4.방문기록'!$A$3:$A$502,'4.방문기록'!$B$3:$B$502,B63)))</f>
        <v/>
      </c>
      <c r="M63">
        <f>IF(L63="","",설정!$B$24-L63)</f>
        <v/>
      </c>
      <c r="N63" s="6">
        <f>IF(B63="","",IF(_xlfn.MAXIFS('4.방문기록'!$F$3:$F$502,'4.방문기록'!$B$3:$B$502,B63)=0,"",_xlfn.MAXIFS('4.방문기록'!$F$3:$F$502,'4.방문기록'!$B$3:$B$502,B63)))</f>
        <v/>
      </c>
      <c r="O63">
        <f>IF(L63="","",IFERROR(INDEX('4.방문기록'!$H$3:$H$502,MATCH(B63&amp;"|"&amp;(L63*1),'4.방문기록'!$I$3:$I$502,0))&amp;"",""))</f>
        <v/>
      </c>
      <c r="P63">
        <f>IF(B63="","",IF(O63="관심 없음","제외",IF(L63="","안 가봄",IF(M63&gt;=설정!$B$20,M63&amp;"일 지남","최근 방문"))))</f>
        <v/>
      </c>
      <c r="Q63" s="7">
        <f>IF(B63="","",IF(P63="제외","",IF(AND(설정!$B$21&lt;&gt;"",I63&lt;&gt;설정!$B$21),"",IF(AND(N63&lt;&gt;"",N63&gt;N(L63),N63&lt;=설정!$B$24+7),100+7-(N63-설정!$B$24),IF(AND(D63&gt;0,OR(P63="안 가봄",RIGHT(P63,2)="지남")),D63*10+IF(L63="",30,MIN(M63,60)/2)+MIN(N(F63)/1000,20),"")))))</f>
        <v/>
      </c>
      <c r="R63">
        <f>IF(Q63="","",COUNTIF(Q$4:Q$303,"&gt;"&amp;Q63)+COUNTIF(Q$4:Q63,Q63))</f>
        <v/>
      </c>
    </row>
    <row r="64">
      <c r="A64">
        <f>IF(B64="","",61)</f>
        <v/>
      </c>
      <c r="B64">
        <f>IFERROR(INDEX('2.현장'!$V$2:$V$1001,MATCH(61,'2.현장'!$W$2:$W$1001,0)),"")</f>
        <v/>
      </c>
      <c r="C64">
        <f>IF(B64="","",COUNTIFS('2.현장'!$V$2:$V$1001,B64,'2.현장'!$T$2:$T$1001,TRUE))</f>
        <v/>
      </c>
      <c r="D64">
        <f>IF(B64="","",COUNTIFS('2.현장'!$V$2:$V$1001,B64,'2.현장'!$U$2:$U$1001,"설계사"))</f>
        <v/>
      </c>
      <c r="E64">
        <f>IF(B64="","",COUNTIFS('2.현장'!$V$2:$V$1001,B64,'2.현장'!$U$2:$U$1001,"시공사"))</f>
        <v/>
      </c>
      <c r="F64" s="5">
        <f>IF(B64="","",_xlfn.MAXIFS('2.현장'!$D$2:$D$1001,'2.현장'!$V$2:$V$1001,B64,'2.현장'!$T$2:$T$1001,TRUE))</f>
        <v/>
      </c>
      <c r="G64" s="6">
        <f>IF(B64="","",IF(_xlfn.MAXIFS('2.현장'!$L$2:$L$1001,'2.현장'!$V$2:$V$1001,B64,'2.현장'!$T$2:$T$1001,TRUE)=0,"",_xlfn.MAXIFS('2.현장'!$L$2:$L$1001,'2.현장'!$V$2:$V$1001,B64,'2.현장'!$T$2:$T$1001,TRUE)))</f>
        <v/>
      </c>
      <c r="H64">
        <f>IF(B64="","",IFERROR(INDEX('2.현장'!$C$2:$C$1001,IFERROR(MATCH(B64&amp;"|설계사",'2.현장'!$Z$2:$Z$1001,0),IFERROR(MATCH(B64&amp;"|시공사",'2.현장'!$Z$2:$Z$1001,0),MATCH(B64&amp;"|늦음",'2.현장'!$Z$2:$Z$1001,0)))),""))</f>
        <v/>
      </c>
      <c r="I64">
        <f>IF(B64="","",IFERROR(INDEX('2.현장'!$N$2:$N$1001,IFERROR(MATCH(B64&amp;"|설계사",'2.현장'!$Z$2:$Z$1001,0),IFERROR(MATCH(B64&amp;"|시공사",'2.현장'!$Z$2:$Z$1001,0),MATCH(B64&amp;"|늦음",'2.현장'!$Z$2:$Z$1001,0)))),""))</f>
        <v/>
      </c>
      <c r="J64">
        <f>IF(B64="","",IFERROR(VLOOKUP(B64,설계사_메모!$A$3:$G$302,2,FALSE)&amp;"",""))</f>
        <v/>
      </c>
      <c r="K64">
        <f>IF(B64="","",IFERROR(VLOOKUP(B64,설계사_메모!$A$3:$G$302,4,FALSE)&amp;"",""))</f>
        <v/>
      </c>
      <c r="L64" s="6">
        <f>IF(B64="","",IF(COUNTIF('4.방문기록'!$B$3:$B$502,B64)=0,"",_xlfn.MAXIFS('4.방문기록'!$A$3:$A$502,'4.방문기록'!$B$3:$B$502,B64)))</f>
        <v/>
      </c>
      <c r="M64">
        <f>IF(L64="","",설정!$B$24-L64)</f>
        <v/>
      </c>
      <c r="N64" s="6">
        <f>IF(B64="","",IF(_xlfn.MAXIFS('4.방문기록'!$F$3:$F$502,'4.방문기록'!$B$3:$B$502,B64)=0,"",_xlfn.MAXIFS('4.방문기록'!$F$3:$F$502,'4.방문기록'!$B$3:$B$502,B64)))</f>
        <v/>
      </c>
      <c r="O64">
        <f>IF(L64="","",IFERROR(INDEX('4.방문기록'!$H$3:$H$502,MATCH(B64&amp;"|"&amp;(L64*1),'4.방문기록'!$I$3:$I$502,0))&amp;"",""))</f>
        <v/>
      </c>
      <c r="P64">
        <f>IF(B64="","",IF(O64="관심 없음","제외",IF(L64="","안 가봄",IF(M64&gt;=설정!$B$20,M64&amp;"일 지남","최근 방문"))))</f>
        <v/>
      </c>
      <c r="Q64" s="7">
        <f>IF(B64="","",IF(P64="제외","",IF(AND(설정!$B$21&lt;&gt;"",I64&lt;&gt;설정!$B$21),"",IF(AND(N64&lt;&gt;"",N64&gt;N(L64),N64&lt;=설정!$B$24+7),100+7-(N64-설정!$B$24),IF(AND(D64&gt;0,OR(P64="안 가봄",RIGHT(P64,2)="지남")),D64*10+IF(L64="",30,MIN(M64,60)/2)+MIN(N(F64)/1000,20),"")))))</f>
        <v/>
      </c>
      <c r="R64">
        <f>IF(Q64="","",COUNTIF(Q$4:Q$303,"&gt;"&amp;Q64)+COUNTIF(Q$4:Q64,Q64))</f>
        <v/>
      </c>
    </row>
    <row r="65">
      <c r="A65">
        <f>IF(B65="","",62)</f>
        <v/>
      </c>
      <c r="B65">
        <f>IFERROR(INDEX('2.현장'!$V$2:$V$1001,MATCH(62,'2.현장'!$W$2:$W$1001,0)),"")</f>
        <v/>
      </c>
      <c r="C65">
        <f>IF(B65="","",COUNTIFS('2.현장'!$V$2:$V$1001,B65,'2.현장'!$T$2:$T$1001,TRUE))</f>
        <v/>
      </c>
      <c r="D65">
        <f>IF(B65="","",COUNTIFS('2.현장'!$V$2:$V$1001,B65,'2.현장'!$U$2:$U$1001,"설계사"))</f>
        <v/>
      </c>
      <c r="E65">
        <f>IF(B65="","",COUNTIFS('2.현장'!$V$2:$V$1001,B65,'2.현장'!$U$2:$U$1001,"시공사"))</f>
        <v/>
      </c>
      <c r="F65" s="5">
        <f>IF(B65="","",_xlfn.MAXIFS('2.현장'!$D$2:$D$1001,'2.현장'!$V$2:$V$1001,B65,'2.현장'!$T$2:$T$1001,TRUE))</f>
        <v/>
      </c>
      <c r="G65" s="6">
        <f>IF(B65="","",IF(_xlfn.MAXIFS('2.현장'!$L$2:$L$1001,'2.현장'!$V$2:$V$1001,B65,'2.현장'!$T$2:$T$1001,TRUE)=0,"",_xlfn.MAXIFS('2.현장'!$L$2:$L$1001,'2.현장'!$V$2:$V$1001,B65,'2.현장'!$T$2:$T$1001,TRUE)))</f>
        <v/>
      </c>
      <c r="H65">
        <f>IF(B65="","",IFERROR(INDEX('2.현장'!$C$2:$C$1001,IFERROR(MATCH(B65&amp;"|설계사",'2.현장'!$Z$2:$Z$1001,0),IFERROR(MATCH(B65&amp;"|시공사",'2.현장'!$Z$2:$Z$1001,0),MATCH(B65&amp;"|늦음",'2.현장'!$Z$2:$Z$1001,0)))),""))</f>
        <v/>
      </c>
      <c r="I65">
        <f>IF(B65="","",IFERROR(INDEX('2.현장'!$N$2:$N$1001,IFERROR(MATCH(B65&amp;"|설계사",'2.현장'!$Z$2:$Z$1001,0),IFERROR(MATCH(B65&amp;"|시공사",'2.현장'!$Z$2:$Z$1001,0),MATCH(B65&amp;"|늦음",'2.현장'!$Z$2:$Z$1001,0)))),""))</f>
        <v/>
      </c>
      <c r="J65">
        <f>IF(B65="","",IFERROR(VLOOKUP(B65,설계사_메모!$A$3:$G$302,2,FALSE)&amp;"",""))</f>
        <v/>
      </c>
      <c r="K65">
        <f>IF(B65="","",IFERROR(VLOOKUP(B65,설계사_메모!$A$3:$G$302,4,FALSE)&amp;"",""))</f>
        <v/>
      </c>
      <c r="L65" s="6">
        <f>IF(B65="","",IF(COUNTIF('4.방문기록'!$B$3:$B$502,B65)=0,"",_xlfn.MAXIFS('4.방문기록'!$A$3:$A$502,'4.방문기록'!$B$3:$B$502,B65)))</f>
        <v/>
      </c>
      <c r="M65">
        <f>IF(L65="","",설정!$B$24-L65)</f>
        <v/>
      </c>
      <c r="N65" s="6">
        <f>IF(B65="","",IF(_xlfn.MAXIFS('4.방문기록'!$F$3:$F$502,'4.방문기록'!$B$3:$B$502,B65)=0,"",_xlfn.MAXIFS('4.방문기록'!$F$3:$F$502,'4.방문기록'!$B$3:$B$502,B65)))</f>
        <v/>
      </c>
      <c r="O65">
        <f>IF(L65="","",IFERROR(INDEX('4.방문기록'!$H$3:$H$502,MATCH(B65&amp;"|"&amp;(L65*1),'4.방문기록'!$I$3:$I$502,0))&amp;"",""))</f>
        <v/>
      </c>
      <c r="P65">
        <f>IF(B65="","",IF(O65="관심 없음","제외",IF(L65="","안 가봄",IF(M65&gt;=설정!$B$20,M65&amp;"일 지남","최근 방문"))))</f>
        <v/>
      </c>
      <c r="Q65" s="7">
        <f>IF(B65="","",IF(P65="제외","",IF(AND(설정!$B$21&lt;&gt;"",I65&lt;&gt;설정!$B$21),"",IF(AND(N65&lt;&gt;"",N65&gt;N(L65),N65&lt;=설정!$B$24+7),100+7-(N65-설정!$B$24),IF(AND(D65&gt;0,OR(P65="안 가봄",RIGHT(P65,2)="지남")),D65*10+IF(L65="",30,MIN(M65,60)/2)+MIN(N(F65)/1000,20),"")))))</f>
        <v/>
      </c>
      <c r="R65">
        <f>IF(Q65="","",COUNTIF(Q$4:Q$303,"&gt;"&amp;Q65)+COUNTIF(Q$4:Q65,Q65))</f>
        <v/>
      </c>
    </row>
    <row r="66">
      <c r="A66">
        <f>IF(B66="","",63)</f>
        <v/>
      </c>
      <c r="B66">
        <f>IFERROR(INDEX('2.현장'!$V$2:$V$1001,MATCH(63,'2.현장'!$W$2:$W$1001,0)),"")</f>
        <v/>
      </c>
      <c r="C66">
        <f>IF(B66="","",COUNTIFS('2.현장'!$V$2:$V$1001,B66,'2.현장'!$T$2:$T$1001,TRUE))</f>
        <v/>
      </c>
      <c r="D66">
        <f>IF(B66="","",COUNTIFS('2.현장'!$V$2:$V$1001,B66,'2.현장'!$U$2:$U$1001,"설계사"))</f>
        <v/>
      </c>
      <c r="E66">
        <f>IF(B66="","",COUNTIFS('2.현장'!$V$2:$V$1001,B66,'2.현장'!$U$2:$U$1001,"시공사"))</f>
        <v/>
      </c>
      <c r="F66" s="5">
        <f>IF(B66="","",_xlfn.MAXIFS('2.현장'!$D$2:$D$1001,'2.현장'!$V$2:$V$1001,B66,'2.현장'!$T$2:$T$1001,TRUE))</f>
        <v/>
      </c>
      <c r="G66" s="6">
        <f>IF(B66="","",IF(_xlfn.MAXIFS('2.현장'!$L$2:$L$1001,'2.현장'!$V$2:$V$1001,B66,'2.현장'!$T$2:$T$1001,TRUE)=0,"",_xlfn.MAXIFS('2.현장'!$L$2:$L$1001,'2.현장'!$V$2:$V$1001,B66,'2.현장'!$T$2:$T$1001,TRUE)))</f>
        <v/>
      </c>
      <c r="H66">
        <f>IF(B66="","",IFERROR(INDEX('2.현장'!$C$2:$C$1001,IFERROR(MATCH(B66&amp;"|설계사",'2.현장'!$Z$2:$Z$1001,0),IFERROR(MATCH(B66&amp;"|시공사",'2.현장'!$Z$2:$Z$1001,0),MATCH(B66&amp;"|늦음",'2.현장'!$Z$2:$Z$1001,0)))),""))</f>
        <v/>
      </c>
      <c r="I66">
        <f>IF(B66="","",IFERROR(INDEX('2.현장'!$N$2:$N$1001,IFERROR(MATCH(B66&amp;"|설계사",'2.현장'!$Z$2:$Z$1001,0),IFERROR(MATCH(B66&amp;"|시공사",'2.현장'!$Z$2:$Z$1001,0),MATCH(B66&amp;"|늦음",'2.현장'!$Z$2:$Z$1001,0)))),""))</f>
        <v/>
      </c>
      <c r="J66">
        <f>IF(B66="","",IFERROR(VLOOKUP(B66,설계사_메모!$A$3:$G$302,2,FALSE)&amp;"",""))</f>
        <v/>
      </c>
      <c r="K66">
        <f>IF(B66="","",IFERROR(VLOOKUP(B66,설계사_메모!$A$3:$G$302,4,FALSE)&amp;"",""))</f>
        <v/>
      </c>
      <c r="L66" s="6">
        <f>IF(B66="","",IF(COUNTIF('4.방문기록'!$B$3:$B$502,B66)=0,"",_xlfn.MAXIFS('4.방문기록'!$A$3:$A$502,'4.방문기록'!$B$3:$B$502,B66)))</f>
        <v/>
      </c>
      <c r="M66">
        <f>IF(L66="","",설정!$B$24-L66)</f>
        <v/>
      </c>
      <c r="N66" s="6">
        <f>IF(B66="","",IF(_xlfn.MAXIFS('4.방문기록'!$F$3:$F$502,'4.방문기록'!$B$3:$B$502,B66)=0,"",_xlfn.MAXIFS('4.방문기록'!$F$3:$F$502,'4.방문기록'!$B$3:$B$502,B66)))</f>
        <v/>
      </c>
      <c r="O66">
        <f>IF(L66="","",IFERROR(INDEX('4.방문기록'!$H$3:$H$502,MATCH(B66&amp;"|"&amp;(L66*1),'4.방문기록'!$I$3:$I$502,0))&amp;"",""))</f>
        <v/>
      </c>
      <c r="P66">
        <f>IF(B66="","",IF(O66="관심 없음","제외",IF(L66="","안 가봄",IF(M66&gt;=설정!$B$20,M66&amp;"일 지남","최근 방문"))))</f>
        <v/>
      </c>
      <c r="Q66" s="7">
        <f>IF(B66="","",IF(P66="제외","",IF(AND(설정!$B$21&lt;&gt;"",I66&lt;&gt;설정!$B$21),"",IF(AND(N66&lt;&gt;"",N66&gt;N(L66),N66&lt;=설정!$B$24+7),100+7-(N66-설정!$B$24),IF(AND(D66&gt;0,OR(P66="안 가봄",RIGHT(P66,2)="지남")),D66*10+IF(L66="",30,MIN(M66,60)/2)+MIN(N(F66)/1000,20),"")))))</f>
        <v/>
      </c>
      <c r="R66">
        <f>IF(Q66="","",COUNTIF(Q$4:Q$303,"&gt;"&amp;Q66)+COUNTIF(Q$4:Q66,Q66))</f>
        <v/>
      </c>
    </row>
    <row r="67">
      <c r="A67">
        <f>IF(B67="","",64)</f>
        <v/>
      </c>
      <c r="B67">
        <f>IFERROR(INDEX('2.현장'!$V$2:$V$1001,MATCH(64,'2.현장'!$W$2:$W$1001,0)),"")</f>
        <v/>
      </c>
      <c r="C67">
        <f>IF(B67="","",COUNTIFS('2.현장'!$V$2:$V$1001,B67,'2.현장'!$T$2:$T$1001,TRUE))</f>
        <v/>
      </c>
      <c r="D67">
        <f>IF(B67="","",COUNTIFS('2.현장'!$V$2:$V$1001,B67,'2.현장'!$U$2:$U$1001,"설계사"))</f>
        <v/>
      </c>
      <c r="E67">
        <f>IF(B67="","",COUNTIFS('2.현장'!$V$2:$V$1001,B67,'2.현장'!$U$2:$U$1001,"시공사"))</f>
        <v/>
      </c>
      <c r="F67" s="5">
        <f>IF(B67="","",_xlfn.MAXIFS('2.현장'!$D$2:$D$1001,'2.현장'!$V$2:$V$1001,B67,'2.현장'!$T$2:$T$1001,TRUE))</f>
        <v/>
      </c>
      <c r="G67" s="6">
        <f>IF(B67="","",IF(_xlfn.MAXIFS('2.현장'!$L$2:$L$1001,'2.현장'!$V$2:$V$1001,B67,'2.현장'!$T$2:$T$1001,TRUE)=0,"",_xlfn.MAXIFS('2.현장'!$L$2:$L$1001,'2.현장'!$V$2:$V$1001,B67,'2.현장'!$T$2:$T$1001,TRUE)))</f>
        <v/>
      </c>
      <c r="H67">
        <f>IF(B67="","",IFERROR(INDEX('2.현장'!$C$2:$C$1001,IFERROR(MATCH(B67&amp;"|설계사",'2.현장'!$Z$2:$Z$1001,0),IFERROR(MATCH(B67&amp;"|시공사",'2.현장'!$Z$2:$Z$1001,0),MATCH(B67&amp;"|늦음",'2.현장'!$Z$2:$Z$1001,0)))),""))</f>
        <v/>
      </c>
      <c r="I67">
        <f>IF(B67="","",IFERROR(INDEX('2.현장'!$N$2:$N$1001,IFERROR(MATCH(B67&amp;"|설계사",'2.현장'!$Z$2:$Z$1001,0),IFERROR(MATCH(B67&amp;"|시공사",'2.현장'!$Z$2:$Z$1001,0),MATCH(B67&amp;"|늦음",'2.현장'!$Z$2:$Z$1001,0)))),""))</f>
        <v/>
      </c>
      <c r="J67">
        <f>IF(B67="","",IFERROR(VLOOKUP(B67,설계사_메모!$A$3:$G$302,2,FALSE)&amp;"",""))</f>
        <v/>
      </c>
      <c r="K67">
        <f>IF(B67="","",IFERROR(VLOOKUP(B67,설계사_메모!$A$3:$G$302,4,FALSE)&amp;"",""))</f>
        <v/>
      </c>
      <c r="L67" s="6">
        <f>IF(B67="","",IF(COUNTIF('4.방문기록'!$B$3:$B$502,B67)=0,"",_xlfn.MAXIFS('4.방문기록'!$A$3:$A$502,'4.방문기록'!$B$3:$B$502,B67)))</f>
        <v/>
      </c>
      <c r="M67">
        <f>IF(L67="","",설정!$B$24-L67)</f>
        <v/>
      </c>
      <c r="N67" s="6">
        <f>IF(B67="","",IF(_xlfn.MAXIFS('4.방문기록'!$F$3:$F$502,'4.방문기록'!$B$3:$B$502,B67)=0,"",_xlfn.MAXIFS('4.방문기록'!$F$3:$F$502,'4.방문기록'!$B$3:$B$502,B67)))</f>
        <v/>
      </c>
      <c r="O67">
        <f>IF(L67="","",IFERROR(INDEX('4.방문기록'!$H$3:$H$502,MATCH(B67&amp;"|"&amp;(L67*1),'4.방문기록'!$I$3:$I$502,0))&amp;"",""))</f>
        <v/>
      </c>
      <c r="P67">
        <f>IF(B67="","",IF(O67="관심 없음","제외",IF(L67="","안 가봄",IF(M67&gt;=설정!$B$20,M67&amp;"일 지남","최근 방문"))))</f>
        <v/>
      </c>
      <c r="Q67" s="7">
        <f>IF(B67="","",IF(P67="제외","",IF(AND(설정!$B$21&lt;&gt;"",I67&lt;&gt;설정!$B$21),"",IF(AND(N67&lt;&gt;"",N67&gt;N(L67),N67&lt;=설정!$B$24+7),100+7-(N67-설정!$B$24),IF(AND(D67&gt;0,OR(P67="안 가봄",RIGHT(P67,2)="지남")),D67*10+IF(L67="",30,MIN(M67,60)/2)+MIN(N(F67)/1000,20),"")))))</f>
        <v/>
      </c>
      <c r="R67">
        <f>IF(Q67="","",COUNTIF(Q$4:Q$303,"&gt;"&amp;Q67)+COUNTIF(Q$4:Q67,Q67))</f>
        <v/>
      </c>
    </row>
    <row r="68">
      <c r="A68">
        <f>IF(B68="","",65)</f>
        <v/>
      </c>
      <c r="B68">
        <f>IFERROR(INDEX('2.현장'!$V$2:$V$1001,MATCH(65,'2.현장'!$W$2:$W$1001,0)),"")</f>
        <v/>
      </c>
      <c r="C68">
        <f>IF(B68="","",COUNTIFS('2.현장'!$V$2:$V$1001,B68,'2.현장'!$T$2:$T$1001,TRUE))</f>
        <v/>
      </c>
      <c r="D68">
        <f>IF(B68="","",COUNTIFS('2.현장'!$V$2:$V$1001,B68,'2.현장'!$U$2:$U$1001,"설계사"))</f>
        <v/>
      </c>
      <c r="E68">
        <f>IF(B68="","",COUNTIFS('2.현장'!$V$2:$V$1001,B68,'2.현장'!$U$2:$U$1001,"시공사"))</f>
        <v/>
      </c>
      <c r="F68" s="5">
        <f>IF(B68="","",_xlfn.MAXIFS('2.현장'!$D$2:$D$1001,'2.현장'!$V$2:$V$1001,B68,'2.현장'!$T$2:$T$1001,TRUE))</f>
        <v/>
      </c>
      <c r="G68" s="6">
        <f>IF(B68="","",IF(_xlfn.MAXIFS('2.현장'!$L$2:$L$1001,'2.현장'!$V$2:$V$1001,B68,'2.현장'!$T$2:$T$1001,TRUE)=0,"",_xlfn.MAXIFS('2.현장'!$L$2:$L$1001,'2.현장'!$V$2:$V$1001,B68,'2.현장'!$T$2:$T$1001,TRUE)))</f>
        <v/>
      </c>
      <c r="H68">
        <f>IF(B68="","",IFERROR(INDEX('2.현장'!$C$2:$C$1001,IFERROR(MATCH(B68&amp;"|설계사",'2.현장'!$Z$2:$Z$1001,0),IFERROR(MATCH(B68&amp;"|시공사",'2.현장'!$Z$2:$Z$1001,0),MATCH(B68&amp;"|늦음",'2.현장'!$Z$2:$Z$1001,0)))),""))</f>
        <v/>
      </c>
      <c r="I68">
        <f>IF(B68="","",IFERROR(INDEX('2.현장'!$N$2:$N$1001,IFERROR(MATCH(B68&amp;"|설계사",'2.현장'!$Z$2:$Z$1001,0),IFERROR(MATCH(B68&amp;"|시공사",'2.현장'!$Z$2:$Z$1001,0),MATCH(B68&amp;"|늦음",'2.현장'!$Z$2:$Z$1001,0)))),""))</f>
        <v/>
      </c>
      <c r="J68">
        <f>IF(B68="","",IFERROR(VLOOKUP(B68,설계사_메모!$A$3:$G$302,2,FALSE)&amp;"",""))</f>
        <v/>
      </c>
      <c r="K68">
        <f>IF(B68="","",IFERROR(VLOOKUP(B68,설계사_메모!$A$3:$G$302,4,FALSE)&amp;"",""))</f>
        <v/>
      </c>
      <c r="L68" s="6">
        <f>IF(B68="","",IF(COUNTIF('4.방문기록'!$B$3:$B$502,B68)=0,"",_xlfn.MAXIFS('4.방문기록'!$A$3:$A$502,'4.방문기록'!$B$3:$B$502,B68)))</f>
        <v/>
      </c>
      <c r="M68">
        <f>IF(L68="","",설정!$B$24-L68)</f>
        <v/>
      </c>
      <c r="N68" s="6">
        <f>IF(B68="","",IF(_xlfn.MAXIFS('4.방문기록'!$F$3:$F$502,'4.방문기록'!$B$3:$B$502,B68)=0,"",_xlfn.MAXIFS('4.방문기록'!$F$3:$F$502,'4.방문기록'!$B$3:$B$502,B68)))</f>
        <v/>
      </c>
      <c r="O68">
        <f>IF(L68="","",IFERROR(INDEX('4.방문기록'!$H$3:$H$502,MATCH(B68&amp;"|"&amp;(L68*1),'4.방문기록'!$I$3:$I$502,0))&amp;"",""))</f>
        <v/>
      </c>
      <c r="P68">
        <f>IF(B68="","",IF(O68="관심 없음","제외",IF(L68="","안 가봄",IF(M68&gt;=설정!$B$20,M68&amp;"일 지남","최근 방문"))))</f>
        <v/>
      </c>
      <c r="Q68" s="7">
        <f>IF(B68="","",IF(P68="제외","",IF(AND(설정!$B$21&lt;&gt;"",I68&lt;&gt;설정!$B$21),"",IF(AND(N68&lt;&gt;"",N68&gt;N(L68),N68&lt;=설정!$B$24+7),100+7-(N68-설정!$B$24),IF(AND(D68&gt;0,OR(P68="안 가봄",RIGHT(P68,2)="지남")),D68*10+IF(L68="",30,MIN(M68,60)/2)+MIN(N(F68)/1000,20),"")))))</f>
        <v/>
      </c>
      <c r="R68">
        <f>IF(Q68="","",COUNTIF(Q$4:Q$303,"&gt;"&amp;Q68)+COUNTIF(Q$4:Q68,Q68))</f>
        <v/>
      </c>
    </row>
    <row r="69">
      <c r="A69">
        <f>IF(B69="","",66)</f>
        <v/>
      </c>
      <c r="B69">
        <f>IFERROR(INDEX('2.현장'!$V$2:$V$1001,MATCH(66,'2.현장'!$W$2:$W$1001,0)),"")</f>
        <v/>
      </c>
      <c r="C69">
        <f>IF(B69="","",COUNTIFS('2.현장'!$V$2:$V$1001,B69,'2.현장'!$T$2:$T$1001,TRUE))</f>
        <v/>
      </c>
      <c r="D69">
        <f>IF(B69="","",COUNTIFS('2.현장'!$V$2:$V$1001,B69,'2.현장'!$U$2:$U$1001,"설계사"))</f>
        <v/>
      </c>
      <c r="E69">
        <f>IF(B69="","",COUNTIFS('2.현장'!$V$2:$V$1001,B69,'2.현장'!$U$2:$U$1001,"시공사"))</f>
        <v/>
      </c>
      <c r="F69" s="5">
        <f>IF(B69="","",_xlfn.MAXIFS('2.현장'!$D$2:$D$1001,'2.현장'!$V$2:$V$1001,B69,'2.현장'!$T$2:$T$1001,TRUE))</f>
        <v/>
      </c>
      <c r="G69" s="6">
        <f>IF(B69="","",IF(_xlfn.MAXIFS('2.현장'!$L$2:$L$1001,'2.현장'!$V$2:$V$1001,B69,'2.현장'!$T$2:$T$1001,TRUE)=0,"",_xlfn.MAXIFS('2.현장'!$L$2:$L$1001,'2.현장'!$V$2:$V$1001,B69,'2.현장'!$T$2:$T$1001,TRUE)))</f>
        <v/>
      </c>
      <c r="H69">
        <f>IF(B69="","",IFERROR(INDEX('2.현장'!$C$2:$C$1001,IFERROR(MATCH(B69&amp;"|설계사",'2.현장'!$Z$2:$Z$1001,0),IFERROR(MATCH(B69&amp;"|시공사",'2.현장'!$Z$2:$Z$1001,0),MATCH(B69&amp;"|늦음",'2.현장'!$Z$2:$Z$1001,0)))),""))</f>
        <v/>
      </c>
      <c r="I69">
        <f>IF(B69="","",IFERROR(INDEX('2.현장'!$N$2:$N$1001,IFERROR(MATCH(B69&amp;"|설계사",'2.현장'!$Z$2:$Z$1001,0),IFERROR(MATCH(B69&amp;"|시공사",'2.현장'!$Z$2:$Z$1001,0),MATCH(B69&amp;"|늦음",'2.현장'!$Z$2:$Z$1001,0)))),""))</f>
        <v/>
      </c>
      <c r="J69">
        <f>IF(B69="","",IFERROR(VLOOKUP(B69,설계사_메모!$A$3:$G$302,2,FALSE)&amp;"",""))</f>
        <v/>
      </c>
      <c r="K69">
        <f>IF(B69="","",IFERROR(VLOOKUP(B69,설계사_메모!$A$3:$G$302,4,FALSE)&amp;"",""))</f>
        <v/>
      </c>
      <c r="L69" s="6">
        <f>IF(B69="","",IF(COUNTIF('4.방문기록'!$B$3:$B$502,B69)=0,"",_xlfn.MAXIFS('4.방문기록'!$A$3:$A$502,'4.방문기록'!$B$3:$B$502,B69)))</f>
        <v/>
      </c>
      <c r="M69">
        <f>IF(L69="","",설정!$B$24-L69)</f>
        <v/>
      </c>
      <c r="N69" s="6">
        <f>IF(B69="","",IF(_xlfn.MAXIFS('4.방문기록'!$F$3:$F$502,'4.방문기록'!$B$3:$B$502,B69)=0,"",_xlfn.MAXIFS('4.방문기록'!$F$3:$F$502,'4.방문기록'!$B$3:$B$502,B69)))</f>
        <v/>
      </c>
      <c r="O69">
        <f>IF(L69="","",IFERROR(INDEX('4.방문기록'!$H$3:$H$502,MATCH(B69&amp;"|"&amp;(L69*1),'4.방문기록'!$I$3:$I$502,0))&amp;"",""))</f>
        <v/>
      </c>
      <c r="P69">
        <f>IF(B69="","",IF(O69="관심 없음","제외",IF(L69="","안 가봄",IF(M69&gt;=설정!$B$20,M69&amp;"일 지남","최근 방문"))))</f>
        <v/>
      </c>
      <c r="Q69" s="7">
        <f>IF(B69="","",IF(P69="제외","",IF(AND(설정!$B$21&lt;&gt;"",I69&lt;&gt;설정!$B$21),"",IF(AND(N69&lt;&gt;"",N69&gt;N(L69),N69&lt;=설정!$B$24+7),100+7-(N69-설정!$B$24),IF(AND(D69&gt;0,OR(P69="안 가봄",RIGHT(P69,2)="지남")),D69*10+IF(L69="",30,MIN(M69,60)/2)+MIN(N(F69)/1000,20),"")))))</f>
        <v/>
      </c>
      <c r="R69">
        <f>IF(Q69="","",COUNTIF(Q$4:Q$303,"&gt;"&amp;Q69)+COUNTIF(Q$4:Q69,Q69))</f>
        <v/>
      </c>
    </row>
    <row r="70">
      <c r="A70">
        <f>IF(B70="","",67)</f>
        <v/>
      </c>
      <c r="B70">
        <f>IFERROR(INDEX('2.현장'!$V$2:$V$1001,MATCH(67,'2.현장'!$W$2:$W$1001,0)),"")</f>
        <v/>
      </c>
      <c r="C70">
        <f>IF(B70="","",COUNTIFS('2.현장'!$V$2:$V$1001,B70,'2.현장'!$T$2:$T$1001,TRUE))</f>
        <v/>
      </c>
      <c r="D70">
        <f>IF(B70="","",COUNTIFS('2.현장'!$V$2:$V$1001,B70,'2.현장'!$U$2:$U$1001,"설계사"))</f>
        <v/>
      </c>
      <c r="E70">
        <f>IF(B70="","",COUNTIFS('2.현장'!$V$2:$V$1001,B70,'2.현장'!$U$2:$U$1001,"시공사"))</f>
        <v/>
      </c>
      <c r="F70" s="5">
        <f>IF(B70="","",_xlfn.MAXIFS('2.현장'!$D$2:$D$1001,'2.현장'!$V$2:$V$1001,B70,'2.현장'!$T$2:$T$1001,TRUE))</f>
        <v/>
      </c>
      <c r="G70" s="6">
        <f>IF(B70="","",IF(_xlfn.MAXIFS('2.현장'!$L$2:$L$1001,'2.현장'!$V$2:$V$1001,B70,'2.현장'!$T$2:$T$1001,TRUE)=0,"",_xlfn.MAXIFS('2.현장'!$L$2:$L$1001,'2.현장'!$V$2:$V$1001,B70,'2.현장'!$T$2:$T$1001,TRUE)))</f>
        <v/>
      </c>
      <c r="H70">
        <f>IF(B70="","",IFERROR(INDEX('2.현장'!$C$2:$C$1001,IFERROR(MATCH(B70&amp;"|설계사",'2.현장'!$Z$2:$Z$1001,0),IFERROR(MATCH(B70&amp;"|시공사",'2.현장'!$Z$2:$Z$1001,0),MATCH(B70&amp;"|늦음",'2.현장'!$Z$2:$Z$1001,0)))),""))</f>
        <v/>
      </c>
      <c r="I70">
        <f>IF(B70="","",IFERROR(INDEX('2.현장'!$N$2:$N$1001,IFERROR(MATCH(B70&amp;"|설계사",'2.현장'!$Z$2:$Z$1001,0),IFERROR(MATCH(B70&amp;"|시공사",'2.현장'!$Z$2:$Z$1001,0),MATCH(B70&amp;"|늦음",'2.현장'!$Z$2:$Z$1001,0)))),""))</f>
        <v/>
      </c>
      <c r="J70">
        <f>IF(B70="","",IFERROR(VLOOKUP(B70,설계사_메모!$A$3:$G$302,2,FALSE)&amp;"",""))</f>
        <v/>
      </c>
      <c r="K70">
        <f>IF(B70="","",IFERROR(VLOOKUP(B70,설계사_메모!$A$3:$G$302,4,FALSE)&amp;"",""))</f>
        <v/>
      </c>
      <c r="L70" s="6">
        <f>IF(B70="","",IF(COUNTIF('4.방문기록'!$B$3:$B$502,B70)=0,"",_xlfn.MAXIFS('4.방문기록'!$A$3:$A$502,'4.방문기록'!$B$3:$B$502,B70)))</f>
        <v/>
      </c>
      <c r="M70">
        <f>IF(L70="","",설정!$B$24-L70)</f>
        <v/>
      </c>
      <c r="N70" s="6">
        <f>IF(B70="","",IF(_xlfn.MAXIFS('4.방문기록'!$F$3:$F$502,'4.방문기록'!$B$3:$B$502,B70)=0,"",_xlfn.MAXIFS('4.방문기록'!$F$3:$F$502,'4.방문기록'!$B$3:$B$502,B70)))</f>
        <v/>
      </c>
      <c r="O70">
        <f>IF(L70="","",IFERROR(INDEX('4.방문기록'!$H$3:$H$502,MATCH(B70&amp;"|"&amp;(L70*1),'4.방문기록'!$I$3:$I$502,0))&amp;"",""))</f>
        <v/>
      </c>
      <c r="P70">
        <f>IF(B70="","",IF(O70="관심 없음","제외",IF(L70="","안 가봄",IF(M70&gt;=설정!$B$20,M70&amp;"일 지남","최근 방문"))))</f>
        <v/>
      </c>
      <c r="Q70" s="7">
        <f>IF(B70="","",IF(P70="제외","",IF(AND(설정!$B$21&lt;&gt;"",I70&lt;&gt;설정!$B$21),"",IF(AND(N70&lt;&gt;"",N70&gt;N(L70),N70&lt;=설정!$B$24+7),100+7-(N70-설정!$B$24),IF(AND(D70&gt;0,OR(P70="안 가봄",RIGHT(P70,2)="지남")),D70*10+IF(L70="",30,MIN(M70,60)/2)+MIN(N(F70)/1000,20),"")))))</f>
        <v/>
      </c>
      <c r="R70">
        <f>IF(Q70="","",COUNTIF(Q$4:Q$303,"&gt;"&amp;Q70)+COUNTIF(Q$4:Q70,Q70))</f>
        <v/>
      </c>
    </row>
    <row r="71">
      <c r="A71">
        <f>IF(B71="","",68)</f>
        <v/>
      </c>
      <c r="B71">
        <f>IFERROR(INDEX('2.현장'!$V$2:$V$1001,MATCH(68,'2.현장'!$W$2:$W$1001,0)),"")</f>
        <v/>
      </c>
      <c r="C71">
        <f>IF(B71="","",COUNTIFS('2.현장'!$V$2:$V$1001,B71,'2.현장'!$T$2:$T$1001,TRUE))</f>
        <v/>
      </c>
      <c r="D71">
        <f>IF(B71="","",COUNTIFS('2.현장'!$V$2:$V$1001,B71,'2.현장'!$U$2:$U$1001,"설계사"))</f>
        <v/>
      </c>
      <c r="E71">
        <f>IF(B71="","",COUNTIFS('2.현장'!$V$2:$V$1001,B71,'2.현장'!$U$2:$U$1001,"시공사"))</f>
        <v/>
      </c>
      <c r="F71" s="5">
        <f>IF(B71="","",_xlfn.MAXIFS('2.현장'!$D$2:$D$1001,'2.현장'!$V$2:$V$1001,B71,'2.현장'!$T$2:$T$1001,TRUE))</f>
        <v/>
      </c>
      <c r="G71" s="6">
        <f>IF(B71="","",IF(_xlfn.MAXIFS('2.현장'!$L$2:$L$1001,'2.현장'!$V$2:$V$1001,B71,'2.현장'!$T$2:$T$1001,TRUE)=0,"",_xlfn.MAXIFS('2.현장'!$L$2:$L$1001,'2.현장'!$V$2:$V$1001,B71,'2.현장'!$T$2:$T$1001,TRUE)))</f>
        <v/>
      </c>
      <c r="H71">
        <f>IF(B71="","",IFERROR(INDEX('2.현장'!$C$2:$C$1001,IFERROR(MATCH(B71&amp;"|설계사",'2.현장'!$Z$2:$Z$1001,0),IFERROR(MATCH(B71&amp;"|시공사",'2.현장'!$Z$2:$Z$1001,0),MATCH(B71&amp;"|늦음",'2.현장'!$Z$2:$Z$1001,0)))),""))</f>
        <v/>
      </c>
      <c r="I71">
        <f>IF(B71="","",IFERROR(INDEX('2.현장'!$N$2:$N$1001,IFERROR(MATCH(B71&amp;"|설계사",'2.현장'!$Z$2:$Z$1001,0),IFERROR(MATCH(B71&amp;"|시공사",'2.현장'!$Z$2:$Z$1001,0),MATCH(B71&amp;"|늦음",'2.현장'!$Z$2:$Z$1001,0)))),""))</f>
        <v/>
      </c>
      <c r="J71">
        <f>IF(B71="","",IFERROR(VLOOKUP(B71,설계사_메모!$A$3:$G$302,2,FALSE)&amp;"",""))</f>
        <v/>
      </c>
      <c r="K71">
        <f>IF(B71="","",IFERROR(VLOOKUP(B71,설계사_메모!$A$3:$G$302,4,FALSE)&amp;"",""))</f>
        <v/>
      </c>
      <c r="L71" s="6">
        <f>IF(B71="","",IF(COUNTIF('4.방문기록'!$B$3:$B$502,B71)=0,"",_xlfn.MAXIFS('4.방문기록'!$A$3:$A$502,'4.방문기록'!$B$3:$B$502,B71)))</f>
        <v/>
      </c>
      <c r="M71">
        <f>IF(L71="","",설정!$B$24-L71)</f>
        <v/>
      </c>
      <c r="N71" s="6">
        <f>IF(B71="","",IF(_xlfn.MAXIFS('4.방문기록'!$F$3:$F$502,'4.방문기록'!$B$3:$B$502,B71)=0,"",_xlfn.MAXIFS('4.방문기록'!$F$3:$F$502,'4.방문기록'!$B$3:$B$502,B71)))</f>
        <v/>
      </c>
      <c r="O71">
        <f>IF(L71="","",IFERROR(INDEX('4.방문기록'!$H$3:$H$502,MATCH(B71&amp;"|"&amp;(L71*1),'4.방문기록'!$I$3:$I$502,0))&amp;"",""))</f>
        <v/>
      </c>
      <c r="P71">
        <f>IF(B71="","",IF(O71="관심 없음","제외",IF(L71="","안 가봄",IF(M71&gt;=설정!$B$20,M71&amp;"일 지남","최근 방문"))))</f>
        <v/>
      </c>
      <c r="Q71" s="7">
        <f>IF(B71="","",IF(P71="제외","",IF(AND(설정!$B$21&lt;&gt;"",I71&lt;&gt;설정!$B$21),"",IF(AND(N71&lt;&gt;"",N71&gt;N(L71),N71&lt;=설정!$B$24+7),100+7-(N71-설정!$B$24),IF(AND(D71&gt;0,OR(P71="안 가봄",RIGHT(P71,2)="지남")),D71*10+IF(L71="",30,MIN(M71,60)/2)+MIN(N(F71)/1000,20),"")))))</f>
        <v/>
      </c>
      <c r="R71">
        <f>IF(Q71="","",COUNTIF(Q$4:Q$303,"&gt;"&amp;Q71)+COUNTIF(Q$4:Q71,Q71))</f>
        <v/>
      </c>
    </row>
    <row r="72">
      <c r="A72">
        <f>IF(B72="","",69)</f>
        <v/>
      </c>
      <c r="B72">
        <f>IFERROR(INDEX('2.현장'!$V$2:$V$1001,MATCH(69,'2.현장'!$W$2:$W$1001,0)),"")</f>
        <v/>
      </c>
      <c r="C72">
        <f>IF(B72="","",COUNTIFS('2.현장'!$V$2:$V$1001,B72,'2.현장'!$T$2:$T$1001,TRUE))</f>
        <v/>
      </c>
      <c r="D72">
        <f>IF(B72="","",COUNTIFS('2.현장'!$V$2:$V$1001,B72,'2.현장'!$U$2:$U$1001,"설계사"))</f>
        <v/>
      </c>
      <c r="E72">
        <f>IF(B72="","",COUNTIFS('2.현장'!$V$2:$V$1001,B72,'2.현장'!$U$2:$U$1001,"시공사"))</f>
        <v/>
      </c>
      <c r="F72" s="5">
        <f>IF(B72="","",_xlfn.MAXIFS('2.현장'!$D$2:$D$1001,'2.현장'!$V$2:$V$1001,B72,'2.현장'!$T$2:$T$1001,TRUE))</f>
        <v/>
      </c>
      <c r="G72" s="6">
        <f>IF(B72="","",IF(_xlfn.MAXIFS('2.현장'!$L$2:$L$1001,'2.현장'!$V$2:$V$1001,B72,'2.현장'!$T$2:$T$1001,TRUE)=0,"",_xlfn.MAXIFS('2.현장'!$L$2:$L$1001,'2.현장'!$V$2:$V$1001,B72,'2.현장'!$T$2:$T$1001,TRUE)))</f>
        <v/>
      </c>
      <c r="H72">
        <f>IF(B72="","",IFERROR(INDEX('2.현장'!$C$2:$C$1001,IFERROR(MATCH(B72&amp;"|설계사",'2.현장'!$Z$2:$Z$1001,0),IFERROR(MATCH(B72&amp;"|시공사",'2.현장'!$Z$2:$Z$1001,0),MATCH(B72&amp;"|늦음",'2.현장'!$Z$2:$Z$1001,0)))),""))</f>
        <v/>
      </c>
      <c r="I72">
        <f>IF(B72="","",IFERROR(INDEX('2.현장'!$N$2:$N$1001,IFERROR(MATCH(B72&amp;"|설계사",'2.현장'!$Z$2:$Z$1001,0),IFERROR(MATCH(B72&amp;"|시공사",'2.현장'!$Z$2:$Z$1001,0),MATCH(B72&amp;"|늦음",'2.현장'!$Z$2:$Z$1001,0)))),""))</f>
        <v/>
      </c>
      <c r="J72">
        <f>IF(B72="","",IFERROR(VLOOKUP(B72,설계사_메모!$A$3:$G$302,2,FALSE)&amp;"",""))</f>
        <v/>
      </c>
      <c r="K72">
        <f>IF(B72="","",IFERROR(VLOOKUP(B72,설계사_메모!$A$3:$G$302,4,FALSE)&amp;"",""))</f>
        <v/>
      </c>
      <c r="L72" s="6">
        <f>IF(B72="","",IF(COUNTIF('4.방문기록'!$B$3:$B$502,B72)=0,"",_xlfn.MAXIFS('4.방문기록'!$A$3:$A$502,'4.방문기록'!$B$3:$B$502,B72)))</f>
        <v/>
      </c>
      <c r="M72">
        <f>IF(L72="","",설정!$B$24-L72)</f>
        <v/>
      </c>
      <c r="N72" s="6">
        <f>IF(B72="","",IF(_xlfn.MAXIFS('4.방문기록'!$F$3:$F$502,'4.방문기록'!$B$3:$B$502,B72)=0,"",_xlfn.MAXIFS('4.방문기록'!$F$3:$F$502,'4.방문기록'!$B$3:$B$502,B72)))</f>
        <v/>
      </c>
      <c r="O72">
        <f>IF(L72="","",IFERROR(INDEX('4.방문기록'!$H$3:$H$502,MATCH(B72&amp;"|"&amp;(L72*1),'4.방문기록'!$I$3:$I$502,0))&amp;"",""))</f>
        <v/>
      </c>
      <c r="P72">
        <f>IF(B72="","",IF(O72="관심 없음","제외",IF(L72="","안 가봄",IF(M72&gt;=설정!$B$20,M72&amp;"일 지남","최근 방문"))))</f>
        <v/>
      </c>
      <c r="Q72" s="7">
        <f>IF(B72="","",IF(P72="제외","",IF(AND(설정!$B$21&lt;&gt;"",I72&lt;&gt;설정!$B$21),"",IF(AND(N72&lt;&gt;"",N72&gt;N(L72),N72&lt;=설정!$B$24+7),100+7-(N72-설정!$B$24),IF(AND(D72&gt;0,OR(P72="안 가봄",RIGHT(P72,2)="지남")),D72*10+IF(L72="",30,MIN(M72,60)/2)+MIN(N(F72)/1000,20),"")))))</f>
        <v/>
      </c>
      <c r="R72">
        <f>IF(Q72="","",COUNTIF(Q$4:Q$303,"&gt;"&amp;Q72)+COUNTIF(Q$4:Q72,Q72))</f>
        <v/>
      </c>
    </row>
    <row r="73">
      <c r="A73">
        <f>IF(B73="","",70)</f>
        <v/>
      </c>
      <c r="B73">
        <f>IFERROR(INDEX('2.현장'!$V$2:$V$1001,MATCH(70,'2.현장'!$W$2:$W$1001,0)),"")</f>
        <v/>
      </c>
      <c r="C73">
        <f>IF(B73="","",COUNTIFS('2.현장'!$V$2:$V$1001,B73,'2.현장'!$T$2:$T$1001,TRUE))</f>
        <v/>
      </c>
      <c r="D73">
        <f>IF(B73="","",COUNTIFS('2.현장'!$V$2:$V$1001,B73,'2.현장'!$U$2:$U$1001,"설계사"))</f>
        <v/>
      </c>
      <c r="E73">
        <f>IF(B73="","",COUNTIFS('2.현장'!$V$2:$V$1001,B73,'2.현장'!$U$2:$U$1001,"시공사"))</f>
        <v/>
      </c>
      <c r="F73" s="5">
        <f>IF(B73="","",_xlfn.MAXIFS('2.현장'!$D$2:$D$1001,'2.현장'!$V$2:$V$1001,B73,'2.현장'!$T$2:$T$1001,TRUE))</f>
        <v/>
      </c>
      <c r="G73" s="6">
        <f>IF(B73="","",IF(_xlfn.MAXIFS('2.현장'!$L$2:$L$1001,'2.현장'!$V$2:$V$1001,B73,'2.현장'!$T$2:$T$1001,TRUE)=0,"",_xlfn.MAXIFS('2.현장'!$L$2:$L$1001,'2.현장'!$V$2:$V$1001,B73,'2.현장'!$T$2:$T$1001,TRUE)))</f>
        <v/>
      </c>
      <c r="H73">
        <f>IF(B73="","",IFERROR(INDEX('2.현장'!$C$2:$C$1001,IFERROR(MATCH(B73&amp;"|설계사",'2.현장'!$Z$2:$Z$1001,0),IFERROR(MATCH(B73&amp;"|시공사",'2.현장'!$Z$2:$Z$1001,0),MATCH(B73&amp;"|늦음",'2.현장'!$Z$2:$Z$1001,0)))),""))</f>
        <v/>
      </c>
      <c r="I73">
        <f>IF(B73="","",IFERROR(INDEX('2.현장'!$N$2:$N$1001,IFERROR(MATCH(B73&amp;"|설계사",'2.현장'!$Z$2:$Z$1001,0),IFERROR(MATCH(B73&amp;"|시공사",'2.현장'!$Z$2:$Z$1001,0),MATCH(B73&amp;"|늦음",'2.현장'!$Z$2:$Z$1001,0)))),""))</f>
        <v/>
      </c>
      <c r="J73">
        <f>IF(B73="","",IFERROR(VLOOKUP(B73,설계사_메모!$A$3:$G$302,2,FALSE)&amp;"",""))</f>
        <v/>
      </c>
      <c r="K73">
        <f>IF(B73="","",IFERROR(VLOOKUP(B73,설계사_메모!$A$3:$G$302,4,FALSE)&amp;"",""))</f>
        <v/>
      </c>
      <c r="L73" s="6">
        <f>IF(B73="","",IF(COUNTIF('4.방문기록'!$B$3:$B$502,B73)=0,"",_xlfn.MAXIFS('4.방문기록'!$A$3:$A$502,'4.방문기록'!$B$3:$B$502,B73)))</f>
        <v/>
      </c>
      <c r="M73">
        <f>IF(L73="","",설정!$B$24-L73)</f>
        <v/>
      </c>
      <c r="N73" s="6">
        <f>IF(B73="","",IF(_xlfn.MAXIFS('4.방문기록'!$F$3:$F$502,'4.방문기록'!$B$3:$B$502,B73)=0,"",_xlfn.MAXIFS('4.방문기록'!$F$3:$F$502,'4.방문기록'!$B$3:$B$502,B73)))</f>
        <v/>
      </c>
      <c r="O73">
        <f>IF(L73="","",IFERROR(INDEX('4.방문기록'!$H$3:$H$502,MATCH(B73&amp;"|"&amp;(L73*1),'4.방문기록'!$I$3:$I$502,0))&amp;"",""))</f>
        <v/>
      </c>
      <c r="P73">
        <f>IF(B73="","",IF(O73="관심 없음","제외",IF(L73="","안 가봄",IF(M73&gt;=설정!$B$20,M73&amp;"일 지남","최근 방문"))))</f>
        <v/>
      </c>
      <c r="Q73" s="7">
        <f>IF(B73="","",IF(P73="제외","",IF(AND(설정!$B$21&lt;&gt;"",I73&lt;&gt;설정!$B$21),"",IF(AND(N73&lt;&gt;"",N73&gt;N(L73),N73&lt;=설정!$B$24+7),100+7-(N73-설정!$B$24),IF(AND(D73&gt;0,OR(P73="안 가봄",RIGHT(P73,2)="지남")),D73*10+IF(L73="",30,MIN(M73,60)/2)+MIN(N(F73)/1000,20),"")))))</f>
        <v/>
      </c>
      <c r="R73">
        <f>IF(Q73="","",COUNTIF(Q$4:Q$303,"&gt;"&amp;Q73)+COUNTIF(Q$4:Q73,Q73))</f>
        <v/>
      </c>
    </row>
    <row r="74">
      <c r="A74">
        <f>IF(B74="","",71)</f>
        <v/>
      </c>
      <c r="B74">
        <f>IFERROR(INDEX('2.현장'!$V$2:$V$1001,MATCH(71,'2.현장'!$W$2:$W$1001,0)),"")</f>
        <v/>
      </c>
      <c r="C74">
        <f>IF(B74="","",COUNTIFS('2.현장'!$V$2:$V$1001,B74,'2.현장'!$T$2:$T$1001,TRUE))</f>
        <v/>
      </c>
      <c r="D74">
        <f>IF(B74="","",COUNTIFS('2.현장'!$V$2:$V$1001,B74,'2.현장'!$U$2:$U$1001,"설계사"))</f>
        <v/>
      </c>
      <c r="E74">
        <f>IF(B74="","",COUNTIFS('2.현장'!$V$2:$V$1001,B74,'2.현장'!$U$2:$U$1001,"시공사"))</f>
        <v/>
      </c>
      <c r="F74" s="5">
        <f>IF(B74="","",_xlfn.MAXIFS('2.현장'!$D$2:$D$1001,'2.현장'!$V$2:$V$1001,B74,'2.현장'!$T$2:$T$1001,TRUE))</f>
        <v/>
      </c>
      <c r="G74" s="6">
        <f>IF(B74="","",IF(_xlfn.MAXIFS('2.현장'!$L$2:$L$1001,'2.현장'!$V$2:$V$1001,B74,'2.현장'!$T$2:$T$1001,TRUE)=0,"",_xlfn.MAXIFS('2.현장'!$L$2:$L$1001,'2.현장'!$V$2:$V$1001,B74,'2.현장'!$T$2:$T$1001,TRUE)))</f>
        <v/>
      </c>
      <c r="H74">
        <f>IF(B74="","",IFERROR(INDEX('2.현장'!$C$2:$C$1001,IFERROR(MATCH(B74&amp;"|설계사",'2.현장'!$Z$2:$Z$1001,0),IFERROR(MATCH(B74&amp;"|시공사",'2.현장'!$Z$2:$Z$1001,0),MATCH(B74&amp;"|늦음",'2.현장'!$Z$2:$Z$1001,0)))),""))</f>
        <v/>
      </c>
      <c r="I74">
        <f>IF(B74="","",IFERROR(INDEX('2.현장'!$N$2:$N$1001,IFERROR(MATCH(B74&amp;"|설계사",'2.현장'!$Z$2:$Z$1001,0),IFERROR(MATCH(B74&amp;"|시공사",'2.현장'!$Z$2:$Z$1001,0),MATCH(B74&amp;"|늦음",'2.현장'!$Z$2:$Z$1001,0)))),""))</f>
        <v/>
      </c>
      <c r="J74">
        <f>IF(B74="","",IFERROR(VLOOKUP(B74,설계사_메모!$A$3:$G$302,2,FALSE)&amp;"",""))</f>
        <v/>
      </c>
      <c r="K74">
        <f>IF(B74="","",IFERROR(VLOOKUP(B74,설계사_메모!$A$3:$G$302,4,FALSE)&amp;"",""))</f>
        <v/>
      </c>
      <c r="L74" s="6">
        <f>IF(B74="","",IF(COUNTIF('4.방문기록'!$B$3:$B$502,B74)=0,"",_xlfn.MAXIFS('4.방문기록'!$A$3:$A$502,'4.방문기록'!$B$3:$B$502,B74)))</f>
        <v/>
      </c>
      <c r="M74">
        <f>IF(L74="","",설정!$B$24-L74)</f>
        <v/>
      </c>
      <c r="N74" s="6">
        <f>IF(B74="","",IF(_xlfn.MAXIFS('4.방문기록'!$F$3:$F$502,'4.방문기록'!$B$3:$B$502,B74)=0,"",_xlfn.MAXIFS('4.방문기록'!$F$3:$F$502,'4.방문기록'!$B$3:$B$502,B74)))</f>
        <v/>
      </c>
      <c r="O74">
        <f>IF(L74="","",IFERROR(INDEX('4.방문기록'!$H$3:$H$502,MATCH(B74&amp;"|"&amp;(L74*1),'4.방문기록'!$I$3:$I$502,0))&amp;"",""))</f>
        <v/>
      </c>
      <c r="P74">
        <f>IF(B74="","",IF(O74="관심 없음","제외",IF(L74="","안 가봄",IF(M74&gt;=설정!$B$20,M74&amp;"일 지남","최근 방문"))))</f>
        <v/>
      </c>
      <c r="Q74" s="7">
        <f>IF(B74="","",IF(P74="제외","",IF(AND(설정!$B$21&lt;&gt;"",I74&lt;&gt;설정!$B$21),"",IF(AND(N74&lt;&gt;"",N74&gt;N(L74),N74&lt;=설정!$B$24+7),100+7-(N74-설정!$B$24),IF(AND(D74&gt;0,OR(P74="안 가봄",RIGHT(P74,2)="지남")),D74*10+IF(L74="",30,MIN(M74,60)/2)+MIN(N(F74)/1000,20),"")))))</f>
        <v/>
      </c>
      <c r="R74">
        <f>IF(Q74="","",COUNTIF(Q$4:Q$303,"&gt;"&amp;Q74)+COUNTIF(Q$4:Q74,Q74))</f>
        <v/>
      </c>
    </row>
    <row r="75">
      <c r="A75">
        <f>IF(B75="","",72)</f>
        <v/>
      </c>
      <c r="B75">
        <f>IFERROR(INDEX('2.현장'!$V$2:$V$1001,MATCH(72,'2.현장'!$W$2:$W$1001,0)),"")</f>
        <v/>
      </c>
      <c r="C75">
        <f>IF(B75="","",COUNTIFS('2.현장'!$V$2:$V$1001,B75,'2.현장'!$T$2:$T$1001,TRUE))</f>
        <v/>
      </c>
      <c r="D75">
        <f>IF(B75="","",COUNTIFS('2.현장'!$V$2:$V$1001,B75,'2.현장'!$U$2:$U$1001,"설계사"))</f>
        <v/>
      </c>
      <c r="E75">
        <f>IF(B75="","",COUNTIFS('2.현장'!$V$2:$V$1001,B75,'2.현장'!$U$2:$U$1001,"시공사"))</f>
        <v/>
      </c>
      <c r="F75" s="5">
        <f>IF(B75="","",_xlfn.MAXIFS('2.현장'!$D$2:$D$1001,'2.현장'!$V$2:$V$1001,B75,'2.현장'!$T$2:$T$1001,TRUE))</f>
        <v/>
      </c>
      <c r="G75" s="6">
        <f>IF(B75="","",IF(_xlfn.MAXIFS('2.현장'!$L$2:$L$1001,'2.현장'!$V$2:$V$1001,B75,'2.현장'!$T$2:$T$1001,TRUE)=0,"",_xlfn.MAXIFS('2.현장'!$L$2:$L$1001,'2.현장'!$V$2:$V$1001,B75,'2.현장'!$T$2:$T$1001,TRUE)))</f>
        <v/>
      </c>
      <c r="H75">
        <f>IF(B75="","",IFERROR(INDEX('2.현장'!$C$2:$C$1001,IFERROR(MATCH(B75&amp;"|설계사",'2.현장'!$Z$2:$Z$1001,0),IFERROR(MATCH(B75&amp;"|시공사",'2.현장'!$Z$2:$Z$1001,0),MATCH(B75&amp;"|늦음",'2.현장'!$Z$2:$Z$1001,0)))),""))</f>
        <v/>
      </c>
      <c r="I75">
        <f>IF(B75="","",IFERROR(INDEX('2.현장'!$N$2:$N$1001,IFERROR(MATCH(B75&amp;"|설계사",'2.현장'!$Z$2:$Z$1001,0),IFERROR(MATCH(B75&amp;"|시공사",'2.현장'!$Z$2:$Z$1001,0),MATCH(B75&amp;"|늦음",'2.현장'!$Z$2:$Z$1001,0)))),""))</f>
        <v/>
      </c>
      <c r="J75">
        <f>IF(B75="","",IFERROR(VLOOKUP(B75,설계사_메모!$A$3:$G$302,2,FALSE)&amp;"",""))</f>
        <v/>
      </c>
      <c r="K75">
        <f>IF(B75="","",IFERROR(VLOOKUP(B75,설계사_메모!$A$3:$G$302,4,FALSE)&amp;"",""))</f>
        <v/>
      </c>
      <c r="L75" s="6">
        <f>IF(B75="","",IF(COUNTIF('4.방문기록'!$B$3:$B$502,B75)=0,"",_xlfn.MAXIFS('4.방문기록'!$A$3:$A$502,'4.방문기록'!$B$3:$B$502,B75)))</f>
        <v/>
      </c>
      <c r="M75">
        <f>IF(L75="","",설정!$B$24-L75)</f>
        <v/>
      </c>
      <c r="N75" s="6">
        <f>IF(B75="","",IF(_xlfn.MAXIFS('4.방문기록'!$F$3:$F$502,'4.방문기록'!$B$3:$B$502,B75)=0,"",_xlfn.MAXIFS('4.방문기록'!$F$3:$F$502,'4.방문기록'!$B$3:$B$502,B75)))</f>
        <v/>
      </c>
      <c r="O75">
        <f>IF(L75="","",IFERROR(INDEX('4.방문기록'!$H$3:$H$502,MATCH(B75&amp;"|"&amp;(L75*1),'4.방문기록'!$I$3:$I$502,0))&amp;"",""))</f>
        <v/>
      </c>
      <c r="P75">
        <f>IF(B75="","",IF(O75="관심 없음","제외",IF(L75="","안 가봄",IF(M75&gt;=설정!$B$20,M75&amp;"일 지남","최근 방문"))))</f>
        <v/>
      </c>
      <c r="Q75" s="7">
        <f>IF(B75="","",IF(P75="제외","",IF(AND(설정!$B$21&lt;&gt;"",I75&lt;&gt;설정!$B$21),"",IF(AND(N75&lt;&gt;"",N75&gt;N(L75),N75&lt;=설정!$B$24+7),100+7-(N75-설정!$B$24),IF(AND(D75&gt;0,OR(P75="안 가봄",RIGHT(P75,2)="지남")),D75*10+IF(L75="",30,MIN(M75,60)/2)+MIN(N(F75)/1000,20),"")))))</f>
        <v/>
      </c>
      <c r="R75">
        <f>IF(Q75="","",COUNTIF(Q$4:Q$303,"&gt;"&amp;Q75)+COUNTIF(Q$4:Q75,Q75))</f>
        <v/>
      </c>
    </row>
    <row r="76">
      <c r="A76">
        <f>IF(B76="","",73)</f>
        <v/>
      </c>
      <c r="B76">
        <f>IFERROR(INDEX('2.현장'!$V$2:$V$1001,MATCH(73,'2.현장'!$W$2:$W$1001,0)),"")</f>
        <v/>
      </c>
      <c r="C76">
        <f>IF(B76="","",COUNTIFS('2.현장'!$V$2:$V$1001,B76,'2.현장'!$T$2:$T$1001,TRUE))</f>
        <v/>
      </c>
      <c r="D76">
        <f>IF(B76="","",COUNTIFS('2.현장'!$V$2:$V$1001,B76,'2.현장'!$U$2:$U$1001,"설계사"))</f>
        <v/>
      </c>
      <c r="E76">
        <f>IF(B76="","",COUNTIFS('2.현장'!$V$2:$V$1001,B76,'2.현장'!$U$2:$U$1001,"시공사"))</f>
        <v/>
      </c>
      <c r="F76" s="5">
        <f>IF(B76="","",_xlfn.MAXIFS('2.현장'!$D$2:$D$1001,'2.현장'!$V$2:$V$1001,B76,'2.현장'!$T$2:$T$1001,TRUE))</f>
        <v/>
      </c>
      <c r="G76" s="6">
        <f>IF(B76="","",IF(_xlfn.MAXIFS('2.현장'!$L$2:$L$1001,'2.현장'!$V$2:$V$1001,B76,'2.현장'!$T$2:$T$1001,TRUE)=0,"",_xlfn.MAXIFS('2.현장'!$L$2:$L$1001,'2.현장'!$V$2:$V$1001,B76,'2.현장'!$T$2:$T$1001,TRUE)))</f>
        <v/>
      </c>
      <c r="H76">
        <f>IF(B76="","",IFERROR(INDEX('2.현장'!$C$2:$C$1001,IFERROR(MATCH(B76&amp;"|설계사",'2.현장'!$Z$2:$Z$1001,0),IFERROR(MATCH(B76&amp;"|시공사",'2.현장'!$Z$2:$Z$1001,0),MATCH(B76&amp;"|늦음",'2.현장'!$Z$2:$Z$1001,0)))),""))</f>
        <v/>
      </c>
      <c r="I76">
        <f>IF(B76="","",IFERROR(INDEX('2.현장'!$N$2:$N$1001,IFERROR(MATCH(B76&amp;"|설계사",'2.현장'!$Z$2:$Z$1001,0),IFERROR(MATCH(B76&amp;"|시공사",'2.현장'!$Z$2:$Z$1001,0),MATCH(B76&amp;"|늦음",'2.현장'!$Z$2:$Z$1001,0)))),""))</f>
        <v/>
      </c>
      <c r="J76">
        <f>IF(B76="","",IFERROR(VLOOKUP(B76,설계사_메모!$A$3:$G$302,2,FALSE)&amp;"",""))</f>
        <v/>
      </c>
      <c r="K76">
        <f>IF(B76="","",IFERROR(VLOOKUP(B76,설계사_메모!$A$3:$G$302,4,FALSE)&amp;"",""))</f>
        <v/>
      </c>
      <c r="L76" s="6">
        <f>IF(B76="","",IF(COUNTIF('4.방문기록'!$B$3:$B$502,B76)=0,"",_xlfn.MAXIFS('4.방문기록'!$A$3:$A$502,'4.방문기록'!$B$3:$B$502,B76)))</f>
        <v/>
      </c>
      <c r="M76">
        <f>IF(L76="","",설정!$B$24-L76)</f>
        <v/>
      </c>
      <c r="N76" s="6">
        <f>IF(B76="","",IF(_xlfn.MAXIFS('4.방문기록'!$F$3:$F$502,'4.방문기록'!$B$3:$B$502,B76)=0,"",_xlfn.MAXIFS('4.방문기록'!$F$3:$F$502,'4.방문기록'!$B$3:$B$502,B76)))</f>
        <v/>
      </c>
      <c r="O76">
        <f>IF(L76="","",IFERROR(INDEX('4.방문기록'!$H$3:$H$502,MATCH(B76&amp;"|"&amp;(L76*1),'4.방문기록'!$I$3:$I$502,0))&amp;"",""))</f>
        <v/>
      </c>
      <c r="P76">
        <f>IF(B76="","",IF(O76="관심 없음","제외",IF(L76="","안 가봄",IF(M76&gt;=설정!$B$20,M76&amp;"일 지남","최근 방문"))))</f>
        <v/>
      </c>
      <c r="Q76" s="7">
        <f>IF(B76="","",IF(P76="제외","",IF(AND(설정!$B$21&lt;&gt;"",I76&lt;&gt;설정!$B$21),"",IF(AND(N76&lt;&gt;"",N76&gt;N(L76),N76&lt;=설정!$B$24+7),100+7-(N76-설정!$B$24),IF(AND(D76&gt;0,OR(P76="안 가봄",RIGHT(P76,2)="지남")),D76*10+IF(L76="",30,MIN(M76,60)/2)+MIN(N(F76)/1000,20),"")))))</f>
        <v/>
      </c>
      <c r="R76">
        <f>IF(Q76="","",COUNTIF(Q$4:Q$303,"&gt;"&amp;Q76)+COUNTIF(Q$4:Q76,Q76))</f>
        <v/>
      </c>
    </row>
    <row r="77">
      <c r="A77">
        <f>IF(B77="","",74)</f>
        <v/>
      </c>
      <c r="B77">
        <f>IFERROR(INDEX('2.현장'!$V$2:$V$1001,MATCH(74,'2.현장'!$W$2:$W$1001,0)),"")</f>
        <v/>
      </c>
      <c r="C77">
        <f>IF(B77="","",COUNTIFS('2.현장'!$V$2:$V$1001,B77,'2.현장'!$T$2:$T$1001,TRUE))</f>
        <v/>
      </c>
      <c r="D77">
        <f>IF(B77="","",COUNTIFS('2.현장'!$V$2:$V$1001,B77,'2.현장'!$U$2:$U$1001,"설계사"))</f>
        <v/>
      </c>
      <c r="E77">
        <f>IF(B77="","",COUNTIFS('2.현장'!$V$2:$V$1001,B77,'2.현장'!$U$2:$U$1001,"시공사"))</f>
        <v/>
      </c>
      <c r="F77" s="5">
        <f>IF(B77="","",_xlfn.MAXIFS('2.현장'!$D$2:$D$1001,'2.현장'!$V$2:$V$1001,B77,'2.현장'!$T$2:$T$1001,TRUE))</f>
        <v/>
      </c>
      <c r="G77" s="6">
        <f>IF(B77="","",IF(_xlfn.MAXIFS('2.현장'!$L$2:$L$1001,'2.현장'!$V$2:$V$1001,B77,'2.현장'!$T$2:$T$1001,TRUE)=0,"",_xlfn.MAXIFS('2.현장'!$L$2:$L$1001,'2.현장'!$V$2:$V$1001,B77,'2.현장'!$T$2:$T$1001,TRUE)))</f>
        <v/>
      </c>
      <c r="H77">
        <f>IF(B77="","",IFERROR(INDEX('2.현장'!$C$2:$C$1001,IFERROR(MATCH(B77&amp;"|설계사",'2.현장'!$Z$2:$Z$1001,0),IFERROR(MATCH(B77&amp;"|시공사",'2.현장'!$Z$2:$Z$1001,0),MATCH(B77&amp;"|늦음",'2.현장'!$Z$2:$Z$1001,0)))),""))</f>
        <v/>
      </c>
      <c r="I77">
        <f>IF(B77="","",IFERROR(INDEX('2.현장'!$N$2:$N$1001,IFERROR(MATCH(B77&amp;"|설계사",'2.현장'!$Z$2:$Z$1001,0),IFERROR(MATCH(B77&amp;"|시공사",'2.현장'!$Z$2:$Z$1001,0),MATCH(B77&amp;"|늦음",'2.현장'!$Z$2:$Z$1001,0)))),""))</f>
        <v/>
      </c>
      <c r="J77">
        <f>IF(B77="","",IFERROR(VLOOKUP(B77,설계사_메모!$A$3:$G$302,2,FALSE)&amp;"",""))</f>
        <v/>
      </c>
      <c r="K77">
        <f>IF(B77="","",IFERROR(VLOOKUP(B77,설계사_메모!$A$3:$G$302,4,FALSE)&amp;"",""))</f>
        <v/>
      </c>
      <c r="L77" s="6">
        <f>IF(B77="","",IF(COUNTIF('4.방문기록'!$B$3:$B$502,B77)=0,"",_xlfn.MAXIFS('4.방문기록'!$A$3:$A$502,'4.방문기록'!$B$3:$B$502,B77)))</f>
        <v/>
      </c>
      <c r="M77">
        <f>IF(L77="","",설정!$B$24-L77)</f>
        <v/>
      </c>
      <c r="N77" s="6">
        <f>IF(B77="","",IF(_xlfn.MAXIFS('4.방문기록'!$F$3:$F$502,'4.방문기록'!$B$3:$B$502,B77)=0,"",_xlfn.MAXIFS('4.방문기록'!$F$3:$F$502,'4.방문기록'!$B$3:$B$502,B77)))</f>
        <v/>
      </c>
      <c r="O77">
        <f>IF(L77="","",IFERROR(INDEX('4.방문기록'!$H$3:$H$502,MATCH(B77&amp;"|"&amp;(L77*1),'4.방문기록'!$I$3:$I$502,0))&amp;"",""))</f>
        <v/>
      </c>
      <c r="P77">
        <f>IF(B77="","",IF(O77="관심 없음","제외",IF(L77="","안 가봄",IF(M77&gt;=설정!$B$20,M77&amp;"일 지남","최근 방문"))))</f>
        <v/>
      </c>
      <c r="Q77" s="7">
        <f>IF(B77="","",IF(P77="제외","",IF(AND(설정!$B$21&lt;&gt;"",I77&lt;&gt;설정!$B$21),"",IF(AND(N77&lt;&gt;"",N77&gt;N(L77),N77&lt;=설정!$B$24+7),100+7-(N77-설정!$B$24),IF(AND(D77&gt;0,OR(P77="안 가봄",RIGHT(P77,2)="지남")),D77*10+IF(L77="",30,MIN(M77,60)/2)+MIN(N(F77)/1000,20),"")))))</f>
        <v/>
      </c>
      <c r="R77">
        <f>IF(Q77="","",COUNTIF(Q$4:Q$303,"&gt;"&amp;Q77)+COUNTIF(Q$4:Q77,Q77))</f>
        <v/>
      </c>
    </row>
    <row r="78">
      <c r="A78">
        <f>IF(B78="","",75)</f>
        <v/>
      </c>
      <c r="B78">
        <f>IFERROR(INDEX('2.현장'!$V$2:$V$1001,MATCH(75,'2.현장'!$W$2:$W$1001,0)),"")</f>
        <v/>
      </c>
      <c r="C78">
        <f>IF(B78="","",COUNTIFS('2.현장'!$V$2:$V$1001,B78,'2.현장'!$T$2:$T$1001,TRUE))</f>
        <v/>
      </c>
      <c r="D78">
        <f>IF(B78="","",COUNTIFS('2.현장'!$V$2:$V$1001,B78,'2.현장'!$U$2:$U$1001,"설계사"))</f>
        <v/>
      </c>
      <c r="E78">
        <f>IF(B78="","",COUNTIFS('2.현장'!$V$2:$V$1001,B78,'2.현장'!$U$2:$U$1001,"시공사"))</f>
        <v/>
      </c>
      <c r="F78" s="5">
        <f>IF(B78="","",_xlfn.MAXIFS('2.현장'!$D$2:$D$1001,'2.현장'!$V$2:$V$1001,B78,'2.현장'!$T$2:$T$1001,TRUE))</f>
        <v/>
      </c>
      <c r="G78" s="6">
        <f>IF(B78="","",IF(_xlfn.MAXIFS('2.현장'!$L$2:$L$1001,'2.현장'!$V$2:$V$1001,B78,'2.현장'!$T$2:$T$1001,TRUE)=0,"",_xlfn.MAXIFS('2.현장'!$L$2:$L$1001,'2.현장'!$V$2:$V$1001,B78,'2.현장'!$T$2:$T$1001,TRUE)))</f>
        <v/>
      </c>
      <c r="H78">
        <f>IF(B78="","",IFERROR(INDEX('2.현장'!$C$2:$C$1001,IFERROR(MATCH(B78&amp;"|설계사",'2.현장'!$Z$2:$Z$1001,0),IFERROR(MATCH(B78&amp;"|시공사",'2.현장'!$Z$2:$Z$1001,0),MATCH(B78&amp;"|늦음",'2.현장'!$Z$2:$Z$1001,0)))),""))</f>
        <v/>
      </c>
      <c r="I78">
        <f>IF(B78="","",IFERROR(INDEX('2.현장'!$N$2:$N$1001,IFERROR(MATCH(B78&amp;"|설계사",'2.현장'!$Z$2:$Z$1001,0),IFERROR(MATCH(B78&amp;"|시공사",'2.현장'!$Z$2:$Z$1001,0),MATCH(B78&amp;"|늦음",'2.현장'!$Z$2:$Z$1001,0)))),""))</f>
        <v/>
      </c>
      <c r="J78">
        <f>IF(B78="","",IFERROR(VLOOKUP(B78,설계사_메모!$A$3:$G$302,2,FALSE)&amp;"",""))</f>
        <v/>
      </c>
      <c r="K78">
        <f>IF(B78="","",IFERROR(VLOOKUP(B78,설계사_메모!$A$3:$G$302,4,FALSE)&amp;"",""))</f>
        <v/>
      </c>
      <c r="L78" s="6">
        <f>IF(B78="","",IF(COUNTIF('4.방문기록'!$B$3:$B$502,B78)=0,"",_xlfn.MAXIFS('4.방문기록'!$A$3:$A$502,'4.방문기록'!$B$3:$B$502,B78)))</f>
        <v/>
      </c>
      <c r="M78">
        <f>IF(L78="","",설정!$B$24-L78)</f>
        <v/>
      </c>
      <c r="N78" s="6">
        <f>IF(B78="","",IF(_xlfn.MAXIFS('4.방문기록'!$F$3:$F$502,'4.방문기록'!$B$3:$B$502,B78)=0,"",_xlfn.MAXIFS('4.방문기록'!$F$3:$F$502,'4.방문기록'!$B$3:$B$502,B78)))</f>
        <v/>
      </c>
      <c r="O78">
        <f>IF(L78="","",IFERROR(INDEX('4.방문기록'!$H$3:$H$502,MATCH(B78&amp;"|"&amp;(L78*1),'4.방문기록'!$I$3:$I$502,0))&amp;"",""))</f>
        <v/>
      </c>
      <c r="P78">
        <f>IF(B78="","",IF(O78="관심 없음","제외",IF(L78="","안 가봄",IF(M78&gt;=설정!$B$20,M78&amp;"일 지남","최근 방문"))))</f>
        <v/>
      </c>
      <c r="Q78" s="7">
        <f>IF(B78="","",IF(P78="제외","",IF(AND(설정!$B$21&lt;&gt;"",I78&lt;&gt;설정!$B$21),"",IF(AND(N78&lt;&gt;"",N78&gt;N(L78),N78&lt;=설정!$B$24+7),100+7-(N78-설정!$B$24),IF(AND(D78&gt;0,OR(P78="안 가봄",RIGHT(P78,2)="지남")),D78*10+IF(L78="",30,MIN(M78,60)/2)+MIN(N(F78)/1000,20),"")))))</f>
        <v/>
      </c>
      <c r="R78">
        <f>IF(Q78="","",COUNTIF(Q$4:Q$303,"&gt;"&amp;Q78)+COUNTIF(Q$4:Q78,Q78))</f>
        <v/>
      </c>
    </row>
    <row r="79">
      <c r="A79">
        <f>IF(B79="","",76)</f>
        <v/>
      </c>
      <c r="B79">
        <f>IFERROR(INDEX('2.현장'!$V$2:$V$1001,MATCH(76,'2.현장'!$W$2:$W$1001,0)),"")</f>
        <v/>
      </c>
      <c r="C79">
        <f>IF(B79="","",COUNTIFS('2.현장'!$V$2:$V$1001,B79,'2.현장'!$T$2:$T$1001,TRUE))</f>
        <v/>
      </c>
      <c r="D79">
        <f>IF(B79="","",COUNTIFS('2.현장'!$V$2:$V$1001,B79,'2.현장'!$U$2:$U$1001,"설계사"))</f>
        <v/>
      </c>
      <c r="E79">
        <f>IF(B79="","",COUNTIFS('2.현장'!$V$2:$V$1001,B79,'2.현장'!$U$2:$U$1001,"시공사"))</f>
        <v/>
      </c>
      <c r="F79" s="5">
        <f>IF(B79="","",_xlfn.MAXIFS('2.현장'!$D$2:$D$1001,'2.현장'!$V$2:$V$1001,B79,'2.현장'!$T$2:$T$1001,TRUE))</f>
        <v/>
      </c>
      <c r="G79" s="6">
        <f>IF(B79="","",IF(_xlfn.MAXIFS('2.현장'!$L$2:$L$1001,'2.현장'!$V$2:$V$1001,B79,'2.현장'!$T$2:$T$1001,TRUE)=0,"",_xlfn.MAXIFS('2.현장'!$L$2:$L$1001,'2.현장'!$V$2:$V$1001,B79,'2.현장'!$T$2:$T$1001,TRUE)))</f>
        <v/>
      </c>
      <c r="H79">
        <f>IF(B79="","",IFERROR(INDEX('2.현장'!$C$2:$C$1001,IFERROR(MATCH(B79&amp;"|설계사",'2.현장'!$Z$2:$Z$1001,0),IFERROR(MATCH(B79&amp;"|시공사",'2.현장'!$Z$2:$Z$1001,0),MATCH(B79&amp;"|늦음",'2.현장'!$Z$2:$Z$1001,0)))),""))</f>
        <v/>
      </c>
      <c r="I79">
        <f>IF(B79="","",IFERROR(INDEX('2.현장'!$N$2:$N$1001,IFERROR(MATCH(B79&amp;"|설계사",'2.현장'!$Z$2:$Z$1001,0),IFERROR(MATCH(B79&amp;"|시공사",'2.현장'!$Z$2:$Z$1001,0),MATCH(B79&amp;"|늦음",'2.현장'!$Z$2:$Z$1001,0)))),""))</f>
        <v/>
      </c>
      <c r="J79">
        <f>IF(B79="","",IFERROR(VLOOKUP(B79,설계사_메모!$A$3:$G$302,2,FALSE)&amp;"",""))</f>
        <v/>
      </c>
      <c r="K79">
        <f>IF(B79="","",IFERROR(VLOOKUP(B79,설계사_메모!$A$3:$G$302,4,FALSE)&amp;"",""))</f>
        <v/>
      </c>
      <c r="L79" s="6">
        <f>IF(B79="","",IF(COUNTIF('4.방문기록'!$B$3:$B$502,B79)=0,"",_xlfn.MAXIFS('4.방문기록'!$A$3:$A$502,'4.방문기록'!$B$3:$B$502,B79)))</f>
        <v/>
      </c>
      <c r="M79">
        <f>IF(L79="","",설정!$B$24-L79)</f>
        <v/>
      </c>
      <c r="N79" s="6">
        <f>IF(B79="","",IF(_xlfn.MAXIFS('4.방문기록'!$F$3:$F$502,'4.방문기록'!$B$3:$B$502,B79)=0,"",_xlfn.MAXIFS('4.방문기록'!$F$3:$F$502,'4.방문기록'!$B$3:$B$502,B79)))</f>
        <v/>
      </c>
      <c r="O79">
        <f>IF(L79="","",IFERROR(INDEX('4.방문기록'!$H$3:$H$502,MATCH(B79&amp;"|"&amp;(L79*1),'4.방문기록'!$I$3:$I$502,0))&amp;"",""))</f>
        <v/>
      </c>
      <c r="P79">
        <f>IF(B79="","",IF(O79="관심 없음","제외",IF(L79="","안 가봄",IF(M79&gt;=설정!$B$20,M79&amp;"일 지남","최근 방문"))))</f>
        <v/>
      </c>
      <c r="Q79" s="7">
        <f>IF(B79="","",IF(P79="제외","",IF(AND(설정!$B$21&lt;&gt;"",I79&lt;&gt;설정!$B$21),"",IF(AND(N79&lt;&gt;"",N79&gt;N(L79),N79&lt;=설정!$B$24+7),100+7-(N79-설정!$B$24),IF(AND(D79&gt;0,OR(P79="안 가봄",RIGHT(P79,2)="지남")),D79*10+IF(L79="",30,MIN(M79,60)/2)+MIN(N(F79)/1000,20),"")))))</f>
        <v/>
      </c>
      <c r="R79">
        <f>IF(Q79="","",COUNTIF(Q$4:Q$303,"&gt;"&amp;Q79)+COUNTIF(Q$4:Q79,Q79))</f>
        <v/>
      </c>
    </row>
    <row r="80">
      <c r="A80">
        <f>IF(B80="","",77)</f>
        <v/>
      </c>
      <c r="B80">
        <f>IFERROR(INDEX('2.현장'!$V$2:$V$1001,MATCH(77,'2.현장'!$W$2:$W$1001,0)),"")</f>
        <v/>
      </c>
      <c r="C80">
        <f>IF(B80="","",COUNTIFS('2.현장'!$V$2:$V$1001,B80,'2.현장'!$T$2:$T$1001,TRUE))</f>
        <v/>
      </c>
      <c r="D80">
        <f>IF(B80="","",COUNTIFS('2.현장'!$V$2:$V$1001,B80,'2.현장'!$U$2:$U$1001,"설계사"))</f>
        <v/>
      </c>
      <c r="E80">
        <f>IF(B80="","",COUNTIFS('2.현장'!$V$2:$V$1001,B80,'2.현장'!$U$2:$U$1001,"시공사"))</f>
        <v/>
      </c>
      <c r="F80" s="5">
        <f>IF(B80="","",_xlfn.MAXIFS('2.현장'!$D$2:$D$1001,'2.현장'!$V$2:$V$1001,B80,'2.현장'!$T$2:$T$1001,TRUE))</f>
        <v/>
      </c>
      <c r="G80" s="6">
        <f>IF(B80="","",IF(_xlfn.MAXIFS('2.현장'!$L$2:$L$1001,'2.현장'!$V$2:$V$1001,B80,'2.현장'!$T$2:$T$1001,TRUE)=0,"",_xlfn.MAXIFS('2.현장'!$L$2:$L$1001,'2.현장'!$V$2:$V$1001,B80,'2.현장'!$T$2:$T$1001,TRUE)))</f>
        <v/>
      </c>
      <c r="H80">
        <f>IF(B80="","",IFERROR(INDEX('2.현장'!$C$2:$C$1001,IFERROR(MATCH(B80&amp;"|설계사",'2.현장'!$Z$2:$Z$1001,0),IFERROR(MATCH(B80&amp;"|시공사",'2.현장'!$Z$2:$Z$1001,0),MATCH(B80&amp;"|늦음",'2.현장'!$Z$2:$Z$1001,0)))),""))</f>
        <v/>
      </c>
      <c r="I80">
        <f>IF(B80="","",IFERROR(INDEX('2.현장'!$N$2:$N$1001,IFERROR(MATCH(B80&amp;"|설계사",'2.현장'!$Z$2:$Z$1001,0),IFERROR(MATCH(B80&amp;"|시공사",'2.현장'!$Z$2:$Z$1001,0),MATCH(B80&amp;"|늦음",'2.현장'!$Z$2:$Z$1001,0)))),""))</f>
        <v/>
      </c>
      <c r="J80">
        <f>IF(B80="","",IFERROR(VLOOKUP(B80,설계사_메모!$A$3:$G$302,2,FALSE)&amp;"",""))</f>
        <v/>
      </c>
      <c r="K80">
        <f>IF(B80="","",IFERROR(VLOOKUP(B80,설계사_메모!$A$3:$G$302,4,FALSE)&amp;"",""))</f>
        <v/>
      </c>
      <c r="L80" s="6">
        <f>IF(B80="","",IF(COUNTIF('4.방문기록'!$B$3:$B$502,B80)=0,"",_xlfn.MAXIFS('4.방문기록'!$A$3:$A$502,'4.방문기록'!$B$3:$B$502,B80)))</f>
        <v/>
      </c>
      <c r="M80">
        <f>IF(L80="","",설정!$B$24-L80)</f>
        <v/>
      </c>
      <c r="N80" s="6">
        <f>IF(B80="","",IF(_xlfn.MAXIFS('4.방문기록'!$F$3:$F$502,'4.방문기록'!$B$3:$B$502,B80)=0,"",_xlfn.MAXIFS('4.방문기록'!$F$3:$F$502,'4.방문기록'!$B$3:$B$502,B80)))</f>
        <v/>
      </c>
      <c r="O80">
        <f>IF(L80="","",IFERROR(INDEX('4.방문기록'!$H$3:$H$502,MATCH(B80&amp;"|"&amp;(L80*1),'4.방문기록'!$I$3:$I$502,0))&amp;"",""))</f>
        <v/>
      </c>
      <c r="P80">
        <f>IF(B80="","",IF(O80="관심 없음","제외",IF(L80="","안 가봄",IF(M80&gt;=설정!$B$20,M80&amp;"일 지남","최근 방문"))))</f>
        <v/>
      </c>
      <c r="Q80" s="7">
        <f>IF(B80="","",IF(P80="제외","",IF(AND(설정!$B$21&lt;&gt;"",I80&lt;&gt;설정!$B$21),"",IF(AND(N80&lt;&gt;"",N80&gt;N(L80),N80&lt;=설정!$B$24+7),100+7-(N80-설정!$B$24),IF(AND(D80&gt;0,OR(P80="안 가봄",RIGHT(P80,2)="지남")),D80*10+IF(L80="",30,MIN(M80,60)/2)+MIN(N(F80)/1000,20),"")))))</f>
        <v/>
      </c>
      <c r="R80">
        <f>IF(Q80="","",COUNTIF(Q$4:Q$303,"&gt;"&amp;Q80)+COUNTIF(Q$4:Q80,Q80))</f>
        <v/>
      </c>
    </row>
    <row r="81">
      <c r="A81">
        <f>IF(B81="","",78)</f>
        <v/>
      </c>
      <c r="B81">
        <f>IFERROR(INDEX('2.현장'!$V$2:$V$1001,MATCH(78,'2.현장'!$W$2:$W$1001,0)),"")</f>
        <v/>
      </c>
      <c r="C81">
        <f>IF(B81="","",COUNTIFS('2.현장'!$V$2:$V$1001,B81,'2.현장'!$T$2:$T$1001,TRUE))</f>
        <v/>
      </c>
      <c r="D81">
        <f>IF(B81="","",COUNTIFS('2.현장'!$V$2:$V$1001,B81,'2.현장'!$U$2:$U$1001,"설계사"))</f>
        <v/>
      </c>
      <c r="E81">
        <f>IF(B81="","",COUNTIFS('2.현장'!$V$2:$V$1001,B81,'2.현장'!$U$2:$U$1001,"시공사"))</f>
        <v/>
      </c>
      <c r="F81" s="5">
        <f>IF(B81="","",_xlfn.MAXIFS('2.현장'!$D$2:$D$1001,'2.현장'!$V$2:$V$1001,B81,'2.현장'!$T$2:$T$1001,TRUE))</f>
        <v/>
      </c>
      <c r="G81" s="6">
        <f>IF(B81="","",IF(_xlfn.MAXIFS('2.현장'!$L$2:$L$1001,'2.현장'!$V$2:$V$1001,B81,'2.현장'!$T$2:$T$1001,TRUE)=0,"",_xlfn.MAXIFS('2.현장'!$L$2:$L$1001,'2.현장'!$V$2:$V$1001,B81,'2.현장'!$T$2:$T$1001,TRUE)))</f>
        <v/>
      </c>
      <c r="H81">
        <f>IF(B81="","",IFERROR(INDEX('2.현장'!$C$2:$C$1001,IFERROR(MATCH(B81&amp;"|설계사",'2.현장'!$Z$2:$Z$1001,0),IFERROR(MATCH(B81&amp;"|시공사",'2.현장'!$Z$2:$Z$1001,0),MATCH(B81&amp;"|늦음",'2.현장'!$Z$2:$Z$1001,0)))),""))</f>
        <v/>
      </c>
      <c r="I81">
        <f>IF(B81="","",IFERROR(INDEX('2.현장'!$N$2:$N$1001,IFERROR(MATCH(B81&amp;"|설계사",'2.현장'!$Z$2:$Z$1001,0),IFERROR(MATCH(B81&amp;"|시공사",'2.현장'!$Z$2:$Z$1001,0),MATCH(B81&amp;"|늦음",'2.현장'!$Z$2:$Z$1001,0)))),""))</f>
        <v/>
      </c>
      <c r="J81">
        <f>IF(B81="","",IFERROR(VLOOKUP(B81,설계사_메모!$A$3:$G$302,2,FALSE)&amp;"",""))</f>
        <v/>
      </c>
      <c r="K81">
        <f>IF(B81="","",IFERROR(VLOOKUP(B81,설계사_메모!$A$3:$G$302,4,FALSE)&amp;"",""))</f>
        <v/>
      </c>
      <c r="L81" s="6">
        <f>IF(B81="","",IF(COUNTIF('4.방문기록'!$B$3:$B$502,B81)=0,"",_xlfn.MAXIFS('4.방문기록'!$A$3:$A$502,'4.방문기록'!$B$3:$B$502,B81)))</f>
        <v/>
      </c>
      <c r="M81">
        <f>IF(L81="","",설정!$B$24-L81)</f>
        <v/>
      </c>
      <c r="N81" s="6">
        <f>IF(B81="","",IF(_xlfn.MAXIFS('4.방문기록'!$F$3:$F$502,'4.방문기록'!$B$3:$B$502,B81)=0,"",_xlfn.MAXIFS('4.방문기록'!$F$3:$F$502,'4.방문기록'!$B$3:$B$502,B81)))</f>
        <v/>
      </c>
      <c r="O81">
        <f>IF(L81="","",IFERROR(INDEX('4.방문기록'!$H$3:$H$502,MATCH(B81&amp;"|"&amp;(L81*1),'4.방문기록'!$I$3:$I$502,0))&amp;"",""))</f>
        <v/>
      </c>
      <c r="P81">
        <f>IF(B81="","",IF(O81="관심 없음","제외",IF(L81="","안 가봄",IF(M81&gt;=설정!$B$20,M81&amp;"일 지남","최근 방문"))))</f>
        <v/>
      </c>
      <c r="Q81" s="7">
        <f>IF(B81="","",IF(P81="제외","",IF(AND(설정!$B$21&lt;&gt;"",I81&lt;&gt;설정!$B$21),"",IF(AND(N81&lt;&gt;"",N81&gt;N(L81),N81&lt;=설정!$B$24+7),100+7-(N81-설정!$B$24),IF(AND(D81&gt;0,OR(P81="안 가봄",RIGHT(P81,2)="지남")),D81*10+IF(L81="",30,MIN(M81,60)/2)+MIN(N(F81)/1000,20),"")))))</f>
        <v/>
      </c>
      <c r="R81">
        <f>IF(Q81="","",COUNTIF(Q$4:Q$303,"&gt;"&amp;Q81)+COUNTIF(Q$4:Q81,Q81))</f>
        <v/>
      </c>
    </row>
    <row r="82">
      <c r="A82">
        <f>IF(B82="","",79)</f>
        <v/>
      </c>
      <c r="B82">
        <f>IFERROR(INDEX('2.현장'!$V$2:$V$1001,MATCH(79,'2.현장'!$W$2:$W$1001,0)),"")</f>
        <v/>
      </c>
      <c r="C82">
        <f>IF(B82="","",COUNTIFS('2.현장'!$V$2:$V$1001,B82,'2.현장'!$T$2:$T$1001,TRUE))</f>
        <v/>
      </c>
      <c r="D82">
        <f>IF(B82="","",COUNTIFS('2.현장'!$V$2:$V$1001,B82,'2.현장'!$U$2:$U$1001,"설계사"))</f>
        <v/>
      </c>
      <c r="E82">
        <f>IF(B82="","",COUNTIFS('2.현장'!$V$2:$V$1001,B82,'2.현장'!$U$2:$U$1001,"시공사"))</f>
        <v/>
      </c>
      <c r="F82" s="5">
        <f>IF(B82="","",_xlfn.MAXIFS('2.현장'!$D$2:$D$1001,'2.현장'!$V$2:$V$1001,B82,'2.현장'!$T$2:$T$1001,TRUE))</f>
        <v/>
      </c>
      <c r="G82" s="6">
        <f>IF(B82="","",IF(_xlfn.MAXIFS('2.현장'!$L$2:$L$1001,'2.현장'!$V$2:$V$1001,B82,'2.현장'!$T$2:$T$1001,TRUE)=0,"",_xlfn.MAXIFS('2.현장'!$L$2:$L$1001,'2.현장'!$V$2:$V$1001,B82,'2.현장'!$T$2:$T$1001,TRUE)))</f>
        <v/>
      </c>
      <c r="H82">
        <f>IF(B82="","",IFERROR(INDEX('2.현장'!$C$2:$C$1001,IFERROR(MATCH(B82&amp;"|설계사",'2.현장'!$Z$2:$Z$1001,0),IFERROR(MATCH(B82&amp;"|시공사",'2.현장'!$Z$2:$Z$1001,0),MATCH(B82&amp;"|늦음",'2.현장'!$Z$2:$Z$1001,0)))),""))</f>
        <v/>
      </c>
      <c r="I82">
        <f>IF(B82="","",IFERROR(INDEX('2.현장'!$N$2:$N$1001,IFERROR(MATCH(B82&amp;"|설계사",'2.현장'!$Z$2:$Z$1001,0),IFERROR(MATCH(B82&amp;"|시공사",'2.현장'!$Z$2:$Z$1001,0),MATCH(B82&amp;"|늦음",'2.현장'!$Z$2:$Z$1001,0)))),""))</f>
        <v/>
      </c>
      <c r="J82">
        <f>IF(B82="","",IFERROR(VLOOKUP(B82,설계사_메모!$A$3:$G$302,2,FALSE)&amp;"",""))</f>
        <v/>
      </c>
      <c r="K82">
        <f>IF(B82="","",IFERROR(VLOOKUP(B82,설계사_메모!$A$3:$G$302,4,FALSE)&amp;"",""))</f>
        <v/>
      </c>
      <c r="L82" s="6">
        <f>IF(B82="","",IF(COUNTIF('4.방문기록'!$B$3:$B$502,B82)=0,"",_xlfn.MAXIFS('4.방문기록'!$A$3:$A$502,'4.방문기록'!$B$3:$B$502,B82)))</f>
        <v/>
      </c>
      <c r="M82">
        <f>IF(L82="","",설정!$B$24-L82)</f>
        <v/>
      </c>
      <c r="N82" s="6">
        <f>IF(B82="","",IF(_xlfn.MAXIFS('4.방문기록'!$F$3:$F$502,'4.방문기록'!$B$3:$B$502,B82)=0,"",_xlfn.MAXIFS('4.방문기록'!$F$3:$F$502,'4.방문기록'!$B$3:$B$502,B82)))</f>
        <v/>
      </c>
      <c r="O82">
        <f>IF(L82="","",IFERROR(INDEX('4.방문기록'!$H$3:$H$502,MATCH(B82&amp;"|"&amp;(L82*1),'4.방문기록'!$I$3:$I$502,0))&amp;"",""))</f>
        <v/>
      </c>
      <c r="P82">
        <f>IF(B82="","",IF(O82="관심 없음","제외",IF(L82="","안 가봄",IF(M82&gt;=설정!$B$20,M82&amp;"일 지남","최근 방문"))))</f>
        <v/>
      </c>
      <c r="Q82" s="7">
        <f>IF(B82="","",IF(P82="제외","",IF(AND(설정!$B$21&lt;&gt;"",I82&lt;&gt;설정!$B$21),"",IF(AND(N82&lt;&gt;"",N82&gt;N(L82),N82&lt;=설정!$B$24+7),100+7-(N82-설정!$B$24),IF(AND(D82&gt;0,OR(P82="안 가봄",RIGHT(P82,2)="지남")),D82*10+IF(L82="",30,MIN(M82,60)/2)+MIN(N(F82)/1000,20),"")))))</f>
        <v/>
      </c>
      <c r="R82">
        <f>IF(Q82="","",COUNTIF(Q$4:Q$303,"&gt;"&amp;Q82)+COUNTIF(Q$4:Q82,Q82))</f>
        <v/>
      </c>
    </row>
    <row r="83">
      <c r="A83">
        <f>IF(B83="","",80)</f>
        <v/>
      </c>
      <c r="B83">
        <f>IFERROR(INDEX('2.현장'!$V$2:$V$1001,MATCH(80,'2.현장'!$W$2:$W$1001,0)),"")</f>
        <v/>
      </c>
      <c r="C83">
        <f>IF(B83="","",COUNTIFS('2.현장'!$V$2:$V$1001,B83,'2.현장'!$T$2:$T$1001,TRUE))</f>
        <v/>
      </c>
      <c r="D83">
        <f>IF(B83="","",COUNTIFS('2.현장'!$V$2:$V$1001,B83,'2.현장'!$U$2:$U$1001,"설계사"))</f>
        <v/>
      </c>
      <c r="E83">
        <f>IF(B83="","",COUNTIFS('2.현장'!$V$2:$V$1001,B83,'2.현장'!$U$2:$U$1001,"시공사"))</f>
        <v/>
      </c>
      <c r="F83" s="5">
        <f>IF(B83="","",_xlfn.MAXIFS('2.현장'!$D$2:$D$1001,'2.현장'!$V$2:$V$1001,B83,'2.현장'!$T$2:$T$1001,TRUE))</f>
        <v/>
      </c>
      <c r="G83" s="6">
        <f>IF(B83="","",IF(_xlfn.MAXIFS('2.현장'!$L$2:$L$1001,'2.현장'!$V$2:$V$1001,B83,'2.현장'!$T$2:$T$1001,TRUE)=0,"",_xlfn.MAXIFS('2.현장'!$L$2:$L$1001,'2.현장'!$V$2:$V$1001,B83,'2.현장'!$T$2:$T$1001,TRUE)))</f>
        <v/>
      </c>
      <c r="H83">
        <f>IF(B83="","",IFERROR(INDEX('2.현장'!$C$2:$C$1001,IFERROR(MATCH(B83&amp;"|설계사",'2.현장'!$Z$2:$Z$1001,0),IFERROR(MATCH(B83&amp;"|시공사",'2.현장'!$Z$2:$Z$1001,0),MATCH(B83&amp;"|늦음",'2.현장'!$Z$2:$Z$1001,0)))),""))</f>
        <v/>
      </c>
      <c r="I83">
        <f>IF(B83="","",IFERROR(INDEX('2.현장'!$N$2:$N$1001,IFERROR(MATCH(B83&amp;"|설계사",'2.현장'!$Z$2:$Z$1001,0),IFERROR(MATCH(B83&amp;"|시공사",'2.현장'!$Z$2:$Z$1001,0),MATCH(B83&amp;"|늦음",'2.현장'!$Z$2:$Z$1001,0)))),""))</f>
        <v/>
      </c>
      <c r="J83">
        <f>IF(B83="","",IFERROR(VLOOKUP(B83,설계사_메모!$A$3:$G$302,2,FALSE)&amp;"",""))</f>
        <v/>
      </c>
      <c r="K83">
        <f>IF(B83="","",IFERROR(VLOOKUP(B83,설계사_메모!$A$3:$G$302,4,FALSE)&amp;"",""))</f>
        <v/>
      </c>
      <c r="L83" s="6">
        <f>IF(B83="","",IF(COUNTIF('4.방문기록'!$B$3:$B$502,B83)=0,"",_xlfn.MAXIFS('4.방문기록'!$A$3:$A$502,'4.방문기록'!$B$3:$B$502,B83)))</f>
        <v/>
      </c>
      <c r="M83">
        <f>IF(L83="","",설정!$B$24-L83)</f>
        <v/>
      </c>
      <c r="N83" s="6">
        <f>IF(B83="","",IF(_xlfn.MAXIFS('4.방문기록'!$F$3:$F$502,'4.방문기록'!$B$3:$B$502,B83)=0,"",_xlfn.MAXIFS('4.방문기록'!$F$3:$F$502,'4.방문기록'!$B$3:$B$502,B83)))</f>
        <v/>
      </c>
      <c r="O83">
        <f>IF(L83="","",IFERROR(INDEX('4.방문기록'!$H$3:$H$502,MATCH(B83&amp;"|"&amp;(L83*1),'4.방문기록'!$I$3:$I$502,0))&amp;"",""))</f>
        <v/>
      </c>
      <c r="P83">
        <f>IF(B83="","",IF(O83="관심 없음","제외",IF(L83="","안 가봄",IF(M83&gt;=설정!$B$20,M83&amp;"일 지남","최근 방문"))))</f>
        <v/>
      </c>
      <c r="Q83" s="7">
        <f>IF(B83="","",IF(P83="제외","",IF(AND(설정!$B$21&lt;&gt;"",I83&lt;&gt;설정!$B$21),"",IF(AND(N83&lt;&gt;"",N83&gt;N(L83),N83&lt;=설정!$B$24+7),100+7-(N83-설정!$B$24),IF(AND(D83&gt;0,OR(P83="안 가봄",RIGHT(P83,2)="지남")),D83*10+IF(L83="",30,MIN(M83,60)/2)+MIN(N(F83)/1000,20),"")))))</f>
        <v/>
      </c>
      <c r="R83">
        <f>IF(Q83="","",COUNTIF(Q$4:Q$303,"&gt;"&amp;Q83)+COUNTIF(Q$4:Q83,Q83))</f>
        <v/>
      </c>
    </row>
    <row r="84">
      <c r="A84">
        <f>IF(B84="","",81)</f>
        <v/>
      </c>
      <c r="B84">
        <f>IFERROR(INDEX('2.현장'!$V$2:$V$1001,MATCH(81,'2.현장'!$W$2:$W$1001,0)),"")</f>
        <v/>
      </c>
      <c r="C84">
        <f>IF(B84="","",COUNTIFS('2.현장'!$V$2:$V$1001,B84,'2.현장'!$T$2:$T$1001,TRUE))</f>
        <v/>
      </c>
      <c r="D84">
        <f>IF(B84="","",COUNTIFS('2.현장'!$V$2:$V$1001,B84,'2.현장'!$U$2:$U$1001,"설계사"))</f>
        <v/>
      </c>
      <c r="E84">
        <f>IF(B84="","",COUNTIFS('2.현장'!$V$2:$V$1001,B84,'2.현장'!$U$2:$U$1001,"시공사"))</f>
        <v/>
      </c>
      <c r="F84" s="5">
        <f>IF(B84="","",_xlfn.MAXIFS('2.현장'!$D$2:$D$1001,'2.현장'!$V$2:$V$1001,B84,'2.현장'!$T$2:$T$1001,TRUE))</f>
        <v/>
      </c>
      <c r="G84" s="6">
        <f>IF(B84="","",IF(_xlfn.MAXIFS('2.현장'!$L$2:$L$1001,'2.현장'!$V$2:$V$1001,B84,'2.현장'!$T$2:$T$1001,TRUE)=0,"",_xlfn.MAXIFS('2.현장'!$L$2:$L$1001,'2.현장'!$V$2:$V$1001,B84,'2.현장'!$T$2:$T$1001,TRUE)))</f>
        <v/>
      </c>
      <c r="H84">
        <f>IF(B84="","",IFERROR(INDEX('2.현장'!$C$2:$C$1001,IFERROR(MATCH(B84&amp;"|설계사",'2.현장'!$Z$2:$Z$1001,0),IFERROR(MATCH(B84&amp;"|시공사",'2.현장'!$Z$2:$Z$1001,0),MATCH(B84&amp;"|늦음",'2.현장'!$Z$2:$Z$1001,0)))),""))</f>
        <v/>
      </c>
      <c r="I84">
        <f>IF(B84="","",IFERROR(INDEX('2.현장'!$N$2:$N$1001,IFERROR(MATCH(B84&amp;"|설계사",'2.현장'!$Z$2:$Z$1001,0),IFERROR(MATCH(B84&amp;"|시공사",'2.현장'!$Z$2:$Z$1001,0),MATCH(B84&amp;"|늦음",'2.현장'!$Z$2:$Z$1001,0)))),""))</f>
        <v/>
      </c>
      <c r="J84">
        <f>IF(B84="","",IFERROR(VLOOKUP(B84,설계사_메모!$A$3:$G$302,2,FALSE)&amp;"",""))</f>
        <v/>
      </c>
      <c r="K84">
        <f>IF(B84="","",IFERROR(VLOOKUP(B84,설계사_메모!$A$3:$G$302,4,FALSE)&amp;"",""))</f>
        <v/>
      </c>
      <c r="L84" s="6">
        <f>IF(B84="","",IF(COUNTIF('4.방문기록'!$B$3:$B$502,B84)=0,"",_xlfn.MAXIFS('4.방문기록'!$A$3:$A$502,'4.방문기록'!$B$3:$B$502,B84)))</f>
        <v/>
      </c>
      <c r="M84">
        <f>IF(L84="","",설정!$B$24-L84)</f>
        <v/>
      </c>
      <c r="N84" s="6">
        <f>IF(B84="","",IF(_xlfn.MAXIFS('4.방문기록'!$F$3:$F$502,'4.방문기록'!$B$3:$B$502,B84)=0,"",_xlfn.MAXIFS('4.방문기록'!$F$3:$F$502,'4.방문기록'!$B$3:$B$502,B84)))</f>
        <v/>
      </c>
      <c r="O84">
        <f>IF(L84="","",IFERROR(INDEX('4.방문기록'!$H$3:$H$502,MATCH(B84&amp;"|"&amp;(L84*1),'4.방문기록'!$I$3:$I$502,0))&amp;"",""))</f>
        <v/>
      </c>
      <c r="P84">
        <f>IF(B84="","",IF(O84="관심 없음","제외",IF(L84="","안 가봄",IF(M84&gt;=설정!$B$20,M84&amp;"일 지남","최근 방문"))))</f>
        <v/>
      </c>
      <c r="Q84" s="7">
        <f>IF(B84="","",IF(P84="제외","",IF(AND(설정!$B$21&lt;&gt;"",I84&lt;&gt;설정!$B$21),"",IF(AND(N84&lt;&gt;"",N84&gt;N(L84),N84&lt;=설정!$B$24+7),100+7-(N84-설정!$B$24),IF(AND(D84&gt;0,OR(P84="안 가봄",RIGHT(P84,2)="지남")),D84*10+IF(L84="",30,MIN(M84,60)/2)+MIN(N(F84)/1000,20),"")))))</f>
        <v/>
      </c>
      <c r="R84">
        <f>IF(Q84="","",COUNTIF(Q$4:Q$303,"&gt;"&amp;Q84)+COUNTIF(Q$4:Q84,Q84))</f>
        <v/>
      </c>
    </row>
    <row r="85">
      <c r="A85">
        <f>IF(B85="","",82)</f>
        <v/>
      </c>
      <c r="B85">
        <f>IFERROR(INDEX('2.현장'!$V$2:$V$1001,MATCH(82,'2.현장'!$W$2:$W$1001,0)),"")</f>
        <v/>
      </c>
      <c r="C85">
        <f>IF(B85="","",COUNTIFS('2.현장'!$V$2:$V$1001,B85,'2.현장'!$T$2:$T$1001,TRUE))</f>
        <v/>
      </c>
      <c r="D85">
        <f>IF(B85="","",COUNTIFS('2.현장'!$V$2:$V$1001,B85,'2.현장'!$U$2:$U$1001,"설계사"))</f>
        <v/>
      </c>
      <c r="E85">
        <f>IF(B85="","",COUNTIFS('2.현장'!$V$2:$V$1001,B85,'2.현장'!$U$2:$U$1001,"시공사"))</f>
        <v/>
      </c>
      <c r="F85" s="5">
        <f>IF(B85="","",_xlfn.MAXIFS('2.현장'!$D$2:$D$1001,'2.현장'!$V$2:$V$1001,B85,'2.현장'!$T$2:$T$1001,TRUE))</f>
        <v/>
      </c>
      <c r="G85" s="6">
        <f>IF(B85="","",IF(_xlfn.MAXIFS('2.현장'!$L$2:$L$1001,'2.현장'!$V$2:$V$1001,B85,'2.현장'!$T$2:$T$1001,TRUE)=0,"",_xlfn.MAXIFS('2.현장'!$L$2:$L$1001,'2.현장'!$V$2:$V$1001,B85,'2.현장'!$T$2:$T$1001,TRUE)))</f>
        <v/>
      </c>
      <c r="H85">
        <f>IF(B85="","",IFERROR(INDEX('2.현장'!$C$2:$C$1001,IFERROR(MATCH(B85&amp;"|설계사",'2.현장'!$Z$2:$Z$1001,0),IFERROR(MATCH(B85&amp;"|시공사",'2.현장'!$Z$2:$Z$1001,0),MATCH(B85&amp;"|늦음",'2.현장'!$Z$2:$Z$1001,0)))),""))</f>
        <v/>
      </c>
      <c r="I85">
        <f>IF(B85="","",IFERROR(INDEX('2.현장'!$N$2:$N$1001,IFERROR(MATCH(B85&amp;"|설계사",'2.현장'!$Z$2:$Z$1001,0),IFERROR(MATCH(B85&amp;"|시공사",'2.현장'!$Z$2:$Z$1001,0),MATCH(B85&amp;"|늦음",'2.현장'!$Z$2:$Z$1001,0)))),""))</f>
        <v/>
      </c>
      <c r="J85">
        <f>IF(B85="","",IFERROR(VLOOKUP(B85,설계사_메모!$A$3:$G$302,2,FALSE)&amp;"",""))</f>
        <v/>
      </c>
      <c r="K85">
        <f>IF(B85="","",IFERROR(VLOOKUP(B85,설계사_메모!$A$3:$G$302,4,FALSE)&amp;"",""))</f>
        <v/>
      </c>
      <c r="L85" s="6">
        <f>IF(B85="","",IF(COUNTIF('4.방문기록'!$B$3:$B$502,B85)=0,"",_xlfn.MAXIFS('4.방문기록'!$A$3:$A$502,'4.방문기록'!$B$3:$B$502,B85)))</f>
        <v/>
      </c>
      <c r="M85">
        <f>IF(L85="","",설정!$B$24-L85)</f>
        <v/>
      </c>
      <c r="N85" s="6">
        <f>IF(B85="","",IF(_xlfn.MAXIFS('4.방문기록'!$F$3:$F$502,'4.방문기록'!$B$3:$B$502,B85)=0,"",_xlfn.MAXIFS('4.방문기록'!$F$3:$F$502,'4.방문기록'!$B$3:$B$502,B85)))</f>
        <v/>
      </c>
      <c r="O85">
        <f>IF(L85="","",IFERROR(INDEX('4.방문기록'!$H$3:$H$502,MATCH(B85&amp;"|"&amp;(L85*1),'4.방문기록'!$I$3:$I$502,0))&amp;"",""))</f>
        <v/>
      </c>
      <c r="P85">
        <f>IF(B85="","",IF(O85="관심 없음","제외",IF(L85="","안 가봄",IF(M85&gt;=설정!$B$20,M85&amp;"일 지남","최근 방문"))))</f>
        <v/>
      </c>
      <c r="Q85" s="7">
        <f>IF(B85="","",IF(P85="제외","",IF(AND(설정!$B$21&lt;&gt;"",I85&lt;&gt;설정!$B$21),"",IF(AND(N85&lt;&gt;"",N85&gt;N(L85),N85&lt;=설정!$B$24+7),100+7-(N85-설정!$B$24),IF(AND(D85&gt;0,OR(P85="안 가봄",RIGHT(P85,2)="지남")),D85*10+IF(L85="",30,MIN(M85,60)/2)+MIN(N(F85)/1000,20),"")))))</f>
        <v/>
      </c>
      <c r="R85">
        <f>IF(Q85="","",COUNTIF(Q$4:Q$303,"&gt;"&amp;Q85)+COUNTIF(Q$4:Q85,Q85))</f>
        <v/>
      </c>
    </row>
    <row r="86">
      <c r="A86">
        <f>IF(B86="","",83)</f>
        <v/>
      </c>
      <c r="B86">
        <f>IFERROR(INDEX('2.현장'!$V$2:$V$1001,MATCH(83,'2.현장'!$W$2:$W$1001,0)),"")</f>
        <v/>
      </c>
      <c r="C86">
        <f>IF(B86="","",COUNTIFS('2.현장'!$V$2:$V$1001,B86,'2.현장'!$T$2:$T$1001,TRUE))</f>
        <v/>
      </c>
      <c r="D86">
        <f>IF(B86="","",COUNTIFS('2.현장'!$V$2:$V$1001,B86,'2.현장'!$U$2:$U$1001,"설계사"))</f>
        <v/>
      </c>
      <c r="E86">
        <f>IF(B86="","",COUNTIFS('2.현장'!$V$2:$V$1001,B86,'2.현장'!$U$2:$U$1001,"시공사"))</f>
        <v/>
      </c>
      <c r="F86" s="5">
        <f>IF(B86="","",_xlfn.MAXIFS('2.현장'!$D$2:$D$1001,'2.현장'!$V$2:$V$1001,B86,'2.현장'!$T$2:$T$1001,TRUE))</f>
        <v/>
      </c>
      <c r="G86" s="6">
        <f>IF(B86="","",IF(_xlfn.MAXIFS('2.현장'!$L$2:$L$1001,'2.현장'!$V$2:$V$1001,B86,'2.현장'!$T$2:$T$1001,TRUE)=0,"",_xlfn.MAXIFS('2.현장'!$L$2:$L$1001,'2.현장'!$V$2:$V$1001,B86,'2.현장'!$T$2:$T$1001,TRUE)))</f>
        <v/>
      </c>
      <c r="H86">
        <f>IF(B86="","",IFERROR(INDEX('2.현장'!$C$2:$C$1001,IFERROR(MATCH(B86&amp;"|설계사",'2.현장'!$Z$2:$Z$1001,0),IFERROR(MATCH(B86&amp;"|시공사",'2.현장'!$Z$2:$Z$1001,0),MATCH(B86&amp;"|늦음",'2.현장'!$Z$2:$Z$1001,0)))),""))</f>
        <v/>
      </c>
      <c r="I86">
        <f>IF(B86="","",IFERROR(INDEX('2.현장'!$N$2:$N$1001,IFERROR(MATCH(B86&amp;"|설계사",'2.현장'!$Z$2:$Z$1001,0),IFERROR(MATCH(B86&amp;"|시공사",'2.현장'!$Z$2:$Z$1001,0),MATCH(B86&amp;"|늦음",'2.현장'!$Z$2:$Z$1001,0)))),""))</f>
        <v/>
      </c>
      <c r="J86">
        <f>IF(B86="","",IFERROR(VLOOKUP(B86,설계사_메모!$A$3:$G$302,2,FALSE)&amp;"",""))</f>
        <v/>
      </c>
      <c r="K86">
        <f>IF(B86="","",IFERROR(VLOOKUP(B86,설계사_메모!$A$3:$G$302,4,FALSE)&amp;"",""))</f>
        <v/>
      </c>
      <c r="L86" s="6">
        <f>IF(B86="","",IF(COUNTIF('4.방문기록'!$B$3:$B$502,B86)=0,"",_xlfn.MAXIFS('4.방문기록'!$A$3:$A$502,'4.방문기록'!$B$3:$B$502,B86)))</f>
        <v/>
      </c>
      <c r="M86">
        <f>IF(L86="","",설정!$B$24-L86)</f>
        <v/>
      </c>
      <c r="N86" s="6">
        <f>IF(B86="","",IF(_xlfn.MAXIFS('4.방문기록'!$F$3:$F$502,'4.방문기록'!$B$3:$B$502,B86)=0,"",_xlfn.MAXIFS('4.방문기록'!$F$3:$F$502,'4.방문기록'!$B$3:$B$502,B86)))</f>
        <v/>
      </c>
      <c r="O86">
        <f>IF(L86="","",IFERROR(INDEX('4.방문기록'!$H$3:$H$502,MATCH(B86&amp;"|"&amp;(L86*1),'4.방문기록'!$I$3:$I$502,0))&amp;"",""))</f>
        <v/>
      </c>
      <c r="P86">
        <f>IF(B86="","",IF(O86="관심 없음","제외",IF(L86="","안 가봄",IF(M86&gt;=설정!$B$20,M86&amp;"일 지남","최근 방문"))))</f>
        <v/>
      </c>
      <c r="Q86" s="7">
        <f>IF(B86="","",IF(P86="제외","",IF(AND(설정!$B$21&lt;&gt;"",I86&lt;&gt;설정!$B$21),"",IF(AND(N86&lt;&gt;"",N86&gt;N(L86),N86&lt;=설정!$B$24+7),100+7-(N86-설정!$B$24),IF(AND(D86&gt;0,OR(P86="안 가봄",RIGHT(P86,2)="지남")),D86*10+IF(L86="",30,MIN(M86,60)/2)+MIN(N(F86)/1000,20),"")))))</f>
        <v/>
      </c>
      <c r="R86">
        <f>IF(Q86="","",COUNTIF(Q$4:Q$303,"&gt;"&amp;Q86)+COUNTIF(Q$4:Q86,Q86))</f>
        <v/>
      </c>
    </row>
    <row r="87">
      <c r="A87">
        <f>IF(B87="","",84)</f>
        <v/>
      </c>
      <c r="B87">
        <f>IFERROR(INDEX('2.현장'!$V$2:$V$1001,MATCH(84,'2.현장'!$W$2:$W$1001,0)),"")</f>
        <v/>
      </c>
      <c r="C87">
        <f>IF(B87="","",COUNTIFS('2.현장'!$V$2:$V$1001,B87,'2.현장'!$T$2:$T$1001,TRUE))</f>
        <v/>
      </c>
      <c r="D87">
        <f>IF(B87="","",COUNTIFS('2.현장'!$V$2:$V$1001,B87,'2.현장'!$U$2:$U$1001,"설계사"))</f>
        <v/>
      </c>
      <c r="E87">
        <f>IF(B87="","",COUNTIFS('2.현장'!$V$2:$V$1001,B87,'2.현장'!$U$2:$U$1001,"시공사"))</f>
        <v/>
      </c>
      <c r="F87" s="5">
        <f>IF(B87="","",_xlfn.MAXIFS('2.현장'!$D$2:$D$1001,'2.현장'!$V$2:$V$1001,B87,'2.현장'!$T$2:$T$1001,TRUE))</f>
        <v/>
      </c>
      <c r="G87" s="6">
        <f>IF(B87="","",IF(_xlfn.MAXIFS('2.현장'!$L$2:$L$1001,'2.현장'!$V$2:$V$1001,B87,'2.현장'!$T$2:$T$1001,TRUE)=0,"",_xlfn.MAXIFS('2.현장'!$L$2:$L$1001,'2.현장'!$V$2:$V$1001,B87,'2.현장'!$T$2:$T$1001,TRUE)))</f>
        <v/>
      </c>
      <c r="H87">
        <f>IF(B87="","",IFERROR(INDEX('2.현장'!$C$2:$C$1001,IFERROR(MATCH(B87&amp;"|설계사",'2.현장'!$Z$2:$Z$1001,0),IFERROR(MATCH(B87&amp;"|시공사",'2.현장'!$Z$2:$Z$1001,0),MATCH(B87&amp;"|늦음",'2.현장'!$Z$2:$Z$1001,0)))),""))</f>
        <v/>
      </c>
      <c r="I87">
        <f>IF(B87="","",IFERROR(INDEX('2.현장'!$N$2:$N$1001,IFERROR(MATCH(B87&amp;"|설계사",'2.현장'!$Z$2:$Z$1001,0),IFERROR(MATCH(B87&amp;"|시공사",'2.현장'!$Z$2:$Z$1001,0),MATCH(B87&amp;"|늦음",'2.현장'!$Z$2:$Z$1001,0)))),""))</f>
        <v/>
      </c>
      <c r="J87">
        <f>IF(B87="","",IFERROR(VLOOKUP(B87,설계사_메모!$A$3:$G$302,2,FALSE)&amp;"",""))</f>
        <v/>
      </c>
      <c r="K87">
        <f>IF(B87="","",IFERROR(VLOOKUP(B87,설계사_메모!$A$3:$G$302,4,FALSE)&amp;"",""))</f>
        <v/>
      </c>
      <c r="L87" s="6">
        <f>IF(B87="","",IF(COUNTIF('4.방문기록'!$B$3:$B$502,B87)=0,"",_xlfn.MAXIFS('4.방문기록'!$A$3:$A$502,'4.방문기록'!$B$3:$B$502,B87)))</f>
        <v/>
      </c>
      <c r="M87">
        <f>IF(L87="","",설정!$B$24-L87)</f>
        <v/>
      </c>
      <c r="N87" s="6">
        <f>IF(B87="","",IF(_xlfn.MAXIFS('4.방문기록'!$F$3:$F$502,'4.방문기록'!$B$3:$B$502,B87)=0,"",_xlfn.MAXIFS('4.방문기록'!$F$3:$F$502,'4.방문기록'!$B$3:$B$502,B87)))</f>
        <v/>
      </c>
      <c r="O87">
        <f>IF(L87="","",IFERROR(INDEX('4.방문기록'!$H$3:$H$502,MATCH(B87&amp;"|"&amp;(L87*1),'4.방문기록'!$I$3:$I$502,0))&amp;"",""))</f>
        <v/>
      </c>
      <c r="P87">
        <f>IF(B87="","",IF(O87="관심 없음","제외",IF(L87="","안 가봄",IF(M87&gt;=설정!$B$20,M87&amp;"일 지남","최근 방문"))))</f>
        <v/>
      </c>
      <c r="Q87" s="7">
        <f>IF(B87="","",IF(P87="제외","",IF(AND(설정!$B$21&lt;&gt;"",I87&lt;&gt;설정!$B$21),"",IF(AND(N87&lt;&gt;"",N87&gt;N(L87),N87&lt;=설정!$B$24+7),100+7-(N87-설정!$B$24),IF(AND(D87&gt;0,OR(P87="안 가봄",RIGHT(P87,2)="지남")),D87*10+IF(L87="",30,MIN(M87,60)/2)+MIN(N(F87)/1000,20),"")))))</f>
        <v/>
      </c>
      <c r="R87">
        <f>IF(Q87="","",COUNTIF(Q$4:Q$303,"&gt;"&amp;Q87)+COUNTIF(Q$4:Q87,Q87))</f>
        <v/>
      </c>
    </row>
    <row r="88">
      <c r="A88">
        <f>IF(B88="","",85)</f>
        <v/>
      </c>
      <c r="B88">
        <f>IFERROR(INDEX('2.현장'!$V$2:$V$1001,MATCH(85,'2.현장'!$W$2:$W$1001,0)),"")</f>
        <v/>
      </c>
      <c r="C88">
        <f>IF(B88="","",COUNTIFS('2.현장'!$V$2:$V$1001,B88,'2.현장'!$T$2:$T$1001,TRUE))</f>
        <v/>
      </c>
      <c r="D88">
        <f>IF(B88="","",COUNTIFS('2.현장'!$V$2:$V$1001,B88,'2.현장'!$U$2:$U$1001,"설계사"))</f>
        <v/>
      </c>
      <c r="E88">
        <f>IF(B88="","",COUNTIFS('2.현장'!$V$2:$V$1001,B88,'2.현장'!$U$2:$U$1001,"시공사"))</f>
        <v/>
      </c>
      <c r="F88" s="5">
        <f>IF(B88="","",_xlfn.MAXIFS('2.현장'!$D$2:$D$1001,'2.현장'!$V$2:$V$1001,B88,'2.현장'!$T$2:$T$1001,TRUE))</f>
        <v/>
      </c>
      <c r="G88" s="6">
        <f>IF(B88="","",IF(_xlfn.MAXIFS('2.현장'!$L$2:$L$1001,'2.현장'!$V$2:$V$1001,B88,'2.현장'!$T$2:$T$1001,TRUE)=0,"",_xlfn.MAXIFS('2.현장'!$L$2:$L$1001,'2.현장'!$V$2:$V$1001,B88,'2.현장'!$T$2:$T$1001,TRUE)))</f>
        <v/>
      </c>
      <c r="H88">
        <f>IF(B88="","",IFERROR(INDEX('2.현장'!$C$2:$C$1001,IFERROR(MATCH(B88&amp;"|설계사",'2.현장'!$Z$2:$Z$1001,0),IFERROR(MATCH(B88&amp;"|시공사",'2.현장'!$Z$2:$Z$1001,0),MATCH(B88&amp;"|늦음",'2.현장'!$Z$2:$Z$1001,0)))),""))</f>
        <v/>
      </c>
      <c r="I88">
        <f>IF(B88="","",IFERROR(INDEX('2.현장'!$N$2:$N$1001,IFERROR(MATCH(B88&amp;"|설계사",'2.현장'!$Z$2:$Z$1001,0),IFERROR(MATCH(B88&amp;"|시공사",'2.현장'!$Z$2:$Z$1001,0),MATCH(B88&amp;"|늦음",'2.현장'!$Z$2:$Z$1001,0)))),""))</f>
        <v/>
      </c>
      <c r="J88">
        <f>IF(B88="","",IFERROR(VLOOKUP(B88,설계사_메모!$A$3:$G$302,2,FALSE)&amp;"",""))</f>
        <v/>
      </c>
      <c r="K88">
        <f>IF(B88="","",IFERROR(VLOOKUP(B88,설계사_메모!$A$3:$G$302,4,FALSE)&amp;"",""))</f>
        <v/>
      </c>
      <c r="L88" s="6">
        <f>IF(B88="","",IF(COUNTIF('4.방문기록'!$B$3:$B$502,B88)=0,"",_xlfn.MAXIFS('4.방문기록'!$A$3:$A$502,'4.방문기록'!$B$3:$B$502,B88)))</f>
        <v/>
      </c>
      <c r="M88">
        <f>IF(L88="","",설정!$B$24-L88)</f>
        <v/>
      </c>
      <c r="N88" s="6">
        <f>IF(B88="","",IF(_xlfn.MAXIFS('4.방문기록'!$F$3:$F$502,'4.방문기록'!$B$3:$B$502,B88)=0,"",_xlfn.MAXIFS('4.방문기록'!$F$3:$F$502,'4.방문기록'!$B$3:$B$502,B88)))</f>
        <v/>
      </c>
      <c r="O88">
        <f>IF(L88="","",IFERROR(INDEX('4.방문기록'!$H$3:$H$502,MATCH(B88&amp;"|"&amp;(L88*1),'4.방문기록'!$I$3:$I$502,0))&amp;"",""))</f>
        <v/>
      </c>
      <c r="P88">
        <f>IF(B88="","",IF(O88="관심 없음","제외",IF(L88="","안 가봄",IF(M88&gt;=설정!$B$20,M88&amp;"일 지남","최근 방문"))))</f>
        <v/>
      </c>
      <c r="Q88" s="7">
        <f>IF(B88="","",IF(P88="제외","",IF(AND(설정!$B$21&lt;&gt;"",I88&lt;&gt;설정!$B$21),"",IF(AND(N88&lt;&gt;"",N88&gt;N(L88),N88&lt;=설정!$B$24+7),100+7-(N88-설정!$B$24),IF(AND(D88&gt;0,OR(P88="안 가봄",RIGHT(P88,2)="지남")),D88*10+IF(L88="",30,MIN(M88,60)/2)+MIN(N(F88)/1000,20),"")))))</f>
        <v/>
      </c>
      <c r="R88">
        <f>IF(Q88="","",COUNTIF(Q$4:Q$303,"&gt;"&amp;Q88)+COUNTIF(Q$4:Q88,Q88))</f>
        <v/>
      </c>
    </row>
    <row r="89">
      <c r="A89">
        <f>IF(B89="","",86)</f>
        <v/>
      </c>
      <c r="B89">
        <f>IFERROR(INDEX('2.현장'!$V$2:$V$1001,MATCH(86,'2.현장'!$W$2:$W$1001,0)),"")</f>
        <v/>
      </c>
      <c r="C89">
        <f>IF(B89="","",COUNTIFS('2.현장'!$V$2:$V$1001,B89,'2.현장'!$T$2:$T$1001,TRUE))</f>
        <v/>
      </c>
      <c r="D89">
        <f>IF(B89="","",COUNTIFS('2.현장'!$V$2:$V$1001,B89,'2.현장'!$U$2:$U$1001,"설계사"))</f>
        <v/>
      </c>
      <c r="E89">
        <f>IF(B89="","",COUNTIFS('2.현장'!$V$2:$V$1001,B89,'2.현장'!$U$2:$U$1001,"시공사"))</f>
        <v/>
      </c>
      <c r="F89" s="5">
        <f>IF(B89="","",_xlfn.MAXIFS('2.현장'!$D$2:$D$1001,'2.현장'!$V$2:$V$1001,B89,'2.현장'!$T$2:$T$1001,TRUE))</f>
        <v/>
      </c>
      <c r="G89" s="6">
        <f>IF(B89="","",IF(_xlfn.MAXIFS('2.현장'!$L$2:$L$1001,'2.현장'!$V$2:$V$1001,B89,'2.현장'!$T$2:$T$1001,TRUE)=0,"",_xlfn.MAXIFS('2.현장'!$L$2:$L$1001,'2.현장'!$V$2:$V$1001,B89,'2.현장'!$T$2:$T$1001,TRUE)))</f>
        <v/>
      </c>
      <c r="H89">
        <f>IF(B89="","",IFERROR(INDEX('2.현장'!$C$2:$C$1001,IFERROR(MATCH(B89&amp;"|설계사",'2.현장'!$Z$2:$Z$1001,0),IFERROR(MATCH(B89&amp;"|시공사",'2.현장'!$Z$2:$Z$1001,0),MATCH(B89&amp;"|늦음",'2.현장'!$Z$2:$Z$1001,0)))),""))</f>
        <v/>
      </c>
      <c r="I89">
        <f>IF(B89="","",IFERROR(INDEX('2.현장'!$N$2:$N$1001,IFERROR(MATCH(B89&amp;"|설계사",'2.현장'!$Z$2:$Z$1001,0),IFERROR(MATCH(B89&amp;"|시공사",'2.현장'!$Z$2:$Z$1001,0),MATCH(B89&amp;"|늦음",'2.현장'!$Z$2:$Z$1001,0)))),""))</f>
        <v/>
      </c>
      <c r="J89">
        <f>IF(B89="","",IFERROR(VLOOKUP(B89,설계사_메모!$A$3:$G$302,2,FALSE)&amp;"",""))</f>
        <v/>
      </c>
      <c r="K89">
        <f>IF(B89="","",IFERROR(VLOOKUP(B89,설계사_메모!$A$3:$G$302,4,FALSE)&amp;"",""))</f>
        <v/>
      </c>
      <c r="L89" s="6">
        <f>IF(B89="","",IF(COUNTIF('4.방문기록'!$B$3:$B$502,B89)=0,"",_xlfn.MAXIFS('4.방문기록'!$A$3:$A$502,'4.방문기록'!$B$3:$B$502,B89)))</f>
        <v/>
      </c>
      <c r="M89">
        <f>IF(L89="","",설정!$B$24-L89)</f>
        <v/>
      </c>
      <c r="N89" s="6">
        <f>IF(B89="","",IF(_xlfn.MAXIFS('4.방문기록'!$F$3:$F$502,'4.방문기록'!$B$3:$B$502,B89)=0,"",_xlfn.MAXIFS('4.방문기록'!$F$3:$F$502,'4.방문기록'!$B$3:$B$502,B89)))</f>
        <v/>
      </c>
      <c r="O89">
        <f>IF(L89="","",IFERROR(INDEX('4.방문기록'!$H$3:$H$502,MATCH(B89&amp;"|"&amp;(L89*1),'4.방문기록'!$I$3:$I$502,0))&amp;"",""))</f>
        <v/>
      </c>
      <c r="P89">
        <f>IF(B89="","",IF(O89="관심 없음","제외",IF(L89="","안 가봄",IF(M89&gt;=설정!$B$20,M89&amp;"일 지남","최근 방문"))))</f>
        <v/>
      </c>
      <c r="Q89" s="7">
        <f>IF(B89="","",IF(P89="제외","",IF(AND(설정!$B$21&lt;&gt;"",I89&lt;&gt;설정!$B$21),"",IF(AND(N89&lt;&gt;"",N89&gt;N(L89),N89&lt;=설정!$B$24+7),100+7-(N89-설정!$B$24),IF(AND(D89&gt;0,OR(P89="안 가봄",RIGHT(P89,2)="지남")),D89*10+IF(L89="",30,MIN(M89,60)/2)+MIN(N(F89)/1000,20),"")))))</f>
        <v/>
      </c>
      <c r="R89">
        <f>IF(Q89="","",COUNTIF(Q$4:Q$303,"&gt;"&amp;Q89)+COUNTIF(Q$4:Q89,Q89))</f>
        <v/>
      </c>
    </row>
    <row r="90">
      <c r="A90">
        <f>IF(B90="","",87)</f>
        <v/>
      </c>
      <c r="B90">
        <f>IFERROR(INDEX('2.현장'!$V$2:$V$1001,MATCH(87,'2.현장'!$W$2:$W$1001,0)),"")</f>
        <v/>
      </c>
      <c r="C90">
        <f>IF(B90="","",COUNTIFS('2.현장'!$V$2:$V$1001,B90,'2.현장'!$T$2:$T$1001,TRUE))</f>
        <v/>
      </c>
      <c r="D90">
        <f>IF(B90="","",COUNTIFS('2.현장'!$V$2:$V$1001,B90,'2.현장'!$U$2:$U$1001,"설계사"))</f>
        <v/>
      </c>
      <c r="E90">
        <f>IF(B90="","",COUNTIFS('2.현장'!$V$2:$V$1001,B90,'2.현장'!$U$2:$U$1001,"시공사"))</f>
        <v/>
      </c>
      <c r="F90" s="5">
        <f>IF(B90="","",_xlfn.MAXIFS('2.현장'!$D$2:$D$1001,'2.현장'!$V$2:$V$1001,B90,'2.현장'!$T$2:$T$1001,TRUE))</f>
        <v/>
      </c>
      <c r="G90" s="6">
        <f>IF(B90="","",IF(_xlfn.MAXIFS('2.현장'!$L$2:$L$1001,'2.현장'!$V$2:$V$1001,B90,'2.현장'!$T$2:$T$1001,TRUE)=0,"",_xlfn.MAXIFS('2.현장'!$L$2:$L$1001,'2.현장'!$V$2:$V$1001,B90,'2.현장'!$T$2:$T$1001,TRUE)))</f>
        <v/>
      </c>
      <c r="H90">
        <f>IF(B90="","",IFERROR(INDEX('2.현장'!$C$2:$C$1001,IFERROR(MATCH(B90&amp;"|설계사",'2.현장'!$Z$2:$Z$1001,0),IFERROR(MATCH(B90&amp;"|시공사",'2.현장'!$Z$2:$Z$1001,0),MATCH(B90&amp;"|늦음",'2.현장'!$Z$2:$Z$1001,0)))),""))</f>
        <v/>
      </c>
      <c r="I90">
        <f>IF(B90="","",IFERROR(INDEX('2.현장'!$N$2:$N$1001,IFERROR(MATCH(B90&amp;"|설계사",'2.현장'!$Z$2:$Z$1001,0),IFERROR(MATCH(B90&amp;"|시공사",'2.현장'!$Z$2:$Z$1001,0),MATCH(B90&amp;"|늦음",'2.현장'!$Z$2:$Z$1001,0)))),""))</f>
        <v/>
      </c>
      <c r="J90">
        <f>IF(B90="","",IFERROR(VLOOKUP(B90,설계사_메모!$A$3:$G$302,2,FALSE)&amp;"",""))</f>
        <v/>
      </c>
      <c r="K90">
        <f>IF(B90="","",IFERROR(VLOOKUP(B90,설계사_메모!$A$3:$G$302,4,FALSE)&amp;"",""))</f>
        <v/>
      </c>
      <c r="L90" s="6">
        <f>IF(B90="","",IF(COUNTIF('4.방문기록'!$B$3:$B$502,B90)=0,"",_xlfn.MAXIFS('4.방문기록'!$A$3:$A$502,'4.방문기록'!$B$3:$B$502,B90)))</f>
        <v/>
      </c>
      <c r="M90">
        <f>IF(L90="","",설정!$B$24-L90)</f>
        <v/>
      </c>
      <c r="N90" s="6">
        <f>IF(B90="","",IF(_xlfn.MAXIFS('4.방문기록'!$F$3:$F$502,'4.방문기록'!$B$3:$B$502,B90)=0,"",_xlfn.MAXIFS('4.방문기록'!$F$3:$F$502,'4.방문기록'!$B$3:$B$502,B90)))</f>
        <v/>
      </c>
      <c r="O90">
        <f>IF(L90="","",IFERROR(INDEX('4.방문기록'!$H$3:$H$502,MATCH(B90&amp;"|"&amp;(L90*1),'4.방문기록'!$I$3:$I$502,0))&amp;"",""))</f>
        <v/>
      </c>
      <c r="P90">
        <f>IF(B90="","",IF(O90="관심 없음","제외",IF(L90="","안 가봄",IF(M90&gt;=설정!$B$20,M90&amp;"일 지남","최근 방문"))))</f>
        <v/>
      </c>
      <c r="Q90" s="7">
        <f>IF(B90="","",IF(P90="제외","",IF(AND(설정!$B$21&lt;&gt;"",I90&lt;&gt;설정!$B$21),"",IF(AND(N90&lt;&gt;"",N90&gt;N(L90),N90&lt;=설정!$B$24+7),100+7-(N90-설정!$B$24),IF(AND(D90&gt;0,OR(P90="안 가봄",RIGHT(P90,2)="지남")),D90*10+IF(L90="",30,MIN(M90,60)/2)+MIN(N(F90)/1000,20),"")))))</f>
        <v/>
      </c>
      <c r="R90">
        <f>IF(Q90="","",COUNTIF(Q$4:Q$303,"&gt;"&amp;Q90)+COUNTIF(Q$4:Q90,Q90))</f>
        <v/>
      </c>
    </row>
    <row r="91">
      <c r="A91">
        <f>IF(B91="","",88)</f>
        <v/>
      </c>
      <c r="B91">
        <f>IFERROR(INDEX('2.현장'!$V$2:$V$1001,MATCH(88,'2.현장'!$W$2:$W$1001,0)),"")</f>
        <v/>
      </c>
      <c r="C91">
        <f>IF(B91="","",COUNTIFS('2.현장'!$V$2:$V$1001,B91,'2.현장'!$T$2:$T$1001,TRUE))</f>
        <v/>
      </c>
      <c r="D91">
        <f>IF(B91="","",COUNTIFS('2.현장'!$V$2:$V$1001,B91,'2.현장'!$U$2:$U$1001,"설계사"))</f>
        <v/>
      </c>
      <c r="E91">
        <f>IF(B91="","",COUNTIFS('2.현장'!$V$2:$V$1001,B91,'2.현장'!$U$2:$U$1001,"시공사"))</f>
        <v/>
      </c>
      <c r="F91" s="5">
        <f>IF(B91="","",_xlfn.MAXIFS('2.현장'!$D$2:$D$1001,'2.현장'!$V$2:$V$1001,B91,'2.현장'!$T$2:$T$1001,TRUE))</f>
        <v/>
      </c>
      <c r="G91" s="6">
        <f>IF(B91="","",IF(_xlfn.MAXIFS('2.현장'!$L$2:$L$1001,'2.현장'!$V$2:$V$1001,B91,'2.현장'!$T$2:$T$1001,TRUE)=0,"",_xlfn.MAXIFS('2.현장'!$L$2:$L$1001,'2.현장'!$V$2:$V$1001,B91,'2.현장'!$T$2:$T$1001,TRUE)))</f>
        <v/>
      </c>
      <c r="H91">
        <f>IF(B91="","",IFERROR(INDEX('2.현장'!$C$2:$C$1001,IFERROR(MATCH(B91&amp;"|설계사",'2.현장'!$Z$2:$Z$1001,0),IFERROR(MATCH(B91&amp;"|시공사",'2.현장'!$Z$2:$Z$1001,0),MATCH(B91&amp;"|늦음",'2.현장'!$Z$2:$Z$1001,0)))),""))</f>
        <v/>
      </c>
      <c r="I91">
        <f>IF(B91="","",IFERROR(INDEX('2.현장'!$N$2:$N$1001,IFERROR(MATCH(B91&amp;"|설계사",'2.현장'!$Z$2:$Z$1001,0),IFERROR(MATCH(B91&amp;"|시공사",'2.현장'!$Z$2:$Z$1001,0),MATCH(B91&amp;"|늦음",'2.현장'!$Z$2:$Z$1001,0)))),""))</f>
        <v/>
      </c>
      <c r="J91">
        <f>IF(B91="","",IFERROR(VLOOKUP(B91,설계사_메모!$A$3:$G$302,2,FALSE)&amp;"",""))</f>
        <v/>
      </c>
      <c r="K91">
        <f>IF(B91="","",IFERROR(VLOOKUP(B91,설계사_메모!$A$3:$G$302,4,FALSE)&amp;"",""))</f>
        <v/>
      </c>
      <c r="L91" s="6">
        <f>IF(B91="","",IF(COUNTIF('4.방문기록'!$B$3:$B$502,B91)=0,"",_xlfn.MAXIFS('4.방문기록'!$A$3:$A$502,'4.방문기록'!$B$3:$B$502,B91)))</f>
        <v/>
      </c>
      <c r="M91">
        <f>IF(L91="","",설정!$B$24-L91)</f>
        <v/>
      </c>
      <c r="N91" s="6">
        <f>IF(B91="","",IF(_xlfn.MAXIFS('4.방문기록'!$F$3:$F$502,'4.방문기록'!$B$3:$B$502,B91)=0,"",_xlfn.MAXIFS('4.방문기록'!$F$3:$F$502,'4.방문기록'!$B$3:$B$502,B91)))</f>
        <v/>
      </c>
      <c r="O91">
        <f>IF(L91="","",IFERROR(INDEX('4.방문기록'!$H$3:$H$502,MATCH(B91&amp;"|"&amp;(L91*1),'4.방문기록'!$I$3:$I$502,0))&amp;"",""))</f>
        <v/>
      </c>
      <c r="P91">
        <f>IF(B91="","",IF(O91="관심 없음","제외",IF(L91="","안 가봄",IF(M91&gt;=설정!$B$20,M91&amp;"일 지남","최근 방문"))))</f>
        <v/>
      </c>
      <c r="Q91" s="7">
        <f>IF(B91="","",IF(P91="제외","",IF(AND(설정!$B$21&lt;&gt;"",I91&lt;&gt;설정!$B$21),"",IF(AND(N91&lt;&gt;"",N91&gt;N(L91),N91&lt;=설정!$B$24+7),100+7-(N91-설정!$B$24),IF(AND(D91&gt;0,OR(P91="안 가봄",RIGHT(P91,2)="지남")),D91*10+IF(L91="",30,MIN(M91,60)/2)+MIN(N(F91)/1000,20),"")))))</f>
        <v/>
      </c>
      <c r="R91">
        <f>IF(Q91="","",COUNTIF(Q$4:Q$303,"&gt;"&amp;Q91)+COUNTIF(Q$4:Q91,Q91))</f>
        <v/>
      </c>
    </row>
    <row r="92">
      <c r="A92">
        <f>IF(B92="","",89)</f>
        <v/>
      </c>
      <c r="B92">
        <f>IFERROR(INDEX('2.현장'!$V$2:$V$1001,MATCH(89,'2.현장'!$W$2:$W$1001,0)),"")</f>
        <v/>
      </c>
      <c r="C92">
        <f>IF(B92="","",COUNTIFS('2.현장'!$V$2:$V$1001,B92,'2.현장'!$T$2:$T$1001,TRUE))</f>
        <v/>
      </c>
      <c r="D92">
        <f>IF(B92="","",COUNTIFS('2.현장'!$V$2:$V$1001,B92,'2.현장'!$U$2:$U$1001,"설계사"))</f>
        <v/>
      </c>
      <c r="E92">
        <f>IF(B92="","",COUNTIFS('2.현장'!$V$2:$V$1001,B92,'2.현장'!$U$2:$U$1001,"시공사"))</f>
        <v/>
      </c>
      <c r="F92" s="5">
        <f>IF(B92="","",_xlfn.MAXIFS('2.현장'!$D$2:$D$1001,'2.현장'!$V$2:$V$1001,B92,'2.현장'!$T$2:$T$1001,TRUE))</f>
        <v/>
      </c>
      <c r="G92" s="6">
        <f>IF(B92="","",IF(_xlfn.MAXIFS('2.현장'!$L$2:$L$1001,'2.현장'!$V$2:$V$1001,B92,'2.현장'!$T$2:$T$1001,TRUE)=0,"",_xlfn.MAXIFS('2.현장'!$L$2:$L$1001,'2.현장'!$V$2:$V$1001,B92,'2.현장'!$T$2:$T$1001,TRUE)))</f>
        <v/>
      </c>
      <c r="H92">
        <f>IF(B92="","",IFERROR(INDEX('2.현장'!$C$2:$C$1001,IFERROR(MATCH(B92&amp;"|설계사",'2.현장'!$Z$2:$Z$1001,0),IFERROR(MATCH(B92&amp;"|시공사",'2.현장'!$Z$2:$Z$1001,0),MATCH(B92&amp;"|늦음",'2.현장'!$Z$2:$Z$1001,0)))),""))</f>
        <v/>
      </c>
      <c r="I92">
        <f>IF(B92="","",IFERROR(INDEX('2.현장'!$N$2:$N$1001,IFERROR(MATCH(B92&amp;"|설계사",'2.현장'!$Z$2:$Z$1001,0),IFERROR(MATCH(B92&amp;"|시공사",'2.현장'!$Z$2:$Z$1001,0),MATCH(B92&amp;"|늦음",'2.현장'!$Z$2:$Z$1001,0)))),""))</f>
        <v/>
      </c>
      <c r="J92">
        <f>IF(B92="","",IFERROR(VLOOKUP(B92,설계사_메모!$A$3:$G$302,2,FALSE)&amp;"",""))</f>
        <v/>
      </c>
      <c r="K92">
        <f>IF(B92="","",IFERROR(VLOOKUP(B92,설계사_메모!$A$3:$G$302,4,FALSE)&amp;"",""))</f>
        <v/>
      </c>
      <c r="L92" s="6">
        <f>IF(B92="","",IF(COUNTIF('4.방문기록'!$B$3:$B$502,B92)=0,"",_xlfn.MAXIFS('4.방문기록'!$A$3:$A$502,'4.방문기록'!$B$3:$B$502,B92)))</f>
        <v/>
      </c>
      <c r="M92">
        <f>IF(L92="","",설정!$B$24-L92)</f>
        <v/>
      </c>
      <c r="N92" s="6">
        <f>IF(B92="","",IF(_xlfn.MAXIFS('4.방문기록'!$F$3:$F$502,'4.방문기록'!$B$3:$B$502,B92)=0,"",_xlfn.MAXIFS('4.방문기록'!$F$3:$F$502,'4.방문기록'!$B$3:$B$502,B92)))</f>
        <v/>
      </c>
      <c r="O92">
        <f>IF(L92="","",IFERROR(INDEX('4.방문기록'!$H$3:$H$502,MATCH(B92&amp;"|"&amp;(L92*1),'4.방문기록'!$I$3:$I$502,0))&amp;"",""))</f>
        <v/>
      </c>
      <c r="P92">
        <f>IF(B92="","",IF(O92="관심 없음","제외",IF(L92="","안 가봄",IF(M92&gt;=설정!$B$20,M92&amp;"일 지남","최근 방문"))))</f>
        <v/>
      </c>
      <c r="Q92" s="7">
        <f>IF(B92="","",IF(P92="제외","",IF(AND(설정!$B$21&lt;&gt;"",I92&lt;&gt;설정!$B$21),"",IF(AND(N92&lt;&gt;"",N92&gt;N(L92),N92&lt;=설정!$B$24+7),100+7-(N92-설정!$B$24),IF(AND(D92&gt;0,OR(P92="안 가봄",RIGHT(P92,2)="지남")),D92*10+IF(L92="",30,MIN(M92,60)/2)+MIN(N(F92)/1000,20),"")))))</f>
        <v/>
      </c>
      <c r="R92">
        <f>IF(Q92="","",COUNTIF(Q$4:Q$303,"&gt;"&amp;Q92)+COUNTIF(Q$4:Q92,Q92))</f>
        <v/>
      </c>
    </row>
    <row r="93">
      <c r="A93">
        <f>IF(B93="","",90)</f>
        <v/>
      </c>
      <c r="B93">
        <f>IFERROR(INDEX('2.현장'!$V$2:$V$1001,MATCH(90,'2.현장'!$W$2:$W$1001,0)),"")</f>
        <v/>
      </c>
      <c r="C93">
        <f>IF(B93="","",COUNTIFS('2.현장'!$V$2:$V$1001,B93,'2.현장'!$T$2:$T$1001,TRUE))</f>
        <v/>
      </c>
      <c r="D93">
        <f>IF(B93="","",COUNTIFS('2.현장'!$V$2:$V$1001,B93,'2.현장'!$U$2:$U$1001,"설계사"))</f>
        <v/>
      </c>
      <c r="E93">
        <f>IF(B93="","",COUNTIFS('2.현장'!$V$2:$V$1001,B93,'2.현장'!$U$2:$U$1001,"시공사"))</f>
        <v/>
      </c>
      <c r="F93" s="5">
        <f>IF(B93="","",_xlfn.MAXIFS('2.현장'!$D$2:$D$1001,'2.현장'!$V$2:$V$1001,B93,'2.현장'!$T$2:$T$1001,TRUE))</f>
        <v/>
      </c>
      <c r="G93" s="6">
        <f>IF(B93="","",IF(_xlfn.MAXIFS('2.현장'!$L$2:$L$1001,'2.현장'!$V$2:$V$1001,B93,'2.현장'!$T$2:$T$1001,TRUE)=0,"",_xlfn.MAXIFS('2.현장'!$L$2:$L$1001,'2.현장'!$V$2:$V$1001,B93,'2.현장'!$T$2:$T$1001,TRUE)))</f>
        <v/>
      </c>
      <c r="H93">
        <f>IF(B93="","",IFERROR(INDEX('2.현장'!$C$2:$C$1001,IFERROR(MATCH(B93&amp;"|설계사",'2.현장'!$Z$2:$Z$1001,0),IFERROR(MATCH(B93&amp;"|시공사",'2.현장'!$Z$2:$Z$1001,0),MATCH(B93&amp;"|늦음",'2.현장'!$Z$2:$Z$1001,0)))),""))</f>
        <v/>
      </c>
      <c r="I93">
        <f>IF(B93="","",IFERROR(INDEX('2.현장'!$N$2:$N$1001,IFERROR(MATCH(B93&amp;"|설계사",'2.현장'!$Z$2:$Z$1001,0),IFERROR(MATCH(B93&amp;"|시공사",'2.현장'!$Z$2:$Z$1001,0),MATCH(B93&amp;"|늦음",'2.현장'!$Z$2:$Z$1001,0)))),""))</f>
        <v/>
      </c>
      <c r="J93">
        <f>IF(B93="","",IFERROR(VLOOKUP(B93,설계사_메모!$A$3:$G$302,2,FALSE)&amp;"",""))</f>
        <v/>
      </c>
      <c r="K93">
        <f>IF(B93="","",IFERROR(VLOOKUP(B93,설계사_메모!$A$3:$G$302,4,FALSE)&amp;"",""))</f>
        <v/>
      </c>
      <c r="L93" s="6">
        <f>IF(B93="","",IF(COUNTIF('4.방문기록'!$B$3:$B$502,B93)=0,"",_xlfn.MAXIFS('4.방문기록'!$A$3:$A$502,'4.방문기록'!$B$3:$B$502,B93)))</f>
        <v/>
      </c>
      <c r="M93">
        <f>IF(L93="","",설정!$B$24-L93)</f>
        <v/>
      </c>
      <c r="N93" s="6">
        <f>IF(B93="","",IF(_xlfn.MAXIFS('4.방문기록'!$F$3:$F$502,'4.방문기록'!$B$3:$B$502,B93)=0,"",_xlfn.MAXIFS('4.방문기록'!$F$3:$F$502,'4.방문기록'!$B$3:$B$502,B93)))</f>
        <v/>
      </c>
      <c r="O93">
        <f>IF(L93="","",IFERROR(INDEX('4.방문기록'!$H$3:$H$502,MATCH(B93&amp;"|"&amp;(L93*1),'4.방문기록'!$I$3:$I$502,0))&amp;"",""))</f>
        <v/>
      </c>
      <c r="P93">
        <f>IF(B93="","",IF(O93="관심 없음","제외",IF(L93="","안 가봄",IF(M93&gt;=설정!$B$20,M93&amp;"일 지남","최근 방문"))))</f>
        <v/>
      </c>
      <c r="Q93" s="7">
        <f>IF(B93="","",IF(P93="제외","",IF(AND(설정!$B$21&lt;&gt;"",I93&lt;&gt;설정!$B$21),"",IF(AND(N93&lt;&gt;"",N93&gt;N(L93),N93&lt;=설정!$B$24+7),100+7-(N93-설정!$B$24),IF(AND(D93&gt;0,OR(P93="안 가봄",RIGHT(P93,2)="지남")),D93*10+IF(L93="",30,MIN(M93,60)/2)+MIN(N(F93)/1000,20),"")))))</f>
        <v/>
      </c>
      <c r="R93">
        <f>IF(Q93="","",COUNTIF(Q$4:Q$303,"&gt;"&amp;Q93)+COUNTIF(Q$4:Q93,Q93))</f>
        <v/>
      </c>
    </row>
    <row r="94">
      <c r="A94">
        <f>IF(B94="","",91)</f>
        <v/>
      </c>
      <c r="B94">
        <f>IFERROR(INDEX('2.현장'!$V$2:$V$1001,MATCH(91,'2.현장'!$W$2:$W$1001,0)),"")</f>
        <v/>
      </c>
      <c r="C94">
        <f>IF(B94="","",COUNTIFS('2.현장'!$V$2:$V$1001,B94,'2.현장'!$T$2:$T$1001,TRUE))</f>
        <v/>
      </c>
      <c r="D94">
        <f>IF(B94="","",COUNTIFS('2.현장'!$V$2:$V$1001,B94,'2.현장'!$U$2:$U$1001,"설계사"))</f>
        <v/>
      </c>
      <c r="E94">
        <f>IF(B94="","",COUNTIFS('2.현장'!$V$2:$V$1001,B94,'2.현장'!$U$2:$U$1001,"시공사"))</f>
        <v/>
      </c>
      <c r="F94" s="5">
        <f>IF(B94="","",_xlfn.MAXIFS('2.현장'!$D$2:$D$1001,'2.현장'!$V$2:$V$1001,B94,'2.현장'!$T$2:$T$1001,TRUE))</f>
        <v/>
      </c>
      <c r="G94" s="6">
        <f>IF(B94="","",IF(_xlfn.MAXIFS('2.현장'!$L$2:$L$1001,'2.현장'!$V$2:$V$1001,B94,'2.현장'!$T$2:$T$1001,TRUE)=0,"",_xlfn.MAXIFS('2.현장'!$L$2:$L$1001,'2.현장'!$V$2:$V$1001,B94,'2.현장'!$T$2:$T$1001,TRUE)))</f>
        <v/>
      </c>
      <c r="H94">
        <f>IF(B94="","",IFERROR(INDEX('2.현장'!$C$2:$C$1001,IFERROR(MATCH(B94&amp;"|설계사",'2.현장'!$Z$2:$Z$1001,0),IFERROR(MATCH(B94&amp;"|시공사",'2.현장'!$Z$2:$Z$1001,0),MATCH(B94&amp;"|늦음",'2.현장'!$Z$2:$Z$1001,0)))),""))</f>
        <v/>
      </c>
      <c r="I94">
        <f>IF(B94="","",IFERROR(INDEX('2.현장'!$N$2:$N$1001,IFERROR(MATCH(B94&amp;"|설계사",'2.현장'!$Z$2:$Z$1001,0),IFERROR(MATCH(B94&amp;"|시공사",'2.현장'!$Z$2:$Z$1001,0),MATCH(B94&amp;"|늦음",'2.현장'!$Z$2:$Z$1001,0)))),""))</f>
        <v/>
      </c>
      <c r="J94">
        <f>IF(B94="","",IFERROR(VLOOKUP(B94,설계사_메모!$A$3:$G$302,2,FALSE)&amp;"",""))</f>
        <v/>
      </c>
      <c r="K94">
        <f>IF(B94="","",IFERROR(VLOOKUP(B94,설계사_메모!$A$3:$G$302,4,FALSE)&amp;"",""))</f>
        <v/>
      </c>
      <c r="L94" s="6">
        <f>IF(B94="","",IF(COUNTIF('4.방문기록'!$B$3:$B$502,B94)=0,"",_xlfn.MAXIFS('4.방문기록'!$A$3:$A$502,'4.방문기록'!$B$3:$B$502,B94)))</f>
        <v/>
      </c>
      <c r="M94">
        <f>IF(L94="","",설정!$B$24-L94)</f>
        <v/>
      </c>
      <c r="N94" s="6">
        <f>IF(B94="","",IF(_xlfn.MAXIFS('4.방문기록'!$F$3:$F$502,'4.방문기록'!$B$3:$B$502,B94)=0,"",_xlfn.MAXIFS('4.방문기록'!$F$3:$F$502,'4.방문기록'!$B$3:$B$502,B94)))</f>
        <v/>
      </c>
      <c r="O94">
        <f>IF(L94="","",IFERROR(INDEX('4.방문기록'!$H$3:$H$502,MATCH(B94&amp;"|"&amp;(L94*1),'4.방문기록'!$I$3:$I$502,0))&amp;"",""))</f>
        <v/>
      </c>
      <c r="P94">
        <f>IF(B94="","",IF(O94="관심 없음","제외",IF(L94="","안 가봄",IF(M94&gt;=설정!$B$20,M94&amp;"일 지남","최근 방문"))))</f>
        <v/>
      </c>
      <c r="Q94" s="7">
        <f>IF(B94="","",IF(P94="제외","",IF(AND(설정!$B$21&lt;&gt;"",I94&lt;&gt;설정!$B$21),"",IF(AND(N94&lt;&gt;"",N94&gt;N(L94),N94&lt;=설정!$B$24+7),100+7-(N94-설정!$B$24),IF(AND(D94&gt;0,OR(P94="안 가봄",RIGHT(P94,2)="지남")),D94*10+IF(L94="",30,MIN(M94,60)/2)+MIN(N(F94)/1000,20),"")))))</f>
        <v/>
      </c>
      <c r="R94">
        <f>IF(Q94="","",COUNTIF(Q$4:Q$303,"&gt;"&amp;Q94)+COUNTIF(Q$4:Q94,Q94))</f>
        <v/>
      </c>
    </row>
    <row r="95">
      <c r="A95">
        <f>IF(B95="","",92)</f>
        <v/>
      </c>
      <c r="B95">
        <f>IFERROR(INDEX('2.현장'!$V$2:$V$1001,MATCH(92,'2.현장'!$W$2:$W$1001,0)),"")</f>
        <v/>
      </c>
      <c r="C95">
        <f>IF(B95="","",COUNTIFS('2.현장'!$V$2:$V$1001,B95,'2.현장'!$T$2:$T$1001,TRUE))</f>
        <v/>
      </c>
      <c r="D95">
        <f>IF(B95="","",COUNTIFS('2.현장'!$V$2:$V$1001,B95,'2.현장'!$U$2:$U$1001,"설계사"))</f>
        <v/>
      </c>
      <c r="E95">
        <f>IF(B95="","",COUNTIFS('2.현장'!$V$2:$V$1001,B95,'2.현장'!$U$2:$U$1001,"시공사"))</f>
        <v/>
      </c>
      <c r="F95" s="5">
        <f>IF(B95="","",_xlfn.MAXIFS('2.현장'!$D$2:$D$1001,'2.현장'!$V$2:$V$1001,B95,'2.현장'!$T$2:$T$1001,TRUE))</f>
        <v/>
      </c>
      <c r="G95" s="6">
        <f>IF(B95="","",IF(_xlfn.MAXIFS('2.현장'!$L$2:$L$1001,'2.현장'!$V$2:$V$1001,B95,'2.현장'!$T$2:$T$1001,TRUE)=0,"",_xlfn.MAXIFS('2.현장'!$L$2:$L$1001,'2.현장'!$V$2:$V$1001,B95,'2.현장'!$T$2:$T$1001,TRUE)))</f>
        <v/>
      </c>
      <c r="H95">
        <f>IF(B95="","",IFERROR(INDEX('2.현장'!$C$2:$C$1001,IFERROR(MATCH(B95&amp;"|설계사",'2.현장'!$Z$2:$Z$1001,0),IFERROR(MATCH(B95&amp;"|시공사",'2.현장'!$Z$2:$Z$1001,0),MATCH(B95&amp;"|늦음",'2.현장'!$Z$2:$Z$1001,0)))),""))</f>
        <v/>
      </c>
      <c r="I95">
        <f>IF(B95="","",IFERROR(INDEX('2.현장'!$N$2:$N$1001,IFERROR(MATCH(B95&amp;"|설계사",'2.현장'!$Z$2:$Z$1001,0),IFERROR(MATCH(B95&amp;"|시공사",'2.현장'!$Z$2:$Z$1001,0),MATCH(B95&amp;"|늦음",'2.현장'!$Z$2:$Z$1001,0)))),""))</f>
        <v/>
      </c>
      <c r="J95">
        <f>IF(B95="","",IFERROR(VLOOKUP(B95,설계사_메모!$A$3:$G$302,2,FALSE)&amp;"",""))</f>
        <v/>
      </c>
      <c r="K95">
        <f>IF(B95="","",IFERROR(VLOOKUP(B95,설계사_메모!$A$3:$G$302,4,FALSE)&amp;"",""))</f>
        <v/>
      </c>
      <c r="L95" s="6">
        <f>IF(B95="","",IF(COUNTIF('4.방문기록'!$B$3:$B$502,B95)=0,"",_xlfn.MAXIFS('4.방문기록'!$A$3:$A$502,'4.방문기록'!$B$3:$B$502,B95)))</f>
        <v/>
      </c>
      <c r="M95">
        <f>IF(L95="","",설정!$B$24-L95)</f>
        <v/>
      </c>
      <c r="N95" s="6">
        <f>IF(B95="","",IF(_xlfn.MAXIFS('4.방문기록'!$F$3:$F$502,'4.방문기록'!$B$3:$B$502,B95)=0,"",_xlfn.MAXIFS('4.방문기록'!$F$3:$F$502,'4.방문기록'!$B$3:$B$502,B95)))</f>
        <v/>
      </c>
      <c r="O95">
        <f>IF(L95="","",IFERROR(INDEX('4.방문기록'!$H$3:$H$502,MATCH(B95&amp;"|"&amp;(L95*1),'4.방문기록'!$I$3:$I$502,0))&amp;"",""))</f>
        <v/>
      </c>
      <c r="P95">
        <f>IF(B95="","",IF(O95="관심 없음","제외",IF(L95="","안 가봄",IF(M95&gt;=설정!$B$20,M95&amp;"일 지남","최근 방문"))))</f>
        <v/>
      </c>
      <c r="Q95" s="7">
        <f>IF(B95="","",IF(P95="제외","",IF(AND(설정!$B$21&lt;&gt;"",I95&lt;&gt;설정!$B$21),"",IF(AND(N95&lt;&gt;"",N95&gt;N(L95),N95&lt;=설정!$B$24+7),100+7-(N95-설정!$B$24),IF(AND(D95&gt;0,OR(P95="안 가봄",RIGHT(P95,2)="지남")),D95*10+IF(L95="",30,MIN(M95,60)/2)+MIN(N(F95)/1000,20),"")))))</f>
        <v/>
      </c>
      <c r="R95">
        <f>IF(Q95="","",COUNTIF(Q$4:Q$303,"&gt;"&amp;Q95)+COUNTIF(Q$4:Q95,Q95))</f>
        <v/>
      </c>
    </row>
    <row r="96">
      <c r="A96">
        <f>IF(B96="","",93)</f>
        <v/>
      </c>
      <c r="B96">
        <f>IFERROR(INDEX('2.현장'!$V$2:$V$1001,MATCH(93,'2.현장'!$W$2:$W$1001,0)),"")</f>
        <v/>
      </c>
      <c r="C96">
        <f>IF(B96="","",COUNTIFS('2.현장'!$V$2:$V$1001,B96,'2.현장'!$T$2:$T$1001,TRUE))</f>
        <v/>
      </c>
      <c r="D96">
        <f>IF(B96="","",COUNTIFS('2.현장'!$V$2:$V$1001,B96,'2.현장'!$U$2:$U$1001,"설계사"))</f>
        <v/>
      </c>
      <c r="E96">
        <f>IF(B96="","",COUNTIFS('2.현장'!$V$2:$V$1001,B96,'2.현장'!$U$2:$U$1001,"시공사"))</f>
        <v/>
      </c>
      <c r="F96" s="5">
        <f>IF(B96="","",_xlfn.MAXIFS('2.현장'!$D$2:$D$1001,'2.현장'!$V$2:$V$1001,B96,'2.현장'!$T$2:$T$1001,TRUE))</f>
        <v/>
      </c>
      <c r="G96" s="6">
        <f>IF(B96="","",IF(_xlfn.MAXIFS('2.현장'!$L$2:$L$1001,'2.현장'!$V$2:$V$1001,B96,'2.현장'!$T$2:$T$1001,TRUE)=0,"",_xlfn.MAXIFS('2.현장'!$L$2:$L$1001,'2.현장'!$V$2:$V$1001,B96,'2.현장'!$T$2:$T$1001,TRUE)))</f>
        <v/>
      </c>
      <c r="H96">
        <f>IF(B96="","",IFERROR(INDEX('2.현장'!$C$2:$C$1001,IFERROR(MATCH(B96&amp;"|설계사",'2.현장'!$Z$2:$Z$1001,0),IFERROR(MATCH(B96&amp;"|시공사",'2.현장'!$Z$2:$Z$1001,0),MATCH(B96&amp;"|늦음",'2.현장'!$Z$2:$Z$1001,0)))),""))</f>
        <v/>
      </c>
      <c r="I96">
        <f>IF(B96="","",IFERROR(INDEX('2.현장'!$N$2:$N$1001,IFERROR(MATCH(B96&amp;"|설계사",'2.현장'!$Z$2:$Z$1001,0),IFERROR(MATCH(B96&amp;"|시공사",'2.현장'!$Z$2:$Z$1001,0),MATCH(B96&amp;"|늦음",'2.현장'!$Z$2:$Z$1001,0)))),""))</f>
        <v/>
      </c>
      <c r="J96">
        <f>IF(B96="","",IFERROR(VLOOKUP(B96,설계사_메모!$A$3:$G$302,2,FALSE)&amp;"",""))</f>
        <v/>
      </c>
      <c r="K96">
        <f>IF(B96="","",IFERROR(VLOOKUP(B96,설계사_메모!$A$3:$G$302,4,FALSE)&amp;"",""))</f>
        <v/>
      </c>
      <c r="L96" s="6">
        <f>IF(B96="","",IF(COUNTIF('4.방문기록'!$B$3:$B$502,B96)=0,"",_xlfn.MAXIFS('4.방문기록'!$A$3:$A$502,'4.방문기록'!$B$3:$B$502,B96)))</f>
        <v/>
      </c>
      <c r="M96">
        <f>IF(L96="","",설정!$B$24-L96)</f>
        <v/>
      </c>
      <c r="N96" s="6">
        <f>IF(B96="","",IF(_xlfn.MAXIFS('4.방문기록'!$F$3:$F$502,'4.방문기록'!$B$3:$B$502,B96)=0,"",_xlfn.MAXIFS('4.방문기록'!$F$3:$F$502,'4.방문기록'!$B$3:$B$502,B96)))</f>
        <v/>
      </c>
      <c r="O96">
        <f>IF(L96="","",IFERROR(INDEX('4.방문기록'!$H$3:$H$502,MATCH(B96&amp;"|"&amp;(L96*1),'4.방문기록'!$I$3:$I$502,0))&amp;"",""))</f>
        <v/>
      </c>
      <c r="P96">
        <f>IF(B96="","",IF(O96="관심 없음","제외",IF(L96="","안 가봄",IF(M96&gt;=설정!$B$20,M96&amp;"일 지남","최근 방문"))))</f>
        <v/>
      </c>
      <c r="Q96" s="7">
        <f>IF(B96="","",IF(P96="제외","",IF(AND(설정!$B$21&lt;&gt;"",I96&lt;&gt;설정!$B$21),"",IF(AND(N96&lt;&gt;"",N96&gt;N(L96),N96&lt;=설정!$B$24+7),100+7-(N96-설정!$B$24),IF(AND(D96&gt;0,OR(P96="안 가봄",RIGHT(P96,2)="지남")),D96*10+IF(L96="",30,MIN(M96,60)/2)+MIN(N(F96)/1000,20),"")))))</f>
        <v/>
      </c>
      <c r="R96">
        <f>IF(Q96="","",COUNTIF(Q$4:Q$303,"&gt;"&amp;Q96)+COUNTIF(Q$4:Q96,Q96))</f>
        <v/>
      </c>
    </row>
    <row r="97">
      <c r="A97">
        <f>IF(B97="","",94)</f>
        <v/>
      </c>
      <c r="B97">
        <f>IFERROR(INDEX('2.현장'!$V$2:$V$1001,MATCH(94,'2.현장'!$W$2:$W$1001,0)),"")</f>
        <v/>
      </c>
      <c r="C97">
        <f>IF(B97="","",COUNTIFS('2.현장'!$V$2:$V$1001,B97,'2.현장'!$T$2:$T$1001,TRUE))</f>
        <v/>
      </c>
      <c r="D97">
        <f>IF(B97="","",COUNTIFS('2.현장'!$V$2:$V$1001,B97,'2.현장'!$U$2:$U$1001,"설계사"))</f>
        <v/>
      </c>
      <c r="E97">
        <f>IF(B97="","",COUNTIFS('2.현장'!$V$2:$V$1001,B97,'2.현장'!$U$2:$U$1001,"시공사"))</f>
        <v/>
      </c>
      <c r="F97" s="5">
        <f>IF(B97="","",_xlfn.MAXIFS('2.현장'!$D$2:$D$1001,'2.현장'!$V$2:$V$1001,B97,'2.현장'!$T$2:$T$1001,TRUE))</f>
        <v/>
      </c>
      <c r="G97" s="6">
        <f>IF(B97="","",IF(_xlfn.MAXIFS('2.현장'!$L$2:$L$1001,'2.현장'!$V$2:$V$1001,B97,'2.현장'!$T$2:$T$1001,TRUE)=0,"",_xlfn.MAXIFS('2.현장'!$L$2:$L$1001,'2.현장'!$V$2:$V$1001,B97,'2.현장'!$T$2:$T$1001,TRUE)))</f>
        <v/>
      </c>
      <c r="H97">
        <f>IF(B97="","",IFERROR(INDEX('2.현장'!$C$2:$C$1001,IFERROR(MATCH(B97&amp;"|설계사",'2.현장'!$Z$2:$Z$1001,0),IFERROR(MATCH(B97&amp;"|시공사",'2.현장'!$Z$2:$Z$1001,0),MATCH(B97&amp;"|늦음",'2.현장'!$Z$2:$Z$1001,0)))),""))</f>
        <v/>
      </c>
      <c r="I97">
        <f>IF(B97="","",IFERROR(INDEX('2.현장'!$N$2:$N$1001,IFERROR(MATCH(B97&amp;"|설계사",'2.현장'!$Z$2:$Z$1001,0),IFERROR(MATCH(B97&amp;"|시공사",'2.현장'!$Z$2:$Z$1001,0),MATCH(B97&amp;"|늦음",'2.현장'!$Z$2:$Z$1001,0)))),""))</f>
        <v/>
      </c>
      <c r="J97">
        <f>IF(B97="","",IFERROR(VLOOKUP(B97,설계사_메모!$A$3:$G$302,2,FALSE)&amp;"",""))</f>
        <v/>
      </c>
      <c r="K97">
        <f>IF(B97="","",IFERROR(VLOOKUP(B97,설계사_메모!$A$3:$G$302,4,FALSE)&amp;"",""))</f>
        <v/>
      </c>
      <c r="L97" s="6">
        <f>IF(B97="","",IF(COUNTIF('4.방문기록'!$B$3:$B$502,B97)=0,"",_xlfn.MAXIFS('4.방문기록'!$A$3:$A$502,'4.방문기록'!$B$3:$B$502,B97)))</f>
        <v/>
      </c>
      <c r="M97">
        <f>IF(L97="","",설정!$B$24-L97)</f>
        <v/>
      </c>
      <c r="N97" s="6">
        <f>IF(B97="","",IF(_xlfn.MAXIFS('4.방문기록'!$F$3:$F$502,'4.방문기록'!$B$3:$B$502,B97)=0,"",_xlfn.MAXIFS('4.방문기록'!$F$3:$F$502,'4.방문기록'!$B$3:$B$502,B97)))</f>
        <v/>
      </c>
      <c r="O97">
        <f>IF(L97="","",IFERROR(INDEX('4.방문기록'!$H$3:$H$502,MATCH(B97&amp;"|"&amp;(L97*1),'4.방문기록'!$I$3:$I$502,0))&amp;"",""))</f>
        <v/>
      </c>
      <c r="P97">
        <f>IF(B97="","",IF(O97="관심 없음","제외",IF(L97="","안 가봄",IF(M97&gt;=설정!$B$20,M97&amp;"일 지남","최근 방문"))))</f>
        <v/>
      </c>
      <c r="Q97" s="7">
        <f>IF(B97="","",IF(P97="제외","",IF(AND(설정!$B$21&lt;&gt;"",I97&lt;&gt;설정!$B$21),"",IF(AND(N97&lt;&gt;"",N97&gt;N(L97),N97&lt;=설정!$B$24+7),100+7-(N97-설정!$B$24),IF(AND(D97&gt;0,OR(P97="안 가봄",RIGHT(P97,2)="지남")),D97*10+IF(L97="",30,MIN(M97,60)/2)+MIN(N(F97)/1000,20),"")))))</f>
        <v/>
      </c>
      <c r="R97">
        <f>IF(Q97="","",COUNTIF(Q$4:Q$303,"&gt;"&amp;Q97)+COUNTIF(Q$4:Q97,Q97))</f>
        <v/>
      </c>
    </row>
    <row r="98">
      <c r="A98">
        <f>IF(B98="","",95)</f>
        <v/>
      </c>
      <c r="B98">
        <f>IFERROR(INDEX('2.현장'!$V$2:$V$1001,MATCH(95,'2.현장'!$W$2:$W$1001,0)),"")</f>
        <v/>
      </c>
      <c r="C98">
        <f>IF(B98="","",COUNTIFS('2.현장'!$V$2:$V$1001,B98,'2.현장'!$T$2:$T$1001,TRUE))</f>
        <v/>
      </c>
      <c r="D98">
        <f>IF(B98="","",COUNTIFS('2.현장'!$V$2:$V$1001,B98,'2.현장'!$U$2:$U$1001,"설계사"))</f>
        <v/>
      </c>
      <c r="E98">
        <f>IF(B98="","",COUNTIFS('2.현장'!$V$2:$V$1001,B98,'2.현장'!$U$2:$U$1001,"시공사"))</f>
        <v/>
      </c>
      <c r="F98" s="5">
        <f>IF(B98="","",_xlfn.MAXIFS('2.현장'!$D$2:$D$1001,'2.현장'!$V$2:$V$1001,B98,'2.현장'!$T$2:$T$1001,TRUE))</f>
        <v/>
      </c>
      <c r="G98" s="6">
        <f>IF(B98="","",IF(_xlfn.MAXIFS('2.현장'!$L$2:$L$1001,'2.현장'!$V$2:$V$1001,B98,'2.현장'!$T$2:$T$1001,TRUE)=0,"",_xlfn.MAXIFS('2.현장'!$L$2:$L$1001,'2.현장'!$V$2:$V$1001,B98,'2.현장'!$T$2:$T$1001,TRUE)))</f>
        <v/>
      </c>
      <c r="H98">
        <f>IF(B98="","",IFERROR(INDEX('2.현장'!$C$2:$C$1001,IFERROR(MATCH(B98&amp;"|설계사",'2.현장'!$Z$2:$Z$1001,0),IFERROR(MATCH(B98&amp;"|시공사",'2.현장'!$Z$2:$Z$1001,0),MATCH(B98&amp;"|늦음",'2.현장'!$Z$2:$Z$1001,0)))),""))</f>
        <v/>
      </c>
      <c r="I98">
        <f>IF(B98="","",IFERROR(INDEX('2.현장'!$N$2:$N$1001,IFERROR(MATCH(B98&amp;"|설계사",'2.현장'!$Z$2:$Z$1001,0),IFERROR(MATCH(B98&amp;"|시공사",'2.현장'!$Z$2:$Z$1001,0),MATCH(B98&amp;"|늦음",'2.현장'!$Z$2:$Z$1001,0)))),""))</f>
        <v/>
      </c>
      <c r="J98">
        <f>IF(B98="","",IFERROR(VLOOKUP(B98,설계사_메모!$A$3:$G$302,2,FALSE)&amp;"",""))</f>
        <v/>
      </c>
      <c r="K98">
        <f>IF(B98="","",IFERROR(VLOOKUP(B98,설계사_메모!$A$3:$G$302,4,FALSE)&amp;"",""))</f>
        <v/>
      </c>
      <c r="L98" s="6">
        <f>IF(B98="","",IF(COUNTIF('4.방문기록'!$B$3:$B$502,B98)=0,"",_xlfn.MAXIFS('4.방문기록'!$A$3:$A$502,'4.방문기록'!$B$3:$B$502,B98)))</f>
        <v/>
      </c>
      <c r="M98">
        <f>IF(L98="","",설정!$B$24-L98)</f>
        <v/>
      </c>
      <c r="N98" s="6">
        <f>IF(B98="","",IF(_xlfn.MAXIFS('4.방문기록'!$F$3:$F$502,'4.방문기록'!$B$3:$B$502,B98)=0,"",_xlfn.MAXIFS('4.방문기록'!$F$3:$F$502,'4.방문기록'!$B$3:$B$502,B98)))</f>
        <v/>
      </c>
      <c r="O98">
        <f>IF(L98="","",IFERROR(INDEX('4.방문기록'!$H$3:$H$502,MATCH(B98&amp;"|"&amp;(L98*1),'4.방문기록'!$I$3:$I$502,0))&amp;"",""))</f>
        <v/>
      </c>
      <c r="P98">
        <f>IF(B98="","",IF(O98="관심 없음","제외",IF(L98="","안 가봄",IF(M98&gt;=설정!$B$20,M98&amp;"일 지남","최근 방문"))))</f>
        <v/>
      </c>
      <c r="Q98" s="7">
        <f>IF(B98="","",IF(P98="제외","",IF(AND(설정!$B$21&lt;&gt;"",I98&lt;&gt;설정!$B$21),"",IF(AND(N98&lt;&gt;"",N98&gt;N(L98),N98&lt;=설정!$B$24+7),100+7-(N98-설정!$B$24),IF(AND(D98&gt;0,OR(P98="안 가봄",RIGHT(P98,2)="지남")),D98*10+IF(L98="",30,MIN(M98,60)/2)+MIN(N(F98)/1000,20),"")))))</f>
        <v/>
      </c>
      <c r="R98">
        <f>IF(Q98="","",COUNTIF(Q$4:Q$303,"&gt;"&amp;Q98)+COUNTIF(Q$4:Q98,Q98))</f>
        <v/>
      </c>
    </row>
    <row r="99">
      <c r="A99">
        <f>IF(B99="","",96)</f>
        <v/>
      </c>
      <c r="B99">
        <f>IFERROR(INDEX('2.현장'!$V$2:$V$1001,MATCH(96,'2.현장'!$W$2:$W$1001,0)),"")</f>
        <v/>
      </c>
      <c r="C99">
        <f>IF(B99="","",COUNTIFS('2.현장'!$V$2:$V$1001,B99,'2.현장'!$T$2:$T$1001,TRUE))</f>
        <v/>
      </c>
      <c r="D99">
        <f>IF(B99="","",COUNTIFS('2.현장'!$V$2:$V$1001,B99,'2.현장'!$U$2:$U$1001,"설계사"))</f>
        <v/>
      </c>
      <c r="E99">
        <f>IF(B99="","",COUNTIFS('2.현장'!$V$2:$V$1001,B99,'2.현장'!$U$2:$U$1001,"시공사"))</f>
        <v/>
      </c>
      <c r="F99" s="5">
        <f>IF(B99="","",_xlfn.MAXIFS('2.현장'!$D$2:$D$1001,'2.현장'!$V$2:$V$1001,B99,'2.현장'!$T$2:$T$1001,TRUE))</f>
        <v/>
      </c>
      <c r="G99" s="6">
        <f>IF(B99="","",IF(_xlfn.MAXIFS('2.현장'!$L$2:$L$1001,'2.현장'!$V$2:$V$1001,B99,'2.현장'!$T$2:$T$1001,TRUE)=0,"",_xlfn.MAXIFS('2.현장'!$L$2:$L$1001,'2.현장'!$V$2:$V$1001,B99,'2.현장'!$T$2:$T$1001,TRUE)))</f>
        <v/>
      </c>
      <c r="H99">
        <f>IF(B99="","",IFERROR(INDEX('2.현장'!$C$2:$C$1001,IFERROR(MATCH(B99&amp;"|설계사",'2.현장'!$Z$2:$Z$1001,0),IFERROR(MATCH(B99&amp;"|시공사",'2.현장'!$Z$2:$Z$1001,0),MATCH(B99&amp;"|늦음",'2.현장'!$Z$2:$Z$1001,0)))),""))</f>
        <v/>
      </c>
      <c r="I99">
        <f>IF(B99="","",IFERROR(INDEX('2.현장'!$N$2:$N$1001,IFERROR(MATCH(B99&amp;"|설계사",'2.현장'!$Z$2:$Z$1001,0),IFERROR(MATCH(B99&amp;"|시공사",'2.현장'!$Z$2:$Z$1001,0),MATCH(B99&amp;"|늦음",'2.현장'!$Z$2:$Z$1001,0)))),""))</f>
        <v/>
      </c>
      <c r="J99">
        <f>IF(B99="","",IFERROR(VLOOKUP(B99,설계사_메모!$A$3:$G$302,2,FALSE)&amp;"",""))</f>
        <v/>
      </c>
      <c r="K99">
        <f>IF(B99="","",IFERROR(VLOOKUP(B99,설계사_메모!$A$3:$G$302,4,FALSE)&amp;"",""))</f>
        <v/>
      </c>
      <c r="L99" s="6">
        <f>IF(B99="","",IF(COUNTIF('4.방문기록'!$B$3:$B$502,B99)=0,"",_xlfn.MAXIFS('4.방문기록'!$A$3:$A$502,'4.방문기록'!$B$3:$B$502,B99)))</f>
        <v/>
      </c>
      <c r="M99">
        <f>IF(L99="","",설정!$B$24-L99)</f>
        <v/>
      </c>
      <c r="N99" s="6">
        <f>IF(B99="","",IF(_xlfn.MAXIFS('4.방문기록'!$F$3:$F$502,'4.방문기록'!$B$3:$B$502,B99)=0,"",_xlfn.MAXIFS('4.방문기록'!$F$3:$F$502,'4.방문기록'!$B$3:$B$502,B99)))</f>
        <v/>
      </c>
      <c r="O99">
        <f>IF(L99="","",IFERROR(INDEX('4.방문기록'!$H$3:$H$502,MATCH(B99&amp;"|"&amp;(L99*1),'4.방문기록'!$I$3:$I$502,0))&amp;"",""))</f>
        <v/>
      </c>
      <c r="P99">
        <f>IF(B99="","",IF(O99="관심 없음","제외",IF(L99="","안 가봄",IF(M99&gt;=설정!$B$20,M99&amp;"일 지남","최근 방문"))))</f>
        <v/>
      </c>
      <c r="Q99" s="7">
        <f>IF(B99="","",IF(P99="제외","",IF(AND(설정!$B$21&lt;&gt;"",I99&lt;&gt;설정!$B$21),"",IF(AND(N99&lt;&gt;"",N99&gt;N(L99),N99&lt;=설정!$B$24+7),100+7-(N99-설정!$B$24),IF(AND(D99&gt;0,OR(P99="안 가봄",RIGHT(P99,2)="지남")),D99*10+IF(L99="",30,MIN(M99,60)/2)+MIN(N(F99)/1000,20),"")))))</f>
        <v/>
      </c>
      <c r="R99">
        <f>IF(Q99="","",COUNTIF(Q$4:Q$303,"&gt;"&amp;Q99)+COUNTIF(Q$4:Q99,Q99))</f>
        <v/>
      </c>
    </row>
    <row r="100">
      <c r="A100">
        <f>IF(B100="","",97)</f>
        <v/>
      </c>
      <c r="B100">
        <f>IFERROR(INDEX('2.현장'!$V$2:$V$1001,MATCH(97,'2.현장'!$W$2:$W$1001,0)),"")</f>
        <v/>
      </c>
      <c r="C100">
        <f>IF(B100="","",COUNTIFS('2.현장'!$V$2:$V$1001,B100,'2.현장'!$T$2:$T$1001,TRUE))</f>
        <v/>
      </c>
      <c r="D100">
        <f>IF(B100="","",COUNTIFS('2.현장'!$V$2:$V$1001,B100,'2.현장'!$U$2:$U$1001,"설계사"))</f>
        <v/>
      </c>
      <c r="E100">
        <f>IF(B100="","",COUNTIFS('2.현장'!$V$2:$V$1001,B100,'2.현장'!$U$2:$U$1001,"시공사"))</f>
        <v/>
      </c>
      <c r="F100" s="5">
        <f>IF(B100="","",_xlfn.MAXIFS('2.현장'!$D$2:$D$1001,'2.현장'!$V$2:$V$1001,B100,'2.현장'!$T$2:$T$1001,TRUE))</f>
        <v/>
      </c>
      <c r="G100" s="6">
        <f>IF(B100="","",IF(_xlfn.MAXIFS('2.현장'!$L$2:$L$1001,'2.현장'!$V$2:$V$1001,B100,'2.현장'!$T$2:$T$1001,TRUE)=0,"",_xlfn.MAXIFS('2.현장'!$L$2:$L$1001,'2.현장'!$V$2:$V$1001,B100,'2.현장'!$T$2:$T$1001,TRUE)))</f>
        <v/>
      </c>
      <c r="H100">
        <f>IF(B100="","",IFERROR(INDEX('2.현장'!$C$2:$C$1001,IFERROR(MATCH(B100&amp;"|설계사",'2.현장'!$Z$2:$Z$1001,0),IFERROR(MATCH(B100&amp;"|시공사",'2.현장'!$Z$2:$Z$1001,0),MATCH(B100&amp;"|늦음",'2.현장'!$Z$2:$Z$1001,0)))),""))</f>
        <v/>
      </c>
      <c r="I100">
        <f>IF(B100="","",IFERROR(INDEX('2.현장'!$N$2:$N$1001,IFERROR(MATCH(B100&amp;"|설계사",'2.현장'!$Z$2:$Z$1001,0),IFERROR(MATCH(B100&amp;"|시공사",'2.현장'!$Z$2:$Z$1001,0),MATCH(B100&amp;"|늦음",'2.현장'!$Z$2:$Z$1001,0)))),""))</f>
        <v/>
      </c>
      <c r="J100">
        <f>IF(B100="","",IFERROR(VLOOKUP(B100,설계사_메모!$A$3:$G$302,2,FALSE)&amp;"",""))</f>
        <v/>
      </c>
      <c r="K100">
        <f>IF(B100="","",IFERROR(VLOOKUP(B100,설계사_메모!$A$3:$G$302,4,FALSE)&amp;"",""))</f>
        <v/>
      </c>
      <c r="L100" s="6">
        <f>IF(B100="","",IF(COUNTIF('4.방문기록'!$B$3:$B$502,B100)=0,"",_xlfn.MAXIFS('4.방문기록'!$A$3:$A$502,'4.방문기록'!$B$3:$B$502,B100)))</f>
        <v/>
      </c>
      <c r="M100">
        <f>IF(L100="","",설정!$B$24-L100)</f>
        <v/>
      </c>
      <c r="N100" s="6">
        <f>IF(B100="","",IF(_xlfn.MAXIFS('4.방문기록'!$F$3:$F$502,'4.방문기록'!$B$3:$B$502,B100)=0,"",_xlfn.MAXIFS('4.방문기록'!$F$3:$F$502,'4.방문기록'!$B$3:$B$502,B100)))</f>
        <v/>
      </c>
      <c r="O100">
        <f>IF(L100="","",IFERROR(INDEX('4.방문기록'!$H$3:$H$502,MATCH(B100&amp;"|"&amp;(L100*1),'4.방문기록'!$I$3:$I$502,0))&amp;"",""))</f>
        <v/>
      </c>
      <c r="P100">
        <f>IF(B100="","",IF(O100="관심 없음","제외",IF(L100="","안 가봄",IF(M100&gt;=설정!$B$20,M100&amp;"일 지남","최근 방문"))))</f>
        <v/>
      </c>
      <c r="Q100" s="7">
        <f>IF(B100="","",IF(P100="제외","",IF(AND(설정!$B$21&lt;&gt;"",I100&lt;&gt;설정!$B$21),"",IF(AND(N100&lt;&gt;"",N100&gt;N(L100),N100&lt;=설정!$B$24+7),100+7-(N100-설정!$B$24),IF(AND(D100&gt;0,OR(P100="안 가봄",RIGHT(P100,2)="지남")),D100*10+IF(L100="",30,MIN(M100,60)/2)+MIN(N(F100)/1000,20),"")))))</f>
        <v/>
      </c>
      <c r="R100">
        <f>IF(Q100="","",COUNTIF(Q$4:Q$303,"&gt;"&amp;Q100)+COUNTIF(Q$4:Q100,Q100))</f>
        <v/>
      </c>
    </row>
    <row r="101">
      <c r="A101">
        <f>IF(B101="","",98)</f>
        <v/>
      </c>
      <c r="B101">
        <f>IFERROR(INDEX('2.현장'!$V$2:$V$1001,MATCH(98,'2.현장'!$W$2:$W$1001,0)),"")</f>
        <v/>
      </c>
      <c r="C101">
        <f>IF(B101="","",COUNTIFS('2.현장'!$V$2:$V$1001,B101,'2.현장'!$T$2:$T$1001,TRUE))</f>
        <v/>
      </c>
      <c r="D101">
        <f>IF(B101="","",COUNTIFS('2.현장'!$V$2:$V$1001,B101,'2.현장'!$U$2:$U$1001,"설계사"))</f>
        <v/>
      </c>
      <c r="E101">
        <f>IF(B101="","",COUNTIFS('2.현장'!$V$2:$V$1001,B101,'2.현장'!$U$2:$U$1001,"시공사"))</f>
        <v/>
      </c>
      <c r="F101" s="5">
        <f>IF(B101="","",_xlfn.MAXIFS('2.현장'!$D$2:$D$1001,'2.현장'!$V$2:$V$1001,B101,'2.현장'!$T$2:$T$1001,TRUE))</f>
        <v/>
      </c>
      <c r="G101" s="6">
        <f>IF(B101="","",IF(_xlfn.MAXIFS('2.현장'!$L$2:$L$1001,'2.현장'!$V$2:$V$1001,B101,'2.현장'!$T$2:$T$1001,TRUE)=0,"",_xlfn.MAXIFS('2.현장'!$L$2:$L$1001,'2.현장'!$V$2:$V$1001,B101,'2.현장'!$T$2:$T$1001,TRUE)))</f>
        <v/>
      </c>
      <c r="H101">
        <f>IF(B101="","",IFERROR(INDEX('2.현장'!$C$2:$C$1001,IFERROR(MATCH(B101&amp;"|설계사",'2.현장'!$Z$2:$Z$1001,0),IFERROR(MATCH(B101&amp;"|시공사",'2.현장'!$Z$2:$Z$1001,0),MATCH(B101&amp;"|늦음",'2.현장'!$Z$2:$Z$1001,0)))),""))</f>
        <v/>
      </c>
      <c r="I101">
        <f>IF(B101="","",IFERROR(INDEX('2.현장'!$N$2:$N$1001,IFERROR(MATCH(B101&amp;"|설계사",'2.현장'!$Z$2:$Z$1001,0),IFERROR(MATCH(B101&amp;"|시공사",'2.현장'!$Z$2:$Z$1001,0),MATCH(B101&amp;"|늦음",'2.현장'!$Z$2:$Z$1001,0)))),""))</f>
        <v/>
      </c>
      <c r="J101">
        <f>IF(B101="","",IFERROR(VLOOKUP(B101,설계사_메모!$A$3:$G$302,2,FALSE)&amp;"",""))</f>
        <v/>
      </c>
      <c r="K101">
        <f>IF(B101="","",IFERROR(VLOOKUP(B101,설계사_메모!$A$3:$G$302,4,FALSE)&amp;"",""))</f>
        <v/>
      </c>
      <c r="L101" s="6">
        <f>IF(B101="","",IF(COUNTIF('4.방문기록'!$B$3:$B$502,B101)=0,"",_xlfn.MAXIFS('4.방문기록'!$A$3:$A$502,'4.방문기록'!$B$3:$B$502,B101)))</f>
        <v/>
      </c>
      <c r="M101">
        <f>IF(L101="","",설정!$B$24-L101)</f>
        <v/>
      </c>
      <c r="N101" s="6">
        <f>IF(B101="","",IF(_xlfn.MAXIFS('4.방문기록'!$F$3:$F$502,'4.방문기록'!$B$3:$B$502,B101)=0,"",_xlfn.MAXIFS('4.방문기록'!$F$3:$F$502,'4.방문기록'!$B$3:$B$502,B101)))</f>
        <v/>
      </c>
      <c r="O101">
        <f>IF(L101="","",IFERROR(INDEX('4.방문기록'!$H$3:$H$502,MATCH(B101&amp;"|"&amp;(L101*1),'4.방문기록'!$I$3:$I$502,0))&amp;"",""))</f>
        <v/>
      </c>
      <c r="P101">
        <f>IF(B101="","",IF(O101="관심 없음","제외",IF(L101="","안 가봄",IF(M101&gt;=설정!$B$20,M101&amp;"일 지남","최근 방문"))))</f>
        <v/>
      </c>
      <c r="Q101" s="7">
        <f>IF(B101="","",IF(P101="제외","",IF(AND(설정!$B$21&lt;&gt;"",I101&lt;&gt;설정!$B$21),"",IF(AND(N101&lt;&gt;"",N101&gt;N(L101),N101&lt;=설정!$B$24+7),100+7-(N101-설정!$B$24),IF(AND(D101&gt;0,OR(P101="안 가봄",RIGHT(P101,2)="지남")),D101*10+IF(L101="",30,MIN(M101,60)/2)+MIN(N(F101)/1000,20),"")))))</f>
        <v/>
      </c>
      <c r="R101">
        <f>IF(Q101="","",COUNTIF(Q$4:Q$303,"&gt;"&amp;Q101)+COUNTIF(Q$4:Q101,Q101))</f>
        <v/>
      </c>
    </row>
    <row r="102">
      <c r="A102">
        <f>IF(B102="","",99)</f>
        <v/>
      </c>
      <c r="B102">
        <f>IFERROR(INDEX('2.현장'!$V$2:$V$1001,MATCH(99,'2.현장'!$W$2:$W$1001,0)),"")</f>
        <v/>
      </c>
      <c r="C102">
        <f>IF(B102="","",COUNTIFS('2.현장'!$V$2:$V$1001,B102,'2.현장'!$T$2:$T$1001,TRUE))</f>
        <v/>
      </c>
      <c r="D102">
        <f>IF(B102="","",COUNTIFS('2.현장'!$V$2:$V$1001,B102,'2.현장'!$U$2:$U$1001,"설계사"))</f>
        <v/>
      </c>
      <c r="E102">
        <f>IF(B102="","",COUNTIFS('2.현장'!$V$2:$V$1001,B102,'2.현장'!$U$2:$U$1001,"시공사"))</f>
        <v/>
      </c>
      <c r="F102" s="5">
        <f>IF(B102="","",_xlfn.MAXIFS('2.현장'!$D$2:$D$1001,'2.현장'!$V$2:$V$1001,B102,'2.현장'!$T$2:$T$1001,TRUE))</f>
        <v/>
      </c>
      <c r="G102" s="6">
        <f>IF(B102="","",IF(_xlfn.MAXIFS('2.현장'!$L$2:$L$1001,'2.현장'!$V$2:$V$1001,B102,'2.현장'!$T$2:$T$1001,TRUE)=0,"",_xlfn.MAXIFS('2.현장'!$L$2:$L$1001,'2.현장'!$V$2:$V$1001,B102,'2.현장'!$T$2:$T$1001,TRUE)))</f>
        <v/>
      </c>
      <c r="H102">
        <f>IF(B102="","",IFERROR(INDEX('2.현장'!$C$2:$C$1001,IFERROR(MATCH(B102&amp;"|설계사",'2.현장'!$Z$2:$Z$1001,0),IFERROR(MATCH(B102&amp;"|시공사",'2.현장'!$Z$2:$Z$1001,0),MATCH(B102&amp;"|늦음",'2.현장'!$Z$2:$Z$1001,0)))),""))</f>
        <v/>
      </c>
      <c r="I102">
        <f>IF(B102="","",IFERROR(INDEX('2.현장'!$N$2:$N$1001,IFERROR(MATCH(B102&amp;"|설계사",'2.현장'!$Z$2:$Z$1001,0),IFERROR(MATCH(B102&amp;"|시공사",'2.현장'!$Z$2:$Z$1001,0),MATCH(B102&amp;"|늦음",'2.현장'!$Z$2:$Z$1001,0)))),""))</f>
        <v/>
      </c>
      <c r="J102">
        <f>IF(B102="","",IFERROR(VLOOKUP(B102,설계사_메모!$A$3:$G$302,2,FALSE)&amp;"",""))</f>
        <v/>
      </c>
      <c r="K102">
        <f>IF(B102="","",IFERROR(VLOOKUP(B102,설계사_메모!$A$3:$G$302,4,FALSE)&amp;"",""))</f>
        <v/>
      </c>
      <c r="L102" s="6">
        <f>IF(B102="","",IF(COUNTIF('4.방문기록'!$B$3:$B$502,B102)=0,"",_xlfn.MAXIFS('4.방문기록'!$A$3:$A$502,'4.방문기록'!$B$3:$B$502,B102)))</f>
        <v/>
      </c>
      <c r="M102">
        <f>IF(L102="","",설정!$B$24-L102)</f>
        <v/>
      </c>
      <c r="N102" s="6">
        <f>IF(B102="","",IF(_xlfn.MAXIFS('4.방문기록'!$F$3:$F$502,'4.방문기록'!$B$3:$B$502,B102)=0,"",_xlfn.MAXIFS('4.방문기록'!$F$3:$F$502,'4.방문기록'!$B$3:$B$502,B102)))</f>
        <v/>
      </c>
      <c r="O102">
        <f>IF(L102="","",IFERROR(INDEX('4.방문기록'!$H$3:$H$502,MATCH(B102&amp;"|"&amp;(L102*1),'4.방문기록'!$I$3:$I$502,0))&amp;"",""))</f>
        <v/>
      </c>
      <c r="P102">
        <f>IF(B102="","",IF(O102="관심 없음","제외",IF(L102="","안 가봄",IF(M102&gt;=설정!$B$20,M102&amp;"일 지남","최근 방문"))))</f>
        <v/>
      </c>
      <c r="Q102" s="7">
        <f>IF(B102="","",IF(P102="제외","",IF(AND(설정!$B$21&lt;&gt;"",I102&lt;&gt;설정!$B$21),"",IF(AND(N102&lt;&gt;"",N102&gt;N(L102),N102&lt;=설정!$B$24+7),100+7-(N102-설정!$B$24),IF(AND(D102&gt;0,OR(P102="안 가봄",RIGHT(P102,2)="지남")),D102*10+IF(L102="",30,MIN(M102,60)/2)+MIN(N(F102)/1000,20),"")))))</f>
        <v/>
      </c>
      <c r="R102">
        <f>IF(Q102="","",COUNTIF(Q$4:Q$303,"&gt;"&amp;Q102)+COUNTIF(Q$4:Q102,Q102))</f>
        <v/>
      </c>
    </row>
    <row r="103">
      <c r="A103">
        <f>IF(B103="","",100)</f>
        <v/>
      </c>
      <c r="B103">
        <f>IFERROR(INDEX('2.현장'!$V$2:$V$1001,MATCH(100,'2.현장'!$W$2:$W$1001,0)),"")</f>
        <v/>
      </c>
      <c r="C103">
        <f>IF(B103="","",COUNTIFS('2.현장'!$V$2:$V$1001,B103,'2.현장'!$T$2:$T$1001,TRUE))</f>
        <v/>
      </c>
      <c r="D103">
        <f>IF(B103="","",COUNTIFS('2.현장'!$V$2:$V$1001,B103,'2.현장'!$U$2:$U$1001,"설계사"))</f>
        <v/>
      </c>
      <c r="E103">
        <f>IF(B103="","",COUNTIFS('2.현장'!$V$2:$V$1001,B103,'2.현장'!$U$2:$U$1001,"시공사"))</f>
        <v/>
      </c>
      <c r="F103" s="5">
        <f>IF(B103="","",_xlfn.MAXIFS('2.현장'!$D$2:$D$1001,'2.현장'!$V$2:$V$1001,B103,'2.현장'!$T$2:$T$1001,TRUE))</f>
        <v/>
      </c>
      <c r="G103" s="6">
        <f>IF(B103="","",IF(_xlfn.MAXIFS('2.현장'!$L$2:$L$1001,'2.현장'!$V$2:$V$1001,B103,'2.현장'!$T$2:$T$1001,TRUE)=0,"",_xlfn.MAXIFS('2.현장'!$L$2:$L$1001,'2.현장'!$V$2:$V$1001,B103,'2.현장'!$T$2:$T$1001,TRUE)))</f>
        <v/>
      </c>
      <c r="H103">
        <f>IF(B103="","",IFERROR(INDEX('2.현장'!$C$2:$C$1001,IFERROR(MATCH(B103&amp;"|설계사",'2.현장'!$Z$2:$Z$1001,0),IFERROR(MATCH(B103&amp;"|시공사",'2.현장'!$Z$2:$Z$1001,0),MATCH(B103&amp;"|늦음",'2.현장'!$Z$2:$Z$1001,0)))),""))</f>
        <v/>
      </c>
      <c r="I103">
        <f>IF(B103="","",IFERROR(INDEX('2.현장'!$N$2:$N$1001,IFERROR(MATCH(B103&amp;"|설계사",'2.현장'!$Z$2:$Z$1001,0),IFERROR(MATCH(B103&amp;"|시공사",'2.현장'!$Z$2:$Z$1001,0),MATCH(B103&amp;"|늦음",'2.현장'!$Z$2:$Z$1001,0)))),""))</f>
        <v/>
      </c>
      <c r="J103">
        <f>IF(B103="","",IFERROR(VLOOKUP(B103,설계사_메모!$A$3:$G$302,2,FALSE)&amp;"",""))</f>
        <v/>
      </c>
      <c r="K103">
        <f>IF(B103="","",IFERROR(VLOOKUP(B103,설계사_메모!$A$3:$G$302,4,FALSE)&amp;"",""))</f>
        <v/>
      </c>
      <c r="L103" s="6">
        <f>IF(B103="","",IF(COUNTIF('4.방문기록'!$B$3:$B$502,B103)=0,"",_xlfn.MAXIFS('4.방문기록'!$A$3:$A$502,'4.방문기록'!$B$3:$B$502,B103)))</f>
        <v/>
      </c>
      <c r="M103">
        <f>IF(L103="","",설정!$B$24-L103)</f>
        <v/>
      </c>
      <c r="N103" s="6">
        <f>IF(B103="","",IF(_xlfn.MAXIFS('4.방문기록'!$F$3:$F$502,'4.방문기록'!$B$3:$B$502,B103)=0,"",_xlfn.MAXIFS('4.방문기록'!$F$3:$F$502,'4.방문기록'!$B$3:$B$502,B103)))</f>
        <v/>
      </c>
      <c r="O103">
        <f>IF(L103="","",IFERROR(INDEX('4.방문기록'!$H$3:$H$502,MATCH(B103&amp;"|"&amp;(L103*1),'4.방문기록'!$I$3:$I$502,0))&amp;"",""))</f>
        <v/>
      </c>
      <c r="P103">
        <f>IF(B103="","",IF(O103="관심 없음","제외",IF(L103="","안 가봄",IF(M103&gt;=설정!$B$20,M103&amp;"일 지남","최근 방문"))))</f>
        <v/>
      </c>
      <c r="Q103" s="7">
        <f>IF(B103="","",IF(P103="제외","",IF(AND(설정!$B$21&lt;&gt;"",I103&lt;&gt;설정!$B$21),"",IF(AND(N103&lt;&gt;"",N103&gt;N(L103),N103&lt;=설정!$B$24+7),100+7-(N103-설정!$B$24),IF(AND(D103&gt;0,OR(P103="안 가봄",RIGHT(P103,2)="지남")),D103*10+IF(L103="",30,MIN(M103,60)/2)+MIN(N(F103)/1000,20),"")))))</f>
        <v/>
      </c>
      <c r="R103">
        <f>IF(Q103="","",COUNTIF(Q$4:Q$303,"&gt;"&amp;Q103)+COUNTIF(Q$4:Q103,Q103))</f>
        <v/>
      </c>
    </row>
    <row r="104">
      <c r="A104">
        <f>IF(B104="","",101)</f>
        <v/>
      </c>
      <c r="B104">
        <f>IFERROR(INDEX('2.현장'!$V$2:$V$1001,MATCH(101,'2.현장'!$W$2:$W$1001,0)),"")</f>
        <v/>
      </c>
      <c r="C104">
        <f>IF(B104="","",COUNTIFS('2.현장'!$V$2:$V$1001,B104,'2.현장'!$T$2:$T$1001,TRUE))</f>
        <v/>
      </c>
      <c r="D104">
        <f>IF(B104="","",COUNTIFS('2.현장'!$V$2:$V$1001,B104,'2.현장'!$U$2:$U$1001,"설계사"))</f>
        <v/>
      </c>
      <c r="E104">
        <f>IF(B104="","",COUNTIFS('2.현장'!$V$2:$V$1001,B104,'2.현장'!$U$2:$U$1001,"시공사"))</f>
        <v/>
      </c>
      <c r="F104" s="5">
        <f>IF(B104="","",_xlfn.MAXIFS('2.현장'!$D$2:$D$1001,'2.현장'!$V$2:$V$1001,B104,'2.현장'!$T$2:$T$1001,TRUE))</f>
        <v/>
      </c>
      <c r="G104" s="6">
        <f>IF(B104="","",IF(_xlfn.MAXIFS('2.현장'!$L$2:$L$1001,'2.현장'!$V$2:$V$1001,B104,'2.현장'!$T$2:$T$1001,TRUE)=0,"",_xlfn.MAXIFS('2.현장'!$L$2:$L$1001,'2.현장'!$V$2:$V$1001,B104,'2.현장'!$T$2:$T$1001,TRUE)))</f>
        <v/>
      </c>
      <c r="H104">
        <f>IF(B104="","",IFERROR(INDEX('2.현장'!$C$2:$C$1001,IFERROR(MATCH(B104&amp;"|설계사",'2.현장'!$Z$2:$Z$1001,0),IFERROR(MATCH(B104&amp;"|시공사",'2.현장'!$Z$2:$Z$1001,0),MATCH(B104&amp;"|늦음",'2.현장'!$Z$2:$Z$1001,0)))),""))</f>
        <v/>
      </c>
      <c r="I104">
        <f>IF(B104="","",IFERROR(INDEX('2.현장'!$N$2:$N$1001,IFERROR(MATCH(B104&amp;"|설계사",'2.현장'!$Z$2:$Z$1001,0),IFERROR(MATCH(B104&amp;"|시공사",'2.현장'!$Z$2:$Z$1001,0),MATCH(B104&amp;"|늦음",'2.현장'!$Z$2:$Z$1001,0)))),""))</f>
        <v/>
      </c>
      <c r="J104">
        <f>IF(B104="","",IFERROR(VLOOKUP(B104,설계사_메모!$A$3:$G$302,2,FALSE)&amp;"",""))</f>
        <v/>
      </c>
      <c r="K104">
        <f>IF(B104="","",IFERROR(VLOOKUP(B104,설계사_메모!$A$3:$G$302,4,FALSE)&amp;"",""))</f>
        <v/>
      </c>
      <c r="L104" s="6">
        <f>IF(B104="","",IF(COUNTIF('4.방문기록'!$B$3:$B$502,B104)=0,"",_xlfn.MAXIFS('4.방문기록'!$A$3:$A$502,'4.방문기록'!$B$3:$B$502,B104)))</f>
        <v/>
      </c>
      <c r="M104">
        <f>IF(L104="","",설정!$B$24-L104)</f>
        <v/>
      </c>
      <c r="N104" s="6">
        <f>IF(B104="","",IF(_xlfn.MAXIFS('4.방문기록'!$F$3:$F$502,'4.방문기록'!$B$3:$B$502,B104)=0,"",_xlfn.MAXIFS('4.방문기록'!$F$3:$F$502,'4.방문기록'!$B$3:$B$502,B104)))</f>
        <v/>
      </c>
      <c r="O104">
        <f>IF(L104="","",IFERROR(INDEX('4.방문기록'!$H$3:$H$502,MATCH(B104&amp;"|"&amp;(L104*1),'4.방문기록'!$I$3:$I$502,0))&amp;"",""))</f>
        <v/>
      </c>
      <c r="P104">
        <f>IF(B104="","",IF(O104="관심 없음","제외",IF(L104="","안 가봄",IF(M104&gt;=설정!$B$20,M104&amp;"일 지남","최근 방문"))))</f>
        <v/>
      </c>
      <c r="Q104" s="7">
        <f>IF(B104="","",IF(P104="제외","",IF(AND(설정!$B$21&lt;&gt;"",I104&lt;&gt;설정!$B$21),"",IF(AND(N104&lt;&gt;"",N104&gt;N(L104),N104&lt;=설정!$B$24+7),100+7-(N104-설정!$B$24),IF(AND(D104&gt;0,OR(P104="안 가봄",RIGHT(P104,2)="지남")),D104*10+IF(L104="",30,MIN(M104,60)/2)+MIN(N(F104)/1000,20),"")))))</f>
        <v/>
      </c>
      <c r="R104">
        <f>IF(Q104="","",COUNTIF(Q$4:Q$303,"&gt;"&amp;Q104)+COUNTIF(Q$4:Q104,Q104))</f>
        <v/>
      </c>
    </row>
    <row r="105">
      <c r="A105">
        <f>IF(B105="","",102)</f>
        <v/>
      </c>
      <c r="B105">
        <f>IFERROR(INDEX('2.현장'!$V$2:$V$1001,MATCH(102,'2.현장'!$W$2:$W$1001,0)),"")</f>
        <v/>
      </c>
      <c r="C105">
        <f>IF(B105="","",COUNTIFS('2.현장'!$V$2:$V$1001,B105,'2.현장'!$T$2:$T$1001,TRUE))</f>
        <v/>
      </c>
      <c r="D105">
        <f>IF(B105="","",COUNTIFS('2.현장'!$V$2:$V$1001,B105,'2.현장'!$U$2:$U$1001,"설계사"))</f>
        <v/>
      </c>
      <c r="E105">
        <f>IF(B105="","",COUNTIFS('2.현장'!$V$2:$V$1001,B105,'2.현장'!$U$2:$U$1001,"시공사"))</f>
        <v/>
      </c>
      <c r="F105" s="5">
        <f>IF(B105="","",_xlfn.MAXIFS('2.현장'!$D$2:$D$1001,'2.현장'!$V$2:$V$1001,B105,'2.현장'!$T$2:$T$1001,TRUE))</f>
        <v/>
      </c>
      <c r="G105" s="6">
        <f>IF(B105="","",IF(_xlfn.MAXIFS('2.현장'!$L$2:$L$1001,'2.현장'!$V$2:$V$1001,B105,'2.현장'!$T$2:$T$1001,TRUE)=0,"",_xlfn.MAXIFS('2.현장'!$L$2:$L$1001,'2.현장'!$V$2:$V$1001,B105,'2.현장'!$T$2:$T$1001,TRUE)))</f>
        <v/>
      </c>
      <c r="H105">
        <f>IF(B105="","",IFERROR(INDEX('2.현장'!$C$2:$C$1001,IFERROR(MATCH(B105&amp;"|설계사",'2.현장'!$Z$2:$Z$1001,0),IFERROR(MATCH(B105&amp;"|시공사",'2.현장'!$Z$2:$Z$1001,0),MATCH(B105&amp;"|늦음",'2.현장'!$Z$2:$Z$1001,0)))),""))</f>
        <v/>
      </c>
      <c r="I105">
        <f>IF(B105="","",IFERROR(INDEX('2.현장'!$N$2:$N$1001,IFERROR(MATCH(B105&amp;"|설계사",'2.현장'!$Z$2:$Z$1001,0),IFERROR(MATCH(B105&amp;"|시공사",'2.현장'!$Z$2:$Z$1001,0),MATCH(B105&amp;"|늦음",'2.현장'!$Z$2:$Z$1001,0)))),""))</f>
        <v/>
      </c>
      <c r="J105">
        <f>IF(B105="","",IFERROR(VLOOKUP(B105,설계사_메모!$A$3:$G$302,2,FALSE)&amp;"",""))</f>
        <v/>
      </c>
      <c r="K105">
        <f>IF(B105="","",IFERROR(VLOOKUP(B105,설계사_메모!$A$3:$G$302,4,FALSE)&amp;"",""))</f>
        <v/>
      </c>
      <c r="L105" s="6">
        <f>IF(B105="","",IF(COUNTIF('4.방문기록'!$B$3:$B$502,B105)=0,"",_xlfn.MAXIFS('4.방문기록'!$A$3:$A$502,'4.방문기록'!$B$3:$B$502,B105)))</f>
        <v/>
      </c>
      <c r="M105">
        <f>IF(L105="","",설정!$B$24-L105)</f>
        <v/>
      </c>
      <c r="N105" s="6">
        <f>IF(B105="","",IF(_xlfn.MAXIFS('4.방문기록'!$F$3:$F$502,'4.방문기록'!$B$3:$B$502,B105)=0,"",_xlfn.MAXIFS('4.방문기록'!$F$3:$F$502,'4.방문기록'!$B$3:$B$502,B105)))</f>
        <v/>
      </c>
      <c r="O105">
        <f>IF(L105="","",IFERROR(INDEX('4.방문기록'!$H$3:$H$502,MATCH(B105&amp;"|"&amp;(L105*1),'4.방문기록'!$I$3:$I$502,0))&amp;"",""))</f>
        <v/>
      </c>
      <c r="P105">
        <f>IF(B105="","",IF(O105="관심 없음","제외",IF(L105="","안 가봄",IF(M105&gt;=설정!$B$20,M105&amp;"일 지남","최근 방문"))))</f>
        <v/>
      </c>
      <c r="Q105" s="7">
        <f>IF(B105="","",IF(P105="제외","",IF(AND(설정!$B$21&lt;&gt;"",I105&lt;&gt;설정!$B$21),"",IF(AND(N105&lt;&gt;"",N105&gt;N(L105),N105&lt;=설정!$B$24+7),100+7-(N105-설정!$B$24),IF(AND(D105&gt;0,OR(P105="안 가봄",RIGHT(P105,2)="지남")),D105*10+IF(L105="",30,MIN(M105,60)/2)+MIN(N(F105)/1000,20),"")))))</f>
        <v/>
      </c>
      <c r="R105">
        <f>IF(Q105="","",COUNTIF(Q$4:Q$303,"&gt;"&amp;Q105)+COUNTIF(Q$4:Q105,Q105))</f>
        <v/>
      </c>
    </row>
    <row r="106">
      <c r="A106">
        <f>IF(B106="","",103)</f>
        <v/>
      </c>
      <c r="B106">
        <f>IFERROR(INDEX('2.현장'!$V$2:$V$1001,MATCH(103,'2.현장'!$W$2:$W$1001,0)),"")</f>
        <v/>
      </c>
      <c r="C106">
        <f>IF(B106="","",COUNTIFS('2.현장'!$V$2:$V$1001,B106,'2.현장'!$T$2:$T$1001,TRUE))</f>
        <v/>
      </c>
      <c r="D106">
        <f>IF(B106="","",COUNTIFS('2.현장'!$V$2:$V$1001,B106,'2.현장'!$U$2:$U$1001,"설계사"))</f>
        <v/>
      </c>
      <c r="E106">
        <f>IF(B106="","",COUNTIFS('2.현장'!$V$2:$V$1001,B106,'2.현장'!$U$2:$U$1001,"시공사"))</f>
        <v/>
      </c>
      <c r="F106" s="5">
        <f>IF(B106="","",_xlfn.MAXIFS('2.현장'!$D$2:$D$1001,'2.현장'!$V$2:$V$1001,B106,'2.현장'!$T$2:$T$1001,TRUE))</f>
        <v/>
      </c>
      <c r="G106" s="6">
        <f>IF(B106="","",IF(_xlfn.MAXIFS('2.현장'!$L$2:$L$1001,'2.현장'!$V$2:$V$1001,B106,'2.현장'!$T$2:$T$1001,TRUE)=0,"",_xlfn.MAXIFS('2.현장'!$L$2:$L$1001,'2.현장'!$V$2:$V$1001,B106,'2.현장'!$T$2:$T$1001,TRUE)))</f>
        <v/>
      </c>
      <c r="H106">
        <f>IF(B106="","",IFERROR(INDEX('2.현장'!$C$2:$C$1001,IFERROR(MATCH(B106&amp;"|설계사",'2.현장'!$Z$2:$Z$1001,0),IFERROR(MATCH(B106&amp;"|시공사",'2.현장'!$Z$2:$Z$1001,0),MATCH(B106&amp;"|늦음",'2.현장'!$Z$2:$Z$1001,0)))),""))</f>
        <v/>
      </c>
      <c r="I106">
        <f>IF(B106="","",IFERROR(INDEX('2.현장'!$N$2:$N$1001,IFERROR(MATCH(B106&amp;"|설계사",'2.현장'!$Z$2:$Z$1001,0),IFERROR(MATCH(B106&amp;"|시공사",'2.현장'!$Z$2:$Z$1001,0),MATCH(B106&amp;"|늦음",'2.현장'!$Z$2:$Z$1001,0)))),""))</f>
        <v/>
      </c>
      <c r="J106">
        <f>IF(B106="","",IFERROR(VLOOKUP(B106,설계사_메모!$A$3:$G$302,2,FALSE)&amp;"",""))</f>
        <v/>
      </c>
      <c r="K106">
        <f>IF(B106="","",IFERROR(VLOOKUP(B106,설계사_메모!$A$3:$G$302,4,FALSE)&amp;"",""))</f>
        <v/>
      </c>
      <c r="L106" s="6">
        <f>IF(B106="","",IF(COUNTIF('4.방문기록'!$B$3:$B$502,B106)=0,"",_xlfn.MAXIFS('4.방문기록'!$A$3:$A$502,'4.방문기록'!$B$3:$B$502,B106)))</f>
        <v/>
      </c>
      <c r="M106">
        <f>IF(L106="","",설정!$B$24-L106)</f>
        <v/>
      </c>
      <c r="N106" s="6">
        <f>IF(B106="","",IF(_xlfn.MAXIFS('4.방문기록'!$F$3:$F$502,'4.방문기록'!$B$3:$B$502,B106)=0,"",_xlfn.MAXIFS('4.방문기록'!$F$3:$F$502,'4.방문기록'!$B$3:$B$502,B106)))</f>
        <v/>
      </c>
      <c r="O106">
        <f>IF(L106="","",IFERROR(INDEX('4.방문기록'!$H$3:$H$502,MATCH(B106&amp;"|"&amp;(L106*1),'4.방문기록'!$I$3:$I$502,0))&amp;"",""))</f>
        <v/>
      </c>
      <c r="P106">
        <f>IF(B106="","",IF(O106="관심 없음","제외",IF(L106="","안 가봄",IF(M106&gt;=설정!$B$20,M106&amp;"일 지남","최근 방문"))))</f>
        <v/>
      </c>
      <c r="Q106" s="7">
        <f>IF(B106="","",IF(P106="제외","",IF(AND(설정!$B$21&lt;&gt;"",I106&lt;&gt;설정!$B$21),"",IF(AND(N106&lt;&gt;"",N106&gt;N(L106),N106&lt;=설정!$B$24+7),100+7-(N106-설정!$B$24),IF(AND(D106&gt;0,OR(P106="안 가봄",RIGHT(P106,2)="지남")),D106*10+IF(L106="",30,MIN(M106,60)/2)+MIN(N(F106)/1000,20),"")))))</f>
        <v/>
      </c>
      <c r="R106">
        <f>IF(Q106="","",COUNTIF(Q$4:Q$303,"&gt;"&amp;Q106)+COUNTIF(Q$4:Q106,Q106))</f>
        <v/>
      </c>
    </row>
    <row r="107">
      <c r="A107">
        <f>IF(B107="","",104)</f>
        <v/>
      </c>
      <c r="B107">
        <f>IFERROR(INDEX('2.현장'!$V$2:$V$1001,MATCH(104,'2.현장'!$W$2:$W$1001,0)),"")</f>
        <v/>
      </c>
      <c r="C107">
        <f>IF(B107="","",COUNTIFS('2.현장'!$V$2:$V$1001,B107,'2.현장'!$T$2:$T$1001,TRUE))</f>
        <v/>
      </c>
      <c r="D107">
        <f>IF(B107="","",COUNTIFS('2.현장'!$V$2:$V$1001,B107,'2.현장'!$U$2:$U$1001,"설계사"))</f>
        <v/>
      </c>
      <c r="E107">
        <f>IF(B107="","",COUNTIFS('2.현장'!$V$2:$V$1001,B107,'2.현장'!$U$2:$U$1001,"시공사"))</f>
        <v/>
      </c>
      <c r="F107" s="5">
        <f>IF(B107="","",_xlfn.MAXIFS('2.현장'!$D$2:$D$1001,'2.현장'!$V$2:$V$1001,B107,'2.현장'!$T$2:$T$1001,TRUE))</f>
        <v/>
      </c>
      <c r="G107" s="6">
        <f>IF(B107="","",IF(_xlfn.MAXIFS('2.현장'!$L$2:$L$1001,'2.현장'!$V$2:$V$1001,B107,'2.현장'!$T$2:$T$1001,TRUE)=0,"",_xlfn.MAXIFS('2.현장'!$L$2:$L$1001,'2.현장'!$V$2:$V$1001,B107,'2.현장'!$T$2:$T$1001,TRUE)))</f>
        <v/>
      </c>
      <c r="H107">
        <f>IF(B107="","",IFERROR(INDEX('2.현장'!$C$2:$C$1001,IFERROR(MATCH(B107&amp;"|설계사",'2.현장'!$Z$2:$Z$1001,0),IFERROR(MATCH(B107&amp;"|시공사",'2.현장'!$Z$2:$Z$1001,0),MATCH(B107&amp;"|늦음",'2.현장'!$Z$2:$Z$1001,0)))),""))</f>
        <v/>
      </c>
      <c r="I107">
        <f>IF(B107="","",IFERROR(INDEX('2.현장'!$N$2:$N$1001,IFERROR(MATCH(B107&amp;"|설계사",'2.현장'!$Z$2:$Z$1001,0),IFERROR(MATCH(B107&amp;"|시공사",'2.현장'!$Z$2:$Z$1001,0),MATCH(B107&amp;"|늦음",'2.현장'!$Z$2:$Z$1001,0)))),""))</f>
        <v/>
      </c>
      <c r="J107">
        <f>IF(B107="","",IFERROR(VLOOKUP(B107,설계사_메모!$A$3:$G$302,2,FALSE)&amp;"",""))</f>
        <v/>
      </c>
      <c r="K107">
        <f>IF(B107="","",IFERROR(VLOOKUP(B107,설계사_메모!$A$3:$G$302,4,FALSE)&amp;"",""))</f>
        <v/>
      </c>
      <c r="L107" s="6">
        <f>IF(B107="","",IF(COUNTIF('4.방문기록'!$B$3:$B$502,B107)=0,"",_xlfn.MAXIFS('4.방문기록'!$A$3:$A$502,'4.방문기록'!$B$3:$B$502,B107)))</f>
        <v/>
      </c>
      <c r="M107">
        <f>IF(L107="","",설정!$B$24-L107)</f>
        <v/>
      </c>
      <c r="N107" s="6">
        <f>IF(B107="","",IF(_xlfn.MAXIFS('4.방문기록'!$F$3:$F$502,'4.방문기록'!$B$3:$B$502,B107)=0,"",_xlfn.MAXIFS('4.방문기록'!$F$3:$F$502,'4.방문기록'!$B$3:$B$502,B107)))</f>
        <v/>
      </c>
      <c r="O107">
        <f>IF(L107="","",IFERROR(INDEX('4.방문기록'!$H$3:$H$502,MATCH(B107&amp;"|"&amp;(L107*1),'4.방문기록'!$I$3:$I$502,0))&amp;"",""))</f>
        <v/>
      </c>
      <c r="P107">
        <f>IF(B107="","",IF(O107="관심 없음","제외",IF(L107="","안 가봄",IF(M107&gt;=설정!$B$20,M107&amp;"일 지남","최근 방문"))))</f>
        <v/>
      </c>
      <c r="Q107" s="7">
        <f>IF(B107="","",IF(P107="제외","",IF(AND(설정!$B$21&lt;&gt;"",I107&lt;&gt;설정!$B$21),"",IF(AND(N107&lt;&gt;"",N107&gt;N(L107),N107&lt;=설정!$B$24+7),100+7-(N107-설정!$B$24),IF(AND(D107&gt;0,OR(P107="안 가봄",RIGHT(P107,2)="지남")),D107*10+IF(L107="",30,MIN(M107,60)/2)+MIN(N(F107)/1000,20),"")))))</f>
        <v/>
      </c>
      <c r="R107">
        <f>IF(Q107="","",COUNTIF(Q$4:Q$303,"&gt;"&amp;Q107)+COUNTIF(Q$4:Q107,Q107))</f>
        <v/>
      </c>
    </row>
    <row r="108">
      <c r="A108">
        <f>IF(B108="","",105)</f>
        <v/>
      </c>
      <c r="B108">
        <f>IFERROR(INDEX('2.현장'!$V$2:$V$1001,MATCH(105,'2.현장'!$W$2:$W$1001,0)),"")</f>
        <v/>
      </c>
      <c r="C108">
        <f>IF(B108="","",COUNTIFS('2.현장'!$V$2:$V$1001,B108,'2.현장'!$T$2:$T$1001,TRUE))</f>
        <v/>
      </c>
      <c r="D108">
        <f>IF(B108="","",COUNTIFS('2.현장'!$V$2:$V$1001,B108,'2.현장'!$U$2:$U$1001,"설계사"))</f>
        <v/>
      </c>
      <c r="E108">
        <f>IF(B108="","",COUNTIFS('2.현장'!$V$2:$V$1001,B108,'2.현장'!$U$2:$U$1001,"시공사"))</f>
        <v/>
      </c>
      <c r="F108" s="5">
        <f>IF(B108="","",_xlfn.MAXIFS('2.현장'!$D$2:$D$1001,'2.현장'!$V$2:$V$1001,B108,'2.현장'!$T$2:$T$1001,TRUE))</f>
        <v/>
      </c>
      <c r="G108" s="6">
        <f>IF(B108="","",IF(_xlfn.MAXIFS('2.현장'!$L$2:$L$1001,'2.현장'!$V$2:$V$1001,B108,'2.현장'!$T$2:$T$1001,TRUE)=0,"",_xlfn.MAXIFS('2.현장'!$L$2:$L$1001,'2.현장'!$V$2:$V$1001,B108,'2.현장'!$T$2:$T$1001,TRUE)))</f>
        <v/>
      </c>
      <c r="H108">
        <f>IF(B108="","",IFERROR(INDEX('2.현장'!$C$2:$C$1001,IFERROR(MATCH(B108&amp;"|설계사",'2.현장'!$Z$2:$Z$1001,0),IFERROR(MATCH(B108&amp;"|시공사",'2.현장'!$Z$2:$Z$1001,0),MATCH(B108&amp;"|늦음",'2.현장'!$Z$2:$Z$1001,0)))),""))</f>
        <v/>
      </c>
      <c r="I108">
        <f>IF(B108="","",IFERROR(INDEX('2.현장'!$N$2:$N$1001,IFERROR(MATCH(B108&amp;"|설계사",'2.현장'!$Z$2:$Z$1001,0),IFERROR(MATCH(B108&amp;"|시공사",'2.현장'!$Z$2:$Z$1001,0),MATCH(B108&amp;"|늦음",'2.현장'!$Z$2:$Z$1001,0)))),""))</f>
        <v/>
      </c>
      <c r="J108">
        <f>IF(B108="","",IFERROR(VLOOKUP(B108,설계사_메모!$A$3:$G$302,2,FALSE)&amp;"",""))</f>
        <v/>
      </c>
      <c r="K108">
        <f>IF(B108="","",IFERROR(VLOOKUP(B108,설계사_메모!$A$3:$G$302,4,FALSE)&amp;"",""))</f>
        <v/>
      </c>
      <c r="L108" s="6">
        <f>IF(B108="","",IF(COUNTIF('4.방문기록'!$B$3:$B$502,B108)=0,"",_xlfn.MAXIFS('4.방문기록'!$A$3:$A$502,'4.방문기록'!$B$3:$B$502,B108)))</f>
        <v/>
      </c>
      <c r="M108">
        <f>IF(L108="","",설정!$B$24-L108)</f>
        <v/>
      </c>
      <c r="N108" s="6">
        <f>IF(B108="","",IF(_xlfn.MAXIFS('4.방문기록'!$F$3:$F$502,'4.방문기록'!$B$3:$B$502,B108)=0,"",_xlfn.MAXIFS('4.방문기록'!$F$3:$F$502,'4.방문기록'!$B$3:$B$502,B108)))</f>
        <v/>
      </c>
      <c r="O108">
        <f>IF(L108="","",IFERROR(INDEX('4.방문기록'!$H$3:$H$502,MATCH(B108&amp;"|"&amp;(L108*1),'4.방문기록'!$I$3:$I$502,0))&amp;"",""))</f>
        <v/>
      </c>
      <c r="P108">
        <f>IF(B108="","",IF(O108="관심 없음","제외",IF(L108="","안 가봄",IF(M108&gt;=설정!$B$20,M108&amp;"일 지남","최근 방문"))))</f>
        <v/>
      </c>
      <c r="Q108" s="7">
        <f>IF(B108="","",IF(P108="제외","",IF(AND(설정!$B$21&lt;&gt;"",I108&lt;&gt;설정!$B$21),"",IF(AND(N108&lt;&gt;"",N108&gt;N(L108),N108&lt;=설정!$B$24+7),100+7-(N108-설정!$B$24),IF(AND(D108&gt;0,OR(P108="안 가봄",RIGHT(P108,2)="지남")),D108*10+IF(L108="",30,MIN(M108,60)/2)+MIN(N(F108)/1000,20),"")))))</f>
        <v/>
      </c>
      <c r="R108">
        <f>IF(Q108="","",COUNTIF(Q$4:Q$303,"&gt;"&amp;Q108)+COUNTIF(Q$4:Q108,Q108))</f>
        <v/>
      </c>
    </row>
    <row r="109">
      <c r="A109">
        <f>IF(B109="","",106)</f>
        <v/>
      </c>
      <c r="B109">
        <f>IFERROR(INDEX('2.현장'!$V$2:$V$1001,MATCH(106,'2.현장'!$W$2:$W$1001,0)),"")</f>
        <v/>
      </c>
      <c r="C109">
        <f>IF(B109="","",COUNTIFS('2.현장'!$V$2:$V$1001,B109,'2.현장'!$T$2:$T$1001,TRUE))</f>
        <v/>
      </c>
      <c r="D109">
        <f>IF(B109="","",COUNTIFS('2.현장'!$V$2:$V$1001,B109,'2.현장'!$U$2:$U$1001,"설계사"))</f>
        <v/>
      </c>
      <c r="E109">
        <f>IF(B109="","",COUNTIFS('2.현장'!$V$2:$V$1001,B109,'2.현장'!$U$2:$U$1001,"시공사"))</f>
        <v/>
      </c>
      <c r="F109" s="5">
        <f>IF(B109="","",_xlfn.MAXIFS('2.현장'!$D$2:$D$1001,'2.현장'!$V$2:$V$1001,B109,'2.현장'!$T$2:$T$1001,TRUE))</f>
        <v/>
      </c>
      <c r="G109" s="6">
        <f>IF(B109="","",IF(_xlfn.MAXIFS('2.현장'!$L$2:$L$1001,'2.현장'!$V$2:$V$1001,B109,'2.현장'!$T$2:$T$1001,TRUE)=0,"",_xlfn.MAXIFS('2.현장'!$L$2:$L$1001,'2.현장'!$V$2:$V$1001,B109,'2.현장'!$T$2:$T$1001,TRUE)))</f>
        <v/>
      </c>
      <c r="H109">
        <f>IF(B109="","",IFERROR(INDEX('2.현장'!$C$2:$C$1001,IFERROR(MATCH(B109&amp;"|설계사",'2.현장'!$Z$2:$Z$1001,0),IFERROR(MATCH(B109&amp;"|시공사",'2.현장'!$Z$2:$Z$1001,0),MATCH(B109&amp;"|늦음",'2.현장'!$Z$2:$Z$1001,0)))),""))</f>
        <v/>
      </c>
      <c r="I109">
        <f>IF(B109="","",IFERROR(INDEX('2.현장'!$N$2:$N$1001,IFERROR(MATCH(B109&amp;"|설계사",'2.현장'!$Z$2:$Z$1001,0),IFERROR(MATCH(B109&amp;"|시공사",'2.현장'!$Z$2:$Z$1001,0),MATCH(B109&amp;"|늦음",'2.현장'!$Z$2:$Z$1001,0)))),""))</f>
        <v/>
      </c>
      <c r="J109">
        <f>IF(B109="","",IFERROR(VLOOKUP(B109,설계사_메모!$A$3:$G$302,2,FALSE)&amp;"",""))</f>
        <v/>
      </c>
      <c r="K109">
        <f>IF(B109="","",IFERROR(VLOOKUP(B109,설계사_메모!$A$3:$G$302,4,FALSE)&amp;"",""))</f>
        <v/>
      </c>
      <c r="L109" s="6">
        <f>IF(B109="","",IF(COUNTIF('4.방문기록'!$B$3:$B$502,B109)=0,"",_xlfn.MAXIFS('4.방문기록'!$A$3:$A$502,'4.방문기록'!$B$3:$B$502,B109)))</f>
        <v/>
      </c>
      <c r="M109">
        <f>IF(L109="","",설정!$B$24-L109)</f>
        <v/>
      </c>
      <c r="N109" s="6">
        <f>IF(B109="","",IF(_xlfn.MAXIFS('4.방문기록'!$F$3:$F$502,'4.방문기록'!$B$3:$B$502,B109)=0,"",_xlfn.MAXIFS('4.방문기록'!$F$3:$F$502,'4.방문기록'!$B$3:$B$502,B109)))</f>
        <v/>
      </c>
      <c r="O109">
        <f>IF(L109="","",IFERROR(INDEX('4.방문기록'!$H$3:$H$502,MATCH(B109&amp;"|"&amp;(L109*1),'4.방문기록'!$I$3:$I$502,0))&amp;"",""))</f>
        <v/>
      </c>
      <c r="P109">
        <f>IF(B109="","",IF(O109="관심 없음","제외",IF(L109="","안 가봄",IF(M109&gt;=설정!$B$20,M109&amp;"일 지남","최근 방문"))))</f>
        <v/>
      </c>
      <c r="Q109" s="7">
        <f>IF(B109="","",IF(P109="제외","",IF(AND(설정!$B$21&lt;&gt;"",I109&lt;&gt;설정!$B$21),"",IF(AND(N109&lt;&gt;"",N109&gt;N(L109),N109&lt;=설정!$B$24+7),100+7-(N109-설정!$B$24),IF(AND(D109&gt;0,OR(P109="안 가봄",RIGHT(P109,2)="지남")),D109*10+IF(L109="",30,MIN(M109,60)/2)+MIN(N(F109)/1000,20),"")))))</f>
        <v/>
      </c>
      <c r="R109">
        <f>IF(Q109="","",COUNTIF(Q$4:Q$303,"&gt;"&amp;Q109)+COUNTIF(Q$4:Q109,Q109))</f>
        <v/>
      </c>
    </row>
    <row r="110">
      <c r="A110">
        <f>IF(B110="","",107)</f>
        <v/>
      </c>
      <c r="B110">
        <f>IFERROR(INDEX('2.현장'!$V$2:$V$1001,MATCH(107,'2.현장'!$W$2:$W$1001,0)),"")</f>
        <v/>
      </c>
      <c r="C110">
        <f>IF(B110="","",COUNTIFS('2.현장'!$V$2:$V$1001,B110,'2.현장'!$T$2:$T$1001,TRUE))</f>
        <v/>
      </c>
      <c r="D110">
        <f>IF(B110="","",COUNTIFS('2.현장'!$V$2:$V$1001,B110,'2.현장'!$U$2:$U$1001,"설계사"))</f>
        <v/>
      </c>
      <c r="E110">
        <f>IF(B110="","",COUNTIFS('2.현장'!$V$2:$V$1001,B110,'2.현장'!$U$2:$U$1001,"시공사"))</f>
        <v/>
      </c>
      <c r="F110" s="5">
        <f>IF(B110="","",_xlfn.MAXIFS('2.현장'!$D$2:$D$1001,'2.현장'!$V$2:$V$1001,B110,'2.현장'!$T$2:$T$1001,TRUE))</f>
        <v/>
      </c>
      <c r="G110" s="6">
        <f>IF(B110="","",IF(_xlfn.MAXIFS('2.현장'!$L$2:$L$1001,'2.현장'!$V$2:$V$1001,B110,'2.현장'!$T$2:$T$1001,TRUE)=0,"",_xlfn.MAXIFS('2.현장'!$L$2:$L$1001,'2.현장'!$V$2:$V$1001,B110,'2.현장'!$T$2:$T$1001,TRUE)))</f>
        <v/>
      </c>
      <c r="H110">
        <f>IF(B110="","",IFERROR(INDEX('2.현장'!$C$2:$C$1001,IFERROR(MATCH(B110&amp;"|설계사",'2.현장'!$Z$2:$Z$1001,0),IFERROR(MATCH(B110&amp;"|시공사",'2.현장'!$Z$2:$Z$1001,0),MATCH(B110&amp;"|늦음",'2.현장'!$Z$2:$Z$1001,0)))),""))</f>
        <v/>
      </c>
      <c r="I110">
        <f>IF(B110="","",IFERROR(INDEX('2.현장'!$N$2:$N$1001,IFERROR(MATCH(B110&amp;"|설계사",'2.현장'!$Z$2:$Z$1001,0),IFERROR(MATCH(B110&amp;"|시공사",'2.현장'!$Z$2:$Z$1001,0),MATCH(B110&amp;"|늦음",'2.현장'!$Z$2:$Z$1001,0)))),""))</f>
        <v/>
      </c>
      <c r="J110">
        <f>IF(B110="","",IFERROR(VLOOKUP(B110,설계사_메모!$A$3:$G$302,2,FALSE)&amp;"",""))</f>
        <v/>
      </c>
      <c r="K110">
        <f>IF(B110="","",IFERROR(VLOOKUP(B110,설계사_메모!$A$3:$G$302,4,FALSE)&amp;"",""))</f>
        <v/>
      </c>
      <c r="L110" s="6">
        <f>IF(B110="","",IF(COUNTIF('4.방문기록'!$B$3:$B$502,B110)=0,"",_xlfn.MAXIFS('4.방문기록'!$A$3:$A$502,'4.방문기록'!$B$3:$B$502,B110)))</f>
        <v/>
      </c>
      <c r="M110">
        <f>IF(L110="","",설정!$B$24-L110)</f>
        <v/>
      </c>
      <c r="N110" s="6">
        <f>IF(B110="","",IF(_xlfn.MAXIFS('4.방문기록'!$F$3:$F$502,'4.방문기록'!$B$3:$B$502,B110)=0,"",_xlfn.MAXIFS('4.방문기록'!$F$3:$F$502,'4.방문기록'!$B$3:$B$502,B110)))</f>
        <v/>
      </c>
      <c r="O110">
        <f>IF(L110="","",IFERROR(INDEX('4.방문기록'!$H$3:$H$502,MATCH(B110&amp;"|"&amp;(L110*1),'4.방문기록'!$I$3:$I$502,0))&amp;"",""))</f>
        <v/>
      </c>
      <c r="P110">
        <f>IF(B110="","",IF(O110="관심 없음","제외",IF(L110="","안 가봄",IF(M110&gt;=설정!$B$20,M110&amp;"일 지남","최근 방문"))))</f>
        <v/>
      </c>
      <c r="Q110" s="7">
        <f>IF(B110="","",IF(P110="제외","",IF(AND(설정!$B$21&lt;&gt;"",I110&lt;&gt;설정!$B$21),"",IF(AND(N110&lt;&gt;"",N110&gt;N(L110),N110&lt;=설정!$B$24+7),100+7-(N110-설정!$B$24),IF(AND(D110&gt;0,OR(P110="안 가봄",RIGHT(P110,2)="지남")),D110*10+IF(L110="",30,MIN(M110,60)/2)+MIN(N(F110)/1000,20),"")))))</f>
        <v/>
      </c>
      <c r="R110">
        <f>IF(Q110="","",COUNTIF(Q$4:Q$303,"&gt;"&amp;Q110)+COUNTIF(Q$4:Q110,Q110))</f>
        <v/>
      </c>
    </row>
    <row r="111">
      <c r="A111">
        <f>IF(B111="","",108)</f>
        <v/>
      </c>
      <c r="B111">
        <f>IFERROR(INDEX('2.현장'!$V$2:$V$1001,MATCH(108,'2.현장'!$W$2:$W$1001,0)),"")</f>
        <v/>
      </c>
      <c r="C111">
        <f>IF(B111="","",COUNTIFS('2.현장'!$V$2:$V$1001,B111,'2.현장'!$T$2:$T$1001,TRUE))</f>
        <v/>
      </c>
      <c r="D111">
        <f>IF(B111="","",COUNTIFS('2.현장'!$V$2:$V$1001,B111,'2.현장'!$U$2:$U$1001,"설계사"))</f>
        <v/>
      </c>
      <c r="E111">
        <f>IF(B111="","",COUNTIFS('2.현장'!$V$2:$V$1001,B111,'2.현장'!$U$2:$U$1001,"시공사"))</f>
        <v/>
      </c>
      <c r="F111" s="5">
        <f>IF(B111="","",_xlfn.MAXIFS('2.현장'!$D$2:$D$1001,'2.현장'!$V$2:$V$1001,B111,'2.현장'!$T$2:$T$1001,TRUE))</f>
        <v/>
      </c>
      <c r="G111" s="6">
        <f>IF(B111="","",IF(_xlfn.MAXIFS('2.현장'!$L$2:$L$1001,'2.현장'!$V$2:$V$1001,B111,'2.현장'!$T$2:$T$1001,TRUE)=0,"",_xlfn.MAXIFS('2.현장'!$L$2:$L$1001,'2.현장'!$V$2:$V$1001,B111,'2.현장'!$T$2:$T$1001,TRUE)))</f>
        <v/>
      </c>
      <c r="H111">
        <f>IF(B111="","",IFERROR(INDEX('2.현장'!$C$2:$C$1001,IFERROR(MATCH(B111&amp;"|설계사",'2.현장'!$Z$2:$Z$1001,0),IFERROR(MATCH(B111&amp;"|시공사",'2.현장'!$Z$2:$Z$1001,0),MATCH(B111&amp;"|늦음",'2.현장'!$Z$2:$Z$1001,0)))),""))</f>
        <v/>
      </c>
      <c r="I111">
        <f>IF(B111="","",IFERROR(INDEX('2.현장'!$N$2:$N$1001,IFERROR(MATCH(B111&amp;"|설계사",'2.현장'!$Z$2:$Z$1001,0),IFERROR(MATCH(B111&amp;"|시공사",'2.현장'!$Z$2:$Z$1001,0),MATCH(B111&amp;"|늦음",'2.현장'!$Z$2:$Z$1001,0)))),""))</f>
        <v/>
      </c>
      <c r="J111">
        <f>IF(B111="","",IFERROR(VLOOKUP(B111,설계사_메모!$A$3:$G$302,2,FALSE)&amp;"",""))</f>
        <v/>
      </c>
      <c r="K111">
        <f>IF(B111="","",IFERROR(VLOOKUP(B111,설계사_메모!$A$3:$G$302,4,FALSE)&amp;"",""))</f>
        <v/>
      </c>
      <c r="L111" s="6">
        <f>IF(B111="","",IF(COUNTIF('4.방문기록'!$B$3:$B$502,B111)=0,"",_xlfn.MAXIFS('4.방문기록'!$A$3:$A$502,'4.방문기록'!$B$3:$B$502,B111)))</f>
        <v/>
      </c>
      <c r="M111">
        <f>IF(L111="","",설정!$B$24-L111)</f>
        <v/>
      </c>
      <c r="N111" s="6">
        <f>IF(B111="","",IF(_xlfn.MAXIFS('4.방문기록'!$F$3:$F$502,'4.방문기록'!$B$3:$B$502,B111)=0,"",_xlfn.MAXIFS('4.방문기록'!$F$3:$F$502,'4.방문기록'!$B$3:$B$502,B111)))</f>
        <v/>
      </c>
      <c r="O111">
        <f>IF(L111="","",IFERROR(INDEX('4.방문기록'!$H$3:$H$502,MATCH(B111&amp;"|"&amp;(L111*1),'4.방문기록'!$I$3:$I$502,0))&amp;"",""))</f>
        <v/>
      </c>
      <c r="P111">
        <f>IF(B111="","",IF(O111="관심 없음","제외",IF(L111="","안 가봄",IF(M111&gt;=설정!$B$20,M111&amp;"일 지남","최근 방문"))))</f>
        <v/>
      </c>
      <c r="Q111" s="7">
        <f>IF(B111="","",IF(P111="제외","",IF(AND(설정!$B$21&lt;&gt;"",I111&lt;&gt;설정!$B$21),"",IF(AND(N111&lt;&gt;"",N111&gt;N(L111),N111&lt;=설정!$B$24+7),100+7-(N111-설정!$B$24),IF(AND(D111&gt;0,OR(P111="안 가봄",RIGHT(P111,2)="지남")),D111*10+IF(L111="",30,MIN(M111,60)/2)+MIN(N(F111)/1000,20),"")))))</f>
        <v/>
      </c>
      <c r="R111">
        <f>IF(Q111="","",COUNTIF(Q$4:Q$303,"&gt;"&amp;Q111)+COUNTIF(Q$4:Q111,Q111))</f>
        <v/>
      </c>
    </row>
    <row r="112">
      <c r="A112">
        <f>IF(B112="","",109)</f>
        <v/>
      </c>
      <c r="B112">
        <f>IFERROR(INDEX('2.현장'!$V$2:$V$1001,MATCH(109,'2.현장'!$W$2:$W$1001,0)),"")</f>
        <v/>
      </c>
      <c r="C112">
        <f>IF(B112="","",COUNTIFS('2.현장'!$V$2:$V$1001,B112,'2.현장'!$T$2:$T$1001,TRUE))</f>
        <v/>
      </c>
      <c r="D112">
        <f>IF(B112="","",COUNTIFS('2.현장'!$V$2:$V$1001,B112,'2.현장'!$U$2:$U$1001,"설계사"))</f>
        <v/>
      </c>
      <c r="E112">
        <f>IF(B112="","",COUNTIFS('2.현장'!$V$2:$V$1001,B112,'2.현장'!$U$2:$U$1001,"시공사"))</f>
        <v/>
      </c>
      <c r="F112" s="5">
        <f>IF(B112="","",_xlfn.MAXIFS('2.현장'!$D$2:$D$1001,'2.현장'!$V$2:$V$1001,B112,'2.현장'!$T$2:$T$1001,TRUE))</f>
        <v/>
      </c>
      <c r="G112" s="6">
        <f>IF(B112="","",IF(_xlfn.MAXIFS('2.현장'!$L$2:$L$1001,'2.현장'!$V$2:$V$1001,B112,'2.현장'!$T$2:$T$1001,TRUE)=0,"",_xlfn.MAXIFS('2.현장'!$L$2:$L$1001,'2.현장'!$V$2:$V$1001,B112,'2.현장'!$T$2:$T$1001,TRUE)))</f>
        <v/>
      </c>
      <c r="H112">
        <f>IF(B112="","",IFERROR(INDEX('2.현장'!$C$2:$C$1001,IFERROR(MATCH(B112&amp;"|설계사",'2.현장'!$Z$2:$Z$1001,0),IFERROR(MATCH(B112&amp;"|시공사",'2.현장'!$Z$2:$Z$1001,0),MATCH(B112&amp;"|늦음",'2.현장'!$Z$2:$Z$1001,0)))),""))</f>
        <v/>
      </c>
      <c r="I112">
        <f>IF(B112="","",IFERROR(INDEX('2.현장'!$N$2:$N$1001,IFERROR(MATCH(B112&amp;"|설계사",'2.현장'!$Z$2:$Z$1001,0),IFERROR(MATCH(B112&amp;"|시공사",'2.현장'!$Z$2:$Z$1001,0),MATCH(B112&amp;"|늦음",'2.현장'!$Z$2:$Z$1001,0)))),""))</f>
        <v/>
      </c>
      <c r="J112">
        <f>IF(B112="","",IFERROR(VLOOKUP(B112,설계사_메모!$A$3:$G$302,2,FALSE)&amp;"",""))</f>
        <v/>
      </c>
      <c r="K112">
        <f>IF(B112="","",IFERROR(VLOOKUP(B112,설계사_메모!$A$3:$G$302,4,FALSE)&amp;"",""))</f>
        <v/>
      </c>
      <c r="L112" s="6">
        <f>IF(B112="","",IF(COUNTIF('4.방문기록'!$B$3:$B$502,B112)=0,"",_xlfn.MAXIFS('4.방문기록'!$A$3:$A$502,'4.방문기록'!$B$3:$B$502,B112)))</f>
        <v/>
      </c>
      <c r="M112">
        <f>IF(L112="","",설정!$B$24-L112)</f>
        <v/>
      </c>
      <c r="N112" s="6">
        <f>IF(B112="","",IF(_xlfn.MAXIFS('4.방문기록'!$F$3:$F$502,'4.방문기록'!$B$3:$B$502,B112)=0,"",_xlfn.MAXIFS('4.방문기록'!$F$3:$F$502,'4.방문기록'!$B$3:$B$502,B112)))</f>
        <v/>
      </c>
      <c r="O112">
        <f>IF(L112="","",IFERROR(INDEX('4.방문기록'!$H$3:$H$502,MATCH(B112&amp;"|"&amp;(L112*1),'4.방문기록'!$I$3:$I$502,0))&amp;"",""))</f>
        <v/>
      </c>
      <c r="P112">
        <f>IF(B112="","",IF(O112="관심 없음","제외",IF(L112="","안 가봄",IF(M112&gt;=설정!$B$20,M112&amp;"일 지남","최근 방문"))))</f>
        <v/>
      </c>
      <c r="Q112" s="7">
        <f>IF(B112="","",IF(P112="제외","",IF(AND(설정!$B$21&lt;&gt;"",I112&lt;&gt;설정!$B$21),"",IF(AND(N112&lt;&gt;"",N112&gt;N(L112),N112&lt;=설정!$B$24+7),100+7-(N112-설정!$B$24),IF(AND(D112&gt;0,OR(P112="안 가봄",RIGHT(P112,2)="지남")),D112*10+IF(L112="",30,MIN(M112,60)/2)+MIN(N(F112)/1000,20),"")))))</f>
        <v/>
      </c>
      <c r="R112">
        <f>IF(Q112="","",COUNTIF(Q$4:Q$303,"&gt;"&amp;Q112)+COUNTIF(Q$4:Q112,Q112))</f>
        <v/>
      </c>
    </row>
    <row r="113">
      <c r="A113">
        <f>IF(B113="","",110)</f>
        <v/>
      </c>
      <c r="B113">
        <f>IFERROR(INDEX('2.현장'!$V$2:$V$1001,MATCH(110,'2.현장'!$W$2:$W$1001,0)),"")</f>
        <v/>
      </c>
      <c r="C113">
        <f>IF(B113="","",COUNTIFS('2.현장'!$V$2:$V$1001,B113,'2.현장'!$T$2:$T$1001,TRUE))</f>
        <v/>
      </c>
      <c r="D113">
        <f>IF(B113="","",COUNTIFS('2.현장'!$V$2:$V$1001,B113,'2.현장'!$U$2:$U$1001,"설계사"))</f>
        <v/>
      </c>
      <c r="E113">
        <f>IF(B113="","",COUNTIFS('2.현장'!$V$2:$V$1001,B113,'2.현장'!$U$2:$U$1001,"시공사"))</f>
        <v/>
      </c>
      <c r="F113" s="5">
        <f>IF(B113="","",_xlfn.MAXIFS('2.현장'!$D$2:$D$1001,'2.현장'!$V$2:$V$1001,B113,'2.현장'!$T$2:$T$1001,TRUE))</f>
        <v/>
      </c>
      <c r="G113" s="6">
        <f>IF(B113="","",IF(_xlfn.MAXIFS('2.현장'!$L$2:$L$1001,'2.현장'!$V$2:$V$1001,B113,'2.현장'!$T$2:$T$1001,TRUE)=0,"",_xlfn.MAXIFS('2.현장'!$L$2:$L$1001,'2.현장'!$V$2:$V$1001,B113,'2.현장'!$T$2:$T$1001,TRUE)))</f>
        <v/>
      </c>
      <c r="H113">
        <f>IF(B113="","",IFERROR(INDEX('2.현장'!$C$2:$C$1001,IFERROR(MATCH(B113&amp;"|설계사",'2.현장'!$Z$2:$Z$1001,0),IFERROR(MATCH(B113&amp;"|시공사",'2.현장'!$Z$2:$Z$1001,0),MATCH(B113&amp;"|늦음",'2.현장'!$Z$2:$Z$1001,0)))),""))</f>
        <v/>
      </c>
      <c r="I113">
        <f>IF(B113="","",IFERROR(INDEX('2.현장'!$N$2:$N$1001,IFERROR(MATCH(B113&amp;"|설계사",'2.현장'!$Z$2:$Z$1001,0),IFERROR(MATCH(B113&amp;"|시공사",'2.현장'!$Z$2:$Z$1001,0),MATCH(B113&amp;"|늦음",'2.현장'!$Z$2:$Z$1001,0)))),""))</f>
        <v/>
      </c>
      <c r="J113">
        <f>IF(B113="","",IFERROR(VLOOKUP(B113,설계사_메모!$A$3:$G$302,2,FALSE)&amp;"",""))</f>
        <v/>
      </c>
      <c r="K113">
        <f>IF(B113="","",IFERROR(VLOOKUP(B113,설계사_메모!$A$3:$G$302,4,FALSE)&amp;"",""))</f>
        <v/>
      </c>
      <c r="L113" s="6">
        <f>IF(B113="","",IF(COUNTIF('4.방문기록'!$B$3:$B$502,B113)=0,"",_xlfn.MAXIFS('4.방문기록'!$A$3:$A$502,'4.방문기록'!$B$3:$B$502,B113)))</f>
        <v/>
      </c>
      <c r="M113">
        <f>IF(L113="","",설정!$B$24-L113)</f>
        <v/>
      </c>
      <c r="N113" s="6">
        <f>IF(B113="","",IF(_xlfn.MAXIFS('4.방문기록'!$F$3:$F$502,'4.방문기록'!$B$3:$B$502,B113)=0,"",_xlfn.MAXIFS('4.방문기록'!$F$3:$F$502,'4.방문기록'!$B$3:$B$502,B113)))</f>
        <v/>
      </c>
      <c r="O113">
        <f>IF(L113="","",IFERROR(INDEX('4.방문기록'!$H$3:$H$502,MATCH(B113&amp;"|"&amp;(L113*1),'4.방문기록'!$I$3:$I$502,0))&amp;"",""))</f>
        <v/>
      </c>
      <c r="P113">
        <f>IF(B113="","",IF(O113="관심 없음","제외",IF(L113="","안 가봄",IF(M113&gt;=설정!$B$20,M113&amp;"일 지남","최근 방문"))))</f>
        <v/>
      </c>
      <c r="Q113" s="7">
        <f>IF(B113="","",IF(P113="제외","",IF(AND(설정!$B$21&lt;&gt;"",I113&lt;&gt;설정!$B$21),"",IF(AND(N113&lt;&gt;"",N113&gt;N(L113),N113&lt;=설정!$B$24+7),100+7-(N113-설정!$B$24),IF(AND(D113&gt;0,OR(P113="안 가봄",RIGHT(P113,2)="지남")),D113*10+IF(L113="",30,MIN(M113,60)/2)+MIN(N(F113)/1000,20),"")))))</f>
        <v/>
      </c>
      <c r="R113">
        <f>IF(Q113="","",COUNTIF(Q$4:Q$303,"&gt;"&amp;Q113)+COUNTIF(Q$4:Q113,Q113))</f>
        <v/>
      </c>
    </row>
    <row r="114">
      <c r="A114">
        <f>IF(B114="","",111)</f>
        <v/>
      </c>
      <c r="B114">
        <f>IFERROR(INDEX('2.현장'!$V$2:$V$1001,MATCH(111,'2.현장'!$W$2:$W$1001,0)),"")</f>
        <v/>
      </c>
      <c r="C114">
        <f>IF(B114="","",COUNTIFS('2.현장'!$V$2:$V$1001,B114,'2.현장'!$T$2:$T$1001,TRUE))</f>
        <v/>
      </c>
      <c r="D114">
        <f>IF(B114="","",COUNTIFS('2.현장'!$V$2:$V$1001,B114,'2.현장'!$U$2:$U$1001,"설계사"))</f>
        <v/>
      </c>
      <c r="E114">
        <f>IF(B114="","",COUNTIFS('2.현장'!$V$2:$V$1001,B114,'2.현장'!$U$2:$U$1001,"시공사"))</f>
        <v/>
      </c>
      <c r="F114" s="5">
        <f>IF(B114="","",_xlfn.MAXIFS('2.현장'!$D$2:$D$1001,'2.현장'!$V$2:$V$1001,B114,'2.현장'!$T$2:$T$1001,TRUE))</f>
        <v/>
      </c>
      <c r="G114" s="6">
        <f>IF(B114="","",IF(_xlfn.MAXIFS('2.현장'!$L$2:$L$1001,'2.현장'!$V$2:$V$1001,B114,'2.현장'!$T$2:$T$1001,TRUE)=0,"",_xlfn.MAXIFS('2.현장'!$L$2:$L$1001,'2.현장'!$V$2:$V$1001,B114,'2.현장'!$T$2:$T$1001,TRUE)))</f>
        <v/>
      </c>
      <c r="H114">
        <f>IF(B114="","",IFERROR(INDEX('2.현장'!$C$2:$C$1001,IFERROR(MATCH(B114&amp;"|설계사",'2.현장'!$Z$2:$Z$1001,0),IFERROR(MATCH(B114&amp;"|시공사",'2.현장'!$Z$2:$Z$1001,0),MATCH(B114&amp;"|늦음",'2.현장'!$Z$2:$Z$1001,0)))),""))</f>
        <v/>
      </c>
      <c r="I114">
        <f>IF(B114="","",IFERROR(INDEX('2.현장'!$N$2:$N$1001,IFERROR(MATCH(B114&amp;"|설계사",'2.현장'!$Z$2:$Z$1001,0),IFERROR(MATCH(B114&amp;"|시공사",'2.현장'!$Z$2:$Z$1001,0),MATCH(B114&amp;"|늦음",'2.현장'!$Z$2:$Z$1001,0)))),""))</f>
        <v/>
      </c>
      <c r="J114">
        <f>IF(B114="","",IFERROR(VLOOKUP(B114,설계사_메모!$A$3:$G$302,2,FALSE)&amp;"",""))</f>
        <v/>
      </c>
      <c r="K114">
        <f>IF(B114="","",IFERROR(VLOOKUP(B114,설계사_메모!$A$3:$G$302,4,FALSE)&amp;"",""))</f>
        <v/>
      </c>
      <c r="L114" s="6">
        <f>IF(B114="","",IF(COUNTIF('4.방문기록'!$B$3:$B$502,B114)=0,"",_xlfn.MAXIFS('4.방문기록'!$A$3:$A$502,'4.방문기록'!$B$3:$B$502,B114)))</f>
        <v/>
      </c>
      <c r="M114">
        <f>IF(L114="","",설정!$B$24-L114)</f>
        <v/>
      </c>
      <c r="N114" s="6">
        <f>IF(B114="","",IF(_xlfn.MAXIFS('4.방문기록'!$F$3:$F$502,'4.방문기록'!$B$3:$B$502,B114)=0,"",_xlfn.MAXIFS('4.방문기록'!$F$3:$F$502,'4.방문기록'!$B$3:$B$502,B114)))</f>
        <v/>
      </c>
      <c r="O114">
        <f>IF(L114="","",IFERROR(INDEX('4.방문기록'!$H$3:$H$502,MATCH(B114&amp;"|"&amp;(L114*1),'4.방문기록'!$I$3:$I$502,0))&amp;"",""))</f>
        <v/>
      </c>
      <c r="P114">
        <f>IF(B114="","",IF(O114="관심 없음","제외",IF(L114="","안 가봄",IF(M114&gt;=설정!$B$20,M114&amp;"일 지남","최근 방문"))))</f>
        <v/>
      </c>
      <c r="Q114" s="7">
        <f>IF(B114="","",IF(P114="제외","",IF(AND(설정!$B$21&lt;&gt;"",I114&lt;&gt;설정!$B$21),"",IF(AND(N114&lt;&gt;"",N114&gt;N(L114),N114&lt;=설정!$B$24+7),100+7-(N114-설정!$B$24),IF(AND(D114&gt;0,OR(P114="안 가봄",RIGHT(P114,2)="지남")),D114*10+IF(L114="",30,MIN(M114,60)/2)+MIN(N(F114)/1000,20),"")))))</f>
        <v/>
      </c>
      <c r="R114">
        <f>IF(Q114="","",COUNTIF(Q$4:Q$303,"&gt;"&amp;Q114)+COUNTIF(Q$4:Q114,Q114))</f>
        <v/>
      </c>
    </row>
    <row r="115">
      <c r="A115">
        <f>IF(B115="","",112)</f>
        <v/>
      </c>
      <c r="B115">
        <f>IFERROR(INDEX('2.현장'!$V$2:$V$1001,MATCH(112,'2.현장'!$W$2:$W$1001,0)),"")</f>
        <v/>
      </c>
      <c r="C115">
        <f>IF(B115="","",COUNTIFS('2.현장'!$V$2:$V$1001,B115,'2.현장'!$T$2:$T$1001,TRUE))</f>
        <v/>
      </c>
      <c r="D115">
        <f>IF(B115="","",COUNTIFS('2.현장'!$V$2:$V$1001,B115,'2.현장'!$U$2:$U$1001,"설계사"))</f>
        <v/>
      </c>
      <c r="E115">
        <f>IF(B115="","",COUNTIFS('2.현장'!$V$2:$V$1001,B115,'2.현장'!$U$2:$U$1001,"시공사"))</f>
        <v/>
      </c>
      <c r="F115" s="5">
        <f>IF(B115="","",_xlfn.MAXIFS('2.현장'!$D$2:$D$1001,'2.현장'!$V$2:$V$1001,B115,'2.현장'!$T$2:$T$1001,TRUE))</f>
        <v/>
      </c>
      <c r="G115" s="6">
        <f>IF(B115="","",IF(_xlfn.MAXIFS('2.현장'!$L$2:$L$1001,'2.현장'!$V$2:$V$1001,B115,'2.현장'!$T$2:$T$1001,TRUE)=0,"",_xlfn.MAXIFS('2.현장'!$L$2:$L$1001,'2.현장'!$V$2:$V$1001,B115,'2.현장'!$T$2:$T$1001,TRUE)))</f>
        <v/>
      </c>
      <c r="H115">
        <f>IF(B115="","",IFERROR(INDEX('2.현장'!$C$2:$C$1001,IFERROR(MATCH(B115&amp;"|설계사",'2.현장'!$Z$2:$Z$1001,0),IFERROR(MATCH(B115&amp;"|시공사",'2.현장'!$Z$2:$Z$1001,0),MATCH(B115&amp;"|늦음",'2.현장'!$Z$2:$Z$1001,0)))),""))</f>
        <v/>
      </c>
      <c r="I115">
        <f>IF(B115="","",IFERROR(INDEX('2.현장'!$N$2:$N$1001,IFERROR(MATCH(B115&amp;"|설계사",'2.현장'!$Z$2:$Z$1001,0),IFERROR(MATCH(B115&amp;"|시공사",'2.현장'!$Z$2:$Z$1001,0),MATCH(B115&amp;"|늦음",'2.현장'!$Z$2:$Z$1001,0)))),""))</f>
        <v/>
      </c>
      <c r="J115">
        <f>IF(B115="","",IFERROR(VLOOKUP(B115,설계사_메모!$A$3:$G$302,2,FALSE)&amp;"",""))</f>
        <v/>
      </c>
      <c r="K115">
        <f>IF(B115="","",IFERROR(VLOOKUP(B115,설계사_메모!$A$3:$G$302,4,FALSE)&amp;"",""))</f>
        <v/>
      </c>
      <c r="L115" s="6">
        <f>IF(B115="","",IF(COUNTIF('4.방문기록'!$B$3:$B$502,B115)=0,"",_xlfn.MAXIFS('4.방문기록'!$A$3:$A$502,'4.방문기록'!$B$3:$B$502,B115)))</f>
        <v/>
      </c>
      <c r="M115">
        <f>IF(L115="","",설정!$B$24-L115)</f>
        <v/>
      </c>
      <c r="N115" s="6">
        <f>IF(B115="","",IF(_xlfn.MAXIFS('4.방문기록'!$F$3:$F$502,'4.방문기록'!$B$3:$B$502,B115)=0,"",_xlfn.MAXIFS('4.방문기록'!$F$3:$F$502,'4.방문기록'!$B$3:$B$502,B115)))</f>
        <v/>
      </c>
      <c r="O115">
        <f>IF(L115="","",IFERROR(INDEX('4.방문기록'!$H$3:$H$502,MATCH(B115&amp;"|"&amp;(L115*1),'4.방문기록'!$I$3:$I$502,0))&amp;"",""))</f>
        <v/>
      </c>
      <c r="P115">
        <f>IF(B115="","",IF(O115="관심 없음","제외",IF(L115="","안 가봄",IF(M115&gt;=설정!$B$20,M115&amp;"일 지남","최근 방문"))))</f>
        <v/>
      </c>
      <c r="Q115" s="7">
        <f>IF(B115="","",IF(P115="제외","",IF(AND(설정!$B$21&lt;&gt;"",I115&lt;&gt;설정!$B$21),"",IF(AND(N115&lt;&gt;"",N115&gt;N(L115),N115&lt;=설정!$B$24+7),100+7-(N115-설정!$B$24),IF(AND(D115&gt;0,OR(P115="안 가봄",RIGHT(P115,2)="지남")),D115*10+IF(L115="",30,MIN(M115,60)/2)+MIN(N(F115)/1000,20),"")))))</f>
        <v/>
      </c>
      <c r="R115">
        <f>IF(Q115="","",COUNTIF(Q$4:Q$303,"&gt;"&amp;Q115)+COUNTIF(Q$4:Q115,Q115))</f>
        <v/>
      </c>
    </row>
    <row r="116">
      <c r="A116">
        <f>IF(B116="","",113)</f>
        <v/>
      </c>
      <c r="B116">
        <f>IFERROR(INDEX('2.현장'!$V$2:$V$1001,MATCH(113,'2.현장'!$W$2:$W$1001,0)),"")</f>
        <v/>
      </c>
      <c r="C116">
        <f>IF(B116="","",COUNTIFS('2.현장'!$V$2:$V$1001,B116,'2.현장'!$T$2:$T$1001,TRUE))</f>
        <v/>
      </c>
      <c r="D116">
        <f>IF(B116="","",COUNTIFS('2.현장'!$V$2:$V$1001,B116,'2.현장'!$U$2:$U$1001,"설계사"))</f>
        <v/>
      </c>
      <c r="E116">
        <f>IF(B116="","",COUNTIFS('2.현장'!$V$2:$V$1001,B116,'2.현장'!$U$2:$U$1001,"시공사"))</f>
        <v/>
      </c>
      <c r="F116" s="5">
        <f>IF(B116="","",_xlfn.MAXIFS('2.현장'!$D$2:$D$1001,'2.현장'!$V$2:$V$1001,B116,'2.현장'!$T$2:$T$1001,TRUE))</f>
        <v/>
      </c>
      <c r="G116" s="6">
        <f>IF(B116="","",IF(_xlfn.MAXIFS('2.현장'!$L$2:$L$1001,'2.현장'!$V$2:$V$1001,B116,'2.현장'!$T$2:$T$1001,TRUE)=0,"",_xlfn.MAXIFS('2.현장'!$L$2:$L$1001,'2.현장'!$V$2:$V$1001,B116,'2.현장'!$T$2:$T$1001,TRUE)))</f>
        <v/>
      </c>
      <c r="H116">
        <f>IF(B116="","",IFERROR(INDEX('2.현장'!$C$2:$C$1001,IFERROR(MATCH(B116&amp;"|설계사",'2.현장'!$Z$2:$Z$1001,0),IFERROR(MATCH(B116&amp;"|시공사",'2.현장'!$Z$2:$Z$1001,0),MATCH(B116&amp;"|늦음",'2.현장'!$Z$2:$Z$1001,0)))),""))</f>
        <v/>
      </c>
      <c r="I116">
        <f>IF(B116="","",IFERROR(INDEX('2.현장'!$N$2:$N$1001,IFERROR(MATCH(B116&amp;"|설계사",'2.현장'!$Z$2:$Z$1001,0),IFERROR(MATCH(B116&amp;"|시공사",'2.현장'!$Z$2:$Z$1001,0),MATCH(B116&amp;"|늦음",'2.현장'!$Z$2:$Z$1001,0)))),""))</f>
        <v/>
      </c>
      <c r="J116">
        <f>IF(B116="","",IFERROR(VLOOKUP(B116,설계사_메모!$A$3:$G$302,2,FALSE)&amp;"",""))</f>
        <v/>
      </c>
      <c r="K116">
        <f>IF(B116="","",IFERROR(VLOOKUP(B116,설계사_메모!$A$3:$G$302,4,FALSE)&amp;"",""))</f>
        <v/>
      </c>
      <c r="L116" s="6">
        <f>IF(B116="","",IF(COUNTIF('4.방문기록'!$B$3:$B$502,B116)=0,"",_xlfn.MAXIFS('4.방문기록'!$A$3:$A$502,'4.방문기록'!$B$3:$B$502,B116)))</f>
        <v/>
      </c>
      <c r="M116">
        <f>IF(L116="","",설정!$B$24-L116)</f>
        <v/>
      </c>
      <c r="N116" s="6">
        <f>IF(B116="","",IF(_xlfn.MAXIFS('4.방문기록'!$F$3:$F$502,'4.방문기록'!$B$3:$B$502,B116)=0,"",_xlfn.MAXIFS('4.방문기록'!$F$3:$F$502,'4.방문기록'!$B$3:$B$502,B116)))</f>
        <v/>
      </c>
      <c r="O116">
        <f>IF(L116="","",IFERROR(INDEX('4.방문기록'!$H$3:$H$502,MATCH(B116&amp;"|"&amp;(L116*1),'4.방문기록'!$I$3:$I$502,0))&amp;"",""))</f>
        <v/>
      </c>
      <c r="P116">
        <f>IF(B116="","",IF(O116="관심 없음","제외",IF(L116="","안 가봄",IF(M116&gt;=설정!$B$20,M116&amp;"일 지남","최근 방문"))))</f>
        <v/>
      </c>
      <c r="Q116" s="7">
        <f>IF(B116="","",IF(P116="제외","",IF(AND(설정!$B$21&lt;&gt;"",I116&lt;&gt;설정!$B$21),"",IF(AND(N116&lt;&gt;"",N116&gt;N(L116),N116&lt;=설정!$B$24+7),100+7-(N116-설정!$B$24),IF(AND(D116&gt;0,OR(P116="안 가봄",RIGHT(P116,2)="지남")),D116*10+IF(L116="",30,MIN(M116,60)/2)+MIN(N(F116)/1000,20),"")))))</f>
        <v/>
      </c>
      <c r="R116">
        <f>IF(Q116="","",COUNTIF(Q$4:Q$303,"&gt;"&amp;Q116)+COUNTIF(Q$4:Q116,Q116))</f>
        <v/>
      </c>
    </row>
    <row r="117">
      <c r="A117">
        <f>IF(B117="","",114)</f>
        <v/>
      </c>
      <c r="B117">
        <f>IFERROR(INDEX('2.현장'!$V$2:$V$1001,MATCH(114,'2.현장'!$W$2:$W$1001,0)),"")</f>
        <v/>
      </c>
      <c r="C117">
        <f>IF(B117="","",COUNTIFS('2.현장'!$V$2:$V$1001,B117,'2.현장'!$T$2:$T$1001,TRUE))</f>
        <v/>
      </c>
      <c r="D117">
        <f>IF(B117="","",COUNTIFS('2.현장'!$V$2:$V$1001,B117,'2.현장'!$U$2:$U$1001,"설계사"))</f>
        <v/>
      </c>
      <c r="E117">
        <f>IF(B117="","",COUNTIFS('2.현장'!$V$2:$V$1001,B117,'2.현장'!$U$2:$U$1001,"시공사"))</f>
        <v/>
      </c>
      <c r="F117" s="5">
        <f>IF(B117="","",_xlfn.MAXIFS('2.현장'!$D$2:$D$1001,'2.현장'!$V$2:$V$1001,B117,'2.현장'!$T$2:$T$1001,TRUE))</f>
        <v/>
      </c>
      <c r="G117" s="6">
        <f>IF(B117="","",IF(_xlfn.MAXIFS('2.현장'!$L$2:$L$1001,'2.현장'!$V$2:$V$1001,B117,'2.현장'!$T$2:$T$1001,TRUE)=0,"",_xlfn.MAXIFS('2.현장'!$L$2:$L$1001,'2.현장'!$V$2:$V$1001,B117,'2.현장'!$T$2:$T$1001,TRUE)))</f>
        <v/>
      </c>
      <c r="H117">
        <f>IF(B117="","",IFERROR(INDEX('2.현장'!$C$2:$C$1001,IFERROR(MATCH(B117&amp;"|설계사",'2.현장'!$Z$2:$Z$1001,0),IFERROR(MATCH(B117&amp;"|시공사",'2.현장'!$Z$2:$Z$1001,0),MATCH(B117&amp;"|늦음",'2.현장'!$Z$2:$Z$1001,0)))),""))</f>
        <v/>
      </c>
      <c r="I117">
        <f>IF(B117="","",IFERROR(INDEX('2.현장'!$N$2:$N$1001,IFERROR(MATCH(B117&amp;"|설계사",'2.현장'!$Z$2:$Z$1001,0),IFERROR(MATCH(B117&amp;"|시공사",'2.현장'!$Z$2:$Z$1001,0),MATCH(B117&amp;"|늦음",'2.현장'!$Z$2:$Z$1001,0)))),""))</f>
        <v/>
      </c>
      <c r="J117">
        <f>IF(B117="","",IFERROR(VLOOKUP(B117,설계사_메모!$A$3:$G$302,2,FALSE)&amp;"",""))</f>
        <v/>
      </c>
      <c r="K117">
        <f>IF(B117="","",IFERROR(VLOOKUP(B117,설계사_메모!$A$3:$G$302,4,FALSE)&amp;"",""))</f>
        <v/>
      </c>
      <c r="L117" s="6">
        <f>IF(B117="","",IF(COUNTIF('4.방문기록'!$B$3:$B$502,B117)=0,"",_xlfn.MAXIFS('4.방문기록'!$A$3:$A$502,'4.방문기록'!$B$3:$B$502,B117)))</f>
        <v/>
      </c>
      <c r="M117">
        <f>IF(L117="","",설정!$B$24-L117)</f>
        <v/>
      </c>
      <c r="N117" s="6">
        <f>IF(B117="","",IF(_xlfn.MAXIFS('4.방문기록'!$F$3:$F$502,'4.방문기록'!$B$3:$B$502,B117)=0,"",_xlfn.MAXIFS('4.방문기록'!$F$3:$F$502,'4.방문기록'!$B$3:$B$502,B117)))</f>
        <v/>
      </c>
      <c r="O117">
        <f>IF(L117="","",IFERROR(INDEX('4.방문기록'!$H$3:$H$502,MATCH(B117&amp;"|"&amp;(L117*1),'4.방문기록'!$I$3:$I$502,0))&amp;"",""))</f>
        <v/>
      </c>
      <c r="P117">
        <f>IF(B117="","",IF(O117="관심 없음","제외",IF(L117="","안 가봄",IF(M117&gt;=설정!$B$20,M117&amp;"일 지남","최근 방문"))))</f>
        <v/>
      </c>
      <c r="Q117" s="7">
        <f>IF(B117="","",IF(P117="제외","",IF(AND(설정!$B$21&lt;&gt;"",I117&lt;&gt;설정!$B$21),"",IF(AND(N117&lt;&gt;"",N117&gt;N(L117),N117&lt;=설정!$B$24+7),100+7-(N117-설정!$B$24),IF(AND(D117&gt;0,OR(P117="안 가봄",RIGHT(P117,2)="지남")),D117*10+IF(L117="",30,MIN(M117,60)/2)+MIN(N(F117)/1000,20),"")))))</f>
        <v/>
      </c>
      <c r="R117">
        <f>IF(Q117="","",COUNTIF(Q$4:Q$303,"&gt;"&amp;Q117)+COUNTIF(Q$4:Q117,Q117))</f>
        <v/>
      </c>
    </row>
    <row r="118">
      <c r="A118">
        <f>IF(B118="","",115)</f>
        <v/>
      </c>
      <c r="B118">
        <f>IFERROR(INDEX('2.현장'!$V$2:$V$1001,MATCH(115,'2.현장'!$W$2:$W$1001,0)),"")</f>
        <v/>
      </c>
      <c r="C118">
        <f>IF(B118="","",COUNTIFS('2.현장'!$V$2:$V$1001,B118,'2.현장'!$T$2:$T$1001,TRUE))</f>
        <v/>
      </c>
      <c r="D118">
        <f>IF(B118="","",COUNTIFS('2.현장'!$V$2:$V$1001,B118,'2.현장'!$U$2:$U$1001,"설계사"))</f>
        <v/>
      </c>
      <c r="E118">
        <f>IF(B118="","",COUNTIFS('2.현장'!$V$2:$V$1001,B118,'2.현장'!$U$2:$U$1001,"시공사"))</f>
        <v/>
      </c>
      <c r="F118" s="5">
        <f>IF(B118="","",_xlfn.MAXIFS('2.현장'!$D$2:$D$1001,'2.현장'!$V$2:$V$1001,B118,'2.현장'!$T$2:$T$1001,TRUE))</f>
        <v/>
      </c>
      <c r="G118" s="6">
        <f>IF(B118="","",IF(_xlfn.MAXIFS('2.현장'!$L$2:$L$1001,'2.현장'!$V$2:$V$1001,B118,'2.현장'!$T$2:$T$1001,TRUE)=0,"",_xlfn.MAXIFS('2.현장'!$L$2:$L$1001,'2.현장'!$V$2:$V$1001,B118,'2.현장'!$T$2:$T$1001,TRUE)))</f>
        <v/>
      </c>
      <c r="H118">
        <f>IF(B118="","",IFERROR(INDEX('2.현장'!$C$2:$C$1001,IFERROR(MATCH(B118&amp;"|설계사",'2.현장'!$Z$2:$Z$1001,0),IFERROR(MATCH(B118&amp;"|시공사",'2.현장'!$Z$2:$Z$1001,0),MATCH(B118&amp;"|늦음",'2.현장'!$Z$2:$Z$1001,0)))),""))</f>
        <v/>
      </c>
      <c r="I118">
        <f>IF(B118="","",IFERROR(INDEX('2.현장'!$N$2:$N$1001,IFERROR(MATCH(B118&amp;"|설계사",'2.현장'!$Z$2:$Z$1001,0),IFERROR(MATCH(B118&amp;"|시공사",'2.현장'!$Z$2:$Z$1001,0),MATCH(B118&amp;"|늦음",'2.현장'!$Z$2:$Z$1001,0)))),""))</f>
        <v/>
      </c>
      <c r="J118">
        <f>IF(B118="","",IFERROR(VLOOKUP(B118,설계사_메모!$A$3:$G$302,2,FALSE)&amp;"",""))</f>
        <v/>
      </c>
      <c r="K118">
        <f>IF(B118="","",IFERROR(VLOOKUP(B118,설계사_메모!$A$3:$G$302,4,FALSE)&amp;"",""))</f>
        <v/>
      </c>
      <c r="L118" s="6">
        <f>IF(B118="","",IF(COUNTIF('4.방문기록'!$B$3:$B$502,B118)=0,"",_xlfn.MAXIFS('4.방문기록'!$A$3:$A$502,'4.방문기록'!$B$3:$B$502,B118)))</f>
        <v/>
      </c>
      <c r="M118">
        <f>IF(L118="","",설정!$B$24-L118)</f>
        <v/>
      </c>
      <c r="N118" s="6">
        <f>IF(B118="","",IF(_xlfn.MAXIFS('4.방문기록'!$F$3:$F$502,'4.방문기록'!$B$3:$B$502,B118)=0,"",_xlfn.MAXIFS('4.방문기록'!$F$3:$F$502,'4.방문기록'!$B$3:$B$502,B118)))</f>
        <v/>
      </c>
      <c r="O118">
        <f>IF(L118="","",IFERROR(INDEX('4.방문기록'!$H$3:$H$502,MATCH(B118&amp;"|"&amp;(L118*1),'4.방문기록'!$I$3:$I$502,0))&amp;"",""))</f>
        <v/>
      </c>
      <c r="P118">
        <f>IF(B118="","",IF(O118="관심 없음","제외",IF(L118="","안 가봄",IF(M118&gt;=설정!$B$20,M118&amp;"일 지남","최근 방문"))))</f>
        <v/>
      </c>
      <c r="Q118" s="7">
        <f>IF(B118="","",IF(P118="제외","",IF(AND(설정!$B$21&lt;&gt;"",I118&lt;&gt;설정!$B$21),"",IF(AND(N118&lt;&gt;"",N118&gt;N(L118),N118&lt;=설정!$B$24+7),100+7-(N118-설정!$B$24),IF(AND(D118&gt;0,OR(P118="안 가봄",RIGHT(P118,2)="지남")),D118*10+IF(L118="",30,MIN(M118,60)/2)+MIN(N(F118)/1000,20),"")))))</f>
        <v/>
      </c>
      <c r="R118">
        <f>IF(Q118="","",COUNTIF(Q$4:Q$303,"&gt;"&amp;Q118)+COUNTIF(Q$4:Q118,Q118))</f>
        <v/>
      </c>
    </row>
    <row r="119">
      <c r="A119">
        <f>IF(B119="","",116)</f>
        <v/>
      </c>
      <c r="B119">
        <f>IFERROR(INDEX('2.현장'!$V$2:$V$1001,MATCH(116,'2.현장'!$W$2:$W$1001,0)),"")</f>
        <v/>
      </c>
      <c r="C119">
        <f>IF(B119="","",COUNTIFS('2.현장'!$V$2:$V$1001,B119,'2.현장'!$T$2:$T$1001,TRUE))</f>
        <v/>
      </c>
      <c r="D119">
        <f>IF(B119="","",COUNTIFS('2.현장'!$V$2:$V$1001,B119,'2.현장'!$U$2:$U$1001,"설계사"))</f>
        <v/>
      </c>
      <c r="E119">
        <f>IF(B119="","",COUNTIFS('2.현장'!$V$2:$V$1001,B119,'2.현장'!$U$2:$U$1001,"시공사"))</f>
        <v/>
      </c>
      <c r="F119" s="5">
        <f>IF(B119="","",_xlfn.MAXIFS('2.현장'!$D$2:$D$1001,'2.현장'!$V$2:$V$1001,B119,'2.현장'!$T$2:$T$1001,TRUE))</f>
        <v/>
      </c>
      <c r="G119" s="6">
        <f>IF(B119="","",IF(_xlfn.MAXIFS('2.현장'!$L$2:$L$1001,'2.현장'!$V$2:$V$1001,B119,'2.현장'!$T$2:$T$1001,TRUE)=0,"",_xlfn.MAXIFS('2.현장'!$L$2:$L$1001,'2.현장'!$V$2:$V$1001,B119,'2.현장'!$T$2:$T$1001,TRUE)))</f>
        <v/>
      </c>
      <c r="H119">
        <f>IF(B119="","",IFERROR(INDEX('2.현장'!$C$2:$C$1001,IFERROR(MATCH(B119&amp;"|설계사",'2.현장'!$Z$2:$Z$1001,0),IFERROR(MATCH(B119&amp;"|시공사",'2.현장'!$Z$2:$Z$1001,0),MATCH(B119&amp;"|늦음",'2.현장'!$Z$2:$Z$1001,0)))),""))</f>
        <v/>
      </c>
      <c r="I119">
        <f>IF(B119="","",IFERROR(INDEX('2.현장'!$N$2:$N$1001,IFERROR(MATCH(B119&amp;"|설계사",'2.현장'!$Z$2:$Z$1001,0),IFERROR(MATCH(B119&amp;"|시공사",'2.현장'!$Z$2:$Z$1001,0),MATCH(B119&amp;"|늦음",'2.현장'!$Z$2:$Z$1001,0)))),""))</f>
        <v/>
      </c>
      <c r="J119">
        <f>IF(B119="","",IFERROR(VLOOKUP(B119,설계사_메모!$A$3:$G$302,2,FALSE)&amp;"",""))</f>
        <v/>
      </c>
      <c r="K119">
        <f>IF(B119="","",IFERROR(VLOOKUP(B119,설계사_메모!$A$3:$G$302,4,FALSE)&amp;"",""))</f>
        <v/>
      </c>
      <c r="L119" s="6">
        <f>IF(B119="","",IF(COUNTIF('4.방문기록'!$B$3:$B$502,B119)=0,"",_xlfn.MAXIFS('4.방문기록'!$A$3:$A$502,'4.방문기록'!$B$3:$B$502,B119)))</f>
        <v/>
      </c>
      <c r="M119">
        <f>IF(L119="","",설정!$B$24-L119)</f>
        <v/>
      </c>
      <c r="N119" s="6">
        <f>IF(B119="","",IF(_xlfn.MAXIFS('4.방문기록'!$F$3:$F$502,'4.방문기록'!$B$3:$B$502,B119)=0,"",_xlfn.MAXIFS('4.방문기록'!$F$3:$F$502,'4.방문기록'!$B$3:$B$502,B119)))</f>
        <v/>
      </c>
      <c r="O119">
        <f>IF(L119="","",IFERROR(INDEX('4.방문기록'!$H$3:$H$502,MATCH(B119&amp;"|"&amp;(L119*1),'4.방문기록'!$I$3:$I$502,0))&amp;"",""))</f>
        <v/>
      </c>
      <c r="P119">
        <f>IF(B119="","",IF(O119="관심 없음","제외",IF(L119="","안 가봄",IF(M119&gt;=설정!$B$20,M119&amp;"일 지남","최근 방문"))))</f>
        <v/>
      </c>
      <c r="Q119" s="7">
        <f>IF(B119="","",IF(P119="제외","",IF(AND(설정!$B$21&lt;&gt;"",I119&lt;&gt;설정!$B$21),"",IF(AND(N119&lt;&gt;"",N119&gt;N(L119),N119&lt;=설정!$B$24+7),100+7-(N119-설정!$B$24),IF(AND(D119&gt;0,OR(P119="안 가봄",RIGHT(P119,2)="지남")),D119*10+IF(L119="",30,MIN(M119,60)/2)+MIN(N(F119)/1000,20),"")))))</f>
        <v/>
      </c>
      <c r="R119">
        <f>IF(Q119="","",COUNTIF(Q$4:Q$303,"&gt;"&amp;Q119)+COUNTIF(Q$4:Q119,Q119))</f>
        <v/>
      </c>
    </row>
    <row r="120">
      <c r="A120">
        <f>IF(B120="","",117)</f>
        <v/>
      </c>
      <c r="B120">
        <f>IFERROR(INDEX('2.현장'!$V$2:$V$1001,MATCH(117,'2.현장'!$W$2:$W$1001,0)),"")</f>
        <v/>
      </c>
      <c r="C120">
        <f>IF(B120="","",COUNTIFS('2.현장'!$V$2:$V$1001,B120,'2.현장'!$T$2:$T$1001,TRUE))</f>
        <v/>
      </c>
      <c r="D120">
        <f>IF(B120="","",COUNTIFS('2.현장'!$V$2:$V$1001,B120,'2.현장'!$U$2:$U$1001,"설계사"))</f>
        <v/>
      </c>
      <c r="E120">
        <f>IF(B120="","",COUNTIFS('2.현장'!$V$2:$V$1001,B120,'2.현장'!$U$2:$U$1001,"시공사"))</f>
        <v/>
      </c>
      <c r="F120" s="5">
        <f>IF(B120="","",_xlfn.MAXIFS('2.현장'!$D$2:$D$1001,'2.현장'!$V$2:$V$1001,B120,'2.현장'!$T$2:$T$1001,TRUE))</f>
        <v/>
      </c>
      <c r="G120" s="6">
        <f>IF(B120="","",IF(_xlfn.MAXIFS('2.현장'!$L$2:$L$1001,'2.현장'!$V$2:$V$1001,B120,'2.현장'!$T$2:$T$1001,TRUE)=0,"",_xlfn.MAXIFS('2.현장'!$L$2:$L$1001,'2.현장'!$V$2:$V$1001,B120,'2.현장'!$T$2:$T$1001,TRUE)))</f>
        <v/>
      </c>
      <c r="H120">
        <f>IF(B120="","",IFERROR(INDEX('2.현장'!$C$2:$C$1001,IFERROR(MATCH(B120&amp;"|설계사",'2.현장'!$Z$2:$Z$1001,0),IFERROR(MATCH(B120&amp;"|시공사",'2.현장'!$Z$2:$Z$1001,0),MATCH(B120&amp;"|늦음",'2.현장'!$Z$2:$Z$1001,0)))),""))</f>
        <v/>
      </c>
      <c r="I120">
        <f>IF(B120="","",IFERROR(INDEX('2.현장'!$N$2:$N$1001,IFERROR(MATCH(B120&amp;"|설계사",'2.현장'!$Z$2:$Z$1001,0),IFERROR(MATCH(B120&amp;"|시공사",'2.현장'!$Z$2:$Z$1001,0),MATCH(B120&amp;"|늦음",'2.현장'!$Z$2:$Z$1001,0)))),""))</f>
        <v/>
      </c>
      <c r="J120">
        <f>IF(B120="","",IFERROR(VLOOKUP(B120,설계사_메모!$A$3:$G$302,2,FALSE)&amp;"",""))</f>
        <v/>
      </c>
      <c r="K120">
        <f>IF(B120="","",IFERROR(VLOOKUP(B120,설계사_메모!$A$3:$G$302,4,FALSE)&amp;"",""))</f>
        <v/>
      </c>
      <c r="L120" s="6">
        <f>IF(B120="","",IF(COUNTIF('4.방문기록'!$B$3:$B$502,B120)=0,"",_xlfn.MAXIFS('4.방문기록'!$A$3:$A$502,'4.방문기록'!$B$3:$B$502,B120)))</f>
        <v/>
      </c>
      <c r="M120">
        <f>IF(L120="","",설정!$B$24-L120)</f>
        <v/>
      </c>
      <c r="N120" s="6">
        <f>IF(B120="","",IF(_xlfn.MAXIFS('4.방문기록'!$F$3:$F$502,'4.방문기록'!$B$3:$B$502,B120)=0,"",_xlfn.MAXIFS('4.방문기록'!$F$3:$F$502,'4.방문기록'!$B$3:$B$502,B120)))</f>
        <v/>
      </c>
      <c r="O120">
        <f>IF(L120="","",IFERROR(INDEX('4.방문기록'!$H$3:$H$502,MATCH(B120&amp;"|"&amp;(L120*1),'4.방문기록'!$I$3:$I$502,0))&amp;"",""))</f>
        <v/>
      </c>
      <c r="P120">
        <f>IF(B120="","",IF(O120="관심 없음","제외",IF(L120="","안 가봄",IF(M120&gt;=설정!$B$20,M120&amp;"일 지남","최근 방문"))))</f>
        <v/>
      </c>
      <c r="Q120" s="7">
        <f>IF(B120="","",IF(P120="제외","",IF(AND(설정!$B$21&lt;&gt;"",I120&lt;&gt;설정!$B$21),"",IF(AND(N120&lt;&gt;"",N120&gt;N(L120),N120&lt;=설정!$B$24+7),100+7-(N120-설정!$B$24),IF(AND(D120&gt;0,OR(P120="안 가봄",RIGHT(P120,2)="지남")),D120*10+IF(L120="",30,MIN(M120,60)/2)+MIN(N(F120)/1000,20),"")))))</f>
        <v/>
      </c>
      <c r="R120">
        <f>IF(Q120="","",COUNTIF(Q$4:Q$303,"&gt;"&amp;Q120)+COUNTIF(Q$4:Q120,Q120))</f>
        <v/>
      </c>
    </row>
    <row r="121">
      <c r="A121">
        <f>IF(B121="","",118)</f>
        <v/>
      </c>
      <c r="B121">
        <f>IFERROR(INDEX('2.현장'!$V$2:$V$1001,MATCH(118,'2.현장'!$W$2:$W$1001,0)),"")</f>
        <v/>
      </c>
      <c r="C121">
        <f>IF(B121="","",COUNTIFS('2.현장'!$V$2:$V$1001,B121,'2.현장'!$T$2:$T$1001,TRUE))</f>
        <v/>
      </c>
      <c r="D121">
        <f>IF(B121="","",COUNTIFS('2.현장'!$V$2:$V$1001,B121,'2.현장'!$U$2:$U$1001,"설계사"))</f>
        <v/>
      </c>
      <c r="E121">
        <f>IF(B121="","",COUNTIFS('2.현장'!$V$2:$V$1001,B121,'2.현장'!$U$2:$U$1001,"시공사"))</f>
        <v/>
      </c>
      <c r="F121" s="5">
        <f>IF(B121="","",_xlfn.MAXIFS('2.현장'!$D$2:$D$1001,'2.현장'!$V$2:$V$1001,B121,'2.현장'!$T$2:$T$1001,TRUE))</f>
        <v/>
      </c>
      <c r="G121" s="6">
        <f>IF(B121="","",IF(_xlfn.MAXIFS('2.현장'!$L$2:$L$1001,'2.현장'!$V$2:$V$1001,B121,'2.현장'!$T$2:$T$1001,TRUE)=0,"",_xlfn.MAXIFS('2.현장'!$L$2:$L$1001,'2.현장'!$V$2:$V$1001,B121,'2.현장'!$T$2:$T$1001,TRUE)))</f>
        <v/>
      </c>
      <c r="H121">
        <f>IF(B121="","",IFERROR(INDEX('2.현장'!$C$2:$C$1001,IFERROR(MATCH(B121&amp;"|설계사",'2.현장'!$Z$2:$Z$1001,0),IFERROR(MATCH(B121&amp;"|시공사",'2.현장'!$Z$2:$Z$1001,0),MATCH(B121&amp;"|늦음",'2.현장'!$Z$2:$Z$1001,0)))),""))</f>
        <v/>
      </c>
      <c r="I121">
        <f>IF(B121="","",IFERROR(INDEX('2.현장'!$N$2:$N$1001,IFERROR(MATCH(B121&amp;"|설계사",'2.현장'!$Z$2:$Z$1001,0),IFERROR(MATCH(B121&amp;"|시공사",'2.현장'!$Z$2:$Z$1001,0),MATCH(B121&amp;"|늦음",'2.현장'!$Z$2:$Z$1001,0)))),""))</f>
        <v/>
      </c>
      <c r="J121">
        <f>IF(B121="","",IFERROR(VLOOKUP(B121,설계사_메모!$A$3:$G$302,2,FALSE)&amp;"",""))</f>
        <v/>
      </c>
      <c r="K121">
        <f>IF(B121="","",IFERROR(VLOOKUP(B121,설계사_메모!$A$3:$G$302,4,FALSE)&amp;"",""))</f>
        <v/>
      </c>
      <c r="L121" s="6">
        <f>IF(B121="","",IF(COUNTIF('4.방문기록'!$B$3:$B$502,B121)=0,"",_xlfn.MAXIFS('4.방문기록'!$A$3:$A$502,'4.방문기록'!$B$3:$B$502,B121)))</f>
        <v/>
      </c>
      <c r="M121">
        <f>IF(L121="","",설정!$B$24-L121)</f>
        <v/>
      </c>
      <c r="N121" s="6">
        <f>IF(B121="","",IF(_xlfn.MAXIFS('4.방문기록'!$F$3:$F$502,'4.방문기록'!$B$3:$B$502,B121)=0,"",_xlfn.MAXIFS('4.방문기록'!$F$3:$F$502,'4.방문기록'!$B$3:$B$502,B121)))</f>
        <v/>
      </c>
      <c r="O121">
        <f>IF(L121="","",IFERROR(INDEX('4.방문기록'!$H$3:$H$502,MATCH(B121&amp;"|"&amp;(L121*1),'4.방문기록'!$I$3:$I$502,0))&amp;"",""))</f>
        <v/>
      </c>
      <c r="P121">
        <f>IF(B121="","",IF(O121="관심 없음","제외",IF(L121="","안 가봄",IF(M121&gt;=설정!$B$20,M121&amp;"일 지남","최근 방문"))))</f>
        <v/>
      </c>
      <c r="Q121" s="7">
        <f>IF(B121="","",IF(P121="제외","",IF(AND(설정!$B$21&lt;&gt;"",I121&lt;&gt;설정!$B$21),"",IF(AND(N121&lt;&gt;"",N121&gt;N(L121),N121&lt;=설정!$B$24+7),100+7-(N121-설정!$B$24),IF(AND(D121&gt;0,OR(P121="안 가봄",RIGHT(P121,2)="지남")),D121*10+IF(L121="",30,MIN(M121,60)/2)+MIN(N(F121)/1000,20),"")))))</f>
        <v/>
      </c>
      <c r="R121">
        <f>IF(Q121="","",COUNTIF(Q$4:Q$303,"&gt;"&amp;Q121)+COUNTIF(Q$4:Q121,Q121))</f>
        <v/>
      </c>
    </row>
    <row r="122">
      <c r="A122">
        <f>IF(B122="","",119)</f>
        <v/>
      </c>
      <c r="B122">
        <f>IFERROR(INDEX('2.현장'!$V$2:$V$1001,MATCH(119,'2.현장'!$W$2:$W$1001,0)),"")</f>
        <v/>
      </c>
      <c r="C122">
        <f>IF(B122="","",COUNTIFS('2.현장'!$V$2:$V$1001,B122,'2.현장'!$T$2:$T$1001,TRUE))</f>
        <v/>
      </c>
      <c r="D122">
        <f>IF(B122="","",COUNTIFS('2.현장'!$V$2:$V$1001,B122,'2.현장'!$U$2:$U$1001,"설계사"))</f>
        <v/>
      </c>
      <c r="E122">
        <f>IF(B122="","",COUNTIFS('2.현장'!$V$2:$V$1001,B122,'2.현장'!$U$2:$U$1001,"시공사"))</f>
        <v/>
      </c>
      <c r="F122" s="5">
        <f>IF(B122="","",_xlfn.MAXIFS('2.현장'!$D$2:$D$1001,'2.현장'!$V$2:$V$1001,B122,'2.현장'!$T$2:$T$1001,TRUE))</f>
        <v/>
      </c>
      <c r="G122" s="6">
        <f>IF(B122="","",IF(_xlfn.MAXIFS('2.현장'!$L$2:$L$1001,'2.현장'!$V$2:$V$1001,B122,'2.현장'!$T$2:$T$1001,TRUE)=0,"",_xlfn.MAXIFS('2.현장'!$L$2:$L$1001,'2.현장'!$V$2:$V$1001,B122,'2.현장'!$T$2:$T$1001,TRUE)))</f>
        <v/>
      </c>
      <c r="H122">
        <f>IF(B122="","",IFERROR(INDEX('2.현장'!$C$2:$C$1001,IFERROR(MATCH(B122&amp;"|설계사",'2.현장'!$Z$2:$Z$1001,0),IFERROR(MATCH(B122&amp;"|시공사",'2.현장'!$Z$2:$Z$1001,0),MATCH(B122&amp;"|늦음",'2.현장'!$Z$2:$Z$1001,0)))),""))</f>
        <v/>
      </c>
      <c r="I122">
        <f>IF(B122="","",IFERROR(INDEX('2.현장'!$N$2:$N$1001,IFERROR(MATCH(B122&amp;"|설계사",'2.현장'!$Z$2:$Z$1001,0),IFERROR(MATCH(B122&amp;"|시공사",'2.현장'!$Z$2:$Z$1001,0),MATCH(B122&amp;"|늦음",'2.현장'!$Z$2:$Z$1001,0)))),""))</f>
        <v/>
      </c>
      <c r="J122">
        <f>IF(B122="","",IFERROR(VLOOKUP(B122,설계사_메모!$A$3:$G$302,2,FALSE)&amp;"",""))</f>
        <v/>
      </c>
      <c r="K122">
        <f>IF(B122="","",IFERROR(VLOOKUP(B122,설계사_메모!$A$3:$G$302,4,FALSE)&amp;"",""))</f>
        <v/>
      </c>
      <c r="L122" s="6">
        <f>IF(B122="","",IF(COUNTIF('4.방문기록'!$B$3:$B$502,B122)=0,"",_xlfn.MAXIFS('4.방문기록'!$A$3:$A$502,'4.방문기록'!$B$3:$B$502,B122)))</f>
        <v/>
      </c>
      <c r="M122">
        <f>IF(L122="","",설정!$B$24-L122)</f>
        <v/>
      </c>
      <c r="N122" s="6">
        <f>IF(B122="","",IF(_xlfn.MAXIFS('4.방문기록'!$F$3:$F$502,'4.방문기록'!$B$3:$B$502,B122)=0,"",_xlfn.MAXIFS('4.방문기록'!$F$3:$F$502,'4.방문기록'!$B$3:$B$502,B122)))</f>
        <v/>
      </c>
      <c r="O122">
        <f>IF(L122="","",IFERROR(INDEX('4.방문기록'!$H$3:$H$502,MATCH(B122&amp;"|"&amp;(L122*1),'4.방문기록'!$I$3:$I$502,0))&amp;"",""))</f>
        <v/>
      </c>
      <c r="P122">
        <f>IF(B122="","",IF(O122="관심 없음","제외",IF(L122="","안 가봄",IF(M122&gt;=설정!$B$20,M122&amp;"일 지남","최근 방문"))))</f>
        <v/>
      </c>
      <c r="Q122" s="7">
        <f>IF(B122="","",IF(P122="제외","",IF(AND(설정!$B$21&lt;&gt;"",I122&lt;&gt;설정!$B$21),"",IF(AND(N122&lt;&gt;"",N122&gt;N(L122),N122&lt;=설정!$B$24+7),100+7-(N122-설정!$B$24),IF(AND(D122&gt;0,OR(P122="안 가봄",RIGHT(P122,2)="지남")),D122*10+IF(L122="",30,MIN(M122,60)/2)+MIN(N(F122)/1000,20),"")))))</f>
        <v/>
      </c>
      <c r="R122">
        <f>IF(Q122="","",COUNTIF(Q$4:Q$303,"&gt;"&amp;Q122)+COUNTIF(Q$4:Q122,Q122))</f>
        <v/>
      </c>
    </row>
    <row r="123">
      <c r="A123">
        <f>IF(B123="","",120)</f>
        <v/>
      </c>
      <c r="B123">
        <f>IFERROR(INDEX('2.현장'!$V$2:$V$1001,MATCH(120,'2.현장'!$W$2:$W$1001,0)),"")</f>
        <v/>
      </c>
      <c r="C123">
        <f>IF(B123="","",COUNTIFS('2.현장'!$V$2:$V$1001,B123,'2.현장'!$T$2:$T$1001,TRUE))</f>
        <v/>
      </c>
      <c r="D123">
        <f>IF(B123="","",COUNTIFS('2.현장'!$V$2:$V$1001,B123,'2.현장'!$U$2:$U$1001,"설계사"))</f>
        <v/>
      </c>
      <c r="E123">
        <f>IF(B123="","",COUNTIFS('2.현장'!$V$2:$V$1001,B123,'2.현장'!$U$2:$U$1001,"시공사"))</f>
        <v/>
      </c>
      <c r="F123" s="5">
        <f>IF(B123="","",_xlfn.MAXIFS('2.현장'!$D$2:$D$1001,'2.현장'!$V$2:$V$1001,B123,'2.현장'!$T$2:$T$1001,TRUE))</f>
        <v/>
      </c>
      <c r="G123" s="6">
        <f>IF(B123="","",IF(_xlfn.MAXIFS('2.현장'!$L$2:$L$1001,'2.현장'!$V$2:$V$1001,B123,'2.현장'!$T$2:$T$1001,TRUE)=0,"",_xlfn.MAXIFS('2.현장'!$L$2:$L$1001,'2.현장'!$V$2:$V$1001,B123,'2.현장'!$T$2:$T$1001,TRUE)))</f>
        <v/>
      </c>
      <c r="H123">
        <f>IF(B123="","",IFERROR(INDEX('2.현장'!$C$2:$C$1001,IFERROR(MATCH(B123&amp;"|설계사",'2.현장'!$Z$2:$Z$1001,0),IFERROR(MATCH(B123&amp;"|시공사",'2.현장'!$Z$2:$Z$1001,0),MATCH(B123&amp;"|늦음",'2.현장'!$Z$2:$Z$1001,0)))),""))</f>
        <v/>
      </c>
      <c r="I123">
        <f>IF(B123="","",IFERROR(INDEX('2.현장'!$N$2:$N$1001,IFERROR(MATCH(B123&amp;"|설계사",'2.현장'!$Z$2:$Z$1001,0),IFERROR(MATCH(B123&amp;"|시공사",'2.현장'!$Z$2:$Z$1001,0),MATCH(B123&amp;"|늦음",'2.현장'!$Z$2:$Z$1001,0)))),""))</f>
        <v/>
      </c>
      <c r="J123">
        <f>IF(B123="","",IFERROR(VLOOKUP(B123,설계사_메모!$A$3:$G$302,2,FALSE)&amp;"",""))</f>
        <v/>
      </c>
      <c r="K123">
        <f>IF(B123="","",IFERROR(VLOOKUP(B123,설계사_메모!$A$3:$G$302,4,FALSE)&amp;"",""))</f>
        <v/>
      </c>
      <c r="L123" s="6">
        <f>IF(B123="","",IF(COUNTIF('4.방문기록'!$B$3:$B$502,B123)=0,"",_xlfn.MAXIFS('4.방문기록'!$A$3:$A$502,'4.방문기록'!$B$3:$B$502,B123)))</f>
        <v/>
      </c>
      <c r="M123">
        <f>IF(L123="","",설정!$B$24-L123)</f>
        <v/>
      </c>
      <c r="N123" s="6">
        <f>IF(B123="","",IF(_xlfn.MAXIFS('4.방문기록'!$F$3:$F$502,'4.방문기록'!$B$3:$B$502,B123)=0,"",_xlfn.MAXIFS('4.방문기록'!$F$3:$F$502,'4.방문기록'!$B$3:$B$502,B123)))</f>
        <v/>
      </c>
      <c r="O123">
        <f>IF(L123="","",IFERROR(INDEX('4.방문기록'!$H$3:$H$502,MATCH(B123&amp;"|"&amp;(L123*1),'4.방문기록'!$I$3:$I$502,0))&amp;"",""))</f>
        <v/>
      </c>
      <c r="P123">
        <f>IF(B123="","",IF(O123="관심 없음","제외",IF(L123="","안 가봄",IF(M123&gt;=설정!$B$20,M123&amp;"일 지남","최근 방문"))))</f>
        <v/>
      </c>
      <c r="Q123" s="7">
        <f>IF(B123="","",IF(P123="제외","",IF(AND(설정!$B$21&lt;&gt;"",I123&lt;&gt;설정!$B$21),"",IF(AND(N123&lt;&gt;"",N123&gt;N(L123),N123&lt;=설정!$B$24+7),100+7-(N123-설정!$B$24),IF(AND(D123&gt;0,OR(P123="안 가봄",RIGHT(P123,2)="지남")),D123*10+IF(L123="",30,MIN(M123,60)/2)+MIN(N(F123)/1000,20),"")))))</f>
        <v/>
      </c>
      <c r="R123">
        <f>IF(Q123="","",COUNTIF(Q$4:Q$303,"&gt;"&amp;Q123)+COUNTIF(Q$4:Q123,Q123))</f>
        <v/>
      </c>
    </row>
    <row r="124">
      <c r="A124">
        <f>IF(B124="","",121)</f>
        <v/>
      </c>
      <c r="B124">
        <f>IFERROR(INDEX('2.현장'!$V$2:$V$1001,MATCH(121,'2.현장'!$W$2:$W$1001,0)),"")</f>
        <v/>
      </c>
      <c r="C124">
        <f>IF(B124="","",COUNTIFS('2.현장'!$V$2:$V$1001,B124,'2.현장'!$T$2:$T$1001,TRUE))</f>
        <v/>
      </c>
      <c r="D124">
        <f>IF(B124="","",COUNTIFS('2.현장'!$V$2:$V$1001,B124,'2.현장'!$U$2:$U$1001,"설계사"))</f>
        <v/>
      </c>
      <c r="E124">
        <f>IF(B124="","",COUNTIFS('2.현장'!$V$2:$V$1001,B124,'2.현장'!$U$2:$U$1001,"시공사"))</f>
        <v/>
      </c>
      <c r="F124" s="5">
        <f>IF(B124="","",_xlfn.MAXIFS('2.현장'!$D$2:$D$1001,'2.현장'!$V$2:$V$1001,B124,'2.현장'!$T$2:$T$1001,TRUE))</f>
        <v/>
      </c>
      <c r="G124" s="6">
        <f>IF(B124="","",IF(_xlfn.MAXIFS('2.현장'!$L$2:$L$1001,'2.현장'!$V$2:$V$1001,B124,'2.현장'!$T$2:$T$1001,TRUE)=0,"",_xlfn.MAXIFS('2.현장'!$L$2:$L$1001,'2.현장'!$V$2:$V$1001,B124,'2.현장'!$T$2:$T$1001,TRUE)))</f>
        <v/>
      </c>
      <c r="H124">
        <f>IF(B124="","",IFERROR(INDEX('2.현장'!$C$2:$C$1001,IFERROR(MATCH(B124&amp;"|설계사",'2.현장'!$Z$2:$Z$1001,0),IFERROR(MATCH(B124&amp;"|시공사",'2.현장'!$Z$2:$Z$1001,0),MATCH(B124&amp;"|늦음",'2.현장'!$Z$2:$Z$1001,0)))),""))</f>
        <v/>
      </c>
      <c r="I124">
        <f>IF(B124="","",IFERROR(INDEX('2.현장'!$N$2:$N$1001,IFERROR(MATCH(B124&amp;"|설계사",'2.현장'!$Z$2:$Z$1001,0),IFERROR(MATCH(B124&amp;"|시공사",'2.현장'!$Z$2:$Z$1001,0),MATCH(B124&amp;"|늦음",'2.현장'!$Z$2:$Z$1001,0)))),""))</f>
        <v/>
      </c>
      <c r="J124">
        <f>IF(B124="","",IFERROR(VLOOKUP(B124,설계사_메모!$A$3:$G$302,2,FALSE)&amp;"",""))</f>
        <v/>
      </c>
      <c r="K124">
        <f>IF(B124="","",IFERROR(VLOOKUP(B124,설계사_메모!$A$3:$G$302,4,FALSE)&amp;"",""))</f>
        <v/>
      </c>
      <c r="L124" s="6">
        <f>IF(B124="","",IF(COUNTIF('4.방문기록'!$B$3:$B$502,B124)=0,"",_xlfn.MAXIFS('4.방문기록'!$A$3:$A$502,'4.방문기록'!$B$3:$B$502,B124)))</f>
        <v/>
      </c>
      <c r="M124">
        <f>IF(L124="","",설정!$B$24-L124)</f>
        <v/>
      </c>
      <c r="N124" s="6">
        <f>IF(B124="","",IF(_xlfn.MAXIFS('4.방문기록'!$F$3:$F$502,'4.방문기록'!$B$3:$B$502,B124)=0,"",_xlfn.MAXIFS('4.방문기록'!$F$3:$F$502,'4.방문기록'!$B$3:$B$502,B124)))</f>
        <v/>
      </c>
      <c r="O124">
        <f>IF(L124="","",IFERROR(INDEX('4.방문기록'!$H$3:$H$502,MATCH(B124&amp;"|"&amp;(L124*1),'4.방문기록'!$I$3:$I$502,0))&amp;"",""))</f>
        <v/>
      </c>
      <c r="P124">
        <f>IF(B124="","",IF(O124="관심 없음","제외",IF(L124="","안 가봄",IF(M124&gt;=설정!$B$20,M124&amp;"일 지남","최근 방문"))))</f>
        <v/>
      </c>
      <c r="Q124" s="7">
        <f>IF(B124="","",IF(P124="제외","",IF(AND(설정!$B$21&lt;&gt;"",I124&lt;&gt;설정!$B$21),"",IF(AND(N124&lt;&gt;"",N124&gt;N(L124),N124&lt;=설정!$B$24+7),100+7-(N124-설정!$B$24),IF(AND(D124&gt;0,OR(P124="안 가봄",RIGHT(P124,2)="지남")),D124*10+IF(L124="",30,MIN(M124,60)/2)+MIN(N(F124)/1000,20),"")))))</f>
        <v/>
      </c>
      <c r="R124">
        <f>IF(Q124="","",COUNTIF(Q$4:Q$303,"&gt;"&amp;Q124)+COUNTIF(Q$4:Q124,Q124))</f>
        <v/>
      </c>
    </row>
    <row r="125">
      <c r="A125">
        <f>IF(B125="","",122)</f>
        <v/>
      </c>
      <c r="B125">
        <f>IFERROR(INDEX('2.현장'!$V$2:$V$1001,MATCH(122,'2.현장'!$W$2:$W$1001,0)),"")</f>
        <v/>
      </c>
      <c r="C125">
        <f>IF(B125="","",COUNTIFS('2.현장'!$V$2:$V$1001,B125,'2.현장'!$T$2:$T$1001,TRUE))</f>
        <v/>
      </c>
      <c r="D125">
        <f>IF(B125="","",COUNTIFS('2.현장'!$V$2:$V$1001,B125,'2.현장'!$U$2:$U$1001,"설계사"))</f>
        <v/>
      </c>
      <c r="E125">
        <f>IF(B125="","",COUNTIFS('2.현장'!$V$2:$V$1001,B125,'2.현장'!$U$2:$U$1001,"시공사"))</f>
        <v/>
      </c>
      <c r="F125" s="5">
        <f>IF(B125="","",_xlfn.MAXIFS('2.현장'!$D$2:$D$1001,'2.현장'!$V$2:$V$1001,B125,'2.현장'!$T$2:$T$1001,TRUE))</f>
        <v/>
      </c>
      <c r="G125" s="6">
        <f>IF(B125="","",IF(_xlfn.MAXIFS('2.현장'!$L$2:$L$1001,'2.현장'!$V$2:$V$1001,B125,'2.현장'!$T$2:$T$1001,TRUE)=0,"",_xlfn.MAXIFS('2.현장'!$L$2:$L$1001,'2.현장'!$V$2:$V$1001,B125,'2.현장'!$T$2:$T$1001,TRUE)))</f>
        <v/>
      </c>
      <c r="H125">
        <f>IF(B125="","",IFERROR(INDEX('2.현장'!$C$2:$C$1001,IFERROR(MATCH(B125&amp;"|설계사",'2.현장'!$Z$2:$Z$1001,0),IFERROR(MATCH(B125&amp;"|시공사",'2.현장'!$Z$2:$Z$1001,0),MATCH(B125&amp;"|늦음",'2.현장'!$Z$2:$Z$1001,0)))),""))</f>
        <v/>
      </c>
      <c r="I125">
        <f>IF(B125="","",IFERROR(INDEX('2.현장'!$N$2:$N$1001,IFERROR(MATCH(B125&amp;"|설계사",'2.현장'!$Z$2:$Z$1001,0),IFERROR(MATCH(B125&amp;"|시공사",'2.현장'!$Z$2:$Z$1001,0),MATCH(B125&amp;"|늦음",'2.현장'!$Z$2:$Z$1001,0)))),""))</f>
        <v/>
      </c>
      <c r="J125">
        <f>IF(B125="","",IFERROR(VLOOKUP(B125,설계사_메모!$A$3:$G$302,2,FALSE)&amp;"",""))</f>
        <v/>
      </c>
      <c r="K125">
        <f>IF(B125="","",IFERROR(VLOOKUP(B125,설계사_메모!$A$3:$G$302,4,FALSE)&amp;"",""))</f>
        <v/>
      </c>
      <c r="L125" s="6">
        <f>IF(B125="","",IF(COUNTIF('4.방문기록'!$B$3:$B$502,B125)=0,"",_xlfn.MAXIFS('4.방문기록'!$A$3:$A$502,'4.방문기록'!$B$3:$B$502,B125)))</f>
        <v/>
      </c>
      <c r="M125">
        <f>IF(L125="","",설정!$B$24-L125)</f>
        <v/>
      </c>
      <c r="N125" s="6">
        <f>IF(B125="","",IF(_xlfn.MAXIFS('4.방문기록'!$F$3:$F$502,'4.방문기록'!$B$3:$B$502,B125)=0,"",_xlfn.MAXIFS('4.방문기록'!$F$3:$F$502,'4.방문기록'!$B$3:$B$502,B125)))</f>
        <v/>
      </c>
      <c r="O125">
        <f>IF(L125="","",IFERROR(INDEX('4.방문기록'!$H$3:$H$502,MATCH(B125&amp;"|"&amp;(L125*1),'4.방문기록'!$I$3:$I$502,0))&amp;"",""))</f>
        <v/>
      </c>
      <c r="P125">
        <f>IF(B125="","",IF(O125="관심 없음","제외",IF(L125="","안 가봄",IF(M125&gt;=설정!$B$20,M125&amp;"일 지남","최근 방문"))))</f>
        <v/>
      </c>
      <c r="Q125" s="7">
        <f>IF(B125="","",IF(P125="제외","",IF(AND(설정!$B$21&lt;&gt;"",I125&lt;&gt;설정!$B$21),"",IF(AND(N125&lt;&gt;"",N125&gt;N(L125),N125&lt;=설정!$B$24+7),100+7-(N125-설정!$B$24),IF(AND(D125&gt;0,OR(P125="안 가봄",RIGHT(P125,2)="지남")),D125*10+IF(L125="",30,MIN(M125,60)/2)+MIN(N(F125)/1000,20),"")))))</f>
        <v/>
      </c>
      <c r="R125">
        <f>IF(Q125="","",COUNTIF(Q$4:Q$303,"&gt;"&amp;Q125)+COUNTIF(Q$4:Q125,Q125))</f>
        <v/>
      </c>
    </row>
    <row r="126">
      <c r="A126">
        <f>IF(B126="","",123)</f>
        <v/>
      </c>
      <c r="B126">
        <f>IFERROR(INDEX('2.현장'!$V$2:$V$1001,MATCH(123,'2.현장'!$W$2:$W$1001,0)),"")</f>
        <v/>
      </c>
      <c r="C126">
        <f>IF(B126="","",COUNTIFS('2.현장'!$V$2:$V$1001,B126,'2.현장'!$T$2:$T$1001,TRUE))</f>
        <v/>
      </c>
      <c r="D126">
        <f>IF(B126="","",COUNTIFS('2.현장'!$V$2:$V$1001,B126,'2.현장'!$U$2:$U$1001,"설계사"))</f>
        <v/>
      </c>
      <c r="E126">
        <f>IF(B126="","",COUNTIFS('2.현장'!$V$2:$V$1001,B126,'2.현장'!$U$2:$U$1001,"시공사"))</f>
        <v/>
      </c>
      <c r="F126" s="5">
        <f>IF(B126="","",_xlfn.MAXIFS('2.현장'!$D$2:$D$1001,'2.현장'!$V$2:$V$1001,B126,'2.현장'!$T$2:$T$1001,TRUE))</f>
        <v/>
      </c>
      <c r="G126" s="6">
        <f>IF(B126="","",IF(_xlfn.MAXIFS('2.현장'!$L$2:$L$1001,'2.현장'!$V$2:$V$1001,B126,'2.현장'!$T$2:$T$1001,TRUE)=0,"",_xlfn.MAXIFS('2.현장'!$L$2:$L$1001,'2.현장'!$V$2:$V$1001,B126,'2.현장'!$T$2:$T$1001,TRUE)))</f>
        <v/>
      </c>
      <c r="H126">
        <f>IF(B126="","",IFERROR(INDEX('2.현장'!$C$2:$C$1001,IFERROR(MATCH(B126&amp;"|설계사",'2.현장'!$Z$2:$Z$1001,0),IFERROR(MATCH(B126&amp;"|시공사",'2.현장'!$Z$2:$Z$1001,0),MATCH(B126&amp;"|늦음",'2.현장'!$Z$2:$Z$1001,0)))),""))</f>
        <v/>
      </c>
      <c r="I126">
        <f>IF(B126="","",IFERROR(INDEX('2.현장'!$N$2:$N$1001,IFERROR(MATCH(B126&amp;"|설계사",'2.현장'!$Z$2:$Z$1001,0),IFERROR(MATCH(B126&amp;"|시공사",'2.현장'!$Z$2:$Z$1001,0),MATCH(B126&amp;"|늦음",'2.현장'!$Z$2:$Z$1001,0)))),""))</f>
        <v/>
      </c>
      <c r="J126">
        <f>IF(B126="","",IFERROR(VLOOKUP(B126,설계사_메모!$A$3:$G$302,2,FALSE)&amp;"",""))</f>
        <v/>
      </c>
      <c r="K126">
        <f>IF(B126="","",IFERROR(VLOOKUP(B126,설계사_메모!$A$3:$G$302,4,FALSE)&amp;"",""))</f>
        <v/>
      </c>
      <c r="L126" s="6">
        <f>IF(B126="","",IF(COUNTIF('4.방문기록'!$B$3:$B$502,B126)=0,"",_xlfn.MAXIFS('4.방문기록'!$A$3:$A$502,'4.방문기록'!$B$3:$B$502,B126)))</f>
        <v/>
      </c>
      <c r="M126">
        <f>IF(L126="","",설정!$B$24-L126)</f>
        <v/>
      </c>
      <c r="N126" s="6">
        <f>IF(B126="","",IF(_xlfn.MAXIFS('4.방문기록'!$F$3:$F$502,'4.방문기록'!$B$3:$B$502,B126)=0,"",_xlfn.MAXIFS('4.방문기록'!$F$3:$F$502,'4.방문기록'!$B$3:$B$502,B126)))</f>
        <v/>
      </c>
      <c r="O126">
        <f>IF(L126="","",IFERROR(INDEX('4.방문기록'!$H$3:$H$502,MATCH(B126&amp;"|"&amp;(L126*1),'4.방문기록'!$I$3:$I$502,0))&amp;"",""))</f>
        <v/>
      </c>
      <c r="P126">
        <f>IF(B126="","",IF(O126="관심 없음","제외",IF(L126="","안 가봄",IF(M126&gt;=설정!$B$20,M126&amp;"일 지남","최근 방문"))))</f>
        <v/>
      </c>
      <c r="Q126" s="7">
        <f>IF(B126="","",IF(P126="제외","",IF(AND(설정!$B$21&lt;&gt;"",I126&lt;&gt;설정!$B$21),"",IF(AND(N126&lt;&gt;"",N126&gt;N(L126),N126&lt;=설정!$B$24+7),100+7-(N126-설정!$B$24),IF(AND(D126&gt;0,OR(P126="안 가봄",RIGHT(P126,2)="지남")),D126*10+IF(L126="",30,MIN(M126,60)/2)+MIN(N(F126)/1000,20),"")))))</f>
        <v/>
      </c>
      <c r="R126">
        <f>IF(Q126="","",COUNTIF(Q$4:Q$303,"&gt;"&amp;Q126)+COUNTIF(Q$4:Q126,Q126))</f>
        <v/>
      </c>
    </row>
    <row r="127">
      <c r="A127">
        <f>IF(B127="","",124)</f>
        <v/>
      </c>
      <c r="B127">
        <f>IFERROR(INDEX('2.현장'!$V$2:$V$1001,MATCH(124,'2.현장'!$W$2:$W$1001,0)),"")</f>
        <v/>
      </c>
      <c r="C127">
        <f>IF(B127="","",COUNTIFS('2.현장'!$V$2:$V$1001,B127,'2.현장'!$T$2:$T$1001,TRUE))</f>
        <v/>
      </c>
      <c r="D127">
        <f>IF(B127="","",COUNTIFS('2.현장'!$V$2:$V$1001,B127,'2.현장'!$U$2:$U$1001,"설계사"))</f>
        <v/>
      </c>
      <c r="E127">
        <f>IF(B127="","",COUNTIFS('2.현장'!$V$2:$V$1001,B127,'2.현장'!$U$2:$U$1001,"시공사"))</f>
        <v/>
      </c>
      <c r="F127" s="5">
        <f>IF(B127="","",_xlfn.MAXIFS('2.현장'!$D$2:$D$1001,'2.현장'!$V$2:$V$1001,B127,'2.현장'!$T$2:$T$1001,TRUE))</f>
        <v/>
      </c>
      <c r="G127" s="6">
        <f>IF(B127="","",IF(_xlfn.MAXIFS('2.현장'!$L$2:$L$1001,'2.현장'!$V$2:$V$1001,B127,'2.현장'!$T$2:$T$1001,TRUE)=0,"",_xlfn.MAXIFS('2.현장'!$L$2:$L$1001,'2.현장'!$V$2:$V$1001,B127,'2.현장'!$T$2:$T$1001,TRUE)))</f>
        <v/>
      </c>
      <c r="H127">
        <f>IF(B127="","",IFERROR(INDEX('2.현장'!$C$2:$C$1001,IFERROR(MATCH(B127&amp;"|설계사",'2.현장'!$Z$2:$Z$1001,0),IFERROR(MATCH(B127&amp;"|시공사",'2.현장'!$Z$2:$Z$1001,0),MATCH(B127&amp;"|늦음",'2.현장'!$Z$2:$Z$1001,0)))),""))</f>
        <v/>
      </c>
      <c r="I127">
        <f>IF(B127="","",IFERROR(INDEX('2.현장'!$N$2:$N$1001,IFERROR(MATCH(B127&amp;"|설계사",'2.현장'!$Z$2:$Z$1001,0),IFERROR(MATCH(B127&amp;"|시공사",'2.현장'!$Z$2:$Z$1001,0),MATCH(B127&amp;"|늦음",'2.현장'!$Z$2:$Z$1001,0)))),""))</f>
        <v/>
      </c>
      <c r="J127">
        <f>IF(B127="","",IFERROR(VLOOKUP(B127,설계사_메모!$A$3:$G$302,2,FALSE)&amp;"",""))</f>
        <v/>
      </c>
      <c r="K127">
        <f>IF(B127="","",IFERROR(VLOOKUP(B127,설계사_메모!$A$3:$G$302,4,FALSE)&amp;"",""))</f>
        <v/>
      </c>
      <c r="L127" s="6">
        <f>IF(B127="","",IF(COUNTIF('4.방문기록'!$B$3:$B$502,B127)=0,"",_xlfn.MAXIFS('4.방문기록'!$A$3:$A$502,'4.방문기록'!$B$3:$B$502,B127)))</f>
        <v/>
      </c>
      <c r="M127">
        <f>IF(L127="","",설정!$B$24-L127)</f>
        <v/>
      </c>
      <c r="N127" s="6">
        <f>IF(B127="","",IF(_xlfn.MAXIFS('4.방문기록'!$F$3:$F$502,'4.방문기록'!$B$3:$B$502,B127)=0,"",_xlfn.MAXIFS('4.방문기록'!$F$3:$F$502,'4.방문기록'!$B$3:$B$502,B127)))</f>
        <v/>
      </c>
      <c r="O127">
        <f>IF(L127="","",IFERROR(INDEX('4.방문기록'!$H$3:$H$502,MATCH(B127&amp;"|"&amp;(L127*1),'4.방문기록'!$I$3:$I$502,0))&amp;"",""))</f>
        <v/>
      </c>
      <c r="P127">
        <f>IF(B127="","",IF(O127="관심 없음","제외",IF(L127="","안 가봄",IF(M127&gt;=설정!$B$20,M127&amp;"일 지남","최근 방문"))))</f>
        <v/>
      </c>
      <c r="Q127" s="7">
        <f>IF(B127="","",IF(P127="제외","",IF(AND(설정!$B$21&lt;&gt;"",I127&lt;&gt;설정!$B$21),"",IF(AND(N127&lt;&gt;"",N127&gt;N(L127),N127&lt;=설정!$B$24+7),100+7-(N127-설정!$B$24),IF(AND(D127&gt;0,OR(P127="안 가봄",RIGHT(P127,2)="지남")),D127*10+IF(L127="",30,MIN(M127,60)/2)+MIN(N(F127)/1000,20),"")))))</f>
        <v/>
      </c>
      <c r="R127">
        <f>IF(Q127="","",COUNTIF(Q$4:Q$303,"&gt;"&amp;Q127)+COUNTIF(Q$4:Q127,Q127))</f>
        <v/>
      </c>
    </row>
    <row r="128">
      <c r="A128">
        <f>IF(B128="","",125)</f>
        <v/>
      </c>
      <c r="B128">
        <f>IFERROR(INDEX('2.현장'!$V$2:$V$1001,MATCH(125,'2.현장'!$W$2:$W$1001,0)),"")</f>
        <v/>
      </c>
      <c r="C128">
        <f>IF(B128="","",COUNTIFS('2.현장'!$V$2:$V$1001,B128,'2.현장'!$T$2:$T$1001,TRUE))</f>
        <v/>
      </c>
      <c r="D128">
        <f>IF(B128="","",COUNTIFS('2.현장'!$V$2:$V$1001,B128,'2.현장'!$U$2:$U$1001,"설계사"))</f>
        <v/>
      </c>
      <c r="E128">
        <f>IF(B128="","",COUNTIFS('2.현장'!$V$2:$V$1001,B128,'2.현장'!$U$2:$U$1001,"시공사"))</f>
        <v/>
      </c>
      <c r="F128" s="5">
        <f>IF(B128="","",_xlfn.MAXIFS('2.현장'!$D$2:$D$1001,'2.현장'!$V$2:$V$1001,B128,'2.현장'!$T$2:$T$1001,TRUE))</f>
        <v/>
      </c>
      <c r="G128" s="6">
        <f>IF(B128="","",IF(_xlfn.MAXIFS('2.현장'!$L$2:$L$1001,'2.현장'!$V$2:$V$1001,B128,'2.현장'!$T$2:$T$1001,TRUE)=0,"",_xlfn.MAXIFS('2.현장'!$L$2:$L$1001,'2.현장'!$V$2:$V$1001,B128,'2.현장'!$T$2:$T$1001,TRUE)))</f>
        <v/>
      </c>
      <c r="H128">
        <f>IF(B128="","",IFERROR(INDEX('2.현장'!$C$2:$C$1001,IFERROR(MATCH(B128&amp;"|설계사",'2.현장'!$Z$2:$Z$1001,0),IFERROR(MATCH(B128&amp;"|시공사",'2.현장'!$Z$2:$Z$1001,0),MATCH(B128&amp;"|늦음",'2.현장'!$Z$2:$Z$1001,0)))),""))</f>
        <v/>
      </c>
      <c r="I128">
        <f>IF(B128="","",IFERROR(INDEX('2.현장'!$N$2:$N$1001,IFERROR(MATCH(B128&amp;"|설계사",'2.현장'!$Z$2:$Z$1001,0),IFERROR(MATCH(B128&amp;"|시공사",'2.현장'!$Z$2:$Z$1001,0),MATCH(B128&amp;"|늦음",'2.현장'!$Z$2:$Z$1001,0)))),""))</f>
        <v/>
      </c>
      <c r="J128">
        <f>IF(B128="","",IFERROR(VLOOKUP(B128,설계사_메모!$A$3:$G$302,2,FALSE)&amp;"",""))</f>
        <v/>
      </c>
      <c r="K128">
        <f>IF(B128="","",IFERROR(VLOOKUP(B128,설계사_메모!$A$3:$G$302,4,FALSE)&amp;"",""))</f>
        <v/>
      </c>
      <c r="L128" s="6">
        <f>IF(B128="","",IF(COUNTIF('4.방문기록'!$B$3:$B$502,B128)=0,"",_xlfn.MAXIFS('4.방문기록'!$A$3:$A$502,'4.방문기록'!$B$3:$B$502,B128)))</f>
        <v/>
      </c>
      <c r="M128">
        <f>IF(L128="","",설정!$B$24-L128)</f>
        <v/>
      </c>
      <c r="N128" s="6">
        <f>IF(B128="","",IF(_xlfn.MAXIFS('4.방문기록'!$F$3:$F$502,'4.방문기록'!$B$3:$B$502,B128)=0,"",_xlfn.MAXIFS('4.방문기록'!$F$3:$F$502,'4.방문기록'!$B$3:$B$502,B128)))</f>
        <v/>
      </c>
      <c r="O128">
        <f>IF(L128="","",IFERROR(INDEX('4.방문기록'!$H$3:$H$502,MATCH(B128&amp;"|"&amp;(L128*1),'4.방문기록'!$I$3:$I$502,0))&amp;"",""))</f>
        <v/>
      </c>
      <c r="P128">
        <f>IF(B128="","",IF(O128="관심 없음","제외",IF(L128="","안 가봄",IF(M128&gt;=설정!$B$20,M128&amp;"일 지남","최근 방문"))))</f>
        <v/>
      </c>
      <c r="Q128" s="7">
        <f>IF(B128="","",IF(P128="제외","",IF(AND(설정!$B$21&lt;&gt;"",I128&lt;&gt;설정!$B$21),"",IF(AND(N128&lt;&gt;"",N128&gt;N(L128),N128&lt;=설정!$B$24+7),100+7-(N128-설정!$B$24),IF(AND(D128&gt;0,OR(P128="안 가봄",RIGHT(P128,2)="지남")),D128*10+IF(L128="",30,MIN(M128,60)/2)+MIN(N(F128)/1000,20),"")))))</f>
        <v/>
      </c>
      <c r="R128">
        <f>IF(Q128="","",COUNTIF(Q$4:Q$303,"&gt;"&amp;Q128)+COUNTIF(Q$4:Q128,Q128))</f>
        <v/>
      </c>
    </row>
    <row r="129">
      <c r="A129">
        <f>IF(B129="","",126)</f>
        <v/>
      </c>
      <c r="B129">
        <f>IFERROR(INDEX('2.현장'!$V$2:$V$1001,MATCH(126,'2.현장'!$W$2:$W$1001,0)),"")</f>
        <v/>
      </c>
      <c r="C129">
        <f>IF(B129="","",COUNTIFS('2.현장'!$V$2:$V$1001,B129,'2.현장'!$T$2:$T$1001,TRUE))</f>
        <v/>
      </c>
      <c r="D129">
        <f>IF(B129="","",COUNTIFS('2.현장'!$V$2:$V$1001,B129,'2.현장'!$U$2:$U$1001,"설계사"))</f>
        <v/>
      </c>
      <c r="E129">
        <f>IF(B129="","",COUNTIFS('2.현장'!$V$2:$V$1001,B129,'2.현장'!$U$2:$U$1001,"시공사"))</f>
        <v/>
      </c>
      <c r="F129" s="5">
        <f>IF(B129="","",_xlfn.MAXIFS('2.현장'!$D$2:$D$1001,'2.현장'!$V$2:$V$1001,B129,'2.현장'!$T$2:$T$1001,TRUE))</f>
        <v/>
      </c>
      <c r="G129" s="6">
        <f>IF(B129="","",IF(_xlfn.MAXIFS('2.현장'!$L$2:$L$1001,'2.현장'!$V$2:$V$1001,B129,'2.현장'!$T$2:$T$1001,TRUE)=0,"",_xlfn.MAXIFS('2.현장'!$L$2:$L$1001,'2.현장'!$V$2:$V$1001,B129,'2.현장'!$T$2:$T$1001,TRUE)))</f>
        <v/>
      </c>
      <c r="H129">
        <f>IF(B129="","",IFERROR(INDEX('2.현장'!$C$2:$C$1001,IFERROR(MATCH(B129&amp;"|설계사",'2.현장'!$Z$2:$Z$1001,0),IFERROR(MATCH(B129&amp;"|시공사",'2.현장'!$Z$2:$Z$1001,0),MATCH(B129&amp;"|늦음",'2.현장'!$Z$2:$Z$1001,0)))),""))</f>
        <v/>
      </c>
      <c r="I129">
        <f>IF(B129="","",IFERROR(INDEX('2.현장'!$N$2:$N$1001,IFERROR(MATCH(B129&amp;"|설계사",'2.현장'!$Z$2:$Z$1001,0),IFERROR(MATCH(B129&amp;"|시공사",'2.현장'!$Z$2:$Z$1001,0),MATCH(B129&amp;"|늦음",'2.현장'!$Z$2:$Z$1001,0)))),""))</f>
        <v/>
      </c>
      <c r="J129">
        <f>IF(B129="","",IFERROR(VLOOKUP(B129,설계사_메모!$A$3:$G$302,2,FALSE)&amp;"",""))</f>
        <v/>
      </c>
      <c r="K129">
        <f>IF(B129="","",IFERROR(VLOOKUP(B129,설계사_메모!$A$3:$G$302,4,FALSE)&amp;"",""))</f>
        <v/>
      </c>
      <c r="L129" s="6">
        <f>IF(B129="","",IF(COUNTIF('4.방문기록'!$B$3:$B$502,B129)=0,"",_xlfn.MAXIFS('4.방문기록'!$A$3:$A$502,'4.방문기록'!$B$3:$B$502,B129)))</f>
        <v/>
      </c>
      <c r="M129">
        <f>IF(L129="","",설정!$B$24-L129)</f>
        <v/>
      </c>
      <c r="N129" s="6">
        <f>IF(B129="","",IF(_xlfn.MAXIFS('4.방문기록'!$F$3:$F$502,'4.방문기록'!$B$3:$B$502,B129)=0,"",_xlfn.MAXIFS('4.방문기록'!$F$3:$F$502,'4.방문기록'!$B$3:$B$502,B129)))</f>
        <v/>
      </c>
      <c r="O129">
        <f>IF(L129="","",IFERROR(INDEX('4.방문기록'!$H$3:$H$502,MATCH(B129&amp;"|"&amp;(L129*1),'4.방문기록'!$I$3:$I$502,0))&amp;"",""))</f>
        <v/>
      </c>
      <c r="P129">
        <f>IF(B129="","",IF(O129="관심 없음","제외",IF(L129="","안 가봄",IF(M129&gt;=설정!$B$20,M129&amp;"일 지남","최근 방문"))))</f>
        <v/>
      </c>
      <c r="Q129" s="7">
        <f>IF(B129="","",IF(P129="제외","",IF(AND(설정!$B$21&lt;&gt;"",I129&lt;&gt;설정!$B$21),"",IF(AND(N129&lt;&gt;"",N129&gt;N(L129),N129&lt;=설정!$B$24+7),100+7-(N129-설정!$B$24),IF(AND(D129&gt;0,OR(P129="안 가봄",RIGHT(P129,2)="지남")),D129*10+IF(L129="",30,MIN(M129,60)/2)+MIN(N(F129)/1000,20),"")))))</f>
        <v/>
      </c>
      <c r="R129">
        <f>IF(Q129="","",COUNTIF(Q$4:Q$303,"&gt;"&amp;Q129)+COUNTIF(Q$4:Q129,Q129))</f>
        <v/>
      </c>
    </row>
    <row r="130">
      <c r="A130">
        <f>IF(B130="","",127)</f>
        <v/>
      </c>
      <c r="B130">
        <f>IFERROR(INDEX('2.현장'!$V$2:$V$1001,MATCH(127,'2.현장'!$W$2:$W$1001,0)),"")</f>
        <v/>
      </c>
      <c r="C130">
        <f>IF(B130="","",COUNTIFS('2.현장'!$V$2:$V$1001,B130,'2.현장'!$T$2:$T$1001,TRUE))</f>
        <v/>
      </c>
      <c r="D130">
        <f>IF(B130="","",COUNTIFS('2.현장'!$V$2:$V$1001,B130,'2.현장'!$U$2:$U$1001,"설계사"))</f>
        <v/>
      </c>
      <c r="E130">
        <f>IF(B130="","",COUNTIFS('2.현장'!$V$2:$V$1001,B130,'2.현장'!$U$2:$U$1001,"시공사"))</f>
        <v/>
      </c>
      <c r="F130" s="5">
        <f>IF(B130="","",_xlfn.MAXIFS('2.현장'!$D$2:$D$1001,'2.현장'!$V$2:$V$1001,B130,'2.현장'!$T$2:$T$1001,TRUE))</f>
        <v/>
      </c>
      <c r="G130" s="6">
        <f>IF(B130="","",IF(_xlfn.MAXIFS('2.현장'!$L$2:$L$1001,'2.현장'!$V$2:$V$1001,B130,'2.현장'!$T$2:$T$1001,TRUE)=0,"",_xlfn.MAXIFS('2.현장'!$L$2:$L$1001,'2.현장'!$V$2:$V$1001,B130,'2.현장'!$T$2:$T$1001,TRUE)))</f>
        <v/>
      </c>
      <c r="H130">
        <f>IF(B130="","",IFERROR(INDEX('2.현장'!$C$2:$C$1001,IFERROR(MATCH(B130&amp;"|설계사",'2.현장'!$Z$2:$Z$1001,0),IFERROR(MATCH(B130&amp;"|시공사",'2.현장'!$Z$2:$Z$1001,0),MATCH(B130&amp;"|늦음",'2.현장'!$Z$2:$Z$1001,0)))),""))</f>
        <v/>
      </c>
      <c r="I130">
        <f>IF(B130="","",IFERROR(INDEX('2.현장'!$N$2:$N$1001,IFERROR(MATCH(B130&amp;"|설계사",'2.현장'!$Z$2:$Z$1001,0),IFERROR(MATCH(B130&amp;"|시공사",'2.현장'!$Z$2:$Z$1001,0),MATCH(B130&amp;"|늦음",'2.현장'!$Z$2:$Z$1001,0)))),""))</f>
        <v/>
      </c>
      <c r="J130">
        <f>IF(B130="","",IFERROR(VLOOKUP(B130,설계사_메모!$A$3:$G$302,2,FALSE)&amp;"",""))</f>
        <v/>
      </c>
      <c r="K130">
        <f>IF(B130="","",IFERROR(VLOOKUP(B130,설계사_메모!$A$3:$G$302,4,FALSE)&amp;"",""))</f>
        <v/>
      </c>
      <c r="L130" s="6">
        <f>IF(B130="","",IF(COUNTIF('4.방문기록'!$B$3:$B$502,B130)=0,"",_xlfn.MAXIFS('4.방문기록'!$A$3:$A$502,'4.방문기록'!$B$3:$B$502,B130)))</f>
        <v/>
      </c>
      <c r="M130">
        <f>IF(L130="","",설정!$B$24-L130)</f>
        <v/>
      </c>
      <c r="N130" s="6">
        <f>IF(B130="","",IF(_xlfn.MAXIFS('4.방문기록'!$F$3:$F$502,'4.방문기록'!$B$3:$B$502,B130)=0,"",_xlfn.MAXIFS('4.방문기록'!$F$3:$F$502,'4.방문기록'!$B$3:$B$502,B130)))</f>
        <v/>
      </c>
      <c r="O130">
        <f>IF(L130="","",IFERROR(INDEX('4.방문기록'!$H$3:$H$502,MATCH(B130&amp;"|"&amp;(L130*1),'4.방문기록'!$I$3:$I$502,0))&amp;"",""))</f>
        <v/>
      </c>
      <c r="P130">
        <f>IF(B130="","",IF(O130="관심 없음","제외",IF(L130="","안 가봄",IF(M130&gt;=설정!$B$20,M130&amp;"일 지남","최근 방문"))))</f>
        <v/>
      </c>
      <c r="Q130" s="7">
        <f>IF(B130="","",IF(P130="제외","",IF(AND(설정!$B$21&lt;&gt;"",I130&lt;&gt;설정!$B$21),"",IF(AND(N130&lt;&gt;"",N130&gt;N(L130),N130&lt;=설정!$B$24+7),100+7-(N130-설정!$B$24),IF(AND(D130&gt;0,OR(P130="안 가봄",RIGHT(P130,2)="지남")),D130*10+IF(L130="",30,MIN(M130,60)/2)+MIN(N(F130)/1000,20),"")))))</f>
        <v/>
      </c>
      <c r="R130">
        <f>IF(Q130="","",COUNTIF(Q$4:Q$303,"&gt;"&amp;Q130)+COUNTIF(Q$4:Q130,Q130))</f>
        <v/>
      </c>
    </row>
    <row r="131">
      <c r="A131">
        <f>IF(B131="","",128)</f>
        <v/>
      </c>
      <c r="B131">
        <f>IFERROR(INDEX('2.현장'!$V$2:$V$1001,MATCH(128,'2.현장'!$W$2:$W$1001,0)),"")</f>
        <v/>
      </c>
      <c r="C131">
        <f>IF(B131="","",COUNTIFS('2.현장'!$V$2:$V$1001,B131,'2.현장'!$T$2:$T$1001,TRUE))</f>
        <v/>
      </c>
      <c r="D131">
        <f>IF(B131="","",COUNTIFS('2.현장'!$V$2:$V$1001,B131,'2.현장'!$U$2:$U$1001,"설계사"))</f>
        <v/>
      </c>
      <c r="E131">
        <f>IF(B131="","",COUNTIFS('2.현장'!$V$2:$V$1001,B131,'2.현장'!$U$2:$U$1001,"시공사"))</f>
        <v/>
      </c>
      <c r="F131" s="5">
        <f>IF(B131="","",_xlfn.MAXIFS('2.현장'!$D$2:$D$1001,'2.현장'!$V$2:$V$1001,B131,'2.현장'!$T$2:$T$1001,TRUE))</f>
        <v/>
      </c>
      <c r="G131" s="6">
        <f>IF(B131="","",IF(_xlfn.MAXIFS('2.현장'!$L$2:$L$1001,'2.현장'!$V$2:$V$1001,B131,'2.현장'!$T$2:$T$1001,TRUE)=0,"",_xlfn.MAXIFS('2.현장'!$L$2:$L$1001,'2.현장'!$V$2:$V$1001,B131,'2.현장'!$T$2:$T$1001,TRUE)))</f>
        <v/>
      </c>
      <c r="H131">
        <f>IF(B131="","",IFERROR(INDEX('2.현장'!$C$2:$C$1001,IFERROR(MATCH(B131&amp;"|설계사",'2.현장'!$Z$2:$Z$1001,0),IFERROR(MATCH(B131&amp;"|시공사",'2.현장'!$Z$2:$Z$1001,0),MATCH(B131&amp;"|늦음",'2.현장'!$Z$2:$Z$1001,0)))),""))</f>
        <v/>
      </c>
      <c r="I131">
        <f>IF(B131="","",IFERROR(INDEX('2.현장'!$N$2:$N$1001,IFERROR(MATCH(B131&amp;"|설계사",'2.현장'!$Z$2:$Z$1001,0),IFERROR(MATCH(B131&amp;"|시공사",'2.현장'!$Z$2:$Z$1001,0),MATCH(B131&amp;"|늦음",'2.현장'!$Z$2:$Z$1001,0)))),""))</f>
        <v/>
      </c>
      <c r="J131">
        <f>IF(B131="","",IFERROR(VLOOKUP(B131,설계사_메모!$A$3:$G$302,2,FALSE)&amp;"",""))</f>
        <v/>
      </c>
      <c r="K131">
        <f>IF(B131="","",IFERROR(VLOOKUP(B131,설계사_메모!$A$3:$G$302,4,FALSE)&amp;"",""))</f>
        <v/>
      </c>
      <c r="L131" s="6">
        <f>IF(B131="","",IF(COUNTIF('4.방문기록'!$B$3:$B$502,B131)=0,"",_xlfn.MAXIFS('4.방문기록'!$A$3:$A$502,'4.방문기록'!$B$3:$B$502,B131)))</f>
        <v/>
      </c>
      <c r="M131">
        <f>IF(L131="","",설정!$B$24-L131)</f>
        <v/>
      </c>
      <c r="N131" s="6">
        <f>IF(B131="","",IF(_xlfn.MAXIFS('4.방문기록'!$F$3:$F$502,'4.방문기록'!$B$3:$B$502,B131)=0,"",_xlfn.MAXIFS('4.방문기록'!$F$3:$F$502,'4.방문기록'!$B$3:$B$502,B131)))</f>
        <v/>
      </c>
      <c r="O131">
        <f>IF(L131="","",IFERROR(INDEX('4.방문기록'!$H$3:$H$502,MATCH(B131&amp;"|"&amp;(L131*1),'4.방문기록'!$I$3:$I$502,0))&amp;"",""))</f>
        <v/>
      </c>
      <c r="P131">
        <f>IF(B131="","",IF(O131="관심 없음","제외",IF(L131="","안 가봄",IF(M131&gt;=설정!$B$20,M131&amp;"일 지남","최근 방문"))))</f>
        <v/>
      </c>
      <c r="Q131" s="7">
        <f>IF(B131="","",IF(P131="제외","",IF(AND(설정!$B$21&lt;&gt;"",I131&lt;&gt;설정!$B$21),"",IF(AND(N131&lt;&gt;"",N131&gt;N(L131),N131&lt;=설정!$B$24+7),100+7-(N131-설정!$B$24),IF(AND(D131&gt;0,OR(P131="안 가봄",RIGHT(P131,2)="지남")),D131*10+IF(L131="",30,MIN(M131,60)/2)+MIN(N(F131)/1000,20),"")))))</f>
        <v/>
      </c>
      <c r="R131">
        <f>IF(Q131="","",COUNTIF(Q$4:Q$303,"&gt;"&amp;Q131)+COUNTIF(Q$4:Q131,Q131))</f>
        <v/>
      </c>
    </row>
    <row r="132">
      <c r="A132">
        <f>IF(B132="","",129)</f>
        <v/>
      </c>
      <c r="B132">
        <f>IFERROR(INDEX('2.현장'!$V$2:$V$1001,MATCH(129,'2.현장'!$W$2:$W$1001,0)),"")</f>
        <v/>
      </c>
      <c r="C132">
        <f>IF(B132="","",COUNTIFS('2.현장'!$V$2:$V$1001,B132,'2.현장'!$T$2:$T$1001,TRUE))</f>
        <v/>
      </c>
      <c r="D132">
        <f>IF(B132="","",COUNTIFS('2.현장'!$V$2:$V$1001,B132,'2.현장'!$U$2:$U$1001,"설계사"))</f>
        <v/>
      </c>
      <c r="E132">
        <f>IF(B132="","",COUNTIFS('2.현장'!$V$2:$V$1001,B132,'2.현장'!$U$2:$U$1001,"시공사"))</f>
        <v/>
      </c>
      <c r="F132" s="5">
        <f>IF(B132="","",_xlfn.MAXIFS('2.현장'!$D$2:$D$1001,'2.현장'!$V$2:$V$1001,B132,'2.현장'!$T$2:$T$1001,TRUE))</f>
        <v/>
      </c>
      <c r="G132" s="6">
        <f>IF(B132="","",IF(_xlfn.MAXIFS('2.현장'!$L$2:$L$1001,'2.현장'!$V$2:$V$1001,B132,'2.현장'!$T$2:$T$1001,TRUE)=0,"",_xlfn.MAXIFS('2.현장'!$L$2:$L$1001,'2.현장'!$V$2:$V$1001,B132,'2.현장'!$T$2:$T$1001,TRUE)))</f>
        <v/>
      </c>
      <c r="H132">
        <f>IF(B132="","",IFERROR(INDEX('2.현장'!$C$2:$C$1001,IFERROR(MATCH(B132&amp;"|설계사",'2.현장'!$Z$2:$Z$1001,0),IFERROR(MATCH(B132&amp;"|시공사",'2.현장'!$Z$2:$Z$1001,0),MATCH(B132&amp;"|늦음",'2.현장'!$Z$2:$Z$1001,0)))),""))</f>
        <v/>
      </c>
      <c r="I132">
        <f>IF(B132="","",IFERROR(INDEX('2.현장'!$N$2:$N$1001,IFERROR(MATCH(B132&amp;"|설계사",'2.현장'!$Z$2:$Z$1001,0),IFERROR(MATCH(B132&amp;"|시공사",'2.현장'!$Z$2:$Z$1001,0),MATCH(B132&amp;"|늦음",'2.현장'!$Z$2:$Z$1001,0)))),""))</f>
        <v/>
      </c>
      <c r="J132">
        <f>IF(B132="","",IFERROR(VLOOKUP(B132,설계사_메모!$A$3:$G$302,2,FALSE)&amp;"",""))</f>
        <v/>
      </c>
      <c r="K132">
        <f>IF(B132="","",IFERROR(VLOOKUP(B132,설계사_메모!$A$3:$G$302,4,FALSE)&amp;"",""))</f>
        <v/>
      </c>
      <c r="L132" s="6">
        <f>IF(B132="","",IF(COUNTIF('4.방문기록'!$B$3:$B$502,B132)=0,"",_xlfn.MAXIFS('4.방문기록'!$A$3:$A$502,'4.방문기록'!$B$3:$B$502,B132)))</f>
        <v/>
      </c>
      <c r="M132">
        <f>IF(L132="","",설정!$B$24-L132)</f>
        <v/>
      </c>
      <c r="N132" s="6">
        <f>IF(B132="","",IF(_xlfn.MAXIFS('4.방문기록'!$F$3:$F$502,'4.방문기록'!$B$3:$B$502,B132)=0,"",_xlfn.MAXIFS('4.방문기록'!$F$3:$F$502,'4.방문기록'!$B$3:$B$502,B132)))</f>
        <v/>
      </c>
      <c r="O132">
        <f>IF(L132="","",IFERROR(INDEX('4.방문기록'!$H$3:$H$502,MATCH(B132&amp;"|"&amp;(L132*1),'4.방문기록'!$I$3:$I$502,0))&amp;"",""))</f>
        <v/>
      </c>
      <c r="P132">
        <f>IF(B132="","",IF(O132="관심 없음","제외",IF(L132="","안 가봄",IF(M132&gt;=설정!$B$20,M132&amp;"일 지남","최근 방문"))))</f>
        <v/>
      </c>
      <c r="Q132" s="7">
        <f>IF(B132="","",IF(P132="제외","",IF(AND(설정!$B$21&lt;&gt;"",I132&lt;&gt;설정!$B$21),"",IF(AND(N132&lt;&gt;"",N132&gt;N(L132),N132&lt;=설정!$B$24+7),100+7-(N132-설정!$B$24),IF(AND(D132&gt;0,OR(P132="안 가봄",RIGHT(P132,2)="지남")),D132*10+IF(L132="",30,MIN(M132,60)/2)+MIN(N(F132)/1000,20),"")))))</f>
        <v/>
      </c>
      <c r="R132">
        <f>IF(Q132="","",COUNTIF(Q$4:Q$303,"&gt;"&amp;Q132)+COUNTIF(Q$4:Q132,Q132))</f>
        <v/>
      </c>
    </row>
    <row r="133">
      <c r="A133">
        <f>IF(B133="","",130)</f>
        <v/>
      </c>
      <c r="B133">
        <f>IFERROR(INDEX('2.현장'!$V$2:$V$1001,MATCH(130,'2.현장'!$W$2:$W$1001,0)),"")</f>
        <v/>
      </c>
      <c r="C133">
        <f>IF(B133="","",COUNTIFS('2.현장'!$V$2:$V$1001,B133,'2.현장'!$T$2:$T$1001,TRUE))</f>
        <v/>
      </c>
      <c r="D133">
        <f>IF(B133="","",COUNTIFS('2.현장'!$V$2:$V$1001,B133,'2.현장'!$U$2:$U$1001,"설계사"))</f>
        <v/>
      </c>
      <c r="E133">
        <f>IF(B133="","",COUNTIFS('2.현장'!$V$2:$V$1001,B133,'2.현장'!$U$2:$U$1001,"시공사"))</f>
        <v/>
      </c>
      <c r="F133" s="5">
        <f>IF(B133="","",_xlfn.MAXIFS('2.현장'!$D$2:$D$1001,'2.현장'!$V$2:$V$1001,B133,'2.현장'!$T$2:$T$1001,TRUE))</f>
        <v/>
      </c>
      <c r="G133" s="6">
        <f>IF(B133="","",IF(_xlfn.MAXIFS('2.현장'!$L$2:$L$1001,'2.현장'!$V$2:$V$1001,B133,'2.현장'!$T$2:$T$1001,TRUE)=0,"",_xlfn.MAXIFS('2.현장'!$L$2:$L$1001,'2.현장'!$V$2:$V$1001,B133,'2.현장'!$T$2:$T$1001,TRUE)))</f>
        <v/>
      </c>
      <c r="H133">
        <f>IF(B133="","",IFERROR(INDEX('2.현장'!$C$2:$C$1001,IFERROR(MATCH(B133&amp;"|설계사",'2.현장'!$Z$2:$Z$1001,0),IFERROR(MATCH(B133&amp;"|시공사",'2.현장'!$Z$2:$Z$1001,0),MATCH(B133&amp;"|늦음",'2.현장'!$Z$2:$Z$1001,0)))),""))</f>
        <v/>
      </c>
      <c r="I133">
        <f>IF(B133="","",IFERROR(INDEX('2.현장'!$N$2:$N$1001,IFERROR(MATCH(B133&amp;"|설계사",'2.현장'!$Z$2:$Z$1001,0),IFERROR(MATCH(B133&amp;"|시공사",'2.현장'!$Z$2:$Z$1001,0),MATCH(B133&amp;"|늦음",'2.현장'!$Z$2:$Z$1001,0)))),""))</f>
        <v/>
      </c>
      <c r="J133">
        <f>IF(B133="","",IFERROR(VLOOKUP(B133,설계사_메모!$A$3:$G$302,2,FALSE)&amp;"",""))</f>
        <v/>
      </c>
      <c r="K133">
        <f>IF(B133="","",IFERROR(VLOOKUP(B133,설계사_메모!$A$3:$G$302,4,FALSE)&amp;"",""))</f>
        <v/>
      </c>
      <c r="L133" s="6">
        <f>IF(B133="","",IF(COUNTIF('4.방문기록'!$B$3:$B$502,B133)=0,"",_xlfn.MAXIFS('4.방문기록'!$A$3:$A$502,'4.방문기록'!$B$3:$B$502,B133)))</f>
        <v/>
      </c>
      <c r="M133">
        <f>IF(L133="","",설정!$B$24-L133)</f>
        <v/>
      </c>
      <c r="N133" s="6">
        <f>IF(B133="","",IF(_xlfn.MAXIFS('4.방문기록'!$F$3:$F$502,'4.방문기록'!$B$3:$B$502,B133)=0,"",_xlfn.MAXIFS('4.방문기록'!$F$3:$F$502,'4.방문기록'!$B$3:$B$502,B133)))</f>
        <v/>
      </c>
      <c r="O133">
        <f>IF(L133="","",IFERROR(INDEX('4.방문기록'!$H$3:$H$502,MATCH(B133&amp;"|"&amp;(L133*1),'4.방문기록'!$I$3:$I$502,0))&amp;"",""))</f>
        <v/>
      </c>
      <c r="P133">
        <f>IF(B133="","",IF(O133="관심 없음","제외",IF(L133="","안 가봄",IF(M133&gt;=설정!$B$20,M133&amp;"일 지남","최근 방문"))))</f>
        <v/>
      </c>
      <c r="Q133" s="7">
        <f>IF(B133="","",IF(P133="제외","",IF(AND(설정!$B$21&lt;&gt;"",I133&lt;&gt;설정!$B$21),"",IF(AND(N133&lt;&gt;"",N133&gt;N(L133),N133&lt;=설정!$B$24+7),100+7-(N133-설정!$B$24),IF(AND(D133&gt;0,OR(P133="안 가봄",RIGHT(P133,2)="지남")),D133*10+IF(L133="",30,MIN(M133,60)/2)+MIN(N(F133)/1000,20),"")))))</f>
        <v/>
      </c>
      <c r="R133">
        <f>IF(Q133="","",COUNTIF(Q$4:Q$303,"&gt;"&amp;Q133)+COUNTIF(Q$4:Q133,Q133))</f>
        <v/>
      </c>
    </row>
    <row r="134">
      <c r="A134">
        <f>IF(B134="","",131)</f>
        <v/>
      </c>
      <c r="B134">
        <f>IFERROR(INDEX('2.현장'!$V$2:$V$1001,MATCH(131,'2.현장'!$W$2:$W$1001,0)),"")</f>
        <v/>
      </c>
      <c r="C134">
        <f>IF(B134="","",COUNTIFS('2.현장'!$V$2:$V$1001,B134,'2.현장'!$T$2:$T$1001,TRUE))</f>
        <v/>
      </c>
      <c r="D134">
        <f>IF(B134="","",COUNTIFS('2.현장'!$V$2:$V$1001,B134,'2.현장'!$U$2:$U$1001,"설계사"))</f>
        <v/>
      </c>
      <c r="E134">
        <f>IF(B134="","",COUNTIFS('2.현장'!$V$2:$V$1001,B134,'2.현장'!$U$2:$U$1001,"시공사"))</f>
        <v/>
      </c>
      <c r="F134" s="5">
        <f>IF(B134="","",_xlfn.MAXIFS('2.현장'!$D$2:$D$1001,'2.현장'!$V$2:$V$1001,B134,'2.현장'!$T$2:$T$1001,TRUE))</f>
        <v/>
      </c>
      <c r="G134" s="6">
        <f>IF(B134="","",IF(_xlfn.MAXIFS('2.현장'!$L$2:$L$1001,'2.현장'!$V$2:$V$1001,B134,'2.현장'!$T$2:$T$1001,TRUE)=0,"",_xlfn.MAXIFS('2.현장'!$L$2:$L$1001,'2.현장'!$V$2:$V$1001,B134,'2.현장'!$T$2:$T$1001,TRUE)))</f>
        <v/>
      </c>
      <c r="H134">
        <f>IF(B134="","",IFERROR(INDEX('2.현장'!$C$2:$C$1001,IFERROR(MATCH(B134&amp;"|설계사",'2.현장'!$Z$2:$Z$1001,0),IFERROR(MATCH(B134&amp;"|시공사",'2.현장'!$Z$2:$Z$1001,0),MATCH(B134&amp;"|늦음",'2.현장'!$Z$2:$Z$1001,0)))),""))</f>
        <v/>
      </c>
      <c r="I134">
        <f>IF(B134="","",IFERROR(INDEX('2.현장'!$N$2:$N$1001,IFERROR(MATCH(B134&amp;"|설계사",'2.현장'!$Z$2:$Z$1001,0),IFERROR(MATCH(B134&amp;"|시공사",'2.현장'!$Z$2:$Z$1001,0),MATCH(B134&amp;"|늦음",'2.현장'!$Z$2:$Z$1001,0)))),""))</f>
        <v/>
      </c>
      <c r="J134">
        <f>IF(B134="","",IFERROR(VLOOKUP(B134,설계사_메모!$A$3:$G$302,2,FALSE)&amp;"",""))</f>
        <v/>
      </c>
      <c r="K134">
        <f>IF(B134="","",IFERROR(VLOOKUP(B134,설계사_메모!$A$3:$G$302,4,FALSE)&amp;"",""))</f>
        <v/>
      </c>
      <c r="L134" s="6">
        <f>IF(B134="","",IF(COUNTIF('4.방문기록'!$B$3:$B$502,B134)=0,"",_xlfn.MAXIFS('4.방문기록'!$A$3:$A$502,'4.방문기록'!$B$3:$B$502,B134)))</f>
        <v/>
      </c>
      <c r="M134">
        <f>IF(L134="","",설정!$B$24-L134)</f>
        <v/>
      </c>
      <c r="N134" s="6">
        <f>IF(B134="","",IF(_xlfn.MAXIFS('4.방문기록'!$F$3:$F$502,'4.방문기록'!$B$3:$B$502,B134)=0,"",_xlfn.MAXIFS('4.방문기록'!$F$3:$F$502,'4.방문기록'!$B$3:$B$502,B134)))</f>
        <v/>
      </c>
      <c r="O134">
        <f>IF(L134="","",IFERROR(INDEX('4.방문기록'!$H$3:$H$502,MATCH(B134&amp;"|"&amp;(L134*1),'4.방문기록'!$I$3:$I$502,0))&amp;"",""))</f>
        <v/>
      </c>
      <c r="P134">
        <f>IF(B134="","",IF(O134="관심 없음","제외",IF(L134="","안 가봄",IF(M134&gt;=설정!$B$20,M134&amp;"일 지남","최근 방문"))))</f>
        <v/>
      </c>
      <c r="Q134" s="7">
        <f>IF(B134="","",IF(P134="제외","",IF(AND(설정!$B$21&lt;&gt;"",I134&lt;&gt;설정!$B$21),"",IF(AND(N134&lt;&gt;"",N134&gt;N(L134),N134&lt;=설정!$B$24+7),100+7-(N134-설정!$B$24),IF(AND(D134&gt;0,OR(P134="안 가봄",RIGHT(P134,2)="지남")),D134*10+IF(L134="",30,MIN(M134,60)/2)+MIN(N(F134)/1000,20),"")))))</f>
        <v/>
      </c>
      <c r="R134">
        <f>IF(Q134="","",COUNTIF(Q$4:Q$303,"&gt;"&amp;Q134)+COUNTIF(Q$4:Q134,Q134))</f>
        <v/>
      </c>
    </row>
    <row r="135">
      <c r="A135">
        <f>IF(B135="","",132)</f>
        <v/>
      </c>
      <c r="B135">
        <f>IFERROR(INDEX('2.현장'!$V$2:$V$1001,MATCH(132,'2.현장'!$W$2:$W$1001,0)),"")</f>
        <v/>
      </c>
      <c r="C135">
        <f>IF(B135="","",COUNTIFS('2.현장'!$V$2:$V$1001,B135,'2.현장'!$T$2:$T$1001,TRUE))</f>
        <v/>
      </c>
      <c r="D135">
        <f>IF(B135="","",COUNTIFS('2.현장'!$V$2:$V$1001,B135,'2.현장'!$U$2:$U$1001,"설계사"))</f>
        <v/>
      </c>
      <c r="E135">
        <f>IF(B135="","",COUNTIFS('2.현장'!$V$2:$V$1001,B135,'2.현장'!$U$2:$U$1001,"시공사"))</f>
        <v/>
      </c>
      <c r="F135" s="5">
        <f>IF(B135="","",_xlfn.MAXIFS('2.현장'!$D$2:$D$1001,'2.현장'!$V$2:$V$1001,B135,'2.현장'!$T$2:$T$1001,TRUE))</f>
        <v/>
      </c>
      <c r="G135" s="6">
        <f>IF(B135="","",IF(_xlfn.MAXIFS('2.현장'!$L$2:$L$1001,'2.현장'!$V$2:$V$1001,B135,'2.현장'!$T$2:$T$1001,TRUE)=0,"",_xlfn.MAXIFS('2.현장'!$L$2:$L$1001,'2.현장'!$V$2:$V$1001,B135,'2.현장'!$T$2:$T$1001,TRUE)))</f>
        <v/>
      </c>
      <c r="H135">
        <f>IF(B135="","",IFERROR(INDEX('2.현장'!$C$2:$C$1001,IFERROR(MATCH(B135&amp;"|설계사",'2.현장'!$Z$2:$Z$1001,0),IFERROR(MATCH(B135&amp;"|시공사",'2.현장'!$Z$2:$Z$1001,0),MATCH(B135&amp;"|늦음",'2.현장'!$Z$2:$Z$1001,0)))),""))</f>
        <v/>
      </c>
      <c r="I135">
        <f>IF(B135="","",IFERROR(INDEX('2.현장'!$N$2:$N$1001,IFERROR(MATCH(B135&amp;"|설계사",'2.현장'!$Z$2:$Z$1001,0),IFERROR(MATCH(B135&amp;"|시공사",'2.현장'!$Z$2:$Z$1001,0),MATCH(B135&amp;"|늦음",'2.현장'!$Z$2:$Z$1001,0)))),""))</f>
        <v/>
      </c>
      <c r="J135">
        <f>IF(B135="","",IFERROR(VLOOKUP(B135,설계사_메모!$A$3:$G$302,2,FALSE)&amp;"",""))</f>
        <v/>
      </c>
      <c r="K135">
        <f>IF(B135="","",IFERROR(VLOOKUP(B135,설계사_메모!$A$3:$G$302,4,FALSE)&amp;"",""))</f>
        <v/>
      </c>
      <c r="L135" s="6">
        <f>IF(B135="","",IF(COUNTIF('4.방문기록'!$B$3:$B$502,B135)=0,"",_xlfn.MAXIFS('4.방문기록'!$A$3:$A$502,'4.방문기록'!$B$3:$B$502,B135)))</f>
        <v/>
      </c>
      <c r="M135">
        <f>IF(L135="","",설정!$B$24-L135)</f>
        <v/>
      </c>
      <c r="N135" s="6">
        <f>IF(B135="","",IF(_xlfn.MAXIFS('4.방문기록'!$F$3:$F$502,'4.방문기록'!$B$3:$B$502,B135)=0,"",_xlfn.MAXIFS('4.방문기록'!$F$3:$F$502,'4.방문기록'!$B$3:$B$502,B135)))</f>
        <v/>
      </c>
      <c r="O135">
        <f>IF(L135="","",IFERROR(INDEX('4.방문기록'!$H$3:$H$502,MATCH(B135&amp;"|"&amp;(L135*1),'4.방문기록'!$I$3:$I$502,0))&amp;"",""))</f>
        <v/>
      </c>
      <c r="P135">
        <f>IF(B135="","",IF(O135="관심 없음","제외",IF(L135="","안 가봄",IF(M135&gt;=설정!$B$20,M135&amp;"일 지남","최근 방문"))))</f>
        <v/>
      </c>
      <c r="Q135" s="7">
        <f>IF(B135="","",IF(P135="제외","",IF(AND(설정!$B$21&lt;&gt;"",I135&lt;&gt;설정!$B$21),"",IF(AND(N135&lt;&gt;"",N135&gt;N(L135),N135&lt;=설정!$B$24+7),100+7-(N135-설정!$B$24),IF(AND(D135&gt;0,OR(P135="안 가봄",RIGHT(P135,2)="지남")),D135*10+IF(L135="",30,MIN(M135,60)/2)+MIN(N(F135)/1000,20),"")))))</f>
        <v/>
      </c>
      <c r="R135">
        <f>IF(Q135="","",COUNTIF(Q$4:Q$303,"&gt;"&amp;Q135)+COUNTIF(Q$4:Q135,Q135))</f>
        <v/>
      </c>
    </row>
    <row r="136">
      <c r="A136">
        <f>IF(B136="","",133)</f>
        <v/>
      </c>
      <c r="B136">
        <f>IFERROR(INDEX('2.현장'!$V$2:$V$1001,MATCH(133,'2.현장'!$W$2:$W$1001,0)),"")</f>
        <v/>
      </c>
      <c r="C136">
        <f>IF(B136="","",COUNTIFS('2.현장'!$V$2:$V$1001,B136,'2.현장'!$T$2:$T$1001,TRUE))</f>
        <v/>
      </c>
      <c r="D136">
        <f>IF(B136="","",COUNTIFS('2.현장'!$V$2:$V$1001,B136,'2.현장'!$U$2:$U$1001,"설계사"))</f>
        <v/>
      </c>
      <c r="E136">
        <f>IF(B136="","",COUNTIFS('2.현장'!$V$2:$V$1001,B136,'2.현장'!$U$2:$U$1001,"시공사"))</f>
        <v/>
      </c>
      <c r="F136" s="5">
        <f>IF(B136="","",_xlfn.MAXIFS('2.현장'!$D$2:$D$1001,'2.현장'!$V$2:$V$1001,B136,'2.현장'!$T$2:$T$1001,TRUE))</f>
        <v/>
      </c>
      <c r="G136" s="6">
        <f>IF(B136="","",IF(_xlfn.MAXIFS('2.현장'!$L$2:$L$1001,'2.현장'!$V$2:$V$1001,B136,'2.현장'!$T$2:$T$1001,TRUE)=0,"",_xlfn.MAXIFS('2.현장'!$L$2:$L$1001,'2.현장'!$V$2:$V$1001,B136,'2.현장'!$T$2:$T$1001,TRUE)))</f>
        <v/>
      </c>
      <c r="H136">
        <f>IF(B136="","",IFERROR(INDEX('2.현장'!$C$2:$C$1001,IFERROR(MATCH(B136&amp;"|설계사",'2.현장'!$Z$2:$Z$1001,0),IFERROR(MATCH(B136&amp;"|시공사",'2.현장'!$Z$2:$Z$1001,0),MATCH(B136&amp;"|늦음",'2.현장'!$Z$2:$Z$1001,0)))),""))</f>
        <v/>
      </c>
      <c r="I136">
        <f>IF(B136="","",IFERROR(INDEX('2.현장'!$N$2:$N$1001,IFERROR(MATCH(B136&amp;"|설계사",'2.현장'!$Z$2:$Z$1001,0),IFERROR(MATCH(B136&amp;"|시공사",'2.현장'!$Z$2:$Z$1001,0),MATCH(B136&amp;"|늦음",'2.현장'!$Z$2:$Z$1001,0)))),""))</f>
        <v/>
      </c>
      <c r="J136">
        <f>IF(B136="","",IFERROR(VLOOKUP(B136,설계사_메모!$A$3:$G$302,2,FALSE)&amp;"",""))</f>
        <v/>
      </c>
      <c r="K136">
        <f>IF(B136="","",IFERROR(VLOOKUP(B136,설계사_메모!$A$3:$G$302,4,FALSE)&amp;"",""))</f>
        <v/>
      </c>
      <c r="L136" s="6">
        <f>IF(B136="","",IF(COUNTIF('4.방문기록'!$B$3:$B$502,B136)=0,"",_xlfn.MAXIFS('4.방문기록'!$A$3:$A$502,'4.방문기록'!$B$3:$B$502,B136)))</f>
        <v/>
      </c>
      <c r="M136">
        <f>IF(L136="","",설정!$B$24-L136)</f>
        <v/>
      </c>
      <c r="N136" s="6">
        <f>IF(B136="","",IF(_xlfn.MAXIFS('4.방문기록'!$F$3:$F$502,'4.방문기록'!$B$3:$B$502,B136)=0,"",_xlfn.MAXIFS('4.방문기록'!$F$3:$F$502,'4.방문기록'!$B$3:$B$502,B136)))</f>
        <v/>
      </c>
      <c r="O136">
        <f>IF(L136="","",IFERROR(INDEX('4.방문기록'!$H$3:$H$502,MATCH(B136&amp;"|"&amp;(L136*1),'4.방문기록'!$I$3:$I$502,0))&amp;"",""))</f>
        <v/>
      </c>
      <c r="P136">
        <f>IF(B136="","",IF(O136="관심 없음","제외",IF(L136="","안 가봄",IF(M136&gt;=설정!$B$20,M136&amp;"일 지남","최근 방문"))))</f>
        <v/>
      </c>
      <c r="Q136" s="7">
        <f>IF(B136="","",IF(P136="제외","",IF(AND(설정!$B$21&lt;&gt;"",I136&lt;&gt;설정!$B$21),"",IF(AND(N136&lt;&gt;"",N136&gt;N(L136),N136&lt;=설정!$B$24+7),100+7-(N136-설정!$B$24),IF(AND(D136&gt;0,OR(P136="안 가봄",RIGHT(P136,2)="지남")),D136*10+IF(L136="",30,MIN(M136,60)/2)+MIN(N(F136)/1000,20),"")))))</f>
        <v/>
      </c>
      <c r="R136">
        <f>IF(Q136="","",COUNTIF(Q$4:Q$303,"&gt;"&amp;Q136)+COUNTIF(Q$4:Q136,Q136))</f>
        <v/>
      </c>
    </row>
    <row r="137">
      <c r="A137">
        <f>IF(B137="","",134)</f>
        <v/>
      </c>
      <c r="B137">
        <f>IFERROR(INDEX('2.현장'!$V$2:$V$1001,MATCH(134,'2.현장'!$W$2:$W$1001,0)),"")</f>
        <v/>
      </c>
      <c r="C137">
        <f>IF(B137="","",COUNTIFS('2.현장'!$V$2:$V$1001,B137,'2.현장'!$T$2:$T$1001,TRUE))</f>
        <v/>
      </c>
      <c r="D137">
        <f>IF(B137="","",COUNTIFS('2.현장'!$V$2:$V$1001,B137,'2.현장'!$U$2:$U$1001,"설계사"))</f>
        <v/>
      </c>
      <c r="E137">
        <f>IF(B137="","",COUNTIFS('2.현장'!$V$2:$V$1001,B137,'2.현장'!$U$2:$U$1001,"시공사"))</f>
        <v/>
      </c>
      <c r="F137" s="5">
        <f>IF(B137="","",_xlfn.MAXIFS('2.현장'!$D$2:$D$1001,'2.현장'!$V$2:$V$1001,B137,'2.현장'!$T$2:$T$1001,TRUE))</f>
        <v/>
      </c>
      <c r="G137" s="6">
        <f>IF(B137="","",IF(_xlfn.MAXIFS('2.현장'!$L$2:$L$1001,'2.현장'!$V$2:$V$1001,B137,'2.현장'!$T$2:$T$1001,TRUE)=0,"",_xlfn.MAXIFS('2.현장'!$L$2:$L$1001,'2.현장'!$V$2:$V$1001,B137,'2.현장'!$T$2:$T$1001,TRUE)))</f>
        <v/>
      </c>
      <c r="H137">
        <f>IF(B137="","",IFERROR(INDEX('2.현장'!$C$2:$C$1001,IFERROR(MATCH(B137&amp;"|설계사",'2.현장'!$Z$2:$Z$1001,0),IFERROR(MATCH(B137&amp;"|시공사",'2.현장'!$Z$2:$Z$1001,0),MATCH(B137&amp;"|늦음",'2.현장'!$Z$2:$Z$1001,0)))),""))</f>
        <v/>
      </c>
      <c r="I137">
        <f>IF(B137="","",IFERROR(INDEX('2.현장'!$N$2:$N$1001,IFERROR(MATCH(B137&amp;"|설계사",'2.현장'!$Z$2:$Z$1001,0),IFERROR(MATCH(B137&amp;"|시공사",'2.현장'!$Z$2:$Z$1001,0),MATCH(B137&amp;"|늦음",'2.현장'!$Z$2:$Z$1001,0)))),""))</f>
        <v/>
      </c>
      <c r="J137">
        <f>IF(B137="","",IFERROR(VLOOKUP(B137,설계사_메모!$A$3:$G$302,2,FALSE)&amp;"",""))</f>
        <v/>
      </c>
      <c r="K137">
        <f>IF(B137="","",IFERROR(VLOOKUP(B137,설계사_메모!$A$3:$G$302,4,FALSE)&amp;"",""))</f>
        <v/>
      </c>
      <c r="L137" s="6">
        <f>IF(B137="","",IF(COUNTIF('4.방문기록'!$B$3:$B$502,B137)=0,"",_xlfn.MAXIFS('4.방문기록'!$A$3:$A$502,'4.방문기록'!$B$3:$B$502,B137)))</f>
        <v/>
      </c>
      <c r="M137">
        <f>IF(L137="","",설정!$B$24-L137)</f>
        <v/>
      </c>
      <c r="N137" s="6">
        <f>IF(B137="","",IF(_xlfn.MAXIFS('4.방문기록'!$F$3:$F$502,'4.방문기록'!$B$3:$B$502,B137)=0,"",_xlfn.MAXIFS('4.방문기록'!$F$3:$F$502,'4.방문기록'!$B$3:$B$502,B137)))</f>
        <v/>
      </c>
      <c r="O137">
        <f>IF(L137="","",IFERROR(INDEX('4.방문기록'!$H$3:$H$502,MATCH(B137&amp;"|"&amp;(L137*1),'4.방문기록'!$I$3:$I$502,0))&amp;"",""))</f>
        <v/>
      </c>
      <c r="P137">
        <f>IF(B137="","",IF(O137="관심 없음","제외",IF(L137="","안 가봄",IF(M137&gt;=설정!$B$20,M137&amp;"일 지남","최근 방문"))))</f>
        <v/>
      </c>
      <c r="Q137" s="7">
        <f>IF(B137="","",IF(P137="제외","",IF(AND(설정!$B$21&lt;&gt;"",I137&lt;&gt;설정!$B$21),"",IF(AND(N137&lt;&gt;"",N137&gt;N(L137),N137&lt;=설정!$B$24+7),100+7-(N137-설정!$B$24),IF(AND(D137&gt;0,OR(P137="안 가봄",RIGHT(P137,2)="지남")),D137*10+IF(L137="",30,MIN(M137,60)/2)+MIN(N(F137)/1000,20),"")))))</f>
        <v/>
      </c>
      <c r="R137">
        <f>IF(Q137="","",COUNTIF(Q$4:Q$303,"&gt;"&amp;Q137)+COUNTIF(Q$4:Q137,Q137))</f>
        <v/>
      </c>
    </row>
    <row r="138">
      <c r="A138">
        <f>IF(B138="","",135)</f>
        <v/>
      </c>
      <c r="B138">
        <f>IFERROR(INDEX('2.현장'!$V$2:$V$1001,MATCH(135,'2.현장'!$W$2:$W$1001,0)),"")</f>
        <v/>
      </c>
      <c r="C138">
        <f>IF(B138="","",COUNTIFS('2.현장'!$V$2:$V$1001,B138,'2.현장'!$T$2:$T$1001,TRUE))</f>
        <v/>
      </c>
      <c r="D138">
        <f>IF(B138="","",COUNTIFS('2.현장'!$V$2:$V$1001,B138,'2.현장'!$U$2:$U$1001,"설계사"))</f>
        <v/>
      </c>
      <c r="E138">
        <f>IF(B138="","",COUNTIFS('2.현장'!$V$2:$V$1001,B138,'2.현장'!$U$2:$U$1001,"시공사"))</f>
        <v/>
      </c>
      <c r="F138" s="5">
        <f>IF(B138="","",_xlfn.MAXIFS('2.현장'!$D$2:$D$1001,'2.현장'!$V$2:$V$1001,B138,'2.현장'!$T$2:$T$1001,TRUE))</f>
        <v/>
      </c>
      <c r="G138" s="6">
        <f>IF(B138="","",IF(_xlfn.MAXIFS('2.현장'!$L$2:$L$1001,'2.현장'!$V$2:$V$1001,B138,'2.현장'!$T$2:$T$1001,TRUE)=0,"",_xlfn.MAXIFS('2.현장'!$L$2:$L$1001,'2.현장'!$V$2:$V$1001,B138,'2.현장'!$T$2:$T$1001,TRUE)))</f>
        <v/>
      </c>
      <c r="H138">
        <f>IF(B138="","",IFERROR(INDEX('2.현장'!$C$2:$C$1001,IFERROR(MATCH(B138&amp;"|설계사",'2.현장'!$Z$2:$Z$1001,0),IFERROR(MATCH(B138&amp;"|시공사",'2.현장'!$Z$2:$Z$1001,0),MATCH(B138&amp;"|늦음",'2.현장'!$Z$2:$Z$1001,0)))),""))</f>
        <v/>
      </c>
      <c r="I138">
        <f>IF(B138="","",IFERROR(INDEX('2.현장'!$N$2:$N$1001,IFERROR(MATCH(B138&amp;"|설계사",'2.현장'!$Z$2:$Z$1001,0),IFERROR(MATCH(B138&amp;"|시공사",'2.현장'!$Z$2:$Z$1001,0),MATCH(B138&amp;"|늦음",'2.현장'!$Z$2:$Z$1001,0)))),""))</f>
        <v/>
      </c>
      <c r="J138">
        <f>IF(B138="","",IFERROR(VLOOKUP(B138,설계사_메모!$A$3:$G$302,2,FALSE)&amp;"",""))</f>
        <v/>
      </c>
      <c r="K138">
        <f>IF(B138="","",IFERROR(VLOOKUP(B138,설계사_메모!$A$3:$G$302,4,FALSE)&amp;"",""))</f>
        <v/>
      </c>
      <c r="L138" s="6">
        <f>IF(B138="","",IF(COUNTIF('4.방문기록'!$B$3:$B$502,B138)=0,"",_xlfn.MAXIFS('4.방문기록'!$A$3:$A$502,'4.방문기록'!$B$3:$B$502,B138)))</f>
        <v/>
      </c>
      <c r="M138">
        <f>IF(L138="","",설정!$B$24-L138)</f>
        <v/>
      </c>
      <c r="N138" s="6">
        <f>IF(B138="","",IF(_xlfn.MAXIFS('4.방문기록'!$F$3:$F$502,'4.방문기록'!$B$3:$B$502,B138)=0,"",_xlfn.MAXIFS('4.방문기록'!$F$3:$F$502,'4.방문기록'!$B$3:$B$502,B138)))</f>
        <v/>
      </c>
      <c r="O138">
        <f>IF(L138="","",IFERROR(INDEX('4.방문기록'!$H$3:$H$502,MATCH(B138&amp;"|"&amp;(L138*1),'4.방문기록'!$I$3:$I$502,0))&amp;"",""))</f>
        <v/>
      </c>
      <c r="P138">
        <f>IF(B138="","",IF(O138="관심 없음","제외",IF(L138="","안 가봄",IF(M138&gt;=설정!$B$20,M138&amp;"일 지남","최근 방문"))))</f>
        <v/>
      </c>
      <c r="Q138" s="7">
        <f>IF(B138="","",IF(P138="제외","",IF(AND(설정!$B$21&lt;&gt;"",I138&lt;&gt;설정!$B$21),"",IF(AND(N138&lt;&gt;"",N138&gt;N(L138),N138&lt;=설정!$B$24+7),100+7-(N138-설정!$B$24),IF(AND(D138&gt;0,OR(P138="안 가봄",RIGHT(P138,2)="지남")),D138*10+IF(L138="",30,MIN(M138,60)/2)+MIN(N(F138)/1000,20),"")))))</f>
        <v/>
      </c>
      <c r="R138">
        <f>IF(Q138="","",COUNTIF(Q$4:Q$303,"&gt;"&amp;Q138)+COUNTIF(Q$4:Q138,Q138))</f>
        <v/>
      </c>
    </row>
    <row r="139">
      <c r="A139">
        <f>IF(B139="","",136)</f>
        <v/>
      </c>
      <c r="B139">
        <f>IFERROR(INDEX('2.현장'!$V$2:$V$1001,MATCH(136,'2.현장'!$W$2:$W$1001,0)),"")</f>
        <v/>
      </c>
      <c r="C139">
        <f>IF(B139="","",COUNTIFS('2.현장'!$V$2:$V$1001,B139,'2.현장'!$T$2:$T$1001,TRUE))</f>
        <v/>
      </c>
      <c r="D139">
        <f>IF(B139="","",COUNTIFS('2.현장'!$V$2:$V$1001,B139,'2.현장'!$U$2:$U$1001,"설계사"))</f>
        <v/>
      </c>
      <c r="E139">
        <f>IF(B139="","",COUNTIFS('2.현장'!$V$2:$V$1001,B139,'2.현장'!$U$2:$U$1001,"시공사"))</f>
        <v/>
      </c>
      <c r="F139" s="5">
        <f>IF(B139="","",_xlfn.MAXIFS('2.현장'!$D$2:$D$1001,'2.현장'!$V$2:$V$1001,B139,'2.현장'!$T$2:$T$1001,TRUE))</f>
        <v/>
      </c>
      <c r="G139" s="6">
        <f>IF(B139="","",IF(_xlfn.MAXIFS('2.현장'!$L$2:$L$1001,'2.현장'!$V$2:$V$1001,B139,'2.현장'!$T$2:$T$1001,TRUE)=0,"",_xlfn.MAXIFS('2.현장'!$L$2:$L$1001,'2.현장'!$V$2:$V$1001,B139,'2.현장'!$T$2:$T$1001,TRUE)))</f>
        <v/>
      </c>
      <c r="H139">
        <f>IF(B139="","",IFERROR(INDEX('2.현장'!$C$2:$C$1001,IFERROR(MATCH(B139&amp;"|설계사",'2.현장'!$Z$2:$Z$1001,0),IFERROR(MATCH(B139&amp;"|시공사",'2.현장'!$Z$2:$Z$1001,0),MATCH(B139&amp;"|늦음",'2.현장'!$Z$2:$Z$1001,0)))),""))</f>
        <v/>
      </c>
      <c r="I139">
        <f>IF(B139="","",IFERROR(INDEX('2.현장'!$N$2:$N$1001,IFERROR(MATCH(B139&amp;"|설계사",'2.현장'!$Z$2:$Z$1001,0),IFERROR(MATCH(B139&amp;"|시공사",'2.현장'!$Z$2:$Z$1001,0),MATCH(B139&amp;"|늦음",'2.현장'!$Z$2:$Z$1001,0)))),""))</f>
        <v/>
      </c>
      <c r="J139">
        <f>IF(B139="","",IFERROR(VLOOKUP(B139,설계사_메모!$A$3:$G$302,2,FALSE)&amp;"",""))</f>
        <v/>
      </c>
      <c r="K139">
        <f>IF(B139="","",IFERROR(VLOOKUP(B139,설계사_메모!$A$3:$G$302,4,FALSE)&amp;"",""))</f>
        <v/>
      </c>
      <c r="L139" s="6">
        <f>IF(B139="","",IF(COUNTIF('4.방문기록'!$B$3:$B$502,B139)=0,"",_xlfn.MAXIFS('4.방문기록'!$A$3:$A$502,'4.방문기록'!$B$3:$B$502,B139)))</f>
        <v/>
      </c>
      <c r="M139">
        <f>IF(L139="","",설정!$B$24-L139)</f>
        <v/>
      </c>
      <c r="N139" s="6">
        <f>IF(B139="","",IF(_xlfn.MAXIFS('4.방문기록'!$F$3:$F$502,'4.방문기록'!$B$3:$B$502,B139)=0,"",_xlfn.MAXIFS('4.방문기록'!$F$3:$F$502,'4.방문기록'!$B$3:$B$502,B139)))</f>
        <v/>
      </c>
      <c r="O139">
        <f>IF(L139="","",IFERROR(INDEX('4.방문기록'!$H$3:$H$502,MATCH(B139&amp;"|"&amp;(L139*1),'4.방문기록'!$I$3:$I$502,0))&amp;"",""))</f>
        <v/>
      </c>
      <c r="P139">
        <f>IF(B139="","",IF(O139="관심 없음","제외",IF(L139="","안 가봄",IF(M139&gt;=설정!$B$20,M139&amp;"일 지남","최근 방문"))))</f>
        <v/>
      </c>
      <c r="Q139" s="7">
        <f>IF(B139="","",IF(P139="제외","",IF(AND(설정!$B$21&lt;&gt;"",I139&lt;&gt;설정!$B$21),"",IF(AND(N139&lt;&gt;"",N139&gt;N(L139),N139&lt;=설정!$B$24+7),100+7-(N139-설정!$B$24),IF(AND(D139&gt;0,OR(P139="안 가봄",RIGHT(P139,2)="지남")),D139*10+IF(L139="",30,MIN(M139,60)/2)+MIN(N(F139)/1000,20),"")))))</f>
        <v/>
      </c>
      <c r="R139">
        <f>IF(Q139="","",COUNTIF(Q$4:Q$303,"&gt;"&amp;Q139)+COUNTIF(Q$4:Q139,Q139))</f>
        <v/>
      </c>
    </row>
    <row r="140">
      <c r="A140">
        <f>IF(B140="","",137)</f>
        <v/>
      </c>
      <c r="B140">
        <f>IFERROR(INDEX('2.현장'!$V$2:$V$1001,MATCH(137,'2.현장'!$W$2:$W$1001,0)),"")</f>
        <v/>
      </c>
      <c r="C140">
        <f>IF(B140="","",COUNTIFS('2.현장'!$V$2:$V$1001,B140,'2.현장'!$T$2:$T$1001,TRUE))</f>
        <v/>
      </c>
      <c r="D140">
        <f>IF(B140="","",COUNTIFS('2.현장'!$V$2:$V$1001,B140,'2.현장'!$U$2:$U$1001,"설계사"))</f>
        <v/>
      </c>
      <c r="E140">
        <f>IF(B140="","",COUNTIFS('2.현장'!$V$2:$V$1001,B140,'2.현장'!$U$2:$U$1001,"시공사"))</f>
        <v/>
      </c>
      <c r="F140" s="5">
        <f>IF(B140="","",_xlfn.MAXIFS('2.현장'!$D$2:$D$1001,'2.현장'!$V$2:$V$1001,B140,'2.현장'!$T$2:$T$1001,TRUE))</f>
        <v/>
      </c>
      <c r="G140" s="6">
        <f>IF(B140="","",IF(_xlfn.MAXIFS('2.현장'!$L$2:$L$1001,'2.현장'!$V$2:$V$1001,B140,'2.현장'!$T$2:$T$1001,TRUE)=0,"",_xlfn.MAXIFS('2.현장'!$L$2:$L$1001,'2.현장'!$V$2:$V$1001,B140,'2.현장'!$T$2:$T$1001,TRUE)))</f>
        <v/>
      </c>
      <c r="H140">
        <f>IF(B140="","",IFERROR(INDEX('2.현장'!$C$2:$C$1001,IFERROR(MATCH(B140&amp;"|설계사",'2.현장'!$Z$2:$Z$1001,0),IFERROR(MATCH(B140&amp;"|시공사",'2.현장'!$Z$2:$Z$1001,0),MATCH(B140&amp;"|늦음",'2.현장'!$Z$2:$Z$1001,0)))),""))</f>
        <v/>
      </c>
      <c r="I140">
        <f>IF(B140="","",IFERROR(INDEX('2.현장'!$N$2:$N$1001,IFERROR(MATCH(B140&amp;"|설계사",'2.현장'!$Z$2:$Z$1001,0),IFERROR(MATCH(B140&amp;"|시공사",'2.현장'!$Z$2:$Z$1001,0),MATCH(B140&amp;"|늦음",'2.현장'!$Z$2:$Z$1001,0)))),""))</f>
        <v/>
      </c>
      <c r="J140">
        <f>IF(B140="","",IFERROR(VLOOKUP(B140,설계사_메모!$A$3:$G$302,2,FALSE)&amp;"",""))</f>
        <v/>
      </c>
      <c r="K140">
        <f>IF(B140="","",IFERROR(VLOOKUP(B140,설계사_메모!$A$3:$G$302,4,FALSE)&amp;"",""))</f>
        <v/>
      </c>
      <c r="L140" s="6">
        <f>IF(B140="","",IF(COUNTIF('4.방문기록'!$B$3:$B$502,B140)=0,"",_xlfn.MAXIFS('4.방문기록'!$A$3:$A$502,'4.방문기록'!$B$3:$B$502,B140)))</f>
        <v/>
      </c>
      <c r="M140">
        <f>IF(L140="","",설정!$B$24-L140)</f>
        <v/>
      </c>
      <c r="N140" s="6">
        <f>IF(B140="","",IF(_xlfn.MAXIFS('4.방문기록'!$F$3:$F$502,'4.방문기록'!$B$3:$B$502,B140)=0,"",_xlfn.MAXIFS('4.방문기록'!$F$3:$F$502,'4.방문기록'!$B$3:$B$502,B140)))</f>
        <v/>
      </c>
      <c r="O140">
        <f>IF(L140="","",IFERROR(INDEX('4.방문기록'!$H$3:$H$502,MATCH(B140&amp;"|"&amp;(L140*1),'4.방문기록'!$I$3:$I$502,0))&amp;"",""))</f>
        <v/>
      </c>
      <c r="P140">
        <f>IF(B140="","",IF(O140="관심 없음","제외",IF(L140="","안 가봄",IF(M140&gt;=설정!$B$20,M140&amp;"일 지남","최근 방문"))))</f>
        <v/>
      </c>
      <c r="Q140" s="7">
        <f>IF(B140="","",IF(P140="제외","",IF(AND(설정!$B$21&lt;&gt;"",I140&lt;&gt;설정!$B$21),"",IF(AND(N140&lt;&gt;"",N140&gt;N(L140),N140&lt;=설정!$B$24+7),100+7-(N140-설정!$B$24),IF(AND(D140&gt;0,OR(P140="안 가봄",RIGHT(P140,2)="지남")),D140*10+IF(L140="",30,MIN(M140,60)/2)+MIN(N(F140)/1000,20),"")))))</f>
        <v/>
      </c>
      <c r="R140">
        <f>IF(Q140="","",COUNTIF(Q$4:Q$303,"&gt;"&amp;Q140)+COUNTIF(Q$4:Q140,Q140))</f>
        <v/>
      </c>
    </row>
    <row r="141">
      <c r="A141">
        <f>IF(B141="","",138)</f>
        <v/>
      </c>
      <c r="B141">
        <f>IFERROR(INDEX('2.현장'!$V$2:$V$1001,MATCH(138,'2.현장'!$W$2:$W$1001,0)),"")</f>
        <v/>
      </c>
      <c r="C141">
        <f>IF(B141="","",COUNTIFS('2.현장'!$V$2:$V$1001,B141,'2.현장'!$T$2:$T$1001,TRUE))</f>
        <v/>
      </c>
      <c r="D141">
        <f>IF(B141="","",COUNTIFS('2.현장'!$V$2:$V$1001,B141,'2.현장'!$U$2:$U$1001,"설계사"))</f>
        <v/>
      </c>
      <c r="E141">
        <f>IF(B141="","",COUNTIFS('2.현장'!$V$2:$V$1001,B141,'2.현장'!$U$2:$U$1001,"시공사"))</f>
        <v/>
      </c>
      <c r="F141" s="5">
        <f>IF(B141="","",_xlfn.MAXIFS('2.현장'!$D$2:$D$1001,'2.현장'!$V$2:$V$1001,B141,'2.현장'!$T$2:$T$1001,TRUE))</f>
        <v/>
      </c>
      <c r="G141" s="6">
        <f>IF(B141="","",IF(_xlfn.MAXIFS('2.현장'!$L$2:$L$1001,'2.현장'!$V$2:$V$1001,B141,'2.현장'!$T$2:$T$1001,TRUE)=0,"",_xlfn.MAXIFS('2.현장'!$L$2:$L$1001,'2.현장'!$V$2:$V$1001,B141,'2.현장'!$T$2:$T$1001,TRUE)))</f>
        <v/>
      </c>
      <c r="H141">
        <f>IF(B141="","",IFERROR(INDEX('2.현장'!$C$2:$C$1001,IFERROR(MATCH(B141&amp;"|설계사",'2.현장'!$Z$2:$Z$1001,0),IFERROR(MATCH(B141&amp;"|시공사",'2.현장'!$Z$2:$Z$1001,0),MATCH(B141&amp;"|늦음",'2.현장'!$Z$2:$Z$1001,0)))),""))</f>
        <v/>
      </c>
      <c r="I141">
        <f>IF(B141="","",IFERROR(INDEX('2.현장'!$N$2:$N$1001,IFERROR(MATCH(B141&amp;"|설계사",'2.현장'!$Z$2:$Z$1001,0),IFERROR(MATCH(B141&amp;"|시공사",'2.현장'!$Z$2:$Z$1001,0),MATCH(B141&amp;"|늦음",'2.현장'!$Z$2:$Z$1001,0)))),""))</f>
        <v/>
      </c>
      <c r="J141">
        <f>IF(B141="","",IFERROR(VLOOKUP(B141,설계사_메모!$A$3:$G$302,2,FALSE)&amp;"",""))</f>
        <v/>
      </c>
      <c r="K141">
        <f>IF(B141="","",IFERROR(VLOOKUP(B141,설계사_메모!$A$3:$G$302,4,FALSE)&amp;"",""))</f>
        <v/>
      </c>
      <c r="L141" s="6">
        <f>IF(B141="","",IF(COUNTIF('4.방문기록'!$B$3:$B$502,B141)=0,"",_xlfn.MAXIFS('4.방문기록'!$A$3:$A$502,'4.방문기록'!$B$3:$B$502,B141)))</f>
        <v/>
      </c>
      <c r="M141">
        <f>IF(L141="","",설정!$B$24-L141)</f>
        <v/>
      </c>
      <c r="N141" s="6">
        <f>IF(B141="","",IF(_xlfn.MAXIFS('4.방문기록'!$F$3:$F$502,'4.방문기록'!$B$3:$B$502,B141)=0,"",_xlfn.MAXIFS('4.방문기록'!$F$3:$F$502,'4.방문기록'!$B$3:$B$502,B141)))</f>
        <v/>
      </c>
      <c r="O141">
        <f>IF(L141="","",IFERROR(INDEX('4.방문기록'!$H$3:$H$502,MATCH(B141&amp;"|"&amp;(L141*1),'4.방문기록'!$I$3:$I$502,0))&amp;"",""))</f>
        <v/>
      </c>
      <c r="P141">
        <f>IF(B141="","",IF(O141="관심 없음","제외",IF(L141="","안 가봄",IF(M141&gt;=설정!$B$20,M141&amp;"일 지남","최근 방문"))))</f>
        <v/>
      </c>
      <c r="Q141" s="7">
        <f>IF(B141="","",IF(P141="제외","",IF(AND(설정!$B$21&lt;&gt;"",I141&lt;&gt;설정!$B$21),"",IF(AND(N141&lt;&gt;"",N141&gt;N(L141),N141&lt;=설정!$B$24+7),100+7-(N141-설정!$B$24),IF(AND(D141&gt;0,OR(P141="안 가봄",RIGHT(P141,2)="지남")),D141*10+IF(L141="",30,MIN(M141,60)/2)+MIN(N(F141)/1000,20),"")))))</f>
        <v/>
      </c>
      <c r="R141">
        <f>IF(Q141="","",COUNTIF(Q$4:Q$303,"&gt;"&amp;Q141)+COUNTIF(Q$4:Q141,Q141))</f>
        <v/>
      </c>
    </row>
    <row r="142">
      <c r="A142">
        <f>IF(B142="","",139)</f>
        <v/>
      </c>
      <c r="B142">
        <f>IFERROR(INDEX('2.현장'!$V$2:$V$1001,MATCH(139,'2.현장'!$W$2:$W$1001,0)),"")</f>
        <v/>
      </c>
      <c r="C142">
        <f>IF(B142="","",COUNTIFS('2.현장'!$V$2:$V$1001,B142,'2.현장'!$T$2:$T$1001,TRUE))</f>
        <v/>
      </c>
      <c r="D142">
        <f>IF(B142="","",COUNTIFS('2.현장'!$V$2:$V$1001,B142,'2.현장'!$U$2:$U$1001,"설계사"))</f>
        <v/>
      </c>
      <c r="E142">
        <f>IF(B142="","",COUNTIFS('2.현장'!$V$2:$V$1001,B142,'2.현장'!$U$2:$U$1001,"시공사"))</f>
        <v/>
      </c>
      <c r="F142" s="5">
        <f>IF(B142="","",_xlfn.MAXIFS('2.현장'!$D$2:$D$1001,'2.현장'!$V$2:$V$1001,B142,'2.현장'!$T$2:$T$1001,TRUE))</f>
        <v/>
      </c>
      <c r="G142" s="6">
        <f>IF(B142="","",IF(_xlfn.MAXIFS('2.현장'!$L$2:$L$1001,'2.현장'!$V$2:$V$1001,B142,'2.현장'!$T$2:$T$1001,TRUE)=0,"",_xlfn.MAXIFS('2.현장'!$L$2:$L$1001,'2.현장'!$V$2:$V$1001,B142,'2.현장'!$T$2:$T$1001,TRUE)))</f>
        <v/>
      </c>
      <c r="H142">
        <f>IF(B142="","",IFERROR(INDEX('2.현장'!$C$2:$C$1001,IFERROR(MATCH(B142&amp;"|설계사",'2.현장'!$Z$2:$Z$1001,0),IFERROR(MATCH(B142&amp;"|시공사",'2.현장'!$Z$2:$Z$1001,0),MATCH(B142&amp;"|늦음",'2.현장'!$Z$2:$Z$1001,0)))),""))</f>
        <v/>
      </c>
      <c r="I142">
        <f>IF(B142="","",IFERROR(INDEX('2.현장'!$N$2:$N$1001,IFERROR(MATCH(B142&amp;"|설계사",'2.현장'!$Z$2:$Z$1001,0),IFERROR(MATCH(B142&amp;"|시공사",'2.현장'!$Z$2:$Z$1001,0),MATCH(B142&amp;"|늦음",'2.현장'!$Z$2:$Z$1001,0)))),""))</f>
        <v/>
      </c>
      <c r="J142">
        <f>IF(B142="","",IFERROR(VLOOKUP(B142,설계사_메모!$A$3:$G$302,2,FALSE)&amp;"",""))</f>
        <v/>
      </c>
      <c r="K142">
        <f>IF(B142="","",IFERROR(VLOOKUP(B142,설계사_메모!$A$3:$G$302,4,FALSE)&amp;"",""))</f>
        <v/>
      </c>
      <c r="L142" s="6">
        <f>IF(B142="","",IF(COUNTIF('4.방문기록'!$B$3:$B$502,B142)=0,"",_xlfn.MAXIFS('4.방문기록'!$A$3:$A$502,'4.방문기록'!$B$3:$B$502,B142)))</f>
        <v/>
      </c>
      <c r="M142">
        <f>IF(L142="","",설정!$B$24-L142)</f>
        <v/>
      </c>
      <c r="N142" s="6">
        <f>IF(B142="","",IF(_xlfn.MAXIFS('4.방문기록'!$F$3:$F$502,'4.방문기록'!$B$3:$B$502,B142)=0,"",_xlfn.MAXIFS('4.방문기록'!$F$3:$F$502,'4.방문기록'!$B$3:$B$502,B142)))</f>
        <v/>
      </c>
      <c r="O142">
        <f>IF(L142="","",IFERROR(INDEX('4.방문기록'!$H$3:$H$502,MATCH(B142&amp;"|"&amp;(L142*1),'4.방문기록'!$I$3:$I$502,0))&amp;"",""))</f>
        <v/>
      </c>
      <c r="P142">
        <f>IF(B142="","",IF(O142="관심 없음","제외",IF(L142="","안 가봄",IF(M142&gt;=설정!$B$20,M142&amp;"일 지남","최근 방문"))))</f>
        <v/>
      </c>
      <c r="Q142" s="7">
        <f>IF(B142="","",IF(P142="제외","",IF(AND(설정!$B$21&lt;&gt;"",I142&lt;&gt;설정!$B$21),"",IF(AND(N142&lt;&gt;"",N142&gt;N(L142),N142&lt;=설정!$B$24+7),100+7-(N142-설정!$B$24),IF(AND(D142&gt;0,OR(P142="안 가봄",RIGHT(P142,2)="지남")),D142*10+IF(L142="",30,MIN(M142,60)/2)+MIN(N(F142)/1000,20),"")))))</f>
        <v/>
      </c>
      <c r="R142">
        <f>IF(Q142="","",COUNTIF(Q$4:Q$303,"&gt;"&amp;Q142)+COUNTIF(Q$4:Q142,Q142))</f>
        <v/>
      </c>
    </row>
    <row r="143">
      <c r="A143">
        <f>IF(B143="","",140)</f>
        <v/>
      </c>
      <c r="B143">
        <f>IFERROR(INDEX('2.현장'!$V$2:$V$1001,MATCH(140,'2.현장'!$W$2:$W$1001,0)),"")</f>
        <v/>
      </c>
      <c r="C143">
        <f>IF(B143="","",COUNTIFS('2.현장'!$V$2:$V$1001,B143,'2.현장'!$T$2:$T$1001,TRUE))</f>
        <v/>
      </c>
      <c r="D143">
        <f>IF(B143="","",COUNTIFS('2.현장'!$V$2:$V$1001,B143,'2.현장'!$U$2:$U$1001,"설계사"))</f>
        <v/>
      </c>
      <c r="E143">
        <f>IF(B143="","",COUNTIFS('2.현장'!$V$2:$V$1001,B143,'2.현장'!$U$2:$U$1001,"시공사"))</f>
        <v/>
      </c>
      <c r="F143" s="5">
        <f>IF(B143="","",_xlfn.MAXIFS('2.현장'!$D$2:$D$1001,'2.현장'!$V$2:$V$1001,B143,'2.현장'!$T$2:$T$1001,TRUE))</f>
        <v/>
      </c>
      <c r="G143" s="6">
        <f>IF(B143="","",IF(_xlfn.MAXIFS('2.현장'!$L$2:$L$1001,'2.현장'!$V$2:$V$1001,B143,'2.현장'!$T$2:$T$1001,TRUE)=0,"",_xlfn.MAXIFS('2.현장'!$L$2:$L$1001,'2.현장'!$V$2:$V$1001,B143,'2.현장'!$T$2:$T$1001,TRUE)))</f>
        <v/>
      </c>
      <c r="H143">
        <f>IF(B143="","",IFERROR(INDEX('2.현장'!$C$2:$C$1001,IFERROR(MATCH(B143&amp;"|설계사",'2.현장'!$Z$2:$Z$1001,0),IFERROR(MATCH(B143&amp;"|시공사",'2.현장'!$Z$2:$Z$1001,0),MATCH(B143&amp;"|늦음",'2.현장'!$Z$2:$Z$1001,0)))),""))</f>
        <v/>
      </c>
      <c r="I143">
        <f>IF(B143="","",IFERROR(INDEX('2.현장'!$N$2:$N$1001,IFERROR(MATCH(B143&amp;"|설계사",'2.현장'!$Z$2:$Z$1001,0),IFERROR(MATCH(B143&amp;"|시공사",'2.현장'!$Z$2:$Z$1001,0),MATCH(B143&amp;"|늦음",'2.현장'!$Z$2:$Z$1001,0)))),""))</f>
        <v/>
      </c>
      <c r="J143">
        <f>IF(B143="","",IFERROR(VLOOKUP(B143,설계사_메모!$A$3:$G$302,2,FALSE)&amp;"",""))</f>
        <v/>
      </c>
      <c r="K143">
        <f>IF(B143="","",IFERROR(VLOOKUP(B143,설계사_메모!$A$3:$G$302,4,FALSE)&amp;"",""))</f>
        <v/>
      </c>
      <c r="L143" s="6">
        <f>IF(B143="","",IF(COUNTIF('4.방문기록'!$B$3:$B$502,B143)=0,"",_xlfn.MAXIFS('4.방문기록'!$A$3:$A$502,'4.방문기록'!$B$3:$B$502,B143)))</f>
        <v/>
      </c>
      <c r="M143">
        <f>IF(L143="","",설정!$B$24-L143)</f>
        <v/>
      </c>
      <c r="N143" s="6">
        <f>IF(B143="","",IF(_xlfn.MAXIFS('4.방문기록'!$F$3:$F$502,'4.방문기록'!$B$3:$B$502,B143)=0,"",_xlfn.MAXIFS('4.방문기록'!$F$3:$F$502,'4.방문기록'!$B$3:$B$502,B143)))</f>
        <v/>
      </c>
      <c r="O143">
        <f>IF(L143="","",IFERROR(INDEX('4.방문기록'!$H$3:$H$502,MATCH(B143&amp;"|"&amp;(L143*1),'4.방문기록'!$I$3:$I$502,0))&amp;"",""))</f>
        <v/>
      </c>
      <c r="P143">
        <f>IF(B143="","",IF(O143="관심 없음","제외",IF(L143="","안 가봄",IF(M143&gt;=설정!$B$20,M143&amp;"일 지남","최근 방문"))))</f>
        <v/>
      </c>
      <c r="Q143" s="7">
        <f>IF(B143="","",IF(P143="제외","",IF(AND(설정!$B$21&lt;&gt;"",I143&lt;&gt;설정!$B$21),"",IF(AND(N143&lt;&gt;"",N143&gt;N(L143),N143&lt;=설정!$B$24+7),100+7-(N143-설정!$B$24),IF(AND(D143&gt;0,OR(P143="안 가봄",RIGHT(P143,2)="지남")),D143*10+IF(L143="",30,MIN(M143,60)/2)+MIN(N(F143)/1000,20),"")))))</f>
        <v/>
      </c>
      <c r="R143">
        <f>IF(Q143="","",COUNTIF(Q$4:Q$303,"&gt;"&amp;Q143)+COUNTIF(Q$4:Q143,Q143))</f>
        <v/>
      </c>
    </row>
    <row r="144">
      <c r="A144">
        <f>IF(B144="","",141)</f>
        <v/>
      </c>
      <c r="B144">
        <f>IFERROR(INDEX('2.현장'!$V$2:$V$1001,MATCH(141,'2.현장'!$W$2:$W$1001,0)),"")</f>
        <v/>
      </c>
      <c r="C144">
        <f>IF(B144="","",COUNTIFS('2.현장'!$V$2:$V$1001,B144,'2.현장'!$T$2:$T$1001,TRUE))</f>
        <v/>
      </c>
      <c r="D144">
        <f>IF(B144="","",COUNTIFS('2.현장'!$V$2:$V$1001,B144,'2.현장'!$U$2:$U$1001,"설계사"))</f>
        <v/>
      </c>
      <c r="E144">
        <f>IF(B144="","",COUNTIFS('2.현장'!$V$2:$V$1001,B144,'2.현장'!$U$2:$U$1001,"시공사"))</f>
        <v/>
      </c>
      <c r="F144" s="5">
        <f>IF(B144="","",_xlfn.MAXIFS('2.현장'!$D$2:$D$1001,'2.현장'!$V$2:$V$1001,B144,'2.현장'!$T$2:$T$1001,TRUE))</f>
        <v/>
      </c>
      <c r="G144" s="6">
        <f>IF(B144="","",IF(_xlfn.MAXIFS('2.현장'!$L$2:$L$1001,'2.현장'!$V$2:$V$1001,B144,'2.현장'!$T$2:$T$1001,TRUE)=0,"",_xlfn.MAXIFS('2.현장'!$L$2:$L$1001,'2.현장'!$V$2:$V$1001,B144,'2.현장'!$T$2:$T$1001,TRUE)))</f>
        <v/>
      </c>
      <c r="H144">
        <f>IF(B144="","",IFERROR(INDEX('2.현장'!$C$2:$C$1001,IFERROR(MATCH(B144&amp;"|설계사",'2.현장'!$Z$2:$Z$1001,0),IFERROR(MATCH(B144&amp;"|시공사",'2.현장'!$Z$2:$Z$1001,0),MATCH(B144&amp;"|늦음",'2.현장'!$Z$2:$Z$1001,0)))),""))</f>
        <v/>
      </c>
      <c r="I144">
        <f>IF(B144="","",IFERROR(INDEX('2.현장'!$N$2:$N$1001,IFERROR(MATCH(B144&amp;"|설계사",'2.현장'!$Z$2:$Z$1001,0),IFERROR(MATCH(B144&amp;"|시공사",'2.현장'!$Z$2:$Z$1001,0),MATCH(B144&amp;"|늦음",'2.현장'!$Z$2:$Z$1001,0)))),""))</f>
        <v/>
      </c>
      <c r="J144">
        <f>IF(B144="","",IFERROR(VLOOKUP(B144,설계사_메모!$A$3:$G$302,2,FALSE)&amp;"",""))</f>
        <v/>
      </c>
      <c r="K144">
        <f>IF(B144="","",IFERROR(VLOOKUP(B144,설계사_메모!$A$3:$G$302,4,FALSE)&amp;"",""))</f>
        <v/>
      </c>
      <c r="L144" s="6">
        <f>IF(B144="","",IF(COUNTIF('4.방문기록'!$B$3:$B$502,B144)=0,"",_xlfn.MAXIFS('4.방문기록'!$A$3:$A$502,'4.방문기록'!$B$3:$B$502,B144)))</f>
        <v/>
      </c>
      <c r="M144">
        <f>IF(L144="","",설정!$B$24-L144)</f>
        <v/>
      </c>
      <c r="N144" s="6">
        <f>IF(B144="","",IF(_xlfn.MAXIFS('4.방문기록'!$F$3:$F$502,'4.방문기록'!$B$3:$B$502,B144)=0,"",_xlfn.MAXIFS('4.방문기록'!$F$3:$F$502,'4.방문기록'!$B$3:$B$502,B144)))</f>
        <v/>
      </c>
      <c r="O144">
        <f>IF(L144="","",IFERROR(INDEX('4.방문기록'!$H$3:$H$502,MATCH(B144&amp;"|"&amp;(L144*1),'4.방문기록'!$I$3:$I$502,0))&amp;"",""))</f>
        <v/>
      </c>
      <c r="P144">
        <f>IF(B144="","",IF(O144="관심 없음","제외",IF(L144="","안 가봄",IF(M144&gt;=설정!$B$20,M144&amp;"일 지남","최근 방문"))))</f>
        <v/>
      </c>
      <c r="Q144" s="7">
        <f>IF(B144="","",IF(P144="제외","",IF(AND(설정!$B$21&lt;&gt;"",I144&lt;&gt;설정!$B$21),"",IF(AND(N144&lt;&gt;"",N144&gt;N(L144),N144&lt;=설정!$B$24+7),100+7-(N144-설정!$B$24),IF(AND(D144&gt;0,OR(P144="안 가봄",RIGHT(P144,2)="지남")),D144*10+IF(L144="",30,MIN(M144,60)/2)+MIN(N(F144)/1000,20),"")))))</f>
        <v/>
      </c>
      <c r="R144">
        <f>IF(Q144="","",COUNTIF(Q$4:Q$303,"&gt;"&amp;Q144)+COUNTIF(Q$4:Q144,Q144))</f>
        <v/>
      </c>
    </row>
    <row r="145">
      <c r="A145">
        <f>IF(B145="","",142)</f>
        <v/>
      </c>
      <c r="B145">
        <f>IFERROR(INDEX('2.현장'!$V$2:$V$1001,MATCH(142,'2.현장'!$W$2:$W$1001,0)),"")</f>
        <v/>
      </c>
      <c r="C145">
        <f>IF(B145="","",COUNTIFS('2.현장'!$V$2:$V$1001,B145,'2.현장'!$T$2:$T$1001,TRUE))</f>
        <v/>
      </c>
      <c r="D145">
        <f>IF(B145="","",COUNTIFS('2.현장'!$V$2:$V$1001,B145,'2.현장'!$U$2:$U$1001,"설계사"))</f>
        <v/>
      </c>
      <c r="E145">
        <f>IF(B145="","",COUNTIFS('2.현장'!$V$2:$V$1001,B145,'2.현장'!$U$2:$U$1001,"시공사"))</f>
        <v/>
      </c>
      <c r="F145" s="5">
        <f>IF(B145="","",_xlfn.MAXIFS('2.현장'!$D$2:$D$1001,'2.현장'!$V$2:$V$1001,B145,'2.현장'!$T$2:$T$1001,TRUE))</f>
        <v/>
      </c>
      <c r="G145" s="6">
        <f>IF(B145="","",IF(_xlfn.MAXIFS('2.현장'!$L$2:$L$1001,'2.현장'!$V$2:$V$1001,B145,'2.현장'!$T$2:$T$1001,TRUE)=0,"",_xlfn.MAXIFS('2.현장'!$L$2:$L$1001,'2.현장'!$V$2:$V$1001,B145,'2.현장'!$T$2:$T$1001,TRUE)))</f>
        <v/>
      </c>
      <c r="H145">
        <f>IF(B145="","",IFERROR(INDEX('2.현장'!$C$2:$C$1001,IFERROR(MATCH(B145&amp;"|설계사",'2.현장'!$Z$2:$Z$1001,0),IFERROR(MATCH(B145&amp;"|시공사",'2.현장'!$Z$2:$Z$1001,0),MATCH(B145&amp;"|늦음",'2.현장'!$Z$2:$Z$1001,0)))),""))</f>
        <v/>
      </c>
      <c r="I145">
        <f>IF(B145="","",IFERROR(INDEX('2.현장'!$N$2:$N$1001,IFERROR(MATCH(B145&amp;"|설계사",'2.현장'!$Z$2:$Z$1001,0),IFERROR(MATCH(B145&amp;"|시공사",'2.현장'!$Z$2:$Z$1001,0),MATCH(B145&amp;"|늦음",'2.현장'!$Z$2:$Z$1001,0)))),""))</f>
        <v/>
      </c>
      <c r="J145">
        <f>IF(B145="","",IFERROR(VLOOKUP(B145,설계사_메모!$A$3:$G$302,2,FALSE)&amp;"",""))</f>
        <v/>
      </c>
      <c r="K145">
        <f>IF(B145="","",IFERROR(VLOOKUP(B145,설계사_메모!$A$3:$G$302,4,FALSE)&amp;"",""))</f>
        <v/>
      </c>
      <c r="L145" s="6">
        <f>IF(B145="","",IF(COUNTIF('4.방문기록'!$B$3:$B$502,B145)=0,"",_xlfn.MAXIFS('4.방문기록'!$A$3:$A$502,'4.방문기록'!$B$3:$B$502,B145)))</f>
        <v/>
      </c>
      <c r="M145">
        <f>IF(L145="","",설정!$B$24-L145)</f>
        <v/>
      </c>
      <c r="N145" s="6">
        <f>IF(B145="","",IF(_xlfn.MAXIFS('4.방문기록'!$F$3:$F$502,'4.방문기록'!$B$3:$B$502,B145)=0,"",_xlfn.MAXIFS('4.방문기록'!$F$3:$F$502,'4.방문기록'!$B$3:$B$502,B145)))</f>
        <v/>
      </c>
      <c r="O145">
        <f>IF(L145="","",IFERROR(INDEX('4.방문기록'!$H$3:$H$502,MATCH(B145&amp;"|"&amp;(L145*1),'4.방문기록'!$I$3:$I$502,0))&amp;"",""))</f>
        <v/>
      </c>
      <c r="P145">
        <f>IF(B145="","",IF(O145="관심 없음","제외",IF(L145="","안 가봄",IF(M145&gt;=설정!$B$20,M145&amp;"일 지남","최근 방문"))))</f>
        <v/>
      </c>
      <c r="Q145" s="7">
        <f>IF(B145="","",IF(P145="제외","",IF(AND(설정!$B$21&lt;&gt;"",I145&lt;&gt;설정!$B$21),"",IF(AND(N145&lt;&gt;"",N145&gt;N(L145),N145&lt;=설정!$B$24+7),100+7-(N145-설정!$B$24),IF(AND(D145&gt;0,OR(P145="안 가봄",RIGHT(P145,2)="지남")),D145*10+IF(L145="",30,MIN(M145,60)/2)+MIN(N(F145)/1000,20),"")))))</f>
        <v/>
      </c>
      <c r="R145">
        <f>IF(Q145="","",COUNTIF(Q$4:Q$303,"&gt;"&amp;Q145)+COUNTIF(Q$4:Q145,Q145))</f>
        <v/>
      </c>
    </row>
    <row r="146">
      <c r="A146">
        <f>IF(B146="","",143)</f>
        <v/>
      </c>
      <c r="B146">
        <f>IFERROR(INDEX('2.현장'!$V$2:$V$1001,MATCH(143,'2.현장'!$W$2:$W$1001,0)),"")</f>
        <v/>
      </c>
      <c r="C146">
        <f>IF(B146="","",COUNTIFS('2.현장'!$V$2:$V$1001,B146,'2.현장'!$T$2:$T$1001,TRUE))</f>
        <v/>
      </c>
      <c r="D146">
        <f>IF(B146="","",COUNTIFS('2.현장'!$V$2:$V$1001,B146,'2.현장'!$U$2:$U$1001,"설계사"))</f>
        <v/>
      </c>
      <c r="E146">
        <f>IF(B146="","",COUNTIFS('2.현장'!$V$2:$V$1001,B146,'2.현장'!$U$2:$U$1001,"시공사"))</f>
        <v/>
      </c>
      <c r="F146" s="5">
        <f>IF(B146="","",_xlfn.MAXIFS('2.현장'!$D$2:$D$1001,'2.현장'!$V$2:$V$1001,B146,'2.현장'!$T$2:$T$1001,TRUE))</f>
        <v/>
      </c>
      <c r="G146" s="6">
        <f>IF(B146="","",IF(_xlfn.MAXIFS('2.현장'!$L$2:$L$1001,'2.현장'!$V$2:$V$1001,B146,'2.현장'!$T$2:$T$1001,TRUE)=0,"",_xlfn.MAXIFS('2.현장'!$L$2:$L$1001,'2.현장'!$V$2:$V$1001,B146,'2.현장'!$T$2:$T$1001,TRUE)))</f>
        <v/>
      </c>
      <c r="H146">
        <f>IF(B146="","",IFERROR(INDEX('2.현장'!$C$2:$C$1001,IFERROR(MATCH(B146&amp;"|설계사",'2.현장'!$Z$2:$Z$1001,0),IFERROR(MATCH(B146&amp;"|시공사",'2.현장'!$Z$2:$Z$1001,0),MATCH(B146&amp;"|늦음",'2.현장'!$Z$2:$Z$1001,0)))),""))</f>
        <v/>
      </c>
      <c r="I146">
        <f>IF(B146="","",IFERROR(INDEX('2.현장'!$N$2:$N$1001,IFERROR(MATCH(B146&amp;"|설계사",'2.현장'!$Z$2:$Z$1001,0),IFERROR(MATCH(B146&amp;"|시공사",'2.현장'!$Z$2:$Z$1001,0),MATCH(B146&amp;"|늦음",'2.현장'!$Z$2:$Z$1001,0)))),""))</f>
        <v/>
      </c>
      <c r="J146">
        <f>IF(B146="","",IFERROR(VLOOKUP(B146,설계사_메모!$A$3:$G$302,2,FALSE)&amp;"",""))</f>
        <v/>
      </c>
      <c r="K146">
        <f>IF(B146="","",IFERROR(VLOOKUP(B146,설계사_메모!$A$3:$G$302,4,FALSE)&amp;"",""))</f>
        <v/>
      </c>
      <c r="L146" s="6">
        <f>IF(B146="","",IF(COUNTIF('4.방문기록'!$B$3:$B$502,B146)=0,"",_xlfn.MAXIFS('4.방문기록'!$A$3:$A$502,'4.방문기록'!$B$3:$B$502,B146)))</f>
        <v/>
      </c>
      <c r="M146">
        <f>IF(L146="","",설정!$B$24-L146)</f>
        <v/>
      </c>
      <c r="N146" s="6">
        <f>IF(B146="","",IF(_xlfn.MAXIFS('4.방문기록'!$F$3:$F$502,'4.방문기록'!$B$3:$B$502,B146)=0,"",_xlfn.MAXIFS('4.방문기록'!$F$3:$F$502,'4.방문기록'!$B$3:$B$502,B146)))</f>
        <v/>
      </c>
      <c r="O146">
        <f>IF(L146="","",IFERROR(INDEX('4.방문기록'!$H$3:$H$502,MATCH(B146&amp;"|"&amp;(L146*1),'4.방문기록'!$I$3:$I$502,0))&amp;"",""))</f>
        <v/>
      </c>
      <c r="P146">
        <f>IF(B146="","",IF(O146="관심 없음","제외",IF(L146="","안 가봄",IF(M146&gt;=설정!$B$20,M146&amp;"일 지남","최근 방문"))))</f>
        <v/>
      </c>
      <c r="Q146" s="7">
        <f>IF(B146="","",IF(P146="제외","",IF(AND(설정!$B$21&lt;&gt;"",I146&lt;&gt;설정!$B$21),"",IF(AND(N146&lt;&gt;"",N146&gt;N(L146),N146&lt;=설정!$B$24+7),100+7-(N146-설정!$B$24),IF(AND(D146&gt;0,OR(P146="안 가봄",RIGHT(P146,2)="지남")),D146*10+IF(L146="",30,MIN(M146,60)/2)+MIN(N(F146)/1000,20),"")))))</f>
        <v/>
      </c>
      <c r="R146">
        <f>IF(Q146="","",COUNTIF(Q$4:Q$303,"&gt;"&amp;Q146)+COUNTIF(Q$4:Q146,Q146))</f>
        <v/>
      </c>
    </row>
    <row r="147">
      <c r="A147">
        <f>IF(B147="","",144)</f>
        <v/>
      </c>
      <c r="B147">
        <f>IFERROR(INDEX('2.현장'!$V$2:$V$1001,MATCH(144,'2.현장'!$W$2:$W$1001,0)),"")</f>
        <v/>
      </c>
      <c r="C147">
        <f>IF(B147="","",COUNTIFS('2.현장'!$V$2:$V$1001,B147,'2.현장'!$T$2:$T$1001,TRUE))</f>
        <v/>
      </c>
      <c r="D147">
        <f>IF(B147="","",COUNTIFS('2.현장'!$V$2:$V$1001,B147,'2.현장'!$U$2:$U$1001,"설계사"))</f>
        <v/>
      </c>
      <c r="E147">
        <f>IF(B147="","",COUNTIFS('2.현장'!$V$2:$V$1001,B147,'2.현장'!$U$2:$U$1001,"시공사"))</f>
        <v/>
      </c>
      <c r="F147" s="5">
        <f>IF(B147="","",_xlfn.MAXIFS('2.현장'!$D$2:$D$1001,'2.현장'!$V$2:$V$1001,B147,'2.현장'!$T$2:$T$1001,TRUE))</f>
        <v/>
      </c>
      <c r="G147" s="6">
        <f>IF(B147="","",IF(_xlfn.MAXIFS('2.현장'!$L$2:$L$1001,'2.현장'!$V$2:$V$1001,B147,'2.현장'!$T$2:$T$1001,TRUE)=0,"",_xlfn.MAXIFS('2.현장'!$L$2:$L$1001,'2.현장'!$V$2:$V$1001,B147,'2.현장'!$T$2:$T$1001,TRUE)))</f>
        <v/>
      </c>
      <c r="H147">
        <f>IF(B147="","",IFERROR(INDEX('2.현장'!$C$2:$C$1001,IFERROR(MATCH(B147&amp;"|설계사",'2.현장'!$Z$2:$Z$1001,0),IFERROR(MATCH(B147&amp;"|시공사",'2.현장'!$Z$2:$Z$1001,0),MATCH(B147&amp;"|늦음",'2.현장'!$Z$2:$Z$1001,0)))),""))</f>
        <v/>
      </c>
      <c r="I147">
        <f>IF(B147="","",IFERROR(INDEX('2.현장'!$N$2:$N$1001,IFERROR(MATCH(B147&amp;"|설계사",'2.현장'!$Z$2:$Z$1001,0),IFERROR(MATCH(B147&amp;"|시공사",'2.현장'!$Z$2:$Z$1001,0),MATCH(B147&amp;"|늦음",'2.현장'!$Z$2:$Z$1001,0)))),""))</f>
        <v/>
      </c>
      <c r="J147">
        <f>IF(B147="","",IFERROR(VLOOKUP(B147,설계사_메모!$A$3:$G$302,2,FALSE)&amp;"",""))</f>
        <v/>
      </c>
      <c r="K147">
        <f>IF(B147="","",IFERROR(VLOOKUP(B147,설계사_메모!$A$3:$G$302,4,FALSE)&amp;"",""))</f>
        <v/>
      </c>
      <c r="L147" s="6">
        <f>IF(B147="","",IF(COUNTIF('4.방문기록'!$B$3:$B$502,B147)=0,"",_xlfn.MAXIFS('4.방문기록'!$A$3:$A$502,'4.방문기록'!$B$3:$B$502,B147)))</f>
        <v/>
      </c>
      <c r="M147">
        <f>IF(L147="","",설정!$B$24-L147)</f>
        <v/>
      </c>
      <c r="N147" s="6">
        <f>IF(B147="","",IF(_xlfn.MAXIFS('4.방문기록'!$F$3:$F$502,'4.방문기록'!$B$3:$B$502,B147)=0,"",_xlfn.MAXIFS('4.방문기록'!$F$3:$F$502,'4.방문기록'!$B$3:$B$502,B147)))</f>
        <v/>
      </c>
      <c r="O147">
        <f>IF(L147="","",IFERROR(INDEX('4.방문기록'!$H$3:$H$502,MATCH(B147&amp;"|"&amp;(L147*1),'4.방문기록'!$I$3:$I$502,0))&amp;"",""))</f>
        <v/>
      </c>
      <c r="P147">
        <f>IF(B147="","",IF(O147="관심 없음","제외",IF(L147="","안 가봄",IF(M147&gt;=설정!$B$20,M147&amp;"일 지남","최근 방문"))))</f>
        <v/>
      </c>
      <c r="Q147" s="7">
        <f>IF(B147="","",IF(P147="제외","",IF(AND(설정!$B$21&lt;&gt;"",I147&lt;&gt;설정!$B$21),"",IF(AND(N147&lt;&gt;"",N147&gt;N(L147),N147&lt;=설정!$B$24+7),100+7-(N147-설정!$B$24),IF(AND(D147&gt;0,OR(P147="안 가봄",RIGHT(P147,2)="지남")),D147*10+IF(L147="",30,MIN(M147,60)/2)+MIN(N(F147)/1000,20),"")))))</f>
        <v/>
      </c>
      <c r="R147">
        <f>IF(Q147="","",COUNTIF(Q$4:Q$303,"&gt;"&amp;Q147)+COUNTIF(Q$4:Q147,Q147))</f>
        <v/>
      </c>
    </row>
    <row r="148">
      <c r="A148">
        <f>IF(B148="","",145)</f>
        <v/>
      </c>
      <c r="B148">
        <f>IFERROR(INDEX('2.현장'!$V$2:$V$1001,MATCH(145,'2.현장'!$W$2:$W$1001,0)),"")</f>
        <v/>
      </c>
      <c r="C148">
        <f>IF(B148="","",COUNTIFS('2.현장'!$V$2:$V$1001,B148,'2.현장'!$T$2:$T$1001,TRUE))</f>
        <v/>
      </c>
      <c r="D148">
        <f>IF(B148="","",COUNTIFS('2.현장'!$V$2:$V$1001,B148,'2.현장'!$U$2:$U$1001,"설계사"))</f>
        <v/>
      </c>
      <c r="E148">
        <f>IF(B148="","",COUNTIFS('2.현장'!$V$2:$V$1001,B148,'2.현장'!$U$2:$U$1001,"시공사"))</f>
        <v/>
      </c>
      <c r="F148" s="5">
        <f>IF(B148="","",_xlfn.MAXIFS('2.현장'!$D$2:$D$1001,'2.현장'!$V$2:$V$1001,B148,'2.현장'!$T$2:$T$1001,TRUE))</f>
        <v/>
      </c>
      <c r="G148" s="6">
        <f>IF(B148="","",IF(_xlfn.MAXIFS('2.현장'!$L$2:$L$1001,'2.현장'!$V$2:$V$1001,B148,'2.현장'!$T$2:$T$1001,TRUE)=0,"",_xlfn.MAXIFS('2.현장'!$L$2:$L$1001,'2.현장'!$V$2:$V$1001,B148,'2.현장'!$T$2:$T$1001,TRUE)))</f>
        <v/>
      </c>
      <c r="H148">
        <f>IF(B148="","",IFERROR(INDEX('2.현장'!$C$2:$C$1001,IFERROR(MATCH(B148&amp;"|설계사",'2.현장'!$Z$2:$Z$1001,0),IFERROR(MATCH(B148&amp;"|시공사",'2.현장'!$Z$2:$Z$1001,0),MATCH(B148&amp;"|늦음",'2.현장'!$Z$2:$Z$1001,0)))),""))</f>
        <v/>
      </c>
      <c r="I148">
        <f>IF(B148="","",IFERROR(INDEX('2.현장'!$N$2:$N$1001,IFERROR(MATCH(B148&amp;"|설계사",'2.현장'!$Z$2:$Z$1001,0),IFERROR(MATCH(B148&amp;"|시공사",'2.현장'!$Z$2:$Z$1001,0),MATCH(B148&amp;"|늦음",'2.현장'!$Z$2:$Z$1001,0)))),""))</f>
        <v/>
      </c>
      <c r="J148">
        <f>IF(B148="","",IFERROR(VLOOKUP(B148,설계사_메모!$A$3:$G$302,2,FALSE)&amp;"",""))</f>
        <v/>
      </c>
      <c r="K148">
        <f>IF(B148="","",IFERROR(VLOOKUP(B148,설계사_메모!$A$3:$G$302,4,FALSE)&amp;"",""))</f>
        <v/>
      </c>
      <c r="L148" s="6">
        <f>IF(B148="","",IF(COUNTIF('4.방문기록'!$B$3:$B$502,B148)=0,"",_xlfn.MAXIFS('4.방문기록'!$A$3:$A$502,'4.방문기록'!$B$3:$B$502,B148)))</f>
        <v/>
      </c>
      <c r="M148">
        <f>IF(L148="","",설정!$B$24-L148)</f>
        <v/>
      </c>
      <c r="N148" s="6">
        <f>IF(B148="","",IF(_xlfn.MAXIFS('4.방문기록'!$F$3:$F$502,'4.방문기록'!$B$3:$B$502,B148)=0,"",_xlfn.MAXIFS('4.방문기록'!$F$3:$F$502,'4.방문기록'!$B$3:$B$502,B148)))</f>
        <v/>
      </c>
      <c r="O148">
        <f>IF(L148="","",IFERROR(INDEX('4.방문기록'!$H$3:$H$502,MATCH(B148&amp;"|"&amp;(L148*1),'4.방문기록'!$I$3:$I$502,0))&amp;"",""))</f>
        <v/>
      </c>
      <c r="P148">
        <f>IF(B148="","",IF(O148="관심 없음","제외",IF(L148="","안 가봄",IF(M148&gt;=설정!$B$20,M148&amp;"일 지남","최근 방문"))))</f>
        <v/>
      </c>
      <c r="Q148" s="7">
        <f>IF(B148="","",IF(P148="제외","",IF(AND(설정!$B$21&lt;&gt;"",I148&lt;&gt;설정!$B$21),"",IF(AND(N148&lt;&gt;"",N148&gt;N(L148),N148&lt;=설정!$B$24+7),100+7-(N148-설정!$B$24),IF(AND(D148&gt;0,OR(P148="안 가봄",RIGHT(P148,2)="지남")),D148*10+IF(L148="",30,MIN(M148,60)/2)+MIN(N(F148)/1000,20),"")))))</f>
        <v/>
      </c>
      <c r="R148">
        <f>IF(Q148="","",COUNTIF(Q$4:Q$303,"&gt;"&amp;Q148)+COUNTIF(Q$4:Q148,Q148))</f>
        <v/>
      </c>
    </row>
    <row r="149">
      <c r="A149">
        <f>IF(B149="","",146)</f>
        <v/>
      </c>
      <c r="B149">
        <f>IFERROR(INDEX('2.현장'!$V$2:$V$1001,MATCH(146,'2.현장'!$W$2:$W$1001,0)),"")</f>
        <v/>
      </c>
      <c r="C149">
        <f>IF(B149="","",COUNTIFS('2.현장'!$V$2:$V$1001,B149,'2.현장'!$T$2:$T$1001,TRUE))</f>
        <v/>
      </c>
      <c r="D149">
        <f>IF(B149="","",COUNTIFS('2.현장'!$V$2:$V$1001,B149,'2.현장'!$U$2:$U$1001,"설계사"))</f>
        <v/>
      </c>
      <c r="E149">
        <f>IF(B149="","",COUNTIFS('2.현장'!$V$2:$V$1001,B149,'2.현장'!$U$2:$U$1001,"시공사"))</f>
        <v/>
      </c>
      <c r="F149" s="5">
        <f>IF(B149="","",_xlfn.MAXIFS('2.현장'!$D$2:$D$1001,'2.현장'!$V$2:$V$1001,B149,'2.현장'!$T$2:$T$1001,TRUE))</f>
        <v/>
      </c>
      <c r="G149" s="6">
        <f>IF(B149="","",IF(_xlfn.MAXIFS('2.현장'!$L$2:$L$1001,'2.현장'!$V$2:$V$1001,B149,'2.현장'!$T$2:$T$1001,TRUE)=0,"",_xlfn.MAXIFS('2.현장'!$L$2:$L$1001,'2.현장'!$V$2:$V$1001,B149,'2.현장'!$T$2:$T$1001,TRUE)))</f>
        <v/>
      </c>
      <c r="H149">
        <f>IF(B149="","",IFERROR(INDEX('2.현장'!$C$2:$C$1001,IFERROR(MATCH(B149&amp;"|설계사",'2.현장'!$Z$2:$Z$1001,0),IFERROR(MATCH(B149&amp;"|시공사",'2.현장'!$Z$2:$Z$1001,0),MATCH(B149&amp;"|늦음",'2.현장'!$Z$2:$Z$1001,0)))),""))</f>
        <v/>
      </c>
      <c r="I149">
        <f>IF(B149="","",IFERROR(INDEX('2.현장'!$N$2:$N$1001,IFERROR(MATCH(B149&amp;"|설계사",'2.현장'!$Z$2:$Z$1001,0),IFERROR(MATCH(B149&amp;"|시공사",'2.현장'!$Z$2:$Z$1001,0),MATCH(B149&amp;"|늦음",'2.현장'!$Z$2:$Z$1001,0)))),""))</f>
        <v/>
      </c>
      <c r="J149">
        <f>IF(B149="","",IFERROR(VLOOKUP(B149,설계사_메모!$A$3:$G$302,2,FALSE)&amp;"",""))</f>
        <v/>
      </c>
      <c r="K149">
        <f>IF(B149="","",IFERROR(VLOOKUP(B149,설계사_메모!$A$3:$G$302,4,FALSE)&amp;"",""))</f>
        <v/>
      </c>
      <c r="L149" s="6">
        <f>IF(B149="","",IF(COUNTIF('4.방문기록'!$B$3:$B$502,B149)=0,"",_xlfn.MAXIFS('4.방문기록'!$A$3:$A$502,'4.방문기록'!$B$3:$B$502,B149)))</f>
        <v/>
      </c>
      <c r="M149">
        <f>IF(L149="","",설정!$B$24-L149)</f>
        <v/>
      </c>
      <c r="N149" s="6">
        <f>IF(B149="","",IF(_xlfn.MAXIFS('4.방문기록'!$F$3:$F$502,'4.방문기록'!$B$3:$B$502,B149)=0,"",_xlfn.MAXIFS('4.방문기록'!$F$3:$F$502,'4.방문기록'!$B$3:$B$502,B149)))</f>
        <v/>
      </c>
      <c r="O149">
        <f>IF(L149="","",IFERROR(INDEX('4.방문기록'!$H$3:$H$502,MATCH(B149&amp;"|"&amp;(L149*1),'4.방문기록'!$I$3:$I$502,0))&amp;"",""))</f>
        <v/>
      </c>
      <c r="P149">
        <f>IF(B149="","",IF(O149="관심 없음","제외",IF(L149="","안 가봄",IF(M149&gt;=설정!$B$20,M149&amp;"일 지남","최근 방문"))))</f>
        <v/>
      </c>
      <c r="Q149" s="7">
        <f>IF(B149="","",IF(P149="제외","",IF(AND(설정!$B$21&lt;&gt;"",I149&lt;&gt;설정!$B$21),"",IF(AND(N149&lt;&gt;"",N149&gt;N(L149),N149&lt;=설정!$B$24+7),100+7-(N149-설정!$B$24),IF(AND(D149&gt;0,OR(P149="안 가봄",RIGHT(P149,2)="지남")),D149*10+IF(L149="",30,MIN(M149,60)/2)+MIN(N(F149)/1000,20),"")))))</f>
        <v/>
      </c>
      <c r="R149">
        <f>IF(Q149="","",COUNTIF(Q$4:Q$303,"&gt;"&amp;Q149)+COUNTIF(Q$4:Q149,Q149))</f>
        <v/>
      </c>
    </row>
    <row r="150">
      <c r="A150">
        <f>IF(B150="","",147)</f>
        <v/>
      </c>
      <c r="B150">
        <f>IFERROR(INDEX('2.현장'!$V$2:$V$1001,MATCH(147,'2.현장'!$W$2:$W$1001,0)),"")</f>
        <v/>
      </c>
      <c r="C150">
        <f>IF(B150="","",COUNTIFS('2.현장'!$V$2:$V$1001,B150,'2.현장'!$T$2:$T$1001,TRUE))</f>
        <v/>
      </c>
      <c r="D150">
        <f>IF(B150="","",COUNTIFS('2.현장'!$V$2:$V$1001,B150,'2.현장'!$U$2:$U$1001,"설계사"))</f>
        <v/>
      </c>
      <c r="E150">
        <f>IF(B150="","",COUNTIFS('2.현장'!$V$2:$V$1001,B150,'2.현장'!$U$2:$U$1001,"시공사"))</f>
        <v/>
      </c>
      <c r="F150" s="5">
        <f>IF(B150="","",_xlfn.MAXIFS('2.현장'!$D$2:$D$1001,'2.현장'!$V$2:$V$1001,B150,'2.현장'!$T$2:$T$1001,TRUE))</f>
        <v/>
      </c>
      <c r="G150" s="6">
        <f>IF(B150="","",IF(_xlfn.MAXIFS('2.현장'!$L$2:$L$1001,'2.현장'!$V$2:$V$1001,B150,'2.현장'!$T$2:$T$1001,TRUE)=0,"",_xlfn.MAXIFS('2.현장'!$L$2:$L$1001,'2.현장'!$V$2:$V$1001,B150,'2.현장'!$T$2:$T$1001,TRUE)))</f>
        <v/>
      </c>
      <c r="H150">
        <f>IF(B150="","",IFERROR(INDEX('2.현장'!$C$2:$C$1001,IFERROR(MATCH(B150&amp;"|설계사",'2.현장'!$Z$2:$Z$1001,0),IFERROR(MATCH(B150&amp;"|시공사",'2.현장'!$Z$2:$Z$1001,0),MATCH(B150&amp;"|늦음",'2.현장'!$Z$2:$Z$1001,0)))),""))</f>
        <v/>
      </c>
      <c r="I150">
        <f>IF(B150="","",IFERROR(INDEX('2.현장'!$N$2:$N$1001,IFERROR(MATCH(B150&amp;"|설계사",'2.현장'!$Z$2:$Z$1001,0),IFERROR(MATCH(B150&amp;"|시공사",'2.현장'!$Z$2:$Z$1001,0),MATCH(B150&amp;"|늦음",'2.현장'!$Z$2:$Z$1001,0)))),""))</f>
        <v/>
      </c>
      <c r="J150">
        <f>IF(B150="","",IFERROR(VLOOKUP(B150,설계사_메모!$A$3:$G$302,2,FALSE)&amp;"",""))</f>
        <v/>
      </c>
      <c r="K150">
        <f>IF(B150="","",IFERROR(VLOOKUP(B150,설계사_메모!$A$3:$G$302,4,FALSE)&amp;"",""))</f>
        <v/>
      </c>
      <c r="L150" s="6">
        <f>IF(B150="","",IF(COUNTIF('4.방문기록'!$B$3:$B$502,B150)=0,"",_xlfn.MAXIFS('4.방문기록'!$A$3:$A$502,'4.방문기록'!$B$3:$B$502,B150)))</f>
        <v/>
      </c>
      <c r="M150">
        <f>IF(L150="","",설정!$B$24-L150)</f>
        <v/>
      </c>
      <c r="N150" s="6">
        <f>IF(B150="","",IF(_xlfn.MAXIFS('4.방문기록'!$F$3:$F$502,'4.방문기록'!$B$3:$B$502,B150)=0,"",_xlfn.MAXIFS('4.방문기록'!$F$3:$F$502,'4.방문기록'!$B$3:$B$502,B150)))</f>
        <v/>
      </c>
      <c r="O150">
        <f>IF(L150="","",IFERROR(INDEX('4.방문기록'!$H$3:$H$502,MATCH(B150&amp;"|"&amp;(L150*1),'4.방문기록'!$I$3:$I$502,0))&amp;"",""))</f>
        <v/>
      </c>
      <c r="P150">
        <f>IF(B150="","",IF(O150="관심 없음","제외",IF(L150="","안 가봄",IF(M150&gt;=설정!$B$20,M150&amp;"일 지남","최근 방문"))))</f>
        <v/>
      </c>
      <c r="Q150" s="7">
        <f>IF(B150="","",IF(P150="제외","",IF(AND(설정!$B$21&lt;&gt;"",I150&lt;&gt;설정!$B$21),"",IF(AND(N150&lt;&gt;"",N150&gt;N(L150),N150&lt;=설정!$B$24+7),100+7-(N150-설정!$B$24),IF(AND(D150&gt;0,OR(P150="안 가봄",RIGHT(P150,2)="지남")),D150*10+IF(L150="",30,MIN(M150,60)/2)+MIN(N(F150)/1000,20),"")))))</f>
        <v/>
      </c>
      <c r="R150">
        <f>IF(Q150="","",COUNTIF(Q$4:Q$303,"&gt;"&amp;Q150)+COUNTIF(Q$4:Q150,Q150))</f>
        <v/>
      </c>
    </row>
    <row r="151">
      <c r="A151">
        <f>IF(B151="","",148)</f>
        <v/>
      </c>
      <c r="B151">
        <f>IFERROR(INDEX('2.현장'!$V$2:$V$1001,MATCH(148,'2.현장'!$W$2:$W$1001,0)),"")</f>
        <v/>
      </c>
      <c r="C151">
        <f>IF(B151="","",COUNTIFS('2.현장'!$V$2:$V$1001,B151,'2.현장'!$T$2:$T$1001,TRUE))</f>
        <v/>
      </c>
      <c r="D151">
        <f>IF(B151="","",COUNTIFS('2.현장'!$V$2:$V$1001,B151,'2.현장'!$U$2:$U$1001,"설계사"))</f>
        <v/>
      </c>
      <c r="E151">
        <f>IF(B151="","",COUNTIFS('2.현장'!$V$2:$V$1001,B151,'2.현장'!$U$2:$U$1001,"시공사"))</f>
        <v/>
      </c>
      <c r="F151" s="5">
        <f>IF(B151="","",_xlfn.MAXIFS('2.현장'!$D$2:$D$1001,'2.현장'!$V$2:$V$1001,B151,'2.현장'!$T$2:$T$1001,TRUE))</f>
        <v/>
      </c>
      <c r="G151" s="6">
        <f>IF(B151="","",IF(_xlfn.MAXIFS('2.현장'!$L$2:$L$1001,'2.현장'!$V$2:$V$1001,B151,'2.현장'!$T$2:$T$1001,TRUE)=0,"",_xlfn.MAXIFS('2.현장'!$L$2:$L$1001,'2.현장'!$V$2:$V$1001,B151,'2.현장'!$T$2:$T$1001,TRUE)))</f>
        <v/>
      </c>
      <c r="H151">
        <f>IF(B151="","",IFERROR(INDEX('2.현장'!$C$2:$C$1001,IFERROR(MATCH(B151&amp;"|설계사",'2.현장'!$Z$2:$Z$1001,0),IFERROR(MATCH(B151&amp;"|시공사",'2.현장'!$Z$2:$Z$1001,0),MATCH(B151&amp;"|늦음",'2.현장'!$Z$2:$Z$1001,0)))),""))</f>
        <v/>
      </c>
      <c r="I151">
        <f>IF(B151="","",IFERROR(INDEX('2.현장'!$N$2:$N$1001,IFERROR(MATCH(B151&amp;"|설계사",'2.현장'!$Z$2:$Z$1001,0),IFERROR(MATCH(B151&amp;"|시공사",'2.현장'!$Z$2:$Z$1001,0),MATCH(B151&amp;"|늦음",'2.현장'!$Z$2:$Z$1001,0)))),""))</f>
        <v/>
      </c>
      <c r="J151">
        <f>IF(B151="","",IFERROR(VLOOKUP(B151,설계사_메모!$A$3:$G$302,2,FALSE)&amp;"",""))</f>
        <v/>
      </c>
      <c r="K151">
        <f>IF(B151="","",IFERROR(VLOOKUP(B151,설계사_메모!$A$3:$G$302,4,FALSE)&amp;"",""))</f>
        <v/>
      </c>
      <c r="L151" s="6">
        <f>IF(B151="","",IF(COUNTIF('4.방문기록'!$B$3:$B$502,B151)=0,"",_xlfn.MAXIFS('4.방문기록'!$A$3:$A$502,'4.방문기록'!$B$3:$B$502,B151)))</f>
        <v/>
      </c>
      <c r="M151">
        <f>IF(L151="","",설정!$B$24-L151)</f>
        <v/>
      </c>
      <c r="N151" s="6">
        <f>IF(B151="","",IF(_xlfn.MAXIFS('4.방문기록'!$F$3:$F$502,'4.방문기록'!$B$3:$B$502,B151)=0,"",_xlfn.MAXIFS('4.방문기록'!$F$3:$F$502,'4.방문기록'!$B$3:$B$502,B151)))</f>
        <v/>
      </c>
      <c r="O151">
        <f>IF(L151="","",IFERROR(INDEX('4.방문기록'!$H$3:$H$502,MATCH(B151&amp;"|"&amp;(L151*1),'4.방문기록'!$I$3:$I$502,0))&amp;"",""))</f>
        <v/>
      </c>
      <c r="P151">
        <f>IF(B151="","",IF(O151="관심 없음","제외",IF(L151="","안 가봄",IF(M151&gt;=설정!$B$20,M151&amp;"일 지남","최근 방문"))))</f>
        <v/>
      </c>
      <c r="Q151" s="7">
        <f>IF(B151="","",IF(P151="제외","",IF(AND(설정!$B$21&lt;&gt;"",I151&lt;&gt;설정!$B$21),"",IF(AND(N151&lt;&gt;"",N151&gt;N(L151),N151&lt;=설정!$B$24+7),100+7-(N151-설정!$B$24),IF(AND(D151&gt;0,OR(P151="안 가봄",RIGHT(P151,2)="지남")),D151*10+IF(L151="",30,MIN(M151,60)/2)+MIN(N(F151)/1000,20),"")))))</f>
        <v/>
      </c>
      <c r="R151">
        <f>IF(Q151="","",COUNTIF(Q$4:Q$303,"&gt;"&amp;Q151)+COUNTIF(Q$4:Q151,Q151))</f>
        <v/>
      </c>
    </row>
    <row r="152">
      <c r="A152">
        <f>IF(B152="","",149)</f>
        <v/>
      </c>
      <c r="B152">
        <f>IFERROR(INDEX('2.현장'!$V$2:$V$1001,MATCH(149,'2.현장'!$W$2:$W$1001,0)),"")</f>
        <v/>
      </c>
      <c r="C152">
        <f>IF(B152="","",COUNTIFS('2.현장'!$V$2:$V$1001,B152,'2.현장'!$T$2:$T$1001,TRUE))</f>
        <v/>
      </c>
      <c r="D152">
        <f>IF(B152="","",COUNTIFS('2.현장'!$V$2:$V$1001,B152,'2.현장'!$U$2:$U$1001,"설계사"))</f>
        <v/>
      </c>
      <c r="E152">
        <f>IF(B152="","",COUNTIFS('2.현장'!$V$2:$V$1001,B152,'2.현장'!$U$2:$U$1001,"시공사"))</f>
        <v/>
      </c>
      <c r="F152" s="5">
        <f>IF(B152="","",_xlfn.MAXIFS('2.현장'!$D$2:$D$1001,'2.현장'!$V$2:$V$1001,B152,'2.현장'!$T$2:$T$1001,TRUE))</f>
        <v/>
      </c>
      <c r="G152" s="6">
        <f>IF(B152="","",IF(_xlfn.MAXIFS('2.현장'!$L$2:$L$1001,'2.현장'!$V$2:$V$1001,B152,'2.현장'!$T$2:$T$1001,TRUE)=0,"",_xlfn.MAXIFS('2.현장'!$L$2:$L$1001,'2.현장'!$V$2:$V$1001,B152,'2.현장'!$T$2:$T$1001,TRUE)))</f>
        <v/>
      </c>
      <c r="H152">
        <f>IF(B152="","",IFERROR(INDEX('2.현장'!$C$2:$C$1001,IFERROR(MATCH(B152&amp;"|설계사",'2.현장'!$Z$2:$Z$1001,0),IFERROR(MATCH(B152&amp;"|시공사",'2.현장'!$Z$2:$Z$1001,0),MATCH(B152&amp;"|늦음",'2.현장'!$Z$2:$Z$1001,0)))),""))</f>
        <v/>
      </c>
      <c r="I152">
        <f>IF(B152="","",IFERROR(INDEX('2.현장'!$N$2:$N$1001,IFERROR(MATCH(B152&amp;"|설계사",'2.현장'!$Z$2:$Z$1001,0),IFERROR(MATCH(B152&amp;"|시공사",'2.현장'!$Z$2:$Z$1001,0),MATCH(B152&amp;"|늦음",'2.현장'!$Z$2:$Z$1001,0)))),""))</f>
        <v/>
      </c>
      <c r="J152">
        <f>IF(B152="","",IFERROR(VLOOKUP(B152,설계사_메모!$A$3:$G$302,2,FALSE)&amp;"",""))</f>
        <v/>
      </c>
      <c r="K152">
        <f>IF(B152="","",IFERROR(VLOOKUP(B152,설계사_메모!$A$3:$G$302,4,FALSE)&amp;"",""))</f>
        <v/>
      </c>
      <c r="L152" s="6">
        <f>IF(B152="","",IF(COUNTIF('4.방문기록'!$B$3:$B$502,B152)=0,"",_xlfn.MAXIFS('4.방문기록'!$A$3:$A$502,'4.방문기록'!$B$3:$B$502,B152)))</f>
        <v/>
      </c>
      <c r="M152">
        <f>IF(L152="","",설정!$B$24-L152)</f>
        <v/>
      </c>
      <c r="N152" s="6">
        <f>IF(B152="","",IF(_xlfn.MAXIFS('4.방문기록'!$F$3:$F$502,'4.방문기록'!$B$3:$B$502,B152)=0,"",_xlfn.MAXIFS('4.방문기록'!$F$3:$F$502,'4.방문기록'!$B$3:$B$502,B152)))</f>
        <v/>
      </c>
      <c r="O152">
        <f>IF(L152="","",IFERROR(INDEX('4.방문기록'!$H$3:$H$502,MATCH(B152&amp;"|"&amp;(L152*1),'4.방문기록'!$I$3:$I$502,0))&amp;"",""))</f>
        <v/>
      </c>
      <c r="P152">
        <f>IF(B152="","",IF(O152="관심 없음","제외",IF(L152="","안 가봄",IF(M152&gt;=설정!$B$20,M152&amp;"일 지남","최근 방문"))))</f>
        <v/>
      </c>
      <c r="Q152" s="7">
        <f>IF(B152="","",IF(P152="제외","",IF(AND(설정!$B$21&lt;&gt;"",I152&lt;&gt;설정!$B$21),"",IF(AND(N152&lt;&gt;"",N152&gt;N(L152),N152&lt;=설정!$B$24+7),100+7-(N152-설정!$B$24),IF(AND(D152&gt;0,OR(P152="안 가봄",RIGHT(P152,2)="지남")),D152*10+IF(L152="",30,MIN(M152,60)/2)+MIN(N(F152)/1000,20),"")))))</f>
        <v/>
      </c>
      <c r="R152">
        <f>IF(Q152="","",COUNTIF(Q$4:Q$303,"&gt;"&amp;Q152)+COUNTIF(Q$4:Q152,Q152))</f>
        <v/>
      </c>
    </row>
    <row r="153">
      <c r="A153">
        <f>IF(B153="","",150)</f>
        <v/>
      </c>
      <c r="B153">
        <f>IFERROR(INDEX('2.현장'!$V$2:$V$1001,MATCH(150,'2.현장'!$W$2:$W$1001,0)),"")</f>
        <v/>
      </c>
      <c r="C153">
        <f>IF(B153="","",COUNTIFS('2.현장'!$V$2:$V$1001,B153,'2.현장'!$T$2:$T$1001,TRUE))</f>
        <v/>
      </c>
      <c r="D153">
        <f>IF(B153="","",COUNTIFS('2.현장'!$V$2:$V$1001,B153,'2.현장'!$U$2:$U$1001,"설계사"))</f>
        <v/>
      </c>
      <c r="E153">
        <f>IF(B153="","",COUNTIFS('2.현장'!$V$2:$V$1001,B153,'2.현장'!$U$2:$U$1001,"시공사"))</f>
        <v/>
      </c>
      <c r="F153" s="5">
        <f>IF(B153="","",_xlfn.MAXIFS('2.현장'!$D$2:$D$1001,'2.현장'!$V$2:$V$1001,B153,'2.현장'!$T$2:$T$1001,TRUE))</f>
        <v/>
      </c>
      <c r="G153" s="6">
        <f>IF(B153="","",IF(_xlfn.MAXIFS('2.현장'!$L$2:$L$1001,'2.현장'!$V$2:$V$1001,B153,'2.현장'!$T$2:$T$1001,TRUE)=0,"",_xlfn.MAXIFS('2.현장'!$L$2:$L$1001,'2.현장'!$V$2:$V$1001,B153,'2.현장'!$T$2:$T$1001,TRUE)))</f>
        <v/>
      </c>
      <c r="H153">
        <f>IF(B153="","",IFERROR(INDEX('2.현장'!$C$2:$C$1001,IFERROR(MATCH(B153&amp;"|설계사",'2.현장'!$Z$2:$Z$1001,0),IFERROR(MATCH(B153&amp;"|시공사",'2.현장'!$Z$2:$Z$1001,0),MATCH(B153&amp;"|늦음",'2.현장'!$Z$2:$Z$1001,0)))),""))</f>
        <v/>
      </c>
      <c r="I153">
        <f>IF(B153="","",IFERROR(INDEX('2.현장'!$N$2:$N$1001,IFERROR(MATCH(B153&amp;"|설계사",'2.현장'!$Z$2:$Z$1001,0),IFERROR(MATCH(B153&amp;"|시공사",'2.현장'!$Z$2:$Z$1001,0),MATCH(B153&amp;"|늦음",'2.현장'!$Z$2:$Z$1001,0)))),""))</f>
        <v/>
      </c>
      <c r="J153">
        <f>IF(B153="","",IFERROR(VLOOKUP(B153,설계사_메모!$A$3:$G$302,2,FALSE)&amp;"",""))</f>
        <v/>
      </c>
      <c r="K153">
        <f>IF(B153="","",IFERROR(VLOOKUP(B153,설계사_메모!$A$3:$G$302,4,FALSE)&amp;"",""))</f>
        <v/>
      </c>
      <c r="L153" s="6">
        <f>IF(B153="","",IF(COUNTIF('4.방문기록'!$B$3:$B$502,B153)=0,"",_xlfn.MAXIFS('4.방문기록'!$A$3:$A$502,'4.방문기록'!$B$3:$B$502,B153)))</f>
        <v/>
      </c>
      <c r="M153">
        <f>IF(L153="","",설정!$B$24-L153)</f>
        <v/>
      </c>
      <c r="N153" s="6">
        <f>IF(B153="","",IF(_xlfn.MAXIFS('4.방문기록'!$F$3:$F$502,'4.방문기록'!$B$3:$B$502,B153)=0,"",_xlfn.MAXIFS('4.방문기록'!$F$3:$F$502,'4.방문기록'!$B$3:$B$502,B153)))</f>
        <v/>
      </c>
      <c r="O153">
        <f>IF(L153="","",IFERROR(INDEX('4.방문기록'!$H$3:$H$502,MATCH(B153&amp;"|"&amp;(L153*1),'4.방문기록'!$I$3:$I$502,0))&amp;"",""))</f>
        <v/>
      </c>
      <c r="P153">
        <f>IF(B153="","",IF(O153="관심 없음","제외",IF(L153="","안 가봄",IF(M153&gt;=설정!$B$20,M153&amp;"일 지남","최근 방문"))))</f>
        <v/>
      </c>
      <c r="Q153" s="7">
        <f>IF(B153="","",IF(P153="제외","",IF(AND(설정!$B$21&lt;&gt;"",I153&lt;&gt;설정!$B$21),"",IF(AND(N153&lt;&gt;"",N153&gt;N(L153),N153&lt;=설정!$B$24+7),100+7-(N153-설정!$B$24),IF(AND(D153&gt;0,OR(P153="안 가봄",RIGHT(P153,2)="지남")),D153*10+IF(L153="",30,MIN(M153,60)/2)+MIN(N(F153)/1000,20),"")))))</f>
        <v/>
      </c>
      <c r="R153">
        <f>IF(Q153="","",COUNTIF(Q$4:Q$303,"&gt;"&amp;Q153)+COUNTIF(Q$4:Q153,Q153))</f>
        <v/>
      </c>
    </row>
    <row r="154">
      <c r="A154">
        <f>IF(B154="","",151)</f>
        <v/>
      </c>
      <c r="B154">
        <f>IFERROR(INDEX('2.현장'!$V$2:$V$1001,MATCH(151,'2.현장'!$W$2:$W$1001,0)),"")</f>
        <v/>
      </c>
      <c r="C154">
        <f>IF(B154="","",COUNTIFS('2.현장'!$V$2:$V$1001,B154,'2.현장'!$T$2:$T$1001,TRUE))</f>
        <v/>
      </c>
      <c r="D154">
        <f>IF(B154="","",COUNTIFS('2.현장'!$V$2:$V$1001,B154,'2.현장'!$U$2:$U$1001,"설계사"))</f>
        <v/>
      </c>
      <c r="E154">
        <f>IF(B154="","",COUNTIFS('2.현장'!$V$2:$V$1001,B154,'2.현장'!$U$2:$U$1001,"시공사"))</f>
        <v/>
      </c>
      <c r="F154" s="5">
        <f>IF(B154="","",_xlfn.MAXIFS('2.현장'!$D$2:$D$1001,'2.현장'!$V$2:$V$1001,B154,'2.현장'!$T$2:$T$1001,TRUE))</f>
        <v/>
      </c>
      <c r="G154" s="6">
        <f>IF(B154="","",IF(_xlfn.MAXIFS('2.현장'!$L$2:$L$1001,'2.현장'!$V$2:$V$1001,B154,'2.현장'!$T$2:$T$1001,TRUE)=0,"",_xlfn.MAXIFS('2.현장'!$L$2:$L$1001,'2.현장'!$V$2:$V$1001,B154,'2.현장'!$T$2:$T$1001,TRUE)))</f>
        <v/>
      </c>
      <c r="H154">
        <f>IF(B154="","",IFERROR(INDEX('2.현장'!$C$2:$C$1001,IFERROR(MATCH(B154&amp;"|설계사",'2.현장'!$Z$2:$Z$1001,0),IFERROR(MATCH(B154&amp;"|시공사",'2.현장'!$Z$2:$Z$1001,0),MATCH(B154&amp;"|늦음",'2.현장'!$Z$2:$Z$1001,0)))),""))</f>
        <v/>
      </c>
      <c r="I154">
        <f>IF(B154="","",IFERROR(INDEX('2.현장'!$N$2:$N$1001,IFERROR(MATCH(B154&amp;"|설계사",'2.현장'!$Z$2:$Z$1001,0),IFERROR(MATCH(B154&amp;"|시공사",'2.현장'!$Z$2:$Z$1001,0),MATCH(B154&amp;"|늦음",'2.현장'!$Z$2:$Z$1001,0)))),""))</f>
        <v/>
      </c>
      <c r="J154">
        <f>IF(B154="","",IFERROR(VLOOKUP(B154,설계사_메모!$A$3:$G$302,2,FALSE)&amp;"",""))</f>
        <v/>
      </c>
      <c r="K154">
        <f>IF(B154="","",IFERROR(VLOOKUP(B154,설계사_메모!$A$3:$G$302,4,FALSE)&amp;"",""))</f>
        <v/>
      </c>
      <c r="L154" s="6">
        <f>IF(B154="","",IF(COUNTIF('4.방문기록'!$B$3:$B$502,B154)=0,"",_xlfn.MAXIFS('4.방문기록'!$A$3:$A$502,'4.방문기록'!$B$3:$B$502,B154)))</f>
        <v/>
      </c>
      <c r="M154">
        <f>IF(L154="","",설정!$B$24-L154)</f>
        <v/>
      </c>
      <c r="N154" s="6">
        <f>IF(B154="","",IF(_xlfn.MAXIFS('4.방문기록'!$F$3:$F$502,'4.방문기록'!$B$3:$B$502,B154)=0,"",_xlfn.MAXIFS('4.방문기록'!$F$3:$F$502,'4.방문기록'!$B$3:$B$502,B154)))</f>
        <v/>
      </c>
      <c r="O154">
        <f>IF(L154="","",IFERROR(INDEX('4.방문기록'!$H$3:$H$502,MATCH(B154&amp;"|"&amp;(L154*1),'4.방문기록'!$I$3:$I$502,0))&amp;"",""))</f>
        <v/>
      </c>
      <c r="P154">
        <f>IF(B154="","",IF(O154="관심 없음","제외",IF(L154="","안 가봄",IF(M154&gt;=설정!$B$20,M154&amp;"일 지남","최근 방문"))))</f>
        <v/>
      </c>
      <c r="Q154" s="7">
        <f>IF(B154="","",IF(P154="제외","",IF(AND(설정!$B$21&lt;&gt;"",I154&lt;&gt;설정!$B$21),"",IF(AND(N154&lt;&gt;"",N154&gt;N(L154),N154&lt;=설정!$B$24+7),100+7-(N154-설정!$B$24),IF(AND(D154&gt;0,OR(P154="안 가봄",RIGHT(P154,2)="지남")),D154*10+IF(L154="",30,MIN(M154,60)/2)+MIN(N(F154)/1000,20),"")))))</f>
        <v/>
      </c>
      <c r="R154">
        <f>IF(Q154="","",COUNTIF(Q$4:Q$303,"&gt;"&amp;Q154)+COUNTIF(Q$4:Q154,Q154))</f>
        <v/>
      </c>
    </row>
    <row r="155">
      <c r="A155">
        <f>IF(B155="","",152)</f>
        <v/>
      </c>
      <c r="B155">
        <f>IFERROR(INDEX('2.현장'!$V$2:$V$1001,MATCH(152,'2.현장'!$W$2:$W$1001,0)),"")</f>
        <v/>
      </c>
      <c r="C155">
        <f>IF(B155="","",COUNTIFS('2.현장'!$V$2:$V$1001,B155,'2.현장'!$T$2:$T$1001,TRUE))</f>
        <v/>
      </c>
      <c r="D155">
        <f>IF(B155="","",COUNTIFS('2.현장'!$V$2:$V$1001,B155,'2.현장'!$U$2:$U$1001,"설계사"))</f>
        <v/>
      </c>
      <c r="E155">
        <f>IF(B155="","",COUNTIFS('2.현장'!$V$2:$V$1001,B155,'2.현장'!$U$2:$U$1001,"시공사"))</f>
        <v/>
      </c>
      <c r="F155" s="5">
        <f>IF(B155="","",_xlfn.MAXIFS('2.현장'!$D$2:$D$1001,'2.현장'!$V$2:$V$1001,B155,'2.현장'!$T$2:$T$1001,TRUE))</f>
        <v/>
      </c>
      <c r="G155" s="6">
        <f>IF(B155="","",IF(_xlfn.MAXIFS('2.현장'!$L$2:$L$1001,'2.현장'!$V$2:$V$1001,B155,'2.현장'!$T$2:$T$1001,TRUE)=0,"",_xlfn.MAXIFS('2.현장'!$L$2:$L$1001,'2.현장'!$V$2:$V$1001,B155,'2.현장'!$T$2:$T$1001,TRUE)))</f>
        <v/>
      </c>
      <c r="H155">
        <f>IF(B155="","",IFERROR(INDEX('2.현장'!$C$2:$C$1001,IFERROR(MATCH(B155&amp;"|설계사",'2.현장'!$Z$2:$Z$1001,0),IFERROR(MATCH(B155&amp;"|시공사",'2.현장'!$Z$2:$Z$1001,0),MATCH(B155&amp;"|늦음",'2.현장'!$Z$2:$Z$1001,0)))),""))</f>
        <v/>
      </c>
      <c r="I155">
        <f>IF(B155="","",IFERROR(INDEX('2.현장'!$N$2:$N$1001,IFERROR(MATCH(B155&amp;"|설계사",'2.현장'!$Z$2:$Z$1001,0),IFERROR(MATCH(B155&amp;"|시공사",'2.현장'!$Z$2:$Z$1001,0),MATCH(B155&amp;"|늦음",'2.현장'!$Z$2:$Z$1001,0)))),""))</f>
        <v/>
      </c>
      <c r="J155">
        <f>IF(B155="","",IFERROR(VLOOKUP(B155,설계사_메모!$A$3:$G$302,2,FALSE)&amp;"",""))</f>
        <v/>
      </c>
      <c r="K155">
        <f>IF(B155="","",IFERROR(VLOOKUP(B155,설계사_메모!$A$3:$G$302,4,FALSE)&amp;"",""))</f>
        <v/>
      </c>
      <c r="L155" s="6">
        <f>IF(B155="","",IF(COUNTIF('4.방문기록'!$B$3:$B$502,B155)=0,"",_xlfn.MAXIFS('4.방문기록'!$A$3:$A$502,'4.방문기록'!$B$3:$B$502,B155)))</f>
        <v/>
      </c>
      <c r="M155">
        <f>IF(L155="","",설정!$B$24-L155)</f>
        <v/>
      </c>
      <c r="N155" s="6">
        <f>IF(B155="","",IF(_xlfn.MAXIFS('4.방문기록'!$F$3:$F$502,'4.방문기록'!$B$3:$B$502,B155)=0,"",_xlfn.MAXIFS('4.방문기록'!$F$3:$F$502,'4.방문기록'!$B$3:$B$502,B155)))</f>
        <v/>
      </c>
      <c r="O155">
        <f>IF(L155="","",IFERROR(INDEX('4.방문기록'!$H$3:$H$502,MATCH(B155&amp;"|"&amp;(L155*1),'4.방문기록'!$I$3:$I$502,0))&amp;"",""))</f>
        <v/>
      </c>
      <c r="P155">
        <f>IF(B155="","",IF(O155="관심 없음","제외",IF(L155="","안 가봄",IF(M155&gt;=설정!$B$20,M155&amp;"일 지남","최근 방문"))))</f>
        <v/>
      </c>
      <c r="Q155" s="7">
        <f>IF(B155="","",IF(P155="제외","",IF(AND(설정!$B$21&lt;&gt;"",I155&lt;&gt;설정!$B$21),"",IF(AND(N155&lt;&gt;"",N155&gt;N(L155),N155&lt;=설정!$B$24+7),100+7-(N155-설정!$B$24),IF(AND(D155&gt;0,OR(P155="안 가봄",RIGHT(P155,2)="지남")),D155*10+IF(L155="",30,MIN(M155,60)/2)+MIN(N(F155)/1000,20),"")))))</f>
        <v/>
      </c>
      <c r="R155">
        <f>IF(Q155="","",COUNTIF(Q$4:Q$303,"&gt;"&amp;Q155)+COUNTIF(Q$4:Q155,Q155))</f>
        <v/>
      </c>
    </row>
    <row r="156">
      <c r="A156">
        <f>IF(B156="","",153)</f>
        <v/>
      </c>
      <c r="B156">
        <f>IFERROR(INDEX('2.현장'!$V$2:$V$1001,MATCH(153,'2.현장'!$W$2:$W$1001,0)),"")</f>
        <v/>
      </c>
      <c r="C156">
        <f>IF(B156="","",COUNTIFS('2.현장'!$V$2:$V$1001,B156,'2.현장'!$T$2:$T$1001,TRUE))</f>
        <v/>
      </c>
      <c r="D156">
        <f>IF(B156="","",COUNTIFS('2.현장'!$V$2:$V$1001,B156,'2.현장'!$U$2:$U$1001,"설계사"))</f>
        <v/>
      </c>
      <c r="E156">
        <f>IF(B156="","",COUNTIFS('2.현장'!$V$2:$V$1001,B156,'2.현장'!$U$2:$U$1001,"시공사"))</f>
        <v/>
      </c>
      <c r="F156" s="5">
        <f>IF(B156="","",_xlfn.MAXIFS('2.현장'!$D$2:$D$1001,'2.현장'!$V$2:$V$1001,B156,'2.현장'!$T$2:$T$1001,TRUE))</f>
        <v/>
      </c>
      <c r="G156" s="6">
        <f>IF(B156="","",IF(_xlfn.MAXIFS('2.현장'!$L$2:$L$1001,'2.현장'!$V$2:$V$1001,B156,'2.현장'!$T$2:$T$1001,TRUE)=0,"",_xlfn.MAXIFS('2.현장'!$L$2:$L$1001,'2.현장'!$V$2:$V$1001,B156,'2.현장'!$T$2:$T$1001,TRUE)))</f>
        <v/>
      </c>
      <c r="H156">
        <f>IF(B156="","",IFERROR(INDEX('2.현장'!$C$2:$C$1001,IFERROR(MATCH(B156&amp;"|설계사",'2.현장'!$Z$2:$Z$1001,0),IFERROR(MATCH(B156&amp;"|시공사",'2.현장'!$Z$2:$Z$1001,0),MATCH(B156&amp;"|늦음",'2.현장'!$Z$2:$Z$1001,0)))),""))</f>
        <v/>
      </c>
      <c r="I156">
        <f>IF(B156="","",IFERROR(INDEX('2.현장'!$N$2:$N$1001,IFERROR(MATCH(B156&amp;"|설계사",'2.현장'!$Z$2:$Z$1001,0),IFERROR(MATCH(B156&amp;"|시공사",'2.현장'!$Z$2:$Z$1001,0),MATCH(B156&amp;"|늦음",'2.현장'!$Z$2:$Z$1001,0)))),""))</f>
        <v/>
      </c>
      <c r="J156">
        <f>IF(B156="","",IFERROR(VLOOKUP(B156,설계사_메모!$A$3:$G$302,2,FALSE)&amp;"",""))</f>
        <v/>
      </c>
      <c r="K156">
        <f>IF(B156="","",IFERROR(VLOOKUP(B156,설계사_메모!$A$3:$G$302,4,FALSE)&amp;"",""))</f>
        <v/>
      </c>
      <c r="L156" s="6">
        <f>IF(B156="","",IF(COUNTIF('4.방문기록'!$B$3:$B$502,B156)=0,"",_xlfn.MAXIFS('4.방문기록'!$A$3:$A$502,'4.방문기록'!$B$3:$B$502,B156)))</f>
        <v/>
      </c>
      <c r="M156">
        <f>IF(L156="","",설정!$B$24-L156)</f>
        <v/>
      </c>
      <c r="N156" s="6">
        <f>IF(B156="","",IF(_xlfn.MAXIFS('4.방문기록'!$F$3:$F$502,'4.방문기록'!$B$3:$B$502,B156)=0,"",_xlfn.MAXIFS('4.방문기록'!$F$3:$F$502,'4.방문기록'!$B$3:$B$502,B156)))</f>
        <v/>
      </c>
      <c r="O156">
        <f>IF(L156="","",IFERROR(INDEX('4.방문기록'!$H$3:$H$502,MATCH(B156&amp;"|"&amp;(L156*1),'4.방문기록'!$I$3:$I$502,0))&amp;"",""))</f>
        <v/>
      </c>
      <c r="P156">
        <f>IF(B156="","",IF(O156="관심 없음","제외",IF(L156="","안 가봄",IF(M156&gt;=설정!$B$20,M156&amp;"일 지남","최근 방문"))))</f>
        <v/>
      </c>
      <c r="Q156" s="7">
        <f>IF(B156="","",IF(P156="제외","",IF(AND(설정!$B$21&lt;&gt;"",I156&lt;&gt;설정!$B$21),"",IF(AND(N156&lt;&gt;"",N156&gt;N(L156),N156&lt;=설정!$B$24+7),100+7-(N156-설정!$B$24),IF(AND(D156&gt;0,OR(P156="안 가봄",RIGHT(P156,2)="지남")),D156*10+IF(L156="",30,MIN(M156,60)/2)+MIN(N(F156)/1000,20),"")))))</f>
        <v/>
      </c>
      <c r="R156">
        <f>IF(Q156="","",COUNTIF(Q$4:Q$303,"&gt;"&amp;Q156)+COUNTIF(Q$4:Q156,Q156))</f>
        <v/>
      </c>
    </row>
    <row r="157">
      <c r="A157">
        <f>IF(B157="","",154)</f>
        <v/>
      </c>
      <c r="B157">
        <f>IFERROR(INDEX('2.현장'!$V$2:$V$1001,MATCH(154,'2.현장'!$W$2:$W$1001,0)),"")</f>
        <v/>
      </c>
      <c r="C157">
        <f>IF(B157="","",COUNTIFS('2.현장'!$V$2:$V$1001,B157,'2.현장'!$T$2:$T$1001,TRUE))</f>
        <v/>
      </c>
      <c r="D157">
        <f>IF(B157="","",COUNTIFS('2.현장'!$V$2:$V$1001,B157,'2.현장'!$U$2:$U$1001,"설계사"))</f>
        <v/>
      </c>
      <c r="E157">
        <f>IF(B157="","",COUNTIFS('2.현장'!$V$2:$V$1001,B157,'2.현장'!$U$2:$U$1001,"시공사"))</f>
        <v/>
      </c>
      <c r="F157" s="5">
        <f>IF(B157="","",_xlfn.MAXIFS('2.현장'!$D$2:$D$1001,'2.현장'!$V$2:$V$1001,B157,'2.현장'!$T$2:$T$1001,TRUE))</f>
        <v/>
      </c>
      <c r="G157" s="6">
        <f>IF(B157="","",IF(_xlfn.MAXIFS('2.현장'!$L$2:$L$1001,'2.현장'!$V$2:$V$1001,B157,'2.현장'!$T$2:$T$1001,TRUE)=0,"",_xlfn.MAXIFS('2.현장'!$L$2:$L$1001,'2.현장'!$V$2:$V$1001,B157,'2.현장'!$T$2:$T$1001,TRUE)))</f>
        <v/>
      </c>
      <c r="H157">
        <f>IF(B157="","",IFERROR(INDEX('2.현장'!$C$2:$C$1001,IFERROR(MATCH(B157&amp;"|설계사",'2.현장'!$Z$2:$Z$1001,0),IFERROR(MATCH(B157&amp;"|시공사",'2.현장'!$Z$2:$Z$1001,0),MATCH(B157&amp;"|늦음",'2.현장'!$Z$2:$Z$1001,0)))),""))</f>
        <v/>
      </c>
      <c r="I157">
        <f>IF(B157="","",IFERROR(INDEX('2.현장'!$N$2:$N$1001,IFERROR(MATCH(B157&amp;"|설계사",'2.현장'!$Z$2:$Z$1001,0),IFERROR(MATCH(B157&amp;"|시공사",'2.현장'!$Z$2:$Z$1001,0),MATCH(B157&amp;"|늦음",'2.현장'!$Z$2:$Z$1001,0)))),""))</f>
        <v/>
      </c>
      <c r="J157">
        <f>IF(B157="","",IFERROR(VLOOKUP(B157,설계사_메모!$A$3:$G$302,2,FALSE)&amp;"",""))</f>
        <v/>
      </c>
      <c r="K157">
        <f>IF(B157="","",IFERROR(VLOOKUP(B157,설계사_메모!$A$3:$G$302,4,FALSE)&amp;"",""))</f>
        <v/>
      </c>
      <c r="L157" s="6">
        <f>IF(B157="","",IF(COUNTIF('4.방문기록'!$B$3:$B$502,B157)=0,"",_xlfn.MAXIFS('4.방문기록'!$A$3:$A$502,'4.방문기록'!$B$3:$B$502,B157)))</f>
        <v/>
      </c>
      <c r="M157">
        <f>IF(L157="","",설정!$B$24-L157)</f>
        <v/>
      </c>
      <c r="N157" s="6">
        <f>IF(B157="","",IF(_xlfn.MAXIFS('4.방문기록'!$F$3:$F$502,'4.방문기록'!$B$3:$B$502,B157)=0,"",_xlfn.MAXIFS('4.방문기록'!$F$3:$F$502,'4.방문기록'!$B$3:$B$502,B157)))</f>
        <v/>
      </c>
      <c r="O157">
        <f>IF(L157="","",IFERROR(INDEX('4.방문기록'!$H$3:$H$502,MATCH(B157&amp;"|"&amp;(L157*1),'4.방문기록'!$I$3:$I$502,0))&amp;"",""))</f>
        <v/>
      </c>
      <c r="P157">
        <f>IF(B157="","",IF(O157="관심 없음","제외",IF(L157="","안 가봄",IF(M157&gt;=설정!$B$20,M157&amp;"일 지남","최근 방문"))))</f>
        <v/>
      </c>
      <c r="Q157" s="7">
        <f>IF(B157="","",IF(P157="제외","",IF(AND(설정!$B$21&lt;&gt;"",I157&lt;&gt;설정!$B$21),"",IF(AND(N157&lt;&gt;"",N157&gt;N(L157),N157&lt;=설정!$B$24+7),100+7-(N157-설정!$B$24),IF(AND(D157&gt;0,OR(P157="안 가봄",RIGHT(P157,2)="지남")),D157*10+IF(L157="",30,MIN(M157,60)/2)+MIN(N(F157)/1000,20),"")))))</f>
        <v/>
      </c>
      <c r="R157">
        <f>IF(Q157="","",COUNTIF(Q$4:Q$303,"&gt;"&amp;Q157)+COUNTIF(Q$4:Q157,Q157))</f>
        <v/>
      </c>
    </row>
    <row r="158">
      <c r="A158">
        <f>IF(B158="","",155)</f>
        <v/>
      </c>
      <c r="B158">
        <f>IFERROR(INDEX('2.현장'!$V$2:$V$1001,MATCH(155,'2.현장'!$W$2:$W$1001,0)),"")</f>
        <v/>
      </c>
      <c r="C158">
        <f>IF(B158="","",COUNTIFS('2.현장'!$V$2:$V$1001,B158,'2.현장'!$T$2:$T$1001,TRUE))</f>
        <v/>
      </c>
      <c r="D158">
        <f>IF(B158="","",COUNTIFS('2.현장'!$V$2:$V$1001,B158,'2.현장'!$U$2:$U$1001,"설계사"))</f>
        <v/>
      </c>
      <c r="E158">
        <f>IF(B158="","",COUNTIFS('2.현장'!$V$2:$V$1001,B158,'2.현장'!$U$2:$U$1001,"시공사"))</f>
        <v/>
      </c>
      <c r="F158" s="5">
        <f>IF(B158="","",_xlfn.MAXIFS('2.현장'!$D$2:$D$1001,'2.현장'!$V$2:$V$1001,B158,'2.현장'!$T$2:$T$1001,TRUE))</f>
        <v/>
      </c>
      <c r="G158" s="6">
        <f>IF(B158="","",IF(_xlfn.MAXIFS('2.현장'!$L$2:$L$1001,'2.현장'!$V$2:$V$1001,B158,'2.현장'!$T$2:$T$1001,TRUE)=0,"",_xlfn.MAXIFS('2.현장'!$L$2:$L$1001,'2.현장'!$V$2:$V$1001,B158,'2.현장'!$T$2:$T$1001,TRUE)))</f>
        <v/>
      </c>
      <c r="H158">
        <f>IF(B158="","",IFERROR(INDEX('2.현장'!$C$2:$C$1001,IFERROR(MATCH(B158&amp;"|설계사",'2.현장'!$Z$2:$Z$1001,0),IFERROR(MATCH(B158&amp;"|시공사",'2.현장'!$Z$2:$Z$1001,0),MATCH(B158&amp;"|늦음",'2.현장'!$Z$2:$Z$1001,0)))),""))</f>
        <v/>
      </c>
      <c r="I158">
        <f>IF(B158="","",IFERROR(INDEX('2.현장'!$N$2:$N$1001,IFERROR(MATCH(B158&amp;"|설계사",'2.현장'!$Z$2:$Z$1001,0),IFERROR(MATCH(B158&amp;"|시공사",'2.현장'!$Z$2:$Z$1001,0),MATCH(B158&amp;"|늦음",'2.현장'!$Z$2:$Z$1001,0)))),""))</f>
        <v/>
      </c>
      <c r="J158">
        <f>IF(B158="","",IFERROR(VLOOKUP(B158,설계사_메모!$A$3:$G$302,2,FALSE)&amp;"",""))</f>
        <v/>
      </c>
      <c r="K158">
        <f>IF(B158="","",IFERROR(VLOOKUP(B158,설계사_메모!$A$3:$G$302,4,FALSE)&amp;"",""))</f>
        <v/>
      </c>
      <c r="L158" s="6">
        <f>IF(B158="","",IF(COUNTIF('4.방문기록'!$B$3:$B$502,B158)=0,"",_xlfn.MAXIFS('4.방문기록'!$A$3:$A$502,'4.방문기록'!$B$3:$B$502,B158)))</f>
        <v/>
      </c>
      <c r="M158">
        <f>IF(L158="","",설정!$B$24-L158)</f>
        <v/>
      </c>
      <c r="N158" s="6">
        <f>IF(B158="","",IF(_xlfn.MAXIFS('4.방문기록'!$F$3:$F$502,'4.방문기록'!$B$3:$B$502,B158)=0,"",_xlfn.MAXIFS('4.방문기록'!$F$3:$F$502,'4.방문기록'!$B$3:$B$502,B158)))</f>
        <v/>
      </c>
      <c r="O158">
        <f>IF(L158="","",IFERROR(INDEX('4.방문기록'!$H$3:$H$502,MATCH(B158&amp;"|"&amp;(L158*1),'4.방문기록'!$I$3:$I$502,0))&amp;"",""))</f>
        <v/>
      </c>
      <c r="P158">
        <f>IF(B158="","",IF(O158="관심 없음","제외",IF(L158="","안 가봄",IF(M158&gt;=설정!$B$20,M158&amp;"일 지남","최근 방문"))))</f>
        <v/>
      </c>
      <c r="Q158" s="7">
        <f>IF(B158="","",IF(P158="제외","",IF(AND(설정!$B$21&lt;&gt;"",I158&lt;&gt;설정!$B$21),"",IF(AND(N158&lt;&gt;"",N158&gt;N(L158),N158&lt;=설정!$B$24+7),100+7-(N158-설정!$B$24),IF(AND(D158&gt;0,OR(P158="안 가봄",RIGHT(P158,2)="지남")),D158*10+IF(L158="",30,MIN(M158,60)/2)+MIN(N(F158)/1000,20),"")))))</f>
        <v/>
      </c>
      <c r="R158">
        <f>IF(Q158="","",COUNTIF(Q$4:Q$303,"&gt;"&amp;Q158)+COUNTIF(Q$4:Q158,Q158))</f>
        <v/>
      </c>
    </row>
    <row r="159">
      <c r="A159">
        <f>IF(B159="","",156)</f>
        <v/>
      </c>
      <c r="B159">
        <f>IFERROR(INDEX('2.현장'!$V$2:$V$1001,MATCH(156,'2.현장'!$W$2:$W$1001,0)),"")</f>
        <v/>
      </c>
      <c r="C159">
        <f>IF(B159="","",COUNTIFS('2.현장'!$V$2:$V$1001,B159,'2.현장'!$T$2:$T$1001,TRUE))</f>
        <v/>
      </c>
      <c r="D159">
        <f>IF(B159="","",COUNTIFS('2.현장'!$V$2:$V$1001,B159,'2.현장'!$U$2:$U$1001,"설계사"))</f>
        <v/>
      </c>
      <c r="E159">
        <f>IF(B159="","",COUNTIFS('2.현장'!$V$2:$V$1001,B159,'2.현장'!$U$2:$U$1001,"시공사"))</f>
        <v/>
      </c>
      <c r="F159" s="5">
        <f>IF(B159="","",_xlfn.MAXIFS('2.현장'!$D$2:$D$1001,'2.현장'!$V$2:$V$1001,B159,'2.현장'!$T$2:$T$1001,TRUE))</f>
        <v/>
      </c>
      <c r="G159" s="6">
        <f>IF(B159="","",IF(_xlfn.MAXIFS('2.현장'!$L$2:$L$1001,'2.현장'!$V$2:$V$1001,B159,'2.현장'!$T$2:$T$1001,TRUE)=0,"",_xlfn.MAXIFS('2.현장'!$L$2:$L$1001,'2.현장'!$V$2:$V$1001,B159,'2.현장'!$T$2:$T$1001,TRUE)))</f>
        <v/>
      </c>
      <c r="H159">
        <f>IF(B159="","",IFERROR(INDEX('2.현장'!$C$2:$C$1001,IFERROR(MATCH(B159&amp;"|설계사",'2.현장'!$Z$2:$Z$1001,0),IFERROR(MATCH(B159&amp;"|시공사",'2.현장'!$Z$2:$Z$1001,0),MATCH(B159&amp;"|늦음",'2.현장'!$Z$2:$Z$1001,0)))),""))</f>
        <v/>
      </c>
      <c r="I159">
        <f>IF(B159="","",IFERROR(INDEX('2.현장'!$N$2:$N$1001,IFERROR(MATCH(B159&amp;"|설계사",'2.현장'!$Z$2:$Z$1001,0),IFERROR(MATCH(B159&amp;"|시공사",'2.현장'!$Z$2:$Z$1001,0),MATCH(B159&amp;"|늦음",'2.현장'!$Z$2:$Z$1001,0)))),""))</f>
        <v/>
      </c>
      <c r="J159">
        <f>IF(B159="","",IFERROR(VLOOKUP(B159,설계사_메모!$A$3:$G$302,2,FALSE)&amp;"",""))</f>
        <v/>
      </c>
      <c r="K159">
        <f>IF(B159="","",IFERROR(VLOOKUP(B159,설계사_메모!$A$3:$G$302,4,FALSE)&amp;"",""))</f>
        <v/>
      </c>
      <c r="L159" s="6">
        <f>IF(B159="","",IF(COUNTIF('4.방문기록'!$B$3:$B$502,B159)=0,"",_xlfn.MAXIFS('4.방문기록'!$A$3:$A$502,'4.방문기록'!$B$3:$B$502,B159)))</f>
        <v/>
      </c>
      <c r="M159">
        <f>IF(L159="","",설정!$B$24-L159)</f>
        <v/>
      </c>
      <c r="N159" s="6">
        <f>IF(B159="","",IF(_xlfn.MAXIFS('4.방문기록'!$F$3:$F$502,'4.방문기록'!$B$3:$B$502,B159)=0,"",_xlfn.MAXIFS('4.방문기록'!$F$3:$F$502,'4.방문기록'!$B$3:$B$502,B159)))</f>
        <v/>
      </c>
      <c r="O159">
        <f>IF(L159="","",IFERROR(INDEX('4.방문기록'!$H$3:$H$502,MATCH(B159&amp;"|"&amp;(L159*1),'4.방문기록'!$I$3:$I$502,0))&amp;"",""))</f>
        <v/>
      </c>
      <c r="P159">
        <f>IF(B159="","",IF(O159="관심 없음","제외",IF(L159="","안 가봄",IF(M159&gt;=설정!$B$20,M159&amp;"일 지남","최근 방문"))))</f>
        <v/>
      </c>
      <c r="Q159" s="7">
        <f>IF(B159="","",IF(P159="제외","",IF(AND(설정!$B$21&lt;&gt;"",I159&lt;&gt;설정!$B$21),"",IF(AND(N159&lt;&gt;"",N159&gt;N(L159),N159&lt;=설정!$B$24+7),100+7-(N159-설정!$B$24),IF(AND(D159&gt;0,OR(P159="안 가봄",RIGHT(P159,2)="지남")),D159*10+IF(L159="",30,MIN(M159,60)/2)+MIN(N(F159)/1000,20),"")))))</f>
        <v/>
      </c>
      <c r="R159">
        <f>IF(Q159="","",COUNTIF(Q$4:Q$303,"&gt;"&amp;Q159)+COUNTIF(Q$4:Q159,Q159))</f>
        <v/>
      </c>
    </row>
    <row r="160">
      <c r="A160">
        <f>IF(B160="","",157)</f>
        <v/>
      </c>
      <c r="B160">
        <f>IFERROR(INDEX('2.현장'!$V$2:$V$1001,MATCH(157,'2.현장'!$W$2:$W$1001,0)),"")</f>
        <v/>
      </c>
      <c r="C160">
        <f>IF(B160="","",COUNTIFS('2.현장'!$V$2:$V$1001,B160,'2.현장'!$T$2:$T$1001,TRUE))</f>
        <v/>
      </c>
      <c r="D160">
        <f>IF(B160="","",COUNTIFS('2.현장'!$V$2:$V$1001,B160,'2.현장'!$U$2:$U$1001,"설계사"))</f>
        <v/>
      </c>
      <c r="E160">
        <f>IF(B160="","",COUNTIFS('2.현장'!$V$2:$V$1001,B160,'2.현장'!$U$2:$U$1001,"시공사"))</f>
        <v/>
      </c>
      <c r="F160" s="5">
        <f>IF(B160="","",_xlfn.MAXIFS('2.현장'!$D$2:$D$1001,'2.현장'!$V$2:$V$1001,B160,'2.현장'!$T$2:$T$1001,TRUE))</f>
        <v/>
      </c>
      <c r="G160" s="6">
        <f>IF(B160="","",IF(_xlfn.MAXIFS('2.현장'!$L$2:$L$1001,'2.현장'!$V$2:$V$1001,B160,'2.현장'!$T$2:$T$1001,TRUE)=0,"",_xlfn.MAXIFS('2.현장'!$L$2:$L$1001,'2.현장'!$V$2:$V$1001,B160,'2.현장'!$T$2:$T$1001,TRUE)))</f>
        <v/>
      </c>
      <c r="H160">
        <f>IF(B160="","",IFERROR(INDEX('2.현장'!$C$2:$C$1001,IFERROR(MATCH(B160&amp;"|설계사",'2.현장'!$Z$2:$Z$1001,0),IFERROR(MATCH(B160&amp;"|시공사",'2.현장'!$Z$2:$Z$1001,0),MATCH(B160&amp;"|늦음",'2.현장'!$Z$2:$Z$1001,0)))),""))</f>
        <v/>
      </c>
      <c r="I160">
        <f>IF(B160="","",IFERROR(INDEX('2.현장'!$N$2:$N$1001,IFERROR(MATCH(B160&amp;"|설계사",'2.현장'!$Z$2:$Z$1001,0),IFERROR(MATCH(B160&amp;"|시공사",'2.현장'!$Z$2:$Z$1001,0),MATCH(B160&amp;"|늦음",'2.현장'!$Z$2:$Z$1001,0)))),""))</f>
        <v/>
      </c>
      <c r="J160">
        <f>IF(B160="","",IFERROR(VLOOKUP(B160,설계사_메모!$A$3:$G$302,2,FALSE)&amp;"",""))</f>
        <v/>
      </c>
      <c r="K160">
        <f>IF(B160="","",IFERROR(VLOOKUP(B160,설계사_메모!$A$3:$G$302,4,FALSE)&amp;"",""))</f>
        <v/>
      </c>
      <c r="L160" s="6">
        <f>IF(B160="","",IF(COUNTIF('4.방문기록'!$B$3:$B$502,B160)=0,"",_xlfn.MAXIFS('4.방문기록'!$A$3:$A$502,'4.방문기록'!$B$3:$B$502,B160)))</f>
        <v/>
      </c>
      <c r="M160">
        <f>IF(L160="","",설정!$B$24-L160)</f>
        <v/>
      </c>
      <c r="N160" s="6">
        <f>IF(B160="","",IF(_xlfn.MAXIFS('4.방문기록'!$F$3:$F$502,'4.방문기록'!$B$3:$B$502,B160)=0,"",_xlfn.MAXIFS('4.방문기록'!$F$3:$F$502,'4.방문기록'!$B$3:$B$502,B160)))</f>
        <v/>
      </c>
      <c r="O160">
        <f>IF(L160="","",IFERROR(INDEX('4.방문기록'!$H$3:$H$502,MATCH(B160&amp;"|"&amp;(L160*1),'4.방문기록'!$I$3:$I$502,0))&amp;"",""))</f>
        <v/>
      </c>
      <c r="P160">
        <f>IF(B160="","",IF(O160="관심 없음","제외",IF(L160="","안 가봄",IF(M160&gt;=설정!$B$20,M160&amp;"일 지남","최근 방문"))))</f>
        <v/>
      </c>
      <c r="Q160" s="7">
        <f>IF(B160="","",IF(P160="제외","",IF(AND(설정!$B$21&lt;&gt;"",I160&lt;&gt;설정!$B$21),"",IF(AND(N160&lt;&gt;"",N160&gt;N(L160),N160&lt;=설정!$B$24+7),100+7-(N160-설정!$B$24),IF(AND(D160&gt;0,OR(P160="안 가봄",RIGHT(P160,2)="지남")),D160*10+IF(L160="",30,MIN(M160,60)/2)+MIN(N(F160)/1000,20),"")))))</f>
        <v/>
      </c>
      <c r="R160">
        <f>IF(Q160="","",COUNTIF(Q$4:Q$303,"&gt;"&amp;Q160)+COUNTIF(Q$4:Q160,Q160))</f>
        <v/>
      </c>
    </row>
    <row r="161">
      <c r="A161">
        <f>IF(B161="","",158)</f>
        <v/>
      </c>
      <c r="B161">
        <f>IFERROR(INDEX('2.현장'!$V$2:$V$1001,MATCH(158,'2.현장'!$W$2:$W$1001,0)),"")</f>
        <v/>
      </c>
      <c r="C161">
        <f>IF(B161="","",COUNTIFS('2.현장'!$V$2:$V$1001,B161,'2.현장'!$T$2:$T$1001,TRUE))</f>
        <v/>
      </c>
      <c r="D161">
        <f>IF(B161="","",COUNTIFS('2.현장'!$V$2:$V$1001,B161,'2.현장'!$U$2:$U$1001,"설계사"))</f>
        <v/>
      </c>
      <c r="E161">
        <f>IF(B161="","",COUNTIFS('2.현장'!$V$2:$V$1001,B161,'2.현장'!$U$2:$U$1001,"시공사"))</f>
        <v/>
      </c>
      <c r="F161" s="5">
        <f>IF(B161="","",_xlfn.MAXIFS('2.현장'!$D$2:$D$1001,'2.현장'!$V$2:$V$1001,B161,'2.현장'!$T$2:$T$1001,TRUE))</f>
        <v/>
      </c>
      <c r="G161" s="6">
        <f>IF(B161="","",IF(_xlfn.MAXIFS('2.현장'!$L$2:$L$1001,'2.현장'!$V$2:$V$1001,B161,'2.현장'!$T$2:$T$1001,TRUE)=0,"",_xlfn.MAXIFS('2.현장'!$L$2:$L$1001,'2.현장'!$V$2:$V$1001,B161,'2.현장'!$T$2:$T$1001,TRUE)))</f>
        <v/>
      </c>
      <c r="H161">
        <f>IF(B161="","",IFERROR(INDEX('2.현장'!$C$2:$C$1001,IFERROR(MATCH(B161&amp;"|설계사",'2.현장'!$Z$2:$Z$1001,0),IFERROR(MATCH(B161&amp;"|시공사",'2.현장'!$Z$2:$Z$1001,0),MATCH(B161&amp;"|늦음",'2.현장'!$Z$2:$Z$1001,0)))),""))</f>
        <v/>
      </c>
      <c r="I161">
        <f>IF(B161="","",IFERROR(INDEX('2.현장'!$N$2:$N$1001,IFERROR(MATCH(B161&amp;"|설계사",'2.현장'!$Z$2:$Z$1001,0),IFERROR(MATCH(B161&amp;"|시공사",'2.현장'!$Z$2:$Z$1001,0),MATCH(B161&amp;"|늦음",'2.현장'!$Z$2:$Z$1001,0)))),""))</f>
        <v/>
      </c>
      <c r="J161">
        <f>IF(B161="","",IFERROR(VLOOKUP(B161,설계사_메모!$A$3:$G$302,2,FALSE)&amp;"",""))</f>
        <v/>
      </c>
      <c r="K161">
        <f>IF(B161="","",IFERROR(VLOOKUP(B161,설계사_메모!$A$3:$G$302,4,FALSE)&amp;"",""))</f>
        <v/>
      </c>
      <c r="L161" s="6">
        <f>IF(B161="","",IF(COUNTIF('4.방문기록'!$B$3:$B$502,B161)=0,"",_xlfn.MAXIFS('4.방문기록'!$A$3:$A$502,'4.방문기록'!$B$3:$B$502,B161)))</f>
        <v/>
      </c>
      <c r="M161">
        <f>IF(L161="","",설정!$B$24-L161)</f>
        <v/>
      </c>
      <c r="N161" s="6">
        <f>IF(B161="","",IF(_xlfn.MAXIFS('4.방문기록'!$F$3:$F$502,'4.방문기록'!$B$3:$B$502,B161)=0,"",_xlfn.MAXIFS('4.방문기록'!$F$3:$F$502,'4.방문기록'!$B$3:$B$502,B161)))</f>
        <v/>
      </c>
      <c r="O161">
        <f>IF(L161="","",IFERROR(INDEX('4.방문기록'!$H$3:$H$502,MATCH(B161&amp;"|"&amp;(L161*1),'4.방문기록'!$I$3:$I$502,0))&amp;"",""))</f>
        <v/>
      </c>
      <c r="P161">
        <f>IF(B161="","",IF(O161="관심 없음","제외",IF(L161="","안 가봄",IF(M161&gt;=설정!$B$20,M161&amp;"일 지남","최근 방문"))))</f>
        <v/>
      </c>
      <c r="Q161" s="7">
        <f>IF(B161="","",IF(P161="제외","",IF(AND(설정!$B$21&lt;&gt;"",I161&lt;&gt;설정!$B$21),"",IF(AND(N161&lt;&gt;"",N161&gt;N(L161),N161&lt;=설정!$B$24+7),100+7-(N161-설정!$B$24),IF(AND(D161&gt;0,OR(P161="안 가봄",RIGHT(P161,2)="지남")),D161*10+IF(L161="",30,MIN(M161,60)/2)+MIN(N(F161)/1000,20),"")))))</f>
        <v/>
      </c>
      <c r="R161">
        <f>IF(Q161="","",COUNTIF(Q$4:Q$303,"&gt;"&amp;Q161)+COUNTIF(Q$4:Q161,Q161))</f>
        <v/>
      </c>
    </row>
    <row r="162">
      <c r="A162">
        <f>IF(B162="","",159)</f>
        <v/>
      </c>
      <c r="B162">
        <f>IFERROR(INDEX('2.현장'!$V$2:$V$1001,MATCH(159,'2.현장'!$W$2:$W$1001,0)),"")</f>
        <v/>
      </c>
      <c r="C162">
        <f>IF(B162="","",COUNTIFS('2.현장'!$V$2:$V$1001,B162,'2.현장'!$T$2:$T$1001,TRUE))</f>
        <v/>
      </c>
      <c r="D162">
        <f>IF(B162="","",COUNTIFS('2.현장'!$V$2:$V$1001,B162,'2.현장'!$U$2:$U$1001,"설계사"))</f>
        <v/>
      </c>
      <c r="E162">
        <f>IF(B162="","",COUNTIFS('2.현장'!$V$2:$V$1001,B162,'2.현장'!$U$2:$U$1001,"시공사"))</f>
        <v/>
      </c>
      <c r="F162" s="5">
        <f>IF(B162="","",_xlfn.MAXIFS('2.현장'!$D$2:$D$1001,'2.현장'!$V$2:$V$1001,B162,'2.현장'!$T$2:$T$1001,TRUE))</f>
        <v/>
      </c>
      <c r="G162" s="6">
        <f>IF(B162="","",IF(_xlfn.MAXIFS('2.현장'!$L$2:$L$1001,'2.현장'!$V$2:$V$1001,B162,'2.현장'!$T$2:$T$1001,TRUE)=0,"",_xlfn.MAXIFS('2.현장'!$L$2:$L$1001,'2.현장'!$V$2:$V$1001,B162,'2.현장'!$T$2:$T$1001,TRUE)))</f>
        <v/>
      </c>
      <c r="H162">
        <f>IF(B162="","",IFERROR(INDEX('2.현장'!$C$2:$C$1001,IFERROR(MATCH(B162&amp;"|설계사",'2.현장'!$Z$2:$Z$1001,0),IFERROR(MATCH(B162&amp;"|시공사",'2.현장'!$Z$2:$Z$1001,0),MATCH(B162&amp;"|늦음",'2.현장'!$Z$2:$Z$1001,0)))),""))</f>
        <v/>
      </c>
      <c r="I162">
        <f>IF(B162="","",IFERROR(INDEX('2.현장'!$N$2:$N$1001,IFERROR(MATCH(B162&amp;"|설계사",'2.현장'!$Z$2:$Z$1001,0),IFERROR(MATCH(B162&amp;"|시공사",'2.현장'!$Z$2:$Z$1001,0),MATCH(B162&amp;"|늦음",'2.현장'!$Z$2:$Z$1001,0)))),""))</f>
        <v/>
      </c>
      <c r="J162">
        <f>IF(B162="","",IFERROR(VLOOKUP(B162,설계사_메모!$A$3:$G$302,2,FALSE)&amp;"",""))</f>
        <v/>
      </c>
      <c r="K162">
        <f>IF(B162="","",IFERROR(VLOOKUP(B162,설계사_메모!$A$3:$G$302,4,FALSE)&amp;"",""))</f>
        <v/>
      </c>
      <c r="L162" s="6">
        <f>IF(B162="","",IF(COUNTIF('4.방문기록'!$B$3:$B$502,B162)=0,"",_xlfn.MAXIFS('4.방문기록'!$A$3:$A$502,'4.방문기록'!$B$3:$B$502,B162)))</f>
        <v/>
      </c>
      <c r="M162">
        <f>IF(L162="","",설정!$B$24-L162)</f>
        <v/>
      </c>
      <c r="N162" s="6">
        <f>IF(B162="","",IF(_xlfn.MAXIFS('4.방문기록'!$F$3:$F$502,'4.방문기록'!$B$3:$B$502,B162)=0,"",_xlfn.MAXIFS('4.방문기록'!$F$3:$F$502,'4.방문기록'!$B$3:$B$502,B162)))</f>
        <v/>
      </c>
      <c r="O162">
        <f>IF(L162="","",IFERROR(INDEX('4.방문기록'!$H$3:$H$502,MATCH(B162&amp;"|"&amp;(L162*1),'4.방문기록'!$I$3:$I$502,0))&amp;"",""))</f>
        <v/>
      </c>
      <c r="P162">
        <f>IF(B162="","",IF(O162="관심 없음","제외",IF(L162="","안 가봄",IF(M162&gt;=설정!$B$20,M162&amp;"일 지남","최근 방문"))))</f>
        <v/>
      </c>
      <c r="Q162" s="7">
        <f>IF(B162="","",IF(P162="제외","",IF(AND(설정!$B$21&lt;&gt;"",I162&lt;&gt;설정!$B$21),"",IF(AND(N162&lt;&gt;"",N162&gt;N(L162),N162&lt;=설정!$B$24+7),100+7-(N162-설정!$B$24),IF(AND(D162&gt;0,OR(P162="안 가봄",RIGHT(P162,2)="지남")),D162*10+IF(L162="",30,MIN(M162,60)/2)+MIN(N(F162)/1000,20),"")))))</f>
        <v/>
      </c>
      <c r="R162">
        <f>IF(Q162="","",COUNTIF(Q$4:Q$303,"&gt;"&amp;Q162)+COUNTIF(Q$4:Q162,Q162))</f>
        <v/>
      </c>
    </row>
    <row r="163">
      <c r="A163">
        <f>IF(B163="","",160)</f>
        <v/>
      </c>
      <c r="B163">
        <f>IFERROR(INDEX('2.현장'!$V$2:$V$1001,MATCH(160,'2.현장'!$W$2:$W$1001,0)),"")</f>
        <v/>
      </c>
      <c r="C163">
        <f>IF(B163="","",COUNTIFS('2.현장'!$V$2:$V$1001,B163,'2.현장'!$T$2:$T$1001,TRUE))</f>
        <v/>
      </c>
      <c r="D163">
        <f>IF(B163="","",COUNTIFS('2.현장'!$V$2:$V$1001,B163,'2.현장'!$U$2:$U$1001,"설계사"))</f>
        <v/>
      </c>
      <c r="E163">
        <f>IF(B163="","",COUNTIFS('2.현장'!$V$2:$V$1001,B163,'2.현장'!$U$2:$U$1001,"시공사"))</f>
        <v/>
      </c>
      <c r="F163" s="5">
        <f>IF(B163="","",_xlfn.MAXIFS('2.현장'!$D$2:$D$1001,'2.현장'!$V$2:$V$1001,B163,'2.현장'!$T$2:$T$1001,TRUE))</f>
        <v/>
      </c>
      <c r="G163" s="6">
        <f>IF(B163="","",IF(_xlfn.MAXIFS('2.현장'!$L$2:$L$1001,'2.현장'!$V$2:$V$1001,B163,'2.현장'!$T$2:$T$1001,TRUE)=0,"",_xlfn.MAXIFS('2.현장'!$L$2:$L$1001,'2.현장'!$V$2:$V$1001,B163,'2.현장'!$T$2:$T$1001,TRUE)))</f>
        <v/>
      </c>
      <c r="H163">
        <f>IF(B163="","",IFERROR(INDEX('2.현장'!$C$2:$C$1001,IFERROR(MATCH(B163&amp;"|설계사",'2.현장'!$Z$2:$Z$1001,0),IFERROR(MATCH(B163&amp;"|시공사",'2.현장'!$Z$2:$Z$1001,0),MATCH(B163&amp;"|늦음",'2.현장'!$Z$2:$Z$1001,0)))),""))</f>
        <v/>
      </c>
      <c r="I163">
        <f>IF(B163="","",IFERROR(INDEX('2.현장'!$N$2:$N$1001,IFERROR(MATCH(B163&amp;"|설계사",'2.현장'!$Z$2:$Z$1001,0),IFERROR(MATCH(B163&amp;"|시공사",'2.현장'!$Z$2:$Z$1001,0),MATCH(B163&amp;"|늦음",'2.현장'!$Z$2:$Z$1001,0)))),""))</f>
        <v/>
      </c>
      <c r="J163">
        <f>IF(B163="","",IFERROR(VLOOKUP(B163,설계사_메모!$A$3:$G$302,2,FALSE)&amp;"",""))</f>
        <v/>
      </c>
      <c r="K163">
        <f>IF(B163="","",IFERROR(VLOOKUP(B163,설계사_메모!$A$3:$G$302,4,FALSE)&amp;"",""))</f>
        <v/>
      </c>
      <c r="L163" s="6">
        <f>IF(B163="","",IF(COUNTIF('4.방문기록'!$B$3:$B$502,B163)=0,"",_xlfn.MAXIFS('4.방문기록'!$A$3:$A$502,'4.방문기록'!$B$3:$B$502,B163)))</f>
        <v/>
      </c>
      <c r="M163">
        <f>IF(L163="","",설정!$B$24-L163)</f>
        <v/>
      </c>
      <c r="N163" s="6">
        <f>IF(B163="","",IF(_xlfn.MAXIFS('4.방문기록'!$F$3:$F$502,'4.방문기록'!$B$3:$B$502,B163)=0,"",_xlfn.MAXIFS('4.방문기록'!$F$3:$F$502,'4.방문기록'!$B$3:$B$502,B163)))</f>
        <v/>
      </c>
      <c r="O163">
        <f>IF(L163="","",IFERROR(INDEX('4.방문기록'!$H$3:$H$502,MATCH(B163&amp;"|"&amp;(L163*1),'4.방문기록'!$I$3:$I$502,0))&amp;"",""))</f>
        <v/>
      </c>
      <c r="P163">
        <f>IF(B163="","",IF(O163="관심 없음","제외",IF(L163="","안 가봄",IF(M163&gt;=설정!$B$20,M163&amp;"일 지남","최근 방문"))))</f>
        <v/>
      </c>
      <c r="Q163" s="7">
        <f>IF(B163="","",IF(P163="제외","",IF(AND(설정!$B$21&lt;&gt;"",I163&lt;&gt;설정!$B$21),"",IF(AND(N163&lt;&gt;"",N163&gt;N(L163),N163&lt;=설정!$B$24+7),100+7-(N163-설정!$B$24),IF(AND(D163&gt;0,OR(P163="안 가봄",RIGHT(P163,2)="지남")),D163*10+IF(L163="",30,MIN(M163,60)/2)+MIN(N(F163)/1000,20),"")))))</f>
        <v/>
      </c>
      <c r="R163">
        <f>IF(Q163="","",COUNTIF(Q$4:Q$303,"&gt;"&amp;Q163)+COUNTIF(Q$4:Q163,Q163))</f>
        <v/>
      </c>
    </row>
    <row r="164">
      <c r="A164">
        <f>IF(B164="","",161)</f>
        <v/>
      </c>
      <c r="B164">
        <f>IFERROR(INDEX('2.현장'!$V$2:$V$1001,MATCH(161,'2.현장'!$W$2:$W$1001,0)),"")</f>
        <v/>
      </c>
      <c r="C164">
        <f>IF(B164="","",COUNTIFS('2.현장'!$V$2:$V$1001,B164,'2.현장'!$T$2:$T$1001,TRUE))</f>
        <v/>
      </c>
      <c r="D164">
        <f>IF(B164="","",COUNTIFS('2.현장'!$V$2:$V$1001,B164,'2.현장'!$U$2:$U$1001,"설계사"))</f>
        <v/>
      </c>
      <c r="E164">
        <f>IF(B164="","",COUNTIFS('2.현장'!$V$2:$V$1001,B164,'2.현장'!$U$2:$U$1001,"시공사"))</f>
        <v/>
      </c>
      <c r="F164" s="5">
        <f>IF(B164="","",_xlfn.MAXIFS('2.현장'!$D$2:$D$1001,'2.현장'!$V$2:$V$1001,B164,'2.현장'!$T$2:$T$1001,TRUE))</f>
        <v/>
      </c>
      <c r="G164" s="6">
        <f>IF(B164="","",IF(_xlfn.MAXIFS('2.현장'!$L$2:$L$1001,'2.현장'!$V$2:$V$1001,B164,'2.현장'!$T$2:$T$1001,TRUE)=0,"",_xlfn.MAXIFS('2.현장'!$L$2:$L$1001,'2.현장'!$V$2:$V$1001,B164,'2.현장'!$T$2:$T$1001,TRUE)))</f>
        <v/>
      </c>
      <c r="H164">
        <f>IF(B164="","",IFERROR(INDEX('2.현장'!$C$2:$C$1001,IFERROR(MATCH(B164&amp;"|설계사",'2.현장'!$Z$2:$Z$1001,0),IFERROR(MATCH(B164&amp;"|시공사",'2.현장'!$Z$2:$Z$1001,0),MATCH(B164&amp;"|늦음",'2.현장'!$Z$2:$Z$1001,0)))),""))</f>
        <v/>
      </c>
      <c r="I164">
        <f>IF(B164="","",IFERROR(INDEX('2.현장'!$N$2:$N$1001,IFERROR(MATCH(B164&amp;"|설계사",'2.현장'!$Z$2:$Z$1001,0),IFERROR(MATCH(B164&amp;"|시공사",'2.현장'!$Z$2:$Z$1001,0),MATCH(B164&amp;"|늦음",'2.현장'!$Z$2:$Z$1001,0)))),""))</f>
        <v/>
      </c>
      <c r="J164">
        <f>IF(B164="","",IFERROR(VLOOKUP(B164,설계사_메모!$A$3:$G$302,2,FALSE)&amp;"",""))</f>
        <v/>
      </c>
      <c r="K164">
        <f>IF(B164="","",IFERROR(VLOOKUP(B164,설계사_메모!$A$3:$G$302,4,FALSE)&amp;"",""))</f>
        <v/>
      </c>
      <c r="L164" s="6">
        <f>IF(B164="","",IF(COUNTIF('4.방문기록'!$B$3:$B$502,B164)=0,"",_xlfn.MAXIFS('4.방문기록'!$A$3:$A$502,'4.방문기록'!$B$3:$B$502,B164)))</f>
        <v/>
      </c>
      <c r="M164">
        <f>IF(L164="","",설정!$B$24-L164)</f>
        <v/>
      </c>
      <c r="N164" s="6">
        <f>IF(B164="","",IF(_xlfn.MAXIFS('4.방문기록'!$F$3:$F$502,'4.방문기록'!$B$3:$B$502,B164)=0,"",_xlfn.MAXIFS('4.방문기록'!$F$3:$F$502,'4.방문기록'!$B$3:$B$502,B164)))</f>
        <v/>
      </c>
      <c r="O164">
        <f>IF(L164="","",IFERROR(INDEX('4.방문기록'!$H$3:$H$502,MATCH(B164&amp;"|"&amp;(L164*1),'4.방문기록'!$I$3:$I$502,0))&amp;"",""))</f>
        <v/>
      </c>
      <c r="P164">
        <f>IF(B164="","",IF(O164="관심 없음","제외",IF(L164="","안 가봄",IF(M164&gt;=설정!$B$20,M164&amp;"일 지남","최근 방문"))))</f>
        <v/>
      </c>
      <c r="Q164" s="7">
        <f>IF(B164="","",IF(P164="제외","",IF(AND(설정!$B$21&lt;&gt;"",I164&lt;&gt;설정!$B$21),"",IF(AND(N164&lt;&gt;"",N164&gt;N(L164),N164&lt;=설정!$B$24+7),100+7-(N164-설정!$B$24),IF(AND(D164&gt;0,OR(P164="안 가봄",RIGHT(P164,2)="지남")),D164*10+IF(L164="",30,MIN(M164,60)/2)+MIN(N(F164)/1000,20),"")))))</f>
        <v/>
      </c>
      <c r="R164">
        <f>IF(Q164="","",COUNTIF(Q$4:Q$303,"&gt;"&amp;Q164)+COUNTIF(Q$4:Q164,Q164))</f>
        <v/>
      </c>
    </row>
    <row r="165">
      <c r="A165">
        <f>IF(B165="","",162)</f>
        <v/>
      </c>
      <c r="B165">
        <f>IFERROR(INDEX('2.현장'!$V$2:$V$1001,MATCH(162,'2.현장'!$W$2:$W$1001,0)),"")</f>
        <v/>
      </c>
      <c r="C165">
        <f>IF(B165="","",COUNTIFS('2.현장'!$V$2:$V$1001,B165,'2.현장'!$T$2:$T$1001,TRUE))</f>
        <v/>
      </c>
      <c r="D165">
        <f>IF(B165="","",COUNTIFS('2.현장'!$V$2:$V$1001,B165,'2.현장'!$U$2:$U$1001,"설계사"))</f>
        <v/>
      </c>
      <c r="E165">
        <f>IF(B165="","",COUNTIFS('2.현장'!$V$2:$V$1001,B165,'2.현장'!$U$2:$U$1001,"시공사"))</f>
        <v/>
      </c>
      <c r="F165" s="5">
        <f>IF(B165="","",_xlfn.MAXIFS('2.현장'!$D$2:$D$1001,'2.현장'!$V$2:$V$1001,B165,'2.현장'!$T$2:$T$1001,TRUE))</f>
        <v/>
      </c>
      <c r="G165" s="6">
        <f>IF(B165="","",IF(_xlfn.MAXIFS('2.현장'!$L$2:$L$1001,'2.현장'!$V$2:$V$1001,B165,'2.현장'!$T$2:$T$1001,TRUE)=0,"",_xlfn.MAXIFS('2.현장'!$L$2:$L$1001,'2.현장'!$V$2:$V$1001,B165,'2.현장'!$T$2:$T$1001,TRUE)))</f>
        <v/>
      </c>
      <c r="H165">
        <f>IF(B165="","",IFERROR(INDEX('2.현장'!$C$2:$C$1001,IFERROR(MATCH(B165&amp;"|설계사",'2.현장'!$Z$2:$Z$1001,0),IFERROR(MATCH(B165&amp;"|시공사",'2.현장'!$Z$2:$Z$1001,0),MATCH(B165&amp;"|늦음",'2.현장'!$Z$2:$Z$1001,0)))),""))</f>
        <v/>
      </c>
      <c r="I165">
        <f>IF(B165="","",IFERROR(INDEX('2.현장'!$N$2:$N$1001,IFERROR(MATCH(B165&amp;"|설계사",'2.현장'!$Z$2:$Z$1001,0),IFERROR(MATCH(B165&amp;"|시공사",'2.현장'!$Z$2:$Z$1001,0),MATCH(B165&amp;"|늦음",'2.현장'!$Z$2:$Z$1001,0)))),""))</f>
        <v/>
      </c>
      <c r="J165">
        <f>IF(B165="","",IFERROR(VLOOKUP(B165,설계사_메모!$A$3:$G$302,2,FALSE)&amp;"",""))</f>
        <v/>
      </c>
      <c r="K165">
        <f>IF(B165="","",IFERROR(VLOOKUP(B165,설계사_메모!$A$3:$G$302,4,FALSE)&amp;"",""))</f>
        <v/>
      </c>
      <c r="L165" s="6">
        <f>IF(B165="","",IF(COUNTIF('4.방문기록'!$B$3:$B$502,B165)=0,"",_xlfn.MAXIFS('4.방문기록'!$A$3:$A$502,'4.방문기록'!$B$3:$B$502,B165)))</f>
        <v/>
      </c>
      <c r="M165">
        <f>IF(L165="","",설정!$B$24-L165)</f>
        <v/>
      </c>
      <c r="N165" s="6">
        <f>IF(B165="","",IF(_xlfn.MAXIFS('4.방문기록'!$F$3:$F$502,'4.방문기록'!$B$3:$B$502,B165)=0,"",_xlfn.MAXIFS('4.방문기록'!$F$3:$F$502,'4.방문기록'!$B$3:$B$502,B165)))</f>
        <v/>
      </c>
      <c r="O165">
        <f>IF(L165="","",IFERROR(INDEX('4.방문기록'!$H$3:$H$502,MATCH(B165&amp;"|"&amp;(L165*1),'4.방문기록'!$I$3:$I$502,0))&amp;"",""))</f>
        <v/>
      </c>
      <c r="P165">
        <f>IF(B165="","",IF(O165="관심 없음","제외",IF(L165="","안 가봄",IF(M165&gt;=설정!$B$20,M165&amp;"일 지남","최근 방문"))))</f>
        <v/>
      </c>
      <c r="Q165" s="7">
        <f>IF(B165="","",IF(P165="제외","",IF(AND(설정!$B$21&lt;&gt;"",I165&lt;&gt;설정!$B$21),"",IF(AND(N165&lt;&gt;"",N165&gt;N(L165),N165&lt;=설정!$B$24+7),100+7-(N165-설정!$B$24),IF(AND(D165&gt;0,OR(P165="안 가봄",RIGHT(P165,2)="지남")),D165*10+IF(L165="",30,MIN(M165,60)/2)+MIN(N(F165)/1000,20),"")))))</f>
        <v/>
      </c>
      <c r="R165">
        <f>IF(Q165="","",COUNTIF(Q$4:Q$303,"&gt;"&amp;Q165)+COUNTIF(Q$4:Q165,Q165))</f>
        <v/>
      </c>
    </row>
    <row r="166">
      <c r="A166">
        <f>IF(B166="","",163)</f>
        <v/>
      </c>
      <c r="B166">
        <f>IFERROR(INDEX('2.현장'!$V$2:$V$1001,MATCH(163,'2.현장'!$W$2:$W$1001,0)),"")</f>
        <v/>
      </c>
      <c r="C166">
        <f>IF(B166="","",COUNTIFS('2.현장'!$V$2:$V$1001,B166,'2.현장'!$T$2:$T$1001,TRUE))</f>
        <v/>
      </c>
      <c r="D166">
        <f>IF(B166="","",COUNTIFS('2.현장'!$V$2:$V$1001,B166,'2.현장'!$U$2:$U$1001,"설계사"))</f>
        <v/>
      </c>
      <c r="E166">
        <f>IF(B166="","",COUNTIFS('2.현장'!$V$2:$V$1001,B166,'2.현장'!$U$2:$U$1001,"시공사"))</f>
        <v/>
      </c>
      <c r="F166" s="5">
        <f>IF(B166="","",_xlfn.MAXIFS('2.현장'!$D$2:$D$1001,'2.현장'!$V$2:$V$1001,B166,'2.현장'!$T$2:$T$1001,TRUE))</f>
        <v/>
      </c>
      <c r="G166" s="6">
        <f>IF(B166="","",IF(_xlfn.MAXIFS('2.현장'!$L$2:$L$1001,'2.현장'!$V$2:$V$1001,B166,'2.현장'!$T$2:$T$1001,TRUE)=0,"",_xlfn.MAXIFS('2.현장'!$L$2:$L$1001,'2.현장'!$V$2:$V$1001,B166,'2.현장'!$T$2:$T$1001,TRUE)))</f>
        <v/>
      </c>
      <c r="H166">
        <f>IF(B166="","",IFERROR(INDEX('2.현장'!$C$2:$C$1001,IFERROR(MATCH(B166&amp;"|설계사",'2.현장'!$Z$2:$Z$1001,0),IFERROR(MATCH(B166&amp;"|시공사",'2.현장'!$Z$2:$Z$1001,0),MATCH(B166&amp;"|늦음",'2.현장'!$Z$2:$Z$1001,0)))),""))</f>
        <v/>
      </c>
      <c r="I166">
        <f>IF(B166="","",IFERROR(INDEX('2.현장'!$N$2:$N$1001,IFERROR(MATCH(B166&amp;"|설계사",'2.현장'!$Z$2:$Z$1001,0),IFERROR(MATCH(B166&amp;"|시공사",'2.현장'!$Z$2:$Z$1001,0),MATCH(B166&amp;"|늦음",'2.현장'!$Z$2:$Z$1001,0)))),""))</f>
        <v/>
      </c>
      <c r="J166">
        <f>IF(B166="","",IFERROR(VLOOKUP(B166,설계사_메모!$A$3:$G$302,2,FALSE)&amp;"",""))</f>
        <v/>
      </c>
      <c r="K166">
        <f>IF(B166="","",IFERROR(VLOOKUP(B166,설계사_메모!$A$3:$G$302,4,FALSE)&amp;"",""))</f>
        <v/>
      </c>
      <c r="L166" s="6">
        <f>IF(B166="","",IF(COUNTIF('4.방문기록'!$B$3:$B$502,B166)=0,"",_xlfn.MAXIFS('4.방문기록'!$A$3:$A$502,'4.방문기록'!$B$3:$B$502,B166)))</f>
        <v/>
      </c>
      <c r="M166">
        <f>IF(L166="","",설정!$B$24-L166)</f>
        <v/>
      </c>
      <c r="N166" s="6">
        <f>IF(B166="","",IF(_xlfn.MAXIFS('4.방문기록'!$F$3:$F$502,'4.방문기록'!$B$3:$B$502,B166)=0,"",_xlfn.MAXIFS('4.방문기록'!$F$3:$F$502,'4.방문기록'!$B$3:$B$502,B166)))</f>
        <v/>
      </c>
      <c r="O166">
        <f>IF(L166="","",IFERROR(INDEX('4.방문기록'!$H$3:$H$502,MATCH(B166&amp;"|"&amp;(L166*1),'4.방문기록'!$I$3:$I$502,0))&amp;"",""))</f>
        <v/>
      </c>
      <c r="P166">
        <f>IF(B166="","",IF(O166="관심 없음","제외",IF(L166="","안 가봄",IF(M166&gt;=설정!$B$20,M166&amp;"일 지남","최근 방문"))))</f>
        <v/>
      </c>
      <c r="Q166" s="7">
        <f>IF(B166="","",IF(P166="제외","",IF(AND(설정!$B$21&lt;&gt;"",I166&lt;&gt;설정!$B$21),"",IF(AND(N166&lt;&gt;"",N166&gt;N(L166),N166&lt;=설정!$B$24+7),100+7-(N166-설정!$B$24),IF(AND(D166&gt;0,OR(P166="안 가봄",RIGHT(P166,2)="지남")),D166*10+IF(L166="",30,MIN(M166,60)/2)+MIN(N(F166)/1000,20),"")))))</f>
        <v/>
      </c>
      <c r="R166">
        <f>IF(Q166="","",COUNTIF(Q$4:Q$303,"&gt;"&amp;Q166)+COUNTIF(Q$4:Q166,Q166))</f>
        <v/>
      </c>
    </row>
    <row r="167">
      <c r="A167">
        <f>IF(B167="","",164)</f>
        <v/>
      </c>
      <c r="B167">
        <f>IFERROR(INDEX('2.현장'!$V$2:$V$1001,MATCH(164,'2.현장'!$W$2:$W$1001,0)),"")</f>
        <v/>
      </c>
      <c r="C167">
        <f>IF(B167="","",COUNTIFS('2.현장'!$V$2:$V$1001,B167,'2.현장'!$T$2:$T$1001,TRUE))</f>
        <v/>
      </c>
      <c r="D167">
        <f>IF(B167="","",COUNTIFS('2.현장'!$V$2:$V$1001,B167,'2.현장'!$U$2:$U$1001,"설계사"))</f>
        <v/>
      </c>
      <c r="E167">
        <f>IF(B167="","",COUNTIFS('2.현장'!$V$2:$V$1001,B167,'2.현장'!$U$2:$U$1001,"시공사"))</f>
        <v/>
      </c>
      <c r="F167" s="5">
        <f>IF(B167="","",_xlfn.MAXIFS('2.현장'!$D$2:$D$1001,'2.현장'!$V$2:$V$1001,B167,'2.현장'!$T$2:$T$1001,TRUE))</f>
        <v/>
      </c>
      <c r="G167" s="6">
        <f>IF(B167="","",IF(_xlfn.MAXIFS('2.현장'!$L$2:$L$1001,'2.현장'!$V$2:$V$1001,B167,'2.현장'!$T$2:$T$1001,TRUE)=0,"",_xlfn.MAXIFS('2.현장'!$L$2:$L$1001,'2.현장'!$V$2:$V$1001,B167,'2.현장'!$T$2:$T$1001,TRUE)))</f>
        <v/>
      </c>
      <c r="H167">
        <f>IF(B167="","",IFERROR(INDEX('2.현장'!$C$2:$C$1001,IFERROR(MATCH(B167&amp;"|설계사",'2.현장'!$Z$2:$Z$1001,0),IFERROR(MATCH(B167&amp;"|시공사",'2.현장'!$Z$2:$Z$1001,0),MATCH(B167&amp;"|늦음",'2.현장'!$Z$2:$Z$1001,0)))),""))</f>
        <v/>
      </c>
      <c r="I167">
        <f>IF(B167="","",IFERROR(INDEX('2.현장'!$N$2:$N$1001,IFERROR(MATCH(B167&amp;"|설계사",'2.현장'!$Z$2:$Z$1001,0),IFERROR(MATCH(B167&amp;"|시공사",'2.현장'!$Z$2:$Z$1001,0),MATCH(B167&amp;"|늦음",'2.현장'!$Z$2:$Z$1001,0)))),""))</f>
        <v/>
      </c>
      <c r="J167">
        <f>IF(B167="","",IFERROR(VLOOKUP(B167,설계사_메모!$A$3:$G$302,2,FALSE)&amp;"",""))</f>
        <v/>
      </c>
      <c r="K167">
        <f>IF(B167="","",IFERROR(VLOOKUP(B167,설계사_메모!$A$3:$G$302,4,FALSE)&amp;"",""))</f>
        <v/>
      </c>
      <c r="L167" s="6">
        <f>IF(B167="","",IF(COUNTIF('4.방문기록'!$B$3:$B$502,B167)=0,"",_xlfn.MAXIFS('4.방문기록'!$A$3:$A$502,'4.방문기록'!$B$3:$B$502,B167)))</f>
        <v/>
      </c>
      <c r="M167">
        <f>IF(L167="","",설정!$B$24-L167)</f>
        <v/>
      </c>
      <c r="N167" s="6">
        <f>IF(B167="","",IF(_xlfn.MAXIFS('4.방문기록'!$F$3:$F$502,'4.방문기록'!$B$3:$B$502,B167)=0,"",_xlfn.MAXIFS('4.방문기록'!$F$3:$F$502,'4.방문기록'!$B$3:$B$502,B167)))</f>
        <v/>
      </c>
      <c r="O167">
        <f>IF(L167="","",IFERROR(INDEX('4.방문기록'!$H$3:$H$502,MATCH(B167&amp;"|"&amp;(L167*1),'4.방문기록'!$I$3:$I$502,0))&amp;"",""))</f>
        <v/>
      </c>
      <c r="P167">
        <f>IF(B167="","",IF(O167="관심 없음","제외",IF(L167="","안 가봄",IF(M167&gt;=설정!$B$20,M167&amp;"일 지남","최근 방문"))))</f>
        <v/>
      </c>
      <c r="Q167" s="7">
        <f>IF(B167="","",IF(P167="제외","",IF(AND(설정!$B$21&lt;&gt;"",I167&lt;&gt;설정!$B$21),"",IF(AND(N167&lt;&gt;"",N167&gt;N(L167),N167&lt;=설정!$B$24+7),100+7-(N167-설정!$B$24),IF(AND(D167&gt;0,OR(P167="안 가봄",RIGHT(P167,2)="지남")),D167*10+IF(L167="",30,MIN(M167,60)/2)+MIN(N(F167)/1000,20),"")))))</f>
        <v/>
      </c>
      <c r="R167">
        <f>IF(Q167="","",COUNTIF(Q$4:Q$303,"&gt;"&amp;Q167)+COUNTIF(Q$4:Q167,Q167))</f>
        <v/>
      </c>
    </row>
    <row r="168">
      <c r="A168">
        <f>IF(B168="","",165)</f>
        <v/>
      </c>
      <c r="B168">
        <f>IFERROR(INDEX('2.현장'!$V$2:$V$1001,MATCH(165,'2.현장'!$W$2:$W$1001,0)),"")</f>
        <v/>
      </c>
      <c r="C168">
        <f>IF(B168="","",COUNTIFS('2.현장'!$V$2:$V$1001,B168,'2.현장'!$T$2:$T$1001,TRUE))</f>
        <v/>
      </c>
      <c r="D168">
        <f>IF(B168="","",COUNTIFS('2.현장'!$V$2:$V$1001,B168,'2.현장'!$U$2:$U$1001,"설계사"))</f>
        <v/>
      </c>
      <c r="E168">
        <f>IF(B168="","",COUNTIFS('2.현장'!$V$2:$V$1001,B168,'2.현장'!$U$2:$U$1001,"시공사"))</f>
        <v/>
      </c>
      <c r="F168" s="5">
        <f>IF(B168="","",_xlfn.MAXIFS('2.현장'!$D$2:$D$1001,'2.현장'!$V$2:$V$1001,B168,'2.현장'!$T$2:$T$1001,TRUE))</f>
        <v/>
      </c>
      <c r="G168" s="6">
        <f>IF(B168="","",IF(_xlfn.MAXIFS('2.현장'!$L$2:$L$1001,'2.현장'!$V$2:$V$1001,B168,'2.현장'!$T$2:$T$1001,TRUE)=0,"",_xlfn.MAXIFS('2.현장'!$L$2:$L$1001,'2.현장'!$V$2:$V$1001,B168,'2.현장'!$T$2:$T$1001,TRUE)))</f>
        <v/>
      </c>
      <c r="H168">
        <f>IF(B168="","",IFERROR(INDEX('2.현장'!$C$2:$C$1001,IFERROR(MATCH(B168&amp;"|설계사",'2.현장'!$Z$2:$Z$1001,0),IFERROR(MATCH(B168&amp;"|시공사",'2.현장'!$Z$2:$Z$1001,0),MATCH(B168&amp;"|늦음",'2.현장'!$Z$2:$Z$1001,0)))),""))</f>
        <v/>
      </c>
      <c r="I168">
        <f>IF(B168="","",IFERROR(INDEX('2.현장'!$N$2:$N$1001,IFERROR(MATCH(B168&amp;"|설계사",'2.현장'!$Z$2:$Z$1001,0),IFERROR(MATCH(B168&amp;"|시공사",'2.현장'!$Z$2:$Z$1001,0),MATCH(B168&amp;"|늦음",'2.현장'!$Z$2:$Z$1001,0)))),""))</f>
        <v/>
      </c>
      <c r="J168">
        <f>IF(B168="","",IFERROR(VLOOKUP(B168,설계사_메모!$A$3:$G$302,2,FALSE)&amp;"",""))</f>
        <v/>
      </c>
      <c r="K168">
        <f>IF(B168="","",IFERROR(VLOOKUP(B168,설계사_메모!$A$3:$G$302,4,FALSE)&amp;"",""))</f>
        <v/>
      </c>
      <c r="L168" s="6">
        <f>IF(B168="","",IF(COUNTIF('4.방문기록'!$B$3:$B$502,B168)=0,"",_xlfn.MAXIFS('4.방문기록'!$A$3:$A$502,'4.방문기록'!$B$3:$B$502,B168)))</f>
        <v/>
      </c>
      <c r="M168">
        <f>IF(L168="","",설정!$B$24-L168)</f>
        <v/>
      </c>
      <c r="N168" s="6">
        <f>IF(B168="","",IF(_xlfn.MAXIFS('4.방문기록'!$F$3:$F$502,'4.방문기록'!$B$3:$B$502,B168)=0,"",_xlfn.MAXIFS('4.방문기록'!$F$3:$F$502,'4.방문기록'!$B$3:$B$502,B168)))</f>
        <v/>
      </c>
      <c r="O168">
        <f>IF(L168="","",IFERROR(INDEX('4.방문기록'!$H$3:$H$502,MATCH(B168&amp;"|"&amp;(L168*1),'4.방문기록'!$I$3:$I$502,0))&amp;"",""))</f>
        <v/>
      </c>
      <c r="P168">
        <f>IF(B168="","",IF(O168="관심 없음","제외",IF(L168="","안 가봄",IF(M168&gt;=설정!$B$20,M168&amp;"일 지남","최근 방문"))))</f>
        <v/>
      </c>
      <c r="Q168" s="7">
        <f>IF(B168="","",IF(P168="제외","",IF(AND(설정!$B$21&lt;&gt;"",I168&lt;&gt;설정!$B$21),"",IF(AND(N168&lt;&gt;"",N168&gt;N(L168),N168&lt;=설정!$B$24+7),100+7-(N168-설정!$B$24),IF(AND(D168&gt;0,OR(P168="안 가봄",RIGHT(P168,2)="지남")),D168*10+IF(L168="",30,MIN(M168,60)/2)+MIN(N(F168)/1000,20),"")))))</f>
        <v/>
      </c>
      <c r="R168">
        <f>IF(Q168="","",COUNTIF(Q$4:Q$303,"&gt;"&amp;Q168)+COUNTIF(Q$4:Q168,Q168))</f>
        <v/>
      </c>
    </row>
    <row r="169">
      <c r="A169">
        <f>IF(B169="","",166)</f>
        <v/>
      </c>
      <c r="B169">
        <f>IFERROR(INDEX('2.현장'!$V$2:$V$1001,MATCH(166,'2.현장'!$W$2:$W$1001,0)),"")</f>
        <v/>
      </c>
      <c r="C169">
        <f>IF(B169="","",COUNTIFS('2.현장'!$V$2:$V$1001,B169,'2.현장'!$T$2:$T$1001,TRUE))</f>
        <v/>
      </c>
      <c r="D169">
        <f>IF(B169="","",COUNTIFS('2.현장'!$V$2:$V$1001,B169,'2.현장'!$U$2:$U$1001,"설계사"))</f>
        <v/>
      </c>
      <c r="E169">
        <f>IF(B169="","",COUNTIFS('2.현장'!$V$2:$V$1001,B169,'2.현장'!$U$2:$U$1001,"시공사"))</f>
        <v/>
      </c>
      <c r="F169" s="5">
        <f>IF(B169="","",_xlfn.MAXIFS('2.현장'!$D$2:$D$1001,'2.현장'!$V$2:$V$1001,B169,'2.현장'!$T$2:$T$1001,TRUE))</f>
        <v/>
      </c>
      <c r="G169" s="6">
        <f>IF(B169="","",IF(_xlfn.MAXIFS('2.현장'!$L$2:$L$1001,'2.현장'!$V$2:$V$1001,B169,'2.현장'!$T$2:$T$1001,TRUE)=0,"",_xlfn.MAXIFS('2.현장'!$L$2:$L$1001,'2.현장'!$V$2:$V$1001,B169,'2.현장'!$T$2:$T$1001,TRUE)))</f>
        <v/>
      </c>
      <c r="H169">
        <f>IF(B169="","",IFERROR(INDEX('2.현장'!$C$2:$C$1001,IFERROR(MATCH(B169&amp;"|설계사",'2.현장'!$Z$2:$Z$1001,0),IFERROR(MATCH(B169&amp;"|시공사",'2.현장'!$Z$2:$Z$1001,0),MATCH(B169&amp;"|늦음",'2.현장'!$Z$2:$Z$1001,0)))),""))</f>
        <v/>
      </c>
      <c r="I169">
        <f>IF(B169="","",IFERROR(INDEX('2.현장'!$N$2:$N$1001,IFERROR(MATCH(B169&amp;"|설계사",'2.현장'!$Z$2:$Z$1001,0),IFERROR(MATCH(B169&amp;"|시공사",'2.현장'!$Z$2:$Z$1001,0),MATCH(B169&amp;"|늦음",'2.현장'!$Z$2:$Z$1001,0)))),""))</f>
        <v/>
      </c>
      <c r="J169">
        <f>IF(B169="","",IFERROR(VLOOKUP(B169,설계사_메모!$A$3:$G$302,2,FALSE)&amp;"",""))</f>
        <v/>
      </c>
      <c r="K169">
        <f>IF(B169="","",IFERROR(VLOOKUP(B169,설계사_메모!$A$3:$G$302,4,FALSE)&amp;"",""))</f>
        <v/>
      </c>
      <c r="L169" s="6">
        <f>IF(B169="","",IF(COUNTIF('4.방문기록'!$B$3:$B$502,B169)=0,"",_xlfn.MAXIFS('4.방문기록'!$A$3:$A$502,'4.방문기록'!$B$3:$B$502,B169)))</f>
        <v/>
      </c>
      <c r="M169">
        <f>IF(L169="","",설정!$B$24-L169)</f>
        <v/>
      </c>
      <c r="N169" s="6">
        <f>IF(B169="","",IF(_xlfn.MAXIFS('4.방문기록'!$F$3:$F$502,'4.방문기록'!$B$3:$B$502,B169)=0,"",_xlfn.MAXIFS('4.방문기록'!$F$3:$F$502,'4.방문기록'!$B$3:$B$502,B169)))</f>
        <v/>
      </c>
      <c r="O169">
        <f>IF(L169="","",IFERROR(INDEX('4.방문기록'!$H$3:$H$502,MATCH(B169&amp;"|"&amp;(L169*1),'4.방문기록'!$I$3:$I$502,0))&amp;"",""))</f>
        <v/>
      </c>
      <c r="P169">
        <f>IF(B169="","",IF(O169="관심 없음","제외",IF(L169="","안 가봄",IF(M169&gt;=설정!$B$20,M169&amp;"일 지남","최근 방문"))))</f>
        <v/>
      </c>
      <c r="Q169" s="7">
        <f>IF(B169="","",IF(P169="제외","",IF(AND(설정!$B$21&lt;&gt;"",I169&lt;&gt;설정!$B$21),"",IF(AND(N169&lt;&gt;"",N169&gt;N(L169),N169&lt;=설정!$B$24+7),100+7-(N169-설정!$B$24),IF(AND(D169&gt;0,OR(P169="안 가봄",RIGHT(P169,2)="지남")),D169*10+IF(L169="",30,MIN(M169,60)/2)+MIN(N(F169)/1000,20),"")))))</f>
        <v/>
      </c>
      <c r="R169">
        <f>IF(Q169="","",COUNTIF(Q$4:Q$303,"&gt;"&amp;Q169)+COUNTIF(Q$4:Q169,Q169))</f>
        <v/>
      </c>
    </row>
    <row r="170">
      <c r="A170">
        <f>IF(B170="","",167)</f>
        <v/>
      </c>
      <c r="B170">
        <f>IFERROR(INDEX('2.현장'!$V$2:$V$1001,MATCH(167,'2.현장'!$W$2:$W$1001,0)),"")</f>
        <v/>
      </c>
      <c r="C170">
        <f>IF(B170="","",COUNTIFS('2.현장'!$V$2:$V$1001,B170,'2.현장'!$T$2:$T$1001,TRUE))</f>
        <v/>
      </c>
      <c r="D170">
        <f>IF(B170="","",COUNTIFS('2.현장'!$V$2:$V$1001,B170,'2.현장'!$U$2:$U$1001,"설계사"))</f>
        <v/>
      </c>
      <c r="E170">
        <f>IF(B170="","",COUNTIFS('2.현장'!$V$2:$V$1001,B170,'2.현장'!$U$2:$U$1001,"시공사"))</f>
        <v/>
      </c>
      <c r="F170" s="5">
        <f>IF(B170="","",_xlfn.MAXIFS('2.현장'!$D$2:$D$1001,'2.현장'!$V$2:$V$1001,B170,'2.현장'!$T$2:$T$1001,TRUE))</f>
        <v/>
      </c>
      <c r="G170" s="6">
        <f>IF(B170="","",IF(_xlfn.MAXIFS('2.현장'!$L$2:$L$1001,'2.현장'!$V$2:$V$1001,B170,'2.현장'!$T$2:$T$1001,TRUE)=0,"",_xlfn.MAXIFS('2.현장'!$L$2:$L$1001,'2.현장'!$V$2:$V$1001,B170,'2.현장'!$T$2:$T$1001,TRUE)))</f>
        <v/>
      </c>
      <c r="H170">
        <f>IF(B170="","",IFERROR(INDEX('2.현장'!$C$2:$C$1001,IFERROR(MATCH(B170&amp;"|설계사",'2.현장'!$Z$2:$Z$1001,0),IFERROR(MATCH(B170&amp;"|시공사",'2.현장'!$Z$2:$Z$1001,0),MATCH(B170&amp;"|늦음",'2.현장'!$Z$2:$Z$1001,0)))),""))</f>
        <v/>
      </c>
      <c r="I170">
        <f>IF(B170="","",IFERROR(INDEX('2.현장'!$N$2:$N$1001,IFERROR(MATCH(B170&amp;"|설계사",'2.현장'!$Z$2:$Z$1001,0),IFERROR(MATCH(B170&amp;"|시공사",'2.현장'!$Z$2:$Z$1001,0),MATCH(B170&amp;"|늦음",'2.현장'!$Z$2:$Z$1001,0)))),""))</f>
        <v/>
      </c>
      <c r="J170">
        <f>IF(B170="","",IFERROR(VLOOKUP(B170,설계사_메모!$A$3:$G$302,2,FALSE)&amp;"",""))</f>
        <v/>
      </c>
      <c r="K170">
        <f>IF(B170="","",IFERROR(VLOOKUP(B170,설계사_메모!$A$3:$G$302,4,FALSE)&amp;"",""))</f>
        <v/>
      </c>
      <c r="L170" s="6">
        <f>IF(B170="","",IF(COUNTIF('4.방문기록'!$B$3:$B$502,B170)=0,"",_xlfn.MAXIFS('4.방문기록'!$A$3:$A$502,'4.방문기록'!$B$3:$B$502,B170)))</f>
        <v/>
      </c>
      <c r="M170">
        <f>IF(L170="","",설정!$B$24-L170)</f>
        <v/>
      </c>
      <c r="N170" s="6">
        <f>IF(B170="","",IF(_xlfn.MAXIFS('4.방문기록'!$F$3:$F$502,'4.방문기록'!$B$3:$B$502,B170)=0,"",_xlfn.MAXIFS('4.방문기록'!$F$3:$F$502,'4.방문기록'!$B$3:$B$502,B170)))</f>
        <v/>
      </c>
      <c r="O170">
        <f>IF(L170="","",IFERROR(INDEX('4.방문기록'!$H$3:$H$502,MATCH(B170&amp;"|"&amp;(L170*1),'4.방문기록'!$I$3:$I$502,0))&amp;"",""))</f>
        <v/>
      </c>
      <c r="P170">
        <f>IF(B170="","",IF(O170="관심 없음","제외",IF(L170="","안 가봄",IF(M170&gt;=설정!$B$20,M170&amp;"일 지남","최근 방문"))))</f>
        <v/>
      </c>
      <c r="Q170" s="7">
        <f>IF(B170="","",IF(P170="제외","",IF(AND(설정!$B$21&lt;&gt;"",I170&lt;&gt;설정!$B$21),"",IF(AND(N170&lt;&gt;"",N170&gt;N(L170),N170&lt;=설정!$B$24+7),100+7-(N170-설정!$B$24),IF(AND(D170&gt;0,OR(P170="안 가봄",RIGHT(P170,2)="지남")),D170*10+IF(L170="",30,MIN(M170,60)/2)+MIN(N(F170)/1000,20),"")))))</f>
        <v/>
      </c>
      <c r="R170">
        <f>IF(Q170="","",COUNTIF(Q$4:Q$303,"&gt;"&amp;Q170)+COUNTIF(Q$4:Q170,Q170))</f>
        <v/>
      </c>
    </row>
    <row r="171">
      <c r="A171">
        <f>IF(B171="","",168)</f>
        <v/>
      </c>
      <c r="B171">
        <f>IFERROR(INDEX('2.현장'!$V$2:$V$1001,MATCH(168,'2.현장'!$W$2:$W$1001,0)),"")</f>
        <v/>
      </c>
      <c r="C171">
        <f>IF(B171="","",COUNTIFS('2.현장'!$V$2:$V$1001,B171,'2.현장'!$T$2:$T$1001,TRUE))</f>
        <v/>
      </c>
      <c r="D171">
        <f>IF(B171="","",COUNTIFS('2.현장'!$V$2:$V$1001,B171,'2.현장'!$U$2:$U$1001,"설계사"))</f>
        <v/>
      </c>
      <c r="E171">
        <f>IF(B171="","",COUNTIFS('2.현장'!$V$2:$V$1001,B171,'2.현장'!$U$2:$U$1001,"시공사"))</f>
        <v/>
      </c>
      <c r="F171" s="5">
        <f>IF(B171="","",_xlfn.MAXIFS('2.현장'!$D$2:$D$1001,'2.현장'!$V$2:$V$1001,B171,'2.현장'!$T$2:$T$1001,TRUE))</f>
        <v/>
      </c>
      <c r="G171" s="6">
        <f>IF(B171="","",IF(_xlfn.MAXIFS('2.현장'!$L$2:$L$1001,'2.현장'!$V$2:$V$1001,B171,'2.현장'!$T$2:$T$1001,TRUE)=0,"",_xlfn.MAXIFS('2.현장'!$L$2:$L$1001,'2.현장'!$V$2:$V$1001,B171,'2.현장'!$T$2:$T$1001,TRUE)))</f>
        <v/>
      </c>
      <c r="H171">
        <f>IF(B171="","",IFERROR(INDEX('2.현장'!$C$2:$C$1001,IFERROR(MATCH(B171&amp;"|설계사",'2.현장'!$Z$2:$Z$1001,0),IFERROR(MATCH(B171&amp;"|시공사",'2.현장'!$Z$2:$Z$1001,0),MATCH(B171&amp;"|늦음",'2.현장'!$Z$2:$Z$1001,0)))),""))</f>
        <v/>
      </c>
      <c r="I171">
        <f>IF(B171="","",IFERROR(INDEX('2.현장'!$N$2:$N$1001,IFERROR(MATCH(B171&amp;"|설계사",'2.현장'!$Z$2:$Z$1001,0),IFERROR(MATCH(B171&amp;"|시공사",'2.현장'!$Z$2:$Z$1001,0),MATCH(B171&amp;"|늦음",'2.현장'!$Z$2:$Z$1001,0)))),""))</f>
        <v/>
      </c>
      <c r="J171">
        <f>IF(B171="","",IFERROR(VLOOKUP(B171,설계사_메모!$A$3:$G$302,2,FALSE)&amp;"",""))</f>
        <v/>
      </c>
      <c r="K171">
        <f>IF(B171="","",IFERROR(VLOOKUP(B171,설계사_메모!$A$3:$G$302,4,FALSE)&amp;"",""))</f>
        <v/>
      </c>
      <c r="L171" s="6">
        <f>IF(B171="","",IF(COUNTIF('4.방문기록'!$B$3:$B$502,B171)=0,"",_xlfn.MAXIFS('4.방문기록'!$A$3:$A$502,'4.방문기록'!$B$3:$B$502,B171)))</f>
        <v/>
      </c>
      <c r="M171">
        <f>IF(L171="","",설정!$B$24-L171)</f>
        <v/>
      </c>
      <c r="N171" s="6">
        <f>IF(B171="","",IF(_xlfn.MAXIFS('4.방문기록'!$F$3:$F$502,'4.방문기록'!$B$3:$B$502,B171)=0,"",_xlfn.MAXIFS('4.방문기록'!$F$3:$F$502,'4.방문기록'!$B$3:$B$502,B171)))</f>
        <v/>
      </c>
      <c r="O171">
        <f>IF(L171="","",IFERROR(INDEX('4.방문기록'!$H$3:$H$502,MATCH(B171&amp;"|"&amp;(L171*1),'4.방문기록'!$I$3:$I$502,0))&amp;"",""))</f>
        <v/>
      </c>
      <c r="P171">
        <f>IF(B171="","",IF(O171="관심 없음","제외",IF(L171="","안 가봄",IF(M171&gt;=설정!$B$20,M171&amp;"일 지남","최근 방문"))))</f>
        <v/>
      </c>
      <c r="Q171" s="7">
        <f>IF(B171="","",IF(P171="제외","",IF(AND(설정!$B$21&lt;&gt;"",I171&lt;&gt;설정!$B$21),"",IF(AND(N171&lt;&gt;"",N171&gt;N(L171),N171&lt;=설정!$B$24+7),100+7-(N171-설정!$B$24),IF(AND(D171&gt;0,OR(P171="안 가봄",RIGHT(P171,2)="지남")),D171*10+IF(L171="",30,MIN(M171,60)/2)+MIN(N(F171)/1000,20),"")))))</f>
        <v/>
      </c>
      <c r="R171">
        <f>IF(Q171="","",COUNTIF(Q$4:Q$303,"&gt;"&amp;Q171)+COUNTIF(Q$4:Q171,Q171))</f>
        <v/>
      </c>
    </row>
    <row r="172">
      <c r="A172">
        <f>IF(B172="","",169)</f>
        <v/>
      </c>
      <c r="B172">
        <f>IFERROR(INDEX('2.현장'!$V$2:$V$1001,MATCH(169,'2.현장'!$W$2:$W$1001,0)),"")</f>
        <v/>
      </c>
      <c r="C172">
        <f>IF(B172="","",COUNTIFS('2.현장'!$V$2:$V$1001,B172,'2.현장'!$T$2:$T$1001,TRUE))</f>
        <v/>
      </c>
      <c r="D172">
        <f>IF(B172="","",COUNTIFS('2.현장'!$V$2:$V$1001,B172,'2.현장'!$U$2:$U$1001,"설계사"))</f>
        <v/>
      </c>
      <c r="E172">
        <f>IF(B172="","",COUNTIFS('2.현장'!$V$2:$V$1001,B172,'2.현장'!$U$2:$U$1001,"시공사"))</f>
        <v/>
      </c>
      <c r="F172" s="5">
        <f>IF(B172="","",_xlfn.MAXIFS('2.현장'!$D$2:$D$1001,'2.현장'!$V$2:$V$1001,B172,'2.현장'!$T$2:$T$1001,TRUE))</f>
        <v/>
      </c>
      <c r="G172" s="6">
        <f>IF(B172="","",IF(_xlfn.MAXIFS('2.현장'!$L$2:$L$1001,'2.현장'!$V$2:$V$1001,B172,'2.현장'!$T$2:$T$1001,TRUE)=0,"",_xlfn.MAXIFS('2.현장'!$L$2:$L$1001,'2.현장'!$V$2:$V$1001,B172,'2.현장'!$T$2:$T$1001,TRUE)))</f>
        <v/>
      </c>
      <c r="H172">
        <f>IF(B172="","",IFERROR(INDEX('2.현장'!$C$2:$C$1001,IFERROR(MATCH(B172&amp;"|설계사",'2.현장'!$Z$2:$Z$1001,0),IFERROR(MATCH(B172&amp;"|시공사",'2.현장'!$Z$2:$Z$1001,0),MATCH(B172&amp;"|늦음",'2.현장'!$Z$2:$Z$1001,0)))),""))</f>
        <v/>
      </c>
      <c r="I172">
        <f>IF(B172="","",IFERROR(INDEX('2.현장'!$N$2:$N$1001,IFERROR(MATCH(B172&amp;"|설계사",'2.현장'!$Z$2:$Z$1001,0),IFERROR(MATCH(B172&amp;"|시공사",'2.현장'!$Z$2:$Z$1001,0),MATCH(B172&amp;"|늦음",'2.현장'!$Z$2:$Z$1001,0)))),""))</f>
        <v/>
      </c>
      <c r="J172">
        <f>IF(B172="","",IFERROR(VLOOKUP(B172,설계사_메모!$A$3:$G$302,2,FALSE)&amp;"",""))</f>
        <v/>
      </c>
      <c r="K172">
        <f>IF(B172="","",IFERROR(VLOOKUP(B172,설계사_메모!$A$3:$G$302,4,FALSE)&amp;"",""))</f>
        <v/>
      </c>
      <c r="L172" s="6">
        <f>IF(B172="","",IF(COUNTIF('4.방문기록'!$B$3:$B$502,B172)=0,"",_xlfn.MAXIFS('4.방문기록'!$A$3:$A$502,'4.방문기록'!$B$3:$B$502,B172)))</f>
        <v/>
      </c>
      <c r="M172">
        <f>IF(L172="","",설정!$B$24-L172)</f>
        <v/>
      </c>
      <c r="N172" s="6">
        <f>IF(B172="","",IF(_xlfn.MAXIFS('4.방문기록'!$F$3:$F$502,'4.방문기록'!$B$3:$B$502,B172)=0,"",_xlfn.MAXIFS('4.방문기록'!$F$3:$F$502,'4.방문기록'!$B$3:$B$502,B172)))</f>
        <v/>
      </c>
      <c r="O172">
        <f>IF(L172="","",IFERROR(INDEX('4.방문기록'!$H$3:$H$502,MATCH(B172&amp;"|"&amp;(L172*1),'4.방문기록'!$I$3:$I$502,0))&amp;"",""))</f>
        <v/>
      </c>
      <c r="P172">
        <f>IF(B172="","",IF(O172="관심 없음","제외",IF(L172="","안 가봄",IF(M172&gt;=설정!$B$20,M172&amp;"일 지남","최근 방문"))))</f>
        <v/>
      </c>
      <c r="Q172" s="7">
        <f>IF(B172="","",IF(P172="제외","",IF(AND(설정!$B$21&lt;&gt;"",I172&lt;&gt;설정!$B$21),"",IF(AND(N172&lt;&gt;"",N172&gt;N(L172),N172&lt;=설정!$B$24+7),100+7-(N172-설정!$B$24),IF(AND(D172&gt;0,OR(P172="안 가봄",RIGHT(P172,2)="지남")),D172*10+IF(L172="",30,MIN(M172,60)/2)+MIN(N(F172)/1000,20),"")))))</f>
        <v/>
      </c>
      <c r="R172">
        <f>IF(Q172="","",COUNTIF(Q$4:Q$303,"&gt;"&amp;Q172)+COUNTIF(Q$4:Q172,Q172))</f>
        <v/>
      </c>
    </row>
    <row r="173">
      <c r="A173">
        <f>IF(B173="","",170)</f>
        <v/>
      </c>
      <c r="B173">
        <f>IFERROR(INDEX('2.현장'!$V$2:$V$1001,MATCH(170,'2.현장'!$W$2:$W$1001,0)),"")</f>
        <v/>
      </c>
      <c r="C173">
        <f>IF(B173="","",COUNTIFS('2.현장'!$V$2:$V$1001,B173,'2.현장'!$T$2:$T$1001,TRUE))</f>
        <v/>
      </c>
      <c r="D173">
        <f>IF(B173="","",COUNTIFS('2.현장'!$V$2:$V$1001,B173,'2.현장'!$U$2:$U$1001,"설계사"))</f>
        <v/>
      </c>
      <c r="E173">
        <f>IF(B173="","",COUNTIFS('2.현장'!$V$2:$V$1001,B173,'2.현장'!$U$2:$U$1001,"시공사"))</f>
        <v/>
      </c>
      <c r="F173" s="5">
        <f>IF(B173="","",_xlfn.MAXIFS('2.현장'!$D$2:$D$1001,'2.현장'!$V$2:$V$1001,B173,'2.현장'!$T$2:$T$1001,TRUE))</f>
        <v/>
      </c>
      <c r="G173" s="6">
        <f>IF(B173="","",IF(_xlfn.MAXIFS('2.현장'!$L$2:$L$1001,'2.현장'!$V$2:$V$1001,B173,'2.현장'!$T$2:$T$1001,TRUE)=0,"",_xlfn.MAXIFS('2.현장'!$L$2:$L$1001,'2.현장'!$V$2:$V$1001,B173,'2.현장'!$T$2:$T$1001,TRUE)))</f>
        <v/>
      </c>
      <c r="H173">
        <f>IF(B173="","",IFERROR(INDEX('2.현장'!$C$2:$C$1001,IFERROR(MATCH(B173&amp;"|설계사",'2.현장'!$Z$2:$Z$1001,0),IFERROR(MATCH(B173&amp;"|시공사",'2.현장'!$Z$2:$Z$1001,0),MATCH(B173&amp;"|늦음",'2.현장'!$Z$2:$Z$1001,0)))),""))</f>
        <v/>
      </c>
      <c r="I173">
        <f>IF(B173="","",IFERROR(INDEX('2.현장'!$N$2:$N$1001,IFERROR(MATCH(B173&amp;"|설계사",'2.현장'!$Z$2:$Z$1001,0),IFERROR(MATCH(B173&amp;"|시공사",'2.현장'!$Z$2:$Z$1001,0),MATCH(B173&amp;"|늦음",'2.현장'!$Z$2:$Z$1001,0)))),""))</f>
        <v/>
      </c>
      <c r="J173">
        <f>IF(B173="","",IFERROR(VLOOKUP(B173,설계사_메모!$A$3:$G$302,2,FALSE)&amp;"",""))</f>
        <v/>
      </c>
      <c r="K173">
        <f>IF(B173="","",IFERROR(VLOOKUP(B173,설계사_메모!$A$3:$G$302,4,FALSE)&amp;"",""))</f>
        <v/>
      </c>
      <c r="L173" s="6">
        <f>IF(B173="","",IF(COUNTIF('4.방문기록'!$B$3:$B$502,B173)=0,"",_xlfn.MAXIFS('4.방문기록'!$A$3:$A$502,'4.방문기록'!$B$3:$B$502,B173)))</f>
        <v/>
      </c>
      <c r="M173">
        <f>IF(L173="","",설정!$B$24-L173)</f>
        <v/>
      </c>
      <c r="N173" s="6">
        <f>IF(B173="","",IF(_xlfn.MAXIFS('4.방문기록'!$F$3:$F$502,'4.방문기록'!$B$3:$B$502,B173)=0,"",_xlfn.MAXIFS('4.방문기록'!$F$3:$F$502,'4.방문기록'!$B$3:$B$502,B173)))</f>
        <v/>
      </c>
      <c r="O173">
        <f>IF(L173="","",IFERROR(INDEX('4.방문기록'!$H$3:$H$502,MATCH(B173&amp;"|"&amp;(L173*1),'4.방문기록'!$I$3:$I$502,0))&amp;"",""))</f>
        <v/>
      </c>
      <c r="P173">
        <f>IF(B173="","",IF(O173="관심 없음","제외",IF(L173="","안 가봄",IF(M173&gt;=설정!$B$20,M173&amp;"일 지남","최근 방문"))))</f>
        <v/>
      </c>
      <c r="Q173" s="7">
        <f>IF(B173="","",IF(P173="제외","",IF(AND(설정!$B$21&lt;&gt;"",I173&lt;&gt;설정!$B$21),"",IF(AND(N173&lt;&gt;"",N173&gt;N(L173),N173&lt;=설정!$B$24+7),100+7-(N173-설정!$B$24),IF(AND(D173&gt;0,OR(P173="안 가봄",RIGHT(P173,2)="지남")),D173*10+IF(L173="",30,MIN(M173,60)/2)+MIN(N(F173)/1000,20),"")))))</f>
        <v/>
      </c>
      <c r="R173">
        <f>IF(Q173="","",COUNTIF(Q$4:Q$303,"&gt;"&amp;Q173)+COUNTIF(Q$4:Q173,Q173))</f>
        <v/>
      </c>
    </row>
    <row r="174">
      <c r="A174">
        <f>IF(B174="","",171)</f>
        <v/>
      </c>
      <c r="B174">
        <f>IFERROR(INDEX('2.현장'!$V$2:$V$1001,MATCH(171,'2.현장'!$W$2:$W$1001,0)),"")</f>
        <v/>
      </c>
      <c r="C174">
        <f>IF(B174="","",COUNTIFS('2.현장'!$V$2:$V$1001,B174,'2.현장'!$T$2:$T$1001,TRUE))</f>
        <v/>
      </c>
      <c r="D174">
        <f>IF(B174="","",COUNTIFS('2.현장'!$V$2:$V$1001,B174,'2.현장'!$U$2:$U$1001,"설계사"))</f>
        <v/>
      </c>
      <c r="E174">
        <f>IF(B174="","",COUNTIFS('2.현장'!$V$2:$V$1001,B174,'2.현장'!$U$2:$U$1001,"시공사"))</f>
        <v/>
      </c>
      <c r="F174" s="5">
        <f>IF(B174="","",_xlfn.MAXIFS('2.현장'!$D$2:$D$1001,'2.현장'!$V$2:$V$1001,B174,'2.현장'!$T$2:$T$1001,TRUE))</f>
        <v/>
      </c>
      <c r="G174" s="6">
        <f>IF(B174="","",IF(_xlfn.MAXIFS('2.현장'!$L$2:$L$1001,'2.현장'!$V$2:$V$1001,B174,'2.현장'!$T$2:$T$1001,TRUE)=0,"",_xlfn.MAXIFS('2.현장'!$L$2:$L$1001,'2.현장'!$V$2:$V$1001,B174,'2.현장'!$T$2:$T$1001,TRUE)))</f>
        <v/>
      </c>
      <c r="H174">
        <f>IF(B174="","",IFERROR(INDEX('2.현장'!$C$2:$C$1001,IFERROR(MATCH(B174&amp;"|설계사",'2.현장'!$Z$2:$Z$1001,0),IFERROR(MATCH(B174&amp;"|시공사",'2.현장'!$Z$2:$Z$1001,0),MATCH(B174&amp;"|늦음",'2.현장'!$Z$2:$Z$1001,0)))),""))</f>
        <v/>
      </c>
      <c r="I174">
        <f>IF(B174="","",IFERROR(INDEX('2.현장'!$N$2:$N$1001,IFERROR(MATCH(B174&amp;"|설계사",'2.현장'!$Z$2:$Z$1001,0),IFERROR(MATCH(B174&amp;"|시공사",'2.현장'!$Z$2:$Z$1001,0),MATCH(B174&amp;"|늦음",'2.현장'!$Z$2:$Z$1001,0)))),""))</f>
        <v/>
      </c>
      <c r="J174">
        <f>IF(B174="","",IFERROR(VLOOKUP(B174,설계사_메모!$A$3:$G$302,2,FALSE)&amp;"",""))</f>
        <v/>
      </c>
      <c r="K174">
        <f>IF(B174="","",IFERROR(VLOOKUP(B174,설계사_메모!$A$3:$G$302,4,FALSE)&amp;"",""))</f>
        <v/>
      </c>
      <c r="L174" s="6">
        <f>IF(B174="","",IF(COUNTIF('4.방문기록'!$B$3:$B$502,B174)=0,"",_xlfn.MAXIFS('4.방문기록'!$A$3:$A$502,'4.방문기록'!$B$3:$B$502,B174)))</f>
        <v/>
      </c>
      <c r="M174">
        <f>IF(L174="","",설정!$B$24-L174)</f>
        <v/>
      </c>
      <c r="N174" s="6">
        <f>IF(B174="","",IF(_xlfn.MAXIFS('4.방문기록'!$F$3:$F$502,'4.방문기록'!$B$3:$B$502,B174)=0,"",_xlfn.MAXIFS('4.방문기록'!$F$3:$F$502,'4.방문기록'!$B$3:$B$502,B174)))</f>
        <v/>
      </c>
      <c r="O174">
        <f>IF(L174="","",IFERROR(INDEX('4.방문기록'!$H$3:$H$502,MATCH(B174&amp;"|"&amp;(L174*1),'4.방문기록'!$I$3:$I$502,0))&amp;"",""))</f>
        <v/>
      </c>
      <c r="P174">
        <f>IF(B174="","",IF(O174="관심 없음","제외",IF(L174="","안 가봄",IF(M174&gt;=설정!$B$20,M174&amp;"일 지남","최근 방문"))))</f>
        <v/>
      </c>
      <c r="Q174" s="7">
        <f>IF(B174="","",IF(P174="제외","",IF(AND(설정!$B$21&lt;&gt;"",I174&lt;&gt;설정!$B$21),"",IF(AND(N174&lt;&gt;"",N174&gt;N(L174),N174&lt;=설정!$B$24+7),100+7-(N174-설정!$B$24),IF(AND(D174&gt;0,OR(P174="안 가봄",RIGHT(P174,2)="지남")),D174*10+IF(L174="",30,MIN(M174,60)/2)+MIN(N(F174)/1000,20),"")))))</f>
        <v/>
      </c>
      <c r="R174">
        <f>IF(Q174="","",COUNTIF(Q$4:Q$303,"&gt;"&amp;Q174)+COUNTIF(Q$4:Q174,Q174))</f>
        <v/>
      </c>
    </row>
    <row r="175">
      <c r="A175">
        <f>IF(B175="","",172)</f>
        <v/>
      </c>
      <c r="B175">
        <f>IFERROR(INDEX('2.현장'!$V$2:$V$1001,MATCH(172,'2.현장'!$W$2:$W$1001,0)),"")</f>
        <v/>
      </c>
      <c r="C175">
        <f>IF(B175="","",COUNTIFS('2.현장'!$V$2:$V$1001,B175,'2.현장'!$T$2:$T$1001,TRUE))</f>
        <v/>
      </c>
      <c r="D175">
        <f>IF(B175="","",COUNTIFS('2.현장'!$V$2:$V$1001,B175,'2.현장'!$U$2:$U$1001,"설계사"))</f>
        <v/>
      </c>
      <c r="E175">
        <f>IF(B175="","",COUNTIFS('2.현장'!$V$2:$V$1001,B175,'2.현장'!$U$2:$U$1001,"시공사"))</f>
        <v/>
      </c>
      <c r="F175" s="5">
        <f>IF(B175="","",_xlfn.MAXIFS('2.현장'!$D$2:$D$1001,'2.현장'!$V$2:$V$1001,B175,'2.현장'!$T$2:$T$1001,TRUE))</f>
        <v/>
      </c>
      <c r="G175" s="6">
        <f>IF(B175="","",IF(_xlfn.MAXIFS('2.현장'!$L$2:$L$1001,'2.현장'!$V$2:$V$1001,B175,'2.현장'!$T$2:$T$1001,TRUE)=0,"",_xlfn.MAXIFS('2.현장'!$L$2:$L$1001,'2.현장'!$V$2:$V$1001,B175,'2.현장'!$T$2:$T$1001,TRUE)))</f>
        <v/>
      </c>
      <c r="H175">
        <f>IF(B175="","",IFERROR(INDEX('2.현장'!$C$2:$C$1001,IFERROR(MATCH(B175&amp;"|설계사",'2.현장'!$Z$2:$Z$1001,0),IFERROR(MATCH(B175&amp;"|시공사",'2.현장'!$Z$2:$Z$1001,0),MATCH(B175&amp;"|늦음",'2.현장'!$Z$2:$Z$1001,0)))),""))</f>
        <v/>
      </c>
      <c r="I175">
        <f>IF(B175="","",IFERROR(INDEX('2.현장'!$N$2:$N$1001,IFERROR(MATCH(B175&amp;"|설계사",'2.현장'!$Z$2:$Z$1001,0),IFERROR(MATCH(B175&amp;"|시공사",'2.현장'!$Z$2:$Z$1001,0),MATCH(B175&amp;"|늦음",'2.현장'!$Z$2:$Z$1001,0)))),""))</f>
        <v/>
      </c>
      <c r="J175">
        <f>IF(B175="","",IFERROR(VLOOKUP(B175,설계사_메모!$A$3:$G$302,2,FALSE)&amp;"",""))</f>
        <v/>
      </c>
      <c r="K175">
        <f>IF(B175="","",IFERROR(VLOOKUP(B175,설계사_메모!$A$3:$G$302,4,FALSE)&amp;"",""))</f>
        <v/>
      </c>
      <c r="L175" s="6">
        <f>IF(B175="","",IF(COUNTIF('4.방문기록'!$B$3:$B$502,B175)=0,"",_xlfn.MAXIFS('4.방문기록'!$A$3:$A$502,'4.방문기록'!$B$3:$B$502,B175)))</f>
        <v/>
      </c>
      <c r="M175">
        <f>IF(L175="","",설정!$B$24-L175)</f>
        <v/>
      </c>
      <c r="N175" s="6">
        <f>IF(B175="","",IF(_xlfn.MAXIFS('4.방문기록'!$F$3:$F$502,'4.방문기록'!$B$3:$B$502,B175)=0,"",_xlfn.MAXIFS('4.방문기록'!$F$3:$F$502,'4.방문기록'!$B$3:$B$502,B175)))</f>
        <v/>
      </c>
      <c r="O175">
        <f>IF(L175="","",IFERROR(INDEX('4.방문기록'!$H$3:$H$502,MATCH(B175&amp;"|"&amp;(L175*1),'4.방문기록'!$I$3:$I$502,0))&amp;"",""))</f>
        <v/>
      </c>
      <c r="P175">
        <f>IF(B175="","",IF(O175="관심 없음","제외",IF(L175="","안 가봄",IF(M175&gt;=설정!$B$20,M175&amp;"일 지남","최근 방문"))))</f>
        <v/>
      </c>
      <c r="Q175" s="7">
        <f>IF(B175="","",IF(P175="제외","",IF(AND(설정!$B$21&lt;&gt;"",I175&lt;&gt;설정!$B$21),"",IF(AND(N175&lt;&gt;"",N175&gt;N(L175),N175&lt;=설정!$B$24+7),100+7-(N175-설정!$B$24),IF(AND(D175&gt;0,OR(P175="안 가봄",RIGHT(P175,2)="지남")),D175*10+IF(L175="",30,MIN(M175,60)/2)+MIN(N(F175)/1000,20),"")))))</f>
        <v/>
      </c>
      <c r="R175">
        <f>IF(Q175="","",COUNTIF(Q$4:Q$303,"&gt;"&amp;Q175)+COUNTIF(Q$4:Q175,Q175))</f>
        <v/>
      </c>
    </row>
    <row r="176">
      <c r="A176">
        <f>IF(B176="","",173)</f>
        <v/>
      </c>
      <c r="B176">
        <f>IFERROR(INDEX('2.현장'!$V$2:$V$1001,MATCH(173,'2.현장'!$W$2:$W$1001,0)),"")</f>
        <v/>
      </c>
      <c r="C176">
        <f>IF(B176="","",COUNTIFS('2.현장'!$V$2:$V$1001,B176,'2.현장'!$T$2:$T$1001,TRUE))</f>
        <v/>
      </c>
      <c r="D176">
        <f>IF(B176="","",COUNTIFS('2.현장'!$V$2:$V$1001,B176,'2.현장'!$U$2:$U$1001,"설계사"))</f>
        <v/>
      </c>
      <c r="E176">
        <f>IF(B176="","",COUNTIFS('2.현장'!$V$2:$V$1001,B176,'2.현장'!$U$2:$U$1001,"시공사"))</f>
        <v/>
      </c>
      <c r="F176" s="5">
        <f>IF(B176="","",_xlfn.MAXIFS('2.현장'!$D$2:$D$1001,'2.현장'!$V$2:$V$1001,B176,'2.현장'!$T$2:$T$1001,TRUE))</f>
        <v/>
      </c>
      <c r="G176" s="6">
        <f>IF(B176="","",IF(_xlfn.MAXIFS('2.현장'!$L$2:$L$1001,'2.현장'!$V$2:$V$1001,B176,'2.현장'!$T$2:$T$1001,TRUE)=0,"",_xlfn.MAXIFS('2.현장'!$L$2:$L$1001,'2.현장'!$V$2:$V$1001,B176,'2.현장'!$T$2:$T$1001,TRUE)))</f>
        <v/>
      </c>
      <c r="H176">
        <f>IF(B176="","",IFERROR(INDEX('2.현장'!$C$2:$C$1001,IFERROR(MATCH(B176&amp;"|설계사",'2.현장'!$Z$2:$Z$1001,0),IFERROR(MATCH(B176&amp;"|시공사",'2.현장'!$Z$2:$Z$1001,0),MATCH(B176&amp;"|늦음",'2.현장'!$Z$2:$Z$1001,0)))),""))</f>
        <v/>
      </c>
      <c r="I176">
        <f>IF(B176="","",IFERROR(INDEX('2.현장'!$N$2:$N$1001,IFERROR(MATCH(B176&amp;"|설계사",'2.현장'!$Z$2:$Z$1001,0),IFERROR(MATCH(B176&amp;"|시공사",'2.현장'!$Z$2:$Z$1001,0),MATCH(B176&amp;"|늦음",'2.현장'!$Z$2:$Z$1001,0)))),""))</f>
        <v/>
      </c>
      <c r="J176">
        <f>IF(B176="","",IFERROR(VLOOKUP(B176,설계사_메모!$A$3:$G$302,2,FALSE)&amp;"",""))</f>
        <v/>
      </c>
      <c r="K176">
        <f>IF(B176="","",IFERROR(VLOOKUP(B176,설계사_메모!$A$3:$G$302,4,FALSE)&amp;"",""))</f>
        <v/>
      </c>
      <c r="L176" s="6">
        <f>IF(B176="","",IF(COUNTIF('4.방문기록'!$B$3:$B$502,B176)=0,"",_xlfn.MAXIFS('4.방문기록'!$A$3:$A$502,'4.방문기록'!$B$3:$B$502,B176)))</f>
        <v/>
      </c>
      <c r="M176">
        <f>IF(L176="","",설정!$B$24-L176)</f>
        <v/>
      </c>
      <c r="N176" s="6">
        <f>IF(B176="","",IF(_xlfn.MAXIFS('4.방문기록'!$F$3:$F$502,'4.방문기록'!$B$3:$B$502,B176)=0,"",_xlfn.MAXIFS('4.방문기록'!$F$3:$F$502,'4.방문기록'!$B$3:$B$502,B176)))</f>
        <v/>
      </c>
      <c r="O176">
        <f>IF(L176="","",IFERROR(INDEX('4.방문기록'!$H$3:$H$502,MATCH(B176&amp;"|"&amp;(L176*1),'4.방문기록'!$I$3:$I$502,0))&amp;"",""))</f>
        <v/>
      </c>
      <c r="P176">
        <f>IF(B176="","",IF(O176="관심 없음","제외",IF(L176="","안 가봄",IF(M176&gt;=설정!$B$20,M176&amp;"일 지남","최근 방문"))))</f>
        <v/>
      </c>
      <c r="Q176" s="7">
        <f>IF(B176="","",IF(P176="제외","",IF(AND(설정!$B$21&lt;&gt;"",I176&lt;&gt;설정!$B$21),"",IF(AND(N176&lt;&gt;"",N176&gt;N(L176),N176&lt;=설정!$B$24+7),100+7-(N176-설정!$B$24),IF(AND(D176&gt;0,OR(P176="안 가봄",RIGHT(P176,2)="지남")),D176*10+IF(L176="",30,MIN(M176,60)/2)+MIN(N(F176)/1000,20),"")))))</f>
        <v/>
      </c>
      <c r="R176">
        <f>IF(Q176="","",COUNTIF(Q$4:Q$303,"&gt;"&amp;Q176)+COUNTIF(Q$4:Q176,Q176))</f>
        <v/>
      </c>
    </row>
    <row r="177">
      <c r="A177">
        <f>IF(B177="","",174)</f>
        <v/>
      </c>
      <c r="B177">
        <f>IFERROR(INDEX('2.현장'!$V$2:$V$1001,MATCH(174,'2.현장'!$W$2:$W$1001,0)),"")</f>
        <v/>
      </c>
      <c r="C177">
        <f>IF(B177="","",COUNTIFS('2.현장'!$V$2:$V$1001,B177,'2.현장'!$T$2:$T$1001,TRUE))</f>
        <v/>
      </c>
      <c r="D177">
        <f>IF(B177="","",COUNTIFS('2.현장'!$V$2:$V$1001,B177,'2.현장'!$U$2:$U$1001,"설계사"))</f>
        <v/>
      </c>
      <c r="E177">
        <f>IF(B177="","",COUNTIFS('2.현장'!$V$2:$V$1001,B177,'2.현장'!$U$2:$U$1001,"시공사"))</f>
        <v/>
      </c>
      <c r="F177" s="5">
        <f>IF(B177="","",_xlfn.MAXIFS('2.현장'!$D$2:$D$1001,'2.현장'!$V$2:$V$1001,B177,'2.현장'!$T$2:$T$1001,TRUE))</f>
        <v/>
      </c>
      <c r="G177" s="6">
        <f>IF(B177="","",IF(_xlfn.MAXIFS('2.현장'!$L$2:$L$1001,'2.현장'!$V$2:$V$1001,B177,'2.현장'!$T$2:$T$1001,TRUE)=0,"",_xlfn.MAXIFS('2.현장'!$L$2:$L$1001,'2.현장'!$V$2:$V$1001,B177,'2.현장'!$T$2:$T$1001,TRUE)))</f>
        <v/>
      </c>
      <c r="H177">
        <f>IF(B177="","",IFERROR(INDEX('2.현장'!$C$2:$C$1001,IFERROR(MATCH(B177&amp;"|설계사",'2.현장'!$Z$2:$Z$1001,0),IFERROR(MATCH(B177&amp;"|시공사",'2.현장'!$Z$2:$Z$1001,0),MATCH(B177&amp;"|늦음",'2.현장'!$Z$2:$Z$1001,0)))),""))</f>
        <v/>
      </c>
      <c r="I177">
        <f>IF(B177="","",IFERROR(INDEX('2.현장'!$N$2:$N$1001,IFERROR(MATCH(B177&amp;"|설계사",'2.현장'!$Z$2:$Z$1001,0),IFERROR(MATCH(B177&amp;"|시공사",'2.현장'!$Z$2:$Z$1001,0),MATCH(B177&amp;"|늦음",'2.현장'!$Z$2:$Z$1001,0)))),""))</f>
        <v/>
      </c>
      <c r="J177">
        <f>IF(B177="","",IFERROR(VLOOKUP(B177,설계사_메모!$A$3:$G$302,2,FALSE)&amp;"",""))</f>
        <v/>
      </c>
      <c r="K177">
        <f>IF(B177="","",IFERROR(VLOOKUP(B177,설계사_메모!$A$3:$G$302,4,FALSE)&amp;"",""))</f>
        <v/>
      </c>
      <c r="L177" s="6">
        <f>IF(B177="","",IF(COUNTIF('4.방문기록'!$B$3:$B$502,B177)=0,"",_xlfn.MAXIFS('4.방문기록'!$A$3:$A$502,'4.방문기록'!$B$3:$B$502,B177)))</f>
        <v/>
      </c>
      <c r="M177">
        <f>IF(L177="","",설정!$B$24-L177)</f>
        <v/>
      </c>
      <c r="N177" s="6">
        <f>IF(B177="","",IF(_xlfn.MAXIFS('4.방문기록'!$F$3:$F$502,'4.방문기록'!$B$3:$B$502,B177)=0,"",_xlfn.MAXIFS('4.방문기록'!$F$3:$F$502,'4.방문기록'!$B$3:$B$502,B177)))</f>
        <v/>
      </c>
      <c r="O177">
        <f>IF(L177="","",IFERROR(INDEX('4.방문기록'!$H$3:$H$502,MATCH(B177&amp;"|"&amp;(L177*1),'4.방문기록'!$I$3:$I$502,0))&amp;"",""))</f>
        <v/>
      </c>
      <c r="P177">
        <f>IF(B177="","",IF(O177="관심 없음","제외",IF(L177="","안 가봄",IF(M177&gt;=설정!$B$20,M177&amp;"일 지남","최근 방문"))))</f>
        <v/>
      </c>
      <c r="Q177" s="7">
        <f>IF(B177="","",IF(P177="제외","",IF(AND(설정!$B$21&lt;&gt;"",I177&lt;&gt;설정!$B$21),"",IF(AND(N177&lt;&gt;"",N177&gt;N(L177),N177&lt;=설정!$B$24+7),100+7-(N177-설정!$B$24),IF(AND(D177&gt;0,OR(P177="안 가봄",RIGHT(P177,2)="지남")),D177*10+IF(L177="",30,MIN(M177,60)/2)+MIN(N(F177)/1000,20),"")))))</f>
        <v/>
      </c>
      <c r="R177">
        <f>IF(Q177="","",COUNTIF(Q$4:Q$303,"&gt;"&amp;Q177)+COUNTIF(Q$4:Q177,Q177))</f>
        <v/>
      </c>
    </row>
    <row r="178">
      <c r="A178">
        <f>IF(B178="","",175)</f>
        <v/>
      </c>
      <c r="B178">
        <f>IFERROR(INDEX('2.현장'!$V$2:$V$1001,MATCH(175,'2.현장'!$W$2:$W$1001,0)),"")</f>
        <v/>
      </c>
      <c r="C178">
        <f>IF(B178="","",COUNTIFS('2.현장'!$V$2:$V$1001,B178,'2.현장'!$T$2:$T$1001,TRUE))</f>
        <v/>
      </c>
      <c r="D178">
        <f>IF(B178="","",COUNTIFS('2.현장'!$V$2:$V$1001,B178,'2.현장'!$U$2:$U$1001,"설계사"))</f>
        <v/>
      </c>
      <c r="E178">
        <f>IF(B178="","",COUNTIFS('2.현장'!$V$2:$V$1001,B178,'2.현장'!$U$2:$U$1001,"시공사"))</f>
        <v/>
      </c>
      <c r="F178" s="5">
        <f>IF(B178="","",_xlfn.MAXIFS('2.현장'!$D$2:$D$1001,'2.현장'!$V$2:$V$1001,B178,'2.현장'!$T$2:$T$1001,TRUE))</f>
        <v/>
      </c>
      <c r="G178" s="6">
        <f>IF(B178="","",IF(_xlfn.MAXIFS('2.현장'!$L$2:$L$1001,'2.현장'!$V$2:$V$1001,B178,'2.현장'!$T$2:$T$1001,TRUE)=0,"",_xlfn.MAXIFS('2.현장'!$L$2:$L$1001,'2.현장'!$V$2:$V$1001,B178,'2.현장'!$T$2:$T$1001,TRUE)))</f>
        <v/>
      </c>
      <c r="H178">
        <f>IF(B178="","",IFERROR(INDEX('2.현장'!$C$2:$C$1001,IFERROR(MATCH(B178&amp;"|설계사",'2.현장'!$Z$2:$Z$1001,0),IFERROR(MATCH(B178&amp;"|시공사",'2.현장'!$Z$2:$Z$1001,0),MATCH(B178&amp;"|늦음",'2.현장'!$Z$2:$Z$1001,0)))),""))</f>
        <v/>
      </c>
      <c r="I178">
        <f>IF(B178="","",IFERROR(INDEX('2.현장'!$N$2:$N$1001,IFERROR(MATCH(B178&amp;"|설계사",'2.현장'!$Z$2:$Z$1001,0),IFERROR(MATCH(B178&amp;"|시공사",'2.현장'!$Z$2:$Z$1001,0),MATCH(B178&amp;"|늦음",'2.현장'!$Z$2:$Z$1001,0)))),""))</f>
        <v/>
      </c>
      <c r="J178">
        <f>IF(B178="","",IFERROR(VLOOKUP(B178,설계사_메모!$A$3:$G$302,2,FALSE)&amp;"",""))</f>
        <v/>
      </c>
      <c r="K178">
        <f>IF(B178="","",IFERROR(VLOOKUP(B178,설계사_메모!$A$3:$G$302,4,FALSE)&amp;"",""))</f>
        <v/>
      </c>
      <c r="L178" s="6">
        <f>IF(B178="","",IF(COUNTIF('4.방문기록'!$B$3:$B$502,B178)=0,"",_xlfn.MAXIFS('4.방문기록'!$A$3:$A$502,'4.방문기록'!$B$3:$B$502,B178)))</f>
        <v/>
      </c>
      <c r="M178">
        <f>IF(L178="","",설정!$B$24-L178)</f>
        <v/>
      </c>
      <c r="N178" s="6">
        <f>IF(B178="","",IF(_xlfn.MAXIFS('4.방문기록'!$F$3:$F$502,'4.방문기록'!$B$3:$B$502,B178)=0,"",_xlfn.MAXIFS('4.방문기록'!$F$3:$F$502,'4.방문기록'!$B$3:$B$502,B178)))</f>
        <v/>
      </c>
      <c r="O178">
        <f>IF(L178="","",IFERROR(INDEX('4.방문기록'!$H$3:$H$502,MATCH(B178&amp;"|"&amp;(L178*1),'4.방문기록'!$I$3:$I$502,0))&amp;"",""))</f>
        <v/>
      </c>
      <c r="P178">
        <f>IF(B178="","",IF(O178="관심 없음","제외",IF(L178="","안 가봄",IF(M178&gt;=설정!$B$20,M178&amp;"일 지남","최근 방문"))))</f>
        <v/>
      </c>
      <c r="Q178" s="7">
        <f>IF(B178="","",IF(P178="제외","",IF(AND(설정!$B$21&lt;&gt;"",I178&lt;&gt;설정!$B$21),"",IF(AND(N178&lt;&gt;"",N178&gt;N(L178),N178&lt;=설정!$B$24+7),100+7-(N178-설정!$B$24),IF(AND(D178&gt;0,OR(P178="안 가봄",RIGHT(P178,2)="지남")),D178*10+IF(L178="",30,MIN(M178,60)/2)+MIN(N(F178)/1000,20),"")))))</f>
        <v/>
      </c>
      <c r="R178">
        <f>IF(Q178="","",COUNTIF(Q$4:Q$303,"&gt;"&amp;Q178)+COUNTIF(Q$4:Q178,Q178))</f>
        <v/>
      </c>
    </row>
    <row r="179">
      <c r="A179">
        <f>IF(B179="","",176)</f>
        <v/>
      </c>
      <c r="B179">
        <f>IFERROR(INDEX('2.현장'!$V$2:$V$1001,MATCH(176,'2.현장'!$W$2:$W$1001,0)),"")</f>
        <v/>
      </c>
      <c r="C179">
        <f>IF(B179="","",COUNTIFS('2.현장'!$V$2:$V$1001,B179,'2.현장'!$T$2:$T$1001,TRUE))</f>
        <v/>
      </c>
      <c r="D179">
        <f>IF(B179="","",COUNTIFS('2.현장'!$V$2:$V$1001,B179,'2.현장'!$U$2:$U$1001,"설계사"))</f>
        <v/>
      </c>
      <c r="E179">
        <f>IF(B179="","",COUNTIFS('2.현장'!$V$2:$V$1001,B179,'2.현장'!$U$2:$U$1001,"시공사"))</f>
        <v/>
      </c>
      <c r="F179" s="5">
        <f>IF(B179="","",_xlfn.MAXIFS('2.현장'!$D$2:$D$1001,'2.현장'!$V$2:$V$1001,B179,'2.현장'!$T$2:$T$1001,TRUE))</f>
        <v/>
      </c>
      <c r="G179" s="6">
        <f>IF(B179="","",IF(_xlfn.MAXIFS('2.현장'!$L$2:$L$1001,'2.현장'!$V$2:$V$1001,B179,'2.현장'!$T$2:$T$1001,TRUE)=0,"",_xlfn.MAXIFS('2.현장'!$L$2:$L$1001,'2.현장'!$V$2:$V$1001,B179,'2.현장'!$T$2:$T$1001,TRUE)))</f>
        <v/>
      </c>
      <c r="H179">
        <f>IF(B179="","",IFERROR(INDEX('2.현장'!$C$2:$C$1001,IFERROR(MATCH(B179&amp;"|설계사",'2.현장'!$Z$2:$Z$1001,0),IFERROR(MATCH(B179&amp;"|시공사",'2.현장'!$Z$2:$Z$1001,0),MATCH(B179&amp;"|늦음",'2.현장'!$Z$2:$Z$1001,0)))),""))</f>
        <v/>
      </c>
      <c r="I179">
        <f>IF(B179="","",IFERROR(INDEX('2.현장'!$N$2:$N$1001,IFERROR(MATCH(B179&amp;"|설계사",'2.현장'!$Z$2:$Z$1001,0),IFERROR(MATCH(B179&amp;"|시공사",'2.현장'!$Z$2:$Z$1001,0),MATCH(B179&amp;"|늦음",'2.현장'!$Z$2:$Z$1001,0)))),""))</f>
        <v/>
      </c>
      <c r="J179">
        <f>IF(B179="","",IFERROR(VLOOKUP(B179,설계사_메모!$A$3:$G$302,2,FALSE)&amp;"",""))</f>
        <v/>
      </c>
      <c r="K179">
        <f>IF(B179="","",IFERROR(VLOOKUP(B179,설계사_메모!$A$3:$G$302,4,FALSE)&amp;"",""))</f>
        <v/>
      </c>
      <c r="L179" s="6">
        <f>IF(B179="","",IF(COUNTIF('4.방문기록'!$B$3:$B$502,B179)=0,"",_xlfn.MAXIFS('4.방문기록'!$A$3:$A$502,'4.방문기록'!$B$3:$B$502,B179)))</f>
        <v/>
      </c>
      <c r="M179">
        <f>IF(L179="","",설정!$B$24-L179)</f>
        <v/>
      </c>
      <c r="N179" s="6">
        <f>IF(B179="","",IF(_xlfn.MAXIFS('4.방문기록'!$F$3:$F$502,'4.방문기록'!$B$3:$B$502,B179)=0,"",_xlfn.MAXIFS('4.방문기록'!$F$3:$F$502,'4.방문기록'!$B$3:$B$502,B179)))</f>
        <v/>
      </c>
      <c r="O179">
        <f>IF(L179="","",IFERROR(INDEX('4.방문기록'!$H$3:$H$502,MATCH(B179&amp;"|"&amp;(L179*1),'4.방문기록'!$I$3:$I$502,0))&amp;"",""))</f>
        <v/>
      </c>
      <c r="P179">
        <f>IF(B179="","",IF(O179="관심 없음","제외",IF(L179="","안 가봄",IF(M179&gt;=설정!$B$20,M179&amp;"일 지남","최근 방문"))))</f>
        <v/>
      </c>
      <c r="Q179" s="7">
        <f>IF(B179="","",IF(P179="제외","",IF(AND(설정!$B$21&lt;&gt;"",I179&lt;&gt;설정!$B$21),"",IF(AND(N179&lt;&gt;"",N179&gt;N(L179),N179&lt;=설정!$B$24+7),100+7-(N179-설정!$B$24),IF(AND(D179&gt;0,OR(P179="안 가봄",RIGHT(P179,2)="지남")),D179*10+IF(L179="",30,MIN(M179,60)/2)+MIN(N(F179)/1000,20),"")))))</f>
        <v/>
      </c>
      <c r="R179">
        <f>IF(Q179="","",COUNTIF(Q$4:Q$303,"&gt;"&amp;Q179)+COUNTIF(Q$4:Q179,Q179))</f>
        <v/>
      </c>
    </row>
    <row r="180">
      <c r="A180">
        <f>IF(B180="","",177)</f>
        <v/>
      </c>
      <c r="B180">
        <f>IFERROR(INDEX('2.현장'!$V$2:$V$1001,MATCH(177,'2.현장'!$W$2:$W$1001,0)),"")</f>
        <v/>
      </c>
      <c r="C180">
        <f>IF(B180="","",COUNTIFS('2.현장'!$V$2:$V$1001,B180,'2.현장'!$T$2:$T$1001,TRUE))</f>
        <v/>
      </c>
      <c r="D180">
        <f>IF(B180="","",COUNTIFS('2.현장'!$V$2:$V$1001,B180,'2.현장'!$U$2:$U$1001,"설계사"))</f>
        <v/>
      </c>
      <c r="E180">
        <f>IF(B180="","",COUNTIFS('2.현장'!$V$2:$V$1001,B180,'2.현장'!$U$2:$U$1001,"시공사"))</f>
        <v/>
      </c>
      <c r="F180" s="5">
        <f>IF(B180="","",_xlfn.MAXIFS('2.현장'!$D$2:$D$1001,'2.현장'!$V$2:$V$1001,B180,'2.현장'!$T$2:$T$1001,TRUE))</f>
        <v/>
      </c>
      <c r="G180" s="6">
        <f>IF(B180="","",IF(_xlfn.MAXIFS('2.현장'!$L$2:$L$1001,'2.현장'!$V$2:$V$1001,B180,'2.현장'!$T$2:$T$1001,TRUE)=0,"",_xlfn.MAXIFS('2.현장'!$L$2:$L$1001,'2.현장'!$V$2:$V$1001,B180,'2.현장'!$T$2:$T$1001,TRUE)))</f>
        <v/>
      </c>
      <c r="H180">
        <f>IF(B180="","",IFERROR(INDEX('2.현장'!$C$2:$C$1001,IFERROR(MATCH(B180&amp;"|설계사",'2.현장'!$Z$2:$Z$1001,0),IFERROR(MATCH(B180&amp;"|시공사",'2.현장'!$Z$2:$Z$1001,0),MATCH(B180&amp;"|늦음",'2.현장'!$Z$2:$Z$1001,0)))),""))</f>
        <v/>
      </c>
      <c r="I180">
        <f>IF(B180="","",IFERROR(INDEX('2.현장'!$N$2:$N$1001,IFERROR(MATCH(B180&amp;"|설계사",'2.현장'!$Z$2:$Z$1001,0),IFERROR(MATCH(B180&amp;"|시공사",'2.현장'!$Z$2:$Z$1001,0),MATCH(B180&amp;"|늦음",'2.현장'!$Z$2:$Z$1001,0)))),""))</f>
        <v/>
      </c>
      <c r="J180">
        <f>IF(B180="","",IFERROR(VLOOKUP(B180,설계사_메모!$A$3:$G$302,2,FALSE)&amp;"",""))</f>
        <v/>
      </c>
      <c r="K180">
        <f>IF(B180="","",IFERROR(VLOOKUP(B180,설계사_메모!$A$3:$G$302,4,FALSE)&amp;"",""))</f>
        <v/>
      </c>
      <c r="L180" s="6">
        <f>IF(B180="","",IF(COUNTIF('4.방문기록'!$B$3:$B$502,B180)=0,"",_xlfn.MAXIFS('4.방문기록'!$A$3:$A$502,'4.방문기록'!$B$3:$B$502,B180)))</f>
        <v/>
      </c>
      <c r="M180">
        <f>IF(L180="","",설정!$B$24-L180)</f>
        <v/>
      </c>
      <c r="N180" s="6">
        <f>IF(B180="","",IF(_xlfn.MAXIFS('4.방문기록'!$F$3:$F$502,'4.방문기록'!$B$3:$B$502,B180)=0,"",_xlfn.MAXIFS('4.방문기록'!$F$3:$F$502,'4.방문기록'!$B$3:$B$502,B180)))</f>
        <v/>
      </c>
      <c r="O180">
        <f>IF(L180="","",IFERROR(INDEX('4.방문기록'!$H$3:$H$502,MATCH(B180&amp;"|"&amp;(L180*1),'4.방문기록'!$I$3:$I$502,0))&amp;"",""))</f>
        <v/>
      </c>
      <c r="P180">
        <f>IF(B180="","",IF(O180="관심 없음","제외",IF(L180="","안 가봄",IF(M180&gt;=설정!$B$20,M180&amp;"일 지남","최근 방문"))))</f>
        <v/>
      </c>
      <c r="Q180" s="7">
        <f>IF(B180="","",IF(P180="제외","",IF(AND(설정!$B$21&lt;&gt;"",I180&lt;&gt;설정!$B$21),"",IF(AND(N180&lt;&gt;"",N180&gt;N(L180),N180&lt;=설정!$B$24+7),100+7-(N180-설정!$B$24),IF(AND(D180&gt;0,OR(P180="안 가봄",RIGHT(P180,2)="지남")),D180*10+IF(L180="",30,MIN(M180,60)/2)+MIN(N(F180)/1000,20),"")))))</f>
        <v/>
      </c>
      <c r="R180">
        <f>IF(Q180="","",COUNTIF(Q$4:Q$303,"&gt;"&amp;Q180)+COUNTIF(Q$4:Q180,Q180))</f>
        <v/>
      </c>
    </row>
    <row r="181">
      <c r="A181">
        <f>IF(B181="","",178)</f>
        <v/>
      </c>
      <c r="B181">
        <f>IFERROR(INDEX('2.현장'!$V$2:$V$1001,MATCH(178,'2.현장'!$W$2:$W$1001,0)),"")</f>
        <v/>
      </c>
      <c r="C181">
        <f>IF(B181="","",COUNTIFS('2.현장'!$V$2:$V$1001,B181,'2.현장'!$T$2:$T$1001,TRUE))</f>
        <v/>
      </c>
      <c r="D181">
        <f>IF(B181="","",COUNTIFS('2.현장'!$V$2:$V$1001,B181,'2.현장'!$U$2:$U$1001,"설계사"))</f>
        <v/>
      </c>
      <c r="E181">
        <f>IF(B181="","",COUNTIFS('2.현장'!$V$2:$V$1001,B181,'2.현장'!$U$2:$U$1001,"시공사"))</f>
        <v/>
      </c>
      <c r="F181" s="5">
        <f>IF(B181="","",_xlfn.MAXIFS('2.현장'!$D$2:$D$1001,'2.현장'!$V$2:$V$1001,B181,'2.현장'!$T$2:$T$1001,TRUE))</f>
        <v/>
      </c>
      <c r="G181" s="6">
        <f>IF(B181="","",IF(_xlfn.MAXIFS('2.현장'!$L$2:$L$1001,'2.현장'!$V$2:$V$1001,B181,'2.현장'!$T$2:$T$1001,TRUE)=0,"",_xlfn.MAXIFS('2.현장'!$L$2:$L$1001,'2.현장'!$V$2:$V$1001,B181,'2.현장'!$T$2:$T$1001,TRUE)))</f>
        <v/>
      </c>
      <c r="H181">
        <f>IF(B181="","",IFERROR(INDEX('2.현장'!$C$2:$C$1001,IFERROR(MATCH(B181&amp;"|설계사",'2.현장'!$Z$2:$Z$1001,0),IFERROR(MATCH(B181&amp;"|시공사",'2.현장'!$Z$2:$Z$1001,0),MATCH(B181&amp;"|늦음",'2.현장'!$Z$2:$Z$1001,0)))),""))</f>
        <v/>
      </c>
      <c r="I181">
        <f>IF(B181="","",IFERROR(INDEX('2.현장'!$N$2:$N$1001,IFERROR(MATCH(B181&amp;"|설계사",'2.현장'!$Z$2:$Z$1001,0),IFERROR(MATCH(B181&amp;"|시공사",'2.현장'!$Z$2:$Z$1001,0),MATCH(B181&amp;"|늦음",'2.현장'!$Z$2:$Z$1001,0)))),""))</f>
        <v/>
      </c>
      <c r="J181">
        <f>IF(B181="","",IFERROR(VLOOKUP(B181,설계사_메모!$A$3:$G$302,2,FALSE)&amp;"",""))</f>
        <v/>
      </c>
      <c r="K181">
        <f>IF(B181="","",IFERROR(VLOOKUP(B181,설계사_메모!$A$3:$G$302,4,FALSE)&amp;"",""))</f>
        <v/>
      </c>
      <c r="L181" s="6">
        <f>IF(B181="","",IF(COUNTIF('4.방문기록'!$B$3:$B$502,B181)=0,"",_xlfn.MAXIFS('4.방문기록'!$A$3:$A$502,'4.방문기록'!$B$3:$B$502,B181)))</f>
        <v/>
      </c>
      <c r="M181">
        <f>IF(L181="","",설정!$B$24-L181)</f>
        <v/>
      </c>
      <c r="N181" s="6">
        <f>IF(B181="","",IF(_xlfn.MAXIFS('4.방문기록'!$F$3:$F$502,'4.방문기록'!$B$3:$B$502,B181)=0,"",_xlfn.MAXIFS('4.방문기록'!$F$3:$F$502,'4.방문기록'!$B$3:$B$502,B181)))</f>
        <v/>
      </c>
      <c r="O181">
        <f>IF(L181="","",IFERROR(INDEX('4.방문기록'!$H$3:$H$502,MATCH(B181&amp;"|"&amp;(L181*1),'4.방문기록'!$I$3:$I$502,0))&amp;"",""))</f>
        <v/>
      </c>
      <c r="P181">
        <f>IF(B181="","",IF(O181="관심 없음","제외",IF(L181="","안 가봄",IF(M181&gt;=설정!$B$20,M181&amp;"일 지남","최근 방문"))))</f>
        <v/>
      </c>
      <c r="Q181" s="7">
        <f>IF(B181="","",IF(P181="제외","",IF(AND(설정!$B$21&lt;&gt;"",I181&lt;&gt;설정!$B$21),"",IF(AND(N181&lt;&gt;"",N181&gt;N(L181),N181&lt;=설정!$B$24+7),100+7-(N181-설정!$B$24),IF(AND(D181&gt;0,OR(P181="안 가봄",RIGHT(P181,2)="지남")),D181*10+IF(L181="",30,MIN(M181,60)/2)+MIN(N(F181)/1000,20),"")))))</f>
        <v/>
      </c>
      <c r="R181">
        <f>IF(Q181="","",COUNTIF(Q$4:Q$303,"&gt;"&amp;Q181)+COUNTIF(Q$4:Q181,Q181))</f>
        <v/>
      </c>
    </row>
    <row r="182">
      <c r="A182">
        <f>IF(B182="","",179)</f>
        <v/>
      </c>
      <c r="B182">
        <f>IFERROR(INDEX('2.현장'!$V$2:$V$1001,MATCH(179,'2.현장'!$W$2:$W$1001,0)),"")</f>
        <v/>
      </c>
      <c r="C182">
        <f>IF(B182="","",COUNTIFS('2.현장'!$V$2:$V$1001,B182,'2.현장'!$T$2:$T$1001,TRUE))</f>
        <v/>
      </c>
      <c r="D182">
        <f>IF(B182="","",COUNTIFS('2.현장'!$V$2:$V$1001,B182,'2.현장'!$U$2:$U$1001,"설계사"))</f>
        <v/>
      </c>
      <c r="E182">
        <f>IF(B182="","",COUNTIFS('2.현장'!$V$2:$V$1001,B182,'2.현장'!$U$2:$U$1001,"시공사"))</f>
        <v/>
      </c>
      <c r="F182" s="5">
        <f>IF(B182="","",_xlfn.MAXIFS('2.현장'!$D$2:$D$1001,'2.현장'!$V$2:$V$1001,B182,'2.현장'!$T$2:$T$1001,TRUE))</f>
        <v/>
      </c>
      <c r="G182" s="6">
        <f>IF(B182="","",IF(_xlfn.MAXIFS('2.현장'!$L$2:$L$1001,'2.현장'!$V$2:$V$1001,B182,'2.현장'!$T$2:$T$1001,TRUE)=0,"",_xlfn.MAXIFS('2.현장'!$L$2:$L$1001,'2.현장'!$V$2:$V$1001,B182,'2.현장'!$T$2:$T$1001,TRUE)))</f>
        <v/>
      </c>
      <c r="H182">
        <f>IF(B182="","",IFERROR(INDEX('2.현장'!$C$2:$C$1001,IFERROR(MATCH(B182&amp;"|설계사",'2.현장'!$Z$2:$Z$1001,0),IFERROR(MATCH(B182&amp;"|시공사",'2.현장'!$Z$2:$Z$1001,0),MATCH(B182&amp;"|늦음",'2.현장'!$Z$2:$Z$1001,0)))),""))</f>
        <v/>
      </c>
      <c r="I182">
        <f>IF(B182="","",IFERROR(INDEX('2.현장'!$N$2:$N$1001,IFERROR(MATCH(B182&amp;"|설계사",'2.현장'!$Z$2:$Z$1001,0),IFERROR(MATCH(B182&amp;"|시공사",'2.현장'!$Z$2:$Z$1001,0),MATCH(B182&amp;"|늦음",'2.현장'!$Z$2:$Z$1001,0)))),""))</f>
        <v/>
      </c>
      <c r="J182">
        <f>IF(B182="","",IFERROR(VLOOKUP(B182,설계사_메모!$A$3:$G$302,2,FALSE)&amp;"",""))</f>
        <v/>
      </c>
      <c r="K182">
        <f>IF(B182="","",IFERROR(VLOOKUP(B182,설계사_메모!$A$3:$G$302,4,FALSE)&amp;"",""))</f>
        <v/>
      </c>
      <c r="L182" s="6">
        <f>IF(B182="","",IF(COUNTIF('4.방문기록'!$B$3:$B$502,B182)=0,"",_xlfn.MAXIFS('4.방문기록'!$A$3:$A$502,'4.방문기록'!$B$3:$B$502,B182)))</f>
        <v/>
      </c>
      <c r="M182">
        <f>IF(L182="","",설정!$B$24-L182)</f>
        <v/>
      </c>
      <c r="N182" s="6">
        <f>IF(B182="","",IF(_xlfn.MAXIFS('4.방문기록'!$F$3:$F$502,'4.방문기록'!$B$3:$B$502,B182)=0,"",_xlfn.MAXIFS('4.방문기록'!$F$3:$F$502,'4.방문기록'!$B$3:$B$502,B182)))</f>
        <v/>
      </c>
      <c r="O182">
        <f>IF(L182="","",IFERROR(INDEX('4.방문기록'!$H$3:$H$502,MATCH(B182&amp;"|"&amp;(L182*1),'4.방문기록'!$I$3:$I$502,0))&amp;"",""))</f>
        <v/>
      </c>
      <c r="P182">
        <f>IF(B182="","",IF(O182="관심 없음","제외",IF(L182="","안 가봄",IF(M182&gt;=설정!$B$20,M182&amp;"일 지남","최근 방문"))))</f>
        <v/>
      </c>
      <c r="Q182" s="7">
        <f>IF(B182="","",IF(P182="제외","",IF(AND(설정!$B$21&lt;&gt;"",I182&lt;&gt;설정!$B$21),"",IF(AND(N182&lt;&gt;"",N182&gt;N(L182),N182&lt;=설정!$B$24+7),100+7-(N182-설정!$B$24),IF(AND(D182&gt;0,OR(P182="안 가봄",RIGHT(P182,2)="지남")),D182*10+IF(L182="",30,MIN(M182,60)/2)+MIN(N(F182)/1000,20),"")))))</f>
        <v/>
      </c>
      <c r="R182">
        <f>IF(Q182="","",COUNTIF(Q$4:Q$303,"&gt;"&amp;Q182)+COUNTIF(Q$4:Q182,Q182))</f>
        <v/>
      </c>
    </row>
    <row r="183">
      <c r="A183">
        <f>IF(B183="","",180)</f>
        <v/>
      </c>
      <c r="B183">
        <f>IFERROR(INDEX('2.현장'!$V$2:$V$1001,MATCH(180,'2.현장'!$W$2:$W$1001,0)),"")</f>
        <v/>
      </c>
      <c r="C183">
        <f>IF(B183="","",COUNTIFS('2.현장'!$V$2:$V$1001,B183,'2.현장'!$T$2:$T$1001,TRUE))</f>
        <v/>
      </c>
      <c r="D183">
        <f>IF(B183="","",COUNTIFS('2.현장'!$V$2:$V$1001,B183,'2.현장'!$U$2:$U$1001,"설계사"))</f>
        <v/>
      </c>
      <c r="E183">
        <f>IF(B183="","",COUNTIFS('2.현장'!$V$2:$V$1001,B183,'2.현장'!$U$2:$U$1001,"시공사"))</f>
        <v/>
      </c>
      <c r="F183" s="5">
        <f>IF(B183="","",_xlfn.MAXIFS('2.현장'!$D$2:$D$1001,'2.현장'!$V$2:$V$1001,B183,'2.현장'!$T$2:$T$1001,TRUE))</f>
        <v/>
      </c>
      <c r="G183" s="6">
        <f>IF(B183="","",IF(_xlfn.MAXIFS('2.현장'!$L$2:$L$1001,'2.현장'!$V$2:$V$1001,B183,'2.현장'!$T$2:$T$1001,TRUE)=0,"",_xlfn.MAXIFS('2.현장'!$L$2:$L$1001,'2.현장'!$V$2:$V$1001,B183,'2.현장'!$T$2:$T$1001,TRUE)))</f>
        <v/>
      </c>
      <c r="H183">
        <f>IF(B183="","",IFERROR(INDEX('2.현장'!$C$2:$C$1001,IFERROR(MATCH(B183&amp;"|설계사",'2.현장'!$Z$2:$Z$1001,0),IFERROR(MATCH(B183&amp;"|시공사",'2.현장'!$Z$2:$Z$1001,0),MATCH(B183&amp;"|늦음",'2.현장'!$Z$2:$Z$1001,0)))),""))</f>
        <v/>
      </c>
      <c r="I183">
        <f>IF(B183="","",IFERROR(INDEX('2.현장'!$N$2:$N$1001,IFERROR(MATCH(B183&amp;"|설계사",'2.현장'!$Z$2:$Z$1001,0),IFERROR(MATCH(B183&amp;"|시공사",'2.현장'!$Z$2:$Z$1001,0),MATCH(B183&amp;"|늦음",'2.현장'!$Z$2:$Z$1001,0)))),""))</f>
        <v/>
      </c>
      <c r="J183">
        <f>IF(B183="","",IFERROR(VLOOKUP(B183,설계사_메모!$A$3:$G$302,2,FALSE)&amp;"",""))</f>
        <v/>
      </c>
      <c r="K183">
        <f>IF(B183="","",IFERROR(VLOOKUP(B183,설계사_메모!$A$3:$G$302,4,FALSE)&amp;"",""))</f>
        <v/>
      </c>
      <c r="L183" s="6">
        <f>IF(B183="","",IF(COUNTIF('4.방문기록'!$B$3:$B$502,B183)=0,"",_xlfn.MAXIFS('4.방문기록'!$A$3:$A$502,'4.방문기록'!$B$3:$B$502,B183)))</f>
        <v/>
      </c>
      <c r="M183">
        <f>IF(L183="","",설정!$B$24-L183)</f>
        <v/>
      </c>
      <c r="N183" s="6">
        <f>IF(B183="","",IF(_xlfn.MAXIFS('4.방문기록'!$F$3:$F$502,'4.방문기록'!$B$3:$B$502,B183)=0,"",_xlfn.MAXIFS('4.방문기록'!$F$3:$F$502,'4.방문기록'!$B$3:$B$502,B183)))</f>
        <v/>
      </c>
      <c r="O183">
        <f>IF(L183="","",IFERROR(INDEX('4.방문기록'!$H$3:$H$502,MATCH(B183&amp;"|"&amp;(L183*1),'4.방문기록'!$I$3:$I$502,0))&amp;"",""))</f>
        <v/>
      </c>
      <c r="P183">
        <f>IF(B183="","",IF(O183="관심 없음","제외",IF(L183="","안 가봄",IF(M183&gt;=설정!$B$20,M183&amp;"일 지남","최근 방문"))))</f>
        <v/>
      </c>
      <c r="Q183" s="7">
        <f>IF(B183="","",IF(P183="제외","",IF(AND(설정!$B$21&lt;&gt;"",I183&lt;&gt;설정!$B$21),"",IF(AND(N183&lt;&gt;"",N183&gt;N(L183),N183&lt;=설정!$B$24+7),100+7-(N183-설정!$B$24),IF(AND(D183&gt;0,OR(P183="안 가봄",RIGHT(P183,2)="지남")),D183*10+IF(L183="",30,MIN(M183,60)/2)+MIN(N(F183)/1000,20),"")))))</f>
        <v/>
      </c>
      <c r="R183">
        <f>IF(Q183="","",COUNTIF(Q$4:Q$303,"&gt;"&amp;Q183)+COUNTIF(Q$4:Q183,Q183))</f>
        <v/>
      </c>
    </row>
    <row r="184">
      <c r="A184">
        <f>IF(B184="","",181)</f>
        <v/>
      </c>
      <c r="B184">
        <f>IFERROR(INDEX('2.현장'!$V$2:$V$1001,MATCH(181,'2.현장'!$W$2:$W$1001,0)),"")</f>
        <v/>
      </c>
      <c r="C184">
        <f>IF(B184="","",COUNTIFS('2.현장'!$V$2:$V$1001,B184,'2.현장'!$T$2:$T$1001,TRUE))</f>
        <v/>
      </c>
      <c r="D184">
        <f>IF(B184="","",COUNTIFS('2.현장'!$V$2:$V$1001,B184,'2.현장'!$U$2:$U$1001,"설계사"))</f>
        <v/>
      </c>
      <c r="E184">
        <f>IF(B184="","",COUNTIFS('2.현장'!$V$2:$V$1001,B184,'2.현장'!$U$2:$U$1001,"시공사"))</f>
        <v/>
      </c>
      <c r="F184" s="5">
        <f>IF(B184="","",_xlfn.MAXIFS('2.현장'!$D$2:$D$1001,'2.현장'!$V$2:$V$1001,B184,'2.현장'!$T$2:$T$1001,TRUE))</f>
        <v/>
      </c>
      <c r="G184" s="6">
        <f>IF(B184="","",IF(_xlfn.MAXIFS('2.현장'!$L$2:$L$1001,'2.현장'!$V$2:$V$1001,B184,'2.현장'!$T$2:$T$1001,TRUE)=0,"",_xlfn.MAXIFS('2.현장'!$L$2:$L$1001,'2.현장'!$V$2:$V$1001,B184,'2.현장'!$T$2:$T$1001,TRUE)))</f>
        <v/>
      </c>
      <c r="H184">
        <f>IF(B184="","",IFERROR(INDEX('2.현장'!$C$2:$C$1001,IFERROR(MATCH(B184&amp;"|설계사",'2.현장'!$Z$2:$Z$1001,0),IFERROR(MATCH(B184&amp;"|시공사",'2.현장'!$Z$2:$Z$1001,0),MATCH(B184&amp;"|늦음",'2.현장'!$Z$2:$Z$1001,0)))),""))</f>
        <v/>
      </c>
      <c r="I184">
        <f>IF(B184="","",IFERROR(INDEX('2.현장'!$N$2:$N$1001,IFERROR(MATCH(B184&amp;"|설계사",'2.현장'!$Z$2:$Z$1001,0),IFERROR(MATCH(B184&amp;"|시공사",'2.현장'!$Z$2:$Z$1001,0),MATCH(B184&amp;"|늦음",'2.현장'!$Z$2:$Z$1001,0)))),""))</f>
        <v/>
      </c>
      <c r="J184">
        <f>IF(B184="","",IFERROR(VLOOKUP(B184,설계사_메모!$A$3:$G$302,2,FALSE)&amp;"",""))</f>
        <v/>
      </c>
      <c r="K184">
        <f>IF(B184="","",IFERROR(VLOOKUP(B184,설계사_메모!$A$3:$G$302,4,FALSE)&amp;"",""))</f>
        <v/>
      </c>
      <c r="L184" s="6">
        <f>IF(B184="","",IF(COUNTIF('4.방문기록'!$B$3:$B$502,B184)=0,"",_xlfn.MAXIFS('4.방문기록'!$A$3:$A$502,'4.방문기록'!$B$3:$B$502,B184)))</f>
        <v/>
      </c>
      <c r="M184">
        <f>IF(L184="","",설정!$B$24-L184)</f>
        <v/>
      </c>
      <c r="N184" s="6">
        <f>IF(B184="","",IF(_xlfn.MAXIFS('4.방문기록'!$F$3:$F$502,'4.방문기록'!$B$3:$B$502,B184)=0,"",_xlfn.MAXIFS('4.방문기록'!$F$3:$F$502,'4.방문기록'!$B$3:$B$502,B184)))</f>
        <v/>
      </c>
      <c r="O184">
        <f>IF(L184="","",IFERROR(INDEX('4.방문기록'!$H$3:$H$502,MATCH(B184&amp;"|"&amp;(L184*1),'4.방문기록'!$I$3:$I$502,0))&amp;"",""))</f>
        <v/>
      </c>
      <c r="P184">
        <f>IF(B184="","",IF(O184="관심 없음","제외",IF(L184="","안 가봄",IF(M184&gt;=설정!$B$20,M184&amp;"일 지남","최근 방문"))))</f>
        <v/>
      </c>
      <c r="Q184" s="7">
        <f>IF(B184="","",IF(P184="제외","",IF(AND(설정!$B$21&lt;&gt;"",I184&lt;&gt;설정!$B$21),"",IF(AND(N184&lt;&gt;"",N184&gt;N(L184),N184&lt;=설정!$B$24+7),100+7-(N184-설정!$B$24),IF(AND(D184&gt;0,OR(P184="안 가봄",RIGHT(P184,2)="지남")),D184*10+IF(L184="",30,MIN(M184,60)/2)+MIN(N(F184)/1000,20),"")))))</f>
        <v/>
      </c>
      <c r="R184">
        <f>IF(Q184="","",COUNTIF(Q$4:Q$303,"&gt;"&amp;Q184)+COUNTIF(Q$4:Q184,Q184))</f>
        <v/>
      </c>
    </row>
    <row r="185">
      <c r="A185">
        <f>IF(B185="","",182)</f>
        <v/>
      </c>
      <c r="B185">
        <f>IFERROR(INDEX('2.현장'!$V$2:$V$1001,MATCH(182,'2.현장'!$W$2:$W$1001,0)),"")</f>
        <v/>
      </c>
      <c r="C185">
        <f>IF(B185="","",COUNTIFS('2.현장'!$V$2:$V$1001,B185,'2.현장'!$T$2:$T$1001,TRUE))</f>
        <v/>
      </c>
      <c r="D185">
        <f>IF(B185="","",COUNTIFS('2.현장'!$V$2:$V$1001,B185,'2.현장'!$U$2:$U$1001,"설계사"))</f>
        <v/>
      </c>
      <c r="E185">
        <f>IF(B185="","",COUNTIFS('2.현장'!$V$2:$V$1001,B185,'2.현장'!$U$2:$U$1001,"시공사"))</f>
        <v/>
      </c>
      <c r="F185" s="5">
        <f>IF(B185="","",_xlfn.MAXIFS('2.현장'!$D$2:$D$1001,'2.현장'!$V$2:$V$1001,B185,'2.현장'!$T$2:$T$1001,TRUE))</f>
        <v/>
      </c>
      <c r="G185" s="6">
        <f>IF(B185="","",IF(_xlfn.MAXIFS('2.현장'!$L$2:$L$1001,'2.현장'!$V$2:$V$1001,B185,'2.현장'!$T$2:$T$1001,TRUE)=0,"",_xlfn.MAXIFS('2.현장'!$L$2:$L$1001,'2.현장'!$V$2:$V$1001,B185,'2.현장'!$T$2:$T$1001,TRUE)))</f>
        <v/>
      </c>
      <c r="H185">
        <f>IF(B185="","",IFERROR(INDEX('2.현장'!$C$2:$C$1001,IFERROR(MATCH(B185&amp;"|설계사",'2.현장'!$Z$2:$Z$1001,0),IFERROR(MATCH(B185&amp;"|시공사",'2.현장'!$Z$2:$Z$1001,0),MATCH(B185&amp;"|늦음",'2.현장'!$Z$2:$Z$1001,0)))),""))</f>
        <v/>
      </c>
      <c r="I185">
        <f>IF(B185="","",IFERROR(INDEX('2.현장'!$N$2:$N$1001,IFERROR(MATCH(B185&amp;"|설계사",'2.현장'!$Z$2:$Z$1001,0),IFERROR(MATCH(B185&amp;"|시공사",'2.현장'!$Z$2:$Z$1001,0),MATCH(B185&amp;"|늦음",'2.현장'!$Z$2:$Z$1001,0)))),""))</f>
        <v/>
      </c>
      <c r="J185">
        <f>IF(B185="","",IFERROR(VLOOKUP(B185,설계사_메모!$A$3:$G$302,2,FALSE)&amp;"",""))</f>
        <v/>
      </c>
      <c r="K185">
        <f>IF(B185="","",IFERROR(VLOOKUP(B185,설계사_메모!$A$3:$G$302,4,FALSE)&amp;"",""))</f>
        <v/>
      </c>
      <c r="L185" s="6">
        <f>IF(B185="","",IF(COUNTIF('4.방문기록'!$B$3:$B$502,B185)=0,"",_xlfn.MAXIFS('4.방문기록'!$A$3:$A$502,'4.방문기록'!$B$3:$B$502,B185)))</f>
        <v/>
      </c>
      <c r="M185">
        <f>IF(L185="","",설정!$B$24-L185)</f>
        <v/>
      </c>
      <c r="N185" s="6">
        <f>IF(B185="","",IF(_xlfn.MAXIFS('4.방문기록'!$F$3:$F$502,'4.방문기록'!$B$3:$B$502,B185)=0,"",_xlfn.MAXIFS('4.방문기록'!$F$3:$F$502,'4.방문기록'!$B$3:$B$502,B185)))</f>
        <v/>
      </c>
      <c r="O185">
        <f>IF(L185="","",IFERROR(INDEX('4.방문기록'!$H$3:$H$502,MATCH(B185&amp;"|"&amp;(L185*1),'4.방문기록'!$I$3:$I$502,0))&amp;"",""))</f>
        <v/>
      </c>
      <c r="P185">
        <f>IF(B185="","",IF(O185="관심 없음","제외",IF(L185="","안 가봄",IF(M185&gt;=설정!$B$20,M185&amp;"일 지남","최근 방문"))))</f>
        <v/>
      </c>
      <c r="Q185" s="7">
        <f>IF(B185="","",IF(P185="제외","",IF(AND(설정!$B$21&lt;&gt;"",I185&lt;&gt;설정!$B$21),"",IF(AND(N185&lt;&gt;"",N185&gt;N(L185),N185&lt;=설정!$B$24+7),100+7-(N185-설정!$B$24),IF(AND(D185&gt;0,OR(P185="안 가봄",RIGHT(P185,2)="지남")),D185*10+IF(L185="",30,MIN(M185,60)/2)+MIN(N(F185)/1000,20),"")))))</f>
        <v/>
      </c>
      <c r="R185">
        <f>IF(Q185="","",COUNTIF(Q$4:Q$303,"&gt;"&amp;Q185)+COUNTIF(Q$4:Q185,Q185))</f>
        <v/>
      </c>
    </row>
    <row r="186">
      <c r="A186">
        <f>IF(B186="","",183)</f>
        <v/>
      </c>
      <c r="B186">
        <f>IFERROR(INDEX('2.현장'!$V$2:$V$1001,MATCH(183,'2.현장'!$W$2:$W$1001,0)),"")</f>
        <v/>
      </c>
      <c r="C186">
        <f>IF(B186="","",COUNTIFS('2.현장'!$V$2:$V$1001,B186,'2.현장'!$T$2:$T$1001,TRUE))</f>
        <v/>
      </c>
      <c r="D186">
        <f>IF(B186="","",COUNTIFS('2.현장'!$V$2:$V$1001,B186,'2.현장'!$U$2:$U$1001,"설계사"))</f>
        <v/>
      </c>
      <c r="E186">
        <f>IF(B186="","",COUNTIFS('2.현장'!$V$2:$V$1001,B186,'2.현장'!$U$2:$U$1001,"시공사"))</f>
        <v/>
      </c>
      <c r="F186" s="5">
        <f>IF(B186="","",_xlfn.MAXIFS('2.현장'!$D$2:$D$1001,'2.현장'!$V$2:$V$1001,B186,'2.현장'!$T$2:$T$1001,TRUE))</f>
        <v/>
      </c>
      <c r="G186" s="6">
        <f>IF(B186="","",IF(_xlfn.MAXIFS('2.현장'!$L$2:$L$1001,'2.현장'!$V$2:$V$1001,B186,'2.현장'!$T$2:$T$1001,TRUE)=0,"",_xlfn.MAXIFS('2.현장'!$L$2:$L$1001,'2.현장'!$V$2:$V$1001,B186,'2.현장'!$T$2:$T$1001,TRUE)))</f>
        <v/>
      </c>
      <c r="H186">
        <f>IF(B186="","",IFERROR(INDEX('2.현장'!$C$2:$C$1001,IFERROR(MATCH(B186&amp;"|설계사",'2.현장'!$Z$2:$Z$1001,0),IFERROR(MATCH(B186&amp;"|시공사",'2.현장'!$Z$2:$Z$1001,0),MATCH(B186&amp;"|늦음",'2.현장'!$Z$2:$Z$1001,0)))),""))</f>
        <v/>
      </c>
      <c r="I186">
        <f>IF(B186="","",IFERROR(INDEX('2.현장'!$N$2:$N$1001,IFERROR(MATCH(B186&amp;"|설계사",'2.현장'!$Z$2:$Z$1001,0),IFERROR(MATCH(B186&amp;"|시공사",'2.현장'!$Z$2:$Z$1001,0),MATCH(B186&amp;"|늦음",'2.현장'!$Z$2:$Z$1001,0)))),""))</f>
        <v/>
      </c>
      <c r="J186">
        <f>IF(B186="","",IFERROR(VLOOKUP(B186,설계사_메모!$A$3:$G$302,2,FALSE)&amp;"",""))</f>
        <v/>
      </c>
      <c r="K186">
        <f>IF(B186="","",IFERROR(VLOOKUP(B186,설계사_메모!$A$3:$G$302,4,FALSE)&amp;"",""))</f>
        <v/>
      </c>
      <c r="L186" s="6">
        <f>IF(B186="","",IF(COUNTIF('4.방문기록'!$B$3:$B$502,B186)=0,"",_xlfn.MAXIFS('4.방문기록'!$A$3:$A$502,'4.방문기록'!$B$3:$B$502,B186)))</f>
        <v/>
      </c>
      <c r="M186">
        <f>IF(L186="","",설정!$B$24-L186)</f>
        <v/>
      </c>
      <c r="N186" s="6">
        <f>IF(B186="","",IF(_xlfn.MAXIFS('4.방문기록'!$F$3:$F$502,'4.방문기록'!$B$3:$B$502,B186)=0,"",_xlfn.MAXIFS('4.방문기록'!$F$3:$F$502,'4.방문기록'!$B$3:$B$502,B186)))</f>
        <v/>
      </c>
      <c r="O186">
        <f>IF(L186="","",IFERROR(INDEX('4.방문기록'!$H$3:$H$502,MATCH(B186&amp;"|"&amp;(L186*1),'4.방문기록'!$I$3:$I$502,0))&amp;"",""))</f>
        <v/>
      </c>
      <c r="P186">
        <f>IF(B186="","",IF(O186="관심 없음","제외",IF(L186="","안 가봄",IF(M186&gt;=설정!$B$20,M186&amp;"일 지남","최근 방문"))))</f>
        <v/>
      </c>
      <c r="Q186" s="7">
        <f>IF(B186="","",IF(P186="제외","",IF(AND(설정!$B$21&lt;&gt;"",I186&lt;&gt;설정!$B$21),"",IF(AND(N186&lt;&gt;"",N186&gt;N(L186),N186&lt;=설정!$B$24+7),100+7-(N186-설정!$B$24),IF(AND(D186&gt;0,OR(P186="안 가봄",RIGHT(P186,2)="지남")),D186*10+IF(L186="",30,MIN(M186,60)/2)+MIN(N(F186)/1000,20),"")))))</f>
        <v/>
      </c>
      <c r="R186">
        <f>IF(Q186="","",COUNTIF(Q$4:Q$303,"&gt;"&amp;Q186)+COUNTIF(Q$4:Q186,Q186))</f>
        <v/>
      </c>
    </row>
    <row r="187">
      <c r="A187">
        <f>IF(B187="","",184)</f>
        <v/>
      </c>
      <c r="B187">
        <f>IFERROR(INDEX('2.현장'!$V$2:$V$1001,MATCH(184,'2.현장'!$W$2:$W$1001,0)),"")</f>
        <v/>
      </c>
      <c r="C187">
        <f>IF(B187="","",COUNTIFS('2.현장'!$V$2:$V$1001,B187,'2.현장'!$T$2:$T$1001,TRUE))</f>
        <v/>
      </c>
      <c r="D187">
        <f>IF(B187="","",COUNTIFS('2.현장'!$V$2:$V$1001,B187,'2.현장'!$U$2:$U$1001,"설계사"))</f>
        <v/>
      </c>
      <c r="E187">
        <f>IF(B187="","",COUNTIFS('2.현장'!$V$2:$V$1001,B187,'2.현장'!$U$2:$U$1001,"시공사"))</f>
        <v/>
      </c>
      <c r="F187" s="5">
        <f>IF(B187="","",_xlfn.MAXIFS('2.현장'!$D$2:$D$1001,'2.현장'!$V$2:$V$1001,B187,'2.현장'!$T$2:$T$1001,TRUE))</f>
        <v/>
      </c>
      <c r="G187" s="6">
        <f>IF(B187="","",IF(_xlfn.MAXIFS('2.현장'!$L$2:$L$1001,'2.현장'!$V$2:$V$1001,B187,'2.현장'!$T$2:$T$1001,TRUE)=0,"",_xlfn.MAXIFS('2.현장'!$L$2:$L$1001,'2.현장'!$V$2:$V$1001,B187,'2.현장'!$T$2:$T$1001,TRUE)))</f>
        <v/>
      </c>
      <c r="H187">
        <f>IF(B187="","",IFERROR(INDEX('2.현장'!$C$2:$C$1001,IFERROR(MATCH(B187&amp;"|설계사",'2.현장'!$Z$2:$Z$1001,0),IFERROR(MATCH(B187&amp;"|시공사",'2.현장'!$Z$2:$Z$1001,0),MATCH(B187&amp;"|늦음",'2.현장'!$Z$2:$Z$1001,0)))),""))</f>
        <v/>
      </c>
      <c r="I187">
        <f>IF(B187="","",IFERROR(INDEX('2.현장'!$N$2:$N$1001,IFERROR(MATCH(B187&amp;"|설계사",'2.현장'!$Z$2:$Z$1001,0),IFERROR(MATCH(B187&amp;"|시공사",'2.현장'!$Z$2:$Z$1001,0),MATCH(B187&amp;"|늦음",'2.현장'!$Z$2:$Z$1001,0)))),""))</f>
        <v/>
      </c>
      <c r="J187">
        <f>IF(B187="","",IFERROR(VLOOKUP(B187,설계사_메모!$A$3:$G$302,2,FALSE)&amp;"",""))</f>
        <v/>
      </c>
      <c r="K187">
        <f>IF(B187="","",IFERROR(VLOOKUP(B187,설계사_메모!$A$3:$G$302,4,FALSE)&amp;"",""))</f>
        <v/>
      </c>
      <c r="L187" s="6">
        <f>IF(B187="","",IF(COUNTIF('4.방문기록'!$B$3:$B$502,B187)=0,"",_xlfn.MAXIFS('4.방문기록'!$A$3:$A$502,'4.방문기록'!$B$3:$B$502,B187)))</f>
        <v/>
      </c>
      <c r="M187">
        <f>IF(L187="","",설정!$B$24-L187)</f>
        <v/>
      </c>
      <c r="N187" s="6">
        <f>IF(B187="","",IF(_xlfn.MAXIFS('4.방문기록'!$F$3:$F$502,'4.방문기록'!$B$3:$B$502,B187)=0,"",_xlfn.MAXIFS('4.방문기록'!$F$3:$F$502,'4.방문기록'!$B$3:$B$502,B187)))</f>
        <v/>
      </c>
      <c r="O187">
        <f>IF(L187="","",IFERROR(INDEX('4.방문기록'!$H$3:$H$502,MATCH(B187&amp;"|"&amp;(L187*1),'4.방문기록'!$I$3:$I$502,0))&amp;"",""))</f>
        <v/>
      </c>
      <c r="P187">
        <f>IF(B187="","",IF(O187="관심 없음","제외",IF(L187="","안 가봄",IF(M187&gt;=설정!$B$20,M187&amp;"일 지남","최근 방문"))))</f>
        <v/>
      </c>
      <c r="Q187" s="7">
        <f>IF(B187="","",IF(P187="제외","",IF(AND(설정!$B$21&lt;&gt;"",I187&lt;&gt;설정!$B$21),"",IF(AND(N187&lt;&gt;"",N187&gt;N(L187),N187&lt;=설정!$B$24+7),100+7-(N187-설정!$B$24),IF(AND(D187&gt;0,OR(P187="안 가봄",RIGHT(P187,2)="지남")),D187*10+IF(L187="",30,MIN(M187,60)/2)+MIN(N(F187)/1000,20),"")))))</f>
        <v/>
      </c>
      <c r="R187">
        <f>IF(Q187="","",COUNTIF(Q$4:Q$303,"&gt;"&amp;Q187)+COUNTIF(Q$4:Q187,Q187))</f>
        <v/>
      </c>
    </row>
    <row r="188">
      <c r="A188">
        <f>IF(B188="","",185)</f>
        <v/>
      </c>
      <c r="B188">
        <f>IFERROR(INDEX('2.현장'!$V$2:$V$1001,MATCH(185,'2.현장'!$W$2:$W$1001,0)),"")</f>
        <v/>
      </c>
      <c r="C188">
        <f>IF(B188="","",COUNTIFS('2.현장'!$V$2:$V$1001,B188,'2.현장'!$T$2:$T$1001,TRUE))</f>
        <v/>
      </c>
      <c r="D188">
        <f>IF(B188="","",COUNTIFS('2.현장'!$V$2:$V$1001,B188,'2.현장'!$U$2:$U$1001,"설계사"))</f>
        <v/>
      </c>
      <c r="E188">
        <f>IF(B188="","",COUNTIFS('2.현장'!$V$2:$V$1001,B188,'2.현장'!$U$2:$U$1001,"시공사"))</f>
        <v/>
      </c>
      <c r="F188" s="5">
        <f>IF(B188="","",_xlfn.MAXIFS('2.현장'!$D$2:$D$1001,'2.현장'!$V$2:$V$1001,B188,'2.현장'!$T$2:$T$1001,TRUE))</f>
        <v/>
      </c>
      <c r="G188" s="6">
        <f>IF(B188="","",IF(_xlfn.MAXIFS('2.현장'!$L$2:$L$1001,'2.현장'!$V$2:$V$1001,B188,'2.현장'!$T$2:$T$1001,TRUE)=0,"",_xlfn.MAXIFS('2.현장'!$L$2:$L$1001,'2.현장'!$V$2:$V$1001,B188,'2.현장'!$T$2:$T$1001,TRUE)))</f>
        <v/>
      </c>
      <c r="H188">
        <f>IF(B188="","",IFERROR(INDEX('2.현장'!$C$2:$C$1001,IFERROR(MATCH(B188&amp;"|설계사",'2.현장'!$Z$2:$Z$1001,0),IFERROR(MATCH(B188&amp;"|시공사",'2.현장'!$Z$2:$Z$1001,0),MATCH(B188&amp;"|늦음",'2.현장'!$Z$2:$Z$1001,0)))),""))</f>
        <v/>
      </c>
      <c r="I188">
        <f>IF(B188="","",IFERROR(INDEX('2.현장'!$N$2:$N$1001,IFERROR(MATCH(B188&amp;"|설계사",'2.현장'!$Z$2:$Z$1001,0),IFERROR(MATCH(B188&amp;"|시공사",'2.현장'!$Z$2:$Z$1001,0),MATCH(B188&amp;"|늦음",'2.현장'!$Z$2:$Z$1001,0)))),""))</f>
        <v/>
      </c>
      <c r="J188">
        <f>IF(B188="","",IFERROR(VLOOKUP(B188,설계사_메모!$A$3:$G$302,2,FALSE)&amp;"",""))</f>
        <v/>
      </c>
      <c r="K188">
        <f>IF(B188="","",IFERROR(VLOOKUP(B188,설계사_메모!$A$3:$G$302,4,FALSE)&amp;"",""))</f>
        <v/>
      </c>
      <c r="L188" s="6">
        <f>IF(B188="","",IF(COUNTIF('4.방문기록'!$B$3:$B$502,B188)=0,"",_xlfn.MAXIFS('4.방문기록'!$A$3:$A$502,'4.방문기록'!$B$3:$B$502,B188)))</f>
        <v/>
      </c>
      <c r="M188">
        <f>IF(L188="","",설정!$B$24-L188)</f>
        <v/>
      </c>
      <c r="N188" s="6">
        <f>IF(B188="","",IF(_xlfn.MAXIFS('4.방문기록'!$F$3:$F$502,'4.방문기록'!$B$3:$B$502,B188)=0,"",_xlfn.MAXIFS('4.방문기록'!$F$3:$F$502,'4.방문기록'!$B$3:$B$502,B188)))</f>
        <v/>
      </c>
      <c r="O188">
        <f>IF(L188="","",IFERROR(INDEX('4.방문기록'!$H$3:$H$502,MATCH(B188&amp;"|"&amp;(L188*1),'4.방문기록'!$I$3:$I$502,0))&amp;"",""))</f>
        <v/>
      </c>
      <c r="P188">
        <f>IF(B188="","",IF(O188="관심 없음","제외",IF(L188="","안 가봄",IF(M188&gt;=설정!$B$20,M188&amp;"일 지남","최근 방문"))))</f>
        <v/>
      </c>
      <c r="Q188" s="7">
        <f>IF(B188="","",IF(P188="제외","",IF(AND(설정!$B$21&lt;&gt;"",I188&lt;&gt;설정!$B$21),"",IF(AND(N188&lt;&gt;"",N188&gt;N(L188),N188&lt;=설정!$B$24+7),100+7-(N188-설정!$B$24),IF(AND(D188&gt;0,OR(P188="안 가봄",RIGHT(P188,2)="지남")),D188*10+IF(L188="",30,MIN(M188,60)/2)+MIN(N(F188)/1000,20),"")))))</f>
        <v/>
      </c>
      <c r="R188">
        <f>IF(Q188="","",COUNTIF(Q$4:Q$303,"&gt;"&amp;Q188)+COUNTIF(Q$4:Q188,Q188))</f>
        <v/>
      </c>
    </row>
    <row r="189">
      <c r="A189">
        <f>IF(B189="","",186)</f>
        <v/>
      </c>
      <c r="B189">
        <f>IFERROR(INDEX('2.현장'!$V$2:$V$1001,MATCH(186,'2.현장'!$W$2:$W$1001,0)),"")</f>
        <v/>
      </c>
      <c r="C189">
        <f>IF(B189="","",COUNTIFS('2.현장'!$V$2:$V$1001,B189,'2.현장'!$T$2:$T$1001,TRUE))</f>
        <v/>
      </c>
      <c r="D189">
        <f>IF(B189="","",COUNTIFS('2.현장'!$V$2:$V$1001,B189,'2.현장'!$U$2:$U$1001,"설계사"))</f>
        <v/>
      </c>
      <c r="E189">
        <f>IF(B189="","",COUNTIFS('2.현장'!$V$2:$V$1001,B189,'2.현장'!$U$2:$U$1001,"시공사"))</f>
        <v/>
      </c>
      <c r="F189" s="5">
        <f>IF(B189="","",_xlfn.MAXIFS('2.현장'!$D$2:$D$1001,'2.현장'!$V$2:$V$1001,B189,'2.현장'!$T$2:$T$1001,TRUE))</f>
        <v/>
      </c>
      <c r="G189" s="6">
        <f>IF(B189="","",IF(_xlfn.MAXIFS('2.현장'!$L$2:$L$1001,'2.현장'!$V$2:$V$1001,B189,'2.현장'!$T$2:$T$1001,TRUE)=0,"",_xlfn.MAXIFS('2.현장'!$L$2:$L$1001,'2.현장'!$V$2:$V$1001,B189,'2.현장'!$T$2:$T$1001,TRUE)))</f>
        <v/>
      </c>
      <c r="H189">
        <f>IF(B189="","",IFERROR(INDEX('2.현장'!$C$2:$C$1001,IFERROR(MATCH(B189&amp;"|설계사",'2.현장'!$Z$2:$Z$1001,0),IFERROR(MATCH(B189&amp;"|시공사",'2.현장'!$Z$2:$Z$1001,0),MATCH(B189&amp;"|늦음",'2.현장'!$Z$2:$Z$1001,0)))),""))</f>
        <v/>
      </c>
      <c r="I189">
        <f>IF(B189="","",IFERROR(INDEX('2.현장'!$N$2:$N$1001,IFERROR(MATCH(B189&amp;"|설계사",'2.현장'!$Z$2:$Z$1001,0),IFERROR(MATCH(B189&amp;"|시공사",'2.현장'!$Z$2:$Z$1001,0),MATCH(B189&amp;"|늦음",'2.현장'!$Z$2:$Z$1001,0)))),""))</f>
        <v/>
      </c>
      <c r="J189">
        <f>IF(B189="","",IFERROR(VLOOKUP(B189,설계사_메모!$A$3:$G$302,2,FALSE)&amp;"",""))</f>
        <v/>
      </c>
      <c r="K189">
        <f>IF(B189="","",IFERROR(VLOOKUP(B189,설계사_메모!$A$3:$G$302,4,FALSE)&amp;"",""))</f>
        <v/>
      </c>
      <c r="L189" s="6">
        <f>IF(B189="","",IF(COUNTIF('4.방문기록'!$B$3:$B$502,B189)=0,"",_xlfn.MAXIFS('4.방문기록'!$A$3:$A$502,'4.방문기록'!$B$3:$B$502,B189)))</f>
        <v/>
      </c>
      <c r="M189">
        <f>IF(L189="","",설정!$B$24-L189)</f>
        <v/>
      </c>
      <c r="N189" s="6">
        <f>IF(B189="","",IF(_xlfn.MAXIFS('4.방문기록'!$F$3:$F$502,'4.방문기록'!$B$3:$B$502,B189)=0,"",_xlfn.MAXIFS('4.방문기록'!$F$3:$F$502,'4.방문기록'!$B$3:$B$502,B189)))</f>
        <v/>
      </c>
      <c r="O189">
        <f>IF(L189="","",IFERROR(INDEX('4.방문기록'!$H$3:$H$502,MATCH(B189&amp;"|"&amp;(L189*1),'4.방문기록'!$I$3:$I$502,0))&amp;"",""))</f>
        <v/>
      </c>
      <c r="P189">
        <f>IF(B189="","",IF(O189="관심 없음","제외",IF(L189="","안 가봄",IF(M189&gt;=설정!$B$20,M189&amp;"일 지남","최근 방문"))))</f>
        <v/>
      </c>
      <c r="Q189" s="7">
        <f>IF(B189="","",IF(P189="제외","",IF(AND(설정!$B$21&lt;&gt;"",I189&lt;&gt;설정!$B$21),"",IF(AND(N189&lt;&gt;"",N189&gt;N(L189),N189&lt;=설정!$B$24+7),100+7-(N189-설정!$B$24),IF(AND(D189&gt;0,OR(P189="안 가봄",RIGHT(P189,2)="지남")),D189*10+IF(L189="",30,MIN(M189,60)/2)+MIN(N(F189)/1000,20),"")))))</f>
        <v/>
      </c>
      <c r="R189">
        <f>IF(Q189="","",COUNTIF(Q$4:Q$303,"&gt;"&amp;Q189)+COUNTIF(Q$4:Q189,Q189))</f>
        <v/>
      </c>
    </row>
    <row r="190">
      <c r="A190">
        <f>IF(B190="","",187)</f>
        <v/>
      </c>
      <c r="B190">
        <f>IFERROR(INDEX('2.현장'!$V$2:$V$1001,MATCH(187,'2.현장'!$W$2:$W$1001,0)),"")</f>
        <v/>
      </c>
      <c r="C190">
        <f>IF(B190="","",COUNTIFS('2.현장'!$V$2:$V$1001,B190,'2.현장'!$T$2:$T$1001,TRUE))</f>
        <v/>
      </c>
      <c r="D190">
        <f>IF(B190="","",COUNTIFS('2.현장'!$V$2:$V$1001,B190,'2.현장'!$U$2:$U$1001,"설계사"))</f>
        <v/>
      </c>
      <c r="E190">
        <f>IF(B190="","",COUNTIFS('2.현장'!$V$2:$V$1001,B190,'2.현장'!$U$2:$U$1001,"시공사"))</f>
        <v/>
      </c>
      <c r="F190" s="5">
        <f>IF(B190="","",_xlfn.MAXIFS('2.현장'!$D$2:$D$1001,'2.현장'!$V$2:$V$1001,B190,'2.현장'!$T$2:$T$1001,TRUE))</f>
        <v/>
      </c>
      <c r="G190" s="6">
        <f>IF(B190="","",IF(_xlfn.MAXIFS('2.현장'!$L$2:$L$1001,'2.현장'!$V$2:$V$1001,B190,'2.현장'!$T$2:$T$1001,TRUE)=0,"",_xlfn.MAXIFS('2.현장'!$L$2:$L$1001,'2.현장'!$V$2:$V$1001,B190,'2.현장'!$T$2:$T$1001,TRUE)))</f>
        <v/>
      </c>
      <c r="H190">
        <f>IF(B190="","",IFERROR(INDEX('2.현장'!$C$2:$C$1001,IFERROR(MATCH(B190&amp;"|설계사",'2.현장'!$Z$2:$Z$1001,0),IFERROR(MATCH(B190&amp;"|시공사",'2.현장'!$Z$2:$Z$1001,0),MATCH(B190&amp;"|늦음",'2.현장'!$Z$2:$Z$1001,0)))),""))</f>
        <v/>
      </c>
      <c r="I190">
        <f>IF(B190="","",IFERROR(INDEX('2.현장'!$N$2:$N$1001,IFERROR(MATCH(B190&amp;"|설계사",'2.현장'!$Z$2:$Z$1001,0),IFERROR(MATCH(B190&amp;"|시공사",'2.현장'!$Z$2:$Z$1001,0),MATCH(B190&amp;"|늦음",'2.현장'!$Z$2:$Z$1001,0)))),""))</f>
        <v/>
      </c>
      <c r="J190">
        <f>IF(B190="","",IFERROR(VLOOKUP(B190,설계사_메모!$A$3:$G$302,2,FALSE)&amp;"",""))</f>
        <v/>
      </c>
      <c r="K190">
        <f>IF(B190="","",IFERROR(VLOOKUP(B190,설계사_메모!$A$3:$G$302,4,FALSE)&amp;"",""))</f>
        <v/>
      </c>
      <c r="L190" s="6">
        <f>IF(B190="","",IF(COUNTIF('4.방문기록'!$B$3:$B$502,B190)=0,"",_xlfn.MAXIFS('4.방문기록'!$A$3:$A$502,'4.방문기록'!$B$3:$B$502,B190)))</f>
        <v/>
      </c>
      <c r="M190">
        <f>IF(L190="","",설정!$B$24-L190)</f>
        <v/>
      </c>
      <c r="N190" s="6">
        <f>IF(B190="","",IF(_xlfn.MAXIFS('4.방문기록'!$F$3:$F$502,'4.방문기록'!$B$3:$B$502,B190)=0,"",_xlfn.MAXIFS('4.방문기록'!$F$3:$F$502,'4.방문기록'!$B$3:$B$502,B190)))</f>
        <v/>
      </c>
      <c r="O190">
        <f>IF(L190="","",IFERROR(INDEX('4.방문기록'!$H$3:$H$502,MATCH(B190&amp;"|"&amp;(L190*1),'4.방문기록'!$I$3:$I$502,0))&amp;"",""))</f>
        <v/>
      </c>
      <c r="P190">
        <f>IF(B190="","",IF(O190="관심 없음","제외",IF(L190="","안 가봄",IF(M190&gt;=설정!$B$20,M190&amp;"일 지남","최근 방문"))))</f>
        <v/>
      </c>
      <c r="Q190" s="7">
        <f>IF(B190="","",IF(P190="제외","",IF(AND(설정!$B$21&lt;&gt;"",I190&lt;&gt;설정!$B$21),"",IF(AND(N190&lt;&gt;"",N190&gt;N(L190),N190&lt;=설정!$B$24+7),100+7-(N190-설정!$B$24),IF(AND(D190&gt;0,OR(P190="안 가봄",RIGHT(P190,2)="지남")),D190*10+IF(L190="",30,MIN(M190,60)/2)+MIN(N(F190)/1000,20),"")))))</f>
        <v/>
      </c>
      <c r="R190">
        <f>IF(Q190="","",COUNTIF(Q$4:Q$303,"&gt;"&amp;Q190)+COUNTIF(Q$4:Q190,Q190))</f>
        <v/>
      </c>
    </row>
    <row r="191">
      <c r="A191">
        <f>IF(B191="","",188)</f>
        <v/>
      </c>
      <c r="B191">
        <f>IFERROR(INDEX('2.현장'!$V$2:$V$1001,MATCH(188,'2.현장'!$W$2:$W$1001,0)),"")</f>
        <v/>
      </c>
      <c r="C191">
        <f>IF(B191="","",COUNTIFS('2.현장'!$V$2:$V$1001,B191,'2.현장'!$T$2:$T$1001,TRUE))</f>
        <v/>
      </c>
      <c r="D191">
        <f>IF(B191="","",COUNTIFS('2.현장'!$V$2:$V$1001,B191,'2.현장'!$U$2:$U$1001,"설계사"))</f>
        <v/>
      </c>
      <c r="E191">
        <f>IF(B191="","",COUNTIFS('2.현장'!$V$2:$V$1001,B191,'2.현장'!$U$2:$U$1001,"시공사"))</f>
        <v/>
      </c>
      <c r="F191" s="5">
        <f>IF(B191="","",_xlfn.MAXIFS('2.현장'!$D$2:$D$1001,'2.현장'!$V$2:$V$1001,B191,'2.현장'!$T$2:$T$1001,TRUE))</f>
        <v/>
      </c>
      <c r="G191" s="6">
        <f>IF(B191="","",IF(_xlfn.MAXIFS('2.현장'!$L$2:$L$1001,'2.현장'!$V$2:$V$1001,B191,'2.현장'!$T$2:$T$1001,TRUE)=0,"",_xlfn.MAXIFS('2.현장'!$L$2:$L$1001,'2.현장'!$V$2:$V$1001,B191,'2.현장'!$T$2:$T$1001,TRUE)))</f>
        <v/>
      </c>
      <c r="H191">
        <f>IF(B191="","",IFERROR(INDEX('2.현장'!$C$2:$C$1001,IFERROR(MATCH(B191&amp;"|설계사",'2.현장'!$Z$2:$Z$1001,0),IFERROR(MATCH(B191&amp;"|시공사",'2.현장'!$Z$2:$Z$1001,0),MATCH(B191&amp;"|늦음",'2.현장'!$Z$2:$Z$1001,0)))),""))</f>
        <v/>
      </c>
      <c r="I191">
        <f>IF(B191="","",IFERROR(INDEX('2.현장'!$N$2:$N$1001,IFERROR(MATCH(B191&amp;"|설계사",'2.현장'!$Z$2:$Z$1001,0),IFERROR(MATCH(B191&amp;"|시공사",'2.현장'!$Z$2:$Z$1001,0),MATCH(B191&amp;"|늦음",'2.현장'!$Z$2:$Z$1001,0)))),""))</f>
        <v/>
      </c>
      <c r="J191">
        <f>IF(B191="","",IFERROR(VLOOKUP(B191,설계사_메모!$A$3:$G$302,2,FALSE)&amp;"",""))</f>
        <v/>
      </c>
      <c r="K191">
        <f>IF(B191="","",IFERROR(VLOOKUP(B191,설계사_메모!$A$3:$G$302,4,FALSE)&amp;"",""))</f>
        <v/>
      </c>
      <c r="L191" s="6">
        <f>IF(B191="","",IF(COUNTIF('4.방문기록'!$B$3:$B$502,B191)=0,"",_xlfn.MAXIFS('4.방문기록'!$A$3:$A$502,'4.방문기록'!$B$3:$B$502,B191)))</f>
        <v/>
      </c>
      <c r="M191">
        <f>IF(L191="","",설정!$B$24-L191)</f>
        <v/>
      </c>
      <c r="N191" s="6">
        <f>IF(B191="","",IF(_xlfn.MAXIFS('4.방문기록'!$F$3:$F$502,'4.방문기록'!$B$3:$B$502,B191)=0,"",_xlfn.MAXIFS('4.방문기록'!$F$3:$F$502,'4.방문기록'!$B$3:$B$502,B191)))</f>
        <v/>
      </c>
      <c r="O191">
        <f>IF(L191="","",IFERROR(INDEX('4.방문기록'!$H$3:$H$502,MATCH(B191&amp;"|"&amp;(L191*1),'4.방문기록'!$I$3:$I$502,0))&amp;"",""))</f>
        <v/>
      </c>
      <c r="P191">
        <f>IF(B191="","",IF(O191="관심 없음","제외",IF(L191="","안 가봄",IF(M191&gt;=설정!$B$20,M191&amp;"일 지남","최근 방문"))))</f>
        <v/>
      </c>
      <c r="Q191" s="7">
        <f>IF(B191="","",IF(P191="제외","",IF(AND(설정!$B$21&lt;&gt;"",I191&lt;&gt;설정!$B$21),"",IF(AND(N191&lt;&gt;"",N191&gt;N(L191),N191&lt;=설정!$B$24+7),100+7-(N191-설정!$B$24),IF(AND(D191&gt;0,OR(P191="안 가봄",RIGHT(P191,2)="지남")),D191*10+IF(L191="",30,MIN(M191,60)/2)+MIN(N(F191)/1000,20),"")))))</f>
        <v/>
      </c>
      <c r="R191">
        <f>IF(Q191="","",COUNTIF(Q$4:Q$303,"&gt;"&amp;Q191)+COUNTIF(Q$4:Q191,Q191))</f>
        <v/>
      </c>
    </row>
    <row r="192">
      <c r="A192">
        <f>IF(B192="","",189)</f>
        <v/>
      </c>
      <c r="B192">
        <f>IFERROR(INDEX('2.현장'!$V$2:$V$1001,MATCH(189,'2.현장'!$W$2:$W$1001,0)),"")</f>
        <v/>
      </c>
      <c r="C192">
        <f>IF(B192="","",COUNTIFS('2.현장'!$V$2:$V$1001,B192,'2.현장'!$T$2:$T$1001,TRUE))</f>
        <v/>
      </c>
      <c r="D192">
        <f>IF(B192="","",COUNTIFS('2.현장'!$V$2:$V$1001,B192,'2.현장'!$U$2:$U$1001,"설계사"))</f>
        <v/>
      </c>
      <c r="E192">
        <f>IF(B192="","",COUNTIFS('2.현장'!$V$2:$V$1001,B192,'2.현장'!$U$2:$U$1001,"시공사"))</f>
        <v/>
      </c>
      <c r="F192" s="5">
        <f>IF(B192="","",_xlfn.MAXIFS('2.현장'!$D$2:$D$1001,'2.현장'!$V$2:$V$1001,B192,'2.현장'!$T$2:$T$1001,TRUE))</f>
        <v/>
      </c>
      <c r="G192" s="6">
        <f>IF(B192="","",IF(_xlfn.MAXIFS('2.현장'!$L$2:$L$1001,'2.현장'!$V$2:$V$1001,B192,'2.현장'!$T$2:$T$1001,TRUE)=0,"",_xlfn.MAXIFS('2.현장'!$L$2:$L$1001,'2.현장'!$V$2:$V$1001,B192,'2.현장'!$T$2:$T$1001,TRUE)))</f>
        <v/>
      </c>
      <c r="H192">
        <f>IF(B192="","",IFERROR(INDEX('2.현장'!$C$2:$C$1001,IFERROR(MATCH(B192&amp;"|설계사",'2.현장'!$Z$2:$Z$1001,0),IFERROR(MATCH(B192&amp;"|시공사",'2.현장'!$Z$2:$Z$1001,0),MATCH(B192&amp;"|늦음",'2.현장'!$Z$2:$Z$1001,0)))),""))</f>
        <v/>
      </c>
      <c r="I192">
        <f>IF(B192="","",IFERROR(INDEX('2.현장'!$N$2:$N$1001,IFERROR(MATCH(B192&amp;"|설계사",'2.현장'!$Z$2:$Z$1001,0),IFERROR(MATCH(B192&amp;"|시공사",'2.현장'!$Z$2:$Z$1001,0),MATCH(B192&amp;"|늦음",'2.현장'!$Z$2:$Z$1001,0)))),""))</f>
        <v/>
      </c>
      <c r="J192">
        <f>IF(B192="","",IFERROR(VLOOKUP(B192,설계사_메모!$A$3:$G$302,2,FALSE)&amp;"",""))</f>
        <v/>
      </c>
      <c r="K192">
        <f>IF(B192="","",IFERROR(VLOOKUP(B192,설계사_메모!$A$3:$G$302,4,FALSE)&amp;"",""))</f>
        <v/>
      </c>
      <c r="L192" s="6">
        <f>IF(B192="","",IF(COUNTIF('4.방문기록'!$B$3:$B$502,B192)=0,"",_xlfn.MAXIFS('4.방문기록'!$A$3:$A$502,'4.방문기록'!$B$3:$B$502,B192)))</f>
        <v/>
      </c>
      <c r="M192">
        <f>IF(L192="","",설정!$B$24-L192)</f>
        <v/>
      </c>
      <c r="N192" s="6">
        <f>IF(B192="","",IF(_xlfn.MAXIFS('4.방문기록'!$F$3:$F$502,'4.방문기록'!$B$3:$B$502,B192)=0,"",_xlfn.MAXIFS('4.방문기록'!$F$3:$F$502,'4.방문기록'!$B$3:$B$502,B192)))</f>
        <v/>
      </c>
      <c r="O192">
        <f>IF(L192="","",IFERROR(INDEX('4.방문기록'!$H$3:$H$502,MATCH(B192&amp;"|"&amp;(L192*1),'4.방문기록'!$I$3:$I$502,0))&amp;"",""))</f>
        <v/>
      </c>
      <c r="P192">
        <f>IF(B192="","",IF(O192="관심 없음","제외",IF(L192="","안 가봄",IF(M192&gt;=설정!$B$20,M192&amp;"일 지남","최근 방문"))))</f>
        <v/>
      </c>
      <c r="Q192" s="7">
        <f>IF(B192="","",IF(P192="제외","",IF(AND(설정!$B$21&lt;&gt;"",I192&lt;&gt;설정!$B$21),"",IF(AND(N192&lt;&gt;"",N192&gt;N(L192),N192&lt;=설정!$B$24+7),100+7-(N192-설정!$B$24),IF(AND(D192&gt;0,OR(P192="안 가봄",RIGHT(P192,2)="지남")),D192*10+IF(L192="",30,MIN(M192,60)/2)+MIN(N(F192)/1000,20),"")))))</f>
        <v/>
      </c>
      <c r="R192">
        <f>IF(Q192="","",COUNTIF(Q$4:Q$303,"&gt;"&amp;Q192)+COUNTIF(Q$4:Q192,Q192))</f>
        <v/>
      </c>
    </row>
    <row r="193">
      <c r="A193">
        <f>IF(B193="","",190)</f>
        <v/>
      </c>
      <c r="B193">
        <f>IFERROR(INDEX('2.현장'!$V$2:$V$1001,MATCH(190,'2.현장'!$W$2:$W$1001,0)),"")</f>
        <v/>
      </c>
      <c r="C193">
        <f>IF(B193="","",COUNTIFS('2.현장'!$V$2:$V$1001,B193,'2.현장'!$T$2:$T$1001,TRUE))</f>
        <v/>
      </c>
      <c r="D193">
        <f>IF(B193="","",COUNTIFS('2.현장'!$V$2:$V$1001,B193,'2.현장'!$U$2:$U$1001,"설계사"))</f>
        <v/>
      </c>
      <c r="E193">
        <f>IF(B193="","",COUNTIFS('2.현장'!$V$2:$V$1001,B193,'2.현장'!$U$2:$U$1001,"시공사"))</f>
        <v/>
      </c>
      <c r="F193" s="5">
        <f>IF(B193="","",_xlfn.MAXIFS('2.현장'!$D$2:$D$1001,'2.현장'!$V$2:$V$1001,B193,'2.현장'!$T$2:$T$1001,TRUE))</f>
        <v/>
      </c>
      <c r="G193" s="6">
        <f>IF(B193="","",IF(_xlfn.MAXIFS('2.현장'!$L$2:$L$1001,'2.현장'!$V$2:$V$1001,B193,'2.현장'!$T$2:$T$1001,TRUE)=0,"",_xlfn.MAXIFS('2.현장'!$L$2:$L$1001,'2.현장'!$V$2:$V$1001,B193,'2.현장'!$T$2:$T$1001,TRUE)))</f>
        <v/>
      </c>
      <c r="H193">
        <f>IF(B193="","",IFERROR(INDEX('2.현장'!$C$2:$C$1001,IFERROR(MATCH(B193&amp;"|설계사",'2.현장'!$Z$2:$Z$1001,0),IFERROR(MATCH(B193&amp;"|시공사",'2.현장'!$Z$2:$Z$1001,0),MATCH(B193&amp;"|늦음",'2.현장'!$Z$2:$Z$1001,0)))),""))</f>
        <v/>
      </c>
      <c r="I193">
        <f>IF(B193="","",IFERROR(INDEX('2.현장'!$N$2:$N$1001,IFERROR(MATCH(B193&amp;"|설계사",'2.현장'!$Z$2:$Z$1001,0),IFERROR(MATCH(B193&amp;"|시공사",'2.현장'!$Z$2:$Z$1001,0),MATCH(B193&amp;"|늦음",'2.현장'!$Z$2:$Z$1001,0)))),""))</f>
        <v/>
      </c>
      <c r="J193">
        <f>IF(B193="","",IFERROR(VLOOKUP(B193,설계사_메모!$A$3:$G$302,2,FALSE)&amp;"",""))</f>
        <v/>
      </c>
      <c r="K193">
        <f>IF(B193="","",IFERROR(VLOOKUP(B193,설계사_메모!$A$3:$G$302,4,FALSE)&amp;"",""))</f>
        <v/>
      </c>
      <c r="L193" s="6">
        <f>IF(B193="","",IF(COUNTIF('4.방문기록'!$B$3:$B$502,B193)=0,"",_xlfn.MAXIFS('4.방문기록'!$A$3:$A$502,'4.방문기록'!$B$3:$B$502,B193)))</f>
        <v/>
      </c>
      <c r="M193">
        <f>IF(L193="","",설정!$B$24-L193)</f>
        <v/>
      </c>
      <c r="N193" s="6">
        <f>IF(B193="","",IF(_xlfn.MAXIFS('4.방문기록'!$F$3:$F$502,'4.방문기록'!$B$3:$B$502,B193)=0,"",_xlfn.MAXIFS('4.방문기록'!$F$3:$F$502,'4.방문기록'!$B$3:$B$502,B193)))</f>
        <v/>
      </c>
      <c r="O193">
        <f>IF(L193="","",IFERROR(INDEX('4.방문기록'!$H$3:$H$502,MATCH(B193&amp;"|"&amp;(L193*1),'4.방문기록'!$I$3:$I$502,0))&amp;"",""))</f>
        <v/>
      </c>
      <c r="P193">
        <f>IF(B193="","",IF(O193="관심 없음","제외",IF(L193="","안 가봄",IF(M193&gt;=설정!$B$20,M193&amp;"일 지남","최근 방문"))))</f>
        <v/>
      </c>
      <c r="Q193" s="7">
        <f>IF(B193="","",IF(P193="제외","",IF(AND(설정!$B$21&lt;&gt;"",I193&lt;&gt;설정!$B$21),"",IF(AND(N193&lt;&gt;"",N193&gt;N(L193),N193&lt;=설정!$B$24+7),100+7-(N193-설정!$B$24),IF(AND(D193&gt;0,OR(P193="안 가봄",RIGHT(P193,2)="지남")),D193*10+IF(L193="",30,MIN(M193,60)/2)+MIN(N(F193)/1000,20),"")))))</f>
        <v/>
      </c>
      <c r="R193">
        <f>IF(Q193="","",COUNTIF(Q$4:Q$303,"&gt;"&amp;Q193)+COUNTIF(Q$4:Q193,Q193))</f>
        <v/>
      </c>
    </row>
    <row r="194">
      <c r="A194">
        <f>IF(B194="","",191)</f>
        <v/>
      </c>
      <c r="B194">
        <f>IFERROR(INDEX('2.현장'!$V$2:$V$1001,MATCH(191,'2.현장'!$W$2:$W$1001,0)),"")</f>
        <v/>
      </c>
      <c r="C194">
        <f>IF(B194="","",COUNTIFS('2.현장'!$V$2:$V$1001,B194,'2.현장'!$T$2:$T$1001,TRUE))</f>
        <v/>
      </c>
      <c r="D194">
        <f>IF(B194="","",COUNTIFS('2.현장'!$V$2:$V$1001,B194,'2.현장'!$U$2:$U$1001,"설계사"))</f>
        <v/>
      </c>
      <c r="E194">
        <f>IF(B194="","",COUNTIFS('2.현장'!$V$2:$V$1001,B194,'2.현장'!$U$2:$U$1001,"시공사"))</f>
        <v/>
      </c>
      <c r="F194" s="5">
        <f>IF(B194="","",_xlfn.MAXIFS('2.현장'!$D$2:$D$1001,'2.현장'!$V$2:$V$1001,B194,'2.현장'!$T$2:$T$1001,TRUE))</f>
        <v/>
      </c>
      <c r="G194" s="6">
        <f>IF(B194="","",IF(_xlfn.MAXIFS('2.현장'!$L$2:$L$1001,'2.현장'!$V$2:$V$1001,B194,'2.현장'!$T$2:$T$1001,TRUE)=0,"",_xlfn.MAXIFS('2.현장'!$L$2:$L$1001,'2.현장'!$V$2:$V$1001,B194,'2.현장'!$T$2:$T$1001,TRUE)))</f>
        <v/>
      </c>
      <c r="H194">
        <f>IF(B194="","",IFERROR(INDEX('2.현장'!$C$2:$C$1001,IFERROR(MATCH(B194&amp;"|설계사",'2.현장'!$Z$2:$Z$1001,0),IFERROR(MATCH(B194&amp;"|시공사",'2.현장'!$Z$2:$Z$1001,0),MATCH(B194&amp;"|늦음",'2.현장'!$Z$2:$Z$1001,0)))),""))</f>
        <v/>
      </c>
      <c r="I194">
        <f>IF(B194="","",IFERROR(INDEX('2.현장'!$N$2:$N$1001,IFERROR(MATCH(B194&amp;"|설계사",'2.현장'!$Z$2:$Z$1001,0),IFERROR(MATCH(B194&amp;"|시공사",'2.현장'!$Z$2:$Z$1001,0),MATCH(B194&amp;"|늦음",'2.현장'!$Z$2:$Z$1001,0)))),""))</f>
        <v/>
      </c>
      <c r="J194">
        <f>IF(B194="","",IFERROR(VLOOKUP(B194,설계사_메모!$A$3:$G$302,2,FALSE)&amp;"",""))</f>
        <v/>
      </c>
      <c r="K194">
        <f>IF(B194="","",IFERROR(VLOOKUP(B194,설계사_메모!$A$3:$G$302,4,FALSE)&amp;"",""))</f>
        <v/>
      </c>
      <c r="L194" s="6">
        <f>IF(B194="","",IF(COUNTIF('4.방문기록'!$B$3:$B$502,B194)=0,"",_xlfn.MAXIFS('4.방문기록'!$A$3:$A$502,'4.방문기록'!$B$3:$B$502,B194)))</f>
        <v/>
      </c>
      <c r="M194">
        <f>IF(L194="","",설정!$B$24-L194)</f>
        <v/>
      </c>
      <c r="N194" s="6">
        <f>IF(B194="","",IF(_xlfn.MAXIFS('4.방문기록'!$F$3:$F$502,'4.방문기록'!$B$3:$B$502,B194)=0,"",_xlfn.MAXIFS('4.방문기록'!$F$3:$F$502,'4.방문기록'!$B$3:$B$502,B194)))</f>
        <v/>
      </c>
      <c r="O194">
        <f>IF(L194="","",IFERROR(INDEX('4.방문기록'!$H$3:$H$502,MATCH(B194&amp;"|"&amp;(L194*1),'4.방문기록'!$I$3:$I$502,0))&amp;"",""))</f>
        <v/>
      </c>
      <c r="P194">
        <f>IF(B194="","",IF(O194="관심 없음","제외",IF(L194="","안 가봄",IF(M194&gt;=설정!$B$20,M194&amp;"일 지남","최근 방문"))))</f>
        <v/>
      </c>
      <c r="Q194" s="7">
        <f>IF(B194="","",IF(P194="제외","",IF(AND(설정!$B$21&lt;&gt;"",I194&lt;&gt;설정!$B$21),"",IF(AND(N194&lt;&gt;"",N194&gt;N(L194),N194&lt;=설정!$B$24+7),100+7-(N194-설정!$B$24),IF(AND(D194&gt;0,OR(P194="안 가봄",RIGHT(P194,2)="지남")),D194*10+IF(L194="",30,MIN(M194,60)/2)+MIN(N(F194)/1000,20),"")))))</f>
        <v/>
      </c>
      <c r="R194">
        <f>IF(Q194="","",COUNTIF(Q$4:Q$303,"&gt;"&amp;Q194)+COUNTIF(Q$4:Q194,Q194))</f>
        <v/>
      </c>
    </row>
    <row r="195">
      <c r="A195">
        <f>IF(B195="","",192)</f>
        <v/>
      </c>
      <c r="B195">
        <f>IFERROR(INDEX('2.현장'!$V$2:$V$1001,MATCH(192,'2.현장'!$W$2:$W$1001,0)),"")</f>
        <v/>
      </c>
      <c r="C195">
        <f>IF(B195="","",COUNTIFS('2.현장'!$V$2:$V$1001,B195,'2.현장'!$T$2:$T$1001,TRUE))</f>
        <v/>
      </c>
      <c r="D195">
        <f>IF(B195="","",COUNTIFS('2.현장'!$V$2:$V$1001,B195,'2.현장'!$U$2:$U$1001,"설계사"))</f>
        <v/>
      </c>
      <c r="E195">
        <f>IF(B195="","",COUNTIFS('2.현장'!$V$2:$V$1001,B195,'2.현장'!$U$2:$U$1001,"시공사"))</f>
        <v/>
      </c>
      <c r="F195" s="5">
        <f>IF(B195="","",_xlfn.MAXIFS('2.현장'!$D$2:$D$1001,'2.현장'!$V$2:$V$1001,B195,'2.현장'!$T$2:$T$1001,TRUE))</f>
        <v/>
      </c>
      <c r="G195" s="6">
        <f>IF(B195="","",IF(_xlfn.MAXIFS('2.현장'!$L$2:$L$1001,'2.현장'!$V$2:$V$1001,B195,'2.현장'!$T$2:$T$1001,TRUE)=0,"",_xlfn.MAXIFS('2.현장'!$L$2:$L$1001,'2.현장'!$V$2:$V$1001,B195,'2.현장'!$T$2:$T$1001,TRUE)))</f>
        <v/>
      </c>
      <c r="H195">
        <f>IF(B195="","",IFERROR(INDEX('2.현장'!$C$2:$C$1001,IFERROR(MATCH(B195&amp;"|설계사",'2.현장'!$Z$2:$Z$1001,0),IFERROR(MATCH(B195&amp;"|시공사",'2.현장'!$Z$2:$Z$1001,0),MATCH(B195&amp;"|늦음",'2.현장'!$Z$2:$Z$1001,0)))),""))</f>
        <v/>
      </c>
      <c r="I195">
        <f>IF(B195="","",IFERROR(INDEX('2.현장'!$N$2:$N$1001,IFERROR(MATCH(B195&amp;"|설계사",'2.현장'!$Z$2:$Z$1001,0),IFERROR(MATCH(B195&amp;"|시공사",'2.현장'!$Z$2:$Z$1001,0),MATCH(B195&amp;"|늦음",'2.현장'!$Z$2:$Z$1001,0)))),""))</f>
        <v/>
      </c>
      <c r="J195">
        <f>IF(B195="","",IFERROR(VLOOKUP(B195,설계사_메모!$A$3:$G$302,2,FALSE)&amp;"",""))</f>
        <v/>
      </c>
      <c r="K195">
        <f>IF(B195="","",IFERROR(VLOOKUP(B195,설계사_메모!$A$3:$G$302,4,FALSE)&amp;"",""))</f>
        <v/>
      </c>
      <c r="L195" s="6">
        <f>IF(B195="","",IF(COUNTIF('4.방문기록'!$B$3:$B$502,B195)=0,"",_xlfn.MAXIFS('4.방문기록'!$A$3:$A$502,'4.방문기록'!$B$3:$B$502,B195)))</f>
        <v/>
      </c>
      <c r="M195">
        <f>IF(L195="","",설정!$B$24-L195)</f>
        <v/>
      </c>
      <c r="N195" s="6">
        <f>IF(B195="","",IF(_xlfn.MAXIFS('4.방문기록'!$F$3:$F$502,'4.방문기록'!$B$3:$B$502,B195)=0,"",_xlfn.MAXIFS('4.방문기록'!$F$3:$F$502,'4.방문기록'!$B$3:$B$502,B195)))</f>
        <v/>
      </c>
      <c r="O195">
        <f>IF(L195="","",IFERROR(INDEX('4.방문기록'!$H$3:$H$502,MATCH(B195&amp;"|"&amp;(L195*1),'4.방문기록'!$I$3:$I$502,0))&amp;"",""))</f>
        <v/>
      </c>
      <c r="P195">
        <f>IF(B195="","",IF(O195="관심 없음","제외",IF(L195="","안 가봄",IF(M195&gt;=설정!$B$20,M195&amp;"일 지남","최근 방문"))))</f>
        <v/>
      </c>
      <c r="Q195" s="7">
        <f>IF(B195="","",IF(P195="제외","",IF(AND(설정!$B$21&lt;&gt;"",I195&lt;&gt;설정!$B$21),"",IF(AND(N195&lt;&gt;"",N195&gt;N(L195),N195&lt;=설정!$B$24+7),100+7-(N195-설정!$B$24),IF(AND(D195&gt;0,OR(P195="안 가봄",RIGHT(P195,2)="지남")),D195*10+IF(L195="",30,MIN(M195,60)/2)+MIN(N(F195)/1000,20),"")))))</f>
        <v/>
      </c>
      <c r="R195">
        <f>IF(Q195="","",COUNTIF(Q$4:Q$303,"&gt;"&amp;Q195)+COUNTIF(Q$4:Q195,Q195))</f>
        <v/>
      </c>
    </row>
    <row r="196">
      <c r="A196">
        <f>IF(B196="","",193)</f>
        <v/>
      </c>
      <c r="B196">
        <f>IFERROR(INDEX('2.현장'!$V$2:$V$1001,MATCH(193,'2.현장'!$W$2:$W$1001,0)),"")</f>
        <v/>
      </c>
      <c r="C196">
        <f>IF(B196="","",COUNTIFS('2.현장'!$V$2:$V$1001,B196,'2.현장'!$T$2:$T$1001,TRUE))</f>
        <v/>
      </c>
      <c r="D196">
        <f>IF(B196="","",COUNTIFS('2.현장'!$V$2:$V$1001,B196,'2.현장'!$U$2:$U$1001,"설계사"))</f>
        <v/>
      </c>
      <c r="E196">
        <f>IF(B196="","",COUNTIFS('2.현장'!$V$2:$V$1001,B196,'2.현장'!$U$2:$U$1001,"시공사"))</f>
        <v/>
      </c>
      <c r="F196" s="5">
        <f>IF(B196="","",_xlfn.MAXIFS('2.현장'!$D$2:$D$1001,'2.현장'!$V$2:$V$1001,B196,'2.현장'!$T$2:$T$1001,TRUE))</f>
        <v/>
      </c>
      <c r="G196" s="6">
        <f>IF(B196="","",IF(_xlfn.MAXIFS('2.현장'!$L$2:$L$1001,'2.현장'!$V$2:$V$1001,B196,'2.현장'!$T$2:$T$1001,TRUE)=0,"",_xlfn.MAXIFS('2.현장'!$L$2:$L$1001,'2.현장'!$V$2:$V$1001,B196,'2.현장'!$T$2:$T$1001,TRUE)))</f>
        <v/>
      </c>
      <c r="H196">
        <f>IF(B196="","",IFERROR(INDEX('2.현장'!$C$2:$C$1001,IFERROR(MATCH(B196&amp;"|설계사",'2.현장'!$Z$2:$Z$1001,0),IFERROR(MATCH(B196&amp;"|시공사",'2.현장'!$Z$2:$Z$1001,0),MATCH(B196&amp;"|늦음",'2.현장'!$Z$2:$Z$1001,0)))),""))</f>
        <v/>
      </c>
      <c r="I196">
        <f>IF(B196="","",IFERROR(INDEX('2.현장'!$N$2:$N$1001,IFERROR(MATCH(B196&amp;"|설계사",'2.현장'!$Z$2:$Z$1001,0),IFERROR(MATCH(B196&amp;"|시공사",'2.현장'!$Z$2:$Z$1001,0),MATCH(B196&amp;"|늦음",'2.현장'!$Z$2:$Z$1001,0)))),""))</f>
        <v/>
      </c>
      <c r="J196">
        <f>IF(B196="","",IFERROR(VLOOKUP(B196,설계사_메모!$A$3:$G$302,2,FALSE)&amp;"",""))</f>
        <v/>
      </c>
      <c r="K196">
        <f>IF(B196="","",IFERROR(VLOOKUP(B196,설계사_메모!$A$3:$G$302,4,FALSE)&amp;"",""))</f>
        <v/>
      </c>
      <c r="L196" s="6">
        <f>IF(B196="","",IF(COUNTIF('4.방문기록'!$B$3:$B$502,B196)=0,"",_xlfn.MAXIFS('4.방문기록'!$A$3:$A$502,'4.방문기록'!$B$3:$B$502,B196)))</f>
        <v/>
      </c>
      <c r="M196">
        <f>IF(L196="","",설정!$B$24-L196)</f>
        <v/>
      </c>
      <c r="N196" s="6">
        <f>IF(B196="","",IF(_xlfn.MAXIFS('4.방문기록'!$F$3:$F$502,'4.방문기록'!$B$3:$B$502,B196)=0,"",_xlfn.MAXIFS('4.방문기록'!$F$3:$F$502,'4.방문기록'!$B$3:$B$502,B196)))</f>
        <v/>
      </c>
      <c r="O196">
        <f>IF(L196="","",IFERROR(INDEX('4.방문기록'!$H$3:$H$502,MATCH(B196&amp;"|"&amp;(L196*1),'4.방문기록'!$I$3:$I$502,0))&amp;"",""))</f>
        <v/>
      </c>
      <c r="P196">
        <f>IF(B196="","",IF(O196="관심 없음","제외",IF(L196="","안 가봄",IF(M196&gt;=설정!$B$20,M196&amp;"일 지남","최근 방문"))))</f>
        <v/>
      </c>
      <c r="Q196" s="7">
        <f>IF(B196="","",IF(P196="제외","",IF(AND(설정!$B$21&lt;&gt;"",I196&lt;&gt;설정!$B$21),"",IF(AND(N196&lt;&gt;"",N196&gt;N(L196),N196&lt;=설정!$B$24+7),100+7-(N196-설정!$B$24),IF(AND(D196&gt;0,OR(P196="안 가봄",RIGHT(P196,2)="지남")),D196*10+IF(L196="",30,MIN(M196,60)/2)+MIN(N(F196)/1000,20),"")))))</f>
        <v/>
      </c>
      <c r="R196">
        <f>IF(Q196="","",COUNTIF(Q$4:Q$303,"&gt;"&amp;Q196)+COUNTIF(Q$4:Q196,Q196))</f>
        <v/>
      </c>
    </row>
    <row r="197">
      <c r="A197">
        <f>IF(B197="","",194)</f>
        <v/>
      </c>
      <c r="B197">
        <f>IFERROR(INDEX('2.현장'!$V$2:$V$1001,MATCH(194,'2.현장'!$W$2:$W$1001,0)),"")</f>
        <v/>
      </c>
      <c r="C197">
        <f>IF(B197="","",COUNTIFS('2.현장'!$V$2:$V$1001,B197,'2.현장'!$T$2:$T$1001,TRUE))</f>
        <v/>
      </c>
      <c r="D197">
        <f>IF(B197="","",COUNTIFS('2.현장'!$V$2:$V$1001,B197,'2.현장'!$U$2:$U$1001,"설계사"))</f>
        <v/>
      </c>
      <c r="E197">
        <f>IF(B197="","",COUNTIFS('2.현장'!$V$2:$V$1001,B197,'2.현장'!$U$2:$U$1001,"시공사"))</f>
        <v/>
      </c>
      <c r="F197" s="5">
        <f>IF(B197="","",_xlfn.MAXIFS('2.현장'!$D$2:$D$1001,'2.현장'!$V$2:$V$1001,B197,'2.현장'!$T$2:$T$1001,TRUE))</f>
        <v/>
      </c>
      <c r="G197" s="6">
        <f>IF(B197="","",IF(_xlfn.MAXIFS('2.현장'!$L$2:$L$1001,'2.현장'!$V$2:$V$1001,B197,'2.현장'!$T$2:$T$1001,TRUE)=0,"",_xlfn.MAXIFS('2.현장'!$L$2:$L$1001,'2.현장'!$V$2:$V$1001,B197,'2.현장'!$T$2:$T$1001,TRUE)))</f>
        <v/>
      </c>
      <c r="H197">
        <f>IF(B197="","",IFERROR(INDEX('2.현장'!$C$2:$C$1001,IFERROR(MATCH(B197&amp;"|설계사",'2.현장'!$Z$2:$Z$1001,0),IFERROR(MATCH(B197&amp;"|시공사",'2.현장'!$Z$2:$Z$1001,0),MATCH(B197&amp;"|늦음",'2.현장'!$Z$2:$Z$1001,0)))),""))</f>
        <v/>
      </c>
      <c r="I197">
        <f>IF(B197="","",IFERROR(INDEX('2.현장'!$N$2:$N$1001,IFERROR(MATCH(B197&amp;"|설계사",'2.현장'!$Z$2:$Z$1001,0),IFERROR(MATCH(B197&amp;"|시공사",'2.현장'!$Z$2:$Z$1001,0),MATCH(B197&amp;"|늦음",'2.현장'!$Z$2:$Z$1001,0)))),""))</f>
        <v/>
      </c>
      <c r="J197">
        <f>IF(B197="","",IFERROR(VLOOKUP(B197,설계사_메모!$A$3:$G$302,2,FALSE)&amp;"",""))</f>
        <v/>
      </c>
      <c r="K197">
        <f>IF(B197="","",IFERROR(VLOOKUP(B197,설계사_메모!$A$3:$G$302,4,FALSE)&amp;"",""))</f>
        <v/>
      </c>
      <c r="L197" s="6">
        <f>IF(B197="","",IF(COUNTIF('4.방문기록'!$B$3:$B$502,B197)=0,"",_xlfn.MAXIFS('4.방문기록'!$A$3:$A$502,'4.방문기록'!$B$3:$B$502,B197)))</f>
        <v/>
      </c>
      <c r="M197">
        <f>IF(L197="","",설정!$B$24-L197)</f>
        <v/>
      </c>
      <c r="N197" s="6">
        <f>IF(B197="","",IF(_xlfn.MAXIFS('4.방문기록'!$F$3:$F$502,'4.방문기록'!$B$3:$B$502,B197)=0,"",_xlfn.MAXIFS('4.방문기록'!$F$3:$F$502,'4.방문기록'!$B$3:$B$502,B197)))</f>
        <v/>
      </c>
      <c r="O197">
        <f>IF(L197="","",IFERROR(INDEX('4.방문기록'!$H$3:$H$502,MATCH(B197&amp;"|"&amp;(L197*1),'4.방문기록'!$I$3:$I$502,0))&amp;"",""))</f>
        <v/>
      </c>
      <c r="P197">
        <f>IF(B197="","",IF(O197="관심 없음","제외",IF(L197="","안 가봄",IF(M197&gt;=설정!$B$20,M197&amp;"일 지남","최근 방문"))))</f>
        <v/>
      </c>
      <c r="Q197" s="7">
        <f>IF(B197="","",IF(P197="제외","",IF(AND(설정!$B$21&lt;&gt;"",I197&lt;&gt;설정!$B$21),"",IF(AND(N197&lt;&gt;"",N197&gt;N(L197),N197&lt;=설정!$B$24+7),100+7-(N197-설정!$B$24),IF(AND(D197&gt;0,OR(P197="안 가봄",RIGHT(P197,2)="지남")),D197*10+IF(L197="",30,MIN(M197,60)/2)+MIN(N(F197)/1000,20),"")))))</f>
        <v/>
      </c>
      <c r="R197">
        <f>IF(Q197="","",COUNTIF(Q$4:Q$303,"&gt;"&amp;Q197)+COUNTIF(Q$4:Q197,Q197))</f>
        <v/>
      </c>
    </row>
    <row r="198">
      <c r="A198">
        <f>IF(B198="","",195)</f>
        <v/>
      </c>
      <c r="B198">
        <f>IFERROR(INDEX('2.현장'!$V$2:$V$1001,MATCH(195,'2.현장'!$W$2:$W$1001,0)),"")</f>
        <v/>
      </c>
      <c r="C198">
        <f>IF(B198="","",COUNTIFS('2.현장'!$V$2:$V$1001,B198,'2.현장'!$T$2:$T$1001,TRUE))</f>
        <v/>
      </c>
      <c r="D198">
        <f>IF(B198="","",COUNTIFS('2.현장'!$V$2:$V$1001,B198,'2.현장'!$U$2:$U$1001,"설계사"))</f>
        <v/>
      </c>
      <c r="E198">
        <f>IF(B198="","",COUNTIFS('2.현장'!$V$2:$V$1001,B198,'2.현장'!$U$2:$U$1001,"시공사"))</f>
        <v/>
      </c>
      <c r="F198" s="5">
        <f>IF(B198="","",_xlfn.MAXIFS('2.현장'!$D$2:$D$1001,'2.현장'!$V$2:$V$1001,B198,'2.현장'!$T$2:$T$1001,TRUE))</f>
        <v/>
      </c>
      <c r="G198" s="6">
        <f>IF(B198="","",IF(_xlfn.MAXIFS('2.현장'!$L$2:$L$1001,'2.현장'!$V$2:$V$1001,B198,'2.현장'!$T$2:$T$1001,TRUE)=0,"",_xlfn.MAXIFS('2.현장'!$L$2:$L$1001,'2.현장'!$V$2:$V$1001,B198,'2.현장'!$T$2:$T$1001,TRUE)))</f>
        <v/>
      </c>
      <c r="H198">
        <f>IF(B198="","",IFERROR(INDEX('2.현장'!$C$2:$C$1001,IFERROR(MATCH(B198&amp;"|설계사",'2.현장'!$Z$2:$Z$1001,0),IFERROR(MATCH(B198&amp;"|시공사",'2.현장'!$Z$2:$Z$1001,0),MATCH(B198&amp;"|늦음",'2.현장'!$Z$2:$Z$1001,0)))),""))</f>
        <v/>
      </c>
      <c r="I198">
        <f>IF(B198="","",IFERROR(INDEX('2.현장'!$N$2:$N$1001,IFERROR(MATCH(B198&amp;"|설계사",'2.현장'!$Z$2:$Z$1001,0),IFERROR(MATCH(B198&amp;"|시공사",'2.현장'!$Z$2:$Z$1001,0),MATCH(B198&amp;"|늦음",'2.현장'!$Z$2:$Z$1001,0)))),""))</f>
        <v/>
      </c>
      <c r="J198">
        <f>IF(B198="","",IFERROR(VLOOKUP(B198,설계사_메모!$A$3:$G$302,2,FALSE)&amp;"",""))</f>
        <v/>
      </c>
      <c r="K198">
        <f>IF(B198="","",IFERROR(VLOOKUP(B198,설계사_메모!$A$3:$G$302,4,FALSE)&amp;"",""))</f>
        <v/>
      </c>
      <c r="L198" s="6">
        <f>IF(B198="","",IF(COUNTIF('4.방문기록'!$B$3:$B$502,B198)=0,"",_xlfn.MAXIFS('4.방문기록'!$A$3:$A$502,'4.방문기록'!$B$3:$B$502,B198)))</f>
        <v/>
      </c>
      <c r="M198">
        <f>IF(L198="","",설정!$B$24-L198)</f>
        <v/>
      </c>
      <c r="N198" s="6">
        <f>IF(B198="","",IF(_xlfn.MAXIFS('4.방문기록'!$F$3:$F$502,'4.방문기록'!$B$3:$B$502,B198)=0,"",_xlfn.MAXIFS('4.방문기록'!$F$3:$F$502,'4.방문기록'!$B$3:$B$502,B198)))</f>
        <v/>
      </c>
      <c r="O198">
        <f>IF(L198="","",IFERROR(INDEX('4.방문기록'!$H$3:$H$502,MATCH(B198&amp;"|"&amp;(L198*1),'4.방문기록'!$I$3:$I$502,0))&amp;"",""))</f>
        <v/>
      </c>
      <c r="P198">
        <f>IF(B198="","",IF(O198="관심 없음","제외",IF(L198="","안 가봄",IF(M198&gt;=설정!$B$20,M198&amp;"일 지남","최근 방문"))))</f>
        <v/>
      </c>
      <c r="Q198" s="7">
        <f>IF(B198="","",IF(P198="제외","",IF(AND(설정!$B$21&lt;&gt;"",I198&lt;&gt;설정!$B$21),"",IF(AND(N198&lt;&gt;"",N198&gt;N(L198),N198&lt;=설정!$B$24+7),100+7-(N198-설정!$B$24),IF(AND(D198&gt;0,OR(P198="안 가봄",RIGHT(P198,2)="지남")),D198*10+IF(L198="",30,MIN(M198,60)/2)+MIN(N(F198)/1000,20),"")))))</f>
        <v/>
      </c>
      <c r="R198">
        <f>IF(Q198="","",COUNTIF(Q$4:Q$303,"&gt;"&amp;Q198)+COUNTIF(Q$4:Q198,Q198))</f>
        <v/>
      </c>
    </row>
    <row r="199">
      <c r="A199">
        <f>IF(B199="","",196)</f>
        <v/>
      </c>
      <c r="B199">
        <f>IFERROR(INDEX('2.현장'!$V$2:$V$1001,MATCH(196,'2.현장'!$W$2:$W$1001,0)),"")</f>
        <v/>
      </c>
      <c r="C199">
        <f>IF(B199="","",COUNTIFS('2.현장'!$V$2:$V$1001,B199,'2.현장'!$T$2:$T$1001,TRUE))</f>
        <v/>
      </c>
      <c r="D199">
        <f>IF(B199="","",COUNTIFS('2.현장'!$V$2:$V$1001,B199,'2.현장'!$U$2:$U$1001,"설계사"))</f>
        <v/>
      </c>
      <c r="E199">
        <f>IF(B199="","",COUNTIFS('2.현장'!$V$2:$V$1001,B199,'2.현장'!$U$2:$U$1001,"시공사"))</f>
        <v/>
      </c>
      <c r="F199" s="5">
        <f>IF(B199="","",_xlfn.MAXIFS('2.현장'!$D$2:$D$1001,'2.현장'!$V$2:$V$1001,B199,'2.현장'!$T$2:$T$1001,TRUE))</f>
        <v/>
      </c>
      <c r="G199" s="6">
        <f>IF(B199="","",IF(_xlfn.MAXIFS('2.현장'!$L$2:$L$1001,'2.현장'!$V$2:$V$1001,B199,'2.현장'!$T$2:$T$1001,TRUE)=0,"",_xlfn.MAXIFS('2.현장'!$L$2:$L$1001,'2.현장'!$V$2:$V$1001,B199,'2.현장'!$T$2:$T$1001,TRUE)))</f>
        <v/>
      </c>
      <c r="H199">
        <f>IF(B199="","",IFERROR(INDEX('2.현장'!$C$2:$C$1001,IFERROR(MATCH(B199&amp;"|설계사",'2.현장'!$Z$2:$Z$1001,0),IFERROR(MATCH(B199&amp;"|시공사",'2.현장'!$Z$2:$Z$1001,0),MATCH(B199&amp;"|늦음",'2.현장'!$Z$2:$Z$1001,0)))),""))</f>
        <v/>
      </c>
      <c r="I199">
        <f>IF(B199="","",IFERROR(INDEX('2.현장'!$N$2:$N$1001,IFERROR(MATCH(B199&amp;"|설계사",'2.현장'!$Z$2:$Z$1001,0),IFERROR(MATCH(B199&amp;"|시공사",'2.현장'!$Z$2:$Z$1001,0),MATCH(B199&amp;"|늦음",'2.현장'!$Z$2:$Z$1001,0)))),""))</f>
        <v/>
      </c>
      <c r="J199">
        <f>IF(B199="","",IFERROR(VLOOKUP(B199,설계사_메모!$A$3:$G$302,2,FALSE)&amp;"",""))</f>
        <v/>
      </c>
      <c r="K199">
        <f>IF(B199="","",IFERROR(VLOOKUP(B199,설계사_메모!$A$3:$G$302,4,FALSE)&amp;"",""))</f>
        <v/>
      </c>
      <c r="L199" s="6">
        <f>IF(B199="","",IF(COUNTIF('4.방문기록'!$B$3:$B$502,B199)=0,"",_xlfn.MAXIFS('4.방문기록'!$A$3:$A$502,'4.방문기록'!$B$3:$B$502,B199)))</f>
        <v/>
      </c>
      <c r="M199">
        <f>IF(L199="","",설정!$B$24-L199)</f>
        <v/>
      </c>
      <c r="N199" s="6">
        <f>IF(B199="","",IF(_xlfn.MAXIFS('4.방문기록'!$F$3:$F$502,'4.방문기록'!$B$3:$B$502,B199)=0,"",_xlfn.MAXIFS('4.방문기록'!$F$3:$F$502,'4.방문기록'!$B$3:$B$502,B199)))</f>
        <v/>
      </c>
      <c r="O199">
        <f>IF(L199="","",IFERROR(INDEX('4.방문기록'!$H$3:$H$502,MATCH(B199&amp;"|"&amp;(L199*1),'4.방문기록'!$I$3:$I$502,0))&amp;"",""))</f>
        <v/>
      </c>
      <c r="P199">
        <f>IF(B199="","",IF(O199="관심 없음","제외",IF(L199="","안 가봄",IF(M199&gt;=설정!$B$20,M199&amp;"일 지남","최근 방문"))))</f>
        <v/>
      </c>
      <c r="Q199" s="7">
        <f>IF(B199="","",IF(P199="제외","",IF(AND(설정!$B$21&lt;&gt;"",I199&lt;&gt;설정!$B$21),"",IF(AND(N199&lt;&gt;"",N199&gt;N(L199),N199&lt;=설정!$B$24+7),100+7-(N199-설정!$B$24),IF(AND(D199&gt;0,OR(P199="안 가봄",RIGHT(P199,2)="지남")),D199*10+IF(L199="",30,MIN(M199,60)/2)+MIN(N(F199)/1000,20),"")))))</f>
        <v/>
      </c>
      <c r="R199">
        <f>IF(Q199="","",COUNTIF(Q$4:Q$303,"&gt;"&amp;Q199)+COUNTIF(Q$4:Q199,Q199))</f>
        <v/>
      </c>
    </row>
    <row r="200">
      <c r="A200">
        <f>IF(B200="","",197)</f>
        <v/>
      </c>
      <c r="B200">
        <f>IFERROR(INDEX('2.현장'!$V$2:$V$1001,MATCH(197,'2.현장'!$W$2:$W$1001,0)),"")</f>
        <v/>
      </c>
      <c r="C200">
        <f>IF(B200="","",COUNTIFS('2.현장'!$V$2:$V$1001,B200,'2.현장'!$T$2:$T$1001,TRUE))</f>
        <v/>
      </c>
      <c r="D200">
        <f>IF(B200="","",COUNTIFS('2.현장'!$V$2:$V$1001,B200,'2.현장'!$U$2:$U$1001,"설계사"))</f>
        <v/>
      </c>
      <c r="E200">
        <f>IF(B200="","",COUNTIFS('2.현장'!$V$2:$V$1001,B200,'2.현장'!$U$2:$U$1001,"시공사"))</f>
        <v/>
      </c>
      <c r="F200" s="5">
        <f>IF(B200="","",_xlfn.MAXIFS('2.현장'!$D$2:$D$1001,'2.현장'!$V$2:$V$1001,B200,'2.현장'!$T$2:$T$1001,TRUE))</f>
        <v/>
      </c>
      <c r="G200" s="6">
        <f>IF(B200="","",IF(_xlfn.MAXIFS('2.현장'!$L$2:$L$1001,'2.현장'!$V$2:$V$1001,B200,'2.현장'!$T$2:$T$1001,TRUE)=0,"",_xlfn.MAXIFS('2.현장'!$L$2:$L$1001,'2.현장'!$V$2:$V$1001,B200,'2.현장'!$T$2:$T$1001,TRUE)))</f>
        <v/>
      </c>
      <c r="H200">
        <f>IF(B200="","",IFERROR(INDEX('2.현장'!$C$2:$C$1001,IFERROR(MATCH(B200&amp;"|설계사",'2.현장'!$Z$2:$Z$1001,0),IFERROR(MATCH(B200&amp;"|시공사",'2.현장'!$Z$2:$Z$1001,0),MATCH(B200&amp;"|늦음",'2.현장'!$Z$2:$Z$1001,0)))),""))</f>
        <v/>
      </c>
      <c r="I200">
        <f>IF(B200="","",IFERROR(INDEX('2.현장'!$N$2:$N$1001,IFERROR(MATCH(B200&amp;"|설계사",'2.현장'!$Z$2:$Z$1001,0),IFERROR(MATCH(B200&amp;"|시공사",'2.현장'!$Z$2:$Z$1001,0),MATCH(B200&amp;"|늦음",'2.현장'!$Z$2:$Z$1001,0)))),""))</f>
        <v/>
      </c>
      <c r="J200">
        <f>IF(B200="","",IFERROR(VLOOKUP(B200,설계사_메모!$A$3:$G$302,2,FALSE)&amp;"",""))</f>
        <v/>
      </c>
      <c r="K200">
        <f>IF(B200="","",IFERROR(VLOOKUP(B200,설계사_메모!$A$3:$G$302,4,FALSE)&amp;"",""))</f>
        <v/>
      </c>
      <c r="L200" s="6">
        <f>IF(B200="","",IF(COUNTIF('4.방문기록'!$B$3:$B$502,B200)=0,"",_xlfn.MAXIFS('4.방문기록'!$A$3:$A$502,'4.방문기록'!$B$3:$B$502,B200)))</f>
        <v/>
      </c>
      <c r="M200">
        <f>IF(L200="","",설정!$B$24-L200)</f>
        <v/>
      </c>
      <c r="N200" s="6">
        <f>IF(B200="","",IF(_xlfn.MAXIFS('4.방문기록'!$F$3:$F$502,'4.방문기록'!$B$3:$B$502,B200)=0,"",_xlfn.MAXIFS('4.방문기록'!$F$3:$F$502,'4.방문기록'!$B$3:$B$502,B200)))</f>
        <v/>
      </c>
      <c r="O200">
        <f>IF(L200="","",IFERROR(INDEX('4.방문기록'!$H$3:$H$502,MATCH(B200&amp;"|"&amp;(L200*1),'4.방문기록'!$I$3:$I$502,0))&amp;"",""))</f>
        <v/>
      </c>
      <c r="P200">
        <f>IF(B200="","",IF(O200="관심 없음","제외",IF(L200="","안 가봄",IF(M200&gt;=설정!$B$20,M200&amp;"일 지남","최근 방문"))))</f>
        <v/>
      </c>
      <c r="Q200" s="7">
        <f>IF(B200="","",IF(P200="제외","",IF(AND(설정!$B$21&lt;&gt;"",I200&lt;&gt;설정!$B$21),"",IF(AND(N200&lt;&gt;"",N200&gt;N(L200),N200&lt;=설정!$B$24+7),100+7-(N200-설정!$B$24),IF(AND(D200&gt;0,OR(P200="안 가봄",RIGHT(P200,2)="지남")),D200*10+IF(L200="",30,MIN(M200,60)/2)+MIN(N(F200)/1000,20),"")))))</f>
        <v/>
      </c>
      <c r="R200">
        <f>IF(Q200="","",COUNTIF(Q$4:Q$303,"&gt;"&amp;Q200)+COUNTIF(Q$4:Q200,Q200))</f>
        <v/>
      </c>
    </row>
    <row r="201">
      <c r="A201">
        <f>IF(B201="","",198)</f>
        <v/>
      </c>
      <c r="B201">
        <f>IFERROR(INDEX('2.현장'!$V$2:$V$1001,MATCH(198,'2.현장'!$W$2:$W$1001,0)),"")</f>
        <v/>
      </c>
      <c r="C201">
        <f>IF(B201="","",COUNTIFS('2.현장'!$V$2:$V$1001,B201,'2.현장'!$T$2:$T$1001,TRUE))</f>
        <v/>
      </c>
      <c r="D201">
        <f>IF(B201="","",COUNTIFS('2.현장'!$V$2:$V$1001,B201,'2.현장'!$U$2:$U$1001,"설계사"))</f>
        <v/>
      </c>
      <c r="E201">
        <f>IF(B201="","",COUNTIFS('2.현장'!$V$2:$V$1001,B201,'2.현장'!$U$2:$U$1001,"시공사"))</f>
        <v/>
      </c>
      <c r="F201" s="5">
        <f>IF(B201="","",_xlfn.MAXIFS('2.현장'!$D$2:$D$1001,'2.현장'!$V$2:$V$1001,B201,'2.현장'!$T$2:$T$1001,TRUE))</f>
        <v/>
      </c>
      <c r="G201" s="6">
        <f>IF(B201="","",IF(_xlfn.MAXIFS('2.현장'!$L$2:$L$1001,'2.현장'!$V$2:$V$1001,B201,'2.현장'!$T$2:$T$1001,TRUE)=0,"",_xlfn.MAXIFS('2.현장'!$L$2:$L$1001,'2.현장'!$V$2:$V$1001,B201,'2.현장'!$T$2:$T$1001,TRUE)))</f>
        <v/>
      </c>
      <c r="H201">
        <f>IF(B201="","",IFERROR(INDEX('2.현장'!$C$2:$C$1001,IFERROR(MATCH(B201&amp;"|설계사",'2.현장'!$Z$2:$Z$1001,0),IFERROR(MATCH(B201&amp;"|시공사",'2.현장'!$Z$2:$Z$1001,0),MATCH(B201&amp;"|늦음",'2.현장'!$Z$2:$Z$1001,0)))),""))</f>
        <v/>
      </c>
      <c r="I201">
        <f>IF(B201="","",IFERROR(INDEX('2.현장'!$N$2:$N$1001,IFERROR(MATCH(B201&amp;"|설계사",'2.현장'!$Z$2:$Z$1001,0),IFERROR(MATCH(B201&amp;"|시공사",'2.현장'!$Z$2:$Z$1001,0),MATCH(B201&amp;"|늦음",'2.현장'!$Z$2:$Z$1001,0)))),""))</f>
        <v/>
      </c>
      <c r="J201">
        <f>IF(B201="","",IFERROR(VLOOKUP(B201,설계사_메모!$A$3:$G$302,2,FALSE)&amp;"",""))</f>
        <v/>
      </c>
      <c r="K201">
        <f>IF(B201="","",IFERROR(VLOOKUP(B201,설계사_메모!$A$3:$G$302,4,FALSE)&amp;"",""))</f>
        <v/>
      </c>
      <c r="L201" s="6">
        <f>IF(B201="","",IF(COUNTIF('4.방문기록'!$B$3:$B$502,B201)=0,"",_xlfn.MAXIFS('4.방문기록'!$A$3:$A$502,'4.방문기록'!$B$3:$B$502,B201)))</f>
        <v/>
      </c>
      <c r="M201">
        <f>IF(L201="","",설정!$B$24-L201)</f>
        <v/>
      </c>
      <c r="N201" s="6">
        <f>IF(B201="","",IF(_xlfn.MAXIFS('4.방문기록'!$F$3:$F$502,'4.방문기록'!$B$3:$B$502,B201)=0,"",_xlfn.MAXIFS('4.방문기록'!$F$3:$F$502,'4.방문기록'!$B$3:$B$502,B201)))</f>
        <v/>
      </c>
      <c r="O201">
        <f>IF(L201="","",IFERROR(INDEX('4.방문기록'!$H$3:$H$502,MATCH(B201&amp;"|"&amp;(L201*1),'4.방문기록'!$I$3:$I$502,0))&amp;"",""))</f>
        <v/>
      </c>
      <c r="P201">
        <f>IF(B201="","",IF(O201="관심 없음","제외",IF(L201="","안 가봄",IF(M201&gt;=설정!$B$20,M201&amp;"일 지남","최근 방문"))))</f>
        <v/>
      </c>
      <c r="Q201" s="7">
        <f>IF(B201="","",IF(P201="제외","",IF(AND(설정!$B$21&lt;&gt;"",I201&lt;&gt;설정!$B$21),"",IF(AND(N201&lt;&gt;"",N201&gt;N(L201),N201&lt;=설정!$B$24+7),100+7-(N201-설정!$B$24),IF(AND(D201&gt;0,OR(P201="안 가봄",RIGHT(P201,2)="지남")),D201*10+IF(L201="",30,MIN(M201,60)/2)+MIN(N(F201)/1000,20),"")))))</f>
        <v/>
      </c>
      <c r="R201">
        <f>IF(Q201="","",COUNTIF(Q$4:Q$303,"&gt;"&amp;Q201)+COUNTIF(Q$4:Q201,Q201))</f>
        <v/>
      </c>
    </row>
    <row r="202">
      <c r="A202">
        <f>IF(B202="","",199)</f>
        <v/>
      </c>
      <c r="B202">
        <f>IFERROR(INDEX('2.현장'!$V$2:$V$1001,MATCH(199,'2.현장'!$W$2:$W$1001,0)),"")</f>
        <v/>
      </c>
      <c r="C202">
        <f>IF(B202="","",COUNTIFS('2.현장'!$V$2:$V$1001,B202,'2.현장'!$T$2:$T$1001,TRUE))</f>
        <v/>
      </c>
      <c r="D202">
        <f>IF(B202="","",COUNTIFS('2.현장'!$V$2:$V$1001,B202,'2.현장'!$U$2:$U$1001,"설계사"))</f>
        <v/>
      </c>
      <c r="E202">
        <f>IF(B202="","",COUNTIFS('2.현장'!$V$2:$V$1001,B202,'2.현장'!$U$2:$U$1001,"시공사"))</f>
        <v/>
      </c>
      <c r="F202" s="5">
        <f>IF(B202="","",_xlfn.MAXIFS('2.현장'!$D$2:$D$1001,'2.현장'!$V$2:$V$1001,B202,'2.현장'!$T$2:$T$1001,TRUE))</f>
        <v/>
      </c>
      <c r="G202" s="6">
        <f>IF(B202="","",IF(_xlfn.MAXIFS('2.현장'!$L$2:$L$1001,'2.현장'!$V$2:$V$1001,B202,'2.현장'!$T$2:$T$1001,TRUE)=0,"",_xlfn.MAXIFS('2.현장'!$L$2:$L$1001,'2.현장'!$V$2:$V$1001,B202,'2.현장'!$T$2:$T$1001,TRUE)))</f>
        <v/>
      </c>
      <c r="H202">
        <f>IF(B202="","",IFERROR(INDEX('2.현장'!$C$2:$C$1001,IFERROR(MATCH(B202&amp;"|설계사",'2.현장'!$Z$2:$Z$1001,0),IFERROR(MATCH(B202&amp;"|시공사",'2.현장'!$Z$2:$Z$1001,0),MATCH(B202&amp;"|늦음",'2.현장'!$Z$2:$Z$1001,0)))),""))</f>
        <v/>
      </c>
      <c r="I202">
        <f>IF(B202="","",IFERROR(INDEX('2.현장'!$N$2:$N$1001,IFERROR(MATCH(B202&amp;"|설계사",'2.현장'!$Z$2:$Z$1001,0),IFERROR(MATCH(B202&amp;"|시공사",'2.현장'!$Z$2:$Z$1001,0),MATCH(B202&amp;"|늦음",'2.현장'!$Z$2:$Z$1001,0)))),""))</f>
        <v/>
      </c>
      <c r="J202">
        <f>IF(B202="","",IFERROR(VLOOKUP(B202,설계사_메모!$A$3:$G$302,2,FALSE)&amp;"",""))</f>
        <v/>
      </c>
      <c r="K202">
        <f>IF(B202="","",IFERROR(VLOOKUP(B202,설계사_메모!$A$3:$G$302,4,FALSE)&amp;"",""))</f>
        <v/>
      </c>
      <c r="L202" s="6">
        <f>IF(B202="","",IF(COUNTIF('4.방문기록'!$B$3:$B$502,B202)=0,"",_xlfn.MAXIFS('4.방문기록'!$A$3:$A$502,'4.방문기록'!$B$3:$B$502,B202)))</f>
        <v/>
      </c>
      <c r="M202">
        <f>IF(L202="","",설정!$B$24-L202)</f>
        <v/>
      </c>
      <c r="N202" s="6">
        <f>IF(B202="","",IF(_xlfn.MAXIFS('4.방문기록'!$F$3:$F$502,'4.방문기록'!$B$3:$B$502,B202)=0,"",_xlfn.MAXIFS('4.방문기록'!$F$3:$F$502,'4.방문기록'!$B$3:$B$502,B202)))</f>
        <v/>
      </c>
      <c r="O202">
        <f>IF(L202="","",IFERROR(INDEX('4.방문기록'!$H$3:$H$502,MATCH(B202&amp;"|"&amp;(L202*1),'4.방문기록'!$I$3:$I$502,0))&amp;"",""))</f>
        <v/>
      </c>
      <c r="P202">
        <f>IF(B202="","",IF(O202="관심 없음","제외",IF(L202="","안 가봄",IF(M202&gt;=설정!$B$20,M202&amp;"일 지남","최근 방문"))))</f>
        <v/>
      </c>
      <c r="Q202" s="7">
        <f>IF(B202="","",IF(P202="제외","",IF(AND(설정!$B$21&lt;&gt;"",I202&lt;&gt;설정!$B$21),"",IF(AND(N202&lt;&gt;"",N202&gt;N(L202),N202&lt;=설정!$B$24+7),100+7-(N202-설정!$B$24),IF(AND(D202&gt;0,OR(P202="안 가봄",RIGHT(P202,2)="지남")),D202*10+IF(L202="",30,MIN(M202,60)/2)+MIN(N(F202)/1000,20),"")))))</f>
        <v/>
      </c>
      <c r="R202">
        <f>IF(Q202="","",COUNTIF(Q$4:Q$303,"&gt;"&amp;Q202)+COUNTIF(Q$4:Q202,Q202))</f>
        <v/>
      </c>
    </row>
    <row r="203">
      <c r="A203">
        <f>IF(B203="","",200)</f>
        <v/>
      </c>
      <c r="B203">
        <f>IFERROR(INDEX('2.현장'!$V$2:$V$1001,MATCH(200,'2.현장'!$W$2:$W$1001,0)),"")</f>
        <v/>
      </c>
      <c r="C203">
        <f>IF(B203="","",COUNTIFS('2.현장'!$V$2:$V$1001,B203,'2.현장'!$T$2:$T$1001,TRUE))</f>
        <v/>
      </c>
      <c r="D203">
        <f>IF(B203="","",COUNTIFS('2.현장'!$V$2:$V$1001,B203,'2.현장'!$U$2:$U$1001,"설계사"))</f>
        <v/>
      </c>
      <c r="E203">
        <f>IF(B203="","",COUNTIFS('2.현장'!$V$2:$V$1001,B203,'2.현장'!$U$2:$U$1001,"시공사"))</f>
        <v/>
      </c>
      <c r="F203" s="5">
        <f>IF(B203="","",_xlfn.MAXIFS('2.현장'!$D$2:$D$1001,'2.현장'!$V$2:$V$1001,B203,'2.현장'!$T$2:$T$1001,TRUE))</f>
        <v/>
      </c>
      <c r="G203" s="6">
        <f>IF(B203="","",IF(_xlfn.MAXIFS('2.현장'!$L$2:$L$1001,'2.현장'!$V$2:$V$1001,B203,'2.현장'!$T$2:$T$1001,TRUE)=0,"",_xlfn.MAXIFS('2.현장'!$L$2:$L$1001,'2.현장'!$V$2:$V$1001,B203,'2.현장'!$T$2:$T$1001,TRUE)))</f>
        <v/>
      </c>
      <c r="H203">
        <f>IF(B203="","",IFERROR(INDEX('2.현장'!$C$2:$C$1001,IFERROR(MATCH(B203&amp;"|설계사",'2.현장'!$Z$2:$Z$1001,0),IFERROR(MATCH(B203&amp;"|시공사",'2.현장'!$Z$2:$Z$1001,0),MATCH(B203&amp;"|늦음",'2.현장'!$Z$2:$Z$1001,0)))),""))</f>
        <v/>
      </c>
      <c r="I203">
        <f>IF(B203="","",IFERROR(INDEX('2.현장'!$N$2:$N$1001,IFERROR(MATCH(B203&amp;"|설계사",'2.현장'!$Z$2:$Z$1001,0),IFERROR(MATCH(B203&amp;"|시공사",'2.현장'!$Z$2:$Z$1001,0),MATCH(B203&amp;"|늦음",'2.현장'!$Z$2:$Z$1001,0)))),""))</f>
        <v/>
      </c>
      <c r="J203">
        <f>IF(B203="","",IFERROR(VLOOKUP(B203,설계사_메모!$A$3:$G$302,2,FALSE)&amp;"",""))</f>
        <v/>
      </c>
      <c r="K203">
        <f>IF(B203="","",IFERROR(VLOOKUP(B203,설계사_메모!$A$3:$G$302,4,FALSE)&amp;"",""))</f>
        <v/>
      </c>
      <c r="L203" s="6">
        <f>IF(B203="","",IF(COUNTIF('4.방문기록'!$B$3:$B$502,B203)=0,"",_xlfn.MAXIFS('4.방문기록'!$A$3:$A$502,'4.방문기록'!$B$3:$B$502,B203)))</f>
        <v/>
      </c>
      <c r="M203">
        <f>IF(L203="","",설정!$B$24-L203)</f>
        <v/>
      </c>
      <c r="N203" s="6">
        <f>IF(B203="","",IF(_xlfn.MAXIFS('4.방문기록'!$F$3:$F$502,'4.방문기록'!$B$3:$B$502,B203)=0,"",_xlfn.MAXIFS('4.방문기록'!$F$3:$F$502,'4.방문기록'!$B$3:$B$502,B203)))</f>
        <v/>
      </c>
      <c r="O203">
        <f>IF(L203="","",IFERROR(INDEX('4.방문기록'!$H$3:$H$502,MATCH(B203&amp;"|"&amp;(L203*1),'4.방문기록'!$I$3:$I$502,0))&amp;"",""))</f>
        <v/>
      </c>
      <c r="P203">
        <f>IF(B203="","",IF(O203="관심 없음","제외",IF(L203="","안 가봄",IF(M203&gt;=설정!$B$20,M203&amp;"일 지남","최근 방문"))))</f>
        <v/>
      </c>
      <c r="Q203" s="7">
        <f>IF(B203="","",IF(P203="제외","",IF(AND(설정!$B$21&lt;&gt;"",I203&lt;&gt;설정!$B$21),"",IF(AND(N203&lt;&gt;"",N203&gt;N(L203),N203&lt;=설정!$B$24+7),100+7-(N203-설정!$B$24),IF(AND(D203&gt;0,OR(P203="안 가봄",RIGHT(P203,2)="지남")),D203*10+IF(L203="",30,MIN(M203,60)/2)+MIN(N(F203)/1000,20),"")))))</f>
        <v/>
      </c>
      <c r="R203">
        <f>IF(Q203="","",COUNTIF(Q$4:Q$303,"&gt;"&amp;Q203)+COUNTIF(Q$4:Q203,Q203))</f>
        <v/>
      </c>
    </row>
    <row r="204">
      <c r="A204">
        <f>IF(B204="","",201)</f>
        <v/>
      </c>
      <c r="B204">
        <f>IFERROR(INDEX('2.현장'!$V$2:$V$1001,MATCH(201,'2.현장'!$W$2:$W$1001,0)),"")</f>
        <v/>
      </c>
      <c r="C204">
        <f>IF(B204="","",COUNTIFS('2.현장'!$V$2:$V$1001,B204,'2.현장'!$T$2:$T$1001,TRUE))</f>
        <v/>
      </c>
      <c r="D204">
        <f>IF(B204="","",COUNTIFS('2.현장'!$V$2:$V$1001,B204,'2.현장'!$U$2:$U$1001,"설계사"))</f>
        <v/>
      </c>
      <c r="E204">
        <f>IF(B204="","",COUNTIFS('2.현장'!$V$2:$V$1001,B204,'2.현장'!$U$2:$U$1001,"시공사"))</f>
        <v/>
      </c>
      <c r="F204" s="5">
        <f>IF(B204="","",_xlfn.MAXIFS('2.현장'!$D$2:$D$1001,'2.현장'!$V$2:$V$1001,B204,'2.현장'!$T$2:$T$1001,TRUE))</f>
        <v/>
      </c>
      <c r="G204" s="6">
        <f>IF(B204="","",IF(_xlfn.MAXIFS('2.현장'!$L$2:$L$1001,'2.현장'!$V$2:$V$1001,B204,'2.현장'!$T$2:$T$1001,TRUE)=0,"",_xlfn.MAXIFS('2.현장'!$L$2:$L$1001,'2.현장'!$V$2:$V$1001,B204,'2.현장'!$T$2:$T$1001,TRUE)))</f>
        <v/>
      </c>
      <c r="H204">
        <f>IF(B204="","",IFERROR(INDEX('2.현장'!$C$2:$C$1001,IFERROR(MATCH(B204&amp;"|설계사",'2.현장'!$Z$2:$Z$1001,0),IFERROR(MATCH(B204&amp;"|시공사",'2.현장'!$Z$2:$Z$1001,0),MATCH(B204&amp;"|늦음",'2.현장'!$Z$2:$Z$1001,0)))),""))</f>
        <v/>
      </c>
      <c r="I204">
        <f>IF(B204="","",IFERROR(INDEX('2.현장'!$N$2:$N$1001,IFERROR(MATCH(B204&amp;"|설계사",'2.현장'!$Z$2:$Z$1001,0),IFERROR(MATCH(B204&amp;"|시공사",'2.현장'!$Z$2:$Z$1001,0),MATCH(B204&amp;"|늦음",'2.현장'!$Z$2:$Z$1001,0)))),""))</f>
        <v/>
      </c>
      <c r="J204">
        <f>IF(B204="","",IFERROR(VLOOKUP(B204,설계사_메모!$A$3:$G$302,2,FALSE)&amp;"",""))</f>
        <v/>
      </c>
      <c r="K204">
        <f>IF(B204="","",IFERROR(VLOOKUP(B204,설계사_메모!$A$3:$G$302,4,FALSE)&amp;"",""))</f>
        <v/>
      </c>
      <c r="L204" s="6">
        <f>IF(B204="","",IF(COUNTIF('4.방문기록'!$B$3:$B$502,B204)=0,"",_xlfn.MAXIFS('4.방문기록'!$A$3:$A$502,'4.방문기록'!$B$3:$B$502,B204)))</f>
        <v/>
      </c>
      <c r="M204">
        <f>IF(L204="","",설정!$B$24-L204)</f>
        <v/>
      </c>
      <c r="N204" s="6">
        <f>IF(B204="","",IF(_xlfn.MAXIFS('4.방문기록'!$F$3:$F$502,'4.방문기록'!$B$3:$B$502,B204)=0,"",_xlfn.MAXIFS('4.방문기록'!$F$3:$F$502,'4.방문기록'!$B$3:$B$502,B204)))</f>
        <v/>
      </c>
      <c r="O204">
        <f>IF(L204="","",IFERROR(INDEX('4.방문기록'!$H$3:$H$502,MATCH(B204&amp;"|"&amp;(L204*1),'4.방문기록'!$I$3:$I$502,0))&amp;"",""))</f>
        <v/>
      </c>
      <c r="P204">
        <f>IF(B204="","",IF(O204="관심 없음","제외",IF(L204="","안 가봄",IF(M204&gt;=설정!$B$20,M204&amp;"일 지남","최근 방문"))))</f>
        <v/>
      </c>
      <c r="Q204" s="7">
        <f>IF(B204="","",IF(P204="제외","",IF(AND(설정!$B$21&lt;&gt;"",I204&lt;&gt;설정!$B$21),"",IF(AND(N204&lt;&gt;"",N204&gt;N(L204),N204&lt;=설정!$B$24+7),100+7-(N204-설정!$B$24),IF(AND(D204&gt;0,OR(P204="안 가봄",RIGHT(P204,2)="지남")),D204*10+IF(L204="",30,MIN(M204,60)/2)+MIN(N(F204)/1000,20),"")))))</f>
        <v/>
      </c>
      <c r="R204">
        <f>IF(Q204="","",COUNTIF(Q$4:Q$303,"&gt;"&amp;Q204)+COUNTIF(Q$4:Q204,Q204))</f>
        <v/>
      </c>
    </row>
    <row r="205">
      <c r="A205">
        <f>IF(B205="","",202)</f>
        <v/>
      </c>
      <c r="B205">
        <f>IFERROR(INDEX('2.현장'!$V$2:$V$1001,MATCH(202,'2.현장'!$W$2:$W$1001,0)),"")</f>
        <v/>
      </c>
      <c r="C205">
        <f>IF(B205="","",COUNTIFS('2.현장'!$V$2:$V$1001,B205,'2.현장'!$T$2:$T$1001,TRUE))</f>
        <v/>
      </c>
      <c r="D205">
        <f>IF(B205="","",COUNTIFS('2.현장'!$V$2:$V$1001,B205,'2.현장'!$U$2:$U$1001,"설계사"))</f>
        <v/>
      </c>
      <c r="E205">
        <f>IF(B205="","",COUNTIFS('2.현장'!$V$2:$V$1001,B205,'2.현장'!$U$2:$U$1001,"시공사"))</f>
        <v/>
      </c>
      <c r="F205" s="5">
        <f>IF(B205="","",_xlfn.MAXIFS('2.현장'!$D$2:$D$1001,'2.현장'!$V$2:$V$1001,B205,'2.현장'!$T$2:$T$1001,TRUE))</f>
        <v/>
      </c>
      <c r="G205" s="6">
        <f>IF(B205="","",IF(_xlfn.MAXIFS('2.현장'!$L$2:$L$1001,'2.현장'!$V$2:$V$1001,B205,'2.현장'!$T$2:$T$1001,TRUE)=0,"",_xlfn.MAXIFS('2.현장'!$L$2:$L$1001,'2.현장'!$V$2:$V$1001,B205,'2.현장'!$T$2:$T$1001,TRUE)))</f>
        <v/>
      </c>
      <c r="H205">
        <f>IF(B205="","",IFERROR(INDEX('2.현장'!$C$2:$C$1001,IFERROR(MATCH(B205&amp;"|설계사",'2.현장'!$Z$2:$Z$1001,0),IFERROR(MATCH(B205&amp;"|시공사",'2.현장'!$Z$2:$Z$1001,0),MATCH(B205&amp;"|늦음",'2.현장'!$Z$2:$Z$1001,0)))),""))</f>
        <v/>
      </c>
      <c r="I205">
        <f>IF(B205="","",IFERROR(INDEX('2.현장'!$N$2:$N$1001,IFERROR(MATCH(B205&amp;"|설계사",'2.현장'!$Z$2:$Z$1001,0),IFERROR(MATCH(B205&amp;"|시공사",'2.현장'!$Z$2:$Z$1001,0),MATCH(B205&amp;"|늦음",'2.현장'!$Z$2:$Z$1001,0)))),""))</f>
        <v/>
      </c>
      <c r="J205">
        <f>IF(B205="","",IFERROR(VLOOKUP(B205,설계사_메모!$A$3:$G$302,2,FALSE)&amp;"",""))</f>
        <v/>
      </c>
      <c r="K205">
        <f>IF(B205="","",IFERROR(VLOOKUP(B205,설계사_메모!$A$3:$G$302,4,FALSE)&amp;"",""))</f>
        <v/>
      </c>
      <c r="L205" s="6">
        <f>IF(B205="","",IF(COUNTIF('4.방문기록'!$B$3:$B$502,B205)=0,"",_xlfn.MAXIFS('4.방문기록'!$A$3:$A$502,'4.방문기록'!$B$3:$B$502,B205)))</f>
        <v/>
      </c>
      <c r="M205">
        <f>IF(L205="","",설정!$B$24-L205)</f>
        <v/>
      </c>
      <c r="N205" s="6">
        <f>IF(B205="","",IF(_xlfn.MAXIFS('4.방문기록'!$F$3:$F$502,'4.방문기록'!$B$3:$B$502,B205)=0,"",_xlfn.MAXIFS('4.방문기록'!$F$3:$F$502,'4.방문기록'!$B$3:$B$502,B205)))</f>
        <v/>
      </c>
      <c r="O205">
        <f>IF(L205="","",IFERROR(INDEX('4.방문기록'!$H$3:$H$502,MATCH(B205&amp;"|"&amp;(L205*1),'4.방문기록'!$I$3:$I$502,0))&amp;"",""))</f>
        <v/>
      </c>
      <c r="P205">
        <f>IF(B205="","",IF(O205="관심 없음","제외",IF(L205="","안 가봄",IF(M205&gt;=설정!$B$20,M205&amp;"일 지남","최근 방문"))))</f>
        <v/>
      </c>
      <c r="Q205" s="7">
        <f>IF(B205="","",IF(P205="제외","",IF(AND(설정!$B$21&lt;&gt;"",I205&lt;&gt;설정!$B$21),"",IF(AND(N205&lt;&gt;"",N205&gt;N(L205),N205&lt;=설정!$B$24+7),100+7-(N205-설정!$B$24),IF(AND(D205&gt;0,OR(P205="안 가봄",RIGHT(P205,2)="지남")),D205*10+IF(L205="",30,MIN(M205,60)/2)+MIN(N(F205)/1000,20),"")))))</f>
        <v/>
      </c>
      <c r="R205">
        <f>IF(Q205="","",COUNTIF(Q$4:Q$303,"&gt;"&amp;Q205)+COUNTIF(Q$4:Q205,Q205))</f>
        <v/>
      </c>
    </row>
    <row r="206">
      <c r="A206">
        <f>IF(B206="","",203)</f>
        <v/>
      </c>
      <c r="B206">
        <f>IFERROR(INDEX('2.현장'!$V$2:$V$1001,MATCH(203,'2.현장'!$W$2:$W$1001,0)),"")</f>
        <v/>
      </c>
      <c r="C206">
        <f>IF(B206="","",COUNTIFS('2.현장'!$V$2:$V$1001,B206,'2.현장'!$T$2:$T$1001,TRUE))</f>
        <v/>
      </c>
      <c r="D206">
        <f>IF(B206="","",COUNTIFS('2.현장'!$V$2:$V$1001,B206,'2.현장'!$U$2:$U$1001,"설계사"))</f>
        <v/>
      </c>
      <c r="E206">
        <f>IF(B206="","",COUNTIFS('2.현장'!$V$2:$V$1001,B206,'2.현장'!$U$2:$U$1001,"시공사"))</f>
        <v/>
      </c>
      <c r="F206" s="5">
        <f>IF(B206="","",_xlfn.MAXIFS('2.현장'!$D$2:$D$1001,'2.현장'!$V$2:$V$1001,B206,'2.현장'!$T$2:$T$1001,TRUE))</f>
        <v/>
      </c>
      <c r="G206" s="6">
        <f>IF(B206="","",IF(_xlfn.MAXIFS('2.현장'!$L$2:$L$1001,'2.현장'!$V$2:$V$1001,B206,'2.현장'!$T$2:$T$1001,TRUE)=0,"",_xlfn.MAXIFS('2.현장'!$L$2:$L$1001,'2.현장'!$V$2:$V$1001,B206,'2.현장'!$T$2:$T$1001,TRUE)))</f>
        <v/>
      </c>
      <c r="H206">
        <f>IF(B206="","",IFERROR(INDEX('2.현장'!$C$2:$C$1001,IFERROR(MATCH(B206&amp;"|설계사",'2.현장'!$Z$2:$Z$1001,0),IFERROR(MATCH(B206&amp;"|시공사",'2.현장'!$Z$2:$Z$1001,0),MATCH(B206&amp;"|늦음",'2.현장'!$Z$2:$Z$1001,0)))),""))</f>
        <v/>
      </c>
      <c r="I206">
        <f>IF(B206="","",IFERROR(INDEX('2.현장'!$N$2:$N$1001,IFERROR(MATCH(B206&amp;"|설계사",'2.현장'!$Z$2:$Z$1001,0),IFERROR(MATCH(B206&amp;"|시공사",'2.현장'!$Z$2:$Z$1001,0),MATCH(B206&amp;"|늦음",'2.현장'!$Z$2:$Z$1001,0)))),""))</f>
        <v/>
      </c>
      <c r="J206">
        <f>IF(B206="","",IFERROR(VLOOKUP(B206,설계사_메모!$A$3:$G$302,2,FALSE)&amp;"",""))</f>
        <v/>
      </c>
      <c r="K206">
        <f>IF(B206="","",IFERROR(VLOOKUP(B206,설계사_메모!$A$3:$G$302,4,FALSE)&amp;"",""))</f>
        <v/>
      </c>
      <c r="L206" s="6">
        <f>IF(B206="","",IF(COUNTIF('4.방문기록'!$B$3:$B$502,B206)=0,"",_xlfn.MAXIFS('4.방문기록'!$A$3:$A$502,'4.방문기록'!$B$3:$B$502,B206)))</f>
        <v/>
      </c>
      <c r="M206">
        <f>IF(L206="","",설정!$B$24-L206)</f>
        <v/>
      </c>
      <c r="N206" s="6">
        <f>IF(B206="","",IF(_xlfn.MAXIFS('4.방문기록'!$F$3:$F$502,'4.방문기록'!$B$3:$B$502,B206)=0,"",_xlfn.MAXIFS('4.방문기록'!$F$3:$F$502,'4.방문기록'!$B$3:$B$502,B206)))</f>
        <v/>
      </c>
      <c r="O206">
        <f>IF(L206="","",IFERROR(INDEX('4.방문기록'!$H$3:$H$502,MATCH(B206&amp;"|"&amp;(L206*1),'4.방문기록'!$I$3:$I$502,0))&amp;"",""))</f>
        <v/>
      </c>
      <c r="P206">
        <f>IF(B206="","",IF(O206="관심 없음","제외",IF(L206="","안 가봄",IF(M206&gt;=설정!$B$20,M206&amp;"일 지남","최근 방문"))))</f>
        <v/>
      </c>
      <c r="Q206" s="7">
        <f>IF(B206="","",IF(P206="제외","",IF(AND(설정!$B$21&lt;&gt;"",I206&lt;&gt;설정!$B$21),"",IF(AND(N206&lt;&gt;"",N206&gt;N(L206),N206&lt;=설정!$B$24+7),100+7-(N206-설정!$B$24),IF(AND(D206&gt;0,OR(P206="안 가봄",RIGHT(P206,2)="지남")),D206*10+IF(L206="",30,MIN(M206,60)/2)+MIN(N(F206)/1000,20),"")))))</f>
        <v/>
      </c>
      <c r="R206">
        <f>IF(Q206="","",COUNTIF(Q$4:Q$303,"&gt;"&amp;Q206)+COUNTIF(Q$4:Q206,Q206))</f>
        <v/>
      </c>
    </row>
    <row r="207">
      <c r="A207">
        <f>IF(B207="","",204)</f>
        <v/>
      </c>
      <c r="B207">
        <f>IFERROR(INDEX('2.현장'!$V$2:$V$1001,MATCH(204,'2.현장'!$W$2:$W$1001,0)),"")</f>
        <v/>
      </c>
      <c r="C207">
        <f>IF(B207="","",COUNTIFS('2.현장'!$V$2:$V$1001,B207,'2.현장'!$T$2:$T$1001,TRUE))</f>
        <v/>
      </c>
      <c r="D207">
        <f>IF(B207="","",COUNTIFS('2.현장'!$V$2:$V$1001,B207,'2.현장'!$U$2:$U$1001,"설계사"))</f>
        <v/>
      </c>
      <c r="E207">
        <f>IF(B207="","",COUNTIFS('2.현장'!$V$2:$V$1001,B207,'2.현장'!$U$2:$U$1001,"시공사"))</f>
        <v/>
      </c>
      <c r="F207" s="5">
        <f>IF(B207="","",_xlfn.MAXIFS('2.현장'!$D$2:$D$1001,'2.현장'!$V$2:$V$1001,B207,'2.현장'!$T$2:$T$1001,TRUE))</f>
        <v/>
      </c>
      <c r="G207" s="6">
        <f>IF(B207="","",IF(_xlfn.MAXIFS('2.현장'!$L$2:$L$1001,'2.현장'!$V$2:$V$1001,B207,'2.현장'!$T$2:$T$1001,TRUE)=0,"",_xlfn.MAXIFS('2.현장'!$L$2:$L$1001,'2.현장'!$V$2:$V$1001,B207,'2.현장'!$T$2:$T$1001,TRUE)))</f>
        <v/>
      </c>
      <c r="H207">
        <f>IF(B207="","",IFERROR(INDEX('2.현장'!$C$2:$C$1001,IFERROR(MATCH(B207&amp;"|설계사",'2.현장'!$Z$2:$Z$1001,0),IFERROR(MATCH(B207&amp;"|시공사",'2.현장'!$Z$2:$Z$1001,0),MATCH(B207&amp;"|늦음",'2.현장'!$Z$2:$Z$1001,0)))),""))</f>
        <v/>
      </c>
      <c r="I207">
        <f>IF(B207="","",IFERROR(INDEX('2.현장'!$N$2:$N$1001,IFERROR(MATCH(B207&amp;"|설계사",'2.현장'!$Z$2:$Z$1001,0),IFERROR(MATCH(B207&amp;"|시공사",'2.현장'!$Z$2:$Z$1001,0),MATCH(B207&amp;"|늦음",'2.현장'!$Z$2:$Z$1001,0)))),""))</f>
        <v/>
      </c>
      <c r="J207">
        <f>IF(B207="","",IFERROR(VLOOKUP(B207,설계사_메모!$A$3:$G$302,2,FALSE)&amp;"",""))</f>
        <v/>
      </c>
      <c r="K207">
        <f>IF(B207="","",IFERROR(VLOOKUP(B207,설계사_메모!$A$3:$G$302,4,FALSE)&amp;"",""))</f>
        <v/>
      </c>
      <c r="L207" s="6">
        <f>IF(B207="","",IF(COUNTIF('4.방문기록'!$B$3:$B$502,B207)=0,"",_xlfn.MAXIFS('4.방문기록'!$A$3:$A$502,'4.방문기록'!$B$3:$B$502,B207)))</f>
        <v/>
      </c>
      <c r="M207">
        <f>IF(L207="","",설정!$B$24-L207)</f>
        <v/>
      </c>
      <c r="N207" s="6">
        <f>IF(B207="","",IF(_xlfn.MAXIFS('4.방문기록'!$F$3:$F$502,'4.방문기록'!$B$3:$B$502,B207)=0,"",_xlfn.MAXIFS('4.방문기록'!$F$3:$F$502,'4.방문기록'!$B$3:$B$502,B207)))</f>
        <v/>
      </c>
      <c r="O207">
        <f>IF(L207="","",IFERROR(INDEX('4.방문기록'!$H$3:$H$502,MATCH(B207&amp;"|"&amp;(L207*1),'4.방문기록'!$I$3:$I$502,0))&amp;"",""))</f>
        <v/>
      </c>
      <c r="P207">
        <f>IF(B207="","",IF(O207="관심 없음","제외",IF(L207="","안 가봄",IF(M207&gt;=설정!$B$20,M207&amp;"일 지남","최근 방문"))))</f>
        <v/>
      </c>
      <c r="Q207" s="7">
        <f>IF(B207="","",IF(P207="제외","",IF(AND(설정!$B$21&lt;&gt;"",I207&lt;&gt;설정!$B$21),"",IF(AND(N207&lt;&gt;"",N207&gt;N(L207),N207&lt;=설정!$B$24+7),100+7-(N207-설정!$B$24),IF(AND(D207&gt;0,OR(P207="안 가봄",RIGHT(P207,2)="지남")),D207*10+IF(L207="",30,MIN(M207,60)/2)+MIN(N(F207)/1000,20),"")))))</f>
        <v/>
      </c>
      <c r="R207">
        <f>IF(Q207="","",COUNTIF(Q$4:Q$303,"&gt;"&amp;Q207)+COUNTIF(Q$4:Q207,Q207))</f>
        <v/>
      </c>
    </row>
    <row r="208">
      <c r="A208">
        <f>IF(B208="","",205)</f>
        <v/>
      </c>
      <c r="B208">
        <f>IFERROR(INDEX('2.현장'!$V$2:$V$1001,MATCH(205,'2.현장'!$W$2:$W$1001,0)),"")</f>
        <v/>
      </c>
      <c r="C208">
        <f>IF(B208="","",COUNTIFS('2.현장'!$V$2:$V$1001,B208,'2.현장'!$T$2:$T$1001,TRUE))</f>
        <v/>
      </c>
      <c r="D208">
        <f>IF(B208="","",COUNTIFS('2.현장'!$V$2:$V$1001,B208,'2.현장'!$U$2:$U$1001,"설계사"))</f>
        <v/>
      </c>
      <c r="E208">
        <f>IF(B208="","",COUNTIFS('2.현장'!$V$2:$V$1001,B208,'2.현장'!$U$2:$U$1001,"시공사"))</f>
        <v/>
      </c>
      <c r="F208" s="5">
        <f>IF(B208="","",_xlfn.MAXIFS('2.현장'!$D$2:$D$1001,'2.현장'!$V$2:$V$1001,B208,'2.현장'!$T$2:$T$1001,TRUE))</f>
        <v/>
      </c>
      <c r="G208" s="6">
        <f>IF(B208="","",IF(_xlfn.MAXIFS('2.현장'!$L$2:$L$1001,'2.현장'!$V$2:$V$1001,B208,'2.현장'!$T$2:$T$1001,TRUE)=0,"",_xlfn.MAXIFS('2.현장'!$L$2:$L$1001,'2.현장'!$V$2:$V$1001,B208,'2.현장'!$T$2:$T$1001,TRUE)))</f>
        <v/>
      </c>
      <c r="H208">
        <f>IF(B208="","",IFERROR(INDEX('2.현장'!$C$2:$C$1001,IFERROR(MATCH(B208&amp;"|설계사",'2.현장'!$Z$2:$Z$1001,0),IFERROR(MATCH(B208&amp;"|시공사",'2.현장'!$Z$2:$Z$1001,0),MATCH(B208&amp;"|늦음",'2.현장'!$Z$2:$Z$1001,0)))),""))</f>
        <v/>
      </c>
      <c r="I208">
        <f>IF(B208="","",IFERROR(INDEX('2.현장'!$N$2:$N$1001,IFERROR(MATCH(B208&amp;"|설계사",'2.현장'!$Z$2:$Z$1001,0),IFERROR(MATCH(B208&amp;"|시공사",'2.현장'!$Z$2:$Z$1001,0),MATCH(B208&amp;"|늦음",'2.현장'!$Z$2:$Z$1001,0)))),""))</f>
        <v/>
      </c>
      <c r="J208">
        <f>IF(B208="","",IFERROR(VLOOKUP(B208,설계사_메모!$A$3:$G$302,2,FALSE)&amp;"",""))</f>
        <v/>
      </c>
      <c r="K208">
        <f>IF(B208="","",IFERROR(VLOOKUP(B208,설계사_메모!$A$3:$G$302,4,FALSE)&amp;"",""))</f>
        <v/>
      </c>
      <c r="L208" s="6">
        <f>IF(B208="","",IF(COUNTIF('4.방문기록'!$B$3:$B$502,B208)=0,"",_xlfn.MAXIFS('4.방문기록'!$A$3:$A$502,'4.방문기록'!$B$3:$B$502,B208)))</f>
        <v/>
      </c>
      <c r="M208">
        <f>IF(L208="","",설정!$B$24-L208)</f>
        <v/>
      </c>
      <c r="N208" s="6">
        <f>IF(B208="","",IF(_xlfn.MAXIFS('4.방문기록'!$F$3:$F$502,'4.방문기록'!$B$3:$B$502,B208)=0,"",_xlfn.MAXIFS('4.방문기록'!$F$3:$F$502,'4.방문기록'!$B$3:$B$502,B208)))</f>
        <v/>
      </c>
      <c r="O208">
        <f>IF(L208="","",IFERROR(INDEX('4.방문기록'!$H$3:$H$502,MATCH(B208&amp;"|"&amp;(L208*1),'4.방문기록'!$I$3:$I$502,0))&amp;"",""))</f>
        <v/>
      </c>
      <c r="P208">
        <f>IF(B208="","",IF(O208="관심 없음","제외",IF(L208="","안 가봄",IF(M208&gt;=설정!$B$20,M208&amp;"일 지남","최근 방문"))))</f>
        <v/>
      </c>
      <c r="Q208" s="7">
        <f>IF(B208="","",IF(P208="제외","",IF(AND(설정!$B$21&lt;&gt;"",I208&lt;&gt;설정!$B$21),"",IF(AND(N208&lt;&gt;"",N208&gt;N(L208),N208&lt;=설정!$B$24+7),100+7-(N208-설정!$B$24),IF(AND(D208&gt;0,OR(P208="안 가봄",RIGHT(P208,2)="지남")),D208*10+IF(L208="",30,MIN(M208,60)/2)+MIN(N(F208)/1000,20),"")))))</f>
        <v/>
      </c>
      <c r="R208">
        <f>IF(Q208="","",COUNTIF(Q$4:Q$303,"&gt;"&amp;Q208)+COUNTIF(Q$4:Q208,Q208))</f>
        <v/>
      </c>
    </row>
    <row r="209">
      <c r="A209">
        <f>IF(B209="","",206)</f>
        <v/>
      </c>
      <c r="B209">
        <f>IFERROR(INDEX('2.현장'!$V$2:$V$1001,MATCH(206,'2.현장'!$W$2:$W$1001,0)),"")</f>
        <v/>
      </c>
      <c r="C209">
        <f>IF(B209="","",COUNTIFS('2.현장'!$V$2:$V$1001,B209,'2.현장'!$T$2:$T$1001,TRUE))</f>
        <v/>
      </c>
      <c r="D209">
        <f>IF(B209="","",COUNTIFS('2.현장'!$V$2:$V$1001,B209,'2.현장'!$U$2:$U$1001,"설계사"))</f>
        <v/>
      </c>
      <c r="E209">
        <f>IF(B209="","",COUNTIFS('2.현장'!$V$2:$V$1001,B209,'2.현장'!$U$2:$U$1001,"시공사"))</f>
        <v/>
      </c>
      <c r="F209" s="5">
        <f>IF(B209="","",_xlfn.MAXIFS('2.현장'!$D$2:$D$1001,'2.현장'!$V$2:$V$1001,B209,'2.현장'!$T$2:$T$1001,TRUE))</f>
        <v/>
      </c>
      <c r="G209" s="6">
        <f>IF(B209="","",IF(_xlfn.MAXIFS('2.현장'!$L$2:$L$1001,'2.현장'!$V$2:$V$1001,B209,'2.현장'!$T$2:$T$1001,TRUE)=0,"",_xlfn.MAXIFS('2.현장'!$L$2:$L$1001,'2.현장'!$V$2:$V$1001,B209,'2.현장'!$T$2:$T$1001,TRUE)))</f>
        <v/>
      </c>
      <c r="H209">
        <f>IF(B209="","",IFERROR(INDEX('2.현장'!$C$2:$C$1001,IFERROR(MATCH(B209&amp;"|설계사",'2.현장'!$Z$2:$Z$1001,0),IFERROR(MATCH(B209&amp;"|시공사",'2.현장'!$Z$2:$Z$1001,0),MATCH(B209&amp;"|늦음",'2.현장'!$Z$2:$Z$1001,0)))),""))</f>
        <v/>
      </c>
      <c r="I209">
        <f>IF(B209="","",IFERROR(INDEX('2.현장'!$N$2:$N$1001,IFERROR(MATCH(B209&amp;"|설계사",'2.현장'!$Z$2:$Z$1001,0),IFERROR(MATCH(B209&amp;"|시공사",'2.현장'!$Z$2:$Z$1001,0),MATCH(B209&amp;"|늦음",'2.현장'!$Z$2:$Z$1001,0)))),""))</f>
        <v/>
      </c>
      <c r="J209">
        <f>IF(B209="","",IFERROR(VLOOKUP(B209,설계사_메모!$A$3:$G$302,2,FALSE)&amp;"",""))</f>
        <v/>
      </c>
      <c r="K209">
        <f>IF(B209="","",IFERROR(VLOOKUP(B209,설계사_메모!$A$3:$G$302,4,FALSE)&amp;"",""))</f>
        <v/>
      </c>
      <c r="L209" s="6">
        <f>IF(B209="","",IF(COUNTIF('4.방문기록'!$B$3:$B$502,B209)=0,"",_xlfn.MAXIFS('4.방문기록'!$A$3:$A$502,'4.방문기록'!$B$3:$B$502,B209)))</f>
        <v/>
      </c>
      <c r="M209">
        <f>IF(L209="","",설정!$B$24-L209)</f>
        <v/>
      </c>
      <c r="N209" s="6">
        <f>IF(B209="","",IF(_xlfn.MAXIFS('4.방문기록'!$F$3:$F$502,'4.방문기록'!$B$3:$B$502,B209)=0,"",_xlfn.MAXIFS('4.방문기록'!$F$3:$F$502,'4.방문기록'!$B$3:$B$502,B209)))</f>
        <v/>
      </c>
      <c r="O209">
        <f>IF(L209="","",IFERROR(INDEX('4.방문기록'!$H$3:$H$502,MATCH(B209&amp;"|"&amp;(L209*1),'4.방문기록'!$I$3:$I$502,0))&amp;"",""))</f>
        <v/>
      </c>
      <c r="P209">
        <f>IF(B209="","",IF(O209="관심 없음","제외",IF(L209="","안 가봄",IF(M209&gt;=설정!$B$20,M209&amp;"일 지남","최근 방문"))))</f>
        <v/>
      </c>
      <c r="Q209" s="7">
        <f>IF(B209="","",IF(P209="제외","",IF(AND(설정!$B$21&lt;&gt;"",I209&lt;&gt;설정!$B$21),"",IF(AND(N209&lt;&gt;"",N209&gt;N(L209),N209&lt;=설정!$B$24+7),100+7-(N209-설정!$B$24),IF(AND(D209&gt;0,OR(P209="안 가봄",RIGHT(P209,2)="지남")),D209*10+IF(L209="",30,MIN(M209,60)/2)+MIN(N(F209)/1000,20),"")))))</f>
        <v/>
      </c>
      <c r="R209">
        <f>IF(Q209="","",COUNTIF(Q$4:Q$303,"&gt;"&amp;Q209)+COUNTIF(Q$4:Q209,Q209))</f>
        <v/>
      </c>
    </row>
    <row r="210">
      <c r="A210">
        <f>IF(B210="","",207)</f>
        <v/>
      </c>
      <c r="B210">
        <f>IFERROR(INDEX('2.현장'!$V$2:$V$1001,MATCH(207,'2.현장'!$W$2:$W$1001,0)),"")</f>
        <v/>
      </c>
      <c r="C210">
        <f>IF(B210="","",COUNTIFS('2.현장'!$V$2:$V$1001,B210,'2.현장'!$T$2:$T$1001,TRUE))</f>
        <v/>
      </c>
      <c r="D210">
        <f>IF(B210="","",COUNTIFS('2.현장'!$V$2:$V$1001,B210,'2.현장'!$U$2:$U$1001,"설계사"))</f>
        <v/>
      </c>
      <c r="E210">
        <f>IF(B210="","",COUNTIFS('2.현장'!$V$2:$V$1001,B210,'2.현장'!$U$2:$U$1001,"시공사"))</f>
        <v/>
      </c>
      <c r="F210" s="5">
        <f>IF(B210="","",_xlfn.MAXIFS('2.현장'!$D$2:$D$1001,'2.현장'!$V$2:$V$1001,B210,'2.현장'!$T$2:$T$1001,TRUE))</f>
        <v/>
      </c>
      <c r="G210" s="6">
        <f>IF(B210="","",IF(_xlfn.MAXIFS('2.현장'!$L$2:$L$1001,'2.현장'!$V$2:$V$1001,B210,'2.현장'!$T$2:$T$1001,TRUE)=0,"",_xlfn.MAXIFS('2.현장'!$L$2:$L$1001,'2.현장'!$V$2:$V$1001,B210,'2.현장'!$T$2:$T$1001,TRUE)))</f>
        <v/>
      </c>
      <c r="H210">
        <f>IF(B210="","",IFERROR(INDEX('2.현장'!$C$2:$C$1001,IFERROR(MATCH(B210&amp;"|설계사",'2.현장'!$Z$2:$Z$1001,0),IFERROR(MATCH(B210&amp;"|시공사",'2.현장'!$Z$2:$Z$1001,0),MATCH(B210&amp;"|늦음",'2.현장'!$Z$2:$Z$1001,0)))),""))</f>
        <v/>
      </c>
      <c r="I210">
        <f>IF(B210="","",IFERROR(INDEX('2.현장'!$N$2:$N$1001,IFERROR(MATCH(B210&amp;"|설계사",'2.현장'!$Z$2:$Z$1001,0),IFERROR(MATCH(B210&amp;"|시공사",'2.현장'!$Z$2:$Z$1001,0),MATCH(B210&amp;"|늦음",'2.현장'!$Z$2:$Z$1001,0)))),""))</f>
        <v/>
      </c>
      <c r="J210">
        <f>IF(B210="","",IFERROR(VLOOKUP(B210,설계사_메모!$A$3:$G$302,2,FALSE)&amp;"",""))</f>
        <v/>
      </c>
      <c r="K210">
        <f>IF(B210="","",IFERROR(VLOOKUP(B210,설계사_메모!$A$3:$G$302,4,FALSE)&amp;"",""))</f>
        <v/>
      </c>
      <c r="L210" s="6">
        <f>IF(B210="","",IF(COUNTIF('4.방문기록'!$B$3:$B$502,B210)=0,"",_xlfn.MAXIFS('4.방문기록'!$A$3:$A$502,'4.방문기록'!$B$3:$B$502,B210)))</f>
        <v/>
      </c>
      <c r="M210">
        <f>IF(L210="","",설정!$B$24-L210)</f>
        <v/>
      </c>
      <c r="N210" s="6">
        <f>IF(B210="","",IF(_xlfn.MAXIFS('4.방문기록'!$F$3:$F$502,'4.방문기록'!$B$3:$B$502,B210)=0,"",_xlfn.MAXIFS('4.방문기록'!$F$3:$F$502,'4.방문기록'!$B$3:$B$502,B210)))</f>
        <v/>
      </c>
      <c r="O210">
        <f>IF(L210="","",IFERROR(INDEX('4.방문기록'!$H$3:$H$502,MATCH(B210&amp;"|"&amp;(L210*1),'4.방문기록'!$I$3:$I$502,0))&amp;"",""))</f>
        <v/>
      </c>
      <c r="P210">
        <f>IF(B210="","",IF(O210="관심 없음","제외",IF(L210="","안 가봄",IF(M210&gt;=설정!$B$20,M210&amp;"일 지남","최근 방문"))))</f>
        <v/>
      </c>
      <c r="Q210" s="7">
        <f>IF(B210="","",IF(P210="제외","",IF(AND(설정!$B$21&lt;&gt;"",I210&lt;&gt;설정!$B$21),"",IF(AND(N210&lt;&gt;"",N210&gt;N(L210),N210&lt;=설정!$B$24+7),100+7-(N210-설정!$B$24),IF(AND(D210&gt;0,OR(P210="안 가봄",RIGHT(P210,2)="지남")),D210*10+IF(L210="",30,MIN(M210,60)/2)+MIN(N(F210)/1000,20),"")))))</f>
        <v/>
      </c>
      <c r="R210">
        <f>IF(Q210="","",COUNTIF(Q$4:Q$303,"&gt;"&amp;Q210)+COUNTIF(Q$4:Q210,Q210))</f>
        <v/>
      </c>
    </row>
    <row r="211">
      <c r="A211">
        <f>IF(B211="","",208)</f>
        <v/>
      </c>
      <c r="B211">
        <f>IFERROR(INDEX('2.현장'!$V$2:$V$1001,MATCH(208,'2.현장'!$W$2:$W$1001,0)),"")</f>
        <v/>
      </c>
      <c r="C211">
        <f>IF(B211="","",COUNTIFS('2.현장'!$V$2:$V$1001,B211,'2.현장'!$T$2:$T$1001,TRUE))</f>
        <v/>
      </c>
      <c r="D211">
        <f>IF(B211="","",COUNTIFS('2.현장'!$V$2:$V$1001,B211,'2.현장'!$U$2:$U$1001,"설계사"))</f>
        <v/>
      </c>
      <c r="E211">
        <f>IF(B211="","",COUNTIFS('2.현장'!$V$2:$V$1001,B211,'2.현장'!$U$2:$U$1001,"시공사"))</f>
        <v/>
      </c>
      <c r="F211" s="5">
        <f>IF(B211="","",_xlfn.MAXIFS('2.현장'!$D$2:$D$1001,'2.현장'!$V$2:$V$1001,B211,'2.현장'!$T$2:$T$1001,TRUE))</f>
        <v/>
      </c>
      <c r="G211" s="6">
        <f>IF(B211="","",IF(_xlfn.MAXIFS('2.현장'!$L$2:$L$1001,'2.현장'!$V$2:$V$1001,B211,'2.현장'!$T$2:$T$1001,TRUE)=0,"",_xlfn.MAXIFS('2.현장'!$L$2:$L$1001,'2.현장'!$V$2:$V$1001,B211,'2.현장'!$T$2:$T$1001,TRUE)))</f>
        <v/>
      </c>
      <c r="H211">
        <f>IF(B211="","",IFERROR(INDEX('2.현장'!$C$2:$C$1001,IFERROR(MATCH(B211&amp;"|설계사",'2.현장'!$Z$2:$Z$1001,0),IFERROR(MATCH(B211&amp;"|시공사",'2.현장'!$Z$2:$Z$1001,0),MATCH(B211&amp;"|늦음",'2.현장'!$Z$2:$Z$1001,0)))),""))</f>
        <v/>
      </c>
      <c r="I211">
        <f>IF(B211="","",IFERROR(INDEX('2.현장'!$N$2:$N$1001,IFERROR(MATCH(B211&amp;"|설계사",'2.현장'!$Z$2:$Z$1001,0),IFERROR(MATCH(B211&amp;"|시공사",'2.현장'!$Z$2:$Z$1001,0),MATCH(B211&amp;"|늦음",'2.현장'!$Z$2:$Z$1001,0)))),""))</f>
        <v/>
      </c>
      <c r="J211">
        <f>IF(B211="","",IFERROR(VLOOKUP(B211,설계사_메모!$A$3:$G$302,2,FALSE)&amp;"",""))</f>
        <v/>
      </c>
      <c r="K211">
        <f>IF(B211="","",IFERROR(VLOOKUP(B211,설계사_메모!$A$3:$G$302,4,FALSE)&amp;"",""))</f>
        <v/>
      </c>
      <c r="L211" s="6">
        <f>IF(B211="","",IF(COUNTIF('4.방문기록'!$B$3:$B$502,B211)=0,"",_xlfn.MAXIFS('4.방문기록'!$A$3:$A$502,'4.방문기록'!$B$3:$B$502,B211)))</f>
        <v/>
      </c>
      <c r="M211">
        <f>IF(L211="","",설정!$B$24-L211)</f>
        <v/>
      </c>
      <c r="N211" s="6">
        <f>IF(B211="","",IF(_xlfn.MAXIFS('4.방문기록'!$F$3:$F$502,'4.방문기록'!$B$3:$B$502,B211)=0,"",_xlfn.MAXIFS('4.방문기록'!$F$3:$F$502,'4.방문기록'!$B$3:$B$502,B211)))</f>
        <v/>
      </c>
      <c r="O211">
        <f>IF(L211="","",IFERROR(INDEX('4.방문기록'!$H$3:$H$502,MATCH(B211&amp;"|"&amp;(L211*1),'4.방문기록'!$I$3:$I$502,0))&amp;"",""))</f>
        <v/>
      </c>
      <c r="P211">
        <f>IF(B211="","",IF(O211="관심 없음","제외",IF(L211="","안 가봄",IF(M211&gt;=설정!$B$20,M211&amp;"일 지남","최근 방문"))))</f>
        <v/>
      </c>
      <c r="Q211" s="7">
        <f>IF(B211="","",IF(P211="제외","",IF(AND(설정!$B$21&lt;&gt;"",I211&lt;&gt;설정!$B$21),"",IF(AND(N211&lt;&gt;"",N211&gt;N(L211),N211&lt;=설정!$B$24+7),100+7-(N211-설정!$B$24),IF(AND(D211&gt;0,OR(P211="안 가봄",RIGHT(P211,2)="지남")),D211*10+IF(L211="",30,MIN(M211,60)/2)+MIN(N(F211)/1000,20),"")))))</f>
        <v/>
      </c>
      <c r="R211">
        <f>IF(Q211="","",COUNTIF(Q$4:Q$303,"&gt;"&amp;Q211)+COUNTIF(Q$4:Q211,Q211))</f>
        <v/>
      </c>
    </row>
    <row r="212">
      <c r="A212">
        <f>IF(B212="","",209)</f>
        <v/>
      </c>
      <c r="B212">
        <f>IFERROR(INDEX('2.현장'!$V$2:$V$1001,MATCH(209,'2.현장'!$W$2:$W$1001,0)),"")</f>
        <v/>
      </c>
      <c r="C212">
        <f>IF(B212="","",COUNTIFS('2.현장'!$V$2:$V$1001,B212,'2.현장'!$T$2:$T$1001,TRUE))</f>
        <v/>
      </c>
      <c r="D212">
        <f>IF(B212="","",COUNTIFS('2.현장'!$V$2:$V$1001,B212,'2.현장'!$U$2:$U$1001,"설계사"))</f>
        <v/>
      </c>
      <c r="E212">
        <f>IF(B212="","",COUNTIFS('2.현장'!$V$2:$V$1001,B212,'2.현장'!$U$2:$U$1001,"시공사"))</f>
        <v/>
      </c>
      <c r="F212" s="5">
        <f>IF(B212="","",_xlfn.MAXIFS('2.현장'!$D$2:$D$1001,'2.현장'!$V$2:$V$1001,B212,'2.현장'!$T$2:$T$1001,TRUE))</f>
        <v/>
      </c>
      <c r="G212" s="6">
        <f>IF(B212="","",IF(_xlfn.MAXIFS('2.현장'!$L$2:$L$1001,'2.현장'!$V$2:$V$1001,B212,'2.현장'!$T$2:$T$1001,TRUE)=0,"",_xlfn.MAXIFS('2.현장'!$L$2:$L$1001,'2.현장'!$V$2:$V$1001,B212,'2.현장'!$T$2:$T$1001,TRUE)))</f>
        <v/>
      </c>
      <c r="H212">
        <f>IF(B212="","",IFERROR(INDEX('2.현장'!$C$2:$C$1001,IFERROR(MATCH(B212&amp;"|설계사",'2.현장'!$Z$2:$Z$1001,0),IFERROR(MATCH(B212&amp;"|시공사",'2.현장'!$Z$2:$Z$1001,0),MATCH(B212&amp;"|늦음",'2.현장'!$Z$2:$Z$1001,0)))),""))</f>
        <v/>
      </c>
      <c r="I212">
        <f>IF(B212="","",IFERROR(INDEX('2.현장'!$N$2:$N$1001,IFERROR(MATCH(B212&amp;"|설계사",'2.현장'!$Z$2:$Z$1001,0),IFERROR(MATCH(B212&amp;"|시공사",'2.현장'!$Z$2:$Z$1001,0),MATCH(B212&amp;"|늦음",'2.현장'!$Z$2:$Z$1001,0)))),""))</f>
        <v/>
      </c>
      <c r="J212">
        <f>IF(B212="","",IFERROR(VLOOKUP(B212,설계사_메모!$A$3:$G$302,2,FALSE)&amp;"",""))</f>
        <v/>
      </c>
      <c r="K212">
        <f>IF(B212="","",IFERROR(VLOOKUP(B212,설계사_메모!$A$3:$G$302,4,FALSE)&amp;"",""))</f>
        <v/>
      </c>
      <c r="L212" s="6">
        <f>IF(B212="","",IF(COUNTIF('4.방문기록'!$B$3:$B$502,B212)=0,"",_xlfn.MAXIFS('4.방문기록'!$A$3:$A$502,'4.방문기록'!$B$3:$B$502,B212)))</f>
        <v/>
      </c>
      <c r="M212">
        <f>IF(L212="","",설정!$B$24-L212)</f>
        <v/>
      </c>
      <c r="N212" s="6">
        <f>IF(B212="","",IF(_xlfn.MAXIFS('4.방문기록'!$F$3:$F$502,'4.방문기록'!$B$3:$B$502,B212)=0,"",_xlfn.MAXIFS('4.방문기록'!$F$3:$F$502,'4.방문기록'!$B$3:$B$502,B212)))</f>
        <v/>
      </c>
      <c r="O212">
        <f>IF(L212="","",IFERROR(INDEX('4.방문기록'!$H$3:$H$502,MATCH(B212&amp;"|"&amp;(L212*1),'4.방문기록'!$I$3:$I$502,0))&amp;"",""))</f>
        <v/>
      </c>
      <c r="P212">
        <f>IF(B212="","",IF(O212="관심 없음","제외",IF(L212="","안 가봄",IF(M212&gt;=설정!$B$20,M212&amp;"일 지남","최근 방문"))))</f>
        <v/>
      </c>
      <c r="Q212" s="7">
        <f>IF(B212="","",IF(P212="제외","",IF(AND(설정!$B$21&lt;&gt;"",I212&lt;&gt;설정!$B$21),"",IF(AND(N212&lt;&gt;"",N212&gt;N(L212),N212&lt;=설정!$B$24+7),100+7-(N212-설정!$B$24),IF(AND(D212&gt;0,OR(P212="안 가봄",RIGHT(P212,2)="지남")),D212*10+IF(L212="",30,MIN(M212,60)/2)+MIN(N(F212)/1000,20),"")))))</f>
        <v/>
      </c>
      <c r="R212">
        <f>IF(Q212="","",COUNTIF(Q$4:Q$303,"&gt;"&amp;Q212)+COUNTIF(Q$4:Q212,Q212))</f>
        <v/>
      </c>
    </row>
    <row r="213">
      <c r="A213">
        <f>IF(B213="","",210)</f>
        <v/>
      </c>
      <c r="B213">
        <f>IFERROR(INDEX('2.현장'!$V$2:$V$1001,MATCH(210,'2.현장'!$W$2:$W$1001,0)),"")</f>
        <v/>
      </c>
      <c r="C213">
        <f>IF(B213="","",COUNTIFS('2.현장'!$V$2:$V$1001,B213,'2.현장'!$T$2:$T$1001,TRUE))</f>
        <v/>
      </c>
      <c r="D213">
        <f>IF(B213="","",COUNTIFS('2.현장'!$V$2:$V$1001,B213,'2.현장'!$U$2:$U$1001,"설계사"))</f>
        <v/>
      </c>
      <c r="E213">
        <f>IF(B213="","",COUNTIFS('2.현장'!$V$2:$V$1001,B213,'2.현장'!$U$2:$U$1001,"시공사"))</f>
        <v/>
      </c>
      <c r="F213" s="5">
        <f>IF(B213="","",_xlfn.MAXIFS('2.현장'!$D$2:$D$1001,'2.현장'!$V$2:$V$1001,B213,'2.현장'!$T$2:$T$1001,TRUE))</f>
        <v/>
      </c>
      <c r="G213" s="6">
        <f>IF(B213="","",IF(_xlfn.MAXIFS('2.현장'!$L$2:$L$1001,'2.현장'!$V$2:$V$1001,B213,'2.현장'!$T$2:$T$1001,TRUE)=0,"",_xlfn.MAXIFS('2.현장'!$L$2:$L$1001,'2.현장'!$V$2:$V$1001,B213,'2.현장'!$T$2:$T$1001,TRUE)))</f>
        <v/>
      </c>
      <c r="H213">
        <f>IF(B213="","",IFERROR(INDEX('2.현장'!$C$2:$C$1001,IFERROR(MATCH(B213&amp;"|설계사",'2.현장'!$Z$2:$Z$1001,0),IFERROR(MATCH(B213&amp;"|시공사",'2.현장'!$Z$2:$Z$1001,0),MATCH(B213&amp;"|늦음",'2.현장'!$Z$2:$Z$1001,0)))),""))</f>
        <v/>
      </c>
      <c r="I213">
        <f>IF(B213="","",IFERROR(INDEX('2.현장'!$N$2:$N$1001,IFERROR(MATCH(B213&amp;"|설계사",'2.현장'!$Z$2:$Z$1001,0),IFERROR(MATCH(B213&amp;"|시공사",'2.현장'!$Z$2:$Z$1001,0),MATCH(B213&amp;"|늦음",'2.현장'!$Z$2:$Z$1001,0)))),""))</f>
        <v/>
      </c>
      <c r="J213">
        <f>IF(B213="","",IFERROR(VLOOKUP(B213,설계사_메모!$A$3:$G$302,2,FALSE)&amp;"",""))</f>
        <v/>
      </c>
      <c r="K213">
        <f>IF(B213="","",IFERROR(VLOOKUP(B213,설계사_메모!$A$3:$G$302,4,FALSE)&amp;"",""))</f>
        <v/>
      </c>
      <c r="L213" s="6">
        <f>IF(B213="","",IF(COUNTIF('4.방문기록'!$B$3:$B$502,B213)=0,"",_xlfn.MAXIFS('4.방문기록'!$A$3:$A$502,'4.방문기록'!$B$3:$B$502,B213)))</f>
        <v/>
      </c>
      <c r="M213">
        <f>IF(L213="","",설정!$B$24-L213)</f>
        <v/>
      </c>
      <c r="N213" s="6">
        <f>IF(B213="","",IF(_xlfn.MAXIFS('4.방문기록'!$F$3:$F$502,'4.방문기록'!$B$3:$B$502,B213)=0,"",_xlfn.MAXIFS('4.방문기록'!$F$3:$F$502,'4.방문기록'!$B$3:$B$502,B213)))</f>
        <v/>
      </c>
      <c r="O213">
        <f>IF(L213="","",IFERROR(INDEX('4.방문기록'!$H$3:$H$502,MATCH(B213&amp;"|"&amp;(L213*1),'4.방문기록'!$I$3:$I$502,0))&amp;"",""))</f>
        <v/>
      </c>
      <c r="P213">
        <f>IF(B213="","",IF(O213="관심 없음","제외",IF(L213="","안 가봄",IF(M213&gt;=설정!$B$20,M213&amp;"일 지남","최근 방문"))))</f>
        <v/>
      </c>
      <c r="Q213" s="7">
        <f>IF(B213="","",IF(P213="제외","",IF(AND(설정!$B$21&lt;&gt;"",I213&lt;&gt;설정!$B$21),"",IF(AND(N213&lt;&gt;"",N213&gt;N(L213),N213&lt;=설정!$B$24+7),100+7-(N213-설정!$B$24),IF(AND(D213&gt;0,OR(P213="안 가봄",RIGHT(P213,2)="지남")),D213*10+IF(L213="",30,MIN(M213,60)/2)+MIN(N(F213)/1000,20),"")))))</f>
        <v/>
      </c>
      <c r="R213">
        <f>IF(Q213="","",COUNTIF(Q$4:Q$303,"&gt;"&amp;Q213)+COUNTIF(Q$4:Q213,Q213))</f>
        <v/>
      </c>
    </row>
    <row r="214">
      <c r="A214">
        <f>IF(B214="","",211)</f>
        <v/>
      </c>
      <c r="B214">
        <f>IFERROR(INDEX('2.현장'!$V$2:$V$1001,MATCH(211,'2.현장'!$W$2:$W$1001,0)),"")</f>
        <v/>
      </c>
      <c r="C214">
        <f>IF(B214="","",COUNTIFS('2.현장'!$V$2:$V$1001,B214,'2.현장'!$T$2:$T$1001,TRUE))</f>
        <v/>
      </c>
      <c r="D214">
        <f>IF(B214="","",COUNTIFS('2.현장'!$V$2:$V$1001,B214,'2.현장'!$U$2:$U$1001,"설계사"))</f>
        <v/>
      </c>
      <c r="E214">
        <f>IF(B214="","",COUNTIFS('2.현장'!$V$2:$V$1001,B214,'2.현장'!$U$2:$U$1001,"시공사"))</f>
        <v/>
      </c>
      <c r="F214" s="5">
        <f>IF(B214="","",_xlfn.MAXIFS('2.현장'!$D$2:$D$1001,'2.현장'!$V$2:$V$1001,B214,'2.현장'!$T$2:$T$1001,TRUE))</f>
        <v/>
      </c>
      <c r="G214" s="6">
        <f>IF(B214="","",IF(_xlfn.MAXIFS('2.현장'!$L$2:$L$1001,'2.현장'!$V$2:$V$1001,B214,'2.현장'!$T$2:$T$1001,TRUE)=0,"",_xlfn.MAXIFS('2.현장'!$L$2:$L$1001,'2.현장'!$V$2:$V$1001,B214,'2.현장'!$T$2:$T$1001,TRUE)))</f>
        <v/>
      </c>
      <c r="H214">
        <f>IF(B214="","",IFERROR(INDEX('2.현장'!$C$2:$C$1001,IFERROR(MATCH(B214&amp;"|설계사",'2.현장'!$Z$2:$Z$1001,0),IFERROR(MATCH(B214&amp;"|시공사",'2.현장'!$Z$2:$Z$1001,0),MATCH(B214&amp;"|늦음",'2.현장'!$Z$2:$Z$1001,0)))),""))</f>
        <v/>
      </c>
      <c r="I214">
        <f>IF(B214="","",IFERROR(INDEX('2.현장'!$N$2:$N$1001,IFERROR(MATCH(B214&amp;"|설계사",'2.현장'!$Z$2:$Z$1001,0),IFERROR(MATCH(B214&amp;"|시공사",'2.현장'!$Z$2:$Z$1001,0),MATCH(B214&amp;"|늦음",'2.현장'!$Z$2:$Z$1001,0)))),""))</f>
        <v/>
      </c>
      <c r="J214">
        <f>IF(B214="","",IFERROR(VLOOKUP(B214,설계사_메모!$A$3:$G$302,2,FALSE)&amp;"",""))</f>
        <v/>
      </c>
      <c r="K214">
        <f>IF(B214="","",IFERROR(VLOOKUP(B214,설계사_메모!$A$3:$G$302,4,FALSE)&amp;"",""))</f>
        <v/>
      </c>
      <c r="L214" s="6">
        <f>IF(B214="","",IF(COUNTIF('4.방문기록'!$B$3:$B$502,B214)=0,"",_xlfn.MAXIFS('4.방문기록'!$A$3:$A$502,'4.방문기록'!$B$3:$B$502,B214)))</f>
        <v/>
      </c>
      <c r="M214">
        <f>IF(L214="","",설정!$B$24-L214)</f>
        <v/>
      </c>
      <c r="N214" s="6">
        <f>IF(B214="","",IF(_xlfn.MAXIFS('4.방문기록'!$F$3:$F$502,'4.방문기록'!$B$3:$B$502,B214)=0,"",_xlfn.MAXIFS('4.방문기록'!$F$3:$F$502,'4.방문기록'!$B$3:$B$502,B214)))</f>
        <v/>
      </c>
      <c r="O214">
        <f>IF(L214="","",IFERROR(INDEX('4.방문기록'!$H$3:$H$502,MATCH(B214&amp;"|"&amp;(L214*1),'4.방문기록'!$I$3:$I$502,0))&amp;"",""))</f>
        <v/>
      </c>
      <c r="P214">
        <f>IF(B214="","",IF(O214="관심 없음","제외",IF(L214="","안 가봄",IF(M214&gt;=설정!$B$20,M214&amp;"일 지남","최근 방문"))))</f>
        <v/>
      </c>
      <c r="Q214" s="7">
        <f>IF(B214="","",IF(P214="제외","",IF(AND(설정!$B$21&lt;&gt;"",I214&lt;&gt;설정!$B$21),"",IF(AND(N214&lt;&gt;"",N214&gt;N(L214),N214&lt;=설정!$B$24+7),100+7-(N214-설정!$B$24),IF(AND(D214&gt;0,OR(P214="안 가봄",RIGHT(P214,2)="지남")),D214*10+IF(L214="",30,MIN(M214,60)/2)+MIN(N(F214)/1000,20),"")))))</f>
        <v/>
      </c>
      <c r="R214">
        <f>IF(Q214="","",COUNTIF(Q$4:Q$303,"&gt;"&amp;Q214)+COUNTIF(Q$4:Q214,Q214))</f>
        <v/>
      </c>
    </row>
    <row r="215">
      <c r="A215">
        <f>IF(B215="","",212)</f>
        <v/>
      </c>
      <c r="B215">
        <f>IFERROR(INDEX('2.현장'!$V$2:$V$1001,MATCH(212,'2.현장'!$W$2:$W$1001,0)),"")</f>
        <v/>
      </c>
      <c r="C215">
        <f>IF(B215="","",COUNTIFS('2.현장'!$V$2:$V$1001,B215,'2.현장'!$T$2:$T$1001,TRUE))</f>
        <v/>
      </c>
      <c r="D215">
        <f>IF(B215="","",COUNTIFS('2.현장'!$V$2:$V$1001,B215,'2.현장'!$U$2:$U$1001,"설계사"))</f>
        <v/>
      </c>
      <c r="E215">
        <f>IF(B215="","",COUNTIFS('2.현장'!$V$2:$V$1001,B215,'2.현장'!$U$2:$U$1001,"시공사"))</f>
        <v/>
      </c>
      <c r="F215" s="5">
        <f>IF(B215="","",_xlfn.MAXIFS('2.현장'!$D$2:$D$1001,'2.현장'!$V$2:$V$1001,B215,'2.현장'!$T$2:$T$1001,TRUE))</f>
        <v/>
      </c>
      <c r="G215" s="6">
        <f>IF(B215="","",IF(_xlfn.MAXIFS('2.현장'!$L$2:$L$1001,'2.현장'!$V$2:$V$1001,B215,'2.현장'!$T$2:$T$1001,TRUE)=0,"",_xlfn.MAXIFS('2.현장'!$L$2:$L$1001,'2.현장'!$V$2:$V$1001,B215,'2.현장'!$T$2:$T$1001,TRUE)))</f>
        <v/>
      </c>
      <c r="H215">
        <f>IF(B215="","",IFERROR(INDEX('2.현장'!$C$2:$C$1001,IFERROR(MATCH(B215&amp;"|설계사",'2.현장'!$Z$2:$Z$1001,0),IFERROR(MATCH(B215&amp;"|시공사",'2.현장'!$Z$2:$Z$1001,0),MATCH(B215&amp;"|늦음",'2.현장'!$Z$2:$Z$1001,0)))),""))</f>
        <v/>
      </c>
      <c r="I215">
        <f>IF(B215="","",IFERROR(INDEX('2.현장'!$N$2:$N$1001,IFERROR(MATCH(B215&amp;"|설계사",'2.현장'!$Z$2:$Z$1001,0),IFERROR(MATCH(B215&amp;"|시공사",'2.현장'!$Z$2:$Z$1001,0),MATCH(B215&amp;"|늦음",'2.현장'!$Z$2:$Z$1001,0)))),""))</f>
        <v/>
      </c>
      <c r="J215">
        <f>IF(B215="","",IFERROR(VLOOKUP(B215,설계사_메모!$A$3:$G$302,2,FALSE)&amp;"",""))</f>
        <v/>
      </c>
      <c r="K215">
        <f>IF(B215="","",IFERROR(VLOOKUP(B215,설계사_메모!$A$3:$G$302,4,FALSE)&amp;"",""))</f>
        <v/>
      </c>
      <c r="L215" s="6">
        <f>IF(B215="","",IF(COUNTIF('4.방문기록'!$B$3:$B$502,B215)=0,"",_xlfn.MAXIFS('4.방문기록'!$A$3:$A$502,'4.방문기록'!$B$3:$B$502,B215)))</f>
        <v/>
      </c>
      <c r="M215">
        <f>IF(L215="","",설정!$B$24-L215)</f>
        <v/>
      </c>
      <c r="N215" s="6">
        <f>IF(B215="","",IF(_xlfn.MAXIFS('4.방문기록'!$F$3:$F$502,'4.방문기록'!$B$3:$B$502,B215)=0,"",_xlfn.MAXIFS('4.방문기록'!$F$3:$F$502,'4.방문기록'!$B$3:$B$502,B215)))</f>
        <v/>
      </c>
      <c r="O215">
        <f>IF(L215="","",IFERROR(INDEX('4.방문기록'!$H$3:$H$502,MATCH(B215&amp;"|"&amp;(L215*1),'4.방문기록'!$I$3:$I$502,0))&amp;"",""))</f>
        <v/>
      </c>
      <c r="P215">
        <f>IF(B215="","",IF(O215="관심 없음","제외",IF(L215="","안 가봄",IF(M215&gt;=설정!$B$20,M215&amp;"일 지남","최근 방문"))))</f>
        <v/>
      </c>
      <c r="Q215" s="7">
        <f>IF(B215="","",IF(P215="제외","",IF(AND(설정!$B$21&lt;&gt;"",I215&lt;&gt;설정!$B$21),"",IF(AND(N215&lt;&gt;"",N215&gt;N(L215),N215&lt;=설정!$B$24+7),100+7-(N215-설정!$B$24),IF(AND(D215&gt;0,OR(P215="안 가봄",RIGHT(P215,2)="지남")),D215*10+IF(L215="",30,MIN(M215,60)/2)+MIN(N(F215)/1000,20),"")))))</f>
        <v/>
      </c>
      <c r="R215">
        <f>IF(Q215="","",COUNTIF(Q$4:Q$303,"&gt;"&amp;Q215)+COUNTIF(Q$4:Q215,Q215))</f>
        <v/>
      </c>
    </row>
    <row r="216">
      <c r="A216">
        <f>IF(B216="","",213)</f>
        <v/>
      </c>
      <c r="B216">
        <f>IFERROR(INDEX('2.현장'!$V$2:$V$1001,MATCH(213,'2.현장'!$W$2:$W$1001,0)),"")</f>
        <v/>
      </c>
      <c r="C216">
        <f>IF(B216="","",COUNTIFS('2.현장'!$V$2:$V$1001,B216,'2.현장'!$T$2:$T$1001,TRUE))</f>
        <v/>
      </c>
      <c r="D216">
        <f>IF(B216="","",COUNTIFS('2.현장'!$V$2:$V$1001,B216,'2.현장'!$U$2:$U$1001,"설계사"))</f>
        <v/>
      </c>
      <c r="E216">
        <f>IF(B216="","",COUNTIFS('2.현장'!$V$2:$V$1001,B216,'2.현장'!$U$2:$U$1001,"시공사"))</f>
        <v/>
      </c>
      <c r="F216" s="5">
        <f>IF(B216="","",_xlfn.MAXIFS('2.현장'!$D$2:$D$1001,'2.현장'!$V$2:$V$1001,B216,'2.현장'!$T$2:$T$1001,TRUE))</f>
        <v/>
      </c>
      <c r="G216" s="6">
        <f>IF(B216="","",IF(_xlfn.MAXIFS('2.현장'!$L$2:$L$1001,'2.현장'!$V$2:$V$1001,B216,'2.현장'!$T$2:$T$1001,TRUE)=0,"",_xlfn.MAXIFS('2.현장'!$L$2:$L$1001,'2.현장'!$V$2:$V$1001,B216,'2.현장'!$T$2:$T$1001,TRUE)))</f>
        <v/>
      </c>
      <c r="H216">
        <f>IF(B216="","",IFERROR(INDEX('2.현장'!$C$2:$C$1001,IFERROR(MATCH(B216&amp;"|설계사",'2.현장'!$Z$2:$Z$1001,0),IFERROR(MATCH(B216&amp;"|시공사",'2.현장'!$Z$2:$Z$1001,0),MATCH(B216&amp;"|늦음",'2.현장'!$Z$2:$Z$1001,0)))),""))</f>
        <v/>
      </c>
      <c r="I216">
        <f>IF(B216="","",IFERROR(INDEX('2.현장'!$N$2:$N$1001,IFERROR(MATCH(B216&amp;"|설계사",'2.현장'!$Z$2:$Z$1001,0),IFERROR(MATCH(B216&amp;"|시공사",'2.현장'!$Z$2:$Z$1001,0),MATCH(B216&amp;"|늦음",'2.현장'!$Z$2:$Z$1001,0)))),""))</f>
        <v/>
      </c>
      <c r="J216">
        <f>IF(B216="","",IFERROR(VLOOKUP(B216,설계사_메모!$A$3:$G$302,2,FALSE)&amp;"",""))</f>
        <v/>
      </c>
      <c r="K216">
        <f>IF(B216="","",IFERROR(VLOOKUP(B216,설계사_메모!$A$3:$G$302,4,FALSE)&amp;"",""))</f>
        <v/>
      </c>
      <c r="L216" s="6">
        <f>IF(B216="","",IF(COUNTIF('4.방문기록'!$B$3:$B$502,B216)=0,"",_xlfn.MAXIFS('4.방문기록'!$A$3:$A$502,'4.방문기록'!$B$3:$B$502,B216)))</f>
        <v/>
      </c>
      <c r="M216">
        <f>IF(L216="","",설정!$B$24-L216)</f>
        <v/>
      </c>
      <c r="N216" s="6">
        <f>IF(B216="","",IF(_xlfn.MAXIFS('4.방문기록'!$F$3:$F$502,'4.방문기록'!$B$3:$B$502,B216)=0,"",_xlfn.MAXIFS('4.방문기록'!$F$3:$F$502,'4.방문기록'!$B$3:$B$502,B216)))</f>
        <v/>
      </c>
      <c r="O216">
        <f>IF(L216="","",IFERROR(INDEX('4.방문기록'!$H$3:$H$502,MATCH(B216&amp;"|"&amp;(L216*1),'4.방문기록'!$I$3:$I$502,0))&amp;"",""))</f>
        <v/>
      </c>
      <c r="P216">
        <f>IF(B216="","",IF(O216="관심 없음","제외",IF(L216="","안 가봄",IF(M216&gt;=설정!$B$20,M216&amp;"일 지남","최근 방문"))))</f>
        <v/>
      </c>
      <c r="Q216" s="7">
        <f>IF(B216="","",IF(P216="제외","",IF(AND(설정!$B$21&lt;&gt;"",I216&lt;&gt;설정!$B$21),"",IF(AND(N216&lt;&gt;"",N216&gt;N(L216),N216&lt;=설정!$B$24+7),100+7-(N216-설정!$B$24),IF(AND(D216&gt;0,OR(P216="안 가봄",RIGHT(P216,2)="지남")),D216*10+IF(L216="",30,MIN(M216,60)/2)+MIN(N(F216)/1000,20),"")))))</f>
        <v/>
      </c>
      <c r="R216">
        <f>IF(Q216="","",COUNTIF(Q$4:Q$303,"&gt;"&amp;Q216)+COUNTIF(Q$4:Q216,Q216))</f>
        <v/>
      </c>
    </row>
    <row r="217">
      <c r="A217">
        <f>IF(B217="","",214)</f>
        <v/>
      </c>
      <c r="B217">
        <f>IFERROR(INDEX('2.현장'!$V$2:$V$1001,MATCH(214,'2.현장'!$W$2:$W$1001,0)),"")</f>
        <v/>
      </c>
      <c r="C217">
        <f>IF(B217="","",COUNTIFS('2.현장'!$V$2:$V$1001,B217,'2.현장'!$T$2:$T$1001,TRUE))</f>
        <v/>
      </c>
      <c r="D217">
        <f>IF(B217="","",COUNTIFS('2.현장'!$V$2:$V$1001,B217,'2.현장'!$U$2:$U$1001,"설계사"))</f>
        <v/>
      </c>
      <c r="E217">
        <f>IF(B217="","",COUNTIFS('2.현장'!$V$2:$V$1001,B217,'2.현장'!$U$2:$U$1001,"시공사"))</f>
        <v/>
      </c>
      <c r="F217" s="5">
        <f>IF(B217="","",_xlfn.MAXIFS('2.현장'!$D$2:$D$1001,'2.현장'!$V$2:$V$1001,B217,'2.현장'!$T$2:$T$1001,TRUE))</f>
        <v/>
      </c>
      <c r="G217" s="6">
        <f>IF(B217="","",IF(_xlfn.MAXIFS('2.현장'!$L$2:$L$1001,'2.현장'!$V$2:$V$1001,B217,'2.현장'!$T$2:$T$1001,TRUE)=0,"",_xlfn.MAXIFS('2.현장'!$L$2:$L$1001,'2.현장'!$V$2:$V$1001,B217,'2.현장'!$T$2:$T$1001,TRUE)))</f>
        <v/>
      </c>
      <c r="H217">
        <f>IF(B217="","",IFERROR(INDEX('2.현장'!$C$2:$C$1001,IFERROR(MATCH(B217&amp;"|설계사",'2.현장'!$Z$2:$Z$1001,0),IFERROR(MATCH(B217&amp;"|시공사",'2.현장'!$Z$2:$Z$1001,0),MATCH(B217&amp;"|늦음",'2.현장'!$Z$2:$Z$1001,0)))),""))</f>
        <v/>
      </c>
      <c r="I217">
        <f>IF(B217="","",IFERROR(INDEX('2.현장'!$N$2:$N$1001,IFERROR(MATCH(B217&amp;"|설계사",'2.현장'!$Z$2:$Z$1001,0),IFERROR(MATCH(B217&amp;"|시공사",'2.현장'!$Z$2:$Z$1001,0),MATCH(B217&amp;"|늦음",'2.현장'!$Z$2:$Z$1001,0)))),""))</f>
        <v/>
      </c>
      <c r="J217">
        <f>IF(B217="","",IFERROR(VLOOKUP(B217,설계사_메모!$A$3:$G$302,2,FALSE)&amp;"",""))</f>
        <v/>
      </c>
      <c r="K217">
        <f>IF(B217="","",IFERROR(VLOOKUP(B217,설계사_메모!$A$3:$G$302,4,FALSE)&amp;"",""))</f>
        <v/>
      </c>
      <c r="L217" s="6">
        <f>IF(B217="","",IF(COUNTIF('4.방문기록'!$B$3:$B$502,B217)=0,"",_xlfn.MAXIFS('4.방문기록'!$A$3:$A$502,'4.방문기록'!$B$3:$B$502,B217)))</f>
        <v/>
      </c>
      <c r="M217">
        <f>IF(L217="","",설정!$B$24-L217)</f>
        <v/>
      </c>
      <c r="N217" s="6">
        <f>IF(B217="","",IF(_xlfn.MAXIFS('4.방문기록'!$F$3:$F$502,'4.방문기록'!$B$3:$B$502,B217)=0,"",_xlfn.MAXIFS('4.방문기록'!$F$3:$F$502,'4.방문기록'!$B$3:$B$502,B217)))</f>
        <v/>
      </c>
      <c r="O217">
        <f>IF(L217="","",IFERROR(INDEX('4.방문기록'!$H$3:$H$502,MATCH(B217&amp;"|"&amp;(L217*1),'4.방문기록'!$I$3:$I$502,0))&amp;"",""))</f>
        <v/>
      </c>
      <c r="P217">
        <f>IF(B217="","",IF(O217="관심 없음","제외",IF(L217="","안 가봄",IF(M217&gt;=설정!$B$20,M217&amp;"일 지남","최근 방문"))))</f>
        <v/>
      </c>
      <c r="Q217" s="7">
        <f>IF(B217="","",IF(P217="제외","",IF(AND(설정!$B$21&lt;&gt;"",I217&lt;&gt;설정!$B$21),"",IF(AND(N217&lt;&gt;"",N217&gt;N(L217),N217&lt;=설정!$B$24+7),100+7-(N217-설정!$B$24),IF(AND(D217&gt;0,OR(P217="안 가봄",RIGHT(P217,2)="지남")),D217*10+IF(L217="",30,MIN(M217,60)/2)+MIN(N(F217)/1000,20),"")))))</f>
        <v/>
      </c>
      <c r="R217">
        <f>IF(Q217="","",COUNTIF(Q$4:Q$303,"&gt;"&amp;Q217)+COUNTIF(Q$4:Q217,Q217))</f>
        <v/>
      </c>
    </row>
    <row r="218">
      <c r="A218">
        <f>IF(B218="","",215)</f>
        <v/>
      </c>
      <c r="B218">
        <f>IFERROR(INDEX('2.현장'!$V$2:$V$1001,MATCH(215,'2.현장'!$W$2:$W$1001,0)),"")</f>
        <v/>
      </c>
      <c r="C218">
        <f>IF(B218="","",COUNTIFS('2.현장'!$V$2:$V$1001,B218,'2.현장'!$T$2:$T$1001,TRUE))</f>
        <v/>
      </c>
      <c r="D218">
        <f>IF(B218="","",COUNTIFS('2.현장'!$V$2:$V$1001,B218,'2.현장'!$U$2:$U$1001,"설계사"))</f>
        <v/>
      </c>
      <c r="E218">
        <f>IF(B218="","",COUNTIFS('2.현장'!$V$2:$V$1001,B218,'2.현장'!$U$2:$U$1001,"시공사"))</f>
        <v/>
      </c>
      <c r="F218" s="5">
        <f>IF(B218="","",_xlfn.MAXIFS('2.현장'!$D$2:$D$1001,'2.현장'!$V$2:$V$1001,B218,'2.현장'!$T$2:$T$1001,TRUE))</f>
        <v/>
      </c>
      <c r="G218" s="6">
        <f>IF(B218="","",IF(_xlfn.MAXIFS('2.현장'!$L$2:$L$1001,'2.현장'!$V$2:$V$1001,B218,'2.현장'!$T$2:$T$1001,TRUE)=0,"",_xlfn.MAXIFS('2.현장'!$L$2:$L$1001,'2.현장'!$V$2:$V$1001,B218,'2.현장'!$T$2:$T$1001,TRUE)))</f>
        <v/>
      </c>
      <c r="H218">
        <f>IF(B218="","",IFERROR(INDEX('2.현장'!$C$2:$C$1001,IFERROR(MATCH(B218&amp;"|설계사",'2.현장'!$Z$2:$Z$1001,0),IFERROR(MATCH(B218&amp;"|시공사",'2.현장'!$Z$2:$Z$1001,0),MATCH(B218&amp;"|늦음",'2.현장'!$Z$2:$Z$1001,0)))),""))</f>
        <v/>
      </c>
      <c r="I218">
        <f>IF(B218="","",IFERROR(INDEX('2.현장'!$N$2:$N$1001,IFERROR(MATCH(B218&amp;"|설계사",'2.현장'!$Z$2:$Z$1001,0),IFERROR(MATCH(B218&amp;"|시공사",'2.현장'!$Z$2:$Z$1001,0),MATCH(B218&amp;"|늦음",'2.현장'!$Z$2:$Z$1001,0)))),""))</f>
        <v/>
      </c>
      <c r="J218">
        <f>IF(B218="","",IFERROR(VLOOKUP(B218,설계사_메모!$A$3:$G$302,2,FALSE)&amp;"",""))</f>
        <v/>
      </c>
      <c r="K218">
        <f>IF(B218="","",IFERROR(VLOOKUP(B218,설계사_메모!$A$3:$G$302,4,FALSE)&amp;"",""))</f>
        <v/>
      </c>
      <c r="L218" s="6">
        <f>IF(B218="","",IF(COUNTIF('4.방문기록'!$B$3:$B$502,B218)=0,"",_xlfn.MAXIFS('4.방문기록'!$A$3:$A$502,'4.방문기록'!$B$3:$B$502,B218)))</f>
        <v/>
      </c>
      <c r="M218">
        <f>IF(L218="","",설정!$B$24-L218)</f>
        <v/>
      </c>
      <c r="N218" s="6">
        <f>IF(B218="","",IF(_xlfn.MAXIFS('4.방문기록'!$F$3:$F$502,'4.방문기록'!$B$3:$B$502,B218)=0,"",_xlfn.MAXIFS('4.방문기록'!$F$3:$F$502,'4.방문기록'!$B$3:$B$502,B218)))</f>
        <v/>
      </c>
      <c r="O218">
        <f>IF(L218="","",IFERROR(INDEX('4.방문기록'!$H$3:$H$502,MATCH(B218&amp;"|"&amp;(L218*1),'4.방문기록'!$I$3:$I$502,0))&amp;"",""))</f>
        <v/>
      </c>
      <c r="P218">
        <f>IF(B218="","",IF(O218="관심 없음","제외",IF(L218="","안 가봄",IF(M218&gt;=설정!$B$20,M218&amp;"일 지남","최근 방문"))))</f>
        <v/>
      </c>
      <c r="Q218" s="7">
        <f>IF(B218="","",IF(P218="제외","",IF(AND(설정!$B$21&lt;&gt;"",I218&lt;&gt;설정!$B$21),"",IF(AND(N218&lt;&gt;"",N218&gt;N(L218),N218&lt;=설정!$B$24+7),100+7-(N218-설정!$B$24),IF(AND(D218&gt;0,OR(P218="안 가봄",RIGHT(P218,2)="지남")),D218*10+IF(L218="",30,MIN(M218,60)/2)+MIN(N(F218)/1000,20),"")))))</f>
        <v/>
      </c>
      <c r="R218">
        <f>IF(Q218="","",COUNTIF(Q$4:Q$303,"&gt;"&amp;Q218)+COUNTIF(Q$4:Q218,Q218))</f>
        <v/>
      </c>
    </row>
    <row r="219">
      <c r="A219">
        <f>IF(B219="","",216)</f>
        <v/>
      </c>
      <c r="B219">
        <f>IFERROR(INDEX('2.현장'!$V$2:$V$1001,MATCH(216,'2.현장'!$W$2:$W$1001,0)),"")</f>
        <v/>
      </c>
      <c r="C219">
        <f>IF(B219="","",COUNTIFS('2.현장'!$V$2:$V$1001,B219,'2.현장'!$T$2:$T$1001,TRUE))</f>
        <v/>
      </c>
      <c r="D219">
        <f>IF(B219="","",COUNTIFS('2.현장'!$V$2:$V$1001,B219,'2.현장'!$U$2:$U$1001,"설계사"))</f>
        <v/>
      </c>
      <c r="E219">
        <f>IF(B219="","",COUNTIFS('2.현장'!$V$2:$V$1001,B219,'2.현장'!$U$2:$U$1001,"시공사"))</f>
        <v/>
      </c>
      <c r="F219" s="5">
        <f>IF(B219="","",_xlfn.MAXIFS('2.현장'!$D$2:$D$1001,'2.현장'!$V$2:$V$1001,B219,'2.현장'!$T$2:$T$1001,TRUE))</f>
        <v/>
      </c>
      <c r="G219" s="6">
        <f>IF(B219="","",IF(_xlfn.MAXIFS('2.현장'!$L$2:$L$1001,'2.현장'!$V$2:$V$1001,B219,'2.현장'!$T$2:$T$1001,TRUE)=0,"",_xlfn.MAXIFS('2.현장'!$L$2:$L$1001,'2.현장'!$V$2:$V$1001,B219,'2.현장'!$T$2:$T$1001,TRUE)))</f>
        <v/>
      </c>
      <c r="H219">
        <f>IF(B219="","",IFERROR(INDEX('2.현장'!$C$2:$C$1001,IFERROR(MATCH(B219&amp;"|설계사",'2.현장'!$Z$2:$Z$1001,0),IFERROR(MATCH(B219&amp;"|시공사",'2.현장'!$Z$2:$Z$1001,0),MATCH(B219&amp;"|늦음",'2.현장'!$Z$2:$Z$1001,0)))),""))</f>
        <v/>
      </c>
      <c r="I219">
        <f>IF(B219="","",IFERROR(INDEX('2.현장'!$N$2:$N$1001,IFERROR(MATCH(B219&amp;"|설계사",'2.현장'!$Z$2:$Z$1001,0),IFERROR(MATCH(B219&amp;"|시공사",'2.현장'!$Z$2:$Z$1001,0),MATCH(B219&amp;"|늦음",'2.현장'!$Z$2:$Z$1001,0)))),""))</f>
        <v/>
      </c>
      <c r="J219">
        <f>IF(B219="","",IFERROR(VLOOKUP(B219,설계사_메모!$A$3:$G$302,2,FALSE)&amp;"",""))</f>
        <v/>
      </c>
      <c r="K219">
        <f>IF(B219="","",IFERROR(VLOOKUP(B219,설계사_메모!$A$3:$G$302,4,FALSE)&amp;"",""))</f>
        <v/>
      </c>
      <c r="L219" s="6">
        <f>IF(B219="","",IF(COUNTIF('4.방문기록'!$B$3:$B$502,B219)=0,"",_xlfn.MAXIFS('4.방문기록'!$A$3:$A$502,'4.방문기록'!$B$3:$B$502,B219)))</f>
        <v/>
      </c>
      <c r="M219">
        <f>IF(L219="","",설정!$B$24-L219)</f>
        <v/>
      </c>
      <c r="N219" s="6">
        <f>IF(B219="","",IF(_xlfn.MAXIFS('4.방문기록'!$F$3:$F$502,'4.방문기록'!$B$3:$B$502,B219)=0,"",_xlfn.MAXIFS('4.방문기록'!$F$3:$F$502,'4.방문기록'!$B$3:$B$502,B219)))</f>
        <v/>
      </c>
      <c r="O219">
        <f>IF(L219="","",IFERROR(INDEX('4.방문기록'!$H$3:$H$502,MATCH(B219&amp;"|"&amp;(L219*1),'4.방문기록'!$I$3:$I$502,0))&amp;"",""))</f>
        <v/>
      </c>
      <c r="P219">
        <f>IF(B219="","",IF(O219="관심 없음","제외",IF(L219="","안 가봄",IF(M219&gt;=설정!$B$20,M219&amp;"일 지남","최근 방문"))))</f>
        <v/>
      </c>
      <c r="Q219" s="7">
        <f>IF(B219="","",IF(P219="제외","",IF(AND(설정!$B$21&lt;&gt;"",I219&lt;&gt;설정!$B$21),"",IF(AND(N219&lt;&gt;"",N219&gt;N(L219),N219&lt;=설정!$B$24+7),100+7-(N219-설정!$B$24),IF(AND(D219&gt;0,OR(P219="안 가봄",RIGHT(P219,2)="지남")),D219*10+IF(L219="",30,MIN(M219,60)/2)+MIN(N(F219)/1000,20),"")))))</f>
        <v/>
      </c>
      <c r="R219">
        <f>IF(Q219="","",COUNTIF(Q$4:Q$303,"&gt;"&amp;Q219)+COUNTIF(Q$4:Q219,Q219))</f>
        <v/>
      </c>
    </row>
    <row r="220">
      <c r="A220">
        <f>IF(B220="","",217)</f>
        <v/>
      </c>
      <c r="B220">
        <f>IFERROR(INDEX('2.현장'!$V$2:$V$1001,MATCH(217,'2.현장'!$W$2:$W$1001,0)),"")</f>
        <v/>
      </c>
      <c r="C220">
        <f>IF(B220="","",COUNTIFS('2.현장'!$V$2:$V$1001,B220,'2.현장'!$T$2:$T$1001,TRUE))</f>
        <v/>
      </c>
      <c r="D220">
        <f>IF(B220="","",COUNTIFS('2.현장'!$V$2:$V$1001,B220,'2.현장'!$U$2:$U$1001,"설계사"))</f>
        <v/>
      </c>
      <c r="E220">
        <f>IF(B220="","",COUNTIFS('2.현장'!$V$2:$V$1001,B220,'2.현장'!$U$2:$U$1001,"시공사"))</f>
        <v/>
      </c>
      <c r="F220" s="5">
        <f>IF(B220="","",_xlfn.MAXIFS('2.현장'!$D$2:$D$1001,'2.현장'!$V$2:$V$1001,B220,'2.현장'!$T$2:$T$1001,TRUE))</f>
        <v/>
      </c>
      <c r="G220" s="6">
        <f>IF(B220="","",IF(_xlfn.MAXIFS('2.현장'!$L$2:$L$1001,'2.현장'!$V$2:$V$1001,B220,'2.현장'!$T$2:$T$1001,TRUE)=0,"",_xlfn.MAXIFS('2.현장'!$L$2:$L$1001,'2.현장'!$V$2:$V$1001,B220,'2.현장'!$T$2:$T$1001,TRUE)))</f>
        <v/>
      </c>
      <c r="H220">
        <f>IF(B220="","",IFERROR(INDEX('2.현장'!$C$2:$C$1001,IFERROR(MATCH(B220&amp;"|설계사",'2.현장'!$Z$2:$Z$1001,0),IFERROR(MATCH(B220&amp;"|시공사",'2.현장'!$Z$2:$Z$1001,0),MATCH(B220&amp;"|늦음",'2.현장'!$Z$2:$Z$1001,0)))),""))</f>
        <v/>
      </c>
      <c r="I220">
        <f>IF(B220="","",IFERROR(INDEX('2.현장'!$N$2:$N$1001,IFERROR(MATCH(B220&amp;"|설계사",'2.현장'!$Z$2:$Z$1001,0),IFERROR(MATCH(B220&amp;"|시공사",'2.현장'!$Z$2:$Z$1001,0),MATCH(B220&amp;"|늦음",'2.현장'!$Z$2:$Z$1001,0)))),""))</f>
        <v/>
      </c>
      <c r="J220">
        <f>IF(B220="","",IFERROR(VLOOKUP(B220,설계사_메모!$A$3:$G$302,2,FALSE)&amp;"",""))</f>
        <v/>
      </c>
      <c r="K220">
        <f>IF(B220="","",IFERROR(VLOOKUP(B220,설계사_메모!$A$3:$G$302,4,FALSE)&amp;"",""))</f>
        <v/>
      </c>
      <c r="L220" s="6">
        <f>IF(B220="","",IF(COUNTIF('4.방문기록'!$B$3:$B$502,B220)=0,"",_xlfn.MAXIFS('4.방문기록'!$A$3:$A$502,'4.방문기록'!$B$3:$B$502,B220)))</f>
        <v/>
      </c>
      <c r="M220">
        <f>IF(L220="","",설정!$B$24-L220)</f>
        <v/>
      </c>
      <c r="N220" s="6">
        <f>IF(B220="","",IF(_xlfn.MAXIFS('4.방문기록'!$F$3:$F$502,'4.방문기록'!$B$3:$B$502,B220)=0,"",_xlfn.MAXIFS('4.방문기록'!$F$3:$F$502,'4.방문기록'!$B$3:$B$502,B220)))</f>
        <v/>
      </c>
      <c r="O220">
        <f>IF(L220="","",IFERROR(INDEX('4.방문기록'!$H$3:$H$502,MATCH(B220&amp;"|"&amp;(L220*1),'4.방문기록'!$I$3:$I$502,0))&amp;"",""))</f>
        <v/>
      </c>
      <c r="P220">
        <f>IF(B220="","",IF(O220="관심 없음","제외",IF(L220="","안 가봄",IF(M220&gt;=설정!$B$20,M220&amp;"일 지남","최근 방문"))))</f>
        <v/>
      </c>
      <c r="Q220" s="7">
        <f>IF(B220="","",IF(P220="제외","",IF(AND(설정!$B$21&lt;&gt;"",I220&lt;&gt;설정!$B$21),"",IF(AND(N220&lt;&gt;"",N220&gt;N(L220),N220&lt;=설정!$B$24+7),100+7-(N220-설정!$B$24),IF(AND(D220&gt;0,OR(P220="안 가봄",RIGHT(P220,2)="지남")),D220*10+IF(L220="",30,MIN(M220,60)/2)+MIN(N(F220)/1000,20),"")))))</f>
        <v/>
      </c>
      <c r="R220">
        <f>IF(Q220="","",COUNTIF(Q$4:Q$303,"&gt;"&amp;Q220)+COUNTIF(Q$4:Q220,Q220))</f>
        <v/>
      </c>
    </row>
    <row r="221">
      <c r="A221">
        <f>IF(B221="","",218)</f>
        <v/>
      </c>
      <c r="B221">
        <f>IFERROR(INDEX('2.현장'!$V$2:$V$1001,MATCH(218,'2.현장'!$W$2:$W$1001,0)),"")</f>
        <v/>
      </c>
      <c r="C221">
        <f>IF(B221="","",COUNTIFS('2.현장'!$V$2:$V$1001,B221,'2.현장'!$T$2:$T$1001,TRUE))</f>
        <v/>
      </c>
      <c r="D221">
        <f>IF(B221="","",COUNTIFS('2.현장'!$V$2:$V$1001,B221,'2.현장'!$U$2:$U$1001,"설계사"))</f>
        <v/>
      </c>
      <c r="E221">
        <f>IF(B221="","",COUNTIFS('2.현장'!$V$2:$V$1001,B221,'2.현장'!$U$2:$U$1001,"시공사"))</f>
        <v/>
      </c>
      <c r="F221" s="5">
        <f>IF(B221="","",_xlfn.MAXIFS('2.현장'!$D$2:$D$1001,'2.현장'!$V$2:$V$1001,B221,'2.현장'!$T$2:$T$1001,TRUE))</f>
        <v/>
      </c>
      <c r="G221" s="6">
        <f>IF(B221="","",IF(_xlfn.MAXIFS('2.현장'!$L$2:$L$1001,'2.현장'!$V$2:$V$1001,B221,'2.현장'!$T$2:$T$1001,TRUE)=0,"",_xlfn.MAXIFS('2.현장'!$L$2:$L$1001,'2.현장'!$V$2:$V$1001,B221,'2.현장'!$T$2:$T$1001,TRUE)))</f>
        <v/>
      </c>
      <c r="H221">
        <f>IF(B221="","",IFERROR(INDEX('2.현장'!$C$2:$C$1001,IFERROR(MATCH(B221&amp;"|설계사",'2.현장'!$Z$2:$Z$1001,0),IFERROR(MATCH(B221&amp;"|시공사",'2.현장'!$Z$2:$Z$1001,0),MATCH(B221&amp;"|늦음",'2.현장'!$Z$2:$Z$1001,0)))),""))</f>
        <v/>
      </c>
      <c r="I221">
        <f>IF(B221="","",IFERROR(INDEX('2.현장'!$N$2:$N$1001,IFERROR(MATCH(B221&amp;"|설계사",'2.현장'!$Z$2:$Z$1001,0),IFERROR(MATCH(B221&amp;"|시공사",'2.현장'!$Z$2:$Z$1001,0),MATCH(B221&amp;"|늦음",'2.현장'!$Z$2:$Z$1001,0)))),""))</f>
        <v/>
      </c>
      <c r="J221">
        <f>IF(B221="","",IFERROR(VLOOKUP(B221,설계사_메모!$A$3:$G$302,2,FALSE)&amp;"",""))</f>
        <v/>
      </c>
      <c r="K221">
        <f>IF(B221="","",IFERROR(VLOOKUP(B221,설계사_메모!$A$3:$G$302,4,FALSE)&amp;"",""))</f>
        <v/>
      </c>
      <c r="L221" s="6">
        <f>IF(B221="","",IF(COUNTIF('4.방문기록'!$B$3:$B$502,B221)=0,"",_xlfn.MAXIFS('4.방문기록'!$A$3:$A$502,'4.방문기록'!$B$3:$B$502,B221)))</f>
        <v/>
      </c>
      <c r="M221">
        <f>IF(L221="","",설정!$B$24-L221)</f>
        <v/>
      </c>
      <c r="N221" s="6">
        <f>IF(B221="","",IF(_xlfn.MAXIFS('4.방문기록'!$F$3:$F$502,'4.방문기록'!$B$3:$B$502,B221)=0,"",_xlfn.MAXIFS('4.방문기록'!$F$3:$F$502,'4.방문기록'!$B$3:$B$502,B221)))</f>
        <v/>
      </c>
      <c r="O221">
        <f>IF(L221="","",IFERROR(INDEX('4.방문기록'!$H$3:$H$502,MATCH(B221&amp;"|"&amp;(L221*1),'4.방문기록'!$I$3:$I$502,0))&amp;"",""))</f>
        <v/>
      </c>
      <c r="P221">
        <f>IF(B221="","",IF(O221="관심 없음","제외",IF(L221="","안 가봄",IF(M221&gt;=설정!$B$20,M221&amp;"일 지남","최근 방문"))))</f>
        <v/>
      </c>
      <c r="Q221" s="7">
        <f>IF(B221="","",IF(P221="제외","",IF(AND(설정!$B$21&lt;&gt;"",I221&lt;&gt;설정!$B$21),"",IF(AND(N221&lt;&gt;"",N221&gt;N(L221),N221&lt;=설정!$B$24+7),100+7-(N221-설정!$B$24),IF(AND(D221&gt;0,OR(P221="안 가봄",RIGHT(P221,2)="지남")),D221*10+IF(L221="",30,MIN(M221,60)/2)+MIN(N(F221)/1000,20),"")))))</f>
        <v/>
      </c>
      <c r="R221">
        <f>IF(Q221="","",COUNTIF(Q$4:Q$303,"&gt;"&amp;Q221)+COUNTIF(Q$4:Q221,Q221))</f>
        <v/>
      </c>
    </row>
    <row r="222">
      <c r="A222">
        <f>IF(B222="","",219)</f>
        <v/>
      </c>
      <c r="B222">
        <f>IFERROR(INDEX('2.현장'!$V$2:$V$1001,MATCH(219,'2.현장'!$W$2:$W$1001,0)),"")</f>
        <v/>
      </c>
      <c r="C222">
        <f>IF(B222="","",COUNTIFS('2.현장'!$V$2:$V$1001,B222,'2.현장'!$T$2:$T$1001,TRUE))</f>
        <v/>
      </c>
      <c r="D222">
        <f>IF(B222="","",COUNTIFS('2.현장'!$V$2:$V$1001,B222,'2.현장'!$U$2:$U$1001,"설계사"))</f>
        <v/>
      </c>
      <c r="E222">
        <f>IF(B222="","",COUNTIFS('2.현장'!$V$2:$V$1001,B222,'2.현장'!$U$2:$U$1001,"시공사"))</f>
        <v/>
      </c>
      <c r="F222" s="5">
        <f>IF(B222="","",_xlfn.MAXIFS('2.현장'!$D$2:$D$1001,'2.현장'!$V$2:$V$1001,B222,'2.현장'!$T$2:$T$1001,TRUE))</f>
        <v/>
      </c>
      <c r="G222" s="6">
        <f>IF(B222="","",IF(_xlfn.MAXIFS('2.현장'!$L$2:$L$1001,'2.현장'!$V$2:$V$1001,B222,'2.현장'!$T$2:$T$1001,TRUE)=0,"",_xlfn.MAXIFS('2.현장'!$L$2:$L$1001,'2.현장'!$V$2:$V$1001,B222,'2.현장'!$T$2:$T$1001,TRUE)))</f>
        <v/>
      </c>
      <c r="H222">
        <f>IF(B222="","",IFERROR(INDEX('2.현장'!$C$2:$C$1001,IFERROR(MATCH(B222&amp;"|설계사",'2.현장'!$Z$2:$Z$1001,0),IFERROR(MATCH(B222&amp;"|시공사",'2.현장'!$Z$2:$Z$1001,0),MATCH(B222&amp;"|늦음",'2.현장'!$Z$2:$Z$1001,0)))),""))</f>
        <v/>
      </c>
      <c r="I222">
        <f>IF(B222="","",IFERROR(INDEX('2.현장'!$N$2:$N$1001,IFERROR(MATCH(B222&amp;"|설계사",'2.현장'!$Z$2:$Z$1001,0),IFERROR(MATCH(B222&amp;"|시공사",'2.현장'!$Z$2:$Z$1001,0),MATCH(B222&amp;"|늦음",'2.현장'!$Z$2:$Z$1001,0)))),""))</f>
        <v/>
      </c>
      <c r="J222">
        <f>IF(B222="","",IFERROR(VLOOKUP(B222,설계사_메모!$A$3:$G$302,2,FALSE)&amp;"",""))</f>
        <v/>
      </c>
      <c r="K222">
        <f>IF(B222="","",IFERROR(VLOOKUP(B222,설계사_메모!$A$3:$G$302,4,FALSE)&amp;"",""))</f>
        <v/>
      </c>
      <c r="L222" s="6">
        <f>IF(B222="","",IF(COUNTIF('4.방문기록'!$B$3:$B$502,B222)=0,"",_xlfn.MAXIFS('4.방문기록'!$A$3:$A$502,'4.방문기록'!$B$3:$B$502,B222)))</f>
        <v/>
      </c>
      <c r="M222">
        <f>IF(L222="","",설정!$B$24-L222)</f>
        <v/>
      </c>
      <c r="N222" s="6">
        <f>IF(B222="","",IF(_xlfn.MAXIFS('4.방문기록'!$F$3:$F$502,'4.방문기록'!$B$3:$B$502,B222)=0,"",_xlfn.MAXIFS('4.방문기록'!$F$3:$F$502,'4.방문기록'!$B$3:$B$502,B222)))</f>
        <v/>
      </c>
      <c r="O222">
        <f>IF(L222="","",IFERROR(INDEX('4.방문기록'!$H$3:$H$502,MATCH(B222&amp;"|"&amp;(L222*1),'4.방문기록'!$I$3:$I$502,0))&amp;"",""))</f>
        <v/>
      </c>
      <c r="P222">
        <f>IF(B222="","",IF(O222="관심 없음","제외",IF(L222="","안 가봄",IF(M222&gt;=설정!$B$20,M222&amp;"일 지남","최근 방문"))))</f>
        <v/>
      </c>
      <c r="Q222" s="7">
        <f>IF(B222="","",IF(P222="제외","",IF(AND(설정!$B$21&lt;&gt;"",I222&lt;&gt;설정!$B$21),"",IF(AND(N222&lt;&gt;"",N222&gt;N(L222),N222&lt;=설정!$B$24+7),100+7-(N222-설정!$B$24),IF(AND(D222&gt;0,OR(P222="안 가봄",RIGHT(P222,2)="지남")),D222*10+IF(L222="",30,MIN(M222,60)/2)+MIN(N(F222)/1000,20),"")))))</f>
        <v/>
      </c>
      <c r="R222">
        <f>IF(Q222="","",COUNTIF(Q$4:Q$303,"&gt;"&amp;Q222)+COUNTIF(Q$4:Q222,Q222))</f>
        <v/>
      </c>
    </row>
    <row r="223">
      <c r="A223">
        <f>IF(B223="","",220)</f>
        <v/>
      </c>
      <c r="B223">
        <f>IFERROR(INDEX('2.현장'!$V$2:$V$1001,MATCH(220,'2.현장'!$W$2:$W$1001,0)),"")</f>
        <v/>
      </c>
      <c r="C223">
        <f>IF(B223="","",COUNTIFS('2.현장'!$V$2:$V$1001,B223,'2.현장'!$T$2:$T$1001,TRUE))</f>
        <v/>
      </c>
      <c r="D223">
        <f>IF(B223="","",COUNTIFS('2.현장'!$V$2:$V$1001,B223,'2.현장'!$U$2:$U$1001,"설계사"))</f>
        <v/>
      </c>
      <c r="E223">
        <f>IF(B223="","",COUNTIFS('2.현장'!$V$2:$V$1001,B223,'2.현장'!$U$2:$U$1001,"시공사"))</f>
        <v/>
      </c>
      <c r="F223" s="5">
        <f>IF(B223="","",_xlfn.MAXIFS('2.현장'!$D$2:$D$1001,'2.현장'!$V$2:$V$1001,B223,'2.현장'!$T$2:$T$1001,TRUE))</f>
        <v/>
      </c>
      <c r="G223" s="6">
        <f>IF(B223="","",IF(_xlfn.MAXIFS('2.현장'!$L$2:$L$1001,'2.현장'!$V$2:$V$1001,B223,'2.현장'!$T$2:$T$1001,TRUE)=0,"",_xlfn.MAXIFS('2.현장'!$L$2:$L$1001,'2.현장'!$V$2:$V$1001,B223,'2.현장'!$T$2:$T$1001,TRUE)))</f>
        <v/>
      </c>
      <c r="H223">
        <f>IF(B223="","",IFERROR(INDEX('2.현장'!$C$2:$C$1001,IFERROR(MATCH(B223&amp;"|설계사",'2.현장'!$Z$2:$Z$1001,0),IFERROR(MATCH(B223&amp;"|시공사",'2.현장'!$Z$2:$Z$1001,0),MATCH(B223&amp;"|늦음",'2.현장'!$Z$2:$Z$1001,0)))),""))</f>
        <v/>
      </c>
      <c r="I223">
        <f>IF(B223="","",IFERROR(INDEX('2.현장'!$N$2:$N$1001,IFERROR(MATCH(B223&amp;"|설계사",'2.현장'!$Z$2:$Z$1001,0),IFERROR(MATCH(B223&amp;"|시공사",'2.현장'!$Z$2:$Z$1001,0),MATCH(B223&amp;"|늦음",'2.현장'!$Z$2:$Z$1001,0)))),""))</f>
        <v/>
      </c>
      <c r="J223">
        <f>IF(B223="","",IFERROR(VLOOKUP(B223,설계사_메모!$A$3:$G$302,2,FALSE)&amp;"",""))</f>
        <v/>
      </c>
      <c r="K223">
        <f>IF(B223="","",IFERROR(VLOOKUP(B223,설계사_메모!$A$3:$G$302,4,FALSE)&amp;"",""))</f>
        <v/>
      </c>
      <c r="L223" s="6">
        <f>IF(B223="","",IF(COUNTIF('4.방문기록'!$B$3:$B$502,B223)=0,"",_xlfn.MAXIFS('4.방문기록'!$A$3:$A$502,'4.방문기록'!$B$3:$B$502,B223)))</f>
        <v/>
      </c>
      <c r="M223">
        <f>IF(L223="","",설정!$B$24-L223)</f>
        <v/>
      </c>
      <c r="N223" s="6">
        <f>IF(B223="","",IF(_xlfn.MAXIFS('4.방문기록'!$F$3:$F$502,'4.방문기록'!$B$3:$B$502,B223)=0,"",_xlfn.MAXIFS('4.방문기록'!$F$3:$F$502,'4.방문기록'!$B$3:$B$502,B223)))</f>
        <v/>
      </c>
      <c r="O223">
        <f>IF(L223="","",IFERROR(INDEX('4.방문기록'!$H$3:$H$502,MATCH(B223&amp;"|"&amp;(L223*1),'4.방문기록'!$I$3:$I$502,0))&amp;"",""))</f>
        <v/>
      </c>
      <c r="P223">
        <f>IF(B223="","",IF(O223="관심 없음","제외",IF(L223="","안 가봄",IF(M223&gt;=설정!$B$20,M223&amp;"일 지남","최근 방문"))))</f>
        <v/>
      </c>
      <c r="Q223" s="7">
        <f>IF(B223="","",IF(P223="제외","",IF(AND(설정!$B$21&lt;&gt;"",I223&lt;&gt;설정!$B$21),"",IF(AND(N223&lt;&gt;"",N223&gt;N(L223),N223&lt;=설정!$B$24+7),100+7-(N223-설정!$B$24),IF(AND(D223&gt;0,OR(P223="안 가봄",RIGHT(P223,2)="지남")),D223*10+IF(L223="",30,MIN(M223,60)/2)+MIN(N(F223)/1000,20),"")))))</f>
        <v/>
      </c>
      <c r="R223">
        <f>IF(Q223="","",COUNTIF(Q$4:Q$303,"&gt;"&amp;Q223)+COUNTIF(Q$4:Q223,Q223))</f>
        <v/>
      </c>
    </row>
    <row r="224">
      <c r="A224">
        <f>IF(B224="","",221)</f>
        <v/>
      </c>
      <c r="B224">
        <f>IFERROR(INDEX('2.현장'!$V$2:$V$1001,MATCH(221,'2.현장'!$W$2:$W$1001,0)),"")</f>
        <v/>
      </c>
      <c r="C224">
        <f>IF(B224="","",COUNTIFS('2.현장'!$V$2:$V$1001,B224,'2.현장'!$T$2:$T$1001,TRUE))</f>
        <v/>
      </c>
      <c r="D224">
        <f>IF(B224="","",COUNTIFS('2.현장'!$V$2:$V$1001,B224,'2.현장'!$U$2:$U$1001,"설계사"))</f>
        <v/>
      </c>
      <c r="E224">
        <f>IF(B224="","",COUNTIFS('2.현장'!$V$2:$V$1001,B224,'2.현장'!$U$2:$U$1001,"시공사"))</f>
        <v/>
      </c>
      <c r="F224" s="5">
        <f>IF(B224="","",_xlfn.MAXIFS('2.현장'!$D$2:$D$1001,'2.현장'!$V$2:$V$1001,B224,'2.현장'!$T$2:$T$1001,TRUE))</f>
        <v/>
      </c>
      <c r="G224" s="6">
        <f>IF(B224="","",IF(_xlfn.MAXIFS('2.현장'!$L$2:$L$1001,'2.현장'!$V$2:$V$1001,B224,'2.현장'!$T$2:$T$1001,TRUE)=0,"",_xlfn.MAXIFS('2.현장'!$L$2:$L$1001,'2.현장'!$V$2:$V$1001,B224,'2.현장'!$T$2:$T$1001,TRUE)))</f>
        <v/>
      </c>
      <c r="H224">
        <f>IF(B224="","",IFERROR(INDEX('2.현장'!$C$2:$C$1001,IFERROR(MATCH(B224&amp;"|설계사",'2.현장'!$Z$2:$Z$1001,0),IFERROR(MATCH(B224&amp;"|시공사",'2.현장'!$Z$2:$Z$1001,0),MATCH(B224&amp;"|늦음",'2.현장'!$Z$2:$Z$1001,0)))),""))</f>
        <v/>
      </c>
      <c r="I224">
        <f>IF(B224="","",IFERROR(INDEX('2.현장'!$N$2:$N$1001,IFERROR(MATCH(B224&amp;"|설계사",'2.현장'!$Z$2:$Z$1001,0),IFERROR(MATCH(B224&amp;"|시공사",'2.현장'!$Z$2:$Z$1001,0),MATCH(B224&amp;"|늦음",'2.현장'!$Z$2:$Z$1001,0)))),""))</f>
        <v/>
      </c>
      <c r="J224">
        <f>IF(B224="","",IFERROR(VLOOKUP(B224,설계사_메모!$A$3:$G$302,2,FALSE)&amp;"",""))</f>
        <v/>
      </c>
      <c r="K224">
        <f>IF(B224="","",IFERROR(VLOOKUP(B224,설계사_메모!$A$3:$G$302,4,FALSE)&amp;"",""))</f>
        <v/>
      </c>
      <c r="L224" s="6">
        <f>IF(B224="","",IF(COUNTIF('4.방문기록'!$B$3:$B$502,B224)=0,"",_xlfn.MAXIFS('4.방문기록'!$A$3:$A$502,'4.방문기록'!$B$3:$B$502,B224)))</f>
        <v/>
      </c>
      <c r="M224">
        <f>IF(L224="","",설정!$B$24-L224)</f>
        <v/>
      </c>
      <c r="N224" s="6">
        <f>IF(B224="","",IF(_xlfn.MAXIFS('4.방문기록'!$F$3:$F$502,'4.방문기록'!$B$3:$B$502,B224)=0,"",_xlfn.MAXIFS('4.방문기록'!$F$3:$F$502,'4.방문기록'!$B$3:$B$502,B224)))</f>
        <v/>
      </c>
      <c r="O224">
        <f>IF(L224="","",IFERROR(INDEX('4.방문기록'!$H$3:$H$502,MATCH(B224&amp;"|"&amp;(L224*1),'4.방문기록'!$I$3:$I$502,0))&amp;"",""))</f>
        <v/>
      </c>
      <c r="P224">
        <f>IF(B224="","",IF(O224="관심 없음","제외",IF(L224="","안 가봄",IF(M224&gt;=설정!$B$20,M224&amp;"일 지남","최근 방문"))))</f>
        <v/>
      </c>
      <c r="Q224" s="7">
        <f>IF(B224="","",IF(P224="제외","",IF(AND(설정!$B$21&lt;&gt;"",I224&lt;&gt;설정!$B$21),"",IF(AND(N224&lt;&gt;"",N224&gt;N(L224),N224&lt;=설정!$B$24+7),100+7-(N224-설정!$B$24),IF(AND(D224&gt;0,OR(P224="안 가봄",RIGHT(P224,2)="지남")),D224*10+IF(L224="",30,MIN(M224,60)/2)+MIN(N(F224)/1000,20),"")))))</f>
        <v/>
      </c>
      <c r="R224">
        <f>IF(Q224="","",COUNTIF(Q$4:Q$303,"&gt;"&amp;Q224)+COUNTIF(Q$4:Q224,Q224))</f>
        <v/>
      </c>
    </row>
    <row r="225">
      <c r="A225">
        <f>IF(B225="","",222)</f>
        <v/>
      </c>
      <c r="B225">
        <f>IFERROR(INDEX('2.현장'!$V$2:$V$1001,MATCH(222,'2.현장'!$W$2:$W$1001,0)),"")</f>
        <v/>
      </c>
      <c r="C225">
        <f>IF(B225="","",COUNTIFS('2.현장'!$V$2:$V$1001,B225,'2.현장'!$T$2:$T$1001,TRUE))</f>
        <v/>
      </c>
      <c r="D225">
        <f>IF(B225="","",COUNTIFS('2.현장'!$V$2:$V$1001,B225,'2.현장'!$U$2:$U$1001,"설계사"))</f>
        <v/>
      </c>
      <c r="E225">
        <f>IF(B225="","",COUNTIFS('2.현장'!$V$2:$V$1001,B225,'2.현장'!$U$2:$U$1001,"시공사"))</f>
        <v/>
      </c>
      <c r="F225" s="5">
        <f>IF(B225="","",_xlfn.MAXIFS('2.현장'!$D$2:$D$1001,'2.현장'!$V$2:$V$1001,B225,'2.현장'!$T$2:$T$1001,TRUE))</f>
        <v/>
      </c>
      <c r="G225" s="6">
        <f>IF(B225="","",IF(_xlfn.MAXIFS('2.현장'!$L$2:$L$1001,'2.현장'!$V$2:$V$1001,B225,'2.현장'!$T$2:$T$1001,TRUE)=0,"",_xlfn.MAXIFS('2.현장'!$L$2:$L$1001,'2.현장'!$V$2:$V$1001,B225,'2.현장'!$T$2:$T$1001,TRUE)))</f>
        <v/>
      </c>
      <c r="H225">
        <f>IF(B225="","",IFERROR(INDEX('2.현장'!$C$2:$C$1001,IFERROR(MATCH(B225&amp;"|설계사",'2.현장'!$Z$2:$Z$1001,0),IFERROR(MATCH(B225&amp;"|시공사",'2.현장'!$Z$2:$Z$1001,0),MATCH(B225&amp;"|늦음",'2.현장'!$Z$2:$Z$1001,0)))),""))</f>
        <v/>
      </c>
      <c r="I225">
        <f>IF(B225="","",IFERROR(INDEX('2.현장'!$N$2:$N$1001,IFERROR(MATCH(B225&amp;"|설계사",'2.현장'!$Z$2:$Z$1001,0),IFERROR(MATCH(B225&amp;"|시공사",'2.현장'!$Z$2:$Z$1001,0),MATCH(B225&amp;"|늦음",'2.현장'!$Z$2:$Z$1001,0)))),""))</f>
        <v/>
      </c>
      <c r="J225">
        <f>IF(B225="","",IFERROR(VLOOKUP(B225,설계사_메모!$A$3:$G$302,2,FALSE)&amp;"",""))</f>
        <v/>
      </c>
      <c r="K225">
        <f>IF(B225="","",IFERROR(VLOOKUP(B225,설계사_메모!$A$3:$G$302,4,FALSE)&amp;"",""))</f>
        <v/>
      </c>
      <c r="L225" s="6">
        <f>IF(B225="","",IF(COUNTIF('4.방문기록'!$B$3:$B$502,B225)=0,"",_xlfn.MAXIFS('4.방문기록'!$A$3:$A$502,'4.방문기록'!$B$3:$B$502,B225)))</f>
        <v/>
      </c>
      <c r="M225">
        <f>IF(L225="","",설정!$B$24-L225)</f>
        <v/>
      </c>
      <c r="N225" s="6">
        <f>IF(B225="","",IF(_xlfn.MAXIFS('4.방문기록'!$F$3:$F$502,'4.방문기록'!$B$3:$B$502,B225)=0,"",_xlfn.MAXIFS('4.방문기록'!$F$3:$F$502,'4.방문기록'!$B$3:$B$502,B225)))</f>
        <v/>
      </c>
      <c r="O225">
        <f>IF(L225="","",IFERROR(INDEX('4.방문기록'!$H$3:$H$502,MATCH(B225&amp;"|"&amp;(L225*1),'4.방문기록'!$I$3:$I$502,0))&amp;"",""))</f>
        <v/>
      </c>
      <c r="P225">
        <f>IF(B225="","",IF(O225="관심 없음","제외",IF(L225="","안 가봄",IF(M225&gt;=설정!$B$20,M225&amp;"일 지남","최근 방문"))))</f>
        <v/>
      </c>
      <c r="Q225" s="7">
        <f>IF(B225="","",IF(P225="제외","",IF(AND(설정!$B$21&lt;&gt;"",I225&lt;&gt;설정!$B$21),"",IF(AND(N225&lt;&gt;"",N225&gt;N(L225),N225&lt;=설정!$B$24+7),100+7-(N225-설정!$B$24),IF(AND(D225&gt;0,OR(P225="안 가봄",RIGHT(P225,2)="지남")),D225*10+IF(L225="",30,MIN(M225,60)/2)+MIN(N(F225)/1000,20),"")))))</f>
        <v/>
      </c>
      <c r="R225">
        <f>IF(Q225="","",COUNTIF(Q$4:Q$303,"&gt;"&amp;Q225)+COUNTIF(Q$4:Q225,Q225))</f>
        <v/>
      </c>
    </row>
    <row r="226">
      <c r="A226">
        <f>IF(B226="","",223)</f>
        <v/>
      </c>
      <c r="B226">
        <f>IFERROR(INDEX('2.현장'!$V$2:$V$1001,MATCH(223,'2.현장'!$W$2:$W$1001,0)),"")</f>
        <v/>
      </c>
      <c r="C226">
        <f>IF(B226="","",COUNTIFS('2.현장'!$V$2:$V$1001,B226,'2.현장'!$T$2:$T$1001,TRUE))</f>
        <v/>
      </c>
      <c r="D226">
        <f>IF(B226="","",COUNTIFS('2.현장'!$V$2:$V$1001,B226,'2.현장'!$U$2:$U$1001,"설계사"))</f>
        <v/>
      </c>
      <c r="E226">
        <f>IF(B226="","",COUNTIFS('2.현장'!$V$2:$V$1001,B226,'2.현장'!$U$2:$U$1001,"시공사"))</f>
        <v/>
      </c>
      <c r="F226" s="5">
        <f>IF(B226="","",_xlfn.MAXIFS('2.현장'!$D$2:$D$1001,'2.현장'!$V$2:$V$1001,B226,'2.현장'!$T$2:$T$1001,TRUE))</f>
        <v/>
      </c>
      <c r="G226" s="6">
        <f>IF(B226="","",IF(_xlfn.MAXIFS('2.현장'!$L$2:$L$1001,'2.현장'!$V$2:$V$1001,B226,'2.현장'!$T$2:$T$1001,TRUE)=0,"",_xlfn.MAXIFS('2.현장'!$L$2:$L$1001,'2.현장'!$V$2:$V$1001,B226,'2.현장'!$T$2:$T$1001,TRUE)))</f>
        <v/>
      </c>
      <c r="H226">
        <f>IF(B226="","",IFERROR(INDEX('2.현장'!$C$2:$C$1001,IFERROR(MATCH(B226&amp;"|설계사",'2.현장'!$Z$2:$Z$1001,0),IFERROR(MATCH(B226&amp;"|시공사",'2.현장'!$Z$2:$Z$1001,0),MATCH(B226&amp;"|늦음",'2.현장'!$Z$2:$Z$1001,0)))),""))</f>
        <v/>
      </c>
      <c r="I226">
        <f>IF(B226="","",IFERROR(INDEX('2.현장'!$N$2:$N$1001,IFERROR(MATCH(B226&amp;"|설계사",'2.현장'!$Z$2:$Z$1001,0),IFERROR(MATCH(B226&amp;"|시공사",'2.현장'!$Z$2:$Z$1001,0),MATCH(B226&amp;"|늦음",'2.현장'!$Z$2:$Z$1001,0)))),""))</f>
        <v/>
      </c>
      <c r="J226">
        <f>IF(B226="","",IFERROR(VLOOKUP(B226,설계사_메모!$A$3:$G$302,2,FALSE)&amp;"",""))</f>
        <v/>
      </c>
      <c r="K226">
        <f>IF(B226="","",IFERROR(VLOOKUP(B226,설계사_메모!$A$3:$G$302,4,FALSE)&amp;"",""))</f>
        <v/>
      </c>
      <c r="L226" s="6">
        <f>IF(B226="","",IF(COUNTIF('4.방문기록'!$B$3:$B$502,B226)=0,"",_xlfn.MAXIFS('4.방문기록'!$A$3:$A$502,'4.방문기록'!$B$3:$B$502,B226)))</f>
        <v/>
      </c>
      <c r="M226">
        <f>IF(L226="","",설정!$B$24-L226)</f>
        <v/>
      </c>
      <c r="N226" s="6">
        <f>IF(B226="","",IF(_xlfn.MAXIFS('4.방문기록'!$F$3:$F$502,'4.방문기록'!$B$3:$B$502,B226)=0,"",_xlfn.MAXIFS('4.방문기록'!$F$3:$F$502,'4.방문기록'!$B$3:$B$502,B226)))</f>
        <v/>
      </c>
      <c r="O226">
        <f>IF(L226="","",IFERROR(INDEX('4.방문기록'!$H$3:$H$502,MATCH(B226&amp;"|"&amp;(L226*1),'4.방문기록'!$I$3:$I$502,0))&amp;"",""))</f>
        <v/>
      </c>
      <c r="P226">
        <f>IF(B226="","",IF(O226="관심 없음","제외",IF(L226="","안 가봄",IF(M226&gt;=설정!$B$20,M226&amp;"일 지남","최근 방문"))))</f>
        <v/>
      </c>
      <c r="Q226" s="7">
        <f>IF(B226="","",IF(P226="제외","",IF(AND(설정!$B$21&lt;&gt;"",I226&lt;&gt;설정!$B$21),"",IF(AND(N226&lt;&gt;"",N226&gt;N(L226),N226&lt;=설정!$B$24+7),100+7-(N226-설정!$B$24),IF(AND(D226&gt;0,OR(P226="안 가봄",RIGHT(P226,2)="지남")),D226*10+IF(L226="",30,MIN(M226,60)/2)+MIN(N(F226)/1000,20),"")))))</f>
        <v/>
      </c>
      <c r="R226">
        <f>IF(Q226="","",COUNTIF(Q$4:Q$303,"&gt;"&amp;Q226)+COUNTIF(Q$4:Q226,Q226))</f>
        <v/>
      </c>
    </row>
    <row r="227">
      <c r="A227">
        <f>IF(B227="","",224)</f>
        <v/>
      </c>
      <c r="B227">
        <f>IFERROR(INDEX('2.현장'!$V$2:$V$1001,MATCH(224,'2.현장'!$W$2:$W$1001,0)),"")</f>
        <v/>
      </c>
      <c r="C227">
        <f>IF(B227="","",COUNTIFS('2.현장'!$V$2:$V$1001,B227,'2.현장'!$T$2:$T$1001,TRUE))</f>
        <v/>
      </c>
      <c r="D227">
        <f>IF(B227="","",COUNTIFS('2.현장'!$V$2:$V$1001,B227,'2.현장'!$U$2:$U$1001,"설계사"))</f>
        <v/>
      </c>
      <c r="E227">
        <f>IF(B227="","",COUNTIFS('2.현장'!$V$2:$V$1001,B227,'2.현장'!$U$2:$U$1001,"시공사"))</f>
        <v/>
      </c>
      <c r="F227" s="5">
        <f>IF(B227="","",_xlfn.MAXIFS('2.현장'!$D$2:$D$1001,'2.현장'!$V$2:$V$1001,B227,'2.현장'!$T$2:$T$1001,TRUE))</f>
        <v/>
      </c>
      <c r="G227" s="6">
        <f>IF(B227="","",IF(_xlfn.MAXIFS('2.현장'!$L$2:$L$1001,'2.현장'!$V$2:$V$1001,B227,'2.현장'!$T$2:$T$1001,TRUE)=0,"",_xlfn.MAXIFS('2.현장'!$L$2:$L$1001,'2.현장'!$V$2:$V$1001,B227,'2.현장'!$T$2:$T$1001,TRUE)))</f>
        <v/>
      </c>
      <c r="H227">
        <f>IF(B227="","",IFERROR(INDEX('2.현장'!$C$2:$C$1001,IFERROR(MATCH(B227&amp;"|설계사",'2.현장'!$Z$2:$Z$1001,0),IFERROR(MATCH(B227&amp;"|시공사",'2.현장'!$Z$2:$Z$1001,0),MATCH(B227&amp;"|늦음",'2.현장'!$Z$2:$Z$1001,0)))),""))</f>
        <v/>
      </c>
      <c r="I227">
        <f>IF(B227="","",IFERROR(INDEX('2.현장'!$N$2:$N$1001,IFERROR(MATCH(B227&amp;"|설계사",'2.현장'!$Z$2:$Z$1001,0),IFERROR(MATCH(B227&amp;"|시공사",'2.현장'!$Z$2:$Z$1001,0),MATCH(B227&amp;"|늦음",'2.현장'!$Z$2:$Z$1001,0)))),""))</f>
        <v/>
      </c>
      <c r="J227">
        <f>IF(B227="","",IFERROR(VLOOKUP(B227,설계사_메모!$A$3:$G$302,2,FALSE)&amp;"",""))</f>
        <v/>
      </c>
      <c r="K227">
        <f>IF(B227="","",IFERROR(VLOOKUP(B227,설계사_메모!$A$3:$G$302,4,FALSE)&amp;"",""))</f>
        <v/>
      </c>
      <c r="L227" s="6">
        <f>IF(B227="","",IF(COUNTIF('4.방문기록'!$B$3:$B$502,B227)=0,"",_xlfn.MAXIFS('4.방문기록'!$A$3:$A$502,'4.방문기록'!$B$3:$B$502,B227)))</f>
        <v/>
      </c>
      <c r="M227">
        <f>IF(L227="","",설정!$B$24-L227)</f>
        <v/>
      </c>
      <c r="N227" s="6">
        <f>IF(B227="","",IF(_xlfn.MAXIFS('4.방문기록'!$F$3:$F$502,'4.방문기록'!$B$3:$B$502,B227)=0,"",_xlfn.MAXIFS('4.방문기록'!$F$3:$F$502,'4.방문기록'!$B$3:$B$502,B227)))</f>
        <v/>
      </c>
      <c r="O227">
        <f>IF(L227="","",IFERROR(INDEX('4.방문기록'!$H$3:$H$502,MATCH(B227&amp;"|"&amp;(L227*1),'4.방문기록'!$I$3:$I$502,0))&amp;"",""))</f>
        <v/>
      </c>
      <c r="P227">
        <f>IF(B227="","",IF(O227="관심 없음","제외",IF(L227="","안 가봄",IF(M227&gt;=설정!$B$20,M227&amp;"일 지남","최근 방문"))))</f>
        <v/>
      </c>
      <c r="Q227" s="7">
        <f>IF(B227="","",IF(P227="제외","",IF(AND(설정!$B$21&lt;&gt;"",I227&lt;&gt;설정!$B$21),"",IF(AND(N227&lt;&gt;"",N227&gt;N(L227),N227&lt;=설정!$B$24+7),100+7-(N227-설정!$B$24),IF(AND(D227&gt;0,OR(P227="안 가봄",RIGHT(P227,2)="지남")),D227*10+IF(L227="",30,MIN(M227,60)/2)+MIN(N(F227)/1000,20),"")))))</f>
        <v/>
      </c>
      <c r="R227">
        <f>IF(Q227="","",COUNTIF(Q$4:Q$303,"&gt;"&amp;Q227)+COUNTIF(Q$4:Q227,Q227))</f>
        <v/>
      </c>
    </row>
    <row r="228">
      <c r="A228">
        <f>IF(B228="","",225)</f>
        <v/>
      </c>
      <c r="B228">
        <f>IFERROR(INDEX('2.현장'!$V$2:$V$1001,MATCH(225,'2.현장'!$W$2:$W$1001,0)),"")</f>
        <v/>
      </c>
      <c r="C228">
        <f>IF(B228="","",COUNTIFS('2.현장'!$V$2:$V$1001,B228,'2.현장'!$T$2:$T$1001,TRUE))</f>
        <v/>
      </c>
      <c r="D228">
        <f>IF(B228="","",COUNTIFS('2.현장'!$V$2:$V$1001,B228,'2.현장'!$U$2:$U$1001,"설계사"))</f>
        <v/>
      </c>
      <c r="E228">
        <f>IF(B228="","",COUNTIFS('2.현장'!$V$2:$V$1001,B228,'2.현장'!$U$2:$U$1001,"시공사"))</f>
        <v/>
      </c>
      <c r="F228" s="5">
        <f>IF(B228="","",_xlfn.MAXIFS('2.현장'!$D$2:$D$1001,'2.현장'!$V$2:$V$1001,B228,'2.현장'!$T$2:$T$1001,TRUE))</f>
        <v/>
      </c>
      <c r="G228" s="6">
        <f>IF(B228="","",IF(_xlfn.MAXIFS('2.현장'!$L$2:$L$1001,'2.현장'!$V$2:$V$1001,B228,'2.현장'!$T$2:$T$1001,TRUE)=0,"",_xlfn.MAXIFS('2.현장'!$L$2:$L$1001,'2.현장'!$V$2:$V$1001,B228,'2.현장'!$T$2:$T$1001,TRUE)))</f>
        <v/>
      </c>
      <c r="H228">
        <f>IF(B228="","",IFERROR(INDEX('2.현장'!$C$2:$C$1001,IFERROR(MATCH(B228&amp;"|설계사",'2.현장'!$Z$2:$Z$1001,0),IFERROR(MATCH(B228&amp;"|시공사",'2.현장'!$Z$2:$Z$1001,0),MATCH(B228&amp;"|늦음",'2.현장'!$Z$2:$Z$1001,0)))),""))</f>
        <v/>
      </c>
      <c r="I228">
        <f>IF(B228="","",IFERROR(INDEX('2.현장'!$N$2:$N$1001,IFERROR(MATCH(B228&amp;"|설계사",'2.현장'!$Z$2:$Z$1001,0),IFERROR(MATCH(B228&amp;"|시공사",'2.현장'!$Z$2:$Z$1001,0),MATCH(B228&amp;"|늦음",'2.현장'!$Z$2:$Z$1001,0)))),""))</f>
        <v/>
      </c>
      <c r="J228">
        <f>IF(B228="","",IFERROR(VLOOKUP(B228,설계사_메모!$A$3:$G$302,2,FALSE)&amp;"",""))</f>
        <v/>
      </c>
      <c r="K228">
        <f>IF(B228="","",IFERROR(VLOOKUP(B228,설계사_메모!$A$3:$G$302,4,FALSE)&amp;"",""))</f>
        <v/>
      </c>
      <c r="L228" s="6">
        <f>IF(B228="","",IF(COUNTIF('4.방문기록'!$B$3:$B$502,B228)=0,"",_xlfn.MAXIFS('4.방문기록'!$A$3:$A$502,'4.방문기록'!$B$3:$B$502,B228)))</f>
        <v/>
      </c>
      <c r="M228">
        <f>IF(L228="","",설정!$B$24-L228)</f>
        <v/>
      </c>
      <c r="N228" s="6">
        <f>IF(B228="","",IF(_xlfn.MAXIFS('4.방문기록'!$F$3:$F$502,'4.방문기록'!$B$3:$B$502,B228)=0,"",_xlfn.MAXIFS('4.방문기록'!$F$3:$F$502,'4.방문기록'!$B$3:$B$502,B228)))</f>
        <v/>
      </c>
      <c r="O228">
        <f>IF(L228="","",IFERROR(INDEX('4.방문기록'!$H$3:$H$502,MATCH(B228&amp;"|"&amp;(L228*1),'4.방문기록'!$I$3:$I$502,0))&amp;"",""))</f>
        <v/>
      </c>
      <c r="P228">
        <f>IF(B228="","",IF(O228="관심 없음","제외",IF(L228="","안 가봄",IF(M228&gt;=설정!$B$20,M228&amp;"일 지남","최근 방문"))))</f>
        <v/>
      </c>
      <c r="Q228" s="7">
        <f>IF(B228="","",IF(P228="제외","",IF(AND(설정!$B$21&lt;&gt;"",I228&lt;&gt;설정!$B$21),"",IF(AND(N228&lt;&gt;"",N228&gt;N(L228),N228&lt;=설정!$B$24+7),100+7-(N228-설정!$B$24),IF(AND(D228&gt;0,OR(P228="안 가봄",RIGHT(P228,2)="지남")),D228*10+IF(L228="",30,MIN(M228,60)/2)+MIN(N(F228)/1000,20),"")))))</f>
        <v/>
      </c>
      <c r="R228">
        <f>IF(Q228="","",COUNTIF(Q$4:Q$303,"&gt;"&amp;Q228)+COUNTIF(Q$4:Q228,Q228))</f>
        <v/>
      </c>
    </row>
    <row r="229">
      <c r="A229">
        <f>IF(B229="","",226)</f>
        <v/>
      </c>
      <c r="B229">
        <f>IFERROR(INDEX('2.현장'!$V$2:$V$1001,MATCH(226,'2.현장'!$W$2:$W$1001,0)),"")</f>
        <v/>
      </c>
      <c r="C229">
        <f>IF(B229="","",COUNTIFS('2.현장'!$V$2:$V$1001,B229,'2.현장'!$T$2:$T$1001,TRUE))</f>
        <v/>
      </c>
      <c r="D229">
        <f>IF(B229="","",COUNTIFS('2.현장'!$V$2:$V$1001,B229,'2.현장'!$U$2:$U$1001,"설계사"))</f>
        <v/>
      </c>
      <c r="E229">
        <f>IF(B229="","",COUNTIFS('2.현장'!$V$2:$V$1001,B229,'2.현장'!$U$2:$U$1001,"시공사"))</f>
        <v/>
      </c>
      <c r="F229" s="5">
        <f>IF(B229="","",_xlfn.MAXIFS('2.현장'!$D$2:$D$1001,'2.현장'!$V$2:$V$1001,B229,'2.현장'!$T$2:$T$1001,TRUE))</f>
        <v/>
      </c>
      <c r="G229" s="6">
        <f>IF(B229="","",IF(_xlfn.MAXIFS('2.현장'!$L$2:$L$1001,'2.현장'!$V$2:$V$1001,B229,'2.현장'!$T$2:$T$1001,TRUE)=0,"",_xlfn.MAXIFS('2.현장'!$L$2:$L$1001,'2.현장'!$V$2:$V$1001,B229,'2.현장'!$T$2:$T$1001,TRUE)))</f>
        <v/>
      </c>
      <c r="H229">
        <f>IF(B229="","",IFERROR(INDEX('2.현장'!$C$2:$C$1001,IFERROR(MATCH(B229&amp;"|설계사",'2.현장'!$Z$2:$Z$1001,0),IFERROR(MATCH(B229&amp;"|시공사",'2.현장'!$Z$2:$Z$1001,0),MATCH(B229&amp;"|늦음",'2.현장'!$Z$2:$Z$1001,0)))),""))</f>
        <v/>
      </c>
      <c r="I229">
        <f>IF(B229="","",IFERROR(INDEX('2.현장'!$N$2:$N$1001,IFERROR(MATCH(B229&amp;"|설계사",'2.현장'!$Z$2:$Z$1001,0),IFERROR(MATCH(B229&amp;"|시공사",'2.현장'!$Z$2:$Z$1001,0),MATCH(B229&amp;"|늦음",'2.현장'!$Z$2:$Z$1001,0)))),""))</f>
        <v/>
      </c>
      <c r="J229">
        <f>IF(B229="","",IFERROR(VLOOKUP(B229,설계사_메모!$A$3:$G$302,2,FALSE)&amp;"",""))</f>
        <v/>
      </c>
      <c r="K229">
        <f>IF(B229="","",IFERROR(VLOOKUP(B229,설계사_메모!$A$3:$G$302,4,FALSE)&amp;"",""))</f>
        <v/>
      </c>
      <c r="L229" s="6">
        <f>IF(B229="","",IF(COUNTIF('4.방문기록'!$B$3:$B$502,B229)=0,"",_xlfn.MAXIFS('4.방문기록'!$A$3:$A$502,'4.방문기록'!$B$3:$B$502,B229)))</f>
        <v/>
      </c>
      <c r="M229">
        <f>IF(L229="","",설정!$B$24-L229)</f>
        <v/>
      </c>
      <c r="N229" s="6">
        <f>IF(B229="","",IF(_xlfn.MAXIFS('4.방문기록'!$F$3:$F$502,'4.방문기록'!$B$3:$B$502,B229)=0,"",_xlfn.MAXIFS('4.방문기록'!$F$3:$F$502,'4.방문기록'!$B$3:$B$502,B229)))</f>
        <v/>
      </c>
      <c r="O229">
        <f>IF(L229="","",IFERROR(INDEX('4.방문기록'!$H$3:$H$502,MATCH(B229&amp;"|"&amp;(L229*1),'4.방문기록'!$I$3:$I$502,0))&amp;"",""))</f>
        <v/>
      </c>
      <c r="P229">
        <f>IF(B229="","",IF(O229="관심 없음","제외",IF(L229="","안 가봄",IF(M229&gt;=설정!$B$20,M229&amp;"일 지남","최근 방문"))))</f>
        <v/>
      </c>
      <c r="Q229" s="7">
        <f>IF(B229="","",IF(P229="제외","",IF(AND(설정!$B$21&lt;&gt;"",I229&lt;&gt;설정!$B$21),"",IF(AND(N229&lt;&gt;"",N229&gt;N(L229),N229&lt;=설정!$B$24+7),100+7-(N229-설정!$B$24),IF(AND(D229&gt;0,OR(P229="안 가봄",RIGHT(P229,2)="지남")),D229*10+IF(L229="",30,MIN(M229,60)/2)+MIN(N(F229)/1000,20),"")))))</f>
        <v/>
      </c>
      <c r="R229">
        <f>IF(Q229="","",COUNTIF(Q$4:Q$303,"&gt;"&amp;Q229)+COUNTIF(Q$4:Q229,Q229))</f>
        <v/>
      </c>
    </row>
    <row r="230">
      <c r="A230">
        <f>IF(B230="","",227)</f>
        <v/>
      </c>
      <c r="B230">
        <f>IFERROR(INDEX('2.현장'!$V$2:$V$1001,MATCH(227,'2.현장'!$W$2:$W$1001,0)),"")</f>
        <v/>
      </c>
      <c r="C230">
        <f>IF(B230="","",COUNTIFS('2.현장'!$V$2:$V$1001,B230,'2.현장'!$T$2:$T$1001,TRUE))</f>
        <v/>
      </c>
      <c r="D230">
        <f>IF(B230="","",COUNTIFS('2.현장'!$V$2:$V$1001,B230,'2.현장'!$U$2:$U$1001,"설계사"))</f>
        <v/>
      </c>
      <c r="E230">
        <f>IF(B230="","",COUNTIFS('2.현장'!$V$2:$V$1001,B230,'2.현장'!$U$2:$U$1001,"시공사"))</f>
        <v/>
      </c>
      <c r="F230" s="5">
        <f>IF(B230="","",_xlfn.MAXIFS('2.현장'!$D$2:$D$1001,'2.현장'!$V$2:$V$1001,B230,'2.현장'!$T$2:$T$1001,TRUE))</f>
        <v/>
      </c>
      <c r="G230" s="6">
        <f>IF(B230="","",IF(_xlfn.MAXIFS('2.현장'!$L$2:$L$1001,'2.현장'!$V$2:$V$1001,B230,'2.현장'!$T$2:$T$1001,TRUE)=0,"",_xlfn.MAXIFS('2.현장'!$L$2:$L$1001,'2.현장'!$V$2:$V$1001,B230,'2.현장'!$T$2:$T$1001,TRUE)))</f>
        <v/>
      </c>
      <c r="H230">
        <f>IF(B230="","",IFERROR(INDEX('2.현장'!$C$2:$C$1001,IFERROR(MATCH(B230&amp;"|설계사",'2.현장'!$Z$2:$Z$1001,0),IFERROR(MATCH(B230&amp;"|시공사",'2.현장'!$Z$2:$Z$1001,0),MATCH(B230&amp;"|늦음",'2.현장'!$Z$2:$Z$1001,0)))),""))</f>
        <v/>
      </c>
      <c r="I230">
        <f>IF(B230="","",IFERROR(INDEX('2.현장'!$N$2:$N$1001,IFERROR(MATCH(B230&amp;"|설계사",'2.현장'!$Z$2:$Z$1001,0),IFERROR(MATCH(B230&amp;"|시공사",'2.현장'!$Z$2:$Z$1001,0),MATCH(B230&amp;"|늦음",'2.현장'!$Z$2:$Z$1001,0)))),""))</f>
        <v/>
      </c>
      <c r="J230">
        <f>IF(B230="","",IFERROR(VLOOKUP(B230,설계사_메모!$A$3:$G$302,2,FALSE)&amp;"",""))</f>
        <v/>
      </c>
      <c r="K230">
        <f>IF(B230="","",IFERROR(VLOOKUP(B230,설계사_메모!$A$3:$G$302,4,FALSE)&amp;"",""))</f>
        <v/>
      </c>
      <c r="L230" s="6">
        <f>IF(B230="","",IF(COUNTIF('4.방문기록'!$B$3:$B$502,B230)=0,"",_xlfn.MAXIFS('4.방문기록'!$A$3:$A$502,'4.방문기록'!$B$3:$B$502,B230)))</f>
        <v/>
      </c>
      <c r="M230">
        <f>IF(L230="","",설정!$B$24-L230)</f>
        <v/>
      </c>
      <c r="N230" s="6">
        <f>IF(B230="","",IF(_xlfn.MAXIFS('4.방문기록'!$F$3:$F$502,'4.방문기록'!$B$3:$B$502,B230)=0,"",_xlfn.MAXIFS('4.방문기록'!$F$3:$F$502,'4.방문기록'!$B$3:$B$502,B230)))</f>
        <v/>
      </c>
      <c r="O230">
        <f>IF(L230="","",IFERROR(INDEX('4.방문기록'!$H$3:$H$502,MATCH(B230&amp;"|"&amp;(L230*1),'4.방문기록'!$I$3:$I$502,0))&amp;"",""))</f>
        <v/>
      </c>
      <c r="P230">
        <f>IF(B230="","",IF(O230="관심 없음","제외",IF(L230="","안 가봄",IF(M230&gt;=설정!$B$20,M230&amp;"일 지남","최근 방문"))))</f>
        <v/>
      </c>
      <c r="Q230" s="7">
        <f>IF(B230="","",IF(P230="제외","",IF(AND(설정!$B$21&lt;&gt;"",I230&lt;&gt;설정!$B$21),"",IF(AND(N230&lt;&gt;"",N230&gt;N(L230),N230&lt;=설정!$B$24+7),100+7-(N230-설정!$B$24),IF(AND(D230&gt;0,OR(P230="안 가봄",RIGHT(P230,2)="지남")),D230*10+IF(L230="",30,MIN(M230,60)/2)+MIN(N(F230)/1000,20),"")))))</f>
        <v/>
      </c>
      <c r="R230">
        <f>IF(Q230="","",COUNTIF(Q$4:Q$303,"&gt;"&amp;Q230)+COUNTIF(Q$4:Q230,Q230))</f>
        <v/>
      </c>
    </row>
    <row r="231">
      <c r="A231">
        <f>IF(B231="","",228)</f>
        <v/>
      </c>
      <c r="B231">
        <f>IFERROR(INDEX('2.현장'!$V$2:$V$1001,MATCH(228,'2.현장'!$W$2:$W$1001,0)),"")</f>
        <v/>
      </c>
      <c r="C231">
        <f>IF(B231="","",COUNTIFS('2.현장'!$V$2:$V$1001,B231,'2.현장'!$T$2:$T$1001,TRUE))</f>
        <v/>
      </c>
      <c r="D231">
        <f>IF(B231="","",COUNTIFS('2.현장'!$V$2:$V$1001,B231,'2.현장'!$U$2:$U$1001,"설계사"))</f>
        <v/>
      </c>
      <c r="E231">
        <f>IF(B231="","",COUNTIFS('2.현장'!$V$2:$V$1001,B231,'2.현장'!$U$2:$U$1001,"시공사"))</f>
        <v/>
      </c>
      <c r="F231" s="5">
        <f>IF(B231="","",_xlfn.MAXIFS('2.현장'!$D$2:$D$1001,'2.현장'!$V$2:$V$1001,B231,'2.현장'!$T$2:$T$1001,TRUE))</f>
        <v/>
      </c>
      <c r="G231" s="6">
        <f>IF(B231="","",IF(_xlfn.MAXIFS('2.현장'!$L$2:$L$1001,'2.현장'!$V$2:$V$1001,B231,'2.현장'!$T$2:$T$1001,TRUE)=0,"",_xlfn.MAXIFS('2.현장'!$L$2:$L$1001,'2.현장'!$V$2:$V$1001,B231,'2.현장'!$T$2:$T$1001,TRUE)))</f>
        <v/>
      </c>
      <c r="H231">
        <f>IF(B231="","",IFERROR(INDEX('2.현장'!$C$2:$C$1001,IFERROR(MATCH(B231&amp;"|설계사",'2.현장'!$Z$2:$Z$1001,0),IFERROR(MATCH(B231&amp;"|시공사",'2.현장'!$Z$2:$Z$1001,0),MATCH(B231&amp;"|늦음",'2.현장'!$Z$2:$Z$1001,0)))),""))</f>
        <v/>
      </c>
      <c r="I231">
        <f>IF(B231="","",IFERROR(INDEX('2.현장'!$N$2:$N$1001,IFERROR(MATCH(B231&amp;"|설계사",'2.현장'!$Z$2:$Z$1001,0),IFERROR(MATCH(B231&amp;"|시공사",'2.현장'!$Z$2:$Z$1001,0),MATCH(B231&amp;"|늦음",'2.현장'!$Z$2:$Z$1001,0)))),""))</f>
        <v/>
      </c>
      <c r="J231">
        <f>IF(B231="","",IFERROR(VLOOKUP(B231,설계사_메모!$A$3:$G$302,2,FALSE)&amp;"",""))</f>
        <v/>
      </c>
      <c r="K231">
        <f>IF(B231="","",IFERROR(VLOOKUP(B231,설계사_메모!$A$3:$G$302,4,FALSE)&amp;"",""))</f>
        <v/>
      </c>
      <c r="L231" s="6">
        <f>IF(B231="","",IF(COUNTIF('4.방문기록'!$B$3:$B$502,B231)=0,"",_xlfn.MAXIFS('4.방문기록'!$A$3:$A$502,'4.방문기록'!$B$3:$B$502,B231)))</f>
        <v/>
      </c>
      <c r="M231">
        <f>IF(L231="","",설정!$B$24-L231)</f>
        <v/>
      </c>
      <c r="N231" s="6">
        <f>IF(B231="","",IF(_xlfn.MAXIFS('4.방문기록'!$F$3:$F$502,'4.방문기록'!$B$3:$B$502,B231)=0,"",_xlfn.MAXIFS('4.방문기록'!$F$3:$F$502,'4.방문기록'!$B$3:$B$502,B231)))</f>
        <v/>
      </c>
      <c r="O231">
        <f>IF(L231="","",IFERROR(INDEX('4.방문기록'!$H$3:$H$502,MATCH(B231&amp;"|"&amp;(L231*1),'4.방문기록'!$I$3:$I$502,0))&amp;"",""))</f>
        <v/>
      </c>
      <c r="P231">
        <f>IF(B231="","",IF(O231="관심 없음","제외",IF(L231="","안 가봄",IF(M231&gt;=설정!$B$20,M231&amp;"일 지남","최근 방문"))))</f>
        <v/>
      </c>
      <c r="Q231" s="7">
        <f>IF(B231="","",IF(P231="제외","",IF(AND(설정!$B$21&lt;&gt;"",I231&lt;&gt;설정!$B$21),"",IF(AND(N231&lt;&gt;"",N231&gt;N(L231),N231&lt;=설정!$B$24+7),100+7-(N231-설정!$B$24),IF(AND(D231&gt;0,OR(P231="안 가봄",RIGHT(P231,2)="지남")),D231*10+IF(L231="",30,MIN(M231,60)/2)+MIN(N(F231)/1000,20),"")))))</f>
        <v/>
      </c>
      <c r="R231">
        <f>IF(Q231="","",COUNTIF(Q$4:Q$303,"&gt;"&amp;Q231)+COUNTIF(Q$4:Q231,Q231))</f>
        <v/>
      </c>
    </row>
    <row r="232">
      <c r="A232">
        <f>IF(B232="","",229)</f>
        <v/>
      </c>
      <c r="B232">
        <f>IFERROR(INDEX('2.현장'!$V$2:$V$1001,MATCH(229,'2.현장'!$W$2:$W$1001,0)),"")</f>
        <v/>
      </c>
      <c r="C232">
        <f>IF(B232="","",COUNTIFS('2.현장'!$V$2:$V$1001,B232,'2.현장'!$T$2:$T$1001,TRUE))</f>
        <v/>
      </c>
      <c r="D232">
        <f>IF(B232="","",COUNTIFS('2.현장'!$V$2:$V$1001,B232,'2.현장'!$U$2:$U$1001,"설계사"))</f>
        <v/>
      </c>
      <c r="E232">
        <f>IF(B232="","",COUNTIFS('2.현장'!$V$2:$V$1001,B232,'2.현장'!$U$2:$U$1001,"시공사"))</f>
        <v/>
      </c>
      <c r="F232" s="5">
        <f>IF(B232="","",_xlfn.MAXIFS('2.현장'!$D$2:$D$1001,'2.현장'!$V$2:$V$1001,B232,'2.현장'!$T$2:$T$1001,TRUE))</f>
        <v/>
      </c>
      <c r="G232" s="6">
        <f>IF(B232="","",IF(_xlfn.MAXIFS('2.현장'!$L$2:$L$1001,'2.현장'!$V$2:$V$1001,B232,'2.현장'!$T$2:$T$1001,TRUE)=0,"",_xlfn.MAXIFS('2.현장'!$L$2:$L$1001,'2.현장'!$V$2:$V$1001,B232,'2.현장'!$T$2:$T$1001,TRUE)))</f>
        <v/>
      </c>
      <c r="H232">
        <f>IF(B232="","",IFERROR(INDEX('2.현장'!$C$2:$C$1001,IFERROR(MATCH(B232&amp;"|설계사",'2.현장'!$Z$2:$Z$1001,0),IFERROR(MATCH(B232&amp;"|시공사",'2.현장'!$Z$2:$Z$1001,0),MATCH(B232&amp;"|늦음",'2.현장'!$Z$2:$Z$1001,0)))),""))</f>
        <v/>
      </c>
      <c r="I232">
        <f>IF(B232="","",IFERROR(INDEX('2.현장'!$N$2:$N$1001,IFERROR(MATCH(B232&amp;"|설계사",'2.현장'!$Z$2:$Z$1001,0),IFERROR(MATCH(B232&amp;"|시공사",'2.현장'!$Z$2:$Z$1001,0),MATCH(B232&amp;"|늦음",'2.현장'!$Z$2:$Z$1001,0)))),""))</f>
        <v/>
      </c>
      <c r="J232">
        <f>IF(B232="","",IFERROR(VLOOKUP(B232,설계사_메모!$A$3:$G$302,2,FALSE)&amp;"",""))</f>
        <v/>
      </c>
      <c r="K232">
        <f>IF(B232="","",IFERROR(VLOOKUP(B232,설계사_메모!$A$3:$G$302,4,FALSE)&amp;"",""))</f>
        <v/>
      </c>
      <c r="L232" s="6">
        <f>IF(B232="","",IF(COUNTIF('4.방문기록'!$B$3:$B$502,B232)=0,"",_xlfn.MAXIFS('4.방문기록'!$A$3:$A$502,'4.방문기록'!$B$3:$B$502,B232)))</f>
        <v/>
      </c>
      <c r="M232">
        <f>IF(L232="","",설정!$B$24-L232)</f>
        <v/>
      </c>
      <c r="N232" s="6">
        <f>IF(B232="","",IF(_xlfn.MAXIFS('4.방문기록'!$F$3:$F$502,'4.방문기록'!$B$3:$B$502,B232)=0,"",_xlfn.MAXIFS('4.방문기록'!$F$3:$F$502,'4.방문기록'!$B$3:$B$502,B232)))</f>
        <v/>
      </c>
      <c r="O232">
        <f>IF(L232="","",IFERROR(INDEX('4.방문기록'!$H$3:$H$502,MATCH(B232&amp;"|"&amp;(L232*1),'4.방문기록'!$I$3:$I$502,0))&amp;"",""))</f>
        <v/>
      </c>
      <c r="P232">
        <f>IF(B232="","",IF(O232="관심 없음","제외",IF(L232="","안 가봄",IF(M232&gt;=설정!$B$20,M232&amp;"일 지남","최근 방문"))))</f>
        <v/>
      </c>
      <c r="Q232" s="7">
        <f>IF(B232="","",IF(P232="제외","",IF(AND(설정!$B$21&lt;&gt;"",I232&lt;&gt;설정!$B$21),"",IF(AND(N232&lt;&gt;"",N232&gt;N(L232),N232&lt;=설정!$B$24+7),100+7-(N232-설정!$B$24),IF(AND(D232&gt;0,OR(P232="안 가봄",RIGHT(P232,2)="지남")),D232*10+IF(L232="",30,MIN(M232,60)/2)+MIN(N(F232)/1000,20),"")))))</f>
        <v/>
      </c>
      <c r="R232">
        <f>IF(Q232="","",COUNTIF(Q$4:Q$303,"&gt;"&amp;Q232)+COUNTIF(Q$4:Q232,Q232))</f>
        <v/>
      </c>
    </row>
    <row r="233">
      <c r="A233">
        <f>IF(B233="","",230)</f>
        <v/>
      </c>
      <c r="B233">
        <f>IFERROR(INDEX('2.현장'!$V$2:$V$1001,MATCH(230,'2.현장'!$W$2:$W$1001,0)),"")</f>
        <v/>
      </c>
      <c r="C233">
        <f>IF(B233="","",COUNTIFS('2.현장'!$V$2:$V$1001,B233,'2.현장'!$T$2:$T$1001,TRUE))</f>
        <v/>
      </c>
      <c r="D233">
        <f>IF(B233="","",COUNTIFS('2.현장'!$V$2:$V$1001,B233,'2.현장'!$U$2:$U$1001,"설계사"))</f>
        <v/>
      </c>
      <c r="E233">
        <f>IF(B233="","",COUNTIFS('2.현장'!$V$2:$V$1001,B233,'2.현장'!$U$2:$U$1001,"시공사"))</f>
        <v/>
      </c>
      <c r="F233" s="5">
        <f>IF(B233="","",_xlfn.MAXIFS('2.현장'!$D$2:$D$1001,'2.현장'!$V$2:$V$1001,B233,'2.현장'!$T$2:$T$1001,TRUE))</f>
        <v/>
      </c>
      <c r="G233" s="6">
        <f>IF(B233="","",IF(_xlfn.MAXIFS('2.현장'!$L$2:$L$1001,'2.현장'!$V$2:$V$1001,B233,'2.현장'!$T$2:$T$1001,TRUE)=0,"",_xlfn.MAXIFS('2.현장'!$L$2:$L$1001,'2.현장'!$V$2:$V$1001,B233,'2.현장'!$T$2:$T$1001,TRUE)))</f>
        <v/>
      </c>
      <c r="H233">
        <f>IF(B233="","",IFERROR(INDEX('2.현장'!$C$2:$C$1001,IFERROR(MATCH(B233&amp;"|설계사",'2.현장'!$Z$2:$Z$1001,0),IFERROR(MATCH(B233&amp;"|시공사",'2.현장'!$Z$2:$Z$1001,0),MATCH(B233&amp;"|늦음",'2.현장'!$Z$2:$Z$1001,0)))),""))</f>
        <v/>
      </c>
      <c r="I233">
        <f>IF(B233="","",IFERROR(INDEX('2.현장'!$N$2:$N$1001,IFERROR(MATCH(B233&amp;"|설계사",'2.현장'!$Z$2:$Z$1001,0),IFERROR(MATCH(B233&amp;"|시공사",'2.현장'!$Z$2:$Z$1001,0),MATCH(B233&amp;"|늦음",'2.현장'!$Z$2:$Z$1001,0)))),""))</f>
        <v/>
      </c>
      <c r="J233">
        <f>IF(B233="","",IFERROR(VLOOKUP(B233,설계사_메모!$A$3:$G$302,2,FALSE)&amp;"",""))</f>
        <v/>
      </c>
      <c r="K233">
        <f>IF(B233="","",IFERROR(VLOOKUP(B233,설계사_메모!$A$3:$G$302,4,FALSE)&amp;"",""))</f>
        <v/>
      </c>
      <c r="L233" s="6">
        <f>IF(B233="","",IF(COUNTIF('4.방문기록'!$B$3:$B$502,B233)=0,"",_xlfn.MAXIFS('4.방문기록'!$A$3:$A$502,'4.방문기록'!$B$3:$B$502,B233)))</f>
        <v/>
      </c>
      <c r="M233">
        <f>IF(L233="","",설정!$B$24-L233)</f>
        <v/>
      </c>
      <c r="N233" s="6">
        <f>IF(B233="","",IF(_xlfn.MAXIFS('4.방문기록'!$F$3:$F$502,'4.방문기록'!$B$3:$B$502,B233)=0,"",_xlfn.MAXIFS('4.방문기록'!$F$3:$F$502,'4.방문기록'!$B$3:$B$502,B233)))</f>
        <v/>
      </c>
      <c r="O233">
        <f>IF(L233="","",IFERROR(INDEX('4.방문기록'!$H$3:$H$502,MATCH(B233&amp;"|"&amp;(L233*1),'4.방문기록'!$I$3:$I$502,0))&amp;"",""))</f>
        <v/>
      </c>
      <c r="P233">
        <f>IF(B233="","",IF(O233="관심 없음","제외",IF(L233="","안 가봄",IF(M233&gt;=설정!$B$20,M233&amp;"일 지남","최근 방문"))))</f>
        <v/>
      </c>
      <c r="Q233" s="7">
        <f>IF(B233="","",IF(P233="제외","",IF(AND(설정!$B$21&lt;&gt;"",I233&lt;&gt;설정!$B$21),"",IF(AND(N233&lt;&gt;"",N233&gt;N(L233),N233&lt;=설정!$B$24+7),100+7-(N233-설정!$B$24),IF(AND(D233&gt;0,OR(P233="안 가봄",RIGHT(P233,2)="지남")),D233*10+IF(L233="",30,MIN(M233,60)/2)+MIN(N(F233)/1000,20),"")))))</f>
        <v/>
      </c>
      <c r="R233">
        <f>IF(Q233="","",COUNTIF(Q$4:Q$303,"&gt;"&amp;Q233)+COUNTIF(Q$4:Q233,Q233))</f>
        <v/>
      </c>
    </row>
    <row r="234">
      <c r="A234">
        <f>IF(B234="","",231)</f>
        <v/>
      </c>
      <c r="B234">
        <f>IFERROR(INDEX('2.현장'!$V$2:$V$1001,MATCH(231,'2.현장'!$W$2:$W$1001,0)),"")</f>
        <v/>
      </c>
      <c r="C234">
        <f>IF(B234="","",COUNTIFS('2.현장'!$V$2:$V$1001,B234,'2.현장'!$T$2:$T$1001,TRUE))</f>
        <v/>
      </c>
      <c r="D234">
        <f>IF(B234="","",COUNTIFS('2.현장'!$V$2:$V$1001,B234,'2.현장'!$U$2:$U$1001,"설계사"))</f>
        <v/>
      </c>
      <c r="E234">
        <f>IF(B234="","",COUNTIFS('2.현장'!$V$2:$V$1001,B234,'2.현장'!$U$2:$U$1001,"시공사"))</f>
        <v/>
      </c>
      <c r="F234" s="5">
        <f>IF(B234="","",_xlfn.MAXIFS('2.현장'!$D$2:$D$1001,'2.현장'!$V$2:$V$1001,B234,'2.현장'!$T$2:$T$1001,TRUE))</f>
        <v/>
      </c>
      <c r="G234" s="6">
        <f>IF(B234="","",IF(_xlfn.MAXIFS('2.현장'!$L$2:$L$1001,'2.현장'!$V$2:$V$1001,B234,'2.현장'!$T$2:$T$1001,TRUE)=0,"",_xlfn.MAXIFS('2.현장'!$L$2:$L$1001,'2.현장'!$V$2:$V$1001,B234,'2.현장'!$T$2:$T$1001,TRUE)))</f>
        <v/>
      </c>
      <c r="H234">
        <f>IF(B234="","",IFERROR(INDEX('2.현장'!$C$2:$C$1001,IFERROR(MATCH(B234&amp;"|설계사",'2.현장'!$Z$2:$Z$1001,0),IFERROR(MATCH(B234&amp;"|시공사",'2.현장'!$Z$2:$Z$1001,0),MATCH(B234&amp;"|늦음",'2.현장'!$Z$2:$Z$1001,0)))),""))</f>
        <v/>
      </c>
      <c r="I234">
        <f>IF(B234="","",IFERROR(INDEX('2.현장'!$N$2:$N$1001,IFERROR(MATCH(B234&amp;"|설계사",'2.현장'!$Z$2:$Z$1001,0),IFERROR(MATCH(B234&amp;"|시공사",'2.현장'!$Z$2:$Z$1001,0),MATCH(B234&amp;"|늦음",'2.현장'!$Z$2:$Z$1001,0)))),""))</f>
        <v/>
      </c>
      <c r="J234">
        <f>IF(B234="","",IFERROR(VLOOKUP(B234,설계사_메모!$A$3:$G$302,2,FALSE)&amp;"",""))</f>
        <v/>
      </c>
      <c r="K234">
        <f>IF(B234="","",IFERROR(VLOOKUP(B234,설계사_메모!$A$3:$G$302,4,FALSE)&amp;"",""))</f>
        <v/>
      </c>
      <c r="L234" s="6">
        <f>IF(B234="","",IF(COUNTIF('4.방문기록'!$B$3:$B$502,B234)=0,"",_xlfn.MAXIFS('4.방문기록'!$A$3:$A$502,'4.방문기록'!$B$3:$B$502,B234)))</f>
        <v/>
      </c>
      <c r="M234">
        <f>IF(L234="","",설정!$B$24-L234)</f>
        <v/>
      </c>
      <c r="N234" s="6">
        <f>IF(B234="","",IF(_xlfn.MAXIFS('4.방문기록'!$F$3:$F$502,'4.방문기록'!$B$3:$B$502,B234)=0,"",_xlfn.MAXIFS('4.방문기록'!$F$3:$F$502,'4.방문기록'!$B$3:$B$502,B234)))</f>
        <v/>
      </c>
      <c r="O234">
        <f>IF(L234="","",IFERROR(INDEX('4.방문기록'!$H$3:$H$502,MATCH(B234&amp;"|"&amp;(L234*1),'4.방문기록'!$I$3:$I$502,0))&amp;"",""))</f>
        <v/>
      </c>
      <c r="P234">
        <f>IF(B234="","",IF(O234="관심 없음","제외",IF(L234="","안 가봄",IF(M234&gt;=설정!$B$20,M234&amp;"일 지남","최근 방문"))))</f>
        <v/>
      </c>
      <c r="Q234" s="7">
        <f>IF(B234="","",IF(P234="제외","",IF(AND(설정!$B$21&lt;&gt;"",I234&lt;&gt;설정!$B$21),"",IF(AND(N234&lt;&gt;"",N234&gt;N(L234),N234&lt;=설정!$B$24+7),100+7-(N234-설정!$B$24),IF(AND(D234&gt;0,OR(P234="안 가봄",RIGHT(P234,2)="지남")),D234*10+IF(L234="",30,MIN(M234,60)/2)+MIN(N(F234)/1000,20),"")))))</f>
        <v/>
      </c>
      <c r="R234">
        <f>IF(Q234="","",COUNTIF(Q$4:Q$303,"&gt;"&amp;Q234)+COUNTIF(Q$4:Q234,Q234))</f>
        <v/>
      </c>
    </row>
    <row r="235">
      <c r="A235">
        <f>IF(B235="","",232)</f>
        <v/>
      </c>
      <c r="B235">
        <f>IFERROR(INDEX('2.현장'!$V$2:$V$1001,MATCH(232,'2.현장'!$W$2:$W$1001,0)),"")</f>
        <v/>
      </c>
      <c r="C235">
        <f>IF(B235="","",COUNTIFS('2.현장'!$V$2:$V$1001,B235,'2.현장'!$T$2:$T$1001,TRUE))</f>
        <v/>
      </c>
      <c r="D235">
        <f>IF(B235="","",COUNTIFS('2.현장'!$V$2:$V$1001,B235,'2.현장'!$U$2:$U$1001,"설계사"))</f>
        <v/>
      </c>
      <c r="E235">
        <f>IF(B235="","",COUNTIFS('2.현장'!$V$2:$V$1001,B235,'2.현장'!$U$2:$U$1001,"시공사"))</f>
        <v/>
      </c>
      <c r="F235" s="5">
        <f>IF(B235="","",_xlfn.MAXIFS('2.현장'!$D$2:$D$1001,'2.현장'!$V$2:$V$1001,B235,'2.현장'!$T$2:$T$1001,TRUE))</f>
        <v/>
      </c>
      <c r="G235" s="6">
        <f>IF(B235="","",IF(_xlfn.MAXIFS('2.현장'!$L$2:$L$1001,'2.현장'!$V$2:$V$1001,B235,'2.현장'!$T$2:$T$1001,TRUE)=0,"",_xlfn.MAXIFS('2.현장'!$L$2:$L$1001,'2.현장'!$V$2:$V$1001,B235,'2.현장'!$T$2:$T$1001,TRUE)))</f>
        <v/>
      </c>
      <c r="H235">
        <f>IF(B235="","",IFERROR(INDEX('2.현장'!$C$2:$C$1001,IFERROR(MATCH(B235&amp;"|설계사",'2.현장'!$Z$2:$Z$1001,0),IFERROR(MATCH(B235&amp;"|시공사",'2.현장'!$Z$2:$Z$1001,0),MATCH(B235&amp;"|늦음",'2.현장'!$Z$2:$Z$1001,0)))),""))</f>
        <v/>
      </c>
      <c r="I235">
        <f>IF(B235="","",IFERROR(INDEX('2.현장'!$N$2:$N$1001,IFERROR(MATCH(B235&amp;"|설계사",'2.현장'!$Z$2:$Z$1001,0),IFERROR(MATCH(B235&amp;"|시공사",'2.현장'!$Z$2:$Z$1001,0),MATCH(B235&amp;"|늦음",'2.현장'!$Z$2:$Z$1001,0)))),""))</f>
        <v/>
      </c>
      <c r="J235">
        <f>IF(B235="","",IFERROR(VLOOKUP(B235,설계사_메모!$A$3:$G$302,2,FALSE)&amp;"",""))</f>
        <v/>
      </c>
      <c r="K235">
        <f>IF(B235="","",IFERROR(VLOOKUP(B235,설계사_메모!$A$3:$G$302,4,FALSE)&amp;"",""))</f>
        <v/>
      </c>
      <c r="L235" s="6">
        <f>IF(B235="","",IF(COUNTIF('4.방문기록'!$B$3:$B$502,B235)=0,"",_xlfn.MAXIFS('4.방문기록'!$A$3:$A$502,'4.방문기록'!$B$3:$B$502,B235)))</f>
        <v/>
      </c>
      <c r="M235">
        <f>IF(L235="","",설정!$B$24-L235)</f>
        <v/>
      </c>
      <c r="N235" s="6">
        <f>IF(B235="","",IF(_xlfn.MAXIFS('4.방문기록'!$F$3:$F$502,'4.방문기록'!$B$3:$B$502,B235)=0,"",_xlfn.MAXIFS('4.방문기록'!$F$3:$F$502,'4.방문기록'!$B$3:$B$502,B235)))</f>
        <v/>
      </c>
      <c r="O235">
        <f>IF(L235="","",IFERROR(INDEX('4.방문기록'!$H$3:$H$502,MATCH(B235&amp;"|"&amp;(L235*1),'4.방문기록'!$I$3:$I$502,0))&amp;"",""))</f>
        <v/>
      </c>
      <c r="P235">
        <f>IF(B235="","",IF(O235="관심 없음","제외",IF(L235="","안 가봄",IF(M235&gt;=설정!$B$20,M235&amp;"일 지남","최근 방문"))))</f>
        <v/>
      </c>
      <c r="Q235" s="7">
        <f>IF(B235="","",IF(P235="제외","",IF(AND(설정!$B$21&lt;&gt;"",I235&lt;&gt;설정!$B$21),"",IF(AND(N235&lt;&gt;"",N235&gt;N(L235),N235&lt;=설정!$B$24+7),100+7-(N235-설정!$B$24),IF(AND(D235&gt;0,OR(P235="안 가봄",RIGHT(P235,2)="지남")),D235*10+IF(L235="",30,MIN(M235,60)/2)+MIN(N(F235)/1000,20),"")))))</f>
        <v/>
      </c>
      <c r="R235">
        <f>IF(Q235="","",COUNTIF(Q$4:Q$303,"&gt;"&amp;Q235)+COUNTIF(Q$4:Q235,Q235))</f>
        <v/>
      </c>
    </row>
    <row r="236">
      <c r="A236">
        <f>IF(B236="","",233)</f>
        <v/>
      </c>
      <c r="B236">
        <f>IFERROR(INDEX('2.현장'!$V$2:$V$1001,MATCH(233,'2.현장'!$W$2:$W$1001,0)),"")</f>
        <v/>
      </c>
      <c r="C236">
        <f>IF(B236="","",COUNTIFS('2.현장'!$V$2:$V$1001,B236,'2.현장'!$T$2:$T$1001,TRUE))</f>
        <v/>
      </c>
      <c r="D236">
        <f>IF(B236="","",COUNTIFS('2.현장'!$V$2:$V$1001,B236,'2.현장'!$U$2:$U$1001,"설계사"))</f>
        <v/>
      </c>
      <c r="E236">
        <f>IF(B236="","",COUNTIFS('2.현장'!$V$2:$V$1001,B236,'2.현장'!$U$2:$U$1001,"시공사"))</f>
        <v/>
      </c>
      <c r="F236" s="5">
        <f>IF(B236="","",_xlfn.MAXIFS('2.현장'!$D$2:$D$1001,'2.현장'!$V$2:$V$1001,B236,'2.현장'!$T$2:$T$1001,TRUE))</f>
        <v/>
      </c>
      <c r="G236" s="6">
        <f>IF(B236="","",IF(_xlfn.MAXIFS('2.현장'!$L$2:$L$1001,'2.현장'!$V$2:$V$1001,B236,'2.현장'!$T$2:$T$1001,TRUE)=0,"",_xlfn.MAXIFS('2.현장'!$L$2:$L$1001,'2.현장'!$V$2:$V$1001,B236,'2.현장'!$T$2:$T$1001,TRUE)))</f>
        <v/>
      </c>
      <c r="H236">
        <f>IF(B236="","",IFERROR(INDEX('2.현장'!$C$2:$C$1001,IFERROR(MATCH(B236&amp;"|설계사",'2.현장'!$Z$2:$Z$1001,0),IFERROR(MATCH(B236&amp;"|시공사",'2.현장'!$Z$2:$Z$1001,0),MATCH(B236&amp;"|늦음",'2.현장'!$Z$2:$Z$1001,0)))),""))</f>
        <v/>
      </c>
      <c r="I236">
        <f>IF(B236="","",IFERROR(INDEX('2.현장'!$N$2:$N$1001,IFERROR(MATCH(B236&amp;"|설계사",'2.현장'!$Z$2:$Z$1001,0),IFERROR(MATCH(B236&amp;"|시공사",'2.현장'!$Z$2:$Z$1001,0),MATCH(B236&amp;"|늦음",'2.현장'!$Z$2:$Z$1001,0)))),""))</f>
        <v/>
      </c>
      <c r="J236">
        <f>IF(B236="","",IFERROR(VLOOKUP(B236,설계사_메모!$A$3:$G$302,2,FALSE)&amp;"",""))</f>
        <v/>
      </c>
      <c r="K236">
        <f>IF(B236="","",IFERROR(VLOOKUP(B236,설계사_메모!$A$3:$G$302,4,FALSE)&amp;"",""))</f>
        <v/>
      </c>
      <c r="L236" s="6">
        <f>IF(B236="","",IF(COUNTIF('4.방문기록'!$B$3:$B$502,B236)=0,"",_xlfn.MAXIFS('4.방문기록'!$A$3:$A$502,'4.방문기록'!$B$3:$B$502,B236)))</f>
        <v/>
      </c>
      <c r="M236">
        <f>IF(L236="","",설정!$B$24-L236)</f>
        <v/>
      </c>
      <c r="N236" s="6">
        <f>IF(B236="","",IF(_xlfn.MAXIFS('4.방문기록'!$F$3:$F$502,'4.방문기록'!$B$3:$B$502,B236)=0,"",_xlfn.MAXIFS('4.방문기록'!$F$3:$F$502,'4.방문기록'!$B$3:$B$502,B236)))</f>
        <v/>
      </c>
      <c r="O236">
        <f>IF(L236="","",IFERROR(INDEX('4.방문기록'!$H$3:$H$502,MATCH(B236&amp;"|"&amp;(L236*1),'4.방문기록'!$I$3:$I$502,0))&amp;"",""))</f>
        <v/>
      </c>
      <c r="P236">
        <f>IF(B236="","",IF(O236="관심 없음","제외",IF(L236="","안 가봄",IF(M236&gt;=설정!$B$20,M236&amp;"일 지남","최근 방문"))))</f>
        <v/>
      </c>
      <c r="Q236" s="7">
        <f>IF(B236="","",IF(P236="제외","",IF(AND(설정!$B$21&lt;&gt;"",I236&lt;&gt;설정!$B$21),"",IF(AND(N236&lt;&gt;"",N236&gt;N(L236),N236&lt;=설정!$B$24+7),100+7-(N236-설정!$B$24),IF(AND(D236&gt;0,OR(P236="안 가봄",RIGHT(P236,2)="지남")),D236*10+IF(L236="",30,MIN(M236,60)/2)+MIN(N(F236)/1000,20),"")))))</f>
        <v/>
      </c>
      <c r="R236">
        <f>IF(Q236="","",COUNTIF(Q$4:Q$303,"&gt;"&amp;Q236)+COUNTIF(Q$4:Q236,Q236))</f>
        <v/>
      </c>
    </row>
    <row r="237">
      <c r="A237">
        <f>IF(B237="","",234)</f>
        <v/>
      </c>
      <c r="B237">
        <f>IFERROR(INDEX('2.현장'!$V$2:$V$1001,MATCH(234,'2.현장'!$W$2:$W$1001,0)),"")</f>
        <v/>
      </c>
      <c r="C237">
        <f>IF(B237="","",COUNTIFS('2.현장'!$V$2:$V$1001,B237,'2.현장'!$T$2:$T$1001,TRUE))</f>
        <v/>
      </c>
      <c r="D237">
        <f>IF(B237="","",COUNTIFS('2.현장'!$V$2:$V$1001,B237,'2.현장'!$U$2:$U$1001,"설계사"))</f>
        <v/>
      </c>
      <c r="E237">
        <f>IF(B237="","",COUNTIFS('2.현장'!$V$2:$V$1001,B237,'2.현장'!$U$2:$U$1001,"시공사"))</f>
        <v/>
      </c>
      <c r="F237" s="5">
        <f>IF(B237="","",_xlfn.MAXIFS('2.현장'!$D$2:$D$1001,'2.현장'!$V$2:$V$1001,B237,'2.현장'!$T$2:$T$1001,TRUE))</f>
        <v/>
      </c>
      <c r="G237" s="6">
        <f>IF(B237="","",IF(_xlfn.MAXIFS('2.현장'!$L$2:$L$1001,'2.현장'!$V$2:$V$1001,B237,'2.현장'!$T$2:$T$1001,TRUE)=0,"",_xlfn.MAXIFS('2.현장'!$L$2:$L$1001,'2.현장'!$V$2:$V$1001,B237,'2.현장'!$T$2:$T$1001,TRUE)))</f>
        <v/>
      </c>
      <c r="H237">
        <f>IF(B237="","",IFERROR(INDEX('2.현장'!$C$2:$C$1001,IFERROR(MATCH(B237&amp;"|설계사",'2.현장'!$Z$2:$Z$1001,0),IFERROR(MATCH(B237&amp;"|시공사",'2.현장'!$Z$2:$Z$1001,0),MATCH(B237&amp;"|늦음",'2.현장'!$Z$2:$Z$1001,0)))),""))</f>
        <v/>
      </c>
      <c r="I237">
        <f>IF(B237="","",IFERROR(INDEX('2.현장'!$N$2:$N$1001,IFERROR(MATCH(B237&amp;"|설계사",'2.현장'!$Z$2:$Z$1001,0),IFERROR(MATCH(B237&amp;"|시공사",'2.현장'!$Z$2:$Z$1001,0),MATCH(B237&amp;"|늦음",'2.현장'!$Z$2:$Z$1001,0)))),""))</f>
        <v/>
      </c>
      <c r="J237">
        <f>IF(B237="","",IFERROR(VLOOKUP(B237,설계사_메모!$A$3:$G$302,2,FALSE)&amp;"",""))</f>
        <v/>
      </c>
      <c r="K237">
        <f>IF(B237="","",IFERROR(VLOOKUP(B237,설계사_메모!$A$3:$G$302,4,FALSE)&amp;"",""))</f>
        <v/>
      </c>
      <c r="L237" s="6">
        <f>IF(B237="","",IF(COUNTIF('4.방문기록'!$B$3:$B$502,B237)=0,"",_xlfn.MAXIFS('4.방문기록'!$A$3:$A$502,'4.방문기록'!$B$3:$B$502,B237)))</f>
        <v/>
      </c>
      <c r="M237">
        <f>IF(L237="","",설정!$B$24-L237)</f>
        <v/>
      </c>
      <c r="N237" s="6">
        <f>IF(B237="","",IF(_xlfn.MAXIFS('4.방문기록'!$F$3:$F$502,'4.방문기록'!$B$3:$B$502,B237)=0,"",_xlfn.MAXIFS('4.방문기록'!$F$3:$F$502,'4.방문기록'!$B$3:$B$502,B237)))</f>
        <v/>
      </c>
      <c r="O237">
        <f>IF(L237="","",IFERROR(INDEX('4.방문기록'!$H$3:$H$502,MATCH(B237&amp;"|"&amp;(L237*1),'4.방문기록'!$I$3:$I$502,0))&amp;"",""))</f>
        <v/>
      </c>
      <c r="P237">
        <f>IF(B237="","",IF(O237="관심 없음","제외",IF(L237="","안 가봄",IF(M237&gt;=설정!$B$20,M237&amp;"일 지남","최근 방문"))))</f>
        <v/>
      </c>
      <c r="Q237" s="7">
        <f>IF(B237="","",IF(P237="제외","",IF(AND(설정!$B$21&lt;&gt;"",I237&lt;&gt;설정!$B$21),"",IF(AND(N237&lt;&gt;"",N237&gt;N(L237),N237&lt;=설정!$B$24+7),100+7-(N237-설정!$B$24),IF(AND(D237&gt;0,OR(P237="안 가봄",RIGHT(P237,2)="지남")),D237*10+IF(L237="",30,MIN(M237,60)/2)+MIN(N(F237)/1000,20),"")))))</f>
        <v/>
      </c>
      <c r="R237">
        <f>IF(Q237="","",COUNTIF(Q$4:Q$303,"&gt;"&amp;Q237)+COUNTIF(Q$4:Q237,Q237))</f>
        <v/>
      </c>
    </row>
    <row r="238">
      <c r="A238">
        <f>IF(B238="","",235)</f>
        <v/>
      </c>
      <c r="B238">
        <f>IFERROR(INDEX('2.현장'!$V$2:$V$1001,MATCH(235,'2.현장'!$W$2:$W$1001,0)),"")</f>
        <v/>
      </c>
      <c r="C238">
        <f>IF(B238="","",COUNTIFS('2.현장'!$V$2:$V$1001,B238,'2.현장'!$T$2:$T$1001,TRUE))</f>
        <v/>
      </c>
      <c r="D238">
        <f>IF(B238="","",COUNTIFS('2.현장'!$V$2:$V$1001,B238,'2.현장'!$U$2:$U$1001,"설계사"))</f>
        <v/>
      </c>
      <c r="E238">
        <f>IF(B238="","",COUNTIFS('2.현장'!$V$2:$V$1001,B238,'2.현장'!$U$2:$U$1001,"시공사"))</f>
        <v/>
      </c>
      <c r="F238" s="5">
        <f>IF(B238="","",_xlfn.MAXIFS('2.현장'!$D$2:$D$1001,'2.현장'!$V$2:$V$1001,B238,'2.현장'!$T$2:$T$1001,TRUE))</f>
        <v/>
      </c>
      <c r="G238" s="6">
        <f>IF(B238="","",IF(_xlfn.MAXIFS('2.현장'!$L$2:$L$1001,'2.현장'!$V$2:$V$1001,B238,'2.현장'!$T$2:$T$1001,TRUE)=0,"",_xlfn.MAXIFS('2.현장'!$L$2:$L$1001,'2.현장'!$V$2:$V$1001,B238,'2.현장'!$T$2:$T$1001,TRUE)))</f>
        <v/>
      </c>
      <c r="H238">
        <f>IF(B238="","",IFERROR(INDEX('2.현장'!$C$2:$C$1001,IFERROR(MATCH(B238&amp;"|설계사",'2.현장'!$Z$2:$Z$1001,0),IFERROR(MATCH(B238&amp;"|시공사",'2.현장'!$Z$2:$Z$1001,0),MATCH(B238&amp;"|늦음",'2.현장'!$Z$2:$Z$1001,0)))),""))</f>
        <v/>
      </c>
      <c r="I238">
        <f>IF(B238="","",IFERROR(INDEX('2.현장'!$N$2:$N$1001,IFERROR(MATCH(B238&amp;"|설계사",'2.현장'!$Z$2:$Z$1001,0),IFERROR(MATCH(B238&amp;"|시공사",'2.현장'!$Z$2:$Z$1001,0),MATCH(B238&amp;"|늦음",'2.현장'!$Z$2:$Z$1001,0)))),""))</f>
        <v/>
      </c>
      <c r="J238">
        <f>IF(B238="","",IFERROR(VLOOKUP(B238,설계사_메모!$A$3:$G$302,2,FALSE)&amp;"",""))</f>
        <v/>
      </c>
      <c r="K238">
        <f>IF(B238="","",IFERROR(VLOOKUP(B238,설계사_메모!$A$3:$G$302,4,FALSE)&amp;"",""))</f>
        <v/>
      </c>
      <c r="L238" s="6">
        <f>IF(B238="","",IF(COUNTIF('4.방문기록'!$B$3:$B$502,B238)=0,"",_xlfn.MAXIFS('4.방문기록'!$A$3:$A$502,'4.방문기록'!$B$3:$B$502,B238)))</f>
        <v/>
      </c>
      <c r="M238">
        <f>IF(L238="","",설정!$B$24-L238)</f>
        <v/>
      </c>
      <c r="N238" s="6">
        <f>IF(B238="","",IF(_xlfn.MAXIFS('4.방문기록'!$F$3:$F$502,'4.방문기록'!$B$3:$B$502,B238)=0,"",_xlfn.MAXIFS('4.방문기록'!$F$3:$F$502,'4.방문기록'!$B$3:$B$502,B238)))</f>
        <v/>
      </c>
      <c r="O238">
        <f>IF(L238="","",IFERROR(INDEX('4.방문기록'!$H$3:$H$502,MATCH(B238&amp;"|"&amp;(L238*1),'4.방문기록'!$I$3:$I$502,0))&amp;"",""))</f>
        <v/>
      </c>
      <c r="P238">
        <f>IF(B238="","",IF(O238="관심 없음","제외",IF(L238="","안 가봄",IF(M238&gt;=설정!$B$20,M238&amp;"일 지남","최근 방문"))))</f>
        <v/>
      </c>
      <c r="Q238" s="7">
        <f>IF(B238="","",IF(P238="제외","",IF(AND(설정!$B$21&lt;&gt;"",I238&lt;&gt;설정!$B$21),"",IF(AND(N238&lt;&gt;"",N238&gt;N(L238),N238&lt;=설정!$B$24+7),100+7-(N238-설정!$B$24),IF(AND(D238&gt;0,OR(P238="안 가봄",RIGHT(P238,2)="지남")),D238*10+IF(L238="",30,MIN(M238,60)/2)+MIN(N(F238)/1000,20),"")))))</f>
        <v/>
      </c>
      <c r="R238">
        <f>IF(Q238="","",COUNTIF(Q$4:Q$303,"&gt;"&amp;Q238)+COUNTIF(Q$4:Q238,Q238))</f>
        <v/>
      </c>
    </row>
    <row r="239">
      <c r="A239">
        <f>IF(B239="","",236)</f>
        <v/>
      </c>
      <c r="B239">
        <f>IFERROR(INDEX('2.현장'!$V$2:$V$1001,MATCH(236,'2.현장'!$W$2:$W$1001,0)),"")</f>
        <v/>
      </c>
      <c r="C239">
        <f>IF(B239="","",COUNTIFS('2.현장'!$V$2:$V$1001,B239,'2.현장'!$T$2:$T$1001,TRUE))</f>
        <v/>
      </c>
      <c r="D239">
        <f>IF(B239="","",COUNTIFS('2.현장'!$V$2:$V$1001,B239,'2.현장'!$U$2:$U$1001,"설계사"))</f>
        <v/>
      </c>
      <c r="E239">
        <f>IF(B239="","",COUNTIFS('2.현장'!$V$2:$V$1001,B239,'2.현장'!$U$2:$U$1001,"시공사"))</f>
        <v/>
      </c>
      <c r="F239" s="5">
        <f>IF(B239="","",_xlfn.MAXIFS('2.현장'!$D$2:$D$1001,'2.현장'!$V$2:$V$1001,B239,'2.현장'!$T$2:$T$1001,TRUE))</f>
        <v/>
      </c>
      <c r="G239" s="6">
        <f>IF(B239="","",IF(_xlfn.MAXIFS('2.현장'!$L$2:$L$1001,'2.현장'!$V$2:$V$1001,B239,'2.현장'!$T$2:$T$1001,TRUE)=0,"",_xlfn.MAXIFS('2.현장'!$L$2:$L$1001,'2.현장'!$V$2:$V$1001,B239,'2.현장'!$T$2:$T$1001,TRUE)))</f>
        <v/>
      </c>
      <c r="H239">
        <f>IF(B239="","",IFERROR(INDEX('2.현장'!$C$2:$C$1001,IFERROR(MATCH(B239&amp;"|설계사",'2.현장'!$Z$2:$Z$1001,0),IFERROR(MATCH(B239&amp;"|시공사",'2.현장'!$Z$2:$Z$1001,0),MATCH(B239&amp;"|늦음",'2.현장'!$Z$2:$Z$1001,0)))),""))</f>
        <v/>
      </c>
      <c r="I239">
        <f>IF(B239="","",IFERROR(INDEX('2.현장'!$N$2:$N$1001,IFERROR(MATCH(B239&amp;"|설계사",'2.현장'!$Z$2:$Z$1001,0),IFERROR(MATCH(B239&amp;"|시공사",'2.현장'!$Z$2:$Z$1001,0),MATCH(B239&amp;"|늦음",'2.현장'!$Z$2:$Z$1001,0)))),""))</f>
        <v/>
      </c>
      <c r="J239">
        <f>IF(B239="","",IFERROR(VLOOKUP(B239,설계사_메모!$A$3:$G$302,2,FALSE)&amp;"",""))</f>
        <v/>
      </c>
      <c r="K239">
        <f>IF(B239="","",IFERROR(VLOOKUP(B239,설계사_메모!$A$3:$G$302,4,FALSE)&amp;"",""))</f>
        <v/>
      </c>
      <c r="L239" s="6">
        <f>IF(B239="","",IF(COUNTIF('4.방문기록'!$B$3:$B$502,B239)=0,"",_xlfn.MAXIFS('4.방문기록'!$A$3:$A$502,'4.방문기록'!$B$3:$B$502,B239)))</f>
        <v/>
      </c>
      <c r="M239">
        <f>IF(L239="","",설정!$B$24-L239)</f>
        <v/>
      </c>
      <c r="N239" s="6">
        <f>IF(B239="","",IF(_xlfn.MAXIFS('4.방문기록'!$F$3:$F$502,'4.방문기록'!$B$3:$B$502,B239)=0,"",_xlfn.MAXIFS('4.방문기록'!$F$3:$F$502,'4.방문기록'!$B$3:$B$502,B239)))</f>
        <v/>
      </c>
      <c r="O239">
        <f>IF(L239="","",IFERROR(INDEX('4.방문기록'!$H$3:$H$502,MATCH(B239&amp;"|"&amp;(L239*1),'4.방문기록'!$I$3:$I$502,0))&amp;"",""))</f>
        <v/>
      </c>
      <c r="P239">
        <f>IF(B239="","",IF(O239="관심 없음","제외",IF(L239="","안 가봄",IF(M239&gt;=설정!$B$20,M239&amp;"일 지남","최근 방문"))))</f>
        <v/>
      </c>
      <c r="Q239" s="7">
        <f>IF(B239="","",IF(P239="제외","",IF(AND(설정!$B$21&lt;&gt;"",I239&lt;&gt;설정!$B$21),"",IF(AND(N239&lt;&gt;"",N239&gt;N(L239),N239&lt;=설정!$B$24+7),100+7-(N239-설정!$B$24),IF(AND(D239&gt;0,OR(P239="안 가봄",RIGHT(P239,2)="지남")),D239*10+IF(L239="",30,MIN(M239,60)/2)+MIN(N(F239)/1000,20),"")))))</f>
        <v/>
      </c>
      <c r="R239">
        <f>IF(Q239="","",COUNTIF(Q$4:Q$303,"&gt;"&amp;Q239)+COUNTIF(Q$4:Q239,Q239))</f>
        <v/>
      </c>
    </row>
    <row r="240">
      <c r="A240">
        <f>IF(B240="","",237)</f>
        <v/>
      </c>
      <c r="B240">
        <f>IFERROR(INDEX('2.현장'!$V$2:$V$1001,MATCH(237,'2.현장'!$W$2:$W$1001,0)),"")</f>
        <v/>
      </c>
      <c r="C240">
        <f>IF(B240="","",COUNTIFS('2.현장'!$V$2:$V$1001,B240,'2.현장'!$T$2:$T$1001,TRUE))</f>
        <v/>
      </c>
      <c r="D240">
        <f>IF(B240="","",COUNTIFS('2.현장'!$V$2:$V$1001,B240,'2.현장'!$U$2:$U$1001,"설계사"))</f>
        <v/>
      </c>
      <c r="E240">
        <f>IF(B240="","",COUNTIFS('2.현장'!$V$2:$V$1001,B240,'2.현장'!$U$2:$U$1001,"시공사"))</f>
        <v/>
      </c>
      <c r="F240" s="5">
        <f>IF(B240="","",_xlfn.MAXIFS('2.현장'!$D$2:$D$1001,'2.현장'!$V$2:$V$1001,B240,'2.현장'!$T$2:$T$1001,TRUE))</f>
        <v/>
      </c>
      <c r="G240" s="6">
        <f>IF(B240="","",IF(_xlfn.MAXIFS('2.현장'!$L$2:$L$1001,'2.현장'!$V$2:$V$1001,B240,'2.현장'!$T$2:$T$1001,TRUE)=0,"",_xlfn.MAXIFS('2.현장'!$L$2:$L$1001,'2.현장'!$V$2:$V$1001,B240,'2.현장'!$T$2:$T$1001,TRUE)))</f>
        <v/>
      </c>
      <c r="H240">
        <f>IF(B240="","",IFERROR(INDEX('2.현장'!$C$2:$C$1001,IFERROR(MATCH(B240&amp;"|설계사",'2.현장'!$Z$2:$Z$1001,0),IFERROR(MATCH(B240&amp;"|시공사",'2.현장'!$Z$2:$Z$1001,0),MATCH(B240&amp;"|늦음",'2.현장'!$Z$2:$Z$1001,0)))),""))</f>
        <v/>
      </c>
      <c r="I240">
        <f>IF(B240="","",IFERROR(INDEX('2.현장'!$N$2:$N$1001,IFERROR(MATCH(B240&amp;"|설계사",'2.현장'!$Z$2:$Z$1001,0),IFERROR(MATCH(B240&amp;"|시공사",'2.현장'!$Z$2:$Z$1001,0),MATCH(B240&amp;"|늦음",'2.현장'!$Z$2:$Z$1001,0)))),""))</f>
        <v/>
      </c>
      <c r="J240">
        <f>IF(B240="","",IFERROR(VLOOKUP(B240,설계사_메모!$A$3:$G$302,2,FALSE)&amp;"",""))</f>
        <v/>
      </c>
      <c r="K240">
        <f>IF(B240="","",IFERROR(VLOOKUP(B240,설계사_메모!$A$3:$G$302,4,FALSE)&amp;"",""))</f>
        <v/>
      </c>
      <c r="L240" s="6">
        <f>IF(B240="","",IF(COUNTIF('4.방문기록'!$B$3:$B$502,B240)=0,"",_xlfn.MAXIFS('4.방문기록'!$A$3:$A$502,'4.방문기록'!$B$3:$B$502,B240)))</f>
        <v/>
      </c>
      <c r="M240">
        <f>IF(L240="","",설정!$B$24-L240)</f>
        <v/>
      </c>
      <c r="N240" s="6">
        <f>IF(B240="","",IF(_xlfn.MAXIFS('4.방문기록'!$F$3:$F$502,'4.방문기록'!$B$3:$B$502,B240)=0,"",_xlfn.MAXIFS('4.방문기록'!$F$3:$F$502,'4.방문기록'!$B$3:$B$502,B240)))</f>
        <v/>
      </c>
      <c r="O240">
        <f>IF(L240="","",IFERROR(INDEX('4.방문기록'!$H$3:$H$502,MATCH(B240&amp;"|"&amp;(L240*1),'4.방문기록'!$I$3:$I$502,0))&amp;"",""))</f>
        <v/>
      </c>
      <c r="P240">
        <f>IF(B240="","",IF(O240="관심 없음","제외",IF(L240="","안 가봄",IF(M240&gt;=설정!$B$20,M240&amp;"일 지남","최근 방문"))))</f>
        <v/>
      </c>
      <c r="Q240" s="7">
        <f>IF(B240="","",IF(P240="제외","",IF(AND(설정!$B$21&lt;&gt;"",I240&lt;&gt;설정!$B$21),"",IF(AND(N240&lt;&gt;"",N240&gt;N(L240),N240&lt;=설정!$B$24+7),100+7-(N240-설정!$B$24),IF(AND(D240&gt;0,OR(P240="안 가봄",RIGHT(P240,2)="지남")),D240*10+IF(L240="",30,MIN(M240,60)/2)+MIN(N(F240)/1000,20),"")))))</f>
        <v/>
      </c>
      <c r="R240">
        <f>IF(Q240="","",COUNTIF(Q$4:Q$303,"&gt;"&amp;Q240)+COUNTIF(Q$4:Q240,Q240))</f>
        <v/>
      </c>
    </row>
    <row r="241">
      <c r="A241">
        <f>IF(B241="","",238)</f>
        <v/>
      </c>
      <c r="B241">
        <f>IFERROR(INDEX('2.현장'!$V$2:$V$1001,MATCH(238,'2.현장'!$W$2:$W$1001,0)),"")</f>
        <v/>
      </c>
      <c r="C241">
        <f>IF(B241="","",COUNTIFS('2.현장'!$V$2:$V$1001,B241,'2.현장'!$T$2:$T$1001,TRUE))</f>
        <v/>
      </c>
      <c r="D241">
        <f>IF(B241="","",COUNTIFS('2.현장'!$V$2:$V$1001,B241,'2.현장'!$U$2:$U$1001,"설계사"))</f>
        <v/>
      </c>
      <c r="E241">
        <f>IF(B241="","",COUNTIFS('2.현장'!$V$2:$V$1001,B241,'2.현장'!$U$2:$U$1001,"시공사"))</f>
        <v/>
      </c>
      <c r="F241" s="5">
        <f>IF(B241="","",_xlfn.MAXIFS('2.현장'!$D$2:$D$1001,'2.현장'!$V$2:$V$1001,B241,'2.현장'!$T$2:$T$1001,TRUE))</f>
        <v/>
      </c>
      <c r="G241" s="6">
        <f>IF(B241="","",IF(_xlfn.MAXIFS('2.현장'!$L$2:$L$1001,'2.현장'!$V$2:$V$1001,B241,'2.현장'!$T$2:$T$1001,TRUE)=0,"",_xlfn.MAXIFS('2.현장'!$L$2:$L$1001,'2.현장'!$V$2:$V$1001,B241,'2.현장'!$T$2:$T$1001,TRUE)))</f>
        <v/>
      </c>
      <c r="H241">
        <f>IF(B241="","",IFERROR(INDEX('2.현장'!$C$2:$C$1001,IFERROR(MATCH(B241&amp;"|설계사",'2.현장'!$Z$2:$Z$1001,0),IFERROR(MATCH(B241&amp;"|시공사",'2.현장'!$Z$2:$Z$1001,0),MATCH(B241&amp;"|늦음",'2.현장'!$Z$2:$Z$1001,0)))),""))</f>
        <v/>
      </c>
      <c r="I241">
        <f>IF(B241="","",IFERROR(INDEX('2.현장'!$N$2:$N$1001,IFERROR(MATCH(B241&amp;"|설계사",'2.현장'!$Z$2:$Z$1001,0),IFERROR(MATCH(B241&amp;"|시공사",'2.현장'!$Z$2:$Z$1001,0),MATCH(B241&amp;"|늦음",'2.현장'!$Z$2:$Z$1001,0)))),""))</f>
        <v/>
      </c>
      <c r="J241">
        <f>IF(B241="","",IFERROR(VLOOKUP(B241,설계사_메모!$A$3:$G$302,2,FALSE)&amp;"",""))</f>
        <v/>
      </c>
      <c r="K241">
        <f>IF(B241="","",IFERROR(VLOOKUP(B241,설계사_메모!$A$3:$G$302,4,FALSE)&amp;"",""))</f>
        <v/>
      </c>
      <c r="L241" s="6">
        <f>IF(B241="","",IF(COUNTIF('4.방문기록'!$B$3:$B$502,B241)=0,"",_xlfn.MAXIFS('4.방문기록'!$A$3:$A$502,'4.방문기록'!$B$3:$B$502,B241)))</f>
        <v/>
      </c>
      <c r="M241">
        <f>IF(L241="","",설정!$B$24-L241)</f>
        <v/>
      </c>
      <c r="N241" s="6">
        <f>IF(B241="","",IF(_xlfn.MAXIFS('4.방문기록'!$F$3:$F$502,'4.방문기록'!$B$3:$B$502,B241)=0,"",_xlfn.MAXIFS('4.방문기록'!$F$3:$F$502,'4.방문기록'!$B$3:$B$502,B241)))</f>
        <v/>
      </c>
      <c r="O241">
        <f>IF(L241="","",IFERROR(INDEX('4.방문기록'!$H$3:$H$502,MATCH(B241&amp;"|"&amp;(L241*1),'4.방문기록'!$I$3:$I$502,0))&amp;"",""))</f>
        <v/>
      </c>
      <c r="P241">
        <f>IF(B241="","",IF(O241="관심 없음","제외",IF(L241="","안 가봄",IF(M241&gt;=설정!$B$20,M241&amp;"일 지남","최근 방문"))))</f>
        <v/>
      </c>
      <c r="Q241" s="7">
        <f>IF(B241="","",IF(P241="제외","",IF(AND(설정!$B$21&lt;&gt;"",I241&lt;&gt;설정!$B$21),"",IF(AND(N241&lt;&gt;"",N241&gt;N(L241),N241&lt;=설정!$B$24+7),100+7-(N241-설정!$B$24),IF(AND(D241&gt;0,OR(P241="안 가봄",RIGHT(P241,2)="지남")),D241*10+IF(L241="",30,MIN(M241,60)/2)+MIN(N(F241)/1000,20),"")))))</f>
        <v/>
      </c>
      <c r="R241">
        <f>IF(Q241="","",COUNTIF(Q$4:Q$303,"&gt;"&amp;Q241)+COUNTIF(Q$4:Q241,Q241))</f>
        <v/>
      </c>
    </row>
    <row r="242">
      <c r="A242">
        <f>IF(B242="","",239)</f>
        <v/>
      </c>
      <c r="B242">
        <f>IFERROR(INDEX('2.현장'!$V$2:$V$1001,MATCH(239,'2.현장'!$W$2:$W$1001,0)),"")</f>
        <v/>
      </c>
      <c r="C242">
        <f>IF(B242="","",COUNTIFS('2.현장'!$V$2:$V$1001,B242,'2.현장'!$T$2:$T$1001,TRUE))</f>
        <v/>
      </c>
      <c r="D242">
        <f>IF(B242="","",COUNTIFS('2.현장'!$V$2:$V$1001,B242,'2.현장'!$U$2:$U$1001,"설계사"))</f>
        <v/>
      </c>
      <c r="E242">
        <f>IF(B242="","",COUNTIFS('2.현장'!$V$2:$V$1001,B242,'2.현장'!$U$2:$U$1001,"시공사"))</f>
        <v/>
      </c>
      <c r="F242" s="5">
        <f>IF(B242="","",_xlfn.MAXIFS('2.현장'!$D$2:$D$1001,'2.현장'!$V$2:$V$1001,B242,'2.현장'!$T$2:$T$1001,TRUE))</f>
        <v/>
      </c>
      <c r="G242" s="6">
        <f>IF(B242="","",IF(_xlfn.MAXIFS('2.현장'!$L$2:$L$1001,'2.현장'!$V$2:$V$1001,B242,'2.현장'!$T$2:$T$1001,TRUE)=0,"",_xlfn.MAXIFS('2.현장'!$L$2:$L$1001,'2.현장'!$V$2:$V$1001,B242,'2.현장'!$T$2:$T$1001,TRUE)))</f>
        <v/>
      </c>
      <c r="H242">
        <f>IF(B242="","",IFERROR(INDEX('2.현장'!$C$2:$C$1001,IFERROR(MATCH(B242&amp;"|설계사",'2.현장'!$Z$2:$Z$1001,0),IFERROR(MATCH(B242&amp;"|시공사",'2.현장'!$Z$2:$Z$1001,0),MATCH(B242&amp;"|늦음",'2.현장'!$Z$2:$Z$1001,0)))),""))</f>
        <v/>
      </c>
      <c r="I242">
        <f>IF(B242="","",IFERROR(INDEX('2.현장'!$N$2:$N$1001,IFERROR(MATCH(B242&amp;"|설계사",'2.현장'!$Z$2:$Z$1001,0),IFERROR(MATCH(B242&amp;"|시공사",'2.현장'!$Z$2:$Z$1001,0),MATCH(B242&amp;"|늦음",'2.현장'!$Z$2:$Z$1001,0)))),""))</f>
        <v/>
      </c>
      <c r="J242">
        <f>IF(B242="","",IFERROR(VLOOKUP(B242,설계사_메모!$A$3:$G$302,2,FALSE)&amp;"",""))</f>
        <v/>
      </c>
      <c r="K242">
        <f>IF(B242="","",IFERROR(VLOOKUP(B242,설계사_메모!$A$3:$G$302,4,FALSE)&amp;"",""))</f>
        <v/>
      </c>
      <c r="L242" s="6">
        <f>IF(B242="","",IF(COUNTIF('4.방문기록'!$B$3:$B$502,B242)=0,"",_xlfn.MAXIFS('4.방문기록'!$A$3:$A$502,'4.방문기록'!$B$3:$B$502,B242)))</f>
        <v/>
      </c>
      <c r="M242">
        <f>IF(L242="","",설정!$B$24-L242)</f>
        <v/>
      </c>
      <c r="N242" s="6">
        <f>IF(B242="","",IF(_xlfn.MAXIFS('4.방문기록'!$F$3:$F$502,'4.방문기록'!$B$3:$B$502,B242)=0,"",_xlfn.MAXIFS('4.방문기록'!$F$3:$F$502,'4.방문기록'!$B$3:$B$502,B242)))</f>
        <v/>
      </c>
      <c r="O242">
        <f>IF(L242="","",IFERROR(INDEX('4.방문기록'!$H$3:$H$502,MATCH(B242&amp;"|"&amp;(L242*1),'4.방문기록'!$I$3:$I$502,0))&amp;"",""))</f>
        <v/>
      </c>
      <c r="P242">
        <f>IF(B242="","",IF(O242="관심 없음","제외",IF(L242="","안 가봄",IF(M242&gt;=설정!$B$20,M242&amp;"일 지남","최근 방문"))))</f>
        <v/>
      </c>
      <c r="Q242" s="7">
        <f>IF(B242="","",IF(P242="제외","",IF(AND(설정!$B$21&lt;&gt;"",I242&lt;&gt;설정!$B$21),"",IF(AND(N242&lt;&gt;"",N242&gt;N(L242),N242&lt;=설정!$B$24+7),100+7-(N242-설정!$B$24),IF(AND(D242&gt;0,OR(P242="안 가봄",RIGHT(P242,2)="지남")),D242*10+IF(L242="",30,MIN(M242,60)/2)+MIN(N(F242)/1000,20),"")))))</f>
        <v/>
      </c>
      <c r="R242">
        <f>IF(Q242="","",COUNTIF(Q$4:Q$303,"&gt;"&amp;Q242)+COUNTIF(Q$4:Q242,Q242))</f>
        <v/>
      </c>
    </row>
    <row r="243">
      <c r="A243">
        <f>IF(B243="","",240)</f>
        <v/>
      </c>
      <c r="B243">
        <f>IFERROR(INDEX('2.현장'!$V$2:$V$1001,MATCH(240,'2.현장'!$W$2:$W$1001,0)),"")</f>
        <v/>
      </c>
      <c r="C243">
        <f>IF(B243="","",COUNTIFS('2.현장'!$V$2:$V$1001,B243,'2.현장'!$T$2:$T$1001,TRUE))</f>
        <v/>
      </c>
      <c r="D243">
        <f>IF(B243="","",COUNTIFS('2.현장'!$V$2:$V$1001,B243,'2.현장'!$U$2:$U$1001,"설계사"))</f>
        <v/>
      </c>
      <c r="E243">
        <f>IF(B243="","",COUNTIFS('2.현장'!$V$2:$V$1001,B243,'2.현장'!$U$2:$U$1001,"시공사"))</f>
        <v/>
      </c>
      <c r="F243" s="5">
        <f>IF(B243="","",_xlfn.MAXIFS('2.현장'!$D$2:$D$1001,'2.현장'!$V$2:$V$1001,B243,'2.현장'!$T$2:$T$1001,TRUE))</f>
        <v/>
      </c>
      <c r="G243" s="6">
        <f>IF(B243="","",IF(_xlfn.MAXIFS('2.현장'!$L$2:$L$1001,'2.현장'!$V$2:$V$1001,B243,'2.현장'!$T$2:$T$1001,TRUE)=0,"",_xlfn.MAXIFS('2.현장'!$L$2:$L$1001,'2.현장'!$V$2:$V$1001,B243,'2.현장'!$T$2:$T$1001,TRUE)))</f>
        <v/>
      </c>
      <c r="H243">
        <f>IF(B243="","",IFERROR(INDEX('2.현장'!$C$2:$C$1001,IFERROR(MATCH(B243&amp;"|설계사",'2.현장'!$Z$2:$Z$1001,0),IFERROR(MATCH(B243&amp;"|시공사",'2.현장'!$Z$2:$Z$1001,0),MATCH(B243&amp;"|늦음",'2.현장'!$Z$2:$Z$1001,0)))),""))</f>
        <v/>
      </c>
      <c r="I243">
        <f>IF(B243="","",IFERROR(INDEX('2.현장'!$N$2:$N$1001,IFERROR(MATCH(B243&amp;"|설계사",'2.현장'!$Z$2:$Z$1001,0),IFERROR(MATCH(B243&amp;"|시공사",'2.현장'!$Z$2:$Z$1001,0),MATCH(B243&amp;"|늦음",'2.현장'!$Z$2:$Z$1001,0)))),""))</f>
        <v/>
      </c>
      <c r="J243">
        <f>IF(B243="","",IFERROR(VLOOKUP(B243,설계사_메모!$A$3:$G$302,2,FALSE)&amp;"",""))</f>
        <v/>
      </c>
      <c r="K243">
        <f>IF(B243="","",IFERROR(VLOOKUP(B243,설계사_메모!$A$3:$G$302,4,FALSE)&amp;"",""))</f>
        <v/>
      </c>
      <c r="L243" s="6">
        <f>IF(B243="","",IF(COUNTIF('4.방문기록'!$B$3:$B$502,B243)=0,"",_xlfn.MAXIFS('4.방문기록'!$A$3:$A$502,'4.방문기록'!$B$3:$B$502,B243)))</f>
        <v/>
      </c>
      <c r="M243">
        <f>IF(L243="","",설정!$B$24-L243)</f>
        <v/>
      </c>
      <c r="N243" s="6">
        <f>IF(B243="","",IF(_xlfn.MAXIFS('4.방문기록'!$F$3:$F$502,'4.방문기록'!$B$3:$B$502,B243)=0,"",_xlfn.MAXIFS('4.방문기록'!$F$3:$F$502,'4.방문기록'!$B$3:$B$502,B243)))</f>
        <v/>
      </c>
      <c r="O243">
        <f>IF(L243="","",IFERROR(INDEX('4.방문기록'!$H$3:$H$502,MATCH(B243&amp;"|"&amp;(L243*1),'4.방문기록'!$I$3:$I$502,0))&amp;"",""))</f>
        <v/>
      </c>
      <c r="P243">
        <f>IF(B243="","",IF(O243="관심 없음","제외",IF(L243="","안 가봄",IF(M243&gt;=설정!$B$20,M243&amp;"일 지남","최근 방문"))))</f>
        <v/>
      </c>
      <c r="Q243" s="7">
        <f>IF(B243="","",IF(P243="제외","",IF(AND(설정!$B$21&lt;&gt;"",I243&lt;&gt;설정!$B$21),"",IF(AND(N243&lt;&gt;"",N243&gt;N(L243),N243&lt;=설정!$B$24+7),100+7-(N243-설정!$B$24),IF(AND(D243&gt;0,OR(P243="안 가봄",RIGHT(P243,2)="지남")),D243*10+IF(L243="",30,MIN(M243,60)/2)+MIN(N(F243)/1000,20),"")))))</f>
        <v/>
      </c>
      <c r="R243">
        <f>IF(Q243="","",COUNTIF(Q$4:Q$303,"&gt;"&amp;Q243)+COUNTIF(Q$4:Q243,Q243))</f>
        <v/>
      </c>
    </row>
    <row r="244">
      <c r="A244">
        <f>IF(B244="","",241)</f>
        <v/>
      </c>
      <c r="B244">
        <f>IFERROR(INDEX('2.현장'!$V$2:$V$1001,MATCH(241,'2.현장'!$W$2:$W$1001,0)),"")</f>
        <v/>
      </c>
      <c r="C244">
        <f>IF(B244="","",COUNTIFS('2.현장'!$V$2:$V$1001,B244,'2.현장'!$T$2:$T$1001,TRUE))</f>
        <v/>
      </c>
      <c r="D244">
        <f>IF(B244="","",COUNTIFS('2.현장'!$V$2:$V$1001,B244,'2.현장'!$U$2:$U$1001,"설계사"))</f>
        <v/>
      </c>
      <c r="E244">
        <f>IF(B244="","",COUNTIFS('2.현장'!$V$2:$V$1001,B244,'2.현장'!$U$2:$U$1001,"시공사"))</f>
        <v/>
      </c>
      <c r="F244" s="5">
        <f>IF(B244="","",_xlfn.MAXIFS('2.현장'!$D$2:$D$1001,'2.현장'!$V$2:$V$1001,B244,'2.현장'!$T$2:$T$1001,TRUE))</f>
        <v/>
      </c>
      <c r="G244" s="6">
        <f>IF(B244="","",IF(_xlfn.MAXIFS('2.현장'!$L$2:$L$1001,'2.현장'!$V$2:$V$1001,B244,'2.현장'!$T$2:$T$1001,TRUE)=0,"",_xlfn.MAXIFS('2.현장'!$L$2:$L$1001,'2.현장'!$V$2:$V$1001,B244,'2.현장'!$T$2:$T$1001,TRUE)))</f>
        <v/>
      </c>
      <c r="H244">
        <f>IF(B244="","",IFERROR(INDEX('2.현장'!$C$2:$C$1001,IFERROR(MATCH(B244&amp;"|설계사",'2.현장'!$Z$2:$Z$1001,0),IFERROR(MATCH(B244&amp;"|시공사",'2.현장'!$Z$2:$Z$1001,0),MATCH(B244&amp;"|늦음",'2.현장'!$Z$2:$Z$1001,0)))),""))</f>
        <v/>
      </c>
      <c r="I244">
        <f>IF(B244="","",IFERROR(INDEX('2.현장'!$N$2:$N$1001,IFERROR(MATCH(B244&amp;"|설계사",'2.현장'!$Z$2:$Z$1001,0),IFERROR(MATCH(B244&amp;"|시공사",'2.현장'!$Z$2:$Z$1001,0),MATCH(B244&amp;"|늦음",'2.현장'!$Z$2:$Z$1001,0)))),""))</f>
        <v/>
      </c>
      <c r="J244">
        <f>IF(B244="","",IFERROR(VLOOKUP(B244,설계사_메모!$A$3:$G$302,2,FALSE)&amp;"",""))</f>
        <v/>
      </c>
      <c r="K244">
        <f>IF(B244="","",IFERROR(VLOOKUP(B244,설계사_메모!$A$3:$G$302,4,FALSE)&amp;"",""))</f>
        <v/>
      </c>
      <c r="L244" s="6">
        <f>IF(B244="","",IF(COUNTIF('4.방문기록'!$B$3:$B$502,B244)=0,"",_xlfn.MAXIFS('4.방문기록'!$A$3:$A$502,'4.방문기록'!$B$3:$B$502,B244)))</f>
        <v/>
      </c>
      <c r="M244">
        <f>IF(L244="","",설정!$B$24-L244)</f>
        <v/>
      </c>
      <c r="N244" s="6">
        <f>IF(B244="","",IF(_xlfn.MAXIFS('4.방문기록'!$F$3:$F$502,'4.방문기록'!$B$3:$B$502,B244)=0,"",_xlfn.MAXIFS('4.방문기록'!$F$3:$F$502,'4.방문기록'!$B$3:$B$502,B244)))</f>
        <v/>
      </c>
      <c r="O244">
        <f>IF(L244="","",IFERROR(INDEX('4.방문기록'!$H$3:$H$502,MATCH(B244&amp;"|"&amp;(L244*1),'4.방문기록'!$I$3:$I$502,0))&amp;"",""))</f>
        <v/>
      </c>
      <c r="P244">
        <f>IF(B244="","",IF(O244="관심 없음","제외",IF(L244="","안 가봄",IF(M244&gt;=설정!$B$20,M244&amp;"일 지남","최근 방문"))))</f>
        <v/>
      </c>
      <c r="Q244" s="7">
        <f>IF(B244="","",IF(P244="제외","",IF(AND(설정!$B$21&lt;&gt;"",I244&lt;&gt;설정!$B$21),"",IF(AND(N244&lt;&gt;"",N244&gt;N(L244),N244&lt;=설정!$B$24+7),100+7-(N244-설정!$B$24),IF(AND(D244&gt;0,OR(P244="안 가봄",RIGHT(P244,2)="지남")),D244*10+IF(L244="",30,MIN(M244,60)/2)+MIN(N(F244)/1000,20),"")))))</f>
        <v/>
      </c>
      <c r="R244">
        <f>IF(Q244="","",COUNTIF(Q$4:Q$303,"&gt;"&amp;Q244)+COUNTIF(Q$4:Q244,Q244))</f>
        <v/>
      </c>
    </row>
    <row r="245">
      <c r="A245">
        <f>IF(B245="","",242)</f>
        <v/>
      </c>
      <c r="B245">
        <f>IFERROR(INDEX('2.현장'!$V$2:$V$1001,MATCH(242,'2.현장'!$W$2:$W$1001,0)),"")</f>
        <v/>
      </c>
      <c r="C245">
        <f>IF(B245="","",COUNTIFS('2.현장'!$V$2:$V$1001,B245,'2.현장'!$T$2:$T$1001,TRUE))</f>
        <v/>
      </c>
      <c r="D245">
        <f>IF(B245="","",COUNTIFS('2.현장'!$V$2:$V$1001,B245,'2.현장'!$U$2:$U$1001,"설계사"))</f>
        <v/>
      </c>
      <c r="E245">
        <f>IF(B245="","",COUNTIFS('2.현장'!$V$2:$V$1001,B245,'2.현장'!$U$2:$U$1001,"시공사"))</f>
        <v/>
      </c>
      <c r="F245" s="5">
        <f>IF(B245="","",_xlfn.MAXIFS('2.현장'!$D$2:$D$1001,'2.현장'!$V$2:$V$1001,B245,'2.현장'!$T$2:$T$1001,TRUE))</f>
        <v/>
      </c>
      <c r="G245" s="6">
        <f>IF(B245="","",IF(_xlfn.MAXIFS('2.현장'!$L$2:$L$1001,'2.현장'!$V$2:$V$1001,B245,'2.현장'!$T$2:$T$1001,TRUE)=0,"",_xlfn.MAXIFS('2.현장'!$L$2:$L$1001,'2.현장'!$V$2:$V$1001,B245,'2.현장'!$T$2:$T$1001,TRUE)))</f>
        <v/>
      </c>
      <c r="H245">
        <f>IF(B245="","",IFERROR(INDEX('2.현장'!$C$2:$C$1001,IFERROR(MATCH(B245&amp;"|설계사",'2.현장'!$Z$2:$Z$1001,0),IFERROR(MATCH(B245&amp;"|시공사",'2.현장'!$Z$2:$Z$1001,0),MATCH(B245&amp;"|늦음",'2.현장'!$Z$2:$Z$1001,0)))),""))</f>
        <v/>
      </c>
      <c r="I245">
        <f>IF(B245="","",IFERROR(INDEX('2.현장'!$N$2:$N$1001,IFERROR(MATCH(B245&amp;"|설계사",'2.현장'!$Z$2:$Z$1001,0),IFERROR(MATCH(B245&amp;"|시공사",'2.현장'!$Z$2:$Z$1001,0),MATCH(B245&amp;"|늦음",'2.현장'!$Z$2:$Z$1001,0)))),""))</f>
        <v/>
      </c>
      <c r="J245">
        <f>IF(B245="","",IFERROR(VLOOKUP(B245,설계사_메모!$A$3:$G$302,2,FALSE)&amp;"",""))</f>
        <v/>
      </c>
      <c r="K245">
        <f>IF(B245="","",IFERROR(VLOOKUP(B245,설계사_메모!$A$3:$G$302,4,FALSE)&amp;"",""))</f>
        <v/>
      </c>
      <c r="L245" s="6">
        <f>IF(B245="","",IF(COUNTIF('4.방문기록'!$B$3:$B$502,B245)=0,"",_xlfn.MAXIFS('4.방문기록'!$A$3:$A$502,'4.방문기록'!$B$3:$B$502,B245)))</f>
        <v/>
      </c>
      <c r="M245">
        <f>IF(L245="","",설정!$B$24-L245)</f>
        <v/>
      </c>
      <c r="N245" s="6">
        <f>IF(B245="","",IF(_xlfn.MAXIFS('4.방문기록'!$F$3:$F$502,'4.방문기록'!$B$3:$B$502,B245)=0,"",_xlfn.MAXIFS('4.방문기록'!$F$3:$F$502,'4.방문기록'!$B$3:$B$502,B245)))</f>
        <v/>
      </c>
      <c r="O245">
        <f>IF(L245="","",IFERROR(INDEX('4.방문기록'!$H$3:$H$502,MATCH(B245&amp;"|"&amp;(L245*1),'4.방문기록'!$I$3:$I$502,0))&amp;"",""))</f>
        <v/>
      </c>
      <c r="P245">
        <f>IF(B245="","",IF(O245="관심 없음","제외",IF(L245="","안 가봄",IF(M245&gt;=설정!$B$20,M245&amp;"일 지남","최근 방문"))))</f>
        <v/>
      </c>
      <c r="Q245" s="7">
        <f>IF(B245="","",IF(P245="제외","",IF(AND(설정!$B$21&lt;&gt;"",I245&lt;&gt;설정!$B$21),"",IF(AND(N245&lt;&gt;"",N245&gt;N(L245),N245&lt;=설정!$B$24+7),100+7-(N245-설정!$B$24),IF(AND(D245&gt;0,OR(P245="안 가봄",RIGHT(P245,2)="지남")),D245*10+IF(L245="",30,MIN(M245,60)/2)+MIN(N(F245)/1000,20),"")))))</f>
        <v/>
      </c>
      <c r="R245">
        <f>IF(Q245="","",COUNTIF(Q$4:Q$303,"&gt;"&amp;Q245)+COUNTIF(Q$4:Q245,Q245))</f>
        <v/>
      </c>
    </row>
    <row r="246">
      <c r="A246">
        <f>IF(B246="","",243)</f>
        <v/>
      </c>
      <c r="B246">
        <f>IFERROR(INDEX('2.현장'!$V$2:$V$1001,MATCH(243,'2.현장'!$W$2:$W$1001,0)),"")</f>
        <v/>
      </c>
      <c r="C246">
        <f>IF(B246="","",COUNTIFS('2.현장'!$V$2:$V$1001,B246,'2.현장'!$T$2:$T$1001,TRUE))</f>
        <v/>
      </c>
      <c r="D246">
        <f>IF(B246="","",COUNTIFS('2.현장'!$V$2:$V$1001,B246,'2.현장'!$U$2:$U$1001,"설계사"))</f>
        <v/>
      </c>
      <c r="E246">
        <f>IF(B246="","",COUNTIFS('2.현장'!$V$2:$V$1001,B246,'2.현장'!$U$2:$U$1001,"시공사"))</f>
        <v/>
      </c>
      <c r="F246" s="5">
        <f>IF(B246="","",_xlfn.MAXIFS('2.현장'!$D$2:$D$1001,'2.현장'!$V$2:$V$1001,B246,'2.현장'!$T$2:$T$1001,TRUE))</f>
        <v/>
      </c>
      <c r="G246" s="6">
        <f>IF(B246="","",IF(_xlfn.MAXIFS('2.현장'!$L$2:$L$1001,'2.현장'!$V$2:$V$1001,B246,'2.현장'!$T$2:$T$1001,TRUE)=0,"",_xlfn.MAXIFS('2.현장'!$L$2:$L$1001,'2.현장'!$V$2:$V$1001,B246,'2.현장'!$T$2:$T$1001,TRUE)))</f>
        <v/>
      </c>
      <c r="H246">
        <f>IF(B246="","",IFERROR(INDEX('2.현장'!$C$2:$C$1001,IFERROR(MATCH(B246&amp;"|설계사",'2.현장'!$Z$2:$Z$1001,0),IFERROR(MATCH(B246&amp;"|시공사",'2.현장'!$Z$2:$Z$1001,0),MATCH(B246&amp;"|늦음",'2.현장'!$Z$2:$Z$1001,0)))),""))</f>
        <v/>
      </c>
      <c r="I246">
        <f>IF(B246="","",IFERROR(INDEX('2.현장'!$N$2:$N$1001,IFERROR(MATCH(B246&amp;"|설계사",'2.현장'!$Z$2:$Z$1001,0),IFERROR(MATCH(B246&amp;"|시공사",'2.현장'!$Z$2:$Z$1001,0),MATCH(B246&amp;"|늦음",'2.현장'!$Z$2:$Z$1001,0)))),""))</f>
        <v/>
      </c>
      <c r="J246">
        <f>IF(B246="","",IFERROR(VLOOKUP(B246,설계사_메모!$A$3:$G$302,2,FALSE)&amp;"",""))</f>
        <v/>
      </c>
      <c r="K246">
        <f>IF(B246="","",IFERROR(VLOOKUP(B246,설계사_메모!$A$3:$G$302,4,FALSE)&amp;"",""))</f>
        <v/>
      </c>
      <c r="L246" s="6">
        <f>IF(B246="","",IF(COUNTIF('4.방문기록'!$B$3:$B$502,B246)=0,"",_xlfn.MAXIFS('4.방문기록'!$A$3:$A$502,'4.방문기록'!$B$3:$B$502,B246)))</f>
        <v/>
      </c>
      <c r="M246">
        <f>IF(L246="","",설정!$B$24-L246)</f>
        <v/>
      </c>
      <c r="N246" s="6">
        <f>IF(B246="","",IF(_xlfn.MAXIFS('4.방문기록'!$F$3:$F$502,'4.방문기록'!$B$3:$B$502,B246)=0,"",_xlfn.MAXIFS('4.방문기록'!$F$3:$F$502,'4.방문기록'!$B$3:$B$502,B246)))</f>
        <v/>
      </c>
      <c r="O246">
        <f>IF(L246="","",IFERROR(INDEX('4.방문기록'!$H$3:$H$502,MATCH(B246&amp;"|"&amp;(L246*1),'4.방문기록'!$I$3:$I$502,0))&amp;"",""))</f>
        <v/>
      </c>
      <c r="P246">
        <f>IF(B246="","",IF(O246="관심 없음","제외",IF(L246="","안 가봄",IF(M246&gt;=설정!$B$20,M246&amp;"일 지남","최근 방문"))))</f>
        <v/>
      </c>
      <c r="Q246" s="7">
        <f>IF(B246="","",IF(P246="제외","",IF(AND(설정!$B$21&lt;&gt;"",I246&lt;&gt;설정!$B$21),"",IF(AND(N246&lt;&gt;"",N246&gt;N(L246),N246&lt;=설정!$B$24+7),100+7-(N246-설정!$B$24),IF(AND(D246&gt;0,OR(P246="안 가봄",RIGHT(P246,2)="지남")),D246*10+IF(L246="",30,MIN(M246,60)/2)+MIN(N(F246)/1000,20),"")))))</f>
        <v/>
      </c>
      <c r="R246">
        <f>IF(Q246="","",COUNTIF(Q$4:Q$303,"&gt;"&amp;Q246)+COUNTIF(Q$4:Q246,Q246))</f>
        <v/>
      </c>
    </row>
    <row r="247">
      <c r="A247">
        <f>IF(B247="","",244)</f>
        <v/>
      </c>
      <c r="B247">
        <f>IFERROR(INDEX('2.현장'!$V$2:$V$1001,MATCH(244,'2.현장'!$W$2:$W$1001,0)),"")</f>
        <v/>
      </c>
      <c r="C247">
        <f>IF(B247="","",COUNTIFS('2.현장'!$V$2:$V$1001,B247,'2.현장'!$T$2:$T$1001,TRUE))</f>
        <v/>
      </c>
      <c r="D247">
        <f>IF(B247="","",COUNTIFS('2.현장'!$V$2:$V$1001,B247,'2.현장'!$U$2:$U$1001,"설계사"))</f>
        <v/>
      </c>
      <c r="E247">
        <f>IF(B247="","",COUNTIFS('2.현장'!$V$2:$V$1001,B247,'2.현장'!$U$2:$U$1001,"시공사"))</f>
        <v/>
      </c>
      <c r="F247" s="5">
        <f>IF(B247="","",_xlfn.MAXIFS('2.현장'!$D$2:$D$1001,'2.현장'!$V$2:$V$1001,B247,'2.현장'!$T$2:$T$1001,TRUE))</f>
        <v/>
      </c>
      <c r="G247" s="6">
        <f>IF(B247="","",IF(_xlfn.MAXIFS('2.현장'!$L$2:$L$1001,'2.현장'!$V$2:$V$1001,B247,'2.현장'!$T$2:$T$1001,TRUE)=0,"",_xlfn.MAXIFS('2.현장'!$L$2:$L$1001,'2.현장'!$V$2:$V$1001,B247,'2.현장'!$T$2:$T$1001,TRUE)))</f>
        <v/>
      </c>
      <c r="H247">
        <f>IF(B247="","",IFERROR(INDEX('2.현장'!$C$2:$C$1001,IFERROR(MATCH(B247&amp;"|설계사",'2.현장'!$Z$2:$Z$1001,0),IFERROR(MATCH(B247&amp;"|시공사",'2.현장'!$Z$2:$Z$1001,0),MATCH(B247&amp;"|늦음",'2.현장'!$Z$2:$Z$1001,0)))),""))</f>
        <v/>
      </c>
      <c r="I247">
        <f>IF(B247="","",IFERROR(INDEX('2.현장'!$N$2:$N$1001,IFERROR(MATCH(B247&amp;"|설계사",'2.현장'!$Z$2:$Z$1001,0),IFERROR(MATCH(B247&amp;"|시공사",'2.현장'!$Z$2:$Z$1001,0),MATCH(B247&amp;"|늦음",'2.현장'!$Z$2:$Z$1001,0)))),""))</f>
        <v/>
      </c>
      <c r="J247">
        <f>IF(B247="","",IFERROR(VLOOKUP(B247,설계사_메모!$A$3:$G$302,2,FALSE)&amp;"",""))</f>
        <v/>
      </c>
      <c r="K247">
        <f>IF(B247="","",IFERROR(VLOOKUP(B247,설계사_메모!$A$3:$G$302,4,FALSE)&amp;"",""))</f>
        <v/>
      </c>
      <c r="L247" s="6">
        <f>IF(B247="","",IF(COUNTIF('4.방문기록'!$B$3:$B$502,B247)=0,"",_xlfn.MAXIFS('4.방문기록'!$A$3:$A$502,'4.방문기록'!$B$3:$B$502,B247)))</f>
        <v/>
      </c>
      <c r="M247">
        <f>IF(L247="","",설정!$B$24-L247)</f>
        <v/>
      </c>
      <c r="N247" s="6">
        <f>IF(B247="","",IF(_xlfn.MAXIFS('4.방문기록'!$F$3:$F$502,'4.방문기록'!$B$3:$B$502,B247)=0,"",_xlfn.MAXIFS('4.방문기록'!$F$3:$F$502,'4.방문기록'!$B$3:$B$502,B247)))</f>
        <v/>
      </c>
      <c r="O247">
        <f>IF(L247="","",IFERROR(INDEX('4.방문기록'!$H$3:$H$502,MATCH(B247&amp;"|"&amp;(L247*1),'4.방문기록'!$I$3:$I$502,0))&amp;"",""))</f>
        <v/>
      </c>
      <c r="P247">
        <f>IF(B247="","",IF(O247="관심 없음","제외",IF(L247="","안 가봄",IF(M247&gt;=설정!$B$20,M247&amp;"일 지남","최근 방문"))))</f>
        <v/>
      </c>
      <c r="Q247" s="7">
        <f>IF(B247="","",IF(P247="제외","",IF(AND(설정!$B$21&lt;&gt;"",I247&lt;&gt;설정!$B$21),"",IF(AND(N247&lt;&gt;"",N247&gt;N(L247),N247&lt;=설정!$B$24+7),100+7-(N247-설정!$B$24),IF(AND(D247&gt;0,OR(P247="안 가봄",RIGHT(P247,2)="지남")),D247*10+IF(L247="",30,MIN(M247,60)/2)+MIN(N(F247)/1000,20),"")))))</f>
        <v/>
      </c>
      <c r="R247">
        <f>IF(Q247="","",COUNTIF(Q$4:Q$303,"&gt;"&amp;Q247)+COUNTIF(Q$4:Q247,Q247))</f>
        <v/>
      </c>
    </row>
    <row r="248">
      <c r="A248">
        <f>IF(B248="","",245)</f>
        <v/>
      </c>
      <c r="B248">
        <f>IFERROR(INDEX('2.현장'!$V$2:$V$1001,MATCH(245,'2.현장'!$W$2:$W$1001,0)),"")</f>
        <v/>
      </c>
      <c r="C248">
        <f>IF(B248="","",COUNTIFS('2.현장'!$V$2:$V$1001,B248,'2.현장'!$T$2:$T$1001,TRUE))</f>
        <v/>
      </c>
      <c r="D248">
        <f>IF(B248="","",COUNTIFS('2.현장'!$V$2:$V$1001,B248,'2.현장'!$U$2:$U$1001,"설계사"))</f>
        <v/>
      </c>
      <c r="E248">
        <f>IF(B248="","",COUNTIFS('2.현장'!$V$2:$V$1001,B248,'2.현장'!$U$2:$U$1001,"시공사"))</f>
        <v/>
      </c>
      <c r="F248" s="5">
        <f>IF(B248="","",_xlfn.MAXIFS('2.현장'!$D$2:$D$1001,'2.현장'!$V$2:$V$1001,B248,'2.현장'!$T$2:$T$1001,TRUE))</f>
        <v/>
      </c>
      <c r="G248" s="6">
        <f>IF(B248="","",IF(_xlfn.MAXIFS('2.현장'!$L$2:$L$1001,'2.현장'!$V$2:$V$1001,B248,'2.현장'!$T$2:$T$1001,TRUE)=0,"",_xlfn.MAXIFS('2.현장'!$L$2:$L$1001,'2.현장'!$V$2:$V$1001,B248,'2.현장'!$T$2:$T$1001,TRUE)))</f>
        <v/>
      </c>
      <c r="H248">
        <f>IF(B248="","",IFERROR(INDEX('2.현장'!$C$2:$C$1001,IFERROR(MATCH(B248&amp;"|설계사",'2.현장'!$Z$2:$Z$1001,0),IFERROR(MATCH(B248&amp;"|시공사",'2.현장'!$Z$2:$Z$1001,0),MATCH(B248&amp;"|늦음",'2.현장'!$Z$2:$Z$1001,0)))),""))</f>
        <v/>
      </c>
      <c r="I248">
        <f>IF(B248="","",IFERROR(INDEX('2.현장'!$N$2:$N$1001,IFERROR(MATCH(B248&amp;"|설계사",'2.현장'!$Z$2:$Z$1001,0),IFERROR(MATCH(B248&amp;"|시공사",'2.현장'!$Z$2:$Z$1001,0),MATCH(B248&amp;"|늦음",'2.현장'!$Z$2:$Z$1001,0)))),""))</f>
        <v/>
      </c>
      <c r="J248">
        <f>IF(B248="","",IFERROR(VLOOKUP(B248,설계사_메모!$A$3:$G$302,2,FALSE)&amp;"",""))</f>
        <v/>
      </c>
      <c r="K248">
        <f>IF(B248="","",IFERROR(VLOOKUP(B248,설계사_메모!$A$3:$G$302,4,FALSE)&amp;"",""))</f>
        <v/>
      </c>
      <c r="L248" s="6">
        <f>IF(B248="","",IF(COUNTIF('4.방문기록'!$B$3:$B$502,B248)=0,"",_xlfn.MAXIFS('4.방문기록'!$A$3:$A$502,'4.방문기록'!$B$3:$B$502,B248)))</f>
        <v/>
      </c>
      <c r="M248">
        <f>IF(L248="","",설정!$B$24-L248)</f>
        <v/>
      </c>
      <c r="N248" s="6">
        <f>IF(B248="","",IF(_xlfn.MAXIFS('4.방문기록'!$F$3:$F$502,'4.방문기록'!$B$3:$B$502,B248)=0,"",_xlfn.MAXIFS('4.방문기록'!$F$3:$F$502,'4.방문기록'!$B$3:$B$502,B248)))</f>
        <v/>
      </c>
      <c r="O248">
        <f>IF(L248="","",IFERROR(INDEX('4.방문기록'!$H$3:$H$502,MATCH(B248&amp;"|"&amp;(L248*1),'4.방문기록'!$I$3:$I$502,0))&amp;"",""))</f>
        <v/>
      </c>
      <c r="P248">
        <f>IF(B248="","",IF(O248="관심 없음","제외",IF(L248="","안 가봄",IF(M248&gt;=설정!$B$20,M248&amp;"일 지남","최근 방문"))))</f>
        <v/>
      </c>
      <c r="Q248" s="7">
        <f>IF(B248="","",IF(P248="제외","",IF(AND(설정!$B$21&lt;&gt;"",I248&lt;&gt;설정!$B$21),"",IF(AND(N248&lt;&gt;"",N248&gt;N(L248),N248&lt;=설정!$B$24+7),100+7-(N248-설정!$B$24),IF(AND(D248&gt;0,OR(P248="안 가봄",RIGHT(P248,2)="지남")),D248*10+IF(L248="",30,MIN(M248,60)/2)+MIN(N(F248)/1000,20),"")))))</f>
        <v/>
      </c>
      <c r="R248">
        <f>IF(Q248="","",COUNTIF(Q$4:Q$303,"&gt;"&amp;Q248)+COUNTIF(Q$4:Q248,Q248))</f>
        <v/>
      </c>
    </row>
    <row r="249">
      <c r="A249">
        <f>IF(B249="","",246)</f>
        <v/>
      </c>
      <c r="B249">
        <f>IFERROR(INDEX('2.현장'!$V$2:$V$1001,MATCH(246,'2.현장'!$W$2:$W$1001,0)),"")</f>
        <v/>
      </c>
      <c r="C249">
        <f>IF(B249="","",COUNTIFS('2.현장'!$V$2:$V$1001,B249,'2.현장'!$T$2:$T$1001,TRUE))</f>
        <v/>
      </c>
      <c r="D249">
        <f>IF(B249="","",COUNTIFS('2.현장'!$V$2:$V$1001,B249,'2.현장'!$U$2:$U$1001,"설계사"))</f>
        <v/>
      </c>
      <c r="E249">
        <f>IF(B249="","",COUNTIFS('2.현장'!$V$2:$V$1001,B249,'2.현장'!$U$2:$U$1001,"시공사"))</f>
        <v/>
      </c>
      <c r="F249" s="5">
        <f>IF(B249="","",_xlfn.MAXIFS('2.현장'!$D$2:$D$1001,'2.현장'!$V$2:$V$1001,B249,'2.현장'!$T$2:$T$1001,TRUE))</f>
        <v/>
      </c>
      <c r="G249" s="6">
        <f>IF(B249="","",IF(_xlfn.MAXIFS('2.현장'!$L$2:$L$1001,'2.현장'!$V$2:$V$1001,B249,'2.현장'!$T$2:$T$1001,TRUE)=0,"",_xlfn.MAXIFS('2.현장'!$L$2:$L$1001,'2.현장'!$V$2:$V$1001,B249,'2.현장'!$T$2:$T$1001,TRUE)))</f>
        <v/>
      </c>
      <c r="H249">
        <f>IF(B249="","",IFERROR(INDEX('2.현장'!$C$2:$C$1001,IFERROR(MATCH(B249&amp;"|설계사",'2.현장'!$Z$2:$Z$1001,0),IFERROR(MATCH(B249&amp;"|시공사",'2.현장'!$Z$2:$Z$1001,0),MATCH(B249&amp;"|늦음",'2.현장'!$Z$2:$Z$1001,0)))),""))</f>
        <v/>
      </c>
      <c r="I249">
        <f>IF(B249="","",IFERROR(INDEX('2.현장'!$N$2:$N$1001,IFERROR(MATCH(B249&amp;"|설계사",'2.현장'!$Z$2:$Z$1001,0),IFERROR(MATCH(B249&amp;"|시공사",'2.현장'!$Z$2:$Z$1001,0),MATCH(B249&amp;"|늦음",'2.현장'!$Z$2:$Z$1001,0)))),""))</f>
        <v/>
      </c>
      <c r="J249">
        <f>IF(B249="","",IFERROR(VLOOKUP(B249,설계사_메모!$A$3:$G$302,2,FALSE)&amp;"",""))</f>
        <v/>
      </c>
      <c r="K249">
        <f>IF(B249="","",IFERROR(VLOOKUP(B249,설계사_메모!$A$3:$G$302,4,FALSE)&amp;"",""))</f>
        <v/>
      </c>
      <c r="L249" s="6">
        <f>IF(B249="","",IF(COUNTIF('4.방문기록'!$B$3:$B$502,B249)=0,"",_xlfn.MAXIFS('4.방문기록'!$A$3:$A$502,'4.방문기록'!$B$3:$B$502,B249)))</f>
        <v/>
      </c>
      <c r="M249">
        <f>IF(L249="","",설정!$B$24-L249)</f>
        <v/>
      </c>
      <c r="N249" s="6">
        <f>IF(B249="","",IF(_xlfn.MAXIFS('4.방문기록'!$F$3:$F$502,'4.방문기록'!$B$3:$B$502,B249)=0,"",_xlfn.MAXIFS('4.방문기록'!$F$3:$F$502,'4.방문기록'!$B$3:$B$502,B249)))</f>
        <v/>
      </c>
      <c r="O249">
        <f>IF(L249="","",IFERROR(INDEX('4.방문기록'!$H$3:$H$502,MATCH(B249&amp;"|"&amp;(L249*1),'4.방문기록'!$I$3:$I$502,0))&amp;"",""))</f>
        <v/>
      </c>
      <c r="P249">
        <f>IF(B249="","",IF(O249="관심 없음","제외",IF(L249="","안 가봄",IF(M249&gt;=설정!$B$20,M249&amp;"일 지남","최근 방문"))))</f>
        <v/>
      </c>
      <c r="Q249" s="7">
        <f>IF(B249="","",IF(P249="제외","",IF(AND(설정!$B$21&lt;&gt;"",I249&lt;&gt;설정!$B$21),"",IF(AND(N249&lt;&gt;"",N249&gt;N(L249),N249&lt;=설정!$B$24+7),100+7-(N249-설정!$B$24),IF(AND(D249&gt;0,OR(P249="안 가봄",RIGHT(P249,2)="지남")),D249*10+IF(L249="",30,MIN(M249,60)/2)+MIN(N(F249)/1000,20),"")))))</f>
        <v/>
      </c>
      <c r="R249">
        <f>IF(Q249="","",COUNTIF(Q$4:Q$303,"&gt;"&amp;Q249)+COUNTIF(Q$4:Q249,Q249))</f>
        <v/>
      </c>
    </row>
    <row r="250">
      <c r="A250">
        <f>IF(B250="","",247)</f>
        <v/>
      </c>
      <c r="B250">
        <f>IFERROR(INDEX('2.현장'!$V$2:$V$1001,MATCH(247,'2.현장'!$W$2:$W$1001,0)),"")</f>
        <v/>
      </c>
      <c r="C250">
        <f>IF(B250="","",COUNTIFS('2.현장'!$V$2:$V$1001,B250,'2.현장'!$T$2:$T$1001,TRUE))</f>
        <v/>
      </c>
      <c r="D250">
        <f>IF(B250="","",COUNTIFS('2.현장'!$V$2:$V$1001,B250,'2.현장'!$U$2:$U$1001,"설계사"))</f>
        <v/>
      </c>
      <c r="E250">
        <f>IF(B250="","",COUNTIFS('2.현장'!$V$2:$V$1001,B250,'2.현장'!$U$2:$U$1001,"시공사"))</f>
        <v/>
      </c>
      <c r="F250" s="5">
        <f>IF(B250="","",_xlfn.MAXIFS('2.현장'!$D$2:$D$1001,'2.현장'!$V$2:$V$1001,B250,'2.현장'!$T$2:$T$1001,TRUE))</f>
        <v/>
      </c>
      <c r="G250" s="6">
        <f>IF(B250="","",IF(_xlfn.MAXIFS('2.현장'!$L$2:$L$1001,'2.현장'!$V$2:$V$1001,B250,'2.현장'!$T$2:$T$1001,TRUE)=0,"",_xlfn.MAXIFS('2.현장'!$L$2:$L$1001,'2.현장'!$V$2:$V$1001,B250,'2.현장'!$T$2:$T$1001,TRUE)))</f>
        <v/>
      </c>
      <c r="H250">
        <f>IF(B250="","",IFERROR(INDEX('2.현장'!$C$2:$C$1001,IFERROR(MATCH(B250&amp;"|설계사",'2.현장'!$Z$2:$Z$1001,0),IFERROR(MATCH(B250&amp;"|시공사",'2.현장'!$Z$2:$Z$1001,0),MATCH(B250&amp;"|늦음",'2.현장'!$Z$2:$Z$1001,0)))),""))</f>
        <v/>
      </c>
      <c r="I250">
        <f>IF(B250="","",IFERROR(INDEX('2.현장'!$N$2:$N$1001,IFERROR(MATCH(B250&amp;"|설계사",'2.현장'!$Z$2:$Z$1001,0),IFERROR(MATCH(B250&amp;"|시공사",'2.현장'!$Z$2:$Z$1001,0),MATCH(B250&amp;"|늦음",'2.현장'!$Z$2:$Z$1001,0)))),""))</f>
        <v/>
      </c>
      <c r="J250">
        <f>IF(B250="","",IFERROR(VLOOKUP(B250,설계사_메모!$A$3:$G$302,2,FALSE)&amp;"",""))</f>
        <v/>
      </c>
      <c r="K250">
        <f>IF(B250="","",IFERROR(VLOOKUP(B250,설계사_메모!$A$3:$G$302,4,FALSE)&amp;"",""))</f>
        <v/>
      </c>
      <c r="L250" s="6">
        <f>IF(B250="","",IF(COUNTIF('4.방문기록'!$B$3:$B$502,B250)=0,"",_xlfn.MAXIFS('4.방문기록'!$A$3:$A$502,'4.방문기록'!$B$3:$B$502,B250)))</f>
        <v/>
      </c>
      <c r="M250">
        <f>IF(L250="","",설정!$B$24-L250)</f>
        <v/>
      </c>
      <c r="N250" s="6">
        <f>IF(B250="","",IF(_xlfn.MAXIFS('4.방문기록'!$F$3:$F$502,'4.방문기록'!$B$3:$B$502,B250)=0,"",_xlfn.MAXIFS('4.방문기록'!$F$3:$F$502,'4.방문기록'!$B$3:$B$502,B250)))</f>
        <v/>
      </c>
      <c r="O250">
        <f>IF(L250="","",IFERROR(INDEX('4.방문기록'!$H$3:$H$502,MATCH(B250&amp;"|"&amp;(L250*1),'4.방문기록'!$I$3:$I$502,0))&amp;"",""))</f>
        <v/>
      </c>
      <c r="P250">
        <f>IF(B250="","",IF(O250="관심 없음","제외",IF(L250="","안 가봄",IF(M250&gt;=설정!$B$20,M250&amp;"일 지남","최근 방문"))))</f>
        <v/>
      </c>
      <c r="Q250" s="7">
        <f>IF(B250="","",IF(P250="제외","",IF(AND(설정!$B$21&lt;&gt;"",I250&lt;&gt;설정!$B$21),"",IF(AND(N250&lt;&gt;"",N250&gt;N(L250),N250&lt;=설정!$B$24+7),100+7-(N250-설정!$B$24),IF(AND(D250&gt;0,OR(P250="안 가봄",RIGHT(P250,2)="지남")),D250*10+IF(L250="",30,MIN(M250,60)/2)+MIN(N(F250)/1000,20),"")))))</f>
        <v/>
      </c>
      <c r="R250">
        <f>IF(Q250="","",COUNTIF(Q$4:Q$303,"&gt;"&amp;Q250)+COUNTIF(Q$4:Q250,Q250))</f>
        <v/>
      </c>
    </row>
    <row r="251">
      <c r="A251">
        <f>IF(B251="","",248)</f>
        <v/>
      </c>
      <c r="B251">
        <f>IFERROR(INDEX('2.현장'!$V$2:$V$1001,MATCH(248,'2.현장'!$W$2:$W$1001,0)),"")</f>
        <v/>
      </c>
      <c r="C251">
        <f>IF(B251="","",COUNTIFS('2.현장'!$V$2:$V$1001,B251,'2.현장'!$T$2:$T$1001,TRUE))</f>
        <v/>
      </c>
      <c r="D251">
        <f>IF(B251="","",COUNTIFS('2.현장'!$V$2:$V$1001,B251,'2.현장'!$U$2:$U$1001,"설계사"))</f>
        <v/>
      </c>
      <c r="E251">
        <f>IF(B251="","",COUNTIFS('2.현장'!$V$2:$V$1001,B251,'2.현장'!$U$2:$U$1001,"시공사"))</f>
        <v/>
      </c>
      <c r="F251" s="5">
        <f>IF(B251="","",_xlfn.MAXIFS('2.현장'!$D$2:$D$1001,'2.현장'!$V$2:$V$1001,B251,'2.현장'!$T$2:$T$1001,TRUE))</f>
        <v/>
      </c>
      <c r="G251" s="6">
        <f>IF(B251="","",IF(_xlfn.MAXIFS('2.현장'!$L$2:$L$1001,'2.현장'!$V$2:$V$1001,B251,'2.현장'!$T$2:$T$1001,TRUE)=0,"",_xlfn.MAXIFS('2.현장'!$L$2:$L$1001,'2.현장'!$V$2:$V$1001,B251,'2.현장'!$T$2:$T$1001,TRUE)))</f>
        <v/>
      </c>
      <c r="H251">
        <f>IF(B251="","",IFERROR(INDEX('2.현장'!$C$2:$C$1001,IFERROR(MATCH(B251&amp;"|설계사",'2.현장'!$Z$2:$Z$1001,0),IFERROR(MATCH(B251&amp;"|시공사",'2.현장'!$Z$2:$Z$1001,0),MATCH(B251&amp;"|늦음",'2.현장'!$Z$2:$Z$1001,0)))),""))</f>
        <v/>
      </c>
      <c r="I251">
        <f>IF(B251="","",IFERROR(INDEX('2.현장'!$N$2:$N$1001,IFERROR(MATCH(B251&amp;"|설계사",'2.현장'!$Z$2:$Z$1001,0),IFERROR(MATCH(B251&amp;"|시공사",'2.현장'!$Z$2:$Z$1001,0),MATCH(B251&amp;"|늦음",'2.현장'!$Z$2:$Z$1001,0)))),""))</f>
        <v/>
      </c>
      <c r="J251">
        <f>IF(B251="","",IFERROR(VLOOKUP(B251,설계사_메모!$A$3:$G$302,2,FALSE)&amp;"",""))</f>
        <v/>
      </c>
      <c r="K251">
        <f>IF(B251="","",IFERROR(VLOOKUP(B251,설계사_메모!$A$3:$G$302,4,FALSE)&amp;"",""))</f>
        <v/>
      </c>
      <c r="L251" s="6">
        <f>IF(B251="","",IF(COUNTIF('4.방문기록'!$B$3:$B$502,B251)=0,"",_xlfn.MAXIFS('4.방문기록'!$A$3:$A$502,'4.방문기록'!$B$3:$B$502,B251)))</f>
        <v/>
      </c>
      <c r="M251">
        <f>IF(L251="","",설정!$B$24-L251)</f>
        <v/>
      </c>
      <c r="N251" s="6">
        <f>IF(B251="","",IF(_xlfn.MAXIFS('4.방문기록'!$F$3:$F$502,'4.방문기록'!$B$3:$B$502,B251)=0,"",_xlfn.MAXIFS('4.방문기록'!$F$3:$F$502,'4.방문기록'!$B$3:$B$502,B251)))</f>
        <v/>
      </c>
      <c r="O251">
        <f>IF(L251="","",IFERROR(INDEX('4.방문기록'!$H$3:$H$502,MATCH(B251&amp;"|"&amp;(L251*1),'4.방문기록'!$I$3:$I$502,0))&amp;"",""))</f>
        <v/>
      </c>
      <c r="P251">
        <f>IF(B251="","",IF(O251="관심 없음","제외",IF(L251="","안 가봄",IF(M251&gt;=설정!$B$20,M251&amp;"일 지남","최근 방문"))))</f>
        <v/>
      </c>
      <c r="Q251" s="7">
        <f>IF(B251="","",IF(P251="제외","",IF(AND(설정!$B$21&lt;&gt;"",I251&lt;&gt;설정!$B$21),"",IF(AND(N251&lt;&gt;"",N251&gt;N(L251),N251&lt;=설정!$B$24+7),100+7-(N251-설정!$B$24),IF(AND(D251&gt;0,OR(P251="안 가봄",RIGHT(P251,2)="지남")),D251*10+IF(L251="",30,MIN(M251,60)/2)+MIN(N(F251)/1000,20),"")))))</f>
        <v/>
      </c>
      <c r="R251">
        <f>IF(Q251="","",COUNTIF(Q$4:Q$303,"&gt;"&amp;Q251)+COUNTIF(Q$4:Q251,Q251))</f>
        <v/>
      </c>
    </row>
    <row r="252">
      <c r="A252">
        <f>IF(B252="","",249)</f>
        <v/>
      </c>
      <c r="B252">
        <f>IFERROR(INDEX('2.현장'!$V$2:$V$1001,MATCH(249,'2.현장'!$W$2:$W$1001,0)),"")</f>
        <v/>
      </c>
      <c r="C252">
        <f>IF(B252="","",COUNTIFS('2.현장'!$V$2:$V$1001,B252,'2.현장'!$T$2:$T$1001,TRUE))</f>
        <v/>
      </c>
      <c r="D252">
        <f>IF(B252="","",COUNTIFS('2.현장'!$V$2:$V$1001,B252,'2.현장'!$U$2:$U$1001,"설계사"))</f>
        <v/>
      </c>
      <c r="E252">
        <f>IF(B252="","",COUNTIFS('2.현장'!$V$2:$V$1001,B252,'2.현장'!$U$2:$U$1001,"시공사"))</f>
        <v/>
      </c>
      <c r="F252" s="5">
        <f>IF(B252="","",_xlfn.MAXIFS('2.현장'!$D$2:$D$1001,'2.현장'!$V$2:$V$1001,B252,'2.현장'!$T$2:$T$1001,TRUE))</f>
        <v/>
      </c>
      <c r="G252" s="6">
        <f>IF(B252="","",IF(_xlfn.MAXIFS('2.현장'!$L$2:$L$1001,'2.현장'!$V$2:$V$1001,B252,'2.현장'!$T$2:$T$1001,TRUE)=0,"",_xlfn.MAXIFS('2.현장'!$L$2:$L$1001,'2.현장'!$V$2:$V$1001,B252,'2.현장'!$T$2:$T$1001,TRUE)))</f>
        <v/>
      </c>
      <c r="H252">
        <f>IF(B252="","",IFERROR(INDEX('2.현장'!$C$2:$C$1001,IFERROR(MATCH(B252&amp;"|설계사",'2.현장'!$Z$2:$Z$1001,0),IFERROR(MATCH(B252&amp;"|시공사",'2.현장'!$Z$2:$Z$1001,0),MATCH(B252&amp;"|늦음",'2.현장'!$Z$2:$Z$1001,0)))),""))</f>
        <v/>
      </c>
      <c r="I252">
        <f>IF(B252="","",IFERROR(INDEX('2.현장'!$N$2:$N$1001,IFERROR(MATCH(B252&amp;"|설계사",'2.현장'!$Z$2:$Z$1001,0),IFERROR(MATCH(B252&amp;"|시공사",'2.현장'!$Z$2:$Z$1001,0),MATCH(B252&amp;"|늦음",'2.현장'!$Z$2:$Z$1001,0)))),""))</f>
        <v/>
      </c>
      <c r="J252">
        <f>IF(B252="","",IFERROR(VLOOKUP(B252,설계사_메모!$A$3:$G$302,2,FALSE)&amp;"",""))</f>
        <v/>
      </c>
      <c r="K252">
        <f>IF(B252="","",IFERROR(VLOOKUP(B252,설계사_메모!$A$3:$G$302,4,FALSE)&amp;"",""))</f>
        <v/>
      </c>
      <c r="L252" s="6">
        <f>IF(B252="","",IF(COUNTIF('4.방문기록'!$B$3:$B$502,B252)=0,"",_xlfn.MAXIFS('4.방문기록'!$A$3:$A$502,'4.방문기록'!$B$3:$B$502,B252)))</f>
        <v/>
      </c>
      <c r="M252">
        <f>IF(L252="","",설정!$B$24-L252)</f>
        <v/>
      </c>
      <c r="N252" s="6">
        <f>IF(B252="","",IF(_xlfn.MAXIFS('4.방문기록'!$F$3:$F$502,'4.방문기록'!$B$3:$B$502,B252)=0,"",_xlfn.MAXIFS('4.방문기록'!$F$3:$F$502,'4.방문기록'!$B$3:$B$502,B252)))</f>
        <v/>
      </c>
      <c r="O252">
        <f>IF(L252="","",IFERROR(INDEX('4.방문기록'!$H$3:$H$502,MATCH(B252&amp;"|"&amp;(L252*1),'4.방문기록'!$I$3:$I$502,0))&amp;"",""))</f>
        <v/>
      </c>
      <c r="P252">
        <f>IF(B252="","",IF(O252="관심 없음","제외",IF(L252="","안 가봄",IF(M252&gt;=설정!$B$20,M252&amp;"일 지남","최근 방문"))))</f>
        <v/>
      </c>
      <c r="Q252" s="7">
        <f>IF(B252="","",IF(P252="제외","",IF(AND(설정!$B$21&lt;&gt;"",I252&lt;&gt;설정!$B$21),"",IF(AND(N252&lt;&gt;"",N252&gt;N(L252),N252&lt;=설정!$B$24+7),100+7-(N252-설정!$B$24),IF(AND(D252&gt;0,OR(P252="안 가봄",RIGHT(P252,2)="지남")),D252*10+IF(L252="",30,MIN(M252,60)/2)+MIN(N(F252)/1000,20),"")))))</f>
        <v/>
      </c>
      <c r="R252">
        <f>IF(Q252="","",COUNTIF(Q$4:Q$303,"&gt;"&amp;Q252)+COUNTIF(Q$4:Q252,Q252))</f>
        <v/>
      </c>
    </row>
    <row r="253">
      <c r="A253">
        <f>IF(B253="","",250)</f>
        <v/>
      </c>
      <c r="B253">
        <f>IFERROR(INDEX('2.현장'!$V$2:$V$1001,MATCH(250,'2.현장'!$W$2:$W$1001,0)),"")</f>
        <v/>
      </c>
      <c r="C253">
        <f>IF(B253="","",COUNTIFS('2.현장'!$V$2:$V$1001,B253,'2.현장'!$T$2:$T$1001,TRUE))</f>
        <v/>
      </c>
      <c r="D253">
        <f>IF(B253="","",COUNTIFS('2.현장'!$V$2:$V$1001,B253,'2.현장'!$U$2:$U$1001,"설계사"))</f>
        <v/>
      </c>
      <c r="E253">
        <f>IF(B253="","",COUNTIFS('2.현장'!$V$2:$V$1001,B253,'2.현장'!$U$2:$U$1001,"시공사"))</f>
        <v/>
      </c>
      <c r="F253" s="5">
        <f>IF(B253="","",_xlfn.MAXIFS('2.현장'!$D$2:$D$1001,'2.현장'!$V$2:$V$1001,B253,'2.현장'!$T$2:$T$1001,TRUE))</f>
        <v/>
      </c>
      <c r="G253" s="6">
        <f>IF(B253="","",IF(_xlfn.MAXIFS('2.현장'!$L$2:$L$1001,'2.현장'!$V$2:$V$1001,B253,'2.현장'!$T$2:$T$1001,TRUE)=0,"",_xlfn.MAXIFS('2.현장'!$L$2:$L$1001,'2.현장'!$V$2:$V$1001,B253,'2.현장'!$T$2:$T$1001,TRUE)))</f>
        <v/>
      </c>
      <c r="H253">
        <f>IF(B253="","",IFERROR(INDEX('2.현장'!$C$2:$C$1001,IFERROR(MATCH(B253&amp;"|설계사",'2.현장'!$Z$2:$Z$1001,0),IFERROR(MATCH(B253&amp;"|시공사",'2.현장'!$Z$2:$Z$1001,0),MATCH(B253&amp;"|늦음",'2.현장'!$Z$2:$Z$1001,0)))),""))</f>
        <v/>
      </c>
      <c r="I253">
        <f>IF(B253="","",IFERROR(INDEX('2.현장'!$N$2:$N$1001,IFERROR(MATCH(B253&amp;"|설계사",'2.현장'!$Z$2:$Z$1001,0),IFERROR(MATCH(B253&amp;"|시공사",'2.현장'!$Z$2:$Z$1001,0),MATCH(B253&amp;"|늦음",'2.현장'!$Z$2:$Z$1001,0)))),""))</f>
        <v/>
      </c>
      <c r="J253">
        <f>IF(B253="","",IFERROR(VLOOKUP(B253,설계사_메모!$A$3:$G$302,2,FALSE)&amp;"",""))</f>
        <v/>
      </c>
      <c r="K253">
        <f>IF(B253="","",IFERROR(VLOOKUP(B253,설계사_메모!$A$3:$G$302,4,FALSE)&amp;"",""))</f>
        <v/>
      </c>
      <c r="L253" s="6">
        <f>IF(B253="","",IF(COUNTIF('4.방문기록'!$B$3:$B$502,B253)=0,"",_xlfn.MAXIFS('4.방문기록'!$A$3:$A$502,'4.방문기록'!$B$3:$B$502,B253)))</f>
        <v/>
      </c>
      <c r="M253">
        <f>IF(L253="","",설정!$B$24-L253)</f>
        <v/>
      </c>
      <c r="N253" s="6">
        <f>IF(B253="","",IF(_xlfn.MAXIFS('4.방문기록'!$F$3:$F$502,'4.방문기록'!$B$3:$B$502,B253)=0,"",_xlfn.MAXIFS('4.방문기록'!$F$3:$F$502,'4.방문기록'!$B$3:$B$502,B253)))</f>
        <v/>
      </c>
      <c r="O253">
        <f>IF(L253="","",IFERROR(INDEX('4.방문기록'!$H$3:$H$502,MATCH(B253&amp;"|"&amp;(L253*1),'4.방문기록'!$I$3:$I$502,0))&amp;"",""))</f>
        <v/>
      </c>
      <c r="P253">
        <f>IF(B253="","",IF(O253="관심 없음","제외",IF(L253="","안 가봄",IF(M253&gt;=설정!$B$20,M253&amp;"일 지남","최근 방문"))))</f>
        <v/>
      </c>
      <c r="Q253" s="7">
        <f>IF(B253="","",IF(P253="제외","",IF(AND(설정!$B$21&lt;&gt;"",I253&lt;&gt;설정!$B$21),"",IF(AND(N253&lt;&gt;"",N253&gt;N(L253),N253&lt;=설정!$B$24+7),100+7-(N253-설정!$B$24),IF(AND(D253&gt;0,OR(P253="안 가봄",RIGHT(P253,2)="지남")),D253*10+IF(L253="",30,MIN(M253,60)/2)+MIN(N(F253)/1000,20),"")))))</f>
        <v/>
      </c>
      <c r="R253">
        <f>IF(Q253="","",COUNTIF(Q$4:Q$303,"&gt;"&amp;Q253)+COUNTIF(Q$4:Q253,Q253))</f>
        <v/>
      </c>
    </row>
    <row r="254">
      <c r="A254">
        <f>IF(B254="","",251)</f>
        <v/>
      </c>
      <c r="B254">
        <f>IFERROR(INDEX('2.현장'!$V$2:$V$1001,MATCH(251,'2.현장'!$W$2:$W$1001,0)),"")</f>
        <v/>
      </c>
      <c r="C254">
        <f>IF(B254="","",COUNTIFS('2.현장'!$V$2:$V$1001,B254,'2.현장'!$T$2:$T$1001,TRUE))</f>
        <v/>
      </c>
      <c r="D254">
        <f>IF(B254="","",COUNTIFS('2.현장'!$V$2:$V$1001,B254,'2.현장'!$U$2:$U$1001,"설계사"))</f>
        <v/>
      </c>
      <c r="E254">
        <f>IF(B254="","",COUNTIFS('2.현장'!$V$2:$V$1001,B254,'2.현장'!$U$2:$U$1001,"시공사"))</f>
        <v/>
      </c>
      <c r="F254" s="5">
        <f>IF(B254="","",_xlfn.MAXIFS('2.현장'!$D$2:$D$1001,'2.현장'!$V$2:$V$1001,B254,'2.현장'!$T$2:$T$1001,TRUE))</f>
        <v/>
      </c>
      <c r="G254" s="6">
        <f>IF(B254="","",IF(_xlfn.MAXIFS('2.현장'!$L$2:$L$1001,'2.현장'!$V$2:$V$1001,B254,'2.현장'!$T$2:$T$1001,TRUE)=0,"",_xlfn.MAXIFS('2.현장'!$L$2:$L$1001,'2.현장'!$V$2:$V$1001,B254,'2.현장'!$T$2:$T$1001,TRUE)))</f>
        <v/>
      </c>
      <c r="H254">
        <f>IF(B254="","",IFERROR(INDEX('2.현장'!$C$2:$C$1001,IFERROR(MATCH(B254&amp;"|설계사",'2.현장'!$Z$2:$Z$1001,0),IFERROR(MATCH(B254&amp;"|시공사",'2.현장'!$Z$2:$Z$1001,0),MATCH(B254&amp;"|늦음",'2.현장'!$Z$2:$Z$1001,0)))),""))</f>
        <v/>
      </c>
      <c r="I254">
        <f>IF(B254="","",IFERROR(INDEX('2.현장'!$N$2:$N$1001,IFERROR(MATCH(B254&amp;"|설계사",'2.현장'!$Z$2:$Z$1001,0),IFERROR(MATCH(B254&amp;"|시공사",'2.현장'!$Z$2:$Z$1001,0),MATCH(B254&amp;"|늦음",'2.현장'!$Z$2:$Z$1001,0)))),""))</f>
        <v/>
      </c>
      <c r="J254">
        <f>IF(B254="","",IFERROR(VLOOKUP(B254,설계사_메모!$A$3:$G$302,2,FALSE)&amp;"",""))</f>
        <v/>
      </c>
      <c r="K254">
        <f>IF(B254="","",IFERROR(VLOOKUP(B254,설계사_메모!$A$3:$G$302,4,FALSE)&amp;"",""))</f>
        <v/>
      </c>
      <c r="L254" s="6">
        <f>IF(B254="","",IF(COUNTIF('4.방문기록'!$B$3:$B$502,B254)=0,"",_xlfn.MAXIFS('4.방문기록'!$A$3:$A$502,'4.방문기록'!$B$3:$B$502,B254)))</f>
        <v/>
      </c>
      <c r="M254">
        <f>IF(L254="","",설정!$B$24-L254)</f>
        <v/>
      </c>
      <c r="N254" s="6">
        <f>IF(B254="","",IF(_xlfn.MAXIFS('4.방문기록'!$F$3:$F$502,'4.방문기록'!$B$3:$B$502,B254)=0,"",_xlfn.MAXIFS('4.방문기록'!$F$3:$F$502,'4.방문기록'!$B$3:$B$502,B254)))</f>
        <v/>
      </c>
      <c r="O254">
        <f>IF(L254="","",IFERROR(INDEX('4.방문기록'!$H$3:$H$502,MATCH(B254&amp;"|"&amp;(L254*1),'4.방문기록'!$I$3:$I$502,0))&amp;"",""))</f>
        <v/>
      </c>
      <c r="P254">
        <f>IF(B254="","",IF(O254="관심 없음","제외",IF(L254="","안 가봄",IF(M254&gt;=설정!$B$20,M254&amp;"일 지남","최근 방문"))))</f>
        <v/>
      </c>
      <c r="Q254" s="7">
        <f>IF(B254="","",IF(P254="제외","",IF(AND(설정!$B$21&lt;&gt;"",I254&lt;&gt;설정!$B$21),"",IF(AND(N254&lt;&gt;"",N254&gt;N(L254),N254&lt;=설정!$B$24+7),100+7-(N254-설정!$B$24),IF(AND(D254&gt;0,OR(P254="안 가봄",RIGHT(P254,2)="지남")),D254*10+IF(L254="",30,MIN(M254,60)/2)+MIN(N(F254)/1000,20),"")))))</f>
        <v/>
      </c>
      <c r="R254">
        <f>IF(Q254="","",COUNTIF(Q$4:Q$303,"&gt;"&amp;Q254)+COUNTIF(Q$4:Q254,Q254))</f>
        <v/>
      </c>
    </row>
    <row r="255">
      <c r="A255">
        <f>IF(B255="","",252)</f>
        <v/>
      </c>
      <c r="B255">
        <f>IFERROR(INDEX('2.현장'!$V$2:$V$1001,MATCH(252,'2.현장'!$W$2:$W$1001,0)),"")</f>
        <v/>
      </c>
      <c r="C255">
        <f>IF(B255="","",COUNTIFS('2.현장'!$V$2:$V$1001,B255,'2.현장'!$T$2:$T$1001,TRUE))</f>
        <v/>
      </c>
      <c r="D255">
        <f>IF(B255="","",COUNTIFS('2.현장'!$V$2:$V$1001,B255,'2.현장'!$U$2:$U$1001,"설계사"))</f>
        <v/>
      </c>
      <c r="E255">
        <f>IF(B255="","",COUNTIFS('2.현장'!$V$2:$V$1001,B255,'2.현장'!$U$2:$U$1001,"시공사"))</f>
        <v/>
      </c>
      <c r="F255" s="5">
        <f>IF(B255="","",_xlfn.MAXIFS('2.현장'!$D$2:$D$1001,'2.현장'!$V$2:$V$1001,B255,'2.현장'!$T$2:$T$1001,TRUE))</f>
        <v/>
      </c>
      <c r="G255" s="6">
        <f>IF(B255="","",IF(_xlfn.MAXIFS('2.현장'!$L$2:$L$1001,'2.현장'!$V$2:$V$1001,B255,'2.현장'!$T$2:$T$1001,TRUE)=0,"",_xlfn.MAXIFS('2.현장'!$L$2:$L$1001,'2.현장'!$V$2:$V$1001,B255,'2.현장'!$T$2:$T$1001,TRUE)))</f>
        <v/>
      </c>
      <c r="H255">
        <f>IF(B255="","",IFERROR(INDEX('2.현장'!$C$2:$C$1001,IFERROR(MATCH(B255&amp;"|설계사",'2.현장'!$Z$2:$Z$1001,0),IFERROR(MATCH(B255&amp;"|시공사",'2.현장'!$Z$2:$Z$1001,0),MATCH(B255&amp;"|늦음",'2.현장'!$Z$2:$Z$1001,0)))),""))</f>
        <v/>
      </c>
      <c r="I255">
        <f>IF(B255="","",IFERROR(INDEX('2.현장'!$N$2:$N$1001,IFERROR(MATCH(B255&amp;"|설계사",'2.현장'!$Z$2:$Z$1001,0),IFERROR(MATCH(B255&amp;"|시공사",'2.현장'!$Z$2:$Z$1001,0),MATCH(B255&amp;"|늦음",'2.현장'!$Z$2:$Z$1001,0)))),""))</f>
        <v/>
      </c>
      <c r="J255">
        <f>IF(B255="","",IFERROR(VLOOKUP(B255,설계사_메모!$A$3:$G$302,2,FALSE)&amp;"",""))</f>
        <v/>
      </c>
      <c r="K255">
        <f>IF(B255="","",IFERROR(VLOOKUP(B255,설계사_메모!$A$3:$G$302,4,FALSE)&amp;"",""))</f>
        <v/>
      </c>
      <c r="L255" s="6">
        <f>IF(B255="","",IF(COUNTIF('4.방문기록'!$B$3:$B$502,B255)=0,"",_xlfn.MAXIFS('4.방문기록'!$A$3:$A$502,'4.방문기록'!$B$3:$B$502,B255)))</f>
        <v/>
      </c>
      <c r="M255">
        <f>IF(L255="","",설정!$B$24-L255)</f>
        <v/>
      </c>
      <c r="N255" s="6">
        <f>IF(B255="","",IF(_xlfn.MAXIFS('4.방문기록'!$F$3:$F$502,'4.방문기록'!$B$3:$B$502,B255)=0,"",_xlfn.MAXIFS('4.방문기록'!$F$3:$F$502,'4.방문기록'!$B$3:$B$502,B255)))</f>
        <v/>
      </c>
      <c r="O255">
        <f>IF(L255="","",IFERROR(INDEX('4.방문기록'!$H$3:$H$502,MATCH(B255&amp;"|"&amp;(L255*1),'4.방문기록'!$I$3:$I$502,0))&amp;"",""))</f>
        <v/>
      </c>
      <c r="P255">
        <f>IF(B255="","",IF(O255="관심 없음","제외",IF(L255="","안 가봄",IF(M255&gt;=설정!$B$20,M255&amp;"일 지남","최근 방문"))))</f>
        <v/>
      </c>
      <c r="Q255" s="7">
        <f>IF(B255="","",IF(P255="제외","",IF(AND(설정!$B$21&lt;&gt;"",I255&lt;&gt;설정!$B$21),"",IF(AND(N255&lt;&gt;"",N255&gt;N(L255),N255&lt;=설정!$B$24+7),100+7-(N255-설정!$B$24),IF(AND(D255&gt;0,OR(P255="안 가봄",RIGHT(P255,2)="지남")),D255*10+IF(L255="",30,MIN(M255,60)/2)+MIN(N(F255)/1000,20),"")))))</f>
        <v/>
      </c>
      <c r="R255">
        <f>IF(Q255="","",COUNTIF(Q$4:Q$303,"&gt;"&amp;Q255)+COUNTIF(Q$4:Q255,Q255))</f>
        <v/>
      </c>
    </row>
    <row r="256">
      <c r="A256">
        <f>IF(B256="","",253)</f>
        <v/>
      </c>
      <c r="B256">
        <f>IFERROR(INDEX('2.현장'!$V$2:$V$1001,MATCH(253,'2.현장'!$W$2:$W$1001,0)),"")</f>
        <v/>
      </c>
      <c r="C256">
        <f>IF(B256="","",COUNTIFS('2.현장'!$V$2:$V$1001,B256,'2.현장'!$T$2:$T$1001,TRUE))</f>
        <v/>
      </c>
      <c r="D256">
        <f>IF(B256="","",COUNTIFS('2.현장'!$V$2:$V$1001,B256,'2.현장'!$U$2:$U$1001,"설계사"))</f>
        <v/>
      </c>
      <c r="E256">
        <f>IF(B256="","",COUNTIFS('2.현장'!$V$2:$V$1001,B256,'2.현장'!$U$2:$U$1001,"시공사"))</f>
        <v/>
      </c>
      <c r="F256" s="5">
        <f>IF(B256="","",_xlfn.MAXIFS('2.현장'!$D$2:$D$1001,'2.현장'!$V$2:$V$1001,B256,'2.현장'!$T$2:$T$1001,TRUE))</f>
        <v/>
      </c>
      <c r="G256" s="6">
        <f>IF(B256="","",IF(_xlfn.MAXIFS('2.현장'!$L$2:$L$1001,'2.현장'!$V$2:$V$1001,B256,'2.현장'!$T$2:$T$1001,TRUE)=0,"",_xlfn.MAXIFS('2.현장'!$L$2:$L$1001,'2.현장'!$V$2:$V$1001,B256,'2.현장'!$T$2:$T$1001,TRUE)))</f>
        <v/>
      </c>
      <c r="H256">
        <f>IF(B256="","",IFERROR(INDEX('2.현장'!$C$2:$C$1001,IFERROR(MATCH(B256&amp;"|설계사",'2.현장'!$Z$2:$Z$1001,0),IFERROR(MATCH(B256&amp;"|시공사",'2.현장'!$Z$2:$Z$1001,0),MATCH(B256&amp;"|늦음",'2.현장'!$Z$2:$Z$1001,0)))),""))</f>
        <v/>
      </c>
      <c r="I256">
        <f>IF(B256="","",IFERROR(INDEX('2.현장'!$N$2:$N$1001,IFERROR(MATCH(B256&amp;"|설계사",'2.현장'!$Z$2:$Z$1001,0),IFERROR(MATCH(B256&amp;"|시공사",'2.현장'!$Z$2:$Z$1001,0),MATCH(B256&amp;"|늦음",'2.현장'!$Z$2:$Z$1001,0)))),""))</f>
        <v/>
      </c>
      <c r="J256">
        <f>IF(B256="","",IFERROR(VLOOKUP(B256,설계사_메모!$A$3:$G$302,2,FALSE)&amp;"",""))</f>
        <v/>
      </c>
      <c r="K256">
        <f>IF(B256="","",IFERROR(VLOOKUP(B256,설계사_메모!$A$3:$G$302,4,FALSE)&amp;"",""))</f>
        <v/>
      </c>
      <c r="L256" s="6">
        <f>IF(B256="","",IF(COUNTIF('4.방문기록'!$B$3:$B$502,B256)=0,"",_xlfn.MAXIFS('4.방문기록'!$A$3:$A$502,'4.방문기록'!$B$3:$B$502,B256)))</f>
        <v/>
      </c>
      <c r="M256">
        <f>IF(L256="","",설정!$B$24-L256)</f>
        <v/>
      </c>
      <c r="N256" s="6">
        <f>IF(B256="","",IF(_xlfn.MAXIFS('4.방문기록'!$F$3:$F$502,'4.방문기록'!$B$3:$B$502,B256)=0,"",_xlfn.MAXIFS('4.방문기록'!$F$3:$F$502,'4.방문기록'!$B$3:$B$502,B256)))</f>
        <v/>
      </c>
      <c r="O256">
        <f>IF(L256="","",IFERROR(INDEX('4.방문기록'!$H$3:$H$502,MATCH(B256&amp;"|"&amp;(L256*1),'4.방문기록'!$I$3:$I$502,0))&amp;"",""))</f>
        <v/>
      </c>
      <c r="P256">
        <f>IF(B256="","",IF(O256="관심 없음","제외",IF(L256="","안 가봄",IF(M256&gt;=설정!$B$20,M256&amp;"일 지남","최근 방문"))))</f>
        <v/>
      </c>
      <c r="Q256" s="7">
        <f>IF(B256="","",IF(P256="제외","",IF(AND(설정!$B$21&lt;&gt;"",I256&lt;&gt;설정!$B$21),"",IF(AND(N256&lt;&gt;"",N256&gt;N(L256),N256&lt;=설정!$B$24+7),100+7-(N256-설정!$B$24),IF(AND(D256&gt;0,OR(P256="안 가봄",RIGHT(P256,2)="지남")),D256*10+IF(L256="",30,MIN(M256,60)/2)+MIN(N(F256)/1000,20),"")))))</f>
        <v/>
      </c>
      <c r="R256">
        <f>IF(Q256="","",COUNTIF(Q$4:Q$303,"&gt;"&amp;Q256)+COUNTIF(Q$4:Q256,Q256))</f>
        <v/>
      </c>
    </row>
    <row r="257">
      <c r="A257">
        <f>IF(B257="","",254)</f>
        <v/>
      </c>
      <c r="B257">
        <f>IFERROR(INDEX('2.현장'!$V$2:$V$1001,MATCH(254,'2.현장'!$W$2:$W$1001,0)),"")</f>
        <v/>
      </c>
      <c r="C257">
        <f>IF(B257="","",COUNTIFS('2.현장'!$V$2:$V$1001,B257,'2.현장'!$T$2:$T$1001,TRUE))</f>
        <v/>
      </c>
      <c r="D257">
        <f>IF(B257="","",COUNTIFS('2.현장'!$V$2:$V$1001,B257,'2.현장'!$U$2:$U$1001,"설계사"))</f>
        <v/>
      </c>
      <c r="E257">
        <f>IF(B257="","",COUNTIFS('2.현장'!$V$2:$V$1001,B257,'2.현장'!$U$2:$U$1001,"시공사"))</f>
        <v/>
      </c>
      <c r="F257" s="5">
        <f>IF(B257="","",_xlfn.MAXIFS('2.현장'!$D$2:$D$1001,'2.현장'!$V$2:$V$1001,B257,'2.현장'!$T$2:$T$1001,TRUE))</f>
        <v/>
      </c>
      <c r="G257" s="6">
        <f>IF(B257="","",IF(_xlfn.MAXIFS('2.현장'!$L$2:$L$1001,'2.현장'!$V$2:$V$1001,B257,'2.현장'!$T$2:$T$1001,TRUE)=0,"",_xlfn.MAXIFS('2.현장'!$L$2:$L$1001,'2.현장'!$V$2:$V$1001,B257,'2.현장'!$T$2:$T$1001,TRUE)))</f>
        <v/>
      </c>
      <c r="H257">
        <f>IF(B257="","",IFERROR(INDEX('2.현장'!$C$2:$C$1001,IFERROR(MATCH(B257&amp;"|설계사",'2.현장'!$Z$2:$Z$1001,0),IFERROR(MATCH(B257&amp;"|시공사",'2.현장'!$Z$2:$Z$1001,0),MATCH(B257&amp;"|늦음",'2.현장'!$Z$2:$Z$1001,0)))),""))</f>
        <v/>
      </c>
      <c r="I257">
        <f>IF(B257="","",IFERROR(INDEX('2.현장'!$N$2:$N$1001,IFERROR(MATCH(B257&amp;"|설계사",'2.현장'!$Z$2:$Z$1001,0),IFERROR(MATCH(B257&amp;"|시공사",'2.현장'!$Z$2:$Z$1001,0),MATCH(B257&amp;"|늦음",'2.현장'!$Z$2:$Z$1001,0)))),""))</f>
        <v/>
      </c>
      <c r="J257">
        <f>IF(B257="","",IFERROR(VLOOKUP(B257,설계사_메모!$A$3:$G$302,2,FALSE)&amp;"",""))</f>
        <v/>
      </c>
      <c r="K257">
        <f>IF(B257="","",IFERROR(VLOOKUP(B257,설계사_메모!$A$3:$G$302,4,FALSE)&amp;"",""))</f>
        <v/>
      </c>
      <c r="L257" s="6">
        <f>IF(B257="","",IF(COUNTIF('4.방문기록'!$B$3:$B$502,B257)=0,"",_xlfn.MAXIFS('4.방문기록'!$A$3:$A$502,'4.방문기록'!$B$3:$B$502,B257)))</f>
        <v/>
      </c>
      <c r="M257">
        <f>IF(L257="","",설정!$B$24-L257)</f>
        <v/>
      </c>
      <c r="N257" s="6">
        <f>IF(B257="","",IF(_xlfn.MAXIFS('4.방문기록'!$F$3:$F$502,'4.방문기록'!$B$3:$B$502,B257)=0,"",_xlfn.MAXIFS('4.방문기록'!$F$3:$F$502,'4.방문기록'!$B$3:$B$502,B257)))</f>
        <v/>
      </c>
      <c r="O257">
        <f>IF(L257="","",IFERROR(INDEX('4.방문기록'!$H$3:$H$502,MATCH(B257&amp;"|"&amp;(L257*1),'4.방문기록'!$I$3:$I$502,0))&amp;"",""))</f>
        <v/>
      </c>
      <c r="P257">
        <f>IF(B257="","",IF(O257="관심 없음","제외",IF(L257="","안 가봄",IF(M257&gt;=설정!$B$20,M257&amp;"일 지남","최근 방문"))))</f>
        <v/>
      </c>
      <c r="Q257" s="7">
        <f>IF(B257="","",IF(P257="제외","",IF(AND(설정!$B$21&lt;&gt;"",I257&lt;&gt;설정!$B$21),"",IF(AND(N257&lt;&gt;"",N257&gt;N(L257),N257&lt;=설정!$B$24+7),100+7-(N257-설정!$B$24),IF(AND(D257&gt;0,OR(P257="안 가봄",RIGHT(P257,2)="지남")),D257*10+IF(L257="",30,MIN(M257,60)/2)+MIN(N(F257)/1000,20),"")))))</f>
        <v/>
      </c>
      <c r="R257">
        <f>IF(Q257="","",COUNTIF(Q$4:Q$303,"&gt;"&amp;Q257)+COUNTIF(Q$4:Q257,Q257))</f>
        <v/>
      </c>
    </row>
    <row r="258">
      <c r="A258">
        <f>IF(B258="","",255)</f>
        <v/>
      </c>
      <c r="B258">
        <f>IFERROR(INDEX('2.현장'!$V$2:$V$1001,MATCH(255,'2.현장'!$W$2:$W$1001,0)),"")</f>
        <v/>
      </c>
      <c r="C258">
        <f>IF(B258="","",COUNTIFS('2.현장'!$V$2:$V$1001,B258,'2.현장'!$T$2:$T$1001,TRUE))</f>
        <v/>
      </c>
      <c r="D258">
        <f>IF(B258="","",COUNTIFS('2.현장'!$V$2:$V$1001,B258,'2.현장'!$U$2:$U$1001,"설계사"))</f>
        <v/>
      </c>
      <c r="E258">
        <f>IF(B258="","",COUNTIFS('2.현장'!$V$2:$V$1001,B258,'2.현장'!$U$2:$U$1001,"시공사"))</f>
        <v/>
      </c>
      <c r="F258" s="5">
        <f>IF(B258="","",_xlfn.MAXIFS('2.현장'!$D$2:$D$1001,'2.현장'!$V$2:$V$1001,B258,'2.현장'!$T$2:$T$1001,TRUE))</f>
        <v/>
      </c>
      <c r="G258" s="6">
        <f>IF(B258="","",IF(_xlfn.MAXIFS('2.현장'!$L$2:$L$1001,'2.현장'!$V$2:$V$1001,B258,'2.현장'!$T$2:$T$1001,TRUE)=0,"",_xlfn.MAXIFS('2.현장'!$L$2:$L$1001,'2.현장'!$V$2:$V$1001,B258,'2.현장'!$T$2:$T$1001,TRUE)))</f>
        <v/>
      </c>
      <c r="H258">
        <f>IF(B258="","",IFERROR(INDEX('2.현장'!$C$2:$C$1001,IFERROR(MATCH(B258&amp;"|설계사",'2.현장'!$Z$2:$Z$1001,0),IFERROR(MATCH(B258&amp;"|시공사",'2.현장'!$Z$2:$Z$1001,0),MATCH(B258&amp;"|늦음",'2.현장'!$Z$2:$Z$1001,0)))),""))</f>
        <v/>
      </c>
      <c r="I258">
        <f>IF(B258="","",IFERROR(INDEX('2.현장'!$N$2:$N$1001,IFERROR(MATCH(B258&amp;"|설계사",'2.현장'!$Z$2:$Z$1001,0),IFERROR(MATCH(B258&amp;"|시공사",'2.현장'!$Z$2:$Z$1001,0),MATCH(B258&amp;"|늦음",'2.현장'!$Z$2:$Z$1001,0)))),""))</f>
        <v/>
      </c>
      <c r="J258">
        <f>IF(B258="","",IFERROR(VLOOKUP(B258,설계사_메모!$A$3:$G$302,2,FALSE)&amp;"",""))</f>
        <v/>
      </c>
      <c r="K258">
        <f>IF(B258="","",IFERROR(VLOOKUP(B258,설계사_메모!$A$3:$G$302,4,FALSE)&amp;"",""))</f>
        <v/>
      </c>
      <c r="L258" s="6">
        <f>IF(B258="","",IF(COUNTIF('4.방문기록'!$B$3:$B$502,B258)=0,"",_xlfn.MAXIFS('4.방문기록'!$A$3:$A$502,'4.방문기록'!$B$3:$B$502,B258)))</f>
        <v/>
      </c>
      <c r="M258">
        <f>IF(L258="","",설정!$B$24-L258)</f>
        <v/>
      </c>
      <c r="N258" s="6">
        <f>IF(B258="","",IF(_xlfn.MAXIFS('4.방문기록'!$F$3:$F$502,'4.방문기록'!$B$3:$B$502,B258)=0,"",_xlfn.MAXIFS('4.방문기록'!$F$3:$F$502,'4.방문기록'!$B$3:$B$502,B258)))</f>
        <v/>
      </c>
      <c r="O258">
        <f>IF(L258="","",IFERROR(INDEX('4.방문기록'!$H$3:$H$502,MATCH(B258&amp;"|"&amp;(L258*1),'4.방문기록'!$I$3:$I$502,0))&amp;"",""))</f>
        <v/>
      </c>
      <c r="P258">
        <f>IF(B258="","",IF(O258="관심 없음","제외",IF(L258="","안 가봄",IF(M258&gt;=설정!$B$20,M258&amp;"일 지남","최근 방문"))))</f>
        <v/>
      </c>
      <c r="Q258" s="7">
        <f>IF(B258="","",IF(P258="제외","",IF(AND(설정!$B$21&lt;&gt;"",I258&lt;&gt;설정!$B$21),"",IF(AND(N258&lt;&gt;"",N258&gt;N(L258),N258&lt;=설정!$B$24+7),100+7-(N258-설정!$B$24),IF(AND(D258&gt;0,OR(P258="안 가봄",RIGHT(P258,2)="지남")),D258*10+IF(L258="",30,MIN(M258,60)/2)+MIN(N(F258)/1000,20),"")))))</f>
        <v/>
      </c>
      <c r="R258">
        <f>IF(Q258="","",COUNTIF(Q$4:Q$303,"&gt;"&amp;Q258)+COUNTIF(Q$4:Q258,Q258))</f>
        <v/>
      </c>
    </row>
    <row r="259">
      <c r="A259">
        <f>IF(B259="","",256)</f>
        <v/>
      </c>
      <c r="B259">
        <f>IFERROR(INDEX('2.현장'!$V$2:$V$1001,MATCH(256,'2.현장'!$W$2:$W$1001,0)),"")</f>
        <v/>
      </c>
      <c r="C259">
        <f>IF(B259="","",COUNTIFS('2.현장'!$V$2:$V$1001,B259,'2.현장'!$T$2:$T$1001,TRUE))</f>
        <v/>
      </c>
      <c r="D259">
        <f>IF(B259="","",COUNTIFS('2.현장'!$V$2:$V$1001,B259,'2.현장'!$U$2:$U$1001,"설계사"))</f>
        <v/>
      </c>
      <c r="E259">
        <f>IF(B259="","",COUNTIFS('2.현장'!$V$2:$V$1001,B259,'2.현장'!$U$2:$U$1001,"시공사"))</f>
        <v/>
      </c>
      <c r="F259" s="5">
        <f>IF(B259="","",_xlfn.MAXIFS('2.현장'!$D$2:$D$1001,'2.현장'!$V$2:$V$1001,B259,'2.현장'!$T$2:$T$1001,TRUE))</f>
        <v/>
      </c>
      <c r="G259" s="6">
        <f>IF(B259="","",IF(_xlfn.MAXIFS('2.현장'!$L$2:$L$1001,'2.현장'!$V$2:$V$1001,B259,'2.현장'!$T$2:$T$1001,TRUE)=0,"",_xlfn.MAXIFS('2.현장'!$L$2:$L$1001,'2.현장'!$V$2:$V$1001,B259,'2.현장'!$T$2:$T$1001,TRUE)))</f>
        <v/>
      </c>
      <c r="H259">
        <f>IF(B259="","",IFERROR(INDEX('2.현장'!$C$2:$C$1001,IFERROR(MATCH(B259&amp;"|설계사",'2.현장'!$Z$2:$Z$1001,0),IFERROR(MATCH(B259&amp;"|시공사",'2.현장'!$Z$2:$Z$1001,0),MATCH(B259&amp;"|늦음",'2.현장'!$Z$2:$Z$1001,0)))),""))</f>
        <v/>
      </c>
      <c r="I259">
        <f>IF(B259="","",IFERROR(INDEX('2.현장'!$N$2:$N$1001,IFERROR(MATCH(B259&amp;"|설계사",'2.현장'!$Z$2:$Z$1001,0),IFERROR(MATCH(B259&amp;"|시공사",'2.현장'!$Z$2:$Z$1001,0),MATCH(B259&amp;"|늦음",'2.현장'!$Z$2:$Z$1001,0)))),""))</f>
        <v/>
      </c>
      <c r="J259">
        <f>IF(B259="","",IFERROR(VLOOKUP(B259,설계사_메모!$A$3:$G$302,2,FALSE)&amp;"",""))</f>
        <v/>
      </c>
      <c r="K259">
        <f>IF(B259="","",IFERROR(VLOOKUP(B259,설계사_메모!$A$3:$G$302,4,FALSE)&amp;"",""))</f>
        <v/>
      </c>
      <c r="L259" s="6">
        <f>IF(B259="","",IF(COUNTIF('4.방문기록'!$B$3:$B$502,B259)=0,"",_xlfn.MAXIFS('4.방문기록'!$A$3:$A$502,'4.방문기록'!$B$3:$B$502,B259)))</f>
        <v/>
      </c>
      <c r="M259">
        <f>IF(L259="","",설정!$B$24-L259)</f>
        <v/>
      </c>
      <c r="N259" s="6">
        <f>IF(B259="","",IF(_xlfn.MAXIFS('4.방문기록'!$F$3:$F$502,'4.방문기록'!$B$3:$B$502,B259)=0,"",_xlfn.MAXIFS('4.방문기록'!$F$3:$F$502,'4.방문기록'!$B$3:$B$502,B259)))</f>
        <v/>
      </c>
      <c r="O259">
        <f>IF(L259="","",IFERROR(INDEX('4.방문기록'!$H$3:$H$502,MATCH(B259&amp;"|"&amp;(L259*1),'4.방문기록'!$I$3:$I$502,0))&amp;"",""))</f>
        <v/>
      </c>
      <c r="P259">
        <f>IF(B259="","",IF(O259="관심 없음","제외",IF(L259="","안 가봄",IF(M259&gt;=설정!$B$20,M259&amp;"일 지남","최근 방문"))))</f>
        <v/>
      </c>
      <c r="Q259" s="7">
        <f>IF(B259="","",IF(P259="제외","",IF(AND(설정!$B$21&lt;&gt;"",I259&lt;&gt;설정!$B$21),"",IF(AND(N259&lt;&gt;"",N259&gt;N(L259),N259&lt;=설정!$B$24+7),100+7-(N259-설정!$B$24),IF(AND(D259&gt;0,OR(P259="안 가봄",RIGHT(P259,2)="지남")),D259*10+IF(L259="",30,MIN(M259,60)/2)+MIN(N(F259)/1000,20),"")))))</f>
        <v/>
      </c>
      <c r="R259">
        <f>IF(Q259="","",COUNTIF(Q$4:Q$303,"&gt;"&amp;Q259)+COUNTIF(Q$4:Q259,Q259))</f>
        <v/>
      </c>
    </row>
    <row r="260">
      <c r="A260">
        <f>IF(B260="","",257)</f>
        <v/>
      </c>
      <c r="B260">
        <f>IFERROR(INDEX('2.현장'!$V$2:$V$1001,MATCH(257,'2.현장'!$W$2:$W$1001,0)),"")</f>
        <v/>
      </c>
      <c r="C260">
        <f>IF(B260="","",COUNTIFS('2.현장'!$V$2:$V$1001,B260,'2.현장'!$T$2:$T$1001,TRUE))</f>
        <v/>
      </c>
      <c r="D260">
        <f>IF(B260="","",COUNTIFS('2.현장'!$V$2:$V$1001,B260,'2.현장'!$U$2:$U$1001,"설계사"))</f>
        <v/>
      </c>
      <c r="E260">
        <f>IF(B260="","",COUNTIFS('2.현장'!$V$2:$V$1001,B260,'2.현장'!$U$2:$U$1001,"시공사"))</f>
        <v/>
      </c>
      <c r="F260" s="5">
        <f>IF(B260="","",_xlfn.MAXIFS('2.현장'!$D$2:$D$1001,'2.현장'!$V$2:$V$1001,B260,'2.현장'!$T$2:$T$1001,TRUE))</f>
        <v/>
      </c>
      <c r="G260" s="6">
        <f>IF(B260="","",IF(_xlfn.MAXIFS('2.현장'!$L$2:$L$1001,'2.현장'!$V$2:$V$1001,B260,'2.현장'!$T$2:$T$1001,TRUE)=0,"",_xlfn.MAXIFS('2.현장'!$L$2:$L$1001,'2.현장'!$V$2:$V$1001,B260,'2.현장'!$T$2:$T$1001,TRUE)))</f>
        <v/>
      </c>
      <c r="H260">
        <f>IF(B260="","",IFERROR(INDEX('2.현장'!$C$2:$C$1001,IFERROR(MATCH(B260&amp;"|설계사",'2.현장'!$Z$2:$Z$1001,0),IFERROR(MATCH(B260&amp;"|시공사",'2.현장'!$Z$2:$Z$1001,0),MATCH(B260&amp;"|늦음",'2.현장'!$Z$2:$Z$1001,0)))),""))</f>
        <v/>
      </c>
      <c r="I260">
        <f>IF(B260="","",IFERROR(INDEX('2.현장'!$N$2:$N$1001,IFERROR(MATCH(B260&amp;"|설계사",'2.현장'!$Z$2:$Z$1001,0),IFERROR(MATCH(B260&amp;"|시공사",'2.현장'!$Z$2:$Z$1001,0),MATCH(B260&amp;"|늦음",'2.현장'!$Z$2:$Z$1001,0)))),""))</f>
        <v/>
      </c>
      <c r="J260">
        <f>IF(B260="","",IFERROR(VLOOKUP(B260,설계사_메모!$A$3:$G$302,2,FALSE)&amp;"",""))</f>
        <v/>
      </c>
      <c r="K260">
        <f>IF(B260="","",IFERROR(VLOOKUP(B260,설계사_메모!$A$3:$G$302,4,FALSE)&amp;"",""))</f>
        <v/>
      </c>
      <c r="L260" s="6">
        <f>IF(B260="","",IF(COUNTIF('4.방문기록'!$B$3:$B$502,B260)=0,"",_xlfn.MAXIFS('4.방문기록'!$A$3:$A$502,'4.방문기록'!$B$3:$B$502,B260)))</f>
        <v/>
      </c>
      <c r="M260">
        <f>IF(L260="","",설정!$B$24-L260)</f>
        <v/>
      </c>
      <c r="N260" s="6">
        <f>IF(B260="","",IF(_xlfn.MAXIFS('4.방문기록'!$F$3:$F$502,'4.방문기록'!$B$3:$B$502,B260)=0,"",_xlfn.MAXIFS('4.방문기록'!$F$3:$F$502,'4.방문기록'!$B$3:$B$502,B260)))</f>
        <v/>
      </c>
      <c r="O260">
        <f>IF(L260="","",IFERROR(INDEX('4.방문기록'!$H$3:$H$502,MATCH(B260&amp;"|"&amp;(L260*1),'4.방문기록'!$I$3:$I$502,0))&amp;"",""))</f>
        <v/>
      </c>
      <c r="P260">
        <f>IF(B260="","",IF(O260="관심 없음","제외",IF(L260="","안 가봄",IF(M260&gt;=설정!$B$20,M260&amp;"일 지남","최근 방문"))))</f>
        <v/>
      </c>
      <c r="Q260" s="7">
        <f>IF(B260="","",IF(P260="제외","",IF(AND(설정!$B$21&lt;&gt;"",I260&lt;&gt;설정!$B$21),"",IF(AND(N260&lt;&gt;"",N260&gt;N(L260),N260&lt;=설정!$B$24+7),100+7-(N260-설정!$B$24),IF(AND(D260&gt;0,OR(P260="안 가봄",RIGHT(P260,2)="지남")),D260*10+IF(L260="",30,MIN(M260,60)/2)+MIN(N(F260)/1000,20),"")))))</f>
        <v/>
      </c>
      <c r="R260">
        <f>IF(Q260="","",COUNTIF(Q$4:Q$303,"&gt;"&amp;Q260)+COUNTIF(Q$4:Q260,Q260))</f>
        <v/>
      </c>
    </row>
    <row r="261">
      <c r="A261">
        <f>IF(B261="","",258)</f>
        <v/>
      </c>
      <c r="B261">
        <f>IFERROR(INDEX('2.현장'!$V$2:$V$1001,MATCH(258,'2.현장'!$W$2:$W$1001,0)),"")</f>
        <v/>
      </c>
      <c r="C261">
        <f>IF(B261="","",COUNTIFS('2.현장'!$V$2:$V$1001,B261,'2.현장'!$T$2:$T$1001,TRUE))</f>
        <v/>
      </c>
      <c r="D261">
        <f>IF(B261="","",COUNTIFS('2.현장'!$V$2:$V$1001,B261,'2.현장'!$U$2:$U$1001,"설계사"))</f>
        <v/>
      </c>
      <c r="E261">
        <f>IF(B261="","",COUNTIFS('2.현장'!$V$2:$V$1001,B261,'2.현장'!$U$2:$U$1001,"시공사"))</f>
        <v/>
      </c>
      <c r="F261" s="5">
        <f>IF(B261="","",_xlfn.MAXIFS('2.현장'!$D$2:$D$1001,'2.현장'!$V$2:$V$1001,B261,'2.현장'!$T$2:$T$1001,TRUE))</f>
        <v/>
      </c>
      <c r="G261" s="6">
        <f>IF(B261="","",IF(_xlfn.MAXIFS('2.현장'!$L$2:$L$1001,'2.현장'!$V$2:$V$1001,B261,'2.현장'!$T$2:$T$1001,TRUE)=0,"",_xlfn.MAXIFS('2.현장'!$L$2:$L$1001,'2.현장'!$V$2:$V$1001,B261,'2.현장'!$T$2:$T$1001,TRUE)))</f>
        <v/>
      </c>
      <c r="H261">
        <f>IF(B261="","",IFERROR(INDEX('2.현장'!$C$2:$C$1001,IFERROR(MATCH(B261&amp;"|설계사",'2.현장'!$Z$2:$Z$1001,0),IFERROR(MATCH(B261&amp;"|시공사",'2.현장'!$Z$2:$Z$1001,0),MATCH(B261&amp;"|늦음",'2.현장'!$Z$2:$Z$1001,0)))),""))</f>
        <v/>
      </c>
      <c r="I261">
        <f>IF(B261="","",IFERROR(INDEX('2.현장'!$N$2:$N$1001,IFERROR(MATCH(B261&amp;"|설계사",'2.현장'!$Z$2:$Z$1001,0),IFERROR(MATCH(B261&amp;"|시공사",'2.현장'!$Z$2:$Z$1001,0),MATCH(B261&amp;"|늦음",'2.현장'!$Z$2:$Z$1001,0)))),""))</f>
        <v/>
      </c>
      <c r="J261">
        <f>IF(B261="","",IFERROR(VLOOKUP(B261,설계사_메모!$A$3:$G$302,2,FALSE)&amp;"",""))</f>
        <v/>
      </c>
      <c r="K261">
        <f>IF(B261="","",IFERROR(VLOOKUP(B261,설계사_메모!$A$3:$G$302,4,FALSE)&amp;"",""))</f>
        <v/>
      </c>
      <c r="L261" s="6">
        <f>IF(B261="","",IF(COUNTIF('4.방문기록'!$B$3:$B$502,B261)=0,"",_xlfn.MAXIFS('4.방문기록'!$A$3:$A$502,'4.방문기록'!$B$3:$B$502,B261)))</f>
        <v/>
      </c>
      <c r="M261">
        <f>IF(L261="","",설정!$B$24-L261)</f>
        <v/>
      </c>
      <c r="N261" s="6">
        <f>IF(B261="","",IF(_xlfn.MAXIFS('4.방문기록'!$F$3:$F$502,'4.방문기록'!$B$3:$B$502,B261)=0,"",_xlfn.MAXIFS('4.방문기록'!$F$3:$F$502,'4.방문기록'!$B$3:$B$502,B261)))</f>
        <v/>
      </c>
      <c r="O261">
        <f>IF(L261="","",IFERROR(INDEX('4.방문기록'!$H$3:$H$502,MATCH(B261&amp;"|"&amp;(L261*1),'4.방문기록'!$I$3:$I$502,0))&amp;"",""))</f>
        <v/>
      </c>
      <c r="P261">
        <f>IF(B261="","",IF(O261="관심 없음","제외",IF(L261="","안 가봄",IF(M261&gt;=설정!$B$20,M261&amp;"일 지남","최근 방문"))))</f>
        <v/>
      </c>
      <c r="Q261" s="7">
        <f>IF(B261="","",IF(P261="제외","",IF(AND(설정!$B$21&lt;&gt;"",I261&lt;&gt;설정!$B$21),"",IF(AND(N261&lt;&gt;"",N261&gt;N(L261),N261&lt;=설정!$B$24+7),100+7-(N261-설정!$B$24),IF(AND(D261&gt;0,OR(P261="안 가봄",RIGHT(P261,2)="지남")),D261*10+IF(L261="",30,MIN(M261,60)/2)+MIN(N(F261)/1000,20),"")))))</f>
        <v/>
      </c>
      <c r="R261">
        <f>IF(Q261="","",COUNTIF(Q$4:Q$303,"&gt;"&amp;Q261)+COUNTIF(Q$4:Q261,Q261))</f>
        <v/>
      </c>
    </row>
    <row r="262">
      <c r="A262">
        <f>IF(B262="","",259)</f>
        <v/>
      </c>
      <c r="B262">
        <f>IFERROR(INDEX('2.현장'!$V$2:$V$1001,MATCH(259,'2.현장'!$W$2:$W$1001,0)),"")</f>
        <v/>
      </c>
      <c r="C262">
        <f>IF(B262="","",COUNTIFS('2.현장'!$V$2:$V$1001,B262,'2.현장'!$T$2:$T$1001,TRUE))</f>
        <v/>
      </c>
      <c r="D262">
        <f>IF(B262="","",COUNTIFS('2.현장'!$V$2:$V$1001,B262,'2.현장'!$U$2:$U$1001,"설계사"))</f>
        <v/>
      </c>
      <c r="E262">
        <f>IF(B262="","",COUNTIFS('2.현장'!$V$2:$V$1001,B262,'2.현장'!$U$2:$U$1001,"시공사"))</f>
        <v/>
      </c>
      <c r="F262" s="5">
        <f>IF(B262="","",_xlfn.MAXIFS('2.현장'!$D$2:$D$1001,'2.현장'!$V$2:$V$1001,B262,'2.현장'!$T$2:$T$1001,TRUE))</f>
        <v/>
      </c>
      <c r="G262" s="6">
        <f>IF(B262="","",IF(_xlfn.MAXIFS('2.현장'!$L$2:$L$1001,'2.현장'!$V$2:$V$1001,B262,'2.현장'!$T$2:$T$1001,TRUE)=0,"",_xlfn.MAXIFS('2.현장'!$L$2:$L$1001,'2.현장'!$V$2:$V$1001,B262,'2.현장'!$T$2:$T$1001,TRUE)))</f>
        <v/>
      </c>
      <c r="H262">
        <f>IF(B262="","",IFERROR(INDEX('2.현장'!$C$2:$C$1001,IFERROR(MATCH(B262&amp;"|설계사",'2.현장'!$Z$2:$Z$1001,0),IFERROR(MATCH(B262&amp;"|시공사",'2.현장'!$Z$2:$Z$1001,0),MATCH(B262&amp;"|늦음",'2.현장'!$Z$2:$Z$1001,0)))),""))</f>
        <v/>
      </c>
      <c r="I262">
        <f>IF(B262="","",IFERROR(INDEX('2.현장'!$N$2:$N$1001,IFERROR(MATCH(B262&amp;"|설계사",'2.현장'!$Z$2:$Z$1001,0),IFERROR(MATCH(B262&amp;"|시공사",'2.현장'!$Z$2:$Z$1001,0),MATCH(B262&amp;"|늦음",'2.현장'!$Z$2:$Z$1001,0)))),""))</f>
        <v/>
      </c>
      <c r="J262">
        <f>IF(B262="","",IFERROR(VLOOKUP(B262,설계사_메모!$A$3:$G$302,2,FALSE)&amp;"",""))</f>
        <v/>
      </c>
      <c r="K262">
        <f>IF(B262="","",IFERROR(VLOOKUP(B262,설계사_메모!$A$3:$G$302,4,FALSE)&amp;"",""))</f>
        <v/>
      </c>
      <c r="L262" s="6">
        <f>IF(B262="","",IF(COUNTIF('4.방문기록'!$B$3:$B$502,B262)=0,"",_xlfn.MAXIFS('4.방문기록'!$A$3:$A$502,'4.방문기록'!$B$3:$B$502,B262)))</f>
        <v/>
      </c>
      <c r="M262">
        <f>IF(L262="","",설정!$B$24-L262)</f>
        <v/>
      </c>
      <c r="N262" s="6">
        <f>IF(B262="","",IF(_xlfn.MAXIFS('4.방문기록'!$F$3:$F$502,'4.방문기록'!$B$3:$B$502,B262)=0,"",_xlfn.MAXIFS('4.방문기록'!$F$3:$F$502,'4.방문기록'!$B$3:$B$502,B262)))</f>
        <v/>
      </c>
      <c r="O262">
        <f>IF(L262="","",IFERROR(INDEX('4.방문기록'!$H$3:$H$502,MATCH(B262&amp;"|"&amp;(L262*1),'4.방문기록'!$I$3:$I$502,0))&amp;"",""))</f>
        <v/>
      </c>
      <c r="P262">
        <f>IF(B262="","",IF(O262="관심 없음","제외",IF(L262="","안 가봄",IF(M262&gt;=설정!$B$20,M262&amp;"일 지남","최근 방문"))))</f>
        <v/>
      </c>
      <c r="Q262" s="7">
        <f>IF(B262="","",IF(P262="제외","",IF(AND(설정!$B$21&lt;&gt;"",I262&lt;&gt;설정!$B$21),"",IF(AND(N262&lt;&gt;"",N262&gt;N(L262),N262&lt;=설정!$B$24+7),100+7-(N262-설정!$B$24),IF(AND(D262&gt;0,OR(P262="안 가봄",RIGHT(P262,2)="지남")),D262*10+IF(L262="",30,MIN(M262,60)/2)+MIN(N(F262)/1000,20),"")))))</f>
        <v/>
      </c>
      <c r="R262">
        <f>IF(Q262="","",COUNTIF(Q$4:Q$303,"&gt;"&amp;Q262)+COUNTIF(Q$4:Q262,Q262))</f>
        <v/>
      </c>
    </row>
    <row r="263">
      <c r="A263">
        <f>IF(B263="","",260)</f>
        <v/>
      </c>
      <c r="B263">
        <f>IFERROR(INDEX('2.현장'!$V$2:$V$1001,MATCH(260,'2.현장'!$W$2:$W$1001,0)),"")</f>
        <v/>
      </c>
      <c r="C263">
        <f>IF(B263="","",COUNTIFS('2.현장'!$V$2:$V$1001,B263,'2.현장'!$T$2:$T$1001,TRUE))</f>
        <v/>
      </c>
      <c r="D263">
        <f>IF(B263="","",COUNTIFS('2.현장'!$V$2:$V$1001,B263,'2.현장'!$U$2:$U$1001,"설계사"))</f>
        <v/>
      </c>
      <c r="E263">
        <f>IF(B263="","",COUNTIFS('2.현장'!$V$2:$V$1001,B263,'2.현장'!$U$2:$U$1001,"시공사"))</f>
        <v/>
      </c>
      <c r="F263" s="5">
        <f>IF(B263="","",_xlfn.MAXIFS('2.현장'!$D$2:$D$1001,'2.현장'!$V$2:$V$1001,B263,'2.현장'!$T$2:$T$1001,TRUE))</f>
        <v/>
      </c>
      <c r="G263" s="6">
        <f>IF(B263="","",IF(_xlfn.MAXIFS('2.현장'!$L$2:$L$1001,'2.현장'!$V$2:$V$1001,B263,'2.현장'!$T$2:$T$1001,TRUE)=0,"",_xlfn.MAXIFS('2.현장'!$L$2:$L$1001,'2.현장'!$V$2:$V$1001,B263,'2.현장'!$T$2:$T$1001,TRUE)))</f>
        <v/>
      </c>
      <c r="H263">
        <f>IF(B263="","",IFERROR(INDEX('2.현장'!$C$2:$C$1001,IFERROR(MATCH(B263&amp;"|설계사",'2.현장'!$Z$2:$Z$1001,0),IFERROR(MATCH(B263&amp;"|시공사",'2.현장'!$Z$2:$Z$1001,0),MATCH(B263&amp;"|늦음",'2.현장'!$Z$2:$Z$1001,0)))),""))</f>
        <v/>
      </c>
      <c r="I263">
        <f>IF(B263="","",IFERROR(INDEX('2.현장'!$N$2:$N$1001,IFERROR(MATCH(B263&amp;"|설계사",'2.현장'!$Z$2:$Z$1001,0),IFERROR(MATCH(B263&amp;"|시공사",'2.현장'!$Z$2:$Z$1001,0),MATCH(B263&amp;"|늦음",'2.현장'!$Z$2:$Z$1001,0)))),""))</f>
        <v/>
      </c>
      <c r="J263">
        <f>IF(B263="","",IFERROR(VLOOKUP(B263,설계사_메모!$A$3:$G$302,2,FALSE)&amp;"",""))</f>
        <v/>
      </c>
      <c r="K263">
        <f>IF(B263="","",IFERROR(VLOOKUP(B263,설계사_메모!$A$3:$G$302,4,FALSE)&amp;"",""))</f>
        <v/>
      </c>
      <c r="L263" s="6">
        <f>IF(B263="","",IF(COUNTIF('4.방문기록'!$B$3:$B$502,B263)=0,"",_xlfn.MAXIFS('4.방문기록'!$A$3:$A$502,'4.방문기록'!$B$3:$B$502,B263)))</f>
        <v/>
      </c>
      <c r="M263">
        <f>IF(L263="","",설정!$B$24-L263)</f>
        <v/>
      </c>
      <c r="N263" s="6">
        <f>IF(B263="","",IF(_xlfn.MAXIFS('4.방문기록'!$F$3:$F$502,'4.방문기록'!$B$3:$B$502,B263)=0,"",_xlfn.MAXIFS('4.방문기록'!$F$3:$F$502,'4.방문기록'!$B$3:$B$502,B263)))</f>
        <v/>
      </c>
      <c r="O263">
        <f>IF(L263="","",IFERROR(INDEX('4.방문기록'!$H$3:$H$502,MATCH(B263&amp;"|"&amp;(L263*1),'4.방문기록'!$I$3:$I$502,0))&amp;"",""))</f>
        <v/>
      </c>
      <c r="P263">
        <f>IF(B263="","",IF(O263="관심 없음","제외",IF(L263="","안 가봄",IF(M263&gt;=설정!$B$20,M263&amp;"일 지남","최근 방문"))))</f>
        <v/>
      </c>
      <c r="Q263" s="7">
        <f>IF(B263="","",IF(P263="제외","",IF(AND(설정!$B$21&lt;&gt;"",I263&lt;&gt;설정!$B$21),"",IF(AND(N263&lt;&gt;"",N263&gt;N(L263),N263&lt;=설정!$B$24+7),100+7-(N263-설정!$B$24),IF(AND(D263&gt;0,OR(P263="안 가봄",RIGHT(P263,2)="지남")),D263*10+IF(L263="",30,MIN(M263,60)/2)+MIN(N(F263)/1000,20),"")))))</f>
        <v/>
      </c>
      <c r="R263">
        <f>IF(Q263="","",COUNTIF(Q$4:Q$303,"&gt;"&amp;Q263)+COUNTIF(Q$4:Q263,Q263))</f>
        <v/>
      </c>
    </row>
    <row r="264">
      <c r="A264">
        <f>IF(B264="","",261)</f>
        <v/>
      </c>
      <c r="B264">
        <f>IFERROR(INDEX('2.현장'!$V$2:$V$1001,MATCH(261,'2.현장'!$W$2:$W$1001,0)),"")</f>
        <v/>
      </c>
      <c r="C264">
        <f>IF(B264="","",COUNTIFS('2.현장'!$V$2:$V$1001,B264,'2.현장'!$T$2:$T$1001,TRUE))</f>
        <v/>
      </c>
      <c r="D264">
        <f>IF(B264="","",COUNTIFS('2.현장'!$V$2:$V$1001,B264,'2.현장'!$U$2:$U$1001,"설계사"))</f>
        <v/>
      </c>
      <c r="E264">
        <f>IF(B264="","",COUNTIFS('2.현장'!$V$2:$V$1001,B264,'2.현장'!$U$2:$U$1001,"시공사"))</f>
        <v/>
      </c>
      <c r="F264" s="5">
        <f>IF(B264="","",_xlfn.MAXIFS('2.현장'!$D$2:$D$1001,'2.현장'!$V$2:$V$1001,B264,'2.현장'!$T$2:$T$1001,TRUE))</f>
        <v/>
      </c>
      <c r="G264" s="6">
        <f>IF(B264="","",IF(_xlfn.MAXIFS('2.현장'!$L$2:$L$1001,'2.현장'!$V$2:$V$1001,B264,'2.현장'!$T$2:$T$1001,TRUE)=0,"",_xlfn.MAXIFS('2.현장'!$L$2:$L$1001,'2.현장'!$V$2:$V$1001,B264,'2.현장'!$T$2:$T$1001,TRUE)))</f>
        <v/>
      </c>
      <c r="H264">
        <f>IF(B264="","",IFERROR(INDEX('2.현장'!$C$2:$C$1001,IFERROR(MATCH(B264&amp;"|설계사",'2.현장'!$Z$2:$Z$1001,0),IFERROR(MATCH(B264&amp;"|시공사",'2.현장'!$Z$2:$Z$1001,0),MATCH(B264&amp;"|늦음",'2.현장'!$Z$2:$Z$1001,0)))),""))</f>
        <v/>
      </c>
      <c r="I264">
        <f>IF(B264="","",IFERROR(INDEX('2.현장'!$N$2:$N$1001,IFERROR(MATCH(B264&amp;"|설계사",'2.현장'!$Z$2:$Z$1001,0),IFERROR(MATCH(B264&amp;"|시공사",'2.현장'!$Z$2:$Z$1001,0),MATCH(B264&amp;"|늦음",'2.현장'!$Z$2:$Z$1001,0)))),""))</f>
        <v/>
      </c>
      <c r="J264">
        <f>IF(B264="","",IFERROR(VLOOKUP(B264,설계사_메모!$A$3:$G$302,2,FALSE)&amp;"",""))</f>
        <v/>
      </c>
      <c r="K264">
        <f>IF(B264="","",IFERROR(VLOOKUP(B264,설계사_메모!$A$3:$G$302,4,FALSE)&amp;"",""))</f>
        <v/>
      </c>
      <c r="L264" s="6">
        <f>IF(B264="","",IF(COUNTIF('4.방문기록'!$B$3:$B$502,B264)=0,"",_xlfn.MAXIFS('4.방문기록'!$A$3:$A$502,'4.방문기록'!$B$3:$B$502,B264)))</f>
        <v/>
      </c>
      <c r="M264">
        <f>IF(L264="","",설정!$B$24-L264)</f>
        <v/>
      </c>
      <c r="N264" s="6">
        <f>IF(B264="","",IF(_xlfn.MAXIFS('4.방문기록'!$F$3:$F$502,'4.방문기록'!$B$3:$B$502,B264)=0,"",_xlfn.MAXIFS('4.방문기록'!$F$3:$F$502,'4.방문기록'!$B$3:$B$502,B264)))</f>
        <v/>
      </c>
      <c r="O264">
        <f>IF(L264="","",IFERROR(INDEX('4.방문기록'!$H$3:$H$502,MATCH(B264&amp;"|"&amp;(L264*1),'4.방문기록'!$I$3:$I$502,0))&amp;"",""))</f>
        <v/>
      </c>
      <c r="P264">
        <f>IF(B264="","",IF(O264="관심 없음","제외",IF(L264="","안 가봄",IF(M264&gt;=설정!$B$20,M264&amp;"일 지남","최근 방문"))))</f>
        <v/>
      </c>
      <c r="Q264" s="7">
        <f>IF(B264="","",IF(P264="제외","",IF(AND(설정!$B$21&lt;&gt;"",I264&lt;&gt;설정!$B$21),"",IF(AND(N264&lt;&gt;"",N264&gt;N(L264),N264&lt;=설정!$B$24+7),100+7-(N264-설정!$B$24),IF(AND(D264&gt;0,OR(P264="안 가봄",RIGHT(P264,2)="지남")),D264*10+IF(L264="",30,MIN(M264,60)/2)+MIN(N(F264)/1000,20),"")))))</f>
        <v/>
      </c>
      <c r="R264">
        <f>IF(Q264="","",COUNTIF(Q$4:Q$303,"&gt;"&amp;Q264)+COUNTIF(Q$4:Q264,Q264))</f>
        <v/>
      </c>
    </row>
    <row r="265">
      <c r="A265">
        <f>IF(B265="","",262)</f>
        <v/>
      </c>
      <c r="B265">
        <f>IFERROR(INDEX('2.현장'!$V$2:$V$1001,MATCH(262,'2.현장'!$W$2:$W$1001,0)),"")</f>
        <v/>
      </c>
      <c r="C265">
        <f>IF(B265="","",COUNTIFS('2.현장'!$V$2:$V$1001,B265,'2.현장'!$T$2:$T$1001,TRUE))</f>
        <v/>
      </c>
      <c r="D265">
        <f>IF(B265="","",COUNTIFS('2.현장'!$V$2:$V$1001,B265,'2.현장'!$U$2:$U$1001,"설계사"))</f>
        <v/>
      </c>
      <c r="E265">
        <f>IF(B265="","",COUNTIFS('2.현장'!$V$2:$V$1001,B265,'2.현장'!$U$2:$U$1001,"시공사"))</f>
        <v/>
      </c>
      <c r="F265" s="5">
        <f>IF(B265="","",_xlfn.MAXIFS('2.현장'!$D$2:$D$1001,'2.현장'!$V$2:$V$1001,B265,'2.현장'!$T$2:$T$1001,TRUE))</f>
        <v/>
      </c>
      <c r="G265" s="6">
        <f>IF(B265="","",IF(_xlfn.MAXIFS('2.현장'!$L$2:$L$1001,'2.현장'!$V$2:$V$1001,B265,'2.현장'!$T$2:$T$1001,TRUE)=0,"",_xlfn.MAXIFS('2.현장'!$L$2:$L$1001,'2.현장'!$V$2:$V$1001,B265,'2.현장'!$T$2:$T$1001,TRUE)))</f>
        <v/>
      </c>
      <c r="H265">
        <f>IF(B265="","",IFERROR(INDEX('2.현장'!$C$2:$C$1001,IFERROR(MATCH(B265&amp;"|설계사",'2.현장'!$Z$2:$Z$1001,0),IFERROR(MATCH(B265&amp;"|시공사",'2.현장'!$Z$2:$Z$1001,0),MATCH(B265&amp;"|늦음",'2.현장'!$Z$2:$Z$1001,0)))),""))</f>
        <v/>
      </c>
      <c r="I265">
        <f>IF(B265="","",IFERROR(INDEX('2.현장'!$N$2:$N$1001,IFERROR(MATCH(B265&amp;"|설계사",'2.현장'!$Z$2:$Z$1001,0),IFERROR(MATCH(B265&amp;"|시공사",'2.현장'!$Z$2:$Z$1001,0),MATCH(B265&amp;"|늦음",'2.현장'!$Z$2:$Z$1001,0)))),""))</f>
        <v/>
      </c>
      <c r="J265">
        <f>IF(B265="","",IFERROR(VLOOKUP(B265,설계사_메모!$A$3:$G$302,2,FALSE)&amp;"",""))</f>
        <v/>
      </c>
      <c r="K265">
        <f>IF(B265="","",IFERROR(VLOOKUP(B265,설계사_메모!$A$3:$G$302,4,FALSE)&amp;"",""))</f>
        <v/>
      </c>
      <c r="L265" s="6">
        <f>IF(B265="","",IF(COUNTIF('4.방문기록'!$B$3:$B$502,B265)=0,"",_xlfn.MAXIFS('4.방문기록'!$A$3:$A$502,'4.방문기록'!$B$3:$B$502,B265)))</f>
        <v/>
      </c>
      <c r="M265">
        <f>IF(L265="","",설정!$B$24-L265)</f>
        <v/>
      </c>
      <c r="N265" s="6">
        <f>IF(B265="","",IF(_xlfn.MAXIFS('4.방문기록'!$F$3:$F$502,'4.방문기록'!$B$3:$B$502,B265)=0,"",_xlfn.MAXIFS('4.방문기록'!$F$3:$F$502,'4.방문기록'!$B$3:$B$502,B265)))</f>
        <v/>
      </c>
      <c r="O265">
        <f>IF(L265="","",IFERROR(INDEX('4.방문기록'!$H$3:$H$502,MATCH(B265&amp;"|"&amp;(L265*1),'4.방문기록'!$I$3:$I$502,0))&amp;"",""))</f>
        <v/>
      </c>
      <c r="P265">
        <f>IF(B265="","",IF(O265="관심 없음","제외",IF(L265="","안 가봄",IF(M265&gt;=설정!$B$20,M265&amp;"일 지남","최근 방문"))))</f>
        <v/>
      </c>
      <c r="Q265" s="7">
        <f>IF(B265="","",IF(P265="제외","",IF(AND(설정!$B$21&lt;&gt;"",I265&lt;&gt;설정!$B$21),"",IF(AND(N265&lt;&gt;"",N265&gt;N(L265),N265&lt;=설정!$B$24+7),100+7-(N265-설정!$B$24),IF(AND(D265&gt;0,OR(P265="안 가봄",RIGHT(P265,2)="지남")),D265*10+IF(L265="",30,MIN(M265,60)/2)+MIN(N(F265)/1000,20),"")))))</f>
        <v/>
      </c>
      <c r="R265">
        <f>IF(Q265="","",COUNTIF(Q$4:Q$303,"&gt;"&amp;Q265)+COUNTIF(Q$4:Q265,Q265))</f>
        <v/>
      </c>
    </row>
    <row r="266">
      <c r="A266">
        <f>IF(B266="","",263)</f>
        <v/>
      </c>
      <c r="B266">
        <f>IFERROR(INDEX('2.현장'!$V$2:$V$1001,MATCH(263,'2.현장'!$W$2:$W$1001,0)),"")</f>
        <v/>
      </c>
      <c r="C266">
        <f>IF(B266="","",COUNTIFS('2.현장'!$V$2:$V$1001,B266,'2.현장'!$T$2:$T$1001,TRUE))</f>
        <v/>
      </c>
      <c r="D266">
        <f>IF(B266="","",COUNTIFS('2.현장'!$V$2:$V$1001,B266,'2.현장'!$U$2:$U$1001,"설계사"))</f>
        <v/>
      </c>
      <c r="E266">
        <f>IF(B266="","",COUNTIFS('2.현장'!$V$2:$V$1001,B266,'2.현장'!$U$2:$U$1001,"시공사"))</f>
        <v/>
      </c>
      <c r="F266" s="5">
        <f>IF(B266="","",_xlfn.MAXIFS('2.현장'!$D$2:$D$1001,'2.현장'!$V$2:$V$1001,B266,'2.현장'!$T$2:$T$1001,TRUE))</f>
        <v/>
      </c>
      <c r="G266" s="6">
        <f>IF(B266="","",IF(_xlfn.MAXIFS('2.현장'!$L$2:$L$1001,'2.현장'!$V$2:$V$1001,B266,'2.현장'!$T$2:$T$1001,TRUE)=0,"",_xlfn.MAXIFS('2.현장'!$L$2:$L$1001,'2.현장'!$V$2:$V$1001,B266,'2.현장'!$T$2:$T$1001,TRUE)))</f>
        <v/>
      </c>
      <c r="H266">
        <f>IF(B266="","",IFERROR(INDEX('2.현장'!$C$2:$C$1001,IFERROR(MATCH(B266&amp;"|설계사",'2.현장'!$Z$2:$Z$1001,0),IFERROR(MATCH(B266&amp;"|시공사",'2.현장'!$Z$2:$Z$1001,0),MATCH(B266&amp;"|늦음",'2.현장'!$Z$2:$Z$1001,0)))),""))</f>
        <v/>
      </c>
      <c r="I266">
        <f>IF(B266="","",IFERROR(INDEX('2.현장'!$N$2:$N$1001,IFERROR(MATCH(B266&amp;"|설계사",'2.현장'!$Z$2:$Z$1001,0),IFERROR(MATCH(B266&amp;"|시공사",'2.현장'!$Z$2:$Z$1001,0),MATCH(B266&amp;"|늦음",'2.현장'!$Z$2:$Z$1001,0)))),""))</f>
        <v/>
      </c>
      <c r="J266">
        <f>IF(B266="","",IFERROR(VLOOKUP(B266,설계사_메모!$A$3:$G$302,2,FALSE)&amp;"",""))</f>
        <v/>
      </c>
      <c r="K266">
        <f>IF(B266="","",IFERROR(VLOOKUP(B266,설계사_메모!$A$3:$G$302,4,FALSE)&amp;"",""))</f>
        <v/>
      </c>
      <c r="L266" s="6">
        <f>IF(B266="","",IF(COUNTIF('4.방문기록'!$B$3:$B$502,B266)=0,"",_xlfn.MAXIFS('4.방문기록'!$A$3:$A$502,'4.방문기록'!$B$3:$B$502,B266)))</f>
        <v/>
      </c>
      <c r="M266">
        <f>IF(L266="","",설정!$B$24-L266)</f>
        <v/>
      </c>
      <c r="N266" s="6">
        <f>IF(B266="","",IF(_xlfn.MAXIFS('4.방문기록'!$F$3:$F$502,'4.방문기록'!$B$3:$B$502,B266)=0,"",_xlfn.MAXIFS('4.방문기록'!$F$3:$F$502,'4.방문기록'!$B$3:$B$502,B266)))</f>
        <v/>
      </c>
      <c r="O266">
        <f>IF(L266="","",IFERROR(INDEX('4.방문기록'!$H$3:$H$502,MATCH(B266&amp;"|"&amp;(L266*1),'4.방문기록'!$I$3:$I$502,0))&amp;"",""))</f>
        <v/>
      </c>
      <c r="P266">
        <f>IF(B266="","",IF(O266="관심 없음","제외",IF(L266="","안 가봄",IF(M266&gt;=설정!$B$20,M266&amp;"일 지남","최근 방문"))))</f>
        <v/>
      </c>
      <c r="Q266" s="7">
        <f>IF(B266="","",IF(P266="제외","",IF(AND(설정!$B$21&lt;&gt;"",I266&lt;&gt;설정!$B$21),"",IF(AND(N266&lt;&gt;"",N266&gt;N(L266),N266&lt;=설정!$B$24+7),100+7-(N266-설정!$B$24),IF(AND(D266&gt;0,OR(P266="안 가봄",RIGHT(P266,2)="지남")),D266*10+IF(L266="",30,MIN(M266,60)/2)+MIN(N(F266)/1000,20),"")))))</f>
        <v/>
      </c>
      <c r="R266">
        <f>IF(Q266="","",COUNTIF(Q$4:Q$303,"&gt;"&amp;Q266)+COUNTIF(Q$4:Q266,Q266))</f>
        <v/>
      </c>
    </row>
    <row r="267">
      <c r="A267">
        <f>IF(B267="","",264)</f>
        <v/>
      </c>
      <c r="B267">
        <f>IFERROR(INDEX('2.현장'!$V$2:$V$1001,MATCH(264,'2.현장'!$W$2:$W$1001,0)),"")</f>
        <v/>
      </c>
      <c r="C267">
        <f>IF(B267="","",COUNTIFS('2.현장'!$V$2:$V$1001,B267,'2.현장'!$T$2:$T$1001,TRUE))</f>
        <v/>
      </c>
      <c r="D267">
        <f>IF(B267="","",COUNTIFS('2.현장'!$V$2:$V$1001,B267,'2.현장'!$U$2:$U$1001,"설계사"))</f>
        <v/>
      </c>
      <c r="E267">
        <f>IF(B267="","",COUNTIFS('2.현장'!$V$2:$V$1001,B267,'2.현장'!$U$2:$U$1001,"시공사"))</f>
        <v/>
      </c>
      <c r="F267" s="5">
        <f>IF(B267="","",_xlfn.MAXIFS('2.현장'!$D$2:$D$1001,'2.현장'!$V$2:$V$1001,B267,'2.현장'!$T$2:$T$1001,TRUE))</f>
        <v/>
      </c>
      <c r="G267" s="6">
        <f>IF(B267="","",IF(_xlfn.MAXIFS('2.현장'!$L$2:$L$1001,'2.현장'!$V$2:$V$1001,B267,'2.현장'!$T$2:$T$1001,TRUE)=0,"",_xlfn.MAXIFS('2.현장'!$L$2:$L$1001,'2.현장'!$V$2:$V$1001,B267,'2.현장'!$T$2:$T$1001,TRUE)))</f>
        <v/>
      </c>
      <c r="H267">
        <f>IF(B267="","",IFERROR(INDEX('2.현장'!$C$2:$C$1001,IFERROR(MATCH(B267&amp;"|설계사",'2.현장'!$Z$2:$Z$1001,0),IFERROR(MATCH(B267&amp;"|시공사",'2.현장'!$Z$2:$Z$1001,0),MATCH(B267&amp;"|늦음",'2.현장'!$Z$2:$Z$1001,0)))),""))</f>
        <v/>
      </c>
      <c r="I267">
        <f>IF(B267="","",IFERROR(INDEX('2.현장'!$N$2:$N$1001,IFERROR(MATCH(B267&amp;"|설계사",'2.현장'!$Z$2:$Z$1001,0),IFERROR(MATCH(B267&amp;"|시공사",'2.현장'!$Z$2:$Z$1001,0),MATCH(B267&amp;"|늦음",'2.현장'!$Z$2:$Z$1001,0)))),""))</f>
        <v/>
      </c>
      <c r="J267">
        <f>IF(B267="","",IFERROR(VLOOKUP(B267,설계사_메모!$A$3:$G$302,2,FALSE)&amp;"",""))</f>
        <v/>
      </c>
      <c r="K267">
        <f>IF(B267="","",IFERROR(VLOOKUP(B267,설계사_메모!$A$3:$G$302,4,FALSE)&amp;"",""))</f>
        <v/>
      </c>
      <c r="L267" s="6">
        <f>IF(B267="","",IF(COUNTIF('4.방문기록'!$B$3:$B$502,B267)=0,"",_xlfn.MAXIFS('4.방문기록'!$A$3:$A$502,'4.방문기록'!$B$3:$B$502,B267)))</f>
        <v/>
      </c>
      <c r="M267">
        <f>IF(L267="","",설정!$B$24-L267)</f>
        <v/>
      </c>
      <c r="N267" s="6">
        <f>IF(B267="","",IF(_xlfn.MAXIFS('4.방문기록'!$F$3:$F$502,'4.방문기록'!$B$3:$B$502,B267)=0,"",_xlfn.MAXIFS('4.방문기록'!$F$3:$F$502,'4.방문기록'!$B$3:$B$502,B267)))</f>
        <v/>
      </c>
      <c r="O267">
        <f>IF(L267="","",IFERROR(INDEX('4.방문기록'!$H$3:$H$502,MATCH(B267&amp;"|"&amp;(L267*1),'4.방문기록'!$I$3:$I$502,0))&amp;"",""))</f>
        <v/>
      </c>
      <c r="P267">
        <f>IF(B267="","",IF(O267="관심 없음","제외",IF(L267="","안 가봄",IF(M267&gt;=설정!$B$20,M267&amp;"일 지남","최근 방문"))))</f>
        <v/>
      </c>
      <c r="Q267" s="7">
        <f>IF(B267="","",IF(P267="제외","",IF(AND(설정!$B$21&lt;&gt;"",I267&lt;&gt;설정!$B$21),"",IF(AND(N267&lt;&gt;"",N267&gt;N(L267),N267&lt;=설정!$B$24+7),100+7-(N267-설정!$B$24),IF(AND(D267&gt;0,OR(P267="안 가봄",RIGHT(P267,2)="지남")),D267*10+IF(L267="",30,MIN(M267,60)/2)+MIN(N(F267)/1000,20),"")))))</f>
        <v/>
      </c>
      <c r="R267">
        <f>IF(Q267="","",COUNTIF(Q$4:Q$303,"&gt;"&amp;Q267)+COUNTIF(Q$4:Q267,Q267))</f>
        <v/>
      </c>
    </row>
    <row r="268">
      <c r="A268">
        <f>IF(B268="","",265)</f>
        <v/>
      </c>
      <c r="B268">
        <f>IFERROR(INDEX('2.현장'!$V$2:$V$1001,MATCH(265,'2.현장'!$W$2:$W$1001,0)),"")</f>
        <v/>
      </c>
      <c r="C268">
        <f>IF(B268="","",COUNTIFS('2.현장'!$V$2:$V$1001,B268,'2.현장'!$T$2:$T$1001,TRUE))</f>
        <v/>
      </c>
      <c r="D268">
        <f>IF(B268="","",COUNTIFS('2.현장'!$V$2:$V$1001,B268,'2.현장'!$U$2:$U$1001,"설계사"))</f>
        <v/>
      </c>
      <c r="E268">
        <f>IF(B268="","",COUNTIFS('2.현장'!$V$2:$V$1001,B268,'2.현장'!$U$2:$U$1001,"시공사"))</f>
        <v/>
      </c>
      <c r="F268" s="5">
        <f>IF(B268="","",_xlfn.MAXIFS('2.현장'!$D$2:$D$1001,'2.현장'!$V$2:$V$1001,B268,'2.현장'!$T$2:$T$1001,TRUE))</f>
        <v/>
      </c>
      <c r="G268" s="6">
        <f>IF(B268="","",IF(_xlfn.MAXIFS('2.현장'!$L$2:$L$1001,'2.현장'!$V$2:$V$1001,B268,'2.현장'!$T$2:$T$1001,TRUE)=0,"",_xlfn.MAXIFS('2.현장'!$L$2:$L$1001,'2.현장'!$V$2:$V$1001,B268,'2.현장'!$T$2:$T$1001,TRUE)))</f>
        <v/>
      </c>
      <c r="H268">
        <f>IF(B268="","",IFERROR(INDEX('2.현장'!$C$2:$C$1001,IFERROR(MATCH(B268&amp;"|설계사",'2.현장'!$Z$2:$Z$1001,0),IFERROR(MATCH(B268&amp;"|시공사",'2.현장'!$Z$2:$Z$1001,0),MATCH(B268&amp;"|늦음",'2.현장'!$Z$2:$Z$1001,0)))),""))</f>
        <v/>
      </c>
      <c r="I268">
        <f>IF(B268="","",IFERROR(INDEX('2.현장'!$N$2:$N$1001,IFERROR(MATCH(B268&amp;"|설계사",'2.현장'!$Z$2:$Z$1001,0),IFERROR(MATCH(B268&amp;"|시공사",'2.현장'!$Z$2:$Z$1001,0),MATCH(B268&amp;"|늦음",'2.현장'!$Z$2:$Z$1001,0)))),""))</f>
        <v/>
      </c>
      <c r="J268">
        <f>IF(B268="","",IFERROR(VLOOKUP(B268,설계사_메모!$A$3:$G$302,2,FALSE)&amp;"",""))</f>
        <v/>
      </c>
      <c r="K268">
        <f>IF(B268="","",IFERROR(VLOOKUP(B268,설계사_메모!$A$3:$G$302,4,FALSE)&amp;"",""))</f>
        <v/>
      </c>
      <c r="L268" s="6">
        <f>IF(B268="","",IF(COUNTIF('4.방문기록'!$B$3:$B$502,B268)=0,"",_xlfn.MAXIFS('4.방문기록'!$A$3:$A$502,'4.방문기록'!$B$3:$B$502,B268)))</f>
        <v/>
      </c>
      <c r="M268">
        <f>IF(L268="","",설정!$B$24-L268)</f>
        <v/>
      </c>
      <c r="N268" s="6">
        <f>IF(B268="","",IF(_xlfn.MAXIFS('4.방문기록'!$F$3:$F$502,'4.방문기록'!$B$3:$B$502,B268)=0,"",_xlfn.MAXIFS('4.방문기록'!$F$3:$F$502,'4.방문기록'!$B$3:$B$502,B268)))</f>
        <v/>
      </c>
      <c r="O268">
        <f>IF(L268="","",IFERROR(INDEX('4.방문기록'!$H$3:$H$502,MATCH(B268&amp;"|"&amp;(L268*1),'4.방문기록'!$I$3:$I$502,0))&amp;"",""))</f>
        <v/>
      </c>
      <c r="P268">
        <f>IF(B268="","",IF(O268="관심 없음","제외",IF(L268="","안 가봄",IF(M268&gt;=설정!$B$20,M268&amp;"일 지남","최근 방문"))))</f>
        <v/>
      </c>
      <c r="Q268" s="7">
        <f>IF(B268="","",IF(P268="제외","",IF(AND(설정!$B$21&lt;&gt;"",I268&lt;&gt;설정!$B$21),"",IF(AND(N268&lt;&gt;"",N268&gt;N(L268),N268&lt;=설정!$B$24+7),100+7-(N268-설정!$B$24),IF(AND(D268&gt;0,OR(P268="안 가봄",RIGHT(P268,2)="지남")),D268*10+IF(L268="",30,MIN(M268,60)/2)+MIN(N(F268)/1000,20),"")))))</f>
        <v/>
      </c>
      <c r="R268">
        <f>IF(Q268="","",COUNTIF(Q$4:Q$303,"&gt;"&amp;Q268)+COUNTIF(Q$4:Q268,Q268))</f>
        <v/>
      </c>
    </row>
    <row r="269">
      <c r="A269">
        <f>IF(B269="","",266)</f>
        <v/>
      </c>
      <c r="B269">
        <f>IFERROR(INDEX('2.현장'!$V$2:$V$1001,MATCH(266,'2.현장'!$W$2:$W$1001,0)),"")</f>
        <v/>
      </c>
      <c r="C269">
        <f>IF(B269="","",COUNTIFS('2.현장'!$V$2:$V$1001,B269,'2.현장'!$T$2:$T$1001,TRUE))</f>
        <v/>
      </c>
      <c r="D269">
        <f>IF(B269="","",COUNTIFS('2.현장'!$V$2:$V$1001,B269,'2.현장'!$U$2:$U$1001,"설계사"))</f>
        <v/>
      </c>
      <c r="E269">
        <f>IF(B269="","",COUNTIFS('2.현장'!$V$2:$V$1001,B269,'2.현장'!$U$2:$U$1001,"시공사"))</f>
        <v/>
      </c>
      <c r="F269" s="5">
        <f>IF(B269="","",_xlfn.MAXIFS('2.현장'!$D$2:$D$1001,'2.현장'!$V$2:$V$1001,B269,'2.현장'!$T$2:$T$1001,TRUE))</f>
        <v/>
      </c>
      <c r="G269" s="6">
        <f>IF(B269="","",IF(_xlfn.MAXIFS('2.현장'!$L$2:$L$1001,'2.현장'!$V$2:$V$1001,B269,'2.현장'!$T$2:$T$1001,TRUE)=0,"",_xlfn.MAXIFS('2.현장'!$L$2:$L$1001,'2.현장'!$V$2:$V$1001,B269,'2.현장'!$T$2:$T$1001,TRUE)))</f>
        <v/>
      </c>
      <c r="H269">
        <f>IF(B269="","",IFERROR(INDEX('2.현장'!$C$2:$C$1001,IFERROR(MATCH(B269&amp;"|설계사",'2.현장'!$Z$2:$Z$1001,0),IFERROR(MATCH(B269&amp;"|시공사",'2.현장'!$Z$2:$Z$1001,0),MATCH(B269&amp;"|늦음",'2.현장'!$Z$2:$Z$1001,0)))),""))</f>
        <v/>
      </c>
      <c r="I269">
        <f>IF(B269="","",IFERROR(INDEX('2.현장'!$N$2:$N$1001,IFERROR(MATCH(B269&amp;"|설계사",'2.현장'!$Z$2:$Z$1001,0),IFERROR(MATCH(B269&amp;"|시공사",'2.현장'!$Z$2:$Z$1001,0),MATCH(B269&amp;"|늦음",'2.현장'!$Z$2:$Z$1001,0)))),""))</f>
        <v/>
      </c>
      <c r="J269">
        <f>IF(B269="","",IFERROR(VLOOKUP(B269,설계사_메모!$A$3:$G$302,2,FALSE)&amp;"",""))</f>
        <v/>
      </c>
      <c r="K269">
        <f>IF(B269="","",IFERROR(VLOOKUP(B269,설계사_메모!$A$3:$G$302,4,FALSE)&amp;"",""))</f>
        <v/>
      </c>
      <c r="L269" s="6">
        <f>IF(B269="","",IF(COUNTIF('4.방문기록'!$B$3:$B$502,B269)=0,"",_xlfn.MAXIFS('4.방문기록'!$A$3:$A$502,'4.방문기록'!$B$3:$B$502,B269)))</f>
        <v/>
      </c>
      <c r="M269">
        <f>IF(L269="","",설정!$B$24-L269)</f>
        <v/>
      </c>
      <c r="N269" s="6">
        <f>IF(B269="","",IF(_xlfn.MAXIFS('4.방문기록'!$F$3:$F$502,'4.방문기록'!$B$3:$B$502,B269)=0,"",_xlfn.MAXIFS('4.방문기록'!$F$3:$F$502,'4.방문기록'!$B$3:$B$502,B269)))</f>
        <v/>
      </c>
      <c r="O269">
        <f>IF(L269="","",IFERROR(INDEX('4.방문기록'!$H$3:$H$502,MATCH(B269&amp;"|"&amp;(L269*1),'4.방문기록'!$I$3:$I$502,0))&amp;"",""))</f>
        <v/>
      </c>
      <c r="P269">
        <f>IF(B269="","",IF(O269="관심 없음","제외",IF(L269="","안 가봄",IF(M269&gt;=설정!$B$20,M269&amp;"일 지남","최근 방문"))))</f>
        <v/>
      </c>
      <c r="Q269" s="7">
        <f>IF(B269="","",IF(P269="제외","",IF(AND(설정!$B$21&lt;&gt;"",I269&lt;&gt;설정!$B$21),"",IF(AND(N269&lt;&gt;"",N269&gt;N(L269),N269&lt;=설정!$B$24+7),100+7-(N269-설정!$B$24),IF(AND(D269&gt;0,OR(P269="안 가봄",RIGHT(P269,2)="지남")),D269*10+IF(L269="",30,MIN(M269,60)/2)+MIN(N(F269)/1000,20),"")))))</f>
        <v/>
      </c>
      <c r="R269">
        <f>IF(Q269="","",COUNTIF(Q$4:Q$303,"&gt;"&amp;Q269)+COUNTIF(Q$4:Q269,Q269))</f>
        <v/>
      </c>
    </row>
    <row r="270">
      <c r="A270">
        <f>IF(B270="","",267)</f>
        <v/>
      </c>
      <c r="B270">
        <f>IFERROR(INDEX('2.현장'!$V$2:$V$1001,MATCH(267,'2.현장'!$W$2:$W$1001,0)),"")</f>
        <v/>
      </c>
      <c r="C270">
        <f>IF(B270="","",COUNTIFS('2.현장'!$V$2:$V$1001,B270,'2.현장'!$T$2:$T$1001,TRUE))</f>
        <v/>
      </c>
      <c r="D270">
        <f>IF(B270="","",COUNTIFS('2.현장'!$V$2:$V$1001,B270,'2.현장'!$U$2:$U$1001,"설계사"))</f>
        <v/>
      </c>
      <c r="E270">
        <f>IF(B270="","",COUNTIFS('2.현장'!$V$2:$V$1001,B270,'2.현장'!$U$2:$U$1001,"시공사"))</f>
        <v/>
      </c>
      <c r="F270" s="5">
        <f>IF(B270="","",_xlfn.MAXIFS('2.현장'!$D$2:$D$1001,'2.현장'!$V$2:$V$1001,B270,'2.현장'!$T$2:$T$1001,TRUE))</f>
        <v/>
      </c>
      <c r="G270" s="6">
        <f>IF(B270="","",IF(_xlfn.MAXIFS('2.현장'!$L$2:$L$1001,'2.현장'!$V$2:$V$1001,B270,'2.현장'!$T$2:$T$1001,TRUE)=0,"",_xlfn.MAXIFS('2.현장'!$L$2:$L$1001,'2.현장'!$V$2:$V$1001,B270,'2.현장'!$T$2:$T$1001,TRUE)))</f>
        <v/>
      </c>
      <c r="H270">
        <f>IF(B270="","",IFERROR(INDEX('2.현장'!$C$2:$C$1001,IFERROR(MATCH(B270&amp;"|설계사",'2.현장'!$Z$2:$Z$1001,0),IFERROR(MATCH(B270&amp;"|시공사",'2.현장'!$Z$2:$Z$1001,0),MATCH(B270&amp;"|늦음",'2.현장'!$Z$2:$Z$1001,0)))),""))</f>
        <v/>
      </c>
      <c r="I270">
        <f>IF(B270="","",IFERROR(INDEX('2.현장'!$N$2:$N$1001,IFERROR(MATCH(B270&amp;"|설계사",'2.현장'!$Z$2:$Z$1001,0),IFERROR(MATCH(B270&amp;"|시공사",'2.현장'!$Z$2:$Z$1001,0),MATCH(B270&amp;"|늦음",'2.현장'!$Z$2:$Z$1001,0)))),""))</f>
        <v/>
      </c>
      <c r="J270">
        <f>IF(B270="","",IFERROR(VLOOKUP(B270,설계사_메모!$A$3:$G$302,2,FALSE)&amp;"",""))</f>
        <v/>
      </c>
      <c r="K270">
        <f>IF(B270="","",IFERROR(VLOOKUP(B270,설계사_메모!$A$3:$G$302,4,FALSE)&amp;"",""))</f>
        <v/>
      </c>
      <c r="L270" s="6">
        <f>IF(B270="","",IF(COUNTIF('4.방문기록'!$B$3:$B$502,B270)=0,"",_xlfn.MAXIFS('4.방문기록'!$A$3:$A$502,'4.방문기록'!$B$3:$B$502,B270)))</f>
        <v/>
      </c>
      <c r="M270">
        <f>IF(L270="","",설정!$B$24-L270)</f>
        <v/>
      </c>
      <c r="N270" s="6">
        <f>IF(B270="","",IF(_xlfn.MAXIFS('4.방문기록'!$F$3:$F$502,'4.방문기록'!$B$3:$B$502,B270)=0,"",_xlfn.MAXIFS('4.방문기록'!$F$3:$F$502,'4.방문기록'!$B$3:$B$502,B270)))</f>
        <v/>
      </c>
      <c r="O270">
        <f>IF(L270="","",IFERROR(INDEX('4.방문기록'!$H$3:$H$502,MATCH(B270&amp;"|"&amp;(L270*1),'4.방문기록'!$I$3:$I$502,0))&amp;"",""))</f>
        <v/>
      </c>
      <c r="P270">
        <f>IF(B270="","",IF(O270="관심 없음","제외",IF(L270="","안 가봄",IF(M270&gt;=설정!$B$20,M270&amp;"일 지남","최근 방문"))))</f>
        <v/>
      </c>
      <c r="Q270" s="7">
        <f>IF(B270="","",IF(P270="제외","",IF(AND(설정!$B$21&lt;&gt;"",I270&lt;&gt;설정!$B$21),"",IF(AND(N270&lt;&gt;"",N270&gt;N(L270),N270&lt;=설정!$B$24+7),100+7-(N270-설정!$B$24),IF(AND(D270&gt;0,OR(P270="안 가봄",RIGHT(P270,2)="지남")),D270*10+IF(L270="",30,MIN(M270,60)/2)+MIN(N(F270)/1000,20),"")))))</f>
        <v/>
      </c>
      <c r="R270">
        <f>IF(Q270="","",COUNTIF(Q$4:Q$303,"&gt;"&amp;Q270)+COUNTIF(Q$4:Q270,Q270))</f>
        <v/>
      </c>
    </row>
    <row r="271">
      <c r="A271">
        <f>IF(B271="","",268)</f>
        <v/>
      </c>
      <c r="B271">
        <f>IFERROR(INDEX('2.현장'!$V$2:$V$1001,MATCH(268,'2.현장'!$W$2:$W$1001,0)),"")</f>
        <v/>
      </c>
      <c r="C271">
        <f>IF(B271="","",COUNTIFS('2.현장'!$V$2:$V$1001,B271,'2.현장'!$T$2:$T$1001,TRUE))</f>
        <v/>
      </c>
      <c r="D271">
        <f>IF(B271="","",COUNTIFS('2.현장'!$V$2:$V$1001,B271,'2.현장'!$U$2:$U$1001,"설계사"))</f>
        <v/>
      </c>
      <c r="E271">
        <f>IF(B271="","",COUNTIFS('2.현장'!$V$2:$V$1001,B271,'2.현장'!$U$2:$U$1001,"시공사"))</f>
        <v/>
      </c>
      <c r="F271" s="5">
        <f>IF(B271="","",_xlfn.MAXIFS('2.현장'!$D$2:$D$1001,'2.현장'!$V$2:$V$1001,B271,'2.현장'!$T$2:$T$1001,TRUE))</f>
        <v/>
      </c>
      <c r="G271" s="6">
        <f>IF(B271="","",IF(_xlfn.MAXIFS('2.현장'!$L$2:$L$1001,'2.현장'!$V$2:$V$1001,B271,'2.현장'!$T$2:$T$1001,TRUE)=0,"",_xlfn.MAXIFS('2.현장'!$L$2:$L$1001,'2.현장'!$V$2:$V$1001,B271,'2.현장'!$T$2:$T$1001,TRUE)))</f>
        <v/>
      </c>
      <c r="H271">
        <f>IF(B271="","",IFERROR(INDEX('2.현장'!$C$2:$C$1001,IFERROR(MATCH(B271&amp;"|설계사",'2.현장'!$Z$2:$Z$1001,0),IFERROR(MATCH(B271&amp;"|시공사",'2.현장'!$Z$2:$Z$1001,0),MATCH(B271&amp;"|늦음",'2.현장'!$Z$2:$Z$1001,0)))),""))</f>
        <v/>
      </c>
      <c r="I271">
        <f>IF(B271="","",IFERROR(INDEX('2.현장'!$N$2:$N$1001,IFERROR(MATCH(B271&amp;"|설계사",'2.현장'!$Z$2:$Z$1001,0),IFERROR(MATCH(B271&amp;"|시공사",'2.현장'!$Z$2:$Z$1001,0),MATCH(B271&amp;"|늦음",'2.현장'!$Z$2:$Z$1001,0)))),""))</f>
        <v/>
      </c>
      <c r="J271">
        <f>IF(B271="","",IFERROR(VLOOKUP(B271,설계사_메모!$A$3:$G$302,2,FALSE)&amp;"",""))</f>
        <v/>
      </c>
      <c r="K271">
        <f>IF(B271="","",IFERROR(VLOOKUP(B271,설계사_메모!$A$3:$G$302,4,FALSE)&amp;"",""))</f>
        <v/>
      </c>
      <c r="L271" s="6">
        <f>IF(B271="","",IF(COUNTIF('4.방문기록'!$B$3:$B$502,B271)=0,"",_xlfn.MAXIFS('4.방문기록'!$A$3:$A$502,'4.방문기록'!$B$3:$B$502,B271)))</f>
        <v/>
      </c>
      <c r="M271">
        <f>IF(L271="","",설정!$B$24-L271)</f>
        <v/>
      </c>
      <c r="N271" s="6">
        <f>IF(B271="","",IF(_xlfn.MAXIFS('4.방문기록'!$F$3:$F$502,'4.방문기록'!$B$3:$B$502,B271)=0,"",_xlfn.MAXIFS('4.방문기록'!$F$3:$F$502,'4.방문기록'!$B$3:$B$502,B271)))</f>
        <v/>
      </c>
      <c r="O271">
        <f>IF(L271="","",IFERROR(INDEX('4.방문기록'!$H$3:$H$502,MATCH(B271&amp;"|"&amp;(L271*1),'4.방문기록'!$I$3:$I$502,0))&amp;"",""))</f>
        <v/>
      </c>
      <c r="P271">
        <f>IF(B271="","",IF(O271="관심 없음","제외",IF(L271="","안 가봄",IF(M271&gt;=설정!$B$20,M271&amp;"일 지남","최근 방문"))))</f>
        <v/>
      </c>
      <c r="Q271" s="7">
        <f>IF(B271="","",IF(P271="제외","",IF(AND(설정!$B$21&lt;&gt;"",I271&lt;&gt;설정!$B$21),"",IF(AND(N271&lt;&gt;"",N271&gt;N(L271),N271&lt;=설정!$B$24+7),100+7-(N271-설정!$B$24),IF(AND(D271&gt;0,OR(P271="안 가봄",RIGHT(P271,2)="지남")),D271*10+IF(L271="",30,MIN(M271,60)/2)+MIN(N(F271)/1000,20),"")))))</f>
        <v/>
      </c>
      <c r="R271">
        <f>IF(Q271="","",COUNTIF(Q$4:Q$303,"&gt;"&amp;Q271)+COUNTIF(Q$4:Q271,Q271))</f>
        <v/>
      </c>
    </row>
    <row r="272">
      <c r="A272">
        <f>IF(B272="","",269)</f>
        <v/>
      </c>
      <c r="B272">
        <f>IFERROR(INDEX('2.현장'!$V$2:$V$1001,MATCH(269,'2.현장'!$W$2:$W$1001,0)),"")</f>
        <v/>
      </c>
      <c r="C272">
        <f>IF(B272="","",COUNTIFS('2.현장'!$V$2:$V$1001,B272,'2.현장'!$T$2:$T$1001,TRUE))</f>
        <v/>
      </c>
      <c r="D272">
        <f>IF(B272="","",COUNTIFS('2.현장'!$V$2:$V$1001,B272,'2.현장'!$U$2:$U$1001,"설계사"))</f>
        <v/>
      </c>
      <c r="E272">
        <f>IF(B272="","",COUNTIFS('2.현장'!$V$2:$V$1001,B272,'2.현장'!$U$2:$U$1001,"시공사"))</f>
        <v/>
      </c>
      <c r="F272" s="5">
        <f>IF(B272="","",_xlfn.MAXIFS('2.현장'!$D$2:$D$1001,'2.현장'!$V$2:$V$1001,B272,'2.현장'!$T$2:$T$1001,TRUE))</f>
        <v/>
      </c>
      <c r="G272" s="6">
        <f>IF(B272="","",IF(_xlfn.MAXIFS('2.현장'!$L$2:$L$1001,'2.현장'!$V$2:$V$1001,B272,'2.현장'!$T$2:$T$1001,TRUE)=0,"",_xlfn.MAXIFS('2.현장'!$L$2:$L$1001,'2.현장'!$V$2:$V$1001,B272,'2.현장'!$T$2:$T$1001,TRUE)))</f>
        <v/>
      </c>
      <c r="H272">
        <f>IF(B272="","",IFERROR(INDEX('2.현장'!$C$2:$C$1001,IFERROR(MATCH(B272&amp;"|설계사",'2.현장'!$Z$2:$Z$1001,0),IFERROR(MATCH(B272&amp;"|시공사",'2.현장'!$Z$2:$Z$1001,0),MATCH(B272&amp;"|늦음",'2.현장'!$Z$2:$Z$1001,0)))),""))</f>
        <v/>
      </c>
      <c r="I272">
        <f>IF(B272="","",IFERROR(INDEX('2.현장'!$N$2:$N$1001,IFERROR(MATCH(B272&amp;"|설계사",'2.현장'!$Z$2:$Z$1001,0),IFERROR(MATCH(B272&amp;"|시공사",'2.현장'!$Z$2:$Z$1001,0),MATCH(B272&amp;"|늦음",'2.현장'!$Z$2:$Z$1001,0)))),""))</f>
        <v/>
      </c>
      <c r="J272">
        <f>IF(B272="","",IFERROR(VLOOKUP(B272,설계사_메모!$A$3:$G$302,2,FALSE)&amp;"",""))</f>
        <v/>
      </c>
      <c r="K272">
        <f>IF(B272="","",IFERROR(VLOOKUP(B272,설계사_메모!$A$3:$G$302,4,FALSE)&amp;"",""))</f>
        <v/>
      </c>
      <c r="L272" s="6">
        <f>IF(B272="","",IF(COUNTIF('4.방문기록'!$B$3:$B$502,B272)=0,"",_xlfn.MAXIFS('4.방문기록'!$A$3:$A$502,'4.방문기록'!$B$3:$B$502,B272)))</f>
        <v/>
      </c>
      <c r="M272">
        <f>IF(L272="","",설정!$B$24-L272)</f>
        <v/>
      </c>
      <c r="N272" s="6">
        <f>IF(B272="","",IF(_xlfn.MAXIFS('4.방문기록'!$F$3:$F$502,'4.방문기록'!$B$3:$B$502,B272)=0,"",_xlfn.MAXIFS('4.방문기록'!$F$3:$F$502,'4.방문기록'!$B$3:$B$502,B272)))</f>
        <v/>
      </c>
      <c r="O272">
        <f>IF(L272="","",IFERROR(INDEX('4.방문기록'!$H$3:$H$502,MATCH(B272&amp;"|"&amp;(L272*1),'4.방문기록'!$I$3:$I$502,0))&amp;"",""))</f>
        <v/>
      </c>
      <c r="P272">
        <f>IF(B272="","",IF(O272="관심 없음","제외",IF(L272="","안 가봄",IF(M272&gt;=설정!$B$20,M272&amp;"일 지남","최근 방문"))))</f>
        <v/>
      </c>
      <c r="Q272" s="7">
        <f>IF(B272="","",IF(P272="제외","",IF(AND(설정!$B$21&lt;&gt;"",I272&lt;&gt;설정!$B$21),"",IF(AND(N272&lt;&gt;"",N272&gt;N(L272),N272&lt;=설정!$B$24+7),100+7-(N272-설정!$B$24),IF(AND(D272&gt;0,OR(P272="안 가봄",RIGHT(P272,2)="지남")),D272*10+IF(L272="",30,MIN(M272,60)/2)+MIN(N(F272)/1000,20),"")))))</f>
        <v/>
      </c>
      <c r="R272">
        <f>IF(Q272="","",COUNTIF(Q$4:Q$303,"&gt;"&amp;Q272)+COUNTIF(Q$4:Q272,Q272))</f>
        <v/>
      </c>
    </row>
    <row r="273">
      <c r="A273">
        <f>IF(B273="","",270)</f>
        <v/>
      </c>
      <c r="B273">
        <f>IFERROR(INDEX('2.현장'!$V$2:$V$1001,MATCH(270,'2.현장'!$W$2:$W$1001,0)),"")</f>
        <v/>
      </c>
      <c r="C273">
        <f>IF(B273="","",COUNTIFS('2.현장'!$V$2:$V$1001,B273,'2.현장'!$T$2:$T$1001,TRUE))</f>
        <v/>
      </c>
      <c r="D273">
        <f>IF(B273="","",COUNTIFS('2.현장'!$V$2:$V$1001,B273,'2.현장'!$U$2:$U$1001,"설계사"))</f>
        <v/>
      </c>
      <c r="E273">
        <f>IF(B273="","",COUNTIFS('2.현장'!$V$2:$V$1001,B273,'2.현장'!$U$2:$U$1001,"시공사"))</f>
        <v/>
      </c>
      <c r="F273" s="5">
        <f>IF(B273="","",_xlfn.MAXIFS('2.현장'!$D$2:$D$1001,'2.현장'!$V$2:$V$1001,B273,'2.현장'!$T$2:$T$1001,TRUE))</f>
        <v/>
      </c>
      <c r="G273" s="6">
        <f>IF(B273="","",IF(_xlfn.MAXIFS('2.현장'!$L$2:$L$1001,'2.현장'!$V$2:$V$1001,B273,'2.현장'!$T$2:$T$1001,TRUE)=0,"",_xlfn.MAXIFS('2.현장'!$L$2:$L$1001,'2.현장'!$V$2:$V$1001,B273,'2.현장'!$T$2:$T$1001,TRUE)))</f>
        <v/>
      </c>
      <c r="H273">
        <f>IF(B273="","",IFERROR(INDEX('2.현장'!$C$2:$C$1001,IFERROR(MATCH(B273&amp;"|설계사",'2.현장'!$Z$2:$Z$1001,0),IFERROR(MATCH(B273&amp;"|시공사",'2.현장'!$Z$2:$Z$1001,0),MATCH(B273&amp;"|늦음",'2.현장'!$Z$2:$Z$1001,0)))),""))</f>
        <v/>
      </c>
      <c r="I273">
        <f>IF(B273="","",IFERROR(INDEX('2.현장'!$N$2:$N$1001,IFERROR(MATCH(B273&amp;"|설계사",'2.현장'!$Z$2:$Z$1001,0),IFERROR(MATCH(B273&amp;"|시공사",'2.현장'!$Z$2:$Z$1001,0),MATCH(B273&amp;"|늦음",'2.현장'!$Z$2:$Z$1001,0)))),""))</f>
        <v/>
      </c>
      <c r="J273">
        <f>IF(B273="","",IFERROR(VLOOKUP(B273,설계사_메모!$A$3:$G$302,2,FALSE)&amp;"",""))</f>
        <v/>
      </c>
      <c r="K273">
        <f>IF(B273="","",IFERROR(VLOOKUP(B273,설계사_메모!$A$3:$G$302,4,FALSE)&amp;"",""))</f>
        <v/>
      </c>
      <c r="L273" s="6">
        <f>IF(B273="","",IF(COUNTIF('4.방문기록'!$B$3:$B$502,B273)=0,"",_xlfn.MAXIFS('4.방문기록'!$A$3:$A$502,'4.방문기록'!$B$3:$B$502,B273)))</f>
        <v/>
      </c>
      <c r="M273">
        <f>IF(L273="","",설정!$B$24-L273)</f>
        <v/>
      </c>
      <c r="N273" s="6">
        <f>IF(B273="","",IF(_xlfn.MAXIFS('4.방문기록'!$F$3:$F$502,'4.방문기록'!$B$3:$B$502,B273)=0,"",_xlfn.MAXIFS('4.방문기록'!$F$3:$F$502,'4.방문기록'!$B$3:$B$502,B273)))</f>
        <v/>
      </c>
      <c r="O273">
        <f>IF(L273="","",IFERROR(INDEX('4.방문기록'!$H$3:$H$502,MATCH(B273&amp;"|"&amp;(L273*1),'4.방문기록'!$I$3:$I$502,0))&amp;"",""))</f>
        <v/>
      </c>
      <c r="P273">
        <f>IF(B273="","",IF(O273="관심 없음","제외",IF(L273="","안 가봄",IF(M273&gt;=설정!$B$20,M273&amp;"일 지남","최근 방문"))))</f>
        <v/>
      </c>
      <c r="Q273" s="7">
        <f>IF(B273="","",IF(P273="제외","",IF(AND(설정!$B$21&lt;&gt;"",I273&lt;&gt;설정!$B$21),"",IF(AND(N273&lt;&gt;"",N273&gt;N(L273),N273&lt;=설정!$B$24+7),100+7-(N273-설정!$B$24),IF(AND(D273&gt;0,OR(P273="안 가봄",RIGHT(P273,2)="지남")),D273*10+IF(L273="",30,MIN(M273,60)/2)+MIN(N(F273)/1000,20),"")))))</f>
        <v/>
      </c>
      <c r="R273">
        <f>IF(Q273="","",COUNTIF(Q$4:Q$303,"&gt;"&amp;Q273)+COUNTIF(Q$4:Q273,Q273))</f>
        <v/>
      </c>
    </row>
    <row r="274">
      <c r="A274">
        <f>IF(B274="","",271)</f>
        <v/>
      </c>
      <c r="B274">
        <f>IFERROR(INDEX('2.현장'!$V$2:$V$1001,MATCH(271,'2.현장'!$W$2:$W$1001,0)),"")</f>
        <v/>
      </c>
      <c r="C274">
        <f>IF(B274="","",COUNTIFS('2.현장'!$V$2:$V$1001,B274,'2.현장'!$T$2:$T$1001,TRUE))</f>
        <v/>
      </c>
      <c r="D274">
        <f>IF(B274="","",COUNTIFS('2.현장'!$V$2:$V$1001,B274,'2.현장'!$U$2:$U$1001,"설계사"))</f>
        <v/>
      </c>
      <c r="E274">
        <f>IF(B274="","",COUNTIFS('2.현장'!$V$2:$V$1001,B274,'2.현장'!$U$2:$U$1001,"시공사"))</f>
        <v/>
      </c>
      <c r="F274" s="5">
        <f>IF(B274="","",_xlfn.MAXIFS('2.현장'!$D$2:$D$1001,'2.현장'!$V$2:$V$1001,B274,'2.현장'!$T$2:$T$1001,TRUE))</f>
        <v/>
      </c>
      <c r="G274" s="6">
        <f>IF(B274="","",IF(_xlfn.MAXIFS('2.현장'!$L$2:$L$1001,'2.현장'!$V$2:$V$1001,B274,'2.현장'!$T$2:$T$1001,TRUE)=0,"",_xlfn.MAXIFS('2.현장'!$L$2:$L$1001,'2.현장'!$V$2:$V$1001,B274,'2.현장'!$T$2:$T$1001,TRUE)))</f>
        <v/>
      </c>
      <c r="H274">
        <f>IF(B274="","",IFERROR(INDEX('2.현장'!$C$2:$C$1001,IFERROR(MATCH(B274&amp;"|설계사",'2.현장'!$Z$2:$Z$1001,0),IFERROR(MATCH(B274&amp;"|시공사",'2.현장'!$Z$2:$Z$1001,0),MATCH(B274&amp;"|늦음",'2.현장'!$Z$2:$Z$1001,0)))),""))</f>
        <v/>
      </c>
      <c r="I274">
        <f>IF(B274="","",IFERROR(INDEX('2.현장'!$N$2:$N$1001,IFERROR(MATCH(B274&amp;"|설계사",'2.현장'!$Z$2:$Z$1001,0),IFERROR(MATCH(B274&amp;"|시공사",'2.현장'!$Z$2:$Z$1001,0),MATCH(B274&amp;"|늦음",'2.현장'!$Z$2:$Z$1001,0)))),""))</f>
        <v/>
      </c>
      <c r="J274">
        <f>IF(B274="","",IFERROR(VLOOKUP(B274,설계사_메모!$A$3:$G$302,2,FALSE)&amp;"",""))</f>
        <v/>
      </c>
      <c r="K274">
        <f>IF(B274="","",IFERROR(VLOOKUP(B274,설계사_메모!$A$3:$G$302,4,FALSE)&amp;"",""))</f>
        <v/>
      </c>
      <c r="L274" s="6">
        <f>IF(B274="","",IF(COUNTIF('4.방문기록'!$B$3:$B$502,B274)=0,"",_xlfn.MAXIFS('4.방문기록'!$A$3:$A$502,'4.방문기록'!$B$3:$B$502,B274)))</f>
        <v/>
      </c>
      <c r="M274">
        <f>IF(L274="","",설정!$B$24-L274)</f>
        <v/>
      </c>
      <c r="N274" s="6">
        <f>IF(B274="","",IF(_xlfn.MAXIFS('4.방문기록'!$F$3:$F$502,'4.방문기록'!$B$3:$B$502,B274)=0,"",_xlfn.MAXIFS('4.방문기록'!$F$3:$F$502,'4.방문기록'!$B$3:$B$502,B274)))</f>
        <v/>
      </c>
      <c r="O274">
        <f>IF(L274="","",IFERROR(INDEX('4.방문기록'!$H$3:$H$502,MATCH(B274&amp;"|"&amp;(L274*1),'4.방문기록'!$I$3:$I$502,0))&amp;"",""))</f>
        <v/>
      </c>
      <c r="P274">
        <f>IF(B274="","",IF(O274="관심 없음","제외",IF(L274="","안 가봄",IF(M274&gt;=설정!$B$20,M274&amp;"일 지남","최근 방문"))))</f>
        <v/>
      </c>
      <c r="Q274" s="7">
        <f>IF(B274="","",IF(P274="제외","",IF(AND(설정!$B$21&lt;&gt;"",I274&lt;&gt;설정!$B$21),"",IF(AND(N274&lt;&gt;"",N274&gt;N(L274),N274&lt;=설정!$B$24+7),100+7-(N274-설정!$B$24),IF(AND(D274&gt;0,OR(P274="안 가봄",RIGHT(P274,2)="지남")),D274*10+IF(L274="",30,MIN(M274,60)/2)+MIN(N(F274)/1000,20),"")))))</f>
        <v/>
      </c>
      <c r="R274">
        <f>IF(Q274="","",COUNTIF(Q$4:Q$303,"&gt;"&amp;Q274)+COUNTIF(Q$4:Q274,Q274))</f>
        <v/>
      </c>
    </row>
    <row r="275">
      <c r="A275">
        <f>IF(B275="","",272)</f>
        <v/>
      </c>
      <c r="B275">
        <f>IFERROR(INDEX('2.현장'!$V$2:$V$1001,MATCH(272,'2.현장'!$W$2:$W$1001,0)),"")</f>
        <v/>
      </c>
      <c r="C275">
        <f>IF(B275="","",COUNTIFS('2.현장'!$V$2:$V$1001,B275,'2.현장'!$T$2:$T$1001,TRUE))</f>
        <v/>
      </c>
      <c r="D275">
        <f>IF(B275="","",COUNTIFS('2.현장'!$V$2:$V$1001,B275,'2.현장'!$U$2:$U$1001,"설계사"))</f>
        <v/>
      </c>
      <c r="E275">
        <f>IF(B275="","",COUNTIFS('2.현장'!$V$2:$V$1001,B275,'2.현장'!$U$2:$U$1001,"시공사"))</f>
        <v/>
      </c>
      <c r="F275" s="5">
        <f>IF(B275="","",_xlfn.MAXIFS('2.현장'!$D$2:$D$1001,'2.현장'!$V$2:$V$1001,B275,'2.현장'!$T$2:$T$1001,TRUE))</f>
        <v/>
      </c>
      <c r="G275" s="6">
        <f>IF(B275="","",IF(_xlfn.MAXIFS('2.현장'!$L$2:$L$1001,'2.현장'!$V$2:$V$1001,B275,'2.현장'!$T$2:$T$1001,TRUE)=0,"",_xlfn.MAXIFS('2.현장'!$L$2:$L$1001,'2.현장'!$V$2:$V$1001,B275,'2.현장'!$T$2:$T$1001,TRUE)))</f>
        <v/>
      </c>
      <c r="H275">
        <f>IF(B275="","",IFERROR(INDEX('2.현장'!$C$2:$C$1001,IFERROR(MATCH(B275&amp;"|설계사",'2.현장'!$Z$2:$Z$1001,0),IFERROR(MATCH(B275&amp;"|시공사",'2.현장'!$Z$2:$Z$1001,0),MATCH(B275&amp;"|늦음",'2.현장'!$Z$2:$Z$1001,0)))),""))</f>
        <v/>
      </c>
      <c r="I275">
        <f>IF(B275="","",IFERROR(INDEX('2.현장'!$N$2:$N$1001,IFERROR(MATCH(B275&amp;"|설계사",'2.현장'!$Z$2:$Z$1001,0),IFERROR(MATCH(B275&amp;"|시공사",'2.현장'!$Z$2:$Z$1001,0),MATCH(B275&amp;"|늦음",'2.현장'!$Z$2:$Z$1001,0)))),""))</f>
        <v/>
      </c>
      <c r="J275">
        <f>IF(B275="","",IFERROR(VLOOKUP(B275,설계사_메모!$A$3:$G$302,2,FALSE)&amp;"",""))</f>
        <v/>
      </c>
      <c r="K275">
        <f>IF(B275="","",IFERROR(VLOOKUP(B275,설계사_메모!$A$3:$G$302,4,FALSE)&amp;"",""))</f>
        <v/>
      </c>
      <c r="L275" s="6">
        <f>IF(B275="","",IF(COUNTIF('4.방문기록'!$B$3:$B$502,B275)=0,"",_xlfn.MAXIFS('4.방문기록'!$A$3:$A$502,'4.방문기록'!$B$3:$B$502,B275)))</f>
        <v/>
      </c>
      <c r="M275">
        <f>IF(L275="","",설정!$B$24-L275)</f>
        <v/>
      </c>
      <c r="N275" s="6">
        <f>IF(B275="","",IF(_xlfn.MAXIFS('4.방문기록'!$F$3:$F$502,'4.방문기록'!$B$3:$B$502,B275)=0,"",_xlfn.MAXIFS('4.방문기록'!$F$3:$F$502,'4.방문기록'!$B$3:$B$502,B275)))</f>
        <v/>
      </c>
      <c r="O275">
        <f>IF(L275="","",IFERROR(INDEX('4.방문기록'!$H$3:$H$502,MATCH(B275&amp;"|"&amp;(L275*1),'4.방문기록'!$I$3:$I$502,0))&amp;"",""))</f>
        <v/>
      </c>
      <c r="P275">
        <f>IF(B275="","",IF(O275="관심 없음","제외",IF(L275="","안 가봄",IF(M275&gt;=설정!$B$20,M275&amp;"일 지남","최근 방문"))))</f>
        <v/>
      </c>
      <c r="Q275" s="7">
        <f>IF(B275="","",IF(P275="제외","",IF(AND(설정!$B$21&lt;&gt;"",I275&lt;&gt;설정!$B$21),"",IF(AND(N275&lt;&gt;"",N275&gt;N(L275),N275&lt;=설정!$B$24+7),100+7-(N275-설정!$B$24),IF(AND(D275&gt;0,OR(P275="안 가봄",RIGHT(P275,2)="지남")),D275*10+IF(L275="",30,MIN(M275,60)/2)+MIN(N(F275)/1000,20),"")))))</f>
        <v/>
      </c>
      <c r="R275">
        <f>IF(Q275="","",COUNTIF(Q$4:Q$303,"&gt;"&amp;Q275)+COUNTIF(Q$4:Q275,Q275))</f>
        <v/>
      </c>
    </row>
    <row r="276">
      <c r="A276">
        <f>IF(B276="","",273)</f>
        <v/>
      </c>
      <c r="B276">
        <f>IFERROR(INDEX('2.현장'!$V$2:$V$1001,MATCH(273,'2.현장'!$W$2:$W$1001,0)),"")</f>
        <v/>
      </c>
      <c r="C276">
        <f>IF(B276="","",COUNTIFS('2.현장'!$V$2:$V$1001,B276,'2.현장'!$T$2:$T$1001,TRUE))</f>
        <v/>
      </c>
      <c r="D276">
        <f>IF(B276="","",COUNTIFS('2.현장'!$V$2:$V$1001,B276,'2.현장'!$U$2:$U$1001,"설계사"))</f>
        <v/>
      </c>
      <c r="E276">
        <f>IF(B276="","",COUNTIFS('2.현장'!$V$2:$V$1001,B276,'2.현장'!$U$2:$U$1001,"시공사"))</f>
        <v/>
      </c>
      <c r="F276" s="5">
        <f>IF(B276="","",_xlfn.MAXIFS('2.현장'!$D$2:$D$1001,'2.현장'!$V$2:$V$1001,B276,'2.현장'!$T$2:$T$1001,TRUE))</f>
        <v/>
      </c>
      <c r="G276" s="6">
        <f>IF(B276="","",IF(_xlfn.MAXIFS('2.현장'!$L$2:$L$1001,'2.현장'!$V$2:$V$1001,B276,'2.현장'!$T$2:$T$1001,TRUE)=0,"",_xlfn.MAXIFS('2.현장'!$L$2:$L$1001,'2.현장'!$V$2:$V$1001,B276,'2.현장'!$T$2:$T$1001,TRUE)))</f>
        <v/>
      </c>
      <c r="H276">
        <f>IF(B276="","",IFERROR(INDEX('2.현장'!$C$2:$C$1001,IFERROR(MATCH(B276&amp;"|설계사",'2.현장'!$Z$2:$Z$1001,0),IFERROR(MATCH(B276&amp;"|시공사",'2.현장'!$Z$2:$Z$1001,0),MATCH(B276&amp;"|늦음",'2.현장'!$Z$2:$Z$1001,0)))),""))</f>
        <v/>
      </c>
      <c r="I276">
        <f>IF(B276="","",IFERROR(INDEX('2.현장'!$N$2:$N$1001,IFERROR(MATCH(B276&amp;"|설계사",'2.현장'!$Z$2:$Z$1001,0),IFERROR(MATCH(B276&amp;"|시공사",'2.현장'!$Z$2:$Z$1001,0),MATCH(B276&amp;"|늦음",'2.현장'!$Z$2:$Z$1001,0)))),""))</f>
        <v/>
      </c>
      <c r="J276">
        <f>IF(B276="","",IFERROR(VLOOKUP(B276,설계사_메모!$A$3:$G$302,2,FALSE)&amp;"",""))</f>
        <v/>
      </c>
      <c r="K276">
        <f>IF(B276="","",IFERROR(VLOOKUP(B276,설계사_메모!$A$3:$G$302,4,FALSE)&amp;"",""))</f>
        <v/>
      </c>
      <c r="L276" s="6">
        <f>IF(B276="","",IF(COUNTIF('4.방문기록'!$B$3:$B$502,B276)=0,"",_xlfn.MAXIFS('4.방문기록'!$A$3:$A$502,'4.방문기록'!$B$3:$B$502,B276)))</f>
        <v/>
      </c>
      <c r="M276">
        <f>IF(L276="","",설정!$B$24-L276)</f>
        <v/>
      </c>
      <c r="N276" s="6">
        <f>IF(B276="","",IF(_xlfn.MAXIFS('4.방문기록'!$F$3:$F$502,'4.방문기록'!$B$3:$B$502,B276)=0,"",_xlfn.MAXIFS('4.방문기록'!$F$3:$F$502,'4.방문기록'!$B$3:$B$502,B276)))</f>
        <v/>
      </c>
      <c r="O276">
        <f>IF(L276="","",IFERROR(INDEX('4.방문기록'!$H$3:$H$502,MATCH(B276&amp;"|"&amp;(L276*1),'4.방문기록'!$I$3:$I$502,0))&amp;"",""))</f>
        <v/>
      </c>
      <c r="P276">
        <f>IF(B276="","",IF(O276="관심 없음","제외",IF(L276="","안 가봄",IF(M276&gt;=설정!$B$20,M276&amp;"일 지남","최근 방문"))))</f>
        <v/>
      </c>
      <c r="Q276" s="7">
        <f>IF(B276="","",IF(P276="제외","",IF(AND(설정!$B$21&lt;&gt;"",I276&lt;&gt;설정!$B$21),"",IF(AND(N276&lt;&gt;"",N276&gt;N(L276),N276&lt;=설정!$B$24+7),100+7-(N276-설정!$B$24),IF(AND(D276&gt;0,OR(P276="안 가봄",RIGHT(P276,2)="지남")),D276*10+IF(L276="",30,MIN(M276,60)/2)+MIN(N(F276)/1000,20),"")))))</f>
        <v/>
      </c>
      <c r="R276">
        <f>IF(Q276="","",COUNTIF(Q$4:Q$303,"&gt;"&amp;Q276)+COUNTIF(Q$4:Q276,Q276))</f>
        <v/>
      </c>
    </row>
    <row r="277">
      <c r="A277">
        <f>IF(B277="","",274)</f>
        <v/>
      </c>
      <c r="B277">
        <f>IFERROR(INDEX('2.현장'!$V$2:$V$1001,MATCH(274,'2.현장'!$W$2:$W$1001,0)),"")</f>
        <v/>
      </c>
      <c r="C277">
        <f>IF(B277="","",COUNTIFS('2.현장'!$V$2:$V$1001,B277,'2.현장'!$T$2:$T$1001,TRUE))</f>
        <v/>
      </c>
      <c r="D277">
        <f>IF(B277="","",COUNTIFS('2.현장'!$V$2:$V$1001,B277,'2.현장'!$U$2:$U$1001,"설계사"))</f>
        <v/>
      </c>
      <c r="E277">
        <f>IF(B277="","",COUNTIFS('2.현장'!$V$2:$V$1001,B277,'2.현장'!$U$2:$U$1001,"시공사"))</f>
        <v/>
      </c>
      <c r="F277" s="5">
        <f>IF(B277="","",_xlfn.MAXIFS('2.현장'!$D$2:$D$1001,'2.현장'!$V$2:$V$1001,B277,'2.현장'!$T$2:$T$1001,TRUE))</f>
        <v/>
      </c>
      <c r="G277" s="6">
        <f>IF(B277="","",IF(_xlfn.MAXIFS('2.현장'!$L$2:$L$1001,'2.현장'!$V$2:$V$1001,B277,'2.현장'!$T$2:$T$1001,TRUE)=0,"",_xlfn.MAXIFS('2.현장'!$L$2:$L$1001,'2.현장'!$V$2:$V$1001,B277,'2.현장'!$T$2:$T$1001,TRUE)))</f>
        <v/>
      </c>
      <c r="H277">
        <f>IF(B277="","",IFERROR(INDEX('2.현장'!$C$2:$C$1001,IFERROR(MATCH(B277&amp;"|설계사",'2.현장'!$Z$2:$Z$1001,0),IFERROR(MATCH(B277&amp;"|시공사",'2.현장'!$Z$2:$Z$1001,0),MATCH(B277&amp;"|늦음",'2.현장'!$Z$2:$Z$1001,0)))),""))</f>
        <v/>
      </c>
      <c r="I277">
        <f>IF(B277="","",IFERROR(INDEX('2.현장'!$N$2:$N$1001,IFERROR(MATCH(B277&amp;"|설계사",'2.현장'!$Z$2:$Z$1001,0),IFERROR(MATCH(B277&amp;"|시공사",'2.현장'!$Z$2:$Z$1001,0),MATCH(B277&amp;"|늦음",'2.현장'!$Z$2:$Z$1001,0)))),""))</f>
        <v/>
      </c>
      <c r="J277">
        <f>IF(B277="","",IFERROR(VLOOKUP(B277,설계사_메모!$A$3:$G$302,2,FALSE)&amp;"",""))</f>
        <v/>
      </c>
      <c r="K277">
        <f>IF(B277="","",IFERROR(VLOOKUP(B277,설계사_메모!$A$3:$G$302,4,FALSE)&amp;"",""))</f>
        <v/>
      </c>
      <c r="L277" s="6">
        <f>IF(B277="","",IF(COUNTIF('4.방문기록'!$B$3:$B$502,B277)=0,"",_xlfn.MAXIFS('4.방문기록'!$A$3:$A$502,'4.방문기록'!$B$3:$B$502,B277)))</f>
        <v/>
      </c>
      <c r="M277">
        <f>IF(L277="","",설정!$B$24-L277)</f>
        <v/>
      </c>
      <c r="N277" s="6">
        <f>IF(B277="","",IF(_xlfn.MAXIFS('4.방문기록'!$F$3:$F$502,'4.방문기록'!$B$3:$B$502,B277)=0,"",_xlfn.MAXIFS('4.방문기록'!$F$3:$F$502,'4.방문기록'!$B$3:$B$502,B277)))</f>
        <v/>
      </c>
      <c r="O277">
        <f>IF(L277="","",IFERROR(INDEX('4.방문기록'!$H$3:$H$502,MATCH(B277&amp;"|"&amp;(L277*1),'4.방문기록'!$I$3:$I$502,0))&amp;"",""))</f>
        <v/>
      </c>
      <c r="P277">
        <f>IF(B277="","",IF(O277="관심 없음","제외",IF(L277="","안 가봄",IF(M277&gt;=설정!$B$20,M277&amp;"일 지남","최근 방문"))))</f>
        <v/>
      </c>
      <c r="Q277" s="7">
        <f>IF(B277="","",IF(P277="제외","",IF(AND(설정!$B$21&lt;&gt;"",I277&lt;&gt;설정!$B$21),"",IF(AND(N277&lt;&gt;"",N277&gt;N(L277),N277&lt;=설정!$B$24+7),100+7-(N277-설정!$B$24),IF(AND(D277&gt;0,OR(P277="안 가봄",RIGHT(P277,2)="지남")),D277*10+IF(L277="",30,MIN(M277,60)/2)+MIN(N(F277)/1000,20),"")))))</f>
        <v/>
      </c>
      <c r="R277">
        <f>IF(Q277="","",COUNTIF(Q$4:Q$303,"&gt;"&amp;Q277)+COUNTIF(Q$4:Q277,Q277))</f>
        <v/>
      </c>
    </row>
    <row r="278">
      <c r="A278">
        <f>IF(B278="","",275)</f>
        <v/>
      </c>
      <c r="B278">
        <f>IFERROR(INDEX('2.현장'!$V$2:$V$1001,MATCH(275,'2.현장'!$W$2:$W$1001,0)),"")</f>
        <v/>
      </c>
      <c r="C278">
        <f>IF(B278="","",COUNTIFS('2.현장'!$V$2:$V$1001,B278,'2.현장'!$T$2:$T$1001,TRUE))</f>
        <v/>
      </c>
      <c r="D278">
        <f>IF(B278="","",COUNTIFS('2.현장'!$V$2:$V$1001,B278,'2.현장'!$U$2:$U$1001,"설계사"))</f>
        <v/>
      </c>
      <c r="E278">
        <f>IF(B278="","",COUNTIFS('2.현장'!$V$2:$V$1001,B278,'2.현장'!$U$2:$U$1001,"시공사"))</f>
        <v/>
      </c>
      <c r="F278" s="5">
        <f>IF(B278="","",_xlfn.MAXIFS('2.현장'!$D$2:$D$1001,'2.현장'!$V$2:$V$1001,B278,'2.현장'!$T$2:$T$1001,TRUE))</f>
        <v/>
      </c>
      <c r="G278" s="6">
        <f>IF(B278="","",IF(_xlfn.MAXIFS('2.현장'!$L$2:$L$1001,'2.현장'!$V$2:$V$1001,B278,'2.현장'!$T$2:$T$1001,TRUE)=0,"",_xlfn.MAXIFS('2.현장'!$L$2:$L$1001,'2.현장'!$V$2:$V$1001,B278,'2.현장'!$T$2:$T$1001,TRUE)))</f>
        <v/>
      </c>
      <c r="H278">
        <f>IF(B278="","",IFERROR(INDEX('2.현장'!$C$2:$C$1001,IFERROR(MATCH(B278&amp;"|설계사",'2.현장'!$Z$2:$Z$1001,0),IFERROR(MATCH(B278&amp;"|시공사",'2.현장'!$Z$2:$Z$1001,0),MATCH(B278&amp;"|늦음",'2.현장'!$Z$2:$Z$1001,0)))),""))</f>
        <v/>
      </c>
      <c r="I278">
        <f>IF(B278="","",IFERROR(INDEX('2.현장'!$N$2:$N$1001,IFERROR(MATCH(B278&amp;"|설계사",'2.현장'!$Z$2:$Z$1001,0),IFERROR(MATCH(B278&amp;"|시공사",'2.현장'!$Z$2:$Z$1001,0),MATCH(B278&amp;"|늦음",'2.현장'!$Z$2:$Z$1001,0)))),""))</f>
        <v/>
      </c>
      <c r="J278">
        <f>IF(B278="","",IFERROR(VLOOKUP(B278,설계사_메모!$A$3:$G$302,2,FALSE)&amp;"",""))</f>
        <v/>
      </c>
      <c r="K278">
        <f>IF(B278="","",IFERROR(VLOOKUP(B278,설계사_메모!$A$3:$G$302,4,FALSE)&amp;"",""))</f>
        <v/>
      </c>
      <c r="L278" s="6">
        <f>IF(B278="","",IF(COUNTIF('4.방문기록'!$B$3:$B$502,B278)=0,"",_xlfn.MAXIFS('4.방문기록'!$A$3:$A$502,'4.방문기록'!$B$3:$B$502,B278)))</f>
        <v/>
      </c>
      <c r="M278">
        <f>IF(L278="","",설정!$B$24-L278)</f>
        <v/>
      </c>
      <c r="N278" s="6">
        <f>IF(B278="","",IF(_xlfn.MAXIFS('4.방문기록'!$F$3:$F$502,'4.방문기록'!$B$3:$B$502,B278)=0,"",_xlfn.MAXIFS('4.방문기록'!$F$3:$F$502,'4.방문기록'!$B$3:$B$502,B278)))</f>
        <v/>
      </c>
      <c r="O278">
        <f>IF(L278="","",IFERROR(INDEX('4.방문기록'!$H$3:$H$502,MATCH(B278&amp;"|"&amp;(L278*1),'4.방문기록'!$I$3:$I$502,0))&amp;"",""))</f>
        <v/>
      </c>
      <c r="P278">
        <f>IF(B278="","",IF(O278="관심 없음","제외",IF(L278="","안 가봄",IF(M278&gt;=설정!$B$20,M278&amp;"일 지남","최근 방문"))))</f>
        <v/>
      </c>
      <c r="Q278" s="7">
        <f>IF(B278="","",IF(P278="제외","",IF(AND(설정!$B$21&lt;&gt;"",I278&lt;&gt;설정!$B$21),"",IF(AND(N278&lt;&gt;"",N278&gt;N(L278),N278&lt;=설정!$B$24+7),100+7-(N278-설정!$B$24),IF(AND(D278&gt;0,OR(P278="안 가봄",RIGHT(P278,2)="지남")),D278*10+IF(L278="",30,MIN(M278,60)/2)+MIN(N(F278)/1000,20),"")))))</f>
        <v/>
      </c>
      <c r="R278">
        <f>IF(Q278="","",COUNTIF(Q$4:Q$303,"&gt;"&amp;Q278)+COUNTIF(Q$4:Q278,Q278))</f>
        <v/>
      </c>
    </row>
    <row r="279">
      <c r="A279">
        <f>IF(B279="","",276)</f>
        <v/>
      </c>
      <c r="B279">
        <f>IFERROR(INDEX('2.현장'!$V$2:$V$1001,MATCH(276,'2.현장'!$W$2:$W$1001,0)),"")</f>
        <v/>
      </c>
      <c r="C279">
        <f>IF(B279="","",COUNTIFS('2.현장'!$V$2:$V$1001,B279,'2.현장'!$T$2:$T$1001,TRUE))</f>
        <v/>
      </c>
      <c r="D279">
        <f>IF(B279="","",COUNTIFS('2.현장'!$V$2:$V$1001,B279,'2.현장'!$U$2:$U$1001,"설계사"))</f>
        <v/>
      </c>
      <c r="E279">
        <f>IF(B279="","",COUNTIFS('2.현장'!$V$2:$V$1001,B279,'2.현장'!$U$2:$U$1001,"시공사"))</f>
        <v/>
      </c>
      <c r="F279" s="5">
        <f>IF(B279="","",_xlfn.MAXIFS('2.현장'!$D$2:$D$1001,'2.현장'!$V$2:$V$1001,B279,'2.현장'!$T$2:$T$1001,TRUE))</f>
        <v/>
      </c>
      <c r="G279" s="6">
        <f>IF(B279="","",IF(_xlfn.MAXIFS('2.현장'!$L$2:$L$1001,'2.현장'!$V$2:$V$1001,B279,'2.현장'!$T$2:$T$1001,TRUE)=0,"",_xlfn.MAXIFS('2.현장'!$L$2:$L$1001,'2.현장'!$V$2:$V$1001,B279,'2.현장'!$T$2:$T$1001,TRUE)))</f>
        <v/>
      </c>
      <c r="H279">
        <f>IF(B279="","",IFERROR(INDEX('2.현장'!$C$2:$C$1001,IFERROR(MATCH(B279&amp;"|설계사",'2.현장'!$Z$2:$Z$1001,0),IFERROR(MATCH(B279&amp;"|시공사",'2.현장'!$Z$2:$Z$1001,0),MATCH(B279&amp;"|늦음",'2.현장'!$Z$2:$Z$1001,0)))),""))</f>
        <v/>
      </c>
      <c r="I279">
        <f>IF(B279="","",IFERROR(INDEX('2.현장'!$N$2:$N$1001,IFERROR(MATCH(B279&amp;"|설계사",'2.현장'!$Z$2:$Z$1001,0),IFERROR(MATCH(B279&amp;"|시공사",'2.현장'!$Z$2:$Z$1001,0),MATCH(B279&amp;"|늦음",'2.현장'!$Z$2:$Z$1001,0)))),""))</f>
        <v/>
      </c>
      <c r="J279">
        <f>IF(B279="","",IFERROR(VLOOKUP(B279,설계사_메모!$A$3:$G$302,2,FALSE)&amp;"",""))</f>
        <v/>
      </c>
      <c r="K279">
        <f>IF(B279="","",IFERROR(VLOOKUP(B279,설계사_메모!$A$3:$G$302,4,FALSE)&amp;"",""))</f>
        <v/>
      </c>
      <c r="L279" s="6">
        <f>IF(B279="","",IF(COUNTIF('4.방문기록'!$B$3:$B$502,B279)=0,"",_xlfn.MAXIFS('4.방문기록'!$A$3:$A$502,'4.방문기록'!$B$3:$B$502,B279)))</f>
        <v/>
      </c>
      <c r="M279">
        <f>IF(L279="","",설정!$B$24-L279)</f>
        <v/>
      </c>
      <c r="N279" s="6">
        <f>IF(B279="","",IF(_xlfn.MAXIFS('4.방문기록'!$F$3:$F$502,'4.방문기록'!$B$3:$B$502,B279)=0,"",_xlfn.MAXIFS('4.방문기록'!$F$3:$F$502,'4.방문기록'!$B$3:$B$502,B279)))</f>
        <v/>
      </c>
      <c r="O279">
        <f>IF(L279="","",IFERROR(INDEX('4.방문기록'!$H$3:$H$502,MATCH(B279&amp;"|"&amp;(L279*1),'4.방문기록'!$I$3:$I$502,0))&amp;"",""))</f>
        <v/>
      </c>
      <c r="P279">
        <f>IF(B279="","",IF(O279="관심 없음","제외",IF(L279="","안 가봄",IF(M279&gt;=설정!$B$20,M279&amp;"일 지남","최근 방문"))))</f>
        <v/>
      </c>
      <c r="Q279" s="7">
        <f>IF(B279="","",IF(P279="제외","",IF(AND(설정!$B$21&lt;&gt;"",I279&lt;&gt;설정!$B$21),"",IF(AND(N279&lt;&gt;"",N279&gt;N(L279),N279&lt;=설정!$B$24+7),100+7-(N279-설정!$B$24),IF(AND(D279&gt;0,OR(P279="안 가봄",RIGHT(P279,2)="지남")),D279*10+IF(L279="",30,MIN(M279,60)/2)+MIN(N(F279)/1000,20),"")))))</f>
        <v/>
      </c>
      <c r="R279">
        <f>IF(Q279="","",COUNTIF(Q$4:Q$303,"&gt;"&amp;Q279)+COUNTIF(Q$4:Q279,Q279))</f>
        <v/>
      </c>
    </row>
    <row r="280">
      <c r="A280">
        <f>IF(B280="","",277)</f>
        <v/>
      </c>
      <c r="B280">
        <f>IFERROR(INDEX('2.현장'!$V$2:$V$1001,MATCH(277,'2.현장'!$W$2:$W$1001,0)),"")</f>
        <v/>
      </c>
      <c r="C280">
        <f>IF(B280="","",COUNTIFS('2.현장'!$V$2:$V$1001,B280,'2.현장'!$T$2:$T$1001,TRUE))</f>
        <v/>
      </c>
      <c r="D280">
        <f>IF(B280="","",COUNTIFS('2.현장'!$V$2:$V$1001,B280,'2.현장'!$U$2:$U$1001,"설계사"))</f>
        <v/>
      </c>
      <c r="E280">
        <f>IF(B280="","",COUNTIFS('2.현장'!$V$2:$V$1001,B280,'2.현장'!$U$2:$U$1001,"시공사"))</f>
        <v/>
      </c>
      <c r="F280" s="5">
        <f>IF(B280="","",_xlfn.MAXIFS('2.현장'!$D$2:$D$1001,'2.현장'!$V$2:$V$1001,B280,'2.현장'!$T$2:$T$1001,TRUE))</f>
        <v/>
      </c>
      <c r="G280" s="6">
        <f>IF(B280="","",IF(_xlfn.MAXIFS('2.현장'!$L$2:$L$1001,'2.현장'!$V$2:$V$1001,B280,'2.현장'!$T$2:$T$1001,TRUE)=0,"",_xlfn.MAXIFS('2.현장'!$L$2:$L$1001,'2.현장'!$V$2:$V$1001,B280,'2.현장'!$T$2:$T$1001,TRUE)))</f>
        <v/>
      </c>
      <c r="H280">
        <f>IF(B280="","",IFERROR(INDEX('2.현장'!$C$2:$C$1001,IFERROR(MATCH(B280&amp;"|설계사",'2.현장'!$Z$2:$Z$1001,0),IFERROR(MATCH(B280&amp;"|시공사",'2.현장'!$Z$2:$Z$1001,0),MATCH(B280&amp;"|늦음",'2.현장'!$Z$2:$Z$1001,0)))),""))</f>
        <v/>
      </c>
      <c r="I280">
        <f>IF(B280="","",IFERROR(INDEX('2.현장'!$N$2:$N$1001,IFERROR(MATCH(B280&amp;"|설계사",'2.현장'!$Z$2:$Z$1001,0),IFERROR(MATCH(B280&amp;"|시공사",'2.현장'!$Z$2:$Z$1001,0),MATCH(B280&amp;"|늦음",'2.현장'!$Z$2:$Z$1001,0)))),""))</f>
        <v/>
      </c>
      <c r="J280">
        <f>IF(B280="","",IFERROR(VLOOKUP(B280,설계사_메모!$A$3:$G$302,2,FALSE)&amp;"",""))</f>
        <v/>
      </c>
      <c r="K280">
        <f>IF(B280="","",IFERROR(VLOOKUP(B280,설계사_메모!$A$3:$G$302,4,FALSE)&amp;"",""))</f>
        <v/>
      </c>
      <c r="L280" s="6">
        <f>IF(B280="","",IF(COUNTIF('4.방문기록'!$B$3:$B$502,B280)=0,"",_xlfn.MAXIFS('4.방문기록'!$A$3:$A$502,'4.방문기록'!$B$3:$B$502,B280)))</f>
        <v/>
      </c>
      <c r="M280">
        <f>IF(L280="","",설정!$B$24-L280)</f>
        <v/>
      </c>
      <c r="N280" s="6">
        <f>IF(B280="","",IF(_xlfn.MAXIFS('4.방문기록'!$F$3:$F$502,'4.방문기록'!$B$3:$B$502,B280)=0,"",_xlfn.MAXIFS('4.방문기록'!$F$3:$F$502,'4.방문기록'!$B$3:$B$502,B280)))</f>
        <v/>
      </c>
      <c r="O280">
        <f>IF(L280="","",IFERROR(INDEX('4.방문기록'!$H$3:$H$502,MATCH(B280&amp;"|"&amp;(L280*1),'4.방문기록'!$I$3:$I$502,0))&amp;"",""))</f>
        <v/>
      </c>
      <c r="P280">
        <f>IF(B280="","",IF(O280="관심 없음","제외",IF(L280="","안 가봄",IF(M280&gt;=설정!$B$20,M280&amp;"일 지남","최근 방문"))))</f>
        <v/>
      </c>
      <c r="Q280" s="7">
        <f>IF(B280="","",IF(P280="제외","",IF(AND(설정!$B$21&lt;&gt;"",I280&lt;&gt;설정!$B$21),"",IF(AND(N280&lt;&gt;"",N280&gt;N(L280),N280&lt;=설정!$B$24+7),100+7-(N280-설정!$B$24),IF(AND(D280&gt;0,OR(P280="안 가봄",RIGHT(P280,2)="지남")),D280*10+IF(L280="",30,MIN(M280,60)/2)+MIN(N(F280)/1000,20),"")))))</f>
        <v/>
      </c>
      <c r="R280">
        <f>IF(Q280="","",COUNTIF(Q$4:Q$303,"&gt;"&amp;Q280)+COUNTIF(Q$4:Q280,Q280))</f>
        <v/>
      </c>
    </row>
    <row r="281">
      <c r="A281">
        <f>IF(B281="","",278)</f>
        <v/>
      </c>
      <c r="B281">
        <f>IFERROR(INDEX('2.현장'!$V$2:$V$1001,MATCH(278,'2.현장'!$W$2:$W$1001,0)),"")</f>
        <v/>
      </c>
      <c r="C281">
        <f>IF(B281="","",COUNTIFS('2.현장'!$V$2:$V$1001,B281,'2.현장'!$T$2:$T$1001,TRUE))</f>
        <v/>
      </c>
      <c r="D281">
        <f>IF(B281="","",COUNTIFS('2.현장'!$V$2:$V$1001,B281,'2.현장'!$U$2:$U$1001,"설계사"))</f>
        <v/>
      </c>
      <c r="E281">
        <f>IF(B281="","",COUNTIFS('2.현장'!$V$2:$V$1001,B281,'2.현장'!$U$2:$U$1001,"시공사"))</f>
        <v/>
      </c>
      <c r="F281" s="5">
        <f>IF(B281="","",_xlfn.MAXIFS('2.현장'!$D$2:$D$1001,'2.현장'!$V$2:$V$1001,B281,'2.현장'!$T$2:$T$1001,TRUE))</f>
        <v/>
      </c>
      <c r="G281" s="6">
        <f>IF(B281="","",IF(_xlfn.MAXIFS('2.현장'!$L$2:$L$1001,'2.현장'!$V$2:$V$1001,B281,'2.현장'!$T$2:$T$1001,TRUE)=0,"",_xlfn.MAXIFS('2.현장'!$L$2:$L$1001,'2.현장'!$V$2:$V$1001,B281,'2.현장'!$T$2:$T$1001,TRUE)))</f>
        <v/>
      </c>
      <c r="H281">
        <f>IF(B281="","",IFERROR(INDEX('2.현장'!$C$2:$C$1001,IFERROR(MATCH(B281&amp;"|설계사",'2.현장'!$Z$2:$Z$1001,0),IFERROR(MATCH(B281&amp;"|시공사",'2.현장'!$Z$2:$Z$1001,0),MATCH(B281&amp;"|늦음",'2.현장'!$Z$2:$Z$1001,0)))),""))</f>
        <v/>
      </c>
      <c r="I281">
        <f>IF(B281="","",IFERROR(INDEX('2.현장'!$N$2:$N$1001,IFERROR(MATCH(B281&amp;"|설계사",'2.현장'!$Z$2:$Z$1001,0),IFERROR(MATCH(B281&amp;"|시공사",'2.현장'!$Z$2:$Z$1001,0),MATCH(B281&amp;"|늦음",'2.현장'!$Z$2:$Z$1001,0)))),""))</f>
        <v/>
      </c>
      <c r="J281">
        <f>IF(B281="","",IFERROR(VLOOKUP(B281,설계사_메모!$A$3:$G$302,2,FALSE)&amp;"",""))</f>
        <v/>
      </c>
      <c r="K281">
        <f>IF(B281="","",IFERROR(VLOOKUP(B281,설계사_메모!$A$3:$G$302,4,FALSE)&amp;"",""))</f>
        <v/>
      </c>
      <c r="L281" s="6">
        <f>IF(B281="","",IF(COUNTIF('4.방문기록'!$B$3:$B$502,B281)=0,"",_xlfn.MAXIFS('4.방문기록'!$A$3:$A$502,'4.방문기록'!$B$3:$B$502,B281)))</f>
        <v/>
      </c>
      <c r="M281">
        <f>IF(L281="","",설정!$B$24-L281)</f>
        <v/>
      </c>
      <c r="N281" s="6">
        <f>IF(B281="","",IF(_xlfn.MAXIFS('4.방문기록'!$F$3:$F$502,'4.방문기록'!$B$3:$B$502,B281)=0,"",_xlfn.MAXIFS('4.방문기록'!$F$3:$F$502,'4.방문기록'!$B$3:$B$502,B281)))</f>
        <v/>
      </c>
      <c r="O281">
        <f>IF(L281="","",IFERROR(INDEX('4.방문기록'!$H$3:$H$502,MATCH(B281&amp;"|"&amp;(L281*1),'4.방문기록'!$I$3:$I$502,0))&amp;"",""))</f>
        <v/>
      </c>
      <c r="P281">
        <f>IF(B281="","",IF(O281="관심 없음","제외",IF(L281="","안 가봄",IF(M281&gt;=설정!$B$20,M281&amp;"일 지남","최근 방문"))))</f>
        <v/>
      </c>
      <c r="Q281" s="7">
        <f>IF(B281="","",IF(P281="제외","",IF(AND(설정!$B$21&lt;&gt;"",I281&lt;&gt;설정!$B$21),"",IF(AND(N281&lt;&gt;"",N281&gt;N(L281),N281&lt;=설정!$B$24+7),100+7-(N281-설정!$B$24),IF(AND(D281&gt;0,OR(P281="안 가봄",RIGHT(P281,2)="지남")),D281*10+IF(L281="",30,MIN(M281,60)/2)+MIN(N(F281)/1000,20),"")))))</f>
        <v/>
      </c>
      <c r="R281">
        <f>IF(Q281="","",COUNTIF(Q$4:Q$303,"&gt;"&amp;Q281)+COUNTIF(Q$4:Q281,Q281))</f>
        <v/>
      </c>
    </row>
    <row r="282">
      <c r="A282">
        <f>IF(B282="","",279)</f>
        <v/>
      </c>
      <c r="B282">
        <f>IFERROR(INDEX('2.현장'!$V$2:$V$1001,MATCH(279,'2.현장'!$W$2:$W$1001,0)),"")</f>
        <v/>
      </c>
      <c r="C282">
        <f>IF(B282="","",COUNTIFS('2.현장'!$V$2:$V$1001,B282,'2.현장'!$T$2:$T$1001,TRUE))</f>
        <v/>
      </c>
      <c r="D282">
        <f>IF(B282="","",COUNTIFS('2.현장'!$V$2:$V$1001,B282,'2.현장'!$U$2:$U$1001,"설계사"))</f>
        <v/>
      </c>
      <c r="E282">
        <f>IF(B282="","",COUNTIFS('2.현장'!$V$2:$V$1001,B282,'2.현장'!$U$2:$U$1001,"시공사"))</f>
        <v/>
      </c>
      <c r="F282" s="5">
        <f>IF(B282="","",_xlfn.MAXIFS('2.현장'!$D$2:$D$1001,'2.현장'!$V$2:$V$1001,B282,'2.현장'!$T$2:$T$1001,TRUE))</f>
        <v/>
      </c>
      <c r="G282" s="6">
        <f>IF(B282="","",IF(_xlfn.MAXIFS('2.현장'!$L$2:$L$1001,'2.현장'!$V$2:$V$1001,B282,'2.현장'!$T$2:$T$1001,TRUE)=0,"",_xlfn.MAXIFS('2.현장'!$L$2:$L$1001,'2.현장'!$V$2:$V$1001,B282,'2.현장'!$T$2:$T$1001,TRUE)))</f>
        <v/>
      </c>
      <c r="H282">
        <f>IF(B282="","",IFERROR(INDEX('2.현장'!$C$2:$C$1001,IFERROR(MATCH(B282&amp;"|설계사",'2.현장'!$Z$2:$Z$1001,0),IFERROR(MATCH(B282&amp;"|시공사",'2.현장'!$Z$2:$Z$1001,0),MATCH(B282&amp;"|늦음",'2.현장'!$Z$2:$Z$1001,0)))),""))</f>
        <v/>
      </c>
      <c r="I282">
        <f>IF(B282="","",IFERROR(INDEX('2.현장'!$N$2:$N$1001,IFERROR(MATCH(B282&amp;"|설계사",'2.현장'!$Z$2:$Z$1001,0),IFERROR(MATCH(B282&amp;"|시공사",'2.현장'!$Z$2:$Z$1001,0),MATCH(B282&amp;"|늦음",'2.현장'!$Z$2:$Z$1001,0)))),""))</f>
        <v/>
      </c>
      <c r="J282">
        <f>IF(B282="","",IFERROR(VLOOKUP(B282,설계사_메모!$A$3:$G$302,2,FALSE)&amp;"",""))</f>
        <v/>
      </c>
      <c r="K282">
        <f>IF(B282="","",IFERROR(VLOOKUP(B282,설계사_메모!$A$3:$G$302,4,FALSE)&amp;"",""))</f>
        <v/>
      </c>
      <c r="L282" s="6">
        <f>IF(B282="","",IF(COUNTIF('4.방문기록'!$B$3:$B$502,B282)=0,"",_xlfn.MAXIFS('4.방문기록'!$A$3:$A$502,'4.방문기록'!$B$3:$B$502,B282)))</f>
        <v/>
      </c>
      <c r="M282">
        <f>IF(L282="","",설정!$B$24-L282)</f>
        <v/>
      </c>
      <c r="N282" s="6">
        <f>IF(B282="","",IF(_xlfn.MAXIFS('4.방문기록'!$F$3:$F$502,'4.방문기록'!$B$3:$B$502,B282)=0,"",_xlfn.MAXIFS('4.방문기록'!$F$3:$F$502,'4.방문기록'!$B$3:$B$502,B282)))</f>
        <v/>
      </c>
      <c r="O282">
        <f>IF(L282="","",IFERROR(INDEX('4.방문기록'!$H$3:$H$502,MATCH(B282&amp;"|"&amp;(L282*1),'4.방문기록'!$I$3:$I$502,0))&amp;"",""))</f>
        <v/>
      </c>
      <c r="P282">
        <f>IF(B282="","",IF(O282="관심 없음","제외",IF(L282="","안 가봄",IF(M282&gt;=설정!$B$20,M282&amp;"일 지남","최근 방문"))))</f>
        <v/>
      </c>
      <c r="Q282" s="7">
        <f>IF(B282="","",IF(P282="제외","",IF(AND(설정!$B$21&lt;&gt;"",I282&lt;&gt;설정!$B$21),"",IF(AND(N282&lt;&gt;"",N282&gt;N(L282),N282&lt;=설정!$B$24+7),100+7-(N282-설정!$B$24),IF(AND(D282&gt;0,OR(P282="안 가봄",RIGHT(P282,2)="지남")),D282*10+IF(L282="",30,MIN(M282,60)/2)+MIN(N(F282)/1000,20),"")))))</f>
        <v/>
      </c>
      <c r="R282">
        <f>IF(Q282="","",COUNTIF(Q$4:Q$303,"&gt;"&amp;Q282)+COUNTIF(Q$4:Q282,Q282))</f>
        <v/>
      </c>
    </row>
    <row r="283">
      <c r="A283">
        <f>IF(B283="","",280)</f>
        <v/>
      </c>
      <c r="B283">
        <f>IFERROR(INDEX('2.현장'!$V$2:$V$1001,MATCH(280,'2.현장'!$W$2:$W$1001,0)),"")</f>
        <v/>
      </c>
      <c r="C283">
        <f>IF(B283="","",COUNTIFS('2.현장'!$V$2:$V$1001,B283,'2.현장'!$T$2:$T$1001,TRUE))</f>
        <v/>
      </c>
      <c r="D283">
        <f>IF(B283="","",COUNTIFS('2.현장'!$V$2:$V$1001,B283,'2.현장'!$U$2:$U$1001,"설계사"))</f>
        <v/>
      </c>
      <c r="E283">
        <f>IF(B283="","",COUNTIFS('2.현장'!$V$2:$V$1001,B283,'2.현장'!$U$2:$U$1001,"시공사"))</f>
        <v/>
      </c>
      <c r="F283" s="5">
        <f>IF(B283="","",_xlfn.MAXIFS('2.현장'!$D$2:$D$1001,'2.현장'!$V$2:$V$1001,B283,'2.현장'!$T$2:$T$1001,TRUE))</f>
        <v/>
      </c>
      <c r="G283" s="6">
        <f>IF(B283="","",IF(_xlfn.MAXIFS('2.현장'!$L$2:$L$1001,'2.현장'!$V$2:$V$1001,B283,'2.현장'!$T$2:$T$1001,TRUE)=0,"",_xlfn.MAXIFS('2.현장'!$L$2:$L$1001,'2.현장'!$V$2:$V$1001,B283,'2.현장'!$T$2:$T$1001,TRUE)))</f>
        <v/>
      </c>
      <c r="H283">
        <f>IF(B283="","",IFERROR(INDEX('2.현장'!$C$2:$C$1001,IFERROR(MATCH(B283&amp;"|설계사",'2.현장'!$Z$2:$Z$1001,0),IFERROR(MATCH(B283&amp;"|시공사",'2.현장'!$Z$2:$Z$1001,0),MATCH(B283&amp;"|늦음",'2.현장'!$Z$2:$Z$1001,0)))),""))</f>
        <v/>
      </c>
      <c r="I283">
        <f>IF(B283="","",IFERROR(INDEX('2.현장'!$N$2:$N$1001,IFERROR(MATCH(B283&amp;"|설계사",'2.현장'!$Z$2:$Z$1001,0),IFERROR(MATCH(B283&amp;"|시공사",'2.현장'!$Z$2:$Z$1001,0),MATCH(B283&amp;"|늦음",'2.현장'!$Z$2:$Z$1001,0)))),""))</f>
        <v/>
      </c>
      <c r="J283">
        <f>IF(B283="","",IFERROR(VLOOKUP(B283,설계사_메모!$A$3:$G$302,2,FALSE)&amp;"",""))</f>
        <v/>
      </c>
      <c r="K283">
        <f>IF(B283="","",IFERROR(VLOOKUP(B283,설계사_메모!$A$3:$G$302,4,FALSE)&amp;"",""))</f>
        <v/>
      </c>
      <c r="L283" s="6">
        <f>IF(B283="","",IF(COUNTIF('4.방문기록'!$B$3:$B$502,B283)=0,"",_xlfn.MAXIFS('4.방문기록'!$A$3:$A$502,'4.방문기록'!$B$3:$B$502,B283)))</f>
        <v/>
      </c>
      <c r="M283">
        <f>IF(L283="","",설정!$B$24-L283)</f>
        <v/>
      </c>
      <c r="N283" s="6">
        <f>IF(B283="","",IF(_xlfn.MAXIFS('4.방문기록'!$F$3:$F$502,'4.방문기록'!$B$3:$B$502,B283)=0,"",_xlfn.MAXIFS('4.방문기록'!$F$3:$F$502,'4.방문기록'!$B$3:$B$502,B283)))</f>
        <v/>
      </c>
      <c r="O283">
        <f>IF(L283="","",IFERROR(INDEX('4.방문기록'!$H$3:$H$502,MATCH(B283&amp;"|"&amp;(L283*1),'4.방문기록'!$I$3:$I$502,0))&amp;"",""))</f>
        <v/>
      </c>
      <c r="P283">
        <f>IF(B283="","",IF(O283="관심 없음","제외",IF(L283="","안 가봄",IF(M283&gt;=설정!$B$20,M283&amp;"일 지남","최근 방문"))))</f>
        <v/>
      </c>
      <c r="Q283" s="7">
        <f>IF(B283="","",IF(P283="제외","",IF(AND(설정!$B$21&lt;&gt;"",I283&lt;&gt;설정!$B$21),"",IF(AND(N283&lt;&gt;"",N283&gt;N(L283),N283&lt;=설정!$B$24+7),100+7-(N283-설정!$B$24),IF(AND(D283&gt;0,OR(P283="안 가봄",RIGHT(P283,2)="지남")),D283*10+IF(L283="",30,MIN(M283,60)/2)+MIN(N(F283)/1000,20),"")))))</f>
        <v/>
      </c>
      <c r="R283">
        <f>IF(Q283="","",COUNTIF(Q$4:Q$303,"&gt;"&amp;Q283)+COUNTIF(Q$4:Q283,Q283))</f>
        <v/>
      </c>
    </row>
    <row r="284">
      <c r="A284">
        <f>IF(B284="","",281)</f>
        <v/>
      </c>
      <c r="B284">
        <f>IFERROR(INDEX('2.현장'!$V$2:$V$1001,MATCH(281,'2.현장'!$W$2:$W$1001,0)),"")</f>
        <v/>
      </c>
      <c r="C284">
        <f>IF(B284="","",COUNTIFS('2.현장'!$V$2:$V$1001,B284,'2.현장'!$T$2:$T$1001,TRUE))</f>
        <v/>
      </c>
      <c r="D284">
        <f>IF(B284="","",COUNTIFS('2.현장'!$V$2:$V$1001,B284,'2.현장'!$U$2:$U$1001,"설계사"))</f>
        <v/>
      </c>
      <c r="E284">
        <f>IF(B284="","",COUNTIFS('2.현장'!$V$2:$V$1001,B284,'2.현장'!$U$2:$U$1001,"시공사"))</f>
        <v/>
      </c>
      <c r="F284" s="5">
        <f>IF(B284="","",_xlfn.MAXIFS('2.현장'!$D$2:$D$1001,'2.현장'!$V$2:$V$1001,B284,'2.현장'!$T$2:$T$1001,TRUE))</f>
        <v/>
      </c>
      <c r="G284" s="6">
        <f>IF(B284="","",IF(_xlfn.MAXIFS('2.현장'!$L$2:$L$1001,'2.현장'!$V$2:$V$1001,B284,'2.현장'!$T$2:$T$1001,TRUE)=0,"",_xlfn.MAXIFS('2.현장'!$L$2:$L$1001,'2.현장'!$V$2:$V$1001,B284,'2.현장'!$T$2:$T$1001,TRUE)))</f>
        <v/>
      </c>
      <c r="H284">
        <f>IF(B284="","",IFERROR(INDEX('2.현장'!$C$2:$C$1001,IFERROR(MATCH(B284&amp;"|설계사",'2.현장'!$Z$2:$Z$1001,0),IFERROR(MATCH(B284&amp;"|시공사",'2.현장'!$Z$2:$Z$1001,0),MATCH(B284&amp;"|늦음",'2.현장'!$Z$2:$Z$1001,0)))),""))</f>
        <v/>
      </c>
      <c r="I284">
        <f>IF(B284="","",IFERROR(INDEX('2.현장'!$N$2:$N$1001,IFERROR(MATCH(B284&amp;"|설계사",'2.현장'!$Z$2:$Z$1001,0),IFERROR(MATCH(B284&amp;"|시공사",'2.현장'!$Z$2:$Z$1001,0),MATCH(B284&amp;"|늦음",'2.현장'!$Z$2:$Z$1001,0)))),""))</f>
        <v/>
      </c>
      <c r="J284">
        <f>IF(B284="","",IFERROR(VLOOKUP(B284,설계사_메모!$A$3:$G$302,2,FALSE)&amp;"",""))</f>
        <v/>
      </c>
      <c r="K284">
        <f>IF(B284="","",IFERROR(VLOOKUP(B284,설계사_메모!$A$3:$G$302,4,FALSE)&amp;"",""))</f>
        <v/>
      </c>
      <c r="L284" s="6">
        <f>IF(B284="","",IF(COUNTIF('4.방문기록'!$B$3:$B$502,B284)=0,"",_xlfn.MAXIFS('4.방문기록'!$A$3:$A$502,'4.방문기록'!$B$3:$B$502,B284)))</f>
        <v/>
      </c>
      <c r="M284">
        <f>IF(L284="","",설정!$B$24-L284)</f>
        <v/>
      </c>
      <c r="N284" s="6">
        <f>IF(B284="","",IF(_xlfn.MAXIFS('4.방문기록'!$F$3:$F$502,'4.방문기록'!$B$3:$B$502,B284)=0,"",_xlfn.MAXIFS('4.방문기록'!$F$3:$F$502,'4.방문기록'!$B$3:$B$502,B284)))</f>
        <v/>
      </c>
      <c r="O284">
        <f>IF(L284="","",IFERROR(INDEX('4.방문기록'!$H$3:$H$502,MATCH(B284&amp;"|"&amp;(L284*1),'4.방문기록'!$I$3:$I$502,0))&amp;"",""))</f>
        <v/>
      </c>
      <c r="P284">
        <f>IF(B284="","",IF(O284="관심 없음","제외",IF(L284="","안 가봄",IF(M284&gt;=설정!$B$20,M284&amp;"일 지남","최근 방문"))))</f>
        <v/>
      </c>
      <c r="Q284" s="7">
        <f>IF(B284="","",IF(P284="제외","",IF(AND(설정!$B$21&lt;&gt;"",I284&lt;&gt;설정!$B$21),"",IF(AND(N284&lt;&gt;"",N284&gt;N(L284),N284&lt;=설정!$B$24+7),100+7-(N284-설정!$B$24),IF(AND(D284&gt;0,OR(P284="안 가봄",RIGHT(P284,2)="지남")),D284*10+IF(L284="",30,MIN(M284,60)/2)+MIN(N(F284)/1000,20),"")))))</f>
        <v/>
      </c>
      <c r="R284">
        <f>IF(Q284="","",COUNTIF(Q$4:Q$303,"&gt;"&amp;Q284)+COUNTIF(Q$4:Q284,Q284))</f>
        <v/>
      </c>
    </row>
    <row r="285">
      <c r="A285">
        <f>IF(B285="","",282)</f>
        <v/>
      </c>
      <c r="B285">
        <f>IFERROR(INDEX('2.현장'!$V$2:$V$1001,MATCH(282,'2.현장'!$W$2:$W$1001,0)),"")</f>
        <v/>
      </c>
      <c r="C285">
        <f>IF(B285="","",COUNTIFS('2.현장'!$V$2:$V$1001,B285,'2.현장'!$T$2:$T$1001,TRUE))</f>
        <v/>
      </c>
      <c r="D285">
        <f>IF(B285="","",COUNTIFS('2.현장'!$V$2:$V$1001,B285,'2.현장'!$U$2:$U$1001,"설계사"))</f>
        <v/>
      </c>
      <c r="E285">
        <f>IF(B285="","",COUNTIFS('2.현장'!$V$2:$V$1001,B285,'2.현장'!$U$2:$U$1001,"시공사"))</f>
        <v/>
      </c>
      <c r="F285" s="5">
        <f>IF(B285="","",_xlfn.MAXIFS('2.현장'!$D$2:$D$1001,'2.현장'!$V$2:$V$1001,B285,'2.현장'!$T$2:$T$1001,TRUE))</f>
        <v/>
      </c>
      <c r="G285" s="6">
        <f>IF(B285="","",IF(_xlfn.MAXIFS('2.현장'!$L$2:$L$1001,'2.현장'!$V$2:$V$1001,B285,'2.현장'!$T$2:$T$1001,TRUE)=0,"",_xlfn.MAXIFS('2.현장'!$L$2:$L$1001,'2.현장'!$V$2:$V$1001,B285,'2.현장'!$T$2:$T$1001,TRUE)))</f>
        <v/>
      </c>
      <c r="H285">
        <f>IF(B285="","",IFERROR(INDEX('2.현장'!$C$2:$C$1001,IFERROR(MATCH(B285&amp;"|설계사",'2.현장'!$Z$2:$Z$1001,0),IFERROR(MATCH(B285&amp;"|시공사",'2.현장'!$Z$2:$Z$1001,0),MATCH(B285&amp;"|늦음",'2.현장'!$Z$2:$Z$1001,0)))),""))</f>
        <v/>
      </c>
      <c r="I285">
        <f>IF(B285="","",IFERROR(INDEX('2.현장'!$N$2:$N$1001,IFERROR(MATCH(B285&amp;"|설계사",'2.현장'!$Z$2:$Z$1001,0),IFERROR(MATCH(B285&amp;"|시공사",'2.현장'!$Z$2:$Z$1001,0),MATCH(B285&amp;"|늦음",'2.현장'!$Z$2:$Z$1001,0)))),""))</f>
        <v/>
      </c>
      <c r="J285">
        <f>IF(B285="","",IFERROR(VLOOKUP(B285,설계사_메모!$A$3:$G$302,2,FALSE)&amp;"",""))</f>
        <v/>
      </c>
      <c r="K285">
        <f>IF(B285="","",IFERROR(VLOOKUP(B285,설계사_메모!$A$3:$G$302,4,FALSE)&amp;"",""))</f>
        <v/>
      </c>
      <c r="L285" s="6">
        <f>IF(B285="","",IF(COUNTIF('4.방문기록'!$B$3:$B$502,B285)=0,"",_xlfn.MAXIFS('4.방문기록'!$A$3:$A$502,'4.방문기록'!$B$3:$B$502,B285)))</f>
        <v/>
      </c>
      <c r="M285">
        <f>IF(L285="","",설정!$B$24-L285)</f>
        <v/>
      </c>
      <c r="N285" s="6">
        <f>IF(B285="","",IF(_xlfn.MAXIFS('4.방문기록'!$F$3:$F$502,'4.방문기록'!$B$3:$B$502,B285)=0,"",_xlfn.MAXIFS('4.방문기록'!$F$3:$F$502,'4.방문기록'!$B$3:$B$502,B285)))</f>
        <v/>
      </c>
      <c r="O285">
        <f>IF(L285="","",IFERROR(INDEX('4.방문기록'!$H$3:$H$502,MATCH(B285&amp;"|"&amp;(L285*1),'4.방문기록'!$I$3:$I$502,0))&amp;"",""))</f>
        <v/>
      </c>
      <c r="P285">
        <f>IF(B285="","",IF(O285="관심 없음","제외",IF(L285="","안 가봄",IF(M285&gt;=설정!$B$20,M285&amp;"일 지남","최근 방문"))))</f>
        <v/>
      </c>
      <c r="Q285" s="7">
        <f>IF(B285="","",IF(P285="제외","",IF(AND(설정!$B$21&lt;&gt;"",I285&lt;&gt;설정!$B$21),"",IF(AND(N285&lt;&gt;"",N285&gt;N(L285),N285&lt;=설정!$B$24+7),100+7-(N285-설정!$B$24),IF(AND(D285&gt;0,OR(P285="안 가봄",RIGHT(P285,2)="지남")),D285*10+IF(L285="",30,MIN(M285,60)/2)+MIN(N(F285)/1000,20),"")))))</f>
        <v/>
      </c>
      <c r="R285">
        <f>IF(Q285="","",COUNTIF(Q$4:Q$303,"&gt;"&amp;Q285)+COUNTIF(Q$4:Q285,Q285))</f>
        <v/>
      </c>
    </row>
    <row r="286">
      <c r="A286">
        <f>IF(B286="","",283)</f>
        <v/>
      </c>
      <c r="B286">
        <f>IFERROR(INDEX('2.현장'!$V$2:$V$1001,MATCH(283,'2.현장'!$W$2:$W$1001,0)),"")</f>
        <v/>
      </c>
      <c r="C286">
        <f>IF(B286="","",COUNTIFS('2.현장'!$V$2:$V$1001,B286,'2.현장'!$T$2:$T$1001,TRUE))</f>
        <v/>
      </c>
      <c r="D286">
        <f>IF(B286="","",COUNTIFS('2.현장'!$V$2:$V$1001,B286,'2.현장'!$U$2:$U$1001,"설계사"))</f>
        <v/>
      </c>
      <c r="E286">
        <f>IF(B286="","",COUNTIFS('2.현장'!$V$2:$V$1001,B286,'2.현장'!$U$2:$U$1001,"시공사"))</f>
        <v/>
      </c>
      <c r="F286" s="5">
        <f>IF(B286="","",_xlfn.MAXIFS('2.현장'!$D$2:$D$1001,'2.현장'!$V$2:$V$1001,B286,'2.현장'!$T$2:$T$1001,TRUE))</f>
        <v/>
      </c>
      <c r="G286" s="6">
        <f>IF(B286="","",IF(_xlfn.MAXIFS('2.현장'!$L$2:$L$1001,'2.현장'!$V$2:$V$1001,B286,'2.현장'!$T$2:$T$1001,TRUE)=0,"",_xlfn.MAXIFS('2.현장'!$L$2:$L$1001,'2.현장'!$V$2:$V$1001,B286,'2.현장'!$T$2:$T$1001,TRUE)))</f>
        <v/>
      </c>
      <c r="H286">
        <f>IF(B286="","",IFERROR(INDEX('2.현장'!$C$2:$C$1001,IFERROR(MATCH(B286&amp;"|설계사",'2.현장'!$Z$2:$Z$1001,0),IFERROR(MATCH(B286&amp;"|시공사",'2.현장'!$Z$2:$Z$1001,0),MATCH(B286&amp;"|늦음",'2.현장'!$Z$2:$Z$1001,0)))),""))</f>
        <v/>
      </c>
      <c r="I286">
        <f>IF(B286="","",IFERROR(INDEX('2.현장'!$N$2:$N$1001,IFERROR(MATCH(B286&amp;"|설계사",'2.현장'!$Z$2:$Z$1001,0),IFERROR(MATCH(B286&amp;"|시공사",'2.현장'!$Z$2:$Z$1001,0),MATCH(B286&amp;"|늦음",'2.현장'!$Z$2:$Z$1001,0)))),""))</f>
        <v/>
      </c>
      <c r="J286">
        <f>IF(B286="","",IFERROR(VLOOKUP(B286,설계사_메모!$A$3:$G$302,2,FALSE)&amp;"",""))</f>
        <v/>
      </c>
      <c r="K286">
        <f>IF(B286="","",IFERROR(VLOOKUP(B286,설계사_메모!$A$3:$G$302,4,FALSE)&amp;"",""))</f>
        <v/>
      </c>
      <c r="L286" s="6">
        <f>IF(B286="","",IF(COUNTIF('4.방문기록'!$B$3:$B$502,B286)=0,"",_xlfn.MAXIFS('4.방문기록'!$A$3:$A$502,'4.방문기록'!$B$3:$B$502,B286)))</f>
        <v/>
      </c>
      <c r="M286">
        <f>IF(L286="","",설정!$B$24-L286)</f>
        <v/>
      </c>
      <c r="N286" s="6">
        <f>IF(B286="","",IF(_xlfn.MAXIFS('4.방문기록'!$F$3:$F$502,'4.방문기록'!$B$3:$B$502,B286)=0,"",_xlfn.MAXIFS('4.방문기록'!$F$3:$F$502,'4.방문기록'!$B$3:$B$502,B286)))</f>
        <v/>
      </c>
      <c r="O286">
        <f>IF(L286="","",IFERROR(INDEX('4.방문기록'!$H$3:$H$502,MATCH(B286&amp;"|"&amp;(L286*1),'4.방문기록'!$I$3:$I$502,0))&amp;"",""))</f>
        <v/>
      </c>
      <c r="P286">
        <f>IF(B286="","",IF(O286="관심 없음","제외",IF(L286="","안 가봄",IF(M286&gt;=설정!$B$20,M286&amp;"일 지남","최근 방문"))))</f>
        <v/>
      </c>
      <c r="Q286" s="7">
        <f>IF(B286="","",IF(P286="제외","",IF(AND(설정!$B$21&lt;&gt;"",I286&lt;&gt;설정!$B$21),"",IF(AND(N286&lt;&gt;"",N286&gt;N(L286),N286&lt;=설정!$B$24+7),100+7-(N286-설정!$B$24),IF(AND(D286&gt;0,OR(P286="안 가봄",RIGHT(P286,2)="지남")),D286*10+IF(L286="",30,MIN(M286,60)/2)+MIN(N(F286)/1000,20),"")))))</f>
        <v/>
      </c>
      <c r="R286">
        <f>IF(Q286="","",COUNTIF(Q$4:Q$303,"&gt;"&amp;Q286)+COUNTIF(Q$4:Q286,Q286))</f>
        <v/>
      </c>
    </row>
    <row r="287">
      <c r="A287">
        <f>IF(B287="","",284)</f>
        <v/>
      </c>
      <c r="B287">
        <f>IFERROR(INDEX('2.현장'!$V$2:$V$1001,MATCH(284,'2.현장'!$W$2:$W$1001,0)),"")</f>
        <v/>
      </c>
      <c r="C287">
        <f>IF(B287="","",COUNTIFS('2.현장'!$V$2:$V$1001,B287,'2.현장'!$T$2:$T$1001,TRUE))</f>
        <v/>
      </c>
      <c r="D287">
        <f>IF(B287="","",COUNTIFS('2.현장'!$V$2:$V$1001,B287,'2.현장'!$U$2:$U$1001,"설계사"))</f>
        <v/>
      </c>
      <c r="E287">
        <f>IF(B287="","",COUNTIFS('2.현장'!$V$2:$V$1001,B287,'2.현장'!$U$2:$U$1001,"시공사"))</f>
        <v/>
      </c>
      <c r="F287" s="5">
        <f>IF(B287="","",_xlfn.MAXIFS('2.현장'!$D$2:$D$1001,'2.현장'!$V$2:$V$1001,B287,'2.현장'!$T$2:$T$1001,TRUE))</f>
        <v/>
      </c>
      <c r="G287" s="6">
        <f>IF(B287="","",IF(_xlfn.MAXIFS('2.현장'!$L$2:$L$1001,'2.현장'!$V$2:$V$1001,B287,'2.현장'!$T$2:$T$1001,TRUE)=0,"",_xlfn.MAXIFS('2.현장'!$L$2:$L$1001,'2.현장'!$V$2:$V$1001,B287,'2.현장'!$T$2:$T$1001,TRUE)))</f>
        <v/>
      </c>
      <c r="H287">
        <f>IF(B287="","",IFERROR(INDEX('2.현장'!$C$2:$C$1001,IFERROR(MATCH(B287&amp;"|설계사",'2.현장'!$Z$2:$Z$1001,0),IFERROR(MATCH(B287&amp;"|시공사",'2.현장'!$Z$2:$Z$1001,0),MATCH(B287&amp;"|늦음",'2.현장'!$Z$2:$Z$1001,0)))),""))</f>
        <v/>
      </c>
      <c r="I287">
        <f>IF(B287="","",IFERROR(INDEX('2.현장'!$N$2:$N$1001,IFERROR(MATCH(B287&amp;"|설계사",'2.현장'!$Z$2:$Z$1001,0),IFERROR(MATCH(B287&amp;"|시공사",'2.현장'!$Z$2:$Z$1001,0),MATCH(B287&amp;"|늦음",'2.현장'!$Z$2:$Z$1001,0)))),""))</f>
        <v/>
      </c>
      <c r="J287">
        <f>IF(B287="","",IFERROR(VLOOKUP(B287,설계사_메모!$A$3:$G$302,2,FALSE)&amp;"",""))</f>
        <v/>
      </c>
      <c r="K287">
        <f>IF(B287="","",IFERROR(VLOOKUP(B287,설계사_메모!$A$3:$G$302,4,FALSE)&amp;"",""))</f>
        <v/>
      </c>
      <c r="L287" s="6">
        <f>IF(B287="","",IF(COUNTIF('4.방문기록'!$B$3:$B$502,B287)=0,"",_xlfn.MAXIFS('4.방문기록'!$A$3:$A$502,'4.방문기록'!$B$3:$B$502,B287)))</f>
        <v/>
      </c>
      <c r="M287">
        <f>IF(L287="","",설정!$B$24-L287)</f>
        <v/>
      </c>
      <c r="N287" s="6">
        <f>IF(B287="","",IF(_xlfn.MAXIFS('4.방문기록'!$F$3:$F$502,'4.방문기록'!$B$3:$B$502,B287)=0,"",_xlfn.MAXIFS('4.방문기록'!$F$3:$F$502,'4.방문기록'!$B$3:$B$502,B287)))</f>
        <v/>
      </c>
      <c r="O287">
        <f>IF(L287="","",IFERROR(INDEX('4.방문기록'!$H$3:$H$502,MATCH(B287&amp;"|"&amp;(L287*1),'4.방문기록'!$I$3:$I$502,0))&amp;"",""))</f>
        <v/>
      </c>
      <c r="P287">
        <f>IF(B287="","",IF(O287="관심 없음","제외",IF(L287="","안 가봄",IF(M287&gt;=설정!$B$20,M287&amp;"일 지남","최근 방문"))))</f>
        <v/>
      </c>
      <c r="Q287" s="7">
        <f>IF(B287="","",IF(P287="제외","",IF(AND(설정!$B$21&lt;&gt;"",I287&lt;&gt;설정!$B$21),"",IF(AND(N287&lt;&gt;"",N287&gt;N(L287),N287&lt;=설정!$B$24+7),100+7-(N287-설정!$B$24),IF(AND(D287&gt;0,OR(P287="안 가봄",RIGHT(P287,2)="지남")),D287*10+IF(L287="",30,MIN(M287,60)/2)+MIN(N(F287)/1000,20),"")))))</f>
        <v/>
      </c>
      <c r="R287">
        <f>IF(Q287="","",COUNTIF(Q$4:Q$303,"&gt;"&amp;Q287)+COUNTIF(Q$4:Q287,Q287))</f>
        <v/>
      </c>
    </row>
    <row r="288">
      <c r="A288">
        <f>IF(B288="","",285)</f>
        <v/>
      </c>
      <c r="B288">
        <f>IFERROR(INDEX('2.현장'!$V$2:$V$1001,MATCH(285,'2.현장'!$W$2:$W$1001,0)),"")</f>
        <v/>
      </c>
      <c r="C288">
        <f>IF(B288="","",COUNTIFS('2.현장'!$V$2:$V$1001,B288,'2.현장'!$T$2:$T$1001,TRUE))</f>
        <v/>
      </c>
      <c r="D288">
        <f>IF(B288="","",COUNTIFS('2.현장'!$V$2:$V$1001,B288,'2.현장'!$U$2:$U$1001,"설계사"))</f>
        <v/>
      </c>
      <c r="E288">
        <f>IF(B288="","",COUNTIFS('2.현장'!$V$2:$V$1001,B288,'2.현장'!$U$2:$U$1001,"시공사"))</f>
        <v/>
      </c>
      <c r="F288" s="5">
        <f>IF(B288="","",_xlfn.MAXIFS('2.현장'!$D$2:$D$1001,'2.현장'!$V$2:$V$1001,B288,'2.현장'!$T$2:$T$1001,TRUE))</f>
        <v/>
      </c>
      <c r="G288" s="6">
        <f>IF(B288="","",IF(_xlfn.MAXIFS('2.현장'!$L$2:$L$1001,'2.현장'!$V$2:$V$1001,B288,'2.현장'!$T$2:$T$1001,TRUE)=0,"",_xlfn.MAXIFS('2.현장'!$L$2:$L$1001,'2.현장'!$V$2:$V$1001,B288,'2.현장'!$T$2:$T$1001,TRUE)))</f>
        <v/>
      </c>
      <c r="H288">
        <f>IF(B288="","",IFERROR(INDEX('2.현장'!$C$2:$C$1001,IFERROR(MATCH(B288&amp;"|설계사",'2.현장'!$Z$2:$Z$1001,0),IFERROR(MATCH(B288&amp;"|시공사",'2.현장'!$Z$2:$Z$1001,0),MATCH(B288&amp;"|늦음",'2.현장'!$Z$2:$Z$1001,0)))),""))</f>
        <v/>
      </c>
      <c r="I288">
        <f>IF(B288="","",IFERROR(INDEX('2.현장'!$N$2:$N$1001,IFERROR(MATCH(B288&amp;"|설계사",'2.현장'!$Z$2:$Z$1001,0),IFERROR(MATCH(B288&amp;"|시공사",'2.현장'!$Z$2:$Z$1001,0),MATCH(B288&amp;"|늦음",'2.현장'!$Z$2:$Z$1001,0)))),""))</f>
        <v/>
      </c>
      <c r="J288">
        <f>IF(B288="","",IFERROR(VLOOKUP(B288,설계사_메모!$A$3:$G$302,2,FALSE)&amp;"",""))</f>
        <v/>
      </c>
      <c r="K288">
        <f>IF(B288="","",IFERROR(VLOOKUP(B288,설계사_메모!$A$3:$G$302,4,FALSE)&amp;"",""))</f>
        <v/>
      </c>
      <c r="L288" s="6">
        <f>IF(B288="","",IF(COUNTIF('4.방문기록'!$B$3:$B$502,B288)=0,"",_xlfn.MAXIFS('4.방문기록'!$A$3:$A$502,'4.방문기록'!$B$3:$B$502,B288)))</f>
        <v/>
      </c>
      <c r="M288">
        <f>IF(L288="","",설정!$B$24-L288)</f>
        <v/>
      </c>
      <c r="N288" s="6">
        <f>IF(B288="","",IF(_xlfn.MAXIFS('4.방문기록'!$F$3:$F$502,'4.방문기록'!$B$3:$B$502,B288)=0,"",_xlfn.MAXIFS('4.방문기록'!$F$3:$F$502,'4.방문기록'!$B$3:$B$502,B288)))</f>
        <v/>
      </c>
      <c r="O288">
        <f>IF(L288="","",IFERROR(INDEX('4.방문기록'!$H$3:$H$502,MATCH(B288&amp;"|"&amp;(L288*1),'4.방문기록'!$I$3:$I$502,0))&amp;"",""))</f>
        <v/>
      </c>
      <c r="P288">
        <f>IF(B288="","",IF(O288="관심 없음","제외",IF(L288="","안 가봄",IF(M288&gt;=설정!$B$20,M288&amp;"일 지남","최근 방문"))))</f>
        <v/>
      </c>
      <c r="Q288" s="7">
        <f>IF(B288="","",IF(P288="제외","",IF(AND(설정!$B$21&lt;&gt;"",I288&lt;&gt;설정!$B$21),"",IF(AND(N288&lt;&gt;"",N288&gt;N(L288),N288&lt;=설정!$B$24+7),100+7-(N288-설정!$B$24),IF(AND(D288&gt;0,OR(P288="안 가봄",RIGHT(P288,2)="지남")),D288*10+IF(L288="",30,MIN(M288,60)/2)+MIN(N(F288)/1000,20),"")))))</f>
        <v/>
      </c>
      <c r="R288">
        <f>IF(Q288="","",COUNTIF(Q$4:Q$303,"&gt;"&amp;Q288)+COUNTIF(Q$4:Q288,Q288))</f>
        <v/>
      </c>
    </row>
    <row r="289">
      <c r="A289">
        <f>IF(B289="","",286)</f>
        <v/>
      </c>
      <c r="B289">
        <f>IFERROR(INDEX('2.현장'!$V$2:$V$1001,MATCH(286,'2.현장'!$W$2:$W$1001,0)),"")</f>
        <v/>
      </c>
      <c r="C289">
        <f>IF(B289="","",COUNTIFS('2.현장'!$V$2:$V$1001,B289,'2.현장'!$T$2:$T$1001,TRUE))</f>
        <v/>
      </c>
      <c r="D289">
        <f>IF(B289="","",COUNTIFS('2.현장'!$V$2:$V$1001,B289,'2.현장'!$U$2:$U$1001,"설계사"))</f>
        <v/>
      </c>
      <c r="E289">
        <f>IF(B289="","",COUNTIFS('2.현장'!$V$2:$V$1001,B289,'2.현장'!$U$2:$U$1001,"시공사"))</f>
        <v/>
      </c>
      <c r="F289" s="5">
        <f>IF(B289="","",_xlfn.MAXIFS('2.현장'!$D$2:$D$1001,'2.현장'!$V$2:$V$1001,B289,'2.현장'!$T$2:$T$1001,TRUE))</f>
        <v/>
      </c>
      <c r="G289" s="6">
        <f>IF(B289="","",IF(_xlfn.MAXIFS('2.현장'!$L$2:$L$1001,'2.현장'!$V$2:$V$1001,B289,'2.현장'!$T$2:$T$1001,TRUE)=0,"",_xlfn.MAXIFS('2.현장'!$L$2:$L$1001,'2.현장'!$V$2:$V$1001,B289,'2.현장'!$T$2:$T$1001,TRUE)))</f>
        <v/>
      </c>
      <c r="H289">
        <f>IF(B289="","",IFERROR(INDEX('2.현장'!$C$2:$C$1001,IFERROR(MATCH(B289&amp;"|설계사",'2.현장'!$Z$2:$Z$1001,0),IFERROR(MATCH(B289&amp;"|시공사",'2.현장'!$Z$2:$Z$1001,0),MATCH(B289&amp;"|늦음",'2.현장'!$Z$2:$Z$1001,0)))),""))</f>
        <v/>
      </c>
      <c r="I289">
        <f>IF(B289="","",IFERROR(INDEX('2.현장'!$N$2:$N$1001,IFERROR(MATCH(B289&amp;"|설계사",'2.현장'!$Z$2:$Z$1001,0),IFERROR(MATCH(B289&amp;"|시공사",'2.현장'!$Z$2:$Z$1001,0),MATCH(B289&amp;"|늦음",'2.현장'!$Z$2:$Z$1001,0)))),""))</f>
        <v/>
      </c>
      <c r="J289">
        <f>IF(B289="","",IFERROR(VLOOKUP(B289,설계사_메모!$A$3:$G$302,2,FALSE)&amp;"",""))</f>
        <v/>
      </c>
      <c r="K289">
        <f>IF(B289="","",IFERROR(VLOOKUP(B289,설계사_메모!$A$3:$G$302,4,FALSE)&amp;"",""))</f>
        <v/>
      </c>
      <c r="L289" s="6">
        <f>IF(B289="","",IF(COUNTIF('4.방문기록'!$B$3:$B$502,B289)=0,"",_xlfn.MAXIFS('4.방문기록'!$A$3:$A$502,'4.방문기록'!$B$3:$B$502,B289)))</f>
        <v/>
      </c>
      <c r="M289">
        <f>IF(L289="","",설정!$B$24-L289)</f>
        <v/>
      </c>
      <c r="N289" s="6">
        <f>IF(B289="","",IF(_xlfn.MAXIFS('4.방문기록'!$F$3:$F$502,'4.방문기록'!$B$3:$B$502,B289)=0,"",_xlfn.MAXIFS('4.방문기록'!$F$3:$F$502,'4.방문기록'!$B$3:$B$502,B289)))</f>
        <v/>
      </c>
      <c r="O289">
        <f>IF(L289="","",IFERROR(INDEX('4.방문기록'!$H$3:$H$502,MATCH(B289&amp;"|"&amp;(L289*1),'4.방문기록'!$I$3:$I$502,0))&amp;"",""))</f>
        <v/>
      </c>
      <c r="P289">
        <f>IF(B289="","",IF(O289="관심 없음","제외",IF(L289="","안 가봄",IF(M289&gt;=설정!$B$20,M289&amp;"일 지남","최근 방문"))))</f>
        <v/>
      </c>
      <c r="Q289" s="7">
        <f>IF(B289="","",IF(P289="제외","",IF(AND(설정!$B$21&lt;&gt;"",I289&lt;&gt;설정!$B$21),"",IF(AND(N289&lt;&gt;"",N289&gt;N(L289),N289&lt;=설정!$B$24+7),100+7-(N289-설정!$B$24),IF(AND(D289&gt;0,OR(P289="안 가봄",RIGHT(P289,2)="지남")),D289*10+IF(L289="",30,MIN(M289,60)/2)+MIN(N(F289)/1000,20),"")))))</f>
        <v/>
      </c>
      <c r="R289">
        <f>IF(Q289="","",COUNTIF(Q$4:Q$303,"&gt;"&amp;Q289)+COUNTIF(Q$4:Q289,Q289))</f>
        <v/>
      </c>
    </row>
    <row r="290">
      <c r="A290">
        <f>IF(B290="","",287)</f>
        <v/>
      </c>
      <c r="B290">
        <f>IFERROR(INDEX('2.현장'!$V$2:$V$1001,MATCH(287,'2.현장'!$W$2:$W$1001,0)),"")</f>
        <v/>
      </c>
      <c r="C290">
        <f>IF(B290="","",COUNTIFS('2.현장'!$V$2:$V$1001,B290,'2.현장'!$T$2:$T$1001,TRUE))</f>
        <v/>
      </c>
      <c r="D290">
        <f>IF(B290="","",COUNTIFS('2.현장'!$V$2:$V$1001,B290,'2.현장'!$U$2:$U$1001,"설계사"))</f>
        <v/>
      </c>
      <c r="E290">
        <f>IF(B290="","",COUNTIFS('2.현장'!$V$2:$V$1001,B290,'2.현장'!$U$2:$U$1001,"시공사"))</f>
        <v/>
      </c>
      <c r="F290" s="5">
        <f>IF(B290="","",_xlfn.MAXIFS('2.현장'!$D$2:$D$1001,'2.현장'!$V$2:$V$1001,B290,'2.현장'!$T$2:$T$1001,TRUE))</f>
        <v/>
      </c>
      <c r="G290" s="6">
        <f>IF(B290="","",IF(_xlfn.MAXIFS('2.현장'!$L$2:$L$1001,'2.현장'!$V$2:$V$1001,B290,'2.현장'!$T$2:$T$1001,TRUE)=0,"",_xlfn.MAXIFS('2.현장'!$L$2:$L$1001,'2.현장'!$V$2:$V$1001,B290,'2.현장'!$T$2:$T$1001,TRUE)))</f>
        <v/>
      </c>
      <c r="H290">
        <f>IF(B290="","",IFERROR(INDEX('2.현장'!$C$2:$C$1001,IFERROR(MATCH(B290&amp;"|설계사",'2.현장'!$Z$2:$Z$1001,0),IFERROR(MATCH(B290&amp;"|시공사",'2.현장'!$Z$2:$Z$1001,0),MATCH(B290&amp;"|늦음",'2.현장'!$Z$2:$Z$1001,0)))),""))</f>
        <v/>
      </c>
      <c r="I290">
        <f>IF(B290="","",IFERROR(INDEX('2.현장'!$N$2:$N$1001,IFERROR(MATCH(B290&amp;"|설계사",'2.현장'!$Z$2:$Z$1001,0),IFERROR(MATCH(B290&amp;"|시공사",'2.현장'!$Z$2:$Z$1001,0),MATCH(B290&amp;"|늦음",'2.현장'!$Z$2:$Z$1001,0)))),""))</f>
        <v/>
      </c>
      <c r="J290">
        <f>IF(B290="","",IFERROR(VLOOKUP(B290,설계사_메모!$A$3:$G$302,2,FALSE)&amp;"",""))</f>
        <v/>
      </c>
      <c r="K290">
        <f>IF(B290="","",IFERROR(VLOOKUP(B290,설계사_메모!$A$3:$G$302,4,FALSE)&amp;"",""))</f>
        <v/>
      </c>
      <c r="L290" s="6">
        <f>IF(B290="","",IF(COUNTIF('4.방문기록'!$B$3:$B$502,B290)=0,"",_xlfn.MAXIFS('4.방문기록'!$A$3:$A$502,'4.방문기록'!$B$3:$B$502,B290)))</f>
        <v/>
      </c>
      <c r="M290">
        <f>IF(L290="","",설정!$B$24-L290)</f>
        <v/>
      </c>
      <c r="N290" s="6">
        <f>IF(B290="","",IF(_xlfn.MAXIFS('4.방문기록'!$F$3:$F$502,'4.방문기록'!$B$3:$B$502,B290)=0,"",_xlfn.MAXIFS('4.방문기록'!$F$3:$F$502,'4.방문기록'!$B$3:$B$502,B290)))</f>
        <v/>
      </c>
      <c r="O290">
        <f>IF(L290="","",IFERROR(INDEX('4.방문기록'!$H$3:$H$502,MATCH(B290&amp;"|"&amp;(L290*1),'4.방문기록'!$I$3:$I$502,0))&amp;"",""))</f>
        <v/>
      </c>
      <c r="P290">
        <f>IF(B290="","",IF(O290="관심 없음","제외",IF(L290="","안 가봄",IF(M290&gt;=설정!$B$20,M290&amp;"일 지남","최근 방문"))))</f>
        <v/>
      </c>
      <c r="Q290" s="7">
        <f>IF(B290="","",IF(P290="제외","",IF(AND(설정!$B$21&lt;&gt;"",I290&lt;&gt;설정!$B$21),"",IF(AND(N290&lt;&gt;"",N290&gt;N(L290),N290&lt;=설정!$B$24+7),100+7-(N290-설정!$B$24),IF(AND(D290&gt;0,OR(P290="안 가봄",RIGHT(P290,2)="지남")),D290*10+IF(L290="",30,MIN(M290,60)/2)+MIN(N(F290)/1000,20),"")))))</f>
        <v/>
      </c>
      <c r="R290">
        <f>IF(Q290="","",COUNTIF(Q$4:Q$303,"&gt;"&amp;Q290)+COUNTIF(Q$4:Q290,Q290))</f>
        <v/>
      </c>
    </row>
    <row r="291">
      <c r="A291">
        <f>IF(B291="","",288)</f>
        <v/>
      </c>
      <c r="B291">
        <f>IFERROR(INDEX('2.현장'!$V$2:$V$1001,MATCH(288,'2.현장'!$W$2:$W$1001,0)),"")</f>
        <v/>
      </c>
      <c r="C291">
        <f>IF(B291="","",COUNTIFS('2.현장'!$V$2:$V$1001,B291,'2.현장'!$T$2:$T$1001,TRUE))</f>
        <v/>
      </c>
      <c r="D291">
        <f>IF(B291="","",COUNTIFS('2.현장'!$V$2:$V$1001,B291,'2.현장'!$U$2:$U$1001,"설계사"))</f>
        <v/>
      </c>
      <c r="E291">
        <f>IF(B291="","",COUNTIFS('2.현장'!$V$2:$V$1001,B291,'2.현장'!$U$2:$U$1001,"시공사"))</f>
        <v/>
      </c>
      <c r="F291" s="5">
        <f>IF(B291="","",_xlfn.MAXIFS('2.현장'!$D$2:$D$1001,'2.현장'!$V$2:$V$1001,B291,'2.현장'!$T$2:$T$1001,TRUE))</f>
        <v/>
      </c>
      <c r="G291" s="6">
        <f>IF(B291="","",IF(_xlfn.MAXIFS('2.현장'!$L$2:$L$1001,'2.현장'!$V$2:$V$1001,B291,'2.현장'!$T$2:$T$1001,TRUE)=0,"",_xlfn.MAXIFS('2.현장'!$L$2:$L$1001,'2.현장'!$V$2:$V$1001,B291,'2.현장'!$T$2:$T$1001,TRUE)))</f>
        <v/>
      </c>
      <c r="H291">
        <f>IF(B291="","",IFERROR(INDEX('2.현장'!$C$2:$C$1001,IFERROR(MATCH(B291&amp;"|설계사",'2.현장'!$Z$2:$Z$1001,0),IFERROR(MATCH(B291&amp;"|시공사",'2.현장'!$Z$2:$Z$1001,0),MATCH(B291&amp;"|늦음",'2.현장'!$Z$2:$Z$1001,0)))),""))</f>
        <v/>
      </c>
      <c r="I291">
        <f>IF(B291="","",IFERROR(INDEX('2.현장'!$N$2:$N$1001,IFERROR(MATCH(B291&amp;"|설계사",'2.현장'!$Z$2:$Z$1001,0),IFERROR(MATCH(B291&amp;"|시공사",'2.현장'!$Z$2:$Z$1001,0),MATCH(B291&amp;"|늦음",'2.현장'!$Z$2:$Z$1001,0)))),""))</f>
        <v/>
      </c>
      <c r="J291">
        <f>IF(B291="","",IFERROR(VLOOKUP(B291,설계사_메모!$A$3:$G$302,2,FALSE)&amp;"",""))</f>
        <v/>
      </c>
      <c r="K291">
        <f>IF(B291="","",IFERROR(VLOOKUP(B291,설계사_메모!$A$3:$G$302,4,FALSE)&amp;"",""))</f>
        <v/>
      </c>
      <c r="L291" s="6">
        <f>IF(B291="","",IF(COUNTIF('4.방문기록'!$B$3:$B$502,B291)=0,"",_xlfn.MAXIFS('4.방문기록'!$A$3:$A$502,'4.방문기록'!$B$3:$B$502,B291)))</f>
        <v/>
      </c>
      <c r="M291">
        <f>IF(L291="","",설정!$B$24-L291)</f>
        <v/>
      </c>
      <c r="N291" s="6">
        <f>IF(B291="","",IF(_xlfn.MAXIFS('4.방문기록'!$F$3:$F$502,'4.방문기록'!$B$3:$B$502,B291)=0,"",_xlfn.MAXIFS('4.방문기록'!$F$3:$F$502,'4.방문기록'!$B$3:$B$502,B291)))</f>
        <v/>
      </c>
      <c r="O291">
        <f>IF(L291="","",IFERROR(INDEX('4.방문기록'!$H$3:$H$502,MATCH(B291&amp;"|"&amp;(L291*1),'4.방문기록'!$I$3:$I$502,0))&amp;"",""))</f>
        <v/>
      </c>
      <c r="P291">
        <f>IF(B291="","",IF(O291="관심 없음","제외",IF(L291="","안 가봄",IF(M291&gt;=설정!$B$20,M291&amp;"일 지남","최근 방문"))))</f>
        <v/>
      </c>
      <c r="Q291" s="7">
        <f>IF(B291="","",IF(P291="제외","",IF(AND(설정!$B$21&lt;&gt;"",I291&lt;&gt;설정!$B$21),"",IF(AND(N291&lt;&gt;"",N291&gt;N(L291),N291&lt;=설정!$B$24+7),100+7-(N291-설정!$B$24),IF(AND(D291&gt;0,OR(P291="안 가봄",RIGHT(P291,2)="지남")),D291*10+IF(L291="",30,MIN(M291,60)/2)+MIN(N(F291)/1000,20),"")))))</f>
        <v/>
      </c>
      <c r="R291">
        <f>IF(Q291="","",COUNTIF(Q$4:Q$303,"&gt;"&amp;Q291)+COUNTIF(Q$4:Q291,Q291))</f>
        <v/>
      </c>
    </row>
    <row r="292">
      <c r="A292">
        <f>IF(B292="","",289)</f>
        <v/>
      </c>
      <c r="B292">
        <f>IFERROR(INDEX('2.현장'!$V$2:$V$1001,MATCH(289,'2.현장'!$W$2:$W$1001,0)),"")</f>
        <v/>
      </c>
      <c r="C292">
        <f>IF(B292="","",COUNTIFS('2.현장'!$V$2:$V$1001,B292,'2.현장'!$T$2:$T$1001,TRUE))</f>
        <v/>
      </c>
      <c r="D292">
        <f>IF(B292="","",COUNTIFS('2.현장'!$V$2:$V$1001,B292,'2.현장'!$U$2:$U$1001,"설계사"))</f>
        <v/>
      </c>
      <c r="E292">
        <f>IF(B292="","",COUNTIFS('2.현장'!$V$2:$V$1001,B292,'2.현장'!$U$2:$U$1001,"시공사"))</f>
        <v/>
      </c>
      <c r="F292" s="5">
        <f>IF(B292="","",_xlfn.MAXIFS('2.현장'!$D$2:$D$1001,'2.현장'!$V$2:$V$1001,B292,'2.현장'!$T$2:$T$1001,TRUE))</f>
        <v/>
      </c>
      <c r="G292" s="6">
        <f>IF(B292="","",IF(_xlfn.MAXIFS('2.현장'!$L$2:$L$1001,'2.현장'!$V$2:$V$1001,B292,'2.현장'!$T$2:$T$1001,TRUE)=0,"",_xlfn.MAXIFS('2.현장'!$L$2:$L$1001,'2.현장'!$V$2:$V$1001,B292,'2.현장'!$T$2:$T$1001,TRUE)))</f>
        <v/>
      </c>
      <c r="H292">
        <f>IF(B292="","",IFERROR(INDEX('2.현장'!$C$2:$C$1001,IFERROR(MATCH(B292&amp;"|설계사",'2.현장'!$Z$2:$Z$1001,0),IFERROR(MATCH(B292&amp;"|시공사",'2.현장'!$Z$2:$Z$1001,0),MATCH(B292&amp;"|늦음",'2.현장'!$Z$2:$Z$1001,0)))),""))</f>
        <v/>
      </c>
      <c r="I292">
        <f>IF(B292="","",IFERROR(INDEX('2.현장'!$N$2:$N$1001,IFERROR(MATCH(B292&amp;"|설계사",'2.현장'!$Z$2:$Z$1001,0),IFERROR(MATCH(B292&amp;"|시공사",'2.현장'!$Z$2:$Z$1001,0),MATCH(B292&amp;"|늦음",'2.현장'!$Z$2:$Z$1001,0)))),""))</f>
        <v/>
      </c>
      <c r="J292">
        <f>IF(B292="","",IFERROR(VLOOKUP(B292,설계사_메모!$A$3:$G$302,2,FALSE)&amp;"",""))</f>
        <v/>
      </c>
      <c r="K292">
        <f>IF(B292="","",IFERROR(VLOOKUP(B292,설계사_메모!$A$3:$G$302,4,FALSE)&amp;"",""))</f>
        <v/>
      </c>
      <c r="L292" s="6">
        <f>IF(B292="","",IF(COUNTIF('4.방문기록'!$B$3:$B$502,B292)=0,"",_xlfn.MAXIFS('4.방문기록'!$A$3:$A$502,'4.방문기록'!$B$3:$B$502,B292)))</f>
        <v/>
      </c>
      <c r="M292">
        <f>IF(L292="","",설정!$B$24-L292)</f>
        <v/>
      </c>
      <c r="N292" s="6">
        <f>IF(B292="","",IF(_xlfn.MAXIFS('4.방문기록'!$F$3:$F$502,'4.방문기록'!$B$3:$B$502,B292)=0,"",_xlfn.MAXIFS('4.방문기록'!$F$3:$F$502,'4.방문기록'!$B$3:$B$502,B292)))</f>
        <v/>
      </c>
      <c r="O292">
        <f>IF(L292="","",IFERROR(INDEX('4.방문기록'!$H$3:$H$502,MATCH(B292&amp;"|"&amp;(L292*1),'4.방문기록'!$I$3:$I$502,0))&amp;"",""))</f>
        <v/>
      </c>
      <c r="P292">
        <f>IF(B292="","",IF(O292="관심 없음","제외",IF(L292="","안 가봄",IF(M292&gt;=설정!$B$20,M292&amp;"일 지남","최근 방문"))))</f>
        <v/>
      </c>
      <c r="Q292" s="7">
        <f>IF(B292="","",IF(P292="제외","",IF(AND(설정!$B$21&lt;&gt;"",I292&lt;&gt;설정!$B$21),"",IF(AND(N292&lt;&gt;"",N292&gt;N(L292),N292&lt;=설정!$B$24+7),100+7-(N292-설정!$B$24),IF(AND(D292&gt;0,OR(P292="안 가봄",RIGHT(P292,2)="지남")),D292*10+IF(L292="",30,MIN(M292,60)/2)+MIN(N(F292)/1000,20),"")))))</f>
        <v/>
      </c>
      <c r="R292">
        <f>IF(Q292="","",COUNTIF(Q$4:Q$303,"&gt;"&amp;Q292)+COUNTIF(Q$4:Q292,Q292))</f>
        <v/>
      </c>
    </row>
    <row r="293">
      <c r="A293">
        <f>IF(B293="","",290)</f>
        <v/>
      </c>
      <c r="B293">
        <f>IFERROR(INDEX('2.현장'!$V$2:$V$1001,MATCH(290,'2.현장'!$W$2:$W$1001,0)),"")</f>
        <v/>
      </c>
      <c r="C293">
        <f>IF(B293="","",COUNTIFS('2.현장'!$V$2:$V$1001,B293,'2.현장'!$T$2:$T$1001,TRUE))</f>
        <v/>
      </c>
      <c r="D293">
        <f>IF(B293="","",COUNTIFS('2.현장'!$V$2:$V$1001,B293,'2.현장'!$U$2:$U$1001,"설계사"))</f>
        <v/>
      </c>
      <c r="E293">
        <f>IF(B293="","",COUNTIFS('2.현장'!$V$2:$V$1001,B293,'2.현장'!$U$2:$U$1001,"시공사"))</f>
        <v/>
      </c>
      <c r="F293" s="5">
        <f>IF(B293="","",_xlfn.MAXIFS('2.현장'!$D$2:$D$1001,'2.현장'!$V$2:$V$1001,B293,'2.현장'!$T$2:$T$1001,TRUE))</f>
        <v/>
      </c>
      <c r="G293" s="6">
        <f>IF(B293="","",IF(_xlfn.MAXIFS('2.현장'!$L$2:$L$1001,'2.현장'!$V$2:$V$1001,B293,'2.현장'!$T$2:$T$1001,TRUE)=0,"",_xlfn.MAXIFS('2.현장'!$L$2:$L$1001,'2.현장'!$V$2:$V$1001,B293,'2.현장'!$T$2:$T$1001,TRUE)))</f>
        <v/>
      </c>
      <c r="H293">
        <f>IF(B293="","",IFERROR(INDEX('2.현장'!$C$2:$C$1001,IFERROR(MATCH(B293&amp;"|설계사",'2.현장'!$Z$2:$Z$1001,0),IFERROR(MATCH(B293&amp;"|시공사",'2.현장'!$Z$2:$Z$1001,0),MATCH(B293&amp;"|늦음",'2.현장'!$Z$2:$Z$1001,0)))),""))</f>
        <v/>
      </c>
      <c r="I293">
        <f>IF(B293="","",IFERROR(INDEX('2.현장'!$N$2:$N$1001,IFERROR(MATCH(B293&amp;"|설계사",'2.현장'!$Z$2:$Z$1001,0),IFERROR(MATCH(B293&amp;"|시공사",'2.현장'!$Z$2:$Z$1001,0),MATCH(B293&amp;"|늦음",'2.현장'!$Z$2:$Z$1001,0)))),""))</f>
        <v/>
      </c>
      <c r="J293">
        <f>IF(B293="","",IFERROR(VLOOKUP(B293,설계사_메모!$A$3:$G$302,2,FALSE)&amp;"",""))</f>
        <v/>
      </c>
      <c r="K293">
        <f>IF(B293="","",IFERROR(VLOOKUP(B293,설계사_메모!$A$3:$G$302,4,FALSE)&amp;"",""))</f>
        <v/>
      </c>
      <c r="L293" s="6">
        <f>IF(B293="","",IF(COUNTIF('4.방문기록'!$B$3:$B$502,B293)=0,"",_xlfn.MAXIFS('4.방문기록'!$A$3:$A$502,'4.방문기록'!$B$3:$B$502,B293)))</f>
        <v/>
      </c>
      <c r="M293">
        <f>IF(L293="","",설정!$B$24-L293)</f>
        <v/>
      </c>
      <c r="N293" s="6">
        <f>IF(B293="","",IF(_xlfn.MAXIFS('4.방문기록'!$F$3:$F$502,'4.방문기록'!$B$3:$B$502,B293)=0,"",_xlfn.MAXIFS('4.방문기록'!$F$3:$F$502,'4.방문기록'!$B$3:$B$502,B293)))</f>
        <v/>
      </c>
      <c r="O293">
        <f>IF(L293="","",IFERROR(INDEX('4.방문기록'!$H$3:$H$502,MATCH(B293&amp;"|"&amp;(L293*1),'4.방문기록'!$I$3:$I$502,0))&amp;"",""))</f>
        <v/>
      </c>
      <c r="P293">
        <f>IF(B293="","",IF(O293="관심 없음","제외",IF(L293="","안 가봄",IF(M293&gt;=설정!$B$20,M293&amp;"일 지남","최근 방문"))))</f>
        <v/>
      </c>
      <c r="Q293" s="7">
        <f>IF(B293="","",IF(P293="제외","",IF(AND(설정!$B$21&lt;&gt;"",I293&lt;&gt;설정!$B$21),"",IF(AND(N293&lt;&gt;"",N293&gt;N(L293),N293&lt;=설정!$B$24+7),100+7-(N293-설정!$B$24),IF(AND(D293&gt;0,OR(P293="안 가봄",RIGHT(P293,2)="지남")),D293*10+IF(L293="",30,MIN(M293,60)/2)+MIN(N(F293)/1000,20),"")))))</f>
        <v/>
      </c>
      <c r="R293">
        <f>IF(Q293="","",COUNTIF(Q$4:Q$303,"&gt;"&amp;Q293)+COUNTIF(Q$4:Q293,Q293))</f>
        <v/>
      </c>
    </row>
    <row r="294">
      <c r="A294">
        <f>IF(B294="","",291)</f>
        <v/>
      </c>
      <c r="B294">
        <f>IFERROR(INDEX('2.현장'!$V$2:$V$1001,MATCH(291,'2.현장'!$W$2:$W$1001,0)),"")</f>
        <v/>
      </c>
      <c r="C294">
        <f>IF(B294="","",COUNTIFS('2.현장'!$V$2:$V$1001,B294,'2.현장'!$T$2:$T$1001,TRUE))</f>
        <v/>
      </c>
      <c r="D294">
        <f>IF(B294="","",COUNTIFS('2.현장'!$V$2:$V$1001,B294,'2.현장'!$U$2:$U$1001,"설계사"))</f>
        <v/>
      </c>
      <c r="E294">
        <f>IF(B294="","",COUNTIFS('2.현장'!$V$2:$V$1001,B294,'2.현장'!$U$2:$U$1001,"시공사"))</f>
        <v/>
      </c>
      <c r="F294" s="5">
        <f>IF(B294="","",_xlfn.MAXIFS('2.현장'!$D$2:$D$1001,'2.현장'!$V$2:$V$1001,B294,'2.현장'!$T$2:$T$1001,TRUE))</f>
        <v/>
      </c>
      <c r="G294" s="6">
        <f>IF(B294="","",IF(_xlfn.MAXIFS('2.현장'!$L$2:$L$1001,'2.현장'!$V$2:$V$1001,B294,'2.현장'!$T$2:$T$1001,TRUE)=0,"",_xlfn.MAXIFS('2.현장'!$L$2:$L$1001,'2.현장'!$V$2:$V$1001,B294,'2.현장'!$T$2:$T$1001,TRUE)))</f>
        <v/>
      </c>
      <c r="H294">
        <f>IF(B294="","",IFERROR(INDEX('2.현장'!$C$2:$C$1001,IFERROR(MATCH(B294&amp;"|설계사",'2.현장'!$Z$2:$Z$1001,0),IFERROR(MATCH(B294&amp;"|시공사",'2.현장'!$Z$2:$Z$1001,0),MATCH(B294&amp;"|늦음",'2.현장'!$Z$2:$Z$1001,0)))),""))</f>
        <v/>
      </c>
      <c r="I294">
        <f>IF(B294="","",IFERROR(INDEX('2.현장'!$N$2:$N$1001,IFERROR(MATCH(B294&amp;"|설계사",'2.현장'!$Z$2:$Z$1001,0),IFERROR(MATCH(B294&amp;"|시공사",'2.현장'!$Z$2:$Z$1001,0),MATCH(B294&amp;"|늦음",'2.현장'!$Z$2:$Z$1001,0)))),""))</f>
        <v/>
      </c>
      <c r="J294">
        <f>IF(B294="","",IFERROR(VLOOKUP(B294,설계사_메모!$A$3:$G$302,2,FALSE)&amp;"",""))</f>
        <v/>
      </c>
      <c r="K294">
        <f>IF(B294="","",IFERROR(VLOOKUP(B294,설계사_메모!$A$3:$G$302,4,FALSE)&amp;"",""))</f>
        <v/>
      </c>
      <c r="L294" s="6">
        <f>IF(B294="","",IF(COUNTIF('4.방문기록'!$B$3:$B$502,B294)=0,"",_xlfn.MAXIFS('4.방문기록'!$A$3:$A$502,'4.방문기록'!$B$3:$B$502,B294)))</f>
        <v/>
      </c>
      <c r="M294">
        <f>IF(L294="","",설정!$B$24-L294)</f>
        <v/>
      </c>
      <c r="N294" s="6">
        <f>IF(B294="","",IF(_xlfn.MAXIFS('4.방문기록'!$F$3:$F$502,'4.방문기록'!$B$3:$B$502,B294)=0,"",_xlfn.MAXIFS('4.방문기록'!$F$3:$F$502,'4.방문기록'!$B$3:$B$502,B294)))</f>
        <v/>
      </c>
      <c r="O294">
        <f>IF(L294="","",IFERROR(INDEX('4.방문기록'!$H$3:$H$502,MATCH(B294&amp;"|"&amp;(L294*1),'4.방문기록'!$I$3:$I$502,0))&amp;"",""))</f>
        <v/>
      </c>
      <c r="P294">
        <f>IF(B294="","",IF(O294="관심 없음","제외",IF(L294="","안 가봄",IF(M294&gt;=설정!$B$20,M294&amp;"일 지남","최근 방문"))))</f>
        <v/>
      </c>
      <c r="Q294" s="7">
        <f>IF(B294="","",IF(P294="제외","",IF(AND(설정!$B$21&lt;&gt;"",I294&lt;&gt;설정!$B$21),"",IF(AND(N294&lt;&gt;"",N294&gt;N(L294),N294&lt;=설정!$B$24+7),100+7-(N294-설정!$B$24),IF(AND(D294&gt;0,OR(P294="안 가봄",RIGHT(P294,2)="지남")),D294*10+IF(L294="",30,MIN(M294,60)/2)+MIN(N(F294)/1000,20),"")))))</f>
        <v/>
      </c>
      <c r="R294">
        <f>IF(Q294="","",COUNTIF(Q$4:Q$303,"&gt;"&amp;Q294)+COUNTIF(Q$4:Q294,Q294))</f>
        <v/>
      </c>
    </row>
    <row r="295">
      <c r="A295">
        <f>IF(B295="","",292)</f>
        <v/>
      </c>
      <c r="B295">
        <f>IFERROR(INDEX('2.현장'!$V$2:$V$1001,MATCH(292,'2.현장'!$W$2:$W$1001,0)),"")</f>
        <v/>
      </c>
      <c r="C295">
        <f>IF(B295="","",COUNTIFS('2.현장'!$V$2:$V$1001,B295,'2.현장'!$T$2:$T$1001,TRUE))</f>
        <v/>
      </c>
      <c r="D295">
        <f>IF(B295="","",COUNTIFS('2.현장'!$V$2:$V$1001,B295,'2.현장'!$U$2:$U$1001,"설계사"))</f>
        <v/>
      </c>
      <c r="E295">
        <f>IF(B295="","",COUNTIFS('2.현장'!$V$2:$V$1001,B295,'2.현장'!$U$2:$U$1001,"시공사"))</f>
        <v/>
      </c>
      <c r="F295" s="5">
        <f>IF(B295="","",_xlfn.MAXIFS('2.현장'!$D$2:$D$1001,'2.현장'!$V$2:$V$1001,B295,'2.현장'!$T$2:$T$1001,TRUE))</f>
        <v/>
      </c>
      <c r="G295" s="6">
        <f>IF(B295="","",IF(_xlfn.MAXIFS('2.현장'!$L$2:$L$1001,'2.현장'!$V$2:$V$1001,B295,'2.현장'!$T$2:$T$1001,TRUE)=0,"",_xlfn.MAXIFS('2.현장'!$L$2:$L$1001,'2.현장'!$V$2:$V$1001,B295,'2.현장'!$T$2:$T$1001,TRUE)))</f>
        <v/>
      </c>
      <c r="H295">
        <f>IF(B295="","",IFERROR(INDEX('2.현장'!$C$2:$C$1001,IFERROR(MATCH(B295&amp;"|설계사",'2.현장'!$Z$2:$Z$1001,0),IFERROR(MATCH(B295&amp;"|시공사",'2.현장'!$Z$2:$Z$1001,0),MATCH(B295&amp;"|늦음",'2.현장'!$Z$2:$Z$1001,0)))),""))</f>
        <v/>
      </c>
      <c r="I295">
        <f>IF(B295="","",IFERROR(INDEX('2.현장'!$N$2:$N$1001,IFERROR(MATCH(B295&amp;"|설계사",'2.현장'!$Z$2:$Z$1001,0),IFERROR(MATCH(B295&amp;"|시공사",'2.현장'!$Z$2:$Z$1001,0),MATCH(B295&amp;"|늦음",'2.현장'!$Z$2:$Z$1001,0)))),""))</f>
        <v/>
      </c>
      <c r="J295">
        <f>IF(B295="","",IFERROR(VLOOKUP(B295,설계사_메모!$A$3:$G$302,2,FALSE)&amp;"",""))</f>
        <v/>
      </c>
      <c r="K295">
        <f>IF(B295="","",IFERROR(VLOOKUP(B295,설계사_메모!$A$3:$G$302,4,FALSE)&amp;"",""))</f>
        <v/>
      </c>
      <c r="L295" s="6">
        <f>IF(B295="","",IF(COUNTIF('4.방문기록'!$B$3:$B$502,B295)=0,"",_xlfn.MAXIFS('4.방문기록'!$A$3:$A$502,'4.방문기록'!$B$3:$B$502,B295)))</f>
        <v/>
      </c>
      <c r="M295">
        <f>IF(L295="","",설정!$B$24-L295)</f>
        <v/>
      </c>
      <c r="N295" s="6">
        <f>IF(B295="","",IF(_xlfn.MAXIFS('4.방문기록'!$F$3:$F$502,'4.방문기록'!$B$3:$B$502,B295)=0,"",_xlfn.MAXIFS('4.방문기록'!$F$3:$F$502,'4.방문기록'!$B$3:$B$502,B295)))</f>
        <v/>
      </c>
      <c r="O295">
        <f>IF(L295="","",IFERROR(INDEX('4.방문기록'!$H$3:$H$502,MATCH(B295&amp;"|"&amp;(L295*1),'4.방문기록'!$I$3:$I$502,0))&amp;"",""))</f>
        <v/>
      </c>
      <c r="P295">
        <f>IF(B295="","",IF(O295="관심 없음","제외",IF(L295="","안 가봄",IF(M295&gt;=설정!$B$20,M295&amp;"일 지남","최근 방문"))))</f>
        <v/>
      </c>
      <c r="Q295" s="7">
        <f>IF(B295="","",IF(P295="제외","",IF(AND(설정!$B$21&lt;&gt;"",I295&lt;&gt;설정!$B$21),"",IF(AND(N295&lt;&gt;"",N295&gt;N(L295),N295&lt;=설정!$B$24+7),100+7-(N295-설정!$B$24),IF(AND(D295&gt;0,OR(P295="안 가봄",RIGHT(P295,2)="지남")),D295*10+IF(L295="",30,MIN(M295,60)/2)+MIN(N(F295)/1000,20),"")))))</f>
        <v/>
      </c>
      <c r="R295">
        <f>IF(Q295="","",COUNTIF(Q$4:Q$303,"&gt;"&amp;Q295)+COUNTIF(Q$4:Q295,Q295))</f>
        <v/>
      </c>
    </row>
    <row r="296">
      <c r="A296">
        <f>IF(B296="","",293)</f>
        <v/>
      </c>
      <c r="B296">
        <f>IFERROR(INDEX('2.현장'!$V$2:$V$1001,MATCH(293,'2.현장'!$W$2:$W$1001,0)),"")</f>
        <v/>
      </c>
      <c r="C296">
        <f>IF(B296="","",COUNTIFS('2.현장'!$V$2:$V$1001,B296,'2.현장'!$T$2:$T$1001,TRUE))</f>
        <v/>
      </c>
      <c r="D296">
        <f>IF(B296="","",COUNTIFS('2.현장'!$V$2:$V$1001,B296,'2.현장'!$U$2:$U$1001,"설계사"))</f>
        <v/>
      </c>
      <c r="E296">
        <f>IF(B296="","",COUNTIFS('2.현장'!$V$2:$V$1001,B296,'2.현장'!$U$2:$U$1001,"시공사"))</f>
        <v/>
      </c>
      <c r="F296" s="5">
        <f>IF(B296="","",_xlfn.MAXIFS('2.현장'!$D$2:$D$1001,'2.현장'!$V$2:$V$1001,B296,'2.현장'!$T$2:$T$1001,TRUE))</f>
        <v/>
      </c>
      <c r="G296" s="6">
        <f>IF(B296="","",IF(_xlfn.MAXIFS('2.현장'!$L$2:$L$1001,'2.현장'!$V$2:$V$1001,B296,'2.현장'!$T$2:$T$1001,TRUE)=0,"",_xlfn.MAXIFS('2.현장'!$L$2:$L$1001,'2.현장'!$V$2:$V$1001,B296,'2.현장'!$T$2:$T$1001,TRUE)))</f>
        <v/>
      </c>
      <c r="H296">
        <f>IF(B296="","",IFERROR(INDEX('2.현장'!$C$2:$C$1001,IFERROR(MATCH(B296&amp;"|설계사",'2.현장'!$Z$2:$Z$1001,0),IFERROR(MATCH(B296&amp;"|시공사",'2.현장'!$Z$2:$Z$1001,0),MATCH(B296&amp;"|늦음",'2.현장'!$Z$2:$Z$1001,0)))),""))</f>
        <v/>
      </c>
      <c r="I296">
        <f>IF(B296="","",IFERROR(INDEX('2.현장'!$N$2:$N$1001,IFERROR(MATCH(B296&amp;"|설계사",'2.현장'!$Z$2:$Z$1001,0),IFERROR(MATCH(B296&amp;"|시공사",'2.현장'!$Z$2:$Z$1001,0),MATCH(B296&amp;"|늦음",'2.현장'!$Z$2:$Z$1001,0)))),""))</f>
        <v/>
      </c>
      <c r="J296">
        <f>IF(B296="","",IFERROR(VLOOKUP(B296,설계사_메모!$A$3:$G$302,2,FALSE)&amp;"",""))</f>
        <v/>
      </c>
      <c r="K296">
        <f>IF(B296="","",IFERROR(VLOOKUP(B296,설계사_메모!$A$3:$G$302,4,FALSE)&amp;"",""))</f>
        <v/>
      </c>
      <c r="L296" s="6">
        <f>IF(B296="","",IF(COUNTIF('4.방문기록'!$B$3:$B$502,B296)=0,"",_xlfn.MAXIFS('4.방문기록'!$A$3:$A$502,'4.방문기록'!$B$3:$B$502,B296)))</f>
        <v/>
      </c>
      <c r="M296">
        <f>IF(L296="","",설정!$B$24-L296)</f>
        <v/>
      </c>
      <c r="N296" s="6">
        <f>IF(B296="","",IF(_xlfn.MAXIFS('4.방문기록'!$F$3:$F$502,'4.방문기록'!$B$3:$B$502,B296)=0,"",_xlfn.MAXIFS('4.방문기록'!$F$3:$F$502,'4.방문기록'!$B$3:$B$502,B296)))</f>
        <v/>
      </c>
      <c r="O296">
        <f>IF(L296="","",IFERROR(INDEX('4.방문기록'!$H$3:$H$502,MATCH(B296&amp;"|"&amp;(L296*1),'4.방문기록'!$I$3:$I$502,0))&amp;"",""))</f>
        <v/>
      </c>
      <c r="P296">
        <f>IF(B296="","",IF(O296="관심 없음","제외",IF(L296="","안 가봄",IF(M296&gt;=설정!$B$20,M296&amp;"일 지남","최근 방문"))))</f>
        <v/>
      </c>
      <c r="Q296" s="7">
        <f>IF(B296="","",IF(P296="제외","",IF(AND(설정!$B$21&lt;&gt;"",I296&lt;&gt;설정!$B$21),"",IF(AND(N296&lt;&gt;"",N296&gt;N(L296),N296&lt;=설정!$B$24+7),100+7-(N296-설정!$B$24),IF(AND(D296&gt;0,OR(P296="안 가봄",RIGHT(P296,2)="지남")),D296*10+IF(L296="",30,MIN(M296,60)/2)+MIN(N(F296)/1000,20),"")))))</f>
        <v/>
      </c>
      <c r="R296">
        <f>IF(Q296="","",COUNTIF(Q$4:Q$303,"&gt;"&amp;Q296)+COUNTIF(Q$4:Q296,Q296))</f>
        <v/>
      </c>
    </row>
    <row r="297">
      <c r="A297">
        <f>IF(B297="","",294)</f>
        <v/>
      </c>
      <c r="B297">
        <f>IFERROR(INDEX('2.현장'!$V$2:$V$1001,MATCH(294,'2.현장'!$W$2:$W$1001,0)),"")</f>
        <v/>
      </c>
      <c r="C297">
        <f>IF(B297="","",COUNTIFS('2.현장'!$V$2:$V$1001,B297,'2.현장'!$T$2:$T$1001,TRUE))</f>
        <v/>
      </c>
      <c r="D297">
        <f>IF(B297="","",COUNTIFS('2.현장'!$V$2:$V$1001,B297,'2.현장'!$U$2:$U$1001,"설계사"))</f>
        <v/>
      </c>
      <c r="E297">
        <f>IF(B297="","",COUNTIFS('2.현장'!$V$2:$V$1001,B297,'2.현장'!$U$2:$U$1001,"시공사"))</f>
        <v/>
      </c>
      <c r="F297" s="5">
        <f>IF(B297="","",_xlfn.MAXIFS('2.현장'!$D$2:$D$1001,'2.현장'!$V$2:$V$1001,B297,'2.현장'!$T$2:$T$1001,TRUE))</f>
        <v/>
      </c>
      <c r="G297" s="6">
        <f>IF(B297="","",IF(_xlfn.MAXIFS('2.현장'!$L$2:$L$1001,'2.현장'!$V$2:$V$1001,B297,'2.현장'!$T$2:$T$1001,TRUE)=0,"",_xlfn.MAXIFS('2.현장'!$L$2:$L$1001,'2.현장'!$V$2:$V$1001,B297,'2.현장'!$T$2:$T$1001,TRUE)))</f>
        <v/>
      </c>
      <c r="H297">
        <f>IF(B297="","",IFERROR(INDEX('2.현장'!$C$2:$C$1001,IFERROR(MATCH(B297&amp;"|설계사",'2.현장'!$Z$2:$Z$1001,0),IFERROR(MATCH(B297&amp;"|시공사",'2.현장'!$Z$2:$Z$1001,0),MATCH(B297&amp;"|늦음",'2.현장'!$Z$2:$Z$1001,0)))),""))</f>
        <v/>
      </c>
      <c r="I297">
        <f>IF(B297="","",IFERROR(INDEX('2.현장'!$N$2:$N$1001,IFERROR(MATCH(B297&amp;"|설계사",'2.현장'!$Z$2:$Z$1001,0),IFERROR(MATCH(B297&amp;"|시공사",'2.현장'!$Z$2:$Z$1001,0),MATCH(B297&amp;"|늦음",'2.현장'!$Z$2:$Z$1001,0)))),""))</f>
        <v/>
      </c>
      <c r="J297">
        <f>IF(B297="","",IFERROR(VLOOKUP(B297,설계사_메모!$A$3:$G$302,2,FALSE)&amp;"",""))</f>
        <v/>
      </c>
      <c r="K297">
        <f>IF(B297="","",IFERROR(VLOOKUP(B297,설계사_메모!$A$3:$G$302,4,FALSE)&amp;"",""))</f>
        <v/>
      </c>
      <c r="L297" s="6">
        <f>IF(B297="","",IF(COUNTIF('4.방문기록'!$B$3:$B$502,B297)=0,"",_xlfn.MAXIFS('4.방문기록'!$A$3:$A$502,'4.방문기록'!$B$3:$B$502,B297)))</f>
        <v/>
      </c>
      <c r="M297">
        <f>IF(L297="","",설정!$B$24-L297)</f>
        <v/>
      </c>
      <c r="N297" s="6">
        <f>IF(B297="","",IF(_xlfn.MAXIFS('4.방문기록'!$F$3:$F$502,'4.방문기록'!$B$3:$B$502,B297)=0,"",_xlfn.MAXIFS('4.방문기록'!$F$3:$F$502,'4.방문기록'!$B$3:$B$502,B297)))</f>
        <v/>
      </c>
      <c r="O297">
        <f>IF(L297="","",IFERROR(INDEX('4.방문기록'!$H$3:$H$502,MATCH(B297&amp;"|"&amp;(L297*1),'4.방문기록'!$I$3:$I$502,0))&amp;"",""))</f>
        <v/>
      </c>
      <c r="P297">
        <f>IF(B297="","",IF(O297="관심 없음","제외",IF(L297="","안 가봄",IF(M297&gt;=설정!$B$20,M297&amp;"일 지남","최근 방문"))))</f>
        <v/>
      </c>
      <c r="Q297" s="7">
        <f>IF(B297="","",IF(P297="제외","",IF(AND(설정!$B$21&lt;&gt;"",I297&lt;&gt;설정!$B$21),"",IF(AND(N297&lt;&gt;"",N297&gt;N(L297),N297&lt;=설정!$B$24+7),100+7-(N297-설정!$B$24),IF(AND(D297&gt;0,OR(P297="안 가봄",RIGHT(P297,2)="지남")),D297*10+IF(L297="",30,MIN(M297,60)/2)+MIN(N(F297)/1000,20),"")))))</f>
        <v/>
      </c>
      <c r="R297">
        <f>IF(Q297="","",COUNTIF(Q$4:Q$303,"&gt;"&amp;Q297)+COUNTIF(Q$4:Q297,Q297))</f>
        <v/>
      </c>
    </row>
    <row r="298">
      <c r="A298">
        <f>IF(B298="","",295)</f>
        <v/>
      </c>
      <c r="B298">
        <f>IFERROR(INDEX('2.현장'!$V$2:$V$1001,MATCH(295,'2.현장'!$W$2:$W$1001,0)),"")</f>
        <v/>
      </c>
      <c r="C298">
        <f>IF(B298="","",COUNTIFS('2.현장'!$V$2:$V$1001,B298,'2.현장'!$T$2:$T$1001,TRUE))</f>
        <v/>
      </c>
      <c r="D298">
        <f>IF(B298="","",COUNTIFS('2.현장'!$V$2:$V$1001,B298,'2.현장'!$U$2:$U$1001,"설계사"))</f>
        <v/>
      </c>
      <c r="E298">
        <f>IF(B298="","",COUNTIFS('2.현장'!$V$2:$V$1001,B298,'2.현장'!$U$2:$U$1001,"시공사"))</f>
        <v/>
      </c>
      <c r="F298" s="5">
        <f>IF(B298="","",_xlfn.MAXIFS('2.현장'!$D$2:$D$1001,'2.현장'!$V$2:$V$1001,B298,'2.현장'!$T$2:$T$1001,TRUE))</f>
        <v/>
      </c>
      <c r="G298" s="6">
        <f>IF(B298="","",IF(_xlfn.MAXIFS('2.현장'!$L$2:$L$1001,'2.현장'!$V$2:$V$1001,B298,'2.현장'!$T$2:$T$1001,TRUE)=0,"",_xlfn.MAXIFS('2.현장'!$L$2:$L$1001,'2.현장'!$V$2:$V$1001,B298,'2.현장'!$T$2:$T$1001,TRUE)))</f>
        <v/>
      </c>
      <c r="H298">
        <f>IF(B298="","",IFERROR(INDEX('2.현장'!$C$2:$C$1001,IFERROR(MATCH(B298&amp;"|설계사",'2.현장'!$Z$2:$Z$1001,0),IFERROR(MATCH(B298&amp;"|시공사",'2.현장'!$Z$2:$Z$1001,0),MATCH(B298&amp;"|늦음",'2.현장'!$Z$2:$Z$1001,0)))),""))</f>
        <v/>
      </c>
      <c r="I298">
        <f>IF(B298="","",IFERROR(INDEX('2.현장'!$N$2:$N$1001,IFERROR(MATCH(B298&amp;"|설계사",'2.현장'!$Z$2:$Z$1001,0),IFERROR(MATCH(B298&amp;"|시공사",'2.현장'!$Z$2:$Z$1001,0),MATCH(B298&amp;"|늦음",'2.현장'!$Z$2:$Z$1001,0)))),""))</f>
        <v/>
      </c>
      <c r="J298">
        <f>IF(B298="","",IFERROR(VLOOKUP(B298,설계사_메모!$A$3:$G$302,2,FALSE)&amp;"",""))</f>
        <v/>
      </c>
      <c r="K298">
        <f>IF(B298="","",IFERROR(VLOOKUP(B298,설계사_메모!$A$3:$G$302,4,FALSE)&amp;"",""))</f>
        <v/>
      </c>
      <c r="L298" s="6">
        <f>IF(B298="","",IF(COUNTIF('4.방문기록'!$B$3:$B$502,B298)=0,"",_xlfn.MAXIFS('4.방문기록'!$A$3:$A$502,'4.방문기록'!$B$3:$B$502,B298)))</f>
        <v/>
      </c>
      <c r="M298">
        <f>IF(L298="","",설정!$B$24-L298)</f>
        <v/>
      </c>
      <c r="N298" s="6">
        <f>IF(B298="","",IF(_xlfn.MAXIFS('4.방문기록'!$F$3:$F$502,'4.방문기록'!$B$3:$B$502,B298)=0,"",_xlfn.MAXIFS('4.방문기록'!$F$3:$F$502,'4.방문기록'!$B$3:$B$502,B298)))</f>
        <v/>
      </c>
      <c r="O298">
        <f>IF(L298="","",IFERROR(INDEX('4.방문기록'!$H$3:$H$502,MATCH(B298&amp;"|"&amp;(L298*1),'4.방문기록'!$I$3:$I$502,0))&amp;"",""))</f>
        <v/>
      </c>
      <c r="P298">
        <f>IF(B298="","",IF(O298="관심 없음","제외",IF(L298="","안 가봄",IF(M298&gt;=설정!$B$20,M298&amp;"일 지남","최근 방문"))))</f>
        <v/>
      </c>
      <c r="Q298" s="7">
        <f>IF(B298="","",IF(P298="제외","",IF(AND(설정!$B$21&lt;&gt;"",I298&lt;&gt;설정!$B$21),"",IF(AND(N298&lt;&gt;"",N298&gt;N(L298),N298&lt;=설정!$B$24+7),100+7-(N298-설정!$B$24),IF(AND(D298&gt;0,OR(P298="안 가봄",RIGHT(P298,2)="지남")),D298*10+IF(L298="",30,MIN(M298,60)/2)+MIN(N(F298)/1000,20),"")))))</f>
        <v/>
      </c>
      <c r="R298">
        <f>IF(Q298="","",COUNTIF(Q$4:Q$303,"&gt;"&amp;Q298)+COUNTIF(Q$4:Q298,Q298))</f>
        <v/>
      </c>
    </row>
    <row r="299">
      <c r="A299">
        <f>IF(B299="","",296)</f>
        <v/>
      </c>
      <c r="B299">
        <f>IFERROR(INDEX('2.현장'!$V$2:$V$1001,MATCH(296,'2.현장'!$W$2:$W$1001,0)),"")</f>
        <v/>
      </c>
      <c r="C299">
        <f>IF(B299="","",COUNTIFS('2.현장'!$V$2:$V$1001,B299,'2.현장'!$T$2:$T$1001,TRUE))</f>
        <v/>
      </c>
      <c r="D299">
        <f>IF(B299="","",COUNTIFS('2.현장'!$V$2:$V$1001,B299,'2.현장'!$U$2:$U$1001,"설계사"))</f>
        <v/>
      </c>
      <c r="E299">
        <f>IF(B299="","",COUNTIFS('2.현장'!$V$2:$V$1001,B299,'2.현장'!$U$2:$U$1001,"시공사"))</f>
        <v/>
      </c>
      <c r="F299" s="5">
        <f>IF(B299="","",_xlfn.MAXIFS('2.현장'!$D$2:$D$1001,'2.현장'!$V$2:$V$1001,B299,'2.현장'!$T$2:$T$1001,TRUE))</f>
        <v/>
      </c>
      <c r="G299" s="6">
        <f>IF(B299="","",IF(_xlfn.MAXIFS('2.현장'!$L$2:$L$1001,'2.현장'!$V$2:$V$1001,B299,'2.현장'!$T$2:$T$1001,TRUE)=0,"",_xlfn.MAXIFS('2.현장'!$L$2:$L$1001,'2.현장'!$V$2:$V$1001,B299,'2.현장'!$T$2:$T$1001,TRUE)))</f>
        <v/>
      </c>
      <c r="H299">
        <f>IF(B299="","",IFERROR(INDEX('2.현장'!$C$2:$C$1001,IFERROR(MATCH(B299&amp;"|설계사",'2.현장'!$Z$2:$Z$1001,0),IFERROR(MATCH(B299&amp;"|시공사",'2.현장'!$Z$2:$Z$1001,0),MATCH(B299&amp;"|늦음",'2.현장'!$Z$2:$Z$1001,0)))),""))</f>
        <v/>
      </c>
      <c r="I299">
        <f>IF(B299="","",IFERROR(INDEX('2.현장'!$N$2:$N$1001,IFERROR(MATCH(B299&amp;"|설계사",'2.현장'!$Z$2:$Z$1001,0),IFERROR(MATCH(B299&amp;"|시공사",'2.현장'!$Z$2:$Z$1001,0),MATCH(B299&amp;"|늦음",'2.현장'!$Z$2:$Z$1001,0)))),""))</f>
        <v/>
      </c>
      <c r="J299">
        <f>IF(B299="","",IFERROR(VLOOKUP(B299,설계사_메모!$A$3:$G$302,2,FALSE)&amp;"",""))</f>
        <v/>
      </c>
      <c r="K299">
        <f>IF(B299="","",IFERROR(VLOOKUP(B299,설계사_메모!$A$3:$G$302,4,FALSE)&amp;"",""))</f>
        <v/>
      </c>
      <c r="L299" s="6">
        <f>IF(B299="","",IF(COUNTIF('4.방문기록'!$B$3:$B$502,B299)=0,"",_xlfn.MAXIFS('4.방문기록'!$A$3:$A$502,'4.방문기록'!$B$3:$B$502,B299)))</f>
        <v/>
      </c>
      <c r="M299">
        <f>IF(L299="","",설정!$B$24-L299)</f>
        <v/>
      </c>
      <c r="N299" s="6">
        <f>IF(B299="","",IF(_xlfn.MAXIFS('4.방문기록'!$F$3:$F$502,'4.방문기록'!$B$3:$B$502,B299)=0,"",_xlfn.MAXIFS('4.방문기록'!$F$3:$F$502,'4.방문기록'!$B$3:$B$502,B299)))</f>
        <v/>
      </c>
      <c r="O299">
        <f>IF(L299="","",IFERROR(INDEX('4.방문기록'!$H$3:$H$502,MATCH(B299&amp;"|"&amp;(L299*1),'4.방문기록'!$I$3:$I$502,0))&amp;"",""))</f>
        <v/>
      </c>
      <c r="P299">
        <f>IF(B299="","",IF(O299="관심 없음","제외",IF(L299="","안 가봄",IF(M299&gt;=설정!$B$20,M299&amp;"일 지남","최근 방문"))))</f>
        <v/>
      </c>
      <c r="Q299" s="7">
        <f>IF(B299="","",IF(P299="제외","",IF(AND(설정!$B$21&lt;&gt;"",I299&lt;&gt;설정!$B$21),"",IF(AND(N299&lt;&gt;"",N299&gt;N(L299),N299&lt;=설정!$B$24+7),100+7-(N299-설정!$B$24),IF(AND(D299&gt;0,OR(P299="안 가봄",RIGHT(P299,2)="지남")),D299*10+IF(L299="",30,MIN(M299,60)/2)+MIN(N(F299)/1000,20),"")))))</f>
        <v/>
      </c>
      <c r="R299">
        <f>IF(Q299="","",COUNTIF(Q$4:Q$303,"&gt;"&amp;Q299)+COUNTIF(Q$4:Q299,Q299))</f>
        <v/>
      </c>
    </row>
    <row r="300">
      <c r="A300">
        <f>IF(B300="","",297)</f>
        <v/>
      </c>
      <c r="B300">
        <f>IFERROR(INDEX('2.현장'!$V$2:$V$1001,MATCH(297,'2.현장'!$W$2:$W$1001,0)),"")</f>
        <v/>
      </c>
      <c r="C300">
        <f>IF(B300="","",COUNTIFS('2.현장'!$V$2:$V$1001,B300,'2.현장'!$T$2:$T$1001,TRUE))</f>
        <v/>
      </c>
      <c r="D300">
        <f>IF(B300="","",COUNTIFS('2.현장'!$V$2:$V$1001,B300,'2.현장'!$U$2:$U$1001,"설계사"))</f>
        <v/>
      </c>
      <c r="E300">
        <f>IF(B300="","",COUNTIFS('2.현장'!$V$2:$V$1001,B300,'2.현장'!$U$2:$U$1001,"시공사"))</f>
        <v/>
      </c>
      <c r="F300" s="5">
        <f>IF(B300="","",_xlfn.MAXIFS('2.현장'!$D$2:$D$1001,'2.현장'!$V$2:$V$1001,B300,'2.현장'!$T$2:$T$1001,TRUE))</f>
        <v/>
      </c>
      <c r="G300" s="6">
        <f>IF(B300="","",IF(_xlfn.MAXIFS('2.현장'!$L$2:$L$1001,'2.현장'!$V$2:$V$1001,B300,'2.현장'!$T$2:$T$1001,TRUE)=0,"",_xlfn.MAXIFS('2.현장'!$L$2:$L$1001,'2.현장'!$V$2:$V$1001,B300,'2.현장'!$T$2:$T$1001,TRUE)))</f>
        <v/>
      </c>
      <c r="H300">
        <f>IF(B300="","",IFERROR(INDEX('2.현장'!$C$2:$C$1001,IFERROR(MATCH(B300&amp;"|설계사",'2.현장'!$Z$2:$Z$1001,0),IFERROR(MATCH(B300&amp;"|시공사",'2.현장'!$Z$2:$Z$1001,0),MATCH(B300&amp;"|늦음",'2.현장'!$Z$2:$Z$1001,0)))),""))</f>
        <v/>
      </c>
      <c r="I300">
        <f>IF(B300="","",IFERROR(INDEX('2.현장'!$N$2:$N$1001,IFERROR(MATCH(B300&amp;"|설계사",'2.현장'!$Z$2:$Z$1001,0),IFERROR(MATCH(B300&amp;"|시공사",'2.현장'!$Z$2:$Z$1001,0),MATCH(B300&amp;"|늦음",'2.현장'!$Z$2:$Z$1001,0)))),""))</f>
        <v/>
      </c>
      <c r="J300">
        <f>IF(B300="","",IFERROR(VLOOKUP(B300,설계사_메모!$A$3:$G$302,2,FALSE)&amp;"",""))</f>
        <v/>
      </c>
      <c r="K300">
        <f>IF(B300="","",IFERROR(VLOOKUP(B300,설계사_메모!$A$3:$G$302,4,FALSE)&amp;"",""))</f>
        <v/>
      </c>
      <c r="L300" s="6">
        <f>IF(B300="","",IF(COUNTIF('4.방문기록'!$B$3:$B$502,B300)=0,"",_xlfn.MAXIFS('4.방문기록'!$A$3:$A$502,'4.방문기록'!$B$3:$B$502,B300)))</f>
        <v/>
      </c>
      <c r="M300">
        <f>IF(L300="","",설정!$B$24-L300)</f>
        <v/>
      </c>
      <c r="N300" s="6">
        <f>IF(B300="","",IF(_xlfn.MAXIFS('4.방문기록'!$F$3:$F$502,'4.방문기록'!$B$3:$B$502,B300)=0,"",_xlfn.MAXIFS('4.방문기록'!$F$3:$F$502,'4.방문기록'!$B$3:$B$502,B300)))</f>
        <v/>
      </c>
      <c r="O300">
        <f>IF(L300="","",IFERROR(INDEX('4.방문기록'!$H$3:$H$502,MATCH(B300&amp;"|"&amp;(L300*1),'4.방문기록'!$I$3:$I$502,0))&amp;"",""))</f>
        <v/>
      </c>
      <c r="P300">
        <f>IF(B300="","",IF(O300="관심 없음","제외",IF(L300="","안 가봄",IF(M300&gt;=설정!$B$20,M300&amp;"일 지남","최근 방문"))))</f>
        <v/>
      </c>
      <c r="Q300" s="7">
        <f>IF(B300="","",IF(P300="제외","",IF(AND(설정!$B$21&lt;&gt;"",I300&lt;&gt;설정!$B$21),"",IF(AND(N300&lt;&gt;"",N300&gt;N(L300),N300&lt;=설정!$B$24+7),100+7-(N300-설정!$B$24),IF(AND(D300&gt;0,OR(P300="안 가봄",RIGHT(P300,2)="지남")),D300*10+IF(L300="",30,MIN(M300,60)/2)+MIN(N(F300)/1000,20),"")))))</f>
        <v/>
      </c>
      <c r="R300">
        <f>IF(Q300="","",COUNTIF(Q$4:Q$303,"&gt;"&amp;Q300)+COUNTIF(Q$4:Q300,Q300))</f>
        <v/>
      </c>
    </row>
    <row r="301">
      <c r="A301">
        <f>IF(B301="","",298)</f>
        <v/>
      </c>
      <c r="B301">
        <f>IFERROR(INDEX('2.현장'!$V$2:$V$1001,MATCH(298,'2.현장'!$W$2:$W$1001,0)),"")</f>
        <v/>
      </c>
      <c r="C301">
        <f>IF(B301="","",COUNTIFS('2.현장'!$V$2:$V$1001,B301,'2.현장'!$T$2:$T$1001,TRUE))</f>
        <v/>
      </c>
      <c r="D301">
        <f>IF(B301="","",COUNTIFS('2.현장'!$V$2:$V$1001,B301,'2.현장'!$U$2:$U$1001,"설계사"))</f>
        <v/>
      </c>
      <c r="E301">
        <f>IF(B301="","",COUNTIFS('2.현장'!$V$2:$V$1001,B301,'2.현장'!$U$2:$U$1001,"시공사"))</f>
        <v/>
      </c>
      <c r="F301" s="5">
        <f>IF(B301="","",_xlfn.MAXIFS('2.현장'!$D$2:$D$1001,'2.현장'!$V$2:$V$1001,B301,'2.현장'!$T$2:$T$1001,TRUE))</f>
        <v/>
      </c>
      <c r="G301" s="6">
        <f>IF(B301="","",IF(_xlfn.MAXIFS('2.현장'!$L$2:$L$1001,'2.현장'!$V$2:$V$1001,B301,'2.현장'!$T$2:$T$1001,TRUE)=0,"",_xlfn.MAXIFS('2.현장'!$L$2:$L$1001,'2.현장'!$V$2:$V$1001,B301,'2.현장'!$T$2:$T$1001,TRUE)))</f>
        <v/>
      </c>
      <c r="H301">
        <f>IF(B301="","",IFERROR(INDEX('2.현장'!$C$2:$C$1001,IFERROR(MATCH(B301&amp;"|설계사",'2.현장'!$Z$2:$Z$1001,0),IFERROR(MATCH(B301&amp;"|시공사",'2.현장'!$Z$2:$Z$1001,0),MATCH(B301&amp;"|늦음",'2.현장'!$Z$2:$Z$1001,0)))),""))</f>
        <v/>
      </c>
      <c r="I301">
        <f>IF(B301="","",IFERROR(INDEX('2.현장'!$N$2:$N$1001,IFERROR(MATCH(B301&amp;"|설계사",'2.현장'!$Z$2:$Z$1001,0),IFERROR(MATCH(B301&amp;"|시공사",'2.현장'!$Z$2:$Z$1001,0),MATCH(B301&amp;"|늦음",'2.현장'!$Z$2:$Z$1001,0)))),""))</f>
        <v/>
      </c>
      <c r="J301">
        <f>IF(B301="","",IFERROR(VLOOKUP(B301,설계사_메모!$A$3:$G$302,2,FALSE)&amp;"",""))</f>
        <v/>
      </c>
      <c r="K301">
        <f>IF(B301="","",IFERROR(VLOOKUP(B301,설계사_메모!$A$3:$G$302,4,FALSE)&amp;"",""))</f>
        <v/>
      </c>
      <c r="L301" s="6">
        <f>IF(B301="","",IF(COUNTIF('4.방문기록'!$B$3:$B$502,B301)=0,"",_xlfn.MAXIFS('4.방문기록'!$A$3:$A$502,'4.방문기록'!$B$3:$B$502,B301)))</f>
        <v/>
      </c>
      <c r="M301">
        <f>IF(L301="","",설정!$B$24-L301)</f>
        <v/>
      </c>
      <c r="N301" s="6">
        <f>IF(B301="","",IF(_xlfn.MAXIFS('4.방문기록'!$F$3:$F$502,'4.방문기록'!$B$3:$B$502,B301)=0,"",_xlfn.MAXIFS('4.방문기록'!$F$3:$F$502,'4.방문기록'!$B$3:$B$502,B301)))</f>
        <v/>
      </c>
      <c r="O301">
        <f>IF(L301="","",IFERROR(INDEX('4.방문기록'!$H$3:$H$502,MATCH(B301&amp;"|"&amp;(L301*1),'4.방문기록'!$I$3:$I$502,0))&amp;"",""))</f>
        <v/>
      </c>
      <c r="P301">
        <f>IF(B301="","",IF(O301="관심 없음","제외",IF(L301="","안 가봄",IF(M301&gt;=설정!$B$20,M301&amp;"일 지남","최근 방문"))))</f>
        <v/>
      </c>
      <c r="Q301" s="7">
        <f>IF(B301="","",IF(P301="제외","",IF(AND(설정!$B$21&lt;&gt;"",I301&lt;&gt;설정!$B$21),"",IF(AND(N301&lt;&gt;"",N301&gt;N(L301),N301&lt;=설정!$B$24+7),100+7-(N301-설정!$B$24),IF(AND(D301&gt;0,OR(P301="안 가봄",RIGHT(P301,2)="지남")),D301*10+IF(L301="",30,MIN(M301,60)/2)+MIN(N(F301)/1000,20),"")))))</f>
        <v/>
      </c>
      <c r="R301">
        <f>IF(Q301="","",COUNTIF(Q$4:Q$303,"&gt;"&amp;Q301)+COUNTIF(Q$4:Q301,Q301))</f>
        <v/>
      </c>
    </row>
    <row r="302">
      <c r="A302">
        <f>IF(B302="","",299)</f>
        <v/>
      </c>
      <c r="B302">
        <f>IFERROR(INDEX('2.현장'!$V$2:$V$1001,MATCH(299,'2.현장'!$W$2:$W$1001,0)),"")</f>
        <v/>
      </c>
      <c r="C302">
        <f>IF(B302="","",COUNTIFS('2.현장'!$V$2:$V$1001,B302,'2.현장'!$T$2:$T$1001,TRUE))</f>
        <v/>
      </c>
      <c r="D302">
        <f>IF(B302="","",COUNTIFS('2.현장'!$V$2:$V$1001,B302,'2.현장'!$U$2:$U$1001,"설계사"))</f>
        <v/>
      </c>
      <c r="E302">
        <f>IF(B302="","",COUNTIFS('2.현장'!$V$2:$V$1001,B302,'2.현장'!$U$2:$U$1001,"시공사"))</f>
        <v/>
      </c>
      <c r="F302" s="5">
        <f>IF(B302="","",_xlfn.MAXIFS('2.현장'!$D$2:$D$1001,'2.현장'!$V$2:$V$1001,B302,'2.현장'!$T$2:$T$1001,TRUE))</f>
        <v/>
      </c>
      <c r="G302" s="6">
        <f>IF(B302="","",IF(_xlfn.MAXIFS('2.현장'!$L$2:$L$1001,'2.현장'!$V$2:$V$1001,B302,'2.현장'!$T$2:$T$1001,TRUE)=0,"",_xlfn.MAXIFS('2.현장'!$L$2:$L$1001,'2.현장'!$V$2:$V$1001,B302,'2.현장'!$T$2:$T$1001,TRUE)))</f>
        <v/>
      </c>
      <c r="H302">
        <f>IF(B302="","",IFERROR(INDEX('2.현장'!$C$2:$C$1001,IFERROR(MATCH(B302&amp;"|설계사",'2.현장'!$Z$2:$Z$1001,0),IFERROR(MATCH(B302&amp;"|시공사",'2.현장'!$Z$2:$Z$1001,0),MATCH(B302&amp;"|늦음",'2.현장'!$Z$2:$Z$1001,0)))),""))</f>
        <v/>
      </c>
      <c r="I302">
        <f>IF(B302="","",IFERROR(INDEX('2.현장'!$N$2:$N$1001,IFERROR(MATCH(B302&amp;"|설계사",'2.현장'!$Z$2:$Z$1001,0),IFERROR(MATCH(B302&amp;"|시공사",'2.현장'!$Z$2:$Z$1001,0),MATCH(B302&amp;"|늦음",'2.현장'!$Z$2:$Z$1001,0)))),""))</f>
        <v/>
      </c>
      <c r="J302">
        <f>IF(B302="","",IFERROR(VLOOKUP(B302,설계사_메모!$A$3:$G$302,2,FALSE)&amp;"",""))</f>
        <v/>
      </c>
      <c r="K302">
        <f>IF(B302="","",IFERROR(VLOOKUP(B302,설계사_메모!$A$3:$G$302,4,FALSE)&amp;"",""))</f>
        <v/>
      </c>
      <c r="L302" s="6">
        <f>IF(B302="","",IF(COUNTIF('4.방문기록'!$B$3:$B$502,B302)=0,"",_xlfn.MAXIFS('4.방문기록'!$A$3:$A$502,'4.방문기록'!$B$3:$B$502,B302)))</f>
        <v/>
      </c>
      <c r="M302">
        <f>IF(L302="","",설정!$B$24-L302)</f>
        <v/>
      </c>
      <c r="N302" s="6">
        <f>IF(B302="","",IF(_xlfn.MAXIFS('4.방문기록'!$F$3:$F$502,'4.방문기록'!$B$3:$B$502,B302)=0,"",_xlfn.MAXIFS('4.방문기록'!$F$3:$F$502,'4.방문기록'!$B$3:$B$502,B302)))</f>
        <v/>
      </c>
      <c r="O302">
        <f>IF(L302="","",IFERROR(INDEX('4.방문기록'!$H$3:$H$502,MATCH(B302&amp;"|"&amp;(L302*1),'4.방문기록'!$I$3:$I$502,0))&amp;"",""))</f>
        <v/>
      </c>
      <c r="P302">
        <f>IF(B302="","",IF(O302="관심 없음","제외",IF(L302="","안 가봄",IF(M302&gt;=설정!$B$20,M302&amp;"일 지남","최근 방문"))))</f>
        <v/>
      </c>
      <c r="Q302" s="7">
        <f>IF(B302="","",IF(P302="제외","",IF(AND(설정!$B$21&lt;&gt;"",I302&lt;&gt;설정!$B$21),"",IF(AND(N302&lt;&gt;"",N302&gt;N(L302),N302&lt;=설정!$B$24+7),100+7-(N302-설정!$B$24),IF(AND(D302&gt;0,OR(P302="안 가봄",RIGHT(P302,2)="지남")),D302*10+IF(L302="",30,MIN(M302,60)/2)+MIN(N(F302)/1000,20),"")))))</f>
        <v/>
      </c>
      <c r="R302">
        <f>IF(Q302="","",COUNTIF(Q$4:Q$303,"&gt;"&amp;Q302)+COUNTIF(Q$4:Q302,Q302))</f>
        <v/>
      </c>
    </row>
    <row r="303">
      <c r="A303">
        <f>IF(B303="","",300)</f>
        <v/>
      </c>
      <c r="B303">
        <f>IFERROR(INDEX('2.현장'!$V$2:$V$1001,MATCH(300,'2.현장'!$W$2:$W$1001,0)),"")</f>
        <v/>
      </c>
      <c r="C303">
        <f>IF(B303="","",COUNTIFS('2.현장'!$V$2:$V$1001,B303,'2.현장'!$T$2:$T$1001,TRUE))</f>
        <v/>
      </c>
      <c r="D303">
        <f>IF(B303="","",COUNTIFS('2.현장'!$V$2:$V$1001,B303,'2.현장'!$U$2:$U$1001,"설계사"))</f>
        <v/>
      </c>
      <c r="E303">
        <f>IF(B303="","",COUNTIFS('2.현장'!$V$2:$V$1001,B303,'2.현장'!$U$2:$U$1001,"시공사"))</f>
        <v/>
      </c>
      <c r="F303" s="5">
        <f>IF(B303="","",_xlfn.MAXIFS('2.현장'!$D$2:$D$1001,'2.현장'!$V$2:$V$1001,B303,'2.현장'!$T$2:$T$1001,TRUE))</f>
        <v/>
      </c>
      <c r="G303" s="6">
        <f>IF(B303="","",IF(_xlfn.MAXIFS('2.현장'!$L$2:$L$1001,'2.현장'!$V$2:$V$1001,B303,'2.현장'!$T$2:$T$1001,TRUE)=0,"",_xlfn.MAXIFS('2.현장'!$L$2:$L$1001,'2.현장'!$V$2:$V$1001,B303,'2.현장'!$T$2:$T$1001,TRUE)))</f>
        <v/>
      </c>
      <c r="H303">
        <f>IF(B303="","",IFERROR(INDEX('2.현장'!$C$2:$C$1001,IFERROR(MATCH(B303&amp;"|설계사",'2.현장'!$Z$2:$Z$1001,0),IFERROR(MATCH(B303&amp;"|시공사",'2.현장'!$Z$2:$Z$1001,0),MATCH(B303&amp;"|늦음",'2.현장'!$Z$2:$Z$1001,0)))),""))</f>
        <v/>
      </c>
      <c r="I303">
        <f>IF(B303="","",IFERROR(INDEX('2.현장'!$N$2:$N$1001,IFERROR(MATCH(B303&amp;"|설계사",'2.현장'!$Z$2:$Z$1001,0),IFERROR(MATCH(B303&amp;"|시공사",'2.현장'!$Z$2:$Z$1001,0),MATCH(B303&amp;"|늦음",'2.현장'!$Z$2:$Z$1001,0)))),""))</f>
        <v/>
      </c>
      <c r="J303">
        <f>IF(B303="","",IFERROR(VLOOKUP(B303,설계사_메모!$A$3:$G$302,2,FALSE)&amp;"",""))</f>
        <v/>
      </c>
      <c r="K303">
        <f>IF(B303="","",IFERROR(VLOOKUP(B303,설계사_메모!$A$3:$G$302,4,FALSE)&amp;"",""))</f>
        <v/>
      </c>
      <c r="L303" s="6">
        <f>IF(B303="","",IF(COUNTIF('4.방문기록'!$B$3:$B$502,B303)=0,"",_xlfn.MAXIFS('4.방문기록'!$A$3:$A$502,'4.방문기록'!$B$3:$B$502,B303)))</f>
        <v/>
      </c>
      <c r="M303">
        <f>IF(L303="","",설정!$B$24-L303)</f>
        <v/>
      </c>
      <c r="N303" s="6">
        <f>IF(B303="","",IF(_xlfn.MAXIFS('4.방문기록'!$F$3:$F$502,'4.방문기록'!$B$3:$B$502,B303)=0,"",_xlfn.MAXIFS('4.방문기록'!$F$3:$F$502,'4.방문기록'!$B$3:$B$502,B303)))</f>
        <v/>
      </c>
      <c r="O303">
        <f>IF(L303="","",IFERROR(INDEX('4.방문기록'!$H$3:$H$502,MATCH(B303&amp;"|"&amp;(L303*1),'4.방문기록'!$I$3:$I$502,0))&amp;"",""))</f>
        <v/>
      </c>
      <c r="P303">
        <f>IF(B303="","",IF(O303="관심 없음","제외",IF(L303="","안 가봄",IF(M303&gt;=설정!$B$20,M303&amp;"일 지남","최근 방문"))))</f>
        <v/>
      </c>
      <c r="Q303" s="7">
        <f>IF(B303="","",IF(P303="제외","",IF(AND(설정!$B$21&lt;&gt;"",I303&lt;&gt;설정!$B$21),"",IF(AND(N303&lt;&gt;"",N303&gt;N(L303),N303&lt;=설정!$B$24+7),100+7-(N303-설정!$B$24),IF(AND(D303&gt;0,OR(P303="안 가봄",RIGHT(P303,2)="지남")),D303*10+IF(L303="",30,MIN(M303,60)/2)+MIN(N(F303)/1000,20),"")))))</f>
        <v/>
      </c>
      <c r="R303">
        <f>IF(Q303="","",COUNTIF(Q$4:Q$303,"&gt;"&amp;Q303)+COUNTIF(Q$4:Q303,Q303))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12" customWidth="1" min="4" max="4"/>
    <col width="40" customWidth="1" min="5" max="5"/>
    <col width="11" customWidth="1" min="6" max="6"/>
    <col width="24" customWidth="1" min="7" max="7"/>
    <col width="14" customWidth="1" min="8" max="8"/>
    <col hidden="1" width="13" customWidth="1" min="9" max="9"/>
    <col hidden="1" width="13" customWidth="1" min="10" max="10"/>
  </cols>
  <sheetData>
    <row r="1">
      <c r="A1" s="4" t="inlineStr">
        <is>
          <t>방문·통화 기록 — 다녀오시면 한 줄 (날짜·설계사무소·결과만 넣어도 됩니다)</t>
        </is>
      </c>
    </row>
    <row r="2">
      <c r="A2" s="3" t="inlineStr">
        <is>
          <t>날짜</t>
        </is>
      </c>
      <c r="B2" s="3" t="inlineStr">
        <is>
          <t>설계사무소</t>
        </is>
      </c>
      <c r="C2" s="3" t="inlineStr">
        <is>
          <t>관련 현장</t>
        </is>
      </c>
      <c r="D2" s="3" t="inlineStr">
        <is>
          <t>만난 사람</t>
        </is>
      </c>
      <c r="E2" s="3" t="inlineStr">
        <is>
          <t>들은 것</t>
        </is>
      </c>
      <c r="F2" s="3" t="inlineStr">
        <is>
          <t>다음 약속일</t>
        </is>
      </c>
      <c r="G2" s="3" t="inlineStr">
        <is>
          <t>다음 할 것</t>
        </is>
      </c>
      <c r="H2" s="3" t="inlineStr">
        <is>
          <t>결과</t>
        </is>
      </c>
      <c r="I2" s="3" t="inlineStr">
        <is>
          <t>키(자동)</t>
        </is>
      </c>
      <c r="J2" s="3" t="inlineStr">
        <is>
          <t>목록에없음(자동)</t>
        </is>
      </c>
    </row>
    <row r="3">
      <c r="A3" s="8" t="n">
        <v>46275</v>
      </c>
      <c r="B3" s="9" t="inlineStr">
        <is>
          <t>[예시]사아종합건축사사무소</t>
        </is>
      </c>
      <c r="C3" s="9" t="inlineStr">
        <is>
          <t>[예시]사아리조트</t>
        </is>
      </c>
      <c r="D3" s="9" t="inlineStr">
        <is>
          <t>[예시]김소장</t>
        </is>
      </c>
      <c r="E3" s="9" t="inlineStr">
        <is>
          <t>[예시] 객실관리 도면 10월 중 요청 예정</t>
        </is>
      </c>
      <c r="F3" s="8" t="n">
        <v>46296</v>
      </c>
      <c r="G3" s="9" t="inlineStr">
        <is>
          <t>[예시] 평면도 받기</t>
        </is>
      </c>
      <c r="H3" s="9" t="inlineStr">
        <is>
          <t>재방문</t>
        </is>
      </c>
      <c r="I3">
        <f>IF(A3="","",B3&amp;"|"&amp;(A3*1))</f>
        <v/>
      </c>
      <c r="J3">
        <f>IF(B3="",0,IF(COUNTIF('3.설계사'!$B$4:$B$303,B3)=0,1,0))</f>
        <v/>
      </c>
    </row>
    <row r="4">
      <c r="A4" s="8" t="n"/>
      <c r="B4" s="9" t="n"/>
      <c r="C4" s="9" t="n"/>
      <c r="D4" s="9" t="n"/>
      <c r="E4" s="9" t="n"/>
      <c r="F4" s="8" t="n"/>
      <c r="G4" s="9" t="n"/>
      <c r="H4" s="9" t="n"/>
      <c r="I4">
        <f>IF(A4="","",B4&amp;"|"&amp;(A4*1))</f>
        <v/>
      </c>
      <c r="J4">
        <f>IF(B4="",0,IF(COUNTIF('3.설계사'!$B$4:$B$303,B4)=0,1,0))</f>
        <v/>
      </c>
    </row>
    <row r="5">
      <c r="A5" s="8" t="n"/>
      <c r="B5" s="9" t="n"/>
      <c r="C5" s="9" t="n"/>
      <c r="D5" s="9" t="n"/>
      <c r="E5" s="9" t="n"/>
      <c r="F5" s="8" t="n"/>
      <c r="G5" s="9" t="n"/>
      <c r="H5" s="9" t="n"/>
      <c r="I5">
        <f>IF(A5="","",B5&amp;"|"&amp;(A5*1))</f>
        <v/>
      </c>
      <c r="J5">
        <f>IF(B5="",0,IF(COUNTIF('3.설계사'!$B$4:$B$303,B5)=0,1,0))</f>
        <v/>
      </c>
    </row>
    <row r="6">
      <c r="A6" s="8" t="n"/>
      <c r="B6" s="9" t="n"/>
      <c r="C6" s="9" t="n"/>
      <c r="D6" s="9" t="n"/>
      <c r="E6" s="9" t="n"/>
      <c r="F6" s="8" t="n"/>
      <c r="G6" s="9" t="n"/>
      <c r="H6" s="9" t="n"/>
      <c r="I6">
        <f>IF(A6="","",B6&amp;"|"&amp;(A6*1))</f>
        <v/>
      </c>
      <c r="J6">
        <f>IF(B6="",0,IF(COUNTIF('3.설계사'!$B$4:$B$303,B6)=0,1,0))</f>
        <v/>
      </c>
    </row>
    <row r="7">
      <c r="A7" s="8" t="n"/>
      <c r="B7" s="9" t="n"/>
      <c r="C7" s="9" t="n"/>
      <c r="D7" s="9" t="n"/>
      <c r="E7" s="9" t="n"/>
      <c r="F7" s="8" t="n"/>
      <c r="G7" s="9" t="n"/>
      <c r="H7" s="9" t="n"/>
      <c r="I7">
        <f>IF(A7="","",B7&amp;"|"&amp;(A7*1))</f>
        <v/>
      </c>
      <c r="J7">
        <f>IF(B7="",0,IF(COUNTIF('3.설계사'!$B$4:$B$303,B7)=0,1,0))</f>
        <v/>
      </c>
    </row>
    <row r="8">
      <c r="A8" s="8" t="n"/>
      <c r="B8" s="9" t="n"/>
      <c r="C8" s="9" t="n"/>
      <c r="D8" s="9" t="n"/>
      <c r="E8" s="9" t="n"/>
      <c r="F8" s="8" t="n"/>
      <c r="G8" s="9" t="n"/>
      <c r="H8" s="9" t="n"/>
      <c r="I8">
        <f>IF(A8="","",B8&amp;"|"&amp;(A8*1))</f>
        <v/>
      </c>
      <c r="J8">
        <f>IF(B8="",0,IF(COUNTIF('3.설계사'!$B$4:$B$303,B8)=0,1,0))</f>
        <v/>
      </c>
    </row>
    <row r="9">
      <c r="A9" s="8" t="n"/>
      <c r="B9" s="9" t="n"/>
      <c r="C9" s="9" t="n"/>
      <c r="D9" s="9" t="n"/>
      <c r="E9" s="9" t="n"/>
      <c r="F9" s="8" t="n"/>
      <c r="G9" s="9" t="n"/>
      <c r="H9" s="9" t="n"/>
      <c r="I9">
        <f>IF(A9="","",B9&amp;"|"&amp;(A9*1))</f>
        <v/>
      </c>
      <c r="J9">
        <f>IF(B9="",0,IF(COUNTIF('3.설계사'!$B$4:$B$303,B9)=0,1,0))</f>
        <v/>
      </c>
    </row>
    <row r="10">
      <c r="A10" s="8" t="n"/>
      <c r="B10" s="9" t="n"/>
      <c r="C10" s="9" t="n"/>
      <c r="D10" s="9" t="n"/>
      <c r="E10" s="9" t="n"/>
      <c r="F10" s="8" t="n"/>
      <c r="G10" s="9" t="n"/>
      <c r="H10" s="9" t="n"/>
      <c r="I10">
        <f>IF(A10="","",B10&amp;"|"&amp;(A10*1))</f>
        <v/>
      </c>
      <c r="J10">
        <f>IF(B10="",0,IF(COUNTIF('3.설계사'!$B$4:$B$303,B10)=0,1,0))</f>
        <v/>
      </c>
    </row>
    <row r="11">
      <c r="A11" s="8" t="n"/>
      <c r="B11" s="9" t="n"/>
      <c r="C11" s="9" t="n"/>
      <c r="D11" s="9" t="n"/>
      <c r="E11" s="9" t="n"/>
      <c r="F11" s="8" t="n"/>
      <c r="G11" s="9" t="n"/>
      <c r="H11" s="9" t="n"/>
      <c r="I11">
        <f>IF(A11="","",B11&amp;"|"&amp;(A11*1))</f>
        <v/>
      </c>
      <c r="J11">
        <f>IF(B11="",0,IF(COUNTIF('3.설계사'!$B$4:$B$303,B11)=0,1,0))</f>
        <v/>
      </c>
    </row>
    <row r="12">
      <c r="A12" s="8" t="n"/>
      <c r="B12" s="9" t="n"/>
      <c r="C12" s="9" t="n"/>
      <c r="D12" s="9" t="n"/>
      <c r="E12" s="9" t="n"/>
      <c r="F12" s="8" t="n"/>
      <c r="G12" s="9" t="n"/>
      <c r="H12" s="9" t="n"/>
      <c r="I12">
        <f>IF(A12="","",B12&amp;"|"&amp;(A12*1))</f>
        <v/>
      </c>
      <c r="J12">
        <f>IF(B12="",0,IF(COUNTIF('3.설계사'!$B$4:$B$303,B12)=0,1,0))</f>
        <v/>
      </c>
    </row>
    <row r="13">
      <c r="A13" s="8" t="n"/>
      <c r="B13" s="9" t="n"/>
      <c r="C13" s="9" t="n"/>
      <c r="D13" s="9" t="n"/>
      <c r="E13" s="9" t="n"/>
      <c r="F13" s="8" t="n"/>
      <c r="G13" s="9" t="n"/>
      <c r="H13" s="9" t="n"/>
      <c r="I13">
        <f>IF(A13="","",B13&amp;"|"&amp;(A13*1))</f>
        <v/>
      </c>
      <c r="J13">
        <f>IF(B13="",0,IF(COUNTIF('3.설계사'!$B$4:$B$303,B13)=0,1,0))</f>
        <v/>
      </c>
    </row>
    <row r="14">
      <c r="A14" s="8" t="n"/>
      <c r="B14" s="9" t="n"/>
      <c r="C14" s="9" t="n"/>
      <c r="D14" s="9" t="n"/>
      <c r="E14" s="9" t="n"/>
      <c r="F14" s="8" t="n"/>
      <c r="G14" s="9" t="n"/>
      <c r="H14" s="9" t="n"/>
      <c r="I14">
        <f>IF(A14="","",B14&amp;"|"&amp;(A14*1))</f>
        <v/>
      </c>
      <c r="J14">
        <f>IF(B14="",0,IF(COUNTIF('3.설계사'!$B$4:$B$303,B14)=0,1,0))</f>
        <v/>
      </c>
    </row>
    <row r="15">
      <c r="A15" s="8" t="n"/>
      <c r="B15" s="9" t="n"/>
      <c r="C15" s="9" t="n"/>
      <c r="D15" s="9" t="n"/>
      <c r="E15" s="9" t="n"/>
      <c r="F15" s="8" t="n"/>
      <c r="G15" s="9" t="n"/>
      <c r="H15" s="9" t="n"/>
      <c r="I15">
        <f>IF(A15="","",B15&amp;"|"&amp;(A15*1))</f>
        <v/>
      </c>
      <c r="J15">
        <f>IF(B15="",0,IF(COUNTIF('3.설계사'!$B$4:$B$303,B15)=0,1,0))</f>
        <v/>
      </c>
    </row>
    <row r="16">
      <c r="A16" s="8" t="n"/>
      <c r="B16" s="9" t="n"/>
      <c r="C16" s="9" t="n"/>
      <c r="D16" s="9" t="n"/>
      <c r="E16" s="9" t="n"/>
      <c r="F16" s="8" t="n"/>
      <c r="G16" s="9" t="n"/>
      <c r="H16" s="9" t="n"/>
      <c r="I16">
        <f>IF(A16="","",B16&amp;"|"&amp;(A16*1))</f>
        <v/>
      </c>
      <c r="J16">
        <f>IF(B16="",0,IF(COUNTIF('3.설계사'!$B$4:$B$303,B16)=0,1,0))</f>
        <v/>
      </c>
    </row>
    <row r="17">
      <c r="A17" s="8" t="n"/>
      <c r="B17" s="9" t="n"/>
      <c r="C17" s="9" t="n"/>
      <c r="D17" s="9" t="n"/>
      <c r="E17" s="9" t="n"/>
      <c r="F17" s="8" t="n"/>
      <c r="G17" s="9" t="n"/>
      <c r="H17" s="9" t="n"/>
      <c r="I17">
        <f>IF(A17="","",B17&amp;"|"&amp;(A17*1))</f>
        <v/>
      </c>
      <c r="J17">
        <f>IF(B17="",0,IF(COUNTIF('3.설계사'!$B$4:$B$303,B17)=0,1,0))</f>
        <v/>
      </c>
    </row>
    <row r="18">
      <c r="A18" s="8" t="n"/>
      <c r="B18" s="9" t="n"/>
      <c r="C18" s="9" t="n"/>
      <c r="D18" s="9" t="n"/>
      <c r="E18" s="9" t="n"/>
      <c r="F18" s="8" t="n"/>
      <c r="G18" s="9" t="n"/>
      <c r="H18" s="9" t="n"/>
      <c r="I18">
        <f>IF(A18="","",B18&amp;"|"&amp;(A18*1))</f>
        <v/>
      </c>
      <c r="J18">
        <f>IF(B18="",0,IF(COUNTIF('3.설계사'!$B$4:$B$303,B18)=0,1,0))</f>
        <v/>
      </c>
    </row>
    <row r="19">
      <c r="A19" s="8" t="n"/>
      <c r="B19" s="9" t="n"/>
      <c r="C19" s="9" t="n"/>
      <c r="D19" s="9" t="n"/>
      <c r="E19" s="9" t="n"/>
      <c r="F19" s="8" t="n"/>
      <c r="G19" s="9" t="n"/>
      <c r="H19" s="9" t="n"/>
      <c r="I19">
        <f>IF(A19="","",B19&amp;"|"&amp;(A19*1))</f>
        <v/>
      </c>
      <c r="J19">
        <f>IF(B19="",0,IF(COUNTIF('3.설계사'!$B$4:$B$303,B19)=0,1,0))</f>
        <v/>
      </c>
    </row>
    <row r="20">
      <c r="A20" s="8" t="n"/>
      <c r="B20" s="9" t="n"/>
      <c r="C20" s="9" t="n"/>
      <c r="D20" s="9" t="n"/>
      <c r="E20" s="9" t="n"/>
      <c r="F20" s="8" t="n"/>
      <c r="G20" s="9" t="n"/>
      <c r="H20" s="9" t="n"/>
      <c r="I20">
        <f>IF(A20="","",B20&amp;"|"&amp;(A20*1))</f>
        <v/>
      </c>
      <c r="J20">
        <f>IF(B20="",0,IF(COUNTIF('3.설계사'!$B$4:$B$303,B20)=0,1,0))</f>
        <v/>
      </c>
    </row>
    <row r="21">
      <c r="A21" s="8" t="n"/>
      <c r="B21" s="9" t="n"/>
      <c r="C21" s="9" t="n"/>
      <c r="D21" s="9" t="n"/>
      <c r="E21" s="9" t="n"/>
      <c r="F21" s="8" t="n"/>
      <c r="G21" s="9" t="n"/>
      <c r="H21" s="9" t="n"/>
      <c r="I21">
        <f>IF(A21="","",B21&amp;"|"&amp;(A21*1))</f>
        <v/>
      </c>
      <c r="J21">
        <f>IF(B21="",0,IF(COUNTIF('3.설계사'!$B$4:$B$303,B21)=0,1,0))</f>
        <v/>
      </c>
    </row>
    <row r="22">
      <c r="A22" s="8" t="n"/>
      <c r="B22" s="9" t="n"/>
      <c r="C22" s="9" t="n"/>
      <c r="D22" s="9" t="n"/>
      <c r="E22" s="9" t="n"/>
      <c r="F22" s="8" t="n"/>
      <c r="G22" s="9" t="n"/>
      <c r="H22" s="9" t="n"/>
      <c r="I22">
        <f>IF(A22="","",B22&amp;"|"&amp;(A22*1))</f>
        <v/>
      </c>
      <c r="J22">
        <f>IF(B22="",0,IF(COUNTIF('3.설계사'!$B$4:$B$303,B22)=0,1,0))</f>
        <v/>
      </c>
    </row>
    <row r="23">
      <c r="A23" s="8" t="n"/>
      <c r="B23" s="9" t="n"/>
      <c r="C23" s="9" t="n"/>
      <c r="D23" s="9" t="n"/>
      <c r="E23" s="9" t="n"/>
      <c r="F23" s="8" t="n"/>
      <c r="G23" s="9" t="n"/>
      <c r="H23" s="9" t="n"/>
      <c r="I23">
        <f>IF(A23="","",B23&amp;"|"&amp;(A23*1))</f>
        <v/>
      </c>
      <c r="J23">
        <f>IF(B23="",0,IF(COUNTIF('3.설계사'!$B$4:$B$303,B23)=0,1,0))</f>
        <v/>
      </c>
    </row>
    <row r="24">
      <c r="A24" s="8" t="n"/>
      <c r="B24" s="9" t="n"/>
      <c r="C24" s="9" t="n"/>
      <c r="D24" s="9" t="n"/>
      <c r="E24" s="9" t="n"/>
      <c r="F24" s="8" t="n"/>
      <c r="G24" s="9" t="n"/>
      <c r="H24" s="9" t="n"/>
      <c r="I24">
        <f>IF(A24="","",B24&amp;"|"&amp;(A24*1))</f>
        <v/>
      </c>
      <c r="J24">
        <f>IF(B24="",0,IF(COUNTIF('3.설계사'!$B$4:$B$303,B24)=0,1,0))</f>
        <v/>
      </c>
    </row>
    <row r="25">
      <c r="A25" s="8" t="n"/>
      <c r="B25" s="9" t="n"/>
      <c r="C25" s="9" t="n"/>
      <c r="D25" s="9" t="n"/>
      <c r="E25" s="9" t="n"/>
      <c r="F25" s="8" t="n"/>
      <c r="G25" s="9" t="n"/>
      <c r="H25" s="9" t="n"/>
      <c r="I25">
        <f>IF(A25="","",B25&amp;"|"&amp;(A25*1))</f>
        <v/>
      </c>
      <c r="J25">
        <f>IF(B25="",0,IF(COUNTIF('3.설계사'!$B$4:$B$303,B25)=0,1,0))</f>
        <v/>
      </c>
    </row>
    <row r="26">
      <c r="A26" s="8" t="n"/>
      <c r="B26" s="9" t="n"/>
      <c r="C26" s="9" t="n"/>
      <c r="D26" s="9" t="n"/>
      <c r="E26" s="9" t="n"/>
      <c r="F26" s="8" t="n"/>
      <c r="G26" s="9" t="n"/>
      <c r="H26" s="9" t="n"/>
      <c r="I26">
        <f>IF(A26="","",B26&amp;"|"&amp;(A26*1))</f>
        <v/>
      </c>
      <c r="J26">
        <f>IF(B26="",0,IF(COUNTIF('3.설계사'!$B$4:$B$303,B26)=0,1,0))</f>
        <v/>
      </c>
    </row>
    <row r="27">
      <c r="A27" s="8" t="n"/>
      <c r="B27" s="9" t="n"/>
      <c r="C27" s="9" t="n"/>
      <c r="D27" s="9" t="n"/>
      <c r="E27" s="9" t="n"/>
      <c r="F27" s="8" t="n"/>
      <c r="G27" s="9" t="n"/>
      <c r="H27" s="9" t="n"/>
      <c r="I27">
        <f>IF(A27="","",B27&amp;"|"&amp;(A27*1))</f>
        <v/>
      </c>
      <c r="J27">
        <f>IF(B27="",0,IF(COUNTIF('3.설계사'!$B$4:$B$303,B27)=0,1,0))</f>
        <v/>
      </c>
    </row>
    <row r="28">
      <c r="A28" s="8" t="n"/>
      <c r="B28" s="9" t="n"/>
      <c r="C28" s="9" t="n"/>
      <c r="D28" s="9" t="n"/>
      <c r="E28" s="9" t="n"/>
      <c r="F28" s="8" t="n"/>
      <c r="G28" s="9" t="n"/>
      <c r="H28" s="9" t="n"/>
      <c r="I28">
        <f>IF(A28="","",B28&amp;"|"&amp;(A28*1))</f>
        <v/>
      </c>
      <c r="J28">
        <f>IF(B28="",0,IF(COUNTIF('3.설계사'!$B$4:$B$303,B28)=0,1,0))</f>
        <v/>
      </c>
    </row>
    <row r="29">
      <c r="A29" s="8" t="n"/>
      <c r="B29" s="9" t="n"/>
      <c r="C29" s="9" t="n"/>
      <c r="D29" s="9" t="n"/>
      <c r="E29" s="9" t="n"/>
      <c r="F29" s="8" t="n"/>
      <c r="G29" s="9" t="n"/>
      <c r="H29" s="9" t="n"/>
      <c r="I29">
        <f>IF(A29="","",B29&amp;"|"&amp;(A29*1))</f>
        <v/>
      </c>
      <c r="J29">
        <f>IF(B29="",0,IF(COUNTIF('3.설계사'!$B$4:$B$303,B29)=0,1,0))</f>
        <v/>
      </c>
    </row>
    <row r="30">
      <c r="A30" s="8" t="n"/>
      <c r="B30" s="9" t="n"/>
      <c r="C30" s="9" t="n"/>
      <c r="D30" s="9" t="n"/>
      <c r="E30" s="9" t="n"/>
      <c r="F30" s="8" t="n"/>
      <c r="G30" s="9" t="n"/>
      <c r="H30" s="9" t="n"/>
      <c r="I30">
        <f>IF(A30="","",B30&amp;"|"&amp;(A30*1))</f>
        <v/>
      </c>
      <c r="J30">
        <f>IF(B30="",0,IF(COUNTIF('3.설계사'!$B$4:$B$303,B30)=0,1,0))</f>
        <v/>
      </c>
    </row>
    <row r="31">
      <c r="A31" s="8" t="n"/>
      <c r="B31" s="9" t="n"/>
      <c r="C31" s="9" t="n"/>
      <c r="D31" s="9" t="n"/>
      <c r="E31" s="9" t="n"/>
      <c r="F31" s="8" t="n"/>
      <c r="G31" s="9" t="n"/>
      <c r="H31" s="9" t="n"/>
      <c r="I31">
        <f>IF(A31="","",B31&amp;"|"&amp;(A31*1))</f>
        <v/>
      </c>
      <c r="J31">
        <f>IF(B31="",0,IF(COUNTIF('3.설계사'!$B$4:$B$303,B31)=0,1,0))</f>
        <v/>
      </c>
    </row>
    <row r="32">
      <c r="A32" s="8" t="n"/>
      <c r="B32" s="9" t="n"/>
      <c r="C32" s="9" t="n"/>
      <c r="D32" s="9" t="n"/>
      <c r="E32" s="9" t="n"/>
      <c r="F32" s="8" t="n"/>
      <c r="G32" s="9" t="n"/>
      <c r="H32" s="9" t="n"/>
      <c r="I32">
        <f>IF(A32="","",B32&amp;"|"&amp;(A32*1))</f>
        <v/>
      </c>
      <c r="J32">
        <f>IF(B32="",0,IF(COUNTIF('3.설계사'!$B$4:$B$303,B32)=0,1,0))</f>
        <v/>
      </c>
    </row>
    <row r="33">
      <c r="A33" s="8" t="n"/>
      <c r="B33" s="9" t="n"/>
      <c r="C33" s="9" t="n"/>
      <c r="D33" s="9" t="n"/>
      <c r="E33" s="9" t="n"/>
      <c r="F33" s="8" t="n"/>
      <c r="G33" s="9" t="n"/>
      <c r="H33" s="9" t="n"/>
      <c r="I33">
        <f>IF(A33="","",B33&amp;"|"&amp;(A33*1))</f>
        <v/>
      </c>
      <c r="J33">
        <f>IF(B33="",0,IF(COUNTIF('3.설계사'!$B$4:$B$303,B33)=0,1,0))</f>
        <v/>
      </c>
    </row>
    <row r="34">
      <c r="A34" s="8" t="n"/>
      <c r="B34" s="9" t="n"/>
      <c r="C34" s="9" t="n"/>
      <c r="D34" s="9" t="n"/>
      <c r="E34" s="9" t="n"/>
      <c r="F34" s="8" t="n"/>
      <c r="G34" s="9" t="n"/>
      <c r="H34" s="9" t="n"/>
      <c r="I34">
        <f>IF(A34="","",B34&amp;"|"&amp;(A34*1))</f>
        <v/>
      </c>
      <c r="J34">
        <f>IF(B34="",0,IF(COUNTIF('3.설계사'!$B$4:$B$303,B34)=0,1,0))</f>
        <v/>
      </c>
    </row>
    <row r="35">
      <c r="A35" s="8" t="n"/>
      <c r="B35" s="9" t="n"/>
      <c r="C35" s="9" t="n"/>
      <c r="D35" s="9" t="n"/>
      <c r="E35" s="9" t="n"/>
      <c r="F35" s="8" t="n"/>
      <c r="G35" s="9" t="n"/>
      <c r="H35" s="9" t="n"/>
      <c r="I35">
        <f>IF(A35="","",B35&amp;"|"&amp;(A35*1))</f>
        <v/>
      </c>
      <c r="J35">
        <f>IF(B35="",0,IF(COUNTIF('3.설계사'!$B$4:$B$303,B35)=0,1,0))</f>
        <v/>
      </c>
    </row>
    <row r="36">
      <c r="A36" s="8" t="n"/>
      <c r="B36" s="9" t="n"/>
      <c r="C36" s="9" t="n"/>
      <c r="D36" s="9" t="n"/>
      <c r="E36" s="9" t="n"/>
      <c r="F36" s="8" t="n"/>
      <c r="G36" s="9" t="n"/>
      <c r="H36" s="9" t="n"/>
      <c r="I36">
        <f>IF(A36="","",B36&amp;"|"&amp;(A36*1))</f>
        <v/>
      </c>
      <c r="J36">
        <f>IF(B36="",0,IF(COUNTIF('3.설계사'!$B$4:$B$303,B36)=0,1,0))</f>
        <v/>
      </c>
    </row>
    <row r="37">
      <c r="A37" s="8" t="n"/>
      <c r="B37" s="9" t="n"/>
      <c r="C37" s="9" t="n"/>
      <c r="D37" s="9" t="n"/>
      <c r="E37" s="9" t="n"/>
      <c r="F37" s="8" t="n"/>
      <c r="G37" s="9" t="n"/>
      <c r="H37" s="9" t="n"/>
      <c r="I37">
        <f>IF(A37="","",B37&amp;"|"&amp;(A37*1))</f>
        <v/>
      </c>
      <c r="J37">
        <f>IF(B37="",0,IF(COUNTIF('3.설계사'!$B$4:$B$303,B37)=0,1,0))</f>
        <v/>
      </c>
    </row>
    <row r="38">
      <c r="A38" s="8" t="n"/>
      <c r="B38" s="9" t="n"/>
      <c r="C38" s="9" t="n"/>
      <c r="D38" s="9" t="n"/>
      <c r="E38" s="9" t="n"/>
      <c r="F38" s="8" t="n"/>
      <c r="G38" s="9" t="n"/>
      <c r="H38" s="9" t="n"/>
      <c r="I38">
        <f>IF(A38="","",B38&amp;"|"&amp;(A38*1))</f>
        <v/>
      </c>
      <c r="J38">
        <f>IF(B38="",0,IF(COUNTIF('3.설계사'!$B$4:$B$303,B38)=0,1,0))</f>
        <v/>
      </c>
    </row>
    <row r="39">
      <c r="A39" s="8" t="n"/>
      <c r="B39" s="9" t="n"/>
      <c r="C39" s="9" t="n"/>
      <c r="D39" s="9" t="n"/>
      <c r="E39" s="9" t="n"/>
      <c r="F39" s="8" t="n"/>
      <c r="G39" s="9" t="n"/>
      <c r="H39" s="9" t="n"/>
      <c r="I39">
        <f>IF(A39="","",B39&amp;"|"&amp;(A39*1))</f>
        <v/>
      </c>
      <c r="J39">
        <f>IF(B39="",0,IF(COUNTIF('3.설계사'!$B$4:$B$303,B39)=0,1,0))</f>
        <v/>
      </c>
    </row>
    <row r="40">
      <c r="A40" s="8" t="n"/>
      <c r="B40" s="9" t="n"/>
      <c r="C40" s="9" t="n"/>
      <c r="D40" s="9" t="n"/>
      <c r="E40" s="9" t="n"/>
      <c r="F40" s="8" t="n"/>
      <c r="G40" s="9" t="n"/>
      <c r="H40" s="9" t="n"/>
      <c r="I40">
        <f>IF(A40="","",B40&amp;"|"&amp;(A40*1))</f>
        <v/>
      </c>
      <c r="J40">
        <f>IF(B40="",0,IF(COUNTIF('3.설계사'!$B$4:$B$303,B40)=0,1,0))</f>
        <v/>
      </c>
    </row>
    <row r="41">
      <c r="A41" s="8" t="n"/>
      <c r="B41" s="9" t="n"/>
      <c r="C41" s="9" t="n"/>
      <c r="D41" s="9" t="n"/>
      <c r="E41" s="9" t="n"/>
      <c r="F41" s="8" t="n"/>
      <c r="G41" s="9" t="n"/>
      <c r="H41" s="9" t="n"/>
      <c r="I41">
        <f>IF(A41="","",B41&amp;"|"&amp;(A41*1))</f>
        <v/>
      </c>
      <c r="J41">
        <f>IF(B41="",0,IF(COUNTIF('3.설계사'!$B$4:$B$303,B41)=0,1,0))</f>
        <v/>
      </c>
    </row>
    <row r="42">
      <c r="A42" s="8" t="n"/>
      <c r="B42" s="9" t="n"/>
      <c r="C42" s="9" t="n"/>
      <c r="D42" s="9" t="n"/>
      <c r="E42" s="9" t="n"/>
      <c r="F42" s="8" t="n"/>
      <c r="G42" s="9" t="n"/>
      <c r="H42" s="9" t="n"/>
      <c r="I42">
        <f>IF(A42="","",B42&amp;"|"&amp;(A42*1))</f>
        <v/>
      </c>
      <c r="J42">
        <f>IF(B42="",0,IF(COUNTIF('3.설계사'!$B$4:$B$303,B42)=0,1,0))</f>
        <v/>
      </c>
    </row>
    <row r="43">
      <c r="A43" s="8" t="n"/>
      <c r="B43" s="9" t="n"/>
      <c r="C43" s="9" t="n"/>
      <c r="D43" s="9" t="n"/>
      <c r="E43" s="9" t="n"/>
      <c r="F43" s="8" t="n"/>
      <c r="G43" s="9" t="n"/>
      <c r="H43" s="9" t="n"/>
      <c r="I43">
        <f>IF(A43="","",B43&amp;"|"&amp;(A43*1))</f>
        <v/>
      </c>
      <c r="J43">
        <f>IF(B43="",0,IF(COUNTIF('3.설계사'!$B$4:$B$303,B43)=0,1,0))</f>
        <v/>
      </c>
    </row>
    <row r="44">
      <c r="A44" s="8" t="n"/>
      <c r="B44" s="9" t="n"/>
      <c r="C44" s="9" t="n"/>
      <c r="D44" s="9" t="n"/>
      <c r="E44" s="9" t="n"/>
      <c r="F44" s="8" t="n"/>
      <c r="G44" s="9" t="n"/>
      <c r="H44" s="9" t="n"/>
      <c r="I44">
        <f>IF(A44="","",B44&amp;"|"&amp;(A44*1))</f>
        <v/>
      </c>
      <c r="J44">
        <f>IF(B44="",0,IF(COUNTIF('3.설계사'!$B$4:$B$303,B44)=0,1,0))</f>
        <v/>
      </c>
    </row>
    <row r="45">
      <c r="A45" s="8" t="n"/>
      <c r="B45" s="9" t="n"/>
      <c r="C45" s="9" t="n"/>
      <c r="D45" s="9" t="n"/>
      <c r="E45" s="9" t="n"/>
      <c r="F45" s="8" t="n"/>
      <c r="G45" s="9" t="n"/>
      <c r="H45" s="9" t="n"/>
      <c r="I45">
        <f>IF(A45="","",B45&amp;"|"&amp;(A45*1))</f>
        <v/>
      </c>
      <c r="J45">
        <f>IF(B45="",0,IF(COUNTIF('3.설계사'!$B$4:$B$303,B45)=0,1,0))</f>
        <v/>
      </c>
    </row>
    <row r="46">
      <c r="A46" s="8" t="n"/>
      <c r="B46" s="9" t="n"/>
      <c r="C46" s="9" t="n"/>
      <c r="D46" s="9" t="n"/>
      <c r="E46" s="9" t="n"/>
      <c r="F46" s="8" t="n"/>
      <c r="G46" s="9" t="n"/>
      <c r="H46" s="9" t="n"/>
      <c r="I46">
        <f>IF(A46="","",B46&amp;"|"&amp;(A46*1))</f>
        <v/>
      </c>
      <c r="J46">
        <f>IF(B46="",0,IF(COUNTIF('3.설계사'!$B$4:$B$303,B46)=0,1,0))</f>
        <v/>
      </c>
    </row>
    <row r="47">
      <c r="A47" s="8" t="n"/>
      <c r="B47" s="9" t="n"/>
      <c r="C47" s="9" t="n"/>
      <c r="D47" s="9" t="n"/>
      <c r="E47" s="9" t="n"/>
      <c r="F47" s="8" t="n"/>
      <c r="G47" s="9" t="n"/>
      <c r="H47" s="9" t="n"/>
      <c r="I47">
        <f>IF(A47="","",B47&amp;"|"&amp;(A47*1))</f>
        <v/>
      </c>
      <c r="J47">
        <f>IF(B47="",0,IF(COUNTIF('3.설계사'!$B$4:$B$303,B47)=0,1,0))</f>
        <v/>
      </c>
    </row>
    <row r="48">
      <c r="A48" s="8" t="n"/>
      <c r="B48" s="9" t="n"/>
      <c r="C48" s="9" t="n"/>
      <c r="D48" s="9" t="n"/>
      <c r="E48" s="9" t="n"/>
      <c r="F48" s="8" t="n"/>
      <c r="G48" s="9" t="n"/>
      <c r="H48" s="9" t="n"/>
      <c r="I48">
        <f>IF(A48="","",B48&amp;"|"&amp;(A48*1))</f>
        <v/>
      </c>
      <c r="J48">
        <f>IF(B48="",0,IF(COUNTIF('3.설계사'!$B$4:$B$303,B48)=0,1,0))</f>
        <v/>
      </c>
    </row>
    <row r="49">
      <c r="A49" s="8" t="n"/>
      <c r="B49" s="9" t="n"/>
      <c r="C49" s="9" t="n"/>
      <c r="D49" s="9" t="n"/>
      <c r="E49" s="9" t="n"/>
      <c r="F49" s="8" t="n"/>
      <c r="G49" s="9" t="n"/>
      <c r="H49" s="9" t="n"/>
      <c r="I49">
        <f>IF(A49="","",B49&amp;"|"&amp;(A49*1))</f>
        <v/>
      </c>
      <c r="J49">
        <f>IF(B49="",0,IF(COUNTIF('3.설계사'!$B$4:$B$303,B49)=0,1,0))</f>
        <v/>
      </c>
    </row>
    <row r="50">
      <c r="A50" s="8" t="n"/>
      <c r="B50" s="9" t="n"/>
      <c r="C50" s="9" t="n"/>
      <c r="D50" s="9" t="n"/>
      <c r="E50" s="9" t="n"/>
      <c r="F50" s="8" t="n"/>
      <c r="G50" s="9" t="n"/>
      <c r="H50" s="9" t="n"/>
      <c r="I50">
        <f>IF(A50="","",B50&amp;"|"&amp;(A50*1))</f>
        <v/>
      </c>
      <c r="J50">
        <f>IF(B50="",0,IF(COUNTIF('3.설계사'!$B$4:$B$303,B50)=0,1,0))</f>
        <v/>
      </c>
    </row>
    <row r="51">
      <c r="A51" s="8" t="n"/>
      <c r="B51" s="9" t="n"/>
      <c r="C51" s="9" t="n"/>
      <c r="D51" s="9" t="n"/>
      <c r="E51" s="9" t="n"/>
      <c r="F51" s="8" t="n"/>
      <c r="G51" s="9" t="n"/>
      <c r="H51" s="9" t="n"/>
      <c r="I51">
        <f>IF(A51="","",B51&amp;"|"&amp;(A51*1))</f>
        <v/>
      </c>
      <c r="J51">
        <f>IF(B51="",0,IF(COUNTIF('3.설계사'!$B$4:$B$303,B51)=0,1,0))</f>
        <v/>
      </c>
    </row>
    <row r="52">
      <c r="A52" s="8" t="n"/>
      <c r="B52" s="9" t="n"/>
      <c r="C52" s="9" t="n"/>
      <c r="D52" s="9" t="n"/>
      <c r="E52" s="9" t="n"/>
      <c r="F52" s="8" t="n"/>
      <c r="G52" s="9" t="n"/>
      <c r="H52" s="9" t="n"/>
      <c r="I52">
        <f>IF(A52="","",B52&amp;"|"&amp;(A52*1))</f>
        <v/>
      </c>
      <c r="J52">
        <f>IF(B52="",0,IF(COUNTIF('3.설계사'!$B$4:$B$303,B52)=0,1,0))</f>
        <v/>
      </c>
    </row>
    <row r="53">
      <c r="A53" s="8" t="n"/>
      <c r="B53" s="9" t="n"/>
      <c r="C53" s="9" t="n"/>
      <c r="D53" s="9" t="n"/>
      <c r="E53" s="9" t="n"/>
      <c r="F53" s="8" t="n"/>
      <c r="G53" s="9" t="n"/>
      <c r="H53" s="9" t="n"/>
      <c r="I53">
        <f>IF(A53="","",B53&amp;"|"&amp;(A53*1))</f>
        <v/>
      </c>
      <c r="J53">
        <f>IF(B53="",0,IF(COUNTIF('3.설계사'!$B$4:$B$303,B53)=0,1,0))</f>
        <v/>
      </c>
    </row>
    <row r="54">
      <c r="A54" s="8" t="n"/>
      <c r="B54" s="9" t="n"/>
      <c r="C54" s="9" t="n"/>
      <c r="D54" s="9" t="n"/>
      <c r="E54" s="9" t="n"/>
      <c r="F54" s="8" t="n"/>
      <c r="G54" s="9" t="n"/>
      <c r="H54" s="9" t="n"/>
      <c r="I54">
        <f>IF(A54="","",B54&amp;"|"&amp;(A54*1))</f>
        <v/>
      </c>
      <c r="J54">
        <f>IF(B54="",0,IF(COUNTIF('3.설계사'!$B$4:$B$303,B54)=0,1,0))</f>
        <v/>
      </c>
    </row>
    <row r="55">
      <c r="A55" s="8" t="n"/>
      <c r="B55" s="9" t="n"/>
      <c r="C55" s="9" t="n"/>
      <c r="D55" s="9" t="n"/>
      <c r="E55" s="9" t="n"/>
      <c r="F55" s="8" t="n"/>
      <c r="G55" s="9" t="n"/>
      <c r="H55" s="9" t="n"/>
      <c r="I55">
        <f>IF(A55="","",B55&amp;"|"&amp;(A55*1))</f>
        <v/>
      </c>
      <c r="J55">
        <f>IF(B55="",0,IF(COUNTIF('3.설계사'!$B$4:$B$303,B55)=0,1,0))</f>
        <v/>
      </c>
    </row>
    <row r="56">
      <c r="A56" s="8" t="n"/>
      <c r="B56" s="9" t="n"/>
      <c r="C56" s="9" t="n"/>
      <c r="D56" s="9" t="n"/>
      <c r="E56" s="9" t="n"/>
      <c r="F56" s="8" t="n"/>
      <c r="G56" s="9" t="n"/>
      <c r="H56" s="9" t="n"/>
      <c r="I56">
        <f>IF(A56="","",B56&amp;"|"&amp;(A56*1))</f>
        <v/>
      </c>
      <c r="J56">
        <f>IF(B56="",0,IF(COUNTIF('3.설계사'!$B$4:$B$303,B56)=0,1,0))</f>
        <v/>
      </c>
    </row>
    <row r="57">
      <c r="A57" s="8" t="n"/>
      <c r="B57" s="9" t="n"/>
      <c r="C57" s="9" t="n"/>
      <c r="D57" s="9" t="n"/>
      <c r="E57" s="9" t="n"/>
      <c r="F57" s="8" t="n"/>
      <c r="G57" s="9" t="n"/>
      <c r="H57" s="9" t="n"/>
      <c r="I57">
        <f>IF(A57="","",B57&amp;"|"&amp;(A57*1))</f>
        <v/>
      </c>
      <c r="J57">
        <f>IF(B57="",0,IF(COUNTIF('3.설계사'!$B$4:$B$303,B57)=0,1,0))</f>
        <v/>
      </c>
    </row>
    <row r="58">
      <c r="A58" s="8" t="n"/>
      <c r="B58" s="9" t="n"/>
      <c r="C58" s="9" t="n"/>
      <c r="D58" s="9" t="n"/>
      <c r="E58" s="9" t="n"/>
      <c r="F58" s="8" t="n"/>
      <c r="G58" s="9" t="n"/>
      <c r="H58" s="9" t="n"/>
      <c r="I58">
        <f>IF(A58="","",B58&amp;"|"&amp;(A58*1))</f>
        <v/>
      </c>
      <c r="J58">
        <f>IF(B58="",0,IF(COUNTIF('3.설계사'!$B$4:$B$303,B58)=0,1,0))</f>
        <v/>
      </c>
    </row>
    <row r="59">
      <c r="A59" s="8" t="n"/>
      <c r="B59" s="9" t="n"/>
      <c r="C59" s="9" t="n"/>
      <c r="D59" s="9" t="n"/>
      <c r="E59" s="9" t="n"/>
      <c r="F59" s="8" t="n"/>
      <c r="G59" s="9" t="n"/>
      <c r="H59" s="9" t="n"/>
      <c r="I59">
        <f>IF(A59="","",B59&amp;"|"&amp;(A59*1))</f>
        <v/>
      </c>
      <c r="J59">
        <f>IF(B59="",0,IF(COUNTIF('3.설계사'!$B$4:$B$303,B59)=0,1,0))</f>
        <v/>
      </c>
    </row>
    <row r="60">
      <c r="A60" s="8" t="n"/>
      <c r="B60" s="9" t="n"/>
      <c r="C60" s="9" t="n"/>
      <c r="D60" s="9" t="n"/>
      <c r="E60" s="9" t="n"/>
      <c r="F60" s="8" t="n"/>
      <c r="G60" s="9" t="n"/>
      <c r="H60" s="9" t="n"/>
      <c r="I60">
        <f>IF(A60="","",B60&amp;"|"&amp;(A60*1))</f>
        <v/>
      </c>
      <c r="J60">
        <f>IF(B60="",0,IF(COUNTIF('3.설계사'!$B$4:$B$303,B60)=0,1,0))</f>
        <v/>
      </c>
    </row>
    <row r="61">
      <c r="A61" s="8" t="n"/>
      <c r="B61" s="9" t="n"/>
      <c r="C61" s="9" t="n"/>
      <c r="D61" s="9" t="n"/>
      <c r="E61" s="9" t="n"/>
      <c r="F61" s="8" t="n"/>
      <c r="G61" s="9" t="n"/>
      <c r="H61" s="9" t="n"/>
      <c r="I61">
        <f>IF(A61="","",B61&amp;"|"&amp;(A61*1))</f>
        <v/>
      </c>
      <c r="J61">
        <f>IF(B61="",0,IF(COUNTIF('3.설계사'!$B$4:$B$303,B61)=0,1,0))</f>
        <v/>
      </c>
    </row>
    <row r="62">
      <c r="A62" s="8" t="n"/>
      <c r="B62" s="9" t="n"/>
      <c r="C62" s="9" t="n"/>
      <c r="D62" s="9" t="n"/>
      <c r="E62" s="9" t="n"/>
      <c r="F62" s="8" t="n"/>
      <c r="G62" s="9" t="n"/>
      <c r="H62" s="9" t="n"/>
      <c r="I62">
        <f>IF(A62="","",B62&amp;"|"&amp;(A62*1))</f>
        <v/>
      </c>
      <c r="J62">
        <f>IF(B62="",0,IF(COUNTIF('3.설계사'!$B$4:$B$303,B62)=0,1,0))</f>
        <v/>
      </c>
    </row>
    <row r="63">
      <c r="A63" s="8" t="n"/>
      <c r="B63" s="9" t="n"/>
      <c r="C63" s="9" t="n"/>
      <c r="D63" s="9" t="n"/>
      <c r="E63" s="9" t="n"/>
      <c r="F63" s="8" t="n"/>
      <c r="G63" s="9" t="n"/>
      <c r="H63" s="9" t="n"/>
      <c r="I63">
        <f>IF(A63="","",B63&amp;"|"&amp;(A63*1))</f>
        <v/>
      </c>
      <c r="J63">
        <f>IF(B63="",0,IF(COUNTIF('3.설계사'!$B$4:$B$303,B63)=0,1,0))</f>
        <v/>
      </c>
    </row>
    <row r="64">
      <c r="A64" s="8" t="n"/>
      <c r="B64" s="9" t="n"/>
      <c r="C64" s="9" t="n"/>
      <c r="D64" s="9" t="n"/>
      <c r="E64" s="9" t="n"/>
      <c r="F64" s="8" t="n"/>
      <c r="G64" s="9" t="n"/>
      <c r="H64" s="9" t="n"/>
      <c r="I64">
        <f>IF(A64="","",B64&amp;"|"&amp;(A64*1))</f>
        <v/>
      </c>
      <c r="J64">
        <f>IF(B64="",0,IF(COUNTIF('3.설계사'!$B$4:$B$303,B64)=0,1,0))</f>
        <v/>
      </c>
    </row>
    <row r="65">
      <c r="A65" s="8" t="n"/>
      <c r="B65" s="9" t="n"/>
      <c r="C65" s="9" t="n"/>
      <c r="D65" s="9" t="n"/>
      <c r="E65" s="9" t="n"/>
      <c r="F65" s="8" t="n"/>
      <c r="G65" s="9" t="n"/>
      <c r="H65" s="9" t="n"/>
      <c r="I65">
        <f>IF(A65="","",B65&amp;"|"&amp;(A65*1))</f>
        <v/>
      </c>
      <c r="J65">
        <f>IF(B65="",0,IF(COUNTIF('3.설계사'!$B$4:$B$303,B65)=0,1,0))</f>
        <v/>
      </c>
    </row>
    <row r="66">
      <c r="A66" s="8" t="n"/>
      <c r="B66" s="9" t="n"/>
      <c r="C66" s="9" t="n"/>
      <c r="D66" s="9" t="n"/>
      <c r="E66" s="9" t="n"/>
      <c r="F66" s="8" t="n"/>
      <c r="G66" s="9" t="n"/>
      <c r="H66" s="9" t="n"/>
      <c r="I66">
        <f>IF(A66="","",B66&amp;"|"&amp;(A66*1))</f>
        <v/>
      </c>
      <c r="J66">
        <f>IF(B66="",0,IF(COUNTIF('3.설계사'!$B$4:$B$303,B66)=0,1,0))</f>
        <v/>
      </c>
    </row>
    <row r="67">
      <c r="A67" s="8" t="n"/>
      <c r="B67" s="9" t="n"/>
      <c r="C67" s="9" t="n"/>
      <c r="D67" s="9" t="n"/>
      <c r="E67" s="9" t="n"/>
      <c r="F67" s="8" t="n"/>
      <c r="G67" s="9" t="n"/>
      <c r="H67" s="9" t="n"/>
      <c r="I67">
        <f>IF(A67="","",B67&amp;"|"&amp;(A67*1))</f>
        <v/>
      </c>
      <c r="J67">
        <f>IF(B67="",0,IF(COUNTIF('3.설계사'!$B$4:$B$303,B67)=0,1,0))</f>
        <v/>
      </c>
    </row>
    <row r="68">
      <c r="A68" s="8" t="n"/>
      <c r="B68" s="9" t="n"/>
      <c r="C68" s="9" t="n"/>
      <c r="D68" s="9" t="n"/>
      <c r="E68" s="9" t="n"/>
      <c r="F68" s="8" t="n"/>
      <c r="G68" s="9" t="n"/>
      <c r="H68" s="9" t="n"/>
      <c r="I68">
        <f>IF(A68="","",B68&amp;"|"&amp;(A68*1))</f>
        <v/>
      </c>
      <c r="J68">
        <f>IF(B68="",0,IF(COUNTIF('3.설계사'!$B$4:$B$303,B68)=0,1,0))</f>
        <v/>
      </c>
    </row>
    <row r="69">
      <c r="A69" s="8" t="n"/>
      <c r="B69" s="9" t="n"/>
      <c r="C69" s="9" t="n"/>
      <c r="D69" s="9" t="n"/>
      <c r="E69" s="9" t="n"/>
      <c r="F69" s="8" t="n"/>
      <c r="G69" s="9" t="n"/>
      <c r="H69" s="9" t="n"/>
      <c r="I69">
        <f>IF(A69="","",B69&amp;"|"&amp;(A69*1))</f>
        <v/>
      </c>
      <c r="J69">
        <f>IF(B69="",0,IF(COUNTIF('3.설계사'!$B$4:$B$303,B69)=0,1,0))</f>
        <v/>
      </c>
    </row>
    <row r="70">
      <c r="A70" s="8" t="n"/>
      <c r="B70" s="9" t="n"/>
      <c r="C70" s="9" t="n"/>
      <c r="D70" s="9" t="n"/>
      <c r="E70" s="9" t="n"/>
      <c r="F70" s="8" t="n"/>
      <c r="G70" s="9" t="n"/>
      <c r="H70" s="9" t="n"/>
      <c r="I70">
        <f>IF(A70="","",B70&amp;"|"&amp;(A70*1))</f>
        <v/>
      </c>
      <c r="J70">
        <f>IF(B70="",0,IF(COUNTIF('3.설계사'!$B$4:$B$303,B70)=0,1,0))</f>
        <v/>
      </c>
    </row>
    <row r="71">
      <c r="A71" s="8" t="n"/>
      <c r="B71" s="9" t="n"/>
      <c r="C71" s="9" t="n"/>
      <c r="D71" s="9" t="n"/>
      <c r="E71" s="9" t="n"/>
      <c r="F71" s="8" t="n"/>
      <c r="G71" s="9" t="n"/>
      <c r="H71" s="9" t="n"/>
      <c r="I71">
        <f>IF(A71="","",B71&amp;"|"&amp;(A71*1))</f>
        <v/>
      </c>
      <c r="J71">
        <f>IF(B71="",0,IF(COUNTIF('3.설계사'!$B$4:$B$303,B71)=0,1,0))</f>
        <v/>
      </c>
    </row>
    <row r="72">
      <c r="A72" s="8" t="n"/>
      <c r="B72" s="9" t="n"/>
      <c r="C72" s="9" t="n"/>
      <c r="D72" s="9" t="n"/>
      <c r="E72" s="9" t="n"/>
      <c r="F72" s="8" t="n"/>
      <c r="G72" s="9" t="n"/>
      <c r="H72" s="9" t="n"/>
      <c r="I72">
        <f>IF(A72="","",B72&amp;"|"&amp;(A72*1))</f>
        <v/>
      </c>
      <c r="J72">
        <f>IF(B72="",0,IF(COUNTIF('3.설계사'!$B$4:$B$303,B72)=0,1,0))</f>
        <v/>
      </c>
    </row>
    <row r="73">
      <c r="A73" s="8" t="n"/>
      <c r="B73" s="9" t="n"/>
      <c r="C73" s="9" t="n"/>
      <c r="D73" s="9" t="n"/>
      <c r="E73" s="9" t="n"/>
      <c r="F73" s="8" t="n"/>
      <c r="G73" s="9" t="n"/>
      <c r="H73" s="9" t="n"/>
      <c r="I73">
        <f>IF(A73="","",B73&amp;"|"&amp;(A73*1))</f>
        <v/>
      </c>
      <c r="J73">
        <f>IF(B73="",0,IF(COUNTIF('3.설계사'!$B$4:$B$303,B73)=0,1,0))</f>
        <v/>
      </c>
    </row>
    <row r="74">
      <c r="A74" s="8" t="n"/>
      <c r="B74" s="9" t="n"/>
      <c r="C74" s="9" t="n"/>
      <c r="D74" s="9" t="n"/>
      <c r="E74" s="9" t="n"/>
      <c r="F74" s="8" t="n"/>
      <c r="G74" s="9" t="n"/>
      <c r="H74" s="9" t="n"/>
      <c r="I74">
        <f>IF(A74="","",B74&amp;"|"&amp;(A74*1))</f>
        <v/>
      </c>
      <c r="J74">
        <f>IF(B74="",0,IF(COUNTIF('3.설계사'!$B$4:$B$303,B74)=0,1,0))</f>
        <v/>
      </c>
    </row>
    <row r="75">
      <c r="A75" s="8" t="n"/>
      <c r="B75" s="9" t="n"/>
      <c r="C75" s="9" t="n"/>
      <c r="D75" s="9" t="n"/>
      <c r="E75" s="9" t="n"/>
      <c r="F75" s="8" t="n"/>
      <c r="G75" s="9" t="n"/>
      <c r="H75" s="9" t="n"/>
      <c r="I75">
        <f>IF(A75="","",B75&amp;"|"&amp;(A75*1))</f>
        <v/>
      </c>
      <c r="J75">
        <f>IF(B75="",0,IF(COUNTIF('3.설계사'!$B$4:$B$303,B75)=0,1,0))</f>
        <v/>
      </c>
    </row>
    <row r="76">
      <c r="A76" s="8" t="n"/>
      <c r="B76" s="9" t="n"/>
      <c r="C76" s="9" t="n"/>
      <c r="D76" s="9" t="n"/>
      <c r="E76" s="9" t="n"/>
      <c r="F76" s="8" t="n"/>
      <c r="G76" s="9" t="n"/>
      <c r="H76" s="9" t="n"/>
      <c r="I76">
        <f>IF(A76="","",B76&amp;"|"&amp;(A76*1))</f>
        <v/>
      </c>
      <c r="J76">
        <f>IF(B76="",0,IF(COUNTIF('3.설계사'!$B$4:$B$303,B76)=0,1,0))</f>
        <v/>
      </c>
    </row>
    <row r="77">
      <c r="A77" s="8" t="n"/>
      <c r="B77" s="9" t="n"/>
      <c r="C77" s="9" t="n"/>
      <c r="D77" s="9" t="n"/>
      <c r="E77" s="9" t="n"/>
      <c r="F77" s="8" t="n"/>
      <c r="G77" s="9" t="n"/>
      <c r="H77" s="9" t="n"/>
      <c r="I77">
        <f>IF(A77="","",B77&amp;"|"&amp;(A77*1))</f>
        <v/>
      </c>
      <c r="J77">
        <f>IF(B77="",0,IF(COUNTIF('3.설계사'!$B$4:$B$303,B77)=0,1,0))</f>
        <v/>
      </c>
    </row>
    <row r="78">
      <c r="A78" s="8" t="n"/>
      <c r="B78" s="9" t="n"/>
      <c r="C78" s="9" t="n"/>
      <c r="D78" s="9" t="n"/>
      <c r="E78" s="9" t="n"/>
      <c r="F78" s="8" t="n"/>
      <c r="G78" s="9" t="n"/>
      <c r="H78" s="9" t="n"/>
      <c r="I78">
        <f>IF(A78="","",B78&amp;"|"&amp;(A78*1))</f>
        <v/>
      </c>
      <c r="J78">
        <f>IF(B78="",0,IF(COUNTIF('3.설계사'!$B$4:$B$303,B78)=0,1,0))</f>
        <v/>
      </c>
    </row>
    <row r="79">
      <c r="A79" s="8" t="n"/>
      <c r="B79" s="9" t="n"/>
      <c r="C79" s="9" t="n"/>
      <c r="D79" s="9" t="n"/>
      <c r="E79" s="9" t="n"/>
      <c r="F79" s="8" t="n"/>
      <c r="G79" s="9" t="n"/>
      <c r="H79" s="9" t="n"/>
      <c r="I79">
        <f>IF(A79="","",B79&amp;"|"&amp;(A79*1))</f>
        <v/>
      </c>
      <c r="J79">
        <f>IF(B79="",0,IF(COUNTIF('3.설계사'!$B$4:$B$303,B79)=0,1,0))</f>
        <v/>
      </c>
    </row>
    <row r="80">
      <c r="A80" s="8" t="n"/>
      <c r="B80" s="9" t="n"/>
      <c r="C80" s="9" t="n"/>
      <c r="D80" s="9" t="n"/>
      <c r="E80" s="9" t="n"/>
      <c r="F80" s="8" t="n"/>
      <c r="G80" s="9" t="n"/>
      <c r="H80" s="9" t="n"/>
      <c r="I80">
        <f>IF(A80="","",B80&amp;"|"&amp;(A80*1))</f>
        <v/>
      </c>
      <c r="J80">
        <f>IF(B80="",0,IF(COUNTIF('3.설계사'!$B$4:$B$303,B80)=0,1,0))</f>
        <v/>
      </c>
    </row>
    <row r="81">
      <c r="A81" s="8" t="n"/>
      <c r="B81" s="9" t="n"/>
      <c r="C81" s="9" t="n"/>
      <c r="D81" s="9" t="n"/>
      <c r="E81" s="9" t="n"/>
      <c r="F81" s="8" t="n"/>
      <c r="G81" s="9" t="n"/>
      <c r="H81" s="9" t="n"/>
      <c r="I81">
        <f>IF(A81="","",B81&amp;"|"&amp;(A81*1))</f>
        <v/>
      </c>
      <c r="J81">
        <f>IF(B81="",0,IF(COUNTIF('3.설계사'!$B$4:$B$303,B81)=0,1,0))</f>
        <v/>
      </c>
    </row>
    <row r="82">
      <c r="A82" s="8" t="n"/>
      <c r="B82" s="9" t="n"/>
      <c r="C82" s="9" t="n"/>
      <c r="D82" s="9" t="n"/>
      <c r="E82" s="9" t="n"/>
      <c r="F82" s="8" t="n"/>
      <c r="G82" s="9" t="n"/>
      <c r="H82" s="9" t="n"/>
      <c r="I82">
        <f>IF(A82="","",B82&amp;"|"&amp;(A82*1))</f>
        <v/>
      </c>
      <c r="J82">
        <f>IF(B82="",0,IF(COUNTIF('3.설계사'!$B$4:$B$303,B82)=0,1,0))</f>
        <v/>
      </c>
    </row>
    <row r="83">
      <c r="A83" s="8" t="n"/>
      <c r="B83" s="9" t="n"/>
      <c r="C83" s="9" t="n"/>
      <c r="D83" s="9" t="n"/>
      <c r="E83" s="9" t="n"/>
      <c r="F83" s="8" t="n"/>
      <c r="G83" s="9" t="n"/>
      <c r="H83" s="9" t="n"/>
      <c r="I83">
        <f>IF(A83="","",B83&amp;"|"&amp;(A83*1))</f>
        <v/>
      </c>
      <c r="J83">
        <f>IF(B83="",0,IF(COUNTIF('3.설계사'!$B$4:$B$303,B83)=0,1,0))</f>
        <v/>
      </c>
    </row>
    <row r="84">
      <c r="A84" s="8" t="n"/>
      <c r="B84" s="9" t="n"/>
      <c r="C84" s="9" t="n"/>
      <c r="D84" s="9" t="n"/>
      <c r="E84" s="9" t="n"/>
      <c r="F84" s="8" t="n"/>
      <c r="G84" s="9" t="n"/>
      <c r="H84" s="9" t="n"/>
      <c r="I84">
        <f>IF(A84="","",B84&amp;"|"&amp;(A84*1))</f>
        <v/>
      </c>
      <c r="J84">
        <f>IF(B84="",0,IF(COUNTIF('3.설계사'!$B$4:$B$303,B84)=0,1,0))</f>
        <v/>
      </c>
    </row>
    <row r="85">
      <c r="A85" s="8" t="n"/>
      <c r="B85" s="9" t="n"/>
      <c r="C85" s="9" t="n"/>
      <c r="D85" s="9" t="n"/>
      <c r="E85" s="9" t="n"/>
      <c r="F85" s="8" t="n"/>
      <c r="G85" s="9" t="n"/>
      <c r="H85" s="9" t="n"/>
      <c r="I85">
        <f>IF(A85="","",B85&amp;"|"&amp;(A85*1))</f>
        <v/>
      </c>
      <c r="J85">
        <f>IF(B85="",0,IF(COUNTIF('3.설계사'!$B$4:$B$303,B85)=0,1,0))</f>
        <v/>
      </c>
    </row>
    <row r="86">
      <c r="A86" s="8" t="n"/>
      <c r="B86" s="9" t="n"/>
      <c r="C86" s="9" t="n"/>
      <c r="D86" s="9" t="n"/>
      <c r="E86" s="9" t="n"/>
      <c r="F86" s="8" t="n"/>
      <c r="G86" s="9" t="n"/>
      <c r="H86" s="9" t="n"/>
      <c r="I86">
        <f>IF(A86="","",B86&amp;"|"&amp;(A86*1))</f>
        <v/>
      </c>
      <c r="J86">
        <f>IF(B86="",0,IF(COUNTIF('3.설계사'!$B$4:$B$303,B86)=0,1,0))</f>
        <v/>
      </c>
    </row>
    <row r="87">
      <c r="A87" s="8" t="n"/>
      <c r="B87" s="9" t="n"/>
      <c r="C87" s="9" t="n"/>
      <c r="D87" s="9" t="n"/>
      <c r="E87" s="9" t="n"/>
      <c r="F87" s="8" t="n"/>
      <c r="G87" s="9" t="n"/>
      <c r="H87" s="9" t="n"/>
      <c r="I87">
        <f>IF(A87="","",B87&amp;"|"&amp;(A87*1))</f>
        <v/>
      </c>
      <c r="J87">
        <f>IF(B87="",0,IF(COUNTIF('3.설계사'!$B$4:$B$303,B87)=0,1,0))</f>
        <v/>
      </c>
    </row>
    <row r="88">
      <c r="A88" s="8" t="n"/>
      <c r="B88" s="9" t="n"/>
      <c r="C88" s="9" t="n"/>
      <c r="D88" s="9" t="n"/>
      <c r="E88" s="9" t="n"/>
      <c r="F88" s="8" t="n"/>
      <c r="G88" s="9" t="n"/>
      <c r="H88" s="9" t="n"/>
      <c r="I88">
        <f>IF(A88="","",B88&amp;"|"&amp;(A88*1))</f>
        <v/>
      </c>
      <c r="J88">
        <f>IF(B88="",0,IF(COUNTIF('3.설계사'!$B$4:$B$303,B88)=0,1,0))</f>
        <v/>
      </c>
    </row>
    <row r="89">
      <c r="A89" s="8" t="n"/>
      <c r="B89" s="9" t="n"/>
      <c r="C89" s="9" t="n"/>
      <c r="D89" s="9" t="n"/>
      <c r="E89" s="9" t="n"/>
      <c r="F89" s="8" t="n"/>
      <c r="G89" s="9" t="n"/>
      <c r="H89" s="9" t="n"/>
      <c r="I89">
        <f>IF(A89="","",B89&amp;"|"&amp;(A89*1))</f>
        <v/>
      </c>
      <c r="J89">
        <f>IF(B89="",0,IF(COUNTIF('3.설계사'!$B$4:$B$303,B89)=0,1,0))</f>
        <v/>
      </c>
    </row>
    <row r="90">
      <c r="A90" s="8" t="n"/>
      <c r="B90" s="9" t="n"/>
      <c r="C90" s="9" t="n"/>
      <c r="D90" s="9" t="n"/>
      <c r="E90" s="9" t="n"/>
      <c r="F90" s="8" t="n"/>
      <c r="G90" s="9" t="n"/>
      <c r="H90" s="9" t="n"/>
      <c r="I90">
        <f>IF(A90="","",B90&amp;"|"&amp;(A90*1))</f>
        <v/>
      </c>
      <c r="J90">
        <f>IF(B90="",0,IF(COUNTIF('3.설계사'!$B$4:$B$303,B90)=0,1,0))</f>
        <v/>
      </c>
    </row>
    <row r="91">
      <c r="A91" s="8" t="n"/>
      <c r="B91" s="9" t="n"/>
      <c r="C91" s="9" t="n"/>
      <c r="D91" s="9" t="n"/>
      <c r="E91" s="9" t="n"/>
      <c r="F91" s="8" t="n"/>
      <c r="G91" s="9" t="n"/>
      <c r="H91" s="9" t="n"/>
      <c r="I91">
        <f>IF(A91="","",B91&amp;"|"&amp;(A91*1))</f>
        <v/>
      </c>
      <c r="J91">
        <f>IF(B91="",0,IF(COUNTIF('3.설계사'!$B$4:$B$303,B91)=0,1,0))</f>
        <v/>
      </c>
    </row>
    <row r="92">
      <c r="A92" s="8" t="n"/>
      <c r="B92" s="9" t="n"/>
      <c r="C92" s="9" t="n"/>
      <c r="D92" s="9" t="n"/>
      <c r="E92" s="9" t="n"/>
      <c r="F92" s="8" t="n"/>
      <c r="G92" s="9" t="n"/>
      <c r="H92" s="9" t="n"/>
      <c r="I92">
        <f>IF(A92="","",B92&amp;"|"&amp;(A92*1))</f>
        <v/>
      </c>
      <c r="J92">
        <f>IF(B92="",0,IF(COUNTIF('3.설계사'!$B$4:$B$303,B92)=0,1,0))</f>
        <v/>
      </c>
    </row>
    <row r="93">
      <c r="A93" s="8" t="n"/>
      <c r="B93" s="9" t="n"/>
      <c r="C93" s="9" t="n"/>
      <c r="D93" s="9" t="n"/>
      <c r="E93" s="9" t="n"/>
      <c r="F93" s="8" t="n"/>
      <c r="G93" s="9" t="n"/>
      <c r="H93" s="9" t="n"/>
      <c r="I93">
        <f>IF(A93="","",B93&amp;"|"&amp;(A93*1))</f>
        <v/>
      </c>
      <c r="J93">
        <f>IF(B93="",0,IF(COUNTIF('3.설계사'!$B$4:$B$303,B93)=0,1,0))</f>
        <v/>
      </c>
    </row>
    <row r="94">
      <c r="A94" s="8" t="n"/>
      <c r="B94" s="9" t="n"/>
      <c r="C94" s="9" t="n"/>
      <c r="D94" s="9" t="n"/>
      <c r="E94" s="9" t="n"/>
      <c r="F94" s="8" t="n"/>
      <c r="G94" s="9" t="n"/>
      <c r="H94" s="9" t="n"/>
      <c r="I94">
        <f>IF(A94="","",B94&amp;"|"&amp;(A94*1))</f>
        <v/>
      </c>
      <c r="J94">
        <f>IF(B94="",0,IF(COUNTIF('3.설계사'!$B$4:$B$303,B94)=0,1,0))</f>
        <v/>
      </c>
    </row>
    <row r="95">
      <c r="A95" s="8" t="n"/>
      <c r="B95" s="9" t="n"/>
      <c r="C95" s="9" t="n"/>
      <c r="D95" s="9" t="n"/>
      <c r="E95" s="9" t="n"/>
      <c r="F95" s="8" t="n"/>
      <c r="G95" s="9" t="n"/>
      <c r="H95" s="9" t="n"/>
      <c r="I95">
        <f>IF(A95="","",B95&amp;"|"&amp;(A95*1))</f>
        <v/>
      </c>
      <c r="J95">
        <f>IF(B95="",0,IF(COUNTIF('3.설계사'!$B$4:$B$303,B95)=0,1,0))</f>
        <v/>
      </c>
    </row>
    <row r="96">
      <c r="A96" s="8" t="n"/>
      <c r="B96" s="9" t="n"/>
      <c r="C96" s="9" t="n"/>
      <c r="D96" s="9" t="n"/>
      <c r="E96" s="9" t="n"/>
      <c r="F96" s="8" t="n"/>
      <c r="G96" s="9" t="n"/>
      <c r="H96" s="9" t="n"/>
      <c r="I96">
        <f>IF(A96="","",B96&amp;"|"&amp;(A96*1))</f>
        <v/>
      </c>
      <c r="J96">
        <f>IF(B96="",0,IF(COUNTIF('3.설계사'!$B$4:$B$303,B96)=0,1,0))</f>
        <v/>
      </c>
    </row>
    <row r="97">
      <c r="A97" s="8" t="n"/>
      <c r="B97" s="9" t="n"/>
      <c r="C97" s="9" t="n"/>
      <c r="D97" s="9" t="n"/>
      <c r="E97" s="9" t="n"/>
      <c r="F97" s="8" t="n"/>
      <c r="G97" s="9" t="n"/>
      <c r="H97" s="9" t="n"/>
      <c r="I97">
        <f>IF(A97="","",B97&amp;"|"&amp;(A97*1))</f>
        <v/>
      </c>
      <c r="J97">
        <f>IF(B97="",0,IF(COUNTIF('3.설계사'!$B$4:$B$303,B97)=0,1,0))</f>
        <v/>
      </c>
    </row>
    <row r="98">
      <c r="A98" s="8" t="n"/>
      <c r="B98" s="9" t="n"/>
      <c r="C98" s="9" t="n"/>
      <c r="D98" s="9" t="n"/>
      <c r="E98" s="9" t="n"/>
      <c r="F98" s="8" t="n"/>
      <c r="G98" s="9" t="n"/>
      <c r="H98" s="9" t="n"/>
      <c r="I98">
        <f>IF(A98="","",B98&amp;"|"&amp;(A98*1))</f>
        <v/>
      </c>
      <c r="J98">
        <f>IF(B98="",0,IF(COUNTIF('3.설계사'!$B$4:$B$303,B98)=0,1,0))</f>
        <v/>
      </c>
    </row>
    <row r="99">
      <c r="A99" s="8" t="n"/>
      <c r="B99" s="9" t="n"/>
      <c r="C99" s="9" t="n"/>
      <c r="D99" s="9" t="n"/>
      <c r="E99" s="9" t="n"/>
      <c r="F99" s="8" t="n"/>
      <c r="G99" s="9" t="n"/>
      <c r="H99" s="9" t="n"/>
      <c r="I99">
        <f>IF(A99="","",B99&amp;"|"&amp;(A99*1))</f>
        <v/>
      </c>
      <c r="J99">
        <f>IF(B99="",0,IF(COUNTIF('3.설계사'!$B$4:$B$303,B99)=0,1,0))</f>
        <v/>
      </c>
    </row>
    <row r="100">
      <c r="A100" s="8" t="n"/>
      <c r="B100" s="9" t="n"/>
      <c r="C100" s="9" t="n"/>
      <c r="D100" s="9" t="n"/>
      <c r="E100" s="9" t="n"/>
      <c r="F100" s="8" t="n"/>
      <c r="G100" s="9" t="n"/>
      <c r="H100" s="9" t="n"/>
      <c r="I100">
        <f>IF(A100="","",B100&amp;"|"&amp;(A100*1))</f>
        <v/>
      </c>
      <c r="J100">
        <f>IF(B100="",0,IF(COUNTIF('3.설계사'!$B$4:$B$303,B100)=0,1,0))</f>
        <v/>
      </c>
    </row>
    <row r="101">
      <c r="A101" s="8" t="n"/>
      <c r="B101" s="9" t="n"/>
      <c r="C101" s="9" t="n"/>
      <c r="D101" s="9" t="n"/>
      <c r="E101" s="9" t="n"/>
      <c r="F101" s="8" t="n"/>
      <c r="G101" s="9" t="n"/>
      <c r="H101" s="9" t="n"/>
      <c r="I101">
        <f>IF(A101="","",B101&amp;"|"&amp;(A101*1))</f>
        <v/>
      </c>
      <c r="J101">
        <f>IF(B101="",0,IF(COUNTIF('3.설계사'!$B$4:$B$303,B101)=0,1,0))</f>
        <v/>
      </c>
    </row>
    <row r="102">
      <c r="A102" s="8" t="n"/>
      <c r="B102" s="9" t="n"/>
      <c r="C102" s="9" t="n"/>
      <c r="D102" s="9" t="n"/>
      <c r="E102" s="9" t="n"/>
      <c r="F102" s="8" t="n"/>
      <c r="G102" s="9" t="n"/>
      <c r="H102" s="9" t="n"/>
      <c r="I102">
        <f>IF(A102="","",B102&amp;"|"&amp;(A102*1))</f>
        <v/>
      </c>
      <c r="J102">
        <f>IF(B102="",0,IF(COUNTIF('3.설계사'!$B$4:$B$303,B102)=0,1,0))</f>
        <v/>
      </c>
    </row>
    <row r="103">
      <c r="A103" s="8" t="n"/>
      <c r="B103" s="9" t="n"/>
      <c r="C103" s="9" t="n"/>
      <c r="D103" s="9" t="n"/>
      <c r="E103" s="9" t="n"/>
      <c r="F103" s="8" t="n"/>
      <c r="G103" s="9" t="n"/>
      <c r="H103" s="9" t="n"/>
      <c r="I103">
        <f>IF(A103="","",B103&amp;"|"&amp;(A103*1))</f>
        <v/>
      </c>
      <c r="J103">
        <f>IF(B103="",0,IF(COUNTIF('3.설계사'!$B$4:$B$303,B103)=0,1,0))</f>
        <v/>
      </c>
    </row>
    <row r="104">
      <c r="A104" s="8" t="n"/>
      <c r="B104" s="9" t="n"/>
      <c r="C104" s="9" t="n"/>
      <c r="D104" s="9" t="n"/>
      <c r="E104" s="9" t="n"/>
      <c r="F104" s="8" t="n"/>
      <c r="G104" s="9" t="n"/>
      <c r="H104" s="9" t="n"/>
      <c r="I104">
        <f>IF(A104="","",B104&amp;"|"&amp;(A104*1))</f>
        <v/>
      </c>
      <c r="J104">
        <f>IF(B104="",0,IF(COUNTIF('3.설계사'!$B$4:$B$303,B104)=0,1,0))</f>
        <v/>
      </c>
    </row>
    <row r="105">
      <c r="A105" s="8" t="n"/>
      <c r="B105" s="9" t="n"/>
      <c r="C105" s="9" t="n"/>
      <c r="D105" s="9" t="n"/>
      <c r="E105" s="9" t="n"/>
      <c r="F105" s="8" t="n"/>
      <c r="G105" s="9" t="n"/>
      <c r="H105" s="9" t="n"/>
      <c r="I105">
        <f>IF(A105="","",B105&amp;"|"&amp;(A105*1))</f>
        <v/>
      </c>
      <c r="J105">
        <f>IF(B105="",0,IF(COUNTIF('3.설계사'!$B$4:$B$303,B105)=0,1,0))</f>
        <v/>
      </c>
    </row>
    <row r="106">
      <c r="A106" s="8" t="n"/>
      <c r="B106" s="9" t="n"/>
      <c r="C106" s="9" t="n"/>
      <c r="D106" s="9" t="n"/>
      <c r="E106" s="9" t="n"/>
      <c r="F106" s="8" t="n"/>
      <c r="G106" s="9" t="n"/>
      <c r="H106" s="9" t="n"/>
      <c r="I106">
        <f>IF(A106="","",B106&amp;"|"&amp;(A106*1))</f>
        <v/>
      </c>
      <c r="J106">
        <f>IF(B106="",0,IF(COUNTIF('3.설계사'!$B$4:$B$303,B106)=0,1,0))</f>
        <v/>
      </c>
    </row>
    <row r="107">
      <c r="A107" s="8" t="n"/>
      <c r="B107" s="9" t="n"/>
      <c r="C107" s="9" t="n"/>
      <c r="D107" s="9" t="n"/>
      <c r="E107" s="9" t="n"/>
      <c r="F107" s="8" t="n"/>
      <c r="G107" s="9" t="n"/>
      <c r="H107" s="9" t="n"/>
      <c r="I107">
        <f>IF(A107="","",B107&amp;"|"&amp;(A107*1))</f>
        <v/>
      </c>
      <c r="J107">
        <f>IF(B107="",0,IF(COUNTIF('3.설계사'!$B$4:$B$303,B107)=0,1,0))</f>
        <v/>
      </c>
    </row>
    <row r="108">
      <c r="A108" s="8" t="n"/>
      <c r="B108" s="9" t="n"/>
      <c r="C108" s="9" t="n"/>
      <c r="D108" s="9" t="n"/>
      <c r="E108" s="9" t="n"/>
      <c r="F108" s="8" t="n"/>
      <c r="G108" s="9" t="n"/>
      <c r="H108" s="9" t="n"/>
      <c r="I108">
        <f>IF(A108="","",B108&amp;"|"&amp;(A108*1))</f>
        <v/>
      </c>
      <c r="J108">
        <f>IF(B108="",0,IF(COUNTIF('3.설계사'!$B$4:$B$303,B108)=0,1,0))</f>
        <v/>
      </c>
    </row>
    <row r="109">
      <c r="A109" s="8" t="n"/>
      <c r="B109" s="9" t="n"/>
      <c r="C109" s="9" t="n"/>
      <c r="D109" s="9" t="n"/>
      <c r="E109" s="9" t="n"/>
      <c r="F109" s="8" t="n"/>
      <c r="G109" s="9" t="n"/>
      <c r="H109" s="9" t="n"/>
      <c r="I109">
        <f>IF(A109="","",B109&amp;"|"&amp;(A109*1))</f>
        <v/>
      </c>
      <c r="J109">
        <f>IF(B109="",0,IF(COUNTIF('3.설계사'!$B$4:$B$303,B109)=0,1,0))</f>
        <v/>
      </c>
    </row>
    <row r="110">
      <c r="A110" s="8" t="n"/>
      <c r="B110" s="9" t="n"/>
      <c r="C110" s="9" t="n"/>
      <c r="D110" s="9" t="n"/>
      <c r="E110" s="9" t="n"/>
      <c r="F110" s="8" t="n"/>
      <c r="G110" s="9" t="n"/>
      <c r="H110" s="9" t="n"/>
      <c r="I110">
        <f>IF(A110="","",B110&amp;"|"&amp;(A110*1))</f>
        <v/>
      </c>
      <c r="J110">
        <f>IF(B110="",0,IF(COUNTIF('3.설계사'!$B$4:$B$303,B110)=0,1,0))</f>
        <v/>
      </c>
    </row>
    <row r="111">
      <c r="A111" s="8" t="n"/>
      <c r="B111" s="9" t="n"/>
      <c r="C111" s="9" t="n"/>
      <c r="D111" s="9" t="n"/>
      <c r="E111" s="9" t="n"/>
      <c r="F111" s="8" t="n"/>
      <c r="G111" s="9" t="n"/>
      <c r="H111" s="9" t="n"/>
      <c r="I111">
        <f>IF(A111="","",B111&amp;"|"&amp;(A111*1))</f>
        <v/>
      </c>
      <c r="J111">
        <f>IF(B111="",0,IF(COUNTIF('3.설계사'!$B$4:$B$303,B111)=0,1,0))</f>
        <v/>
      </c>
    </row>
    <row r="112">
      <c r="A112" s="8" t="n"/>
      <c r="B112" s="9" t="n"/>
      <c r="C112" s="9" t="n"/>
      <c r="D112" s="9" t="n"/>
      <c r="E112" s="9" t="n"/>
      <c r="F112" s="8" t="n"/>
      <c r="G112" s="9" t="n"/>
      <c r="H112" s="9" t="n"/>
      <c r="I112">
        <f>IF(A112="","",B112&amp;"|"&amp;(A112*1))</f>
        <v/>
      </c>
      <c r="J112">
        <f>IF(B112="",0,IF(COUNTIF('3.설계사'!$B$4:$B$303,B112)=0,1,0))</f>
        <v/>
      </c>
    </row>
    <row r="113">
      <c r="A113" s="8" t="n"/>
      <c r="B113" s="9" t="n"/>
      <c r="C113" s="9" t="n"/>
      <c r="D113" s="9" t="n"/>
      <c r="E113" s="9" t="n"/>
      <c r="F113" s="8" t="n"/>
      <c r="G113" s="9" t="n"/>
      <c r="H113" s="9" t="n"/>
      <c r="I113">
        <f>IF(A113="","",B113&amp;"|"&amp;(A113*1))</f>
        <v/>
      </c>
      <c r="J113">
        <f>IF(B113="",0,IF(COUNTIF('3.설계사'!$B$4:$B$303,B113)=0,1,0))</f>
        <v/>
      </c>
    </row>
    <row r="114">
      <c r="A114" s="8" t="n"/>
      <c r="B114" s="9" t="n"/>
      <c r="C114" s="9" t="n"/>
      <c r="D114" s="9" t="n"/>
      <c r="E114" s="9" t="n"/>
      <c r="F114" s="8" t="n"/>
      <c r="G114" s="9" t="n"/>
      <c r="H114" s="9" t="n"/>
      <c r="I114">
        <f>IF(A114="","",B114&amp;"|"&amp;(A114*1))</f>
        <v/>
      </c>
      <c r="J114">
        <f>IF(B114="",0,IF(COUNTIF('3.설계사'!$B$4:$B$303,B114)=0,1,0))</f>
        <v/>
      </c>
    </row>
    <row r="115">
      <c r="A115" s="8" t="n"/>
      <c r="B115" s="9" t="n"/>
      <c r="C115" s="9" t="n"/>
      <c r="D115" s="9" t="n"/>
      <c r="E115" s="9" t="n"/>
      <c r="F115" s="8" t="n"/>
      <c r="G115" s="9" t="n"/>
      <c r="H115" s="9" t="n"/>
      <c r="I115">
        <f>IF(A115="","",B115&amp;"|"&amp;(A115*1))</f>
        <v/>
      </c>
      <c r="J115">
        <f>IF(B115="",0,IF(COUNTIF('3.설계사'!$B$4:$B$303,B115)=0,1,0))</f>
        <v/>
      </c>
    </row>
    <row r="116">
      <c r="A116" s="8" t="n"/>
      <c r="B116" s="9" t="n"/>
      <c r="C116" s="9" t="n"/>
      <c r="D116" s="9" t="n"/>
      <c r="E116" s="9" t="n"/>
      <c r="F116" s="8" t="n"/>
      <c r="G116" s="9" t="n"/>
      <c r="H116" s="9" t="n"/>
      <c r="I116">
        <f>IF(A116="","",B116&amp;"|"&amp;(A116*1))</f>
        <v/>
      </c>
      <c r="J116">
        <f>IF(B116="",0,IF(COUNTIF('3.설계사'!$B$4:$B$303,B116)=0,1,0))</f>
        <v/>
      </c>
    </row>
    <row r="117">
      <c r="A117" s="8" t="n"/>
      <c r="B117" s="9" t="n"/>
      <c r="C117" s="9" t="n"/>
      <c r="D117" s="9" t="n"/>
      <c r="E117" s="9" t="n"/>
      <c r="F117" s="8" t="n"/>
      <c r="G117" s="9" t="n"/>
      <c r="H117" s="9" t="n"/>
      <c r="I117">
        <f>IF(A117="","",B117&amp;"|"&amp;(A117*1))</f>
        <v/>
      </c>
      <c r="J117">
        <f>IF(B117="",0,IF(COUNTIF('3.설계사'!$B$4:$B$303,B117)=0,1,0))</f>
        <v/>
      </c>
    </row>
    <row r="118">
      <c r="A118" s="8" t="n"/>
      <c r="B118" s="9" t="n"/>
      <c r="C118" s="9" t="n"/>
      <c r="D118" s="9" t="n"/>
      <c r="E118" s="9" t="n"/>
      <c r="F118" s="8" t="n"/>
      <c r="G118" s="9" t="n"/>
      <c r="H118" s="9" t="n"/>
      <c r="I118">
        <f>IF(A118="","",B118&amp;"|"&amp;(A118*1))</f>
        <v/>
      </c>
      <c r="J118">
        <f>IF(B118="",0,IF(COUNTIF('3.설계사'!$B$4:$B$303,B118)=0,1,0))</f>
        <v/>
      </c>
    </row>
    <row r="119">
      <c r="A119" s="8" t="n"/>
      <c r="B119" s="9" t="n"/>
      <c r="C119" s="9" t="n"/>
      <c r="D119" s="9" t="n"/>
      <c r="E119" s="9" t="n"/>
      <c r="F119" s="8" t="n"/>
      <c r="G119" s="9" t="n"/>
      <c r="H119" s="9" t="n"/>
      <c r="I119">
        <f>IF(A119="","",B119&amp;"|"&amp;(A119*1))</f>
        <v/>
      </c>
      <c r="J119">
        <f>IF(B119="",0,IF(COUNTIF('3.설계사'!$B$4:$B$303,B119)=0,1,0))</f>
        <v/>
      </c>
    </row>
    <row r="120">
      <c r="A120" s="8" t="n"/>
      <c r="B120" s="9" t="n"/>
      <c r="C120" s="9" t="n"/>
      <c r="D120" s="9" t="n"/>
      <c r="E120" s="9" t="n"/>
      <c r="F120" s="8" t="n"/>
      <c r="G120" s="9" t="n"/>
      <c r="H120" s="9" t="n"/>
      <c r="I120">
        <f>IF(A120="","",B120&amp;"|"&amp;(A120*1))</f>
        <v/>
      </c>
      <c r="J120">
        <f>IF(B120="",0,IF(COUNTIF('3.설계사'!$B$4:$B$303,B120)=0,1,0))</f>
        <v/>
      </c>
    </row>
    <row r="121">
      <c r="A121" s="8" t="n"/>
      <c r="B121" s="9" t="n"/>
      <c r="C121" s="9" t="n"/>
      <c r="D121" s="9" t="n"/>
      <c r="E121" s="9" t="n"/>
      <c r="F121" s="8" t="n"/>
      <c r="G121" s="9" t="n"/>
      <c r="H121" s="9" t="n"/>
      <c r="I121">
        <f>IF(A121="","",B121&amp;"|"&amp;(A121*1))</f>
        <v/>
      </c>
      <c r="J121">
        <f>IF(B121="",0,IF(COUNTIF('3.설계사'!$B$4:$B$303,B121)=0,1,0))</f>
        <v/>
      </c>
    </row>
    <row r="122">
      <c r="A122" s="8" t="n"/>
      <c r="B122" s="9" t="n"/>
      <c r="C122" s="9" t="n"/>
      <c r="D122" s="9" t="n"/>
      <c r="E122" s="9" t="n"/>
      <c r="F122" s="8" t="n"/>
      <c r="G122" s="9" t="n"/>
      <c r="H122" s="9" t="n"/>
      <c r="I122">
        <f>IF(A122="","",B122&amp;"|"&amp;(A122*1))</f>
        <v/>
      </c>
      <c r="J122">
        <f>IF(B122="",0,IF(COUNTIF('3.설계사'!$B$4:$B$303,B122)=0,1,0))</f>
        <v/>
      </c>
    </row>
    <row r="123">
      <c r="A123" s="8" t="n"/>
      <c r="B123" s="9" t="n"/>
      <c r="C123" s="9" t="n"/>
      <c r="D123" s="9" t="n"/>
      <c r="E123" s="9" t="n"/>
      <c r="F123" s="8" t="n"/>
      <c r="G123" s="9" t="n"/>
      <c r="H123" s="9" t="n"/>
      <c r="I123">
        <f>IF(A123="","",B123&amp;"|"&amp;(A123*1))</f>
        <v/>
      </c>
      <c r="J123">
        <f>IF(B123="",0,IF(COUNTIF('3.설계사'!$B$4:$B$303,B123)=0,1,0))</f>
        <v/>
      </c>
    </row>
    <row r="124">
      <c r="A124" s="8" t="n"/>
      <c r="B124" s="9" t="n"/>
      <c r="C124" s="9" t="n"/>
      <c r="D124" s="9" t="n"/>
      <c r="E124" s="9" t="n"/>
      <c r="F124" s="8" t="n"/>
      <c r="G124" s="9" t="n"/>
      <c r="H124" s="9" t="n"/>
      <c r="I124">
        <f>IF(A124="","",B124&amp;"|"&amp;(A124*1))</f>
        <v/>
      </c>
      <c r="J124">
        <f>IF(B124="",0,IF(COUNTIF('3.설계사'!$B$4:$B$303,B124)=0,1,0))</f>
        <v/>
      </c>
    </row>
    <row r="125">
      <c r="A125" s="8" t="n"/>
      <c r="B125" s="9" t="n"/>
      <c r="C125" s="9" t="n"/>
      <c r="D125" s="9" t="n"/>
      <c r="E125" s="9" t="n"/>
      <c r="F125" s="8" t="n"/>
      <c r="G125" s="9" t="n"/>
      <c r="H125" s="9" t="n"/>
      <c r="I125">
        <f>IF(A125="","",B125&amp;"|"&amp;(A125*1))</f>
        <v/>
      </c>
      <c r="J125">
        <f>IF(B125="",0,IF(COUNTIF('3.설계사'!$B$4:$B$303,B125)=0,1,0))</f>
        <v/>
      </c>
    </row>
    <row r="126">
      <c r="A126" s="8" t="n"/>
      <c r="B126" s="9" t="n"/>
      <c r="C126" s="9" t="n"/>
      <c r="D126" s="9" t="n"/>
      <c r="E126" s="9" t="n"/>
      <c r="F126" s="8" t="n"/>
      <c r="G126" s="9" t="n"/>
      <c r="H126" s="9" t="n"/>
      <c r="I126">
        <f>IF(A126="","",B126&amp;"|"&amp;(A126*1))</f>
        <v/>
      </c>
      <c r="J126">
        <f>IF(B126="",0,IF(COUNTIF('3.설계사'!$B$4:$B$303,B126)=0,1,0))</f>
        <v/>
      </c>
    </row>
    <row r="127">
      <c r="A127" s="8" t="n"/>
      <c r="B127" s="9" t="n"/>
      <c r="C127" s="9" t="n"/>
      <c r="D127" s="9" t="n"/>
      <c r="E127" s="9" t="n"/>
      <c r="F127" s="8" t="n"/>
      <c r="G127" s="9" t="n"/>
      <c r="H127" s="9" t="n"/>
      <c r="I127">
        <f>IF(A127="","",B127&amp;"|"&amp;(A127*1))</f>
        <v/>
      </c>
      <c r="J127">
        <f>IF(B127="",0,IF(COUNTIF('3.설계사'!$B$4:$B$303,B127)=0,1,0))</f>
        <v/>
      </c>
    </row>
    <row r="128">
      <c r="A128" s="8" t="n"/>
      <c r="B128" s="9" t="n"/>
      <c r="C128" s="9" t="n"/>
      <c r="D128" s="9" t="n"/>
      <c r="E128" s="9" t="n"/>
      <c r="F128" s="8" t="n"/>
      <c r="G128" s="9" t="n"/>
      <c r="H128" s="9" t="n"/>
      <c r="I128">
        <f>IF(A128="","",B128&amp;"|"&amp;(A128*1))</f>
        <v/>
      </c>
      <c r="J128">
        <f>IF(B128="",0,IF(COUNTIF('3.설계사'!$B$4:$B$303,B128)=0,1,0))</f>
        <v/>
      </c>
    </row>
    <row r="129">
      <c r="A129" s="8" t="n"/>
      <c r="B129" s="9" t="n"/>
      <c r="C129" s="9" t="n"/>
      <c r="D129" s="9" t="n"/>
      <c r="E129" s="9" t="n"/>
      <c r="F129" s="8" t="n"/>
      <c r="G129" s="9" t="n"/>
      <c r="H129" s="9" t="n"/>
      <c r="I129">
        <f>IF(A129="","",B129&amp;"|"&amp;(A129*1))</f>
        <v/>
      </c>
      <c r="J129">
        <f>IF(B129="",0,IF(COUNTIF('3.설계사'!$B$4:$B$303,B129)=0,1,0))</f>
        <v/>
      </c>
    </row>
    <row r="130">
      <c r="A130" s="8" t="n"/>
      <c r="B130" s="9" t="n"/>
      <c r="C130" s="9" t="n"/>
      <c r="D130" s="9" t="n"/>
      <c r="E130" s="9" t="n"/>
      <c r="F130" s="8" t="n"/>
      <c r="G130" s="9" t="n"/>
      <c r="H130" s="9" t="n"/>
      <c r="I130">
        <f>IF(A130="","",B130&amp;"|"&amp;(A130*1))</f>
        <v/>
      </c>
      <c r="J130">
        <f>IF(B130="",0,IF(COUNTIF('3.설계사'!$B$4:$B$303,B130)=0,1,0))</f>
        <v/>
      </c>
    </row>
    <row r="131">
      <c r="A131" s="8" t="n"/>
      <c r="B131" s="9" t="n"/>
      <c r="C131" s="9" t="n"/>
      <c r="D131" s="9" t="n"/>
      <c r="E131" s="9" t="n"/>
      <c r="F131" s="8" t="n"/>
      <c r="G131" s="9" t="n"/>
      <c r="H131" s="9" t="n"/>
      <c r="I131">
        <f>IF(A131="","",B131&amp;"|"&amp;(A131*1))</f>
        <v/>
      </c>
      <c r="J131">
        <f>IF(B131="",0,IF(COUNTIF('3.설계사'!$B$4:$B$303,B131)=0,1,0))</f>
        <v/>
      </c>
    </row>
    <row r="132">
      <c r="A132" s="8" t="n"/>
      <c r="B132" s="9" t="n"/>
      <c r="C132" s="9" t="n"/>
      <c r="D132" s="9" t="n"/>
      <c r="E132" s="9" t="n"/>
      <c r="F132" s="8" t="n"/>
      <c r="G132" s="9" t="n"/>
      <c r="H132" s="9" t="n"/>
      <c r="I132">
        <f>IF(A132="","",B132&amp;"|"&amp;(A132*1))</f>
        <v/>
      </c>
      <c r="J132">
        <f>IF(B132="",0,IF(COUNTIF('3.설계사'!$B$4:$B$303,B132)=0,1,0))</f>
        <v/>
      </c>
    </row>
    <row r="133">
      <c r="A133" s="8" t="n"/>
      <c r="B133" s="9" t="n"/>
      <c r="C133" s="9" t="n"/>
      <c r="D133" s="9" t="n"/>
      <c r="E133" s="9" t="n"/>
      <c r="F133" s="8" t="n"/>
      <c r="G133" s="9" t="n"/>
      <c r="H133" s="9" t="n"/>
      <c r="I133">
        <f>IF(A133="","",B133&amp;"|"&amp;(A133*1))</f>
        <v/>
      </c>
      <c r="J133">
        <f>IF(B133="",0,IF(COUNTIF('3.설계사'!$B$4:$B$303,B133)=0,1,0))</f>
        <v/>
      </c>
    </row>
    <row r="134">
      <c r="A134" s="8" t="n"/>
      <c r="B134" s="9" t="n"/>
      <c r="C134" s="9" t="n"/>
      <c r="D134" s="9" t="n"/>
      <c r="E134" s="9" t="n"/>
      <c r="F134" s="8" t="n"/>
      <c r="G134" s="9" t="n"/>
      <c r="H134" s="9" t="n"/>
      <c r="I134">
        <f>IF(A134="","",B134&amp;"|"&amp;(A134*1))</f>
        <v/>
      </c>
      <c r="J134">
        <f>IF(B134="",0,IF(COUNTIF('3.설계사'!$B$4:$B$303,B134)=0,1,0))</f>
        <v/>
      </c>
    </row>
    <row r="135">
      <c r="A135" s="8" t="n"/>
      <c r="B135" s="9" t="n"/>
      <c r="C135" s="9" t="n"/>
      <c r="D135" s="9" t="n"/>
      <c r="E135" s="9" t="n"/>
      <c r="F135" s="8" t="n"/>
      <c r="G135" s="9" t="n"/>
      <c r="H135" s="9" t="n"/>
      <c r="I135">
        <f>IF(A135="","",B135&amp;"|"&amp;(A135*1))</f>
        <v/>
      </c>
      <c r="J135">
        <f>IF(B135="",0,IF(COUNTIF('3.설계사'!$B$4:$B$303,B135)=0,1,0))</f>
        <v/>
      </c>
    </row>
    <row r="136">
      <c r="A136" s="8" t="n"/>
      <c r="B136" s="9" t="n"/>
      <c r="C136" s="9" t="n"/>
      <c r="D136" s="9" t="n"/>
      <c r="E136" s="9" t="n"/>
      <c r="F136" s="8" t="n"/>
      <c r="G136" s="9" t="n"/>
      <c r="H136" s="9" t="n"/>
      <c r="I136">
        <f>IF(A136="","",B136&amp;"|"&amp;(A136*1))</f>
        <v/>
      </c>
      <c r="J136">
        <f>IF(B136="",0,IF(COUNTIF('3.설계사'!$B$4:$B$303,B136)=0,1,0))</f>
        <v/>
      </c>
    </row>
    <row r="137">
      <c r="A137" s="8" t="n"/>
      <c r="B137" s="9" t="n"/>
      <c r="C137" s="9" t="n"/>
      <c r="D137" s="9" t="n"/>
      <c r="E137" s="9" t="n"/>
      <c r="F137" s="8" t="n"/>
      <c r="G137" s="9" t="n"/>
      <c r="H137" s="9" t="n"/>
      <c r="I137">
        <f>IF(A137="","",B137&amp;"|"&amp;(A137*1))</f>
        <v/>
      </c>
      <c r="J137">
        <f>IF(B137="",0,IF(COUNTIF('3.설계사'!$B$4:$B$303,B137)=0,1,0))</f>
        <v/>
      </c>
    </row>
    <row r="138">
      <c r="A138" s="8" t="n"/>
      <c r="B138" s="9" t="n"/>
      <c r="C138" s="9" t="n"/>
      <c r="D138" s="9" t="n"/>
      <c r="E138" s="9" t="n"/>
      <c r="F138" s="8" t="n"/>
      <c r="G138" s="9" t="n"/>
      <c r="H138" s="9" t="n"/>
      <c r="I138">
        <f>IF(A138="","",B138&amp;"|"&amp;(A138*1))</f>
        <v/>
      </c>
      <c r="J138">
        <f>IF(B138="",0,IF(COUNTIF('3.설계사'!$B$4:$B$303,B138)=0,1,0))</f>
        <v/>
      </c>
    </row>
    <row r="139">
      <c r="A139" s="8" t="n"/>
      <c r="B139" s="9" t="n"/>
      <c r="C139" s="9" t="n"/>
      <c r="D139" s="9" t="n"/>
      <c r="E139" s="9" t="n"/>
      <c r="F139" s="8" t="n"/>
      <c r="G139" s="9" t="n"/>
      <c r="H139" s="9" t="n"/>
      <c r="I139">
        <f>IF(A139="","",B139&amp;"|"&amp;(A139*1))</f>
        <v/>
      </c>
      <c r="J139">
        <f>IF(B139="",0,IF(COUNTIF('3.설계사'!$B$4:$B$303,B139)=0,1,0))</f>
        <v/>
      </c>
    </row>
    <row r="140">
      <c r="A140" s="8" t="n"/>
      <c r="B140" s="9" t="n"/>
      <c r="C140" s="9" t="n"/>
      <c r="D140" s="9" t="n"/>
      <c r="E140" s="9" t="n"/>
      <c r="F140" s="8" t="n"/>
      <c r="G140" s="9" t="n"/>
      <c r="H140" s="9" t="n"/>
      <c r="I140">
        <f>IF(A140="","",B140&amp;"|"&amp;(A140*1))</f>
        <v/>
      </c>
      <c r="J140">
        <f>IF(B140="",0,IF(COUNTIF('3.설계사'!$B$4:$B$303,B140)=0,1,0))</f>
        <v/>
      </c>
    </row>
    <row r="141">
      <c r="A141" s="8" t="n"/>
      <c r="B141" s="9" t="n"/>
      <c r="C141" s="9" t="n"/>
      <c r="D141" s="9" t="n"/>
      <c r="E141" s="9" t="n"/>
      <c r="F141" s="8" t="n"/>
      <c r="G141" s="9" t="n"/>
      <c r="H141" s="9" t="n"/>
      <c r="I141">
        <f>IF(A141="","",B141&amp;"|"&amp;(A141*1))</f>
        <v/>
      </c>
      <c r="J141">
        <f>IF(B141="",0,IF(COUNTIF('3.설계사'!$B$4:$B$303,B141)=0,1,0))</f>
        <v/>
      </c>
    </row>
    <row r="142">
      <c r="A142" s="8" t="n"/>
      <c r="B142" s="9" t="n"/>
      <c r="C142" s="9" t="n"/>
      <c r="D142" s="9" t="n"/>
      <c r="E142" s="9" t="n"/>
      <c r="F142" s="8" t="n"/>
      <c r="G142" s="9" t="n"/>
      <c r="H142" s="9" t="n"/>
      <c r="I142">
        <f>IF(A142="","",B142&amp;"|"&amp;(A142*1))</f>
        <v/>
      </c>
      <c r="J142">
        <f>IF(B142="",0,IF(COUNTIF('3.설계사'!$B$4:$B$303,B142)=0,1,0))</f>
        <v/>
      </c>
    </row>
    <row r="143">
      <c r="A143" s="8" t="n"/>
      <c r="B143" s="9" t="n"/>
      <c r="C143" s="9" t="n"/>
      <c r="D143" s="9" t="n"/>
      <c r="E143" s="9" t="n"/>
      <c r="F143" s="8" t="n"/>
      <c r="G143" s="9" t="n"/>
      <c r="H143" s="9" t="n"/>
      <c r="I143">
        <f>IF(A143="","",B143&amp;"|"&amp;(A143*1))</f>
        <v/>
      </c>
      <c r="J143">
        <f>IF(B143="",0,IF(COUNTIF('3.설계사'!$B$4:$B$303,B143)=0,1,0))</f>
        <v/>
      </c>
    </row>
    <row r="144">
      <c r="A144" s="8" t="n"/>
      <c r="B144" s="9" t="n"/>
      <c r="C144" s="9" t="n"/>
      <c r="D144" s="9" t="n"/>
      <c r="E144" s="9" t="n"/>
      <c r="F144" s="8" t="n"/>
      <c r="G144" s="9" t="n"/>
      <c r="H144" s="9" t="n"/>
      <c r="I144">
        <f>IF(A144="","",B144&amp;"|"&amp;(A144*1))</f>
        <v/>
      </c>
      <c r="J144">
        <f>IF(B144="",0,IF(COUNTIF('3.설계사'!$B$4:$B$303,B144)=0,1,0))</f>
        <v/>
      </c>
    </row>
    <row r="145">
      <c r="A145" s="8" t="n"/>
      <c r="B145" s="9" t="n"/>
      <c r="C145" s="9" t="n"/>
      <c r="D145" s="9" t="n"/>
      <c r="E145" s="9" t="n"/>
      <c r="F145" s="8" t="n"/>
      <c r="G145" s="9" t="n"/>
      <c r="H145" s="9" t="n"/>
      <c r="I145">
        <f>IF(A145="","",B145&amp;"|"&amp;(A145*1))</f>
        <v/>
      </c>
      <c r="J145">
        <f>IF(B145="",0,IF(COUNTIF('3.설계사'!$B$4:$B$303,B145)=0,1,0))</f>
        <v/>
      </c>
    </row>
    <row r="146">
      <c r="A146" s="8" t="n"/>
      <c r="B146" s="9" t="n"/>
      <c r="C146" s="9" t="n"/>
      <c r="D146" s="9" t="n"/>
      <c r="E146" s="9" t="n"/>
      <c r="F146" s="8" t="n"/>
      <c r="G146" s="9" t="n"/>
      <c r="H146" s="9" t="n"/>
      <c r="I146">
        <f>IF(A146="","",B146&amp;"|"&amp;(A146*1))</f>
        <v/>
      </c>
      <c r="J146">
        <f>IF(B146="",0,IF(COUNTIF('3.설계사'!$B$4:$B$303,B146)=0,1,0))</f>
        <v/>
      </c>
    </row>
    <row r="147">
      <c r="A147" s="8" t="n"/>
      <c r="B147" s="9" t="n"/>
      <c r="C147" s="9" t="n"/>
      <c r="D147" s="9" t="n"/>
      <c r="E147" s="9" t="n"/>
      <c r="F147" s="8" t="n"/>
      <c r="G147" s="9" t="n"/>
      <c r="H147" s="9" t="n"/>
      <c r="I147">
        <f>IF(A147="","",B147&amp;"|"&amp;(A147*1))</f>
        <v/>
      </c>
      <c r="J147">
        <f>IF(B147="",0,IF(COUNTIF('3.설계사'!$B$4:$B$303,B147)=0,1,0))</f>
        <v/>
      </c>
    </row>
    <row r="148">
      <c r="A148" s="8" t="n"/>
      <c r="B148" s="9" t="n"/>
      <c r="C148" s="9" t="n"/>
      <c r="D148" s="9" t="n"/>
      <c r="E148" s="9" t="n"/>
      <c r="F148" s="8" t="n"/>
      <c r="G148" s="9" t="n"/>
      <c r="H148" s="9" t="n"/>
      <c r="I148">
        <f>IF(A148="","",B148&amp;"|"&amp;(A148*1))</f>
        <v/>
      </c>
      <c r="J148">
        <f>IF(B148="",0,IF(COUNTIF('3.설계사'!$B$4:$B$303,B148)=0,1,0))</f>
        <v/>
      </c>
    </row>
    <row r="149">
      <c r="A149" s="8" t="n"/>
      <c r="B149" s="9" t="n"/>
      <c r="C149" s="9" t="n"/>
      <c r="D149" s="9" t="n"/>
      <c r="E149" s="9" t="n"/>
      <c r="F149" s="8" t="n"/>
      <c r="G149" s="9" t="n"/>
      <c r="H149" s="9" t="n"/>
      <c r="I149">
        <f>IF(A149="","",B149&amp;"|"&amp;(A149*1))</f>
        <v/>
      </c>
      <c r="J149">
        <f>IF(B149="",0,IF(COUNTIF('3.설계사'!$B$4:$B$303,B149)=0,1,0))</f>
        <v/>
      </c>
    </row>
    <row r="150">
      <c r="A150" s="8" t="n"/>
      <c r="B150" s="9" t="n"/>
      <c r="C150" s="9" t="n"/>
      <c r="D150" s="9" t="n"/>
      <c r="E150" s="9" t="n"/>
      <c r="F150" s="8" t="n"/>
      <c r="G150" s="9" t="n"/>
      <c r="H150" s="9" t="n"/>
      <c r="I150">
        <f>IF(A150="","",B150&amp;"|"&amp;(A150*1))</f>
        <v/>
      </c>
      <c r="J150">
        <f>IF(B150="",0,IF(COUNTIF('3.설계사'!$B$4:$B$303,B150)=0,1,0))</f>
        <v/>
      </c>
    </row>
    <row r="151">
      <c r="A151" s="8" t="n"/>
      <c r="B151" s="9" t="n"/>
      <c r="C151" s="9" t="n"/>
      <c r="D151" s="9" t="n"/>
      <c r="E151" s="9" t="n"/>
      <c r="F151" s="8" t="n"/>
      <c r="G151" s="9" t="n"/>
      <c r="H151" s="9" t="n"/>
      <c r="I151">
        <f>IF(A151="","",B151&amp;"|"&amp;(A151*1))</f>
        <v/>
      </c>
      <c r="J151">
        <f>IF(B151="",0,IF(COUNTIF('3.설계사'!$B$4:$B$303,B151)=0,1,0))</f>
        <v/>
      </c>
    </row>
    <row r="152">
      <c r="A152" s="8" t="n"/>
      <c r="B152" s="9" t="n"/>
      <c r="C152" s="9" t="n"/>
      <c r="D152" s="9" t="n"/>
      <c r="E152" s="9" t="n"/>
      <c r="F152" s="8" t="n"/>
      <c r="G152" s="9" t="n"/>
      <c r="H152" s="9" t="n"/>
      <c r="I152">
        <f>IF(A152="","",B152&amp;"|"&amp;(A152*1))</f>
        <v/>
      </c>
      <c r="J152">
        <f>IF(B152="",0,IF(COUNTIF('3.설계사'!$B$4:$B$303,B152)=0,1,0))</f>
        <v/>
      </c>
    </row>
    <row r="153">
      <c r="A153" s="8" t="n"/>
      <c r="B153" s="9" t="n"/>
      <c r="C153" s="9" t="n"/>
      <c r="D153" s="9" t="n"/>
      <c r="E153" s="9" t="n"/>
      <c r="F153" s="8" t="n"/>
      <c r="G153" s="9" t="n"/>
      <c r="H153" s="9" t="n"/>
      <c r="I153">
        <f>IF(A153="","",B153&amp;"|"&amp;(A153*1))</f>
        <v/>
      </c>
      <c r="J153">
        <f>IF(B153="",0,IF(COUNTIF('3.설계사'!$B$4:$B$303,B153)=0,1,0))</f>
        <v/>
      </c>
    </row>
    <row r="154">
      <c r="A154" s="8" t="n"/>
      <c r="B154" s="9" t="n"/>
      <c r="C154" s="9" t="n"/>
      <c r="D154" s="9" t="n"/>
      <c r="E154" s="9" t="n"/>
      <c r="F154" s="8" t="n"/>
      <c r="G154" s="9" t="n"/>
      <c r="H154" s="9" t="n"/>
      <c r="I154">
        <f>IF(A154="","",B154&amp;"|"&amp;(A154*1))</f>
        <v/>
      </c>
      <c r="J154">
        <f>IF(B154="",0,IF(COUNTIF('3.설계사'!$B$4:$B$303,B154)=0,1,0))</f>
        <v/>
      </c>
    </row>
    <row r="155">
      <c r="A155" s="8" t="n"/>
      <c r="B155" s="9" t="n"/>
      <c r="C155" s="9" t="n"/>
      <c r="D155" s="9" t="n"/>
      <c r="E155" s="9" t="n"/>
      <c r="F155" s="8" t="n"/>
      <c r="G155" s="9" t="n"/>
      <c r="H155" s="9" t="n"/>
      <c r="I155">
        <f>IF(A155="","",B155&amp;"|"&amp;(A155*1))</f>
        <v/>
      </c>
      <c r="J155">
        <f>IF(B155="",0,IF(COUNTIF('3.설계사'!$B$4:$B$303,B155)=0,1,0))</f>
        <v/>
      </c>
    </row>
    <row r="156">
      <c r="A156" s="8" t="n"/>
      <c r="B156" s="9" t="n"/>
      <c r="C156" s="9" t="n"/>
      <c r="D156" s="9" t="n"/>
      <c r="E156" s="9" t="n"/>
      <c r="F156" s="8" t="n"/>
      <c r="G156" s="9" t="n"/>
      <c r="H156" s="9" t="n"/>
      <c r="I156">
        <f>IF(A156="","",B156&amp;"|"&amp;(A156*1))</f>
        <v/>
      </c>
      <c r="J156">
        <f>IF(B156="",0,IF(COUNTIF('3.설계사'!$B$4:$B$303,B156)=0,1,0))</f>
        <v/>
      </c>
    </row>
    <row r="157">
      <c r="A157" s="8" t="n"/>
      <c r="B157" s="9" t="n"/>
      <c r="C157" s="9" t="n"/>
      <c r="D157" s="9" t="n"/>
      <c r="E157" s="9" t="n"/>
      <c r="F157" s="8" t="n"/>
      <c r="G157" s="9" t="n"/>
      <c r="H157" s="9" t="n"/>
      <c r="I157">
        <f>IF(A157="","",B157&amp;"|"&amp;(A157*1))</f>
        <v/>
      </c>
      <c r="J157">
        <f>IF(B157="",0,IF(COUNTIF('3.설계사'!$B$4:$B$303,B157)=0,1,0))</f>
        <v/>
      </c>
    </row>
    <row r="158">
      <c r="A158" s="8" t="n"/>
      <c r="B158" s="9" t="n"/>
      <c r="C158" s="9" t="n"/>
      <c r="D158" s="9" t="n"/>
      <c r="E158" s="9" t="n"/>
      <c r="F158" s="8" t="n"/>
      <c r="G158" s="9" t="n"/>
      <c r="H158" s="9" t="n"/>
      <c r="I158">
        <f>IF(A158="","",B158&amp;"|"&amp;(A158*1))</f>
        <v/>
      </c>
      <c r="J158">
        <f>IF(B158="",0,IF(COUNTIF('3.설계사'!$B$4:$B$303,B158)=0,1,0))</f>
        <v/>
      </c>
    </row>
    <row r="159">
      <c r="A159" s="8" t="n"/>
      <c r="B159" s="9" t="n"/>
      <c r="C159" s="9" t="n"/>
      <c r="D159" s="9" t="n"/>
      <c r="E159" s="9" t="n"/>
      <c r="F159" s="8" t="n"/>
      <c r="G159" s="9" t="n"/>
      <c r="H159" s="9" t="n"/>
      <c r="I159">
        <f>IF(A159="","",B159&amp;"|"&amp;(A159*1))</f>
        <v/>
      </c>
      <c r="J159">
        <f>IF(B159="",0,IF(COUNTIF('3.설계사'!$B$4:$B$303,B159)=0,1,0))</f>
        <v/>
      </c>
    </row>
    <row r="160">
      <c r="A160" s="8" t="n"/>
      <c r="B160" s="9" t="n"/>
      <c r="C160" s="9" t="n"/>
      <c r="D160" s="9" t="n"/>
      <c r="E160" s="9" t="n"/>
      <c r="F160" s="8" t="n"/>
      <c r="G160" s="9" t="n"/>
      <c r="H160" s="9" t="n"/>
      <c r="I160">
        <f>IF(A160="","",B160&amp;"|"&amp;(A160*1))</f>
        <v/>
      </c>
      <c r="J160">
        <f>IF(B160="",0,IF(COUNTIF('3.설계사'!$B$4:$B$303,B160)=0,1,0))</f>
        <v/>
      </c>
    </row>
    <row r="161">
      <c r="A161" s="8" t="n"/>
      <c r="B161" s="9" t="n"/>
      <c r="C161" s="9" t="n"/>
      <c r="D161" s="9" t="n"/>
      <c r="E161" s="9" t="n"/>
      <c r="F161" s="8" t="n"/>
      <c r="G161" s="9" t="n"/>
      <c r="H161" s="9" t="n"/>
      <c r="I161">
        <f>IF(A161="","",B161&amp;"|"&amp;(A161*1))</f>
        <v/>
      </c>
      <c r="J161">
        <f>IF(B161="",0,IF(COUNTIF('3.설계사'!$B$4:$B$303,B161)=0,1,0))</f>
        <v/>
      </c>
    </row>
    <row r="162">
      <c r="A162" s="8" t="n"/>
      <c r="B162" s="9" t="n"/>
      <c r="C162" s="9" t="n"/>
      <c r="D162" s="9" t="n"/>
      <c r="E162" s="9" t="n"/>
      <c r="F162" s="8" t="n"/>
      <c r="G162" s="9" t="n"/>
      <c r="H162" s="9" t="n"/>
      <c r="I162">
        <f>IF(A162="","",B162&amp;"|"&amp;(A162*1))</f>
        <v/>
      </c>
      <c r="J162">
        <f>IF(B162="",0,IF(COUNTIF('3.설계사'!$B$4:$B$303,B162)=0,1,0))</f>
        <v/>
      </c>
    </row>
    <row r="163">
      <c r="A163" s="8" t="n"/>
      <c r="B163" s="9" t="n"/>
      <c r="C163" s="9" t="n"/>
      <c r="D163" s="9" t="n"/>
      <c r="E163" s="9" t="n"/>
      <c r="F163" s="8" t="n"/>
      <c r="G163" s="9" t="n"/>
      <c r="H163" s="9" t="n"/>
      <c r="I163">
        <f>IF(A163="","",B163&amp;"|"&amp;(A163*1))</f>
        <v/>
      </c>
      <c r="J163">
        <f>IF(B163="",0,IF(COUNTIF('3.설계사'!$B$4:$B$303,B163)=0,1,0))</f>
        <v/>
      </c>
    </row>
    <row r="164">
      <c r="A164" s="8" t="n"/>
      <c r="B164" s="9" t="n"/>
      <c r="C164" s="9" t="n"/>
      <c r="D164" s="9" t="n"/>
      <c r="E164" s="9" t="n"/>
      <c r="F164" s="8" t="n"/>
      <c r="G164" s="9" t="n"/>
      <c r="H164" s="9" t="n"/>
      <c r="I164">
        <f>IF(A164="","",B164&amp;"|"&amp;(A164*1))</f>
        <v/>
      </c>
      <c r="J164">
        <f>IF(B164="",0,IF(COUNTIF('3.설계사'!$B$4:$B$303,B164)=0,1,0))</f>
        <v/>
      </c>
    </row>
    <row r="165">
      <c r="A165" s="8" t="n"/>
      <c r="B165" s="9" t="n"/>
      <c r="C165" s="9" t="n"/>
      <c r="D165" s="9" t="n"/>
      <c r="E165" s="9" t="n"/>
      <c r="F165" s="8" t="n"/>
      <c r="G165" s="9" t="n"/>
      <c r="H165" s="9" t="n"/>
      <c r="I165">
        <f>IF(A165="","",B165&amp;"|"&amp;(A165*1))</f>
        <v/>
      </c>
      <c r="J165">
        <f>IF(B165="",0,IF(COUNTIF('3.설계사'!$B$4:$B$303,B165)=0,1,0))</f>
        <v/>
      </c>
    </row>
    <row r="166">
      <c r="A166" s="8" t="n"/>
      <c r="B166" s="9" t="n"/>
      <c r="C166" s="9" t="n"/>
      <c r="D166" s="9" t="n"/>
      <c r="E166" s="9" t="n"/>
      <c r="F166" s="8" t="n"/>
      <c r="G166" s="9" t="n"/>
      <c r="H166" s="9" t="n"/>
      <c r="I166">
        <f>IF(A166="","",B166&amp;"|"&amp;(A166*1))</f>
        <v/>
      </c>
      <c r="J166">
        <f>IF(B166="",0,IF(COUNTIF('3.설계사'!$B$4:$B$303,B166)=0,1,0))</f>
        <v/>
      </c>
    </row>
    <row r="167">
      <c r="A167" s="8" t="n"/>
      <c r="B167" s="9" t="n"/>
      <c r="C167" s="9" t="n"/>
      <c r="D167" s="9" t="n"/>
      <c r="E167" s="9" t="n"/>
      <c r="F167" s="8" t="n"/>
      <c r="G167" s="9" t="n"/>
      <c r="H167" s="9" t="n"/>
      <c r="I167">
        <f>IF(A167="","",B167&amp;"|"&amp;(A167*1))</f>
        <v/>
      </c>
      <c r="J167">
        <f>IF(B167="",0,IF(COUNTIF('3.설계사'!$B$4:$B$303,B167)=0,1,0))</f>
        <v/>
      </c>
    </row>
    <row r="168">
      <c r="A168" s="8" t="n"/>
      <c r="B168" s="9" t="n"/>
      <c r="C168" s="9" t="n"/>
      <c r="D168" s="9" t="n"/>
      <c r="E168" s="9" t="n"/>
      <c r="F168" s="8" t="n"/>
      <c r="G168" s="9" t="n"/>
      <c r="H168" s="9" t="n"/>
      <c r="I168">
        <f>IF(A168="","",B168&amp;"|"&amp;(A168*1))</f>
        <v/>
      </c>
      <c r="J168">
        <f>IF(B168="",0,IF(COUNTIF('3.설계사'!$B$4:$B$303,B168)=0,1,0))</f>
        <v/>
      </c>
    </row>
    <row r="169">
      <c r="A169" s="8" t="n"/>
      <c r="B169" s="9" t="n"/>
      <c r="C169" s="9" t="n"/>
      <c r="D169" s="9" t="n"/>
      <c r="E169" s="9" t="n"/>
      <c r="F169" s="8" t="n"/>
      <c r="G169" s="9" t="n"/>
      <c r="H169" s="9" t="n"/>
      <c r="I169">
        <f>IF(A169="","",B169&amp;"|"&amp;(A169*1))</f>
        <v/>
      </c>
      <c r="J169">
        <f>IF(B169="",0,IF(COUNTIF('3.설계사'!$B$4:$B$303,B169)=0,1,0))</f>
        <v/>
      </c>
    </row>
    <row r="170">
      <c r="A170" s="8" t="n"/>
      <c r="B170" s="9" t="n"/>
      <c r="C170" s="9" t="n"/>
      <c r="D170" s="9" t="n"/>
      <c r="E170" s="9" t="n"/>
      <c r="F170" s="8" t="n"/>
      <c r="G170" s="9" t="n"/>
      <c r="H170" s="9" t="n"/>
      <c r="I170">
        <f>IF(A170="","",B170&amp;"|"&amp;(A170*1))</f>
        <v/>
      </c>
      <c r="J170">
        <f>IF(B170="",0,IF(COUNTIF('3.설계사'!$B$4:$B$303,B170)=0,1,0))</f>
        <v/>
      </c>
    </row>
    <row r="171">
      <c r="A171" s="8" t="n"/>
      <c r="B171" s="9" t="n"/>
      <c r="C171" s="9" t="n"/>
      <c r="D171" s="9" t="n"/>
      <c r="E171" s="9" t="n"/>
      <c r="F171" s="8" t="n"/>
      <c r="G171" s="9" t="n"/>
      <c r="H171" s="9" t="n"/>
      <c r="I171">
        <f>IF(A171="","",B171&amp;"|"&amp;(A171*1))</f>
        <v/>
      </c>
      <c r="J171">
        <f>IF(B171="",0,IF(COUNTIF('3.설계사'!$B$4:$B$303,B171)=0,1,0))</f>
        <v/>
      </c>
    </row>
    <row r="172">
      <c r="A172" s="8" t="n"/>
      <c r="B172" s="9" t="n"/>
      <c r="C172" s="9" t="n"/>
      <c r="D172" s="9" t="n"/>
      <c r="E172" s="9" t="n"/>
      <c r="F172" s="8" t="n"/>
      <c r="G172" s="9" t="n"/>
      <c r="H172" s="9" t="n"/>
      <c r="I172">
        <f>IF(A172="","",B172&amp;"|"&amp;(A172*1))</f>
        <v/>
      </c>
      <c r="J172">
        <f>IF(B172="",0,IF(COUNTIF('3.설계사'!$B$4:$B$303,B172)=0,1,0))</f>
        <v/>
      </c>
    </row>
    <row r="173">
      <c r="A173" s="8" t="n"/>
      <c r="B173" s="9" t="n"/>
      <c r="C173" s="9" t="n"/>
      <c r="D173" s="9" t="n"/>
      <c r="E173" s="9" t="n"/>
      <c r="F173" s="8" t="n"/>
      <c r="G173" s="9" t="n"/>
      <c r="H173" s="9" t="n"/>
      <c r="I173">
        <f>IF(A173="","",B173&amp;"|"&amp;(A173*1))</f>
        <v/>
      </c>
      <c r="J173">
        <f>IF(B173="",0,IF(COUNTIF('3.설계사'!$B$4:$B$303,B173)=0,1,0))</f>
        <v/>
      </c>
    </row>
    <row r="174">
      <c r="A174" s="8" t="n"/>
      <c r="B174" s="9" t="n"/>
      <c r="C174" s="9" t="n"/>
      <c r="D174" s="9" t="n"/>
      <c r="E174" s="9" t="n"/>
      <c r="F174" s="8" t="n"/>
      <c r="G174" s="9" t="n"/>
      <c r="H174" s="9" t="n"/>
      <c r="I174">
        <f>IF(A174="","",B174&amp;"|"&amp;(A174*1))</f>
        <v/>
      </c>
      <c r="J174">
        <f>IF(B174="",0,IF(COUNTIF('3.설계사'!$B$4:$B$303,B174)=0,1,0))</f>
        <v/>
      </c>
    </row>
    <row r="175">
      <c r="A175" s="8" t="n"/>
      <c r="B175" s="9" t="n"/>
      <c r="C175" s="9" t="n"/>
      <c r="D175" s="9" t="n"/>
      <c r="E175" s="9" t="n"/>
      <c r="F175" s="8" t="n"/>
      <c r="G175" s="9" t="n"/>
      <c r="H175" s="9" t="n"/>
      <c r="I175">
        <f>IF(A175="","",B175&amp;"|"&amp;(A175*1))</f>
        <v/>
      </c>
      <c r="J175">
        <f>IF(B175="",0,IF(COUNTIF('3.설계사'!$B$4:$B$303,B175)=0,1,0))</f>
        <v/>
      </c>
    </row>
    <row r="176">
      <c r="A176" s="8" t="n"/>
      <c r="B176" s="9" t="n"/>
      <c r="C176" s="9" t="n"/>
      <c r="D176" s="9" t="n"/>
      <c r="E176" s="9" t="n"/>
      <c r="F176" s="8" t="n"/>
      <c r="G176" s="9" t="n"/>
      <c r="H176" s="9" t="n"/>
      <c r="I176">
        <f>IF(A176="","",B176&amp;"|"&amp;(A176*1))</f>
        <v/>
      </c>
      <c r="J176">
        <f>IF(B176="",0,IF(COUNTIF('3.설계사'!$B$4:$B$303,B176)=0,1,0))</f>
        <v/>
      </c>
    </row>
    <row r="177">
      <c r="A177" s="8" t="n"/>
      <c r="B177" s="9" t="n"/>
      <c r="C177" s="9" t="n"/>
      <c r="D177" s="9" t="n"/>
      <c r="E177" s="9" t="n"/>
      <c r="F177" s="8" t="n"/>
      <c r="G177" s="9" t="n"/>
      <c r="H177" s="9" t="n"/>
      <c r="I177">
        <f>IF(A177="","",B177&amp;"|"&amp;(A177*1))</f>
        <v/>
      </c>
      <c r="J177">
        <f>IF(B177="",0,IF(COUNTIF('3.설계사'!$B$4:$B$303,B177)=0,1,0))</f>
        <v/>
      </c>
    </row>
    <row r="178">
      <c r="A178" s="8" t="n"/>
      <c r="B178" s="9" t="n"/>
      <c r="C178" s="9" t="n"/>
      <c r="D178" s="9" t="n"/>
      <c r="E178" s="9" t="n"/>
      <c r="F178" s="8" t="n"/>
      <c r="G178" s="9" t="n"/>
      <c r="H178" s="9" t="n"/>
      <c r="I178">
        <f>IF(A178="","",B178&amp;"|"&amp;(A178*1))</f>
        <v/>
      </c>
      <c r="J178">
        <f>IF(B178="",0,IF(COUNTIF('3.설계사'!$B$4:$B$303,B178)=0,1,0))</f>
        <v/>
      </c>
    </row>
    <row r="179">
      <c r="A179" s="8" t="n"/>
      <c r="B179" s="9" t="n"/>
      <c r="C179" s="9" t="n"/>
      <c r="D179" s="9" t="n"/>
      <c r="E179" s="9" t="n"/>
      <c r="F179" s="8" t="n"/>
      <c r="G179" s="9" t="n"/>
      <c r="H179" s="9" t="n"/>
      <c r="I179">
        <f>IF(A179="","",B179&amp;"|"&amp;(A179*1))</f>
        <v/>
      </c>
      <c r="J179">
        <f>IF(B179="",0,IF(COUNTIF('3.설계사'!$B$4:$B$303,B179)=0,1,0))</f>
        <v/>
      </c>
    </row>
    <row r="180">
      <c r="A180" s="8" t="n"/>
      <c r="B180" s="9" t="n"/>
      <c r="C180" s="9" t="n"/>
      <c r="D180" s="9" t="n"/>
      <c r="E180" s="9" t="n"/>
      <c r="F180" s="8" t="n"/>
      <c r="G180" s="9" t="n"/>
      <c r="H180" s="9" t="n"/>
      <c r="I180">
        <f>IF(A180="","",B180&amp;"|"&amp;(A180*1))</f>
        <v/>
      </c>
      <c r="J180">
        <f>IF(B180="",0,IF(COUNTIF('3.설계사'!$B$4:$B$303,B180)=0,1,0))</f>
        <v/>
      </c>
    </row>
    <row r="181">
      <c r="A181" s="8" t="n"/>
      <c r="B181" s="9" t="n"/>
      <c r="C181" s="9" t="n"/>
      <c r="D181" s="9" t="n"/>
      <c r="E181" s="9" t="n"/>
      <c r="F181" s="8" t="n"/>
      <c r="G181" s="9" t="n"/>
      <c r="H181" s="9" t="n"/>
      <c r="I181">
        <f>IF(A181="","",B181&amp;"|"&amp;(A181*1))</f>
        <v/>
      </c>
      <c r="J181">
        <f>IF(B181="",0,IF(COUNTIF('3.설계사'!$B$4:$B$303,B181)=0,1,0))</f>
        <v/>
      </c>
    </row>
    <row r="182">
      <c r="A182" s="8" t="n"/>
      <c r="B182" s="9" t="n"/>
      <c r="C182" s="9" t="n"/>
      <c r="D182" s="9" t="n"/>
      <c r="E182" s="9" t="n"/>
      <c r="F182" s="8" t="n"/>
      <c r="G182" s="9" t="n"/>
      <c r="H182" s="9" t="n"/>
      <c r="I182">
        <f>IF(A182="","",B182&amp;"|"&amp;(A182*1))</f>
        <v/>
      </c>
      <c r="J182">
        <f>IF(B182="",0,IF(COUNTIF('3.설계사'!$B$4:$B$303,B182)=0,1,0))</f>
        <v/>
      </c>
    </row>
    <row r="183">
      <c r="A183" s="8" t="n"/>
      <c r="B183" s="9" t="n"/>
      <c r="C183" s="9" t="n"/>
      <c r="D183" s="9" t="n"/>
      <c r="E183" s="9" t="n"/>
      <c r="F183" s="8" t="n"/>
      <c r="G183" s="9" t="n"/>
      <c r="H183" s="9" t="n"/>
      <c r="I183">
        <f>IF(A183="","",B183&amp;"|"&amp;(A183*1))</f>
        <v/>
      </c>
      <c r="J183">
        <f>IF(B183="",0,IF(COUNTIF('3.설계사'!$B$4:$B$303,B183)=0,1,0))</f>
        <v/>
      </c>
    </row>
    <row r="184">
      <c r="A184" s="8" t="n"/>
      <c r="B184" s="9" t="n"/>
      <c r="C184" s="9" t="n"/>
      <c r="D184" s="9" t="n"/>
      <c r="E184" s="9" t="n"/>
      <c r="F184" s="8" t="n"/>
      <c r="G184" s="9" t="n"/>
      <c r="H184" s="9" t="n"/>
      <c r="I184">
        <f>IF(A184="","",B184&amp;"|"&amp;(A184*1))</f>
        <v/>
      </c>
      <c r="J184">
        <f>IF(B184="",0,IF(COUNTIF('3.설계사'!$B$4:$B$303,B184)=0,1,0))</f>
        <v/>
      </c>
    </row>
    <row r="185">
      <c r="A185" s="8" t="n"/>
      <c r="B185" s="9" t="n"/>
      <c r="C185" s="9" t="n"/>
      <c r="D185" s="9" t="n"/>
      <c r="E185" s="9" t="n"/>
      <c r="F185" s="8" t="n"/>
      <c r="G185" s="9" t="n"/>
      <c r="H185" s="9" t="n"/>
      <c r="I185">
        <f>IF(A185="","",B185&amp;"|"&amp;(A185*1))</f>
        <v/>
      </c>
      <c r="J185">
        <f>IF(B185="",0,IF(COUNTIF('3.설계사'!$B$4:$B$303,B185)=0,1,0))</f>
        <v/>
      </c>
    </row>
    <row r="186">
      <c r="A186" s="8" t="n"/>
      <c r="B186" s="9" t="n"/>
      <c r="C186" s="9" t="n"/>
      <c r="D186" s="9" t="n"/>
      <c r="E186" s="9" t="n"/>
      <c r="F186" s="8" t="n"/>
      <c r="G186" s="9" t="n"/>
      <c r="H186" s="9" t="n"/>
      <c r="I186">
        <f>IF(A186="","",B186&amp;"|"&amp;(A186*1))</f>
        <v/>
      </c>
      <c r="J186">
        <f>IF(B186="",0,IF(COUNTIF('3.설계사'!$B$4:$B$303,B186)=0,1,0))</f>
        <v/>
      </c>
    </row>
    <row r="187">
      <c r="A187" s="8" t="n"/>
      <c r="B187" s="9" t="n"/>
      <c r="C187" s="9" t="n"/>
      <c r="D187" s="9" t="n"/>
      <c r="E187" s="9" t="n"/>
      <c r="F187" s="8" t="n"/>
      <c r="G187" s="9" t="n"/>
      <c r="H187" s="9" t="n"/>
      <c r="I187">
        <f>IF(A187="","",B187&amp;"|"&amp;(A187*1))</f>
        <v/>
      </c>
      <c r="J187">
        <f>IF(B187="",0,IF(COUNTIF('3.설계사'!$B$4:$B$303,B187)=0,1,0))</f>
        <v/>
      </c>
    </row>
    <row r="188">
      <c r="A188" s="8" t="n"/>
      <c r="B188" s="9" t="n"/>
      <c r="C188" s="9" t="n"/>
      <c r="D188" s="9" t="n"/>
      <c r="E188" s="9" t="n"/>
      <c r="F188" s="8" t="n"/>
      <c r="G188" s="9" t="n"/>
      <c r="H188" s="9" t="n"/>
      <c r="I188">
        <f>IF(A188="","",B188&amp;"|"&amp;(A188*1))</f>
        <v/>
      </c>
      <c r="J188">
        <f>IF(B188="",0,IF(COUNTIF('3.설계사'!$B$4:$B$303,B188)=0,1,0))</f>
        <v/>
      </c>
    </row>
    <row r="189">
      <c r="A189" s="8" t="n"/>
      <c r="B189" s="9" t="n"/>
      <c r="C189" s="9" t="n"/>
      <c r="D189" s="9" t="n"/>
      <c r="E189" s="9" t="n"/>
      <c r="F189" s="8" t="n"/>
      <c r="G189" s="9" t="n"/>
      <c r="H189" s="9" t="n"/>
      <c r="I189">
        <f>IF(A189="","",B189&amp;"|"&amp;(A189*1))</f>
        <v/>
      </c>
      <c r="J189">
        <f>IF(B189="",0,IF(COUNTIF('3.설계사'!$B$4:$B$303,B189)=0,1,0))</f>
        <v/>
      </c>
    </row>
    <row r="190">
      <c r="A190" s="8" t="n"/>
      <c r="B190" s="9" t="n"/>
      <c r="C190" s="9" t="n"/>
      <c r="D190" s="9" t="n"/>
      <c r="E190" s="9" t="n"/>
      <c r="F190" s="8" t="n"/>
      <c r="G190" s="9" t="n"/>
      <c r="H190" s="9" t="n"/>
      <c r="I190">
        <f>IF(A190="","",B190&amp;"|"&amp;(A190*1))</f>
        <v/>
      </c>
      <c r="J190">
        <f>IF(B190="",0,IF(COUNTIF('3.설계사'!$B$4:$B$303,B190)=0,1,0))</f>
        <v/>
      </c>
    </row>
    <row r="191">
      <c r="A191" s="8" t="n"/>
      <c r="B191" s="9" t="n"/>
      <c r="C191" s="9" t="n"/>
      <c r="D191" s="9" t="n"/>
      <c r="E191" s="9" t="n"/>
      <c r="F191" s="8" t="n"/>
      <c r="G191" s="9" t="n"/>
      <c r="H191" s="9" t="n"/>
      <c r="I191">
        <f>IF(A191="","",B191&amp;"|"&amp;(A191*1))</f>
        <v/>
      </c>
      <c r="J191">
        <f>IF(B191="",0,IF(COUNTIF('3.설계사'!$B$4:$B$303,B191)=0,1,0))</f>
        <v/>
      </c>
    </row>
    <row r="192">
      <c r="A192" s="8" t="n"/>
      <c r="B192" s="9" t="n"/>
      <c r="C192" s="9" t="n"/>
      <c r="D192" s="9" t="n"/>
      <c r="E192" s="9" t="n"/>
      <c r="F192" s="8" t="n"/>
      <c r="G192" s="9" t="n"/>
      <c r="H192" s="9" t="n"/>
      <c r="I192">
        <f>IF(A192="","",B192&amp;"|"&amp;(A192*1))</f>
        <v/>
      </c>
      <c r="J192">
        <f>IF(B192="",0,IF(COUNTIF('3.설계사'!$B$4:$B$303,B192)=0,1,0))</f>
        <v/>
      </c>
    </row>
    <row r="193">
      <c r="A193" s="8" t="n"/>
      <c r="B193" s="9" t="n"/>
      <c r="C193" s="9" t="n"/>
      <c r="D193" s="9" t="n"/>
      <c r="E193" s="9" t="n"/>
      <c r="F193" s="8" t="n"/>
      <c r="G193" s="9" t="n"/>
      <c r="H193" s="9" t="n"/>
      <c r="I193">
        <f>IF(A193="","",B193&amp;"|"&amp;(A193*1))</f>
        <v/>
      </c>
      <c r="J193">
        <f>IF(B193="",0,IF(COUNTIF('3.설계사'!$B$4:$B$303,B193)=0,1,0))</f>
        <v/>
      </c>
    </row>
    <row r="194">
      <c r="A194" s="8" t="n"/>
      <c r="B194" s="9" t="n"/>
      <c r="C194" s="9" t="n"/>
      <c r="D194" s="9" t="n"/>
      <c r="E194" s="9" t="n"/>
      <c r="F194" s="8" t="n"/>
      <c r="G194" s="9" t="n"/>
      <c r="H194" s="9" t="n"/>
      <c r="I194">
        <f>IF(A194="","",B194&amp;"|"&amp;(A194*1))</f>
        <v/>
      </c>
      <c r="J194">
        <f>IF(B194="",0,IF(COUNTIF('3.설계사'!$B$4:$B$303,B194)=0,1,0))</f>
        <v/>
      </c>
    </row>
    <row r="195">
      <c r="A195" s="8" t="n"/>
      <c r="B195" s="9" t="n"/>
      <c r="C195" s="9" t="n"/>
      <c r="D195" s="9" t="n"/>
      <c r="E195" s="9" t="n"/>
      <c r="F195" s="8" t="n"/>
      <c r="G195" s="9" t="n"/>
      <c r="H195" s="9" t="n"/>
      <c r="I195">
        <f>IF(A195="","",B195&amp;"|"&amp;(A195*1))</f>
        <v/>
      </c>
      <c r="J195">
        <f>IF(B195="",0,IF(COUNTIF('3.설계사'!$B$4:$B$303,B195)=0,1,0))</f>
        <v/>
      </c>
    </row>
    <row r="196">
      <c r="A196" s="8" t="n"/>
      <c r="B196" s="9" t="n"/>
      <c r="C196" s="9" t="n"/>
      <c r="D196" s="9" t="n"/>
      <c r="E196" s="9" t="n"/>
      <c r="F196" s="8" t="n"/>
      <c r="G196" s="9" t="n"/>
      <c r="H196" s="9" t="n"/>
      <c r="I196">
        <f>IF(A196="","",B196&amp;"|"&amp;(A196*1))</f>
        <v/>
      </c>
      <c r="J196">
        <f>IF(B196="",0,IF(COUNTIF('3.설계사'!$B$4:$B$303,B196)=0,1,0))</f>
        <v/>
      </c>
    </row>
    <row r="197">
      <c r="A197" s="8" t="n"/>
      <c r="B197" s="9" t="n"/>
      <c r="C197" s="9" t="n"/>
      <c r="D197" s="9" t="n"/>
      <c r="E197" s="9" t="n"/>
      <c r="F197" s="8" t="n"/>
      <c r="G197" s="9" t="n"/>
      <c r="H197" s="9" t="n"/>
      <c r="I197">
        <f>IF(A197="","",B197&amp;"|"&amp;(A197*1))</f>
        <v/>
      </c>
      <c r="J197">
        <f>IF(B197="",0,IF(COUNTIF('3.설계사'!$B$4:$B$303,B197)=0,1,0))</f>
        <v/>
      </c>
    </row>
    <row r="198">
      <c r="A198" s="8" t="n"/>
      <c r="B198" s="9" t="n"/>
      <c r="C198" s="9" t="n"/>
      <c r="D198" s="9" t="n"/>
      <c r="E198" s="9" t="n"/>
      <c r="F198" s="8" t="n"/>
      <c r="G198" s="9" t="n"/>
      <c r="H198" s="9" t="n"/>
      <c r="I198">
        <f>IF(A198="","",B198&amp;"|"&amp;(A198*1))</f>
        <v/>
      </c>
      <c r="J198">
        <f>IF(B198="",0,IF(COUNTIF('3.설계사'!$B$4:$B$303,B198)=0,1,0))</f>
        <v/>
      </c>
    </row>
    <row r="199">
      <c r="A199" s="8" t="n"/>
      <c r="B199" s="9" t="n"/>
      <c r="C199" s="9" t="n"/>
      <c r="D199" s="9" t="n"/>
      <c r="E199" s="9" t="n"/>
      <c r="F199" s="8" t="n"/>
      <c r="G199" s="9" t="n"/>
      <c r="H199" s="9" t="n"/>
      <c r="I199">
        <f>IF(A199="","",B199&amp;"|"&amp;(A199*1))</f>
        <v/>
      </c>
      <c r="J199">
        <f>IF(B199="",0,IF(COUNTIF('3.설계사'!$B$4:$B$303,B199)=0,1,0))</f>
        <v/>
      </c>
    </row>
    <row r="200">
      <c r="A200" s="8" t="n"/>
      <c r="B200" s="9" t="n"/>
      <c r="C200" s="9" t="n"/>
      <c r="D200" s="9" t="n"/>
      <c r="E200" s="9" t="n"/>
      <c r="F200" s="8" t="n"/>
      <c r="G200" s="9" t="n"/>
      <c r="H200" s="9" t="n"/>
      <c r="I200">
        <f>IF(A200="","",B200&amp;"|"&amp;(A200*1))</f>
        <v/>
      </c>
      <c r="J200">
        <f>IF(B200="",0,IF(COUNTIF('3.설계사'!$B$4:$B$303,B200)=0,1,0))</f>
        <v/>
      </c>
    </row>
    <row r="201">
      <c r="A201" s="8" t="n"/>
      <c r="B201" s="9" t="n"/>
      <c r="C201" s="9" t="n"/>
      <c r="D201" s="9" t="n"/>
      <c r="E201" s="9" t="n"/>
      <c r="F201" s="8" t="n"/>
      <c r="G201" s="9" t="n"/>
      <c r="H201" s="9" t="n"/>
      <c r="I201">
        <f>IF(A201="","",B201&amp;"|"&amp;(A201*1))</f>
        <v/>
      </c>
      <c r="J201">
        <f>IF(B201="",0,IF(COUNTIF('3.설계사'!$B$4:$B$303,B201)=0,1,0))</f>
        <v/>
      </c>
    </row>
    <row r="202">
      <c r="A202" s="8" t="n"/>
      <c r="B202" s="9" t="n"/>
      <c r="C202" s="9" t="n"/>
      <c r="D202" s="9" t="n"/>
      <c r="E202" s="9" t="n"/>
      <c r="F202" s="8" t="n"/>
      <c r="G202" s="9" t="n"/>
      <c r="H202" s="9" t="n"/>
      <c r="I202">
        <f>IF(A202="","",B202&amp;"|"&amp;(A202*1))</f>
        <v/>
      </c>
      <c r="J202">
        <f>IF(B202="",0,IF(COUNTIF('3.설계사'!$B$4:$B$303,B202)=0,1,0))</f>
        <v/>
      </c>
    </row>
    <row r="203">
      <c r="A203" s="8" t="n"/>
      <c r="B203" s="9" t="n"/>
      <c r="C203" s="9" t="n"/>
      <c r="D203" s="9" t="n"/>
      <c r="E203" s="9" t="n"/>
      <c r="F203" s="8" t="n"/>
      <c r="G203" s="9" t="n"/>
      <c r="H203" s="9" t="n"/>
      <c r="I203">
        <f>IF(A203="","",B203&amp;"|"&amp;(A203*1))</f>
        <v/>
      </c>
      <c r="J203">
        <f>IF(B203="",0,IF(COUNTIF('3.설계사'!$B$4:$B$303,B203)=0,1,0))</f>
        <v/>
      </c>
    </row>
    <row r="204">
      <c r="A204" s="8" t="n"/>
      <c r="B204" s="9" t="n"/>
      <c r="C204" s="9" t="n"/>
      <c r="D204" s="9" t="n"/>
      <c r="E204" s="9" t="n"/>
      <c r="F204" s="8" t="n"/>
      <c r="G204" s="9" t="n"/>
      <c r="H204" s="9" t="n"/>
      <c r="I204">
        <f>IF(A204="","",B204&amp;"|"&amp;(A204*1))</f>
        <v/>
      </c>
      <c r="J204">
        <f>IF(B204="",0,IF(COUNTIF('3.설계사'!$B$4:$B$303,B204)=0,1,0))</f>
        <v/>
      </c>
    </row>
    <row r="205">
      <c r="A205" s="8" t="n"/>
      <c r="B205" s="9" t="n"/>
      <c r="C205" s="9" t="n"/>
      <c r="D205" s="9" t="n"/>
      <c r="E205" s="9" t="n"/>
      <c r="F205" s="8" t="n"/>
      <c r="G205" s="9" t="n"/>
      <c r="H205" s="9" t="n"/>
      <c r="I205">
        <f>IF(A205="","",B205&amp;"|"&amp;(A205*1))</f>
        <v/>
      </c>
      <c r="J205">
        <f>IF(B205="",0,IF(COUNTIF('3.설계사'!$B$4:$B$303,B205)=0,1,0))</f>
        <v/>
      </c>
    </row>
    <row r="206">
      <c r="A206" s="8" t="n"/>
      <c r="B206" s="9" t="n"/>
      <c r="C206" s="9" t="n"/>
      <c r="D206" s="9" t="n"/>
      <c r="E206" s="9" t="n"/>
      <c r="F206" s="8" t="n"/>
      <c r="G206" s="9" t="n"/>
      <c r="H206" s="9" t="n"/>
      <c r="I206">
        <f>IF(A206="","",B206&amp;"|"&amp;(A206*1))</f>
        <v/>
      </c>
      <c r="J206">
        <f>IF(B206="",0,IF(COUNTIF('3.설계사'!$B$4:$B$303,B206)=0,1,0))</f>
        <v/>
      </c>
    </row>
    <row r="207">
      <c r="A207" s="8" t="n"/>
      <c r="B207" s="9" t="n"/>
      <c r="C207" s="9" t="n"/>
      <c r="D207" s="9" t="n"/>
      <c r="E207" s="9" t="n"/>
      <c r="F207" s="8" t="n"/>
      <c r="G207" s="9" t="n"/>
      <c r="H207" s="9" t="n"/>
      <c r="I207">
        <f>IF(A207="","",B207&amp;"|"&amp;(A207*1))</f>
        <v/>
      </c>
      <c r="J207">
        <f>IF(B207="",0,IF(COUNTIF('3.설계사'!$B$4:$B$303,B207)=0,1,0))</f>
        <v/>
      </c>
    </row>
    <row r="208">
      <c r="A208" s="8" t="n"/>
      <c r="B208" s="9" t="n"/>
      <c r="C208" s="9" t="n"/>
      <c r="D208" s="9" t="n"/>
      <c r="E208" s="9" t="n"/>
      <c r="F208" s="8" t="n"/>
      <c r="G208" s="9" t="n"/>
      <c r="H208" s="9" t="n"/>
      <c r="I208">
        <f>IF(A208="","",B208&amp;"|"&amp;(A208*1))</f>
        <v/>
      </c>
      <c r="J208">
        <f>IF(B208="",0,IF(COUNTIF('3.설계사'!$B$4:$B$303,B208)=0,1,0))</f>
        <v/>
      </c>
    </row>
    <row r="209">
      <c r="A209" s="8" t="n"/>
      <c r="B209" s="9" t="n"/>
      <c r="C209" s="9" t="n"/>
      <c r="D209" s="9" t="n"/>
      <c r="E209" s="9" t="n"/>
      <c r="F209" s="8" t="n"/>
      <c r="G209" s="9" t="n"/>
      <c r="H209" s="9" t="n"/>
      <c r="I209">
        <f>IF(A209="","",B209&amp;"|"&amp;(A209*1))</f>
        <v/>
      </c>
      <c r="J209">
        <f>IF(B209="",0,IF(COUNTIF('3.설계사'!$B$4:$B$303,B209)=0,1,0))</f>
        <v/>
      </c>
    </row>
    <row r="210">
      <c r="A210" s="8" t="n"/>
      <c r="B210" s="9" t="n"/>
      <c r="C210" s="9" t="n"/>
      <c r="D210" s="9" t="n"/>
      <c r="E210" s="9" t="n"/>
      <c r="F210" s="8" t="n"/>
      <c r="G210" s="9" t="n"/>
      <c r="H210" s="9" t="n"/>
      <c r="I210">
        <f>IF(A210="","",B210&amp;"|"&amp;(A210*1))</f>
        <v/>
      </c>
      <c r="J210">
        <f>IF(B210="",0,IF(COUNTIF('3.설계사'!$B$4:$B$303,B210)=0,1,0))</f>
        <v/>
      </c>
    </row>
    <row r="211">
      <c r="A211" s="8" t="n"/>
      <c r="B211" s="9" t="n"/>
      <c r="C211" s="9" t="n"/>
      <c r="D211" s="9" t="n"/>
      <c r="E211" s="9" t="n"/>
      <c r="F211" s="8" t="n"/>
      <c r="G211" s="9" t="n"/>
      <c r="H211" s="9" t="n"/>
      <c r="I211">
        <f>IF(A211="","",B211&amp;"|"&amp;(A211*1))</f>
        <v/>
      </c>
      <c r="J211">
        <f>IF(B211="",0,IF(COUNTIF('3.설계사'!$B$4:$B$303,B211)=0,1,0))</f>
        <v/>
      </c>
    </row>
    <row r="212">
      <c r="A212" s="8" t="n"/>
      <c r="B212" s="9" t="n"/>
      <c r="C212" s="9" t="n"/>
      <c r="D212" s="9" t="n"/>
      <c r="E212" s="9" t="n"/>
      <c r="F212" s="8" t="n"/>
      <c r="G212" s="9" t="n"/>
      <c r="H212" s="9" t="n"/>
      <c r="I212">
        <f>IF(A212="","",B212&amp;"|"&amp;(A212*1))</f>
        <v/>
      </c>
      <c r="J212">
        <f>IF(B212="",0,IF(COUNTIF('3.설계사'!$B$4:$B$303,B212)=0,1,0))</f>
        <v/>
      </c>
    </row>
    <row r="213">
      <c r="A213" s="8" t="n"/>
      <c r="B213" s="9" t="n"/>
      <c r="C213" s="9" t="n"/>
      <c r="D213" s="9" t="n"/>
      <c r="E213" s="9" t="n"/>
      <c r="F213" s="8" t="n"/>
      <c r="G213" s="9" t="n"/>
      <c r="H213" s="9" t="n"/>
      <c r="I213">
        <f>IF(A213="","",B213&amp;"|"&amp;(A213*1))</f>
        <v/>
      </c>
      <c r="J213">
        <f>IF(B213="",0,IF(COUNTIF('3.설계사'!$B$4:$B$303,B213)=0,1,0))</f>
        <v/>
      </c>
    </row>
    <row r="214">
      <c r="A214" s="8" t="n"/>
      <c r="B214" s="9" t="n"/>
      <c r="C214" s="9" t="n"/>
      <c r="D214" s="9" t="n"/>
      <c r="E214" s="9" t="n"/>
      <c r="F214" s="8" t="n"/>
      <c r="G214" s="9" t="n"/>
      <c r="H214" s="9" t="n"/>
      <c r="I214">
        <f>IF(A214="","",B214&amp;"|"&amp;(A214*1))</f>
        <v/>
      </c>
      <c r="J214">
        <f>IF(B214="",0,IF(COUNTIF('3.설계사'!$B$4:$B$303,B214)=0,1,0))</f>
        <v/>
      </c>
    </row>
    <row r="215">
      <c r="A215" s="8" t="n"/>
      <c r="B215" s="9" t="n"/>
      <c r="C215" s="9" t="n"/>
      <c r="D215" s="9" t="n"/>
      <c r="E215" s="9" t="n"/>
      <c r="F215" s="8" t="n"/>
      <c r="G215" s="9" t="n"/>
      <c r="H215" s="9" t="n"/>
      <c r="I215">
        <f>IF(A215="","",B215&amp;"|"&amp;(A215*1))</f>
        <v/>
      </c>
      <c r="J215">
        <f>IF(B215="",0,IF(COUNTIF('3.설계사'!$B$4:$B$303,B215)=0,1,0))</f>
        <v/>
      </c>
    </row>
    <row r="216">
      <c r="A216" s="8" t="n"/>
      <c r="B216" s="9" t="n"/>
      <c r="C216" s="9" t="n"/>
      <c r="D216" s="9" t="n"/>
      <c r="E216" s="9" t="n"/>
      <c r="F216" s="8" t="n"/>
      <c r="G216" s="9" t="n"/>
      <c r="H216" s="9" t="n"/>
      <c r="I216">
        <f>IF(A216="","",B216&amp;"|"&amp;(A216*1))</f>
        <v/>
      </c>
      <c r="J216">
        <f>IF(B216="",0,IF(COUNTIF('3.설계사'!$B$4:$B$303,B216)=0,1,0))</f>
        <v/>
      </c>
    </row>
    <row r="217">
      <c r="A217" s="8" t="n"/>
      <c r="B217" s="9" t="n"/>
      <c r="C217" s="9" t="n"/>
      <c r="D217" s="9" t="n"/>
      <c r="E217" s="9" t="n"/>
      <c r="F217" s="8" t="n"/>
      <c r="G217" s="9" t="n"/>
      <c r="H217" s="9" t="n"/>
      <c r="I217">
        <f>IF(A217="","",B217&amp;"|"&amp;(A217*1))</f>
        <v/>
      </c>
      <c r="J217">
        <f>IF(B217="",0,IF(COUNTIF('3.설계사'!$B$4:$B$303,B217)=0,1,0))</f>
        <v/>
      </c>
    </row>
    <row r="218">
      <c r="A218" s="8" t="n"/>
      <c r="B218" s="9" t="n"/>
      <c r="C218" s="9" t="n"/>
      <c r="D218" s="9" t="n"/>
      <c r="E218" s="9" t="n"/>
      <c r="F218" s="8" t="n"/>
      <c r="G218" s="9" t="n"/>
      <c r="H218" s="9" t="n"/>
      <c r="I218">
        <f>IF(A218="","",B218&amp;"|"&amp;(A218*1))</f>
        <v/>
      </c>
      <c r="J218">
        <f>IF(B218="",0,IF(COUNTIF('3.설계사'!$B$4:$B$303,B218)=0,1,0))</f>
        <v/>
      </c>
    </row>
    <row r="219">
      <c r="A219" s="8" t="n"/>
      <c r="B219" s="9" t="n"/>
      <c r="C219" s="9" t="n"/>
      <c r="D219" s="9" t="n"/>
      <c r="E219" s="9" t="n"/>
      <c r="F219" s="8" t="n"/>
      <c r="G219" s="9" t="n"/>
      <c r="H219" s="9" t="n"/>
      <c r="I219">
        <f>IF(A219="","",B219&amp;"|"&amp;(A219*1))</f>
        <v/>
      </c>
      <c r="J219">
        <f>IF(B219="",0,IF(COUNTIF('3.설계사'!$B$4:$B$303,B219)=0,1,0))</f>
        <v/>
      </c>
    </row>
    <row r="220">
      <c r="A220" s="8" t="n"/>
      <c r="B220" s="9" t="n"/>
      <c r="C220" s="9" t="n"/>
      <c r="D220" s="9" t="n"/>
      <c r="E220" s="9" t="n"/>
      <c r="F220" s="8" t="n"/>
      <c r="G220" s="9" t="n"/>
      <c r="H220" s="9" t="n"/>
      <c r="I220">
        <f>IF(A220="","",B220&amp;"|"&amp;(A220*1))</f>
        <v/>
      </c>
      <c r="J220">
        <f>IF(B220="",0,IF(COUNTIF('3.설계사'!$B$4:$B$303,B220)=0,1,0))</f>
        <v/>
      </c>
    </row>
    <row r="221">
      <c r="A221" s="8" t="n"/>
      <c r="B221" s="9" t="n"/>
      <c r="C221" s="9" t="n"/>
      <c r="D221" s="9" t="n"/>
      <c r="E221" s="9" t="n"/>
      <c r="F221" s="8" t="n"/>
      <c r="G221" s="9" t="n"/>
      <c r="H221" s="9" t="n"/>
      <c r="I221">
        <f>IF(A221="","",B221&amp;"|"&amp;(A221*1))</f>
        <v/>
      </c>
      <c r="J221">
        <f>IF(B221="",0,IF(COUNTIF('3.설계사'!$B$4:$B$303,B221)=0,1,0))</f>
        <v/>
      </c>
    </row>
    <row r="222">
      <c r="A222" s="8" t="n"/>
      <c r="B222" s="9" t="n"/>
      <c r="C222" s="9" t="n"/>
      <c r="D222" s="9" t="n"/>
      <c r="E222" s="9" t="n"/>
      <c r="F222" s="8" t="n"/>
      <c r="G222" s="9" t="n"/>
      <c r="H222" s="9" t="n"/>
      <c r="I222">
        <f>IF(A222="","",B222&amp;"|"&amp;(A222*1))</f>
        <v/>
      </c>
      <c r="J222">
        <f>IF(B222="",0,IF(COUNTIF('3.설계사'!$B$4:$B$303,B222)=0,1,0))</f>
        <v/>
      </c>
    </row>
    <row r="223">
      <c r="A223" s="8" t="n"/>
      <c r="B223" s="9" t="n"/>
      <c r="C223" s="9" t="n"/>
      <c r="D223" s="9" t="n"/>
      <c r="E223" s="9" t="n"/>
      <c r="F223" s="8" t="n"/>
      <c r="G223" s="9" t="n"/>
      <c r="H223" s="9" t="n"/>
      <c r="I223">
        <f>IF(A223="","",B223&amp;"|"&amp;(A223*1))</f>
        <v/>
      </c>
      <c r="J223">
        <f>IF(B223="",0,IF(COUNTIF('3.설계사'!$B$4:$B$303,B223)=0,1,0))</f>
        <v/>
      </c>
    </row>
    <row r="224">
      <c r="A224" s="8" t="n"/>
      <c r="B224" s="9" t="n"/>
      <c r="C224" s="9" t="n"/>
      <c r="D224" s="9" t="n"/>
      <c r="E224" s="9" t="n"/>
      <c r="F224" s="8" t="n"/>
      <c r="G224" s="9" t="n"/>
      <c r="H224" s="9" t="n"/>
      <c r="I224">
        <f>IF(A224="","",B224&amp;"|"&amp;(A224*1))</f>
        <v/>
      </c>
      <c r="J224">
        <f>IF(B224="",0,IF(COUNTIF('3.설계사'!$B$4:$B$303,B224)=0,1,0))</f>
        <v/>
      </c>
    </row>
    <row r="225">
      <c r="A225" s="8" t="n"/>
      <c r="B225" s="9" t="n"/>
      <c r="C225" s="9" t="n"/>
      <c r="D225" s="9" t="n"/>
      <c r="E225" s="9" t="n"/>
      <c r="F225" s="8" t="n"/>
      <c r="G225" s="9" t="n"/>
      <c r="H225" s="9" t="n"/>
      <c r="I225">
        <f>IF(A225="","",B225&amp;"|"&amp;(A225*1))</f>
        <v/>
      </c>
      <c r="J225">
        <f>IF(B225="",0,IF(COUNTIF('3.설계사'!$B$4:$B$303,B225)=0,1,0))</f>
        <v/>
      </c>
    </row>
    <row r="226">
      <c r="A226" s="8" t="n"/>
      <c r="B226" s="9" t="n"/>
      <c r="C226" s="9" t="n"/>
      <c r="D226" s="9" t="n"/>
      <c r="E226" s="9" t="n"/>
      <c r="F226" s="8" t="n"/>
      <c r="G226" s="9" t="n"/>
      <c r="H226" s="9" t="n"/>
      <c r="I226">
        <f>IF(A226="","",B226&amp;"|"&amp;(A226*1))</f>
        <v/>
      </c>
      <c r="J226">
        <f>IF(B226="",0,IF(COUNTIF('3.설계사'!$B$4:$B$303,B226)=0,1,0))</f>
        <v/>
      </c>
    </row>
    <row r="227">
      <c r="A227" s="8" t="n"/>
      <c r="B227" s="9" t="n"/>
      <c r="C227" s="9" t="n"/>
      <c r="D227" s="9" t="n"/>
      <c r="E227" s="9" t="n"/>
      <c r="F227" s="8" t="n"/>
      <c r="G227" s="9" t="n"/>
      <c r="H227" s="9" t="n"/>
      <c r="I227">
        <f>IF(A227="","",B227&amp;"|"&amp;(A227*1))</f>
        <v/>
      </c>
      <c r="J227">
        <f>IF(B227="",0,IF(COUNTIF('3.설계사'!$B$4:$B$303,B227)=0,1,0))</f>
        <v/>
      </c>
    </row>
    <row r="228">
      <c r="A228" s="8" t="n"/>
      <c r="B228" s="9" t="n"/>
      <c r="C228" s="9" t="n"/>
      <c r="D228" s="9" t="n"/>
      <c r="E228" s="9" t="n"/>
      <c r="F228" s="8" t="n"/>
      <c r="G228" s="9" t="n"/>
      <c r="H228" s="9" t="n"/>
      <c r="I228">
        <f>IF(A228="","",B228&amp;"|"&amp;(A228*1))</f>
        <v/>
      </c>
      <c r="J228">
        <f>IF(B228="",0,IF(COUNTIF('3.설계사'!$B$4:$B$303,B228)=0,1,0))</f>
        <v/>
      </c>
    </row>
    <row r="229">
      <c r="A229" s="8" t="n"/>
      <c r="B229" s="9" t="n"/>
      <c r="C229" s="9" t="n"/>
      <c r="D229" s="9" t="n"/>
      <c r="E229" s="9" t="n"/>
      <c r="F229" s="8" t="n"/>
      <c r="G229" s="9" t="n"/>
      <c r="H229" s="9" t="n"/>
      <c r="I229">
        <f>IF(A229="","",B229&amp;"|"&amp;(A229*1))</f>
        <v/>
      </c>
      <c r="J229">
        <f>IF(B229="",0,IF(COUNTIF('3.설계사'!$B$4:$B$303,B229)=0,1,0))</f>
        <v/>
      </c>
    </row>
    <row r="230">
      <c r="A230" s="8" t="n"/>
      <c r="B230" s="9" t="n"/>
      <c r="C230" s="9" t="n"/>
      <c r="D230" s="9" t="n"/>
      <c r="E230" s="9" t="n"/>
      <c r="F230" s="8" t="n"/>
      <c r="G230" s="9" t="n"/>
      <c r="H230" s="9" t="n"/>
      <c r="I230">
        <f>IF(A230="","",B230&amp;"|"&amp;(A230*1))</f>
        <v/>
      </c>
      <c r="J230">
        <f>IF(B230="",0,IF(COUNTIF('3.설계사'!$B$4:$B$303,B230)=0,1,0))</f>
        <v/>
      </c>
    </row>
    <row r="231">
      <c r="A231" s="8" t="n"/>
      <c r="B231" s="9" t="n"/>
      <c r="C231" s="9" t="n"/>
      <c r="D231" s="9" t="n"/>
      <c r="E231" s="9" t="n"/>
      <c r="F231" s="8" t="n"/>
      <c r="G231" s="9" t="n"/>
      <c r="H231" s="9" t="n"/>
      <c r="I231">
        <f>IF(A231="","",B231&amp;"|"&amp;(A231*1))</f>
        <v/>
      </c>
      <c r="J231">
        <f>IF(B231="",0,IF(COUNTIF('3.설계사'!$B$4:$B$303,B231)=0,1,0))</f>
        <v/>
      </c>
    </row>
    <row r="232">
      <c r="A232" s="8" t="n"/>
      <c r="B232" s="9" t="n"/>
      <c r="C232" s="9" t="n"/>
      <c r="D232" s="9" t="n"/>
      <c r="E232" s="9" t="n"/>
      <c r="F232" s="8" t="n"/>
      <c r="G232" s="9" t="n"/>
      <c r="H232" s="9" t="n"/>
      <c r="I232">
        <f>IF(A232="","",B232&amp;"|"&amp;(A232*1))</f>
        <v/>
      </c>
      <c r="J232">
        <f>IF(B232="",0,IF(COUNTIF('3.설계사'!$B$4:$B$303,B232)=0,1,0))</f>
        <v/>
      </c>
    </row>
    <row r="233">
      <c r="A233" s="8" t="n"/>
      <c r="B233" s="9" t="n"/>
      <c r="C233" s="9" t="n"/>
      <c r="D233" s="9" t="n"/>
      <c r="E233" s="9" t="n"/>
      <c r="F233" s="8" t="n"/>
      <c r="G233" s="9" t="n"/>
      <c r="H233" s="9" t="n"/>
      <c r="I233">
        <f>IF(A233="","",B233&amp;"|"&amp;(A233*1))</f>
        <v/>
      </c>
      <c r="J233">
        <f>IF(B233="",0,IF(COUNTIF('3.설계사'!$B$4:$B$303,B233)=0,1,0))</f>
        <v/>
      </c>
    </row>
    <row r="234">
      <c r="A234" s="8" t="n"/>
      <c r="B234" s="9" t="n"/>
      <c r="C234" s="9" t="n"/>
      <c r="D234" s="9" t="n"/>
      <c r="E234" s="9" t="n"/>
      <c r="F234" s="8" t="n"/>
      <c r="G234" s="9" t="n"/>
      <c r="H234" s="9" t="n"/>
      <c r="I234">
        <f>IF(A234="","",B234&amp;"|"&amp;(A234*1))</f>
        <v/>
      </c>
      <c r="J234">
        <f>IF(B234="",0,IF(COUNTIF('3.설계사'!$B$4:$B$303,B234)=0,1,0))</f>
        <v/>
      </c>
    </row>
    <row r="235">
      <c r="A235" s="8" t="n"/>
      <c r="B235" s="9" t="n"/>
      <c r="C235" s="9" t="n"/>
      <c r="D235" s="9" t="n"/>
      <c r="E235" s="9" t="n"/>
      <c r="F235" s="8" t="n"/>
      <c r="G235" s="9" t="n"/>
      <c r="H235" s="9" t="n"/>
      <c r="I235">
        <f>IF(A235="","",B235&amp;"|"&amp;(A235*1))</f>
        <v/>
      </c>
      <c r="J235">
        <f>IF(B235="",0,IF(COUNTIF('3.설계사'!$B$4:$B$303,B235)=0,1,0))</f>
        <v/>
      </c>
    </row>
    <row r="236">
      <c r="A236" s="8" t="n"/>
      <c r="B236" s="9" t="n"/>
      <c r="C236" s="9" t="n"/>
      <c r="D236" s="9" t="n"/>
      <c r="E236" s="9" t="n"/>
      <c r="F236" s="8" t="n"/>
      <c r="G236" s="9" t="n"/>
      <c r="H236" s="9" t="n"/>
      <c r="I236">
        <f>IF(A236="","",B236&amp;"|"&amp;(A236*1))</f>
        <v/>
      </c>
      <c r="J236">
        <f>IF(B236="",0,IF(COUNTIF('3.설계사'!$B$4:$B$303,B236)=0,1,0))</f>
        <v/>
      </c>
    </row>
    <row r="237">
      <c r="A237" s="8" t="n"/>
      <c r="B237" s="9" t="n"/>
      <c r="C237" s="9" t="n"/>
      <c r="D237" s="9" t="n"/>
      <c r="E237" s="9" t="n"/>
      <c r="F237" s="8" t="n"/>
      <c r="G237" s="9" t="n"/>
      <c r="H237" s="9" t="n"/>
      <c r="I237">
        <f>IF(A237="","",B237&amp;"|"&amp;(A237*1))</f>
        <v/>
      </c>
      <c r="J237">
        <f>IF(B237="",0,IF(COUNTIF('3.설계사'!$B$4:$B$303,B237)=0,1,0))</f>
        <v/>
      </c>
    </row>
    <row r="238">
      <c r="A238" s="8" t="n"/>
      <c r="B238" s="9" t="n"/>
      <c r="C238" s="9" t="n"/>
      <c r="D238" s="9" t="n"/>
      <c r="E238" s="9" t="n"/>
      <c r="F238" s="8" t="n"/>
      <c r="G238" s="9" t="n"/>
      <c r="H238" s="9" t="n"/>
      <c r="I238">
        <f>IF(A238="","",B238&amp;"|"&amp;(A238*1))</f>
        <v/>
      </c>
      <c r="J238">
        <f>IF(B238="",0,IF(COUNTIF('3.설계사'!$B$4:$B$303,B238)=0,1,0))</f>
        <v/>
      </c>
    </row>
    <row r="239">
      <c r="A239" s="8" t="n"/>
      <c r="B239" s="9" t="n"/>
      <c r="C239" s="9" t="n"/>
      <c r="D239" s="9" t="n"/>
      <c r="E239" s="9" t="n"/>
      <c r="F239" s="8" t="n"/>
      <c r="G239" s="9" t="n"/>
      <c r="H239" s="9" t="n"/>
      <c r="I239">
        <f>IF(A239="","",B239&amp;"|"&amp;(A239*1))</f>
        <v/>
      </c>
      <c r="J239">
        <f>IF(B239="",0,IF(COUNTIF('3.설계사'!$B$4:$B$303,B239)=0,1,0))</f>
        <v/>
      </c>
    </row>
    <row r="240">
      <c r="A240" s="8" t="n"/>
      <c r="B240" s="9" t="n"/>
      <c r="C240" s="9" t="n"/>
      <c r="D240" s="9" t="n"/>
      <c r="E240" s="9" t="n"/>
      <c r="F240" s="8" t="n"/>
      <c r="G240" s="9" t="n"/>
      <c r="H240" s="9" t="n"/>
      <c r="I240">
        <f>IF(A240="","",B240&amp;"|"&amp;(A240*1))</f>
        <v/>
      </c>
      <c r="J240">
        <f>IF(B240="",0,IF(COUNTIF('3.설계사'!$B$4:$B$303,B240)=0,1,0))</f>
        <v/>
      </c>
    </row>
    <row r="241">
      <c r="A241" s="8" t="n"/>
      <c r="B241" s="9" t="n"/>
      <c r="C241" s="9" t="n"/>
      <c r="D241" s="9" t="n"/>
      <c r="E241" s="9" t="n"/>
      <c r="F241" s="8" t="n"/>
      <c r="G241" s="9" t="n"/>
      <c r="H241" s="9" t="n"/>
      <c r="I241">
        <f>IF(A241="","",B241&amp;"|"&amp;(A241*1))</f>
        <v/>
      </c>
      <c r="J241">
        <f>IF(B241="",0,IF(COUNTIF('3.설계사'!$B$4:$B$303,B241)=0,1,0))</f>
        <v/>
      </c>
    </row>
    <row r="242">
      <c r="A242" s="8" t="n"/>
      <c r="B242" s="9" t="n"/>
      <c r="C242" s="9" t="n"/>
      <c r="D242" s="9" t="n"/>
      <c r="E242" s="9" t="n"/>
      <c r="F242" s="8" t="n"/>
      <c r="G242" s="9" t="n"/>
      <c r="H242" s="9" t="n"/>
      <c r="I242">
        <f>IF(A242="","",B242&amp;"|"&amp;(A242*1))</f>
        <v/>
      </c>
      <c r="J242">
        <f>IF(B242="",0,IF(COUNTIF('3.설계사'!$B$4:$B$303,B242)=0,1,0))</f>
        <v/>
      </c>
    </row>
    <row r="243">
      <c r="A243" s="8" t="n"/>
      <c r="B243" s="9" t="n"/>
      <c r="C243" s="9" t="n"/>
      <c r="D243" s="9" t="n"/>
      <c r="E243" s="9" t="n"/>
      <c r="F243" s="8" t="n"/>
      <c r="G243" s="9" t="n"/>
      <c r="H243" s="9" t="n"/>
      <c r="I243">
        <f>IF(A243="","",B243&amp;"|"&amp;(A243*1))</f>
        <v/>
      </c>
      <c r="J243">
        <f>IF(B243="",0,IF(COUNTIF('3.설계사'!$B$4:$B$303,B243)=0,1,0))</f>
        <v/>
      </c>
    </row>
    <row r="244">
      <c r="A244" s="8" t="n"/>
      <c r="B244" s="9" t="n"/>
      <c r="C244" s="9" t="n"/>
      <c r="D244" s="9" t="n"/>
      <c r="E244" s="9" t="n"/>
      <c r="F244" s="8" t="n"/>
      <c r="G244" s="9" t="n"/>
      <c r="H244" s="9" t="n"/>
      <c r="I244">
        <f>IF(A244="","",B244&amp;"|"&amp;(A244*1))</f>
        <v/>
      </c>
      <c r="J244">
        <f>IF(B244="",0,IF(COUNTIF('3.설계사'!$B$4:$B$303,B244)=0,1,0))</f>
        <v/>
      </c>
    </row>
    <row r="245">
      <c r="A245" s="8" t="n"/>
      <c r="B245" s="9" t="n"/>
      <c r="C245" s="9" t="n"/>
      <c r="D245" s="9" t="n"/>
      <c r="E245" s="9" t="n"/>
      <c r="F245" s="8" t="n"/>
      <c r="G245" s="9" t="n"/>
      <c r="H245" s="9" t="n"/>
      <c r="I245">
        <f>IF(A245="","",B245&amp;"|"&amp;(A245*1))</f>
        <v/>
      </c>
      <c r="J245">
        <f>IF(B245="",0,IF(COUNTIF('3.설계사'!$B$4:$B$303,B245)=0,1,0))</f>
        <v/>
      </c>
    </row>
    <row r="246">
      <c r="A246" s="8" t="n"/>
      <c r="B246" s="9" t="n"/>
      <c r="C246" s="9" t="n"/>
      <c r="D246" s="9" t="n"/>
      <c r="E246" s="9" t="n"/>
      <c r="F246" s="8" t="n"/>
      <c r="G246" s="9" t="n"/>
      <c r="H246" s="9" t="n"/>
      <c r="I246">
        <f>IF(A246="","",B246&amp;"|"&amp;(A246*1))</f>
        <v/>
      </c>
      <c r="J246">
        <f>IF(B246="",0,IF(COUNTIF('3.설계사'!$B$4:$B$303,B246)=0,1,0))</f>
        <v/>
      </c>
    </row>
    <row r="247">
      <c r="A247" s="8" t="n"/>
      <c r="B247" s="9" t="n"/>
      <c r="C247" s="9" t="n"/>
      <c r="D247" s="9" t="n"/>
      <c r="E247" s="9" t="n"/>
      <c r="F247" s="8" t="n"/>
      <c r="G247" s="9" t="n"/>
      <c r="H247" s="9" t="n"/>
      <c r="I247">
        <f>IF(A247="","",B247&amp;"|"&amp;(A247*1))</f>
        <v/>
      </c>
      <c r="J247">
        <f>IF(B247="",0,IF(COUNTIF('3.설계사'!$B$4:$B$303,B247)=0,1,0))</f>
        <v/>
      </c>
    </row>
    <row r="248">
      <c r="A248" s="8" t="n"/>
      <c r="B248" s="9" t="n"/>
      <c r="C248" s="9" t="n"/>
      <c r="D248" s="9" t="n"/>
      <c r="E248" s="9" t="n"/>
      <c r="F248" s="8" t="n"/>
      <c r="G248" s="9" t="n"/>
      <c r="H248" s="9" t="n"/>
      <c r="I248">
        <f>IF(A248="","",B248&amp;"|"&amp;(A248*1))</f>
        <v/>
      </c>
      <c r="J248">
        <f>IF(B248="",0,IF(COUNTIF('3.설계사'!$B$4:$B$303,B248)=0,1,0))</f>
        <v/>
      </c>
    </row>
    <row r="249">
      <c r="A249" s="8" t="n"/>
      <c r="B249" s="9" t="n"/>
      <c r="C249" s="9" t="n"/>
      <c r="D249" s="9" t="n"/>
      <c r="E249" s="9" t="n"/>
      <c r="F249" s="8" t="n"/>
      <c r="G249" s="9" t="n"/>
      <c r="H249" s="9" t="n"/>
      <c r="I249">
        <f>IF(A249="","",B249&amp;"|"&amp;(A249*1))</f>
        <v/>
      </c>
      <c r="J249">
        <f>IF(B249="",0,IF(COUNTIF('3.설계사'!$B$4:$B$303,B249)=0,1,0))</f>
        <v/>
      </c>
    </row>
    <row r="250">
      <c r="A250" s="8" t="n"/>
      <c r="B250" s="9" t="n"/>
      <c r="C250" s="9" t="n"/>
      <c r="D250" s="9" t="n"/>
      <c r="E250" s="9" t="n"/>
      <c r="F250" s="8" t="n"/>
      <c r="G250" s="9" t="n"/>
      <c r="H250" s="9" t="n"/>
      <c r="I250">
        <f>IF(A250="","",B250&amp;"|"&amp;(A250*1))</f>
        <v/>
      </c>
      <c r="J250">
        <f>IF(B250="",0,IF(COUNTIF('3.설계사'!$B$4:$B$303,B250)=0,1,0))</f>
        <v/>
      </c>
    </row>
    <row r="251">
      <c r="A251" s="8" t="n"/>
      <c r="B251" s="9" t="n"/>
      <c r="C251" s="9" t="n"/>
      <c r="D251" s="9" t="n"/>
      <c r="E251" s="9" t="n"/>
      <c r="F251" s="8" t="n"/>
      <c r="G251" s="9" t="n"/>
      <c r="H251" s="9" t="n"/>
      <c r="I251">
        <f>IF(A251="","",B251&amp;"|"&amp;(A251*1))</f>
        <v/>
      </c>
      <c r="J251">
        <f>IF(B251="",0,IF(COUNTIF('3.설계사'!$B$4:$B$303,B251)=0,1,0))</f>
        <v/>
      </c>
    </row>
    <row r="252">
      <c r="A252" s="8" t="n"/>
      <c r="B252" s="9" t="n"/>
      <c r="C252" s="9" t="n"/>
      <c r="D252" s="9" t="n"/>
      <c r="E252" s="9" t="n"/>
      <c r="F252" s="8" t="n"/>
      <c r="G252" s="9" t="n"/>
      <c r="H252" s="9" t="n"/>
      <c r="I252">
        <f>IF(A252="","",B252&amp;"|"&amp;(A252*1))</f>
        <v/>
      </c>
      <c r="J252">
        <f>IF(B252="",0,IF(COUNTIF('3.설계사'!$B$4:$B$303,B252)=0,1,0))</f>
        <v/>
      </c>
    </row>
    <row r="253">
      <c r="A253" s="8" t="n"/>
      <c r="B253" s="9" t="n"/>
      <c r="C253" s="9" t="n"/>
      <c r="D253" s="9" t="n"/>
      <c r="E253" s="9" t="n"/>
      <c r="F253" s="8" t="n"/>
      <c r="G253" s="9" t="n"/>
      <c r="H253" s="9" t="n"/>
      <c r="I253">
        <f>IF(A253="","",B253&amp;"|"&amp;(A253*1))</f>
        <v/>
      </c>
      <c r="J253">
        <f>IF(B253="",0,IF(COUNTIF('3.설계사'!$B$4:$B$303,B253)=0,1,0))</f>
        <v/>
      </c>
    </row>
    <row r="254">
      <c r="A254" s="8" t="n"/>
      <c r="B254" s="9" t="n"/>
      <c r="C254" s="9" t="n"/>
      <c r="D254" s="9" t="n"/>
      <c r="E254" s="9" t="n"/>
      <c r="F254" s="8" t="n"/>
      <c r="G254" s="9" t="n"/>
      <c r="H254" s="9" t="n"/>
      <c r="I254">
        <f>IF(A254="","",B254&amp;"|"&amp;(A254*1))</f>
        <v/>
      </c>
      <c r="J254">
        <f>IF(B254="",0,IF(COUNTIF('3.설계사'!$B$4:$B$303,B254)=0,1,0))</f>
        <v/>
      </c>
    </row>
    <row r="255">
      <c r="A255" s="8" t="n"/>
      <c r="B255" s="9" t="n"/>
      <c r="C255" s="9" t="n"/>
      <c r="D255" s="9" t="n"/>
      <c r="E255" s="9" t="n"/>
      <c r="F255" s="8" t="n"/>
      <c r="G255" s="9" t="n"/>
      <c r="H255" s="9" t="n"/>
      <c r="I255">
        <f>IF(A255="","",B255&amp;"|"&amp;(A255*1))</f>
        <v/>
      </c>
      <c r="J255">
        <f>IF(B255="",0,IF(COUNTIF('3.설계사'!$B$4:$B$303,B255)=0,1,0))</f>
        <v/>
      </c>
    </row>
    <row r="256">
      <c r="A256" s="8" t="n"/>
      <c r="B256" s="9" t="n"/>
      <c r="C256" s="9" t="n"/>
      <c r="D256" s="9" t="n"/>
      <c r="E256" s="9" t="n"/>
      <c r="F256" s="8" t="n"/>
      <c r="G256" s="9" t="n"/>
      <c r="H256" s="9" t="n"/>
      <c r="I256">
        <f>IF(A256="","",B256&amp;"|"&amp;(A256*1))</f>
        <v/>
      </c>
      <c r="J256">
        <f>IF(B256="",0,IF(COUNTIF('3.설계사'!$B$4:$B$303,B256)=0,1,0))</f>
        <v/>
      </c>
    </row>
    <row r="257">
      <c r="A257" s="8" t="n"/>
      <c r="B257" s="9" t="n"/>
      <c r="C257" s="9" t="n"/>
      <c r="D257" s="9" t="n"/>
      <c r="E257" s="9" t="n"/>
      <c r="F257" s="8" t="n"/>
      <c r="G257" s="9" t="n"/>
      <c r="H257" s="9" t="n"/>
      <c r="I257">
        <f>IF(A257="","",B257&amp;"|"&amp;(A257*1))</f>
        <v/>
      </c>
      <c r="J257">
        <f>IF(B257="",0,IF(COUNTIF('3.설계사'!$B$4:$B$303,B257)=0,1,0))</f>
        <v/>
      </c>
    </row>
    <row r="258">
      <c r="A258" s="8" t="n"/>
      <c r="B258" s="9" t="n"/>
      <c r="C258" s="9" t="n"/>
      <c r="D258" s="9" t="n"/>
      <c r="E258" s="9" t="n"/>
      <c r="F258" s="8" t="n"/>
      <c r="G258" s="9" t="n"/>
      <c r="H258" s="9" t="n"/>
      <c r="I258">
        <f>IF(A258="","",B258&amp;"|"&amp;(A258*1))</f>
        <v/>
      </c>
      <c r="J258">
        <f>IF(B258="",0,IF(COUNTIF('3.설계사'!$B$4:$B$303,B258)=0,1,0))</f>
        <v/>
      </c>
    </row>
    <row r="259">
      <c r="A259" s="8" t="n"/>
      <c r="B259" s="9" t="n"/>
      <c r="C259" s="9" t="n"/>
      <c r="D259" s="9" t="n"/>
      <c r="E259" s="9" t="n"/>
      <c r="F259" s="8" t="n"/>
      <c r="G259" s="9" t="n"/>
      <c r="H259" s="9" t="n"/>
      <c r="I259">
        <f>IF(A259="","",B259&amp;"|"&amp;(A259*1))</f>
        <v/>
      </c>
      <c r="J259">
        <f>IF(B259="",0,IF(COUNTIF('3.설계사'!$B$4:$B$303,B259)=0,1,0))</f>
        <v/>
      </c>
    </row>
    <row r="260">
      <c r="A260" s="8" t="n"/>
      <c r="B260" s="9" t="n"/>
      <c r="C260" s="9" t="n"/>
      <c r="D260" s="9" t="n"/>
      <c r="E260" s="9" t="n"/>
      <c r="F260" s="8" t="n"/>
      <c r="G260" s="9" t="n"/>
      <c r="H260" s="9" t="n"/>
      <c r="I260">
        <f>IF(A260="","",B260&amp;"|"&amp;(A260*1))</f>
        <v/>
      </c>
      <c r="J260">
        <f>IF(B260="",0,IF(COUNTIF('3.설계사'!$B$4:$B$303,B260)=0,1,0))</f>
        <v/>
      </c>
    </row>
    <row r="261">
      <c r="A261" s="8" t="n"/>
      <c r="B261" s="9" t="n"/>
      <c r="C261" s="9" t="n"/>
      <c r="D261" s="9" t="n"/>
      <c r="E261" s="9" t="n"/>
      <c r="F261" s="8" t="n"/>
      <c r="G261" s="9" t="n"/>
      <c r="H261" s="9" t="n"/>
      <c r="I261">
        <f>IF(A261="","",B261&amp;"|"&amp;(A261*1))</f>
        <v/>
      </c>
      <c r="J261">
        <f>IF(B261="",0,IF(COUNTIF('3.설계사'!$B$4:$B$303,B261)=0,1,0))</f>
        <v/>
      </c>
    </row>
    <row r="262">
      <c r="A262" s="8" t="n"/>
      <c r="B262" s="9" t="n"/>
      <c r="C262" s="9" t="n"/>
      <c r="D262" s="9" t="n"/>
      <c r="E262" s="9" t="n"/>
      <c r="F262" s="8" t="n"/>
      <c r="G262" s="9" t="n"/>
      <c r="H262" s="9" t="n"/>
      <c r="I262">
        <f>IF(A262="","",B262&amp;"|"&amp;(A262*1))</f>
        <v/>
      </c>
      <c r="J262">
        <f>IF(B262="",0,IF(COUNTIF('3.설계사'!$B$4:$B$303,B262)=0,1,0))</f>
        <v/>
      </c>
    </row>
    <row r="263">
      <c r="A263" s="8" t="n"/>
      <c r="B263" s="9" t="n"/>
      <c r="C263" s="9" t="n"/>
      <c r="D263" s="9" t="n"/>
      <c r="E263" s="9" t="n"/>
      <c r="F263" s="8" t="n"/>
      <c r="G263" s="9" t="n"/>
      <c r="H263" s="9" t="n"/>
      <c r="I263">
        <f>IF(A263="","",B263&amp;"|"&amp;(A263*1))</f>
        <v/>
      </c>
      <c r="J263">
        <f>IF(B263="",0,IF(COUNTIF('3.설계사'!$B$4:$B$303,B263)=0,1,0))</f>
        <v/>
      </c>
    </row>
    <row r="264">
      <c r="A264" s="8" t="n"/>
      <c r="B264" s="9" t="n"/>
      <c r="C264" s="9" t="n"/>
      <c r="D264" s="9" t="n"/>
      <c r="E264" s="9" t="n"/>
      <c r="F264" s="8" t="n"/>
      <c r="G264" s="9" t="n"/>
      <c r="H264" s="9" t="n"/>
      <c r="I264">
        <f>IF(A264="","",B264&amp;"|"&amp;(A264*1))</f>
        <v/>
      </c>
      <c r="J264">
        <f>IF(B264="",0,IF(COUNTIF('3.설계사'!$B$4:$B$303,B264)=0,1,0))</f>
        <v/>
      </c>
    </row>
    <row r="265">
      <c r="A265" s="8" t="n"/>
      <c r="B265" s="9" t="n"/>
      <c r="C265" s="9" t="n"/>
      <c r="D265" s="9" t="n"/>
      <c r="E265" s="9" t="n"/>
      <c r="F265" s="8" t="n"/>
      <c r="G265" s="9" t="n"/>
      <c r="H265" s="9" t="n"/>
      <c r="I265">
        <f>IF(A265="","",B265&amp;"|"&amp;(A265*1))</f>
        <v/>
      </c>
      <c r="J265">
        <f>IF(B265="",0,IF(COUNTIF('3.설계사'!$B$4:$B$303,B265)=0,1,0))</f>
        <v/>
      </c>
    </row>
    <row r="266">
      <c r="A266" s="8" t="n"/>
      <c r="B266" s="9" t="n"/>
      <c r="C266" s="9" t="n"/>
      <c r="D266" s="9" t="n"/>
      <c r="E266" s="9" t="n"/>
      <c r="F266" s="8" t="n"/>
      <c r="G266" s="9" t="n"/>
      <c r="H266" s="9" t="n"/>
      <c r="I266">
        <f>IF(A266="","",B266&amp;"|"&amp;(A266*1))</f>
        <v/>
      </c>
      <c r="J266">
        <f>IF(B266="",0,IF(COUNTIF('3.설계사'!$B$4:$B$303,B266)=0,1,0))</f>
        <v/>
      </c>
    </row>
    <row r="267">
      <c r="A267" s="8" t="n"/>
      <c r="B267" s="9" t="n"/>
      <c r="C267" s="9" t="n"/>
      <c r="D267" s="9" t="n"/>
      <c r="E267" s="9" t="n"/>
      <c r="F267" s="8" t="n"/>
      <c r="G267" s="9" t="n"/>
      <c r="H267" s="9" t="n"/>
      <c r="I267">
        <f>IF(A267="","",B267&amp;"|"&amp;(A267*1))</f>
        <v/>
      </c>
      <c r="J267">
        <f>IF(B267="",0,IF(COUNTIF('3.설계사'!$B$4:$B$303,B267)=0,1,0))</f>
        <v/>
      </c>
    </row>
    <row r="268">
      <c r="A268" s="8" t="n"/>
      <c r="B268" s="9" t="n"/>
      <c r="C268" s="9" t="n"/>
      <c r="D268" s="9" t="n"/>
      <c r="E268" s="9" t="n"/>
      <c r="F268" s="8" t="n"/>
      <c r="G268" s="9" t="n"/>
      <c r="H268" s="9" t="n"/>
      <c r="I268">
        <f>IF(A268="","",B268&amp;"|"&amp;(A268*1))</f>
        <v/>
      </c>
      <c r="J268">
        <f>IF(B268="",0,IF(COUNTIF('3.설계사'!$B$4:$B$303,B268)=0,1,0))</f>
        <v/>
      </c>
    </row>
    <row r="269">
      <c r="A269" s="8" t="n"/>
      <c r="B269" s="9" t="n"/>
      <c r="C269" s="9" t="n"/>
      <c r="D269" s="9" t="n"/>
      <c r="E269" s="9" t="n"/>
      <c r="F269" s="8" t="n"/>
      <c r="G269" s="9" t="n"/>
      <c r="H269" s="9" t="n"/>
      <c r="I269">
        <f>IF(A269="","",B269&amp;"|"&amp;(A269*1))</f>
        <v/>
      </c>
      <c r="J269">
        <f>IF(B269="",0,IF(COUNTIF('3.설계사'!$B$4:$B$303,B269)=0,1,0))</f>
        <v/>
      </c>
    </row>
    <row r="270">
      <c r="A270" s="8" t="n"/>
      <c r="B270" s="9" t="n"/>
      <c r="C270" s="9" t="n"/>
      <c r="D270" s="9" t="n"/>
      <c r="E270" s="9" t="n"/>
      <c r="F270" s="8" t="n"/>
      <c r="G270" s="9" t="n"/>
      <c r="H270" s="9" t="n"/>
      <c r="I270">
        <f>IF(A270="","",B270&amp;"|"&amp;(A270*1))</f>
        <v/>
      </c>
      <c r="J270">
        <f>IF(B270="",0,IF(COUNTIF('3.설계사'!$B$4:$B$303,B270)=0,1,0))</f>
        <v/>
      </c>
    </row>
    <row r="271">
      <c r="A271" s="8" t="n"/>
      <c r="B271" s="9" t="n"/>
      <c r="C271" s="9" t="n"/>
      <c r="D271" s="9" t="n"/>
      <c r="E271" s="9" t="n"/>
      <c r="F271" s="8" t="n"/>
      <c r="G271" s="9" t="n"/>
      <c r="H271" s="9" t="n"/>
      <c r="I271">
        <f>IF(A271="","",B271&amp;"|"&amp;(A271*1))</f>
        <v/>
      </c>
      <c r="J271">
        <f>IF(B271="",0,IF(COUNTIF('3.설계사'!$B$4:$B$303,B271)=0,1,0))</f>
        <v/>
      </c>
    </row>
    <row r="272">
      <c r="A272" s="8" t="n"/>
      <c r="B272" s="9" t="n"/>
      <c r="C272" s="9" t="n"/>
      <c r="D272" s="9" t="n"/>
      <c r="E272" s="9" t="n"/>
      <c r="F272" s="8" t="n"/>
      <c r="G272" s="9" t="n"/>
      <c r="H272" s="9" t="n"/>
      <c r="I272">
        <f>IF(A272="","",B272&amp;"|"&amp;(A272*1))</f>
        <v/>
      </c>
      <c r="J272">
        <f>IF(B272="",0,IF(COUNTIF('3.설계사'!$B$4:$B$303,B272)=0,1,0))</f>
        <v/>
      </c>
    </row>
    <row r="273">
      <c r="A273" s="8" t="n"/>
      <c r="B273" s="9" t="n"/>
      <c r="C273" s="9" t="n"/>
      <c r="D273" s="9" t="n"/>
      <c r="E273" s="9" t="n"/>
      <c r="F273" s="8" t="n"/>
      <c r="G273" s="9" t="n"/>
      <c r="H273" s="9" t="n"/>
      <c r="I273">
        <f>IF(A273="","",B273&amp;"|"&amp;(A273*1))</f>
        <v/>
      </c>
      <c r="J273">
        <f>IF(B273="",0,IF(COUNTIF('3.설계사'!$B$4:$B$303,B273)=0,1,0))</f>
        <v/>
      </c>
    </row>
    <row r="274">
      <c r="A274" s="8" t="n"/>
      <c r="B274" s="9" t="n"/>
      <c r="C274" s="9" t="n"/>
      <c r="D274" s="9" t="n"/>
      <c r="E274" s="9" t="n"/>
      <c r="F274" s="8" t="n"/>
      <c r="G274" s="9" t="n"/>
      <c r="H274" s="9" t="n"/>
      <c r="I274">
        <f>IF(A274="","",B274&amp;"|"&amp;(A274*1))</f>
        <v/>
      </c>
      <c r="J274">
        <f>IF(B274="",0,IF(COUNTIF('3.설계사'!$B$4:$B$303,B274)=0,1,0))</f>
        <v/>
      </c>
    </row>
    <row r="275">
      <c r="A275" s="8" t="n"/>
      <c r="B275" s="9" t="n"/>
      <c r="C275" s="9" t="n"/>
      <c r="D275" s="9" t="n"/>
      <c r="E275" s="9" t="n"/>
      <c r="F275" s="8" t="n"/>
      <c r="G275" s="9" t="n"/>
      <c r="H275" s="9" t="n"/>
      <c r="I275">
        <f>IF(A275="","",B275&amp;"|"&amp;(A275*1))</f>
        <v/>
      </c>
      <c r="J275">
        <f>IF(B275="",0,IF(COUNTIF('3.설계사'!$B$4:$B$303,B275)=0,1,0))</f>
        <v/>
      </c>
    </row>
    <row r="276">
      <c r="A276" s="8" t="n"/>
      <c r="B276" s="9" t="n"/>
      <c r="C276" s="9" t="n"/>
      <c r="D276" s="9" t="n"/>
      <c r="E276" s="9" t="n"/>
      <c r="F276" s="8" t="n"/>
      <c r="G276" s="9" t="n"/>
      <c r="H276" s="9" t="n"/>
      <c r="I276">
        <f>IF(A276="","",B276&amp;"|"&amp;(A276*1))</f>
        <v/>
      </c>
      <c r="J276">
        <f>IF(B276="",0,IF(COUNTIF('3.설계사'!$B$4:$B$303,B276)=0,1,0))</f>
        <v/>
      </c>
    </row>
    <row r="277">
      <c r="A277" s="8" t="n"/>
      <c r="B277" s="9" t="n"/>
      <c r="C277" s="9" t="n"/>
      <c r="D277" s="9" t="n"/>
      <c r="E277" s="9" t="n"/>
      <c r="F277" s="8" t="n"/>
      <c r="G277" s="9" t="n"/>
      <c r="H277" s="9" t="n"/>
      <c r="I277">
        <f>IF(A277="","",B277&amp;"|"&amp;(A277*1))</f>
        <v/>
      </c>
      <c r="J277">
        <f>IF(B277="",0,IF(COUNTIF('3.설계사'!$B$4:$B$303,B277)=0,1,0))</f>
        <v/>
      </c>
    </row>
    <row r="278">
      <c r="A278" s="8" t="n"/>
      <c r="B278" s="9" t="n"/>
      <c r="C278" s="9" t="n"/>
      <c r="D278" s="9" t="n"/>
      <c r="E278" s="9" t="n"/>
      <c r="F278" s="8" t="n"/>
      <c r="G278" s="9" t="n"/>
      <c r="H278" s="9" t="n"/>
      <c r="I278">
        <f>IF(A278="","",B278&amp;"|"&amp;(A278*1))</f>
        <v/>
      </c>
      <c r="J278">
        <f>IF(B278="",0,IF(COUNTIF('3.설계사'!$B$4:$B$303,B278)=0,1,0))</f>
        <v/>
      </c>
    </row>
    <row r="279">
      <c r="A279" s="8" t="n"/>
      <c r="B279" s="9" t="n"/>
      <c r="C279" s="9" t="n"/>
      <c r="D279" s="9" t="n"/>
      <c r="E279" s="9" t="n"/>
      <c r="F279" s="8" t="n"/>
      <c r="G279" s="9" t="n"/>
      <c r="H279" s="9" t="n"/>
      <c r="I279">
        <f>IF(A279="","",B279&amp;"|"&amp;(A279*1))</f>
        <v/>
      </c>
      <c r="J279">
        <f>IF(B279="",0,IF(COUNTIF('3.설계사'!$B$4:$B$303,B279)=0,1,0))</f>
        <v/>
      </c>
    </row>
    <row r="280">
      <c r="A280" s="8" t="n"/>
      <c r="B280" s="9" t="n"/>
      <c r="C280" s="9" t="n"/>
      <c r="D280" s="9" t="n"/>
      <c r="E280" s="9" t="n"/>
      <c r="F280" s="8" t="n"/>
      <c r="G280" s="9" t="n"/>
      <c r="H280" s="9" t="n"/>
      <c r="I280">
        <f>IF(A280="","",B280&amp;"|"&amp;(A280*1))</f>
        <v/>
      </c>
      <c r="J280">
        <f>IF(B280="",0,IF(COUNTIF('3.설계사'!$B$4:$B$303,B280)=0,1,0))</f>
        <v/>
      </c>
    </row>
    <row r="281">
      <c r="A281" s="8" t="n"/>
      <c r="B281" s="9" t="n"/>
      <c r="C281" s="9" t="n"/>
      <c r="D281" s="9" t="n"/>
      <c r="E281" s="9" t="n"/>
      <c r="F281" s="8" t="n"/>
      <c r="G281" s="9" t="n"/>
      <c r="H281" s="9" t="n"/>
      <c r="I281">
        <f>IF(A281="","",B281&amp;"|"&amp;(A281*1))</f>
        <v/>
      </c>
      <c r="J281">
        <f>IF(B281="",0,IF(COUNTIF('3.설계사'!$B$4:$B$303,B281)=0,1,0))</f>
        <v/>
      </c>
    </row>
    <row r="282">
      <c r="A282" s="8" t="n"/>
      <c r="B282" s="9" t="n"/>
      <c r="C282" s="9" t="n"/>
      <c r="D282" s="9" t="n"/>
      <c r="E282" s="9" t="n"/>
      <c r="F282" s="8" t="n"/>
      <c r="G282" s="9" t="n"/>
      <c r="H282" s="9" t="n"/>
      <c r="I282">
        <f>IF(A282="","",B282&amp;"|"&amp;(A282*1))</f>
        <v/>
      </c>
      <c r="J282">
        <f>IF(B282="",0,IF(COUNTIF('3.설계사'!$B$4:$B$303,B282)=0,1,0))</f>
        <v/>
      </c>
    </row>
    <row r="283">
      <c r="A283" s="8" t="n"/>
      <c r="B283" s="9" t="n"/>
      <c r="C283" s="9" t="n"/>
      <c r="D283" s="9" t="n"/>
      <c r="E283" s="9" t="n"/>
      <c r="F283" s="8" t="n"/>
      <c r="G283" s="9" t="n"/>
      <c r="H283" s="9" t="n"/>
      <c r="I283">
        <f>IF(A283="","",B283&amp;"|"&amp;(A283*1))</f>
        <v/>
      </c>
      <c r="J283">
        <f>IF(B283="",0,IF(COUNTIF('3.설계사'!$B$4:$B$303,B283)=0,1,0))</f>
        <v/>
      </c>
    </row>
    <row r="284">
      <c r="A284" s="8" t="n"/>
      <c r="B284" s="9" t="n"/>
      <c r="C284" s="9" t="n"/>
      <c r="D284" s="9" t="n"/>
      <c r="E284" s="9" t="n"/>
      <c r="F284" s="8" t="n"/>
      <c r="G284" s="9" t="n"/>
      <c r="H284" s="9" t="n"/>
      <c r="I284">
        <f>IF(A284="","",B284&amp;"|"&amp;(A284*1))</f>
        <v/>
      </c>
      <c r="J284">
        <f>IF(B284="",0,IF(COUNTIF('3.설계사'!$B$4:$B$303,B284)=0,1,0))</f>
        <v/>
      </c>
    </row>
    <row r="285">
      <c r="A285" s="8" t="n"/>
      <c r="B285" s="9" t="n"/>
      <c r="C285" s="9" t="n"/>
      <c r="D285" s="9" t="n"/>
      <c r="E285" s="9" t="n"/>
      <c r="F285" s="8" t="n"/>
      <c r="G285" s="9" t="n"/>
      <c r="H285" s="9" t="n"/>
      <c r="I285">
        <f>IF(A285="","",B285&amp;"|"&amp;(A285*1))</f>
        <v/>
      </c>
      <c r="J285">
        <f>IF(B285="",0,IF(COUNTIF('3.설계사'!$B$4:$B$303,B285)=0,1,0))</f>
        <v/>
      </c>
    </row>
    <row r="286">
      <c r="A286" s="8" t="n"/>
      <c r="B286" s="9" t="n"/>
      <c r="C286" s="9" t="n"/>
      <c r="D286" s="9" t="n"/>
      <c r="E286" s="9" t="n"/>
      <c r="F286" s="8" t="n"/>
      <c r="G286" s="9" t="n"/>
      <c r="H286" s="9" t="n"/>
      <c r="I286">
        <f>IF(A286="","",B286&amp;"|"&amp;(A286*1))</f>
        <v/>
      </c>
      <c r="J286">
        <f>IF(B286="",0,IF(COUNTIF('3.설계사'!$B$4:$B$303,B286)=0,1,0))</f>
        <v/>
      </c>
    </row>
    <row r="287">
      <c r="A287" s="8" t="n"/>
      <c r="B287" s="9" t="n"/>
      <c r="C287" s="9" t="n"/>
      <c r="D287" s="9" t="n"/>
      <c r="E287" s="9" t="n"/>
      <c r="F287" s="8" t="n"/>
      <c r="G287" s="9" t="n"/>
      <c r="H287" s="9" t="n"/>
      <c r="I287">
        <f>IF(A287="","",B287&amp;"|"&amp;(A287*1))</f>
        <v/>
      </c>
      <c r="J287">
        <f>IF(B287="",0,IF(COUNTIF('3.설계사'!$B$4:$B$303,B287)=0,1,0))</f>
        <v/>
      </c>
    </row>
    <row r="288">
      <c r="A288" s="8" t="n"/>
      <c r="B288" s="9" t="n"/>
      <c r="C288" s="9" t="n"/>
      <c r="D288" s="9" t="n"/>
      <c r="E288" s="9" t="n"/>
      <c r="F288" s="8" t="n"/>
      <c r="G288" s="9" t="n"/>
      <c r="H288" s="9" t="n"/>
      <c r="I288">
        <f>IF(A288="","",B288&amp;"|"&amp;(A288*1))</f>
        <v/>
      </c>
      <c r="J288">
        <f>IF(B288="",0,IF(COUNTIF('3.설계사'!$B$4:$B$303,B288)=0,1,0))</f>
        <v/>
      </c>
    </row>
    <row r="289">
      <c r="A289" s="8" t="n"/>
      <c r="B289" s="9" t="n"/>
      <c r="C289" s="9" t="n"/>
      <c r="D289" s="9" t="n"/>
      <c r="E289" s="9" t="n"/>
      <c r="F289" s="8" t="n"/>
      <c r="G289" s="9" t="n"/>
      <c r="H289" s="9" t="n"/>
      <c r="I289">
        <f>IF(A289="","",B289&amp;"|"&amp;(A289*1))</f>
        <v/>
      </c>
      <c r="J289">
        <f>IF(B289="",0,IF(COUNTIF('3.설계사'!$B$4:$B$303,B289)=0,1,0))</f>
        <v/>
      </c>
    </row>
    <row r="290">
      <c r="A290" s="8" t="n"/>
      <c r="B290" s="9" t="n"/>
      <c r="C290" s="9" t="n"/>
      <c r="D290" s="9" t="n"/>
      <c r="E290" s="9" t="n"/>
      <c r="F290" s="8" t="n"/>
      <c r="G290" s="9" t="n"/>
      <c r="H290" s="9" t="n"/>
      <c r="I290">
        <f>IF(A290="","",B290&amp;"|"&amp;(A290*1))</f>
        <v/>
      </c>
      <c r="J290">
        <f>IF(B290="",0,IF(COUNTIF('3.설계사'!$B$4:$B$303,B290)=0,1,0))</f>
        <v/>
      </c>
    </row>
    <row r="291">
      <c r="A291" s="8" t="n"/>
      <c r="B291" s="9" t="n"/>
      <c r="C291" s="9" t="n"/>
      <c r="D291" s="9" t="n"/>
      <c r="E291" s="9" t="n"/>
      <c r="F291" s="8" t="n"/>
      <c r="G291" s="9" t="n"/>
      <c r="H291" s="9" t="n"/>
      <c r="I291">
        <f>IF(A291="","",B291&amp;"|"&amp;(A291*1))</f>
        <v/>
      </c>
      <c r="J291">
        <f>IF(B291="",0,IF(COUNTIF('3.설계사'!$B$4:$B$303,B291)=0,1,0))</f>
        <v/>
      </c>
    </row>
    <row r="292">
      <c r="A292" s="8" t="n"/>
      <c r="B292" s="9" t="n"/>
      <c r="C292" s="9" t="n"/>
      <c r="D292" s="9" t="n"/>
      <c r="E292" s="9" t="n"/>
      <c r="F292" s="8" t="n"/>
      <c r="G292" s="9" t="n"/>
      <c r="H292" s="9" t="n"/>
      <c r="I292">
        <f>IF(A292="","",B292&amp;"|"&amp;(A292*1))</f>
        <v/>
      </c>
      <c r="J292">
        <f>IF(B292="",0,IF(COUNTIF('3.설계사'!$B$4:$B$303,B292)=0,1,0))</f>
        <v/>
      </c>
    </row>
    <row r="293">
      <c r="A293" s="8" t="n"/>
      <c r="B293" s="9" t="n"/>
      <c r="C293" s="9" t="n"/>
      <c r="D293" s="9" t="n"/>
      <c r="E293" s="9" t="n"/>
      <c r="F293" s="8" t="n"/>
      <c r="G293" s="9" t="n"/>
      <c r="H293" s="9" t="n"/>
      <c r="I293">
        <f>IF(A293="","",B293&amp;"|"&amp;(A293*1))</f>
        <v/>
      </c>
      <c r="J293">
        <f>IF(B293="",0,IF(COUNTIF('3.설계사'!$B$4:$B$303,B293)=0,1,0))</f>
        <v/>
      </c>
    </row>
    <row r="294">
      <c r="A294" s="8" t="n"/>
      <c r="B294" s="9" t="n"/>
      <c r="C294" s="9" t="n"/>
      <c r="D294" s="9" t="n"/>
      <c r="E294" s="9" t="n"/>
      <c r="F294" s="8" t="n"/>
      <c r="G294" s="9" t="n"/>
      <c r="H294" s="9" t="n"/>
      <c r="I294">
        <f>IF(A294="","",B294&amp;"|"&amp;(A294*1))</f>
        <v/>
      </c>
      <c r="J294">
        <f>IF(B294="",0,IF(COUNTIF('3.설계사'!$B$4:$B$303,B294)=0,1,0))</f>
        <v/>
      </c>
    </row>
    <row r="295">
      <c r="A295" s="8" t="n"/>
      <c r="B295" s="9" t="n"/>
      <c r="C295" s="9" t="n"/>
      <c r="D295" s="9" t="n"/>
      <c r="E295" s="9" t="n"/>
      <c r="F295" s="8" t="n"/>
      <c r="G295" s="9" t="n"/>
      <c r="H295" s="9" t="n"/>
      <c r="I295">
        <f>IF(A295="","",B295&amp;"|"&amp;(A295*1))</f>
        <v/>
      </c>
      <c r="J295">
        <f>IF(B295="",0,IF(COUNTIF('3.설계사'!$B$4:$B$303,B295)=0,1,0))</f>
        <v/>
      </c>
    </row>
    <row r="296">
      <c r="A296" s="8" t="n"/>
      <c r="B296" s="9" t="n"/>
      <c r="C296" s="9" t="n"/>
      <c r="D296" s="9" t="n"/>
      <c r="E296" s="9" t="n"/>
      <c r="F296" s="8" t="n"/>
      <c r="G296" s="9" t="n"/>
      <c r="H296" s="9" t="n"/>
      <c r="I296">
        <f>IF(A296="","",B296&amp;"|"&amp;(A296*1))</f>
        <v/>
      </c>
      <c r="J296">
        <f>IF(B296="",0,IF(COUNTIF('3.설계사'!$B$4:$B$303,B296)=0,1,0))</f>
        <v/>
      </c>
    </row>
    <row r="297">
      <c r="A297" s="8" t="n"/>
      <c r="B297" s="9" t="n"/>
      <c r="C297" s="9" t="n"/>
      <c r="D297" s="9" t="n"/>
      <c r="E297" s="9" t="n"/>
      <c r="F297" s="8" t="n"/>
      <c r="G297" s="9" t="n"/>
      <c r="H297" s="9" t="n"/>
      <c r="I297">
        <f>IF(A297="","",B297&amp;"|"&amp;(A297*1))</f>
        <v/>
      </c>
      <c r="J297">
        <f>IF(B297="",0,IF(COUNTIF('3.설계사'!$B$4:$B$303,B297)=0,1,0))</f>
        <v/>
      </c>
    </row>
    <row r="298">
      <c r="A298" s="8" t="n"/>
      <c r="B298" s="9" t="n"/>
      <c r="C298" s="9" t="n"/>
      <c r="D298" s="9" t="n"/>
      <c r="E298" s="9" t="n"/>
      <c r="F298" s="8" t="n"/>
      <c r="G298" s="9" t="n"/>
      <c r="H298" s="9" t="n"/>
      <c r="I298">
        <f>IF(A298="","",B298&amp;"|"&amp;(A298*1))</f>
        <v/>
      </c>
      <c r="J298">
        <f>IF(B298="",0,IF(COUNTIF('3.설계사'!$B$4:$B$303,B298)=0,1,0))</f>
        <v/>
      </c>
    </row>
    <row r="299">
      <c r="A299" s="8" t="n"/>
      <c r="B299" s="9" t="n"/>
      <c r="C299" s="9" t="n"/>
      <c r="D299" s="9" t="n"/>
      <c r="E299" s="9" t="n"/>
      <c r="F299" s="8" t="n"/>
      <c r="G299" s="9" t="n"/>
      <c r="H299" s="9" t="n"/>
      <c r="I299">
        <f>IF(A299="","",B299&amp;"|"&amp;(A299*1))</f>
        <v/>
      </c>
      <c r="J299">
        <f>IF(B299="",0,IF(COUNTIF('3.설계사'!$B$4:$B$303,B299)=0,1,0))</f>
        <v/>
      </c>
    </row>
    <row r="300">
      <c r="A300" s="8" t="n"/>
      <c r="B300" s="9" t="n"/>
      <c r="C300" s="9" t="n"/>
      <c r="D300" s="9" t="n"/>
      <c r="E300" s="9" t="n"/>
      <c r="F300" s="8" t="n"/>
      <c r="G300" s="9" t="n"/>
      <c r="H300" s="9" t="n"/>
      <c r="I300">
        <f>IF(A300="","",B300&amp;"|"&amp;(A300*1))</f>
        <v/>
      </c>
      <c r="J300">
        <f>IF(B300="",0,IF(COUNTIF('3.설계사'!$B$4:$B$303,B300)=0,1,0))</f>
        <v/>
      </c>
    </row>
    <row r="301">
      <c r="A301" s="8" t="n"/>
      <c r="B301" s="9" t="n"/>
      <c r="C301" s="9" t="n"/>
      <c r="D301" s="9" t="n"/>
      <c r="E301" s="9" t="n"/>
      <c r="F301" s="8" t="n"/>
      <c r="G301" s="9" t="n"/>
      <c r="H301" s="9" t="n"/>
      <c r="I301">
        <f>IF(A301="","",B301&amp;"|"&amp;(A301*1))</f>
        <v/>
      </c>
      <c r="J301">
        <f>IF(B301="",0,IF(COUNTIF('3.설계사'!$B$4:$B$303,B301)=0,1,0))</f>
        <v/>
      </c>
    </row>
    <row r="302">
      <c r="A302" s="8" t="n"/>
      <c r="B302" s="9" t="n"/>
      <c r="C302" s="9" t="n"/>
      <c r="D302" s="9" t="n"/>
      <c r="E302" s="9" t="n"/>
      <c r="F302" s="8" t="n"/>
      <c r="G302" s="9" t="n"/>
      <c r="H302" s="9" t="n"/>
      <c r="I302">
        <f>IF(A302="","",B302&amp;"|"&amp;(A302*1))</f>
        <v/>
      </c>
      <c r="J302">
        <f>IF(B302="",0,IF(COUNTIF('3.설계사'!$B$4:$B$303,B302)=0,1,0))</f>
        <v/>
      </c>
    </row>
    <row r="303">
      <c r="A303" s="8" t="n"/>
      <c r="B303" s="9" t="n"/>
      <c r="C303" s="9" t="n"/>
      <c r="D303" s="9" t="n"/>
      <c r="E303" s="9" t="n"/>
      <c r="F303" s="8" t="n"/>
      <c r="G303" s="9" t="n"/>
      <c r="H303" s="9" t="n"/>
      <c r="I303">
        <f>IF(A303="","",B303&amp;"|"&amp;(A303*1))</f>
        <v/>
      </c>
      <c r="J303">
        <f>IF(B303="",0,IF(COUNTIF('3.설계사'!$B$4:$B$303,B303)=0,1,0))</f>
        <v/>
      </c>
    </row>
    <row r="304">
      <c r="A304" s="8" t="n"/>
      <c r="B304" s="9" t="n"/>
      <c r="C304" s="9" t="n"/>
      <c r="D304" s="9" t="n"/>
      <c r="E304" s="9" t="n"/>
      <c r="F304" s="8" t="n"/>
      <c r="G304" s="9" t="n"/>
      <c r="H304" s="9" t="n"/>
      <c r="I304">
        <f>IF(A304="","",B304&amp;"|"&amp;(A304*1))</f>
        <v/>
      </c>
      <c r="J304">
        <f>IF(B304="",0,IF(COUNTIF('3.설계사'!$B$4:$B$303,B304)=0,1,0))</f>
        <v/>
      </c>
    </row>
    <row r="305">
      <c r="A305" s="8" t="n"/>
      <c r="B305" s="9" t="n"/>
      <c r="C305" s="9" t="n"/>
      <c r="D305" s="9" t="n"/>
      <c r="E305" s="9" t="n"/>
      <c r="F305" s="8" t="n"/>
      <c r="G305" s="9" t="n"/>
      <c r="H305" s="9" t="n"/>
      <c r="I305">
        <f>IF(A305="","",B305&amp;"|"&amp;(A305*1))</f>
        <v/>
      </c>
      <c r="J305">
        <f>IF(B305="",0,IF(COUNTIF('3.설계사'!$B$4:$B$303,B305)=0,1,0))</f>
        <v/>
      </c>
    </row>
    <row r="306">
      <c r="A306" s="8" t="n"/>
      <c r="B306" s="9" t="n"/>
      <c r="C306" s="9" t="n"/>
      <c r="D306" s="9" t="n"/>
      <c r="E306" s="9" t="n"/>
      <c r="F306" s="8" t="n"/>
      <c r="G306" s="9" t="n"/>
      <c r="H306" s="9" t="n"/>
      <c r="I306">
        <f>IF(A306="","",B306&amp;"|"&amp;(A306*1))</f>
        <v/>
      </c>
      <c r="J306">
        <f>IF(B306="",0,IF(COUNTIF('3.설계사'!$B$4:$B$303,B306)=0,1,0))</f>
        <v/>
      </c>
    </row>
    <row r="307">
      <c r="A307" s="8" t="n"/>
      <c r="B307" s="9" t="n"/>
      <c r="C307" s="9" t="n"/>
      <c r="D307" s="9" t="n"/>
      <c r="E307" s="9" t="n"/>
      <c r="F307" s="8" t="n"/>
      <c r="G307" s="9" t="n"/>
      <c r="H307" s="9" t="n"/>
      <c r="I307">
        <f>IF(A307="","",B307&amp;"|"&amp;(A307*1))</f>
        <v/>
      </c>
      <c r="J307">
        <f>IF(B307="",0,IF(COUNTIF('3.설계사'!$B$4:$B$303,B307)=0,1,0))</f>
        <v/>
      </c>
    </row>
    <row r="308">
      <c r="A308" s="8" t="n"/>
      <c r="B308" s="9" t="n"/>
      <c r="C308" s="9" t="n"/>
      <c r="D308" s="9" t="n"/>
      <c r="E308" s="9" t="n"/>
      <c r="F308" s="8" t="n"/>
      <c r="G308" s="9" t="n"/>
      <c r="H308" s="9" t="n"/>
      <c r="I308">
        <f>IF(A308="","",B308&amp;"|"&amp;(A308*1))</f>
        <v/>
      </c>
      <c r="J308">
        <f>IF(B308="",0,IF(COUNTIF('3.설계사'!$B$4:$B$303,B308)=0,1,0))</f>
        <v/>
      </c>
    </row>
    <row r="309">
      <c r="A309" s="8" t="n"/>
      <c r="B309" s="9" t="n"/>
      <c r="C309" s="9" t="n"/>
      <c r="D309" s="9" t="n"/>
      <c r="E309" s="9" t="n"/>
      <c r="F309" s="8" t="n"/>
      <c r="G309" s="9" t="n"/>
      <c r="H309" s="9" t="n"/>
      <c r="I309">
        <f>IF(A309="","",B309&amp;"|"&amp;(A309*1))</f>
        <v/>
      </c>
      <c r="J309">
        <f>IF(B309="",0,IF(COUNTIF('3.설계사'!$B$4:$B$303,B309)=0,1,0))</f>
        <v/>
      </c>
    </row>
    <row r="310">
      <c r="A310" s="8" t="n"/>
      <c r="B310" s="9" t="n"/>
      <c r="C310" s="9" t="n"/>
      <c r="D310" s="9" t="n"/>
      <c r="E310" s="9" t="n"/>
      <c r="F310" s="8" t="n"/>
      <c r="G310" s="9" t="n"/>
      <c r="H310" s="9" t="n"/>
      <c r="I310">
        <f>IF(A310="","",B310&amp;"|"&amp;(A310*1))</f>
        <v/>
      </c>
      <c r="J310">
        <f>IF(B310="",0,IF(COUNTIF('3.설계사'!$B$4:$B$303,B310)=0,1,0))</f>
        <v/>
      </c>
    </row>
    <row r="311">
      <c r="A311" s="8" t="n"/>
      <c r="B311" s="9" t="n"/>
      <c r="C311" s="9" t="n"/>
      <c r="D311" s="9" t="n"/>
      <c r="E311" s="9" t="n"/>
      <c r="F311" s="8" t="n"/>
      <c r="G311" s="9" t="n"/>
      <c r="H311" s="9" t="n"/>
      <c r="I311">
        <f>IF(A311="","",B311&amp;"|"&amp;(A311*1))</f>
        <v/>
      </c>
      <c r="J311">
        <f>IF(B311="",0,IF(COUNTIF('3.설계사'!$B$4:$B$303,B311)=0,1,0))</f>
        <v/>
      </c>
    </row>
    <row r="312">
      <c r="A312" s="8" t="n"/>
      <c r="B312" s="9" t="n"/>
      <c r="C312" s="9" t="n"/>
      <c r="D312" s="9" t="n"/>
      <c r="E312" s="9" t="n"/>
      <c r="F312" s="8" t="n"/>
      <c r="G312" s="9" t="n"/>
      <c r="H312" s="9" t="n"/>
      <c r="I312">
        <f>IF(A312="","",B312&amp;"|"&amp;(A312*1))</f>
        <v/>
      </c>
      <c r="J312">
        <f>IF(B312="",0,IF(COUNTIF('3.설계사'!$B$4:$B$303,B312)=0,1,0))</f>
        <v/>
      </c>
    </row>
    <row r="313">
      <c r="A313" s="8" t="n"/>
      <c r="B313" s="9" t="n"/>
      <c r="C313" s="9" t="n"/>
      <c r="D313" s="9" t="n"/>
      <c r="E313" s="9" t="n"/>
      <c r="F313" s="8" t="n"/>
      <c r="G313" s="9" t="n"/>
      <c r="H313" s="9" t="n"/>
      <c r="I313">
        <f>IF(A313="","",B313&amp;"|"&amp;(A313*1))</f>
        <v/>
      </c>
      <c r="J313">
        <f>IF(B313="",0,IF(COUNTIF('3.설계사'!$B$4:$B$303,B313)=0,1,0))</f>
        <v/>
      </c>
    </row>
    <row r="314">
      <c r="A314" s="8" t="n"/>
      <c r="B314" s="9" t="n"/>
      <c r="C314" s="9" t="n"/>
      <c r="D314" s="9" t="n"/>
      <c r="E314" s="9" t="n"/>
      <c r="F314" s="8" t="n"/>
      <c r="G314" s="9" t="n"/>
      <c r="H314" s="9" t="n"/>
      <c r="I314">
        <f>IF(A314="","",B314&amp;"|"&amp;(A314*1))</f>
        <v/>
      </c>
      <c r="J314">
        <f>IF(B314="",0,IF(COUNTIF('3.설계사'!$B$4:$B$303,B314)=0,1,0))</f>
        <v/>
      </c>
    </row>
    <row r="315">
      <c r="A315" s="8" t="n"/>
      <c r="B315" s="9" t="n"/>
      <c r="C315" s="9" t="n"/>
      <c r="D315" s="9" t="n"/>
      <c r="E315" s="9" t="n"/>
      <c r="F315" s="8" t="n"/>
      <c r="G315" s="9" t="n"/>
      <c r="H315" s="9" t="n"/>
      <c r="I315">
        <f>IF(A315="","",B315&amp;"|"&amp;(A315*1))</f>
        <v/>
      </c>
      <c r="J315">
        <f>IF(B315="",0,IF(COUNTIF('3.설계사'!$B$4:$B$303,B315)=0,1,0))</f>
        <v/>
      </c>
    </row>
    <row r="316">
      <c r="A316" s="8" t="n"/>
      <c r="B316" s="9" t="n"/>
      <c r="C316" s="9" t="n"/>
      <c r="D316" s="9" t="n"/>
      <c r="E316" s="9" t="n"/>
      <c r="F316" s="8" t="n"/>
      <c r="G316" s="9" t="n"/>
      <c r="H316" s="9" t="n"/>
      <c r="I316">
        <f>IF(A316="","",B316&amp;"|"&amp;(A316*1))</f>
        <v/>
      </c>
      <c r="J316">
        <f>IF(B316="",0,IF(COUNTIF('3.설계사'!$B$4:$B$303,B316)=0,1,0))</f>
        <v/>
      </c>
    </row>
    <row r="317">
      <c r="A317" s="8" t="n"/>
      <c r="B317" s="9" t="n"/>
      <c r="C317" s="9" t="n"/>
      <c r="D317" s="9" t="n"/>
      <c r="E317" s="9" t="n"/>
      <c r="F317" s="8" t="n"/>
      <c r="G317" s="9" t="n"/>
      <c r="H317" s="9" t="n"/>
      <c r="I317">
        <f>IF(A317="","",B317&amp;"|"&amp;(A317*1))</f>
        <v/>
      </c>
      <c r="J317">
        <f>IF(B317="",0,IF(COUNTIF('3.설계사'!$B$4:$B$303,B317)=0,1,0))</f>
        <v/>
      </c>
    </row>
    <row r="318">
      <c r="A318" s="8" t="n"/>
      <c r="B318" s="9" t="n"/>
      <c r="C318" s="9" t="n"/>
      <c r="D318" s="9" t="n"/>
      <c r="E318" s="9" t="n"/>
      <c r="F318" s="8" t="n"/>
      <c r="G318" s="9" t="n"/>
      <c r="H318" s="9" t="n"/>
      <c r="I318">
        <f>IF(A318="","",B318&amp;"|"&amp;(A318*1))</f>
        <v/>
      </c>
      <c r="J318">
        <f>IF(B318="",0,IF(COUNTIF('3.설계사'!$B$4:$B$303,B318)=0,1,0))</f>
        <v/>
      </c>
    </row>
    <row r="319">
      <c r="A319" s="8" t="n"/>
      <c r="B319" s="9" t="n"/>
      <c r="C319" s="9" t="n"/>
      <c r="D319" s="9" t="n"/>
      <c r="E319" s="9" t="n"/>
      <c r="F319" s="8" t="n"/>
      <c r="G319" s="9" t="n"/>
      <c r="H319" s="9" t="n"/>
      <c r="I319">
        <f>IF(A319="","",B319&amp;"|"&amp;(A319*1))</f>
        <v/>
      </c>
      <c r="J319">
        <f>IF(B319="",0,IF(COUNTIF('3.설계사'!$B$4:$B$303,B319)=0,1,0))</f>
        <v/>
      </c>
    </row>
    <row r="320">
      <c r="A320" s="8" t="n"/>
      <c r="B320" s="9" t="n"/>
      <c r="C320" s="9" t="n"/>
      <c r="D320" s="9" t="n"/>
      <c r="E320" s="9" t="n"/>
      <c r="F320" s="8" t="n"/>
      <c r="G320" s="9" t="n"/>
      <c r="H320" s="9" t="n"/>
      <c r="I320">
        <f>IF(A320="","",B320&amp;"|"&amp;(A320*1))</f>
        <v/>
      </c>
      <c r="J320">
        <f>IF(B320="",0,IF(COUNTIF('3.설계사'!$B$4:$B$303,B320)=0,1,0))</f>
        <v/>
      </c>
    </row>
    <row r="321">
      <c r="A321" s="8" t="n"/>
      <c r="B321" s="9" t="n"/>
      <c r="C321" s="9" t="n"/>
      <c r="D321" s="9" t="n"/>
      <c r="E321" s="9" t="n"/>
      <c r="F321" s="8" t="n"/>
      <c r="G321" s="9" t="n"/>
      <c r="H321" s="9" t="n"/>
      <c r="I321">
        <f>IF(A321="","",B321&amp;"|"&amp;(A321*1))</f>
        <v/>
      </c>
      <c r="J321">
        <f>IF(B321="",0,IF(COUNTIF('3.설계사'!$B$4:$B$303,B321)=0,1,0))</f>
        <v/>
      </c>
    </row>
    <row r="322">
      <c r="A322" s="8" t="n"/>
      <c r="B322" s="9" t="n"/>
      <c r="C322" s="9" t="n"/>
      <c r="D322" s="9" t="n"/>
      <c r="E322" s="9" t="n"/>
      <c r="F322" s="8" t="n"/>
      <c r="G322" s="9" t="n"/>
      <c r="H322" s="9" t="n"/>
      <c r="I322">
        <f>IF(A322="","",B322&amp;"|"&amp;(A322*1))</f>
        <v/>
      </c>
      <c r="J322">
        <f>IF(B322="",0,IF(COUNTIF('3.설계사'!$B$4:$B$303,B322)=0,1,0))</f>
        <v/>
      </c>
    </row>
    <row r="323">
      <c r="A323" s="8" t="n"/>
      <c r="B323" s="9" t="n"/>
      <c r="C323" s="9" t="n"/>
      <c r="D323" s="9" t="n"/>
      <c r="E323" s="9" t="n"/>
      <c r="F323" s="8" t="n"/>
      <c r="G323" s="9" t="n"/>
      <c r="H323" s="9" t="n"/>
      <c r="I323">
        <f>IF(A323="","",B323&amp;"|"&amp;(A323*1))</f>
        <v/>
      </c>
      <c r="J323">
        <f>IF(B323="",0,IF(COUNTIF('3.설계사'!$B$4:$B$303,B323)=0,1,0))</f>
        <v/>
      </c>
    </row>
    <row r="324">
      <c r="A324" s="8" t="n"/>
      <c r="B324" s="9" t="n"/>
      <c r="C324" s="9" t="n"/>
      <c r="D324" s="9" t="n"/>
      <c r="E324" s="9" t="n"/>
      <c r="F324" s="8" t="n"/>
      <c r="G324" s="9" t="n"/>
      <c r="H324" s="9" t="n"/>
      <c r="I324">
        <f>IF(A324="","",B324&amp;"|"&amp;(A324*1))</f>
        <v/>
      </c>
      <c r="J324">
        <f>IF(B324="",0,IF(COUNTIF('3.설계사'!$B$4:$B$303,B324)=0,1,0))</f>
        <v/>
      </c>
    </row>
    <row r="325">
      <c r="A325" s="8" t="n"/>
      <c r="B325" s="9" t="n"/>
      <c r="C325" s="9" t="n"/>
      <c r="D325" s="9" t="n"/>
      <c r="E325" s="9" t="n"/>
      <c r="F325" s="8" t="n"/>
      <c r="G325" s="9" t="n"/>
      <c r="H325" s="9" t="n"/>
      <c r="I325">
        <f>IF(A325="","",B325&amp;"|"&amp;(A325*1))</f>
        <v/>
      </c>
      <c r="J325">
        <f>IF(B325="",0,IF(COUNTIF('3.설계사'!$B$4:$B$303,B325)=0,1,0))</f>
        <v/>
      </c>
    </row>
    <row r="326">
      <c r="A326" s="8" t="n"/>
      <c r="B326" s="9" t="n"/>
      <c r="C326" s="9" t="n"/>
      <c r="D326" s="9" t="n"/>
      <c r="E326" s="9" t="n"/>
      <c r="F326" s="8" t="n"/>
      <c r="G326" s="9" t="n"/>
      <c r="H326" s="9" t="n"/>
      <c r="I326">
        <f>IF(A326="","",B326&amp;"|"&amp;(A326*1))</f>
        <v/>
      </c>
      <c r="J326">
        <f>IF(B326="",0,IF(COUNTIF('3.설계사'!$B$4:$B$303,B326)=0,1,0))</f>
        <v/>
      </c>
    </row>
    <row r="327">
      <c r="A327" s="8" t="n"/>
      <c r="B327" s="9" t="n"/>
      <c r="C327" s="9" t="n"/>
      <c r="D327" s="9" t="n"/>
      <c r="E327" s="9" t="n"/>
      <c r="F327" s="8" t="n"/>
      <c r="G327" s="9" t="n"/>
      <c r="H327" s="9" t="n"/>
      <c r="I327">
        <f>IF(A327="","",B327&amp;"|"&amp;(A327*1))</f>
        <v/>
      </c>
      <c r="J327">
        <f>IF(B327="",0,IF(COUNTIF('3.설계사'!$B$4:$B$303,B327)=0,1,0))</f>
        <v/>
      </c>
    </row>
    <row r="328">
      <c r="A328" s="8" t="n"/>
      <c r="B328" s="9" t="n"/>
      <c r="C328" s="9" t="n"/>
      <c r="D328" s="9" t="n"/>
      <c r="E328" s="9" t="n"/>
      <c r="F328" s="8" t="n"/>
      <c r="G328" s="9" t="n"/>
      <c r="H328" s="9" t="n"/>
      <c r="I328">
        <f>IF(A328="","",B328&amp;"|"&amp;(A328*1))</f>
        <v/>
      </c>
      <c r="J328">
        <f>IF(B328="",0,IF(COUNTIF('3.설계사'!$B$4:$B$303,B328)=0,1,0))</f>
        <v/>
      </c>
    </row>
    <row r="329">
      <c r="A329" s="8" t="n"/>
      <c r="B329" s="9" t="n"/>
      <c r="C329" s="9" t="n"/>
      <c r="D329" s="9" t="n"/>
      <c r="E329" s="9" t="n"/>
      <c r="F329" s="8" t="n"/>
      <c r="G329" s="9" t="n"/>
      <c r="H329" s="9" t="n"/>
      <c r="I329">
        <f>IF(A329="","",B329&amp;"|"&amp;(A329*1))</f>
        <v/>
      </c>
      <c r="J329">
        <f>IF(B329="",0,IF(COUNTIF('3.설계사'!$B$4:$B$303,B329)=0,1,0))</f>
        <v/>
      </c>
    </row>
    <row r="330">
      <c r="A330" s="8" t="n"/>
      <c r="B330" s="9" t="n"/>
      <c r="C330" s="9" t="n"/>
      <c r="D330" s="9" t="n"/>
      <c r="E330" s="9" t="n"/>
      <c r="F330" s="8" t="n"/>
      <c r="G330" s="9" t="n"/>
      <c r="H330" s="9" t="n"/>
      <c r="I330">
        <f>IF(A330="","",B330&amp;"|"&amp;(A330*1))</f>
        <v/>
      </c>
      <c r="J330">
        <f>IF(B330="",0,IF(COUNTIF('3.설계사'!$B$4:$B$303,B330)=0,1,0))</f>
        <v/>
      </c>
    </row>
    <row r="331">
      <c r="A331" s="8" t="n"/>
      <c r="B331" s="9" t="n"/>
      <c r="C331" s="9" t="n"/>
      <c r="D331" s="9" t="n"/>
      <c r="E331" s="9" t="n"/>
      <c r="F331" s="8" t="n"/>
      <c r="G331" s="9" t="n"/>
      <c r="H331" s="9" t="n"/>
      <c r="I331">
        <f>IF(A331="","",B331&amp;"|"&amp;(A331*1))</f>
        <v/>
      </c>
      <c r="J331">
        <f>IF(B331="",0,IF(COUNTIF('3.설계사'!$B$4:$B$303,B331)=0,1,0))</f>
        <v/>
      </c>
    </row>
    <row r="332">
      <c r="A332" s="8" t="n"/>
      <c r="B332" s="9" t="n"/>
      <c r="C332" s="9" t="n"/>
      <c r="D332" s="9" t="n"/>
      <c r="E332" s="9" t="n"/>
      <c r="F332" s="8" t="n"/>
      <c r="G332" s="9" t="n"/>
      <c r="H332" s="9" t="n"/>
      <c r="I332">
        <f>IF(A332="","",B332&amp;"|"&amp;(A332*1))</f>
        <v/>
      </c>
      <c r="J332">
        <f>IF(B332="",0,IF(COUNTIF('3.설계사'!$B$4:$B$303,B332)=0,1,0))</f>
        <v/>
      </c>
    </row>
    <row r="333">
      <c r="A333" s="8" t="n"/>
      <c r="B333" s="9" t="n"/>
      <c r="C333" s="9" t="n"/>
      <c r="D333" s="9" t="n"/>
      <c r="E333" s="9" t="n"/>
      <c r="F333" s="8" t="n"/>
      <c r="G333" s="9" t="n"/>
      <c r="H333" s="9" t="n"/>
      <c r="I333">
        <f>IF(A333="","",B333&amp;"|"&amp;(A333*1))</f>
        <v/>
      </c>
      <c r="J333">
        <f>IF(B333="",0,IF(COUNTIF('3.설계사'!$B$4:$B$303,B333)=0,1,0))</f>
        <v/>
      </c>
    </row>
    <row r="334">
      <c r="A334" s="8" t="n"/>
      <c r="B334" s="9" t="n"/>
      <c r="C334" s="9" t="n"/>
      <c r="D334" s="9" t="n"/>
      <c r="E334" s="9" t="n"/>
      <c r="F334" s="8" t="n"/>
      <c r="G334" s="9" t="n"/>
      <c r="H334" s="9" t="n"/>
      <c r="I334">
        <f>IF(A334="","",B334&amp;"|"&amp;(A334*1))</f>
        <v/>
      </c>
      <c r="J334">
        <f>IF(B334="",0,IF(COUNTIF('3.설계사'!$B$4:$B$303,B334)=0,1,0))</f>
        <v/>
      </c>
    </row>
    <row r="335">
      <c r="A335" s="8" t="n"/>
      <c r="B335" s="9" t="n"/>
      <c r="C335" s="9" t="n"/>
      <c r="D335" s="9" t="n"/>
      <c r="E335" s="9" t="n"/>
      <c r="F335" s="8" t="n"/>
      <c r="G335" s="9" t="n"/>
      <c r="H335" s="9" t="n"/>
      <c r="I335">
        <f>IF(A335="","",B335&amp;"|"&amp;(A335*1))</f>
        <v/>
      </c>
      <c r="J335">
        <f>IF(B335="",0,IF(COUNTIF('3.설계사'!$B$4:$B$303,B335)=0,1,0))</f>
        <v/>
      </c>
    </row>
    <row r="336">
      <c r="A336" s="8" t="n"/>
      <c r="B336" s="9" t="n"/>
      <c r="C336" s="9" t="n"/>
      <c r="D336" s="9" t="n"/>
      <c r="E336" s="9" t="n"/>
      <c r="F336" s="8" t="n"/>
      <c r="G336" s="9" t="n"/>
      <c r="H336" s="9" t="n"/>
      <c r="I336">
        <f>IF(A336="","",B336&amp;"|"&amp;(A336*1))</f>
        <v/>
      </c>
      <c r="J336">
        <f>IF(B336="",0,IF(COUNTIF('3.설계사'!$B$4:$B$303,B336)=0,1,0))</f>
        <v/>
      </c>
    </row>
    <row r="337">
      <c r="A337" s="8" t="n"/>
      <c r="B337" s="9" t="n"/>
      <c r="C337" s="9" t="n"/>
      <c r="D337" s="9" t="n"/>
      <c r="E337" s="9" t="n"/>
      <c r="F337" s="8" t="n"/>
      <c r="G337" s="9" t="n"/>
      <c r="H337" s="9" t="n"/>
      <c r="I337">
        <f>IF(A337="","",B337&amp;"|"&amp;(A337*1))</f>
        <v/>
      </c>
      <c r="J337">
        <f>IF(B337="",0,IF(COUNTIF('3.설계사'!$B$4:$B$303,B337)=0,1,0))</f>
        <v/>
      </c>
    </row>
    <row r="338">
      <c r="A338" s="8" t="n"/>
      <c r="B338" s="9" t="n"/>
      <c r="C338" s="9" t="n"/>
      <c r="D338" s="9" t="n"/>
      <c r="E338" s="9" t="n"/>
      <c r="F338" s="8" t="n"/>
      <c r="G338" s="9" t="n"/>
      <c r="H338" s="9" t="n"/>
      <c r="I338">
        <f>IF(A338="","",B338&amp;"|"&amp;(A338*1))</f>
        <v/>
      </c>
      <c r="J338">
        <f>IF(B338="",0,IF(COUNTIF('3.설계사'!$B$4:$B$303,B338)=0,1,0))</f>
        <v/>
      </c>
    </row>
    <row r="339">
      <c r="A339" s="8" t="n"/>
      <c r="B339" s="9" t="n"/>
      <c r="C339" s="9" t="n"/>
      <c r="D339" s="9" t="n"/>
      <c r="E339" s="9" t="n"/>
      <c r="F339" s="8" t="n"/>
      <c r="G339" s="9" t="n"/>
      <c r="H339" s="9" t="n"/>
      <c r="I339">
        <f>IF(A339="","",B339&amp;"|"&amp;(A339*1))</f>
        <v/>
      </c>
      <c r="J339">
        <f>IF(B339="",0,IF(COUNTIF('3.설계사'!$B$4:$B$303,B339)=0,1,0))</f>
        <v/>
      </c>
    </row>
    <row r="340">
      <c r="A340" s="8" t="n"/>
      <c r="B340" s="9" t="n"/>
      <c r="C340" s="9" t="n"/>
      <c r="D340" s="9" t="n"/>
      <c r="E340" s="9" t="n"/>
      <c r="F340" s="8" t="n"/>
      <c r="G340" s="9" t="n"/>
      <c r="H340" s="9" t="n"/>
      <c r="I340">
        <f>IF(A340="","",B340&amp;"|"&amp;(A340*1))</f>
        <v/>
      </c>
      <c r="J340">
        <f>IF(B340="",0,IF(COUNTIF('3.설계사'!$B$4:$B$303,B340)=0,1,0))</f>
        <v/>
      </c>
    </row>
    <row r="341">
      <c r="A341" s="8" t="n"/>
      <c r="B341" s="9" t="n"/>
      <c r="C341" s="9" t="n"/>
      <c r="D341" s="9" t="n"/>
      <c r="E341" s="9" t="n"/>
      <c r="F341" s="8" t="n"/>
      <c r="G341" s="9" t="n"/>
      <c r="H341" s="9" t="n"/>
      <c r="I341">
        <f>IF(A341="","",B341&amp;"|"&amp;(A341*1))</f>
        <v/>
      </c>
      <c r="J341">
        <f>IF(B341="",0,IF(COUNTIF('3.설계사'!$B$4:$B$303,B341)=0,1,0))</f>
        <v/>
      </c>
    </row>
    <row r="342">
      <c r="A342" s="8" t="n"/>
      <c r="B342" s="9" t="n"/>
      <c r="C342" s="9" t="n"/>
      <c r="D342" s="9" t="n"/>
      <c r="E342" s="9" t="n"/>
      <c r="F342" s="8" t="n"/>
      <c r="G342" s="9" t="n"/>
      <c r="H342" s="9" t="n"/>
      <c r="I342">
        <f>IF(A342="","",B342&amp;"|"&amp;(A342*1))</f>
        <v/>
      </c>
      <c r="J342">
        <f>IF(B342="",0,IF(COUNTIF('3.설계사'!$B$4:$B$303,B342)=0,1,0))</f>
        <v/>
      </c>
    </row>
    <row r="343">
      <c r="A343" s="8" t="n"/>
      <c r="B343" s="9" t="n"/>
      <c r="C343" s="9" t="n"/>
      <c r="D343" s="9" t="n"/>
      <c r="E343" s="9" t="n"/>
      <c r="F343" s="8" t="n"/>
      <c r="G343" s="9" t="n"/>
      <c r="H343" s="9" t="n"/>
      <c r="I343">
        <f>IF(A343="","",B343&amp;"|"&amp;(A343*1))</f>
        <v/>
      </c>
      <c r="J343">
        <f>IF(B343="",0,IF(COUNTIF('3.설계사'!$B$4:$B$303,B343)=0,1,0))</f>
        <v/>
      </c>
    </row>
    <row r="344">
      <c r="A344" s="8" t="n"/>
      <c r="B344" s="9" t="n"/>
      <c r="C344" s="9" t="n"/>
      <c r="D344" s="9" t="n"/>
      <c r="E344" s="9" t="n"/>
      <c r="F344" s="8" t="n"/>
      <c r="G344" s="9" t="n"/>
      <c r="H344" s="9" t="n"/>
      <c r="I344">
        <f>IF(A344="","",B344&amp;"|"&amp;(A344*1))</f>
        <v/>
      </c>
      <c r="J344">
        <f>IF(B344="",0,IF(COUNTIF('3.설계사'!$B$4:$B$303,B344)=0,1,0))</f>
        <v/>
      </c>
    </row>
    <row r="345">
      <c r="A345" s="8" t="n"/>
      <c r="B345" s="9" t="n"/>
      <c r="C345" s="9" t="n"/>
      <c r="D345" s="9" t="n"/>
      <c r="E345" s="9" t="n"/>
      <c r="F345" s="8" t="n"/>
      <c r="G345" s="9" t="n"/>
      <c r="H345" s="9" t="n"/>
      <c r="I345">
        <f>IF(A345="","",B345&amp;"|"&amp;(A345*1))</f>
        <v/>
      </c>
      <c r="J345">
        <f>IF(B345="",0,IF(COUNTIF('3.설계사'!$B$4:$B$303,B345)=0,1,0))</f>
        <v/>
      </c>
    </row>
    <row r="346">
      <c r="A346" s="8" t="n"/>
      <c r="B346" s="9" t="n"/>
      <c r="C346" s="9" t="n"/>
      <c r="D346" s="9" t="n"/>
      <c r="E346" s="9" t="n"/>
      <c r="F346" s="8" t="n"/>
      <c r="G346" s="9" t="n"/>
      <c r="H346" s="9" t="n"/>
      <c r="I346">
        <f>IF(A346="","",B346&amp;"|"&amp;(A346*1))</f>
        <v/>
      </c>
      <c r="J346">
        <f>IF(B346="",0,IF(COUNTIF('3.설계사'!$B$4:$B$303,B346)=0,1,0))</f>
        <v/>
      </c>
    </row>
    <row r="347">
      <c r="A347" s="8" t="n"/>
      <c r="B347" s="9" t="n"/>
      <c r="C347" s="9" t="n"/>
      <c r="D347" s="9" t="n"/>
      <c r="E347" s="9" t="n"/>
      <c r="F347" s="8" t="n"/>
      <c r="G347" s="9" t="n"/>
      <c r="H347" s="9" t="n"/>
      <c r="I347">
        <f>IF(A347="","",B347&amp;"|"&amp;(A347*1))</f>
        <v/>
      </c>
      <c r="J347">
        <f>IF(B347="",0,IF(COUNTIF('3.설계사'!$B$4:$B$303,B347)=0,1,0))</f>
        <v/>
      </c>
    </row>
    <row r="348">
      <c r="A348" s="8" t="n"/>
      <c r="B348" s="9" t="n"/>
      <c r="C348" s="9" t="n"/>
      <c r="D348" s="9" t="n"/>
      <c r="E348" s="9" t="n"/>
      <c r="F348" s="8" t="n"/>
      <c r="G348" s="9" t="n"/>
      <c r="H348" s="9" t="n"/>
      <c r="I348">
        <f>IF(A348="","",B348&amp;"|"&amp;(A348*1))</f>
        <v/>
      </c>
      <c r="J348">
        <f>IF(B348="",0,IF(COUNTIF('3.설계사'!$B$4:$B$303,B348)=0,1,0))</f>
        <v/>
      </c>
    </row>
    <row r="349">
      <c r="A349" s="8" t="n"/>
      <c r="B349" s="9" t="n"/>
      <c r="C349" s="9" t="n"/>
      <c r="D349" s="9" t="n"/>
      <c r="E349" s="9" t="n"/>
      <c r="F349" s="8" t="n"/>
      <c r="G349" s="9" t="n"/>
      <c r="H349" s="9" t="n"/>
      <c r="I349">
        <f>IF(A349="","",B349&amp;"|"&amp;(A349*1))</f>
        <v/>
      </c>
      <c r="J349">
        <f>IF(B349="",0,IF(COUNTIF('3.설계사'!$B$4:$B$303,B349)=0,1,0))</f>
        <v/>
      </c>
    </row>
    <row r="350">
      <c r="A350" s="8" t="n"/>
      <c r="B350" s="9" t="n"/>
      <c r="C350" s="9" t="n"/>
      <c r="D350" s="9" t="n"/>
      <c r="E350" s="9" t="n"/>
      <c r="F350" s="8" t="n"/>
      <c r="G350" s="9" t="n"/>
      <c r="H350" s="9" t="n"/>
      <c r="I350">
        <f>IF(A350="","",B350&amp;"|"&amp;(A350*1))</f>
        <v/>
      </c>
      <c r="J350">
        <f>IF(B350="",0,IF(COUNTIF('3.설계사'!$B$4:$B$303,B350)=0,1,0))</f>
        <v/>
      </c>
    </row>
    <row r="351">
      <c r="A351" s="8" t="n"/>
      <c r="B351" s="9" t="n"/>
      <c r="C351" s="9" t="n"/>
      <c r="D351" s="9" t="n"/>
      <c r="E351" s="9" t="n"/>
      <c r="F351" s="8" t="n"/>
      <c r="G351" s="9" t="n"/>
      <c r="H351" s="9" t="n"/>
      <c r="I351">
        <f>IF(A351="","",B351&amp;"|"&amp;(A351*1))</f>
        <v/>
      </c>
      <c r="J351">
        <f>IF(B351="",0,IF(COUNTIF('3.설계사'!$B$4:$B$303,B351)=0,1,0))</f>
        <v/>
      </c>
    </row>
    <row r="352">
      <c r="A352" s="8" t="n"/>
      <c r="B352" s="9" t="n"/>
      <c r="C352" s="9" t="n"/>
      <c r="D352" s="9" t="n"/>
      <c r="E352" s="9" t="n"/>
      <c r="F352" s="8" t="n"/>
      <c r="G352" s="9" t="n"/>
      <c r="H352" s="9" t="n"/>
      <c r="I352">
        <f>IF(A352="","",B352&amp;"|"&amp;(A352*1))</f>
        <v/>
      </c>
      <c r="J352">
        <f>IF(B352="",0,IF(COUNTIF('3.설계사'!$B$4:$B$303,B352)=0,1,0))</f>
        <v/>
      </c>
    </row>
    <row r="353">
      <c r="A353" s="8" t="n"/>
      <c r="B353" s="9" t="n"/>
      <c r="C353" s="9" t="n"/>
      <c r="D353" s="9" t="n"/>
      <c r="E353" s="9" t="n"/>
      <c r="F353" s="8" t="n"/>
      <c r="G353" s="9" t="n"/>
      <c r="H353" s="9" t="n"/>
      <c r="I353">
        <f>IF(A353="","",B353&amp;"|"&amp;(A353*1))</f>
        <v/>
      </c>
      <c r="J353">
        <f>IF(B353="",0,IF(COUNTIF('3.설계사'!$B$4:$B$303,B353)=0,1,0))</f>
        <v/>
      </c>
    </row>
    <row r="354">
      <c r="A354" s="8" t="n"/>
      <c r="B354" s="9" t="n"/>
      <c r="C354" s="9" t="n"/>
      <c r="D354" s="9" t="n"/>
      <c r="E354" s="9" t="n"/>
      <c r="F354" s="8" t="n"/>
      <c r="G354" s="9" t="n"/>
      <c r="H354" s="9" t="n"/>
      <c r="I354">
        <f>IF(A354="","",B354&amp;"|"&amp;(A354*1))</f>
        <v/>
      </c>
      <c r="J354">
        <f>IF(B354="",0,IF(COUNTIF('3.설계사'!$B$4:$B$303,B354)=0,1,0))</f>
        <v/>
      </c>
    </row>
    <row r="355">
      <c r="A355" s="8" t="n"/>
      <c r="B355" s="9" t="n"/>
      <c r="C355" s="9" t="n"/>
      <c r="D355" s="9" t="n"/>
      <c r="E355" s="9" t="n"/>
      <c r="F355" s="8" t="n"/>
      <c r="G355" s="9" t="n"/>
      <c r="H355" s="9" t="n"/>
      <c r="I355">
        <f>IF(A355="","",B355&amp;"|"&amp;(A355*1))</f>
        <v/>
      </c>
      <c r="J355">
        <f>IF(B355="",0,IF(COUNTIF('3.설계사'!$B$4:$B$303,B355)=0,1,0))</f>
        <v/>
      </c>
    </row>
    <row r="356">
      <c r="A356" s="8" t="n"/>
      <c r="B356" s="9" t="n"/>
      <c r="C356" s="9" t="n"/>
      <c r="D356" s="9" t="n"/>
      <c r="E356" s="9" t="n"/>
      <c r="F356" s="8" t="n"/>
      <c r="G356" s="9" t="n"/>
      <c r="H356" s="9" t="n"/>
      <c r="I356">
        <f>IF(A356="","",B356&amp;"|"&amp;(A356*1))</f>
        <v/>
      </c>
      <c r="J356">
        <f>IF(B356="",0,IF(COUNTIF('3.설계사'!$B$4:$B$303,B356)=0,1,0))</f>
        <v/>
      </c>
    </row>
    <row r="357">
      <c r="A357" s="8" t="n"/>
      <c r="B357" s="9" t="n"/>
      <c r="C357" s="9" t="n"/>
      <c r="D357" s="9" t="n"/>
      <c r="E357" s="9" t="n"/>
      <c r="F357" s="8" t="n"/>
      <c r="G357" s="9" t="n"/>
      <c r="H357" s="9" t="n"/>
      <c r="I357">
        <f>IF(A357="","",B357&amp;"|"&amp;(A357*1))</f>
        <v/>
      </c>
      <c r="J357">
        <f>IF(B357="",0,IF(COUNTIF('3.설계사'!$B$4:$B$303,B357)=0,1,0))</f>
        <v/>
      </c>
    </row>
    <row r="358">
      <c r="A358" s="8" t="n"/>
      <c r="B358" s="9" t="n"/>
      <c r="C358" s="9" t="n"/>
      <c r="D358" s="9" t="n"/>
      <c r="E358" s="9" t="n"/>
      <c r="F358" s="8" t="n"/>
      <c r="G358" s="9" t="n"/>
      <c r="H358" s="9" t="n"/>
      <c r="I358">
        <f>IF(A358="","",B358&amp;"|"&amp;(A358*1))</f>
        <v/>
      </c>
      <c r="J358">
        <f>IF(B358="",0,IF(COUNTIF('3.설계사'!$B$4:$B$303,B358)=0,1,0))</f>
        <v/>
      </c>
    </row>
    <row r="359">
      <c r="A359" s="8" t="n"/>
      <c r="B359" s="9" t="n"/>
      <c r="C359" s="9" t="n"/>
      <c r="D359" s="9" t="n"/>
      <c r="E359" s="9" t="n"/>
      <c r="F359" s="8" t="n"/>
      <c r="G359" s="9" t="n"/>
      <c r="H359" s="9" t="n"/>
      <c r="I359">
        <f>IF(A359="","",B359&amp;"|"&amp;(A359*1))</f>
        <v/>
      </c>
      <c r="J359">
        <f>IF(B359="",0,IF(COUNTIF('3.설계사'!$B$4:$B$303,B359)=0,1,0))</f>
        <v/>
      </c>
    </row>
    <row r="360">
      <c r="A360" s="8" t="n"/>
      <c r="B360" s="9" t="n"/>
      <c r="C360" s="9" t="n"/>
      <c r="D360" s="9" t="n"/>
      <c r="E360" s="9" t="n"/>
      <c r="F360" s="8" t="n"/>
      <c r="G360" s="9" t="n"/>
      <c r="H360" s="9" t="n"/>
      <c r="I360">
        <f>IF(A360="","",B360&amp;"|"&amp;(A360*1))</f>
        <v/>
      </c>
      <c r="J360">
        <f>IF(B360="",0,IF(COUNTIF('3.설계사'!$B$4:$B$303,B360)=0,1,0))</f>
        <v/>
      </c>
    </row>
    <row r="361">
      <c r="A361" s="8" t="n"/>
      <c r="B361" s="9" t="n"/>
      <c r="C361" s="9" t="n"/>
      <c r="D361" s="9" t="n"/>
      <c r="E361" s="9" t="n"/>
      <c r="F361" s="8" t="n"/>
      <c r="G361" s="9" t="n"/>
      <c r="H361" s="9" t="n"/>
      <c r="I361">
        <f>IF(A361="","",B361&amp;"|"&amp;(A361*1))</f>
        <v/>
      </c>
      <c r="J361">
        <f>IF(B361="",0,IF(COUNTIF('3.설계사'!$B$4:$B$303,B361)=0,1,0))</f>
        <v/>
      </c>
    </row>
    <row r="362">
      <c r="A362" s="8" t="n"/>
      <c r="B362" s="9" t="n"/>
      <c r="C362" s="9" t="n"/>
      <c r="D362" s="9" t="n"/>
      <c r="E362" s="9" t="n"/>
      <c r="F362" s="8" t="n"/>
      <c r="G362" s="9" t="n"/>
      <c r="H362" s="9" t="n"/>
      <c r="I362">
        <f>IF(A362="","",B362&amp;"|"&amp;(A362*1))</f>
        <v/>
      </c>
      <c r="J362">
        <f>IF(B362="",0,IF(COUNTIF('3.설계사'!$B$4:$B$303,B362)=0,1,0))</f>
        <v/>
      </c>
    </row>
    <row r="363">
      <c r="A363" s="8" t="n"/>
      <c r="B363" s="9" t="n"/>
      <c r="C363" s="9" t="n"/>
      <c r="D363" s="9" t="n"/>
      <c r="E363" s="9" t="n"/>
      <c r="F363" s="8" t="n"/>
      <c r="G363" s="9" t="n"/>
      <c r="H363" s="9" t="n"/>
      <c r="I363">
        <f>IF(A363="","",B363&amp;"|"&amp;(A363*1))</f>
        <v/>
      </c>
      <c r="J363">
        <f>IF(B363="",0,IF(COUNTIF('3.설계사'!$B$4:$B$303,B363)=0,1,0))</f>
        <v/>
      </c>
    </row>
    <row r="364">
      <c r="A364" s="8" t="n"/>
      <c r="B364" s="9" t="n"/>
      <c r="C364" s="9" t="n"/>
      <c r="D364" s="9" t="n"/>
      <c r="E364" s="9" t="n"/>
      <c r="F364" s="8" t="n"/>
      <c r="G364" s="9" t="n"/>
      <c r="H364" s="9" t="n"/>
      <c r="I364">
        <f>IF(A364="","",B364&amp;"|"&amp;(A364*1))</f>
        <v/>
      </c>
      <c r="J364">
        <f>IF(B364="",0,IF(COUNTIF('3.설계사'!$B$4:$B$303,B364)=0,1,0))</f>
        <v/>
      </c>
    </row>
    <row r="365">
      <c r="A365" s="8" t="n"/>
      <c r="B365" s="9" t="n"/>
      <c r="C365" s="9" t="n"/>
      <c r="D365" s="9" t="n"/>
      <c r="E365" s="9" t="n"/>
      <c r="F365" s="8" t="n"/>
      <c r="G365" s="9" t="n"/>
      <c r="H365" s="9" t="n"/>
      <c r="I365">
        <f>IF(A365="","",B365&amp;"|"&amp;(A365*1))</f>
        <v/>
      </c>
      <c r="J365">
        <f>IF(B365="",0,IF(COUNTIF('3.설계사'!$B$4:$B$303,B365)=0,1,0))</f>
        <v/>
      </c>
    </row>
    <row r="366">
      <c r="A366" s="8" t="n"/>
      <c r="B366" s="9" t="n"/>
      <c r="C366" s="9" t="n"/>
      <c r="D366" s="9" t="n"/>
      <c r="E366" s="9" t="n"/>
      <c r="F366" s="8" t="n"/>
      <c r="G366" s="9" t="n"/>
      <c r="H366" s="9" t="n"/>
      <c r="I366">
        <f>IF(A366="","",B366&amp;"|"&amp;(A366*1))</f>
        <v/>
      </c>
      <c r="J366">
        <f>IF(B366="",0,IF(COUNTIF('3.설계사'!$B$4:$B$303,B366)=0,1,0))</f>
        <v/>
      </c>
    </row>
    <row r="367">
      <c r="A367" s="8" t="n"/>
      <c r="B367" s="9" t="n"/>
      <c r="C367" s="9" t="n"/>
      <c r="D367" s="9" t="n"/>
      <c r="E367" s="9" t="n"/>
      <c r="F367" s="8" t="n"/>
      <c r="G367" s="9" t="n"/>
      <c r="H367" s="9" t="n"/>
      <c r="I367">
        <f>IF(A367="","",B367&amp;"|"&amp;(A367*1))</f>
        <v/>
      </c>
      <c r="J367">
        <f>IF(B367="",0,IF(COUNTIF('3.설계사'!$B$4:$B$303,B367)=0,1,0))</f>
        <v/>
      </c>
    </row>
    <row r="368">
      <c r="A368" s="8" t="n"/>
      <c r="B368" s="9" t="n"/>
      <c r="C368" s="9" t="n"/>
      <c r="D368" s="9" t="n"/>
      <c r="E368" s="9" t="n"/>
      <c r="F368" s="8" t="n"/>
      <c r="G368" s="9" t="n"/>
      <c r="H368" s="9" t="n"/>
      <c r="I368">
        <f>IF(A368="","",B368&amp;"|"&amp;(A368*1))</f>
        <v/>
      </c>
      <c r="J368">
        <f>IF(B368="",0,IF(COUNTIF('3.설계사'!$B$4:$B$303,B368)=0,1,0))</f>
        <v/>
      </c>
    </row>
    <row r="369">
      <c r="A369" s="8" t="n"/>
      <c r="B369" s="9" t="n"/>
      <c r="C369" s="9" t="n"/>
      <c r="D369" s="9" t="n"/>
      <c r="E369" s="9" t="n"/>
      <c r="F369" s="8" t="n"/>
      <c r="G369" s="9" t="n"/>
      <c r="H369" s="9" t="n"/>
      <c r="I369">
        <f>IF(A369="","",B369&amp;"|"&amp;(A369*1))</f>
        <v/>
      </c>
      <c r="J369">
        <f>IF(B369="",0,IF(COUNTIF('3.설계사'!$B$4:$B$303,B369)=0,1,0))</f>
        <v/>
      </c>
    </row>
    <row r="370">
      <c r="A370" s="8" t="n"/>
      <c r="B370" s="9" t="n"/>
      <c r="C370" s="9" t="n"/>
      <c r="D370" s="9" t="n"/>
      <c r="E370" s="9" t="n"/>
      <c r="F370" s="8" t="n"/>
      <c r="G370" s="9" t="n"/>
      <c r="H370" s="9" t="n"/>
      <c r="I370">
        <f>IF(A370="","",B370&amp;"|"&amp;(A370*1))</f>
        <v/>
      </c>
      <c r="J370">
        <f>IF(B370="",0,IF(COUNTIF('3.설계사'!$B$4:$B$303,B370)=0,1,0))</f>
        <v/>
      </c>
    </row>
    <row r="371">
      <c r="A371" s="8" t="n"/>
      <c r="B371" s="9" t="n"/>
      <c r="C371" s="9" t="n"/>
      <c r="D371" s="9" t="n"/>
      <c r="E371" s="9" t="n"/>
      <c r="F371" s="8" t="n"/>
      <c r="G371" s="9" t="n"/>
      <c r="H371" s="9" t="n"/>
      <c r="I371">
        <f>IF(A371="","",B371&amp;"|"&amp;(A371*1))</f>
        <v/>
      </c>
      <c r="J371">
        <f>IF(B371="",0,IF(COUNTIF('3.설계사'!$B$4:$B$303,B371)=0,1,0))</f>
        <v/>
      </c>
    </row>
    <row r="372">
      <c r="A372" s="8" t="n"/>
      <c r="B372" s="9" t="n"/>
      <c r="C372" s="9" t="n"/>
      <c r="D372" s="9" t="n"/>
      <c r="E372" s="9" t="n"/>
      <c r="F372" s="8" t="n"/>
      <c r="G372" s="9" t="n"/>
      <c r="H372" s="9" t="n"/>
      <c r="I372">
        <f>IF(A372="","",B372&amp;"|"&amp;(A372*1))</f>
        <v/>
      </c>
      <c r="J372">
        <f>IF(B372="",0,IF(COUNTIF('3.설계사'!$B$4:$B$303,B372)=0,1,0))</f>
        <v/>
      </c>
    </row>
    <row r="373">
      <c r="A373" s="8" t="n"/>
      <c r="B373" s="9" t="n"/>
      <c r="C373" s="9" t="n"/>
      <c r="D373" s="9" t="n"/>
      <c r="E373" s="9" t="n"/>
      <c r="F373" s="8" t="n"/>
      <c r="G373" s="9" t="n"/>
      <c r="H373" s="9" t="n"/>
      <c r="I373">
        <f>IF(A373="","",B373&amp;"|"&amp;(A373*1))</f>
        <v/>
      </c>
      <c r="J373">
        <f>IF(B373="",0,IF(COUNTIF('3.설계사'!$B$4:$B$303,B373)=0,1,0))</f>
        <v/>
      </c>
    </row>
    <row r="374">
      <c r="A374" s="8" t="n"/>
      <c r="B374" s="9" t="n"/>
      <c r="C374" s="9" t="n"/>
      <c r="D374" s="9" t="n"/>
      <c r="E374" s="9" t="n"/>
      <c r="F374" s="8" t="n"/>
      <c r="G374" s="9" t="n"/>
      <c r="H374" s="9" t="n"/>
      <c r="I374">
        <f>IF(A374="","",B374&amp;"|"&amp;(A374*1))</f>
        <v/>
      </c>
      <c r="J374">
        <f>IF(B374="",0,IF(COUNTIF('3.설계사'!$B$4:$B$303,B374)=0,1,0))</f>
        <v/>
      </c>
    </row>
    <row r="375">
      <c r="A375" s="8" t="n"/>
      <c r="B375" s="9" t="n"/>
      <c r="C375" s="9" t="n"/>
      <c r="D375" s="9" t="n"/>
      <c r="E375" s="9" t="n"/>
      <c r="F375" s="8" t="n"/>
      <c r="G375" s="9" t="n"/>
      <c r="H375" s="9" t="n"/>
      <c r="I375">
        <f>IF(A375="","",B375&amp;"|"&amp;(A375*1))</f>
        <v/>
      </c>
      <c r="J375">
        <f>IF(B375="",0,IF(COUNTIF('3.설계사'!$B$4:$B$303,B375)=0,1,0))</f>
        <v/>
      </c>
    </row>
    <row r="376">
      <c r="A376" s="8" t="n"/>
      <c r="B376" s="9" t="n"/>
      <c r="C376" s="9" t="n"/>
      <c r="D376" s="9" t="n"/>
      <c r="E376" s="9" t="n"/>
      <c r="F376" s="8" t="n"/>
      <c r="G376" s="9" t="n"/>
      <c r="H376" s="9" t="n"/>
      <c r="I376">
        <f>IF(A376="","",B376&amp;"|"&amp;(A376*1))</f>
        <v/>
      </c>
      <c r="J376">
        <f>IF(B376="",0,IF(COUNTIF('3.설계사'!$B$4:$B$303,B376)=0,1,0))</f>
        <v/>
      </c>
    </row>
    <row r="377">
      <c r="A377" s="8" t="n"/>
      <c r="B377" s="9" t="n"/>
      <c r="C377" s="9" t="n"/>
      <c r="D377" s="9" t="n"/>
      <c r="E377" s="9" t="n"/>
      <c r="F377" s="8" t="n"/>
      <c r="G377" s="9" t="n"/>
      <c r="H377" s="9" t="n"/>
      <c r="I377">
        <f>IF(A377="","",B377&amp;"|"&amp;(A377*1))</f>
        <v/>
      </c>
      <c r="J377">
        <f>IF(B377="",0,IF(COUNTIF('3.설계사'!$B$4:$B$303,B377)=0,1,0))</f>
        <v/>
      </c>
    </row>
    <row r="378">
      <c r="A378" s="8" t="n"/>
      <c r="B378" s="9" t="n"/>
      <c r="C378" s="9" t="n"/>
      <c r="D378" s="9" t="n"/>
      <c r="E378" s="9" t="n"/>
      <c r="F378" s="8" t="n"/>
      <c r="G378" s="9" t="n"/>
      <c r="H378" s="9" t="n"/>
      <c r="I378">
        <f>IF(A378="","",B378&amp;"|"&amp;(A378*1))</f>
        <v/>
      </c>
      <c r="J378">
        <f>IF(B378="",0,IF(COUNTIF('3.설계사'!$B$4:$B$303,B378)=0,1,0))</f>
        <v/>
      </c>
    </row>
    <row r="379">
      <c r="A379" s="8" t="n"/>
      <c r="B379" s="9" t="n"/>
      <c r="C379" s="9" t="n"/>
      <c r="D379" s="9" t="n"/>
      <c r="E379" s="9" t="n"/>
      <c r="F379" s="8" t="n"/>
      <c r="G379" s="9" t="n"/>
      <c r="H379" s="9" t="n"/>
      <c r="I379">
        <f>IF(A379="","",B379&amp;"|"&amp;(A379*1))</f>
        <v/>
      </c>
      <c r="J379">
        <f>IF(B379="",0,IF(COUNTIF('3.설계사'!$B$4:$B$303,B379)=0,1,0))</f>
        <v/>
      </c>
    </row>
    <row r="380">
      <c r="A380" s="8" t="n"/>
      <c r="B380" s="9" t="n"/>
      <c r="C380" s="9" t="n"/>
      <c r="D380" s="9" t="n"/>
      <c r="E380" s="9" t="n"/>
      <c r="F380" s="8" t="n"/>
      <c r="G380" s="9" t="n"/>
      <c r="H380" s="9" t="n"/>
      <c r="I380">
        <f>IF(A380="","",B380&amp;"|"&amp;(A380*1))</f>
        <v/>
      </c>
      <c r="J380">
        <f>IF(B380="",0,IF(COUNTIF('3.설계사'!$B$4:$B$303,B380)=0,1,0))</f>
        <v/>
      </c>
    </row>
    <row r="381">
      <c r="A381" s="8" t="n"/>
      <c r="B381" s="9" t="n"/>
      <c r="C381" s="9" t="n"/>
      <c r="D381" s="9" t="n"/>
      <c r="E381" s="9" t="n"/>
      <c r="F381" s="8" t="n"/>
      <c r="G381" s="9" t="n"/>
      <c r="H381" s="9" t="n"/>
      <c r="I381">
        <f>IF(A381="","",B381&amp;"|"&amp;(A381*1))</f>
        <v/>
      </c>
      <c r="J381">
        <f>IF(B381="",0,IF(COUNTIF('3.설계사'!$B$4:$B$303,B381)=0,1,0))</f>
        <v/>
      </c>
    </row>
    <row r="382">
      <c r="A382" s="8" t="n"/>
      <c r="B382" s="9" t="n"/>
      <c r="C382" s="9" t="n"/>
      <c r="D382" s="9" t="n"/>
      <c r="E382" s="9" t="n"/>
      <c r="F382" s="8" t="n"/>
      <c r="G382" s="9" t="n"/>
      <c r="H382" s="9" t="n"/>
      <c r="I382">
        <f>IF(A382="","",B382&amp;"|"&amp;(A382*1))</f>
        <v/>
      </c>
      <c r="J382">
        <f>IF(B382="",0,IF(COUNTIF('3.설계사'!$B$4:$B$303,B382)=0,1,0))</f>
        <v/>
      </c>
    </row>
    <row r="383">
      <c r="A383" s="8" t="n"/>
      <c r="B383" s="9" t="n"/>
      <c r="C383" s="9" t="n"/>
      <c r="D383" s="9" t="n"/>
      <c r="E383" s="9" t="n"/>
      <c r="F383" s="8" t="n"/>
      <c r="G383" s="9" t="n"/>
      <c r="H383" s="9" t="n"/>
      <c r="I383">
        <f>IF(A383="","",B383&amp;"|"&amp;(A383*1))</f>
        <v/>
      </c>
      <c r="J383">
        <f>IF(B383="",0,IF(COUNTIF('3.설계사'!$B$4:$B$303,B383)=0,1,0))</f>
        <v/>
      </c>
    </row>
    <row r="384">
      <c r="A384" s="8" t="n"/>
      <c r="B384" s="9" t="n"/>
      <c r="C384" s="9" t="n"/>
      <c r="D384" s="9" t="n"/>
      <c r="E384" s="9" t="n"/>
      <c r="F384" s="8" t="n"/>
      <c r="G384" s="9" t="n"/>
      <c r="H384" s="9" t="n"/>
      <c r="I384">
        <f>IF(A384="","",B384&amp;"|"&amp;(A384*1))</f>
        <v/>
      </c>
      <c r="J384">
        <f>IF(B384="",0,IF(COUNTIF('3.설계사'!$B$4:$B$303,B384)=0,1,0))</f>
        <v/>
      </c>
    </row>
    <row r="385">
      <c r="A385" s="8" t="n"/>
      <c r="B385" s="9" t="n"/>
      <c r="C385" s="9" t="n"/>
      <c r="D385" s="9" t="n"/>
      <c r="E385" s="9" t="n"/>
      <c r="F385" s="8" t="n"/>
      <c r="G385" s="9" t="n"/>
      <c r="H385" s="9" t="n"/>
      <c r="I385">
        <f>IF(A385="","",B385&amp;"|"&amp;(A385*1))</f>
        <v/>
      </c>
      <c r="J385">
        <f>IF(B385="",0,IF(COUNTIF('3.설계사'!$B$4:$B$303,B385)=0,1,0))</f>
        <v/>
      </c>
    </row>
    <row r="386">
      <c r="A386" s="8" t="n"/>
      <c r="B386" s="9" t="n"/>
      <c r="C386" s="9" t="n"/>
      <c r="D386" s="9" t="n"/>
      <c r="E386" s="9" t="n"/>
      <c r="F386" s="8" t="n"/>
      <c r="G386" s="9" t="n"/>
      <c r="H386" s="9" t="n"/>
      <c r="I386">
        <f>IF(A386="","",B386&amp;"|"&amp;(A386*1))</f>
        <v/>
      </c>
      <c r="J386">
        <f>IF(B386="",0,IF(COUNTIF('3.설계사'!$B$4:$B$303,B386)=0,1,0))</f>
        <v/>
      </c>
    </row>
    <row r="387">
      <c r="A387" s="8" t="n"/>
      <c r="B387" s="9" t="n"/>
      <c r="C387" s="9" t="n"/>
      <c r="D387" s="9" t="n"/>
      <c r="E387" s="9" t="n"/>
      <c r="F387" s="8" t="n"/>
      <c r="G387" s="9" t="n"/>
      <c r="H387" s="9" t="n"/>
      <c r="I387">
        <f>IF(A387="","",B387&amp;"|"&amp;(A387*1))</f>
        <v/>
      </c>
      <c r="J387">
        <f>IF(B387="",0,IF(COUNTIF('3.설계사'!$B$4:$B$303,B387)=0,1,0))</f>
        <v/>
      </c>
    </row>
    <row r="388">
      <c r="A388" s="8" t="n"/>
      <c r="B388" s="9" t="n"/>
      <c r="C388" s="9" t="n"/>
      <c r="D388" s="9" t="n"/>
      <c r="E388" s="9" t="n"/>
      <c r="F388" s="8" t="n"/>
      <c r="G388" s="9" t="n"/>
      <c r="H388" s="9" t="n"/>
      <c r="I388">
        <f>IF(A388="","",B388&amp;"|"&amp;(A388*1))</f>
        <v/>
      </c>
      <c r="J388">
        <f>IF(B388="",0,IF(COUNTIF('3.설계사'!$B$4:$B$303,B388)=0,1,0))</f>
        <v/>
      </c>
    </row>
    <row r="389">
      <c r="A389" s="8" t="n"/>
      <c r="B389" s="9" t="n"/>
      <c r="C389" s="9" t="n"/>
      <c r="D389" s="9" t="n"/>
      <c r="E389" s="9" t="n"/>
      <c r="F389" s="8" t="n"/>
      <c r="G389" s="9" t="n"/>
      <c r="H389" s="9" t="n"/>
      <c r="I389">
        <f>IF(A389="","",B389&amp;"|"&amp;(A389*1))</f>
        <v/>
      </c>
      <c r="J389">
        <f>IF(B389="",0,IF(COUNTIF('3.설계사'!$B$4:$B$303,B389)=0,1,0))</f>
        <v/>
      </c>
    </row>
    <row r="390">
      <c r="A390" s="8" t="n"/>
      <c r="B390" s="9" t="n"/>
      <c r="C390" s="9" t="n"/>
      <c r="D390" s="9" t="n"/>
      <c r="E390" s="9" t="n"/>
      <c r="F390" s="8" t="n"/>
      <c r="G390" s="9" t="n"/>
      <c r="H390" s="9" t="n"/>
      <c r="I390">
        <f>IF(A390="","",B390&amp;"|"&amp;(A390*1))</f>
        <v/>
      </c>
      <c r="J390">
        <f>IF(B390="",0,IF(COUNTIF('3.설계사'!$B$4:$B$303,B390)=0,1,0))</f>
        <v/>
      </c>
    </row>
    <row r="391">
      <c r="A391" s="8" t="n"/>
      <c r="B391" s="9" t="n"/>
      <c r="C391" s="9" t="n"/>
      <c r="D391" s="9" t="n"/>
      <c r="E391" s="9" t="n"/>
      <c r="F391" s="8" t="n"/>
      <c r="G391" s="9" t="n"/>
      <c r="H391" s="9" t="n"/>
      <c r="I391">
        <f>IF(A391="","",B391&amp;"|"&amp;(A391*1))</f>
        <v/>
      </c>
      <c r="J391">
        <f>IF(B391="",0,IF(COUNTIF('3.설계사'!$B$4:$B$303,B391)=0,1,0))</f>
        <v/>
      </c>
    </row>
    <row r="392">
      <c r="A392" s="8" t="n"/>
      <c r="B392" s="9" t="n"/>
      <c r="C392" s="9" t="n"/>
      <c r="D392" s="9" t="n"/>
      <c r="E392" s="9" t="n"/>
      <c r="F392" s="8" t="n"/>
      <c r="G392" s="9" t="n"/>
      <c r="H392" s="9" t="n"/>
      <c r="I392">
        <f>IF(A392="","",B392&amp;"|"&amp;(A392*1))</f>
        <v/>
      </c>
      <c r="J392">
        <f>IF(B392="",0,IF(COUNTIF('3.설계사'!$B$4:$B$303,B392)=0,1,0))</f>
        <v/>
      </c>
    </row>
    <row r="393">
      <c r="A393" s="8" t="n"/>
      <c r="B393" s="9" t="n"/>
      <c r="C393" s="9" t="n"/>
      <c r="D393" s="9" t="n"/>
      <c r="E393" s="9" t="n"/>
      <c r="F393" s="8" t="n"/>
      <c r="G393" s="9" t="n"/>
      <c r="H393" s="9" t="n"/>
      <c r="I393">
        <f>IF(A393="","",B393&amp;"|"&amp;(A393*1))</f>
        <v/>
      </c>
      <c r="J393">
        <f>IF(B393="",0,IF(COUNTIF('3.설계사'!$B$4:$B$303,B393)=0,1,0))</f>
        <v/>
      </c>
    </row>
    <row r="394">
      <c r="A394" s="8" t="n"/>
      <c r="B394" s="9" t="n"/>
      <c r="C394" s="9" t="n"/>
      <c r="D394" s="9" t="n"/>
      <c r="E394" s="9" t="n"/>
      <c r="F394" s="8" t="n"/>
      <c r="G394" s="9" t="n"/>
      <c r="H394" s="9" t="n"/>
      <c r="I394">
        <f>IF(A394="","",B394&amp;"|"&amp;(A394*1))</f>
        <v/>
      </c>
      <c r="J394">
        <f>IF(B394="",0,IF(COUNTIF('3.설계사'!$B$4:$B$303,B394)=0,1,0))</f>
        <v/>
      </c>
    </row>
    <row r="395">
      <c r="A395" s="8" t="n"/>
      <c r="B395" s="9" t="n"/>
      <c r="C395" s="9" t="n"/>
      <c r="D395" s="9" t="n"/>
      <c r="E395" s="9" t="n"/>
      <c r="F395" s="8" t="n"/>
      <c r="G395" s="9" t="n"/>
      <c r="H395" s="9" t="n"/>
      <c r="I395">
        <f>IF(A395="","",B395&amp;"|"&amp;(A395*1))</f>
        <v/>
      </c>
      <c r="J395">
        <f>IF(B395="",0,IF(COUNTIF('3.설계사'!$B$4:$B$303,B395)=0,1,0))</f>
        <v/>
      </c>
    </row>
    <row r="396">
      <c r="A396" s="8" t="n"/>
      <c r="B396" s="9" t="n"/>
      <c r="C396" s="9" t="n"/>
      <c r="D396" s="9" t="n"/>
      <c r="E396" s="9" t="n"/>
      <c r="F396" s="8" t="n"/>
      <c r="G396" s="9" t="n"/>
      <c r="H396" s="9" t="n"/>
      <c r="I396">
        <f>IF(A396="","",B396&amp;"|"&amp;(A396*1))</f>
        <v/>
      </c>
      <c r="J396">
        <f>IF(B396="",0,IF(COUNTIF('3.설계사'!$B$4:$B$303,B396)=0,1,0))</f>
        <v/>
      </c>
    </row>
    <row r="397">
      <c r="A397" s="8" t="n"/>
      <c r="B397" s="9" t="n"/>
      <c r="C397" s="9" t="n"/>
      <c r="D397" s="9" t="n"/>
      <c r="E397" s="9" t="n"/>
      <c r="F397" s="8" t="n"/>
      <c r="G397" s="9" t="n"/>
      <c r="H397" s="9" t="n"/>
      <c r="I397">
        <f>IF(A397="","",B397&amp;"|"&amp;(A397*1))</f>
        <v/>
      </c>
      <c r="J397">
        <f>IF(B397="",0,IF(COUNTIF('3.설계사'!$B$4:$B$303,B397)=0,1,0))</f>
        <v/>
      </c>
    </row>
    <row r="398">
      <c r="A398" s="8" t="n"/>
      <c r="B398" s="9" t="n"/>
      <c r="C398" s="9" t="n"/>
      <c r="D398" s="9" t="n"/>
      <c r="E398" s="9" t="n"/>
      <c r="F398" s="8" t="n"/>
      <c r="G398" s="9" t="n"/>
      <c r="H398" s="9" t="n"/>
      <c r="I398">
        <f>IF(A398="","",B398&amp;"|"&amp;(A398*1))</f>
        <v/>
      </c>
      <c r="J398">
        <f>IF(B398="",0,IF(COUNTIF('3.설계사'!$B$4:$B$303,B398)=0,1,0))</f>
        <v/>
      </c>
    </row>
    <row r="399">
      <c r="A399" s="8" t="n"/>
      <c r="B399" s="9" t="n"/>
      <c r="C399" s="9" t="n"/>
      <c r="D399" s="9" t="n"/>
      <c r="E399" s="9" t="n"/>
      <c r="F399" s="8" t="n"/>
      <c r="G399" s="9" t="n"/>
      <c r="H399" s="9" t="n"/>
      <c r="I399">
        <f>IF(A399="","",B399&amp;"|"&amp;(A399*1))</f>
        <v/>
      </c>
      <c r="J399">
        <f>IF(B399="",0,IF(COUNTIF('3.설계사'!$B$4:$B$303,B399)=0,1,0))</f>
        <v/>
      </c>
    </row>
    <row r="400">
      <c r="A400" s="8" t="n"/>
      <c r="B400" s="9" t="n"/>
      <c r="C400" s="9" t="n"/>
      <c r="D400" s="9" t="n"/>
      <c r="E400" s="9" t="n"/>
      <c r="F400" s="8" t="n"/>
      <c r="G400" s="9" t="n"/>
      <c r="H400" s="9" t="n"/>
      <c r="I400">
        <f>IF(A400="","",B400&amp;"|"&amp;(A400*1))</f>
        <v/>
      </c>
      <c r="J400">
        <f>IF(B400="",0,IF(COUNTIF('3.설계사'!$B$4:$B$303,B400)=0,1,0))</f>
        <v/>
      </c>
    </row>
    <row r="401">
      <c r="A401" s="8" t="n"/>
      <c r="B401" s="9" t="n"/>
      <c r="C401" s="9" t="n"/>
      <c r="D401" s="9" t="n"/>
      <c r="E401" s="9" t="n"/>
      <c r="F401" s="8" t="n"/>
      <c r="G401" s="9" t="n"/>
      <c r="H401" s="9" t="n"/>
      <c r="I401">
        <f>IF(A401="","",B401&amp;"|"&amp;(A401*1))</f>
        <v/>
      </c>
      <c r="J401">
        <f>IF(B401="",0,IF(COUNTIF('3.설계사'!$B$4:$B$303,B401)=0,1,0))</f>
        <v/>
      </c>
    </row>
    <row r="402">
      <c r="A402" s="8" t="n"/>
      <c r="B402" s="9" t="n"/>
      <c r="C402" s="9" t="n"/>
      <c r="D402" s="9" t="n"/>
      <c r="E402" s="9" t="n"/>
      <c r="F402" s="8" t="n"/>
      <c r="G402" s="9" t="n"/>
      <c r="H402" s="9" t="n"/>
      <c r="I402">
        <f>IF(A402="","",B402&amp;"|"&amp;(A402*1))</f>
        <v/>
      </c>
      <c r="J402">
        <f>IF(B402="",0,IF(COUNTIF('3.설계사'!$B$4:$B$303,B402)=0,1,0))</f>
        <v/>
      </c>
    </row>
    <row r="403">
      <c r="A403" s="8" t="n"/>
      <c r="B403" s="9" t="n"/>
      <c r="C403" s="9" t="n"/>
      <c r="D403" s="9" t="n"/>
      <c r="E403" s="9" t="n"/>
      <c r="F403" s="8" t="n"/>
      <c r="G403" s="9" t="n"/>
      <c r="H403" s="9" t="n"/>
      <c r="I403">
        <f>IF(A403="","",B403&amp;"|"&amp;(A403*1))</f>
        <v/>
      </c>
      <c r="J403">
        <f>IF(B403="",0,IF(COUNTIF('3.설계사'!$B$4:$B$303,B403)=0,1,0))</f>
        <v/>
      </c>
    </row>
    <row r="404">
      <c r="A404" s="8" t="n"/>
      <c r="B404" s="9" t="n"/>
      <c r="C404" s="9" t="n"/>
      <c r="D404" s="9" t="n"/>
      <c r="E404" s="9" t="n"/>
      <c r="F404" s="8" t="n"/>
      <c r="G404" s="9" t="n"/>
      <c r="H404" s="9" t="n"/>
      <c r="I404">
        <f>IF(A404="","",B404&amp;"|"&amp;(A404*1))</f>
        <v/>
      </c>
      <c r="J404">
        <f>IF(B404="",0,IF(COUNTIF('3.설계사'!$B$4:$B$303,B404)=0,1,0))</f>
        <v/>
      </c>
    </row>
    <row r="405">
      <c r="A405" s="8" t="n"/>
      <c r="B405" s="9" t="n"/>
      <c r="C405" s="9" t="n"/>
      <c r="D405" s="9" t="n"/>
      <c r="E405" s="9" t="n"/>
      <c r="F405" s="8" t="n"/>
      <c r="G405" s="9" t="n"/>
      <c r="H405" s="9" t="n"/>
      <c r="I405">
        <f>IF(A405="","",B405&amp;"|"&amp;(A405*1))</f>
        <v/>
      </c>
      <c r="J405">
        <f>IF(B405="",0,IF(COUNTIF('3.설계사'!$B$4:$B$303,B405)=0,1,0))</f>
        <v/>
      </c>
    </row>
    <row r="406">
      <c r="A406" s="8" t="n"/>
      <c r="B406" s="9" t="n"/>
      <c r="C406" s="9" t="n"/>
      <c r="D406" s="9" t="n"/>
      <c r="E406" s="9" t="n"/>
      <c r="F406" s="8" t="n"/>
      <c r="G406" s="9" t="n"/>
      <c r="H406" s="9" t="n"/>
      <c r="I406">
        <f>IF(A406="","",B406&amp;"|"&amp;(A406*1))</f>
        <v/>
      </c>
      <c r="J406">
        <f>IF(B406="",0,IF(COUNTIF('3.설계사'!$B$4:$B$303,B406)=0,1,0))</f>
        <v/>
      </c>
    </row>
    <row r="407">
      <c r="A407" s="8" t="n"/>
      <c r="B407" s="9" t="n"/>
      <c r="C407" s="9" t="n"/>
      <c r="D407" s="9" t="n"/>
      <c r="E407" s="9" t="n"/>
      <c r="F407" s="8" t="n"/>
      <c r="G407" s="9" t="n"/>
      <c r="H407" s="9" t="n"/>
      <c r="I407">
        <f>IF(A407="","",B407&amp;"|"&amp;(A407*1))</f>
        <v/>
      </c>
      <c r="J407">
        <f>IF(B407="",0,IF(COUNTIF('3.설계사'!$B$4:$B$303,B407)=0,1,0))</f>
        <v/>
      </c>
    </row>
    <row r="408">
      <c r="A408" s="8" t="n"/>
      <c r="B408" s="9" t="n"/>
      <c r="C408" s="9" t="n"/>
      <c r="D408" s="9" t="n"/>
      <c r="E408" s="9" t="n"/>
      <c r="F408" s="8" t="n"/>
      <c r="G408" s="9" t="n"/>
      <c r="H408" s="9" t="n"/>
      <c r="I408">
        <f>IF(A408="","",B408&amp;"|"&amp;(A408*1))</f>
        <v/>
      </c>
      <c r="J408">
        <f>IF(B408="",0,IF(COUNTIF('3.설계사'!$B$4:$B$303,B408)=0,1,0))</f>
        <v/>
      </c>
    </row>
    <row r="409">
      <c r="A409" s="8" t="n"/>
      <c r="B409" s="9" t="n"/>
      <c r="C409" s="9" t="n"/>
      <c r="D409" s="9" t="n"/>
      <c r="E409" s="9" t="n"/>
      <c r="F409" s="8" t="n"/>
      <c r="G409" s="9" t="n"/>
      <c r="H409" s="9" t="n"/>
      <c r="I409">
        <f>IF(A409="","",B409&amp;"|"&amp;(A409*1))</f>
        <v/>
      </c>
      <c r="J409">
        <f>IF(B409="",0,IF(COUNTIF('3.설계사'!$B$4:$B$303,B409)=0,1,0))</f>
        <v/>
      </c>
    </row>
    <row r="410">
      <c r="A410" s="8" t="n"/>
      <c r="B410" s="9" t="n"/>
      <c r="C410" s="9" t="n"/>
      <c r="D410" s="9" t="n"/>
      <c r="E410" s="9" t="n"/>
      <c r="F410" s="8" t="n"/>
      <c r="G410" s="9" t="n"/>
      <c r="H410" s="9" t="n"/>
      <c r="I410">
        <f>IF(A410="","",B410&amp;"|"&amp;(A410*1))</f>
        <v/>
      </c>
      <c r="J410">
        <f>IF(B410="",0,IF(COUNTIF('3.설계사'!$B$4:$B$303,B410)=0,1,0))</f>
        <v/>
      </c>
    </row>
    <row r="411">
      <c r="A411" s="8" t="n"/>
      <c r="B411" s="9" t="n"/>
      <c r="C411" s="9" t="n"/>
      <c r="D411" s="9" t="n"/>
      <c r="E411" s="9" t="n"/>
      <c r="F411" s="8" t="n"/>
      <c r="G411" s="9" t="n"/>
      <c r="H411" s="9" t="n"/>
      <c r="I411">
        <f>IF(A411="","",B411&amp;"|"&amp;(A411*1))</f>
        <v/>
      </c>
      <c r="J411">
        <f>IF(B411="",0,IF(COUNTIF('3.설계사'!$B$4:$B$303,B411)=0,1,0))</f>
        <v/>
      </c>
    </row>
    <row r="412">
      <c r="A412" s="8" t="n"/>
      <c r="B412" s="9" t="n"/>
      <c r="C412" s="9" t="n"/>
      <c r="D412" s="9" t="n"/>
      <c r="E412" s="9" t="n"/>
      <c r="F412" s="8" t="n"/>
      <c r="G412" s="9" t="n"/>
      <c r="H412" s="9" t="n"/>
      <c r="I412">
        <f>IF(A412="","",B412&amp;"|"&amp;(A412*1))</f>
        <v/>
      </c>
      <c r="J412">
        <f>IF(B412="",0,IF(COUNTIF('3.설계사'!$B$4:$B$303,B412)=0,1,0))</f>
        <v/>
      </c>
    </row>
    <row r="413">
      <c r="A413" s="8" t="n"/>
      <c r="B413" s="9" t="n"/>
      <c r="C413" s="9" t="n"/>
      <c r="D413" s="9" t="n"/>
      <c r="E413" s="9" t="n"/>
      <c r="F413" s="8" t="n"/>
      <c r="G413" s="9" t="n"/>
      <c r="H413" s="9" t="n"/>
      <c r="I413">
        <f>IF(A413="","",B413&amp;"|"&amp;(A413*1))</f>
        <v/>
      </c>
      <c r="J413">
        <f>IF(B413="",0,IF(COUNTIF('3.설계사'!$B$4:$B$303,B413)=0,1,0))</f>
        <v/>
      </c>
    </row>
    <row r="414">
      <c r="A414" s="8" t="n"/>
      <c r="B414" s="9" t="n"/>
      <c r="C414" s="9" t="n"/>
      <c r="D414" s="9" t="n"/>
      <c r="E414" s="9" t="n"/>
      <c r="F414" s="8" t="n"/>
      <c r="G414" s="9" t="n"/>
      <c r="H414" s="9" t="n"/>
      <c r="I414">
        <f>IF(A414="","",B414&amp;"|"&amp;(A414*1))</f>
        <v/>
      </c>
      <c r="J414">
        <f>IF(B414="",0,IF(COUNTIF('3.설계사'!$B$4:$B$303,B414)=0,1,0))</f>
        <v/>
      </c>
    </row>
    <row r="415">
      <c r="A415" s="8" t="n"/>
      <c r="B415" s="9" t="n"/>
      <c r="C415" s="9" t="n"/>
      <c r="D415" s="9" t="n"/>
      <c r="E415" s="9" t="n"/>
      <c r="F415" s="8" t="n"/>
      <c r="G415" s="9" t="n"/>
      <c r="H415" s="9" t="n"/>
      <c r="I415">
        <f>IF(A415="","",B415&amp;"|"&amp;(A415*1))</f>
        <v/>
      </c>
      <c r="J415">
        <f>IF(B415="",0,IF(COUNTIF('3.설계사'!$B$4:$B$303,B415)=0,1,0))</f>
        <v/>
      </c>
    </row>
    <row r="416">
      <c r="A416" s="8" t="n"/>
      <c r="B416" s="9" t="n"/>
      <c r="C416" s="9" t="n"/>
      <c r="D416" s="9" t="n"/>
      <c r="E416" s="9" t="n"/>
      <c r="F416" s="8" t="n"/>
      <c r="G416" s="9" t="n"/>
      <c r="H416" s="9" t="n"/>
      <c r="I416">
        <f>IF(A416="","",B416&amp;"|"&amp;(A416*1))</f>
        <v/>
      </c>
      <c r="J416">
        <f>IF(B416="",0,IF(COUNTIF('3.설계사'!$B$4:$B$303,B416)=0,1,0))</f>
        <v/>
      </c>
    </row>
    <row r="417">
      <c r="A417" s="8" t="n"/>
      <c r="B417" s="9" t="n"/>
      <c r="C417" s="9" t="n"/>
      <c r="D417" s="9" t="n"/>
      <c r="E417" s="9" t="n"/>
      <c r="F417" s="8" t="n"/>
      <c r="G417" s="9" t="n"/>
      <c r="H417" s="9" t="n"/>
      <c r="I417">
        <f>IF(A417="","",B417&amp;"|"&amp;(A417*1))</f>
        <v/>
      </c>
      <c r="J417">
        <f>IF(B417="",0,IF(COUNTIF('3.설계사'!$B$4:$B$303,B417)=0,1,0))</f>
        <v/>
      </c>
    </row>
    <row r="418">
      <c r="A418" s="8" t="n"/>
      <c r="B418" s="9" t="n"/>
      <c r="C418" s="9" t="n"/>
      <c r="D418" s="9" t="n"/>
      <c r="E418" s="9" t="n"/>
      <c r="F418" s="8" t="n"/>
      <c r="G418" s="9" t="n"/>
      <c r="H418" s="9" t="n"/>
      <c r="I418">
        <f>IF(A418="","",B418&amp;"|"&amp;(A418*1))</f>
        <v/>
      </c>
      <c r="J418">
        <f>IF(B418="",0,IF(COUNTIF('3.설계사'!$B$4:$B$303,B418)=0,1,0))</f>
        <v/>
      </c>
    </row>
    <row r="419">
      <c r="A419" s="8" t="n"/>
      <c r="B419" s="9" t="n"/>
      <c r="C419" s="9" t="n"/>
      <c r="D419" s="9" t="n"/>
      <c r="E419" s="9" t="n"/>
      <c r="F419" s="8" t="n"/>
      <c r="G419" s="9" t="n"/>
      <c r="H419" s="9" t="n"/>
      <c r="I419">
        <f>IF(A419="","",B419&amp;"|"&amp;(A419*1))</f>
        <v/>
      </c>
      <c r="J419">
        <f>IF(B419="",0,IF(COUNTIF('3.설계사'!$B$4:$B$303,B419)=0,1,0))</f>
        <v/>
      </c>
    </row>
    <row r="420">
      <c r="A420" s="8" t="n"/>
      <c r="B420" s="9" t="n"/>
      <c r="C420" s="9" t="n"/>
      <c r="D420" s="9" t="n"/>
      <c r="E420" s="9" t="n"/>
      <c r="F420" s="8" t="n"/>
      <c r="G420" s="9" t="n"/>
      <c r="H420" s="9" t="n"/>
      <c r="I420">
        <f>IF(A420="","",B420&amp;"|"&amp;(A420*1))</f>
        <v/>
      </c>
      <c r="J420">
        <f>IF(B420="",0,IF(COUNTIF('3.설계사'!$B$4:$B$303,B420)=0,1,0))</f>
        <v/>
      </c>
    </row>
    <row r="421">
      <c r="A421" s="8" t="n"/>
      <c r="B421" s="9" t="n"/>
      <c r="C421" s="9" t="n"/>
      <c r="D421" s="9" t="n"/>
      <c r="E421" s="9" t="n"/>
      <c r="F421" s="8" t="n"/>
      <c r="G421" s="9" t="n"/>
      <c r="H421" s="9" t="n"/>
      <c r="I421">
        <f>IF(A421="","",B421&amp;"|"&amp;(A421*1))</f>
        <v/>
      </c>
      <c r="J421">
        <f>IF(B421="",0,IF(COUNTIF('3.설계사'!$B$4:$B$303,B421)=0,1,0))</f>
        <v/>
      </c>
    </row>
    <row r="422">
      <c r="A422" s="8" t="n"/>
      <c r="B422" s="9" t="n"/>
      <c r="C422" s="9" t="n"/>
      <c r="D422" s="9" t="n"/>
      <c r="E422" s="9" t="n"/>
      <c r="F422" s="8" t="n"/>
      <c r="G422" s="9" t="n"/>
      <c r="H422" s="9" t="n"/>
      <c r="I422">
        <f>IF(A422="","",B422&amp;"|"&amp;(A422*1))</f>
        <v/>
      </c>
      <c r="J422">
        <f>IF(B422="",0,IF(COUNTIF('3.설계사'!$B$4:$B$303,B422)=0,1,0))</f>
        <v/>
      </c>
    </row>
    <row r="423">
      <c r="A423" s="8" t="n"/>
      <c r="B423" s="9" t="n"/>
      <c r="C423" s="9" t="n"/>
      <c r="D423" s="9" t="n"/>
      <c r="E423" s="9" t="n"/>
      <c r="F423" s="8" t="n"/>
      <c r="G423" s="9" t="n"/>
      <c r="H423" s="9" t="n"/>
      <c r="I423">
        <f>IF(A423="","",B423&amp;"|"&amp;(A423*1))</f>
        <v/>
      </c>
      <c r="J423">
        <f>IF(B423="",0,IF(COUNTIF('3.설계사'!$B$4:$B$303,B423)=0,1,0))</f>
        <v/>
      </c>
    </row>
    <row r="424">
      <c r="A424" s="8" t="n"/>
      <c r="B424" s="9" t="n"/>
      <c r="C424" s="9" t="n"/>
      <c r="D424" s="9" t="n"/>
      <c r="E424" s="9" t="n"/>
      <c r="F424" s="8" t="n"/>
      <c r="G424" s="9" t="n"/>
      <c r="H424" s="9" t="n"/>
      <c r="I424">
        <f>IF(A424="","",B424&amp;"|"&amp;(A424*1))</f>
        <v/>
      </c>
      <c r="J424">
        <f>IF(B424="",0,IF(COUNTIF('3.설계사'!$B$4:$B$303,B424)=0,1,0))</f>
        <v/>
      </c>
    </row>
    <row r="425">
      <c r="A425" s="8" t="n"/>
      <c r="B425" s="9" t="n"/>
      <c r="C425" s="9" t="n"/>
      <c r="D425" s="9" t="n"/>
      <c r="E425" s="9" t="n"/>
      <c r="F425" s="8" t="n"/>
      <c r="G425" s="9" t="n"/>
      <c r="H425" s="9" t="n"/>
      <c r="I425">
        <f>IF(A425="","",B425&amp;"|"&amp;(A425*1))</f>
        <v/>
      </c>
      <c r="J425">
        <f>IF(B425="",0,IF(COUNTIF('3.설계사'!$B$4:$B$303,B425)=0,1,0))</f>
        <v/>
      </c>
    </row>
    <row r="426">
      <c r="A426" s="8" t="n"/>
      <c r="B426" s="9" t="n"/>
      <c r="C426" s="9" t="n"/>
      <c r="D426" s="9" t="n"/>
      <c r="E426" s="9" t="n"/>
      <c r="F426" s="8" t="n"/>
      <c r="G426" s="9" t="n"/>
      <c r="H426" s="9" t="n"/>
      <c r="I426">
        <f>IF(A426="","",B426&amp;"|"&amp;(A426*1))</f>
        <v/>
      </c>
      <c r="J426">
        <f>IF(B426="",0,IF(COUNTIF('3.설계사'!$B$4:$B$303,B426)=0,1,0))</f>
        <v/>
      </c>
    </row>
    <row r="427">
      <c r="A427" s="8" t="n"/>
      <c r="B427" s="9" t="n"/>
      <c r="C427" s="9" t="n"/>
      <c r="D427" s="9" t="n"/>
      <c r="E427" s="9" t="n"/>
      <c r="F427" s="8" t="n"/>
      <c r="G427" s="9" t="n"/>
      <c r="H427" s="9" t="n"/>
      <c r="I427">
        <f>IF(A427="","",B427&amp;"|"&amp;(A427*1))</f>
        <v/>
      </c>
      <c r="J427">
        <f>IF(B427="",0,IF(COUNTIF('3.설계사'!$B$4:$B$303,B427)=0,1,0))</f>
        <v/>
      </c>
    </row>
    <row r="428">
      <c r="A428" s="8" t="n"/>
      <c r="B428" s="9" t="n"/>
      <c r="C428" s="9" t="n"/>
      <c r="D428" s="9" t="n"/>
      <c r="E428" s="9" t="n"/>
      <c r="F428" s="8" t="n"/>
      <c r="G428" s="9" t="n"/>
      <c r="H428" s="9" t="n"/>
      <c r="I428">
        <f>IF(A428="","",B428&amp;"|"&amp;(A428*1))</f>
        <v/>
      </c>
      <c r="J428">
        <f>IF(B428="",0,IF(COUNTIF('3.설계사'!$B$4:$B$303,B428)=0,1,0))</f>
        <v/>
      </c>
    </row>
    <row r="429">
      <c r="A429" s="8" t="n"/>
      <c r="B429" s="9" t="n"/>
      <c r="C429" s="9" t="n"/>
      <c r="D429" s="9" t="n"/>
      <c r="E429" s="9" t="n"/>
      <c r="F429" s="8" t="n"/>
      <c r="G429" s="9" t="n"/>
      <c r="H429" s="9" t="n"/>
      <c r="I429">
        <f>IF(A429="","",B429&amp;"|"&amp;(A429*1))</f>
        <v/>
      </c>
      <c r="J429">
        <f>IF(B429="",0,IF(COUNTIF('3.설계사'!$B$4:$B$303,B429)=0,1,0))</f>
        <v/>
      </c>
    </row>
    <row r="430">
      <c r="A430" s="8" t="n"/>
      <c r="B430" s="9" t="n"/>
      <c r="C430" s="9" t="n"/>
      <c r="D430" s="9" t="n"/>
      <c r="E430" s="9" t="n"/>
      <c r="F430" s="8" t="n"/>
      <c r="G430" s="9" t="n"/>
      <c r="H430" s="9" t="n"/>
      <c r="I430">
        <f>IF(A430="","",B430&amp;"|"&amp;(A430*1))</f>
        <v/>
      </c>
      <c r="J430">
        <f>IF(B430="",0,IF(COUNTIF('3.설계사'!$B$4:$B$303,B430)=0,1,0))</f>
        <v/>
      </c>
    </row>
    <row r="431">
      <c r="A431" s="8" t="n"/>
      <c r="B431" s="9" t="n"/>
      <c r="C431" s="9" t="n"/>
      <c r="D431" s="9" t="n"/>
      <c r="E431" s="9" t="n"/>
      <c r="F431" s="8" t="n"/>
      <c r="G431" s="9" t="n"/>
      <c r="H431" s="9" t="n"/>
      <c r="I431">
        <f>IF(A431="","",B431&amp;"|"&amp;(A431*1))</f>
        <v/>
      </c>
      <c r="J431">
        <f>IF(B431="",0,IF(COUNTIF('3.설계사'!$B$4:$B$303,B431)=0,1,0))</f>
        <v/>
      </c>
    </row>
    <row r="432">
      <c r="A432" s="8" t="n"/>
      <c r="B432" s="9" t="n"/>
      <c r="C432" s="9" t="n"/>
      <c r="D432" s="9" t="n"/>
      <c r="E432" s="9" t="n"/>
      <c r="F432" s="8" t="n"/>
      <c r="G432" s="9" t="n"/>
      <c r="H432" s="9" t="n"/>
      <c r="I432">
        <f>IF(A432="","",B432&amp;"|"&amp;(A432*1))</f>
        <v/>
      </c>
      <c r="J432">
        <f>IF(B432="",0,IF(COUNTIF('3.설계사'!$B$4:$B$303,B432)=0,1,0))</f>
        <v/>
      </c>
    </row>
    <row r="433">
      <c r="A433" s="8" t="n"/>
      <c r="B433" s="9" t="n"/>
      <c r="C433" s="9" t="n"/>
      <c r="D433" s="9" t="n"/>
      <c r="E433" s="9" t="n"/>
      <c r="F433" s="8" t="n"/>
      <c r="G433" s="9" t="n"/>
      <c r="H433" s="9" t="n"/>
      <c r="I433">
        <f>IF(A433="","",B433&amp;"|"&amp;(A433*1))</f>
        <v/>
      </c>
      <c r="J433">
        <f>IF(B433="",0,IF(COUNTIF('3.설계사'!$B$4:$B$303,B433)=0,1,0))</f>
        <v/>
      </c>
    </row>
    <row r="434">
      <c r="A434" s="8" t="n"/>
      <c r="B434" s="9" t="n"/>
      <c r="C434" s="9" t="n"/>
      <c r="D434" s="9" t="n"/>
      <c r="E434" s="9" t="n"/>
      <c r="F434" s="8" t="n"/>
      <c r="G434" s="9" t="n"/>
      <c r="H434" s="9" t="n"/>
      <c r="I434">
        <f>IF(A434="","",B434&amp;"|"&amp;(A434*1))</f>
        <v/>
      </c>
      <c r="J434">
        <f>IF(B434="",0,IF(COUNTIF('3.설계사'!$B$4:$B$303,B434)=0,1,0))</f>
        <v/>
      </c>
    </row>
    <row r="435">
      <c r="A435" s="8" t="n"/>
      <c r="B435" s="9" t="n"/>
      <c r="C435" s="9" t="n"/>
      <c r="D435" s="9" t="n"/>
      <c r="E435" s="9" t="n"/>
      <c r="F435" s="8" t="n"/>
      <c r="G435" s="9" t="n"/>
      <c r="H435" s="9" t="n"/>
      <c r="I435">
        <f>IF(A435="","",B435&amp;"|"&amp;(A435*1))</f>
        <v/>
      </c>
      <c r="J435">
        <f>IF(B435="",0,IF(COUNTIF('3.설계사'!$B$4:$B$303,B435)=0,1,0))</f>
        <v/>
      </c>
    </row>
    <row r="436">
      <c r="A436" s="8" t="n"/>
      <c r="B436" s="9" t="n"/>
      <c r="C436" s="9" t="n"/>
      <c r="D436" s="9" t="n"/>
      <c r="E436" s="9" t="n"/>
      <c r="F436" s="8" t="n"/>
      <c r="G436" s="9" t="n"/>
      <c r="H436" s="9" t="n"/>
      <c r="I436">
        <f>IF(A436="","",B436&amp;"|"&amp;(A436*1))</f>
        <v/>
      </c>
      <c r="J436">
        <f>IF(B436="",0,IF(COUNTIF('3.설계사'!$B$4:$B$303,B436)=0,1,0))</f>
        <v/>
      </c>
    </row>
    <row r="437">
      <c r="A437" s="8" t="n"/>
      <c r="B437" s="9" t="n"/>
      <c r="C437" s="9" t="n"/>
      <c r="D437" s="9" t="n"/>
      <c r="E437" s="9" t="n"/>
      <c r="F437" s="8" t="n"/>
      <c r="G437" s="9" t="n"/>
      <c r="H437" s="9" t="n"/>
      <c r="I437">
        <f>IF(A437="","",B437&amp;"|"&amp;(A437*1))</f>
        <v/>
      </c>
      <c r="J437">
        <f>IF(B437="",0,IF(COUNTIF('3.설계사'!$B$4:$B$303,B437)=0,1,0))</f>
        <v/>
      </c>
    </row>
    <row r="438">
      <c r="A438" s="8" t="n"/>
      <c r="B438" s="9" t="n"/>
      <c r="C438" s="9" t="n"/>
      <c r="D438" s="9" t="n"/>
      <c r="E438" s="9" t="n"/>
      <c r="F438" s="8" t="n"/>
      <c r="G438" s="9" t="n"/>
      <c r="H438" s="9" t="n"/>
      <c r="I438">
        <f>IF(A438="","",B438&amp;"|"&amp;(A438*1))</f>
        <v/>
      </c>
      <c r="J438">
        <f>IF(B438="",0,IF(COUNTIF('3.설계사'!$B$4:$B$303,B438)=0,1,0))</f>
        <v/>
      </c>
    </row>
    <row r="439">
      <c r="A439" s="8" t="n"/>
      <c r="B439" s="9" t="n"/>
      <c r="C439" s="9" t="n"/>
      <c r="D439" s="9" t="n"/>
      <c r="E439" s="9" t="n"/>
      <c r="F439" s="8" t="n"/>
      <c r="G439" s="9" t="n"/>
      <c r="H439" s="9" t="n"/>
      <c r="I439">
        <f>IF(A439="","",B439&amp;"|"&amp;(A439*1))</f>
        <v/>
      </c>
      <c r="J439">
        <f>IF(B439="",0,IF(COUNTIF('3.설계사'!$B$4:$B$303,B439)=0,1,0))</f>
        <v/>
      </c>
    </row>
    <row r="440">
      <c r="A440" s="8" t="n"/>
      <c r="B440" s="9" t="n"/>
      <c r="C440" s="9" t="n"/>
      <c r="D440" s="9" t="n"/>
      <c r="E440" s="9" t="n"/>
      <c r="F440" s="8" t="n"/>
      <c r="G440" s="9" t="n"/>
      <c r="H440" s="9" t="n"/>
      <c r="I440">
        <f>IF(A440="","",B440&amp;"|"&amp;(A440*1))</f>
        <v/>
      </c>
      <c r="J440">
        <f>IF(B440="",0,IF(COUNTIF('3.설계사'!$B$4:$B$303,B440)=0,1,0))</f>
        <v/>
      </c>
    </row>
    <row r="441">
      <c r="A441" s="8" t="n"/>
      <c r="B441" s="9" t="n"/>
      <c r="C441" s="9" t="n"/>
      <c r="D441" s="9" t="n"/>
      <c r="E441" s="9" t="n"/>
      <c r="F441" s="8" t="n"/>
      <c r="G441" s="9" t="n"/>
      <c r="H441" s="9" t="n"/>
      <c r="I441">
        <f>IF(A441="","",B441&amp;"|"&amp;(A441*1))</f>
        <v/>
      </c>
      <c r="J441">
        <f>IF(B441="",0,IF(COUNTIF('3.설계사'!$B$4:$B$303,B441)=0,1,0))</f>
        <v/>
      </c>
    </row>
    <row r="442">
      <c r="A442" s="8" t="n"/>
      <c r="B442" s="9" t="n"/>
      <c r="C442" s="9" t="n"/>
      <c r="D442" s="9" t="n"/>
      <c r="E442" s="9" t="n"/>
      <c r="F442" s="8" t="n"/>
      <c r="G442" s="9" t="n"/>
      <c r="H442" s="9" t="n"/>
      <c r="I442">
        <f>IF(A442="","",B442&amp;"|"&amp;(A442*1))</f>
        <v/>
      </c>
      <c r="J442">
        <f>IF(B442="",0,IF(COUNTIF('3.설계사'!$B$4:$B$303,B442)=0,1,0))</f>
        <v/>
      </c>
    </row>
    <row r="443">
      <c r="A443" s="8" t="n"/>
      <c r="B443" s="9" t="n"/>
      <c r="C443" s="9" t="n"/>
      <c r="D443" s="9" t="n"/>
      <c r="E443" s="9" t="n"/>
      <c r="F443" s="8" t="n"/>
      <c r="G443" s="9" t="n"/>
      <c r="H443" s="9" t="n"/>
      <c r="I443">
        <f>IF(A443="","",B443&amp;"|"&amp;(A443*1))</f>
        <v/>
      </c>
      <c r="J443">
        <f>IF(B443="",0,IF(COUNTIF('3.설계사'!$B$4:$B$303,B443)=0,1,0))</f>
        <v/>
      </c>
    </row>
    <row r="444">
      <c r="A444" s="8" t="n"/>
      <c r="B444" s="9" t="n"/>
      <c r="C444" s="9" t="n"/>
      <c r="D444" s="9" t="n"/>
      <c r="E444" s="9" t="n"/>
      <c r="F444" s="8" t="n"/>
      <c r="G444" s="9" t="n"/>
      <c r="H444" s="9" t="n"/>
      <c r="I444">
        <f>IF(A444="","",B444&amp;"|"&amp;(A444*1))</f>
        <v/>
      </c>
      <c r="J444">
        <f>IF(B444="",0,IF(COUNTIF('3.설계사'!$B$4:$B$303,B444)=0,1,0))</f>
        <v/>
      </c>
    </row>
    <row r="445">
      <c r="A445" s="8" t="n"/>
      <c r="B445" s="9" t="n"/>
      <c r="C445" s="9" t="n"/>
      <c r="D445" s="9" t="n"/>
      <c r="E445" s="9" t="n"/>
      <c r="F445" s="8" t="n"/>
      <c r="G445" s="9" t="n"/>
      <c r="H445" s="9" t="n"/>
      <c r="I445">
        <f>IF(A445="","",B445&amp;"|"&amp;(A445*1))</f>
        <v/>
      </c>
      <c r="J445">
        <f>IF(B445="",0,IF(COUNTIF('3.설계사'!$B$4:$B$303,B445)=0,1,0))</f>
        <v/>
      </c>
    </row>
    <row r="446">
      <c r="A446" s="8" t="n"/>
      <c r="B446" s="9" t="n"/>
      <c r="C446" s="9" t="n"/>
      <c r="D446" s="9" t="n"/>
      <c r="E446" s="9" t="n"/>
      <c r="F446" s="8" t="n"/>
      <c r="G446" s="9" t="n"/>
      <c r="H446" s="9" t="n"/>
      <c r="I446">
        <f>IF(A446="","",B446&amp;"|"&amp;(A446*1))</f>
        <v/>
      </c>
      <c r="J446">
        <f>IF(B446="",0,IF(COUNTIF('3.설계사'!$B$4:$B$303,B446)=0,1,0))</f>
        <v/>
      </c>
    </row>
    <row r="447">
      <c r="A447" s="8" t="n"/>
      <c r="B447" s="9" t="n"/>
      <c r="C447" s="9" t="n"/>
      <c r="D447" s="9" t="n"/>
      <c r="E447" s="9" t="n"/>
      <c r="F447" s="8" t="n"/>
      <c r="G447" s="9" t="n"/>
      <c r="H447" s="9" t="n"/>
      <c r="I447">
        <f>IF(A447="","",B447&amp;"|"&amp;(A447*1))</f>
        <v/>
      </c>
      <c r="J447">
        <f>IF(B447="",0,IF(COUNTIF('3.설계사'!$B$4:$B$303,B447)=0,1,0))</f>
        <v/>
      </c>
    </row>
    <row r="448">
      <c r="A448" s="8" t="n"/>
      <c r="B448" s="9" t="n"/>
      <c r="C448" s="9" t="n"/>
      <c r="D448" s="9" t="n"/>
      <c r="E448" s="9" t="n"/>
      <c r="F448" s="8" t="n"/>
      <c r="G448" s="9" t="n"/>
      <c r="H448" s="9" t="n"/>
      <c r="I448">
        <f>IF(A448="","",B448&amp;"|"&amp;(A448*1))</f>
        <v/>
      </c>
      <c r="J448">
        <f>IF(B448="",0,IF(COUNTIF('3.설계사'!$B$4:$B$303,B448)=0,1,0))</f>
        <v/>
      </c>
    </row>
    <row r="449">
      <c r="A449" s="8" t="n"/>
      <c r="B449" s="9" t="n"/>
      <c r="C449" s="9" t="n"/>
      <c r="D449" s="9" t="n"/>
      <c r="E449" s="9" t="n"/>
      <c r="F449" s="8" t="n"/>
      <c r="G449" s="9" t="n"/>
      <c r="H449" s="9" t="n"/>
      <c r="I449">
        <f>IF(A449="","",B449&amp;"|"&amp;(A449*1))</f>
        <v/>
      </c>
      <c r="J449">
        <f>IF(B449="",0,IF(COUNTIF('3.설계사'!$B$4:$B$303,B449)=0,1,0))</f>
        <v/>
      </c>
    </row>
    <row r="450">
      <c r="A450" s="8" t="n"/>
      <c r="B450" s="9" t="n"/>
      <c r="C450" s="9" t="n"/>
      <c r="D450" s="9" t="n"/>
      <c r="E450" s="9" t="n"/>
      <c r="F450" s="8" t="n"/>
      <c r="G450" s="9" t="n"/>
      <c r="H450" s="9" t="n"/>
      <c r="I450">
        <f>IF(A450="","",B450&amp;"|"&amp;(A450*1))</f>
        <v/>
      </c>
      <c r="J450">
        <f>IF(B450="",0,IF(COUNTIF('3.설계사'!$B$4:$B$303,B450)=0,1,0))</f>
        <v/>
      </c>
    </row>
    <row r="451">
      <c r="A451" s="8" t="n"/>
      <c r="B451" s="9" t="n"/>
      <c r="C451" s="9" t="n"/>
      <c r="D451" s="9" t="n"/>
      <c r="E451" s="9" t="n"/>
      <c r="F451" s="8" t="n"/>
      <c r="G451" s="9" t="n"/>
      <c r="H451" s="9" t="n"/>
      <c r="I451">
        <f>IF(A451="","",B451&amp;"|"&amp;(A451*1))</f>
        <v/>
      </c>
      <c r="J451">
        <f>IF(B451="",0,IF(COUNTIF('3.설계사'!$B$4:$B$303,B451)=0,1,0))</f>
        <v/>
      </c>
    </row>
    <row r="452">
      <c r="A452" s="8" t="n"/>
      <c r="B452" s="9" t="n"/>
      <c r="C452" s="9" t="n"/>
      <c r="D452" s="9" t="n"/>
      <c r="E452" s="9" t="n"/>
      <c r="F452" s="8" t="n"/>
      <c r="G452" s="9" t="n"/>
      <c r="H452" s="9" t="n"/>
      <c r="I452">
        <f>IF(A452="","",B452&amp;"|"&amp;(A452*1))</f>
        <v/>
      </c>
      <c r="J452">
        <f>IF(B452="",0,IF(COUNTIF('3.설계사'!$B$4:$B$303,B452)=0,1,0))</f>
        <v/>
      </c>
    </row>
    <row r="453">
      <c r="A453" s="8" t="n"/>
      <c r="B453" s="9" t="n"/>
      <c r="C453" s="9" t="n"/>
      <c r="D453" s="9" t="n"/>
      <c r="E453" s="9" t="n"/>
      <c r="F453" s="8" t="n"/>
      <c r="G453" s="9" t="n"/>
      <c r="H453" s="9" t="n"/>
      <c r="I453">
        <f>IF(A453="","",B453&amp;"|"&amp;(A453*1))</f>
        <v/>
      </c>
      <c r="J453">
        <f>IF(B453="",0,IF(COUNTIF('3.설계사'!$B$4:$B$303,B453)=0,1,0))</f>
        <v/>
      </c>
    </row>
    <row r="454">
      <c r="A454" s="8" t="n"/>
      <c r="B454" s="9" t="n"/>
      <c r="C454" s="9" t="n"/>
      <c r="D454" s="9" t="n"/>
      <c r="E454" s="9" t="n"/>
      <c r="F454" s="8" t="n"/>
      <c r="G454" s="9" t="n"/>
      <c r="H454" s="9" t="n"/>
      <c r="I454">
        <f>IF(A454="","",B454&amp;"|"&amp;(A454*1))</f>
        <v/>
      </c>
      <c r="J454">
        <f>IF(B454="",0,IF(COUNTIF('3.설계사'!$B$4:$B$303,B454)=0,1,0))</f>
        <v/>
      </c>
    </row>
    <row r="455">
      <c r="A455" s="8" t="n"/>
      <c r="B455" s="9" t="n"/>
      <c r="C455" s="9" t="n"/>
      <c r="D455" s="9" t="n"/>
      <c r="E455" s="9" t="n"/>
      <c r="F455" s="8" t="n"/>
      <c r="G455" s="9" t="n"/>
      <c r="H455" s="9" t="n"/>
      <c r="I455">
        <f>IF(A455="","",B455&amp;"|"&amp;(A455*1))</f>
        <v/>
      </c>
      <c r="J455">
        <f>IF(B455="",0,IF(COUNTIF('3.설계사'!$B$4:$B$303,B455)=0,1,0))</f>
        <v/>
      </c>
    </row>
    <row r="456">
      <c r="A456" s="8" t="n"/>
      <c r="B456" s="9" t="n"/>
      <c r="C456" s="9" t="n"/>
      <c r="D456" s="9" t="n"/>
      <c r="E456" s="9" t="n"/>
      <c r="F456" s="8" t="n"/>
      <c r="G456" s="9" t="n"/>
      <c r="H456" s="9" t="n"/>
      <c r="I456">
        <f>IF(A456="","",B456&amp;"|"&amp;(A456*1))</f>
        <v/>
      </c>
      <c r="J456">
        <f>IF(B456="",0,IF(COUNTIF('3.설계사'!$B$4:$B$303,B456)=0,1,0))</f>
        <v/>
      </c>
    </row>
    <row r="457">
      <c r="A457" s="8" t="n"/>
      <c r="B457" s="9" t="n"/>
      <c r="C457" s="9" t="n"/>
      <c r="D457" s="9" t="n"/>
      <c r="E457" s="9" t="n"/>
      <c r="F457" s="8" t="n"/>
      <c r="G457" s="9" t="n"/>
      <c r="H457" s="9" t="n"/>
      <c r="I457">
        <f>IF(A457="","",B457&amp;"|"&amp;(A457*1))</f>
        <v/>
      </c>
      <c r="J457">
        <f>IF(B457="",0,IF(COUNTIF('3.설계사'!$B$4:$B$303,B457)=0,1,0))</f>
        <v/>
      </c>
    </row>
    <row r="458">
      <c r="A458" s="8" t="n"/>
      <c r="B458" s="9" t="n"/>
      <c r="C458" s="9" t="n"/>
      <c r="D458" s="9" t="n"/>
      <c r="E458" s="9" t="n"/>
      <c r="F458" s="8" t="n"/>
      <c r="G458" s="9" t="n"/>
      <c r="H458" s="9" t="n"/>
      <c r="I458">
        <f>IF(A458="","",B458&amp;"|"&amp;(A458*1))</f>
        <v/>
      </c>
      <c r="J458">
        <f>IF(B458="",0,IF(COUNTIF('3.설계사'!$B$4:$B$303,B458)=0,1,0))</f>
        <v/>
      </c>
    </row>
    <row r="459">
      <c r="A459" s="8" t="n"/>
      <c r="B459" s="9" t="n"/>
      <c r="C459" s="9" t="n"/>
      <c r="D459" s="9" t="n"/>
      <c r="E459" s="9" t="n"/>
      <c r="F459" s="8" t="n"/>
      <c r="G459" s="9" t="n"/>
      <c r="H459" s="9" t="n"/>
      <c r="I459">
        <f>IF(A459="","",B459&amp;"|"&amp;(A459*1))</f>
        <v/>
      </c>
      <c r="J459">
        <f>IF(B459="",0,IF(COUNTIF('3.설계사'!$B$4:$B$303,B459)=0,1,0))</f>
        <v/>
      </c>
    </row>
    <row r="460">
      <c r="A460" s="8" t="n"/>
      <c r="B460" s="9" t="n"/>
      <c r="C460" s="9" t="n"/>
      <c r="D460" s="9" t="n"/>
      <c r="E460" s="9" t="n"/>
      <c r="F460" s="8" t="n"/>
      <c r="G460" s="9" t="n"/>
      <c r="H460" s="9" t="n"/>
      <c r="I460">
        <f>IF(A460="","",B460&amp;"|"&amp;(A460*1))</f>
        <v/>
      </c>
      <c r="J460">
        <f>IF(B460="",0,IF(COUNTIF('3.설계사'!$B$4:$B$303,B460)=0,1,0))</f>
        <v/>
      </c>
    </row>
    <row r="461">
      <c r="A461" s="8" t="n"/>
      <c r="B461" s="9" t="n"/>
      <c r="C461" s="9" t="n"/>
      <c r="D461" s="9" t="n"/>
      <c r="E461" s="9" t="n"/>
      <c r="F461" s="8" t="n"/>
      <c r="G461" s="9" t="n"/>
      <c r="H461" s="9" t="n"/>
      <c r="I461">
        <f>IF(A461="","",B461&amp;"|"&amp;(A461*1))</f>
        <v/>
      </c>
      <c r="J461">
        <f>IF(B461="",0,IF(COUNTIF('3.설계사'!$B$4:$B$303,B461)=0,1,0))</f>
        <v/>
      </c>
    </row>
    <row r="462">
      <c r="A462" s="8" t="n"/>
      <c r="B462" s="9" t="n"/>
      <c r="C462" s="9" t="n"/>
      <c r="D462" s="9" t="n"/>
      <c r="E462" s="9" t="n"/>
      <c r="F462" s="8" t="n"/>
      <c r="G462" s="9" t="n"/>
      <c r="H462" s="9" t="n"/>
      <c r="I462">
        <f>IF(A462="","",B462&amp;"|"&amp;(A462*1))</f>
        <v/>
      </c>
      <c r="J462">
        <f>IF(B462="",0,IF(COUNTIF('3.설계사'!$B$4:$B$303,B462)=0,1,0))</f>
        <v/>
      </c>
    </row>
    <row r="463">
      <c r="A463" s="8" t="n"/>
      <c r="B463" s="9" t="n"/>
      <c r="C463" s="9" t="n"/>
      <c r="D463" s="9" t="n"/>
      <c r="E463" s="9" t="n"/>
      <c r="F463" s="8" t="n"/>
      <c r="G463" s="9" t="n"/>
      <c r="H463" s="9" t="n"/>
      <c r="I463">
        <f>IF(A463="","",B463&amp;"|"&amp;(A463*1))</f>
        <v/>
      </c>
      <c r="J463">
        <f>IF(B463="",0,IF(COUNTIF('3.설계사'!$B$4:$B$303,B463)=0,1,0))</f>
        <v/>
      </c>
    </row>
    <row r="464">
      <c r="A464" s="8" t="n"/>
      <c r="B464" s="9" t="n"/>
      <c r="C464" s="9" t="n"/>
      <c r="D464" s="9" t="n"/>
      <c r="E464" s="9" t="n"/>
      <c r="F464" s="8" t="n"/>
      <c r="G464" s="9" t="n"/>
      <c r="H464" s="9" t="n"/>
      <c r="I464">
        <f>IF(A464="","",B464&amp;"|"&amp;(A464*1))</f>
        <v/>
      </c>
      <c r="J464">
        <f>IF(B464="",0,IF(COUNTIF('3.설계사'!$B$4:$B$303,B464)=0,1,0))</f>
        <v/>
      </c>
    </row>
    <row r="465">
      <c r="A465" s="8" t="n"/>
      <c r="B465" s="9" t="n"/>
      <c r="C465" s="9" t="n"/>
      <c r="D465" s="9" t="n"/>
      <c r="E465" s="9" t="n"/>
      <c r="F465" s="8" t="n"/>
      <c r="G465" s="9" t="n"/>
      <c r="H465" s="9" t="n"/>
      <c r="I465">
        <f>IF(A465="","",B465&amp;"|"&amp;(A465*1))</f>
        <v/>
      </c>
      <c r="J465">
        <f>IF(B465="",0,IF(COUNTIF('3.설계사'!$B$4:$B$303,B465)=0,1,0))</f>
        <v/>
      </c>
    </row>
    <row r="466">
      <c r="A466" s="8" t="n"/>
      <c r="B466" s="9" t="n"/>
      <c r="C466" s="9" t="n"/>
      <c r="D466" s="9" t="n"/>
      <c r="E466" s="9" t="n"/>
      <c r="F466" s="8" t="n"/>
      <c r="G466" s="9" t="n"/>
      <c r="H466" s="9" t="n"/>
      <c r="I466">
        <f>IF(A466="","",B466&amp;"|"&amp;(A466*1))</f>
        <v/>
      </c>
      <c r="J466">
        <f>IF(B466="",0,IF(COUNTIF('3.설계사'!$B$4:$B$303,B466)=0,1,0))</f>
        <v/>
      </c>
    </row>
    <row r="467">
      <c r="A467" s="8" t="n"/>
      <c r="B467" s="9" t="n"/>
      <c r="C467" s="9" t="n"/>
      <c r="D467" s="9" t="n"/>
      <c r="E467" s="9" t="n"/>
      <c r="F467" s="8" t="n"/>
      <c r="G467" s="9" t="n"/>
      <c r="H467" s="9" t="n"/>
      <c r="I467">
        <f>IF(A467="","",B467&amp;"|"&amp;(A467*1))</f>
        <v/>
      </c>
      <c r="J467">
        <f>IF(B467="",0,IF(COUNTIF('3.설계사'!$B$4:$B$303,B467)=0,1,0))</f>
        <v/>
      </c>
    </row>
    <row r="468">
      <c r="A468" s="8" t="n"/>
      <c r="B468" s="9" t="n"/>
      <c r="C468" s="9" t="n"/>
      <c r="D468" s="9" t="n"/>
      <c r="E468" s="9" t="n"/>
      <c r="F468" s="8" t="n"/>
      <c r="G468" s="9" t="n"/>
      <c r="H468" s="9" t="n"/>
      <c r="I468">
        <f>IF(A468="","",B468&amp;"|"&amp;(A468*1))</f>
        <v/>
      </c>
      <c r="J468">
        <f>IF(B468="",0,IF(COUNTIF('3.설계사'!$B$4:$B$303,B468)=0,1,0))</f>
        <v/>
      </c>
    </row>
    <row r="469">
      <c r="A469" s="8" t="n"/>
      <c r="B469" s="9" t="n"/>
      <c r="C469" s="9" t="n"/>
      <c r="D469" s="9" t="n"/>
      <c r="E469" s="9" t="n"/>
      <c r="F469" s="8" t="n"/>
      <c r="G469" s="9" t="n"/>
      <c r="H469" s="9" t="n"/>
      <c r="I469">
        <f>IF(A469="","",B469&amp;"|"&amp;(A469*1))</f>
        <v/>
      </c>
      <c r="J469">
        <f>IF(B469="",0,IF(COUNTIF('3.설계사'!$B$4:$B$303,B469)=0,1,0))</f>
        <v/>
      </c>
    </row>
    <row r="470">
      <c r="A470" s="8" t="n"/>
      <c r="B470" s="9" t="n"/>
      <c r="C470" s="9" t="n"/>
      <c r="D470" s="9" t="n"/>
      <c r="E470" s="9" t="n"/>
      <c r="F470" s="8" t="n"/>
      <c r="G470" s="9" t="n"/>
      <c r="H470" s="9" t="n"/>
      <c r="I470">
        <f>IF(A470="","",B470&amp;"|"&amp;(A470*1))</f>
        <v/>
      </c>
      <c r="J470">
        <f>IF(B470="",0,IF(COUNTIF('3.설계사'!$B$4:$B$303,B470)=0,1,0))</f>
        <v/>
      </c>
    </row>
    <row r="471">
      <c r="A471" s="8" t="n"/>
      <c r="B471" s="9" t="n"/>
      <c r="C471" s="9" t="n"/>
      <c r="D471" s="9" t="n"/>
      <c r="E471" s="9" t="n"/>
      <c r="F471" s="8" t="n"/>
      <c r="G471" s="9" t="n"/>
      <c r="H471" s="9" t="n"/>
      <c r="I471">
        <f>IF(A471="","",B471&amp;"|"&amp;(A471*1))</f>
        <v/>
      </c>
      <c r="J471">
        <f>IF(B471="",0,IF(COUNTIF('3.설계사'!$B$4:$B$303,B471)=0,1,0))</f>
        <v/>
      </c>
    </row>
    <row r="472">
      <c r="A472" s="8" t="n"/>
      <c r="B472" s="9" t="n"/>
      <c r="C472" s="9" t="n"/>
      <c r="D472" s="9" t="n"/>
      <c r="E472" s="9" t="n"/>
      <c r="F472" s="8" t="n"/>
      <c r="G472" s="9" t="n"/>
      <c r="H472" s="9" t="n"/>
      <c r="I472">
        <f>IF(A472="","",B472&amp;"|"&amp;(A472*1))</f>
        <v/>
      </c>
      <c r="J472">
        <f>IF(B472="",0,IF(COUNTIF('3.설계사'!$B$4:$B$303,B472)=0,1,0))</f>
        <v/>
      </c>
    </row>
    <row r="473">
      <c r="A473" s="8" t="n"/>
      <c r="B473" s="9" t="n"/>
      <c r="C473" s="9" t="n"/>
      <c r="D473" s="9" t="n"/>
      <c r="E473" s="9" t="n"/>
      <c r="F473" s="8" t="n"/>
      <c r="G473" s="9" t="n"/>
      <c r="H473" s="9" t="n"/>
      <c r="I473">
        <f>IF(A473="","",B473&amp;"|"&amp;(A473*1))</f>
        <v/>
      </c>
      <c r="J473">
        <f>IF(B473="",0,IF(COUNTIF('3.설계사'!$B$4:$B$303,B473)=0,1,0))</f>
        <v/>
      </c>
    </row>
    <row r="474">
      <c r="A474" s="8" t="n"/>
      <c r="B474" s="9" t="n"/>
      <c r="C474" s="9" t="n"/>
      <c r="D474" s="9" t="n"/>
      <c r="E474" s="9" t="n"/>
      <c r="F474" s="8" t="n"/>
      <c r="G474" s="9" t="n"/>
      <c r="H474" s="9" t="n"/>
      <c r="I474">
        <f>IF(A474="","",B474&amp;"|"&amp;(A474*1))</f>
        <v/>
      </c>
      <c r="J474">
        <f>IF(B474="",0,IF(COUNTIF('3.설계사'!$B$4:$B$303,B474)=0,1,0))</f>
        <v/>
      </c>
    </row>
    <row r="475">
      <c r="A475" s="8" t="n"/>
      <c r="B475" s="9" t="n"/>
      <c r="C475" s="9" t="n"/>
      <c r="D475" s="9" t="n"/>
      <c r="E475" s="9" t="n"/>
      <c r="F475" s="8" t="n"/>
      <c r="G475" s="9" t="n"/>
      <c r="H475" s="9" t="n"/>
      <c r="I475">
        <f>IF(A475="","",B475&amp;"|"&amp;(A475*1))</f>
        <v/>
      </c>
      <c r="J475">
        <f>IF(B475="",0,IF(COUNTIF('3.설계사'!$B$4:$B$303,B475)=0,1,0))</f>
        <v/>
      </c>
    </row>
    <row r="476">
      <c r="A476" s="8" t="n"/>
      <c r="B476" s="9" t="n"/>
      <c r="C476" s="9" t="n"/>
      <c r="D476" s="9" t="n"/>
      <c r="E476" s="9" t="n"/>
      <c r="F476" s="8" t="n"/>
      <c r="G476" s="9" t="n"/>
      <c r="H476" s="9" t="n"/>
      <c r="I476">
        <f>IF(A476="","",B476&amp;"|"&amp;(A476*1))</f>
        <v/>
      </c>
      <c r="J476">
        <f>IF(B476="",0,IF(COUNTIF('3.설계사'!$B$4:$B$303,B476)=0,1,0))</f>
        <v/>
      </c>
    </row>
    <row r="477">
      <c r="A477" s="8" t="n"/>
      <c r="B477" s="9" t="n"/>
      <c r="C477" s="9" t="n"/>
      <c r="D477" s="9" t="n"/>
      <c r="E477" s="9" t="n"/>
      <c r="F477" s="8" t="n"/>
      <c r="G477" s="9" t="n"/>
      <c r="H477" s="9" t="n"/>
      <c r="I477">
        <f>IF(A477="","",B477&amp;"|"&amp;(A477*1))</f>
        <v/>
      </c>
      <c r="J477">
        <f>IF(B477="",0,IF(COUNTIF('3.설계사'!$B$4:$B$303,B477)=0,1,0))</f>
        <v/>
      </c>
    </row>
    <row r="478">
      <c r="A478" s="8" t="n"/>
      <c r="B478" s="9" t="n"/>
      <c r="C478" s="9" t="n"/>
      <c r="D478" s="9" t="n"/>
      <c r="E478" s="9" t="n"/>
      <c r="F478" s="8" t="n"/>
      <c r="G478" s="9" t="n"/>
      <c r="H478" s="9" t="n"/>
      <c r="I478">
        <f>IF(A478="","",B478&amp;"|"&amp;(A478*1))</f>
        <v/>
      </c>
      <c r="J478">
        <f>IF(B478="",0,IF(COUNTIF('3.설계사'!$B$4:$B$303,B478)=0,1,0))</f>
        <v/>
      </c>
    </row>
    <row r="479">
      <c r="A479" s="8" t="n"/>
      <c r="B479" s="9" t="n"/>
      <c r="C479" s="9" t="n"/>
      <c r="D479" s="9" t="n"/>
      <c r="E479" s="9" t="n"/>
      <c r="F479" s="8" t="n"/>
      <c r="G479" s="9" t="n"/>
      <c r="H479" s="9" t="n"/>
      <c r="I479">
        <f>IF(A479="","",B479&amp;"|"&amp;(A479*1))</f>
        <v/>
      </c>
      <c r="J479">
        <f>IF(B479="",0,IF(COUNTIF('3.설계사'!$B$4:$B$303,B479)=0,1,0))</f>
        <v/>
      </c>
    </row>
    <row r="480">
      <c r="A480" s="8" t="n"/>
      <c r="B480" s="9" t="n"/>
      <c r="C480" s="9" t="n"/>
      <c r="D480" s="9" t="n"/>
      <c r="E480" s="9" t="n"/>
      <c r="F480" s="8" t="n"/>
      <c r="G480" s="9" t="n"/>
      <c r="H480" s="9" t="n"/>
      <c r="I480">
        <f>IF(A480="","",B480&amp;"|"&amp;(A480*1))</f>
        <v/>
      </c>
      <c r="J480">
        <f>IF(B480="",0,IF(COUNTIF('3.설계사'!$B$4:$B$303,B480)=0,1,0))</f>
        <v/>
      </c>
    </row>
    <row r="481">
      <c r="A481" s="8" t="n"/>
      <c r="B481" s="9" t="n"/>
      <c r="C481" s="9" t="n"/>
      <c r="D481" s="9" t="n"/>
      <c r="E481" s="9" t="n"/>
      <c r="F481" s="8" t="n"/>
      <c r="G481" s="9" t="n"/>
      <c r="H481" s="9" t="n"/>
      <c r="I481">
        <f>IF(A481="","",B481&amp;"|"&amp;(A481*1))</f>
        <v/>
      </c>
      <c r="J481">
        <f>IF(B481="",0,IF(COUNTIF('3.설계사'!$B$4:$B$303,B481)=0,1,0))</f>
        <v/>
      </c>
    </row>
    <row r="482">
      <c r="A482" s="8" t="n"/>
      <c r="B482" s="9" t="n"/>
      <c r="C482" s="9" t="n"/>
      <c r="D482" s="9" t="n"/>
      <c r="E482" s="9" t="n"/>
      <c r="F482" s="8" t="n"/>
      <c r="G482" s="9" t="n"/>
      <c r="H482" s="9" t="n"/>
      <c r="I482">
        <f>IF(A482="","",B482&amp;"|"&amp;(A482*1))</f>
        <v/>
      </c>
      <c r="J482">
        <f>IF(B482="",0,IF(COUNTIF('3.설계사'!$B$4:$B$303,B482)=0,1,0))</f>
        <v/>
      </c>
    </row>
    <row r="483">
      <c r="A483" s="8" t="n"/>
      <c r="B483" s="9" t="n"/>
      <c r="C483" s="9" t="n"/>
      <c r="D483" s="9" t="n"/>
      <c r="E483" s="9" t="n"/>
      <c r="F483" s="8" t="n"/>
      <c r="G483" s="9" t="n"/>
      <c r="H483" s="9" t="n"/>
      <c r="I483">
        <f>IF(A483="","",B483&amp;"|"&amp;(A483*1))</f>
        <v/>
      </c>
      <c r="J483">
        <f>IF(B483="",0,IF(COUNTIF('3.설계사'!$B$4:$B$303,B483)=0,1,0))</f>
        <v/>
      </c>
    </row>
    <row r="484">
      <c r="A484" s="8" t="n"/>
      <c r="B484" s="9" t="n"/>
      <c r="C484" s="9" t="n"/>
      <c r="D484" s="9" t="n"/>
      <c r="E484" s="9" t="n"/>
      <c r="F484" s="8" t="n"/>
      <c r="G484" s="9" t="n"/>
      <c r="H484" s="9" t="n"/>
      <c r="I484">
        <f>IF(A484="","",B484&amp;"|"&amp;(A484*1))</f>
        <v/>
      </c>
      <c r="J484">
        <f>IF(B484="",0,IF(COUNTIF('3.설계사'!$B$4:$B$303,B484)=0,1,0))</f>
        <v/>
      </c>
    </row>
    <row r="485">
      <c r="A485" s="8" t="n"/>
      <c r="B485" s="9" t="n"/>
      <c r="C485" s="9" t="n"/>
      <c r="D485" s="9" t="n"/>
      <c r="E485" s="9" t="n"/>
      <c r="F485" s="8" t="n"/>
      <c r="G485" s="9" t="n"/>
      <c r="H485" s="9" t="n"/>
      <c r="I485">
        <f>IF(A485="","",B485&amp;"|"&amp;(A485*1))</f>
        <v/>
      </c>
      <c r="J485">
        <f>IF(B485="",0,IF(COUNTIF('3.설계사'!$B$4:$B$303,B485)=0,1,0))</f>
        <v/>
      </c>
    </row>
    <row r="486">
      <c r="A486" s="8" t="n"/>
      <c r="B486" s="9" t="n"/>
      <c r="C486" s="9" t="n"/>
      <c r="D486" s="9" t="n"/>
      <c r="E486" s="9" t="n"/>
      <c r="F486" s="8" t="n"/>
      <c r="G486" s="9" t="n"/>
      <c r="H486" s="9" t="n"/>
      <c r="I486">
        <f>IF(A486="","",B486&amp;"|"&amp;(A486*1))</f>
        <v/>
      </c>
      <c r="J486">
        <f>IF(B486="",0,IF(COUNTIF('3.설계사'!$B$4:$B$303,B486)=0,1,0))</f>
        <v/>
      </c>
    </row>
    <row r="487">
      <c r="A487" s="8" t="n"/>
      <c r="B487" s="9" t="n"/>
      <c r="C487" s="9" t="n"/>
      <c r="D487" s="9" t="n"/>
      <c r="E487" s="9" t="n"/>
      <c r="F487" s="8" t="n"/>
      <c r="G487" s="9" t="n"/>
      <c r="H487" s="9" t="n"/>
      <c r="I487">
        <f>IF(A487="","",B487&amp;"|"&amp;(A487*1))</f>
        <v/>
      </c>
      <c r="J487">
        <f>IF(B487="",0,IF(COUNTIF('3.설계사'!$B$4:$B$303,B487)=0,1,0))</f>
        <v/>
      </c>
    </row>
    <row r="488">
      <c r="A488" s="8" t="n"/>
      <c r="B488" s="9" t="n"/>
      <c r="C488" s="9" t="n"/>
      <c r="D488" s="9" t="n"/>
      <c r="E488" s="9" t="n"/>
      <c r="F488" s="8" t="n"/>
      <c r="G488" s="9" t="n"/>
      <c r="H488" s="9" t="n"/>
      <c r="I488">
        <f>IF(A488="","",B488&amp;"|"&amp;(A488*1))</f>
        <v/>
      </c>
      <c r="J488">
        <f>IF(B488="",0,IF(COUNTIF('3.설계사'!$B$4:$B$303,B488)=0,1,0))</f>
        <v/>
      </c>
    </row>
    <row r="489">
      <c r="A489" s="8" t="n"/>
      <c r="B489" s="9" t="n"/>
      <c r="C489" s="9" t="n"/>
      <c r="D489" s="9" t="n"/>
      <c r="E489" s="9" t="n"/>
      <c r="F489" s="8" t="n"/>
      <c r="G489" s="9" t="n"/>
      <c r="H489" s="9" t="n"/>
      <c r="I489">
        <f>IF(A489="","",B489&amp;"|"&amp;(A489*1))</f>
        <v/>
      </c>
      <c r="J489">
        <f>IF(B489="",0,IF(COUNTIF('3.설계사'!$B$4:$B$303,B489)=0,1,0))</f>
        <v/>
      </c>
    </row>
    <row r="490">
      <c r="A490" s="8" t="n"/>
      <c r="B490" s="9" t="n"/>
      <c r="C490" s="9" t="n"/>
      <c r="D490" s="9" t="n"/>
      <c r="E490" s="9" t="n"/>
      <c r="F490" s="8" t="n"/>
      <c r="G490" s="9" t="n"/>
      <c r="H490" s="9" t="n"/>
      <c r="I490">
        <f>IF(A490="","",B490&amp;"|"&amp;(A490*1))</f>
        <v/>
      </c>
      <c r="J490">
        <f>IF(B490="",0,IF(COUNTIF('3.설계사'!$B$4:$B$303,B490)=0,1,0))</f>
        <v/>
      </c>
    </row>
    <row r="491">
      <c r="A491" s="8" t="n"/>
      <c r="B491" s="9" t="n"/>
      <c r="C491" s="9" t="n"/>
      <c r="D491" s="9" t="n"/>
      <c r="E491" s="9" t="n"/>
      <c r="F491" s="8" t="n"/>
      <c r="G491" s="9" t="n"/>
      <c r="H491" s="9" t="n"/>
      <c r="I491">
        <f>IF(A491="","",B491&amp;"|"&amp;(A491*1))</f>
        <v/>
      </c>
      <c r="J491">
        <f>IF(B491="",0,IF(COUNTIF('3.설계사'!$B$4:$B$303,B491)=0,1,0))</f>
        <v/>
      </c>
    </row>
    <row r="492">
      <c r="A492" s="8" t="n"/>
      <c r="B492" s="9" t="n"/>
      <c r="C492" s="9" t="n"/>
      <c r="D492" s="9" t="n"/>
      <c r="E492" s="9" t="n"/>
      <c r="F492" s="8" t="n"/>
      <c r="G492" s="9" t="n"/>
      <c r="H492" s="9" t="n"/>
      <c r="I492">
        <f>IF(A492="","",B492&amp;"|"&amp;(A492*1))</f>
        <v/>
      </c>
      <c r="J492">
        <f>IF(B492="",0,IF(COUNTIF('3.설계사'!$B$4:$B$303,B492)=0,1,0))</f>
        <v/>
      </c>
    </row>
    <row r="493">
      <c r="A493" s="8" t="n"/>
      <c r="B493" s="9" t="n"/>
      <c r="C493" s="9" t="n"/>
      <c r="D493" s="9" t="n"/>
      <c r="E493" s="9" t="n"/>
      <c r="F493" s="8" t="n"/>
      <c r="G493" s="9" t="n"/>
      <c r="H493" s="9" t="n"/>
      <c r="I493">
        <f>IF(A493="","",B493&amp;"|"&amp;(A493*1))</f>
        <v/>
      </c>
      <c r="J493">
        <f>IF(B493="",0,IF(COUNTIF('3.설계사'!$B$4:$B$303,B493)=0,1,0))</f>
        <v/>
      </c>
    </row>
    <row r="494">
      <c r="A494" s="8" t="n"/>
      <c r="B494" s="9" t="n"/>
      <c r="C494" s="9" t="n"/>
      <c r="D494" s="9" t="n"/>
      <c r="E494" s="9" t="n"/>
      <c r="F494" s="8" t="n"/>
      <c r="G494" s="9" t="n"/>
      <c r="H494" s="9" t="n"/>
      <c r="I494">
        <f>IF(A494="","",B494&amp;"|"&amp;(A494*1))</f>
        <v/>
      </c>
      <c r="J494">
        <f>IF(B494="",0,IF(COUNTIF('3.설계사'!$B$4:$B$303,B494)=0,1,0))</f>
        <v/>
      </c>
    </row>
    <row r="495">
      <c r="A495" s="8" t="n"/>
      <c r="B495" s="9" t="n"/>
      <c r="C495" s="9" t="n"/>
      <c r="D495" s="9" t="n"/>
      <c r="E495" s="9" t="n"/>
      <c r="F495" s="8" t="n"/>
      <c r="G495" s="9" t="n"/>
      <c r="H495" s="9" t="n"/>
      <c r="I495">
        <f>IF(A495="","",B495&amp;"|"&amp;(A495*1))</f>
        <v/>
      </c>
      <c r="J495">
        <f>IF(B495="",0,IF(COUNTIF('3.설계사'!$B$4:$B$303,B495)=0,1,0))</f>
        <v/>
      </c>
    </row>
    <row r="496">
      <c r="A496" s="8" t="n"/>
      <c r="B496" s="9" t="n"/>
      <c r="C496" s="9" t="n"/>
      <c r="D496" s="9" t="n"/>
      <c r="E496" s="9" t="n"/>
      <c r="F496" s="8" t="n"/>
      <c r="G496" s="9" t="n"/>
      <c r="H496" s="9" t="n"/>
      <c r="I496">
        <f>IF(A496="","",B496&amp;"|"&amp;(A496*1))</f>
        <v/>
      </c>
      <c r="J496">
        <f>IF(B496="",0,IF(COUNTIF('3.설계사'!$B$4:$B$303,B496)=0,1,0))</f>
        <v/>
      </c>
    </row>
    <row r="497">
      <c r="A497" s="8" t="n"/>
      <c r="B497" s="9" t="n"/>
      <c r="C497" s="9" t="n"/>
      <c r="D497" s="9" t="n"/>
      <c r="E497" s="9" t="n"/>
      <c r="F497" s="8" t="n"/>
      <c r="G497" s="9" t="n"/>
      <c r="H497" s="9" t="n"/>
      <c r="I497">
        <f>IF(A497="","",B497&amp;"|"&amp;(A497*1))</f>
        <v/>
      </c>
      <c r="J497">
        <f>IF(B497="",0,IF(COUNTIF('3.설계사'!$B$4:$B$303,B497)=0,1,0))</f>
        <v/>
      </c>
    </row>
    <row r="498">
      <c r="A498" s="8" t="n"/>
      <c r="B498" s="9" t="n"/>
      <c r="C498" s="9" t="n"/>
      <c r="D498" s="9" t="n"/>
      <c r="E498" s="9" t="n"/>
      <c r="F498" s="8" t="n"/>
      <c r="G498" s="9" t="n"/>
      <c r="H498" s="9" t="n"/>
      <c r="I498">
        <f>IF(A498="","",B498&amp;"|"&amp;(A498*1))</f>
        <v/>
      </c>
      <c r="J498">
        <f>IF(B498="",0,IF(COUNTIF('3.설계사'!$B$4:$B$303,B498)=0,1,0))</f>
        <v/>
      </c>
    </row>
    <row r="499">
      <c r="A499" s="8" t="n"/>
      <c r="B499" s="9" t="n"/>
      <c r="C499" s="9" t="n"/>
      <c r="D499" s="9" t="n"/>
      <c r="E499" s="9" t="n"/>
      <c r="F499" s="8" t="n"/>
      <c r="G499" s="9" t="n"/>
      <c r="H499" s="9" t="n"/>
      <c r="I499">
        <f>IF(A499="","",B499&amp;"|"&amp;(A499*1))</f>
        <v/>
      </c>
      <c r="J499">
        <f>IF(B499="",0,IF(COUNTIF('3.설계사'!$B$4:$B$303,B499)=0,1,0))</f>
        <v/>
      </c>
    </row>
    <row r="500">
      <c r="A500" s="8" t="n"/>
      <c r="B500" s="9" t="n"/>
      <c r="C500" s="9" t="n"/>
      <c r="D500" s="9" t="n"/>
      <c r="E500" s="9" t="n"/>
      <c r="F500" s="8" t="n"/>
      <c r="G500" s="9" t="n"/>
      <c r="H500" s="9" t="n"/>
      <c r="I500">
        <f>IF(A500="","",B500&amp;"|"&amp;(A500*1))</f>
        <v/>
      </c>
      <c r="J500">
        <f>IF(B500="",0,IF(COUNTIF('3.설계사'!$B$4:$B$303,B500)=0,1,0))</f>
        <v/>
      </c>
    </row>
    <row r="501">
      <c r="A501" s="8" t="n"/>
      <c r="B501" s="9" t="n"/>
      <c r="C501" s="9" t="n"/>
      <c r="D501" s="9" t="n"/>
      <c r="E501" s="9" t="n"/>
      <c r="F501" s="8" t="n"/>
      <c r="G501" s="9" t="n"/>
      <c r="H501" s="9" t="n"/>
      <c r="I501">
        <f>IF(A501="","",B501&amp;"|"&amp;(A501*1))</f>
        <v/>
      </c>
      <c r="J501">
        <f>IF(B501="",0,IF(COUNTIF('3.설계사'!$B$4:$B$303,B501)=0,1,0))</f>
        <v/>
      </c>
    </row>
    <row r="502">
      <c r="A502" s="8" t="n"/>
      <c r="B502" s="9" t="n"/>
      <c r="C502" s="9" t="n"/>
      <c r="D502" s="9" t="n"/>
      <c r="E502" s="9" t="n"/>
      <c r="F502" s="8" t="n"/>
      <c r="G502" s="9" t="n"/>
      <c r="H502" s="9" t="n"/>
      <c r="I502">
        <f>IF(A502="","",B502&amp;"|"&amp;(A502*1))</f>
        <v/>
      </c>
      <c r="J502">
        <f>IF(B502="",0,IF(COUNTIF('3.설계사'!$B$4:$B$303,B502)=0,1,0))</f>
        <v/>
      </c>
    </row>
  </sheetData>
  <dataValidations count="2">
    <dataValidation sqref="H3:H502" showDropDown="0" showInputMessage="0" showErrorMessage="0" allowBlank="1" type="list">
      <formula1>"설계의뢰 받음,도면 받음,자료 요청받음,재방문,부재,관심 없음"</formula1>
    </dataValidation>
    <dataValidation sqref="B3:B502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보낼 문안 — B3 에서 설계사무소를 고르면 채워집니다. [ ] 칸만 고쳐서 복사</t>
        </is>
      </c>
    </row>
    <row r="3">
      <c r="A3" t="inlineStr">
        <is>
          <t>설계사무소</t>
        </is>
      </c>
      <c r="B3" s="9" t="n"/>
    </row>
    <row r="4">
      <c r="A4" s="10" t="inlineStr">
        <is>
          <t>(비우면 5번 1순위)</t>
        </is>
      </c>
    </row>
    <row r="5">
      <c r="A5" t="inlineStr">
        <is>
          <t>쓰는 이름</t>
        </is>
      </c>
      <c r="B5" s="11">
        <f>IF(B3&lt;&gt;"",B3,IFERROR('5.이번주_갈곳'!B4&amp;"",""))</f>
        <v/>
      </c>
    </row>
    <row r="6">
      <c r="A6" t="inlineStr">
        <is>
          <t>대표 현장</t>
        </is>
      </c>
      <c r="B6" s="11">
        <f>IFERROR(INDEX('3.설계사'!$H$4:$H$303,MATCH(B5,'3.설계사'!$B$4:$B$303,0))&amp;"","[현장명]")</f>
        <v/>
      </c>
    </row>
    <row r="7">
      <c r="A7" t="inlineStr">
        <is>
          <t>담당자</t>
        </is>
      </c>
      <c r="B7" s="11">
        <f>IFERROR(IF(INDEX('3.설계사'!$J$4:$J$303,MATCH(B5,'3.설계사'!$B$4:$B$303,0))="","[담당자]",INDEX('3.설계사'!$J$4:$J$303,MATCH(B5,'3.설계사'!$B$4:$B$303,0))),"[담당자]")</f>
        <v/>
      </c>
    </row>
    <row r="8">
      <c r="A8" t="inlineStr">
        <is>
          <t>연면적</t>
        </is>
      </c>
      <c r="B8" s="12">
        <f>IFERROR(INDEX('3.설계사'!$F$4:$F$303,MATCH(B5,'3.설계사'!$B$4:$B$303,0)),"")</f>
        <v/>
      </c>
    </row>
    <row r="10" ht="60" customHeight="1">
      <c r="A10" s="4" t="inlineStr">
        <is>
          <t>전화 첫마디</t>
        </is>
      </c>
      <c r="B10" s="13">
        <f>"한국마이크로닉 배성윤 차장입니다. "&amp;B6&amp;" 설계 진행하고 계신 걸로 알고 연락드렸습니다. 호텔 객실관리(키센서·온도조절기·조명 제어) 도면과 특기시방서를 무상으로 지원해 드리고 있어서, [날짜]에 10분만 찾아뵈어도 될까요?"</f>
        <v/>
      </c>
    </row>
    <row r="11" ht="45" customHeight="1">
      <c r="A11" s="4" t="inlineStr">
        <is>
          <t>문자(짧게)</t>
        </is>
      </c>
      <c r="B11" s="13">
        <f>"[한국마이크로닉 배성윤 차장] "&amp;B7&amp;"님, "&amp;B6&amp;" 객실관리시스템 설계(도면·특기시방서)를 무상 지원해 드립니다. [날짜] 잠시 찾아뵈어도 될지 여쭙습니다. [전화]"</f>
        <v/>
      </c>
    </row>
    <row r="12">
      <c r="A12" s="4" t="inlineStr">
        <is>
          <t>메일 제목</t>
        </is>
      </c>
      <c r="B12" s="13">
        <f>B6&amp;" 객실관리시스템 설계 지원 안내 — 한국마이크로닉(주)"</f>
        <v/>
      </c>
    </row>
    <row r="13" ht="230" customHeight="1">
      <c r="A13" s="4" t="inlineStr">
        <is>
          <t>메일 본문</t>
        </is>
      </c>
      <c r="B13" s="13">
        <f>B5&amp;" "&amp;B7&amp;"님께"&amp;CHAR(10)&amp;CHAR(10)&amp;"한국마이크로닉(주) 배성윤 차장입니다."&amp;CHAR(10)&amp;"진행 중이신 "&amp;B6&amp;"([객실 수]실)의 객실관리시스템(RCU·CB함·키센서·온도조절기·조명스위치) 설계를 무상으로 지원해 드립니다."&amp;CHAR(10)&amp;CHAR(10)&amp;"- 단위세대 평면도를 주시면 성급 기준으로 기구물 배치와 예상 수량표를 드립니다."&amp;CHAR(10)&amp;"- 특기시방서(한글 파일)를 현장에 맞춰 드립니다."&amp;CHAR(10)&amp;"- 전기설계업체용 설계 요청서도 함께 드립니다."&amp;CHAR(10)&amp;CHAR(10)&amp;"[날짜] 중 편하신 시간에 찾아뵙겠습니다."&amp;CHAR(10)&amp;CHAR(10)&amp;"한국마이크로닉(주) 배성윤 드림 / [전화]"</f>
        <v/>
      </c>
    </row>
    <row r="14">
      <c r="A14" s="4" t="inlineStr">
        <is>
          <t>방문 후 감사 문자</t>
        </is>
      </c>
      <c r="B14" s="13">
        <f>"[한국마이크로닉 배성윤] 오늘 시간 내주셔서 감사합니다. 말씀하신 "&amp;B6&amp;" 자료는 [날짜]까지 보내 드리겠습니다."</f>
        <v/>
      </c>
    </row>
  </sheetData>
  <dataValidations count="1">
    <dataValidation sqref="B3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0" customWidth="1" min="4" max="4"/>
    <col width="16" customWidth="1" min="5" max="5"/>
    <col width="8" customWidth="1" min="6" max="6"/>
    <col width="20" customWidth="1" min="7" max="7"/>
    <col width="16" customWidth="1" min="8" max="8"/>
    <col width="10" customWidth="1" min="9" max="9"/>
    <col width="12" customWidth="1" min="10" max="10"/>
    <col width="10" customWidth="1" min="11" max="11"/>
    <col width="11" customWidth="1" min="12" max="12"/>
    <col width="11" customWidth="1" min="13" max="13"/>
    <col width="1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width="12" customWidth="1" min="21" max="21"/>
    <col width="18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>
      <c r="A1" s="3" t="inlineStr">
        <is>
          <t>원본행</t>
        </is>
      </c>
      <c r="B1" s="3" t="inlineStr">
        <is>
          <t>주소</t>
        </is>
      </c>
      <c r="C1" s="3" t="inlineStr">
        <is>
          <t>건물명</t>
        </is>
      </c>
      <c r="D1" s="3" t="inlineStr">
        <is>
          <t>연면적(㎡)</t>
        </is>
      </c>
      <c r="E1" s="3" t="inlineStr">
        <is>
          <t>주용도</t>
        </is>
      </c>
      <c r="F1" s="3" t="inlineStr">
        <is>
          <t>허가구분</t>
        </is>
      </c>
      <c r="G1" s="3" t="inlineStr">
        <is>
          <t>설계사</t>
        </is>
      </c>
      <c r="H1" s="3" t="inlineStr">
        <is>
          <t>시공사</t>
        </is>
      </c>
      <c r="I1" s="3" t="inlineStr">
        <is>
          <t>감리</t>
        </is>
      </c>
      <c r="J1" s="3" t="inlineStr">
        <is>
          <t>건축주</t>
        </is>
      </c>
      <c r="K1" s="3" t="inlineStr">
        <is>
          <t>공사단계</t>
        </is>
      </c>
      <c r="L1" s="3" t="inlineStr">
        <is>
          <t>허가일</t>
        </is>
      </c>
      <c r="M1" s="3" t="inlineStr">
        <is>
          <t>착공일</t>
        </is>
      </c>
      <c r="N1" s="3" t="inlineStr">
        <is>
          <t>시·도</t>
        </is>
      </c>
      <c r="O1" s="3" t="inlineStr">
        <is>
          <t>유효</t>
        </is>
      </c>
      <c r="P1" s="3" t="inlineStr">
        <is>
          <t>키</t>
        </is>
      </c>
      <c r="Q1" s="3" t="inlineStr">
        <is>
          <t>최신</t>
        </is>
      </c>
      <c r="R1" s="3" t="inlineStr">
        <is>
          <t>용도맞음</t>
        </is>
      </c>
      <c r="S1" s="3" t="inlineStr">
        <is>
          <t>면적맞음</t>
        </is>
      </c>
      <c r="T1" s="3" t="inlineStr">
        <is>
          <t>대상</t>
        </is>
      </c>
      <c r="U1" s="3" t="inlineStr">
        <is>
          <t>누구를 만나나</t>
        </is>
      </c>
      <c r="V1" s="3" t="inlineStr">
        <is>
          <t>설계사(정리)</t>
        </is>
      </c>
      <c r="W1" s="3" t="inlineStr">
        <is>
          <t>설계사번호</t>
        </is>
      </c>
      <c r="X1" s="3" t="inlineStr">
        <is>
          <t>허가일원문</t>
        </is>
      </c>
      <c r="Y1" s="3" t="inlineStr">
        <is>
          <t>착공일원문</t>
        </is>
      </c>
      <c r="Z1" s="3" t="inlineStr">
        <is>
          <t>대상키</t>
        </is>
      </c>
    </row>
    <row r="2">
      <c r="A2">
        <f>ROW()</f>
        <v/>
      </c>
      <c r="B2">
        <f>IFERROR(INDEX('1.산군_붙여넣기'!$A$1:$AZ$1001,ROW(),설정!$C$4)&amp;"","")</f>
        <v/>
      </c>
      <c r="C2">
        <f>IFERROR(INDEX('1.산군_붙여넣기'!$A$1:$AZ$1001,ROW(),설정!$C$5)&amp;"","")</f>
        <v/>
      </c>
      <c r="D2" s="5">
        <f>IFERROR(VALUE(SUBSTITUTE(SUBSTITUTE(SUBSTITUTE(IFERROR(INDEX('1.산군_붙여넣기'!$A$1:$AZ$1001,ROW(),설정!$C$6)&amp;"",""),",",""),"㎡",""),"m2","")),"")</f>
        <v/>
      </c>
      <c r="E2">
        <f>IFERROR(INDEX('1.산군_붙여넣기'!$A$1:$AZ$1001,ROW(),설정!$C$7)&amp;"","")</f>
        <v/>
      </c>
      <c r="F2">
        <f>IFERROR(INDEX('1.산군_붙여넣기'!$A$1:$AZ$1001,ROW(),설정!$C$8)&amp;"","")</f>
        <v/>
      </c>
      <c r="G2">
        <f>IFERROR(INDEX('1.산군_붙여넣기'!$A$1:$AZ$1001,ROW(),설정!$C$9)&amp;"","")</f>
        <v/>
      </c>
      <c r="H2">
        <f>IFERROR(INDEX('1.산군_붙여넣기'!$A$1:$AZ$1001,ROW(),설정!$C$10)&amp;"","")</f>
        <v/>
      </c>
      <c r="I2">
        <f>IFERROR(INDEX('1.산군_붙여넣기'!$A$1:$AZ$1001,ROW(),설정!$C$11)&amp;"","")</f>
        <v/>
      </c>
      <c r="J2">
        <f>IFERROR(INDEX('1.산군_붙여넣기'!$A$1:$AZ$1001,ROW(),설정!$C$12)&amp;"","")</f>
        <v/>
      </c>
      <c r="K2">
        <f>IFERROR(INDEX('1.산군_붙여넣기'!$A$1:$AZ$1001,ROW(),설정!$C$13)&amp;"","")</f>
        <v/>
      </c>
      <c r="L2" s="6">
        <f>IF(X2="","",IF(AND(LEN(X2)=8,ISNUMBER(X2*1)),DATE(LEFT(X2,4),MID(X2,5,2),RIGHT(X2,2)),IFERROR(DATEVALUE(SUBSTITUTE(SUBSTITUTE(X2,".","-"),"/","-")),IFERROR(X2*1,""))))</f>
        <v/>
      </c>
      <c r="M2" s="6">
        <f>IF(Y2="","",IF(AND(LEN(Y2)=8,ISNUMBER(Y2*1)),DATE(LEFT(Y2,4),MID(Y2,5,2),RIGHT(Y2,2)),IFERROR(DATEVALUE(SUBSTITUTE(SUBSTITUTE(Y2,".","-"),"/","-")),IFERROR(Y2*1,""))))</f>
        <v/>
      </c>
      <c r="N2">
        <f>IFERROR(LEFT(B2,FIND(" ",B2)-1),B2)</f>
        <v/>
      </c>
      <c r="O2">
        <f>AND(B2&lt;&gt;"",B2&lt;&gt;설정!$B$4,C2&lt;&gt;설정!$B$5)</f>
        <v/>
      </c>
      <c r="P2">
        <f>IF(O2,B2&amp;"|"&amp;C2,"")</f>
        <v/>
      </c>
      <c r="Q2">
        <f>AND(O2,COUNTIF(P3:P$1002,P2)=0)</f>
        <v/>
      </c>
      <c r="R2">
        <f>OR(AND(설정!$A$28&lt;&gt;"",ISNUMBER(SEARCH(설정!$A$28,E2&amp;" "&amp;C2))),AND(설정!$A$29&lt;&gt;"",ISNUMBER(SEARCH(설정!$A$29,E2&amp;" "&amp;C2))),AND(설정!$A$30&lt;&gt;"",ISNUMBER(SEARCH(설정!$A$30,E2&amp;" "&amp;C2))),AND(설정!$A$31&lt;&gt;"",ISNUMBER(SEARCH(설정!$A$31,E2&amp;" "&amp;C2))),AND(설정!$A$32&lt;&gt;"",ISNUMBER(SEARCH(설정!$A$32,E2&amp;" "&amp;C2))),AND(설정!$A$33&lt;&gt;"",ISNUMBER(SEARCH(설정!$A$33,E2&amp;" "&amp;C2))),AND(설정!$A$34&lt;&gt;"",ISNUMBER(SEARCH(설정!$A$34,E2&amp;" "&amp;C2))),AND(설정!$A$35&lt;&gt;"",ISNUMBER(SEARCH(설정!$A$35,E2&amp;" "&amp;C2))),AND(설정!$A$36&lt;&gt;"",ISNUMBER(SEARCH(설정!$A$36,E2&amp;" "&amp;C2))),AND(설정!$A$37&lt;&gt;"",ISNUMBER(SEARCH(설정!$A$37,E2&amp;" "&amp;C2))))</f>
        <v/>
      </c>
      <c r="S2">
        <f>OR(D2="",D2&gt;=설정!$B$19)</f>
        <v/>
      </c>
      <c r="T2">
        <f>AND(Q2,R2,S2)</f>
        <v/>
      </c>
      <c r="U2">
        <f>IF(T2,IF(AND(설정!$A$41&lt;&gt;"",ISNUMBER(SEARCH(설정!$A$41,K2))),설정!$B$41,IF(AND(설정!$A$42&lt;&gt;"",ISNUMBER(SEARCH(설정!$A$42,K2))),설정!$B$42,IF(AND(설정!$A$43&lt;&gt;"",ISNUMBER(SEARCH(설정!$A$43,K2))),설정!$B$43,IF(AND(설정!$A$44&lt;&gt;"",ISNUMBER(SEARCH(설정!$A$44,K2))),설정!$B$44,IF(AND(설정!$A$45&lt;&gt;"",ISNUMBER(SEARCH(설정!$A$45,K2))),설정!$B$45,IF(AND(설정!$A$46&lt;&gt;"",ISNUMBER(SEARCH(설정!$A$46,K2))),설정!$B$46,IF(AND(설정!$A$47&lt;&gt;"",ISNUMBER(SEARCH(설정!$A$47,K2))),설정!$B$47,IF(AND(설정!$A$48&lt;&gt;"",ISNUMBER(SEARCH(설정!$A$48,K2))),설정!$B$48,IF(M2="","설계사","시공사"))))))))),"")</f>
        <v/>
      </c>
      <c r="V2">
        <f>SUBSTITUTE(SUBSTITUTE(SUBSTITUTE(SUBSTITUTE(G2,"(주)",""),"㈜",""),"주식회사","")," ","")</f>
        <v/>
      </c>
      <c r="W2">
        <f>IF(AND(T2,V2&lt;&gt;""),IF(COUNTIFS(V$2:V2,V2,T$2:T2,TRUE)=1,MAX(W$1:W1)+1,""),"")</f>
        <v/>
      </c>
      <c r="X2">
        <f>IFERROR(INDEX('1.산군_붙여넣기'!$A$1:$AZ$1001,ROW(),설정!$C$14)&amp;"","")</f>
        <v/>
      </c>
      <c r="Y2">
        <f>IFERROR(INDEX('1.산군_붙여넣기'!$A$1:$AZ$1001,ROW(),설정!$C$15)&amp;"","")</f>
        <v/>
      </c>
      <c r="Z2">
        <f>IF(T2,V2&amp;"|"&amp;U2,"")</f>
        <v/>
      </c>
    </row>
    <row r="3">
      <c r="A3">
        <f>ROW()</f>
        <v/>
      </c>
      <c r="B3">
        <f>IFERROR(INDEX('1.산군_붙여넣기'!$A$1:$AZ$1001,ROW(),설정!$C$4)&amp;"","")</f>
        <v/>
      </c>
      <c r="C3">
        <f>IFERROR(INDEX('1.산군_붙여넣기'!$A$1:$AZ$1001,ROW(),설정!$C$5)&amp;"","")</f>
        <v/>
      </c>
      <c r="D3" s="5">
        <f>IFERROR(VALUE(SUBSTITUTE(SUBSTITUTE(SUBSTITUTE(IFERROR(INDEX('1.산군_붙여넣기'!$A$1:$AZ$1001,ROW(),설정!$C$6)&amp;"",""),",",""),"㎡",""),"m2","")),"")</f>
        <v/>
      </c>
      <c r="E3">
        <f>IFERROR(INDEX('1.산군_붙여넣기'!$A$1:$AZ$1001,ROW(),설정!$C$7)&amp;"","")</f>
        <v/>
      </c>
      <c r="F3">
        <f>IFERROR(INDEX('1.산군_붙여넣기'!$A$1:$AZ$1001,ROW(),설정!$C$8)&amp;"","")</f>
        <v/>
      </c>
      <c r="G3">
        <f>IFERROR(INDEX('1.산군_붙여넣기'!$A$1:$AZ$1001,ROW(),설정!$C$9)&amp;"","")</f>
        <v/>
      </c>
      <c r="H3">
        <f>IFERROR(INDEX('1.산군_붙여넣기'!$A$1:$AZ$1001,ROW(),설정!$C$10)&amp;"","")</f>
        <v/>
      </c>
      <c r="I3">
        <f>IFERROR(INDEX('1.산군_붙여넣기'!$A$1:$AZ$1001,ROW(),설정!$C$11)&amp;"","")</f>
        <v/>
      </c>
      <c r="J3">
        <f>IFERROR(INDEX('1.산군_붙여넣기'!$A$1:$AZ$1001,ROW(),설정!$C$12)&amp;"","")</f>
        <v/>
      </c>
      <c r="K3">
        <f>IFERROR(INDEX('1.산군_붙여넣기'!$A$1:$AZ$1001,ROW(),설정!$C$13)&amp;"","")</f>
        <v/>
      </c>
      <c r="L3" s="6">
        <f>IF(X3="","",IF(AND(LEN(X3)=8,ISNUMBER(X3*1)),DATE(LEFT(X3,4),MID(X3,5,2),RIGHT(X3,2)),IFERROR(DATEVALUE(SUBSTITUTE(SUBSTITUTE(X3,".","-"),"/","-")),IFERROR(X3*1,""))))</f>
        <v/>
      </c>
      <c r="M3" s="6">
        <f>IF(Y3="","",IF(AND(LEN(Y3)=8,ISNUMBER(Y3*1)),DATE(LEFT(Y3,4),MID(Y3,5,2),RIGHT(Y3,2)),IFERROR(DATEVALUE(SUBSTITUTE(SUBSTITUTE(Y3,".","-"),"/","-")),IFERROR(Y3*1,""))))</f>
        <v/>
      </c>
      <c r="N3">
        <f>IFERROR(LEFT(B3,FIND(" ",B3)-1),B3)</f>
        <v/>
      </c>
      <c r="O3">
        <f>AND(B3&lt;&gt;"",B3&lt;&gt;설정!$B$4,C3&lt;&gt;설정!$B$5)</f>
        <v/>
      </c>
      <c r="P3">
        <f>IF(O3,B3&amp;"|"&amp;C3,"")</f>
        <v/>
      </c>
      <c r="Q3">
        <f>AND(O3,COUNTIF(P4:P$1002,P3)=0)</f>
        <v/>
      </c>
      <c r="R3">
        <f>OR(AND(설정!$A$28&lt;&gt;"",ISNUMBER(SEARCH(설정!$A$28,E3&amp;" "&amp;C3))),AND(설정!$A$29&lt;&gt;"",ISNUMBER(SEARCH(설정!$A$29,E3&amp;" "&amp;C3))),AND(설정!$A$30&lt;&gt;"",ISNUMBER(SEARCH(설정!$A$30,E3&amp;" "&amp;C3))),AND(설정!$A$31&lt;&gt;"",ISNUMBER(SEARCH(설정!$A$31,E3&amp;" "&amp;C3))),AND(설정!$A$32&lt;&gt;"",ISNUMBER(SEARCH(설정!$A$32,E3&amp;" "&amp;C3))),AND(설정!$A$33&lt;&gt;"",ISNUMBER(SEARCH(설정!$A$33,E3&amp;" "&amp;C3))),AND(설정!$A$34&lt;&gt;"",ISNUMBER(SEARCH(설정!$A$34,E3&amp;" "&amp;C3))),AND(설정!$A$35&lt;&gt;"",ISNUMBER(SEARCH(설정!$A$35,E3&amp;" "&amp;C3))),AND(설정!$A$36&lt;&gt;"",ISNUMBER(SEARCH(설정!$A$36,E3&amp;" "&amp;C3))),AND(설정!$A$37&lt;&gt;"",ISNUMBER(SEARCH(설정!$A$37,E3&amp;" "&amp;C3))))</f>
        <v/>
      </c>
      <c r="S3">
        <f>OR(D3="",D3&gt;=설정!$B$19)</f>
        <v/>
      </c>
      <c r="T3">
        <f>AND(Q3,R3,S3)</f>
        <v/>
      </c>
      <c r="U3">
        <f>IF(T3,IF(AND(설정!$A$41&lt;&gt;"",ISNUMBER(SEARCH(설정!$A$41,K3))),설정!$B$41,IF(AND(설정!$A$42&lt;&gt;"",ISNUMBER(SEARCH(설정!$A$42,K3))),설정!$B$42,IF(AND(설정!$A$43&lt;&gt;"",ISNUMBER(SEARCH(설정!$A$43,K3))),설정!$B$43,IF(AND(설정!$A$44&lt;&gt;"",ISNUMBER(SEARCH(설정!$A$44,K3))),설정!$B$44,IF(AND(설정!$A$45&lt;&gt;"",ISNUMBER(SEARCH(설정!$A$45,K3))),설정!$B$45,IF(AND(설정!$A$46&lt;&gt;"",ISNUMBER(SEARCH(설정!$A$46,K3))),설정!$B$46,IF(AND(설정!$A$47&lt;&gt;"",ISNUMBER(SEARCH(설정!$A$47,K3))),설정!$B$47,IF(AND(설정!$A$48&lt;&gt;"",ISNUMBER(SEARCH(설정!$A$48,K3))),설정!$B$48,IF(M3="","설계사","시공사"))))))))),"")</f>
        <v/>
      </c>
      <c r="V3">
        <f>SUBSTITUTE(SUBSTITUTE(SUBSTITUTE(SUBSTITUTE(G3,"(주)",""),"㈜",""),"주식회사","")," ","")</f>
        <v/>
      </c>
      <c r="W3">
        <f>IF(AND(T3,V3&lt;&gt;""),IF(COUNTIFS(V$2:V3,V3,T$2:T3,TRUE)=1,MAX(W$1:W2)+1,""),"")</f>
        <v/>
      </c>
      <c r="X3">
        <f>IFERROR(INDEX('1.산군_붙여넣기'!$A$1:$AZ$1001,ROW(),설정!$C$14)&amp;"","")</f>
        <v/>
      </c>
      <c r="Y3">
        <f>IFERROR(INDEX('1.산군_붙여넣기'!$A$1:$AZ$1001,ROW(),설정!$C$15)&amp;"","")</f>
        <v/>
      </c>
      <c r="Z3">
        <f>IF(T3,V3&amp;"|"&amp;U3,"")</f>
        <v/>
      </c>
    </row>
    <row r="4">
      <c r="A4">
        <f>ROW()</f>
        <v/>
      </c>
      <c r="B4">
        <f>IFERROR(INDEX('1.산군_붙여넣기'!$A$1:$AZ$1001,ROW(),설정!$C$4)&amp;"","")</f>
        <v/>
      </c>
      <c r="C4">
        <f>IFERROR(INDEX('1.산군_붙여넣기'!$A$1:$AZ$1001,ROW(),설정!$C$5)&amp;"","")</f>
        <v/>
      </c>
      <c r="D4" s="5">
        <f>IFERROR(VALUE(SUBSTITUTE(SUBSTITUTE(SUBSTITUTE(IFERROR(INDEX('1.산군_붙여넣기'!$A$1:$AZ$1001,ROW(),설정!$C$6)&amp;"",""),",",""),"㎡",""),"m2","")),"")</f>
        <v/>
      </c>
      <c r="E4">
        <f>IFERROR(INDEX('1.산군_붙여넣기'!$A$1:$AZ$1001,ROW(),설정!$C$7)&amp;"","")</f>
        <v/>
      </c>
      <c r="F4">
        <f>IFERROR(INDEX('1.산군_붙여넣기'!$A$1:$AZ$1001,ROW(),설정!$C$8)&amp;"","")</f>
        <v/>
      </c>
      <c r="G4">
        <f>IFERROR(INDEX('1.산군_붙여넣기'!$A$1:$AZ$1001,ROW(),설정!$C$9)&amp;"","")</f>
        <v/>
      </c>
      <c r="H4">
        <f>IFERROR(INDEX('1.산군_붙여넣기'!$A$1:$AZ$1001,ROW(),설정!$C$10)&amp;"","")</f>
        <v/>
      </c>
      <c r="I4">
        <f>IFERROR(INDEX('1.산군_붙여넣기'!$A$1:$AZ$1001,ROW(),설정!$C$11)&amp;"","")</f>
        <v/>
      </c>
      <c r="J4">
        <f>IFERROR(INDEX('1.산군_붙여넣기'!$A$1:$AZ$1001,ROW(),설정!$C$12)&amp;"","")</f>
        <v/>
      </c>
      <c r="K4">
        <f>IFERROR(INDEX('1.산군_붙여넣기'!$A$1:$AZ$1001,ROW(),설정!$C$13)&amp;"","")</f>
        <v/>
      </c>
      <c r="L4" s="6">
        <f>IF(X4="","",IF(AND(LEN(X4)=8,ISNUMBER(X4*1)),DATE(LEFT(X4,4),MID(X4,5,2),RIGHT(X4,2)),IFERROR(DATEVALUE(SUBSTITUTE(SUBSTITUTE(X4,".","-"),"/","-")),IFERROR(X4*1,""))))</f>
        <v/>
      </c>
      <c r="M4" s="6">
        <f>IF(Y4="","",IF(AND(LEN(Y4)=8,ISNUMBER(Y4*1)),DATE(LEFT(Y4,4),MID(Y4,5,2),RIGHT(Y4,2)),IFERROR(DATEVALUE(SUBSTITUTE(SUBSTITUTE(Y4,".","-"),"/","-")),IFERROR(Y4*1,""))))</f>
        <v/>
      </c>
      <c r="N4">
        <f>IFERROR(LEFT(B4,FIND(" ",B4)-1),B4)</f>
        <v/>
      </c>
      <c r="O4">
        <f>AND(B4&lt;&gt;"",B4&lt;&gt;설정!$B$4,C4&lt;&gt;설정!$B$5)</f>
        <v/>
      </c>
      <c r="P4">
        <f>IF(O4,B4&amp;"|"&amp;C4,"")</f>
        <v/>
      </c>
      <c r="Q4">
        <f>AND(O4,COUNTIF(P5:P$1002,P4)=0)</f>
        <v/>
      </c>
      <c r="R4">
        <f>OR(AND(설정!$A$28&lt;&gt;"",ISNUMBER(SEARCH(설정!$A$28,E4&amp;" "&amp;C4))),AND(설정!$A$29&lt;&gt;"",ISNUMBER(SEARCH(설정!$A$29,E4&amp;" "&amp;C4))),AND(설정!$A$30&lt;&gt;"",ISNUMBER(SEARCH(설정!$A$30,E4&amp;" "&amp;C4))),AND(설정!$A$31&lt;&gt;"",ISNUMBER(SEARCH(설정!$A$31,E4&amp;" "&amp;C4))),AND(설정!$A$32&lt;&gt;"",ISNUMBER(SEARCH(설정!$A$32,E4&amp;" "&amp;C4))),AND(설정!$A$33&lt;&gt;"",ISNUMBER(SEARCH(설정!$A$33,E4&amp;" "&amp;C4))),AND(설정!$A$34&lt;&gt;"",ISNUMBER(SEARCH(설정!$A$34,E4&amp;" "&amp;C4))),AND(설정!$A$35&lt;&gt;"",ISNUMBER(SEARCH(설정!$A$35,E4&amp;" "&amp;C4))),AND(설정!$A$36&lt;&gt;"",ISNUMBER(SEARCH(설정!$A$36,E4&amp;" "&amp;C4))),AND(설정!$A$37&lt;&gt;"",ISNUMBER(SEARCH(설정!$A$37,E4&amp;" "&amp;C4))))</f>
        <v/>
      </c>
      <c r="S4">
        <f>OR(D4="",D4&gt;=설정!$B$19)</f>
        <v/>
      </c>
      <c r="T4">
        <f>AND(Q4,R4,S4)</f>
        <v/>
      </c>
      <c r="U4">
        <f>IF(T4,IF(AND(설정!$A$41&lt;&gt;"",ISNUMBER(SEARCH(설정!$A$41,K4))),설정!$B$41,IF(AND(설정!$A$42&lt;&gt;"",ISNUMBER(SEARCH(설정!$A$42,K4))),설정!$B$42,IF(AND(설정!$A$43&lt;&gt;"",ISNUMBER(SEARCH(설정!$A$43,K4))),설정!$B$43,IF(AND(설정!$A$44&lt;&gt;"",ISNUMBER(SEARCH(설정!$A$44,K4))),설정!$B$44,IF(AND(설정!$A$45&lt;&gt;"",ISNUMBER(SEARCH(설정!$A$45,K4))),설정!$B$45,IF(AND(설정!$A$46&lt;&gt;"",ISNUMBER(SEARCH(설정!$A$46,K4))),설정!$B$46,IF(AND(설정!$A$47&lt;&gt;"",ISNUMBER(SEARCH(설정!$A$47,K4))),설정!$B$47,IF(AND(설정!$A$48&lt;&gt;"",ISNUMBER(SEARCH(설정!$A$48,K4))),설정!$B$48,IF(M4="","설계사","시공사"))))))))),"")</f>
        <v/>
      </c>
      <c r="V4">
        <f>SUBSTITUTE(SUBSTITUTE(SUBSTITUTE(SUBSTITUTE(G4,"(주)",""),"㈜",""),"주식회사","")," ","")</f>
        <v/>
      </c>
      <c r="W4">
        <f>IF(AND(T4,V4&lt;&gt;""),IF(COUNTIFS(V$2:V4,V4,T$2:T4,TRUE)=1,MAX(W$1:W3)+1,""),"")</f>
        <v/>
      </c>
      <c r="X4">
        <f>IFERROR(INDEX('1.산군_붙여넣기'!$A$1:$AZ$1001,ROW(),설정!$C$14)&amp;"","")</f>
        <v/>
      </c>
      <c r="Y4">
        <f>IFERROR(INDEX('1.산군_붙여넣기'!$A$1:$AZ$1001,ROW(),설정!$C$15)&amp;"","")</f>
        <v/>
      </c>
      <c r="Z4">
        <f>IF(T4,V4&amp;"|"&amp;U4,"")</f>
        <v/>
      </c>
    </row>
    <row r="5">
      <c r="A5">
        <f>ROW()</f>
        <v/>
      </c>
      <c r="B5">
        <f>IFERROR(INDEX('1.산군_붙여넣기'!$A$1:$AZ$1001,ROW(),설정!$C$4)&amp;"","")</f>
        <v/>
      </c>
      <c r="C5">
        <f>IFERROR(INDEX('1.산군_붙여넣기'!$A$1:$AZ$1001,ROW(),설정!$C$5)&amp;"","")</f>
        <v/>
      </c>
      <c r="D5" s="5">
        <f>IFERROR(VALUE(SUBSTITUTE(SUBSTITUTE(SUBSTITUTE(IFERROR(INDEX('1.산군_붙여넣기'!$A$1:$AZ$1001,ROW(),설정!$C$6)&amp;"",""),",",""),"㎡",""),"m2","")),"")</f>
        <v/>
      </c>
      <c r="E5">
        <f>IFERROR(INDEX('1.산군_붙여넣기'!$A$1:$AZ$1001,ROW(),설정!$C$7)&amp;"","")</f>
        <v/>
      </c>
      <c r="F5">
        <f>IFERROR(INDEX('1.산군_붙여넣기'!$A$1:$AZ$1001,ROW(),설정!$C$8)&amp;"","")</f>
        <v/>
      </c>
      <c r="G5">
        <f>IFERROR(INDEX('1.산군_붙여넣기'!$A$1:$AZ$1001,ROW(),설정!$C$9)&amp;"","")</f>
        <v/>
      </c>
      <c r="H5">
        <f>IFERROR(INDEX('1.산군_붙여넣기'!$A$1:$AZ$1001,ROW(),설정!$C$10)&amp;"","")</f>
        <v/>
      </c>
      <c r="I5">
        <f>IFERROR(INDEX('1.산군_붙여넣기'!$A$1:$AZ$1001,ROW(),설정!$C$11)&amp;"","")</f>
        <v/>
      </c>
      <c r="J5">
        <f>IFERROR(INDEX('1.산군_붙여넣기'!$A$1:$AZ$1001,ROW(),설정!$C$12)&amp;"","")</f>
        <v/>
      </c>
      <c r="K5">
        <f>IFERROR(INDEX('1.산군_붙여넣기'!$A$1:$AZ$1001,ROW(),설정!$C$13)&amp;"","")</f>
        <v/>
      </c>
      <c r="L5" s="6">
        <f>IF(X5="","",IF(AND(LEN(X5)=8,ISNUMBER(X5*1)),DATE(LEFT(X5,4),MID(X5,5,2),RIGHT(X5,2)),IFERROR(DATEVALUE(SUBSTITUTE(SUBSTITUTE(X5,".","-"),"/","-")),IFERROR(X5*1,""))))</f>
        <v/>
      </c>
      <c r="M5" s="6">
        <f>IF(Y5="","",IF(AND(LEN(Y5)=8,ISNUMBER(Y5*1)),DATE(LEFT(Y5,4),MID(Y5,5,2),RIGHT(Y5,2)),IFERROR(DATEVALUE(SUBSTITUTE(SUBSTITUTE(Y5,".","-"),"/","-")),IFERROR(Y5*1,""))))</f>
        <v/>
      </c>
      <c r="N5">
        <f>IFERROR(LEFT(B5,FIND(" ",B5)-1),B5)</f>
        <v/>
      </c>
      <c r="O5">
        <f>AND(B5&lt;&gt;"",B5&lt;&gt;설정!$B$4,C5&lt;&gt;설정!$B$5)</f>
        <v/>
      </c>
      <c r="P5">
        <f>IF(O5,B5&amp;"|"&amp;C5,"")</f>
        <v/>
      </c>
      <c r="Q5">
        <f>AND(O5,COUNTIF(P6:P$1002,P5)=0)</f>
        <v/>
      </c>
      <c r="R5">
        <f>OR(AND(설정!$A$28&lt;&gt;"",ISNUMBER(SEARCH(설정!$A$28,E5&amp;" "&amp;C5))),AND(설정!$A$29&lt;&gt;"",ISNUMBER(SEARCH(설정!$A$29,E5&amp;" "&amp;C5))),AND(설정!$A$30&lt;&gt;"",ISNUMBER(SEARCH(설정!$A$30,E5&amp;" "&amp;C5))),AND(설정!$A$31&lt;&gt;"",ISNUMBER(SEARCH(설정!$A$31,E5&amp;" "&amp;C5))),AND(설정!$A$32&lt;&gt;"",ISNUMBER(SEARCH(설정!$A$32,E5&amp;" "&amp;C5))),AND(설정!$A$33&lt;&gt;"",ISNUMBER(SEARCH(설정!$A$33,E5&amp;" "&amp;C5))),AND(설정!$A$34&lt;&gt;"",ISNUMBER(SEARCH(설정!$A$34,E5&amp;" "&amp;C5))),AND(설정!$A$35&lt;&gt;"",ISNUMBER(SEARCH(설정!$A$35,E5&amp;" "&amp;C5))),AND(설정!$A$36&lt;&gt;"",ISNUMBER(SEARCH(설정!$A$36,E5&amp;" "&amp;C5))),AND(설정!$A$37&lt;&gt;"",ISNUMBER(SEARCH(설정!$A$37,E5&amp;" "&amp;C5))))</f>
        <v/>
      </c>
      <c r="S5">
        <f>OR(D5="",D5&gt;=설정!$B$19)</f>
        <v/>
      </c>
      <c r="T5">
        <f>AND(Q5,R5,S5)</f>
        <v/>
      </c>
      <c r="U5">
        <f>IF(T5,IF(AND(설정!$A$41&lt;&gt;"",ISNUMBER(SEARCH(설정!$A$41,K5))),설정!$B$41,IF(AND(설정!$A$42&lt;&gt;"",ISNUMBER(SEARCH(설정!$A$42,K5))),설정!$B$42,IF(AND(설정!$A$43&lt;&gt;"",ISNUMBER(SEARCH(설정!$A$43,K5))),설정!$B$43,IF(AND(설정!$A$44&lt;&gt;"",ISNUMBER(SEARCH(설정!$A$44,K5))),설정!$B$44,IF(AND(설정!$A$45&lt;&gt;"",ISNUMBER(SEARCH(설정!$A$45,K5))),설정!$B$45,IF(AND(설정!$A$46&lt;&gt;"",ISNUMBER(SEARCH(설정!$A$46,K5))),설정!$B$46,IF(AND(설정!$A$47&lt;&gt;"",ISNUMBER(SEARCH(설정!$A$47,K5))),설정!$B$47,IF(AND(설정!$A$48&lt;&gt;"",ISNUMBER(SEARCH(설정!$A$48,K5))),설정!$B$48,IF(M5="","설계사","시공사"))))))))),"")</f>
        <v/>
      </c>
      <c r="V5">
        <f>SUBSTITUTE(SUBSTITUTE(SUBSTITUTE(SUBSTITUTE(G5,"(주)",""),"㈜",""),"주식회사","")," ","")</f>
        <v/>
      </c>
      <c r="W5">
        <f>IF(AND(T5,V5&lt;&gt;""),IF(COUNTIFS(V$2:V5,V5,T$2:T5,TRUE)=1,MAX(W$1:W4)+1,""),"")</f>
        <v/>
      </c>
      <c r="X5">
        <f>IFERROR(INDEX('1.산군_붙여넣기'!$A$1:$AZ$1001,ROW(),설정!$C$14)&amp;"","")</f>
        <v/>
      </c>
      <c r="Y5">
        <f>IFERROR(INDEX('1.산군_붙여넣기'!$A$1:$AZ$1001,ROW(),설정!$C$15)&amp;"","")</f>
        <v/>
      </c>
      <c r="Z5">
        <f>IF(T5,V5&amp;"|"&amp;U5,"")</f>
        <v/>
      </c>
    </row>
    <row r="6">
      <c r="A6">
        <f>ROW()</f>
        <v/>
      </c>
      <c r="B6">
        <f>IFERROR(INDEX('1.산군_붙여넣기'!$A$1:$AZ$1001,ROW(),설정!$C$4)&amp;"","")</f>
        <v/>
      </c>
      <c r="C6">
        <f>IFERROR(INDEX('1.산군_붙여넣기'!$A$1:$AZ$1001,ROW(),설정!$C$5)&amp;"","")</f>
        <v/>
      </c>
      <c r="D6" s="5">
        <f>IFERROR(VALUE(SUBSTITUTE(SUBSTITUTE(SUBSTITUTE(IFERROR(INDEX('1.산군_붙여넣기'!$A$1:$AZ$1001,ROW(),설정!$C$6)&amp;"",""),",",""),"㎡",""),"m2","")),"")</f>
        <v/>
      </c>
      <c r="E6">
        <f>IFERROR(INDEX('1.산군_붙여넣기'!$A$1:$AZ$1001,ROW(),설정!$C$7)&amp;"","")</f>
        <v/>
      </c>
      <c r="F6">
        <f>IFERROR(INDEX('1.산군_붙여넣기'!$A$1:$AZ$1001,ROW(),설정!$C$8)&amp;"","")</f>
        <v/>
      </c>
      <c r="G6">
        <f>IFERROR(INDEX('1.산군_붙여넣기'!$A$1:$AZ$1001,ROW(),설정!$C$9)&amp;"","")</f>
        <v/>
      </c>
      <c r="H6">
        <f>IFERROR(INDEX('1.산군_붙여넣기'!$A$1:$AZ$1001,ROW(),설정!$C$10)&amp;"","")</f>
        <v/>
      </c>
      <c r="I6">
        <f>IFERROR(INDEX('1.산군_붙여넣기'!$A$1:$AZ$1001,ROW(),설정!$C$11)&amp;"","")</f>
        <v/>
      </c>
      <c r="J6">
        <f>IFERROR(INDEX('1.산군_붙여넣기'!$A$1:$AZ$1001,ROW(),설정!$C$12)&amp;"","")</f>
        <v/>
      </c>
      <c r="K6">
        <f>IFERROR(INDEX('1.산군_붙여넣기'!$A$1:$AZ$1001,ROW(),설정!$C$13)&amp;"","")</f>
        <v/>
      </c>
      <c r="L6" s="6">
        <f>IF(X6="","",IF(AND(LEN(X6)=8,ISNUMBER(X6*1)),DATE(LEFT(X6,4),MID(X6,5,2),RIGHT(X6,2)),IFERROR(DATEVALUE(SUBSTITUTE(SUBSTITUTE(X6,".","-"),"/","-")),IFERROR(X6*1,""))))</f>
        <v/>
      </c>
      <c r="M6" s="6">
        <f>IF(Y6="","",IF(AND(LEN(Y6)=8,ISNUMBER(Y6*1)),DATE(LEFT(Y6,4),MID(Y6,5,2),RIGHT(Y6,2)),IFERROR(DATEVALUE(SUBSTITUTE(SUBSTITUTE(Y6,".","-"),"/","-")),IFERROR(Y6*1,""))))</f>
        <v/>
      </c>
      <c r="N6">
        <f>IFERROR(LEFT(B6,FIND(" ",B6)-1),B6)</f>
        <v/>
      </c>
      <c r="O6">
        <f>AND(B6&lt;&gt;"",B6&lt;&gt;설정!$B$4,C6&lt;&gt;설정!$B$5)</f>
        <v/>
      </c>
      <c r="P6">
        <f>IF(O6,B6&amp;"|"&amp;C6,"")</f>
        <v/>
      </c>
      <c r="Q6">
        <f>AND(O6,COUNTIF(P7:P$1002,P6)=0)</f>
        <v/>
      </c>
      <c r="R6">
        <f>OR(AND(설정!$A$28&lt;&gt;"",ISNUMBER(SEARCH(설정!$A$28,E6&amp;" "&amp;C6))),AND(설정!$A$29&lt;&gt;"",ISNUMBER(SEARCH(설정!$A$29,E6&amp;" "&amp;C6))),AND(설정!$A$30&lt;&gt;"",ISNUMBER(SEARCH(설정!$A$30,E6&amp;" "&amp;C6))),AND(설정!$A$31&lt;&gt;"",ISNUMBER(SEARCH(설정!$A$31,E6&amp;" "&amp;C6))),AND(설정!$A$32&lt;&gt;"",ISNUMBER(SEARCH(설정!$A$32,E6&amp;" "&amp;C6))),AND(설정!$A$33&lt;&gt;"",ISNUMBER(SEARCH(설정!$A$33,E6&amp;" "&amp;C6))),AND(설정!$A$34&lt;&gt;"",ISNUMBER(SEARCH(설정!$A$34,E6&amp;" "&amp;C6))),AND(설정!$A$35&lt;&gt;"",ISNUMBER(SEARCH(설정!$A$35,E6&amp;" "&amp;C6))),AND(설정!$A$36&lt;&gt;"",ISNUMBER(SEARCH(설정!$A$36,E6&amp;" "&amp;C6))),AND(설정!$A$37&lt;&gt;"",ISNUMBER(SEARCH(설정!$A$37,E6&amp;" "&amp;C6))))</f>
        <v/>
      </c>
      <c r="S6">
        <f>OR(D6="",D6&gt;=설정!$B$19)</f>
        <v/>
      </c>
      <c r="T6">
        <f>AND(Q6,R6,S6)</f>
        <v/>
      </c>
      <c r="U6">
        <f>IF(T6,IF(AND(설정!$A$41&lt;&gt;"",ISNUMBER(SEARCH(설정!$A$41,K6))),설정!$B$41,IF(AND(설정!$A$42&lt;&gt;"",ISNUMBER(SEARCH(설정!$A$42,K6))),설정!$B$42,IF(AND(설정!$A$43&lt;&gt;"",ISNUMBER(SEARCH(설정!$A$43,K6))),설정!$B$43,IF(AND(설정!$A$44&lt;&gt;"",ISNUMBER(SEARCH(설정!$A$44,K6))),설정!$B$44,IF(AND(설정!$A$45&lt;&gt;"",ISNUMBER(SEARCH(설정!$A$45,K6))),설정!$B$45,IF(AND(설정!$A$46&lt;&gt;"",ISNUMBER(SEARCH(설정!$A$46,K6))),설정!$B$46,IF(AND(설정!$A$47&lt;&gt;"",ISNUMBER(SEARCH(설정!$A$47,K6))),설정!$B$47,IF(AND(설정!$A$48&lt;&gt;"",ISNUMBER(SEARCH(설정!$A$48,K6))),설정!$B$48,IF(M6="","설계사","시공사"))))))))),"")</f>
        <v/>
      </c>
      <c r="V6">
        <f>SUBSTITUTE(SUBSTITUTE(SUBSTITUTE(SUBSTITUTE(G6,"(주)",""),"㈜",""),"주식회사","")," ","")</f>
        <v/>
      </c>
      <c r="W6">
        <f>IF(AND(T6,V6&lt;&gt;""),IF(COUNTIFS(V$2:V6,V6,T$2:T6,TRUE)=1,MAX(W$1:W5)+1,""),"")</f>
        <v/>
      </c>
      <c r="X6">
        <f>IFERROR(INDEX('1.산군_붙여넣기'!$A$1:$AZ$1001,ROW(),설정!$C$14)&amp;"","")</f>
        <v/>
      </c>
      <c r="Y6">
        <f>IFERROR(INDEX('1.산군_붙여넣기'!$A$1:$AZ$1001,ROW(),설정!$C$15)&amp;"","")</f>
        <v/>
      </c>
      <c r="Z6">
        <f>IF(T6,V6&amp;"|"&amp;U6,"")</f>
        <v/>
      </c>
    </row>
    <row r="7">
      <c r="A7">
        <f>ROW()</f>
        <v/>
      </c>
      <c r="B7">
        <f>IFERROR(INDEX('1.산군_붙여넣기'!$A$1:$AZ$1001,ROW(),설정!$C$4)&amp;"","")</f>
        <v/>
      </c>
      <c r="C7">
        <f>IFERROR(INDEX('1.산군_붙여넣기'!$A$1:$AZ$1001,ROW(),설정!$C$5)&amp;"","")</f>
        <v/>
      </c>
      <c r="D7" s="5">
        <f>IFERROR(VALUE(SUBSTITUTE(SUBSTITUTE(SUBSTITUTE(IFERROR(INDEX('1.산군_붙여넣기'!$A$1:$AZ$1001,ROW(),설정!$C$6)&amp;"",""),",",""),"㎡",""),"m2","")),"")</f>
        <v/>
      </c>
      <c r="E7">
        <f>IFERROR(INDEX('1.산군_붙여넣기'!$A$1:$AZ$1001,ROW(),설정!$C$7)&amp;"","")</f>
        <v/>
      </c>
      <c r="F7">
        <f>IFERROR(INDEX('1.산군_붙여넣기'!$A$1:$AZ$1001,ROW(),설정!$C$8)&amp;"","")</f>
        <v/>
      </c>
      <c r="G7">
        <f>IFERROR(INDEX('1.산군_붙여넣기'!$A$1:$AZ$1001,ROW(),설정!$C$9)&amp;"","")</f>
        <v/>
      </c>
      <c r="H7">
        <f>IFERROR(INDEX('1.산군_붙여넣기'!$A$1:$AZ$1001,ROW(),설정!$C$10)&amp;"","")</f>
        <v/>
      </c>
      <c r="I7">
        <f>IFERROR(INDEX('1.산군_붙여넣기'!$A$1:$AZ$1001,ROW(),설정!$C$11)&amp;"","")</f>
        <v/>
      </c>
      <c r="J7">
        <f>IFERROR(INDEX('1.산군_붙여넣기'!$A$1:$AZ$1001,ROW(),설정!$C$12)&amp;"","")</f>
        <v/>
      </c>
      <c r="K7">
        <f>IFERROR(INDEX('1.산군_붙여넣기'!$A$1:$AZ$1001,ROW(),설정!$C$13)&amp;"","")</f>
        <v/>
      </c>
      <c r="L7" s="6">
        <f>IF(X7="","",IF(AND(LEN(X7)=8,ISNUMBER(X7*1)),DATE(LEFT(X7,4),MID(X7,5,2),RIGHT(X7,2)),IFERROR(DATEVALUE(SUBSTITUTE(SUBSTITUTE(X7,".","-"),"/","-")),IFERROR(X7*1,""))))</f>
        <v/>
      </c>
      <c r="M7" s="6">
        <f>IF(Y7="","",IF(AND(LEN(Y7)=8,ISNUMBER(Y7*1)),DATE(LEFT(Y7,4),MID(Y7,5,2),RIGHT(Y7,2)),IFERROR(DATEVALUE(SUBSTITUTE(SUBSTITUTE(Y7,".","-"),"/","-")),IFERROR(Y7*1,""))))</f>
        <v/>
      </c>
      <c r="N7">
        <f>IFERROR(LEFT(B7,FIND(" ",B7)-1),B7)</f>
        <v/>
      </c>
      <c r="O7">
        <f>AND(B7&lt;&gt;"",B7&lt;&gt;설정!$B$4,C7&lt;&gt;설정!$B$5)</f>
        <v/>
      </c>
      <c r="P7">
        <f>IF(O7,B7&amp;"|"&amp;C7,"")</f>
        <v/>
      </c>
      <c r="Q7">
        <f>AND(O7,COUNTIF(P8:P$1002,P7)=0)</f>
        <v/>
      </c>
      <c r="R7">
        <f>OR(AND(설정!$A$28&lt;&gt;"",ISNUMBER(SEARCH(설정!$A$28,E7&amp;" "&amp;C7))),AND(설정!$A$29&lt;&gt;"",ISNUMBER(SEARCH(설정!$A$29,E7&amp;" "&amp;C7))),AND(설정!$A$30&lt;&gt;"",ISNUMBER(SEARCH(설정!$A$30,E7&amp;" "&amp;C7))),AND(설정!$A$31&lt;&gt;"",ISNUMBER(SEARCH(설정!$A$31,E7&amp;" "&amp;C7))),AND(설정!$A$32&lt;&gt;"",ISNUMBER(SEARCH(설정!$A$32,E7&amp;" "&amp;C7))),AND(설정!$A$33&lt;&gt;"",ISNUMBER(SEARCH(설정!$A$33,E7&amp;" "&amp;C7))),AND(설정!$A$34&lt;&gt;"",ISNUMBER(SEARCH(설정!$A$34,E7&amp;" "&amp;C7))),AND(설정!$A$35&lt;&gt;"",ISNUMBER(SEARCH(설정!$A$35,E7&amp;" "&amp;C7))),AND(설정!$A$36&lt;&gt;"",ISNUMBER(SEARCH(설정!$A$36,E7&amp;" "&amp;C7))),AND(설정!$A$37&lt;&gt;"",ISNUMBER(SEARCH(설정!$A$37,E7&amp;" "&amp;C7))))</f>
        <v/>
      </c>
      <c r="S7">
        <f>OR(D7="",D7&gt;=설정!$B$19)</f>
        <v/>
      </c>
      <c r="T7">
        <f>AND(Q7,R7,S7)</f>
        <v/>
      </c>
      <c r="U7">
        <f>IF(T7,IF(AND(설정!$A$41&lt;&gt;"",ISNUMBER(SEARCH(설정!$A$41,K7))),설정!$B$41,IF(AND(설정!$A$42&lt;&gt;"",ISNUMBER(SEARCH(설정!$A$42,K7))),설정!$B$42,IF(AND(설정!$A$43&lt;&gt;"",ISNUMBER(SEARCH(설정!$A$43,K7))),설정!$B$43,IF(AND(설정!$A$44&lt;&gt;"",ISNUMBER(SEARCH(설정!$A$44,K7))),설정!$B$44,IF(AND(설정!$A$45&lt;&gt;"",ISNUMBER(SEARCH(설정!$A$45,K7))),설정!$B$45,IF(AND(설정!$A$46&lt;&gt;"",ISNUMBER(SEARCH(설정!$A$46,K7))),설정!$B$46,IF(AND(설정!$A$47&lt;&gt;"",ISNUMBER(SEARCH(설정!$A$47,K7))),설정!$B$47,IF(AND(설정!$A$48&lt;&gt;"",ISNUMBER(SEARCH(설정!$A$48,K7))),설정!$B$48,IF(M7="","설계사","시공사"))))))))),"")</f>
        <v/>
      </c>
      <c r="V7">
        <f>SUBSTITUTE(SUBSTITUTE(SUBSTITUTE(SUBSTITUTE(G7,"(주)",""),"㈜",""),"주식회사","")," ","")</f>
        <v/>
      </c>
      <c r="W7">
        <f>IF(AND(T7,V7&lt;&gt;""),IF(COUNTIFS(V$2:V7,V7,T$2:T7,TRUE)=1,MAX(W$1:W6)+1,""),"")</f>
        <v/>
      </c>
      <c r="X7">
        <f>IFERROR(INDEX('1.산군_붙여넣기'!$A$1:$AZ$1001,ROW(),설정!$C$14)&amp;"","")</f>
        <v/>
      </c>
      <c r="Y7">
        <f>IFERROR(INDEX('1.산군_붙여넣기'!$A$1:$AZ$1001,ROW(),설정!$C$15)&amp;"","")</f>
        <v/>
      </c>
      <c r="Z7">
        <f>IF(T7,V7&amp;"|"&amp;U7,"")</f>
        <v/>
      </c>
    </row>
    <row r="8">
      <c r="A8">
        <f>ROW()</f>
        <v/>
      </c>
      <c r="B8">
        <f>IFERROR(INDEX('1.산군_붙여넣기'!$A$1:$AZ$1001,ROW(),설정!$C$4)&amp;"","")</f>
        <v/>
      </c>
      <c r="C8">
        <f>IFERROR(INDEX('1.산군_붙여넣기'!$A$1:$AZ$1001,ROW(),설정!$C$5)&amp;"","")</f>
        <v/>
      </c>
      <c r="D8" s="5">
        <f>IFERROR(VALUE(SUBSTITUTE(SUBSTITUTE(SUBSTITUTE(IFERROR(INDEX('1.산군_붙여넣기'!$A$1:$AZ$1001,ROW(),설정!$C$6)&amp;"",""),",",""),"㎡",""),"m2","")),"")</f>
        <v/>
      </c>
      <c r="E8">
        <f>IFERROR(INDEX('1.산군_붙여넣기'!$A$1:$AZ$1001,ROW(),설정!$C$7)&amp;"","")</f>
        <v/>
      </c>
      <c r="F8">
        <f>IFERROR(INDEX('1.산군_붙여넣기'!$A$1:$AZ$1001,ROW(),설정!$C$8)&amp;"","")</f>
        <v/>
      </c>
      <c r="G8">
        <f>IFERROR(INDEX('1.산군_붙여넣기'!$A$1:$AZ$1001,ROW(),설정!$C$9)&amp;"","")</f>
        <v/>
      </c>
      <c r="H8">
        <f>IFERROR(INDEX('1.산군_붙여넣기'!$A$1:$AZ$1001,ROW(),설정!$C$10)&amp;"","")</f>
        <v/>
      </c>
      <c r="I8">
        <f>IFERROR(INDEX('1.산군_붙여넣기'!$A$1:$AZ$1001,ROW(),설정!$C$11)&amp;"","")</f>
        <v/>
      </c>
      <c r="J8">
        <f>IFERROR(INDEX('1.산군_붙여넣기'!$A$1:$AZ$1001,ROW(),설정!$C$12)&amp;"","")</f>
        <v/>
      </c>
      <c r="K8">
        <f>IFERROR(INDEX('1.산군_붙여넣기'!$A$1:$AZ$1001,ROW(),설정!$C$13)&amp;"","")</f>
        <v/>
      </c>
      <c r="L8" s="6">
        <f>IF(X8="","",IF(AND(LEN(X8)=8,ISNUMBER(X8*1)),DATE(LEFT(X8,4),MID(X8,5,2),RIGHT(X8,2)),IFERROR(DATEVALUE(SUBSTITUTE(SUBSTITUTE(X8,".","-"),"/","-")),IFERROR(X8*1,""))))</f>
        <v/>
      </c>
      <c r="M8" s="6">
        <f>IF(Y8="","",IF(AND(LEN(Y8)=8,ISNUMBER(Y8*1)),DATE(LEFT(Y8,4),MID(Y8,5,2),RIGHT(Y8,2)),IFERROR(DATEVALUE(SUBSTITUTE(SUBSTITUTE(Y8,".","-"),"/","-")),IFERROR(Y8*1,""))))</f>
        <v/>
      </c>
      <c r="N8">
        <f>IFERROR(LEFT(B8,FIND(" ",B8)-1),B8)</f>
        <v/>
      </c>
      <c r="O8">
        <f>AND(B8&lt;&gt;"",B8&lt;&gt;설정!$B$4,C8&lt;&gt;설정!$B$5)</f>
        <v/>
      </c>
      <c r="P8">
        <f>IF(O8,B8&amp;"|"&amp;C8,"")</f>
        <v/>
      </c>
      <c r="Q8">
        <f>AND(O8,COUNTIF(P9:P$1002,P8)=0)</f>
        <v/>
      </c>
      <c r="R8">
        <f>OR(AND(설정!$A$28&lt;&gt;"",ISNUMBER(SEARCH(설정!$A$28,E8&amp;" "&amp;C8))),AND(설정!$A$29&lt;&gt;"",ISNUMBER(SEARCH(설정!$A$29,E8&amp;" "&amp;C8))),AND(설정!$A$30&lt;&gt;"",ISNUMBER(SEARCH(설정!$A$30,E8&amp;" "&amp;C8))),AND(설정!$A$31&lt;&gt;"",ISNUMBER(SEARCH(설정!$A$31,E8&amp;" "&amp;C8))),AND(설정!$A$32&lt;&gt;"",ISNUMBER(SEARCH(설정!$A$32,E8&amp;" "&amp;C8))),AND(설정!$A$33&lt;&gt;"",ISNUMBER(SEARCH(설정!$A$33,E8&amp;" "&amp;C8))),AND(설정!$A$34&lt;&gt;"",ISNUMBER(SEARCH(설정!$A$34,E8&amp;" "&amp;C8))),AND(설정!$A$35&lt;&gt;"",ISNUMBER(SEARCH(설정!$A$35,E8&amp;" "&amp;C8))),AND(설정!$A$36&lt;&gt;"",ISNUMBER(SEARCH(설정!$A$36,E8&amp;" "&amp;C8))),AND(설정!$A$37&lt;&gt;"",ISNUMBER(SEARCH(설정!$A$37,E8&amp;" "&amp;C8))))</f>
        <v/>
      </c>
      <c r="S8">
        <f>OR(D8="",D8&gt;=설정!$B$19)</f>
        <v/>
      </c>
      <c r="T8">
        <f>AND(Q8,R8,S8)</f>
        <v/>
      </c>
      <c r="U8">
        <f>IF(T8,IF(AND(설정!$A$41&lt;&gt;"",ISNUMBER(SEARCH(설정!$A$41,K8))),설정!$B$41,IF(AND(설정!$A$42&lt;&gt;"",ISNUMBER(SEARCH(설정!$A$42,K8))),설정!$B$42,IF(AND(설정!$A$43&lt;&gt;"",ISNUMBER(SEARCH(설정!$A$43,K8))),설정!$B$43,IF(AND(설정!$A$44&lt;&gt;"",ISNUMBER(SEARCH(설정!$A$44,K8))),설정!$B$44,IF(AND(설정!$A$45&lt;&gt;"",ISNUMBER(SEARCH(설정!$A$45,K8))),설정!$B$45,IF(AND(설정!$A$46&lt;&gt;"",ISNUMBER(SEARCH(설정!$A$46,K8))),설정!$B$46,IF(AND(설정!$A$47&lt;&gt;"",ISNUMBER(SEARCH(설정!$A$47,K8))),설정!$B$47,IF(AND(설정!$A$48&lt;&gt;"",ISNUMBER(SEARCH(설정!$A$48,K8))),설정!$B$48,IF(M8="","설계사","시공사"))))))))),"")</f>
        <v/>
      </c>
      <c r="V8">
        <f>SUBSTITUTE(SUBSTITUTE(SUBSTITUTE(SUBSTITUTE(G8,"(주)",""),"㈜",""),"주식회사","")," ","")</f>
        <v/>
      </c>
      <c r="W8">
        <f>IF(AND(T8,V8&lt;&gt;""),IF(COUNTIFS(V$2:V8,V8,T$2:T8,TRUE)=1,MAX(W$1:W7)+1,""),"")</f>
        <v/>
      </c>
      <c r="X8">
        <f>IFERROR(INDEX('1.산군_붙여넣기'!$A$1:$AZ$1001,ROW(),설정!$C$14)&amp;"","")</f>
        <v/>
      </c>
      <c r="Y8">
        <f>IFERROR(INDEX('1.산군_붙여넣기'!$A$1:$AZ$1001,ROW(),설정!$C$15)&amp;"","")</f>
        <v/>
      </c>
      <c r="Z8">
        <f>IF(T8,V8&amp;"|"&amp;U8,"")</f>
        <v/>
      </c>
    </row>
    <row r="9">
      <c r="A9">
        <f>ROW()</f>
        <v/>
      </c>
      <c r="B9">
        <f>IFERROR(INDEX('1.산군_붙여넣기'!$A$1:$AZ$1001,ROW(),설정!$C$4)&amp;"","")</f>
        <v/>
      </c>
      <c r="C9">
        <f>IFERROR(INDEX('1.산군_붙여넣기'!$A$1:$AZ$1001,ROW(),설정!$C$5)&amp;"","")</f>
        <v/>
      </c>
      <c r="D9" s="5">
        <f>IFERROR(VALUE(SUBSTITUTE(SUBSTITUTE(SUBSTITUTE(IFERROR(INDEX('1.산군_붙여넣기'!$A$1:$AZ$1001,ROW(),설정!$C$6)&amp;"",""),",",""),"㎡",""),"m2","")),"")</f>
        <v/>
      </c>
      <c r="E9">
        <f>IFERROR(INDEX('1.산군_붙여넣기'!$A$1:$AZ$1001,ROW(),설정!$C$7)&amp;"","")</f>
        <v/>
      </c>
      <c r="F9">
        <f>IFERROR(INDEX('1.산군_붙여넣기'!$A$1:$AZ$1001,ROW(),설정!$C$8)&amp;"","")</f>
        <v/>
      </c>
      <c r="G9">
        <f>IFERROR(INDEX('1.산군_붙여넣기'!$A$1:$AZ$1001,ROW(),설정!$C$9)&amp;"","")</f>
        <v/>
      </c>
      <c r="H9">
        <f>IFERROR(INDEX('1.산군_붙여넣기'!$A$1:$AZ$1001,ROW(),설정!$C$10)&amp;"","")</f>
        <v/>
      </c>
      <c r="I9">
        <f>IFERROR(INDEX('1.산군_붙여넣기'!$A$1:$AZ$1001,ROW(),설정!$C$11)&amp;"","")</f>
        <v/>
      </c>
      <c r="J9">
        <f>IFERROR(INDEX('1.산군_붙여넣기'!$A$1:$AZ$1001,ROW(),설정!$C$12)&amp;"","")</f>
        <v/>
      </c>
      <c r="K9">
        <f>IFERROR(INDEX('1.산군_붙여넣기'!$A$1:$AZ$1001,ROW(),설정!$C$13)&amp;"","")</f>
        <v/>
      </c>
      <c r="L9" s="6">
        <f>IF(X9="","",IF(AND(LEN(X9)=8,ISNUMBER(X9*1)),DATE(LEFT(X9,4),MID(X9,5,2),RIGHT(X9,2)),IFERROR(DATEVALUE(SUBSTITUTE(SUBSTITUTE(X9,".","-"),"/","-")),IFERROR(X9*1,""))))</f>
        <v/>
      </c>
      <c r="M9" s="6">
        <f>IF(Y9="","",IF(AND(LEN(Y9)=8,ISNUMBER(Y9*1)),DATE(LEFT(Y9,4),MID(Y9,5,2),RIGHT(Y9,2)),IFERROR(DATEVALUE(SUBSTITUTE(SUBSTITUTE(Y9,".","-"),"/","-")),IFERROR(Y9*1,""))))</f>
        <v/>
      </c>
      <c r="N9">
        <f>IFERROR(LEFT(B9,FIND(" ",B9)-1),B9)</f>
        <v/>
      </c>
      <c r="O9">
        <f>AND(B9&lt;&gt;"",B9&lt;&gt;설정!$B$4,C9&lt;&gt;설정!$B$5)</f>
        <v/>
      </c>
      <c r="P9">
        <f>IF(O9,B9&amp;"|"&amp;C9,"")</f>
        <v/>
      </c>
      <c r="Q9">
        <f>AND(O9,COUNTIF(P10:P$1002,P9)=0)</f>
        <v/>
      </c>
      <c r="R9">
        <f>OR(AND(설정!$A$28&lt;&gt;"",ISNUMBER(SEARCH(설정!$A$28,E9&amp;" "&amp;C9))),AND(설정!$A$29&lt;&gt;"",ISNUMBER(SEARCH(설정!$A$29,E9&amp;" "&amp;C9))),AND(설정!$A$30&lt;&gt;"",ISNUMBER(SEARCH(설정!$A$30,E9&amp;" "&amp;C9))),AND(설정!$A$31&lt;&gt;"",ISNUMBER(SEARCH(설정!$A$31,E9&amp;" "&amp;C9))),AND(설정!$A$32&lt;&gt;"",ISNUMBER(SEARCH(설정!$A$32,E9&amp;" "&amp;C9))),AND(설정!$A$33&lt;&gt;"",ISNUMBER(SEARCH(설정!$A$33,E9&amp;" "&amp;C9))),AND(설정!$A$34&lt;&gt;"",ISNUMBER(SEARCH(설정!$A$34,E9&amp;" "&amp;C9))),AND(설정!$A$35&lt;&gt;"",ISNUMBER(SEARCH(설정!$A$35,E9&amp;" "&amp;C9))),AND(설정!$A$36&lt;&gt;"",ISNUMBER(SEARCH(설정!$A$36,E9&amp;" "&amp;C9))),AND(설정!$A$37&lt;&gt;"",ISNUMBER(SEARCH(설정!$A$37,E9&amp;" "&amp;C9))))</f>
        <v/>
      </c>
      <c r="S9">
        <f>OR(D9="",D9&gt;=설정!$B$19)</f>
        <v/>
      </c>
      <c r="T9">
        <f>AND(Q9,R9,S9)</f>
        <v/>
      </c>
      <c r="U9">
        <f>IF(T9,IF(AND(설정!$A$41&lt;&gt;"",ISNUMBER(SEARCH(설정!$A$41,K9))),설정!$B$41,IF(AND(설정!$A$42&lt;&gt;"",ISNUMBER(SEARCH(설정!$A$42,K9))),설정!$B$42,IF(AND(설정!$A$43&lt;&gt;"",ISNUMBER(SEARCH(설정!$A$43,K9))),설정!$B$43,IF(AND(설정!$A$44&lt;&gt;"",ISNUMBER(SEARCH(설정!$A$44,K9))),설정!$B$44,IF(AND(설정!$A$45&lt;&gt;"",ISNUMBER(SEARCH(설정!$A$45,K9))),설정!$B$45,IF(AND(설정!$A$46&lt;&gt;"",ISNUMBER(SEARCH(설정!$A$46,K9))),설정!$B$46,IF(AND(설정!$A$47&lt;&gt;"",ISNUMBER(SEARCH(설정!$A$47,K9))),설정!$B$47,IF(AND(설정!$A$48&lt;&gt;"",ISNUMBER(SEARCH(설정!$A$48,K9))),설정!$B$48,IF(M9="","설계사","시공사"))))))))),"")</f>
        <v/>
      </c>
      <c r="V9">
        <f>SUBSTITUTE(SUBSTITUTE(SUBSTITUTE(SUBSTITUTE(G9,"(주)",""),"㈜",""),"주식회사","")," ","")</f>
        <v/>
      </c>
      <c r="W9">
        <f>IF(AND(T9,V9&lt;&gt;""),IF(COUNTIFS(V$2:V9,V9,T$2:T9,TRUE)=1,MAX(W$1:W8)+1,""),"")</f>
        <v/>
      </c>
      <c r="X9">
        <f>IFERROR(INDEX('1.산군_붙여넣기'!$A$1:$AZ$1001,ROW(),설정!$C$14)&amp;"","")</f>
        <v/>
      </c>
      <c r="Y9">
        <f>IFERROR(INDEX('1.산군_붙여넣기'!$A$1:$AZ$1001,ROW(),설정!$C$15)&amp;"","")</f>
        <v/>
      </c>
      <c r="Z9">
        <f>IF(T9,V9&amp;"|"&amp;U9,"")</f>
        <v/>
      </c>
    </row>
    <row r="10">
      <c r="A10">
        <f>ROW()</f>
        <v/>
      </c>
      <c r="B10">
        <f>IFERROR(INDEX('1.산군_붙여넣기'!$A$1:$AZ$1001,ROW(),설정!$C$4)&amp;"","")</f>
        <v/>
      </c>
      <c r="C10">
        <f>IFERROR(INDEX('1.산군_붙여넣기'!$A$1:$AZ$1001,ROW(),설정!$C$5)&amp;"","")</f>
        <v/>
      </c>
      <c r="D10" s="5">
        <f>IFERROR(VALUE(SUBSTITUTE(SUBSTITUTE(SUBSTITUTE(IFERROR(INDEX('1.산군_붙여넣기'!$A$1:$AZ$1001,ROW(),설정!$C$6)&amp;"",""),",",""),"㎡",""),"m2","")),"")</f>
        <v/>
      </c>
      <c r="E10">
        <f>IFERROR(INDEX('1.산군_붙여넣기'!$A$1:$AZ$1001,ROW(),설정!$C$7)&amp;"","")</f>
        <v/>
      </c>
      <c r="F10">
        <f>IFERROR(INDEX('1.산군_붙여넣기'!$A$1:$AZ$1001,ROW(),설정!$C$8)&amp;"","")</f>
        <v/>
      </c>
      <c r="G10">
        <f>IFERROR(INDEX('1.산군_붙여넣기'!$A$1:$AZ$1001,ROW(),설정!$C$9)&amp;"","")</f>
        <v/>
      </c>
      <c r="H10">
        <f>IFERROR(INDEX('1.산군_붙여넣기'!$A$1:$AZ$1001,ROW(),설정!$C$10)&amp;"","")</f>
        <v/>
      </c>
      <c r="I10">
        <f>IFERROR(INDEX('1.산군_붙여넣기'!$A$1:$AZ$1001,ROW(),설정!$C$11)&amp;"","")</f>
        <v/>
      </c>
      <c r="J10">
        <f>IFERROR(INDEX('1.산군_붙여넣기'!$A$1:$AZ$1001,ROW(),설정!$C$12)&amp;"","")</f>
        <v/>
      </c>
      <c r="K10">
        <f>IFERROR(INDEX('1.산군_붙여넣기'!$A$1:$AZ$1001,ROW(),설정!$C$13)&amp;"","")</f>
        <v/>
      </c>
      <c r="L10" s="6">
        <f>IF(X10="","",IF(AND(LEN(X10)=8,ISNUMBER(X10*1)),DATE(LEFT(X10,4),MID(X10,5,2),RIGHT(X10,2)),IFERROR(DATEVALUE(SUBSTITUTE(SUBSTITUTE(X10,".","-"),"/","-")),IFERROR(X10*1,""))))</f>
        <v/>
      </c>
      <c r="M10" s="6">
        <f>IF(Y10="","",IF(AND(LEN(Y10)=8,ISNUMBER(Y10*1)),DATE(LEFT(Y10,4),MID(Y10,5,2),RIGHT(Y10,2)),IFERROR(DATEVALUE(SUBSTITUTE(SUBSTITUTE(Y10,".","-"),"/","-")),IFERROR(Y10*1,""))))</f>
        <v/>
      </c>
      <c r="N10">
        <f>IFERROR(LEFT(B10,FIND(" ",B10)-1),B10)</f>
        <v/>
      </c>
      <c r="O10">
        <f>AND(B10&lt;&gt;"",B10&lt;&gt;설정!$B$4,C10&lt;&gt;설정!$B$5)</f>
        <v/>
      </c>
      <c r="P10">
        <f>IF(O10,B10&amp;"|"&amp;C10,"")</f>
        <v/>
      </c>
      <c r="Q10">
        <f>AND(O10,COUNTIF(P11:P$1002,P10)=0)</f>
        <v/>
      </c>
      <c r="R10">
        <f>OR(AND(설정!$A$28&lt;&gt;"",ISNUMBER(SEARCH(설정!$A$28,E10&amp;" "&amp;C10))),AND(설정!$A$29&lt;&gt;"",ISNUMBER(SEARCH(설정!$A$29,E10&amp;" "&amp;C10))),AND(설정!$A$30&lt;&gt;"",ISNUMBER(SEARCH(설정!$A$30,E10&amp;" "&amp;C10))),AND(설정!$A$31&lt;&gt;"",ISNUMBER(SEARCH(설정!$A$31,E10&amp;" "&amp;C10))),AND(설정!$A$32&lt;&gt;"",ISNUMBER(SEARCH(설정!$A$32,E10&amp;" "&amp;C10))),AND(설정!$A$33&lt;&gt;"",ISNUMBER(SEARCH(설정!$A$33,E10&amp;" "&amp;C10))),AND(설정!$A$34&lt;&gt;"",ISNUMBER(SEARCH(설정!$A$34,E10&amp;" "&amp;C10))),AND(설정!$A$35&lt;&gt;"",ISNUMBER(SEARCH(설정!$A$35,E10&amp;" "&amp;C10))),AND(설정!$A$36&lt;&gt;"",ISNUMBER(SEARCH(설정!$A$36,E10&amp;" "&amp;C10))),AND(설정!$A$37&lt;&gt;"",ISNUMBER(SEARCH(설정!$A$37,E10&amp;" "&amp;C10))))</f>
        <v/>
      </c>
      <c r="S10">
        <f>OR(D10="",D10&gt;=설정!$B$19)</f>
        <v/>
      </c>
      <c r="T10">
        <f>AND(Q10,R10,S10)</f>
        <v/>
      </c>
      <c r="U10">
        <f>IF(T10,IF(AND(설정!$A$41&lt;&gt;"",ISNUMBER(SEARCH(설정!$A$41,K10))),설정!$B$41,IF(AND(설정!$A$42&lt;&gt;"",ISNUMBER(SEARCH(설정!$A$42,K10))),설정!$B$42,IF(AND(설정!$A$43&lt;&gt;"",ISNUMBER(SEARCH(설정!$A$43,K10))),설정!$B$43,IF(AND(설정!$A$44&lt;&gt;"",ISNUMBER(SEARCH(설정!$A$44,K10))),설정!$B$44,IF(AND(설정!$A$45&lt;&gt;"",ISNUMBER(SEARCH(설정!$A$45,K10))),설정!$B$45,IF(AND(설정!$A$46&lt;&gt;"",ISNUMBER(SEARCH(설정!$A$46,K10))),설정!$B$46,IF(AND(설정!$A$47&lt;&gt;"",ISNUMBER(SEARCH(설정!$A$47,K10))),설정!$B$47,IF(AND(설정!$A$48&lt;&gt;"",ISNUMBER(SEARCH(설정!$A$48,K10))),설정!$B$48,IF(M10="","설계사","시공사"))))))))),"")</f>
        <v/>
      </c>
      <c r="V10">
        <f>SUBSTITUTE(SUBSTITUTE(SUBSTITUTE(SUBSTITUTE(G10,"(주)",""),"㈜",""),"주식회사","")," ","")</f>
        <v/>
      </c>
      <c r="W10">
        <f>IF(AND(T10,V10&lt;&gt;""),IF(COUNTIFS(V$2:V10,V10,T$2:T10,TRUE)=1,MAX(W$1:W9)+1,""),"")</f>
        <v/>
      </c>
      <c r="X10">
        <f>IFERROR(INDEX('1.산군_붙여넣기'!$A$1:$AZ$1001,ROW(),설정!$C$14)&amp;"","")</f>
        <v/>
      </c>
      <c r="Y10">
        <f>IFERROR(INDEX('1.산군_붙여넣기'!$A$1:$AZ$1001,ROW(),설정!$C$15)&amp;"","")</f>
        <v/>
      </c>
      <c r="Z10">
        <f>IF(T10,V10&amp;"|"&amp;U10,"")</f>
        <v/>
      </c>
    </row>
    <row r="11">
      <c r="A11">
        <f>ROW()</f>
        <v/>
      </c>
      <c r="B11">
        <f>IFERROR(INDEX('1.산군_붙여넣기'!$A$1:$AZ$1001,ROW(),설정!$C$4)&amp;"","")</f>
        <v/>
      </c>
      <c r="C11">
        <f>IFERROR(INDEX('1.산군_붙여넣기'!$A$1:$AZ$1001,ROW(),설정!$C$5)&amp;"","")</f>
        <v/>
      </c>
      <c r="D11" s="5">
        <f>IFERROR(VALUE(SUBSTITUTE(SUBSTITUTE(SUBSTITUTE(IFERROR(INDEX('1.산군_붙여넣기'!$A$1:$AZ$1001,ROW(),설정!$C$6)&amp;"",""),",",""),"㎡",""),"m2","")),"")</f>
        <v/>
      </c>
      <c r="E11">
        <f>IFERROR(INDEX('1.산군_붙여넣기'!$A$1:$AZ$1001,ROW(),설정!$C$7)&amp;"","")</f>
        <v/>
      </c>
      <c r="F11">
        <f>IFERROR(INDEX('1.산군_붙여넣기'!$A$1:$AZ$1001,ROW(),설정!$C$8)&amp;"","")</f>
        <v/>
      </c>
      <c r="G11">
        <f>IFERROR(INDEX('1.산군_붙여넣기'!$A$1:$AZ$1001,ROW(),설정!$C$9)&amp;"","")</f>
        <v/>
      </c>
      <c r="H11">
        <f>IFERROR(INDEX('1.산군_붙여넣기'!$A$1:$AZ$1001,ROW(),설정!$C$10)&amp;"","")</f>
        <v/>
      </c>
      <c r="I11">
        <f>IFERROR(INDEX('1.산군_붙여넣기'!$A$1:$AZ$1001,ROW(),설정!$C$11)&amp;"","")</f>
        <v/>
      </c>
      <c r="J11">
        <f>IFERROR(INDEX('1.산군_붙여넣기'!$A$1:$AZ$1001,ROW(),설정!$C$12)&amp;"","")</f>
        <v/>
      </c>
      <c r="K11">
        <f>IFERROR(INDEX('1.산군_붙여넣기'!$A$1:$AZ$1001,ROW(),설정!$C$13)&amp;"","")</f>
        <v/>
      </c>
      <c r="L11" s="6">
        <f>IF(X11="","",IF(AND(LEN(X11)=8,ISNUMBER(X11*1)),DATE(LEFT(X11,4),MID(X11,5,2),RIGHT(X11,2)),IFERROR(DATEVALUE(SUBSTITUTE(SUBSTITUTE(X11,".","-"),"/","-")),IFERROR(X11*1,""))))</f>
        <v/>
      </c>
      <c r="M11" s="6">
        <f>IF(Y11="","",IF(AND(LEN(Y11)=8,ISNUMBER(Y11*1)),DATE(LEFT(Y11,4),MID(Y11,5,2),RIGHT(Y11,2)),IFERROR(DATEVALUE(SUBSTITUTE(SUBSTITUTE(Y11,".","-"),"/","-")),IFERROR(Y11*1,""))))</f>
        <v/>
      </c>
      <c r="N11">
        <f>IFERROR(LEFT(B11,FIND(" ",B11)-1),B11)</f>
        <v/>
      </c>
      <c r="O11">
        <f>AND(B11&lt;&gt;"",B11&lt;&gt;설정!$B$4,C11&lt;&gt;설정!$B$5)</f>
        <v/>
      </c>
      <c r="P11">
        <f>IF(O11,B11&amp;"|"&amp;C11,"")</f>
        <v/>
      </c>
      <c r="Q11">
        <f>AND(O11,COUNTIF(P12:P$1002,P11)=0)</f>
        <v/>
      </c>
      <c r="R11">
        <f>OR(AND(설정!$A$28&lt;&gt;"",ISNUMBER(SEARCH(설정!$A$28,E11&amp;" "&amp;C11))),AND(설정!$A$29&lt;&gt;"",ISNUMBER(SEARCH(설정!$A$29,E11&amp;" "&amp;C11))),AND(설정!$A$30&lt;&gt;"",ISNUMBER(SEARCH(설정!$A$30,E11&amp;" "&amp;C11))),AND(설정!$A$31&lt;&gt;"",ISNUMBER(SEARCH(설정!$A$31,E11&amp;" "&amp;C11))),AND(설정!$A$32&lt;&gt;"",ISNUMBER(SEARCH(설정!$A$32,E11&amp;" "&amp;C11))),AND(설정!$A$33&lt;&gt;"",ISNUMBER(SEARCH(설정!$A$33,E11&amp;" "&amp;C11))),AND(설정!$A$34&lt;&gt;"",ISNUMBER(SEARCH(설정!$A$34,E11&amp;" "&amp;C11))),AND(설정!$A$35&lt;&gt;"",ISNUMBER(SEARCH(설정!$A$35,E11&amp;" "&amp;C11))),AND(설정!$A$36&lt;&gt;"",ISNUMBER(SEARCH(설정!$A$36,E11&amp;" "&amp;C11))),AND(설정!$A$37&lt;&gt;"",ISNUMBER(SEARCH(설정!$A$37,E11&amp;" "&amp;C11))))</f>
        <v/>
      </c>
      <c r="S11">
        <f>OR(D11="",D11&gt;=설정!$B$19)</f>
        <v/>
      </c>
      <c r="T11">
        <f>AND(Q11,R11,S11)</f>
        <v/>
      </c>
      <c r="U11">
        <f>IF(T11,IF(AND(설정!$A$41&lt;&gt;"",ISNUMBER(SEARCH(설정!$A$41,K11))),설정!$B$41,IF(AND(설정!$A$42&lt;&gt;"",ISNUMBER(SEARCH(설정!$A$42,K11))),설정!$B$42,IF(AND(설정!$A$43&lt;&gt;"",ISNUMBER(SEARCH(설정!$A$43,K11))),설정!$B$43,IF(AND(설정!$A$44&lt;&gt;"",ISNUMBER(SEARCH(설정!$A$44,K11))),설정!$B$44,IF(AND(설정!$A$45&lt;&gt;"",ISNUMBER(SEARCH(설정!$A$45,K11))),설정!$B$45,IF(AND(설정!$A$46&lt;&gt;"",ISNUMBER(SEARCH(설정!$A$46,K11))),설정!$B$46,IF(AND(설정!$A$47&lt;&gt;"",ISNUMBER(SEARCH(설정!$A$47,K11))),설정!$B$47,IF(AND(설정!$A$48&lt;&gt;"",ISNUMBER(SEARCH(설정!$A$48,K11))),설정!$B$48,IF(M11="","설계사","시공사"))))))))),"")</f>
        <v/>
      </c>
      <c r="V11">
        <f>SUBSTITUTE(SUBSTITUTE(SUBSTITUTE(SUBSTITUTE(G11,"(주)",""),"㈜",""),"주식회사","")," ","")</f>
        <v/>
      </c>
      <c r="W11">
        <f>IF(AND(T11,V11&lt;&gt;""),IF(COUNTIFS(V$2:V11,V11,T$2:T11,TRUE)=1,MAX(W$1:W10)+1,""),"")</f>
        <v/>
      </c>
      <c r="X11">
        <f>IFERROR(INDEX('1.산군_붙여넣기'!$A$1:$AZ$1001,ROW(),설정!$C$14)&amp;"","")</f>
        <v/>
      </c>
      <c r="Y11">
        <f>IFERROR(INDEX('1.산군_붙여넣기'!$A$1:$AZ$1001,ROW(),설정!$C$15)&amp;"","")</f>
        <v/>
      </c>
      <c r="Z11">
        <f>IF(T11,V11&amp;"|"&amp;U11,"")</f>
        <v/>
      </c>
    </row>
    <row r="12">
      <c r="A12">
        <f>ROW()</f>
        <v/>
      </c>
      <c r="B12">
        <f>IFERROR(INDEX('1.산군_붙여넣기'!$A$1:$AZ$1001,ROW(),설정!$C$4)&amp;"","")</f>
        <v/>
      </c>
      <c r="C12">
        <f>IFERROR(INDEX('1.산군_붙여넣기'!$A$1:$AZ$1001,ROW(),설정!$C$5)&amp;"","")</f>
        <v/>
      </c>
      <c r="D12" s="5">
        <f>IFERROR(VALUE(SUBSTITUTE(SUBSTITUTE(SUBSTITUTE(IFERROR(INDEX('1.산군_붙여넣기'!$A$1:$AZ$1001,ROW(),설정!$C$6)&amp;"",""),",",""),"㎡",""),"m2","")),"")</f>
        <v/>
      </c>
      <c r="E12">
        <f>IFERROR(INDEX('1.산군_붙여넣기'!$A$1:$AZ$1001,ROW(),설정!$C$7)&amp;"","")</f>
        <v/>
      </c>
      <c r="F12">
        <f>IFERROR(INDEX('1.산군_붙여넣기'!$A$1:$AZ$1001,ROW(),설정!$C$8)&amp;"","")</f>
        <v/>
      </c>
      <c r="G12">
        <f>IFERROR(INDEX('1.산군_붙여넣기'!$A$1:$AZ$1001,ROW(),설정!$C$9)&amp;"","")</f>
        <v/>
      </c>
      <c r="H12">
        <f>IFERROR(INDEX('1.산군_붙여넣기'!$A$1:$AZ$1001,ROW(),설정!$C$10)&amp;"","")</f>
        <v/>
      </c>
      <c r="I12">
        <f>IFERROR(INDEX('1.산군_붙여넣기'!$A$1:$AZ$1001,ROW(),설정!$C$11)&amp;"","")</f>
        <v/>
      </c>
      <c r="J12">
        <f>IFERROR(INDEX('1.산군_붙여넣기'!$A$1:$AZ$1001,ROW(),설정!$C$12)&amp;"","")</f>
        <v/>
      </c>
      <c r="K12">
        <f>IFERROR(INDEX('1.산군_붙여넣기'!$A$1:$AZ$1001,ROW(),설정!$C$13)&amp;"","")</f>
        <v/>
      </c>
      <c r="L12" s="6">
        <f>IF(X12="","",IF(AND(LEN(X12)=8,ISNUMBER(X12*1)),DATE(LEFT(X12,4),MID(X12,5,2),RIGHT(X12,2)),IFERROR(DATEVALUE(SUBSTITUTE(SUBSTITUTE(X12,".","-"),"/","-")),IFERROR(X12*1,""))))</f>
        <v/>
      </c>
      <c r="M12" s="6">
        <f>IF(Y12="","",IF(AND(LEN(Y12)=8,ISNUMBER(Y12*1)),DATE(LEFT(Y12,4),MID(Y12,5,2),RIGHT(Y12,2)),IFERROR(DATEVALUE(SUBSTITUTE(SUBSTITUTE(Y12,".","-"),"/","-")),IFERROR(Y12*1,""))))</f>
        <v/>
      </c>
      <c r="N12">
        <f>IFERROR(LEFT(B12,FIND(" ",B12)-1),B12)</f>
        <v/>
      </c>
      <c r="O12">
        <f>AND(B12&lt;&gt;"",B12&lt;&gt;설정!$B$4,C12&lt;&gt;설정!$B$5)</f>
        <v/>
      </c>
      <c r="P12">
        <f>IF(O12,B12&amp;"|"&amp;C12,"")</f>
        <v/>
      </c>
      <c r="Q12">
        <f>AND(O12,COUNTIF(P13:P$1002,P12)=0)</f>
        <v/>
      </c>
      <c r="R12">
        <f>OR(AND(설정!$A$28&lt;&gt;"",ISNUMBER(SEARCH(설정!$A$28,E12&amp;" "&amp;C12))),AND(설정!$A$29&lt;&gt;"",ISNUMBER(SEARCH(설정!$A$29,E12&amp;" "&amp;C12))),AND(설정!$A$30&lt;&gt;"",ISNUMBER(SEARCH(설정!$A$30,E12&amp;" "&amp;C12))),AND(설정!$A$31&lt;&gt;"",ISNUMBER(SEARCH(설정!$A$31,E12&amp;" "&amp;C12))),AND(설정!$A$32&lt;&gt;"",ISNUMBER(SEARCH(설정!$A$32,E12&amp;" "&amp;C12))),AND(설정!$A$33&lt;&gt;"",ISNUMBER(SEARCH(설정!$A$33,E12&amp;" "&amp;C12))),AND(설정!$A$34&lt;&gt;"",ISNUMBER(SEARCH(설정!$A$34,E12&amp;" "&amp;C12))),AND(설정!$A$35&lt;&gt;"",ISNUMBER(SEARCH(설정!$A$35,E12&amp;" "&amp;C12))),AND(설정!$A$36&lt;&gt;"",ISNUMBER(SEARCH(설정!$A$36,E12&amp;" "&amp;C12))),AND(설정!$A$37&lt;&gt;"",ISNUMBER(SEARCH(설정!$A$37,E12&amp;" "&amp;C12))))</f>
        <v/>
      </c>
      <c r="S12">
        <f>OR(D12="",D12&gt;=설정!$B$19)</f>
        <v/>
      </c>
      <c r="T12">
        <f>AND(Q12,R12,S12)</f>
        <v/>
      </c>
      <c r="U12">
        <f>IF(T12,IF(AND(설정!$A$41&lt;&gt;"",ISNUMBER(SEARCH(설정!$A$41,K12))),설정!$B$41,IF(AND(설정!$A$42&lt;&gt;"",ISNUMBER(SEARCH(설정!$A$42,K12))),설정!$B$42,IF(AND(설정!$A$43&lt;&gt;"",ISNUMBER(SEARCH(설정!$A$43,K12))),설정!$B$43,IF(AND(설정!$A$44&lt;&gt;"",ISNUMBER(SEARCH(설정!$A$44,K12))),설정!$B$44,IF(AND(설정!$A$45&lt;&gt;"",ISNUMBER(SEARCH(설정!$A$45,K12))),설정!$B$45,IF(AND(설정!$A$46&lt;&gt;"",ISNUMBER(SEARCH(설정!$A$46,K12))),설정!$B$46,IF(AND(설정!$A$47&lt;&gt;"",ISNUMBER(SEARCH(설정!$A$47,K12))),설정!$B$47,IF(AND(설정!$A$48&lt;&gt;"",ISNUMBER(SEARCH(설정!$A$48,K12))),설정!$B$48,IF(M12="","설계사","시공사"))))))))),"")</f>
        <v/>
      </c>
      <c r="V12">
        <f>SUBSTITUTE(SUBSTITUTE(SUBSTITUTE(SUBSTITUTE(G12,"(주)",""),"㈜",""),"주식회사","")," ","")</f>
        <v/>
      </c>
      <c r="W12">
        <f>IF(AND(T12,V12&lt;&gt;""),IF(COUNTIFS(V$2:V12,V12,T$2:T12,TRUE)=1,MAX(W$1:W11)+1,""),"")</f>
        <v/>
      </c>
      <c r="X12">
        <f>IFERROR(INDEX('1.산군_붙여넣기'!$A$1:$AZ$1001,ROW(),설정!$C$14)&amp;"","")</f>
        <v/>
      </c>
      <c r="Y12">
        <f>IFERROR(INDEX('1.산군_붙여넣기'!$A$1:$AZ$1001,ROW(),설정!$C$15)&amp;"","")</f>
        <v/>
      </c>
      <c r="Z12">
        <f>IF(T12,V12&amp;"|"&amp;U12,"")</f>
        <v/>
      </c>
    </row>
    <row r="13">
      <c r="A13">
        <f>ROW()</f>
        <v/>
      </c>
      <c r="B13">
        <f>IFERROR(INDEX('1.산군_붙여넣기'!$A$1:$AZ$1001,ROW(),설정!$C$4)&amp;"","")</f>
        <v/>
      </c>
      <c r="C13">
        <f>IFERROR(INDEX('1.산군_붙여넣기'!$A$1:$AZ$1001,ROW(),설정!$C$5)&amp;"","")</f>
        <v/>
      </c>
      <c r="D13" s="5">
        <f>IFERROR(VALUE(SUBSTITUTE(SUBSTITUTE(SUBSTITUTE(IFERROR(INDEX('1.산군_붙여넣기'!$A$1:$AZ$1001,ROW(),설정!$C$6)&amp;"",""),",",""),"㎡",""),"m2","")),"")</f>
        <v/>
      </c>
      <c r="E13">
        <f>IFERROR(INDEX('1.산군_붙여넣기'!$A$1:$AZ$1001,ROW(),설정!$C$7)&amp;"","")</f>
        <v/>
      </c>
      <c r="F13">
        <f>IFERROR(INDEX('1.산군_붙여넣기'!$A$1:$AZ$1001,ROW(),설정!$C$8)&amp;"","")</f>
        <v/>
      </c>
      <c r="G13">
        <f>IFERROR(INDEX('1.산군_붙여넣기'!$A$1:$AZ$1001,ROW(),설정!$C$9)&amp;"","")</f>
        <v/>
      </c>
      <c r="H13">
        <f>IFERROR(INDEX('1.산군_붙여넣기'!$A$1:$AZ$1001,ROW(),설정!$C$10)&amp;"","")</f>
        <v/>
      </c>
      <c r="I13">
        <f>IFERROR(INDEX('1.산군_붙여넣기'!$A$1:$AZ$1001,ROW(),설정!$C$11)&amp;"","")</f>
        <v/>
      </c>
      <c r="J13">
        <f>IFERROR(INDEX('1.산군_붙여넣기'!$A$1:$AZ$1001,ROW(),설정!$C$12)&amp;"","")</f>
        <v/>
      </c>
      <c r="K13">
        <f>IFERROR(INDEX('1.산군_붙여넣기'!$A$1:$AZ$1001,ROW(),설정!$C$13)&amp;"","")</f>
        <v/>
      </c>
      <c r="L13" s="6">
        <f>IF(X13="","",IF(AND(LEN(X13)=8,ISNUMBER(X13*1)),DATE(LEFT(X13,4),MID(X13,5,2),RIGHT(X13,2)),IFERROR(DATEVALUE(SUBSTITUTE(SUBSTITUTE(X13,".","-"),"/","-")),IFERROR(X13*1,""))))</f>
        <v/>
      </c>
      <c r="M13" s="6">
        <f>IF(Y13="","",IF(AND(LEN(Y13)=8,ISNUMBER(Y13*1)),DATE(LEFT(Y13,4),MID(Y13,5,2),RIGHT(Y13,2)),IFERROR(DATEVALUE(SUBSTITUTE(SUBSTITUTE(Y13,".","-"),"/","-")),IFERROR(Y13*1,""))))</f>
        <v/>
      </c>
      <c r="N13">
        <f>IFERROR(LEFT(B13,FIND(" ",B13)-1),B13)</f>
        <v/>
      </c>
      <c r="O13">
        <f>AND(B13&lt;&gt;"",B13&lt;&gt;설정!$B$4,C13&lt;&gt;설정!$B$5)</f>
        <v/>
      </c>
      <c r="P13">
        <f>IF(O13,B13&amp;"|"&amp;C13,"")</f>
        <v/>
      </c>
      <c r="Q13">
        <f>AND(O13,COUNTIF(P14:P$1002,P13)=0)</f>
        <v/>
      </c>
      <c r="R13">
        <f>OR(AND(설정!$A$28&lt;&gt;"",ISNUMBER(SEARCH(설정!$A$28,E13&amp;" "&amp;C13))),AND(설정!$A$29&lt;&gt;"",ISNUMBER(SEARCH(설정!$A$29,E13&amp;" "&amp;C13))),AND(설정!$A$30&lt;&gt;"",ISNUMBER(SEARCH(설정!$A$30,E13&amp;" "&amp;C13))),AND(설정!$A$31&lt;&gt;"",ISNUMBER(SEARCH(설정!$A$31,E13&amp;" "&amp;C13))),AND(설정!$A$32&lt;&gt;"",ISNUMBER(SEARCH(설정!$A$32,E13&amp;" "&amp;C13))),AND(설정!$A$33&lt;&gt;"",ISNUMBER(SEARCH(설정!$A$33,E13&amp;" "&amp;C13))),AND(설정!$A$34&lt;&gt;"",ISNUMBER(SEARCH(설정!$A$34,E13&amp;" "&amp;C13))),AND(설정!$A$35&lt;&gt;"",ISNUMBER(SEARCH(설정!$A$35,E13&amp;" "&amp;C13))),AND(설정!$A$36&lt;&gt;"",ISNUMBER(SEARCH(설정!$A$36,E13&amp;" "&amp;C13))),AND(설정!$A$37&lt;&gt;"",ISNUMBER(SEARCH(설정!$A$37,E13&amp;" "&amp;C13))))</f>
        <v/>
      </c>
      <c r="S13">
        <f>OR(D13="",D13&gt;=설정!$B$19)</f>
        <v/>
      </c>
      <c r="T13">
        <f>AND(Q13,R13,S13)</f>
        <v/>
      </c>
      <c r="U13">
        <f>IF(T13,IF(AND(설정!$A$41&lt;&gt;"",ISNUMBER(SEARCH(설정!$A$41,K13))),설정!$B$41,IF(AND(설정!$A$42&lt;&gt;"",ISNUMBER(SEARCH(설정!$A$42,K13))),설정!$B$42,IF(AND(설정!$A$43&lt;&gt;"",ISNUMBER(SEARCH(설정!$A$43,K13))),설정!$B$43,IF(AND(설정!$A$44&lt;&gt;"",ISNUMBER(SEARCH(설정!$A$44,K13))),설정!$B$44,IF(AND(설정!$A$45&lt;&gt;"",ISNUMBER(SEARCH(설정!$A$45,K13))),설정!$B$45,IF(AND(설정!$A$46&lt;&gt;"",ISNUMBER(SEARCH(설정!$A$46,K13))),설정!$B$46,IF(AND(설정!$A$47&lt;&gt;"",ISNUMBER(SEARCH(설정!$A$47,K13))),설정!$B$47,IF(AND(설정!$A$48&lt;&gt;"",ISNUMBER(SEARCH(설정!$A$48,K13))),설정!$B$48,IF(M13="","설계사","시공사"))))))))),"")</f>
        <v/>
      </c>
      <c r="V13">
        <f>SUBSTITUTE(SUBSTITUTE(SUBSTITUTE(SUBSTITUTE(G13,"(주)",""),"㈜",""),"주식회사","")," ","")</f>
        <v/>
      </c>
      <c r="W13">
        <f>IF(AND(T13,V13&lt;&gt;""),IF(COUNTIFS(V$2:V13,V13,T$2:T13,TRUE)=1,MAX(W$1:W12)+1,""),"")</f>
        <v/>
      </c>
      <c r="X13">
        <f>IFERROR(INDEX('1.산군_붙여넣기'!$A$1:$AZ$1001,ROW(),설정!$C$14)&amp;"","")</f>
        <v/>
      </c>
      <c r="Y13">
        <f>IFERROR(INDEX('1.산군_붙여넣기'!$A$1:$AZ$1001,ROW(),설정!$C$15)&amp;"","")</f>
        <v/>
      </c>
      <c r="Z13">
        <f>IF(T13,V13&amp;"|"&amp;U13,"")</f>
        <v/>
      </c>
    </row>
    <row r="14">
      <c r="A14">
        <f>ROW()</f>
        <v/>
      </c>
      <c r="B14">
        <f>IFERROR(INDEX('1.산군_붙여넣기'!$A$1:$AZ$1001,ROW(),설정!$C$4)&amp;"","")</f>
        <v/>
      </c>
      <c r="C14">
        <f>IFERROR(INDEX('1.산군_붙여넣기'!$A$1:$AZ$1001,ROW(),설정!$C$5)&amp;"","")</f>
        <v/>
      </c>
      <c r="D14" s="5">
        <f>IFERROR(VALUE(SUBSTITUTE(SUBSTITUTE(SUBSTITUTE(IFERROR(INDEX('1.산군_붙여넣기'!$A$1:$AZ$1001,ROW(),설정!$C$6)&amp;"",""),",",""),"㎡",""),"m2","")),"")</f>
        <v/>
      </c>
      <c r="E14">
        <f>IFERROR(INDEX('1.산군_붙여넣기'!$A$1:$AZ$1001,ROW(),설정!$C$7)&amp;"","")</f>
        <v/>
      </c>
      <c r="F14">
        <f>IFERROR(INDEX('1.산군_붙여넣기'!$A$1:$AZ$1001,ROW(),설정!$C$8)&amp;"","")</f>
        <v/>
      </c>
      <c r="G14">
        <f>IFERROR(INDEX('1.산군_붙여넣기'!$A$1:$AZ$1001,ROW(),설정!$C$9)&amp;"","")</f>
        <v/>
      </c>
      <c r="H14">
        <f>IFERROR(INDEX('1.산군_붙여넣기'!$A$1:$AZ$1001,ROW(),설정!$C$10)&amp;"","")</f>
        <v/>
      </c>
      <c r="I14">
        <f>IFERROR(INDEX('1.산군_붙여넣기'!$A$1:$AZ$1001,ROW(),설정!$C$11)&amp;"","")</f>
        <v/>
      </c>
      <c r="J14">
        <f>IFERROR(INDEX('1.산군_붙여넣기'!$A$1:$AZ$1001,ROW(),설정!$C$12)&amp;"","")</f>
        <v/>
      </c>
      <c r="K14">
        <f>IFERROR(INDEX('1.산군_붙여넣기'!$A$1:$AZ$1001,ROW(),설정!$C$13)&amp;"","")</f>
        <v/>
      </c>
      <c r="L14" s="6">
        <f>IF(X14="","",IF(AND(LEN(X14)=8,ISNUMBER(X14*1)),DATE(LEFT(X14,4),MID(X14,5,2),RIGHT(X14,2)),IFERROR(DATEVALUE(SUBSTITUTE(SUBSTITUTE(X14,".","-"),"/","-")),IFERROR(X14*1,""))))</f>
        <v/>
      </c>
      <c r="M14" s="6">
        <f>IF(Y14="","",IF(AND(LEN(Y14)=8,ISNUMBER(Y14*1)),DATE(LEFT(Y14,4),MID(Y14,5,2),RIGHT(Y14,2)),IFERROR(DATEVALUE(SUBSTITUTE(SUBSTITUTE(Y14,".","-"),"/","-")),IFERROR(Y14*1,""))))</f>
        <v/>
      </c>
      <c r="N14">
        <f>IFERROR(LEFT(B14,FIND(" ",B14)-1),B14)</f>
        <v/>
      </c>
      <c r="O14">
        <f>AND(B14&lt;&gt;"",B14&lt;&gt;설정!$B$4,C14&lt;&gt;설정!$B$5)</f>
        <v/>
      </c>
      <c r="P14">
        <f>IF(O14,B14&amp;"|"&amp;C14,"")</f>
        <v/>
      </c>
      <c r="Q14">
        <f>AND(O14,COUNTIF(P15:P$1002,P14)=0)</f>
        <v/>
      </c>
      <c r="R14">
        <f>OR(AND(설정!$A$28&lt;&gt;"",ISNUMBER(SEARCH(설정!$A$28,E14&amp;" "&amp;C14))),AND(설정!$A$29&lt;&gt;"",ISNUMBER(SEARCH(설정!$A$29,E14&amp;" "&amp;C14))),AND(설정!$A$30&lt;&gt;"",ISNUMBER(SEARCH(설정!$A$30,E14&amp;" "&amp;C14))),AND(설정!$A$31&lt;&gt;"",ISNUMBER(SEARCH(설정!$A$31,E14&amp;" "&amp;C14))),AND(설정!$A$32&lt;&gt;"",ISNUMBER(SEARCH(설정!$A$32,E14&amp;" "&amp;C14))),AND(설정!$A$33&lt;&gt;"",ISNUMBER(SEARCH(설정!$A$33,E14&amp;" "&amp;C14))),AND(설정!$A$34&lt;&gt;"",ISNUMBER(SEARCH(설정!$A$34,E14&amp;" "&amp;C14))),AND(설정!$A$35&lt;&gt;"",ISNUMBER(SEARCH(설정!$A$35,E14&amp;" "&amp;C14))),AND(설정!$A$36&lt;&gt;"",ISNUMBER(SEARCH(설정!$A$36,E14&amp;" "&amp;C14))),AND(설정!$A$37&lt;&gt;"",ISNUMBER(SEARCH(설정!$A$37,E14&amp;" "&amp;C14))))</f>
        <v/>
      </c>
      <c r="S14">
        <f>OR(D14="",D14&gt;=설정!$B$19)</f>
        <v/>
      </c>
      <c r="T14">
        <f>AND(Q14,R14,S14)</f>
        <v/>
      </c>
      <c r="U14">
        <f>IF(T14,IF(AND(설정!$A$41&lt;&gt;"",ISNUMBER(SEARCH(설정!$A$41,K14))),설정!$B$41,IF(AND(설정!$A$42&lt;&gt;"",ISNUMBER(SEARCH(설정!$A$42,K14))),설정!$B$42,IF(AND(설정!$A$43&lt;&gt;"",ISNUMBER(SEARCH(설정!$A$43,K14))),설정!$B$43,IF(AND(설정!$A$44&lt;&gt;"",ISNUMBER(SEARCH(설정!$A$44,K14))),설정!$B$44,IF(AND(설정!$A$45&lt;&gt;"",ISNUMBER(SEARCH(설정!$A$45,K14))),설정!$B$45,IF(AND(설정!$A$46&lt;&gt;"",ISNUMBER(SEARCH(설정!$A$46,K14))),설정!$B$46,IF(AND(설정!$A$47&lt;&gt;"",ISNUMBER(SEARCH(설정!$A$47,K14))),설정!$B$47,IF(AND(설정!$A$48&lt;&gt;"",ISNUMBER(SEARCH(설정!$A$48,K14))),설정!$B$48,IF(M14="","설계사","시공사"))))))))),"")</f>
        <v/>
      </c>
      <c r="V14">
        <f>SUBSTITUTE(SUBSTITUTE(SUBSTITUTE(SUBSTITUTE(G14,"(주)",""),"㈜",""),"주식회사","")," ","")</f>
        <v/>
      </c>
      <c r="W14">
        <f>IF(AND(T14,V14&lt;&gt;""),IF(COUNTIFS(V$2:V14,V14,T$2:T14,TRUE)=1,MAX(W$1:W13)+1,""),"")</f>
        <v/>
      </c>
      <c r="X14">
        <f>IFERROR(INDEX('1.산군_붙여넣기'!$A$1:$AZ$1001,ROW(),설정!$C$14)&amp;"","")</f>
        <v/>
      </c>
      <c r="Y14">
        <f>IFERROR(INDEX('1.산군_붙여넣기'!$A$1:$AZ$1001,ROW(),설정!$C$15)&amp;"","")</f>
        <v/>
      </c>
      <c r="Z14">
        <f>IF(T14,V14&amp;"|"&amp;U14,"")</f>
        <v/>
      </c>
    </row>
    <row r="15">
      <c r="A15">
        <f>ROW()</f>
        <v/>
      </c>
      <c r="B15">
        <f>IFERROR(INDEX('1.산군_붙여넣기'!$A$1:$AZ$1001,ROW(),설정!$C$4)&amp;"","")</f>
        <v/>
      </c>
      <c r="C15">
        <f>IFERROR(INDEX('1.산군_붙여넣기'!$A$1:$AZ$1001,ROW(),설정!$C$5)&amp;"","")</f>
        <v/>
      </c>
      <c r="D15" s="5">
        <f>IFERROR(VALUE(SUBSTITUTE(SUBSTITUTE(SUBSTITUTE(IFERROR(INDEX('1.산군_붙여넣기'!$A$1:$AZ$1001,ROW(),설정!$C$6)&amp;"",""),",",""),"㎡",""),"m2","")),"")</f>
        <v/>
      </c>
      <c r="E15">
        <f>IFERROR(INDEX('1.산군_붙여넣기'!$A$1:$AZ$1001,ROW(),설정!$C$7)&amp;"","")</f>
        <v/>
      </c>
      <c r="F15">
        <f>IFERROR(INDEX('1.산군_붙여넣기'!$A$1:$AZ$1001,ROW(),설정!$C$8)&amp;"","")</f>
        <v/>
      </c>
      <c r="G15">
        <f>IFERROR(INDEX('1.산군_붙여넣기'!$A$1:$AZ$1001,ROW(),설정!$C$9)&amp;"","")</f>
        <v/>
      </c>
      <c r="H15">
        <f>IFERROR(INDEX('1.산군_붙여넣기'!$A$1:$AZ$1001,ROW(),설정!$C$10)&amp;"","")</f>
        <v/>
      </c>
      <c r="I15">
        <f>IFERROR(INDEX('1.산군_붙여넣기'!$A$1:$AZ$1001,ROW(),설정!$C$11)&amp;"","")</f>
        <v/>
      </c>
      <c r="J15">
        <f>IFERROR(INDEX('1.산군_붙여넣기'!$A$1:$AZ$1001,ROW(),설정!$C$12)&amp;"","")</f>
        <v/>
      </c>
      <c r="K15">
        <f>IFERROR(INDEX('1.산군_붙여넣기'!$A$1:$AZ$1001,ROW(),설정!$C$13)&amp;"","")</f>
        <v/>
      </c>
      <c r="L15" s="6">
        <f>IF(X15="","",IF(AND(LEN(X15)=8,ISNUMBER(X15*1)),DATE(LEFT(X15,4),MID(X15,5,2),RIGHT(X15,2)),IFERROR(DATEVALUE(SUBSTITUTE(SUBSTITUTE(X15,".","-"),"/","-")),IFERROR(X15*1,""))))</f>
        <v/>
      </c>
      <c r="M15" s="6">
        <f>IF(Y15="","",IF(AND(LEN(Y15)=8,ISNUMBER(Y15*1)),DATE(LEFT(Y15,4),MID(Y15,5,2),RIGHT(Y15,2)),IFERROR(DATEVALUE(SUBSTITUTE(SUBSTITUTE(Y15,".","-"),"/","-")),IFERROR(Y15*1,""))))</f>
        <v/>
      </c>
      <c r="N15">
        <f>IFERROR(LEFT(B15,FIND(" ",B15)-1),B15)</f>
        <v/>
      </c>
      <c r="O15">
        <f>AND(B15&lt;&gt;"",B15&lt;&gt;설정!$B$4,C15&lt;&gt;설정!$B$5)</f>
        <v/>
      </c>
      <c r="P15">
        <f>IF(O15,B15&amp;"|"&amp;C15,"")</f>
        <v/>
      </c>
      <c r="Q15">
        <f>AND(O15,COUNTIF(P16:P$1002,P15)=0)</f>
        <v/>
      </c>
      <c r="R15">
        <f>OR(AND(설정!$A$28&lt;&gt;"",ISNUMBER(SEARCH(설정!$A$28,E15&amp;" "&amp;C15))),AND(설정!$A$29&lt;&gt;"",ISNUMBER(SEARCH(설정!$A$29,E15&amp;" "&amp;C15))),AND(설정!$A$30&lt;&gt;"",ISNUMBER(SEARCH(설정!$A$30,E15&amp;" "&amp;C15))),AND(설정!$A$31&lt;&gt;"",ISNUMBER(SEARCH(설정!$A$31,E15&amp;" "&amp;C15))),AND(설정!$A$32&lt;&gt;"",ISNUMBER(SEARCH(설정!$A$32,E15&amp;" "&amp;C15))),AND(설정!$A$33&lt;&gt;"",ISNUMBER(SEARCH(설정!$A$33,E15&amp;" "&amp;C15))),AND(설정!$A$34&lt;&gt;"",ISNUMBER(SEARCH(설정!$A$34,E15&amp;" "&amp;C15))),AND(설정!$A$35&lt;&gt;"",ISNUMBER(SEARCH(설정!$A$35,E15&amp;" "&amp;C15))),AND(설정!$A$36&lt;&gt;"",ISNUMBER(SEARCH(설정!$A$36,E15&amp;" "&amp;C15))),AND(설정!$A$37&lt;&gt;"",ISNUMBER(SEARCH(설정!$A$37,E15&amp;" "&amp;C15))))</f>
        <v/>
      </c>
      <c r="S15">
        <f>OR(D15="",D15&gt;=설정!$B$19)</f>
        <v/>
      </c>
      <c r="T15">
        <f>AND(Q15,R15,S15)</f>
        <v/>
      </c>
      <c r="U15">
        <f>IF(T15,IF(AND(설정!$A$41&lt;&gt;"",ISNUMBER(SEARCH(설정!$A$41,K15))),설정!$B$41,IF(AND(설정!$A$42&lt;&gt;"",ISNUMBER(SEARCH(설정!$A$42,K15))),설정!$B$42,IF(AND(설정!$A$43&lt;&gt;"",ISNUMBER(SEARCH(설정!$A$43,K15))),설정!$B$43,IF(AND(설정!$A$44&lt;&gt;"",ISNUMBER(SEARCH(설정!$A$44,K15))),설정!$B$44,IF(AND(설정!$A$45&lt;&gt;"",ISNUMBER(SEARCH(설정!$A$45,K15))),설정!$B$45,IF(AND(설정!$A$46&lt;&gt;"",ISNUMBER(SEARCH(설정!$A$46,K15))),설정!$B$46,IF(AND(설정!$A$47&lt;&gt;"",ISNUMBER(SEARCH(설정!$A$47,K15))),설정!$B$47,IF(AND(설정!$A$48&lt;&gt;"",ISNUMBER(SEARCH(설정!$A$48,K15))),설정!$B$48,IF(M15="","설계사","시공사"))))))))),"")</f>
        <v/>
      </c>
      <c r="V15">
        <f>SUBSTITUTE(SUBSTITUTE(SUBSTITUTE(SUBSTITUTE(G15,"(주)",""),"㈜",""),"주식회사","")," ","")</f>
        <v/>
      </c>
      <c r="W15">
        <f>IF(AND(T15,V15&lt;&gt;""),IF(COUNTIFS(V$2:V15,V15,T$2:T15,TRUE)=1,MAX(W$1:W14)+1,""),"")</f>
        <v/>
      </c>
      <c r="X15">
        <f>IFERROR(INDEX('1.산군_붙여넣기'!$A$1:$AZ$1001,ROW(),설정!$C$14)&amp;"","")</f>
        <v/>
      </c>
      <c r="Y15">
        <f>IFERROR(INDEX('1.산군_붙여넣기'!$A$1:$AZ$1001,ROW(),설정!$C$15)&amp;"","")</f>
        <v/>
      </c>
      <c r="Z15">
        <f>IF(T15,V15&amp;"|"&amp;U15,"")</f>
        <v/>
      </c>
    </row>
    <row r="16">
      <c r="A16">
        <f>ROW()</f>
        <v/>
      </c>
      <c r="B16">
        <f>IFERROR(INDEX('1.산군_붙여넣기'!$A$1:$AZ$1001,ROW(),설정!$C$4)&amp;"","")</f>
        <v/>
      </c>
      <c r="C16">
        <f>IFERROR(INDEX('1.산군_붙여넣기'!$A$1:$AZ$1001,ROW(),설정!$C$5)&amp;"","")</f>
        <v/>
      </c>
      <c r="D16" s="5">
        <f>IFERROR(VALUE(SUBSTITUTE(SUBSTITUTE(SUBSTITUTE(IFERROR(INDEX('1.산군_붙여넣기'!$A$1:$AZ$1001,ROW(),설정!$C$6)&amp;"",""),",",""),"㎡",""),"m2","")),"")</f>
        <v/>
      </c>
      <c r="E16">
        <f>IFERROR(INDEX('1.산군_붙여넣기'!$A$1:$AZ$1001,ROW(),설정!$C$7)&amp;"","")</f>
        <v/>
      </c>
      <c r="F16">
        <f>IFERROR(INDEX('1.산군_붙여넣기'!$A$1:$AZ$1001,ROW(),설정!$C$8)&amp;"","")</f>
        <v/>
      </c>
      <c r="G16">
        <f>IFERROR(INDEX('1.산군_붙여넣기'!$A$1:$AZ$1001,ROW(),설정!$C$9)&amp;"","")</f>
        <v/>
      </c>
      <c r="H16">
        <f>IFERROR(INDEX('1.산군_붙여넣기'!$A$1:$AZ$1001,ROW(),설정!$C$10)&amp;"","")</f>
        <v/>
      </c>
      <c r="I16">
        <f>IFERROR(INDEX('1.산군_붙여넣기'!$A$1:$AZ$1001,ROW(),설정!$C$11)&amp;"","")</f>
        <v/>
      </c>
      <c r="J16">
        <f>IFERROR(INDEX('1.산군_붙여넣기'!$A$1:$AZ$1001,ROW(),설정!$C$12)&amp;"","")</f>
        <v/>
      </c>
      <c r="K16">
        <f>IFERROR(INDEX('1.산군_붙여넣기'!$A$1:$AZ$1001,ROW(),설정!$C$13)&amp;"","")</f>
        <v/>
      </c>
      <c r="L16" s="6">
        <f>IF(X16="","",IF(AND(LEN(X16)=8,ISNUMBER(X16*1)),DATE(LEFT(X16,4),MID(X16,5,2),RIGHT(X16,2)),IFERROR(DATEVALUE(SUBSTITUTE(SUBSTITUTE(X16,".","-"),"/","-")),IFERROR(X16*1,""))))</f>
        <v/>
      </c>
      <c r="M16" s="6">
        <f>IF(Y16="","",IF(AND(LEN(Y16)=8,ISNUMBER(Y16*1)),DATE(LEFT(Y16,4),MID(Y16,5,2),RIGHT(Y16,2)),IFERROR(DATEVALUE(SUBSTITUTE(SUBSTITUTE(Y16,".","-"),"/","-")),IFERROR(Y16*1,""))))</f>
        <v/>
      </c>
      <c r="N16">
        <f>IFERROR(LEFT(B16,FIND(" ",B16)-1),B16)</f>
        <v/>
      </c>
      <c r="O16">
        <f>AND(B16&lt;&gt;"",B16&lt;&gt;설정!$B$4,C16&lt;&gt;설정!$B$5)</f>
        <v/>
      </c>
      <c r="P16">
        <f>IF(O16,B16&amp;"|"&amp;C16,"")</f>
        <v/>
      </c>
      <c r="Q16">
        <f>AND(O16,COUNTIF(P17:P$1002,P16)=0)</f>
        <v/>
      </c>
      <c r="R16">
        <f>OR(AND(설정!$A$28&lt;&gt;"",ISNUMBER(SEARCH(설정!$A$28,E16&amp;" "&amp;C16))),AND(설정!$A$29&lt;&gt;"",ISNUMBER(SEARCH(설정!$A$29,E16&amp;" "&amp;C16))),AND(설정!$A$30&lt;&gt;"",ISNUMBER(SEARCH(설정!$A$30,E16&amp;" "&amp;C16))),AND(설정!$A$31&lt;&gt;"",ISNUMBER(SEARCH(설정!$A$31,E16&amp;" "&amp;C16))),AND(설정!$A$32&lt;&gt;"",ISNUMBER(SEARCH(설정!$A$32,E16&amp;" "&amp;C16))),AND(설정!$A$33&lt;&gt;"",ISNUMBER(SEARCH(설정!$A$33,E16&amp;" "&amp;C16))),AND(설정!$A$34&lt;&gt;"",ISNUMBER(SEARCH(설정!$A$34,E16&amp;" "&amp;C16))),AND(설정!$A$35&lt;&gt;"",ISNUMBER(SEARCH(설정!$A$35,E16&amp;" "&amp;C16))),AND(설정!$A$36&lt;&gt;"",ISNUMBER(SEARCH(설정!$A$36,E16&amp;" "&amp;C16))),AND(설정!$A$37&lt;&gt;"",ISNUMBER(SEARCH(설정!$A$37,E16&amp;" "&amp;C16))))</f>
        <v/>
      </c>
      <c r="S16">
        <f>OR(D16="",D16&gt;=설정!$B$19)</f>
        <v/>
      </c>
      <c r="T16">
        <f>AND(Q16,R16,S16)</f>
        <v/>
      </c>
      <c r="U16">
        <f>IF(T16,IF(AND(설정!$A$41&lt;&gt;"",ISNUMBER(SEARCH(설정!$A$41,K16))),설정!$B$41,IF(AND(설정!$A$42&lt;&gt;"",ISNUMBER(SEARCH(설정!$A$42,K16))),설정!$B$42,IF(AND(설정!$A$43&lt;&gt;"",ISNUMBER(SEARCH(설정!$A$43,K16))),설정!$B$43,IF(AND(설정!$A$44&lt;&gt;"",ISNUMBER(SEARCH(설정!$A$44,K16))),설정!$B$44,IF(AND(설정!$A$45&lt;&gt;"",ISNUMBER(SEARCH(설정!$A$45,K16))),설정!$B$45,IF(AND(설정!$A$46&lt;&gt;"",ISNUMBER(SEARCH(설정!$A$46,K16))),설정!$B$46,IF(AND(설정!$A$47&lt;&gt;"",ISNUMBER(SEARCH(설정!$A$47,K16))),설정!$B$47,IF(AND(설정!$A$48&lt;&gt;"",ISNUMBER(SEARCH(설정!$A$48,K16))),설정!$B$48,IF(M16="","설계사","시공사"))))))))),"")</f>
        <v/>
      </c>
      <c r="V16">
        <f>SUBSTITUTE(SUBSTITUTE(SUBSTITUTE(SUBSTITUTE(G16,"(주)",""),"㈜",""),"주식회사","")," ","")</f>
        <v/>
      </c>
      <c r="W16">
        <f>IF(AND(T16,V16&lt;&gt;""),IF(COUNTIFS(V$2:V16,V16,T$2:T16,TRUE)=1,MAX(W$1:W15)+1,""),"")</f>
        <v/>
      </c>
      <c r="X16">
        <f>IFERROR(INDEX('1.산군_붙여넣기'!$A$1:$AZ$1001,ROW(),설정!$C$14)&amp;"","")</f>
        <v/>
      </c>
      <c r="Y16">
        <f>IFERROR(INDEX('1.산군_붙여넣기'!$A$1:$AZ$1001,ROW(),설정!$C$15)&amp;"","")</f>
        <v/>
      </c>
      <c r="Z16">
        <f>IF(T16,V16&amp;"|"&amp;U16,"")</f>
        <v/>
      </c>
    </row>
    <row r="17">
      <c r="A17">
        <f>ROW()</f>
        <v/>
      </c>
      <c r="B17">
        <f>IFERROR(INDEX('1.산군_붙여넣기'!$A$1:$AZ$1001,ROW(),설정!$C$4)&amp;"","")</f>
        <v/>
      </c>
      <c r="C17">
        <f>IFERROR(INDEX('1.산군_붙여넣기'!$A$1:$AZ$1001,ROW(),설정!$C$5)&amp;"","")</f>
        <v/>
      </c>
      <c r="D17" s="5">
        <f>IFERROR(VALUE(SUBSTITUTE(SUBSTITUTE(SUBSTITUTE(IFERROR(INDEX('1.산군_붙여넣기'!$A$1:$AZ$1001,ROW(),설정!$C$6)&amp;"",""),",",""),"㎡",""),"m2","")),"")</f>
        <v/>
      </c>
      <c r="E17">
        <f>IFERROR(INDEX('1.산군_붙여넣기'!$A$1:$AZ$1001,ROW(),설정!$C$7)&amp;"","")</f>
        <v/>
      </c>
      <c r="F17">
        <f>IFERROR(INDEX('1.산군_붙여넣기'!$A$1:$AZ$1001,ROW(),설정!$C$8)&amp;"","")</f>
        <v/>
      </c>
      <c r="G17">
        <f>IFERROR(INDEX('1.산군_붙여넣기'!$A$1:$AZ$1001,ROW(),설정!$C$9)&amp;"","")</f>
        <v/>
      </c>
      <c r="H17">
        <f>IFERROR(INDEX('1.산군_붙여넣기'!$A$1:$AZ$1001,ROW(),설정!$C$10)&amp;"","")</f>
        <v/>
      </c>
      <c r="I17">
        <f>IFERROR(INDEX('1.산군_붙여넣기'!$A$1:$AZ$1001,ROW(),설정!$C$11)&amp;"","")</f>
        <v/>
      </c>
      <c r="J17">
        <f>IFERROR(INDEX('1.산군_붙여넣기'!$A$1:$AZ$1001,ROW(),설정!$C$12)&amp;"","")</f>
        <v/>
      </c>
      <c r="K17">
        <f>IFERROR(INDEX('1.산군_붙여넣기'!$A$1:$AZ$1001,ROW(),설정!$C$13)&amp;"","")</f>
        <v/>
      </c>
      <c r="L17" s="6">
        <f>IF(X17="","",IF(AND(LEN(X17)=8,ISNUMBER(X17*1)),DATE(LEFT(X17,4),MID(X17,5,2),RIGHT(X17,2)),IFERROR(DATEVALUE(SUBSTITUTE(SUBSTITUTE(X17,".","-"),"/","-")),IFERROR(X17*1,""))))</f>
        <v/>
      </c>
      <c r="M17" s="6">
        <f>IF(Y17="","",IF(AND(LEN(Y17)=8,ISNUMBER(Y17*1)),DATE(LEFT(Y17,4),MID(Y17,5,2),RIGHT(Y17,2)),IFERROR(DATEVALUE(SUBSTITUTE(SUBSTITUTE(Y17,".","-"),"/","-")),IFERROR(Y17*1,""))))</f>
        <v/>
      </c>
      <c r="N17">
        <f>IFERROR(LEFT(B17,FIND(" ",B17)-1),B17)</f>
        <v/>
      </c>
      <c r="O17">
        <f>AND(B17&lt;&gt;"",B17&lt;&gt;설정!$B$4,C17&lt;&gt;설정!$B$5)</f>
        <v/>
      </c>
      <c r="P17">
        <f>IF(O17,B17&amp;"|"&amp;C17,"")</f>
        <v/>
      </c>
      <c r="Q17">
        <f>AND(O17,COUNTIF(P18:P$1002,P17)=0)</f>
        <v/>
      </c>
      <c r="R17">
        <f>OR(AND(설정!$A$28&lt;&gt;"",ISNUMBER(SEARCH(설정!$A$28,E17&amp;" "&amp;C17))),AND(설정!$A$29&lt;&gt;"",ISNUMBER(SEARCH(설정!$A$29,E17&amp;" "&amp;C17))),AND(설정!$A$30&lt;&gt;"",ISNUMBER(SEARCH(설정!$A$30,E17&amp;" "&amp;C17))),AND(설정!$A$31&lt;&gt;"",ISNUMBER(SEARCH(설정!$A$31,E17&amp;" "&amp;C17))),AND(설정!$A$32&lt;&gt;"",ISNUMBER(SEARCH(설정!$A$32,E17&amp;" "&amp;C17))),AND(설정!$A$33&lt;&gt;"",ISNUMBER(SEARCH(설정!$A$33,E17&amp;" "&amp;C17))),AND(설정!$A$34&lt;&gt;"",ISNUMBER(SEARCH(설정!$A$34,E17&amp;" "&amp;C17))),AND(설정!$A$35&lt;&gt;"",ISNUMBER(SEARCH(설정!$A$35,E17&amp;" "&amp;C17))),AND(설정!$A$36&lt;&gt;"",ISNUMBER(SEARCH(설정!$A$36,E17&amp;" "&amp;C17))),AND(설정!$A$37&lt;&gt;"",ISNUMBER(SEARCH(설정!$A$37,E17&amp;" "&amp;C17))))</f>
        <v/>
      </c>
      <c r="S17">
        <f>OR(D17="",D17&gt;=설정!$B$19)</f>
        <v/>
      </c>
      <c r="T17">
        <f>AND(Q17,R17,S17)</f>
        <v/>
      </c>
      <c r="U17">
        <f>IF(T17,IF(AND(설정!$A$41&lt;&gt;"",ISNUMBER(SEARCH(설정!$A$41,K17))),설정!$B$41,IF(AND(설정!$A$42&lt;&gt;"",ISNUMBER(SEARCH(설정!$A$42,K17))),설정!$B$42,IF(AND(설정!$A$43&lt;&gt;"",ISNUMBER(SEARCH(설정!$A$43,K17))),설정!$B$43,IF(AND(설정!$A$44&lt;&gt;"",ISNUMBER(SEARCH(설정!$A$44,K17))),설정!$B$44,IF(AND(설정!$A$45&lt;&gt;"",ISNUMBER(SEARCH(설정!$A$45,K17))),설정!$B$45,IF(AND(설정!$A$46&lt;&gt;"",ISNUMBER(SEARCH(설정!$A$46,K17))),설정!$B$46,IF(AND(설정!$A$47&lt;&gt;"",ISNUMBER(SEARCH(설정!$A$47,K17))),설정!$B$47,IF(AND(설정!$A$48&lt;&gt;"",ISNUMBER(SEARCH(설정!$A$48,K17))),설정!$B$48,IF(M17="","설계사","시공사"))))))))),"")</f>
        <v/>
      </c>
      <c r="V17">
        <f>SUBSTITUTE(SUBSTITUTE(SUBSTITUTE(SUBSTITUTE(G17,"(주)",""),"㈜",""),"주식회사","")," ","")</f>
        <v/>
      </c>
      <c r="W17">
        <f>IF(AND(T17,V17&lt;&gt;""),IF(COUNTIFS(V$2:V17,V17,T$2:T17,TRUE)=1,MAX(W$1:W16)+1,""),"")</f>
        <v/>
      </c>
      <c r="X17">
        <f>IFERROR(INDEX('1.산군_붙여넣기'!$A$1:$AZ$1001,ROW(),설정!$C$14)&amp;"","")</f>
        <v/>
      </c>
      <c r="Y17">
        <f>IFERROR(INDEX('1.산군_붙여넣기'!$A$1:$AZ$1001,ROW(),설정!$C$15)&amp;"","")</f>
        <v/>
      </c>
      <c r="Z17">
        <f>IF(T17,V17&amp;"|"&amp;U17,"")</f>
        <v/>
      </c>
    </row>
    <row r="18">
      <c r="A18">
        <f>ROW()</f>
        <v/>
      </c>
      <c r="B18">
        <f>IFERROR(INDEX('1.산군_붙여넣기'!$A$1:$AZ$1001,ROW(),설정!$C$4)&amp;"","")</f>
        <v/>
      </c>
      <c r="C18">
        <f>IFERROR(INDEX('1.산군_붙여넣기'!$A$1:$AZ$1001,ROW(),설정!$C$5)&amp;"","")</f>
        <v/>
      </c>
      <c r="D18" s="5">
        <f>IFERROR(VALUE(SUBSTITUTE(SUBSTITUTE(SUBSTITUTE(IFERROR(INDEX('1.산군_붙여넣기'!$A$1:$AZ$1001,ROW(),설정!$C$6)&amp;"",""),",",""),"㎡",""),"m2","")),"")</f>
        <v/>
      </c>
      <c r="E18">
        <f>IFERROR(INDEX('1.산군_붙여넣기'!$A$1:$AZ$1001,ROW(),설정!$C$7)&amp;"","")</f>
        <v/>
      </c>
      <c r="F18">
        <f>IFERROR(INDEX('1.산군_붙여넣기'!$A$1:$AZ$1001,ROW(),설정!$C$8)&amp;"","")</f>
        <v/>
      </c>
      <c r="G18">
        <f>IFERROR(INDEX('1.산군_붙여넣기'!$A$1:$AZ$1001,ROW(),설정!$C$9)&amp;"","")</f>
        <v/>
      </c>
      <c r="H18">
        <f>IFERROR(INDEX('1.산군_붙여넣기'!$A$1:$AZ$1001,ROW(),설정!$C$10)&amp;"","")</f>
        <v/>
      </c>
      <c r="I18">
        <f>IFERROR(INDEX('1.산군_붙여넣기'!$A$1:$AZ$1001,ROW(),설정!$C$11)&amp;"","")</f>
        <v/>
      </c>
      <c r="J18">
        <f>IFERROR(INDEX('1.산군_붙여넣기'!$A$1:$AZ$1001,ROW(),설정!$C$12)&amp;"","")</f>
        <v/>
      </c>
      <c r="K18">
        <f>IFERROR(INDEX('1.산군_붙여넣기'!$A$1:$AZ$1001,ROW(),설정!$C$13)&amp;"","")</f>
        <v/>
      </c>
      <c r="L18" s="6">
        <f>IF(X18="","",IF(AND(LEN(X18)=8,ISNUMBER(X18*1)),DATE(LEFT(X18,4),MID(X18,5,2),RIGHT(X18,2)),IFERROR(DATEVALUE(SUBSTITUTE(SUBSTITUTE(X18,".","-"),"/","-")),IFERROR(X18*1,""))))</f>
        <v/>
      </c>
      <c r="M18" s="6">
        <f>IF(Y18="","",IF(AND(LEN(Y18)=8,ISNUMBER(Y18*1)),DATE(LEFT(Y18,4),MID(Y18,5,2),RIGHT(Y18,2)),IFERROR(DATEVALUE(SUBSTITUTE(SUBSTITUTE(Y18,".","-"),"/","-")),IFERROR(Y18*1,""))))</f>
        <v/>
      </c>
      <c r="N18">
        <f>IFERROR(LEFT(B18,FIND(" ",B18)-1),B18)</f>
        <v/>
      </c>
      <c r="O18">
        <f>AND(B18&lt;&gt;"",B18&lt;&gt;설정!$B$4,C18&lt;&gt;설정!$B$5)</f>
        <v/>
      </c>
      <c r="P18">
        <f>IF(O18,B18&amp;"|"&amp;C18,"")</f>
        <v/>
      </c>
      <c r="Q18">
        <f>AND(O18,COUNTIF(P19:P$1002,P18)=0)</f>
        <v/>
      </c>
      <c r="R18">
        <f>OR(AND(설정!$A$28&lt;&gt;"",ISNUMBER(SEARCH(설정!$A$28,E18&amp;" "&amp;C18))),AND(설정!$A$29&lt;&gt;"",ISNUMBER(SEARCH(설정!$A$29,E18&amp;" "&amp;C18))),AND(설정!$A$30&lt;&gt;"",ISNUMBER(SEARCH(설정!$A$30,E18&amp;" "&amp;C18))),AND(설정!$A$31&lt;&gt;"",ISNUMBER(SEARCH(설정!$A$31,E18&amp;" "&amp;C18))),AND(설정!$A$32&lt;&gt;"",ISNUMBER(SEARCH(설정!$A$32,E18&amp;" "&amp;C18))),AND(설정!$A$33&lt;&gt;"",ISNUMBER(SEARCH(설정!$A$33,E18&amp;" "&amp;C18))),AND(설정!$A$34&lt;&gt;"",ISNUMBER(SEARCH(설정!$A$34,E18&amp;" "&amp;C18))),AND(설정!$A$35&lt;&gt;"",ISNUMBER(SEARCH(설정!$A$35,E18&amp;" "&amp;C18))),AND(설정!$A$36&lt;&gt;"",ISNUMBER(SEARCH(설정!$A$36,E18&amp;" "&amp;C18))),AND(설정!$A$37&lt;&gt;"",ISNUMBER(SEARCH(설정!$A$37,E18&amp;" "&amp;C18))))</f>
        <v/>
      </c>
      <c r="S18">
        <f>OR(D18="",D18&gt;=설정!$B$19)</f>
        <v/>
      </c>
      <c r="T18">
        <f>AND(Q18,R18,S18)</f>
        <v/>
      </c>
      <c r="U18">
        <f>IF(T18,IF(AND(설정!$A$41&lt;&gt;"",ISNUMBER(SEARCH(설정!$A$41,K18))),설정!$B$41,IF(AND(설정!$A$42&lt;&gt;"",ISNUMBER(SEARCH(설정!$A$42,K18))),설정!$B$42,IF(AND(설정!$A$43&lt;&gt;"",ISNUMBER(SEARCH(설정!$A$43,K18))),설정!$B$43,IF(AND(설정!$A$44&lt;&gt;"",ISNUMBER(SEARCH(설정!$A$44,K18))),설정!$B$44,IF(AND(설정!$A$45&lt;&gt;"",ISNUMBER(SEARCH(설정!$A$45,K18))),설정!$B$45,IF(AND(설정!$A$46&lt;&gt;"",ISNUMBER(SEARCH(설정!$A$46,K18))),설정!$B$46,IF(AND(설정!$A$47&lt;&gt;"",ISNUMBER(SEARCH(설정!$A$47,K18))),설정!$B$47,IF(AND(설정!$A$48&lt;&gt;"",ISNUMBER(SEARCH(설정!$A$48,K18))),설정!$B$48,IF(M18="","설계사","시공사"))))))))),"")</f>
        <v/>
      </c>
      <c r="V18">
        <f>SUBSTITUTE(SUBSTITUTE(SUBSTITUTE(SUBSTITUTE(G18,"(주)",""),"㈜",""),"주식회사","")," ","")</f>
        <v/>
      </c>
      <c r="W18">
        <f>IF(AND(T18,V18&lt;&gt;""),IF(COUNTIFS(V$2:V18,V18,T$2:T18,TRUE)=1,MAX(W$1:W17)+1,""),"")</f>
        <v/>
      </c>
      <c r="X18">
        <f>IFERROR(INDEX('1.산군_붙여넣기'!$A$1:$AZ$1001,ROW(),설정!$C$14)&amp;"","")</f>
        <v/>
      </c>
      <c r="Y18">
        <f>IFERROR(INDEX('1.산군_붙여넣기'!$A$1:$AZ$1001,ROW(),설정!$C$15)&amp;"","")</f>
        <v/>
      </c>
      <c r="Z18">
        <f>IF(T18,V18&amp;"|"&amp;U18,"")</f>
        <v/>
      </c>
    </row>
    <row r="19">
      <c r="A19">
        <f>ROW()</f>
        <v/>
      </c>
      <c r="B19">
        <f>IFERROR(INDEX('1.산군_붙여넣기'!$A$1:$AZ$1001,ROW(),설정!$C$4)&amp;"","")</f>
        <v/>
      </c>
      <c r="C19">
        <f>IFERROR(INDEX('1.산군_붙여넣기'!$A$1:$AZ$1001,ROW(),설정!$C$5)&amp;"","")</f>
        <v/>
      </c>
      <c r="D19" s="5">
        <f>IFERROR(VALUE(SUBSTITUTE(SUBSTITUTE(SUBSTITUTE(IFERROR(INDEX('1.산군_붙여넣기'!$A$1:$AZ$1001,ROW(),설정!$C$6)&amp;"",""),",",""),"㎡",""),"m2","")),"")</f>
        <v/>
      </c>
      <c r="E19">
        <f>IFERROR(INDEX('1.산군_붙여넣기'!$A$1:$AZ$1001,ROW(),설정!$C$7)&amp;"","")</f>
        <v/>
      </c>
      <c r="F19">
        <f>IFERROR(INDEX('1.산군_붙여넣기'!$A$1:$AZ$1001,ROW(),설정!$C$8)&amp;"","")</f>
        <v/>
      </c>
      <c r="G19">
        <f>IFERROR(INDEX('1.산군_붙여넣기'!$A$1:$AZ$1001,ROW(),설정!$C$9)&amp;"","")</f>
        <v/>
      </c>
      <c r="H19">
        <f>IFERROR(INDEX('1.산군_붙여넣기'!$A$1:$AZ$1001,ROW(),설정!$C$10)&amp;"","")</f>
        <v/>
      </c>
      <c r="I19">
        <f>IFERROR(INDEX('1.산군_붙여넣기'!$A$1:$AZ$1001,ROW(),설정!$C$11)&amp;"","")</f>
        <v/>
      </c>
      <c r="J19">
        <f>IFERROR(INDEX('1.산군_붙여넣기'!$A$1:$AZ$1001,ROW(),설정!$C$12)&amp;"","")</f>
        <v/>
      </c>
      <c r="K19">
        <f>IFERROR(INDEX('1.산군_붙여넣기'!$A$1:$AZ$1001,ROW(),설정!$C$13)&amp;"","")</f>
        <v/>
      </c>
      <c r="L19" s="6">
        <f>IF(X19="","",IF(AND(LEN(X19)=8,ISNUMBER(X19*1)),DATE(LEFT(X19,4),MID(X19,5,2),RIGHT(X19,2)),IFERROR(DATEVALUE(SUBSTITUTE(SUBSTITUTE(X19,".","-"),"/","-")),IFERROR(X19*1,""))))</f>
        <v/>
      </c>
      <c r="M19" s="6">
        <f>IF(Y19="","",IF(AND(LEN(Y19)=8,ISNUMBER(Y19*1)),DATE(LEFT(Y19,4),MID(Y19,5,2),RIGHT(Y19,2)),IFERROR(DATEVALUE(SUBSTITUTE(SUBSTITUTE(Y19,".","-"),"/","-")),IFERROR(Y19*1,""))))</f>
        <v/>
      </c>
      <c r="N19">
        <f>IFERROR(LEFT(B19,FIND(" ",B19)-1),B19)</f>
        <v/>
      </c>
      <c r="O19">
        <f>AND(B19&lt;&gt;"",B19&lt;&gt;설정!$B$4,C19&lt;&gt;설정!$B$5)</f>
        <v/>
      </c>
      <c r="P19">
        <f>IF(O19,B19&amp;"|"&amp;C19,"")</f>
        <v/>
      </c>
      <c r="Q19">
        <f>AND(O19,COUNTIF(P20:P$1002,P19)=0)</f>
        <v/>
      </c>
      <c r="R19">
        <f>OR(AND(설정!$A$28&lt;&gt;"",ISNUMBER(SEARCH(설정!$A$28,E19&amp;" "&amp;C19))),AND(설정!$A$29&lt;&gt;"",ISNUMBER(SEARCH(설정!$A$29,E19&amp;" "&amp;C19))),AND(설정!$A$30&lt;&gt;"",ISNUMBER(SEARCH(설정!$A$30,E19&amp;" "&amp;C19))),AND(설정!$A$31&lt;&gt;"",ISNUMBER(SEARCH(설정!$A$31,E19&amp;" "&amp;C19))),AND(설정!$A$32&lt;&gt;"",ISNUMBER(SEARCH(설정!$A$32,E19&amp;" "&amp;C19))),AND(설정!$A$33&lt;&gt;"",ISNUMBER(SEARCH(설정!$A$33,E19&amp;" "&amp;C19))),AND(설정!$A$34&lt;&gt;"",ISNUMBER(SEARCH(설정!$A$34,E19&amp;" "&amp;C19))),AND(설정!$A$35&lt;&gt;"",ISNUMBER(SEARCH(설정!$A$35,E19&amp;" "&amp;C19))),AND(설정!$A$36&lt;&gt;"",ISNUMBER(SEARCH(설정!$A$36,E19&amp;" "&amp;C19))),AND(설정!$A$37&lt;&gt;"",ISNUMBER(SEARCH(설정!$A$37,E19&amp;" "&amp;C19))))</f>
        <v/>
      </c>
      <c r="S19">
        <f>OR(D19="",D19&gt;=설정!$B$19)</f>
        <v/>
      </c>
      <c r="T19">
        <f>AND(Q19,R19,S19)</f>
        <v/>
      </c>
      <c r="U19">
        <f>IF(T19,IF(AND(설정!$A$41&lt;&gt;"",ISNUMBER(SEARCH(설정!$A$41,K19))),설정!$B$41,IF(AND(설정!$A$42&lt;&gt;"",ISNUMBER(SEARCH(설정!$A$42,K19))),설정!$B$42,IF(AND(설정!$A$43&lt;&gt;"",ISNUMBER(SEARCH(설정!$A$43,K19))),설정!$B$43,IF(AND(설정!$A$44&lt;&gt;"",ISNUMBER(SEARCH(설정!$A$44,K19))),설정!$B$44,IF(AND(설정!$A$45&lt;&gt;"",ISNUMBER(SEARCH(설정!$A$45,K19))),설정!$B$45,IF(AND(설정!$A$46&lt;&gt;"",ISNUMBER(SEARCH(설정!$A$46,K19))),설정!$B$46,IF(AND(설정!$A$47&lt;&gt;"",ISNUMBER(SEARCH(설정!$A$47,K19))),설정!$B$47,IF(AND(설정!$A$48&lt;&gt;"",ISNUMBER(SEARCH(설정!$A$48,K19))),설정!$B$48,IF(M19="","설계사","시공사"))))))))),"")</f>
        <v/>
      </c>
      <c r="V19">
        <f>SUBSTITUTE(SUBSTITUTE(SUBSTITUTE(SUBSTITUTE(G19,"(주)",""),"㈜",""),"주식회사","")," ","")</f>
        <v/>
      </c>
      <c r="W19">
        <f>IF(AND(T19,V19&lt;&gt;""),IF(COUNTIFS(V$2:V19,V19,T$2:T19,TRUE)=1,MAX(W$1:W18)+1,""),"")</f>
        <v/>
      </c>
      <c r="X19">
        <f>IFERROR(INDEX('1.산군_붙여넣기'!$A$1:$AZ$1001,ROW(),설정!$C$14)&amp;"","")</f>
        <v/>
      </c>
      <c r="Y19">
        <f>IFERROR(INDEX('1.산군_붙여넣기'!$A$1:$AZ$1001,ROW(),설정!$C$15)&amp;"","")</f>
        <v/>
      </c>
      <c r="Z19">
        <f>IF(T19,V19&amp;"|"&amp;U19,"")</f>
        <v/>
      </c>
    </row>
    <row r="20">
      <c r="A20">
        <f>ROW()</f>
        <v/>
      </c>
      <c r="B20">
        <f>IFERROR(INDEX('1.산군_붙여넣기'!$A$1:$AZ$1001,ROW(),설정!$C$4)&amp;"","")</f>
        <v/>
      </c>
      <c r="C20">
        <f>IFERROR(INDEX('1.산군_붙여넣기'!$A$1:$AZ$1001,ROW(),설정!$C$5)&amp;"","")</f>
        <v/>
      </c>
      <c r="D20" s="5">
        <f>IFERROR(VALUE(SUBSTITUTE(SUBSTITUTE(SUBSTITUTE(IFERROR(INDEX('1.산군_붙여넣기'!$A$1:$AZ$1001,ROW(),설정!$C$6)&amp;"",""),",",""),"㎡",""),"m2","")),"")</f>
        <v/>
      </c>
      <c r="E20">
        <f>IFERROR(INDEX('1.산군_붙여넣기'!$A$1:$AZ$1001,ROW(),설정!$C$7)&amp;"","")</f>
        <v/>
      </c>
      <c r="F20">
        <f>IFERROR(INDEX('1.산군_붙여넣기'!$A$1:$AZ$1001,ROW(),설정!$C$8)&amp;"","")</f>
        <v/>
      </c>
      <c r="G20">
        <f>IFERROR(INDEX('1.산군_붙여넣기'!$A$1:$AZ$1001,ROW(),설정!$C$9)&amp;"","")</f>
        <v/>
      </c>
      <c r="H20">
        <f>IFERROR(INDEX('1.산군_붙여넣기'!$A$1:$AZ$1001,ROW(),설정!$C$10)&amp;"","")</f>
        <v/>
      </c>
      <c r="I20">
        <f>IFERROR(INDEX('1.산군_붙여넣기'!$A$1:$AZ$1001,ROW(),설정!$C$11)&amp;"","")</f>
        <v/>
      </c>
      <c r="J20">
        <f>IFERROR(INDEX('1.산군_붙여넣기'!$A$1:$AZ$1001,ROW(),설정!$C$12)&amp;"","")</f>
        <v/>
      </c>
      <c r="K20">
        <f>IFERROR(INDEX('1.산군_붙여넣기'!$A$1:$AZ$1001,ROW(),설정!$C$13)&amp;"","")</f>
        <v/>
      </c>
      <c r="L20" s="6">
        <f>IF(X20="","",IF(AND(LEN(X20)=8,ISNUMBER(X20*1)),DATE(LEFT(X20,4),MID(X20,5,2),RIGHT(X20,2)),IFERROR(DATEVALUE(SUBSTITUTE(SUBSTITUTE(X20,".","-"),"/","-")),IFERROR(X20*1,""))))</f>
        <v/>
      </c>
      <c r="M20" s="6">
        <f>IF(Y20="","",IF(AND(LEN(Y20)=8,ISNUMBER(Y20*1)),DATE(LEFT(Y20,4),MID(Y20,5,2),RIGHT(Y20,2)),IFERROR(DATEVALUE(SUBSTITUTE(SUBSTITUTE(Y20,".","-"),"/","-")),IFERROR(Y20*1,""))))</f>
        <v/>
      </c>
      <c r="N20">
        <f>IFERROR(LEFT(B20,FIND(" ",B20)-1),B20)</f>
        <v/>
      </c>
      <c r="O20">
        <f>AND(B20&lt;&gt;"",B20&lt;&gt;설정!$B$4,C20&lt;&gt;설정!$B$5)</f>
        <v/>
      </c>
      <c r="P20">
        <f>IF(O20,B20&amp;"|"&amp;C20,"")</f>
        <v/>
      </c>
      <c r="Q20">
        <f>AND(O20,COUNTIF(P21:P$1002,P20)=0)</f>
        <v/>
      </c>
      <c r="R20">
        <f>OR(AND(설정!$A$28&lt;&gt;"",ISNUMBER(SEARCH(설정!$A$28,E20&amp;" "&amp;C20))),AND(설정!$A$29&lt;&gt;"",ISNUMBER(SEARCH(설정!$A$29,E20&amp;" "&amp;C20))),AND(설정!$A$30&lt;&gt;"",ISNUMBER(SEARCH(설정!$A$30,E20&amp;" "&amp;C20))),AND(설정!$A$31&lt;&gt;"",ISNUMBER(SEARCH(설정!$A$31,E20&amp;" "&amp;C20))),AND(설정!$A$32&lt;&gt;"",ISNUMBER(SEARCH(설정!$A$32,E20&amp;" "&amp;C20))),AND(설정!$A$33&lt;&gt;"",ISNUMBER(SEARCH(설정!$A$33,E20&amp;" "&amp;C20))),AND(설정!$A$34&lt;&gt;"",ISNUMBER(SEARCH(설정!$A$34,E20&amp;" "&amp;C20))),AND(설정!$A$35&lt;&gt;"",ISNUMBER(SEARCH(설정!$A$35,E20&amp;" "&amp;C20))),AND(설정!$A$36&lt;&gt;"",ISNUMBER(SEARCH(설정!$A$36,E20&amp;" "&amp;C20))),AND(설정!$A$37&lt;&gt;"",ISNUMBER(SEARCH(설정!$A$37,E20&amp;" "&amp;C20))))</f>
        <v/>
      </c>
      <c r="S20">
        <f>OR(D20="",D20&gt;=설정!$B$19)</f>
        <v/>
      </c>
      <c r="T20">
        <f>AND(Q20,R20,S20)</f>
        <v/>
      </c>
      <c r="U20">
        <f>IF(T20,IF(AND(설정!$A$41&lt;&gt;"",ISNUMBER(SEARCH(설정!$A$41,K20))),설정!$B$41,IF(AND(설정!$A$42&lt;&gt;"",ISNUMBER(SEARCH(설정!$A$42,K20))),설정!$B$42,IF(AND(설정!$A$43&lt;&gt;"",ISNUMBER(SEARCH(설정!$A$43,K20))),설정!$B$43,IF(AND(설정!$A$44&lt;&gt;"",ISNUMBER(SEARCH(설정!$A$44,K20))),설정!$B$44,IF(AND(설정!$A$45&lt;&gt;"",ISNUMBER(SEARCH(설정!$A$45,K20))),설정!$B$45,IF(AND(설정!$A$46&lt;&gt;"",ISNUMBER(SEARCH(설정!$A$46,K20))),설정!$B$46,IF(AND(설정!$A$47&lt;&gt;"",ISNUMBER(SEARCH(설정!$A$47,K20))),설정!$B$47,IF(AND(설정!$A$48&lt;&gt;"",ISNUMBER(SEARCH(설정!$A$48,K20))),설정!$B$48,IF(M20="","설계사","시공사"))))))))),"")</f>
        <v/>
      </c>
      <c r="V20">
        <f>SUBSTITUTE(SUBSTITUTE(SUBSTITUTE(SUBSTITUTE(G20,"(주)",""),"㈜",""),"주식회사","")," ","")</f>
        <v/>
      </c>
      <c r="W20">
        <f>IF(AND(T20,V20&lt;&gt;""),IF(COUNTIFS(V$2:V20,V20,T$2:T20,TRUE)=1,MAX(W$1:W19)+1,""),"")</f>
        <v/>
      </c>
      <c r="X20">
        <f>IFERROR(INDEX('1.산군_붙여넣기'!$A$1:$AZ$1001,ROW(),설정!$C$14)&amp;"","")</f>
        <v/>
      </c>
      <c r="Y20">
        <f>IFERROR(INDEX('1.산군_붙여넣기'!$A$1:$AZ$1001,ROW(),설정!$C$15)&amp;"","")</f>
        <v/>
      </c>
      <c r="Z20">
        <f>IF(T20,V20&amp;"|"&amp;U20,"")</f>
        <v/>
      </c>
    </row>
    <row r="21">
      <c r="A21">
        <f>ROW()</f>
        <v/>
      </c>
      <c r="B21">
        <f>IFERROR(INDEX('1.산군_붙여넣기'!$A$1:$AZ$1001,ROW(),설정!$C$4)&amp;"","")</f>
        <v/>
      </c>
      <c r="C21">
        <f>IFERROR(INDEX('1.산군_붙여넣기'!$A$1:$AZ$1001,ROW(),설정!$C$5)&amp;"","")</f>
        <v/>
      </c>
      <c r="D21" s="5">
        <f>IFERROR(VALUE(SUBSTITUTE(SUBSTITUTE(SUBSTITUTE(IFERROR(INDEX('1.산군_붙여넣기'!$A$1:$AZ$1001,ROW(),설정!$C$6)&amp;"",""),",",""),"㎡",""),"m2","")),"")</f>
        <v/>
      </c>
      <c r="E21">
        <f>IFERROR(INDEX('1.산군_붙여넣기'!$A$1:$AZ$1001,ROW(),설정!$C$7)&amp;"","")</f>
        <v/>
      </c>
      <c r="F21">
        <f>IFERROR(INDEX('1.산군_붙여넣기'!$A$1:$AZ$1001,ROW(),설정!$C$8)&amp;"","")</f>
        <v/>
      </c>
      <c r="G21">
        <f>IFERROR(INDEX('1.산군_붙여넣기'!$A$1:$AZ$1001,ROW(),설정!$C$9)&amp;"","")</f>
        <v/>
      </c>
      <c r="H21">
        <f>IFERROR(INDEX('1.산군_붙여넣기'!$A$1:$AZ$1001,ROW(),설정!$C$10)&amp;"","")</f>
        <v/>
      </c>
      <c r="I21">
        <f>IFERROR(INDEX('1.산군_붙여넣기'!$A$1:$AZ$1001,ROW(),설정!$C$11)&amp;"","")</f>
        <v/>
      </c>
      <c r="J21">
        <f>IFERROR(INDEX('1.산군_붙여넣기'!$A$1:$AZ$1001,ROW(),설정!$C$12)&amp;"","")</f>
        <v/>
      </c>
      <c r="K21">
        <f>IFERROR(INDEX('1.산군_붙여넣기'!$A$1:$AZ$1001,ROW(),설정!$C$13)&amp;"","")</f>
        <v/>
      </c>
      <c r="L21" s="6">
        <f>IF(X21="","",IF(AND(LEN(X21)=8,ISNUMBER(X21*1)),DATE(LEFT(X21,4),MID(X21,5,2),RIGHT(X21,2)),IFERROR(DATEVALUE(SUBSTITUTE(SUBSTITUTE(X21,".","-"),"/","-")),IFERROR(X21*1,""))))</f>
        <v/>
      </c>
      <c r="M21" s="6">
        <f>IF(Y21="","",IF(AND(LEN(Y21)=8,ISNUMBER(Y21*1)),DATE(LEFT(Y21,4),MID(Y21,5,2),RIGHT(Y21,2)),IFERROR(DATEVALUE(SUBSTITUTE(SUBSTITUTE(Y21,".","-"),"/","-")),IFERROR(Y21*1,""))))</f>
        <v/>
      </c>
      <c r="N21">
        <f>IFERROR(LEFT(B21,FIND(" ",B21)-1),B21)</f>
        <v/>
      </c>
      <c r="O21">
        <f>AND(B21&lt;&gt;"",B21&lt;&gt;설정!$B$4,C21&lt;&gt;설정!$B$5)</f>
        <v/>
      </c>
      <c r="P21">
        <f>IF(O21,B21&amp;"|"&amp;C21,"")</f>
        <v/>
      </c>
      <c r="Q21">
        <f>AND(O21,COUNTIF(P22:P$1002,P21)=0)</f>
        <v/>
      </c>
      <c r="R21">
        <f>OR(AND(설정!$A$28&lt;&gt;"",ISNUMBER(SEARCH(설정!$A$28,E21&amp;" "&amp;C21))),AND(설정!$A$29&lt;&gt;"",ISNUMBER(SEARCH(설정!$A$29,E21&amp;" "&amp;C21))),AND(설정!$A$30&lt;&gt;"",ISNUMBER(SEARCH(설정!$A$30,E21&amp;" "&amp;C21))),AND(설정!$A$31&lt;&gt;"",ISNUMBER(SEARCH(설정!$A$31,E21&amp;" "&amp;C21))),AND(설정!$A$32&lt;&gt;"",ISNUMBER(SEARCH(설정!$A$32,E21&amp;" "&amp;C21))),AND(설정!$A$33&lt;&gt;"",ISNUMBER(SEARCH(설정!$A$33,E21&amp;" "&amp;C21))),AND(설정!$A$34&lt;&gt;"",ISNUMBER(SEARCH(설정!$A$34,E21&amp;" "&amp;C21))),AND(설정!$A$35&lt;&gt;"",ISNUMBER(SEARCH(설정!$A$35,E21&amp;" "&amp;C21))),AND(설정!$A$36&lt;&gt;"",ISNUMBER(SEARCH(설정!$A$36,E21&amp;" "&amp;C21))),AND(설정!$A$37&lt;&gt;"",ISNUMBER(SEARCH(설정!$A$37,E21&amp;" "&amp;C21))))</f>
        <v/>
      </c>
      <c r="S21">
        <f>OR(D21="",D21&gt;=설정!$B$19)</f>
        <v/>
      </c>
      <c r="T21">
        <f>AND(Q21,R21,S21)</f>
        <v/>
      </c>
      <c r="U21">
        <f>IF(T21,IF(AND(설정!$A$41&lt;&gt;"",ISNUMBER(SEARCH(설정!$A$41,K21))),설정!$B$41,IF(AND(설정!$A$42&lt;&gt;"",ISNUMBER(SEARCH(설정!$A$42,K21))),설정!$B$42,IF(AND(설정!$A$43&lt;&gt;"",ISNUMBER(SEARCH(설정!$A$43,K21))),설정!$B$43,IF(AND(설정!$A$44&lt;&gt;"",ISNUMBER(SEARCH(설정!$A$44,K21))),설정!$B$44,IF(AND(설정!$A$45&lt;&gt;"",ISNUMBER(SEARCH(설정!$A$45,K21))),설정!$B$45,IF(AND(설정!$A$46&lt;&gt;"",ISNUMBER(SEARCH(설정!$A$46,K21))),설정!$B$46,IF(AND(설정!$A$47&lt;&gt;"",ISNUMBER(SEARCH(설정!$A$47,K21))),설정!$B$47,IF(AND(설정!$A$48&lt;&gt;"",ISNUMBER(SEARCH(설정!$A$48,K21))),설정!$B$48,IF(M21="","설계사","시공사"))))))))),"")</f>
        <v/>
      </c>
      <c r="V21">
        <f>SUBSTITUTE(SUBSTITUTE(SUBSTITUTE(SUBSTITUTE(G21,"(주)",""),"㈜",""),"주식회사","")," ","")</f>
        <v/>
      </c>
      <c r="W21">
        <f>IF(AND(T21,V21&lt;&gt;""),IF(COUNTIFS(V$2:V21,V21,T$2:T21,TRUE)=1,MAX(W$1:W20)+1,""),"")</f>
        <v/>
      </c>
      <c r="X21">
        <f>IFERROR(INDEX('1.산군_붙여넣기'!$A$1:$AZ$1001,ROW(),설정!$C$14)&amp;"","")</f>
        <v/>
      </c>
      <c r="Y21">
        <f>IFERROR(INDEX('1.산군_붙여넣기'!$A$1:$AZ$1001,ROW(),설정!$C$15)&amp;"","")</f>
        <v/>
      </c>
      <c r="Z21">
        <f>IF(T21,V21&amp;"|"&amp;U21,"")</f>
        <v/>
      </c>
    </row>
    <row r="22">
      <c r="A22">
        <f>ROW()</f>
        <v/>
      </c>
      <c r="B22">
        <f>IFERROR(INDEX('1.산군_붙여넣기'!$A$1:$AZ$1001,ROW(),설정!$C$4)&amp;"","")</f>
        <v/>
      </c>
      <c r="C22">
        <f>IFERROR(INDEX('1.산군_붙여넣기'!$A$1:$AZ$1001,ROW(),설정!$C$5)&amp;"","")</f>
        <v/>
      </c>
      <c r="D22" s="5">
        <f>IFERROR(VALUE(SUBSTITUTE(SUBSTITUTE(SUBSTITUTE(IFERROR(INDEX('1.산군_붙여넣기'!$A$1:$AZ$1001,ROW(),설정!$C$6)&amp;"",""),",",""),"㎡",""),"m2","")),"")</f>
        <v/>
      </c>
      <c r="E22">
        <f>IFERROR(INDEX('1.산군_붙여넣기'!$A$1:$AZ$1001,ROW(),설정!$C$7)&amp;"","")</f>
        <v/>
      </c>
      <c r="F22">
        <f>IFERROR(INDEX('1.산군_붙여넣기'!$A$1:$AZ$1001,ROW(),설정!$C$8)&amp;"","")</f>
        <v/>
      </c>
      <c r="G22">
        <f>IFERROR(INDEX('1.산군_붙여넣기'!$A$1:$AZ$1001,ROW(),설정!$C$9)&amp;"","")</f>
        <v/>
      </c>
      <c r="H22">
        <f>IFERROR(INDEX('1.산군_붙여넣기'!$A$1:$AZ$1001,ROW(),설정!$C$10)&amp;"","")</f>
        <v/>
      </c>
      <c r="I22">
        <f>IFERROR(INDEX('1.산군_붙여넣기'!$A$1:$AZ$1001,ROW(),설정!$C$11)&amp;"","")</f>
        <v/>
      </c>
      <c r="J22">
        <f>IFERROR(INDEX('1.산군_붙여넣기'!$A$1:$AZ$1001,ROW(),설정!$C$12)&amp;"","")</f>
        <v/>
      </c>
      <c r="K22">
        <f>IFERROR(INDEX('1.산군_붙여넣기'!$A$1:$AZ$1001,ROW(),설정!$C$13)&amp;"","")</f>
        <v/>
      </c>
      <c r="L22" s="6">
        <f>IF(X22="","",IF(AND(LEN(X22)=8,ISNUMBER(X22*1)),DATE(LEFT(X22,4),MID(X22,5,2),RIGHT(X22,2)),IFERROR(DATEVALUE(SUBSTITUTE(SUBSTITUTE(X22,".","-"),"/","-")),IFERROR(X22*1,""))))</f>
        <v/>
      </c>
      <c r="M22" s="6">
        <f>IF(Y22="","",IF(AND(LEN(Y22)=8,ISNUMBER(Y22*1)),DATE(LEFT(Y22,4),MID(Y22,5,2),RIGHT(Y22,2)),IFERROR(DATEVALUE(SUBSTITUTE(SUBSTITUTE(Y22,".","-"),"/","-")),IFERROR(Y22*1,""))))</f>
        <v/>
      </c>
      <c r="N22">
        <f>IFERROR(LEFT(B22,FIND(" ",B22)-1),B22)</f>
        <v/>
      </c>
      <c r="O22">
        <f>AND(B22&lt;&gt;"",B22&lt;&gt;설정!$B$4,C22&lt;&gt;설정!$B$5)</f>
        <v/>
      </c>
      <c r="P22">
        <f>IF(O22,B22&amp;"|"&amp;C22,"")</f>
        <v/>
      </c>
      <c r="Q22">
        <f>AND(O22,COUNTIF(P23:P$1002,P22)=0)</f>
        <v/>
      </c>
      <c r="R22">
        <f>OR(AND(설정!$A$28&lt;&gt;"",ISNUMBER(SEARCH(설정!$A$28,E22&amp;" "&amp;C22))),AND(설정!$A$29&lt;&gt;"",ISNUMBER(SEARCH(설정!$A$29,E22&amp;" "&amp;C22))),AND(설정!$A$30&lt;&gt;"",ISNUMBER(SEARCH(설정!$A$30,E22&amp;" "&amp;C22))),AND(설정!$A$31&lt;&gt;"",ISNUMBER(SEARCH(설정!$A$31,E22&amp;" "&amp;C22))),AND(설정!$A$32&lt;&gt;"",ISNUMBER(SEARCH(설정!$A$32,E22&amp;" "&amp;C22))),AND(설정!$A$33&lt;&gt;"",ISNUMBER(SEARCH(설정!$A$33,E22&amp;" "&amp;C22))),AND(설정!$A$34&lt;&gt;"",ISNUMBER(SEARCH(설정!$A$34,E22&amp;" "&amp;C22))),AND(설정!$A$35&lt;&gt;"",ISNUMBER(SEARCH(설정!$A$35,E22&amp;" "&amp;C22))),AND(설정!$A$36&lt;&gt;"",ISNUMBER(SEARCH(설정!$A$36,E22&amp;" "&amp;C22))),AND(설정!$A$37&lt;&gt;"",ISNUMBER(SEARCH(설정!$A$37,E22&amp;" "&amp;C22))))</f>
        <v/>
      </c>
      <c r="S22">
        <f>OR(D22="",D22&gt;=설정!$B$19)</f>
        <v/>
      </c>
      <c r="T22">
        <f>AND(Q22,R22,S22)</f>
        <v/>
      </c>
      <c r="U22">
        <f>IF(T22,IF(AND(설정!$A$41&lt;&gt;"",ISNUMBER(SEARCH(설정!$A$41,K22))),설정!$B$41,IF(AND(설정!$A$42&lt;&gt;"",ISNUMBER(SEARCH(설정!$A$42,K22))),설정!$B$42,IF(AND(설정!$A$43&lt;&gt;"",ISNUMBER(SEARCH(설정!$A$43,K22))),설정!$B$43,IF(AND(설정!$A$44&lt;&gt;"",ISNUMBER(SEARCH(설정!$A$44,K22))),설정!$B$44,IF(AND(설정!$A$45&lt;&gt;"",ISNUMBER(SEARCH(설정!$A$45,K22))),설정!$B$45,IF(AND(설정!$A$46&lt;&gt;"",ISNUMBER(SEARCH(설정!$A$46,K22))),설정!$B$46,IF(AND(설정!$A$47&lt;&gt;"",ISNUMBER(SEARCH(설정!$A$47,K22))),설정!$B$47,IF(AND(설정!$A$48&lt;&gt;"",ISNUMBER(SEARCH(설정!$A$48,K22))),설정!$B$48,IF(M22="","설계사","시공사"))))))))),"")</f>
        <v/>
      </c>
      <c r="V22">
        <f>SUBSTITUTE(SUBSTITUTE(SUBSTITUTE(SUBSTITUTE(G22,"(주)",""),"㈜",""),"주식회사","")," ","")</f>
        <v/>
      </c>
      <c r="W22">
        <f>IF(AND(T22,V22&lt;&gt;""),IF(COUNTIFS(V$2:V22,V22,T$2:T22,TRUE)=1,MAX(W$1:W21)+1,""),"")</f>
        <v/>
      </c>
      <c r="X22">
        <f>IFERROR(INDEX('1.산군_붙여넣기'!$A$1:$AZ$1001,ROW(),설정!$C$14)&amp;"","")</f>
        <v/>
      </c>
      <c r="Y22">
        <f>IFERROR(INDEX('1.산군_붙여넣기'!$A$1:$AZ$1001,ROW(),설정!$C$15)&amp;"","")</f>
        <v/>
      </c>
      <c r="Z22">
        <f>IF(T22,V22&amp;"|"&amp;U22,"")</f>
        <v/>
      </c>
    </row>
    <row r="23">
      <c r="A23">
        <f>ROW()</f>
        <v/>
      </c>
      <c r="B23">
        <f>IFERROR(INDEX('1.산군_붙여넣기'!$A$1:$AZ$1001,ROW(),설정!$C$4)&amp;"","")</f>
        <v/>
      </c>
      <c r="C23">
        <f>IFERROR(INDEX('1.산군_붙여넣기'!$A$1:$AZ$1001,ROW(),설정!$C$5)&amp;"","")</f>
        <v/>
      </c>
      <c r="D23" s="5">
        <f>IFERROR(VALUE(SUBSTITUTE(SUBSTITUTE(SUBSTITUTE(IFERROR(INDEX('1.산군_붙여넣기'!$A$1:$AZ$1001,ROW(),설정!$C$6)&amp;"",""),",",""),"㎡",""),"m2","")),"")</f>
        <v/>
      </c>
      <c r="E23">
        <f>IFERROR(INDEX('1.산군_붙여넣기'!$A$1:$AZ$1001,ROW(),설정!$C$7)&amp;"","")</f>
        <v/>
      </c>
      <c r="F23">
        <f>IFERROR(INDEX('1.산군_붙여넣기'!$A$1:$AZ$1001,ROW(),설정!$C$8)&amp;"","")</f>
        <v/>
      </c>
      <c r="G23">
        <f>IFERROR(INDEX('1.산군_붙여넣기'!$A$1:$AZ$1001,ROW(),설정!$C$9)&amp;"","")</f>
        <v/>
      </c>
      <c r="H23">
        <f>IFERROR(INDEX('1.산군_붙여넣기'!$A$1:$AZ$1001,ROW(),설정!$C$10)&amp;"","")</f>
        <v/>
      </c>
      <c r="I23">
        <f>IFERROR(INDEX('1.산군_붙여넣기'!$A$1:$AZ$1001,ROW(),설정!$C$11)&amp;"","")</f>
        <v/>
      </c>
      <c r="J23">
        <f>IFERROR(INDEX('1.산군_붙여넣기'!$A$1:$AZ$1001,ROW(),설정!$C$12)&amp;"","")</f>
        <v/>
      </c>
      <c r="K23">
        <f>IFERROR(INDEX('1.산군_붙여넣기'!$A$1:$AZ$1001,ROW(),설정!$C$13)&amp;"","")</f>
        <v/>
      </c>
      <c r="L23" s="6">
        <f>IF(X23="","",IF(AND(LEN(X23)=8,ISNUMBER(X23*1)),DATE(LEFT(X23,4),MID(X23,5,2),RIGHT(X23,2)),IFERROR(DATEVALUE(SUBSTITUTE(SUBSTITUTE(X23,".","-"),"/","-")),IFERROR(X23*1,""))))</f>
        <v/>
      </c>
      <c r="M23" s="6">
        <f>IF(Y23="","",IF(AND(LEN(Y23)=8,ISNUMBER(Y23*1)),DATE(LEFT(Y23,4),MID(Y23,5,2),RIGHT(Y23,2)),IFERROR(DATEVALUE(SUBSTITUTE(SUBSTITUTE(Y23,".","-"),"/","-")),IFERROR(Y23*1,""))))</f>
        <v/>
      </c>
      <c r="N23">
        <f>IFERROR(LEFT(B23,FIND(" ",B23)-1),B23)</f>
        <v/>
      </c>
      <c r="O23">
        <f>AND(B23&lt;&gt;"",B23&lt;&gt;설정!$B$4,C23&lt;&gt;설정!$B$5)</f>
        <v/>
      </c>
      <c r="P23">
        <f>IF(O23,B23&amp;"|"&amp;C23,"")</f>
        <v/>
      </c>
      <c r="Q23">
        <f>AND(O23,COUNTIF(P24:P$1002,P23)=0)</f>
        <v/>
      </c>
      <c r="R23">
        <f>OR(AND(설정!$A$28&lt;&gt;"",ISNUMBER(SEARCH(설정!$A$28,E23&amp;" "&amp;C23))),AND(설정!$A$29&lt;&gt;"",ISNUMBER(SEARCH(설정!$A$29,E23&amp;" "&amp;C23))),AND(설정!$A$30&lt;&gt;"",ISNUMBER(SEARCH(설정!$A$30,E23&amp;" "&amp;C23))),AND(설정!$A$31&lt;&gt;"",ISNUMBER(SEARCH(설정!$A$31,E23&amp;" "&amp;C23))),AND(설정!$A$32&lt;&gt;"",ISNUMBER(SEARCH(설정!$A$32,E23&amp;" "&amp;C23))),AND(설정!$A$33&lt;&gt;"",ISNUMBER(SEARCH(설정!$A$33,E23&amp;" "&amp;C23))),AND(설정!$A$34&lt;&gt;"",ISNUMBER(SEARCH(설정!$A$34,E23&amp;" "&amp;C23))),AND(설정!$A$35&lt;&gt;"",ISNUMBER(SEARCH(설정!$A$35,E23&amp;" "&amp;C23))),AND(설정!$A$36&lt;&gt;"",ISNUMBER(SEARCH(설정!$A$36,E23&amp;" "&amp;C23))),AND(설정!$A$37&lt;&gt;"",ISNUMBER(SEARCH(설정!$A$37,E23&amp;" "&amp;C23))))</f>
        <v/>
      </c>
      <c r="S23">
        <f>OR(D23="",D23&gt;=설정!$B$19)</f>
        <v/>
      </c>
      <c r="T23">
        <f>AND(Q23,R23,S23)</f>
        <v/>
      </c>
      <c r="U23">
        <f>IF(T23,IF(AND(설정!$A$41&lt;&gt;"",ISNUMBER(SEARCH(설정!$A$41,K23))),설정!$B$41,IF(AND(설정!$A$42&lt;&gt;"",ISNUMBER(SEARCH(설정!$A$42,K23))),설정!$B$42,IF(AND(설정!$A$43&lt;&gt;"",ISNUMBER(SEARCH(설정!$A$43,K23))),설정!$B$43,IF(AND(설정!$A$44&lt;&gt;"",ISNUMBER(SEARCH(설정!$A$44,K23))),설정!$B$44,IF(AND(설정!$A$45&lt;&gt;"",ISNUMBER(SEARCH(설정!$A$45,K23))),설정!$B$45,IF(AND(설정!$A$46&lt;&gt;"",ISNUMBER(SEARCH(설정!$A$46,K23))),설정!$B$46,IF(AND(설정!$A$47&lt;&gt;"",ISNUMBER(SEARCH(설정!$A$47,K23))),설정!$B$47,IF(AND(설정!$A$48&lt;&gt;"",ISNUMBER(SEARCH(설정!$A$48,K23))),설정!$B$48,IF(M23="","설계사","시공사"))))))))),"")</f>
        <v/>
      </c>
      <c r="V23">
        <f>SUBSTITUTE(SUBSTITUTE(SUBSTITUTE(SUBSTITUTE(G23,"(주)",""),"㈜",""),"주식회사","")," ","")</f>
        <v/>
      </c>
      <c r="W23">
        <f>IF(AND(T23,V23&lt;&gt;""),IF(COUNTIFS(V$2:V23,V23,T$2:T23,TRUE)=1,MAX(W$1:W22)+1,""),"")</f>
        <v/>
      </c>
      <c r="X23">
        <f>IFERROR(INDEX('1.산군_붙여넣기'!$A$1:$AZ$1001,ROW(),설정!$C$14)&amp;"","")</f>
        <v/>
      </c>
      <c r="Y23">
        <f>IFERROR(INDEX('1.산군_붙여넣기'!$A$1:$AZ$1001,ROW(),설정!$C$15)&amp;"","")</f>
        <v/>
      </c>
      <c r="Z23">
        <f>IF(T23,V23&amp;"|"&amp;U23,"")</f>
        <v/>
      </c>
    </row>
    <row r="24">
      <c r="A24">
        <f>ROW()</f>
        <v/>
      </c>
      <c r="B24">
        <f>IFERROR(INDEX('1.산군_붙여넣기'!$A$1:$AZ$1001,ROW(),설정!$C$4)&amp;"","")</f>
        <v/>
      </c>
      <c r="C24">
        <f>IFERROR(INDEX('1.산군_붙여넣기'!$A$1:$AZ$1001,ROW(),설정!$C$5)&amp;"","")</f>
        <v/>
      </c>
      <c r="D24" s="5">
        <f>IFERROR(VALUE(SUBSTITUTE(SUBSTITUTE(SUBSTITUTE(IFERROR(INDEX('1.산군_붙여넣기'!$A$1:$AZ$1001,ROW(),설정!$C$6)&amp;"",""),",",""),"㎡",""),"m2","")),"")</f>
        <v/>
      </c>
      <c r="E24">
        <f>IFERROR(INDEX('1.산군_붙여넣기'!$A$1:$AZ$1001,ROW(),설정!$C$7)&amp;"","")</f>
        <v/>
      </c>
      <c r="F24">
        <f>IFERROR(INDEX('1.산군_붙여넣기'!$A$1:$AZ$1001,ROW(),설정!$C$8)&amp;"","")</f>
        <v/>
      </c>
      <c r="G24">
        <f>IFERROR(INDEX('1.산군_붙여넣기'!$A$1:$AZ$1001,ROW(),설정!$C$9)&amp;"","")</f>
        <v/>
      </c>
      <c r="H24">
        <f>IFERROR(INDEX('1.산군_붙여넣기'!$A$1:$AZ$1001,ROW(),설정!$C$10)&amp;"","")</f>
        <v/>
      </c>
      <c r="I24">
        <f>IFERROR(INDEX('1.산군_붙여넣기'!$A$1:$AZ$1001,ROW(),설정!$C$11)&amp;"","")</f>
        <v/>
      </c>
      <c r="J24">
        <f>IFERROR(INDEX('1.산군_붙여넣기'!$A$1:$AZ$1001,ROW(),설정!$C$12)&amp;"","")</f>
        <v/>
      </c>
      <c r="K24">
        <f>IFERROR(INDEX('1.산군_붙여넣기'!$A$1:$AZ$1001,ROW(),설정!$C$13)&amp;"","")</f>
        <v/>
      </c>
      <c r="L24" s="6">
        <f>IF(X24="","",IF(AND(LEN(X24)=8,ISNUMBER(X24*1)),DATE(LEFT(X24,4),MID(X24,5,2),RIGHT(X24,2)),IFERROR(DATEVALUE(SUBSTITUTE(SUBSTITUTE(X24,".","-"),"/","-")),IFERROR(X24*1,""))))</f>
        <v/>
      </c>
      <c r="M24" s="6">
        <f>IF(Y24="","",IF(AND(LEN(Y24)=8,ISNUMBER(Y24*1)),DATE(LEFT(Y24,4),MID(Y24,5,2),RIGHT(Y24,2)),IFERROR(DATEVALUE(SUBSTITUTE(SUBSTITUTE(Y24,".","-"),"/","-")),IFERROR(Y24*1,""))))</f>
        <v/>
      </c>
      <c r="N24">
        <f>IFERROR(LEFT(B24,FIND(" ",B24)-1),B24)</f>
        <v/>
      </c>
      <c r="O24">
        <f>AND(B24&lt;&gt;"",B24&lt;&gt;설정!$B$4,C24&lt;&gt;설정!$B$5)</f>
        <v/>
      </c>
      <c r="P24">
        <f>IF(O24,B24&amp;"|"&amp;C24,"")</f>
        <v/>
      </c>
      <c r="Q24">
        <f>AND(O24,COUNTIF(P25:P$1002,P24)=0)</f>
        <v/>
      </c>
      <c r="R24">
        <f>OR(AND(설정!$A$28&lt;&gt;"",ISNUMBER(SEARCH(설정!$A$28,E24&amp;" "&amp;C24))),AND(설정!$A$29&lt;&gt;"",ISNUMBER(SEARCH(설정!$A$29,E24&amp;" "&amp;C24))),AND(설정!$A$30&lt;&gt;"",ISNUMBER(SEARCH(설정!$A$30,E24&amp;" "&amp;C24))),AND(설정!$A$31&lt;&gt;"",ISNUMBER(SEARCH(설정!$A$31,E24&amp;" "&amp;C24))),AND(설정!$A$32&lt;&gt;"",ISNUMBER(SEARCH(설정!$A$32,E24&amp;" "&amp;C24))),AND(설정!$A$33&lt;&gt;"",ISNUMBER(SEARCH(설정!$A$33,E24&amp;" "&amp;C24))),AND(설정!$A$34&lt;&gt;"",ISNUMBER(SEARCH(설정!$A$34,E24&amp;" "&amp;C24))),AND(설정!$A$35&lt;&gt;"",ISNUMBER(SEARCH(설정!$A$35,E24&amp;" "&amp;C24))),AND(설정!$A$36&lt;&gt;"",ISNUMBER(SEARCH(설정!$A$36,E24&amp;" "&amp;C24))),AND(설정!$A$37&lt;&gt;"",ISNUMBER(SEARCH(설정!$A$37,E24&amp;" "&amp;C24))))</f>
        <v/>
      </c>
      <c r="S24">
        <f>OR(D24="",D24&gt;=설정!$B$19)</f>
        <v/>
      </c>
      <c r="T24">
        <f>AND(Q24,R24,S24)</f>
        <v/>
      </c>
      <c r="U24">
        <f>IF(T24,IF(AND(설정!$A$41&lt;&gt;"",ISNUMBER(SEARCH(설정!$A$41,K24))),설정!$B$41,IF(AND(설정!$A$42&lt;&gt;"",ISNUMBER(SEARCH(설정!$A$42,K24))),설정!$B$42,IF(AND(설정!$A$43&lt;&gt;"",ISNUMBER(SEARCH(설정!$A$43,K24))),설정!$B$43,IF(AND(설정!$A$44&lt;&gt;"",ISNUMBER(SEARCH(설정!$A$44,K24))),설정!$B$44,IF(AND(설정!$A$45&lt;&gt;"",ISNUMBER(SEARCH(설정!$A$45,K24))),설정!$B$45,IF(AND(설정!$A$46&lt;&gt;"",ISNUMBER(SEARCH(설정!$A$46,K24))),설정!$B$46,IF(AND(설정!$A$47&lt;&gt;"",ISNUMBER(SEARCH(설정!$A$47,K24))),설정!$B$47,IF(AND(설정!$A$48&lt;&gt;"",ISNUMBER(SEARCH(설정!$A$48,K24))),설정!$B$48,IF(M24="","설계사","시공사"))))))))),"")</f>
        <v/>
      </c>
      <c r="V24">
        <f>SUBSTITUTE(SUBSTITUTE(SUBSTITUTE(SUBSTITUTE(G24,"(주)",""),"㈜",""),"주식회사","")," ","")</f>
        <v/>
      </c>
      <c r="W24">
        <f>IF(AND(T24,V24&lt;&gt;""),IF(COUNTIFS(V$2:V24,V24,T$2:T24,TRUE)=1,MAX(W$1:W23)+1,""),"")</f>
        <v/>
      </c>
      <c r="X24">
        <f>IFERROR(INDEX('1.산군_붙여넣기'!$A$1:$AZ$1001,ROW(),설정!$C$14)&amp;"","")</f>
        <v/>
      </c>
      <c r="Y24">
        <f>IFERROR(INDEX('1.산군_붙여넣기'!$A$1:$AZ$1001,ROW(),설정!$C$15)&amp;"","")</f>
        <v/>
      </c>
      <c r="Z24">
        <f>IF(T24,V24&amp;"|"&amp;U24,"")</f>
        <v/>
      </c>
    </row>
    <row r="25">
      <c r="A25">
        <f>ROW()</f>
        <v/>
      </c>
      <c r="B25">
        <f>IFERROR(INDEX('1.산군_붙여넣기'!$A$1:$AZ$1001,ROW(),설정!$C$4)&amp;"","")</f>
        <v/>
      </c>
      <c r="C25">
        <f>IFERROR(INDEX('1.산군_붙여넣기'!$A$1:$AZ$1001,ROW(),설정!$C$5)&amp;"","")</f>
        <v/>
      </c>
      <c r="D25" s="5">
        <f>IFERROR(VALUE(SUBSTITUTE(SUBSTITUTE(SUBSTITUTE(IFERROR(INDEX('1.산군_붙여넣기'!$A$1:$AZ$1001,ROW(),설정!$C$6)&amp;"",""),",",""),"㎡",""),"m2","")),"")</f>
        <v/>
      </c>
      <c r="E25">
        <f>IFERROR(INDEX('1.산군_붙여넣기'!$A$1:$AZ$1001,ROW(),설정!$C$7)&amp;"","")</f>
        <v/>
      </c>
      <c r="F25">
        <f>IFERROR(INDEX('1.산군_붙여넣기'!$A$1:$AZ$1001,ROW(),설정!$C$8)&amp;"","")</f>
        <v/>
      </c>
      <c r="G25">
        <f>IFERROR(INDEX('1.산군_붙여넣기'!$A$1:$AZ$1001,ROW(),설정!$C$9)&amp;"","")</f>
        <v/>
      </c>
      <c r="H25">
        <f>IFERROR(INDEX('1.산군_붙여넣기'!$A$1:$AZ$1001,ROW(),설정!$C$10)&amp;"","")</f>
        <v/>
      </c>
      <c r="I25">
        <f>IFERROR(INDEX('1.산군_붙여넣기'!$A$1:$AZ$1001,ROW(),설정!$C$11)&amp;"","")</f>
        <v/>
      </c>
      <c r="J25">
        <f>IFERROR(INDEX('1.산군_붙여넣기'!$A$1:$AZ$1001,ROW(),설정!$C$12)&amp;"","")</f>
        <v/>
      </c>
      <c r="K25">
        <f>IFERROR(INDEX('1.산군_붙여넣기'!$A$1:$AZ$1001,ROW(),설정!$C$13)&amp;"","")</f>
        <v/>
      </c>
      <c r="L25" s="6">
        <f>IF(X25="","",IF(AND(LEN(X25)=8,ISNUMBER(X25*1)),DATE(LEFT(X25,4),MID(X25,5,2),RIGHT(X25,2)),IFERROR(DATEVALUE(SUBSTITUTE(SUBSTITUTE(X25,".","-"),"/","-")),IFERROR(X25*1,""))))</f>
        <v/>
      </c>
      <c r="M25" s="6">
        <f>IF(Y25="","",IF(AND(LEN(Y25)=8,ISNUMBER(Y25*1)),DATE(LEFT(Y25,4),MID(Y25,5,2),RIGHT(Y25,2)),IFERROR(DATEVALUE(SUBSTITUTE(SUBSTITUTE(Y25,".","-"),"/","-")),IFERROR(Y25*1,""))))</f>
        <v/>
      </c>
      <c r="N25">
        <f>IFERROR(LEFT(B25,FIND(" ",B25)-1),B25)</f>
        <v/>
      </c>
      <c r="O25">
        <f>AND(B25&lt;&gt;"",B25&lt;&gt;설정!$B$4,C25&lt;&gt;설정!$B$5)</f>
        <v/>
      </c>
      <c r="P25">
        <f>IF(O25,B25&amp;"|"&amp;C25,"")</f>
        <v/>
      </c>
      <c r="Q25">
        <f>AND(O25,COUNTIF(P26:P$1002,P25)=0)</f>
        <v/>
      </c>
      <c r="R25">
        <f>OR(AND(설정!$A$28&lt;&gt;"",ISNUMBER(SEARCH(설정!$A$28,E25&amp;" "&amp;C25))),AND(설정!$A$29&lt;&gt;"",ISNUMBER(SEARCH(설정!$A$29,E25&amp;" "&amp;C25))),AND(설정!$A$30&lt;&gt;"",ISNUMBER(SEARCH(설정!$A$30,E25&amp;" "&amp;C25))),AND(설정!$A$31&lt;&gt;"",ISNUMBER(SEARCH(설정!$A$31,E25&amp;" "&amp;C25))),AND(설정!$A$32&lt;&gt;"",ISNUMBER(SEARCH(설정!$A$32,E25&amp;" "&amp;C25))),AND(설정!$A$33&lt;&gt;"",ISNUMBER(SEARCH(설정!$A$33,E25&amp;" "&amp;C25))),AND(설정!$A$34&lt;&gt;"",ISNUMBER(SEARCH(설정!$A$34,E25&amp;" "&amp;C25))),AND(설정!$A$35&lt;&gt;"",ISNUMBER(SEARCH(설정!$A$35,E25&amp;" "&amp;C25))),AND(설정!$A$36&lt;&gt;"",ISNUMBER(SEARCH(설정!$A$36,E25&amp;" "&amp;C25))),AND(설정!$A$37&lt;&gt;"",ISNUMBER(SEARCH(설정!$A$37,E25&amp;" "&amp;C25))))</f>
        <v/>
      </c>
      <c r="S25">
        <f>OR(D25="",D25&gt;=설정!$B$19)</f>
        <v/>
      </c>
      <c r="T25">
        <f>AND(Q25,R25,S25)</f>
        <v/>
      </c>
      <c r="U25">
        <f>IF(T25,IF(AND(설정!$A$41&lt;&gt;"",ISNUMBER(SEARCH(설정!$A$41,K25))),설정!$B$41,IF(AND(설정!$A$42&lt;&gt;"",ISNUMBER(SEARCH(설정!$A$42,K25))),설정!$B$42,IF(AND(설정!$A$43&lt;&gt;"",ISNUMBER(SEARCH(설정!$A$43,K25))),설정!$B$43,IF(AND(설정!$A$44&lt;&gt;"",ISNUMBER(SEARCH(설정!$A$44,K25))),설정!$B$44,IF(AND(설정!$A$45&lt;&gt;"",ISNUMBER(SEARCH(설정!$A$45,K25))),설정!$B$45,IF(AND(설정!$A$46&lt;&gt;"",ISNUMBER(SEARCH(설정!$A$46,K25))),설정!$B$46,IF(AND(설정!$A$47&lt;&gt;"",ISNUMBER(SEARCH(설정!$A$47,K25))),설정!$B$47,IF(AND(설정!$A$48&lt;&gt;"",ISNUMBER(SEARCH(설정!$A$48,K25))),설정!$B$48,IF(M25="","설계사","시공사"))))))))),"")</f>
        <v/>
      </c>
      <c r="V25">
        <f>SUBSTITUTE(SUBSTITUTE(SUBSTITUTE(SUBSTITUTE(G25,"(주)",""),"㈜",""),"주식회사","")," ","")</f>
        <v/>
      </c>
      <c r="W25">
        <f>IF(AND(T25,V25&lt;&gt;""),IF(COUNTIFS(V$2:V25,V25,T$2:T25,TRUE)=1,MAX(W$1:W24)+1,""),"")</f>
        <v/>
      </c>
      <c r="X25">
        <f>IFERROR(INDEX('1.산군_붙여넣기'!$A$1:$AZ$1001,ROW(),설정!$C$14)&amp;"","")</f>
        <v/>
      </c>
      <c r="Y25">
        <f>IFERROR(INDEX('1.산군_붙여넣기'!$A$1:$AZ$1001,ROW(),설정!$C$15)&amp;"","")</f>
        <v/>
      </c>
      <c r="Z25">
        <f>IF(T25,V25&amp;"|"&amp;U25,"")</f>
        <v/>
      </c>
    </row>
    <row r="26">
      <c r="A26">
        <f>ROW()</f>
        <v/>
      </c>
      <c r="B26">
        <f>IFERROR(INDEX('1.산군_붙여넣기'!$A$1:$AZ$1001,ROW(),설정!$C$4)&amp;"","")</f>
        <v/>
      </c>
      <c r="C26">
        <f>IFERROR(INDEX('1.산군_붙여넣기'!$A$1:$AZ$1001,ROW(),설정!$C$5)&amp;"","")</f>
        <v/>
      </c>
      <c r="D26" s="5">
        <f>IFERROR(VALUE(SUBSTITUTE(SUBSTITUTE(SUBSTITUTE(IFERROR(INDEX('1.산군_붙여넣기'!$A$1:$AZ$1001,ROW(),설정!$C$6)&amp;"",""),",",""),"㎡",""),"m2","")),"")</f>
        <v/>
      </c>
      <c r="E26">
        <f>IFERROR(INDEX('1.산군_붙여넣기'!$A$1:$AZ$1001,ROW(),설정!$C$7)&amp;"","")</f>
        <v/>
      </c>
      <c r="F26">
        <f>IFERROR(INDEX('1.산군_붙여넣기'!$A$1:$AZ$1001,ROW(),설정!$C$8)&amp;"","")</f>
        <v/>
      </c>
      <c r="G26">
        <f>IFERROR(INDEX('1.산군_붙여넣기'!$A$1:$AZ$1001,ROW(),설정!$C$9)&amp;"","")</f>
        <v/>
      </c>
      <c r="H26">
        <f>IFERROR(INDEX('1.산군_붙여넣기'!$A$1:$AZ$1001,ROW(),설정!$C$10)&amp;"","")</f>
        <v/>
      </c>
      <c r="I26">
        <f>IFERROR(INDEX('1.산군_붙여넣기'!$A$1:$AZ$1001,ROW(),설정!$C$11)&amp;"","")</f>
        <v/>
      </c>
      <c r="J26">
        <f>IFERROR(INDEX('1.산군_붙여넣기'!$A$1:$AZ$1001,ROW(),설정!$C$12)&amp;"","")</f>
        <v/>
      </c>
      <c r="K26">
        <f>IFERROR(INDEX('1.산군_붙여넣기'!$A$1:$AZ$1001,ROW(),설정!$C$13)&amp;"","")</f>
        <v/>
      </c>
      <c r="L26" s="6">
        <f>IF(X26="","",IF(AND(LEN(X26)=8,ISNUMBER(X26*1)),DATE(LEFT(X26,4),MID(X26,5,2),RIGHT(X26,2)),IFERROR(DATEVALUE(SUBSTITUTE(SUBSTITUTE(X26,".","-"),"/","-")),IFERROR(X26*1,""))))</f>
        <v/>
      </c>
      <c r="M26" s="6">
        <f>IF(Y26="","",IF(AND(LEN(Y26)=8,ISNUMBER(Y26*1)),DATE(LEFT(Y26,4),MID(Y26,5,2),RIGHT(Y26,2)),IFERROR(DATEVALUE(SUBSTITUTE(SUBSTITUTE(Y26,".","-"),"/","-")),IFERROR(Y26*1,""))))</f>
        <v/>
      </c>
      <c r="N26">
        <f>IFERROR(LEFT(B26,FIND(" ",B26)-1),B26)</f>
        <v/>
      </c>
      <c r="O26">
        <f>AND(B26&lt;&gt;"",B26&lt;&gt;설정!$B$4,C26&lt;&gt;설정!$B$5)</f>
        <v/>
      </c>
      <c r="P26">
        <f>IF(O26,B26&amp;"|"&amp;C26,"")</f>
        <v/>
      </c>
      <c r="Q26">
        <f>AND(O26,COUNTIF(P27:P$1002,P26)=0)</f>
        <v/>
      </c>
      <c r="R26">
        <f>OR(AND(설정!$A$28&lt;&gt;"",ISNUMBER(SEARCH(설정!$A$28,E26&amp;" "&amp;C26))),AND(설정!$A$29&lt;&gt;"",ISNUMBER(SEARCH(설정!$A$29,E26&amp;" "&amp;C26))),AND(설정!$A$30&lt;&gt;"",ISNUMBER(SEARCH(설정!$A$30,E26&amp;" "&amp;C26))),AND(설정!$A$31&lt;&gt;"",ISNUMBER(SEARCH(설정!$A$31,E26&amp;" "&amp;C26))),AND(설정!$A$32&lt;&gt;"",ISNUMBER(SEARCH(설정!$A$32,E26&amp;" "&amp;C26))),AND(설정!$A$33&lt;&gt;"",ISNUMBER(SEARCH(설정!$A$33,E26&amp;" "&amp;C26))),AND(설정!$A$34&lt;&gt;"",ISNUMBER(SEARCH(설정!$A$34,E26&amp;" "&amp;C26))),AND(설정!$A$35&lt;&gt;"",ISNUMBER(SEARCH(설정!$A$35,E26&amp;" "&amp;C26))),AND(설정!$A$36&lt;&gt;"",ISNUMBER(SEARCH(설정!$A$36,E26&amp;" "&amp;C26))),AND(설정!$A$37&lt;&gt;"",ISNUMBER(SEARCH(설정!$A$37,E26&amp;" "&amp;C26))))</f>
        <v/>
      </c>
      <c r="S26">
        <f>OR(D26="",D26&gt;=설정!$B$19)</f>
        <v/>
      </c>
      <c r="T26">
        <f>AND(Q26,R26,S26)</f>
        <v/>
      </c>
      <c r="U26">
        <f>IF(T26,IF(AND(설정!$A$41&lt;&gt;"",ISNUMBER(SEARCH(설정!$A$41,K26))),설정!$B$41,IF(AND(설정!$A$42&lt;&gt;"",ISNUMBER(SEARCH(설정!$A$42,K26))),설정!$B$42,IF(AND(설정!$A$43&lt;&gt;"",ISNUMBER(SEARCH(설정!$A$43,K26))),설정!$B$43,IF(AND(설정!$A$44&lt;&gt;"",ISNUMBER(SEARCH(설정!$A$44,K26))),설정!$B$44,IF(AND(설정!$A$45&lt;&gt;"",ISNUMBER(SEARCH(설정!$A$45,K26))),설정!$B$45,IF(AND(설정!$A$46&lt;&gt;"",ISNUMBER(SEARCH(설정!$A$46,K26))),설정!$B$46,IF(AND(설정!$A$47&lt;&gt;"",ISNUMBER(SEARCH(설정!$A$47,K26))),설정!$B$47,IF(AND(설정!$A$48&lt;&gt;"",ISNUMBER(SEARCH(설정!$A$48,K26))),설정!$B$48,IF(M26="","설계사","시공사"))))))))),"")</f>
        <v/>
      </c>
      <c r="V26">
        <f>SUBSTITUTE(SUBSTITUTE(SUBSTITUTE(SUBSTITUTE(G26,"(주)",""),"㈜",""),"주식회사","")," ","")</f>
        <v/>
      </c>
      <c r="W26">
        <f>IF(AND(T26,V26&lt;&gt;""),IF(COUNTIFS(V$2:V26,V26,T$2:T26,TRUE)=1,MAX(W$1:W25)+1,""),"")</f>
        <v/>
      </c>
      <c r="X26">
        <f>IFERROR(INDEX('1.산군_붙여넣기'!$A$1:$AZ$1001,ROW(),설정!$C$14)&amp;"","")</f>
        <v/>
      </c>
      <c r="Y26">
        <f>IFERROR(INDEX('1.산군_붙여넣기'!$A$1:$AZ$1001,ROW(),설정!$C$15)&amp;"","")</f>
        <v/>
      </c>
      <c r="Z26">
        <f>IF(T26,V26&amp;"|"&amp;U26,"")</f>
        <v/>
      </c>
    </row>
    <row r="27">
      <c r="A27">
        <f>ROW()</f>
        <v/>
      </c>
      <c r="B27">
        <f>IFERROR(INDEX('1.산군_붙여넣기'!$A$1:$AZ$1001,ROW(),설정!$C$4)&amp;"","")</f>
        <v/>
      </c>
      <c r="C27">
        <f>IFERROR(INDEX('1.산군_붙여넣기'!$A$1:$AZ$1001,ROW(),설정!$C$5)&amp;"","")</f>
        <v/>
      </c>
      <c r="D27" s="5">
        <f>IFERROR(VALUE(SUBSTITUTE(SUBSTITUTE(SUBSTITUTE(IFERROR(INDEX('1.산군_붙여넣기'!$A$1:$AZ$1001,ROW(),설정!$C$6)&amp;"",""),",",""),"㎡",""),"m2","")),"")</f>
        <v/>
      </c>
      <c r="E27">
        <f>IFERROR(INDEX('1.산군_붙여넣기'!$A$1:$AZ$1001,ROW(),설정!$C$7)&amp;"","")</f>
        <v/>
      </c>
      <c r="F27">
        <f>IFERROR(INDEX('1.산군_붙여넣기'!$A$1:$AZ$1001,ROW(),설정!$C$8)&amp;"","")</f>
        <v/>
      </c>
      <c r="G27">
        <f>IFERROR(INDEX('1.산군_붙여넣기'!$A$1:$AZ$1001,ROW(),설정!$C$9)&amp;"","")</f>
        <v/>
      </c>
      <c r="H27">
        <f>IFERROR(INDEX('1.산군_붙여넣기'!$A$1:$AZ$1001,ROW(),설정!$C$10)&amp;"","")</f>
        <v/>
      </c>
      <c r="I27">
        <f>IFERROR(INDEX('1.산군_붙여넣기'!$A$1:$AZ$1001,ROW(),설정!$C$11)&amp;"","")</f>
        <v/>
      </c>
      <c r="J27">
        <f>IFERROR(INDEX('1.산군_붙여넣기'!$A$1:$AZ$1001,ROW(),설정!$C$12)&amp;"","")</f>
        <v/>
      </c>
      <c r="K27">
        <f>IFERROR(INDEX('1.산군_붙여넣기'!$A$1:$AZ$1001,ROW(),설정!$C$13)&amp;"","")</f>
        <v/>
      </c>
      <c r="L27" s="6">
        <f>IF(X27="","",IF(AND(LEN(X27)=8,ISNUMBER(X27*1)),DATE(LEFT(X27,4),MID(X27,5,2),RIGHT(X27,2)),IFERROR(DATEVALUE(SUBSTITUTE(SUBSTITUTE(X27,".","-"),"/","-")),IFERROR(X27*1,""))))</f>
        <v/>
      </c>
      <c r="M27" s="6">
        <f>IF(Y27="","",IF(AND(LEN(Y27)=8,ISNUMBER(Y27*1)),DATE(LEFT(Y27,4),MID(Y27,5,2),RIGHT(Y27,2)),IFERROR(DATEVALUE(SUBSTITUTE(SUBSTITUTE(Y27,".","-"),"/","-")),IFERROR(Y27*1,""))))</f>
        <v/>
      </c>
      <c r="N27">
        <f>IFERROR(LEFT(B27,FIND(" ",B27)-1),B27)</f>
        <v/>
      </c>
      <c r="O27">
        <f>AND(B27&lt;&gt;"",B27&lt;&gt;설정!$B$4,C27&lt;&gt;설정!$B$5)</f>
        <v/>
      </c>
      <c r="P27">
        <f>IF(O27,B27&amp;"|"&amp;C27,"")</f>
        <v/>
      </c>
      <c r="Q27">
        <f>AND(O27,COUNTIF(P28:P$1002,P27)=0)</f>
        <v/>
      </c>
      <c r="R27">
        <f>OR(AND(설정!$A$28&lt;&gt;"",ISNUMBER(SEARCH(설정!$A$28,E27&amp;" "&amp;C27))),AND(설정!$A$29&lt;&gt;"",ISNUMBER(SEARCH(설정!$A$29,E27&amp;" "&amp;C27))),AND(설정!$A$30&lt;&gt;"",ISNUMBER(SEARCH(설정!$A$30,E27&amp;" "&amp;C27))),AND(설정!$A$31&lt;&gt;"",ISNUMBER(SEARCH(설정!$A$31,E27&amp;" "&amp;C27))),AND(설정!$A$32&lt;&gt;"",ISNUMBER(SEARCH(설정!$A$32,E27&amp;" "&amp;C27))),AND(설정!$A$33&lt;&gt;"",ISNUMBER(SEARCH(설정!$A$33,E27&amp;" "&amp;C27))),AND(설정!$A$34&lt;&gt;"",ISNUMBER(SEARCH(설정!$A$34,E27&amp;" "&amp;C27))),AND(설정!$A$35&lt;&gt;"",ISNUMBER(SEARCH(설정!$A$35,E27&amp;" "&amp;C27))),AND(설정!$A$36&lt;&gt;"",ISNUMBER(SEARCH(설정!$A$36,E27&amp;" "&amp;C27))),AND(설정!$A$37&lt;&gt;"",ISNUMBER(SEARCH(설정!$A$37,E27&amp;" "&amp;C27))))</f>
        <v/>
      </c>
      <c r="S27">
        <f>OR(D27="",D27&gt;=설정!$B$19)</f>
        <v/>
      </c>
      <c r="T27">
        <f>AND(Q27,R27,S27)</f>
        <v/>
      </c>
      <c r="U27">
        <f>IF(T27,IF(AND(설정!$A$41&lt;&gt;"",ISNUMBER(SEARCH(설정!$A$41,K27))),설정!$B$41,IF(AND(설정!$A$42&lt;&gt;"",ISNUMBER(SEARCH(설정!$A$42,K27))),설정!$B$42,IF(AND(설정!$A$43&lt;&gt;"",ISNUMBER(SEARCH(설정!$A$43,K27))),설정!$B$43,IF(AND(설정!$A$44&lt;&gt;"",ISNUMBER(SEARCH(설정!$A$44,K27))),설정!$B$44,IF(AND(설정!$A$45&lt;&gt;"",ISNUMBER(SEARCH(설정!$A$45,K27))),설정!$B$45,IF(AND(설정!$A$46&lt;&gt;"",ISNUMBER(SEARCH(설정!$A$46,K27))),설정!$B$46,IF(AND(설정!$A$47&lt;&gt;"",ISNUMBER(SEARCH(설정!$A$47,K27))),설정!$B$47,IF(AND(설정!$A$48&lt;&gt;"",ISNUMBER(SEARCH(설정!$A$48,K27))),설정!$B$48,IF(M27="","설계사","시공사"))))))))),"")</f>
        <v/>
      </c>
      <c r="V27">
        <f>SUBSTITUTE(SUBSTITUTE(SUBSTITUTE(SUBSTITUTE(G27,"(주)",""),"㈜",""),"주식회사","")," ","")</f>
        <v/>
      </c>
      <c r="W27">
        <f>IF(AND(T27,V27&lt;&gt;""),IF(COUNTIFS(V$2:V27,V27,T$2:T27,TRUE)=1,MAX(W$1:W26)+1,""),"")</f>
        <v/>
      </c>
      <c r="X27">
        <f>IFERROR(INDEX('1.산군_붙여넣기'!$A$1:$AZ$1001,ROW(),설정!$C$14)&amp;"","")</f>
        <v/>
      </c>
      <c r="Y27">
        <f>IFERROR(INDEX('1.산군_붙여넣기'!$A$1:$AZ$1001,ROW(),설정!$C$15)&amp;"","")</f>
        <v/>
      </c>
      <c r="Z27">
        <f>IF(T27,V27&amp;"|"&amp;U27,"")</f>
        <v/>
      </c>
    </row>
    <row r="28">
      <c r="A28">
        <f>ROW()</f>
        <v/>
      </c>
      <c r="B28">
        <f>IFERROR(INDEX('1.산군_붙여넣기'!$A$1:$AZ$1001,ROW(),설정!$C$4)&amp;"","")</f>
        <v/>
      </c>
      <c r="C28">
        <f>IFERROR(INDEX('1.산군_붙여넣기'!$A$1:$AZ$1001,ROW(),설정!$C$5)&amp;"","")</f>
        <v/>
      </c>
      <c r="D28" s="5">
        <f>IFERROR(VALUE(SUBSTITUTE(SUBSTITUTE(SUBSTITUTE(IFERROR(INDEX('1.산군_붙여넣기'!$A$1:$AZ$1001,ROW(),설정!$C$6)&amp;"",""),",",""),"㎡",""),"m2","")),"")</f>
        <v/>
      </c>
      <c r="E28">
        <f>IFERROR(INDEX('1.산군_붙여넣기'!$A$1:$AZ$1001,ROW(),설정!$C$7)&amp;"","")</f>
        <v/>
      </c>
      <c r="F28">
        <f>IFERROR(INDEX('1.산군_붙여넣기'!$A$1:$AZ$1001,ROW(),설정!$C$8)&amp;"","")</f>
        <v/>
      </c>
      <c r="G28">
        <f>IFERROR(INDEX('1.산군_붙여넣기'!$A$1:$AZ$1001,ROW(),설정!$C$9)&amp;"","")</f>
        <v/>
      </c>
      <c r="H28">
        <f>IFERROR(INDEX('1.산군_붙여넣기'!$A$1:$AZ$1001,ROW(),설정!$C$10)&amp;"","")</f>
        <v/>
      </c>
      <c r="I28">
        <f>IFERROR(INDEX('1.산군_붙여넣기'!$A$1:$AZ$1001,ROW(),설정!$C$11)&amp;"","")</f>
        <v/>
      </c>
      <c r="J28">
        <f>IFERROR(INDEX('1.산군_붙여넣기'!$A$1:$AZ$1001,ROW(),설정!$C$12)&amp;"","")</f>
        <v/>
      </c>
      <c r="K28">
        <f>IFERROR(INDEX('1.산군_붙여넣기'!$A$1:$AZ$1001,ROW(),설정!$C$13)&amp;"","")</f>
        <v/>
      </c>
      <c r="L28" s="6">
        <f>IF(X28="","",IF(AND(LEN(X28)=8,ISNUMBER(X28*1)),DATE(LEFT(X28,4),MID(X28,5,2),RIGHT(X28,2)),IFERROR(DATEVALUE(SUBSTITUTE(SUBSTITUTE(X28,".","-"),"/","-")),IFERROR(X28*1,""))))</f>
        <v/>
      </c>
      <c r="M28" s="6">
        <f>IF(Y28="","",IF(AND(LEN(Y28)=8,ISNUMBER(Y28*1)),DATE(LEFT(Y28,4),MID(Y28,5,2),RIGHT(Y28,2)),IFERROR(DATEVALUE(SUBSTITUTE(SUBSTITUTE(Y28,".","-"),"/","-")),IFERROR(Y28*1,""))))</f>
        <v/>
      </c>
      <c r="N28">
        <f>IFERROR(LEFT(B28,FIND(" ",B28)-1),B28)</f>
        <v/>
      </c>
      <c r="O28">
        <f>AND(B28&lt;&gt;"",B28&lt;&gt;설정!$B$4,C28&lt;&gt;설정!$B$5)</f>
        <v/>
      </c>
      <c r="P28">
        <f>IF(O28,B28&amp;"|"&amp;C28,"")</f>
        <v/>
      </c>
      <c r="Q28">
        <f>AND(O28,COUNTIF(P29:P$1002,P28)=0)</f>
        <v/>
      </c>
      <c r="R28">
        <f>OR(AND(설정!$A$28&lt;&gt;"",ISNUMBER(SEARCH(설정!$A$28,E28&amp;" "&amp;C28))),AND(설정!$A$29&lt;&gt;"",ISNUMBER(SEARCH(설정!$A$29,E28&amp;" "&amp;C28))),AND(설정!$A$30&lt;&gt;"",ISNUMBER(SEARCH(설정!$A$30,E28&amp;" "&amp;C28))),AND(설정!$A$31&lt;&gt;"",ISNUMBER(SEARCH(설정!$A$31,E28&amp;" "&amp;C28))),AND(설정!$A$32&lt;&gt;"",ISNUMBER(SEARCH(설정!$A$32,E28&amp;" "&amp;C28))),AND(설정!$A$33&lt;&gt;"",ISNUMBER(SEARCH(설정!$A$33,E28&amp;" "&amp;C28))),AND(설정!$A$34&lt;&gt;"",ISNUMBER(SEARCH(설정!$A$34,E28&amp;" "&amp;C28))),AND(설정!$A$35&lt;&gt;"",ISNUMBER(SEARCH(설정!$A$35,E28&amp;" "&amp;C28))),AND(설정!$A$36&lt;&gt;"",ISNUMBER(SEARCH(설정!$A$36,E28&amp;" "&amp;C28))),AND(설정!$A$37&lt;&gt;"",ISNUMBER(SEARCH(설정!$A$37,E28&amp;" "&amp;C28))))</f>
        <v/>
      </c>
      <c r="S28">
        <f>OR(D28="",D28&gt;=설정!$B$19)</f>
        <v/>
      </c>
      <c r="T28">
        <f>AND(Q28,R28,S28)</f>
        <v/>
      </c>
      <c r="U28">
        <f>IF(T28,IF(AND(설정!$A$41&lt;&gt;"",ISNUMBER(SEARCH(설정!$A$41,K28))),설정!$B$41,IF(AND(설정!$A$42&lt;&gt;"",ISNUMBER(SEARCH(설정!$A$42,K28))),설정!$B$42,IF(AND(설정!$A$43&lt;&gt;"",ISNUMBER(SEARCH(설정!$A$43,K28))),설정!$B$43,IF(AND(설정!$A$44&lt;&gt;"",ISNUMBER(SEARCH(설정!$A$44,K28))),설정!$B$44,IF(AND(설정!$A$45&lt;&gt;"",ISNUMBER(SEARCH(설정!$A$45,K28))),설정!$B$45,IF(AND(설정!$A$46&lt;&gt;"",ISNUMBER(SEARCH(설정!$A$46,K28))),설정!$B$46,IF(AND(설정!$A$47&lt;&gt;"",ISNUMBER(SEARCH(설정!$A$47,K28))),설정!$B$47,IF(AND(설정!$A$48&lt;&gt;"",ISNUMBER(SEARCH(설정!$A$48,K28))),설정!$B$48,IF(M28="","설계사","시공사"))))))))),"")</f>
        <v/>
      </c>
      <c r="V28">
        <f>SUBSTITUTE(SUBSTITUTE(SUBSTITUTE(SUBSTITUTE(G28,"(주)",""),"㈜",""),"주식회사","")," ","")</f>
        <v/>
      </c>
      <c r="W28">
        <f>IF(AND(T28,V28&lt;&gt;""),IF(COUNTIFS(V$2:V28,V28,T$2:T28,TRUE)=1,MAX(W$1:W27)+1,""),"")</f>
        <v/>
      </c>
      <c r="X28">
        <f>IFERROR(INDEX('1.산군_붙여넣기'!$A$1:$AZ$1001,ROW(),설정!$C$14)&amp;"","")</f>
        <v/>
      </c>
      <c r="Y28">
        <f>IFERROR(INDEX('1.산군_붙여넣기'!$A$1:$AZ$1001,ROW(),설정!$C$15)&amp;"","")</f>
        <v/>
      </c>
      <c r="Z28">
        <f>IF(T28,V28&amp;"|"&amp;U28,"")</f>
        <v/>
      </c>
    </row>
    <row r="29">
      <c r="A29">
        <f>ROW()</f>
        <v/>
      </c>
      <c r="B29">
        <f>IFERROR(INDEX('1.산군_붙여넣기'!$A$1:$AZ$1001,ROW(),설정!$C$4)&amp;"","")</f>
        <v/>
      </c>
      <c r="C29">
        <f>IFERROR(INDEX('1.산군_붙여넣기'!$A$1:$AZ$1001,ROW(),설정!$C$5)&amp;"","")</f>
        <v/>
      </c>
      <c r="D29" s="5">
        <f>IFERROR(VALUE(SUBSTITUTE(SUBSTITUTE(SUBSTITUTE(IFERROR(INDEX('1.산군_붙여넣기'!$A$1:$AZ$1001,ROW(),설정!$C$6)&amp;"",""),",",""),"㎡",""),"m2","")),"")</f>
        <v/>
      </c>
      <c r="E29">
        <f>IFERROR(INDEX('1.산군_붙여넣기'!$A$1:$AZ$1001,ROW(),설정!$C$7)&amp;"","")</f>
        <v/>
      </c>
      <c r="F29">
        <f>IFERROR(INDEX('1.산군_붙여넣기'!$A$1:$AZ$1001,ROW(),설정!$C$8)&amp;"","")</f>
        <v/>
      </c>
      <c r="G29">
        <f>IFERROR(INDEX('1.산군_붙여넣기'!$A$1:$AZ$1001,ROW(),설정!$C$9)&amp;"","")</f>
        <v/>
      </c>
      <c r="H29">
        <f>IFERROR(INDEX('1.산군_붙여넣기'!$A$1:$AZ$1001,ROW(),설정!$C$10)&amp;"","")</f>
        <v/>
      </c>
      <c r="I29">
        <f>IFERROR(INDEX('1.산군_붙여넣기'!$A$1:$AZ$1001,ROW(),설정!$C$11)&amp;"","")</f>
        <v/>
      </c>
      <c r="J29">
        <f>IFERROR(INDEX('1.산군_붙여넣기'!$A$1:$AZ$1001,ROW(),설정!$C$12)&amp;"","")</f>
        <v/>
      </c>
      <c r="K29">
        <f>IFERROR(INDEX('1.산군_붙여넣기'!$A$1:$AZ$1001,ROW(),설정!$C$13)&amp;"","")</f>
        <v/>
      </c>
      <c r="L29" s="6">
        <f>IF(X29="","",IF(AND(LEN(X29)=8,ISNUMBER(X29*1)),DATE(LEFT(X29,4),MID(X29,5,2),RIGHT(X29,2)),IFERROR(DATEVALUE(SUBSTITUTE(SUBSTITUTE(X29,".","-"),"/","-")),IFERROR(X29*1,""))))</f>
        <v/>
      </c>
      <c r="M29" s="6">
        <f>IF(Y29="","",IF(AND(LEN(Y29)=8,ISNUMBER(Y29*1)),DATE(LEFT(Y29,4),MID(Y29,5,2),RIGHT(Y29,2)),IFERROR(DATEVALUE(SUBSTITUTE(SUBSTITUTE(Y29,".","-"),"/","-")),IFERROR(Y29*1,""))))</f>
        <v/>
      </c>
      <c r="N29">
        <f>IFERROR(LEFT(B29,FIND(" ",B29)-1),B29)</f>
        <v/>
      </c>
      <c r="O29">
        <f>AND(B29&lt;&gt;"",B29&lt;&gt;설정!$B$4,C29&lt;&gt;설정!$B$5)</f>
        <v/>
      </c>
      <c r="P29">
        <f>IF(O29,B29&amp;"|"&amp;C29,"")</f>
        <v/>
      </c>
      <c r="Q29">
        <f>AND(O29,COUNTIF(P30:P$1002,P29)=0)</f>
        <v/>
      </c>
      <c r="R29">
        <f>OR(AND(설정!$A$28&lt;&gt;"",ISNUMBER(SEARCH(설정!$A$28,E29&amp;" "&amp;C29))),AND(설정!$A$29&lt;&gt;"",ISNUMBER(SEARCH(설정!$A$29,E29&amp;" "&amp;C29))),AND(설정!$A$30&lt;&gt;"",ISNUMBER(SEARCH(설정!$A$30,E29&amp;" "&amp;C29))),AND(설정!$A$31&lt;&gt;"",ISNUMBER(SEARCH(설정!$A$31,E29&amp;" "&amp;C29))),AND(설정!$A$32&lt;&gt;"",ISNUMBER(SEARCH(설정!$A$32,E29&amp;" "&amp;C29))),AND(설정!$A$33&lt;&gt;"",ISNUMBER(SEARCH(설정!$A$33,E29&amp;" "&amp;C29))),AND(설정!$A$34&lt;&gt;"",ISNUMBER(SEARCH(설정!$A$34,E29&amp;" "&amp;C29))),AND(설정!$A$35&lt;&gt;"",ISNUMBER(SEARCH(설정!$A$35,E29&amp;" "&amp;C29))),AND(설정!$A$36&lt;&gt;"",ISNUMBER(SEARCH(설정!$A$36,E29&amp;" "&amp;C29))),AND(설정!$A$37&lt;&gt;"",ISNUMBER(SEARCH(설정!$A$37,E29&amp;" "&amp;C29))))</f>
        <v/>
      </c>
      <c r="S29">
        <f>OR(D29="",D29&gt;=설정!$B$19)</f>
        <v/>
      </c>
      <c r="T29">
        <f>AND(Q29,R29,S29)</f>
        <v/>
      </c>
      <c r="U29">
        <f>IF(T29,IF(AND(설정!$A$41&lt;&gt;"",ISNUMBER(SEARCH(설정!$A$41,K29))),설정!$B$41,IF(AND(설정!$A$42&lt;&gt;"",ISNUMBER(SEARCH(설정!$A$42,K29))),설정!$B$42,IF(AND(설정!$A$43&lt;&gt;"",ISNUMBER(SEARCH(설정!$A$43,K29))),설정!$B$43,IF(AND(설정!$A$44&lt;&gt;"",ISNUMBER(SEARCH(설정!$A$44,K29))),설정!$B$44,IF(AND(설정!$A$45&lt;&gt;"",ISNUMBER(SEARCH(설정!$A$45,K29))),설정!$B$45,IF(AND(설정!$A$46&lt;&gt;"",ISNUMBER(SEARCH(설정!$A$46,K29))),설정!$B$46,IF(AND(설정!$A$47&lt;&gt;"",ISNUMBER(SEARCH(설정!$A$47,K29))),설정!$B$47,IF(AND(설정!$A$48&lt;&gt;"",ISNUMBER(SEARCH(설정!$A$48,K29))),설정!$B$48,IF(M29="","설계사","시공사"))))))))),"")</f>
        <v/>
      </c>
      <c r="V29">
        <f>SUBSTITUTE(SUBSTITUTE(SUBSTITUTE(SUBSTITUTE(G29,"(주)",""),"㈜",""),"주식회사","")," ","")</f>
        <v/>
      </c>
      <c r="W29">
        <f>IF(AND(T29,V29&lt;&gt;""),IF(COUNTIFS(V$2:V29,V29,T$2:T29,TRUE)=1,MAX(W$1:W28)+1,""),"")</f>
        <v/>
      </c>
      <c r="X29">
        <f>IFERROR(INDEX('1.산군_붙여넣기'!$A$1:$AZ$1001,ROW(),설정!$C$14)&amp;"","")</f>
        <v/>
      </c>
      <c r="Y29">
        <f>IFERROR(INDEX('1.산군_붙여넣기'!$A$1:$AZ$1001,ROW(),설정!$C$15)&amp;"","")</f>
        <v/>
      </c>
      <c r="Z29">
        <f>IF(T29,V29&amp;"|"&amp;U29,"")</f>
        <v/>
      </c>
    </row>
    <row r="30">
      <c r="A30">
        <f>ROW()</f>
        <v/>
      </c>
      <c r="B30">
        <f>IFERROR(INDEX('1.산군_붙여넣기'!$A$1:$AZ$1001,ROW(),설정!$C$4)&amp;"","")</f>
        <v/>
      </c>
      <c r="C30">
        <f>IFERROR(INDEX('1.산군_붙여넣기'!$A$1:$AZ$1001,ROW(),설정!$C$5)&amp;"","")</f>
        <v/>
      </c>
      <c r="D30" s="5">
        <f>IFERROR(VALUE(SUBSTITUTE(SUBSTITUTE(SUBSTITUTE(IFERROR(INDEX('1.산군_붙여넣기'!$A$1:$AZ$1001,ROW(),설정!$C$6)&amp;"",""),",",""),"㎡",""),"m2","")),"")</f>
        <v/>
      </c>
      <c r="E30">
        <f>IFERROR(INDEX('1.산군_붙여넣기'!$A$1:$AZ$1001,ROW(),설정!$C$7)&amp;"","")</f>
        <v/>
      </c>
      <c r="F30">
        <f>IFERROR(INDEX('1.산군_붙여넣기'!$A$1:$AZ$1001,ROW(),설정!$C$8)&amp;"","")</f>
        <v/>
      </c>
      <c r="G30">
        <f>IFERROR(INDEX('1.산군_붙여넣기'!$A$1:$AZ$1001,ROW(),설정!$C$9)&amp;"","")</f>
        <v/>
      </c>
      <c r="H30">
        <f>IFERROR(INDEX('1.산군_붙여넣기'!$A$1:$AZ$1001,ROW(),설정!$C$10)&amp;"","")</f>
        <v/>
      </c>
      <c r="I30">
        <f>IFERROR(INDEX('1.산군_붙여넣기'!$A$1:$AZ$1001,ROW(),설정!$C$11)&amp;"","")</f>
        <v/>
      </c>
      <c r="J30">
        <f>IFERROR(INDEX('1.산군_붙여넣기'!$A$1:$AZ$1001,ROW(),설정!$C$12)&amp;"","")</f>
        <v/>
      </c>
      <c r="K30">
        <f>IFERROR(INDEX('1.산군_붙여넣기'!$A$1:$AZ$1001,ROW(),설정!$C$13)&amp;"","")</f>
        <v/>
      </c>
      <c r="L30" s="6">
        <f>IF(X30="","",IF(AND(LEN(X30)=8,ISNUMBER(X30*1)),DATE(LEFT(X30,4),MID(X30,5,2),RIGHT(X30,2)),IFERROR(DATEVALUE(SUBSTITUTE(SUBSTITUTE(X30,".","-"),"/","-")),IFERROR(X30*1,""))))</f>
        <v/>
      </c>
      <c r="M30" s="6">
        <f>IF(Y30="","",IF(AND(LEN(Y30)=8,ISNUMBER(Y30*1)),DATE(LEFT(Y30,4),MID(Y30,5,2),RIGHT(Y30,2)),IFERROR(DATEVALUE(SUBSTITUTE(SUBSTITUTE(Y30,".","-"),"/","-")),IFERROR(Y30*1,""))))</f>
        <v/>
      </c>
      <c r="N30">
        <f>IFERROR(LEFT(B30,FIND(" ",B30)-1),B30)</f>
        <v/>
      </c>
      <c r="O30">
        <f>AND(B30&lt;&gt;"",B30&lt;&gt;설정!$B$4,C30&lt;&gt;설정!$B$5)</f>
        <v/>
      </c>
      <c r="P30">
        <f>IF(O30,B30&amp;"|"&amp;C30,"")</f>
        <v/>
      </c>
      <c r="Q30">
        <f>AND(O30,COUNTIF(P31:P$1002,P30)=0)</f>
        <v/>
      </c>
      <c r="R30">
        <f>OR(AND(설정!$A$28&lt;&gt;"",ISNUMBER(SEARCH(설정!$A$28,E30&amp;" "&amp;C30))),AND(설정!$A$29&lt;&gt;"",ISNUMBER(SEARCH(설정!$A$29,E30&amp;" "&amp;C30))),AND(설정!$A$30&lt;&gt;"",ISNUMBER(SEARCH(설정!$A$30,E30&amp;" "&amp;C30))),AND(설정!$A$31&lt;&gt;"",ISNUMBER(SEARCH(설정!$A$31,E30&amp;" "&amp;C30))),AND(설정!$A$32&lt;&gt;"",ISNUMBER(SEARCH(설정!$A$32,E30&amp;" "&amp;C30))),AND(설정!$A$33&lt;&gt;"",ISNUMBER(SEARCH(설정!$A$33,E30&amp;" "&amp;C30))),AND(설정!$A$34&lt;&gt;"",ISNUMBER(SEARCH(설정!$A$34,E30&amp;" "&amp;C30))),AND(설정!$A$35&lt;&gt;"",ISNUMBER(SEARCH(설정!$A$35,E30&amp;" "&amp;C30))),AND(설정!$A$36&lt;&gt;"",ISNUMBER(SEARCH(설정!$A$36,E30&amp;" "&amp;C30))),AND(설정!$A$37&lt;&gt;"",ISNUMBER(SEARCH(설정!$A$37,E30&amp;" "&amp;C30))))</f>
        <v/>
      </c>
      <c r="S30">
        <f>OR(D30="",D30&gt;=설정!$B$19)</f>
        <v/>
      </c>
      <c r="T30">
        <f>AND(Q30,R30,S30)</f>
        <v/>
      </c>
      <c r="U30">
        <f>IF(T30,IF(AND(설정!$A$41&lt;&gt;"",ISNUMBER(SEARCH(설정!$A$41,K30))),설정!$B$41,IF(AND(설정!$A$42&lt;&gt;"",ISNUMBER(SEARCH(설정!$A$42,K30))),설정!$B$42,IF(AND(설정!$A$43&lt;&gt;"",ISNUMBER(SEARCH(설정!$A$43,K30))),설정!$B$43,IF(AND(설정!$A$44&lt;&gt;"",ISNUMBER(SEARCH(설정!$A$44,K30))),설정!$B$44,IF(AND(설정!$A$45&lt;&gt;"",ISNUMBER(SEARCH(설정!$A$45,K30))),설정!$B$45,IF(AND(설정!$A$46&lt;&gt;"",ISNUMBER(SEARCH(설정!$A$46,K30))),설정!$B$46,IF(AND(설정!$A$47&lt;&gt;"",ISNUMBER(SEARCH(설정!$A$47,K30))),설정!$B$47,IF(AND(설정!$A$48&lt;&gt;"",ISNUMBER(SEARCH(설정!$A$48,K30))),설정!$B$48,IF(M30="","설계사","시공사"))))))))),"")</f>
        <v/>
      </c>
      <c r="V30">
        <f>SUBSTITUTE(SUBSTITUTE(SUBSTITUTE(SUBSTITUTE(G30,"(주)",""),"㈜",""),"주식회사","")," ","")</f>
        <v/>
      </c>
      <c r="W30">
        <f>IF(AND(T30,V30&lt;&gt;""),IF(COUNTIFS(V$2:V30,V30,T$2:T30,TRUE)=1,MAX(W$1:W29)+1,""),"")</f>
        <v/>
      </c>
      <c r="X30">
        <f>IFERROR(INDEX('1.산군_붙여넣기'!$A$1:$AZ$1001,ROW(),설정!$C$14)&amp;"","")</f>
        <v/>
      </c>
      <c r="Y30">
        <f>IFERROR(INDEX('1.산군_붙여넣기'!$A$1:$AZ$1001,ROW(),설정!$C$15)&amp;"","")</f>
        <v/>
      </c>
      <c r="Z30">
        <f>IF(T30,V30&amp;"|"&amp;U30,"")</f>
        <v/>
      </c>
    </row>
    <row r="31">
      <c r="A31">
        <f>ROW()</f>
        <v/>
      </c>
      <c r="B31">
        <f>IFERROR(INDEX('1.산군_붙여넣기'!$A$1:$AZ$1001,ROW(),설정!$C$4)&amp;"","")</f>
        <v/>
      </c>
      <c r="C31">
        <f>IFERROR(INDEX('1.산군_붙여넣기'!$A$1:$AZ$1001,ROW(),설정!$C$5)&amp;"","")</f>
        <v/>
      </c>
      <c r="D31" s="5">
        <f>IFERROR(VALUE(SUBSTITUTE(SUBSTITUTE(SUBSTITUTE(IFERROR(INDEX('1.산군_붙여넣기'!$A$1:$AZ$1001,ROW(),설정!$C$6)&amp;"",""),",",""),"㎡",""),"m2","")),"")</f>
        <v/>
      </c>
      <c r="E31">
        <f>IFERROR(INDEX('1.산군_붙여넣기'!$A$1:$AZ$1001,ROW(),설정!$C$7)&amp;"","")</f>
        <v/>
      </c>
      <c r="F31">
        <f>IFERROR(INDEX('1.산군_붙여넣기'!$A$1:$AZ$1001,ROW(),설정!$C$8)&amp;"","")</f>
        <v/>
      </c>
      <c r="G31">
        <f>IFERROR(INDEX('1.산군_붙여넣기'!$A$1:$AZ$1001,ROW(),설정!$C$9)&amp;"","")</f>
        <v/>
      </c>
      <c r="H31">
        <f>IFERROR(INDEX('1.산군_붙여넣기'!$A$1:$AZ$1001,ROW(),설정!$C$10)&amp;"","")</f>
        <v/>
      </c>
      <c r="I31">
        <f>IFERROR(INDEX('1.산군_붙여넣기'!$A$1:$AZ$1001,ROW(),설정!$C$11)&amp;"","")</f>
        <v/>
      </c>
      <c r="J31">
        <f>IFERROR(INDEX('1.산군_붙여넣기'!$A$1:$AZ$1001,ROW(),설정!$C$12)&amp;"","")</f>
        <v/>
      </c>
      <c r="K31">
        <f>IFERROR(INDEX('1.산군_붙여넣기'!$A$1:$AZ$1001,ROW(),설정!$C$13)&amp;"","")</f>
        <v/>
      </c>
      <c r="L31" s="6">
        <f>IF(X31="","",IF(AND(LEN(X31)=8,ISNUMBER(X31*1)),DATE(LEFT(X31,4),MID(X31,5,2),RIGHT(X31,2)),IFERROR(DATEVALUE(SUBSTITUTE(SUBSTITUTE(X31,".","-"),"/","-")),IFERROR(X31*1,""))))</f>
        <v/>
      </c>
      <c r="M31" s="6">
        <f>IF(Y31="","",IF(AND(LEN(Y31)=8,ISNUMBER(Y31*1)),DATE(LEFT(Y31,4),MID(Y31,5,2),RIGHT(Y31,2)),IFERROR(DATEVALUE(SUBSTITUTE(SUBSTITUTE(Y31,".","-"),"/","-")),IFERROR(Y31*1,""))))</f>
        <v/>
      </c>
      <c r="N31">
        <f>IFERROR(LEFT(B31,FIND(" ",B31)-1),B31)</f>
        <v/>
      </c>
      <c r="O31">
        <f>AND(B31&lt;&gt;"",B31&lt;&gt;설정!$B$4,C31&lt;&gt;설정!$B$5)</f>
        <v/>
      </c>
      <c r="P31">
        <f>IF(O31,B31&amp;"|"&amp;C31,"")</f>
        <v/>
      </c>
      <c r="Q31">
        <f>AND(O31,COUNTIF(P32:P$1002,P31)=0)</f>
        <v/>
      </c>
      <c r="R31">
        <f>OR(AND(설정!$A$28&lt;&gt;"",ISNUMBER(SEARCH(설정!$A$28,E31&amp;" "&amp;C31))),AND(설정!$A$29&lt;&gt;"",ISNUMBER(SEARCH(설정!$A$29,E31&amp;" "&amp;C31))),AND(설정!$A$30&lt;&gt;"",ISNUMBER(SEARCH(설정!$A$30,E31&amp;" "&amp;C31))),AND(설정!$A$31&lt;&gt;"",ISNUMBER(SEARCH(설정!$A$31,E31&amp;" "&amp;C31))),AND(설정!$A$32&lt;&gt;"",ISNUMBER(SEARCH(설정!$A$32,E31&amp;" "&amp;C31))),AND(설정!$A$33&lt;&gt;"",ISNUMBER(SEARCH(설정!$A$33,E31&amp;" "&amp;C31))),AND(설정!$A$34&lt;&gt;"",ISNUMBER(SEARCH(설정!$A$34,E31&amp;" "&amp;C31))),AND(설정!$A$35&lt;&gt;"",ISNUMBER(SEARCH(설정!$A$35,E31&amp;" "&amp;C31))),AND(설정!$A$36&lt;&gt;"",ISNUMBER(SEARCH(설정!$A$36,E31&amp;" "&amp;C31))),AND(설정!$A$37&lt;&gt;"",ISNUMBER(SEARCH(설정!$A$37,E31&amp;" "&amp;C31))))</f>
        <v/>
      </c>
      <c r="S31">
        <f>OR(D31="",D31&gt;=설정!$B$19)</f>
        <v/>
      </c>
      <c r="T31">
        <f>AND(Q31,R31,S31)</f>
        <v/>
      </c>
      <c r="U31">
        <f>IF(T31,IF(AND(설정!$A$41&lt;&gt;"",ISNUMBER(SEARCH(설정!$A$41,K31))),설정!$B$41,IF(AND(설정!$A$42&lt;&gt;"",ISNUMBER(SEARCH(설정!$A$42,K31))),설정!$B$42,IF(AND(설정!$A$43&lt;&gt;"",ISNUMBER(SEARCH(설정!$A$43,K31))),설정!$B$43,IF(AND(설정!$A$44&lt;&gt;"",ISNUMBER(SEARCH(설정!$A$44,K31))),설정!$B$44,IF(AND(설정!$A$45&lt;&gt;"",ISNUMBER(SEARCH(설정!$A$45,K31))),설정!$B$45,IF(AND(설정!$A$46&lt;&gt;"",ISNUMBER(SEARCH(설정!$A$46,K31))),설정!$B$46,IF(AND(설정!$A$47&lt;&gt;"",ISNUMBER(SEARCH(설정!$A$47,K31))),설정!$B$47,IF(AND(설정!$A$48&lt;&gt;"",ISNUMBER(SEARCH(설정!$A$48,K31))),설정!$B$48,IF(M31="","설계사","시공사"))))))))),"")</f>
        <v/>
      </c>
      <c r="V31">
        <f>SUBSTITUTE(SUBSTITUTE(SUBSTITUTE(SUBSTITUTE(G31,"(주)",""),"㈜",""),"주식회사","")," ","")</f>
        <v/>
      </c>
      <c r="W31">
        <f>IF(AND(T31,V31&lt;&gt;""),IF(COUNTIFS(V$2:V31,V31,T$2:T31,TRUE)=1,MAX(W$1:W30)+1,""),"")</f>
        <v/>
      </c>
      <c r="X31">
        <f>IFERROR(INDEX('1.산군_붙여넣기'!$A$1:$AZ$1001,ROW(),설정!$C$14)&amp;"","")</f>
        <v/>
      </c>
      <c r="Y31">
        <f>IFERROR(INDEX('1.산군_붙여넣기'!$A$1:$AZ$1001,ROW(),설정!$C$15)&amp;"","")</f>
        <v/>
      </c>
      <c r="Z31">
        <f>IF(T31,V31&amp;"|"&amp;U31,"")</f>
        <v/>
      </c>
    </row>
    <row r="32">
      <c r="A32">
        <f>ROW()</f>
        <v/>
      </c>
      <c r="B32">
        <f>IFERROR(INDEX('1.산군_붙여넣기'!$A$1:$AZ$1001,ROW(),설정!$C$4)&amp;"","")</f>
        <v/>
      </c>
      <c r="C32">
        <f>IFERROR(INDEX('1.산군_붙여넣기'!$A$1:$AZ$1001,ROW(),설정!$C$5)&amp;"","")</f>
        <v/>
      </c>
      <c r="D32" s="5">
        <f>IFERROR(VALUE(SUBSTITUTE(SUBSTITUTE(SUBSTITUTE(IFERROR(INDEX('1.산군_붙여넣기'!$A$1:$AZ$1001,ROW(),설정!$C$6)&amp;"",""),",",""),"㎡",""),"m2","")),"")</f>
        <v/>
      </c>
      <c r="E32">
        <f>IFERROR(INDEX('1.산군_붙여넣기'!$A$1:$AZ$1001,ROW(),설정!$C$7)&amp;"","")</f>
        <v/>
      </c>
      <c r="F32">
        <f>IFERROR(INDEX('1.산군_붙여넣기'!$A$1:$AZ$1001,ROW(),설정!$C$8)&amp;"","")</f>
        <v/>
      </c>
      <c r="G32">
        <f>IFERROR(INDEX('1.산군_붙여넣기'!$A$1:$AZ$1001,ROW(),설정!$C$9)&amp;"","")</f>
        <v/>
      </c>
      <c r="H32">
        <f>IFERROR(INDEX('1.산군_붙여넣기'!$A$1:$AZ$1001,ROW(),설정!$C$10)&amp;"","")</f>
        <v/>
      </c>
      <c r="I32">
        <f>IFERROR(INDEX('1.산군_붙여넣기'!$A$1:$AZ$1001,ROW(),설정!$C$11)&amp;"","")</f>
        <v/>
      </c>
      <c r="J32">
        <f>IFERROR(INDEX('1.산군_붙여넣기'!$A$1:$AZ$1001,ROW(),설정!$C$12)&amp;"","")</f>
        <v/>
      </c>
      <c r="K32">
        <f>IFERROR(INDEX('1.산군_붙여넣기'!$A$1:$AZ$1001,ROW(),설정!$C$13)&amp;"","")</f>
        <v/>
      </c>
      <c r="L32" s="6">
        <f>IF(X32="","",IF(AND(LEN(X32)=8,ISNUMBER(X32*1)),DATE(LEFT(X32,4),MID(X32,5,2),RIGHT(X32,2)),IFERROR(DATEVALUE(SUBSTITUTE(SUBSTITUTE(X32,".","-"),"/","-")),IFERROR(X32*1,""))))</f>
        <v/>
      </c>
      <c r="M32" s="6">
        <f>IF(Y32="","",IF(AND(LEN(Y32)=8,ISNUMBER(Y32*1)),DATE(LEFT(Y32,4),MID(Y32,5,2),RIGHT(Y32,2)),IFERROR(DATEVALUE(SUBSTITUTE(SUBSTITUTE(Y32,".","-"),"/","-")),IFERROR(Y32*1,""))))</f>
        <v/>
      </c>
      <c r="N32">
        <f>IFERROR(LEFT(B32,FIND(" ",B32)-1),B32)</f>
        <v/>
      </c>
      <c r="O32">
        <f>AND(B32&lt;&gt;"",B32&lt;&gt;설정!$B$4,C32&lt;&gt;설정!$B$5)</f>
        <v/>
      </c>
      <c r="P32">
        <f>IF(O32,B32&amp;"|"&amp;C32,"")</f>
        <v/>
      </c>
      <c r="Q32">
        <f>AND(O32,COUNTIF(P33:P$1002,P32)=0)</f>
        <v/>
      </c>
      <c r="R32">
        <f>OR(AND(설정!$A$28&lt;&gt;"",ISNUMBER(SEARCH(설정!$A$28,E32&amp;" "&amp;C32))),AND(설정!$A$29&lt;&gt;"",ISNUMBER(SEARCH(설정!$A$29,E32&amp;" "&amp;C32))),AND(설정!$A$30&lt;&gt;"",ISNUMBER(SEARCH(설정!$A$30,E32&amp;" "&amp;C32))),AND(설정!$A$31&lt;&gt;"",ISNUMBER(SEARCH(설정!$A$31,E32&amp;" "&amp;C32))),AND(설정!$A$32&lt;&gt;"",ISNUMBER(SEARCH(설정!$A$32,E32&amp;" "&amp;C32))),AND(설정!$A$33&lt;&gt;"",ISNUMBER(SEARCH(설정!$A$33,E32&amp;" "&amp;C32))),AND(설정!$A$34&lt;&gt;"",ISNUMBER(SEARCH(설정!$A$34,E32&amp;" "&amp;C32))),AND(설정!$A$35&lt;&gt;"",ISNUMBER(SEARCH(설정!$A$35,E32&amp;" "&amp;C32))),AND(설정!$A$36&lt;&gt;"",ISNUMBER(SEARCH(설정!$A$36,E32&amp;" "&amp;C32))),AND(설정!$A$37&lt;&gt;"",ISNUMBER(SEARCH(설정!$A$37,E32&amp;" "&amp;C32))))</f>
        <v/>
      </c>
      <c r="S32">
        <f>OR(D32="",D32&gt;=설정!$B$19)</f>
        <v/>
      </c>
      <c r="T32">
        <f>AND(Q32,R32,S32)</f>
        <v/>
      </c>
      <c r="U32">
        <f>IF(T32,IF(AND(설정!$A$41&lt;&gt;"",ISNUMBER(SEARCH(설정!$A$41,K32))),설정!$B$41,IF(AND(설정!$A$42&lt;&gt;"",ISNUMBER(SEARCH(설정!$A$42,K32))),설정!$B$42,IF(AND(설정!$A$43&lt;&gt;"",ISNUMBER(SEARCH(설정!$A$43,K32))),설정!$B$43,IF(AND(설정!$A$44&lt;&gt;"",ISNUMBER(SEARCH(설정!$A$44,K32))),설정!$B$44,IF(AND(설정!$A$45&lt;&gt;"",ISNUMBER(SEARCH(설정!$A$45,K32))),설정!$B$45,IF(AND(설정!$A$46&lt;&gt;"",ISNUMBER(SEARCH(설정!$A$46,K32))),설정!$B$46,IF(AND(설정!$A$47&lt;&gt;"",ISNUMBER(SEARCH(설정!$A$47,K32))),설정!$B$47,IF(AND(설정!$A$48&lt;&gt;"",ISNUMBER(SEARCH(설정!$A$48,K32))),설정!$B$48,IF(M32="","설계사","시공사"))))))))),"")</f>
        <v/>
      </c>
      <c r="V32">
        <f>SUBSTITUTE(SUBSTITUTE(SUBSTITUTE(SUBSTITUTE(G32,"(주)",""),"㈜",""),"주식회사","")," ","")</f>
        <v/>
      </c>
      <c r="W32">
        <f>IF(AND(T32,V32&lt;&gt;""),IF(COUNTIFS(V$2:V32,V32,T$2:T32,TRUE)=1,MAX(W$1:W31)+1,""),"")</f>
        <v/>
      </c>
      <c r="X32">
        <f>IFERROR(INDEX('1.산군_붙여넣기'!$A$1:$AZ$1001,ROW(),설정!$C$14)&amp;"","")</f>
        <v/>
      </c>
      <c r="Y32">
        <f>IFERROR(INDEX('1.산군_붙여넣기'!$A$1:$AZ$1001,ROW(),설정!$C$15)&amp;"","")</f>
        <v/>
      </c>
      <c r="Z32">
        <f>IF(T32,V32&amp;"|"&amp;U32,"")</f>
        <v/>
      </c>
    </row>
    <row r="33">
      <c r="A33">
        <f>ROW()</f>
        <v/>
      </c>
      <c r="B33">
        <f>IFERROR(INDEX('1.산군_붙여넣기'!$A$1:$AZ$1001,ROW(),설정!$C$4)&amp;"","")</f>
        <v/>
      </c>
      <c r="C33">
        <f>IFERROR(INDEX('1.산군_붙여넣기'!$A$1:$AZ$1001,ROW(),설정!$C$5)&amp;"","")</f>
        <v/>
      </c>
      <c r="D33" s="5">
        <f>IFERROR(VALUE(SUBSTITUTE(SUBSTITUTE(SUBSTITUTE(IFERROR(INDEX('1.산군_붙여넣기'!$A$1:$AZ$1001,ROW(),설정!$C$6)&amp;"",""),",",""),"㎡",""),"m2","")),"")</f>
        <v/>
      </c>
      <c r="E33">
        <f>IFERROR(INDEX('1.산군_붙여넣기'!$A$1:$AZ$1001,ROW(),설정!$C$7)&amp;"","")</f>
        <v/>
      </c>
      <c r="F33">
        <f>IFERROR(INDEX('1.산군_붙여넣기'!$A$1:$AZ$1001,ROW(),설정!$C$8)&amp;"","")</f>
        <v/>
      </c>
      <c r="G33">
        <f>IFERROR(INDEX('1.산군_붙여넣기'!$A$1:$AZ$1001,ROW(),설정!$C$9)&amp;"","")</f>
        <v/>
      </c>
      <c r="H33">
        <f>IFERROR(INDEX('1.산군_붙여넣기'!$A$1:$AZ$1001,ROW(),설정!$C$10)&amp;"","")</f>
        <v/>
      </c>
      <c r="I33">
        <f>IFERROR(INDEX('1.산군_붙여넣기'!$A$1:$AZ$1001,ROW(),설정!$C$11)&amp;"","")</f>
        <v/>
      </c>
      <c r="J33">
        <f>IFERROR(INDEX('1.산군_붙여넣기'!$A$1:$AZ$1001,ROW(),설정!$C$12)&amp;"","")</f>
        <v/>
      </c>
      <c r="K33">
        <f>IFERROR(INDEX('1.산군_붙여넣기'!$A$1:$AZ$1001,ROW(),설정!$C$13)&amp;"","")</f>
        <v/>
      </c>
      <c r="L33" s="6">
        <f>IF(X33="","",IF(AND(LEN(X33)=8,ISNUMBER(X33*1)),DATE(LEFT(X33,4),MID(X33,5,2),RIGHT(X33,2)),IFERROR(DATEVALUE(SUBSTITUTE(SUBSTITUTE(X33,".","-"),"/","-")),IFERROR(X33*1,""))))</f>
        <v/>
      </c>
      <c r="M33" s="6">
        <f>IF(Y33="","",IF(AND(LEN(Y33)=8,ISNUMBER(Y33*1)),DATE(LEFT(Y33,4),MID(Y33,5,2),RIGHT(Y33,2)),IFERROR(DATEVALUE(SUBSTITUTE(SUBSTITUTE(Y33,".","-"),"/","-")),IFERROR(Y33*1,""))))</f>
        <v/>
      </c>
      <c r="N33">
        <f>IFERROR(LEFT(B33,FIND(" ",B33)-1),B33)</f>
        <v/>
      </c>
      <c r="O33">
        <f>AND(B33&lt;&gt;"",B33&lt;&gt;설정!$B$4,C33&lt;&gt;설정!$B$5)</f>
        <v/>
      </c>
      <c r="P33">
        <f>IF(O33,B33&amp;"|"&amp;C33,"")</f>
        <v/>
      </c>
      <c r="Q33">
        <f>AND(O33,COUNTIF(P34:P$1002,P33)=0)</f>
        <v/>
      </c>
      <c r="R33">
        <f>OR(AND(설정!$A$28&lt;&gt;"",ISNUMBER(SEARCH(설정!$A$28,E33&amp;" "&amp;C33))),AND(설정!$A$29&lt;&gt;"",ISNUMBER(SEARCH(설정!$A$29,E33&amp;" "&amp;C33))),AND(설정!$A$30&lt;&gt;"",ISNUMBER(SEARCH(설정!$A$30,E33&amp;" "&amp;C33))),AND(설정!$A$31&lt;&gt;"",ISNUMBER(SEARCH(설정!$A$31,E33&amp;" "&amp;C33))),AND(설정!$A$32&lt;&gt;"",ISNUMBER(SEARCH(설정!$A$32,E33&amp;" "&amp;C33))),AND(설정!$A$33&lt;&gt;"",ISNUMBER(SEARCH(설정!$A$33,E33&amp;" "&amp;C33))),AND(설정!$A$34&lt;&gt;"",ISNUMBER(SEARCH(설정!$A$34,E33&amp;" "&amp;C33))),AND(설정!$A$35&lt;&gt;"",ISNUMBER(SEARCH(설정!$A$35,E33&amp;" "&amp;C33))),AND(설정!$A$36&lt;&gt;"",ISNUMBER(SEARCH(설정!$A$36,E33&amp;" "&amp;C33))),AND(설정!$A$37&lt;&gt;"",ISNUMBER(SEARCH(설정!$A$37,E33&amp;" "&amp;C33))))</f>
        <v/>
      </c>
      <c r="S33">
        <f>OR(D33="",D33&gt;=설정!$B$19)</f>
        <v/>
      </c>
      <c r="T33">
        <f>AND(Q33,R33,S33)</f>
        <v/>
      </c>
      <c r="U33">
        <f>IF(T33,IF(AND(설정!$A$41&lt;&gt;"",ISNUMBER(SEARCH(설정!$A$41,K33))),설정!$B$41,IF(AND(설정!$A$42&lt;&gt;"",ISNUMBER(SEARCH(설정!$A$42,K33))),설정!$B$42,IF(AND(설정!$A$43&lt;&gt;"",ISNUMBER(SEARCH(설정!$A$43,K33))),설정!$B$43,IF(AND(설정!$A$44&lt;&gt;"",ISNUMBER(SEARCH(설정!$A$44,K33))),설정!$B$44,IF(AND(설정!$A$45&lt;&gt;"",ISNUMBER(SEARCH(설정!$A$45,K33))),설정!$B$45,IF(AND(설정!$A$46&lt;&gt;"",ISNUMBER(SEARCH(설정!$A$46,K33))),설정!$B$46,IF(AND(설정!$A$47&lt;&gt;"",ISNUMBER(SEARCH(설정!$A$47,K33))),설정!$B$47,IF(AND(설정!$A$48&lt;&gt;"",ISNUMBER(SEARCH(설정!$A$48,K33))),설정!$B$48,IF(M33="","설계사","시공사"))))))))),"")</f>
        <v/>
      </c>
      <c r="V33">
        <f>SUBSTITUTE(SUBSTITUTE(SUBSTITUTE(SUBSTITUTE(G33,"(주)",""),"㈜",""),"주식회사","")," ","")</f>
        <v/>
      </c>
      <c r="W33">
        <f>IF(AND(T33,V33&lt;&gt;""),IF(COUNTIFS(V$2:V33,V33,T$2:T33,TRUE)=1,MAX(W$1:W32)+1,""),"")</f>
        <v/>
      </c>
      <c r="X33">
        <f>IFERROR(INDEX('1.산군_붙여넣기'!$A$1:$AZ$1001,ROW(),설정!$C$14)&amp;"","")</f>
        <v/>
      </c>
      <c r="Y33">
        <f>IFERROR(INDEX('1.산군_붙여넣기'!$A$1:$AZ$1001,ROW(),설정!$C$15)&amp;"","")</f>
        <v/>
      </c>
      <c r="Z33">
        <f>IF(T33,V33&amp;"|"&amp;U33,"")</f>
        <v/>
      </c>
    </row>
    <row r="34">
      <c r="A34">
        <f>ROW()</f>
        <v/>
      </c>
      <c r="B34">
        <f>IFERROR(INDEX('1.산군_붙여넣기'!$A$1:$AZ$1001,ROW(),설정!$C$4)&amp;"","")</f>
        <v/>
      </c>
      <c r="C34">
        <f>IFERROR(INDEX('1.산군_붙여넣기'!$A$1:$AZ$1001,ROW(),설정!$C$5)&amp;"","")</f>
        <v/>
      </c>
      <c r="D34" s="5">
        <f>IFERROR(VALUE(SUBSTITUTE(SUBSTITUTE(SUBSTITUTE(IFERROR(INDEX('1.산군_붙여넣기'!$A$1:$AZ$1001,ROW(),설정!$C$6)&amp;"",""),",",""),"㎡",""),"m2","")),"")</f>
        <v/>
      </c>
      <c r="E34">
        <f>IFERROR(INDEX('1.산군_붙여넣기'!$A$1:$AZ$1001,ROW(),설정!$C$7)&amp;"","")</f>
        <v/>
      </c>
      <c r="F34">
        <f>IFERROR(INDEX('1.산군_붙여넣기'!$A$1:$AZ$1001,ROW(),설정!$C$8)&amp;"","")</f>
        <v/>
      </c>
      <c r="G34">
        <f>IFERROR(INDEX('1.산군_붙여넣기'!$A$1:$AZ$1001,ROW(),설정!$C$9)&amp;"","")</f>
        <v/>
      </c>
      <c r="H34">
        <f>IFERROR(INDEX('1.산군_붙여넣기'!$A$1:$AZ$1001,ROW(),설정!$C$10)&amp;"","")</f>
        <v/>
      </c>
      <c r="I34">
        <f>IFERROR(INDEX('1.산군_붙여넣기'!$A$1:$AZ$1001,ROW(),설정!$C$11)&amp;"","")</f>
        <v/>
      </c>
      <c r="J34">
        <f>IFERROR(INDEX('1.산군_붙여넣기'!$A$1:$AZ$1001,ROW(),설정!$C$12)&amp;"","")</f>
        <v/>
      </c>
      <c r="K34">
        <f>IFERROR(INDEX('1.산군_붙여넣기'!$A$1:$AZ$1001,ROW(),설정!$C$13)&amp;"","")</f>
        <v/>
      </c>
      <c r="L34" s="6">
        <f>IF(X34="","",IF(AND(LEN(X34)=8,ISNUMBER(X34*1)),DATE(LEFT(X34,4),MID(X34,5,2),RIGHT(X34,2)),IFERROR(DATEVALUE(SUBSTITUTE(SUBSTITUTE(X34,".","-"),"/","-")),IFERROR(X34*1,""))))</f>
        <v/>
      </c>
      <c r="M34" s="6">
        <f>IF(Y34="","",IF(AND(LEN(Y34)=8,ISNUMBER(Y34*1)),DATE(LEFT(Y34,4),MID(Y34,5,2),RIGHT(Y34,2)),IFERROR(DATEVALUE(SUBSTITUTE(SUBSTITUTE(Y34,".","-"),"/","-")),IFERROR(Y34*1,""))))</f>
        <v/>
      </c>
      <c r="N34">
        <f>IFERROR(LEFT(B34,FIND(" ",B34)-1),B34)</f>
        <v/>
      </c>
      <c r="O34">
        <f>AND(B34&lt;&gt;"",B34&lt;&gt;설정!$B$4,C34&lt;&gt;설정!$B$5)</f>
        <v/>
      </c>
      <c r="P34">
        <f>IF(O34,B34&amp;"|"&amp;C34,"")</f>
        <v/>
      </c>
      <c r="Q34">
        <f>AND(O34,COUNTIF(P35:P$1002,P34)=0)</f>
        <v/>
      </c>
      <c r="R34">
        <f>OR(AND(설정!$A$28&lt;&gt;"",ISNUMBER(SEARCH(설정!$A$28,E34&amp;" "&amp;C34))),AND(설정!$A$29&lt;&gt;"",ISNUMBER(SEARCH(설정!$A$29,E34&amp;" "&amp;C34))),AND(설정!$A$30&lt;&gt;"",ISNUMBER(SEARCH(설정!$A$30,E34&amp;" "&amp;C34))),AND(설정!$A$31&lt;&gt;"",ISNUMBER(SEARCH(설정!$A$31,E34&amp;" "&amp;C34))),AND(설정!$A$32&lt;&gt;"",ISNUMBER(SEARCH(설정!$A$32,E34&amp;" "&amp;C34))),AND(설정!$A$33&lt;&gt;"",ISNUMBER(SEARCH(설정!$A$33,E34&amp;" "&amp;C34))),AND(설정!$A$34&lt;&gt;"",ISNUMBER(SEARCH(설정!$A$34,E34&amp;" "&amp;C34))),AND(설정!$A$35&lt;&gt;"",ISNUMBER(SEARCH(설정!$A$35,E34&amp;" "&amp;C34))),AND(설정!$A$36&lt;&gt;"",ISNUMBER(SEARCH(설정!$A$36,E34&amp;" "&amp;C34))),AND(설정!$A$37&lt;&gt;"",ISNUMBER(SEARCH(설정!$A$37,E34&amp;" "&amp;C34))))</f>
        <v/>
      </c>
      <c r="S34">
        <f>OR(D34="",D34&gt;=설정!$B$19)</f>
        <v/>
      </c>
      <c r="T34">
        <f>AND(Q34,R34,S34)</f>
        <v/>
      </c>
      <c r="U34">
        <f>IF(T34,IF(AND(설정!$A$41&lt;&gt;"",ISNUMBER(SEARCH(설정!$A$41,K34))),설정!$B$41,IF(AND(설정!$A$42&lt;&gt;"",ISNUMBER(SEARCH(설정!$A$42,K34))),설정!$B$42,IF(AND(설정!$A$43&lt;&gt;"",ISNUMBER(SEARCH(설정!$A$43,K34))),설정!$B$43,IF(AND(설정!$A$44&lt;&gt;"",ISNUMBER(SEARCH(설정!$A$44,K34))),설정!$B$44,IF(AND(설정!$A$45&lt;&gt;"",ISNUMBER(SEARCH(설정!$A$45,K34))),설정!$B$45,IF(AND(설정!$A$46&lt;&gt;"",ISNUMBER(SEARCH(설정!$A$46,K34))),설정!$B$46,IF(AND(설정!$A$47&lt;&gt;"",ISNUMBER(SEARCH(설정!$A$47,K34))),설정!$B$47,IF(AND(설정!$A$48&lt;&gt;"",ISNUMBER(SEARCH(설정!$A$48,K34))),설정!$B$48,IF(M34="","설계사","시공사"))))))))),"")</f>
        <v/>
      </c>
      <c r="V34">
        <f>SUBSTITUTE(SUBSTITUTE(SUBSTITUTE(SUBSTITUTE(G34,"(주)",""),"㈜",""),"주식회사","")," ","")</f>
        <v/>
      </c>
      <c r="W34">
        <f>IF(AND(T34,V34&lt;&gt;""),IF(COUNTIFS(V$2:V34,V34,T$2:T34,TRUE)=1,MAX(W$1:W33)+1,""),"")</f>
        <v/>
      </c>
      <c r="X34">
        <f>IFERROR(INDEX('1.산군_붙여넣기'!$A$1:$AZ$1001,ROW(),설정!$C$14)&amp;"","")</f>
        <v/>
      </c>
      <c r="Y34">
        <f>IFERROR(INDEX('1.산군_붙여넣기'!$A$1:$AZ$1001,ROW(),설정!$C$15)&amp;"","")</f>
        <v/>
      </c>
      <c r="Z34">
        <f>IF(T34,V34&amp;"|"&amp;U34,"")</f>
        <v/>
      </c>
    </row>
    <row r="35">
      <c r="A35">
        <f>ROW()</f>
        <v/>
      </c>
      <c r="B35">
        <f>IFERROR(INDEX('1.산군_붙여넣기'!$A$1:$AZ$1001,ROW(),설정!$C$4)&amp;"","")</f>
        <v/>
      </c>
      <c r="C35">
        <f>IFERROR(INDEX('1.산군_붙여넣기'!$A$1:$AZ$1001,ROW(),설정!$C$5)&amp;"","")</f>
        <v/>
      </c>
      <c r="D35" s="5">
        <f>IFERROR(VALUE(SUBSTITUTE(SUBSTITUTE(SUBSTITUTE(IFERROR(INDEX('1.산군_붙여넣기'!$A$1:$AZ$1001,ROW(),설정!$C$6)&amp;"",""),",",""),"㎡",""),"m2","")),"")</f>
        <v/>
      </c>
      <c r="E35">
        <f>IFERROR(INDEX('1.산군_붙여넣기'!$A$1:$AZ$1001,ROW(),설정!$C$7)&amp;"","")</f>
        <v/>
      </c>
      <c r="F35">
        <f>IFERROR(INDEX('1.산군_붙여넣기'!$A$1:$AZ$1001,ROW(),설정!$C$8)&amp;"","")</f>
        <v/>
      </c>
      <c r="G35">
        <f>IFERROR(INDEX('1.산군_붙여넣기'!$A$1:$AZ$1001,ROW(),설정!$C$9)&amp;"","")</f>
        <v/>
      </c>
      <c r="H35">
        <f>IFERROR(INDEX('1.산군_붙여넣기'!$A$1:$AZ$1001,ROW(),설정!$C$10)&amp;"","")</f>
        <v/>
      </c>
      <c r="I35">
        <f>IFERROR(INDEX('1.산군_붙여넣기'!$A$1:$AZ$1001,ROW(),설정!$C$11)&amp;"","")</f>
        <v/>
      </c>
      <c r="J35">
        <f>IFERROR(INDEX('1.산군_붙여넣기'!$A$1:$AZ$1001,ROW(),설정!$C$12)&amp;"","")</f>
        <v/>
      </c>
      <c r="K35">
        <f>IFERROR(INDEX('1.산군_붙여넣기'!$A$1:$AZ$1001,ROW(),설정!$C$13)&amp;"","")</f>
        <v/>
      </c>
      <c r="L35" s="6">
        <f>IF(X35="","",IF(AND(LEN(X35)=8,ISNUMBER(X35*1)),DATE(LEFT(X35,4),MID(X35,5,2),RIGHT(X35,2)),IFERROR(DATEVALUE(SUBSTITUTE(SUBSTITUTE(X35,".","-"),"/","-")),IFERROR(X35*1,""))))</f>
        <v/>
      </c>
      <c r="M35" s="6">
        <f>IF(Y35="","",IF(AND(LEN(Y35)=8,ISNUMBER(Y35*1)),DATE(LEFT(Y35,4),MID(Y35,5,2),RIGHT(Y35,2)),IFERROR(DATEVALUE(SUBSTITUTE(SUBSTITUTE(Y35,".","-"),"/","-")),IFERROR(Y35*1,""))))</f>
        <v/>
      </c>
      <c r="N35">
        <f>IFERROR(LEFT(B35,FIND(" ",B35)-1),B35)</f>
        <v/>
      </c>
      <c r="O35">
        <f>AND(B35&lt;&gt;"",B35&lt;&gt;설정!$B$4,C35&lt;&gt;설정!$B$5)</f>
        <v/>
      </c>
      <c r="P35">
        <f>IF(O35,B35&amp;"|"&amp;C35,"")</f>
        <v/>
      </c>
      <c r="Q35">
        <f>AND(O35,COUNTIF(P36:P$1002,P35)=0)</f>
        <v/>
      </c>
      <c r="R35">
        <f>OR(AND(설정!$A$28&lt;&gt;"",ISNUMBER(SEARCH(설정!$A$28,E35&amp;" "&amp;C35))),AND(설정!$A$29&lt;&gt;"",ISNUMBER(SEARCH(설정!$A$29,E35&amp;" "&amp;C35))),AND(설정!$A$30&lt;&gt;"",ISNUMBER(SEARCH(설정!$A$30,E35&amp;" "&amp;C35))),AND(설정!$A$31&lt;&gt;"",ISNUMBER(SEARCH(설정!$A$31,E35&amp;" "&amp;C35))),AND(설정!$A$32&lt;&gt;"",ISNUMBER(SEARCH(설정!$A$32,E35&amp;" "&amp;C35))),AND(설정!$A$33&lt;&gt;"",ISNUMBER(SEARCH(설정!$A$33,E35&amp;" "&amp;C35))),AND(설정!$A$34&lt;&gt;"",ISNUMBER(SEARCH(설정!$A$34,E35&amp;" "&amp;C35))),AND(설정!$A$35&lt;&gt;"",ISNUMBER(SEARCH(설정!$A$35,E35&amp;" "&amp;C35))),AND(설정!$A$36&lt;&gt;"",ISNUMBER(SEARCH(설정!$A$36,E35&amp;" "&amp;C35))),AND(설정!$A$37&lt;&gt;"",ISNUMBER(SEARCH(설정!$A$37,E35&amp;" "&amp;C35))))</f>
        <v/>
      </c>
      <c r="S35">
        <f>OR(D35="",D35&gt;=설정!$B$19)</f>
        <v/>
      </c>
      <c r="T35">
        <f>AND(Q35,R35,S35)</f>
        <v/>
      </c>
      <c r="U35">
        <f>IF(T35,IF(AND(설정!$A$41&lt;&gt;"",ISNUMBER(SEARCH(설정!$A$41,K35))),설정!$B$41,IF(AND(설정!$A$42&lt;&gt;"",ISNUMBER(SEARCH(설정!$A$42,K35))),설정!$B$42,IF(AND(설정!$A$43&lt;&gt;"",ISNUMBER(SEARCH(설정!$A$43,K35))),설정!$B$43,IF(AND(설정!$A$44&lt;&gt;"",ISNUMBER(SEARCH(설정!$A$44,K35))),설정!$B$44,IF(AND(설정!$A$45&lt;&gt;"",ISNUMBER(SEARCH(설정!$A$45,K35))),설정!$B$45,IF(AND(설정!$A$46&lt;&gt;"",ISNUMBER(SEARCH(설정!$A$46,K35))),설정!$B$46,IF(AND(설정!$A$47&lt;&gt;"",ISNUMBER(SEARCH(설정!$A$47,K35))),설정!$B$47,IF(AND(설정!$A$48&lt;&gt;"",ISNUMBER(SEARCH(설정!$A$48,K35))),설정!$B$48,IF(M35="","설계사","시공사"))))))))),"")</f>
        <v/>
      </c>
      <c r="V35">
        <f>SUBSTITUTE(SUBSTITUTE(SUBSTITUTE(SUBSTITUTE(G35,"(주)",""),"㈜",""),"주식회사","")," ","")</f>
        <v/>
      </c>
      <c r="W35">
        <f>IF(AND(T35,V35&lt;&gt;""),IF(COUNTIFS(V$2:V35,V35,T$2:T35,TRUE)=1,MAX(W$1:W34)+1,""),"")</f>
        <v/>
      </c>
      <c r="X35">
        <f>IFERROR(INDEX('1.산군_붙여넣기'!$A$1:$AZ$1001,ROW(),설정!$C$14)&amp;"","")</f>
        <v/>
      </c>
      <c r="Y35">
        <f>IFERROR(INDEX('1.산군_붙여넣기'!$A$1:$AZ$1001,ROW(),설정!$C$15)&amp;"","")</f>
        <v/>
      </c>
      <c r="Z35">
        <f>IF(T35,V35&amp;"|"&amp;U35,"")</f>
        <v/>
      </c>
    </row>
    <row r="36">
      <c r="A36">
        <f>ROW()</f>
        <v/>
      </c>
      <c r="B36">
        <f>IFERROR(INDEX('1.산군_붙여넣기'!$A$1:$AZ$1001,ROW(),설정!$C$4)&amp;"","")</f>
        <v/>
      </c>
      <c r="C36">
        <f>IFERROR(INDEX('1.산군_붙여넣기'!$A$1:$AZ$1001,ROW(),설정!$C$5)&amp;"","")</f>
        <v/>
      </c>
      <c r="D36" s="5">
        <f>IFERROR(VALUE(SUBSTITUTE(SUBSTITUTE(SUBSTITUTE(IFERROR(INDEX('1.산군_붙여넣기'!$A$1:$AZ$1001,ROW(),설정!$C$6)&amp;"",""),",",""),"㎡",""),"m2","")),"")</f>
        <v/>
      </c>
      <c r="E36">
        <f>IFERROR(INDEX('1.산군_붙여넣기'!$A$1:$AZ$1001,ROW(),설정!$C$7)&amp;"","")</f>
        <v/>
      </c>
      <c r="F36">
        <f>IFERROR(INDEX('1.산군_붙여넣기'!$A$1:$AZ$1001,ROW(),설정!$C$8)&amp;"","")</f>
        <v/>
      </c>
      <c r="G36">
        <f>IFERROR(INDEX('1.산군_붙여넣기'!$A$1:$AZ$1001,ROW(),설정!$C$9)&amp;"","")</f>
        <v/>
      </c>
      <c r="H36">
        <f>IFERROR(INDEX('1.산군_붙여넣기'!$A$1:$AZ$1001,ROW(),설정!$C$10)&amp;"","")</f>
        <v/>
      </c>
      <c r="I36">
        <f>IFERROR(INDEX('1.산군_붙여넣기'!$A$1:$AZ$1001,ROW(),설정!$C$11)&amp;"","")</f>
        <v/>
      </c>
      <c r="J36">
        <f>IFERROR(INDEX('1.산군_붙여넣기'!$A$1:$AZ$1001,ROW(),설정!$C$12)&amp;"","")</f>
        <v/>
      </c>
      <c r="K36">
        <f>IFERROR(INDEX('1.산군_붙여넣기'!$A$1:$AZ$1001,ROW(),설정!$C$13)&amp;"","")</f>
        <v/>
      </c>
      <c r="L36" s="6">
        <f>IF(X36="","",IF(AND(LEN(X36)=8,ISNUMBER(X36*1)),DATE(LEFT(X36,4),MID(X36,5,2),RIGHT(X36,2)),IFERROR(DATEVALUE(SUBSTITUTE(SUBSTITUTE(X36,".","-"),"/","-")),IFERROR(X36*1,""))))</f>
        <v/>
      </c>
      <c r="M36" s="6">
        <f>IF(Y36="","",IF(AND(LEN(Y36)=8,ISNUMBER(Y36*1)),DATE(LEFT(Y36,4),MID(Y36,5,2),RIGHT(Y36,2)),IFERROR(DATEVALUE(SUBSTITUTE(SUBSTITUTE(Y36,".","-"),"/","-")),IFERROR(Y36*1,""))))</f>
        <v/>
      </c>
      <c r="N36">
        <f>IFERROR(LEFT(B36,FIND(" ",B36)-1),B36)</f>
        <v/>
      </c>
      <c r="O36">
        <f>AND(B36&lt;&gt;"",B36&lt;&gt;설정!$B$4,C36&lt;&gt;설정!$B$5)</f>
        <v/>
      </c>
      <c r="P36">
        <f>IF(O36,B36&amp;"|"&amp;C36,"")</f>
        <v/>
      </c>
      <c r="Q36">
        <f>AND(O36,COUNTIF(P37:P$1002,P36)=0)</f>
        <v/>
      </c>
      <c r="R36">
        <f>OR(AND(설정!$A$28&lt;&gt;"",ISNUMBER(SEARCH(설정!$A$28,E36&amp;" "&amp;C36))),AND(설정!$A$29&lt;&gt;"",ISNUMBER(SEARCH(설정!$A$29,E36&amp;" "&amp;C36))),AND(설정!$A$30&lt;&gt;"",ISNUMBER(SEARCH(설정!$A$30,E36&amp;" "&amp;C36))),AND(설정!$A$31&lt;&gt;"",ISNUMBER(SEARCH(설정!$A$31,E36&amp;" "&amp;C36))),AND(설정!$A$32&lt;&gt;"",ISNUMBER(SEARCH(설정!$A$32,E36&amp;" "&amp;C36))),AND(설정!$A$33&lt;&gt;"",ISNUMBER(SEARCH(설정!$A$33,E36&amp;" "&amp;C36))),AND(설정!$A$34&lt;&gt;"",ISNUMBER(SEARCH(설정!$A$34,E36&amp;" "&amp;C36))),AND(설정!$A$35&lt;&gt;"",ISNUMBER(SEARCH(설정!$A$35,E36&amp;" "&amp;C36))),AND(설정!$A$36&lt;&gt;"",ISNUMBER(SEARCH(설정!$A$36,E36&amp;" "&amp;C36))),AND(설정!$A$37&lt;&gt;"",ISNUMBER(SEARCH(설정!$A$37,E36&amp;" "&amp;C36))))</f>
        <v/>
      </c>
      <c r="S36">
        <f>OR(D36="",D36&gt;=설정!$B$19)</f>
        <v/>
      </c>
      <c r="T36">
        <f>AND(Q36,R36,S36)</f>
        <v/>
      </c>
      <c r="U36">
        <f>IF(T36,IF(AND(설정!$A$41&lt;&gt;"",ISNUMBER(SEARCH(설정!$A$41,K36))),설정!$B$41,IF(AND(설정!$A$42&lt;&gt;"",ISNUMBER(SEARCH(설정!$A$42,K36))),설정!$B$42,IF(AND(설정!$A$43&lt;&gt;"",ISNUMBER(SEARCH(설정!$A$43,K36))),설정!$B$43,IF(AND(설정!$A$44&lt;&gt;"",ISNUMBER(SEARCH(설정!$A$44,K36))),설정!$B$44,IF(AND(설정!$A$45&lt;&gt;"",ISNUMBER(SEARCH(설정!$A$45,K36))),설정!$B$45,IF(AND(설정!$A$46&lt;&gt;"",ISNUMBER(SEARCH(설정!$A$46,K36))),설정!$B$46,IF(AND(설정!$A$47&lt;&gt;"",ISNUMBER(SEARCH(설정!$A$47,K36))),설정!$B$47,IF(AND(설정!$A$48&lt;&gt;"",ISNUMBER(SEARCH(설정!$A$48,K36))),설정!$B$48,IF(M36="","설계사","시공사"))))))))),"")</f>
        <v/>
      </c>
      <c r="V36">
        <f>SUBSTITUTE(SUBSTITUTE(SUBSTITUTE(SUBSTITUTE(G36,"(주)",""),"㈜",""),"주식회사","")," ","")</f>
        <v/>
      </c>
      <c r="W36">
        <f>IF(AND(T36,V36&lt;&gt;""),IF(COUNTIFS(V$2:V36,V36,T$2:T36,TRUE)=1,MAX(W$1:W35)+1,""),"")</f>
        <v/>
      </c>
      <c r="X36">
        <f>IFERROR(INDEX('1.산군_붙여넣기'!$A$1:$AZ$1001,ROW(),설정!$C$14)&amp;"","")</f>
        <v/>
      </c>
      <c r="Y36">
        <f>IFERROR(INDEX('1.산군_붙여넣기'!$A$1:$AZ$1001,ROW(),설정!$C$15)&amp;"","")</f>
        <v/>
      </c>
      <c r="Z36">
        <f>IF(T36,V36&amp;"|"&amp;U36,"")</f>
        <v/>
      </c>
    </row>
    <row r="37">
      <c r="A37">
        <f>ROW()</f>
        <v/>
      </c>
      <c r="B37">
        <f>IFERROR(INDEX('1.산군_붙여넣기'!$A$1:$AZ$1001,ROW(),설정!$C$4)&amp;"","")</f>
        <v/>
      </c>
      <c r="C37">
        <f>IFERROR(INDEX('1.산군_붙여넣기'!$A$1:$AZ$1001,ROW(),설정!$C$5)&amp;"","")</f>
        <v/>
      </c>
      <c r="D37" s="5">
        <f>IFERROR(VALUE(SUBSTITUTE(SUBSTITUTE(SUBSTITUTE(IFERROR(INDEX('1.산군_붙여넣기'!$A$1:$AZ$1001,ROW(),설정!$C$6)&amp;"",""),",",""),"㎡",""),"m2","")),"")</f>
        <v/>
      </c>
      <c r="E37">
        <f>IFERROR(INDEX('1.산군_붙여넣기'!$A$1:$AZ$1001,ROW(),설정!$C$7)&amp;"","")</f>
        <v/>
      </c>
      <c r="F37">
        <f>IFERROR(INDEX('1.산군_붙여넣기'!$A$1:$AZ$1001,ROW(),설정!$C$8)&amp;"","")</f>
        <v/>
      </c>
      <c r="G37">
        <f>IFERROR(INDEX('1.산군_붙여넣기'!$A$1:$AZ$1001,ROW(),설정!$C$9)&amp;"","")</f>
        <v/>
      </c>
      <c r="H37">
        <f>IFERROR(INDEX('1.산군_붙여넣기'!$A$1:$AZ$1001,ROW(),설정!$C$10)&amp;"","")</f>
        <v/>
      </c>
      <c r="I37">
        <f>IFERROR(INDEX('1.산군_붙여넣기'!$A$1:$AZ$1001,ROW(),설정!$C$11)&amp;"","")</f>
        <v/>
      </c>
      <c r="J37">
        <f>IFERROR(INDEX('1.산군_붙여넣기'!$A$1:$AZ$1001,ROW(),설정!$C$12)&amp;"","")</f>
        <v/>
      </c>
      <c r="K37">
        <f>IFERROR(INDEX('1.산군_붙여넣기'!$A$1:$AZ$1001,ROW(),설정!$C$13)&amp;"","")</f>
        <v/>
      </c>
      <c r="L37" s="6">
        <f>IF(X37="","",IF(AND(LEN(X37)=8,ISNUMBER(X37*1)),DATE(LEFT(X37,4),MID(X37,5,2),RIGHT(X37,2)),IFERROR(DATEVALUE(SUBSTITUTE(SUBSTITUTE(X37,".","-"),"/","-")),IFERROR(X37*1,""))))</f>
        <v/>
      </c>
      <c r="M37" s="6">
        <f>IF(Y37="","",IF(AND(LEN(Y37)=8,ISNUMBER(Y37*1)),DATE(LEFT(Y37,4),MID(Y37,5,2),RIGHT(Y37,2)),IFERROR(DATEVALUE(SUBSTITUTE(SUBSTITUTE(Y37,".","-"),"/","-")),IFERROR(Y37*1,""))))</f>
        <v/>
      </c>
      <c r="N37">
        <f>IFERROR(LEFT(B37,FIND(" ",B37)-1),B37)</f>
        <v/>
      </c>
      <c r="O37">
        <f>AND(B37&lt;&gt;"",B37&lt;&gt;설정!$B$4,C37&lt;&gt;설정!$B$5)</f>
        <v/>
      </c>
      <c r="P37">
        <f>IF(O37,B37&amp;"|"&amp;C37,"")</f>
        <v/>
      </c>
      <c r="Q37">
        <f>AND(O37,COUNTIF(P38:P$1002,P37)=0)</f>
        <v/>
      </c>
      <c r="R37">
        <f>OR(AND(설정!$A$28&lt;&gt;"",ISNUMBER(SEARCH(설정!$A$28,E37&amp;" "&amp;C37))),AND(설정!$A$29&lt;&gt;"",ISNUMBER(SEARCH(설정!$A$29,E37&amp;" "&amp;C37))),AND(설정!$A$30&lt;&gt;"",ISNUMBER(SEARCH(설정!$A$30,E37&amp;" "&amp;C37))),AND(설정!$A$31&lt;&gt;"",ISNUMBER(SEARCH(설정!$A$31,E37&amp;" "&amp;C37))),AND(설정!$A$32&lt;&gt;"",ISNUMBER(SEARCH(설정!$A$32,E37&amp;" "&amp;C37))),AND(설정!$A$33&lt;&gt;"",ISNUMBER(SEARCH(설정!$A$33,E37&amp;" "&amp;C37))),AND(설정!$A$34&lt;&gt;"",ISNUMBER(SEARCH(설정!$A$34,E37&amp;" "&amp;C37))),AND(설정!$A$35&lt;&gt;"",ISNUMBER(SEARCH(설정!$A$35,E37&amp;" "&amp;C37))),AND(설정!$A$36&lt;&gt;"",ISNUMBER(SEARCH(설정!$A$36,E37&amp;" "&amp;C37))),AND(설정!$A$37&lt;&gt;"",ISNUMBER(SEARCH(설정!$A$37,E37&amp;" "&amp;C37))))</f>
        <v/>
      </c>
      <c r="S37">
        <f>OR(D37="",D37&gt;=설정!$B$19)</f>
        <v/>
      </c>
      <c r="T37">
        <f>AND(Q37,R37,S37)</f>
        <v/>
      </c>
      <c r="U37">
        <f>IF(T37,IF(AND(설정!$A$41&lt;&gt;"",ISNUMBER(SEARCH(설정!$A$41,K37))),설정!$B$41,IF(AND(설정!$A$42&lt;&gt;"",ISNUMBER(SEARCH(설정!$A$42,K37))),설정!$B$42,IF(AND(설정!$A$43&lt;&gt;"",ISNUMBER(SEARCH(설정!$A$43,K37))),설정!$B$43,IF(AND(설정!$A$44&lt;&gt;"",ISNUMBER(SEARCH(설정!$A$44,K37))),설정!$B$44,IF(AND(설정!$A$45&lt;&gt;"",ISNUMBER(SEARCH(설정!$A$45,K37))),설정!$B$45,IF(AND(설정!$A$46&lt;&gt;"",ISNUMBER(SEARCH(설정!$A$46,K37))),설정!$B$46,IF(AND(설정!$A$47&lt;&gt;"",ISNUMBER(SEARCH(설정!$A$47,K37))),설정!$B$47,IF(AND(설정!$A$48&lt;&gt;"",ISNUMBER(SEARCH(설정!$A$48,K37))),설정!$B$48,IF(M37="","설계사","시공사"))))))))),"")</f>
        <v/>
      </c>
      <c r="V37">
        <f>SUBSTITUTE(SUBSTITUTE(SUBSTITUTE(SUBSTITUTE(G37,"(주)",""),"㈜",""),"주식회사","")," ","")</f>
        <v/>
      </c>
      <c r="W37">
        <f>IF(AND(T37,V37&lt;&gt;""),IF(COUNTIFS(V$2:V37,V37,T$2:T37,TRUE)=1,MAX(W$1:W36)+1,""),"")</f>
        <v/>
      </c>
      <c r="X37">
        <f>IFERROR(INDEX('1.산군_붙여넣기'!$A$1:$AZ$1001,ROW(),설정!$C$14)&amp;"","")</f>
        <v/>
      </c>
      <c r="Y37">
        <f>IFERROR(INDEX('1.산군_붙여넣기'!$A$1:$AZ$1001,ROW(),설정!$C$15)&amp;"","")</f>
        <v/>
      </c>
      <c r="Z37">
        <f>IF(T37,V37&amp;"|"&amp;U37,"")</f>
        <v/>
      </c>
    </row>
    <row r="38">
      <c r="A38">
        <f>ROW()</f>
        <v/>
      </c>
      <c r="B38">
        <f>IFERROR(INDEX('1.산군_붙여넣기'!$A$1:$AZ$1001,ROW(),설정!$C$4)&amp;"","")</f>
        <v/>
      </c>
      <c r="C38">
        <f>IFERROR(INDEX('1.산군_붙여넣기'!$A$1:$AZ$1001,ROW(),설정!$C$5)&amp;"","")</f>
        <v/>
      </c>
      <c r="D38" s="5">
        <f>IFERROR(VALUE(SUBSTITUTE(SUBSTITUTE(SUBSTITUTE(IFERROR(INDEX('1.산군_붙여넣기'!$A$1:$AZ$1001,ROW(),설정!$C$6)&amp;"",""),",",""),"㎡",""),"m2","")),"")</f>
        <v/>
      </c>
      <c r="E38">
        <f>IFERROR(INDEX('1.산군_붙여넣기'!$A$1:$AZ$1001,ROW(),설정!$C$7)&amp;"","")</f>
        <v/>
      </c>
      <c r="F38">
        <f>IFERROR(INDEX('1.산군_붙여넣기'!$A$1:$AZ$1001,ROW(),설정!$C$8)&amp;"","")</f>
        <v/>
      </c>
      <c r="G38">
        <f>IFERROR(INDEX('1.산군_붙여넣기'!$A$1:$AZ$1001,ROW(),설정!$C$9)&amp;"","")</f>
        <v/>
      </c>
      <c r="H38">
        <f>IFERROR(INDEX('1.산군_붙여넣기'!$A$1:$AZ$1001,ROW(),설정!$C$10)&amp;"","")</f>
        <v/>
      </c>
      <c r="I38">
        <f>IFERROR(INDEX('1.산군_붙여넣기'!$A$1:$AZ$1001,ROW(),설정!$C$11)&amp;"","")</f>
        <v/>
      </c>
      <c r="J38">
        <f>IFERROR(INDEX('1.산군_붙여넣기'!$A$1:$AZ$1001,ROW(),설정!$C$12)&amp;"","")</f>
        <v/>
      </c>
      <c r="K38">
        <f>IFERROR(INDEX('1.산군_붙여넣기'!$A$1:$AZ$1001,ROW(),설정!$C$13)&amp;"","")</f>
        <v/>
      </c>
      <c r="L38" s="6">
        <f>IF(X38="","",IF(AND(LEN(X38)=8,ISNUMBER(X38*1)),DATE(LEFT(X38,4),MID(X38,5,2),RIGHT(X38,2)),IFERROR(DATEVALUE(SUBSTITUTE(SUBSTITUTE(X38,".","-"),"/","-")),IFERROR(X38*1,""))))</f>
        <v/>
      </c>
      <c r="M38" s="6">
        <f>IF(Y38="","",IF(AND(LEN(Y38)=8,ISNUMBER(Y38*1)),DATE(LEFT(Y38,4),MID(Y38,5,2),RIGHT(Y38,2)),IFERROR(DATEVALUE(SUBSTITUTE(SUBSTITUTE(Y38,".","-"),"/","-")),IFERROR(Y38*1,""))))</f>
        <v/>
      </c>
      <c r="N38">
        <f>IFERROR(LEFT(B38,FIND(" ",B38)-1),B38)</f>
        <v/>
      </c>
      <c r="O38">
        <f>AND(B38&lt;&gt;"",B38&lt;&gt;설정!$B$4,C38&lt;&gt;설정!$B$5)</f>
        <v/>
      </c>
      <c r="P38">
        <f>IF(O38,B38&amp;"|"&amp;C38,"")</f>
        <v/>
      </c>
      <c r="Q38">
        <f>AND(O38,COUNTIF(P39:P$1002,P38)=0)</f>
        <v/>
      </c>
      <c r="R38">
        <f>OR(AND(설정!$A$28&lt;&gt;"",ISNUMBER(SEARCH(설정!$A$28,E38&amp;" "&amp;C38))),AND(설정!$A$29&lt;&gt;"",ISNUMBER(SEARCH(설정!$A$29,E38&amp;" "&amp;C38))),AND(설정!$A$30&lt;&gt;"",ISNUMBER(SEARCH(설정!$A$30,E38&amp;" "&amp;C38))),AND(설정!$A$31&lt;&gt;"",ISNUMBER(SEARCH(설정!$A$31,E38&amp;" "&amp;C38))),AND(설정!$A$32&lt;&gt;"",ISNUMBER(SEARCH(설정!$A$32,E38&amp;" "&amp;C38))),AND(설정!$A$33&lt;&gt;"",ISNUMBER(SEARCH(설정!$A$33,E38&amp;" "&amp;C38))),AND(설정!$A$34&lt;&gt;"",ISNUMBER(SEARCH(설정!$A$34,E38&amp;" "&amp;C38))),AND(설정!$A$35&lt;&gt;"",ISNUMBER(SEARCH(설정!$A$35,E38&amp;" "&amp;C38))),AND(설정!$A$36&lt;&gt;"",ISNUMBER(SEARCH(설정!$A$36,E38&amp;" "&amp;C38))),AND(설정!$A$37&lt;&gt;"",ISNUMBER(SEARCH(설정!$A$37,E38&amp;" "&amp;C38))))</f>
        <v/>
      </c>
      <c r="S38">
        <f>OR(D38="",D38&gt;=설정!$B$19)</f>
        <v/>
      </c>
      <c r="T38">
        <f>AND(Q38,R38,S38)</f>
        <v/>
      </c>
      <c r="U38">
        <f>IF(T38,IF(AND(설정!$A$41&lt;&gt;"",ISNUMBER(SEARCH(설정!$A$41,K38))),설정!$B$41,IF(AND(설정!$A$42&lt;&gt;"",ISNUMBER(SEARCH(설정!$A$42,K38))),설정!$B$42,IF(AND(설정!$A$43&lt;&gt;"",ISNUMBER(SEARCH(설정!$A$43,K38))),설정!$B$43,IF(AND(설정!$A$44&lt;&gt;"",ISNUMBER(SEARCH(설정!$A$44,K38))),설정!$B$44,IF(AND(설정!$A$45&lt;&gt;"",ISNUMBER(SEARCH(설정!$A$45,K38))),설정!$B$45,IF(AND(설정!$A$46&lt;&gt;"",ISNUMBER(SEARCH(설정!$A$46,K38))),설정!$B$46,IF(AND(설정!$A$47&lt;&gt;"",ISNUMBER(SEARCH(설정!$A$47,K38))),설정!$B$47,IF(AND(설정!$A$48&lt;&gt;"",ISNUMBER(SEARCH(설정!$A$48,K38))),설정!$B$48,IF(M38="","설계사","시공사"))))))))),"")</f>
        <v/>
      </c>
      <c r="V38">
        <f>SUBSTITUTE(SUBSTITUTE(SUBSTITUTE(SUBSTITUTE(G38,"(주)",""),"㈜",""),"주식회사","")," ","")</f>
        <v/>
      </c>
      <c r="W38">
        <f>IF(AND(T38,V38&lt;&gt;""),IF(COUNTIFS(V$2:V38,V38,T$2:T38,TRUE)=1,MAX(W$1:W37)+1,""),"")</f>
        <v/>
      </c>
      <c r="X38">
        <f>IFERROR(INDEX('1.산군_붙여넣기'!$A$1:$AZ$1001,ROW(),설정!$C$14)&amp;"","")</f>
        <v/>
      </c>
      <c r="Y38">
        <f>IFERROR(INDEX('1.산군_붙여넣기'!$A$1:$AZ$1001,ROW(),설정!$C$15)&amp;"","")</f>
        <v/>
      </c>
      <c r="Z38">
        <f>IF(T38,V38&amp;"|"&amp;U38,"")</f>
        <v/>
      </c>
    </row>
    <row r="39">
      <c r="A39">
        <f>ROW()</f>
        <v/>
      </c>
      <c r="B39">
        <f>IFERROR(INDEX('1.산군_붙여넣기'!$A$1:$AZ$1001,ROW(),설정!$C$4)&amp;"","")</f>
        <v/>
      </c>
      <c r="C39">
        <f>IFERROR(INDEX('1.산군_붙여넣기'!$A$1:$AZ$1001,ROW(),설정!$C$5)&amp;"","")</f>
        <v/>
      </c>
      <c r="D39" s="5">
        <f>IFERROR(VALUE(SUBSTITUTE(SUBSTITUTE(SUBSTITUTE(IFERROR(INDEX('1.산군_붙여넣기'!$A$1:$AZ$1001,ROW(),설정!$C$6)&amp;"",""),",",""),"㎡",""),"m2","")),"")</f>
        <v/>
      </c>
      <c r="E39">
        <f>IFERROR(INDEX('1.산군_붙여넣기'!$A$1:$AZ$1001,ROW(),설정!$C$7)&amp;"","")</f>
        <v/>
      </c>
      <c r="F39">
        <f>IFERROR(INDEX('1.산군_붙여넣기'!$A$1:$AZ$1001,ROW(),설정!$C$8)&amp;"","")</f>
        <v/>
      </c>
      <c r="G39">
        <f>IFERROR(INDEX('1.산군_붙여넣기'!$A$1:$AZ$1001,ROW(),설정!$C$9)&amp;"","")</f>
        <v/>
      </c>
      <c r="H39">
        <f>IFERROR(INDEX('1.산군_붙여넣기'!$A$1:$AZ$1001,ROW(),설정!$C$10)&amp;"","")</f>
        <v/>
      </c>
      <c r="I39">
        <f>IFERROR(INDEX('1.산군_붙여넣기'!$A$1:$AZ$1001,ROW(),설정!$C$11)&amp;"","")</f>
        <v/>
      </c>
      <c r="J39">
        <f>IFERROR(INDEX('1.산군_붙여넣기'!$A$1:$AZ$1001,ROW(),설정!$C$12)&amp;"","")</f>
        <v/>
      </c>
      <c r="K39">
        <f>IFERROR(INDEX('1.산군_붙여넣기'!$A$1:$AZ$1001,ROW(),설정!$C$13)&amp;"","")</f>
        <v/>
      </c>
      <c r="L39" s="6">
        <f>IF(X39="","",IF(AND(LEN(X39)=8,ISNUMBER(X39*1)),DATE(LEFT(X39,4),MID(X39,5,2),RIGHT(X39,2)),IFERROR(DATEVALUE(SUBSTITUTE(SUBSTITUTE(X39,".","-"),"/","-")),IFERROR(X39*1,""))))</f>
        <v/>
      </c>
      <c r="M39" s="6">
        <f>IF(Y39="","",IF(AND(LEN(Y39)=8,ISNUMBER(Y39*1)),DATE(LEFT(Y39,4),MID(Y39,5,2),RIGHT(Y39,2)),IFERROR(DATEVALUE(SUBSTITUTE(SUBSTITUTE(Y39,".","-"),"/","-")),IFERROR(Y39*1,""))))</f>
        <v/>
      </c>
      <c r="N39">
        <f>IFERROR(LEFT(B39,FIND(" ",B39)-1),B39)</f>
        <v/>
      </c>
      <c r="O39">
        <f>AND(B39&lt;&gt;"",B39&lt;&gt;설정!$B$4,C39&lt;&gt;설정!$B$5)</f>
        <v/>
      </c>
      <c r="P39">
        <f>IF(O39,B39&amp;"|"&amp;C39,"")</f>
        <v/>
      </c>
      <c r="Q39">
        <f>AND(O39,COUNTIF(P40:P$1002,P39)=0)</f>
        <v/>
      </c>
      <c r="R39">
        <f>OR(AND(설정!$A$28&lt;&gt;"",ISNUMBER(SEARCH(설정!$A$28,E39&amp;" "&amp;C39))),AND(설정!$A$29&lt;&gt;"",ISNUMBER(SEARCH(설정!$A$29,E39&amp;" "&amp;C39))),AND(설정!$A$30&lt;&gt;"",ISNUMBER(SEARCH(설정!$A$30,E39&amp;" "&amp;C39))),AND(설정!$A$31&lt;&gt;"",ISNUMBER(SEARCH(설정!$A$31,E39&amp;" "&amp;C39))),AND(설정!$A$32&lt;&gt;"",ISNUMBER(SEARCH(설정!$A$32,E39&amp;" "&amp;C39))),AND(설정!$A$33&lt;&gt;"",ISNUMBER(SEARCH(설정!$A$33,E39&amp;" "&amp;C39))),AND(설정!$A$34&lt;&gt;"",ISNUMBER(SEARCH(설정!$A$34,E39&amp;" "&amp;C39))),AND(설정!$A$35&lt;&gt;"",ISNUMBER(SEARCH(설정!$A$35,E39&amp;" "&amp;C39))),AND(설정!$A$36&lt;&gt;"",ISNUMBER(SEARCH(설정!$A$36,E39&amp;" "&amp;C39))),AND(설정!$A$37&lt;&gt;"",ISNUMBER(SEARCH(설정!$A$37,E39&amp;" "&amp;C39))))</f>
        <v/>
      </c>
      <c r="S39">
        <f>OR(D39="",D39&gt;=설정!$B$19)</f>
        <v/>
      </c>
      <c r="T39">
        <f>AND(Q39,R39,S39)</f>
        <v/>
      </c>
      <c r="U39">
        <f>IF(T39,IF(AND(설정!$A$41&lt;&gt;"",ISNUMBER(SEARCH(설정!$A$41,K39))),설정!$B$41,IF(AND(설정!$A$42&lt;&gt;"",ISNUMBER(SEARCH(설정!$A$42,K39))),설정!$B$42,IF(AND(설정!$A$43&lt;&gt;"",ISNUMBER(SEARCH(설정!$A$43,K39))),설정!$B$43,IF(AND(설정!$A$44&lt;&gt;"",ISNUMBER(SEARCH(설정!$A$44,K39))),설정!$B$44,IF(AND(설정!$A$45&lt;&gt;"",ISNUMBER(SEARCH(설정!$A$45,K39))),설정!$B$45,IF(AND(설정!$A$46&lt;&gt;"",ISNUMBER(SEARCH(설정!$A$46,K39))),설정!$B$46,IF(AND(설정!$A$47&lt;&gt;"",ISNUMBER(SEARCH(설정!$A$47,K39))),설정!$B$47,IF(AND(설정!$A$48&lt;&gt;"",ISNUMBER(SEARCH(설정!$A$48,K39))),설정!$B$48,IF(M39="","설계사","시공사"))))))))),"")</f>
        <v/>
      </c>
      <c r="V39">
        <f>SUBSTITUTE(SUBSTITUTE(SUBSTITUTE(SUBSTITUTE(G39,"(주)",""),"㈜",""),"주식회사","")," ","")</f>
        <v/>
      </c>
      <c r="W39">
        <f>IF(AND(T39,V39&lt;&gt;""),IF(COUNTIFS(V$2:V39,V39,T$2:T39,TRUE)=1,MAX(W$1:W38)+1,""),"")</f>
        <v/>
      </c>
      <c r="X39">
        <f>IFERROR(INDEX('1.산군_붙여넣기'!$A$1:$AZ$1001,ROW(),설정!$C$14)&amp;"","")</f>
        <v/>
      </c>
      <c r="Y39">
        <f>IFERROR(INDEX('1.산군_붙여넣기'!$A$1:$AZ$1001,ROW(),설정!$C$15)&amp;"","")</f>
        <v/>
      </c>
      <c r="Z39">
        <f>IF(T39,V39&amp;"|"&amp;U39,"")</f>
        <v/>
      </c>
    </row>
    <row r="40">
      <c r="A40">
        <f>ROW()</f>
        <v/>
      </c>
      <c r="B40">
        <f>IFERROR(INDEX('1.산군_붙여넣기'!$A$1:$AZ$1001,ROW(),설정!$C$4)&amp;"","")</f>
        <v/>
      </c>
      <c r="C40">
        <f>IFERROR(INDEX('1.산군_붙여넣기'!$A$1:$AZ$1001,ROW(),설정!$C$5)&amp;"","")</f>
        <v/>
      </c>
      <c r="D40" s="5">
        <f>IFERROR(VALUE(SUBSTITUTE(SUBSTITUTE(SUBSTITUTE(IFERROR(INDEX('1.산군_붙여넣기'!$A$1:$AZ$1001,ROW(),설정!$C$6)&amp;"",""),",",""),"㎡",""),"m2","")),"")</f>
        <v/>
      </c>
      <c r="E40">
        <f>IFERROR(INDEX('1.산군_붙여넣기'!$A$1:$AZ$1001,ROW(),설정!$C$7)&amp;"","")</f>
        <v/>
      </c>
      <c r="F40">
        <f>IFERROR(INDEX('1.산군_붙여넣기'!$A$1:$AZ$1001,ROW(),설정!$C$8)&amp;"","")</f>
        <v/>
      </c>
      <c r="G40">
        <f>IFERROR(INDEX('1.산군_붙여넣기'!$A$1:$AZ$1001,ROW(),설정!$C$9)&amp;"","")</f>
        <v/>
      </c>
      <c r="H40">
        <f>IFERROR(INDEX('1.산군_붙여넣기'!$A$1:$AZ$1001,ROW(),설정!$C$10)&amp;"","")</f>
        <v/>
      </c>
      <c r="I40">
        <f>IFERROR(INDEX('1.산군_붙여넣기'!$A$1:$AZ$1001,ROW(),설정!$C$11)&amp;"","")</f>
        <v/>
      </c>
      <c r="J40">
        <f>IFERROR(INDEX('1.산군_붙여넣기'!$A$1:$AZ$1001,ROW(),설정!$C$12)&amp;"","")</f>
        <v/>
      </c>
      <c r="K40">
        <f>IFERROR(INDEX('1.산군_붙여넣기'!$A$1:$AZ$1001,ROW(),설정!$C$13)&amp;"","")</f>
        <v/>
      </c>
      <c r="L40" s="6">
        <f>IF(X40="","",IF(AND(LEN(X40)=8,ISNUMBER(X40*1)),DATE(LEFT(X40,4),MID(X40,5,2),RIGHT(X40,2)),IFERROR(DATEVALUE(SUBSTITUTE(SUBSTITUTE(X40,".","-"),"/","-")),IFERROR(X40*1,""))))</f>
        <v/>
      </c>
      <c r="M40" s="6">
        <f>IF(Y40="","",IF(AND(LEN(Y40)=8,ISNUMBER(Y40*1)),DATE(LEFT(Y40,4),MID(Y40,5,2),RIGHT(Y40,2)),IFERROR(DATEVALUE(SUBSTITUTE(SUBSTITUTE(Y40,".","-"),"/","-")),IFERROR(Y40*1,""))))</f>
        <v/>
      </c>
      <c r="N40">
        <f>IFERROR(LEFT(B40,FIND(" ",B40)-1),B40)</f>
        <v/>
      </c>
      <c r="O40">
        <f>AND(B40&lt;&gt;"",B40&lt;&gt;설정!$B$4,C40&lt;&gt;설정!$B$5)</f>
        <v/>
      </c>
      <c r="P40">
        <f>IF(O40,B40&amp;"|"&amp;C40,"")</f>
        <v/>
      </c>
      <c r="Q40">
        <f>AND(O40,COUNTIF(P41:P$1002,P40)=0)</f>
        <v/>
      </c>
      <c r="R40">
        <f>OR(AND(설정!$A$28&lt;&gt;"",ISNUMBER(SEARCH(설정!$A$28,E40&amp;" "&amp;C40))),AND(설정!$A$29&lt;&gt;"",ISNUMBER(SEARCH(설정!$A$29,E40&amp;" "&amp;C40))),AND(설정!$A$30&lt;&gt;"",ISNUMBER(SEARCH(설정!$A$30,E40&amp;" "&amp;C40))),AND(설정!$A$31&lt;&gt;"",ISNUMBER(SEARCH(설정!$A$31,E40&amp;" "&amp;C40))),AND(설정!$A$32&lt;&gt;"",ISNUMBER(SEARCH(설정!$A$32,E40&amp;" "&amp;C40))),AND(설정!$A$33&lt;&gt;"",ISNUMBER(SEARCH(설정!$A$33,E40&amp;" "&amp;C40))),AND(설정!$A$34&lt;&gt;"",ISNUMBER(SEARCH(설정!$A$34,E40&amp;" "&amp;C40))),AND(설정!$A$35&lt;&gt;"",ISNUMBER(SEARCH(설정!$A$35,E40&amp;" "&amp;C40))),AND(설정!$A$36&lt;&gt;"",ISNUMBER(SEARCH(설정!$A$36,E40&amp;" "&amp;C40))),AND(설정!$A$37&lt;&gt;"",ISNUMBER(SEARCH(설정!$A$37,E40&amp;" "&amp;C40))))</f>
        <v/>
      </c>
      <c r="S40">
        <f>OR(D40="",D40&gt;=설정!$B$19)</f>
        <v/>
      </c>
      <c r="T40">
        <f>AND(Q40,R40,S40)</f>
        <v/>
      </c>
      <c r="U40">
        <f>IF(T40,IF(AND(설정!$A$41&lt;&gt;"",ISNUMBER(SEARCH(설정!$A$41,K40))),설정!$B$41,IF(AND(설정!$A$42&lt;&gt;"",ISNUMBER(SEARCH(설정!$A$42,K40))),설정!$B$42,IF(AND(설정!$A$43&lt;&gt;"",ISNUMBER(SEARCH(설정!$A$43,K40))),설정!$B$43,IF(AND(설정!$A$44&lt;&gt;"",ISNUMBER(SEARCH(설정!$A$44,K40))),설정!$B$44,IF(AND(설정!$A$45&lt;&gt;"",ISNUMBER(SEARCH(설정!$A$45,K40))),설정!$B$45,IF(AND(설정!$A$46&lt;&gt;"",ISNUMBER(SEARCH(설정!$A$46,K40))),설정!$B$46,IF(AND(설정!$A$47&lt;&gt;"",ISNUMBER(SEARCH(설정!$A$47,K40))),설정!$B$47,IF(AND(설정!$A$48&lt;&gt;"",ISNUMBER(SEARCH(설정!$A$48,K40))),설정!$B$48,IF(M40="","설계사","시공사"))))))))),"")</f>
        <v/>
      </c>
      <c r="V40">
        <f>SUBSTITUTE(SUBSTITUTE(SUBSTITUTE(SUBSTITUTE(G40,"(주)",""),"㈜",""),"주식회사","")," ","")</f>
        <v/>
      </c>
      <c r="W40">
        <f>IF(AND(T40,V40&lt;&gt;""),IF(COUNTIFS(V$2:V40,V40,T$2:T40,TRUE)=1,MAX(W$1:W39)+1,""),"")</f>
        <v/>
      </c>
      <c r="X40">
        <f>IFERROR(INDEX('1.산군_붙여넣기'!$A$1:$AZ$1001,ROW(),설정!$C$14)&amp;"","")</f>
        <v/>
      </c>
      <c r="Y40">
        <f>IFERROR(INDEX('1.산군_붙여넣기'!$A$1:$AZ$1001,ROW(),설정!$C$15)&amp;"","")</f>
        <v/>
      </c>
      <c r="Z40">
        <f>IF(T40,V40&amp;"|"&amp;U40,"")</f>
        <v/>
      </c>
    </row>
    <row r="41">
      <c r="A41">
        <f>ROW()</f>
        <v/>
      </c>
      <c r="B41">
        <f>IFERROR(INDEX('1.산군_붙여넣기'!$A$1:$AZ$1001,ROW(),설정!$C$4)&amp;"","")</f>
        <v/>
      </c>
      <c r="C41">
        <f>IFERROR(INDEX('1.산군_붙여넣기'!$A$1:$AZ$1001,ROW(),설정!$C$5)&amp;"","")</f>
        <v/>
      </c>
      <c r="D41" s="5">
        <f>IFERROR(VALUE(SUBSTITUTE(SUBSTITUTE(SUBSTITUTE(IFERROR(INDEX('1.산군_붙여넣기'!$A$1:$AZ$1001,ROW(),설정!$C$6)&amp;"",""),",",""),"㎡",""),"m2","")),"")</f>
        <v/>
      </c>
      <c r="E41">
        <f>IFERROR(INDEX('1.산군_붙여넣기'!$A$1:$AZ$1001,ROW(),설정!$C$7)&amp;"","")</f>
        <v/>
      </c>
      <c r="F41">
        <f>IFERROR(INDEX('1.산군_붙여넣기'!$A$1:$AZ$1001,ROW(),설정!$C$8)&amp;"","")</f>
        <v/>
      </c>
      <c r="G41">
        <f>IFERROR(INDEX('1.산군_붙여넣기'!$A$1:$AZ$1001,ROW(),설정!$C$9)&amp;"","")</f>
        <v/>
      </c>
      <c r="H41">
        <f>IFERROR(INDEX('1.산군_붙여넣기'!$A$1:$AZ$1001,ROW(),설정!$C$10)&amp;"","")</f>
        <v/>
      </c>
      <c r="I41">
        <f>IFERROR(INDEX('1.산군_붙여넣기'!$A$1:$AZ$1001,ROW(),설정!$C$11)&amp;"","")</f>
        <v/>
      </c>
      <c r="J41">
        <f>IFERROR(INDEX('1.산군_붙여넣기'!$A$1:$AZ$1001,ROW(),설정!$C$12)&amp;"","")</f>
        <v/>
      </c>
      <c r="K41">
        <f>IFERROR(INDEX('1.산군_붙여넣기'!$A$1:$AZ$1001,ROW(),설정!$C$13)&amp;"","")</f>
        <v/>
      </c>
      <c r="L41" s="6">
        <f>IF(X41="","",IF(AND(LEN(X41)=8,ISNUMBER(X41*1)),DATE(LEFT(X41,4),MID(X41,5,2),RIGHT(X41,2)),IFERROR(DATEVALUE(SUBSTITUTE(SUBSTITUTE(X41,".","-"),"/","-")),IFERROR(X41*1,""))))</f>
        <v/>
      </c>
      <c r="M41" s="6">
        <f>IF(Y41="","",IF(AND(LEN(Y41)=8,ISNUMBER(Y41*1)),DATE(LEFT(Y41,4),MID(Y41,5,2),RIGHT(Y41,2)),IFERROR(DATEVALUE(SUBSTITUTE(SUBSTITUTE(Y41,".","-"),"/","-")),IFERROR(Y41*1,""))))</f>
        <v/>
      </c>
      <c r="N41">
        <f>IFERROR(LEFT(B41,FIND(" ",B41)-1),B41)</f>
        <v/>
      </c>
      <c r="O41">
        <f>AND(B41&lt;&gt;"",B41&lt;&gt;설정!$B$4,C41&lt;&gt;설정!$B$5)</f>
        <v/>
      </c>
      <c r="P41">
        <f>IF(O41,B41&amp;"|"&amp;C41,"")</f>
        <v/>
      </c>
      <c r="Q41">
        <f>AND(O41,COUNTIF(P42:P$1002,P41)=0)</f>
        <v/>
      </c>
      <c r="R41">
        <f>OR(AND(설정!$A$28&lt;&gt;"",ISNUMBER(SEARCH(설정!$A$28,E41&amp;" "&amp;C41))),AND(설정!$A$29&lt;&gt;"",ISNUMBER(SEARCH(설정!$A$29,E41&amp;" "&amp;C41))),AND(설정!$A$30&lt;&gt;"",ISNUMBER(SEARCH(설정!$A$30,E41&amp;" "&amp;C41))),AND(설정!$A$31&lt;&gt;"",ISNUMBER(SEARCH(설정!$A$31,E41&amp;" "&amp;C41))),AND(설정!$A$32&lt;&gt;"",ISNUMBER(SEARCH(설정!$A$32,E41&amp;" "&amp;C41))),AND(설정!$A$33&lt;&gt;"",ISNUMBER(SEARCH(설정!$A$33,E41&amp;" "&amp;C41))),AND(설정!$A$34&lt;&gt;"",ISNUMBER(SEARCH(설정!$A$34,E41&amp;" "&amp;C41))),AND(설정!$A$35&lt;&gt;"",ISNUMBER(SEARCH(설정!$A$35,E41&amp;" "&amp;C41))),AND(설정!$A$36&lt;&gt;"",ISNUMBER(SEARCH(설정!$A$36,E41&amp;" "&amp;C41))),AND(설정!$A$37&lt;&gt;"",ISNUMBER(SEARCH(설정!$A$37,E41&amp;" "&amp;C41))))</f>
        <v/>
      </c>
      <c r="S41">
        <f>OR(D41="",D41&gt;=설정!$B$19)</f>
        <v/>
      </c>
      <c r="T41">
        <f>AND(Q41,R41,S41)</f>
        <v/>
      </c>
      <c r="U41">
        <f>IF(T41,IF(AND(설정!$A$41&lt;&gt;"",ISNUMBER(SEARCH(설정!$A$41,K41))),설정!$B$41,IF(AND(설정!$A$42&lt;&gt;"",ISNUMBER(SEARCH(설정!$A$42,K41))),설정!$B$42,IF(AND(설정!$A$43&lt;&gt;"",ISNUMBER(SEARCH(설정!$A$43,K41))),설정!$B$43,IF(AND(설정!$A$44&lt;&gt;"",ISNUMBER(SEARCH(설정!$A$44,K41))),설정!$B$44,IF(AND(설정!$A$45&lt;&gt;"",ISNUMBER(SEARCH(설정!$A$45,K41))),설정!$B$45,IF(AND(설정!$A$46&lt;&gt;"",ISNUMBER(SEARCH(설정!$A$46,K41))),설정!$B$46,IF(AND(설정!$A$47&lt;&gt;"",ISNUMBER(SEARCH(설정!$A$47,K41))),설정!$B$47,IF(AND(설정!$A$48&lt;&gt;"",ISNUMBER(SEARCH(설정!$A$48,K41))),설정!$B$48,IF(M41="","설계사","시공사"))))))))),"")</f>
        <v/>
      </c>
      <c r="V41">
        <f>SUBSTITUTE(SUBSTITUTE(SUBSTITUTE(SUBSTITUTE(G41,"(주)",""),"㈜",""),"주식회사","")," ","")</f>
        <v/>
      </c>
      <c r="W41">
        <f>IF(AND(T41,V41&lt;&gt;""),IF(COUNTIFS(V$2:V41,V41,T$2:T41,TRUE)=1,MAX(W$1:W40)+1,""),"")</f>
        <v/>
      </c>
      <c r="X41">
        <f>IFERROR(INDEX('1.산군_붙여넣기'!$A$1:$AZ$1001,ROW(),설정!$C$14)&amp;"","")</f>
        <v/>
      </c>
      <c r="Y41">
        <f>IFERROR(INDEX('1.산군_붙여넣기'!$A$1:$AZ$1001,ROW(),설정!$C$15)&amp;"","")</f>
        <v/>
      </c>
      <c r="Z41">
        <f>IF(T41,V41&amp;"|"&amp;U41,"")</f>
        <v/>
      </c>
    </row>
    <row r="42">
      <c r="A42">
        <f>ROW()</f>
        <v/>
      </c>
      <c r="B42">
        <f>IFERROR(INDEX('1.산군_붙여넣기'!$A$1:$AZ$1001,ROW(),설정!$C$4)&amp;"","")</f>
        <v/>
      </c>
      <c r="C42">
        <f>IFERROR(INDEX('1.산군_붙여넣기'!$A$1:$AZ$1001,ROW(),설정!$C$5)&amp;"","")</f>
        <v/>
      </c>
      <c r="D42" s="5">
        <f>IFERROR(VALUE(SUBSTITUTE(SUBSTITUTE(SUBSTITUTE(IFERROR(INDEX('1.산군_붙여넣기'!$A$1:$AZ$1001,ROW(),설정!$C$6)&amp;"",""),",",""),"㎡",""),"m2","")),"")</f>
        <v/>
      </c>
      <c r="E42">
        <f>IFERROR(INDEX('1.산군_붙여넣기'!$A$1:$AZ$1001,ROW(),설정!$C$7)&amp;"","")</f>
        <v/>
      </c>
      <c r="F42">
        <f>IFERROR(INDEX('1.산군_붙여넣기'!$A$1:$AZ$1001,ROW(),설정!$C$8)&amp;"","")</f>
        <v/>
      </c>
      <c r="G42">
        <f>IFERROR(INDEX('1.산군_붙여넣기'!$A$1:$AZ$1001,ROW(),설정!$C$9)&amp;"","")</f>
        <v/>
      </c>
      <c r="H42">
        <f>IFERROR(INDEX('1.산군_붙여넣기'!$A$1:$AZ$1001,ROW(),설정!$C$10)&amp;"","")</f>
        <v/>
      </c>
      <c r="I42">
        <f>IFERROR(INDEX('1.산군_붙여넣기'!$A$1:$AZ$1001,ROW(),설정!$C$11)&amp;"","")</f>
        <v/>
      </c>
      <c r="J42">
        <f>IFERROR(INDEX('1.산군_붙여넣기'!$A$1:$AZ$1001,ROW(),설정!$C$12)&amp;"","")</f>
        <v/>
      </c>
      <c r="K42">
        <f>IFERROR(INDEX('1.산군_붙여넣기'!$A$1:$AZ$1001,ROW(),설정!$C$13)&amp;"","")</f>
        <v/>
      </c>
      <c r="L42" s="6">
        <f>IF(X42="","",IF(AND(LEN(X42)=8,ISNUMBER(X42*1)),DATE(LEFT(X42,4),MID(X42,5,2),RIGHT(X42,2)),IFERROR(DATEVALUE(SUBSTITUTE(SUBSTITUTE(X42,".","-"),"/","-")),IFERROR(X42*1,""))))</f>
        <v/>
      </c>
      <c r="M42" s="6">
        <f>IF(Y42="","",IF(AND(LEN(Y42)=8,ISNUMBER(Y42*1)),DATE(LEFT(Y42,4),MID(Y42,5,2),RIGHT(Y42,2)),IFERROR(DATEVALUE(SUBSTITUTE(SUBSTITUTE(Y42,".","-"),"/","-")),IFERROR(Y42*1,""))))</f>
        <v/>
      </c>
      <c r="N42">
        <f>IFERROR(LEFT(B42,FIND(" ",B42)-1),B42)</f>
        <v/>
      </c>
      <c r="O42">
        <f>AND(B42&lt;&gt;"",B42&lt;&gt;설정!$B$4,C42&lt;&gt;설정!$B$5)</f>
        <v/>
      </c>
      <c r="P42">
        <f>IF(O42,B42&amp;"|"&amp;C42,"")</f>
        <v/>
      </c>
      <c r="Q42">
        <f>AND(O42,COUNTIF(P43:P$1002,P42)=0)</f>
        <v/>
      </c>
      <c r="R42">
        <f>OR(AND(설정!$A$28&lt;&gt;"",ISNUMBER(SEARCH(설정!$A$28,E42&amp;" "&amp;C42))),AND(설정!$A$29&lt;&gt;"",ISNUMBER(SEARCH(설정!$A$29,E42&amp;" "&amp;C42))),AND(설정!$A$30&lt;&gt;"",ISNUMBER(SEARCH(설정!$A$30,E42&amp;" "&amp;C42))),AND(설정!$A$31&lt;&gt;"",ISNUMBER(SEARCH(설정!$A$31,E42&amp;" "&amp;C42))),AND(설정!$A$32&lt;&gt;"",ISNUMBER(SEARCH(설정!$A$32,E42&amp;" "&amp;C42))),AND(설정!$A$33&lt;&gt;"",ISNUMBER(SEARCH(설정!$A$33,E42&amp;" "&amp;C42))),AND(설정!$A$34&lt;&gt;"",ISNUMBER(SEARCH(설정!$A$34,E42&amp;" "&amp;C42))),AND(설정!$A$35&lt;&gt;"",ISNUMBER(SEARCH(설정!$A$35,E42&amp;" "&amp;C42))),AND(설정!$A$36&lt;&gt;"",ISNUMBER(SEARCH(설정!$A$36,E42&amp;" "&amp;C42))),AND(설정!$A$37&lt;&gt;"",ISNUMBER(SEARCH(설정!$A$37,E42&amp;" "&amp;C42))))</f>
        <v/>
      </c>
      <c r="S42">
        <f>OR(D42="",D42&gt;=설정!$B$19)</f>
        <v/>
      </c>
      <c r="T42">
        <f>AND(Q42,R42,S42)</f>
        <v/>
      </c>
      <c r="U42">
        <f>IF(T42,IF(AND(설정!$A$41&lt;&gt;"",ISNUMBER(SEARCH(설정!$A$41,K42))),설정!$B$41,IF(AND(설정!$A$42&lt;&gt;"",ISNUMBER(SEARCH(설정!$A$42,K42))),설정!$B$42,IF(AND(설정!$A$43&lt;&gt;"",ISNUMBER(SEARCH(설정!$A$43,K42))),설정!$B$43,IF(AND(설정!$A$44&lt;&gt;"",ISNUMBER(SEARCH(설정!$A$44,K42))),설정!$B$44,IF(AND(설정!$A$45&lt;&gt;"",ISNUMBER(SEARCH(설정!$A$45,K42))),설정!$B$45,IF(AND(설정!$A$46&lt;&gt;"",ISNUMBER(SEARCH(설정!$A$46,K42))),설정!$B$46,IF(AND(설정!$A$47&lt;&gt;"",ISNUMBER(SEARCH(설정!$A$47,K42))),설정!$B$47,IF(AND(설정!$A$48&lt;&gt;"",ISNUMBER(SEARCH(설정!$A$48,K42))),설정!$B$48,IF(M42="","설계사","시공사"))))))))),"")</f>
        <v/>
      </c>
      <c r="V42">
        <f>SUBSTITUTE(SUBSTITUTE(SUBSTITUTE(SUBSTITUTE(G42,"(주)",""),"㈜",""),"주식회사","")," ","")</f>
        <v/>
      </c>
      <c r="W42">
        <f>IF(AND(T42,V42&lt;&gt;""),IF(COUNTIFS(V$2:V42,V42,T$2:T42,TRUE)=1,MAX(W$1:W41)+1,""),"")</f>
        <v/>
      </c>
      <c r="X42">
        <f>IFERROR(INDEX('1.산군_붙여넣기'!$A$1:$AZ$1001,ROW(),설정!$C$14)&amp;"","")</f>
        <v/>
      </c>
      <c r="Y42">
        <f>IFERROR(INDEX('1.산군_붙여넣기'!$A$1:$AZ$1001,ROW(),설정!$C$15)&amp;"","")</f>
        <v/>
      </c>
      <c r="Z42">
        <f>IF(T42,V42&amp;"|"&amp;U42,"")</f>
        <v/>
      </c>
    </row>
    <row r="43">
      <c r="A43">
        <f>ROW()</f>
        <v/>
      </c>
      <c r="B43">
        <f>IFERROR(INDEX('1.산군_붙여넣기'!$A$1:$AZ$1001,ROW(),설정!$C$4)&amp;"","")</f>
        <v/>
      </c>
      <c r="C43">
        <f>IFERROR(INDEX('1.산군_붙여넣기'!$A$1:$AZ$1001,ROW(),설정!$C$5)&amp;"","")</f>
        <v/>
      </c>
      <c r="D43" s="5">
        <f>IFERROR(VALUE(SUBSTITUTE(SUBSTITUTE(SUBSTITUTE(IFERROR(INDEX('1.산군_붙여넣기'!$A$1:$AZ$1001,ROW(),설정!$C$6)&amp;"",""),",",""),"㎡",""),"m2","")),"")</f>
        <v/>
      </c>
      <c r="E43">
        <f>IFERROR(INDEX('1.산군_붙여넣기'!$A$1:$AZ$1001,ROW(),설정!$C$7)&amp;"","")</f>
        <v/>
      </c>
      <c r="F43">
        <f>IFERROR(INDEX('1.산군_붙여넣기'!$A$1:$AZ$1001,ROW(),설정!$C$8)&amp;"","")</f>
        <v/>
      </c>
      <c r="G43">
        <f>IFERROR(INDEX('1.산군_붙여넣기'!$A$1:$AZ$1001,ROW(),설정!$C$9)&amp;"","")</f>
        <v/>
      </c>
      <c r="H43">
        <f>IFERROR(INDEX('1.산군_붙여넣기'!$A$1:$AZ$1001,ROW(),설정!$C$10)&amp;"","")</f>
        <v/>
      </c>
      <c r="I43">
        <f>IFERROR(INDEX('1.산군_붙여넣기'!$A$1:$AZ$1001,ROW(),설정!$C$11)&amp;"","")</f>
        <v/>
      </c>
      <c r="J43">
        <f>IFERROR(INDEX('1.산군_붙여넣기'!$A$1:$AZ$1001,ROW(),설정!$C$12)&amp;"","")</f>
        <v/>
      </c>
      <c r="K43">
        <f>IFERROR(INDEX('1.산군_붙여넣기'!$A$1:$AZ$1001,ROW(),설정!$C$13)&amp;"","")</f>
        <v/>
      </c>
      <c r="L43" s="6">
        <f>IF(X43="","",IF(AND(LEN(X43)=8,ISNUMBER(X43*1)),DATE(LEFT(X43,4),MID(X43,5,2),RIGHT(X43,2)),IFERROR(DATEVALUE(SUBSTITUTE(SUBSTITUTE(X43,".","-"),"/","-")),IFERROR(X43*1,""))))</f>
        <v/>
      </c>
      <c r="M43" s="6">
        <f>IF(Y43="","",IF(AND(LEN(Y43)=8,ISNUMBER(Y43*1)),DATE(LEFT(Y43,4),MID(Y43,5,2),RIGHT(Y43,2)),IFERROR(DATEVALUE(SUBSTITUTE(SUBSTITUTE(Y43,".","-"),"/","-")),IFERROR(Y43*1,""))))</f>
        <v/>
      </c>
      <c r="N43">
        <f>IFERROR(LEFT(B43,FIND(" ",B43)-1),B43)</f>
        <v/>
      </c>
      <c r="O43">
        <f>AND(B43&lt;&gt;"",B43&lt;&gt;설정!$B$4,C43&lt;&gt;설정!$B$5)</f>
        <v/>
      </c>
      <c r="P43">
        <f>IF(O43,B43&amp;"|"&amp;C43,"")</f>
        <v/>
      </c>
      <c r="Q43">
        <f>AND(O43,COUNTIF(P44:P$1002,P43)=0)</f>
        <v/>
      </c>
      <c r="R43">
        <f>OR(AND(설정!$A$28&lt;&gt;"",ISNUMBER(SEARCH(설정!$A$28,E43&amp;" "&amp;C43))),AND(설정!$A$29&lt;&gt;"",ISNUMBER(SEARCH(설정!$A$29,E43&amp;" "&amp;C43))),AND(설정!$A$30&lt;&gt;"",ISNUMBER(SEARCH(설정!$A$30,E43&amp;" "&amp;C43))),AND(설정!$A$31&lt;&gt;"",ISNUMBER(SEARCH(설정!$A$31,E43&amp;" "&amp;C43))),AND(설정!$A$32&lt;&gt;"",ISNUMBER(SEARCH(설정!$A$32,E43&amp;" "&amp;C43))),AND(설정!$A$33&lt;&gt;"",ISNUMBER(SEARCH(설정!$A$33,E43&amp;" "&amp;C43))),AND(설정!$A$34&lt;&gt;"",ISNUMBER(SEARCH(설정!$A$34,E43&amp;" "&amp;C43))),AND(설정!$A$35&lt;&gt;"",ISNUMBER(SEARCH(설정!$A$35,E43&amp;" "&amp;C43))),AND(설정!$A$36&lt;&gt;"",ISNUMBER(SEARCH(설정!$A$36,E43&amp;" "&amp;C43))),AND(설정!$A$37&lt;&gt;"",ISNUMBER(SEARCH(설정!$A$37,E43&amp;" "&amp;C43))))</f>
        <v/>
      </c>
      <c r="S43">
        <f>OR(D43="",D43&gt;=설정!$B$19)</f>
        <v/>
      </c>
      <c r="T43">
        <f>AND(Q43,R43,S43)</f>
        <v/>
      </c>
      <c r="U43">
        <f>IF(T43,IF(AND(설정!$A$41&lt;&gt;"",ISNUMBER(SEARCH(설정!$A$41,K43))),설정!$B$41,IF(AND(설정!$A$42&lt;&gt;"",ISNUMBER(SEARCH(설정!$A$42,K43))),설정!$B$42,IF(AND(설정!$A$43&lt;&gt;"",ISNUMBER(SEARCH(설정!$A$43,K43))),설정!$B$43,IF(AND(설정!$A$44&lt;&gt;"",ISNUMBER(SEARCH(설정!$A$44,K43))),설정!$B$44,IF(AND(설정!$A$45&lt;&gt;"",ISNUMBER(SEARCH(설정!$A$45,K43))),설정!$B$45,IF(AND(설정!$A$46&lt;&gt;"",ISNUMBER(SEARCH(설정!$A$46,K43))),설정!$B$46,IF(AND(설정!$A$47&lt;&gt;"",ISNUMBER(SEARCH(설정!$A$47,K43))),설정!$B$47,IF(AND(설정!$A$48&lt;&gt;"",ISNUMBER(SEARCH(설정!$A$48,K43))),설정!$B$48,IF(M43="","설계사","시공사"))))))))),"")</f>
        <v/>
      </c>
      <c r="V43">
        <f>SUBSTITUTE(SUBSTITUTE(SUBSTITUTE(SUBSTITUTE(G43,"(주)",""),"㈜",""),"주식회사","")," ","")</f>
        <v/>
      </c>
      <c r="W43">
        <f>IF(AND(T43,V43&lt;&gt;""),IF(COUNTIFS(V$2:V43,V43,T$2:T43,TRUE)=1,MAX(W$1:W42)+1,""),"")</f>
        <v/>
      </c>
      <c r="X43">
        <f>IFERROR(INDEX('1.산군_붙여넣기'!$A$1:$AZ$1001,ROW(),설정!$C$14)&amp;"","")</f>
        <v/>
      </c>
      <c r="Y43">
        <f>IFERROR(INDEX('1.산군_붙여넣기'!$A$1:$AZ$1001,ROW(),설정!$C$15)&amp;"","")</f>
        <v/>
      </c>
      <c r="Z43">
        <f>IF(T43,V43&amp;"|"&amp;U43,"")</f>
        <v/>
      </c>
    </row>
    <row r="44">
      <c r="A44">
        <f>ROW()</f>
        <v/>
      </c>
      <c r="B44">
        <f>IFERROR(INDEX('1.산군_붙여넣기'!$A$1:$AZ$1001,ROW(),설정!$C$4)&amp;"","")</f>
        <v/>
      </c>
      <c r="C44">
        <f>IFERROR(INDEX('1.산군_붙여넣기'!$A$1:$AZ$1001,ROW(),설정!$C$5)&amp;"","")</f>
        <v/>
      </c>
      <c r="D44" s="5">
        <f>IFERROR(VALUE(SUBSTITUTE(SUBSTITUTE(SUBSTITUTE(IFERROR(INDEX('1.산군_붙여넣기'!$A$1:$AZ$1001,ROW(),설정!$C$6)&amp;"",""),",",""),"㎡",""),"m2","")),"")</f>
        <v/>
      </c>
      <c r="E44">
        <f>IFERROR(INDEX('1.산군_붙여넣기'!$A$1:$AZ$1001,ROW(),설정!$C$7)&amp;"","")</f>
        <v/>
      </c>
      <c r="F44">
        <f>IFERROR(INDEX('1.산군_붙여넣기'!$A$1:$AZ$1001,ROW(),설정!$C$8)&amp;"","")</f>
        <v/>
      </c>
      <c r="G44">
        <f>IFERROR(INDEX('1.산군_붙여넣기'!$A$1:$AZ$1001,ROW(),설정!$C$9)&amp;"","")</f>
        <v/>
      </c>
      <c r="H44">
        <f>IFERROR(INDEX('1.산군_붙여넣기'!$A$1:$AZ$1001,ROW(),설정!$C$10)&amp;"","")</f>
        <v/>
      </c>
      <c r="I44">
        <f>IFERROR(INDEX('1.산군_붙여넣기'!$A$1:$AZ$1001,ROW(),설정!$C$11)&amp;"","")</f>
        <v/>
      </c>
      <c r="J44">
        <f>IFERROR(INDEX('1.산군_붙여넣기'!$A$1:$AZ$1001,ROW(),설정!$C$12)&amp;"","")</f>
        <v/>
      </c>
      <c r="K44">
        <f>IFERROR(INDEX('1.산군_붙여넣기'!$A$1:$AZ$1001,ROW(),설정!$C$13)&amp;"","")</f>
        <v/>
      </c>
      <c r="L44" s="6">
        <f>IF(X44="","",IF(AND(LEN(X44)=8,ISNUMBER(X44*1)),DATE(LEFT(X44,4),MID(X44,5,2),RIGHT(X44,2)),IFERROR(DATEVALUE(SUBSTITUTE(SUBSTITUTE(X44,".","-"),"/","-")),IFERROR(X44*1,""))))</f>
        <v/>
      </c>
      <c r="M44" s="6">
        <f>IF(Y44="","",IF(AND(LEN(Y44)=8,ISNUMBER(Y44*1)),DATE(LEFT(Y44,4),MID(Y44,5,2),RIGHT(Y44,2)),IFERROR(DATEVALUE(SUBSTITUTE(SUBSTITUTE(Y44,".","-"),"/","-")),IFERROR(Y44*1,""))))</f>
        <v/>
      </c>
      <c r="N44">
        <f>IFERROR(LEFT(B44,FIND(" ",B44)-1),B44)</f>
        <v/>
      </c>
      <c r="O44">
        <f>AND(B44&lt;&gt;"",B44&lt;&gt;설정!$B$4,C44&lt;&gt;설정!$B$5)</f>
        <v/>
      </c>
      <c r="P44">
        <f>IF(O44,B44&amp;"|"&amp;C44,"")</f>
        <v/>
      </c>
      <c r="Q44">
        <f>AND(O44,COUNTIF(P45:P$1002,P44)=0)</f>
        <v/>
      </c>
      <c r="R44">
        <f>OR(AND(설정!$A$28&lt;&gt;"",ISNUMBER(SEARCH(설정!$A$28,E44&amp;" "&amp;C44))),AND(설정!$A$29&lt;&gt;"",ISNUMBER(SEARCH(설정!$A$29,E44&amp;" "&amp;C44))),AND(설정!$A$30&lt;&gt;"",ISNUMBER(SEARCH(설정!$A$30,E44&amp;" "&amp;C44))),AND(설정!$A$31&lt;&gt;"",ISNUMBER(SEARCH(설정!$A$31,E44&amp;" "&amp;C44))),AND(설정!$A$32&lt;&gt;"",ISNUMBER(SEARCH(설정!$A$32,E44&amp;" "&amp;C44))),AND(설정!$A$33&lt;&gt;"",ISNUMBER(SEARCH(설정!$A$33,E44&amp;" "&amp;C44))),AND(설정!$A$34&lt;&gt;"",ISNUMBER(SEARCH(설정!$A$34,E44&amp;" "&amp;C44))),AND(설정!$A$35&lt;&gt;"",ISNUMBER(SEARCH(설정!$A$35,E44&amp;" "&amp;C44))),AND(설정!$A$36&lt;&gt;"",ISNUMBER(SEARCH(설정!$A$36,E44&amp;" "&amp;C44))),AND(설정!$A$37&lt;&gt;"",ISNUMBER(SEARCH(설정!$A$37,E44&amp;" "&amp;C44))))</f>
        <v/>
      </c>
      <c r="S44">
        <f>OR(D44="",D44&gt;=설정!$B$19)</f>
        <v/>
      </c>
      <c r="T44">
        <f>AND(Q44,R44,S44)</f>
        <v/>
      </c>
      <c r="U44">
        <f>IF(T44,IF(AND(설정!$A$41&lt;&gt;"",ISNUMBER(SEARCH(설정!$A$41,K44))),설정!$B$41,IF(AND(설정!$A$42&lt;&gt;"",ISNUMBER(SEARCH(설정!$A$42,K44))),설정!$B$42,IF(AND(설정!$A$43&lt;&gt;"",ISNUMBER(SEARCH(설정!$A$43,K44))),설정!$B$43,IF(AND(설정!$A$44&lt;&gt;"",ISNUMBER(SEARCH(설정!$A$44,K44))),설정!$B$44,IF(AND(설정!$A$45&lt;&gt;"",ISNUMBER(SEARCH(설정!$A$45,K44))),설정!$B$45,IF(AND(설정!$A$46&lt;&gt;"",ISNUMBER(SEARCH(설정!$A$46,K44))),설정!$B$46,IF(AND(설정!$A$47&lt;&gt;"",ISNUMBER(SEARCH(설정!$A$47,K44))),설정!$B$47,IF(AND(설정!$A$48&lt;&gt;"",ISNUMBER(SEARCH(설정!$A$48,K44))),설정!$B$48,IF(M44="","설계사","시공사"))))))))),"")</f>
        <v/>
      </c>
      <c r="V44">
        <f>SUBSTITUTE(SUBSTITUTE(SUBSTITUTE(SUBSTITUTE(G44,"(주)",""),"㈜",""),"주식회사","")," ","")</f>
        <v/>
      </c>
      <c r="W44">
        <f>IF(AND(T44,V44&lt;&gt;""),IF(COUNTIFS(V$2:V44,V44,T$2:T44,TRUE)=1,MAX(W$1:W43)+1,""),"")</f>
        <v/>
      </c>
      <c r="X44">
        <f>IFERROR(INDEX('1.산군_붙여넣기'!$A$1:$AZ$1001,ROW(),설정!$C$14)&amp;"","")</f>
        <v/>
      </c>
      <c r="Y44">
        <f>IFERROR(INDEX('1.산군_붙여넣기'!$A$1:$AZ$1001,ROW(),설정!$C$15)&amp;"","")</f>
        <v/>
      </c>
      <c r="Z44">
        <f>IF(T44,V44&amp;"|"&amp;U44,"")</f>
        <v/>
      </c>
    </row>
    <row r="45">
      <c r="A45">
        <f>ROW()</f>
        <v/>
      </c>
      <c r="B45">
        <f>IFERROR(INDEX('1.산군_붙여넣기'!$A$1:$AZ$1001,ROW(),설정!$C$4)&amp;"","")</f>
        <v/>
      </c>
      <c r="C45">
        <f>IFERROR(INDEX('1.산군_붙여넣기'!$A$1:$AZ$1001,ROW(),설정!$C$5)&amp;"","")</f>
        <v/>
      </c>
      <c r="D45" s="5">
        <f>IFERROR(VALUE(SUBSTITUTE(SUBSTITUTE(SUBSTITUTE(IFERROR(INDEX('1.산군_붙여넣기'!$A$1:$AZ$1001,ROW(),설정!$C$6)&amp;"",""),",",""),"㎡",""),"m2","")),"")</f>
        <v/>
      </c>
      <c r="E45">
        <f>IFERROR(INDEX('1.산군_붙여넣기'!$A$1:$AZ$1001,ROW(),설정!$C$7)&amp;"","")</f>
        <v/>
      </c>
      <c r="F45">
        <f>IFERROR(INDEX('1.산군_붙여넣기'!$A$1:$AZ$1001,ROW(),설정!$C$8)&amp;"","")</f>
        <v/>
      </c>
      <c r="G45">
        <f>IFERROR(INDEX('1.산군_붙여넣기'!$A$1:$AZ$1001,ROW(),설정!$C$9)&amp;"","")</f>
        <v/>
      </c>
      <c r="H45">
        <f>IFERROR(INDEX('1.산군_붙여넣기'!$A$1:$AZ$1001,ROW(),설정!$C$10)&amp;"","")</f>
        <v/>
      </c>
      <c r="I45">
        <f>IFERROR(INDEX('1.산군_붙여넣기'!$A$1:$AZ$1001,ROW(),설정!$C$11)&amp;"","")</f>
        <v/>
      </c>
      <c r="J45">
        <f>IFERROR(INDEX('1.산군_붙여넣기'!$A$1:$AZ$1001,ROW(),설정!$C$12)&amp;"","")</f>
        <v/>
      </c>
      <c r="K45">
        <f>IFERROR(INDEX('1.산군_붙여넣기'!$A$1:$AZ$1001,ROW(),설정!$C$13)&amp;"","")</f>
        <v/>
      </c>
      <c r="L45" s="6">
        <f>IF(X45="","",IF(AND(LEN(X45)=8,ISNUMBER(X45*1)),DATE(LEFT(X45,4),MID(X45,5,2),RIGHT(X45,2)),IFERROR(DATEVALUE(SUBSTITUTE(SUBSTITUTE(X45,".","-"),"/","-")),IFERROR(X45*1,""))))</f>
        <v/>
      </c>
      <c r="M45" s="6">
        <f>IF(Y45="","",IF(AND(LEN(Y45)=8,ISNUMBER(Y45*1)),DATE(LEFT(Y45,4),MID(Y45,5,2),RIGHT(Y45,2)),IFERROR(DATEVALUE(SUBSTITUTE(SUBSTITUTE(Y45,".","-"),"/","-")),IFERROR(Y45*1,""))))</f>
        <v/>
      </c>
      <c r="N45">
        <f>IFERROR(LEFT(B45,FIND(" ",B45)-1),B45)</f>
        <v/>
      </c>
      <c r="O45">
        <f>AND(B45&lt;&gt;"",B45&lt;&gt;설정!$B$4,C45&lt;&gt;설정!$B$5)</f>
        <v/>
      </c>
      <c r="P45">
        <f>IF(O45,B45&amp;"|"&amp;C45,"")</f>
        <v/>
      </c>
      <c r="Q45">
        <f>AND(O45,COUNTIF(P46:P$1002,P45)=0)</f>
        <v/>
      </c>
      <c r="R45">
        <f>OR(AND(설정!$A$28&lt;&gt;"",ISNUMBER(SEARCH(설정!$A$28,E45&amp;" "&amp;C45))),AND(설정!$A$29&lt;&gt;"",ISNUMBER(SEARCH(설정!$A$29,E45&amp;" "&amp;C45))),AND(설정!$A$30&lt;&gt;"",ISNUMBER(SEARCH(설정!$A$30,E45&amp;" "&amp;C45))),AND(설정!$A$31&lt;&gt;"",ISNUMBER(SEARCH(설정!$A$31,E45&amp;" "&amp;C45))),AND(설정!$A$32&lt;&gt;"",ISNUMBER(SEARCH(설정!$A$32,E45&amp;" "&amp;C45))),AND(설정!$A$33&lt;&gt;"",ISNUMBER(SEARCH(설정!$A$33,E45&amp;" "&amp;C45))),AND(설정!$A$34&lt;&gt;"",ISNUMBER(SEARCH(설정!$A$34,E45&amp;" "&amp;C45))),AND(설정!$A$35&lt;&gt;"",ISNUMBER(SEARCH(설정!$A$35,E45&amp;" "&amp;C45))),AND(설정!$A$36&lt;&gt;"",ISNUMBER(SEARCH(설정!$A$36,E45&amp;" "&amp;C45))),AND(설정!$A$37&lt;&gt;"",ISNUMBER(SEARCH(설정!$A$37,E45&amp;" "&amp;C45))))</f>
        <v/>
      </c>
      <c r="S45">
        <f>OR(D45="",D45&gt;=설정!$B$19)</f>
        <v/>
      </c>
      <c r="T45">
        <f>AND(Q45,R45,S45)</f>
        <v/>
      </c>
      <c r="U45">
        <f>IF(T45,IF(AND(설정!$A$41&lt;&gt;"",ISNUMBER(SEARCH(설정!$A$41,K45))),설정!$B$41,IF(AND(설정!$A$42&lt;&gt;"",ISNUMBER(SEARCH(설정!$A$42,K45))),설정!$B$42,IF(AND(설정!$A$43&lt;&gt;"",ISNUMBER(SEARCH(설정!$A$43,K45))),설정!$B$43,IF(AND(설정!$A$44&lt;&gt;"",ISNUMBER(SEARCH(설정!$A$44,K45))),설정!$B$44,IF(AND(설정!$A$45&lt;&gt;"",ISNUMBER(SEARCH(설정!$A$45,K45))),설정!$B$45,IF(AND(설정!$A$46&lt;&gt;"",ISNUMBER(SEARCH(설정!$A$46,K45))),설정!$B$46,IF(AND(설정!$A$47&lt;&gt;"",ISNUMBER(SEARCH(설정!$A$47,K45))),설정!$B$47,IF(AND(설정!$A$48&lt;&gt;"",ISNUMBER(SEARCH(설정!$A$48,K45))),설정!$B$48,IF(M45="","설계사","시공사"))))))))),"")</f>
        <v/>
      </c>
      <c r="V45">
        <f>SUBSTITUTE(SUBSTITUTE(SUBSTITUTE(SUBSTITUTE(G45,"(주)",""),"㈜",""),"주식회사","")," ","")</f>
        <v/>
      </c>
      <c r="W45">
        <f>IF(AND(T45,V45&lt;&gt;""),IF(COUNTIFS(V$2:V45,V45,T$2:T45,TRUE)=1,MAX(W$1:W44)+1,""),"")</f>
        <v/>
      </c>
      <c r="X45">
        <f>IFERROR(INDEX('1.산군_붙여넣기'!$A$1:$AZ$1001,ROW(),설정!$C$14)&amp;"","")</f>
        <v/>
      </c>
      <c r="Y45">
        <f>IFERROR(INDEX('1.산군_붙여넣기'!$A$1:$AZ$1001,ROW(),설정!$C$15)&amp;"","")</f>
        <v/>
      </c>
      <c r="Z45">
        <f>IF(T45,V45&amp;"|"&amp;U45,"")</f>
        <v/>
      </c>
    </row>
    <row r="46">
      <c r="A46">
        <f>ROW()</f>
        <v/>
      </c>
      <c r="B46">
        <f>IFERROR(INDEX('1.산군_붙여넣기'!$A$1:$AZ$1001,ROW(),설정!$C$4)&amp;"","")</f>
        <v/>
      </c>
      <c r="C46">
        <f>IFERROR(INDEX('1.산군_붙여넣기'!$A$1:$AZ$1001,ROW(),설정!$C$5)&amp;"","")</f>
        <v/>
      </c>
      <c r="D46" s="5">
        <f>IFERROR(VALUE(SUBSTITUTE(SUBSTITUTE(SUBSTITUTE(IFERROR(INDEX('1.산군_붙여넣기'!$A$1:$AZ$1001,ROW(),설정!$C$6)&amp;"",""),",",""),"㎡",""),"m2","")),"")</f>
        <v/>
      </c>
      <c r="E46">
        <f>IFERROR(INDEX('1.산군_붙여넣기'!$A$1:$AZ$1001,ROW(),설정!$C$7)&amp;"","")</f>
        <v/>
      </c>
      <c r="F46">
        <f>IFERROR(INDEX('1.산군_붙여넣기'!$A$1:$AZ$1001,ROW(),설정!$C$8)&amp;"","")</f>
        <v/>
      </c>
      <c r="G46">
        <f>IFERROR(INDEX('1.산군_붙여넣기'!$A$1:$AZ$1001,ROW(),설정!$C$9)&amp;"","")</f>
        <v/>
      </c>
      <c r="H46">
        <f>IFERROR(INDEX('1.산군_붙여넣기'!$A$1:$AZ$1001,ROW(),설정!$C$10)&amp;"","")</f>
        <v/>
      </c>
      <c r="I46">
        <f>IFERROR(INDEX('1.산군_붙여넣기'!$A$1:$AZ$1001,ROW(),설정!$C$11)&amp;"","")</f>
        <v/>
      </c>
      <c r="J46">
        <f>IFERROR(INDEX('1.산군_붙여넣기'!$A$1:$AZ$1001,ROW(),설정!$C$12)&amp;"","")</f>
        <v/>
      </c>
      <c r="K46">
        <f>IFERROR(INDEX('1.산군_붙여넣기'!$A$1:$AZ$1001,ROW(),설정!$C$13)&amp;"","")</f>
        <v/>
      </c>
      <c r="L46" s="6">
        <f>IF(X46="","",IF(AND(LEN(X46)=8,ISNUMBER(X46*1)),DATE(LEFT(X46,4),MID(X46,5,2),RIGHT(X46,2)),IFERROR(DATEVALUE(SUBSTITUTE(SUBSTITUTE(X46,".","-"),"/","-")),IFERROR(X46*1,""))))</f>
        <v/>
      </c>
      <c r="M46" s="6">
        <f>IF(Y46="","",IF(AND(LEN(Y46)=8,ISNUMBER(Y46*1)),DATE(LEFT(Y46,4),MID(Y46,5,2),RIGHT(Y46,2)),IFERROR(DATEVALUE(SUBSTITUTE(SUBSTITUTE(Y46,".","-"),"/","-")),IFERROR(Y46*1,""))))</f>
        <v/>
      </c>
      <c r="N46">
        <f>IFERROR(LEFT(B46,FIND(" ",B46)-1),B46)</f>
        <v/>
      </c>
      <c r="O46">
        <f>AND(B46&lt;&gt;"",B46&lt;&gt;설정!$B$4,C46&lt;&gt;설정!$B$5)</f>
        <v/>
      </c>
      <c r="P46">
        <f>IF(O46,B46&amp;"|"&amp;C46,"")</f>
        <v/>
      </c>
      <c r="Q46">
        <f>AND(O46,COUNTIF(P47:P$1002,P46)=0)</f>
        <v/>
      </c>
      <c r="R46">
        <f>OR(AND(설정!$A$28&lt;&gt;"",ISNUMBER(SEARCH(설정!$A$28,E46&amp;" "&amp;C46))),AND(설정!$A$29&lt;&gt;"",ISNUMBER(SEARCH(설정!$A$29,E46&amp;" "&amp;C46))),AND(설정!$A$30&lt;&gt;"",ISNUMBER(SEARCH(설정!$A$30,E46&amp;" "&amp;C46))),AND(설정!$A$31&lt;&gt;"",ISNUMBER(SEARCH(설정!$A$31,E46&amp;" "&amp;C46))),AND(설정!$A$32&lt;&gt;"",ISNUMBER(SEARCH(설정!$A$32,E46&amp;" "&amp;C46))),AND(설정!$A$33&lt;&gt;"",ISNUMBER(SEARCH(설정!$A$33,E46&amp;" "&amp;C46))),AND(설정!$A$34&lt;&gt;"",ISNUMBER(SEARCH(설정!$A$34,E46&amp;" "&amp;C46))),AND(설정!$A$35&lt;&gt;"",ISNUMBER(SEARCH(설정!$A$35,E46&amp;" "&amp;C46))),AND(설정!$A$36&lt;&gt;"",ISNUMBER(SEARCH(설정!$A$36,E46&amp;" "&amp;C46))),AND(설정!$A$37&lt;&gt;"",ISNUMBER(SEARCH(설정!$A$37,E46&amp;" "&amp;C46))))</f>
        <v/>
      </c>
      <c r="S46">
        <f>OR(D46="",D46&gt;=설정!$B$19)</f>
        <v/>
      </c>
      <c r="T46">
        <f>AND(Q46,R46,S46)</f>
        <v/>
      </c>
      <c r="U46">
        <f>IF(T46,IF(AND(설정!$A$41&lt;&gt;"",ISNUMBER(SEARCH(설정!$A$41,K46))),설정!$B$41,IF(AND(설정!$A$42&lt;&gt;"",ISNUMBER(SEARCH(설정!$A$42,K46))),설정!$B$42,IF(AND(설정!$A$43&lt;&gt;"",ISNUMBER(SEARCH(설정!$A$43,K46))),설정!$B$43,IF(AND(설정!$A$44&lt;&gt;"",ISNUMBER(SEARCH(설정!$A$44,K46))),설정!$B$44,IF(AND(설정!$A$45&lt;&gt;"",ISNUMBER(SEARCH(설정!$A$45,K46))),설정!$B$45,IF(AND(설정!$A$46&lt;&gt;"",ISNUMBER(SEARCH(설정!$A$46,K46))),설정!$B$46,IF(AND(설정!$A$47&lt;&gt;"",ISNUMBER(SEARCH(설정!$A$47,K46))),설정!$B$47,IF(AND(설정!$A$48&lt;&gt;"",ISNUMBER(SEARCH(설정!$A$48,K46))),설정!$B$48,IF(M46="","설계사","시공사"))))))))),"")</f>
        <v/>
      </c>
      <c r="V46">
        <f>SUBSTITUTE(SUBSTITUTE(SUBSTITUTE(SUBSTITUTE(G46,"(주)",""),"㈜",""),"주식회사","")," ","")</f>
        <v/>
      </c>
      <c r="W46">
        <f>IF(AND(T46,V46&lt;&gt;""),IF(COUNTIFS(V$2:V46,V46,T$2:T46,TRUE)=1,MAX(W$1:W45)+1,""),"")</f>
        <v/>
      </c>
      <c r="X46">
        <f>IFERROR(INDEX('1.산군_붙여넣기'!$A$1:$AZ$1001,ROW(),설정!$C$14)&amp;"","")</f>
        <v/>
      </c>
      <c r="Y46">
        <f>IFERROR(INDEX('1.산군_붙여넣기'!$A$1:$AZ$1001,ROW(),설정!$C$15)&amp;"","")</f>
        <v/>
      </c>
      <c r="Z46">
        <f>IF(T46,V46&amp;"|"&amp;U46,"")</f>
        <v/>
      </c>
    </row>
    <row r="47">
      <c r="A47">
        <f>ROW()</f>
        <v/>
      </c>
      <c r="B47">
        <f>IFERROR(INDEX('1.산군_붙여넣기'!$A$1:$AZ$1001,ROW(),설정!$C$4)&amp;"","")</f>
        <v/>
      </c>
      <c r="C47">
        <f>IFERROR(INDEX('1.산군_붙여넣기'!$A$1:$AZ$1001,ROW(),설정!$C$5)&amp;"","")</f>
        <v/>
      </c>
      <c r="D47" s="5">
        <f>IFERROR(VALUE(SUBSTITUTE(SUBSTITUTE(SUBSTITUTE(IFERROR(INDEX('1.산군_붙여넣기'!$A$1:$AZ$1001,ROW(),설정!$C$6)&amp;"",""),",",""),"㎡",""),"m2","")),"")</f>
        <v/>
      </c>
      <c r="E47">
        <f>IFERROR(INDEX('1.산군_붙여넣기'!$A$1:$AZ$1001,ROW(),설정!$C$7)&amp;"","")</f>
        <v/>
      </c>
      <c r="F47">
        <f>IFERROR(INDEX('1.산군_붙여넣기'!$A$1:$AZ$1001,ROW(),설정!$C$8)&amp;"","")</f>
        <v/>
      </c>
      <c r="G47">
        <f>IFERROR(INDEX('1.산군_붙여넣기'!$A$1:$AZ$1001,ROW(),설정!$C$9)&amp;"","")</f>
        <v/>
      </c>
      <c r="H47">
        <f>IFERROR(INDEX('1.산군_붙여넣기'!$A$1:$AZ$1001,ROW(),설정!$C$10)&amp;"","")</f>
        <v/>
      </c>
      <c r="I47">
        <f>IFERROR(INDEX('1.산군_붙여넣기'!$A$1:$AZ$1001,ROW(),설정!$C$11)&amp;"","")</f>
        <v/>
      </c>
      <c r="J47">
        <f>IFERROR(INDEX('1.산군_붙여넣기'!$A$1:$AZ$1001,ROW(),설정!$C$12)&amp;"","")</f>
        <v/>
      </c>
      <c r="K47">
        <f>IFERROR(INDEX('1.산군_붙여넣기'!$A$1:$AZ$1001,ROW(),설정!$C$13)&amp;"","")</f>
        <v/>
      </c>
      <c r="L47" s="6">
        <f>IF(X47="","",IF(AND(LEN(X47)=8,ISNUMBER(X47*1)),DATE(LEFT(X47,4),MID(X47,5,2),RIGHT(X47,2)),IFERROR(DATEVALUE(SUBSTITUTE(SUBSTITUTE(X47,".","-"),"/","-")),IFERROR(X47*1,""))))</f>
        <v/>
      </c>
      <c r="M47" s="6">
        <f>IF(Y47="","",IF(AND(LEN(Y47)=8,ISNUMBER(Y47*1)),DATE(LEFT(Y47,4),MID(Y47,5,2),RIGHT(Y47,2)),IFERROR(DATEVALUE(SUBSTITUTE(SUBSTITUTE(Y47,".","-"),"/","-")),IFERROR(Y47*1,""))))</f>
        <v/>
      </c>
      <c r="N47">
        <f>IFERROR(LEFT(B47,FIND(" ",B47)-1),B47)</f>
        <v/>
      </c>
      <c r="O47">
        <f>AND(B47&lt;&gt;"",B47&lt;&gt;설정!$B$4,C47&lt;&gt;설정!$B$5)</f>
        <v/>
      </c>
      <c r="P47">
        <f>IF(O47,B47&amp;"|"&amp;C47,"")</f>
        <v/>
      </c>
      <c r="Q47">
        <f>AND(O47,COUNTIF(P48:P$1002,P47)=0)</f>
        <v/>
      </c>
      <c r="R47">
        <f>OR(AND(설정!$A$28&lt;&gt;"",ISNUMBER(SEARCH(설정!$A$28,E47&amp;" "&amp;C47))),AND(설정!$A$29&lt;&gt;"",ISNUMBER(SEARCH(설정!$A$29,E47&amp;" "&amp;C47))),AND(설정!$A$30&lt;&gt;"",ISNUMBER(SEARCH(설정!$A$30,E47&amp;" "&amp;C47))),AND(설정!$A$31&lt;&gt;"",ISNUMBER(SEARCH(설정!$A$31,E47&amp;" "&amp;C47))),AND(설정!$A$32&lt;&gt;"",ISNUMBER(SEARCH(설정!$A$32,E47&amp;" "&amp;C47))),AND(설정!$A$33&lt;&gt;"",ISNUMBER(SEARCH(설정!$A$33,E47&amp;" "&amp;C47))),AND(설정!$A$34&lt;&gt;"",ISNUMBER(SEARCH(설정!$A$34,E47&amp;" "&amp;C47))),AND(설정!$A$35&lt;&gt;"",ISNUMBER(SEARCH(설정!$A$35,E47&amp;" "&amp;C47))),AND(설정!$A$36&lt;&gt;"",ISNUMBER(SEARCH(설정!$A$36,E47&amp;" "&amp;C47))),AND(설정!$A$37&lt;&gt;"",ISNUMBER(SEARCH(설정!$A$37,E47&amp;" "&amp;C47))))</f>
        <v/>
      </c>
      <c r="S47">
        <f>OR(D47="",D47&gt;=설정!$B$19)</f>
        <v/>
      </c>
      <c r="T47">
        <f>AND(Q47,R47,S47)</f>
        <v/>
      </c>
      <c r="U47">
        <f>IF(T47,IF(AND(설정!$A$41&lt;&gt;"",ISNUMBER(SEARCH(설정!$A$41,K47))),설정!$B$41,IF(AND(설정!$A$42&lt;&gt;"",ISNUMBER(SEARCH(설정!$A$42,K47))),설정!$B$42,IF(AND(설정!$A$43&lt;&gt;"",ISNUMBER(SEARCH(설정!$A$43,K47))),설정!$B$43,IF(AND(설정!$A$44&lt;&gt;"",ISNUMBER(SEARCH(설정!$A$44,K47))),설정!$B$44,IF(AND(설정!$A$45&lt;&gt;"",ISNUMBER(SEARCH(설정!$A$45,K47))),설정!$B$45,IF(AND(설정!$A$46&lt;&gt;"",ISNUMBER(SEARCH(설정!$A$46,K47))),설정!$B$46,IF(AND(설정!$A$47&lt;&gt;"",ISNUMBER(SEARCH(설정!$A$47,K47))),설정!$B$47,IF(AND(설정!$A$48&lt;&gt;"",ISNUMBER(SEARCH(설정!$A$48,K47))),설정!$B$48,IF(M47="","설계사","시공사"))))))))),"")</f>
        <v/>
      </c>
      <c r="V47">
        <f>SUBSTITUTE(SUBSTITUTE(SUBSTITUTE(SUBSTITUTE(G47,"(주)",""),"㈜",""),"주식회사","")," ","")</f>
        <v/>
      </c>
      <c r="W47">
        <f>IF(AND(T47,V47&lt;&gt;""),IF(COUNTIFS(V$2:V47,V47,T$2:T47,TRUE)=1,MAX(W$1:W46)+1,""),"")</f>
        <v/>
      </c>
      <c r="X47">
        <f>IFERROR(INDEX('1.산군_붙여넣기'!$A$1:$AZ$1001,ROW(),설정!$C$14)&amp;"","")</f>
        <v/>
      </c>
      <c r="Y47">
        <f>IFERROR(INDEX('1.산군_붙여넣기'!$A$1:$AZ$1001,ROW(),설정!$C$15)&amp;"","")</f>
        <v/>
      </c>
      <c r="Z47">
        <f>IF(T47,V47&amp;"|"&amp;U47,"")</f>
        <v/>
      </c>
    </row>
    <row r="48">
      <c r="A48">
        <f>ROW()</f>
        <v/>
      </c>
      <c r="B48">
        <f>IFERROR(INDEX('1.산군_붙여넣기'!$A$1:$AZ$1001,ROW(),설정!$C$4)&amp;"","")</f>
        <v/>
      </c>
      <c r="C48">
        <f>IFERROR(INDEX('1.산군_붙여넣기'!$A$1:$AZ$1001,ROW(),설정!$C$5)&amp;"","")</f>
        <v/>
      </c>
      <c r="D48" s="5">
        <f>IFERROR(VALUE(SUBSTITUTE(SUBSTITUTE(SUBSTITUTE(IFERROR(INDEX('1.산군_붙여넣기'!$A$1:$AZ$1001,ROW(),설정!$C$6)&amp;"",""),",",""),"㎡",""),"m2","")),"")</f>
        <v/>
      </c>
      <c r="E48">
        <f>IFERROR(INDEX('1.산군_붙여넣기'!$A$1:$AZ$1001,ROW(),설정!$C$7)&amp;"","")</f>
        <v/>
      </c>
      <c r="F48">
        <f>IFERROR(INDEX('1.산군_붙여넣기'!$A$1:$AZ$1001,ROW(),설정!$C$8)&amp;"","")</f>
        <v/>
      </c>
      <c r="G48">
        <f>IFERROR(INDEX('1.산군_붙여넣기'!$A$1:$AZ$1001,ROW(),설정!$C$9)&amp;"","")</f>
        <v/>
      </c>
      <c r="H48">
        <f>IFERROR(INDEX('1.산군_붙여넣기'!$A$1:$AZ$1001,ROW(),설정!$C$10)&amp;"","")</f>
        <v/>
      </c>
      <c r="I48">
        <f>IFERROR(INDEX('1.산군_붙여넣기'!$A$1:$AZ$1001,ROW(),설정!$C$11)&amp;"","")</f>
        <v/>
      </c>
      <c r="J48">
        <f>IFERROR(INDEX('1.산군_붙여넣기'!$A$1:$AZ$1001,ROW(),설정!$C$12)&amp;"","")</f>
        <v/>
      </c>
      <c r="K48">
        <f>IFERROR(INDEX('1.산군_붙여넣기'!$A$1:$AZ$1001,ROW(),설정!$C$13)&amp;"","")</f>
        <v/>
      </c>
      <c r="L48" s="6">
        <f>IF(X48="","",IF(AND(LEN(X48)=8,ISNUMBER(X48*1)),DATE(LEFT(X48,4),MID(X48,5,2),RIGHT(X48,2)),IFERROR(DATEVALUE(SUBSTITUTE(SUBSTITUTE(X48,".","-"),"/","-")),IFERROR(X48*1,""))))</f>
        <v/>
      </c>
      <c r="M48" s="6">
        <f>IF(Y48="","",IF(AND(LEN(Y48)=8,ISNUMBER(Y48*1)),DATE(LEFT(Y48,4),MID(Y48,5,2),RIGHT(Y48,2)),IFERROR(DATEVALUE(SUBSTITUTE(SUBSTITUTE(Y48,".","-"),"/","-")),IFERROR(Y48*1,""))))</f>
        <v/>
      </c>
      <c r="N48">
        <f>IFERROR(LEFT(B48,FIND(" ",B48)-1),B48)</f>
        <v/>
      </c>
      <c r="O48">
        <f>AND(B48&lt;&gt;"",B48&lt;&gt;설정!$B$4,C48&lt;&gt;설정!$B$5)</f>
        <v/>
      </c>
      <c r="P48">
        <f>IF(O48,B48&amp;"|"&amp;C48,"")</f>
        <v/>
      </c>
      <c r="Q48">
        <f>AND(O48,COUNTIF(P49:P$1002,P48)=0)</f>
        <v/>
      </c>
      <c r="R48">
        <f>OR(AND(설정!$A$28&lt;&gt;"",ISNUMBER(SEARCH(설정!$A$28,E48&amp;" "&amp;C48))),AND(설정!$A$29&lt;&gt;"",ISNUMBER(SEARCH(설정!$A$29,E48&amp;" "&amp;C48))),AND(설정!$A$30&lt;&gt;"",ISNUMBER(SEARCH(설정!$A$30,E48&amp;" "&amp;C48))),AND(설정!$A$31&lt;&gt;"",ISNUMBER(SEARCH(설정!$A$31,E48&amp;" "&amp;C48))),AND(설정!$A$32&lt;&gt;"",ISNUMBER(SEARCH(설정!$A$32,E48&amp;" "&amp;C48))),AND(설정!$A$33&lt;&gt;"",ISNUMBER(SEARCH(설정!$A$33,E48&amp;" "&amp;C48))),AND(설정!$A$34&lt;&gt;"",ISNUMBER(SEARCH(설정!$A$34,E48&amp;" "&amp;C48))),AND(설정!$A$35&lt;&gt;"",ISNUMBER(SEARCH(설정!$A$35,E48&amp;" "&amp;C48))),AND(설정!$A$36&lt;&gt;"",ISNUMBER(SEARCH(설정!$A$36,E48&amp;" "&amp;C48))),AND(설정!$A$37&lt;&gt;"",ISNUMBER(SEARCH(설정!$A$37,E48&amp;" "&amp;C48))))</f>
        <v/>
      </c>
      <c r="S48">
        <f>OR(D48="",D48&gt;=설정!$B$19)</f>
        <v/>
      </c>
      <c r="T48">
        <f>AND(Q48,R48,S48)</f>
        <v/>
      </c>
      <c r="U48">
        <f>IF(T48,IF(AND(설정!$A$41&lt;&gt;"",ISNUMBER(SEARCH(설정!$A$41,K48))),설정!$B$41,IF(AND(설정!$A$42&lt;&gt;"",ISNUMBER(SEARCH(설정!$A$42,K48))),설정!$B$42,IF(AND(설정!$A$43&lt;&gt;"",ISNUMBER(SEARCH(설정!$A$43,K48))),설정!$B$43,IF(AND(설정!$A$44&lt;&gt;"",ISNUMBER(SEARCH(설정!$A$44,K48))),설정!$B$44,IF(AND(설정!$A$45&lt;&gt;"",ISNUMBER(SEARCH(설정!$A$45,K48))),설정!$B$45,IF(AND(설정!$A$46&lt;&gt;"",ISNUMBER(SEARCH(설정!$A$46,K48))),설정!$B$46,IF(AND(설정!$A$47&lt;&gt;"",ISNUMBER(SEARCH(설정!$A$47,K48))),설정!$B$47,IF(AND(설정!$A$48&lt;&gt;"",ISNUMBER(SEARCH(설정!$A$48,K48))),설정!$B$48,IF(M48="","설계사","시공사"))))))))),"")</f>
        <v/>
      </c>
      <c r="V48">
        <f>SUBSTITUTE(SUBSTITUTE(SUBSTITUTE(SUBSTITUTE(G48,"(주)",""),"㈜",""),"주식회사","")," ","")</f>
        <v/>
      </c>
      <c r="W48">
        <f>IF(AND(T48,V48&lt;&gt;""),IF(COUNTIFS(V$2:V48,V48,T$2:T48,TRUE)=1,MAX(W$1:W47)+1,""),"")</f>
        <v/>
      </c>
      <c r="X48">
        <f>IFERROR(INDEX('1.산군_붙여넣기'!$A$1:$AZ$1001,ROW(),설정!$C$14)&amp;"","")</f>
        <v/>
      </c>
      <c r="Y48">
        <f>IFERROR(INDEX('1.산군_붙여넣기'!$A$1:$AZ$1001,ROW(),설정!$C$15)&amp;"","")</f>
        <v/>
      </c>
      <c r="Z48">
        <f>IF(T48,V48&amp;"|"&amp;U48,"")</f>
        <v/>
      </c>
    </row>
    <row r="49">
      <c r="A49">
        <f>ROW()</f>
        <v/>
      </c>
      <c r="B49">
        <f>IFERROR(INDEX('1.산군_붙여넣기'!$A$1:$AZ$1001,ROW(),설정!$C$4)&amp;"","")</f>
        <v/>
      </c>
      <c r="C49">
        <f>IFERROR(INDEX('1.산군_붙여넣기'!$A$1:$AZ$1001,ROW(),설정!$C$5)&amp;"","")</f>
        <v/>
      </c>
      <c r="D49" s="5">
        <f>IFERROR(VALUE(SUBSTITUTE(SUBSTITUTE(SUBSTITUTE(IFERROR(INDEX('1.산군_붙여넣기'!$A$1:$AZ$1001,ROW(),설정!$C$6)&amp;"",""),",",""),"㎡",""),"m2","")),"")</f>
        <v/>
      </c>
      <c r="E49">
        <f>IFERROR(INDEX('1.산군_붙여넣기'!$A$1:$AZ$1001,ROW(),설정!$C$7)&amp;"","")</f>
        <v/>
      </c>
      <c r="F49">
        <f>IFERROR(INDEX('1.산군_붙여넣기'!$A$1:$AZ$1001,ROW(),설정!$C$8)&amp;"","")</f>
        <v/>
      </c>
      <c r="G49">
        <f>IFERROR(INDEX('1.산군_붙여넣기'!$A$1:$AZ$1001,ROW(),설정!$C$9)&amp;"","")</f>
        <v/>
      </c>
      <c r="H49">
        <f>IFERROR(INDEX('1.산군_붙여넣기'!$A$1:$AZ$1001,ROW(),설정!$C$10)&amp;"","")</f>
        <v/>
      </c>
      <c r="I49">
        <f>IFERROR(INDEX('1.산군_붙여넣기'!$A$1:$AZ$1001,ROW(),설정!$C$11)&amp;"","")</f>
        <v/>
      </c>
      <c r="J49">
        <f>IFERROR(INDEX('1.산군_붙여넣기'!$A$1:$AZ$1001,ROW(),설정!$C$12)&amp;"","")</f>
        <v/>
      </c>
      <c r="K49">
        <f>IFERROR(INDEX('1.산군_붙여넣기'!$A$1:$AZ$1001,ROW(),설정!$C$13)&amp;"","")</f>
        <v/>
      </c>
      <c r="L49" s="6">
        <f>IF(X49="","",IF(AND(LEN(X49)=8,ISNUMBER(X49*1)),DATE(LEFT(X49,4),MID(X49,5,2),RIGHT(X49,2)),IFERROR(DATEVALUE(SUBSTITUTE(SUBSTITUTE(X49,".","-"),"/","-")),IFERROR(X49*1,""))))</f>
        <v/>
      </c>
      <c r="M49" s="6">
        <f>IF(Y49="","",IF(AND(LEN(Y49)=8,ISNUMBER(Y49*1)),DATE(LEFT(Y49,4),MID(Y49,5,2),RIGHT(Y49,2)),IFERROR(DATEVALUE(SUBSTITUTE(SUBSTITUTE(Y49,".","-"),"/","-")),IFERROR(Y49*1,""))))</f>
        <v/>
      </c>
      <c r="N49">
        <f>IFERROR(LEFT(B49,FIND(" ",B49)-1),B49)</f>
        <v/>
      </c>
      <c r="O49">
        <f>AND(B49&lt;&gt;"",B49&lt;&gt;설정!$B$4,C49&lt;&gt;설정!$B$5)</f>
        <v/>
      </c>
      <c r="P49">
        <f>IF(O49,B49&amp;"|"&amp;C49,"")</f>
        <v/>
      </c>
      <c r="Q49">
        <f>AND(O49,COUNTIF(P50:P$1002,P49)=0)</f>
        <v/>
      </c>
      <c r="R49">
        <f>OR(AND(설정!$A$28&lt;&gt;"",ISNUMBER(SEARCH(설정!$A$28,E49&amp;" "&amp;C49))),AND(설정!$A$29&lt;&gt;"",ISNUMBER(SEARCH(설정!$A$29,E49&amp;" "&amp;C49))),AND(설정!$A$30&lt;&gt;"",ISNUMBER(SEARCH(설정!$A$30,E49&amp;" "&amp;C49))),AND(설정!$A$31&lt;&gt;"",ISNUMBER(SEARCH(설정!$A$31,E49&amp;" "&amp;C49))),AND(설정!$A$32&lt;&gt;"",ISNUMBER(SEARCH(설정!$A$32,E49&amp;" "&amp;C49))),AND(설정!$A$33&lt;&gt;"",ISNUMBER(SEARCH(설정!$A$33,E49&amp;" "&amp;C49))),AND(설정!$A$34&lt;&gt;"",ISNUMBER(SEARCH(설정!$A$34,E49&amp;" "&amp;C49))),AND(설정!$A$35&lt;&gt;"",ISNUMBER(SEARCH(설정!$A$35,E49&amp;" "&amp;C49))),AND(설정!$A$36&lt;&gt;"",ISNUMBER(SEARCH(설정!$A$36,E49&amp;" "&amp;C49))),AND(설정!$A$37&lt;&gt;"",ISNUMBER(SEARCH(설정!$A$37,E49&amp;" "&amp;C49))))</f>
        <v/>
      </c>
      <c r="S49">
        <f>OR(D49="",D49&gt;=설정!$B$19)</f>
        <v/>
      </c>
      <c r="T49">
        <f>AND(Q49,R49,S49)</f>
        <v/>
      </c>
      <c r="U49">
        <f>IF(T49,IF(AND(설정!$A$41&lt;&gt;"",ISNUMBER(SEARCH(설정!$A$41,K49))),설정!$B$41,IF(AND(설정!$A$42&lt;&gt;"",ISNUMBER(SEARCH(설정!$A$42,K49))),설정!$B$42,IF(AND(설정!$A$43&lt;&gt;"",ISNUMBER(SEARCH(설정!$A$43,K49))),설정!$B$43,IF(AND(설정!$A$44&lt;&gt;"",ISNUMBER(SEARCH(설정!$A$44,K49))),설정!$B$44,IF(AND(설정!$A$45&lt;&gt;"",ISNUMBER(SEARCH(설정!$A$45,K49))),설정!$B$45,IF(AND(설정!$A$46&lt;&gt;"",ISNUMBER(SEARCH(설정!$A$46,K49))),설정!$B$46,IF(AND(설정!$A$47&lt;&gt;"",ISNUMBER(SEARCH(설정!$A$47,K49))),설정!$B$47,IF(AND(설정!$A$48&lt;&gt;"",ISNUMBER(SEARCH(설정!$A$48,K49))),설정!$B$48,IF(M49="","설계사","시공사"))))))))),"")</f>
        <v/>
      </c>
      <c r="V49">
        <f>SUBSTITUTE(SUBSTITUTE(SUBSTITUTE(SUBSTITUTE(G49,"(주)",""),"㈜",""),"주식회사","")," ","")</f>
        <v/>
      </c>
      <c r="W49">
        <f>IF(AND(T49,V49&lt;&gt;""),IF(COUNTIFS(V$2:V49,V49,T$2:T49,TRUE)=1,MAX(W$1:W48)+1,""),"")</f>
        <v/>
      </c>
      <c r="X49">
        <f>IFERROR(INDEX('1.산군_붙여넣기'!$A$1:$AZ$1001,ROW(),설정!$C$14)&amp;"","")</f>
        <v/>
      </c>
      <c r="Y49">
        <f>IFERROR(INDEX('1.산군_붙여넣기'!$A$1:$AZ$1001,ROW(),설정!$C$15)&amp;"","")</f>
        <v/>
      </c>
      <c r="Z49">
        <f>IF(T49,V49&amp;"|"&amp;U49,"")</f>
        <v/>
      </c>
    </row>
    <row r="50">
      <c r="A50">
        <f>ROW()</f>
        <v/>
      </c>
      <c r="B50">
        <f>IFERROR(INDEX('1.산군_붙여넣기'!$A$1:$AZ$1001,ROW(),설정!$C$4)&amp;"","")</f>
        <v/>
      </c>
      <c r="C50">
        <f>IFERROR(INDEX('1.산군_붙여넣기'!$A$1:$AZ$1001,ROW(),설정!$C$5)&amp;"","")</f>
        <v/>
      </c>
      <c r="D50" s="5">
        <f>IFERROR(VALUE(SUBSTITUTE(SUBSTITUTE(SUBSTITUTE(IFERROR(INDEX('1.산군_붙여넣기'!$A$1:$AZ$1001,ROW(),설정!$C$6)&amp;"",""),",",""),"㎡",""),"m2","")),"")</f>
        <v/>
      </c>
      <c r="E50">
        <f>IFERROR(INDEX('1.산군_붙여넣기'!$A$1:$AZ$1001,ROW(),설정!$C$7)&amp;"","")</f>
        <v/>
      </c>
      <c r="F50">
        <f>IFERROR(INDEX('1.산군_붙여넣기'!$A$1:$AZ$1001,ROW(),설정!$C$8)&amp;"","")</f>
        <v/>
      </c>
      <c r="G50">
        <f>IFERROR(INDEX('1.산군_붙여넣기'!$A$1:$AZ$1001,ROW(),설정!$C$9)&amp;"","")</f>
        <v/>
      </c>
      <c r="H50">
        <f>IFERROR(INDEX('1.산군_붙여넣기'!$A$1:$AZ$1001,ROW(),설정!$C$10)&amp;"","")</f>
        <v/>
      </c>
      <c r="I50">
        <f>IFERROR(INDEX('1.산군_붙여넣기'!$A$1:$AZ$1001,ROW(),설정!$C$11)&amp;"","")</f>
        <v/>
      </c>
      <c r="J50">
        <f>IFERROR(INDEX('1.산군_붙여넣기'!$A$1:$AZ$1001,ROW(),설정!$C$12)&amp;"","")</f>
        <v/>
      </c>
      <c r="K50">
        <f>IFERROR(INDEX('1.산군_붙여넣기'!$A$1:$AZ$1001,ROW(),설정!$C$13)&amp;"","")</f>
        <v/>
      </c>
      <c r="L50" s="6">
        <f>IF(X50="","",IF(AND(LEN(X50)=8,ISNUMBER(X50*1)),DATE(LEFT(X50,4),MID(X50,5,2),RIGHT(X50,2)),IFERROR(DATEVALUE(SUBSTITUTE(SUBSTITUTE(X50,".","-"),"/","-")),IFERROR(X50*1,""))))</f>
        <v/>
      </c>
      <c r="M50" s="6">
        <f>IF(Y50="","",IF(AND(LEN(Y50)=8,ISNUMBER(Y50*1)),DATE(LEFT(Y50,4),MID(Y50,5,2),RIGHT(Y50,2)),IFERROR(DATEVALUE(SUBSTITUTE(SUBSTITUTE(Y50,".","-"),"/","-")),IFERROR(Y50*1,""))))</f>
        <v/>
      </c>
      <c r="N50">
        <f>IFERROR(LEFT(B50,FIND(" ",B50)-1),B50)</f>
        <v/>
      </c>
      <c r="O50">
        <f>AND(B50&lt;&gt;"",B50&lt;&gt;설정!$B$4,C50&lt;&gt;설정!$B$5)</f>
        <v/>
      </c>
      <c r="P50">
        <f>IF(O50,B50&amp;"|"&amp;C50,"")</f>
        <v/>
      </c>
      <c r="Q50">
        <f>AND(O50,COUNTIF(P51:P$1002,P50)=0)</f>
        <v/>
      </c>
      <c r="R50">
        <f>OR(AND(설정!$A$28&lt;&gt;"",ISNUMBER(SEARCH(설정!$A$28,E50&amp;" "&amp;C50))),AND(설정!$A$29&lt;&gt;"",ISNUMBER(SEARCH(설정!$A$29,E50&amp;" "&amp;C50))),AND(설정!$A$30&lt;&gt;"",ISNUMBER(SEARCH(설정!$A$30,E50&amp;" "&amp;C50))),AND(설정!$A$31&lt;&gt;"",ISNUMBER(SEARCH(설정!$A$31,E50&amp;" "&amp;C50))),AND(설정!$A$32&lt;&gt;"",ISNUMBER(SEARCH(설정!$A$32,E50&amp;" "&amp;C50))),AND(설정!$A$33&lt;&gt;"",ISNUMBER(SEARCH(설정!$A$33,E50&amp;" "&amp;C50))),AND(설정!$A$34&lt;&gt;"",ISNUMBER(SEARCH(설정!$A$34,E50&amp;" "&amp;C50))),AND(설정!$A$35&lt;&gt;"",ISNUMBER(SEARCH(설정!$A$35,E50&amp;" "&amp;C50))),AND(설정!$A$36&lt;&gt;"",ISNUMBER(SEARCH(설정!$A$36,E50&amp;" "&amp;C50))),AND(설정!$A$37&lt;&gt;"",ISNUMBER(SEARCH(설정!$A$37,E50&amp;" "&amp;C50))))</f>
        <v/>
      </c>
      <c r="S50">
        <f>OR(D50="",D50&gt;=설정!$B$19)</f>
        <v/>
      </c>
      <c r="T50">
        <f>AND(Q50,R50,S50)</f>
        <v/>
      </c>
      <c r="U50">
        <f>IF(T50,IF(AND(설정!$A$41&lt;&gt;"",ISNUMBER(SEARCH(설정!$A$41,K50))),설정!$B$41,IF(AND(설정!$A$42&lt;&gt;"",ISNUMBER(SEARCH(설정!$A$42,K50))),설정!$B$42,IF(AND(설정!$A$43&lt;&gt;"",ISNUMBER(SEARCH(설정!$A$43,K50))),설정!$B$43,IF(AND(설정!$A$44&lt;&gt;"",ISNUMBER(SEARCH(설정!$A$44,K50))),설정!$B$44,IF(AND(설정!$A$45&lt;&gt;"",ISNUMBER(SEARCH(설정!$A$45,K50))),설정!$B$45,IF(AND(설정!$A$46&lt;&gt;"",ISNUMBER(SEARCH(설정!$A$46,K50))),설정!$B$46,IF(AND(설정!$A$47&lt;&gt;"",ISNUMBER(SEARCH(설정!$A$47,K50))),설정!$B$47,IF(AND(설정!$A$48&lt;&gt;"",ISNUMBER(SEARCH(설정!$A$48,K50))),설정!$B$48,IF(M50="","설계사","시공사"))))))))),"")</f>
        <v/>
      </c>
      <c r="V50">
        <f>SUBSTITUTE(SUBSTITUTE(SUBSTITUTE(SUBSTITUTE(G50,"(주)",""),"㈜",""),"주식회사","")," ","")</f>
        <v/>
      </c>
      <c r="W50">
        <f>IF(AND(T50,V50&lt;&gt;""),IF(COUNTIFS(V$2:V50,V50,T$2:T50,TRUE)=1,MAX(W$1:W49)+1,""),"")</f>
        <v/>
      </c>
      <c r="X50">
        <f>IFERROR(INDEX('1.산군_붙여넣기'!$A$1:$AZ$1001,ROW(),설정!$C$14)&amp;"","")</f>
        <v/>
      </c>
      <c r="Y50">
        <f>IFERROR(INDEX('1.산군_붙여넣기'!$A$1:$AZ$1001,ROW(),설정!$C$15)&amp;"","")</f>
        <v/>
      </c>
      <c r="Z50">
        <f>IF(T50,V50&amp;"|"&amp;U50,"")</f>
        <v/>
      </c>
    </row>
    <row r="51">
      <c r="A51">
        <f>ROW()</f>
        <v/>
      </c>
      <c r="B51">
        <f>IFERROR(INDEX('1.산군_붙여넣기'!$A$1:$AZ$1001,ROW(),설정!$C$4)&amp;"","")</f>
        <v/>
      </c>
      <c r="C51">
        <f>IFERROR(INDEX('1.산군_붙여넣기'!$A$1:$AZ$1001,ROW(),설정!$C$5)&amp;"","")</f>
        <v/>
      </c>
      <c r="D51" s="5">
        <f>IFERROR(VALUE(SUBSTITUTE(SUBSTITUTE(SUBSTITUTE(IFERROR(INDEX('1.산군_붙여넣기'!$A$1:$AZ$1001,ROW(),설정!$C$6)&amp;"",""),",",""),"㎡",""),"m2","")),"")</f>
        <v/>
      </c>
      <c r="E51">
        <f>IFERROR(INDEX('1.산군_붙여넣기'!$A$1:$AZ$1001,ROW(),설정!$C$7)&amp;"","")</f>
        <v/>
      </c>
      <c r="F51">
        <f>IFERROR(INDEX('1.산군_붙여넣기'!$A$1:$AZ$1001,ROW(),설정!$C$8)&amp;"","")</f>
        <v/>
      </c>
      <c r="G51">
        <f>IFERROR(INDEX('1.산군_붙여넣기'!$A$1:$AZ$1001,ROW(),설정!$C$9)&amp;"","")</f>
        <v/>
      </c>
      <c r="H51">
        <f>IFERROR(INDEX('1.산군_붙여넣기'!$A$1:$AZ$1001,ROW(),설정!$C$10)&amp;"","")</f>
        <v/>
      </c>
      <c r="I51">
        <f>IFERROR(INDEX('1.산군_붙여넣기'!$A$1:$AZ$1001,ROW(),설정!$C$11)&amp;"","")</f>
        <v/>
      </c>
      <c r="J51">
        <f>IFERROR(INDEX('1.산군_붙여넣기'!$A$1:$AZ$1001,ROW(),설정!$C$12)&amp;"","")</f>
        <v/>
      </c>
      <c r="K51">
        <f>IFERROR(INDEX('1.산군_붙여넣기'!$A$1:$AZ$1001,ROW(),설정!$C$13)&amp;"","")</f>
        <v/>
      </c>
      <c r="L51" s="6">
        <f>IF(X51="","",IF(AND(LEN(X51)=8,ISNUMBER(X51*1)),DATE(LEFT(X51,4),MID(X51,5,2),RIGHT(X51,2)),IFERROR(DATEVALUE(SUBSTITUTE(SUBSTITUTE(X51,".","-"),"/","-")),IFERROR(X51*1,""))))</f>
        <v/>
      </c>
      <c r="M51" s="6">
        <f>IF(Y51="","",IF(AND(LEN(Y51)=8,ISNUMBER(Y51*1)),DATE(LEFT(Y51,4),MID(Y51,5,2),RIGHT(Y51,2)),IFERROR(DATEVALUE(SUBSTITUTE(SUBSTITUTE(Y51,".","-"),"/","-")),IFERROR(Y51*1,""))))</f>
        <v/>
      </c>
      <c r="N51">
        <f>IFERROR(LEFT(B51,FIND(" ",B51)-1),B51)</f>
        <v/>
      </c>
      <c r="O51">
        <f>AND(B51&lt;&gt;"",B51&lt;&gt;설정!$B$4,C51&lt;&gt;설정!$B$5)</f>
        <v/>
      </c>
      <c r="P51">
        <f>IF(O51,B51&amp;"|"&amp;C51,"")</f>
        <v/>
      </c>
      <c r="Q51">
        <f>AND(O51,COUNTIF(P52:P$1002,P51)=0)</f>
        <v/>
      </c>
      <c r="R51">
        <f>OR(AND(설정!$A$28&lt;&gt;"",ISNUMBER(SEARCH(설정!$A$28,E51&amp;" "&amp;C51))),AND(설정!$A$29&lt;&gt;"",ISNUMBER(SEARCH(설정!$A$29,E51&amp;" "&amp;C51))),AND(설정!$A$30&lt;&gt;"",ISNUMBER(SEARCH(설정!$A$30,E51&amp;" "&amp;C51))),AND(설정!$A$31&lt;&gt;"",ISNUMBER(SEARCH(설정!$A$31,E51&amp;" "&amp;C51))),AND(설정!$A$32&lt;&gt;"",ISNUMBER(SEARCH(설정!$A$32,E51&amp;" "&amp;C51))),AND(설정!$A$33&lt;&gt;"",ISNUMBER(SEARCH(설정!$A$33,E51&amp;" "&amp;C51))),AND(설정!$A$34&lt;&gt;"",ISNUMBER(SEARCH(설정!$A$34,E51&amp;" "&amp;C51))),AND(설정!$A$35&lt;&gt;"",ISNUMBER(SEARCH(설정!$A$35,E51&amp;" "&amp;C51))),AND(설정!$A$36&lt;&gt;"",ISNUMBER(SEARCH(설정!$A$36,E51&amp;" "&amp;C51))),AND(설정!$A$37&lt;&gt;"",ISNUMBER(SEARCH(설정!$A$37,E51&amp;" "&amp;C51))))</f>
        <v/>
      </c>
      <c r="S51">
        <f>OR(D51="",D51&gt;=설정!$B$19)</f>
        <v/>
      </c>
      <c r="T51">
        <f>AND(Q51,R51,S51)</f>
        <v/>
      </c>
      <c r="U51">
        <f>IF(T51,IF(AND(설정!$A$41&lt;&gt;"",ISNUMBER(SEARCH(설정!$A$41,K51))),설정!$B$41,IF(AND(설정!$A$42&lt;&gt;"",ISNUMBER(SEARCH(설정!$A$42,K51))),설정!$B$42,IF(AND(설정!$A$43&lt;&gt;"",ISNUMBER(SEARCH(설정!$A$43,K51))),설정!$B$43,IF(AND(설정!$A$44&lt;&gt;"",ISNUMBER(SEARCH(설정!$A$44,K51))),설정!$B$44,IF(AND(설정!$A$45&lt;&gt;"",ISNUMBER(SEARCH(설정!$A$45,K51))),설정!$B$45,IF(AND(설정!$A$46&lt;&gt;"",ISNUMBER(SEARCH(설정!$A$46,K51))),설정!$B$46,IF(AND(설정!$A$47&lt;&gt;"",ISNUMBER(SEARCH(설정!$A$47,K51))),설정!$B$47,IF(AND(설정!$A$48&lt;&gt;"",ISNUMBER(SEARCH(설정!$A$48,K51))),설정!$B$48,IF(M51="","설계사","시공사"))))))))),"")</f>
        <v/>
      </c>
      <c r="V51">
        <f>SUBSTITUTE(SUBSTITUTE(SUBSTITUTE(SUBSTITUTE(G51,"(주)",""),"㈜",""),"주식회사","")," ","")</f>
        <v/>
      </c>
      <c r="W51">
        <f>IF(AND(T51,V51&lt;&gt;""),IF(COUNTIFS(V$2:V51,V51,T$2:T51,TRUE)=1,MAX(W$1:W50)+1,""),"")</f>
        <v/>
      </c>
      <c r="X51">
        <f>IFERROR(INDEX('1.산군_붙여넣기'!$A$1:$AZ$1001,ROW(),설정!$C$14)&amp;"","")</f>
        <v/>
      </c>
      <c r="Y51">
        <f>IFERROR(INDEX('1.산군_붙여넣기'!$A$1:$AZ$1001,ROW(),설정!$C$15)&amp;"","")</f>
        <v/>
      </c>
      <c r="Z51">
        <f>IF(T51,V51&amp;"|"&amp;U51,"")</f>
        <v/>
      </c>
    </row>
    <row r="52">
      <c r="A52">
        <f>ROW()</f>
        <v/>
      </c>
      <c r="B52">
        <f>IFERROR(INDEX('1.산군_붙여넣기'!$A$1:$AZ$1001,ROW(),설정!$C$4)&amp;"","")</f>
        <v/>
      </c>
      <c r="C52">
        <f>IFERROR(INDEX('1.산군_붙여넣기'!$A$1:$AZ$1001,ROW(),설정!$C$5)&amp;"","")</f>
        <v/>
      </c>
      <c r="D52" s="5">
        <f>IFERROR(VALUE(SUBSTITUTE(SUBSTITUTE(SUBSTITUTE(IFERROR(INDEX('1.산군_붙여넣기'!$A$1:$AZ$1001,ROW(),설정!$C$6)&amp;"",""),",",""),"㎡",""),"m2","")),"")</f>
        <v/>
      </c>
      <c r="E52">
        <f>IFERROR(INDEX('1.산군_붙여넣기'!$A$1:$AZ$1001,ROW(),설정!$C$7)&amp;"","")</f>
        <v/>
      </c>
      <c r="F52">
        <f>IFERROR(INDEX('1.산군_붙여넣기'!$A$1:$AZ$1001,ROW(),설정!$C$8)&amp;"","")</f>
        <v/>
      </c>
      <c r="G52">
        <f>IFERROR(INDEX('1.산군_붙여넣기'!$A$1:$AZ$1001,ROW(),설정!$C$9)&amp;"","")</f>
        <v/>
      </c>
      <c r="H52">
        <f>IFERROR(INDEX('1.산군_붙여넣기'!$A$1:$AZ$1001,ROW(),설정!$C$10)&amp;"","")</f>
        <v/>
      </c>
      <c r="I52">
        <f>IFERROR(INDEX('1.산군_붙여넣기'!$A$1:$AZ$1001,ROW(),설정!$C$11)&amp;"","")</f>
        <v/>
      </c>
      <c r="J52">
        <f>IFERROR(INDEX('1.산군_붙여넣기'!$A$1:$AZ$1001,ROW(),설정!$C$12)&amp;"","")</f>
        <v/>
      </c>
      <c r="K52">
        <f>IFERROR(INDEX('1.산군_붙여넣기'!$A$1:$AZ$1001,ROW(),설정!$C$13)&amp;"","")</f>
        <v/>
      </c>
      <c r="L52" s="6">
        <f>IF(X52="","",IF(AND(LEN(X52)=8,ISNUMBER(X52*1)),DATE(LEFT(X52,4),MID(X52,5,2),RIGHT(X52,2)),IFERROR(DATEVALUE(SUBSTITUTE(SUBSTITUTE(X52,".","-"),"/","-")),IFERROR(X52*1,""))))</f>
        <v/>
      </c>
      <c r="M52" s="6">
        <f>IF(Y52="","",IF(AND(LEN(Y52)=8,ISNUMBER(Y52*1)),DATE(LEFT(Y52,4),MID(Y52,5,2),RIGHT(Y52,2)),IFERROR(DATEVALUE(SUBSTITUTE(SUBSTITUTE(Y52,".","-"),"/","-")),IFERROR(Y52*1,""))))</f>
        <v/>
      </c>
      <c r="N52">
        <f>IFERROR(LEFT(B52,FIND(" ",B52)-1),B52)</f>
        <v/>
      </c>
      <c r="O52">
        <f>AND(B52&lt;&gt;"",B52&lt;&gt;설정!$B$4,C52&lt;&gt;설정!$B$5)</f>
        <v/>
      </c>
      <c r="P52">
        <f>IF(O52,B52&amp;"|"&amp;C52,"")</f>
        <v/>
      </c>
      <c r="Q52">
        <f>AND(O52,COUNTIF(P53:P$1002,P52)=0)</f>
        <v/>
      </c>
      <c r="R52">
        <f>OR(AND(설정!$A$28&lt;&gt;"",ISNUMBER(SEARCH(설정!$A$28,E52&amp;" "&amp;C52))),AND(설정!$A$29&lt;&gt;"",ISNUMBER(SEARCH(설정!$A$29,E52&amp;" "&amp;C52))),AND(설정!$A$30&lt;&gt;"",ISNUMBER(SEARCH(설정!$A$30,E52&amp;" "&amp;C52))),AND(설정!$A$31&lt;&gt;"",ISNUMBER(SEARCH(설정!$A$31,E52&amp;" "&amp;C52))),AND(설정!$A$32&lt;&gt;"",ISNUMBER(SEARCH(설정!$A$32,E52&amp;" "&amp;C52))),AND(설정!$A$33&lt;&gt;"",ISNUMBER(SEARCH(설정!$A$33,E52&amp;" "&amp;C52))),AND(설정!$A$34&lt;&gt;"",ISNUMBER(SEARCH(설정!$A$34,E52&amp;" "&amp;C52))),AND(설정!$A$35&lt;&gt;"",ISNUMBER(SEARCH(설정!$A$35,E52&amp;" "&amp;C52))),AND(설정!$A$36&lt;&gt;"",ISNUMBER(SEARCH(설정!$A$36,E52&amp;" "&amp;C52))),AND(설정!$A$37&lt;&gt;"",ISNUMBER(SEARCH(설정!$A$37,E52&amp;" "&amp;C52))))</f>
        <v/>
      </c>
      <c r="S52">
        <f>OR(D52="",D52&gt;=설정!$B$19)</f>
        <v/>
      </c>
      <c r="T52">
        <f>AND(Q52,R52,S52)</f>
        <v/>
      </c>
      <c r="U52">
        <f>IF(T52,IF(AND(설정!$A$41&lt;&gt;"",ISNUMBER(SEARCH(설정!$A$41,K52))),설정!$B$41,IF(AND(설정!$A$42&lt;&gt;"",ISNUMBER(SEARCH(설정!$A$42,K52))),설정!$B$42,IF(AND(설정!$A$43&lt;&gt;"",ISNUMBER(SEARCH(설정!$A$43,K52))),설정!$B$43,IF(AND(설정!$A$44&lt;&gt;"",ISNUMBER(SEARCH(설정!$A$44,K52))),설정!$B$44,IF(AND(설정!$A$45&lt;&gt;"",ISNUMBER(SEARCH(설정!$A$45,K52))),설정!$B$45,IF(AND(설정!$A$46&lt;&gt;"",ISNUMBER(SEARCH(설정!$A$46,K52))),설정!$B$46,IF(AND(설정!$A$47&lt;&gt;"",ISNUMBER(SEARCH(설정!$A$47,K52))),설정!$B$47,IF(AND(설정!$A$48&lt;&gt;"",ISNUMBER(SEARCH(설정!$A$48,K52))),설정!$B$48,IF(M52="","설계사","시공사"))))))))),"")</f>
        <v/>
      </c>
      <c r="V52">
        <f>SUBSTITUTE(SUBSTITUTE(SUBSTITUTE(SUBSTITUTE(G52,"(주)",""),"㈜",""),"주식회사","")," ","")</f>
        <v/>
      </c>
      <c r="W52">
        <f>IF(AND(T52,V52&lt;&gt;""),IF(COUNTIFS(V$2:V52,V52,T$2:T52,TRUE)=1,MAX(W$1:W51)+1,""),"")</f>
        <v/>
      </c>
      <c r="X52">
        <f>IFERROR(INDEX('1.산군_붙여넣기'!$A$1:$AZ$1001,ROW(),설정!$C$14)&amp;"","")</f>
        <v/>
      </c>
      <c r="Y52">
        <f>IFERROR(INDEX('1.산군_붙여넣기'!$A$1:$AZ$1001,ROW(),설정!$C$15)&amp;"","")</f>
        <v/>
      </c>
      <c r="Z52">
        <f>IF(T52,V52&amp;"|"&amp;U52,"")</f>
        <v/>
      </c>
    </row>
    <row r="53">
      <c r="A53">
        <f>ROW()</f>
        <v/>
      </c>
      <c r="B53">
        <f>IFERROR(INDEX('1.산군_붙여넣기'!$A$1:$AZ$1001,ROW(),설정!$C$4)&amp;"","")</f>
        <v/>
      </c>
      <c r="C53">
        <f>IFERROR(INDEX('1.산군_붙여넣기'!$A$1:$AZ$1001,ROW(),설정!$C$5)&amp;"","")</f>
        <v/>
      </c>
      <c r="D53" s="5">
        <f>IFERROR(VALUE(SUBSTITUTE(SUBSTITUTE(SUBSTITUTE(IFERROR(INDEX('1.산군_붙여넣기'!$A$1:$AZ$1001,ROW(),설정!$C$6)&amp;"",""),",",""),"㎡",""),"m2","")),"")</f>
        <v/>
      </c>
      <c r="E53">
        <f>IFERROR(INDEX('1.산군_붙여넣기'!$A$1:$AZ$1001,ROW(),설정!$C$7)&amp;"","")</f>
        <v/>
      </c>
      <c r="F53">
        <f>IFERROR(INDEX('1.산군_붙여넣기'!$A$1:$AZ$1001,ROW(),설정!$C$8)&amp;"","")</f>
        <v/>
      </c>
      <c r="G53">
        <f>IFERROR(INDEX('1.산군_붙여넣기'!$A$1:$AZ$1001,ROW(),설정!$C$9)&amp;"","")</f>
        <v/>
      </c>
      <c r="H53">
        <f>IFERROR(INDEX('1.산군_붙여넣기'!$A$1:$AZ$1001,ROW(),설정!$C$10)&amp;"","")</f>
        <v/>
      </c>
      <c r="I53">
        <f>IFERROR(INDEX('1.산군_붙여넣기'!$A$1:$AZ$1001,ROW(),설정!$C$11)&amp;"","")</f>
        <v/>
      </c>
      <c r="J53">
        <f>IFERROR(INDEX('1.산군_붙여넣기'!$A$1:$AZ$1001,ROW(),설정!$C$12)&amp;"","")</f>
        <v/>
      </c>
      <c r="K53">
        <f>IFERROR(INDEX('1.산군_붙여넣기'!$A$1:$AZ$1001,ROW(),설정!$C$13)&amp;"","")</f>
        <v/>
      </c>
      <c r="L53" s="6">
        <f>IF(X53="","",IF(AND(LEN(X53)=8,ISNUMBER(X53*1)),DATE(LEFT(X53,4),MID(X53,5,2),RIGHT(X53,2)),IFERROR(DATEVALUE(SUBSTITUTE(SUBSTITUTE(X53,".","-"),"/","-")),IFERROR(X53*1,""))))</f>
        <v/>
      </c>
      <c r="M53" s="6">
        <f>IF(Y53="","",IF(AND(LEN(Y53)=8,ISNUMBER(Y53*1)),DATE(LEFT(Y53,4),MID(Y53,5,2),RIGHT(Y53,2)),IFERROR(DATEVALUE(SUBSTITUTE(SUBSTITUTE(Y53,".","-"),"/","-")),IFERROR(Y53*1,""))))</f>
        <v/>
      </c>
      <c r="N53">
        <f>IFERROR(LEFT(B53,FIND(" ",B53)-1),B53)</f>
        <v/>
      </c>
      <c r="O53">
        <f>AND(B53&lt;&gt;"",B53&lt;&gt;설정!$B$4,C53&lt;&gt;설정!$B$5)</f>
        <v/>
      </c>
      <c r="P53">
        <f>IF(O53,B53&amp;"|"&amp;C53,"")</f>
        <v/>
      </c>
      <c r="Q53">
        <f>AND(O53,COUNTIF(P54:P$1002,P53)=0)</f>
        <v/>
      </c>
      <c r="R53">
        <f>OR(AND(설정!$A$28&lt;&gt;"",ISNUMBER(SEARCH(설정!$A$28,E53&amp;" "&amp;C53))),AND(설정!$A$29&lt;&gt;"",ISNUMBER(SEARCH(설정!$A$29,E53&amp;" "&amp;C53))),AND(설정!$A$30&lt;&gt;"",ISNUMBER(SEARCH(설정!$A$30,E53&amp;" "&amp;C53))),AND(설정!$A$31&lt;&gt;"",ISNUMBER(SEARCH(설정!$A$31,E53&amp;" "&amp;C53))),AND(설정!$A$32&lt;&gt;"",ISNUMBER(SEARCH(설정!$A$32,E53&amp;" "&amp;C53))),AND(설정!$A$33&lt;&gt;"",ISNUMBER(SEARCH(설정!$A$33,E53&amp;" "&amp;C53))),AND(설정!$A$34&lt;&gt;"",ISNUMBER(SEARCH(설정!$A$34,E53&amp;" "&amp;C53))),AND(설정!$A$35&lt;&gt;"",ISNUMBER(SEARCH(설정!$A$35,E53&amp;" "&amp;C53))),AND(설정!$A$36&lt;&gt;"",ISNUMBER(SEARCH(설정!$A$36,E53&amp;" "&amp;C53))),AND(설정!$A$37&lt;&gt;"",ISNUMBER(SEARCH(설정!$A$37,E53&amp;" "&amp;C53))))</f>
        <v/>
      </c>
      <c r="S53">
        <f>OR(D53="",D53&gt;=설정!$B$19)</f>
        <v/>
      </c>
      <c r="T53">
        <f>AND(Q53,R53,S53)</f>
        <v/>
      </c>
      <c r="U53">
        <f>IF(T53,IF(AND(설정!$A$41&lt;&gt;"",ISNUMBER(SEARCH(설정!$A$41,K53))),설정!$B$41,IF(AND(설정!$A$42&lt;&gt;"",ISNUMBER(SEARCH(설정!$A$42,K53))),설정!$B$42,IF(AND(설정!$A$43&lt;&gt;"",ISNUMBER(SEARCH(설정!$A$43,K53))),설정!$B$43,IF(AND(설정!$A$44&lt;&gt;"",ISNUMBER(SEARCH(설정!$A$44,K53))),설정!$B$44,IF(AND(설정!$A$45&lt;&gt;"",ISNUMBER(SEARCH(설정!$A$45,K53))),설정!$B$45,IF(AND(설정!$A$46&lt;&gt;"",ISNUMBER(SEARCH(설정!$A$46,K53))),설정!$B$46,IF(AND(설정!$A$47&lt;&gt;"",ISNUMBER(SEARCH(설정!$A$47,K53))),설정!$B$47,IF(AND(설정!$A$48&lt;&gt;"",ISNUMBER(SEARCH(설정!$A$48,K53))),설정!$B$48,IF(M53="","설계사","시공사"))))))))),"")</f>
        <v/>
      </c>
      <c r="V53">
        <f>SUBSTITUTE(SUBSTITUTE(SUBSTITUTE(SUBSTITUTE(G53,"(주)",""),"㈜",""),"주식회사","")," ","")</f>
        <v/>
      </c>
      <c r="W53">
        <f>IF(AND(T53,V53&lt;&gt;""),IF(COUNTIFS(V$2:V53,V53,T$2:T53,TRUE)=1,MAX(W$1:W52)+1,""),"")</f>
        <v/>
      </c>
      <c r="X53">
        <f>IFERROR(INDEX('1.산군_붙여넣기'!$A$1:$AZ$1001,ROW(),설정!$C$14)&amp;"","")</f>
        <v/>
      </c>
      <c r="Y53">
        <f>IFERROR(INDEX('1.산군_붙여넣기'!$A$1:$AZ$1001,ROW(),설정!$C$15)&amp;"","")</f>
        <v/>
      </c>
      <c r="Z53">
        <f>IF(T53,V53&amp;"|"&amp;U53,"")</f>
        <v/>
      </c>
    </row>
    <row r="54">
      <c r="A54">
        <f>ROW()</f>
        <v/>
      </c>
      <c r="B54">
        <f>IFERROR(INDEX('1.산군_붙여넣기'!$A$1:$AZ$1001,ROW(),설정!$C$4)&amp;"","")</f>
        <v/>
      </c>
      <c r="C54">
        <f>IFERROR(INDEX('1.산군_붙여넣기'!$A$1:$AZ$1001,ROW(),설정!$C$5)&amp;"","")</f>
        <v/>
      </c>
      <c r="D54" s="5">
        <f>IFERROR(VALUE(SUBSTITUTE(SUBSTITUTE(SUBSTITUTE(IFERROR(INDEX('1.산군_붙여넣기'!$A$1:$AZ$1001,ROW(),설정!$C$6)&amp;"",""),",",""),"㎡",""),"m2","")),"")</f>
        <v/>
      </c>
      <c r="E54">
        <f>IFERROR(INDEX('1.산군_붙여넣기'!$A$1:$AZ$1001,ROW(),설정!$C$7)&amp;"","")</f>
        <v/>
      </c>
      <c r="F54">
        <f>IFERROR(INDEX('1.산군_붙여넣기'!$A$1:$AZ$1001,ROW(),설정!$C$8)&amp;"","")</f>
        <v/>
      </c>
      <c r="G54">
        <f>IFERROR(INDEX('1.산군_붙여넣기'!$A$1:$AZ$1001,ROW(),설정!$C$9)&amp;"","")</f>
        <v/>
      </c>
      <c r="H54">
        <f>IFERROR(INDEX('1.산군_붙여넣기'!$A$1:$AZ$1001,ROW(),설정!$C$10)&amp;"","")</f>
        <v/>
      </c>
      <c r="I54">
        <f>IFERROR(INDEX('1.산군_붙여넣기'!$A$1:$AZ$1001,ROW(),설정!$C$11)&amp;"","")</f>
        <v/>
      </c>
      <c r="J54">
        <f>IFERROR(INDEX('1.산군_붙여넣기'!$A$1:$AZ$1001,ROW(),설정!$C$12)&amp;"","")</f>
        <v/>
      </c>
      <c r="K54">
        <f>IFERROR(INDEX('1.산군_붙여넣기'!$A$1:$AZ$1001,ROW(),설정!$C$13)&amp;"","")</f>
        <v/>
      </c>
      <c r="L54" s="6">
        <f>IF(X54="","",IF(AND(LEN(X54)=8,ISNUMBER(X54*1)),DATE(LEFT(X54,4),MID(X54,5,2),RIGHT(X54,2)),IFERROR(DATEVALUE(SUBSTITUTE(SUBSTITUTE(X54,".","-"),"/","-")),IFERROR(X54*1,""))))</f>
        <v/>
      </c>
      <c r="M54" s="6">
        <f>IF(Y54="","",IF(AND(LEN(Y54)=8,ISNUMBER(Y54*1)),DATE(LEFT(Y54,4),MID(Y54,5,2),RIGHT(Y54,2)),IFERROR(DATEVALUE(SUBSTITUTE(SUBSTITUTE(Y54,".","-"),"/","-")),IFERROR(Y54*1,""))))</f>
        <v/>
      </c>
      <c r="N54">
        <f>IFERROR(LEFT(B54,FIND(" ",B54)-1),B54)</f>
        <v/>
      </c>
      <c r="O54">
        <f>AND(B54&lt;&gt;"",B54&lt;&gt;설정!$B$4,C54&lt;&gt;설정!$B$5)</f>
        <v/>
      </c>
      <c r="P54">
        <f>IF(O54,B54&amp;"|"&amp;C54,"")</f>
        <v/>
      </c>
      <c r="Q54">
        <f>AND(O54,COUNTIF(P55:P$1002,P54)=0)</f>
        <v/>
      </c>
      <c r="R54">
        <f>OR(AND(설정!$A$28&lt;&gt;"",ISNUMBER(SEARCH(설정!$A$28,E54&amp;" "&amp;C54))),AND(설정!$A$29&lt;&gt;"",ISNUMBER(SEARCH(설정!$A$29,E54&amp;" "&amp;C54))),AND(설정!$A$30&lt;&gt;"",ISNUMBER(SEARCH(설정!$A$30,E54&amp;" "&amp;C54))),AND(설정!$A$31&lt;&gt;"",ISNUMBER(SEARCH(설정!$A$31,E54&amp;" "&amp;C54))),AND(설정!$A$32&lt;&gt;"",ISNUMBER(SEARCH(설정!$A$32,E54&amp;" "&amp;C54))),AND(설정!$A$33&lt;&gt;"",ISNUMBER(SEARCH(설정!$A$33,E54&amp;" "&amp;C54))),AND(설정!$A$34&lt;&gt;"",ISNUMBER(SEARCH(설정!$A$34,E54&amp;" "&amp;C54))),AND(설정!$A$35&lt;&gt;"",ISNUMBER(SEARCH(설정!$A$35,E54&amp;" "&amp;C54))),AND(설정!$A$36&lt;&gt;"",ISNUMBER(SEARCH(설정!$A$36,E54&amp;" "&amp;C54))),AND(설정!$A$37&lt;&gt;"",ISNUMBER(SEARCH(설정!$A$37,E54&amp;" "&amp;C54))))</f>
        <v/>
      </c>
      <c r="S54">
        <f>OR(D54="",D54&gt;=설정!$B$19)</f>
        <v/>
      </c>
      <c r="T54">
        <f>AND(Q54,R54,S54)</f>
        <v/>
      </c>
      <c r="U54">
        <f>IF(T54,IF(AND(설정!$A$41&lt;&gt;"",ISNUMBER(SEARCH(설정!$A$41,K54))),설정!$B$41,IF(AND(설정!$A$42&lt;&gt;"",ISNUMBER(SEARCH(설정!$A$42,K54))),설정!$B$42,IF(AND(설정!$A$43&lt;&gt;"",ISNUMBER(SEARCH(설정!$A$43,K54))),설정!$B$43,IF(AND(설정!$A$44&lt;&gt;"",ISNUMBER(SEARCH(설정!$A$44,K54))),설정!$B$44,IF(AND(설정!$A$45&lt;&gt;"",ISNUMBER(SEARCH(설정!$A$45,K54))),설정!$B$45,IF(AND(설정!$A$46&lt;&gt;"",ISNUMBER(SEARCH(설정!$A$46,K54))),설정!$B$46,IF(AND(설정!$A$47&lt;&gt;"",ISNUMBER(SEARCH(설정!$A$47,K54))),설정!$B$47,IF(AND(설정!$A$48&lt;&gt;"",ISNUMBER(SEARCH(설정!$A$48,K54))),설정!$B$48,IF(M54="","설계사","시공사"))))))))),"")</f>
        <v/>
      </c>
      <c r="V54">
        <f>SUBSTITUTE(SUBSTITUTE(SUBSTITUTE(SUBSTITUTE(G54,"(주)",""),"㈜",""),"주식회사","")," ","")</f>
        <v/>
      </c>
      <c r="W54">
        <f>IF(AND(T54,V54&lt;&gt;""),IF(COUNTIFS(V$2:V54,V54,T$2:T54,TRUE)=1,MAX(W$1:W53)+1,""),"")</f>
        <v/>
      </c>
      <c r="X54">
        <f>IFERROR(INDEX('1.산군_붙여넣기'!$A$1:$AZ$1001,ROW(),설정!$C$14)&amp;"","")</f>
        <v/>
      </c>
      <c r="Y54">
        <f>IFERROR(INDEX('1.산군_붙여넣기'!$A$1:$AZ$1001,ROW(),설정!$C$15)&amp;"","")</f>
        <v/>
      </c>
      <c r="Z54">
        <f>IF(T54,V54&amp;"|"&amp;U54,"")</f>
        <v/>
      </c>
    </row>
    <row r="55">
      <c r="A55">
        <f>ROW()</f>
        <v/>
      </c>
      <c r="B55">
        <f>IFERROR(INDEX('1.산군_붙여넣기'!$A$1:$AZ$1001,ROW(),설정!$C$4)&amp;"","")</f>
        <v/>
      </c>
      <c r="C55">
        <f>IFERROR(INDEX('1.산군_붙여넣기'!$A$1:$AZ$1001,ROW(),설정!$C$5)&amp;"","")</f>
        <v/>
      </c>
      <c r="D55" s="5">
        <f>IFERROR(VALUE(SUBSTITUTE(SUBSTITUTE(SUBSTITUTE(IFERROR(INDEX('1.산군_붙여넣기'!$A$1:$AZ$1001,ROW(),설정!$C$6)&amp;"",""),",",""),"㎡",""),"m2","")),"")</f>
        <v/>
      </c>
      <c r="E55">
        <f>IFERROR(INDEX('1.산군_붙여넣기'!$A$1:$AZ$1001,ROW(),설정!$C$7)&amp;"","")</f>
        <v/>
      </c>
      <c r="F55">
        <f>IFERROR(INDEX('1.산군_붙여넣기'!$A$1:$AZ$1001,ROW(),설정!$C$8)&amp;"","")</f>
        <v/>
      </c>
      <c r="G55">
        <f>IFERROR(INDEX('1.산군_붙여넣기'!$A$1:$AZ$1001,ROW(),설정!$C$9)&amp;"","")</f>
        <v/>
      </c>
      <c r="H55">
        <f>IFERROR(INDEX('1.산군_붙여넣기'!$A$1:$AZ$1001,ROW(),설정!$C$10)&amp;"","")</f>
        <v/>
      </c>
      <c r="I55">
        <f>IFERROR(INDEX('1.산군_붙여넣기'!$A$1:$AZ$1001,ROW(),설정!$C$11)&amp;"","")</f>
        <v/>
      </c>
      <c r="J55">
        <f>IFERROR(INDEX('1.산군_붙여넣기'!$A$1:$AZ$1001,ROW(),설정!$C$12)&amp;"","")</f>
        <v/>
      </c>
      <c r="K55">
        <f>IFERROR(INDEX('1.산군_붙여넣기'!$A$1:$AZ$1001,ROW(),설정!$C$13)&amp;"","")</f>
        <v/>
      </c>
      <c r="L55" s="6">
        <f>IF(X55="","",IF(AND(LEN(X55)=8,ISNUMBER(X55*1)),DATE(LEFT(X55,4),MID(X55,5,2),RIGHT(X55,2)),IFERROR(DATEVALUE(SUBSTITUTE(SUBSTITUTE(X55,".","-"),"/","-")),IFERROR(X55*1,""))))</f>
        <v/>
      </c>
      <c r="M55" s="6">
        <f>IF(Y55="","",IF(AND(LEN(Y55)=8,ISNUMBER(Y55*1)),DATE(LEFT(Y55,4),MID(Y55,5,2),RIGHT(Y55,2)),IFERROR(DATEVALUE(SUBSTITUTE(SUBSTITUTE(Y55,".","-"),"/","-")),IFERROR(Y55*1,""))))</f>
        <v/>
      </c>
      <c r="N55">
        <f>IFERROR(LEFT(B55,FIND(" ",B55)-1),B55)</f>
        <v/>
      </c>
      <c r="O55">
        <f>AND(B55&lt;&gt;"",B55&lt;&gt;설정!$B$4,C55&lt;&gt;설정!$B$5)</f>
        <v/>
      </c>
      <c r="P55">
        <f>IF(O55,B55&amp;"|"&amp;C55,"")</f>
        <v/>
      </c>
      <c r="Q55">
        <f>AND(O55,COUNTIF(P56:P$1002,P55)=0)</f>
        <v/>
      </c>
      <c r="R55">
        <f>OR(AND(설정!$A$28&lt;&gt;"",ISNUMBER(SEARCH(설정!$A$28,E55&amp;" "&amp;C55))),AND(설정!$A$29&lt;&gt;"",ISNUMBER(SEARCH(설정!$A$29,E55&amp;" "&amp;C55))),AND(설정!$A$30&lt;&gt;"",ISNUMBER(SEARCH(설정!$A$30,E55&amp;" "&amp;C55))),AND(설정!$A$31&lt;&gt;"",ISNUMBER(SEARCH(설정!$A$31,E55&amp;" "&amp;C55))),AND(설정!$A$32&lt;&gt;"",ISNUMBER(SEARCH(설정!$A$32,E55&amp;" "&amp;C55))),AND(설정!$A$33&lt;&gt;"",ISNUMBER(SEARCH(설정!$A$33,E55&amp;" "&amp;C55))),AND(설정!$A$34&lt;&gt;"",ISNUMBER(SEARCH(설정!$A$34,E55&amp;" "&amp;C55))),AND(설정!$A$35&lt;&gt;"",ISNUMBER(SEARCH(설정!$A$35,E55&amp;" "&amp;C55))),AND(설정!$A$36&lt;&gt;"",ISNUMBER(SEARCH(설정!$A$36,E55&amp;" "&amp;C55))),AND(설정!$A$37&lt;&gt;"",ISNUMBER(SEARCH(설정!$A$37,E55&amp;" "&amp;C55))))</f>
        <v/>
      </c>
      <c r="S55">
        <f>OR(D55="",D55&gt;=설정!$B$19)</f>
        <v/>
      </c>
      <c r="T55">
        <f>AND(Q55,R55,S55)</f>
        <v/>
      </c>
      <c r="U55">
        <f>IF(T55,IF(AND(설정!$A$41&lt;&gt;"",ISNUMBER(SEARCH(설정!$A$41,K55))),설정!$B$41,IF(AND(설정!$A$42&lt;&gt;"",ISNUMBER(SEARCH(설정!$A$42,K55))),설정!$B$42,IF(AND(설정!$A$43&lt;&gt;"",ISNUMBER(SEARCH(설정!$A$43,K55))),설정!$B$43,IF(AND(설정!$A$44&lt;&gt;"",ISNUMBER(SEARCH(설정!$A$44,K55))),설정!$B$44,IF(AND(설정!$A$45&lt;&gt;"",ISNUMBER(SEARCH(설정!$A$45,K55))),설정!$B$45,IF(AND(설정!$A$46&lt;&gt;"",ISNUMBER(SEARCH(설정!$A$46,K55))),설정!$B$46,IF(AND(설정!$A$47&lt;&gt;"",ISNUMBER(SEARCH(설정!$A$47,K55))),설정!$B$47,IF(AND(설정!$A$48&lt;&gt;"",ISNUMBER(SEARCH(설정!$A$48,K55))),설정!$B$48,IF(M55="","설계사","시공사"))))))))),"")</f>
        <v/>
      </c>
      <c r="V55">
        <f>SUBSTITUTE(SUBSTITUTE(SUBSTITUTE(SUBSTITUTE(G55,"(주)",""),"㈜",""),"주식회사","")," ","")</f>
        <v/>
      </c>
      <c r="W55">
        <f>IF(AND(T55,V55&lt;&gt;""),IF(COUNTIFS(V$2:V55,V55,T$2:T55,TRUE)=1,MAX(W$1:W54)+1,""),"")</f>
        <v/>
      </c>
      <c r="X55">
        <f>IFERROR(INDEX('1.산군_붙여넣기'!$A$1:$AZ$1001,ROW(),설정!$C$14)&amp;"","")</f>
        <v/>
      </c>
      <c r="Y55">
        <f>IFERROR(INDEX('1.산군_붙여넣기'!$A$1:$AZ$1001,ROW(),설정!$C$15)&amp;"","")</f>
        <v/>
      </c>
      <c r="Z55">
        <f>IF(T55,V55&amp;"|"&amp;U55,"")</f>
        <v/>
      </c>
    </row>
    <row r="56">
      <c r="A56">
        <f>ROW()</f>
        <v/>
      </c>
      <c r="B56">
        <f>IFERROR(INDEX('1.산군_붙여넣기'!$A$1:$AZ$1001,ROW(),설정!$C$4)&amp;"","")</f>
        <v/>
      </c>
      <c r="C56">
        <f>IFERROR(INDEX('1.산군_붙여넣기'!$A$1:$AZ$1001,ROW(),설정!$C$5)&amp;"","")</f>
        <v/>
      </c>
      <c r="D56" s="5">
        <f>IFERROR(VALUE(SUBSTITUTE(SUBSTITUTE(SUBSTITUTE(IFERROR(INDEX('1.산군_붙여넣기'!$A$1:$AZ$1001,ROW(),설정!$C$6)&amp;"",""),",",""),"㎡",""),"m2","")),"")</f>
        <v/>
      </c>
      <c r="E56">
        <f>IFERROR(INDEX('1.산군_붙여넣기'!$A$1:$AZ$1001,ROW(),설정!$C$7)&amp;"","")</f>
        <v/>
      </c>
      <c r="F56">
        <f>IFERROR(INDEX('1.산군_붙여넣기'!$A$1:$AZ$1001,ROW(),설정!$C$8)&amp;"","")</f>
        <v/>
      </c>
      <c r="G56">
        <f>IFERROR(INDEX('1.산군_붙여넣기'!$A$1:$AZ$1001,ROW(),설정!$C$9)&amp;"","")</f>
        <v/>
      </c>
      <c r="H56">
        <f>IFERROR(INDEX('1.산군_붙여넣기'!$A$1:$AZ$1001,ROW(),설정!$C$10)&amp;"","")</f>
        <v/>
      </c>
      <c r="I56">
        <f>IFERROR(INDEX('1.산군_붙여넣기'!$A$1:$AZ$1001,ROW(),설정!$C$11)&amp;"","")</f>
        <v/>
      </c>
      <c r="J56">
        <f>IFERROR(INDEX('1.산군_붙여넣기'!$A$1:$AZ$1001,ROW(),설정!$C$12)&amp;"","")</f>
        <v/>
      </c>
      <c r="K56">
        <f>IFERROR(INDEX('1.산군_붙여넣기'!$A$1:$AZ$1001,ROW(),설정!$C$13)&amp;"","")</f>
        <v/>
      </c>
      <c r="L56" s="6">
        <f>IF(X56="","",IF(AND(LEN(X56)=8,ISNUMBER(X56*1)),DATE(LEFT(X56,4),MID(X56,5,2),RIGHT(X56,2)),IFERROR(DATEVALUE(SUBSTITUTE(SUBSTITUTE(X56,".","-"),"/","-")),IFERROR(X56*1,""))))</f>
        <v/>
      </c>
      <c r="M56" s="6">
        <f>IF(Y56="","",IF(AND(LEN(Y56)=8,ISNUMBER(Y56*1)),DATE(LEFT(Y56,4),MID(Y56,5,2),RIGHT(Y56,2)),IFERROR(DATEVALUE(SUBSTITUTE(SUBSTITUTE(Y56,".","-"),"/","-")),IFERROR(Y56*1,""))))</f>
        <v/>
      </c>
      <c r="N56">
        <f>IFERROR(LEFT(B56,FIND(" ",B56)-1),B56)</f>
        <v/>
      </c>
      <c r="O56">
        <f>AND(B56&lt;&gt;"",B56&lt;&gt;설정!$B$4,C56&lt;&gt;설정!$B$5)</f>
        <v/>
      </c>
      <c r="P56">
        <f>IF(O56,B56&amp;"|"&amp;C56,"")</f>
        <v/>
      </c>
      <c r="Q56">
        <f>AND(O56,COUNTIF(P57:P$1002,P56)=0)</f>
        <v/>
      </c>
      <c r="R56">
        <f>OR(AND(설정!$A$28&lt;&gt;"",ISNUMBER(SEARCH(설정!$A$28,E56&amp;" "&amp;C56))),AND(설정!$A$29&lt;&gt;"",ISNUMBER(SEARCH(설정!$A$29,E56&amp;" "&amp;C56))),AND(설정!$A$30&lt;&gt;"",ISNUMBER(SEARCH(설정!$A$30,E56&amp;" "&amp;C56))),AND(설정!$A$31&lt;&gt;"",ISNUMBER(SEARCH(설정!$A$31,E56&amp;" "&amp;C56))),AND(설정!$A$32&lt;&gt;"",ISNUMBER(SEARCH(설정!$A$32,E56&amp;" "&amp;C56))),AND(설정!$A$33&lt;&gt;"",ISNUMBER(SEARCH(설정!$A$33,E56&amp;" "&amp;C56))),AND(설정!$A$34&lt;&gt;"",ISNUMBER(SEARCH(설정!$A$34,E56&amp;" "&amp;C56))),AND(설정!$A$35&lt;&gt;"",ISNUMBER(SEARCH(설정!$A$35,E56&amp;" "&amp;C56))),AND(설정!$A$36&lt;&gt;"",ISNUMBER(SEARCH(설정!$A$36,E56&amp;" "&amp;C56))),AND(설정!$A$37&lt;&gt;"",ISNUMBER(SEARCH(설정!$A$37,E56&amp;" "&amp;C56))))</f>
        <v/>
      </c>
      <c r="S56">
        <f>OR(D56="",D56&gt;=설정!$B$19)</f>
        <v/>
      </c>
      <c r="T56">
        <f>AND(Q56,R56,S56)</f>
        <v/>
      </c>
      <c r="U56">
        <f>IF(T56,IF(AND(설정!$A$41&lt;&gt;"",ISNUMBER(SEARCH(설정!$A$41,K56))),설정!$B$41,IF(AND(설정!$A$42&lt;&gt;"",ISNUMBER(SEARCH(설정!$A$42,K56))),설정!$B$42,IF(AND(설정!$A$43&lt;&gt;"",ISNUMBER(SEARCH(설정!$A$43,K56))),설정!$B$43,IF(AND(설정!$A$44&lt;&gt;"",ISNUMBER(SEARCH(설정!$A$44,K56))),설정!$B$44,IF(AND(설정!$A$45&lt;&gt;"",ISNUMBER(SEARCH(설정!$A$45,K56))),설정!$B$45,IF(AND(설정!$A$46&lt;&gt;"",ISNUMBER(SEARCH(설정!$A$46,K56))),설정!$B$46,IF(AND(설정!$A$47&lt;&gt;"",ISNUMBER(SEARCH(설정!$A$47,K56))),설정!$B$47,IF(AND(설정!$A$48&lt;&gt;"",ISNUMBER(SEARCH(설정!$A$48,K56))),설정!$B$48,IF(M56="","설계사","시공사"))))))))),"")</f>
        <v/>
      </c>
      <c r="V56">
        <f>SUBSTITUTE(SUBSTITUTE(SUBSTITUTE(SUBSTITUTE(G56,"(주)",""),"㈜",""),"주식회사","")," ","")</f>
        <v/>
      </c>
      <c r="W56">
        <f>IF(AND(T56,V56&lt;&gt;""),IF(COUNTIFS(V$2:V56,V56,T$2:T56,TRUE)=1,MAX(W$1:W55)+1,""),"")</f>
        <v/>
      </c>
      <c r="X56">
        <f>IFERROR(INDEX('1.산군_붙여넣기'!$A$1:$AZ$1001,ROW(),설정!$C$14)&amp;"","")</f>
        <v/>
      </c>
      <c r="Y56">
        <f>IFERROR(INDEX('1.산군_붙여넣기'!$A$1:$AZ$1001,ROW(),설정!$C$15)&amp;"","")</f>
        <v/>
      </c>
      <c r="Z56">
        <f>IF(T56,V56&amp;"|"&amp;U56,"")</f>
        <v/>
      </c>
    </row>
    <row r="57">
      <c r="A57">
        <f>ROW()</f>
        <v/>
      </c>
      <c r="B57">
        <f>IFERROR(INDEX('1.산군_붙여넣기'!$A$1:$AZ$1001,ROW(),설정!$C$4)&amp;"","")</f>
        <v/>
      </c>
      <c r="C57">
        <f>IFERROR(INDEX('1.산군_붙여넣기'!$A$1:$AZ$1001,ROW(),설정!$C$5)&amp;"","")</f>
        <v/>
      </c>
      <c r="D57" s="5">
        <f>IFERROR(VALUE(SUBSTITUTE(SUBSTITUTE(SUBSTITUTE(IFERROR(INDEX('1.산군_붙여넣기'!$A$1:$AZ$1001,ROW(),설정!$C$6)&amp;"",""),",",""),"㎡",""),"m2","")),"")</f>
        <v/>
      </c>
      <c r="E57">
        <f>IFERROR(INDEX('1.산군_붙여넣기'!$A$1:$AZ$1001,ROW(),설정!$C$7)&amp;"","")</f>
        <v/>
      </c>
      <c r="F57">
        <f>IFERROR(INDEX('1.산군_붙여넣기'!$A$1:$AZ$1001,ROW(),설정!$C$8)&amp;"","")</f>
        <v/>
      </c>
      <c r="G57">
        <f>IFERROR(INDEX('1.산군_붙여넣기'!$A$1:$AZ$1001,ROW(),설정!$C$9)&amp;"","")</f>
        <v/>
      </c>
      <c r="H57">
        <f>IFERROR(INDEX('1.산군_붙여넣기'!$A$1:$AZ$1001,ROW(),설정!$C$10)&amp;"","")</f>
        <v/>
      </c>
      <c r="I57">
        <f>IFERROR(INDEX('1.산군_붙여넣기'!$A$1:$AZ$1001,ROW(),설정!$C$11)&amp;"","")</f>
        <v/>
      </c>
      <c r="J57">
        <f>IFERROR(INDEX('1.산군_붙여넣기'!$A$1:$AZ$1001,ROW(),설정!$C$12)&amp;"","")</f>
        <v/>
      </c>
      <c r="K57">
        <f>IFERROR(INDEX('1.산군_붙여넣기'!$A$1:$AZ$1001,ROW(),설정!$C$13)&amp;"","")</f>
        <v/>
      </c>
      <c r="L57" s="6">
        <f>IF(X57="","",IF(AND(LEN(X57)=8,ISNUMBER(X57*1)),DATE(LEFT(X57,4),MID(X57,5,2),RIGHT(X57,2)),IFERROR(DATEVALUE(SUBSTITUTE(SUBSTITUTE(X57,".","-"),"/","-")),IFERROR(X57*1,""))))</f>
        <v/>
      </c>
      <c r="M57" s="6">
        <f>IF(Y57="","",IF(AND(LEN(Y57)=8,ISNUMBER(Y57*1)),DATE(LEFT(Y57,4),MID(Y57,5,2),RIGHT(Y57,2)),IFERROR(DATEVALUE(SUBSTITUTE(SUBSTITUTE(Y57,".","-"),"/","-")),IFERROR(Y57*1,""))))</f>
        <v/>
      </c>
      <c r="N57">
        <f>IFERROR(LEFT(B57,FIND(" ",B57)-1),B57)</f>
        <v/>
      </c>
      <c r="O57">
        <f>AND(B57&lt;&gt;"",B57&lt;&gt;설정!$B$4,C57&lt;&gt;설정!$B$5)</f>
        <v/>
      </c>
      <c r="P57">
        <f>IF(O57,B57&amp;"|"&amp;C57,"")</f>
        <v/>
      </c>
      <c r="Q57">
        <f>AND(O57,COUNTIF(P58:P$1002,P57)=0)</f>
        <v/>
      </c>
      <c r="R57">
        <f>OR(AND(설정!$A$28&lt;&gt;"",ISNUMBER(SEARCH(설정!$A$28,E57&amp;" "&amp;C57))),AND(설정!$A$29&lt;&gt;"",ISNUMBER(SEARCH(설정!$A$29,E57&amp;" "&amp;C57))),AND(설정!$A$30&lt;&gt;"",ISNUMBER(SEARCH(설정!$A$30,E57&amp;" "&amp;C57))),AND(설정!$A$31&lt;&gt;"",ISNUMBER(SEARCH(설정!$A$31,E57&amp;" "&amp;C57))),AND(설정!$A$32&lt;&gt;"",ISNUMBER(SEARCH(설정!$A$32,E57&amp;" "&amp;C57))),AND(설정!$A$33&lt;&gt;"",ISNUMBER(SEARCH(설정!$A$33,E57&amp;" "&amp;C57))),AND(설정!$A$34&lt;&gt;"",ISNUMBER(SEARCH(설정!$A$34,E57&amp;" "&amp;C57))),AND(설정!$A$35&lt;&gt;"",ISNUMBER(SEARCH(설정!$A$35,E57&amp;" "&amp;C57))),AND(설정!$A$36&lt;&gt;"",ISNUMBER(SEARCH(설정!$A$36,E57&amp;" "&amp;C57))),AND(설정!$A$37&lt;&gt;"",ISNUMBER(SEARCH(설정!$A$37,E57&amp;" "&amp;C57))))</f>
        <v/>
      </c>
      <c r="S57">
        <f>OR(D57="",D57&gt;=설정!$B$19)</f>
        <v/>
      </c>
      <c r="T57">
        <f>AND(Q57,R57,S57)</f>
        <v/>
      </c>
      <c r="U57">
        <f>IF(T57,IF(AND(설정!$A$41&lt;&gt;"",ISNUMBER(SEARCH(설정!$A$41,K57))),설정!$B$41,IF(AND(설정!$A$42&lt;&gt;"",ISNUMBER(SEARCH(설정!$A$42,K57))),설정!$B$42,IF(AND(설정!$A$43&lt;&gt;"",ISNUMBER(SEARCH(설정!$A$43,K57))),설정!$B$43,IF(AND(설정!$A$44&lt;&gt;"",ISNUMBER(SEARCH(설정!$A$44,K57))),설정!$B$44,IF(AND(설정!$A$45&lt;&gt;"",ISNUMBER(SEARCH(설정!$A$45,K57))),설정!$B$45,IF(AND(설정!$A$46&lt;&gt;"",ISNUMBER(SEARCH(설정!$A$46,K57))),설정!$B$46,IF(AND(설정!$A$47&lt;&gt;"",ISNUMBER(SEARCH(설정!$A$47,K57))),설정!$B$47,IF(AND(설정!$A$48&lt;&gt;"",ISNUMBER(SEARCH(설정!$A$48,K57))),설정!$B$48,IF(M57="","설계사","시공사"))))))))),"")</f>
        <v/>
      </c>
      <c r="V57">
        <f>SUBSTITUTE(SUBSTITUTE(SUBSTITUTE(SUBSTITUTE(G57,"(주)",""),"㈜",""),"주식회사","")," ","")</f>
        <v/>
      </c>
      <c r="W57">
        <f>IF(AND(T57,V57&lt;&gt;""),IF(COUNTIFS(V$2:V57,V57,T$2:T57,TRUE)=1,MAX(W$1:W56)+1,""),"")</f>
        <v/>
      </c>
      <c r="X57">
        <f>IFERROR(INDEX('1.산군_붙여넣기'!$A$1:$AZ$1001,ROW(),설정!$C$14)&amp;"","")</f>
        <v/>
      </c>
      <c r="Y57">
        <f>IFERROR(INDEX('1.산군_붙여넣기'!$A$1:$AZ$1001,ROW(),설정!$C$15)&amp;"","")</f>
        <v/>
      </c>
      <c r="Z57">
        <f>IF(T57,V57&amp;"|"&amp;U57,"")</f>
        <v/>
      </c>
    </row>
    <row r="58">
      <c r="A58">
        <f>ROW()</f>
        <v/>
      </c>
      <c r="B58">
        <f>IFERROR(INDEX('1.산군_붙여넣기'!$A$1:$AZ$1001,ROW(),설정!$C$4)&amp;"","")</f>
        <v/>
      </c>
      <c r="C58">
        <f>IFERROR(INDEX('1.산군_붙여넣기'!$A$1:$AZ$1001,ROW(),설정!$C$5)&amp;"","")</f>
        <v/>
      </c>
      <c r="D58" s="5">
        <f>IFERROR(VALUE(SUBSTITUTE(SUBSTITUTE(SUBSTITUTE(IFERROR(INDEX('1.산군_붙여넣기'!$A$1:$AZ$1001,ROW(),설정!$C$6)&amp;"",""),",",""),"㎡",""),"m2","")),"")</f>
        <v/>
      </c>
      <c r="E58">
        <f>IFERROR(INDEX('1.산군_붙여넣기'!$A$1:$AZ$1001,ROW(),설정!$C$7)&amp;"","")</f>
        <v/>
      </c>
      <c r="F58">
        <f>IFERROR(INDEX('1.산군_붙여넣기'!$A$1:$AZ$1001,ROW(),설정!$C$8)&amp;"","")</f>
        <v/>
      </c>
      <c r="G58">
        <f>IFERROR(INDEX('1.산군_붙여넣기'!$A$1:$AZ$1001,ROW(),설정!$C$9)&amp;"","")</f>
        <v/>
      </c>
      <c r="H58">
        <f>IFERROR(INDEX('1.산군_붙여넣기'!$A$1:$AZ$1001,ROW(),설정!$C$10)&amp;"","")</f>
        <v/>
      </c>
      <c r="I58">
        <f>IFERROR(INDEX('1.산군_붙여넣기'!$A$1:$AZ$1001,ROW(),설정!$C$11)&amp;"","")</f>
        <v/>
      </c>
      <c r="J58">
        <f>IFERROR(INDEX('1.산군_붙여넣기'!$A$1:$AZ$1001,ROW(),설정!$C$12)&amp;"","")</f>
        <v/>
      </c>
      <c r="K58">
        <f>IFERROR(INDEX('1.산군_붙여넣기'!$A$1:$AZ$1001,ROW(),설정!$C$13)&amp;"","")</f>
        <v/>
      </c>
      <c r="L58" s="6">
        <f>IF(X58="","",IF(AND(LEN(X58)=8,ISNUMBER(X58*1)),DATE(LEFT(X58,4),MID(X58,5,2),RIGHT(X58,2)),IFERROR(DATEVALUE(SUBSTITUTE(SUBSTITUTE(X58,".","-"),"/","-")),IFERROR(X58*1,""))))</f>
        <v/>
      </c>
      <c r="M58" s="6">
        <f>IF(Y58="","",IF(AND(LEN(Y58)=8,ISNUMBER(Y58*1)),DATE(LEFT(Y58,4),MID(Y58,5,2),RIGHT(Y58,2)),IFERROR(DATEVALUE(SUBSTITUTE(SUBSTITUTE(Y58,".","-"),"/","-")),IFERROR(Y58*1,""))))</f>
        <v/>
      </c>
      <c r="N58">
        <f>IFERROR(LEFT(B58,FIND(" ",B58)-1),B58)</f>
        <v/>
      </c>
      <c r="O58">
        <f>AND(B58&lt;&gt;"",B58&lt;&gt;설정!$B$4,C58&lt;&gt;설정!$B$5)</f>
        <v/>
      </c>
      <c r="P58">
        <f>IF(O58,B58&amp;"|"&amp;C58,"")</f>
        <v/>
      </c>
      <c r="Q58">
        <f>AND(O58,COUNTIF(P59:P$1002,P58)=0)</f>
        <v/>
      </c>
      <c r="R58">
        <f>OR(AND(설정!$A$28&lt;&gt;"",ISNUMBER(SEARCH(설정!$A$28,E58&amp;" "&amp;C58))),AND(설정!$A$29&lt;&gt;"",ISNUMBER(SEARCH(설정!$A$29,E58&amp;" "&amp;C58))),AND(설정!$A$30&lt;&gt;"",ISNUMBER(SEARCH(설정!$A$30,E58&amp;" "&amp;C58))),AND(설정!$A$31&lt;&gt;"",ISNUMBER(SEARCH(설정!$A$31,E58&amp;" "&amp;C58))),AND(설정!$A$32&lt;&gt;"",ISNUMBER(SEARCH(설정!$A$32,E58&amp;" "&amp;C58))),AND(설정!$A$33&lt;&gt;"",ISNUMBER(SEARCH(설정!$A$33,E58&amp;" "&amp;C58))),AND(설정!$A$34&lt;&gt;"",ISNUMBER(SEARCH(설정!$A$34,E58&amp;" "&amp;C58))),AND(설정!$A$35&lt;&gt;"",ISNUMBER(SEARCH(설정!$A$35,E58&amp;" "&amp;C58))),AND(설정!$A$36&lt;&gt;"",ISNUMBER(SEARCH(설정!$A$36,E58&amp;" "&amp;C58))),AND(설정!$A$37&lt;&gt;"",ISNUMBER(SEARCH(설정!$A$37,E58&amp;" "&amp;C58))))</f>
        <v/>
      </c>
      <c r="S58">
        <f>OR(D58="",D58&gt;=설정!$B$19)</f>
        <v/>
      </c>
      <c r="T58">
        <f>AND(Q58,R58,S58)</f>
        <v/>
      </c>
      <c r="U58">
        <f>IF(T58,IF(AND(설정!$A$41&lt;&gt;"",ISNUMBER(SEARCH(설정!$A$41,K58))),설정!$B$41,IF(AND(설정!$A$42&lt;&gt;"",ISNUMBER(SEARCH(설정!$A$42,K58))),설정!$B$42,IF(AND(설정!$A$43&lt;&gt;"",ISNUMBER(SEARCH(설정!$A$43,K58))),설정!$B$43,IF(AND(설정!$A$44&lt;&gt;"",ISNUMBER(SEARCH(설정!$A$44,K58))),설정!$B$44,IF(AND(설정!$A$45&lt;&gt;"",ISNUMBER(SEARCH(설정!$A$45,K58))),설정!$B$45,IF(AND(설정!$A$46&lt;&gt;"",ISNUMBER(SEARCH(설정!$A$46,K58))),설정!$B$46,IF(AND(설정!$A$47&lt;&gt;"",ISNUMBER(SEARCH(설정!$A$47,K58))),설정!$B$47,IF(AND(설정!$A$48&lt;&gt;"",ISNUMBER(SEARCH(설정!$A$48,K58))),설정!$B$48,IF(M58="","설계사","시공사"))))))))),"")</f>
        <v/>
      </c>
      <c r="V58">
        <f>SUBSTITUTE(SUBSTITUTE(SUBSTITUTE(SUBSTITUTE(G58,"(주)",""),"㈜",""),"주식회사","")," ","")</f>
        <v/>
      </c>
      <c r="W58">
        <f>IF(AND(T58,V58&lt;&gt;""),IF(COUNTIFS(V$2:V58,V58,T$2:T58,TRUE)=1,MAX(W$1:W57)+1,""),"")</f>
        <v/>
      </c>
      <c r="X58">
        <f>IFERROR(INDEX('1.산군_붙여넣기'!$A$1:$AZ$1001,ROW(),설정!$C$14)&amp;"","")</f>
        <v/>
      </c>
      <c r="Y58">
        <f>IFERROR(INDEX('1.산군_붙여넣기'!$A$1:$AZ$1001,ROW(),설정!$C$15)&amp;"","")</f>
        <v/>
      </c>
      <c r="Z58">
        <f>IF(T58,V58&amp;"|"&amp;U58,"")</f>
        <v/>
      </c>
    </row>
    <row r="59">
      <c r="A59">
        <f>ROW()</f>
        <v/>
      </c>
      <c r="B59">
        <f>IFERROR(INDEX('1.산군_붙여넣기'!$A$1:$AZ$1001,ROW(),설정!$C$4)&amp;"","")</f>
        <v/>
      </c>
      <c r="C59">
        <f>IFERROR(INDEX('1.산군_붙여넣기'!$A$1:$AZ$1001,ROW(),설정!$C$5)&amp;"","")</f>
        <v/>
      </c>
      <c r="D59" s="5">
        <f>IFERROR(VALUE(SUBSTITUTE(SUBSTITUTE(SUBSTITUTE(IFERROR(INDEX('1.산군_붙여넣기'!$A$1:$AZ$1001,ROW(),설정!$C$6)&amp;"",""),",",""),"㎡",""),"m2","")),"")</f>
        <v/>
      </c>
      <c r="E59">
        <f>IFERROR(INDEX('1.산군_붙여넣기'!$A$1:$AZ$1001,ROW(),설정!$C$7)&amp;"","")</f>
        <v/>
      </c>
      <c r="F59">
        <f>IFERROR(INDEX('1.산군_붙여넣기'!$A$1:$AZ$1001,ROW(),설정!$C$8)&amp;"","")</f>
        <v/>
      </c>
      <c r="G59">
        <f>IFERROR(INDEX('1.산군_붙여넣기'!$A$1:$AZ$1001,ROW(),설정!$C$9)&amp;"","")</f>
        <v/>
      </c>
      <c r="H59">
        <f>IFERROR(INDEX('1.산군_붙여넣기'!$A$1:$AZ$1001,ROW(),설정!$C$10)&amp;"","")</f>
        <v/>
      </c>
      <c r="I59">
        <f>IFERROR(INDEX('1.산군_붙여넣기'!$A$1:$AZ$1001,ROW(),설정!$C$11)&amp;"","")</f>
        <v/>
      </c>
      <c r="J59">
        <f>IFERROR(INDEX('1.산군_붙여넣기'!$A$1:$AZ$1001,ROW(),설정!$C$12)&amp;"","")</f>
        <v/>
      </c>
      <c r="K59">
        <f>IFERROR(INDEX('1.산군_붙여넣기'!$A$1:$AZ$1001,ROW(),설정!$C$13)&amp;"","")</f>
        <v/>
      </c>
      <c r="L59" s="6">
        <f>IF(X59="","",IF(AND(LEN(X59)=8,ISNUMBER(X59*1)),DATE(LEFT(X59,4),MID(X59,5,2),RIGHT(X59,2)),IFERROR(DATEVALUE(SUBSTITUTE(SUBSTITUTE(X59,".","-"),"/","-")),IFERROR(X59*1,""))))</f>
        <v/>
      </c>
      <c r="M59" s="6">
        <f>IF(Y59="","",IF(AND(LEN(Y59)=8,ISNUMBER(Y59*1)),DATE(LEFT(Y59,4),MID(Y59,5,2),RIGHT(Y59,2)),IFERROR(DATEVALUE(SUBSTITUTE(SUBSTITUTE(Y59,".","-"),"/","-")),IFERROR(Y59*1,""))))</f>
        <v/>
      </c>
      <c r="N59">
        <f>IFERROR(LEFT(B59,FIND(" ",B59)-1),B59)</f>
        <v/>
      </c>
      <c r="O59">
        <f>AND(B59&lt;&gt;"",B59&lt;&gt;설정!$B$4,C59&lt;&gt;설정!$B$5)</f>
        <v/>
      </c>
      <c r="P59">
        <f>IF(O59,B59&amp;"|"&amp;C59,"")</f>
        <v/>
      </c>
      <c r="Q59">
        <f>AND(O59,COUNTIF(P60:P$1002,P59)=0)</f>
        <v/>
      </c>
      <c r="R59">
        <f>OR(AND(설정!$A$28&lt;&gt;"",ISNUMBER(SEARCH(설정!$A$28,E59&amp;" "&amp;C59))),AND(설정!$A$29&lt;&gt;"",ISNUMBER(SEARCH(설정!$A$29,E59&amp;" "&amp;C59))),AND(설정!$A$30&lt;&gt;"",ISNUMBER(SEARCH(설정!$A$30,E59&amp;" "&amp;C59))),AND(설정!$A$31&lt;&gt;"",ISNUMBER(SEARCH(설정!$A$31,E59&amp;" "&amp;C59))),AND(설정!$A$32&lt;&gt;"",ISNUMBER(SEARCH(설정!$A$32,E59&amp;" "&amp;C59))),AND(설정!$A$33&lt;&gt;"",ISNUMBER(SEARCH(설정!$A$33,E59&amp;" "&amp;C59))),AND(설정!$A$34&lt;&gt;"",ISNUMBER(SEARCH(설정!$A$34,E59&amp;" "&amp;C59))),AND(설정!$A$35&lt;&gt;"",ISNUMBER(SEARCH(설정!$A$35,E59&amp;" "&amp;C59))),AND(설정!$A$36&lt;&gt;"",ISNUMBER(SEARCH(설정!$A$36,E59&amp;" "&amp;C59))),AND(설정!$A$37&lt;&gt;"",ISNUMBER(SEARCH(설정!$A$37,E59&amp;" "&amp;C59))))</f>
        <v/>
      </c>
      <c r="S59">
        <f>OR(D59="",D59&gt;=설정!$B$19)</f>
        <v/>
      </c>
      <c r="T59">
        <f>AND(Q59,R59,S59)</f>
        <v/>
      </c>
      <c r="U59">
        <f>IF(T59,IF(AND(설정!$A$41&lt;&gt;"",ISNUMBER(SEARCH(설정!$A$41,K59))),설정!$B$41,IF(AND(설정!$A$42&lt;&gt;"",ISNUMBER(SEARCH(설정!$A$42,K59))),설정!$B$42,IF(AND(설정!$A$43&lt;&gt;"",ISNUMBER(SEARCH(설정!$A$43,K59))),설정!$B$43,IF(AND(설정!$A$44&lt;&gt;"",ISNUMBER(SEARCH(설정!$A$44,K59))),설정!$B$44,IF(AND(설정!$A$45&lt;&gt;"",ISNUMBER(SEARCH(설정!$A$45,K59))),설정!$B$45,IF(AND(설정!$A$46&lt;&gt;"",ISNUMBER(SEARCH(설정!$A$46,K59))),설정!$B$46,IF(AND(설정!$A$47&lt;&gt;"",ISNUMBER(SEARCH(설정!$A$47,K59))),설정!$B$47,IF(AND(설정!$A$48&lt;&gt;"",ISNUMBER(SEARCH(설정!$A$48,K59))),설정!$B$48,IF(M59="","설계사","시공사"))))))))),"")</f>
        <v/>
      </c>
      <c r="V59">
        <f>SUBSTITUTE(SUBSTITUTE(SUBSTITUTE(SUBSTITUTE(G59,"(주)",""),"㈜",""),"주식회사","")," ","")</f>
        <v/>
      </c>
      <c r="W59">
        <f>IF(AND(T59,V59&lt;&gt;""),IF(COUNTIFS(V$2:V59,V59,T$2:T59,TRUE)=1,MAX(W$1:W58)+1,""),"")</f>
        <v/>
      </c>
      <c r="X59">
        <f>IFERROR(INDEX('1.산군_붙여넣기'!$A$1:$AZ$1001,ROW(),설정!$C$14)&amp;"","")</f>
        <v/>
      </c>
      <c r="Y59">
        <f>IFERROR(INDEX('1.산군_붙여넣기'!$A$1:$AZ$1001,ROW(),설정!$C$15)&amp;"","")</f>
        <v/>
      </c>
      <c r="Z59">
        <f>IF(T59,V59&amp;"|"&amp;U59,"")</f>
        <v/>
      </c>
    </row>
    <row r="60">
      <c r="A60">
        <f>ROW()</f>
        <v/>
      </c>
      <c r="B60">
        <f>IFERROR(INDEX('1.산군_붙여넣기'!$A$1:$AZ$1001,ROW(),설정!$C$4)&amp;"","")</f>
        <v/>
      </c>
      <c r="C60">
        <f>IFERROR(INDEX('1.산군_붙여넣기'!$A$1:$AZ$1001,ROW(),설정!$C$5)&amp;"","")</f>
        <v/>
      </c>
      <c r="D60" s="5">
        <f>IFERROR(VALUE(SUBSTITUTE(SUBSTITUTE(SUBSTITUTE(IFERROR(INDEX('1.산군_붙여넣기'!$A$1:$AZ$1001,ROW(),설정!$C$6)&amp;"",""),",",""),"㎡",""),"m2","")),"")</f>
        <v/>
      </c>
      <c r="E60">
        <f>IFERROR(INDEX('1.산군_붙여넣기'!$A$1:$AZ$1001,ROW(),설정!$C$7)&amp;"","")</f>
        <v/>
      </c>
      <c r="F60">
        <f>IFERROR(INDEX('1.산군_붙여넣기'!$A$1:$AZ$1001,ROW(),설정!$C$8)&amp;"","")</f>
        <v/>
      </c>
      <c r="G60">
        <f>IFERROR(INDEX('1.산군_붙여넣기'!$A$1:$AZ$1001,ROW(),설정!$C$9)&amp;"","")</f>
        <v/>
      </c>
      <c r="H60">
        <f>IFERROR(INDEX('1.산군_붙여넣기'!$A$1:$AZ$1001,ROW(),설정!$C$10)&amp;"","")</f>
        <v/>
      </c>
      <c r="I60">
        <f>IFERROR(INDEX('1.산군_붙여넣기'!$A$1:$AZ$1001,ROW(),설정!$C$11)&amp;"","")</f>
        <v/>
      </c>
      <c r="J60">
        <f>IFERROR(INDEX('1.산군_붙여넣기'!$A$1:$AZ$1001,ROW(),설정!$C$12)&amp;"","")</f>
        <v/>
      </c>
      <c r="K60">
        <f>IFERROR(INDEX('1.산군_붙여넣기'!$A$1:$AZ$1001,ROW(),설정!$C$13)&amp;"","")</f>
        <v/>
      </c>
      <c r="L60" s="6">
        <f>IF(X60="","",IF(AND(LEN(X60)=8,ISNUMBER(X60*1)),DATE(LEFT(X60,4),MID(X60,5,2),RIGHT(X60,2)),IFERROR(DATEVALUE(SUBSTITUTE(SUBSTITUTE(X60,".","-"),"/","-")),IFERROR(X60*1,""))))</f>
        <v/>
      </c>
      <c r="M60" s="6">
        <f>IF(Y60="","",IF(AND(LEN(Y60)=8,ISNUMBER(Y60*1)),DATE(LEFT(Y60,4),MID(Y60,5,2),RIGHT(Y60,2)),IFERROR(DATEVALUE(SUBSTITUTE(SUBSTITUTE(Y60,".","-"),"/","-")),IFERROR(Y60*1,""))))</f>
        <v/>
      </c>
      <c r="N60">
        <f>IFERROR(LEFT(B60,FIND(" ",B60)-1),B60)</f>
        <v/>
      </c>
      <c r="O60">
        <f>AND(B60&lt;&gt;"",B60&lt;&gt;설정!$B$4,C60&lt;&gt;설정!$B$5)</f>
        <v/>
      </c>
      <c r="P60">
        <f>IF(O60,B60&amp;"|"&amp;C60,"")</f>
        <v/>
      </c>
      <c r="Q60">
        <f>AND(O60,COUNTIF(P61:P$1002,P60)=0)</f>
        <v/>
      </c>
      <c r="R60">
        <f>OR(AND(설정!$A$28&lt;&gt;"",ISNUMBER(SEARCH(설정!$A$28,E60&amp;" "&amp;C60))),AND(설정!$A$29&lt;&gt;"",ISNUMBER(SEARCH(설정!$A$29,E60&amp;" "&amp;C60))),AND(설정!$A$30&lt;&gt;"",ISNUMBER(SEARCH(설정!$A$30,E60&amp;" "&amp;C60))),AND(설정!$A$31&lt;&gt;"",ISNUMBER(SEARCH(설정!$A$31,E60&amp;" "&amp;C60))),AND(설정!$A$32&lt;&gt;"",ISNUMBER(SEARCH(설정!$A$32,E60&amp;" "&amp;C60))),AND(설정!$A$33&lt;&gt;"",ISNUMBER(SEARCH(설정!$A$33,E60&amp;" "&amp;C60))),AND(설정!$A$34&lt;&gt;"",ISNUMBER(SEARCH(설정!$A$34,E60&amp;" "&amp;C60))),AND(설정!$A$35&lt;&gt;"",ISNUMBER(SEARCH(설정!$A$35,E60&amp;" "&amp;C60))),AND(설정!$A$36&lt;&gt;"",ISNUMBER(SEARCH(설정!$A$36,E60&amp;" "&amp;C60))),AND(설정!$A$37&lt;&gt;"",ISNUMBER(SEARCH(설정!$A$37,E60&amp;" "&amp;C60))))</f>
        <v/>
      </c>
      <c r="S60">
        <f>OR(D60="",D60&gt;=설정!$B$19)</f>
        <v/>
      </c>
      <c r="T60">
        <f>AND(Q60,R60,S60)</f>
        <v/>
      </c>
      <c r="U60">
        <f>IF(T60,IF(AND(설정!$A$41&lt;&gt;"",ISNUMBER(SEARCH(설정!$A$41,K60))),설정!$B$41,IF(AND(설정!$A$42&lt;&gt;"",ISNUMBER(SEARCH(설정!$A$42,K60))),설정!$B$42,IF(AND(설정!$A$43&lt;&gt;"",ISNUMBER(SEARCH(설정!$A$43,K60))),설정!$B$43,IF(AND(설정!$A$44&lt;&gt;"",ISNUMBER(SEARCH(설정!$A$44,K60))),설정!$B$44,IF(AND(설정!$A$45&lt;&gt;"",ISNUMBER(SEARCH(설정!$A$45,K60))),설정!$B$45,IF(AND(설정!$A$46&lt;&gt;"",ISNUMBER(SEARCH(설정!$A$46,K60))),설정!$B$46,IF(AND(설정!$A$47&lt;&gt;"",ISNUMBER(SEARCH(설정!$A$47,K60))),설정!$B$47,IF(AND(설정!$A$48&lt;&gt;"",ISNUMBER(SEARCH(설정!$A$48,K60))),설정!$B$48,IF(M60="","설계사","시공사"))))))))),"")</f>
        <v/>
      </c>
      <c r="V60">
        <f>SUBSTITUTE(SUBSTITUTE(SUBSTITUTE(SUBSTITUTE(G60,"(주)",""),"㈜",""),"주식회사","")," ","")</f>
        <v/>
      </c>
      <c r="W60">
        <f>IF(AND(T60,V60&lt;&gt;""),IF(COUNTIFS(V$2:V60,V60,T$2:T60,TRUE)=1,MAX(W$1:W59)+1,""),"")</f>
        <v/>
      </c>
      <c r="X60">
        <f>IFERROR(INDEX('1.산군_붙여넣기'!$A$1:$AZ$1001,ROW(),설정!$C$14)&amp;"","")</f>
        <v/>
      </c>
      <c r="Y60">
        <f>IFERROR(INDEX('1.산군_붙여넣기'!$A$1:$AZ$1001,ROW(),설정!$C$15)&amp;"","")</f>
        <v/>
      </c>
      <c r="Z60">
        <f>IF(T60,V60&amp;"|"&amp;U60,"")</f>
        <v/>
      </c>
    </row>
    <row r="61">
      <c r="A61">
        <f>ROW()</f>
        <v/>
      </c>
      <c r="B61">
        <f>IFERROR(INDEX('1.산군_붙여넣기'!$A$1:$AZ$1001,ROW(),설정!$C$4)&amp;"","")</f>
        <v/>
      </c>
      <c r="C61">
        <f>IFERROR(INDEX('1.산군_붙여넣기'!$A$1:$AZ$1001,ROW(),설정!$C$5)&amp;"","")</f>
        <v/>
      </c>
      <c r="D61" s="5">
        <f>IFERROR(VALUE(SUBSTITUTE(SUBSTITUTE(SUBSTITUTE(IFERROR(INDEX('1.산군_붙여넣기'!$A$1:$AZ$1001,ROW(),설정!$C$6)&amp;"",""),",",""),"㎡",""),"m2","")),"")</f>
        <v/>
      </c>
      <c r="E61">
        <f>IFERROR(INDEX('1.산군_붙여넣기'!$A$1:$AZ$1001,ROW(),설정!$C$7)&amp;"","")</f>
        <v/>
      </c>
      <c r="F61">
        <f>IFERROR(INDEX('1.산군_붙여넣기'!$A$1:$AZ$1001,ROW(),설정!$C$8)&amp;"","")</f>
        <v/>
      </c>
      <c r="G61">
        <f>IFERROR(INDEX('1.산군_붙여넣기'!$A$1:$AZ$1001,ROW(),설정!$C$9)&amp;"","")</f>
        <v/>
      </c>
      <c r="H61">
        <f>IFERROR(INDEX('1.산군_붙여넣기'!$A$1:$AZ$1001,ROW(),설정!$C$10)&amp;"","")</f>
        <v/>
      </c>
      <c r="I61">
        <f>IFERROR(INDEX('1.산군_붙여넣기'!$A$1:$AZ$1001,ROW(),설정!$C$11)&amp;"","")</f>
        <v/>
      </c>
      <c r="J61">
        <f>IFERROR(INDEX('1.산군_붙여넣기'!$A$1:$AZ$1001,ROW(),설정!$C$12)&amp;"","")</f>
        <v/>
      </c>
      <c r="K61">
        <f>IFERROR(INDEX('1.산군_붙여넣기'!$A$1:$AZ$1001,ROW(),설정!$C$13)&amp;"","")</f>
        <v/>
      </c>
      <c r="L61" s="6">
        <f>IF(X61="","",IF(AND(LEN(X61)=8,ISNUMBER(X61*1)),DATE(LEFT(X61,4),MID(X61,5,2),RIGHT(X61,2)),IFERROR(DATEVALUE(SUBSTITUTE(SUBSTITUTE(X61,".","-"),"/","-")),IFERROR(X61*1,""))))</f>
        <v/>
      </c>
      <c r="M61" s="6">
        <f>IF(Y61="","",IF(AND(LEN(Y61)=8,ISNUMBER(Y61*1)),DATE(LEFT(Y61,4),MID(Y61,5,2),RIGHT(Y61,2)),IFERROR(DATEVALUE(SUBSTITUTE(SUBSTITUTE(Y61,".","-"),"/","-")),IFERROR(Y61*1,""))))</f>
        <v/>
      </c>
      <c r="N61">
        <f>IFERROR(LEFT(B61,FIND(" ",B61)-1),B61)</f>
        <v/>
      </c>
      <c r="O61">
        <f>AND(B61&lt;&gt;"",B61&lt;&gt;설정!$B$4,C61&lt;&gt;설정!$B$5)</f>
        <v/>
      </c>
      <c r="P61">
        <f>IF(O61,B61&amp;"|"&amp;C61,"")</f>
        <v/>
      </c>
      <c r="Q61">
        <f>AND(O61,COUNTIF(P62:P$1002,P61)=0)</f>
        <v/>
      </c>
      <c r="R61">
        <f>OR(AND(설정!$A$28&lt;&gt;"",ISNUMBER(SEARCH(설정!$A$28,E61&amp;" "&amp;C61))),AND(설정!$A$29&lt;&gt;"",ISNUMBER(SEARCH(설정!$A$29,E61&amp;" "&amp;C61))),AND(설정!$A$30&lt;&gt;"",ISNUMBER(SEARCH(설정!$A$30,E61&amp;" "&amp;C61))),AND(설정!$A$31&lt;&gt;"",ISNUMBER(SEARCH(설정!$A$31,E61&amp;" "&amp;C61))),AND(설정!$A$32&lt;&gt;"",ISNUMBER(SEARCH(설정!$A$32,E61&amp;" "&amp;C61))),AND(설정!$A$33&lt;&gt;"",ISNUMBER(SEARCH(설정!$A$33,E61&amp;" "&amp;C61))),AND(설정!$A$34&lt;&gt;"",ISNUMBER(SEARCH(설정!$A$34,E61&amp;" "&amp;C61))),AND(설정!$A$35&lt;&gt;"",ISNUMBER(SEARCH(설정!$A$35,E61&amp;" "&amp;C61))),AND(설정!$A$36&lt;&gt;"",ISNUMBER(SEARCH(설정!$A$36,E61&amp;" "&amp;C61))),AND(설정!$A$37&lt;&gt;"",ISNUMBER(SEARCH(설정!$A$37,E61&amp;" "&amp;C61))))</f>
        <v/>
      </c>
      <c r="S61">
        <f>OR(D61="",D61&gt;=설정!$B$19)</f>
        <v/>
      </c>
      <c r="T61">
        <f>AND(Q61,R61,S61)</f>
        <v/>
      </c>
      <c r="U61">
        <f>IF(T61,IF(AND(설정!$A$41&lt;&gt;"",ISNUMBER(SEARCH(설정!$A$41,K61))),설정!$B$41,IF(AND(설정!$A$42&lt;&gt;"",ISNUMBER(SEARCH(설정!$A$42,K61))),설정!$B$42,IF(AND(설정!$A$43&lt;&gt;"",ISNUMBER(SEARCH(설정!$A$43,K61))),설정!$B$43,IF(AND(설정!$A$44&lt;&gt;"",ISNUMBER(SEARCH(설정!$A$44,K61))),설정!$B$44,IF(AND(설정!$A$45&lt;&gt;"",ISNUMBER(SEARCH(설정!$A$45,K61))),설정!$B$45,IF(AND(설정!$A$46&lt;&gt;"",ISNUMBER(SEARCH(설정!$A$46,K61))),설정!$B$46,IF(AND(설정!$A$47&lt;&gt;"",ISNUMBER(SEARCH(설정!$A$47,K61))),설정!$B$47,IF(AND(설정!$A$48&lt;&gt;"",ISNUMBER(SEARCH(설정!$A$48,K61))),설정!$B$48,IF(M61="","설계사","시공사"))))))))),"")</f>
        <v/>
      </c>
      <c r="V61">
        <f>SUBSTITUTE(SUBSTITUTE(SUBSTITUTE(SUBSTITUTE(G61,"(주)",""),"㈜",""),"주식회사","")," ","")</f>
        <v/>
      </c>
      <c r="W61">
        <f>IF(AND(T61,V61&lt;&gt;""),IF(COUNTIFS(V$2:V61,V61,T$2:T61,TRUE)=1,MAX(W$1:W60)+1,""),"")</f>
        <v/>
      </c>
      <c r="X61">
        <f>IFERROR(INDEX('1.산군_붙여넣기'!$A$1:$AZ$1001,ROW(),설정!$C$14)&amp;"","")</f>
        <v/>
      </c>
      <c r="Y61">
        <f>IFERROR(INDEX('1.산군_붙여넣기'!$A$1:$AZ$1001,ROW(),설정!$C$15)&amp;"","")</f>
        <v/>
      </c>
      <c r="Z61">
        <f>IF(T61,V61&amp;"|"&amp;U61,"")</f>
        <v/>
      </c>
    </row>
    <row r="62">
      <c r="A62">
        <f>ROW()</f>
        <v/>
      </c>
      <c r="B62">
        <f>IFERROR(INDEX('1.산군_붙여넣기'!$A$1:$AZ$1001,ROW(),설정!$C$4)&amp;"","")</f>
        <v/>
      </c>
      <c r="C62">
        <f>IFERROR(INDEX('1.산군_붙여넣기'!$A$1:$AZ$1001,ROW(),설정!$C$5)&amp;"","")</f>
        <v/>
      </c>
      <c r="D62" s="5">
        <f>IFERROR(VALUE(SUBSTITUTE(SUBSTITUTE(SUBSTITUTE(IFERROR(INDEX('1.산군_붙여넣기'!$A$1:$AZ$1001,ROW(),설정!$C$6)&amp;"",""),",",""),"㎡",""),"m2","")),"")</f>
        <v/>
      </c>
      <c r="E62">
        <f>IFERROR(INDEX('1.산군_붙여넣기'!$A$1:$AZ$1001,ROW(),설정!$C$7)&amp;"","")</f>
        <v/>
      </c>
      <c r="F62">
        <f>IFERROR(INDEX('1.산군_붙여넣기'!$A$1:$AZ$1001,ROW(),설정!$C$8)&amp;"","")</f>
        <v/>
      </c>
      <c r="G62">
        <f>IFERROR(INDEX('1.산군_붙여넣기'!$A$1:$AZ$1001,ROW(),설정!$C$9)&amp;"","")</f>
        <v/>
      </c>
      <c r="H62">
        <f>IFERROR(INDEX('1.산군_붙여넣기'!$A$1:$AZ$1001,ROW(),설정!$C$10)&amp;"","")</f>
        <v/>
      </c>
      <c r="I62">
        <f>IFERROR(INDEX('1.산군_붙여넣기'!$A$1:$AZ$1001,ROW(),설정!$C$11)&amp;"","")</f>
        <v/>
      </c>
      <c r="J62">
        <f>IFERROR(INDEX('1.산군_붙여넣기'!$A$1:$AZ$1001,ROW(),설정!$C$12)&amp;"","")</f>
        <v/>
      </c>
      <c r="K62">
        <f>IFERROR(INDEX('1.산군_붙여넣기'!$A$1:$AZ$1001,ROW(),설정!$C$13)&amp;"","")</f>
        <v/>
      </c>
      <c r="L62" s="6">
        <f>IF(X62="","",IF(AND(LEN(X62)=8,ISNUMBER(X62*1)),DATE(LEFT(X62,4),MID(X62,5,2),RIGHT(X62,2)),IFERROR(DATEVALUE(SUBSTITUTE(SUBSTITUTE(X62,".","-"),"/","-")),IFERROR(X62*1,""))))</f>
        <v/>
      </c>
      <c r="M62" s="6">
        <f>IF(Y62="","",IF(AND(LEN(Y62)=8,ISNUMBER(Y62*1)),DATE(LEFT(Y62,4),MID(Y62,5,2),RIGHT(Y62,2)),IFERROR(DATEVALUE(SUBSTITUTE(SUBSTITUTE(Y62,".","-"),"/","-")),IFERROR(Y62*1,""))))</f>
        <v/>
      </c>
      <c r="N62">
        <f>IFERROR(LEFT(B62,FIND(" ",B62)-1),B62)</f>
        <v/>
      </c>
      <c r="O62">
        <f>AND(B62&lt;&gt;"",B62&lt;&gt;설정!$B$4,C62&lt;&gt;설정!$B$5)</f>
        <v/>
      </c>
      <c r="P62">
        <f>IF(O62,B62&amp;"|"&amp;C62,"")</f>
        <v/>
      </c>
      <c r="Q62">
        <f>AND(O62,COUNTIF(P63:P$1002,P62)=0)</f>
        <v/>
      </c>
      <c r="R62">
        <f>OR(AND(설정!$A$28&lt;&gt;"",ISNUMBER(SEARCH(설정!$A$28,E62&amp;" "&amp;C62))),AND(설정!$A$29&lt;&gt;"",ISNUMBER(SEARCH(설정!$A$29,E62&amp;" "&amp;C62))),AND(설정!$A$30&lt;&gt;"",ISNUMBER(SEARCH(설정!$A$30,E62&amp;" "&amp;C62))),AND(설정!$A$31&lt;&gt;"",ISNUMBER(SEARCH(설정!$A$31,E62&amp;" "&amp;C62))),AND(설정!$A$32&lt;&gt;"",ISNUMBER(SEARCH(설정!$A$32,E62&amp;" "&amp;C62))),AND(설정!$A$33&lt;&gt;"",ISNUMBER(SEARCH(설정!$A$33,E62&amp;" "&amp;C62))),AND(설정!$A$34&lt;&gt;"",ISNUMBER(SEARCH(설정!$A$34,E62&amp;" "&amp;C62))),AND(설정!$A$35&lt;&gt;"",ISNUMBER(SEARCH(설정!$A$35,E62&amp;" "&amp;C62))),AND(설정!$A$36&lt;&gt;"",ISNUMBER(SEARCH(설정!$A$36,E62&amp;" "&amp;C62))),AND(설정!$A$37&lt;&gt;"",ISNUMBER(SEARCH(설정!$A$37,E62&amp;" "&amp;C62))))</f>
        <v/>
      </c>
      <c r="S62">
        <f>OR(D62="",D62&gt;=설정!$B$19)</f>
        <v/>
      </c>
      <c r="T62">
        <f>AND(Q62,R62,S62)</f>
        <v/>
      </c>
      <c r="U62">
        <f>IF(T62,IF(AND(설정!$A$41&lt;&gt;"",ISNUMBER(SEARCH(설정!$A$41,K62))),설정!$B$41,IF(AND(설정!$A$42&lt;&gt;"",ISNUMBER(SEARCH(설정!$A$42,K62))),설정!$B$42,IF(AND(설정!$A$43&lt;&gt;"",ISNUMBER(SEARCH(설정!$A$43,K62))),설정!$B$43,IF(AND(설정!$A$44&lt;&gt;"",ISNUMBER(SEARCH(설정!$A$44,K62))),설정!$B$44,IF(AND(설정!$A$45&lt;&gt;"",ISNUMBER(SEARCH(설정!$A$45,K62))),설정!$B$45,IF(AND(설정!$A$46&lt;&gt;"",ISNUMBER(SEARCH(설정!$A$46,K62))),설정!$B$46,IF(AND(설정!$A$47&lt;&gt;"",ISNUMBER(SEARCH(설정!$A$47,K62))),설정!$B$47,IF(AND(설정!$A$48&lt;&gt;"",ISNUMBER(SEARCH(설정!$A$48,K62))),설정!$B$48,IF(M62="","설계사","시공사"))))))))),"")</f>
        <v/>
      </c>
      <c r="V62">
        <f>SUBSTITUTE(SUBSTITUTE(SUBSTITUTE(SUBSTITUTE(G62,"(주)",""),"㈜",""),"주식회사","")," ","")</f>
        <v/>
      </c>
      <c r="W62">
        <f>IF(AND(T62,V62&lt;&gt;""),IF(COUNTIFS(V$2:V62,V62,T$2:T62,TRUE)=1,MAX(W$1:W61)+1,""),"")</f>
        <v/>
      </c>
      <c r="X62">
        <f>IFERROR(INDEX('1.산군_붙여넣기'!$A$1:$AZ$1001,ROW(),설정!$C$14)&amp;"","")</f>
        <v/>
      </c>
      <c r="Y62">
        <f>IFERROR(INDEX('1.산군_붙여넣기'!$A$1:$AZ$1001,ROW(),설정!$C$15)&amp;"","")</f>
        <v/>
      </c>
      <c r="Z62">
        <f>IF(T62,V62&amp;"|"&amp;U62,"")</f>
        <v/>
      </c>
    </row>
    <row r="63">
      <c r="A63">
        <f>ROW()</f>
        <v/>
      </c>
      <c r="B63">
        <f>IFERROR(INDEX('1.산군_붙여넣기'!$A$1:$AZ$1001,ROW(),설정!$C$4)&amp;"","")</f>
        <v/>
      </c>
      <c r="C63">
        <f>IFERROR(INDEX('1.산군_붙여넣기'!$A$1:$AZ$1001,ROW(),설정!$C$5)&amp;"","")</f>
        <v/>
      </c>
      <c r="D63" s="5">
        <f>IFERROR(VALUE(SUBSTITUTE(SUBSTITUTE(SUBSTITUTE(IFERROR(INDEX('1.산군_붙여넣기'!$A$1:$AZ$1001,ROW(),설정!$C$6)&amp;"",""),",",""),"㎡",""),"m2","")),"")</f>
        <v/>
      </c>
      <c r="E63">
        <f>IFERROR(INDEX('1.산군_붙여넣기'!$A$1:$AZ$1001,ROW(),설정!$C$7)&amp;"","")</f>
        <v/>
      </c>
      <c r="F63">
        <f>IFERROR(INDEX('1.산군_붙여넣기'!$A$1:$AZ$1001,ROW(),설정!$C$8)&amp;"","")</f>
        <v/>
      </c>
      <c r="G63">
        <f>IFERROR(INDEX('1.산군_붙여넣기'!$A$1:$AZ$1001,ROW(),설정!$C$9)&amp;"","")</f>
        <v/>
      </c>
      <c r="H63">
        <f>IFERROR(INDEX('1.산군_붙여넣기'!$A$1:$AZ$1001,ROW(),설정!$C$10)&amp;"","")</f>
        <v/>
      </c>
      <c r="I63">
        <f>IFERROR(INDEX('1.산군_붙여넣기'!$A$1:$AZ$1001,ROW(),설정!$C$11)&amp;"","")</f>
        <v/>
      </c>
      <c r="J63">
        <f>IFERROR(INDEX('1.산군_붙여넣기'!$A$1:$AZ$1001,ROW(),설정!$C$12)&amp;"","")</f>
        <v/>
      </c>
      <c r="K63">
        <f>IFERROR(INDEX('1.산군_붙여넣기'!$A$1:$AZ$1001,ROW(),설정!$C$13)&amp;"","")</f>
        <v/>
      </c>
      <c r="L63" s="6">
        <f>IF(X63="","",IF(AND(LEN(X63)=8,ISNUMBER(X63*1)),DATE(LEFT(X63,4),MID(X63,5,2),RIGHT(X63,2)),IFERROR(DATEVALUE(SUBSTITUTE(SUBSTITUTE(X63,".","-"),"/","-")),IFERROR(X63*1,""))))</f>
        <v/>
      </c>
      <c r="M63" s="6">
        <f>IF(Y63="","",IF(AND(LEN(Y63)=8,ISNUMBER(Y63*1)),DATE(LEFT(Y63,4),MID(Y63,5,2),RIGHT(Y63,2)),IFERROR(DATEVALUE(SUBSTITUTE(SUBSTITUTE(Y63,".","-"),"/","-")),IFERROR(Y63*1,""))))</f>
        <v/>
      </c>
      <c r="N63">
        <f>IFERROR(LEFT(B63,FIND(" ",B63)-1),B63)</f>
        <v/>
      </c>
      <c r="O63">
        <f>AND(B63&lt;&gt;"",B63&lt;&gt;설정!$B$4,C63&lt;&gt;설정!$B$5)</f>
        <v/>
      </c>
      <c r="P63">
        <f>IF(O63,B63&amp;"|"&amp;C63,"")</f>
        <v/>
      </c>
      <c r="Q63">
        <f>AND(O63,COUNTIF(P64:P$1002,P63)=0)</f>
        <v/>
      </c>
      <c r="R63">
        <f>OR(AND(설정!$A$28&lt;&gt;"",ISNUMBER(SEARCH(설정!$A$28,E63&amp;" "&amp;C63))),AND(설정!$A$29&lt;&gt;"",ISNUMBER(SEARCH(설정!$A$29,E63&amp;" "&amp;C63))),AND(설정!$A$30&lt;&gt;"",ISNUMBER(SEARCH(설정!$A$30,E63&amp;" "&amp;C63))),AND(설정!$A$31&lt;&gt;"",ISNUMBER(SEARCH(설정!$A$31,E63&amp;" "&amp;C63))),AND(설정!$A$32&lt;&gt;"",ISNUMBER(SEARCH(설정!$A$32,E63&amp;" "&amp;C63))),AND(설정!$A$33&lt;&gt;"",ISNUMBER(SEARCH(설정!$A$33,E63&amp;" "&amp;C63))),AND(설정!$A$34&lt;&gt;"",ISNUMBER(SEARCH(설정!$A$34,E63&amp;" "&amp;C63))),AND(설정!$A$35&lt;&gt;"",ISNUMBER(SEARCH(설정!$A$35,E63&amp;" "&amp;C63))),AND(설정!$A$36&lt;&gt;"",ISNUMBER(SEARCH(설정!$A$36,E63&amp;" "&amp;C63))),AND(설정!$A$37&lt;&gt;"",ISNUMBER(SEARCH(설정!$A$37,E63&amp;" "&amp;C63))))</f>
        <v/>
      </c>
      <c r="S63">
        <f>OR(D63="",D63&gt;=설정!$B$19)</f>
        <v/>
      </c>
      <c r="T63">
        <f>AND(Q63,R63,S63)</f>
        <v/>
      </c>
      <c r="U63">
        <f>IF(T63,IF(AND(설정!$A$41&lt;&gt;"",ISNUMBER(SEARCH(설정!$A$41,K63))),설정!$B$41,IF(AND(설정!$A$42&lt;&gt;"",ISNUMBER(SEARCH(설정!$A$42,K63))),설정!$B$42,IF(AND(설정!$A$43&lt;&gt;"",ISNUMBER(SEARCH(설정!$A$43,K63))),설정!$B$43,IF(AND(설정!$A$44&lt;&gt;"",ISNUMBER(SEARCH(설정!$A$44,K63))),설정!$B$44,IF(AND(설정!$A$45&lt;&gt;"",ISNUMBER(SEARCH(설정!$A$45,K63))),설정!$B$45,IF(AND(설정!$A$46&lt;&gt;"",ISNUMBER(SEARCH(설정!$A$46,K63))),설정!$B$46,IF(AND(설정!$A$47&lt;&gt;"",ISNUMBER(SEARCH(설정!$A$47,K63))),설정!$B$47,IF(AND(설정!$A$48&lt;&gt;"",ISNUMBER(SEARCH(설정!$A$48,K63))),설정!$B$48,IF(M63="","설계사","시공사"))))))))),"")</f>
        <v/>
      </c>
      <c r="V63">
        <f>SUBSTITUTE(SUBSTITUTE(SUBSTITUTE(SUBSTITUTE(G63,"(주)",""),"㈜",""),"주식회사","")," ","")</f>
        <v/>
      </c>
      <c r="W63">
        <f>IF(AND(T63,V63&lt;&gt;""),IF(COUNTIFS(V$2:V63,V63,T$2:T63,TRUE)=1,MAX(W$1:W62)+1,""),"")</f>
        <v/>
      </c>
      <c r="X63">
        <f>IFERROR(INDEX('1.산군_붙여넣기'!$A$1:$AZ$1001,ROW(),설정!$C$14)&amp;"","")</f>
        <v/>
      </c>
      <c r="Y63">
        <f>IFERROR(INDEX('1.산군_붙여넣기'!$A$1:$AZ$1001,ROW(),설정!$C$15)&amp;"","")</f>
        <v/>
      </c>
      <c r="Z63">
        <f>IF(T63,V63&amp;"|"&amp;U63,"")</f>
        <v/>
      </c>
    </row>
    <row r="64">
      <c r="A64">
        <f>ROW()</f>
        <v/>
      </c>
      <c r="B64">
        <f>IFERROR(INDEX('1.산군_붙여넣기'!$A$1:$AZ$1001,ROW(),설정!$C$4)&amp;"","")</f>
        <v/>
      </c>
      <c r="C64">
        <f>IFERROR(INDEX('1.산군_붙여넣기'!$A$1:$AZ$1001,ROW(),설정!$C$5)&amp;"","")</f>
        <v/>
      </c>
      <c r="D64" s="5">
        <f>IFERROR(VALUE(SUBSTITUTE(SUBSTITUTE(SUBSTITUTE(IFERROR(INDEX('1.산군_붙여넣기'!$A$1:$AZ$1001,ROW(),설정!$C$6)&amp;"",""),",",""),"㎡",""),"m2","")),"")</f>
        <v/>
      </c>
      <c r="E64">
        <f>IFERROR(INDEX('1.산군_붙여넣기'!$A$1:$AZ$1001,ROW(),설정!$C$7)&amp;"","")</f>
        <v/>
      </c>
      <c r="F64">
        <f>IFERROR(INDEX('1.산군_붙여넣기'!$A$1:$AZ$1001,ROW(),설정!$C$8)&amp;"","")</f>
        <v/>
      </c>
      <c r="G64">
        <f>IFERROR(INDEX('1.산군_붙여넣기'!$A$1:$AZ$1001,ROW(),설정!$C$9)&amp;"","")</f>
        <v/>
      </c>
      <c r="H64">
        <f>IFERROR(INDEX('1.산군_붙여넣기'!$A$1:$AZ$1001,ROW(),설정!$C$10)&amp;"","")</f>
        <v/>
      </c>
      <c r="I64">
        <f>IFERROR(INDEX('1.산군_붙여넣기'!$A$1:$AZ$1001,ROW(),설정!$C$11)&amp;"","")</f>
        <v/>
      </c>
      <c r="J64">
        <f>IFERROR(INDEX('1.산군_붙여넣기'!$A$1:$AZ$1001,ROW(),설정!$C$12)&amp;"","")</f>
        <v/>
      </c>
      <c r="K64">
        <f>IFERROR(INDEX('1.산군_붙여넣기'!$A$1:$AZ$1001,ROW(),설정!$C$13)&amp;"","")</f>
        <v/>
      </c>
      <c r="L64" s="6">
        <f>IF(X64="","",IF(AND(LEN(X64)=8,ISNUMBER(X64*1)),DATE(LEFT(X64,4),MID(X64,5,2),RIGHT(X64,2)),IFERROR(DATEVALUE(SUBSTITUTE(SUBSTITUTE(X64,".","-"),"/","-")),IFERROR(X64*1,""))))</f>
        <v/>
      </c>
      <c r="M64" s="6">
        <f>IF(Y64="","",IF(AND(LEN(Y64)=8,ISNUMBER(Y64*1)),DATE(LEFT(Y64,4),MID(Y64,5,2),RIGHT(Y64,2)),IFERROR(DATEVALUE(SUBSTITUTE(SUBSTITUTE(Y64,".","-"),"/","-")),IFERROR(Y64*1,""))))</f>
        <v/>
      </c>
      <c r="N64">
        <f>IFERROR(LEFT(B64,FIND(" ",B64)-1),B64)</f>
        <v/>
      </c>
      <c r="O64">
        <f>AND(B64&lt;&gt;"",B64&lt;&gt;설정!$B$4,C64&lt;&gt;설정!$B$5)</f>
        <v/>
      </c>
      <c r="P64">
        <f>IF(O64,B64&amp;"|"&amp;C64,"")</f>
        <v/>
      </c>
      <c r="Q64">
        <f>AND(O64,COUNTIF(P65:P$1002,P64)=0)</f>
        <v/>
      </c>
      <c r="R64">
        <f>OR(AND(설정!$A$28&lt;&gt;"",ISNUMBER(SEARCH(설정!$A$28,E64&amp;" "&amp;C64))),AND(설정!$A$29&lt;&gt;"",ISNUMBER(SEARCH(설정!$A$29,E64&amp;" "&amp;C64))),AND(설정!$A$30&lt;&gt;"",ISNUMBER(SEARCH(설정!$A$30,E64&amp;" "&amp;C64))),AND(설정!$A$31&lt;&gt;"",ISNUMBER(SEARCH(설정!$A$31,E64&amp;" "&amp;C64))),AND(설정!$A$32&lt;&gt;"",ISNUMBER(SEARCH(설정!$A$32,E64&amp;" "&amp;C64))),AND(설정!$A$33&lt;&gt;"",ISNUMBER(SEARCH(설정!$A$33,E64&amp;" "&amp;C64))),AND(설정!$A$34&lt;&gt;"",ISNUMBER(SEARCH(설정!$A$34,E64&amp;" "&amp;C64))),AND(설정!$A$35&lt;&gt;"",ISNUMBER(SEARCH(설정!$A$35,E64&amp;" "&amp;C64))),AND(설정!$A$36&lt;&gt;"",ISNUMBER(SEARCH(설정!$A$36,E64&amp;" "&amp;C64))),AND(설정!$A$37&lt;&gt;"",ISNUMBER(SEARCH(설정!$A$37,E64&amp;" "&amp;C64))))</f>
        <v/>
      </c>
      <c r="S64">
        <f>OR(D64="",D64&gt;=설정!$B$19)</f>
        <v/>
      </c>
      <c r="T64">
        <f>AND(Q64,R64,S64)</f>
        <v/>
      </c>
      <c r="U64">
        <f>IF(T64,IF(AND(설정!$A$41&lt;&gt;"",ISNUMBER(SEARCH(설정!$A$41,K64))),설정!$B$41,IF(AND(설정!$A$42&lt;&gt;"",ISNUMBER(SEARCH(설정!$A$42,K64))),설정!$B$42,IF(AND(설정!$A$43&lt;&gt;"",ISNUMBER(SEARCH(설정!$A$43,K64))),설정!$B$43,IF(AND(설정!$A$44&lt;&gt;"",ISNUMBER(SEARCH(설정!$A$44,K64))),설정!$B$44,IF(AND(설정!$A$45&lt;&gt;"",ISNUMBER(SEARCH(설정!$A$45,K64))),설정!$B$45,IF(AND(설정!$A$46&lt;&gt;"",ISNUMBER(SEARCH(설정!$A$46,K64))),설정!$B$46,IF(AND(설정!$A$47&lt;&gt;"",ISNUMBER(SEARCH(설정!$A$47,K64))),설정!$B$47,IF(AND(설정!$A$48&lt;&gt;"",ISNUMBER(SEARCH(설정!$A$48,K64))),설정!$B$48,IF(M64="","설계사","시공사"))))))))),"")</f>
        <v/>
      </c>
      <c r="V64">
        <f>SUBSTITUTE(SUBSTITUTE(SUBSTITUTE(SUBSTITUTE(G64,"(주)",""),"㈜",""),"주식회사","")," ","")</f>
        <v/>
      </c>
      <c r="W64">
        <f>IF(AND(T64,V64&lt;&gt;""),IF(COUNTIFS(V$2:V64,V64,T$2:T64,TRUE)=1,MAX(W$1:W63)+1,""),"")</f>
        <v/>
      </c>
      <c r="X64">
        <f>IFERROR(INDEX('1.산군_붙여넣기'!$A$1:$AZ$1001,ROW(),설정!$C$14)&amp;"","")</f>
        <v/>
      </c>
      <c r="Y64">
        <f>IFERROR(INDEX('1.산군_붙여넣기'!$A$1:$AZ$1001,ROW(),설정!$C$15)&amp;"","")</f>
        <v/>
      </c>
      <c r="Z64">
        <f>IF(T64,V64&amp;"|"&amp;U64,"")</f>
        <v/>
      </c>
    </row>
    <row r="65">
      <c r="A65">
        <f>ROW()</f>
        <v/>
      </c>
      <c r="B65">
        <f>IFERROR(INDEX('1.산군_붙여넣기'!$A$1:$AZ$1001,ROW(),설정!$C$4)&amp;"","")</f>
        <v/>
      </c>
      <c r="C65">
        <f>IFERROR(INDEX('1.산군_붙여넣기'!$A$1:$AZ$1001,ROW(),설정!$C$5)&amp;"","")</f>
        <v/>
      </c>
      <c r="D65" s="5">
        <f>IFERROR(VALUE(SUBSTITUTE(SUBSTITUTE(SUBSTITUTE(IFERROR(INDEX('1.산군_붙여넣기'!$A$1:$AZ$1001,ROW(),설정!$C$6)&amp;"",""),",",""),"㎡",""),"m2","")),"")</f>
        <v/>
      </c>
      <c r="E65">
        <f>IFERROR(INDEX('1.산군_붙여넣기'!$A$1:$AZ$1001,ROW(),설정!$C$7)&amp;"","")</f>
        <v/>
      </c>
      <c r="F65">
        <f>IFERROR(INDEX('1.산군_붙여넣기'!$A$1:$AZ$1001,ROW(),설정!$C$8)&amp;"","")</f>
        <v/>
      </c>
      <c r="G65">
        <f>IFERROR(INDEX('1.산군_붙여넣기'!$A$1:$AZ$1001,ROW(),설정!$C$9)&amp;"","")</f>
        <v/>
      </c>
      <c r="H65">
        <f>IFERROR(INDEX('1.산군_붙여넣기'!$A$1:$AZ$1001,ROW(),설정!$C$10)&amp;"","")</f>
        <v/>
      </c>
      <c r="I65">
        <f>IFERROR(INDEX('1.산군_붙여넣기'!$A$1:$AZ$1001,ROW(),설정!$C$11)&amp;"","")</f>
        <v/>
      </c>
      <c r="J65">
        <f>IFERROR(INDEX('1.산군_붙여넣기'!$A$1:$AZ$1001,ROW(),설정!$C$12)&amp;"","")</f>
        <v/>
      </c>
      <c r="K65">
        <f>IFERROR(INDEX('1.산군_붙여넣기'!$A$1:$AZ$1001,ROW(),설정!$C$13)&amp;"","")</f>
        <v/>
      </c>
      <c r="L65" s="6">
        <f>IF(X65="","",IF(AND(LEN(X65)=8,ISNUMBER(X65*1)),DATE(LEFT(X65,4),MID(X65,5,2),RIGHT(X65,2)),IFERROR(DATEVALUE(SUBSTITUTE(SUBSTITUTE(X65,".","-"),"/","-")),IFERROR(X65*1,""))))</f>
        <v/>
      </c>
      <c r="M65" s="6">
        <f>IF(Y65="","",IF(AND(LEN(Y65)=8,ISNUMBER(Y65*1)),DATE(LEFT(Y65,4),MID(Y65,5,2),RIGHT(Y65,2)),IFERROR(DATEVALUE(SUBSTITUTE(SUBSTITUTE(Y65,".","-"),"/","-")),IFERROR(Y65*1,""))))</f>
        <v/>
      </c>
      <c r="N65">
        <f>IFERROR(LEFT(B65,FIND(" ",B65)-1),B65)</f>
        <v/>
      </c>
      <c r="O65">
        <f>AND(B65&lt;&gt;"",B65&lt;&gt;설정!$B$4,C65&lt;&gt;설정!$B$5)</f>
        <v/>
      </c>
      <c r="P65">
        <f>IF(O65,B65&amp;"|"&amp;C65,"")</f>
        <v/>
      </c>
      <c r="Q65">
        <f>AND(O65,COUNTIF(P66:P$1002,P65)=0)</f>
        <v/>
      </c>
      <c r="R65">
        <f>OR(AND(설정!$A$28&lt;&gt;"",ISNUMBER(SEARCH(설정!$A$28,E65&amp;" "&amp;C65))),AND(설정!$A$29&lt;&gt;"",ISNUMBER(SEARCH(설정!$A$29,E65&amp;" "&amp;C65))),AND(설정!$A$30&lt;&gt;"",ISNUMBER(SEARCH(설정!$A$30,E65&amp;" "&amp;C65))),AND(설정!$A$31&lt;&gt;"",ISNUMBER(SEARCH(설정!$A$31,E65&amp;" "&amp;C65))),AND(설정!$A$32&lt;&gt;"",ISNUMBER(SEARCH(설정!$A$32,E65&amp;" "&amp;C65))),AND(설정!$A$33&lt;&gt;"",ISNUMBER(SEARCH(설정!$A$33,E65&amp;" "&amp;C65))),AND(설정!$A$34&lt;&gt;"",ISNUMBER(SEARCH(설정!$A$34,E65&amp;" "&amp;C65))),AND(설정!$A$35&lt;&gt;"",ISNUMBER(SEARCH(설정!$A$35,E65&amp;" "&amp;C65))),AND(설정!$A$36&lt;&gt;"",ISNUMBER(SEARCH(설정!$A$36,E65&amp;" "&amp;C65))),AND(설정!$A$37&lt;&gt;"",ISNUMBER(SEARCH(설정!$A$37,E65&amp;" "&amp;C65))))</f>
        <v/>
      </c>
      <c r="S65">
        <f>OR(D65="",D65&gt;=설정!$B$19)</f>
        <v/>
      </c>
      <c r="T65">
        <f>AND(Q65,R65,S65)</f>
        <v/>
      </c>
      <c r="U65">
        <f>IF(T65,IF(AND(설정!$A$41&lt;&gt;"",ISNUMBER(SEARCH(설정!$A$41,K65))),설정!$B$41,IF(AND(설정!$A$42&lt;&gt;"",ISNUMBER(SEARCH(설정!$A$42,K65))),설정!$B$42,IF(AND(설정!$A$43&lt;&gt;"",ISNUMBER(SEARCH(설정!$A$43,K65))),설정!$B$43,IF(AND(설정!$A$44&lt;&gt;"",ISNUMBER(SEARCH(설정!$A$44,K65))),설정!$B$44,IF(AND(설정!$A$45&lt;&gt;"",ISNUMBER(SEARCH(설정!$A$45,K65))),설정!$B$45,IF(AND(설정!$A$46&lt;&gt;"",ISNUMBER(SEARCH(설정!$A$46,K65))),설정!$B$46,IF(AND(설정!$A$47&lt;&gt;"",ISNUMBER(SEARCH(설정!$A$47,K65))),설정!$B$47,IF(AND(설정!$A$48&lt;&gt;"",ISNUMBER(SEARCH(설정!$A$48,K65))),설정!$B$48,IF(M65="","설계사","시공사"))))))))),"")</f>
        <v/>
      </c>
      <c r="V65">
        <f>SUBSTITUTE(SUBSTITUTE(SUBSTITUTE(SUBSTITUTE(G65,"(주)",""),"㈜",""),"주식회사","")," ","")</f>
        <v/>
      </c>
      <c r="W65">
        <f>IF(AND(T65,V65&lt;&gt;""),IF(COUNTIFS(V$2:V65,V65,T$2:T65,TRUE)=1,MAX(W$1:W64)+1,""),"")</f>
        <v/>
      </c>
      <c r="X65">
        <f>IFERROR(INDEX('1.산군_붙여넣기'!$A$1:$AZ$1001,ROW(),설정!$C$14)&amp;"","")</f>
        <v/>
      </c>
      <c r="Y65">
        <f>IFERROR(INDEX('1.산군_붙여넣기'!$A$1:$AZ$1001,ROW(),설정!$C$15)&amp;"","")</f>
        <v/>
      </c>
      <c r="Z65">
        <f>IF(T65,V65&amp;"|"&amp;U65,"")</f>
        <v/>
      </c>
    </row>
    <row r="66">
      <c r="A66">
        <f>ROW()</f>
        <v/>
      </c>
      <c r="B66">
        <f>IFERROR(INDEX('1.산군_붙여넣기'!$A$1:$AZ$1001,ROW(),설정!$C$4)&amp;"","")</f>
        <v/>
      </c>
      <c r="C66">
        <f>IFERROR(INDEX('1.산군_붙여넣기'!$A$1:$AZ$1001,ROW(),설정!$C$5)&amp;"","")</f>
        <v/>
      </c>
      <c r="D66" s="5">
        <f>IFERROR(VALUE(SUBSTITUTE(SUBSTITUTE(SUBSTITUTE(IFERROR(INDEX('1.산군_붙여넣기'!$A$1:$AZ$1001,ROW(),설정!$C$6)&amp;"",""),",",""),"㎡",""),"m2","")),"")</f>
        <v/>
      </c>
      <c r="E66">
        <f>IFERROR(INDEX('1.산군_붙여넣기'!$A$1:$AZ$1001,ROW(),설정!$C$7)&amp;"","")</f>
        <v/>
      </c>
      <c r="F66">
        <f>IFERROR(INDEX('1.산군_붙여넣기'!$A$1:$AZ$1001,ROW(),설정!$C$8)&amp;"","")</f>
        <v/>
      </c>
      <c r="G66">
        <f>IFERROR(INDEX('1.산군_붙여넣기'!$A$1:$AZ$1001,ROW(),설정!$C$9)&amp;"","")</f>
        <v/>
      </c>
      <c r="H66">
        <f>IFERROR(INDEX('1.산군_붙여넣기'!$A$1:$AZ$1001,ROW(),설정!$C$10)&amp;"","")</f>
        <v/>
      </c>
      <c r="I66">
        <f>IFERROR(INDEX('1.산군_붙여넣기'!$A$1:$AZ$1001,ROW(),설정!$C$11)&amp;"","")</f>
        <v/>
      </c>
      <c r="J66">
        <f>IFERROR(INDEX('1.산군_붙여넣기'!$A$1:$AZ$1001,ROW(),설정!$C$12)&amp;"","")</f>
        <v/>
      </c>
      <c r="K66">
        <f>IFERROR(INDEX('1.산군_붙여넣기'!$A$1:$AZ$1001,ROW(),설정!$C$13)&amp;"","")</f>
        <v/>
      </c>
      <c r="L66" s="6">
        <f>IF(X66="","",IF(AND(LEN(X66)=8,ISNUMBER(X66*1)),DATE(LEFT(X66,4),MID(X66,5,2),RIGHT(X66,2)),IFERROR(DATEVALUE(SUBSTITUTE(SUBSTITUTE(X66,".","-"),"/","-")),IFERROR(X66*1,""))))</f>
        <v/>
      </c>
      <c r="M66" s="6">
        <f>IF(Y66="","",IF(AND(LEN(Y66)=8,ISNUMBER(Y66*1)),DATE(LEFT(Y66,4),MID(Y66,5,2),RIGHT(Y66,2)),IFERROR(DATEVALUE(SUBSTITUTE(SUBSTITUTE(Y66,".","-"),"/","-")),IFERROR(Y66*1,""))))</f>
        <v/>
      </c>
      <c r="N66">
        <f>IFERROR(LEFT(B66,FIND(" ",B66)-1),B66)</f>
        <v/>
      </c>
      <c r="O66">
        <f>AND(B66&lt;&gt;"",B66&lt;&gt;설정!$B$4,C66&lt;&gt;설정!$B$5)</f>
        <v/>
      </c>
      <c r="P66">
        <f>IF(O66,B66&amp;"|"&amp;C66,"")</f>
        <v/>
      </c>
      <c r="Q66">
        <f>AND(O66,COUNTIF(P67:P$1002,P66)=0)</f>
        <v/>
      </c>
      <c r="R66">
        <f>OR(AND(설정!$A$28&lt;&gt;"",ISNUMBER(SEARCH(설정!$A$28,E66&amp;" "&amp;C66))),AND(설정!$A$29&lt;&gt;"",ISNUMBER(SEARCH(설정!$A$29,E66&amp;" "&amp;C66))),AND(설정!$A$30&lt;&gt;"",ISNUMBER(SEARCH(설정!$A$30,E66&amp;" "&amp;C66))),AND(설정!$A$31&lt;&gt;"",ISNUMBER(SEARCH(설정!$A$31,E66&amp;" "&amp;C66))),AND(설정!$A$32&lt;&gt;"",ISNUMBER(SEARCH(설정!$A$32,E66&amp;" "&amp;C66))),AND(설정!$A$33&lt;&gt;"",ISNUMBER(SEARCH(설정!$A$33,E66&amp;" "&amp;C66))),AND(설정!$A$34&lt;&gt;"",ISNUMBER(SEARCH(설정!$A$34,E66&amp;" "&amp;C66))),AND(설정!$A$35&lt;&gt;"",ISNUMBER(SEARCH(설정!$A$35,E66&amp;" "&amp;C66))),AND(설정!$A$36&lt;&gt;"",ISNUMBER(SEARCH(설정!$A$36,E66&amp;" "&amp;C66))),AND(설정!$A$37&lt;&gt;"",ISNUMBER(SEARCH(설정!$A$37,E66&amp;" "&amp;C66))))</f>
        <v/>
      </c>
      <c r="S66">
        <f>OR(D66="",D66&gt;=설정!$B$19)</f>
        <v/>
      </c>
      <c r="T66">
        <f>AND(Q66,R66,S66)</f>
        <v/>
      </c>
      <c r="U66">
        <f>IF(T66,IF(AND(설정!$A$41&lt;&gt;"",ISNUMBER(SEARCH(설정!$A$41,K66))),설정!$B$41,IF(AND(설정!$A$42&lt;&gt;"",ISNUMBER(SEARCH(설정!$A$42,K66))),설정!$B$42,IF(AND(설정!$A$43&lt;&gt;"",ISNUMBER(SEARCH(설정!$A$43,K66))),설정!$B$43,IF(AND(설정!$A$44&lt;&gt;"",ISNUMBER(SEARCH(설정!$A$44,K66))),설정!$B$44,IF(AND(설정!$A$45&lt;&gt;"",ISNUMBER(SEARCH(설정!$A$45,K66))),설정!$B$45,IF(AND(설정!$A$46&lt;&gt;"",ISNUMBER(SEARCH(설정!$A$46,K66))),설정!$B$46,IF(AND(설정!$A$47&lt;&gt;"",ISNUMBER(SEARCH(설정!$A$47,K66))),설정!$B$47,IF(AND(설정!$A$48&lt;&gt;"",ISNUMBER(SEARCH(설정!$A$48,K66))),설정!$B$48,IF(M66="","설계사","시공사"))))))))),"")</f>
        <v/>
      </c>
      <c r="V66">
        <f>SUBSTITUTE(SUBSTITUTE(SUBSTITUTE(SUBSTITUTE(G66,"(주)",""),"㈜",""),"주식회사","")," ","")</f>
        <v/>
      </c>
      <c r="W66">
        <f>IF(AND(T66,V66&lt;&gt;""),IF(COUNTIFS(V$2:V66,V66,T$2:T66,TRUE)=1,MAX(W$1:W65)+1,""),"")</f>
        <v/>
      </c>
      <c r="X66">
        <f>IFERROR(INDEX('1.산군_붙여넣기'!$A$1:$AZ$1001,ROW(),설정!$C$14)&amp;"","")</f>
        <v/>
      </c>
      <c r="Y66">
        <f>IFERROR(INDEX('1.산군_붙여넣기'!$A$1:$AZ$1001,ROW(),설정!$C$15)&amp;"","")</f>
        <v/>
      </c>
      <c r="Z66">
        <f>IF(T66,V66&amp;"|"&amp;U66,"")</f>
        <v/>
      </c>
    </row>
    <row r="67">
      <c r="A67">
        <f>ROW()</f>
        <v/>
      </c>
      <c r="B67">
        <f>IFERROR(INDEX('1.산군_붙여넣기'!$A$1:$AZ$1001,ROW(),설정!$C$4)&amp;"","")</f>
        <v/>
      </c>
      <c r="C67">
        <f>IFERROR(INDEX('1.산군_붙여넣기'!$A$1:$AZ$1001,ROW(),설정!$C$5)&amp;"","")</f>
        <v/>
      </c>
      <c r="D67" s="5">
        <f>IFERROR(VALUE(SUBSTITUTE(SUBSTITUTE(SUBSTITUTE(IFERROR(INDEX('1.산군_붙여넣기'!$A$1:$AZ$1001,ROW(),설정!$C$6)&amp;"",""),",",""),"㎡",""),"m2","")),"")</f>
        <v/>
      </c>
      <c r="E67">
        <f>IFERROR(INDEX('1.산군_붙여넣기'!$A$1:$AZ$1001,ROW(),설정!$C$7)&amp;"","")</f>
        <v/>
      </c>
      <c r="F67">
        <f>IFERROR(INDEX('1.산군_붙여넣기'!$A$1:$AZ$1001,ROW(),설정!$C$8)&amp;"","")</f>
        <v/>
      </c>
      <c r="G67">
        <f>IFERROR(INDEX('1.산군_붙여넣기'!$A$1:$AZ$1001,ROW(),설정!$C$9)&amp;"","")</f>
        <v/>
      </c>
      <c r="H67">
        <f>IFERROR(INDEX('1.산군_붙여넣기'!$A$1:$AZ$1001,ROW(),설정!$C$10)&amp;"","")</f>
        <v/>
      </c>
      <c r="I67">
        <f>IFERROR(INDEX('1.산군_붙여넣기'!$A$1:$AZ$1001,ROW(),설정!$C$11)&amp;"","")</f>
        <v/>
      </c>
      <c r="J67">
        <f>IFERROR(INDEX('1.산군_붙여넣기'!$A$1:$AZ$1001,ROW(),설정!$C$12)&amp;"","")</f>
        <v/>
      </c>
      <c r="K67">
        <f>IFERROR(INDEX('1.산군_붙여넣기'!$A$1:$AZ$1001,ROW(),설정!$C$13)&amp;"","")</f>
        <v/>
      </c>
      <c r="L67" s="6">
        <f>IF(X67="","",IF(AND(LEN(X67)=8,ISNUMBER(X67*1)),DATE(LEFT(X67,4),MID(X67,5,2),RIGHT(X67,2)),IFERROR(DATEVALUE(SUBSTITUTE(SUBSTITUTE(X67,".","-"),"/","-")),IFERROR(X67*1,""))))</f>
        <v/>
      </c>
      <c r="M67" s="6">
        <f>IF(Y67="","",IF(AND(LEN(Y67)=8,ISNUMBER(Y67*1)),DATE(LEFT(Y67,4),MID(Y67,5,2),RIGHT(Y67,2)),IFERROR(DATEVALUE(SUBSTITUTE(SUBSTITUTE(Y67,".","-"),"/","-")),IFERROR(Y67*1,""))))</f>
        <v/>
      </c>
      <c r="N67">
        <f>IFERROR(LEFT(B67,FIND(" ",B67)-1),B67)</f>
        <v/>
      </c>
      <c r="O67">
        <f>AND(B67&lt;&gt;"",B67&lt;&gt;설정!$B$4,C67&lt;&gt;설정!$B$5)</f>
        <v/>
      </c>
      <c r="P67">
        <f>IF(O67,B67&amp;"|"&amp;C67,"")</f>
        <v/>
      </c>
      <c r="Q67">
        <f>AND(O67,COUNTIF(P68:P$1002,P67)=0)</f>
        <v/>
      </c>
      <c r="R67">
        <f>OR(AND(설정!$A$28&lt;&gt;"",ISNUMBER(SEARCH(설정!$A$28,E67&amp;" "&amp;C67))),AND(설정!$A$29&lt;&gt;"",ISNUMBER(SEARCH(설정!$A$29,E67&amp;" "&amp;C67))),AND(설정!$A$30&lt;&gt;"",ISNUMBER(SEARCH(설정!$A$30,E67&amp;" "&amp;C67))),AND(설정!$A$31&lt;&gt;"",ISNUMBER(SEARCH(설정!$A$31,E67&amp;" "&amp;C67))),AND(설정!$A$32&lt;&gt;"",ISNUMBER(SEARCH(설정!$A$32,E67&amp;" "&amp;C67))),AND(설정!$A$33&lt;&gt;"",ISNUMBER(SEARCH(설정!$A$33,E67&amp;" "&amp;C67))),AND(설정!$A$34&lt;&gt;"",ISNUMBER(SEARCH(설정!$A$34,E67&amp;" "&amp;C67))),AND(설정!$A$35&lt;&gt;"",ISNUMBER(SEARCH(설정!$A$35,E67&amp;" "&amp;C67))),AND(설정!$A$36&lt;&gt;"",ISNUMBER(SEARCH(설정!$A$36,E67&amp;" "&amp;C67))),AND(설정!$A$37&lt;&gt;"",ISNUMBER(SEARCH(설정!$A$37,E67&amp;" "&amp;C67))))</f>
        <v/>
      </c>
      <c r="S67">
        <f>OR(D67="",D67&gt;=설정!$B$19)</f>
        <v/>
      </c>
      <c r="T67">
        <f>AND(Q67,R67,S67)</f>
        <v/>
      </c>
      <c r="U67">
        <f>IF(T67,IF(AND(설정!$A$41&lt;&gt;"",ISNUMBER(SEARCH(설정!$A$41,K67))),설정!$B$41,IF(AND(설정!$A$42&lt;&gt;"",ISNUMBER(SEARCH(설정!$A$42,K67))),설정!$B$42,IF(AND(설정!$A$43&lt;&gt;"",ISNUMBER(SEARCH(설정!$A$43,K67))),설정!$B$43,IF(AND(설정!$A$44&lt;&gt;"",ISNUMBER(SEARCH(설정!$A$44,K67))),설정!$B$44,IF(AND(설정!$A$45&lt;&gt;"",ISNUMBER(SEARCH(설정!$A$45,K67))),설정!$B$45,IF(AND(설정!$A$46&lt;&gt;"",ISNUMBER(SEARCH(설정!$A$46,K67))),설정!$B$46,IF(AND(설정!$A$47&lt;&gt;"",ISNUMBER(SEARCH(설정!$A$47,K67))),설정!$B$47,IF(AND(설정!$A$48&lt;&gt;"",ISNUMBER(SEARCH(설정!$A$48,K67))),설정!$B$48,IF(M67="","설계사","시공사"))))))))),"")</f>
        <v/>
      </c>
      <c r="V67">
        <f>SUBSTITUTE(SUBSTITUTE(SUBSTITUTE(SUBSTITUTE(G67,"(주)",""),"㈜",""),"주식회사","")," ","")</f>
        <v/>
      </c>
      <c r="W67">
        <f>IF(AND(T67,V67&lt;&gt;""),IF(COUNTIFS(V$2:V67,V67,T$2:T67,TRUE)=1,MAX(W$1:W66)+1,""),"")</f>
        <v/>
      </c>
      <c r="X67">
        <f>IFERROR(INDEX('1.산군_붙여넣기'!$A$1:$AZ$1001,ROW(),설정!$C$14)&amp;"","")</f>
        <v/>
      </c>
      <c r="Y67">
        <f>IFERROR(INDEX('1.산군_붙여넣기'!$A$1:$AZ$1001,ROW(),설정!$C$15)&amp;"","")</f>
        <v/>
      </c>
      <c r="Z67">
        <f>IF(T67,V67&amp;"|"&amp;U67,"")</f>
        <v/>
      </c>
    </row>
    <row r="68">
      <c r="A68">
        <f>ROW()</f>
        <v/>
      </c>
      <c r="B68">
        <f>IFERROR(INDEX('1.산군_붙여넣기'!$A$1:$AZ$1001,ROW(),설정!$C$4)&amp;"","")</f>
        <v/>
      </c>
      <c r="C68">
        <f>IFERROR(INDEX('1.산군_붙여넣기'!$A$1:$AZ$1001,ROW(),설정!$C$5)&amp;"","")</f>
        <v/>
      </c>
      <c r="D68" s="5">
        <f>IFERROR(VALUE(SUBSTITUTE(SUBSTITUTE(SUBSTITUTE(IFERROR(INDEX('1.산군_붙여넣기'!$A$1:$AZ$1001,ROW(),설정!$C$6)&amp;"",""),",",""),"㎡",""),"m2","")),"")</f>
        <v/>
      </c>
      <c r="E68">
        <f>IFERROR(INDEX('1.산군_붙여넣기'!$A$1:$AZ$1001,ROW(),설정!$C$7)&amp;"","")</f>
        <v/>
      </c>
      <c r="F68">
        <f>IFERROR(INDEX('1.산군_붙여넣기'!$A$1:$AZ$1001,ROW(),설정!$C$8)&amp;"","")</f>
        <v/>
      </c>
      <c r="G68">
        <f>IFERROR(INDEX('1.산군_붙여넣기'!$A$1:$AZ$1001,ROW(),설정!$C$9)&amp;"","")</f>
        <v/>
      </c>
      <c r="H68">
        <f>IFERROR(INDEX('1.산군_붙여넣기'!$A$1:$AZ$1001,ROW(),설정!$C$10)&amp;"","")</f>
        <v/>
      </c>
      <c r="I68">
        <f>IFERROR(INDEX('1.산군_붙여넣기'!$A$1:$AZ$1001,ROW(),설정!$C$11)&amp;"","")</f>
        <v/>
      </c>
      <c r="J68">
        <f>IFERROR(INDEX('1.산군_붙여넣기'!$A$1:$AZ$1001,ROW(),설정!$C$12)&amp;"","")</f>
        <v/>
      </c>
      <c r="K68">
        <f>IFERROR(INDEX('1.산군_붙여넣기'!$A$1:$AZ$1001,ROW(),설정!$C$13)&amp;"","")</f>
        <v/>
      </c>
      <c r="L68" s="6">
        <f>IF(X68="","",IF(AND(LEN(X68)=8,ISNUMBER(X68*1)),DATE(LEFT(X68,4),MID(X68,5,2),RIGHT(X68,2)),IFERROR(DATEVALUE(SUBSTITUTE(SUBSTITUTE(X68,".","-"),"/","-")),IFERROR(X68*1,""))))</f>
        <v/>
      </c>
      <c r="M68" s="6">
        <f>IF(Y68="","",IF(AND(LEN(Y68)=8,ISNUMBER(Y68*1)),DATE(LEFT(Y68,4),MID(Y68,5,2),RIGHT(Y68,2)),IFERROR(DATEVALUE(SUBSTITUTE(SUBSTITUTE(Y68,".","-"),"/","-")),IFERROR(Y68*1,""))))</f>
        <v/>
      </c>
      <c r="N68">
        <f>IFERROR(LEFT(B68,FIND(" ",B68)-1),B68)</f>
        <v/>
      </c>
      <c r="O68">
        <f>AND(B68&lt;&gt;"",B68&lt;&gt;설정!$B$4,C68&lt;&gt;설정!$B$5)</f>
        <v/>
      </c>
      <c r="P68">
        <f>IF(O68,B68&amp;"|"&amp;C68,"")</f>
        <v/>
      </c>
      <c r="Q68">
        <f>AND(O68,COUNTIF(P69:P$1002,P68)=0)</f>
        <v/>
      </c>
      <c r="R68">
        <f>OR(AND(설정!$A$28&lt;&gt;"",ISNUMBER(SEARCH(설정!$A$28,E68&amp;" "&amp;C68))),AND(설정!$A$29&lt;&gt;"",ISNUMBER(SEARCH(설정!$A$29,E68&amp;" "&amp;C68))),AND(설정!$A$30&lt;&gt;"",ISNUMBER(SEARCH(설정!$A$30,E68&amp;" "&amp;C68))),AND(설정!$A$31&lt;&gt;"",ISNUMBER(SEARCH(설정!$A$31,E68&amp;" "&amp;C68))),AND(설정!$A$32&lt;&gt;"",ISNUMBER(SEARCH(설정!$A$32,E68&amp;" "&amp;C68))),AND(설정!$A$33&lt;&gt;"",ISNUMBER(SEARCH(설정!$A$33,E68&amp;" "&amp;C68))),AND(설정!$A$34&lt;&gt;"",ISNUMBER(SEARCH(설정!$A$34,E68&amp;" "&amp;C68))),AND(설정!$A$35&lt;&gt;"",ISNUMBER(SEARCH(설정!$A$35,E68&amp;" "&amp;C68))),AND(설정!$A$36&lt;&gt;"",ISNUMBER(SEARCH(설정!$A$36,E68&amp;" "&amp;C68))),AND(설정!$A$37&lt;&gt;"",ISNUMBER(SEARCH(설정!$A$37,E68&amp;" "&amp;C68))))</f>
        <v/>
      </c>
      <c r="S68">
        <f>OR(D68="",D68&gt;=설정!$B$19)</f>
        <v/>
      </c>
      <c r="T68">
        <f>AND(Q68,R68,S68)</f>
        <v/>
      </c>
      <c r="U68">
        <f>IF(T68,IF(AND(설정!$A$41&lt;&gt;"",ISNUMBER(SEARCH(설정!$A$41,K68))),설정!$B$41,IF(AND(설정!$A$42&lt;&gt;"",ISNUMBER(SEARCH(설정!$A$42,K68))),설정!$B$42,IF(AND(설정!$A$43&lt;&gt;"",ISNUMBER(SEARCH(설정!$A$43,K68))),설정!$B$43,IF(AND(설정!$A$44&lt;&gt;"",ISNUMBER(SEARCH(설정!$A$44,K68))),설정!$B$44,IF(AND(설정!$A$45&lt;&gt;"",ISNUMBER(SEARCH(설정!$A$45,K68))),설정!$B$45,IF(AND(설정!$A$46&lt;&gt;"",ISNUMBER(SEARCH(설정!$A$46,K68))),설정!$B$46,IF(AND(설정!$A$47&lt;&gt;"",ISNUMBER(SEARCH(설정!$A$47,K68))),설정!$B$47,IF(AND(설정!$A$48&lt;&gt;"",ISNUMBER(SEARCH(설정!$A$48,K68))),설정!$B$48,IF(M68="","설계사","시공사"))))))))),"")</f>
        <v/>
      </c>
      <c r="V68">
        <f>SUBSTITUTE(SUBSTITUTE(SUBSTITUTE(SUBSTITUTE(G68,"(주)",""),"㈜",""),"주식회사","")," ","")</f>
        <v/>
      </c>
      <c r="W68">
        <f>IF(AND(T68,V68&lt;&gt;""),IF(COUNTIFS(V$2:V68,V68,T$2:T68,TRUE)=1,MAX(W$1:W67)+1,""),"")</f>
        <v/>
      </c>
      <c r="X68">
        <f>IFERROR(INDEX('1.산군_붙여넣기'!$A$1:$AZ$1001,ROW(),설정!$C$14)&amp;"","")</f>
        <v/>
      </c>
      <c r="Y68">
        <f>IFERROR(INDEX('1.산군_붙여넣기'!$A$1:$AZ$1001,ROW(),설정!$C$15)&amp;"","")</f>
        <v/>
      </c>
      <c r="Z68">
        <f>IF(T68,V68&amp;"|"&amp;U68,"")</f>
        <v/>
      </c>
    </row>
    <row r="69">
      <c r="A69">
        <f>ROW()</f>
        <v/>
      </c>
      <c r="B69">
        <f>IFERROR(INDEX('1.산군_붙여넣기'!$A$1:$AZ$1001,ROW(),설정!$C$4)&amp;"","")</f>
        <v/>
      </c>
      <c r="C69">
        <f>IFERROR(INDEX('1.산군_붙여넣기'!$A$1:$AZ$1001,ROW(),설정!$C$5)&amp;"","")</f>
        <v/>
      </c>
      <c r="D69" s="5">
        <f>IFERROR(VALUE(SUBSTITUTE(SUBSTITUTE(SUBSTITUTE(IFERROR(INDEX('1.산군_붙여넣기'!$A$1:$AZ$1001,ROW(),설정!$C$6)&amp;"",""),",",""),"㎡",""),"m2","")),"")</f>
        <v/>
      </c>
      <c r="E69">
        <f>IFERROR(INDEX('1.산군_붙여넣기'!$A$1:$AZ$1001,ROW(),설정!$C$7)&amp;"","")</f>
        <v/>
      </c>
      <c r="F69">
        <f>IFERROR(INDEX('1.산군_붙여넣기'!$A$1:$AZ$1001,ROW(),설정!$C$8)&amp;"","")</f>
        <v/>
      </c>
      <c r="G69">
        <f>IFERROR(INDEX('1.산군_붙여넣기'!$A$1:$AZ$1001,ROW(),설정!$C$9)&amp;"","")</f>
        <v/>
      </c>
      <c r="H69">
        <f>IFERROR(INDEX('1.산군_붙여넣기'!$A$1:$AZ$1001,ROW(),설정!$C$10)&amp;"","")</f>
        <v/>
      </c>
      <c r="I69">
        <f>IFERROR(INDEX('1.산군_붙여넣기'!$A$1:$AZ$1001,ROW(),설정!$C$11)&amp;"","")</f>
        <v/>
      </c>
      <c r="J69">
        <f>IFERROR(INDEX('1.산군_붙여넣기'!$A$1:$AZ$1001,ROW(),설정!$C$12)&amp;"","")</f>
        <v/>
      </c>
      <c r="K69">
        <f>IFERROR(INDEX('1.산군_붙여넣기'!$A$1:$AZ$1001,ROW(),설정!$C$13)&amp;"","")</f>
        <v/>
      </c>
      <c r="L69" s="6">
        <f>IF(X69="","",IF(AND(LEN(X69)=8,ISNUMBER(X69*1)),DATE(LEFT(X69,4),MID(X69,5,2),RIGHT(X69,2)),IFERROR(DATEVALUE(SUBSTITUTE(SUBSTITUTE(X69,".","-"),"/","-")),IFERROR(X69*1,""))))</f>
        <v/>
      </c>
      <c r="M69" s="6">
        <f>IF(Y69="","",IF(AND(LEN(Y69)=8,ISNUMBER(Y69*1)),DATE(LEFT(Y69,4),MID(Y69,5,2),RIGHT(Y69,2)),IFERROR(DATEVALUE(SUBSTITUTE(SUBSTITUTE(Y69,".","-"),"/","-")),IFERROR(Y69*1,""))))</f>
        <v/>
      </c>
      <c r="N69">
        <f>IFERROR(LEFT(B69,FIND(" ",B69)-1),B69)</f>
        <v/>
      </c>
      <c r="O69">
        <f>AND(B69&lt;&gt;"",B69&lt;&gt;설정!$B$4,C69&lt;&gt;설정!$B$5)</f>
        <v/>
      </c>
      <c r="P69">
        <f>IF(O69,B69&amp;"|"&amp;C69,"")</f>
        <v/>
      </c>
      <c r="Q69">
        <f>AND(O69,COUNTIF(P70:P$1002,P69)=0)</f>
        <v/>
      </c>
      <c r="R69">
        <f>OR(AND(설정!$A$28&lt;&gt;"",ISNUMBER(SEARCH(설정!$A$28,E69&amp;" "&amp;C69))),AND(설정!$A$29&lt;&gt;"",ISNUMBER(SEARCH(설정!$A$29,E69&amp;" "&amp;C69))),AND(설정!$A$30&lt;&gt;"",ISNUMBER(SEARCH(설정!$A$30,E69&amp;" "&amp;C69))),AND(설정!$A$31&lt;&gt;"",ISNUMBER(SEARCH(설정!$A$31,E69&amp;" "&amp;C69))),AND(설정!$A$32&lt;&gt;"",ISNUMBER(SEARCH(설정!$A$32,E69&amp;" "&amp;C69))),AND(설정!$A$33&lt;&gt;"",ISNUMBER(SEARCH(설정!$A$33,E69&amp;" "&amp;C69))),AND(설정!$A$34&lt;&gt;"",ISNUMBER(SEARCH(설정!$A$34,E69&amp;" "&amp;C69))),AND(설정!$A$35&lt;&gt;"",ISNUMBER(SEARCH(설정!$A$35,E69&amp;" "&amp;C69))),AND(설정!$A$36&lt;&gt;"",ISNUMBER(SEARCH(설정!$A$36,E69&amp;" "&amp;C69))),AND(설정!$A$37&lt;&gt;"",ISNUMBER(SEARCH(설정!$A$37,E69&amp;" "&amp;C69))))</f>
        <v/>
      </c>
      <c r="S69">
        <f>OR(D69="",D69&gt;=설정!$B$19)</f>
        <v/>
      </c>
      <c r="T69">
        <f>AND(Q69,R69,S69)</f>
        <v/>
      </c>
      <c r="U69">
        <f>IF(T69,IF(AND(설정!$A$41&lt;&gt;"",ISNUMBER(SEARCH(설정!$A$41,K69))),설정!$B$41,IF(AND(설정!$A$42&lt;&gt;"",ISNUMBER(SEARCH(설정!$A$42,K69))),설정!$B$42,IF(AND(설정!$A$43&lt;&gt;"",ISNUMBER(SEARCH(설정!$A$43,K69))),설정!$B$43,IF(AND(설정!$A$44&lt;&gt;"",ISNUMBER(SEARCH(설정!$A$44,K69))),설정!$B$44,IF(AND(설정!$A$45&lt;&gt;"",ISNUMBER(SEARCH(설정!$A$45,K69))),설정!$B$45,IF(AND(설정!$A$46&lt;&gt;"",ISNUMBER(SEARCH(설정!$A$46,K69))),설정!$B$46,IF(AND(설정!$A$47&lt;&gt;"",ISNUMBER(SEARCH(설정!$A$47,K69))),설정!$B$47,IF(AND(설정!$A$48&lt;&gt;"",ISNUMBER(SEARCH(설정!$A$48,K69))),설정!$B$48,IF(M69="","설계사","시공사"))))))))),"")</f>
        <v/>
      </c>
      <c r="V69">
        <f>SUBSTITUTE(SUBSTITUTE(SUBSTITUTE(SUBSTITUTE(G69,"(주)",""),"㈜",""),"주식회사","")," ","")</f>
        <v/>
      </c>
      <c r="W69">
        <f>IF(AND(T69,V69&lt;&gt;""),IF(COUNTIFS(V$2:V69,V69,T$2:T69,TRUE)=1,MAX(W$1:W68)+1,""),"")</f>
        <v/>
      </c>
      <c r="X69">
        <f>IFERROR(INDEX('1.산군_붙여넣기'!$A$1:$AZ$1001,ROW(),설정!$C$14)&amp;"","")</f>
        <v/>
      </c>
      <c r="Y69">
        <f>IFERROR(INDEX('1.산군_붙여넣기'!$A$1:$AZ$1001,ROW(),설정!$C$15)&amp;"","")</f>
        <v/>
      </c>
      <c r="Z69">
        <f>IF(T69,V69&amp;"|"&amp;U69,"")</f>
        <v/>
      </c>
    </row>
    <row r="70">
      <c r="A70">
        <f>ROW()</f>
        <v/>
      </c>
      <c r="B70">
        <f>IFERROR(INDEX('1.산군_붙여넣기'!$A$1:$AZ$1001,ROW(),설정!$C$4)&amp;"","")</f>
        <v/>
      </c>
      <c r="C70">
        <f>IFERROR(INDEX('1.산군_붙여넣기'!$A$1:$AZ$1001,ROW(),설정!$C$5)&amp;"","")</f>
        <v/>
      </c>
      <c r="D70" s="5">
        <f>IFERROR(VALUE(SUBSTITUTE(SUBSTITUTE(SUBSTITUTE(IFERROR(INDEX('1.산군_붙여넣기'!$A$1:$AZ$1001,ROW(),설정!$C$6)&amp;"",""),",",""),"㎡",""),"m2","")),"")</f>
        <v/>
      </c>
      <c r="E70">
        <f>IFERROR(INDEX('1.산군_붙여넣기'!$A$1:$AZ$1001,ROW(),설정!$C$7)&amp;"","")</f>
        <v/>
      </c>
      <c r="F70">
        <f>IFERROR(INDEX('1.산군_붙여넣기'!$A$1:$AZ$1001,ROW(),설정!$C$8)&amp;"","")</f>
        <v/>
      </c>
      <c r="G70">
        <f>IFERROR(INDEX('1.산군_붙여넣기'!$A$1:$AZ$1001,ROW(),설정!$C$9)&amp;"","")</f>
        <v/>
      </c>
      <c r="H70">
        <f>IFERROR(INDEX('1.산군_붙여넣기'!$A$1:$AZ$1001,ROW(),설정!$C$10)&amp;"","")</f>
        <v/>
      </c>
      <c r="I70">
        <f>IFERROR(INDEX('1.산군_붙여넣기'!$A$1:$AZ$1001,ROW(),설정!$C$11)&amp;"","")</f>
        <v/>
      </c>
      <c r="J70">
        <f>IFERROR(INDEX('1.산군_붙여넣기'!$A$1:$AZ$1001,ROW(),설정!$C$12)&amp;"","")</f>
        <v/>
      </c>
      <c r="K70">
        <f>IFERROR(INDEX('1.산군_붙여넣기'!$A$1:$AZ$1001,ROW(),설정!$C$13)&amp;"","")</f>
        <v/>
      </c>
      <c r="L70" s="6">
        <f>IF(X70="","",IF(AND(LEN(X70)=8,ISNUMBER(X70*1)),DATE(LEFT(X70,4),MID(X70,5,2),RIGHT(X70,2)),IFERROR(DATEVALUE(SUBSTITUTE(SUBSTITUTE(X70,".","-"),"/","-")),IFERROR(X70*1,""))))</f>
        <v/>
      </c>
      <c r="M70" s="6">
        <f>IF(Y70="","",IF(AND(LEN(Y70)=8,ISNUMBER(Y70*1)),DATE(LEFT(Y70,4),MID(Y70,5,2),RIGHT(Y70,2)),IFERROR(DATEVALUE(SUBSTITUTE(SUBSTITUTE(Y70,".","-"),"/","-")),IFERROR(Y70*1,""))))</f>
        <v/>
      </c>
      <c r="N70">
        <f>IFERROR(LEFT(B70,FIND(" ",B70)-1),B70)</f>
        <v/>
      </c>
      <c r="O70">
        <f>AND(B70&lt;&gt;"",B70&lt;&gt;설정!$B$4,C70&lt;&gt;설정!$B$5)</f>
        <v/>
      </c>
      <c r="P70">
        <f>IF(O70,B70&amp;"|"&amp;C70,"")</f>
        <v/>
      </c>
      <c r="Q70">
        <f>AND(O70,COUNTIF(P71:P$1002,P70)=0)</f>
        <v/>
      </c>
      <c r="R70">
        <f>OR(AND(설정!$A$28&lt;&gt;"",ISNUMBER(SEARCH(설정!$A$28,E70&amp;" "&amp;C70))),AND(설정!$A$29&lt;&gt;"",ISNUMBER(SEARCH(설정!$A$29,E70&amp;" "&amp;C70))),AND(설정!$A$30&lt;&gt;"",ISNUMBER(SEARCH(설정!$A$30,E70&amp;" "&amp;C70))),AND(설정!$A$31&lt;&gt;"",ISNUMBER(SEARCH(설정!$A$31,E70&amp;" "&amp;C70))),AND(설정!$A$32&lt;&gt;"",ISNUMBER(SEARCH(설정!$A$32,E70&amp;" "&amp;C70))),AND(설정!$A$33&lt;&gt;"",ISNUMBER(SEARCH(설정!$A$33,E70&amp;" "&amp;C70))),AND(설정!$A$34&lt;&gt;"",ISNUMBER(SEARCH(설정!$A$34,E70&amp;" "&amp;C70))),AND(설정!$A$35&lt;&gt;"",ISNUMBER(SEARCH(설정!$A$35,E70&amp;" "&amp;C70))),AND(설정!$A$36&lt;&gt;"",ISNUMBER(SEARCH(설정!$A$36,E70&amp;" "&amp;C70))),AND(설정!$A$37&lt;&gt;"",ISNUMBER(SEARCH(설정!$A$37,E70&amp;" "&amp;C70))))</f>
        <v/>
      </c>
      <c r="S70">
        <f>OR(D70="",D70&gt;=설정!$B$19)</f>
        <v/>
      </c>
      <c r="T70">
        <f>AND(Q70,R70,S70)</f>
        <v/>
      </c>
      <c r="U70">
        <f>IF(T70,IF(AND(설정!$A$41&lt;&gt;"",ISNUMBER(SEARCH(설정!$A$41,K70))),설정!$B$41,IF(AND(설정!$A$42&lt;&gt;"",ISNUMBER(SEARCH(설정!$A$42,K70))),설정!$B$42,IF(AND(설정!$A$43&lt;&gt;"",ISNUMBER(SEARCH(설정!$A$43,K70))),설정!$B$43,IF(AND(설정!$A$44&lt;&gt;"",ISNUMBER(SEARCH(설정!$A$44,K70))),설정!$B$44,IF(AND(설정!$A$45&lt;&gt;"",ISNUMBER(SEARCH(설정!$A$45,K70))),설정!$B$45,IF(AND(설정!$A$46&lt;&gt;"",ISNUMBER(SEARCH(설정!$A$46,K70))),설정!$B$46,IF(AND(설정!$A$47&lt;&gt;"",ISNUMBER(SEARCH(설정!$A$47,K70))),설정!$B$47,IF(AND(설정!$A$48&lt;&gt;"",ISNUMBER(SEARCH(설정!$A$48,K70))),설정!$B$48,IF(M70="","설계사","시공사"))))))))),"")</f>
        <v/>
      </c>
      <c r="V70">
        <f>SUBSTITUTE(SUBSTITUTE(SUBSTITUTE(SUBSTITUTE(G70,"(주)",""),"㈜",""),"주식회사","")," ","")</f>
        <v/>
      </c>
      <c r="W70">
        <f>IF(AND(T70,V70&lt;&gt;""),IF(COUNTIFS(V$2:V70,V70,T$2:T70,TRUE)=1,MAX(W$1:W69)+1,""),"")</f>
        <v/>
      </c>
      <c r="X70">
        <f>IFERROR(INDEX('1.산군_붙여넣기'!$A$1:$AZ$1001,ROW(),설정!$C$14)&amp;"","")</f>
        <v/>
      </c>
      <c r="Y70">
        <f>IFERROR(INDEX('1.산군_붙여넣기'!$A$1:$AZ$1001,ROW(),설정!$C$15)&amp;"","")</f>
        <v/>
      </c>
      <c r="Z70">
        <f>IF(T70,V70&amp;"|"&amp;U70,"")</f>
        <v/>
      </c>
    </row>
    <row r="71">
      <c r="A71">
        <f>ROW()</f>
        <v/>
      </c>
      <c r="B71">
        <f>IFERROR(INDEX('1.산군_붙여넣기'!$A$1:$AZ$1001,ROW(),설정!$C$4)&amp;"","")</f>
        <v/>
      </c>
      <c r="C71">
        <f>IFERROR(INDEX('1.산군_붙여넣기'!$A$1:$AZ$1001,ROW(),설정!$C$5)&amp;"","")</f>
        <v/>
      </c>
      <c r="D71" s="5">
        <f>IFERROR(VALUE(SUBSTITUTE(SUBSTITUTE(SUBSTITUTE(IFERROR(INDEX('1.산군_붙여넣기'!$A$1:$AZ$1001,ROW(),설정!$C$6)&amp;"",""),",",""),"㎡",""),"m2","")),"")</f>
        <v/>
      </c>
      <c r="E71">
        <f>IFERROR(INDEX('1.산군_붙여넣기'!$A$1:$AZ$1001,ROW(),설정!$C$7)&amp;"","")</f>
        <v/>
      </c>
      <c r="F71">
        <f>IFERROR(INDEX('1.산군_붙여넣기'!$A$1:$AZ$1001,ROW(),설정!$C$8)&amp;"","")</f>
        <v/>
      </c>
      <c r="G71">
        <f>IFERROR(INDEX('1.산군_붙여넣기'!$A$1:$AZ$1001,ROW(),설정!$C$9)&amp;"","")</f>
        <v/>
      </c>
      <c r="H71">
        <f>IFERROR(INDEX('1.산군_붙여넣기'!$A$1:$AZ$1001,ROW(),설정!$C$10)&amp;"","")</f>
        <v/>
      </c>
      <c r="I71">
        <f>IFERROR(INDEX('1.산군_붙여넣기'!$A$1:$AZ$1001,ROW(),설정!$C$11)&amp;"","")</f>
        <v/>
      </c>
      <c r="J71">
        <f>IFERROR(INDEX('1.산군_붙여넣기'!$A$1:$AZ$1001,ROW(),설정!$C$12)&amp;"","")</f>
        <v/>
      </c>
      <c r="K71">
        <f>IFERROR(INDEX('1.산군_붙여넣기'!$A$1:$AZ$1001,ROW(),설정!$C$13)&amp;"","")</f>
        <v/>
      </c>
      <c r="L71" s="6">
        <f>IF(X71="","",IF(AND(LEN(X71)=8,ISNUMBER(X71*1)),DATE(LEFT(X71,4),MID(X71,5,2),RIGHT(X71,2)),IFERROR(DATEVALUE(SUBSTITUTE(SUBSTITUTE(X71,".","-"),"/","-")),IFERROR(X71*1,""))))</f>
        <v/>
      </c>
      <c r="M71" s="6">
        <f>IF(Y71="","",IF(AND(LEN(Y71)=8,ISNUMBER(Y71*1)),DATE(LEFT(Y71,4),MID(Y71,5,2),RIGHT(Y71,2)),IFERROR(DATEVALUE(SUBSTITUTE(SUBSTITUTE(Y71,".","-"),"/","-")),IFERROR(Y71*1,""))))</f>
        <v/>
      </c>
      <c r="N71">
        <f>IFERROR(LEFT(B71,FIND(" ",B71)-1),B71)</f>
        <v/>
      </c>
      <c r="O71">
        <f>AND(B71&lt;&gt;"",B71&lt;&gt;설정!$B$4,C71&lt;&gt;설정!$B$5)</f>
        <v/>
      </c>
      <c r="P71">
        <f>IF(O71,B71&amp;"|"&amp;C71,"")</f>
        <v/>
      </c>
      <c r="Q71">
        <f>AND(O71,COUNTIF(P72:P$1002,P71)=0)</f>
        <v/>
      </c>
      <c r="R71">
        <f>OR(AND(설정!$A$28&lt;&gt;"",ISNUMBER(SEARCH(설정!$A$28,E71&amp;" "&amp;C71))),AND(설정!$A$29&lt;&gt;"",ISNUMBER(SEARCH(설정!$A$29,E71&amp;" "&amp;C71))),AND(설정!$A$30&lt;&gt;"",ISNUMBER(SEARCH(설정!$A$30,E71&amp;" "&amp;C71))),AND(설정!$A$31&lt;&gt;"",ISNUMBER(SEARCH(설정!$A$31,E71&amp;" "&amp;C71))),AND(설정!$A$32&lt;&gt;"",ISNUMBER(SEARCH(설정!$A$32,E71&amp;" "&amp;C71))),AND(설정!$A$33&lt;&gt;"",ISNUMBER(SEARCH(설정!$A$33,E71&amp;" "&amp;C71))),AND(설정!$A$34&lt;&gt;"",ISNUMBER(SEARCH(설정!$A$34,E71&amp;" "&amp;C71))),AND(설정!$A$35&lt;&gt;"",ISNUMBER(SEARCH(설정!$A$35,E71&amp;" "&amp;C71))),AND(설정!$A$36&lt;&gt;"",ISNUMBER(SEARCH(설정!$A$36,E71&amp;" "&amp;C71))),AND(설정!$A$37&lt;&gt;"",ISNUMBER(SEARCH(설정!$A$37,E71&amp;" "&amp;C71))))</f>
        <v/>
      </c>
      <c r="S71">
        <f>OR(D71="",D71&gt;=설정!$B$19)</f>
        <v/>
      </c>
      <c r="T71">
        <f>AND(Q71,R71,S71)</f>
        <v/>
      </c>
      <c r="U71">
        <f>IF(T71,IF(AND(설정!$A$41&lt;&gt;"",ISNUMBER(SEARCH(설정!$A$41,K71))),설정!$B$41,IF(AND(설정!$A$42&lt;&gt;"",ISNUMBER(SEARCH(설정!$A$42,K71))),설정!$B$42,IF(AND(설정!$A$43&lt;&gt;"",ISNUMBER(SEARCH(설정!$A$43,K71))),설정!$B$43,IF(AND(설정!$A$44&lt;&gt;"",ISNUMBER(SEARCH(설정!$A$44,K71))),설정!$B$44,IF(AND(설정!$A$45&lt;&gt;"",ISNUMBER(SEARCH(설정!$A$45,K71))),설정!$B$45,IF(AND(설정!$A$46&lt;&gt;"",ISNUMBER(SEARCH(설정!$A$46,K71))),설정!$B$46,IF(AND(설정!$A$47&lt;&gt;"",ISNUMBER(SEARCH(설정!$A$47,K71))),설정!$B$47,IF(AND(설정!$A$48&lt;&gt;"",ISNUMBER(SEARCH(설정!$A$48,K71))),설정!$B$48,IF(M71="","설계사","시공사"))))))))),"")</f>
        <v/>
      </c>
      <c r="V71">
        <f>SUBSTITUTE(SUBSTITUTE(SUBSTITUTE(SUBSTITUTE(G71,"(주)",""),"㈜",""),"주식회사","")," ","")</f>
        <v/>
      </c>
      <c r="W71">
        <f>IF(AND(T71,V71&lt;&gt;""),IF(COUNTIFS(V$2:V71,V71,T$2:T71,TRUE)=1,MAX(W$1:W70)+1,""),"")</f>
        <v/>
      </c>
      <c r="X71">
        <f>IFERROR(INDEX('1.산군_붙여넣기'!$A$1:$AZ$1001,ROW(),설정!$C$14)&amp;"","")</f>
        <v/>
      </c>
      <c r="Y71">
        <f>IFERROR(INDEX('1.산군_붙여넣기'!$A$1:$AZ$1001,ROW(),설정!$C$15)&amp;"","")</f>
        <v/>
      </c>
      <c r="Z71">
        <f>IF(T71,V71&amp;"|"&amp;U71,"")</f>
        <v/>
      </c>
    </row>
    <row r="72">
      <c r="A72">
        <f>ROW()</f>
        <v/>
      </c>
      <c r="B72">
        <f>IFERROR(INDEX('1.산군_붙여넣기'!$A$1:$AZ$1001,ROW(),설정!$C$4)&amp;"","")</f>
        <v/>
      </c>
      <c r="C72">
        <f>IFERROR(INDEX('1.산군_붙여넣기'!$A$1:$AZ$1001,ROW(),설정!$C$5)&amp;"","")</f>
        <v/>
      </c>
      <c r="D72" s="5">
        <f>IFERROR(VALUE(SUBSTITUTE(SUBSTITUTE(SUBSTITUTE(IFERROR(INDEX('1.산군_붙여넣기'!$A$1:$AZ$1001,ROW(),설정!$C$6)&amp;"",""),",",""),"㎡",""),"m2","")),"")</f>
        <v/>
      </c>
      <c r="E72">
        <f>IFERROR(INDEX('1.산군_붙여넣기'!$A$1:$AZ$1001,ROW(),설정!$C$7)&amp;"","")</f>
        <v/>
      </c>
      <c r="F72">
        <f>IFERROR(INDEX('1.산군_붙여넣기'!$A$1:$AZ$1001,ROW(),설정!$C$8)&amp;"","")</f>
        <v/>
      </c>
      <c r="G72">
        <f>IFERROR(INDEX('1.산군_붙여넣기'!$A$1:$AZ$1001,ROW(),설정!$C$9)&amp;"","")</f>
        <v/>
      </c>
      <c r="H72">
        <f>IFERROR(INDEX('1.산군_붙여넣기'!$A$1:$AZ$1001,ROW(),설정!$C$10)&amp;"","")</f>
        <v/>
      </c>
      <c r="I72">
        <f>IFERROR(INDEX('1.산군_붙여넣기'!$A$1:$AZ$1001,ROW(),설정!$C$11)&amp;"","")</f>
        <v/>
      </c>
      <c r="J72">
        <f>IFERROR(INDEX('1.산군_붙여넣기'!$A$1:$AZ$1001,ROW(),설정!$C$12)&amp;"","")</f>
        <v/>
      </c>
      <c r="K72">
        <f>IFERROR(INDEX('1.산군_붙여넣기'!$A$1:$AZ$1001,ROW(),설정!$C$13)&amp;"","")</f>
        <v/>
      </c>
      <c r="L72" s="6">
        <f>IF(X72="","",IF(AND(LEN(X72)=8,ISNUMBER(X72*1)),DATE(LEFT(X72,4),MID(X72,5,2),RIGHT(X72,2)),IFERROR(DATEVALUE(SUBSTITUTE(SUBSTITUTE(X72,".","-"),"/","-")),IFERROR(X72*1,""))))</f>
        <v/>
      </c>
      <c r="M72" s="6">
        <f>IF(Y72="","",IF(AND(LEN(Y72)=8,ISNUMBER(Y72*1)),DATE(LEFT(Y72,4),MID(Y72,5,2),RIGHT(Y72,2)),IFERROR(DATEVALUE(SUBSTITUTE(SUBSTITUTE(Y72,".","-"),"/","-")),IFERROR(Y72*1,""))))</f>
        <v/>
      </c>
      <c r="N72">
        <f>IFERROR(LEFT(B72,FIND(" ",B72)-1),B72)</f>
        <v/>
      </c>
      <c r="O72">
        <f>AND(B72&lt;&gt;"",B72&lt;&gt;설정!$B$4,C72&lt;&gt;설정!$B$5)</f>
        <v/>
      </c>
      <c r="P72">
        <f>IF(O72,B72&amp;"|"&amp;C72,"")</f>
        <v/>
      </c>
      <c r="Q72">
        <f>AND(O72,COUNTIF(P73:P$1002,P72)=0)</f>
        <v/>
      </c>
      <c r="R72">
        <f>OR(AND(설정!$A$28&lt;&gt;"",ISNUMBER(SEARCH(설정!$A$28,E72&amp;" "&amp;C72))),AND(설정!$A$29&lt;&gt;"",ISNUMBER(SEARCH(설정!$A$29,E72&amp;" "&amp;C72))),AND(설정!$A$30&lt;&gt;"",ISNUMBER(SEARCH(설정!$A$30,E72&amp;" "&amp;C72))),AND(설정!$A$31&lt;&gt;"",ISNUMBER(SEARCH(설정!$A$31,E72&amp;" "&amp;C72))),AND(설정!$A$32&lt;&gt;"",ISNUMBER(SEARCH(설정!$A$32,E72&amp;" "&amp;C72))),AND(설정!$A$33&lt;&gt;"",ISNUMBER(SEARCH(설정!$A$33,E72&amp;" "&amp;C72))),AND(설정!$A$34&lt;&gt;"",ISNUMBER(SEARCH(설정!$A$34,E72&amp;" "&amp;C72))),AND(설정!$A$35&lt;&gt;"",ISNUMBER(SEARCH(설정!$A$35,E72&amp;" "&amp;C72))),AND(설정!$A$36&lt;&gt;"",ISNUMBER(SEARCH(설정!$A$36,E72&amp;" "&amp;C72))),AND(설정!$A$37&lt;&gt;"",ISNUMBER(SEARCH(설정!$A$37,E72&amp;" "&amp;C72))))</f>
        <v/>
      </c>
      <c r="S72">
        <f>OR(D72="",D72&gt;=설정!$B$19)</f>
        <v/>
      </c>
      <c r="T72">
        <f>AND(Q72,R72,S72)</f>
        <v/>
      </c>
      <c r="U72">
        <f>IF(T72,IF(AND(설정!$A$41&lt;&gt;"",ISNUMBER(SEARCH(설정!$A$41,K72))),설정!$B$41,IF(AND(설정!$A$42&lt;&gt;"",ISNUMBER(SEARCH(설정!$A$42,K72))),설정!$B$42,IF(AND(설정!$A$43&lt;&gt;"",ISNUMBER(SEARCH(설정!$A$43,K72))),설정!$B$43,IF(AND(설정!$A$44&lt;&gt;"",ISNUMBER(SEARCH(설정!$A$44,K72))),설정!$B$44,IF(AND(설정!$A$45&lt;&gt;"",ISNUMBER(SEARCH(설정!$A$45,K72))),설정!$B$45,IF(AND(설정!$A$46&lt;&gt;"",ISNUMBER(SEARCH(설정!$A$46,K72))),설정!$B$46,IF(AND(설정!$A$47&lt;&gt;"",ISNUMBER(SEARCH(설정!$A$47,K72))),설정!$B$47,IF(AND(설정!$A$48&lt;&gt;"",ISNUMBER(SEARCH(설정!$A$48,K72))),설정!$B$48,IF(M72="","설계사","시공사"))))))))),"")</f>
        <v/>
      </c>
      <c r="V72">
        <f>SUBSTITUTE(SUBSTITUTE(SUBSTITUTE(SUBSTITUTE(G72,"(주)",""),"㈜",""),"주식회사","")," ","")</f>
        <v/>
      </c>
      <c r="W72">
        <f>IF(AND(T72,V72&lt;&gt;""),IF(COUNTIFS(V$2:V72,V72,T$2:T72,TRUE)=1,MAX(W$1:W71)+1,""),"")</f>
        <v/>
      </c>
      <c r="X72">
        <f>IFERROR(INDEX('1.산군_붙여넣기'!$A$1:$AZ$1001,ROW(),설정!$C$14)&amp;"","")</f>
        <v/>
      </c>
      <c r="Y72">
        <f>IFERROR(INDEX('1.산군_붙여넣기'!$A$1:$AZ$1001,ROW(),설정!$C$15)&amp;"","")</f>
        <v/>
      </c>
      <c r="Z72">
        <f>IF(T72,V72&amp;"|"&amp;U72,"")</f>
        <v/>
      </c>
    </row>
    <row r="73">
      <c r="A73">
        <f>ROW()</f>
        <v/>
      </c>
      <c r="B73">
        <f>IFERROR(INDEX('1.산군_붙여넣기'!$A$1:$AZ$1001,ROW(),설정!$C$4)&amp;"","")</f>
        <v/>
      </c>
      <c r="C73">
        <f>IFERROR(INDEX('1.산군_붙여넣기'!$A$1:$AZ$1001,ROW(),설정!$C$5)&amp;"","")</f>
        <v/>
      </c>
      <c r="D73" s="5">
        <f>IFERROR(VALUE(SUBSTITUTE(SUBSTITUTE(SUBSTITUTE(IFERROR(INDEX('1.산군_붙여넣기'!$A$1:$AZ$1001,ROW(),설정!$C$6)&amp;"",""),",",""),"㎡",""),"m2","")),"")</f>
        <v/>
      </c>
      <c r="E73">
        <f>IFERROR(INDEX('1.산군_붙여넣기'!$A$1:$AZ$1001,ROW(),설정!$C$7)&amp;"","")</f>
        <v/>
      </c>
      <c r="F73">
        <f>IFERROR(INDEX('1.산군_붙여넣기'!$A$1:$AZ$1001,ROW(),설정!$C$8)&amp;"","")</f>
        <v/>
      </c>
      <c r="G73">
        <f>IFERROR(INDEX('1.산군_붙여넣기'!$A$1:$AZ$1001,ROW(),설정!$C$9)&amp;"","")</f>
        <v/>
      </c>
      <c r="H73">
        <f>IFERROR(INDEX('1.산군_붙여넣기'!$A$1:$AZ$1001,ROW(),설정!$C$10)&amp;"","")</f>
        <v/>
      </c>
      <c r="I73">
        <f>IFERROR(INDEX('1.산군_붙여넣기'!$A$1:$AZ$1001,ROW(),설정!$C$11)&amp;"","")</f>
        <v/>
      </c>
      <c r="J73">
        <f>IFERROR(INDEX('1.산군_붙여넣기'!$A$1:$AZ$1001,ROW(),설정!$C$12)&amp;"","")</f>
        <v/>
      </c>
      <c r="K73">
        <f>IFERROR(INDEX('1.산군_붙여넣기'!$A$1:$AZ$1001,ROW(),설정!$C$13)&amp;"","")</f>
        <v/>
      </c>
      <c r="L73" s="6">
        <f>IF(X73="","",IF(AND(LEN(X73)=8,ISNUMBER(X73*1)),DATE(LEFT(X73,4),MID(X73,5,2),RIGHT(X73,2)),IFERROR(DATEVALUE(SUBSTITUTE(SUBSTITUTE(X73,".","-"),"/","-")),IFERROR(X73*1,""))))</f>
        <v/>
      </c>
      <c r="M73" s="6">
        <f>IF(Y73="","",IF(AND(LEN(Y73)=8,ISNUMBER(Y73*1)),DATE(LEFT(Y73,4),MID(Y73,5,2),RIGHT(Y73,2)),IFERROR(DATEVALUE(SUBSTITUTE(SUBSTITUTE(Y73,".","-"),"/","-")),IFERROR(Y73*1,""))))</f>
        <v/>
      </c>
      <c r="N73">
        <f>IFERROR(LEFT(B73,FIND(" ",B73)-1),B73)</f>
        <v/>
      </c>
      <c r="O73">
        <f>AND(B73&lt;&gt;"",B73&lt;&gt;설정!$B$4,C73&lt;&gt;설정!$B$5)</f>
        <v/>
      </c>
      <c r="P73">
        <f>IF(O73,B73&amp;"|"&amp;C73,"")</f>
        <v/>
      </c>
      <c r="Q73">
        <f>AND(O73,COUNTIF(P74:P$1002,P73)=0)</f>
        <v/>
      </c>
      <c r="R73">
        <f>OR(AND(설정!$A$28&lt;&gt;"",ISNUMBER(SEARCH(설정!$A$28,E73&amp;" "&amp;C73))),AND(설정!$A$29&lt;&gt;"",ISNUMBER(SEARCH(설정!$A$29,E73&amp;" "&amp;C73))),AND(설정!$A$30&lt;&gt;"",ISNUMBER(SEARCH(설정!$A$30,E73&amp;" "&amp;C73))),AND(설정!$A$31&lt;&gt;"",ISNUMBER(SEARCH(설정!$A$31,E73&amp;" "&amp;C73))),AND(설정!$A$32&lt;&gt;"",ISNUMBER(SEARCH(설정!$A$32,E73&amp;" "&amp;C73))),AND(설정!$A$33&lt;&gt;"",ISNUMBER(SEARCH(설정!$A$33,E73&amp;" "&amp;C73))),AND(설정!$A$34&lt;&gt;"",ISNUMBER(SEARCH(설정!$A$34,E73&amp;" "&amp;C73))),AND(설정!$A$35&lt;&gt;"",ISNUMBER(SEARCH(설정!$A$35,E73&amp;" "&amp;C73))),AND(설정!$A$36&lt;&gt;"",ISNUMBER(SEARCH(설정!$A$36,E73&amp;" "&amp;C73))),AND(설정!$A$37&lt;&gt;"",ISNUMBER(SEARCH(설정!$A$37,E73&amp;" "&amp;C73))))</f>
        <v/>
      </c>
      <c r="S73">
        <f>OR(D73="",D73&gt;=설정!$B$19)</f>
        <v/>
      </c>
      <c r="T73">
        <f>AND(Q73,R73,S73)</f>
        <v/>
      </c>
      <c r="U73">
        <f>IF(T73,IF(AND(설정!$A$41&lt;&gt;"",ISNUMBER(SEARCH(설정!$A$41,K73))),설정!$B$41,IF(AND(설정!$A$42&lt;&gt;"",ISNUMBER(SEARCH(설정!$A$42,K73))),설정!$B$42,IF(AND(설정!$A$43&lt;&gt;"",ISNUMBER(SEARCH(설정!$A$43,K73))),설정!$B$43,IF(AND(설정!$A$44&lt;&gt;"",ISNUMBER(SEARCH(설정!$A$44,K73))),설정!$B$44,IF(AND(설정!$A$45&lt;&gt;"",ISNUMBER(SEARCH(설정!$A$45,K73))),설정!$B$45,IF(AND(설정!$A$46&lt;&gt;"",ISNUMBER(SEARCH(설정!$A$46,K73))),설정!$B$46,IF(AND(설정!$A$47&lt;&gt;"",ISNUMBER(SEARCH(설정!$A$47,K73))),설정!$B$47,IF(AND(설정!$A$48&lt;&gt;"",ISNUMBER(SEARCH(설정!$A$48,K73))),설정!$B$48,IF(M73="","설계사","시공사"))))))))),"")</f>
        <v/>
      </c>
      <c r="V73">
        <f>SUBSTITUTE(SUBSTITUTE(SUBSTITUTE(SUBSTITUTE(G73,"(주)",""),"㈜",""),"주식회사","")," ","")</f>
        <v/>
      </c>
      <c r="W73">
        <f>IF(AND(T73,V73&lt;&gt;""),IF(COUNTIFS(V$2:V73,V73,T$2:T73,TRUE)=1,MAX(W$1:W72)+1,""),"")</f>
        <v/>
      </c>
      <c r="X73">
        <f>IFERROR(INDEX('1.산군_붙여넣기'!$A$1:$AZ$1001,ROW(),설정!$C$14)&amp;"","")</f>
        <v/>
      </c>
      <c r="Y73">
        <f>IFERROR(INDEX('1.산군_붙여넣기'!$A$1:$AZ$1001,ROW(),설정!$C$15)&amp;"","")</f>
        <v/>
      </c>
      <c r="Z73">
        <f>IF(T73,V73&amp;"|"&amp;U73,"")</f>
        <v/>
      </c>
    </row>
    <row r="74">
      <c r="A74">
        <f>ROW()</f>
        <v/>
      </c>
      <c r="B74">
        <f>IFERROR(INDEX('1.산군_붙여넣기'!$A$1:$AZ$1001,ROW(),설정!$C$4)&amp;"","")</f>
        <v/>
      </c>
      <c r="C74">
        <f>IFERROR(INDEX('1.산군_붙여넣기'!$A$1:$AZ$1001,ROW(),설정!$C$5)&amp;"","")</f>
        <v/>
      </c>
      <c r="D74" s="5">
        <f>IFERROR(VALUE(SUBSTITUTE(SUBSTITUTE(SUBSTITUTE(IFERROR(INDEX('1.산군_붙여넣기'!$A$1:$AZ$1001,ROW(),설정!$C$6)&amp;"",""),",",""),"㎡",""),"m2","")),"")</f>
        <v/>
      </c>
      <c r="E74">
        <f>IFERROR(INDEX('1.산군_붙여넣기'!$A$1:$AZ$1001,ROW(),설정!$C$7)&amp;"","")</f>
        <v/>
      </c>
      <c r="F74">
        <f>IFERROR(INDEX('1.산군_붙여넣기'!$A$1:$AZ$1001,ROW(),설정!$C$8)&amp;"","")</f>
        <v/>
      </c>
      <c r="G74">
        <f>IFERROR(INDEX('1.산군_붙여넣기'!$A$1:$AZ$1001,ROW(),설정!$C$9)&amp;"","")</f>
        <v/>
      </c>
      <c r="H74">
        <f>IFERROR(INDEX('1.산군_붙여넣기'!$A$1:$AZ$1001,ROW(),설정!$C$10)&amp;"","")</f>
        <v/>
      </c>
      <c r="I74">
        <f>IFERROR(INDEX('1.산군_붙여넣기'!$A$1:$AZ$1001,ROW(),설정!$C$11)&amp;"","")</f>
        <v/>
      </c>
      <c r="J74">
        <f>IFERROR(INDEX('1.산군_붙여넣기'!$A$1:$AZ$1001,ROW(),설정!$C$12)&amp;"","")</f>
        <v/>
      </c>
      <c r="K74">
        <f>IFERROR(INDEX('1.산군_붙여넣기'!$A$1:$AZ$1001,ROW(),설정!$C$13)&amp;"","")</f>
        <v/>
      </c>
      <c r="L74" s="6">
        <f>IF(X74="","",IF(AND(LEN(X74)=8,ISNUMBER(X74*1)),DATE(LEFT(X74,4),MID(X74,5,2),RIGHT(X74,2)),IFERROR(DATEVALUE(SUBSTITUTE(SUBSTITUTE(X74,".","-"),"/","-")),IFERROR(X74*1,""))))</f>
        <v/>
      </c>
      <c r="M74" s="6">
        <f>IF(Y74="","",IF(AND(LEN(Y74)=8,ISNUMBER(Y74*1)),DATE(LEFT(Y74,4),MID(Y74,5,2),RIGHT(Y74,2)),IFERROR(DATEVALUE(SUBSTITUTE(SUBSTITUTE(Y74,".","-"),"/","-")),IFERROR(Y74*1,""))))</f>
        <v/>
      </c>
      <c r="N74">
        <f>IFERROR(LEFT(B74,FIND(" ",B74)-1),B74)</f>
        <v/>
      </c>
      <c r="O74">
        <f>AND(B74&lt;&gt;"",B74&lt;&gt;설정!$B$4,C74&lt;&gt;설정!$B$5)</f>
        <v/>
      </c>
      <c r="P74">
        <f>IF(O74,B74&amp;"|"&amp;C74,"")</f>
        <v/>
      </c>
      <c r="Q74">
        <f>AND(O74,COUNTIF(P75:P$1002,P74)=0)</f>
        <v/>
      </c>
      <c r="R74">
        <f>OR(AND(설정!$A$28&lt;&gt;"",ISNUMBER(SEARCH(설정!$A$28,E74&amp;" "&amp;C74))),AND(설정!$A$29&lt;&gt;"",ISNUMBER(SEARCH(설정!$A$29,E74&amp;" "&amp;C74))),AND(설정!$A$30&lt;&gt;"",ISNUMBER(SEARCH(설정!$A$30,E74&amp;" "&amp;C74))),AND(설정!$A$31&lt;&gt;"",ISNUMBER(SEARCH(설정!$A$31,E74&amp;" "&amp;C74))),AND(설정!$A$32&lt;&gt;"",ISNUMBER(SEARCH(설정!$A$32,E74&amp;" "&amp;C74))),AND(설정!$A$33&lt;&gt;"",ISNUMBER(SEARCH(설정!$A$33,E74&amp;" "&amp;C74))),AND(설정!$A$34&lt;&gt;"",ISNUMBER(SEARCH(설정!$A$34,E74&amp;" "&amp;C74))),AND(설정!$A$35&lt;&gt;"",ISNUMBER(SEARCH(설정!$A$35,E74&amp;" "&amp;C74))),AND(설정!$A$36&lt;&gt;"",ISNUMBER(SEARCH(설정!$A$36,E74&amp;" "&amp;C74))),AND(설정!$A$37&lt;&gt;"",ISNUMBER(SEARCH(설정!$A$37,E74&amp;" "&amp;C74))))</f>
        <v/>
      </c>
      <c r="S74">
        <f>OR(D74="",D74&gt;=설정!$B$19)</f>
        <v/>
      </c>
      <c r="T74">
        <f>AND(Q74,R74,S74)</f>
        <v/>
      </c>
      <c r="U74">
        <f>IF(T74,IF(AND(설정!$A$41&lt;&gt;"",ISNUMBER(SEARCH(설정!$A$41,K74))),설정!$B$41,IF(AND(설정!$A$42&lt;&gt;"",ISNUMBER(SEARCH(설정!$A$42,K74))),설정!$B$42,IF(AND(설정!$A$43&lt;&gt;"",ISNUMBER(SEARCH(설정!$A$43,K74))),설정!$B$43,IF(AND(설정!$A$44&lt;&gt;"",ISNUMBER(SEARCH(설정!$A$44,K74))),설정!$B$44,IF(AND(설정!$A$45&lt;&gt;"",ISNUMBER(SEARCH(설정!$A$45,K74))),설정!$B$45,IF(AND(설정!$A$46&lt;&gt;"",ISNUMBER(SEARCH(설정!$A$46,K74))),설정!$B$46,IF(AND(설정!$A$47&lt;&gt;"",ISNUMBER(SEARCH(설정!$A$47,K74))),설정!$B$47,IF(AND(설정!$A$48&lt;&gt;"",ISNUMBER(SEARCH(설정!$A$48,K74))),설정!$B$48,IF(M74="","설계사","시공사"))))))))),"")</f>
        <v/>
      </c>
      <c r="V74">
        <f>SUBSTITUTE(SUBSTITUTE(SUBSTITUTE(SUBSTITUTE(G74,"(주)",""),"㈜",""),"주식회사","")," ","")</f>
        <v/>
      </c>
      <c r="W74">
        <f>IF(AND(T74,V74&lt;&gt;""),IF(COUNTIFS(V$2:V74,V74,T$2:T74,TRUE)=1,MAX(W$1:W73)+1,""),"")</f>
        <v/>
      </c>
      <c r="X74">
        <f>IFERROR(INDEX('1.산군_붙여넣기'!$A$1:$AZ$1001,ROW(),설정!$C$14)&amp;"","")</f>
        <v/>
      </c>
      <c r="Y74">
        <f>IFERROR(INDEX('1.산군_붙여넣기'!$A$1:$AZ$1001,ROW(),설정!$C$15)&amp;"","")</f>
        <v/>
      </c>
      <c r="Z74">
        <f>IF(T74,V74&amp;"|"&amp;U74,"")</f>
        <v/>
      </c>
    </row>
    <row r="75">
      <c r="A75">
        <f>ROW()</f>
        <v/>
      </c>
      <c r="B75">
        <f>IFERROR(INDEX('1.산군_붙여넣기'!$A$1:$AZ$1001,ROW(),설정!$C$4)&amp;"","")</f>
        <v/>
      </c>
      <c r="C75">
        <f>IFERROR(INDEX('1.산군_붙여넣기'!$A$1:$AZ$1001,ROW(),설정!$C$5)&amp;"","")</f>
        <v/>
      </c>
      <c r="D75" s="5">
        <f>IFERROR(VALUE(SUBSTITUTE(SUBSTITUTE(SUBSTITUTE(IFERROR(INDEX('1.산군_붙여넣기'!$A$1:$AZ$1001,ROW(),설정!$C$6)&amp;"",""),",",""),"㎡",""),"m2","")),"")</f>
        <v/>
      </c>
      <c r="E75">
        <f>IFERROR(INDEX('1.산군_붙여넣기'!$A$1:$AZ$1001,ROW(),설정!$C$7)&amp;"","")</f>
        <v/>
      </c>
      <c r="F75">
        <f>IFERROR(INDEX('1.산군_붙여넣기'!$A$1:$AZ$1001,ROW(),설정!$C$8)&amp;"","")</f>
        <v/>
      </c>
      <c r="G75">
        <f>IFERROR(INDEX('1.산군_붙여넣기'!$A$1:$AZ$1001,ROW(),설정!$C$9)&amp;"","")</f>
        <v/>
      </c>
      <c r="H75">
        <f>IFERROR(INDEX('1.산군_붙여넣기'!$A$1:$AZ$1001,ROW(),설정!$C$10)&amp;"","")</f>
        <v/>
      </c>
      <c r="I75">
        <f>IFERROR(INDEX('1.산군_붙여넣기'!$A$1:$AZ$1001,ROW(),설정!$C$11)&amp;"","")</f>
        <v/>
      </c>
      <c r="J75">
        <f>IFERROR(INDEX('1.산군_붙여넣기'!$A$1:$AZ$1001,ROW(),설정!$C$12)&amp;"","")</f>
        <v/>
      </c>
      <c r="K75">
        <f>IFERROR(INDEX('1.산군_붙여넣기'!$A$1:$AZ$1001,ROW(),설정!$C$13)&amp;"","")</f>
        <v/>
      </c>
      <c r="L75" s="6">
        <f>IF(X75="","",IF(AND(LEN(X75)=8,ISNUMBER(X75*1)),DATE(LEFT(X75,4),MID(X75,5,2),RIGHT(X75,2)),IFERROR(DATEVALUE(SUBSTITUTE(SUBSTITUTE(X75,".","-"),"/","-")),IFERROR(X75*1,""))))</f>
        <v/>
      </c>
      <c r="M75" s="6">
        <f>IF(Y75="","",IF(AND(LEN(Y75)=8,ISNUMBER(Y75*1)),DATE(LEFT(Y75,4),MID(Y75,5,2),RIGHT(Y75,2)),IFERROR(DATEVALUE(SUBSTITUTE(SUBSTITUTE(Y75,".","-"),"/","-")),IFERROR(Y75*1,""))))</f>
        <v/>
      </c>
      <c r="N75">
        <f>IFERROR(LEFT(B75,FIND(" ",B75)-1),B75)</f>
        <v/>
      </c>
      <c r="O75">
        <f>AND(B75&lt;&gt;"",B75&lt;&gt;설정!$B$4,C75&lt;&gt;설정!$B$5)</f>
        <v/>
      </c>
      <c r="P75">
        <f>IF(O75,B75&amp;"|"&amp;C75,"")</f>
        <v/>
      </c>
      <c r="Q75">
        <f>AND(O75,COUNTIF(P76:P$1002,P75)=0)</f>
        <v/>
      </c>
      <c r="R75">
        <f>OR(AND(설정!$A$28&lt;&gt;"",ISNUMBER(SEARCH(설정!$A$28,E75&amp;" "&amp;C75))),AND(설정!$A$29&lt;&gt;"",ISNUMBER(SEARCH(설정!$A$29,E75&amp;" "&amp;C75))),AND(설정!$A$30&lt;&gt;"",ISNUMBER(SEARCH(설정!$A$30,E75&amp;" "&amp;C75))),AND(설정!$A$31&lt;&gt;"",ISNUMBER(SEARCH(설정!$A$31,E75&amp;" "&amp;C75))),AND(설정!$A$32&lt;&gt;"",ISNUMBER(SEARCH(설정!$A$32,E75&amp;" "&amp;C75))),AND(설정!$A$33&lt;&gt;"",ISNUMBER(SEARCH(설정!$A$33,E75&amp;" "&amp;C75))),AND(설정!$A$34&lt;&gt;"",ISNUMBER(SEARCH(설정!$A$34,E75&amp;" "&amp;C75))),AND(설정!$A$35&lt;&gt;"",ISNUMBER(SEARCH(설정!$A$35,E75&amp;" "&amp;C75))),AND(설정!$A$36&lt;&gt;"",ISNUMBER(SEARCH(설정!$A$36,E75&amp;" "&amp;C75))),AND(설정!$A$37&lt;&gt;"",ISNUMBER(SEARCH(설정!$A$37,E75&amp;" "&amp;C75))))</f>
        <v/>
      </c>
      <c r="S75">
        <f>OR(D75="",D75&gt;=설정!$B$19)</f>
        <v/>
      </c>
      <c r="T75">
        <f>AND(Q75,R75,S75)</f>
        <v/>
      </c>
      <c r="U75">
        <f>IF(T75,IF(AND(설정!$A$41&lt;&gt;"",ISNUMBER(SEARCH(설정!$A$41,K75))),설정!$B$41,IF(AND(설정!$A$42&lt;&gt;"",ISNUMBER(SEARCH(설정!$A$42,K75))),설정!$B$42,IF(AND(설정!$A$43&lt;&gt;"",ISNUMBER(SEARCH(설정!$A$43,K75))),설정!$B$43,IF(AND(설정!$A$44&lt;&gt;"",ISNUMBER(SEARCH(설정!$A$44,K75))),설정!$B$44,IF(AND(설정!$A$45&lt;&gt;"",ISNUMBER(SEARCH(설정!$A$45,K75))),설정!$B$45,IF(AND(설정!$A$46&lt;&gt;"",ISNUMBER(SEARCH(설정!$A$46,K75))),설정!$B$46,IF(AND(설정!$A$47&lt;&gt;"",ISNUMBER(SEARCH(설정!$A$47,K75))),설정!$B$47,IF(AND(설정!$A$48&lt;&gt;"",ISNUMBER(SEARCH(설정!$A$48,K75))),설정!$B$48,IF(M75="","설계사","시공사"))))))))),"")</f>
        <v/>
      </c>
      <c r="V75">
        <f>SUBSTITUTE(SUBSTITUTE(SUBSTITUTE(SUBSTITUTE(G75,"(주)",""),"㈜",""),"주식회사","")," ","")</f>
        <v/>
      </c>
      <c r="W75">
        <f>IF(AND(T75,V75&lt;&gt;""),IF(COUNTIFS(V$2:V75,V75,T$2:T75,TRUE)=1,MAX(W$1:W74)+1,""),"")</f>
        <v/>
      </c>
      <c r="X75">
        <f>IFERROR(INDEX('1.산군_붙여넣기'!$A$1:$AZ$1001,ROW(),설정!$C$14)&amp;"","")</f>
        <v/>
      </c>
      <c r="Y75">
        <f>IFERROR(INDEX('1.산군_붙여넣기'!$A$1:$AZ$1001,ROW(),설정!$C$15)&amp;"","")</f>
        <v/>
      </c>
      <c r="Z75">
        <f>IF(T75,V75&amp;"|"&amp;U75,"")</f>
        <v/>
      </c>
    </row>
    <row r="76">
      <c r="A76">
        <f>ROW()</f>
        <v/>
      </c>
      <c r="B76">
        <f>IFERROR(INDEX('1.산군_붙여넣기'!$A$1:$AZ$1001,ROW(),설정!$C$4)&amp;"","")</f>
        <v/>
      </c>
      <c r="C76">
        <f>IFERROR(INDEX('1.산군_붙여넣기'!$A$1:$AZ$1001,ROW(),설정!$C$5)&amp;"","")</f>
        <v/>
      </c>
      <c r="D76" s="5">
        <f>IFERROR(VALUE(SUBSTITUTE(SUBSTITUTE(SUBSTITUTE(IFERROR(INDEX('1.산군_붙여넣기'!$A$1:$AZ$1001,ROW(),설정!$C$6)&amp;"",""),",",""),"㎡",""),"m2","")),"")</f>
        <v/>
      </c>
      <c r="E76">
        <f>IFERROR(INDEX('1.산군_붙여넣기'!$A$1:$AZ$1001,ROW(),설정!$C$7)&amp;"","")</f>
        <v/>
      </c>
      <c r="F76">
        <f>IFERROR(INDEX('1.산군_붙여넣기'!$A$1:$AZ$1001,ROW(),설정!$C$8)&amp;"","")</f>
        <v/>
      </c>
      <c r="G76">
        <f>IFERROR(INDEX('1.산군_붙여넣기'!$A$1:$AZ$1001,ROW(),설정!$C$9)&amp;"","")</f>
        <v/>
      </c>
      <c r="H76">
        <f>IFERROR(INDEX('1.산군_붙여넣기'!$A$1:$AZ$1001,ROW(),설정!$C$10)&amp;"","")</f>
        <v/>
      </c>
      <c r="I76">
        <f>IFERROR(INDEX('1.산군_붙여넣기'!$A$1:$AZ$1001,ROW(),설정!$C$11)&amp;"","")</f>
        <v/>
      </c>
      <c r="J76">
        <f>IFERROR(INDEX('1.산군_붙여넣기'!$A$1:$AZ$1001,ROW(),설정!$C$12)&amp;"","")</f>
        <v/>
      </c>
      <c r="K76">
        <f>IFERROR(INDEX('1.산군_붙여넣기'!$A$1:$AZ$1001,ROW(),설정!$C$13)&amp;"","")</f>
        <v/>
      </c>
      <c r="L76" s="6">
        <f>IF(X76="","",IF(AND(LEN(X76)=8,ISNUMBER(X76*1)),DATE(LEFT(X76,4),MID(X76,5,2),RIGHT(X76,2)),IFERROR(DATEVALUE(SUBSTITUTE(SUBSTITUTE(X76,".","-"),"/","-")),IFERROR(X76*1,""))))</f>
        <v/>
      </c>
      <c r="M76" s="6">
        <f>IF(Y76="","",IF(AND(LEN(Y76)=8,ISNUMBER(Y76*1)),DATE(LEFT(Y76,4),MID(Y76,5,2),RIGHT(Y76,2)),IFERROR(DATEVALUE(SUBSTITUTE(SUBSTITUTE(Y76,".","-"),"/","-")),IFERROR(Y76*1,""))))</f>
        <v/>
      </c>
      <c r="N76">
        <f>IFERROR(LEFT(B76,FIND(" ",B76)-1),B76)</f>
        <v/>
      </c>
      <c r="O76">
        <f>AND(B76&lt;&gt;"",B76&lt;&gt;설정!$B$4,C76&lt;&gt;설정!$B$5)</f>
        <v/>
      </c>
      <c r="P76">
        <f>IF(O76,B76&amp;"|"&amp;C76,"")</f>
        <v/>
      </c>
      <c r="Q76">
        <f>AND(O76,COUNTIF(P77:P$1002,P76)=0)</f>
        <v/>
      </c>
      <c r="R76">
        <f>OR(AND(설정!$A$28&lt;&gt;"",ISNUMBER(SEARCH(설정!$A$28,E76&amp;" "&amp;C76))),AND(설정!$A$29&lt;&gt;"",ISNUMBER(SEARCH(설정!$A$29,E76&amp;" "&amp;C76))),AND(설정!$A$30&lt;&gt;"",ISNUMBER(SEARCH(설정!$A$30,E76&amp;" "&amp;C76))),AND(설정!$A$31&lt;&gt;"",ISNUMBER(SEARCH(설정!$A$31,E76&amp;" "&amp;C76))),AND(설정!$A$32&lt;&gt;"",ISNUMBER(SEARCH(설정!$A$32,E76&amp;" "&amp;C76))),AND(설정!$A$33&lt;&gt;"",ISNUMBER(SEARCH(설정!$A$33,E76&amp;" "&amp;C76))),AND(설정!$A$34&lt;&gt;"",ISNUMBER(SEARCH(설정!$A$34,E76&amp;" "&amp;C76))),AND(설정!$A$35&lt;&gt;"",ISNUMBER(SEARCH(설정!$A$35,E76&amp;" "&amp;C76))),AND(설정!$A$36&lt;&gt;"",ISNUMBER(SEARCH(설정!$A$36,E76&amp;" "&amp;C76))),AND(설정!$A$37&lt;&gt;"",ISNUMBER(SEARCH(설정!$A$37,E76&amp;" "&amp;C76))))</f>
        <v/>
      </c>
      <c r="S76">
        <f>OR(D76="",D76&gt;=설정!$B$19)</f>
        <v/>
      </c>
      <c r="T76">
        <f>AND(Q76,R76,S76)</f>
        <v/>
      </c>
      <c r="U76">
        <f>IF(T76,IF(AND(설정!$A$41&lt;&gt;"",ISNUMBER(SEARCH(설정!$A$41,K76))),설정!$B$41,IF(AND(설정!$A$42&lt;&gt;"",ISNUMBER(SEARCH(설정!$A$42,K76))),설정!$B$42,IF(AND(설정!$A$43&lt;&gt;"",ISNUMBER(SEARCH(설정!$A$43,K76))),설정!$B$43,IF(AND(설정!$A$44&lt;&gt;"",ISNUMBER(SEARCH(설정!$A$44,K76))),설정!$B$44,IF(AND(설정!$A$45&lt;&gt;"",ISNUMBER(SEARCH(설정!$A$45,K76))),설정!$B$45,IF(AND(설정!$A$46&lt;&gt;"",ISNUMBER(SEARCH(설정!$A$46,K76))),설정!$B$46,IF(AND(설정!$A$47&lt;&gt;"",ISNUMBER(SEARCH(설정!$A$47,K76))),설정!$B$47,IF(AND(설정!$A$48&lt;&gt;"",ISNUMBER(SEARCH(설정!$A$48,K76))),설정!$B$48,IF(M76="","설계사","시공사"))))))))),"")</f>
        <v/>
      </c>
      <c r="V76">
        <f>SUBSTITUTE(SUBSTITUTE(SUBSTITUTE(SUBSTITUTE(G76,"(주)",""),"㈜",""),"주식회사","")," ","")</f>
        <v/>
      </c>
      <c r="W76">
        <f>IF(AND(T76,V76&lt;&gt;""),IF(COUNTIFS(V$2:V76,V76,T$2:T76,TRUE)=1,MAX(W$1:W75)+1,""),"")</f>
        <v/>
      </c>
      <c r="X76">
        <f>IFERROR(INDEX('1.산군_붙여넣기'!$A$1:$AZ$1001,ROW(),설정!$C$14)&amp;"","")</f>
        <v/>
      </c>
      <c r="Y76">
        <f>IFERROR(INDEX('1.산군_붙여넣기'!$A$1:$AZ$1001,ROW(),설정!$C$15)&amp;"","")</f>
        <v/>
      </c>
      <c r="Z76">
        <f>IF(T76,V76&amp;"|"&amp;U76,"")</f>
        <v/>
      </c>
    </row>
    <row r="77">
      <c r="A77">
        <f>ROW()</f>
        <v/>
      </c>
      <c r="B77">
        <f>IFERROR(INDEX('1.산군_붙여넣기'!$A$1:$AZ$1001,ROW(),설정!$C$4)&amp;"","")</f>
        <v/>
      </c>
      <c r="C77">
        <f>IFERROR(INDEX('1.산군_붙여넣기'!$A$1:$AZ$1001,ROW(),설정!$C$5)&amp;"","")</f>
        <v/>
      </c>
      <c r="D77" s="5">
        <f>IFERROR(VALUE(SUBSTITUTE(SUBSTITUTE(SUBSTITUTE(IFERROR(INDEX('1.산군_붙여넣기'!$A$1:$AZ$1001,ROW(),설정!$C$6)&amp;"",""),",",""),"㎡",""),"m2","")),"")</f>
        <v/>
      </c>
      <c r="E77">
        <f>IFERROR(INDEX('1.산군_붙여넣기'!$A$1:$AZ$1001,ROW(),설정!$C$7)&amp;"","")</f>
        <v/>
      </c>
      <c r="F77">
        <f>IFERROR(INDEX('1.산군_붙여넣기'!$A$1:$AZ$1001,ROW(),설정!$C$8)&amp;"","")</f>
        <v/>
      </c>
      <c r="G77">
        <f>IFERROR(INDEX('1.산군_붙여넣기'!$A$1:$AZ$1001,ROW(),설정!$C$9)&amp;"","")</f>
        <v/>
      </c>
      <c r="H77">
        <f>IFERROR(INDEX('1.산군_붙여넣기'!$A$1:$AZ$1001,ROW(),설정!$C$10)&amp;"","")</f>
        <v/>
      </c>
      <c r="I77">
        <f>IFERROR(INDEX('1.산군_붙여넣기'!$A$1:$AZ$1001,ROW(),설정!$C$11)&amp;"","")</f>
        <v/>
      </c>
      <c r="J77">
        <f>IFERROR(INDEX('1.산군_붙여넣기'!$A$1:$AZ$1001,ROW(),설정!$C$12)&amp;"","")</f>
        <v/>
      </c>
      <c r="K77">
        <f>IFERROR(INDEX('1.산군_붙여넣기'!$A$1:$AZ$1001,ROW(),설정!$C$13)&amp;"","")</f>
        <v/>
      </c>
      <c r="L77" s="6">
        <f>IF(X77="","",IF(AND(LEN(X77)=8,ISNUMBER(X77*1)),DATE(LEFT(X77,4),MID(X77,5,2),RIGHT(X77,2)),IFERROR(DATEVALUE(SUBSTITUTE(SUBSTITUTE(X77,".","-"),"/","-")),IFERROR(X77*1,""))))</f>
        <v/>
      </c>
      <c r="M77" s="6">
        <f>IF(Y77="","",IF(AND(LEN(Y77)=8,ISNUMBER(Y77*1)),DATE(LEFT(Y77,4),MID(Y77,5,2),RIGHT(Y77,2)),IFERROR(DATEVALUE(SUBSTITUTE(SUBSTITUTE(Y77,".","-"),"/","-")),IFERROR(Y77*1,""))))</f>
        <v/>
      </c>
      <c r="N77">
        <f>IFERROR(LEFT(B77,FIND(" ",B77)-1),B77)</f>
        <v/>
      </c>
      <c r="O77">
        <f>AND(B77&lt;&gt;"",B77&lt;&gt;설정!$B$4,C77&lt;&gt;설정!$B$5)</f>
        <v/>
      </c>
      <c r="P77">
        <f>IF(O77,B77&amp;"|"&amp;C77,"")</f>
        <v/>
      </c>
      <c r="Q77">
        <f>AND(O77,COUNTIF(P78:P$1002,P77)=0)</f>
        <v/>
      </c>
      <c r="R77">
        <f>OR(AND(설정!$A$28&lt;&gt;"",ISNUMBER(SEARCH(설정!$A$28,E77&amp;" "&amp;C77))),AND(설정!$A$29&lt;&gt;"",ISNUMBER(SEARCH(설정!$A$29,E77&amp;" "&amp;C77))),AND(설정!$A$30&lt;&gt;"",ISNUMBER(SEARCH(설정!$A$30,E77&amp;" "&amp;C77))),AND(설정!$A$31&lt;&gt;"",ISNUMBER(SEARCH(설정!$A$31,E77&amp;" "&amp;C77))),AND(설정!$A$32&lt;&gt;"",ISNUMBER(SEARCH(설정!$A$32,E77&amp;" "&amp;C77))),AND(설정!$A$33&lt;&gt;"",ISNUMBER(SEARCH(설정!$A$33,E77&amp;" "&amp;C77))),AND(설정!$A$34&lt;&gt;"",ISNUMBER(SEARCH(설정!$A$34,E77&amp;" "&amp;C77))),AND(설정!$A$35&lt;&gt;"",ISNUMBER(SEARCH(설정!$A$35,E77&amp;" "&amp;C77))),AND(설정!$A$36&lt;&gt;"",ISNUMBER(SEARCH(설정!$A$36,E77&amp;" "&amp;C77))),AND(설정!$A$37&lt;&gt;"",ISNUMBER(SEARCH(설정!$A$37,E77&amp;" "&amp;C77))))</f>
        <v/>
      </c>
      <c r="S77">
        <f>OR(D77="",D77&gt;=설정!$B$19)</f>
        <v/>
      </c>
      <c r="T77">
        <f>AND(Q77,R77,S77)</f>
        <v/>
      </c>
      <c r="U77">
        <f>IF(T77,IF(AND(설정!$A$41&lt;&gt;"",ISNUMBER(SEARCH(설정!$A$41,K77))),설정!$B$41,IF(AND(설정!$A$42&lt;&gt;"",ISNUMBER(SEARCH(설정!$A$42,K77))),설정!$B$42,IF(AND(설정!$A$43&lt;&gt;"",ISNUMBER(SEARCH(설정!$A$43,K77))),설정!$B$43,IF(AND(설정!$A$44&lt;&gt;"",ISNUMBER(SEARCH(설정!$A$44,K77))),설정!$B$44,IF(AND(설정!$A$45&lt;&gt;"",ISNUMBER(SEARCH(설정!$A$45,K77))),설정!$B$45,IF(AND(설정!$A$46&lt;&gt;"",ISNUMBER(SEARCH(설정!$A$46,K77))),설정!$B$46,IF(AND(설정!$A$47&lt;&gt;"",ISNUMBER(SEARCH(설정!$A$47,K77))),설정!$B$47,IF(AND(설정!$A$48&lt;&gt;"",ISNUMBER(SEARCH(설정!$A$48,K77))),설정!$B$48,IF(M77="","설계사","시공사"))))))))),"")</f>
        <v/>
      </c>
      <c r="V77">
        <f>SUBSTITUTE(SUBSTITUTE(SUBSTITUTE(SUBSTITUTE(G77,"(주)",""),"㈜",""),"주식회사","")," ","")</f>
        <v/>
      </c>
      <c r="W77">
        <f>IF(AND(T77,V77&lt;&gt;""),IF(COUNTIFS(V$2:V77,V77,T$2:T77,TRUE)=1,MAX(W$1:W76)+1,""),"")</f>
        <v/>
      </c>
      <c r="X77">
        <f>IFERROR(INDEX('1.산군_붙여넣기'!$A$1:$AZ$1001,ROW(),설정!$C$14)&amp;"","")</f>
        <v/>
      </c>
      <c r="Y77">
        <f>IFERROR(INDEX('1.산군_붙여넣기'!$A$1:$AZ$1001,ROW(),설정!$C$15)&amp;"","")</f>
        <v/>
      </c>
      <c r="Z77">
        <f>IF(T77,V77&amp;"|"&amp;U77,"")</f>
        <v/>
      </c>
    </row>
    <row r="78">
      <c r="A78">
        <f>ROW()</f>
        <v/>
      </c>
      <c r="B78">
        <f>IFERROR(INDEX('1.산군_붙여넣기'!$A$1:$AZ$1001,ROW(),설정!$C$4)&amp;"","")</f>
        <v/>
      </c>
      <c r="C78">
        <f>IFERROR(INDEX('1.산군_붙여넣기'!$A$1:$AZ$1001,ROW(),설정!$C$5)&amp;"","")</f>
        <v/>
      </c>
      <c r="D78" s="5">
        <f>IFERROR(VALUE(SUBSTITUTE(SUBSTITUTE(SUBSTITUTE(IFERROR(INDEX('1.산군_붙여넣기'!$A$1:$AZ$1001,ROW(),설정!$C$6)&amp;"",""),",",""),"㎡",""),"m2","")),"")</f>
        <v/>
      </c>
      <c r="E78">
        <f>IFERROR(INDEX('1.산군_붙여넣기'!$A$1:$AZ$1001,ROW(),설정!$C$7)&amp;"","")</f>
        <v/>
      </c>
      <c r="F78">
        <f>IFERROR(INDEX('1.산군_붙여넣기'!$A$1:$AZ$1001,ROW(),설정!$C$8)&amp;"","")</f>
        <v/>
      </c>
      <c r="G78">
        <f>IFERROR(INDEX('1.산군_붙여넣기'!$A$1:$AZ$1001,ROW(),설정!$C$9)&amp;"","")</f>
        <v/>
      </c>
      <c r="H78">
        <f>IFERROR(INDEX('1.산군_붙여넣기'!$A$1:$AZ$1001,ROW(),설정!$C$10)&amp;"","")</f>
        <v/>
      </c>
      <c r="I78">
        <f>IFERROR(INDEX('1.산군_붙여넣기'!$A$1:$AZ$1001,ROW(),설정!$C$11)&amp;"","")</f>
        <v/>
      </c>
      <c r="J78">
        <f>IFERROR(INDEX('1.산군_붙여넣기'!$A$1:$AZ$1001,ROW(),설정!$C$12)&amp;"","")</f>
        <v/>
      </c>
      <c r="K78">
        <f>IFERROR(INDEX('1.산군_붙여넣기'!$A$1:$AZ$1001,ROW(),설정!$C$13)&amp;"","")</f>
        <v/>
      </c>
      <c r="L78" s="6">
        <f>IF(X78="","",IF(AND(LEN(X78)=8,ISNUMBER(X78*1)),DATE(LEFT(X78,4),MID(X78,5,2),RIGHT(X78,2)),IFERROR(DATEVALUE(SUBSTITUTE(SUBSTITUTE(X78,".","-"),"/","-")),IFERROR(X78*1,""))))</f>
        <v/>
      </c>
      <c r="M78" s="6">
        <f>IF(Y78="","",IF(AND(LEN(Y78)=8,ISNUMBER(Y78*1)),DATE(LEFT(Y78,4),MID(Y78,5,2),RIGHT(Y78,2)),IFERROR(DATEVALUE(SUBSTITUTE(SUBSTITUTE(Y78,".","-"),"/","-")),IFERROR(Y78*1,""))))</f>
        <v/>
      </c>
      <c r="N78">
        <f>IFERROR(LEFT(B78,FIND(" ",B78)-1),B78)</f>
        <v/>
      </c>
      <c r="O78">
        <f>AND(B78&lt;&gt;"",B78&lt;&gt;설정!$B$4,C78&lt;&gt;설정!$B$5)</f>
        <v/>
      </c>
      <c r="P78">
        <f>IF(O78,B78&amp;"|"&amp;C78,"")</f>
        <v/>
      </c>
      <c r="Q78">
        <f>AND(O78,COUNTIF(P79:P$1002,P78)=0)</f>
        <v/>
      </c>
      <c r="R78">
        <f>OR(AND(설정!$A$28&lt;&gt;"",ISNUMBER(SEARCH(설정!$A$28,E78&amp;" "&amp;C78))),AND(설정!$A$29&lt;&gt;"",ISNUMBER(SEARCH(설정!$A$29,E78&amp;" "&amp;C78))),AND(설정!$A$30&lt;&gt;"",ISNUMBER(SEARCH(설정!$A$30,E78&amp;" "&amp;C78))),AND(설정!$A$31&lt;&gt;"",ISNUMBER(SEARCH(설정!$A$31,E78&amp;" "&amp;C78))),AND(설정!$A$32&lt;&gt;"",ISNUMBER(SEARCH(설정!$A$32,E78&amp;" "&amp;C78))),AND(설정!$A$33&lt;&gt;"",ISNUMBER(SEARCH(설정!$A$33,E78&amp;" "&amp;C78))),AND(설정!$A$34&lt;&gt;"",ISNUMBER(SEARCH(설정!$A$34,E78&amp;" "&amp;C78))),AND(설정!$A$35&lt;&gt;"",ISNUMBER(SEARCH(설정!$A$35,E78&amp;" "&amp;C78))),AND(설정!$A$36&lt;&gt;"",ISNUMBER(SEARCH(설정!$A$36,E78&amp;" "&amp;C78))),AND(설정!$A$37&lt;&gt;"",ISNUMBER(SEARCH(설정!$A$37,E78&amp;" "&amp;C78))))</f>
        <v/>
      </c>
      <c r="S78">
        <f>OR(D78="",D78&gt;=설정!$B$19)</f>
        <v/>
      </c>
      <c r="T78">
        <f>AND(Q78,R78,S78)</f>
        <v/>
      </c>
      <c r="U78">
        <f>IF(T78,IF(AND(설정!$A$41&lt;&gt;"",ISNUMBER(SEARCH(설정!$A$41,K78))),설정!$B$41,IF(AND(설정!$A$42&lt;&gt;"",ISNUMBER(SEARCH(설정!$A$42,K78))),설정!$B$42,IF(AND(설정!$A$43&lt;&gt;"",ISNUMBER(SEARCH(설정!$A$43,K78))),설정!$B$43,IF(AND(설정!$A$44&lt;&gt;"",ISNUMBER(SEARCH(설정!$A$44,K78))),설정!$B$44,IF(AND(설정!$A$45&lt;&gt;"",ISNUMBER(SEARCH(설정!$A$45,K78))),설정!$B$45,IF(AND(설정!$A$46&lt;&gt;"",ISNUMBER(SEARCH(설정!$A$46,K78))),설정!$B$46,IF(AND(설정!$A$47&lt;&gt;"",ISNUMBER(SEARCH(설정!$A$47,K78))),설정!$B$47,IF(AND(설정!$A$48&lt;&gt;"",ISNUMBER(SEARCH(설정!$A$48,K78))),설정!$B$48,IF(M78="","설계사","시공사"))))))))),"")</f>
        <v/>
      </c>
      <c r="V78">
        <f>SUBSTITUTE(SUBSTITUTE(SUBSTITUTE(SUBSTITUTE(G78,"(주)",""),"㈜",""),"주식회사","")," ","")</f>
        <v/>
      </c>
      <c r="W78">
        <f>IF(AND(T78,V78&lt;&gt;""),IF(COUNTIFS(V$2:V78,V78,T$2:T78,TRUE)=1,MAX(W$1:W77)+1,""),"")</f>
        <v/>
      </c>
      <c r="X78">
        <f>IFERROR(INDEX('1.산군_붙여넣기'!$A$1:$AZ$1001,ROW(),설정!$C$14)&amp;"","")</f>
        <v/>
      </c>
      <c r="Y78">
        <f>IFERROR(INDEX('1.산군_붙여넣기'!$A$1:$AZ$1001,ROW(),설정!$C$15)&amp;"","")</f>
        <v/>
      </c>
      <c r="Z78">
        <f>IF(T78,V78&amp;"|"&amp;U78,"")</f>
        <v/>
      </c>
    </row>
    <row r="79">
      <c r="A79">
        <f>ROW()</f>
        <v/>
      </c>
      <c r="B79">
        <f>IFERROR(INDEX('1.산군_붙여넣기'!$A$1:$AZ$1001,ROW(),설정!$C$4)&amp;"","")</f>
        <v/>
      </c>
      <c r="C79">
        <f>IFERROR(INDEX('1.산군_붙여넣기'!$A$1:$AZ$1001,ROW(),설정!$C$5)&amp;"","")</f>
        <v/>
      </c>
      <c r="D79" s="5">
        <f>IFERROR(VALUE(SUBSTITUTE(SUBSTITUTE(SUBSTITUTE(IFERROR(INDEX('1.산군_붙여넣기'!$A$1:$AZ$1001,ROW(),설정!$C$6)&amp;"",""),",",""),"㎡",""),"m2","")),"")</f>
        <v/>
      </c>
      <c r="E79">
        <f>IFERROR(INDEX('1.산군_붙여넣기'!$A$1:$AZ$1001,ROW(),설정!$C$7)&amp;"","")</f>
        <v/>
      </c>
      <c r="F79">
        <f>IFERROR(INDEX('1.산군_붙여넣기'!$A$1:$AZ$1001,ROW(),설정!$C$8)&amp;"","")</f>
        <v/>
      </c>
      <c r="G79">
        <f>IFERROR(INDEX('1.산군_붙여넣기'!$A$1:$AZ$1001,ROW(),설정!$C$9)&amp;"","")</f>
        <v/>
      </c>
      <c r="H79">
        <f>IFERROR(INDEX('1.산군_붙여넣기'!$A$1:$AZ$1001,ROW(),설정!$C$10)&amp;"","")</f>
        <v/>
      </c>
      <c r="I79">
        <f>IFERROR(INDEX('1.산군_붙여넣기'!$A$1:$AZ$1001,ROW(),설정!$C$11)&amp;"","")</f>
        <v/>
      </c>
      <c r="J79">
        <f>IFERROR(INDEX('1.산군_붙여넣기'!$A$1:$AZ$1001,ROW(),설정!$C$12)&amp;"","")</f>
        <v/>
      </c>
      <c r="K79">
        <f>IFERROR(INDEX('1.산군_붙여넣기'!$A$1:$AZ$1001,ROW(),설정!$C$13)&amp;"","")</f>
        <v/>
      </c>
      <c r="L79" s="6">
        <f>IF(X79="","",IF(AND(LEN(X79)=8,ISNUMBER(X79*1)),DATE(LEFT(X79,4),MID(X79,5,2),RIGHT(X79,2)),IFERROR(DATEVALUE(SUBSTITUTE(SUBSTITUTE(X79,".","-"),"/","-")),IFERROR(X79*1,""))))</f>
        <v/>
      </c>
      <c r="M79" s="6">
        <f>IF(Y79="","",IF(AND(LEN(Y79)=8,ISNUMBER(Y79*1)),DATE(LEFT(Y79,4),MID(Y79,5,2),RIGHT(Y79,2)),IFERROR(DATEVALUE(SUBSTITUTE(SUBSTITUTE(Y79,".","-"),"/","-")),IFERROR(Y79*1,""))))</f>
        <v/>
      </c>
      <c r="N79">
        <f>IFERROR(LEFT(B79,FIND(" ",B79)-1),B79)</f>
        <v/>
      </c>
      <c r="O79">
        <f>AND(B79&lt;&gt;"",B79&lt;&gt;설정!$B$4,C79&lt;&gt;설정!$B$5)</f>
        <v/>
      </c>
      <c r="P79">
        <f>IF(O79,B79&amp;"|"&amp;C79,"")</f>
        <v/>
      </c>
      <c r="Q79">
        <f>AND(O79,COUNTIF(P80:P$1002,P79)=0)</f>
        <v/>
      </c>
      <c r="R79">
        <f>OR(AND(설정!$A$28&lt;&gt;"",ISNUMBER(SEARCH(설정!$A$28,E79&amp;" "&amp;C79))),AND(설정!$A$29&lt;&gt;"",ISNUMBER(SEARCH(설정!$A$29,E79&amp;" "&amp;C79))),AND(설정!$A$30&lt;&gt;"",ISNUMBER(SEARCH(설정!$A$30,E79&amp;" "&amp;C79))),AND(설정!$A$31&lt;&gt;"",ISNUMBER(SEARCH(설정!$A$31,E79&amp;" "&amp;C79))),AND(설정!$A$32&lt;&gt;"",ISNUMBER(SEARCH(설정!$A$32,E79&amp;" "&amp;C79))),AND(설정!$A$33&lt;&gt;"",ISNUMBER(SEARCH(설정!$A$33,E79&amp;" "&amp;C79))),AND(설정!$A$34&lt;&gt;"",ISNUMBER(SEARCH(설정!$A$34,E79&amp;" "&amp;C79))),AND(설정!$A$35&lt;&gt;"",ISNUMBER(SEARCH(설정!$A$35,E79&amp;" "&amp;C79))),AND(설정!$A$36&lt;&gt;"",ISNUMBER(SEARCH(설정!$A$36,E79&amp;" "&amp;C79))),AND(설정!$A$37&lt;&gt;"",ISNUMBER(SEARCH(설정!$A$37,E79&amp;" "&amp;C79))))</f>
        <v/>
      </c>
      <c r="S79">
        <f>OR(D79="",D79&gt;=설정!$B$19)</f>
        <v/>
      </c>
      <c r="T79">
        <f>AND(Q79,R79,S79)</f>
        <v/>
      </c>
      <c r="U79">
        <f>IF(T79,IF(AND(설정!$A$41&lt;&gt;"",ISNUMBER(SEARCH(설정!$A$41,K79))),설정!$B$41,IF(AND(설정!$A$42&lt;&gt;"",ISNUMBER(SEARCH(설정!$A$42,K79))),설정!$B$42,IF(AND(설정!$A$43&lt;&gt;"",ISNUMBER(SEARCH(설정!$A$43,K79))),설정!$B$43,IF(AND(설정!$A$44&lt;&gt;"",ISNUMBER(SEARCH(설정!$A$44,K79))),설정!$B$44,IF(AND(설정!$A$45&lt;&gt;"",ISNUMBER(SEARCH(설정!$A$45,K79))),설정!$B$45,IF(AND(설정!$A$46&lt;&gt;"",ISNUMBER(SEARCH(설정!$A$46,K79))),설정!$B$46,IF(AND(설정!$A$47&lt;&gt;"",ISNUMBER(SEARCH(설정!$A$47,K79))),설정!$B$47,IF(AND(설정!$A$48&lt;&gt;"",ISNUMBER(SEARCH(설정!$A$48,K79))),설정!$B$48,IF(M79="","설계사","시공사"))))))))),"")</f>
        <v/>
      </c>
      <c r="V79">
        <f>SUBSTITUTE(SUBSTITUTE(SUBSTITUTE(SUBSTITUTE(G79,"(주)",""),"㈜",""),"주식회사","")," ","")</f>
        <v/>
      </c>
      <c r="W79">
        <f>IF(AND(T79,V79&lt;&gt;""),IF(COUNTIFS(V$2:V79,V79,T$2:T79,TRUE)=1,MAX(W$1:W78)+1,""),"")</f>
        <v/>
      </c>
      <c r="X79">
        <f>IFERROR(INDEX('1.산군_붙여넣기'!$A$1:$AZ$1001,ROW(),설정!$C$14)&amp;"","")</f>
        <v/>
      </c>
      <c r="Y79">
        <f>IFERROR(INDEX('1.산군_붙여넣기'!$A$1:$AZ$1001,ROW(),설정!$C$15)&amp;"","")</f>
        <v/>
      </c>
      <c r="Z79">
        <f>IF(T79,V79&amp;"|"&amp;U79,"")</f>
        <v/>
      </c>
    </row>
    <row r="80">
      <c r="A80">
        <f>ROW()</f>
        <v/>
      </c>
      <c r="B80">
        <f>IFERROR(INDEX('1.산군_붙여넣기'!$A$1:$AZ$1001,ROW(),설정!$C$4)&amp;"","")</f>
        <v/>
      </c>
      <c r="C80">
        <f>IFERROR(INDEX('1.산군_붙여넣기'!$A$1:$AZ$1001,ROW(),설정!$C$5)&amp;"","")</f>
        <v/>
      </c>
      <c r="D80" s="5">
        <f>IFERROR(VALUE(SUBSTITUTE(SUBSTITUTE(SUBSTITUTE(IFERROR(INDEX('1.산군_붙여넣기'!$A$1:$AZ$1001,ROW(),설정!$C$6)&amp;"",""),",",""),"㎡",""),"m2","")),"")</f>
        <v/>
      </c>
      <c r="E80">
        <f>IFERROR(INDEX('1.산군_붙여넣기'!$A$1:$AZ$1001,ROW(),설정!$C$7)&amp;"","")</f>
        <v/>
      </c>
      <c r="F80">
        <f>IFERROR(INDEX('1.산군_붙여넣기'!$A$1:$AZ$1001,ROW(),설정!$C$8)&amp;"","")</f>
        <v/>
      </c>
      <c r="G80">
        <f>IFERROR(INDEX('1.산군_붙여넣기'!$A$1:$AZ$1001,ROW(),설정!$C$9)&amp;"","")</f>
        <v/>
      </c>
      <c r="H80">
        <f>IFERROR(INDEX('1.산군_붙여넣기'!$A$1:$AZ$1001,ROW(),설정!$C$10)&amp;"","")</f>
        <v/>
      </c>
      <c r="I80">
        <f>IFERROR(INDEX('1.산군_붙여넣기'!$A$1:$AZ$1001,ROW(),설정!$C$11)&amp;"","")</f>
        <v/>
      </c>
      <c r="J80">
        <f>IFERROR(INDEX('1.산군_붙여넣기'!$A$1:$AZ$1001,ROW(),설정!$C$12)&amp;"","")</f>
        <v/>
      </c>
      <c r="K80">
        <f>IFERROR(INDEX('1.산군_붙여넣기'!$A$1:$AZ$1001,ROW(),설정!$C$13)&amp;"","")</f>
        <v/>
      </c>
      <c r="L80" s="6">
        <f>IF(X80="","",IF(AND(LEN(X80)=8,ISNUMBER(X80*1)),DATE(LEFT(X80,4),MID(X80,5,2),RIGHT(X80,2)),IFERROR(DATEVALUE(SUBSTITUTE(SUBSTITUTE(X80,".","-"),"/","-")),IFERROR(X80*1,""))))</f>
        <v/>
      </c>
      <c r="M80" s="6">
        <f>IF(Y80="","",IF(AND(LEN(Y80)=8,ISNUMBER(Y80*1)),DATE(LEFT(Y80,4),MID(Y80,5,2),RIGHT(Y80,2)),IFERROR(DATEVALUE(SUBSTITUTE(SUBSTITUTE(Y80,".","-"),"/","-")),IFERROR(Y80*1,""))))</f>
        <v/>
      </c>
      <c r="N80">
        <f>IFERROR(LEFT(B80,FIND(" ",B80)-1),B80)</f>
        <v/>
      </c>
      <c r="O80">
        <f>AND(B80&lt;&gt;"",B80&lt;&gt;설정!$B$4,C80&lt;&gt;설정!$B$5)</f>
        <v/>
      </c>
      <c r="P80">
        <f>IF(O80,B80&amp;"|"&amp;C80,"")</f>
        <v/>
      </c>
      <c r="Q80">
        <f>AND(O80,COUNTIF(P81:P$1002,P80)=0)</f>
        <v/>
      </c>
      <c r="R80">
        <f>OR(AND(설정!$A$28&lt;&gt;"",ISNUMBER(SEARCH(설정!$A$28,E80&amp;" "&amp;C80))),AND(설정!$A$29&lt;&gt;"",ISNUMBER(SEARCH(설정!$A$29,E80&amp;" "&amp;C80))),AND(설정!$A$30&lt;&gt;"",ISNUMBER(SEARCH(설정!$A$30,E80&amp;" "&amp;C80))),AND(설정!$A$31&lt;&gt;"",ISNUMBER(SEARCH(설정!$A$31,E80&amp;" "&amp;C80))),AND(설정!$A$32&lt;&gt;"",ISNUMBER(SEARCH(설정!$A$32,E80&amp;" "&amp;C80))),AND(설정!$A$33&lt;&gt;"",ISNUMBER(SEARCH(설정!$A$33,E80&amp;" "&amp;C80))),AND(설정!$A$34&lt;&gt;"",ISNUMBER(SEARCH(설정!$A$34,E80&amp;" "&amp;C80))),AND(설정!$A$35&lt;&gt;"",ISNUMBER(SEARCH(설정!$A$35,E80&amp;" "&amp;C80))),AND(설정!$A$36&lt;&gt;"",ISNUMBER(SEARCH(설정!$A$36,E80&amp;" "&amp;C80))),AND(설정!$A$37&lt;&gt;"",ISNUMBER(SEARCH(설정!$A$37,E80&amp;" "&amp;C80))))</f>
        <v/>
      </c>
      <c r="S80">
        <f>OR(D80="",D80&gt;=설정!$B$19)</f>
        <v/>
      </c>
      <c r="T80">
        <f>AND(Q80,R80,S80)</f>
        <v/>
      </c>
      <c r="U80">
        <f>IF(T80,IF(AND(설정!$A$41&lt;&gt;"",ISNUMBER(SEARCH(설정!$A$41,K80))),설정!$B$41,IF(AND(설정!$A$42&lt;&gt;"",ISNUMBER(SEARCH(설정!$A$42,K80))),설정!$B$42,IF(AND(설정!$A$43&lt;&gt;"",ISNUMBER(SEARCH(설정!$A$43,K80))),설정!$B$43,IF(AND(설정!$A$44&lt;&gt;"",ISNUMBER(SEARCH(설정!$A$44,K80))),설정!$B$44,IF(AND(설정!$A$45&lt;&gt;"",ISNUMBER(SEARCH(설정!$A$45,K80))),설정!$B$45,IF(AND(설정!$A$46&lt;&gt;"",ISNUMBER(SEARCH(설정!$A$46,K80))),설정!$B$46,IF(AND(설정!$A$47&lt;&gt;"",ISNUMBER(SEARCH(설정!$A$47,K80))),설정!$B$47,IF(AND(설정!$A$48&lt;&gt;"",ISNUMBER(SEARCH(설정!$A$48,K80))),설정!$B$48,IF(M80="","설계사","시공사"))))))))),"")</f>
        <v/>
      </c>
      <c r="V80">
        <f>SUBSTITUTE(SUBSTITUTE(SUBSTITUTE(SUBSTITUTE(G80,"(주)",""),"㈜",""),"주식회사","")," ","")</f>
        <v/>
      </c>
      <c r="W80">
        <f>IF(AND(T80,V80&lt;&gt;""),IF(COUNTIFS(V$2:V80,V80,T$2:T80,TRUE)=1,MAX(W$1:W79)+1,""),"")</f>
        <v/>
      </c>
      <c r="X80">
        <f>IFERROR(INDEX('1.산군_붙여넣기'!$A$1:$AZ$1001,ROW(),설정!$C$14)&amp;"","")</f>
        <v/>
      </c>
      <c r="Y80">
        <f>IFERROR(INDEX('1.산군_붙여넣기'!$A$1:$AZ$1001,ROW(),설정!$C$15)&amp;"","")</f>
        <v/>
      </c>
      <c r="Z80">
        <f>IF(T80,V80&amp;"|"&amp;U80,"")</f>
        <v/>
      </c>
    </row>
    <row r="81">
      <c r="A81">
        <f>ROW()</f>
        <v/>
      </c>
      <c r="B81">
        <f>IFERROR(INDEX('1.산군_붙여넣기'!$A$1:$AZ$1001,ROW(),설정!$C$4)&amp;"","")</f>
        <v/>
      </c>
      <c r="C81">
        <f>IFERROR(INDEX('1.산군_붙여넣기'!$A$1:$AZ$1001,ROW(),설정!$C$5)&amp;"","")</f>
        <v/>
      </c>
      <c r="D81" s="5">
        <f>IFERROR(VALUE(SUBSTITUTE(SUBSTITUTE(SUBSTITUTE(IFERROR(INDEX('1.산군_붙여넣기'!$A$1:$AZ$1001,ROW(),설정!$C$6)&amp;"",""),",",""),"㎡",""),"m2","")),"")</f>
        <v/>
      </c>
      <c r="E81">
        <f>IFERROR(INDEX('1.산군_붙여넣기'!$A$1:$AZ$1001,ROW(),설정!$C$7)&amp;"","")</f>
        <v/>
      </c>
      <c r="F81">
        <f>IFERROR(INDEX('1.산군_붙여넣기'!$A$1:$AZ$1001,ROW(),설정!$C$8)&amp;"","")</f>
        <v/>
      </c>
      <c r="G81">
        <f>IFERROR(INDEX('1.산군_붙여넣기'!$A$1:$AZ$1001,ROW(),설정!$C$9)&amp;"","")</f>
        <v/>
      </c>
      <c r="H81">
        <f>IFERROR(INDEX('1.산군_붙여넣기'!$A$1:$AZ$1001,ROW(),설정!$C$10)&amp;"","")</f>
        <v/>
      </c>
      <c r="I81">
        <f>IFERROR(INDEX('1.산군_붙여넣기'!$A$1:$AZ$1001,ROW(),설정!$C$11)&amp;"","")</f>
        <v/>
      </c>
      <c r="J81">
        <f>IFERROR(INDEX('1.산군_붙여넣기'!$A$1:$AZ$1001,ROW(),설정!$C$12)&amp;"","")</f>
        <v/>
      </c>
      <c r="K81">
        <f>IFERROR(INDEX('1.산군_붙여넣기'!$A$1:$AZ$1001,ROW(),설정!$C$13)&amp;"","")</f>
        <v/>
      </c>
      <c r="L81" s="6">
        <f>IF(X81="","",IF(AND(LEN(X81)=8,ISNUMBER(X81*1)),DATE(LEFT(X81,4),MID(X81,5,2),RIGHT(X81,2)),IFERROR(DATEVALUE(SUBSTITUTE(SUBSTITUTE(X81,".","-"),"/","-")),IFERROR(X81*1,""))))</f>
        <v/>
      </c>
      <c r="M81" s="6">
        <f>IF(Y81="","",IF(AND(LEN(Y81)=8,ISNUMBER(Y81*1)),DATE(LEFT(Y81,4),MID(Y81,5,2),RIGHT(Y81,2)),IFERROR(DATEVALUE(SUBSTITUTE(SUBSTITUTE(Y81,".","-"),"/","-")),IFERROR(Y81*1,""))))</f>
        <v/>
      </c>
      <c r="N81">
        <f>IFERROR(LEFT(B81,FIND(" ",B81)-1),B81)</f>
        <v/>
      </c>
      <c r="O81">
        <f>AND(B81&lt;&gt;"",B81&lt;&gt;설정!$B$4,C81&lt;&gt;설정!$B$5)</f>
        <v/>
      </c>
      <c r="P81">
        <f>IF(O81,B81&amp;"|"&amp;C81,"")</f>
        <v/>
      </c>
      <c r="Q81">
        <f>AND(O81,COUNTIF(P82:P$1002,P81)=0)</f>
        <v/>
      </c>
      <c r="R81">
        <f>OR(AND(설정!$A$28&lt;&gt;"",ISNUMBER(SEARCH(설정!$A$28,E81&amp;" "&amp;C81))),AND(설정!$A$29&lt;&gt;"",ISNUMBER(SEARCH(설정!$A$29,E81&amp;" "&amp;C81))),AND(설정!$A$30&lt;&gt;"",ISNUMBER(SEARCH(설정!$A$30,E81&amp;" "&amp;C81))),AND(설정!$A$31&lt;&gt;"",ISNUMBER(SEARCH(설정!$A$31,E81&amp;" "&amp;C81))),AND(설정!$A$32&lt;&gt;"",ISNUMBER(SEARCH(설정!$A$32,E81&amp;" "&amp;C81))),AND(설정!$A$33&lt;&gt;"",ISNUMBER(SEARCH(설정!$A$33,E81&amp;" "&amp;C81))),AND(설정!$A$34&lt;&gt;"",ISNUMBER(SEARCH(설정!$A$34,E81&amp;" "&amp;C81))),AND(설정!$A$35&lt;&gt;"",ISNUMBER(SEARCH(설정!$A$35,E81&amp;" "&amp;C81))),AND(설정!$A$36&lt;&gt;"",ISNUMBER(SEARCH(설정!$A$36,E81&amp;" "&amp;C81))),AND(설정!$A$37&lt;&gt;"",ISNUMBER(SEARCH(설정!$A$37,E81&amp;" "&amp;C81))))</f>
        <v/>
      </c>
      <c r="S81">
        <f>OR(D81="",D81&gt;=설정!$B$19)</f>
        <v/>
      </c>
      <c r="T81">
        <f>AND(Q81,R81,S81)</f>
        <v/>
      </c>
      <c r="U81">
        <f>IF(T81,IF(AND(설정!$A$41&lt;&gt;"",ISNUMBER(SEARCH(설정!$A$41,K81))),설정!$B$41,IF(AND(설정!$A$42&lt;&gt;"",ISNUMBER(SEARCH(설정!$A$42,K81))),설정!$B$42,IF(AND(설정!$A$43&lt;&gt;"",ISNUMBER(SEARCH(설정!$A$43,K81))),설정!$B$43,IF(AND(설정!$A$44&lt;&gt;"",ISNUMBER(SEARCH(설정!$A$44,K81))),설정!$B$44,IF(AND(설정!$A$45&lt;&gt;"",ISNUMBER(SEARCH(설정!$A$45,K81))),설정!$B$45,IF(AND(설정!$A$46&lt;&gt;"",ISNUMBER(SEARCH(설정!$A$46,K81))),설정!$B$46,IF(AND(설정!$A$47&lt;&gt;"",ISNUMBER(SEARCH(설정!$A$47,K81))),설정!$B$47,IF(AND(설정!$A$48&lt;&gt;"",ISNUMBER(SEARCH(설정!$A$48,K81))),설정!$B$48,IF(M81="","설계사","시공사"))))))))),"")</f>
        <v/>
      </c>
      <c r="V81">
        <f>SUBSTITUTE(SUBSTITUTE(SUBSTITUTE(SUBSTITUTE(G81,"(주)",""),"㈜",""),"주식회사","")," ","")</f>
        <v/>
      </c>
      <c r="W81">
        <f>IF(AND(T81,V81&lt;&gt;""),IF(COUNTIFS(V$2:V81,V81,T$2:T81,TRUE)=1,MAX(W$1:W80)+1,""),"")</f>
        <v/>
      </c>
      <c r="X81">
        <f>IFERROR(INDEX('1.산군_붙여넣기'!$A$1:$AZ$1001,ROW(),설정!$C$14)&amp;"","")</f>
        <v/>
      </c>
      <c r="Y81">
        <f>IFERROR(INDEX('1.산군_붙여넣기'!$A$1:$AZ$1001,ROW(),설정!$C$15)&amp;"","")</f>
        <v/>
      </c>
      <c r="Z81">
        <f>IF(T81,V81&amp;"|"&amp;U81,"")</f>
        <v/>
      </c>
    </row>
    <row r="82">
      <c r="A82">
        <f>ROW()</f>
        <v/>
      </c>
      <c r="B82">
        <f>IFERROR(INDEX('1.산군_붙여넣기'!$A$1:$AZ$1001,ROW(),설정!$C$4)&amp;"","")</f>
        <v/>
      </c>
      <c r="C82">
        <f>IFERROR(INDEX('1.산군_붙여넣기'!$A$1:$AZ$1001,ROW(),설정!$C$5)&amp;"","")</f>
        <v/>
      </c>
      <c r="D82" s="5">
        <f>IFERROR(VALUE(SUBSTITUTE(SUBSTITUTE(SUBSTITUTE(IFERROR(INDEX('1.산군_붙여넣기'!$A$1:$AZ$1001,ROW(),설정!$C$6)&amp;"",""),",",""),"㎡",""),"m2","")),"")</f>
        <v/>
      </c>
      <c r="E82">
        <f>IFERROR(INDEX('1.산군_붙여넣기'!$A$1:$AZ$1001,ROW(),설정!$C$7)&amp;"","")</f>
        <v/>
      </c>
      <c r="F82">
        <f>IFERROR(INDEX('1.산군_붙여넣기'!$A$1:$AZ$1001,ROW(),설정!$C$8)&amp;"","")</f>
        <v/>
      </c>
      <c r="G82">
        <f>IFERROR(INDEX('1.산군_붙여넣기'!$A$1:$AZ$1001,ROW(),설정!$C$9)&amp;"","")</f>
        <v/>
      </c>
      <c r="H82">
        <f>IFERROR(INDEX('1.산군_붙여넣기'!$A$1:$AZ$1001,ROW(),설정!$C$10)&amp;"","")</f>
        <v/>
      </c>
      <c r="I82">
        <f>IFERROR(INDEX('1.산군_붙여넣기'!$A$1:$AZ$1001,ROW(),설정!$C$11)&amp;"","")</f>
        <v/>
      </c>
      <c r="J82">
        <f>IFERROR(INDEX('1.산군_붙여넣기'!$A$1:$AZ$1001,ROW(),설정!$C$12)&amp;"","")</f>
        <v/>
      </c>
      <c r="K82">
        <f>IFERROR(INDEX('1.산군_붙여넣기'!$A$1:$AZ$1001,ROW(),설정!$C$13)&amp;"","")</f>
        <v/>
      </c>
      <c r="L82" s="6">
        <f>IF(X82="","",IF(AND(LEN(X82)=8,ISNUMBER(X82*1)),DATE(LEFT(X82,4),MID(X82,5,2),RIGHT(X82,2)),IFERROR(DATEVALUE(SUBSTITUTE(SUBSTITUTE(X82,".","-"),"/","-")),IFERROR(X82*1,""))))</f>
        <v/>
      </c>
      <c r="M82" s="6">
        <f>IF(Y82="","",IF(AND(LEN(Y82)=8,ISNUMBER(Y82*1)),DATE(LEFT(Y82,4),MID(Y82,5,2),RIGHT(Y82,2)),IFERROR(DATEVALUE(SUBSTITUTE(SUBSTITUTE(Y82,".","-"),"/","-")),IFERROR(Y82*1,""))))</f>
        <v/>
      </c>
      <c r="N82">
        <f>IFERROR(LEFT(B82,FIND(" ",B82)-1),B82)</f>
        <v/>
      </c>
      <c r="O82">
        <f>AND(B82&lt;&gt;"",B82&lt;&gt;설정!$B$4,C82&lt;&gt;설정!$B$5)</f>
        <v/>
      </c>
      <c r="P82">
        <f>IF(O82,B82&amp;"|"&amp;C82,"")</f>
        <v/>
      </c>
      <c r="Q82">
        <f>AND(O82,COUNTIF(P83:P$1002,P82)=0)</f>
        <v/>
      </c>
      <c r="R82">
        <f>OR(AND(설정!$A$28&lt;&gt;"",ISNUMBER(SEARCH(설정!$A$28,E82&amp;" "&amp;C82))),AND(설정!$A$29&lt;&gt;"",ISNUMBER(SEARCH(설정!$A$29,E82&amp;" "&amp;C82))),AND(설정!$A$30&lt;&gt;"",ISNUMBER(SEARCH(설정!$A$30,E82&amp;" "&amp;C82))),AND(설정!$A$31&lt;&gt;"",ISNUMBER(SEARCH(설정!$A$31,E82&amp;" "&amp;C82))),AND(설정!$A$32&lt;&gt;"",ISNUMBER(SEARCH(설정!$A$32,E82&amp;" "&amp;C82))),AND(설정!$A$33&lt;&gt;"",ISNUMBER(SEARCH(설정!$A$33,E82&amp;" "&amp;C82))),AND(설정!$A$34&lt;&gt;"",ISNUMBER(SEARCH(설정!$A$34,E82&amp;" "&amp;C82))),AND(설정!$A$35&lt;&gt;"",ISNUMBER(SEARCH(설정!$A$35,E82&amp;" "&amp;C82))),AND(설정!$A$36&lt;&gt;"",ISNUMBER(SEARCH(설정!$A$36,E82&amp;" "&amp;C82))),AND(설정!$A$37&lt;&gt;"",ISNUMBER(SEARCH(설정!$A$37,E82&amp;" "&amp;C82))))</f>
        <v/>
      </c>
      <c r="S82">
        <f>OR(D82="",D82&gt;=설정!$B$19)</f>
        <v/>
      </c>
      <c r="T82">
        <f>AND(Q82,R82,S82)</f>
        <v/>
      </c>
      <c r="U82">
        <f>IF(T82,IF(AND(설정!$A$41&lt;&gt;"",ISNUMBER(SEARCH(설정!$A$41,K82))),설정!$B$41,IF(AND(설정!$A$42&lt;&gt;"",ISNUMBER(SEARCH(설정!$A$42,K82))),설정!$B$42,IF(AND(설정!$A$43&lt;&gt;"",ISNUMBER(SEARCH(설정!$A$43,K82))),설정!$B$43,IF(AND(설정!$A$44&lt;&gt;"",ISNUMBER(SEARCH(설정!$A$44,K82))),설정!$B$44,IF(AND(설정!$A$45&lt;&gt;"",ISNUMBER(SEARCH(설정!$A$45,K82))),설정!$B$45,IF(AND(설정!$A$46&lt;&gt;"",ISNUMBER(SEARCH(설정!$A$46,K82))),설정!$B$46,IF(AND(설정!$A$47&lt;&gt;"",ISNUMBER(SEARCH(설정!$A$47,K82))),설정!$B$47,IF(AND(설정!$A$48&lt;&gt;"",ISNUMBER(SEARCH(설정!$A$48,K82))),설정!$B$48,IF(M82="","설계사","시공사"))))))))),"")</f>
        <v/>
      </c>
      <c r="V82">
        <f>SUBSTITUTE(SUBSTITUTE(SUBSTITUTE(SUBSTITUTE(G82,"(주)",""),"㈜",""),"주식회사","")," ","")</f>
        <v/>
      </c>
      <c r="W82">
        <f>IF(AND(T82,V82&lt;&gt;""),IF(COUNTIFS(V$2:V82,V82,T$2:T82,TRUE)=1,MAX(W$1:W81)+1,""),"")</f>
        <v/>
      </c>
      <c r="X82">
        <f>IFERROR(INDEX('1.산군_붙여넣기'!$A$1:$AZ$1001,ROW(),설정!$C$14)&amp;"","")</f>
        <v/>
      </c>
      <c r="Y82">
        <f>IFERROR(INDEX('1.산군_붙여넣기'!$A$1:$AZ$1001,ROW(),설정!$C$15)&amp;"","")</f>
        <v/>
      </c>
      <c r="Z82">
        <f>IF(T82,V82&amp;"|"&amp;U82,"")</f>
        <v/>
      </c>
    </row>
    <row r="83">
      <c r="A83">
        <f>ROW()</f>
        <v/>
      </c>
      <c r="B83">
        <f>IFERROR(INDEX('1.산군_붙여넣기'!$A$1:$AZ$1001,ROW(),설정!$C$4)&amp;"","")</f>
        <v/>
      </c>
      <c r="C83">
        <f>IFERROR(INDEX('1.산군_붙여넣기'!$A$1:$AZ$1001,ROW(),설정!$C$5)&amp;"","")</f>
        <v/>
      </c>
      <c r="D83" s="5">
        <f>IFERROR(VALUE(SUBSTITUTE(SUBSTITUTE(SUBSTITUTE(IFERROR(INDEX('1.산군_붙여넣기'!$A$1:$AZ$1001,ROW(),설정!$C$6)&amp;"",""),",",""),"㎡",""),"m2","")),"")</f>
        <v/>
      </c>
      <c r="E83">
        <f>IFERROR(INDEX('1.산군_붙여넣기'!$A$1:$AZ$1001,ROW(),설정!$C$7)&amp;"","")</f>
        <v/>
      </c>
      <c r="F83">
        <f>IFERROR(INDEX('1.산군_붙여넣기'!$A$1:$AZ$1001,ROW(),설정!$C$8)&amp;"","")</f>
        <v/>
      </c>
      <c r="G83">
        <f>IFERROR(INDEX('1.산군_붙여넣기'!$A$1:$AZ$1001,ROW(),설정!$C$9)&amp;"","")</f>
        <v/>
      </c>
      <c r="H83">
        <f>IFERROR(INDEX('1.산군_붙여넣기'!$A$1:$AZ$1001,ROW(),설정!$C$10)&amp;"","")</f>
        <v/>
      </c>
      <c r="I83">
        <f>IFERROR(INDEX('1.산군_붙여넣기'!$A$1:$AZ$1001,ROW(),설정!$C$11)&amp;"","")</f>
        <v/>
      </c>
      <c r="J83">
        <f>IFERROR(INDEX('1.산군_붙여넣기'!$A$1:$AZ$1001,ROW(),설정!$C$12)&amp;"","")</f>
        <v/>
      </c>
      <c r="K83">
        <f>IFERROR(INDEX('1.산군_붙여넣기'!$A$1:$AZ$1001,ROW(),설정!$C$13)&amp;"","")</f>
        <v/>
      </c>
      <c r="L83" s="6">
        <f>IF(X83="","",IF(AND(LEN(X83)=8,ISNUMBER(X83*1)),DATE(LEFT(X83,4),MID(X83,5,2),RIGHT(X83,2)),IFERROR(DATEVALUE(SUBSTITUTE(SUBSTITUTE(X83,".","-"),"/","-")),IFERROR(X83*1,""))))</f>
        <v/>
      </c>
      <c r="M83" s="6">
        <f>IF(Y83="","",IF(AND(LEN(Y83)=8,ISNUMBER(Y83*1)),DATE(LEFT(Y83,4),MID(Y83,5,2),RIGHT(Y83,2)),IFERROR(DATEVALUE(SUBSTITUTE(SUBSTITUTE(Y83,".","-"),"/","-")),IFERROR(Y83*1,""))))</f>
        <v/>
      </c>
      <c r="N83">
        <f>IFERROR(LEFT(B83,FIND(" ",B83)-1),B83)</f>
        <v/>
      </c>
      <c r="O83">
        <f>AND(B83&lt;&gt;"",B83&lt;&gt;설정!$B$4,C83&lt;&gt;설정!$B$5)</f>
        <v/>
      </c>
      <c r="P83">
        <f>IF(O83,B83&amp;"|"&amp;C83,"")</f>
        <v/>
      </c>
      <c r="Q83">
        <f>AND(O83,COUNTIF(P84:P$1002,P83)=0)</f>
        <v/>
      </c>
      <c r="R83">
        <f>OR(AND(설정!$A$28&lt;&gt;"",ISNUMBER(SEARCH(설정!$A$28,E83&amp;" "&amp;C83))),AND(설정!$A$29&lt;&gt;"",ISNUMBER(SEARCH(설정!$A$29,E83&amp;" "&amp;C83))),AND(설정!$A$30&lt;&gt;"",ISNUMBER(SEARCH(설정!$A$30,E83&amp;" "&amp;C83))),AND(설정!$A$31&lt;&gt;"",ISNUMBER(SEARCH(설정!$A$31,E83&amp;" "&amp;C83))),AND(설정!$A$32&lt;&gt;"",ISNUMBER(SEARCH(설정!$A$32,E83&amp;" "&amp;C83))),AND(설정!$A$33&lt;&gt;"",ISNUMBER(SEARCH(설정!$A$33,E83&amp;" "&amp;C83))),AND(설정!$A$34&lt;&gt;"",ISNUMBER(SEARCH(설정!$A$34,E83&amp;" "&amp;C83))),AND(설정!$A$35&lt;&gt;"",ISNUMBER(SEARCH(설정!$A$35,E83&amp;" "&amp;C83))),AND(설정!$A$36&lt;&gt;"",ISNUMBER(SEARCH(설정!$A$36,E83&amp;" "&amp;C83))),AND(설정!$A$37&lt;&gt;"",ISNUMBER(SEARCH(설정!$A$37,E83&amp;" "&amp;C83))))</f>
        <v/>
      </c>
      <c r="S83">
        <f>OR(D83="",D83&gt;=설정!$B$19)</f>
        <v/>
      </c>
      <c r="T83">
        <f>AND(Q83,R83,S83)</f>
        <v/>
      </c>
      <c r="U83">
        <f>IF(T83,IF(AND(설정!$A$41&lt;&gt;"",ISNUMBER(SEARCH(설정!$A$41,K83))),설정!$B$41,IF(AND(설정!$A$42&lt;&gt;"",ISNUMBER(SEARCH(설정!$A$42,K83))),설정!$B$42,IF(AND(설정!$A$43&lt;&gt;"",ISNUMBER(SEARCH(설정!$A$43,K83))),설정!$B$43,IF(AND(설정!$A$44&lt;&gt;"",ISNUMBER(SEARCH(설정!$A$44,K83))),설정!$B$44,IF(AND(설정!$A$45&lt;&gt;"",ISNUMBER(SEARCH(설정!$A$45,K83))),설정!$B$45,IF(AND(설정!$A$46&lt;&gt;"",ISNUMBER(SEARCH(설정!$A$46,K83))),설정!$B$46,IF(AND(설정!$A$47&lt;&gt;"",ISNUMBER(SEARCH(설정!$A$47,K83))),설정!$B$47,IF(AND(설정!$A$48&lt;&gt;"",ISNUMBER(SEARCH(설정!$A$48,K83))),설정!$B$48,IF(M83="","설계사","시공사"))))))))),"")</f>
        <v/>
      </c>
      <c r="V83">
        <f>SUBSTITUTE(SUBSTITUTE(SUBSTITUTE(SUBSTITUTE(G83,"(주)",""),"㈜",""),"주식회사","")," ","")</f>
        <v/>
      </c>
      <c r="W83">
        <f>IF(AND(T83,V83&lt;&gt;""),IF(COUNTIFS(V$2:V83,V83,T$2:T83,TRUE)=1,MAX(W$1:W82)+1,""),"")</f>
        <v/>
      </c>
      <c r="X83">
        <f>IFERROR(INDEX('1.산군_붙여넣기'!$A$1:$AZ$1001,ROW(),설정!$C$14)&amp;"","")</f>
        <v/>
      </c>
      <c r="Y83">
        <f>IFERROR(INDEX('1.산군_붙여넣기'!$A$1:$AZ$1001,ROW(),설정!$C$15)&amp;"","")</f>
        <v/>
      </c>
      <c r="Z83">
        <f>IF(T83,V83&amp;"|"&amp;U83,"")</f>
        <v/>
      </c>
    </row>
    <row r="84">
      <c r="A84">
        <f>ROW()</f>
        <v/>
      </c>
      <c r="B84">
        <f>IFERROR(INDEX('1.산군_붙여넣기'!$A$1:$AZ$1001,ROW(),설정!$C$4)&amp;"","")</f>
        <v/>
      </c>
      <c r="C84">
        <f>IFERROR(INDEX('1.산군_붙여넣기'!$A$1:$AZ$1001,ROW(),설정!$C$5)&amp;"","")</f>
        <v/>
      </c>
      <c r="D84" s="5">
        <f>IFERROR(VALUE(SUBSTITUTE(SUBSTITUTE(SUBSTITUTE(IFERROR(INDEX('1.산군_붙여넣기'!$A$1:$AZ$1001,ROW(),설정!$C$6)&amp;"",""),",",""),"㎡",""),"m2","")),"")</f>
        <v/>
      </c>
      <c r="E84">
        <f>IFERROR(INDEX('1.산군_붙여넣기'!$A$1:$AZ$1001,ROW(),설정!$C$7)&amp;"","")</f>
        <v/>
      </c>
      <c r="F84">
        <f>IFERROR(INDEX('1.산군_붙여넣기'!$A$1:$AZ$1001,ROW(),설정!$C$8)&amp;"","")</f>
        <v/>
      </c>
      <c r="G84">
        <f>IFERROR(INDEX('1.산군_붙여넣기'!$A$1:$AZ$1001,ROW(),설정!$C$9)&amp;"","")</f>
        <v/>
      </c>
      <c r="H84">
        <f>IFERROR(INDEX('1.산군_붙여넣기'!$A$1:$AZ$1001,ROW(),설정!$C$10)&amp;"","")</f>
        <v/>
      </c>
      <c r="I84">
        <f>IFERROR(INDEX('1.산군_붙여넣기'!$A$1:$AZ$1001,ROW(),설정!$C$11)&amp;"","")</f>
        <v/>
      </c>
      <c r="J84">
        <f>IFERROR(INDEX('1.산군_붙여넣기'!$A$1:$AZ$1001,ROW(),설정!$C$12)&amp;"","")</f>
        <v/>
      </c>
      <c r="K84">
        <f>IFERROR(INDEX('1.산군_붙여넣기'!$A$1:$AZ$1001,ROW(),설정!$C$13)&amp;"","")</f>
        <v/>
      </c>
      <c r="L84" s="6">
        <f>IF(X84="","",IF(AND(LEN(X84)=8,ISNUMBER(X84*1)),DATE(LEFT(X84,4),MID(X84,5,2),RIGHT(X84,2)),IFERROR(DATEVALUE(SUBSTITUTE(SUBSTITUTE(X84,".","-"),"/","-")),IFERROR(X84*1,""))))</f>
        <v/>
      </c>
      <c r="M84" s="6">
        <f>IF(Y84="","",IF(AND(LEN(Y84)=8,ISNUMBER(Y84*1)),DATE(LEFT(Y84,4),MID(Y84,5,2),RIGHT(Y84,2)),IFERROR(DATEVALUE(SUBSTITUTE(SUBSTITUTE(Y84,".","-"),"/","-")),IFERROR(Y84*1,""))))</f>
        <v/>
      </c>
      <c r="N84">
        <f>IFERROR(LEFT(B84,FIND(" ",B84)-1),B84)</f>
        <v/>
      </c>
      <c r="O84">
        <f>AND(B84&lt;&gt;"",B84&lt;&gt;설정!$B$4,C84&lt;&gt;설정!$B$5)</f>
        <v/>
      </c>
      <c r="P84">
        <f>IF(O84,B84&amp;"|"&amp;C84,"")</f>
        <v/>
      </c>
      <c r="Q84">
        <f>AND(O84,COUNTIF(P85:P$1002,P84)=0)</f>
        <v/>
      </c>
      <c r="R84">
        <f>OR(AND(설정!$A$28&lt;&gt;"",ISNUMBER(SEARCH(설정!$A$28,E84&amp;" "&amp;C84))),AND(설정!$A$29&lt;&gt;"",ISNUMBER(SEARCH(설정!$A$29,E84&amp;" "&amp;C84))),AND(설정!$A$30&lt;&gt;"",ISNUMBER(SEARCH(설정!$A$30,E84&amp;" "&amp;C84))),AND(설정!$A$31&lt;&gt;"",ISNUMBER(SEARCH(설정!$A$31,E84&amp;" "&amp;C84))),AND(설정!$A$32&lt;&gt;"",ISNUMBER(SEARCH(설정!$A$32,E84&amp;" "&amp;C84))),AND(설정!$A$33&lt;&gt;"",ISNUMBER(SEARCH(설정!$A$33,E84&amp;" "&amp;C84))),AND(설정!$A$34&lt;&gt;"",ISNUMBER(SEARCH(설정!$A$34,E84&amp;" "&amp;C84))),AND(설정!$A$35&lt;&gt;"",ISNUMBER(SEARCH(설정!$A$35,E84&amp;" "&amp;C84))),AND(설정!$A$36&lt;&gt;"",ISNUMBER(SEARCH(설정!$A$36,E84&amp;" "&amp;C84))),AND(설정!$A$37&lt;&gt;"",ISNUMBER(SEARCH(설정!$A$37,E84&amp;" "&amp;C84))))</f>
        <v/>
      </c>
      <c r="S84">
        <f>OR(D84="",D84&gt;=설정!$B$19)</f>
        <v/>
      </c>
      <c r="T84">
        <f>AND(Q84,R84,S84)</f>
        <v/>
      </c>
      <c r="U84">
        <f>IF(T84,IF(AND(설정!$A$41&lt;&gt;"",ISNUMBER(SEARCH(설정!$A$41,K84))),설정!$B$41,IF(AND(설정!$A$42&lt;&gt;"",ISNUMBER(SEARCH(설정!$A$42,K84))),설정!$B$42,IF(AND(설정!$A$43&lt;&gt;"",ISNUMBER(SEARCH(설정!$A$43,K84))),설정!$B$43,IF(AND(설정!$A$44&lt;&gt;"",ISNUMBER(SEARCH(설정!$A$44,K84))),설정!$B$44,IF(AND(설정!$A$45&lt;&gt;"",ISNUMBER(SEARCH(설정!$A$45,K84))),설정!$B$45,IF(AND(설정!$A$46&lt;&gt;"",ISNUMBER(SEARCH(설정!$A$46,K84))),설정!$B$46,IF(AND(설정!$A$47&lt;&gt;"",ISNUMBER(SEARCH(설정!$A$47,K84))),설정!$B$47,IF(AND(설정!$A$48&lt;&gt;"",ISNUMBER(SEARCH(설정!$A$48,K84))),설정!$B$48,IF(M84="","설계사","시공사"))))))))),"")</f>
        <v/>
      </c>
      <c r="V84">
        <f>SUBSTITUTE(SUBSTITUTE(SUBSTITUTE(SUBSTITUTE(G84,"(주)",""),"㈜",""),"주식회사","")," ","")</f>
        <v/>
      </c>
      <c r="W84">
        <f>IF(AND(T84,V84&lt;&gt;""),IF(COUNTIFS(V$2:V84,V84,T$2:T84,TRUE)=1,MAX(W$1:W83)+1,""),"")</f>
        <v/>
      </c>
      <c r="X84">
        <f>IFERROR(INDEX('1.산군_붙여넣기'!$A$1:$AZ$1001,ROW(),설정!$C$14)&amp;"","")</f>
        <v/>
      </c>
      <c r="Y84">
        <f>IFERROR(INDEX('1.산군_붙여넣기'!$A$1:$AZ$1001,ROW(),설정!$C$15)&amp;"","")</f>
        <v/>
      </c>
      <c r="Z84">
        <f>IF(T84,V84&amp;"|"&amp;U84,"")</f>
        <v/>
      </c>
    </row>
    <row r="85">
      <c r="A85">
        <f>ROW()</f>
        <v/>
      </c>
      <c r="B85">
        <f>IFERROR(INDEX('1.산군_붙여넣기'!$A$1:$AZ$1001,ROW(),설정!$C$4)&amp;"","")</f>
        <v/>
      </c>
      <c r="C85">
        <f>IFERROR(INDEX('1.산군_붙여넣기'!$A$1:$AZ$1001,ROW(),설정!$C$5)&amp;"","")</f>
        <v/>
      </c>
      <c r="D85" s="5">
        <f>IFERROR(VALUE(SUBSTITUTE(SUBSTITUTE(SUBSTITUTE(IFERROR(INDEX('1.산군_붙여넣기'!$A$1:$AZ$1001,ROW(),설정!$C$6)&amp;"",""),",",""),"㎡",""),"m2","")),"")</f>
        <v/>
      </c>
      <c r="E85">
        <f>IFERROR(INDEX('1.산군_붙여넣기'!$A$1:$AZ$1001,ROW(),설정!$C$7)&amp;"","")</f>
        <v/>
      </c>
      <c r="F85">
        <f>IFERROR(INDEX('1.산군_붙여넣기'!$A$1:$AZ$1001,ROW(),설정!$C$8)&amp;"","")</f>
        <v/>
      </c>
      <c r="G85">
        <f>IFERROR(INDEX('1.산군_붙여넣기'!$A$1:$AZ$1001,ROW(),설정!$C$9)&amp;"","")</f>
        <v/>
      </c>
      <c r="H85">
        <f>IFERROR(INDEX('1.산군_붙여넣기'!$A$1:$AZ$1001,ROW(),설정!$C$10)&amp;"","")</f>
        <v/>
      </c>
      <c r="I85">
        <f>IFERROR(INDEX('1.산군_붙여넣기'!$A$1:$AZ$1001,ROW(),설정!$C$11)&amp;"","")</f>
        <v/>
      </c>
      <c r="J85">
        <f>IFERROR(INDEX('1.산군_붙여넣기'!$A$1:$AZ$1001,ROW(),설정!$C$12)&amp;"","")</f>
        <v/>
      </c>
      <c r="K85">
        <f>IFERROR(INDEX('1.산군_붙여넣기'!$A$1:$AZ$1001,ROW(),설정!$C$13)&amp;"","")</f>
        <v/>
      </c>
      <c r="L85" s="6">
        <f>IF(X85="","",IF(AND(LEN(X85)=8,ISNUMBER(X85*1)),DATE(LEFT(X85,4),MID(X85,5,2),RIGHT(X85,2)),IFERROR(DATEVALUE(SUBSTITUTE(SUBSTITUTE(X85,".","-"),"/","-")),IFERROR(X85*1,""))))</f>
        <v/>
      </c>
      <c r="M85" s="6">
        <f>IF(Y85="","",IF(AND(LEN(Y85)=8,ISNUMBER(Y85*1)),DATE(LEFT(Y85,4),MID(Y85,5,2),RIGHT(Y85,2)),IFERROR(DATEVALUE(SUBSTITUTE(SUBSTITUTE(Y85,".","-"),"/","-")),IFERROR(Y85*1,""))))</f>
        <v/>
      </c>
      <c r="N85">
        <f>IFERROR(LEFT(B85,FIND(" ",B85)-1),B85)</f>
        <v/>
      </c>
      <c r="O85">
        <f>AND(B85&lt;&gt;"",B85&lt;&gt;설정!$B$4,C85&lt;&gt;설정!$B$5)</f>
        <v/>
      </c>
      <c r="P85">
        <f>IF(O85,B85&amp;"|"&amp;C85,"")</f>
        <v/>
      </c>
      <c r="Q85">
        <f>AND(O85,COUNTIF(P86:P$1002,P85)=0)</f>
        <v/>
      </c>
      <c r="R85">
        <f>OR(AND(설정!$A$28&lt;&gt;"",ISNUMBER(SEARCH(설정!$A$28,E85&amp;" "&amp;C85))),AND(설정!$A$29&lt;&gt;"",ISNUMBER(SEARCH(설정!$A$29,E85&amp;" "&amp;C85))),AND(설정!$A$30&lt;&gt;"",ISNUMBER(SEARCH(설정!$A$30,E85&amp;" "&amp;C85))),AND(설정!$A$31&lt;&gt;"",ISNUMBER(SEARCH(설정!$A$31,E85&amp;" "&amp;C85))),AND(설정!$A$32&lt;&gt;"",ISNUMBER(SEARCH(설정!$A$32,E85&amp;" "&amp;C85))),AND(설정!$A$33&lt;&gt;"",ISNUMBER(SEARCH(설정!$A$33,E85&amp;" "&amp;C85))),AND(설정!$A$34&lt;&gt;"",ISNUMBER(SEARCH(설정!$A$34,E85&amp;" "&amp;C85))),AND(설정!$A$35&lt;&gt;"",ISNUMBER(SEARCH(설정!$A$35,E85&amp;" "&amp;C85))),AND(설정!$A$36&lt;&gt;"",ISNUMBER(SEARCH(설정!$A$36,E85&amp;" "&amp;C85))),AND(설정!$A$37&lt;&gt;"",ISNUMBER(SEARCH(설정!$A$37,E85&amp;" "&amp;C85))))</f>
        <v/>
      </c>
      <c r="S85">
        <f>OR(D85="",D85&gt;=설정!$B$19)</f>
        <v/>
      </c>
      <c r="T85">
        <f>AND(Q85,R85,S85)</f>
        <v/>
      </c>
      <c r="U85">
        <f>IF(T85,IF(AND(설정!$A$41&lt;&gt;"",ISNUMBER(SEARCH(설정!$A$41,K85))),설정!$B$41,IF(AND(설정!$A$42&lt;&gt;"",ISNUMBER(SEARCH(설정!$A$42,K85))),설정!$B$42,IF(AND(설정!$A$43&lt;&gt;"",ISNUMBER(SEARCH(설정!$A$43,K85))),설정!$B$43,IF(AND(설정!$A$44&lt;&gt;"",ISNUMBER(SEARCH(설정!$A$44,K85))),설정!$B$44,IF(AND(설정!$A$45&lt;&gt;"",ISNUMBER(SEARCH(설정!$A$45,K85))),설정!$B$45,IF(AND(설정!$A$46&lt;&gt;"",ISNUMBER(SEARCH(설정!$A$46,K85))),설정!$B$46,IF(AND(설정!$A$47&lt;&gt;"",ISNUMBER(SEARCH(설정!$A$47,K85))),설정!$B$47,IF(AND(설정!$A$48&lt;&gt;"",ISNUMBER(SEARCH(설정!$A$48,K85))),설정!$B$48,IF(M85="","설계사","시공사"))))))))),"")</f>
        <v/>
      </c>
      <c r="V85">
        <f>SUBSTITUTE(SUBSTITUTE(SUBSTITUTE(SUBSTITUTE(G85,"(주)",""),"㈜",""),"주식회사","")," ","")</f>
        <v/>
      </c>
      <c r="W85">
        <f>IF(AND(T85,V85&lt;&gt;""),IF(COUNTIFS(V$2:V85,V85,T$2:T85,TRUE)=1,MAX(W$1:W84)+1,""),"")</f>
        <v/>
      </c>
      <c r="X85">
        <f>IFERROR(INDEX('1.산군_붙여넣기'!$A$1:$AZ$1001,ROW(),설정!$C$14)&amp;"","")</f>
        <v/>
      </c>
      <c r="Y85">
        <f>IFERROR(INDEX('1.산군_붙여넣기'!$A$1:$AZ$1001,ROW(),설정!$C$15)&amp;"","")</f>
        <v/>
      </c>
      <c r="Z85">
        <f>IF(T85,V85&amp;"|"&amp;U85,"")</f>
        <v/>
      </c>
    </row>
    <row r="86">
      <c r="A86">
        <f>ROW()</f>
        <v/>
      </c>
      <c r="B86">
        <f>IFERROR(INDEX('1.산군_붙여넣기'!$A$1:$AZ$1001,ROW(),설정!$C$4)&amp;"","")</f>
        <v/>
      </c>
      <c r="C86">
        <f>IFERROR(INDEX('1.산군_붙여넣기'!$A$1:$AZ$1001,ROW(),설정!$C$5)&amp;"","")</f>
        <v/>
      </c>
      <c r="D86" s="5">
        <f>IFERROR(VALUE(SUBSTITUTE(SUBSTITUTE(SUBSTITUTE(IFERROR(INDEX('1.산군_붙여넣기'!$A$1:$AZ$1001,ROW(),설정!$C$6)&amp;"",""),",",""),"㎡",""),"m2","")),"")</f>
        <v/>
      </c>
      <c r="E86">
        <f>IFERROR(INDEX('1.산군_붙여넣기'!$A$1:$AZ$1001,ROW(),설정!$C$7)&amp;"","")</f>
        <v/>
      </c>
      <c r="F86">
        <f>IFERROR(INDEX('1.산군_붙여넣기'!$A$1:$AZ$1001,ROW(),설정!$C$8)&amp;"","")</f>
        <v/>
      </c>
      <c r="G86">
        <f>IFERROR(INDEX('1.산군_붙여넣기'!$A$1:$AZ$1001,ROW(),설정!$C$9)&amp;"","")</f>
        <v/>
      </c>
      <c r="H86">
        <f>IFERROR(INDEX('1.산군_붙여넣기'!$A$1:$AZ$1001,ROW(),설정!$C$10)&amp;"","")</f>
        <v/>
      </c>
      <c r="I86">
        <f>IFERROR(INDEX('1.산군_붙여넣기'!$A$1:$AZ$1001,ROW(),설정!$C$11)&amp;"","")</f>
        <v/>
      </c>
      <c r="J86">
        <f>IFERROR(INDEX('1.산군_붙여넣기'!$A$1:$AZ$1001,ROW(),설정!$C$12)&amp;"","")</f>
        <v/>
      </c>
      <c r="K86">
        <f>IFERROR(INDEX('1.산군_붙여넣기'!$A$1:$AZ$1001,ROW(),설정!$C$13)&amp;"","")</f>
        <v/>
      </c>
      <c r="L86" s="6">
        <f>IF(X86="","",IF(AND(LEN(X86)=8,ISNUMBER(X86*1)),DATE(LEFT(X86,4),MID(X86,5,2),RIGHT(X86,2)),IFERROR(DATEVALUE(SUBSTITUTE(SUBSTITUTE(X86,".","-"),"/","-")),IFERROR(X86*1,""))))</f>
        <v/>
      </c>
      <c r="M86" s="6">
        <f>IF(Y86="","",IF(AND(LEN(Y86)=8,ISNUMBER(Y86*1)),DATE(LEFT(Y86,4),MID(Y86,5,2),RIGHT(Y86,2)),IFERROR(DATEVALUE(SUBSTITUTE(SUBSTITUTE(Y86,".","-"),"/","-")),IFERROR(Y86*1,""))))</f>
        <v/>
      </c>
      <c r="N86">
        <f>IFERROR(LEFT(B86,FIND(" ",B86)-1),B86)</f>
        <v/>
      </c>
      <c r="O86">
        <f>AND(B86&lt;&gt;"",B86&lt;&gt;설정!$B$4,C86&lt;&gt;설정!$B$5)</f>
        <v/>
      </c>
      <c r="P86">
        <f>IF(O86,B86&amp;"|"&amp;C86,"")</f>
        <v/>
      </c>
      <c r="Q86">
        <f>AND(O86,COUNTIF(P87:P$1002,P86)=0)</f>
        <v/>
      </c>
      <c r="R86">
        <f>OR(AND(설정!$A$28&lt;&gt;"",ISNUMBER(SEARCH(설정!$A$28,E86&amp;" "&amp;C86))),AND(설정!$A$29&lt;&gt;"",ISNUMBER(SEARCH(설정!$A$29,E86&amp;" "&amp;C86))),AND(설정!$A$30&lt;&gt;"",ISNUMBER(SEARCH(설정!$A$30,E86&amp;" "&amp;C86))),AND(설정!$A$31&lt;&gt;"",ISNUMBER(SEARCH(설정!$A$31,E86&amp;" "&amp;C86))),AND(설정!$A$32&lt;&gt;"",ISNUMBER(SEARCH(설정!$A$32,E86&amp;" "&amp;C86))),AND(설정!$A$33&lt;&gt;"",ISNUMBER(SEARCH(설정!$A$33,E86&amp;" "&amp;C86))),AND(설정!$A$34&lt;&gt;"",ISNUMBER(SEARCH(설정!$A$34,E86&amp;" "&amp;C86))),AND(설정!$A$35&lt;&gt;"",ISNUMBER(SEARCH(설정!$A$35,E86&amp;" "&amp;C86))),AND(설정!$A$36&lt;&gt;"",ISNUMBER(SEARCH(설정!$A$36,E86&amp;" "&amp;C86))),AND(설정!$A$37&lt;&gt;"",ISNUMBER(SEARCH(설정!$A$37,E86&amp;" "&amp;C86))))</f>
        <v/>
      </c>
      <c r="S86">
        <f>OR(D86="",D86&gt;=설정!$B$19)</f>
        <v/>
      </c>
      <c r="T86">
        <f>AND(Q86,R86,S86)</f>
        <v/>
      </c>
      <c r="U86">
        <f>IF(T86,IF(AND(설정!$A$41&lt;&gt;"",ISNUMBER(SEARCH(설정!$A$41,K86))),설정!$B$41,IF(AND(설정!$A$42&lt;&gt;"",ISNUMBER(SEARCH(설정!$A$42,K86))),설정!$B$42,IF(AND(설정!$A$43&lt;&gt;"",ISNUMBER(SEARCH(설정!$A$43,K86))),설정!$B$43,IF(AND(설정!$A$44&lt;&gt;"",ISNUMBER(SEARCH(설정!$A$44,K86))),설정!$B$44,IF(AND(설정!$A$45&lt;&gt;"",ISNUMBER(SEARCH(설정!$A$45,K86))),설정!$B$45,IF(AND(설정!$A$46&lt;&gt;"",ISNUMBER(SEARCH(설정!$A$46,K86))),설정!$B$46,IF(AND(설정!$A$47&lt;&gt;"",ISNUMBER(SEARCH(설정!$A$47,K86))),설정!$B$47,IF(AND(설정!$A$48&lt;&gt;"",ISNUMBER(SEARCH(설정!$A$48,K86))),설정!$B$48,IF(M86="","설계사","시공사"))))))))),"")</f>
        <v/>
      </c>
      <c r="V86">
        <f>SUBSTITUTE(SUBSTITUTE(SUBSTITUTE(SUBSTITUTE(G86,"(주)",""),"㈜",""),"주식회사","")," ","")</f>
        <v/>
      </c>
      <c r="W86">
        <f>IF(AND(T86,V86&lt;&gt;""),IF(COUNTIFS(V$2:V86,V86,T$2:T86,TRUE)=1,MAX(W$1:W85)+1,""),"")</f>
        <v/>
      </c>
      <c r="X86">
        <f>IFERROR(INDEX('1.산군_붙여넣기'!$A$1:$AZ$1001,ROW(),설정!$C$14)&amp;"","")</f>
        <v/>
      </c>
      <c r="Y86">
        <f>IFERROR(INDEX('1.산군_붙여넣기'!$A$1:$AZ$1001,ROW(),설정!$C$15)&amp;"","")</f>
        <v/>
      </c>
      <c r="Z86">
        <f>IF(T86,V86&amp;"|"&amp;U86,"")</f>
        <v/>
      </c>
    </row>
    <row r="87">
      <c r="A87">
        <f>ROW()</f>
        <v/>
      </c>
      <c r="B87">
        <f>IFERROR(INDEX('1.산군_붙여넣기'!$A$1:$AZ$1001,ROW(),설정!$C$4)&amp;"","")</f>
        <v/>
      </c>
      <c r="C87">
        <f>IFERROR(INDEX('1.산군_붙여넣기'!$A$1:$AZ$1001,ROW(),설정!$C$5)&amp;"","")</f>
        <v/>
      </c>
      <c r="D87" s="5">
        <f>IFERROR(VALUE(SUBSTITUTE(SUBSTITUTE(SUBSTITUTE(IFERROR(INDEX('1.산군_붙여넣기'!$A$1:$AZ$1001,ROW(),설정!$C$6)&amp;"",""),",",""),"㎡",""),"m2","")),"")</f>
        <v/>
      </c>
      <c r="E87">
        <f>IFERROR(INDEX('1.산군_붙여넣기'!$A$1:$AZ$1001,ROW(),설정!$C$7)&amp;"","")</f>
        <v/>
      </c>
      <c r="F87">
        <f>IFERROR(INDEX('1.산군_붙여넣기'!$A$1:$AZ$1001,ROW(),설정!$C$8)&amp;"","")</f>
        <v/>
      </c>
      <c r="G87">
        <f>IFERROR(INDEX('1.산군_붙여넣기'!$A$1:$AZ$1001,ROW(),설정!$C$9)&amp;"","")</f>
        <v/>
      </c>
      <c r="H87">
        <f>IFERROR(INDEX('1.산군_붙여넣기'!$A$1:$AZ$1001,ROW(),설정!$C$10)&amp;"","")</f>
        <v/>
      </c>
      <c r="I87">
        <f>IFERROR(INDEX('1.산군_붙여넣기'!$A$1:$AZ$1001,ROW(),설정!$C$11)&amp;"","")</f>
        <v/>
      </c>
      <c r="J87">
        <f>IFERROR(INDEX('1.산군_붙여넣기'!$A$1:$AZ$1001,ROW(),설정!$C$12)&amp;"","")</f>
        <v/>
      </c>
      <c r="K87">
        <f>IFERROR(INDEX('1.산군_붙여넣기'!$A$1:$AZ$1001,ROW(),설정!$C$13)&amp;"","")</f>
        <v/>
      </c>
      <c r="L87" s="6">
        <f>IF(X87="","",IF(AND(LEN(X87)=8,ISNUMBER(X87*1)),DATE(LEFT(X87,4),MID(X87,5,2),RIGHT(X87,2)),IFERROR(DATEVALUE(SUBSTITUTE(SUBSTITUTE(X87,".","-"),"/","-")),IFERROR(X87*1,""))))</f>
        <v/>
      </c>
      <c r="M87" s="6">
        <f>IF(Y87="","",IF(AND(LEN(Y87)=8,ISNUMBER(Y87*1)),DATE(LEFT(Y87,4),MID(Y87,5,2),RIGHT(Y87,2)),IFERROR(DATEVALUE(SUBSTITUTE(SUBSTITUTE(Y87,".","-"),"/","-")),IFERROR(Y87*1,""))))</f>
        <v/>
      </c>
      <c r="N87">
        <f>IFERROR(LEFT(B87,FIND(" ",B87)-1),B87)</f>
        <v/>
      </c>
      <c r="O87">
        <f>AND(B87&lt;&gt;"",B87&lt;&gt;설정!$B$4,C87&lt;&gt;설정!$B$5)</f>
        <v/>
      </c>
      <c r="P87">
        <f>IF(O87,B87&amp;"|"&amp;C87,"")</f>
        <v/>
      </c>
      <c r="Q87">
        <f>AND(O87,COUNTIF(P88:P$1002,P87)=0)</f>
        <v/>
      </c>
      <c r="R87">
        <f>OR(AND(설정!$A$28&lt;&gt;"",ISNUMBER(SEARCH(설정!$A$28,E87&amp;" "&amp;C87))),AND(설정!$A$29&lt;&gt;"",ISNUMBER(SEARCH(설정!$A$29,E87&amp;" "&amp;C87))),AND(설정!$A$30&lt;&gt;"",ISNUMBER(SEARCH(설정!$A$30,E87&amp;" "&amp;C87))),AND(설정!$A$31&lt;&gt;"",ISNUMBER(SEARCH(설정!$A$31,E87&amp;" "&amp;C87))),AND(설정!$A$32&lt;&gt;"",ISNUMBER(SEARCH(설정!$A$32,E87&amp;" "&amp;C87))),AND(설정!$A$33&lt;&gt;"",ISNUMBER(SEARCH(설정!$A$33,E87&amp;" "&amp;C87))),AND(설정!$A$34&lt;&gt;"",ISNUMBER(SEARCH(설정!$A$34,E87&amp;" "&amp;C87))),AND(설정!$A$35&lt;&gt;"",ISNUMBER(SEARCH(설정!$A$35,E87&amp;" "&amp;C87))),AND(설정!$A$36&lt;&gt;"",ISNUMBER(SEARCH(설정!$A$36,E87&amp;" "&amp;C87))),AND(설정!$A$37&lt;&gt;"",ISNUMBER(SEARCH(설정!$A$37,E87&amp;" "&amp;C87))))</f>
        <v/>
      </c>
      <c r="S87">
        <f>OR(D87="",D87&gt;=설정!$B$19)</f>
        <v/>
      </c>
      <c r="T87">
        <f>AND(Q87,R87,S87)</f>
        <v/>
      </c>
      <c r="U87">
        <f>IF(T87,IF(AND(설정!$A$41&lt;&gt;"",ISNUMBER(SEARCH(설정!$A$41,K87))),설정!$B$41,IF(AND(설정!$A$42&lt;&gt;"",ISNUMBER(SEARCH(설정!$A$42,K87))),설정!$B$42,IF(AND(설정!$A$43&lt;&gt;"",ISNUMBER(SEARCH(설정!$A$43,K87))),설정!$B$43,IF(AND(설정!$A$44&lt;&gt;"",ISNUMBER(SEARCH(설정!$A$44,K87))),설정!$B$44,IF(AND(설정!$A$45&lt;&gt;"",ISNUMBER(SEARCH(설정!$A$45,K87))),설정!$B$45,IF(AND(설정!$A$46&lt;&gt;"",ISNUMBER(SEARCH(설정!$A$46,K87))),설정!$B$46,IF(AND(설정!$A$47&lt;&gt;"",ISNUMBER(SEARCH(설정!$A$47,K87))),설정!$B$47,IF(AND(설정!$A$48&lt;&gt;"",ISNUMBER(SEARCH(설정!$A$48,K87))),설정!$B$48,IF(M87="","설계사","시공사"))))))))),"")</f>
        <v/>
      </c>
      <c r="V87">
        <f>SUBSTITUTE(SUBSTITUTE(SUBSTITUTE(SUBSTITUTE(G87,"(주)",""),"㈜",""),"주식회사","")," ","")</f>
        <v/>
      </c>
      <c r="W87">
        <f>IF(AND(T87,V87&lt;&gt;""),IF(COUNTIFS(V$2:V87,V87,T$2:T87,TRUE)=1,MAX(W$1:W86)+1,""),"")</f>
        <v/>
      </c>
      <c r="X87">
        <f>IFERROR(INDEX('1.산군_붙여넣기'!$A$1:$AZ$1001,ROW(),설정!$C$14)&amp;"","")</f>
        <v/>
      </c>
      <c r="Y87">
        <f>IFERROR(INDEX('1.산군_붙여넣기'!$A$1:$AZ$1001,ROW(),설정!$C$15)&amp;"","")</f>
        <v/>
      </c>
      <c r="Z87">
        <f>IF(T87,V87&amp;"|"&amp;U87,"")</f>
        <v/>
      </c>
    </row>
    <row r="88">
      <c r="A88">
        <f>ROW()</f>
        <v/>
      </c>
      <c r="B88">
        <f>IFERROR(INDEX('1.산군_붙여넣기'!$A$1:$AZ$1001,ROW(),설정!$C$4)&amp;"","")</f>
        <v/>
      </c>
      <c r="C88">
        <f>IFERROR(INDEX('1.산군_붙여넣기'!$A$1:$AZ$1001,ROW(),설정!$C$5)&amp;"","")</f>
        <v/>
      </c>
      <c r="D88" s="5">
        <f>IFERROR(VALUE(SUBSTITUTE(SUBSTITUTE(SUBSTITUTE(IFERROR(INDEX('1.산군_붙여넣기'!$A$1:$AZ$1001,ROW(),설정!$C$6)&amp;"",""),",",""),"㎡",""),"m2","")),"")</f>
        <v/>
      </c>
      <c r="E88">
        <f>IFERROR(INDEX('1.산군_붙여넣기'!$A$1:$AZ$1001,ROW(),설정!$C$7)&amp;"","")</f>
        <v/>
      </c>
      <c r="F88">
        <f>IFERROR(INDEX('1.산군_붙여넣기'!$A$1:$AZ$1001,ROW(),설정!$C$8)&amp;"","")</f>
        <v/>
      </c>
      <c r="G88">
        <f>IFERROR(INDEX('1.산군_붙여넣기'!$A$1:$AZ$1001,ROW(),설정!$C$9)&amp;"","")</f>
        <v/>
      </c>
      <c r="H88">
        <f>IFERROR(INDEX('1.산군_붙여넣기'!$A$1:$AZ$1001,ROW(),설정!$C$10)&amp;"","")</f>
        <v/>
      </c>
      <c r="I88">
        <f>IFERROR(INDEX('1.산군_붙여넣기'!$A$1:$AZ$1001,ROW(),설정!$C$11)&amp;"","")</f>
        <v/>
      </c>
      <c r="J88">
        <f>IFERROR(INDEX('1.산군_붙여넣기'!$A$1:$AZ$1001,ROW(),설정!$C$12)&amp;"","")</f>
        <v/>
      </c>
      <c r="K88">
        <f>IFERROR(INDEX('1.산군_붙여넣기'!$A$1:$AZ$1001,ROW(),설정!$C$13)&amp;"","")</f>
        <v/>
      </c>
      <c r="L88" s="6">
        <f>IF(X88="","",IF(AND(LEN(X88)=8,ISNUMBER(X88*1)),DATE(LEFT(X88,4),MID(X88,5,2),RIGHT(X88,2)),IFERROR(DATEVALUE(SUBSTITUTE(SUBSTITUTE(X88,".","-"),"/","-")),IFERROR(X88*1,""))))</f>
        <v/>
      </c>
      <c r="M88" s="6">
        <f>IF(Y88="","",IF(AND(LEN(Y88)=8,ISNUMBER(Y88*1)),DATE(LEFT(Y88,4),MID(Y88,5,2),RIGHT(Y88,2)),IFERROR(DATEVALUE(SUBSTITUTE(SUBSTITUTE(Y88,".","-"),"/","-")),IFERROR(Y88*1,""))))</f>
        <v/>
      </c>
      <c r="N88">
        <f>IFERROR(LEFT(B88,FIND(" ",B88)-1),B88)</f>
        <v/>
      </c>
      <c r="O88">
        <f>AND(B88&lt;&gt;"",B88&lt;&gt;설정!$B$4,C88&lt;&gt;설정!$B$5)</f>
        <v/>
      </c>
      <c r="P88">
        <f>IF(O88,B88&amp;"|"&amp;C88,"")</f>
        <v/>
      </c>
      <c r="Q88">
        <f>AND(O88,COUNTIF(P89:P$1002,P88)=0)</f>
        <v/>
      </c>
      <c r="R88">
        <f>OR(AND(설정!$A$28&lt;&gt;"",ISNUMBER(SEARCH(설정!$A$28,E88&amp;" "&amp;C88))),AND(설정!$A$29&lt;&gt;"",ISNUMBER(SEARCH(설정!$A$29,E88&amp;" "&amp;C88))),AND(설정!$A$30&lt;&gt;"",ISNUMBER(SEARCH(설정!$A$30,E88&amp;" "&amp;C88))),AND(설정!$A$31&lt;&gt;"",ISNUMBER(SEARCH(설정!$A$31,E88&amp;" "&amp;C88))),AND(설정!$A$32&lt;&gt;"",ISNUMBER(SEARCH(설정!$A$32,E88&amp;" "&amp;C88))),AND(설정!$A$33&lt;&gt;"",ISNUMBER(SEARCH(설정!$A$33,E88&amp;" "&amp;C88))),AND(설정!$A$34&lt;&gt;"",ISNUMBER(SEARCH(설정!$A$34,E88&amp;" "&amp;C88))),AND(설정!$A$35&lt;&gt;"",ISNUMBER(SEARCH(설정!$A$35,E88&amp;" "&amp;C88))),AND(설정!$A$36&lt;&gt;"",ISNUMBER(SEARCH(설정!$A$36,E88&amp;" "&amp;C88))),AND(설정!$A$37&lt;&gt;"",ISNUMBER(SEARCH(설정!$A$37,E88&amp;" "&amp;C88))))</f>
        <v/>
      </c>
      <c r="S88">
        <f>OR(D88="",D88&gt;=설정!$B$19)</f>
        <v/>
      </c>
      <c r="T88">
        <f>AND(Q88,R88,S88)</f>
        <v/>
      </c>
      <c r="U88">
        <f>IF(T88,IF(AND(설정!$A$41&lt;&gt;"",ISNUMBER(SEARCH(설정!$A$41,K88))),설정!$B$41,IF(AND(설정!$A$42&lt;&gt;"",ISNUMBER(SEARCH(설정!$A$42,K88))),설정!$B$42,IF(AND(설정!$A$43&lt;&gt;"",ISNUMBER(SEARCH(설정!$A$43,K88))),설정!$B$43,IF(AND(설정!$A$44&lt;&gt;"",ISNUMBER(SEARCH(설정!$A$44,K88))),설정!$B$44,IF(AND(설정!$A$45&lt;&gt;"",ISNUMBER(SEARCH(설정!$A$45,K88))),설정!$B$45,IF(AND(설정!$A$46&lt;&gt;"",ISNUMBER(SEARCH(설정!$A$46,K88))),설정!$B$46,IF(AND(설정!$A$47&lt;&gt;"",ISNUMBER(SEARCH(설정!$A$47,K88))),설정!$B$47,IF(AND(설정!$A$48&lt;&gt;"",ISNUMBER(SEARCH(설정!$A$48,K88))),설정!$B$48,IF(M88="","설계사","시공사"))))))))),"")</f>
        <v/>
      </c>
      <c r="V88">
        <f>SUBSTITUTE(SUBSTITUTE(SUBSTITUTE(SUBSTITUTE(G88,"(주)",""),"㈜",""),"주식회사","")," ","")</f>
        <v/>
      </c>
      <c r="W88">
        <f>IF(AND(T88,V88&lt;&gt;""),IF(COUNTIFS(V$2:V88,V88,T$2:T88,TRUE)=1,MAX(W$1:W87)+1,""),"")</f>
        <v/>
      </c>
      <c r="X88">
        <f>IFERROR(INDEX('1.산군_붙여넣기'!$A$1:$AZ$1001,ROW(),설정!$C$14)&amp;"","")</f>
        <v/>
      </c>
      <c r="Y88">
        <f>IFERROR(INDEX('1.산군_붙여넣기'!$A$1:$AZ$1001,ROW(),설정!$C$15)&amp;"","")</f>
        <v/>
      </c>
      <c r="Z88">
        <f>IF(T88,V88&amp;"|"&amp;U88,"")</f>
        <v/>
      </c>
    </row>
    <row r="89">
      <c r="A89">
        <f>ROW()</f>
        <v/>
      </c>
      <c r="B89">
        <f>IFERROR(INDEX('1.산군_붙여넣기'!$A$1:$AZ$1001,ROW(),설정!$C$4)&amp;"","")</f>
        <v/>
      </c>
      <c r="C89">
        <f>IFERROR(INDEX('1.산군_붙여넣기'!$A$1:$AZ$1001,ROW(),설정!$C$5)&amp;"","")</f>
        <v/>
      </c>
      <c r="D89" s="5">
        <f>IFERROR(VALUE(SUBSTITUTE(SUBSTITUTE(SUBSTITUTE(IFERROR(INDEX('1.산군_붙여넣기'!$A$1:$AZ$1001,ROW(),설정!$C$6)&amp;"",""),",",""),"㎡",""),"m2","")),"")</f>
        <v/>
      </c>
      <c r="E89">
        <f>IFERROR(INDEX('1.산군_붙여넣기'!$A$1:$AZ$1001,ROW(),설정!$C$7)&amp;"","")</f>
        <v/>
      </c>
      <c r="F89">
        <f>IFERROR(INDEX('1.산군_붙여넣기'!$A$1:$AZ$1001,ROW(),설정!$C$8)&amp;"","")</f>
        <v/>
      </c>
      <c r="G89">
        <f>IFERROR(INDEX('1.산군_붙여넣기'!$A$1:$AZ$1001,ROW(),설정!$C$9)&amp;"","")</f>
        <v/>
      </c>
      <c r="H89">
        <f>IFERROR(INDEX('1.산군_붙여넣기'!$A$1:$AZ$1001,ROW(),설정!$C$10)&amp;"","")</f>
        <v/>
      </c>
      <c r="I89">
        <f>IFERROR(INDEX('1.산군_붙여넣기'!$A$1:$AZ$1001,ROW(),설정!$C$11)&amp;"","")</f>
        <v/>
      </c>
      <c r="J89">
        <f>IFERROR(INDEX('1.산군_붙여넣기'!$A$1:$AZ$1001,ROW(),설정!$C$12)&amp;"","")</f>
        <v/>
      </c>
      <c r="K89">
        <f>IFERROR(INDEX('1.산군_붙여넣기'!$A$1:$AZ$1001,ROW(),설정!$C$13)&amp;"","")</f>
        <v/>
      </c>
      <c r="L89" s="6">
        <f>IF(X89="","",IF(AND(LEN(X89)=8,ISNUMBER(X89*1)),DATE(LEFT(X89,4),MID(X89,5,2),RIGHT(X89,2)),IFERROR(DATEVALUE(SUBSTITUTE(SUBSTITUTE(X89,".","-"),"/","-")),IFERROR(X89*1,""))))</f>
        <v/>
      </c>
      <c r="M89" s="6">
        <f>IF(Y89="","",IF(AND(LEN(Y89)=8,ISNUMBER(Y89*1)),DATE(LEFT(Y89,4),MID(Y89,5,2),RIGHT(Y89,2)),IFERROR(DATEVALUE(SUBSTITUTE(SUBSTITUTE(Y89,".","-"),"/","-")),IFERROR(Y89*1,""))))</f>
        <v/>
      </c>
      <c r="N89">
        <f>IFERROR(LEFT(B89,FIND(" ",B89)-1),B89)</f>
        <v/>
      </c>
      <c r="O89">
        <f>AND(B89&lt;&gt;"",B89&lt;&gt;설정!$B$4,C89&lt;&gt;설정!$B$5)</f>
        <v/>
      </c>
      <c r="P89">
        <f>IF(O89,B89&amp;"|"&amp;C89,"")</f>
        <v/>
      </c>
      <c r="Q89">
        <f>AND(O89,COUNTIF(P90:P$1002,P89)=0)</f>
        <v/>
      </c>
      <c r="R89">
        <f>OR(AND(설정!$A$28&lt;&gt;"",ISNUMBER(SEARCH(설정!$A$28,E89&amp;" "&amp;C89))),AND(설정!$A$29&lt;&gt;"",ISNUMBER(SEARCH(설정!$A$29,E89&amp;" "&amp;C89))),AND(설정!$A$30&lt;&gt;"",ISNUMBER(SEARCH(설정!$A$30,E89&amp;" "&amp;C89))),AND(설정!$A$31&lt;&gt;"",ISNUMBER(SEARCH(설정!$A$31,E89&amp;" "&amp;C89))),AND(설정!$A$32&lt;&gt;"",ISNUMBER(SEARCH(설정!$A$32,E89&amp;" "&amp;C89))),AND(설정!$A$33&lt;&gt;"",ISNUMBER(SEARCH(설정!$A$33,E89&amp;" "&amp;C89))),AND(설정!$A$34&lt;&gt;"",ISNUMBER(SEARCH(설정!$A$34,E89&amp;" "&amp;C89))),AND(설정!$A$35&lt;&gt;"",ISNUMBER(SEARCH(설정!$A$35,E89&amp;" "&amp;C89))),AND(설정!$A$36&lt;&gt;"",ISNUMBER(SEARCH(설정!$A$36,E89&amp;" "&amp;C89))),AND(설정!$A$37&lt;&gt;"",ISNUMBER(SEARCH(설정!$A$37,E89&amp;" "&amp;C89))))</f>
        <v/>
      </c>
      <c r="S89">
        <f>OR(D89="",D89&gt;=설정!$B$19)</f>
        <v/>
      </c>
      <c r="T89">
        <f>AND(Q89,R89,S89)</f>
        <v/>
      </c>
      <c r="U89">
        <f>IF(T89,IF(AND(설정!$A$41&lt;&gt;"",ISNUMBER(SEARCH(설정!$A$41,K89))),설정!$B$41,IF(AND(설정!$A$42&lt;&gt;"",ISNUMBER(SEARCH(설정!$A$42,K89))),설정!$B$42,IF(AND(설정!$A$43&lt;&gt;"",ISNUMBER(SEARCH(설정!$A$43,K89))),설정!$B$43,IF(AND(설정!$A$44&lt;&gt;"",ISNUMBER(SEARCH(설정!$A$44,K89))),설정!$B$44,IF(AND(설정!$A$45&lt;&gt;"",ISNUMBER(SEARCH(설정!$A$45,K89))),설정!$B$45,IF(AND(설정!$A$46&lt;&gt;"",ISNUMBER(SEARCH(설정!$A$46,K89))),설정!$B$46,IF(AND(설정!$A$47&lt;&gt;"",ISNUMBER(SEARCH(설정!$A$47,K89))),설정!$B$47,IF(AND(설정!$A$48&lt;&gt;"",ISNUMBER(SEARCH(설정!$A$48,K89))),설정!$B$48,IF(M89="","설계사","시공사"))))))))),"")</f>
        <v/>
      </c>
      <c r="V89">
        <f>SUBSTITUTE(SUBSTITUTE(SUBSTITUTE(SUBSTITUTE(G89,"(주)",""),"㈜",""),"주식회사","")," ","")</f>
        <v/>
      </c>
      <c r="W89">
        <f>IF(AND(T89,V89&lt;&gt;""),IF(COUNTIFS(V$2:V89,V89,T$2:T89,TRUE)=1,MAX(W$1:W88)+1,""),"")</f>
        <v/>
      </c>
      <c r="X89">
        <f>IFERROR(INDEX('1.산군_붙여넣기'!$A$1:$AZ$1001,ROW(),설정!$C$14)&amp;"","")</f>
        <v/>
      </c>
      <c r="Y89">
        <f>IFERROR(INDEX('1.산군_붙여넣기'!$A$1:$AZ$1001,ROW(),설정!$C$15)&amp;"","")</f>
        <v/>
      </c>
      <c r="Z89">
        <f>IF(T89,V89&amp;"|"&amp;U89,"")</f>
        <v/>
      </c>
    </row>
    <row r="90">
      <c r="A90">
        <f>ROW()</f>
        <v/>
      </c>
      <c r="B90">
        <f>IFERROR(INDEX('1.산군_붙여넣기'!$A$1:$AZ$1001,ROW(),설정!$C$4)&amp;"","")</f>
        <v/>
      </c>
      <c r="C90">
        <f>IFERROR(INDEX('1.산군_붙여넣기'!$A$1:$AZ$1001,ROW(),설정!$C$5)&amp;"","")</f>
        <v/>
      </c>
      <c r="D90" s="5">
        <f>IFERROR(VALUE(SUBSTITUTE(SUBSTITUTE(SUBSTITUTE(IFERROR(INDEX('1.산군_붙여넣기'!$A$1:$AZ$1001,ROW(),설정!$C$6)&amp;"",""),",",""),"㎡",""),"m2","")),"")</f>
        <v/>
      </c>
      <c r="E90">
        <f>IFERROR(INDEX('1.산군_붙여넣기'!$A$1:$AZ$1001,ROW(),설정!$C$7)&amp;"","")</f>
        <v/>
      </c>
      <c r="F90">
        <f>IFERROR(INDEX('1.산군_붙여넣기'!$A$1:$AZ$1001,ROW(),설정!$C$8)&amp;"","")</f>
        <v/>
      </c>
      <c r="G90">
        <f>IFERROR(INDEX('1.산군_붙여넣기'!$A$1:$AZ$1001,ROW(),설정!$C$9)&amp;"","")</f>
        <v/>
      </c>
      <c r="H90">
        <f>IFERROR(INDEX('1.산군_붙여넣기'!$A$1:$AZ$1001,ROW(),설정!$C$10)&amp;"","")</f>
        <v/>
      </c>
      <c r="I90">
        <f>IFERROR(INDEX('1.산군_붙여넣기'!$A$1:$AZ$1001,ROW(),설정!$C$11)&amp;"","")</f>
        <v/>
      </c>
      <c r="J90">
        <f>IFERROR(INDEX('1.산군_붙여넣기'!$A$1:$AZ$1001,ROW(),설정!$C$12)&amp;"","")</f>
        <v/>
      </c>
      <c r="K90">
        <f>IFERROR(INDEX('1.산군_붙여넣기'!$A$1:$AZ$1001,ROW(),설정!$C$13)&amp;"","")</f>
        <v/>
      </c>
      <c r="L90" s="6">
        <f>IF(X90="","",IF(AND(LEN(X90)=8,ISNUMBER(X90*1)),DATE(LEFT(X90,4),MID(X90,5,2),RIGHT(X90,2)),IFERROR(DATEVALUE(SUBSTITUTE(SUBSTITUTE(X90,".","-"),"/","-")),IFERROR(X90*1,""))))</f>
        <v/>
      </c>
      <c r="M90" s="6">
        <f>IF(Y90="","",IF(AND(LEN(Y90)=8,ISNUMBER(Y90*1)),DATE(LEFT(Y90,4),MID(Y90,5,2),RIGHT(Y90,2)),IFERROR(DATEVALUE(SUBSTITUTE(SUBSTITUTE(Y90,".","-"),"/","-")),IFERROR(Y90*1,""))))</f>
        <v/>
      </c>
      <c r="N90">
        <f>IFERROR(LEFT(B90,FIND(" ",B90)-1),B90)</f>
        <v/>
      </c>
      <c r="O90">
        <f>AND(B90&lt;&gt;"",B90&lt;&gt;설정!$B$4,C90&lt;&gt;설정!$B$5)</f>
        <v/>
      </c>
      <c r="P90">
        <f>IF(O90,B90&amp;"|"&amp;C90,"")</f>
        <v/>
      </c>
      <c r="Q90">
        <f>AND(O90,COUNTIF(P91:P$1002,P90)=0)</f>
        <v/>
      </c>
      <c r="R90">
        <f>OR(AND(설정!$A$28&lt;&gt;"",ISNUMBER(SEARCH(설정!$A$28,E90&amp;" "&amp;C90))),AND(설정!$A$29&lt;&gt;"",ISNUMBER(SEARCH(설정!$A$29,E90&amp;" "&amp;C90))),AND(설정!$A$30&lt;&gt;"",ISNUMBER(SEARCH(설정!$A$30,E90&amp;" "&amp;C90))),AND(설정!$A$31&lt;&gt;"",ISNUMBER(SEARCH(설정!$A$31,E90&amp;" "&amp;C90))),AND(설정!$A$32&lt;&gt;"",ISNUMBER(SEARCH(설정!$A$32,E90&amp;" "&amp;C90))),AND(설정!$A$33&lt;&gt;"",ISNUMBER(SEARCH(설정!$A$33,E90&amp;" "&amp;C90))),AND(설정!$A$34&lt;&gt;"",ISNUMBER(SEARCH(설정!$A$34,E90&amp;" "&amp;C90))),AND(설정!$A$35&lt;&gt;"",ISNUMBER(SEARCH(설정!$A$35,E90&amp;" "&amp;C90))),AND(설정!$A$36&lt;&gt;"",ISNUMBER(SEARCH(설정!$A$36,E90&amp;" "&amp;C90))),AND(설정!$A$37&lt;&gt;"",ISNUMBER(SEARCH(설정!$A$37,E90&amp;" "&amp;C90))))</f>
        <v/>
      </c>
      <c r="S90">
        <f>OR(D90="",D90&gt;=설정!$B$19)</f>
        <v/>
      </c>
      <c r="T90">
        <f>AND(Q90,R90,S90)</f>
        <v/>
      </c>
      <c r="U90">
        <f>IF(T90,IF(AND(설정!$A$41&lt;&gt;"",ISNUMBER(SEARCH(설정!$A$41,K90))),설정!$B$41,IF(AND(설정!$A$42&lt;&gt;"",ISNUMBER(SEARCH(설정!$A$42,K90))),설정!$B$42,IF(AND(설정!$A$43&lt;&gt;"",ISNUMBER(SEARCH(설정!$A$43,K90))),설정!$B$43,IF(AND(설정!$A$44&lt;&gt;"",ISNUMBER(SEARCH(설정!$A$44,K90))),설정!$B$44,IF(AND(설정!$A$45&lt;&gt;"",ISNUMBER(SEARCH(설정!$A$45,K90))),설정!$B$45,IF(AND(설정!$A$46&lt;&gt;"",ISNUMBER(SEARCH(설정!$A$46,K90))),설정!$B$46,IF(AND(설정!$A$47&lt;&gt;"",ISNUMBER(SEARCH(설정!$A$47,K90))),설정!$B$47,IF(AND(설정!$A$48&lt;&gt;"",ISNUMBER(SEARCH(설정!$A$48,K90))),설정!$B$48,IF(M90="","설계사","시공사"))))))))),"")</f>
        <v/>
      </c>
      <c r="V90">
        <f>SUBSTITUTE(SUBSTITUTE(SUBSTITUTE(SUBSTITUTE(G90,"(주)",""),"㈜",""),"주식회사","")," ","")</f>
        <v/>
      </c>
      <c r="W90">
        <f>IF(AND(T90,V90&lt;&gt;""),IF(COUNTIFS(V$2:V90,V90,T$2:T90,TRUE)=1,MAX(W$1:W89)+1,""),"")</f>
        <v/>
      </c>
      <c r="X90">
        <f>IFERROR(INDEX('1.산군_붙여넣기'!$A$1:$AZ$1001,ROW(),설정!$C$14)&amp;"","")</f>
        <v/>
      </c>
      <c r="Y90">
        <f>IFERROR(INDEX('1.산군_붙여넣기'!$A$1:$AZ$1001,ROW(),설정!$C$15)&amp;"","")</f>
        <v/>
      </c>
      <c r="Z90">
        <f>IF(T90,V90&amp;"|"&amp;U90,"")</f>
        <v/>
      </c>
    </row>
    <row r="91">
      <c r="A91">
        <f>ROW()</f>
        <v/>
      </c>
      <c r="B91">
        <f>IFERROR(INDEX('1.산군_붙여넣기'!$A$1:$AZ$1001,ROW(),설정!$C$4)&amp;"","")</f>
        <v/>
      </c>
      <c r="C91">
        <f>IFERROR(INDEX('1.산군_붙여넣기'!$A$1:$AZ$1001,ROW(),설정!$C$5)&amp;"","")</f>
        <v/>
      </c>
      <c r="D91" s="5">
        <f>IFERROR(VALUE(SUBSTITUTE(SUBSTITUTE(SUBSTITUTE(IFERROR(INDEX('1.산군_붙여넣기'!$A$1:$AZ$1001,ROW(),설정!$C$6)&amp;"",""),",",""),"㎡",""),"m2","")),"")</f>
        <v/>
      </c>
      <c r="E91">
        <f>IFERROR(INDEX('1.산군_붙여넣기'!$A$1:$AZ$1001,ROW(),설정!$C$7)&amp;"","")</f>
        <v/>
      </c>
      <c r="F91">
        <f>IFERROR(INDEX('1.산군_붙여넣기'!$A$1:$AZ$1001,ROW(),설정!$C$8)&amp;"","")</f>
        <v/>
      </c>
      <c r="G91">
        <f>IFERROR(INDEX('1.산군_붙여넣기'!$A$1:$AZ$1001,ROW(),설정!$C$9)&amp;"","")</f>
        <v/>
      </c>
      <c r="H91">
        <f>IFERROR(INDEX('1.산군_붙여넣기'!$A$1:$AZ$1001,ROW(),설정!$C$10)&amp;"","")</f>
        <v/>
      </c>
      <c r="I91">
        <f>IFERROR(INDEX('1.산군_붙여넣기'!$A$1:$AZ$1001,ROW(),설정!$C$11)&amp;"","")</f>
        <v/>
      </c>
      <c r="J91">
        <f>IFERROR(INDEX('1.산군_붙여넣기'!$A$1:$AZ$1001,ROW(),설정!$C$12)&amp;"","")</f>
        <v/>
      </c>
      <c r="K91">
        <f>IFERROR(INDEX('1.산군_붙여넣기'!$A$1:$AZ$1001,ROW(),설정!$C$13)&amp;"","")</f>
        <v/>
      </c>
      <c r="L91" s="6">
        <f>IF(X91="","",IF(AND(LEN(X91)=8,ISNUMBER(X91*1)),DATE(LEFT(X91,4),MID(X91,5,2),RIGHT(X91,2)),IFERROR(DATEVALUE(SUBSTITUTE(SUBSTITUTE(X91,".","-"),"/","-")),IFERROR(X91*1,""))))</f>
        <v/>
      </c>
      <c r="M91" s="6">
        <f>IF(Y91="","",IF(AND(LEN(Y91)=8,ISNUMBER(Y91*1)),DATE(LEFT(Y91,4),MID(Y91,5,2),RIGHT(Y91,2)),IFERROR(DATEVALUE(SUBSTITUTE(SUBSTITUTE(Y91,".","-"),"/","-")),IFERROR(Y91*1,""))))</f>
        <v/>
      </c>
      <c r="N91">
        <f>IFERROR(LEFT(B91,FIND(" ",B91)-1),B91)</f>
        <v/>
      </c>
      <c r="O91">
        <f>AND(B91&lt;&gt;"",B91&lt;&gt;설정!$B$4,C91&lt;&gt;설정!$B$5)</f>
        <v/>
      </c>
      <c r="P91">
        <f>IF(O91,B91&amp;"|"&amp;C91,"")</f>
        <v/>
      </c>
      <c r="Q91">
        <f>AND(O91,COUNTIF(P92:P$1002,P91)=0)</f>
        <v/>
      </c>
      <c r="R91">
        <f>OR(AND(설정!$A$28&lt;&gt;"",ISNUMBER(SEARCH(설정!$A$28,E91&amp;" "&amp;C91))),AND(설정!$A$29&lt;&gt;"",ISNUMBER(SEARCH(설정!$A$29,E91&amp;" "&amp;C91))),AND(설정!$A$30&lt;&gt;"",ISNUMBER(SEARCH(설정!$A$30,E91&amp;" "&amp;C91))),AND(설정!$A$31&lt;&gt;"",ISNUMBER(SEARCH(설정!$A$31,E91&amp;" "&amp;C91))),AND(설정!$A$32&lt;&gt;"",ISNUMBER(SEARCH(설정!$A$32,E91&amp;" "&amp;C91))),AND(설정!$A$33&lt;&gt;"",ISNUMBER(SEARCH(설정!$A$33,E91&amp;" "&amp;C91))),AND(설정!$A$34&lt;&gt;"",ISNUMBER(SEARCH(설정!$A$34,E91&amp;" "&amp;C91))),AND(설정!$A$35&lt;&gt;"",ISNUMBER(SEARCH(설정!$A$35,E91&amp;" "&amp;C91))),AND(설정!$A$36&lt;&gt;"",ISNUMBER(SEARCH(설정!$A$36,E91&amp;" "&amp;C91))),AND(설정!$A$37&lt;&gt;"",ISNUMBER(SEARCH(설정!$A$37,E91&amp;" "&amp;C91))))</f>
        <v/>
      </c>
      <c r="S91">
        <f>OR(D91="",D91&gt;=설정!$B$19)</f>
        <v/>
      </c>
      <c r="T91">
        <f>AND(Q91,R91,S91)</f>
        <v/>
      </c>
      <c r="U91">
        <f>IF(T91,IF(AND(설정!$A$41&lt;&gt;"",ISNUMBER(SEARCH(설정!$A$41,K91))),설정!$B$41,IF(AND(설정!$A$42&lt;&gt;"",ISNUMBER(SEARCH(설정!$A$42,K91))),설정!$B$42,IF(AND(설정!$A$43&lt;&gt;"",ISNUMBER(SEARCH(설정!$A$43,K91))),설정!$B$43,IF(AND(설정!$A$44&lt;&gt;"",ISNUMBER(SEARCH(설정!$A$44,K91))),설정!$B$44,IF(AND(설정!$A$45&lt;&gt;"",ISNUMBER(SEARCH(설정!$A$45,K91))),설정!$B$45,IF(AND(설정!$A$46&lt;&gt;"",ISNUMBER(SEARCH(설정!$A$46,K91))),설정!$B$46,IF(AND(설정!$A$47&lt;&gt;"",ISNUMBER(SEARCH(설정!$A$47,K91))),설정!$B$47,IF(AND(설정!$A$48&lt;&gt;"",ISNUMBER(SEARCH(설정!$A$48,K91))),설정!$B$48,IF(M91="","설계사","시공사"))))))))),"")</f>
        <v/>
      </c>
      <c r="V91">
        <f>SUBSTITUTE(SUBSTITUTE(SUBSTITUTE(SUBSTITUTE(G91,"(주)",""),"㈜",""),"주식회사","")," ","")</f>
        <v/>
      </c>
      <c r="W91">
        <f>IF(AND(T91,V91&lt;&gt;""),IF(COUNTIFS(V$2:V91,V91,T$2:T91,TRUE)=1,MAX(W$1:W90)+1,""),"")</f>
        <v/>
      </c>
      <c r="X91">
        <f>IFERROR(INDEX('1.산군_붙여넣기'!$A$1:$AZ$1001,ROW(),설정!$C$14)&amp;"","")</f>
        <v/>
      </c>
      <c r="Y91">
        <f>IFERROR(INDEX('1.산군_붙여넣기'!$A$1:$AZ$1001,ROW(),설정!$C$15)&amp;"","")</f>
        <v/>
      </c>
      <c r="Z91">
        <f>IF(T91,V91&amp;"|"&amp;U91,"")</f>
        <v/>
      </c>
    </row>
    <row r="92">
      <c r="A92">
        <f>ROW()</f>
        <v/>
      </c>
      <c r="B92">
        <f>IFERROR(INDEX('1.산군_붙여넣기'!$A$1:$AZ$1001,ROW(),설정!$C$4)&amp;"","")</f>
        <v/>
      </c>
      <c r="C92">
        <f>IFERROR(INDEX('1.산군_붙여넣기'!$A$1:$AZ$1001,ROW(),설정!$C$5)&amp;"","")</f>
        <v/>
      </c>
      <c r="D92" s="5">
        <f>IFERROR(VALUE(SUBSTITUTE(SUBSTITUTE(SUBSTITUTE(IFERROR(INDEX('1.산군_붙여넣기'!$A$1:$AZ$1001,ROW(),설정!$C$6)&amp;"",""),",",""),"㎡",""),"m2","")),"")</f>
        <v/>
      </c>
      <c r="E92">
        <f>IFERROR(INDEX('1.산군_붙여넣기'!$A$1:$AZ$1001,ROW(),설정!$C$7)&amp;"","")</f>
        <v/>
      </c>
      <c r="F92">
        <f>IFERROR(INDEX('1.산군_붙여넣기'!$A$1:$AZ$1001,ROW(),설정!$C$8)&amp;"","")</f>
        <v/>
      </c>
      <c r="G92">
        <f>IFERROR(INDEX('1.산군_붙여넣기'!$A$1:$AZ$1001,ROW(),설정!$C$9)&amp;"","")</f>
        <v/>
      </c>
      <c r="H92">
        <f>IFERROR(INDEX('1.산군_붙여넣기'!$A$1:$AZ$1001,ROW(),설정!$C$10)&amp;"","")</f>
        <v/>
      </c>
      <c r="I92">
        <f>IFERROR(INDEX('1.산군_붙여넣기'!$A$1:$AZ$1001,ROW(),설정!$C$11)&amp;"","")</f>
        <v/>
      </c>
      <c r="J92">
        <f>IFERROR(INDEX('1.산군_붙여넣기'!$A$1:$AZ$1001,ROW(),설정!$C$12)&amp;"","")</f>
        <v/>
      </c>
      <c r="K92">
        <f>IFERROR(INDEX('1.산군_붙여넣기'!$A$1:$AZ$1001,ROW(),설정!$C$13)&amp;"","")</f>
        <v/>
      </c>
      <c r="L92" s="6">
        <f>IF(X92="","",IF(AND(LEN(X92)=8,ISNUMBER(X92*1)),DATE(LEFT(X92,4),MID(X92,5,2),RIGHT(X92,2)),IFERROR(DATEVALUE(SUBSTITUTE(SUBSTITUTE(X92,".","-"),"/","-")),IFERROR(X92*1,""))))</f>
        <v/>
      </c>
      <c r="M92" s="6">
        <f>IF(Y92="","",IF(AND(LEN(Y92)=8,ISNUMBER(Y92*1)),DATE(LEFT(Y92,4),MID(Y92,5,2),RIGHT(Y92,2)),IFERROR(DATEVALUE(SUBSTITUTE(SUBSTITUTE(Y92,".","-"),"/","-")),IFERROR(Y92*1,""))))</f>
        <v/>
      </c>
      <c r="N92">
        <f>IFERROR(LEFT(B92,FIND(" ",B92)-1),B92)</f>
        <v/>
      </c>
      <c r="O92">
        <f>AND(B92&lt;&gt;"",B92&lt;&gt;설정!$B$4,C92&lt;&gt;설정!$B$5)</f>
        <v/>
      </c>
      <c r="P92">
        <f>IF(O92,B92&amp;"|"&amp;C92,"")</f>
        <v/>
      </c>
      <c r="Q92">
        <f>AND(O92,COUNTIF(P93:P$1002,P92)=0)</f>
        <v/>
      </c>
      <c r="R92">
        <f>OR(AND(설정!$A$28&lt;&gt;"",ISNUMBER(SEARCH(설정!$A$28,E92&amp;" "&amp;C92))),AND(설정!$A$29&lt;&gt;"",ISNUMBER(SEARCH(설정!$A$29,E92&amp;" "&amp;C92))),AND(설정!$A$30&lt;&gt;"",ISNUMBER(SEARCH(설정!$A$30,E92&amp;" "&amp;C92))),AND(설정!$A$31&lt;&gt;"",ISNUMBER(SEARCH(설정!$A$31,E92&amp;" "&amp;C92))),AND(설정!$A$32&lt;&gt;"",ISNUMBER(SEARCH(설정!$A$32,E92&amp;" "&amp;C92))),AND(설정!$A$33&lt;&gt;"",ISNUMBER(SEARCH(설정!$A$33,E92&amp;" "&amp;C92))),AND(설정!$A$34&lt;&gt;"",ISNUMBER(SEARCH(설정!$A$34,E92&amp;" "&amp;C92))),AND(설정!$A$35&lt;&gt;"",ISNUMBER(SEARCH(설정!$A$35,E92&amp;" "&amp;C92))),AND(설정!$A$36&lt;&gt;"",ISNUMBER(SEARCH(설정!$A$36,E92&amp;" "&amp;C92))),AND(설정!$A$37&lt;&gt;"",ISNUMBER(SEARCH(설정!$A$37,E92&amp;" "&amp;C92))))</f>
        <v/>
      </c>
      <c r="S92">
        <f>OR(D92="",D92&gt;=설정!$B$19)</f>
        <v/>
      </c>
      <c r="T92">
        <f>AND(Q92,R92,S92)</f>
        <v/>
      </c>
      <c r="U92">
        <f>IF(T92,IF(AND(설정!$A$41&lt;&gt;"",ISNUMBER(SEARCH(설정!$A$41,K92))),설정!$B$41,IF(AND(설정!$A$42&lt;&gt;"",ISNUMBER(SEARCH(설정!$A$42,K92))),설정!$B$42,IF(AND(설정!$A$43&lt;&gt;"",ISNUMBER(SEARCH(설정!$A$43,K92))),설정!$B$43,IF(AND(설정!$A$44&lt;&gt;"",ISNUMBER(SEARCH(설정!$A$44,K92))),설정!$B$44,IF(AND(설정!$A$45&lt;&gt;"",ISNUMBER(SEARCH(설정!$A$45,K92))),설정!$B$45,IF(AND(설정!$A$46&lt;&gt;"",ISNUMBER(SEARCH(설정!$A$46,K92))),설정!$B$46,IF(AND(설정!$A$47&lt;&gt;"",ISNUMBER(SEARCH(설정!$A$47,K92))),설정!$B$47,IF(AND(설정!$A$48&lt;&gt;"",ISNUMBER(SEARCH(설정!$A$48,K92))),설정!$B$48,IF(M92="","설계사","시공사"))))))))),"")</f>
        <v/>
      </c>
      <c r="V92">
        <f>SUBSTITUTE(SUBSTITUTE(SUBSTITUTE(SUBSTITUTE(G92,"(주)",""),"㈜",""),"주식회사","")," ","")</f>
        <v/>
      </c>
      <c r="W92">
        <f>IF(AND(T92,V92&lt;&gt;""),IF(COUNTIFS(V$2:V92,V92,T$2:T92,TRUE)=1,MAX(W$1:W91)+1,""),"")</f>
        <v/>
      </c>
      <c r="X92">
        <f>IFERROR(INDEX('1.산군_붙여넣기'!$A$1:$AZ$1001,ROW(),설정!$C$14)&amp;"","")</f>
        <v/>
      </c>
      <c r="Y92">
        <f>IFERROR(INDEX('1.산군_붙여넣기'!$A$1:$AZ$1001,ROW(),설정!$C$15)&amp;"","")</f>
        <v/>
      </c>
      <c r="Z92">
        <f>IF(T92,V92&amp;"|"&amp;U92,"")</f>
        <v/>
      </c>
    </row>
    <row r="93">
      <c r="A93">
        <f>ROW()</f>
        <v/>
      </c>
      <c r="B93">
        <f>IFERROR(INDEX('1.산군_붙여넣기'!$A$1:$AZ$1001,ROW(),설정!$C$4)&amp;"","")</f>
        <v/>
      </c>
      <c r="C93">
        <f>IFERROR(INDEX('1.산군_붙여넣기'!$A$1:$AZ$1001,ROW(),설정!$C$5)&amp;"","")</f>
        <v/>
      </c>
      <c r="D93" s="5">
        <f>IFERROR(VALUE(SUBSTITUTE(SUBSTITUTE(SUBSTITUTE(IFERROR(INDEX('1.산군_붙여넣기'!$A$1:$AZ$1001,ROW(),설정!$C$6)&amp;"",""),",",""),"㎡",""),"m2","")),"")</f>
        <v/>
      </c>
      <c r="E93">
        <f>IFERROR(INDEX('1.산군_붙여넣기'!$A$1:$AZ$1001,ROW(),설정!$C$7)&amp;"","")</f>
        <v/>
      </c>
      <c r="F93">
        <f>IFERROR(INDEX('1.산군_붙여넣기'!$A$1:$AZ$1001,ROW(),설정!$C$8)&amp;"","")</f>
        <v/>
      </c>
      <c r="G93">
        <f>IFERROR(INDEX('1.산군_붙여넣기'!$A$1:$AZ$1001,ROW(),설정!$C$9)&amp;"","")</f>
        <v/>
      </c>
      <c r="H93">
        <f>IFERROR(INDEX('1.산군_붙여넣기'!$A$1:$AZ$1001,ROW(),설정!$C$10)&amp;"","")</f>
        <v/>
      </c>
      <c r="I93">
        <f>IFERROR(INDEX('1.산군_붙여넣기'!$A$1:$AZ$1001,ROW(),설정!$C$11)&amp;"","")</f>
        <v/>
      </c>
      <c r="J93">
        <f>IFERROR(INDEX('1.산군_붙여넣기'!$A$1:$AZ$1001,ROW(),설정!$C$12)&amp;"","")</f>
        <v/>
      </c>
      <c r="K93">
        <f>IFERROR(INDEX('1.산군_붙여넣기'!$A$1:$AZ$1001,ROW(),설정!$C$13)&amp;"","")</f>
        <v/>
      </c>
      <c r="L93" s="6">
        <f>IF(X93="","",IF(AND(LEN(X93)=8,ISNUMBER(X93*1)),DATE(LEFT(X93,4),MID(X93,5,2),RIGHT(X93,2)),IFERROR(DATEVALUE(SUBSTITUTE(SUBSTITUTE(X93,".","-"),"/","-")),IFERROR(X93*1,""))))</f>
        <v/>
      </c>
      <c r="M93" s="6">
        <f>IF(Y93="","",IF(AND(LEN(Y93)=8,ISNUMBER(Y93*1)),DATE(LEFT(Y93,4),MID(Y93,5,2),RIGHT(Y93,2)),IFERROR(DATEVALUE(SUBSTITUTE(SUBSTITUTE(Y93,".","-"),"/","-")),IFERROR(Y93*1,""))))</f>
        <v/>
      </c>
      <c r="N93">
        <f>IFERROR(LEFT(B93,FIND(" ",B93)-1),B93)</f>
        <v/>
      </c>
      <c r="O93">
        <f>AND(B93&lt;&gt;"",B93&lt;&gt;설정!$B$4,C93&lt;&gt;설정!$B$5)</f>
        <v/>
      </c>
      <c r="P93">
        <f>IF(O93,B93&amp;"|"&amp;C93,"")</f>
        <v/>
      </c>
      <c r="Q93">
        <f>AND(O93,COUNTIF(P94:P$1002,P93)=0)</f>
        <v/>
      </c>
      <c r="R93">
        <f>OR(AND(설정!$A$28&lt;&gt;"",ISNUMBER(SEARCH(설정!$A$28,E93&amp;" "&amp;C93))),AND(설정!$A$29&lt;&gt;"",ISNUMBER(SEARCH(설정!$A$29,E93&amp;" "&amp;C93))),AND(설정!$A$30&lt;&gt;"",ISNUMBER(SEARCH(설정!$A$30,E93&amp;" "&amp;C93))),AND(설정!$A$31&lt;&gt;"",ISNUMBER(SEARCH(설정!$A$31,E93&amp;" "&amp;C93))),AND(설정!$A$32&lt;&gt;"",ISNUMBER(SEARCH(설정!$A$32,E93&amp;" "&amp;C93))),AND(설정!$A$33&lt;&gt;"",ISNUMBER(SEARCH(설정!$A$33,E93&amp;" "&amp;C93))),AND(설정!$A$34&lt;&gt;"",ISNUMBER(SEARCH(설정!$A$34,E93&amp;" "&amp;C93))),AND(설정!$A$35&lt;&gt;"",ISNUMBER(SEARCH(설정!$A$35,E93&amp;" "&amp;C93))),AND(설정!$A$36&lt;&gt;"",ISNUMBER(SEARCH(설정!$A$36,E93&amp;" "&amp;C93))),AND(설정!$A$37&lt;&gt;"",ISNUMBER(SEARCH(설정!$A$37,E93&amp;" "&amp;C93))))</f>
        <v/>
      </c>
      <c r="S93">
        <f>OR(D93="",D93&gt;=설정!$B$19)</f>
        <v/>
      </c>
      <c r="T93">
        <f>AND(Q93,R93,S93)</f>
        <v/>
      </c>
      <c r="U93">
        <f>IF(T93,IF(AND(설정!$A$41&lt;&gt;"",ISNUMBER(SEARCH(설정!$A$41,K93))),설정!$B$41,IF(AND(설정!$A$42&lt;&gt;"",ISNUMBER(SEARCH(설정!$A$42,K93))),설정!$B$42,IF(AND(설정!$A$43&lt;&gt;"",ISNUMBER(SEARCH(설정!$A$43,K93))),설정!$B$43,IF(AND(설정!$A$44&lt;&gt;"",ISNUMBER(SEARCH(설정!$A$44,K93))),설정!$B$44,IF(AND(설정!$A$45&lt;&gt;"",ISNUMBER(SEARCH(설정!$A$45,K93))),설정!$B$45,IF(AND(설정!$A$46&lt;&gt;"",ISNUMBER(SEARCH(설정!$A$46,K93))),설정!$B$46,IF(AND(설정!$A$47&lt;&gt;"",ISNUMBER(SEARCH(설정!$A$47,K93))),설정!$B$47,IF(AND(설정!$A$48&lt;&gt;"",ISNUMBER(SEARCH(설정!$A$48,K93))),설정!$B$48,IF(M93="","설계사","시공사"))))))))),"")</f>
        <v/>
      </c>
      <c r="V93">
        <f>SUBSTITUTE(SUBSTITUTE(SUBSTITUTE(SUBSTITUTE(G93,"(주)",""),"㈜",""),"주식회사","")," ","")</f>
        <v/>
      </c>
      <c r="W93">
        <f>IF(AND(T93,V93&lt;&gt;""),IF(COUNTIFS(V$2:V93,V93,T$2:T93,TRUE)=1,MAX(W$1:W92)+1,""),"")</f>
        <v/>
      </c>
      <c r="X93">
        <f>IFERROR(INDEX('1.산군_붙여넣기'!$A$1:$AZ$1001,ROW(),설정!$C$14)&amp;"","")</f>
        <v/>
      </c>
      <c r="Y93">
        <f>IFERROR(INDEX('1.산군_붙여넣기'!$A$1:$AZ$1001,ROW(),설정!$C$15)&amp;"","")</f>
        <v/>
      </c>
      <c r="Z93">
        <f>IF(T93,V93&amp;"|"&amp;U93,"")</f>
        <v/>
      </c>
    </row>
    <row r="94">
      <c r="A94">
        <f>ROW()</f>
        <v/>
      </c>
      <c r="B94">
        <f>IFERROR(INDEX('1.산군_붙여넣기'!$A$1:$AZ$1001,ROW(),설정!$C$4)&amp;"","")</f>
        <v/>
      </c>
      <c r="C94">
        <f>IFERROR(INDEX('1.산군_붙여넣기'!$A$1:$AZ$1001,ROW(),설정!$C$5)&amp;"","")</f>
        <v/>
      </c>
      <c r="D94" s="5">
        <f>IFERROR(VALUE(SUBSTITUTE(SUBSTITUTE(SUBSTITUTE(IFERROR(INDEX('1.산군_붙여넣기'!$A$1:$AZ$1001,ROW(),설정!$C$6)&amp;"",""),",",""),"㎡",""),"m2","")),"")</f>
        <v/>
      </c>
      <c r="E94">
        <f>IFERROR(INDEX('1.산군_붙여넣기'!$A$1:$AZ$1001,ROW(),설정!$C$7)&amp;"","")</f>
        <v/>
      </c>
      <c r="F94">
        <f>IFERROR(INDEX('1.산군_붙여넣기'!$A$1:$AZ$1001,ROW(),설정!$C$8)&amp;"","")</f>
        <v/>
      </c>
      <c r="G94">
        <f>IFERROR(INDEX('1.산군_붙여넣기'!$A$1:$AZ$1001,ROW(),설정!$C$9)&amp;"","")</f>
        <v/>
      </c>
      <c r="H94">
        <f>IFERROR(INDEX('1.산군_붙여넣기'!$A$1:$AZ$1001,ROW(),설정!$C$10)&amp;"","")</f>
        <v/>
      </c>
      <c r="I94">
        <f>IFERROR(INDEX('1.산군_붙여넣기'!$A$1:$AZ$1001,ROW(),설정!$C$11)&amp;"","")</f>
        <v/>
      </c>
      <c r="J94">
        <f>IFERROR(INDEX('1.산군_붙여넣기'!$A$1:$AZ$1001,ROW(),설정!$C$12)&amp;"","")</f>
        <v/>
      </c>
      <c r="K94">
        <f>IFERROR(INDEX('1.산군_붙여넣기'!$A$1:$AZ$1001,ROW(),설정!$C$13)&amp;"","")</f>
        <v/>
      </c>
      <c r="L94" s="6">
        <f>IF(X94="","",IF(AND(LEN(X94)=8,ISNUMBER(X94*1)),DATE(LEFT(X94,4),MID(X94,5,2),RIGHT(X94,2)),IFERROR(DATEVALUE(SUBSTITUTE(SUBSTITUTE(X94,".","-"),"/","-")),IFERROR(X94*1,""))))</f>
        <v/>
      </c>
      <c r="M94" s="6">
        <f>IF(Y94="","",IF(AND(LEN(Y94)=8,ISNUMBER(Y94*1)),DATE(LEFT(Y94,4),MID(Y94,5,2),RIGHT(Y94,2)),IFERROR(DATEVALUE(SUBSTITUTE(SUBSTITUTE(Y94,".","-"),"/","-")),IFERROR(Y94*1,""))))</f>
        <v/>
      </c>
      <c r="N94">
        <f>IFERROR(LEFT(B94,FIND(" ",B94)-1),B94)</f>
        <v/>
      </c>
      <c r="O94">
        <f>AND(B94&lt;&gt;"",B94&lt;&gt;설정!$B$4,C94&lt;&gt;설정!$B$5)</f>
        <v/>
      </c>
      <c r="P94">
        <f>IF(O94,B94&amp;"|"&amp;C94,"")</f>
        <v/>
      </c>
      <c r="Q94">
        <f>AND(O94,COUNTIF(P95:P$1002,P94)=0)</f>
        <v/>
      </c>
      <c r="R94">
        <f>OR(AND(설정!$A$28&lt;&gt;"",ISNUMBER(SEARCH(설정!$A$28,E94&amp;" "&amp;C94))),AND(설정!$A$29&lt;&gt;"",ISNUMBER(SEARCH(설정!$A$29,E94&amp;" "&amp;C94))),AND(설정!$A$30&lt;&gt;"",ISNUMBER(SEARCH(설정!$A$30,E94&amp;" "&amp;C94))),AND(설정!$A$31&lt;&gt;"",ISNUMBER(SEARCH(설정!$A$31,E94&amp;" "&amp;C94))),AND(설정!$A$32&lt;&gt;"",ISNUMBER(SEARCH(설정!$A$32,E94&amp;" "&amp;C94))),AND(설정!$A$33&lt;&gt;"",ISNUMBER(SEARCH(설정!$A$33,E94&amp;" "&amp;C94))),AND(설정!$A$34&lt;&gt;"",ISNUMBER(SEARCH(설정!$A$34,E94&amp;" "&amp;C94))),AND(설정!$A$35&lt;&gt;"",ISNUMBER(SEARCH(설정!$A$35,E94&amp;" "&amp;C94))),AND(설정!$A$36&lt;&gt;"",ISNUMBER(SEARCH(설정!$A$36,E94&amp;" "&amp;C94))),AND(설정!$A$37&lt;&gt;"",ISNUMBER(SEARCH(설정!$A$37,E94&amp;" "&amp;C94))))</f>
        <v/>
      </c>
      <c r="S94">
        <f>OR(D94="",D94&gt;=설정!$B$19)</f>
        <v/>
      </c>
      <c r="T94">
        <f>AND(Q94,R94,S94)</f>
        <v/>
      </c>
      <c r="U94">
        <f>IF(T94,IF(AND(설정!$A$41&lt;&gt;"",ISNUMBER(SEARCH(설정!$A$41,K94))),설정!$B$41,IF(AND(설정!$A$42&lt;&gt;"",ISNUMBER(SEARCH(설정!$A$42,K94))),설정!$B$42,IF(AND(설정!$A$43&lt;&gt;"",ISNUMBER(SEARCH(설정!$A$43,K94))),설정!$B$43,IF(AND(설정!$A$44&lt;&gt;"",ISNUMBER(SEARCH(설정!$A$44,K94))),설정!$B$44,IF(AND(설정!$A$45&lt;&gt;"",ISNUMBER(SEARCH(설정!$A$45,K94))),설정!$B$45,IF(AND(설정!$A$46&lt;&gt;"",ISNUMBER(SEARCH(설정!$A$46,K94))),설정!$B$46,IF(AND(설정!$A$47&lt;&gt;"",ISNUMBER(SEARCH(설정!$A$47,K94))),설정!$B$47,IF(AND(설정!$A$48&lt;&gt;"",ISNUMBER(SEARCH(설정!$A$48,K94))),설정!$B$48,IF(M94="","설계사","시공사"))))))))),"")</f>
        <v/>
      </c>
      <c r="V94">
        <f>SUBSTITUTE(SUBSTITUTE(SUBSTITUTE(SUBSTITUTE(G94,"(주)",""),"㈜",""),"주식회사","")," ","")</f>
        <v/>
      </c>
      <c r="W94">
        <f>IF(AND(T94,V94&lt;&gt;""),IF(COUNTIFS(V$2:V94,V94,T$2:T94,TRUE)=1,MAX(W$1:W93)+1,""),"")</f>
        <v/>
      </c>
      <c r="X94">
        <f>IFERROR(INDEX('1.산군_붙여넣기'!$A$1:$AZ$1001,ROW(),설정!$C$14)&amp;"","")</f>
        <v/>
      </c>
      <c r="Y94">
        <f>IFERROR(INDEX('1.산군_붙여넣기'!$A$1:$AZ$1001,ROW(),설정!$C$15)&amp;"","")</f>
        <v/>
      </c>
      <c r="Z94">
        <f>IF(T94,V94&amp;"|"&amp;U94,"")</f>
        <v/>
      </c>
    </row>
    <row r="95">
      <c r="A95">
        <f>ROW()</f>
        <v/>
      </c>
      <c r="B95">
        <f>IFERROR(INDEX('1.산군_붙여넣기'!$A$1:$AZ$1001,ROW(),설정!$C$4)&amp;"","")</f>
        <v/>
      </c>
      <c r="C95">
        <f>IFERROR(INDEX('1.산군_붙여넣기'!$A$1:$AZ$1001,ROW(),설정!$C$5)&amp;"","")</f>
        <v/>
      </c>
      <c r="D95" s="5">
        <f>IFERROR(VALUE(SUBSTITUTE(SUBSTITUTE(SUBSTITUTE(IFERROR(INDEX('1.산군_붙여넣기'!$A$1:$AZ$1001,ROW(),설정!$C$6)&amp;"",""),",",""),"㎡",""),"m2","")),"")</f>
        <v/>
      </c>
      <c r="E95">
        <f>IFERROR(INDEX('1.산군_붙여넣기'!$A$1:$AZ$1001,ROW(),설정!$C$7)&amp;"","")</f>
        <v/>
      </c>
      <c r="F95">
        <f>IFERROR(INDEX('1.산군_붙여넣기'!$A$1:$AZ$1001,ROW(),설정!$C$8)&amp;"","")</f>
        <v/>
      </c>
      <c r="G95">
        <f>IFERROR(INDEX('1.산군_붙여넣기'!$A$1:$AZ$1001,ROW(),설정!$C$9)&amp;"","")</f>
        <v/>
      </c>
      <c r="H95">
        <f>IFERROR(INDEX('1.산군_붙여넣기'!$A$1:$AZ$1001,ROW(),설정!$C$10)&amp;"","")</f>
        <v/>
      </c>
      <c r="I95">
        <f>IFERROR(INDEX('1.산군_붙여넣기'!$A$1:$AZ$1001,ROW(),설정!$C$11)&amp;"","")</f>
        <v/>
      </c>
      <c r="J95">
        <f>IFERROR(INDEX('1.산군_붙여넣기'!$A$1:$AZ$1001,ROW(),설정!$C$12)&amp;"","")</f>
        <v/>
      </c>
      <c r="K95">
        <f>IFERROR(INDEX('1.산군_붙여넣기'!$A$1:$AZ$1001,ROW(),설정!$C$13)&amp;"","")</f>
        <v/>
      </c>
      <c r="L95" s="6">
        <f>IF(X95="","",IF(AND(LEN(X95)=8,ISNUMBER(X95*1)),DATE(LEFT(X95,4),MID(X95,5,2),RIGHT(X95,2)),IFERROR(DATEVALUE(SUBSTITUTE(SUBSTITUTE(X95,".","-"),"/","-")),IFERROR(X95*1,""))))</f>
        <v/>
      </c>
      <c r="M95" s="6">
        <f>IF(Y95="","",IF(AND(LEN(Y95)=8,ISNUMBER(Y95*1)),DATE(LEFT(Y95,4),MID(Y95,5,2),RIGHT(Y95,2)),IFERROR(DATEVALUE(SUBSTITUTE(SUBSTITUTE(Y95,".","-"),"/","-")),IFERROR(Y95*1,""))))</f>
        <v/>
      </c>
      <c r="N95">
        <f>IFERROR(LEFT(B95,FIND(" ",B95)-1),B95)</f>
        <v/>
      </c>
      <c r="O95">
        <f>AND(B95&lt;&gt;"",B95&lt;&gt;설정!$B$4,C95&lt;&gt;설정!$B$5)</f>
        <v/>
      </c>
      <c r="P95">
        <f>IF(O95,B95&amp;"|"&amp;C95,"")</f>
        <v/>
      </c>
      <c r="Q95">
        <f>AND(O95,COUNTIF(P96:P$1002,P95)=0)</f>
        <v/>
      </c>
      <c r="R95">
        <f>OR(AND(설정!$A$28&lt;&gt;"",ISNUMBER(SEARCH(설정!$A$28,E95&amp;" "&amp;C95))),AND(설정!$A$29&lt;&gt;"",ISNUMBER(SEARCH(설정!$A$29,E95&amp;" "&amp;C95))),AND(설정!$A$30&lt;&gt;"",ISNUMBER(SEARCH(설정!$A$30,E95&amp;" "&amp;C95))),AND(설정!$A$31&lt;&gt;"",ISNUMBER(SEARCH(설정!$A$31,E95&amp;" "&amp;C95))),AND(설정!$A$32&lt;&gt;"",ISNUMBER(SEARCH(설정!$A$32,E95&amp;" "&amp;C95))),AND(설정!$A$33&lt;&gt;"",ISNUMBER(SEARCH(설정!$A$33,E95&amp;" "&amp;C95))),AND(설정!$A$34&lt;&gt;"",ISNUMBER(SEARCH(설정!$A$34,E95&amp;" "&amp;C95))),AND(설정!$A$35&lt;&gt;"",ISNUMBER(SEARCH(설정!$A$35,E95&amp;" "&amp;C95))),AND(설정!$A$36&lt;&gt;"",ISNUMBER(SEARCH(설정!$A$36,E95&amp;" "&amp;C95))),AND(설정!$A$37&lt;&gt;"",ISNUMBER(SEARCH(설정!$A$37,E95&amp;" "&amp;C95))))</f>
        <v/>
      </c>
      <c r="S95">
        <f>OR(D95="",D95&gt;=설정!$B$19)</f>
        <v/>
      </c>
      <c r="T95">
        <f>AND(Q95,R95,S95)</f>
        <v/>
      </c>
      <c r="U95">
        <f>IF(T95,IF(AND(설정!$A$41&lt;&gt;"",ISNUMBER(SEARCH(설정!$A$41,K95))),설정!$B$41,IF(AND(설정!$A$42&lt;&gt;"",ISNUMBER(SEARCH(설정!$A$42,K95))),설정!$B$42,IF(AND(설정!$A$43&lt;&gt;"",ISNUMBER(SEARCH(설정!$A$43,K95))),설정!$B$43,IF(AND(설정!$A$44&lt;&gt;"",ISNUMBER(SEARCH(설정!$A$44,K95))),설정!$B$44,IF(AND(설정!$A$45&lt;&gt;"",ISNUMBER(SEARCH(설정!$A$45,K95))),설정!$B$45,IF(AND(설정!$A$46&lt;&gt;"",ISNUMBER(SEARCH(설정!$A$46,K95))),설정!$B$46,IF(AND(설정!$A$47&lt;&gt;"",ISNUMBER(SEARCH(설정!$A$47,K95))),설정!$B$47,IF(AND(설정!$A$48&lt;&gt;"",ISNUMBER(SEARCH(설정!$A$48,K95))),설정!$B$48,IF(M95="","설계사","시공사"))))))))),"")</f>
        <v/>
      </c>
      <c r="V95">
        <f>SUBSTITUTE(SUBSTITUTE(SUBSTITUTE(SUBSTITUTE(G95,"(주)",""),"㈜",""),"주식회사","")," ","")</f>
        <v/>
      </c>
      <c r="W95">
        <f>IF(AND(T95,V95&lt;&gt;""),IF(COUNTIFS(V$2:V95,V95,T$2:T95,TRUE)=1,MAX(W$1:W94)+1,""),"")</f>
        <v/>
      </c>
      <c r="X95">
        <f>IFERROR(INDEX('1.산군_붙여넣기'!$A$1:$AZ$1001,ROW(),설정!$C$14)&amp;"","")</f>
        <v/>
      </c>
      <c r="Y95">
        <f>IFERROR(INDEX('1.산군_붙여넣기'!$A$1:$AZ$1001,ROW(),설정!$C$15)&amp;"","")</f>
        <v/>
      </c>
      <c r="Z95">
        <f>IF(T95,V95&amp;"|"&amp;U95,"")</f>
        <v/>
      </c>
    </row>
    <row r="96">
      <c r="A96">
        <f>ROW()</f>
        <v/>
      </c>
      <c r="B96">
        <f>IFERROR(INDEX('1.산군_붙여넣기'!$A$1:$AZ$1001,ROW(),설정!$C$4)&amp;"","")</f>
        <v/>
      </c>
      <c r="C96">
        <f>IFERROR(INDEX('1.산군_붙여넣기'!$A$1:$AZ$1001,ROW(),설정!$C$5)&amp;"","")</f>
        <v/>
      </c>
      <c r="D96" s="5">
        <f>IFERROR(VALUE(SUBSTITUTE(SUBSTITUTE(SUBSTITUTE(IFERROR(INDEX('1.산군_붙여넣기'!$A$1:$AZ$1001,ROW(),설정!$C$6)&amp;"",""),",",""),"㎡",""),"m2","")),"")</f>
        <v/>
      </c>
      <c r="E96">
        <f>IFERROR(INDEX('1.산군_붙여넣기'!$A$1:$AZ$1001,ROW(),설정!$C$7)&amp;"","")</f>
        <v/>
      </c>
      <c r="F96">
        <f>IFERROR(INDEX('1.산군_붙여넣기'!$A$1:$AZ$1001,ROW(),설정!$C$8)&amp;"","")</f>
        <v/>
      </c>
      <c r="G96">
        <f>IFERROR(INDEX('1.산군_붙여넣기'!$A$1:$AZ$1001,ROW(),설정!$C$9)&amp;"","")</f>
        <v/>
      </c>
      <c r="H96">
        <f>IFERROR(INDEX('1.산군_붙여넣기'!$A$1:$AZ$1001,ROW(),설정!$C$10)&amp;"","")</f>
        <v/>
      </c>
      <c r="I96">
        <f>IFERROR(INDEX('1.산군_붙여넣기'!$A$1:$AZ$1001,ROW(),설정!$C$11)&amp;"","")</f>
        <v/>
      </c>
      <c r="J96">
        <f>IFERROR(INDEX('1.산군_붙여넣기'!$A$1:$AZ$1001,ROW(),설정!$C$12)&amp;"","")</f>
        <v/>
      </c>
      <c r="K96">
        <f>IFERROR(INDEX('1.산군_붙여넣기'!$A$1:$AZ$1001,ROW(),설정!$C$13)&amp;"","")</f>
        <v/>
      </c>
      <c r="L96" s="6">
        <f>IF(X96="","",IF(AND(LEN(X96)=8,ISNUMBER(X96*1)),DATE(LEFT(X96,4),MID(X96,5,2),RIGHT(X96,2)),IFERROR(DATEVALUE(SUBSTITUTE(SUBSTITUTE(X96,".","-"),"/","-")),IFERROR(X96*1,""))))</f>
        <v/>
      </c>
      <c r="M96" s="6">
        <f>IF(Y96="","",IF(AND(LEN(Y96)=8,ISNUMBER(Y96*1)),DATE(LEFT(Y96,4),MID(Y96,5,2),RIGHT(Y96,2)),IFERROR(DATEVALUE(SUBSTITUTE(SUBSTITUTE(Y96,".","-"),"/","-")),IFERROR(Y96*1,""))))</f>
        <v/>
      </c>
      <c r="N96">
        <f>IFERROR(LEFT(B96,FIND(" ",B96)-1),B96)</f>
        <v/>
      </c>
      <c r="O96">
        <f>AND(B96&lt;&gt;"",B96&lt;&gt;설정!$B$4,C96&lt;&gt;설정!$B$5)</f>
        <v/>
      </c>
      <c r="P96">
        <f>IF(O96,B96&amp;"|"&amp;C96,"")</f>
        <v/>
      </c>
      <c r="Q96">
        <f>AND(O96,COUNTIF(P97:P$1002,P96)=0)</f>
        <v/>
      </c>
      <c r="R96">
        <f>OR(AND(설정!$A$28&lt;&gt;"",ISNUMBER(SEARCH(설정!$A$28,E96&amp;" "&amp;C96))),AND(설정!$A$29&lt;&gt;"",ISNUMBER(SEARCH(설정!$A$29,E96&amp;" "&amp;C96))),AND(설정!$A$30&lt;&gt;"",ISNUMBER(SEARCH(설정!$A$30,E96&amp;" "&amp;C96))),AND(설정!$A$31&lt;&gt;"",ISNUMBER(SEARCH(설정!$A$31,E96&amp;" "&amp;C96))),AND(설정!$A$32&lt;&gt;"",ISNUMBER(SEARCH(설정!$A$32,E96&amp;" "&amp;C96))),AND(설정!$A$33&lt;&gt;"",ISNUMBER(SEARCH(설정!$A$33,E96&amp;" "&amp;C96))),AND(설정!$A$34&lt;&gt;"",ISNUMBER(SEARCH(설정!$A$34,E96&amp;" "&amp;C96))),AND(설정!$A$35&lt;&gt;"",ISNUMBER(SEARCH(설정!$A$35,E96&amp;" "&amp;C96))),AND(설정!$A$36&lt;&gt;"",ISNUMBER(SEARCH(설정!$A$36,E96&amp;" "&amp;C96))),AND(설정!$A$37&lt;&gt;"",ISNUMBER(SEARCH(설정!$A$37,E96&amp;" "&amp;C96))))</f>
        <v/>
      </c>
      <c r="S96">
        <f>OR(D96="",D96&gt;=설정!$B$19)</f>
        <v/>
      </c>
      <c r="T96">
        <f>AND(Q96,R96,S96)</f>
        <v/>
      </c>
      <c r="U96">
        <f>IF(T96,IF(AND(설정!$A$41&lt;&gt;"",ISNUMBER(SEARCH(설정!$A$41,K96))),설정!$B$41,IF(AND(설정!$A$42&lt;&gt;"",ISNUMBER(SEARCH(설정!$A$42,K96))),설정!$B$42,IF(AND(설정!$A$43&lt;&gt;"",ISNUMBER(SEARCH(설정!$A$43,K96))),설정!$B$43,IF(AND(설정!$A$44&lt;&gt;"",ISNUMBER(SEARCH(설정!$A$44,K96))),설정!$B$44,IF(AND(설정!$A$45&lt;&gt;"",ISNUMBER(SEARCH(설정!$A$45,K96))),설정!$B$45,IF(AND(설정!$A$46&lt;&gt;"",ISNUMBER(SEARCH(설정!$A$46,K96))),설정!$B$46,IF(AND(설정!$A$47&lt;&gt;"",ISNUMBER(SEARCH(설정!$A$47,K96))),설정!$B$47,IF(AND(설정!$A$48&lt;&gt;"",ISNUMBER(SEARCH(설정!$A$48,K96))),설정!$B$48,IF(M96="","설계사","시공사"))))))))),"")</f>
        <v/>
      </c>
      <c r="V96">
        <f>SUBSTITUTE(SUBSTITUTE(SUBSTITUTE(SUBSTITUTE(G96,"(주)",""),"㈜",""),"주식회사","")," ","")</f>
        <v/>
      </c>
      <c r="W96">
        <f>IF(AND(T96,V96&lt;&gt;""),IF(COUNTIFS(V$2:V96,V96,T$2:T96,TRUE)=1,MAX(W$1:W95)+1,""),"")</f>
        <v/>
      </c>
      <c r="X96">
        <f>IFERROR(INDEX('1.산군_붙여넣기'!$A$1:$AZ$1001,ROW(),설정!$C$14)&amp;"","")</f>
        <v/>
      </c>
      <c r="Y96">
        <f>IFERROR(INDEX('1.산군_붙여넣기'!$A$1:$AZ$1001,ROW(),설정!$C$15)&amp;"","")</f>
        <v/>
      </c>
      <c r="Z96">
        <f>IF(T96,V96&amp;"|"&amp;U96,"")</f>
        <v/>
      </c>
    </row>
    <row r="97">
      <c r="A97">
        <f>ROW()</f>
        <v/>
      </c>
      <c r="B97">
        <f>IFERROR(INDEX('1.산군_붙여넣기'!$A$1:$AZ$1001,ROW(),설정!$C$4)&amp;"","")</f>
        <v/>
      </c>
      <c r="C97">
        <f>IFERROR(INDEX('1.산군_붙여넣기'!$A$1:$AZ$1001,ROW(),설정!$C$5)&amp;"","")</f>
        <v/>
      </c>
      <c r="D97" s="5">
        <f>IFERROR(VALUE(SUBSTITUTE(SUBSTITUTE(SUBSTITUTE(IFERROR(INDEX('1.산군_붙여넣기'!$A$1:$AZ$1001,ROW(),설정!$C$6)&amp;"",""),",",""),"㎡",""),"m2","")),"")</f>
        <v/>
      </c>
      <c r="E97">
        <f>IFERROR(INDEX('1.산군_붙여넣기'!$A$1:$AZ$1001,ROW(),설정!$C$7)&amp;"","")</f>
        <v/>
      </c>
      <c r="F97">
        <f>IFERROR(INDEX('1.산군_붙여넣기'!$A$1:$AZ$1001,ROW(),설정!$C$8)&amp;"","")</f>
        <v/>
      </c>
      <c r="G97">
        <f>IFERROR(INDEX('1.산군_붙여넣기'!$A$1:$AZ$1001,ROW(),설정!$C$9)&amp;"","")</f>
        <v/>
      </c>
      <c r="H97">
        <f>IFERROR(INDEX('1.산군_붙여넣기'!$A$1:$AZ$1001,ROW(),설정!$C$10)&amp;"","")</f>
        <v/>
      </c>
      <c r="I97">
        <f>IFERROR(INDEX('1.산군_붙여넣기'!$A$1:$AZ$1001,ROW(),설정!$C$11)&amp;"","")</f>
        <v/>
      </c>
      <c r="J97">
        <f>IFERROR(INDEX('1.산군_붙여넣기'!$A$1:$AZ$1001,ROW(),설정!$C$12)&amp;"","")</f>
        <v/>
      </c>
      <c r="K97">
        <f>IFERROR(INDEX('1.산군_붙여넣기'!$A$1:$AZ$1001,ROW(),설정!$C$13)&amp;"","")</f>
        <v/>
      </c>
      <c r="L97" s="6">
        <f>IF(X97="","",IF(AND(LEN(X97)=8,ISNUMBER(X97*1)),DATE(LEFT(X97,4),MID(X97,5,2),RIGHT(X97,2)),IFERROR(DATEVALUE(SUBSTITUTE(SUBSTITUTE(X97,".","-"),"/","-")),IFERROR(X97*1,""))))</f>
        <v/>
      </c>
      <c r="M97" s="6">
        <f>IF(Y97="","",IF(AND(LEN(Y97)=8,ISNUMBER(Y97*1)),DATE(LEFT(Y97,4),MID(Y97,5,2),RIGHT(Y97,2)),IFERROR(DATEVALUE(SUBSTITUTE(SUBSTITUTE(Y97,".","-"),"/","-")),IFERROR(Y97*1,""))))</f>
        <v/>
      </c>
      <c r="N97">
        <f>IFERROR(LEFT(B97,FIND(" ",B97)-1),B97)</f>
        <v/>
      </c>
      <c r="O97">
        <f>AND(B97&lt;&gt;"",B97&lt;&gt;설정!$B$4,C97&lt;&gt;설정!$B$5)</f>
        <v/>
      </c>
      <c r="P97">
        <f>IF(O97,B97&amp;"|"&amp;C97,"")</f>
        <v/>
      </c>
      <c r="Q97">
        <f>AND(O97,COUNTIF(P98:P$1002,P97)=0)</f>
        <v/>
      </c>
      <c r="R97">
        <f>OR(AND(설정!$A$28&lt;&gt;"",ISNUMBER(SEARCH(설정!$A$28,E97&amp;" "&amp;C97))),AND(설정!$A$29&lt;&gt;"",ISNUMBER(SEARCH(설정!$A$29,E97&amp;" "&amp;C97))),AND(설정!$A$30&lt;&gt;"",ISNUMBER(SEARCH(설정!$A$30,E97&amp;" "&amp;C97))),AND(설정!$A$31&lt;&gt;"",ISNUMBER(SEARCH(설정!$A$31,E97&amp;" "&amp;C97))),AND(설정!$A$32&lt;&gt;"",ISNUMBER(SEARCH(설정!$A$32,E97&amp;" "&amp;C97))),AND(설정!$A$33&lt;&gt;"",ISNUMBER(SEARCH(설정!$A$33,E97&amp;" "&amp;C97))),AND(설정!$A$34&lt;&gt;"",ISNUMBER(SEARCH(설정!$A$34,E97&amp;" "&amp;C97))),AND(설정!$A$35&lt;&gt;"",ISNUMBER(SEARCH(설정!$A$35,E97&amp;" "&amp;C97))),AND(설정!$A$36&lt;&gt;"",ISNUMBER(SEARCH(설정!$A$36,E97&amp;" "&amp;C97))),AND(설정!$A$37&lt;&gt;"",ISNUMBER(SEARCH(설정!$A$37,E97&amp;" "&amp;C97))))</f>
        <v/>
      </c>
      <c r="S97">
        <f>OR(D97="",D97&gt;=설정!$B$19)</f>
        <v/>
      </c>
      <c r="T97">
        <f>AND(Q97,R97,S97)</f>
        <v/>
      </c>
      <c r="U97">
        <f>IF(T97,IF(AND(설정!$A$41&lt;&gt;"",ISNUMBER(SEARCH(설정!$A$41,K97))),설정!$B$41,IF(AND(설정!$A$42&lt;&gt;"",ISNUMBER(SEARCH(설정!$A$42,K97))),설정!$B$42,IF(AND(설정!$A$43&lt;&gt;"",ISNUMBER(SEARCH(설정!$A$43,K97))),설정!$B$43,IF(AND(설정!$A$44&lt;&gt;"",ISNUMBER(SEARCH(설정!$A$44,K97))),설정!$B$44,IF(AND(설정!$A$45&lt;&gt;"",ISNUMBER(SEARCH(설정!$A$45,K97))),설정!$B$45,IF(AND(설정!$A$46&lt;&gt;"",ISNUMBER(SEARCH(설정!$A$46,K97))),설정!$B$46,IF(AND(설정!$A$47&lt;&gt;"",ISNUMBER(SEARCH(설정!$A$47,K97))),설정!$B$47,IF(AND(설정!$A$48&lt;&gt;"",ISNUMBER(SEARCH(설정!$A$48,K97))),설정!$B$48,IF(M97="","설계사","시공사"))))))))),"")</f>
        <v/>
      </c>
      <c r="V97">
        <f>SUBSTITUTE(SUBSTITUTE(SUBSTITUTE(SUBSTITUTE(G97,"(주)",""),"㈜",""),"주식회사","")," ","")</f>
        <v/>
      </c>
      <c r="W97">
        <f>IF(AND(T97,V97&lt;&gt;""),IF(COUNTIFS(V$2:V97,V97,T$2:T97,TRUE)=1,MAX(W$1:W96)+1,""),"")</f>
        <v/>
      </c>
      <c r="X97">
        <f>IFERROR(INDEX('1.산군_붙여넣기'!$A$1:$AZ$1001,ROW(),설정!$C$14)&amp;"","")</f>
        <v/>
      </c>
      <c r="Y97">
        <f>IFERROR(INDEX('1.산군_붙여넣기'!$A$1:$AZ$1001,ROW(),설정!$C$15)&amp;"","")</f>
        <v/>
      </c>
      <c r="Z97">
        <f>IF(T97,V97&amp;"|"&amp;U97,"")</f>
        <v/>
      </c>
    </row>
    <row r="98">
      <c r="A98">
        <f>ROW()</f>
        <v/>
      </c>
      <c r="B98">
        <f>IFERROR(INDEX('1.산군_붙여넣기'!$A$1:$AZ$1001,ROW(),설정!$C$4)&amp;"","")</f>
        <v/>
      </c>
      <c r="C98">
        <f>IFERROR(INDEX('1.산군_붙여넣기'!$A$1:$AZ$1001,ROW(),설정!$C$5)&amp;"","")</f>
        <v/>
      </c>
      <c r="D98" s="5">
        <f>IFERROR(VALUE(SUBSTITUTE(SUBSTITUTE(SUBSTITUTE(IFERROR(INDEX('1.산군_붙여넣기'!$A$1:$AZ$1001,ROW(),설정!$C$6)&amp;"",""),",",""),"㎡",""),"m2","")),"")</f>
        <v/>
      </c>
      <c r="E98">
        <f>IFERROR(INDEX('1.산군_붙여넣기'!$A$1:$AZ$1001,ROW(),설정!$C$7)&amp;"","")</f>
        <v/>
      </c>
      <c r="F98">
        <f>IFERROR(INDEX('1.산군_붙여넣기'!$A$1:$AZ$1001,ROW(),설정!$C$8)&amp;"","")</f>
        <v/>
      </c>
      <c r="G98">
        <f>IFERROR(INDEX('1.산군_붙여넣기'!$A$1:$AZ$1001,ROW(),설정!$C$9)&amp;"","")</f>
        <v/>
      </c>
      <c r="H98">
        <f>IFERROR(INDEX('1.산군_붙여넣기'!$A$1:$AZ$1001,ROW(),설정!$C$10)&amp;"","")</f>
        <v/>
      </c>
      <c r="I98">
        <f>IFERROR(INDEX('1.산군_붙여넣기'!$A$1:$AZ$1001,ROW(),설정!$C$11)&amp;"","")</f>
        <v/>
      </c>
      <c r="J98">
        <f>IFERROR(INDEX('1.산군_붙여넣기'!$A$1:$AZ$1001,ROW(),설정!$C$12)&amp;"","")</f>
        <v/>
      </c>
      <c r="K98">
        <f>IFERROR(INDEX('1.산군_붙여넣기'!$A$1:$AZ$1001,ROW(),설정!$C$13)&amp;"","")</f>
        <v/>
      </c>
      <c r="L98" s="6">
        <f>IF(X98="","",IF(AND(LEN(X98)=8,ISNUMBER(X98*1)),DATE(LEFT(X98,4),MID(X98,5,2),RIGHT(X98,2)),IFERROR(DATEVALUE(SUBSTITUTE(SUBSTITUTE(X98,".","-"),"/","-")),IFERROR(X98*1,""))))</f>
        <v/>
      </c>
      <c r="M98" s="6">
        <f>IF(Y98="","",IF(AND(LEN(Y98)=8,ISNUMBER(Y98*1)),DATE(LEFT(Y98,4),MID(Y98,5,2),RIGHT(Y98,2)),IFERROR(DATEVALUE(SUBSTITUTE(SUBSTITUTE(Y98,".","-"),"/","-")),IFERROR(Y98*1,""))))</f>
        <v/>
      </c>
      <c r="N98">
        <f>IFERROR(LEFT(B98,FIND(" ",B98)-1),B98)</f>
        <v/>
      </c>
      <c r="O98">
        <f>AND(B98&lt;&gt;"",B98&lt;&gt;설정!$B$4,C98&lt;&gt;설정!$B$5)</f>
        <v/>
      </c>
      <c r="P98">
        <f>IF(O98,B98&amp;"|"&amp;C98,"")</f>
        <v/>
      </c>
      <c r="Q98">
        <f>AND(O98,COUNTIF(P99:P$1002,P98)=0)</f>
        <v/>
      </c>
      <c r="R98">
        <f>OR(AND(설정!$A$28&lt;&gt;"",ISNUMBER(SEARCH(설정!$A$28,E98&amp;" "&amp;C98))),AND(설정!$A$29&lt;&gt;"",ISNUMBER(SEARCH(설정!$A$29,E98&amp;" "&amp;C98))),AND(설정!$A$30&lt;&gt;"",ISNUMBER(SEARCH(설정!$A$30,E98&amp;" "&amp;C98))),AND(설정!$A$31&lt;&gt;"",ISNUMBER(SEARCH(설정!$A$31,E98&amp;" "&amp;C98))),AND(설정!$A$32&lt;&gt;"",ISNUMBER(SEARCH(설정!$A$32,E98&amp;" "&amp;C98))),AND(설정!$A$33&lt;&gt;"",ISNUMBER(SEARCH(설정!$A$33,E98&amp;" "&amp;C98))),AND(설정!$A$34&lt;&gt;"",ISNUMBER(SEARCH(설정!$A$34,E98&amp;" "&amp;C98))),AND(설정!$A$35&lt;&gt;"",ISNUMBER(SEARCH(설정!$A$35,E98&amp;" "&amp;C98))),AND(설정!$A$36&lt;&gt;"",ISNUMBER(SEARCH(설정!$A$36,E98&amp;" "&amp;C98))),AND(설정!$A$37&lt;&gt;"",ISNUMBER(SEARCH(설정!$A$37,E98&amp;" "&amp;C98))))</f>
        <v/>
      </c>
      <c r="S98">
        <f>OR(D98="",D98&gt;=설정!$B$19)</f>
        <v/>
      </c>
      <c r="T98">
        <f>AND(Q98,R98,S98)</f>
        <v/>
      </c>
      <c r="U98">
        <f>IF(T98,IF(AND(설정!$A$41&lt;&gt;"",ISNUMBER(SEARCH(설정!$A$41,K98))),설정!$B$41,IF(AND(설정!$A$42&lt;&gt;"",ISNUMBER(SEARCH(설정!$A$42,K98))),설정!$B$42,IF(AND(설정!$A$43&lt;&gt;"",ISNUMBER(SEARCH(설정!$A$43,K98))),설정!$B$43,IF(AND(설정!$A$44&lt;&gt;"",ISNUMBER(SEARCH(설정!$A$44,K98))),설정!$B$44,IF(AND(설정!$A$45&lt;&gt;"",ISNUMBER(SEARCH(설정!$A$45,K98))),설정!$B$45,IF(AND(설정!$A$46&lt;&gt;"",ISNUMBER(SEARCH(설정!$A$46,K98))),설정!$B$46,IF(AND(설정!$A$47&lt;&gt;"",ISNUMBER(SEARCH(설정!$A$47,K98))),설정!$B$47,IF(AND(설정!$A$48&lt;&gt;"",ISNUMBER(SEARCH(설정!$A$48,K98))),설정!$B$48,IF(M98="","설계사","시공사"))))))))),"")</f>
        <v/>
      </c>
      <c r="V98">
        <f>SUBSTITUTE(SUBSTITUTE(SUBSTITUTE(SUBSTITUTE(G98,"(주)",""),"㈜",""),"주식회사","")," ","")</f>
        <v/>
      </c>
      <c r="W98">
        <f>IF(AND(T98,V98&lt;&gt;""),IF(COUNTIFS(V$2:V98,V98,T$2:T98,TRUE)=1,MAX(W$1:W97)+1,""),"")</f>
        <v/>
      </c>
      <c r="X98">
        <f>IFERROR(INDEX('1.산군_붙여넣기'!$A$1:$AZ$1001,ROW(),설정!$C$14)&amp;"","")</f>
        <v/>
      </c>
      <c r="Y98">
        <f>IFERROR(INDEX('1.산군_붙여넣기'!$A$1:$AZ$1001,ROW(),설정!$C$15)&amp;"","")</f>
        <v/>
      </c>
      <c r="Z98">
        <f>IF(T98,V98&amp;"|"&amp;U98,"")</f>
        <v/>
      </c>
    </row>
    <row r="99">
      <c r="A99">
        <f>ROW()</f>
        <v/>
      </c>
      <c r="B99">
        <f>IFERROR(INDEX('1.산군_붙여넣기'!$A$1:$AZ$1001,ROW(),설정!$C$4)&amp;"","")</f>
        <v/>
      </c>
      <c r="C99">
        <f>IFERROR(INDEX('1.산군_붙여넣기'!$A$1:$AZ$1001,ROW(),설정!$C$5)&amp;"","")</f>
        <v/>
      </c>
      <c r="D99" s="5">
        <f>IFERROR(VALUE(SUBSTITUTE(SUBSTITUTE(SUBSTITUTE(IFERROR(INDEX('1.산군_붙여넣기'!$A$1:$AZ$1001,ROW(),설정!$C$6)&amp;"",""),",",""),"㎡",""),"m2","")),"")</f>
        <v/>
      </c>
      <c r="E99">
        <f>IFERROR(INDEX('1.산군_붙여넣기'!$A$1:$AZ$1001,ROW(),설정!$C$7)&amp;"","")</f>
        <v/>
      </c>
      <c r="F99">
        <f>IFERROR(INDEX('1.산군_붙여넣기'!$A$1:$AZ$1001,ROW(),설정!$C$8)&amp;"","")</f>
        <v/>
      </c>
      <c r="G99">
        <f>IFERROR(INDEX('1.산군_붙여넣기'!$A$1:$AZ$1001,ROW(),설정!$C$9)&amp;"","")</f>
        <v/>
      </c>
      <c r="H99">
        <f>IFERROR(INDEX('1.산군_붙여넣기'!$A$1:$AZ$1001,ROW(),설정!$C$10)&amp;"","")</f>
        <v/>
      </c>
      <c r="I99">
        <f>IFERROR(INDEX('1.산군_붙여넣기'!$A$1:$AZ$1001,ROW(),설정!$C$11)&amp;"","")</f>
        <v/>
      </c>
      <c r="J99">
        <f>IFERROR(INDEX('1.산군_붙여넣기'!$A$1:$AZ$1001,ROW(),설정!$C$12)&amp;"","")</f>
        <v/>
      </c>
      <c r="K99">
        <f>IFERROR(INDEX('1.산군_붙여넣기'!$A$1:$AZ$1001,ROW(),설정!$C$13)&amp;"","")</f>
        <v/>
      </c>
      <c r="L99" s="6">
        <f>IF(X99="","",IF(AND(LEN(X99)=8,ISNUMBER(X99*1)),DATE(LEFT(X99,4),MID(X99,5,2),RIGHT(X99,2)),IFERROR(DATEVALUE(SUBSTITUTE(SUBSTITUTE(X99,".","-"),"/","-")),IFERROR(X99*1,""))))</f>
        <v/>
      </c>
      <c r="M99" s="6">
        <f>IF(Y99="","",IF(AND(LEN(Y99)=8,ISNUMBER(Y99*1)),DATE(LEFT(Y99,4),MID(Y99,5,2),RIGHT(Y99,2)),IFERROR(DATEVALUE(SUBSTITUTE(SUBSTITUTE(Y99,".","-"),"/","-")),IFERROR(Y99*1,""))))</f>
        <v/>
      </c>
      <c r="N99">
        <f>IFERROR(LEFT(B99,FIND(" ",B99)-1),B99)</f>
        <v/>
      </c>
      <c r="O99">
        <f>AND(B99&lt;&gt;"",B99&lt;&gt;설정!$B$4,C99&lt;&gt;설정!$B$5)</f>
        <v/>
      </c>
      <c r="P99">
        <f>IF(O99,B99&amp;"|"&amp;C99,"")</f>
        <v/>
      </c>
      <c r="Q99">
        <f>AND(O99,COUNTIF(P100:P$1002,P99)=0)</f>
        <v/>
      </c>
      <c r="R99">
        <f>OR(AND(설정!$A$28&lt;&gt;"",ISNUMBER(SEARCH(설정!$A$28,E99&amp;" "&amp;C99))),AND(설정!$A$29&lt;&gt;"",ISNUMBER(SEARCH(설정!$A$29,E99&amp;" "&amp;C99))),AND(설정!$A$30&lt;&gt;"",ISNUMBER(SEARCH(설정!$A$30,E99&amp;" "&amp;C99))),AND(설정!$A$31&lt;&gt;"",ISNUMBER(SEARCH(설정!$A$31,E99&amp;" "&amp;C99))),AND(설정!$A$32&lt;&gt;"",ISNUMBER(SEARCH(설정!$A$32,E99&amp;" "&amp;C99))),AND(설정!$A$33&lt;&gt;"",ISNUMBER(SEARCH(설정!$A$33,E99&amp;" "&amp;C99))),AND(설정!$A$34&lt;&gt;"",ISNUMBER(SEARCH(설정!$A$34,E99&amp;" "&amp;C99))),AND(설정!$A$35&lt;&gt;"",ISNUMBER(SEARCH(설정!$A$35,E99&amp;" "&amp;C99))),AND(설정!$A$36&lt;&gt;"",ISNUMBER(SEARCH(설정!$A$36,E99&amp;" "&amp;C99))),AND(설정!$A$37&lt;&gt;"",ISNUMBER(SEARCH(설정!$A$37,E99&amp;" "&amp;C99))))</f>
        <v/>
      </c>
      <c r="S99">
        <f>OR(D99="",D99&gt;=설정!$B$19)</f>
        <v/>
      </c>
      <c r="T99">
        <f>AND(Q99,R99,S99)</f>
        <v/>
      </c>
      <c r="U99">
        <f>IF(T99,IF(AND(설정!$A$41&lt;&gt;"",ISNUMBER(SEARCH(설정!$A$41,K99))),설정!$B$41,IF(AND(설정!$A$42&lt;&gt;"",ISNUMBER(SEARCH(설정!$A$42,K99))),설정!$B$42,IF(AND(설정!$A$43&lt;&gt;"",ISNUMBER(SEARCH(설정!$A$43,K99))),설정!$B$43,IF(AND(설정!$A$44&lt;&gt;"",ISNUMBER(SEARCH(설정!$A$44,K99))),설정!$B$44,IF(AND(설정!$A$45&lt;&gt;"",ISNUMBER(SEARCH(설정!$A$45,K99))),설정!$B$45,IF(AND(설정!$A$46&lt;&gt;"",ISNUMBER(SEARCH(설정!$A$46,K99))),설정!$B$46,IF(AND(설정!$A$47&lt;&gt;"",ISNUMBER(SEARCH(설정!$A$47,K99))),설정!$B$47,IF(AND(설정!$A$48&lt;&gt;"",ISNUMBER(SEARCH(설정!$A$48,K99))),설정!$B$48,IF(M99="","설계사","시공사"))))))))),"")</f>
        <v/>
      </c>
      <c r="V99">
        <f>SUBSTITUTE(SUBSTITUTE(SUBSTITUTE(SUBSTITUTE(G99,"(주)",""),"㈜",""),"주식회사","")," ","")</f>
        <v/>
      </c>
      <c r="W99">
        <f>IF(AND(T99,V99&lt;&gt;""),IF(COUNTIFS(V$2:V99,V99,T$2:T99,TRUE)=1,MAX(W$1:W98)+1,""),"")</f>
        <v/>
      </c>
      <c r="X99">
        <f>IFERROR(INDEX('1.산군_붙여넣기'!$A$1:$AZ$1001,ROW(),설정!$C$14)&amp;"","")</f>
        <v/>
      </c>
      <c r="Y99">
        <f>IFERROR(INDEX('1.산군_붙여넣기'!$A$1:$AZ$1001,ROW(),설정!$C$15)&amp;"","")</f>
        <v/>
      </c>
      <c r="Z99">
        <f>IF(T99,V99&amp;"|"&amp;U99,"")</f>
        <v/>
      </c>
    </row>
    <row r="100">
      <c r="A100">
        <f>ROW()</f>
        <v/>
      </c>
      <c r="B100">
        <f>IFERROR(INDEX('1.산군_붙여넣기'!$A$1:$AZ$1001,ROW(),설정!$C$4)&amp;"","")</f>
        <v/>
      </c>
      <c r="C100">
        <f>IFERROR(INDEX('1.산군_붙여넣기'!$A$1:$AZ$1001,ROW(),설정!$C$5)&amp;"","")</f>
        <v/>
      </c>
      <c r="D100" s="5">
        <f>IFERROR(VALUE(SUBSTITUTE(SUBSTITUTE(SUBSTITUTE(IFERROR(INDEX('1.산군_붙여넣기'!$A$1:$AZ$1001,ROW(),설정!$C$6)&amp;"",""),",",""),"㎡",""),"m2","")),"")</f>
        <v/>
      </c>
      <c r="E100">
        <f>IFERROR(INDEX('1.산군_붙여넣기'!$A$1:$AZ$1001,ROW(),설정!$C$7)&amp;"","")</f>
        <v/>
      </c>
      <c r="F100">
        <f>IFERROR(INDEX('1.산군_붙여넣기'!$A$1:$AZ$1001,ROW(),설정!$C$8)&amp;"","")</f>
        <v/>
      </c>
      <c r="G100">
        <f>IFERROR(INDEX('1.산군_붙여넣기'!$A$1:$AZ$1001,ROW(),설정!$C$9)&amp;"","")</f>
        <v/>
      </c>
      <c r="H100">
        <f>IFERROR(INDEX('1.산군_붙여넣기'!$A$1:$AZ$1001,ROW(),설정!$C$10)&amp;"","")</f>
        <v/>
      </c>
      <c r="I100">
        <f>IFERROR(INDEX('1.산군_붙여넣기'!$A$1:$AZ$1001,ROW(),설정!$C$11)&amp;"","")</f>
        <v/>
      </c>
      <c r="J100">
        <f>IFERROR(INDEX('1.산군_붙여넣기'!$A$1:$AZ$1001,ROW(),설정!$C$12)&amp;"","")</f>
        <v/>
      </c>
      <c r="K100">
        <f>IFERROR(INDEX('1.산군_붙여넣기'!$A$1:$AZ$1001,ROW(),설정!$C$13)&amp;"","")</f>
        <v/>
      </c>
      <c r="L100" s="6">
        <f>IF(X100="","",IF(AND(LEN(X100)=8,ISNUMBER(X100*1)),DATE(LEFT(X100,4),MID(X100,5,2),RIGHT(X100,2)),IFERROR(DATEVALUE(SUBSTITUTE(SUBSTITUTE(X100,".","-"),"/","-")),IFERROR(X100*1,""))))</f>
        <v/>
      </c>
      <c r="M100" s="6">
        <f>IF(Y100="","",IF(AND(LEN(Y100)=8,ISNUMBER(Y100*1)),DATE(LEFT(Y100,4),MID(Y100,5,2),RIGHT(Y100,2)),IFERROR(DATEVALUE(SUBSTITUTE(SUBSTITUTE(Y100,".","-"),"/","-")),IFERROR(Y100*1,""))))</f>
        <v/>
      </c>
      <c r="N100">
        <f>IFERROR(LEFT(B100,FIND(" ",B100)-1),B100)</f>
        <v/>
      </c>
      <c r="O100">
        <f>AND(B100&lt;&gt;"",B100&lt;&gt;설정!$B$4,C100&lt;&gt;설정!$B$5)</f>
        <v/>
      </c>
      <c r="P100">
        <f>IF(O100,B100&amp;"|"&amp;C100,"")</f>
        <v/>
      </c>
      <c r="Q100">
        <f>AND(O100,COUNTIF(P101:P$1002,P100)=0)</f>
        <v/>
      </c>
      <c r="R100">
        <f>OR(AND(설정!$A$28&lt;&gt;"",ISNUMBER(SEARCH(설정!$A$28,E100&amp;" "&amp;C100))),AND(설정!$A$29&lt;&gt;"",ISNUMBER(SEARCH(설정!$A$29,E100&amp;" "&amp;C100))),AND(설정!$A$30&lt;&gt;"",ISNUMBER(SEARCH(설정!$A$30,E100&amp;" "&amp;C100))),AND(설정!$A$31&lt;&gt;"",ISNUMBER(SEARCH(설정!$A$31,E100&amp;" "&amp;C100))),AND(설정!$A$32&lt;&gt;"",ISNUMBER(SEARCH(설정!$A$32,E100&amp;" "&amp;C100))),AND(설정!$A$33&lt;&gt;"",ISNUMBER(SEARCH(설정!$A$33,E100&amp;" "&amp;C100))),AND(설정!$A$34&lt;&gt;"",ISNUMBER(SEARCH(설정!$A$34,E100&amp;" "&amp;C100))),AND(설정!$A$35&lt;&gt;"",ISNUMBER(SEARCH(설정!$A$35,E100&amp;" "&amp;C100))),AND(설정!$A$36&lt;&gt;"",ISNUMBER(SEARCH(설정!$A$36,E100&amp;" "&amp;C100))),AND(설정!$A$37&lt;&gt;"",ISNUMBER(SEARCH(설정!$A$37,E100&amp;" "&amp;C100))))</f>
        <v/>
      </c>
      <c r="S100">
        <f>OR(D100="",D100&gt;=설정!$B$19)</f>
        <v/>
      </c>
      <c r="T100">
        <f>AND(Q100,R100,S100)</f>
        <v/>
      </c>
      <c r="U100">
        <f>IF(T100,IF(AND(설정!$A$41&lt;&gt;"",ISNUMBER(SEARCH(설정!$A$41,K100))),설정!$B$41,IF(AND(설정!$A$42&lt;&gt;"",ISNUMBER(SEARCH(설정!$A$42,K100))),설정!$B$42,IF(AND(설정!$A$43&lt;&gt;"",ISNUMBER(SEARCH(설정!$A$43,K100))),설정!$B$43,IF(AND(설정!$A$44&lt;&gt;"",ISNUMBER(SEARCH(설정!$A$44,K100))),설정!$B$44,IF(AND(설정!$A$45&lt;&gt;"",ISNUMBER(SEARCH(설정!$A$45,K100))),설정!$B$45,IF(AND(설정!$A$46&lt;&gt;"",ISNUMBER(SEARCH(설정!$A$46,K100))),설정!$B$46,IF(AND(설정!$A$47&lt;&gt;"",ISNUMBER(SEARCH(설정!$A$47,K100))),설정!$B$47,IF(AND(설정!$A$48&lt;&gt;"",ISNUMBER(SEARCH(설정!$A$48,K100))),설정!$B$48,IF(M100="","설계사","시공사"))))))))),"")</f>
        <v/>
      </c>
      <c r="V100">
        <f>SUBSTITUTE(SUBSTITUTE(SUBSTITUTE(SUBSTITUTE(G100,"(주)",""),"㈜",""),"주식회사","")," ","")</f>
        <v/>
      </c>
      <c r="W100">
        <f>IF(AND(T100,V100&lt;&gt;""),IF(COUNTIFS(V$2:V100,V100,T$2:T100,TRUE)=1,MAX(W$1:W99)+1,""),"")</f>
        <v/>
      </c>
      <c r="X100">
        <f>IFERROR(INDEX('1.산군_붙여넣기'!$A$1:$AZ$1001,ROW(),설정!$C$14)&amp;"","")</f>
        <v/>
      </c>
      <c r="Y100">
        <f>IFERROR(INDEX('1.산군_붙여넣기'!$A$1:$AZ$1001,ROW(),설정!$C$15)&amp;"","")</f>
        <v/>
      </c>
      <c r="Z100">
        <f>IF(T100,V100&amp;"|"&amp;U100,"")</f>
        <v/>
      </c>
    </row>
    <row r="101">
      <c r="A101">
        <f>ROW()</f>
        <v/>
      </c>
      <c r="B101">
        <f>IFERROR(INDEX('1.산군_붙여넣기'!$A$1:$AZ$1001,ROW(),설정!$C$4)&amp;"","")</f>
        <v/>
      </c>
      <c r="C101">
        <f>IFERROR(INDEX('1.산군_붙여넣기'!$A$1:$AZ$1001,ROW(),설정!$C$5)&amp;"","")</f>
        <v/>
      </c>
      <c r="D101" s="5">
        <f>IFERROR(VALUE(SUBSTITUTE(SUBSTITUTE(SUBSTITUTE(IFERROR(INDEX('1.산군_붙여넣기'!$A$1:$AZ$1001,ROW(),설정!$C$6)&amp;"",""),",",""),"㎡",""),"m2","")),"")</f>
        <v/>
      </c>
      <c r="E101">
        <f>IFERROR(INDEX('1.산군_붙여넣기'!$A$1:$AZ$1001,ROW(),설정!$C$7)&amp;"","")</f>
        <v/>
      </c>
      <c r="F101">
        <f>IFERROR(INDEX('1.산군_붙여넣기'!$A$1:$AZ$1001,ROW(),설정!$C$8)&amp;"","")</f>
        <v/>
      </c>
      <c r="G101">
        <f>IFERROR(INDEX('1.산군_붙여넣기'!$A$1:$AZ$1001,ROW(),설정!$C$9)&amp;"","")</f>
        <v/>
      </c>
      <c r="H101">
        <f>IFERROR(INDEX('1.산군_붙여넣기'!$A$1:$AZ$1001,ROW(),설정!$C$10)&amp;"","")</f>
        <v/>
      </c>
      <c r="I101">
        <f>IFERROR(INDEX('1.산군_붙여넣기'!$A$1:$AZ$1001,ROW(),설정!$C$11)&amp;"","")</f>
        <v/>
      </c>
      <c r="J101">
        <f>IFERROR(INDEX('1.산군_붙여넣기'!$A$1:$AZ$1001,ROW(),설정!$C$12)&amp;"","")</f>
        <v/>
      </c>
      <c r="K101">
        <f>IFERROR(INDEX('1.산군_붙여넣기'!$A$1:$AZ$1001,ROW(),설정!$C$13)&amp;"","")</f>
        <v/>
      </c>
      <c r="L101" s="6">
        <f>IF(X101="","",IF(AND(LEN(X101)=8,ISNUMBER(X101*1)),DATE(LEFT(X101,4),MID(X101,5,2),RIGHT(X101,2)),IFERROR(DATEVALUE(SUBSTITUTE(SUBSTITUTE(X101,".","-"),"/","-")),IFERROR(X101*1,""))))</f>
        <v/>
      </c>
      <c r="M101" s="6">
        <f>IF(Y101="","",IF(AND(LEN(Y101)=8,ISNUMBER(Y101*1)),DATE(LEFT(Y101,4),MID(Y101,5,2),RIGHT(Y101,2)),IFERROR(DATEVALUE(SUBSTITUTE(SUBSTITUTE(Y101,".","-"),"/","-")),IFERROR(Y101*1,""))))</f>
        <v/>
      </c>
      <c r="N101">
        <f>IFERROR(LEFT(B101,FIND(" ",B101)-1),B101)</f>
        <v/>
      </c>
      <c r="O101">
        <f>AND(B101&lt;&gt;"",B101&lt;&gt;설정!$B$4,C101&lt;&gt;설정!$B$5)</f>
        <v/>
      </c>
      <c r="P101">
        <f>IF(O101,B101&amp;"|"&amp;C101,"")</f>
        <v/>
      </c>
      <c r="Q101">
        <f>AND(O101,COUNTIF(P102:P$1002,P101)=0)</f>
        <v/>
      </c>
      <c r="R101">
        <f>OR(AND(설정!$A$28&lt;&gt;"",ISNUMBER(SEARCH(설정!$A$28,E101&amp;" "&amp;C101))),AND(설정!$A$29&lt;&gt;"",ISNUMBER(SEARCH(설정!$A$29,E101&amp;" "&amp;C101))),AND(설정!$A$30&lt;&gt;"",ISNUMBER(SEARCH(설정!$A$30,E101&amp;" "&amp;C101))),AND(설정!$A$31&lt;&gt;"",ISNUMBER(SEARCH(설정!$A$31,E101&amp;" "&amp;C101))),AND(설정!$A$32&lt;&gt;"",ISNUMBER(SEARCH(설정!$A$32,E101&amp;" "&amp;C101))),AND(설정!$A$33&lt;&gt;"",ISNUMBER(SEARCH(설정!$A$33,E101&amp;" "&amp;C101))),AND(설정!$A$34&lt;&gt;"",ISNUMBER(SEARCH(설정!$A$34,E101&amp;" "&amp;C101))),AND(설정!$A$35&lt;&gt;"",ISNUMBER(SEARCH(설정!$A$35,E101&amp;" "&amp;C101))),AND(설정!$A$36&lt;&gt;"",ISNUMBER(SEARCH(설정!$A$36,E101&amp;" "&amp;C101))),AND(설정!$A$37&lt;&gt;"",ISNUMBER(SEARCH(설정!$A$37,E101&amp;" "&amp;C101))))</f>
        <v/>
      </c>
      <c r="S101">
        <f>OR(D101="",D101&gt;=설정!$B$19)</f>
        <v/>
      </c>
      <c r="T101">
        <f>AND(Q101,R101,S101)</f>
        <v/>
      </c>
      <c r="U101">
        <f>IF(T101,IF(AND(설정!$A$41&lt;&gt;"",ISNUMBER(SEARCH(설정!$A$41,K101))),설정!$B$41,IF(AND(설정!$A$42&lt;&gt;"",ISNUMBER(SEARCH(설정!$A$42,K101))),설정!$B$42,IF(AND(설정!$A$43&lt;&gt;"",ISNUMBER(SEARCH(설정!$A$43,K101))),설정!$B$43,IF(AND(설정!$A$44&lt;&gt;"",ISNUMBER(SEARCH(설정!$A$44,K101))),설정!$B$44,IF(AND(설정!$A$45&lt;&gt;"",ISNUMBER(SEARCH(설정!$A$45,K101))),설정!$B$45,IF(AND(설정!$A$46&lt;&gt;"",ISNUMBER(SEARCH(설정!$A$46,K101))),설정!$B$46,IF(AND(설정!$A$47&lt;&gt;"",ISNUMBER(SEARCH(설정!$A$47,K101))),설정!$B$47,IF(AND(설정!$A$48&lt;&gt;"",ISNUMBER(SEARCH(설정!$A$48,K101))),설정!$B$48,IF(M101="","설계사","시공사"))))))))),"")</f>
        <v/>
      </c>
      <c r="V101">
        <f>SUBSTITUTE(SUBSTITUTE(SUBSTITUTE(SUBSTITUTE(G101,"(주)",""),"㈜",""),"주식회사","")," ","")</f>
        <v/>
      </c>
      <c r="W101">
        <f>IF(AND(T101,V101&lt;&gt;""),IF(COUNTIFS(V$2:V101,V101,T$2:T101,TRUE)=1,MAX(W$1:W100)+1,""),"")</f>
        <v/>
      </c>
      <c r="X101">
        <f>IFERROR(INDEX('1.산군_붙여넣기'!$A$1:$AZ$1001,ROW(),설정!$C$14)&amp;"","")</f>
        <v/>
      </c>
      <c r="Y101">
        <f>IFERROR(INDEX('1.산군_붙여넣기'!$A$1:$AZ$1001,ROW(),설정!$C$15)&amp;"","")</f>
        <v/>
      </c>
      <c r="Z101">
        <f>IF(T101,V101&amp;"|"&amp;U101,"")</f>
        <v/>
      </c>
    </row>
    <row r="102">
      <c r="A102">
        <f>ROW()</f>
        <v/>
      </c>
      <c r="B102">
        <f>IFERROR(INDEX('1.산군_붙여넣기'!$A$1:$AZ$1001,ROW(),설정!$C$4)&amp;"","")</f>
        <v/>
      </c>
      <c r="C102">
        <f>IFERROR(INDEX('1.산군_붙여넣기'!$A$1:$AZ$1001,ROW(),설정!$C$5)&amp;"","")</f>
        <v/>
      </c>
      <c r="D102" s="5">
        <f>IFERROR(VALUE(SUBSTITUTE(SUBSTITUTE(SUBSTITUTE(IFERROR(INDEX('1.산군_붙여넣기'!$A$1:$AZ$1001,ROW(),설정!$C$6)&amp;"",""),",",""),"㎡",""),"m2","")),"")</f>
        <v/>
      </c>
      <c r="E102">
        <f>IFERROR(INDEX('1.산군_붙여넣기'!$A$1:$AZ$1001,ROW(),설정!$C$7)&amp;"","")</f>
        <v/>
      </c>
      <c r="F102">
        <f>IFERROR(INDEX('1.산군_붙여넣기'!$A$1:$AZ$1001,ROW(),설정!$C$8)&amp;"","")</f>
        <v/>
      </c>
      <c r="G102">
        <f>IFERROR(INDEX('1.산군_붙여넣기'!$A$1:$AZ$1001,ROW(),설정!$C$9)&amp;"","")</f>
        <v/>
      </c>
      <c r="H102">
        <f>IFERROR(INDEX('1.산군_붙여넣기'!$A$1:$AZ$1001,ROW(),설정!$C$10)&amp;"","")</f>
        <v/>
      </c>
      <c r="I102">
        <f>IFERROR(INDEX('1.산군_붙여넣기'!$A$1:$AZ$1001,ROW(),설정!$C$11)&amp;"","")</f>
        <v/>
      </c>
      <c r="J102">
        <f>IFERROR(INDEX('1.산군_붙여넣기'!$A$1:$AZ$1001,ROW(),설정!$C$12)&amp;"","")</f>
        <v/>
      </c>
      <c r="K102">
        <f>IFERROR(INDEX('1.산군_붙여넣기'!$A$1:$AZ$1001,ROW(),설정!$C$13)&amp;"","")</f>
        <v/>
      </c>
      <c r="L102" s="6">
        <f>IF(X102="","",IF(AND(LEN(X102)=8,ISNUMBER(X102*1)),DATE(LEFT(X102,4),MID(X102,5,2),RIGHT(X102,2)),IFERROR(DATEVALUE(SUBSTITUTE(SUBSTITUTE(X102,".","-"),"/","-")),IFERROR(X102*1,""))))</f>
        <v/>
      </c>
      <c r="M102" s="6">
        <f>IF(Y102="","",IF(AND(LEN(Y102)=8,ISNUMBER(Y102*1)),DATE(LEFT(Y102,4),MID(Y102,5,2),RIGHT(Y102,2)),IFERROR(DATEVALUE(SUBSTITUTE(SUBSTITUTE(Y102,".","-"),"/","-")),IFERROR(Y102*1,""))))</f>
        <v/>
      </c>
      <c r="N102">
        <f>IFERROR(LEFT(B102,FIND(" ",B102)-1),B102)</f>
        <v/>
      </c>
      <c r="O102">
        <f>AND(B102&lt;&gt;"",B102&lt;&gt;설정!$B$4,C102&lt;&gt;설정!$B$5)</f>
        <v/>
      </c>
      <c r="P102">
        <f>IF(O102,B102&amp;"|"&amp;C102,"")</f>
        <v/>
      </c>
      <c r="Q102">
        <f>AND(O102,COUNTIF(P103:P$1002,P102)=0)</f>
        <v/>
      </c>
      <c r="R102">
        <f>OR(AND(설정!$A$28&lt;&gt;"",ISNUMBER(SEARCH(설정!$A$28,E102&amp;" "&amp;C102))),AND(설정!$A$29&lt;&gt;"",ISNUMBER(SEARCH(설정!$A$29,E102&amp;" "&amp;C102))),AND(설정!$A$30&lt;&gt;"",ISNUMBER(SEARCH(설정!$A$30,E102&amp;" "&amp;C102))),AND(설정!$A$31&lt;&gt;"",ISNUMBER(SEARCH(설정!$A$31,E102&amp;" "&amp;C102))),AND(설정!$A$32&lt;&gt;"",ISNUMBER(SEARCH(설정!$A$32,E102&amp;" "&amp;C102))),AND(설정!$A$33&lt;&gt;"",ISNUMBER(SEARCH(설정!$A$33,E102&amp;" "&amp;C102))),AND(설정!$A$34&lt;&gt;"",ISNUMBER(SEARCH(설정!$A$34,E102&amp;" "&amp;C102))),AND(설정!$A$35&lt;&gt;"",ISNUMBER(SEARCH(설정!$A$35,E102&amp;" "&amp;C102))),AND(설정!$A$36&lt;&gt;"",ISNUMBER(SEARCH(설정!$A$36,E102&amp;" "&amp;C102))),AND(설정!$A$37&lt;&gt;"",ISNUMBER(SEARCH(설정!$A$37,E102&amp;" "&amp;C102))))</f>
        <v/>
      </c>
      <c r="S102">
        <f>OR(D102="",D102&gt;=설정!$B$19)</f>
        <v/>
      </c>
      <c r="T102">
        <f>AND(Q102,R102,S102)</f>
        <v/>
      </c>
      <c r="U102">
        <f>IF(T102,IF(AND(설정!$A$41&lt;&gt;"",ISNUMBER(SEARCH(설정!$A$41,K102))),설정!$B$41,IF(AND(설정!$A$42&lt;&gt;"",ISNUMBER(SEARCH(설정!$A$42,K102))),설정!$B$42,IF(AND(설정!$A$43&lt;&gt;"",ISNUMBER(SEARCH(설정!$A$43,K102))),설정!$B$43,IF(AND(설정!$A$44&lt;&gt;"",ISNUMBER(SEARCH(설정!$A$44,K102))),설정!$B$44,IF(AND(설정!$A$45&lt;&gt;"",ISNUMBER(SEARCH(설정!$A$45,K102))),설정!$B$45,IF(AND(설정!$A$46&lt;&gt;"",ISNUMBER(SEARCH(설정!$A$46,K102))),설정!$B$46,IF(AND(설정!$A$47&lt;&gt;"",ISNUMBER(SEARCH(설정!$A$47,K102))),설정!$B$47,IF(AND(설정!$A$48&lt;&gt;"",ISNUMBER(SEARCH(설정!$A$48,K102))),설정!$B$48,IF(M102="","설계사","시공사"))))))))),"")</f>
        <v/>
      </c>
      <c r="V102">
        <f>SUBSTITUTE(SUBSTITUTE(SUBSTITUTE(SUBSTITUTE(G102,"(주)",""),"㈜",""),"주식회사","")," ","")</f>
        <v/>
      </c>
      <c r="W102">
        <f>IF(AND(T102,V102&lt;&gt;""),IF(COUNTIFS(V$2:V102,V102,T$2:T102,TRUE)=1,MAX(W$1:W101)+1,""),"")</f>
        <v/>
      </c>
      <c r="X102">
        <f>IFERROR(INDEX('1.산군_붙여넣기'!$A$1:$AZ$1001,ROW(),설정!$C$14)&amp;"","")</f>
        <v/>
      </c>
      <c r="Y102">
        <f>IFERROR(INDEX('1.산군_붙여넣기'!$A$1:$AZ$1001,ROW(),설정!$C$15)&amp;"","")</f>
        <v/>
      </c>
      <c r="Z102">
        <f>IF(T102,V102&amp;"|"&amp;U102,"")</f>
        <v/>
      </c>
    </row>
    <row r="103">
      <c r="A103">
        <f>ROW()</f>
        <v/>
      </c>
      <c r="B103">
        <f>IFERROR(INDEX('1.산군_붙여넣기'!$A$1:$AZ$1001,ROW(),설정!$C$4)&amp;"","")</f>
        <v/>
      </c>
      <c r="C103">
        <f>IFERROR(INDEX('1.산군_붙여넣기'!$A$1:$AZ$1001,ROW(),설정!$C$5)&amp;"","")</f>
        <v/>
      </c>
      <c r="D103" s="5">
        <f>IFERROR(VALUE(SUBSTITUTE(SUBSTITUTE(SUBSTITUTE(IFERROR(INDEX('1.산군_붙여넣기'!$A$1:$AZ$1001,ROW(),설정!$C$6)&amp;"",""),",",""),"㎡",""),"m2","")),"")</f>
        <v/>
      </c>
      <c r="E103">
        <f>IFERROR(INDEX('1.산군_붙여넣기'!$A$1:$AZ$1001,ROW(),설정!$C$7)&amp;"","")</f>
        <v/>
      </c>
      <c r="F103">
        <f>IFERROR(INDEX('1.산군_붙여넣기'!$A$1:$AZ$1001,ROW(),설정!$C$8)&amp;"","")</f>
        <v/>
      </c>
      <c r="G103">
        <f>IFERROR(INDEX('1.산군_붙여넣기'!$A$1:$AZ$1001,ROW(),설정!$C$9)&amp;"","")</f>
        <v/>
      </c>
      <c r="H103">
        <f>IFERROR(INDEX('1.산군_붙여넣기'!$A$1:$AZ$1001,ROW(),설정!$C$10)&amp;"","")</f>
        <v/>
      </c>
      <c r="I103">
        <f>IFERROR(INDEX('1.산군_붙여넣기'!$A$1:$AZ$1001,ROW(),설정!$C$11)&amp;"","")</f>
        <v/>
      </c>
      <c r="J103">
        <f>IFERROR(INDEX('1.산군_붙여넣기'!$A$1:$AZ$1001,ROW(),설정!$C$12)&amp;"","")</f>
        <v/>
      </c>
      <c r="K103">
        <f>IFERROR(INDEX('1.산군_붙여넣기'!$A$1:$AZ$1001,ROW(),설정!$C$13)&amp;"","")</f>
        <v/>
      </c>
      <c r="L103" s="6">
        <f>IF(X103="","",IF(AND(LEN(X103)=8,ISNUMBER(X103*1)),DATE(LEFT(X103,4),MID(X103,5,2),RIGHT(X103,2)),IFERROR(DATEVALUE(SUBSTITUTE(SUBSTITUTE(X103,".","-"),"/","-")),IFERROR(X103*1,""))))</f>
        <v/>
      </c>
      <c r="M103" s="6">
        <f>IF(Y103="","",IF(AND(LEN(Y103)=8,ISNUMBER(Y103*1)),DATE(LEFT(Y103,4),MID(Y103,5,2),RIGHT(Y103,2)),IFERROR(DATEVALUE(SUBSTITUTE(SUBSTITUTE(Y103,".","-"),"/","-")),IFERROR(Y103*1,""))))</f>
        <v/>
      </c>
      <c r="N103">
        <f>IFERROR(LEFT(B103,FIND(" ",B103)-1),B103)</f>
        <v/>
      </c>
      <c r="O103">
        <f>AND(B103&lt;&gt;"",B103&lt;&gt;설정!$B$4,C103&lt;&gt;설정!$B$5)</f>
        <v/>
      </c>
      <c r="P103">
        <f>IF(O103,B103&amp;"|"&amp;C103,"")</f>
        <v/>
      </c>
      <c r="Q103">
        <f>AND(O103,COUNTIF(P104:P$1002,P103)=0)</f>
        <v/>
      </c>
      <c r="R103">
        <f>OR(AND(설정!$A$28&lt;&gt;"",ISNUMBER(SEARCH(설정!$A$28,E103&amp;" "&amp;C103))),AND(설정!$A$29&lt;&gt;"",ISNUMBER(SEARCH(설정!$A$29,E103&amp;" "&amp;C103))),AND(설정!$A$30&lt;&gt;"",ISNUMBER(SEARCH(설정!$A$30,E103&amp;" "&amp;C103))),AND(설정!$A$31&lt;&gt;"",ISNUMBER(SEARCH(설정!$A$31,E103&amp;" "&amp;C103))),AND(설정!$A$32&lt;&gt;"",ISNUMBER(SEARCH(설정!$A$32,E103&amp;" "&amp;C103))),AND(설정!$A$33&lt;&gt;"",ISNUMBER(SEARCH(설정!$A$33,E103&amp;" "&amp;C103))),AND(설정!$A$34&lt;&gt;"",ISNUMBER(SEARCH(설정!$A$34,E103&amp;" "&amp;C103))),AND(설정!$A$35&lt;&gt;"",ISNUMBER(SEARCH(설정!$A$35,E103&amp;" "&amp;C103))),AND(설정!$A$36&lt;&gt;"",ISNUMBER(SEARCH(설정!$A$36,E103&amp;" "&amp;C103))),AND(설정!$A$37&lt;&gt;"",ISNUMBER(SEARCH(설정!$A$37,E103&amp;" "&amp;C103))))</f>
        <v/>
      </c>
      <c r="S103">
        <f>OR(D103="",D103&gt;=설정!$B$19)</f>
        <v/>
      </c>
      <c r="T103">
        <f>AND(Q103,R103,S103)</f>
        <v/>
      </c>
      <c r="U103">
        <f>IF(T103,IF(AND(설정!$A$41&lt;&gt;"",ISNUMBER(SEARCH(설정!$A$41,K103))),설정!$B$41,IF(AND(설정!$A$42&lt;&gt;"",ISNUMBER(SEARCH(설정!$A$42,K103))),설정!$B$42,IF(AND(설정!$A$43&lt;&gt;"",ISNUMBER(SEARCH(설정!$A$43,K103))),설정!$B$43,IF(AND(설정!$A$44&lt;&gt;"",ISNUMBER(SEARCH(설정!$A$44,K103))),설정!$B$44,IF(AND(설정!$A$45&lt;&gt;"",ISNUMBER(SEARCH(설정!$A$45,K103))),설정!$B$45,IF(AND(설정!$A$46&lt;&gt;"",ISNUMBER(SEARCH(설정!$A$46,K103))),설정!$B$46,IF(AND(설정!$A$47&lt;&gt;"",ISNUMBER(SEARCH(설정!$A$47,K103))),설정!$B$47,IF(AND(설정!$A$48&lt;&gt;"",ISNUMBER(SEARCH(설정!$A$48,K103))),설정!$B$48,IF(M103="","설계사","시공사"))))))))),"")</f>
        <v/>
      </c>
      <c r="V103">
        <f>SUBSTITUTE(SUBSTITUTE(SUBSTITUTE(SUBSTITUTE(G103,"(주)",""),"㈜",""),"주식회사","")," ","")</f>
        <v/>
      </c>
      <c r="W103">
        <f>IF(AND(T103,V103&lt;&gt;""),IF(COUNTIFS(V$2:V103,V103,T$2:T103,TRUE)=1,MAX(W$1:W102)+1,""),"")</f>
        <v/>
      </c>
      <c r="X103">
        <f>IFERROR(INDEX('1.산군_붙여넣기'!$A$1:$AZ$1001,ROW(),설정!$C$14)&amp;"","")</f>
        <v/>
      </c>
      <c r="Y103">
        <f>IFERROR(INDEX('1.산군_붙여넣기'!$A$1:$AZ$1001,ROW(),설정!$C$15)&amp;"","")</f>
        <v/>
      </c>
      <c r="Z103">
        <f>IF(T103,V103&amp;"|"&amp;U103,"")</f>
        <v/>
      </c>
    </row>
    <row r="104">
      <c r="A104">
        <f>ROW()</f>
        <v/>
      </c>
      <c r="B104">
        <f>IFERROR(INDEX('1.산군_붙여넣기'!$A$1:$AZ$1001,ROW(),설정!$C$4)&amp;"","")</f>
        <v/>
      </c>
      <c r="C104">
        <f>IFERROR(INDEX('1.산군_붙여넣기'!$A$1:$AZ$1001,ROW(),설정!$C$5)&amp;"","")</f>
        <v/>
      </c>
      <c r="D104" s="5">
        <f>IFERROR(VALUE(SUBSTITUTE(SUBSTITUTE(SUBSTITUTE(IFERROR(INDEX('1.산군_붙여넣기'!$A$1:$AZ$1001,ROW(),설정!$C$6)&amp;"",""),",",""),"㎡",""),"m2","")),"")</f>
        <v/>
      </c>
      <c r="E104">
        <f>IFERROR(INDEX('1.산군_붙여넣기'!$A$1:$AZ$1001,ROW(),설정!$C$7)&amp;"","")</f>
        <v/>
      </c>
      <c r="F104">
        <f>IFERROR(INDEX('1.산군_붙여넣기'!$A$1:$AZ$1001,ROW(),설정!$C$8)&amp;"","")</f>
        <v/>
      </c>
      <c r="G104">
        <f>IFERROR(INDEX('1.산군_붙여넣기'!$A$1:$AZ$1001,ROW(),설정!$C$9)&amp;"","")</f>
        <v/>
      </c>
      <c r="H104">
        <f>IFERROR(INDEX('1.산군_붙여넣기'!$A$1:$AZ$1001,ROW(),설정!$C$10)&amp;"","")</f>
        <v/>
      </c>
      <c r="I104">
        <f>IFERROR(INDEX('1.산군_붙여넣기'!$A$1:$AZ$1001,ROW(),설정!$C$11)&amp;"","")</f>
        <v/>
      </c>
      <c r="J104">
        <f>IFERROR(INDEX('1.산군_붙여넣기'!$A$1:$AZ$1001,ROW(),설정!$C$12)&amp;"","")</f>
        <v/>
      </c>
      <c r="K104">
        <f>IFERROR(INDEX('1.산군_붙여넣기'!$A$1:$AZ$1001,ROW(),설정!$C$13)&amp;"","")</f>
        <v/>
      </c>
      <c r="L104" s="6">
        <f>IF(X104="","",IF(AND(LEN(X104)=8,ISNUMBER(X104*1)),DATE(LEFT(X104,4),MID(X104,5,2),RIGHT(X104,2)),IFERROR(DATEVALUE(SUBSTITUTE(SUBSTITUTE(X104,".","-"),"/","-")),IFERROR(X104*1,""))))</f>
        <v/>
      </c>
      <c r="M104" s="6">
        <f>IF(Y104="","",IF(AND(LEN(Y104)=8,ISNUMBER(Y104*1)),DATE(LEFT(Y104,4),MID(Y104,5,2),RIGHT(Y104,2)),IFERROR(DATEVALUE(SUBSTITUTE(SUBSTITUTE(Y104,".","-"),"/","-")),IFERROR(Y104*1,""))))</f>
        <v/>
      </c>
      <c r="N104">
        <f>IFERROR(LEFT(B104,FIND(" ",B104)-1),B104)</f>
        <v/>
      </c>
      <c r="O104">
        <f>AND(B104&lt;&gt;"",B104&lt;&gt;설정!$B$4,C104&lt;&gt;설정!$B$5)</f>
        <v/>
      </c>
      <c r="P104">
        <f>IF(O104,B104&amp;"|"&amp;C104,"")</f>
        <v/>
      </c>
      <c r="Q104">
        <f>AND(O104,COUNTIF(P105:P$1002,P104)=0)</f>
        <v/>
      </c>
      <c r="R104">
        <f>OR(AND(설정!$A$28&lt;&gt;"",ISNUMBER(SEARCH(설정!$A$28,E104&amp;" "&amp;C104))),AND(설정!$A$29&lt;&gt;"",ISNUMBER(SEARCH(설정!$A$29,E104&amp;" "&amp;C104))),AND(설정!$A$30&lt;&gt;"",ISNUMBER(SEARCH(설정!$A$30,E104&amp;" "&amp;C104))),AND(설정!$A$31&lt;&gt;"",ISNUMBER(SEARCH(설정!$A$31,E104&amp;" "&amp;C104))),AND(설정!$A$32&lt;&gt;"",ISNUMBER(SEARCH(설정!$A$32,E104&amp;" "&amp;C104))),AND(설정!$A$33&lt;&gt;"",ISNUMBER(SEARCH(설정!$A$33,E104&amp;" "&amp;C104))),AND(설정!$A$34&lt;&gt;"",ISNUMBER(SEARCH(설정!$A$34,E104&amp;" "&amp;C104))),AND(설정!$A$35&lt;&gt;"",ISNUMBER(SEARCH(설정!$A$35,E104&amp;" "&amp;C104))),AND(설정!$A$36&lt;&gt;"",ISNUMBER(SEARCH(설정!$A$36,E104&amp;" "&amp;C104))),AND(설정!$A$37&lt;&gt;"",ISNUMBER(SEARCH(설정!$A$37,E104&amp;" "&amp;C104))))</f>
        <v/>
      </c>
      <c r="S104">
        <f>OR(D104="",D104&gt;=설정!$B$19)</f>
        <v/>
      </c>
      <c r="T104">
        <f>AND(Q104,R104,S104)</f>
        <v/>
      </c>
      <c r="U104">
        <f>IF(T104,IF(AND(설정!$A$41&lt;&gt;"",ISNUMBER(SEARCH(설정!$A$41,K104))),설정!$B$41,IF(AND(설정!$A$42&lt;&gt;"",ISNUMBER(SEARCH(설정!$A$42,K104))),설정!$B$42,IF(AND(설정!$A$43&lt;&gt;"",ISNUMBER(SEARCH(설정!$A$43,K104))),설정!$B$43,IF(AND(설정!$A$44&lt;&gt;"",ISNUMBER(SEARCH(설정!$A$44,K104))),설정!$B$44,IF(AND(설정!$A$45&lt;&gt;"",ISNUMBER(SEARCH(설정!$A$45,K104))),설정!$B$45,IF(AND(설정!$A$46&lt;&gt;"",ISNUMBER(SEARCH(설정!$A$46,K104))),설정!$B$46,IF(AND(설정!$A$47&lt;&gt;"",ISNUMBER(SEARCH(설정!$A$47,K104))),설정!$B$47,IF(AND(설정!$A$48&lt;&gt;"",ISNUMBER(SEARCH(설정!$A$48,K104))),설정!$B$48,IF(M104="","설계사","시공사"))))))))),"")</f>
        <v/>
      </c>
      <c r="V104">
        <f>SUBSTITUTE(SUBSTITUTE(SUBSTITUTE(SUBSTITUTE(G104,"(주)",""),"㈜",""),"주식회사","")," ","")</f>
        <v/>
      </c>
      <c r="W104">
        <f>IF(AND(T104,V104&lt;&gt;""),IF(COUNTIFS(V$2:V104,V104,T$2:T104,TRUE)=1,MAX(W$1:W103)+1,""),"")</f>
        <v/>
      </c>
      <c r="X104">
        <f>IFERROR(INDEX('1.산군_붙여넣기'!$A$1:$AZ$1001,ROW(),설정!$C$14)&amp;"","")</f>
        <v/>
      </c>
      <c r="Y104">
        <f>IFERROR(INDEX('1.산군_붙여넣기'!$A$1:$AZ$1001,ROW(),설정!$C$15)&amp;"","")</f>
        <v/>
      </c>
      <c r="Z104">
        <f>IF(T104,V104&amp;"|"&amp;U104,"")</f>
        <v/>
      </c>
    </row>
    <row r="105">
      <c r="A105">
        <f>ROW()</f>
        <v/>
      </c>
      <c r="B105">
        <f>IFERROR(INDEX('1.산군_붙여넣기'!$A$1:$AZ$1001,ROW(),설정!$C$4)&amp;"","")</f>
        <v/>
      </c>
      <c r="C105">
        <f>IFERROR(INDEX('1.산군_붙여넣기'!$A$1:$AZ$1001,ROW(),설정!$C$5)&amp;"","")</f>
        <v/>
      </c>
      <c r="D105" s="5">
        <f>IFERROR(VALUE(SUBSTITUTE(SUBSTITUTE(SUBSTITUTE(IFERROR(INDEX('1.산군_붙여넣기'!$A$1:$AZ$1001,ROW(),설정!$C$6)&amp;"",""),",",""),"㎡",""),"m2","")),"")</f>
        <v/>
      </c>
      <c r="E105">
        <f>IFERROR(INDEX('1.산군_붙여넣기'!$A$1:$AZ$1001,ROW(),설정!$C$7)&amp;"","")</f>
        <v/>
      </c>
      <c r="F105">
        <f>IFERROR(INDEX('1.산군_붙여넣기'!$A$1:$AZ$1001,ROW(),설정!$C$8)&amp;"","")</f>
        <v/>
      </c>
      <c r="G105">
        <f>IFERROR(INDEX('1.산군_붙여넣기'!$A$1:$AZ$1001,ROW(),설정!$C$9)&amp;"","")</f>
        <v/>
      </c>
      <c r="H105">
        <f>IFERROR(INDEX('1.산군_붙여넣기'!$A$1:$AZ$1001,ROW(),설정!$C$10)&amp;"","")</f>
        <v/>
      </c>
      <c r="I105">
        <f>IFERROR(INDEX('1.산군_붙여넣기'!$A$1:$AZ$1001,ROW(),설정!$C$11)&amp;"","")</f>
        <v/>
      </c>
      <c r="J105">
        <f>IFERROR(INDEX('1.산군_붙여넣기'!$A$1:$AZ$1001,ROW(),설정!$C$12)&amp;"","")</f>
        <v/>
      </c>
      <c r="K105">
        <f>IFERROR(INDEX('1.산군_붙여넣기'!$A$1:$AZ$1001,ROW(),설정!$C$13)&amp;"","")</f>
        <v/>
      </c>
      <c r="L105" s="6">
        <f>IF(X105="","",IF(AND(LEN(X105)=8,ISNUMBER(X105*1)),DATE(LEFT(X105,4),MID(X105,5,2),RIGHT(X105,2)),IFERROR(DATEVALUE(SUBSTITUTE(SUBSTITUTE(X105,".","-"),"/","-")),IFERROR(X105*1,""))))</f>
        <v/>
      </c>
      <c r="M105" s="6">
        <f>IF(Y105="","",IF(AND(LEN(Y105)=8,ISNUMBER(Y105*1)),DATE(LEFT(Y105,4),MID(Y105,5,2),RIGHT(Y105,2)),IFERROR(DATEVALUE(SUBSTITUTE(SUBSTITUTE(Y105,".","-"),"/","-")),IFERROR(Y105*1,""))))</f>
        <v/>
      </c>
      <c r="N105">
        <f>IFERROR(LEFT(B105,FIND(" ",B105)-1),B105)</f>
        <v/>
      </c>
      <c r="O105">
        <f>AND(B105&lt;&gt;"",B105&lt;&gt;설정!$B$4,C105&lt;&gt;설정!$B$5)</f>
        <v/>
      </c>
      <c r="P105">
        <f>IF(O105,B105&amp;"|"&amp;C105,"")</f>
        <v/>
      </c>
      <c r="Q105">
        <f>AND(O105,COUNTIF(P106:P$1002,P105)=0)</f>
        <v/>
      </c>
      <c r="R105">
        <f>OR(AND(설정!$A$28&lt;&gt;"",ISNUMBER(SEARCH(설정!$A$28,E105&amp;" "&amp;C105))),AND(설정!$A$29&lt;&gt;"",ISNUMBER(SEARCH(설정!$A$29,E105&amp;" "&amp;C105))),AND(설정!$A$30&lt;&gt;"",ISNUMBER(SEARCH(설정!$A$30,E105&amp;" "&amp;C105))),AND(설정!$A$31&lt;&gt;"",ISNUMBER(SEARCH(설정!$A$31,E105&amp;" "&amp;C105))),AND(설정!$A$32&lt;&gt;"",ISNUMBER(SEARCH(설정!$A$32,E105&amp;" "&amp;C105))),AND(설정!$A$33&lt;&gt;"",ISNUMBER(SEARCH(설정!$A$33,E105&amp;" "&amp;C105))),AND(설정!$A$34&lt;&gt;"",ISNUMBER(SEARCH(설정!$A$34,E105&amp;" "&amp;C105))),AND(설정!$A$35&lt;&gt;"",ISNUMBER(SEARCH(설정!$A$35,E105&amp;" "&amp;C105))),AND(설정!$A$36&lt;&gt;"",ISNUMBER(SEARCH(설정!$A$36,E105&amp;" "&amp;C105))),AND(설정!$A$37&lt;&gt;"",ISNUMBER(SEARCH(설정!$A$37,E105&amp;" "&amp;C105))))</f>
        <v/>
      </c>
      <c r="S105">
        <f>OR(D105="",D105&gt;=설정!$B$19)</f>
        <v/>
      </c>
      <c r="T105">
        <f>AND(Q105,R105,S105)</f>
        <v/>
      </c>
      <c r="U105">
        <f>IF(T105,IF(AND(설정!$A$41&lt;&gt;"",ISNUMBER(SEARCH(설정!$A$41,K105))),설정!$B$41,IF(AND(설정!$A$42&lt;&gt;"",ISNUMBER(SEARCH(설정!$A$42,K105))),설정!$B$42,IF(AND(설정!$A$43&lt;&gt;"",ISNUMBER(SEARCH(설정!$A$43,K105))),설정!$B$43,IF(AND(설정!$A$44&lt;&gt;"",ISNUMBER(SEARCH(설정!$A$44,K105))),설정!$B$44,IF(AND(설정!$A$45&lt;&gt;"",ISNUMBER(SEARCH(설정!$A$45,K105))),설정!$B$45,IF(AND(설정!$A$46&lt;&gt;"",ISNUMBER(SEARCH(설정!$A$46,K105))),설정!$B$46,IF(AND(설정!$A$47&lt;&gt;"",ISNUMBER(SEARCH(설정!$A$47,K105))),설정!$B$47,IF(AND(설정!$A$48&lt;&gt;"",ISNUMBER(SEARCH(설정!$A$48,K105))),설정!$B$48,IF(M105="","설계사","시공사"))))))))),"")</f>
        <v/>
      </c>
      <c r="V105">
        <f>SUBSTITUTE(SUBSTITUTE(SUBSTITUTE(SUBSTITUTE(G105,"(주)",""),"㈜",""),"주식회사","")," ","")</f>
        <v/>
      </c>
      <c r="W105">
        <f>IF(AND(T105,V105&lt;&gt;""),IF(COUNTIFS(V$2:V105,V105,T$2:T105,TRUE)=1,MAX(W$1:W104)+1,""),"")</f>
        <v/>
      </c>
      <c r="X105">
        <f>IFERROR(INDEX('1.산군_붙여넣기'!$A$1:$AZ$1001,ROW(),설정!$C$14)&amp;"","")</f>
        <v/>
      </c>
      <c r="Y105">
        <f>IFERROR(INDEX('1.산군_붙여넣기'!$A$1:$AZ$1001,ROW(),설정!$C$15)&amp;"","")</f>
        <v/>
      </c>
      <c r="Z105">
        <f>IF(T105,V105&amp;"|"&amp;U105,"")</f>
        <v/>
      </c>
    </row>
    <row r="106">
      <c r="A106">
        <f>ROW()</f>
        <v/>
      </c>
      <c r="B106">
        <f>IFERROR(INDEX('1.산군_붙여넣기'!$A$1:$AZ$1001,ROW(),설정!$C$4)&amp;"","")</f>
        <v/>
      </c>
      <c r="C106">
        <f>IFERROR(INDEX('1.산군_붙여넣기'!$A$1:$AZ$1001,ROW(),설정!$C$5)&amp;"","")</f>
        <v/>
      </c>
      <c r="D106" s="5">
        <f>IFERROR(VALUE(SUBSTITUTE(SUBSTITUTE(SUBSTITUTE(IFERROR(INDEX('1.산군_붙여넣기'!$A$1:$AZ$1001,ROW(),설정!$C$6)&amp;"",""),",",""),"㎡",""),"m2","")),"")</f>
        <v/>
      </c>
      <c r="E106">
        <f>IFERROR(INDEX('1.산군_붙여넣기'!$A$1:$AZ$1001,ROW(),설정!$C$7)&amp;"","")</f>
        <v/>
      </c>
      <c r="F106">
        <f>IFERROR(INDEX('1.산군_붙여넣기'!$A$1:$AZ$1001,ROW(),설정!$C$8)&amp;"","")</f>
        <v/>
      </c>
      <c r="G106">
        <f>IFERROR(INDEX('1.산군_붙여넣기'!$A$1:$AZ$1001,ROW(),설정!$C$9)&amp;"","")</f>
        <v/>
      </c>
      <c r="H106">
        <f>IFERROR(INDEX('1.산군_붙여넣기'!$A$1:$AZ$1001,ROW(),설정!$C$10)&amp;"","")</f>
        <v/>
      </c>
      <c r="I106">
        <f>IFERROR(INDEX('1.산군_붙여넣기'!$A$1:$AZ$1001,ROW(),설정!$C$11)&amp;"","")</f>
        <v/>
      </c>
      <c r="J106">
        <f>IFERROR(INDEX('1.산군_붙여넣기'!$A$1:$AZ$1001,ROW(),설정!$C$12)&amp;"","")</f>
        <v/>
      </c>
      <c r="K106">
        <f>IFERROR(INDEX('1.산군_붙여넣기'!$A$1:$AZ$1001,ROW(),설정!$C$13)&amp;"","")</f>
        <v/>
      </c>
      <c r="L106" s="6">
        <f>IF(X106="","",IF(AND(LEN(X106)=8,ISNUMBER(X106*1)),DATE(LEFT(X106,4),MID(X106,5,2),RIGHT(X106,2)),IFERROR(DATEVALUE(SUBSTITUTE(SUBSTITUTE(X106,".","-"),"/","-")),IFERROR(X106*1,""))))</f>
        <v/>
      </c>
      <c r="M106" s="6">
        <f>IF(Y106="","",IF(AND(LEN(Y106)=8,ISNUMBER(Y106*1)),DATE(LEFT(Y106,4),MID(Y106,5,2),RIGHT(Y106,2)),IFERROR(DATEVALUE(SUBSTITUTE(SUBSTITUTE(Y106,".","-"),"/","-")),IFERROR(Y106*1,""))))</f>
        <v/>
      </c>
      <c r="N106">
        <f>IFERROR(LEFT(B106,FIND(" ",B106)-1),B106)</f>
        <v/>
      </c>
      <c r="O106">
        <f>AND(B106&lt;&gt;"",B106&lt;&gt;설정!$B$4,C106&lt;&gt;설정!$B$5)</f>
        <v/>
      </c>
      <c r="P106">
        <f>IF(O106,B106&amp;"|"&amp;C106,"")</f>
        <v/>
      </c>
      <c r="Q106">
        <f>AND(O106,COUNTIF(P107:P$1002,P106)=0)</f>
        <v/>
      </c>
      <c r="R106">
        <f>OR(AND(설정!$A$28&lt;&gt;"",ISNUMBER(SEARCH(설정!$A$28,E106&amp;" "&amp;C106))),AND(설정!$A$29&lt;&gt;"",ISNUMBER(SEARCH(설정!$A$29,E106&amp;" "&amp;C106))),AND(설정!$A$30&lt;&gt;"",ISNUMBER(SEARCH(설정!$A$30,E106&amp;" "&amp;C106))),AND(설정!$A$31&lt;&gt;"",ISNUMBER(SEARCH(설정!$A$31,E106&amp;" "&amp;C106))),AND(설정!$A$32&lt;&gt;"",ISNUMBER(SEARCH(설정!$A$32,E106&amp;" "&amp;C106))),AND(설정!$A$33&lt;&gt;"",ISNUMBER(SEARCH(설정!$A$33,E106&amp;" "&amp;C106))),AND(설정!$A$34&lt;&gt;"",ISNUMBER(SEARCH(설정!$A$34,E106&amp;" "&amp;C106))),AND(설정!$A$35&lt;&gt;"",ISNUMBER(SEARCH(설정!$A$35,E106&amp;" "&amp;C106))),AND(설정!$A$36&lt;&gt;"",ISNUMBER(SEARCH(설정!$A$36,E106&amp;" "&amp;C106))),AND(설정!$A$37&lt;&gt;"",ISNUMBER(SEARCH(설정!$A$37,E106&amp;" "&amp;C106))))</f>
        <v/>
      </c>
      <c r="S106">
        <f>OR(D106="",D106&gt;=설정!$B$19)</f>
        <v/>
      </c>
      <c r="T106">
        <f>AND(Q106,R106,S106)</f>
        <v/>
      </c>
      <c r="U106">
        <f>IF(T106,IF(AND(설정!$A$41&lt;&gt;"",ISNUMBER(SEARCH(설정!$A$41,K106))),설정!$B$41,IF(AND(설정!$A$42&lt;&gt;"",ISNUMBER(SEARCH(설정!$A$42,K106))),설정!$B$42,IF(AND(설정!$A$43&lt;&gt;"",ISNUMBER(SEARCH(설정!$A$43,K106))),설정!$B$43,IF(AND(설정!$A$44&lt;&gt;"",ISNUMBER(SEARCH(설정!$A$44,K106))),설정!$B$44,IF(AND(설정!$A$45&lt;&gt;"",ISNUMBER(SEARCH(설정!$A$45,K106))),설정!$B$45,IF(AND(설정!$A$46&lt;&gt;"",ISNUMBER(SEARCH(설정!$A$46,K106))),설정!$B$46,IF(AND(설정!$A$47&lt;&gt;"",ISNUMBER(SEARCH(설정!$A$47,K106))),설정!$B$47,IF(AND(설정!$A$48&lt;&gt;"",ISNUMBER(SEARCH(설정!$A$48,K106))),설정!$B$48,IF(M106="","설계사","시공사"))))))))),"")</f>
        <v/>
      </c>
      <c r="V106">
        <f>SUBSTITUTE(SUBSTITUTE(SUBSTITUTE(SUBSTITUTE(G106,"(주)",""),"㈜",""),"주식회사","")," ","")</f>
        <v/>
      </c>
      <c r="W106">
        <f>IF(AND(T106,V106&lt;&gt;""),IF(COUNTIFS(V$2:V106,V106,T$2:T106,TRUE)=1,MAX(W$1:W105)+1,""),"")</f>
        <v/>
      </c>
      <c r="X106">
        <f>IFERROR(INDEX('1.산군_붙여넣기'!$A$1:$AZ$1001,ROW(),설정!$C$14)&amp;"","")</f>
        <v/>
      </c>
      <c r="Y106">
        <f>IFERROR(INDEX('1.산군_붙여넣기'!$A$1:$AZ$1001,ROW(),설정!$C$15)&amp;"","")</f>
        <v/>
      </c>
      <c r="Z106">
        <f>IF(T106,V106&amp;"|"&amp;U106,"")</f>
        <v/>
      </c>
    </row>
    <row r="107">
      <c r="A107">
        <f>ROW()</f>
        <v/>
      </c>
      <c r="B107">
        <f>IFERROR(INDEX('1.산군_붙여넣기'!$A$1:$AZ$1001,ROW(),설정!$C$4)&amp;"","")</f>
        <v/>
      </c>
      <c r="C107">
        <f>IFERROR(INDEX('1.산군_붙여넣기'!$A$1:$AZ$1001,ROW(),설정!$C$5)&amp;"","")</f>
        <v/>
      </c>
      <c r="D107" s="5">
        <f>IFERROR(VALUE(SUBSTITUTE(SUBSTITUTE(SUBSTITUTE(IFERROR(INDEX('1.산군_붙여넣기'!$A$1:$AZ$1001,ROW(),설정!$C$6)&amp;"",""),",",""),"㎡",""),"m2","")),"")</f>
        <v/>
      </c>
      <c r="E107">
        <f>IFERROR(INDEX('1.산군_붙여넣기'!$A$1:$AZ$1001,ROW(),설정!$C$7)&amp;"","")</f>
        <v/>
      </c>
      <c r="F107">
        <f>IFERROR(INDEX('1.산군_붙여넣기'!$A$1:$AZ$1001,ROW(),설정!$C$8)&amp;"","")</f>
        <v/>
      </c>
      <c r="G107">
        <f>IFERROR(INDEX('1.산군_붙여넣기'!$A$1:$AZ$1001,ROW(),설정!$C$9)&amp;"","")</f>
        <v/>
      </c>
      <c r="H107">
        <f>IFERROR(INDEX('1.산군_붙여넣기'!$A$1:$AZ$1001,ROW(),설정!$C$10)&amp;"","")</f>
        <v/>
      </c>
      <c r="I107">
        <f>IFERROR(INDEX('1.산군_붙여넣기'!$A$1:$AZ$1001,ROW(),설정!$C$11)&amp;"","")</f>
        <v/>
      </c>
      <c r="J107">
        <f>IFERROR(INDEX('1.산군_붙여넣기'!$A$1:$AZ$1001,ROW(),설정!$C$12)&amp;"","")</f>
        <v/>
      </c>
      <c r="K107">
        <f>IFERROR(INDEX('1.산군_붙여넣기'!$A$1:$AZ$1001,ROW(),설정!$C$13)&amp;"","")</f>
        <v/>
      </c>
      <c r="L107" s="6">
        <f>IF(X107="","",IF(AND(LEN(X107)=8,ISNUMBER(X107*1)),DATE(LEFT(X107,4),MID(X107,5,2),RIGHT(X107,2)),IFERROR(DATEVALUE(SUBSTITUTE(SUBSTITUTE(X107,".","-"),"/","-")),IFERROR(X107*1,""))))</f>
        <v/>
      </c>
      <c r="M107" s="6">
        <f>IF(Y107="","",IF(AND(LEN(Y107)=8,ISNUMBER(Y107*1)),DATE(LEFT(Y107,4),MID(Y107,5,2),RIGHT(Y107,2)),IFERROR(DATEVALUE(SUBSTITUTE(SUBSTITUTE(Y107,".","-"),"/","-")),IFERROR(Y107*1,""))))</f>
        <v/>
      </c>
      <c r="N107">
        <f>IFERROR(LEFT(B107,FIND(" ",B107)-1),B107)</f>
        <v/>
      </c>
      <c r="O107">
        <f>AND(B107&lt;&gt;"",B107&lt;&gt;설정!$B$4,C107&lt;&gt;설정!$B$5)</f>
        <v/>
      </c>
      <c r="P107">
        <f>IF(O107,B107&amp;"|"&amp;C107,"")</f>
        <v/>
      </c>
      <c r="Q107">
        <f>AND(O107,COUNTIF(P108:P$1002,P107)=0)</f>
        <v/>
      </c>
      <c r="R107">
        <f>OR(AND(설정!$A$28&lt;&gt;"",ISNUMBER(SEARCH(설정!$A$28,E107&amp;" "&amp;C107))),AND(설정!$A$29&lt;&gt;"",ISNUMBER(SEARCH(설정!$A$29,E107&amp;" "&amp;C107))),AND(설정!$A$30&lt;&gt;"",ISNUMBER(SEARCH(설정!$A$30,E107&amp;" "&amp;C107))),AND(설정!$A$31&lt;&gt;"",ISNUMBER(SEARCH(설정!$A$31,E107&amp;" "&amp;C107))),AND(설정!$A$32&lt;&gt;"",ISNUMBER(SEARCH(설정!$A$32,E107&amp;" "&amp;C107))),AND(설정!$A$33&lt;&gt;"",ISNUMBER(SEARCH(설정!$A$33,E107&amp;" "&amp;C107))),AND(설정!$A$34&lt;&gt;"",ISNUMBER(SEARCH(설정!$A$34,E107&amp;" "&amp;C107))),AND(설정!$A$35&lt;&gt;"",ISNUMBER(SEARCH(설정!$A$35,E107&amp;" "&amp;C107))),AND(설정!$A$36&lt;&gt;"",ISNUMBER(SEARCH(설정!$A$36,E107&amp;" "&amp;C107))),AND(설정!$A$37&lt;&gt;"",ISNUMBER(SEARCH(설정!$A$37,E107&amp;" "&amp;C107))))</f>
        <v/>
      </c>
      <c r="S107">
        <f>OR(D107="",D107&gt;=설정!$B$19)</f>
        <v/>
      </c>
      <c r="T107">
        <f>AND(Q107,R107,S107)</f>
        <v/>
      </c>
      <c r="U107">
        <f>IF(T107,IF(AND(설정!$A$41&lt;&gt;"",ISNUMBER(SEARCH(설정!$A$41,K107))),설정!$B$41,IF(AND(설정!$A$42&lt;&gt;"",ISNUMBER(SEARCH(설정!$A$42,K107))),설정!$B$42,IF(AND(설정!$A$43&lt;&gt;"",ISNUMBER(SEARCH(설정!$A$43,K107))),설정!$B$43,IF(AND(설정!$A$44&lt;&gt;"",ISNUMBER(SEARCH(설정!$A$44,K107))),설정!$B$44,IF(AND(설정!$A$45&lt;&gt;"",ISNUMBER(SEARCH(설정!$A$45,K107))),설정!$B$45,IF(AND(설정!$A$46&lt;&gt;"",ISNUMBER(SEARCH(설정!$A$46,K107))),설정!$B$46,IF(AND(설정!$A$47&lt;&gt;"",ISNUMBER(SEARCH(설정!$A$47,K107))),설정!$B$47,IF(AND(설정!$A$48&lt;&gt;"",ISNUMBER(SEARCH(설정!$A$48,K107))),설정!$B$48,IF(M107="","설계사","시공사"))))))))),"")</f>
        <v/>
      </c>
      <c r="V107">
        <f>SUBSTITUTE(SUBSTITUTE(SUBSTITUTE(SUBSTITUTE(G107,"(주)",""),"㈜",""),"주식회사","")," ","")</f>
        <v/>
      </c>
      <c r="W107">
        <f>IF(AND(T107,V107&lt;&gt;""),IF(COUNTIFS(V$2:V107,V107,T$2:T107,TRUE)=1,MAX(W$1:W106)+1,""),"")</f>
        <v/>
      </c>
      <c r="X107">
        <f>IFERROR(INDEX('1.산군_붙여넣기'!$A$1:$AZ$1001,ROW(),설정!$C$14)&amp;"","")</f>
        <v/>
      </c>
      <c r="Y107">
        <f>IFERROR(INDEX('1.산군_붙여넣기'!$A$1:$AZ$1001,ROW(),설정!$C$15)&amp;"","")</f>
        <v/>
      </c>
      <c r="Z107">
        <f>IF(T107,V107&amp;"|"&amp;U107,"")</f>
        <v/>
      </c>
    </row>
    <row r="108">
      <c r="A108">
        <f>ROW()</f>
        <v/>
      </c>
      <c r="B108">
        <f>IFERROR(INDEX('1.산군_붙여넣기'!$A$1:$AZ$1001,ROW(),설정!$C$4)&amp;"","")</f>
        <v/>
      </c>
      <c r="C108">
        <f>IFERROR(INDEX('1.산군_붙여넣기'!$A$1:$AZ$1001,ROW(),설정!$C$5)&amp;"","")</f>
        <v/>
      </c>
      <c r="D108" s="5">
        <f>IFERROR(VALUE(SUBSTITUTE(SUBSTITUTE(SUBSTITUTE(IFERROR(INDEX('1.산군_붙여넣기'!$A$1:$AZ$1001,ROW(),설정!$C$6)&amp;"",""),",",""),"㎡",""),"m2","")),"")</f>
        <v/>
      </c>
      <c r="E108">
        <f>IFERROR(INDEX('1.산군_붙여넣기'!$A$1:$AZ$1001,ROW(),설정!$C$7)&amp;"","")</f>
        <v/>
      </c>
      <c r="F108">
        <f>IFERROR(INDEX('1.산군_붙여넣기'!$A$1:$AZ$1001,ROW(),설정!$C$8)&amp;"","")</f>
        <v/>
      </c>
      <c r="G108">
        <f>IFERROR(INDEX('1.산군_붙여넣기'!$A$1:$AZ$1001,ROW(),설정!$C$9)&amp;"","")</f>
        <v/>
      </c>
      <c r="H108">
        <f>IFERROR(INDEX('1.산군_붙여넣기'!$A$1:$AZ$1001,ROW(),설정!$C$10)&amp;"","")</f>
        <v/>
      </c>
      <c r="I108">
        <f>IFERROR(INDEX('1.산군_붙여넣기'!$A$1:$AZ$1001,ROW(),설정!$C$11)&amp;"","")</f>
        <v/>
      </c>
      <c r="J108">
        <f>IFERROR(INDEX('1.산군_붙여넣기'!$A$1:$AZ$1001,ROW(),설정!$C$12)&amp;"","")</f>
        <v/>
      </c>
      <c r="K108">
        <f>IFERROR(INDEX('1.산군_붙여넣기'!$A$1:$AZ$1001,ROW(),설정!$C$13)&amp;"","")</f>
        <v/>
      </c>
      <c r="L108" s="6">
        <f>IF(X108="","",IF(AND(LEN(X108)=8,ISNUMBER(X108*1)),DATE(LEFT(X108,4),MID(X108,5,2),RIGHT(X108,2)),IFERROR(DATEVALUE(SUBSTITUTE(SUBSTITUTE(X108,".","-"),"/","-")),IFERROR(X108*1,""))))</f>
        <v/>
      </c>
      <c r="M108" s="6">
        <f>IF(Y108="","",IF(AND(LEN(Y108)=8,ISNUMBER(Y108*1)),DATE(LEFT(Y108,4),MID(Y108,5,2),RIGHT(Y108,2)),IFERROR(DATEVALUE(SUBSTITUTE(SUBSTITUTE(Y108,".","-"),"/","-")),IFERROR(Y108*1,""))))</f>
        <v/>
      </c>
      <c r="N108">
        <f>IFERROR(LEFT(B108,FIND(" ",B108)-1),B108)</f>
        <v/>
      </c>
      <c r="O108">
        <f>AND(B108&lt;&gt;"",B108&lt;&gt;설정!$B$4,C108&lt;&gt;설정!$B$5)</f>
        <v/>
      </c>
      <c r="P108">
        <f>IF(O108,B108&amp;"|"&amp;C108,"")</f>
        <v/>
      </c>
      <c r="Q108">
        <f>AND(O108,COUNTIF(P109:P$1002,P108)=0)</f>
        <v/>
      </c>
      <c r="R108">
        <f>OR(AND(설정!$A$28&lt;&gt;"",ISNUMBER(SEARCH(설정!$A$28,E108&amp;" "&amp;C108))),AND(설정!$A$29&lt;&gt;"",ISNUMBER(SEARCH(설정!$A$29,E108&amp;" "&amp;C108))),AND(설정!$A$30&lt;&gt;"",ISNUMBER(SEARCH(설정!$A$30,E108&amp;" "&amp;C108))),AND(설정!$A$31&lt;&gt;"",ISNUMBER(SEARCH(설정!$A$31,E108&amp;" "&amp;C108))),AND(설정!$A$32&lt;&gt;"",ISNUMBER(SEARCH(설정!$A$32,E108&amp;" "&amp;C108))),AND(설정!$A$33&lt;&gt;"",ISNUMBER(SEARCH(설정!$A$33,E108&amp;" "&amp;C108))),AND(설정!$A$34&lt;&gt;"",ISNUMBER(SEARCH(설정!$A$34,E108&amp;" "&amp;C108))),AND(설정!$A$35&lt;&gt;"",ISNUMBER(SEARCH(설정!$A$35,E108&amp;" "&amp;C108))),AND(설정!$A$36&lt;&gt;"",ISNUMBER(SEARCH(설정!$A$36,E108&amp;" "&amp;C108))),AND(설정!$A$37&lt;&gt;"",ISNUMBER(SEARCH(설정!$A$37,E108&amp;" "&amp;C108))))</f>
        <v/>
      </c>
      <c r="S108">
        <f>OR(D108="",D108&gt;=설정!$B$19)</f>
        <v/>
      </c>
      <c r="T108">
        <f>AND(Q108,R108,S108)</f>
        <v/>
      </c>
      <c r="U108">
        <f>IF(T108,IF(AND(설정!$A$41&lt;&gt;"",ISNUMBER(SEARCH(설정!$A$41,K108))),설정!$B$41,IF(AND(설정!$A$42&lt;&gt;"",ISNUMBER(SEARCH(설정!$A$42,K108))),설정!$B$42,IF(AND(설정!$A$43&lt;&gt;"",ISNUMBER(SEARCH(설정!$A$43,K108))),설정!$B$43,IF(AND(설정!$A$44&lt;&gt;"",ISNUMBER(SEARCH(설정!$A$44,K108))),설정!$B$44,IF(AND(설정!$A$45&lt;&gt;"",ISNUMBER(SEARCH(설정!$A$45,K108))),설정!$B$45,IF(AND(설정!$A$46&lt;&gt;"",ISNUMBER(SEARCH(설정!$A$46,K108))),설정!$B$46,IF(AND(설정!$A$47&lt;&gt;"",ISNUMBER(SEARCH(설정!$A$47,K108))),설정!$B$47,IF(AND(설정!$A$48&lt;&gt;"",ISNUMBER(SEARCH(설정!$A$48,K108))),설정!$B$48,IF(M108="","설계사","시공사"))))))))),"")</f>
        <v/>
      </c>
      <c r="V108">
        <f>SUBSTITUTE(SUBSTITUTE(SUBSTITUTE(SUBSTITUTE(G108,"(주)",""),"㈜",""),"주식회사","")," ","")</f>
        <v/>
      </c>
      <c r="W108">
        <f>IF(AND(T108,V108&lt;&gt;""),IF(COUNTIFS(V$2:V108,V108,T$2:T108,TRUE)=1,MAX(W$1:W107)+1,""),"")</f>
        <v/>
      </c>
      <c r="X108">
        <f>IFERROR(INDEX('1.산군_붙여넣기'!$A$1:$AZ$1001,ROW(),설정!$C$14)&amp;"","")</f>
        <v/>
      </c>
      <c r="Y108">
        <f>IFERROR(INDEX('1.산군_붙여넣기'!$A$1:$AZ$1001,ROW(),설정!$C$15)&amp;"","")</f>
        <v/>
      </c>
      <c r="Z108">
        <f>IF(T108,V108&amp;"|"&amp;U108,"")</f>
        <v/>
      </c>
    </row>
    <row r="109">
      <c r="A109">
        <f>ROW()</f>
        <v/>
      </c>
      <c r="B109">
        <f>IFERROR(INDEX('1.산군_붙여넣기'!$A$1:$AZ$1001,ROW(),설정!$C$4)&amp;"","")</f>
        <v/>
      </c>
      <c r="C109">
        <f>IFERROR(INDEX('1.산군_붙여넣기'!$A$1:$AZ$1001,ROW(),설정!$C$5)&amp;"","")</f>
        <v/>
      </c>
      <c r="D109" s="5">
        <f>IFERROR(VALUE(SUBSTITUTE(SUBSTITUTE(SUBSTITUTE(IFERROR(INDEX('1.산군_붙여넣기'!$A$1:$AZ$1001,ROW(),설정!$C$6)&amp;"",""),",",""),"㎡",""),"m2","")),"")</f>
        <v/>
      </c>
      <c r="E109">
        <f>IFERROR(INDEX('1.산군_붙여넣기'!$A$1:$AZ$1001,ROW(),설정!$C$7)&amp;"","")</f>
        <v/>
      </c>
      <c r="F109">
        <f>IFERROR(INDEX('1.산군_붙여넣기'!$A$1:$AZ$1001,ROW(),설정!$C$8)&amp;"","")</f>
        <v/>
      </c>
      <c r="G109">
        <f>IFERROR(INDEX('1.산군_붙여넣기'!$A$1:$AZ$1001,ROW(),설정!$C$9)&amp;"","")</f>
        <v/>
      </c>
      <c r="H109">
        <f>IFERROR(INDEX('1.산군_붙여넣기'!$A$1:$AZ$1001,ROW(),설정!$C$10)&amp;"","")</f>
        <v/>
      </c>
      <c r="I109">
        <f>IFERROR(INDEX('1.산군_붙여넣기'!$A$1:$AZ$1001,ROW(),설정!$C$11)&amp;"","")</f>
        <v/>
      </c>
      <c r="J109">
        <f>IFERROR(INDEX('1.산군_붙여넣기'!$A$1:$AZ$1001,ROW(),설정!$C$12)&amp;"","")</f>
        <v/>
      </c>
      <c r="K109">
        <f>IFERROR(INDEX('1.산군_붙여넣기'!$A$1:$AZ$1001,ROW(),설정!$C$13)&amp;"","")</f>
        <v/>
      </c>
      <c r="L109" s="6">
        <f>IF(X109="","",IF(AND(LEN(X109)=8,ISNUMBER(X109*1)),DATE(LEFT(X109,4),MID(X109,5,2),RIGHT(X109,2)),IFERROR(DATEVALUE(SUBSTITUTE(SUBSTITUTE(X109,".","-"),"/","-")),IFERROR(X109*1,""))))</f>
        <v/>
      </c>
      <c r="M109" s="6">
        <f>IF(Y109="","",IF(AND(LEN(Y109)=8,ISNUMBER(Y109*1)),DATE(LEFT(Y109,4),MID(Y109,5,2),RIGHT(Y109,2)),IFERROR(DATEVALUE(SUBSTITUTE(SUBSTITUTE(Y109,".","-"),"/","-")),IFERROR(Y109*1,""))))</f>
        <v/>
      </c>
      <c r="N109">
        <f>IFERROR(LEFT(B109,FIND(" ",B109)-1),B109)</f>
        <v/>
      </c>
      <c r="O109">
        <f>AND(B109&lt;&gt;"",B109&lt;&gt;설정!$B$4,C109&lt;&gt;설정!$B$5)</f>
        <v/>
      </c>
      <c r="P109">
        <f>IF(O109,B109&amp;"|"&amp;C109,"")</f>
        <v/>
      </c>
      <c r="Q109">
        <f>AND(O109,COUNTIF(P110:P$1002,P109)=0)</f>
        <v/>
      </c>
      <c r="R109">
        <f>OR(AND(설정!$A$28&lt;&gt;"",ISNUMBER(SEARCH(설정!$A$28,E109&amp;" "&amp;C109))),AND(설정!$A$29&lt;&gt;"",ISNUMBER(SEARCH(설정!$A$29,E109&amp;" "&amp;C109))),AND(설정!$A$30&lt;&gt;"",ISNUMBER(SEARCH(설정!$A$30,E109&amp;" "&amp;C109))),AND(설정!$A$31&lt;&gt;"",ISNUMBER(SEARCH(설정!$A$31,E109&amp;" "&amp;C109))),AND(설정!$A$32&lt;&gt;"",ISNUMBER(SEARCH(설정!$A$32,E109&amp;" "&amp;C109))),AND(설정!$A$33&lt;&gt;"",ISNUMBER(SEARCH(설정!$A$33,E109&amp;" "&amp;C109))),AND(설정!$A$34&lt;&gt;"",ISNUMBER(SEARCH(설정!$A$34,E109&amp;" "&amp;C109))),AND(설정!$A$35&lt;&gt;"",ISNUMBER(SEARCH(설정!$A$35,E109&amp;" "&amp;C109))),AND(설정!$A$36&lt;&gt;"",ISNUMBER(SEARCH(설정!$A$36,E109&amp;" "&amp;C109))),AND(설정!$A$37&lt;&gt;"",ISNUMBER(SEARCH(설정!$A$37,E109&amp;" "&amp;C109))))</f>
        <v/>
      </c>
      <c r="S109">
        <f>OR(D109="",D109&gt;=설정!$B$19)</f>
        <v/>
      </c>
      <c r="T109">
        <f>AND(Q109,R109,S109)</f>
        <v/>
      </c>
      <c r="U109">
        <f>IF(T109,IF(AND(설정!$A$41&lt;&gt;"",ISNUMBER(SEARCH(설정!$A$41,K109))),설정!$B$41,IF(AND(설정!$A$42&lt;&gt;"",ISNUMBER(SEARCH(설정!$A$42,K109))),설정!$B$42,IF(AND(설정!$A$43&lt;&gt;"",ISNUMBER(SEARCH(설정!$A$43,K109))),설정!$B$43,IF(AND(설정!$A$44&lt;&gt;"",ISNUMBER(SEARCH(설정!$A$44,K109))),설정!$B$44,IF(AND(설정!$A$45&lt;&gt;"",ISNUMBER(SEARCH(설정!$A$45,K109))),설정!$B$45,IF(AND(설정!$A$46&lt;&gt;"",ISNUMBER(SEARCH(설정!$A$46,K109))),설정!$B$46,IF(AND(설정!$A$47&lt;&gt;"",ISNUMBER(SEARCH(설정!$A$47,K109))),설정!$B$47,IF(AND(설정!$A$48&lt;&gt;"",ISNUMBER(SEARCH(설정!$A$48,K109))),설정!$B$48,IF(M109="","설계사","시공사"))))))))),"")</f>
        <v/>
      </c>
      <c r="V109">
        <f>SUBSTITUTE(SUBSTITUTE(SUBSTITUTE(SUBSTITUTE(G109,"(주)",""),"㈜",""),"주식회사","")," ","")</f>
        <v/>
      </c>
      <c r="W109">
        <f>IF(AND(T109,V109&lt;&gt;""),IF(COUNTIFS(V$2:V109,V109,T$2:T109,TRUE)=1,MAX(W$1:W108)+1,""),"")</f>
        <v/>
      </c>
      <c r="X109">
        <f>IFERROR(INDEX('1.산군_붙여넣기'!$A$1:$AZ$1001,ROW(),설정!$C$14)&amp;"","")</f>
        <v/>
      </c>
      <c r="Y109">
        <f>IFERROR(INDEX('1.산군_붙여넣기'!$A$1:$AZ$1001,ROW(),설정!$C$15)&amp;"","")</f>
        <v/>
      </c>
      <c r="Z109">
        <f>IF(T109,V109&amp;"|"&amp;U109,"")</f>
        <v/>
      </c>
    </row>
    <row r="110">
      <c r="A110">
        <f>ROW()</f>
        <v/>
      </c>
      <c r="B110">
        <f>IFERROR(INDEX('1.산군_붙여넣기'!$A$1:$AZ$1001,ROW(),설정!$C$4)&amp;"","")</f>
        <v/>
      </c>
      <c r="C110">
        <f>IFERROR(INDEX('1.산군_붙여넣기'!$A$1:$AZ$1001,ROW(),설정!$C$5)&amp;"","")</f>
        <v/>
      </c>
      <c r="D110" s="5">
        <f>IFERROR(VALUE(SUBSTITUTE(SUBSTITUTE(SUBSTITUTE(IFERROR(INDEX('1.산군_붙여넣기'!$A$1:$AZ$1001,ROW(),설정!$C$6)&amp;"",""),",",""),"㎡",""),"m2","")),"")</f>
        <v/>
      </c>
      <c r="E110">
        <f>IFERROR(INDEX('1.산군_붙여넣기'!$A$1:$AZ$1001,ROW(),설정!$C$7)&amp;"","")</f>
        <v/>
      </c>
      <c r="F110">
        <f>IFERROR(INDEX('1.산군_붙여넣기'!$A$1:$AZ$1001,ROW(),설정!$C$8)&amp;"","")</f>
        <v/>
      </c>
      <c r="G110">
        <f>IFERROR(INDEX('1.산군_붙여넣기'!$A$1:$AZ$1001,ROW(),설정!$C$9)&amp;"","")</f>
        <v/>
      </c>
      <c r="H110">
        <f>IFERROR(INDEX('1.산군_붙여넣기'!$A$1:$AZ$1001,ROW(),설정!$C$10)&amp;"","")</f>
        <v/>
      </c>
      <c r="I110">
        <f>IFERROR(INDEX('1.산군_붙여넣기'!$A$1:$AZ$1001,ROW(),설정!$C$11)&amp;"","")</f>
        <v/>
      </c>
      <c r="J110">
        <f>IFERROR(INDEX('1.산군_붙여넣기'!$A$1:$AZ$1001,ROW(),설정!$C$12)&amp;"","")</f>
        <v/>
      </c>
      <c r="K110">
        <f>IFERROR(INDEX('1.산군_붙여넣기'!$A$1:$AZ$1001,ROW(),설정!$C$13)&amp;"","")</f>
        <v/>
      </c>
      <c r="L110" s="6">
        <f>IF(X110="","",IF(AND(LEN(X110)=8,ISNUMBER(X110*1)),DATE(LEFT(X110,4),MID(X110,5,2),RIGHT(X110,2)),IFERROR(DATEVALUE(SUBSTITUTE(SUBSTITUTE(X110,".","-"),"/","-")),IFERROR(X110*1,""))))</f>
        <v/>
      </c>
      <c r="M110" s="6">
        <f>IF(Y110="","",IF(AND(LEN(Y110)=8,ISNUMBER(Y110*1)),DATE(LEFT(Y110,4),MID(Y110,5,2),RIGHT(Y110,2)),IFERROR(DATEVALUE(SUBSTITUTE(SUBSTITUTE(Y110,".","-"),"/","-")),IFERROR(Y110*1,""))))</f>
        <v/>
      </c>
      <c r="N110">
        <f>IFERROR(LEFT(B110,FIND(" ",B110)-1),B110)</f>
        <v/>
      </c>
      <c r="O110">
        <f>AND(B110&lt;&gt;"",B110&lt;&gt;설정!$B$4,C110&lt;&gt;설정!$B$5)</f>
        <v/>
      </c>
      <c r="P110">
        <f>IF(O110,B110&amp;"|"&amp;C110,"")</f>
        <v/>
      </c>
      <c r="Q110">
        <f>AND(O110,COUNTIF(P111:P$1002,P110)=0)</f>
        <v/>
      </c>
      <c r="R110">
        <f>OR(AND(설정!$A$28&lt;&gt;"",ISNUMBER(SEARCH(설정!$A$28,E110&amp;" "&amp;C110))),AND(설정!$A$29&lt;&gt;"",ISNUMBER(SEARCH(설정!$A$29,E110&amp;" "&amp;C110))),AND(설정!$A$30&lt;&gt;"",ISNUMBER(SEARCH(설정!$A$30,E110&amp;" "&amp;C110))),AND(설정!$A$31&lt;&gt;"",ISNUMBER(SEARCH(설정!$A$31,E110&amp;" "&amp;C110))),AND(설정!$A$32&lt;&gt;"",ISNUMBER(SEARCH(설정!$A$32,E110&amp;" "&amp;C110))),AND(설정!$A$33&lt;&gt;"",ISNUMBER(SEARCH(설정!$A$33,E110&amp;" "&amp;C110))),AND(설정!$A$34&lt;&gt;"",ISNUMBER(SEARCH(설정!$A$34,E110&amp;" "&amp;C110))),AND(설정!$A$35&lt;&gt;"",ISNUMBER(SEARCH(설정!$A$35,E110&amp;" "&amp;C110))),AND(설정!$A$36&lt;&gt;"",ISNUMBER(SEARCH(설정!$A$36,E110&amp;" "&amp;C110))),AND(설정!$A$37&lt;&gt;"",ISNUMBER(SEARCH(설정!$A$37,E110&amp;" "&amp;C110))))</f>
        <v/>
      </c>
      <c r="S110">
        <f>OR(D110="",D110&gt;=설정!$B$19)</f>
        <v/>
      </c>
      <c r="T110">
        <f>AND(Q110,R110,S110)</f>
        <v/>
      </c>
      <c r="U110">
        <f>IF(T110,IF(AND(설정!$A$41&lt;&gt;"",ISNUMBER(SEARCH(설정!$A$41,K110))),설정!$B$41,IF(AND(설정!$A$42&lt;&gt;"",ISNUMBER(SEARCH(설정!$A$42,K110))),설정!$B$42,IF(AND(설정!$A$43&lt;&gt;"",ISNUMBER(SEARCH(설정!$A$43,K110))),설정!$B$43,IF(AND(설정!$A$44&lt;&gt;"",ISNUMBER(SEARCH(설정!$A$44,K110))),설정!$B$44,IF(AND(설정!$A$45&lt;&gt;"",ISNUMBER(SEARCH(설정!$A$45,K110))),설정!$B$45,IF(AND(설정!$A$46&lt;&gt;"",ISNUMBER(SEARCH(설정!$A$46,K110))),설정!$B$46,IF(AND(설정!$A$47&lt;&gt;"",ISNUMBER(SEARCH(설정!$A$47,K110))),설정!$B$47,IF(AND(설정!$A$48&lt;&gt;"",ISNUMBER(SEARCH(설정!$A$48,K110))),설정!$B$48,IF(M110="","설계사","시공사"))))))))),"")</f>
        <v/>
      </c>
      <c r="V110">
        <f>SUBSTITUTE(SUBSTITUTE(SUBSTITUTE(SUBSTITUTE(G110,"(주)",""),"㈜",""),"주식회사","")," ","")</f>
        <v/>
      </c>
      <c r="W110">
        <f>IF(AND(T110,V110&lt;&gt;""),IF(COUNTIFS(V$2:V110,V110,T$2:T110,TRUE)=1,MAX(W$1:W109)+1,""),"")</f>
        <v/>
      </c>
      <c r="X110">
        <f>IFERROR(INDEX('1.산군_붙여넣기'!$A$1:$AZ$1001,ROW(),설정!$C$14)&amp;"","")</f>
        <v/>
      </c>
      <c r="Y110">
        <f>IFERROR(INDEX('1.산군_붙여넣기'!$A$1:$AZ$1001,ROW(),설정!$C$15)&amp;"","")</f>
        <v/>
      </c>
      <c r="Z110">
        <f>IF(T110,V110&amp;"|"&amp;U110,"")</f>
        <v/>
      </c>
    </row>
    <row r="111">
      <c r="A111">
        <f>ROW()</f>
        <v/>
      </c>
      <c r="B111">
        <f>IFERROR(INDEX('1.산군_붙여넣기'!$A$1:$AZ$1001,ROW(),설정!$C$4)&amp;"","")</f>
        <v/>
      </c>
      <c r="C111">
        <f>IFERROR(INDEX('1.산군_붙여넣기'!$A$1:$AZ$1001,ROW(),설정!$C$5)&amp;"","")</f>
        <v/>
      </c>
      <c r="D111" s="5">
        <f>IFERROR(VALUE(SUBSTITUTE(SUBSTITUTE(SUBSTITUTE(IFERROR(INDEX('1.산군_붙여넣기'!$A$1:$AZ$1001,ROW(),설정!$C$6)&amp;"",""),",",""),"㎡",""),"m2","")),"")</f>
        <v/>
      </c>
      <c r="E111">
        <f>IFERROR(INDEX('1.산군_붙여넣기'!$A$1:$AZ$1001,ROW(),설정!$C$7)&amp;"","")</f>
        <v/>
      </c>
      <c r="F111">
        <f>IFERROR(INDEX('1.산군_붙여넣기'!$A$1:$AZ$1001,ROW(),설정!$C$8)&amp;"","")</f>
        <v/>
      </c>
      <c r="G111">
        <f>IFERROR(INDEX('1.산군_붙여넣기'!$A$1:$AZ$1001,ROW(),설정!$C$9)&amp;"","")</f>
        <v/>
      </c>
      <c r="H111">
        <f>IFERROR(INDEX('1.산군_붙여넣기'!$A$1:$AZ$1001,ROW(),설정!$C$10)&amp;"","")</f>
        <v/>
      </c>
      <c r="I111">
        <f>IFERROR(INDEX('1.산군_붙여넣기'!$A$1:$AZ$1001,ROW(),설정!$C$11)&amp;"","")</f>
        <v/>
      </c>
      <c r="J111">
        <f>IFERROR(INDEX('1.산군_붙여넣기'!$A$1:$AZ$1001,ROW(),설정!$C$12)&amp;"","")</f>
        <v/>
      </c>
      <c r="K111">
        <f>IFERROR(INDEX('1.산군_붙여넣기'!$A$1:$AZ$1001,ROW(),설정!$C$13)&amp;"","")</f>
        <v/>
      </c>
      <c r="L111" s="6">
        <f>IF(X111="","",IF(AND(LEN(X111)=8,ISNUMBER(X111*1)),DATE(LEFT(X111,4),MID(X111,5,2),RIGHT(X111,2)),IFERROR(DATEVALUE(SUBSTITUTE(SUBSTITUTE(X111,".","-"),"/","-")),IFERROR(X111*1,""))))</f>
        <v/>
      </c>
      <c r="M111" s="6">
        <f>IF(Y111="","",IF(AND(LEN(Y111)=8,ISNUMBER(Y111*1)),DATE(LEFT(Y111,4),MID(Y111,5,2),RIGHT(Y111,2)),IFERROR(DATEVALUE(SUBSTITUTE(SUBSTITUTE(Y111,".","-"),"/","-")),IFERROR(Y111*1,""))))</f>
        <v/>
      </c>
      <c r="N111">
        <f>IFERROR(LEFT(B111,FIND(" ",B111)-1),B111)</f>
        <v/>
      </c>
      <c r="O111">
        <f>AND(B111&lt;&gt;"",B111&lt;&gt;설정!$B$4,C111&lt;&gt;설정!$B$5)</f>
        <v/>
      </c>
      <c r="P111">
        <f>IF(O111,B111&amp;"|"&amp;C111,"")</f>
        <v/>
      </c>
      <c r="Q111">
        <f>AND(O111,COUNTIF(P112:P$1002,P111)=0)</f>
        <v/>
      </c>
      <c r="R111">
        <f>OR(AND(설정!$A$28&lt;&gt;"",ISNUMBER(SEARCH(설정!$A$28,E111&amp;" "&amp;C111))),AND(설정!$A$29&lt;&gt;"",ISNUMBER(SEARCH(설정!$A$29,E111&amp;" "&amp;C111))),AND(설정!$A$30&lt;&gt;"",ISNUMBER(SEARCH(설정!$A$30,E111&amp;" "&amp;C111))),AND(설정!$A$31&lt;&gt;"",ISNUMBER(SEARCH(설정!$A$31,E111&amp;" "&amp;C111))),AND(설정!$A$32&lt;&gt;"",ISNUMBER(SEARCH(설정!$A$32,E111&amp;" "&amp;C111))),AND(설정!$A$33&lt;&gt;"",ISNUMBER(SEARCH(설정!$A$33,E111&amp;" "&amp;C111))),AND(설정!$A$34&lt;&gt;"",ISNUMBER(SEARCH(설정!$A$34,E111&amp;" "&amp;C111))),AND(설정!$A$35&lt;&gt;"",ISNUMBER(SEARCH(설정!$A$35,E111&amp;" "&amp;C111))),AND(설정!$A$36&lt;&gt;"",ISNUMBER(SEARCH(설정!$A$36,E111&amp;" "&amp;C111))),AND(설정!$A$37&lt;&gt;"",ISNUMBER(SEARCH(설정!$A$37,E111&amp;" "&amp;C111))))</f>
        <v/>
      </c>
      <c r="S111">
        <f>OR(D111="",D111&gt;=설정!$B$19)</f>
        <v/>
      </c>
      <c r="T111">
        <f>AND(Q111,R111,S111)</f>
        <v/>
      </c>
      <c r="U111">
        <f>IF(T111,IF(AND(설정!$A$41&lt;&gt;"",ISNUMBER(SEARCH(설정!$A$41,K111))),설정!$B$41,IF(AND(설정!$A$42&lt;&gt;"",ISNUMBER(SEARCH(설정!$A$42,K111))),설정!$B$42,IF(AND(설정!$A$43&lt;&gt;"",ISNUMBER(SEARCH(설정!$A$43,K111))),설정!$B$43,IF(AND(설정!$A$44&lt;&gt;"",ISNUMBER(SEARCH(설정!$A$44,K111))),설정!$B$44,IF(AND(설정!$A$45&lt;&gt;"",ISNUMBER(SEARCH(설정!$A$45,K111))),설정!$B$45,IF(AND(설정!$A$46&lt;&gt;"",ISNUMBER(SEARCH(설정!$A$46,K111))),설정!$B$46,IF(AND(설정!$A$47&lt;&gt;"",ISNUMBER(SEARCH(설정!$A$47,K111))),설정!$B$47,IF(AND(설정!$A$48&lt;&gt;"",ISNUMBER(SEARCH(설정!$A$48,K111))),설정!$B$48,IF(M111="","설계사","시공사"))))))))),"")</f>
        <v/>
      </c>
      <c r="V111">
        <f>SUBSTITUTE(SUBSTITUTE(SUBSTITUTE(SUBSTITUTE(G111,"(주)",""),"㈜",""),"주식회사","")," ","")</f>
        <v/>
      </c>
      <c r="W111">
        <f>IF(AND(T111,V111&lt;&gt;""),IF(COUNTIFS(V$2:V111,V111,T$2:T111,TRUE)=1,MAX(W$1:W110)+1,""),"")</f>
        <v/>
      </c>
      <c r="X111">
        <f>IFERROR(INDEX('1.산군_붙여넣기'!$A$1:$AZ$1001,ROW(),설정!$C$14)&amp;"","")</f>
        <v/>
      </c>
      <c r="Y111">
        <f>IFERROR(INDEX('1.산군_붙여넣기'!$A$1:$AZ$1001,ROW(),설정!$C$15)&amp;"","")</f>
        <v/>
      </c>
      <c r="Z111">
        <f>IF(T111,V111&amp;"|"&amp;U111,"")</f>
        <v/>
      </c>
    </row>
    <row r="112">
      <c r="A112">
        <f>ROW()</f>
        <v/>
      </c>
      <c r="B112">
        <f>IFERROR(INDEX('1.산군_붙여넣기'!$A$1:$AZ$1001,ROW(),설정!$C$4)&amp;"","")</f>
        <v/>
      </c>
      <c r="C112">
        <f>IFERROR(INDEX('1.산군_붙여넣기'!$A$1:$AZ$1001,ROW(),설정!$C$5)&amp;"","")</f>
        <v/>
      </c>
      <c r="D112" s="5">
        <f>IFERROR(VALUE(SUBSTITUTE(SUBSTITUTE(SUBSTITUTE(IFERROR(INDEX('1.산군_붙여넣기'!$A$1:$AZ$1001,ROW(),설정!$C$6)&amp;"",""),",",""),"㎡",""),"m2","")),"")</f>
        <v/>
      </c>
      <c r="E112">
        <f>IFERROR(INDEX('1.산군_붙여넣기'!$A$1:$AZ$1001,ROW(),설정!$C$7)&amp;"","")</f>
        <v/>
      </c>
      <c r="F112">
        <f>IFERROR(INDEX('1.산군_붙여넣기'!$A$1:$AZ$1001,ROW(),설정!$C$8)&amp;"","")</f>
        <v/>
      </c>
      <c r="G112">
        <f>IFERROR(INDEX('1.산군_붙여넣기'!$A$1:$AZ$1001,ROW(),설정!$C$9)&amp;"","")</f>
        <v/>
      </c>
      <c r="H112">
        <f>IFERROR(INDEX('1.산군_붙여넣기'!$A$1:$AZ$1001,ROW(),설정!$C$10)&amp;"","")</f>
        <v/>
      </c>
      <c r="I112">
        <f>IFERROR(INDEX('1.산군_붙여넣기'!$A$1:$AZ$1001,ROW(),설정!$C$11)&amp;"","")</f>
        <v/>
      </c>
      <c r="J112">
        <f>IFERROR(INDEX('1.산군_붙여넣기'!$A$1:$AZ$1001,ROW(),설정!$C$12)&amp;"","")</f>
        <v/>
      </c>
      <c r="K112">
        <f>IFERROR(INDEX('1.산군_붙여넣기'!$A$1:$AZ$1001,ROW(),설정!$C$13)&amp;"","")</f>
        <v/>
      </c>
      <c r="L112" s="6">
        <f>IF(X112="","",IF(AND(LEN(X112)=8,ISNUMBER(X112*1)),DATE(LEFT(X112,4),MID(X112,5,2),RIGHT(X112,2)),IFERROR(DATEVALUE(SUBSTITUTE(SUBSTITUTE(X112,".","-"),"/","-")),IFERROR(X112*1,""))))</f>
        <v/>
      </c>
      <c r="M112" s="6">
        <f>IF(Y112="","",IF(AND(LEN(Y112)=8,ISNUMBER(Y112*1)),DATE(LEFT(Y112,4),MID(Y112,5,2),RIGHT(Y112,2)),IFERROR(DATEVALUE(SUBSTITUTE(SUBSTITUTE(Y112,".","-"),"/","-")),IFERROR(Y112*1,""))))</f>
        <v/>
      </c>
      <c r="N112">
        <f>IFERROR(LEFT(B112,FIND(" ",B112)-1),B112)</f>
        <v/>
      </c>
      <c r="O112">
        <f>AND(B112&lt;&gt;"",B112&lt;&gt;설정!$B$4,C112&lt;&gt;설정!$B$5)</f>
        <v/>
      </c>
      <c r="P112">
        <f>IF(O112,B112&amp;"|"&amp;C112,"")</f>
        <v/>
      </c>
      <c r="Q112">
        <f>AND(O112,COUNTIF(P113:P$1002,P112)=0)</f>
        <v/>
      </c>
      <c r="R112">
        <f>OR(AND(설정!$A$28&lt;&gt;"",ISNUMBER(SEARCH(설정!$A$28,E112&amp;" "&amp;C112))),AND(설정!$A$29&lt;&gt;"",ISNUMBER(SEARCH(설정!$A$29,E112&amp;" "&amp;C112))),AND(설정!$A$30&lt;&gt;"",ISNUMBER(SEARCH(설정!$A$30,E112&amp;" "&amp;C112))),AND(설정!$A$31&lt;&gt;"",ISNUMBER(SEARCH(설정!$A$31,E112&amp;" "&amp;C112))),AND(설정!$A$32&lt;&gt;"",ISNUMBER(SEARCH(설정!$A$32,E112&amp;" "&amp;C112))),AND(설정!$A$33&lt;&gt;"",ISNUMBER(SEARCH(설정!$A$33,E112&amp;" "&amp;C112))),AND(설정!$A$34&lt;&gt;"",ISNUMBER(SEARCH(설정!$A$34,E112&amp;" "&amp;C112))),AND(설정!$A$35&lt;&gt;"",ISNUMBER(SEARCH(설정!$A$35,E112&amp;" "&amp;C112))),AND(설정!$A$36&lt;&gt;"",ISNUMBER(SEARCH(설정!$A$36,E112&amp;" "&amp;C112))),AND(설정!$A$37&lt;&gt;"",ISNUMBER(SEARCH(설정!$A$37,E112&amp;" "&amp;C112))))</f>
        <v/>
      </c>
      <c r="S112">
        <f>OR(D112="",D112&gt;=설정!$B$19)</f>
        <v/>
      </c>
      <c r="T112">
        <f>AND(Q112,R112,S112)</f>
        <v/>
      </c>
      <c r="U112">
        <f>IF(T112,IF(AND(설정!$A$41&lt;&gt;"",ISNUMBER(SEARCH(설정!$A$41,K112))),설정!$B$41,IF(AND(설정!$A$42&lt;&gt;"",ISNUMBER(SEARCH(설정!$A$42,K112))),설정!$B$42,IF(AND(설정!$A$43&lt;&gt;"",ISNUMBER(SEARCH(설정!$A$43,K112))),설정!$B$43,IF(AND(설정!$A$44&lt;&gt;"",ISNUMBER(SEARCH(설정!$A$44,K112))),설정!$B$44,IF(AND(설정!$A$45&lt;&gt;"",ISNUMBER(SEARCH(설정!$A$45,K112))),설정!$B$45,IF(AND(설정!$A$46&lt;&gt;"",ISNUMBER(SEARCH(설정!$A$46,K112))),설정!$B$46,IF(AND(설정!$A$47&lt;&gt;"",ISNUMBER(SEARCH(설정!$A$47,K112))),설정!$B$47,IF(AND(설정!$A$48&lt;&gt;"",ISNUMBER(SEARCH(설정!$A$48,K112))),설정!$B$48,IF(M112="","설계사","시공사"))))))))),"")</f>
        <v/>
      </c>
      <c r="V112">
        <f>SUBSTITUTE(SUBSTITUTE(SUBSTITUTE(SUBSTITUTE(G112,"(주)",""),"㈜",""),"주식회사","")," ","")</f>
        <v/>
      </c>
      <c r="W112">
        <f>IF(AND(T112,V112&lt;&gt;""),IF(COUNTIFS(V$2:V112,V112,T$2:T112,TRUE)=1,MAX(W$1:W111)+1,""),"")</f>
        <v/>
      </c>
      <c r="X112">
        <f>IFERROR(INDEX('1.산군_붙여넣기'!$A$1:$AZ$1001,ROW(),설정!$C$14)&amp;"","")</f>
        <v/>
      </c>
      <c r="Y112">
        <f>IFERROR(INDEX('1.산군_붙여넣기'!$A$1:$AZ$1001,ROW(),설정!$C$15)&amp;"","")</f>
        <v/>
      </c>
      <c r="Z112">
        <f>IF(T112,V112&amp;"|"&amp;U112,"")</f>
        <v/>
      </c>
    </row>
    <row r="113">
      <c r="A113">
        <f>ROW()</f>
        <v/>
      </c>
      <c r="B113">
        <f>IFERROR(INDEX('1.산군_붙여넣기'!$A$1:$AZ$1001,ROW(),설정!$C$4)&amp;"","")</f>
        <v/>
      </c>
      <c r="C113">
        <f>IFERROR(INDEX('1.산군_붙여넣기'!$A$1:$AZ$1001,ROW(),설정!$C$5)&amp;"","")</f>
        <v/>
      </c>
      <c r="D113" s="5">
        <f>IFERROR(VALUE(SUBSTITUTE(SUBSTITUTE(SUBSTITUTE(IFERROR(INDEX('1.산군_붙여넣기'!$A$1:$AZ$1001,ROW(),설정!$C$6)&amp;"",""),",",""),"㎡",""),"m2","")),"")</f>
        <v/>
      </c>
      <c r="E113">
        <f>IFERROR(INDEX('1.산군_붙여넣기'!$A$1:$AZ$1001,ROW(),설정!$C$7)&amp;"","")</f>
        <v/>
      </c>
      <c r="F113">
        <f>IFERROR(INDEX('1.산군_붙여넣기'!$A$1:$AZ$1001,ROW(),설정!$C$8)&amp;"","")</f>
        <v/>
      </c>
      <c r="G113">
        <f>IFERROR(INDEX('1.산군_붙여넣기'!$A$1:$AZ$1001,ROW(),설정!$C$9)&amp;"","")</f>
        <v/>
      </c>
      <c r="H113">
        <f>IFERROR(INDEX('1.산군_붙여넣기'!$A$1:$AZ$1001,ROW(),설정!$C$10)&amp;"","")</f>
        <v/>
      </c>
      <c r="I113">
        <f>IFERROR(INDEX('1.산군_붙여넣기'!$A$1:$AZ$1001,ROW(),설정!$C$11)&amp;"","")</f>
        <v/>
      </c>
      <c r="J113">
        <f>IFERROR(INDEX('1.산군_붙여넣기'!$A$1:$AZ$1001,ROW(),설정!$C$12)&amp;"","")</f>
        <v/>
      </c>
      <c r="K113">
        <f>IFERROR(INDEX('1.산군_붙여넣기'!$A$1:$AZ$1001,ROW(),설정!$C$13)&amp;"","")</f>
        <v/>
      </c>
      <c r="L113" s="6">
        <f>IF(X113="","",IF(AND(LEN(X113)=8,ISNUMBER(X113*1)),DATE(LEFT(X113,4),MID(X113,5,2),RIGHT(X113,2)),IFERROR(DATEVALUE(SUBSTITUTE(SUBSTITUTE(X113,".","-"),"/","-")),IFERROR(X113*1,""))))</f>
        <v/>
      </c>
      <c r="M113" s="6">
        <f>IF(Y113="","",IF(AND(LEN(Y113)=8,ISNUMBER(Y113*1)),DATE(LEFT(Y113,4),MID(Y113,5,2),RIGHT(Y113,2)),IFERROR(DATEVALUE(SUBSTITUTE(SUBSTITUTE(Y113,".","-"),"/","-")),IFERROR(Y113*1,""))))</f>
        <v/>
      </c>
      <c r="N113">
        <f>IFERROR(LEFT(B113,FIND(" ",B113)-1),B113)</f>
        <v/>
      </c>
      <c r="O113">
        <f>AND(B113&lt;&gt;"",B113&lt;&gt;설정!$B$4,C113&lt;&gt;설정!$B$5)</f>
        <v/>
      </c>
      <c r="P113">
        <f>IF(O113,B113&amp;"|"&amp;C113,"")</f>
        <v/>
      </c>
      <c r="Q113">
        <f>AND(O113,COUNTIF(P114:P$1002,P113)=0)</f>
        <v/>
      </c>
      <c r="R113">
        <f>OR(AND(설정!$A$28&lt;&gt;"",ISNUMBER(SEARCH(설정!$A$28,E113&amp;" "&amp;C113))),AND(설정!$A$29&lt;&gt;"",ISNUMBER(SEARCH(설정!$A$29,E113&amp;" "&amp;C113))),AND(설정!$A$30&lt;&gt;"",ISNUMBER(SEARCH(설정!$A$30,E113&amp;" "&amp;C113))),AND(설정!$A$31&lt;&gt;"",ISNUMBER(SEARCH(설정!$A$31,E113&amp;" "&amp;C113))),AND(설정!$A$32&lt;&gt;"",ISNUMBER(SEARCH(설정!$A$32,E113&amp;" "&amp;C113))),AND(설정!$A$33&lt;&gt;"",ISNUMBER(SEARCH(설정!$A$33,E113&amp;" "&amp;C113))),AND(설정!$A$34&lt;&gt;"",ISNUMBER(SEARCH(설정!$A$34,E113&amp;" "&amp;C113))),AND(설정!$A$35&lt;&gt;"",ISNUMBER(SEARCH(설정!$A$35,E113&amp;" "&amp;C113))),AND(설정!$A$36&lt;&gt;"",ISNUMBER(SEARCH(설정!$A$36,E113&amp;" "&amp;C113))),AND(설정!$A$37&lt;&gt;"",ISNUMBER(SEARCH(설정!$A$37,E113&amp;" "&amp;C113))))</f>
        <v/>
      </c>
      <c r="S113">
        <f>OR(D113="",D113&gt;=설정!$B$19)</f>
        <v/>
      </c>
      <c r="T113">
        <f>AND(Q113,R113,S113)</f>
        <v/>
      </c>
      <c r="U113">
        <f>IF(T113,IF(AND(설정!$A$41&lt;&gt;"",ISNUMBER(SEARCH(설정!$A$41,K113))),설정!$B$41,IF(AND(설정!$A$42&lt;&gt;"",ISNUMBER(SEARCH(설정!$A$42,K113))),설정!$B$42,IF(AND(설정!$A$43&lt;&gt;"",ISNUMBER(SEARCH(설정!$A$43,K113))),설정!$B$43,IF(AND(설정!$A$44&lt;&gt;"",ISNUMBER(SEARCH(설정!$A$44,K113))),설정!$B$44,IF(AND(설정!$A$45&lt;&gt;"",ISNUMBER(SEARCH(설정!$A$45,K113))),설정!$B$45,IF(AND(설정!$A$46&lt;&gt;"",ISNUMBER(SEARCH(설정!$A$46,K113))),설정!$B$46,IF(AND(설정!$A$47&lt;&gt;"",ISNUMBER(SEARCH(설정!$A$47,K113))),설정!$B$47,IF(AND(설정!$A$48&lt;&gt;"",ISNUMBER(SEARCH(설정!$A$48,K113))),설정!$B$48,IF(M113="","설계사","시공사"))))))))),"")</f>
        <v/>
      </c>
      <c r="V113">
        <f>SUBSTITUTE(SUBSTITUTE(SUBSTITUTE(SUBSTITUTE(G113,"(주)",""),"㈜",""),"주식회사","")," ","")</f>
        <v/>
      </c>
      <c r="W113">
        <f>IF(AND(T113,V113&lt;&gt;""),IF(COUNTIFS(V$2:V113,V113,T$2:T113,TRUE)=1,MAX(W$1:W112)+1,""),"")</f>
        <v/>
      </c>
      <c r="X113">
        <f>IFERROR(INDEX('1.산군_붙여넣기'!$A$1:$AZ$1001,ROW(),설정!$C$14)&amp;"","")</f>
        <v/>
      </c>
      <c r="Y113">
        <f>IFERROR(INDEX('1.산군_붙여넣기'!$A$1:$AZ$1001,ROW(),설정!$C$15)&amp;"","")</f>
        <v/>
      </c>
      <c r="Z113">
        <f>IF(T113,V113&amp;"|"&amp;U113,"")</f>
        <v/>
      </c>
    </row>
    <row r="114">
      <c r="A114">
        <f>ROW()</f>
        <v/>
      </c>
      <c r="B114">
        <f>IFERROR(INDEX('1.산군_붙여넣기'!$A$1:$AZ$1001,ROW(),설정!$C$4)&amp;"","")</f>
        <v/>
      </c>
      <c r="C114">
        <f>IFERROR(INDEX('1.산군_붙여넣기'!$A$1:$AZ$1001,ROW(),설정!$C$5)&amp;"","")</f>
        <v/>
      </c>
      <c r="D114" s="5">
        <f>IFERROR(VALUE(SUBSTITUTE(SUBSTITUTE(SUBSTITUTE(IFERROR(INDEX('1.산군_붙여넣기'!$A$1:$AZ$1001,ROW(),설정!$C$6)&amp;"",""),",",""),"㎡",""),"m2","")),"")</f>
        <v/>
      </c>
      <c r="E114">
        <f>IFERROR(INDEX('1.산군_붙여넣기'!$A$1:$AZ$1001,ROW(),설정!$C$7)&amp;"","")</f>
        <v/>
      </c>
      <c r="F114">
        <f>IFERROR(INDEX('1.산군_붙여넣기'!$A$1:$AZ$1001,ROW(),설정!$C$8)&amp;"","")</f>
        <v/>
      </c>
      <c r="G114">
        <f>IFERROR(INDEX('1.산군_붙여넣기'!$A$1:$AZ$1001,ROW(),설정!$C$9)&amp;"","")</f>
        <v/>
      </c>
      <c r="H114">
        <f>IFERROR(INDEX('1.산군_붙여넣기'!$A$1:$AZ$1001,ROW(),설정!$C$10)&amp;"","")</f>
        <v/>
      </c>
      <c r="I114">
        <f>IFERROR(INDEX('1.산군_붙여넣기'!$A$1:$AZ$1001,ROW(),설정!$C$11)&amp;"","")</f>
        <v/>
      </c>
      <c r="J114">
        <f>IFERROR(INDEX('1.산군_붙여넣기'!$A$1:$AZ$1001,ROW(),설정!$C$12)&amp;"","")</f>
        <v/>
      </c>
      <c r="K114">
        <f>IFERROR(INDEX('1.산군_붙여넣기'!$A$1:$AZ$1001,ROW(),설정!$C$13)&amp;"","")</f>
        <v/>
      </c>
      <c r="L114" s="6">
        <f>IF(X114="","",IF(AND(LEN(X114)=8,ISNUMBER(X114*1)),DATE(LEFT(X114,4),MID(X114,5,2),RIGHT(X114,2)),IFERROR(DATEVALUE(SUBSTITUTE(SUBSTITUTE(X114,".","-"),"/","-")),IFERROR(X114*1,""))))</f>
        <v/>
      </c>
      <c r="M114" s="6">
        <f>IF(Y114="","",IF(AND(LEN(Y114)=8,ISNUMBER(Y114*1)),DATE(LEFT(Y114,4),MID(Y114,5,2),RIGHT(Y114,2)),IFERROR(DATEVALUE(SUBSTITUTE(SUBSTITUTE(Y114,".","-"),"/","-")),IFERROR(Y114*1,""))))</f>
        <v/>
      </c>
      <c r="N114">
        <f>IFERROR(LEFT(B114,FIND(" ",B114)-1),B114)</f>
        <v/>
      </c>
      <c r="O114">
        <f>AND(B114&lt;&gt;"",B114&lt;&gt;설정!$B$4,C114&lt;&gt;설정!$B$5)</f>
        <v/>
      </c>
      <c r="P114">
        <f>IF(O114,B114&amp;"|"&amp;C114,"")</f>
        <v/>
      </c>
      <c r="Q114">
        <f>AND(O114,COUNTIF(P115:P$1002,P114)=0)</f>
        <v/>
      </c>
      <c r="R114">
        <f>OR(AND(설정!$A$28&lt;&gt;"",ISNUMBER(SEARCH(설정!$A$28,E114&amp;" "&amp;C114))),AND(설정!$A$29&lt;&gt;"",ISNUMBER(SEARCH(설정!$A$29,E114&amp;" "&amp;C114))),AND(설정!$A$30&lt;&gt;"",ISNUMBER(SEARCH(설정!$A$30,E114&amp;" "&amp;C114))),AND(설정!$A$31&lt;&gt;"",ISNUMBER(SEARCH(설정!$A$31,E114&amp;" "&amp;C114))),AND(설정!$A$32&lt;&gt;"",ISNUMBER(SEARCH(설정!$A$32,E114&amp;" "&amp;C114))),AND(설정!$A$33&lt;&gt;"",ISNUMBER(SEARCH(설정!$A$33,E114&amp;" "&amp;C114))),AND(설정!$A$34&lt;&gt;"",ISNUMBER(SEARCH(설정!$A$34,E114&amp;" "&amp;C114))),AND(설정!$A$35&lt;&gt;"",ISNUMBER(SEARCH(설정!$A$35,E114&amp;" "&amp;C114))),AND(설정!$A$36&lt;&gt;"",ISNUMBER(SEARCH(설정!$A$36,E114&amp;" "&amp;C114))),AND(설정!$A$37&lt;&gt;"",ISNUMBER(SEARCH(설정!$A$37,E114&amp;" "&amp;C114))))</f>
        <v/>
      </c>
      <c r="S114">
        <f>OR(D114="",D114&gt;=설정!$B$19)</f>
        <v/>
      </c>
      <c r="T114">
        <f>AND(Q114,R114,S114)</f>
        <v/>
      </c>
      <c r="U114">
        <f>IF(T114,IF(AND(설정!$A$41&lt;&gt;"",ISNUMBER(SEARCH(설정!$A$41,K114))),설정!$B$41,IF(AND(설정!$A$42&lt;&gt;"",ISNUMBER(SEARCH(설정!$A$42,K114))),설정!$B$42,IF(AND(설정!$A$43&lt;&gt;"",ISNUMBER(SEARCH(설정!$A$43,K114))),설정!$B$43,IF(AND(설정!$A$44&lt;&gt;"",ISNUMBER(SEARCH(설정!$A$44,K114))),설정!$B$44,IF(AND(설정!$A$45&lt;&gt;"",ISNUMBER(SEARCH(설정!$A$45,K114))),설정!$B$45,IF(AND(설정!$A$46&lt;&gt;"",ISNUMBER(SEARCH(설정!$A$46,K114))),설정!$B$46,IF(AND(설정!$A$47&lt;&gt;"",ISNUMBER(SEARCH(설정!$A$47,K114))),설정!$B$47,IF(AND(설정!$A$48&lt;&gt;"",ISNUMBER(SEARCH(설정!$A$48,K114))),설정!$B$48,IF(M114="","설계사","시공사"))))))))),"")</f>
        <v/>
      </c>
      <c r="V114">
        <f>SUBSTITUTE(SUBSTITUTE(SUBSTITUTE(SUBSTITUTE(G114,"(주)",""),"㈜",""),"주식회사","")," ","")</f>
        <v/>
      </c>
      <c r="W114">
        <f>IF(AND(T114,V114&lt;&gt;""),IF(COUNTIFS(V$2:V114,V114,T$2:T114,TRUE)=1,MAX(W$1:W113)+1,""),"")</f>
        <v/>
      </c>
      <c r="X114">
        <f>IFERROR(INDEX('1.산군_붙여넣기'!$A$1:$AZ$1001,ROW(),설정!$C$14)&amp;"","")</f>
        <v/>
      </c>
      <c r="Y114">
        <f>IFERROR(INDEX('1.산군_붙여넣기'!$A$1:$AZ$1001,ROW(),설정!$C$15)&amp;"","")</f>
        <v/>
      </c>
      <c r="Z114">
        <f>IF(T114,V114&amp;"|"&amp;U114,"")</f>
        <v/>
      </c>
    </row>
    <row r="115">
      <c r="A115">
        <f>ROW()</f>
        <v/>
      </c>
      <c r="B115">
        <f>IFERROR(INDEX('1.산군_붙여넣기'!$A$1:$AZ$1001,ROW(),설정!$C$4)&amp;"","")</f>
        <v/>
      </c>
      <c r="C115">
        <f>IFERROR(INDEX('1.산군_붙여넣기'!$A$1:$AZ$1001,ROW(),설정!$C$5)&amp;"","")</f>
        <v/>
      </c>
      <c r="D115" s="5">
        <f>IFERROR(VALUE(SUBSTITUTE(SUBSTITUTE(SUBSTITUTE(IFERROR(INDEX('1.산군_붙여넣기'!$A$1:$AZ$1001,ROW(),설정!$C$6)&amp;"",""),",",""),"㎡",""),"m2","")),"")</f>
        <v/>
      </c>
      <c r="E115">
        <f>IFERROR(INDEX('1.산군_붙여넣기'!$A$1:$AZ$1001,ROW(),설정!$C$7)&amp;"","")</f>
        <v/>
      </c>
      <c r="F115">
        <f>IFERROR(INDEX('1.산군_붙여넣기'!$A$1:$AZ$1001,ROW(),설정!$C$8)&amp;"","")</f>
        <v/>
      </c>
      <c r="G115">
        <f>IFERROR(INDEX('1.산군_붙여넣기'!$A$1:$AZ$1001,ROW(),설정!$C$9)&amp;"","")</f>
        <v/>
      </c>
      <c r="H115">
        <f>IFERROR(INDEX('1.산군_붙여넣기'!$A$1:$AZ$1001,ROW(),설정!$C$10)&amp;"","")</f>
        <v/>
      </c>
      <c r="I115">
        <f>IFERROR(INDEX('1.산군_붙여넣기'!$A$1:$AZ$1001,ROW(),설정!$C$11)&amp;"","")</f>
        <v/>
      </c>
      <c r="J115">
        <f>IFERROR(INDEX('1.산군_붙여넣기'!$A$1:$AZ$1001,ROW(),설정!$C$12)&amp;"","")</f>
        <v/>
      </c>
      <c r="K115">
        <f>IFERROR(INDEX('1.산군_붙여넣기'!$A$1:$AZ$1001,ROW(),설정!$C$13)&amp;"","")</f>
        <v/>
      </c>
      <c r="L115" s="6">
        <f>IF(X115="","",IF(AND(LEN(X115)=8,ISNUMBER(X115*1)),DATE(LEFT(X115,4),MID(X115,5,2),RIGHT(X115,2)),IFERROR(DATEVALUE(SUBSTITUTE(SUBSTITUTE(X115,".","-"),"/","-")),IFERROR(X115*1,""))))</f>
        <v/>
      </c>
      <c r="M115" s="6">
        <f>IF(Y115="","",IF(AND(LEN(Y115)=8,ISNUMBER(Y115*1)),DATE(LEFT(Y115,4),MID(Y115,5,2),RIGHT(Y115,2)),IFERROR(DATEVALUE(SUBSTITUTE(SUBSTITUTE(Y115,".","-"),"/","-")),IFERROR(Y115*1,""))))</f>
        <v/>
      </c>
      <c r="N115">
        <f>IFERROR(LEFT(B115,FIND(" ",B115)-1),B115)</f>
        <v/>
      </c>
      <c r="O115">
        <f>AND(B115&lt;&gt;"",B115&lt;&gt;설정!$B$4,C115&lt;&gt;설정!$B$5)</f>
        <v/>
      </c>
      <c r="P115">
        <f>IF(O115,B115&amp;"|"&amp;C115,"")</f>
        <v/>
      </c>
      <c r="Q115">
        <f>AND(O115,COUNTIF(P116:P$1002,P115)=0)</f>
        <v/>
      </c>
      <c r="R115">
        <f>OR(AND(설정!$A$28&lt;&gt;"",ISNUMBER(SEARCH(설정!$A$28,E115&amp;" "&amp;C115))),AND(설정!$A$29&lt;&gt;"",ISNUMBER(SEARCH(설정!$A$29,E115&amp;" "&amp;C115))),AND(설정!$A$30&lt;&gt;"",ISNUMBER(SEARCH(설정!$A$30,E115&amp;" "&amp;C115))),AND(설정!$A$31&lt;&gt;"",ISNUMBER(SEARCH(설정!$A$31,E115&amp;" "&amp;C115))),AND(설정!$A$32&lt;&gt;"",ISNUMBER(SEARCH(설정!$A$32,E115&amp;" "&amp;C115))),AND(설정!$A$33&lt;&gt;"",ISNUMBER(SEARCH(설정!$A$33,E115&amp;" "&amp;C115))),AND(설정!$A$34&lt;&gt;"",ISNUMBER(SEARCH(설정!$A$34,E115&amp;" "&amp;C115))),AND(설정!$A$35&lt;&gt;"",ISNUMBER(SEARCH(설정!$A$35,E115&amp;" "&amp;C115))),AND(설정!$A$36&lt;&gt;"",ISNUMBER(SEARCH(설정!$A$36,E115&amp;" "&amp;C115))),AND(설정!$A$37&lt;&gt;"",ISNUMBER(SEARCH(설정!$A$37,E115&amp;" "&amp;C115))))</f>
        <v/>
      </c>
      <c r="S115">
        <f>OR(D115="",D115&gt;=설정!$B$19)</f>
        <v/>
      </c>
      <c r="T115">
        <f>AND(Q115,R115,S115)</f>
        <v/>
      </c>
      <c r="U115">
        <f>IF(T115,IF(AND(설정!$A$41&lt;&gt;"",ISNUMBER(SEARCH(설정!$A$41,K115))),설정!$B$41,IF(AND(설정!$A$42&lt;&gt;"",ISNUMBER(SEARCH(설정!$A$42,K115))),설정!$B$42,IF(AND(설정!$A$43&lt;&gt;"",ISNUMBER(SEARCH(설정!$A$43,K115))),설정!$B$43,IF(AND(설정!$A$44&lt;&gt;"",ISNUMBER(SEARCH(설정!$A$44,K115))),설정!$B$44,IF(AND(설정!$A$45&lt;&gt;"",ISNUMBER(SEARCH(설정!$A$45,K115))),설정!$B$45,IF(AND(설정!$A$46&lt;&gt;"",ISNUMBER(SEARCH(설정!$A$46,K115))),설정!$B$46,IF(AND(설정!$A$47&lt;&gt;"",ISNUMBER(SEARCH(설정!$A$47,K115))),설정!$B$47,IF(AND(설정!$A$48&lt;&gt;"",ISNUMBER(SEARCH(설정!$A$48,K115))),설정!$B$48,IF(M115="","설계사","시공사"))))))))),"")</f>
        <v/>
      </c>
      <c r="V115">
        <f>SUBSTITUTE(SUBSTITUTE(SUBSTITUTE(SUBSTITUTE(G115,"(주)",""),"㈜",""),"주식회사","")," ","")</f>
        <v/>
      </c>
      <c r="W115">
        <f>IF(AND(T115,V115&lt;&gt;""),IF(COUNTIFS(V$2:V115,V115,T$2:T115,TRUE)=1,MAX(W$1:W114)+1,""),"")</f>
        <v/>
      </c>
      <c r="X115">
        <f>IFERROR(INDEX('1.산군_붙여넣기'!$A$1:$AZ$1001,ROW(),설정!$C$14)&amp;"","")</f>
        <v/>
      </c>
      <c r="Y115">
        <f>IFERROR(INDEX('1.산군_붙여넣기'!$A$1:$AZ$1001,ROW(),설정!$C$15)&amp;"","")</f>
        <v/>
      </c>
      <c r="Z115">
        <f>IF(T115,V115&amp;"|"&amp;U115,"")</f>
        <v/>
      </c>
    </row>
    <row r="116">
      <c r="A116">
        <f>ROW()</f>
        <v/>
      </c>
      <c r="B116">
        <f>IFERROR(INDEX('1.산군_붙여넣기'!$A$1:$AZ$1001,ROW(),설정!$C$4)&amp;"","")</f>
        <v/>
      </c>
      <c r="C116">
        <f>IFERROR(INDEX('1.산군_붙여넣기'!$A$1:$AZ$1001,ROW(),설정!$C$5)&amp;"","")</f>
        <v/>
      </c>
      <c r="D116" s="5">
        <f>IFERROR(VALUE(SUBSTITUTE(SUBSTITUTE(SUBSTITUTE(IFERROR(INDEX('1.산군_붙여넣기'!$A$1:$AZ$1001,ROW(),설정!$C$6)&amp;"",""),",",""),"㎡",""),"m2","")),"")</f>
        <v/>
      </c>
      <c r="E116">
        <f>IFERROR(INDEX('1.산군_붙여넣기'!$A$1:$AZ$1001,ROW(),설정!$C$7)&amp;"","")</f>
        <v/>
      </c>
      <c r="F116">
        <f>IFERROR(INDEX('1.산군_붙여넣기'!$A$1:$AZ$1001,ROW(),설정!$C$8)&amp;"","")</f>
        <v/>
      </c>
      <c r="G116">
        <f>IFERROR(INDEX('1.산군_붙여넣기'!$A$1:$AZ$1001,ROW(),설정!$C$9)&amp;"","")</f>
        <v/>
      </c>
      <c r="H116">
        <f>IFERROR(INDEX('1.산군_붙여넣기'!$A$1:$AZ$1001,ROW(),설정!$C$10)&amp;"","")</f>
        <v/>
      </c>
      <c r="I116">
        <f>IFERROR(INDEX('1.산군_붙여넣기'!$A$1:$AZ$1001,ROW(),설정!$C$11)&amp;"","")</f>
        <v/>
      </c>
      <c r="J116">
        <f>IFERROR(INDEX('1.산군_붙여넣기'!$A$1:$AZ$1001,ROW(),설정!$C$12)&amp;"","")</f>
        <v/>
      </c>
      <c r="K116">
        <f>IFERROR(INDEX('1.산군_붙여넣기'!$A$1:$AZ$1001,ROW(),설정!$C$13)&amp;"","")</f>
        <v/>
      </c>
      <c r="L116" s="6">
        <f>IF(X116="","",IF(AND(LEN(X116)=8,ISNUMBER(X116*1)),DATE(LEFT(X116,4),MID(X116,5,2),RIGHT(X116,2)),IFERROR(DATEVALUE(SUBSTITUTE(SUBSTITUTE(X116,".","-"),"/","-")),IFERROR(X116*1,""))))</f>
        <v/>
      </c>
      <c r="M116" s="6">
        <f>IF(Y116="","",IF(AND(LEN(Y116)=8,ISNUMBER(Y116*1)),DATE(LEFT(Y116,4),MID(Y116,5,2),RIGHT(Y116,2)),IFERROR(DATEVALUE(SUBSTITUTE(SUBSTITUTE(Y116,".","-"),"/","-")),IFERROR(Y116*1,""))))</f>
        <v/>
      </c>
      <c r="N116">
        <f>IFERROR(LEFT(B116,FIND(" ",B116)-1),B116)</f>
        <v/>
      </c>
      <c r="O116">
        <f>AND(B116&lt;&gt;"",B116&lt;&gt;설정!$B$4,C116&lt;&gt;설정!$B$5)</f>
        <v/>
      </c>
      <c r="P116">
        <f>IF(O116,B116&amp;"|"&amp;C116,"")</f>
        <v/>
      </c>
      <c r="Q116">
        <f>AND(O116,COUNTIF(P117:P$1002,P116)=0)</f>
        <v/>
      </c>
      <c r="R116">
        <f>OR(AND(설정!$A$28&lt;&gt;"",ISNUMBER(SEARCH(설정!$A$28,E116&amp;" "&amp;C116))),AND(설정!$A$29&lt;&gt;"",ISNUMBER(SEARCH(설정!$A$29,E116&amp;" "&amp;C116))),AND(설정!$A$30&lt;&gt;"",ISNUMBER(SEARCH(설정!$A$30,E116&amp;" "&amp;C116))),AND(설정!$A$31&lt;&gt;"",ISNUMBER(SEARCH(설정!$A$31,E116&amp;" "&amp;C116))),AND(설정!$A$32&lt;&gt;"",ISNUMBER(SEARCH(설정!$A$32,E116&amp;" "&amp;C116))),AND(설정!$A$33&lt;&gt;"",ISNUMBER(SEARCH(설정!$A$33,E116&amp;" "&amp;C116))),AND(설정!$A$34&lt;&gt;"",ISNUMBER(SEARCH(설정!$A$34,E116&amp;" "&amp;C116))),AND(설정!$A$35&lt;&gt;"",ISNUMBER(SEARCH(설정!$A$35,E116&amp;" "&amp;C116))),AND(설정!$A$36&lt;&gt;"",ISNUMBER(SEARCH(설정!$A$36,E116&amp;" "&amp;C116))),AND(설정!$A$37&lt;&gt;"",ISNUMBER(SEARCH(설정!$A$37,E116&amp;" "&amp;C116))))</f>
        <v/>
      </c>
      <c r="S116">
        <f>OR(D116="",D116&gt;=설정!$B$19)</f>
        <v/>
      </c>
      <c r="T116">
        <f>AND(Q116,R116,S116)</f>
        <v/>
      </c>
      <c r="U116">
        <f>IF(T116,IF(AND(설정!$A$41&lt;&gt;"",ISNUMBER(SEARCH(설정!$A$41,K116))),설정!$B$41,IF(AND(설정!$A$42&lt;&gt;"",ISNUMBER(SEARCH(설정!$A$42,K116))),설정!$B$42,IF(AND(설정!$A$43&lt;&gt;"",ISNUMBER(SEARCH(설정!$A$43,K116))),설정!$B$43,IF(AND(설정!$A$44&lt;&gt;"",ISNUMBER(SEARCH(설정!$A$44,K116))),설정!$B$44,IF(AND(설정!$A$45&lt;&gt;"",ISNUMBER(SEARCH(설정!$A$45,K116))),설정!$B$45,IF(AND(설정!$A$46&lt;&gt;"",ISNUMBER(SEARCH(설정!$A$46,K116))),설정!$B$46,IF(AND(설정!$A$47&lt;&gt;"",ISNUMBER(SEARCH(설정!$A$47,K116))),설정!$B$47,IF(AND(설정!$A$48&lt;&gt;"",ISNUMBER(SEARCH(설정!$A$48,K116))),설정!$B$48,IF(M116="","설계사","시공사"))))))))),"")</f>
        <v/>
      </c>
      <c r="V116">
        <f>SUBSTITUTE(SUBSTITUTE(SUBSTITUTE(SUBSTITUTE(G116,"(주)",""),"㈜",""),"주식회사","")," ","")</f>
        <v/>
      </c>
      <c r="W116">
        <f>IF(AND(T116,V116&lt;&gt;""),IF(COUNTIFS(V$2:V116,V116,T$2:T116,TRUE)=1,MAX(W$1:W115)+1,""),"")</f>
        <v/>
      </c>
      <c r="X116">
        <f>IFERROR(INDEX('1.산군_붙여넣기'!$A$1:$AZ$1001,ROW(),설정!$C$14)&amp;"","")</f>
        <v/>
      </c>
      <c r="Y116">
        <f>IFERROR(INDEX('1.산군_붙여넣기'!$A$1:$AZ$1001,ROW(),설정!$C$15)&amp;"","")</f>
        <v/>
      </c>
      <c r="Z116">
        <f>IF(T116,V116&amp;"|"&amp;U116,"")</f>
        <v/>
      </c>
    </row>
    <row r="117">
      <c r="A117">
        <f>ROW()</f>
        <v/>
      </c>
      <c r="B117">
        <f>IFERROR(INDEX('1.산군_붙여넣기'!$A$1:$AZ$1001,ROW(),설정!$C$4)&amp;"","")</f>
        <v/>
      </c>
      <c r="C117">
        <f>IFERROR(INDEX('1.산군_붙여넣기'!$A$1:$AZ$1001,ROW(),설정!$C$5)&amp;"","")</f>
        <v/>
      </c>
      <c r="D117" s="5">
        <f>IFERROR(VALUE(SUBSTITUTE(SUBSTITUTE(SUBSTITUTE(IFERROR(INDEX('1.산군_붙여넣기'!$A$1:$AZ$1001,ROW(),설정!$C$6)&amp;"",""),",",""),"㎡",""),"m2","")),"")</f>
        <v/>
      </c>
      <c r="E117">
        <f>IFERROR(INDEX('1.산군_붙여넣기'!$A$1:$AZ$1001,ROW(),설정!$C$7)&amp;"","")</f>
        <v/>
      </c>
      <c r="F117">
        <f>IFERROR(INDEX('1.산군_붙여넣기'!$A$1:$AZ$1001,ROW(),설정!$C$8)&amp;"","")</f>
        <v/>
      </c>
      <c r="G117">
        <f>IFERROR(INDEX('1.산군_붙여넣기'!$A$1:$AZ$1001,ROW(),설정!$C$9)&amp;"","")</f>
        <v/>
      </c>
      <c r="H117">
        <f>IFERROR(INDEX('1.산군_붙여넣기'!$A$1:$AZ$1001,ROW(),설정!$C$10)&amp;"","")</f>
        <v/>
      </c>
      <c r="I117">
        <f>IFERROR(INDEX('1.산군_붙여넣기'!$A$1:$AZ$1001,ROW(),설정!$C$11)&amp;"","")</f>
        <v/>
      </c>
      <c r="J117">
        <f>IFERROR(INDEX('1.산군_붙여넣기'!$A$1:$AZ$1001,ROW(),설정!$C$12)&amp;"","")</f>
        <v/>
      </c>
      <c r="K117">
        <f>IFERROR(INDEX('1.산군_붙여넣기'!$A$1:$AZ$1001,ROW(),설정!$C$13)&amp;"","")</f>
        <v/>
      </c>
      <c r="L117" s="6">
        <f>IF(X117="","",IF(AND(LEN(X117)=8,ISNUMBER(X117*1)),DATE(LEFT(X117,4),MID(X117,5,2),RIGHT(X117,2)),IFERROR(DATEVALUE(SUBSTITUTE(SUBSTITUTE(X117,".","-"),"/","-")),IFERROR(X117*1,""))))</f>
        <v/>
      </c>
      <c r="M117" s="6">
        <f>IF(Y117="","",IF(AND(LEN(Y117)=8,ISNUMBER(Y117*1)),DATE(LEFT(Y117,4),MID(Y117,5,2),RIGHT(Y117,2)),IFERROR(DATEVALUE(SUBSTITUTE(SUBSTITUTE(Y117,".","-"),"/","-")),IFERROR(Y117*1,""))))</f>
        <v/>
      </c>
      <c r="N117">
        <f>IFERROR(LEFT(B117,FIND(" ",B117)-1),B117)</f>
        <v/>
      </c>
      <c r="O117">
        <f>AND(B117&lt;&gt;"",B117&lt;&gt;설정!$B$4,C117&lt;&gt;설정!$B$5)</f>
        <v/>
      </c>
      <c r="P117">
        <f>IF(O117,B117&amp;"|"&amp;C117,"")</f>
        <v/>
      </c>
      <c r="Q117">
        <f>AND(O117,COUNTIF(P118:P$1002,P117)=0)</f>
        <v/>
      </c>
      <c r="R117">
        <f>OR(AND(설정!$A$28&lt;&gt;"",ISNUMBER(SEARCH(설정!$A$28,E117&amp;" "&amp;C117))),AND(설정!$A$29&lt;&gt;"",ISNUMBER(SEARCH(설정!$A$29,E117&amp;" "&amp;C117))),AND(설정!$A$30&lt;&gt;"",ISNUMBER(SEARCH(설정!$A$30,E117&amp;" "&amp;C117))),AND(설정!$A$31&lt;&gt;"",ISNUMBER(SEARCH(설정!$A$31,E117&amp;" "&amp;C117))),AND(설정!$A$32&lt;&gt;"",ISNUMBER(SEARCH(설정!$A$32,E117&amp;" "&amp;C117))),AND(설정!$A$33&lt;&gt;"",ISNUMBER(SEARCH(설정!$A$33,E117&amp;" "&amp;C117))),AND(설정!$A$34&lt;&gt;"",ISNUMBER(SEARCH(설정!$A$34,E117&amp;" "&amp;C117))),AND(설정!$A$35&lt;&gt;"",ISNUMBER(SEARCH(설정!$A$35,E117&amp;" "&amp;C117))),AND(설정!$A$36&lt;&gt;"",ISNUMBER(SEARCH(설정!$A$36,E117&amp;" "&amp;C117))),AND(설정!$A$37&lt;&gt;"",ISNUMBER(SEARCH(설정!$A$37,E117&amp;" "&amp;C117))))</f>
        <v/>
      </c>
      <c r="S117">
        <f>OR(D117="",D117&gt;=설정!$B$19)</f>
        <v/>
      </c>
      <c r="T117">
        <f>AND(Q117,R117,S117)</f>
        <v/>
      </c>
      <c r="U117">
        <f>IF(T117,IF(AND(설정!$A$41&lt;&gt;"",ISNUMBER(SEARCH(설정!$A$41,K117))),설정!$B$41,IF(AND(설정!$A$42&lt;&gt;"",ISNUMBER(SEARCH(설정!$A$42,K117))),설정!$B$42,IF(AND(설정!$A$43&lt;&gt;"",ISNUMBER(SEARCH(설정!$A$43,K117))),설정!$B$43,IF(AND(설정!$A$44&lt;&gt;"",ISNUMBER(SEARCH(설정!$A$44,K117))),설정!$B$44,IF(AND(설정!$A$45&lt;&gt;"",ISNUMBER(SEARCH(설정!$A$45,K117))),설정!$B$45,IF(AND(설정!$A$46&lt;&gt;"",ISNUMBER(SEARCH(설정!$A$46,K117))),설정!$B$46,IF(AND(설정!$A$47&lt;&gt;"",ISNUMBER(SEARCH(설정!$A$47,K117))),설정!$B$47,IF(AND(설정!$A$48&lt;&gt;"",ISNUMBER(SEARCH(설정!$A$48,K117))),설정!$B$48,IF(M117="","설계사","시공사"))))))))),"")</f>
        <v/>
      </c>
      <c r="V117">
        <f>SUBSTITUTE(SUBSTITUTE(SUBSTITUTE(SUBSTITUTE(G117,"(주)",""),"㈜",""),"주식회사","")," ","")</f>
        <v/>
      </c>
      <c r="W117">
        <f>IF(AND(T117,V117&lt;&gt;""),IF(COUNTIFS(V$2:V117,V117,T$2:T117,TRUE)=1,MAX(W$1:W116)+1,""),"")</f>
        <v/>
      </c>
      <c r="X117">
        <f>IFERROR(INDEX('1.산군_붙여넣기'!$A$1:$AZ$1001,ROW(),설정!$C$14)&amp;"","")</f>
        <v/>
      </c>
      <c r="Y117">
        <f>IFERROR(INDEX('1.산군_붙여넣기'!$A$1:$AZ$1001,ROW(),설정!$C$15)&amp;"","")</f>
        <v/>
      </c>
      <c r="Z117">
        <f>IF(T117,V117&amp;"|"&amp;U117,"")</f>
        <v/>
      </c>
    </row>
    <row r="118">
      <c r="A118">
        <f>ROW()</f>
        <v/>
      </c>
      <c r="B118">
        <f>IFERROR(INDEX('1.산군_붙여넣기'!$A$1:$AZ$1001,ROW(),설정!$C$4)&amp;"","")</f>
        <v/>
      </c>
      <c r="C118">
        <f>IFERROR(INDEX('1.산군_붙여넣기'!$A$1:$AZ$1001,ROW(),설정!$C$5)&amp;"","")</f>
        <v/>
      </c>
      <c r="D118" s="5">
        <f>IFERROR(VALUE(SUBSTITUTE(SUBSTITUTE(SUBSTITUTE(IFERROR(INDEX('1.산군_붙여넣기'!$A$1:$AZ$1001,ROW(),설정!$C$6)&amp;"",""),",",""),"㎡",""),"m2","")),"")</f>
        <v/>
      </c>
      <c r="E118">
        <f>IFERROR(INDEX('1.산군_붙여넣기'!$A$1:$AZ$1001,ROW(),설정!$C$7)&amp;"","")</f>
        <v/>
      </c>
      <c r="F118">
        <f>IFERROR(INDEX('1.산군_붙여넣기'!$A$1:$AZ$1001,ROW(),설정!$C$8)&amp;"","")</f>
        <v/>
      </c>
      <c r="G118">
        <f>IFERROR(INDEX('1.산군_붙여넣기'!$A$1:$AZ$1001,ROW(),설정!$C$9)&amp;"","")</f>
        <v/>
      </c>
      <c r="H118">
        <f>IFERROR(INDEX('1.산군_붙여넣기'!$A$1:$AZ$1001,ROW(),설정!$C$10)&amp;"","")</f>
        <v/>
      </c>
      <c r="I118">
        <f>IFERROR(INDEX('1.산군_붙여넣기'!$A$1:$AZ$1001,ROW(),설정!$C$11)&amp;"","")</f>
        <v/>
      </c>
      <c r="J118">
        <f>IFERROR(INDEX('1.산군_붙여넣기'!$A$1:$AZ$1001,ROW(),설정!$C$12)&amp;"","")</f>
        <v/>
      </c>
      <c r="K118">
        <f>IFERROR(INDEX('1.산군_붙여넣기'!$A$1:$AZ$1001,ROW(),설정!$C$13)&amp;"","")</f>
        <v/>
      </c>
      <c r="L118" s="6">
        <f>IF(X118="","",IF(AND(LEN(X118)=8,ISNUMBER(X118*1)),DATE(LEFT(X118,4),MID(X118,5,2),RIGHT(X118,2)),IFERROR(DATEVALUE(SUBSTITUTE(SUBSTITUTE(X118,".","-"),"/","-")),IFERROR(X118*1,""))))</f>
        <v/>
      </c>
      <c r="M118" s="6">
        <f>IF(Y118="","",IF(AND(LEN(Y118)=8,ISNUMBER(Y118*1)),DATE(LEFT(Y118,4),MID(Y118,5,2),RIGHT(Y118,2)),IFERROR(DATEVALUE(SUBSTITUTE(SUBSTITUTE(Y118,".","-"),"/","-")),IFERROR(Y118*1,""))))</f>
        <v/>
      </c>
      <c r="N118">
        <f>IFERROR(LEFT(B118,FIND(" ",B118)-1),B118)</f>
        <v/>
      </c>
      <c r="O118">
        <f>AND(B118&lt;&gt;"",B118&lt;&gt;설정!$B$4,C118&lt;&gt;설정!$B$5)</f>
        <v/>
      </c>
      <c r="P118">
        <f>IF(O118,B118&amp;"|"&amp;C118,"")</f>
        <v/>
      </c>
      <c r="Q118">
        <f>AND(O118,COUNTIF(P119:P$1002,P118)=0)</f>
        <v/>
      </c>
      <c r="R118">
        <f>OR(AND(설정!$A$28&lt;&gt;"",ISNUMBER(SEARCH(설정!$A$28,E118&amp;" "&amp;C118))),AND(설정!$A$29&lt;&gt;"",ISNUMBER(SEARCH(설정!$A$29,E118&amp;" "&amp;C118))),AND(설정!$A$30&lt;&gt;"",ISNUMBER(SEARCH(설정!$A$30,E118&amp;" "&amp;C118))),AND(설정!$A$31&lt;&gt;"",ISNUMBER(SEARCH(설정!$A$31,E118&amp;" "&amp;C118))),AND(설정!$A$32&lt;&gt;"",ISNUMBER(SEARCH(설정!$A$32,E118&amp;" "&amp;C118))),AND(설정!$A$33&lt;&gt;"",ISNUMBER(SEARCH(설정!$A$33,E118&amp;" "&amp;C118))),AND(설정!$A$34&lt;&gt;"",ISNUMBER(SEARCH(설정!$A$34,E118&amp;" "&amp;C118))),AND(설정!$A$35&lt;&gt;"",ISNUMBER(SEARCH(설정!$A$35,E118&amp;" "&amp;C118))),AND(설정!$A$36&lt;&gt;"",ISNUMBER(SEARCH(설정!$A$36,E118&amp;" "&amp;C118))),AND(설정!$A$37&lt;&gt;"",ISNUMBER(SEARCH(설정!$A$37,E118&amp;" "&amp;C118))))</f>
        <v/>
      </c>
      <c r="S118">
        <f>OR(D118="",D118&gt;=설정!$B$19)</f>
        <v/>
      </c>
      <c r="T118">
        <f>AND(Q118,R118,S118)</f>
        <v/>
      </c>
      <c r="U118">
        <f>IF(T118,IF(AND(설정!$A$41&lt;&gt;"",ISNUMBER(SEARCH(설정!$A$41,K118))),설정!$B$41,IF(AND(설정!$A$42&lt;&gt;"",ISNUMBER(SEARCH(설정!$A$42,K118))),설정!$B$42,IF(AND(설정!$A$43&lt;&gt;"",ISNUMBER(SEARCH(설정!$A$43,K118))),설정!$B$43,IF(AND(설정!$A$44&lt;&gt;"",ISNUMBER(SEARCH(설정!$A$44,K118))),설정!$B$44,IF(AND(설정!$A$45&lt;&gt;"",ISNUMBER(SEARCH(설정!$A$45,K118))),설정!$B$45,IF(AND(설정!$A$46&lt;&gt;"",ISNUMBER(SEARCH(설정!$A$46,K118))),설정!$B$46,IF(AND(설정!$A$47&lt;&gt;"",ISNUMBER(SEARCH(설정!$A$47,K118))),설정!$B$47,IF(AND(설정!$A$48&lt;&gt;"",ISNUMBER(SEARCH(설정!$A$48,K118))),설정!$B$48,IF(M118="","설계사","시공사"))))))))),"")</f>
        <v/>
      </c>
      <c r="V118">
        <f>SUBSTITUTE(SUBSTITUTE(SUBSTITUTE(SUBSTITUTE(G118,"(주)",""),"㈜",""),"주식회사","")," ","")</f>
        <v/>
      </c>
      <c r="W118">
        <f>IF(AND(T118,V118&lt;&gt;""),IF(COUNTIFS(V$2:V118,V118,T$2:T118,TRUE)=1,MAX(W$1:W117)+1,""),"")</f>
        <v/>
      </c>
      <c r="X118">
        <f>IFERROR(INDEX('1.산군_붙여넣기'!$A$1:$AZ$1001,ROW(),설정!$C$14)&amp;"","")</f>
        <v/>
      </c>
      <c r="Y118">
        <f>IFERROR(INDEX('1.산군_붙여넣기'!$A$1:$AZ$1001,ROW(),설정!$C$15)&amp;"","")</f>
        <v/>
      </c>
      <c r="Z118">
        <f>IF(T118,V118&amp;"|"&amp;U118,"")</f>
        <v/>
      </c>
    </row>
    <row r="119">
      <c r="A119">
        <f>ROW()</f>
        <v/>
      </c>
      <c r="B119">
        <f>IFERROR(INDEX('1.산군_붙여넣기'!$A$1:$AZ$1001,ROW(),설정!$C$4)&amp;"","")</f>
        <v/>
      </c>
      <c r="C119">
        <f>IFERROR(INDEX('1.산군_붙여넣기'!$A$1:$AZ$1001,ROW(),설정!$C$5)&amp;"","")</f>
        <v/>
      </c>
      <c r="D119" s="5">
        <f>IFERROR(VALUE(SUBSTITUTE(SUBSTITUTE(SUBSTITUTE(IFERROR(INDEX('1.산군_붙여넣기'!$A$1:$AZ$1001,ROW(),설정!$C$6)&amp;"",""),",",""),"㎡",""),"m2","")),"")</f>
        <v/>
      </c>
      <c r="E119">
        <f>IFERROR(INDEX('1.산군_붙여넣기'!$A$1:$AZ$1001,ROW(),설정!$C$7)&amp;"","")</f>
        <v/>
      </c>
      <c r="F119">
        <f>IFERROR(INDEX('1.산군_붙여넣기'!$A$1:$AZ$1001,ROW(),설정!$C$8)&amp;"","")</f>
        <v/>
      </c>
      <c r="G119">
        <f>IFERROR(INDEX('1.산군_붙여넣기'!$A$1:$AZ$1001,ROW(),설정!$C$9)&amp;"","")</f>
        <v/>
      </c>
      <c r="H119">
        <f>IFERROR(INDEX('1.산군_붙여넣기'!$A$1:$AZ$1001,ROW(),설정!$C$10)&amp;"","")</f>
        <v/>
      </c>
      <c r="I119">
        <f>IFERROR(INDEX('1.산군_붙여넣기'!$A$1:$AZ$1001,ROW(),설정!$C$11)&amp;"","")</f>
        <v/>
      </c>
      <c r="J119">
        <f>IFERROR(INDEX('1.산군_붙여넣기'!$A$1:$AZ$1001,ROW(),설정!$C$12)&amp;"","")</f>
        <v/>
      </c>
      <c r="K119">
        <f>IFERROR(INDEX('1.산군_붙여넣기'!$A$1:$AZ$1001,ROW(),설정!$C$13)&amp;"","")</f>
        <v/>
      </c>
      <c r="L119" s="6">
        <f>IF(X119="","",IF(AND(LEN(X119)=8,ISNUMBER(X119*1)),DATE(LEFT(X119,4),MID(X119,5,2),RIGHT(X119,2)),IFERROR(DATEVALUE(SUBSTITUTE(SUBSTITUTE(X119,".","-"),"/","-")),IFERROR(X119*1,""))))</f>
        <v/>
      </c>
      <c r="M119" s="6">
        <f>IF(Y119="","",IF(AND(LEN(Y119)=8,ISNUMBER(Y119*1)),DATE(LEFT(Y119,4),MID(Y119,5,2),RIGHT(Y119,2)),IFERROR(DATEVALUE(SUBSTITUTE(SUBSTITUTE(Y119,".","-"),"/","-")),IFERROR(Y119*1,""))))</f>
        <v/>
      </c>
      <c r="N119">
        <f>IFERROR(LEFT(B119,FIND(" ",B119)-1),B119)</f>
        <v/>
      </c>
      <c r="O119">
        <f>AND(B119&lt;&gt;"",B119&lt;&gt;설정!$B$4,C119&lt;&gt;설정!$B$5)</f>
        <v/>
      </c>
      <c r="P119">
        <f>IF(O119,B119&amp;"|"&amp;C119,"")</f>
        <v/>
      </c>
      <c r="Q119">
        <f>AND(O119,COUNTIF(P120:P$1002,P119)=0)</f>
        <v/>
      </c>
      <c r="R119">
        <f>OR(AND(설정!$A$28&lt;&gt;"",ISNUMBER(SEARCH(설정!$A$28,E119&amp;" "&amp;C119))),AND(설정!$A$29&lt;&gt;"",ISNUMBER(SEARCH(설정!$A$29,E119&amp;" "&amp;C119))),AND(설정!$A$30&lt;&gt;"",ISNUMBER(SEARCH(설정!$A$30,E119&amp;" "&amp;C119))),AND(설정!$A$31&lt;&gt;"",ISNUMBER(SEARCH(설정!$A$31,E119&amp;" "&amp;C119))),AND(설정!$A$32&lt;&gt;"",ISNUMBER(SEARCH(설정!$A$32,E119&amp;" "&amp;C119))),AND(설정!$A$33&lt;&gt;"",ISNUMBER(SEARCH(설정!$A$33,E119&amp;" "&amp;C119))),AND(설정!$A$34&lt;&gt;"",ISNUMBER(SEARCH(설정!$A$34,E119&amp;" "&amp;C119))),AND(설정!$A$35&lt;&gt;"",ISNUMBER(SEARCH(설정!$A$35,E119&amp;" "&amp;C119))),AND(설정!$A$36&lt;&gt;"",ISNUMBER(SEARCH(설정!$A$36,E119&amp;" "&amp;C119))),AND(설정!$A$37&lt;&gt;"",ISNUMBER(SEARCH(설정!$A$37,E119&amp;" "&amp;C119))))</f>
        <v/>
      </c>
      <c r="S119">
        <f>OR(D119="",D119&gt;=설정!$B$19)</f>
        <v/>
      </c>
      <c r="T119">
        <f>AND(Q119,R119,S119)</f>
        <v/>
      </c>
      <c r="U119">
        <f>IF(T119,IF(AND(설정!$A$41&lt;&gt;"",ISNUMBER(SEARCH(설정!$A$41,K119))),설정!$B$41,IF(AND(설정!$A$42&lt;&gt;"",ISNUMBER(SEARCH(설정!$A$42,K119))),설정!$B$42,IF(AND(설정!$A$43&lt;&gt;"",ISNUMBER(SEARCH(설정!$A$43,K119))),설정!$B$43,IF(AND(설정!$A$44&lt;&gt;"",ISNUMBER(SEARCH(설정!$A$44,K119))),설정!$B$44,IF(AND(설정!$A$45&lt;&gt;"",ISNUMBER(SEARCH(설정!$A$45,K119))),설정!$B$45,IF(AND(설정!$A$46&lt;&gt;"",ISNUMBER(SEARCH(설정!$A$46,K119))),설정!$B$46,IF(AND(설정!$A$47&lt;&gt;"",ISNUMBER(SEARCH(설정!$A$47,K119))),설정!$B$47,IF(AND(설정!$A$48&lt;&gt;"",ISNUMBER(SEARCH(설정!$A$48,K119))),설정!$B$48,IF(M119="","설계사","시공사"))))))))),"")</f>
        <v/>
      </c>
      <c r="V119">
        <f>SUBSTITUTE(SUBSTITUTE(SUBSTITUTE(SUBSTITUTE(G119,"(주)",""),"㈜",""),"주식회사","")," ","")</f>
        <v/>
      </c>
      <c r="W119">
        <f>IF(AND(T119,V119&lt;&gt;""),IF(COUNTIFS(V$2:V119,V119,T$2:T119,TRUE)=1,MAX(W$1:W118)+1,""),"")</f>
        <v/>
      </c>
      <c r="X119">
        <f>IFERROR(INDEX('1.산군_붙여넣기'!$A$1:$AZ$1001,ROW(),설정!$C$14)&amp;"","")</f>
        <v/>
      </c>
      <c r="Y119">
        <f>IFERROR(INDEX('1.산군_붙여넣기'!$A$1:$AZ$1001,ROW(),설정!$C$15)&amp;"","")</f>
        <v/>
      </c>
      <c r="Z119">
        <f>IF(T119,V119&amp;"|"&amp;U119,"")</f>
        <v/>
      </c>
    </row>
    <row r="120">
      <c r="A120">
        <f>ROW()</f>
        <v/>
      </c>
      <c r="B120">
        <f>IFERROR(INDEX('1.산군_붙여넣기'!$A$1:$AZ$1001,ROW(),설정!$C$4)&amp;"","")</f>
        <v/>
      </c>
      <c r="C120">
        <f>IFERROR(INDEX('1.산군_붙여넣기'!$A$1:$AZ$1001,ROW(),설정!$C$5)&amp;"","")</f>
        <v/>
      </c>
      <c r="D120" s="5">
        <f>IFERROR(VALUE(SUBSTITUTE(SUBSTITUTE(SUBSTITUTE(IFERROR(INDEX('1.산군_붙여넣기'!$A$1:$AZ$1001,ROW(),설정!$C$6)&amp;"",""),",",""),"㎡",""),"m2","")),"")</f>
        <v/>
      </c>
      <c r="E120">
        <f>IFERROR(INDEX('1.산군_붙여넣기'!$A$1:$AZ$1001,ROW(),설정!$C$7)&amp;"","")</f>
        <v/>
      </c>
      <c r="F120">
        <f>IFERROR(INDEX('1.산군_붙여넣기'!$A$1:$AZ$1001,ROW(),설정!$C$8)&amp;"","")</f>
        <v/>
      </c>
      <c r="G120">
        <f>IFERROR(INDEX('1.산군_붙여넣기'!$A$1:$AZ$1001,ROW(),설정!$C$9)&amp;"","")</f>
        <v/>
      </c>
      <c r="H120">
        <f>IFERROR(INDEX('1.산군_붙여넣기'!$A$1:$AZ$1001,ROW(),설정!$C$10)&amp;"","")</f>
        <v/>
      </c>
      <c r="I120">
        <f>IFERROR(INDEX('1.산군_붙여넣기'!$A$1:$AZ$1001,ROW(),설정!$C$11)&amp;"","")</f>
        <v/>
      </c>
      <c r="J120">
        <f>IFERROR(INDEX('1.산군_붙여넣기'!$A$1:$AZ$1001,ROW(),설정!$C$12)&amp;"","")</f>
        <v/>
      </c>
      <c r="K120">
        <f>IFERROR(INDEX('1.산군_붙여넣기'!$A$1:$AZ$1001,ROW(),설정!$C$13)&amp;"","")</f>
        <v/>
      </c>
      <c r="L120" s="6">
        <f>IF(X120="","",IF(AND(LEN(X120)=8,ISNUMBER(X120*1)),DATE(LEFT(X120,4),MID(X120,5,2),RIGHT(X120,2)),IFERROR(DATEVALUE(SUBSTITUTE(SUBSTITUTE(X120,".","-"),"/","-")),IFERROR(X120*1,""))))</f>
        <v/>
      </c>
      <c r="M120" s="6">
        <f>IF(Y120="","",IF(AND(LEN(Y120)=8,ISNUMBER(Y120*1)),DATE(LEFT(Y120,4),MID(Y120,5,2),RIGHT(Y120,2)),IFERROR(DATEVALUE(SUBSTITUTE(SUBSTITUTE(Y120,".","-"),"/","-")),IFERROR(Y120*1,""))))</f>
        <v/>
      </c>
      <c r="N120">
        <f>IFERROR(LEFT(B120,FIND(" ",B120)-1),B120)</f>
        <v/>
      </c>
      <c r="O120">
        <f>AND(B120&lt;&gt;"",B120&lt;&gt;설정!$B$4,C120&lt;&gt;설정!$B$5)</f>
        <v/>
      </c>
      <c r="P120">
        <f>IF(O120,B120&amp;"|"&amp;C120,"")</f>
        <v/>
      </c>
      <c r="Q120">
        <f>AND(O120,COUNTIF(P121:P$1002,P120)=0)</f>
        <v/>
      </c>
      <c r="R120">
        <f>OR(AND(설정!$A$28&lt;&gt;"",ISNUMBER(SEARCH(설정!$A$28,E120&amp;" "&amp;C120))),AND(설정!$A$29&lt;&gt;"",ISNUMBER(SEARCH(설정!$A$29,E120&amp;" "&amp;C120))),AND(설정!$A$30&lt;&gt;"",ISNUMBER(SEARCH(설정!$A$30,E120&amp;" "&amp;C120))),AND(설정!$A$31&lt;&gt;"",ISNUMBER(SEARCH(설정!$A$31,E120&amp;" "&amp;C120))),AND(설정!$A$32&lt;&gt;"",ISNUMBER(SEARCH(설정!$A$32,E120&amp;" "&amp;C120))),AND(설정!$A$33&lt;&gt;"",ISNUMBER(SEARCH(설정!$A$33,E120&amp;" "&amp;C120))),AND(설정!$A$34&lt;&gt;"",ISNUMBER(SEARCH(설정!$A$34,E120&amp;" "&amp;C120))),AND(설정!$A$35&lt;&gt;"",ISNUMBER(SEARCH(설정!$A$35,E120&amp;" "&amp;C120))),AND(설정!$A$36&lt;&gt;"",ISNUMBER(SEARCH(설정!$A$36,E120&amp;" "&amp;C120))),AND(설정!$A$37&lt;&gt;"",ISNUMBER(SEARCH(설정!$A$37,E120&amp;" "&amp;C120))))</f>
        <v/>
      </c>
      <c r="S120">
        <f>OR(D120="",D120&gt;=설정!$B$19)</f>
        <v/>
      </c>
      <c r="T120">
        <f>AND(Q120,R120,S120)</f>
        <v/>
      </c>
      <c r="U120">
        <f>IF(T120,IF(AND(설정!$A$41&lt;&gt;"",ISNUMBER(SEARCH(설정!$A$41,K120))),설정!$B$41,IF(AND(설정!$A$42&lt;&gt;"",ISNUMBER(SEARCH(설정!$A$42,K120))),설정!$B$42,IF(AND(설정!$A$43&lt;&gt;"",ISNUMBER(SEARCH(설정!$A$43,K120))),설정!$B$43,IF(AND(설정!$A$44&lt;&gt;"",ISNUMBER(SEARCH(설정!$A$44,K120))),설정!$B$44,IF(AND(설정!$A$45&lt;&gt;"",ISNUMBER(SEARCH(설정!$A$45,K120))),설정!$B$45,IF(AND(설정!$A$46&lt;&gt;"",ISNUMBER(SEARCH(설정!$A$46,K120))),설정!$B$46,IF(AND(설정!$A$47&lt;&gt;"",ISNUMBER(SEARCH(설정!$A$47,K120))),설정!$B$47,IF(AND(설정!$A$48&lt;&gt;"",ISNUMBER(SEARCH(설정!$A$48,K120))),설정!$B$48,IF(M120="","설계사","시공사"))))))))),"")</f>
        <v/>
      </c>
      <c r="V120">
        <f>SUBSTITUTE(SUBSTITUTE(SUBSTITUTE(SUBSTITUTE(G120,"(주)",""),"㈜",""),"주식회사","")," ","")</f>
        <v/>
      </c>
      <c r="W120">
        <f>IF(AND(T120,V120&lt;&gt;""),IF(COUNTIFS(V$2:V120,V120,T$2:T120,TRUE)=1,MAX(W$1:W119)+1,""),"")</f>
        <v/>
      </c>
      <c r="X120">
        <f>IFERROR(INDEX('1.산군_붙여넣기'!$A$1:$AZ$1001,ROW(),설정!$C$14)&amp;"","")</f>
        <v/>
      </c>
      <c r="Y120">
        <f>IFERROR(INDEX('1.산군_붙여넣기'!$A$1:$AZ$1001,ROW(),설정!$C$15)&amp;"","")</f>
        <v/>
      </c>
      <c r="Z120">
        <f>IF(T120,V120&amp;"|"&amp;U120,"")</f>
        <v/>
      </c>
    </row>
    <row r="121">
      <c r="A121">
        <f>ROW()</f>
        <v/>
      </c>
      <c r="B121">
        <f>IFERROR(INDEX('1.산군_붙여넣기'!$A$1:$AZ$1001,ROW(),설정!$C$4)&amp;"","")</f>
        <v/>
      </c>
      <c r="C121">
        <f>IFERROR(INDEX('1.산군_붙여넣기'!$A$1:$AZ$1001,ROW(),설정!$C$5)&amp;"","")</f>
        <v/>
      </c>
      <c r="D121" s="5">
        <f>IFERROR(VALUE(SUBSTITUTE(SUBSTITUTE(SUBSTITUTE(IFERROR(INDEX('1.산군_붙여넣기'!$A$1:$AZ$1001,ROW(),설정!$C$6)&amp;"",""),",",""),"㎡",""),"m2","")),"")</f>
        <v/>
      </c>
      <c r="E121">
        <f>IFERROR(INDEX('1.산군_붙여넣기'!$A$1:$AZ$1001,ROW(),설정!$C$7)&amp;"","")</f>
        <v/>
      </c>
      <c r="F121">
        <f>IFERROR(INDEX('1.산군_붙여넣기'!$A$1:$AZ$1001,ROW(),설정!$C$8)&amp;"","")</f>
        <v/>
      </c>
      <c r="G121">
        <f>IFERROR(INDEX('1.산군_붙여넣기'!$A$1:$AZ$1001,ROW(),설정!$C$9)&amp;"","")</f>
        <v/>
      </c>
      <c r="H121">
        <f>IFERROR(INDEX('1.산군_붙여넣기'!$A$1:$AZ$1001,ROW(),설정!$C$10)&amp;"","")</f>
        <v/>
      </c>
      <c r="I121">
        <f>IFERROR(INDEX('1.산군_붙여넣기'!$A$1:$AZ$1001,ROW(),설정!$C$11)&amp;"","")</f>
        <v/>
      </c>
      <c r="J121">
        <f>IFERROR(INDEX('1.산군_붙여넣기'!$A$1:$AZ$1001,ROW(),설정!$C$12)&amp;"","")</f>
        <v/>
      </c>
      <c r="K121">
        <f>IFERROR(INDEX('1.산군_붙여넣기'!$A$1:$AZ$1001,ROW(),설정!$C$13)&amp;"","")</f>
        <v/>
      </c>
      <c r="L121" s="6">
        <f>IF(X121="","",IF(AND(LEN(X121)=8,ISNUMBER(X121*1)),DATE(LEFT(X121,4),MID(X121,5,2),RIGHT(X121,2)),IFERROR(DATEVALUE(SUBSTITUTE(SUBSTITUTE(X121,".","-"),"/","-")),IFERROR(X121*1,""))))</f>
        <v/>
      </c>
      <c r="M121" s="6">
        <f>IF(Y121="","",IF(AND(LEN(Y121)=8,ISNUMBER(Y121*1)),DATE(LEFT(Y121,4),MID(Y121,5,2),RIGHT(Y121,2)),IFERROR(DATEVALUE(SUBSTITUTE(SUBSTITUTE(Y121,".","-"),"/","-")),IFERROR(Y121*1,""))))</f>
        <v/>
      </c>
      <c r="N121">
        <f>IFERROR(LEFT(B121,FIND(" ",B121)-1),B121)</f>
        <v/>
      </c>
      <c r="O121">
        <f>AND(B121&lt;&gt;"",B121&lt;&gt;설정!$B$4,C121&lt;&gt;설정!$B$5)</f>
        <v/>
      </c>
      <c r="P121">
        <f>IF(O121,B121&amp;"|"&amp;C121,"")</f>
        <v/>
      </c>
      <c r="Q121">
        <f>AND(O121,COUNTIF(P122:P$1002,P121)=0)</f>
        <v/>
      </c>
      <c r="R121">
        <f>OR(AND(설정!$A$28&lt;&gt;"",ISNUMBER(SEARCH(설정!$A$28,E121&amp;" "&amp;C121))),AND(설정!$A$29&lt;&gt;"",ISNUMBER(SEARCH(설정!$A$29,E121&amp;" "&amp;C121))),AND(설정!$A$30&lt;&gt;"",ISNUMBER(SEARCH(설정!$A$30,E121&amp;" "&amp;C121))),AND(설정!$A$31&lt;&gt;"",ISNUMBER(SEARCH(설정!$A$31,E121&amp;" "&amp;C121))),AND(설정!$A$32&lt;&gt;"",ISNUMBER(SEARCH(설정!$A$32,E121&amp;" "&amp;C121))),AND(설정!$A$33&lt;&gt;"",ISNUMBER(SEARCH(설정!$A$33,E121&amp;" "&amp;C121))),AND(설정!$A$34&lt;&gt;"",ISNUMBER(SEARCH(설정!$A$34,E121&amp;" "&amp;C121))),AND(설정!$A$35&lt;&gt;"",ISNUMBER(SEARCH(설정!$A$35,E121&amp;" "&amp;C121))),AND(설정!$A$36&lt;&gt;"",ISNUMBER(SEARCH(설정!$A$36,E121&amp;" "&amp;C121))),AND(설정!$A$37&lt;&gt;"",ISNUMBER(SEARCH(설정!$A$37,E121&amp;" "&amp;C121))))</f>
        <v/>
      </c>
      <c r="S121">
        <f>OR(D121="",D121&gt;=설정!$B$19)</f>
        <v/>
      </c>
      <c r="T121">
        <f>AND(Q121,R121,S121)</f>
        <v/>
      </c>
      <c r="U121">
        <f>IF(T121,IF(AND(설정!$A$41&lt;&gt;"",ISNUMBER(SEARCH(설정!$A$41,K121))),설정!$B$41,IF(AND(설정!$A$42&lt;&gt;"",ISNUMBER(SEARCH(설정!$A$42,K121))),설정!$B$42,IF(AND(설정!$A$43&lt;&gt;"",ISNUMBER(SEARCH(설정!$A$43,K121))),설정!$B$43,IF(AND(설정!$A$44&lt;&gt;"",ISNUMBER(SEARCH(설정!$A$44,K121))),설정!$B$44,IF(AND(설정!$A$45&lt;&gt;"",ISNUMBER(SEARCH(설정!$A$45,K121))),설정!$B$45,IF(AND(설정!$A$46&lt;&gt;"",ISNUMBER(SEARCH(설정!$A$46,K121))),설정!$B$46,IF(AND(설정!$A$47&lt;&gt;"",ISNUMBER(SEARCH(설정!$A$47,K121))),설정!$B$47,IF(AND(설정!$A$48&lt;&gt;"",ISNUMBER(SEARCH(설정!$A$48,K121))),설정!$B$48,IF(M121="","설계사","시공사"))))))))),"")</f>
        <v/>
      </c>
      <c r="V121">
        <f>SUBSTITUTE(SUBSTITUTE(SUBSTITUTE(SUBSTITUTE(G121,"(주)",""),"㈜",""),"주식회사","")," ","")</f>
        <v/>
      </c>
      <c r="W121">
        <f>IF(AND(T121,V121&lt;&gt;""),IF(COUNTIFS(V$2:V121,V121,T$2:T121,TRUE)=1,MAX(W$1:W120)+1,""),"")</f>
        <v/>
      </c>
      <c r="X121">
        <f>IFERROR(INDEX('1.산군_붙여넣기'!$A$1:$AZ$1001,ROW(),설정!$C$14)&amp;"","")</f>
        <v/>
      </c>
      <c r="Y121">
        <f>IFERROR(INDEX('1.산군_붙여넣기'!$A$1:$AZ$1001,ROW(),설정!$C$15)&amp;"","")</f>
        <v/>
      </c>
      <c r="Z121">
        <f>IF(T121,V121&amp;"|"&amp;U121,"")</f>
        <v/>
      </c>
    </row>
    <row r="122">
      <c r="A122">
        <f>ROW()</f>
        <v/>
      </c>
      <c r="B122">
        <f>IFERROR(INDEX('1.산군_붙여넣기'!$A$1:$AZ$1001,ROW(),설정!$C$4)&amp;"","")</f>
        <v/>
      </c>
      <c r="C122">
        <f>IFERROR(INDEX('1.산군_붙여넣기'!$A$1:$AZ$1001,ROW(),설정!$C$5)&amp;"","")</f>
        <v/>
      </c>
      <c r="D122" s="5">
        <f>IFERROR(VALUE(SUBSTITUTE(SUBSTITUTE(SUBSTITUTE(IFERROR(INDEX('1.산군_붙여넣기'!$A$1:$AZ$1001,ROW(),설정!$C$6)&amp;"",""),",",""),"㎡",""),"m2","")),"")</f>
        <v/>
      </c>
      <c r="E122">
        <f>IFERROR(INDEX('1.산군_붙여넣기'!$A$1:$AZ$1001,ROW(),설정!$C$7)&amp;"","")</f>
        <v/>
      </c>
      <c r="F122">
        <f>IFERROR(INDEX('1.산군_붙여넣기'!$A$1:$AZ$1001,ROW(),설정!$C$8)&amp;"","")</f>
        <v/>
      </c>
      <c r="G122">
        <f>IFERROR(INDEX('1.산군_붙여넣기'!$A$1:$AZ$1001,ROW(),설정!$C$9)&amp;"","")</f>
        <v/>
      </c>
      <c r="H122">
        <f>IFERROR(INDEX('1.산군_붙여넣기'!$A$1:$AZ$1001,ROW(),설정!$C$10)&amp;"","")</f>
        <v/>
      </c>
      <c r="I122">
        <f>IFERROR(INDEX('1.산군_붙여넣기'!$A$1:$AZ$1001,ROW(),설정!$C$11)&amp;"","")</f>
        <v/>
      </c>
      <c r="J122">
        <f>IFERROR(INDEX('1.산군_붙여넣기'!$A$1:$AZ$1001,ROW(),설정!$C$12)&amp;"","")</f>
        <v/>
      </c>
      <c r="K122">
        <f>IFERROR(INDEX('1.산군_붙여넣기'!$A$1:$AZ$1001,ROW(),설정!$C$13)&amp;"","")</f>
        <v/>
      </c>
      <c r="L122" s="6">
        <f>IF(X122="","",IF(AND(LEN(X122)=8,ISNUMBER(X122*1)),DATE(LEFT(X122,4),MID(X122,5,2),RIGHT(X122,2)),IFERROR(DATEVALUE(SUBSTITUTE(SUBSTITUTE(X122,".","-"),"/","-")),IFERROR(X122*1,""))))</f>
        <v/>
      </c>
      <c r="M122" s="6">
        <f>IF(Y122="","",IF(AND(LEN(Y122)=8,ISNUMBER(Y122*1)),DATE(LEFT(Y122,4),MID(Y122,5,2),RIGHT(Y122,2)),IFERROR(DATEVALUE(SUBSTITUTE(SUBSTITUTE(Y122,".","-"),"/","-")),IFERROR(Y122*1,""))))</f>
        <v/>
      </c>
      <c r="N122">
        <f>IFERROR(LEFT(B122,FIND(" ",B122)-1),B122)</f>
        <v/>
      </c>
      <c r="O122">
        <f>AND(B122&lt;&gt;"",B122&lt;&gt;설정!$B$4,C122&lt;&gt;설정!$B$5)</f>
        <v/>
      </c>
      <c r="P122">
        <f>IF(O122,B122&amp;"|"&amp;C122,"")</f>
        <v/>
      </c>
      <c r="Q122">
        <f>AND(O122,COUNTIF(P123:P$1002,P122)=0)</f>
        <v/>
      </c>
      <c r="R122">
        <f>OR(AND(설정!$A$28&lt;&gt;"",ISNUMBER(SEARCH(설정!$A$28,E122&amp;" "&amp;C122))),AND(설정!$A$29&lt;&gt;"",ISNUMBER(SEARCH(설정!$A$29,E122&amp;" "&amp;C122))),AND(설정!$A$30&lt;&gt;"",ISNUMBER(SEARCH(설정!$A$30,E122&amp;" "&amp;C122))),AND(설정!$A$31&lt;&gt;"",ISNUMBER(SEARCH(설정!$A$31,E122&amp;" "&amp;C122))),AND(설정!$A$32&lt;&gt;"",ISNUMBER(SEARCH(설정!$A$32,E122&amp;" "&amp;C122))),AND(설정!$A$33&lt;&gt;"",ISNUMBER(SEARCH(설정!$A$33,E122&amp;" "&amp;C122))),AND(설정!$A$34&lt;&gt;"",ISNUMBER(SEARCH(설정!$A$34,E122&amp;" "&amp;C122))),AND(설정!$A$35&lt;&gt;"",ISNUMBER(SEARCH(설정!$A$35,E122&amp;" "&amp;C122))),AND(설정!$A$36&lt;&gt;"",ISNUMBER(SEARCH(설정!$A$36,E122&amp;" "&amp;C122))),AND(설정!$A$37&lt;&gt;"",ISNUMBER(SEARCH(설정!$A$37,E122&amp;" "&amp;C122))))</f>
        <v/>
      </c>
      <c r="S122">
        <f>OR(D122="",D122&gt;=설정!$B$19)</f>
        <v/>
      </c>
      <c r="T122">
        <f>AND(Q122,R122,S122)</f>
        <v/>
      </c>
      <c r="U122">
        <f>IF(T122,IF(AND(설정!$A$41&lt;&gt;"",ISNUMBER(SEARCH(설정!$A$41,K122))),설정!$B$41,IF(AND(설정!$A$42&lt;&gt;"",ISNUMBER(SEARCH(설정!$A$42,K122))),설정!$B$42,IF(AND(설정!$A$43&lt;&gt;"",ISNUMBER(SEARCH(설정!$A$43,K122))),설정!$B$43,IF(AND(설정!$A$44&lt;&gt;"",ISNUMBER(SEARCH(설정!$A$44,K122))),설정!$B$44,IF(AND(설정!$A$45&lt;&gt;"",ISNUMBER(SEARCH(설정!$A$45,K122))),설정!$B$45,IF(AND(설정!$A$46&lt;&gt;"",ISNUMBER(SEARCH(설정!$A$46,K122))),설정!$B$46,IF(AND(설정!$A$47&lt;&gt;"",ISNUMBER(SEARCH(설정!$A$47,K122))),설정!$B$47,IF(AND(설정!$A$48&lt;&gt;"",ISNUMBER(SEARCH(설정!$A$48,K122))),설정!$B$48,IF(M122="","설계사","시공사"))))))))),"")</f>
        <v/>
      </c>
      <c r="V122">
        <f>SUBSTITUTE(SUBSTITUTE(SUBSTITUTE(SUBSTITUTE(G122,"(주)",""),"㈜",""),"주식회사","")," ","")</f>
        <v/>
      </c>
      <c r="W122">
        <f>IF(AND(T122,V122&lt;&gt;""),IF(COUNTIFS(V$2:V122,V122,T$2:T122,TRUE)=1,MAX(W$1:W121)+1,""),"")</f>
        <v/>
      </c>
      <c r="X122">
        <f>IFERROR(INDEX('1.산군_붙여넣기'!$A$1:$AZ$1001,ROW(),설정!$C$14)&amp;"","")</f>
        <v/>
      </c>
      <c r="Y122">
        <f>IFERROR(INDEX('1.산군_붙여넣기'!$A$1:$AZ$1001,ROW(),설정!$C$15)&amp;"","")</f>
        <v/>
      </c>
      <c r="Z122">
        <f>IF(T122,V122&amp;"|"&amp;U122,"")</f>
        <v/>
      </c>
    </row>
    <row r="123">
      <c r="A123">
        <f>ROW()</f>
        <v/>
      </c>
      <c r="B123">
        <f>IFERROR(INDEX('1.산군_붙여넣기'!$A$1:$AZ$1001,ROW(),설정!$C$4)&amp;"","")</f>
        <v/>
      </c>
      <c r="C123">
        <f>IFERROR(INDEX('1.산군_붙여넣기'!$A$1:$AZ$1001,ROW(),설정!$C$5)&amp;"","")</f>
        <v/>
      </c>
      <c r="D123" s="5">
        <f>IFERROR(VALUE(SUBSTITUTE(SUBSTITUTE(SUBSTITUTE(IFERROR(INDEX('1.산군_붙여넣기'!$A$1:$AZ$1001,ROW(),설정!$C$6)&amp;"",""),",",""),"㎡",""),"m2","")),"")</f>
        <v/>
      </c>
      <c r="E123">
        <f>IFERROR(INDEX('1.산군_붙여넣기'!$A$1:$AZ$1001,ROW(),설정!$C$7)&amp;"","")</f>
        <v/>
      </c>
      <c r="F123">
        <f>IFERROR(INDEX('1.산군_붙여넣기'!$A$1:$AZ$1001,ROW(),설정!$C$8)&amp;"","")</f>
        <v/>
      </c>
      <c r="G123">
        <f>IFERROR(INDEX('1.산군_붙여넣기'!$A$1:$AZ$1001,ROW(),설정!$C$9)&amp;"","")</f>
        <v/>
      </c>
      <c r="H123">
        <f>IFERROR(INDEX('1.산군_붙여넣기'!$A$1:$AZ$1001,ROW(),설정!$C$10)&amp;"","")</f>
        <v/>
      </c>
      <c r="I123">
        <f>IFERROR(INDEX('1.산군_붙여넣기'!$A$1:$AZ$1001,ROW(),설정!$C$11)&amp;"","")</f>
        <v/>
      </c>
      <c r="J123">
        <f>IFERROR(INDEX('1.산군_붙여넣기'!$A$1:$AZ$1001,ROW(),설정!$C$12)&amp;"","")</f>
        <v/>
      </c>
      <c r="K123">
        <f>IFERROR(INDEX('1.산군_붙여넣기'!$A$1:$AZ$1001,ROW(),설정!$C$13)&amp;"","")</f>
        <v/>
      </c>
      <c r="L123" s="6">
        <f>IF(X123="","",IF(AND(LEN(X123)=8,ISNUMBER(X123*1)),DATE(LEFT(X123,4),MID(X123,5,2),RIGHT(X123,2)),IFERROR(DATEVALUE(SUBSTITUTE(SUBSTITUTE(X123,".","-"),"/","-")),IFERROR(X123*1,""))))</f>
        <v/>
      </c>
      <c r="M123" s="6">
        <f>IF(Y123="","",IF(AND(LEN(Y123)=8,ISNUMBER(Y123*1)),DATE(LEFT(Y123,4),MID(Y123,5,2),RIGHT(Y123,2)),IFERROR(DATEVALUE(SUBSTITUTE(SUBSTITUTE(Y123,".","-"),"/","-")),IFERROR(Y123*1,""))))</f>
        <v/>
      </c>
      <c r="N123">
        <f>IFERROR(LEFT(B123,FIND(" ",B123)-1),B123)</f>
        <v/>
      </c>
      <c r="O123">
        <f>AND(B123&lt;&gt;"",B123&lt;&gt;설정!$B$4,C123&lt;&gt;설정!$B$5)</f>
        <v/>
      </c>
      <c r="P123">
        <f>IF(O123,B123&amp;"|"&amp;C123,"")</f>
        <v/>
      </c>
      <c r="Q123">
        <f>AND(O123,COUNTIF(P124:P$1002,P123)=0)</f>
        <v/>
      </c>
      <c r="R123">
        <f>OR(AND(설정!$A$28&lt;&gt;"",ISNUMBER(SEARCH(설정!$A$28,E123&amp;" "&amp;C123))),AND(설정!$A$29&lt;&gt;"",ISNUMBER(SEARCH(설정!$A$29,E123&amp;" "&amp;C123))),AND(설정!$A$30&lt;&gt;"",ISNUMBER(SEARCH(설정!$A$30,E123&amp;" "&amp;C123))),AND(설정!$A$31&lt;&gt;"",ISNUMBER(SEARCH(설정!$A$31,E123&amp;" "&amp;C123))),AND(설정!$A$32&lt;&gt;"",ISNUMBER(SEARCH(설정!$A$32,E123&amp;" "&amp;C123))),AND(설정!$A$33&lt;&gt;"",ISNUMBER(SEARCH(설정!$A$33,E123&amp;" "&amp;C123))),AND(설정!$A$34&lt;&gt;"",ISNUMBER(SEARCH(설정!$A$34,E123&amp;" "&amp;C123))),AND(설정!$A$35&lt;&gt;"",ISNUMBER(SEARCH(설정!$A$35,E123&amp;" "&amp;C123))),AND(설정!$A$36&lt;&gt;"",ISNUMBER(SEARCH(설정!$A$36,E123&amp;" "&amp;C123))),AND(설정!$A$37&lt;&gt;"",ISNUMBER(SEARCH(설정!$A$37,E123&amp;" "&amp;C123))))</f>
        <v/>
      </c>
      <c r="S123">
        <f>OR(D123="",D123&gt;=설정!$B$19)</f>
        <v/>
      </c>
      <c r="T123">
        <f>AND(Q123,R123,S123)</f>
        <v/>
      </c>
      <c r="U123">
        <f>IF(T123,IF(AND(설정!$A$41&lt;&gt;"",ISNUMBER(SEARCH(설정!$A$41,K123))),설정!$B$41,IF(AND(설정!$A$42&lt;&gt;"",ISNUMBER(SEARCH(설정!$A$42,K123))),설정!$B$42,IF(AND(설정!$A$43&lt;&gt;"",ISNUMBER(SEARCH(설정!$A$43,K123))),설정!$B$43,IF(AND(설정!$A$44&lt;&gt;"",ISNUMBER(SEARCH(설정!$A$44,K123))),설정!$B$44,IF(AND(설정!$A$45&lt;&gt;"",ISNUMBER(SEARCH(설정!$A$45,K123))),설정!$B$45,IF(AND(설정!$A$46&lt;&gt;"",ISNUMBER(SEARCH(설정!$A$46,K123))),설정!$B$46,IF(AND(설정!$A$47&lt;&gt;"",ISNUMBER(SEARCH(설정!$A$47,K123))),설정!$B$47,IF(AND(설정!$A$48&lt;&gt;"",ISNUMBER(SEARCH(설정!$A$48,K123))),설정!$B$48,IF(M123="","설계사","시공사"))))))))),"")</f>
        <v/>
      </c>
      <c r="V123">
        <f>SUBSTITUTE(SUBSTITUTE(SUBSTITUTE(SUBSTITUTE(G123,"(주)",""),"㈜",""),"주식회사","")," ","")</f>
        <v/>
      </c>
      <c r="W123">
        <f>IF(AND(T123,V123&lt;&gt;""),IF(COUNTIFS(V$2:V123,V123,T$2:T123,TRUE)=1,MAX(W$1:W122)+1,""),"")</f>
        <v/>
      </c>
      <c r="X123">
        <f>IFERROR(INDEX('1.산군_붙여넣기'!$A$1:$AZ$1001,ROW(),설정!$C$14)&amp;"","")</f>
        <v/>
      </c>
      <c r="Y123">
        <f>IFERROR(INDEX('1.산군_붙여넣기'!$A$1:$AZ$1001,ROW(),설정!$C$15)&amp;"","")</f>
        <v/>
      </c>
      <c r="Z123">
        <f>IF(T123,V123&amp;"|"&amp;U123,"")</f>
        <v/>
      </c>
    </row>
    <row r="124">
      <c r="A124">
        <f>ROW()</f>
        <v/>
      </c>
      <c r="B124">
        <f>IFERROR(INDEX('1.산군_붙여넣기'!$A$1:$AZ$1001,ROW(),설정!$C$4)&amp;"","")</f>
        <v/>
      </c>
      <c r="C124">
        <f>IFERROR(INDEX('1.산군_붙여넣기'!$A$1:$AZ$1001,ROW(),설정!$C$5)&amp;"","")</f>
        <v/>
      </c>
      <c r="D124" s="5">
        <f>IFERROR(VALUE(SUBSTITUTE(SUBSTITUTE(SUBSTITUTE(IFERROR(INDEX('1.산군_붙여넣기'!$A$1:$AZ$1001,ROW(),설정!$C$6)&amp;"",""),",",""),"㎡",""),"m2","")),"")</f>
        <v/>
      </c>
      <c r="E124">
        <f>IFERROR(INDEX('1.산군_붙여넣기'!$A$1:$AZ$1001,ROW(),설정!$C$7)&amp;"","")</f>
        <v/>
      </c>
      <c r="F124">
        <f>IFERROR(INDEX('1.산군_붙여넣기'!$A$1:$AZ$1001,ROW(),설정!$C$8)&amp;"","")</f>
        <v/>
      </c>
      <c r="G124">
        <f>IFERROR(INDEX('1.산군_붙여넣기'!$A$1:$AZ$1001,ROW(),설정!$C$9)&amp;"","")</f>
        <v/>
      </c>
      <c r="H124">
        <f>IFERROR(INDEX('1.산군_붙여넣기'!$A$1:$AZ$1001,ROW(),설정!$C$10)&amp;"","")</f>
        <v/>
      </c>
      <c r="I124">
        <f>IFERROR(INDEX('1.산군_붙여넣기'!$A$1:$AZ$1001,ROW(),설정!$C$11)&amp;"","")</f>
        <v/>
      </c>
      <c r="J124">
        <f>IFERROR(INDEX('1.산군_붙여넣기'!$A$1:$AZ$1001,ROW(),설정!$C$12)&amp;"","")</f>
        <v/>
      </c>
      <c r="K124">
        <f>IFERROR(INDEX('1.산군_붙여넣기'!$A$1:$AZ$1001,ROW(),설정!$C$13)&amp;"","")</f>
        <v/>
      </c>
      <c r="L124" s="6">
        <f>IF(X124="","",IF(AND(LEN(X124)=8,ISNUMBER(X124*1)),DATE(LEFT(X124,4),MID(X124,5,2),RIGHT(X124,2)),IFERROR(DATEVALUE(SUBSTITUTE(SUBSTITUTE(X124,".","-"),"/","-")),IFERROR(X124*1,""))))</f>
        <v/>
      </c>
      <c r="M124" s="6">
        <f>IF(Y124="","",IF(AND(LEN(Y124)=8,ISNUMBER(Y124*1)),DATE(LEFT(Y124,4),MID(Y124,5,2),RIGHT(Y124,2)),IFERROR(DATEVALUE(SUBSTITUTE(SUBSTITUTE(Y124,".","-"),"/","-")),IFERROR(Y124*1,""))))</f>
        <v/>
      </c>
      <c r="N124">
        <f>IFERROR(LEFT(B124,FIND(" ",B124)-1),B124)</f>
        <v/>
      </c>
      <c r="O124">
        <f>AND(B124&lt;&gt;"",B124&lt;&gt;설정!$B$4,C124&lt;&gt;설정!$B$5)</f>
        <v/>
      </c>
      <c r="P124">
        <f>IF(O124,B124&amp;"|"&amp;C124,"")</f>
        <v/>
      </c>
      <c r="Q124">
        <f>AND(O124,COUNTIF(P125:P$1002,P124)=0)</f>
        <v/>
      </c>
      <c r="R124">
        <f>OR(AND(설정!$A$28&lt;&gt;"",ISNUMBER(SEARCH(설정!$A$28,E124&amp;" "&amp;C124))),AND(설정!$A$29&lt;&gt;"",ISNUMBER(SEARCH(설정!$A$29,E124&amp;" "&amp;C124))),AND(설정!$A$30&lt;&gt;"",ISNUMBER(SEARCH(설정!$A$30,E124&amp;" "&amp;C124))),AND(설정!$A$31&lt;&gt;"",ISNUMBER(SEARCH(설정!$A$31,E124&amp;" "&amp;C124))),AND(설정!$A$32&lt;&gt;"",ISNUMBER(SEARCH(설정!$A$32,E124&amp;" "&amp;C124))),AND(설정!$A$33&lt;&gt;"",ISNUMBER(SEARCH(설정!$A$33,E124&amp;" "&amp;C124))),AND(설정!$A$34&lt;&gt;"",ISNUMBER(SEARCH(설정!$A$34,E124&amp;" "&amp;C124))),AND(설정!$A$35&lt;&gt;"",ISNUMBER(SEARCH(설정!$A$35,E124&amp;" "&amp;C124))),AND(설정!$A$36&lt;&gt;"",ISNUMBER(SEARCH(설정!$A$36,E124&amp;" "&amp;C124))),AND(설정!$A$37&lt;&gt;"",ISNUMBER(SEARCH(설정!$A$37,E124&amp;" "&amp;C124))))</f>
        <v/>
      </c>
      <c r="S124">
        <f>OR(D124="",D124&gt;=설정!$B$19)</f>
        <v/>
      </c>
      <c r="T124">
        <f>AND(Q124,R124,S124)</f>
        <v/>
      </c>
      <c r="U124">
        <f>IF(T124,IF(AND(설정!$A$41&lt;&gt;"",ISNUMBER(SEARCH(설정!$A$41,K124))),설정!$B$41,IF(AND(설정!$A$42&lt;&gt;"",ISNUMBER(SEARCH(설정!$A$42,K124))),설정!$B$42,IF(AND(설정!$A$43&lt;&gt;"",ISNUMBER(SEARCH(설정!$A$43,K124))),설정!$B$43,IF(AND(설정!$A$44&lt;&gt;"",ISNUMBER(SEARCH(설정!$A$44,K124))),설정!$B$44,IF(AND(설정!$A$45&lt;&gt;"",ISNUMBER(SEARCH(설정!$A$45,K124))),설정!$B$45,IF(AND(설정!$A$46&lt;&gt;"",ISNUMBER(SEARCH(설정!$A$46,K124))),설정!$B$46,IF(AND(설정!$A$47&lt;&gt;"",ISNUMBER(SEARCH(설정!$A$47,K124))),설정!$B$47,IF(AND(설정!$A$48&lt;&gt;"",ISNUMBER(SEARCH(설정!$A$48,K124))),설정!$B$48,IF(M124="","설계사","시공사"))))))))),"")</f>
        <v/>
      </c>
      <c r="V124">
        <f>SUBSTITUTE(SUBSTITUTE(SUBSTITUTE(SUBSTITUTE(G124,"(주)",""),"㈜",""),"주식회사","")," ","")</f>
        <v/>
      </c>
      <c r="W124">
        <f>IF(AND(T124,V124&lt;&gt;""),IF(COUNTIFS(V$2:V124,V124,T$2:T124,TRUE)=1,MAX(W$1:W123)+1,""),"")</f>
        <v/>
      </c>
      <c r="X124">
        <f>IFERROR(INDEX('1.산군_붙여넣기'!$A$1:$AZ$1001,ROW(),설정!$C$14)&amp;"","")</f>
        <v/>
      </c>
      <c r="Y124">
        <f>IFERROR(INDEX('1.산군_붙여넣기'!$A$1:$AZ$1001,ROW(),설정!$C$15)&amp;"","")</f>
        <v/>
      </c>
      <c r="Z124">
        <f>IF(T124,V124&amp;"|"&amp;U124,"")</f>
        <v/>
      </c>
    </row>
    <row r="125">
      <c r="A125">
        <f>ROW()</f>
        <v/>
      </c>
      <c r="B125">
        <f>IFERROR(INDEX('1.산군_붙여넣기'!$A$1:$AZ$1001,ROW(),설정!$C$4)&amp;"","")</f>
        <v/>
      </c>
      <c r="C125">
        <f>IFERROR(INDEX('1.산군_붙여넣기'!$A$1:$AZ$1001,ROW(),설정!$C$5)&amp;"","")</f>
        <v/>
      </c>
      <c r="D125" s="5">
        <f>IFERROR(VALUE(SUBSTITUTE(SUBSTITUTE(SUBSTITUTE(IFERROR(INDEX('1.산군_붙여넣기'!$A$1:$AZ$1001,ROW(),설정!$C$6)&amp;"",""),",",""),"㎡",""),"m2","")),"")</f>
        <v/>
      </c>
      <c r="E125">
        <f>IFERROR(INDEX('1.산군_붙여넣기'!$A$1:$AZ$1001,ROW(),설정!$C$7)&amp;"","")</f>
        <v/>
      </c>
      <c r="F125">
        <f>IFERROR(INDEX('1.산군_붙여넣기'!$A$1:$AZ$1001,ROW(),설정!$C$8)&amp;"","")</f>
        <v/>
      </c>
      <c r="G125">
        <f>IFERROR(INDEX('1.산군_붙여넣기'!$A$1:$AZ$1001,ROW(),설정!$C$9)&amp;"","")</f>
        <v/>
      </c>
      <c r="H125">
        <f>IFERROR(INDEX('1.산군_붙여넣기'!$A$1:$AZ$1001,ROW(),설정!$C$10)&amp;"","")</f>
        <v/>
      </c>
      <c r="I125">
        <f>IFERROR(INDEX('1.산군_붙여넣기'!$A$1:$AZ$1001,ROW(),설정!$C$11)&amp;"","")</f>
        <v/>
      </c>
      <c r="J125">
        <f>IFERROR(INDEX('1.산군_붙여넣기'!$A$1:$AZ$1001,ROW(),설정!$C$12)&amp;"","")</f>
        <v/>
      </c>
      <c r="K125">
        <f>IFERROR(INDEX('1.산군_붙여넣기'!$A$1:$AZ$1001,ROW(),설정!$C$13)&amp;"","")</f>
        <v/>
      </c>
      <c r="L125" s="6">
        <f>IF(X125="","",IF(AND(LEN(X125)=8,ISNUMBER(X125*1)),DATE(LEFT(X125,4),MID(X125,5,2),RIGHT(X125,2)),IFERROR(DATEVALUE(SUBSTITUTE(SUBSTITUTE(X125,".","-"),"/","-")),IFERROR(X125*1,""))))</f>
        <v/>
      </c>
      <c r="M125" s="6">
        <f>IF(Y125="","",IF(AND(LEN(Y125)=8,ISNUMBER(Y125*1)),DATE(LEFT(Y125,4),MID(Y125,5,2),RIGHT(Y125,2)),IFERROR(DATEVALUE(SUBSTITUTE(SUBSTITUTE(Y125,".","-"),"/","-")),IFERROR(Y125*1,""))))</f>
        <v/>
      </c>
      <c r="N125">
        <f>IFERROR(LEFT(B125,FIND(" ",B125)-1),B125)</f>
        <v/>
      </c>
      <c r="O125">
        <f>AND(B125&lt;&gt;"",B125&lt;&gt;설정!$B$4,C125&lt;&gt;설정!$B$5)</f>
        <v/>
      </c>
      <c r="P125">
        <f>IF(O125,B125&amp;"|"&amp;C125,"")</f>
        <v/>
      </c>
      <c r="Q125">
        <f>AND(O125,COUNTIF(P126:P$1002,P125)=0)</f>
        <v/>
      </c>
      <c r="R125">
        <f>OR(AND(설정!$A$28&lt;&gt;"",ISNUMBER(SEARCH(설정!$A$28,E125&amp;" "&amp;C125))),AND(설정!$A$29&lt;&gt;"",ISNUMBER(SEARCH(설정!$A$29,E125&amp;" "&amp;C125))),AND(설정!$A$30&lt;&gt;"",ISNUMBER(SEARCH(설정!$A$30,E125&amp;" "&amp;C125))),AND(설정!$A$31&lt;&gt;"",ISNUMBER(SEARCH(설정!$A$31,E125&amp;" "&amp;C125))),AND(설정!$A$32&lt;&gt;"",ISNUMBER(SEARCH(설정!$A$32,E125&amp;" "&amp;C125))),AND(설정!$A$33&lt;&gt;"",ISNUMBER(SEARCH(설정!$A$33,E125&amp;" "&amp;C125))),AND(설정!$A$34&lt;&gt;"",ISNUMBER(SEARCH(설정!$A$34,E125&amp;" "&amp;C125))),AND(설정!$A$35&lt;&gt;"",ISNUMBER(SEARCH(설정!$A$35,E125&amp;" "&amp;C125))),AND(설정!$A$36&lt;&gt;"",ISNUMBER(SEARCH(설정!$A$36,E125&amp;" "&amp;C125))),AND(설정!$A$37&lt;&gt;"",ISNUMBER(SEARCH(설정!$A$37,E125&amp;" "&amp;C125))))</f>
        <v/>
      </c>
      <c r="S125">
        <f>OR(D125="",D125&gt;=설정!$B$19)</f>
        <v/>
      </c>
      <c r="T125">
        <f>AND(Q125,R125,S125)</f>
        <v/>
      </c>
      <c r="U125">
        <f>IF(T125,IF(AND(설정!$A$41&lt;&gt;"",ISNUMBER(SEARCH(설정!$A$41,K125))),설정!$B$41,IF(AND(설정!$A$42&lt;&gt;"",ISNUMBER(SEARCH(설정!$A$42,K125))),설정!$B$42,IF(AND(설정!$A$43&lt;&gt;"",ISNUMBER(SEARCH(설정!$A$43,K125))),설정!$B$43,IF(AND(설정!$A$44&lt;&gt;"",ISNUMBER(SEARCH(설정!$A$44,K125))),설정!$B$44,IF(AND(설정!$A$45&lt;&gt;"",ISNUMBER(SEARCH(설정!$A$45,K125))),설정!$B$45,IF(AND(설정!$A$46&lt;&gt;"",ISNUMBER(SEARCH(설정!$A$46,K125))),설정!$B$46,IF(AND(설정!$A$47&lt;&gt;"",ISNUMBER(SEARCH(설정!$A$47,K125))),설정!$B$47,IF(AND(설정!$A$48&lt;&gt;"",ISNUMBER(SEARCH(설정!$A$48,K125))),설정!$B$48,IF(M125="","설계사","시공사"))))))))),"")</f>
        <v/>
      </c>
      <c r="V125">
        <f>SUBSTITUTE(SUBSTITUTE(SUBSTITUTE(SUBSTITUTE(G125,"(주)",""),"㈜",""),"주식회사","")," ","")</f>
        <v/>
      </c>
      <c r="W125">
        <f>IF(AND(T125,V125&lt;&gt;""),IF(COUNTIFS(V$2:V125,V125,T$2:T125,TRUE)=1,MAX(W$1:W124)+1,""),"")</f>
        <v/>
      </c>
      <c r="X125">
        <f>IFERROR(INDEX('1.산군_붙여넣기'!$A$1:$AZ$1001,ROW(),설정!$C$14)&amp;"","")</f>
        <v/>
      </c>
      <c r="Y125">
        <f>IFERROR(INDEX('1.산군_붙여넣기'!$A$1:$AZ$1001,ROW(),설정!$C$15)&amp;"","")</f>
        <v/>
      </c>
      <c r="Z125">
        <f>IF(T125,V125&amp;"|"&amp;U125,"")</f>
        <v/>
      </c>
    </row>
    <row r="126">
      <c r="A126">
        <f>ROW()</f>
        <v/>
      </c>
      <c r="B126">
        <f>IFERROR(INDEX('1.산군_붙여넣기'!$A$1:$AZ$1001,ROW(),설정!$C$4)&amp;"","")</f>
        <v/>
      </c>
      <c r="C126">
        <f>IFERROR(INDEX('1.산군_붙여넣기'!$A$1:$AZ$1001,ROW(),설정!$C$5)&amp;"","")</f>
        <v/>
      </c>
      <c r="D126" s="5">
        <f>IFERROR(VALUE(SUBSTITUTE(SUBSTITUTE(SUBSTITUTE(IFERROR(INDEX('1.산군_붙여넣기'!$A$1:$AZ$1001,ROW(),설정!$C$6)&amp;"",""),",",""),"㎡",""),"m2","")),"")</f>
        <v/>
      </c>
      <c r="E126">
        <f>IFERROR(INDEX('1.산군_붙여넣기'!$A$1:$AZ$1001,ROW(),설정!$C$7)&amp;"","")</f>
        <v/>
      </c>
      <c r="F126">
        <f>IFERROR(INDEX('1.산군_붙여넣기'!$A$1:$AZ$1001,ROW(),설정!$C$8)&amp;"","")</f>
        <v/>
      </c>
      <c r="G126">
        <f>IFERROR(INDEX('1.산군_붙여넣기'!$A$1:$AZ$1001,ROW(),설정!$C$9)&amp;"","")</f>
        <v/>
      </c>
      <c r="H126">
        <f>IFERROR(INDEX('1.산군_붙여넣기'!$A$1:$AZ$1001,ROW(),설정!$C$10)&amp;"","")</f>
        <v/>
      </c>
      <c r="I126">
        <f>IFERROR(INDEX('1.산군_붙여넣기'!$A$1:$AZ$1001,ROW(),설정!$C$11)&amp;"","")</f>
        <v/>
      </c>
      <c r="J126">
        <f>IFERROR(INDEX('1.산군_붙여넣기'!$A$1:$AZ$1001,ROW(),설정!$C$12)&amp;"","")</f>
        <v/>
      </c>
      <c r="K126">
        <f>IFERROR(INDEX('1.산군_붙여넣기'!$A$1:$AZ$1001,ROW(),설정!$C$13)&amp;"","")</f>
        <v/>
      </c>
      <c r="L126" s="6">
        <f>IF(X126="","",IF(AND(LEN(X126)=8,ISNUMBER(X126*1)),DATE(LEFT(X126,4),MID(X126,5,2),RIGHT(X126,2)),IFERROR(DATEVALUE(SUBSTITUTE(SUBSTITUTE(X126,".","-"),"/","-")),IFERROR(X126*1,""))))</f>
        <v/>
      </c>
      <c r="M126" s="6">
        <f>IF(Y126="","",IF(AND(LEN(Y126)=8,ISNUMBER(Y126*1)),DATE(LEFT(Y126,4),MID(Y126,5,2),RIGHT(Y126,2)),IFERROR(DATEVALUE(SUBSTITUTE(SUBSTITUTE(Y126,".","-"),"/","-")),IFERROR(Y126*1,""))))</f>
        <v/>
      </c>
      <c r="N126">
        <f>IFERROR(LEFT(B126,FIND(" ",B126)-1),B126)</f>
        <v/>
      </c>
      <c r="O126">
        <f>AND(B126&lt;&gt;"",B126&lt;&gt;설정!$B$4,C126&lt;&gt;설정!$B$5)</f>
        <v/>
      </c>
      <c r="P126">
        <f>IF(O126,B126&amp;"|"&amp;C126,"")</f>
        <v/>
      </c>
      <c r="Q126">
        <f>AND(O126,COUNTIF(P127:P$1002,P126)=0)</f>
        <v/>
      </c>
      <c r="R126">
        <f>OR(AND(설정!$A$28&lt;&gt;"",ISNUMBER(SEARCH(설정!$A$28,E126&amp;" "&amp;C126))),AND(설정!$A$29&lt;&gt;"",ISNUMBER(SEARCH(설정!$A$29,E126&amp;" "&amp;C126))),AND(설정!$A$30&lt;&gt;"",ISNUMBER(SEARCH(설정!$A$30,E126&amp;" "&amp;C126))),AND(설정!$A$31&lt;&gt;"",ISNUMBER(SEARCH(설정!$A$31,E126&amp;" "&amp;C126))),AND(설정!$A$32&lt;&gt;"",ISNUMBER(SEARCH(설정!$A$32,E126&amp;" "&amp;C126))),AND(설정!$A$33&lt;&gt;"",ISNUMBER(SEARCH(설정!$A$33,E126&amp;" "&amp;C126))),AND(설정!$A$34&lt;&gt;"",ISNUMBER(SEARCH(설정!$A$34,E126&amp;" "&amp;C126))),AND(설정!$A$35&lt;&gt;"",ISNUMBER(SEARCH(설정!$A$35,E126&amp;" "&amp;C126))),AND(설정!$A$36&lt;&gt;"",ISNUMBER(SEARCH(설정!$A$36,E126&amp;" "&amp;C126))),AND(설정!$A$37&lt;&gt;"",ISNUMBER(SEARCH(설정!$A$37,E126&amp;" "&amp;C126))))</f>
        <v/>
      </c>
      <c r="S126">
        <f>OR(D126="",D126&gt;=설정!$B$19)</f>
        <v/>
      </c>
      <c r="T126">
        <f>AND(Q126,R126,S126)</f>
        <v/>
      </c>
      <c r="U126">
        <f>IF(T126,IF(AND(설정!$A$41&lt;&gt;"",ISNUMBER(SEARCH(설정!$A$41,K126))),설정!$B$41,IF(AND(설정!$A$42&lt;&gt;"",ISNUMBER(SEARCH(설정!$A$42,K126))),설정!$B$42,IF(AND(설정!$A$43&lt;&gt;"",ISNUMBER(SEARCH(설정!$A$43,K126))),설정!$B$43,IF(AND(설정!$A$44&lt;&gt;"",ISNUMBER(SEARCH(설정!$A$44,K126))),설정!$B$44,IF(AND(설정!$A$45&lt;&gt;"",ISNUMBER(SEARCH(설정!$A$45,K126))),설정!$B$45,IF(AND(설정!$A$46&lt;&gt;"",ISNUMBER(SEARCH(설정!$A$46,K126))),설정!$B$46,IF(AND(설정!$A$47&lt;&gt;"",ISNUMBER(SEARCH(설정!$A$47,K126))),설정!$B$47,IF(AND(설정!$A$48&lt;&gt;"",ISNUMBER(SEARCH(설정!$A$48,K126))),설정!$B$48,IF(M126="","설계사","시공사"))))))))),"")</f>
        <v/>
      </c>
      <c r="V126">
        <f>SUBSTITUTE(SUBSTITUTE(SUBSTITUTE(SUBSTITUTE(G126,"(주)",""),"㈜",""),"주식회사","")," ","")</f>
        <v/>
      </c>
      <c r="W126">
        <f>IF(AND(T126,V126&lt;&gt;""),IF(COUNTIFS(V$2:V126,V126,T$2:T126,TRUE)=1,MAX(W$1:W125)+1,""),"")</f>
        <v/>
      </c>
      <c r="X126">
        <f>IFERROR(INDEX('1.산군_붙여넣기'!$A$1:$AZ$1001,ROW(),설정!$C$14)&amp;"","")</f>
        <v/>
      </c>
      <c r="Y126">
        <f>IFERROR(INDEX('1.산군_붙여넣기'!$A$1:$AZ$1001,ROW(),설정!$C$15)&amp;"","")</f>
        <v/>
      </c>
      <c r="Z126">
        <f>IF(T126,V126&amp;"|"&amp;U126,"")</f>
        <v/>
      </c>
    </row>
    <row r="127">
      <c r="A127">
        <f>ROW()</f>
        <v/>
      </c>
      <c r="B127">
        <f>IFERROR(INDEX('1.산군_붙여넣기'!$A$1:$AZ$1001,ROW(),설정!$C$4)&amp;"","")</f>
        <v/>
      </c>
      <c r="C127">
        <f>IFERROR(INDEX('1.산군_붙여넣기'!$A$1:$AZ$1001,ROW(),설정!$C$5)&amp;"","")</f>
        <v/>
      </c>
      <c r="D127" s="5">
        <f>IFERROR(VALUE(SUBSTITUTE(SUBSTITUTE(SUBSTITUTE(IFERROR(INDEX('1.산군_붙여넣기'!$A$1:$AZ$1001,ROW(),설정!$C$6)&amp;"",""),",",""),"㎡",""),"m2","")),"")</f>
        <v/>
      </c>
      <c r="E127">
        <f>IFERROR(INDEX('1.산군_붙여넣기'!$A$1:$AZ$1001,ROW(),설정!$C$7)&amp;"","")</f>
        <v/>
      </c>
      <c r="F127">
        <f>IFERROR(INDEX('1.산군_붙여넣기'!$A$1:$AZ$1001,ROW(),설정!$C$8)&amp;"","")</f>
        <v/>
      </c>
      <c r="G127">
        <f>IFERROR(INDEX('1.산군_붙여넣기'!$A$1:$AZ$1001,ROW(),설정!$C$9)&amp;"","")</f>
        <v/>
      </c>
      <c r="H127">
        <f>IFERROR(INDEX('1.산군_붙여넣기'!$A$1:$AZ$1001,ROW(),설정!$C$10)&amp;"","")</f>
        <v/>
      </c>
      <c r="I127">
        <f>IFERROR(INDEX('1.산군_붙여넣기'!$A$1:$AZ$1001,ROW(),설정!$C$11)&amp;"","")</f>
        <v/>
      </c>
      <c r="J127">
        <f>IFERROR(INDEX('1.산군_붙여넣기'!$A$1:$AZ$1001,ROW(),설정!$C$12)&amp;"","")</f>
        <v/>
      </c>
      <c r="K127">
        <f>IFERROR(INDEX('1.산군_붙여넣기'!$A$1:$AZ$1001,ROW(),설정!$C$13)&amp;"","")</f>
        <v/>
      </c>
      <c r="L127" s="6">
        <f>IF(X127="","",IF(AND(LEN(X127)=8,ISNUMBER(X127*1)),DATE(LEFT(X127,4),MID(X127,5,2),RIGHT(X127,2)),IFERROR(DATEVALUE(SUBSTITUTE(SUBSTITUTE(X127,".","-"),"/","-")),IFERROR(X127*1,""))))</f>
        <v/>
      </c>
      <c r="M127" s="6">
        <f>IF(Y127="","",IF(AND(LEN(Y127)=8,ISNUMBER(Y127*1)),DATE(LEFT(Y127,4),MID(Y127,5,2),RIGHT(Y127,2)),IFERROR(DATEVALUE(SUBSTITUTE(SUBSTITUTE(Y127,".","-"),"/","-")),IFERROR(Y127*1,""))))</f>
        <v/>
      </c>
      <c r="N127">
        <f>IFERROR(LEFT(B127,FIND(" ",B127)-1),B127)</f>
        <v/>
      </c>
      <c r="O127">
        <f>AND(B127&lt;&gt;"",B127&lt;&gt;설정!$B$4,C127&lt;&gt;설정!$B$5)</f>
        <v/>
      </c>
      <c r="P127">
        <f>IF(O127,B127&amp;"|"&amp;C127,"")</f>
        <v/>
      </c>
      <c r="Q127">
        <f>AND(O127,COUNTIF(P128:P$1002,P127)=0)</f>
        <v/>
      </c>
      <c r="R127">
        <f>OR(AND(설정!$A$28&lt;&gt;"",ISNUMBER(SEARCH(설정!$A$28,E127&amp;" "&amp;C127))),AND(설정!$A$29&lt;&gt;"",ISNUMBER(SEARCH(설정!$A$29,E127&amp;" "&amp;C127))),AND(설정!$A$30&lt;&gt;"",ISNUMBER(SEARCH(설정!$A$30,E127&amp;" "&amp;C127))),AND(설정!$A$31&lt;&gt;"",ISNUMBER(SEARCH(설정!$A$31,E127&amp;" "&amp;C127))),AND(설정!$A$32&lt;&gt;"",ISNUMBER(SEARCH(설정!$A$32,E127&amp;" "&amp;C127))),AND(설정!$A$33&lt;&gt;"",ISNUMBER(SEARCH(설정!$A$33,E127&amp;" "&amp;C127))),AND(설정!$A$34&lt;&gt;"",ISNUMBER(SEARCH(설정!$A$34,E127&amp;" "&amp;C127))),AND(설정!$A$35&lt;&gt;"",ISNUMBER(SEARCH(설정!$A$35,E127&amp;" "&amp;C127))),AND(설정!$A$36&lt;&gt;"",ISNUMBER(SEARCH(설정!$A$36,E127&amp;" "&amp;C127))),AND(설정!$A$37&lt;&gt;"",ISNUMBER(SEARCH(설정!$A$37,E127&amp;" "&amp;C127))))</f>
        <v/>
      </c>
      <c r="S127">
        <f>OR(D127="",D127&gt;=설정!$B$19)</f>
        <v/>
      </c>
      <c r="T127">
        <f>AND(Q127,R127,S127)</f>
        <v/>
      </c>
      <c r="U127">
        <f>IF(T127,IF(AND(설정!$A$41&lt;&gt;"",ISNUMBER(SEARCH(설정!$A$41,K127))),설정!$B$41,IF(AND(설정!$A$42&lt;&gt;"",ISNUMBER(SEARCH(설정!$A$42,K127))),설정!$B$42,IF(AND(설정!$A$43&lt;&gt;"",ISNUMBER(SEARCH(설정!$A$43,K127))),설정!$B$43,IF(AND(설정!$A$44&lt;&gt;"",ISNUMBER(SEARCH(설정!$A$44,K127))),설정!$B$44,IF(AND(설정!$A$45&lt;&gt;"",ISNUMBER(SEARCH(설정!$A$45,K127))),설정!$B$45,IF(AND(설정!$A$46&lt;&gt;"",ISNUMBER(SEARCH(설정!$A$46,K127))),설정!$B$46,IF(AND(설정!$A$47&lt;&gt;"",ISNUMBER(SEARCH(설정!$A$47,K127))),설정!$B$47,IF(AND(설정!$A$48&lt;&gt;"",ISNUMBER(SEARCH(설정!$A$48,K127))),설정!$B$48,IF(M127="","설계사","시공사"))))))))),"")</f>
        <v/>
      </c>
      <c r="V127">
        <f>SUBSTITUTE(SUBSTITUTE(SUBSTITUTE(SUBSTITUTE(G127,"(주)",""),"㈜",""),"주식회사","")," ","")</f>
        <v/>
      </c>
      <c r="W127">
        <f>IF(AND(T127,V127&lt;&gt;""),IF(COUNTIFS(V$2:V127,V127,T$2:T127,TRUE)=1,MAX(W$1:W126)+1,""),"")</f>
        <v/>
      </c>
      <c r="X127">
        <f>IFERROR(INDEX('1.산군_붙여넣기'!$A$1:$AZ$1001,ROW(),설정!$C$14)&amp;"","")</f>
        <v/>
      </c>
      <c r="Y127">
        <f>IFERROR(INDEX('1.산군_붙여넣기'!$A$1:$AZ$1001,ROW(),설정!$C$15)&amp;"","")</f>
        <v/>
      </c>
      <c r="Z127">
        <f>IF(T127,V127&amp;"|"&amp;U127,"")</f>
        <v/>
      </c>
    </row>
    <row r="128">
      <c r="A128">
        <f>ROW()</f>
        <v/>
      </c>
      <c r="B128">
        <f>IFERROR(INDEX('1.산군_붙여넣기'!$A$1:$AZ$1001,ROW(),설정!$C$4)&amp;"","")</f>
        <v/>
      </c>
      <c r="C128">
        <f>IFERROR(INDEX('1.산군_붙여넣기'!$A$1:$AZ$1001,ROW(),설정!$C$5)&amp;"","")</f>
        <v/>
      </c>
      <c r="D128" s="5">
        <f>IFERROR(VALUE(SUBSTITUTE(SUBSTITUTE(SUBSTITUTE(IFERROR(INDEX('1.산군_붙여넣기'!$A$1:$AZ$1001,ROW(),설정!$C$6)&amp;"",""),",",""),"㎡",""),"m2","")),"")</f>
        <v/>
      </c>
      <c r="E128">
        <f>IFERROR(INDEX('1.산군_붙여넣기'!$A$1:$AZ$1001,ROW(),설정!$C$7)&amp;"","")</f>
        <v/>
      </c>
      <c r="F128">
        <f>IFERROR(INDEX('1.산군_붙여넣기'!$A$1:$AZ$1001,ROW(),설정!$C$8)&amp;"","")</f>
        <v/>
      </c>
      <c r="G128">
        <f>IFERROR(INDEX('1.산군_붙여넣기'!$A$1:$AZ$1001,ROW(),설정!$C$9)&amp;"","")</f>
        <v/>
      </c>
      <c r="H128">
        <f>IFERROR(INDEX('1.산군_붙여넣기'!$A$1:$AZ$1001,ROW(),설정!$C$10)&amp;"","")</f>
        <v/>
      </c>
      <c r="I128">
        <f>IFERROR(INDEX('1.산군_붙여넣기'!$A$1:$AZ$1001,ROW(),설정!$C$11)&amp;"","")</f>
        <v/>
      </c>
      <c r="J128">
        <f>IFERROR(INDEX('1.산군_붙여넣기'!$A$1:$AZ$1001,ROW(),설정!$C$12)&amp;"","")</f>
        <v/>
      </c>
      <c r="K128">
        <f>IFERROR(INDEX('1.산군_붙여넣기'!$A$1:$AZ$1001,ROW(),설정!$C$13)&amp;"","")</f>
        <v/>
      </c>
      <c r="L128" s="6">
        <f>IF(X128="","",IF(AND(LEN(X128)=8,ISNUMBER(X128*1)),DATE(LEFT(X128,4),MID(X128,5,2),RIGHT(X128,2)),IFERROR(DATEVALUE(SUBSTITUTE(SUBSTITUTE(X128,".","-"),"/","-")),IFERROR(X128*1,""))))</f>
        <v/>
      </c>
      <c r="M128" s="6">
        <f>IF(Y128="","",IF(AND(LEN(Y128)=8,ISNUMBER(Y128*1)),DATE(LEFT(Y128,4),MID(Y128,5,2),RIGHT(Y128,2)),IFERROR(DATEVALUE(SUBSTITUTE(SUBSTITUTE(Y128,".","-"),"/","-")),IFERROR(Y128*1,""))))</f>
        <v/>
      </c>
      <c r="N128">
        <f>IFERROR(LEFT(B128,FIND(" ",B128)-1),B128)</f>
        <v/>
      </c>
      <c r="O128">
        <f>AND(B128&lt;&gt;"",B128&lt;&gt;설정!$B$4,C128&lt;&gt;설정!$B$5)</f>
        <v/>
      </c>
      <c r="P128">
        <f>IF(O128,B128&amp;"|"&amp;C128,"")</f>
        <v/>
      </c>
      <c r="Q128">
        <f>AND(O128,COUNTIF(P129:P$1002,P128)=0)</f>
        <v/>
      </c>
      <c r="R128">
        <f>OR(AND(설정!$A$28&lt;&gt;"",ISNUMBER(SEARCH(설정!$A$28,E128&amp;" "&amp;C128))),AND(설정!$A$29&lt;&gt;"",ISNUMBER(SEARCH(설정!$A$29,E128&amp;" "&amp;C128))),AND(설정!$A$30&lt;&gt;"",ISNUMBER(SEARCH(설정!$A$30,E128&amp;" "&amp;C128))),AND(설정!$A$31&lt;&gt;"",ISNUMBER(SEARCH(설정!$A$31,E128&amp;" "&amp;C128))),AND(설정!$A$32&lt;&gt;"",ISNUMBER(SEARCH(설정!$A$32,E128&amp;" "&amp;C128))),AND(설정!$A$33&lt;&gt;"",ISNUMBER(SEARCH(설정!$A$33,E128&amp;" "&amp;C128))),AND(설정!$A$34&lt;&gt;"",ISNUMBER(SEARCH(설정!$A$34,E128&amp;" "&amp;C128))),AND(설정!$A$35&lt;&gt;"",ISNUMBER(SEARCH(설정!$A$35,E128&amp;" "&amp;C128))),AND(설정!$A$36&lt;&gt;"",ISNUMBER(SEARCH(설정!$A$36,E128&amp;" "&amp;C128))),AND(설정!$A$37&lt;&gt;"",ISNUMBER(SEARCH(설정!$A$37,E128&amp;" "&amp;C128))))</f>
        <v/>
      </c>
      <c r="S128">
        <f>OR(D128="",D128&gt;=설정!$B$19)</f>
        <v/>
      </c>
      <c r="T128">
        <f>AND(Q128,R128,S128)</f>
        <v/>
      </c>
      <c r="U128">
        <f>IF(T128,IF(AND(설정!$A$41&lt;&gt;"",ISNUMBER(SEARCH(설정!$A$41,K128))),설정!$B$41,IF(AND(설정!$A$42&lt;&gt;"",ISNUMBER(SEARCH(설정!$A$42,K128))),설정!$B$42,IF(AND(설정!$A$43&lt;&gt;"",ISNUMBER(SEARCH(설정!$A$43,K128))),설정!$B$43,IF(AND(설정!$A$44&lt;&gt;"",ISNUMBER(SEARCH(설정!$A$44,K128))),설정!$B$44,IF(AND(설정!$A$45&lt;&gt;"",ISNUMBER(SEARCH(설정!$A$45,K128))),설정!$B$45,IF(AND(설정!$A$46&lt;&gt;"",ISNUMBER(SEARCH(설정!$A$46,K128))),설정!$B$46,IF(AND(설정!$A$47&lt;&gt;"",ISNUMBER(SEARCH(설정!$A$47,K128))),설정!$B$47,IF(AND(설정!$A$48&lt;&gt;"",ISNUMBER(SEARCH(설정!$A$48,K128))),설정!$B$48,IF(M128="","설계사","시공사"))))))))),"")</f>
        <v/>
      </c>
      <c r="V128">
        <f>SUBSTITUTE(SUBSTITUTE(SUBSTITUTE(SUBSTITUTE(G128,"(주)",""),"㈜",""),"주식회사","")," ","")</f>
        <v/>
      </c>
      <c r="W128">
        <f>IF(AND(T128,V128&lt;&gt;""),IF(COUNTIFS(V$2:V128,V128,T$2:T128,TRUE)=1,MAX(W$1:W127)+1,""),"")</f>
        <v/>
      </c>
      <c r="X128">
        <f>IFERROR(INDEX('1.산군_붙여넣기'!$A$1:$AZ$1001,ROW(),설정!$C$14)&amp;"","")</f>
        <v/>
      </c>
      <c r="Y128">
        <f>IFERROR(INDEX('1.산군_붙여넣기'!$A$1:$AZ$1001,ROW(),설정!$C$15)&amp;"","")</f>
        <v/>
      </c>
      <c r="Z128">
        <f>IF(T128,V128&amp;"|"&amp;U128,"")</f>
        <v/>
      </c>
    </row>
    <row r="129">
      <c r="A129">
        <f>ROW()</f>
        <v/>
      </c>
      <c r="B129">
        <f>IFERROR(INDEX('1.산군_붙여넣기'!$A$1:$AZ$1001,ROW(),설정!$C$4)&amp;"","")</f>
        <v/>
      </c>
      <c r="C129">
        <f>IFERROR(INDEX('1.산군_붙여넣기'!$A$1:$AZ$1001,ROW(),설정!$C$5)&amp;"","")</f>
        <v/>
      </c>
      <c r="D129" s="5">
        <f>IFERROR(VALUE(SUBSTITUTE(SUBSTITUTE(SUBSTITUTE(IFERROR(INDEX('1.산군_붙여넣기'!$A$1:$AZ$1001,ROW(),설정!$C$6)&amp;"",""),",",""),"㎡",""),"m2","")),"")</f>
        <v/>
      </c>
      <c r="E129">
        <f>IFERROR(INDEX('1.산군_붙여넣기'!$A$1:$AZ$1001,ROW(),설정!$C$7)&amp;"","")</f>
        <v/>
      </c>
      <c r="F129">
        <f>IFERROR(INDEX('1.산군_붙여넣기'!$A$1:$AZ$1001,ROW(),설정!$C$8)&amp;"","")</f>
        <v/>
      </c>
      <c r="G129">
        <f>IFERROR(INDEX('1.산군_붙여넣기'!$A$1:$AZ$1001,ROW(),설정!$C$9)&amp;"","")</f>
        <v/>
      </c>
      <c r="H129">
        <f>IFERROR(INDEX('1.산군_붙여넣기'!$A$1:$AZ$1001,ROW(),설정!$C$10)&amp;"","")</f>
        <v/>
      </c>
      <c r="I129">
        <f>IFERROR(INDEX('1.산군_붙여넣기'!$A$1:$AZ$1001,ROW(),설정!$C$11)&amp;"","")</f>
        <v/>
      </c>
      <c r="J129">
        <f>IFERROR(INDEX('1.산군_붙여넣기'!$A$1:$AZ$1001,ROW(),설정!$C$12)&amp;"","")</f>
        <v/>
      </c>
      <c r="K129">
        <f>IFERROR(INDEX('1.산군_붙여넣기'!$A$1:$AZ$1001,ROW(),설정!$C$13)&amp;"","")</f>
        <v/>
      </c>
      <c r="L129" s="6">
        <f>IF(X129="","",IF(AND(LEN(X129)=8,ISNUMBER(X129*1)),DATE(LEFT(X129,4),MID(X129,5,2),RIGHT(X129,2)),IFERROR(DATEVALUE(SUBSTITUTE(SUBSTITUTE(X129,".","-"),"/","-")),IFERROR(X129*1,""))))</f>
        <v/>
      </c>
      <c r="M129" s="6">
        <f>IF(Y129="","",IF(AND(LEN(Y129)=8,ISNUMBER(Y129*1)),DATE(LEFT(Y129,4),MID(Y129,5,2),RIGHT(Y129,2)),IFERROR(DATEVALUE(SUBSTITUTE(SUBSTITUTE(Y129,".","-"),"/","-")),IFERROR(Y129*1,""))))</f>
        <v/>
      </c>
      <c r="N129">
        <f>IFERROR(LEFT(B129,FIND(" ",B129)-1),B129)</f>
        <v/>
      </c>
      <c r="O129">
        <f>AND(B129&lt;&gt;"",B129&lt;&gt;설정!$B$4,C129&lt;&gt;설정!$B$5)</f>
        <v/>
      </c>
      <c r="P129">
        <f>IF(O129,B129&amp;"|"&amp;C129,"")</f>
        <v/>
      </c>
      <c r="Q129">
        <f>AND(O129,COUNTIF(P130:P$1002,P129)=0)</f>
        <v/>
      </c>
      <c r="R129">
        <f>OR(AND(설정!$A$28&lt;&gt;"",ISNUMBER(SEARCH(설정!$A$28,E129&amp;" "&amp;C129))),AND(설정!$A$29&lt;&gt;"",ISNUMBER(SEARCH(설정!$A$29,E129&amp;" "&amp;C129))),AND(설정!$A$30&lt;&gt;"",ISNUMBER(SEARCH(설정!$A$30,E129&amp;" "&amp;C129))),AND(설정!$A$31&lt;&gt;"",ISNUMBER(SEARCH(설정!$A$31,E129&amp;" "&amp;C129))),AND(설정!$A$32&lt;&gt;"",ISNUMBER(SEARCH(설정!$A$32,E129&amp;" "&amp;C129))),AND(설정!$A$33&lt;&gt;"",ISNUMBER(SEARCH(설정!$A$33,E129&amp;" "&amp;C129))),AND(설정!$A$34&lt;&gt;"",ISNUMBER(SEARCH(설정!$A$34,E129&amp;" "&amp;C129))),AND(설정!$A$35&lt;&gt;"",ISNUMBER(SEARCH(설정!$A$35,E129&amp;" "&amp;C129))),AND(설정!$A$36&lt;&gt;"",ISNUMBER(SEARCH(설정!$A$36,E129&amp;" "&amp;C129))),AND(설정!$A$37&lt;&gt;"",ISNUMBER(SEARCH(설정!$A$37,E129&amp;" "&amp;C129))))</f>
        <v/>
      </c>
      <c r="S129">
        <f>OR(D129="",D129&gt;=설정!$B$19)</f>
        <v/>
      </c>
      <c r="T129">
        <f>AND(Q129,R129,S129)</f>
        <v/>
      </c>
      <c r="U129">
        <f>IF(T129,IF(AND(설정!$A$41&lt;&gt;"",ISNUMBER(SEARCH(설정!$A$41,K129))),설정!$B$41,IF(AND(설정!$A$42&lt;&gt;"",ISNUMBER(SEARCH(설정!$A$42,K129))),설정!$B$42,IF(AND(설정!$A$43&lt;&gt;"",ISNUMBER(SEARCH(설정!$A$43,K129))),설정!$B$43,IF(AND(설정!$A$44&lt;&gt;"",ISNUMBER(SEARCH(설정!$A$44,K129))),설정!$B$44,IF(AND(설정!$A$45&lt;&gt;"",ISNUMBER(SEARCH(설정!$A$45,K129))),설정!$B$45,IF(AND(설정!$A$46&lt;&gt;"",ISNUMBER(SEARCH(설정!$A$46,K129))),설정!$B$46,IF(AND(설정!$A$47&lt;&gt;"",ISNUMBER(SEARCH(설정!$A$47,K129))),설정!$B$47,IF(AND(설정!$A$48&lt;&gt;"",ISNUMBER(SEARCH(설정!$A$48,K129))),설정!$B$48,IF(M129="","설계사","시공사"))))))))),"")</f>
        <v/>
      </c>
      <c r="V129">
        <f>SUBSTITUTE(SUBSTITUTE(SUBSTITUTE(SUBSTITUTE(G129,"(주)",""),"㈜",""),"주식회사","")," ","")</f>
        <v/>
      </c>
      <c r="W129">
        <f>IF(AND(T129,V129&lt;&gt;""),IF(COUNTIFS(V$2:V129,V129,T$2:T129,TRUE)=1,MAX(W$1:W128)+1,""),"")</f>
        <v/>
      </c>
      <c r="X129">
        <f>IFERROR(INDEX('1.산군_붙여넣기'!$A$1:$AZ$1001,ROW(),설정!$C$14)&amp;"","")</f>
        <v/>
      </c>
      <c r="Y129">
        <f>IFERROR(INDEX('1.산군_붙여넣기'!$A$1:$AZ$1001,ROW(),설정!$C$15)&amp;"","")</f>
        <v/>
      </c>
      <c r="Z129">
        <f>IF(T129,V129&amp;"|"&amp;U129,"")</f>
        <v/>
      </c>
    </row>
    <row r="130">
      <c r="A130">
        <f>ROW()</f>
        <v/>
      </c>
      <c r="B130">
        <f>IFERROR(INDEX('1.산군_붙여넣기'!$A$1:$AZ$1001,ROW(),설정!$C$4)&amp;"","")</f>
        <v/>
      </c>
      <c r="C130">
        <f>IFERROR(INDEX('1.산군_붙여넣기'!$A$1:$AZ$1001,ROW(),설정!$C$5)&amp;"","")</f>
        <v/>
      </c>
      <c r="D130" s="5">
        <f>IFERROR(VALUE(SUBSTITUTE(SUBSTITUTE(SUBSTITUTE(IFERROR(INDEX('1.산군_붙여넣기'!$A$1:$AZ$1001,ROW(),설정!$C$6)&amp;"",""),",",""),"㎡",""),"m2","")),"")</f>
        <v/>
      </c>
      <c r="E130">
        <f>IFERROR(INDEX('1.산군_붙여넣기'!$A$1:$AZ$1001,ROW(),설정!$C$7)&amp;"","")</f>
        <v/>
      </c>
      <c r="F130">
        <f>IFERROR(INDEX('1.산군_붙여넣기'!$A$1:$AZ$1001,ROW(),설정!$C$8)&amp;"","")</f>
        <v/>
      </c>
      <c r="G130">
        <f>IFERROR(INDEX('1.산군_붙여넣기'!$A$1:$AZ$1001,ROW(),설정!$C$9)&amp;"","")</f>
        <v/>
      </c>
      <c r="H130">
        <f>IFERROR(INDEX('1.산군_붙여넣기'!$A$1:$AZ$1001,ROW(),설정!$C$10)&amp;"","")</f>
        <v/>
      </c>
      <c r="I130">
        <f>IFERROR(INDEX('1.산군_붙여넣기'!$A$1:$AZ$1001,ROW(),설정!$C$11)&amp;"","")</f>
        <v/>
      </c>
      <c r="J130">
        <f>IFERROR(INDEX('1.산군_붙여넣기'!$A$1:$AZ$1001,ROW(),설정!$C$12)&amp;"","")</f>
        <v/>
      </c>
      <c r="K130">
        <f>IFERROR(INDEX('1.산군_붙여넣기'!$A$1:$AZ$1001,ROW(),설정!$C$13)&amp;"","")</f>
        <v/>
      </c>
      <c r="L130" s="6">
        <f>IF(X130="","",IF(AND(LEN(X130)=8,ISNUMBER(X130*1)),DATE(LEFT(X130,4),MID(X130,5,2),RIGHT(X130,2)),IFERROR(DATEVALUE(SUBSTITUTE(SUBSTITUTE(X130,".","-"),"/","-")),IFERROR(X130*1,""))))</f>
        <v/>
      </c>
      <c r="M130" s="6">
        <f>IF(Y130="","",IF(AND(LEN(Y130)=8,ISNUMBER(Y130*1)),DATE(LEFT(Y130,4),MID(Y130,5,2),RIGHT(Y130,2)),IFERROR(DATEVALUE(SUBSTITUTE(SUBSTITUTE(Y130,".","-"),"/","-")),IFERROR(Y130*1,""))))</f>
        <v/>
      </c>
      <c r="N130">
        <f>IFERROR(LEFT(B130,FIND(" ",B130)-1),B130)</f>
        <v/>
      </c>
      <c r="O130">
        <f>AND(B130&lt;&gt;"",B130&lt;&gt;설정!$B$4,C130&lt;&gt;설정!$B$5)</f>
        <v/>
      </c>
      <c r="P130">
        <f>IF(O130,B130&amp;"|"&amp;C130,"")</f>
        <v/>
      </c>
      <c r="Q130">
        <f>AND(O130,COUNTIF(P131:P$1002,P130)=0)</f>
        <v/>
      </c>
      <c r="R130">
        <f>OR(AND(설정!$A$28&lt;&gt;"",ISNUMBER(SEARCH(설정!$A$28,E130&amp;" "&amp;C130))),AND(설정!$A$29&lt;&gt;"",ISNUMBER(SEARCH(설정!$A$29,E130&amp;" "&amp;C130))),AND(설정!$A$30&lt;&gt;"",ISNUMBER(SEARCH(설정!$A$30,E130&amp;" "&amp;C130))),AND(설정!$A$31&lt;&gt;"",ISNUMBER(SEARCH(설정!$A$31,E130&amp;" "&amp;C130))),AND(설정!$A$32&lt;&gt;"",ISNUMBER(SEARCH(설정!$A$32,E130&amp;" "&amp;C130))),AND(설정!$A$33&lt;&gt;"",ISNUMBER(SEARCH(설정!$A$33,E130&amp;" "&amp;C130))),AND(설정!$A$34&lt;&gt;"",ISNUMBER(SEARCH(설정!$A$34,E130&amp;" "&amp;C130))),AND(설정!$A$35&lt;&gt;"",ISNUMBER(SEARCH(설정!$A$35,E130&amp;" "&amp;C130))),AND(설정!$A$36&lt;&gt;"",ISNUMBER(SEARCH(설정!$A$36,E130&amp;" "&amp;C130))),AND(설정!$A$37&lt;&gt;"",ISNUMBER(SEARCH(설정!$A$37,E130&amp;" "&amp;C130))))</f>
        <v/>
      </c>
      <c r="S130">
        <f>OR(D130="",D130&gt;=설정!$B$19)</f>
        <v/>
      </c>
      <c r="T130">
        <f>AND(Q130,R130,S130)</f>
        <v/>
      </c>
      <c r="U130">
        <f>IF(T130,IF(AND(설정!$A$41&lt;&gt;"",ISNUMBER(SEARCH(설정!$A$41,K130))),설정!$B$41,IF(AND(설정!$A$42&lt;&gt;"",ISNUMBER(SEARCH(설정!$A$42,K130))),설정!$B$42,IF(AND(설정!$A$43&lt;&gt;"",ISNUMBER(SEARCH(설정!$A$43,K130))),설정!$B$43,IF(AND(설정!$A$44&lt;&gt;"",ISNUMBER(SEARCH(설정!$A$44,K130))),설정!$B$44,IF(AND(설정!$A$45&lt;&gt;"",ISNUMBER(SEARCH(설정!$A$45,K130))),설정!$B$45,IF(AND(설정!$A$46&lt;&gt;"",ISNUMBER(SEARCH(설정!$A$46,K130))),설정!$B$46,IF(AND(설정!$A$47&lt;&gt;"",ISNUMBER(SEARCH(설정!$A$47,K130))),설정!$B$47,IF(AND(설정!$A$48&lt;&gt;"",ISNUMBER(SEARCH(설정!$A$48,K130))),설정!$B$48,IF(M130="","설계사","시공사"))))))))),"")</f>
        <v/>
      </c>
      <c r="V130">
        <f>SUBSTITUTE(SUBSTITUTE(SUBSTITUTE(SUBSTITUTE(G130,"(주)",""),"㈜",""),"주식회사","")," ","")</f>
        <v/>
      </c>
      <c r="W130">
        <f>IF(AND(T130,V130&lt;&gt;""),IF(COUNTIFS(V$2:V130,V130,T$2:T130,TRUE)=1,MAX(W$1:W129)+1,""),"")</f>
        <v/>
      </c>
      <c r="X130">
        <f>IFERROR(INDEX('1.산군_붙여넣기'!$A$1:$AZ$1001,ROW(),설정!$C$14)&amp;"","")</f>
        <v/>
      </c>
      <c r="Y130">
        <f>IFERROR(INDEX('1.산군_붙여넣기'!$A$1:$AZ$1001,ROW(),설정!$C$15)&amp;"","")</f>
        <v/>
      </c>
      <c r="Z130">
        <f>IF(T130,V130&amp;"|"&amp;U130,"")</f>
        <v/>
      </c>
    </row>
    <row r="131">
      <c r="A131">
        <f>ROW()</f>
        <v/>
      </c>
      <c r="B131">
        <f>IFERROR(INDEX('1.산군_붙여넣기'!$A$1:$AZ$1001,ROW(),설정!$C$4)&amp;"","")</f>
        <v/>
      </c>
      <c r="C131">
        <f>IFERROR(INDEX('1.산군_붙여넣기'!$A$1:$AZ$1001,ROW(),설정!$C$5)&amp;"","")</f>
        <v/>
      </c>
      <c r="D131" s="5">
        <f>IFERROR(VALUE(SUBSTITUTE(SUBSTITUTE(SUBSTITUTE(IFERROR(INDEX('1.산군_붙여넣기'!$A$1:$AZ$1001,ROW(),설정!$C$6)&amp;"",""),",",""),"㎡",""),"m2","")),"")</f>
        <v/>
      </c>
      <c r="E131">
        <f>IFERROR(INDEX('1.산군_붙여넣기'!$A$1:$AZ$1001,ROW(),설정!$C$7)&amp;"","")</f>
        <v/>
      </c>
      <c r="F131">
        <f>IFERROR(INDEX('1.산군_붙여넣기'!$A$1:$AZ$1001,ROW(),설정!$C$8)&amp;"","")</f>
        <v/>
      </c>
      <c r="G131">
        <f>IFERROR(INDEX('1.산군_붙여넣기'!$A$1:$AZ$1001,ROW(),설정!$C$9)&amp;"","")</f>
        <v/>
      </c>
      <c r="H131">
        <f>IFERROR(INDEX('1.산군_붙여넣기'!$A$1:$AZ$1001,ROW(),설정!$C$10)&amp;"","")</f>
        <v/>
      </c>
      <c r="I131">
        <f>IFERROR(INDEX('1.산군_붙여넣기'!$A$1:$AZ$1001,ROW(),설정!$C$11)&amp;"","")</f>
        <v/>
      </c>
      <c r="J131">
        <f>IFERROR(INDEX('1.산군_붙여넣기'!$A$1:$AZ$1001,ROW(),설정!$C$12)&amp;"","")</f>
        <v/>
      </c>
      <c r="K131">
        <f>IFERROR(INDEX('1.산군_붙여넣기'!$A$1:$AZ$1001,ROW(),설정!$C$13)&amp;"","")</f>
        <v/>
      </c>
      <c r="L131" s="6">
        <f>IF(X131="","",IF(AND(LEN(X131)=8,ISNUMBER(X131*1)),DATE(LEFT(X131,4),MID(X131,5,2),RIGHT(X131,2)),IFERROR(DATEVALUE(SUBSTITUTE(SUBSTITUTE(X131,".","-"),"/","-")),IFERROR(X131*1,""))))</f>
        <v/>
      </c>
      <c r="M131" s="6">
        <f>IF(Y131="","",IF(AND(LEN(Y131)=8,ISNUMBER(Y131*1)),DATE(LEFT(Y131,4),MID(Y131,5,2),RIGHT(Y131,2)),IFERROR(DATEVALUE(SUBSTITUTE(SUBSTITUTE(Y131,".","-"),"/","-")),IFERROR(Y131*1,""))))</f>
        <v/>
      </c>
      <c r="N131">
        <f>IFERROR(LEFT(B131,FIND(" ",B131)-1),B131)</f>
        <v/>
      </c>
      <c r="O131">
        <f>AND(B131&lt;&gt;"",B131&lt;&gt;설정!$B$4,C131&lt;&gt;설정!$B$5)</f>
        <v/>
      </c>
      <c r="P131">
        <f>IF(O131,B131&amp;"|"&amp;C131,"")</f>
        <v/>
      </c>
      <c r="Q131">
        <f>AND(O131,COUNTIF(P132:P$1002,P131)=0)</f>
        <v/>
      </c>
      <c r="R131">
        <f>OR(AND(설정!$A$28&lt;&gt;"",ISNUMBER(SEARCH(설정!$A$28,E131&amp;" "&amp;C131))),AND(설정!$A$29&lt;&gt;"",ISNUMBER(SEARCH(설정!$A$29,E131&amp;" "&amp;C131))),AND(설정!$A$30&lt;&gt;"",ISNUMBER(SEARCH(설정!$A$30,E131&amp;" "&amp;C131))),AND(설정!$A$31&lt;&gt;"",ISNUMBER(SEARCH(설정!$A$31,E131&amp;" "&amp;C131))),AND(설정!$A$32&lt;&gt;"",ISNUMBER(SEARCH(설정!$A$32,E131&amp;" "&amp;C131))),AND(설정!$A$33&lt;&gt;"",ISNUMBER(SEARCH(설정!$A$33,E131&amp;" "&amp;C131))),AND(설정!$A$34&lt;&gt;"",ISNUMBER(SEARCH(설정!$A$34,E131&amp;" "&amp;C131))),AND(설정!$A$35&lt;&gt;"",ISNUMBER(SEARCH(설정!$A$35,E131&amp;" "&amp;C131))),AND(설정!$A$36&lt;&gt;"",ISNUMBER(SEARCH(설정!$A$36,E131&amp;" "&amp;C131))),AND(설정!$A$37&lt;&gt;"",ISNUMBER(SEARCH(설정!$A$37,E131&amp;" "&amp;C131))))</f>
        <v/>
      </c>
      <c r="S131">
        <f>OR(D131="",D131&gt;=설정!$B$19)</f>
        <v/>
      </c>
      <c r="T131">
        <f>AND(Q131,R131,S131)</f>
        <v/>
      </c>
      <c r="U131">
        <f>IF(T131,IF(AND(설정!$A$41&lt;&gt;"",ISNUMBER(SEARCH(설정!$A$41,K131))),설정!$B$41,IF(AND(설정!$A$42&lt;&gt;"",ISNUMBER(SEARCH(설정!$A$42,K131))),설정!$B$42,IF(AND(설정!$A$43&lt;&gt;"",ISNUMBER(SEARCH(설정!$A$43,K131))),설정!$B$43,IF(AND(설정!$A$44&lt;&gt;"",ISNUMBER(SEARCH(설정!$A$44,K131))),설정!$B$44,IF(AND(설정!$A$45&lt;&gt;"",ISNUMBER(SEARCH(설정!$A$45,K131))),설정!$B$45,IF(AND(설정!$A$46&lt;&gt;"",ISNUMBER(SEARCH(설정!$A$46,K131))),설정!$B$46,IF(AND(설정!$A$47&lt;&gt;"",ISNUMBER(SEARCH(설정!$A$47,K131))),설정!$B$47,IF(AND(설정!$A$48&lt;&gt;"",ISNUMBER(SEARCH(설정!$A$48,K131))),설정!$B$48,IF(M131="","설계사","시공사"))))))))),"")</f>
        <v/>
      </c>
      <c r="V131">
        <f>SUBSTITUTE(SUBSTITUTE(SUBSTITUTE(SUBSTITUTE(G131,"(주)",""),"㈜",""),"주식회사","")," ","")</f>
        <v/>
      </c>
      <c r="W131">
        <f>IF(AND(T131,V131&lt;&gt;""),IF(COUNTIFS(V$2:V131,V131,T$2:T131,TRUE)=1,MAX(W$1:W130)+1,""),"")</f>
        <v/>
      </c>
      <c r="X131">
        <f>IFERROR(INDEX('1.산군_붙여넣기'!$A$1:$AZ$1001,ROW(),설정!$C$14)&amp;"","")</f>
        <v/>
      </c>
      <c r="Y131">
        <f>IFERROR(INDEX('1.산군_붙여넣기'!$A$1:$AZ$1001,ROW(),설정!$C$15)&amp;"","")</f>
        <v/>
      </c>
      <c r="Z131">
        <f>IF(T131,V131&amp;"|"&amp;U131,"")</f>
        <v/>
      </c>
    </row>
    <row r="132">
      <c r="A132">
        <f>ROW()</f>
        <v/>
      </c>
      <c r="B132">
        <f>IFERROR(INDEX('1.산군_붙여넣기'!$A$1:$AZ$1001,ROW(),설정!$C$4)&amp;"","")</f>
        <v/>
      </c>
      <c r="C132">
        <f>IFERROR(INDEX('1.산군_붙여넣기'!$A$1:$AZ$1001,ROW(),설정!$C$5)&amp;"","")</f>
        <v/>
      </c>
      <c r="D132" s="5">
        <f>IFERROR(VALUE(SUBSTITUTE(SUBSTITUTE(SUBSTITUTE(IFERROR(INDEX('1.산군_붙여넣기'!$A$1:$AZ$1001,ROW(),설정!$C$6)&amp;"",""),",",""),"㎡",""),"m2","")),"")</f>
        <v/>
      </c>
      <c r="E132">
        <f>IFERROR(INDEX('1.산군_붙여넣기'!$A$1:$AZ$1001,ROW(),설정!$C$7)&amp;"","")</f>
        <v/>
      </c>
      <c r="F132">
        <f>IFERROR(INDEX('1.산군_붙여넣기'!$A$1:$AZ$1001,ROW(),설정!$C$8)&amp;"","")</f>
        <v/>
      </c>
      <c r="G132">
        <f>IFERROR(INDEX('1.산군_붙여넣기'!$A$1:$AZ$1001,ROW(),설정!$C$9)&amp;"","")</f>
        <v/>
      </c>
      <c r="H132">
        <f>IFERROR(INDEX('1.산군_붙여넣기'!$A$1:$AZ$1001,ROW(),설정!$C$10)&amp;"","")</f>
        <v/>
      </c>
      <c r="I132">
        <f>IFERROR(INDEX('1.산군_붙여넣기'!$A$1:$AZ$1001,ROW(),설정!$C$11)&amp;"","")</f>
        <v/>
      </c>
      <c r="J132">
        <f>IFERROR(INDEX('1.산군_붙여넣기'!$A$1:$AZ$1001,ROW(),설정!$C$12)&amp;"","")</f>
        <v/>
      </c>
      <c r="K132">
        <f>IFERROR(INDEX('1.산군_붙여넣기'!$A$1:$AZ$1001,ROW(),설정!$C$13)&amp;"","")</f>
        <v/>
      </c>
      <c r="L132" s="6">
        <f>IF(X132="","",IF(AND(LEN(X132)=8,ISNUMBER(X132*1)),DATE(LEFT(X132,4),MID(X132,5,2),RIGHT(X132,2)),IFERROR(DATEVALUE(SUBSTITUTE(SUBSTITUTE(X132,".","-"),"/","-")),IFERROR(X132*1,""))))</f>
        <v/>
      </c>
      <c r="M132" s="6">
        <f>IF(Y132="","",IF(AND(LEN(Y132)=8,ISNUMBER(Y132*1)),DATE(LEFT(Y132,4),MID(Y132,5,2),RIGHT(Y132,2)),IFERROR(DATEVALUE(SUBSTITUTE(SUBSTITUTE(Y132,".","-"),"/","-")),IFERROR(Y132*1,""))))</f>
        <v/>
      </c>
      <c r="N132">
        <f>IFERROR(LEFT(B132,FIND(" ",B132)-1),B132)</f>
        <v/>
      </c>
      <c r="O132">
        <f>AND(B132&lt;&gt;"",B132&lt;&gt;설정!$B$4,C132&lt;&gt;설정!$B$5)</f>
        <v/>
      </c>
      <c r="P132">
        <f>IF(O132,B132&amp;"|"&amp;C132,"")</f>
        <v/>
      </c>
      <c r="Q132">
        <f>AND(O132,COUNTIF(P133:P$1002,P132)=0)</f>
        <v/>
      </c>
      <c r="R132">
        <f>OR(AND(설정!$A$28&lt;&gt;"",ISNUMBER(SEARCH(설정!$A$28,E132&amp;" "&amp;C132))),AND(설정!$A$29&lt;&gt;"",ISNUMBER(SEARCH(설정!$A$29,E132&amp;" "&amp;C132))),AND(설정!$A$30&lt;&gt;"",ISNUMBER(SEARCH(설정!$A$30,E132&amp;" "&amp;C132))),AND(설정!$A$31&lt;&gt;"",ISNUMBER(SEARCH(설정!$A$31,E132&amp;" "&amp;C132))),AND(설정!$A$32&lt;&gt;"",ISNUMBER(SEARCH(설정!$A$32,E132&amp;" "&amp;C132))),AND(설정!$A$33&lt;&gt;"",ISNUMBER(SEARCH(설정!$A$33,E132&amp;" "&amp;C132))),AND(설정!$A$34&lt;&gt;"",ISNUMBER(SEARCH(설정!$A$34,E132&amp;" "&amp;C132))),AND(설정!$A$35&lt;&gt;"",ISNUMBER(SEARCH(설정!$A$35,E132&amp;" "&amp;C132))),AND(설정!$A$36&lt;&gt;"",ISNUMBER(SEARCH(설정!$A$36,E132&amp;" "&amp;C132))),AND(설정!$A$37&lt;&gt;"",ISNUMBER(SEARCH(설정!$A$37,E132&amp;" "&amp;C132))))</f>
        <v/>
      </c>
      <c r="S132">
        <f>OR(D132="",D132&gt;=설정!$B$19)</f>
        <v/>
      </c>
      <c r="T132">
        <f>AND(Q132,R132,S132)</f>
        <v/>
      </c>
      <c r="U132">
        <f>IF(T132,IF(AND(설정!$A$41&lt;&gt;"",ISNUMBER(SEARCH(설정!$A$41,K132))),설정!$B$41,IF(AND(설정!$A$42&lt;&gt;"",ISNUMBER(SEARCH(설정!$A$42,K132))),설정!$B$42,IF(AND(설정!$A$43&lt;&gt;"",ISNUMBER(SEARCH(설정!$A$43,K132))),설정!$B$43,IF(AND(설정!$A$44&lt;&gt;"",ISNUMBER(SEARCH(설정!$A$44,K132))),설정!$B$44,IF(AND(설정!$A$45&lt;&gt;"",ISNUMBER(SEARCH(설정!$A$45,K132))),설정!$B$45,IF(AND(설정!$A$46&lt;&gt;"",ISNUMBER(SEARCH(설정!$A$46,K132))),설정!$B$46,IF(AND(설정!$A$47&lt;&gt;"",ISNUMBER(SEARCH(설정!$A$47,K132))),설정!$B$47,IF(AND(설정!$A$48&lt;&gt;"",ISNUMBER(SEARCH(설정!$A$48,K132))),설정!$B$48,IF(M132="","설계사","시공사"))))))))),"")</f>
        <v/>
      </c>
      <c r="V132">
        <f>SUBSTITUTE(SUBSTITUTE(SUBSTITUTE(SUBSTITUTE(G132,"(주)",""),"㈜",""),"주식회사","")," ","")</f>
        <v/>
      </c>
      <c r="W132">
        <f>IF(AND(T132,V132&lt;&gt;""),IF(COUNTIFS(V$2:V132,V132,T$2:T132,TRUE)=1,MAX(W$1:W131)+1,""),"")</f>
        <v/>
      </c>
      <c r="X132">
        <f>IFERROR(INDEX('1.산군_붙여넣기'!$A$1:$AZ$1001,ROW(),설정!$C$14)&amp;"","")</f>
        <v/>
      </c>
      <c r="Y132">
        <f>IFERROR(INDEX('1.산군_붙여넣기'!$A$1:$AZ$1001,ROW(),설정!$C$15)&amp;"","")</f>
        <v/>
      </c>
      <c r="Z132">
        <f>IF(T132,V132&amp;"|"&amp;U132,"")</f>
        <v/>
      </c>
    </row>
    <row r="133">
      <c r="A133">
        <f>ROW()</f>
        <v/>
      </c>
      <c r="B133">
        <f>IFERROR(INDEX('1.산군_붙여넣기'!$A$1:$AZ$1001,ROW(),설정!$C$4)&amp;"","")</f>
        <v/>
      </c>
      <c r="C133">
        <f>IFERROR(INDEX('1.산군_붙여넣기'!$A$1:$AZ$1001,ROW(),설정!$C$5)&amp;"","")</f>
        <v/>
      </c>
      <c r="D133" s="5">
        <f>IFERROR(VALUE(SUBSTITUTE(SUBSTITUTE(SUBSTITUTE(IFERROR(INDEX('1.산군_붙여넣기'!$A$1:$AZ$1001,ROW(),설정!$C$6)&amp;"",""),",",""),"㎡",""),"m2","")),"")</f>
        <v/>
      </c>
      <c r="E133">
        <f>IFERROR(INDEX('1.산군_붙여넣기'!$A$1:$AZ$1001,ROW(),설정!$C$7)&amp;"","")</f>
        <v/>
      </c>
      <c r="F133">
        <f>IFERROR(INDEX('1.산군_붙여넣기'!$A$1:$AZ$1001,ROW(),설정!$C$8)&amp;"","")</f>
        <v/>
      </c>
      <c r="G133">
        <f>IFERROR(INDEX('1.산군_붙여넣기'!$A$1:$AZ$1001,ROW(),설정!$C$9)&amp;"","")</f>
        <v/>
      </c>
      <c r="H133">
        <f>IFERROR(INDEX('1.산군_붙여넣기'!$A$1:$AZ$1001,ROW(),설정!$C$10)&amp;"","")</f>
        <v/>
      </c>
      <c r="I133">
        <f>IFERROR(INDEX('1.산군_붙여넣기'!$A$1:$AZ$1001,ROW(),설정!$C$11)&amp;"","")</f>
        <v/>
      </c>
      <c r="J133">
        <f>IFERROR(INDEX('1.산군_붙여넣기'!$A$1:$AZ$1001,ROW(),설정!$C$12)&amp;"","")</f>
        <v/>
      </c>
      <c r="K133">
        <f>IFERROR(INDEX('1.산군_붙여넣기'!$A$1:$AZ$1001,ROW(),설정!$C$13)&amp;"","")</f>
        <v/>
      </c>
      <c r="L133" s="6">
        <f>IF(X133="","",IF(AND(LEN(X133)=8,ISNUMBER(X133*1)),DATE(LEFT(X133,4),MID(X133,5,2),RIGHT(X133,2)),IFERROR(DATEVALUE(SUBSTITUTE(SUBSTITUTE(X133,".","-"),"/","-")),IFERROR(X133*1,""))))</f>
        <v/>
      </c>
      <c r="M133" s="6">
        <f>IF(Y133="","",IF(AND(LEN(Y133)=8,ISNUMBER(Y133*1)),DATE(LEFT(Y133,4),MID(Y133,5,2),RIGHT(Y133,2)),IFERROR(DATEVALUE(SUBSTITUTE(SUBSTITUTE(Y133,".","-"),"/","-")),IFERROR(Y133*1,""))))</f>
        <v/>
      </c>
      <c r="N133">
        <f>IFERROR(LEFT(B133,FIND(" ",B133)-1),B133)</f>
        <v/>
      </c>
      <c r="O133">
        <f>AND(B133&lt;&gt;"",B133&lt;&gt;설정!$B$4,C133&lt;&gt;설정!$B$5)</f>
        <v/>
      </c>
      <c r="P133">
        <f>IF(O133,B133&amp;"|"&amp;C133,"")</f>
        <v/>
      </c>
      <c r="Q133">
        <f>AND(O133,COUNTIF(P134:P$1002,P133)=0)</f>
        <v/>
      </c>
      <c r="R133">
        <f>OR(AND(설정!$A$28&lt;&gt;"",ISNUMBER(SEARCH(설정!$A$28,E133&amp;" "&amp;C133))),AND(설정!$A$29&lt;&gt;"",ISNUMBER(SEARCH(설정!$A$29,E133&amp;" "&amp;C133))),AND(설정!$A$30&lt;&gt;"",ISNUMBER(SEARCH(설정!$A$30,E133&amp;" "&amp;C133))),AND(설정!$A$31&lt;&gt;"",ISNUMBER(SEARCH(설정!$A$31,E133&amp;" "&amp;C133))),AND(설정!$A$32&lt;&gt;"",ISNUMBER(SEARCH(설정!$A$32,E133&amp;" "&amp;C133))),AND(설정!$A$33&lt;&gt;"",ISNUMBER(SEARCH(설정!$A$33,E133&amp;" "&amp;C133))),AND(설정!$A$34&lt;&gt;"",ISNUMBER(SEARCH(설정!$A$34,E133&amp;" "&amp;C133))),AND(설정!$A$35&lt;&gt;"",ISNUMBER(SEARCH(설정!$A$35,E133&amp;" "&amp;C133))),AND(설정!$A$36&lt;&gt;"",ISNUMBER(SEARCH(설정!$A$36,E133&amp;" "&amp;C133))),AND(설정!$A$37&lt;&gt;"",ISNUMBER(SEARCH(설정!$A$37,E133&amp;" "&amp;C133))))</f>
        <v/>
      </c>
      <c r="S133">
        <f>OR(D133="",D133&gt;=설정!$B$19)</f>
        <v/>
      </c>
      <c r="T133">
        <f>AND(Q133,R133,S133)</f>
        <v/>
      </c>
      <c r="U133">
        <f>IF(T133,IF(AND(설정!$A$41&lt;&gt;"",ISNUMBER(SEARCH(설정!$A$41,K133))),설정!$B$41,IF(AND(설정!$A$42&lt;&gt;"",ISNUMBER(SEARCH(설정!$A$42,K133))),설정!$B$42,IF(AND(설정!$A$43&lt;&gt;"",ISNUMBER(SEARCH(설정!$A$43,K133))),설정!$B$43,IF(AND(설정!$A$44&lt;&gt;"",ISNUMBER(SEARCH(설정!$A$44,K133))),설정!$B$44,IF(AND(설정!$A$45&lt;&gt;"",ISNUMBER(SEARCH(설정!$A$45,K133))),설정!$B$45,IF(AND(설정!$A$46&lt;&gt;"",ISNUMBER(SEARCH(설정!$A$46,K133))),설정!$B$46,IF(AND(설정!$A$47&lt;&gt;"",ISNUMBER(SEARCH(설정!$A$47,K133))),설정!$B$47,IF(AND(설정!$A$48&lt;&gt;"",ISNUMBER(SEARCH(설정!$A$48,K133))),설정!$B$48,IF(M133="","설계사","시공사"))))))))),"")</f>
        <v/>
      </c>
      <c r="V133">
        <f>SUBSTITUTE(SUBSTITUTE(SUBSTITUTE(SUBSTITUTE(G133,"(주)",""),"㈜",""),"주식회사","")," ","")</f>
        <v/>
      </c>
      <c r="W133">
        <f>IF(AND(T133,V133&lt;&gt;""),IF(COUNTIFS(V$2:V133,V133,T$2:T133,TRUE)=1,MAX(W$1:W132)+1,""),"")</f>
        <v/>
      </c>
      <c r="X133">
        <f>IFERROR(INDEX('1.산군_붙여넣기'!$A$1:$AZ$1001,ROW(),설정!$C$14)&amp;"","")</f>
        <v/>
      </c>
      <c r="Y133">
        <f>IFERROR(INDEX('1.산군_붙여넣기'!$A$1:$AZ$1001,ROW(),설정!$C$15)&amp;"","")</f>
        <v/>
      </c>
      <c r="Z133">
        <f>IF(T133,V133&amp;"|"&amp;U133,"")</f>
        <v/>
      </c>
    </row>
    <row r="134">
      <c r="A134">
        <f>ROW()</f>
        <v/>
      </c>
      <c r="B134">
        <f>IFERROR(INDEX('1.산군_붙여넣기'!$A$1:$AZ$1001,ROW(),설정!$C$4)&amp;"","")</f>
        <v/>
      </c>
      <c r="C134">
        <f>IFERROR(INDEX('1.산군_붙여넣기'!$A$1:$AZ$1001,ROW(),설정!$C$5)&amp;"","")</f>
        <v/>
      </c>
      <c r="D134" s="5">
        <f>IFERROR(VALUE(SUBSTITUTE(SUBSTITUTE(SUBSTITUTE(IFERROR(INDEX('1.산군_붙여넣기'!$A$1:$AZ$1001,ROW(),설정!$C$6)&amp;"",""),",",""),"㎡",""),"m2","")),"")</f>
        <v/>
      </c>
      <c r="E134">
        <f>IFERROR(INDEX('1.산군_붙여넣기'!$A$1:$AZ$1001,ROW(),설정!$C$7)&amp;"","")</f>
        <v/>
      </c>
      <c r="F134">
        <f>IFERROR(INDEX('1.산군_붙여넣기'!$A$1:$AZ$1001,ROW(),설정!$C$8)&amp;"","")</f>
        <v/>
      </c>
      <c r="G134">
        <f>IFERROR(INDEX('1.산군_붙여넣기'!$A$1:$AZ$1001,ROW(),설정!$C$9)&amp;"","")</f>
        <v/>
      </c>
      <c r="H134">
        <f>IFERROR(INDEX('1.산군_붙여넣기'!$A$1:$AZ$1001,ROW(),설정!$C$10)&amp;"","")</f>
        <v/>
      </c>
      <c r="I134">
        <f>IFERROR(INDEX('1.산군_붙여넣기'!$A$1:$AZ$1001,ROW(),설정!$C$11)&amp;"","")</f>
        <v/>
      </c>
      <c r="J134">
        <f>IFERROR(INDEX('1.산군_붙여넣기'!$A$1:$AZ$1001,ROW(),설정!$C$12)&amp;"","")</f>
        <v/>
      </c>
      <c r="K134">
        <f>IFERROR(INDEX('1.산군_붙여넣기'!$A$1:$AZ$1001,ROW(),설정!$C$13)&amp;"","")</f>
        <v/>
      </c>
      <c r="L134" s="6">
        <f>IF(X134="","",IF(AND(LEN(X134)=8,ISNUMBER(X134*1)),DATE(LEFT(X134,4),MID(X134,5,2),RIGHT(X134,2)),IFERROR(DATEVALUE(SUBSTITUTE(SUBSTITUTE(X134,".","-"),"/","-")),IFERROR(X134*1,""))))</f>
        <v/>
      </c>
      <c r="M134" s="6">
        <f>IF(Y134="","",IF(AND(LEN(Y134)=8,ISNUMBER(Y134*1)),DATE(LEFT(Y134,4),MID(Y134,5,2),RIGHT(Y134,2)),IFERROR(DATEVALUE(SUBSTITUTE(SUBSTITUTE(Y134,".","-"),"/","-")),IFERROR(Y134*1,""))))</f>
        <v/>
      </c>
      <c r="N134">
        <f>IFERROR(LEFT(B134,FIND(" ",B134)-1),B134)</f>
        <v/>
      </c>
      <c r="O134">
        <f>AND(B134&lt;&gt;"",B134&lt;&gt;설정!$B$4,C134&lt;&gt;설정!$B$5)</f>
        <v/>
      </c>
      <c r="P134">
        <f>IF(O134,B134&amp;"|"&amp;C134,"")</f>
        <v/>
      </c>
      <c r="Q134">
        <f>AND(O134,COUNTIF(P135:P$1002,P134)=0)</f>
        <v/>
      </c>
      <c r="R134">
        <f>OR(AND(설정!$A$28&lt;&gt;"",ISNUMBER(SEARCH(설정!$A$28,E134&amp;" "&amp;C134))),AND(설정!$A$29&lt;&gt;"",ISNUMBER(SEARCH(설정!$A$29,E134&amp;" "&amp;C134))),AND(설정!$A$30&lt;&gt;"",ISNUMBER(SEARCH(설정!$A$30,E134&amp;" "&amp;C134))),AND(설정!$A$31&lt;&gt;"",ISNUMBER(SEARCH(설정!$A$31,E134&amp;" "&amp;C134))),AND(설정!$A$32&lt;&gt;"",ISNUMBER(SEARCH(설정!$A$32,E134&amp;" "&amp;C134))),AND(설정!$A$33&lt;&gt;"",ISNUMBER(SEARCH(설정!$A$33,E134&amp;" "&amp;C134))),AND(설정!$A$34&lt;&gt;"",ISNUMBER(SEARCH(설정!$A$34,E134&amp;" "&amp;C134))),AND(설정!$A$35&lt;&gt;"",ISNUMBER(SEARCH(설정!$A$35,E134&amp;" "&amp;C134))),AND(설정!$A$36&lt;&gt;"",ISNUMBER(SEARCH(설정!$A$36,E134&amp;" "&amp;C134))),AND(설정!$A$37&lt;&gt;"",ISNUMBER(SEARCH(설정!$A$37,E134&amp;" "&amp;C134))))</f>
        <v/>
      </c>
      <c r="S134">
        <f>OR(D134="",D134&gt;=설정!$B$19)</f>
        <v/>
      </c>
      <c r="T134">
        <f>AND(Q134,R134,S134)</f>
        <v/>
      </c>
      <c r="U134">
        <f>IF(T134,IF(AND(설정!$A$41&lt;&gt;"",ISNUMBER(SEARCH(설정!$A$41,K134))),설정!$B$41,IF(AND(설정!$A$42&lt;&gt;"",ISNUMBER(SEARCH(설정!$A$42,K134))),설정!$B$42,IF(AND(설정!$A$43&lt;&gt;"",ISNUMBER(SEARCH(설정!$A$43,K134))),설정!$B$43,IF(AND(설정!$A$44&lt;&gt;"",ISNUMBER(SEARCH(설정!$A$44,K134))),설정!$B$44,IF(AND(설정!$A$45&lt;&gt;"",ISNUMBER(SEARCH(설정!$A$45,K134))),설정!$B$45,IF(AND(설정!$A$46&lt;&gt;"",ISNUMBER(SEARCH(설정!$A$46,K134))),설정!$B$46,IF(AND(설정!$A$47&lt;&gt;"",ISNUMBER(SEARCH(설정!$A$47,K134))),설정!$B$47,IF(AND(설정!$A$48&lt;&gt;"",ISNUMBER(SEARCH(설정!$A$48,K134))),설정!$B$48,IF(M134="","설계사","시공사"))))))))),"")</f>
        <v/>
      </c>
      <c r="V134">
        <f>SUBSTITUTE(SUBSTITUTE(SUBSTITUTE(SUBSTITUTE(G134,"(주)",""),"㈜",""),"주식회사","")," ","")</f>
        <v/>
      </c>
      <c r="W134">
        <f>IF(AND(T134,V134&lt;&gt;""),IF(COUNTIFS(V$2:V134,V134,T$2:T134,TRUE)=1,MAX(W$1:W133)+1,""),"")</f>
        <v/>
      </c>
      <c r="X134">
        <f>IFERROR(INDEX('1.산군_붙여넣기'!$A$1:$AZ$1001,ROW(),설정!$C$14)&amp;"","")</f>
        <v/>
      </c>
      <c r="Y134">
        <f>IFERROR(INDEX('1.산군_붙여넣기'!$A$1:$AZ$1001,ROW(),설정!$C$15)&amp;"","")</f>
        <v/>
      </c>
      <c r="Z134">
        <f>IF(T134,V134&amp;"|"&amp;U134,"")</f>
        <v/>
      </c>
    </row>
    <row r="135">
      <c r="A135">
        <f>ROW()</f>
        <v/>
      </c>
      <c r="B135">
        <f>IFERROR(INDEX('1.산군_붙여넣기'!$A$1:$AZ$1001,ROW(),설정!$C$4)&amp;"","")</f>
        <v/>
      </c>
      <c r="C135">
        <f>IFERROR(INDEX('1.산군_붙여넣기'!$A$1:$AZ$1001,ROW(),설정!$C$5)&amp;"","")</f>
        <v/>
      </c>
      <c r="D135" s="5">
        <f>IFERROR(VALUE(SUBSTITUTE(SUBSTITUTE(SUBSTITUTE(IFERROR(INDEX('1.산군_붙여넣기'!$A$1:$AZ$1001,ROW(),설정!$C$6)&amp;"",""),",",""),"㎡",""),"m2","")),"")</f>
        <v/>
      </c>
      <c r="E135">
        <f>IFERROR(INDEX('1.산군_붙여넣기'!$A$1:$AZ$1001,ROW(),설정!$C$7)&amp;"","")</f>
        <v/>
      </c>
      <c r="F135">
        <f>IFERROR(INDEX('1.산군_붙여넣기'!$A$1:$AZ$1001,ROW(),설정!$C$8)&amp;"","")</f>
        <v/>
      </c>
      <c r="G135">
        <f>IFERROR(INDEX('1.산군_붙여넣기'!$A$1:$AZ$1001,ROW(),설정!$C$9)&amp;"","")</f>
        <v/>
      </c>
      <c r="H135">
        <f>IFERROR(INDEX('1.산군_붙여넣기'!$A$1:$AZ$1001,ROW(),설정!$C$10)&amp;"","")</f>
        <v/>
      </c>
      <c r="I135">
        <f>IFERROR(INDEX('1.산군_붙여넣기'!$A$1:$AZ$1001,ROW(),설정!$C$11)&amp;"","")</f>
        <v/>
      </c>
      <c r="J135">
        <f>IFERROR(INDEX('1.산군_붙여넣기'!$A$1:$AZ$1001,ROW(),설정!$C$12)&amp;"","")</f>
        <v/>
      </c>
      <c r="K135">
        <f>IFERROR(INDEX('1.산군_붙여넣기'!$A$1:$AZ$1001,ROW(),설정!$C$13)&amp;"","")</f>
        <v/>
      </c>
      <c r="L135" s="6">
        <f>IF(X135="","",IF(AND(LEN(X135)=8,ISNUMBER(X135*1)),DATE(LEFT(X135,4),MID(X135,5,2),RIGHT(X135,2)),IFERROR(DATEVALUE(SUBSTITUTE(SUBSTITUTE(X135,".","-"),"/","-")),IFERROR(X135*1,""))))</f>
        <v/>
      </c>
      <c r="M135" s="6">
        <f>IF(Y135="","",IF(AND(LEN(Y135)=8,ISNUMBER(Y135*1)),DATE(LEFT(Y135,4),MID(Y135,5,2),RIGHT(Y135,2)),IFERROR(DATEVALUE(SUBSTITUTE(SUBSTITUTE(Y135,".","-"),"/","-")),IFERROR(Y135*1,""))))</f>
        <v/>
      </c>
      <c r="N135">
        <f>IFERROR(LEFT(B135,FIND(" ",B135)-1),B135)</f>
        <v/>
      </c>
      <c r="O135">
        <f>AND(B135&lt;&gt;"",B135&lt;&gt;설정!$B$4,C135&lt;&gt;설정!$B$5)</f>
        <v/>
      </c>
      <c r="P135">
        <f>IF(O135,B135&amp;"|"&amp;C135,"")</f>
        <v/>
      </c>
      <c r="Q135">
        <f>AND(O135,COUNTIF(P136:P$1002,P135)=0)</f>
        <v/>
      </c>
      <c r="R135">
        <f>OR(AND(설정!$A$28&lt;&gt;"",ISNUMBER(SEARCH(설정!$A$28,E135&amp;" "&amp;C135))),AND(설정!$A$29&lt;&gt;"",ISNUMBER(SEARCH(설정!$A$29,E135&amp;" "&amp;C135))),AND(설정!$A$30&lt;&gt;"",ISNUMBER(SEARCH(설정!$A$30,E135&amp;" "&amp;C135))),AND(설정!$A$31&lt;&gt;"",ISNUMBER(SEARCH(설정!$A$31,E135&amp;" "&amp;C135))),AND(설정!$A$32&lt;&gt;"",ISNUMBER(SEARCH(설정!$A$32,E135&amp;" "&amp;C135))),AND(설정!$A$33&lt;&gt;"",ISNUMBER(SEARCH(설정!$A$33,E135&amp;" "&amp;C135))),AND(설정!$A$34&lt;&gt;"",ISNUMBER(SEARCH(설정!$A$34,E135&amp;" "&amp;C135))),AND(설정!$A$35&lt;&gt;"",ISNUMBER(SEARCH(설정!$A$35,E135&amp;" "&amp;C135))),AND(설정!$A$36&lt;&gt;"",ISNUMBER(SEARCH(설정!$A$36,E135&amp;" "&amp;C135))),AND(설정!$A$37&lt;&gt;"",ISNUMBER(SEARCH(설정!$A$37,E135&amp;" "&amp;C135))))</f>
        <v/>
      </c>
      <c r="S135">
        <f>OR(D135="",D135&gt;=설정!$B$19)</f>
        <v/>
      </c>
      <c r="T135">
        <f>AND(Q135,R135,S135)</f>
        <v/>
      </c>
      <c r="U135">
        <f>IF(T135,IF(AND(설정!$A$41&lt;&gt;"",ISNUMBER(SEARCH(설정!$A$41,K135))),설정!$B$41,IF(AND(설정!$A$42&lt;&gt;"",ISNUMBER(SEARCH(설정!$A$42,K135))),설정!$B$42,IF(AND(설정!$A$43&lt;&gt;"",ISNUMBER(SEARCH(설정!$A$43,K135))),설정!$B$43,IF(AND(설정!$A$44&lt;&gt;"",ISNUMBER(SEARCH(설정!$A$44,K135))),설정!$B$44,IF(AND(설정!$A$45&lt;&gt;"",ISNUMBER(SEARCH(설정!$A$45,K135))),설정!$B$45,IF(AND(설정!$A$46&lt;&gt;"",ISNUMBER(SEARCH(설정!$A$46,K135))),설정!$B$46,IF(AND(설정!$A$47&lt;&gt;"",ISNUMBER(SEARCH(설정!$A$47,K135))),설정!$B$47,IF(AND(설정!$A$48&lt;&gt;"",ISNUMBER(SEARCH(설정!$A$48,K135))),설정!$B$48,IF(M135="","설계사","시공사"))))))))),"")</f>
        <v/>
      </c>
      <c r="V135">
        <f>SUBSTITUTE(SUBSTITUTE(SUBSTITUTE(SUBSTITUTE(G135,"(주)",""),"㈜",""),"주식회사","")," ","")</f>
        <v/>
      </c>
      <c r="W135">
        <f>IF(AND(T135,V135&lt;&gt;""),IF(COUNTIFS(V$2:V135,V135,T$2:T135,TRUE)=1,MAX(W$1:W134)+1,""),"")</f>
        <v/>
      </c>
      <c r="X135">
        <f>IFERROR(INDEX('1.산군_붙여넣기'!$A$1:$AZ$1001,ROW(),설정!$C$14)&amp;"","")</f>
        <v/>
      </c>
      <c r="Y135">
        <f>IFERROR(INDEX('1.산군_붙여넣기'!$A$1:$AZ$1001,ROW(),설정!$C$15)&amp;"","")</f>
        <v/>
      </c>
      <c r="Z135">
        <f>IF(T135,V135&amp;"|"&amp;U135,"")</f>
        <v/>
      </c>
    </row>
    <row r="136">
      <c r="A136">
        <f>ROW()</f>
        <v/>
      </c>
      <c r="B136">
        <f>IFERROR(INDEX('1.산군_붙여넣기'!$A$1:$AZ$1001,ROW(),설정!$C$4)&amp;"","")</f>
        <v/>
      </c>
      <c r="C136">
        <f>IFERROR(INDEX('1.산군_붙여넣기'!$A$1:$AZ$1001,ROW(),설정!$C$5)&amp;"","")</f>
        <v/>
      </c>
      <c r="D136" s="5">
        <f>IFERROR(VALUE(SUBSTITUTE(SUBSTITUTE(SUBSTITUTE(IFERROR(INDEX('1.산군_붙여넣기'!$A$1:$AZ$1001,ROW(),설정!$C$6)&amp;"",""),",",""),"㎡",""),"m2","")),"")</f>
        <v/>
      </c>
      <c r="E136">
        <f>IFERROR(INDEX('1.산군_붙여넣기'!$A$1:$AZ$1001,ROW(),설정!$C$7)&amp;"","")</f>
        <v/>
      </c>
      <c r="F136">
        <f>IFERROR(INDEX('1.산군_붙여넣기'!$A$1:$AZ$1001,ROW(),설정!$C$8)&amp;"","")</f>
        <v/>
      </c>
      <c r="G136">
        <f>IFERROR(INDEX('1.산군_붙여넣기'!$A$1:$AZ$1001,ROW(),설정!$C$9)&amp;"","")</f>
        <v/>
      </c>
      <c r="H136">
        <f>IFERROR(INDEX('1.산군_붙여넣기'!$A$1:$AZ$1001,ROW(),설정!$C$10)&amp;"","")</f>
        <v/>
      </c>
      <c r="I136">
        <f>IFERROR(INDEX('1.산군_붙여넣기'!$A$1:$AZ$1001,ROW(),설정!$C$11)&amp;"","")</f>
        <v/>
      </c>
      <c r="J136">
        <f>IFERROR(INDEX('1.산군_붙여넣기'!$A$1:$AZ$1001,ROW(),설정!$C$12)&amp;"","")</f>
        <v/>
      </c>
      <c r="K136">
        <f>IFERROR(INDEX('1.산군_붙여넣기'!$A$1:$AZ$1001,ROW(),설정!$C$13)&amp;"","")</f>
        <v/>
      </c>
      <c r="L136" s="6">
        <f>IF(X136="","",IF(AND(LEN(X136)=8,ISNUMBER(X136*1)),DATE(LEFT(X136,4),MID(X136,5,2),RIGHT(X136,2)),IFERROR(DATEVALUE(SUBSTITUTE(SUBSTITUTE(X136,".","-"),"/","-")),IFERROR(X136*1,""))))</f>
        <v/>
      </c>
      <c r="M136" s="6">
        <f>IF(Y136="","",IF(AND(LEN(Y136)=8,ISNUMBER(Y136*1)),DATE(LEFT(Y136,4),MID(Y136,5,2),RIGHT(Y136,2)),IFERROR(DATEVALUE(SUBSTITUTE(SUBSTITUTE(Y136,".","-"),"/","-")),IFERROR(Y136*1,""))))</f>
        <v/>
      </c>
      <c r="N136">
        <f>IFERROR(LEFT(B136,FIND(" ",B136)-1),B136)</f>
        <v/>
      </c>
      <c r="O136">
        <f>AND(B136&lt;&gt;"",B136&lt;&gt;설정!$B$4,C136&lt;&gt;설정!$B$5)</f>
        <v/>
      </c>
      <c r="P136">
        <f>IF(O136,B136&amp;"|"&amp;C136,"")</f>
        <v/>
      </c>
      <c r="Q136">
        <f>AND(O136,COUNTIF(P137:P$1002,P136)=0)</f>
        <v/>
      </c>
      <c r="R136">
        <f>OR(AND(설정!$A$28&lt;&gt;"",ISNUMBER(SEARCH(설정!$A$28,E136&amp;" "&amp;C136))),AND(설정!$A$29&lt;&gt;"",ISNUMBER(SEARCH(설정!$A$29,E136&amp;" "&amp;C136))),AND(설정!$A$30&lt;&gt;"",ISNUMBER(SEARCH(설정!$A$30,E136&amp;" "&amp;C136))),AND(설정!$A$31&lt;&gt;"",ISNUMBER(SEARCH(설정!$A$31,E136&amp;" "&amp;C136))),AND(설정!$A$32&lt;&gt;"",ISNUMBER(SEARCH(설정!$A$32,E136&amp;" "&amp;C136))),AND(설정!$A$33&lt;&gt;"",ISNUMBER(SEARCH(설정!$A$33,E136&amp;" "&amp;C136))),AND(설정!$A$34&lt;&gt;"",ISNUMBER(SEARCH(설정!$A$34,E136&amp;" "&amp;C136))),AND(설정!$A$35&lt;&gt;"",ISNUMBER(SEARCH(설정!$A$35,E136&amp;" "&amp;C136))),AND(설정!$A$36&lt;&gt;"",ISNUMBER(SEARCH(설정!$A$36,E136&amp;" "&amp;C136))),AND(설정!$A$37&lt;&gt;"",ISNUMBER(SEARCH(설정!$A$37,E136&amp;" "&amp;C136))))</f>
        <v/>
      </c>
      <c r="S136">
        <f>OR(D136="",D136&gt;=설정!$B$19)</f>
        <v/>
      </c>
      <c r="T136">
        <f>AND(Q136,R136,S136)</f>
        <v/>
      </c>
      <c r="U136">
        <f>IF(T136,IF(AND(설정!$A$41&lt;&gt;"",ISNUMBER(SEARCH(설정!$A$41,K136))),설정!$B$41,IF(AND(설정!$A$42&lt;&gt;"",ISNUMBER(SEARCH(설정!$A$42,K136))),설정!$B$42,IF(AND(설정!$A$43&lt;&gt;"",ISNUMBER(SEARCH(설정!$A$43,K136))),설정!$B$43,IF(AND(설정!$A$44&lt;&gt;"",ISNUMBER(SEARCH(설정!$A$44,K136))),설정!$B$44,IF(AND(설정!$A$45&lt;&gt;"",ISNUMBER(SEARCH(설정!$A$45,K136))),설정!$B$45,IF(AND(설정!$A$46&lt;&gt;"",ISNUMBER(SEARCH(설정!$A$46,K136))),설정!$B$46,IF(AND(설정!$A$47&lt;&gt;"",ISNUMBER(SEARCH(설정!$A$47,K136))),설정!$B$47,IF(AND(설정!$A$48&lt;&gt;"",ISNUMBER(SEARCH(설정!$A$48,K136))),설정!$B$48,IF(M136="","설계사","시공사"))))))))),"")</f>
        <v/>
      </c>
      <c r="V136">
        <f>SUBSTITUTE(SUBSTITUTE(SUBSTITUTE(SUBSTITUTE(G136,"(주)",""),"㈜",""),"주식회사","")," ","")</f>
        <v/>
      </c>
      <c r="W136">
        <f>IF(AND(T136,V136&lt;&gt;""),IF(COUNTIFS(V$2:V136,V136,T$2:T136,TRUE)=1,MAX(W$1:W135)+1,""),"")</f>
        <v/>
      </c>
      <c r="X136">
        <f>IFERROR(INDEX('1.산군_붙여넣기'!$A$1:$AZ$1001,ROW(),설정!$C$14)&amp;"","")</f>
        <v/>
      </c>
      <c r="Y136">
        <f>IFERROR(INDEX('1.산군_붙여넣기'!$A$1:$AZ$1001,ROW(),설정!$C$15)&amp;"","")</f>
        <v/>
      </c>
      <c r="Z136">
        <f>IF(T136,V136&amp;"|"&amp;U136,"")</f>
        <v/>
      </c>
    </row>
    <row r="137">
      <c r="A137">
        <f>ROW()</f>
        <v/>
      </c>
      <c r="B137">
        <f>IFERROR(INDEX('1.산군_붙여넣기'!$A$1:$AZ$1001,ROW(),설정!$C$4)&amp;"","")</f>
        <v/>
      </c>
      <c r="C137">
        <f>IFERROR(INDEX('1.산군_붙여넣기'!$A$1:$AZ$1001,ROW(),설정!$C$5)&amp;"","")</f>
        <v/>
      </c>
      <c r="D137" s="5">
        <f>IFERROR(VALUE(SUBSTITUTE(SUBSTITUTE(SUBSTITUTE(IFERROR(INDEX('1.산군_붙여넣기'!$A$1:$AZ$1001,ROW(),설정!$C$6)&amp;"",""),",",""),"㎡",""),"m2","")),"")</f>
        <v/>
      </c>
      <c r="E137">
        <f>IFERROR(INDEX('1.산군_붙여넣기'!$A$1:$AZ$1001,ROW(),설정!$C$7)&amp;"","")</f>
        <v/>
      </c>
      <c r="F137">
        <f>IFERROR(INDEX('1.산군_붙여넣기'!$A$1:$AZ$1001,ROW(),설정!$C$8)&amp;"","")</f>
        <v/>
      </c>
      <c r="G137">
        <f>IFERROR(INDEX('1.산군_붙여넣기'!$A$1:$AZ$1001,ROW(),설정!$C$9)&amp;"","")</f>
        <v/>
      </c>
      <c r="H137">
        <f>IFERROR(INDEX('1.산군_붙여넣기'!$A$1:$AZ$1001,ROW(),설정!$C$10)&amp;"","")</f>
        <v/>
      </c>
      <c r="I137">
        <f>IFERROR(INDEX('1.산군_붙여넣기'!$A$1:$AZ$1001,ROW(),설정!$C$11)&amp;"","")</f>
        <v/>
      </c>
      <c r="J137">
        <f>IFERROR(INDEX('1.산군_붙여넣기'!$A$1:$AZ$1001,ROW(),설정!$C$12)&amp;"","")</f>
        <v/>
      </c>
      <c r="K137">
        <f>IFERROR(INDEX('1.산군_붙여넣기'!$A$1:$AZ$1001,ROW(),설정!$C$13)&amp;"","")</f>
        <v/>
      </c>
      <c r="L137" s="6">
        <f>IF(X137="","",IF(AND(LEN(X137)=8,ISNUMBER(X137*1)),DATE(LEFT(X137,4),MID(X137,5,2),RIGHT(X137,2)),IFERROR(DATEVALUE(SUBSTITUTE(SUBSTITUTE(X137,".","-"),"/","-")),IFERROR(X137*1,""))))</f>
        <v/>
      </c>
      <c r="M137" s="6">
        <f>IF(Y137="","",IF(AND(LEN(Y137)=8,ISNUMBER(Y137*1)),DATE(LEFT(Y137,4),MID(Y137,5,2),RIGHT(Y137,2)),IFERROR(DATEVALUE(SUBSTITUTE(SUBSTITUTE(Y137,".","-"),"/","-")),IFERROR(Y137*1,""))))</f>
        <v/>
      </c>
      <c r="N137">
        <f>IFERROR(LEFT(B137,FIND(" ",B137)-1),B137)</f>
        <v/>
      </c>
      <c r="O137">
        <f>AND(B137&lt;&gt;"",B137&lt;&gt;설정!$B$4,C137&lt;&gt;설정!$B$5)</f>
        <v/>
      </c>
      <c r="P137">
        <f>IF(O137,B137&amp;"|"&amp;C137,"")</f>
        <v/>
      </c>
      <c r="Q137">
        <f>AND(O137,COUNTIF(P138:P$1002,P137)=0)</f>
        <v/>
      </c>
      <c r="R137">
        <f>OR(AND(설정!$A$28&lt;&gt;"",ISNUMBER(SEARCH(설정!$A$28,E137&amp;" "&amp;C137))),AND(설정!$A$29&lt;&gt;"",ISNUMBER(SEARCH(설정!$A$29,E137&amp;" "&amp;C137))),AND(설정!$A$30&lt;&gt;"",ISNUMBER(SEARCH(설정!$A$30,E137&amp;" "&amp;C137))),AND(설정!$A$31&lt;&gt;"",ISNUMBER(SEARCH(설정!$A$31,E137&amp;" "&amp;C137))),AND(설정!$A$32&lt;&gt;"",ISNUMBER(SEARCH(설정!$A$32,E137&amp;" "&amp;C137))),AND(설정!$A$33&lt;&gt;"",ISNUMBER(SEARCH(설정!$A$33,E137&amp;" "&amp;C137))),AND(설정!$A$34&lt;&gt;"",ISNUMBER(SEARCH(설정!$A$34,E137&amp;" "&amp;C137))),AND(설정!$A$35&lt;&gt;"",ISNUMBER(SEARCH(설정!$A$35,E137&amp;" "&amp;C137))),AND(설정!$A$36&lt;&gt;"",ISNUMBER(SEARCH(설정!$A$36,E137&amp;" "&amp;C137))),AND(설정!$A$37&lt;&gt;"",ISNUMBER(SEARCH(설정!$A$37,E137&amp;" "&amp;C137))))</f>
        <v/>
      </c>
      <c r="S137">
        <f>OR(D137="",D137&gt;=설정!$B$19)</f>
        <v/>
      </c>
      <c r="T137">
        <f>AND(Q137,R137,S137)</f>
        <v/>
      </c>
      <c r="U137">
        <f>IF(T137,IF(AND(설정!$A$41&lt;&gt;"",ISNUMBER(SEARCH(설정!$A$41,K137))),설정!$B$41,IF(AND(설정!$A$42&lt;&gt;"",ISNUMBER(SEARCH(설정!$A$42,K137))),설정!$B$42,IF(AND(설정!$A$43&lt;&gt;"",ISNUMBER(SEARCH(설정!$A$43,K137))),설정!$B$43,IF(AND(설정!$A$44&lt;&gt;"",ISNUMBER(SEARCH(설정!$A$44,K137))),설정!$B$44,IF(AND(설정!$A$45&lt;&gt;"",ISNUMBER(SEARCH(설정!$A$45,K137))),설정!$B$45,IF(AND(설정!$A$46&lt;&gt;"",ISNUMBER(SEARCH(설정!$A$46,K137))),설정!$B$46,IF(AND(설정!$A$47&lt;&gt;"",ISNUMBER(SEARCH(설정!$A$47,K137))),설정!$B$47,IF(AND(설정!$A$48&lt;&gt;"",ISNUMBER(SEARCH(설정!$A$48,K137))),설정!$B$48,IF(M137="","설계사","시공사"))))))))),"")</f>
        <v/>
      </c>
      <c r="V137">
        <f>SUBSTITUTE(SUBSTITUTE(SUBSTITUTE(SUBSTITUTE(G137,"(주)",""),"㈜",""),"주식회사","")," ","")</f>
        <v/>
      </c>
      <c r="W137">
        <f>IF(AND(T137,V137&lt;&gt;""),IF(COUNTIFS(V$2:V137,V137,T$2:T137,TRUE)=1,MAX(W$1:W136)+1,""),"")</f>
        <v/>
      </c>
      <c r="X137">
        <f>IFERROR(INDEX('1.산군_붙여넣기'!$A$1:$AZ$1001,ROW(),설정!$C$14)&amp;"","")</f>
        <v/>
      </c>
      <c r="Y137">
        <f>IFERROR(INDEX('1.산군_붙여넣기'!$A$1:$AZ$1001,ROW(),설정!$C$15)&amp;"","")</f>
        <v/>
      </c>
      <c r="Z137">
        <f>IF(T137,V137&amp;"|"&amp;U137,"")</f>
        <v/>
      </c>
    </row>
    <row r="138">
      <c r="A138">
        <f>ROW()</f>
        <v/>
      </c>
      <c r="B138">
        <f>IFERROR(INDEX('1.산군_붙여넣기'!$A$1:$AZ$1001,ROW(),설정!$C$4)&amp;"","")</f>
        <v/>
      </c>
      <c r="C138">
        <f>IFERROR(INDEX('1.산군_붙여넣기'!$A$1:$AZ$1001,ROW(),설정!$C$5)&amp;"","")</f>
        <v/>
      </c>
      <c r="D138" s="5">
        <f>IFERROR(VALUE(SUBSTITUTE(SUBSTITUTE(SUBSTITUTE(IFERROR(INDEX('1.산군_붙여넣기'!$A$1:$AZ$1001,ROW(),설정!$C$6)&amp;"",""),",",""),"㎡",""),"m2","")),"")</f>
        <v/>
      </c>
      <c r="E138">
        <f>IFERROR(INDEX('1.산군_붙여넣기'!$A$1:$AZ$1001,ROW(),설정!$C$7)&amp;"","")</f>
        <v/>
      </c>
      <c r="F138">
        <f>IFERROR(INDEX('1.산군_붙여넣기'!$A$1:$AZ$1001,ROW(),설정!$C$8)&amp;"","")</f>
        <v/>
      </c>
      <c r="G138">
        <f>IFERROR(INDEX('1.산군_붙여넣기'!$A$1:$AZ$1001,ROW(),설정!$C$9)&amp;"","")</f>
        <v/>
      </c>
      <c r="H138">
        <f>IFERROR(INDEX('1.산군_붙여넣기'!$A$1:$AZ$1001,ROW(),설정!$C$10)&amp;"","")</f>
        <v/>
      </c>
      <c r="I138">
        <f>IFERROR(INDEX('1.산군_붙여넣기'!$A$1:$AZ$1001,ROW(),설정!$C$11)&amp;"","")</f>
        <v/>
      </c>
      <c r="J138">
        <f>IFERROR(INDEX('1.산군_붙여넣기'!$A$1:$AZ$1001,ROW(),설정!$C$12)&amp;"","")</f>
        <v/>
      </c>
      <c r="K138">
        <f>IFERROR(INDEX('1.산군_붙여넣기'!$A$1:$AZ$1001,ROW(),설정!$C$13)&amp;"","")</f>
        <v/>
      </c>
      <c r="L138" s="6">
        <f>IF(X138="","",IF(AND(LEN(X138)=8,ISNUMBER(X138*1)),DATE(LEFT(X138,4),MID(X138,5,2),RIGHT(X138,2)),IFERROR(DATEVALUE(SUBSTITUTE(SUBSTITUTE(X138,".","-"),"/","-")),IFERROR(X138*1,""))))</f>
        <v/>
      </c>
      <c r="M138" s="6">
        <f>IF(Y138="","",IF(AND(LEN(Y138)=8,ISNUMBER(Y138*1)),DATE(LEFT(Y138,4),MID(Y138,5,2),RIGHT(Y138,2)),IFERROR(DATEVALUE(SUBSTITUTE(SUBSTITUTE(Y138,".","-"),"/","-")),IFERROR(Y138*1,""))))</f>
        <v/>
      </c>
      <c r="N138">
        <f>IFERROR(LEFT(B138,FIND(" ",B138)-1),B138)</f>
        <v/>
      </c>
      <c r="O138">
        <f>AND(B138&lt;&gt;"",B138&lt;&gt;설정!$B$4,C138&lt;&gt;설정!$B$5)</f>
        <v/>
      </c>
      <c r="P138">
        <f>IF(O138,B138&amp;"|"&amp;C138,"")</f>
        <v/>
      </c>
      <c r="Q138">
        <f>AND(O138,COUNTIF(P139:P$1002,P138)=0)</f>
        <v/>
      </c>
      <c r="R138">
        <f>OR(AND(설정!$A$28&lt;&gt;"",ISNUMBER(SEARCH(설정!$A$28,E138&amp;" "&amp;C138))),AND(설정!$A$29&lt;&gt;"",ISNUMBER(SEARCH(설정!$A$29,E138&amp;" "&amp;C138))),AND(설정!$A$30&lt;&gt;"",ISNUMBER(SEARCH(설정!$A$30,E138&amp;" "&amp;C138))),AND(설정!$A$31&lt;&gt;"",ISNUMBER(SEARCH(설정!$A$31,E138&amp;" "&amp;C138))),AND(설정!$A$32&lt;&gt;"",ISNUMBER(SEARCH(설정!$A$32,E138&amp;" "&amp;C138))),AND(설정!$A$33&lt;&gt;"",ISNUMBER(SEARCH(설정!$A$33,E138&amp;" "&amp;C138))),AND(설정!$A$34&lt;&gt;"",ISNUMBER(SEARCH(설정!$A$34,E138&amp;" "&amp;C138))),AND(설정!$A$35&lt;&gt;"",ISNUMBER(SEARCH(설정!$A$35,E138&amp;" "&amp;C138))),AND(설정!$A$36&lt;&gt;"",ISNUMBER(SEARCH(설정!$A$36,E138&amp;" "&amp;C138))),AND(설정!$A$37&lt;&gt;"",ISNUMBER(SEARCH(설정!$A$37,E138&amp;" "&amp;C138))))</f>
        <v/>
      </c>
      <c r="S138">
        <f>OR(D138="",D138&gt;=설정!$B$19)</f>
        <v/>
      </c>
      <c r="T138">
        <f>AND(Q138,R138,S138)</f>
        <v/>
      </c>
      <c r="U138">
        <f>IF(T138,IF(AND(설정!$A$41&lt;&gt;"",ISNUMBER(SEARCH(설정!$A$41,K138))),설정!$B$41,IF(AND(설정!$A$42&lt;&gt;"",ISNUMBER(SEARCH(설정!$A$42,K138))),설정!$B$42,IF(AND(설정!$A$43&lt;&gt;"",ISNUMBER(SEARCH(설정!$A$43,K138))),설정!$B$43,IF(AND(설정!$A$44&lt;&gt;"",ISNUMBER(SEARCH(설정!$A$44,K138))),설정!$B$44,IF(AND(설정!$A$45&lt;&gt;"",ISNUMBER(SEARCH(설정!$A$45,K138))),설정!$B$45,IF(AND(설정!$A$46&lt;&gt;"",ISNUMBER(SEARCH(설정!$A$46,K138))),설정!$B$46,IF(AND(설정!$A$47&lt;&gt;"",ISNUMBER(SEARCH(설정!$A$47,K138))),설정!$B$47,IF(AND(설정!$A$48&lt;&gt;"",ISNUMBER(SEARCH(설정!$A$48,K138))),설정!$B$48,IF(M138="","설계사","시공사"))))))))),"")</f>
        <v/>
      </c>
      <c r="V138">
        <f>SUBSTITUTE(SUBSTITUTE(SUBSTITUTE(SUBSTITUTE(G138,"(주)",""),"㈜",""),"주식회사","")," ","")</f>
        <v/>
      </c>
      <c r="W138">
        <f>IF(AND(T138,V138&lt;&gt;""),IF(COUNTIFS(V$2:V138,V138,T$2:T138,TRUE)=1,MAX(W$1:W137)+1,""),"")</f>
        <v/>
      </c>
      <c r="X138">
        <f>IFERROR(INDEX('1.산군_붙여넣기'!$A$1:$AZ$1001,ROW(),설정!$C$14)&amp;"","")</f>
        <v/>
      </c>
      <c r="Y138">
        <f>IFERROR(INDEX('1.산군_붙여넣기'!$A$1:$AZ$1001,ROW(),설정!$C$15)&amp;"","")</f>
        <v/>
      </c>
      <c r="Z138">
        <f>IF(T138,V138&amp;"|"&amp;U138,"")</f>
        <v/>
      </c>
    </row>
    <row r="139">
      <c r="A139">
        <f>ROW()</f>
        <v/>
      </c>
      <c r="B139">
        <f>IFERROR(INDEX('1.산군_붙여넣기'!$A$1:$AZ$1001,ROW(),설정!$C$4)&amp;"","")</f>
        <v/>
      </c>
      <c r="C139">
        <f>IFERROR(INDEX('1.산군_붙여넣기'!$A$1:$AZ$1001,ROW(),설정!$C$5)&amp;"","")</f>
        <v/>
      </c>
      <c r="D139" s="5">
        <f>IFERROR(VALUE(SUBSTITUTE(SUBSTITUTE(SUBSTITUTE(IFERROR(INDEX('1.산군_붙여넣기'!$A$1:$AZ$1001,ROW(),설정!$C$6)&amp;"",""),",",""),"㎡",""),"m2","")),"")</f>
        <v/>
      </c>
      <c r="E139">
        <f>IFERROR(INDEX('1.산군_붙여넣기'!$A$1:$AZ$1001,ROW(),설정!$C$7)&amp;"","")</f>
        <v/>
      </c>
      <c r="F139">
        <f>IFERROR(INDEX('1.산군_붙여넣기'!$A$1:$AZ$1001,ROW(),설정!$C$8)&amp;"","")</f>
        <v/>
      </c>
      <c r="G139">
        <f>IFERROR(INDEX('1.산군_붙여넣기'!$A$1:$AZ$1001,ROW(),설정!$C$9)&amp;"","")</f>
        <v/>
      </c>
      <c r="H139">
        <f>IFERROR(INDEX('1.산군_붙여넣기'!$A$1:$AZ$1001,ROW(),설정!$C$10)&amp;"","")</f>
        <v/>
      </c>
      <c r="I139">
        <f>IFERROR(INDEX('1.산군_붙여넣기'!$A$1:$AZ$1001,ROW(),설정!$C$11)&amp;"","")</f>
        <v/>
      </c>
      <c r="J139">
        <f>IFERROR(INDEX('1.산군_붙여넣기'!$A$1:$AZ$1001,ROW(),설정!$C$12)&amp;"","")</f>
        <v/>
      </c>
      <c r="K139">
        <f>IFERROR(INDEX('1.산군_붙여넣기'!$A$1:$AZ$1001,ROW(),설정!$C$13)&amp;"","")</f>
        <v/>
      </c>
      <c r="L139" s="6">
        <f>IF(X139="","",IF(AND(LEN(X139)=8,ISNUMBER(X139*1)),DATE(LEFT(X139,4),MID(X139,5,2),RIGHT(X139,2)),IFERROR(DATEVALUE(SUBSTITUTE(SUBSTITUTE(X139,".","-"),"/","-")),IFERROR(X139*1,""))))</f>
        <v/>
      </c>
      <c r="M139" s="6">
        <f>IF(Y139="","",IF(AND(LEN(Y139)=8,ISNUMBER(Y139*1)),DATE(LEFT(Y139,4),MID(Y139,5,2),RIGHT(Y139,2)),IFERROR(DATEVALUE(SUBSTITUTE(SUBSTITUTE(Y139,".","-"),"/","-")),IFERROR(Y139*1,""))))</f>
        <v/>
      </c>
      <c r="N139">
        <f>IFERROR(LEFT(B139,FIND(" ",B139)-1),B139)</f>
        <v/>
      </c>
      <c r="O139">
        <f>AND(B139&lt;&gt;"",B139&lt;&gt;설정!$B$4,C139&lt;&gt;설정!$B$5)</f>
        <v/>
      </c>
      <c r="P139">
        <f>IF(O139,B139&amp;"|"&amp;C139,"")</f>
        <v/>
      </c>
      <c r="Q139">
        <f>AND(O139,COUNTIF(P140:P$1002,P139)=0)</f>
        <v/>
      </c>
      <c r="R139">
        <f>OR(AND(설정!$A$28&lt;&gt;"",ISNUMBER(SEARCH(설정!$A$28,E139&amp;" "&amp;C139))),AND(설정!$A$29&lt;&gt;"",ISNUMBER(SEARCH(설정!$A$29,E139&amp;" "&amp;C139))),AND(설정!$A$30&lt;&gt;"",ISNUMBER(SEARCH(설정!$A$30,E139&amp;" "&amp;C139))),AND(설정!$A$31&lt;&gt;"",ISNUMBER(SEARCH(설정!$A$31,E139&amp;" "&amp;C139))),AND(설정!$A$32&lt;&gt;"",ISNUMBER(SEARCH(설정!$A$32,E139&amp;" "&amp;C139))),AND(설정!$A$33&lt;&gt;"",ISNUMBER(SEARCH(설정!$A$33,E139&amp;" "&amp;C139))),AND(설정!$A$34&lt;&gt;"",ISNUMBER(SEARCH(설정!$A$34,E139&amp;" "&amp;C139))),AND(설정!$A$35&lt;&gt;"",ISNUMBER(SEARCH(설정!$A$35,E139&amp;" "&amp;C139))),AND(설정!$A$36&lt;&gt;"",ISNUMBER(SEARCH(설정!$A$36,E139&amp;" "&amp;C139))),AND(설정!$A$37&lt;&gt;"",ISNUMBER(SEARCH(설정!$A$37,E139&amp;" "&amp;C139))))</f>
        <v/>
      </c>
      <c r="S139">
        <f>OR(D139="",D139&gt;=설정!$B$19)</f>
        <v/>
      </c>
      <c r="T139">
        <f>AND(Q139,R139,S139)</f>
        <v/>
      </c>
      <c r="U139">
        <f>IF(T139,IF(AND(설정!$A$41&lt;&gt;"",ISNUMBER(SEARCH(설정!$A$41,K139))),설정!$B$41,IF(AND(설정!$A$42&lt;&gt;"",ISNUMBER(SEARCH(설정!$A$42,K139))),설정!$B$42,IF(AND(설정!$A$43&lt;&gt;"",ISNUMBER(SEARCH(설정!$A$43,K139))),설정!$B$43,IF(AND(설정!$A$44&lt;&gt;"",ISNUMBER(SEARCH(설정!$A$44,K139))),설정!$B$44,IF(AND(설정!$A$45&lt;&gt;"",ISNUMBER(SEARCH(설정!$A$45,K139))),설정!$B$45,IF(AND(설정!$A$46&lt;&gt;"",ISNUMBER(SEARCH(설정!$A$46,K139))),설정!$B$46,IF(AND(설정!$A$47&lt;&gt;"",ISNUMBER(SEARCH(설정!$A$47,K139))),설정!$B$47,IF(AND(설정!$A$48&lt;&gt;"",ISNUMBER(SEARCH(설정!$A$48,K139))),설정!$B$48,IF(M139="","설계사","시공사"))))))))),"")</f>
        <v/>
      </c>
      <c r="V139">
        <f>SUBSTITUTE(SUBSTITUTE(SUBSTITUTE(SUBSTITUTE(G139,"(주)",""),"㈜",""),"주식회사","")," ","")</f>
        <v/>
      </c>
      <c r="W139">
        <f>IF(AND(T139,V139&lt;&gt;""),IF(COUNTIFS(V$2:V139,V139,T$2:T139,TRUE)=1,MAX(W$1:W138)+1,""),"")</f>
        <v/>
      </c>
      <c r="X139">
        <f>IFERROR(INDEX('1.산군_붙여넣기'!$A$1:$AZ$1001,ROW(),설정!$C$14)&amp;"","")</f>
        <v/>
      </c>
      <c r="Y139">
        <f>IFERROR(INDEX('1.산군_붙여넣기'!$A$1:$AZ$1001,ROW(),설정!$C$15)&amp;"","")</f>
        <v/>
      </c>
      <c r="Z139">
        <f>IF(T139,V139&amp;"|"&amp;U139,"")</f>
        <v/>
      </c>
    </row>
    <row r="140">
      <c r="A140">
        <f>ROW()</f>
        <v/>
      </c>
      <c r="B140">
        <f>IFERROR(INDEX('1.산군_붙여넣기'!$A$1:$AZ$1001,ROW(),설정!$C$4)&amp;"","")</f>
        <v/>
      </c>
      <c r="C140">
        <f>IFERROR(INDEX('1.산군_붙여넣기'!$A$1:$AZ$1001,ROW(),설정!$C$5)&amp;"","")</f>
        <v/>
      </c>
      <c r="D140" s="5">
        <f>IFERROR(VALUE(SUBSTITUTE(SUBSTITUTE(SUBSTITUTE(IFERROR(INDEX('1.산군_붙여넣기'!$A$1:$AZ$1001,ROW(),설정!$C$6)&amp;"",""),",",""),"㎡",""),"m2","")),"")</f>
        <v/>
      </c>
      <c r="E140">
        <f>IFERROR(INDEX('1.산군_붙여넣기'!$A$1:$AZ$1001,ROW(),설정!$C$7)&amp;"","")</f>
        <v/>
      </c>
      <c r="F140">
        <f>IFERROR(INDEX('1.산군_붙여넣기'!$A$1:$AZ$1001,ROW(),설정!$C$8)&amp;"","")</f>
        <v/>
      </c>
      <c r="G140">
        <f>IFERROR(INDEX('1.산군_붙여넣기'!$A$1:$AZ$1001,ROW(),설정!$C$9)&amp;"","")</f>
        <v/>
      </c>
      <c r="H140">
        <f>IFERROR(INDEX('1.산군_붙여넣기'!$A$1:$AZ$1001,ROW(),설정!$C$10)&amp;"","")</f>
        <v/>
      </c>
      <c r="I140">
        <f>IFERROR(INDEX('1.산군_붙여넣기'!$A$1:$AZ$1001,ROW(),설정!$C$11)&amp;"","")</f>
        <v/>
      </c>
      <c r="J140">
        <f>IFERROR(INDEX('1.산군_붙여넣기'!$A$1:$AZ$1001,ROW(),설정!$C$12)&amp;"","")</f>
        <v/>
      </c>
      <c r="K140">
        <f>IFERROR(INDEX('1.산군_붙여넣기'!$A$1:$AZ$1001,ROW(),설정!$C$13)&amp;"","")</f>
        <v/>
      </c>
      <c r="L140" s="6">
        <f>IF(X140="","",IF(AND(LEN(X140)=8,ISNUMBER(X140*1)),DATE(LEFT(X140,4),MID(X140,5,2),RIGHT(X140,2)),IFERROR(DATEVALUE(SUBSTITUTE(SUBSTITUTE(X140,".","-"),"/","-")),IFERROR(X140*1,""))))</f>
        <v/>
      </c>
      <c r="M140" s="6">
        <f>IF(Y140="","",IF(AND(LEN(Y140)=8,ISNUMBER(Y140*1)),DATE(LEFT(Y140,4),MID(Y140,5,2),RIGHT(Y140,2)),IFERROR(DATEVALUE(SUBSTITUTE(SUBSTITUTE(Y140,".","-"),"/","-")),IFERROR(Y140*1,""))))</f>
        <v/>
      </c>
      <c r="N140">
        <f>IFERROR(LEFT(B140,FIND(" ",B140)-1),B140)</f>
        <v/>
      </c>
      <c r="O140">
        <f>AND(B140&lt;&gt;"",B140&lt;&gt;설정!$B$4,C140&lt;&gt;설정!$B$5)</f>
        <v/>
      </c>
      <c r="P140">
        <f>IF(O140,B140&amp;"|"&amp;C140,"")</f>
        <v/>
      </c>
      <c r="Q140">
        <f>AND(O140,COUNTIF(P141:P$1002,P140)=0)</f>
        <v/>
      </c>
      <c r="R140">
        <f>OR(AND(설정!$A$28&lt;&gt;"",ISNUMBER(SEARCH(설정!$A$28,E140&amp;" "&amp;C140))),AND(설정!$A$29&lt;&gt;"",ISNUMBER(SEARCH(설정!$A$29,E140&amp;" "&amp;C140))),AND(설정!$A$30&lt;&gt;"",ISNUMBER(SEARCH(설정!$A$30,E140&amp;" "&amp;C140))),AND(설정!$A$31&lt;&gt;"",ISNUMBER(SEARCH(설정!$A$31,E140&amp;" "&amp;C140))),AND(설정!$A$32&lt;&gt;"",ISNUMBER(SEARCH(설정!$A$32,E140&amp;" "&amp;C140))),AND(설정!$A$33&lt;&gt;"",ISNUMBER(SEARCH(설정!$A$33,E140&amp;" "&amp;C140))),AND(설정!$A$34&lt;&gt;"",ISNUMBER(SEARCH(설정!$A$34,E140&amp;" "&amp;C140))),AND(설정!$A$35&lt;&gt;"",ISNUMBER(SEARCH(설정!$A$35,E140&amp;" "&amp;C140))),AND(설정!$A$36&lt;&gt;"",ISNUMBER(SEARCH(설정!$A$36,E140&amp;" "&amp;C140))),AND(설정!$A$37&lt;&gt;"",ISNUMBER(SEARCH(설정!$A$37,E140&amp;" "&amp;C140))))</f>
        <v/>
      </c>
      <c r="S140">
        <f>OR(D140="",D140&gt;=설정!$B$19)</f>
        <v/>
      </c>
      <c r="T140">
        <f>AND(Q140,R140,S140)</f>
        <v/>
      </c>
      <c r="U140">
        <f>IF(T140,IF(AND(설정!$A$41&lt;&gt;"",ISNUMBER(SEARCH(설정!$A$41,K140))),설정!$B$41,IF(AND(설정!$A$42&lt;&gt;"",ISNUMBER(SEARCH(설정!$A$42,K140))),설정!$B$42,IF(AND(설정!$A$43&lt;&gt;"",ISNUMBER(SEARCH(설정!$A$43,K140))),설정!$B$43,IF(AND(설정!$A$44&lt;&gt;"",ISNUMBER(SEARCH(설정!$A$44,K140))),설정!$B$44,IF(AND(설정!$A$45&lt;&gt;"",ISNUMBER(SEARCH(설정!$A$45,K140))),설정!$B$45,IF(AND(설정!$A$46&lt;&gt;"",ISNUMBER(SEARCH(설정!$A$46,K140))),설정!$B$46,IF(AND(설정!$A$47&lt;&gt;"",ISNUMBER(SEARCH(설정!$A$47,K140))),설정!$B$47,IF(AND(설정!$A$48&lt;&gt;"",ISNUMBER(SEARCH(설정!$A$48,K140))),설정!$B$48,IF(M140="","설계사","시공사"))))))))),"")</f>
        <v/>
      </c>
      <c r="V140">
        <f>SUBSTITUTE(SUBSTITUTE(SUBSTITUTE(SUBSTITUTE(G140,"(주)",""),"㈜",""),"주식회사","")," ","")</f>
        <v/>
      </c>
      <c r="W140">
        <f>IF(AND(T140,V140&lt;&gt;""),IF(COUNTIFS(V$2:V140,V140,T$2:T140,TRUE)=1,MAX(W$1:W139)+1,""),"")</f>
        <v/>
      </c>
      <c r="X140">
        <f>IFERROR(INDEX('1.산군_붙여넣기'!$A$1:$AZ$1001,ROW(),설정!$C$14)&amp;"","")</f>
        <v/>
      </c>
      <c r="Y140">
        <f>IFERROR(INDEX('1.산군_붙여넣기'!$A$1:$AZ$1001,ROW(),설정!$C$15)&amp;"","")</f>
        <v/>
      </c>
      <c r="Z140">
        <f>IF(T140,V140&amp;"|"&amp;U140,"")</f>
        <v/>
      </c>
    </row>
    <row r="141">
      <c r="A141">
        <f>ROW()</f>
        <v/>
      </c>
      <c r="B141">
        <f>IFERROR(INDEX('1.산군_붙여넣기'!$A$1:$AZ$1001,ROW(),설정!$C$4)&amp;"","")</f>
        <v/>
      </c>
      <c r="C141">
        <f>IFERROR(INDEX('1.산군_붙여넣기'!$A$1:$AZ$1001,ROW(),설정!$C$5)&amp;"","")</f>
        <v/>
      </c>
      <c r="D141" s="5">
        <f>IFERROR(VALUE(SUBSTITUTE(SUBSTITUTE(SUBSTITUTE(IFERROR(INDEX('1.산군_붙여넣기'!$A$1:$AZ$1001,ROW(),설정!$C$6)&amp;"",""),",",""),"㎡",""),"m2","")),"")</f>
        <v/>
      </c>
      <c r="E141">
        <f>IFERROR(INDEX('1.산군_붙여넣기'!$A$1:$AZ$1001,ROW(),설정!$C$7)&amp;"","")</f>
        <v/>
      </c>
      <c r="F141">
        <f>IFERROR(INDEX('1.산군_붙여넣기'!$A$1:$AZ$1001,ROW(),설정!$C$8)&amp;"","")</f>
        <v/>
      </c>
      <c r="G141">
        <f>IFERROR(INDEX('1.산군_붙여넣기'!$A$1:$AZ$1001,ROW(),설정!$C$9)&amp;"","")</f>
        <v/>
      </c>
      <c r="H141">
        <f>IFERROR(INDEX('1.산군_붙여넣기'!$A$1:$AZ$1001,ROW(),설정!$C$10)&amp;"","")</f>
        <v/>
      </c>
      <c r="I141">
        <f>IFERROR(INDEX('1.산군_붙여넣기'!$A$1:$AZ$1001,ROW(),설정!$C$11)&amp;"","")</f>
        <v/>
      </c>
      <c r="J141">
        <f>IFERROR(INDEX('1.산군_붙여넣기'!$A$1:$AZ$1001,ROW(),설정!$C$12)&amp;"","")</f>
        <v/>
      </c>
      <c r="K141">
        <f>IFERROR(INDEX('1.산군_붙여넣기'!$A$1:$AZ$1001,ROW(),설정!$C$13)&amp;"","")</f>
        <v/>
      </c>
      <c r="L141" s="6">
        <f>IF(X141="","",IF(AND(LEN(X141)=8,ISNUMBER(X141*1)),DATE(LEFT(X141,4),MID(X141,5,2),RIGHT(X141,2)),IFERROR(DATEVALUE(SUBSTITUTE(SUBSTITUTE(X141,".","-"),"/","-")),IFERROR(X141*1,""))))</f>
        <v/>
      </c>
      <c r="M141" s="6">
        <f>IF(Y141="","",IF(AND(LEN(Y141)=8,ISNUMBER(Y141*1)),DATE(LEFT(Y141,4),MID(Y141,5,2),RIGHT(Y141,2)),IFERROR(DATEVALUE(SUBSTITUTE(SUBSTITUTE(Y141,".","-"),"/","-")),IFERROR(Y141*1,""))))</f>
        <v/>
      </c>
      <c r="N141">
        <f>IFERROR(LEFT(B141,FIND(" ",B141)-1),B141)</f>
        <v/>
      </c>
      <c r="O141">
        <f>AND(B141&lt;&gt;"",B141&lt;&gt;설정!$B$4,C141&lt;&gt;설정!$B$5)</f>
        <v/>
      </c>
      <c r="P141">
        <f>IF(O141,B141&amp;"|"&amp;C141,"")</f>
        <v/>
      </c>
      <c r="Q141">
        <f>AND(O141,COUNTIF(P142:P$1002,P141)=0)</f>
        <v/>
      </c>
      <c r="R141">
        <f>OR(AND(설정!$A$28&lt;&gt;"",ISNUMBER(SEARCH(설정!$A$28,E141&amp;" "&amp;C141))),AND(설정!$A$29&lt;&gt;"",ISNUMBER(SEARCH(설정!$A$29,E141&amp;" "&amp;C141))),AND(설정!$A$30&lt;&gt;"",ISNUMBER(SEARCH(설정!$A$30,E141&amp;" "&amp;C141))),AND(설정!$A$31&lt;&gt;"",ISNUMBER(SEARCH(설정!$A$31,E141&amp;" "&amp;C141))),AND(설정!$A$32&lt;&gt;"",ISNUMBER(SEARCH(설정!$A$32,E141&amp;" "&amp;C141))),AND(설정!$A$33&lt;&gt;"",ISNUMBER(SEARCH(설정!$A$33,E141&amp;" "&amp;C141))),AND(설정!$A$34&lt;&gt;"",ISNUMBER(SEARCH(설정!$A$34,E141&amp;" "&amp;C141))),AND(설정!$A$35&lt;&gt;"",ISNUMBER(SEARCH(설정!$A$35,E141&amp;" "&amp;C141))),AND(설정!$A$36&lt;&gt;"",ISNUMBER(SEARCH(설정!$A$36,E141&amp;" "&amp;C141))),AND(설정!$A$37&lt;&gt;"",ISNUMBER(SEARCH(설정!$A$37,E141&amp;" "&amp;C141))))</f>
        <v/>
      </c>
      <c r="S141">
        <f>OR(D141="",D141&gt;=설정!$B$19)</f>
        <v/>
      </c>
      <c r="T141">
        <f>AND(Q141,R141,S141)</f>
        <v/>
      </c>
      <c r="U141">
        <f>IF(T141,IF(AND(설정!$A$41&lt;&gt;"",ISNUMBER(SEARCH(설정!$A$41,K141))),설정!$B$41,IF(AND(설정!$A$42&lt;&gt;"",ISNUMBER(SEARCH(설정!$A$42,K141))),설정!$B$42,IF(AND(설정!$A$43&lt;&gt;"",ISNUMBER(SEARCH(설정!$A$43,K141))),설정!$B$43,IF(AND(설정!$A$44&lt;&gt;"",ISNUMBER(SEARCH(설정!$A$44,K141))),설정!$B$44,IF(AND(설정!$A$45&lt;&gt;"",ISNUMBER(SEARCH(설정!$A$45,K141))),설정!$B$45,IF(AND(설정!$A$46&lt;&gt;"",ISNUMBER(SEARCH(설정!$A$46,K141))),설정!$B$46,IF(AND(설정!$A$47&lt;&gt;"",ISNUMBER(SEARCH(설정!$A$47,K141))),설정!$B$47,IF(AND(설정!$A$48&lt;&gt;"",ISNUMBER(SEARCH(설정!$A$48,K141))),설정!$B$48,IF(M141="","설계사","시공사"))))))))),"")</f>
        <v/>
      </c>
      <c r="V141">
        <f>SUBSTITUTE(SUBSTITUTE(SUBSTITUTE(SUBSTITUTE(G141,"(주)",""),"㈜",""),"주식회사","")," ","")</f>
        <v/>
      </c>
      <c r="W141">
        <f>IF(AND(T141,V141&lt;&gt;""),IF(COUNTIFS(V$2:V141,V141,T$2:T141,TRUE)=1,MAX(W$1:W140)+1,""),"")</f>
        <v/>
      </c>
      <c r="X141">
        <f>IFERROR(INDEX('1.산군_붙여넣기'!$A$1:$AZ$1001,ROW(),설정!$C$14)&amp;"","")</f>
        <v/>
      </c>
      <c r="Y141">
        <f>IFERROR(INDEX('1.산군_붙여넣기'!$A$1:$AZ$1001,ROW(),설정!$C$15)&amp;"","")</f>
        <v/>
      </c>
      <c r="Z141">
        <f>IF(T141,V141&amp;"|"&amp;U141,"")</f>
        <v/>
      </c>
    </row>
    <row r="142">
      <c r="A142">
        <f>ROW()</f>
        <v/>
      </c>
      <c r="B142">
        <f>IFERROR(INDEX('1.산군_붙여넣기'!$A$1:$AZ$1001,ROW(),설정!$C$4)&amp;"","")</f>
        <v/>
      </c>
      <c r="C142">
        <f>IFERROR(INDEX('1.산군_붙여넣기'!$A$1:$AZ$1001,ROW(),설정!$C$5)&amp;"","")</f>
        <v/>
      </c>
      <c r="D142" s="5">
        <f>IFERROR(VALUE(SUBSTITUTE(SUBSTITUTE(SUBSTITUTE(IFERROR(INDEX('1.산군_붙여넣기'!$A$1:$AZ$1001,ROW(),설정!$C$6)&amp;"",""),",",""),"㎡",""),"m2","")),"")</f>
        <v/>
      </c>
      <c r="E142">
        <f>IFERROR(INDEX('1.산군_붙여넣기'!$A$1:$AZ$1001,ROW(),설정!$C$7)&amp;"","")</f>
        <v/>
      </c>
      <c r="F142">
        <f>IFERROR(INDEX('1.산군_붙여넣기'!$A$1:$AZ$1001,ROW(),설정!$C$8)&amp;"","")</f>
        <v/>
      </c>
      <c r="G142">
        <f>IFERROR(INDEX('1.산군_붙여넣기'!$A$1:$AZ$1001,ROW(),설정!$C$9)&amp;"","")</f>
        <v/>
      </c>
      <c r="H142">
        <f>IFERROR(INDEX('1.산군_붙여넣기'!$A$1:$AZ$1001,ROW(),설정!$C$10)&amp;"","")</f>
        <v/>
      </c>
      <c r="I142">
        <f>IFERROR(INDEX('1.산군_붙여넣기'!$A$1:$AZ$1001,ROW(),설정!$C$11)&amp;"","")</f>
        <v/>
      </c>
      <c r="J142">
        <f>IFERROR(INDEX('1.산군_붙여넣기'!$A$1:$AZ$1001,ROW(),설정!$C$12)&amp;"","")</f>
        <v/>
      </c>
      <c r="K142">
        <f>IFERROR(INDEX('1.산군_붙여넣기'!$A$1:$AZ$1001,ROW(),설정!$C$13)&amp;"","")</f>
        <v/>
      </c>
      <c r="L142" s="6">
        <f>IF(X142="","",IF(AND(LEN(X142)=8,ISNUMBER(X142*1)),DATE(LEFT(X142,4),MID(X142,5,2),RIGHT(X142,2)),IFERROR(DATEVALUE(SUBSTITUTE(SUBSTITUTE(X142,".","-"),"/","-")),IFERROR(X142*1,""))))</f>
        <v/>
      </c>
      <c r="M142" s="6">
        <f>IF(Y142="","",IF(AND(LEN(Y142)=8,ISNUMBER(Y142*1)),DATE(LEFT(Y142,4),MID(Y142,5,2),RIGHT(Y142,2)),IFERROR(DATEVALUE(SUBSTITUTE(SUBSTITUTE(Y142,".","-"),"/","-")),IFERROR(Y142*1,""))))</f>
        <v/>
      </c>
      <c r="N142">
        <f>IFERROR(LEFT(B142,FIND(" ",B142)-1),B142)</f>
        <v/>
      </c>
      <c r="O142">
        <f>AND(B142&lt;&gt;"",B142&lt;&gt;설정!$B$4,C142&lt;&gt;설정!$B$5)</f>
        <v/>
      </c>
      <c r="P142">
        <f>IF(O142,B142&amp;"|"&amp;C142,"")</f>
        <v/>
      </c>
      <c r="Q142">
        <f>AND(O142,COUNTIF(P143:P$1002,P142)=0)</f>
        <v/>
      </c>
      <c r="R142">
        <f>OR(AND(설정!$A$28&lt;&gt;"",ISNUMBER(SEARCH(설정!$A$28,E142&amp;" "&amp;C142))),AND(설정!$A$29&lt;&gt;"",ISNUMBER(SEARCH(설정!$A$29,E142&amp;" "&amp;C142))),AND(설정!$A$30&lt;&gt;"",ISNUMBER(SEARCH(설정!$A$30,E142&amp;" "&amp;C142))),AND(설정!$A$31&lt;&gt;"",ISNUMBER(SEARCH(설정!$A$31,E142&amp;" "&amp;C142))),AND(설정!$A$32&lt;&gt;"",ISNUMBER(SEARCH(설정!$A$32,E142&amp;" "&amp;C142))),AND(설정!$A$33&lt;&gt;"",ISNUMBER(SEARCH(설정!$A$33,E142&amp;" "&amp;C142))),AND(설정!$A$34&lt;&gt;"",ISNUMBER(SEARCH(설정!$A$34,E142&amp;" "&amp;C142))),AND(설정!$A$35&lt;&gt;"",ISNUMBER(SEARCH(설정!$A$35,E142&amp;" "&amp;C142))),AND(설정!$A$36&lt;&gt;"",ISNUMBER(SEARCH(설정!$A$36,E142&amp;" "&amp;C142))),AND(설정!$A$37&lt;&gt;"",ISNUMBER(SEARCH(설정!$A$37,E142&amp;" "&amp;C142))))</f>
        <v/>
      </c>
      <c r="S142">
        <f>OR(D142="",D142&gt;=설정!$B$19)</f>
        <v/>
      </c>
      <c r="T142">
        <f>AND(Q142,R142,S142)</f>
        <v/>
      </c>
      <c r="U142">
        <f>IF(T142,IF(AND(설정!$A$41&lt;&gt;"",ISNUMBER(SEARCH(설정!$A$41,K142))),설정!$B$41,IF(AND(설정!$A$42&lt;&gt;"",ISNUMBER(SEARCH(설정!$A$42,K142))),설정!$B$42,IF(AND(설정!$A$43&lt;&gt;"",ISNUMBER(SEARCH(설정!$A$43,K142))),설정!$B$43,IF(AND(설정!$A$44&lt;&gt;"",ISNUMBER(SEARCH(설정!$A$44,K142))),설정!$B$44,IF(AND(설정!$A$45&lt;&gt;"",ISNUMBER(SEARCH(설정!$A$45,K142))),설정!$B$45,IF(AND(설정!$A$46&lt;&gt;"",ISNUMBER(SEARCH(설정!$A$46,K142))),설정!$B$46,IF(AND(설정!$A$47&lt;&gt;"",ISNUMBER(SEARCH(설정!$A$47,K142))),설정!$B$47,IF(AND(설정!$A$48&lt;&gt;"",ISNUMBER(SEARCH(설정!$A$48,K142))),설정!$B$48,IF(M142="","설계사","시공사"))))))))),"")</f>
        <v/>
      </c>
      <c r="V142">
        <f>SUBSTITUTE(SUBSTITUTE(SUBSTITUTE(SUBSTITUTE(G142,"(주)",""),"㈜",""),"주식회사","")," ","")</f>
        <v/>
      </c>
      <c r="W142">
        <f>IF(AND(T142,V142&lt;&gt;""),IF(COUNTIFS(V$2:V142,V142,T$2:T142,TRUE)=1,MAX(W$1:W141)+1,""),"")</f>
        <v/>
      </c>
      <c r="X142">
        <f>IFERROR(INDEX('1.산군_붙여넣기'!$A$1:$AZ$1001,ROW(),설정!$C$14)&amp;"","")</f>
        <v/>
      </c>
      <c r="Y142">
        <f>IFERROR(INDEX('1.산군_붙여넣기'!$A$1:$AZ$1001,ROW(),설정!$C$15)&amp;"","")</f>
        <v/>
      </c>
      <c r="Z142">
        <f>IF(T142,V142&amp;"|"&amp;U142,"")</f>
        <v/>
      </c>
    </row>
    <row r="143">
      <c r="A143">
        <f>ROW()</f>
        <v/>
      </c>
      <c r="B143">
        <f>IFERROR(INDEX('1.산군_붙여넣기'!$A$1:$AZ$1001,ROW(),설정!$C$4)&amp;"","")</f>
        <v/>
      </c>
      <c r="C143">
        <f>IFERROR(INDEX('1.산군_붙여넣기'!$A$1:$AZ$1001,ROW(),설정!$C$5)&amp;"","")</f>
        <v/>
      </c>
      <c r="D143" s="5">
        <f>IFERROR(VALUE(SUBSTITUTE(SUBSTITUTE(SUBSTITUTE(IFERROR(INDEX('1.산군_붙여넣기'!$A$1:$AZ$1001,ROW(),설정!$C$6)&amp;"",""),",",""),"㎡",""),"m2","")),"")</f>
        <v/>
      </c>
      <c r="E143">
        <f>IFERROR(INDEX('1.산군_붙여넣기'!$A$1:$AZ$1001,ROW(),설정!$C$7)&amp;"","")</f>
        <v/>
      </c>
      <c r="F143">
        <f>IFERROR(INDEX('1.산군_붙여넣기'!$A$1:$AZ$1001,ROW(),설정!$C$8)&amp;"","")</f>
        <v/>
      </c>
      <c r="G143">
        <f>IFERROR(INDEX('1.산군_붙여넣기'!$A$1:$AZ$1001,ROW(),설정!$C$9)&amp;"","")</f>
        <v/>
      </c>
      <c r="H143">
        <f>IFERROR(INDEX('1.산군_붙여넣기'!$A$1:$AZ$1001,ROW(),설정!$C$10)&amp;"","")</f>
        <v/>
      </c>
      <c r="I143">
        <f>IFERROR(INDEX('1.산군_붙여넣기'!$A$1:$AZ$1001,ROW(),설정!$C$11)&amp;"","")</f>
        <v/>
      </c>
      <c r="J143">
        <f>IFERROR(INDEX('1.산군_붙여넣기'!$A$1:$AZ$1001,ROW(),설정!$C$12)&amp;"","")</f>
        <v/>
      </c>
      <c r="K143">
        <f>IFERROR(INDEX('1.산군_붙여넣기'!$A$1:$AZ$1001,ROW(),설정!$C$13)&amp;"","")</f>
        <v/>
      </c>
      <c r="L143" s="6">
        <f>IF(X143="","",IF(AND(LEN(X143)=8,ISNUMBER(X143*1)),DATE(LEFT(X143,4),MID(X143,5,2),RIGHT(X143,2)),IFERROR(DATEVALUE(SUBSTITUTE(SUBSTITUTE(X143,".","-"),"/","-")),IFERROR(X143*1,""))))</f>
        <v/>
      </c>
      <c r="M143" s="6">
        <f>IF(Y143="","",IF(AND(LEN(Y143)=8,ISNUMBER(Y143*1)),DATE(LEFT(Y143,4),MID(Y143,5,2),RIGHT(Y143,2)),IFERROR(DATEVALUE(SUBSTITUTE(SUBSTITUTE(Y143,".","-"),"/","-")),IFERROR(Y143*1,""))))</f>
        <v/>
      </c>
      <c r="N143">
        <f>IFERROR(LEFT(B143,FIND(" ",B143)-1),B143)</f>
        <v/>
      </c>
      <c r="O143">
        <f>AND(B143&lt;&gt;"",B143&lt;&gt;설정!$B$4,C143&lt;&gt;설정!$B$5)</f>
        <v/>
      </c>
      <c r="P143">
        <f>IF(O143,B143&amp;"|"&amp;C143,"")</f>
        <v/>
      </c>
      <c r="Q143">
        <f>AND(O143,COUNTIF(P144:P$1002,P143)=0)</f>
        <v/>
      </c>
      <c r="R143">
        <f>OR(AND(설정!$A$28&lt;&gt;"",ISNUMBER(SEARCH(설정!$A$28,E143&amp;" "&amp;C143))),AND(설정!$A$29&lt;&gt;"",ISNUMBER(SEARCH(설정!$A$29,E143&amp;" "&amp;C143))),AND(설정!$A$30&lt;&gt;"",ISNUMBER(SEARCH(설정!$A$30,E143&amp;" "&amp;C143))),AND(설정!$A$31&lt;&gt;"",ISNUMBER(SEARCH(설정!$A$31,E143&amp;" "&amp;C143))),AND(설정!$A$32&lt;&gt;"",ISNUMBER(SEARCH(설정!$A$32,E143&amp;" "&amp;C143))),AND(설정!$A$33&lt;&gt;"",ISNUMBER(SEARCH(설정!$A$33,E143&amp;" "&amp;C143))),AND(설정!$A$34&lt;&gt;"",ISNUMBER(SEARCH(설정!$A$34,E143&amp;" "&amp;C143))),AND(설정!$A$35&lt;&gt;"",ISNUMBER(SEARCH(설정!$A$35,E143&amp;" "&amp;C143))),AND(설정!$A$36&lt;&gt;"",ISNUMBER(SEARCH(설정!$A$36,E143&amp;" "&amp;C143))),AND(설정!$A$37&lt;&gt;"",ISNUMBER(SEARCH(설정!$A$37,E143&amp;" "&amp;C143))))</f>
        <v/>
      </c>
      <c r="S143">
        <f>OR(D143="",D143&gt;=설정!$B$19)</f>
        <v/>
      </c>
      <c r="T143">
        <f>AND(Q143,R143,S143)</f>
        <v/>
      </c>
      <c r="U143">
        <f>IF(T143,IF(AND(설정!$A$41&lt;&gt;"",ISNUMBER(SEARCH(설정!$A$41,K143))),설정!$B$41,IF(AND(설정!$A$42&lt;&gt;"",ISNUMBER(SEARCH(설정!$A$42,K143))),설정!$B$42,IF(AND(설정!$A$43&lt;&gt;"",ISNUMBER(SEARCH(설정!$A$43,K143))),설정!$B$43,IF(AND(설정!$A$44&lt;&gt;"",ISNUMBER(SEARCH(설정!$A$44,K143))),설정!$B$44,IF(AND(설정!$A$45&lt;&gt;"",ISNUMBER(SEARCH(설정!$A$45,K143))),설정!$B$45,IF(AND(설정!$A$46&lt;&gt;"",ISNUMBER(SEARCH(설정!$A$46,K143))),설정!$B$46,IF(AND(설정!$A$47&lt;&gt;"",ISNUMBER(SEARCH(설정!$A$47,K143))),설정!$B$47,IF(AND(설정!$A$48&lt;&gt;"",ISNUMBER(SEARCH(설정!$A$48,K143))),설정!$B$48,IF(M143="","설계사","시공사"))))))))),"")</f>
        <v/>
      </c>
      <c r="V143">
        <f>SUBSTITUTE(SUBSTITUTE(SUBSTITUTE(SUBSTITUTE(G143,"(주)",""),"㈜",""),"주식회사","")," ","")</f>
        <v/>
      </c>
      <c r="W143">
        <f>IF(AND(T143,V143&lt;&gt;""),IF(COUNTIFS(V$2:V143,V143,T$2:T143,TRUE)=1,MAX(W$1:W142)+1,""),"")</f>
        <v/>
      </c>
      <c r="X143">
        <f>IFERROR(INDEX('1.산군_붙여넣기'!$A$1:$AZ$1001,ROW(),설정!$C$14)&amp;"","")</f>
        <v/>
      </c>
      <c r="Y143">
        <f>IFERROR(INDEX('1.산군_붙여넣기'!$A$1:$AZ$1001,ROW(),설정!$C$15)&amp;"","")</f>
        <v/>
      </c>
      <c r="Z143">
        <f>IF(T143,V143&amp;"|"&amp;U143,"")</f>
        <v/>
      </c>
    </row>
    <row r="144">
      <c r="A144">
        <f>ROW()</f>
        <v/>
      </c>
      <c r="B144">
        <f>IFERROR(INDEX('1.산군_붙여넣기'!$A$1:$AZ$1001,ROW(),설정!$C$4)&amp;"","")</f>
        <v/>
      </c>
      <c r="C144">
        <f>IFERROR(INDEX('1.산군_붙여넣기'!$A$1:$AZ$1001,ROW(),설정!$C$5)&amp;"","")</f>
        <v/>
      </c>
      <c r="D144" s="5">
        <f>IFERROR(VALUE(SUBSTITUTE(SUBSTITUTE(SUBSTITUTE(IFERROR(INDEX('1.산군_붙여넣기'!$A$1:$AZ$1001,ROW(),설정!$C$6)&amp;"",""),",",""),"㎡",""),"m2","")),"")</f>
        <v/>
      </c>
      <c r="E144">
        <f>IFERROR(INDEX('1.산군_붙여넣기'!$A$1:$AZ$1001,ROW(),설정!$C$7)&amp;"","")</f>
        <v/>
      </c>
      <c r="F144">
        <f>IFERROR(INDEX('1.산군_붙여넣기'!$A$1:$AZ$1001,ROW(),설정!$C$8)&amp;"","")</f>
        <v/>
      </c>
      <c r="G144">
        <f>IFERROR(INDEX('1.산군_붙여넣기'!$A$1:$AZ$1001,ROW(),설정!$C$9)&amp;"","")</f>
        <v/>
      </c>
      <c r="H144">
        <f>IFERROR(INDEX('1.산군_붙여넣기'!$A$1:$AZ$1001,ROW(),설정!$C$10)&amp;"","")</f>
        <v/>
      </c>
      <c r="I144">
        <f>IFERROR(INDEX('1.산군_붙여넣기'!$A$1:$AZ$1001,ROW(),설정!$C$11)&amp;"","")</f>
        <v/>
      </c>
      <c r="J144">
        <f>IFERROR(INDEX('1.산군_붙여넣기'!$A$1:$AZ$1001,ROW(),설정!$C$12)&amp;"","")</f>
        <v/>
      </c>
      <c r="K144">
        <f>IFERROR(INDEX('1.산군_붙여넣기'!$A$1:$AZ$1001,ROW(),설정!$C$13)&amp;"","")</f>
        <v/>
      </c>
      <c r="L144" s="6">
        <f>IF(X144="","",IF(AND(LEN(X144)=8,ISNUMBER(X144*1)),DATE(LEFT(X144,4),MID(X144,5,2),RIGHT(X144,2)),IFERROR(DATEVALUE(SUBSTITUTE(SUBSTITUTE(X144,".","-"),"/","-")),IFERROR(X144*1,""))))</f>
        <v/>
      </c>
      <c r="M144" s="6">
        <f>IF(Y144="","",IF(AND(LEN(Y144)=8,ISNUMBER(Y144*1)),DATE(LEFT(Y144,4),MID(Y144,5,2),RIGHT(Y144,2)),IFERROR(DATEVALUE(SUBSTITUTE(SUBSTITUTE(Y144,".","-"),"/","-")),IFERROR(Y144*1,""))))</f>
        <v/>
      </c>
      <c r="N144">
        <f>IFERROR(LEFT(B144,FIND(" ",B144)-1),B144)</f>
        <v/>
      </c>
      <c r="O144">
        <f>AND(B144&lt;&gt;"",B144&lt;&gt;설정!$B$4,C144&lt;&gt;설정!$B$5)</f>
        <v/>
      </c>
      <c r="P144">
        <f>IF(O144,B144&amp;"|"&amp;C144,"")</f>
        <v/>
      </c>
      <c r="Q144">
        <f>AND(O144,COUNTIF(P145:P$1002,P144)=0)</f>
        <v/>
      </c>
      <c r="R144">
        <f>OR(AND(설정!$A$28&lt;&gt;"",ISNUMBER(SEARCH(설정!$A$28,E144&amp;" "&amp;C144))),AND(설정!$A$29&lt;&gt;"",ISNUMBER(SEARCH(설정!$A$29,E144&amp;" "&amp;C144))),AND(설정!$A$30&lt;&gt;"",ISNUMBER(SEARCH(설정!$A$30,E144&amp;" "&amp;C144))),AND(설정!$A$31&lt;&gt;"",ISNUMBER(SEARCH(설정!$A$31,E144&amp;" "&amp;C144))),AND(설정!$A$32&lt;&gt;"",ISNUMBER(SEARCH(설정!$A$32,E144&amp;" "&amp;C144))),AND(설정!$A$33&lt;&gt;"",ISNUMBER(SEARCH(설정!$A$33,E144&amp;" "&amp;C144))),AND(설정!$A$34&lt;&gt;"",ISNUMBER(SEARCH(설정!$A$34,E144&amp;" "&amp;C144))),AND(설정!$A$35&lt;&gt;"",ISNUMBER(SEARCH(설정!$A$35,E144&amp;" "&amp;C144))),AND(설정!$A$36&lt;&gt;"",ISNUMBER(SEARCH(설정!$A$36,E144&amp;" "&amp;C144))),AND(설정!$A$37&lt;&gt;"",ISNUMBER(SEARCH(설정!$A$37,E144&amp;" "&amp;C144))))</f>
        <v/>
      </c>
      <c r="S144">
        <f>OR(D144="",D144&gt;=설정!$B$19)</f>
        <v/>
      </c>
      <c r="T144">
        <f>AND(Q144,R144,S144)</f>
        <v/>
      </c>
      <c r="U144">
        <f>IF(T144,IF(AND(설정!$A$41&lt;&gt;"",ISNUMBER(SEARCH(설정!$A$41,K144))),설정!$B$41,IF(AND(설정!$A$42&lt;&gt;"",ISNUMBER(SEARCH(설정!$A$42,K144))),설정!$B$42,IF(AND(설정!$A$43&lt;&gt;"",ISNUMBER(SEARCH(설정!$A$43,K144))),설정!$B$43,IF(AND(설정!$A$44&lt;&gt;"",ISNUMBER(SEARCH(설정!$A$44,K144))),설정!$B$44,IF(AND(설정!$A$45&lt;&gt;"",ISNUMBER(SEARCH(설정!$A$45,K144))),설정!$B$45,IF(AND(설정!$A$46&lt;&gt;"",ISNUMBER(SEARCH(설정!$A$46,K144))),설정!$B$46,IF(AND(설정!$A$47&lt;&gt;"",ISNUMBER(SEARCH(설정!$A$47,K144))),설정!$B$47,IF(AND(설정!$A$48&lt;&gt;"",ISNUMBER(SEARCH(설정!$A$48,K144))),설정!$B$48,IF(M144="","설계사","시공사"))))))))),"")</f>
        <v/>
      </c>
      <c r="V144">
        <f>SUBSTITUTE(SUBSTITUTE(SUBSTITUTE(SUBSTITUTE(G144,"(주)",""),"㈜",""),"주식회사","")," ","")</f>
        <v/>
      </c>
      <c r="W144">
        <f>IF(AND(T144,V144&lt;&gt;""),IF(COUNTIFS(V$2:V144,V144,T$2:T144,TRUE)=1,MAX(W$1:W143)+1,""),"")</f>
        <v/>
      </c>
      <c r="X144">
        <f>IFERROR(INDEX('1.산군_붙여넣기'!$A$1:$AZ$1001,ROW(),설정!$C$14)&amp;"","")</f>
        <v/>
      </c>
      <c r="Y144">
        <f>IFERROR(INDEX('1.산군_붙여넣기'!$A$1:$AZ$1001,ROW(),설정!$C$15)&amp;"","")</f>
        <v/>
      </c>
      <c r="Z144">
        <f>IF(T144,V144&amp;"|"&amp;U144,"")</f>
        <v/>
      </c>
    </row>
    <row r="145">
      <c r="A145">
        <f>ROW()</f>
        <v/>
      </c>
      <c r="B145">
        <f>IFERROR(INDEX('1.산군_붙여넣기'!$A$1:$AZ$1001,ROW(),설정!$C$4)&amp;"","")</f>
        <v/>
      </c>
      <c r="C145">
        <f>IFERROR(INDEX('1.산군_붙여넣기'!$A$1:$AZ$1001,ROW(),설정!$C$5)&amp;"","")</f>
        <v/>
      </c>
      <c r="D145" s="5">
        <f>IFERROR(VALUE(SUBSTITUTE(SUBSTITUTE(SUBSTITUTE(IFERROR(INDEX('1.산군_붙여넣기'!$A$1:$AZ$1001,ROW(),설정!$C$6)&amp;"",""),",",""),"㎡",""),"m2","")),"")</f>
        <v/>
      </c>
      <c r="E145">
        <f>IFERROR(INDEX('1.산군_붙여넣기'!$A$1:$AZ$1001,ROW(),설정!$C$7)&amp;"","")</f>
        <v/>
      </c>
      <c r="F145">
        <f>IFERROR(INDEX('1.산군_붙여넣기'!$A$1:$AZ$1001,ROW(),설정!$C$8)&amp;"","")</f>
        <v/>
      </c>
      <c r="G145">
        <f>IFERROR(INDEX('1.산군_붙여넣기'!$A$1:$AZ$1001,ROW(),설정!$C$9)&amp;"","")</f>
        <v/>
      </c>
      <c r="H145">
        <f>IFERROR(INDEX('1.산군_붙여넣기'!$A$1:$AZ$1001,ROW(),설정!$C$10)&amp;"","")</f>
        <v/>
      </c>
      <c r="I145">
        <f>IFERROR(INDEX('1.산군_붙여넣기'!$A$1:$AZ$1001,ROW(),설정!$C$11)&amp;"","")</f>
        <v/>
      </c>
      <c r="J145">
        <f>IFERROR(INDEX('1.산군_붙여넣기'!$A$1:$AZ$1001,ROW(),설정!$C$12)&amp;"","")</f>
        <v/>
      </c>
      <c r="K145">
        <f>IFERROR(INDEX('1.산군_붙여넣기'!$A$1:$AZ$1001,ROW(),설정!$C$13)&amp;"","")</f>
        <v/>
      </c>
      <c r="L145" s="6">
        <f>IF(X145="","",IF(AND(LEN(X145)=8,ISNUMBER(X145*1)),DATE(LEFT(X145,4),MID(X145,5,2),RIGHT(X145,2)),IFERROR(DATEVALUE(SUBSTITUTE(SUBSTITUTE(X145,".","-"),"/","-")),IFERROR(X145*1,""))))</f>
        <v/>
      </c>
      <c r="M145" s="6">
        <f>IF(Y145="","",IF(AND(LEN(Y145)=8,ISNUMBER(Y145*1)),DATE(LEFT(Y145,4),MID(Y145,5,2),RIGHT(Y145,2)),IFERROR(DATEVALUE(SUBSTITUTE(SUBSTITUTE(Y145,".","-"),"/","-")),IFERROR(Y145*1,""))))</f>
        <v/>
      </c>
      <c r="N145">
        <f>IFERROR(LEFT(B145,FIND(" ",B145)-1),B145)</f>
        <v/>
      </c>
      <c r="O145">
        <f>AND(B145&lt;&gt;"",B145&lt;&gt;설정!$B$4,C145&lt;&gt;설정!$B$5)</f>
        <v/>
      </c>
      <c r="P145">
        <f>IF(O145,B145&amp;"|"&amp;C145,"")</f>
        <v/>
      </c>
      <c r="Q145">
        <f>AND(O145,COUNTIF(P146:P$1002,P145)=0)</f>
        <v/>
      </c>
      <c r="R145">
        <f>OR(AND(설정!$A$28&lt;&gt;"",ISNUMBER(SEARCH(설정!$A$28,E145&amp;" "&amp;C145))),AND(설정!$A$29&lt;&gt;"",ISNUMBER(SEARCH(설정!$A$29,E145&amp;" "&amp;C145))),AND(설정!$A$30&lt;&gt;"",ISNUMBER(SEARCH(설정!$A$30,E145&amp;" "&amp;C145))),AND(설정!$A$31&lt;&gt;"",ISNUMBER(SEARCH(설정!$A$31,E145&amp;" "&amp;C145))),AND(설정!$A$32&lt;&gt;"",ISNUMBER(SEARCH(설정!$A$32,E145&amp;" "&amp;C145))),AND(설정!$A$33&lt;&gt;"",ISNUMBER(SEARCH(설정!$A$33,E145&amp;" "&amp;C145))),AND(설정!$A$34&lt;&gt;"",ISNUMBER(SEARCH(설정!$A$34,E145&amp;" "&amp;C145))),AND(설정!$A$35&lt;&gt;"",ISNUMBER(SEARCH(설정!$A$35,E145&amp;" "&amp;C145))),AND(설정!$A$36&lt;&gt;"",ISNUMBER(SEARCH(설정!$A$36,E145&amp;" "&amp;C145))),AND(설정!$A$37&lt;&gt;"",ISNUMBER(SEARCH(설정!$A$37,E145&amp;" "&amp;C145))))</f>
        <v/>
      </c>
      <c r="S145">
        <f>OR(D145="",D145&gt;=설정!$B$19)</f>
        <v/>
      </c>
      <c r="T145">
        <f>AND(Q145,R145,S145)</f>
        <v/>
      </c>
      <c r="U145">
        <f>IF(T145,IF(AND(설정!$A$41&lt;&gt;"",ISNUMBER(SEARCH(설정!$A$41,K145))),설정!$B$41,IF(AND(설정!$A$42&lt;&gt;"",ISNUMBER(SEARCH(설정!$A$42,K145))),설정!$B$42,IF(AND(설정!$A$43&lt;&gt;"",ISNUMBER(SEARCH(설정!$A$43,K145))),설정!$B$43,IF(AND(설정!$A$44&lt;&gt;"",ISNUMBER(SEARCH(설정!$A$44,K145))),설정!$B$44,IF(AND(설정!$A$45&lt;&gt;"",ISNUMBER(SEARCH(설정!$A$45,K145))),설정!$B$45,IF(AND(설정!$A$46&lt;&gt;"",ISNUMBER(SEARCH(설정!$A$46,K145))),설정!$B$46,IF(AND(설정!$A$47&lt;&gt;"",ISNUMBER(SEARCH(설정!$A$47,K145))),설정!$B$47,IF(AND(설정!$A$48&lt;&gt;"",ISNUMBER(SEARCH(설정!$A$48,K145))),설정!$B$48,IF(M145="","설계사","시공사"))))))))),"")</f>
        <v/>
      </c>
      <c r="V145">
        <f>SUBSTITUTE(SUBSTITUTE(SUBSTITUTE(SUBSTITUTE(G145,"(주)",""),"㈜",""),"주식회사","")," ","")</f>
        <v/>
      </c>
      <c r="W145">
        <f>IF(AND(T145,V145&lt;&gt;""),IF(COUNTIFS(V$2:V145,V145,T$2:T145,TRUE)=1,MAX(W$1:W144)+1,""),"")</f>
        <v/>
      </c>
      <c r="X145">
        <f>IFERROR(INDEX('1.산군_붙여넣기'!$A$1:$AZ$1001,ROW(),설정!$C$14)&amp;"","")</f>
        <v/>
      </c>
      <c r="Y145">
        <f>IFERROR(INDEX('1.산군_붙여넣기'!$A$1:$AZ$1001,ROW(),설정!$C$15)&amp;"","")</f>
        <v/>
      </c>
      <c r="Z145">
        <f>IF(T145,V145&amp;"|"&amp;U145,"")</f>
        <v/>
      </c>
    </row>
    <row r="146">
      <c r="A146">
        <f>ROW()</f>
        <v/>
      </c>
      <c r="B146">
        <f>IFERROR(INDEX('1.산군_붙여넣기'!$A$1:$AZ$1001,ROW(),설정!$C$4)&amp;"","")</f>
        <v/>
      </c>
      <c r="C146">
        <f>IFERROR(INDEX('1.산군_붙여넣기'!$A$1:$AZ$1001,ROW(),설정!$C$5)&amp;"","")</f>
        <v/>
      </c>
      <c r="D146" s="5">
        <f>IFERROR(VALUE(SUBSTITUTE(SUBSTITUTE(SUBSTITUTE(IFERROR(INDEX('1.산군_붙여넣기'!$A$1:$AZ$1001,ROW(),설정!$C$6)&amp;"",""),",",""),"㎡",""),"m2","")),"")</f>
        <v/>
      </c>
      <c r="E146">
        <f>IFERROR(INDEX('1.산군_붙여넣기'!$A$1:$AZ$1001,ROW(),설정!$C$7)&amp;"","")</f>
        <v/>
      </c>
      <c r="F146">
        <f>IFERROR(INDEX('1.산군_붙여넣기'!$A$1:$AZ$1001,ROW(),설정!$C$8)&amp;"","")</f>
        <v/>
      </c>
      <c r="G146">
        <f>IFERROR(INDEX('1.산군_붙여넣기'!$A$1:$AZ$1001,ROW(),설정!$C$9)&amp;"","")</f>
        <v/>
      </c>
      <c r="H146">
        <f>IFERROR(INDEX('1.산군_붙여넣기'!$A$1:$AZ$1001,ROW(),설정!$C$10)&amp;"","")</f>
        <v/>
      </c>
      <c r="I146">
        <f>IFERROR(INDEX('1.산군_붙여넣기'!$A$1:$AZ$1001,ROW(),설정!$C$11)&amp;"","")</f>
        <v/>
      </c>
      <c r="J146">
        <f>IFERROR(INDEX('1.산군_붙여넣기'!$A$1:$AZ$1001,ROW(),설정!$C$12)&amp;"","")</f>
        <v/>
      </c>
      <c r="K146">
        <f>IFERROR(INDEX('1.산군_붙여넣기'!$A$1:$AZ$1001,ROW(),설정!$C$13)&amp;"","")</f>
        <v/>
      </c>
      <c r="L146" s="6">
        <f>IF(X146="","",IF(AND(LEN(X146)=8,ISNUMBER(X146*1)),DATE(LEFT(X146,4),MID(X146,5,2),RIGHT(X146,2)),IFERROR(DATEVALUE(SUBSTITUTE(SUBSTITUTE(X146,".","-"),"/","-")),IFERROR(X146*1,""))))</f>
        <v/>
      </c>
      <c r="M146" s="6">
        <f>IF(Y146="","",IF(AND(LEN(Y146)=8,ISNUMBER(Y146*1)),DATE(LEFT(Y146,4),MID(Y146,5,2),RIGHT(Y146,2)),IFERROR(DATEVALUE(SUBSTITUTE(SUBSTITUTE(Y146,".","-"),"/","-")),IFERROR(Y146*1,""))))</f>
        <v/>
      </c>
      <c r="N146">
        <f>IFERROR(LEFT(B146,FIND(" ",B146)-1),B146)</f>
        <v/>
      </c>
      <c r="O146">
        <f>AND(B146&lt;&gt;"",B146&lt;&gt;설정!$B$4,C146&lt;&gt;설정!$B$5)</f>
        <v/>
      </c>
      <c r="P146">
        <f>IF(O146,B146&amp;"|"&amp;C146,"")</f>
        <v/>
      </c>
      <c r="Q146">
        <f>AND(O146,COUNTIF(P147:P$1002,P146)=0)</f>
        <v/>
      </c>
      <c r="R146">
        <f>OR(AND(설정!$A$28&lt;&gt;"",ISNUMBER(SEARCH(설정!$A$28,E146&amp;" "&amp;C146))),AND(설정!$A$29&lt;&gt;"",ISNUMBER(SEARCH(설정!$A$29,E146&amp;" "&amp;C146))),AND(설정!$A$30&lt;&gt;"",ISNUMBER(SEARCH(설정!$A$30,E146&amp;" "&amp;C146))),AND(설정!$A$31&lt;&gt;"",ISNUMBER(SEARCH(설정!$A$31,E146&amp;" "&amp;C146))),AND(설정!$A$32&lt;&gt;"",ISNUMBER(SEARCH(설정!$A$32,E146&amp;" "&amp;C146))),AND(설정!$A$33&lt;&gt;"",ISNUMBER(SEARCH(설정!$A$33,E146&amp;" "&amp;C146))),AND(설정!$A$34&lt;&gt;"",ISNUMBER(SEARCH(설정!$A$34,E146&amp;" "&amp;C146))),AND(설정!$A$35&lt;&gt;"",ISNUMBER(SEARCH(설정!$A$35,E146&amp;" "&amp;C146))),AND(설정!$A$36&lt;&gt;"",ISNUMBER(SEARCH(설정!$A$36,E146&amp;" "&amp;C146))),AND(설정!$A$37&lt;&gt;"",ISNUMBER(SEARCH(설정!$A$37,E146&amp;" "&amp;C146))))</f>
        <v/>
      </c>
      <c r="S146">
        <f>OR(D146="",D146&gt;=설정!$B$19)</f>
        <v/>
      </c>
      <c r="T146">
        <f>AND(Q146,R146,S146)</f>
        <v/>
      </c>
      <c r="U146">
        <f>IF(T146,IF(AND(설정!$A$41&lt;&gt;"",ISNUMBER(SEARCH(설정!$A$41,K146))),설정!$B$41,IF(AND(설정!$A$42&lt;&gt;"",ISNUMBER(SEARCH(설정!$A$42,K146))),설정!$B$42,IF(AND(설정!$A$43&lt;&gt;"",ISNUMBER(SEARCH(설정!$A$43,K146))),설정!$B$43,IF(AND(설정!$A$44&lt;&gt;"",ISNUMBER(SEARCH(설정!$A$44,K146))),설정!$B$44,IF(AND(설정!$A$45&lt;&gt;"",ISNUMBER(SEARCH(설정!$A$45,K146))),설정!$B$45,IF(AND(설정!$A$46&lt;&gt;"",ISNUMBER(SEARCH(설정!$A$46,K146))),설정!$B$46,IF(AND(설정!$A$47&lt;&gt;"",ISNUMBER(SEARCH(설정!$A$47,K146))),설정!$B$47,IF(AND(설정!$A$48&lt;&gt;"",ISNUMBER(SEARCH(설정!$A$48,K146))),설정!$B$48,IF(M146="","설계사","시공사"))))))))),"")</f>
        <v/>
      </c>
      <c r="V146">
        <f>SUBSTITUTE(SUBSTITUTE(SUBSTITUTE(SUBSTITUTE(G146,"(주)",""),"㈜",""),"주식회사","")," ","")</f>
        <v/>
      </c>
      <c r="W146">
        <f>IF(AND(T146,V146&lt;&gt;""),IF(COUNTIFS(V$2:V146,V146,T$2:T146,TRUE)=1,MAX(W$1:W145)+1,""),"")</f>
        <v/>
      </c>
      <c r="X146">
        <f>IFERROR(INDEX('1.산군_붙여넣기'!$A$1:$AZ$1001,ROW(),설정!$C$14)&amp;"","")</f>
        <v/>
      </c>
      <c r="Y146">
        <f>IFERROR(INDEX('1.산군_붙여넣기'!$A$1:$AZ$1001,ROW(),설정!$C$15)&amp;"","")</f>
        <v/>
      </c>
      <c r="Z146">
        <f>IF(T146,V146&amp;"|"&amp;U146,"")</f>
        <v/>
      </c>
    </row>
    <row r="147">
      <c r="A147">
        <f>ROW()</f>
        <v/>
      </c>
      <c r="B147">
        <f>IFERROR(INDEX('1.산군_붙여넣기'!$A$1:$AZ$1001,ROW(),설정!$C$4)&amp;"","")</f>
        <v/>
      </c>
      <c r="C147">
        <f>IFERROR(INDEX('1.산군_붙여넣기'!$A$1:$AZ$1001,ROW(),설정!$C$5)&amp;"","")</f>
        <v/>
      </c>
      <c r="D147" s="5">
        <f>IFERROR(VALUE(SUBSTITUTE(SUBSTITUTE(SUBSTITUTE(IFERROR(INDEX('1.산군_붙여넣기'!$A$1:$AZ$1001,ROW(),설정!$C$6)&amp;"",""),",",""),"㎡",""),"m2","")),"")</f>
        <v/>
      </c>
      <c r="E147">
        <f>IFERROR(INDEX('1.산군_붙여넣기'!$A$1:$AZ$1001,ROW(),설정!$C$7)&amp;"","")</f>
        <v/>
      </c>
      <c r="F147">
        <f>IFERROR(INDEX('1.산군_붙여넣기'!$A$1:$AZ$1001,ROW(),설정!$C$8)&amp;"","")</f>
        <v/>
      </c>
      <c r="G147">
        <f>IFERROR(INDEX('1.산군_붙여넣기'!$A$1:$AZ$1001,ROW(),설정!$C$9)&amp;"","")</f>
        <v/>
      </c>
      <c r="H147">
        <f>IFERROR(INDEX('1.산군_붙여넣기'!$A$1:$AZ$1001,ROW(),설정!$C$10)&amp;"","")</f>
        <v/>
      </c>
      <c r="I147">
        <f>IFERROR(INDEX('1.산군_붙여넣기'!$A$1:$AZ$1001,ROW(),설정!$C$11)&amp;"","")</f>
        <v/>
      </c>
      <c r="J147">
        <f>IFERROR(INDEX('1.산군_붙여넣기'!$A$1:$AZ$1001,ROW(),설정!$C$12)&amp;"","")</f>
        <v/>
      </c>
      <c r="K147">
        <f>IFERROR(INDEX('1.산군_붙여넣기'!$A$1:$AZ$1001,ROW(),설정!$C$13)&amp;"","")</f>
        <v/>
      </c>
      <c r="L147" s="6">
        <f>IF(X147="","",IF(AND(LEN(X147)=8,ISNUMBER(X147*1)),DATE(LEFT(X147,4),MID(X147,5,2),RIGHT(X147,2)),IFERROR(DATEVALUE(SUBSTITUTE(SUBSTITUTE(X147,".","-"),"/","-")),IFERROR(X147*1,""))))</f>
        <v/>
      </c>
      <c r="M147" s="6">
        <f>IF(Y147="","",IF(AND(LEN(Y147)=8,ISNUMBER(Y147*1)),DATE(LEFT(Y147,4),MID(Y147,5,2),RIGHT(Y147,2)),IFERROR(DATEVALUE(SUBSTITUTE(SUBSTITUTE(Y147,".","-"),"/","-")),IFERROR(Y147*1,""))))</f>
        <v/>
      </c>
      <c r="N147">
        <f>IFERROR(LEFT(B147,FIND(" ",B147)-1),B147)</f>
        <v/>
      </c>
      <c r="O147">
        <f>AND(B147&lt;&gt;"",B147&lt;&gt;설정!$B$4,C147&lt;&gt;설정!$B$5)</f>
        <v/>
      </c>
      <c r="P147">
        <f>IF(O147,B147&amp;"|"&amp;C147,"")</f>
        <v/>
      </c>
      <c r="Q147">
        <f>AND(O147,COUNTIF(P148:P$1002,P147)=0)</f>
        <v/>
      </c>
      <c r="R147">
        <f>OR(AND(설정!$A$28&lt;&gt;"",ISNUMBER(SEARCH(설정!$A$28,E147&amp;" "&amp;C147))),AND(설정!$A$29&lt;&gt;"",ISNUMBER(SEARCH(설정!$A$29,E147&amp;" "&amp;C147))),AND(설정!$A$30&lt;&gt;"",ISNUMBER(SEARCH(설정!$A$30,E147&amp;" "&amp;C147))),AND(설정!$A$31&lt;&gt;"",ISNUMBER(SEARCH(설정!$A$31,E147&amp;" "&amp;C147))),AND(설정!$A$32&lt;&gt;"",ISNUMBER(SEARCH(설정!$A$32,E147&amp;" "&amp;C147))),AND(설정!$A$33&lt;&gt;"",ISNUMBER(SEARCH(설정!$A$33,E147&amp;" "&amp;C147))),AND(설정!$A$34&lt;&gt;"",ISNUMBER(SEARCH(설정!$A$34,E147&amp;" "&amp;C147))),AND(설정!$A$35&lt;&gt;"",ISNUMBER(SEARCH(설정!$A$35,E147&amp;" "&amp;C147))),AND(설정!$A$36&lt;&gt;"",ISNUMBER(SEARCH(설정!$A$36,E147&amp;" "&amp;C147))),AND(설정!$A$37&lt;&gt;"",ISNUMBER(SEARCH(설정!$A$37,E147&amp;" "&amp;C147))))</f>
        <v/>
      </c>
      <c r="S147">
        <f>OR(D147="",D147&gt;=설정!$B$19)</f>
        <v/>
      </c>
      <c r="T147">
        <f>AND(Q147,R147,S147)</f>
        <v/>
      </c>
      <c r="U147">
        <f>IF(T147,IF(AND(설정!$A$41&lt;&gt;"",ISNUMBER(SEARCH(설정!$A$41,K147))),설정!$B$41,IF(AND(설정!$A$42&lt;&gt;"",ISNUMBER(SEARCH(설정!$A$42,K147))),설정!$B$42,IF(AND(설정!$A$43&lt;&gt;"",ISNUMBER(SEARCH(설정!$A$43,K147))),설정!$B$43,IF(AND(설정!$A$44&lt;&gt;"",ISNUMBER(SEARCH(설정!$A$44,K147))),설정!$B$44,IF(AND(설정!$A$45&lt;&gt;"",ISNUMBER(SEARCH(설정!$A$45,K147))),설정!$B$45,IF(AND(설정!$A$46&lt;&gt;"",ISNUMBER(SEARCH(설정!$A$46,K147))),설정!$B$46,IF(AND(설정!$A$47&lt;&gt;"",ISNUMBER(SEARCH(설정!$A$47,K147))),설정!$B$47,IF(AND(설정!$A$48&lt;&gt;"",ISNUMBER(SEARCH(설정!$A$48,K147))),설정!$B$48,IF(M147="","설계사","시공사"))))))))),"")</f>
        <v/>
      </c>
      <c r="V147">
        <f>SUBSTITUTE(SUBSTITUTE(SUBSTITUTE(SUBSTITUTE(G147,"(주)",""),"㈜",""),"주식회사","")," ","")</f>
        <v/>
      </c>
      <c r="W147">
        <f>IF(AND(T147,V147&lt;&gt;""),IF(COUNTIFS(V$2:V147,V147,T$2:T147,TRUE)=1,MAX(W$1:W146)+1,""),"")</f>
        <v/>
      </c>
      <c r="X147">
        <f>IFERROR(INDEX('1.산군_붙여넣기'!$A$1:$AZ$1001,ROW(),설정!$C$14)&amp;"","")</f>
        <v/>
      </c>
      <c r="Y147">
        <f>IFERROR(INDEX('1.산군_붙여넣기'!$A$1:$AZ$1001,ROW(),설정!$C$15)&amp;"","")</f>
        <v/>
      </c>
      <c r="Z147">
        <f>IF(T147,V147&amp;"|"&amp;U147,"")</f>
        <v/>
      </c>
    </row>
    <row r="148">
      <c r="A148">
        <f>ROW()</f>
        <v/>
      </c>
      <c r="B148">
        <f>IFERROR(INDEX('1.산군_붙여넣기'!$A$1:$AZ$1001,ROW(),설정!$C$4)&amp;"","")</f>
        <v/>
      </c>
      <c r="C148">
        <f>IFERROR(INDEX('1.산군_붙여넣기'!$A$1:$AZ$1001,ROW(),설정!$C$5)&amp;"","")</f>
        <v/>
      </c>
      <c r="D148" s="5">
        <f>IFERROR(VALUE(SUBSTITUTE(SUBSTITUTE(SUBSTITUTE(IFERROR(INDEX('1.산군_붙여넣기'!$A$1:$AZ$1001,ROW(),설정!$C$6)&amp;"",""),",",""),"㎡",""),"m2","")),"")</f>
        <v/>
      </c>
      <c r="E148">
        <f>IFERROR(INDEX('1.산군_붙여넣기'!$A$1:$AZ$1001,ROW(),설정!$C$7)&amp;"","")</f>
        <v/>
      </c>
      <c r="F148">
        <f>IFERROR(INDEX('1.산군_붙여넣기'!$A$1:$AZ$1001,ROW(),설정!$C$8)&amp;"","")</f>
        <v/>
      </c>
      <c r="G148">
        <f>IFERROR(INDEX('1.산군_붙여넣기'!$A$1:$AZ$1001,ROW(),설정!$C$9)&amp;"","")</f>
        <v/>
      </c>
      <c r="H148">
        <f>IFERROR(INDEX('1.산군_붙여넣기'!$A$1:$AZ$1001,ROW(),설정!$C$10)&amp;"","")</f>
        <v/>
      </c>
      <c r="I148">
        <f>IFERROR(INDEX('1.산군_붙여넣기'!$A$1:$AZ$1001,ROW(),설정!$C$11)&amp;"","")</f>
        <v/>
      </c>
      <c r="J148">
        <f>IFERROR(INDEX('1.산군_붙여넣기'!$A$1:$AZ$1001,ROW(),설정!$C$12)&amp;"","")</f>
        <v/>
      </c>
      <c r="K148">
        <f>IFERROR(INDEX('1.산군_붙여넣기'!$A$1:$AZ$1001,ROW(),설정!$C$13)&amp;"","")</f>
        <v/>
      </c>
      <c r="L148" s="6">
        <f>IF(X148="","",IF(AND(LEN(X148)=8,ISNUMBER(X148*1)),DATE(LEFT(X148,4),MID(X148,5,2),RIGHT(X148,2)),IFERROR(DATEVALUE(SUBSTITUTE(SUBSTITUTE(X148,".","-"),"/","-")),IFERROR(X148*1,""))))</f>
        <v/>
      </c>
      <c r="M148" s="6">
        <f>IF(Y148="","",IF(AND(LEN(Y148)=8,ISNUMBER(Y148*1)),DATE(LEFT(Y148,4),MID(Y148,5,2),RIGHT(Y148,2)),IFERROR(DATEVALUE(SUBSTITUTE(SUBSTITUTE(Y148,".","-"),"/","-")),IFERROR(Y148*1,""))))</f>
        <v/>
      </c>
      <c r="N148">
        <f>IFERROR(LEFT(B148,FIND(" ",B148)-1),B148)</f>
        <v/>
      </c>
      <c r="O148">
        <f>AND(B148&lt;&gt;"",B148&lt;&gt;설정!$B$4,C148&lt;&gt;설정!$B$5)</f>
        <v/>
      </c>
      <c r="P148">
        <f>IF(O148,B148&amp;"|"&amp;C148,"")</f>
        <v/>
      </c>
      <c r="Q148">
        <f>AND(O148,COUNTIF(P149:P$1002,P148)=0)</f>
        <v/>
      </c>
      <c r="R148">
        <f>OR(AND(설정!$A$28&lt;&gt;"",ISNUMBER(SEARCH(설정!$A$28,E148&amp;" "&amp;C148))),AND(설정!$A$29&lt;&gt;"",ISNUMBER(SEARCH(설정!$A$29,E148&amp;" "&amp;C148))),AND(설정!$A$30&lt;&gt;"",ISNUMBER(SEARCH(설정!$A$30,E148&amp;" "&amp;C148))),AND(설정!$A$31&lt;&gt;"",ISNUMBER(SEARCH(설정!$A$31,E148&amp;" "&amp;C148))),AND(설정!$A$32&lt;&gt;"",ISNUMBER(SEARCH(설정!$A$32,E148&amp;" "&amp;C148))),AND(설정!$A$33&lt;&gt;"",ISNUMBER(SEARCH(설정!$A$33,E148&amp;" "&amp;C148))),AND(설정!$A$34&lt;&gt;"",ISNUMBER(SEARCH(설정!$A$34,E148&amp;" "&amp;C148))),AND(설정!$A$35&lt;&gt;"",ISNUMBER(SEARCH(설정!$A$35,E148&amp;" "&amp;C148))),AND(설정!$A$36&lt;&gt;"",ISNUMBER(SEARCH(설정!$A$36,E148&amp;" "&amp;C148))),AND(설정!$A$37&lt;&gt;"",ISNUMBER(SEARCH(설정!$A$37,E148&amp;" "&amp;C148))))</f>
        <v/>
      </c>
      <c r="S148">
        <f>OR(D148="",D148&gt;=설정!$B$19)</f>
        <v/>
      </c>
      <c r="T148">
        <f>AND(Q148,R148,S148)</f>
        <v/>
      </c>
      <c r="U148">
        <f>IF(T148,IF(AND(설정!$A$41&lt;&gt;"",ISNUMBER(SEARCH(설정!$A$41,K148))),설정!$B$41,IF(AND(설정!$A$42&lt;&gt;"",ISNUMBER(SEARCH(설정!$A$42,K148))),설정!$B$42,IF(AND(설정!$A$43&lt;&gt;"",ISNUMBER(SEARCH(설정!$A$43,K148))),설정!$B$43,IF(AND(설정!$A$44&lt;&gt;"",ISNUMBER(SEARCH(설정!$A$44,K148))),설정!$B$44,IF(AND(설정!$A$45&lt;&gt;"",ISNUMBER(SEARCH(설정!$A$45,K148))),설정!$B$45,IF(AND(설정!$A$46&lt;&gt;"",ISNUMBER(SEARCH(설정!$A$46,K148))),설정!$B$46,IF(AND(설정!$A$47&lt;&gt;"",ISNUMBER(SEARCH(설정!$A$47,K148))),설정!$B$47,IF(AND(설정!$A$48&lt;&gt;"",ISNUMBER(SEARCH(설정!$A$48,K148))),설정!$B$48,IF(M148="","설계사","시공사"))))))))),"")</f>
        <v/>
      </c>
      <c r="V148">
        <f>SUBSTITUTE(SUBSTITUTE(SUBSTITUTE(SUBSTITUTE(G148,"(주)",""),"㈜",""),"주식회사","")," ","")</f>
        <v/>
      </c>
      <c r="W148">
        <f>IF(AND(T148,V148&lt;&gt;""),IF(COUNTIFS(V$2:V148,V148,T$2:T148,TRUE)=1,MAX(W$1:W147)+1,""),"")</f>
        <v/>
      </c>
      <c r="X148">
        <f>IFERROR(INDEX('1.산군_붙여넣기'!$A$1:$AZ$1001,ROW(),설정!$C$14)&amp;"","")</f>
        <v/>
      </c>
      <c r="Y148">
        <f>IFERROR(INDEX('1.산군_붙여넣기'!$A$1:$AZ$1001,ROW(),설정!$C$15)&amp;"","")</f>
        <v/>
      </c>
      <c r="Z148">
        <f>IF(T148,V148&amp;"|"&amp;U148,"")</f>
        <v/>
      </c>
    </row>
    <row r="149">
      <c r="A149">
        <f>ROW()</f>
        <v/>
      </c>
      <c r="B149">
        <f>IFERROR(INDEX('1.산군_붙여넣기'!$A$1:$AZ$1001,ROW(),설정!$C$4)&amp;"","")</f>
        <v/>
      </c>
      <c r="C149">
        <f>IFERROR(INDEX('1.산군_붙여넣기'!$A$1:$AZ$1001,ROW(),설정!$C$5)&amp;"","")</f>
        <v/>
      </c>
      <c r="D149" s="5">
        <f>IFERROR(VALUE(SUBSTITUTE(SUBSTITUTE(SUBSTITUTE(IFERROR(INDEX('1.산군_붙여넣기'!$A$1:$AZ$1001,ROW(),설정!$C$6)&amp;"",""),",",""),"㎡",""),"m2","")),"")</f>
        <v/>
      </c>
      <c r="E149">
        <f>IFERROR(INDEX('1.산군_붙여넣기'!$A$1:$AZ$1001,ROW(),설정!$C$7)&amp;"","")</f>
        <v/>
      </c>
      <c r="F149">
        <f>IFERROR(INDEX('1.산군_붙여넣기'!$A$1:$AZ$1001,ROW(),설정!$C$8)&amp;"","")</f>
        <v/>
      </c>
      <c r="G149">
        <f>IFERROR(INDEX('1.산군_붙여넣기'!$A$1:$AZ$1001,ROW(),설정!$C$9)&amp;"","")</f>
        <v/>
      </c>
      <c r="H149">
        <f>IFERROR(INDEX('1.산군_붙여넣기'!$A$1:$AZ$1001,ROW(),설정!$C$10)&amp;"","")</f>
        <v/>
      </c>
      <c r="I149">
        <f>IFERROR(INDEX('1.산군_붙여넣기'!$A$1:$AZ$1001,ROW(),설정!$C$11)&amp;"","")</f>
        <v/>
      </c>
      <c r="J149">
        <f>IFERROR(INDEX('1.산군_붙여넣기'!$A$1:$AZ$1001,ROW(),설정!$C$12)&amp;"","")</f>
        <v/>
      </c>
      <c r="K149">
        <f>IFERROR(INDEX('1.산군_붙여넣기'!$A$1:$AZ$1001,ROW(),설정!$C$13)&amp;"","")</f>
        <v/>
      </c>
      <c r="L149" s="6">
        <f>IF(X149="","",IF(AND(LEN(X149)=8,ISNUMBER(X149*1)),DATE(LEFT(X149,4),MID(X149,5,2),RIGHT(X149,2)),IFERROR(DATEVALUE(SUBSTITUTE(SUBSTITUTE(X149,".","-"),"/","-")),IFERROR(X149*1,""))))</f>
        <v/>
      </c>
      <c r="M149" s="6">
        <f>IF(Y149="","",IF(AND(LEN(Y149)=8,ISNUMBER(Y149*1)),DATE(LEFT(Y149,4),MID(Y149,5,2),RIGHT(Y149,2)),IFERROR(DATEVALUE(SUBSTITUTE(SUBSTITUTE(Y149,".","-"),"/","-")),IFERROR(Y149*1,""))))</f>
        <v/>
      </c>
      <c r="N149">
        <f>IFERROR(LEFT(B149,FIND(" ",B149)-1),B149)</f>
        <v/>
      </c>
      <c r="O149">
        <f>AND(B149&lt;&gt;"",B149&lt;&gt;설정!$B$4,C149&lt;&gt;설정!$B$5)</f>
        <v/>
      </c>
      <c r="P149">
        <f>IF(O149,B149&amp;"|"&amp;C149,"")</f>
        <v/>
      </c>
      <c r="Q149">
        <f>AND(O149,COUNTIF(P150:P$1002,P149)=0)</f>
        <v/>
      </c>
      <c r="R149">
        <f>OR(AND(설정!$A$28&lt;&gt;"",ISNUMBER(SEARCH(설정!$A$28,E149&amp;" "&amp;C149))),AND(설정!$A$29&lt;&gt;"",ISNUMBER(SEARCH(설정!$A$29,E149&amp;" "&amp;C149))),AND(설정!$A$30&lt;&gt;"",ISNUMBER(SEARCH(설정!$A$30,E149&amp;" "&amp;C149))),AND(설정!$A$31&lt;&gt;"",ISNUMBER(SEARCH(설정!$A$31,E149&amp;" "&amp;C149))),AND(설정!$A$32&lt;&gt;"",ISNUMBER(SEARCH(설정!$A$32,E149&amp;" "&amp;C149))),AND(설정!$A$33&lt;&gt;"",ISNUMBER(SEARCH(설정!$A$33,E149&amp;" "&amp;C149))),AND(설정!$A$34&lt;&gt;"",ISNUMBER(SEARCH(설정!$A$34,E149&amp;" "&amp;C149))),AND(설정!$A$35&lt;&gt;"",ISNUMBER(SEARCH(설정!$A$35,E149&amp;" "&amp;C149))),AND(설정!$A$36&lt;&gt;"",ISNUMBER(SEARCH(설정!$A$36,E149&amp;" "&amp;C149))),AND(설정!$A$37&lt;&gt;"",ISNUMBER(SEARCH(설정!$A$37,E149&amp;" "&amp;C149))))</f>
        <v/>
      </c>
      <c r="S149">
        <f>OR(D149="",D149&gt;=설정!$B$19)</f>
        <v/>
      </c>
      <c r="T149">
        <f>AND(Q149,R149,S149)</f>
        <v/>
      </c>
      <c r="U149">
        <f>IF(T149,IF(AND(설정!$A$41&lt;&gt;"",ISNUMBER(SEARCH(설정!$A$41,K149))),설정!$B$41,IF(AND(설정!$A$42&lt;&gt;"",ISNUMBER(SEARCH(설정!$A$42,K149))),설정!$B$42,IF(AND(설정!$A$43&lt;&gt;"",ISNUMBER(SEARCH(설정!$A$43,K149))),설정!$B$43,IF(AND(설정!$A$44&lt;&gt;"",ISNUMBER(SEARCH(설정!$A$44,K149))),설정!$B$44,IF(AND(설정!$A$45&lt;&gt;"",ISNUMBER(SEARCH(설정!$A$45,K149))),설정!$B$45,IF(AND(설정!$A$46&lt;&gt;"",ISNUMBER(SEARCH(설정!$A$46,K149))),설정!$B$46,IF(AND(설정!$A$47&lt;&gt;"",ISNUMBER(SEARCH(설정!$A$47,K149))),설정!$B$47,IF(AND(설정!$A$48&lt;&gt;"",ISNUMBER(SEARCH(설정!$A$48,K149))),설정!$B$48,IF(M149="","설계사","시공사"))))))))),"")</f>
        <v/>
      </c>
      <c r="V149">
        <f>SUBSTITUTE(SUBSTITUTE(SUBSTITUTE(SUBSTITUTE(G149,"(주)",""),"㈜",""),"주식회사","")," ","")</f>
        <v/>
      </c>
      <c r="W149">
        <f>IF(AND(T149,V149&lt;&gt;""),IF(COUNTIFS(V$2:V149,V149,T$2:T149,TRUE)=1,MAX(W$1:W148)+1,""),"")</f>
        <v/>
      </c>
      <c r="X149">
        <f>IFERROR(INDEX('1.산군_붙여넣기'!$A$1:$AZ$1001,ROW(),설정!$C$14)&amp;"","")</f>
        <v/>
      </c>
      <c r="Y149">
        <f>IFERROR(INDEX('1.산군_붙여넣기'!$A$1:$AZ$1001,ROW(),설정!$C$15)&amp;"","")</f>
        <v/>
      </c>
      <c r="Z149">
        <f>IF(T149,V149&amp;"|"&amp;U149,"")</f>
        <v/>
      </c>
    </row>
    <row r="150">
      <c r="A150">
        <f>ROW()</f>
        <v/>
      </c>
      <c r="B150">
        <f>IFERROR(INDEX('1.산군_붙여넣기'!$A$1:$AZ$1001,ROW(),설정!$C$4)&amp;"","")</f>
        <v/>
      </c>
      <c r="C150">
        <f>IFERROR(INDEX('1.산군_붙여넣기'!$A$1:$AZ$1001,ROW(),설정!$C$5)&amp;"","")</f>
        <v/>
      </c>
      <c r="D150" s="5">
        <f>IFERROR(VALUE(SUBSTITUTE(SUBSTITUTE(SUBSTITUTE(IFERROR(INDEX('1.산군_붙여넣기'!$A$1:$AZ$1001,ROW(),설정!$C$6)&amp;"",""),",",""),"㎡",""),"m2","")),"")</f>
        <v/>
      </c>
      <c r="E150">
        <f>IFERROR(INDEX('1.산군_붙여넣기'!$A$1:$AZ$1001,ROW(),설정!$C$7)&amp;"","")</f>
        <v/>
      </c>
      <c r="F150">
        <f>IFERROR(INDEX('1.산군_붙여넣기'!$A$1:$AZ$1001,ROW(),설정!$C$8)&amp;"","")</f>
        <v/>
      </c>
      <c r="G150">
        <f>IFERROR(INDEX('1.산군_붙여넣기'!$A$1:$AZ$1001,ROW(),설정!$C$9)&amp;"","")</f>
        <v/>
      </c>
      <c r="H150">
        <f>IFERROR(INDEX('1.산군_붙여넣기'!$A$1:$AZ$1001,ROW(),설정!$C$10)&amp;"","")</f>
        <v/>
      </c>
      <c r="I150">
        <f>IFERROR(INDEX('1.산군_붙여넣기'!$A$1:$AZ$1001,ROW(),설정!$C$11)&amp;"","")</f>
        <v/>
      </c>
      <c r="J150">
        <f>IFERROR(INDEX('1.산군_붙여넣기'!$A$1:$AZ$1001,ROW(),설정!$C$12)&amp;"","")</f>
        <v/>
      </c>
      <c r="K150">
        <f>IFERROR(INDEX('1.산군_붙여넣기'!$A$1:$AZ$1001,ROW(),설정!$C$13)&amp;"","")</f>
        <v/>
      </c>
      <c r="L150" s="6">
        <f>IF(X150="","",IF(AND(LEN(X150)=8,ISNUMBER(X150*1)),DATE(LEFT(X150,4),MID(X150,5,2),RIGHT(X150,2)),IFERROR(DATEVALUE(SUBSTITUTE(SUBSTITUTE(X150,".","-"),"/","-")),IFERROR(X150*1,""))))</f>
        <v/>
      </c>
      <c r="M150" s="6">
        <f>IF(Y150="","",IF(AND(LEN(Y150)=8,ISNUMBER(Y150*1)),DATE(LEFT(Y150,4),MID(Y150,5,2),RIGHT(Y150,2)),IFERROR(DATEVALUE(SUBSTITUTE(SUBSTITUTE(Y150,".","-"),"/","-")),IFERROR(Y150*1,""))))</f>
        <v/>
      </c>
      <c r="N150">
        <f>IFERROR(LEFT(B150,FIND(" ",B150)-1),B150)</f>
        <v/>
      </c>
      <c r="O150">
        <f>AND(B150&lt;&gt;"",B150&lt;&gt;설정!$B$4,C150&lt;&gt;설정!$B$5)</f>
        <v/>
      </c>
      <c r="P150">
        <f>IF(O150,B150&amp;"|"&amp;C150,"")</f>
        <v/>
      </c>
      <c r="Q150">
        <f>AND(O150,COUNTIF(P151:P$1002,P150)=0)</f>
        <v/>
      </c>
      <c r="R150">
        <f>OR(AND(설정!$A$28&lt;&gt;"",ISNUMBER(SEARCH(설정!$A$28,E150&amp;" "&amp;C150))),AND(설정!$A$29&lt;&gt;"",ISNUMBER(SEARCH(설정!$A$29,E150&amp;" "&amp;C150))),AND(설정!$A$30&lt;&gt;"",ISNUMBER(SEARCH(설정!$A$30,E150&amp;" "&amp;C150))),AND(설정!$A$31&lt;&gt;"",ISNUMBER(SEARCH(설정!$A$31,E150&amp;" "&amp;C150))),AND(설정!$A$32&lt;&gt;"",ISNUMBER(SEARCH(설정!$A$32,E150&amp;" "&amp;C150))),AND(설정!$A$33&lt;&gt;"",ISNUMBER(SEARCH(설정!$A$33,E150&amp;" "&amp;C150))),AND(설정!$A$34&lt;&gt;"",ISNUMBER(SEARCH(설정!$A$34,E150&amp;" "&amp;C150))),AND(설정!$A$35&lt;&gt;"",ISNUMBER(SEARCH(설정!$A$35,E150&amp;" "&amp;C150))),AND(설정!$A$36&lt;&gt;"",ISNUMBER(SEARCH(설정!$A$36,E150&amp;" "&amp;C150))),AND(설정!$A$37&lt;&gt;"",ISNUMBER(SEARCH(설정!$A$37,E150&amp;" "&amp;C150))))</f>
        <v/>
      </c>
      <c r="S150">
        <f>OR(D150="",D150&gt;=설정!$B$19)</f>
        <v/>
      </c>
      <c r="T150">
        <f>AND(Q150,R150,S150)</f>
        <v/>
      </c>
      <c r="U150">
        <f>IF(T150,IF(AND(설정!$A$41&lt;&gt;"",ISNUMBER(SEARCH(설정!$A$41,K150))),설정!$B$41,IF(AND(설정!$A$42&lt;&gt;"",ISNUMBER(SEARCH(설정!$A$42,K150))),설정!$B$42,IF(AND(설정!$A$43&lt;&gt;"",ISNUMBER(SEARCH(설정!$A$43,K150))),설정!$B$43,IF(AND(설정!$A$44&lt;&gt;"",ISNUMBER(SEARCH(설정!$A$44,K150))),설정!$B$44,IF(AND(설정!$A$45&lt;&gt;"",ISNUMBER(SEARCH(설정!$A$45,K150))),설정!$B$45,IF(AND(설정!$A$46&lt;&gt;"",ISNUMBER(SEARCH(설정!$A$46,K150))),설정!$B$46,IF(AND(설정!$A$47&lt;&gt;"",ISNUMBER(SEARCH(설정!$A$47,K150))),설정!$B$47,IF(AND(설정!$A$48&lt;&gt;"",ISNUMBER(SEARCH(설정!$A$48,K150))),설정!$B$48,IF(M150="","설계사","시공사"))))))))),"")</f>
        <v/>
      </c>
      <c r="V150">
        <f>SUBSTITUTE(SUBSTITUTE(SUBSTITUTE(SUBSTITUTE(G150,"(주)",""),"㈜",""),"주식회사","")," ","")</f>
        <v/>
      </c>
      <c r="W150">
        <f>IF(AND(T150,V150&lt;&gt;""),IF(COUNTIFS(V$2:V150,V150,T$2:T150,TRUE)=1,MAX(W$1:W149)+1,""),"")</f>
        <v/>
      </c>
      <c r="X150">
        <f>IFERROR(INDEX('1.산군_붙여넣기'!$A$1:$AZ$1001,ROW(),설정!$C$14)&amp;"","")</f>
        <v/>
      </c>
      <c r="Y150">
        <f>IFERROR(INDEX('1.산군_붙여넣기'!$A$1:$AZ$1001,ROW(),설정!$C$15)&amp;"","")</f>
        <v/>
      </c>
      <c r="Z150">
        <f>IF(T150,V150&amp;"|"&amp;U150,"")</f>
        <v/>
      </c>
    </row>
    <row r="151">
      <c r="A151">
        <f>ROW()</f>
        <v/>
      </c>
      <c r="B151">
        <f>IFERROR(INDEX('1.산군_붙여넣기'!$A$1:$AZ$1001,ROW(),설정!$C$4)&amp;"","")</f>
        <v/>
      </c>
      <c r="C151">
        <f>IFERROR(INDEX('1.산군_붙여넣기'!$A$1:$AZ$1001,ROW(),설정!$C$5)&amp;"","")</f>
        <v/>
      </c>
      <c r="D151" s="5">
        <f>IFERROR(VALUE(SUBSTITUTE(SUBSTITUTE(SUBSTITUTE(IFERROR(INDEX('1.산군_붙여넣기'!$A$1:$AZ$1001,ROW(),설정!$C$6)&amp;"",""),",",""),"㎡",""),"m2","")),"")</f>
        <v/>
      </c>
      <c r="E151">
        <f>IFERROR(INDEX('1.산군_붙여넣기'!$A$1:$AZ$1001,ROW(),설정!$C$7)&amp;"","")</f>
        <v/>
      </c>
      <c r="F151">
        <f>IFERROR(INDEX('1.산군_붙여넣기'!$A$1:$AZ$1001,ROW(),설정!$C$8)&amp;"","")</f>
        <v/>
      </c>
      <c r="G151">
        <f>IFERROR(INDEX('1.산군_붙여넣기'!$A$1:$AZ$1001,ROW(),설정!$C$9)&amp;"","")</f>
        <v/>
      </c>
      <c r="H151">
        <f>IFERROR(INDEX('1.산군_붙여넣기'!$A$1:$AZ$1001,ROW(),설정!$C$10)&amp;"","")</f>
        <v/>
      </c>
      <c r="I151">
        <f>IFERROR(INDEX('1.산군_붙여넣기'!$A$1:$AZ$1001,ROW(),설정!$C$11)&amp;"","")</f>
        <v/>
      </c>
      <c r="J151">
        <f>IFERROR(INDEX('1.산군_붙여넣기'!$A$1:$AZ$1001,ROW(),설정!$C$12)&amp;"","")</f>
        <v/>
      </c>
      <c r="K151">
        <f>IFERROR(INDEX('1.산군_붙여넣기'!$A$1:$AZ$1001,ROW(),설정!$C$13)&amp;"","")</f>
        <v/>
      </c>
      <c r="L151" s="6">
        <f>IF(X151="","",IF(AND(LEN(X151)=8,ISNUMBER(X151*1)),DATE(LEFT(X151,4),MID(X151,5,2),RIGHT(X151,2)),IFERROR(DATEVALUE(SUBSTITUTE(SUBSTITUTE(X151,".","-"),"/","-")),IFERROR(X151*1,""))))</f>
        <v/>
      </c>
      <c r="M151" s="6">
        <f>IF(Y151="","",IF(AND(LEN(Y151)=8,ISNUMBER(Y151*1)),DATE(LEFT(Y151,4),MID(Y151,5,2),RIGHT(Y151,2)),IFERROR(DATEVALUE(SUBSTITUTE(SUBSTITUTE(Y151,".","-"),"/","-")),IFERROR(Y151*1,""))))</f>
        <v/>
      </c>
      <c r="N151">
        <f>IFERROR(LEFT(B151,FIND(" ",B151)-1),B151)</f>
        <v/>
      </c>
      <c r="O151">
        <f>AND(B151&lt;&gt;"",B151&lt;&gt;설정!$B$4,C151&lt;&gt;설정!$B$5)</f>
        <v/>
      </c>
      <c r="P151">
        <f>IF(O151,B151&amp;"|"&amp;C151,"")</f>
        <v/>
      </c>
      <c r="Q151">
        <f>AND(O151,COUNTIF(P152:P$1002,P151)=0)</f>
        <v/>
      </c>
      <c r="R151">
        <f>OR(AND(설정!$A$28&lt;&gt;"",ISNUMBER(SEARCH(설정!$A$28,E151&amp;" "&amp;C151))),AND(설정!$A$29&lt;&gt;"",ISNUMBER(SEARCH(설정!$A$29,E151&amp;" "&amp;C151))),AND(설정!$A$30&lt;&gt;"",ISNUMBER(SEARCH(설정!$A$30,E151&amp;" "&amp;C151))),AND(설정!$A$31&lt;&gt;"",ISNUMBER(SEARCH(설정!$A$31,E151&amp;" "&amp;C151))),AND(설정!$A$32&lt;&gt;"",ISNUMBER(SEARCH(설정!$A$32,E151&amp;" "&amp;C151))),AND(설정!$A$33&lt;&gt;"",ISNUMBER(SEARCH(설정!$A$33,E151&amp;" "&amp;C151))),AND(설정!$A$34&lt;&gt;"",ISNUMBER(SEARCH(설정!$A$34,E151&amp;" "&amp;C151))),AND(설정!$A$35&lt;&gt;"",ISNUMBER(SEARCH(설정!$A$35,E151&amp;" "&amp;C151))),AND(설정!$A$36&lt;&gt;"",ISNUMBER(SEARCH(설정!$A$36,E151&amp;" "&amp;C151))),AND(설정!$A$37&lt;&gt;"",ISNUMBER(SEARCH(설정!$A$37,E151&amp;" "&amp;C151))))</f>
        <v/>
      </c>
      <c r="S151">
        <f>OR(D151="",D151&gt;=설정!$B$19)</f>
        <v/>
      </c>
      <c r="T151">
        <f>AND(Q151,R151,S151)</f>
        <v/>
      </c>
      <c r="U151">
        <f>IF(T151,IF(AND(설정!$A$41&lt;&gt;"",ISNUMBER(SEARCH(설정!$A$41,K151))),설정!$B$41,IF(AND(설정!$A$42&lt;&gt;"",ISNUMBER(SEARCH(설정!$A$42,K151))),설정!$B$42,IF(AND(설정!$A$43&lt;&gt;"",ISNUMBER(SEARCH(설정!$A$43,K151))),설정!$B$43,IF(AND(설정!$A$44&lt;&gt;"",ISNUMBER(SEARCH(설정!$A$44,K151))),설정!$B$44,IF(AND(설정!$A$45&lt;&gt;"",ISNUMBER(SEARCH(설정!$A$45,K151))),설정!$B$45,IF(AND(설정!$A$46&lt;&gt;"",ISNUMBER(SEARCH(설정!$A$46,K151))),설정!$B$46,IF(AND(설정!$A$47&lt;&gt;"",ISNUMBER(SEARCH(설정!$A$47,K151))),설정!$B$47,IF(AND(설정!$A$48&lt;&gt;"",ISNUMBER(SEARCH(설정!$A$48,K151))),설정!$B$48,IF(M151="","설계사","시공사"))))))))),"")</f>
        <v/>
      </c>
      <c r="V151">
        <f>SUBSTITUTE(SUBSTITUTE(SUBSTITUTE(SUBSTITUTE(G151,"(주)",""),"㈜",""),"주식회사","")," ","")</f>
        <v/>
      </c>
      <c r="W151">
        <f>IF(AND(T151,V151&lt;&gt;""),IF(COUNTIFS(V$2:V151,V151,T$2:T151,TRUE)=1,MAX(W$1:W150)+1,""),"")</f>
        <v/>
      </c>
      <c r="X151">
        <f>IFERROR(INDEX('1.산군_붙여넣기'!$A$1:$AZ$1001,ROW(),설정!$C$14)&amp;"","")</f>
        <v/>
      </c>
      <c r="Y151">
        <f>IFERROR(INDEX('1.산군_붙여넣기'!$A$1:$AZ$1001,ROW(),설정!$C$15)&amp;"","")</f>
        <v/>
      </c>
      <c r="Z151">
        <f>IF(T151,V151&amp;"|"&amp;U151,"")</f>
        <v/>
      </c>
    </row>
    <row r="152">
      <c r="A152">
        <f>ROW()</f>
        <v/>
      </c>
      <c r="B152">
        <f>IFERROR(INDEX('1.산군_붙여넣기'!$A$1:$AZ$1001,ROW(),설정!$C$4)&amp;"","")</f>
        <v/>
      </c>
      <c r="C152">
        <f>IFERROR(INDEX('1.산군_붙여넣기'!$A$1:$AZ$1001,ROW(),설정!$C$5)&amp;"","")</f>
        <v/>
      </c>
      <c r="D152" s="5">
        <f>IFERROR(VALUE(SUBSTITUTE(SUBSTITUTE(SUBSTITUTE(IFERROR(INDEX('1.산군_붙여넣기'!$A$1:$AZ$1001,ROW(),설정!$C$6)&amp;"",""),",",""),"㎡",""),"m2","")),"")</f>
        <v/>
      </c>
      <c r="E152">
        <f>IFERROR(INDEX('1.산군_붙여넣기'!$A$1:$AZ$1001,ROW(),설정!$C$7)&amp;"","")</f>
        <v/>
      </c>
      <c r="F152">
        <f>IFERROR(INDEX('1.산군_붙여넣기'!$A$1:$AZ$1001,ROW(),설정!$C$8)&amp;"","")</f>
        <v/>
      </c>
      <c r="G152">
        <f>IFERROR(INDEX('1.산군_붙여넣기'!$A$1:$AZ$1001,ROW(),설정!$C$9)&amp;"","")</f>
        <v/>
      </c>
      <c r="H152">
        <f>IFERROR(INDEX('1.산군_붙여넣기'!$A$1:$AZ$1001,ROW(),설정!$C$10)&amp;"","")</f>
        <v/>
      </c>
      <c r="I152">
        <f>IFERROR(INDEX('1.산군_붙여넣기'!$A$1:$AZ$1001,ROW(),설정!$C$11)&amp;"","")</f>
        <v/>
      </c>
      <c r="J152">
        <f>IFERROR(INDEX('1.산군_붙여넣기'!$A$1:$AZ$1001,ROW(),설정!$C$12)&amp;"","")</f>
        <v/>
      </c>
      <c r="K152">
        <f>IFERROR(INDEX('1.산군_붙여넣기'!$A$1:$AZ$1001,ROW(),설정!$C$13)&amp;"","")</f>
        <v/>
      </c>
      <c r="L152" s="6">
        <f>IF(X152="","",IF(AND(LEN(X152)=8,ISNUMBER(X152*1)),DATE(LEFT(X152,4),MID(X152,5,2),RIGHT(X152,2)),IFERROR(DATEVALUE(SUBSTITUTE(SUBSTITUTE(X152,".","-"),"/","-")),IFERROR(X152*1,""))))</f>
        <v/>
      </c>
      <c r="M152" s="6">
        <f>IF(Y152="","",IF(AND(LEN(Y152)=8,ISNUMBER(Y152*1)),DATE(LEFT(Y152,4),MID(Y152,5,2),RIGHT(Y152,2)),IFERROR(DATEVALUE(SUBSTITUTE(SUBSTITUTE(Y152,".","-"),"/","-")),IFERROR(Y152*1,""))))</f>
        <v/>
      </c>
      <c r="N152">
        <f>IFERROR(LEFT(B152,FIND(" ",B152)-1),B152)</f>
        <v/>
      </c>
      <c r="O152">
        <f>AND(B152&lt;&gt;"",B152&lt;&gt;설정!$B$4,C152&lt;&gt;설정!$B$5)</f>
        <v/>
      </c>
      <c r="P152">
        <f>IF(O152,B152&amp;"|"&amp;C152,"")</f>
        <v/>
      </c>
      <c r="Q152">
        <f>AND(O152,COUNTIF(P153:P$1002,P152)=0)</f>
        <v/>
      </c>
      <c r="R152">
        <f>OR(AND(설정!$A$28&lt;&gt;"",ISNUMBER(SEARCH(설정!$A$28,E152&amp;" "&amp;C152))),AND(설정!$A$29&lt;&gt;"",ISNUMBER(SEARCH(설정!$A$29,E152&amp;" "&amp;C152))),AND(설정!$A$30&lt;&gt;"",ISNUMBER(SEARCH(설정!$A$30,E152&amp;" "&amp;C152))),AND(설정!$A$31&lt;&gt;"",ISNUMBER(SEARCH(설정!$A$31,E152&amp;" "&amp;C152))),AND(설정!$A$32&lt;&gt;"",ISNUMBER(SEARCH(설정!$A$32,E152&amp;" "&amp;C152))),AND(설정!$A$33&lt;&gt;"",ISNUMBER(SEARCH(설정!$A$33,E152&amp;" "&amp;C152))),AND(설정!$A$34&lt;&gt;"",ISNUMBER(SEARCH(설정!$A$34,E152&amp;" "&amp;C152))),AND(설정!$A$35&lt;&gt;"",ISNUMBER(SEARCH(설정!$A$35,E152&amp;" "&amp;C152))),AND(설정!$A$36&lt;&gt;"",ISNUMBER(SEARCH(설정!$A$36,E152&amp;" "&amp;C152))),AND(설정!$A$37&lt;&gt;"",ISNUMBER(SEARCH(설정!$A$37,E152&amp;" "&amp;C152))))</f>
        <v/>
      </c>
      <c r="S152">
        <f>OR(D152="",D152&gt;=설정!$B$19)</f>
        <v/>
      </c>
      <c r="T152">
        <f>AND(Q152,R152,S152)</f>
        <v/>
      </c>
      <c r="U152">
        <f>IF(T152,IF(AND(설정!$A$41&lt;&gt;"",ISNUMBER(SEARCH(설정!$A$41,K152))),설정!$B$41,IF(AND(설정!$A$42&lt;&gt;"",ISNUMBER(SEARCH(설정!$A$42,K152))),설정!$B$42,IF(AND(설정!$A$43&lt;&gt;"",ISNUMBER(SEARCH(설정!$A$43,K152))),설정!$B$43,IF(AND(설정!$A$44&lt;&gt;"",ISNUMBER(SEARCH(설정!$A$44,K152))),설정!$B$44,IF(AND(설정!$A$45&lt;&gt;"",ISNUMBER(SEARCH(설정!$A$45,K152))),설정!$B$45,IF(AND(설정!$A$46&lt;&gt;"",ISNUMBER(SEARCH(설정!$A$46,K152))),설정!$B$46,IF(AND(설정!$A$47&lt;&gt;"",ISNUMBER(SEARCH(설정!$A$47,K152))),설정!$B$47,IF(AND(설정!$A$48&lt;&gt;"",ISNUMBER(SEARCH(설정!$A$48,K152))),설정!$B$48,IF(M152="","설계사","시공사"))))))))),"")</f>
        <v/>
      </c>
      <c r="V152">
        <f>SUBSTITUTE(SUBSTITUTE(SUBSTITUTE(SUBSTITUTE(G152,"(주)",""),"㈜",""),"주식회사","")," ","")</f>
        <v/>
      </c>
      <c r="W152">
        <f>IF(AND(T152,V152&lt;&gt;""),IF(COUNTIFS(V$2:V152,V152,T$2:T152,TRUE)=1,MAX(W$1:W151)+1,""),"")</f>
        <v/>
      </c>
      <c r="X152">
        <f>IFERROR(INDEX('1.산군_붙여넣기'!$A$1:$AZ$1001,ROW(),설정!$C$14)&amp;"","")</f>
        <v/>
      </c>
      <c r="Y152">
        <f>IFERROR(INDEX('1.산군_붙여넣기'!$A$1:$AZ$1001,ROW(),설정!$C$15)&amp;"","")</f>
        <v/>
      </c>
      <c r="Z152">
        <f>IF(T152,V152&amp;"|"&amp;U152,"")</f>
        <v/>
      </c>
    </row>
    <row r="153">
      <c r="A153">
        <f>ROW()</f>
        <v/>
      </c>
      <c r="B153">
        <f>IFERROR(INDEX('1.산군_붙여넣기'!$A$1:$AZ$1001,ROW(),설정!$C$4)&amp;"","")</f>
        <v/>
      </c>
      <c r="C153">
        <f>IFERROR(INDEX('1.산군_붙여넣기'!$A$1:$AZ$1001,ROW(),설정!$C$5)&amp;"","")</f>
        <v/>
      </c>
      <c r="D153" s="5">
        <f>IFERROR(VALUE(SUBSTITUTE(SUBSTITUTE(SUBSTITUTE(IFERROR(INDEX('1.산군_붙여넣기'!$A$1:$AZ$1001,ROW(),설정!$C$6)&amp;"",""),",",""),"㎡",""),"m2","")),"")</f>
        <v/>
      </c>
      <c r="E153">
        <f>IFERROR(INDEX('1.산군_붙여넣기'!$A$1:$AZ$1001,ROW(),설정!$C$7)&amp;"","")</f>
        <v/>
      </c>
      <c r="F153">
        <f>IFERROR(INDEX('1.산군_붙여넣기'!$A$1:$AZ$1001,ROW(),설정!$C$8)&amp;"","")</f>
        <v/>
      </c>
      <c r="G153">
        <f>IFERROR(INDEX('1.산군_붙여넣기'!$A$1:$AZ$1001,ROW(),설정!$C$9)&amp;"","")</f>
        <v/>
      </c>
      <c r="H153">
        <f>IFERROR(INDEX('1.산군_붙여넣기'!$A$1:$AZ$1001,ROW(),설정!$C$10)&amp;"","")</f>
        <v/>
      </c>
      <c r="I153">
        <f>IFERROR(INDEX('1.산군_붙여넣기'!$A$1:$AZ$1001,ROW(),설정!$C$11)&amp;"","")</f>
        <v/>
      </c>
      <c r="J153">
        <f>IFERROR(INDEX('1.산군_붙여넣기'!$A$1:$AZ$1001,ROW(),설정!$C$12)&amp;"","")</f>
        <v/>
      </c>
      <c r="K153">
        <f>IFERROR(INDEX('1.산군_붙여넣기'!$A$1:$AZ$1001,ROW(),설정!$C$13)&amp;"","")</f>
        <v/>
      </c>
      <c r="L153" s="6">
        <f>IF(X153="","",IF(AND(LEN(X153)=8,ISNUMBER(X153*1)),DATE(LEFT(X153,4),MID(X153,5,2),RIGHT(X153,2)),IFERROR(DATEVALUE(SUBSTITUTE(SUBSTITUTE(X153,".","-"),"/","-")),IFERROR(X153*1,""))))</f>
        <v/>
      </c>
      <c r="M153" s="6">
        <f>IF(Y153="","",IF(AND(LEN(Y153)=8,ISNUMBER(Y153*1)),DATE(LEFT(Y153,4),MID(Y153,5,2),RIGHT(Y153,2)),IFERROR(DATEVALUE(SUBSTITUTE(SUBSTITUTE(Y153,".","-"),"/","-")),IFERROR(Y153*1,""))))</f>
        <v/>
      </c>
      <c r="N153">
        <f>IFERROR(LEFT(B153,FIND(" ",B153)-1),B153)</f>
        <v/>
      </c>
      <c r="O153">
        <f>AND(B153&lt;&gt;"",B153&lt;&gt;설정!$B$4,C153&lt;&gt;설정!$B$5)</f>
        <v/>
      </c>
      <c r="P153">
        <f>IF(O153,B153&amp;"|"&amp;C153,"")</f>
        <v/>
      </c>
      <c r="Q153">
        <f>AND(O153,COUNTIF(P154:P$1002,P153)=0)</f>
        <v/>
      </c>
      <c r="R153">
        <f>OR(AND(설정!$A$28&lt;&gt;"",ISNUMBER(SEARCH(설정!$A$28,E153&amp;" "&amp;C153))),AND(설정!$A$29&lt;&gt;"",ISNUMBER(SEARCH(설정!$A$29,E153&amp;" "&amp;C153))),AND(설정!$A$30&lt;&gt;"",ISNUMBER(SEARCH(설정!$A$30,E153&amp;" "&amp;C153))),AND(설정!$A$31&lt;&gt;"",ISNUMBER(SEARCH(설정!$A$31,E153&amp;" "&amp;C153))),AND(설정!$A$32&lt;&gt;"",ISNUMBER(SEARCH(설정!$A$32,E153&amp;" "&amp;C153))),AND(설정!$A$33&lt;&gt;"",ISNUMBER(SEARCH(설정!$A$33,E153&amp;" "&amp;C153))),AND(설정!$A$34&lt;&gt;"",ISNUMBER(SEARCH(설정!$A$34,E153&amp;" "&amp;C153))),AND(설정!$A$35&lt;&gt;"",ISNUMBER(SEARCH(설정!$A$35,E153&amp;" "&amp;C153))),AND(설정!$A$36&lt;&gt;"",ISNUMBER(SEARCH(설정!$A$36,E153&amp;" "&amp;C153))),AND(설정!$A$37&lt;&gt;"",ISNUMBER(SEARCH(설정!$A$37,E153&amp;" "&amp;C153))))</f>
        <v/>
      </c>
      <c r="S153">
        <f>OR(D153="",D153&gt;=설정!$B$19)</f>
        <v/>
      </c>
      <c r="T153">
        <f>AND(Q153,R153,S153)</f>
        <v/>
      </c>
      <c r="U153">
        <f>IF(T153,IF(AND(설정!$A$41&lt;&gt;"",ISNUMBER(SEARCH(설정!$A$41,K153))),설정!$B$41,IF(AND(설정!$A$42&lt;&gt;"",ISNUMBER(SEARCH(설정!$A$42,K153))),설정!$B$42,IF(AND(설정!$A$43&lt;&gt;"",ISNUMBER(SEARCH(설정!$A$43,K153))),설정!$B$43,IF(AND(설정!$A$44&lt;&gt;"",ISNUMBER(SEARCH(설정!$A$44,K153))),설정!$B$44,IF(AND(설정!$A$45&lt;&gt;"",ISNUMBER(SEARCH(설정!$A$45,K153))),설정!$B$45,IF(AND(설정!$A$46&lt;&gt;"",ISNUMBER(SEARCH(설정!$A$46,K153))),설정!$B$46,IF(AND(설정!$A$47&lt;&gt;"",ISNUMBER(SEARCH(설정!$A$47,K153))),설정!$B$47,IF(AND(설정!$A$48&lt;&gt;"",ISNUMBER(SEARCH(설정!$A$48,K153))),설정!$B$48,IF(M153="","설계사","시공사"))))))))),"")</f>
        <v/>
      </c>
      <c r="V153">
        <f>SUBSTITUTE(SUBSTITUTE(SUBSTITUTE(SUBSTITUTE(G153,"(주)",""),"㈜",""),"주식회사","")," ","")</f>
        <v/>
      </c>
      <c r="W153">
        <f>IF(AND(T153,V153&lt;&gt;""),IF(COUNTIFS(V$2:V153,V153,T$2:T153,TRUE)=1,MAX(W$1:W152)+1,""),"")</f>
        <v/>
      </c>
      <c r="X153">
        <f>IFERROR(INDEX('1.산군_붙여넣기'!$A$1:$AZ$1001,ROW(),설정!$C$14)&amp;"","")</f>
        <v/>
      </c>
      <c r="Y153">
        <f>IFERROR(INDEX('1.산군_붙여넣기'!$A$1:$AZ$1001,ROW(),설정!$C$15)&amp;"","")</f>
        <v/>
      </c>
      <c r="Z153">
        <f>IF(T153,V153&amp;"|"&amp;U153,"")</f>
        <v/>
      </c>
    </row>
    <row r="154">
      <c r="A154">
        <f>ROW()</f>
        <v/>
      </c>
      <c r="B154">
        <f>IFERROR(INDEX('1.산군_붙여넣기'!$A$1:$AZ$1001,ROW(),설정!$C$4)&amp;"","")</f>
        <v/>
      </c>
      <c r="C154">
        <f>IFERROR(INDEX('1.산군_붙여넣기'!$A$1:$AZ$1001,ROW(),설정!$C$5)&amp;"","")</f>
        <v/>
      </c>
      <c r="D154" s="5">
        <f>IFERROR(VALUE(SUBSTITUTE(SUBSTITUTE(SUBSTITUTE(IFERROR(INDEX('1.산군_붙여넣기'!$A$1:$AZ$1001,ROW(),설정!$C$6)&amp;"",""),",",""),"㎡",""),"m2","")),"")</f>
        <v/>
      </c>
      <c r="E154">
        <f>IFERROR(INDEX('1.산군_붙여넣기'!$A$1:$AZ$1001,ROW(),설정!$C$7)&amp;"","")</f>
        <v/>
      </c>
      <c r="F154">
        <f>IFERROR(INDEX('1.산군_붙여넣기'!$A$1:$AZ$1001,ROW(),설정!$C$8)&amp;"","")</f>
        <v/>
      </c>
      <c r="G154">
        <f>IFERROR(INDEX('1.산군_붙여넣기'!$A$1:$AZ$1001,ROW(),설정!$C$9)&amp;"","")</f>
        <v/>
      </c>
      <c r="H154">
        <f>IFERROR(INDEX('1.산군_붙여넣기'!$A$1:$AZ$1001,ROW(),설정!$C$10)&amp;"","")</f>
        <v/>
      </c>
      <c r="I154">
        <f>IFERROR(INDEX('1.산군_붙여넣기'!$A$1:$AZ$1001,ROW(),설정!$C$11)&amp;"","")</f>
        <v/>
      </c>
      <c r="J154">
        <f>IFERROR(INDEX('1.산군_붙여넣기'!$A$1:$AZ$1001,ROW(),설정!$C$12)&amp;"","")</f>
        <v/>
      </c>
      <c r="K154">
        <f>IFERROR(INDEX('1.산군_붙여넣기'!$A$1:$AZ$1001,ROW(),설정!$C$13)&amp;"","")</f>
        <v/>
      </c>
      <c r="L154" s="6">
        <f>IF(X154="","",IF(AND(LEN(X154)=8,ISNUMBER(X154*1)),DATE(LEFT(X154,4),MID(X154,5,2),RIGHT(X154,2)),IFERROR(DATEVALUE(SUBSTITUTE(SUBSTITUTE(X154,".","-"),"/","-")),IFERROR(X154*1,""))))</f>
        <v/>
      </c>
      <c r="M154" s="6">
        <f>IF(Y154="","",IF(AND(LEN(Y154)=8,ISNUMBER(Y154*1)),DATE(LEFT(Y154,4),MID(Y154,5,2),RIGHT(Y154,2)),IFERROR(DATEVALUE(SUBSTITUTE(SUBSTITUTE(Y154,".","-"),"/","-")),IFERROR(Y154*1,""))))</f>
        <v/>
      </c>
      <c r="N154">
        <f>IFERROR(LEFT(B154,FIND(" ",B154)-1),B154)</f>
        <v/>
      </c>
      <c r="O154">
        <f>AND(B154&lt;&gt;"",B154&lt;&gt;설정!$B$4,C154&lt;&gt;설정!$B$5)</f>
        <v/>
      </c>
      <c r="P154">
        <f>IF(O154,B154&amp;"|"&amp;C154,"")</f>
        <v/>
      </c>
      <c r="Q154">
        <f>AND(O154,COUNTIF(P155:P$1002,P154)=0)</f>
        <v/>
      </c>
      <c r="R154">
        <f>OR(AND(설정!$A$28&lt;&gt;"",ISNUMBER(SEARCH(설정!$A$28,E154&amp;" "&amp;C154))),AND(설정!$A$29&lt;&gt;"",ISNUMBER(SEARCH(설정!$A$29,E154&amp;" "&amp;C154))),AND(설정!$A$30&lt;&gt;"",ISNUMBER(SEARCH(설정!$A$30,E154&amp;" "&amp;C154))),AND(설정!$A$31&lt;&gt;"",ISNUMBER(SEARCH(설정!$A$31,E154&amp;" "&amp;C154))),AND(설정!$A$32&lt;&gt;"",ISNUMBER(SEARCH(설정!$A$32,E154&amp;" "&amp;C154))),AND(설정!$A$33&lt;&gt;"",ISNUMBER(SEARCH(설정!$A$33,E154&amp;" "&amp;C154))),AND(설정!$A$34&lt;&gt;"",ISNUMBER(SEARCH(설정!$A$34,E154&amp;" "&amp;C154))),AND(설정!$A$35&lt;&gt;"",ISNUMBER(SEARCH(설정!$A$35,E154&amp;" "&amp;C154))),AND(설정!$A$36&lt;&gt;"",ISNUMBER(SEARCH(설정!$A$36,E154&amp;" "&amp;C154))),AND(설정!$A$37&lt;&gt;"",ISNUMBER(SEARCH(설정!$A$37,E154&amp;" "&amp;C154))))</f>
        <v/>
      </c>
      <c r="S154">
        <f>OR(D154="",D154&gt;=설정!$B$19)</f>
        <v/>
      </c>
      <c r="T154">
        <f>AND(Q154,R154,S154)</f>
        <v/>
      </c>
      <c r="U154">
        <f>IF(T154,IF(AND(설정!$A$41&lt;&gt;"",ISNUMBER(SEARCH(설정!$A$41,K154))),설정!$B$41,IF(AND(설정!$A$42&lt;&gt;"",ISNUMBER(SEARCH(설정!$A$42,K154))),설정!$B$42,IF(AND(설정!$A$43&lt;&gt;"",ISNUMBER(SEARCH(설정!$A$43,K154))),설정!$B$43,IF(AND(설정!$A$44&lt;&gt;"",ISNUMBER(SEARCH(설정!$A$44,K154))),설정!$B$44,IF(AND(설정!$A$45&lt;&gt;"",ISNUMBER(SEARCH(설정!$A$45,K154))),설정!$B$45,IF(AND(설정!$A$46&lt;&gt;"",ISNUMBER(SEARCH(설정!$A$46,K154))),설정!$B$46,IF(AND(설정!$A$47&lt;&gt;"",ISNUMBER(SEARCH(설정!$A$47,K154))),설정!$B$47,IF(AND(설정!$A$48&lt;&gt;"",ISNUMBER(SEARCH(설정!$A$48,K154))),설정!$B$48,IF(M154="","설계사","시공사"))))))))),"")</f>
        <v/>
      </c>
      <c r="V154">
        <f>SUBSTITUTE(SUBSTITUTE(SUBSTITUTE(SUBSTITUTE(G154,"(주)",""),"㈜",""),"주식회사","")," ","")</f>
        <v/>
      </c>
      <c r="W154">
        <f>IF(AND(T154,V154&lt;&gt;""),IF(COUNTIFS(V$2:V154,V154,T$2:T154,TRUE)=1,MAX(W$1:W153)+1,""),"")</f>
        <v/>
      </c>
      <c r="X154">
        <f>IFERROR(INDEX('1.산군_붙여넣기'!$A$1:$AZ$1001,ROW(),설정!$C$14)&amp;"","")</f>
        <v/>
      </c>
      <c r="Y154">
        <f>IFERROR(INDEX('1.산군_붙여넣기'!$A$1:$AZ$1001,ROW(),설정!$C$15)&amp;"","")</f>
        <v/>
      </c>
      <c r="Z154">
        <f>IF(T154,V154&amp;"|"&amp;U154,"")</f>
        <v/>
      </c>
    </row>
    <row r="155">
      <c r="A155">
        <f>ROW()</f>
        <v/>
      </c>
      <c r="B155">
        <f>IFERROR(INDEX('1.산군_붙여넣기'!$A$1:$AZ$1001,ROW(),설정!$C$4)&amp;"","")</f>
        <v/>
      </c>
      <c r="C155">
        <f>IFERROR(INDEX('1.산군_붙여넣기'!$A$1:$AZ$1001,ROW(),설정!$C$5)&amp;"","")</f>
        <v/>
      </c>
      <c r="D155" s="5">
        <f>IFERROR(VALUE(SUBSTITUTE(SUBSTITUTE(SUBSTITUTE(IFERROR(INDEX('1.산군_붙여넣기'!$A$1:$AZ$1001,ROW(),설정!$C$6)&amp;"",""),",",""),"㎡",""),"m2","")),"")</f>
        <v/>
      </c>
      <c r="E155">
        <f>IFERROR(INDEX('1.산군_붙여넣기'!$A$1:$AZ$1001,ROW(),설정!$C$7)&amp;"","")</f>
        <v/>
      </c>
      <c r="F155">
        <f>IFERROR(INDEX('1.산군_붙여넣기'!$A$1:$AZ$1001,ROW(),설정!$C$8)&amp;"","")</f>
        <v/>
      </c>
      <c r="G155">
        <f>IFERROR(INDEX('1.산군_붙여넣기'!$A$1:$AZ$1001,ROW(),설정!$C$9)&amp;"","")</f>
        <v/>
      </c>
      <c r="H155">
        <f>IFERROR(INDEX('1.산군_붙여넣기'!$A$1:$AZ$1001,ROW(),설정!$C$10)&amp;"","")</f>
        <v/>
      </c>
      <c r="I155">
        <f>IFERROR(INDEX('1.산군_붙여넣기'!$A$1:$AZ$1001,ROW(),설정!$C$11)&amp;"","")</f>
        <v/>
      </c>
      <c r="J155">
        <f>IFERROR(INDEX('1.산군_붙여넣기'!$A$1:$AZ$1001,ROW(),설정!$C$12)&amp;"","")</f>
        <v/>
      </c>
      <c r="K155">
        <f>IFERROR(INDEX('1.산군_붙여넣기'!$A$1:$AZ$1001,ROW(),설정!$C$13)&amp;"","")</f>
        <v/>
      </c>
      <c r="L155" s="6">
        <f>IF(X155="","",IF(AND(LEN(X155)=8,ISNUMBER(X155*1)),DATE(LEFT(X155,4),MID(X155,5,2),RIGHT(X155,2)),IFERROR(DATEVALUE(SUBSTITUTE(SUBSTITUTE(X155,".","-"),"/","-")),IFERROR(X155*1,""))))</f>
        <v/>
      </c>
      <c r="M155" s="6">
        <f>IF(Y155="","",IF(AND(LEN(Y155)=8,ISNUMBER(Y155*1)),DATE(LEFT(Y155,4),MID(Y155,5,2),RIGHT(Y155,2)),IFERROR(DATEVALUE(SUBSTITUTE(SUBSTITUTE(Y155,".","-"),"/","-")),IFERROR(Y155*1,""))))</f>
        <v/>
      </c>
      <c r="N155">
        <f>IFERROR(LEFT(B155,FIND(" ",B155)-1),B155)</f>
        <v/>
      </c>
      <c r="O155">
        <f>AND(B155&lt;&gt;"",B155&lt;&gt;설정!$B$4,C155&lt;&gt;설정!$B$5)</f>
        <v/>
      </c>
      <c r="P155">
        <f>IF(O155,B155&amp;"|"&amp;C155,"")</f>
        <v/>
      </c>
      <c r="Q155">
        <f>AND(O155,COUNTIF(P156:P$1002,P155)=0)</f>
        <v/>
      </c>
      <c r="R155">
        <f>OR(AND(설정!$A$28&lt;&gt;"",ISNUMBER(SEARCH(설정!$A$28,E155&amp;" "&amp;C155))),AND(설정!$A$29&lt;&gt;"",ISNUMBER(SEARCH(설정!$A$29,E155&amp;" "&amp;C155))),AND(설정!$A$30&lt;&gt;"",ISNUMBER(SEARCH(설정!$A$30,E155&amp;" "&amp;C155))),AND(설정!$A$31&lt;&gt;"",ISNUMBER(SEARCH(설정!$A$31,E155&amp;" "&amp;C155))),AND(설정!$A$32&lt;&gt;"",ISNUMBER(SEARCH(설정!$A$32,E155&amp;" "&amp;C155))),AND(설정!$A$33&lt;&gt;"",ISNUMBER(SEARCH(설정!$A$33,E155&amp;" "&amp;C155))),AND(설정!$A$34&lt;&gt;"",ISNUMBER(SEARCH(설정!$A$34,E155&amp;" "&amp;C155))),AND(설정!$A$35&lt;&gt;"",ISNUMBER(SEARCH(설정!$A$35,E155&amp;" "&amp;C155))),AND(설정!$A$36&lt;&gt;"",ISNUMBER(SEARCH(설정!$A$36,E155&amp;" "&amp;C155))),AND(설정!$A$37&lt;&gt;"",ISNUMBER(SEARCH(설정!$A$37,E155&amp;" "&amp;C155))))</f>
        <v/>
      </c>
      <c r="S155">
        <f>OR(D155="",D155&gt;=설정!$B$19)</f>
        <v/>
      </c>
      <c r="T155">
        <f>AND(Q155,R155,S155)</f>
        <v/>
      </c>
      <c r="U155">
        <f>IF(T155,IF(AND(설정!$A$41&lt;&gt;"",ISNUMBER(SEARCH(설정!$A$41,K155))),설정!$B$41,IF(AND(설정!$A$42&lt;&gt;"",ISNUMBER(SEARCH(설정!$A$42,K155))),설정!$B$42,IF(AND(설정!$A$43&lt;&gt;"",ISNUMBER(SEARCH(설정!$A$43,K155))),설정!$B$43,IF(AND(설정!$A$44&lt;&gt;"",ISNUMBER(SEARCH(설정!$A$44,K155))),설정!$B$44,IF(AND(설정!$A$45&lt;&gt;"",ISNUMBER(SEARCH(설정!$A$45,K155))),설정!$B$45,IF(AND(설정!$A$46&lt;&gt;"",ISNUMBER(SEARCH(설정!$A$46,K155))),설정!$B$46,IF(AND(설정!$A$47&lt;&gt;"",ISNUMBER(SEARCH(설정!$A$47,K155))),설정!$B$47,IF(AND(설정!$A$48&lt;&gt;"",ISNUMBER(SEARCH(설정!$A$48,K155))),설정!$B$48,IF(M155="","설계사","시공사"))))))))),"")</f>
        <v/>
      </c>
      <c r="V155">
        <f>SUBSTITUTE(SUBSTITUTE(SUBSTITUTE(SUBSTITUTE(G155,"(주)",""),"㈜",""),"주식회사","")," ","")</f>
        <v/>
      </c>
      <c r="W155">
        <f>IF(AND(T155,V155&lt;&gt;""),IF(COUNTIFS(V$2:V155,V155,T$2:T155,TRUE)=1,MAX(W$1:W154)+1,""),"")</f>
        <v/>
      </c>
      <c r="X155">
        <f>IFERROR(INDEX('1.산군_붙여넣기'!$A$1:$AZ$1001,ROW(),설정!$C$14)&amp;"","")</f>
        <v/>
      </c>
      <c r="Y155">
        <f>IFERROR(INDEX('1.산군_붙여넣기'!$A$1:$AZ$1001,ROW(),설정!$C$15)&amp;"","")</f>
        <v/>
      </c>
      <c r="Z155">
        <f>IF(T155,V155&amp;"|"&amp;U155,"")</f>
        <v/>
      </c>
    </row>
    <row r="156">
      <c r="A156">
        <f>ROW()</f>
        <v/>
      </c>
      <c r="B156">
        <f>IFERROR(INDEX('1.산군_붙여넣기'!$A$1:$AZ$1001,ROW(),설정!$C$4)&amp;"","")</f>
        <v/>
      </c>
      <c r="C156">
        <f>IFERROR(INDEX('1.산군_붙여넣기'!$A$1:$AZ$1001,ROW(),설정!$C$5)&amp;"","")</f>
        <v/>
      </c>
      <c r="D156" s="5">
        <f>IFERROR(VALUE(SUBSTITUTE(SUBSTITUTE(SUBSTITUTE(IFERROR(INDEX('1.산군_붙여넣기'!$A$1:$AZ$1001,ROW(),설정!$C$6)&amp;"",""),",",""),"㎡",""),"m2","")),"")</f>
        <v/>
      </c>
      <c r="E156">
        <f>IFERROR(INDEX('1.산군_붙여넣기'!$A$1:$AZ$1001,ROW(),설정!$C$7)&amp;"","")</f>
        <v/>
      </c>
      <c r="F156">
        <f>IFERROR(INDEX('1.산군_붙여넣기'!$A$1:$AZ$1001,ROW(),설정!$C$8)&amp;"","")</f>
        <v/>
      </c>
      <c r="G156">
        <f>IFERROR(INDEX('1.산군_붙여넣기'!$A$1:$AZ$1001,ROW(),설정!$C$9)&amp;"","")</f>
        <v/>
      </c>
      <c r="H156">
        <f>IFERROR(INDEX('1.산군_붙여넣기'!$A$1:$AZ$1001,ROW(),설정!$C$10)&amp;"","")</f>
        <v/>
      </c>
      <c r="I156">
        <f>IFERROR(INDEX('1.산군_붙여넣기'!$A$1:$AZ$1001,ROW(),설정!$C$11)&amp;"","")</f>
        <v/>
      </c>
      <c r="J156">
        <f>IFERROR(INDEX('1.산군_붙여넣기'!$A$1:$AZ$1001,ROW(),설정!$C$12)&amp;"","")</f>
        <v/>
      </c>
      <c r="K156">
        <f>IFERROR(INDEX('1.산군_붙여넣기'!$A$1:$AZ$1001,ROW(),설정!$C$13)&amp;"","")</f>
        <v/>
      </c>
      <c r="L156" s="6">
        <f>IF(X156="","",IF(AND(LEN(X156)=8,ISNUMBER(X156*1)),DATE(LEFT(X156,4),MID(X156,5,2),RIGHT(X156,2)),IFERROR(DATEVALUE(SUBSTITUTE(SUBSTITUTE(X156,".","-"),"/","-")),IFERROR(X156*1,""))))</f>
        <v/>
      </c>
      <c r="M156" s="6">
        <f>IF(Y156="","",IF(AND(LEN(Y156)=8,ISNUMBER(Y156*1)),DATE(LEFT(Y156,4),MID(Y156,5,2),RIGHT(Y156,2)),IFERROR(DATEVALUE(SUBSTITUTE(SUBSTITUTE(Y156,".","-"),"/","-")),IFERROR(Y156*1,""))))</f>
        <v/>
      </c>
      <c r="N156">
        <f>IFERROR(LEFT(B156,FIND(" ",B156)-1),B156)</f>
        <v/>
      </c>
      <c r="O156">
        <f>AND(B156&lt;&gt;"",B156&lt;&gt;설정!$B$4,C156&lt;&gt;설정!$B$5)</f>
        <v/>
      </c>
      <c r="P156">
        <f>IF(O156,B156&amp;"|"&amp;C156,"")</f>
        <v/>
      </c>
      <c r="Q156">
        <f>AND(O156,COUNTIF(P157:P$1002,P156)=0)</f>
        <v/>
      </c>
      <c r="R156">
        <f>OR(AND(설정!$A$28&lt;&gt;"",ISNUMBER(SEARCH(설정!$A$28,E156&amp;" "&amp;C156))),AND(설정!$A$29&lt;&gt;"",ISNUMBER(SEARCH(설정!$A$29,E156&amp;" "&amp;C156))),AND(설정!$A$30&lt;&gt;"",ISNUMBER(SEARCH(설정!$A$30,E156&amp;" "&amp;C156))),AND(설정!$A$31&lt;&gt;"",ISNUMBER(SEARCH(설정!$A$31,E156&amp;" "&amp;C156))),AND(설정!$A$32&lt;&gt;"",ISNUMBER(SEARCH(설정!$A$32,E156&amp;" "&amp;C156))),AND(설정!$A$33&lt;&gt;"",ISNUMBER(SEARCH(설정!$A$33,E156&amp;" "&amp;C156))),AND(설정!$A$34&lt;&gt;"",ISNUMBER(SEARCH(설정!$A$34,E156&amp;" "&amp;C156))),AND(설정!$A$35&lt;&gt;"",ISNUMBER(SEARCH(설정!$A$35,E156&amp;" "&amp;C156))),AND(설정!$A$36&lt;&gt;"",ISNUMBER(SEARCH(설정!$A$36,E156&amp;" "&amp;C156))),AND(설정!$A$37&lt;&gt;"",ISNUMBER(SEARCH(설정!$A$37,E156&amp;" "&amp;C156))))</f>
        <v/>
      </c>
      <c r="S156">
        <f>OR(D156="",D156&gt;=설정!$B$19)</f>
        <v/>
      </c>
      <c r="T156">
        <f>AND(Q156,R156,S156)</f>
        <v/>
      </c>
      <c r="U156">
        <f>IF(T156,IF(AND(설정!$A$41&lt;&gt;"",ISNUMBER(SEARCH(설정!$A$41,K156))),설정!$B$41,IF(AND(설정!$A$42&lt;&gt;"",ISNUMBER(SEARCH(설정!$A$42,K156))),설정!$B$42,IF(AND(설정!$A$43&lt;&gt;"",ISNUMBER(SEARCH(설정!$A$43,K156))),설정!$B$43,IF(AND(설정!$A$44&lt;&gt;"",ISNUMBER(SEARCH(설정!$A$44,K156))),설정!$B$44,IF(AND(설정!$A$45&lt;&gt;"",ISNUMBER(SEARCH(설정!$A$45,K156))),설정!$B$45,IF(AND(설정!$A$46&lt;&gt;"",ISNUMBER(SEARCH(설정!$A$46,K156))),설정!$B$46,IF(AND(설정!$A$47&lt;&gt;"",ISNUMBER(SEARCH(설정!$A$47,K156))),설정!$B$47,IF(AND(설정!$A$48&lt;&gt;"",ISNUMBER(SEARCH(설정!$A$48,K156))),설정!$B$48,IF(M156="","설계사","시공사"))))))))),"")</f>
        <v/>
      </c>
      <c r="V156">
        <f>SUBSTITUTE(SUBSTITUTE(SUBSTITUTE(SUBSTITUTE(G156,"(주)",""),"㈜",""),"주식회사","")," ","")</f>
        <v/>
      </c>
      <c r="W156">
        <f>IF(AND(T156,V156&lt;&gt;""),IF(COUNTIFS(V$2:V156,V156,T$2:T156,TRUE)=1,MAX(W$1:W155)+1,""),"")</f>
        <v/>
      </c>
      <c r="X156">
        <f>IFERROR(INDEX('1.산군_붙여넣기'!$A$1:$AZ$1001,ROW(),설정!$C$14)&amp;"","")</f>
        <v/>
      </c>
      <c r="Y156">
        <f>IFERROR(INDEX('1.산군_붙여넣기'!$A$1:$AZ$1001,ROW(),설정!$C$15)&amp;"","")</f>
        <v/>
      </c>
      <c r="Z156">
        <f>IF(T156,V156&amp;"|"&amp;U156,"")</f>
        <v/>
      </c>
    </row>
    <row r="157">
      <c r="A157">
        <f>ROW()</f>
        <v/>
      </c>
      <c r="B157">
        <f>IFERROR(INDEX('1.산군_붙여넣기'!$A$1:$AZ$1001,ROW(),설정!$C$4)&amp;"","")</f>
        <v/>
      </c>
      <c r="C157">
        <f>IFERROR(INDEX('1.산군_붙여넣기'!$A$1:$AZ$1001,ROW(),설정!$C$5)&amp;"","")</f>
        <v/>
      </c>
      <c r="D157" s="5">
        <f>IFERROR(VALUE(SUBSTITUTE(SUBSTITUTE(SUBSTITUTE(IFERROR(INDEX('1.산군_붙여넣기'!$A$1:$AZ$1001,ROW(),설정!$C$6)&amp;"",""),",",""),"㎡",""),"m2","")),"")</f>
        <v/>
      </c>
      <c r="E157">
        <f>IFERROR(INDEX('1.산군_붙여넣기'!$A$1:$AZ$1001,ROW(),설정!$C$7)&amp;"","")</f>
        <v/>
      </c>
      <c r="F157">
        <f>IFERROR(INDEX('1.산군_붙여넣기'!$A$1:$AZ$1001,ROW(),설정!$C$8)&amp;"","")</f>
        <v/>
      </c>
      <c r="G157">
        <f>IFERROR(INDEX('1.산군_붙여넣기'!$A$1:$AZ$1001,ROW(),설정!$C$9)&amp;"","")</f>
        <v/>
      </c>
      <c r="H157">
        <f>IFERROR(INDEX('1.산군_붙여넣기'!$A$1:$AZ$1001,ROW(),설정!$C$10)&amp;"","")</f>
        <v/>
      </c>
      <c r="I157">
        <f>IFERROR(INDEX('1.산군_붙여넣기'!$A$1:$AZ$1001,ROW(),설정!$C$11)&amp;"","")</f>
        <v/>
      </c>
      <c r="J157">
        <f>IFERROR(INDEX('1.산군_붙여넣기'!$A$1:$AZ$1001,ROW(),설정!$C$12)&amp;"","")</f>
        <v/>
      </c>
      <c r="K157">
        <f>IFERROR(INDEX('1.산군_붙여넣기'!$A$1:$AZ$1001,ROW(),설정!$C$13)&amp;"","")</f>
        <v/>
      </c>
      <c r="L157" s="6">
        <f>IF(X157="","",IF(AND(LEN(X157)=8,ISNUMBER(X157*1)),DATE(LEFT(X157,4),MID(X157,5,2),RIGHT(X157,2)),IFERROR(DATEVALUE(SUBSTITUTE(SUBSTITUTE(X157,".","-"),"/","-")),IFERROR(X157*1,""))))</f>
        <v/>
      </c>
      <c r="M157" s="6">
        <f>IF(Y157="","",IF(AND(LEN(Y157)=8,ISNUMBER(Y157*1)),DATE(LEFT(Y157,4),MID(Y157,5,2),RIGHT(Y157,2)),IFERROR(DATEVALUE(SUBSTITUTE(SUBSTITUTE(Y157,".","-"),"/","-")),IFERROR(Y157*1,""))))</f>
        <v/>
      </c>
      <c r="N157">
        <f>IFERROR(LEFT(B157,FIND(" ",B157)-1),B157)</f>
        <v/>
      </c>
      <c r="O157">
        <f>AND(B157&lt;&gt;"",B157&lt;&gt;설정!$B$4,C157&lt;&gt;설정!$B$5)</f>
        <v/>
      </c>
      <c r="P157">
        <f>IF(O157,B157&amp;"|"&amp;C157,"")</f>
        <v/>
      </c>
      <c r="Q157">
        <f>AND(O157,COUNTIF(P158:P$1002,P157)=0)</f>
        <v/>
      </c>
      <c r="R157">
        <f>OR(AND(설정!$A$28&lt;&gt;"",ISNUMBER(SEARCH(설정!$A$28,E157&amp;" "&amp;C157))),AND(설정!$A$29&lt;&gt;"",ISNUMBER(SEARCH(설정!$A$29,E157&amp;" "&amp;C157))),AND(설정!$A$30&lt;&gt;"",ISNUMBER(SEARCH(설정!$A$30,E157&amp;" "&amp;C157))),AND(설정!$A$31&lt;&gt;"",ISNUMBER(SEARCH(설정!$A$31,E157&amp;" "&amp;C157))),AND(설정!$A$32&lt;&gt;"",ISNUMBER(SEARCH(설정!$A$32,E157&amp;" "&amp;C157))),AND(설정!$A$33&lt;&gt;"",ISNUMBER(SEARCH(설정!$A$33,E157&amp;" "&amp;C157))),AND(설정!$A$34&lt;&gt;"",ISNUMBER(SEARCH(설정!$A$34,E157&amp;" "&amp;C157))),AND(설정!$A$35&lt;&gt;"",ISNUMBER(SEARCH(설정!$A$35,E157&amp;" "&amp;C157))),AND(설정!$A$36&lt;&gt;"",ISNUMBER(SEARCH(설정!$A$36,E157&amp;" "&amp;C157))),AND(설정!$A$37&lt;&gt;"",ISNUMBER(SEARCH(설정!$A$37,E157&amp;" "&amp;C157))))</f>
        <v/>
      </c>
      <c r="S157">
        <f>OR(D157="",D157&gt;=설정!$B$19)</f>
        <v/>
      </c>
      <c r="T157">
        <f>AND(Q157,R157,S157)</f>
        <v/>
      </c>
      <c r="U157">
        <f>IF(T157,IF(AND(설정!$A$41&lt;&gt;"",ISNUMBER(SEARCH(설정!$A$41,K157))),설정!$B$41,IF(AND(설정!$A$42&lt;&gt;"",ISNUMBER(SEARCH(설정!$A$42,K157))),설정!$B$42,IF(AND(설정!$A$43&lt;&gt;"",ISNUMBER(SEARCH(설정!$A$43,K157))),설정!$B$43,IF(AND(설정!$A$44&lt;&gt;"",ISNUMBER(SEARCH(설정!$A$44,K157))),설정!$B$44,IF(AND(설정!$A$45&lt;&gt;"",ISNUMBER(SEARCH(설정!$A$45,K157))),설정!$B$45,IF(AND(설정!$A$46&lt;&gt;"",ISNUMBER(SEARCH(설정!$A$46,K157))),설정!$B$46,IF(AND(설정!$A$47&lt;&gt;"",ISNUMBER(SEARCH(설정!$A$47,K157))),설정!$B$47,IF(AND(설정!$A$48&lt;&gt;"",ISNUMBER(SEARCH(설정!$A$48,K157))),설정!$B$48,IF(M157="","설계사","시공사"))))))))),"")</f>
        <v/>
      </c>
      <c r="V157">
        <f>SUBSTITUTE(SUBSTITUTE(SUBSTITUTE(SUBSTITUTE(G157,"(주)",""),"㈜",""),"주식회사","")," ","")</f>
        <v/>
      </c>
      <c r="W157">
        <f>IF(AND(T157,V157&lt;&gt;""),IF(COUNTIFS(V$2:V157,V157,T$2:T157,TRUE)=1,MAX(W$1:W156)+1,""),"")</f>
        <v/>
      </c>
      <c r="X157">
        <f>IFERROR(INDEX('1.산군_붙여넣기'!$A$1:$AZ$1001,ROW(),설정!$C$14)&amp;"","")</f>
        <v/>
      </c>
      <c r="Y157">
        <f>IFERROR(INDEX('1.산군_붙여넣기'!$A$1:$AZ$1001,ROW(),설정!$C$15)&amp;"","")</f>
        <v/>
      </c>
      <c r="Z157">
        <f>IF(T157,V157&amp;"|"&amp;U157,"")</f>
        <v/>
      </c>
    </row>
    <row r="158">
      <c r="A158">
        <f>ROW()</f>
        <v/>
      </c>
      <c r="B158">
        <f>IFERROR(INDEX('1.산군_붙여넣기'!$A$1:$AZ$1001,ROW(),설정!$C$4)&amp;"","")</f>
        <v/>
      </c>
      <c r="C158">
        <f>IFERROR(INDEX('1.산군_붙여넣기'!$A$1:$AZ$1001,ROW(),설정!$C$5)&amp;"","")</f>
        <v/>
      </c>
      <c r="D158" s="5">
        <f>IFERROR(VALUE(SUBSTITUTE(SUBSTITUTE(SUBSTITUTE(IFERROR(INDEX('1.산군_붙여넣기'!$A$1:$AZ$1001,ROW(),설정!$C$6)&amp;"",""),",",""),"㎡",""),"m2","")),"")</f>
        <v/>
      </c>
      <c r="E158">
        <f>IFERROR(INDEX('1.산군_붙여넣기'!$A$1:$AZ$1001,ROW(),설정!$C$7)&amp;"","")</f>
        <v/>
      </c>
      <c r="F158">
        <f>IFERROR(INDEX('1.산군_붙여넣기'!$A$1:$AZ$1001,ROW(),설정!$C$8)&amp;"","")</f>
        <v/>
      </c>
      <c r="G158">
        <f>IFERROR(INDEX('1.산군_붙여넣기'!$A$1:$AZ$1001,ROW(),설정!$C$9)&amp;"","")</f>
        <v/>
      </c>
      <c r="H158">
        <f>IFERROR(INDEX('1.산군_붙여넣기'!$A$1:$AZ$1001,ROW(),설정!$C$10)&amp;"","")</f>
        <v/>
      </c>
      <c r="I158">
        <f>IFERROR(INDEX('1.산군_붙여넣기'!$A$1:$AZ$1001,ROW(),설정!$C$11)&amp;"","")</f>
        <v/>
      </c>
      <c r="J158">
        <f>IFERROR(INDEX('1.산군_붙여넣기'!$A$1:$AZ$1001,ROW(),설정!$C$12)&amp;"","")</f>
        <v/>
      </c>
      <c r="K158">
        <f>IFERROR(INDEX('1.산군_붙여넣기'!$A$1:$AZ$1001,ROW(),설정!$C$13)&amp;"","")</f>
        <v/>
      </c>
      <c r="L158" s="6">
        <f>IF(X158="","",IF(AND(LEN(X158)=8,ISNUMBER(X158*1)),DATE(LEFT(X158,4),MID(X158,5,2),RIGHT(X158,2)),IFERROR(DATEVALUE(SUBSTITUTE(SUBSTITUTE(X158,".","-"),"/","-")),IFERROR(X158*1,""))))</f>
        <v/>
      </c>
      <c r="M158" s="6">
        <f>IF(Y158="","",IF(AND(LEN(Y158)=8,ISNUMBER(Y158*1)),DATE(LEFT(Y158,4),MID(Y158,5,2),RIGHT(Y158,2)),IFERROR(DATEVALUE(SUBSTITUTE(SUBSTITUTE(Y158,".","-"),"/","-")),IFERROR(Y158*1,""))))</f>
        <v/>
      </c>
      <c r="N158">
        <f>IFERROR(LEFT(B158,FIND(" ",B158)-1),B158)</f>
        <v/>
      </c>
      <c r="O158">
        <f>AND(B158&lt;&gt;"",B158&lt;&gt;설정!$B$4,C158&lt;&gt;설정!$B$5)</f>
        <v/>
      </c>
      <c r="P158">
        <f>IF(O158,B158&amp;"|"&amp;C158,"")</f>
        <v/>
      </c>
      <c r="Q158">
        <f>AND(O158,COUNTIF(P159:P$1002,P158)=0)</f>
        <v/>
      </c>
      <c r="R158">
        <f>OR(AND(설정!$A$28&lt;&gt;"",ISNUMBER(SEARCH(설정!$A$28,E158&amp;" "&amp;C158))),AND(설정!$A$29&lt;&gt;"",ISNUMBER(SEARCH(설정!$A$29,E158&amp;" "&amp;C158))),AND(설정!$A$30&lt;&gt;"",ISNUMBER(SEARCH(설정!$A$30,E158&amp;" "&amp;C158))),AND(설정!$A$31&lt;&gt;"",ISNUMBER(SEARCH(설정!$A$31,E158&amp;" "&amp;C158))),AND(설정!$A$32&lt;&gt;"",ISNUMBER(SEARCH(설정!$A$32,E158&amp;" "&amp;C158))),AND(설정!$A$33&lt;&gt;"",ISNUMBER(SEARCH(설정!$A$33,E158&amp;" "&amp;C158))),AND(설정!$A$34&lt;&gt;"",ISNUMBER(SEARCH(설정!$A$34,E158&amp;" "&amp;C158))),AND(설정!$A$35&lt;&gt;"",ISNUMBER(SEARCH(설정!$A$35,E158&amp;" "&amp;C158))),AND(설정!$A$36&lt;&gt;"",ISNUMBER(SEARCH(설정!$A$36,E158&amp;" "&amp;C158))),AND(설정!$A$37&lt;&gt;"",ISNUMBER(SEARCH(설정!$A$37,E158&amp;" "&amp;C158))))</f>
        <v/>
      </c>
      <c r="S158">
        <f>OR(D158="",D158&gt;=설정!$B$19)</f>
        <v/>
      </c>
      <c r="T158">
        <f>AND(Q158,R158,S158)</f>
        <v/>
      </c>
      <c r="U158">
        <f>IF(T158,IF(AND(설정!$A$41&lt;&gt;"",ISNUMBER(SEARCH(설정!$A$41,K158))),설정!$B$41,IF(AND(설정!$A$42&lt;&gt;"",ISNUMBER(SEARCH(설정!$A$42,K158))),설정!$B$42,IF(AND(설정!$A$43&lt;&gt;"",ISNUMBER(SEARCH(설정!$A$43,K158))),설정!$B$43,IF(AND(설정!$A$44&lt;&gt;"",ISNUMBER(SEARCH(설정!$A$44,K158))),설정!$B$44,IF(AND(설정!$A$45&lt;&gt;"",ISNUMBER(SEARCH(설정!$A$45,K158))),설정!$B$45,IF(AND(설정!$A$46&lt;&gt;"",ISNUMBER(SEARCH(설정!$A$46,K158))),설정!$B$46,IF(AND(설정!$A$47&lt;&gt;"",ISNUMBER(SEARCH(설정!$A$47,K158))),설정!$B$47,IF(AND(설정!$A$48&lt;&gt;"",ISNUMBER(SEARCH(설정!$A$48,K158))),설정!$B$48,IF(M158="","설계사","시공사"))))))))),"")</f>
        <v/>
      </c>
      <c r="V158">
        <f>SUBSTITUTE(SUBSTITUTE(SUBSTITUTE(SUBSTITUTE(G158,"(주)",""),"㈜",""),"주식회사","")," ","")</f>
        <v/>
      </c>
      <c r="W158">
        <f>IF(AND(T158,V158&lt;&gt;""),IF(COUNTIFS(V$2:V158,V158,T$2:T158,TRUE)=1,MAX(W$1:W157)+1,""),"")</f>
        <v/>
      </c>
      <c r="X158">
        <f>IFERROR(INDEX('1.산군_붙여넣기'!$A$1:$AZ$1001,ROW(),설정!$C$14)&amp;"","")</f>
        <v/>
      </c>
      <c r="Y158">
        <f>IFERROR(INDEX('1.산군_붙여넣기'!$A$1:$AZ$1001,ROW(),설정!$C$15)&amp;"","")</f>
        <v/>
      </c>
      <c r="Z158">
        <f>IF(T158,V158&amp;"|"&amp;U158,"")</f>
        <v/>
      </c>
    </row>
    <row r="159">
      <c r="A159">
        <f>ROW()</f>
        <v/>
      </c>
      <c r="B159">
        <f>IFERROR(INDEX('1.산군_붙여넣기'!$A$1:$AZ$1001,ROW(),설정!$C$4)&amp;"","")</f>
        <v/>
      </c>
      <c r="C159">
        <f>IFERROR(INDEX('1.산군_붙여넣기'!$A$1:$AZ$1001,ROW(),설정!$C$5)&amp;"","")</f>
        <v/>
      </c>
      <c r="D159" s="5">
        <f>IFERROR(VALUE(SUBSTITUTE(SUBSTITUTE(SUBSTITUTE(IFERROR(INDEX('1.산군_붙여넣기'!$A$1:$AZ$1001,ROW(),설정!$C$6)&amp;"",""),",",""),"㎡",""),"m2","")),"")</f>
        <v/>
      </c>
      <c r="E159">
        <f>IFERROR(INDEX('1.산군_붙여넣기'!$A$1:$AZ$1001,ROW(),설정!$C$7)&amp;"","")</f>
        <v/>
      </c>
      <c r="F159">
        <f>IFERROR(INDEX('1.산군_붙여넣기'!$A$1:$AZ$1001,ROW(),설정!$C$8)&amp;"","")</f>
        <v/>
      </c>
      <c r="G159">
        <f>IFERROR(INDEX('1.산군_붙여넣기'!$A$1:$AZ$1001,ROW(),설정!$C$9)&amp;"","")</f>
        <v/>
      </c>
      <c r="H159">
        <f>IFERROR(INDEX('1.산군_붙여넣기'!$A$1:$AZ$1001,ROW(),설정!$C$10)&amp;"","")</f>
        <v/>
      </c>
      <c r="I159">
        <f>IFERROR(INDEX('1.산군_붙여넣기'!$A$1:$AZ$1001,ROW(),설정!$C$11)&amp;"","")</f>
        <v/>
      </c>
      <c r="J159">
        <f>IFERROR(INDEX('1.산군_붙여넣기'!$A$1:$AZ$1001,ROW(),설정!$C$12)&amp;"","")</f>
        <v/>
      </c>
      <c r="K159">
        <f>IFERROR(INDEX('1.산군_붙여넣기'!$A$1:$AZ$1001,ROW(),설정!$C$13)&amp;"","")</f>
        <v/>
      </c>
      <c r="L159" s="6">
        <f>IF(X159="","",IF(AND(LEN(X159)=8,ISNUMBER(X159*1)),DATE(LEFT(X159,4),MID(X159,5,2),RIGHT(X159,2)),IFERROR(DATEVALUE(SUBSTITUTE(SUBSTITUTE(X159,".","-"),"/","-")),IFERROR(X159*1,""))))</f>
        <v/>
      </c>
      <c r="M159" s="6">
        <f>IF(Y159="","",IF(AND(LEN(Y159)=8,ISNUMBER(Y159*1)),DATE(LEFT(Y159,4),MID(Y159,5,2),RIGHT(Y159,2)),IFERROR(DATEVALUE(SUBSTITUTE(SUBSTITUTE(Y159,".","-"),"/","-")),IFERROR(Y159*1,""))))</f>
        <v/>
      </c>
      <c r="N159">
        <f>IFERROR(LEFT(B159,FIND(" ",B159)-1),B159)</f>
        <v/>
      </c>
      <c r="O159">
        <f>AND(B159&lt;&gt;"",B159&lt;&gt;설정!$B$4,C159&lt;&gt;설정!$B$5)</f>
        <v/>
      </c>
      <c r="P159">
        <f>IF(O159,B159&amp;"|"&amp;C159,"")</f>
        <v/>
      </c>
      <c r="Q159">
        <f>AND(O159,COUNTIF(P160:P$1002,P159)=0)</f>
        <v/>
      </c>
      <c r="R159">
        <f>OR(AND(설정!$A$28&lt;&gt;"",ISNUMBER(SEARCH(설정!$A$28,E159&amp;" "&amp;C159))),AND(설정!$A$29&lt;&gt;"",ISNUMBER(SEARCH(설정!$A$29,E159&amp;" "&amp;C159))),AND(설정!$A$30&lt;&gt;"",ISNUMBER(SEARCH(설정!$A$30,E159&amp;" "&amp;C159))),AND(설정!$A$31&lt;&gt;"",ISNUMBER(SEARCH(설정!$A$31,E159&amp;" "&amp;C159))),AND(설정!$A$32&lt;&gt;"",ISNUMBER(SEARCH(설정!$A$32,E159&amp;" "&amp;C159))),AND(설정!$A$33&lt;&gt;"",ISNUMBER(SEARCH(설정!$A$33,E159&amp;" "&amp;C159))),AND(설정!$A$34&lt;&gt;"",ISNUMBER(SEARCH(설정!$A$34,E159&amp;" "&amp;C159))),AND(설정!$A$35&lt;&gt;"",ISNUMBER(SEARCH(설정!$A$35,E159&amp;" "&amp;C159))),AND(설정!$A$36&lt;&gt;"",ISNUMBER(SEARCH(설정!$A$36,E159&amp;" "&amp;C159))),AND(설정!$A$37&lt;&gt;"",ISNUMBER(SEARCH(설정!$A$37,E159&amp;" "&amp;C159))))</f>
        <v/>
      </c>
      <c r="S159">
        <f>OR(D159="",D159&gt;=설정!$B$19)</f>
        <v/>
      </c>
      <c r="T159">
        <f>AND(Q159,R159,S159)</f>
        <v/>
      </c>
      <c r="U159">
        <f>IF(T159,IF(AND(설정!$A$41&lt;&gt;"",ISNUMBER(SEARCH(설정!$A$41,K159))),설정!$B$41,IF(AND(설정!$A$42&lt;&gt;"",ISNUMBER(SEARCH(설정!$A$42,K159))),설정!$B$42,IF(AND(설정!$A$43&lt;&gt;"",ISNUMBER(SEARCH(설정!$A$43,K159))),설정!$B$43,IF(AND(설정!$A$44&lt;&gt;"",ISNUMBER(SEARCH(설정!$A$44,K159))),설정!$B$44,IF(AND(설정!$A$45&lt;&gt;"",ISNUMBER(SEARCH(설정!$A$45,K159))),설정!$B$45,IF(AND(설정!$A$46&lt;&gt;"",ISNUMBER(SEARCH(설정!$A$46,K159))),설정!$B$46,IF(AND(설정!$A$47&lt;&gt;"",ISNUMBER(SEARCH(설정!$A$47,K159))),설정!$B$47,IF(AND(설정!$A$48&lt;&gt;"",ISNUMBER(SEARCH(설정!$A$48,K159))),설정!$B$48,IF(M159="","설계사","시공사"))))))))),"")</f>
        <v/>
      </c>
      <c r="V159">
        <f>SUBSTITUTE(SUBSTITUTE(SUBSTITUTE(SUBSTITUTE(G159,"(주)",""),"㈜",""),"주식회사","")," ","")</f>
        <v/>
      </c>
      <c r="W159">
        <f>IF(AND(T159,V159&lt;&gt;""),IF(COUNTIFS(V$2:V159,V159,T$2:T159,TRUE)=1,MAX(W$1:W158)+1,""),"")</f>
        <v/>
      </c>
      <c r="X159">
        <f>IFERROR(INDEX('1.산군_붙여넣기'!$A$1:$AZ$1001,ROW(),설정!$C$14)&amp;"","")</f>
        <v/>
      </c>
      <c r="Y159">
        <f>IFERROR(INDEX('1.산군_붙여넣기'!$A$1:$AZ$1001,ROW(),설정!$C$15)&amp;"","")</f>
        <v/>
      </c>
      <c r="Z159">
        <f>IF(T159,V159&amp;"|"&amp;U159,"")</f>
        <v/>
      </c>
    </row>
    <row r="160">
      <c r="A160">
        <f>ROW()</f>
        <v/>
      </c>
      <c r="B160">
        <f>IFERROR(INDEX('1.산군_붙여넣기'!$A$1:$AZ$1001,ROW(),설정!$C$4)&amp;"","")</f>
        <v/>
      </c>
      <c r="C160">
        <f>IFERROR(INDEX('1.산군_붙여넣기'!$A$1:$AZ$1001,ROW(),설정!$C$5)&amp;"","")</f>
        <v/>
      </c>
      <c r="D160" s="5">
        <f>IFERROR(VALUE(SUBSTITUTE(SUBSTITUTE(SUBSTITUTE(IFERROR(INDEX('1.산군_붙여넣기'!$A$1:$AZ$1001,ROW(),설정!$C$6)&amp;"",""),",",""),"㎡",""),"m2","")),"")</f>
        <v/>
      </c>
      <c r="E160">
        <f>IFERROR(INDEX('1.산군_붙여넣기'!$A$1:$AZ$1001,ROW(),설정!$C$7)&amp;"","")</f>
        <v/>
      </c>
      <c r="F160">
        <f>IFERROR(INDEX('1.산군_붙여넣기'!$A$1:$AZ$1001,ROW(),설정!$C$8)&amp;"","")</f>
        <v/>
      </c>
      <c r="G160">
        <f>IFERROR(INDEX('1.산군_붙여넣기'!$A$1:$AZ$1001,ROW(),설정!$C$9)&amp;"","")</f>
        <v/>
      </c>
      <c r="H160">
        <f>IFERROR(INDEX('1.산군_붙여넣기'!$A$1:$AZ$1001,ROW(),설정!$C$10)&amp;"","")</f>
        <v/>
      </c>
      <c r="I160">
        <f>IFERROR(INDEX('1.산군_붙여넣기'!$A$1:$AZ$1001,ROW(),설정!$C$11)&amp;"","")</f>
        <v/>
      </c>
      <c r="J160">
        <f>IFERROR(INDEX('1.산군_붙여넣기'!$A$1:$AZ$1001,ROW(),설정!$C$12)&amp;"","")</f>
        <v/>
      </c>
      <c r="K160">
        <f>IFERROR(INDEX('1.산군_붙여넣기'!$A$1:$AZ$1001,ROW(),설정!$C$13)&amp;"","")</f>
        <v/>
      </c>
      <c r="L160" s="6">
        <f>IF(X160="","",IF(AND(LEN(X160)=8,ISNUMBER(X160*1)),DATE(LEFT(X160,4),MID(X160,5,2),RIGHT(X160,2)),IFERROR(DATEVALUE(SUBSTITUTE(SUBSTITUTE(X160,".","-"),"/","-")),IFERROR(X160*1,""))))</f>
        <v/>
      </c>
      <c r="M160" s="6">
        <f>IF(Y160="","",IF(AND(LEN(Y160)=8,ISNUMBER(Y160*1)),DATE(LEFT(Y160,4),MID(Y160,5,2),RIGHT(Y160,2)),IFERROR(DATEVALUE(SUBSTITUTE(SUBSTITUTE(Y160,".","-"),"/","-")),IFERROR(Y160*1,""))))</f>
        <v/>
      </c>
      <c r="N160">
        <f>IFERROR(LEFT(B160,FIND(" ",B160)-1),B160)</f>
        <v/>
      </c>
      <c r="O160">
        <f>AND(B160&lt;&gt;"",B160&lt;&gt;설정!$B$4,C160&lt;&gt;설정!$B$5)</f>
        <v/>
      </c>
      <c r="P160">
        <f>IF(O160,B160&amp;"|"&amp;C160,"")</f>
        <v/>
      </c>
      <c r="Q160">
        <f>AND(O160,COUNTIF(P161:P$1002,P160)=0)</f>
        <v/>
      </c>
      <c r="R160">
        <f>OR(AND(설정!$A$28&lt;&gt;"",ISNUMBER(SEARCH(설정!$A$28,E160&amp;" "&amp;C160))),AND(설정!$A$29&lt;&gt;"",ISNUMBER(SEARCH(설정!$A$29,E160&amp;" "&amp;C160))),AND(설정!$A$30&lt;&gt;"",ISNUMBER(SEARCH(설정!$A$30,E160&amp;" "&amp;C160))),AND(설정!$A$31&lt;&gt;"",ISNUMBER(SEARCH(설정!$A$31,E160&amp;" "&amp;C160))),AND(설정!$A$32&lt;&gt;"",ISNUMBER(SEARCH(설정!$A$32,E160&amp;" "&amp;C160))),AND(설정!$A$33&lt;&gt;"",ISNUMBER(SEARCH(설정!$A$33,E160&amp;" "&amp;C160))),AND(설정!$A$34&lt;&gt;"",ISNUMBER(SEARCH(설정!$A$34,E160&amp;" "&amp;C160))),AND(설정!$A$35&lt;&gt;"",ISNUMBER(SEARCH(설정!$A$35,E160&amp;" "&amp;C160))),AND(설정!$A$36&lt;&gt;"",ISNUMBER(SEARCH(설정!$A$36,E160&amp;" "&amp;C160))),AND(설정!$A$37&lt;&gt;"",ISNUMBER(SEARCH(설정!$A$37,E160&amp;" "&amp;C160))))</f>
        <v/>
      </c>
      <c r="S160">
        <f>OR(D160="",D160&gt;=설정!$B$19)</f>
        <v/>
      </c>
      <c r="T160">
        <f>AND(Q160,R160,S160)</f>
        <v/>
      </c>
      <c r="U160">
        <f>IF(T160,IF(AND(설정!$A$41&lt;&gt;"",ISNUMBER(SEARCH(설정!$A$41,K160))),설정!$B$41,IF(AND(설정!$A$42&lt;&gt;"",ISNUMBER(SEARCH(설정!$A$42,K160))),설정!$B$42,IF(AND(설정!$A$43&lt;&gt;"",ISNUMBER(SEARCH(설정!$A$43,K160))),설정!$B$43,IF(AND(설정!$A$44&lt;&gt;"",ISNUMBER(SEARCH(설정!$A$44,K160))),설정!$B$44,IF(AND(설정!$A$45&lt;&gt;"",ISNUMBER(SEARCH(설정!$A$45,K160))),설정!$B$45,IF(AND(설정!$A$46&lt;&gt;"",ISNUMBER(SEARCH(설정!$A$46,K160))),설정!$B$46,IF(AND(설정!$A$47&lt;&gt;"",ISNUMBER(SEARCH(설정!$A$47,K160))),설정!$B$47,IF(AND(설정!$A$48&lt;&gt;"",ISNUMBER(SEARCH(설정!$A$48,K160))),설정!$B$48,IF(M160="","설계사","시공사"))))))))),"")</f>
        <v/>
      </c>
      <c r="V160">
        <f>SUBSTITUTE(SUBSTITUTE(SUBSTITUTE(SUBSTITUTE(G160,"(주)",""),"㈜",""),"주식회사","")," ","")</f>
        <v/>
      </c>
      <c r="W160">
        <f>IF(AND(T160,V160&lt;&gt;""),IF(COUNTIFS(V$2:V160,V160,T$2:T160,TRUE)=1,MAX(W$1:W159)+1,""),"")</f>
        <v/>
      </c>
      <c r="X160">
        <f>IFERROR(INDEX('1.산군_붙여넣기'!$A$1:$AZ$1001,ROW(),설정!$C$14)&amp;"","")</f>
        <v/>
      </c>
      <c r="Y160">
        <f>IFERROR(INDEX('1.산군_붙여넣기'!$A$1:$AZ$1001,ROW(),설정!$C$15)&amp;"","")</f>
        <v/>
      </c>
      <c r="Z160">
        <f>IF(T160,V160&amp;"|"&amp;U160,"")</f>
        <v/>
      </c>
    </row>
    <row r="161">
      <c r="A161">
        <f>ROW()</f>
        <v/>
      </c>
      <c r="B161">
        <f>IFERROR(INDEX('1.산군_붙여넣기'!$A$1:$AZ$1001,ROW(),설정!$C$4)&amp;"","")</f>
        <v/>
      </c>
      <c r="C161">
        <f>IFERROR(INDEX('1.산군_붙여넣기'!$A$1:$AZ$1001,ROW(),설정!$C$5)&amp;"","")</f>
        <v/>
      </c>
      <c r="D161" s="5">
        <f>IFERROR(VALUE(SUBSTITUTE(SUBSTITUTE(SUBSTITUTE(IFERROR(INDEX('1.산군_붙여넣기'!$A$1:$AZ$1001,ROW(),설정!$C$6)&amp;"",""),",",""),"㎡",""),"m2","")),"")</f>
        <v/>
      </c>
      <c r="E161">
        <f>IFERROR(INDEX('1.산군_붙여넣기'!$A$1:$AZ$1001,ROW(),설정!$C$7)&amp;"","")</f>
        <v/>
      </c>
      <c r="F161">
        <f>IFERROR(INDEX('1.산군_붙여넣기'!$A$1:$AZ$1001,ROW(),설정!$C$8)&amp;"","")</f>
        <v/>
      </c>
      <c r="G161">
        <f>IFERROR(INDEX('1.산군_붙여넣기'!$A$1:$AZ$1001,ROW(),설정!$C$9)&amp;"","")</f>
        <v/>
      </c>
      <c r="H161">
        <f>IFERROR(INDEX('1.산군_붙여넣기'!$A$1:$AZ$1001,ROW(),설정!$C$10)&amp;"","")</f>
        <v/>
      </c>
      <c r="I161">
        <f>IFERROR(INDEX('1.산군_붙여넣기'!$A$1:$AZ$1001,ROW(),설정!$C$11)&amp;"","")</f>
        <v/>
      </c>
      <c r="J161">
        <f>IFERROR(INDEX('1.산군_붙여넣기'!$A$1:$AZ$1001,ROW(),설정!$C$12)&amp;"","")</f>
        <v/>
      </c>
      <c r="K161">
        <f>IFERROR(INDEX('1.산군_붙여넣기'!$A$1:$AZ$1001,ROW(),설정!$C$13)&amp;"","")</f>
        <v/>
      </c>
      <c r="L161" s="6">
        <f>IF(X161="","",IF(AND(LEN(X161)=8,ISNUMBER(X161*1)),DATE(LEFT(X161,4),MID(X161,5,2),RIGHT(X161,2)),IFERROR(DATEVALUE(SUBSTITUTE(SUBSTITUTE(X161,".","-"),"/","-")),IFERROR(X161*1,""))))</f>
        <v/>
      </c>
      <c r="M161" s="6">
        <f>IF(Y161="","",IF(AND(LEN(Y161)=8,ISNUMBER(Y161*1)),DATE(LEFT(Y161,4),MID(Y161,5,2),RIGHT(Y161,2)),IFERROR(DATEVALUE(SUBSTITUTE(SUBSTITUTE(Y161,".","-"),"/","-")),IFERROR(Y161*1,""))))</f>
        <v/>
      </c>
      <c r="N161">
        <f>IFERROR(LEFT(B161,FIND(" ",B161)-1),B161)</f>
        <v/>
      </c>
      <c r="O161">
        <f>AND(B161&lt;&gt;"",B161&lt;&gt;설정!$B$4,C161&lt;&gt;설정!$B$5)</f>
        <v/>
      </c>
      <c r="P161">
        <f>IF(O161,B161&amp;"|"&amp;C161,"")</f>
        <v/>
      </c>
      <c r="Q161">
        <f>AND(O161,COUNTIF(P162:P$1002,P161)=0)</f>
        <v/>
      </c>
      <c r="R161">
        <f>OR(AND(설정!$A$28&lt;&gt;"",ISNUMBER(SEARCH(설정!$A$28,E161&amp;" "&amp;C161))),AND(설정!$A$29&lt;&gt;"",ISNUMBER(SEARCH(설정!$A$29,E161&amp;" "&amp;C161))),AND(설정!$A$30&lt;&gt;"",ISNUMBER(SEARCH(설정!$A$30,E161&amp;" "&amp;C161))),AND(설정!$A$31&lt;&gt;"",ISNUMBER(SEARCH(설정!$A$31,E161&amp;" "&amp;C161))),AND(설정!$A$32&lt;&gt;"",ISNUMBER(SEARCH(설정!$A$32,E161&amp;" "&amp;C161))),AND(설정!$A$33&lt;&gt;"",ISNUMBER(SEARCH(설정!$A$33,E161&amp;" "&amp;C161))),AND(설정!$A$34&lt;&gt;"",ISNUMBER(SEARCH(설정!$A$34,E161&amp;" "&amp;C161))),AND(설정!$A$35&lt;&gt;"",ISNUMBER(SEARCH(설정!$A$35,E161&amp;" "&amp;C161))),AND(설정!$A$36&lt;&gt;"",ISNUMBER(SEARCH(설정!$A$36,E161&amp;" "&amp;C161))),AND(설정!$A$37&lt;&gt;"",ISNUMBER(SEARCH(설정!$A$37,E161&amp;" "&amp;C161))))</f>
        <v/>
      </c>
      <c r="S161">
        <f>OR(D161="",D161&gt;=설정!$B$19)</f>
        <v/>
      </c>
      <c r="T161">
        <f>AND(Q161,R161,S161)</f>
        <v/>
      </c>
      <c r="U161">
        <f>IF(T161,IF(AND(설정!$A$41&lt;&gt;"",ISNUMBER(SEARCH(설정!$A$41,K161))),설정!$B$41,IF(AND(설정!$A$42&lt;&gt;"",ISNUMBER(SEARCH(설정!$A$42,K161))),설정!$B$42,IF(AND(설정!$A$43&lt;&gt;"",ISNUMBER(SEARCH(설정!$A$43,K161))),설정!$B$43,IF(AND(설정!$A$44&lt;&gt;"",ISNUMBER(SEARCH(설정!$A$44,K161))),설정!$B$44,IF(AND(설정!$A$45&lt;&gt;"",ISNUMBER(SEARCH(설정!$A$45,K161))),설정!$B$45,IF(AND(설정!$A$46&lt;&gt;"",ISNUMBER(SEARCH(설정!$A$46,K161))),설정!$B$46,IF(AND(설정!$A$47&lt;&gt;"",ISNUMBER(SEARCH(설정!$A$47,K161))),설정!$B$47,IF(AND(설정!$A$48&lt;&gt;"",ISNUMBER(SEARCH(설정!$A$48,K161))),설정!$B$48,IF(M161="","설계사","시공사"))))))))),"")</f>
        <v/>
      </c>
      <c r="V161">
        <f>SUBSTITUTE(SUBSTITUTE(SUBSTITUTE(SUBSTITUTE(G161,"(주)",""),"㈜",""),"주식회사","")," ","")</f>
        <v/>
      </c>
      <c r="W161">
        <f>IF(AND(T161,V161&lt;&gt;""),IF(COUNTIFS(V$2:V161,V161,T$2:T161,TRUE)=1,MAX(W$1:W160)+1,""),"")</f>
        <v/>
      </c>
      <c r="X161">
        <f>IFERROR(INDEX('1.산군_붙여넣기'!$A$1:$AZ$1001,ROW(),설정!$C$14)&amp;"","")</f>
        <v/>
      </c>
      <c r="Y161">
        <f>IFERROR(INDEX('1.산군_붙여넣기'!$A$1:$AZ$1001,ROW(),설정!$C$15)&amp;"","")</f>
        <v/>
      </c>
      <c r="Z161">
        <f>IF(T161,V161&amp;"|"&amp;U161,"")</f>
        <v/>
      </c>
    </row>
    <row r="162">
      <c r="A162">
        <f>ROW()</f>
        <v/>
      </c>
      <c r="B162">
        <f>IFERROR(INDEX('1.산군_붙여넣기'!$A$1:$AZ$1001,ROW(),설정!$C$4)&amp;"","")</f>
        <v/>
      </c>
      <c r="C162">
        <f>IFERROR(INDEX('1.산군_붙여넣기'!$A$1:$AZ$1001,ROW(),설정!$C$5)&amp;"","")</f>
        <v/>
      </c>
      <c r="D162" s="5">
        <f>IFERROR(VALUE(SUBSTITUTE(SUBSTITUTE(SUBSTITUTE(IFERROR(INDEX('1.산군_붙여넣기'!$A$1:$AZ$1001,ROW(),설정!$C$6)&amp;"",""),",",""),"㎡",""),"m2","")),"")</f>
        <v/>
      </c>
      <c r="E162">
        <f>IFERROR(INDEX('1.산군_붙여넣기'!$A$1:$AZ$1001,ROW(),설정!$C$7)&amp;"","")</f>
        <v/>
      </c>
      <c r="F162">
        <f>IFERROR(INDEX('1.산군_붙여넣기'!$A$1:$AZ$1001,ROW(),설정!$C$8)&amp;"","")</f>
        <v/>
      </c>
      <c r="G162">
        <f>IFERROR(INDEX('1.산군_붙여넣기'!$A$1:$AZ$1001,ROW(),설정!$C$9)&amp;"","")</f>
        <v/>
      </c>
      <c r="H162">
        <f>IFERROR(INDEX('1.산군_붙여넣기'!$A$1:$AZ$1001,ROW(),설정!$C$10)&amp;"","")</f>
        <v/>
      </c>
      <c r="I162">
        <f>IFERROR(INDEX('1.산군_붙여넣기'!$A$1:$AZ$1001,ROW(),설정!$C$11)&amp;"","")</f>
        <v/>
      </c>
      <c r="J162">
        <f>IFERROR(INDEX('1.산군_붙여넣기'!$A$1:$AZ$1001,ROW(),설정!$C$12)&amp;"","")</f>
        <v/>
      </c>
      <c r="K162">
        <f>IFERROR(INDEX('1.산군_붙여넣기'!$A$1:$AZ$1001,ROW(),설정!$C$13)&amp;"","")</f>
        <v/>
      </c>
      <c r="L162" s="6">
        <f>IF(X162="","",IF(AND(LEN(X162)=8,ISNUMBER(X162*1)),DATE(LEFT(X162,4),MID(X162,5,2),RIGHT(X162,2)),IFERROR(DATEVALUE(SUBSTITUTE(SUBSTITUTE(X162,".","-"),"/","-")),IFERROR(X162*1,""))))</f>
        <v/>
      </c>
      <c r="M162" s="6">
        <f>IF(Y162="","",IF(AND(LEN(Y162)=8,ISNUMBER(Y162*1)),DATE(LEFT(Y162,4),MID(Y162,5,2),RIGHT(Y162,2)),IFERROR(DATEVALUE(SUBSTITUTE(SUBSTITUTE(Y162,".","-"),"/","-")),IFERROR(Y162*1,""))))</f>
        <v/>
      </c>
      <c r="N162">
        <f>IFERROR(LEFT(B162,FIND(" ",B162)-1),B162)</f>
        <v/>
      </c>
      <c r="O162">
        <f>AND(B162&lt;&gt;"",B162&lt;&gt;설정!$B$4,C162&lt;&gt;설정!$B$5)</f>
        <v/>
      </c>
      <c r="P162">
        <f>IF(O162,B162&amp;"|"&amp;C162,"")</f>
        <v/>
      </c>
      <c r="Q162">
        <f>AND(O162,COUNTIF(P163:P$1002,P162)=0)</f>
        <v/>
      </c>
      <c r="R162">
        <f>OR(AND(설정!$A$28&lt;&gt;"",ISNUMBER(SEARCH(설정!$A$28,E162&amp;" "&amp;C162))),AND(설정!$A$29&lt;&gt;"",ISNUMBER(SEARCH(설정!$A$29,E162&amp;" "&amp;C162))),AND(설정!$A$30&lt;&gt;"",ISNUMBER(SEARCH(설정!$A$30,E162&amp;" "&amp;C162))),AND(설정!$A$31&lt;&gt;"",ISNUMBER(SEARCH(설정!$A$31,E162&amp;" "&amp;C162))),AND(설정!$A$32&lt;&gt;"",ISNUMBER(SEARCH(설정!$A$32,E162&amp;" "&amp;C162))),AND(설정!$A$33&lt;&gt;"",ISNUMBER(SEARCH(설정!$A$33,E162&amp;" "&amp;C162))),AND(설정!$A$34&lt;&gt;"",ISNUMBER(SEARCH(설정!$A$34,E162&amp;" "&amp;C162))),AND(설정!$A$35&lt;&gt;"",ISNUMBER(SEARCH(설정!$A$35,E162&amp;" "&amp;C162))),AND(설정!$A$36&lt;&gt;"",ISNUMBER(SEARCH(설정!$A$36,E162&amp;" "&amp;C162))),AND(설정!$A$37&lt;&gt;"",ISNUMBER(SEARCH(설정!$A$37,E162&amp;" "&amp;C162))))</f>
        <v/>
      </c>
      <c r="S162">
        <f>OR(D162="",D162&gt;=설정!$B$19)</f>
        <v/>
      </c>
      <c r="T162">
        <f>AND(Q162,R162,S162)</f>
        <v/>
      </c>
      <c r="U162">
        <f>IF(T162,IF(AND(설정!$A$41&lt;&gt;"",ISNUMBER(SEARCH(설정!$A$41,K162))),설정!$B$41,IF(AND(설정!$A$42&lt;&gt;"",ISNUMBER(SEARCH(설정!$A$42,K162))),설정!$B$42,IF(AND(설정!$A$43&lt;&gt;"",ISNUMBER(SEARCH(설정!$A$43,K162))),설정!$B$43,IF(AND(설정!$A$44&lt;&gt;"",ISNUMBER(SEARCH(설정!$A$44,K162))),설정!$B$44,IF(AND(설정!$A$45&lt;&gt;"",ISNUMBER(SEARCH(설정!$A$45,K162))),설정!$B$45,IF(AND(설정!$A$46&lt;&gt;"",ISNUMBER(SEARCH(설정!$A$46,K162))),설정!$B$46,IF(AND(설정!$A$47&lt;&gt;"",ISNUMBER(SEARCH(설정!$A$47,K162))),설정!$B$47,IF(AND(설정!$A$48&lt;&gt;"",ISNUMBER(SEARCH(설정!$A$48,K162))),설정!$B$48,IF(M162="","설계사","시공사"))))))))),"")</f>
        <v/>
      </c>
      <c r="V162">
        <f>SUBSTITUTE(SUBSTITUTE(SUBSTITUTE(SUBSTITUTE(G162,"(주)",""),"㈜",""),"주식회사","")," ","")</f>
        <v/>
      </c>
      <c r="W162">
        <f>IF(AND(T162,V162&lt;&gt;""),IF(COUNTIFS(V$2:V162,V162,T$2:T162,TRUE)=1,MAX(W$1:W161)+1,""),"")</f>
        <v/>
      </c>
      <c r="X162">
        <f>IFERROR(INDEX('1.산군_붙여넣기'!$A$1:$AZ$1001,ROW(),설정!$C$14)&amp;"","")</f>
        <v/>
      </c>
      <c r="Y162">
        <f>IFERROR(INDEX('1.산군_붙여넣기'!$A$1:$AZ$1001,ROW(),설정!$C$15)&amp;"","")</f>
        <v/>
      </c>
      <c r="Z162">
        <f>IF(T162,V162&amp;"|"&amp;U162,"")</f>
        <v/>
      </c>
    </row>
    <row r="163">
      <c r="A163">
        <f>ROW()</f>
        <v/>
      </c>
      <c r="B163">
        <f>IFERROR(INDEX('1.산군_붙여넣기'!$A$1:$AZ$1001,ROW(),설정!$C$4)&amp;"","")</f>
        <v/>
      </c>
      <c r="C163">
        <f>IFERROR(INDEX('1.산군_붙여넣기'!$A$1:$AZ$1001,ROW(),설정!$C$5)&amp;"","")</f>
        <v/>
      </c>
      <c r="D163" s="5">
        <f>IFERROR(VALUE(SUBSTITUTE(SUBSTITUTE(SUBSTITUTE(IFERROR(INDEX('1.산군_붙여넣기'!$A$1:$AZ$1001,ROW(),설정!$C$6)&amp;"",""),",",""),"㎡",""),"m2","")),"")</f>
        <v/>
      </c>
      <c r="E163">
        <f>IFERROR(INDEX('1.산군_붙여넣기'!$A$1:$AZ$1001,ROW(),설정!$C$7)&amp;"","")</f>
        <v/>
      </c>
      <c r="F163">
        <f>IFERROR(INDEX('1.산군_붙여넣기'!$A$1:$AZ$1001,ROW(),설정!$C$8)&amp;"","")</f>
        <v/>
      </c>
      <c r="G163">
        <f>IFERROR(INDEX('1.산군_붙여넣기'!$A$1:$AZ$1001,ROW(),설정!$C$9)&amp;"","")</f>
        <v/>
      </c>
      <c r="H163">
        <f>IFERROR(INDEX('1.산군_붙여넣기'!$A$1:$AZ$1001,ROW(),설정!$C$10)&amp;"","")</f>
        <v/>
      </c>
      <c r="I163">
        <f>IFERROR(INDEX('1.산군_붙여넣기'!$A$1:$AZ$1001,ROW(),설정!$C$11)&amp;"","")</f>
        <v/>
      </c>
      <c r="J163">
        <f>IFERROR(INDEX('1.산군_붙여넣기'!$A$1:$AZ$1001,ROW(),설정!$C$12)&amp;"","")</f>
        <v/>
      </c>
      <c r="K163">
        <f>IFERROR(INDEX('1.산군_붙여넣기'!$A$1:$AZ$1001,ROW(),설정!$C$13)&amp;"","")</f>
        <v/>
      </c>
      <c r="L163" s="6">
        <f>IF(X163="","",IF(AND(LEN(X163)=8,ISNUMBER(X163*1)),DATE(LEFT(X163,4),MID(X163,5,2),RIGHT(X163,2)),IFERROR(DATEVALUE(SUBSTITUTE(SUBSTITUTE(X163,".","-"),"/","-")),IFERROR(X163*1,""))))</f>
        <v/>
      </c>
      <c r="M163" s="6">
        <f>IF(Y163="","",IF(AND(LEN(Y163)=8,ISNUMBER(Y163*1)),DATE(LEFT(Y163,4),MID(Y163,5,2),RIGHT(Y163,2)),IFERROR(DATEVALUE(SUBSTITUTE(SUBSTITUTE(Y163,".","-"),"/","-")),IFERROR(Y163*1,""))))</f>
        <v/>
      </c>
      <c r="N163">
        <f>IFERROR(LEFT(B163,FIND(" ",B163)-1),B163)</f>
        <v/>
      </c>
      <c r="O163">
        <f>AND(B163&lt;&gt;"",B163&lt;&gt;설정!$B$4,C163&lt;&gt;설정!$B$5)</f>
        <v/>
      </c>
      <c r="P163">
        <f>IF(O163,B163&amp;"|"&amp;C163,"")</f>
        <v/>
      </c>
      <c r="Q163">
        <f>AND(O163,COUNTIF(P164:P$1002,P163)=0)</f>
        <v/>
      </c>
      <c r="R163">
        <f>OR(AND(설정!$A$28&lt;&gt;"",ISNUMBER(SEARCH(설정!$A$28,E163&amp;" "&amp;C163))),AND(설정!$A$29&lt;&gt;"",ISNUMBER(SEARCH(설정!$A$29,E163&amp;" "&amp;C163))),AND(설정!$A$30&lt;&gt;"",ISNUMBER(SEARCH(설정!$A$30,E163&amp;" "&amp;C163))),AND(설정!$A$31&lt;&gt;"",ISNUMBER(SEARCH(설정!$A$31,E163&amp;" "&amp;C163))),AND(설정!$A$32&lt;&gt;"",ISNUMBER(SEARCH(설정!$A$32,E163&amp;" "&amp;C163))),AND(설정!$A$33&lt;&gt;"",ISNUMBER(SEARCH(설정!$A$33,E163&amp;" "&amp;C163))),AND(설정!$A$34&lt;&gt;"",ISNUMBER(SEARCH(설정!$A$34,E163&amp;" "&amp;C163))),AND(설정!$A$35&lt;&gt;"",ISNUMBER(SEARCH(설정!$A$35,E163&amp;" "&amp;C163))),AND(설정!$A$36&lt;&gt;"",ISNUMBER(SEARCH(설정!$A$36,E163&amp;" "&amp;C163))),AND(설정!$A$37&lt;&gt;"",ISNUMBER(SEARCH(설정!$A$37,E163&amp;" "&amp;C163))))</f>
        <v/>
      </c>
      <c r="S163">
        <f>OR(D163="",D163&gt;=설정!$B$19)</f>
        <v/>
      </c>
      <c r="T163">
        <f>AND(Q163,R163,S163)</f>
        <v/>
      </c>
      <c r="U163">
        <f>IF(T163,IF(AND(설정!$A$41&lt;&gt;"",ISNUMBER(SEARCH(설정!$A$41,K163))),설정!$B$41,IF(AND(설정!$A$42&lt;&gt;"",ISNUMBER(SEARCH(설정!$A$42,K163))),설정!$B$42,IF(AND(설정!$A$43&lt;&gt;"",ISNUMBER(SEARCH(설정!$A$43,K163))),설정!$B$43,IF(AND(설정!$A$44&lt;&gt;"",ISNUMBER(SEARCH(설정!$A$44,K163))),설정!$B$44,IF(AND(설정!$A$45&lt;&gt;"",ISNUMBER(SEARCH(설정!$A$45,K163))),설정!$B$45,IF(AND(설정!$A$46&lt;&gt;"",ISNUMBER(SEARCH(설정!$A$46,K163))),설정!$B$46,IF(AND(설정!$A$47&lt;&gt;"",ISNUMBER(SEARCH(설정!$A$47,K163))),설정!$B$47,IF(AND(설정!$A$48&lt;&gt;"",ISNUMBER(SEARCH(설정!$A$48,K163))),설정!$B$48,IF(M163="","설계사","시공사"))))))))),"")</f>
        <v/>
      </c>
      <c r="V163">
        <f>SUBSTITUTE(SUBSTITUTE(SUBSTITUTE(SUBSTITUTE(G163,"(주)",""),"㈜",""),"주식회사","")," ","")</f>
        <v/>
      </c>
      <c r="W163">
        <f>IF(AND(T163,V163&lt;&gt;""),IF(COUNTIFS(V$2:V163,V163,T$2:T163,TRUE)=1,MAX(W$1:W162)+1,""),"")</f>
        <v/>
      </c>
      <c r="X163">
        <f>IFERROR(INDEX('1.산군_붙여넣기'!$A$1:$AZ$1001,ROW(),설정!$C$14)&amp;"","")</f>
        <v/>
      </c>
      <c r="Y163">
        <f>IFERROR(INDEX('1.산군_붙여넣기'!$A$1:$AZ$1001,ROW(),설정!$C$15)&amp;"","")</f>
        <v/>
      </c>
      <c r="Z163">
        <f>IF(T163,V163&amp;"|"&amp;U163,"")</f>
        <v/>
      </c>
    </row>
    <row r="164">
      <c r="A164">
        <f>ROW()</f>
        <v/>
      </c>
      <c r="B164">
        <f>IFERROR(INDEX('1.산군_붙여넣기'!$A$1:$AZ$1001,ROW(),설정!$C$4)&amp;"","")</f>
        <v/>
      </c>
      <c r="C164">
        <f>IFERROR(INDEX('1.산군_붙여넣기'!$A$1:$AZ$1001,ROW(),설정!$C$5)&amp;"","")</f>
        <v/>
      </c>
      <c r="D164" s="5">
        <f>IFERROR(VALUE(SUBSTITUTE(SUBSTITUTE(SUBSTITUTE(IFERROR(INDEX('1.산군_붙여넣기'!$A$1:$AZ$1001,ROW(),설정!$C$6)&amp;"",""),",",""),"㎡",""),"m2","")),"")</f>
        <v/>
      </c>
      <c r="E164">
        <f>IFERROR(INDEX('1.산군_붙여넣기'!$A$1:$AZ$1001,ROW(),설정!$C$7)&amp;"","")</f>
        <v/>
      </c>
      <c r="F164">
        <f>IFERROR(INDEX('1.산군_붙여넣기'!$A$1:$AZ$1001,ROW(),설정!$C$8)&amp;"","")</f>
        <v/>
      </c>
      <c r="G164">
        <f>IFERROR(INDEX('1.산군_붙여넣기'!$A$1:$AZ$1001,ROW(),설정!$C$9)&amp;"","")</f>
        <v/>
      </c>
      <c r="H164">
        <f>IFERROR(INDEX('1.산군_붙여넣기'!$A$1:$AZ$1001,ROW(),설정!$C$10)&amp;"","")</f>
        <v/>
      </c>
      <c r="I164">
        <f>IFERROR(INDEX('1.산군_붙여넣기'!$A$1:$AZ$1001,ROW(),설정!$C$11)&amp;"","")</f>
        <v/>
      </c>
      <c r="J164">
        <f>IFERROR(INDEX('1.산군_붙여넣기'!$A$1:$AZ$1001,ROW(),설정!$C$12)&amp;"","")</f>
        <v/>
      </c>
      <c r="K164">
        <f>IFERROR(INDEX('1.산군_붙여넣기'!$A$1:$AZ$1001,ROW(),설정!$C$13)&amp;"","")</f>
        <v/>
      </c>
      <c r="L164" s="6">
        <f>IF(X164="","",IF(AND(LEN(X164)=8,ISNUMBER(X164*1)),DATE(LEFT(X164,4),MID(X164,5,2),RIGHT(X164,2)),IFERROR(DATEVALUE(SUBSTITUTE(SUBSTITUTE(X164,".","-"),"/","-")),IFERROR(X164*1,""))))</f>
        <v/>
      </c>
      <c r="M164" s="6">
        <f>IF(Y164="","",IF(AND(LEN(Y164)=8,ISNUMBER(Y164*1)),DATE(LEFT(Y164,4),MID(Y164,5,2),RIGHT(Y164,2)),IFERROR(DATEVALUE(SUBSTITUTE(SUBSTITUTE(Y164,".","-"),"/","-")),IFERROR(Y164*1,""))))</f>
        <v/>
      </c>
      <c r="N164">
        <f>IFERROR(LEFT(B164,FIND(" ",B164)-1),B164)</f>
        <v/>
      </c>
      <c r="O164">
        <f>AND(B164&lt;&gt;"",B164&lt;&gt;설정!$B$4,C164&lt;&gt;설정!$B$5)</f>
        <v/>
      </c>
      <c r="P164">
        <f>IF(O164,B164&amp;"|"&amp;C164,"")</f>
        <v/>
      </c>
      <c r="Q164">
        <f>AND(O164,COUNTIF(P165:P$1002,P164)=0)</f>
        <v/>
      </c>
      <c r="R164">
        <f>OR(AND(설정!$A$28&lt;&gt;"",ISNUMBER(SEARCH(설정!$A$28,E164&amp;" "&amp;C164))),AND(설정!$A$29&lt;&gt;"",ISNUMBER(SEARCH(설정!$A$29,E164&amp;" "&amp;C164))),AND(설정!$A$30&lt;&gt;"",ISNUMBER(SEARCH(설정!$A$30,E164&amp;" "&amp;C164))),AND(설정!$A$31&lt;&gt;"",ISNUMBER(SEARCH(설정!$A$31,E164&amp;" "&amp;C164))),AND(설정!$A$32&lt;&gt;"",ISNUMBER(SEARCH(설정!$A$32,E164&amp;" "&amp;C164))),AND(설정!$A$33&lt;&gt;"",ISNUMBER(SEARCH(설정!$A$33,E164&amp;" "&amp;C164))),AND(설정!$A$34&lt;&gt;"",ISNUMBER(SEARCH(설정!$A$34,E164&amp;" "&amp;C164))),AND(설정!$A$35&lt;&gt;"",ISNUMBER(SEARCH(설정!$A$35,E164&amp;" "&amp;C164))),AND(설정!$A$36&lt;&gt;"",ISNUMBER(SEARCH(설정!$A$36,E164&amp;" "&amp;C164))),AND(설정!$A$37&lt;&gt;"",ISNUMBER(SEARCH(설정!$A$37,E164&amp;" "&amp;C164))))</f>
        <v/>
      </c>
      <c r="S164">
        <f>OR(D164="",D164&gt;=설정!$B$19)</f>
        <v/>
      </c>
      <c r="T164">
        <f>AND(Q164,R164,S164)</f>
        <v/>
      </c>
      <c r="U164">
        <f>IF(T164,IF(AND(설정!$A$41&lt;&gt;"",ISNUMBER(SEARCH(설정!$A$41,K164))),설정!$B$41,IF(AND(설정!$A$42&lt;&gt;"",ISNUMBER(SEARCH(설정!$A$42,K164))),설정!$B$42,IF(AND(설정!$A$43&lt;&gt;"",ISNUMBER(SEARCH(설정!$A$43,K164))),설정!$B$43,IF(AND(설정!$A$44&lt;&gt;"",ISNUMBER(SEARCH(설정!$A$44,K164))),설정!$B$44,IF(AND(설정!$A$45&lt;&gt;"",ISNUMBER(SEARCH(설정!$A$45,K164))),설정!$B$45,IF(AND(설정!$A$46&lt;&gt;"",ISNUMBER(SEARCH(설정!$A$46,K164))),설정!$B$46,IF(AND(설정!$A$47&lt;&gt;"",ISNUMBER(SEARCH(설정!$A$47,K164))),설정!$B$47,IF(AND(설정!$A$48&lt;&gt;"",ISNUMBER(SEARCH(설정!$A$48,K164))),설정!$B$48,IF(M164="","설계사","시공사"))))))))),"")</f>
        <v/>
      </c>
      <c r="V164">
        <f>SUBSTITUTE(SUBSTITUTE(SUBSTITUTE(SUBSTITUTE(G164,"(주)",""),"㈜",""),"주식회사","")," ","")</f>
        <v/>
      </c>
      <c r="W164">
        <f>IF(AND(T164,V164&lt;&gt;""),IF(COUNTIFS(V$2:V164,V164,T$2:T164,TRUE)=1,MAX(W$1:W163)+1,""),"")</f>
        <v/>
      </c>
      <c r="X164">
        <f>IFERROR(INDEX('1.산군_붙여넣기'!$A$1:$AZ$1001,ROW(),설정!$C$14)&amp;"","")</f>
        <v/>
      </c>
      <c r="Y164">
        <f>IFERROR(INDEX('1.산군_붙여넣기'!$A$1:$AZ$1001,ROW(),설정!$C$15)&amp;"","")</f>
        <v/>
      </c>
      <c r="Z164">
        <f>IF(T164,V164&amp;"|"&amp;U164,"")</f>
        <v/>
      </c>
    </row>
    <row r="165">
      <c r="A165">
        <f>ROW()</f>
        <v/>
      </c>
      <c r="B165">
        <f>IFERROR(INDEX('1.산군_붙여넣기'!$A$1:$AZ$1001,ROW(),설정!$C$4)&amp;"","")</f>
        <v/>
      </c>
      <c r="C165">
        <f>IFERROR(INDEX('1.산군_붙여넣기'!$A$1:$AZ$1001,ROW(),설정!$C$5)&amp;"","")</f>
        <v/>
      </c>
      <c r="D165" s="5">
        <f>IFERROR(VALUE(SUBSTITUTE(SUBSTITUTE(SUBSTITUTE(IFERROR(INDEX('1.산군_붙여넣기'!$A$1:$AZ$1001,ROW(),설정!$C$6)&amp;"",""),",",""),"㎡",""),"m2","")),"")</f>
        <v/>
      </c>
      <c r="E165">
        <f>IFERROR(INDEX('1.산군_붙여넣기'!$A$1:$AZ$1001,ROW(),설정!$C$7)&amp;"","")</f>
        <v/>
      </c>
      <c r="F165">
        <f>IFERROR(INDEX('1.산군_붙여넣기'!$A$1:$AZ$1001,ROW(),설정!$C$8)&amp;"","")</f>
        <v/>
      </c>
      <c r="G165">
        <f>IFERROR(INDEX('1.산군_붙여넣기'!$A$1:$AZ$1001,ROW(),설정!$C$9)&amp;"","")</f>
        <v/>
      </c>
      <c r="H165">
        <f>IFERROR(INDEX('1.산군_붙여넣기'!$A$1:$AZ$1001,ROW(),설정!$C$10)&amp;"","")</f>
        <v/>
      </c>
      <c r="I165">
        <f>IFERROR(INDEX('1.산군_붙여넣기'!$A$1:$AZ$1001,ROW(),설정!$C$11)&amp;"","")</f>
        <v/>
      </c>
      <c r="J165">
        <f>IFERROR(INDEX('1.산군_붙여넣기'!$A$1:$AZ$1001,ROW(),설정!$C$12)&amp;"","")</f>
        <v/>
      </c>
      <c r="K165">
        <f>IFERROR(INDEX('1.산군_붙여넣기'!$A$1:$AZ$1001,ROW(),설정!$C$13)&amp;"","")</f>
        <v/>
      </c>
      <c r="L165" s="6">
        <f>IF(X165="","",IF(AND(LEN(X165)=8,ISNUMBER(X165*1)),DATE(LEFT(X165,4),MID(X165,5,2),RIGHT(X165,2)),IFERROR(DATEVALUE(SUBSTITUTE(SUBSTITUTE(X165,".","-"),"/","-")),IFERROR(X165*1,""))))</f>
        <v/>
      </c>
      <c r="M165" s="6">
        <f>IF(Y165="","",IF(AND(LEN(Y165)=8,ISNUMBER(Y165*1)),DATE(LEFT(Y165,4),MID(Y165,5,2),RIGHT(Y165,2)),IFERROR(DATEVALUE(SUBSTITUTE(SUBSTITUTE(Y165,".","-"),"/","-")),IFERROR(Y165*1,""))))</f>
        <v/>
      </c>
      <c r="N165">
        <f>IFERROR(LEFT(B165,FIND(" ",B165)-1),B165)</f>
        <v/>
      </c>
      <c r="O165">
        <f>AND(B165&lt;&gt;"",B165&lt;&gt;설정!$B$4,C165&lt;&gt;설정!$B$5)</f>
        <v/>
      </c>
      <c r="P165">
        <f>IF(O165,B165&amp;"|"&amp;C165,"")</f>
        <v/>
      </c>
      <c r="Q165">
        <f>AND(O165,COUNTIF(P166:P$1002,P165)=0)</f>
        <v/>
      </c>
      <c r="R165">
        <f>OR(AND(설정!$A$28&lt;&gt;"",ISNUMBER(SEARCH(설정!$A$28,E165&amp;" "&amp;C165))),AND(설정!$A$29&lt;&gt;"",ISNUMBER(SEARCH(설정!$A$29,E165&amp;" "&amp;C165))),AND(설정!$A$30&lt;&gt;"",ISNUMBER(SEARCH(설정!$A$30,E165&amp;" "&amp;C165))),AND(설정!$A$31&lt;&gt;"",ISNUMBER(SEARCH(설정!$A$31,E165&amp;" "&amp;C165))),AND(설정!$A$32&lt;&gt;"",ISNUMBER(SEARCH(설정!$A$32,E165&amp;" "&amp;C165))),AND(설정!$A$33&lt;&gt;"",ISNUMBER(SEARCH(설정!$A$33,E165&amp;" "&amp;C165))),AND(설정!$A$34&lt;&gt;"",ISNUMBER(SEARCH(설정!$A$34,E165&amp;" "&amp;C165))),AND(설정!$A$35&lt;&gt;"",ISNUMBER(SEARCH(설정!$A$35,E165&amp;" "&amp;C165))),AND(설정!$A$36&lt;&gt;"",ISNUMBER(SEARCH(설정!$A$36,E165&amp;" "&amp;C165))),AND(설정!$A$37&lt;&gt;"",ISNUMBER(SEARCH(설정!$A$37,E165&amp;" "&amp;C165))))</f>
        <v/>
      </c>
      <c r="S165">
        <f>OR(D165="",D165&gt;=설정!$B$19)</f>
        <v/>
      </c>
      <c r="T165">
        <f>AND(Q165,R165,S165)</f>
        <v/>
      </c>
      <c r="U165">
        <f>IF(T165,IF(AND(설정!$A$41&lt;&gt;"",ISNUMBER(SEARCH(설정!$A$41,K165))),설정!$B$41,IF(AND(설정!$A$42&lt;&gt;"",ISNUMBER(SEARCH(설정!$A$42,K165))),설정!$B$42,IF(AND(설정!$A$43&lt;&gt;"",ISNUMBER(SEARCH(설정!$A$43,K165))),설정!$B$43,IF(AND(설정!$A$44&lt;&gt;"",ISNUMBER(SEARCH(설정!$A$44,K165))),설정!$B$44,IF(AND(설정!$A$45&lt;&gt;"",ISNUMBER(SEARCH(설정!$A$45,K165))),설정!$B$45,IF(AND(설정!$A$46&lt;&gt;"",ISNUMBER(SEARCH(설정!$A$46,K165))),설정!$B$46,IF(AND(설정!$A$47&lt;&gt;"",ISNUMBER(SEARCH(설정!$A$47,K165))),설정!$B$47,IF(AND(설정!$A$48&lt;&gt;"",ISNUMBER(SEARCH(설정!$A$48,K165))),설정!$B$48,IF(M165="","설계사","시공사"))))))))),"")</f>
        <v/>
      </c>
      <c r="V165">
        <f>SUBSTITUTE(SUBSTITUTE(SUBSTITUTE(SUBSTITUTE(G165,"(주)",""),"㈜",""),"주식회사","")," ","")</f>
        <v/>
      </c>
      <c r="W165">
        <f>IF(AND(T165,V165&lt;&gt;""),IF(COUNTIFS(V$2:V165,V165,T$2:T165,TRUE)=1,MAX(W$1:W164)+1,""),"")</f>
        <v/>
      </c>
      <c r="X165">
        <f>IFERROR(INDEX('1.산군_붙여넣기'!$A$1:$AZ$1001,ROW(),설정!$C$14)&amp;"","")</f>
        <v/>
      </c>
      <c r="Y165">
        <f>IFERROR(INDEX('1.산군_붙여넣기'!$A$1:$AZ$1001,ROW(),설정!$C$15)&amp;"","")</f>
        <v/>
      </c>
      <c r="Z165">
        <f>IF(T165,V165&amp;"|"&amp;U165,"")</f>
        <v/>
      </c>
    </row>
    <row r="166">
      <c r="A166">
        <f>ROW()</f>
        <v/>
      </c>
      <c r="B166">
        <f>IFERROR(INDEX('1.산군_붙여넣기'!$A$1:$AZ$1001,ROW(),설정!$C$4)&amp;"","")</f>
        <v/>
      </c>
      <c r="C166">
        <f>IFERROR(INDEX('1.산군_붙여넣기'!$A$1:$AZ$1001,ROW(),설정!$C$5)&amp;"","")</f>
        <v/>
      </c>
      <c r="D166" s="5">
        <f>IFERROR(VALUE(SUBSTITUTE(SUBSTITUTE(SUBSTITUTE(IFERROR(INDEX('1.산군_붙여넣기'!$A$1:$AZ$1001,ROW(),설정!$C$6)&amp;"",""),",",""),"㎡",""),"m2","")),"")</f>
        <v/>
      </c>
      <c r="E166">
        <f>IFERROR(INDEX('1.산군_붙여넣기'!$A$1:$AZ$1001,ROW(),설정!$C$7)&amp;"","")</f>
        <v/>
      </c>
      <c r="F166">
        <f>IFERROR(INDEX('1.산군_붙여넣기'!$A$1:$AZ$1001,ROW(),설정!$C$8)&amp;"","")</f>
        <v/>
      </c>
      <c r="G166">
        <f>IFERROR(INDEX('1.산군_붙여넣기'!$A$1:$AZ$1001,ROW(),설정!$C$9)&amp;"","")</f>
        <v/>
      </c>
      <c r="H166">
        <f>IFERROR(INDEX('1.산군_붙여넣기'!$A$1:$AZ$1001,ROW(),설정!$C$10)&amp;"","")</f>
        <v/>
      </c>
      <c r="I166">
        <f>IFERROR(INDEX('1.산군_붙여넣기'!$A$1:$AZ$1001,ROW(),설정!$C$11)&amp;"","")</f>
        <v/>
      </c>
      <c r="J166">
        <f>IFERROR(INDEX('1.산군_붙여넣기'!$A$1:$AZ$1001,ROW(),설정!$C$12)&amp;"","")</f>
        <v/>
      </c>
      <c r="K166">
        <f>IFERROR(INDEX('1.산군_붙여넣기'!$A$1:$AZ$1001,ROW(),설정!$C$13)&amp;"","")</f>
        <v/>
      </c>
      <c r="L166" s="6">
        <f>IF(X166="","",IF(AND(LEN(X166)=8,ISNUMBER(X166*1)),DATE(LEFT(X166,4),MID(X166,5,2),RIGHT(X166,2)),IFERROR(DATEVALUE(SUBSTITUTE(SUBSTITUTE(X166,".","-"),"/","-")),IFERROR(X166*1,""))))</f>
        <v/>
      </c>
      <c r="M166" s="6">
        <f>IF(Y166="","",IF(AND(LEN(Y166)=8,ISNUMBER(Y166*1)),DATE(LEFT(Y166,4),MID(Y166,5,2),RIGHT(Y166,2)),IFERROR(DATEVALUE(SUBSTITUTE(SUBSTITUTE(Y166,".","-"),"/","-")),IFERROR(Y166*1,""))))</f>
        <v/>
      </c>
      <c r="N166">
        <f>IFERROR(LEFT(B166,FIND(" ",B166)-1),B166)</f>
        <v/>
      </c>
      <c r="O166">
        <f>AND(B166&lt;&gt;"",B166&lt;&gt;설정!$B$4,C166&lt;&gt;설정!$B$5)</f>
        <v/>
      </c>
      <c r="P166">
        <f>IF(O166,B166&amp;"|"&amp;C166,"")</f>
        <v/>
      </c>
      <c r="Q166">
        <f>AND(O166,COUNTIF(P167:P$1002,P166)=0)</f>
        <v/>
      </c>
      <c r="R166">
        <f>OR(AND(설정!$A$28&lt;&gt;"",ISNUMBER(SEARCH(설정!$A$28,E166&amp;" "&amp;C166))),AND(설정!$A$29&lt;&gt;"",ISNUMBER(SEARCH(설정!$A$29,E166&amp;" "&amp;C166))),AND(설정!$A$30&lt;&gt;"",ISNUMBER(SEARCH(설정!$A$30,E166&amp;" "&amp;C166))),AND(설정!$A$31&lt;&gt;"",ISNUMBER(SEARCH(설정!$A$31,E166&amp;" "&amp;C166))),AND(설정!$A$32&lt;&gt;"",ISNUMBER(SEARCH(설정!$A$32,E166&amp;" "&amp;C166))),AND(설정!$A$33&lt;&gt;"",ISNUMBER(SEARCH(설정!$A$33,E166&amp;" "&amp;C166))),AND(설정!$A$34&lt;&gt;"",ISNUMBER(SEARCH(설정!$A$34,E166&amp;" "&amp;C166))),AND(설정!$A$35&lt;&gt;"",ISNUMBER(SEARCH(설정!$A$35,E166&amp;" "&amp;C166))),AND(설정!$A$36&lt;&gt;"",ISNUMBER(SEARCH(설정!$A$36,E166&amp;" "&amp;C166))),AND(설정!$A$37&lt;&gt;"",ISNUMBER(SEARCH(설정!$A$37,E166&amp;" "&amp;C166))))</f>
        <v/>
      </c>
      <c r="S166">
        <f>OR(D166="",D166&gt;=설정!$B$19)</f>
        <v/>
      </c>
      <c r="T166">
        <f>AND(Q166,R166,S166)</f>
        <v/>
      </c>
      <c r="U166">
        <f>IF(T166,IF(AND(설정!$A$41&lt;&gt;"",ISNUMBER(SEARCH(설정!$A$41,K166))),설정!$B$41,IF(AND(설정!$A$42&lt;&gt;"",ISNUMBER(SEARCH(설정!$A$42,K166))),설정!$B$42,IF(AND(설정!$A$43&lt;&gt;"",ISNUMBER(SEARCH(설정!$A$43,K166))),설정!$B$43,IF(AND(설정!$A$44&lt;&gt;"",ISNUMBER(SEARCH(설정!$A$44,K166))),설정!$B$44,IF(AND(설정!$A$45&lt;&gt;"",ISNUMBER(SEARCH(설정!$A$45,K166))),설정!$B$45,IF(AND(설정!$A$46&lt;&gt;"",ISNUMBER(SEARCH(설정!$A$46,K166))),설정!$B$46,IF(AND(설정!$A$47&lt;&gt;"",ISNUMBER(SEARCH(설정!$A$47,K166))),설정!$B$47,IF(AND(설정!$A$48&lt;&gt;"",ISNUMBER(SEARCH(설정!$A$48,K166))),설정!$B$48,IF(M166="","설계사","시공사"))))))))),"")</f>
        <v/>
      </c>
      <c r="V166">
        <f>SUBSTITUTE(SUBSTITUTE(SUBSTITUTE(SUBSTITUTE(G166,"(주)",""),"㈜",""),"주식회사","")," ","")</f>
        <v/>
      </c>
      <c r="W166">
        <f>IF(AND(T166,V166&lt;&gt;""),IF(COUNTIFS(V$2:V166,V166,T$2:T166,TRUE)=1,MAX(W$1:W165)+1,""),"")</f>
        <v/>
      </c>
      <c r="X166">
        <f>IFERROR(INDEX('1.산군_붙여넣기'!$A$1:$AZ$1001,ROW(),설정!$C$14)&amp;"","")</f>
        <v/>
      </c>
      <c r="Y166">
        <f>IFERROR(INDEX('1.산군_붙여넣기'!$A$1:$AZ$1001,ROW(),설정!$C$15)&amp;"","")</f>
        <v/>
      </c>
      <c r="Z166">
        <f>IF(T166,V166&amp;"|"&amp;U166,"")</f>
        <v/>
      </c>
    </row>
    <row r="167">
      <c r="A167">
        <f>ROW()</f>
        <v/>
      </c>
      <c r="B167">
        <f>IFERROR(INDEX('1.산군_붙여넣기'!$A$1:$AZ$1001,ROW(),설정!$C$4)&amp;"","")</f>
        <v/>
      </c>
      <c r="C167">
        <f>IFERROR(INDEX('1.산군_붙여넣기'!$A$1:$AZ$1001,ROW(),설정!$C$5)&amp;"","")</f>
        <v/>
      </c>
      <c r="D167" s="5">
        <f>IFERROR(VALUE(SUBSTITUTE(SUBSTITUTE(SUBSTITUTE(IFERROR(INDEX('1.산군_붙여넣기'!$A$1:$AZ$1001,ROW(),설정!$C$6)&amp;"",""),",",""),"㎡",""),"m2","")),"")</f>
        <v/>
      </c>
      <c r="E167">
        <f>IFERROR(INDEX('1.산군_붙여넣기'!$A$1:$AZ$1001,ROW(),설정!$C$7)&amp;"","")</f>
        <v/>
      </c>
      <c r="F167">
        <f>IFERROR(INDEX('1.산군_붙여넣기'!$A$1:$AZ$1001,ROW(),설정!$C$8)&amp;"","")</f>
        <v/>
      </c>
      <c r="G167">
        <f>IFERROR(INDEX('1.산군_붙여넣기'!$A$1:$AZ$1001,ROW(),설정!$C$9)&amp;"","")</f>
        <v/>
      </c>
      <c r="H167">
        <f>IFERROR(INDEX('1.산군_붙여넣기'!$A$1:$AZ$1001,ROW(),설정!$C$10)&amp;"","")</f>
        <v/>
      </c>
      <c r="I167">
        <f>IFERROR(INDEX('1.산군_붙여넣기'!$A$1:$AZ$1001,ROW(),설정!$C$11)&amp;"","")</f>
        <v/>
      </c>
      <c r="J167">
        <f>IFERROR(INDEX('1.산군_붙여넣기'!$A$1:$AZ$1001,ROW(),설정!$C$12)&amp;"","")</f>
        <v/>
      </c>
      <c r="K167">
        <f>IFERROR(INDEX('1.산군_붙여넣기'!$A$1:$AZ$1001,ROW(),설정!$C$13)&amp;"","")</f>
        <v/>
      </c>
      <c r="L167" s="6">
        <f>IF(X167="","",IF(AND(LEN(X167)=8,ISNUMBER(X167*1)),DATE(LEFT(X167,4),MID(X167,5,2),RIGHT(X167,2)),IFERROR(DATEVALUE(SUBSTITUTE(SUBSTITUTE(X167,".","-"),"/","-")),IFERROR(X167*1,""))))</f>
        <v/>
      </c>
      <c r="M167" s="6">
        <f>IF(Y167="","",IF(AND(LEN(Y167)=8,ISNUMBER(Y167*1)),DATE(LEFT(Y167,4),MID(Y167,5,2),RIGHT(Y167,2)),IFERROR(DATEVALUE(SUBSTITUTE(SUBSTITUTE(Y167,".","-"),"/","-")),IFERROR(Y167*1,""))))</f>
        <v/>
      </c>
      <c r="N167">
        <f>IFERROR(LEFT(B167,FIND(" ",B167)-1),B167)</f>
        <v/>
      </c>
      <c r="O167">
        <f>AND(B167&lt;&gt;"",B167&lt;&gt;설정!$B$4,C167&lt;&gt;설정!$B$5)</f>
        <v/>
      </c>
      <c r="P167">
        <f>IF(O167,B167&amp;"|"&amp;C167,"")</f>
        <v/>
      </c>
      <c r="Q167">
        <f>AND(O167,COUNTIF(P168:P$1002,P167)=0)</f>
        <v/>
      </c>
      <c r="R167">
        <f>OR(AND(설정!$A$28&lt;&gt;"",ISNUMBER(SEARCH(설정!$A$28,E167&amp;" "&amp;C167))),AND(설정!$A$29&lt;&gt;"",ISNUMBER(SEARCH(설정!$A$29,E167&amp;" "&amp;C167))),AND(설정!$A$30&lt;&gt;"",ISNUMBER(SEARCH(설정!$A$30,E167&amp;" "&amp;C167))),AND(설정!$A$31&lt;&gt;"",ISNUMBER(SEARCH(설정!$A$31,E167&amp;" "&amp;C167))),AND(설정!$A$32&lt;&gt;"",ISNUMBER(SEARCH(설정!$A$32,E167&amp;" "&amp;C167))),AND(설정!$A$33&lt;&gt;"",ISNUMBER(SEARCH(설정!$A$33,E167&amp;" "&amp;C167))),AND(설정!$A$34&lt;&gt;"",ISNUMBER(SEARCH(설정!$A$34,E167&amp;" "&amp;C167))),AND(설정!$A$35&lt;&gt;"",ISNUMBER(SEARCH(설정!$A$35,E167&amp;" "&amp;C167))),AND(설정!$A$36&lt;&gt;"",ISNUMBER(SEARCH(설정!$A$36,E167&amp;" "&amp;C167))),AND(설정!$A$37&lt;&gt;"",ISNUMBER(SEARCH(설정!$A$37,E167&amp;" "&amp;C167))))</f>
        <v/>
      </c>
      <c r="S167">
        <f>OR(D167="",D167&gt;=설정!$B$19)</f>
        <v/>
      </c>
      <c r="T167">
        <f>AND(Q167,R167,S167)</f>
        <v/>
      </c>
      <c r="U167">
        <f>IF(T167,IF(AND(설정!$A$41&lt;&gt;"",ISNUMBER(SEARCH(설정!$A$41,K167))),설정!$B$41,IF(AND(설정!$A$42&lt;&gt;"",ISNUMBER(SEARCH(설정!$A$42,K167))),설정!$B$42,IF(AND(설정!$A$43&lt;&gt;"",ISNUMBER(SEARCH(설정!$A$43,K167))),설정!$B$43,IF(AND(설정!$A$44&lt;&gt;"",ISNUMBER(SEARCH(설정!$A$44,K167))),설정!$B$44,IF(AND(설정!$A$45&lt;&gt;"",ISNUMBER(SEARCH(설정!$A$45,K167))),설정!$B$45,IF(AND(설정!$A$46&lt;&gt;"",ISNUMBER(SEARCH(설정!$A$46,K167))),설정!$B$46,IF(AND(설정!$A$47&lt;&gt;"",ISNUMBER(SEARCH(설정!$A$47,K167))),설정!$B$47,IF(AND(설정!$A$48&lt;&gt;"",ISNUMBER(SEARCH(설정!$A$48,K167))),설정!$B$48,IF(M167="","설계사","시공사"))))))))),"")</f>
        <v/>
      </c>
      <c r="V167">
        <f>SUBSTITUTE(SUBSTITUTE(SUBSTITUTE(SUBSTITUTE(G167,"(주)",""),"㈜",""),"주식회사","")," ","")</f>
        <v/>
      </c>
      <c r="W167">
        <f>IF(AND(T167,V167&lt;&gt;""),IF(COUNTIFS(V$2:V167,V167,T$2:T167,TRUE)=1,MAX(W$1:W166)+1,""),"")</f>
        <v/>
      </c>
      <c r="X167">
        <f>IFERROR(INDEX('1.산군_붙여넣기'!$A$1:$AZ$1001,ROW(),설정!$C$14)&amp;"","")</f>
        <v/>
      </c>
      <c r="Y167">
        <f>IFERROR(INDEX('1.산군_붙여넣기'!$A$1:$AZ$1001,ROW(),설정!$C$15)&amp;"","")</f>
        <v/>
      </c>
      <c r="Z167">
        <f>IF(T167,V167&amp;"|"&amp;U167,"")</f>
        <v/>
      </c>
    </row>
    <row r="168">
      <c r="A168">
        <f>ROW()</f>
        <v/>
      </c>
      <c r="B168">
        <f>IFERROR(INDEX('1.산군_붙여넣기'!$A$1:$AZ$1001,ROW(),설정!$C$4)&amp;"","")</f>
        <v/>
      </c>
      <c r="C168">
        <f>IFERROR(INDEX('1.산군_붙여넣기'!$A$1:$AZ$1001,ROW(),설정!$C$5)&amp;"","")</f>
        <v/>
      </c>
      <c r="D168" s="5">
        <f>IFERROR(VALUE(SUBSTITUTE(SUBSTITUTE(SUBSTITUTE(IFERROR(INDEX('1.산군_붙여넣기'!$A$1:$AZ$1001,ROW(),설정!$C$6)&amp;"",""),",",""),"㎡",""),"m2","")),"")</f>
        <v/>
      </c>
      <c r="E168">
        <f>IFERROR(INDEX('1.산군_붙여넣기'!$A$1:$AZ$1001,ROW(),설정!$C$7)&amp;"","")</f>
        <v/>
      </c>
      <c r="F168">
        <f>IFERROR(INDEX('1.산군_붙여넣기'!$A$1:$AZ$1001,ROW(),설정!$C$8)&amp;"","")</f>
        <v/>
      </c>
      <c r="G168">
        <f>IFERROR(INDEX('1.산군_붙여넣기'!$A$1:$AZ$1001,ROW(),설정!$C$9)&amp;"","")</f>
        <v/>
      </c>
      <c r="H168">
        <f>IFERROR(INDEX('1.산군_붙여넣기'!$A$1:$AZ$1001,ROW(),설정!$C$10)&amp;"","")</f>
        <v/>
      </c>
      <c r="I168">
        <f>IFERROR(INDEX('1.산군_붙여넣기'!$A$1:$AZ$1001,ROW(),설정!$C$11)&amp;"","")</f>
        <v/>
      </c>
      <c r="J168">
        <f>IFERROR(INDEX('1.산군_붙여넣기'!$A$1:$AZ$1001,ROW(),설정!$C$12)&amp;"","")</f>
        <v/>
      </c>
      <c r="K168">
        <f>IFERROR(INDEX('1.산군_붙여넣기'!$A$1:$AZ$1001,ROW(),설정!$C$13)&amp;"","")</f>
        <v/>
      </c>
      <c r="L168" s="6">
        <f>IF(X168="","",IF(AND(LEN(X168)=8,ISNUMBER(X168*1)),DATE(LEFT(X168,4),MID(X168,5,2),RIGHT(X168,2)),IFERROR(DATEVALUE(SUBSTITUTE(SUBSTITUTE(X168,".","-"),"/","-")),IFERROR(X168*1,""))))</f>
        <v/>
      </c>
      <c r="M168" s="6">
        <f>IF(Y168="","",IF(AND(LEN(Y168)=8,ISNUMBER(Y168*1)),DATE(LEFT(Y168,4),MID(Y168,5,2),RIGHT(Y168,2)),IFERROR(DATEVALUE(SUBSTITUTE(SUBSTITUTE(Y168,".","-"),"/","-")),IFERROR(Y168*1,""))))</f>
        <v/>
      </c>
      <c r="N168">
        <f>IFERROR(LEFT(B168,FIND(" ",B168)-1),B168)</f>
        <v/>
      </c>
      <c r="O168">
        <f>AND(B168&lt;&gt;"",B168&lt;&gt;설정!$B$4,C168&lt;&gt;설정!$B$5)</f>
        <v/>
      </c>
      <c r="P168">
        <f>IF(O168,B168&amp;"|"&amp;C168,"")</f>
        <v/>
      </c>
      <c r="Q168">
        <f>AND(O168,COUNTIF(P169:P$1002,P168)=0)</f>
        <v/>
      </c>
      <c r="R168">
        <f>OR(AND(설정!$A$28&lt;&gt;"",ISNUMBER(SEARCH(설정!$A$28,E168&amp;" "&amp;C168))),AND(설정!$A$29&lt;&gt;"",ISNUMBER(SEARCH(설정!$A$29,E168&amp;" "&amp;C168))),AND(설정!$A$30&lt;&gt;"",ISNUMBER(SEARCH(설정!$A$30,E168&amp;" "&amp;C168))),AND(설정!$A$31&lt;&gt;"",ISNUMBER(SEARCH(설정!$A$31,E168&amp;" "&amp;C168))),AND(설정!$A$32&lt;&gt;"",ISNUMBER(SEARCH(설정!$A$32,E168&amp;" "&amp;C168))),AND(설정!$A$33&lt;&gt;"",ISNUMBER(SEARCH(설정!$A$33,E168&amp;" "&amp;C168))),AND(설정!$A$34&lt;&gt;"",ISNUMBER(SEARCH(설정!$A$34,E168&amp;" "&amp;C168))),AND(설정!$A$35&lt;&gt;"",ISNUMBER(SEARCH(설정!$A$35,E168&amp;" "&amp;C168))),AND(설정!$A$36&lt;&gt;"",ISNUMBER(SEARCH(설정!$A$36,E168&amp;" "&amp;C168))),AND(설정!$A$37&lt;&gt;"",ISNUMBER(SEARCH(설정!$A$37,E168&amp;" "&amp;C168))))</f>
        <v/>
      </c>
      <c r="S168">
        <f>OR(D168="",D168&gt;=설정!$B$19)</f>
        <v/>
      </c>
      <c r="T168">
        <f>AND(Q168,R168,S168)</f>
        <v/>
      </c>
      <c r="U168">
        <f>IF(T168,IF(AND(설정!$A$41&lt;&gt;"",ISNUMBER(SEARCH(설정!$A$41,K168))),설정!$B$41,IF(AND(설정!$A$42&lt;&gt;"",ISNUMBER(SEARCH(설정!$A$42,K168))),설정!$B$42,IF(AND(설정!$A$43&lt;&gt;"",ISNUMBER(SEARCH(설정!$A$43,K168))),설정!$B$43,IF(AND(설정!$A$44&lt;&gt;"",ISNUMBER(SEARCH(설정!$A$44,K168))),설정!$B$44,IF(AND(설정!$A$45&lt;&gt;"",ISNUMBER(SEARCH(설정!$A$45,K168))),설정!$B$45,IF(AND(설정!$A$46&lt;&gt;"",ISNUMBER(SEARCH(설정!$A$46,K168))),설정!$B$46,IF(AND(설정!$A$47&lt;&gt;"",ISNUMBER(SEARCH(설정!$A$47,K168))),설정!$B$47,IF(AND(설정!$A$48&lt;&gt;"",ISNUMBER(SEARCH(설정!$A$48,K168))),설정!$B$48,IF(M168="","설계사","시공사"))))))))),"")</f>
        <v/>
      </c>
      <c r="V168">
        <f>SUBSTITUTE(SUBSTITUTE(SUBSTITUTE(SUBSTITUTE(G168,"(주)",""),"㈜",""),"주식회사","")," ","")</f>
        <v/>
      </c>
      <c r="W168">
        <f>IF(AND(T168,V168&lt;&gt;""),IF(COUNTIFS(V$2:V168,V168,T$2:T168,TRUE)=1,MAX(W$1:W167)+1,""),"")</f>
        <v/>
      </c>
      <c r="X168">
        <f>IFERROR(INDEX('1.산군_붙여넣기'!$A$1:$AZ$1001,ROW(),설정!$C$14)&amp;"","")</f>
        <v/>
      </c>
      <c r="Y168">
        <f>IFERROR(INDEX('1.산군_붙여넣기'!$A$1:$AZ$1001,ROW(),설정!$C$15)&amp;"","")</f>
        <v/>
      </c>
      <c r="Z168">
        <f>IF(T168,V168&amp;"|"&amp;U168,"")</f>
        <v/>
      </c>
    </row>
    <row r="169">
      <c r="A169">
        <f>ROW()</f>
        <v/>
      </c>
      <c r="B169">
        <f>IFERROR(INDEX('1.산군_붙여넣기'!$A$1:$AZ$1001,ROW(),설정!$C$4)&amp;"","")</f>
        <v/>
      </c>
      <c r="C169">
        <f>IFERROR(INDEX('1.산군_붙여넣기'!$A$1:$AZ$1001,ROW(),설정!$C$5)&amp;"","")</f>
        <v/>
      </c>
      <c r="D169" s="5">
        <f>IFERROR(VALUE(SUBSTITUTE(SUBSTITUTE(SUBSTITUTE(IFERROR(INDEX('1.산군_붙여넣기'!$A$1:$AZ$1001,ROW(),설정!$C$6)&amp;"",""),",",""),"㎡",""),"m2","")),"")</f>
        <v/>
      </c>
      <c r="E169">
        <f>IFERROR(INDEX('1.산군_붙여넣기'!$A$1:$AZ$1001,ROW(),설정!$C$7)&amp;"","")</f>
        <v/>
      </c>
      <c r="F169">
        <f>IFERROR(INDEX('1.산군_붙여넣기'!$A$1:$AZ$1001,ROW(),설정!$C$8)&amp;"","")</f>
        <v/>
      </c>
      <c r="G169">
        <f>IFERROR(INDEX('1.산군_붙여넣기'!$A$1:$AZ$1001,ROW(),설정!$C$9)&amp;"","")</f>
        <v/>
      </c>
      <c r="H169">
        <f>IFERROR(INDEX('1.산군_붙여넣기'!$A$1:$AZ$1001,ROW(),설정!$C$10)&amp;"","")</f>
        <v/>
      </c>
      <c r="I169">
        <f>IFERROR(INDEX('1.산군_붙여넣기'!$A$1:$AZ$1001,ROW(),설정!$C$11)&amp;"","")</f>
        <v/>
      </c>
      <c r="J169">
        <f>IFERROR(INDEX('1.산군_붙여넣기'!$A$1:$AZ$1001,ROW(),설정!$C$12)&amp;"","")</f>
        <v/>
      </c>
      <c r="K169">
        <f>IFERROR(INDEX('1.산군_붙여넣기'!$A$1:$AZ$1001,ROW(),설정!$C$13)&amp;"","")</f>
        <v/>
      </c>
      <c r="L169" s="6">
        <f>IF(X169="","",IF(AND(LEN(X169)=8,ISNUMBER(X169*1)),DATE(LEFT(X169,4),MID(X169,5,2),RIGHT(X169,2)),IFERROR(DATEVALUE(SUBSTITUTE(SUBSTITUTE(X169,".","-"),"/","-")),IFERROR(X169*1,""))))</f>
        <v/>
      </c>
      <c r="M169" s="6">
        <f>IF(Y169="","",IF(AND(LEN(Y169)=8,ISNUMBER(Y169*1)),DATE(LEFT(Y169,4),MID(Y169,5,2),RIGHT(Y169,2)),IFERROR(DATEVALUE(SUBSTITUTE(SUBSTITUTE(Y169,".","-"),"/","-")),IFERROR(Y169*1,""))))</f>
        <v/>
      </c>
      <c r="N169">
        <f>IFERROR(LEFT(B169,FIND(" ",B169)-1),B169)</f>
        <v/>
      </c>
      <c r="O169">
        <f>AND(B169&lt;&gt;"",B169&lt;&gt;설정!$B$4,C169&lt;&gt;설정!$B$5)</f>
        <v/>
      </c>
      <c r="P169">
        <f>IF(O169,B169&amp;"|"&amp;C169,"")</f>
        <v/>
      </c>
      <c r="Q169">
        <f>AND(O169,COUNTIF(P170:P$1002,P169)=0)</f>
        <v/>
      </c>
      <c r="R169">
        <f>OR(AND(설정!$A$28&lt;&gt;"",ISNUMBER(SEARCH(설정!$A$28,E169&amp;" "&amp;C169))),AND(설정!$A$29&lt;&gt;"",ISNUMBER(SEARCH(설정!$A$29,E169&amp;" "&amp;C169))),AND(설정!$A$30&lt;&gt;"",ISNUMBER(SEARCH(설정!$A$30,E169&amp;" "&amp;C169))),AND(설정!$A$31&lt;&gt;"",ISNUMBER(SEARCH(설정!$A$31,E169&amp;" "&amp;C169))),AND(설정!$A$32&lt;&gt;"",ISNUMBER(SEARCH(설정!$A$32,E169&amp;" "&amp;C169))),AND(설정!$A$33&lt;&gt;"",ISNUMBER(SEARCH(설정!$A$33,E169&amp;" "&amp;C169))),AND(설정!$A$34&lt;&gt;"",ISNUMBER(SEARCH(설정!$A$34,E169&amp;" "&amp;C169))),AND(설정!$A$35&lt;&gt;"",ISNUMBER(SEARCH(설정!$A$35,E169&amp;" "&amp;C169))),AND(설정!$A$36&lt;&gt;"",ISNUMBER(SEARCH(설정!$A$36,E169&amp;" "&amp;C169))),AND(설정!$A$37&lt;&gt;"",ISNUMBER(SEARCH(설정!$A$37,E169&amp;" "&amp;C169))))</f>
        <v/>
      </c>
      <c r="S169">
        <f>OR(D169="",D169&gt;=설정!$B$19)</f>
        <v/>
      </c>
      <c r="T169">
        <f>AND(Q169,R169,S169)</f>
        <v/>
      </c>
      <c r="U169">
        <f>IF(T169,IF(AND(설정!$A$41&lt;&gt;"",ISNUMBER(SEARCH(설정!$A$41,K169))),설정!$B$41,IF(AND(설정!$A$42&lt;&gt;"",ISNUMBER(SEARCH(설정!$A$42,K169))),설정!$B$42,IF(AND(설정!$A$43&lt;&gt;"",ISNUMBER(SEARCH(설정!$A$43,K169))),설정!$B$43,IF(AND(설정!$A$44&lt;&gt;"",ISNUMBER(SEARCH(설정!$A$44,K169))),설정!$B$44,IF(AND(설정!$A$45&lt;&gt;"",ISNUMBER(SEARCH(설정!$A$45,K169))),설정!$B$45,IF(AND(설정!$A$46&lt;&gt;"",ISNUMBER(SEARCH(설정!$A$46,K169))),설정!$B$46,IF(AND(설정!$A$47&lt;&gt;"",ISNUMBER(SEARCH(설정!$A$47,K169))),설정!$B$47,IF(AND(설정!$A$48&lt;&gt;"",ISNUMBER(SEARCH(설정!$A$48,K169))),설정!$B$48,IF(M169="","설계사","시공사"))))))))),"")</f>
        <v/>
      </c>
      <c r="V169">
        <f>SUBSTITUTE(SUBSTITUTE(SUBSTITUTE(SUBSTITUTE(G169,"(주)",""),"㈜",""),"주식회사","")," ","")</f>
        <v/>
      </c>
      <c r="W169">
        <f>IF(AND(T169,V169&lt;&gt;""),IF(COUNTIFS(V$2:V169,V169,T$2:T169,TRUE)=1,MAX(W$1:W168)+1,""),"")</f>
        <v/>
      </c>
      <c r="X169">
        <f>IFERROR(INDEX('1.산군_붙여넣기'!$A$1:$AZ$1001,ROW(),설정!$C$14)&amp;"","")</f>
        <v/>
      </c>
      <c r="Y169">
        <f>IFERROR(INDEX('1.산군_붙여넣기'!$A$1:$AZ$1001,ROW(),설정!$C$15)&amp;"","")</f>
        <v/>
      </c>
      <c r="Z169">
        <f>IF(T169,V169&amp;"|"&amp;U169,"")</f>
        <v/>
      </c>
    </row>
    <row r="170">
      <c r="A170">
        <f>ROW()</f>
        <v/>
      </c>
      <c r="B170">
        <f>IFERROR(INDEX('1.산군_붙여넣기'!$A$1:$AZ$1001,ROW(),설정!$C$4)&amp;"","")</f>
        <v/>
      </c>
      <c r="C170">
        <f>IFERROR(INDEX('1.산군_붙여넣기'!$A$1:$AZ$1001,ROW(),설정!$C$5)&amp;"","")</f>
        <v/>
      </c>
      <c r="D170" s="5">
        <f>IFERROR(VALUE(SUBSTITUTE(SUBSTITUTE(SUBSTITUTE(IFERROR(INDEX('1.산군_붙여넣기'!$A$1:$AZ$1001,ROW(),설정!$C$6)&amp;"",""),",",""),"㎡",""),"m2","")),"")</f>
        <v/>
      </c>
      <c r="E170">
        <f>IFERROR(INDEX('1.산군_붙여넣기'!$A$1:$AZ$1001,ROW(),설정!$C$7)&amp;"","")</f>
        <v/>
      </c>
      <c r="F170">
        <f>IFERROR(INDEX('1.산군_붙여넣기'!$A$1:$AZ$1001,ROW(),설정!$C$8)&amp;"","")</f>
        <v/>
      </c>
      <c r="G170">
        <f>IFERROR(INDEX('1.산군_붙여넣기'!$A$1:$AZ$1001,ROW(),설정!$C$9)&amp;"","")</f>
        <v/>
      </c>
      <c r="H170">
        <f>IFERROR(INDEX('1.산군_붙여넣기'!$A$1:$AZ$1001,ROW(),설정!$C$10)&amp;"","")</f>
        <v/>
      </c>
      <c r="I170">
        <f>IFERROR(INDEX('1.산군_붙여넣기'!$A$1:$AZ$1001,ROW(),설정!$C$11)&amp;"","")</f>
        <v/>
      </c>
      <c r="J170">
        <f>IFERROR(INDEX('1.산군_붙여넣기'!$A$1:$AZ$1001,ROW(),설정!$C$12)&amp;"","")</f>
        <v/>
      </c>
      <c r="K170">
        <f>IFERROR(INDEX('1.산군_붙여넣기'!$A$1:$AZ$1001,ROW(),설정!$C$13)&amp;"","")</f>
        <v/>
      </c>
      <c r="L170" s="6">
        <f>IF(X170="","",IF(AND(LEN(X170)=8,ISNUMBER(X170*1)),DATE(LEFT(X170,4),MID(X170,5,2),RIGHT(X170,2)),IFERROR(DATEVALUE(SUBSTITUTE(SUBSTITUTE(X170,".","-"),"/","-")),IFERROR(X170*1,""))))</f>
        <v/>
      </c>
      <c r="M170" s="6">
        <f>IF(Y170="","",IF(AND(LEN(Y170)=8,ISNUMBER(Y170*1)),DATE(LEFT(Y170,4),MID(Y170,5,2),RIGHT(Y170,2)),IFERROR(DATEVALUE(SUBSTITUTE(SUBSTITUTE(Y170,".","-"),"/","-")),IFERROR(Y170*1,""))))</f>
        <v/>
      </c>
      <c r="N170">
        <f>IFERROR(LEFT(B170,FIND(" ",B170)-1),B170)</f>
        <v/>
      </c>
      <c r="O170">
        <f>AND(B170&lt;&gt;"",B170&lt;&gt;설정!$B$4,C170&lt;&gt;설정!$B$5)</f>
        <v/>
      </c>
      <c r="P170">
        <f>IF(O170,B170&amp;"|"&amp;C170,"")</f>
        <v/>
      </c>
      <c r="Q170">
        <f>AND(O170,COUNTIF(P171:P$1002,P170)=0)</f>
        <v/>
      </c>
      <c r="R170">
        <f>OR(AND(설정!$A$28&lt;&gt;"",ISNUMBER(SEARCH(설정!$A$28,E170&amp;" "&amp;C170))),AND(설정!$A$29&lt;&gt;"",ISNUMBER(SEARCH(설정!$A$29,E170&amp;" "&amp;C170))),AND(설정!$A$30&lt;&gt;"",ISNUMBER(SEARCH(설정!$A$30,E170&amp;" "&amp;C170))),AND(설정!$A$31&lt;&gt;"",ISNUMBER(SEARCH(설정!$A$31,E170&amp;" "&amp;C170))),AND(설정!$A$32&lt;&gt;"",ISNUMBER(SEARCH(설정!$A$32,E170&amp;" "&amp;C170))),AND(설정!$A$33&lt;&gt;"",ISNUMBER(SEARCH(설정!$A$33,E170&amp;" "&amp;C170))),AND(설정!$A$34&lt;&gt;"",ISNUMBER(SEARCH(설정!$A$34,E170&amp;" "&amp;C170))),AND(설정!$A$35&lt;&gt;"",ISNUMBER(SEARCH(설정!$A$35,E170&amp;" "&amp;C170))),AND(설정!$A$36&lt;&gt;"",ISNUMBER(SEARCH(설정!$A$36,E170&amp;" "&amp;C170))),AND(설정!$A$37&lt;&gt;"",ISNUMBER(SEARCH(설정!$A$37,E170&amp;" "&amp;C170))))</f>
        <v/>
      </c>
      <c r="S170">
        <f>OR(D170="",D170&gt;=설정!$B$19)</f>
        <v/>
      </c>
      <c r="T170">
        <f>AND(Q170,R170,S170)</f>
        <v/>
      </c>
      <c r="U170">
        <f>IF(T170,IF(AND(설정!$A$41&lt;&gt;"",ISNUMBER(SEARCH(설정!$A$41,K170))),설정!$B$41,IF(AND(설정!$A$42&lt;&gt;"",ISNUMBER(SEARCH(설정!$A$42,K170))),설정!$B$42,IF(AND(설정!$A$43&lt;&gt;"",ISNUMBER(SEARCH(설정!$A$43,K170))),설정!$B$43,IF(AND(설정!$A$44&lt;&gt;"",ISNUMBER(SEARCH(설정!$A$44,K170))),설정!$B$44,IF(AND(설정!$A$45&lt;&gt;"",ISNUMBER(SEARCH(설정!$A$45,K170))),설정!$B$45,IF(AND(설정!$A$46&lt;&gt;"",ISNUMBER(SEARCH(설정!$A$46,K170))),설정!$B$46,IF(AND(설정!$A$47&lt;&gt;"",ISNUMBER(SEARCH(설정!$A$47,K170))),설정!$B$47,IF(AND(설정!$A$48&lt;&gt;"",ISNUMBER(SEARCH(설정!$A$48,K170))),설정!$B$48,IF(M170="","설계사","시공사"))))))))),"")</f>
        <v/>
      </c>
      <c r="V170">
        <f>SUBSTITUTE(SUBSTITUTE(SUBSTITUTE(SUBSTITUTE(G170,"(주)",""),"㈜",""),"주식회사","")," ","")</f>
        <v/>
      </c>
      <c r="W170">
        <f>IF(AND(T170,V170&lt;&gt;""),IF(COUNTIFS(V$2:V170,V170,T$2:T170,TRUE)=1,MAX(W$1:W169)+1,""),"")</f>
        <v/>
      </c>
      <c r="X170">
        <f>IFERROR(INDEX('1.산군_붙여넣기'!$A$1:$AZ$1001,ROW(),설정!$C$14)&amp;"","")</f>
        <v/>
      </c>
      <c r="Y170">
        <f>IFERROR(INDEX('1.산군_붙여넣기'!$A$1:$AZ$1001,ROW(),설정!$C$15)&amp;"","")</f>
        <v/>
      </c>
      <c r="Z170">
        <f>IF(T170,V170&amp;"|"&amp;U170,"")</f>
        <v/>
      </c>
    </row>
    <row r="171">
      <c r="A171">
        <f>ROW()</f>
        <v/>
      </c>
      <c r="B171">
        <f>IFERROR(INDEX('1.산군_붙여넣기'!$A$1:$AZ$1001,ROW(),설정!$C$4)&amp;"","")</f>
        <v/>
      </c>
      <c r="C171">
        <f>IFERROR(INDEX('1.산군_붙여넣기'!$A$1:$AZ$1001,ROW(),설정!$C$5)&amp;"","")</f>
        <v/>
      </c>
      <c r="D171" s="5">
        <f>IFERROR(VALUE(SUBSTITUTE(SUBSTITUTE(SUBSTITUTE(IFERROR(INDEX('1.산군_붙여넣기'!$A$1:$AZ$1001,ROW(),설정!$C$6)&amp;"",""),",",""),"㎡",""),"m2","")),"")</f>
        <v/>
      </c>
      <c r="E171">
        <f>IFERROR(INDEX('1.산군_붙여넣기'!$A$1:$AZ$1001,ROW(),설정!$C$7)&amp;"","")</f>
        <v/>
      </c>
      <c r="F171">
        <f>IFERROR(INDEX('1.산군_붙여넣기'!$A$1:$AZ$1001,ROW(),설정!$C$8)&amp;"","")</f>
        <v/>
      </c>
      <c r="G171">
        <f>IFERROR(INDEX('1.산군_붙여넣기'!$A$1:$AZ$1001,ROW(),설정!$C$9)&amp;"","")</f>
        <v/>
      </c>
      <c r="H171">
        <f>IFERROR(INDEX('1.산군_붙여넣기'!$A$1:$AZ$1001,ROW(),설정!$C$10)&amp;"","")</f>
        <v/>
      </c>
      <c r="I171">
        <f>IFERROR(INDEX('1.산군_붙여넣기'!$A$1:$AZ$1001,ROW(),설정!$C$11)&amp;"","")</f>
        <v/>
      </c>
      <c r="J171">
        <f>IFERROR(INDEX('1.산군_붙여넣기'!$A$1:$AZ$1001,ROW(),설정!$C$12)&amp;"","")</f>
        <v/>
      </c>
      <c r="K171">
        <f>IFERROR(INDEX('1.산군_붙여넣기'!$A$1:$AZ$1001,ROW(),설정!$C$13)&amp;"","")</f>
        <v/>
      </c>
      <c r="L171" s="6">
        <f>IF(X171="","",IF(AND(LEN(X171)=8,ISNUMBER(X171*1)),DATE(LEFT(X171,4),MID(X171,5,2),RIGHT(X171,2)),IFERROR(DATEVALUE(SUBSTITUTE(SUBSTITUTE(X171,".","-"),"/","-")),IFERROR(X171*1,""))))</f>
        <v/>
      </c>
      <c r="M171" s="6">
        <f>IF(Y171="","",IF(AND(LEN(Y171)=8,ISNUMBER(Y171*1)),DATE(LEFT(Y171,4),MID(Y171,5,2),RIGHT(Y171,2)),IFERROR(DATEVALUE(SUBSTITUTE(SUBSTITUTE(Y171,".","-"),"/","-")),IFERROR(Y171*1,""))))</f>
        <v/>
      </c>
      <c r="N171">
        <f>IFERROR(LEFT(B171,FIND(" ",B171)-1),B171)</f>
        <v/>
      </c>
      <c r="O171">
        <f>AND(B171&lt;&gt;"",B171&lt;&gt;설정!$B$4,C171&lt;&gt;설정!$B$5)</f>
        <v/>
      </c>
      <c r="P171">
        <f>IF(O171,B171&amp;"|"&amp;C171,"")</f>
        <v/>
      </c>
      <c r="Q171">
        <f>AND(O171,COUNTIF(P172:P$1002,P171)=0)</f>
        <v/>
      </c>
      <c r="R171">
        <f>OR(AND(설정!$A$28&lt;&gt;"",ISNUMBER(SEARCH(설정!$A$28,E171&amp;" "&amp;C171))),AND(설정!$A$29&lt;&gt;"",ISNUMBER(SEARCH(설정!$A$29,E171&amp;" "&amp;C171))),AND(설정!$A$30&lt;&gt;"",ISNUMBER(SEARCH(설정!$A$30,E171&amp;" "&amp;C171))),AND(설정!$A$31&lt;&gt;"",ISNUMBER(SEARCH(설정!$A$31,E171&amp;" "&amp;C171))),AND(설정!$A$32&lt;&gt;"",ISNUMBER(SEARCH(설정!$A$32,E171&amp;" "&amp;C171))),AND(설정!$A$33&lt;&gt;"",ISNUMBER(SEARCH(설정!$A$33,E171&amp;" "&amp;C171))),AND(설정!$A$34&lt;&gt;"",ISNUMBER(SEARCH(설정!$A$34,E171&amp;" "&amp;C171))),AND(설정!$A$35&lt;&gt;"",ISNUMBER(SEARCH(설정!$A$35,E171&amp;" "&amp;C171))),AND(설정!$A$36&lt;&gt;"",ISNUMBER(SEARCH(설정!$A$36,E171&amp;" "&amp;C171))),AND(설정!$A$37&lt;&gt;"",ISNUMBER(SEARCH(설정!$A$37,E171&amp;" "&amp;C171))))</f>
        <v/>
      </c>
      <c r="S171">
        <f>OR(D171="",D171&gt;=설정!$B$19)</f>
        <v/>
      </c>
      <c r="T171">
        <f>AND(Q171,R171,S171)</f>
        <v/>
      </c>
      <c r="U171">
        <f>IF(T171,IF(AND(설정!$A$41&lt;&gt;"",ISNUMBER(SEARCH(설정!$A$41,K171))),설정!$B$41,IF(AND(설정!$A$42&lt;&gt;"",ISNUMBER(SEARCH(설정!$A$42,K171))),설정!$B$42,IF(AND(설정!$A$43&lt;&gt;"",ISNUMBER(SEARCH(설정!$A$43,K171))),설정!$B$43,IF(AND(설정!$A$44&lt;&gt;"",ISNUMBER(SEARCH(설정!$A$44,K171))),설정!$B$44,IF(AND(설정!$A$45&lt;&gt;"",ISNUMBER(SEARCH(설정!$A$45,K171))),설정!$B$45,IF(AND(설정!$A$46&lt;&gt;"",ISNUMBER(SEARCH(설정!$A$46,K171))),설정!$B$46,IF(AND(설정!$A$47&lt;&gt;"",ISNUMBER(SEARCH(설정!$A$47,K171))),설정!$B$47,IF(AND(설정!$A$48&lt;&gt;"",ISNUMBER(SEARCH(설정!$A$48,K171))),설정!$B$48,IF(M171="","설계사","시공사"))))))))),"")</f>
        <v/>
      </c>
      <c r="V171">
        <f>SUBSTITUTE(SUBSTITUTE(SUBSTITUTE(SUBSTITUTE(G171,"(주)",""),"㈜",""),"주식회사","")," ","")</f>
        <v/>
      </c>
      <c r="W171">
        <f>IF(AND(T171,V171&lt;&gt;""),IF(COUNTIFS(V$2:V171,V171,T$2:T171,TRUE)=1,MAX(W$1:W170)+1,""),"")</f>
        <v/>
      </c>
      <c r="X171">
        <f>IFERROR(INDEX('1.산군_붙여넣기'!$A$1:$AZ$1001,ROW(),설정!$C$14)&amp;"","")</f>
        <v/>
      </c>
      <c r="Y171">
        <f>IFERROR(INDEX('1.산군_붙여넣기'!$A$1:$AZ$1001,ROW(),설정!$C$15)&amp;"","")</f>
        <v/>
      </c>
      <c r="Z171">
        <f>IF(T171,V171&amp;"|"&amp;U171,"")</f>
        <v/>
      </c>
    </row>
    <row r="172">
      <c r="A172">
        <f>ROW()</f>
        <v/>
      </c>
      <c r="B172">
        <f>IFERROR(INDEX('1.산군_붙여넣기'!$A$1:$AZ$1001,ROW(),설정!$C$4)&amp;"","")</f>
        <v/>
      </c>
      <c r="C172">
        <f>IFERROR(INDEX('1.산군_붙여넣기'!$A$1:$AZ$1001,ROW(),설정!$C$5)&amp;"","")</f>
        <v/>
      </c>
      <c r="D172" s="5">
        <f>IFERROR(VALUE(SUBSTITUTE(SUBSTITUTE(SUBSTITUTE(IFERROR(INDEX('1.산군_붙여넣기'!$A$1:$AZ$1001,ROW(),설정!$C$6)&amp;"",""),",",""),"㎡",""),"m2","")),"")</f>
        <v/>
      </c>
      <c r="E172">
        <f>IFERROR(INDEX('1.산군_붙여넣기'!$A$1:$AZ$1001,ROW(),설정!$C$7)&amp;"","")</f>
        <v/>
      </c>
      <c r="F172">
        <f>IFERROR(INDEX('1.산군_붙여넣기'!$A$1:$AZ$1001,ROW(),설정!$C$8)&amp;"","")</f>
        <v/>
      </c>
      <c r="G172">
        <f>IFERROR(INDEX('1.산군_붙여넣기'!$A$1:$AZ$1001,ROW(),설정!$C$9)&amp;"","")</f>
        <v/>
      </c>
      <c r="H172">
        <f>IFERROR(INDEX('1.산군_붙여넣기'!$A$1:$AZ$1001,ROW(),설정!$C$10)&amp;"","")</f>
        <v/>
      </c>
      <c r="I172">
        <f>IFERROR(INDEX('1.산군_붙여넣기'!$A$1:$AZ$1001,ROW(),설정!$C$11)&amp;"","")</f>
        <v/>
      </c>
      <c r="J172">
        <f>IFERROR(INDEX('1.산군_붙여넣기'!$A$1:$AZ$1001,ROW(),설정!$C$12)&amp;"","")</f>
        <v/>
      </c>
      <c r="K172">
        <f>IFERROR(INDEX('1.산군_붙여넣기'!$A$1:$AZ$1001,ROW(),설정!$C$13)&amp;"","")</f>
        <v/>
      </c>
      <c r="L172" s="6">
        <f>IF(X172="","",IF(AND(LEN(X172)=8,ISNUMBER(X172*1)),DATE(LEFT(X172,4),MID(X172,5,2),RIGHT(X172,2)),IFERROR(DATEVALUE(SUBSTITUTE(SUBSTITUTE(X172,".","-"),"/","-")),IFERROR(X172*1,""))))</f>
        <v/>
      </c>
      <c r="M172" s="6">
        <f>IF(Y172="","",IF(AND(LEN(Y172)=8,ISNUMBER(Y172*1)),DATE(LEFT(Y172,4),MID(Y172,5,2),RIGHT(Y172,2)),IFERROR(DATEVALUE(SUBSTITUTE(SUBSTITUTE(Y172,".","-"),"/","-")),IFERROR(Y172*1,""))))</f>
        <v/>
      </c>
      <c r="N172">
        <f>IFERROR(LEFT(B172,FIND(" ",B172)-1),B172)</f>
        <v/>
      </c>
      <c r="O172">
        <f>AND(B172&lt;&gt;"",B172&lt;&gt;설정!$B$4,C172&lt;&gt;설정!$B$5)</f>
        <v/>
      </c>
      <c r="P172">
        <f>IF(O172,B172&amp;"|"&amp;C172,"")</f>
        <v/>
      </c>
      <c r="Q172">
        <f>AND(O172,COUNTIF(P173:P$1002,P172)=0)</f>
        <v/>
      </c>
      <c r="R172">
        <f>OR(AND(설정!$A$28&lt;&gt;"",ISNUMBER(SEARCH(설정!$A$28,E172&amp;" "&amp;C172))),AND(설정!$A$29&lt;&gt;"",ISNUMBER(SEARCH(설정!$A$29,E172&amp;" "&amp;C172))),AND(설정!$A$30&lt;&gt;"",ISNUMBER(SEARCH(설정!$A$30,E172&amp;" "&amp;C172))),AND(설정!$A$31&lt;&gt;"",ISNUMBER(SEARCH(설정!$A$31,E172&amp;" "&amp;C172))),AND(설정!$A$32&lt;&gt;"",ISNUMBER(SEARCH(설정!$A$32,E172&amp;" "&amp;C172))),AND(설정!$A$33&lt;&gt;"",ISNUMBER(SEARCH(설정!$A$33,E172&amp;" "&amp;C172))),AND(설정!$A$34&lt;&gt;"",ISNUMBER(SEARCH(설정!$A$34,E172&amp;" "&amp;C172))),AND(설정!$A$35&lt;&gt;"",ISNUMBER(SEARCH(설정!$A$35,E172&amp;" "&amp;C172))),AND(설정!$A$36&lt;&gt;"",ISNUMBER(SEARCH(설정!$A$36,E172&amp;" "&amp;C172))),AND(설정!$A$37&lt;&gt;"",ISNUMBER(SEARCH(설정!$A$37,E172&amp;" "&amp;C172))))</f>
        <v/>
      </c>
      <c r="S172">
        <f>OR(D172="",D172&gt;=설정!$B$19)</f>
        <v/>
      </c>
      <c r="T172">
        <f>AND(Q172,R172,S172)</f>
        <v/>
      </c>
      <c r="U172">
        <f>IF(T172,IF(AND(설정!$A$41&lt;&gt;"",ISNUMBER(SEARCH(설정!$A$41,K172))),설정!$B$41,IF(AND(설정!$A$42&lt;&gt;"",ISNUMBER(SEARCH(설정!$A$42,K172))),설정!$B$42,IF(AND(설정!$A$43&lt;&gt;"",ISNUMBER(SEARCH(설정!$A$43,K172))),설정!$B$43,IF(AND(설정!$A$44&lt;&gt;"",ISNUMBER(SEARCH(설정!$A$44,K172))),설정!$B$44,IF(AND(설정!$A$45&lt;&gt;"",ISNUMBER(SEARCH(설정!$A$45,K172))),설정!$B$45,IF(AND(설정!$A$46&lt;&gt;"",ISNUMBER(SEARCH(설정!$A$46,K172))),설정!$B$46,IF(AND(설정!$A$47&lt;&gt;"",ISNUMBER(SEARCH(설정!$A$47,K172))),설정!$B$47,IF(AND(설정!$A$48&lt;&gt;"",ISNUMBER(SEARCH(설정!$A$48,K172))),설정!$B$48,IF(M172="","설계사","시공사"))))))))),"")</f>
        <v/>
      </c>
      <c r="V172">
        <f>SUBSTITUTE(SUBSTITUTE(SUBSTITUTE(SUBSTITUTE(G172,"(주)",""),"㈜",""),"주식회사","")," ","")</f>
        <v/>
      </c>
      <c r="W172">
        <f>IF(AND(T172,V172&lt;&gt;""),IF(COUNTIFS(V$2:V172,V172,T$2:T172,TRUE)=1,MAX(W$1:W171)+1,""),"")</f>
        <v/>
      </c>
      <c r="X172">
        <f>IFERROR(INDEX('1.산군_붙여넣기'!$A$1:$AZ$1001,ROW(),설정!$C$14)&amp;"","")</f>
        <v/>
      </c>
      <c r="Y172">
        <f>IFERROR(INDEX('1.산군_붙여넣기'!$A$1:$AZ$1001,ROW(),설정!$C$15)&amp;"","")</f>
        <v/>
      </c>
      <c r="Z172">
        <f>IF(T172,V172&amp;"|"&amp;U172,"")</f>
        <v/>
      </c>
    </row>
    <row r="173">
      <c r="A173">
        <f>ROW()</f>
        <v/>
      </c>
      <c r="B173">
        <f>IFERROR(INDEX('1.산군_붙여넣기'!$A$1:$AZ$1001,ROW(),설정!$C$4)&amp;"","")</f>
        <v/>
      </c>
      <c r="C173">
        <f>IFERROR(INDEX('1.산군_붙여넣기'!$A$1:$AZ$1001,ROW(),설정!$C$5)&amp;"","")</f>
        <v/>
      </c>
      <c r="D173" s="5">
        <f>IFERROR(VALUE(SUBSTITUTE(SUBSTITUTE(SUBSTITUTE(IFERROR(INDEX('1.산군_붙여넣기'!$A$1:$AZ$1001,ROW(),설정!$C$6)&amp;"",""),",",""),"㎡",""),"m2","")),"")</f>
        <v/>
      </c>
      <c r="E173">
        <f>IFERROR(INDEX('1.산군_붙여넣기'!$A$1:$AZ$1001,ROW(),설정!$C$7)&amp;"","")</f>
        <v/>
      </c>
      <c r="F173">
        <f>IFERROR(INDEX('1.산군_붙여넣기'!$A$1:$AZ$1001,ROW(),설정!$C$8)&amp;"","")</f>
        <v/>
      </c>
      <c r="G173">
        <f>IFERROR(INDEX('1.산군_붙여넣기'!$A$1:$AZ$1001,ROW(),설정!$C$9)&amp;"","")</f>
        <v/>
      </c>
      <c r="H173">
        <f>IFERROR(INDEX('1.산군_붙여넣기'!$A$1:$AZ$1001,ROW(),설정!$C$10)&amp;"","")</f>
        <v/>
      </c>
      <c r="I173">
        <f>IFERROR(INDEX('1.산군_붙여넣기'!$A$1:$AZ$1001,ROW(),설정!$C$11)&amp;"","")</f>
        <v/>
      </c>
      <c r="J173">
        <f>IFERROR(INDEX('1.산군_붙여넣기'!$A$1:$AZ$1001,ROW(),설정!$C$12)&amp;"","")</f>
        <v/>
      </c>
      <c r="K173">
        <f>IFERROR(INDEX('1.산군_붙여넣기'!$A$1:$AZ$1001,ROW(),설정!$C$13)&amp;"","")</f>
        <v/>
      </c>
      <c r="L173" s="6">
        <f>IF(X173="","",IF(AND(LEN(X173)=8,ISNUMBER(X173*1)),DATE(LEFT(X173,4),MID(X173,5,2),RIGHT(X173,2)),IFERROR(DATEVALUE(SUBSTITUTE(SUBSTITUTE(X173,".","-"),"/","-")),IFERROR(X173*1,""))))</f>
        <v/>
      </c>
      <c r="M173" s="6">
        <f>IF(Y173="","",IF(AND(LEN(Y173)=8,ISNUMBER(Y173*1)),DATE(LEFT(Y173,4),MID(Y173,5,2),RIGHT(Y173,2)),IFERROR(DATEVALUE(SUBSTITUTE(SUBSTITUTE(Y173,".","-"),"/","-")),IFERROR(Y173*1,""))))</f>
        <v/>
      </c>
      <c r="N173">
        <f>IFERROR(LEFT(B173,FIND(" ",B173)-1),B173)</f>
        <v/>
      </c>
      <c r="O173">
        <f>AND(B173&lt;&gt;"",B173&lt;&gt;설정!$B$4,C173&lt;&gt;설정!$B$5)</f>
        <v/>
      </c>
      <c r="P173">
        <f>IF(O173,B173&amp;"|"&amp;C173,"")</f>
        <v/>
      </c>
      <c r="Q173">
        <f>AND(O173,COUNTIF(P174:P$1002,P173)=0)</f>
        <v/>
      </c>
      <c r="R173">
        <f>OR(AND(설정!$A$28&lt;&gt;"",ISNUMBER(SEARCH(설정!$A$28,E173&amp;" "&amp;C173))),AND(설정!$A$29&lt;&gt;"",ISNUMBER(SEARCH(설정!$A$29,E173&amp;" "&amp;C173))),AND(설정!$A$30&lt;&gt;"",ISNUMBER(SEARCH(설정!$A$30,E173&amp;" "&amp;C173))),AND(설정!$A$31&lt;&gt;"",ISNUMBER(SEARCH(설정!$A$31,E173&amp;" "&amp;C173))),AND(설정!$A$32&lt;&gt;"",ISNUMBER(SEARCH(설정!$A$32,E173&amp;" "&amp;C173))),AND(설정!$A$33&lt;&gt;"",ISNUMBER(SEARCH(설정!$A$33,E173&amp;" "&amp;C173))),AND(설정!$A$34&lt;&gt;"",ISNUMBER(SEARCH(설정!$A$34,E173&amp;" "&amp;C173))),AND(설정!$A$35&lt;&gt;"",ISNUMBER(SEARCH(설정!$A$35,E173&amp;" "&amp;C173))),AND(설정!$A$36&lt;&gt;"",ISNUMBER(SEARCH(설정!$A$36,E173&amp;" "&amp;C173))),AND(설정!$A$37&lt;&gt;"",ISNUMBER(SEARCH(설정!$A$37,E173&amp;" "&amp;C173))))</f>
        <v/>
      </c>
      <c r="S173">
        <f>OR(D173="",D173&gt;=설정!$B$19)</f>
        <v/>
      </c>
      <c r="T173">
        <f>AND(Q173,R173,S173)</f>
        <v/>
      </c>
      <c r="U173">
        <f>IF(T173,IF(AND(설정!$A$41&lt;&gt;"",ISNUMBER(SEARCH(설정!$A$41,K173))),설정!$B$41,IF(AND(설정!$A$42&lt;&gt;"",ISNUMBER(SEARCH(설정!$A$42,K173))),설정!$B$42,IF(AND(설정!$A$43&lt;&gt;"",ISNUMBER(SEARCH(설정!$A$43,K173))),설정!$B$43,IF(AND(설정!$A$44&lt;&gt;"",ISNUMBER(SEARCH(설정!$A$44,K173))),설정!$B$44,IF(AND(설정!$A$45&lt;&gt;"",ISNUMBER(SEARCH(설정!$A$45,K173))),설정!$B$45,IF(AND(설정!$A$46&lt;&gt;"",ISNUMBER(SEARCH(설정!$A$46,K173))),설정!$B$46,IF(AND(설정!$A$47&lt;&gt;"",ISNUMBER(SEARCH(설정!$A$47,K173))),설정!$B$47,IF(AND(설정!$A$48&lt;&gt;"",ISNUMBER(SEARCH(설정!$A$48,K173))),설정!$B$48,IF(M173="","설계사","시공사"))))))))),"")</f>
        <v/>
      </c>
      <c r="V173">
        <f>SUBSTITUTE(SUBSTITUTE(SUBSTITUTE(SUBSTITUTE(G173,"(주)",""),"㈜",""),"주식회사","")," ","")</f>
        <v/>
      </c>
      <c r="W173">
        <f>IF(AND(T173,V173&lt;&gt;""),IF(COUNTIFS(V$2:V173,V173,T$2:T173,TRUE)=1,MAX(W$1:W172)+1,""),"")</f>
        <v/>
      </c>
      <c r="X173">
        <f>IFERROR(INDEX('1.산군_붙여넣기'!$A$1:$AZ$1001,ROW(),설정!$C$14)&amp;"","")</f>
        <v/>
      </c>
      <c r="Y173">
        <f>IFERROR(INDEX('1.산군_붙여넣기'!$A$1:$AZ$1001,ROW(),설정!$C$15)&amp;"","")</f>
        <v/>
      </c>
      <c r="Z173">
        <f>IF(T173,V173&amp;"|"&amp;U173,"")</f>
        <v/>
      </c>
    </row>
    <row r="174">
      <c r="A174">
        <f>ROW()</f>
        <v/>
      </c>
      <c r="B174">
        <f>IFERROR(INDEX('1.산군_붙여넣기'!$A$1:$AZ$1001,ROW(),설정!$C$4)&amp;"","")</f>
        <v/>
      </c>
      <c r="C174">
        <f>IFERROR(INDEX('1.산군_붙여넣기'!$A$1:$AZ$1001,ROW(),설정!$C$5)&amp;"","")</f>
        <v/>
      </c>
      <c r="D174" s="5">
        <f>IFERROR(VALUE(SUBSTITUTE(SUBSTITUTE(SUBSTITUTE(IFERROR(INDEX('1.산군_붙여넣기'!$A$1:$AZ$1001,ROW(),설정!$C$6)&amp;"",""),",",""),"㎡",""),"m2","")),"")</f>
        <v/>
      </c>
      <c r="E174">
        <f>IFERROR(INDEX('1.산군_붙여넣기'!$A$1:$AZ$1001,ROW(),설정!$C$7)&amp;"","")</f>
        <v/>
      </c>
      <c r="F174">
        <f>IFERROR(INDEX('1.산군_붙여넣기'!$A$1:$AZ$1001,ROW(),설정!$C$8)&amp;"","")</f>
        <v/>
      </c>
      <c r="G174">
        <f>IFERROR(INDEX('1.산군_붙여넣기'!$A$1:$AZ$1001,ROW(),설정!$C$9)&amp;"","")</f>
        <v/>
      </c>
      <c r="H174">
        <f>IFERROR(INDEX('1.산군_붙여넣기'!$A$1:$AZ$1001,ROW(),설정!$C$10)&amp;"","")</f>
        <v/>
      </c>
      <c r="I174">
        <f>IFERROR(INDEX('1.산군_붙여넣기'!$A$1:$AZ$1001,ROW(),설정!$C$11)&amp;"","")</f>
        <v/>
      </c>
      <c r="J174">
        <f>IFERROR(INDEX('1.산군_붙여넣기'!$A$1:$AZ$1001,ROW(),설정!$C$12)&amp;"","")</f>
        <v/>
      </c>
      <c r="K174">
        <f>IFERROR(INDEX('1.산군_붙여넣기'!$A$1:$AZ$1001,ROW(),설정!$C$13)&amp;"","")</f>
        <v/>
      </c>
      <c r="L174" s="6">
        <f>IF(X174="","",IF(AND(LEN(X174)=8,ISNUMBER(X174*1)),DATE(LEFT(X174,4),MID(X174,5,2),RIGHT(X174,2)),IFERROR(DATEVALUE(SUBSTITUTE(SUBSTITUTE(X174,".","-"),"/","-")),IFERROR(X174*1,""))))</f>
        <v/>
      </c>
      <c r="M174" s="6">
        <f>IF(Y174="","",IF(AND(LEN(Y174)=8,ISNUMBER(Y174*1)),DATE(LEFT(Y174,4),MID(Y174,5,2),RIGHT(Y174,2)),IFERROR(DATEVALUE(SUBSTITUTE(SUBSTITUTE(Y174,".","-"),"/","-")),IFERROR(Y174*1,""))))</f>
        <v/>
      </c>
      <c r="N174">
        <f>IFERROR(LEFT(B174,FIND(" ",B174)-1),B174)</f>
        <v/>
      </c>
      <c r="O174">
        <f>AND(B174&lt;&gt;"",B174&lt;&gt;설정!$B$4,C174&lt;&gt;설정!$B$5)</f>
        <v/>
      </c>
      <c r="P174">
        <f>IF(O174,B174&amp;"|"&amp;C174,"")</f>
        <v/>
      </c>
      <c r="Q174">
        <f>AND(O174,COUNTIF(P175:P$1002,P174)=0)</f>
        <v/>
      </c>
      <c r="R174">
        <f>OR(AND(설정!$A$28&lt;&gt;"",ISNUMBER(SEARCH(설정!$A$28,E174&amp;" "&amp;C174))),AND(설정!$A$29&lt;&gt;"",ISNUMBER(SEARCH(설정!$A$29,E174&amp;" "&amp;C174))),AND(설정!$A$30&lt;&gt;"",ISNUMBER(SEARCH(설정!$A$30,E174&amp;" "&amp;C174))),AND(설정!$A$31&lt;&gt;"",ISNUMBER(SEARCH(설정!$A$31,E174&amp;" "&amp;C174))),AND(설정!$A$32&lt;&gt;"",ISNUMBER(SEARCH(설정!$A$32,E174&amp;" "&amp;C174))),AND(설정!$A$33&lt;&gt;"",ISNUMBER(SEARCH(설정!$A$33,E174&amp;" "&amp;C174))),AND(설정!$A$34&lt;&gt;"",ISNUMBER(SEARCH(설정!$A$34,E174&amp;" "&amp;C174))),AND(설정!$A$35&lt;&gt;"",ISNUMBER(SEARCH(설정!$A$35,E174&amp;" "&amp;C174))),AND(설정!$A$36&lt;&gt;"",ISNUMBER(SEARCH(설정!$A$36,E174&amp;" "&amp;C174))),AND(설정!$A$37&lt;&gt;"",ISNUMBER(SEARCH(설정!$A$37,E174&amp;" "&amp;C174))))</f>
        <v/>
      </c>
      <c r="S174">
        <f>OR(D174="",D174&gt;=설정!$B$19)</f>
        <v/>
      </c>
      <c r="T174">
        <f>AND(Q174,R174,S174)</f>
        <v/>
      </c>
      <c r="U174">
        <f>IF(T174,IF(AND(설정!$A$41&lt;&gt;"",ISNUMBER(SEARCH(설정!$A$41,K174))),설정!$B$41,IF(AND(설정!$A$42&lt;&gt;"",ISNUMBER(SEARCH(설정!$A$42,K174))),설정!$B$42,IF(AND(설정!$A$43&lt;&gt;"",ISNUMBER(SEARCH(설정!$A$43,K174))),설정!$B$43,IF(AND(설정!$A$44&lt;&gt;"",ISNUMBER(SEARCH(설정!$A$44,K174))),설정!$B$44,IF(AND(설정!$A$45&lt;&gt;"",ISNUMBER(SEARCH(설정!$A$45,K174))),설정!$B$45,IF(AND(설정!$A$46&lt;&gt;"",ISNUMBER(SEARCH(설정!$A$46,K174))),설정!$B$46,IF(AND(설정!$A$47&lt;&gt;"",ISNUMBER(SEARCH(설정!$A$47,K174))),설정!$B$47,IF(AND(설정!$A$48&lt;&gt;"",ISNUMBER(SEARCH(설정!$A$48,K174))),설정!$B$48,IF(M174="","설계사","시공사"))))))))),"")</f>
        <v/>
      </c>
      <c r="V174">
        <f>SUBSTITUTE(SUBSTITUTE(SUBSTITUTE(SUBSTITUTE(G174,"(주)",""),"㈜",""),"주식회사","")," ","")</f>
        <v/>
      </c>
      <c r="W174">
        <f>IF(AND(T174,V174&lt;&gt;""),IF(COUNTIFS(V$2:V174,V174,T$2:T174,TRUE)=1,MAX(W$1:W173)+1,""),"")</f>
        <v/>
      </c>
      <c r="X174">
        <f>IFERROR(INDEX('1.산군_붙여넣기'!$A$1:$AZ$1001,ROW(),설정!$C$14)&amp;"","")</f>
        <v/>
      </c>
      <c r="Y174">
        <f>IFERROR(INDEX('1.산군_붙여넣기'!$A$1:$AZ$1001,ROW(),설정!$C$15)&amp;"","")</f>
        <v/>
      </c>
      <c r="Z174">
        <f>IF(T174,V174&amp;"|"&amp;U174,"")</f>
        <v/>
      </c>
    </row>
    <row r="175">
      <c r="A175">
        <f>ROW()</f>
        <v/>
      </c>
      <c r="B175">
        <f>IFERROR(INDEX('1.산군_붙여넣기'!$A$1:$AZ$1001,ROW(),설정!$C$4)&amp;"","")</f>
        <v/>
      </c>
      <c r="C175">
        <f>IFERROR(INDEX('1.산군_붙여넣기'!$A$1:$AZ$1001,ROW(),설정!$C$5)&amp;"","")</f>
        <v/>
      </c>
      <c r="D175" s="5">
        <f>IFERROR(VALUE(SUBSTITUTE(SUBSTITUTE(SUBSTITUTE(IFERROR(INDEX('1.산군_붙여넣기'!$A$1:$AZ$1001,ROW(),설정!$C$6)&amp;"",""),",",""),"㎡",""),"m2","")),"")</f>
        <v/>
      </c>
      <c r="E175">
        <f>IFERROR(INDEX('1.산군_붙여넣기'!$A$1:$AZ$1001,ROW(),설정!$C$7)&amp;"","")</f>
        <v/>
      </c>
      <c r="F175">
        <f>IFERROR(INDEX('1.산군_붙여넣기'!$A$1:$AZ$1001,ROW(),설정!$C$8)&amp;"","")</f>
        <v/>
      </c>
      <c r="G175">
        <f>IFERROR(INDEX('1.산군_붙여넣기'!$A$1:$AZ$1001,ROW(),설정!$C$9)&amp;"","")</f>
        <v/>
      </c>
      <c r="H175">
        <f>IFERROR(INDEX('1.산군_붙여넣기'!$A$1:$AZ$1001,ROW(),설정!$C$10)&amp;"","")</f>
        <v/>
      </c>
      <c r="I175">
        <f>IFERROR(INDEX('1.산군_붙여넣기'!$A$1:$AZ$1001,ROW(),설정!$C$11)&amp;"","")</f>
        <v/>
      </c>
      <c r="J175">
        <f>IFERROR(INDEX('1.산군_붙여넣기'!$A$1:$AZ$1001,ROW(),설정!$C$12)&amp;"","")</f>
        <v/>
      </c>
      <c r="K175">
        <f>IFERROR(INDEX('1.산군_붙여넣기'!$A$1:$AZ$1001,ROW(),설정!$C$13)&amp;"","")</f>
        <v/>
      </c>
      <c r="L175" s="6">
        <f>IF(X175="","",IF(AND(LEN(X175)=8,ISNUMBER(X175*1)),DATE(LEFT(X175,4),MID(X175,5,2),RIGHT(X175,2)),IFERROR(DATEVALUE(SUBSTITUTE(SUBSTITUTE(X175,".","-"),"/","-")),IFERROR(X175*1,""))))</f>
        <v/>
      </c>
      <c r="M175" s="6">
        <f>IF(Y175="","",IF(AND(LEN(Y175)=8,ISNUMBER(Y175*1)),DATE(LEFT(Y175,4),MID(Y175,5,2),RIGHT(Y175,2)),IFERROR(DATEVALUE(SUBSTITUTE(SUBSTITUTE(Y175,".","-"),"/","-")),IFERROR(Y175*1,""))))</f>
        <v/>
      </c>
      <c r="N175">
        <f>IFERROR(LEFT(B175,FIND(" ",B175)-1),B175)</f>
        <v/>
      </c>
      <c r="O175">
        <f>AND(B175&lt;&gt;"",B175&lt;&gt;설정!$B$4,C175&lt;&gt;설정!$B$5)</f>
        <v/>
      </c>
      <c r="P175">
        <f>IF(O175,B175&amp;"|"&amp;C175,"")</f>
        <v/>
      </c>
      <c r="Q175">
        <f>AND(O175,COUNTIF(P176:P$1002,P175)=0)</f>
        <v/>
      </c>
      <c r="R175">
        <f>OR(AND(설정!$A$28&lt;&gt;"",ISNUMBER(SEARCH(설정!$A$28,E175&amp;" "&amp;C175))),AND(설정!$A$29&lt;&gt;"",ISNUMBER(SEARCH(설정!$A$29,E175&amp;" "&amp;C175))),AND(설정!$A$30&lt;&gt;"",ISNUMBER(SEARCH(설정!$A$30,E175&amp;" "&amp;C175))),AND(설정!$A$31&lt;&gt;"",ISNUMBER(SEARCH(설정!$A$31,E175&amp;" "&amp;C175))),AND(설정!$A$32&lt;&gt;"",ISNUMBER(SEARCH(설정!$A$32,E175&amp;" "&amp;C175))),AND(설정!$A$33&lt;&gt;"",ISNUMBER(SEARCH(설정!$A$33,E175&amp;" "&amp;C175))),AND(설정!$A$34&lt;&gt;"",ISNUMBER(SEARCH(설정!$A$34,E175&amp;" "&amp;C175))),AND(설정!$A$35&lt;&gt;"",ISNUMBER(SEARCH(설정!$A$35,E175&amp;" "&amp;C175))),AND(설정!$A$36&lt;&gt;"",ISNUMBER(SEARCH(설정!$A$36,E175&amp;" "&amp;C175))),AND(설정!$A$37&lt;&gt;"",ISNUMBER(SEARCH(설정!$A$37,E175&amp;" "&amp;C175))))</f>
        <v/>
      </c>
      <c r="S175">
        <f>OR(D175="",D175&gt;=설정!$B$19)</f>
        <v/>
      </c>
      <c r="T175">
        <f>AND(Q175,R175,S175)</f>
        <v/>
      </c>
      <c r="U175">
        <f>IF(T175,IF(AND(설정!$A$41&lt;&gt;"",ISNUMBER(SEARCH(설정!$A$41,K175))),설정!$B$41,IF(AND(설정!$A$42&lt;&gt;"",ISNUMBER(SEARCH(설정!$A$42,K175))),설정!$B$42,IF(AND(설정!$A$43&lt;&gt;"",ISNUMBER(SEARCH(설정!$A$43,K175))),설정!$B$43,IF(AND(설정!$A$44&lt;&gt;"",ISNUMBER(SEARCH(설정!$A$44,K175))),설정!$B$44,IF(AND(설정!$A$45&lt;&gt;"",ISNUMBER(SEARCH(설정!$A$45,K175))),설정!$B$45,IF(AND(설정!$A$46&lt;&gt;"",ISNUMBER(SEARCH(설정!$A$46,K175))),설정!$B$46,IF(AND(설정!$A$47&lt;&gt;"",ISNUMBER(SEARCH(설정!$A$47,K175))),설정!$B$47,IF(AND(설정!$A$48&lt;&gt;"",ISNUMBER(SEARCH(설정!$A$48,K175))),설정!$B$48,IF(M175="","설계사","시공사"))))))))),"")</f>
        <v/>
      </c>
      <c r="V175">
        <f>SUBSTITUTE(SUBSTITUTE(SUBSTITUTE(SUBSTITUTE(G175,"(주)",""),"㈜",""),"주식회사","")," ","")</f>
        <v/>
      </c>
      <c r="W175">
        <f>IF(AND(T175,V175&lt;&gt;""),IF(COUNTIFS(V$2:V175,V175,T$2:T175,TRUE)=1,MAX(W$1:W174)+1,""),"")</f>
        <v/>
      </c>
      <c r="X175">
        <f>IFERROR(INDEX('1.산군_붙여넣기'!$A$1:$AZ$1001,ROW(),설정!$C$14)&amp;"","")</f>
        <v/>
      </c>
      <c r="Y175">
        <f>IFERROR(INDEX('1.산군_붙여넣기'!$A$1:$AZ$1001,ROW(),설정!$C$15)&amp;"","")</f>
        <v/>
      </c>
      <c r="Z175">
        <f>IF(T175,V175&amp;"|"&amp;U175,"")</f>
        <v/>
      </c>
    </row>
    <row r="176">
      <c r="A176">
        <f>ROW()</f>
        <v/>
      </c>
      <c r="B176">
        <f>IFERROR(INDEX('1.산군_붙여넣기'!$A$1:$AZ$1001,ROW(),설정!$C$4)&amp;"","")</f>
        <v/>
      </c>
      <c r="C176">
        <f>IFERROR(INDEX('1.산군_붙여넣기'!$A$1:$AZ$1001,ROW(),설정!$C$5)&amp;"","")</f>
        <v/>
      </c>
      <c r="D176" s="5">
        <f>IFERROR(VALUE(SUBSTITUTE(SUBSTITUTE(SUBSTITUTE(IFERROR(INDEX('1.산군_붙여넣기'!$A$1:$AZ$1001,ROW(),설정!$C$6)&amp;"",""),",",""),"㎡",""),"m2","")),"")</f>
        <v/>
      </c>
      <c r="E176">
        <f>IFERROR(INDEX('1.산군_붙여넣기'!$A$1:$AZ$1001,ROW(),설정!$C$7)&amp;"","")</f>
        <v/>
      </c>
      <c r="F176">
        <f>IFERROR(INDEX('1.산군_붙여넣기'!$A$1:$AZ$1001,ROW(),설정!$C$8)&amp;"","")</f>
        <v/>
      </c>
      <c r="G176">
        <f>IFERROR(INDEX('1.산군_붙여넣기'!$A$1:$AZ$1001,ROW(),설정!$C$9)&amp;"","")</f>
        <v/>
      </c>
      <c r="H176">
        <f>IFERROR(INDEX('1.산군_붙여넣기'!$A$1:$AZ$1001,ROW(),설정!$C$10)&amp;"","")</f>
        <v/>
      </c>
      <c r="I176">
        <f>IFERROR(INDEX('1.산군_붙여넣기'!$A$1:$AZ$1001,ROW(),설정!$C$11)&amp;"","")</f>
        <v/>
      </c>
      <c r="J176">
        <f>IFERROR(INDEX('1.산군_붙여넣기'!$A$1:$AZ$1001,ROW(),설정!$C$12)&amp;"","")</f>
        <v/>
      </c>
      <c r="K176">
        <f>IFERROR(INDEX('1.산군_붙여넣기'!$A$1:$AZ$1001,ROW(),설정!$C$13)&amp;"","")</f>
        <v/>
      </c>
      <c r="L176" s="6">
        <f>IF(X176="","",IF(AND(LEN(X176)=8,ISNUMBER(X176*1)),DATE(LEFT(X176,4),MID(X176,5,2),RIGHT(X176,2)),IFERROR(DATEVALUE(SUBSTITUTE(SUBSTITUTE(X176,".","-"),"/","-")),IFERROR(X176*1,""))))</f>
        <v/>
      </c>
      <c r="M176" s="6">
        <f>IF(Y176="","",IF(AND(LEN(Y176)=8,ISNUMBER(Y176*1)),DATE(LEFT(Y176,4),MID(Y176,5,2),RIGHT(Y176,2)),IFERROR(DATEVALUE(SUBSTITUTE(SUBSTITUTE(Y176,".","-"),"/","-")),IFERROR(Y176*1,""))))</f>
        <v/>
      </c>
      <c r="N176">
        <f>IFERROR(LEFT(B176,FIND(" ",B176)-1),B176)</f>
        <v/>
      </c>
      <c r="O176">
        <f>AND(B176&lt;&gt;"",B176&lt;&gt;설정!$B$4,C176&lt;&gt;설정!$B$5)</f>
        <v/>
      </c>
      <c r="P176">
        <f>IF(O176,B176&amp;"|"&amp;C176,"")</f>
        <v/>
      </c>
      <c r="Q176">
        <f>AND(O176,COUNTIF(P177:P$1002,P176)=0)</f>
        <v/>
      </c>
      <c r="R176">
        <f>OR(AND(설정!$A$28&lt;&gt;"",ISNUMBER(SEARCH(설정!$A$28,E176&amp;" "&amp;C176))),AND(설정!$A$29&lt;&gt;"",ISNUMBER(SEARCH(설정!$A$29,E176&amp;" "&amp;C176))),AND(설정!$A$30&lt;&gt;"",ISNUMBER(SEARCH(설정!$A$30,E176&amp;" "&amp;C176))),AND(설정!$A$31&lt;&gt;"",ISNUMBER(SEARCH(설정!$A$31,E176&amp;" "&amp;C176))),AND(설정!$A$32&lt;&gt;"",ISNUMBER(SEARCH(설정!$A$32,E176&amp;" "&amp;C176))),AND(설정!$A$33&lt;&gt;"",ISNUMBER(SEARCH(설정!$A$33,E176&amp;" "&amp;C176))),AND(설정!$A$34&lt;&gt;"",ISNUMBER(SEARCH(설정!$A$34,E176&amp;" "&amp;C176))),AND(설정!$A$35&lt;&gt;"",ISNUMBER(SEARCH(설정!$A$35,E176&amp;" "&amp;C176))),AND(설정!$A$36&lt;&gt;"",ISNUMBER(SEARCH(설정!$A$36,E176&amp;" "&amp;C176))),AND(설정!$A$37&lt;&gt;"",ISNUMBER(SEARCH(설정!$A$37,E176&amp;" "&amp;C176))))</f>
        <v/>
      </c>
      <c r="S176">
        <f>OR(D176="",D176&gt;=설정!$B$19)</f>
        <v/>
      </c>
      <c r="T176">
        <f>AND(Q176,R176,S176)</f>
        <v/>
      </c>
      <c r="U176">
        <f>IF(T176,IF(AND(설정!$A$41&lt;&gt;"",ISNUMBER(SEARCH(설정!$A$41,K176))),설정!$B$41,IF(AND(설정!$A$42&lt;&gt;"",ISNUMBER(SEARCH(설정!$A$42,K176))),설정!$B$42,IF(AND(설정!$A$43&lt;&gt;"",ISNUMBER(SEARCH(설정!$A$43,K176))),설정!$B$43,IF(AND(설정!$A$44&lt;&gt;"",ISNUMBER(SEARCH(설정!$A$44,K176))),설정!$B$44,IF(AND(설정!$A$45&lt;&gt;"",ISNUMBER(SEARCH(설정!$A$45,K176))),설정!$B$45,IF(AND(설정!$A$46&lt;&gt;"",ISNUMBER(SEARCH(설정!$A$46,K176))),설정!$B$46,IF(AND(설정!$A$47&lt;&gt;"",ISNUMBER(SEARCH(설정!$A$47,K176))),설정!$B$47,IF(AND(설정!$A$48&lt;&gt;"",ISNUMBER(SEARCH(설정!$A$48,K176))),설정!$B$48,IF(M176="","설계사","시공사"))))))))),"")</f>
        <v/>
      </c>
      <c r="V176">
        <f>SUBSTITUTE(SUBSTITUTE(SUBSTITUTE(SUBSTITUTE(G176,"(주)",""),"㈜",""),"주식회사","")," ","")</f>
        <v/>
      </c>
      <c r="W176">
        <f>IF(AND(T176,V176&lt;&gt;""),IF(COUNTIFS(V$2:V176,V176,T$2:T176,TRUE)=1,MAX(W$1:W175)+1,""),"")</f>
        <v/>
      </c>
      <c r="X176">
        <f>IFERROR(INDEX('1.산군_붙여넣기'!$A$1:$AZ$1001,ROW(),설정!$C$14)&amp;"","")</f>
        <v/>
      </c>
      <c r="Y176">
        <f>IFERROR(INDEX('1.산군_붙여넣기'!$A$1:$AZ$1001,ROW(),설정!$C$15)&amp;"","")</f>
        <v/>
      </c>
      <c r="Z176">
        <f>IF(T176,V176&amp;"|"&amp;U176,"")</f>
        <v/>
      </c>
    </row>
    <row r="177">
      <c r="A177">
        <f>ROW()</f>
        <v/>
      </c>
      <c r="B177">
        <f>IFERROR(INDEX('1.산군_붙여넣기'!$A$1:$AZ$1001,ROW(),설정!$C$4)&amp;"","")</f>
        <v/>
      </c>
      <c r="C177">
        <f>IFERROR(INDEX('1.산군_붙여넣기'!$A$1:$AZ$1001,ROW(),설정!$C$5)&amp;"","")</f>
        <v/>
      </c>
      <c r="D177" s="5">
        <f>IFERROR(VALUE(SUBSTITUTE(SUBSTITUTE(SUBSTITUTE(IFERROR(INDEX('1.산군_붙여넣기'!$A$1:$AZ$1001,ROW(),설정!$C$6)&amp;"",""),",",""),"㎡",""),"m2","")),"")</f>
        <v/>
      </c>
      <c r="E177">
        <f>IFERROR(INDEX('1.산군_붙여넣기'!$A$1:$AZ$1001,ROW(),설정!$C$7)&amp;"","")</f>
        <v/>
      </c>
      <c r="F177">
        <f>IFERROR(INDEX('1.산군_붙여넣기'!$A$1:$AZ$1001,ROW(),설정!$C$8)&amp;"","")</f>
        <v/>
      </c>
      <c r="G177">
        <f>IFERROR(INDEX('1.산군_붙여넣기'!$A$1:$AZ$1001,ROW(),설정!$C$9)&amp;"","")</f>
        <v/>
      </c>
      <c r="H177">
        <f>IFERROR(INDEX('1.산군_붙여넣기'!$A$1:$AZ$1001,ROW(),설정!$C$10)&amp;"","")</f>
        <v/>
      </c>
      <c r="I177">
        <f>IFERROR(INDEX('1.산군_붙여넣기'!$A$1:$AZ$1001,ROW(),설정!$C$11)&amp;"","")</f>
        <v/>
      </c>
      <c r="J177">
        <f>IFERROR(INDEX('1.산군_붙여넣기'!$A$1:$AZ$1001,ROW(),설정!$C$12)&amp;"","")</f>
        <v/>
      </c>
      <c r="K177">
        <f>IFERROR(INDEX('1.산군_붙여넣기'!$A$1:$AZ$1001,ROW(),설정!$C$13)&amp;"","")</f>
        <v/>
      </c>
      <c r="L177" s="6">
        <f>IF(X177="","",IF(AND(LEN(X177)=8,ISNUMBER(X177*1)),DATE(LEFT(X177,4),MID(X177,5,2),RIGHT(X177,2)),IFERROR(DATEVALUE(SUBSTITUTE(SUBSTITUTE(X177,".","-"),"/","-")),IFERROR(X177*1,""))))</f>
        <v/>
      </c>
      <c r="M177" s="6">
        <f>IF(Y177="","",IF(AND(LEN(Y177)=8,ISNUMBER(Y177*1)),DATE(LEFT(Y177,4),MID(Y177,5,2),RIGHT(Y177,2)),IFERROR(DATEVALUE(SUBSTITUTE(SUBSTITUTE(Y177,".","-"),"/","-")),IFERROR(Y177*1,""))))</f>
        <v/>
      </c>
      <c r="N177">
        <f>IFERROR(LEFT(B177,FIND(" ",B177)-1),B177)</f>
        <v/>
      </c>
      <c r="O177">
        <f>AND(B177&lt;&gt;"",B177&lt;&gt;설정!$B$4,C177&lt;&gt;설정!$B$5)</f>
        <v/>
      </c>
      <c r="P177">
        <f>IF(O177,B177&amp;"|"&amp;C177,"")</f>
        <v/>
      </c>
      <c r="Q177">
        <f>AND(O177,COUNTIF(P178:P$1002,P177)=0)</f>
        <v/>
      </c>
      <c r="R177">
        <f>OR(AND(설정!$A$28&lt;&gt;"",ISNUMBER(SEARCH(설정!$A$28,E177&amp;" "&amp;C177))),AND(설정!$A$29&lt;&gt;"",ISNUMBER(SEARCH(설정!$A$29,E177&amp;" "&amp;C177))),AND(설정!$A$30&lt;&gt;"",ISNUMBER(SEARCH(설정!$A$30,E177&amp;" "&amp;C177))),AND(설정!$A$31&lt;&gt;"",ISNUMBER(SEARCH(설정!$A$31,E177&amp;" "&amp;C177))),AND(설정!$A$32&lt;&gt;"",ISNUMBER(SEARCH(설정!$A$32,E177&amp;" "&amp;C177))),AND(설정!$A$33&lt;&gt;"",ISNUMBER(SEARCH(설정!$A$33,E177&amp;" "&amp;C177))),AND(설정!$A$34&lt;&gt;"",ISNUMBER(SEARCH(설정!$A$34,E177&amp;" "&amp;C177))),AND(설정!$A$35&lt;&gt;"",ISNUMBER(SEARCH(설정!$A$35,E177&amp;" "&amp;C177))),AND(설정!$A$36&lt;&gt;"",ISNUMBER(SEARCH(설정!$A$36,E177&amp;" "&amp;C177))),AND(설정!$A$37&lt;&gt;"",ISNUMBER(SEARCH(설정!$A$37,E177&amp;" "&amp;C177))))</f>
        <v/>
      </c>
      <c r="S177">
        <f>OR(D177="",D177&gt;=설정!$B$19)</f>
        <v/>
      </c>
      <c r="T177">
        <f>AND(Q177,R177,S177)</f>
        <v/>
      </c>
      <c r="U177">
        <f>IF(T177,IF(AND(설정!$A$41&lt;&gt;"",ISNUMBER(SEARCH(설정!$A$41,K177))),설정!$B$41,IF(AND(설정!$A$42&lt;&gt;"",ISNUMBER(SEARCH(설정!$A$42,K177))),설정!$B$42,IF(AND(설정!$A$43&lt;&gt;"",ISNUMBER(SEARCH(설정!$A$43,K177))),설정!$B$43,IF(AND(설정!$A$44&lt;&gt;"",ISNUMBER(SEARCH(설정!$A$44,K177))),설정!$B$44,IF(AND(설정!$A$45&lt;&gt;"",ISNUMBER(SEARCH(설정!$A$45,K177))),설정!$B$45,IF(AND(설정!$A$46&lt;&gt;"",ISNUMBER(SEARCH(설정!$A$46,K177))),설정!$B$46,IF(AND(설정!$A$47&lt;&gt;"",ISNUMBER(SEARCH(설정!$A$47,K177))),설정!$B$47,IF(AND(설정!$A$48&lt;&gt;"",ISNUMBER(SEARCH(설정!$A$48,K177))),설정!$B$48,IF(M177="","설계사","시공사"))))))))),"")</f>
        <v/>
      </c>
      <c r="V177">
        <f>SUBSTITUTE(SUBSTITUTE(SUBSTITUTE(SUBSTITUTE(G177,"(주)",""),"㈜",""),"주식회사","")," ","")</f>
        <v/>
      </c>
      <c r="W177">
        <f>IF(AND(T177,V177&lt;&gt;""),IF(COUNTIFS(V$2:V177,V177,T$2:T177,TRUE)=1,MAX(W$1:W176)+1,""),"")</f>
        <v/>
      </c>
      <c r="X177">
        <f>IFERROR(INDEX('1.산군_붙여넣기'!$A$1:$AZ$1001,ROW(),설정!$C$14)&amp;"","")</f>
        <v/>
      </c>
      <c r="Y177">
        <f>IFERROR(INDEX('1.산군_붙여넣기'!$A$1:$AZ$1001,ROW(),설정!$C$15)&amp;"","")</f>
        <v/>
      </c>
      <c r="Z177">
        <f>IF(T177,V177&amp;"|"&amp;U177,"")</f>
        <v/>
      </c>
    </row>
    <row r="178">
      <c r="A178">
        <f>ROW()</f>
        <v/>
      </c>
      <c r="B178">
        <f>IFERROR(INDEX('1.산군_붙여넣기'!$A$1:$AZ$1001,ROW(),설정!$C$4)&amp;"","")</f>
        <v/>
      </c>
      <c r="C178">
        <f>IFERROR(INDEX('1.산군_붙여넣기'!$A$1:$AZ$1001,ROW(),설정!$C$5)&amp;"","")</f>
        <v/>
      </c>
      <c r="D178" s="5">
        <f>IFERROR(VALUE(SUBSTITUTE(SUBSTITUTE(SUBSTITUTE(IFERROR(INDEX('1.산군_붙여넣기'!$A$1:$AZ$1001,ROW(),설정!$C$6)&amp;"",""),",",""),"㎡",""),"m2","")),"")</f>
        <v/>
      </c>
      <c r="E178">
        <f>IFERROR(INDEX('1.산군_붙여넣기'!$A$1:$AZ$1001,ROW(),설정!$C$7)&amp;"","")</f>
        <v/>
      </c>
      <c r="F178">
        <f>IFERROR(INDEX('1.산군_붙여넣기'!$A$1:$AZ$1001,ROW(),설정!$C$8)&amp;"","")</f>
        <v/>
      </c>
      <c r="G178">
        <f>IFERROR(INDEX('1.산군_붙여넣기'!$A$1:$AZ$1001,ROW(),설정!$C$9)&amp;"","")</f>
        <v/>
      </c>
      <c r="H178">
        <f>IFERROR(INDEX('1.산군_붙여넣기'!$A$1:$AZ$1001,ROW(),설정!$C$10)&amp;"","")</f>
        <v/>
      </c>
      <c r="I178">
        <f>IFERROR(INDEX('1.산군_붙여넣기'!$A$1:$AZ$1001,ROW(),설정!$C$11)&amp;"","")</f>
        <v/>
      </c>
      <c r="J178">
        <f>IFERROR(INDEX('1.산군_붙여넣기'!$A$1:$AZ$1001,ROW(),설정!$C$12)&amp;"","")</f>
        <v/>
      </c>
      <c r="K178">
        <f>IFERROR(INDEX('1.산군_붙여넣기'!$A$1:$AZ$1001,ROW(),설정!$C$13)&amp;"","")</f>
        <v/>
      </c>
      <c r="L178" s="6">
        <f>IF(X178="","",IF(AND(LEN(X178)=8,ISNUMBER(X178*1)),DATE(LEFT(X178,4),MID(X178,5,2),RIGHT(X178,2)),IFERROR(DATEVALUE(SUBSTITUTE(SUBSTITUTE(X178,".","-"),"/","-")),IFERROR(X178*1,""))))</f>
        <v/>
      </c>
      <c r="M178" s="6">
        <f>IF(Y178="","",IF(AND(LEN(Y178)=8,ISNUMBER(Y178*1)),DATE(LEFT(Y178,4),MID(Y178,5,2),RIGHT(Y178,2)),IFERROR(DATEVALUE(SUBSTITUTE(SUBSTITUTE(Y178,".","-"),"/","-")),IFERROR(Y178*1,""))))</f>
        <v/>
      </c>
      <c r="N178">
        <f>IFERROR(LEFT(B178,FIND(" ",B178)-1),B178)</f>
        <v/>
      </c>
      <c r="O178">
        <f>AND(B178&lt;&gt;"",B178&lt;&gt;설정!$B$4,C178&lt;&gt;설정!$B$5)</f>
        <v/>
      </c>
      <c r="P178">
        <f>IF(O178,B178&amp;"|"&amp;C178,"")</f>
        <v/>
      </c>
      <c r="Q178">
        <f>AND(O178,COUNTIF(P179:P$1002,P178)=0)</f>
        <v/>
      </c>
      <c r="R178">
        <f>OR(AND(설정!$A$28&lt;&gt;"",ISNUMBER(SEARCH(설정!$A$28,E178&amp;" "&amp;C178))),AND(설정!$A$29&lt;&gt;"",ISNUMBER(SEARCH(설정!$A$29,E178&amp;" "&amp;C178))),AND(설정!$A$30&lt;&gt;"",ISNUMBER(SEARCH(설정!$A$30,E178&amp;" "&amp;C178))),AND(설정!$A$31&lt;&gt;"",ISNUMBER(SEARCH(설정!$A$31,E178&amp;" "&amp;C178))),AND(설정!$A$32&lt;&gt;"",ISNUMBER(SEARCH(설정!$A$32,E178&amp;" "&amp;C178))),AND(설정!$A$33&lt;&gt;"",ISNUMBER(SEARCH(설정!$A$33,E178&amp;" "&amp;C178))),AND(설정!$A$34&lt;&gt;"",ISNUMBER(SEARCH(설정!$A$34,E178&amp;" "&amp;C178))),AND(설정!$A$35&lt;&gt;"",ISNUMBER(SEARCH(설정!$A$35,E178&amp;" "&amp;C178))),AND(설정!$A$36&lt;&gt;"",ISNUMBER(SEARCH(설정!$A$36,E178&amp;" "&amp;C178))),AND(설정!$A$37&lt;&gt;"",ISNUMBER(SEARCH(설정!$A$37,E178&amp;" "&amp;C178))))</f>
        <v/>
      </c>
      <c r="S178">
        <f>OR(D178="",D178&gt;=설정!$B$19)</f>
        <v/>
      </c>
      <c r="T178">
        <f>AND(Q178,R178,S178)</f>
        <v/>
      </c>
      <c r="U178">
        <f>IF(T178,IF(AND(설정!$A$41&lt;&gt;"",ISNUMBER(SEARCH(설정!$A$41,K178))),설정!$B$41,IF(AND(설정!$A$42&lt;&gt;"",ISNUMBER(SEARCH(설정!$A$42,K178))),설정!$B$42,IF(AND(설정!$A$43&lt;&gt;"",ISNUMBER(SEARCH(설정!$A$43,K178))),설정!$B$43,IF(AND(설정!$A$44&lt;&gt;"",ISNUMBER(SEARCH(설정!$A$44,K178))),설정!$B$44,IF(AND(설정!$A$45&lt;&gt;"",ISNUMBER(SEARCH(설정!$A$45,K178))),설정!$B$45,IF(AND(설정!$A$46&lt;&gt;"",ISNUMBER(SEARCH(설정!$A$46,K178))),설정!$B$46,IF(AND(설정!$A$47&lt;&gt;"",ISNUMBER(SEARCH(설정!$A$47,K178))),설정!$B$47,IF(AND(설정!$A$48&lt;&gt;"",ISNUMBER(SEARCH(설정!$A$48,K178))),설정!$B$48,IF(M178="","설계사","시공사"))))))))),"")</f>
        <v/>
      </c>
      <c r="V178">
        <f>SUBSTITUTE(SUBSTITUTE(SUBSTITUTE(SUBSTITUTE(G178,"(주)",""),"㈜",""),"주식회사","")," ","")</f>
        <v/>
      </c>
      <c r="W178">
        <f>IF(AND(T178,V178&lt;&gt;""),IF(COUNTIFS(V$2:V178,V178,T$2:T178,TRUE)=1,MAX(W$1:W177)+1,""),"")</f>
        <v/>
      </c>
      <c r="X178">
        <f>IFERROR(INDEX('1.산군_붙여넣기'!$A$1:$AZ$1001,ROW(),설정!$C$14)&amp;"","")</f>
        <v/>
      </c>
      <c r="Y178">
        <f>IFERROR(INDEX('1.산군_붙여넣기'!$A$1:$AZ$1001,ROW(),설정!$C$15)&amp;"","")</f>
        <v/>
      </c>
      <c r="Z178">
        <f>IF(T178,V178&amp;"|"&amp;U178,"")</f>
        <v/>
      </c>
    </row>
    <row r="179">
      <c r="A179">
        <f>ROW()</f>
        <v/>
      </c>
      <c r="B179">
        <f>IFERROR(INDEX('1.산군_붙여넣기'!$A$1:$AZ$1001,ROW(),설정!$C$4)&amp;"","")</f>
        <v/>
      </c>
      <c r="C179">
        <f>IFERROR(INDEX('1.산군_붙여넣기'!$A$1:$AZ$1001,ROW(),설정!$C$5)&amp;"","")</f>
        <v/>
      </c>
      <c r="D179" s="5">
        <f>IFERROR(VALUE(SUBSTITUTE(SUBSTITUTE(SUBSTITUTE(IFERROR(INDEX('1.산군_붙여넣기'!$A$1:$AZ$1001,ROW(),설정!$C$6)&amp;"",""),",",""),"㎡",""),"m2","")),"")</f>
        <v/>
      </c>
      <c r="E179">
        <f>IFERROR(INDEX('1.산군_붙여넣기'!$A$1:$AZ$1001,ROW(),설정!$C$7)&amp;"","")</f>
        <v/>
      </c>
      <c r="F179">
        <f>IFERROR(INDEX('1.산군_붙여넣기'!$A$1:$AZ$1001,ROW(),설정!$C$8)&amp;"","")</f>
        <v/>
      </c>
      <c r="G179">
        <f>IFERROR(INDEX('1.산군_붙여넣기'!$A$1:$AZ$1001,ROW(),설정!$C$9)&amp;"","")</f>
        <v/>
      </c>
      <c r="H179">
        <f>IFERROR(INDEX('1.산군_붙여넣기'!$A$1:$AZ$1001,ROW(),설정!$C$10)&amp;"","")</f>
        <v/>
      </c>
      <c r="I179">
        <f>IFERROR(INDEX('1.산군_붙여넣기'!$A$1:$AZ$1001,ROW(),설정!$C$11)&amp;"","")</f>
        <v/>
      </c>
      <c r="J179">
        <f>IFERROR(INDEX('1.산군_붙여넣기'!$A$1:$AZ$1001,ROW(),설정!$C$12)&amp;"","")</f>
        <v/>
      </c>
      <c r="K179">
        <f>IFERROR(INDEX('1.산군_붙여넣기'!$A$1:$AZ$1001,ROW(),설정!$C$13)&amp;"","")</f>
        <v/>
      </c>
      <c r="L179" s="6">
        <f>IF(X179="","",IF(AND(LEN(X179)=8,ISNUMBER(X179*1)),DATE(LEFT(X179,4),MID(X179,5,2),RIGHT(X179,2)),IFERROR(DATEVALUE(SUBSTITUTE(SUBSTITUTE(X179,".","-"),"/","-")),IFERROR(X179*1,""))))</f>
        <v/>
      </c>
      <c r="M179" s="6">
        <f>IF(Y179="","",IF(AND(LEN(Y179)=8,ISNUMBER(Y179*1)),DATE(LEFT(Y179,4),MID(Y179,5,2),RIGHT(Y179,2)),IFERROR(DATEVALUE(SUBSTITUTE(SUBSTITUTE(Y179,".","-"),"/","-")),IFERROR(Y179*1,""))))</f>
        <v/>
      </c>
      <c r="N179">
        <f>IFERROR(LEFT(B179,FIND(" ",B179)-1),B179)</f>
        <v/>
      </c>
      <c r="O179">
        <f>AND(B179&lt;&gt;"",B179&lt;&gt;설정!$B$4,C179&lt;&gt;설정!$B$5)</f>
        <v/>
      </c>
      <c r="P179">
        <f>IF(O179,B179&amp;"|"&amp;C179,"")</f>
        <v/>
      </c>
      <c r="Q179">
        <f>AND(O179,COUNTIF(P180:P$1002,P179)=0)</f>
        <v/>
      </c>
      <c r="R179">
        <f>OR(AND(설정!$A$28&lt;&gt;"",ISNUMBER(SEARCH(설정!$A$28,E179&amp;" "&amp;C179))),AND(설정!$A$29&lt;&gt;"",ISNUMBER(SEARCH(설정!$A$29,E179&amp;" "&amp;C179))),AND(설정!$A$30&lt;&gt;"",ISNUMBER(SEARCH(설정!$A$30,E179&amp;" "&amp;C179))),AND(설정!$A$31&lt;&gt;"",ISNUMBER(SEARCH(설정!$A$31,E179&amp;" "&amp;C179))),AND(설정!$A$32&lt;&gt;"",ISNUMBER(SEARCH(설정!$A$32,E179&amp;" "&amp;C179))),AND(설정!$A$33&lt;&gt;"",ISNUMBER(SEARCH(설정!$A$33,E179&amp;" "&amp;C179))),AND(설정!$A$34&lt;&gt;"",ISNUMBER(SEARCH(설정!$A$34,E179&amp;" "&amp;C179))),AND(설정!$A$35&lt;&gt;"",ISNUMBER(SEARCH(설정!$A$35,E179&amp;" "&amp;C179))),AND(설정!$A$36&lt;&gt;"",ISNUMBER(SEARCH(설정!$A$36,E179&amp;" "&amp;C179))),AND(설정!$A$37&lt;&gt;"",ISNUMBER(SEARCH(설정!$A$37,E179&amp;" "&amp;C179))))</f>
        <v/>
      </c>
      <c r="S179">
        <f>OR(D179="",D179&gt;=설정!$B$19)</f>
        <v/>
      </c>
      <c r="T179">
        <f>AND(Q179,R179,S179)</f>
        <v/>
      </c>
      <c r="U179">
        <f>IF(T179,IF(AND(설정!$A$41&lt;&gt;"",ISNUMBER(SEARCH(설정!$A$41,K179))),설정!$B$41,IF(AND(설정!$A$42&lt;&gt;"",ISNUMBER(SEARCH(설정!$A$42,K179))),설정!$B$42,IF(AND(설정!$A$43&lt;&gt;"",ISNUMBER(SEARCH(설정!$A$43,K179))),설정!$B$43,IF(AND(설정!$A$44&lt;&gt;"",ISNUMBER(SEARCH(설정!$A$44,K179))),설정!$B$44,IF(AND(설정!$A$45&lt;&gt;"",ISNUMBER(SEARCH(설정!$A$45,K179))),설정!$B$45,IF(AND(설정!$A$46&lt;&gt;"",ISNUMBER(SEARCH(설정!$A$46,K179))),설정!$B$46,IF(AND(설정!$A$47&lt;&gt;"",ISNUMBER(SEARCH(설정!$A$47,K179))),설정!$B$47,IF(AND(설정!$A$48&lt;&gt;"",ISNUMBER(SEARCH(설정!$A$48,K179))),설정!$B$48,IF(M179="","설계사","시공사"))))))))),"")</f>
        <v/>
      </c>
      <c r="V179">
        <f>SUBSTITUTE(SUBSTITUTE(SUBSTITUTE(SUBSTITUTE(G179,"(주)",""),"㈜",""),"주식회사","")," ","")</f>
        <v/>
      </c>
      <c r="W179">
        <f>IF(AND(T179,V179&lt;&gt;""),IF(COUNTIFS(V$2:V179,V179,T$2:T179,TRUE)=1,MAX(W$1:W178)+1,""),"")</f>
        <v/>
      </c>
      <c r="X179">
        <f>IFERROR(INDEX('1.산군_붙여넣기'!$A$1:$AZ$1001,ROW(),설정!$C$14)&amp;"","")</f>
        <v/>
      </c>
      <c r="Y179">
        <f>IFERROR(INDEX('1.산군_붙여넣기'!$A$1:$AZ$1001,ROW(),설정!$C$15)&amp;"","")</f>
        <v/>
      </c>
      <c r="Z179">
        <f>IF(T179,V179&amp;"|"&amp;U179,"")</f>
        <v/>
      </c>
    </row>
    <row r="180">
      <c r="A180">
        <f>ROW()</f>
        <v/>
      </c>
      <c r="B180">
        <f>IFERROR(INDEX('1.산군_붙여넣기'!$A$1:$AZ$1001,ROW(),설정!$C$4)&amp;"","")</f>
        <v/>
      </c>
      <c r="C180">
        <f>IFERROR(INDEX('1.산군_붙여넣기'!$A$1:$AZ$1001,ROW(),설정!$C$5)&amp;"","")</f>
        <v/>
      </c>
      <c r="D180" s="5">
        <f>IFERROR(VALUE(SUBSTITUTE(SUBSTITUTE(SUBSTITUTE(IFERROR(INDEX('1.산군_붙여넣기'!$A$1:$AZ$1001,ROW(),설정!$C$6)&amp;"",""),",",""),"㎡",""),"m2","")),"")</f>
        <v/>
      </c>
      <c r="E180">
        <f>IFERROR(INDEX('1.산군_붙여넣기'!$A$1:$AZ$1001,ROW(),설정!$C$7)&amp;"","")</f>
        <v/>
      </c>
      <c r="F180">
        <f>IFERROR(INDEX('1.산군_붙여넣기'!$A$1:$AZ$1001,ROW(),설정!$C$8)&amp;"","")</f>
        <v/>
      </c>
      <c r="G180">
        <f>IFERROR(INDEX('1.산군_붙여넣기'!$A$1:$AZ$1001,ROW(),설정!$C$9)&amp;"","")</f>
        <v/>
      </c>
      <c r="H180">
        <f>IFERROR(INDEX('1.산군_붙여넣기'!$A$1:$AZ$1001,ROW(),설정!$C$10)&amp;"","")</f>
        <v/>
      </c>
      <c r="I180">
        <f>IFERROR(INDEX('1.산군_붙여넣기'!$A$1:$AZ$1001,ROW(),설정!$C$11)&amp;"","")</f>
        <v/>
      </c>
      <c r="J180">
        <f>IFERROR(INDEX('1.산군_붙여넣기'!$A$1:$AZ$1001,ROW(),설정!$C$12)&amp;"","")</f>
        <v/>
      </c>
      <c r="K180">
        <f>IFERROR(INDEX('1.산군_붙여넣기'!$A$1:$AZ$1001,ROW(),설정!$C$13)&amp;"","")</f>
        <v/>
      </c>
      <c r="L180" s="6">
        <f>IF(X180="","",IF(AND(LEN(X180)=8,ISNUMBER(X180*1)),DATE(LEFT(X180,4),MID(X180,5,2),RIGHT(X180,2)),IFERROR(DATEVALUE(SUBSTITUTE(SUBSTITUTE(X180,".","-"),"/","-")),IFERROR(X180*1,""))))</f>
        <v/>
      </c>
      <c r="M180" s="6">
        <f>IF(Y180="","",IF(AND(LEN(Y180)=8,ISNUMBER(Y180*1)),DATE(LEFT(Y180,4),MID(Y180,5,2),RIGHT(Y180,2)),IFERROR(DATEVALUE(SUBSTITUTE(SUBSTITUTE(Y180,".","-"),"/","-")),IFERROR(Y180*1,""))))</f>
        <v/>
      </c>
      <c r="N180">
        <f>IFERROR(LEFT(B180,FIND(" ",B180)-1),B180)</f>
        <v/>
      </c>
      <c r="O180">
        <f>AND(B180&lt;&gt;"",B180&lt;&gt;설정!$B$4,C180&lt;&gt;설정!$B$5)</f>
        <v/>
      </c>
      <c r="P180">
        <f>IF(O180,B180&amp;"|"&amp;C180,"")</f>
        <v/>
      </c>
      <c r="Q180">
        <f>AND(O180,COUNTIF(P181:P$1002,P180)=0)</f>
        <v/>
      </c>
      <c r="R180">
        <f>OR(AND(설정!$A$28&lt;&gt;"",ISNUMBER(SEARCH(설정!$A$28,E180&amp;" "&amp;C180))),AND(설정!$A$29&lt;&gt;"",ISNUMBER(SEARCH(설정!$A$29,E180&amp;" "&amp;C180))),AND(설정!$A$30&lt;&gt;"",ISNUMBER(SEARCH(설정!$A$30,E180&amp;" "&amp;C180))),AND(설정!$A$31&lt;&gt;"",ISNUMBER(SEARCH(설정!$A$31,E180&amp;" "&amp;C180))),AND(설정!$A$32&lt;&gt;"",ISNUMBER(SEARCH(설정!$A$32,E180&amp;" "&amp;C180))),AND(설정!$A$33&lt;&gt;"",ISNUMBER(SEARCH(설정!$A$33,E180&amp;" "&amp;C180))),AND(설정!$A$34&lt;&gt;"",ISNUMBER(SEARCH(설정!$A$34,E180&amp;" "&amp;C180))),AND(설정!$A$35&lt;&gt;"",ISNUMBER(SEARCH(설정!$A$35,E180&amp;" "&amp;C180))),AND(설정!$A$36&lt;&gt;"",ISNUMBER(SEARCH(설정!$A$36,E180&amp;" "&amp;C180))),AND(설정!$A$37&lt;&gt;"",ISNUMBER(SEARCH(설정!$A$37,E180&amp;" "&amp;C180))))</f>
        <v/>
      </c>
      <c r="S180">
        <f>OR(D180="",D180&gt;=설정!$B$19)</f>
        <v/>
      </c>
      <c r="T180">
        <f>AND(Q180,R180,S180)</f>
        <v/>
      </c>
      <c r="U180">
        <f>IF(T180,IF(AND(설정!$A$41&lt;&gt;"",ISNUMBER(SEARCH(설정!$A$41,K180))),설정!$B$41,IF(AND(설정!$A$42&lt;&gt;"",ISNUMBER(SEARCH(설정!$A$42,K180))),설정!$B$42,IF(AND(설정!$A$43&lt;&gt;"",ISNUMBER(SEARCH(설정!$A$43,K180))),설정!$B$43,IF(AND(설정!$A$44&lt;&gt;"",ISNUMBER(SEARCH(설정!$A$44,K180))),설정!$B$44,IF(AND(설정!$A$45&lt;&gt;"",ISNUMBER(SEARCH(설정!$A$45,K180))),설정!$B$45,IF(AND(설정!$A$46&lt;&gt;"",ISNUMBER(SEARCH(설정!$A$46,K180))),설정!$B$46,IF(AND(설정!$A$47&lt;&gt;"",ISNUMBER(SEARCH(설정!$A$47,K180))),설정!$B$47,IF(AND(설정!$A$48&lt;&gt;"",ISNUMBER(SEARCH(설정!$A$48,K180))),설정!$B$48,IF(M180="","설계사","시공사"))))))))),"")</f>
        <v/>
      </c>
      <c r="V180">
        <f>SUBSTITUTE(SUBSTITUTE(SUBSTITUTE(SUBSTITUTE(G180,"(주)",""),"㈜",""),"주식회사","")," ","")</f>
        <v/>
      </c>
      <c r="W180">
        <f>IF(AND(T180,V180&lt;&gt;""),IF(COUNTIFS(V$2:V180,V180,T$2:T180,TRUE)=1,MAX(W$1:W179)+1,""),"")</f>
        <v/>
      </c>
      <c r="X180">
        <f>IFERROR(INDEX('1.산군_붙여넣기'!$A$1:$AZ$1001,ROW(),설정!$C$14)&amp;"","")</f>
        <v/>
      </c>
      <c r="Y180">
        <f>IFERROR(INDEX('1.산군_붙여넣기'!$A$1:$AZ$1001,ROW(),설정!$C$15)&amp;"","")</f>
        <v/>
      </c>
      <c r="Z180">
        <f>IF(T180,V180&amp;"|"&amp;U180,"")</f>
        <v/>
      </c>
    </row>
    <row r="181">
      <c r="A181">
        <f>ROW()</f>
        <v/>
      </c>
      <c r="B181">
        <f>IFERROR(INDEX('1.산군_붙여넣기'!$A$1:$AZ$1001,ROW(),설정!$C$4)&amp;"","")</f>
        <v/>
      </c>
      <c r="C181">
        <f>IFERROR(INDEX('1.산군_붙여넣기'!$A$1:$AZ$1001,ROW(),설정!$C$5)&amp;"","")</f>
        <v/>
      </c>
      <c r="D181" s="5">
        <f>IFERROR(VALUE(SUBSTITUTE(SUBSTITUTE(SUBSTITUTE(IFERROR(INDEX('1.산군_붙여넣기'!$A$1:$AZ$1001,ROW(),설정!$C$6)&amp;"",""),",",""),"㎡",""),"m2","")),"")</f>
        <v/>
      </c>
      <c r="E181">
        <f>IFERROR(INDEX('1.산군_붙여넣기'!$A$1:$AZ$1001,ROW(),설정!$C$7)&amp;"","")</f>
        <v/>
      </c>
      <c r="F181">
        <f>IFERROR(INDEX('1.산군_붙여넣기'!$A$1:$AZ$1001,ROW(),설정!$C$8)&amp;"","")</f>
        <v/>
      </c>
      <c r="G181">
        <f>IFERROR(INDEX('1.산군_붙여넣기'!$A$1:$AZ$1001,ROW(),설정!$C$9)&amp;"","")</f>
        <v/>
      </c>
      <c r="H181">
        <f>IFERROR(INDEX('1.산군_붙여넣기'!$A$1:$AZ$1001,ROW(),설정!$C$10)&amp;"","")</f>
        <v/>
      </c>
      <c r="I181">
        <f>IFERROR(INDEX('1.산군_붙여넣기'!$A$1:$AZ$1001,ROW(),설정!$C$11)&amp;"","")</f>
        <v/>
      </c>
      <c r="J181">
        <f>IFERROR(INDEX('1.산군_붙여넣기'!$A$1:$AZ$1001,ROW(),설정!$C$12)&amp;"","")</f>
        <v/>
      </c>
      <c r="K181">
        <f>IFERROR(INDEX('1.산군_붙여넣기'!$A$1:$AZ$1001,ROW(),설정!$C$13)&amp;"","")</f>
        <v/>
      </c>
      <c r="L181" s="6">
        <f>IF(X181="","",IF(AND(LEN(X181)=8,ISNUMBER(X181*1)),DATE(LEFT(X181,4),MID(X181,5,2),RIGHT(X181,2)),IFERROR(DATEVALUE(SUBSTITUTE(SUBSTITUTE(X181,".","-"),"/","-")),IFERROR(X181*1,""))))</f>
        <v/>
      </c>
      <c r="M181" s="6">
        <f>IF(Y181="","",IF(AND(LEN(Y181)=8,ISNUMBER(Y181*1)),DATE(LEFT(Y181,4),MID(Y181,5,2),RIGHT(Y181,2)),IFERROR(DATEVALUE(SUBSTITUTE(SUBSTITUTE(Y181,".","-"),"/","-")),IFERROR(Y181*1,""))))</f>
        <v/>
      </c>
      <c r="N181">
        <f>IFERROR(LEFT(B181,FIND(" ",B181)-1),B181)</f>
        <v/>
      </c>
      <c r="O181">
        <f>AND(B181&lt;&gt;"",B181&lt;&gt;설정!$B$4,C181&lt;&gt;설정!$B$5)</f>
        <v/>
      </c>
      <c r="P181">
        <f>IF(O181,B181&amp;"|"&amp;C181,"")</f>
        <v/>
      </c>
      <c r="Q181">
        <f>AND(O181,COUNTIF(P182:P$1002,P181)=0)</f>
        <v/>
      </c>
      <c r="R181">
        <f>OR(AND(설정!$A$28&lt;&gt;"",ISNUMBER(SEARCH(설정!$A$28,E181&amp;" "&amp;C181))),AND(설정!$A$29&lt;&gt;"",ISNUMBER(SEARCH(설정!$A$29,E181&amp;" "&amp;C181))),AND(설정!$A$30&lt;&gt;"",ISNUMBER(SEARCH(설정!$A$30,E181&amp;" "&amp;C181))),AND(설정!$A$31&lt;&gt;"",ISNUMBER(SEARCH(설정!$A$31,E181&amp;" "&amp;C181))),AND(설정!$A$32&lt;&gt;"",ISNUMBER(SEARCH(설정!$A$32,E181&amp;" "&amp;C181))),AND(설정!$A$33&lt;&gt;"",ISNUMBER(SEARCH(설정!$A$33,E181&amp;" "&amp;C181))),AND(설정!$A$34&lt;&gt;"",ISNUMBER(SEARCH(설정!$A$34,E181&amp;" "&amp;C181))),AND(설정!$A$35&lt;&gt;"",ISNUMBER(SEARCH(설정!$A$35,E181&amp;" "&amp;C181))),AND(설정!$A$36&lt;&gt;"",ISNUMBER(SEARCH(설정!$A$36,E181&amp;" "&amp;C181))),AND(설정!$A$37&lt;&gt;"",ISNUMBER(SEARCH(설정!$A$37,E181&amp;" "&amp;C181))))</f>
        <v/>
      </c>
      <c r="S181">
        <f>OR(D181="",D181&gt;=설정!$B$19)</f>
        <v/>
      </c>
      <c r="T181">
        <f>AND(Q181,R181,S181)</f>
        <v/>
      </c>
      <c r="U181">
        <f>IF(T181,IF(AND(설정!$A$41&lt;&gt;"",ISNUMBER(SEARCH(설정!$A$41,K181))),설정!$B$41,IF(AND(설정!$A$42&lt;&gt;"",ISNUMBER(SEARCH(설정!$A$42,K181))),설정!$B$42,IF(AND(설정!$A$43&lt;&gt;"",ISNUMBER(SEARCH(설정!$A$43,K181))),설정!$B$43,IF(AND(설정!$A$44&lt;&gt;"",ISNUMBER(SEARCH(설정!$A$44,K181))),설정!$B$44,IF(AND(설정!$A$45&lt;&gt;"",ISNUMBER(SEARCH(설정!$A$45,K181))),설정!$B$45,IF(AND(설정!$A$46&lt;&gt;"",ISNUMBER(SEARCH(설정!$A$46,K181))),설정!$B$46,IF(AND(설정!$A$47&lt;&gt;"",ISNUMBER(SEARCH(설정!$A$47,K181))),설정!$B$47,IF(AND(설정!$A$48&lt;&gt;"",ISNUMBER(SEARCH(설정!$A$48,K181))),설정!$B$48,IF(M181="","설계사","시공사"))))))))),"")</f>
        <v/>
      </c>
      <c r="V181">
        <f>SUBSTITUTE(SUBSTITUTE(SUBSTITUTE(SUBSTITUTE(G181,"(주)",""),"㈜",""),"주식회사","")," ","")</f>
        <v/>
      </c>
      <c r="W181">
        <f>IF(AND(T181,V181&lt;&gt;""),IF(COUNTIFS(V$2:V181,V181,T$2:T181,TRUE)=1,MAX(W$1:W180)+1,""),"")</f>
        <v/>
      </c>
      <c r="X181">
        <f>IFERROR(INDEX('1.산군_붙여넣기'!$A$1:$AZ$1001,ROW(),설정!$C$14)&amp;"","")</f>
        <v/>
      </c>
      <c r="Y181">
        <f>IFERROR(INDEX('1.산군_붙여넣기'!$A$1:$AZ$1001,ROW(),설정!$C$15)&amp;"","")</f>
        <v/>
      </c>
      <c r="Z181">
        <f>IF(T181,V181&amp;"|"&amp;U181,"")</f>
        <v/>
      </c>
    </row>
    <row r="182">
      <c r="A182">
        <f>ROW()</f>
        <v/>
      </c>
      <c r="B182">
        <f>IFERROR(INDEX('1.산군_붙여넣기'!$A$1:$AZ$1001,ROW(),설정!$C$4)&amp;"","")</f>
        <v/>
      </c>
      <c r="C182">
        <f>IFERROR(INDEX('1.산군_붙여넣기'!$A$1:$AZ$1001,ROW(),설정!$C$5)&amp;"","")</f>
        <v/>
      </c>
      <c r="D182" s="5">
        <f>IFERROR(VALUE(SUBSTITUTE(SUBSTITUTE(SUBSTITUTE(IFERROR(INDEX('1.산군_붙여넣기'!$A$1:$AZ$1001,ROW(),설정!$C$6)&amp;"",""),",",""),"㎡",""),"m2","")),"")</f>
        <v/>
      </c>
      <c r="E182">
        <f>IFERROR(INDEX('1.산군_붙여넣기'!$A$1:$AZ$1001,ROW(),설정!$C$7)&amp;"","")</f>
        <v/>
      </c>
      <c r="F182">
        <f>IFERROR(INDEX('1.산군_붙여넣기'!$A$1:$AZ$1001,ROW(),설정!$C$8)&amp;"","")</f>
        <v/>
      </c>
      <c r="G182">
        <f>IFERROR(INDEX('1.산군_붙여넣기'!$A$1:$AZ$1001,ROW(),설정!$C$9)&amp;"","")</f>
        <v/>
      </c>
      <c r="H182">
        <f>IFERROR(INDEX('1.산군_붙여넣기'!$A$1:$AZ$1001,ROW(),설정!$C$10)&amp;"","")</f>
        <v/>
      </c>
      <c r="I182">
        <f>IFERROR(INDEX('1.산군_붙여넣기'!$A$1:$AZ$1001,ROW(),설정!$C$11)&amp;"","")</f>
        <v/>
      </c>
      <c r="J182">
        <f>IFERROR(INDEX('1.산군_붙여넣기'!$A$1:$AZ$1001,ROW(),설정!$C$12)&amp;"","")</f>
        <v/>
      </c>
      <c r="K182">
        <f>IFERROR(INDEX('1.산군_붙여넣기'!$A$1:$AZ$1001,ROW(),설정!$C$13)&amp;"","")</f>
        <v/>
      </c>
      <c r="L182" s="6">
        <f>IF(X182="","",IF(AND(LEN(X182)=8,ISNUMBER(X182*1)),DATE(LEFT(X182,4),MID(X182,5,2),RIGHT(X182,2)),IFERROR(DATEVALUE(SUBSTITUTE(SUBSTITUTE(X182,".","-"),"/","-")),IFERROR(X182*1,""))))</f>
        <v/>
      </c>
      <c r="M182" s="6">
        <f>IF(Y182="","",IF(AND(LEN(Y182)=8,ISNUMBER(Y182*1)),DATE(LEFT(Y182,4),MID(Y182,5,2),RIGHT(Y182,2)),IFERROR(DATEVALUE(SUBSTITUTE(SUBSTITUTE(Y182,".","-"),"/","-")),IFERROR(Y182*1,""))))</f>
        <v/>
      </c>
      <c r="N182">
        <f>IFERROR(LEFT(B182,FIND(" ",B182)-1),B182)</f>
        <v/>
      </c>
      <c r="O182">
        <f>AND(B182&lt;&gt;"",B182&lt;&gt;설정!$B$4,C182&lt;&gt;설정!$B$5)</f>
        <v/>
      </c>
      <c r="P182">
        <f>IF(O182,B182&amp;"|"&amp;C182,"")</f>
        <v/>
      </c>
      <c r="Q182">
        <f>AND(O182,COUNTIF(P183:P$1002,P182)=0)</f>
        <v/>
      </c>
      <c r="R182">
        <f>OR(AND(설정!$A$28&lt;&gt;"",ISNUMBER(SEARCH(설정!$A$28,E182&amp;" "&amp;C182))),AND(설정!$A$29&lt;&gt;"",ISNUMBER(SEARCH(설정!$A$29,E182&amp;" "&amp;C182))),AND(설정!$A$30&lt;&gt;"",ISNUMBER(SEARCH(설정!$A$30,E182&amp;" "&amp;C182))),AND(설정!$A$31&lt;&gt;"",ISNUMBER(SEARCH(설정!$A$31,E182&amp;" "&amp;C182))),AND(설정!$A$32&lt;&gt;"",ISNUMBER(SEARCH(설정!$A$32,E182&amp;" "&amp;C182))),AND(설정!$A$33&lt;&gt;"",ISNUMBER(SEARCH(설정!$A$33,E182&amp;" "&amp;C182))),AND(설정!$A$34&lt;&gt;"",ISNUMBER(SEARCH(설정!$A$34,E182&amp;" "&amp;C182))),AND(설정!$A$35&lt;&gt;"",ISNUMBER(SEARCH(설정!$A$35,E182&amp;" "&amp;C182))),AND(설정!$A$36&lt;&gt;"",ISNUMBER(SEARCH(설정!$A$36,E182&amp;" "&amp;C182))),AND(설정!$A$37&lt;&gt;"",ISNUMBER(SEARCH(설정!$A$37,E182&amp;" "&amp;C182))))</f>
        <v/>
      </c>
      <c r="S182">
        <f>OR(D182="",D182&gt;=설정!$B$19)</f>
        <v/>
      </c>
      <c r="T182">
        <f>AND(Q182,R182,S182)</f>
        <v/>
      </c>
      <c r="U182">
        <f>IF(T182,IF(AND(설정!$A$41&lt;&gt;"",ISNUMBER(SEARCH(설정!$A$41,K182))),설정!$B$41,IF(AND(설정!$A$42&lt;&gt;"",ISNUMBER(SEARCH(설정!$A$42,K182))),설정!$B$42,IF(AND(설정!$A$43&lt;&gt;"",ISNUMBER(SEARCH(설정!$A$43,K182))),설정!$B$43,IF(AND(설정!$A$44&lt;&gt;"",ISNUMBER(SEARCH(설정!$A$44,K182))),설정!$B$44,IF(AND(설정!$A$45&lt;&gt;"",ISNUMBER(SEARCH(설정!$A$45,K182))),설정!$B$45,IF(AND(설정!$A$46&lt;&gt;"",ISNUMBER(SEARCH(설정!$A$46,K182))),설정!$B$46,IF(AND(설정!$A$47&lt;&gt;"",ISNUMBER(SEARCH(설정!$A$47,K182))),설정!$B$47,IF(AND(설정!$A$48&lt;&gt;"",ISNUMBER(SEARCH(설정!$A$48,K182))),설정!$B$48,IF(M182="","설계사","시공사"))))))))),"")</f>
        <v/>
      </c>
      <c r="V182">
        <f>SUBSTITUTE(SUBSTITUTE(SUBSTITUTE(SUBSTITUTE(G182,"(주)",""),"㈜",""),"주식회사","")," ","")</f>
        <v/>
      </c>
      <c r="W182">
        <f>IF(AND(T182,V182&lt;&gt;""),IF(COUNTIFS(V$2:V182,V182,T$2:T182,TRUE)=1,MAX(W$1:W181)+1,""),"")</f>
        <v/>
      </c>
      <c r="X182">
        <f>IFERROR(INDEX('1.산군_붙여넣기'!$A$1:$AZ$1001,ROW(),설정!$C$14)&amp;"","")</f>
        <v/>
      </c>
      <c r="Y182">
        <f>IFERROR(INDEX('1.산군_붙여넣기'!$A$1:$AZ$1001,ROW(),설정!$C$15)&amp;"","")</f>
        <v/>
      </c>
      <c r="Z182">
        <f>IF(T182,V182&amp;"|"&amp;U182,"")</f>
        <v/>
      </c>
    </row>
    <row r="183">
      <c r="A183">
        <f>ROW()</f>
        <v/>
      </c>
      <c r="B183">
        <f>IFERROR(INDEX('1.산군_붙여넣기'!$A$1:$AZ$1001,ROW(),설정!$C$4)&amp;"","")</f>
        <v/>
      </c>
      <c r="C183">
        <f>IFERROR(INDEX('1.산군_붙여넣기'!$A$1:$AZ$1001,ROW(),설정!$C$5)&amp;"","")</f>
        <v/>
      </c>
      <c r="D183" s="5">
        <f>IFERROR(VALUE(SUBSTITUTE(SUBSTITUTE(SUBSTITUTE(IFERROR(INDEX('1.산군_붙여넣기'!$A$1:$AZ$1001,ROW(),설정!$C$6)&amp;"",""),",",""),"㎡",""),"m2","")),"")</f>
        <v/>
      </c>
      <c r="E183">
        <f>IFERROR(INDEX('1.산군_붙여넣기'!$A$1:$AZ$1001,ROW(),설정!$C$7)&amp;"","")</f>
        <v/>
      </c>
      <c r="F183">
        <f>IFERROR(INDEX('1.산군_붙여넣기'!$A$1:$AZ$1001,ROW(),설정!$C$8)&amp;"","")</f>
        <v/>
      </c>
      <c r="G183">
        <f>IFERROR(INDEX('1.산군_붙여넣기'!$A$1:$AZ$1001,ROW(),설정!$C$9)&amp;"","")</f>
        <v/>
      </c>
      <c r="H183">
        <f>IFERROR(INDEX('1.산군_붙여넣기'!$A$1:$AZ$1001,ROW(),설정!$C$10)&amp;"","")</f>
        <v/>
      </c>
      <c r="I183">
        <f>IFERROR(INDEX('1.산군_붙여넣기'!$A$1:$AZ$1001,ROW(),설정!$C$11)&amp;"","")</f>
        <v/>
      </c>
      <c r="J183">
        <f>IFERROR(INDEX('1.산군_붙여넣기'!$A$1:$AZ$1001,ROW(),설정!$C$12)&amp;"","")</f>
        <v/>
      </c>
      <c r="K183">
        <f>IFERROR(INDEX('1.산군_붙여넣기'!$A$1:$AZ$1001,ROW(),설정!$C$13)&amp;"","")</f>
        <v/>
      </c>
      <c r="L183" s="6">
        <f>IF(X183="","",IF(AND(LEN(X183)=8,ISNUMBER(X183*1)),DATE(LEFT(X183,4),MID(X183,5,2),RIGHT(X183,2)),IFERROR(DATEVALUE(SUBSTITUTE(SUBSTITUTE(X183,".","-"),"/","-")),IFERROR(X183*1,""))))</f>
        <v/>
      </c>
      <c r="M183" s="6">
        <f>IF(Y183="","",IF(AND(LEN(Y183)=8,ISNUMBER(Y183*1)),DATE(LEFT(Y183,4),MID(Y183,5,2),RIGHT(Y183,2)),IFERROR(DATEVALUE(SUBSTITUTE(SUBSTITUTE(Y183,".","-"),"/","-")),IFERROR(Y183*1,""))))</f>
        <v/>
      </c>
      <c r="N183">
        <f>IFERROR(LEFT(B183,FIND(" ",B183)-1),B183)</f>
        <v/>
      </c>
      <c r="O183">
        <f>AND(B183&lt;&gt;"",B183&lt;&gt;설정!$B$4,C183&lt;&gt;설정!$B$5)</f>
        <v/>
      </c>
      <c r="P183">
        <f>IF(O183,B183&amp;"|"&amp;C183,"")</f>
        <v/>
      </c>
      <c r="Q183">
        <f>AND(O183,COUNTIF(P184:P$1002,P183)=0)</f>
        <v/>
      </c>
      <c r="R183">
        <f>OR(AND(설정!$A$28&lt;&gt;"",ISNUMBER(SEARCH(설정!$A$28,E183&amp;" "&amp;C183))),AND(설정!$A$29&lt;&gt;"",ISNUMBER(SEARCH(설정!$A$29,E183&amp;" "&amp;C183))),AND(설정!$A$30&lt;&gt;"",ISNUMBER(SEARCH(설정!$A$30,E183&amp;" "&amp;C183))),AND(설정!$A$31&lt;&gt;"",ISNUMBER(SEARCH(설정!$A$31,E183&amp;" "&amp;C183))),AND(설정!$A$32&lt;&gt;"",ISNUMBER(SEARCH(설정!$A$32,E183&amp;" "&amp;C183))),AND(설정!$A$33&lt;&gt;"",ISNUMBER(SEARCH(설정!$A$33,E183&amp;" "&amp;C183))),AND(설정!$A$34&lt;&gt;"",ISNUMBER(SEARCH(설정!$A$34,E183&amp;" "&amp;C183))),AND(설정!$A$35&lt;&gt;"",ISNUMBER(SEARCH(설정!$A$35,E183&amp;" "&amp;C183))),AND(설정!$A$36&lt;&gt;"",ISNUMBER(SEARCH(설정!$A$36,E183&amp;" "&amp;C183))),AND(설정!$A$37&lt;&gt;"",ISNUMBER(SEARCH(설정!$A$37,E183&amp;" "&amp;C183))))</f>
        <v/>
      </c>
      <c r="S183">
        <f>OR(D183="",D183&gt;=설정!$B$19)</f>
        <v/>
      </c>
      <c r="T183">
        <f>AND(Q183,R183,S183)</f>
        <v/>
      </c>
      <c r="U183">
        <f>IF(T183,IF(AND(설정!$A$41&lt;&gt;"",ISNUMBER(SEARCH(설정!$A$41,K183))),설정!$B$41,IF(AND(설정!$A$42&lt;&gt;"",ISNUMBER(SEARCH(설정!$A$42,K183))),설정!$B$42,IF(AND(설정!$A$43&lt;&gt;"",ISNUMBER(SEARCH(설정!$A$43,K183))),설정!$B$43,IF(AND(설정!$A$44&lt;&gt;"",ISNUMBER(SEARCH(설정!$A$44,K183))),설정!$B$44,IF(AND(설정!$A$45&lt;&gt;"",ISNUMBER(SEARCH(설정!$A$45,K183))),설정!$B$45,IF(AND(설정!$A$46&lt;&gt;"",ISNUMBER(SEARCH(설정!$A$46,K183))),설정!$B$46,IF(AND(설정!$A$47&lt;&gt;"",ISNUMBER(SEARCH(설정!$A$47,K183))),설정!$B$47,IF(AND(설정!$A$48&lt;&gt;"",ISNUMBER(SEARCH(설정!$A$48,K183))),설정!$B$48,IF(M183="","설계사","시공사"))))))))),"")</f>
        <v/>
      </c>
      <c r="V183">
        <f>SUBSTITUTE(SUBSTITUTE(SUBSTITUTE(SUBSTITUTE(G183,"(주)",""),"㈜",""),"주식회사","")," ","")</f>
        <v/>
      </c>
      <c r="W183">
        <f>IF(AND(T183,V183&lt;&gt;""),IF(COUNTIFS(V$2:V183,V183,T$2:T183,TRUE)=1,MAX(W$1:W182)+1,""),"")</f>
        <v/>
      </c>
      <c r="X183">
        <f>IFERROR(INDEX('1.산군_붙여넣기'!$A$1:$AZ$1001,ROW(),설정!$C$14)&amp;"","")</f>
        <v/>
      </c>
      <c r="Y183">
        <f>IFERROR(INDEX('1.산군_붙여넣기'!$A$1:$AZ$1001,ROW(),설정!$C$15)&amp;"","")</f>
        <v/>
      </c>
      <c r="Z183">
        <f>IF(T183,V183&amp;"|"&amp;U183,"")</f>
        <v/>
      </c>
    </row>
    <row r="184">
      <c r="A184">
        <f>ROW()</f>
        <v/>
      </c>
      <c r="B184">
        <f>IFERROR(INDEX('1.산군_붙여넣기'!$A$1:$AZ$1001,ROW(),설정!$C$4)&amp;"","")</f>
        <v/>
      </c>
      <c r="C184">
        <f>IFERROR(INDEX('1.산군_붙여넣기'!$A$1:$AZ$1001,ROW(),설정!$C$5)&amp;"","")</f>
        <v/>
      </c>
      <c r="D184" s="5">
        <f>IFERROR(VALUE(SUBSTITUTE(SUBSTITUTE(SUBSTITUTE(IFERROR(INDEX('1.산군_붙여넣기'!$A$1:$AZ$1001,ROW(),설정!$C$6)&amp;"",""),",",""),"㎡",""),"m2","")),"")</f>
        <v/>
      </c>
      <c r="E184">
        <f>IFERROR(INDEX('1.산군_붙여넣기'!$A$1:$AZ$1001,ROW(),설정!$C$7)&amp;"","")</f>
        <v/>
      </c>
      <c r="F184">
        <f>IFERROR(INDEX('1.산군_붙여넣기'!$A$1:$AZ$1001,ROW(),설정!$C$8)&amp;"","")</f>
        <v/>
      </c>
      <c r="G184">
        <f>IFERROR(INDEX('1.산군_붙여넣기'!$A$1:$AZ$1001,ROW(),설정!$C$9)&amp;"","")</f>
        <v/>
      </c>
      <c r="H184">
        <f>IFERROR(INDEX('1.산군_붙여넣기'!$A$1:$AZ$1001,ROW(),설정!$C$10)&amp;"","")</f>
        <v/>
      </c>
      <c r="I184">
        <f>IFERROR(INDEX('1.산군_붙여넣기'!$A$1:$AZ$1001,ROW(),설정!$C$11)&amp;"","")</f>
        <v/>
      </c>
      <c r="J184">
        <f>IFERROR(INDEX('1.산군_붙여넣기'!$A$1:$AZ$1001,ROW(),설정!$C$12)&amp;"","")</f>
        <v/>
      </c>
      <c r="K184">
        <f>IFERROR(INDEX('1.산군_붙여넣기'!$A$1:$AZ$1001,ROW(),설정!$C$13)&amp;"","")</f>
        <v/>
      </c>
      <c r="L184" s="6">
        <f>IF(X184="","",IF(AND(LEN(X184)=8,ISNUMBER(X184*1)),DATE(LEFT(X184,4),MID(X184,5,2),RIGHT(X184,2)),IFERROR(DATEVALUE(SUBSTITUTE(SUBSTITUTE(X184,".","-"),"/","-")),IFERROR(X184*1,""))))</f>
        <v/>
      </c>
      <c r="M184" s="6">
        <f>IF(Y184="","",IF(AND(LEN(Y184)=8,ISNUMBER(Y184*1)),DATE(LEFT(Y184,4),MID(Y184,5,2),RIGHT(Y184,2)),IFERROR(DATEVALUE(SUBSTITUTE(SUBSTITUTE(Y184,".","-"),"/","-")),IFERROR(Y184*1,""))))</f>
        <v/>
      </c>
      <c r="N184">
        <f>IFERROR(LEFT(B184,FIND(" ",B184)-1),B184)</f>
        <v/>
      </c>
      <c r="O184">
        <f>AND(B184&lt;&gt;"",B184&lt;&gt;설정!$B$4,C184&lt;&gt;설정!$B$5)</f>
        <v/>
      </c>
      <c r="P184">
        <f>IF(O184,B184&amp;"|"&amp;C184,"")</f>
        <v/>
      </c>
      <c r="Q184">
        <f>AND(O184,COUNTIF(P185:P$1002,P184)=0)</f>
        <v/>
      </c>
      <c r="R184">
        <f>OR(AND(설정!$A$28&lt;&gt;"",ISNUMBER(SEARCH(설정!$A$28,E184&amp;" "&amp;C184))),AND(설정!$A$29&lt;&gt;"",ISNUMBER(SEARCH(설정!$A$29,E184&amp;" "&amp;C184))),AND(설정!$A$30&lt;&gt;"",ISNUMBER(SEARCH(설정!$A$30,E184&amp;" "&amp;C184))),AND(설정!$A$31&lt;&gt;"",ISNUMBER(SEARCH(설정!$A$31,E184&amp;" "&amp;C184))),AND(설정!$A$32&lt;&gt;"",ISNUMBER(SEARCH(설정!$A$32,E184&amp;" "&amp;C184))),AND(설정!$A$33&lt;&gt;"",ISNUMBER(SEARCH(설정!$A$33,E184&amp;" "&amp;C184))),AND(설정!$A$34&lt;&gt;"",ISNUMBER(SEARCH(설정!$A$34,E184&amp;" "&amp;C184))),AND(설정!$A$35&lt;&gt;"",ISNUMBER(SEARCH(설정!$A$35,E184&amp;" "&amp;C184))),AND(설정!$A$36&lt;&gt;"",ISNUMBER(SEARCH(설정!$A$36,E184&amp;" "&amp;C184))),AND(설정!$A$37&lt;&gt;"",ISNUMBER(SEARCH(설정!$A$37,E184&amp;" "&amp;C184))))</f>
        <v/>
      </c>
      <c r="S184">
        <f>OR(D184="",D184&gt;=설정!$B$19)</f>
        <v/>
      </c>
      <c r="T184">
        <f>AND(Q184,R184,S184)</f>
        <v/>
      </c>
      <c r="U184">
        <f>IF(T184,IF(AND(설정!$A$41&lt;&gt;"",ISNUMBER(SEARCH(설정!$A$41,K184))),설정!$B$41,IF(AND(설정!$A$42&lt;&gt;"",ISNUMBER(SEARCH(설정!$A$42,K184))),설정!$B$42,IF(AND(설정!$A$43&lt;&gt;"",ISNUMBER(SEARCH(설정!$A$43,K184))),설정!$B$43,IF(AND(설정!$A$44&lt;&gt;"",ISNUMBER(SEARCH(설정!$A$44,K184))),설정!$B$44,IF(AND(설정!$A$45&lt;&gt;"",ISNUMBER(SEARCH(설정!$A$45,K184))),설정!$B$45,IF(AND(설정!$A$46&lt;&gt;"",ISNUMBER(SEARCH(설정!$A$46,K184))),설정!$B$46,IF(AND(설정!$A$47&lt;&gt;"",ISNUMBER(SEARCH(설정!$A$47,K184))),설정!$B$47,IF(AND(설정!$A$48&lt;&gt;"",ISNUMBER(SEARCH(설정!$A$48,K184))),설정!$B$48,IF(M184="","설계사","시공사"))))))))),"")</f>
        <v/>
      </c>
      <c r="V184">
        <f>SUBSTITUTE(SUBSTITUTE(SUBSTITUTE(SUBSTITUTE(G184,"(주)",""),"㈜",""),"주식회사","")," ","")</f>
        <v/>
      </c>
      <c r="W184">
        <f>IF(AND(T184,V184&lt;&gt;""),IF(COUNTIFS(V$2:V184,V184,T$2:T184,TRUE)=1,MAX(W$1:W183)+1,""),"")</f>
        <v/>
      </c>
      <c r="X184">
        <f>IFERROR(INDEX('1.산군_붙여넣기'!$A$1:$AZ$1001,ROW(),설정!$C$14)&amp;"","")</f>
        <v/>
      </c>
      <c r="Y184">
        <f>IFERROR(INDEX('1.산군_붙여넣기'!$A$1:$AZ$1001,ROW(),설정!$C$15)&amp;"","")</f>
        <v/>
      </c>
      <c r="Z184">
        <f>IF(T184,V184&amp;"|"&amp;U184,"")</f>
        <v/>
      </c>
    </row>
    <row r="185">
      <c r="A185">
        <f>ROW()</f>
        <v/>
      </c>
      <c r="B185">
        <f>IFERROR(INDEX('1.산군_붙여넣기'!$A$1:$AZ$1001,ROW(),설정!$C$4)&amp;"","")</f>
        <v/>
      </c>
      <c r="C185">
        <f>IFERROR(INDEX('1.산군_붙여넣기'!$A$1:$AZ$1001,ROW(),설정!$C$5)&amp;"","")</f>
        <v/>
      </c>
      <c r="D185" s="5">
        <f>IFERROR(VALUE(SUBSTITUTE(SUBSTITUTE(SUBSTITUTE(IFERROR(INDEX('1.산군_붙여넣기'!$A$1:$AZ$1001,ROW(),설정!$C$6)&amp;"",""),",",""),"㎡",""),"m2","")),"")</f>
        <v/>
      </c>
      <c r="E185">
        <f>IFERROR(INDEX('1.산군_붙여넣기'!$A$1:$AZ$1001,ROW(),설정!$C$7)&amp;"","")</f>
        <v/>
      </c>
      <c r="F185">
        <f>IFERROR(INDEX('1.산군_붙여넣기'!$A$1:$AZ$1001,ROW(),설정!$C$8)&amp;"","")</f>
        <v/>
      </c>
      <c r="G185">
        <f>IFERROR(INDEX('1.산군_붙여넣기'!$A$1:$AZ$1001,ROW(),설정!$C$9)&amp;"","")</f>
        <v/>
      </c>
      <c r="H185">
        <f>IFERROR(INDEX('1.산군_붙여넣기'!$A$1:$AZ$1001,ROW(),설정!$C$10)&amp;"","")</f>
        <v/>
      </c>
      <c r="I185">
        <f>IFERROR(INDEX('1.산군_붙여넣기'!$A$1:$AZ$1001,ROW(),설정!$C$11)&amp;"","")</f>
        <v/>
      </c>
      <c r="J185">
        <f>IFERROR(INDEX('1.산군_붙여넣기'!$A$1:$AZ$1001,ROW(),설정!$C$12)&amp;"","")</f>
        <v/>
      </c>
      <c r="K185">
        <f>IFERROR(INDEX('1.산군_붙여넣기'!$A$1:$AZ$1001,ROW(),설정!$C$13)&amp;"","")</f>
        <v/>
      </c>
      <c r="L185" s="6">
        <f>IF(X185="","",IF(AND(LEN(X185)=8,ISNUMBER(X185*1)),DATE(LEFT(X185,4),MID(X185,5,2),RIGHT(X185,2)),IFERROR(DATEVALUE(SUBSTITUTE(SUBSTITUTE(X185,".","-"),"/","-")),IFERROR(X185*1,""))))</f>
        <v/>
      </c>
      <c r="M185" s="6">
        <f>IF(Y185="","",IF(AND(LEN(Y185)=8,ISNUMBER(Y185*1)),DATE(LEFT(Y185,4),MID(Y185,5,2),RIGHT(Y185,2)),IFERROR(DATEVALUE(SUBSTITUTE(SUBSTITUTE(Y185,".","-"),"/","-")),IFERROR(Y185*1,""))))</f>
        <v/>
      </c>
      <c r="N185">
        <f>IFERROR(LEFT(B185,FIND(" ",B185)-1),B185)</f>
        <v/>
      </c>
      <c r="O185">
        <f>AND(B185&lt;&gt;"",B185&lt;&gt;설정!$B$4,C185&lt;&gt;설정!$B$5)</f>
        <v/>
      </c>
      <c r="P185">
        <f>IF(O185,B185&amp;"|"&amp;C185,"")</f>
        <v/>
      </c>
      <c r="Q185">
        <f>AND(O185,COUNTIF(P186:P$1002,P185)=0)</f>
        <v/>
      </c>
      <c r="R185">
        <f>OR(AND(설정!$A$28&lt;&gt;"",ISNUMBER(SEARCH(설정!$A$28,E185&amp;" "&amp;C185))),AND(설정!$A$29&lt;&gt;"",ISNUMBER(SEARCH(설정!$A$29,E185&amp;" "&amp;C185))),AND(설정!$A$30&lt;&gt;"",ISNUMBER(SEARCH(설정!$A$30,E185&amp;" "&amp;C185))),AND(설정!$A$31&lt;&gt;"",ISNUMBER(SEARCH(설정!$A$31,E185&amp;" "&amp;C185))),AND(설정!$A$32&lt;&gt;"",ISNUMBER(SEARCH(설정!$A$32,E185&amp;" "&amp;C185))),AND(설정!$A$33&lt;&gt;"",ISNUMBER(SEARCH(설정!$A$33,E185&amp;" "&amp;C185))),AND(설정!$A$34&lt;&gt;"",ISNUMBER(SEARCH(설정!$A$34,E185&amp;" "&amp;C185))),AND(설정!$A$35&lt;&gt;"",ISNUMBER(SEARCH(설정!$A$35,E185&amp;" "&amp;C185))),AND(설정!$A$36&lt;&gt;"",ISNUMBER(SEARCH(설정!$A$36,E185&amp;" "&amp;C185))),AND(설정!$A$37&lt;&gt;"",ISNUMBER(SEARCH(설정!$A$37,E185&amp;" "&amp;C185))))</f>
        <v/>
      </c>
      <c r="S185">
        <f>OR(D185="",D185&gt;=설정!$B$19)</f>
        <v/>
      </c>
      <c r="T185">
        <f>AND(Q185,R185,S185)</f>
        <v/>
      </c>
      <c r="U185">
        <f>IF(T185,IF(AND(설정!$A$41&lt;&gt;"",ISNUMBER(SEARCH(설정!$A$41,K185))),설정!$B$41,IF(AND(설정!$A$42&lt;&gt;"",ISNUMBER(SEARCH(설정!$A$42,K185))),설정!$B$42,IF(AND(설정!$A$43&lt;&gt;"",ISNUMBER(SEARCH(설정!$A$43,K185))),설정!$B$43,IF(AND(설정!$A$44&lt;&gt;"",ISNUMBER(SEARCH(설정!$A$44,K185))),설정!$B$44,IF(AND(설정!$A$45&lt;&gt;"",ISNUMBER(SEARCH(설정!$A$45,K185))),설정!$B$45,IF(AND(설정!$A$46&lt;&gt;"",ISNUMBER(SEARCH(설정!$A$46,K185))),설정!$B$46,IF(AND(설정!$A$47&lt;&gt;"",ISNUMBER(SEARCH(설정!$A$47,K185))),설정!$B$47,IF(AND(설정!$A$48&lt;&gt;"",ISNUMBER(SEARCH(설정!$A$48,K185))),설정!$B$48,IF(M185="","설계사","시공사"))))))))),"")</f>
        <v/>
      </c>
      <c r="V185">
        <f>SUBSTITUTE(SUBSTITUTE(SUBSTITUTE(SUBSTITUTE(G185,"(주)",""),"㈜",""),"주식회사","")," ","")</f>
        <v/>
      </c>
      <c r="W185">
        <f>IF(AND(T185,V185&lt;&gt;""),IF(COUNTIFS(V$2:V185,V185,T$2:T185,TRUE)=1,MAX(W$1:W184)+1,""),"")</f>
        <v/>
      </c>
      <c r="X185">
        <f>IFERROR(INDEX('1.산군_붙여넣기'!$A$1:$AZ$1001,ROW(),설정!$C$14)&amp;"","")</f>
        <v/>
      </c>
      <c r="Y185">
        <f>IFERROR(INDEX('1.산군_붙여넣기'!$A$1:$AZ$1001,ROW(),설정!$C$15)&amp;"","")</f>
        <v/>
      </c>
      <c r="Z185">
        <f>IF(T185,V185&amp;"|"&amp;U185,"")</f>
        <v/>
      </c>
    </row>
    <row r="186">
      <c r="A186">
        <f>ROW()</f>
        <v/>
      </c>
      <c r="B186">
        <f>IFERROR(INDEX('1.산군_붙여넣기'!$A$1:$AZ$1001,ROW(),설정!$C$4)&amp;"","")</f>
        <v/>
      </c>
      <c r="C186">
        <f>IFERROR(INDEX('1.산군_붙여넣기'!$A$1:$AZ$1001,ROW(),설정!$C$5)&amp;"","")</f>
        <v/>
      </c>
      <c r="D186" s="5">
        <f>IFERROR(VALUE(SUBSTITUTE(SUBSTITUTE(SUBSTITUTE(IFERROR(INDEX('1.산군_붙여넣기'!$A$1:$AZ$1001,ROW(),설정!$C$6)&amp;"",""),",",""),"㎡",""),"m2","")),"")</f>
        <v/>
      </c>
      <c r="E186">
        <f>IFERROR(INDEX('1.산군_붙여넣기'!$A$1:$AZ$1001,ROW(),설정!$C$7)&amp;"","")</f>
        <v/>
      </c>
      <c r="F186">
        <f>IFERROR(INDEX('1.산군_붙여넣기'!$A$1:$AZ$1001,ROW(),설정!$C$8)&amp;"","")</f>
        <v/>
      </c>
      <c r="G186">
        <f>IFERROR(INDEX('1.산군_붙여넣기'!$A$1:$AZ$1001,ROW(),설정!$C$9)&amp;"","")</f>
        <v/>
      </c>
      <c r="H186">
        <f>IFERROR(INDEX('1.산군_붙여넣기'!$A$1:$AZ$1001,ROW(),설정!$C$10)&amp;"","")</f>
        <v/>
      </c>
      <c r="I186">
        <f>IFERROR(INDEX('1.산군_붙여넣기'!$A$1:$AZ$1001,ROW(),설정!$C$11)&amp;"","")</f>
        <v/>
      </c>
      <c r="J186">
        <f>IFERROR(INDEX('1.산군_붙여넣기'!$A$1:$AZ$1001,ROW(),설정!$C$12)&amp;"","")</f>
        <v/>
      </c>
      <c r="K186">
        <f>IFERROR(INDEX('1.산군_붙여넣기'!$A$1:$AZ$1001,ROW(),설정!$C$13)&amp;"","")</f>
        <v/>
      </c>
      <c r="L186" s="6">
        <f>IF(X186="","",IF(AND(LEN(X186)=8,ISNUMBER(X186*1)),DATE(LEFT(X186,4),MID(X186,5,2),RIGHT(X186,2)),IFERROR(DATEVALUE(SUBSTITUTE(SUBSTITUTE(X186,".","-"),"/","-")),IFERROR(X186*1,""))))</f>
        <v/>
      </c>
      <c r="M186" s="6">
        <f>IF(Y186="","",IF(AND(LEN(Y186)=8,ISNUMBER(Y186*1)),DATE(LEFT(Y186,4),MID(Y186,5,2),RIGHT(Y186,2)),IFERROR(DATEVALUE(SUBSTITUTE(SUBSTITUTE(Y186,".","-"),"/","-")),IFERROR(Y186*1,""))))</f>
        <v/>
      </c>
      <c r="N186">
        <f>IFERROR(LEFT(B186,FIND(" ",B186)-1),B186)</f>
        <v/>
      </c>
      <c r="O186">
        <f>AND(B186&lt;&gt;"",B186&lt;&gt;설정!$B$4,C186&lt;&gt;설정!$B$5)</f>
        <v/>
      </c>
      <c r="P186">
        <f>IF(O186,B186&amp;"|"&amp;C186,"")</f>
        <v/>
      </c>
      <c r="Q186">
        <f>AND(O186,COUNTIF(P187:P$1002,P186)=0)</f>
        <v/>
      </c>
      <c r="R186">
        <f>OR(AND(설정!$A$28&lt;&gt;"",ISNUMBER(SEARCH(설정!$A$28,E186&amp;" "&amp;C186))),AND(설정!$A$29&lt;&gt;"",ISNUMBER(SEARCH(설정!$A$29,E186&amp;" "&amp;C186))),AND(설정!$A$30&lt;&gt;"",ISNUMBER(SEARCH(설정!$A$30,E186&amp;" "&amp;C186))),AND(설정!$A$31&lt;&gt;"",ISNUMBER(SEARCH(설정!$A$31,E186&amp;" "&amp;C186))),AND(설정!$A$32&lt;&gt;"",ISNUMBER(SEARCH(설정!$A$32,E186&amp;" "&amp;C186))),AND(설정!$A$33&lt;&gt;"",ISNUMBER(SEARCH(설정!$A$33,E186&amp;" "&amp;C186))),AND(설정!$A$34&lt;&gt;"",ISNUMBER(SEARCH(설정!$A$34,E186&amp;" "&amp;C186))),AND(설정!$A$35&lt;&gt;"",ISNUMBER(SEARCH(설정!$A$35,E186&amp;" "&amp;C186))),AND(설정!$A$36&lt;&gt;"",ISNUMBER(SEARCH(설정!$A$36,E186&amp;" "&amp;C186))),AND(설정!$A$37&lt;&gt;"",ISNUMBER(SEARCH(설정!$A$37,E186&amp;" "&amp;C186))))</f>
        <v/>
      </c>
      <c r="S186">
        <f>OR(D186="",D186&gt;=설정!$B$19)</f>
        <v/>
      </c>
      <c r="T186">
        <f>AND(Q186,R186,S186)</f>
        <v/>
      </c>
      <c r="U186">
        <f>IF(T186,IF(AND(설정!$A$41&lt;&gt;"",ISNUMBER(SEARCH(설정!$A$41,K186))),설정!$B$41,IF(AND(설정!$A$42&lt;&gt;"",ISNUMBER(SEARCH(설정!$A$42,K186))),설정!$B$42,IF(AND(설정!$A$43&lt;&gt;"",ISNUMBER(SEARCH(설정!$A$43,K186))),설정!$B$43,IF(AND(설정!$A$44&lt;&gt;"",ISNUMBER(SEARCH(설정!$A$44,K186))),설정!$B$44,IF(AND(설정!$A$45&lt;&gt;"",ISNUMBER(SEARCH(설정!$A$45,K186))),설정!$B$45,IF(AND(설정!$A$46&lt;&gt;"",ISNUMBER(SEARCH(설정!$A$46,K186))),설정!$B$46,IF(AND(설정!$A$47&lt;&gt;"",ISNUMBER(SEARCH(설정!$A$47,K186))),설정!$B$47,IF(AND(설정!$A$48&lt;&gt;"",ISNUMBER(SEARCH(설정!$A$48,K186))),설정!$B$48,IF(M186="","설계사","시공사"))))))))),"")</f>
        <v/>
      </c>
      <c r="V186">
        <f>SUBSTITUTE(SUBSTITUTE(SUBSTITUTE(SUBSTITUTE(G186,"(주)",""),"㈜",""),"주식회사","")," ","")</f>
        <v/>
      </c>
      <c r="W186">
        <f>IF(AND(T186,V186&lt;&gt;""),IF(COUNTIFS(V$2:V186,V186,T$2:T186,TRUE)=1,MAX(W$1:W185)+1,""),"")</f>
        <v/>
      </c>
      <c r="X186">
        <f>IFERROR(INDEX('1.산군_붙여넣기'!$A$1:$AZ$1001,ROW(),설정!$C$14)&amp;"","")</f>
        <v/>
      </c>
      <c r="Y186">
        <f>IFERROR(INDEX('1.산군_붙여넣기'!$A$1:$AZ$1001,ROW(),설정!$C$15)&amp;"","")</f>
        <v/>
      </c>
      <c r="Z186">
        <f>IF(T186,V186&amp;"|"&amp;U186,"")</f>
        <v/>
      </c>
    </row>
    <row r="187">
      <c r="A187">
        <f>ROW()</f>
        <v/>
      </c>
      <c r="B187">
        <f>IFERROR(INDEX('1.산군_붙여넣기'!$A$1:$AZ$1001,ROW(),설정!$C$4)&amp;"","")</f>
        <v/>
      </c>
      <c r="C187">
        <f>IFERROR(INDEX('1.산군_붙여넣기'!$A$1:$AZ$1001,ROW(),설정!$C$5)&amp;"","")</f>
        <v/>
      </c>
      <c r="D187" s="5">
        <f>IFERROR(VALUE(SUBSTITUTE(SUBSTITUTE(SUBSTITUTE(IFERROR(INDEX('1.산군_붙여넣기'!$A$1:$AZ$1001,ROW(),설정!$C$6)&amp;"",""),",",""),"㎡",""),"m2","")),"")</f>
        <v/>
      </c>
      <c r="E187">
        <f>IFERROR(INDEX('1.산군_붙여넣기'!$A$1:$AZ$1001,ROW(),설정!$C$7)&amp;"","")</f>
        <v/>
      </c>
      <c r="F187">
        <f>IFERROR(INDEX('1.산군_붙여넣기'!$A$1:$AZ$1001,ROW(),설정!$C$8)&amp;"","")</f>
        <v/>
      </c>
      <c r="G187">
        <f>IFERROR(INDEX('1.산군_붙여넣기'!$A$1:$AZ$1001,ROW(),설정!$C$9)&amp;"","")</f>
        <v/>
      </c>
      <c r="H187">
        <f>IFERROR(INDEX('1.산군_붙여넣기'!$A$1:$AZ$1001,ROW(),설정!$C$10)&amp;"","")</f>
        <v/>
      </c>
      <c r="I187">
        <f>IFERROR(INDEX('1.산군_붙여넣기'!$A$1:$AZ$1001,ROW(),설정!$C$11)&amp;"","")</f>
        <v/>
      </c>
      <c r="J187">
        <f>IFERROR(INDEX('1.산군_붙여넣기'!$A$1:$AZ$1001,ROW(),설정!$C$12)&amp;"","")</f>
        <v/>
      </c>
      <c r="K187">
        <f>IFERROR(INDEX('1.산군_붙여넣기'!$A$1:$AZ$1001,ROW(),설정!$C$13)&amp;"","")</f>
        <v/>
      </c>
      <c r="L187" s="6">
        <f>IF(X187="","",IF(AND(LEN(X187)=8,ISNUMBER(X187*1)),DATE(LEFT(X187,4),MID(X187,5,2),RIGHT(X187,2)),IFERROR(DATEVALUE(SUBSTITUTE(SUBSTITUTE(X187,".","-"),"/","-")),IFERROR(X187*1,""))))</f>
        <v/>
      </c>
      <c r="M187" s="6">
        <f>IF(Y187="","",IF(AND(LEN(Y187)=8,ISNUMBER(Y187*1)),DATE(LEFT(Y187,4),MID(Y187,5,2),RIGHT(Y187,2)),IFERROR(DATEVALUE(SUBSTITUTE(SUBSTITUTE(Y187,".","-"),"/","-")),IFERROR(Y187*1,""))))</f>
        <v/>
      </c>
      <c r="N187">
        <f>IFERROR(LEFT(B187,FIND(" ",B187)-1),B187)</f>
        <v/>
      </c>
      <c r="O187">
        <f>AND(B187&lt;&gt;"",B187&lt;&gt;설정!$B$4,C187&lt;&gt;설정!$B$5)</f>
        <v/>
      </c>
      <c r="P187">
        <f>IF(O187,B187&amp;"|"&amp;C187,"")</f>
        <v/>
      </c>
      <c r="Q187">
        <f>AND(O187,COUNTIF(P188:P$1002,P187)=0)</f>
        <v/>
      </c>
      <c r="R187">
        <f>OR(AND(설정!$A$28&lt;&gt;"",ISNUMBER(SEARCH(설정!$A$28,E187&amp;" "&amp;C187))),AND(설정!$A$29&lt;&gt;"",ISNUMBER(SEARCH(설정!$A$29,E187&amp;" "&amp;C187))),AND(설정!$A$30&lt;&gt;"",ISNUMBER(SEARCH(설정!$A$30,E187&amp;" "&amp;C187))),AND(설정!$A$31&lt;&gt;"",ISNUMBER(SEARCH(설정!$A$31,E187&amp;" "&amp;C187))),AND(설정!$A$32&lt;&gt;"",ISNUMBER(SEARCH(설정!$A$32,E187&amp;" "&amp;C187))),AND(설정!$A$33&lt;&gt;"",ISNUMBER(SEARCH(설정!$A$33,E187&amp;" "&amp;C187))),AND(설정!$A$34&lt;&gt;"",ISNUMBER(SEARCH(설정!$A$34,E187&amp;" "&amp;C187))),AND(설정!$A$35&lt;&gt;"",ISNUMBER(SEARCH(설정!$A$35,E187&amp;" "&amp;C187))),AND(설정!$A$36&lt;&gt;"",ISNUMBER(SEARCH(설정!$A$36,E187&amp;" "&amp;C187))),AND(설정!$A$37&lt;&gt;"",ISNUMBER(SEARCH(설정!$A$37,E187&amp;" "&amp;C187))))</f>
        <v/>
      </c>
      <c r="S187">
        <f>OR(D187="",D187&gt;=설정!$B$19)</f>
        <v/>
      </c>
      <c r="T187">
        <f>AND(Q187,R187,S187)</f>
        <v/>
      </c>
      <c r="U187">
        <f>IF(T187,IF(AND(설정!$A$41&lt;&gt;"",ISNUMBER(SEARCH(설정!$A$41,K187))),설정!$B$41,IF(AND(설정!$A$42&lt;&gt;"",ISNUMBER(SEARCH(설정!$A$42,K187))),설정!$B$42,IF(AND(설정!$A$43&lt;&gt;"",ISNUMBER(SEARCH(설정!$A$43,K187))),설정!$B$43,IF(AND(설정!$A$44&lt;&gt;"",ISNUMBER(SEARCH(설정!$A$44,K187))),설정!$B$44,IF(AND(설정!$A$45&lt;&gt;"",ISNUMBER(SEARCH(설정!$A$45,K187))),설정!$B$45,IF(AND(설정!$A$46&lt;&gt;"",ISNUMBER(SEARCH(설정!$A$46,K187))),설정!$B$46,IF(AND(설정!$A$47&lt;&gt;"",ISNUMBER(SEARCH(설정!$A$47,K187))),설정!$B$47,IF(AND(설정!$A$48&lt;&gt;"",ISNUMBER(SEARCH(설정!$A$48,K187))),설정!$B$48,IF(M187="","설계사","시공사"))))))))),"")</f>
        <v/>
      </c>
      <c r="V187">
        <f>SUBSTITUTE(SUBSTITUTE(SUBSTITUTE(SUBSTITUTE(G187,"(주)",""),"㈜",""),"주식회사","")," ","")</f>
        <v/>
      </c>
      <c r="W187">
        <f>IF(AND(T187,V187&lt;&gt;""),IF(COUNTIFS(V$2:V187,V187,T$2:T187,TRUE)=1,MAX(W$1:W186)+1,""),"")</f>
        <v/>
      </c>
      <c r="X187">
        <f>IFERROR(INDEX('1.산군_붙여넣기'!$A$1:$AZ$1001,ROW(),설정!$C$14)&amp;"","")</f>
        <v/>
      </c>
      <c r="Y187">
        <f>IFERROR(INDEX('1.산군_붙여넣기'!$A$1:$AZ$1001,ROW(),설정!$C$15)&amp;"","")</f>
        <v/>
      </c>
      <c r="Z187">
        <f>IF(T187,V187&amp;"|"&amp;U187,"")</f>
        <v/>
      </c>
    </row>
    <row r="188">
      <c r="A188">
        <f>ROW()</f>
        <v/>
      </c>
      <c r="B188">
        <f>IFERROR(INDEX('1.산군_붙여넣기'!$A$1:$AZ$1001,ROW(),설정!$C$4)&amp;"","")</f>
        <v/>
      </c>
      <c r="C188">
        <f>IFERROR(INDEX('1.산군_붙여넣기'!$A$1:$AZ$1001,ROW(),설정!$C$5)&amp;"","")</f>
        <v/>
      </c>
      <c r="D188" s="5">
        <f>IFERROR(VALUE(SUBSTITUTE(SUBSTITUTE(SUBSTITUTE(IFERROR(INDEX('1.산군_붙여넣기'!$A$1:$AZ$1001,ROW(),설정!$C$6)&amp;"",""),",",""),"㎡",""),"m2","")),"")</f>
        <v/>
      </c>
      <c r="E188">
        <f>IFERROR(INDEX('1.산군_붙여넣기'!$A$1:$AZ$1001,ROW(),설정!$C$7)&amp;"","")</f>
        <v/>
      </c>
      <c r="F188">
        <f>IFERROR(INDEX('1.산군_붙여넣기'!$A$1:$AZ$1001,ROW(),설정!$C$8)&amp;"","")</f>
        <v/>
      </c>
      <c r="G188">
        <f>IFERROR(INDEX('1.산군_붙여넣기'!$A$1:$AZ$1001,ROW(),설정!$C$9)&amp;"","")</f>
        <v/>
      </c>
      <c r="H188">
        <f>IFERROR(INDEX('1.산군_붙여넣기'!$A$1:$AZ$1001,ROW(),설정!$C$10)&amp;"","")</f>
        <v/>
      </c>
      <c r="I188">
        <f>IFERROR(INDEX('1.산군_붙여넣기'!$A$1:$AZ$1001,ROW(),설정!$C$11)&amp;"","")</f>
        <v/>
      </c>
      <c r="J188">
        <f>IFERROR(INDEX('1.산군_붙여넣기'!$A$1:$AZ$1001,ROW(),설정!$C$12)&amp;"","")</f>
        <v/>
      </c>
      <c r="K188">
        <f>IFERROR(INDEX('1.산군_붙여넣기'!$A$1:$AZ$1001,ROW(),설정!$C$13)&amp;"","")</f>
        <v/>
      </c>
      <c r="L188" s="6">
        <f>IF(X188="","",IF(AND(LEN(X188)=8,ISNUMBER(X188*1)),DATE(LEFT(X188,4),MID(X188,5,2),RIGHT(X188,2)),IFERROR(DATEVALUE(SUBSTITUTE(SUBSTITUTE(X188,".","-"),"/","-")),IFERROR(X188*1,""))))</f>
        <v/>
      </c>
      <c r="M188" s="6">
        <f>IF(Y188="","",IF(AND(LEN(Y188)=8,ISNUMBER(Y188*1)),DATE(LEFT(Y188,4),MID(Y188,5,2),RIGHT(Y188,2)),IFERROR(DATEVALUE(SUBSTITUTE(SUBSTITUTE(Y188,".","-"),"/","-")),IFERROR(Y188*1,""))))</f>
        <v/>
      </c>
      <c r="N188">
        <f>IFERROR(LEFT(B188,FIND(" ",B188)-1),B188)</f>
        <v/>
      </c>
      <c r="O188">
        <f>AND(B188&lt;&gt;"",B188&lt;&gt;설정!$B$4,C188&lt;&gt;설정!$B$5)</f>
        <v/>
      </c>
      <c r="P188">
        <f>IF(O188,B188&amp;"|"&amp;C188,"")</f>
        <v/>
      </c>
      <c r="Q188">
        <f>AND(O188,COUNTIF(P189:P$1002,P188)=0)</f>
        <v/>
      </c>
      <c r="R188">
        <f>OR(AND(설정!$A$28&lt;&gt;"",ISNUMBER(SEARCH(설정!$A$28,E188&amp;" "&amp;C188))),AND(설정!$A$29&lt;&gt;"",ISNUMBER(SEARCH(설정!$A$29,E188&amp;" "&amp;C188))),AND(설정!$A$30&lt;&gt;"",ISNUMBER(SEARCH(설정!$A$30,E188&amp;" "&amp;C188))),AND(설정!$A$31&lt;&gt;"",ISNUMBER(SEARCH(설정!$A$31,E188&amp;" "&amp;C188))),AND(설정!$A$32&lt;&gt;"",ISNUMBER(SEARCH(설정!$A$32,E188&amp;" "&amp;C188))),AND(설정!$A$33&lt;&gt;"",ISNUMBER(SEARCH(설정!$A$33,E188&amp;" "&amp;C188))),AND(설정!$A$34&lt;&gt;"",ISNUMBER(SEARCH(설정!$A$34,E188&amp;" "&amp;C188))),AND(설정!$A$35&lt;&gt;"",ISNUMBER(SEARCH(설정!$A$35,E188&amp;" "&amp;C188))),AND(설정!$A$36&lt;&gt;"",ISNUMBER(SEARCH(설정!$A$36,E188&amp;" "&amp;C188))),AND(설정!$A$37&lt;&gt;"",ISNUMBER(SEARCH(설정!$A$37,E188&amp;" "&amp;C188))))</f>
        <v/>
      </c>
      <c r="S188">
        <f>OR(D188="",D188&gt;=설정!$B$19)</f>
        <v/>
      </c>
      <c r="T188">
        <f>AND(Q188,R188,S188)</f>
        <v/>
      </c>
      <c r="U188">
        <f>IF(T188,IF(AND(설정!$A$41&lt;&gt;"",ISNUMBER(SEARCH(설정!$A$41,K188))),설정!$B$41,IF(AND(설정!$A$42&lt;&gt;"",ISNUMBER(SEARCH(설정!$A$42,K188))),설정!$B$42,IF(AND(설정!$A$43&lt;&gt;"",ISNUMBER(SEARCH(설정!$A$43,K188))),설정!$B$43,IF(AND(설정!$A$44&lt;&gt;"",ISNUMBER(SEARCH(설정!$A$44,K188))),설정!$B$44,IF(AND(설정!$A$45&lt;&gt;"",ISNUMBER(SEARCH(설정!$A$45,K188))),설정!$B$45,IF(AND(설정!$A$46&lt;&gt;"",ISNUMBER(SEARCH(설정!$A$46,K188))),설정!$B$46,IF(AND(설정!$A$47&lt;&gt;"",ISNUMBER(SEARCH(설정!$A$47,K188))),설정!$B$47,IF(AND(설정!$A$48&lt;&gt;"",ISNUMBER(SEARCH(설정!$A$48,K188))),설정!$B$48,IF(M188="","설계사","시공사"))))))))),"")</f>
        <v/>
      </c>
      <c r="V188">
        <f>SUBSTITUTE(SUBSTITUTE(SUBSTITUTE(SUBSTITUTE(G188,"(주)",""),"㈜",""),"주식회사","")," ","")</f>
        <v/>
      </c>
      <c r="W188">
        <f>IF(AND(T188,V188&lt;&gt;""),IF(COUNTIFS(V$2:V188,V188,T$2:T188,TRUE)=1,MAX(W$1:W187)+1,""),"")</f>
        <v/>
      </c>
      <c r="X188">
        <f>IFERROR(INDEX('1.산군_붙여넣기'!$A$1:$AZ$1001,ROW(),설정!$C$14)&amp;"","")</f>
        <v/>
      </c>
      <c r="Y188">
        <f>IFERROR(INDEX('1.산군_붙여넣기'!$A$1:$AZ$1001,ROW(),설정!$C$15)&amp;"","")</f>
        <v/>
      </c>
      <c r="Z188">
        <f>IF(T188,V188&amp;"|"&amp;U188,"")</f>
        <v/>
      </c>
    </row>
    <row r="189">
      <c r="A189">
        <f>ROW()</f>
        <v/>
      </c>
      <c r="B189">
        <f>IFERROR(INDEX('1.산군_붙여넣기'!$A$1:$AZ$1001,ROW(),설정!$C$4)&amp;"","")</f>
        <v/>
      </c>
      <c r="C189">
        <f>IFERROR(INDEX('1.산군_붙여넣기'!$A$1:$AZ$1001,ROW(),설정!$C$5)&amp;"","")</f>
        <v/>
      </c>
      <c r="D189" s="5">
        <f>IFERROR(VALUE(SUBSTITUTE(SUBSTITUTE(SUBSTITUTE(IFERROR(INDEX('1.산군_붙여넣기'!$A$1:$AZ$1001,ROW(),설정!$C$6)&amp;"",""),",",""),"㎡",""),"m2","")),"")</f>
        <v/>
      </c>
      <c r="E189">
        <f>IFERROR(INDEX('1.산군_붙여넣기'!$A$1:$AZ$1001,ROW(),설정!$C$7)&amp;"","")</f>
        <v/>
      </c>
      <c r="F189">
        <f>IFERROR(INDEX('1.산군_붙여넣기'!$A$1:$AZ$1001,ROW(),설정!$C$8)&amp;"","")</f>
        <v/>
      </c>
      <c r="G189">
        <f>IFERROR(INDEX('1.산군_붙여넣기'!$A$1:$AZ$1001,ROW(),설정!$C$9)&amp;"","")</f>
        <v/>
      </c>
      <c r="H189">
        <f>IFERROR(INDEX('1.산군_붙여넣기'!$A$1:$AZ$1001,ROW(),설정!$C$10)&amp;"","")</f>
        <v/>
      </c>
      <c r="I189">
        <f>IFERROR(INDEX('1.산군_붙여넣기'!$A$1:$AZ$1001,ROW(),설정!$C$11)&amp;"","")</f>
        <v/>
      </c>
      <c r="J189">
        <f>IFERROR(INDEX('1.산군_붙여넣기'!$A$1:$AZ$1001,ROW(),설정!$C$12)&amp;"","")</f>
        <v/>
      </c>
      <c r="K189">
        <f>IFERROR(INDEX('1.산군_붙여넣기'!$A$1:$AZ$1001,ROW(),설정!$C$13)&amp;"","")</f>
        <v/>
      </c>
      <c r="L189" s="6">
        <f>IF(X189="","",IF(AND(LEN(X189)=8,ISNUMBER(X189*1)),DATE(LEFT(X189,4),MID(X189,5,2),RIGHT(X189,2)),IFERROR(DATEVALUE(SUBSTITUTE(SUBSTITUTE(X189,".","-"),"/","-")),IFERROR(X189*1,""))))</f>
        <v/>
      </c>
      <c r="M189" s="6">
        <f>IF(Y189="","",IF(AND(LEN(Y189)=8,ISNUMBER(Y189*1)),DATE(LEFT(Y189,4),MID(Y189,5,2),RIGHT(Y189,2)),IFERROR(DATEVALUE(SUBSTITUTE(SUBSTITUTE(Y189,".","-"),"/","-")),IFERROR(Y189*1,""))))</f>
        <v/>
      </c>
      <c r="N189">
        <f>IFERROR(LEFT(B189,FIND(" ",B189)-1),B189)</f>
        <v/>
      </c>
      <c r="O189">
        <f>AND(B189&lt;&gt;"",B189&lt;&gt;설정!$B$4,C189&lt;&gt;설정!$B$5)</f>
        <v/>
      </c>
      <c r="P189">
        <f>IF(O189,B189&amp;"|"&amp;C189,"")</f>
        <v/>
      </c>
      <c r="Q189">
        <f>AND(O189,COUNTIF(P190:P$1002,P189)=0)</f>
        <v/>
      </c>
      <c r="R189">
        <f>OR(AND(설정!$A$28&lt;&gt;"",ISNUMBER(SEARCH(설정!$A$28,E189&amp;" "&amp;C189))),AND(설정!$A$29&lt;&gt;"",ISNUMBER(SEARCH(설정!$A$29,E189&amp;" "&amp;C189))),AND(설정!$A$30&lt;&gt;"",ISNUMBER(SEARCH(설정!$A$30,E189&amp;" "&amp;C189))),AND(설정!$A$31&lt;&gt;"",ISNUMBER(SEARCH(설정!$A$31,E189&amp;" "&amp;C189))),AND(설정!$A$32&lt;&gt;"",ISNUMBER(SEARCH(설정!$A$32,E189&amp;" "&amp;C189))),AND(설정!$A$33&lt;&gt;"",ISNUMBER(SEARCH(설정!$A$33,E189&amp;" "&amp;C189))),AND(설정!$A$34&lt;&gt;"",ISNUMBER(SEARCH(설정!$A$34,E189&amp;" "&amp;C189))),AND(설정!$A$35&lt;&gt;"",ISNUMBER(SEARCH(설정!$A$35,E189&amp;" "&amp;C189))),AND(설정!$A$36&lt;&gt;"",ISNUMBER(SEARCH(설정!$A$36,E189&amp;" "&amp;C189))),AND(설정!$A$37&lt;&gt;"",ISNUMBER(SEARCH(설정!$A$37,E189&amp;" "&amp;C189))))</f>
        <v/>
      </c>
      <c r="S189">
        <f>OR(D189="",D189&gt;=설정!$B$19)</f>
        <v/>
      </c>
      <c r="T189">
        <f>AND(Q189,R189,S189)</f>
        <v/>
      </c>
      <c r="U189">
        <f>IF(T189,IF(AND(설정!$A$41&lt;&gt;"",ISNUMBER(SEARCH(설정!$A$41,K189))),설정!$B$41,IF(AND(설정!$A$42&lt;&gt;"",ISNUMBER(SEARCH(설정!$A$42,K189))),설정!$B$42,IF(AND(설정!$A$43&lt;&gt;"",ISNUMBER(SEARCH(설정!$A$43,K189))),설정!$B$43,IF(AND(설정!$A$44&lt;&gt;"",ISNUMBER(SEARCH(설정!$A$44,K189))),설정!$B$44,IF(AND(설정!$A$45&lt;&gt;"",ISNUMBER(SEARCH(설정!$A$45,K189))),설정!$B$45,IF(AND(설정!$A$46&lt;&gt;"",ISNUMBER(SEARCH(설정!$A$46,K189))),설정!$B$46,IF(AND(설정!$A$47&lt;&gt;"",ISNUMBER(SEARCH(설정!$A$47,K189))),설정!$B$47,IF(AND(설정!$A$48&lt;&gt;"",ISNUMBER(SEARCH(설정!$A$48,K189))),설정!$B$48,IF(M189="","설계사","시공사"))))))))),"")</f>
        <v/>
      </c>
      <c r="V189">
        <f>SUBSTITUTE(SUBSTITUTE(SUBSTITUTE(SUBSTITUTE(G189,"(주)",""),"㈜",""),"주식회사","")," ","")</f>
        <v/>
      </c>
      <c r="W189">
        <f>IF(AND(T189,V189&lt;&gt;""),IF(COUNTIFS(V$2:V189,V189,T$2:T189,TRUE)=1,MAX(W$1:W188)+1,""),"")</f>
        <v/>
      </c>
      <c r="X189">
        <f>IFERROR(INDEX('1.산군_붙여넣기'!$A$1:$AZ$1001,ROW(),설정!$C$14)&amp;"","")</f>
        <v/>
      </c>
      <c r="Y189">
        <f>IFERROR(INDEX('1.산군_붙여넣기'!$A$1:$AZ$1001,ROW(),설정!$C$15)&amp;"","")</f>
        <v/>
      </c>
      <c r="Z189">
        <f>IF(T189,V189&amp;"|"&amp;U189,"")</f>
        <v/>
      </c>
    </row>
    <row r="190">
      <c r="A190">
        <f>ROW()</f>
        <v/>
      </c>
      <c r="B190">
        <f>IFERROR(INDEX('1.산군_붙여넣기'!$A$1:$AZ$1001,ROW(),설정!$C$4)&amp;"","")</f>
        <v/>
      </c>
      <c r="C190">
        <f>IFERROR(INDEX('1.산군_붙여넣기'!$A$1:$AZ$1001,ROW(),설정!$C$5)&amp;"","")</f>
        <v/>
      </c>
      <c r="D190" s="5">
        <f>IFERROR(VALUE(SUBSTITUTE(SUBSTITUTE(SUBSTITUTE(IFERROR(INDEX('1.산군_붙여넣기'!$A$1:$AZ$1001,ROW(),설정!$C$6)&amp;"",""),",",""),"㎡",""),"m2","")),"")</f>
        <v/>
      </c>
      <c r="E190">
        <f>IFERROR(INDEX('1.산군_붙여넣기'!$A$1:$AZ$1001,ROW(),설정!$C$7)&amp;"","")</f>
        <v/>
      </c>
      <c r="F190">
        <f>IFERROR(INDEX('1.산군_붙여넣기'!$A$1:$AZ$1001,ROW(),설정!$C$8)&amp;"","")</f>
        <v/>
      </c>
      <c r="G190">
        <f>IFERROR(INDEX('1.산군_붙여넣기'!$A$1:$AZ$1001,ROW(),설정!$C$9)&amp;"","")</f>
        <v/>
      </c>
      <c r="H190">
        <f>IFERROR(INDEX('1.산군_붙여넣기'!$A$1:$AZ$1001,ROW(),설정!$C$10)&amp;"","")</f>
        <v/>
      </c>
      <c r="I190">
        <f>IFERROR(INDEX('1.산군_붙여넣기'!$A$1:$AZ$1001,ROW(),설정!$C$11)&amp;"","")</f>
        <v/>
      </c>
      <c r="J190">
        <f>IFERROR(INDEX('1.산군_붙여넣기'!$A$1:$AZ$1001,ROW(),설정!$C$12)&amp;"","")</f>
        <v/>
      </c>
      <c r="K190">
        <f>IFERROR(INDEX('1.산군_붙여넣기'!$A$1:$AZ$1001,ROW(),설정!$C$13)&amp;"","")</f>
        <v/>
      </c>
      <c r="L190" s="6">
        <f>IF(X190="","",IF(AND(LEN(X190)=8,ISNUMBER(X190*1)),DATE(LEFT(X190,4),MID(X190,5,2),RIGHT(X190,2)),IFERROR(DATEVALUE(SUBSTITUTE(SUBSTITUTE(X190,".","-"),"/","-")),IFERROR(X190*1,""))))</f>
        <v/>
      </c>
      <c r="M190" s="6">
        <f>IF(Y190="","",IF(AND(LEN(Y190)=8,ISNUMBER(Y190*1)),DATE(LEFT(Y190,4),MID(Y190,5,2),RIGHT(Y190,2)),IFERROR(DATEVALUE(SUBSTITUTE(SUBSTITUTE(Y190,".","-"),"/","-")),IFERROR(Y190*1,""))))</f>
        <v/>
      </c>
      <c r="N190">
        <f>IFERROR(LEFT(B190,FIND(" ",B190)-1),B190)</f>
        <v/>
      </c>
      <c r="O190">
        <f>AND(B190&lt;&gt;"",B190&lt;&gt;설정!$B$4,C190&lt;&gt;설정!$B$5)</f>
        <v/>
      </c>
      <c r="P190">
        <f>IF(O190,B190&amp;"|"&amp;C190,"")</f>
        <v/>
      </c>
      <c r="Q190">
        <f>AND(O190,COUNTIF(P191:P$1002,P190)=0)</f>
        <v/>
      </c>
      <c r="R190">
        <f>OR(AND(설정!$A$28&lt;&gt;"",ISNUMBER(SEARCH(설정!$A$28,E190&amp;" "&amp;C190))),AND(설정!$A$29&lt;&gt;"",ISNUMBER(SEARCH(설정!$A$29,E190&amp;" "&amp;C190))),AND(설정!$A$30&lt;&gt;"",ISNUMBER(SEARCH(설정!$A$30,E190&amp;" "&amp;C190))),AND(설정!$A$31&lt;&gt;"",ISNUMBER(SEARCH(설정!$A$31,E190&amp;" "&amp;C190))),AND(설정!$A$32&lt;&gt;"",ISNUMBER(SEARCH(설정!$A$32,E190&amp;" "&amp;C190))),AND(설정!$A$33&lt;&gt;"",ISNUMBER(SEARCH(설정!$A$33,E190&amp;" "&amp;C190))),AND(설정!$A$34&lt;&gt;"",ISNUMBER(SEARCH(설정!$A$34,E190&amp;" "&amp;C190))),AND(설정!$A$35&lt;&gt;"",ISNUMBER(SEARCH(설정!$A$35,E190&amp;" "&amp;C190))),AND(설정!$A$36&lt;&gt;"",ISNUMBER(SEARCH(설정!$A$36,E190&amp;" "&amp;C190))),AND(설정!$A$37&lt;&gt;"",ISNUMBER(SEARCH(설정!$A$37,E190&amp;" "&amp;C190))))</f>
        <v/>
      </c>
      <c r="S190">
        <f>OR(D190="",D190&gt;=설정!$B$19)</f>
        <v/>
      </c>
      <c r="T190">
        <f>AND(Q190,R190,S190)</f>
        <v/>
      </c>
      <c r="U190">
        <f>IF(T190,IF(AND(설정!$A$41&lt;&gt;"",ISNUMBER(SEARCH(설정!$A$41,K190))),설정!$B$41,IF(AND(설정!$A$42&lt;&gt;"",ISNUMBER(SEARCH(설정!$A$42,K190))),설정!$B$42,IF(AND(설정!$A$43&lt;&gt;"",ISNUMBER(SEARCH(설정!$A$43,K190))),설정!$B$43,IF(AND(설정!$A$44&lt;&gt;"",ISNUMBER(SEARCH(설정!$A$44,K190))),설정!$B$44,IF(AND(설정!$A$45&lt;&gt;"",ISNUMBER(SEARCH(설정!$A$45,K190))),설정!$B$45,IF(AND(설정!$A$46&lt;&gt;"",ISNUMBER(SEARCH(설정!$A$46,K190))),설정!$B$46,IF(AND(설정!$A$47&lt;&gt;"",ISNUMBER(SEARCH(설정!$A$47,K190))),설정!$B$47,IF(AND(설정!$A$48&lt;&gt;"",ISNUMBER(SEARCH(설정!$A$48,K190))),설정!$B$48,IF(M190="","설계사","시공사"))))))))),"")</f>
        <v/>
      </c>
      <c r="V190">
        <f>SUBSTITUTE(SUBSTITUTE(SUBSTITUTE(SUBSTITUTE(G190,"(주)",""),"㈜",""),"주식회사","")," ","")</f>
        <v/>
      </c>
      <c r="W190">
        <f>IF(AND(T190,V190&lt;&gt;""),IF(COUNTIFS(V$2:V190,V190,T$2:T190,TRUE)=1,MAX(W$1:W189)+1,""),"")</f>
        <v/>
      </c>
      <c r="X190">
        <f>IFERROR(INDEX('1.산군_붙여넣기'!$A$1:$AZ$1001,ROW(),설정!$C$14)&amp;"","")</f>
        <v/>
      </c>
      <c r="Y190">
        <f>IFERROR(INDEX('1.산군_붙여넣기'!$A$1:$AZ$1001,ROW(),설정!$C$15)&amp;"","")</f>
        <v/>
      </c>
      <c r="Z190">
        <f>IF(T190,V190&amp;"|"&amp;U190,"")</f>
        <v/>
      </c>
    </row>
    <row r="191">
      <c r="A191">
        <f>ROW()</f>
        <v/>
      </c>
      <c r="B191">
        <f>IFERROR(INDEX('1.산군_붙여넣기'!$A$1:$AZ$1001,ROW(),설정!$C$4)&amp;"","")</f>
        <v/>
      </c>
      <c r="C191">
        <f>IFERROR(INDEX('1.산군_붙여넣기'!$A$1:$AZ$1001,ROW(),설정!$C$5)&amp;"","")</f>
        <v/>
      </c>
      <c r="D191" s="5">
        <f>IFERROR(VALUE(SUBSTITUTE(SUBSTITUTE(SUBSTITUTE(IFERROR(INDEX('1.산군_붙여넣기'!$A$1:$AZ$1001,ROW(),설정!$C$6)&amp;"",""),",",""),"㎡",""),"m2","")),"")</f>
        <v/>
      </c>
      <c r="E191">
        <f>IFERROR(INDEX('1.산군_붙여넣기'!$A$1:$AZ$1001,ROW(),설정!$C$7)&amp;"","")</f>
        <v/>
      </c>
      <c r="F191">
        <f>IFERROR(INDEX('1.산군_붙여넣기'!$A$1:$AZ$1001,ROW(),설정!$C$8)&amp;"","")</f>
        <v/>
      </c>
      <c r="G191">
        <f>IFERROR(INDEX('1.산군_붙여넣기'!$A$1:$AZ$1001,ROW(),설정!$C$9)&amp;"","")</f>
        <v/>
      </c>
      <c r="H191">
        <f>IFERROR(INDEX('1.산군_붙여넣기'!$A$1:$AZ$1001,ROW(),설정!$C$10)&amp;"","")</f>
        <v/>
      </c>
      <c r="I191">
        <f>IFERROR(INDEX('1.산군_붙여넣기'!$A$1:$AZ$1001,ROW(),설정!$C$11)&amp;"","")</f>
        <v/>
      </c>
      <c r="J191">
        <f>IFERROR(INDEX('1.산군_붙여넣기'!$A$1:$AZ$1001,ROW(),설정!$C$12)&amp;"","")</f>
        <v/>
      </c>
      <c r="K191">
        <f>IFERROR(INDEX('1.산군_붙여넣기'!$A$1:$AZ$1001,ROW(),설정!$C$13)&amp;"","")</f>
        <v/>
      </c>
      <c r="L191" s="6">
        <f>IF(X191="","",IF(AND(LEN(X191)=8,ISNUMBER(X191*1)),DATE(LEFT(X191,4),MID(X191,5,2),RIGHT(X191,2)),IFERROR(DATEVALUE(SUBSTITUTE(SUBSTITUTE(X191,".","-"),"/","-")),IFERROR(X191*1,""))))</f>
        <v/>
      </c>
      <c r="M191" s="6">
        <f>IF(Y191="","",IF(AND(LEN(Y191)=8,ISNUMBER(Y191*1)),DATE(LEFT(Y191,4),MID(Y191,5,2),RIGHT(Y191,2)),IFERROR(DATEVALUE(SUBSTITUTE(SUBSTITUTE(Y191,".","-"),"/","-")),IFERROR(Y191*1,""))))</f>
        <v/>
      </c>
      <c r="N191">
        <f>IFERROR(LEFT(B191,FIND(" ",B191)-1),B191)</f>
        <v/>
      </c>
      <c r="O191">
        <f>AND(B191&lt;&gt;"",B191&lt;&gt;설정!$B$4,C191&lt;&gt;설정!$B$5)</f>
        <v/>
      </c>
      <c r="P191">
        <f>IF(O191,B191&amp;"|"&amp;C191,"")</f>
        <v/>
      </c>
      <c r="Q191">
        <f>AND(O191,COUNTIF(P192:P$1002,P191)=0)</f>
        <v/>
      </c>
      <c r="R191">
        <f>OR(AND(설정!$A$28&lt;&gt;"",ISNUMBER(SEARCH(설정!$A$28,E191&amp;" "&amp;C191))),AND(설정!$A$29&lt;&gt;"",ISNUMBER(SEARCH(설정!$A$29,E191&amp;" "&amp;C191))),AND(설정!$A$30&lt;&gt;"",ISNUMBER(SEARCH(설정!$A$30,E191&amp;" "&amp;C191))),AND(설정!$A$31&lt;&gt;"",ISNUMBER(SEARCH(설정!$A$31,E191&amp;" "&amp;C191))),AND(설정!$A$32&lt;&gt;"",ISNUMBER(SEARCH(설정!$A$32,E191&amp;" "&amp;C191))),AND(설정!$A$33&lt;&gt;"",ISNUMBER(SEARCH(설정!$A$33,E191&amp;" "&amp;C191))),AND(설정!$A$34&lt;&gt;"",ISNUMBER(SEARCH(설정!$A$34,E191&amp;" "&amp;C191))),AND(설정!$A$35&lt;&gt;"",ISNUMBER(SEARCH(설정!$A$35,E191&amp;" "&amp;C191))),AND(설정!$A$36&lt;&gt;"",ISNUMBER(SEARCH(설정!$A$36,E191&amp;" "&amp;C191))),AND(설정!$A$37&lt;&gt;"",ISNUMBER(SEARCH(설정!$A$37,E191&amp;" "&amp;C191))))</f>
        <v/>
      </c>
      <c r="S191">
        <f>OR(D191="",D191&gt;=설정!$B$19)</f>
        <v/>
      </c>
      <c r="T191">
        <f>AND(Q191,R191,S191)</f>
        <v/>
      </c>
      <c r="U191">
        <f>IF(T191,IF(AND(설정!$A$41&lt;&gt;"",ISNUMBER(SEARCH(설정!$A$41,K191))),설정!$B$41,IF(AND(설정!$A$42&lt;&gt;"",ISNUMBER(SEARCH(설정!$A$42,K191))),설정!$B$42,IF(AND(설정!$A$43&lt;&gt;"",ISNUMBER(SEARCH(설정!$A$43,K191))),설정!$B$43,IF(AND(설정!$A$44&lt;&gt;"",ISNUMBER(SEARCH(설정!$A$44,K191))),설정!$B$44,IF(AND(설정!$A$45&lt;&gt;"",ISNUMBER(SEARCH(설정!$A$45,K191))),설정!$B$45,IF(AND(설정!$A$46&lt;&gt;"",ISNUMBER(SEARCH(설정!$A$46,K191))),설정!$B$46,IF(AND(설정!$A$47&lt;&gt;"",ISNUMBER(SEARCH(설정!$A$47,K191))),설정!$B$47,IF(AND(설정!$A$48&lt;&gt;"",ISNUMBER(SEARCH(설정!$A$48,K191))),설정!$B$48,IF(M191="","설계사","시공사"))))))))),"")</f>
        <v/>
      </c>
      <c r="V191">
        <f>SUBSTITUTE(SUBSTITUTE(SUBSTITUTE(SUBSTITUTE(G191,"(주)",""),"㈜",""),"주식회사","")," ","")</f>
        <v/>
      </c>
      <c r="W191">
        <f>IF(AND(T191,V191&lt;&gt;""),IF(COUNTIFS(V$2:V191,V191,T$2:T191,TRUE)=1,MAX(W$1:W190)+1,""),"")</f>
        <v/>
      </c>
      <c r="X191">
        <f>IFERROR(INDEX('1.산군_붙여넣기'!$A$1:$AZ$1001,ROW(),설정!$C$14)&amp;"","")</f>
        <v/>
      </c>
      <c r="Y191">
        <f>IFERROR(INDEX('1.산군_붙여넣기'!$A$1:$AZ$1001,ROW(),설정!$C$15)&amp;"","")</f>
        <v/>
      </c>
      <c r="Z191">
        <f>IF(T191,V191&amp;"|"&amp;U191,"")</f>
        <v/>
      </c>
    </row>
    <row r="192">
      <c r="A192">
        <f>ROW()</f>
        <v/>
      </c>
      <c r="B192">
        <f>IFERROR(INDEX('1.산군_붙여넣기'!$A$1:$AZ$1001,ROW(),설정!$C$4)&amp;"","")</f>
        <v/>
      </c>
      <c r="C192">
        <f>IFERROR(INDEX('1.산군_붙여넣기'!$A$1:$AZ$1001,ROW(),설정!$C$5)&amp;"","")</f>
        <v/>
      </c>
      <c r="D192" s="5">
        <f>IFERROR(VALUE(SUBSTITUTE(SUBSTITUTE(SUBSTITUTE(IFERROR(INDEX('1.산군_붙여넣기'!$A$1:$AZ$1001,ROW(),설정!$C$6)&amp;"",""),",",""),"㎡",""),"m2","")),"")</f>
        <v/>
      </c>
      <c r="E192">
        <f>IFERROR(INDEX('1.산군_붙여넣기'!$A$1:$AZ$1001,ROW(),설정!$C$7)&amp;"","")</f>
        <v/>
      </c>
      <c r="F192">
        <f>IFERROR(INDEX('1.산군_붙여넣기'!$A$1:$AZ$1001,ROW(),설정!$C$8)&amp;"","")</f>
        <v/>
      </c>
      <c r="G192">
        <f>IFERROR(INDEX('1.산군_붙여넣기'!$A$1:$AZ$1001,ROW(),설정!$C$9)&amp;"","")</f>
        <v/>
      </c>
      <c r="H192">
        <f>IFERROR(INDEX('1.산군_붙여넣기'!$A$1:$AZ$1001,ROW(),설정!$C$10)&amp;"","")</f>
        <v/>
      </c>
      <c r="I192">
        <f>IFERROR(INDEX('1.산군_붙여넣기'!$A$1:$AZ$1001,ROW(),설정!$C$11)&amp;"","")</f>
        <v/>
      </c>
      <c r="J192">
        <f>IFERROR(INDEX('1.산군_붙여넣기'!$A$1:$AZ$1001,ROW(),설정!$C$12)&amp;"","")</f>
        <v/>
      </c>
      <c r="K192">
        <f>IFERROR(INDEX('1.산군_붙여넣기'!$A$1:$AZ$1001,ROW(),설정!$C$13)&amp;"","")</f>
        <v/>
      </c>
      <c r="L192" s="6">
        <f>IF(X192="","",IF(AND(LEN(X192)=8,ISNUMBER(X192*1)),DATE(LEFT(X192,4),MID(X192,5,2),RIGHT(X192,2)),IFERROR(DATEVALUE(SUBSTITUTE(SUBSTITUTE(X192,".","-"),"/","-")),IFERROR(X192*1,""))))</f>
        <v/>
      </c>
      <c r="M192" s="6">
        <f>IF(Y192="","",IF(AND(LEN(Y192)=8,ISNUMBER(Y192*1)),DATE(LEFT(Y192,4),MID(Y192,5,2),RIGHT(Y192,2)),IFERROR(DATEVALUE(SUBSTITUTE(SUBSTITUTE(Y192,".","-"),"/","-")),IFERROR(Y192*1,""))))</f>
        <v/>
      </c>
      <c r="N192">
        <f>IFERROR(LEFT(B192,FIND(" ",B192)-1),B192)</f>
        <v/>
      </c>
      <c r="O192">
        <f>AND(B192&lt;&gt;"",B192&lt;&gt;설정!$B$4,C192&lt;&gt;설정!$B$5)</f>
        <v/>
      </c>
      <c r="P192">
        <f>IF(O192,B192&amp;"|"&amp;C192,"")</f>
        <v/>
      </c>
      <c r="Q192">
        <f>AND(O192,COUNTIF(P193:P$1002,P192)=0)</f>
        <v/>
      </c>
      <c r="R192">
        <f>OR(AND(설정!$A$28&lt;&gt;"",ISNUMBER(SEARCH(설정!$A$28,E192&amp;" "&amp;C192))),AND(설정!$A$29&lt;&gt;"",ISNUMBER(SEARCH(설정!$A$29,E192&amp;" "&amp;C192))),AND(설정!$A$30&lt;&gt;"",ISNUMBER(SEARCH(설정!$A$30,E192&amp;" "&amp;C192))),AND(설정!$A$31&lt;&gt;"",ISNUMBER(SEARCH(설정!$A$31,E192&amp;" "&amp;C192))),AND(설정!$A$32&lt;&gt;"",ISNUMBER(SEARCH(설정!$A$32,E192&amp;" "&amp;C192))),AND(설정!$A$33&lt;&gt;"",ISNUMBER(SEARCH(설정!$A$33,E192&amp;" "&amp;C192))),AND(설정!$A$34&lt;&gt;"",ISNUMBER(SEARCH(설정!$A$34,E192&amp;" "&amp;C192))),AND(설정!$A$35&lt;&gt;"",ISNUMBER(SEARCH(설정!$A$35,E192&amp;" "&amp;C192))),AND(설정!$A$36&lt;&gt;"",ISNUMBER(SEARCH(설정!$A$36,E192&amp;" "&amp;C192))),AND(설정!$A$37&lt;&gt;"",ISNUMBER(SEARCH(설정!$A$37,E192&amp;" "&amp;C192))))</f>
        <v/>
      </c>
      <c r="S192">
        <f>OR(D192="",D192&gt;=설정!$B$19)</f>
        <v/>
      </c>
      <c r="T192">
        <f>AND(Q192,R192,S192)</f>
        <v/>
      </c>
      <c r="U192">
        <f>IF(T192,IF(AND(설정!$A$41&lt;&gt;"",ISNUMBER(SEARCH(설정!$A$41,K192))),설정!$B$41,IF(AND(설정!$A$42&lt;&gt;"",ISNUMBER(SEARCH(설정!$A$42,K192))),설정!$B$42,IF(AND(설정!$A$43&lt;&gt;"",ISNUMBER(SEARCH(설정!$A$43,K192))),설정!$B$43,IF(AND(설정!$A$44&lt;&gt;"",ISNUMBER(SEARCH(설정!$A$44,K192))),설정!$B$44,IF(AND(설정!$A$45&lt;&gt;"",ISNUMBER(SEARCH(설정!$A$45,K192))),설정!$B$45,IF(AND(설정!$A$46&lt;&gt;"",ISNUMBER(SEARCH(설정!$A$46,K192))),설정!$B$46,IF(AND(설정!$A$47&lt;&gt;"",ISNUMBER(SEARCH(설정!$A$47,K192))),설정!$B$47,IF(AND(설정!$A$48&lt;&gt;"",ISNUMBER(SEARCH(설정!$A$48,K192))),설정!$B$48,IF(M192="","설계사","시공사"))))))))),"")</f>
        <v/>
      </c>
      <c r="V192">
        <f>SUBSTITUTE(SUBSTITUTE(SUBSTITUTE(SUBSTITUTE(G192,"(주)",""),"㈜",""),"주식회사","")," ","")</f>
        <v/>
      </c>
      <c r="W192">
        <f>IF(AND(T192,V192&lt;&gt;""),IF(COUNTIFS(V$2:V192,V192,T$2:T192,TRUE)=1,MAX(W$1:W191)+1,""),"")</f>
        <v/>
      </c>
      <c r="X192">
        <f>IFERROR(INDEX('1.산군_붙여넣기'!$A$1:$AZ$1001,ROW(),설정!$C$14)&amp;"","")</f>
        <v/>
      </c>
      <c r="Y192">
        <f>IFERROR(INDEX('1.산군_붙여넣기'!$A$1:$AZ$1001,ROW(),설정!$C$15)&amp;"","")</f>
        <v/>
      </c>
      <c r="Z192">
        <f>IF(T192,V192&amp;"|"&amp;U192,"")</f>
        <v/>
      </c>
    </row>
    <row r="193">
      <c r="A193">
        <f>ROW()</f>
        <v/>
      </c>
      <c r="B193">
        <f>IFERROR(INDEX('1.산군_붙여넣기'!$A$1:$AZ$1001,ROW(),설정!$C$4)&amp;"","")</f>
        <v/>
      </c>
      <c r="C193">
        <f>IFERROR(INDEX('1.산군_붙여넣기'!$A$1:$AZ$1001,ROW(),설정!$C$5)&amp;"","")</f>
        <v/>
      </c>
      <c r="D193" s="5">
        <f>IFERROR(VALUE(SUBSTITUTE(SUBSTITUTE(SUBSTITUTE(IFERROR(INDEX('1.산군_붙여넣기'!$A$1:$AZ$1001,ROW(),설정!$C$6)&amp;"",""),",",""),"㎡",""),"m2","")),"")</f>
        <v/>
      </c>
      <c r="E193">
        <f>IFERROR(INDEX('1.산군_붙여넣기'!$A$1:$AZ$1001,ROW(),설정!$C$7)&amp;"","")</f>
        <v/>
      </c>
      <c r="F193">
        <f>IFERROR(INDEX('1.산군_붙여넣기'!$A$1:$AZ$1001,ROW(),설정!$C$8)&amp;"","")</f>
        <v/>
      </c>
      <c r="G193">
        <f>IFERROR(INDEX('1.산군_붙여넣기'!$A$1:$AZ$1001,ROW(),설정!$C$9)&amp;"","")</f>
        <v/>
      </c>
      <c r="H193">
        <f>IFERROR(INDEX('1.산군_붙여넣기'!$A$1:$AZ$1001,ROW(),설정!$C$10)&amp;"","")</f>
        <v/>
      </c>
      <c r="I193">
        <f>IFERROR(INDEX('1.산군_붙여넣기'!$A$1:$AZ$1001,ROW(),설정!$C$11)&amp;"","")</f>
        <v/>
      </c>
      <c r="J193">
        <f>IFERROR(INDEX('1.산군_붙여넣기'!$A$1:$AZ$1001,ROW(),설정!$C$12)&amp;"","")</f>
        <v/>
      </c>
      <c r="K193">
        <f>IFERROR(INDEX('1.산군_붙여넣기'!$A$1:$AZ$1001,ROW(),설정!$C$13)&amp;"","")</f>
        <v/>
      </c>
      <c r="L193" s="6">
        <f>IF(X193="","",IF(AND(LEN(X193)=8,ISNUMBER(X193*1)),DATE(LEFT(X193,4),MID(X193,5,2),RIGHT(X193,2)),IFERROR(DATEVALUE(SUBSTITUTE(SUBSTITUTE(X193,".","-"),"/","-")),IFERROR(X193*1,""))))</f>
        <v/>
      </c>
      <c r="M193" s="6">
        <f>IF(Y193="","",IF(AND(LEN(Y193)=8,ISNUMBER(Y193*1)),DATE(LEFT(Y193,4),MID(Y193,5,2),RIGHT(Y193,2)),IFERROR(DATEVALUE(SUBSTITUTE(SUBSTITUTE(Y193,".","-"),"/","-")),IFERROR(Y193*1,""))))</f>
        <v/>
      </c>
      <c r="N193">
        <f>IFERROR(LEFT(B193,FIND(" ",B193)-1),B193)</f>
        <v/>
      </c>
      <c r="O193">
        <f>AND(B193&lt;&gt;"",B193&lt;&gt;설정!$B$4,C193&lt;&gt;설정!$B$5)</f>
        <v/>
      </c>
      <c r="P193">
        <f>IF(O193,B193&amp;"|"&amp;C193,"")</f>
        <v/>
      </c>
      <c r="Q193">
        <f>AND(O193,COUNTIF(P194:P$1002,P193)=0)</f>
        <v/>
      </c>
      <c r="R193">
        <f>OR(AND(설정!$A$28&lt;&gt;"",ISNUMBER(SEARCH(설정!$A$28,E193&amp;" "&amp;C193))),AND(설정!$A$29&lt;&gt;"",ISNUMBER(SEARCH(설정!$A$29,E193&amp;" "&amp;C193))),AND(설정!$A$30&lt;&gt;"",ISNUMBER(SEARCH(설정!$A$30,E193&amp;" "&amp;C193))),AND(설정!$A$31&lt;&gt;"",ISNUMBER(SEARCH(설정!$A$31,E193&amp;" "&amp;C193))),AND(설정!$A$32&lt;&gt;"",ISNUMBER(SEARCH(설정!$A$32,E193&amp;" "&amp;C193))),AND(설정!$A$33&lt;&gt;"",ISNUMBER(SEARCH(설정!$A$33,E193&amp;" "&amp;C193))),AND(설정!$A$34&lt;&gt;"",ISNUMBER(SEARCH(설정!$A$34,E193&amp;" "&amp;C193))),AND(설정!$A$35&lt;&gt;"",ISNUMBER(SEARCH(설정!$A$35,E193&amp;" "&amp;C193))),AND(설정!$A$36&lt;&gt;"",ISNUMBER(SEARCH(설정!$A$36,E193&amp;" "&amp;C193))),AND(설정!$A$37&lt;&gt;"",ISNUMBER(SEARCH(설정!$A$37,E193&amp;" "&amp;C193))))</f>
        <v/>
      </c>
      <c r="S193">
        <f>OR(D193="",D193&gt;=설정!$B$19)</f>
        <v/>
      </c>
      <c r="T193">
        <f>AND(Q193,R193,S193)</f>
        <v/>
      </c>
      <c r="U193">
        <f>IF(T193,IF(AND(설정!$A$41&lt;&gt;"",ISNUMBER(SEARCH(설정!$A$41,K193))),설정!$B$41,IF(AND(설정!$A$42&lt;&gt;"",ISNUMBER(SEARCH(설정!$A$42,K193))),설정!$B$42,IF(AND(설정!$A$43&lt;&gt;"",ISNUMBER(SEARCH(설정!$A$43,K193))),설정!$B$43,IF(AND(설정!$A$44&lt;&gt;"",ISNUMBER(SEARCH(설정!$A$44,K193))),설정!$B$44,IF(AND(설정!$A$45&lt;&gt;"",ISNUMBER(SEARCH(설정!$A$45,K193))),설정!$B$45,IF(AND(설정!$A$46&lt;&gt;"",ISNUMBER(SEARCH(설정!$A$46,K193))),설정!$B$46,IF(AND(설정!$A$47&lt;&gt;"",ISNUMBER(SEARCH(설정!$A$47,K193))),설정!$B$47,IF(AND(설정!$A$48&lt;&gt;"",ISNUMBER(SEARCH(설정!$A$48,K193))),설정!$B$48,IF(M193="","설계사","시공사"))))))))),"")</f>
        <v/>
      </c>
      <c r="V193">
        <f>SUBSTITUTE(SUBSTITUTE(SUBSTITUTE(SUBSTITUTE(G193,"(주)",""),"㈜",""),"주식회사","")," ","")</f>
        <v/>
      </c>
      <c r="W193">
        <f>IF(AND(T193,V193&lt;&gt;""),IF(COUNTIFS(V$2:V193,V193,T$2:T193,TRUE)=1,MAX(W$1:W192)+1,""),"")</f>
        <v/>
      </c>
      <c r="X193">
        <f>IFERROR(INDEX('1.산군_붙여넣기'!$A$1:$AZ$1001,ROW(),설정!$C$14)&amp;"","")</f>
        <v/>
      </c>
      <c r="Y193">
        <f>IFERROR(INDEX('1.산군_붙여넣기'!$A$1:$AZ$1001,ROW(),설정!$C$15)&amp;"","")</f>
        <v/>
      </c>
      <c r="Z193">
        <f>IF(T193,V193&amp;"|"&amp;U193,"")</f>
        <v/>
      </c>
    </row>
    <row r="194">
      <c r="A194">
        <f>ROW()</f>
        <v/>
      </c>
      <c r="B194">
        <f>IFERROR(INDEX('1.산군_붙여넣기'!$A$1:$AZ$1001,ROW(),설정!$C$4)&amp;"","")</f>
        <v/>
      </c>
      <c r="C194">
        <f>IFERROR(INDEX('1.산군_붙여넣기'!$A$1:$AZ$1001,ROW(),설정!$C$5)&amp;"","")</f>
        <v/>
      </c>
      <c r="D194" s="5">
        <f>IFERROR(VALUE(SUBSTITUTE(SUBSTITUTE(SUBSTITUTE(IFERROR(INDEX('1.산군_붙여넣기'!$A$1:$AZ$1001,ROW(),설정!$C$6)&amp;"",""),",",""),"㎡",""),"m2","")),"")</f>
        <v/>
      </c>
      <c r="E194">
        <f>IFERROR(INDEX('1.산군_붙여넣기'!$A$1:$AZ$1001,ROW(),설정!$C$7)&amp;"","")</f>
        <v/>
      </c>
      <c r="F194">
        <f>IFERROR(INDEX('1.산군_붙여넣기'!$A$1:$AZ$1001,ROW(),설정!$C$8)&amp;"","")</f>
        <v/>
      </c>
      <c r="G194">
        <f>IFERROR(INDEX('1.산군_붙여넣기'!$A$1:$AZ$1001,ROW(),설정!$C$9)&amp;"","")</f>
        <v/>
      </c>
      <c r="H194">
        <f>IFERROR(INDEX('1.산군_붙여넣기'!$A$1:$AZ$1001,ROW(),설정!$C$10)&amp;"","")</f>
        <v/>
      </c>
      <c r="I194">
        <f>IFERROR(INDEX('1.산군_붙여넣기'!$A$1:$AZ$1001,ROW(),설정!$C$11)&amp;"","")</f>
        <v/>
      </c>
      <c r="J194">
        <f>IFERROR(INDEX('1.산군_붙여넣기'!$A$1:$AZ$1001,ROW(),설정!$C$12)&amp;"","")</f>
        <v/>
      </c>
      <c r="K194">
        <f>IFERROR(INDEX('1.산군_붙여넣기'!$A$1:$AZ$1001,ROW(),설정!$C$13)&amp;"","")</f>
        <v/>
      </c>
      <c r="L194" s="6">
        <f>IF(X194="","",IF(AND(LEN(X194)=8,ISNUMBER(X194*1)),DATE(LEFT(X194,4),MID(X194,5,2),RIGHT(X194,2)),IFERROR(DATEVALUE(SUBSTITUTE(SUBSTITUTE(X194,".","-"),"/","-")),IFERROR(X194*1,""))))</f>
        <v/>
      </c>
      <c r="M194" s="6">
        <f>IF(Y194="","",IF(AND(LEN(Y194)=8,ISNUMBER(Y194*1)),DATE(LEFT(Y194,4),MID(Y194,5,2),RIGHT(Y194,2)),IFERROR(DATEVALUE(SUBSTITUTE(SUBSTITUTE(Y194,".","-"),"/","-")),IFERROR(Y194*1,""))))</f>
        <v/>
      </c>
      <c r="N194">
        <f>IFERROR(LEFT(B194,FIND(" ",B194)-1),B194)</f>
        <v/>
      </c>
      <c r="O194">
        <f>AND(B194&lt;&gt;"",B194&lt;&gt;설정!$B$4,C194&lt;&gt;설정!$B$5)</f>
        <v/>
      </c>
      <c r="P194">
        <f>IF(O194,B194&amp;"|"&amp;C194,"")</f>
        <v/>
      </c>
      <c r="Q194">
        <f>AND(O194,COUNTIF(P195:P$1002,P194)=0)</f>
        <v/>
      </c>
      <c r="R194">
        <f>OR(AND(설정!$A$28&lt;&gt;"",ISNUMBER(SEARCH(설정!$A$28,E194&amp;" "&amp;C194))),AND(설정!$A$29&lt;&gt;"",ISNUMBER(SEARCH(설정!$A$29,E194&amp;" "&amp;C194))),AND(설정!$A$30&lt;&gt;"",ISNUMBER(SEARCH(설정!$A$30,E194&amp;" "&amp;C194))),AND(설정!$A$31&lt;&gt;"",ISNUMBER(SEARCH(설정!$A$31,E194&amp;" "&amp;C194))),AND(설정!$A$32&lt;&gt;"",ISNUMBER(SEARCH(설정!$A$32,E194&amp;" "&amp;C194))),AND(설정!$A$33&lt;&gt;"",ISNUMBER(SEARCH(설정!$A$33,E194&amp;" "&amp;C194))),AND(설정!$A$34&lt;&gt;"",ISNUMBER(SEARCH(설정!$A$34,E194&amp;" "&amp;C194))),AND(설정!$A$35&lt;&gt;"",ISNUMBER(SEARCH(설정!$A$35,E194&amp;" "&amp;C194))),AND(설정!$A$36&lt;&gt;"",ISNUMBER(SEARCH(설정!$A$36,E194&amp;" "&amp;C194))),AND(설정!$A$37&lt;&gt;"",ISNUMBER(SEARCH(설정!$A$37,E194&amp;" "&amp;C194))))</f>
        <v/>
      </c>
      <c r="S194">
        <f>OR(D194="",D194&gt;=설정!$B$19)</f>
        <v/>
      </c>
      <c r="T194">
        <f>AND(Q194,R194,S194)</f>
        <v/>
      </c>
      <c r="U194">
        <f>IF(T194,IF(AND(설정!$A$41&lt;&gt;"",ISNUMBER(SEARCH(설정!$A$41,K194))),설정!$B$41,IF(AND(설정!$A$42&lt;&gt;"",ISNUMBER(SEARCH(설정!$A$42,K194))),설정!$B$42,IF(AND(설정!$A$43&lt;&gt;"",ISNUMBER(SEARCH(설정!$A$43,K194))),설정!$B$43,IF(AND(설정!$A$44&lt;&gt;"",ISNUMBER(SEARCH(설정!$A$44,K194))),설정!$B$44,IF(AND(설정!$A$45&lt;&gt;"",ISNUMBER(SEARCH(설정!$A$45,K194))),설정!$B$45,IF(AND(설정!$A$46&lt;&gt;"",ISNUMBER(SEARCH(설정!$A$46,K194))),설정!$B$46,IF(AND(설정!$A$47&lt;&gt;"",ISNUMBER(SEARCH(설정!$A$47,K194))),설정!$B$47,IF(AND(설정!$A$48&lt;&gt;"",ISNUMBER(SEARCH(설정!$A$48,K194))),설정!$B$48,IF(M194="","설계사","시공사"))))))))),"")</f>
        <v/>
      </c>
      <c r="V194">
        <f>SUBSTITUTE(SUBSTITUTE(SUBSTITUTE(SUBSTITUTE(G194,"(주)",""),"㈜",""),"주식회사","")," ","")</f>
        <v/>
      </c>
      <c r="W194">
        <f>IF(AND(T194,V194&lt;&gt;""),IF(COUNTIFS(V$2:V194,V194,T$2:T194,TRUE)=1,MAX(W$1:W193)+1,""),"")</f>
        <v/>
      </c>
      <c r="X194">
        <f>IFERROR(INDEX('1.산군_붙여넣기'!$A$1:$AZ$1001,ROW(),설정!$C$14)&amp;"","")</f>
        <v/>
      </c>
      <c r="Y194">
        <f>IFERROR(INDEX('1.산군_붙여넣기'!$A$1:$AZ$1001,ROW(),설정!$C$15)&amp;"","")</f>
        <v/>
      </c>
      <c r="Z194">
        <f>IF(T194,V194&amp;"|"&amp;U194,"")</f>
        <v/>
      </c>
    </row>
    <row r="195">
      <c r="A195">
        <f>ROW()</f>
        <v/>
      </c>
      <c r="B195">
        <f>IFERROR(INDEX('1.산군_붙여넣기'!$A$1:$AZ$1001,ROW(),설정!$C$4)&amp;"","")</f>
        <v/>
      </c>
      <c r="C195">
        <f>IFERROR(INDEX('1.산군_붙여넣기'!$A$1:$AZ$1001,ROW(),설정!$C$5)&amp;"","")</f>
        <v/>
      </c>
      <c r="D195" s="5">
        <f>IFERROR(VALUE(SUBSTITUTE(SUBSTITUTE(SUBSTITUTE(IFERROR(INDEX('1.산군_붙여넣기'!$A$1:$AZ$1001,ROW(),설정!$C$6)&amp;"",""),",",""),"㎡",""),"m2","")),"")</f>
        <v/>
      </c>
      <c r="E195">
        <f>IFERROR(INDEX('1.산군_붙여넣기'!$A$1:$AZ$1001,ROW(),설정!$C$7)&amp;"","")</f>
        <v/>
      </c>
      <c r="F195">
        <f>IFERROR(INDEX('1.산군_붙여넣기'!$A$1:$AZ$1001,ROW(),설정!$C$8)&amp;"","")</f>
        <v/>
      </c>
      <c r="G195">
        <f>IFERROR(INDEX('1.산군_붙여넣기'!$A$1:$AZ$1001,ROW(),설정!$C$9)&amp;"","")</f>
        <v/>
      </c>
      <c r="H195">
        <f>IFERROR(INDEX('1.산군_붙여넣기'!$A$1:$AZ$1001,ROW(),설정!$C$10)&amp;"","")</f>
        <v/>
      </c>
      <c r="I195">
        <f>IFERROR(INDEX('1.산군_붙여넣기'!$A$1:$AZ$1001,ROW(),설정!$C$11)&amp;"","")</f>
        <v/>
      </c>
      <c r="J195">
        <f>IFERROR(INDEX('1.산군_붙여넣기'!$A$1:$AZ$1001,ROW(),설정!$C$12)&amp;"","")</f>
        <v/>
      </c>
      <c r="K195">
        <f>IFERROR(INDEX('1.산군_붙여넣기'!$A$1:$AZ$1001,ROW(),설정!$C$13)&amp;"","")</f>
        <v/>
      </c>
      <c r="L195" s="6">
        <f>IF(X195="","",IF(AND(LEN(X195)=8,ISNUMBER(X195*1)),DATE(LEFT(X195,4),MID(X195,5,2),RIGHT(X195,2)),IFERROR(DATEVALUE(SUBSTITUTE(SUBSTITUTE(X195,".","-"),"/","-")),IFERROR(X195*1,""))))</f>
        <v/>
      </c>
      <c r="M195" s="6">
        <f>IF(Y195="","",IF(AND(LEN(Y195)=8,ISNUMBER(Y195*1)),DATE(LEFT(Y195,4),MID(Y195,5,2),RIGHT(Y195,2)),IFERROR(DATEVALUE(SUBSTITUTE(SUBSTITUTE(Y195,".","-"),"/","-")),IFERROR(Y195*1,""))))</f>
        <v/>
      </c>
      <c r="N195">
        <f>IFERROR(LEFT(B195,FIND(" ",B195)-1),B195)</f>
        <v/>
      </c>
      <c r="O195">
        <f>AND(B195&lt;&gt;"",B195&lt;&gt;설정!$B$4,C195&lt;&gt;설정!$B$5)</f>
        <v/>
      </c>
      <c r="P195">
        <f>IF(O195,B195&amp;"|"&amp;C195,"")</f>
        <v/>
      </c>
      <c r="Q195">
        <f>AND(O195,COUNTIF(P196:P$1002,P195)=0)</f>
        <v/>
      </c>
      <c r="R195">
        <f>OR(AND(설정!$A$28&lt;&gt;"",ISNUMBER(SEARCH(설정!$A$28,E195&amp;" "&amp;C195))),AND(설정!$A$29&lt;&gt;"",ISNUMBER(SEARCH(설정!$A$29,E195&amp;" "&amp;C195))),AND(설정!$A$30&lt;&gt;"",ISNUMBER(SEARCH(설정!$A$30,E195&amp;" "&amp;C195))),AND(설정!$A$31&lt;&gt;"",ISNUMBER(SEARCH(설정!$A$31,E195&amp;" "&amp;C195))),AND(설정!$A$32&lt;&gt;"",ISNUMBER(SEARCH(설정!$A$32,E195&amp;" "&amp;C195))),AND(설정!$A$33&lt;&gt;"",ISNUMBER(SEARCH(설정!$A$33,E195&amp;" "&amp;C195))),AND(설정!$A$34&lt;&gt;"",ISNUMBER(SEARCH(설정!$A$34,E195&amp;" "&amp;C195))),AND(설정!$A$35&lt;&gt;"",ISNUMBER(SEARCH(설정!$A$35,E195&amp;" "&amp;C195))),AND(설정!$A$36&lt;&gt;"",ISNUMBER(SEARCH(설정!$A$36,E195&amp;" "&amp;C195))),AND(설정!$A$37&lt;&gt;"",ISNUMBER(SEARCH(설정!$A$37,E195&amp;" "&amp;C195))))</f>
        <v/>
      </c>
      <c r="S195">
        <f>OR(D195="",D195&gt;=설정!$B$19)</f>
        <v/>
      </c>
      <c r="T195">
        <f>AND(Q195,R195,S195)</f>
        <v/>
      </c>
      <c r="U195">
        <f>IF(T195,IF(AND(설정!$A$41&lt;&gt;"",ISNUMBER(SEARCH(설정!$A$41,K195))),설정!$B$41,IF(AND(설정!$A$42&lt;&gt;"",ISNUMBER(SEARCH(설정!$A$42,K195))),설정!$B$42,IF(AND(설정!$A$43&lt;&gt;"",ISNUMBER(SEARCH(설정!$A$43,K195))),설정!$B$43,IF(AND(설정!$A$44&lt;&gt;"",ISNUMBER(SEARCH(설정!$A$44,K195))),설정!$B$44,IF(AND(설정!$A$45&lt;&gt;"",ISNUMBER(SEARCH(설정!$A$45,K195))),설정!$B$45,IF(AND(설정!$A$46&lt;&gt;"",ISNUMBER(SEARCH(설정!$A$46,K195))),설정!$B$46,IF(AND(설정!$A$47&lt;&gt;"",ISNUMBER(SEARCH(설정!$A$47,K195))),설정!$B$47,IF(AND(설정!$A$48&lt;&gt;"",ISNUMBER(SEARCH(설정!$A$48,K195))),설정!$B$48,IF(M195="","설계사","시공사"))))))))),"")</f>
        <v/>
      </c>
      <c r="V195">
        <f>SUBSTITUTE(SUBSTITUTE(SUBSTITUTE(SUBSTITUTE(G195,"(주)",""),"㈜",""),"주식회사","")," ","")</f>
        <v/>
      </c>
      <c r="W195">
        <f>IF(AND(T195,V195&lt;&gt;""),IF(COUNTIFS(V$2:V195,V195,T$2:T195,TRUE)=1,MAX(W$1:W194)+1,""),"")</f>
        <v/>
      </c>
      <c r="X195">
        <f>IFERROR(INDEX('1.산군_붙여넣기'!$A$1:$AZ$1001,ROW(),설정!$C$14)&amp;"","")</f>
        <v/>
      </c>
      <c r="Y195">
        <f>IFERROR(INDEX('1.산군_붙여넣기'!$A$1:$AZ$1001,ROW(),설정!$C$15)&amp;"","")</f>
        <v/>
      </c>
      <c r="Z195">
        <f>IF(T195,V195&amp;"|"&amp;U195,"")</f>
        <v/>
      </c>
    </row>
    <row r="196">
      <c r="A196">
        <f>ROW()</f>
        <v/>
      </c>
      <c r="B196">
        <f>IFERROR(INDEX('1.산군_붙여넣기'!$A$1:$AZ$1001,ROW(),설정!$C$4)&amp;"","")</f>
        <v/>
      </c>
      <c r="C196">
        <f>IFERROR(INDEX('1.산군_붙여넣기'!$A$1:$AZ$1001,ROW(),설정!$C$5)&amp;"","")</f>
        <v/>
      </c>
      <c r="D196" s="5">
        <f>IFERROR(VALUE(SUBSTITUTE(SUBSTITUTE(SUBSTITUTE(IFERROR(INDEX('1.산군_붙여넣기'!$A$1:$AZ$1001,ROW(),설정!$C$6)&amp;"",""),",",""),"㎡",""),"m2","")),"")</f>
        <v/>
      </c>
      <c r="E196">
        <f>IFERROR(INDEX('1.산군_붙여넣기'!$A$1:$AZ$1001,ROW(),설정!$C$7)&amp;"","")</f>
        <v/>
      </c>
      <c r="F196">
        <f>IFERROR(INDEX('1.산군_붙여넣기'!$A$1:$AZ$1001,ROW(),설정!$C$8)&amp;"","")</f>
        <v/>
      </c>
      <c r="G196">
        <f>IFERROR(INDEX('1.산군_붙여넣기'!$A$1:$AZ$1001,ROW(),설정!$C$9)&amp;"","")</f>
        <v/>
      </c>
      <c r="H196">
        <f>IFERROR(INDEX('1.산군_붙여넣기'!$A$1:$AZ$1001,ROW(),설정!$C$10)&amp;"","")</f>
        <v/>
      </c>
      <c r="I196">
        <f>IFERROR(INDEX('1.산군_붙여넣기'!$A$1:$AZ$1001,ROW(),설정!$C$11)&amp;"","")</f>
        <v/>
      </c>
      <c r="J196">
        <f>IFERROR(INDEX('1.산군_붙여넣기'!$A$1:$AZ$1001,ROW(),설정!$C$12)&amp;"","")</f>
        <v/>
      </c>
      <c r="K196">
        <f>IFERROR(INDEX('1.산군_붙여넣기'!$A$1:$AZ$1001,ROW(),설정!$C$13)&amp;"","")</f>
        <v/>
      </c>
      <c r="L196" s="6">
        <f>IF(X196="","",IF(AND(LEN(X196)=8,ISNUMBER(X196*1)),DATE(LEFT(X196,4),MID(X196,5,2),RIGHT(X196,2)),IFERROR(DATEVALUE(SUBSTITUTE(SUBSTITUTE(X196,".","-"),"/","-")),IFERROR(X196*1,""))))</f>
        <v/>
      </c>
      <c r="M196" s="6">
        <f>IF(Y196="","",IF(AND(LEN(Y196)=8,ISNUMBER(Y196*1)),DATE(LEFT(Y196,4),MID(Y196,5,2),RIGHT(Y196,2)),IFERROR(DATEVALUE(SUBSTITUTE(SUBSTITUTE(Y196,".","-"),"/","-")),IFERROR(Y196*1,""))))</f>
        <v/>
      </c>
      <c r="N196">
        <f>IFERROR(LEFT(B196,FIND(" ",B196)-1),B196)</f>
        <v/>
      </c>
      <c r="O196">
        <f>AND(B196&lt;&gt;"",B196&lt;&gt;설정!$B$4,C196&lt;&gt;설정!$B$5)</f>
        <v/>
      </c>
      <c r="P196">
        <f>IF(O196,B196&amp;"|"&amp;C196,"")</f>
        <v/>
      </c>
      <c r="Q196">
        <f>AND(O196,COUNTIF(P197:P$1002,P196)=0)</f>
        <v/>
      </c>
      <c r="R196">
        <f>OR(AND(설정!$A$28&lt;&gt;"",ISNUMBER(SEARCH(설정!$A$28,E196&amp;" "&amp;C196))),AND(설정!$A$29&lt;&gt;"",ISNUMBER(SEARCH(설정!$A$29,E196&amp;" "&amp;C196))),AND(설정!$A$30&lt;&gt;"",ISNUMBER(SEARCH(설정!$A$30,E196&amp;" "&amp;C196))),AND(설정!$A$31&lt;&gt;"",ISNUMBER(SEARCH(설정!$A$31,E196&amp;" "&amp;C196))),AND(설정!$A$32&lt;&gt;"",ISNUMBER(SEARCH(설정!$A$32,E196&amp;" "&amp;C196))),AND(설정!$A$33&lt;&gt;"",ISNUMBER(SEARCH(설정!$A$33,E196&amp;" "&amp;C196))),AND(설정!$A$34&lt;&gt;"",ISNUMBER(SEARCH(설정!$A$34,E196&amp;" "&amp;C196))),AND(설정!$A$35&lt;&gt;"",ISNUMBER(SEARCH(설정!$A$35,E196&amp;" "&amp;C196))),AND(설정!$A$36&lt;&gt;"",ISNUMBER(SEARCH(설정!$A$36,E196&amp;" "&amp;C196))),AND(설정!$A$37&lt;&gt;"",ISNUMBER(SEARCH(설정!$A$37,E196&amp;" "&amp;C196))))</f>
        <v/>
      </c>
      <c r="S196">
        <f>OR(D196="",D196&gt;=설정!$B$19)</f>
        <v/>
      </c>
      <c r="T196">
        <f>AND(Q196,R196,S196)</f>
        <v/>
      </c>
      <c r="U196">
        <f>IF(T196,IF(AND(설정!$A$41&lt;&gt;"",ISNUMBER(SEARCH(설정!$A$41,K196))),설정!$B$41,IF(AND(설정!$A$42&lt;&gt;"",ISNUMBER(SEARCH(설정!$A$42,K196))),설정!$B$42,IF(AND(설정!$A$43&lt;&gt;"",ISNUMBER(SEARCH(설정!$A$43,K196))),설정!$B$43,IF(AND(설정!$A$44&lt;&gt;"",ISNUMBER(SEARCH(설정!$A$44,K196))),설정!$B$44,IF(AND(설정!$A$45&lt;&gt;"",ISNUMBER(SEARCH(설정!$A$45,K196))),설정!$B$45,IF(AND(설정!$A$46&lt;&gt;"",ISNUMBER(SEARCH(설정!$A$46,K196))),설정!$B$46,IF(AND(설정!$A$47&lt;&gt;"",ISNUMBER(SEARCH(설정!$A$47,K196))),설정!$B$47,IF(AND(설정!$A$48&lt;&gt;"",ISNUMBER(SEARCH(설정!$A$48,K196))),설정!$B$48,IF(M196="","설계사","시공사"))))))))),"")</f>
        <v/>
      </c>
      <c r="V196">
        <f>SUBSTITUTE(SUBSTITUTE(SUBSTITUTE(SUBSTITUTE(G196,"(주)",""),"㈜",""),"주식회사","")," ","")</f>
        <v/>
      </c>
      <c r="W196">
        <f>IF(AND(T196,V196&lt;&gt;""),IF(COUNTIFS(V$2:V196,V196,T$2:T196,TRUE)=1,MAX(W$1:W195)+1,""),"")</f>
        <v/>
      </c>
      <c r="X196">
        <f>IFERROR(INDEX('1.산군_붙여넣기'!$A$1:$AZ$1001,ROW(),설정!$C$14)&amp;"","")</f>
        <v/>
      </c>
      <c r="Y196">
        <f>IFERROR(INDEX('1.산군_붙여넣기'!$A$1:$AZ$1001,ROW(),설정!$C$15)&amp;"","")</f>
        <v/>
      </c>
      <c r="Z196">
        <f>IF(T196,V196&amp;"|"&amp;U196,"")</f>
        <v/>
      </c>
    </row>
    <row r="197">
      <c r="A197">
        <f>ROW()</f>
        <v/>
      </c>
      <c r="B197">
        <f>IFERROR(INDEX('1.산군_붙여넣기'!$A$1:$AZ$1001,ROW(),설정!$C$4)&amp;"","")</f>
        <v/>
      </c>
      <c r="C197">
        <f>IFERROR(INDEX('1.산군_붙여넣기'!$A$1:$AZ$1001,ROW(),설정!$C$5)&amp;"","")</f>
        <v/>
      </c>
      <c r="D197" s="5">
        <f>IFERROR(VALUE(SUBSTITUTE(SUBSTITUTE(SUBSTITUTE(IFERROR(INDEX('1.산군_붙여넣기'!$A$1:$AZ$1001,ROW(),설정!$C$6)&amp;"",""),",",""),"㎡",""),"m2","")),"")</f>
        <v/>
      </c>
      <c r="E197">
        <f>IFERROR(INDEX('1.산군_붙여넣기'!$A$1:$AZ$1001,ROW(),설정!$C$7)&amp;"","")</f>
        <v/>
      </c>
      <c r="F197">
        <f>IFERROR(INDEX('1.산군_붙여넣기'!$A$1:$AZ$1001,ROW(),설정!$C$8)&amp;"","")</f>
        <v/>
      </c>
      <c r="G197">
        <f>IFERROR(INDEX('1.산군_붙여넣기'!$A$1:$AZ$1001,ROW(),설정!$C$9)&amp;"","")</f>
        <v/>
      </c>
      <c r="H197">
        <f>IFERROR(INDEX('1.산군_붙여넣기'!$A$1:$AZ$1001,ROW(),설정!$C$10)&amp;"","")</f>
        <v/>
      </c>
      <c r="I197">
        <f>IFERROR(INDEX('1.산군_붙여넣기'!$A$1:$AZ$1001,ROW(),설정!$C$11)&amp;"","")</f>
        <v/>
      </c>
      <c r="J197">
        <f>IFERROR(INDEX('1.산군_붙여넣기'!$A$1:$AZ$1001,ROW(),설정!$C$12)&amp;"","")</f>
        <v/>
      </c>
      <c r="K197">
        <f>IFERROR(INDEX('1.산군_붙여넣기'!$A$1:$AZ$1001,ROW(),설정!$C$13)&amp;"","")</f>
        <v/>
      </c>
      <c r="L197" s="6">
        <f>IF(X197="","",IF(AND(LEN(X197)=8,ISNUMBER(X197*1)),DATE(LEFT(X197,4),MID(X197,5,2),RIGHT(X197,2)),IFERROR(DATEVALUE(SUBSTITUTE(SUBSTITUTE(X197,".","-"),"/","-")),IFERROR(X197*1,""))))</f>
        <v/>
      </c>
      <c r="M197" s="6">
        <f>IF(Y197="","",IF(AND(LEN(Y197)=8,ISNUMBER(Y197*1)),DATE(LEFT(Y197,4),MID(Y197,5,2),RIGHT(Y197,2)),IFERROR(DATEVALUE(SUBSTITUTE(SUBSTITUTE(Y197,".","-"),"/","-")),IFERROR(Y197*1,""))))</f>
        <v/>
      </c>
      <c r="N197">
        <f>IFERROR(LEFT(B197,FIND(" ",B197)-1),B197)</f>
        <v/>
      </c>
      <c r="O197">
        <f>AND(B197&lt;&gt;"",B197&lt;&gt;설정!$B$4,C197&lt;&gt;설정!$B$5)</f>
        <v/>
      </c>
      <c r="P197">
        <f>IF(O197,B197&amp;"|"&amp;C197,"")</f>
        <v/>
      </c>
      <c r="Q197">
        <f>AND(O197,COUNTIF(P198:P$1002,P197)=0)</f>
        <v/>
      </c>
      <c r="R197">
        <f>OR(AND(설정!$A$28&lt;&gt;"",ISNUMBER(SEARCH(설정!$A$28,E197&amp;" "&amp;C197))),AND(설정!$A$29&lt;&gt;"",ISNUMBER(SEARCH(설정!$A$29,E197&amp;" "&amp;C197))),AND(설정!$A$30&lt;&gt;"",ISNUMBER(SEARCH(설정!$A$30,E197&amp;" "&amp;C197))),AND(설정!$A$31&lt;&gt;"",ISNUMBER(SEARCH(설정!$A$31,E197&amp;" "&amp;C197))),AND(설정!$A$32&lt;&gt;"",ISNUMBER(SEARCH(설정!$A$32,E197&amp;" "&amp;C197))),AND(설정!$A$33&lt;&gt;"",ISNUMBER(SEARCH(설정!$A$33,E197&amp;" "&amp;C197))),AND(설정!$A$34&lt;&gt;"",ISNUMBER(SEARCH(설정!$A$34,E197&amp;" "&amp;C197))),AND(설정!$A$35&lt;&gt;"",ISNUMBER(SEARCH(설정!$A$35,E197&amp;" "&amp;C197))),AND(설정!$A$36&lt;&gt;"",ISNUMBER(SEARCH(설정!$A$36,E197&amp;" "&amp;C197))),AND(설정!$A$37&lt;&gt;"",ISNUMBER(SEARCH(설정!$A$37,E197&amp;" "&amp;C197))))</f>
        <v/>
      </c>
      <c r="S197">
        <f>OR(D197="",D197&gt;=설정!$B$19)</f>
        <v/>
      </c>
      <c r="T197">
        <f>AND(Q197,R197,S197)</f>
        <v/>
      </c>
      <c r="U197">
        <f>IF(T197,IF(AND(설정!$A$41&lt;&gt;"",ISNUMBER(SEARCH(설정!$A$41,K197))),설정!$B$41,IF(AND(설정!$A$42&lt;&gt;"",ISNUMBER(SEARCH(설정!$A$42,K197))),설정!$B$42,IF(AND(설정!$A$43&lt;&gt;"",ISNUMBER(SEARCH(설정!$A$43,K197))),설정!$B$43,IF(AND(설정!$A$44&lt;&gt;"",ISNUMBER(SEARCH(설정!$A$44,K197))),설정!$B$44,IF(AND(설정!$A$45&lt;&gt;"",ISNUMBER(SEARCH(설정!$A$45,K197))),설정!$B$45,IF(AND(설정!$A$46&lt;&gt;"",ISNUMBER(SEARCH(설정!$A$46,K197))),설정!$B$46,IF(AND(설정!$A$47&lt;&gt;"",ISNUMBER(SEARCH(설정!$A$47,K197))),설정!$B$47,IF(AND(설정!$A$48&lt;&gt;"",ISNUMBER(SEARCH(설정!$A$48,K197))),설정!$B$48,IF(M197="","설계사","시공사"))))))))),"")</f>
        <v/>
      </c>
      <c r="V197">
        <f>SUBSTITUTE(SUBSTITUTE(SUBSTITUTE(SUBSTITUTE(G197,"(주)",""),"㈜",""),"주식회사","")," ","")</f>
        <v/>
      </c>
      <c r="W197">
        <f>IF(AND(T197,V197&lt;&gt;""),IF(COUNTIFS(V$2:V197,V197,T$2:T197,TRUE)=1,MAX(W$1:W196)+1,""),"")</f>
        <v/>
      </c>
      <c r="X197">
        <f>IFERROR(INDEX('1.산군_붙여넣기'!$A$1:$AZ$1001,ROW(),설정!$C$14)&amp;"","")</f>
        <v/>
      </c>
      <c r="Y197">
        <f>IFERROR(INDEX('1.산군_붙여넣기'!$A$1:$AZ$1001,ROW(),설정!$C$15)&amp;"","")</f>
        <v/>
      </c>
      <c r="Z197">
        <f>IF(T197,V197&amp;"|"&amp;U197,"")</f>
        <v/>
      </c>
    </row>
    <row r="198">
      <c r="A198">
        <f>ROW()</f>
        <v/>
      </c>
      <c r="B198">
        <f>IFERROR(INDEX('1.산군_붙여넣기'!$A$1:$AZ$1001,ROW(),설정!$C$4)&amp;"","")</f>
        <v/>
      </c>
      <c r="C198">
        <f>IFERROR(INDEX('1.산군_붙여넣기'!$A$1:$AZ$1001,ROW(),설정!$C$5)&amp;"","")</f>
        <v/>
      </c>
      <c r="D198" s="5">
        <f>IFERROR(VALUE(SUBSTITUTE(SUBSTITUTE(SUBSTITUTE(IFERROR(INDEX('1.산군_붙여넣기'!$A$1:$AZ$1001,ROW(),설정!$C$6)&amp;"",""),",",""),"㎡",""),"m2","")),"")</f>
        <v/>
      </c>
      <c r="E198">
        <f>IFERROR(INDEX('1.산군_붙여넣기'!$A$1:$AZ$1001,ROW(),설정!$C$7)&amp;"","")</f>
        <v/>
      </c>
      <c r="F198">
        <f>IFERROR(INDEX('1.산군_붙여넣기'!$A$1:$AZ$1001,ROW(),설정!$C$8)&amp;"","")</f>
        <v/>
      </c>
      <c r="G198">
        <f>IFERROR(INDEX('1.산군_붙여넣기'!$A$1:$AZ$1001,ROW(),설정!$C$9)&amp;"","")</f>
        <v/>
      </c>
      <c r="H198">
        <f>IFERROR(INDEX('1.산군_붙여넣기'!$A$1:$AZ$1001,ROW(),설정!$C$10)&amp;"","")</f>
        <v/>
      </c>
      <c r="I198">
        <f>IFERROR(INDEX('1.산군_붙여넣기'!$A$1:$AZ$1001,ROW(),설정!$C$11)&amp;"","")</f>
        <v/>
      </c>
      <c r="J198">
        <f>IFERROR(INDEX('1.산군_붙여넣기'!$A$1:$AZ$1001,ROW(),설정!$C$12)&amp;"","")</f>
        <v/>
      </c>
      <c r="K198">
        <f>IFERROR(INDEX('1.산군_붙여넣기'!$A$1:$AZ$1001,ROW(),설정!$C$13)&amp;"","")</f>
        <v/>
      </c>
      <c r="L198" s="6">
        <f>IF(X198="","",IF(AND(LEN(X198)=8,ISNUMBER(X198*1)),DATE(LEFT(X198,4),MID(X198,5,2),RIGHT(X198,2)),IFERROR(DATEVALUE(SUBSTITUTE(SUBSTITUTE(X198,".","-"),"/","-")),IFERROR(X198*1,""))))</f>
        <v/>
      </c>
      <c r="M198" s="6">
        <f>IF(Y198="","",IF(AND(LEN(Y198)=8,ISNUMBER(Y198*1)),DATE(LEFT(Y198,4),MID(Y198,5,2),RIGHT(Y198,2)),IFERROR(DATEVALUE(SUBSTITUTE(SUBSTITUTE(Y198,".","-"),"/","-")),IFERROR(Y198*1,""))))</f>
        <v/>
      </c>
      <c r="N198">
        <f>IFERROR(LEFT(B198,FIND(" ",B198)-1),B198)</f>
        <v/>
      </c>
      <c r="O198">
        <f>AND(B198&lt;&gt;"",B198&lt;&gt;설정!$B$4,C198&lt;&gt;설정!$B$5)</f>
        <v/>
      </c>
      <c r="P198">
        <f>IF(O198,B198&amp;"|"&amp;C198,"")</f>
        <v/>
      </c>
      <c r="Q198">
        <f>AND(O198,COUNTIF(P199:P$1002,P198)=0)</f>
        <v/>
      </c>
      <c r="R198">
        <f>OR(AND(설정!$A$28&lt;&gt;"",ISNUMBER(SEARCH(설정!$A$28,E198&amp;" "&amp;C198))),AND(설정!$A$29&lt;&gt;"",ISNUMBER(SEARCH(설정!$A$29,E198&amp;" "&amp;C198))),AND(설정!$A$30&lt;&gt;"",ISNUMBER(SEARCH(설정!$A$30,E198&amp;" "&amp;C198))),AND(설정!$A$31&lt;&gt;"",ISNUMBER(SEARCH(설정!$A$31,E198&amp;" "&amp;C198))),AND(설정!$A$32&lt;&gt;"",ISNUMBER(SEARCH(설정!$A$32,E198&amp;" "&amp;C198))),AND(설정!$A$33&lt;&gt;"",ISNUMBER(SEARCH(설정!$A$33,E198&amp;" "&amp;C198))),AND(설정!$A$34&lt;&gt;"",ISNUMBER(SEARCH(설정!$A$34,E198&amp;" "&amp;C198))),AND(설정!$A$35&lt;&gt;"",ISNUMBER(SEARCH(설정!$A$35,E198&amp;" "&amp;C198))),AND(설정!$A$36&lt;&gt;"",ISNUMBER(SEARCH(설정!$A$36,E198&amp;" "&amp;C198))),AND(설정!$A$37&lt;&gt;"",ISNUMBER(SEARCH(설정!$A$37,E198&amp;" "&amp;C198))))</f>
        <v/>
      </c>
      <c r="S198">
        <f>OR(D198="",D198&gt;=설정!$B$19)</f>
        <v/>
      </c>
      <c r="T198">
        <f>AND(Q198,R198,S198)</f>
        <v/>
      </c>
      <c r="U198">
        <f>IF(T198,IF(AND(설정!$A$41&lt;&gt;"",ISNUMBER(SEARCH(설정!$A$41,K198))),설정!$B$41,IF(AND(설정!$A$42&lt;&gt;"",ISNUMBER(SEARCH(설정!$A$42,K198))),설정!$B$42,IF(AND(설정!$A$43&lt;&gt;"",ISNUMBER(SEARCH(설정!$A$43,K198))),설정!$B$43,IF(AND(설정!$A$44&lt;&gt;"",ISNUMBER(SEARCH(설정!$A$44,K198))),설정!$B$44,IF(AND(설정!$A$45&lt;&gt;"",ISNUMBER(SEARCH(설정!$A$45,K198))),설정!$B$45,IF(AND(설정!$A$46&lt;&gt;"",ISNUMBER(SEARCH(설정!$A$46,K198))),설정!$B$46,IF(AND(설정!$A$47&lt;&gt;"",ISNUMBER(SEARCH(설정!$A$47,K198))),설정!$B$47,IF(AND(설정!$A$48&lt;&gt;"",ISNUMBER(SEARCH(설정!$A$48,K198))),설정!$B$48,IF(M198="","설계사","시공사"))))))))),"")</f>
        <v/>
      </c>
      <c r="V198">
        <f>SUBSTITUTE(SUBSTITUTE(SUBSTITUTE(SUBSTITUTE(G198,"(주)",""),"㈜",""),"주식회사","")," ","")</f>
        <v/>
      </c>
      <c r="W198">
        <f>IF(AND(T198,V198&lt;&gt;""),IF(COUNTIFS(V$2:V198,V198,T$2:T198,TRUE)=1,MAX(W$1:W197)+1,""),"")</f>
        <v/>
      </c>
      <c r="X198">
        <f>IFERROR(INDEX('1.산군_붙여넣기'!$A$1:$AZ$1001,ROW(),설정!$C$14)&amp;"","")</f>
        <v/>
      </c>
      <c r="Y198">
        <f>IFERROR(INDEX('1.산군_붙여넣기'!$A$1:$AZ$1001,ROW(),설정!$C$15)&amp;"","")</f>
        <v/>
      </c>
      <c r="Z198">
        <f>IF(T198,V198&amp;"|"&amp;U198,"")</f>
        <v/>
      </c>
    </row>
    <row r="199">
      <c r="A199">
        <f>ROW()</f>
        <v/>
      </c>
      <c r="B199">
        <f>IFERROR(INDEX('1.산군_붙여넣기'!$A$1:$AZ$1001,ROW(),설정!$C$4)&amp;"","")</f>
        <v/>
      </c>
      <c r="C199">
        <f>IFERROR(INDEX('1.산군_붙여넣기'!$A$1:$AZ$1001,ROW(),설정!$C$5)&amp;"","")</f>
        <v/>
      </c>
      <c r="D199" s="5">
        <f>IFERROR(VALUE(SUBSTITUTE(SUBSTITUTE(SUBSTITUTE(IFERROR(INDEX('1.산군_붙여넣기'!$A$1:$AZ$1001,ROW(),설정!$C$6)&amp;"",""),",",""),"㎡",""),"m2","")),"")</f>
        <v/>
      </c>
      <c r="E199">
        <f>IFERROR(INDEX('1.산군_붙여넣기'!$A$1:$AZ$1001,ROW(),설정!$C$7)&amp;"","")</f>
        <v/>
      </c>
      <c r="F199">
        <f>IFERROR(INDEX('1.산군_붙여넣기'!$A$1:$AZ$1001,ROW(),설정!$C$8)&amp;"","")</f>
        <v/>
      </c>
      <c r="G199">
        <f>IFERROR(INDEX('1.산군_붙여넣기'!$A$1:$AZ$1001,ROW(),설정!$C$9)&amp;"","")</f>
        <v/>
      </c>
      <c r="H199">
        <f>IFERROR(INDEX('1.산군_붙여넣기'!$A$1:$AZ$1001,ROW(),설정!$C$10)&amp;"","")</f>
        <v/>
      </c>
      <c r="I199">
        <f>IFERROR(INDEX('1.산군_붙여넣기'!$A$1:$AZ$1001,ROW(),설정!$C$11)&amp;"","")</f>
        <v/>
      </c>
      <c r="J199">
        <f>IFERROR(INDEX('1.산군_붙여넣기'!$A$1:$AZ$1001,ROW(),설정!$C$12)&amp;"","")</f>
        <v/>
      </c>
      <c r="K199">
        <f>IFERROR(INDEX('1.산군_붙여넣기'!$A$1:$AZ$1001,ROW(),설정!$C$13)&amp;"","")</f>
        <v/>
      </c>
      <c r="L199" s="6">
        <f>IF(X199="","",IF(AND(LEN(X199)=8,ISNUMBER(X199*1)),DATE(LEFT(X199,4),MID(X199,5,2),RIGHT(X199,2)),IFERROR(DATEVALUE(SUBSTITUTE(SUBSTITUTE(X199,".","-"),"/","-")),IFERROR(X199*1,""))))</f>
        <v/>
      </c>
      <c r="M199" s="6">
        <f>IF(Y199="","",IF(AND(LEN(Y199)=8,ISNUMBER(Y199*1)),DATE(LEFT(Y199,4),MID(Y199,5,2),RIGHT(Y199,2)),IFERROR(DATEVALUE(SUBSTITUTE(SUBSTITUTE(Y199,".","-"),"/","-")),IFERROR(Y199*1,""))))</f>
        <v/>
      </c>
      <c r="N199">
        <f>IFERROR(LEFT(B199,FIND(" ",B199)-1),B199)</f>
        <v/>
      </c>
      <c r="O199">
        <f>AND(B199&lt;&gt;"",B199&lt;&gt;설정!$B$4,C199&lt;&gt;설정!$B$5)</f>
        <v/>
      </c>
      <c r="P199">
        <f>IF(O199,B199&amp;"|"&amp;C199,"")</f>
        <v/>
      </c>
      <c r="Q199">
        <f>AND(O199,COUNTIF(P200:P$1002,P199)=0)</f>
        <v/>
      </c>
      <c r="R199">
        <f>OR(AND(설정!$A$28&lt;&gt;"",ISNUMBER(SEARCH(설정!$A$28,E199&amp;" "&amp;C199))),AND(설정!$A$29&lt;&gt;"",ISNUMBER(SEARCH(설정!$A$29,E199&amp;" "&amp;C199))),AND(설정!$A$30&lt;&gt;"",ISNUMBER(SEARCH(설정!$A$30,E199&amp;" "&amp;C199))),AND(설정!$A$31&lt;&gt;"",ISNUMBER(SEARCH(설정!$A$31,E199&amp;" "&amp;C199))),AND(설정!$A$32&lt;&gt;"",ISNUMBER(SEARCH(설정!$A$32,E199&amp;" "&amp;C199))),AND(설정!$A$33&lt;&gt;"",ISNUMBER(SEARCH(설정!$A$33,E199&amp;" "&amp;C199))),AND(설정!$A$34&lt;&gt;"",ISNUMBER(SEARCH(설정!$A$34,E199&amp;" "&amp;C199))),AND(설정!$A$35&lt;&gt;"",ISNUMBER(SEARCH(설정!$A$35,E199&amp;" "&amp;C199))),AND(설정!$A$36&lt;&gt;"",ISNUMBER(SEARCH(설정!$A$36,E199&amp;" "&amp;C199))),AND(설정!$A$37&lt;&gt;"",ISNUMBER(SEARCH(설정!$A$37,E199&amp;" "&amp;C199))))</f>
        <v/>
      </c>
      <c r="S199">
        <f>OR(D199="",D199&gt;=설정!$B$19)</f>
        <v/>
      </c>
      <c r="T199">
        <f>AND(Q199,R199,S199)</f>
        <v/>
      </c>
      <c r="U199">
        <f>IF(T199,IF(AND(설정!$A$41&lt;&gt;"",ISNUMBER(SEARCH(설정!$A$41,K199))),설정!$B$41,IF(AND(설정!$A$42&lt;&gt;"",ISNUMBER(SEARCH(설정!$A$42,K199))),설정!$B$42,IF(AND(설정!$A$43&lt;&gt;"",ISNUMBER(SEARCH(설정!$A$43,K199))),설정!$B$43,IF(AND(설정!$A$44&lt;&gt;"",ISNUMBER(SEARCH(설정!$A$44,K199))),설정!$B$44,IF(AND(설정!$A$45&lt;&gt;"",ISNUMBER(SEARCH(설정!$A$45,K199))),설정!$B$45,IF(AND(설정!$A$46&lt;&gt;"",ISNUMBER(SEARCH(설정!$A$46,K199))),설정!$B$46,IF(AND(설정!$A$47&lt;&gt;"",ISNUMBER(SEARCH(설정!$A$47,K199))),설정!$B$47,IF(AND(설정!$A$48&lt;&gt;"",ISNUMBER(SEARCH(설정!$A$48,K199))),설정!$B$48,IF(M199="","설계사","시공사"))))))))),"")</f>
        <v/>
      </c>
      <c r="V199">
        <f>SUBSTITUTE(SUBSTITUTE(SUBSTITUTE(SUBSTITUTE(G199,"(주)",""),"㈜",""),"주식회사","")," ","")</f>
        <v/>
      </c>
      <c r="W199">
        <f>IF(AND(T199,V199&lt;&gt;""),IF(COUNTIFS(V$2:V199,V199,T$2:T199,TRUE)=1,MAX(W$1:W198)+1,""),"")</f>
        <v/>
      </c>
      <c r="X199">
        <f>IFERROR(INDEX('1.산군_붙여넣기'!$A$1:$AZ$1001,ROW(),설정!$C$14)&amp;"","")</f>
        <v/>
      </c>
      <c r="Y199">
        <f>IFERROR(INDEX('1.산군_붙여넣기'!$A$1:$AZ$1001,ROW(),설정!$C$15)&amp;"","")</f>
        <v/>
      </c>
      <c r="Z199">
        <f>IF(T199,V199&amp;"|"&amp;U199,"")</f>
        <v/>
      </c>
    </row>
    <row r="200">
      <c r="A200">
        <f>ROW()</f>
        <v/>
      </c>
      <c r="B200">
        <f>IFERROR(INDEX('1.산군_붙여넣기'!$A$1:$AZ$1001,ROW(),설정!$C$4)&amp;"","")</f>
        <v/>
      </c>
      <c r="C200">
        <f>IFERROR(INDEX('1.산군_붙여넣기'!$A$1:$AZ$1001,ROW(),설정!$C$5)&amp;"","")</f>
        <v/>
      </c>
      <c r="D200" s="5">
        <f>IFERROR(VALUE(SUBSTITUTE(SUBSTITUTE(SUBSTITUTE(IFERROR(INDEX('1.산군_붙여넣기'!$A$1:$AZ$1001,ROW(),설정!$C$6)&amp;"",""),",",""),"㎡",""),"m2","")),"")</f>
        <v/>
      </c>
      <c r="E200">
        <f>IFERROR(INDEX('1.산군_붙여넣기'!$A$1:$AZ$1001,ROW(),설정!$C$7)&amp;"","")</f>
        <v/>
      </c>
      <c r="F200">
        <f>IFERROR(INDEX('1.산군_붙여넣기'!$A$1:$AZ$1001,ROW(),설정!$C$8)&amp;"","")</f>
        <v/>
      </c>
      <c r="G200">
        <f>IFERROR(INDEX('1.산군_붙여넣기'!$A$1:$AZ$1001,ROW(),설정!$C$9)&amp;"","")</f>
        <v/>
      </c>
      <c r="H200">
        <f>IFERROR(INDEX('1.산군_붙여넣기'!$A$1:$AZ$1001,ROW(),설정!$C$10)&amp;"","")</f>
        <v/>
      </c>
      <c r="I200">
        <f>IFERROR(INDEX('1.산군_붙여넣기'!$A$1:$AZ$1001,ROW(),설정!$C$11)&amp;"","")</f>
        <v/>
      </c>
      <c r="J200">
        <f>IFERROR(INDEX('1.산군_붙여넣기'!$A$1:$AZ$1001,ROW(),설정!$C$12)&amp;"","")</f>
        <v/>
      </c>
      <c r="K200">
        <f>IFERROR(INDEX('1.산군_붙여넣기'!$A$1:$AZ$1001,ROW(),설정!$C$13)&amp;"","")</f>
        <v/>
      </c>
      <c r="L200" s="6">
        <f>IF(X200="","",IF(AND(LEN(X200)=8,ISNUMBER(X200*1)),DATE(LEFT(X200,4),MID(X200,5,2),RIGHT(X200,2)),IFERROR(DATEVALUE(SUBSTITUTE(SUBSTITUTE(X200,".","-"),"/","-")),IFERROR(X200*1,""))))</f>
        <v/>
      </c>
      <c r="M200" s="6">
        <f>IF(Y200="","",IF(AND(LEN(Y200)=8,ISNUMBER(Y200*1)),DATE(LEFT(Y200,4),MID(Y200,5,2),RIGHT(Y200,2)),IFERROR(DATEVALUE(SUBSTITUTE(SUBSTITUTE(Y200,".","-"),"/","-")),IFERROR(Y200*1,""))))</f>
        <v/>
      </c>
      <c r="N200">
        <f>IFERROR(LEFT(B200,FIND(" ",B200)-1),B200)</f>
        <v/>
      </c>
      <c r="O200">
        <f>AND(B200&lt;&gt;"",B200&lt;&gt;설정!$B$4,C200&lt;&gt;설정!$B$5)</f>
        <v/>
      </c>
      <c r="P200">
        <f>IF(O200,B200&amp;"|"&amp;C200,"")</f>
        <v/>
      </c>
      <c r="Q200">
        <f>AND(O200,COUNTIF(P201:P$1002,P200)=0)</f>
        <v/>
      </c>
      <c r="R200">
        <f>OR(AND(설정!$A$28&lt;&gt;"",ISNUMBER(SEARCH(설정!$A$28,E200&amp;" "&amp;C200))),AND(설정!$A$29&lt;&gt;"",ISNUMBER(SEARCH(설정!$A$29,E200&amp;" "&amp;C200))),AND(설정!$A$30&lt;&gt;"",ISNUMBER(SEARCH(설정!$A$30,E200&amp;" "&amp;C200))),AND(설정!$A$31&lt;&gt;"",ISNUMBER(SEARCH(설정!$A$31,E200&amp;" "&amp;C200))),AND(설정!$A$32&lt;&gt;"",ISNUMBER(SEARCH(설정!$A$32,E200&amp;" "&amp;C200))),AND(설정!$A$33&lt;&gt;"",ISNUMBER(SEARCH(설정!$A$33,E200&amp;" "&amp;C200))),AND(설정!$A$34&lt;&gt;"",ISNUMBER(SEARCH(설정!$A$34,E200&amp;" "&amp;C200))),AND(설정!$A$35&lt;&gt;"",ISNUMBER(SEARCH(설정!$A$35,E200&amp;" "&amp;C200))),AND(설정!$A$36&lt;&gt;"",ISNUMBER(SEARCH(설정!$A$36,E200&amp;" "&amp;C200))),AND(설정!$A$37&lt;&gt;"",ISNUMBER(SEARCH(설정!$A$37,E200&amp;" "&amp;C200))))</f>
        <v/>
      </c>
      <c r="S200">
        <f>OR(D200="",D200&gt;=설정!$B$19)</f>
        <v/>
      </c>
      <c r="T200">
        <f>AND(Q200,R200,S200)</f>
        <v/>
      </c>
      <c r="U200">
        <f>IF(T200,IF(AND(설정!$A$41&lt;&gt;"",ISNUMBER(SEARCH(설정!$A$41,K200))),설정!$B$41,IF(AND(설정!$A$42&lt;&gt;"",ISNUMBER(SEARCH(설정!$A$42,K200))),설정!$B$42,IF(AND(설정!$A$43&lt;&gt;"",ISNUMBER(SEARCH(설정!$A$43,K200))),설정!$B$43,IF(AND(설정!$A$44&lt;&gt;"",ISNUMBER(SEARCH(설정!$A$44,K200))),설정!$B$44,IF(AND(설정!$A$45&lt;&gt;"",ISNUMBER(SEARCH(설정!$A$45,K200))),설정!$B$45,IF(AND(설정!$A$46&lt;&gt;"",ISNUMBER(SEARCH(설정!$A$46,K200))),설정!$B$46,IF(AND(설정!$A$47&lt;&gt;"",ISNUMBER(SEARCH(설정!$A$47,K200))),설정!$B$47,IF(AND(설정!$A$48&lt;&gt;"",ISNUMBER(SEARCH(설정!$A$48,K200))),설정!$B$48,IF(M200="","설계사","시공사"))))))))),"")</f>
        <v/>
      </c>
      <c r="V200">
        <f>SUBSTITUTE(SUBSTITUTE(SUBSTITUTE(SUBSTITUTE(G200,"(주)",""),"㈜",""),"주식회사","")," ","")</f>
        <v/>
      </c>
      <c r="W200">
        <f>IF(AND(T200,V200&lt;&gt;""),IF(COUNTIFS(V$2:V200,V200,T$2:T200,TRUE)=1,MAX(W$1:W199)+1,""),"")</f>
        <v/>
      </c>
      <c r="X200">
        <f>IFERROR(INDEX('1.산군_붙여넣기'!$A$1:$AZ$1001,ROW(),설정!$C$14)&amp;"","")</f>
        <v/>
      </c>
      <c r="Y200">
        <f>IFERROR(INDEX('1.산군_붙여넣기'!$A$1:$AZ$1001,ROW(),설정!$C$15)&amp;"","")</f>
        <v/>
      </c>
      <c r="Z200">
        <f>IF(T200,V200&amp;"|"&amp;U200,"")</f>
        <v/>
      </c>
    </row>
    <row r="201">
      <c r="A201">
        <f>ROW()</f>
        <v/>
      </c>
      <c r="B201">
        <f>IFERROR(INDEX('1.산군_붙여넣기'!$A$1:$AZ$1001,ROW(),설정!$C$4)&amp;"","")</f>
        <v/>
      </c>
      <c r="C201">
        <f>IFERROR(INDEX('1.산군_붙여넣기'!$A$1:$AZ$1001,ROW(),설정!$C$5)&amp;"","")</f>
        <v/>
      </c>
      <c r="D201" s="5">
        <f>IFERROR(VALUE(SUBSTITUTE(SUBSTITUTE(SUBSTITUTE(IFERROR(INDEX('1.산군_붙여넣기'!$A$1:$AZ$1001,ROW(),설정!$C$6)&amp;"",""),",",""),"㎡",""),"m2","")),"")</f>
        <v/>
      </c>
      <c r="E201">
        <f>IFERROR(INDEX('1.산군_붙여넣기'!$A$1:$AZ$1001,ROW(),설정!$C$7)&amp;"","")</f>
        <v/>
      </c>
      <c r="F201">
        <f>IFERROR(INDEX('1.산군_붙여넣기'!$A$1:$AZ$1001,ROW(),설정!$C$8)&amp;"","")</f>
        <v/>
      </c>
      <c r="G201">
        <f>IFERROR(INDEX('1.산군_붙여넣기'!$A$1:$AZ$1001,ROW(),설정!$C$9)&amp;"","")</f>
        <v/>
      </c>
      <c r="H201">
        <f>IFERROR(INDEX('1.산군_붙여넣기'!$A$1:$AZ$1001,ROW(),설정!$C$10)&amp;"","")</f>
        <v/>
      </c>
      <c r="I201">
        <f>IFERROR(INDEX('1.산군_붙여넣기'!$A$1:$AZ$1001,ROW(),설정!$C$11)&amp;"","")</f>
        <v/>
      </c>
      <c r="J201">
        <f>IFERROR(INDEX('1.산군_붙여넣기'!$A$1:$AZ$1001,ROW(),설정!$C$12)&amp;"","")</f>
        <v/>
      </c>
      <c r="K201">
        <f>IFERROR(INDEX('1.산군_붙여넣기'!$A$1:$AZ$1001,ROW(),설정!$C$13)&amp;"","")</f>
        <v/>
      </c>
      <c r="L201" s="6">
        <f>IF(X201="","",IF(AND(LEN(X201)=8,ISNUMBER(X201*1)),DATE(LEFT(X201,4),MID(X201,5,2),RIGHT(X201,2)),IFERROR(DATEVALUE(SUBSTITUTE(SUBSTITUTE(X201,".","-"),"/","-")),IFERROR(X201*1,""))))</f>
        <v/>
      </c>
      <c r="M201" s="6">
        <f>IF(Y201="","",IF(AND(LEN(Y201)=8,ISNUMBER(Y201*1)),DATE(LEFT(Y201,4),MID(Y201,5,2),RIGHT(Y201,2)),IFERROR(DATEVALUE(SUBSTITUTE(SUBSTITUTE(Y201,".","-"),"/","-")),IFERROR(Y201*1,""))))</f>
        <v/>
      </c>
      <c r="N201">
        <f>IFERROR(LEFT(B201,FIND(" ",B201)-1),B201)</f>
        <v/>
      </c>
      <c r="O201">
        <f>AND(B201&lt;&gt;"",B201&lt;&gt;설정!$B$4,C201&lt;&gt;설정!$B$5)</f>
        <v/>
      </c>
      <c r="P201">
        <f>IF(O201,B201&amp;"|"&amp;C201,"")</f>
        <v/>
      </c>
      <c r="Q201">
        <f>AND(O201,COUNTIF(P202:P$1002,P201)=0)</f>
        <v/>
      </c>
      <c r="R201">
        <f>OR(AND(설정!$A$28&lt;&gt;"",ISNUMBER(SEARCH(설정!$A$28,E201&amp;" "&amp;C201))),AND(설정!$A$29&lt;&gt;"",ISNUMBER(SEARCH(설정!$A$29,E201&amp;" "&amp;C201))),AND(설정!$A$30&lt;&gt;"",ISNUMBER(SEARCH(설정!$A$30,E201&amp;" "&amp;C201))),AND(설정!$A$31&lt;&gt;"",ISNUMBER(SEARCH(설정!$A$31,E201&amp;" "&amp;C201))),AND(설정!$A$32&lt;&gt;"",ISNUMBER(SEARCH(설정!$A$32,E201&amp;" "&amp;C201))),AND(설정!$A$33&lt;&gt;"",ISNUMBER(SEARCH(설정!$A$33,E201&amp;" "&amp;C201))),AND(설정!$A$34&lt;&gt;"",ISNUMBER(SEARCH(설정!$A$34,E201&amp;" "&amp;C201))),AND(설정!$A$35&lt;&gt;"",ISNUMBER(SEARCH(설정!$A$35,E201&amp;" "&amp;C201))),AND(설정!$A$36&lt;&gt;"",ISNUMBER(SEARCH(설정!$A$36,E201&amp;" "&amp;C201))),AND(설정!$A$37&lt;&gt;"",ISNUMBER(SEARCH(설정!$A$37,E201&amp;" "&amp;C201))))</f>
        <v/>
      </c>
      <c r="S201">
        <f>OR(D201="",D201&gt;=설정!$B$19)</f>
        <v/>
      </c>
      <c r="T201">
        <f>AND(Q201,R201,S201)</f>
        <v/>
      </c>
      <c r="U201">
        <f>IF(T201,IF(AND(설정!$A$41&lt;&gt;"",ISNUMBER(SEARCH(설정!$A$41,K201))),설정!$B$41,IF(AND(설정!$A$42&lt;&gt;"",ISNUMBER(SEARCH(설정!$A$42,K201))),설정!$B$42,IF(AND(설정!$A$43&lt;&gt;"",ISNUMBER(SEARCH(설정!$A$43,K201))),설정!$B$43,IF(AND(설정!$A$44&lt;&gt;"",ISNUMBER(SEARCH(설정!$A$44,K201))),설정!$B$44,IF(AND(설정!$A$45&lt;&gt;"",ISNUMBER(SEARCH(설정!$A$45,K201))),설정!$B$45,IF(AND(설정!$A$46&lt;&gt;"",ISNUMBER(SEARCH(설정!$A$46,K201))),설정!$B$46,IF(AND(설정!$A$47&lt;&gt;"",ISNUMBER(SEARCH(설정!$A$47,K201))),설정!$B$47,IF(AND(설정!$A$48&lt;&gt;"",ISNUMBER(SEARCH(설정!$A$48,K201))),설정!$B$48,IF(M201="","설계사","시공사"))))))))),"")</f>
        <v/>
      </c>
      <c r="V201">
        <f>SUBSTITUTE(SUBSTITUTE(SUBSTITUTE(SUBSTITUTE(G201,"(주)",""),"㈜",""),"주식회사","")," ","")</f>
        <v/>
      </c>
      <c r="W201">
        <f>IF(AND(T201,V201&lt;&gt;""),IF(COUNTIFS(V$2:V201,V201,T$2:T201,TRUE)=1,MAX(W$1:W200)+1,""),"")</f>
        <v/>
      </c>
      <c r="X201">
        <f>IFERROR(INDEX('1.산군_붙여넣기'!$A$1:$AZ$1001,ROW(),설정!$C$14)&amp;"","")</f>
        <v/>
      </c>
      <c r="Y201">
        <f>IFERROR(INDEX('1.산군_붙여넣기'!$A$1:$AZ$1001,ROW(),설정!$C$15)&amp;"","")</f>
        <v/>
      </c>
      <c r="Z201">
        <f>IF(T201,V201&amp;"|"&amp;U201,"")</f>
        <v/>
      </c>
    </row>
    <row r="202">
      <c r="A202">
        <f>ROW()</f>
        <v/>
      </c>
      <c r="B202">
        <f>IFERROR(INDEX('1.산군_붙여넣기'!$A$1:$AZ$1001,ROW(),설정!$C$4)&amp;"","")</f>
        <v/>
      </c>
      <c r="C202">
        <f>IFERROR(INDEX('1.산군_붙여넣기'!$A$1:$AZ$1001,ROW(),설정!$C$5)&amp;"","")</f>
        <v/>
      </c>
      <c r="D202" s="5">
        <f>IFERROR(VALUE(SUBSTITUTE(SUBSTITUTE(SUBSTITUTE(IFERROR(INDEX('1.산군_붙여넣기'!$A$1:$AZ$1001,ROW(),설정!$C$6)&amp;"",""),",",""),"㎡",""),"m2","")),"")</f>
        <v/>
      </c>
      <c r="E202">
        <f>IFERROR(INDEX('1.산군_붙여넣기'!$A$1:$AZ$1001,ROW(),설정!$C$7)&amp;"","")</f>
        <v/>
      </c>
      <c r="F202">
        <f>IFERROR(INDEX('1.산군_붙여넣기'!$A$1:$AZ$1001,ROW(),설정!$C$8)&amp;"","")</f>
        <v/>
      </c>
      <c r="G202">
        <f>IFERROR(INDEX('1.산군_붙여넣기'!$A$1:$AZ$1001,ROW(),설정!$C$9)&amp;"","")</f>
        <v/>
      </c>
      <c r="H202">
        <f>IFERROR(INDEX('1.산군_붙여넣기'!$A$1:$AZ$1001,ROW(),설정!$C$10)&amp;"","")</f>
        <v/>
      </c>
      <c r="I202">
        <f>IFERROR(INDEX('1.산군_붙여넣기'!$A$1:$AZ$1001,ROW(),설정!$C$11)&amp;"","")</f>
        <v/>
      </c>
      <c r="J202">
        <f>IFERROR(INDEX('1.산군_붙여넣기'!$A$1:$AZ$1001,ROW(),설정!$C$12)&amp;"","")</f>
        <v/>
      </c>
      <c r="K202">
        <f>IFERROR(INDEX('1.산군_붙여넣기'!$A$1:$AZ$1001,ROW(),설정!$C$13)&amp;"","")</f>
        <v/>
      </c>
      <c r="L202" s="6">
        <f>IF(X202="","",IF(AND(LEN(X202)=8,ISNUMBER(X202*1)),DATE(LEFT(X202,4),MID(X202,5,2),RIGHT(X202,2)),IFERROR(DATEVALUE(SUBSTITUTE(SUBSTITUTE(X202,".","-"),"/","-")),IFERROR(X202*1,""))))</f>
        <v/>
      </c>
      <c r="M202" s="6">
        <f>IF(Y202="","",IF(AND(LEN(Y202)=8,ISNUMBER(Y202*1)),DATE(LEFT(Y202,4),MID(Y202,5,2),RIGHT(Y202,2)),IFERROR(DATEVALUE(SUBSTITUTE(SUBSTITUTE(Y202,".","-"),"/","-")),IFERROR(Y202*1,""))))</f>
        <v/>
      </c>
      <c r="N202">
        <f>IFERROR(LEFT(B202,FIND(" ",B202)-1),B202)</f>
        <v/>
      </c>
      <c r="O202">
        <f>AND(B202&lt;&gt;"",B202&lt;&gt;설정!$B$4,C202&lt;&gt;설정!$B$5)</f>
        <v/>
      </c>
      <c r="P202">
        <f>IF(O202,B202&amp;"|"&amp;C202,"")</f>
        <v/>
      </c>
      <c r="Q202">
        <f>AND(O202,COUNTIF(P203:P$1002,P202)=0)</f>
        <v/>
      </c>
      <c r="R202">
        <f>OR(AND(설정!$A$28&lt;&gt;"",ISNUMBER(SEARCH(설정!$A$28,E202&amp;" "&amp;C202))),AND(설정!$A$29&lt;&gt;"",ISNUMBER(SEARCH(설정!$A$29,E202&amp;" "&amp;C202))),AND(설정!$A$30&lt;&gt;"",ISNUMBER(SEARCH(설정!$A$30,E202&amp;" "&amp;C202))),AND(설정!$A$31&lt;&gt;"",ISNUMBER(SEARCH(설정!$A$31,E202&amp;" "&amp;C202))),AND(설정!$A$32&lt;&gt;"",ISNUMBER(SEARCH(설정!$A$32,E202&amp;" "&amp;C202))),AND(설정!$A$33&lt;&gt;"",ISNUMBER(SEARCH(설정!$A$33,E202&amp;" "&amp;C202))),AND(설정!$A$34&lt;&gt;"",ISNUMBER(SEARCH(설정!$A$34,E202&amp;" "&amp;C202))),AND(설정!$A$35&lt;&gt;"",ISNUMBER(SEARCH(설정!$A$35,E202&amp;" "&amp;C202))),AND(설정!$A$36&lt;&gt;"",ISNUMBER(SEARCH(설정!$A$36,E202&amp;" "&amp;C202))),AND(설정!$A$37&lt;&gt;"",ISNUMBER(SEARCH(설정!$A$37,E202&amp;" "&amp;C202))))</f>
        <v/>
      </c>
      <c r="S202">
        <f>OR(D202="",D202&gt;=설정!$B$19)</f>
        <v/>
      </c>
      <c r="T202">
        <f>AND(Q202,R202,S202)</f>
        <v/>
      </c>
      <c r="U202">
        <f>IF(T202,IF(AND(설정!$A$41&lt;&gt;"",ISNUMBER(SEARCH(설정!$A$41,K202))),설정!$B$41,IF(AND(설정!$A$42&lt;&gt;"",ISNUMBER(SEARCH(설정!$A$42,K202))),설정!$B$42,IF(AND(설정!$A$43&lt;&gt;"",ISNUMBER(SEARCH(설정!$A$43,K202))),설정!$B$43,IF(AND(설정!$A$44&lt;&gt;"",ISNUMBER(SEARCH(설정!$A$44,K202))),설정!$B$44,IF(AND(설정!$A$45&lt;&gt;"",ISNUMBER(SEARCH(설정!$A$45,K202))),설정!$B$45,IF(AND(설정!$A$46&lt;&gt;"",ISNUMBER(SEARCH(설정!$A$46,K202))),설정!$B$46,IF(AND(설정!$A$47&lt;&gt;"",ISNUMBER(SEARCH(설정!$A$47,K202))),설정!$B$47,IF(AND(설정!$A$48&lt;&gt;"",ISNUMBER(SEARCH(설정!$A$48,K202))),설정!$B$48,IF(M202="","설계사","시공사"))))))))),"")</f>
        <v/>
      </c>
      <c r="V202">
        <f>SUBSTITUTE(SUBSTITUTE(SUBSTITUTE(SUBSTITUTE(G202,"(주)",""),"㈜",""),"주식회사","")," ","")</f>
        <v/>
      </c>
      <c r="W202">
        <f>IF(AND(T202,V202&lt;&gt;""),IF(COUNTIFS(V$2:V202,V202,T$2:T202,TRUE)=1,MAX(W$1:W201)+1,""),"")</f>
        <v/>
      </c>
      <c r="X202">
        <f>IFERROR(INDEX('1.산군_붙여넣기'!$A$1:$AZ$1001,ROW(),설정!$C$14)&amp;"","")</f>
        <v/>
      </c>
      <c r="Y202">
        <f>IFERROR(INDEX('1.산군_붙여넣기'!$A$1:$AZ$1001,ROW(),설정!$C$15)&amp;"","")</f>
        <v/>
      </c>
      <c r="Z202">
        <f>IF(T202,V202&amp;"|"&amp;U202,"")</f>
        <v/>
      </c>
    </row>
    <row r="203">
      <c r="A203">
        <f>ROW()</f>
        <v/>
      </c>
      <c r="B203">
        <f>IFERROR(INDEX('1.산군_붙여넣기'!$A$1:$AZ$1001,ROW(),설정!$C$4)&amp;"","")</f>
        <v/>
      </c>
      <c r="C203">
        <f>IFERROR(INDEX('1.산군_붙여넣기'!$A$1:$AZ$1001,ROW(),설정!$C$5)&amp;"","")</f>
        <v/>
      </c>
      <c r="D203" s="5">
        <f>IFERROR(VALUE(SUBSTITUTE(SUBSTITUTE(SUBSTITUTE(IFERROR(INDEX('1.산군_붙여넣기'!$A$1:$AZ$1001,ROW(),설정!$C$6)&amp;"",""),",",""),"㎡",""),"m2","")),"")</f>
        <v/>
      </c>
      <c r="E203">
        <f>IFERROR(INDEX('1.산군_붙여넣기'!$A$1:$AZ$1001,ROW(),설정!$C$7)&amp;"","")</f>
        <v/>
      </c>
      <c r="F203">
        <f>IFERROR(INDEX('1.산군_붙여넣기'!$A$1:$AZ$1001,ROW(),설정!$C$8)&amp;"","")</f>
        <v/>
      </c>
      <c r="G203">
        <f>IFERROR(INDEX('1.산군_붙여넣기'!$A$1:$AZ$1001,ROW(),설정!$C$9)&amp;"","")</f>
        <v/>
      </c>
      <c r="H203">
        <f>IFERROR(INDEX('1.산군_붙여넣기'!$A$1:$AZ$1001,ROW(),설정!$C$10)&amp;"","")</f>
        <v/>
      </c>
      <c r="I203">
        <f>IFERROR(INDEX('1.산군_붙여넣기'!$A$1:$AZ$1001,ROW(),설정!$C$11)&amp;"","")</f>
        <v/>
      </c>
      <c r="J203">
        <f>IFERROR(INDEX('1.산군_붙여넣기'!$A$1:$AZ$1001,ROW(),설정!$C$12)&amp;"","")</f>
        <v/>
      </c>
      <c r="K203">
        <f>IFERROR(INDEX('1.산군_붙여넣기'!$A$1:$AZ$1001,ROW(),설정!$C$13)&amp;"","")</f>
        <v/>
      </c>
      <c r="L203" s="6">
        <f>IF(X203="","",IF(AND(LEN(X203)=8,ISNUMBER(X203*1)),DATE(LEFT(X203,4),MID(X203,5,2),RIGHT(X203,2)),IFERROR(DATEVALUE(SUBSTITUTE(SUBSTITUTE(X203,".","-"),"/","-")),IFERROR(X203*1,""))))</f>
        <v/>
      </c>
      <c r="M203" s="6">
        <f>IF(Y203="","",IF(AND(LEN(Y203)=8,ISNUMBER(Y203*1)),DATE(LEFT(Y203,4),MID(Y203,5,2),RIGHT(Y203,2)),IFERROR(DATEVALUE(SUBSTITUTE(SUBSTITUTE(Y203,".","-"),"/","-")),IFERROR(Y203*1,""))))</f>
        <v/>
      </c>
      <c r="N203">
        <f>IFERROR(LEFT(B203,FIND(" ",B203)-1),B203)</f>
        <v/>
      </c>
      <c r="O203">
        <f>AND(B203&lt;&gt;"",B203&lt;&gt;설정!$B$4,C203&lt;&gt;설정!$B$5)</f>
        <v/>
      </c>
      <c r="P203">
        <f>IF(O203,B203&amp;"|"&amp;C203,"")</f>
        <v/>
      </c>
      <c r="Q203">
        <f>AND(O203,COUNTIF(P204:P$1002,P203)=0)</f>
        <v/>
      </c>
      <c r="R203">
        <f>OR(AND(설정!$A$28&lt;&gt;"",ISNUMBER(SEARCH(설정!$A$28,E203&amp;" "&amp;C203))),AND(설정!$A$29&lt;&gt;"",ISNUMBER(SEARCH(설정!$A$29,E203&amp;" "&amp;C203))),AND(설정!$A$30&lt;&gt;"",ISNUMBER(SEARCH(설정!$A$30,E203&amp;" "&amp;C203))),AND(설정!$A$31&lt;&gt;"",ISNUMBER(SEARCH(설정!$A$31,E203&amp;" "&amp;C203))),AND(설정!$A$32&lt;&gt;"",ISNUMBER(SEARCH(설정!$A$32,E203&amp;" "&amp;C203))),AND(설정!$A$33&lt;&gt;"",ISNUMBER(SEARCH(설정!$A$33,E203&amp;" "&amp;C203))),AND(설정!$A$34&lt;&gt;"",ISNUMBER(SEARCH(설정!$A$34,E203&amp;" "&amp;C203))),AND(설정!$A$35&lt;&gt;"",ISNUMBER(SEARCH(설정!$A$35,E203&amp;" "&amp;C203))),AND(설정!$A$36&lt;&gt;"",ISNUMBER(SEARCH(설정!$A$36,E203&amp;" "&amp;C203))),AND(설정!$A$37&lt;&gt;"",ISNUMBER(SEARCH(설정!$A$37,E203&amp;" "&amp;C203))))</f>
        <v/>
      </c>
      <c r="S203">
        <f>OR(D203="",D203&gt;=설정!$B$19)</f>
        <v/>
      </c>
      <c r="T203">
        <f>AND(Q203,R203,S203)</f>
        <v/>
      </c>
      <c r="U203">
        <f>IF(T203,IF(AND(설정!$A$41&lt;&gt;"",ISNUMBER(SEARCH(설정!$A$41,K203))),설정!$B$41,IF(AND(설정!$A$42&lt;&gt;"",ISNUMBER(SEARCH(설정!$A$42,K203))),설정!$B$42,IF(AND(설정!$A$43&lt;&gt;"",ISNUMBER(SEARCH(설정!$A$43,K203))),설정!$B$43,IF(AND(설정!$A$44&lt;&gt;"",ISNUMBER(SEARCH(설정!$A$44,K203))),설정!$B$44,IF(AND(설정!$A$45&lt;&gt;"",ISNUMBER(SEARCH(설정!$A$45,K203))),설정!$B$45,IF(AND(설정!$A$46&lt;&gt;"",ISNUMBER(SEARCH(설정!$A$46,K203))),설정!$B$46,IF(AND(설정!$A$47&lt;&gt;"",ISNUMBER(SEARCH(설정!$A$47,K203))),설정!$B$47,IF(AND(설정!$A$48&lt;&gt;"",ISNUMBER(SEARCH(설정!$A$48,K203))),설정!$B$48,IF(M203="","설계사","시공사"))))))))),"")</f>
        <v/>
      </c>
      <c r="V203">
        <f>SUBSTITUTE(SUBSTITUTE(SUBSTITUTE(SUBSTITUTE(G203,"(주)",""),"㈜",""),"주식회사","")," ","")</f>
        <v/>
      </c>
      <c r="W203">
        <f>IF(AND(T203,V203&lt;&gt;""),IF(COUNTIFS(V$2:V203,V203,T$2:T203,TRUE)=1,MAX(W$1:W202)+1,""),"")</f>
        <v/>
      </c>
      <c r="X203">
        <f>IFERROR(INDEX('1.산군_붙여넣기'!$A$1:$AZ$1001,ROW(),설정!$C$14)&amp;"","")</f>
        <v/>
      </c>
      <c r="Y203">
        <f>IFERROR(INDEX('1.산군_붙여넣기'!$A$1:$AZ$1001,ROW(),설정!$C$15)&amp;"","")</f>
        <v/>
      </c>
      <c r="Z203">
        <f>IF(T203,V203&amp;"|"&amp;U203,"")</f>
        <v/>
      </c>
    </row>
    <row r="204">
      <c r="A204">
        <f>ROW()</f>
        <v/>
      </c>
      <c r="B204">
        <f>IFERROR(INDEX('1.산군_붙여넣기'!$A$1:$AZ$1001,ROW(),설정!$C$4)&amp;"","")</f>
        <v/>
      </c>
      <c r="C204">
        <f>IFERROR(INDEX('1.산군_붙여넣기'!$A$1:$AZ$1001,ROW(),설정!$C$5)&amp;"","")</f>
        <v/>
      </c>
      <c r="D204" s="5">
        <f>IFERROR(VALUE(SUBSTITUTE(SUBSTITUTE(SUBSTITUTE(IFERROR(INDEX('1.산군_붙여넣기'!$A$1:$AZ$1001,ROW(),설정!$C$6)&amp;"",""),",",""),"㎡",""),"m2","")),"")</f>
        <v/>
      </c>
      <c r="E204">
        <f>IFERROR(INDEX('1.산군_붙여넣기'!$A$1:$AZ$1001,ROW(),설정!$C$7)&amp;"","")</f>
        <v/>
      </c>
      <c r="F204">
        <f>IFERROR(INDEX('1.산군_붙여넣기'!$A$1:$AZ$1001,ROW(),설정!$C$8)&amp;"","")</f>
        <v/>
      </c>
      <c r="G204">
        <f>IFERROR(INDEX('1.산군_붙여넣기'!$A$1:$AZ$1001,ROW(),설정!$C$9)&amp;"","")</f>
        <v/>
      </c>
      <c r="H204">
        <f>IFERROR(INDEX('1.산군_붙여넣기'!$A$1:$AZ$1001,ROW(),설정!$C$10)&amp;"","")</f>
        <v/>
      </c>
      <c r="I204">
        <f>IFERROR(INDEX('1.산군_붙여넣기'!$A$1:$AZ$1001,ROW(),설정!$C$11)&amp;"","")</f>
        <v/>
      </c>
      <c r="J204">
        <f>IFERROR(INDEX('1.산군_붙여넣기'!$A$1:$AZ$1001,ROW(),설정!$C$12)&amp;"","")</f>
        <v/>
      </c>
      <c r="K204">
        <f>IFERROR(INDEX('1.산군_붙여넣기'!$A$1:$AZ$1001,ROW(),설정!$C$13)&amp;"","")</f>
        <v/>
      </c>
      <c r="L204" s="6">
        <f>IF(X204="","",IF(AND(LEN(X204)=8,ISNUMBER(X204*1)),DATE(LEFT(X204,4),MID(X204,5,2),RIGHT(X204,2)),IFERROR(DATEVALUE(SUBSTITUTE(SUBSTITUTE(X204,".","-"),"/","-")),IFERROR(X204*1,""))))</f>
        <v/>
      </c>
      <c r="M204" s="6">
        <f>IF(Y204="","",IF(AND(LEN(Y204)=8,ISNUMBER(Y204*1)),DATE(LEFT(Y204,4),MID(Y204,5,2),RIGHT(Y204,2)),IFERROR(DATEVALUE(SUBSTITUTE(SUBSTITUTE(Y204,".","-"),"/","-")),IFERROR(Y204*1,""))))</f>
        <v/>
      </c>
      <c r="N204">
        <f>IFERROR(LEFT(B204,FIND(" ",B204)-1),B204)</f>
        <v/>
      </c>
      <c r="O204">
        <f>AND(B204&lt;&gt;"",B204&lt;&gt;설정!$B$4,C204&lt;&gt;설정!$B$5)</f>
        <v/>
      </c>
      <c r="P204">
        <f>IF(O204,B204&amp;"|"&amp;C204,"")</f>
        <v/>
      </c>
      <c r="Q204">
        <f>AND(O204,COUNTIF(P205:P$1002,P204)=0)</f>
        <v/>
      </c>
      <c r="R204">
        <f>OR(AND(설정!$A$28&lt;&gt;"",ISNUMBER(SEARCH(설정!$A$28,E204&amp;" "&amp;C204))),AND(설정!$A$29&lt;&gt;"",ISNUMBER(SEARCH(설정!$A$29,E204&amp;" "&amp;C204))),AND(설정!$A$30&lt;&gt;"",ISNUMBER(SEARCH(설정!$A$30,E204&amp;" "&amp;C204))),AND(설정!$A$31&lt;&gt;"",ISNUMBER(SEARCH(설정!$A$31,E204&amp;" "&amp;C204))),AND(설정!$A$32&lt;&gt;"",ISNUMBER(SEARCH(설정!$A$32,E204&amp;" "&amp;C204))),AND(설정!$A$33&lt;&gt;"",ISNUMBER(SEARCH(설정!$A$33,E204&amp;" "&amp;C204))),AND(설정!$A$34&lt;&gt;"",ISNUMBER(SEARCH(설정!$A$34,E204&amp;" "&amp;C204))),AND(설정!$A$35&lt;&gt;"",ISNUMBER(SEARCH(설정!$A$35,E204&amp;" "&amp;C204))),AND(설정!$A$36&lt;&gt;"",ISNUMBER(SEARCH(설정!$A$36,E204&amp;" "&amp;C204))),AND(설정!$A$37&lt;&gt;"",ISNUMBER(SEARCH(설정!$A$37,E204&amp;" "&amp;C204))))</f>
        <v/>
      </c>
      <c r="S204">
        <f>OR(D204="",D204&gt;=설정!$B$19)</f>
        <v/>
      </c>
      <c r="T204">
        <f>AND(Q204,R204,S204)</f>
        <v/>
      </c>
      <c r="U204">
        <f>IF(T204,IF(AND(설정!$A$41&lt;&gt;"",ISNUMBER(SEARCH(설정!$A$41,K204))),설정!$B$41,IF(AND(설정!$A$42&lt;&gt;"",ISNUMBER(SEARCH(설정!$A$42,K204))),설정!$B$42,IF(AND(설정!$A$43&lt;&gt;"",ISNUMBER(SEARCH(설정!$A$43,K204))),설정!$B$43,IF(AND(설정!$A$44&lt;&gt;"",ISNUMBER(SEARCH(설정!$A$44,K204))),설정!$B$44,IF(AND(설정!$A$45&lt;&gt;"",ISNUMBER(SEARCH(설정!$A$45,K204))),설정!$B$45,IF(AND(설정!$A$46&lt;&gt;"",ISNUMBER(SEARCH(설정!$A$46,K204))),설정!$B$46,IF(AND(설정!$A$47&lt;&gt;"",ISNUMBER(SEARCH(설정!$A$47,K204))),설정!$B$47,IF(AND(설정!$A$48&lt;&gt;"",ISNUMBER(SEARCH(설정!$A$48,K204))),설정!$B$48,IF(M204="","설계사","시공사"))))))))),"")</f>
        <v/>
      </c>
      <c r="V204">
        <f>SUBSTITUTE(SUBSTITUTE(SUBSTITUTE(SUBSTITUTE(G204,"(주)",""),"㈜",""),"주식회사","")," ","")</f>
        <v/>
      </c>
      <c r="W204">
        <f>IF(AND(T204,V204&lt;&gt;""),IF(COUNTIFS(V$2:V204,V204,T$2:T204,TRUE)=1,MAX(W$1:W203)+1,""),"")</f>
        <v/>
      </c>
      <c r="X204">
        <f>IFERROR(INDEX('1.산군_붙여넣기'!$A$1:$AZ$1001,ROW(),설정!$C$14)&amp;"","")</f>
        <v/>
      </c>
      <c r="Y204">
        <f>IFERROR(INDEX('1.산군_붙여넣기'!$A$1:$AZ$1001,ROW(),설정!$C$15)&amp;"","")</f>
        <v/>
      </c>
      <c r="Z204">
        <f>IF(T204,V204&amp;"|"&amp;U204,"")</f>
        <v/>
      </c>
    </row>
    <row r="205">
      <c r="A205">
        <f>ROW()</f>
        <v/>
      </c>
      <c r="B205">
        <f>IFERROR(INDEX('1.산군_붙여넣기'!$A$1:$AZ$1001,ROW(),설정!$C$4)&amp;"","")</f>
        <v/>
      </c>
      <c r="C205">
        <f>IFERROR(INDEX('1.산군_붙여넣기'!$A$1:$AZ$1001,ROW(),설정!$C$5)&amp;"","")</f>
        <v/>
      </c>
      <c r="D205" s="5">
        <f>IFERROR(VALUE(SUBSTITUTE(SUBSTITUTE(SUBSTITUTE(IFERROR(INDEX('1.산군_붙여넣기'!$A$1:$AZ$1001,ROW(),설정!$C$6)&amp;"",""),",",""),"㎡",""),"m2","")),"")</f>
        <v/>
      </c>
      <c r="E205">
        <f>IFERROR(INDEX('1.산군_붙여넣기'!$A$1:$AZ$1001,ROW(),설정!$C$7)&amp;"","")</f>
        <v/>
      </c>
      <c r="F205">
        <f>IFERROR(INDEX('1.산군_붙여넣기'!$A$1:$AZ$1001,ROW(),설정!$C$8)&amp;"","")</f>
        <v/>
      </c>
      <c r="G205">
        <f>IFERROR(INDEX('1.산군_붙여넣기'!$A$1:$AZ$1001,ROW(),설정!$C$9)&amp;"","")</f>
        <v/>
      </c>
      <c r="H205">
        <f>IFERROR(INDEX('1.산군_붙여넣기'!$A$1:$AZ$1001,ROW(),설정!$C$10)&amp;"","")</f>
        <v/>
      </c>
      <c r="I205">
        <f>IFERROR(INDEX('1.산군_붙여넣기'!$A$1:$AZ$1001,ROW(),설정!$C$11)&amp;"","")</f>
        <v/>
      </c>
      <c r="J205">
        <f>IFERROR(INDEX('1.산군_붙여넣기'!$A$1:$AZ$1001,ROW(),설정!$C$12)&amp;"","")</f>
        <v/>
      </c>
      <c r="K205">
        <f>IFERROR(INDEX('1.산군_붙여넣기'!$A$1:$AZ$1001,ROW(),설정!$C$13)&amp;"","")</f>
        <v/>
      </c>
      <c r="L205" s="6">
        <f>IF(X205="","",IF(AND(LEN(X205)=8,ISNUMBER(X205*1)),DATE(LEFT(X205,4),MID(X205,5,2),RIGHT(X205,2)),IFERROR(DATEVALUE(SUBSTITUTE(SUBSTITUTE(X205,".","-"),"/","-")),IFERROR(X205*1,""))))</f>
        <v/>
      </c>
      <c r="M205" s="6">
        <f>IF(Y205="","",IF(AND(LEN(Y205)=8,ISNUMBER(Y205*1)),DATE(LEFT(Y205,4),MID(Y205,5,2),RIGHT(Y205,2)),IFERROR(DATEVALUE(SUBSTITUTE(SUBSTITUTE(Y205,".","-"),"/","-")),IFERROR(Y205*1,""))))</f>
        <v/>
      </c>
      <c r="N205">
        <f>IFERROR(LEFT(B205,FIND(" ",B205)-1),B205)</f>
        <v/>
      </c>
      <c r="O205">
        <f>AND(B205&lt;&gt;"",B205&lt;&gt;설정!$B$4,C205&lt;&gt;설정!$B$5)</f>
        <v/>
      </c>
      <c r="P205">
        <f>IF(O205,B205&amp;"|"&amp;C205,"")</f>
        <v/>
      </c>
      <c r="Q205">
        <f>AND(O205,COUNTIF(P206:P$1002,P205)=0)</f>
        <v/>
      </c>
      <c r="R205">
        <f>OR(AND(설정!$A$28&lt;&gt;"",ISNUMBER(SEARCH(설정!$A$28,E205&amp;" "&amp;C205))),AND(설정!$A$29&lt;&gt;"",ISNUMBER(SEARCH(설정!$A$29,E205&amp;" "&amp;C205))),AND(설정!$A$30&lt;&gt;"",ISNUMBER(SEARCH(설정!$A$30,E205&amp;" "&amp;C205))),AND(설정!$A$31&lt;&gt;"",ISNUMBER(SEARCH(설정!$A$31,E205&amp;" "&amp;C205))),AND(설정!$A$32&lt;&gt;"",ISNUMBER(SEARCH(설정!$A$32,E205&amp;" "&amp;C205))),AND(설정!$A$33&lt;&gt;"",ISNUMBER(SEARCH(설정!$A$33,E205&amp;" "&amp;C205))),AND(설정!$A$34&lt;&gt;"",ISNUMBER(SEARCH(설정!$A$34,E205&amp;" "&amp;C205))),AND(설정!$A$35&lt;&gt;"",ISNUMBER(SEARCH(설정!$A$35,E205&amp;" "&amp;C205))),AND(설정!$A$36&lt;&gt;"",ISNUMBER(SEARCH(설정!$A$36,E205&amp;" "&amp;C205))),AND(설정!$A$37&lt;&gt;"",ISNUMBER(SEARCH(설정!$A$37,E205&amp;" "&amp;C205))))</f>
        <v/>
      </c>
      <c r="S205">
        <f>OR(D205="",D205&gt;=설정!$B$19)</f>
        <v/>
      </c>
      <c r="T205">
        <f>AND(Q205,R205,S205)</f>
        <v/>
      </c>
      <c r="U205">
        <f>IF(T205,IF(AND(설정!$A$41&lt;&gt;"",ISNUMBER(SEARCH(설정!$A$41,K205))),설정!$B$41,IF(AND(설정!$A$42&lt;&gt;"",ISNUMBER(SEARCH(설정!$A$42,K205))),설정!$B$42,IF(AND(설정!$A$43&lt;&gt;"",ISNUMBER(SEARCH(설정!$A$43,K205))),설정!$B$43,IF(AND(설정!$A$44&lt;&gt;"",ISNUMBER(SEARCH(설정!$A$44,K205))),설정!$B$44,IF(AND(설정!$A$45&lt;&gt;"",ISNUMBER(SEARCH(설정!$A$45,K205))),설정!$B$45,IF(AND(설정!$A$46&lt;&gt;"",ISNUMBER(SEARCH(설정!$A$46,K205))),설정!$B$46,IF(AND(설정!$A$47&lt;&gt;"",ISNUMBER(SEARCH(설정!$A$47,K205))),설정!$B$47,IF(AND(설정!$A$48&lt;&gt;"",ISNUMBER(SEARCH(설정!$A$48,K205))),설정!$B$48,IF(M205="","설계사","시공사"))))))))),"")</f>
        <v/>
      </c>
      <c r="V205">
        <f>SUBSTITUTE(SUBSTITUTE(SUBSTITUTE(SUBSTITUTE(G205,"(주)",""),"㈜",""),"주식회사","")," ","")</f>
        <v/>
      </c>
      <c r="W205">
        <f>IF(AND(T205,V205&lt;&gt;""),IF(COUNTIFS(V$2:V205,V205,T$2:T205,TRUE)=1,MAX(W$1:W204)+1,""),"")</f>
        <v/>
      </c>
      <c r="X205">
        <f>IFERROR(INDEX('1.산군_붙여넣기'!$A$1:$AZ$1001,ROW(),설정!$C$14)&amp;"","")</f>
        <v/>
      </c>
      <c r="Y205">
        <f>IFERROR(INDEX('1.산군_붙여넣기'!$A$1:$AZ$1001,ROW(),설정!$C$15)&amp;"","")</f>
        <v/>
      </c>
      <c r="Z205">
        <f>IF(T205,V205&amp;"|"&amp;U205,"")</f>
        <v/>
      </c>
    </row>
    <row r="206">
      <c r="A206">
        <f>ROW()</f>
        <v/>
      </c>
      <c r="B206">
        <f>IFERROR(INDEX('1.산군_붙여넣기'!$A$1:$AZ$1001,ROW(),설정!$C$4)&amp;"","")</f>
        <v/>
      </c>
      <c r="C206">
        <f>IFERROR(INDEX('1.산군_붙여넣기'!$A$1:$AZ$1001,ROW(),설정!$C$5)&amp;"","")</f>
        <v/>
      </c>
      <c r="D206" s="5">
        <f>IFERROR(VALUE(SUBSTITUTE(SUBSTITUTE(SUBSTITUTE(IFERROR(INDEX('1.산군_붙여넣기'!$A$1:$AZ$1001,ROW(),설정!$C$6)&amp;"",""),",",""),"㎡",""),"m2","")),"")</f>
        <v/>
      </c>
      <c r="E206">
        <f>IFERROR(INDEX('1.산군_붙여넣기'!$A$1:$AZ$1001,ROW(),설정!$C$7)&amp;"","")</f>
        <v/>
      </c>
      <c r="F206">
        <f>IFERROR(INDEX('1.산군_붙여넣기'!$A$1:$AZ$1001,ROW(),설정!$C$8)&amp;"","")</f>
        <v/>
      </c>
      <c r="G206">
        <f>IFERROR(INDEX('1.산군_붙여넣기'!$A$1:$AZ$1001,ROW(),설정!$C$9)&amp;"","")</f>
        <v/>
      </c>
      <c r="H206">
        <f>IFERROR(INDEX('1.산군_붙여넣기'!$A$1:$AZ$1001,ROW(),설정!$C$10)&amp;"","")</f>
        <v/>
      </c>
      <c r="I206">
        <f>IFERROR(INDEX('1.산군_붙여넣기'!$A$1:$AZ$1001,ROW(),설정!$C$11)&amp;"","")</f>
        <v/>
      </c>
      <c r="J206">
        <f>IFERROR(INDEX('1.산군_붙여넣기'!$A$1:$AZ$1001,ROW(),설정!$C$12)&amp;"","")</f>
        <v/>
      </c>
      <c r="K206">
        <f>IFERROR(INDEX('1.산군_붙여넣기'!$A$1:$AZ$1001,ROW(),설정!$C$13)&amp;"","")</f>
        <v/>
      </c>
      <c r="L206" s="6">
        <f>IF(X206="","",IF(AND(LEN(X206)=8,ISNUMBER(X206*1)),DATE(LEFT(X206,4),MID(X206,5,2),RIGHT(X206,2)),IFERROR(DATEVALUE(SUBSTITUTE(SUBSTITUTE(X206,".","-"),"/","-")),IFERROR(X206*1,""))))</f>
        <v/>
      </c>
      <c r="M206" s="6">
        <f>IF(Y206="","",IF(AND(LEN(Y206)=8,ISNUMBER(Y206*1)),DATE(LEFT(Y206,4),MID(Y206,5,2),RIGHT(Y206,2)),IFERROR(DATEVALUE(SUBSTITUTE(SUBSTITUTE(Y206,".","-"),"/","-")),IFERROR(Y206*1,""))))</f>
        <v/>
      </c>
      <c r="N206">
        <f>IFERROR(LEFT(B206,FIND(" ",B206)-1),B206)</f>
        <v/>
      </c>
      <c r="O206">
        <f>AND(B206&lt;&gt;"",B206&lt;&gt;설정!$B$4,C206&lt;&gt;설정!$B$5)</f>
        <v/>
      </c>
      <c r="P206">
        <f>IF(O206,B206&amp;"|"&amp;C206,"")</f>
        <v/>
      </c>
      <c r="Q206">
        <f>AND(O206,COUNTIF(P207:P$1002,P206)=0)</f>
        <v/>
      </c>
      <c r="R206">
        <f>OR(AND(설정!$A$28&lt;&gt;"",ISNUMBER(SEARCH(설정!$A$28,E206&amp;" "&amp;C206))),AND(설정!$A$29&lt;&gt;"",ISNUMBER(SEARCH(설정!$A$29,E206&amp;" "&amp;C206))),AND(설정!$A$30&lt;&gt;"",ISNUMBER(SEARCH(설정!$A$30,E206&amp;" "&amp;C206))),AND(설정!$A$31&lt;&gt;"",ISNUMBER(SEARCH(설정!$A$31,E206&amp;" "&amp;C206))),AND(설정!$A$32&lt;&gt;"",ISNUMBER(SEARCH(설정!$A$32,E206&amp;" "&amp;C206))),AND(설정!$A$33&lt;&gt;"",ISNUMBER(SEARCH(설정!$A$33,E206&amp;" "&amp;C206))),AND(설정!$A$34&lt;&gt;"",ISNUMBER(SEARCH(설정!$A$34,E206&amp;" "&amp;C206))),AND(설정!$A$35&lt;&gt;"",ISNUMBER(SEARCH(설정!$A$35,E206&amp;" "&amp;C206))),AND(설정!$A$36&lt;&gt;"",ISNUMBER(SEARCH(설정!$A$36,E206&amp;" "&amp;C206))),AND(설정!$A$37&lt;&gt;"",ISNUMBER(SEARCH(설정!$A$37,E206&amp;" "&amp;C206))))</f>
        <v/>
      </c>
      <c r="S206">
        <f>OR(D206="",D206&gt;=설정!$B$19)</f>
        <v/>
      </c>
      <c r="T206">
        <f>AND(Q206,R206,S206)</f>
        <v/>
      </c>
      <c r="U206">
        <f>IF(T206,IF(AND(설정!$A$41&lt;&gt;"",ISNUMBER(SEARCH(설정!$A$41,K206))),설정!$B$41,IF(AND(설정!$A$42&lt;&gt;"",ISNUMBER(SEARCH(설정!$A$42,K206))),설정!$B$42,IF(AND(설정!$A$43&lt;&gt;"",ISNUMBER(SEARCH(설정!$A$43,K206))),설정!$B$43,IF(AND(설정!$A$44&lt;&gt;"",ISNUMBER(SEARCH(설정!$A$44,K206))),설정!$B$44,IF(AND(설정!$A$45&lt;&gt;"",ISNUMBER(SEARCH(설정!$A$45,K206))),설정!$B$45,IF(AND(설정!$A$46&lt;&gt;"",ISNUMBER(SEARCH(설정!$A$46,K206))),설정!$B$46,IF(AND(설정!$A$47&lt;&gt;"",ISNUMBER(SEARCH(설정!$A$47,K206))),설정!$B$47,IF(AND(설정!$A$48&lt;&gt;"",ISNUMBER(SEARCH(설정!$A$48,K206))),설정!$B$48,IF(M206="","설계사","시공사"))))))))),"")</f>
        <v/>
      </c>
      <c r="V206">
        <f>SUBSTITUTE(SUBSTITUTE(SUBSTITUTE(SUBSTITUTE(G206,"(주)",""),"㈜",""),"주식회사","")," ","")</f>
        <v/>
      </c>
      <c r="W206">
        <f>IF(AND(T206,V206&lt;&gt;""),IF(COUNTIFS(V$2:V206,V206,T$2:T206,TRUE)=1,MAX(W$1:W205)+1,""),"")</f>
        <v/>
      </c>
      <c r="X206">
        <f>IFERROR(INDEX('1.산군_붙여넣기'!$A$1:$AZ$1001,ROW(),설정!$C$14)&amp;"","")</f>
        <v/>
      </c>
      <c r="Y206">
        <f>IFERROR(INDEX('1.산군_붙여넣기'!$A$1:$AZ$1001,ROW(),설정!$C$15)&amp;"","")</f>
        <v/>
      </c>
      <c r="Z206">
        <f>IF(T206,V206&amp;"|"&amp;U206,"")</f>
        <v/>
      </c>
    </row>
    <row r="207">
      <c r="A207">
        <f>ROW()</f>
        <v/>
      </c>
      <c r="B207">
        <f>IFERROR(INDEX('1.산군_붙여넣기'!$A$1:$AZ$1001,ROW(),설정!$C$4)&amp;"","")</f>
        <v/>
      </c>
      <c r="C207">
        <f>IFERROR(INDEX('1.산군_붙여넣기'!$A$1:$AZ$1001,ROW(),설정!$C$5)&amp;"","")</f>
        <v/>
      </c>
      <c r="D207" s="5">
        <f>IFERROR(VALUE(SUBSTITUTE(SUBSTITUTE(SUBSTITUTE(IFERROR(INDEX('1.산군_붙여넣기'!$A$1:$AZ$1001,ROW(),설정!$C$6)&amp;"",""),",",""),"㎡",""),"m2","")),"")</f>
        <v/>
      </c>
      <c r="E207">
        <f>IFERROR(INDEX('1.산군_붙여넣기'!$A$1:$AZ$1001,ROW(),설정!$C$7)&amp;"","")</f>
        <v/>
      </c>
      <c r="F207">
        <f>IFERROR(INDEX('1.산군_붙여넣기'!$A$1:$AZ$1001,ROW(),설정!$C$8)&amp;"","")</f>
        <v/>
      </c>
      <c r="G207">
        <f>IFERROR(INDEX('1.산군_붙여넣기'!$A$1:$AZ$1001,ROW(),설정!$C$9)&amp;"","")</f>
        <v/>
      </c>
      <c r="H207">
        <f>IFERROR(INDEX('1.산군_붙여넣기'!$A$1:$AZ$1001,ROW(),설정!$C$10)&amp;"","")</f>
        <v/>
      </c>
      <c r="I207">
        <f>IFERROR(INDEX('1.산군_붙여넣기'!$A$1:$AZ$1001,ROW(),설정!$C$11)&amp;"","")</f>
        <v/>
      </c>
      <c r="J207">
        <f>IFERROR(INDEX('1.산군_붙여넣기'!$A$1:$AZ$1001,ROW(),설정!$C$12)&amp;"","")</f>
        <v/>
      </c>
      <c r="K207">
        <f>IFERROR(INDEX('1.산군_붙여넣기'!$A$1:$AZ$1001,ROW(),설정!$C$13)&amp;"","")</f>
        <v/>
      </c>
      <c r="L207" s="6">
        <f>IF(X207="","",IF(AND(LEN(X207)=8,ISNUMBER(X207*1)),DATE(LEFT(X207,4),MID(X207,5,2),RIGHT(X207,2)),IFERROR(DATEVALUE(SUBSTITUTE(SUBSTITUTE(X207,".","-"),"/","-")),IFERROR(X207*1,""))))</f>
        <v/>
      </c>
      <c r="M207" s="6">
        <f>IF(Y207="","",IF(AND(LEN(Y207)=8,ISNUMBER(Y207*1)),DATE(LEFT(Y207,4),MID(Y207,5,2),RIGHT(Y207,2)),IFERROR(DATEVALUE(SUBSTITUTE(SUBSTITUTE(Y207,".","-"),"/","-")),IFERROR(Y207*1,""))))</f>
        <v/>
      </c>
      <c r="N207">
        <f>IFERROR(LEFT(B207,FIND(" ",B207)-1),B207)</f>
        <v/>
      </c>
      <c r="O207">
        <f>AND(B207&lt;&gt;"",B207&lt;&gt;설정!$B$4,C207&lt;&gt;설정!$B$5)</f>
        <v/>
      </c>
      <c r="P207">
        <f>IF(O207,B207&amp;"|"&amp;C207,"")</f>
        <v/>
      </c>
      <c r="Q207">
        <f>AND(O207,COUNTIF(P208:P$1002,P207)=0)</f>
        <v/>
      </c>
      <c r="R207">
        <f>OR(AND(설정!$A$28&lt;&gt;"",ISNUMBER(SEARCH(설정!$A$28,E207&amp;" "&amp;C207))),AND(설정!$A$29&lt;&gt;"",ISNUMBER(SEARCH(설정!$A$29,E207&amp;" "&amp;C207))),AND(설정!$A$30&lt;&gt;"",ISNUMBER(SEARCH(설정!$A$30,E207&amp;" "&amp;C207))),AND(설정!$A$31&lt;&gt;"",ISNUMBER(SEARCH(설정!$A$31,E207&amp;" "&amp;C207))),AND(설정!$A$32&lt;&gt;"",ISNUMBER(SEARCH(설정!$A$32,E207&amp;" "&amp;C207))),AND(설정!$A$33&lt;&gt;"",ISNUMBER(SEARCH(설정!$A$33,E207&amp;" "&amp;C207))),AND(설정!$A$34&lt;&gt;"",ISNUMBER(SEARCH(설정!$A$34,E207&amp;" "&amp;C207))),AND(설정!$A$35&lt;&gt;"",ISNUMBER(SEARCH(설정!$A$35,E207&amp;" "&amp;C207))),AND(설정!$A$36&lt;&gt;"",ISNUMBER(SEARCH(설정!$A$36,E207&amp;" "&amp;C207))),AND(설정!$A$37&lt;&gt;"",ISNUMBER(SEARCH(설정!$A$37,E207&amp;" "&amp;C207))))</f>
        <v/>
      </c>
      <c r="S207">
        <f>OR(D207="",D207&gt;=설정!$B$19)</f>
        <v/>
      </c>
      <c r="T207">
        <f>AND(Q207,R207,S207)</f>
        <v/>
      </c>
      <c r="U207">
        <f>IF(T207,IF(AND(설정!$A$41&lt;&gt;"",ISNUMBER(SEARCH(설정!$A$41,K207))),설정!$B$41,IF(AND(설정!$A$42&lt;&gt;"",ISNUMBER(SEARCH(설정!$A$42,K207))),설정!$B$42,IF(AND(설정!$A$43&lt;&gt;"",ISNUMBER(SEARCH(설정!$A$43,K207))),설정!$B$43,IF(AND(설정!$A$44&lt;&gt;"",ISNUMBER(SEARCH(설정!$A$44,K207))),설정!$B$44,IF(AND(설정!$A$45&lt;&gt;"",ISNUMBER(SEARCH(설정!$A$45,K207))),설정!$B$45,IF(AND(설정!$A$46&lt;&gt;"",ISNUMBER(SEARCH(설정!$A$46,K207))),설정!$B$46,IF(AND(설정!$A$47&lt;&gt;"",ISNUMBER(SEARCH(설정!$A$47,K207))),설정!$B$47,IF(AND(설정!$A$48&lt;&gt;"",ISNUMBER(SEARCH(설정!$A$48,K207))),설정!$B$48,IF(M207="","설계사","시공사"))))))))),"")</f>
        <v/>
      </c>
      <c r="V207">
        <f>SUBSTITUTE(SUBSTITUTE(SUBSTITUTE(SUBSTITUTE(G207,"(주)",""),"㈜",""),"주식회사","")," ","")</f>
        <v/>
      </c>
      <c r="W207">
        <f>IF(AND(T207,V207&lt;&gt;""),IF(COUNTIFS(V$2:V207,V207,T$2:T207,TRUE)=1,MAX(W$1:W206)+1,""),"")</f>
        <v/>
      </c>
      <c r="X207">
        <f>IFERROR(INDEX('1.산군_붙여넣기'!$A$1:$AZ$1001,ROW(),설정!$C$14)&amp;"","")</f>
        <v/>
      </c>
      <c r="Y207">
        <f>IFERROR(INDEX('1.산군_붙여넣기'!$A$1:$AZ$1001,ROW(),설정!$C$15)&amp;"","")</f>
        <v/>
      </c>
      <c r="Z207">
        <f>IF(T207,V207&amp;"|"&amp;U207,"")</f>
        <v/>
      </c>
    </row>
    <row r="208">
      <c r="A208">
        <f>ROW()</f>
        <v/>
      </c>
      <c r="B208">
        <f>IFERROR(INDEX('1.산군_붙여넣기'!$A$1:$AZ$1001,ROW(),설정!$C$4)&amp;"","")</f>
        <v/>
      </c>
      <c r="C208">
        <f>IFERROR(INDEX('1.산군_붙여넣기'!$A$1:$AZ$1001,ROW(),설정!$C$5)&amp;"","")</f>
        <v/>
      </c>
      <c r="D208" s="5">
        <f>IFERROR(VALUE(SUBSTITUTE(SUBSTITUTE(SUBSTITUTE(IFERROR(INDEX('1.산군_붙여넣기'!$A$1:$AZ$1001,ROW(),설정!$C$6)&amp;"",""),",",""),"㎡",""),"m2","")),"")</f>
        <v/>
      </c>
      <c r="E208">
        <f>IFERROR(INDEX('1.산군_붙여넣기'!$A$1:$AZ$1001,ROW(),설정!$C$7)&amp;"","")</f>
        <v/>
      </c>
      <c r="F208">
        <f>IFERROR(INDEX('1.산군_붙여넣기'!$A$1:$AZ$1001,ROW(),설정!$C$8)&amp;"","")</f>
        <v/>
      </c>
      <c r="G208">
        <f>IFERROR(INDEX('1.산군_붙여넣기'!$A$1:$AZ$1001,ROW(),설정!$C$9)&amp;"","")</f>
        <v/>
      </c>
      <c r="H208">
        <f>IFERROR(INDEX('1.산군_붙여넣기'!$A$1:$AZ$1001,ROW(),설정!$C$10)&amp;"","")</f>
        <v/>
      </c>
      <c r="I208">
        <f>IFERROR(INDEX('1.산군_붙여넣기'!$A$1:$AZ$1001,ROW(),설정!$C$11)&amp;"","")</f>
        <v/>
      </c>
      <c r="J208">
        <f>IFERROR(INDEX('1.산군_붙여넣기'!$A$1:$AZ$1001,ROW(),설정!$C$12)&amp;"","")</f>
        <v/>
      </c>
      <c r="K208">
        <f>IFERROR(INDEX('1.산군_붙여넣기'!$A$1:$AZ$1001,ROW(),설정!$C$13)&amp;"","")</f>
        <v/>
      </c>
      <c r="L208" s="6">
        <f>IF(X208="","",IF(AND(LEN(X208)=8,ISNUMBER(X208*1)),DATE(LEFT(X208,4),MID(X208,5,2),RIGHT(X208,2)),IFERROR(DATEVALUE(SUBSTITUTE(SUBSTITUTE(X208,".","-"),"/","-")),IFERROR(X208*1,""))))</f>
        <v/>
      </c>
      <c r="M208" s="6">
        <f>IF(Y208="","",IF(AND(LEN(Y208)=8,ISNUMBER(Y208*1)),DATE(LEFT(Y208,4),MID(Y208,5,2),RIGHT(Y208,2)),IFERROR(DATEVALUE(SUBSTITUTE(SUBSTITUTE(Y208,".","-"),"/","-")),IFERROR(Y208*1,""))))</f>
        <v/>
      </c>
      <c r="N208">
        <f>IFERROR(LEFT(B208,FIND(" ",B208)-1),B208)</f>
        <v/>
      </c>
      <c r="O208">
        <f>AND(B208&lt;&gt;"",B208&lt;&gt;설정!$B$4,C208&lt;&gt;설정!$B$5)</f>
        <v/>
      </c>
      <c r="P208">
        <f>IF(O208,B208&amp;"|"&amp;C208,"")</f>
        <v/>
      </c>
      <c r="Q208">
        <f>AND(O208,COUNTIF(P209:P$1002,P208)=0)</f>
        <v/>
      </c>
      <c r="R208">
        <f>OR(AND(설정!$A$28&lt;&gt;"",ISNUMBER(SEARCH(설정!$A$28,E208&amp;" "&amp;C208))),AND(설정!$A$29&lt;&gt;"",ISNUMBER(SEARCH(설정!$A$29,E208&amp;" "&amp;C208))),AND(설정!$A$30&lt;&gt;"",ISNUMBER(SEARCH(설정!$A$30,E208&amp;" "&amp;C208))),AND(설정!$A$31&lt;&gt;"",ISNUMBER(SEARCH(설정!$A$31,E208&amp;" "&amp;C208))),AND(설정!$A$32&lt;&gt;"",ISNUMBER(SEARCH(설정!$A$32,E208&amp;" "&amp;C208))),AND(설정!$A$33&lt;&gt;"",ISNUMBER(SEARCH(설정!$A$33,E208&amp;" "&amp;C208))),AND(설정!$A$34&lt;&gt;"",ISNUMBER(SEARCH(설정!$A$34,E208&amp;" "&amp;C208))),AND(설정!$A$35&lt;&gt;"",ISNUMBER(SEARCH(설정!$A$35,E208&amp;" "&amp;C208))),AND(설정!$A$36&lt;&gt;"",ISNUMBER(SEARCH(설정!$A$36,E208&amp;" "&amp;C208))),AND(설정!$A$37&lt;&gt;"",ISNUMBER(SEARCH(설정!$A$37,E208&amp;" "&amp;C208))))</f>
        <v/>
      </c>
      <c r="S208">
        <f>OR(D208="",D208&gt;=설정!$B$19)</f>
        <v/>
      </c>
      <c r="T208">
        <f>AND(Q208,R208,S208)</f>
        <v/>
      </c>
      <c r="U208">
        <f>IF(T208,IF(AND(설정!$A$41&lt;&gt;"",ISNUMBER(SEARCH(설정!$A$41,K208))),설정!$B$41,IF(AND(설정!$A$42&lt;&gt;"",ISNUMBER(SEARCH(설정!$A$42,K208))),설정!$B$42,IF(AND(설정!$A$43&lt;&gt;"",ISNUMBER(SEARCH(설정!$A$43,K208))),설정!$B$43,IF(AND(설정!$A$44&lt;&gt;"",ISNUMBER(SEARCH(설정!$A$44,K208))),설정!$B$44,IF(AND(설정!$A$45&lt;&gt;"",ISNUMBER(SEARCH(설정!$A$45,K208))),설정!$B$45,IF(AND(설정!$A$46&lt;&gt;"",ISNUMBER(SEARCH(설정!$A$46,K208))),설정!$B$46,IF(AND(설정!$A$47&lt;&gt;"",ISNUMBER(SEARCH(설정!$A$47,K208))),설정!$B$47,IF(AND(설정!$A$48&lt;&gt;"",ISNUMBER(SEARCH(설정!$A$48,K208))),설정!$B$48,IF(M208="","설계사","시공사"))))))))),"")</f>
        <v/>
      </c>
      <c r="V208">
        <f>SUBSTITUTE(SUBSTITUTE(SUBSTITUTE(SUBSTITUTE(G208,"(주)",""),"㈜",""),"주식회사","")," ","")</f>
        <v/>
      </c>
      <c r="W208">
        <f>IF(AND(T208,V208&lt;&gt;""),IF(COUNTIFS(V$2:V208,V208,T$2:T208,TRUE)=1,MAX(W$1:W207)+1,""),"")</f>
        <v/>
      </c>
      <c r="X208">
        <f>IFERROR(INDEX('1.산군_붙여넣기'!$A$1:$AZ$1001,ROW(),설정!$C$14)&amp;"","")</f>
        <v/>
      </c>
      <c r="Y208">
        <f>IFERROR(INDEX('1.산군_붙여넣기'!$A$1:$AZ$1001,ROW(),설정!$C$15)&amp;"","")</f>
        <v/>
      </c>
      <c r="Z208">
        <f>IF(T208,V208&amp;"|"&amp;U208,"")</f>
        <v/>
      </c>
    </row>
    <row r="209">
      <c r="A209">
        <f>ROW()</f>
        <v/>
      </c>
      <c r="B209">
        <f>IFERROR(INDEX('1.산군_붙여넣기'!$A$1:$AZ$1001,ROW(),설정!$C$4)&amp;"","")</f>
        <v/>
      </c>
      <c r="C209">
        <f>IFERROR(INDEX('1.산군_붙여넣기'!$A$1:$AZ$1001,ROW(),설정!$C$5)&amp;"","")</f>
        <v/>
      </c>
      <c r="D209" s="5">
        <f>IFERROR(VALUE(SUBSTITUTE(SUBSTITUTE(SUBSTITUTE(IFERROR(INDEX('1.산군_붙여넣기'!$A$1:$AZ$1001,ROW(),설정!$C$6)&amp;"",""),",",""),"㎡",""),"m2","")),"")</f>
        <v/>
      </c>
      <c r="E209">
        <f>IFERROR(INDEX('1.산군_붙여넣기'!$A$1:$AZ$1001,ROW(),설정!$C$7)&amp;"","")</f>
        <v/>
      </c>
      <c r="F209">
        <f>IFERROR(INDEX('1.산군_붙여넣기'!$A$1:$AZ$1001,ROW(),설정!$C$8)&amp;"","")</f>
        <v/>
      </c>
      <c r="G209">
        <f>IFERROR(INDEX('1.산군_붙여넣기'!$A$1:$AZ$1001,ROW(),설정!$C$9)&amp;"","")</f>
        <v/>
      </c>
      <c r="H209">
        <f>IFERROR(INDEX('1.산군_붙여넣기'!$A$1:$AZ$1001,ROW(),설정!$C$10)&amp;"","")</f>
        <v/>
      </c>
      <c r="I209">
        <f>IFERROR(INDEX('1.산군_붙여넣기'!$A$1:$AZ$1001,ROW(),설정!$C$11)&amp;"","")</f>
        <v/>
      </c>
      <c r="J209">
        <f>IFERROR(INDEX('1.산군_붙여넣기'!$A$1:$AZ$1001,ROW(),설정!$C$12)&amp;"","")</f>
        <v/>
      </c>
      <c r="K209">
        <f>IFERROR(INDEX('1.산군_붙여넣기'!$A$1:$AZ$1001,ROW(),설정!$C$13)&amp;"","")</f>
        <v/>
      </c>
      <c r="L209" s="6">
        <f>IF(X209="","",IF(AND(LEN(X209)=8,ISNUMBER(X209*1)),DATE(LEFT(X209,4),MID(X209,5,2),RIGHT(X209,2)),IFERROR(DATEVALUE(SUBSTITUTE(SUBSTITUTE(X209,".","-"),"/","-")),IFERROR(X209*1,""))))</f>
        <v/>
      </c>
      <c r="M209" s="6">
        <f>IF(Y209="","",IF(AND(LEN(Y209)=8,ISNUMBER(Y209*1)),DATE(LEFT(Y209,4),MID(Y209,5,2),RIGHT(Y209,2)),IFERROR(DATEVALUE(SUBSTITUTE(SUBSTITUTE(Y209,".","-"),"/","-")),IFERROR(Y209*1,""))))</f>
        <v/>
      </c>
      <c r="N209">
        <f>IFERROR(LEFT(B209,FIND(" ",B209)-1),B209)</f>
        <v/>
      </c>
      <c r="O209">
        <f>AND(B209&lt;&gt;"",B209&lt;&gt;설정!$B$4,C209&lt;&gt;설정!$B$5)</f>
        <v/>
      </c>
      <c r="P209">
        <f>IF(O209,B209&amp;"|"&amp;C209,"")</f>
        <v/>
      </c>
      <c r="Q209">
        <f>AND(O209,COUNTIF(P210:P$1002,P209)=0)</f>
        <v/>
      </c>
      <c r="R209">
        <f>OR(AND(설정!$A$28&lt;&gt;"",ISNUMBER(SEARCH(설정!$A$28,E209&amp;" "&amp;C209))),AND(설정!$A$29&lt;&gt;"",ISNUMBER(SEARCH(설정!$A$29,E209&amp;" "&amp;C209))),AND(설정!$A$30&lt;&gt;"",ISNUMBER(SEARCH(설정!$A$30,E209&amp;" "&amp;C209))),AND(설정!$A$31&lt;&gt;"",ISNUMBER(SEARCH(설정!$A$31,E209&amp;" "&amp;C209))),AND(설정!$A$32&lt;&gt;"",ISNUMBER(SEARCH(설정!$A$32,E209&amp;" "&amp;C209))),AND(설정!$A$33&lt;&gt;"",ISNUMBER(SEARCH(설정!$A$33,E209&amp;" "&amp;C209))),AND(설정!$A$34&lt;&gt;"",ISNUMBER(SEARCH(설정!$A$34,E209&amp;" "&amp;C209))),AND(설정!$A$35&lt;&gt;"",ISNUMBER(SEARCH(설정!$A$35,E209&amp;" "&amp;C209))),AND(설정!$A$36&lt;&gt;"",ISNUMBER(SEARCH(설정!$A$36,E209&amp;" "&amp;C209))),AND(설정!$A$37&lt;&gt;"",ISNUMBER(SEARCH(설정!$A$37,E209&amp;" "&amp;C209))))</f>
        <v/>
      </c>
      <c r="S209">
        <f>OR(D209="",D209&gt;=설정!$B$19)</f>
        <v/>
      </c>
      <c r="T209">
        <f>AND(Q209,R209,S209)</f>
        <v/>
      </c>
      <c r="U209">
        <f>IF(T209,IF(AND(설정!$A$41&lt;&gt;"",ISNUMBER(SEARCH(설정!$A$41,K209))),설정!$B$41,IF(AND(설정!$A$42&lt;&gt;"",ISNUMBER(SEARCH(설정!$A$42,K209))),설정!$B$42,IF(AND(설정!$A$43&lt;&gt;"",ISNUMBER(SEARCH(설정!$A$43,K209))),설정!$B$43,IF(AND(설정!$A$44&lt;&gt;"",ISNUMBER(SEARCH(설정!$A$44,K209))),설정!$B$44,IF(AND(설정!$A$45&lt;&gt;"",ISNUMBER(SEARCH(설정!$A$45,K209))),설정!$B$45,IF(AND(설정!$A$46&lt;&gt;"",ISNUMBER(SEARCH(설정!$A$46,K209))),설정!$B$46,IF(AND(설정!$A$47&lt;&gt;"",ISNUMBER(SEARCH(설정!$A$47,K209))),설정!$B$47,IF(AND(설정!$A$48&lt;&gt;"",ISNUMBER(SEARCH(설정!$A$48,K209))),설정!$B$48,IF(M209="","설계사","시공사"))))))))),"")</f>
        <v/>
      </c>
      <c r="V209">
        <f>SUBSTITUTE(SUBSTITUTE(SUBSTITUTE(SUBSTITUTE(G209,"(주)",""),"㈜",""),"주식회사","")," ","")</f>
        <v/>
      </c>
      <c r="W209">
        <f>IF(AND(T209,V209&lt;&gt;""),IF(COUNTIFS(V$2:V209,V209,T$2:T209,TRUE)=1,MAX(W$1:W208)+1,""),"")</f>
        <v/>
      </c>
      <c r="X209">
        <f>IFERROR(INDEX('1.산군_붙여넣기'!$A$1:$AZ$1001,ROW(),설정!$C$14)&amp;"","")</f>
        <v/>
      </c>
      <c r="Y209">
        <f>IFERROR(INDEX('1.산군_붙여넣기'!$A$1:$AZ$1001,ROW(),설정!$C$15)&amp;"","")</f>
        <v/>
      </c>
      <c r="Z209">
        <f>IF(T209,V209&amp;"|"&amp;U209,"")</f>
        <v/>
      </c>
    </row>
    <row r="210">
      <c r="A210">
        <f>ROW()</f>
        <v/>
      </c>
      <c r="B210">
        <f>IFERROR(INDEX('1.산군_붙여넣기'!$A$1:$AZ$1001,ROW(),설정!$C$4)&amp;"","")</f>
        <v/>
      </c>
      <c r="C210">
        <f>IFERROR(INDEX('1.산군_붙여넣기'!$A$1:$AZ$1001,ROW(),설정!$C$5)&amp;"","")</f>
        <v/>
      </c>
      <c r="D210" s="5">
        <f>IFERROR(VALUE(SUBSTITUTE(SUBSTITUTE(SUBSTITUTE(IFERROR(INDEX('1.산군_붙여넣기'!$A$1:$AZ$1001,ROW(),설정!$C$6)&amp;"",""),",",""),"㎡",""),"m2","")),"")</f>
        <v/>
      </c>
      <c r="E210">
        <f>IFERROR(INDEX('1.산군_붙여넣기'!$A$1:$AZ$1001,ROW(),설정!$C$7)&amp;"","")</f>
        <v/>
      </c>
      <c r="F210">
        <f>IFERROR(INDEX('1.산군_붙여넣기'!$A$1:$AZ$1001,ROW(),설정!$C$8)&amp;"","")</f>
        <v/>
      </c>
      <c r="G210">
        <f>IFERROR(INDEX('1.산군_붙여넣기'!$A$1:$AZ$1001,ROW(),설정!$C$9)&amp;"","")</f>
        <v/>
      </c>
      <c r="H210">
        <f>IFERROR(INDEX('1.산군_붙여넣기'!$A$1:$AZ$1001,ROW(),설정!$C$10)&amp;"","")</f>
        <v/>
      </c>
      <c r="I210">
        <f>IFERROR(INDEX('1.산군_붙여넣기'!$A$1:$AZ$1001,ROW(),설정!$C$11)&amp;"","")</f>
        <v/>
      </c>
      <c r="J210">
        <f>IFERROR(INDEX('1.산군_붙여넣기'!$A$1:$AZ$1001,ROW(),설정!$C$12)&amp;"","")</f>
        <v/>
      </c>
      <c r="K210">
        <f>IFERROR(INDEX('1.산군_붙여넣기'!$A$1:$AZ$1001,ROW(),설정!$C$13)&amp;"","")</f>
        <v/>
      </c>
      <c r="L210" s="6">
        <f>IF(X210="","",IF(AND(LEN(X210)=8,ISNUMBER(X210*1)),DATE(LEFT(X210,4),MID(X210,5,2),RIGHT(X210,2)),IFERROR(DATEVALUE(SUBSTITUTE(SUBSTITUTE(X210,".","-"),"/","-")),IFERROR(X210*1,""))))</f>
        <v/>
      </c>
      <c r="M210" s="6">
        <f>IF(Y210="","",IF(AND(LEN(Y210)=8,ISNUMBER(Y210*1)),DATE(LEFT(Y210,4),MID(Y210,5,2),RIGHT(Y210,2)),IFERROR(DATEVALUE(SUBSTITUTE(SUBSTITUTE(Y210,".","-"),"/","-")),IFERROR(Y210*1,""))))</f>
        <v/>
      </c>
      <c r="N210">
        <f>IFERROR(LEFT(B210,FIND(" ",B210)-1),B210)</f>
        <v/>
      </c>
      <c r="O210">
        <f>AND(B210&lt;&gt;"",B210&lt;&gt;설정!$B$4,C210&lt;&gt;설정!$B$5)</f>
        <v/>
      </c>
      <c r="P210">
        <f>IF(O210,B210&amp;"|"&amp;C210,"")</f>
        <v/>
      </c>
      <c r="Q210">
        <f>AND(O210,COUNTIF(P211:P$1002,P210)=0)</f>
        <v/>
      </c>
      <c r="R210">
        <f>OR(AND(설정!$A$28&lt;&gt;"",ISNUMBER(SEARCH(설정!$A$28,E210&amp;" "&amp;C210))),AND(설정!$A$29&lt;&gt;"",ISNUMBER(SEARCH(설정!$A$29,E210&amp;" "&amp;C210))),AND(설정!$A$30&lt;&gt;"",ISNUMBER(SEARCH(설정!$A$30,E210&amp;" "&amp;C210))),AND(설정!$A$31&lt;&gt;"",ISNUMBER(SEARCH(설정!$A$31,E210&amp;" "&amp;C210))),AND(설정!$A$32&lt;&gt;"",ISNUMBER(SEARCH(설정!$A$32,E210&amp;" "&amp;C210))),AND(설정!$A$33&lt;&gt;"",ISNUMBER(SEARCH(설정!$A$33,E210&amp;" "&amp;C210))),AND(설정!$A$34&lt;&gt;"",ISNUMBER(SEARCH(설정!$A$34,E210&amp;" "&amp;C210))),AND(설정!$A$35&lt;&gt;"",ISNUMBER(SEARCH(설정!$A$35,E210&amp;" "&amp;C210))),AND(설정!$A$36&lt;&gt;"",ISNUMBER(SEARCH(설정!$A$36,E210&amp;" "&amp;C210))),AND(설정!$A$37&lt;&gt;"",ISNUMBER(SEARCH(설정!$A$37,E210&amp;" "&amp;C210))))</f>
        <v/>
      </c>
      <c r="S210">
        <f>OR(D210="",D210&gt;=설정!$B$19)</f>
        <v/>
      </c>
      <c r="T210">
        <f>AND(Q210,R210,S210)</f>
        <v/>
      </c>
      <c r="U210">
        <f>IF(T210,IF(AND(설정!$A$41&lt;&gt;"",ISNUMBER(SEARCH(설정!$A$41,K210))),설정!$B$41,IF(AND(설정!$A$42&lt;&gt;"",ISNUMBER(SEARCH(설정!$A$42,K210))),설정!$B$42,IF(AND(설정!$A$43&lt;&gt;"",ISNUMBER(SEARCH(설정!$A$43,K210))),설정!$B$43,IF(AND(설정!$A$44&lt;&gt;"",ISNUMBER(SEARCH(설정!$A$44,K210))),설정!$B$44,IF(AND(설정!$A$45&lt;&gt;"",ISNUMBER(SEARCH(설정!$A$45,K210))),설정!$B$45,IF(AND(설정!$A$46&lt;&gt;"",ISNUMBER(SEARCH(설정!$A$46,K210))),설정!$B$46,IF(AND(설정!$A$47&lt;&gt;"",ISNUMBER(SEARCH(설정!$A$47,K210))),설정!$B$47,IF(AND(설정!$A$48&lt;&gt;"",ISNUMBER(SEARCH(설정!$A$48,K210))),설정!$B$48,IF(M210="","설계사","시공사"))))))))),"")</f>
        <v/>
      </c>
      <c r="V210">
        <f>SUBSTITUTE(SUBSTITUTE(SUBSTITUTE(SUBSTITUTE(G210,"(주)",""),"㈜",""),"주식회사","")," ","")</f>
        <v/>
      </c>
      <c r="W210">
        <f>IF(AND(T210,V210&lt;&gt;""),IF(COUNTIFS(V$2:V210,V210,T$2:T210,TRUE)=1,MAX(W$1:W209)+1,""),"")</f>
        <v/>
      </c>
      <c r="X210">
        <f>IFERROR(INDEX('1.산군_붙여넣기'!$A$1:$AZ$1001,ROW(),설정!$C$14)&amp;"","")</f>
        <v/>
      </c>
      <c r="Y210">
        <f>IFERROR(INDEX('1.산군_붙여넣기'!$A$1:$AZ$1001,ROW(),설정!$C$15)&amp;"","")</f>
        <v/>
      </c>
      <c r="Z210">
        <f>IF(T210,V210&amp;"|"&amp;U210,"")</f>
        <v/>
      </c>
    </row>
    <row r="211">
      <c r="A211">
        <f>ROW()</f>
        <v/>
      </c>
      <c r="B211">
        <f>IFERROR(INDEX('1.산군_붙여넣기'!$A$1:$AZ$1001,ROW(),설정!$C$4)&amp;"","")</f>
        <v/>
      </c>
      <c r="C211">
        <f>IFERROR(INDEX('1.산군_붙여넣기'!$A$1:$AZ$1001,ROW(),설정!$C$5)&amp;"","")</f>
        <v/>
      </c>
      <c r="D211" s="5">
        <f>IFERROR(VALUE(SUBSTITUTE(SUBSTITUTE(SUBSTITUTE(IFERROR(INDEX('1.산군_붙여넣기'!$A$1:$AZ$1001,ROW(),설정!$C$6)&amp;"",""),",",""),"㎡",""),"m2","")),"")</f>
        <v/>
      </c>
      <c r="E211">
        <f>IFERROR(INDEX('1.산군_붙여넣기'!$A$1:$AZ$1001,ROW(),설정!$C$7)&amp;"","")</f>
        <v/>
      </c>
      <c r="F211">
        <f>IFERROR(INDEX('1.산군_붙여넣기'!$A$1:$AZ$1001,ROW(),설정!$C$8)&amp;"","")</f>
        <v/>
      </c>
      <c r="G211">
        <f>IFERROR(INDEX('1.산군_붙여넣기'!$A$1:$AZ$1001,ROW(),설정!$C$9)&amp;"","")</f>
        <v/>
      </c>
      <c r="H211">
        <f>IFERROR(INDEX('1.산군_붙여넣기'!$A$1:$AZ$1001,ROW(),설정!$C$10)&amp;"","")</f>
        <v/>
      </c>
      <c r="I211">
        <f>IFERROR(INDEX('1.산군_붙여넣기'!$A$1:$AZ$1001,ROW(),설정!$C$11)&amp;"","")</f>
        <v/>
      </c>
      <c r="J211">
        <f>IFERROR(INDEX('1.산군_붙여넣기'!$A$1:$AZ$1001,ROW(),설정!$C$12)&amp;"","")</f>
        <v/>
      </c>
      <c r="K211">
        <f>IFERROR(INDEX('1.산군_붙여넣기'!$A$1:$AZ$1001,ROW(),설정!$C$13)&amp;"","")</f>
        <v/>
      </c>
      <c r="L211" s="6">
        <f>IF(X211="","",IF(AND(LEN(X211)=8,ISNUMBER(X211*1)),DATE(LEFT(X211,4),MID(X211,5,2),RIGHT(X211,2)),IFERROR(DATEVALUE(SUBSTITUTE(SUBSTITUTE(X211,".","-"),"/","-")),IFERROR(X211*1,""))))</f>
        <v/>
      </c>
      <c r="M211" s="6">
        <f>IF(Y211="","",IF(AND(LEN(Y211)=8,ISNUMBER(Y211*1)),DATE(LEFT(Y211,4),MID(Y211,5,2),RIGHT(Y211,2)),IFERROR(DATEVALUE(SUBSTITUTE(SUBSTITUTE(Y211,".","-"),"/","-")),IFERROR(Y211*1,""))))</f>
        <v/>
      </c>
      <c r="N211">
        <f>IFERROR(LEFT(B211,FIND(" ",B211)-1),B211)</f>
        <v/>
      </c>
      <c r="O211">
        <f>AND(B211&lt;&gt;"",B211&lt;&gt;설정!$B$4,C211&lt;&gt;설정!$B$5)</f>
        <v/>
      </c>
      <c r="P211">
        <f>IF(O211,B211&amp;"|"&amp;C211,"")</f>
        <v/>
      </c>
      <c r="Q211">
        <f>AND(O211,COUNTIF(P212:P$1002,P211)=0)</f>
        <v/>
      </c>
      <c r="R211">
        <f>OR(AND(설정!$A$28&lt;&gt;"",ISNUMBER(SEARCH(설정!$A$28,E211&amp;" "&amp;C211))),AND(설정!$A$29&lt;&gt;"",ISNUMBER(SEARCH(설정!$A$29,E211&amp;" "&amp;C211))),AND(설정!$A$30&lt;&gt;"",ISNUMBER(SEARCH(설정!$A$30,E211&amp;" "&amp;C211))),AND(설정!$A$31&lt;&gt;"",ISNUMBER(SEARCH(설정!$A$31,E211&amp;" "&amp;C211))),AND(설정!$A$32&lt;&gt;"",ISNUMBER(SEARCH(설정!$A$32,E211&amp;" "&amp;C211))),AND(설정!$A$33&lt;&gt;"",ISNUMBER(SEARCH(설정!$A$33,E211&amp;" "&amp;C211))),AND(설정!$A$34&lt;&gt;"",ISNUMBER(SEARCH(설정!$A$34,E211&amp;" "&amp;C211))),AND(설정!$A$35&lt;&gt;"",ISNUMBER(SEARCH(설정!$A$35,E211&amp;" "&amp;C211))),AND(설정!$A$36&lt;&gt;"",ISNUMBER(SEARCH(설정!$A$36,E211&amp;" "&amp;C211))),AND(설정!$A$37&lt;&gt;"",ISNUMBER(SEARCH(설정!$A$37,E211&amp;" "&amp;C211))))</f>
        <v/>
      </c>
      <c r="S211">
        <f>OR(D211="",D211&gt;=설정!$B$19)</f>
        <v/>
      </c>
      <c r="T211">
        <f>AND(Q211,R211,S211)</f>
        <v/>
      </c>
      <c r="U211">
        <f>IF(T211,IF(AND(설정!$A$41&lt;&gt;"",ISNUMBER(SEARCH(설정!$A$41,K211))),설정!$B$41,IF(AND(설정!$A$42&lt;&gt;"",ISNUMBER(SEARCH(설정!$A$42,K211))),설정!$B$42,IF(AND(설정!$A$43&lt;&gt;"",ISNUMBER(SEARCH(설정!$A$43,K211))),설정!$B$43,IF(AND(설정!$A$44&lt;&gt;"",ISNUMBER(SEARCH(설정!$A$44,K211))),설정!$B$44,IF(AND(설정!$A$45&lt;&gt;"",ISNUMBER(SEARCH(설정!$A$45,K211))),설정!$B$45,IF(AND(설정!$A$46&lt;&gt;"",ISNUMBER(SEARCH(설정!$A$46,K211))),설정!$B$46,IF(AND(설정!$A$47&lt;&gt;"",ISNUMBER(SEARCH(설정!$A$47,K211))),설정!$B$47,IF(AND(설정!$A$48&lt;&gt;"",ISNUMBER(SEARCH(설정!$A$48,K211))),설정!$B$48,IF(M211="","설계사","시공사"))))))))),"")</f>
        <v/>
      </c>
      <c r="V211">
        <f>SUBSTITUTE(SUBSTITUTE(SUBSTITUTE(SUBSTITUTE(G211,"(주)",""),"㈜",""),"주식회사","")," ","")</f>
        <v/>
      </c>
      <c r="W211">
        <f>IF(AND(T211,V211&lt;&gt;""),IF(COUNTIFS(V$2:V211,V211,T$2:T211,TRUE)=1,MAX(W$1:W210)+1,""),"")</f>
        <v/>
      </c>
      <c r="X211">
        <f>IFERROR(INDEX('1.산군_붙여넣기'!$A$1:$AZ$1001,ROW(),설정!$C$14)&amp;"","")</f>
        <v/>
      </c>
      <c r="Y211">
        <f>IFERROR(INDEX('1.산군_붙여넣기'!$A$1:$AZ$1001,ROW(),설정!$C$15)&amp;"","")</f>
        <v/>
      </c>
      <c r="Z211">
        <f>IF(T211,V211&amp;"|"&amp;U211,"")</f>
        <v/>
      </c>
    </row>
    <row r="212">
      <c r="A212">
        <f>ROW()</f>
        <v/>
      </c>
      <c r="B212">
        <f>IFERROR(INDEX('1.산군_붙여넣기'!$A$1:$AZ$1001,ROW(),설정!$C$4)&amp;"","")</f>
        <v/>
      </c>
      <c r="C212">
        <f>IFERROR(INDEX('1.산군_붙여넣기'!$A$1:$AZ$1001,ROW(),설정!$C$5)&amp;"","")</f>
        <v/>
      </c>
      <c r="D212" s="5">
        <f>IFERROR(VALUE(SUBSTITUTE(SUBSTITUTE(SUBSTITUTE(IFERROR(INDEX('1.산군_붙여넣기'!$A$1:$AZ$1001,ROW(),설정!$C$6)&amp;"",""),",",""),"㎡",""),"m2","")),"")</f>
        <v/>
      </c>
      <c r="E212">
        <f>IFERROR(INDEX('1.산군_붙여넣기'!$A$1:$AZ$1001,ROW(),설정!$C$7)&amp;"","")</f>
        <v/>
      </c>
      <c r="F212">
        <f>IFERROR(INDEX('1.산군_붙여넣기'!$A$1:$AZ$1001,ROW(),설정!$C$8)&amp;"","")</f>
        <v/>
      </c>
      <c r="G212">
        <f>IFERROR(INDEX('1.산군_붙여넣기'!$A$1:$AZ$1001,ROW(),설정!$C$9)&amp;"","")</f>
        <v/>
      </c>
      <c r="H212">
        <f>IFERROR(INDEX('1.산군_붙여넣기'!$A$1:$AZ$1001,ROW(),설정!$C$10)&amp;"","")</f>
        <v/>
      </c>
      <c r="I212">
        <f>IFERROR(INDEX('1.산군_붙여넣기'!$A$1:$AZ$1001,ROW(),설정!$C$11)&amp;"","")</f>
        <v/>
      </c>
      <c r="J212">
        <f>IFERROR(INDEX('1.산군_붙여넣기'!$A$1:$AZ$1001,ROW(),설정!$C$12)&amp;"","")</f>
        <v/>
      </c>
      <c r="K212">
        <f>IFERROR(INDEX('1.산군_붙여넣기'!$A$1:$AZ$1001,ROW(),설정!$C$13)&amp;"","")</f>
        <v/>
      </c>
      <c r="L212" s="6">
        <f>IF(X212="","",IF(AND(LEN(X212)=8,ISNUMBER(X212*1)),DATE(LEFT(X212,4),MID(X212,5,2),RIGHT(X212,2)),IFERROR(DATEVALUE(SUBSTITUTE(SUBSTITUTE(X212,".","-"),"/","-")),IFERROR(X212*1,""))))</f>
        <v/>
      </c>
      <c r="M212" s="6">
        <f>IF(Y212="","",IF(AND(LEN(Y212)=8,ISNUMBER(Y212*1)),DATE(LEFT(Y212,4),MID(Y212,5,2),RIGHT(Y212,2)),IFERROR(DATEVALUE(SUBSTITUTE(SUBSTITUTE(Y212,".","-"),"/","-")),IFERROR(Y212*1,""))))</f>
        <v/>
      </c>
      <c r="N212">
        <f>IFERROR(LEFT(B212,FIND(" ",B212)-1),B212)</f>
        <v/>
      </c>
      <c r="O212">
        <f>AND(B212&lt;&gt;"",B212&lt;&gt;설정!$B$4,C212&lt;&gt;설정!$B$5)</f>
        <v/>
      </c>
      <c r="P212">
        <f>IF(O212,B212&amp;"|"&amp;C212,"")</f>
        <v/>
      </c>
      <c r="Q212">
        <f>AND(O212,COUNTIF(P213:P$1002,P212)=0)</f>
        <v/>
      </c>
      <c r="R212">
        <f>OR(AND(설정!$A$28&lt;&gt;"",ISNUMBER(SEARCH(설정!$A$28,E212&amp;" "&amp;C212))),AND(설정!$A$29&lt;&gt;"",ISNUMBER(SEARCH(설정!$A$29,E212&amp;" "&amp;C212))),AND(설정!$A$30&lt;&gt;"",ISNUMBER(SEARCH(설정!$A$30,E212&amp;" "&amp;C212))),AND(설정!$A$31&lt;&gt;"",ISNUMBER(SEARCH(설정!$A$31,E212&amp;" "&amp;C212))),AND(설정!$A$32&lt;&gt;"",ISNUMBER(SEARCH(설정!$A$32,E212&amp;" "&amp;C212))),AND(설정!$A$33&lt;&gt;"",ISNUMBER(SEARCH(설정!$A$33,E212&amp;" "&amp;C212))),AND(설정!$A$34&lt;&gt;"",ISNUMBER(SEARCH(설정!$A$34,E212&amp;" "&amp;C212))),AND(설정!$A$35&lt;&gt;"",ISNUMBER(SEARCH(설정!$A$35,E212&amp;" "&amp;C212))),AND(설정!$A$36&lt;&gt;"",ISNUMBER(SEARCH(설정!$A$36,E212&amp;" "&amp;C212))),AND(설정!$A$37&lt;&gt;"",ISNUMBER(SEARCH(설정!$A$37,E212&amp;" "&amp;C212))))</f>
        <v/>
      </c>
      <c r="S212">
        <f>OR(D212="",D212&gt;=설정!$B$19)</f>
        <v/>
      </c>
      <c r="T212">
        <f>AND(Q212,R212,S212)</f>
        <v/>
      </c>
      <c r="U212">
        <f>IF(T212,IF(AND(설정!$A$41&lt;&gt;"",ISNUMBER(SEARCH(설정!$A$41,K212))),설정!$B$41,IF(AND(설정!$A$42&lt;&gt;"",ISNUMBER(SEARCH(설정!$A$42,K212))),설정!$B$42,IF(AND(설정!$A$43&lt;&gt;"",ISNUMBER(SEARCH(설정!$A$43,K212))),설정!$B$43,IF(AND(설정!$A$44&lt;&gt;"",ISNUMBER(SEARCH(설정!$A$44,K212))),설정!$B$44,IF(AND(설정!$A$45&lt;&gt;"",ISNUMBER(SEARCH(설정!$A$45,K212))),설정!$B$45,IF(AND(설정!$A$46&lt;&gt;"",ISNUMBER(SEARCH(설정!$A$46,K212))),설정!$B$46,IF(AND(설정!$A$47&lt;&gt;"",ISNUMBER(SEARCH(설정!$A$47,K212))),설정!$B$47,IF(AND(설정!$A$48&lt;&gt;"",ISNUMBER(SEARCH(설정!$A$48,K212))),설정!$B$48,IF(M212="","설계사","시공사"))))))))),"")</f>
        <v/>
      </c>
      <c r="V212">
        <f>SUBSTITUTE(SUBSTITUTE(SUBSTITUTE(SUBSTITUTE(G212,"(주)",""),"㈜",""),"주식회사","")," ","")</f>
        <v/>
      </c>
      <c r="W212">
        <f>IF(AND(T212,V212&lt;&gt;""),IF(COUNTIFS(V$2:V212,V212,T$2:T212,TRUE)=1,MAX(W$1:W211)+1,""),"")</f>
        <v/>
      </c>
      <c r="X212">
        <f>IFERROR(INDEX('1.산군_붙여넣기'!$A$1:$AZ$1001,ROW(),설정!$C$14)&amp;"","")</f>
        <v/>
      </c>
      <c r="Y212">
        <f>IFERROR(INDEX('1.산군_붙여넣기'!$A$1:$AZ$1001,ROW(),설정!$C$15)&amp;"","")</f>
        <v/>
      </c>
      <c r="Z212">
        <f>IF(T212,V212&amp;"|"&amp;U212,"")</f>
        <v/>
      </c>
    </row>
    <row r="213">
      <c r="A213">
        <f>ROW()</f>
        <v/>
      </c>
      <c r="B213">
        <f>IFERROR(INDEX('1.산군_붙여넣기'!$A$1:$AZ$1001,ROW(),설정!$C$4)&amp;"","")</f>
        <v/>
      </c>
      <c r="C213">
        <f>IFERROR(INDEX('1.산군_붙여넣기'!$A$1:$AZ$1001,ROW(),설정!$C$5)&amp;"","")</f>
        <v/>
      </c>
      <c r="D213" s="5">
        <f>IFERROR(VALUE(SUBSTITUTE(SUBSTITUTE(SUBSTITUTE(IFERROR(INDEX('1.산군_붙여넣기'!$A$1:$AZ$1001,ROW(),설정!$C$6)&amp;"",""),",",""),"㎡",""),"m2","")),"")</f>
        <v/>
      </c>
      <c r="E213">
        <f>IFERROR(INDEX('1.산군_붙여넣기'!$A$1:$AZ$1001,ROW(),설정!$C$7)&amp;"","")</f>
        <v/>
      </c>
      <c r="F213">
        <f>IFERROR(INDEX('1.산군_붙여넣기'!$A$1:$AZ$1001,ROW(),설정!$C$8)&amp;"","")</f>
        <v/>
      </c>
      <c r="G213">
        <f>IFERROR(INDEX('1.산군_붙여넣기'!$A$1:$AZ$1001,ROW(),설정!$C$9)&amp;"","")</f>
        <v/>
      </c>
      <c r="H213">
        <f>IFERROR(INDEX('1.산군_붙여넣기'!$A$1:$AZ$1001,ROW(),설정!$C$10)&amp;"","")</f>
        <v/>
      </c>
      <c r="I213">
        <f>IFERROR(INDEX('1.산군_붙여넣기'!$A$1:$AZ$1001,ROW(),설정!$C$11)&amp;"","")</f>
        <v/>
      </c>
      <c r="J213">
        <f>IFERROR(INDEX('1.산군_붙여넣기'!$A$1:$AZ$1001,ROW(),설정!$C$12)&amp;"","")</f>
        <v/>
      </c>
      <c r="K213">
        <f>IFERROR(INDEX('1.산군_붙여넣기'!$A$1:$AZ$1001,ROW(),설정!$C$13)&amp;"","")</f>
        <v/>
      </c>
      <c r="L213" s="6">
        <f>IF(X213="","",IF(AND(LEN(X213)=8,ISNUMBER(X213*1)),DATE(LEFT(X213,4),MID(X213,5,2),RIGHT(X213,2)),IFERROR(DATEVALUE(SUBSTITUTE(SUBSTITUTE(X213,".","-"),"/","-")),IFERROR(X213*1,""))))</f>
        <v/>
      </c>
      <c r="M213" s="6">
        <f>IF(Y213="","",IF(AND(LEN(Y213)=8,ISNUMBER(Y213*1)),DATE(LEFT(Y213,4),MID(Y213,5,2),RIGHT(Y213,2)),IFERROR(DATEVALUE(SUBSTITUTE(SUBSTITUTE(Y213,".","-"),"/","-")),IFERROR(Y213*1,""))))</f>
        <v/>
      </c>
      <c r="N213">
        <f>IFERROR(LEFT(B213,FIND(" ",B213)-1),B213)</f>
        <v/>
      </c>
      <c r="O213">
        <f>AND(B213&lt;&gt;"",B213&lt;&gt;설정!$B$4,C213&lt;&gt;설정!$B$5)</f>
        <v/>
      </c>
      <c r="P213">
        <f>IF(O213,B213&amp;"|"&amp;C213,"")</f>
        <v/>
      </c>
      <c r="Q213">
        <f>AND(O213,COUNTIF(P214:P$1002,P213)=0)</f>
        <v/>
      </c>
      <c r="R213">
        <f>OR(AND(설정!$A$28&lt;&gt;"",ISNUMBER(SEARCH(설정!$A$28,E213&amp;" "&amp;C213))),AND(설정!$A$29&lt;&gt;"",ISNUMBER(SEARCH(설정!$A$29,E213&amp;" "&amp;C213))),AND(설정!$A$30&lt;&gt;"",ISNUMBER(SEARCH(설정!$A$30,E213&amp;" "&amp;C213))),AND(설정!$A$31&lt;&gt;"",ISNUMBER(SEARCH(설정!$A$31,E213&amp;" "&amp;C213))),AND(설정!$A$32&lt;&gt;"",ISNUMBER(SEARCH(설정!$A$32,E213&amp;" "&amp;C213))),AND(설정!$A$33&lt;&gt;"",ISNUMBER(SEARCH(설정!$A$33,E213&amp;" "&amp;C213))),AND(설정!$A$34&lt;&gt;"",ISNUMBER(SEARCH(설정!$A$34,E213&amp;" "&amp;C213))),AND(설정!$A$35&lt;&gt;"",ISNUMBER(SEARCH(설정!$A$35,E213&amp;" "&amp;C213))),AND(설정!$A$36&lt;&gt;"",ISNUMBER(SEARCH(설정!$A$36,E213&amp;" "&amp;C213))),AND(설정!$A$37&lt;&gt;"",ISNUMBER(SEARCH(설정!$A$37,E213&amp;" "&amp;C213))))</f>
        <v/>
      </c>
      <c r="S213">
        <f>OR(D213="",D213&gt;=설정!$B$19)</f>
        <v/>
      </c>
      <c r="T213">
        <f>AND(Q213,R213,S213)</f>
        <v/>
      </c>
      <c r="U213">
        <f>IF(T213,IF(AND(설정!$A$41&lt;&gt;"",ISNUMBER(SEARCH(설정!$A$41,K213))),설정!$B$41,IF(AND(설정!$A$42&lt;&gt;"",ISNUMBER(SEARCH(설정!$A$42,K213))),설정!$B$42,IF(AND(설정!$A$43&lt;&gt;"",ISNUMBER(SEARCH(설정!$A$43,K213))),설정!$B$43,IF(AND(설정!$A$44&lt;&gt;"",ISNUMBER(SEARCH(설정!$A$44,K213))),설정!$B$44,IF(AND(설정!$A$45&lt;&gt;"",ISNUMBER(SEARCH(설정!$A$45,K213))),설정!$B$45,IF(AND(설정!$A$46&lt;&gt;"",ISNUMBER(SEARCH(설정!$A$46,K213))),설정!$B$46,IF(AND(설정!$A$47&lt;&gt;"",ISNUMBER(SEARCH(설정!$A$47,K213))),설정!$B$47,IF(AND(설정!$A$48&lt;&gt;"",ISNUMBER(SEARCH(설정!$A$48,K213))),설정!$B$48,IF(M213="","설계사","시공사"))))))))),"")</f>
        <v/>
      </c>
      <c r="V213">
        <f>SUBSTITUTE(SUBSTITUTE(SUBSTITUTE(SUBSTITUTE(G213,"(주)",""),"㈜",""),"주식회사","")," ","")</f>
        <v/>
      </c>
      <c r="W213">
        <f>IF(AND(T213,V213&lt;&gt;""),IF(COUNTIFS(V$2:V213,V213,T$2:T213,TRUE)=1,MAX(W$1:W212)+1,""),"")</f>
        <v/>
      </c>
      <c r="X213">
        <f>IFERROR(INDEX('1.산군_붙여넣기'!$A$1:$AZ$1001,ROW(),설정!$C$14)&amp;"","")</f>
        <v/>
      </c>
      <c r="Y213">
        <f>IFERROR(INDEX('1.산군_붙여넣기'!$A$1:$AZ$1001,ROW(),설정!$C$15)&amp;"","")</f>
        <v/>
      </c>
      <c r="Z213">
        <f>IF(T213,V213&amp;"|"&amp;U213,"")</f>
        <v/>
      </c>
    </row>
    <row r="214">
      <c r="A214">
        <f>ROW()</f>
        <v/>
      </c>
      <c r="B214">
        <f>IFERROR(INDEX('1.산군_붙여넣기'!$A$1:$AZ$1001,ROW(),설정!$C$4)&amp;"","")</f>
        <v/>
      </c>
      <c r="C214">
        <f>IFERROR(INDEX('1.산군_붙여넣기'!$A$1:$AZ$1001,ROW(),설정!$C$5)&amp;"","")</f>
        <v/>
      </c>
      <c r="D214" s="5">
        <f>IFERROR(VALUE(SUBSTITUTE(SUBSTITUTE(SUBSTITUTE(IFERROR(INDEX('1.산군_붙여넣기'!$A$1:$AZ$1001,ROW(),설정!$C$6)&amp;"",""),",",""),"㎡",""),"m2","")),"")</f>
        <v/>
      </c>
      <c r="E214">
        <f>IFERROR(INDEX('1.산군_붙여넣기'!$A$1:$AZ$1001,ROW(),설정!$C$7)&amp;"","")</f>
        <v/>
      </c>
      <c r="F214">
        <f>IFERROR(INDEX('1.산군_붙여넣기'!$A$1:$AZ$1001,ROW(),설정!$C$8)&amp;"","")</f>
        <v/>
      </c>
      <c r="G214">
        <f>IFERROR(INDEX('1.산군_붙여넣기'!$A$1:$AZ$1001,ROW(),설정!$C$9)&amp;"","")</f>
        <v/>
      </c>
      <c r="H214">
        <f>IFERROR(INDEX('1.산군_붙여넣기'!$A$1:$AZ$1001,ROW(),설정!$C$10)&amp;"","")</f>
        <v/>
      </c>
      <c r="I214">
        <f>IFERROR(INDEX('1.산군_붙여넣기'!$A$1:$AZ$1001,ROW(),설정!$C$11)&amp;"","")</f>
        <v/>
      </c>
      <c r="J214">
        <f>IFERROR(INDEX('1.산군_붙여넣기'!$A$1:$AZ$1001,ROW(),설정!$C$12)&amp;"","")</f>
        <v/>
      </c>
      <c r="K214">
        <f>IFERROR(INDEX('1.산군_붙여넣기'!$A$1:$AZ$1001,ROW(),설정!$C$13)&amp;"","")</f>
        <v/>
      </c>
      <c r="L214" s="6">
        <f>IF(X214="","",IF(AND(LEN(X214)=8,ISNUMBER(X214*1)),DATE(LEFT(X214,4),MID(X214,5,2),RIGHT(X214,2)),IFERROR(DATEVALUE(SUBSTITUTE(SUBSTITUTE(X214,".","-"),"/","-")),IFERROR(X214*1,""))))</f>
        <v/>
      </c>
      <c r="M214" s="6">
        <f>IF(Y214="","",IF(AND(LEN(Y214)=8,ISNUMBER(Y214*1)),DATE(LEFT(Y214,4),MID(Y214,5,2),RIGHT(Y214,2)),IFERROR(DATEVALUE(SUBSTITUTE(SUBSTITUTE(Y214,".","-"),"/","-")),IFERROR(Y214*1,""))))</f>
        <v/>
      </c>
      <c r="N214">
        <f>IFERROR(LEFT(B214,FIND(" ",B214)-1),B214)</f>
        <v/>
      </c>
      <c r="O214">
        <f>AND(B214&lt;&gt;"",B214&lt;&gt;설정!$B$4,C214&lt;&gt;설정!$B$5)</f>
        <v/>
      </c>
      <c r="P214">
        <f>IF(O214,B214&amp;"|"&amp;C214,"")</f>
        <v/>
      </c>
      <c r="Q214">
        <f>AND(O214,COUNTIF(P215:P$1002,P214)=0)</f>
        <v/>
      </c>
      <c r="R214">
        <f>OR(AND(설정!$A$28&lt;&gt;"",ISNUMBER(SEARCH(설정!$A$28,E214&amp;" "&amp;C214))),AND(설정!$A$29&lt;&gt;"",ISNUMBER(SEARCH(설정!$A$29,E214&amp;" "&amp;C214))),AND(설정!$A$30&lt;&gt;"",ISNUMBER(SEARCH(설정!$A$30,E214&amp;" "&amp;C214))),AND(설정!$A$31&lt;&gt;"",ISNUMBER(SEARCH(설정!$A$31,E214&amp;" "&amp;C214))),AND(설정!$A$32&lt;&gt;"",ISNUMBER(SEARCH(설정!$A$32,E214&amp;" "&amp;C214))),AND(설정!$A$33&lt;&gt;"",ISNUMBER(SEARCH(설정!$A$33,E214&amp;" "&amp;C214))),AND(설정!$A$34&lt;&gt;"",ISNUMBER(SEARCH(설정!$A$34,E214&amp;" "&amp;C214))),AND(설정!$A$35&lt;&gt;"",ISNUMBER(SEARCH(설정!$A$35,E214&amp;" "&amp;C214))),AND(설정!$A$36&lt;&gt;"",ISNUMBER(SEARCH(설정!$A$36,E214&amp;" "&amp;C214))),AND(설정!$A$37&lt;&gt;"",ISNUMBER(SEARCH(설정!$A$37,E214&amp;" "&amp;C214))))</f>
        <v/>
      </c>
      <c r="S214">
        <f>OR(D214="",D214&gt;=설정!$B$19)</f>
        <v/>
      </c>
      <c r="T214">
        <f>AND(Q214,R214,S214)</f>
        <v/>
      </c>
      <c r="U214">
        <f>IF(T214,IF(AND(설정!$A$41&lt;&gt;"",ISNUMBER(SEARCH(설정!$A$41,K214))),설정!$B$41,IF(AND(설정!$A$42&lt;&gt;"",ISNUMBER(SEARCH(설정!$A$42,K214))),설정!$B$42,IF(AND(설정!$A$43&lt;&gt;"",ISNUMBER(SEARCH(설정!$A$43,K214))),설정!$B$43,IF(AND(설정!$A$44&lt;&gt;"",ISNUMBER(SEARCH(설정!$A$44,K214))),설정!$B$44,IF(AND(설정!$A$45&lt;&gt;"",ISNUMBER(SEARCH(설정!$A$45,K214))),설정!$B$45,IF(AND(설정!$A$46&lt;&gt;"",ISNUMBER(SEARCH(설정!$A$46,K214))),설정!$B$46,IF(AND(설정!$A$47&lt;&gt;"",ISNUMBER(SEARCH(설정!$A$47,K214))),설정!$B$47,IF(AND(설정!$A$48&lt;&gt;"",ISNUMBER(SEARCH(설정!$A$48,K214))),설정!$B$48,IF(M214="","설계사","시공사"))))))))),"")</f>
        <v/>
      </c>
      <c r="V214">
        <f>SUBSTITUTE(SUBSTITUTE(SUBSTITUTE(SUBSTITUTE(G214,"(주)",""),"㈜",""),"주식회사","")," ","")</f>
        <v/>
      </c>
      <c r="W214">
        <f>IF(AND(T214,V214&lt;&gt;""),IF(COUNTIFS(V$2:V214,V214,T$2:T214,TRUE)=1,MAX(W$1:W213)+1,""),"")</f>
        <v/>
      </c>
      <c r="X214">
        <f>IFERROR(INDEX('1.산군_붙여넣기'!$A$1:$AZ$1001,ROW(),설정!$C$14)&amp;"","")</f>
        <v/>
      </c>
      <c r="Y214">
        <f>IFERROR(INDEX('1.산군_붙여넣기'!$A$1:$AZ$1001,ROW(),설정!$C$15)&amp;"","")</f>
        <v/>
      </c>
      <c r="Z214">
        <f>IF(T214,V214&amp;"|"&amp;U214,"")</f>
        <v/>
      </c>
    </row>
    <row r="215">
      <c r="A215">
        <f>ROW()</f>
        <v/>
      </c>
      <c r="B215">
        <f>IFERROR(INDEX('1.산군_붙여넣기'!$A$1:$AZ$1001,ROW(),설정!$C$4)&amp;"","")</f>
        <v/>
      </c>
      <c r="C215">
        <f>IFERROR(INDEX('1.산군_붙여넣기'!$A$1:$AZ$1001,ROW(),설정!$C$5)&amp;"","")</f>
        <v/>
      </c>
      <c r="D215" s="5">
        <f>IFERROR(VALUE(SUBSTITUTE(SUBSTITUTE(SUBSTITUTE(IFERROR(INDEX('1.산군_붙여넣기'!$A$1:$AZ$1001,ROW(),설정!$C$6)&amp;"",""),",",""),"㎡",""),"m2","")),"")</f>
        <v/>
      </c>
      <c r="E215">
        <f>IFERROR(INDEX('1.산군_붙여넣기'!$A$1:$AZ$1001,ROW(),설정!$C$7)&amp;"","")</f>
        <v/>
      </c>
      <c r="F215">
        <f>IFERROR(INDEX('1.산군_붙여넣기'!$A$1:$AZ$1001,ROW(),설정!$C$8)&amp;"","")</f>
        <v/>
      </c>
      <c r="G215">
        <f>IFERROR(INDEX('1.산군_붙여넣기'!$A$1:$AZ$1001,ROW(),설정!$C$9)&amp;"","")</f>
        <v/>
      </c>
      <c r="H215">
        <f>IFERROR(INDEX('1.산군_붙여넣기'!$A$1:$AZ$1001,ROW(),설정!$C$10)&amp;"","")</f>
        <v/>
      </c>
      <c r="I215">
        <f>IFERROR(INDEX('1.산군_붙여넣기'!$A$1:$AZ$1001,ROW(),설정!$C$11)&amp;"","")</f>
        <v/>
      </c>
      <c r="J215">
        <f>IFERROR(INDEX('1.산군_붙여넣기'!$A$1:$AZ$1001,ROW(),설정!$C$12)&amp;"","")</f>
        <v/>
      </c>
      <c r="K215">
        <f>IFERROR(INDEX('1.산군_붙여넣기'!$A$1:$AZ$1001,ROW(),설정!$C$13)&amp;"","")</f>
        <v/>
      </c>
      <c r="L215" s="6">
        <f>IF(X215="","",IF(AND(LEN(X215)=8,ISNUMBER(X215*1)),DATE(LEFT(X215,4),MID(X215,5,2),RIGHT(X215,2)),IFERROR(DATEVALUE(SUBSTITUTE(SUBSTITUTE(X215,".","-"),"/","-")),IFERROR(X215*1,""))))</f>
        <v/>
      </c>
      <c r="M215" s="6">
        <f>IF(Y215="","",IF(AND(LEN(Y215)=8,ISNUMBER(Y215*1)),DATE(LEFT(Y215,4),MID(Y215,5,2),RIGHT(Y215,2)),IFERROR(DATEVALUE(SUBSTITUTE(SUBSTITUTE(Y215,".","-"),"/","-")),IFERROR(Y215*1,""))))</f>
        <v/>
      </c>
      <c r="N215">
        <f>IFERROR(LEFT(B215,FIND(" ",B215)-1),B215)</f>
        <v/>
      </c>
      <c r="O215">
        <f>AND(B215&lt;&gt;"",B215&lt;&gt;설정!$B$4,C215&lt;&gt;설정!$B$5)</f>
        <v/>
      </c>
      <c r="P215">
        <f>IF(O215,B215&amp;"|"&amp;C215,"")</f>
        <v/>
      </c>
      <c r="Q215">
        <f>AND(O215,COUNTIF(P216:P$1002,P215)=0)</f>
        <v/>
      </c>
      <c r="R215">
        <f>OR(AND(설정!$A$28&lt;&gt;"",ISNUMBER(SEARCH(설정!$A$28,E215&amp;" "&amp;C215))),AND(설정!$A$29&lt;&gt;"",ISNUMBER(SEARCH(설정!$A$29,E215&amp;" "&amp;C215))),AND(설정!$A$30&lt;&gt;"",ISNUMBER(SEARCH(설정!$A$30,E215&amp;" "&amp;C215))),AND(설정!$A$31&lt;&gt;"",ISNUMBER(SEARCH(설정!$A$31,E215&amp;" "&amp;C215))),AND(설정!$A$32&lt;&gt;"",ISNUMBER(SEARCH(설정!$A$32,E215&amp;" "&amp;C215))),AND(설정!$A$33&lt;&gt;"",ISNUMBER(SEARCH(설정!$A$33,E215&amp;" "&amp;C215))),AND(설정!$A$34&lt;&gt;"",ISNUMBER(SEARCH(설정!$A$34,E215&amp;" "&amp;C215))),AND(설정!$A$35&lt;&gt;"",ISNUMBER(SEARCH(설정!$A$35,E215&amp;" "&amp;C215))),AND(설정!$A$36&lt;&gt;"",ISNUMBER(SEARCH(설정!$A$36,E215&amp;" "&amp;C215))),AND(설정!$A$37&lt;&gt;"",ISNUMBER(SEARCH(설정!$A$37,E215&amp;" "&amp;C215))))</f>
        <v/>
      </c>
      <c r="S215">
        <f>OR(D215="",D215&gt;=설정!$B$19)</f>
        <v/>
      </c>
      <c r="T215">
        <f>AND(Q215,R215,S215)</f>
        <v/>
      </c>
      <c r="U215">
        <f>IF(T215,IF(AND(설정!$A$41&lt;&gt;"",ISNUMBER(SEARCH(설정!$A$41,K215))),설정!$B$41,IF(AND(설정!$A$42&lt;&gt;"",ISNUMBER(SEARCH(설정!$A$42,K215))),설정!$B$42,IF(AND(설정!$A$43&lt;&gt;"",ISNUMBER(SEARCH(설정!$A$43,K215))),설정!$B$43,IF(AND(설정!$A$44&lt;&gt;"",ISNUMBER(SEARCH(설정!$A$44,K215))),설정!$B$44,IF(AND(설정!$A$45&lt;&gt;"",ISNUMBER(SEARCH(설정!$A$45,K215))),설정!$B$45,IF(AND(설정!$A$46&lt;&gt;"",ISNUMBER(SEARCH(설정!$A$46,K215))),설정!$B$46,IF(AND(설정!$A$47&lt;&gt;"",ISNUMBER(SEARCH(설정!$A$47,K215))),설정!$B$47,IF(AND(설정!$A$48&lt;&gt;"",ISNUMBER(SEARCH(설정!$A$48,K215))),설정!$B$48,IF(M215="","설계사","시공사"))))))))),"")</f>
        <v/>
      </c>
      <c r="V215">
        <f>SUBSTITUTE(SUBSTITUTE(SUBSTITUTE(SUBSTITUTE(G215,"(주)",""),"㈜",""),"주식회사","")," ","")</f>
        <v/>
      </c>
      <c r="W215">
        <f>IF(AND(T215,V215&lt;&gt;""),IF(COUNTIFS(V$2:V215,V215,T$2:T215,TRUE)=1,MAX(W$1:W214)+1,""),"")</f>
        <v/>
      </c>
      <c r="X215">
        <f>IFERROR(INDEX('1.산군_붙여넣기'!$A$1:$AZ$1001,ROW(),설정!$C$14)&amp;"","")</f>
        <v/>
      </c>
      <c r="Y215">
        <f>IFERROR(INDEX('1.산군_붙여넣기'!$A$1:$AZ$1001,ROW(),설정!$C$15)&amp;"","")</f>
        <v/>
      </c>
      <c r="Z215">
        <f>IF(T215,V215&amp;"|"&amp;U215,"")</f>
        <v/>
      </c>
    </row>
    <row r="216">
      <c r="A216">
        <f>ROW()</f>
        <v/>
      </c>
      <c r="B216">
        <f>IFERROR(INDEX('1.산군_붙여넣기'!$A$1:$AZ$1001,ROW(),설정!$C$4)&amp;"","")</f>
        <v/>
      </c>
      <c r="C216">
        <f>IFERROR(INDEX('1.산군_붙여넣기'!$A$1:$AZ$1001,ROW(),설정!$C$5)&amp;"","")</f>
        <v/>
      </c>
      <c r="D216" s="5">
        <f>IFERROR(VALUE(SUBSTITUTE(SUBSTITUTE(SUBSTITUTE(IFERROR(INDEX('1.산군_붙여넣기'!$A$1:$AZ$1001,ROW(),설정!$C$6)&amp;"",""),",",""),"㎡",""),"m2","")),"")</f>
        <v/>
      </c>
      <c r="E216">
        <f>IFERROR(INDEX('1.산군_붙여넣기'!$A$1:$AZ$1001,ROW(),설정!$C$7)&amp;"","")</f>
        <v/>
      </c>
      <c r="F216">
        <f>IFERROR(INDEX('1.산군_붙여넣기'!$A$1:$AZ$1001,ROW(),설정!$C$8)&amp;"","")</f>
        <v/>
      </c>
      <c r="G216">
        <f>IFERROR(INDEX('1.산군_붙여넣기'!$A$1:$AZ$1001,ROW(),설정!$C$9)&amp;"","")</f>
        <v/>
      </c>
      <c r="H216">
        <f>IFERROR(INDEX('1.산군_붙여넣기'!$A$1:$AZ$1001,ROW(),설정!$C$10)&amp;"","")</f>
        <v/>
      </c>
      <c r="I216">
        <f>IFERROR(INDEX('1.산군_붙여넣기'!$A$1:$AZ$1001,ROW(),설정!$C$11)&amp;"","")</f>
        <v/>
      </c>
      <c r="J216">
        <f>IFERROR(INDEX('1.산군_붙여넣기'!$A$1:$AZ$1001,ROW(),설정!$C$12)&amp;"","")</f>
        <v/>
      </c>
      <c r="K216">
        <f>IFERROR(INDEX('1.산군_붙여넣기'!$A$1:$AZ$1001,ROW(),설정!$C$13)&amp;"","")</f>
        <v/>
      </c>
      <c r="L216" s="6">
        <f>IF(X216="","",IF(AND(LEN(X216)=8,ISNUMBER(X216*1)),DATE(LEFT(X216,4),MID(X216,5,2),RIGHT(X216,2)),IFERROR(DATEVALUE(SUBSTITUTE(SUBSTITUTE(X216,".","-"),"/","-")),IFERROR(X216*1,""))))</f>
        <v/>
      </c>
      <c r="M216" s="6">
        <f>IF(Y216="","",IF(AND(LEN(Y216)=8,ISNUMBER(Y216*1)),DATE(LEFT(Y216,4),MID(Y216,5,2),RIGHT(Y216,2)),IFERROR(DATEVALUE(SUBSTITUTE(SUBSTITUTE(Y216,".","-"),"/","-")),IFERROR(Y216*1,""))))</f>
        <v/>
      </c>
      <c r="N216">
        <f>IFERROR(LEFT(B216,FIND(" ",B216)-1),B216)</f>
        <v/>
      </c>
      <c r="O216">
        <f>AND(B216&lt;&gt;"",B216&lt;&gt;설정!$B$4,C216&lt;&gt;설정!$B$5)</f>
        <v/>
      </c>
      <c r="P216">
        <f>IF(O216,B216&amp;"|"&amp;C216,"")</f>
        <v/>
      </c>
      <c r="Q216">
        <f>AND(O216,COUNTIF(P217:P$1002,P216)=0)</f>
        <v/>
      </c>
      <c r="R216">
        <f>OR(AND(설정!$A$28&lt;&gt;"",ISNUMBER(SEARCH(설정!$A$28,E216&amp;" "&amp;C216))),AND(설정!$A$29&lt;&gt;"",ISNUMBER(SEARCH(설정!$A$29,E216&amp;" "&amp;C216))),AND(설정!$A$30&lt;&gt;"",ISNUMBER(SEARCH(설정!$A$30,E216&amp;" "&amp;C216))),AND(설정!$A$31&lt;&gt;"",ISNUMBER(SEARCH(설정!$A$31,E216&amp;" "&amp;C216))),AND(설정!$A$32&lt;&gt;"",ISNUMBER(SEARCH(설정!$A$32,E216&amp;" "&amp;C216))),AND(설정!$A$33&lt;&gt;"",ISNUMBER(SEARCH(설정!$A$33,E216&amp;" "&amp;C216))),AND(설정!$A$34&lt;&gt;"",ISNUMBER(SEARCH(설정!$A$34,E216&amp;" "&amp;C216))),AND(설정!$A$35&lt;&gt;"",ISNUMBER(SEARCH(설정!$A$35,E216&amp;" "&amp;C216))),AND(설정!$A$36&lt;&gt;"",ISNUMBER(SEARCH(설정!$A$36,E216&amp;" "&amp;C216))),AND(설정!$A$37&lt;&gt;"",ISNUMBER(SEARCH(설정!$A$37,E216&amp;" "&amp;C216))))</f>
        <v/>
      </c>
      <c r="S216">
        <f>OR(D216="",D216&gt;=설정!$B$19)</f>
        <v/>
      </c>
      <c r="T216">
        <f>AND(Q216,R216,S216)</f>
        <v/>
      </c>
      <c r="U216">
        <f>IF(T216,IF(AND(설정!$A$41&lt;&gt;"",ISNUMBER(SEARCH(설정!$A$41,K216))),설정!$B$41,IF(AND(설정!$A$42&lt;&gt;"",ISNUMBER(SEARCH(설정!$A$42,K216))),설정!$B$42,IF(AND(설정!$A$43&lt;&gt;"",ISNUMBER(SEARCH(설정!$A$43,K216))),설정!$B$43,IF(AND(설정!$A$44&lt;&gt;"",ISNUMBER(SEARCH(설정!$A$44,K216))),설정!$B$44,IF(AND(설정!$A$45&lt;&gt;"",ISNUMBER(SEARCH(설정!$A$45,K216))),설정!$B$45,IF(AND(설정!$A$46&lt;&gt;"",ISNUMBER(SEARCH(설정!$A$46,K216))),설정!$B$46,IF(AND(설정!$A$47&lt;&gt;"",ISNUMBER(SEARCH(설정!$A$47,K216))),설정!$B$47,IF(AND(설정!$A$48&lt;&gt;"",ISNUMBER(SEARCH(설정!$A$48,K216))),설정!$B$48,IF(M216="","설계사","시공사"))))))))),"")</f>
        <v/>
      </c>
      <c r="V216">
        <f>SUBSTITUTE(SUBSTITUTE(SUBSTITUTE(SUBSTITUTE(G216,"(주)",""),"㈜",""),"주식회사","")," ","")</f>
        <v/>
      </c>
      <c r="W216">
        <f>IF(AND(T216,V216&lt;&gt;""),IF(COUNTIFS(V$2:V216,V216,T$2:T216,TRUE)=1,MAX(W$1:W215)+1,""),"")</f>
        <v/>
      </c>
      <c r="X216">
        <f>IFERROR(INDEX('1.산군_붙여넣기'!$A$1:$AZ$1001,ROW(),설정!$C$14)&amp;"","")</f>
        <v/>
      </c>
      <c r="Y216">
        <f>IFERROR(INDEX('1.산군_붙여넣기'!$A$1:$AZ$1001,ROW(),설정!$C$15)&amp;"","")</f>
        <v/>
      </c>
      <c r="Z216">
        <f>IF(T216,V216&amp;"|"&amp;U216,"")</f>
        <v/>
      </c>
    </row>
    <row r="217">
      <c r="A217">
        <f>ROW()</f>
        <v/>
      </c>
      <c r="B217">
        <f>IFERROR(INDEX('1.산군_붙여넣기'!$A$1:$AZ$1001,ROW(),설정!$C$4)&amp;"","")</f>
        <v/>
      </c>
      <c r="C217">
        <f>IFERROR(INDEX('1.산군_붙여넣기'!$A$1:$AZ$1001,ROW(),설정!$C$5)&amp;"","")</f>
        <v/>
      </c>
      <c r="D217" s="5">
        <f>IFERROR(VALUE(SUBSTITUTE(SUBSTITUTE(SUBSTITUTE(IFERROR(INDEX('1.산군_붙여넣기'!$A$1:$AZ$1001,ROW(),설정!$C$6)&amp;"",""),",",""),"㎡",""),"m2","")),"")</f>
        <v/>
      </c>
      <c r="E217">
        <f>IFERROR(INDEX('1.산군_붙여넣기'!$A$1:$AZ$1001,ROW(),설정!$C$7)&amp;"","")</f>
        <v/>
      </c>
      <c r="F217">
        <f>IFERROR(INDEX('1.산군_붙여넣기'!$A$1:$AZ$1001,ROW(),설정!$C$8)&amp;"","")</f>
        <v/>
      </c>
      <c r="G217">
        <f>IFERROR(INDEX('1.산군_붙여넣기'!$A$1:$AZ$1001,ROW(),설정!$C$9)&amp;"","")</f>
        <v/>
      </c>
      <c r="H217">
        <f>IFERROR(INDEX('1.산군_붙여넣기'!$A$1:$AZ$1001,ROW(),설정!$C$10)&amp;"","")</f>
        <v/>
      </c>
      <c r="I217">
        <f>IFERROR(INDEX('1.산군_붙여넣기'!$A$1:$AZ$1001,ROW(),설정!$C$11)&amp;"","")</f>
        <v/>
      </c>
      <c r="J217">
        <f>IFERROR(INDEX('1.산군_붙여넣기'!$A$1:$AZ$1001,ROW(),설정!$C$12)&amp;"","")</f>
        <v/>
      </c>
      <c r="K217">
        <f>IFERROR(INDEX('1.산군_붙여넣기'!$A$1:$AZ$1001,ROW(),설정!$C$13)&amp;"","")</f>
        <v/>
      </c>
      <c r="L217" s="6">
        <f>IF(X217="","",IF(AND(LEN(X217)=8,ISNUMBER(X217*1)),DATE(LEFT(X217,4),MID(X217,5,2),RIGHT(X217,2)),IFERROR(DATEVALUE(SUBSTITUTE(SUBSTITUTE(X217,".","-"),"/","-")),IFERROR(X217*1,""))))</f>
        <v/>
      </c>
      <c r="M217" s="6">
        <f>IF(Y217="","",IF(AND(LEN(Y217)=8,ISNUMBER(Y217*1)),DATE(LEFT(Y217,4),MID(Y217,5,2),RIGHT(Y217,2)),IFERROR(DATEVALUE(SUBSTITUTE(SUBSTITUTE(Y217,".","-"),"/","-")),IFERROR(Y217*1,""))))</f>
        <v/>
      </c>
      <c r="N217">
        <f>IFERROR(LEFT(B217,FIND(" ",B217)-1),B217)</f>
        <v/>
      </c>
      <c r="O217">
        <f>AND(B217&lt;&gt;"",B217&lt;&gt;설정!$B$4,C217&lt;&gt;설정!$B$5)</f>
        <v/>
      </c>
      <c r="P217">
        <f>IF(O217,B217&amp;"|"&amp;C217,"")</f>
        <v/>
      </c>
      <c r="Q217">
        <f>AND(O217,COUNTIF(P218:P$1002,P217)=0)</f>
        <v/>
      </c>
      <c r="R217">
        <f>OR(AND(설정!$A$28&lt;&gt;"",ISNUMBER(SEARCH(설정!$A$28,E217&amp;" "&amp;C217))),AND(설정!$A$29&lt;&gt;"",ISNUMBER(SEARCH(설정!$A$29,E217&amp;" "&amp;C217))),AND(설정!$A$30&lt;&gt;"",ISNUMBER(SEARCH(설정!$A$30,E217&amp;" "&amp;C217))),AND(설정!$A$31&lt;&gt;"",ISNUMBER(SEARCH(설정!$A$31,E217&amp;" "&amp;C217))),AND(설정!$A$32&lt;&gt;"",ISNUMBER(SEARCH(설정!$A$32,E217&amp;" "&amp;C217))),AND(설정!$A$33&lt;&gt;"",ISNUMBER(SEARCH(설정!$A$33,E217&amp;" "&amp;C217))),AND(설정!$A$34&lt;&gt;"",ISNUMBER(SEARCH(설정!$A$34,E217&amp;" "&amp;C217))),AND(설정!$A$35&lt;&gt;"",ISNUMBER(SEARCH(설정!$A$35,E217&amp;" "&amp;C217))),AND(설정!$A$36&lt;&gt;"",ISNUMBER(SEARCH(설정!$A$36,E217&amp;" "&amp;C217))),AND(설정!$A$37&lt;&gt;"",ISNUMBER(SEARCH(설정!$A$37,E217&amp;" "&amp;C217))))</f>
        <v/>
      </c>
      <c r="S217">
        <f>OR(D217="",D217&gt;=설정!$B$19)</f>
        <v/>
      </c>
      <c r="T217">
        <f>AND(Q217,R217,S217)</f>
        <v/>
      </c>
      <c r="U217">
        <f>IF(T217,IF(AND(설정!$A$41&lt;&gt;"",ISNUMBER(SEARCH(설정!$A$41,K217))),설정!$B$41,IF(AND(설정!$A$42&lt;&gt;"",ISNUMBER(SEARCH(설정!$A$42,K217))),설정!$B$42,IF(AND(설정!$A$43&lt;&gt;"",ISNUMBER(SEARCH(설정!$A$43,K217))),설정!$B$43,IF(AND(설정!$A$44&lt;&gt;"",ISNUMBER(SEARCH(설정!$A$44,K217))),설정!$B$44,IF(AND(설정!$A$45&lt;&gt;"",ISNUMBER(SEARCH(설정!$A$45,K217))),설정!$B$45,IF(AND(설정!$A$46&lt;&gt;"",ISNUMBER(SEARCH(설정!$A$46,K217))),설정!$B$46,IF(AND(설정!$A$47&lt;&gt;"",ISNUMBER(SEARCH(설정!$A$47,K217))),설정!$B$47,IF(AND(설정!$A$48&lt;&gt;"",ISNUMBER(SEARCH(설정!$A$48,K217))),설정!$B$48,IF(M217="","설계사","시공사"))))))))),"")</f>
        <v/>
      </c>
      <c r="V217">
        <f>SUBSTITUTE(SUBSTITUTE(SUBSTITUTE(SUBSTITUTE(G217,"(주)",""),"㈜",""),"주식회사","")," ","")</f>
        <v/>
      </c>
      <c r="W217">
        <f>IF(AND(T217,V217&lt;&gt;""),IF(COUNTIFS(V$2:V217,V217,T$2:T217,TRUE)=1,MAX(W$1:W216)+1,""),"")</f>
        <v/>
      </c>
      <c r="X217">
        <f>IFERROR(INDEX('1.산군_붙여넣기'!$A$1:$AZ$1001,ROW(),설정!$C$14)&amp;"","")</f>
        <v/>
      </c>
      <c r="Y217">
        <f>IFERROR(INDEX('1.산군_붙여넣기'!$A$1:$AZ$1001,ROW(),설정!$C$15)&amp;"","")</f>
        <v/>
      </c>
      <c r="Z217">
        <f>IF(T217,V217&amp;"|"&amp;U217,"")</f>
        <v/>
      </c>
    </row>
    <row r="218">
      <c r="A218">
        <f>ROW()</f>
        <v/>
      </c>
      <c r="B218">
        <f>IFERROR(INDEX('1.산군_붙여넣기'!$A$1:$AZ$1001,ROW(),설정!$C$4)&amp;"","")</f>
        <v/>
      </c>
      <c r="C218">
        <f>IFERROR(INDEX('1.산군_붙여넣기'!$A$1:$AZ$1001,ROW(),설정!$C$5)&amp;"","")</f>
        <v/>
      </c>
      <c r="D218" s="5">
        <f>IFERROR(VALUE(SUBSTITUTE(SUBSTITUTE(SUBSTITUTE(IFERROR(INDEX('1.산군_붙여넣기'!$A$1:$AZ$1001,ROW(),설정!$C$6)&amp;"",""),",",""),"㎡",""),"m2","")),"")</f>
        <v/>
      </c>
      <c r="E218">
        <f>IFERROR(INDEX('1.산군_붙여넣기'!$A$1:$AZ$1001,ROW(),설정!$C$7)&amp;"","")</f>
        <v/>
      </c>
      <c r="F218">
        <f>IFERROR(INDEX('1.산군_붙여넣기'!$A$1:$AZ$1001,ROW(),설정!$C$8)&amp;"","")</f>
        <v/>
      </c>
      <c r="G218">
        <f>IFERROR(INDEX('1.산군_붙여넣기'!$A$1:$AZ$1001,ROW(),설정!$C$9)&amp;"","")</f>
        <v/>
      </c>
      <c r="H218">
        <f>IFERROR(INDEX('1.산군_붙여넣기'!$A$1:$AZ$1001,ROW(),설정!$C$10)&amp;"","")</f>
        <v/>
      </c>
      <c r="I218">
        <f>IFERROR(INDEX('1.산군_붙여넣기'!$A$1:$AZ$1001,ROW(),설정!$C$11)&amp;"","")</f>
        <v/>
      </c>
      <c r="J218">
        <f>IFERROR(INDEX('1.산군_붙여넣기'!$A$1:$AZ$1001,ROW(),설정!$C$12)&amp;"","")</f>
        <v/>
      </c>
      <c r="K218">
        <f>IFERROR(INDEX('1.산군_붙여넣기'!$A$1:$AZ$1001,ROW(),설정!$C$13)&amp;"","")</f>
        <v/>
      </c>
      <c r="L218" s="6">
        <f>IF(X218="","",IF(AND(LEN(X218)=8,ISNUMBER(X218*1)),DATE(LEFT(X218,4),MID(X218,5,2),RIGHT(X218,2)),IFERROR(DATEVALUE(SUBSTITUTE(SUBSTITUTE(X218,".","-"),"/","-")),IFERROR(X218*1,""))))</f>
        <v/>
      </c>
      <c r="M218" s="6">
        <f>IF(Y218="","",IF(AND(LEN(Y218)=8,ISNUMBER(Y218*1)),DATE(LEFT(Y218,4),MID(Y218,5,2),RIGHT(Y218,2)),IFERROR(DATEVALUE(SUBSTITUTE(SUBSTITUTE(Y218,".","-"),"/","-")),IFERROR(Y218*1,""))))</f>
        <v/>
      </c>
      <c r="N218">
        <f>IFERROR(LEFT(B218,FIND(" ",B218)-1),B218)</f>
        <v/>
      </c>
      <c r="O218">
        <f>AND(B218&lt;&gt;"",B218&lt;&gt;설정!$B$4,C218&lt;&gt;설정!$B$5)</f>
        <v/>
      </c>
      <c r="P218">
        <f>IF(O218,B218&amp;"|"&amp;C218,"")</f>
        <v/>
      </c>
      <c r="Q218">
        <f>AND(O218,COUNTIF(P219:P$1002,P218)=0)</f>
        <v/>
      </c>
      <c r="R218">
        <f>OR(AND(설정!$A$28&lt;&gt;"",ISNUMBER(SEARCH(설정!$A$28,E218&amp;" "&amp;C218))),AND(설정!$A$29&lt;&gt;"",ISNUMBER(SEARCH(설정!$A$29,E218&amp;" "&amp;C218))),AND(설정!$A$30&lt;&gt;"",ISNUMBER(SEARCH(설정!$A$30,E218&amp;" "&amp;C218))),AND(설정!$A$31&lt;&gt;"",ISNUMBER(SEARCH(설정!$A$31,E218&amp;" "&amp;C218))),AND(설정!$A$32&lt;&gt;"",ISNUMBER(SEARCH(설정!$A$32,E218&amp;" "&amp;C218))),AND(설정!$A$33&lt;&gt;"",ISNUMBER(SEARCH(설정!$A$33,E218&amp;" "&amp;C218))),AND(설정!$A$34&lt;&gt;"",ISNUMBER(SEARCH(설정!$A$34,E218&amp;" "&amp;C218))),AND(설정!$A$35&lt;&gt;"",ISNUMBER(SEARCH(설정!$A$35,E218&amp;" "&amp;C218))),AND(설정!$A$36&lt;&gt;"",ISNUMBER(SEARCH(설정!$A$36,E218&amp;" "&amp;C218))),AND(설정!$A$37&lt;&gt;"",ISNUMBER(SEARCH(설정!$A$37,E218&amp;" "&amp;C218))))</f>
        <v/>
      </c>
      <c r="S218">
        <f>OR(D218="",D218&gt;=설정!$B$19)</f>
        <v/>
      </c>
      <c r="T218">
        <f>AND(Q218,R218,S218)</f>
        <v/>
      </c>
      <c r="U218">
        <f>IF(T218,IF(AND(설정!$A$41&lt;&gt;"",ISNUMBER(SEARCH(설정!$A$41,K218))),설정!$B$41,IF(AND(설정!$A$42&lt;&gt;"",ISNUMBER(SEARCH(설정!$A$42,K218))),설정!$B$42,IF(AND(설정!$A$43&lt;&gt;"",ISNUMBER(SEARCH(설정!$A$43,K218))),설정!$B$43,IF(AND(설정!$A$44&lt;&gt;"",ISNUMBER(SEARCH(설정!$A$44,K218))),설정!$B$44,IF(AND(설정!$A$45&lt;&gt;"",ISNUMBER(SEARCH(설정!$A$45,K218))),설정!$B$45,IF(AND(설정!$A$46&lt;&gt;"",ISNUMBER(SEARCH(설정!$A$46,K218))),설정!$B$46,IF(AND(설정!$A$47&lt;&gt;"",ISNUMBER(SEARCH(설정!$A$47,K218))),설정!$B$47,IF(AND(설정!$A$48&lt;&gt;"",ISNUMBER(SEARCH(설정!$A$48,K218))),설정!$B$48,IF(M218="","설계사","시공사"))))))))),"")</f>
        <v/>
      </c>
      <c r="V218">
        <f>SUBSTITUTE(SUBSTITUTE(SUBSTITUTE(SUBSTITUTE(G218,"(주)",""),"㈜",""),"주식회사","")," ","")</f>
        <v/>
      </c>
      <c r="W218">
        <f>IF(AND(T218,V218&lt;&gt;""),IF(COUNTIFS(V$2:V218,V218,T$2:T218,TRUE)=1,MAX(W$1:W217)+1,""),"")</f>
        <v/>
      </c>
      <c r="X218">
        <f>IFERROR(INDEX('1.산군_붙여넣기'!$A$1:$AZ$1001,ROW(),설정!$C$14)&amp;"","")</f>
        <v/>
      </c>
      <c r="Y218">
        <f>IFERROR(INDEX('1.산군_붙여넣기'!$A$1:$AZ$1001,ROW(),설정!$C$15)&amp;"","")</f>
        <v/>
      </c>
      <c r="Z218">
        <f>IF(T218,V218&amp;"|"&amp;U218,"")</f>
        <v/>
      </c>
    </row>
    <row r="219">
      <c r="A219">
        <f>ROW()</f>
        <v/>
      </c>
      <c r="B219">
        <f>IFERROR(INDEX('1.산군_붙여넣기'!$A$1:$AZ$1001,ROW(),설정!$C$4)&amp;"","")</f>
        <v/>
      </c>
      <c r="C219">
        <f>IFERROR(INDEX('1.산군_붙여넣기'!$A$1:$AZ$1001,ROW(),설정!$C$5)&amp;"","")</f>
        <v/>
      </c>
      <c r="D219" s="5">
        <f>IFERROR(VALUE(SUBSTITUTE(SUBSTITUTE(SUBSTITUTE(IFERROR(INDEX('1.산군_붙여넣기'!$A$1:$AZ$1001,ROW(),설정!$C$6)&amp;"",""),",",""),"㎡",""),"m2","")),"")</f>
        <v/>
      </c>
      <c r="E219">
        <f>IFERROR(INDEX('1.산군_붙여넣기'!$A$1:$AZ$1001,ROW(),설정!$C$7)&amp;"","")</f>
        <v/>
      </c>
      <c r="F219">
        <f>IFERROR(INDEX('1.산군_붙여넣기'!$A$1:$AZ$1001,ROW(),설정!$C$8)&amp;"","")</f>
        <v/>
      </c>
      <c r="G219">
        <f>IFERROR(INDEX('1.산군_붙여넣기'!$A$1:$AZ$1001,ROW(),설정!$C$9)&amp;"","")</f>
        <v/>
      </c>
      <c r="H219">
        <f>IFERROR(INDEX('1.산군_붙여넣기'!$A$1:$AZ$1001,ROW(),설정!$C$10)&amp;"","")</f>
        <v/>
      </c>
      <c r="I219">
        <f>IFERROR(INDEX('1.산군_붙여넣기'!$A$1:$AZ$1001,ROW(),설정!$C$11)&amp;"","")</f>
        <v/>
      </c>
      <c r="J219">
        <f>IFERROR(INDEX('1.산군_붙여넣기'!$A$1:$AZ$1001,ROW(),설정!$C$12)&amp;"","")</f>
        <v/>
      </c>
      <c r="K219">
        <f>IFERROR(INDEX('1.산군_붙여넣기'!$A$1:$AZ$1001,ROW(),설정!$C$13)&amp;"","")</f>
        <v/>
      </c>
      <c r="L219" s="6">
        <f>IF(X219="","",IF(AND(LEN(X219)=8,ISNUMBER(X219*1)),DATE(LEFT(X219,4),MID(X219,5,2),RIGHT(X219,2)),IFERROR(DATEVALUE(SUBSTITUTE(SUBSTITUTE(X219,".","-"),"/","-")),IFERROR(X219*1,""))))</f>
        <v/>
      </c>
      <c r="M219" s="6">
        <f>IF(Y219="","",IF(AND(LEN(Y219)=8,ISNUMBER(Y219*1)),DATE(LEFT(Y219,4),MID(Y219,5,2),RIGHT(Y219,2)),IFERROR(DATEVALUE(SUBSTITUTE(SUBSTITUTE(Y219,".","-"),"/","-")),IFERROR(Y219*1,""))))</f>
        <v/>
      </c>
      <c r="N219">
        <f>IFERROR(LEFT(B219,FIND(" ",B219)-1),B219)</f>
        <v/>
      </c>
      <c r="O219">
        <f>AND(B219&lt;&gt;"",B219&lt;&gt;설정!$B$4,C219&lt;&gt;설정!$B$5)</f>
        <v/>
      </c>
      <c r="P219">
        <f>IF(O219,B219&amp;"|"&amp;C219,"")</f>
        <v/>
      </c>
      <c r="Q219">
        <f>AND(O219,COUNTIF(P220:P$1002,P219)=0)</f>
        <v/>
      </c>
      <c r="R219">
        <f>OR(AND(설정!$A$28&lt;&gt;"",ISNUMBER(SEARCH(설정!$A$28,E219&amp;" "&amp;C219))),AND(설정!$A$29&lt;&gt;"",ISNUMBER(SEARCH(설정!$A$29,E219&amp;" "&amp;C219))),AND(설정!$A$30&lt;&gt;"",ISNUMBER(SEARCH(설정!$A$30,E219&amp;" "&amp;C219))),AND(설정!$A$31&lt;&gt;"",ISNUMBER(SEARCH(설정!$A$31,E219&amp;" "&amp;C219))),AND(설정!$A$32&lt;&gt;"",ISNUMBER(SEARCH(설정!$A$32,E219&amp;" "&amp;C219))),AND(설정!$A$33&lt;&gt;"",ISNUMBER(SEARCH(설정!$A$33,E219&amp;" "&amp;C219))),AND(설정!$A$34&lt;&gt;"",ISNUMBER(SEARCH(설정!$A$34,E219&amp;" "&amp;C219))),AND(설정!$A$35&lt;&gt;"",ISNUMBER(SEARCH(설정!$A$35,E219&amp;" "&amp;C219))),AND(설정!$A$36&lt;&gt;"",ISNUMBER(SEARCH(설정!$A$36,E219&amp;" "&amp;C219))),AND(설정!$A$37&lt;&gt;"",ISNUMBER(SEARCH(설정!$A$37,E219&amp;" "&amp;C219))))</f>
        <v/>
      </c>
      <c r="S219">
        <f>OR(D219="",D219&gt;=설정!$B$19)</f>
        <v/>
      </c>
      <c r="T219">
        <f>AND(Q219,R219,S219)</f>
        <v/>
      </c>
      <c r="U219">
        <f>IF(T219,IF(AND(설정!$A$41&lt;&gt;"",ISNUMBER(SEARCH(설정!$A$41,K219))),설정!$B$41,IF(AND(설정!$A$42&lt;&gt;"",ISNUMBER(SEARCH(설정!$A$42,K219))),설정!$B$42,IF(AND(설정!$A$43&lt;&gt;"",ISNUMBER(SEARCH(설정!$A$43,K219))),설정!$B$43,IF(AND(설정!$A$44&lt;&gt;"",ISNUMBER(SEARCH(설정!$A$44,K219))),설정!$B$44,IF(AND(설정!$A$45&lt;&gt;"",ISNUMBER(SEARCH(설정!$A$45,K219))),설정!$B$45,IF(AND(설정!$A$46&lt;&gt;"",ISNUMBER(SEARCH(설정!$A$46,K219))),설정!$B$46,IF(AND(설정!$A$47&lt;&gt;"",ISNUMBER(SEARCH(설정!$A$47,K219))),설정!$B$47,IF(AND(설정!$A$48&lt;&gt;"",ISNUMBER(SEARCH(설정!$A$48,K219))),설정!$B$48,IF(M219="","설계사","시공사"))))))))),"")</f>
        <v/>
      </c>
      <c r="V219">
        <f>SUBSTITUTE(SUBSTITUTE(SUBSTITUTE(SUBSTITUTE(G219,"(주)",""),"㈜",""),"주식회사","")," ","")</f>
        <v/>
      </c>
      <c r="W219">
        <f>IF(AND(T219,V219&lt;&gt;""),IF(COUNTIFS(V$2:V219,V219,T$2:T219,TRUE)=1,MAX(W$1:W218)+1,""),"")</f>
        <v/>
      </c>
      <c r="X219">
        <f>IFERROR(INDEX('1.산군_붙여넣기'!$A$1:$AZ$1001,ROW(),설정!$C$14)&amp;"","")</f>
        <v/>
      </c>
      <c r="Y219">
        <f>IFERROR(INDEX('1.산군_붙여넣기'!$A$1:$AZ$1001,ROW(),설정!$C$15)&amp;"","")</f>
        <v/>
      </c>
      <c r="Z219">
        <f>IF(T219,V219&amp;"|"&amp;U219,"")</f>
        <v/>
      </c>
    </row>
    <row r="220">
      <c r="A220">
        <f>ROW()</f>
        <v/>
      </c>
      <c r="B220">
        <f>IFERROR(INDEX('1.산군_붙여넣기'!$A$1:$AZ$1001,ROW(),설정!$C$4)&amp;"","")</f>
        <v/>
      </c>
      <c r="C220">
        <f>IFERROR(INDEX('1.산군_붙여넣기'!$A$1:$AZ$1001,ROW(),설정!$C$5)&amp;"","")</f>
        <v/>
      </c>
      <c r="D220" s="5">
        <f>IFERROR(VALUE(SUBSTITUTE(SUBSTITUTE(SUBSTITUTE(IFERROR(INDEX('1.산군_붙여넣기'!$A$1:$AZ$1001,ROW(),설정!$C$6)&amp;"",""),",",""),"㎡",""),"m2","")),"")</f>
        <v/>
      </c>
      <c r="E220">
        <f>IFERROR(INDEX('1.산군_붙여넣기'!$A$1:$AZ$1001,ROW(),설정!$C$7)&amp;"","")</f>
        <v/>
      </c>
      <c r="F220">
        <f>IFERROR(INDEX('1.산군_붙여넣기'!$A$1:$AZ$1001,ROW(),설정!$C$8)&amp;"","")</f>
        <v/>
      </c>
      <c r="G220">
        <f>IFERROR(INDEX('1.산군_붙여넣기'!$A$1:$AZ$1001,ROW(),설정!$C$9)&amp;"","")</f>
        <v/>
      </c>
      <c r="H220">
        <f>IFERROR(INDEX('1.산군_붙여넣기'!$A$1:$AZ$1001,ROW(),설정!$C$10)&amp;"","")</f>
        <v/>
      </c>
      <c r="I220">
        <f>IFERROR(INDEX('1.산군_붙여넣기'!$A$1:$AZ$1001,ROW(),설정!$C$11)&amp;"","")</f>
        <v/>
      </c>
      <c r="J220">
        <f>IFERROR(INDEX('1.산군_붙여넣기'!$A$1:$AZ$1001,ROW(),설정!$C$12)&amp;"","")</f>
        <v/>
      </c>
      <c r="K220">
        <f>IFERROR(INDEX('1.산군_붙여넣기'!$A$1:$AZ$1001,ROW(),설정!$C$13)&amp;"","")</f>
        <v/>
      </c>
      <c r="L220" s="6">
        <f>IF(X220="","",IF(AND(LEN(X220)=8,ISNUMBER(X220*1)),DATE(LEFT(X220,4),MID(X220,5,2),RIGHT(X220,2)),IFERROR(DATEVALUE(SUBSTITUTE(SUBSTITUTE(X220,".","-"),"/","-")),IFERROR(X220*1,""))))</f>
        <v/>
      </c>
      <c r="M220" s="6">
        <f>IF(Y220="","",IF(AND(LEN(Y220)=8,ISNUMBER(Y220*1)),DATE(LEFT(Y220,4),MID(Y220,5,2),RIGHT(Y220,2)),IFERROR(DATEVALUE(SUBSTITUTE(SUBSTITUTE(Y220,".","-"),"/","-")),IFERROR(Y220*1,""))))</f>
        <v/>
      </c>
      <c r="N220">
        <f>IFERROR(LEFT(B220,FIND(" ",B220)-1),B220)</f>
        <v/>
      </c>
      <c r="O220">
        <f>AND(B220&lt;&gt;"",B220&lt;&gt;설정!$B$4,C220&lt;&gt;설정!$B$5)</f>
        <v/>
      </c>
      <c r="P220">
        <f>IF(O220,B220&amp;"|"&amp;C220,"")</f>
        <v/>
      </c>
      <c r="Q220">
        <f>AND(O220,COUNTIF(P221:P$1002,P220)=0)</f>
        <v/>
      </c>
      <c r="R220">
        <f>OR(AND(설정!$A$28&lt;&gt;"",ISNUMBER(SEARCH(설정!$A$28,E220&amp;" "&amp;C220))),AND(설정!$A$29&lt;&gt;"",ISNUMBER(SEARCH(설정!$A$29,E220&amp;" "&amp;C220))),AND(설정!$A$30&lt;&gt;"",ISNUMBER(SEARCH(설정!$A$30,E220&amp;" "&amp;C220))),AND(설정!$A$31&lt;&gt;"",ISNUMBER(SEARCH(설정!$A$31,E220&amp;" "&amp;C220))),AND(설정!$A$32&lt;&gt;"",ISNUMBER(SEARCH(설정!$A$32,E220&amp;" "&amp;C220))),AND(설정!$A$33&lt;&gt;"",ISNUMBER(SEARCH(설정!$A$33,E220&amp;" "&amp;C220))),AND(설정!$A$34&lt;&gt;"",ISNUMBER(SEARCH(설정!$A$34,E220&amp;" "&amp;C220))),AND(설정!$A$35&lt;&gt;"",ISNUMBER(SEARCH(설정!$A$35,E220&amp;" "&amp;C220))),AND(설정!$A$36&lt;&gt;"",ISNUMBER(SEARCH(설정!$A$36,E220&amp;" "&amp;C220))),AND(설정!$A$37&lt;&gt;"",ISNUMBER(SEARCH(설정!$A$37,E220&amp;" "&amp;C220))))</f>
        <v/>
      </c>
      <c r="S220">
        <f>OR(D220="",D220&gt;=설정!$B$19)</f>
        <v/>
      </c>
      <c r="T220">
        <f>AND(Q220,R220,S220)</f>
        <v/>
      </c>
      <c r="U220">
        <f>IF(T220,IF(AND(설정!$A$41&lt;&gt;"",ISNUMBER(SEARCH(설정!$A$41,K220))),설정!$B$41,IF(AND(설정!$A$42&lt;&gt;"",ISNUMBER(SEARCH(설정!$A$42,K220))),설정!$B$42,IF(AND(설정!$A$43&lt;&gt;"",ISNUMBER(SEARCH(설정!$A$43,K220))),설정!$B$43,IF(AND(설정!$A$44&lt;&gt;"",ISNUMBER(SEARCH(설정!$A$44,K220))),설정!$B$44,IF(AND(설정!$A$45&lt;&gt;"",ISNUMBER(SEARCH(설정!$A$45,K220))),설정!$B$45,IF(AND(설정!$A$46&lt;&gt;"",ISNUMBER(SEARCH(설정!$A$46,K220))),설정!$B$46,IF(AND(설정!$A$47&lt;&gt;"",ISNUMBER(SEARCH(설정!$A$47,K220))),설정!$B$47,IF(AND(설정!$A$48&lt;&gt;"",ISNUMBER(SEARCH(설정!$A$48,K220))),설정!$B$48,IF(M220="","설계사","시공사"))))))))),"")</f>
        <v/>
      </c>
      <c r="V220">
        <f>SUBSTITUTE(SUBSTITUTE(SUBSTITUTE(SUBSTITUTE(G220,"(주)",""),"㈜",""),"주식회사","")," ","")</f>
        <v/>
      </c>
      <c r="W220">
        <f>IF(AND(T220,V220&lt;&gt;""),IF(COUNTIFS(V$2:V220,V220,T$2:T220,TRUE)=1,MAX(W$1:W219)+1,""),"")</f>
        <v/>
      </c>
      <c r="X220">
        <f>IFERROR(INDEX('1.산군_붙여넣기'!$A$1:$AZ$1001,ROW(),설정!$C$14)&amp;"","")</f>
        <v/>
      </c>
      <c r="Y220">
        <f>IFERROR(INDEX('1.산군_붙여넣기'!$A$1:$AZ$1001,ROW(),설정!$C$15)&amp;"","")</f>
        <v/>
      </c>
      <c r="Z220">
        <f>IF(T220,V220&amp;"|"&amp;U220,"")</f>
        <v/>
      </c>
    </row>
    <row r="221">
      <c r="A221">
        <f>ROW()</f>
        <v/>
      </c>
      <c r="B221">
        <f>IFERROR(INDEX('1.산군_붙여넣기'!$A$1:$AZ$1001,ROW(),설정!$C$4)&amp;"","")</f>
        <v/>
      </c>
      <c r="C221">
        <f>IFERROR(INDEX('1.산군_붙여넣기'!$A$1:$AZ$1001,ROW(),설정!$C$5)&amp;"","")</f>
        <v/>
      </c>
      <c r="D221" s="5">
        <f>IFERROR(VALUE(SUBSTITUTE(SUBSTITUTE(SUBSTITUTE(IFERROR(INDEX('1.산군_붙여넣기'!$A$1:$AZ$1001,ROW(),설정!$C$6)&amp;"",""),",",""),"㎡",""),"m2","")),"")</f>
        <v/>
      </c>
      <c r="E221">
        <f>IFERROR(INDEX('1.산군_붙여넣기'!$A$1:$AZ$1001,ROW(),설정!$C$7)&amp;"","")</f>
        <v/>
      </c>
      <c r="F221">
        <f>IFERROR(INDEX('1.산군_붙여넣기'!$A$1:$AZ$1001,ROW(),설정!$C$8)&amp;"","")</f>
        <v/>
      </c>
      <c r="G221">
        <f>IFERROR(INDEX('1.산군_붙여넣기'!$A$1:$AZ$1001,ROW(),설정!$C$9)&amp;"","")</f>
        <v/>
      </c>
      <c r="H221">
        <f>IFERROR(INDEX('1.산군_붙여넣기'!$A$1:$AZ$1001,ROW(),설정!$C$10)&amp;"","")</f>
        <v/>
      </c>
      <c r="I221">
        <f>IFERROR(INDEX('1.산군_붙여넣기'!$A$1:$AZ$1001,ROW(),설정!$C$11)&amp;"","")</f>
        <v/>
      </c>
      <c r="J221">
        <f>IFERROR(INDEX('1.산군_붙여넣기'!$A$1:$AZ$1001,ROW(),설정!$C$12)&amp;"","")</f>
        <v/>
      </c>
      <c r="K221">
        <f>IFERROR(INDEX('1.산군_붙여넣기'!$A$1:$AZ$1001,ROW(),설정!$C$13)&amp;"","")</f>
        <v/>
      </c>
      <c r="L221" s="6">
        <f>IF(X221="","",IF(AND(LEN(X221)=8,ISNUMBER(X221*1)),DATE(LEFT(X221,4),MID(X221,5,2),RIGHT(X221,2)),IFERROR(DATEVALUE(SUBSTITUTE(SUBSTITUTE(X221,".","-"),"/","-")),IFERROR(X221*1,""))))</f>
        <v/>
      </c>
      <c r="M221" s="6">
        <f>IF(Y221="","",IF(AND(LEN(Y221)=8,ISNUMBER(Y221*1)),DATE(LEFT(Y221,4),MID(Y221,5,2),RIGHT(Y221,2)),IFERROR(DATEVALUE(SUBSTITUTE(SUBSTITUTE(Y221,".","-"),"/","-")),IFERROR(Y221*1,""))))</f>
        <v/>
      </c>
      <c r="N221">
        <f>IFERROR(LEFT(B221,FIND(" ",B221)-1),B221)</f>
        <v/>
      </c>
      <c r="O221">
        <f>AND(B221&lt;&gt;"",B221&lt;&gt;설정!$B$4,C221&lt;&gt;설정!$B$5)</f>
        <v/>
      </c>
      <c r="P221">
        <f>IF(O221,B221&amp;"|"&amp;C221,"")</f>
        <v/>
      </c>
      <c r="Q221">
        <f>AND(O221,COUNTIF(P222:P$1002,P221)=0)</f>
        <v/>
      </c>
      <c r="R221">
        <f>OR(AND(설정!$A$28&lt;&gt;"",ISNUMBER(SEARCH(설정!$A$28,E221&amp;" "&amp;C221))),AND(설정!$A$29&lt;&gt;"",ISNUMBER(SEARCH(설정!$A$29,E221&amp;" "&amp;C221))),AND(설정!$A$30&lt;&gt;"",ISNUMBER(SEARCH(설정!$A$30,E221&amp;" "&amp;C221))),AND(설정!$A$31&lt;&gt;"",ISNUMBER(SEARCH(설정!$A$31,E221&amp;" "&amp;C221))),AND(설정!$A$32&lt;&gt;"",ISNUMBER(SEARCH(설정!$A$32,E221&amp;" "&amp;C221))),AND(설정!$A$33&lt;&gt;"",ISNUMBER(SEARCH(설정!$A$33,E221&amp;" "&amp;C221))),AND(설정!$A$34&lt;&gt;"",ISNUMBER(SEARCH(설정!$A$34,E221&amp;" "&amp;C221))),AND(설정!$A$35&lt;&gt;"",ISNUMBER(SEARCH(설정!$A$35,E221&amp;" "&amp;C221))),AND(설정!$A$36&lt;&gt;"",ISNUMBER(SEARCH(설정!$A$36,E221&amp;" "&amp;C221))),AND(설정!$A$37&lt;&gt;"",ISNUMBER(SEARCH(설정!$A$37,E221&amp;" "&amp;C221))))</f>
        <v/>
      </c>
      <c r="S221">
        <f>OR(D221="",D221&gt;=설정!$B$19)</f>
        <v/>
      </c>
      <c r="T221">
        <f>AND(Q221,R221,S221)</f>
        <v/>
      </c>
      <c r="U221">
        <f>IF(T221,IF(AND(설정!$A$41&lt;&gt;"",ISNUMBER(SEARCH(설정!$A$41,K221))),설정!$B$41,IF(AND(설정!$A$42&lt;&gt;"",ISNUMBER(SEARCH(설정!$A$42,K221))),설정!$B$42,IF(AND(설정!$A$43&lt;&gt;"",ISNUMBER(SEARCH(설정!$A$43,K221))),설정!$B$43,IF(AND(설정!$A$44&lt;&gt;"",ISNUMBER(SEARCH(설정!$A$44,K221))),설정!$B$44,IF(AND(설정!$A$45&lt;&gt;"",ISNUMBER(SEARCH(설정!$A$45,K221))),설정!$B$45,IF(AND(설정!$A$46&lt;&gt;"",ISNUMBER(SEARCH(설정!$A$46,K221))),설정!$B$46,IF(AND(설정!$A$47&lt;&gt;"",ISNUMBER(SEARCH(설정!$A$47,K221))),설정!$B$47,IF(AND(설정!$A$48&lt;&gt;"",ISNUMBER(SEARCH(설정!$A$48,K221))),설정!$B$48,IF(M221="","설계사","시공사"))))))))),"")</f>
        <v/>
      </c>
      <c r="V221">
        <f>SUBSTITUTE(SUBSTITUTE(SUBSTITUTE(SUBSTITUTE(G221,"(주)",""),"㈜",""),"주식회사","")," ","")</f>
        <v/>
      </c>
      <c r="W221">
        <f>IF(AND(T221,V221&lt;&gt;""),IF(COUNTIFS(V$2:V221,V221,T$2:T221,TRUE)=1,MAX(W$1:W220)+1,""),"")</f>
        <v/>
      </c>
      <c r="X221">
        <f>IFERROR(INDEX('1.산군_붙여넣기'!$A$1:$AZ$1001,ROW(),설정!$C$14)&amp;"","")</f>
        <v/>
      </c>
      <c r="Y221">
        <f>IFERROR(INDEX('1.산군_붙여넣기'!$A$1:$AZ$1001,ROW(),설정!$C$15)&amp;"","")</f>
        <v/>
      </c>
      <c r="Z221">
        <f>IF(T221,V221&amp;"|"&amp;U221,"")</f>
        <v/>
      </c>
    </row>
    <row r="222">
      <c r="A222">
        <f>ROW()</f>
        <v/>
      </c>
      <c r="B222">
        <f>IFERROR(INDEX('1.산군_붙여넣기'!$A$1:$AZ$1001,ROW(),설정!$C$4)&amp;"","")</f>
        <v/>
      </c>
      <c r="C222">
        <f>IFERROR(INDEX('1.산군_붙여넣기'!$A$1:$AZ$1001,ROW(),설정!$C$5)&amp;"","")</f>
        <v/>
      </c>
      <c r="D222" s="5">
        <f>IFERROR(VALUE(SUBSTITUTE(SUBSTITUTE(SUBSTITUTE(IFERROR(INDEX('1.산군_붙여넣기'!$A$1:$AZ$1001,ROW(),설정!$C$6)&amp;"",""),",",""),"㎡",""),"m2","")),"")</f>
        <v/>
      </c>
      <c r="E222">
        <f>IFERROR(INDEX('1.산군_붙여넣기'!$A$1:$AZ$1001,ROW(),설정!$C$7)&amp;"","")</f>
        <v/>
      </c>
      <c r="F222">
        <f>IFERROR(INDEX('1.산군_붙여넣기'!$A$1:$AZ$1001,ROW(),설정!$C$8)&amp;"","")</f>
        <v/>
      </c>
      <c r="G222">
        <f>IFERROR(INDEX('1.산군_붙여넣기'!$A$1:$AZ$1001,ROW(),설정!$C$9)&amp;"","")</f>
        <v/>
      </c>
      <c r="H222">
        <f>IFERROR(INDEX('1.산군_붙여넣기'!$A$1:$AZ$1001,ROW(),설정!$C$10)&amp;"","")</f>
        <v/>
      </c>
      <c r="I222">
        <f>IFERROR(INDEX('1.산군_붙여넣기'!$A$1:$AZ$1001,ROW(),설정!$C$11)&amp;"","")</f>
        <v/>
      </c>
      <c r="J222">
        <f>IFERROR(INDEX('1.산군_붙여넣기'!$A$1:$AZ$1001,ROW(),설정!$C$12)&amp;"","")</f>
        <v/>
      </c>
      <c r="K222">
        <f>IFERROR(INDEX('1.산군_붙여넣기'!$A$1:$AZ$1001,ROW(),설정!$C$13)&amp;"","")</f>
        <v/>
      </c>
      <c r="L222" s="6">
        <f>IF(X222="","",IF(AND(LEN(X222)=8,ISNUMBER(X222*1)),DATE(LEFT(X222,4),MID(X222,5,2),RIGHT(X222,2)),IFERROR(DATEVALUE(SUBSTITUTE(SUBSTITUTE(X222,".","-"),"/","-")),IFERROR(X222*1,""))))</f>
        <v/>
      </c>
      <c r="M222" s="6">
        <f>IF(Y222="","",IF(AND(LEN(Y222)=8,ISNUMBER(Y222*1)),DATE(LEFT(Y222,4),MID(Y222,5,2),RIGHT(Y222,2)),IFERROR(DATEVALUE(SUBSTITUTE(SUBSTITUTE(Y222,".","-"),"/","-")),IFERROR(Y222*1,""))))</f>
        <v/>
      </c>
      <c r="N222">
        <f>IFERROR(LEFT(B222,FIND(" ",B222)-1),B222)</f>
        <v/>
      </c>
      <c r="O222">
        <f>AND(B222&lt;&gt;"",B222&lt;&gt;설정!$B$4,C222&lt;&gt;설정!$B$5)</f>
        <v/>
      </c>
      <c r="P222">
        <f>IF(O222,B222&amp;"|"&amp;C222,"")</f>
        <v/>
      </c>
      <c r="Q222">
        <f>AND(O222,COUNTIF(P223:P$1002,P222)=0)</f>
        <v/>
      </c>
      <c r="R222">
        <f>OR(AND(설정!$A$28&lt;&gt;"",ISNUMBER(SEARCH(설정!$A$28,E222&amp;" "&amp;C222))),AND(설정!$A$29&lt;&gt;"",ISNUMBER(SEARCH(설정!$A$29,E222&amp;" "&amp;C222))),AND(설정!$A$30&lt;&gt;"",ISNUMBER(SEARCH(설정!$A$30,E222&amp;" "&amp;C222))),AND(설정!$A$31&lt;&gt;"",ISNUMBER(SEARCH(설정!$A$31,E222&amp;" "&amp;C222))),AND(설정!$A$32&lt;&gt;"",ISNUMBER(SEARCH(설정!$A$32,E222&amp;" "&amp;C222))),AND(설정!$A$33&lt;&gt;"",ISNUMBER(SEARCH(설정!$A$33,E222&amp;" "&amp;C222))),AND(설정!$A$34&lt;&gt;"",ISNUMBER(SEARCH(설정!$A$34,E222&amp;" "&amp;C222))),AND(설정!$A$35&lt;&gt;"",ISNUMBER(SEARCH(설정!$A$35,E222&amp;" "&amp;C222))),AND(설정!$A$36&lt;&gt;"",ISNUMBER(SEARCH(설정!$A$36,E222&amp;" "&amp;C222))),AND(설정!$A$37&lt;&gt;"",ISNUMBER(SEARCH(설정!$A$37,E222&amp;" "&amp;C222))))</f>
        <v/>
      </c>
      <c r="S222">
        <f>OR(D222="",D222&gt;=설정!$B$19)</f>
        <v/>
      </c>
      <c r="T222">
        <f>AND(Q222,R222,S222)</f>
        <v/>
      </c>
      <c r="U222">
        <f>IF(T222,IF(AND(설정!$A$41&lt;&gt;"",ISNUMBER(SEARCH(설정!$A$41,K222))),설정!$B$41,IF(AND(설정!$A$42&lt;&gt;"",ISNUMBER(SEARCH(설정!$A$42,K222))),설정!$B$42,IF(AND(설정!$A$43&lt;&gt;"",ISNUMBER(SEARCH(설정!$A$43,K222))),설정!$B$43,IF(AND(설정!$A$44&lt;&gt;"",ISNUMBER(SEARCH(설정!$A$44,K222))),설정!$B$44,IF(AND(설정!$A$45&lt;&gt;"",ISNUMBER(SEARCH(설정!$A$45,K222))),설정!$B$45,IF(AND(설정!$A$46&lt;&gt;"",ISNUMBER(SEARCH(설정!$A$46,K222))),설정!$B$46,IF(AND(설정!$A$47&lt;&gt;"",ISNUMBER(SEARCH(설정!$A$47,K222))),설정!$B$47,IF(AND(설정!$A$48&lt;&gt;"",ISNUMBER(SEARCH(설정!$A$48,K222))),설정!$B$48,IF(M222="","설계사","시공사"))))))))),"")</f>
        <v/>
      </c>
      <c r="V222">
        <f>SUBSTITUTE(SUBSTITUTE(SUBSTITUTE(SUBSTITUTE(G222,"(주)",""),"㈜",""),"주식회사","")," ","")</f>
        <v/>
      </c>
      <c r="W222">
        <f>IF(AND(T222,V222&lt;&gt;""),IF(COUNTIFS(V$2:V222,V222,T$2:T222,TRUE)=1,MAX(W$1:W221)+1,""),"")</f>
        <v/>
      </c>
      <c r="X222">
        <f>IFERROR(INDEX('1.산군_붙여넣기'!$A$1:$AZ$1001,ROW(),설정!$C$14)&amp;"","")</f>
        <v/>
      </c>
      <c r="Y222">
        <f>IFERROR(INDEX('1.산군_붙여넣기'!$A$1:$AZ$1001,ROW(),설정!$C$15)&amp;"","")</f>
        <v/>
      </c>
      <c r="Z222">
        <f>IF(T222,V222&amp;"|"&amp;U222,"")</f>
        <v/>
      </c>
    </row>
    <row r="223">
      <c r="A223">
        <f>ROW()</f>
        <v/>
      </c>
      <c r="B223">
        <f>IFERROR(INDEX('1.산군_붙여넣기'!$A$1:$AZ$1001,ROW(),설정!$C$4)&amp;"","")</f>
        <v/>
      </c>
      <c r="C223">
        <f>IFERROR(INDEX('1.산군_붙여넣기'!$A$1:$AZ$1001,ROW(),설정!$C$5)&amp;"","")</f>
        <v/>
      </c>
      <c r="D223" s="5">
        <f>IFERROR(VALUE(SUBSTITUTE(SUBSTITUTE(SUBSTITUTE(IFERROR(INDEX('1.산군_붙여넣기'!$A$1:$AZ$1001,ROW(),설정!$C$6)&amp;"",""),",",""),"㎡",""),"m2","")),"")</f>
        <v/>
      </c>
      <c r="E223">
        <f>IFERROR(INDEX('1.산군_붙여넣기'!$A$1:$AZ$1001,ROW(),설정!$C$7)&amp;"","")</f>
        <v/>
      </c>
      <c r="F223">
        <f>IFERROR(INDEX('1.산군_붙여넣기'!$A$1:$AZ$1001,ROW(),설정!$C$8)&amp;"","")</f>
        <v/>
      </c>
      <c r="G223">
        <f>IFERROR(INDEX('1.산군_붙여넣기'!$A$1:$AZ$1001,ROW(),설정!$C$9)&amp;"","")</f>
        <v/>
      </c>
      <c r="H223">
        <f>IFERROR(INDEX('1.산군_붙여넣기'!$A$1:$AZ$1001,ROW(),설정!$C$10)&amp;"","")</f>
        <v/>
      </c>
      <c r="I223">
        <f>IFERROR(INDEX('1.산군_붙여넣기'!$A$1:$AZ$1001,ROW(),설정!$C$11)&amp;"","")</f>
        <v/>
      </c>
      <c r="J223">
        <f>IFERROR(INDEX('1.산군_붙여넣기'!$A$1:$AZ$1001,ROW(),설정!$C$12)&amp;"","")</f>
        <v/>
      </c>
      <c r="K223">
        <f>IFERROR(INDEX('1.산군_붙여넣기'!$A$1:$AZ$1001,ROW(),설정!$C$13)&amp;"","")</f>
        <v/>
      </c>
      <c r="L223" s="6">
        <f>IF(X223="","",IF(AND(LEN(X223)=8,ISNUMBER(X223*1)),DATE(LEFT(X223,4),MID(X223,5,2),RIGHT(X223,2)),IFERROR(DATEVALUE(SUBSTITUTE(SUBSTITUTE(X223,".","-"),"/","-")),IFERROR(X223*1,""))))</f>
        <v/>
      </c>
      <c r="M223" s="6">
        <f>IF(Y223="","",IF(AND(LEN(Y223)=8,ISNUMBER(Y223*1)),DATE(LEFT(Y223,4),MID(Y223,5,2),RIGHT(Y223,2)),IFERROR(DATEVALUE(SUBSTITUTE(SUBSTITUTE(Y223,".","-"),"/","-")),IFERROR(Y223*1,""))))</f>
        <v/>
      </c>
      <c r="N223">
        <f>IFERROR(LEFT(B223,FIND(" ",B223)-1),B223)</f>
        <v/>
      </c>
      <c r="O223">
        <f>AND(B223&lt;&gt;"",B223&lt;&gt;설정!$B$4,C223&lt;&gt;설정!$B$5)</f>
        <v/>
      </c>
      <c r="P223">
        <f>IF(O223,B223&amp;"|"&amp;C223,"")</f>
        <v/>
      </c>
      <c r="Q223">
        <f>AND(O223,COUNTIF(P224:P$1002,P223)=0)</f>
        <v/>
      </c>
      <c r="R223">
        <f>OR(AND(설정!$A$28&lt;&gt;"",ISNUMBER(SEARCH(설정!$A$28,E223&amp;" "&amp;C223))),AND(설정!$A$29&lt;&gt;"",ISNUMBER(SEARCH(설정!$A$29,E223&amp;" "&amp;C223))),AND(설정!$A$30&lt;&gt;"",ISNUMBER(SEARCH(설정!$A$30,E223&amp;" "&amp;C223))),AND(설정!$A$31&lt;&gt;"",ISNUMBER(SEARCH(설정!$A$31,E223&amp;" "&amp;C223))),AND(설정!$A$32&lt;&gt;"",ISNUMBER(SEARCH(설정!$A$32,E223&amp;" "&amp;C223))),AND(설정!$A$33&lt;&gt;"",ISNUMBER(SEARCH(설정!$A$33,E223&amp;" "&amp;C223))),AND(설정!$A$34&lt;&gt;"",ISNUMBER(SEARCH(설정!$A$34,E223&amp;" "&amp;C223))),AND(설정!$A$35&lt;&gt;"",ISNUMBER(SEARCH(설정!$A$35,E223&amp;" "&amp;C223))),AND(설정!$A$36&lt;&gt;"",ISNUMBER(SEARCH(설정!$A$36,E223&amp;" "&amp;C223))),AND(설정!$A$37&lt;&gt;"",ISNUMBER(SEARCH(설정!$A$37,E223&amp;" "&amp;C223))))</f>
        <v/>
      </c>
      <c r="S223">
        <f>OR(D223="",D223&gt;=설정!$B$19)</f>
        <v/>
      </c>
      <c r="T223">
        <f>AND(Q223,R223,S223)</f>
        <v/>
      </c>
      <c r="U223">
        <f>IF(T223,IF(AND(설정!$A$41&lt;&gt;"",ISNUMBER(SEARCH(설정!$A$41,K223))),설정!$B$41,IF(AND(설정!$A$42&lt;&gt;"",ISNUMBER(SEARCH(설정!$A$42,K223))),설정!$B$42,IF(AND(설정!$A$43&lt;&gt;"",ISNUMBER(SEARCH(설정!$A$43,K223))),설정!$B$43,IF(AND(설정!$A$44&lt;&gt;"",ISNUMBER(SEARCH(설정!$A$44,K223))),설정!$B$44,IF(AND(설정!$A$45&lt;&gt;"",ISNUMBER(SEARCH(설정!$A$45,K223))),설정!$B$45,IF(AND(설정!$A$46&lt;&gt;"",ISNUMBER(SEARCH(설정!$A$46,K223))),설정!$B$46,IF(AND(설정!$A$47&lt;&gt;"",ISNUMBER(SEARCH(설정!$A$47,K223))),설정!$B$47,IF(AND(설정!$A$48&lt;&gt;"",ISNUMBER(SEARCH(설정!$A$48,K223))),설정!$B$48,IF(M223="","설계사","시공사"))))))))),"")</f>
        <v/>
      </c>
      <c r="V223">
        <f>SUBSTITUTE(SUBSTITUTE(SUBSTITUTE(SUBSTITUTE(G223,"(주)",""),"㈜",""),"주식회사","")," ","")</f>
        <v/>
      </c>
      <c r="W223">
        <f>IF(AND(T223,V223&lt;&gt;""),IF(COUNTIFS(V$2:V223,V223,T$2:T223,TRUE)=1,MAX(W$1:W222)+1,""),"")</f>
        <v/>
      </c>
      <c r="X223">
        <f>IFERROR(INDEX('1.산군_붙여넣기'!$A$1:$AZ$1001,ROW(),설정!$C$14)&amp;"","")</f>
        <v/>
      </c>
      <c r="Y223">
        <f>IFERROR(INDEX('1.산군_붙여넣기'!$A$1:$AZ$1001,ROW(),설정!$C$15)&amp;"","")</f>
        <v/>
      </c>
      <c r="Z223">
        <f>IF(T223,V223&amp;"|"&amp;U223,"")</f>
        <v/>
      </c>
    </row>
    <row r="224">
      <c r="A224">
        <f>ROW()</f>
        <v/>
      </c>
      <c r="B224">
        <f>IFERROR(INDEX('1.산군_붙여넣기'!$A$1:$AZ$1001,ROW(),설정!$C$4)&amp;"","")</f>
        <v/>
      </c>
      <c r="C224">
        <f>IFERROR(INDEX('1.산군_붙여넣기'!$A$1:$AZ$1001,ROW(),설정!$C$5)&amp;"","")</f>
        <v/>
      </c>
      <c r="D224" s="5">
        <f>IFERROR(VALUE(SUBSTITUTE(SUBSTITUTE(SUBSTITUTE(IFERROR(INDEX('1.산군_붙여넣기'!$A$1:$AZ$1001,ROW(),설정!$C$6)&amp;"",""),",",""),"㎡",""),"m2","")),"")</f>
        <v/>
      </c>
      <c r="E224">
        <f>IFERROR(INDEX('1.산군_붙여넣기'!$A$1:$AZ$1001,ROW(),설정!$C$7)&amp;"","")</f>
        <v/>
      </c>
      <c r="F224">
        <f>IFERROR(INDEX('1.산군_붙여넣기'!$A$1:$AZ$1001,ROW(),설정!$C$8)&amp;"","")</f>
        <v/>
      </c>
      <c r="G224">
        <f>IFERROR(INDEX('1.산군_붙여넣기'!$A$1:$AZ$1001,ROW(),설정!$C$9)&amp;"","")</f>
        <v/>
      </c>
      <c r="H224">
        <f>IFERROR(INDEX('1.산군_붙여넣기'!$A$1:$AZ$1001,ROW(),설정!$C$10)&amp;"","")</f>
        <v/>
      </c>
      <c r="I224">
        <f>IFERROR(INDEX('1.산군_붙여넣기'!$A$1:$AZ$1001,ROW(),설정!$C$11)&amp;"","")</f>
        <v/>
      </c>
      <c r="J224">
        <f>IFERROR(INDEX('1.산군_붙여넣기'!$A$1:$AZ$1001,ROW(),설정!$C$12)&amp;"","")</f>
        <v/>
      </c>
      <c r="K224">
        <f>IFERROR(INDEX('1.산군_붙여넣기'!$A$1:$AZ$1001,ROW(),설정!$C$13)&amp;"","")</f>
        <v/>
      </c>
      <c r="L224" s="6">
        <f>IF(X224="","",IF(AND(LEN(X224)=8,ISNUMBER(X224*1)),DATE(LEFT(X224,4),MID(X224,5,2),RIGHT(X224,2)),IFERROR(DATEVALUE(SUBSTITUTE(SUBSTITUTE(X224,".","-"),"/","-")),IFERROR(X224*1,""))))</f>
        <v/>
      </c>
      <c r="M224" s="6">
        <f>IF(Y224="","",IF(AND(LEN(Y224)=8,ISNUMBER(Y224*1)),DATE(LEFT(Y224,4),MID(Y224,5,2),RIGHT(Y224,2)),IFERROR(DATEVALUE(SUBSTITUTE(SUBSTITUTE(Y224,".","-"),"/","-")),IFERROR(Y224*1,""))))</f>
        <v/>
      </c>
      <c r="N224">
        <f>IFERROR(LEFT(B224,FIND(" ",B224)-1),B224)</f>
        <v/>
      </c>
      <c r="O224">
        <f>AND(B224&lt;&gt;"",B224&lt;&gt;설정!$B$4,C224&lt;&gt;설정!$B$5)</f>
        <v/>
      </c>
      <c r="P224">
        <f>IF(O224,B224&amp;"|"&amp;C224,"")</f>
        <v/>
      </c>
      <c r="Q224">
        <f>AND(O224,COUNTIF(P225:P$1002,P224)=0)</f>
        <v/>
      </c>
      <c r="R224">
        <f>OR(AND(설정!$A$28&lt;&gt;"",ISNUMBER(SEARCH(설정!$A$28,E224&amp;" "&amp;C224))),AND(설정!$A$29&lt;&gt;"",ISNUMBER(SEARCH(설정!$A$29,E224&amp;" "&amp;C224))),AND(설정!$A$30&lt;&gt;"",ISNUMBER(SEARCH(설정!$A$30,E224&amp;" "&amp;C224))),AND(설정!$A$31&lt;&gt;"",ISNUMBER(SEARCH(설정!$A$31,E224&amp;" "&amp;C224))),AND(설정!$A$32&lt;&gt;"",ISNUMBER(SEARCH(설정!$A$32,E224&amp;" "&amp;C224))),AND(설정!$A$33&lt;&gt;"",ISNUMBER(SEARCH(설정!$A$33,E224&amp;" "&amp;C224))),AND(설정!$A$34&lt;&gt;"",ISNUMBER(SEARCH(설정!$A$34,E224&amp;" "&amp;C224))),AND(설정!$A$35&lt;&gt;"",ISNUMBER(SEARCH(설정!$A$35,E224&amp;" "&amp;C224))),AND(설정!$A$36&lt;&gt;"",ISNUMBER(SEARCH(설정!$A$36,E224&amp;" "&amp;C224))),AND(설정!$A$37&lt;&gt;"",ISNUMBER(SEARCH(설정!$A$37,E224&amp;" "&amp;C224))))</f>
        <v/>
      </c>
      <c r="S224">
        <f>OR(D224="",D224&gt;=설정!$B$19)</f>
        <v/>
      </c>
      <c r="T224">
        <f>AND(Q224,R224,S224)</f>
        <v/>
      </c>
      <c r="U224">
        <f>IF(T224,IF(AND(설정!$A$41&lt;&gt;"",ISNUMBER(SEARCH(설정!$A$41,K224))),설정!$B$41,IF(AND(설정!$A$42&lt;&gt;"",ISNUMBER(SEARCH(설정!$A$42,K224))),설정!$B$42,IF(AND(설정!$A$43&lt;&gt;"",ISNUMBER(SEARCH(설정!$A$43,K224))),설정!$B$43,IF(AND(설정!$A$44&lt;&gt;"",ISNUMBER(SEARCH(설정!$A$44,K224))),설정!$B$44,IF(AND(설정!$A$45&lt;&gt;"",ISNUMBER(SEARCH(설정!$A$45,K224))),설정!$B$45,IF(AND(설정!$A$46&lt;&gt;"",ISNUMBER(SEARCH(설정!$A$46,K224))),설정!$B$46,IF(AND(설정!$A$47&lt;&gt;"",ISNUMBER(SEARCH(설정!$A$47,K224))),설정!$B$47,IF(AND(설정!$A$48&lt;&gt;"",ISNUMBER(SEARCH(설정!$A$48,K224))),설정!$B$48,IF(M224="","설계사","시공사"))))))))),"")</f>
        <v/>
      </c>
      <c r="V224">
        <f>SUBSTITUTE(SUBSTITUTE(SUBSTITUTE(SUBSTITUTE(G224,"(주)",""),"㈜",""),"주식회사","")," ","")</f>
        <v/>
      </c>
      <c r="W224">
        <f>IF(AND(T224,V224&lt;&gt;""),IF(COUNTIFS(V$2:V224,V224,T$2:T224,TRUE)=1,MAX(W$1:W223)+1,""),"")</f>
        <v/>
      </c>
      <c r="X224">
        <f>IFERROR(INDEX('1.산군_붙여넣기'!$A$1:$AZ$1001,ROW(),설정!$C$14)&amp;"","")</f>
        <v/>
      </c>
      <c r="Y224">
        <f>IFERROR(INDEX('1.산군_붙여넣기'!$A$1:$AZ$1001,ROW(),설정!$C$15)&amp;"","")</f>
        <v/>
      </c>
      <c r="Z224">
        <f>IF(T224,V224&amp;"|"&amp;U224,"")</f>
        <v/>
      </c>
    </row>
    <row r="225">
      <c r="A225">
        <f>ROW()</f>
        <v/>
      </c>
      <c r="B225">
        <f>IFERROR(INDEX('1.산군_붙여넣기'!$A$1:$AZ$1001,ROW(),설정!$C$4)&amp;"","")</f>
        <v/>
      </c>
      <c r="C225">
        <f>IFERROR(INDEX('1.산군_붙여넣기'!$A$1:$AZ$1001,ROW(),설정!$C$5)&amp;"","")</f>
        <v/>
      </c>
      <c r="D225" s="5">
        <f>IFERROR(VALUE(SUBSTITUTE(SUBSTITUTE(SUBSTITUTE(IFERROR(INDEX('1.산군_붙여넣기'!$A$1:$AZ$1001,ROW(),설정!$C$6)&amp;"",""),",",""),"㎡",""),"m2","")),"")</f>
        <v/>
      </c>
      <c r="E225">
        <f>IFERROR(INDEX('1.산군_붙여넣기'!$A$1:$AZ$1001,ROW(),설정!$C$7)&amp;"","")</f>
        <v/>
      </c>
      <c r="F225">
        <f>IFERROR(INDEX('1.산군_붙여넣기'!$A$1:$AZ$1001,ROW(),설정!$C$8)&amp;"","")</f>
        <v/>
      </c>
      <c r="G225">
        <f>IFERROR(INDEX('1.산군_붙여넣기'!$A$1:$AZ$1001,ROW(),설정!$C$9)&amp;"","")</f>
        <v/>
      </c>
      <c r="H225">
        <f>IFERROR(INDEX('1.산군_붙여넣기'!$A$1:$AZ$1001,ROW(),설정!$C$10)&amp;"","")</f>
        <v/>
      </c>
      <c r="I225">
        <f>IFERROR(INDEX('1.산군_붙여넣기'!$A$1:$AZ$1001,ROW(),설정!$C$11)&amp;"","")</f>
        <v/>
      </c>
      <c r="J225">
        <f>IFERROR(INDEX('1.산군_붙여넣기'!$A$1:$AZ$1001,ROW(),설정!$C$12)&amp;"","")</f>
        <v/>
      </c>
      <c r="K225">
        <f>IFERROR(INDEX('1.산군_붙여넣기'!$A$1:$AZ$1001,ROW(),설정!$C$13)&amp;"","")</f>
        <v/>
      </c>
      <c r="L225" s="6">
        <f>IF(X225="","",IF(AND(LEN(X225)=8,ISNUMBER(X225*1)),DATE(LEFT(X225,4),MID(X225,5,2),RIGHT(X225,2)),IFERROR(DATEVALUE(SUBSTITUTE(SUBSTITUTE(X225,".","-"),"/","-")),IFERROR(X225*1,""))))</f>
        <v/>
      </c>
      <c r="M225" s="6">
        <f>IF(Y225="","",IF(AND(LEN(Y225)=8,ISNUMBER(Y225*1)),DATE(LEFT(Y225,4),MID(Y225,5,2),RIGHT(Y225,2)),IFERROR(DATEVALUE(SUBSTITUTE(SUBSTITUTE(Y225,".","-"),"/","-")),IFERROR(Y225*1,""))))</f>
        <v/>
      </c>
      <c r="N225">
        <f>IFERROR(LEFT(B225,FIND(" ",B225)-1),B225)</f>
        <v/>
      </c>
      <c r="O225">
        <f>AND(B225&lt;&gt;"",B225&lt;&gt;설정!$B$4,C225&lt;&gt;설정!$B$5)</f>
        <v/>
      </c>
      <c r="P225">
        <f>IF(O225,B225&amp;"|"&amp;C225,"")</f>
        <v/>
      </c>
      <c r="Q225">
        <f>AND(O225,COUNTIF(P226:P$1002,P225)=0)</f>
        <v/>
      </c>
      <c r="R225">
        <f>OR(AND(설정!$A$28&lt;&gt;"",ISNUMBER(SEARCH(설정!$A$28,E225&amp;" "&amp;C225))),AND(설정!$A$29&lt;&gt;"",ISNUMBER(SEARCH(설정!$A$29,E225&amp;" "&amp;C225))),AND(설정!$A$30&lt;&gt;"",ISNUMBER(SEARCH(설정!$A$30,E225&amp;" "&amp;C225))),AND(설정!$A$31&lt;&gt;"",ISNUMBER(SEARCH(설정!$A$31,E225&amp;" "&amp;C225))),AND(설정!$A$32&lt;&gt;"",ISNUMBER(SEARCH(설정!$A$32,E225&amp;" "&amp;C225))),AND(설정!$A$33&lt;&gt;"",ISNUMBER(SEARCH(설정!$A$33,E225&amp;" "&amp;C225))),AND(설정!$A$34&lt;&gt;"",ISNUMBER(SEARCH(설정!$A$34,E225&amp;" "&amp;C225))),AND(설정!$A$35&lt;&gt;"",ISNUMBER(SEARCH(설정!$A$35,E225&amp;" "&amp;C225))),AND(설정!$A$36&lt;&gt;"",ISNUMBER(SEARCH(설정!$A$36,E225&amp;" "&amp;C225))),AND(설정!$A$37&lt;&gt;"",ISNUMBER(SEARCH(설정!$A$37,E225&amp;" "&amp;C225))))</f>
        <v/>
      </c>
      <c r="S225">
        <f>OR(D225="",D225&gt;=설정!$B$19)</f>
        <v/>
      </c>
      <c r="T225">
        <f>AND(Q225,R225,S225)</f>
        <v/>
      </c>
      <c r="U225">
        <f>IF(T225,IF(AND(설정!$A$41&lt;&gt;"",ISNUMBER(SEARCH(설정!$A$41,K225))),설정!$B$41,IF(AND(설정!$A$42&lt;&gt;"",ISNUMBER(SEARCH(설정!$A$42,K225))),설정!$B$42,IF(AND(설정!$A$43&lt;&gt;"",ISNUMBER(SEARCH(설정!$A$43,K225))),설정!$B$43,IF(AND(설정!$A$44&lt;&gt;"",ISNUMBER(SEARCH(설정!$A$44,K225))),설정!$B$44,IF(AND(설정!$A$45&lt;&gt;"",ISNUMBER(SEARCH(설정!$A$45,K225))),설정!$B$45,IF(AND(설정!$A$46&lt;&gt;"",ISNUMBER(SEARCH(설정!$A$46,K225))),설정!$B$46,IF(AND(설정!$A$47&lt;&gt;"",ISNUMBER(SEARCH(설정!$A$47,K225))),설정!$B$47,IF(AND(설정!$A$48&lt;&gt;"",ISNUMBER(SEARCH(설정!$A$48,K225))),설정!$B$48,IF(M225="","설계사","시공사"))))))))),"")</f>
        <v/>
      </c>
      <c r="V225">
        <f>SUBSTITUTE(SUBSTITUTE(SUBSTITUTE(SUBSTITUTE(G225,"(주)",""),"㈜",""),"주식회사","")," ","")</f>
        <v/>
      </c>
      <c r="W225">
        <f>IF(AND(T225,V225&lt;&gt;""),IF(COUNTIFS(V$2:V225,V225,T$2:T225,TRUE)=1,MAX(W$1:W224)+1,""),"")</f>
        <v/>
      </c>
      <c r="X225">
        <f>IFERROR(INDEX('1.산군_붙여넣기'!$A$1:$AZ$1001,ROW(),설정!$C$14)&amp;"","")</f>
        <v/>
      </c>
      <c r="Y225">
        <f>IFERROR(INDEX('1.산군_붙여넣기'!$A$1:$AZ$1001,ROW(),설정!$C$15)&amp;"","")</f>
        <v/>
      </c>
      <c r="Z225">
        <f>IF(T225,V225&amp;"|"&amp;U225,"")</f>
        <v/>
      </c>
    </row>
    <row r="226">
      <c r="A226">
        <f>ROW()</f>
        <v/>
      </c>
      <c r="B226">
        <f>IFERROR(INDEX('1.산군_붙여넣기'!$A$1:$AZ$1001,ROW(),설정!$C$4)&amp;"","")</f>
        <v/>
      </c>
      <c r="C226">
        <f>IFERROR(INDEX('1.산군_붙여넣기'!$A$1:$AZ$1001,ROW(),설정!$C$5)&amp;"","")</f>
        <v/>
      </c>
      <c r="D226" s="5">
        <f>IFERROR(VALUE(SUBSTITUTE(SUBSTITUTE(SUBSTITUTE(IFERROR(INDEX('1.산군_붙여넣기'!$A$1:$AZ$1001,ROW(),설정!$C$6)&amp;"",""),",",""),"㎡",""),"m2","")),"")</f>
        <v/>
      </c>
      <c r="E226">
        <f>IFERROR(INDEX('1.산군_붙여넣기'!$A$1:$AZ$1001,ROW(),설정!$C$7)&amp;"","")</f>
        <v/>
      </c>
      <c r="F226">
        <f>IFERROR(INDEX('1.산군_붙여넣기'!$A$1:$AZ$1001,ROW(),설정!$C$8)&amp;"","")</f>
        <v/>
      </c>
      <c r="G226">
        <f>IFERROR(INDEX('1.산군_붙여넣기'!$A$1:$AZ$1001,ROW(),설정!$C$9)&amp;"","")</f>
        <v/>
      </c>
      <c r="H226">
        <f>IFERROR(INDEX('1.산군_붙여넣기'!$A$1:$AZ$1001,ROW(),설정!$C$10)&amp;"","")</f>
        <v/>
      </c>
      <c r="I226">
        <f>IFERROR(INDEX('1.산군_붙여넣기'!$A$1:$AZ$1001,ROW(),설정!$C$11)&amp;"","")</f>
        <v/>
      </c>
      <c r="J226">
        <f>IFERROR(INDEX('1.산군_붙여넣기'!$A$1:$AZ$1001,ROW(),설정!$C$12)&amp;"","")</f>
        <v/>
      </c>
      <c r="K226">
        <f>IFERROR(INDEX('1.산군_붙여넣기'!$A$1:$AZ$1001,ROW(),설정!$C$13)&amp;"","")</f>
        <v/>
      </c>
      <c r="L226" s="6">
        <f>IF(X226="","",IF(AND(LEN(X226)=8,ISNUMBER(X226*1)),DATE(LEFT(X226,4),MID(X226,5,2),RIGHT(X226,2)),IFERROR(DATEVALUE(SUBSTITUTE(SUBSTITUTE(X226,".","-"),"/","-")),IFERROR(X226*1,""))))</f>
        <v/>
      </c>
      <c r="M226" s="6">
        <f>IF(Y226="","",IF(AND(LEN(Y226)=8,ISNUMBER(Y226*1)),DATE(LEFT(Y226,4),MID(Y226,5,2),RIGHT(Y226,2)),IFERROR(DATEVALUE(SUBSTITUTE(SUBSTITUTE(Y226,".","-"),"/","-")),IFERROR(Y226*1,""))))</f>
        <v/>
      </c>
      <c r="N226">
        <f>IFERROR(LEFT(B226,FIND(" ",B226)-1),B226)</f>
        <v/>
      </c>
      <c r="O226">
        <f>AND(B226&lt;&gt;"",B226&lt;&gt;설정!$B$4,C226&lt;&gt;설정!$B$5)</f>
        <v/>
      </c>
      <c r="P226">
        <f>IF(O226,B226&amp;"|"&amp;C226,"")</f>
        <v/>
      </c>
      <c r="Q226">
        <f>AND(O226,COUNTIF(P227:P$1002,P226)=0)</f>
        <v/>
      </c>
      <c r="R226">
        <f>OR(AND(설정!$A$28&lt;&gt;"",ISNUMBER(SEARCH(설정!$A$28,E226&amp;" "&amp;C226))),AND(설정!$A$29&lt;&gt;"",ISNUMBER(SEARCH(설정!$A$29,E226&amp;" "&amp;C226))),AND(설정!$A$30&lt;&gt;"",ISNUMBER(SEARCH(설정!$A$30,E226&amp;" "&amp;C226))),AND(설정!$A$31&lt;&gt;"",ISNUMBER(SEARCH(설정!$A$31,E226&amp;" "&amp;C226))),AND(설정!$A$32&lt;&gt;"",ISNUMBER(SEARCH(설정!$A$32,E226&amp;" "&amp;C226))),AND(설정!$A$33&lt;&gt;"",ISNUMBER(SEARCH(설정!$A$33,E226&amp;" "&amp;C226))),AND(설정!$A$34&lt;&gt;"",ISNUMBER(SEARCH(설정!$A$34,E226&amp;" "&amp;C226))),AND(설정!$A$35&lt;&gt;"",ISNUMBER(SEARCH(설정!$A$35,E226&amp;" "&amp;C226))),AND(설정!$A$36&lt;&gt;"",ISNUMBER(SEARCH(설정!$A$36,E226&amp;" "&amp;C226))),AND(설정!$A$37&lt;&gt;"",ISNUMBER(SEARCH(설정!$A$37,E226&amp;" "&amp;C226))))</f>
        <v/>
      </c>
      <c r="S226">
        <f>OR(D226="",D226&gt;=설정!$B$19)</f>
        <v/>
      </c>
      <c r="T226">
        <f>AND(Q226,R226,S226)</f>
        <v/>
      </c>
      <c r="U226">
        <f>IF(T226,IF(AND(설정!$A$41&lt;&gt;"",ISNUMBER(SEARCH(설정!$A$41,K226))),설정!$B$41,IF(AND(설정!$A$42&lt;&gt;"",ISNUMBER(SEARCH(설정!$A$42,K226))),설정!$B$42,IF(AND(설정!$A$43&lt;&gt;"",ISNUMBER(SEARCH(설정!$A$43,K226))),설정!$B$43,IF(AND(설정!$A$44&lt;&gt;"",ISNUMBER(SEARCH(설정!$A$44,K226))),설정!$B$44,IF(AND(설정!$A$45&lt;&gt;"",ISNUMBER(SEARCH(설정!$A$45,K226))),설정!$B$45,IF(AND(설정!$A$46&lt;&gt;"",ISNUMBER(SEARCH(설정!$A$46,K226))),설정!$B$46,IF(AND(설정!$A$47&lt;&gt;"",ISNUMBER(SEARCH(설정!$A$47,K226))),설정!$B$47,IF(AND(설정!$A$48&lt;&gt;"",ISNUMBER(SEARCH(설정!$A$48,K226))),설정!$B$48,IF(M226="","설계사","시공사"))))))))),"")</f>
        <v/>
      </c>
      <c r="V226">
        <f>SUBSTITUTE(SUBSTITUTE(SUBSTITUTE(SUBSTITUTE(G226,"(주)",""),"㈜",""),"주식회사","")," ","")</f>
        <v/>
      </c>
      <c r="W226">
        <f>IF(AND(T226,V226&lt;&gt;""),IF(COUNTIFS(V$2:V226,V226,T$2:T226,TRUE)=1,MAX(W$1:W225)+1,""),"")</f>
        <v/>
      </c>
      <c r="X226">
        <f>IFERROR(INDEX('1.산군_붙여넣기'!$A$1:$AZ$1001,ROW(),설정!$C$14)&amp;"","")</f>
        <v/>
      </c>
      <c r="Y226">
        <f>IFERROR(INDEX('1.산군_붙여넣기'!$A$1:$AZ$1001,ROW(),설정!$C$15)&amp;"","")</f>
        <v/>
      </c>
      <c r="Z226">
        <f>IF(T226,V226&amp;"|"&amp;U226,"")</f>
        <v/>
      </c>
    </row>
    <row r="227">
      <c r="A227">
        <f>ROW()</f>
        <v/>
      </c>
      <c r="B227">
        <f>IFERROR(INDEX('1.산군_붙여넣기'!$A$1:$AZ$1001,ROW(),설정!$C$4)&amp;"","")</f>
        <v/>
      </c>
      <c r="C227">
        <f>IFERROR(INDEX('1.산군_붙여넣기'!$A$1:$AZ$1001,ROW(),설정!$C$5)&amp;"","")</f>
        <v/>
      </c>
      <c r="D227" s="5">
        <f>IFERROR(VALUE(SUBSTITUTE(SUBSTITUTE(SUBSTITUTE(IFERROR(INDEX('1.산군_붙여넣기'!$A$1:$AZ$1001,ROW(),설정!$C$6)&amp;"",""),",",""),"㎡",""),"m2","")),"")</f>
        <v/>
      </c>
      <c r="E227">
        <f>IFERROR(INDEX('1.산군_붙여넣기'!$A$1:$AZ$1001,ROW(),설정!$C$7)&amp;"","")</f>
        <v/>
      </c>
      <c r="F227">
        <f>IFERROR(INDEX('1.산군_붙여넣기'!$A$1:$AZ$1001,ROW(),설정!$C$8)&amp;"","")</f>
        <v/>
      </c>
      <c r="G227">
        <f>IFERROR(INDEX('1.산군_붙여넣기'!$A$1:$AZ$1001,ROW(),설정!$C$9)&amp;"","")</f>
        <v/>
      </c>
      <c r="H227">
        <f>IFERROR(INDEX('1.산군_붙여넣기'!$A$1:$AZ$1001,ROW(),설정!$C$10)&amp;"","")</f>
        <v/>
      </c>
      <c r="I227">
        <f>IFERROR(INDEX('1.산군_붙여넣기'!$A$1:$AZ$1001,ROW(),설정!$C$11)&amp;"","")</f>
        <v/>
      </c>
      <c r="J227">
        <f>IFERROR(INDEX('1.산군_붙여넣기'!$A$1:$AZ$1001,ROW(),설정!$C$12)&amp;"","")</f>
        <v/>
      </c>
      <c r="K227">
        <f>IFERROR(INDEX('1.산군_붙여넣기'!$A$1:$AZ$1001,ROW(),설정!$C$13)&amp;"","")</f>
        <v/>
      </c>
      <c r="L227" s="6">
        <f>IF(X227="","",IF(AND(LEN(X227)=8,ISNUMBER(X227*1)),DATE(LEFT(X227,4),MID(X227,5,2),RIGHT(X227,2)),IFERROR(DATEVALUE(SUBSTITUTE(SUBSTITUTE(X227,".","-"),"/","-")),IFERROR(X227*1,""))))</f>
        <v/>
      </c>
      <c r="M227" s="6">
        <f>IF(Y227="","",IF(AND(LEN(Y227)=8,ISNUMBER(Y227*1)),DATE(LEFT(Y227,4),MID(Y227,5,2),RIGHT(Y227,2)),IFERROR(DATEVALUE(SUBSTITUTE(SUBSTITUTE(Y227,".","-"),"/","-")),IFERROR(Y227*1,""))))</f>
        <v/>
      </c>
      <c r="N227">
        <f>IFERROR(LEFT(B227,FIND(" ",B227)-1),B227)</f>
        <v/>
      </c>
      <c r="O227">
        <f>AND(B227&lt;&gt;"",B227&lt;&gt;설정!$B$4,C227&lt;&gt;설정!$B$5)</f>
        <v/>
      </c>
      <c r="P227">
        <f>IF(O227,B227&amp;"|"&amp;C227,"")</f>
        <v/>
      </c>
      <c r="Q227">
        <f>AND(O227,COUNTIF(P228:P$1002,P227)=0)</f>
        <v/>
      </c>
      <c r="R227">
        <f>OR(AND(설정!$A$28&lt;&gt;"",ISNUMBER(SEARCH(설정!$A$28,E227&amp;" "&amp;C227))),AND(설정!$A$29&lt;&gt;"",ISNUMBER(SEARCH(설정!$A$29,E227&amp;" "&amp;C227))),AND(설정!$A$30&lt;&gt;"",ISNUMBER(SEARCH(설정!$A$30,E227&amp;" "&amp;C227))),AND(설정!$A$31&lt;&gt;"",ISNUMBER(SEARCH(설정!$A$31,E227&amp;" "&amp;C227))),AND(설정!$A$32&lt;&gt;"",ISNUMBER(SEARCH(설정!$A$32,E227&amp;" "&amp;C227))),AND(설정!$A$33&lt;&gt;"",ISNUMBER(SEARCH(설정!$A$33,E227&amp;" "&amp;C227))),AND(설정!$A$34&lt;&gt;"",ISNUMBER(SEARCH(설정!$A$34,E227&amp;" "&amp;C227))),AND(설정!$A$35&lt;&gt;"",ISNUMBER(SEARCH(설정!$A$35,E227&amp;" "&amp;C227))),AND(설정!$A$36&lt;&gt;"",ISNUMBER(SEARCH(설정!$A$36,E227&amp;" "&amp;C227))),AND(설정!$A$37&lt;&gt;"",ISNUMBER(SEARCH(설정!$A$37,E227&amp;" "&amp;C227))))</f>
        <v/>
      </c>
      <c r="S227">
        <f>OR(D227="",D227&gt;=설정!$B$19)</f>
        <v/>
      </c>
      <c r="T227">
        <f>AND(Q227,R227,S227)</f>
        <v/>
      </c>
      <c r="U227">
        <f>IF(T227,IF(AND(설정!$A$41&lt;&gt;"",ISNUMBER(SEARCH(설정!$A$41,K227))),설정!$B$41,IF(AND(설정!$A$42&lt;&gt;"",ISNUMBER(SEARCH(설정!$A$42,K227))),설정!$B$42,IF(AND(설정!$A$43&lt;&gt;"",ISNUMBER(SEARCH(설정!$A$43,K227))),설정!$B$43,IF(AND(설정!$A$44&lt;&gt;"",ISNUMBER(SEARCH(설정!$A$44,K227))),설정!$B$44,IF(AND(설정!$A$45&lt;&gt;"",ISNUMBER(SEARCH(설정!$A$45,K227))),설정!$B$45,IF(AND(설정!$A$46&lt;&gt;"",ISNUMBER(SEARCH(설정!$A$46,K227))),설정!$B$46,IF(AND(설정!$A$47&lt;&gt;"",ISNUMBER(SEARCH(설정!$A$47,K227))),설정!$B$47,IF(AND(설정!$A$48&lt;&gt;"",ISNUMBER(SEARCH(설정!$A$48,K227))),설정!$B$48,IF(M227="","설계사","시공사"))))))))),"")</f>
        <v/>
      </c>
      <c r="V227">
        <f>SUBSTITUTE(SUBSTITUTE(SUBSTITUTE(SUBSTITUTE(G227,"(주)",""),"㈜",""),"주식회사","")," ","")</f>
        <v/>
      </c>
      <c r="W227">
        <f>IF(AND(T227,V227&lt;&gt;""),IF(COUNTIFS(V$2:V227,V227,T$2:T227,TRUE)=1,MAX(W$1:W226)+1,""),"")</f>
        <v/>
      </c>
      <c r="X227">
        <f>IFERROR(INDEX('1.산군_붙여넣기'!$A$1:$AZ$1001,ROW(),설정!$C$14)&amp;"","")</f>
        <v/>
      </c>
      <c r="Y227">
        <f>IFERROR(INDEX('1.산군_붙여넣기'!$A$1:$AZ$1001,ROW(),설정!$C$15)&amp;"","")</f>
        <v/>
      </c>
      <c r="Z227">
        <f>IF(T227,V227&amp;"|"&amp;U227,"")</f>
        <v/>
      </c>
    </row>
    <row r="228">
      <c r="A228">
        <f>ROW()</f>
        <v/>
      </c>
      <c r="B228">
        <f>IFERROR(INDEX('1.산군_붙여넣기'!$A$1:$AZ$1001,ROW(),설정!$C$4)&amp;"","")</f>
        <v/>
      </c>
      <c r="C228">
        <f>IFERROR(INDEX('1.산군_붙여넣기'!$A$1:$AZ$1001,ROW(),설정!$C$5)&amp;"","")</f>
        <v/>
      </c>
      <c r="D228" s="5">
        <f>IFERROR(VALUE(SUBSTITUTE(SUBSTITUTE(SUBSTITUTE(IFERROR(INDEX('1.산군_붙여넣기'!$A$1:$AZ$1001,ROW(),설정!$C$6)&amp;"",""),",",""),"㎡",""),"m2","")),"")</f>
        <v/>
      </c>
      <c r="E228">
        <f>IFERROR(INDEX('1.산군_붙여넣기'!$A$1:$AZ$1001,ROW(),설정!$C$7)&amp;"","")</f>
        <v/>
      </c>
      <c r="F228">
        <f>IFERROR(INDEX('1.산군_붙여넣기'!$A$1:$AZ$1001,ROW(),설정!$C$8)&amp;"","")</f>
        <v/>
      </c>
      <c r="G228">
        <f>IFERROR(INDEX('1.산군_붙여넣기'!$A$1:$AZ$1001,ROW(),설정!$C$9)&amp;"","")</f>
        <v/>
      </c>
      <c r="H228">
        <f>IFERROR(INDEX('1.산군_붙여넣기'!$A$1:$AZ$1001,ROW(),설정!$C$10)&amp;"","")</f>
        <v/>
      </c>
      <c r="I228">
        <f>IFERROR(INDEX('1.산군_붙여넣기'!$A$1:$AZ$1001,ROW(),설정!$C$11)&amp;"","")</f>
        <v/>
      </c>
      <c r="J228">
        <f>IFERROR(INDEX('1.산군_붙여넣기'!$A$1:$AZ$1001,ROW(),설정!$C$12)&amp;"","")</f>
        <v/>
      </c>
      <c r="K228">
        <f>IFERROR(INDEX('1.산군_붙여넣기'!$A$1:$AZ$1001,ROW(),설정!$C$13)&amp;"","")</f>
        <v/>
      </c>
      <c r="L228" s="6">
        <f>IF(X228="","",IF(AND(LEN(X228)=8,ISNUMBER(X228*1)),DATE(LEFT(X228,4),MID(X228,5,2),RIGHT(X228,2)),IFERROR(DATEVALUE(SUBSTITUTE(SUBSTITUTE(X228,".","-"),"/","-")),IFERROR(X228*1,""))))</f>
        <v/>
      </c>
      <c r="M228" s="6">
        <f>IF(Y228="","",IF(AND(LEN(Y228)=8,ISNUMBER(Y228*1)),DATE(LEFT(Y228,4),MID(Y228,5,2),RIGHT(Y228,2)),IFERROR(DATEVALUE(SUBSTITUTE(SUBSTITUTE(Y228,".","-"),"/","-")),IFERROR(Y228*1,""))))</f>
        <v/>
      </c>
      <c r="N228">
        <f>IFERROR(LEFT(B228,FIND(" ",B228)-1),B228)</f>
        <v/>
      </c>
      <c r="O228">
        <f>AND(B228&lt;&gt;"",B228&lt;&gt;설정!$B$4,C228&lt;&gt;설정!$B$5)</f>
        <v/>
      </c>
      <c r="P228">
        <f>IF(O228,B228&amp;"|"&amp;C228,"")</f>
        <v/>
      </c>
      <c r="Q228">
        <f>AND(O228,COUNTIF(P229:P$1002,P228)=0)</f>
        <v/>
      </c>
      <c r="R228">
        <f>OR(AND(설정!$A$28&lt;&gt;"",ISNUMBER(SEARCH(설정!$A$28,E228&amp;" "&amp;C228))),AND(설정!$A$29&lt;&gt;"",ISNUMBER(SEARCH(설정!$A$29,E228&amp;" "&amp;C228))),AND(설정!$A$30&lt;&gt;"",ISNUMBER(SEARCH(설정!$A$30,E228&amp;" "&amp;C228))),AND(설정!$A$31&lt;&gt;"",ISNUMBER(SEARCH(설정!$A$31,E228&amp;" "&amp;C228))),AND(설정!$A$32&lt;&gt;"",ISNUMBER(SEARCH(설정!$A$32,E228&amp;" "&amp;C228))),AND(설정!$A$33&lt;&gt;"",ISNUMBER(SEARCH(설정!$A$33,E228&amp;" "&amp;C228))),AND(설정!$A$34&lt;&gt;"",ISNUMBER(SEARCH(설정!$A$34,E228&amp;" "&amp;C228))),AND(설정!$A$35&lt;&gt;"",ISNUMBER(SEARCH(설정!$A$35,E228&amp;" "&amp;C228))),AND(설정!$A$36&lt;&gt;"",ISNUMBER(SEARCH(설정!$A$36,E228&amp;" "&amp;C228))),AND(설정!$A$37&lt;&gt;"",ISNUMBER(SEARCH(설정!$A$37,E228&amp;" "&amp;C228))))</f>
        <v/>
      </c>
      <c r="S228">
        <f>OR(D228="",D228&gt;=설정!$B$19)</f>
        <v/>
      </c>
      <c r="T228">
        <f>AND(Q228,R228,S228)</f>
        <v/>
      </c>
      <c r="U228">
        <f>IF(T228,IF(AND(설정!$A$41&lt;&gt;"",ISNUMBER(SEARCH(설정!$A$41,K228))),설정!$B$41,IF(AND(설정!$A$42&lt;&gt;"",ISNUMBER(SEARCH(설정!$A$42,K228))),설정!$B$42,IF(AND(설정!$A$43&lt;&gt;"",ISNUMBER(SEARCH(설정!$A$43,K228))),설정!$B$43,IF(AND(설정!$A$44&lt;&gt;"",ISNUMBER(SEARCH(설정!$A$44,K228))),설정!$B$44,IF(AND(설정!$A$45&lt;&gt;"",ISNUMBER(SEARCH(설정!$A$45,K228))),설정!$B$45,IF(AND(설정!$A$46&lt;&gt;"",ISNUMBER(SEARCH(설정!$A$46,K228))),설정!$B$46,IF(AND(설정!$A$47&lt;&gt;"",ISNUMBER(SEARCH(설정!$A$47,K228))),설정!$B$47,IF(AND(설정!$A$48&lt;&gt;"",ISNUMBER(SEARCH(설정!$A$48,K228))),설정!$B$48,IF(M228="","설계사","시공사"))))))))),"")</f>
        <v/>
      </c>
      <c r="V228">
        <f>SUBSTITUTE(SUBSTITUTE(SUBSTITUTE(SUBSTITUTE(G228,"(주)",""),"㈜",""),"주식회사","")," ","")</f>
        <v/>
      </c>
      <c r="W228">
        <f>IF(AND(T228,V228&lt;&gt;""),IF(COUNTIFS(V$2:V228,V228,T$2:T228,TRUE)=1,MAX(W$1:W227)+1,""),"")</f>
        <v/>
      </c>
      <c r="X228">
        <f>IFERROR(INDEX('1.산군_붙여넣기'!$A$1:$AZ$1001,ROW(),설정!$C$14)&amp;"","")</f>
        <v/>
      </c>
      <c r="Y228">
        <f>IFERROR(INDEX('1.산군_붙여넣기'!$A$1:$AZ$1001,ROW(),설정!$C$15)&amp;"","")</f>
        <v/>
      </c>
      <c r="Z228">
        <f>IF(T228,V228&amp;"|"&amp;U228,"")</f>
        <v/>
      </c>
    </row>
    <row r="229">
      <c r="A229">
        <f>ROW()</f>
        <v/>
      </c>
      <c r="B229">
        <f>IFERROR(INDEX('1.산군_붙여넣기'!$A$1:$AZ$1001,ROW(),설정!$C$4)&amp;"","")</f>
        <v/>
      </c>
      <c r="C229">
        <f>IFERROR(INDEX('1.산군_붙여넣기'!$A$1:$AZ$1001,ROW(),설정!$C$5)&amp;"","")</f>
        <v/>
      </c>
      <c r="D229" s="5">
        <f>IFERROR(VALUE(SUBSTITUTE(SUBSTITUTE(SUBSTITUTE(IFERROR(INDEX('1.산군_붙여넣기'!$A$1:$AZ$1001,ROW(),설정!$C$6)&amp;"",""),",",""),"㎡",""),"m2","")),"")</f>
        <v/>
      </c>
      <c r="E229">
        <f>IFERROR(INDEX('1.산군_붙여넣기'!$A$1:$AZ$1001,ROW(),설정!$C$7)&amp;"","")</f>
        <v/>
      </c>
      <c r="F229">
        <f>IFERROR(INDEX('1.산군_붙여넣기'!$A$1:$AZ$1001,ROW(),설정!$C$8)&amp;"","")</f>
        <v/>
      </c>
      <c r="G229">
        <f>IFERROR(INDEX('1.산군_붙여넣기'!$A$1:$AZ$1001,ROW(),설정!$C$9)&amp;"","")</f>
        <v/>
      </c>
      <c r="H229">
        <f>IFERROR(INDEX('1.산군_붙여넣기'!$A$1:$AZ$1001,ROW(),설정!$C$10)&amp;"","")</f>
        <v/>
      </c>
      <c r="I229">
        <f>IFERROR(INDEX('1.산군_붙여넣기'!$A$1:$AZ$1001,ROW(),설정!$C$11)&amp;"","")</f>
        <v/>
      </c>
      <c r="J229">
        <f>IFERROR(INDEX('1.산군_붙여넣기'!$A$1:$AZ$1001,ROW(),설정!$C$12)&amp;"","")</f>
        <v/>
      </c>
      <c r="K229">
        <f>IFERROR(INDEX('1.산군_붙여넣기'!$A$1:$AZ$1001,ROW(),설정!$C$13)&amp;"","")</f>
        <v/>
      </c>
      <c r="L229" s="6">
        <f>IF(X229="","",IF(AND(LEN(X229)=8,ISNUMBER(X229*1)),DATE(LEFT(X229,4),MID(X229,5,2),RIGHT(X229,2)),IFERROR(DATEVALUE(SUBSTITUTE(SUBSTITUTE(X229,".","-"),"/","-")),IFERROR(X229*1,""))))</f>
        <v/>
      </c>
      <c r="M229" s="6">
        <f>IF(Y229="","",IF(AND(LEN(Y229)=8,ISNUMBER(Y229*1)),DATE(LEFT(Y229,4),MID(Y229,5,2),RIGHT(Y229,2)),IFERROR(DATEVALUE(SUBSTITUTE(SUBSTITUTE(Y229,".","-"),"/","-")),IFERROR(Y229*1,""))))</f>
        <v/>
      </c>
      <c r="N229">
        <f>IFERROR(LEFT(B229,FIND(" ",B229)-1),B229)</f>
        <v/>
      </c>
      <c r="O229">
        <f>AND(B229&lt;&gt;"",B229&lt;&gt;설정!$B$4,C229&lt;&gt;설정!$B$5)</f>
        <v/>
      </c>
      <c r="P229">
        <f>IF(O229,B229&amp;"|"&amp;C229,"")</f>
        <v/>
      </c>
      <c r="Q229">
        <f>AND(O229,COUNTIF(P230:P$1002,P229)=0)</f>
        <v/>
      </c>
      <c r="R229">
        <f>OR(AND(설정!$A$28&lt;&gt;"",ISNUMBER(SEARCH(설정!$A$28,E229&amp;" "&amp;C229))),AND(설정!$A$29&lt;&gt;"",ISNUMBER(SEARCH(설정!$A$29,E229&amp;" "&amp;C229))),AND(설정!$A$30&lt;&gt;"",ISNUMBER(SEARCH(설정!$A$30,E229&amp;" "&amp;C229))),AND(설정!$A$31&lt;&gt;"",ISNUMBER(SEARCH(설정!$A$31,E229&amp;" "&amp;C229))),AND(설정!$A$32&lt;&gt;"",ISNUMBER(SEARCH(설정!$A$32,E229&amp;" "&amp;C229))),AND(설정!$A$33&lt;&gt;"",ISNUMBER(SEARCH(설정!$A$33,E229&amp;" "&amp;C229))),AND(설정!$A$34&lt;&gt;"",ISNUMBER(SEARCH(설정!$A$34,E229&amp;" "&amp;C229))),AND(설정!$A$35&lt;&gt;"",ISNUMBER(SEARCH(설정!$A$35,E229&amp;" "&amp;C229))),AND(설정!$A$36&lt;&gt;"",ISNUMBER(SEARCH(설정!$A$36,E229&amp;" "&amp;C229))),AND(설정!$A$37&lt;&gt;"",ISNUMBER(SEARCH(설정!$A$37,E229&amp;" "&amp;C229))))</f>
        <v/>
      </c>
      <c r="S229">
        <f>OR(D229="",D229&gt;=설정!$B$19)</f>
        <v/>
      </c>
      <c r="T229">
        <f>AND(Q229,R229,S229)</f>
        <v/>
      </c>
      <c r="U229">
        <f>IF(T229,IF(AND(설정!$A$41&lt;&gt;"",ISNUMBER(SEARCH(설정!$A$41,K229))),설정!$B$41,IF(AND(설정!$A$42&lt;&gt;"",ISNUMBER(SEARCH(설정!$A$42,K229))),설정!$B$42,IF(AND(설정!$A$43&lt;&gt;"",ISNUMBER(SEARCH(설정!$A$43,K229))),설정!$B$43,IF(AND(설정!$A$44&lt;&gt;"",ISNUMBER(SEARCH(설정!$A$44,K229))),설정!$B$44,IF(AND(설정!$A$45&lt;&gt;"",ISNUMBER(SEARCH(설정!$A$45,K229))),설정!$B$45,IF(AND(설정!$A$46&lt;&gt;"",ISNUMBER(SEARCH(설정!$A$46,K229))),설정!$B$46,IF(AND(설정!$A$47&lt;&gt;"",ISNUMBER(SEARCH(설정!$A$47,K229))),설정!$B$47,IF(AND(설정!$A$48&lt;&gt;"",ISNUMBER(SEARCH(설정!$A$48,K229))),설정!$B$48,IF(M229="","설계사","시공사"))))))))),"")</f>
        <v/>
      </c>
      <c r="V229">
        <f>SUBSTITUTE(SUBSTITUTE(SUBSTITUTE(SUBSTITUTE(G229,"(주)",""),"㈜",""),"주식회사","")," ","")</f>
        <v/>
      </c>
      <c r="W229">
        <f>IF(AND(T229,V229&lt;&gt;""),IF(COUNTIFS(V$2:V229,V229,T$2:T229,TRUE)=1,MAX(W$1:W228)+1,""),"")</f>
        <v/>
      </c>
      <c r="X229">
        <f>IFERROR(INDEX('1.산군_붙여넣기'!$A$1:$AZ$1001,ROW(),설정!$C$14)&amp;"","")</f>
        <v/>
      </c>
      <c r="Y229">
        <f>IFERROR(INDEX('1.산군_붙여넣기'!$A$1:$AZ$1001,ROW(),설정!$C$15)&amp;"","")</f>
        <v/>
      </c>
      <c r="Z229">
        <f>IF(T229,V229&amp;"|"&amp;U229,"")</f>
        <v/>
      </c>
    </row>
    <row r="230">
      <c r="A230">
        <f>ROW()</f>
        <v/>
      </c>
      <c r="B230">
        <f>IFERROR(INDEX('1.산군_붙여넣기'!$A$1:$AZ$1001,ROW(),설정!$C$4)&amp;"","")</f>
        <v/>
      </c>
      <c r="C230">
        <f>IFERROR(INDEX('1.산군_붙여넣기'!$A$1:$AZ$1001,ROW(),설정!$C$5)&amp;"","")</f>
        <v/>
      </c>
      <c r="D230" s="5">
        <f>IFERROR(VALUE(SUBSTITUTE(SUBSTITUTE(SUBSTITUTE(IFERROR(INDEX('1.산군_붙여넣기'!$A$1:$AZ$1001,ROW(),설정!$C$6)&amp;"",""),",",""),"㎡",""),"m2","")),"")</f>
        <v/>
      </c>
      <c r="E230">
        <f>IFERROR(INDEX('1.산군_붙여넣기'!$A$1:$AZ$1001,ROW(),설정!$C$7)&amp;"","")</f>
        <v/>
      </c>
      <c r="F230">
        <f>IFERROR(INDEX('1.산군_붙여넣기'!$A$1:$AZ$1001,ROW(),설정!$C$8)&amp;"","")</f>
        <v/>
      </c>
      <c r="G230">
        <f>IFERROR(INDEX('1.산군_붙여넣기'!$A$1:$AZ$1001,ROW(),설정!$C$9)&amp;"","")</f>
        <v/>
      </c>
      <c r="H230">
        <f>IFERROR(INDEX('1.산군_붙여넣기'!$A$1:$AZ$1001,ROW(),설정!$C$10)&amp;"","")</f>
        <v/>
      </c>
      <c r="I230">
        <f>IFERROR(INDEX('1.산군_붙여넣기'!$A$1:$AZ$1001,ROW(),설정!$C$11)&amp;"","")</f>
        <v/>
      </c>
      <c r="J230">
        <f>IFERROR(INDEX('1.산군_붙여넣기'!$A$1:$AZ$1001,ROW(),설정!$C$12)&amp;"","")</f>
        <v/>
      </c>
      <c r="K230">
        <f>IFERROR(INDEX('1.산군_붙여넣기'!$A$1:$AZ$1001,ROW(),설정!$C$13)&amp;"","")</f>
        <v/>
      </c>
      <c r="L230" s="6">
        <f>IF(X230="","",IF(AND(LEN(X230)=8,ISNUMBER(X230*1)),DATE(LEFT(X230,4),MID(X230,5,2),RIGHT(X230,2)),IFERROR(DATEVALUE(SUBSTITUTE(SUBSTITUTE(X230,".","-"),"/","-")),IFERROR(X230*1,""))))</f>
        <v/>
      </c>
      <c r="M230" s="6">
        <f>IF(Y230="","",IF(AND(LEN(Y230)=8,ISNUMBER(Y230*1)),DATE(LEFT(Y230,4),MID(Y230,5,2),RIGHT(Y230,2)),IFERROR(DATEVALUE(SUBSTITUTE(SUBSTITUTE(Y230,".","-"),"/","-")),IFERROR(Y230*1,""))))</f>
        <v/>
      </c>
      <c r="N230">
        <f>IFERROR(LEFT(B230,FIND(" ",B230)-1),B230)</f>
        <v/>
      </c>
      <c r="O230">
        <f>AND(B230&lt;&gt;"",B230&lt;&gt;설정!$B$4,C230&lt;&gt;설정!$B$5)</f>
        <v/>
      </c>
      <c r="P230">
        <f>IF(O230,B230&amp;"|"&amp;C230,"")</f>
        <v/>
      </c>
      <c r="Q230">
        <f>AND(O230,COUNTIF(P231:P$1002,P230)=0)</f>
        <v/>
      </c>
      <c r="R230">
        <f>OR(AND(설정!$A$28&lt;&gt;"",ISNUMBER(SEARCH(설정!$A$28,E230&amp;" "&amp;C230))),AND(설정!$A$29&lt;&gt;"",ISNUMBER(SEARCH(설정!$A$29,E230&amp;" "&amp;C230))),AND(설정!$A$30&lt;&gt;"",ISNUMBER(SEARCH(설정!$A$30,E230&amp;" "&amp;C230))),AND(설정!$A$31&lt;&gt;"",ISNUMBER(SEARCH(설정!$A$31,E230&amp;" "&amp;C230))),AND(설정!$A$32&lt;&gt;"",ISNUMBER(SEARCH(설정!$A$32,E230&amp;" "&amp;C230))),AND(설정!$A$33&lt;&gt;"",ISNUMBER(SEARCH(설정!$A$33,E230&amp;" "&amp;C230))),AND(설정!$A$34&lt;&gt;"",ISNUMBER(SEARCH(설정!$A$34,E230&amp;" "&amp;C230))),AND(설정!$A$35&lt;&gt;"",ISNUMBER(SEARCH(설정!$A$35,E230&amp;" "&amp;C230))),AND(설정!$A$36&lt;&gt;"",ISNUMBER(SEARCH(설정!$A$36,E230&amp;" "&amp;C230))),AND(설정!$A$37&lt;&gt;"",ISNUMBER(SEARCH(설정!$A$37,E230&amp;" "&amp;C230))))</f>
        <v/>
      </c>
      <c r="S230">
        <f>OR(D230="",D230&gt;=설정!$B$19)</f>
        <v/>
      </c>
      <c r="T230">
        <f>AND(Q230,R230,S230)</f>
        <v/>
      </c>
      <c r="U230">
        <f>IF(T230,IF(AND(설정!$A$41&lt;&gt;"",ISNUMBER(SEARCH(설정!$A$41,K230))),설정!$B$41,IF(AND(설정!$A$42&lt;&gt;"",ISNUMBER(SEARCH(설정!$A$42,K230))),설정!$B$42,IF(AND(설정!$A$43&lt;&gt;"",ISNUMBER(SEARCH(설정!$A$43,K230))),설정!$B$43,IF(AND(설정!$A$44&lt;&gt;"",ISNUMBER(SEARCH(설정!$A$44,K230))),설정!$B$44,IF(AND(설정!$A$45&lt;&gt;"",ISNUMBER(SEARCH(설정!$A$45,K230))),설정!$B$45,IF(AND(설정!$A$46&lt;&gt;"",ISNUMBER(SEARCH(설정!$A$46,K230))),설정!$B$46,IF(AND(설정!$A$47&lt;&gt;"",ISNUMBER(SEARCH(설정!$A$47,K230))),설정!$B$47,IF(AND(설정!$A$48&lt;&gt;"",ISNUMBER(SEARCH(설정!$A$48,K230))),설정!$B$48,IF(M230="","설계사","시공사"))))))))),"")</f>
        <v/>
      </c>
      <c r="V230">
        <f>SUBSTITUTE(SUBSTITUTE(SUBSTITUTE(SUBSTITUTE(G230,"(주)",""),"㈜",""),"주식회사","")," ","")</f>
        <v/>
      </c>
      <c r="W230">
        <f>IF(AND(T230,V230&lt;&gt;""),IF(COUNTIFS(V$2:V230,V230,T$2:T230,TRUE)=1,MAX(W$1:W229)+1,""),"")</f>
        <v/>
      </c>
      <c r="X230">
        <f>IFERROR(INDEX('1.산군_붙여넣기'!$A$1:$AZ$1001,ROW(),설정!$C$14)&amp;"","")</f>
        <v/>
      </c>
      <c r="Y230">
        <f>IFERROR(INDEX('1.산군_붙여넣기'!$A$1:$AZ$1001,ROW(),설정!$C$15)&amp;"","")</f>
        <v/>
      </c>
      <c r="Z230">
        <f>IF(T230,V230&amp;"|"&amp;U230,"")</f>
        <v/>
      </c>
    </row>
    <row r="231">
      <c r="A231">
        <f>ROW()</f>
        <v/>
      </c>
      <c r="B231">
        <f>IFERROR(INDEX('1.산군_붙여넣기'!$A$1:$AZ$1001,ROW(),설정!$C$4)&amp;"","")</f>
        <v/>
      </c>
      <c r="C231">
        <f>IFERROR(INDEX('1.산군_붙여넣기'!$A$1:$AZ$1001,ROW(),설정!$C$5)&amp;"","")</f>
        <v/>
      </c>
      <c r="D231" s="5">
        <f>IFERROR(VALUE(SUBSTITUTE(SUBSTITUTE(SUBSTITUTE(IFERROR(INDEX('1.산군_붙여넣기'!$A$1:$AZ$1001,ROW(),설정!$C$6)&amp;"",""),",",""),"㎡",""),"m2","")),"")</f>
        <v/>
      </c>
      <c r="E231">
        <f>IFERROR(INDEX('1.산군_붙여넣기'!$A$1:$AZ$1001,ROW(),설정!$C$7)&amp;"","")</f>
        <v/>
      </c>
      <c r="F231">
        <f>IFERROR(INDEX('1.산군_붙여넣기'!$A$1:$AZ$1001,ROW(),설정!$C$8)&amp;"","")</f>
        <v/>
      </c>
      <c r="G231">
        <f>IFERROR(INDEX('1.산군_붙여넣기'!$A$1:$AZ$1001,ROW(),설정!$C$9)&amp;"","")</f>
        <v/>
      </c>
      <c r="H231">
        <f>IFERROR(INDEX('1.산군_붙여넣기'!$A$1:$AZ$1001,ROW(),설정!$C$10)&amp;"","")</f>
        <v/>
      </c>
      <c r="I231">
        <f>IFERROR(INDEX('1.산군_붙여넣기'!$A$1:$AZ$1001,ROW(),설정!$C$11)&amp;"","")</f>
        <v/>
      </c>
      <c r="J231">
        <f>IFERROR(INDEX('1.산군_붙여넣기'!$A$1:$AZ$1001,ROW(),설정!$C$12)&amp;"","")</f>
        <v/>
      </c>
      <c r="K231">
        <f>IFERROR(INDEX('1.산군_붙여넣기'!$A$1:$AZ$1001,ROW(),설정!$C$13)&amp;"","")</f>
        <v/>
      </c>
      <c r="L231" s="6">
        <f>IF(X231="","",IF(AND(LEN(X231)=8,ISNUMBER(X231*1)),DATE(LEFT(X231,4),MID(X231,5,2),RIGHT(X231,2)),IFERROR(DATEVALUE(SUBSTITUTE(SUBSTITUTE(X231,".","-"),"/","-")),IFERROR(X231*1,""))))</f>
        <v/>
      </c>
      <c r="M231" s="6">
        <f>IF(Y231="","",IF(AND(LEN(Y231)=8,ISNUMBER(Y231*1)),DATE(LEFT(Y231,4),MID(Y231,5,2),RIGHT(Y231,2)),IFERROR(DATEVALUE(SUBSTITUTE(SUBSTITUTE(Y231,".","-"),"/","-")),IFERROR(Y231*1,""))))</f>
        <v/>
      </c>
      <c r="N231">
        <f>IFERROR(LEFT(B231,FIND(" ",B231)-1),B231)</f>
        <v/>
      </c>
      <c r="O231">
        <f>AND(B231&lt;&gt;"",B231&lt;&gt;설정!$B$4,C231&lt;&gt;설정!$B$5)</f>
        <v/>
      </c>
      <c r="P231">
        <f>IF(O231,B231&amp;"|"&amp;C231,"")</f>
        <v/>
      </c>
      <c r="Q231">
        <f>AND(O231,COUNTIF(P232:P$1002,P231)=0)</f>
        <v/>
      </c>
      <c r="R231">
        <f>OR(AND(설정!$A$28&lt;&gt;"",ISNUMBER(SEARCH(설정!$A$28,E231&amp;" "&amp;C231))),AND(설정!$A$29&lt;&gt;"",ISNUMBER(SEARCH(설정!$A$29,E231&amp;" "&amp;C231))),AND(설정!$A$30&lt;&gt;"",ISNUMBER(SEARCH(설정!$A$30,E231&amp;" "&amp;C231))),AND(설정!$A$31&lt;&gt;"",ISNUMBER(SEARCH(설정!$A$31,E231&amp;" "&amp;C231))),AND(설정!$A$32&lt;&gt;"",ISNUMBER(SEARCH(설정!$A$32,E231&amp;" "&amp;C231))),AND(설정!$A$33&lt;&gt;"",ISNUMBER(SEARCH(설정!$A$33,E231&amp;" "&amp;C231))),AND(설정!$A$34&lt;&gt;"",ISNUMBER(SEARCH(설정!$A$34,E231&amp;" "&amp;C231))),AND(설정!$A$35&lt;&gt;"",ISNUMBER(SEARCH(설정!$A$35,E231&amp;" "&amp;C231))),AND(설정!$A$36&lt;&gt;"",ISNUMBER(SEARCH(설정!$A$36,E231&amp;" "&amp;C231))),AND(설정!$A$37&lt;&gt;"",ISNUMBER(SEARCH(설정!$A$37,E231&amp;" "&amp;C231))))</f>
        <v/>
      </c>
      <c r="S231">
        <f>OR(D231="",D231&gt;=설정!$B$19)</f>
        <v/>
      </c>
      <c r="T231">
        <f>AND(Q231,R231,S231)</f>
        <v/>
      </c>
      <c r="U231">
        <f>IF(T231,IF(AND(설정!$A$41&lt;&gt;"",ISNUMBER(SEARCH(설정!$A$41,K231))),설정!$B$41,IF(AND(설정!$A$42&lt;&gt;"",ISNUMBER(SEARCH(설정!$A$42,K231))),설정!$B$42,IF(AND(설정!$A$43&lt;&gt;"",ISNUMBER(SEARCH(설정!$A$43,K231))),설정!$B$43,IF(AND(설정!$A$44&lt;&gt;"",ISNUMBER(SEARCH(설정!$A$44,K231))),설정!$B$44,IF(AND(설정!$A$45&lt;&gt;"",ISNUMBER(SEARCH(설정!$A$45,K231))),설정!$B$45,IF(AND(설정!$A$46&lt;&gt;"",ISNUMBER(SEARCH(설정!$A$46,K231))),설정!$B$46,IF(AND(설정!$A$47&lt;&gt;"",ISNUMBER(SEARCH(설정!$A$47,K231))),설정!$B$47,IF(AND(설정!$A$48&lt;&gt;"",ISNUMBER(SEARCH(설정!$A$48,K231))),설정!$B$48,IF(M231="","설계사","시공사"))))))))),"")</f>
        <v/>
      </c>
      <c r="V231">
        <f>SUBSTITUTE(SUBSTITUTE(SUBSTITUTE(SUBSTITUTE(G231,"(주)",""),"㈜",""),"주식회사","")," ","")</f>
        <v/>
      </c>
      <c r="W231">
        <f>IF(AND(T231,V231&lt;&gt;""),IF(COUNTIFS(V$2:V231,V231,T$2:T231,TRUE)=1,MAX(W$1:W230)+1,""),"")</f>
        <v/>
      </c>
      <c r="X231">
        <f>IFERROR(INDEX('1.산군_붙여넣기'!$A$1:$AZ$1001,ROW(),설정!$C$14)&amp;"","")</f>
        <v/>
      </c>
      <c r="Y231">
        <f>IFERROR(INDEX('1.산군_붙여넣기'!$A$1:$AZ$1001,ROW(),설정!$C$15)&amp;"","")</f>
        <v/>
      </c>
      <c r="Z231">
        <f>IF(T231,V231&amp;"|"&amp;U231,"")</f>
        <v/>
      </c>
    </row>
    <row r="232">
      <c r="A232">
        <f>ROW()</f>
        <v/>
      </c>
      <c r="B232">
        <f>IFERROR(INDEX('1.산군_붙여넣기'!$A$1:$AZ$1001,ROW(),설정!$C$4)&amp;"","")</f>
        <v/>
      </c>
      <c r="C232">
        <f>IFERROR(INDEX('1.산군_붙여넣기'!$A$1:$AZ$1001,ROW(),설정!$C$5)&amp;"","")</f>
        <v/>
      </c>
      <c r="D232" s="5">
        <f>IFERROR(VALUE(SUBSTITUTE(SUBSTITUTE(SUBSTITUTE(IFERROR(INDEX('1.산군_붙여넣기'!$A$1:$AZ$1001,ROW(),설정!$C$6)&amp;"",""),",",""),"㎡",""),"m2","")),"")</f>
        <v/>
      </c>
      <c r="E232">
        <f>IFERROR(INDEX('1.산군_붙여넣기'!$A$1:$AZ$1001,ROW(),설정!$C$7)&amp;"","")</f>
        <v/>
      </c>
      <c r="F232">
        <f>IFERROR(INDEX('1.산군_붙여넣기'!$A$1:$AZ$1001,ROW(),설정!$C$8)&amp;"","")</f>
        <v/>
      </c>
      <c r="G232">
        <f>IFERROR(INDEX('1.산군_붙여넣기'!$A$1:$AZ$1001,ROW(),설정!$C$9)&amp;"","")</f>
        <v/>
      </c>
      <c r="H232">
        <f>IFERROR(INDEX('1.산군_붙여넣기'!$A$1:$AZ$1001,ROW(),설정!$C$10)&amp;"","")</f>
        <v/>
      </c>
      <c r="I232">
        <f>IFERROR(INDEX('1.산군_붙여넣기'!$A$1:$AZ$1001,ROW(),설정!$C$11)&amp;"","")</f>
        <v/>
      </c>
      <c r="J232">
        <f>IFERROR(INDEX('1.산군_붙여넣기'!$A$1:$AZ$1001,ROW(),설정!$C$12)&amp;"","")</f>
        <v/>
      </c>
      <c r="K232">
        <f>IFERROR(INDEX('1.산군_붙여넣기'!$A$1:$AZ$1001,ROW(),설정!$C$13)&amp;"","")</f>
        <v/>
      </c>
      <c r="L232" s="6">
        <f>IF(X232="","",IF(AND(LEN(X232)=8,ISNUMBER(X232*1)),DATE(LEFT(X232,4),MID(X232,5,2),RIGHT(X232,2)),IFERROR(DATEVALUE(SUBSTITUTE(SUBSTITUTE(X232,".","-"),"/","-")),IFERROR(X232*1,""))))</f>
        <v/>
      </c>
      <c r="M232" s="6">
        <f>IF(Y232="","",IF(AND(LEN(Y232)=8,ISNUMBER(Y232*1)),DATE(LEFT(Y232,4),MID(Y232,5,2),RIGHT(Y232,2)),IFERROR(DATEVALUE(SUBSTITUTE(SUBSTITUTE(Y232,".","-"),"/","-")),IFERROR(Y232*1,""))))</f>
        <v/>
      </c>
      <c r="N232">
        <f>IFERROR(LEFT(B232,FIND(" ",B232)-1),B232)</f>
        <v/>
      </c>
      <c r="O232">
        <f>AND(B232&lt;&gt;"",B232&lt;&gt;설정!$B$4,C232&lt;&gt;설정!$B$5)</f>
        <v/>
      </c>
      <c r="P232">
        <f>IF(O232,B232&amp;"|"&amp;C232,"")</f>
        <v/>
      </c>
      <c r="Q232">
        <f>AND(O232,COUNTIF(P233:P$1002,P232)=0)</f>
        <v/>
      </c>
      <c r="R232">
        <f>OR(AND(설정!$A$28&lt;&gt;"",ISNUMBER(SEARCH(설정!$A$28,E232&amp;" "&amp;C232))),AND(설정!$A$29&lt;&gt;"",ISNUMBER(SEARCH(설정!$A$29,E232&amp;" "&amp;C232))),AND(설정!$A$30&lt;&gt;"",ISNUMBER(SEARCH(설정!$A$30,E232&amp;" "&amp;C232))),AND(설정!$A$31&lt;&gt;"",ISNUMBER(SEARCH(설정!$A$31,E232&amp;" "&amp;C232))),AND(설정!$A$32&lt;&gt;"",ISNUMBER(SEARCH(설정!$A$32,E232&amp;" "&amp;C232))),AND(설정!$A$33&lt;&gt;"",ISNUMBER(SEARCH(설정!$A$33,E232&amp;" "&amp;C232))),AND(설정!$A$34&lt;&gt;"",ISNUMBER(SEARCH(설정!$A$34,E232&amp;" "&amp;C232))),AND(설정!$A$35&lt;&gt;"",ISNUMBER(SEARCH(설정!$A$35,E232&amp;" "&amp;C232))),AND(설정!$A$36&lt;&gt;"",ISNUMBER(SEARCH(설정!$A$36,E232&amp;" "&amp;C232))),AND(설정!$A$37&lt;&gt;"",ISNUMBER(SEARCH(설정!$A$37,E232&amp;" "&amp;C232))))</f>
        <v/>
      </c>
      <c r="S232">
        <f>OR(D232="",D232&gt;=설정!$B$19)</f>
        <v/>
      </c>
      <c r="T232">
        <f>AND(Q232,R232,S232)</f>
        <v/>
      </c>
      <c r="U232">
        <f>IF(T232,IF(AND(설정!$A$41&lt;&gt;"",ISNUMBER(SEARCH(설정!$A$41,K232))),설정!$B$41,IF(AND(설정!$A$42&lt;&gt;"",ISNUMBER(SEARCH(설정!$A$42,K232))),설정!$B$42,IF(AND(설정!$A$43&lt;&gt;"",ISNUMBER(SEARCH(설정!$A$43,K232))),설정!$B$43,IF(AND(설정!$A$44&lt;&gt;"",ISNUMBER(SEARCH(설정!$A$44,K232))),설정!$B$44,IF(AND(설정!$A$45&lt;&gt;"",ISNUMBER(SEARCH(설정!$A$45,K232))),설정!$B$45,IF(AND(설정!$A$46&lt;&gt;"",ISNUMBER(SEARCH(설정!$A$46,K232))),설정!$B$46,IF(AND(설정!$A$47&lt;&gt;"",ISNUMBER(SEARCH(설정!$A$47,K232))),설정!$B$47,IF(AND(설정!$A$48&lt;&gt;"",ISNUMBER(SEARCH(설정!$A$48,K232))),설정!$B$48,IF(M232="","설계사","시공사"))))))))),"")</f>
        <v/>
      </c>
      <c r="V232">
        <f>SUBSTITUTE(SUBSTITUTE(SUBSTITUTE(SUBSTITUTE(G232,"(주)",""),"㈜",""),"주식회사","")," ","")</f>
        <v/>
      </c>
      <c r="W232">
        <f>IF(AND(T232,V232&lt;&gt;""),IF(COUNTIFS(V$2:V232,V232,T$2:T232,TRUE)=1,MAX(W$1:W231)+1,""),"")</f>
        <v/>
      </c>
      <c r="X232">
        <f>IFERROR(INDEX('1.산군_붙여넣기'!$A$1:$AZ$1001,ROW(),설정!$C$14)&amp;"","")</f>
        <v/>
      </c>
      <c r="Y232">
        <f>IFERROR(INDEX('1.산군_붙여넣기'!$A$1:$AZ$1001,ROW(),설정!$C$15)&amp;"","")</f>
        <v/>
      </c>
      <c r="Z232">
        <f>IF(T232,V232&amp;"|"&amp;U232,"")</f>
        <v/>
      </c>
    </row>
    <row r="233">
      <c r="A233">
        <f>ROW()</f>
        <v/>
      </c>
      <c r="B233">
        <f>IFERROR(INDEX('1.산군_붙여넣기'!$A$1:$AZ$1001,ROW(),설정!$C$4)&amp;"","")</f>
        <v/>
      </c>
      <c r="C233">
        <f>IFERROR(INDEX('1.산군_붙여넣기'!$A$1:$AZ$1001,ROW(),설정!$C$5)&amp;"","")</f>
        <v/>
      </c>
      <c r="D233" s="5">
        <f>IFERROR(VALUE(SUBSTITUTE(SUBSTITUTE(SUBSTITUTE(IFERROR(INDEX('1.산군_붙여넣기'!$A$1:$AZ$1001,ROW(),설정!$C$6)&amp;"",""),",",""),"㎡",""),"m2","")),"")</f>
        <v/>
      </c>
      <c r="E233">
        <f>IFERROR(INDEX('1.산군_붙여넣기'!$A$1:$AZ$1001,ROW(),설정!$C$7)&amp;"","")</f>
        <v/>
      </c>
      <c r="F233">
        <f>IFERROR(INDEX('1.산군_붙여넣기'!$A$1:$AZ$1001,ROW(),설정!$C$8)&amp;"","")</f>
        <v/>
      </c>
      <c r="G233">
        <f>IFERROR(INDEX('1.산군_붙여넣기'!$A$1:$AZ$1001,ROW(),설정!$C$9)&amp;"","")</f>
        <v/>
      </c>
      <c r="H233">
        <f>IFERROR(INDEX('1.산군_붙여넣기'!$A$1:$AZ$1001,ROW(),설정!$C$10)&amp;"","")</f>
        <v/>
      </c>
      <c r="I233">
        <f>IFERROR(INDEX('1.산군_붙여넣기'!$A$1:$AZ$1001,ROW(),설정!$C$11)&amp;"","")</f>
        <v/>
      </c>
      <c r="J233">
        <f>IFERROR(INDEX('1.산군_붙여넣기'!$A$1:$AZ$1001,ROW(),설정!$C$12)&amp;"","")</f>
        <v/>
      </c>
      <c r="K233">
        <f>IFERROR(INDEX('1.산군_붙여넣기'!$A$1:$AZ$1001,ROW(),설정!$C$13)&amp;"","")</f>
        <v/>
      </c>
      <c r="L233" s="6">
        <f>IF(X233="","",IF(AND(LEN(X233)=8,ISNUMBER(X233*1)),DATE(LEFT(X233,4),MID(X233,5,2),RIGHT(X233,2)),IFERROR(DATEVALUE(SUBSTITUTE(SUBSTITUTE(X233,".","-"),"/","-")),IFERROR(X233*1,""))))</f>
        <v/>
      </c>
      <c r="M233" s="6">
        <f>IF(Y233="","",IF(AND(LEN(Y233)=8,ISNUMBER(Y233*1)),DATE(LEFT(Y233,4),MID(Y233,5,2),RIGHT(Y233,2)),IFERROR(DATEVALUE(SUBSTITUTE(SUBSTITUTE(Y233,".","-"),"/","-")),IFERROR(Y233*1,""))))</f>
        <v/>
      </c>
      <c r="N233">
        <f>IFERROR(LEFT(B233,FIND(" ",B233)-1),B233)</f>
        <v/>
      </c>
      <c r="O233">
        <f>AND(B233&lt;&gt;"",B233&lt;&gt;설정!$B$4,C233&lt;&gt;설정!$B$5)</f>
        <v/>
      </c>
      <c r="P233">
        <f>IF(O233,B233&amp;"|"&amp;C233,"")</f>
        <v/>
      </c>
      <c r="Q233">
        <f>AND(O233,COUNTIF(P234:P$1002,P233)=0)</f>
        <v/>
      </c>
      <c r="R233">
        <f>OR(AND(설정!$A$28&lt;&gt;"",ISNUMBER(SEARCH(설정!$A$28,E233&amp;" "&amp;C233))),AND(설정!$A$29&lt;&gt;"",ISNUMBER(SEARCH(설정!$A$29,E233&amp;" "&amp;C233))),AND(설정!$A$30&lt;&gt;"",ISNUMBER(SEARCH(설정!$A$30,E233&amp;" "&amp;C233))),AND(설정!$A$31&lt;&gt;"",ISNUMBER(SEARCH(설정!$A$31,E233&amp;" "&amp;C233))),AND(설정!$A$32&lt;&gt;"",ISNUMBER(SEARCH(설정!$A$32,E233&amp;" "&amp;C233))),AND(설정!$A$33&lt;&gt;"",ISNUMBER(SEARCH(설정!$A$33,E233&amp;" "&amp;C233))),AND(설정!$A$34&lt;&gt;"",ISNUMBER(SEARCH(설정!$A$34,E233&amp;" "&amp;C233))),AND(설정!$A$35&lt;&gt;"",ISNUMBER(SEARCH(설정!$A$35,E233&amp;" "&amp;C233))),AND(설정!$A$36&lt;&gt;"",ISNUMBER(SEARCH(설정!$A$36,E233&amp;" "&amp;C233))),AND(설정!$A$37&lt;&gt;"",ISNUMBER(SEARCH(설정!$A$37,E233&amp;" "&amp;C233))))</f>
        <v/>
      </c>
      <c r="S233">
        <f>OR(D233="",D233&gt;=설정!$B$19)</f>
        <v/>
      </c>
      <c r="T233">
        <f>AND(Q233,R233,S233)</f>
        <v/>
      </c>
      <c r="U233">
        <f>IF(T233,IF(AND(설정!$A$41&lt;&gt;"",ISNUMBER(SEARCH(설정!$A$41,K233))),설정!$B$41,IF(AND(설정!$A$42&lt;&gt;"",ISNUMBER(SEARCH(설정!$A$42,K233))),설정!$B$42,IF(AND(설정!$A$43&lt;&gt;"",ISNUMBER(SEARCH(설정!$A$43,K233))),설정!$B$43,IF(AND(설정!$A$44&lt;&gt;"",ISNUMBER(SEARCH(설정!$A$44,K233))),설정!$B$44,IF(AND(설정!$A$45&lt;&gt;"",ISNUMBER(SEARCH(설정!$A$45,K233))),설정!$B$45,IF(AND(설정!$A$46&lt;&gt;"",ISNUMBER(SEARCH(설정!$A$46,K233))),설정!$B$46,IF(AND(설정!$A$47&lt;&gt;"",ISNUMBER(SEARCH(설정!$A$47,K233))),설정!$B$47,IF(AND(설정!$A$48&lt;&gt;"",ISNUMBER(SEARCH(설정!$A$48,K233))),설정!$B$48,IF(M233="","설계사","시공사"))))))))),"")</f>
        <v/>
      </c>
      <c r="V233">
        <f>SUBSTITUTE(SUBSTITUTE(SUBSTITUTE(SUBSTITUTE(G233,"(주)",""),"㈜",""),"주식회사","")," ","")</f>
        <v/>
      </c>
      <c r="W233">
        <f>IF(AND(T233,V233&lt;&gt;""),IF(COUNTIFS(V$2:V233,V233,T$2:T233,TRUE)=1,MAX(W$1:W232)+1,""),"")</f>
        <v/>
      </c>
      <c r="X233">
        <f>IFERROR(INDEX('1.산군_붙여넣기'!$A$1:$AZ$1001,ROW(),설정!$C$14)&amp;"","")</f>
        <v/>
      </c>
      <c r="Y233">
        <f>IFERROR(INDEX('1.산군_붙여넣기'!$A$1:$AZ$1001,ROW(),설정!$C$15)&amp;"","")</f>
        <v/>
      </c>
      <c r="Z233">
        <f>IF(T233,V233&amp;"|"&amp;U233,"")</f>
        <v/>
      </c>
    </row>
    <row r="234">
      <c r="A234">
        <f>ROW()</f>
        <v/>
      </c>
      <c r="B234">
        <f>IFERROR(INDEX('1.산군_붙여넣기'!$A$1:$AZ$1001,ROW(),설정!$C$4)&amp;"","")</f>
        <v/>
      </c>
      <c r="C234">
        <f>IFERROR(INDEX('1.산군_붙여넣기'!$A$1:$AZ$1001,ROW(),설정!$C$5)&amp;"","")</f>
        <v/>
      </c>
      <c r="D234" s="5">
        <f>IFERROR(VALUE(SUBSTITUTE(SUBSTITUTE(SUBSTITUTE(IFERROR(INDEX('1.산군_붙여넣기'!$A$1:$AZ$1001,ROW(),설정!$C$6)&amp;"",""),",",""),"㎡",""),"m2","")),"")</f>
        <v/>
      </c>
      <c r="E234">
        <f>IFERROR(INDEX('1.산군_붙여넣기'!$A$1:$AZ$1001,ROW(),설정!$C$7)&amp;"","")</f>
        <v/>
      </c>
      <c r="F234">
        <f>IFERROR(INDEX('1.산군_붙여넣기'!$A$1:$AZ$1001,ROW(),설정!$C$8)&amp;"","")</f>
        <v/>
      </c>
      <c r="G234">
        <f>IFERROR(INDEX('1.산군_붙여넣기'!$A$1:$AZ$1001,ROW(),설정!$C$9)&amp;"","")</f>
        <v/>
      </c>
      <c r="H234">
        <f>IFERROR(INDEX('1.산군_붙여넣기'!$A$1:$AZ$1001,ROW(),설정!$C$10)&amp;"","")</f>
        <v/>
      </c>
      <c r="I234">
        <f>IFERROR(INDEX('1.산군_붙여넣기'!$A$1:$AZ$1001,ROW(),설정!$C$11)&amp;"","")</f>
        <v/>
      </c>
      <c r="J234">
        <f>IFERROR(INDEX('1.산군_붙여넣기'!$A$1:$AZ$1001,ROW(),설정!$C$12)&amp;"","")</f>
        <v/>
      </c>
      <c r="K234">
        <f>IFERROR(INDEX('1.산군_붙여넣기'!$A$1:$AZ$1001,ROW(),설정!$C$13)&amp;"","")</f>
        <v/>
      </c>
      <c r="L234" s="6">
        <f>IF(X234="","",IF(AND(LEN(X234)=8,ISNUMBER(X234*1)),DATE(LEFT(X234,4),MID(X234,5,2),RIGHT(X234,2)),IFERROR(DATEVALUE(SUBSTITUTE(SUBSTITUTE(X234,".","-"),"/","-")),IFERROR(X234*1,""))))</f>
        <v/>
      </c>
      <c r="M234" s="6">
        <f>IF(Y234="","",IF(AND(LEN(Y234)=8,ISNUMBER(Y234*1)),DATE(LEFT(Y234,4),MID(Y234,5,2),RIGHT(Y234,2)),IFERROR(DATEVALUE(SUBSTITUTE(SUBSTITUTE(Y234,".","-"),"/","-")),IFERROR(Y234*1,""))))</f>
        <v/>
      </c>
      <c r="N234">
        <f>IFERROR(LEFT(B234,FIND(" ",B234)-1),B234)</f>
        <v/>
      </c>
      <c r="O234">
        <f>AND(B234&lt;&gt;"",B234&lt;&gt;설정!$B$4,C234&lt;&gt;설정!$B$5)</f>
        <v/>
      </c>
      <c r="P234">
        <f>IF(O234,B234&amp;"|"&amp;C234,"")</f>
        <v/>
      </c>
      <c r="Q234">
        <f>AND(O234,COUNTIF(P235:P$1002,P234)=0)</f>
        <v/>
      </c>
      <c r="R234">
        <f>OR(AND(설정!$A$28&lt;&gt;"",ISNUMBER(SEARCH(설정!$A$28,E234&amp;" "&amp;C234))),AND(설정!$A$29&lt;&gt;"",ISNUMBER(SEARCH(설정!$A$29,E234&amp;" "&amp;C234))),AND(설정!$A$30&lt;&gt;"",ISNUMBER(SEARCH(설정!$A$30,E234&amp;" "&amp;C234))),AND(설정!$A$31&lt;&gt;"",ISNUMBER(SEARCH(설정!$A$31,E234&amp;" "&amp;C234))),AND(설정!$A$32&lt;&gt;"",ISNUMBER(SEARCH(설정!$A$32,E234&amp;" "&amp;C234))),AND(설정!$A$33&lt;&gt;"",ISNUMBER(SEARCH(설정!$A$33,E234&amp;" "&amp;C234))),AND(설정!$A$34&lt;&gt;"",ISNUMBER(SEARCH(설정!$A$34,E234&amp;" "&amp;C234))),AND(설정!$A$35&lt;&gt;"",ISNUMBER(SEARCH(설정!$A$35,E234&amp;" "&amp;C234))),AND(설정!$A$36&lt;&gt;"",ISNUMBER(SEARCH(설정!$A$36,E234&amp;" "&amp;C234))),AND(설정!$A$37&lt;&gt;"",ISNUMBER(SEARCH(설정!$A$37,E234&amp;" "&amp;C234))))</f>
        <v/>
      </c>
      <c r="S234">
        <f>OR(D234="",D234&gt;=설정!$B$19)</f>
        <v/>
      </c>
      <c r="T234">
        <f>AND(Q234,R234,S234)</f>
        <v/>
      </c>
      <c r="U234">
        <f>IF(T234,IF(AND(설정!$A$41&lt;&gt;"",ISNUMBER(SEARCH(설정!$A$41,K234))),설정!$B$41,IF(AND(설정!$A$42&lt;&gt;"",ISNUMBER(SEARCH(설정!$A$42,K234))),설정!$B$42,IF(AND(설정!$A$43&lt;&gt;"",ISNUMBER(SEARCH(설정!$A$43,K234))),설정!$B$43,IF(AND(설정!$A$44&lt;&gt;"",ISNUMBER(SEARCH(설정!$A$44,K234))),설정!$B$44,IF(AND(설정!$A$45&lt;&gt;"",ISNUMBER(SEARCH(설정!$A$45,K234))),설정!$B$45,IF(AND(설정!$A$46&lt;&gt;"",ISNUMBER(SEARCH(설정!$A$46,K234))),설정!$B$46,IF(AND(설정!$A$47&lt;&gt;"",ISNUMBER(SEARCH(설정!$A$47,K234))),설정!$B$47,IF(AND(설정!$A$48&lt;&gt;"",ISNUMBER(SEARCH(설정!$A$48,K234))),설정!$B$48,IF(M234="","설계사","시공사"))))))))),"")</f>
        <v/>
      </c>
      <c r="V234">
        <f>SUBSTITUTE(SUBSTITUTE(SUBSTITUTE(SUBSTITUTE(G234,"(주)",""),"㈜",""),"주식회사","")," ","")</f>
        <v/>
      </c>
      <c r="W234">
        <f>IF(AND(T234,V234&lt;&gt;""),IF(COUNTIFS(V$2:V234,V234,T$2:T234,TRUE)=1,MAX(W$1:W233)+1,""),"")</f>
        <v/>
      </c>
      <c r="X234">
        <f>IFERROR(INDEX('1.산군_붙여넣기'!$A$1:$AZ$1001,ROW(),설정!$C$14)&amp;"","")</f>
        <v/>
      </c>
      <c r="Y234">
        <f>IFERROR(INDEX('1.산군_붙여넣기'!$A$1:$AZ$1001,ROW(),설정!$C$15)&amp;"","")</f>
        <v/>
      </c>
      <c r="Z234">
        <f>IF(T234,V234&amp;"|"&amp;U234,"")</f>
        <v/>
      </c>
    </row>
    <row r="235">
      <c r="A235">
        <f>ROW()</f>
        <v/>
      </c>
      <c r="B235">
        <f>IFERROR(INDEX('1.산군_붙여넣기'!$A$1:$AZ$1001,ROW(),설정!$C$4)&amp;"","")</f>
        <v/>
      </c>
      <c r="C235">
        <f>IFERROR(INDEX('1.산군_붙여넣기'!$A$1:$AZ$1001,ROW(),설정!$C$5)&amp;"","")</f>
        <v/>
      </c>
      <c r="D235" s="5">
        <f>IFERROR(VALUE(SUBSTITUTE(SUBSTITUTE(SUBSTITUTE(IFERROR(INDEX('1.산군_붙여넣기'!$A$1:$AZ$1001,ROW(),설정!$C$6)&amp;"",""),",",""),"㎡",""),"m2","")),"")</f>
        <v/>
      </c>
      <c r="E235">
        <f>IFERROR(INDEX('1.산군_붙여넣기'!$A$1:$AZ$1001,ROW(),설정!$C$7)&amp;"","")</f>
        <v/>
      </c>
      <c r="F235">
        <f>IFERROR(INDEX('1.산군_붙여넣기'!$A$1:$AZ$1001,ROW(),설정!$C$8)&amp;"","")</f>
        <v/>
      </c>
      <c r="G235">
        <f>IFERROR(INDEX('1.산군_붙여넣기'!$A$1:$AZ$1001,ROW(),설정!$C$9)&amp;"","")</f>
        <v/>
      </c>
      <c r="H235">
        <f>IFERROR(INDEX('1.산군_붙여넣기'!$A$1:$AZ$1001,ROW(),설정!$C$10)&amp;"","")</f>
        <v/>
      </c>
      <c r="I235">
        <f>IFERROR(INDEX('1.산군_붙여넣기'!$A$1:$AZ$1001,ROW(),설정!$C$11)&amp;"","")</f>
        <v/>
      </c>
      <c r="J235">
        <f>IFERROR(INDEX('1.산군_붙여넣기'!$A$1:$AZ$1001,ROW(),설정!$C$12)&amp;"","")</f>
        <v/>
      </c>
      <c r="K235">
        <f>IFERROR(INDEX('1.산군_붙여넣기'!$A$1:$AZ$1001,ROW(),설정!$C$13)&amp;"","")</f>
        <v/>
      </c>
      <c r="L235" s="6">
        <f>IF(X235="","",IF(AND(LEN(X235)=8,ISNUMBER(X235*1)),DATE(LEFT(X235,4),MID(X235,5,2),RIGHT(X235,2)),IFERROR(DATEVALUE(SUBSTITUTE(SUBSTITUTE(X235,".","-"),"/","-")),IFERROR(X235*1,""))))</f>
        <v/>
      </c>
      <c r="M235" s="6">
        <f>IF(Y235="","",IF(AND(LEN(Y235)=8,ISNUMBER(Y235*1)),DATE(LEFT(Y235,4),MID(Y235,5,2),RIGHT(Y235,2)),IFERROR(DATEVALUE(SUBSTITUTE(SUBSTITUTE(Y235,".","-"),"/","-")),IFERROR(Y235*1,""))))</f>
        <v/>
      </c>
      <c r="N235">
        <f>IFERROR(LEFT(B235,FIND(" ",B235)-1),B235)</f>
        <v/>
      </c>
      <c r="O235">
        <f>AND(B235&lt;&gt;"",B235&lt;&gt;설정!$B$4,C235&lt;&gt;설정!$B$5)</f>
        <v/>
      </c>
      <c r="P235">
        <f>IF(O235,B235&amp;"|"&amp;C235,"")</f>
        <v/>
      </c>
      <c r="Q235">
        <f>AND(O235,COUNTIF(P236:P$1002,P235)=0)</f>
        <v/>
      </c>
      <c r="R235">
        <f>OR(AND(설정!$A$28&lt;&gt;"",ISNUMBER(SEARCH(설정!$A$28,E235&amp;" "&amp;C235))),AND(설정!$A$29&lt;&gt;"",ISNUMBER(SEARCH(설정!$A$29,E235&amp;" "&amp;C235))),AND(설정!$A$30&lt;&gt;"",ISNUMBER(SEARCH(설정!$A$30,E235&amp;" "&amp;C235))),AND(설정!$A$31&lt;&gt;"",ISNUMBER(SEARCH(설정!$A$31,E235&amp;" "&amp;C235))),AND(설정!$A$32&lt;&gt;"",ISNUMBER(SEARCH(설정!$A$32,E235&amp;" "&amp;C235))),AND(설정!$A$33&lt;&gt;"",ISNUMBER(SEARCH(설정!$A$33,E235&amp;" "&amp;C235))),AND(설정!$A$34&lt;&gt;"",ISNUMBER(SEARCH(설정!$A$34,E235&amp;" "&amp;C235))),AND(설정!$A$35&lt;&gt;"",ISNUMBER(SEARCH(설정!$A$35,E235&amp;" "&amp;C235))),AND(설정!$A$36&lt;&gt;"",ISNUMBER(SEARCH(설정!$A$36,E235&amp;" "&amp;C235))),AND(설정!$A$37&lt;&gt;"",ISNUMBER(SEARCH(설정!$A$37,E235&amp;" "&amp;C235))))</f>
        <v/>
      </c>
      <c r="S235">
        <f>OR(D235="",D235&gt;=설정!$B$19)</f>
        <v/>
      </c>
      <c r="T235">
        <f>AND(Q235,R235,S235)</f>
        <v/>
      </c>
      <c r="U235">
        <f>IF(T235,IF(AND(설정!$A$41&lt;&gt;"",ISNUMBER(SEARCH(설정!$A$41,K235))),설정!$B$41,IF(AND(설정!$A$42&lt;&gt;"",ISNUMBER(SEARCH(설정!$A$42,K235))),설정!$B$42,IF(AND(설정!$A$43&lt;&gt;"",ISNUMBER(SEARCH(설정!$A$43,K235))),설정!$B$43,IF(AND(설정!$A$44&lt;&gt;"",ISNUMBER(SEARCH(설정!$A$44,K235))),설정!$B$44,IF(AND(설정!$A$45&lt;&gt;"",ISNUMBER(SEARCH(설정!$A$45,K235))),설정!$B$45,IF(AND(설정!$A$46&lt;&gt;"",ISNUMBER(SEARCH(설정!$A$46,K235))),설정!$B$46,IF(AND(설정!$A$47&lt;&gt;"",ISNUMBER(SEARCH(설정!$A$47,K235))),설정!$B$47,IF(AND(설정!$A$48&lt;&gt;"",ISNUMBER(SEARCH(설정!$A$48,K235))),설정!$B$48,IF(M235="","설계사","시공사"))))))))),"")</f>
        <v/>
      </c>
      <c r="V235">
        <f>SUBSTITUTE(SUBSTITUTE(SUBSTITUTE(SUBSTITUTE(G235,"(주)",""),"㈜",""),"주식회사","")," ","")</f>
        <v/>
      </c>
      <c r="W235">
        <f>IF(AND(T235,V235&lt;&gt;""),IF(COUNTIFS(V$2:V235,V235,T$2:T235,TRUE)=1,MAX(W$1:W234)+1,""),"")</f>
        <v/>
      </c>
      <c r="X235">
        <f>IFERROR(INDEX('1.산군_붙여넣기'!$A$1:$AZ$1001,ROW(),설정!$C$14)&amp;"","")</f>
        <v/>
      </c>
      <c r="Y235">
        <f>IFERROR(INDEX('1.산군_붙여넣기'!$A$1:$AZ$1001,ROW(),설정!$C$15)&amp;"","")</f>
        <v/>
      </c>
      <c r="Z235">
        <f>IF(T235,V235&amp;"|"&amp;U235,"")</f>
        <v/>
      </c>
    </row>
    <row r="236">
      <c r="A236">
        <f>ROW()</f>
        <v/>
      </c>
      <c r="B236">
        <f>IFERROR(INDEX('1.산군_붙여넣기'!$A$1:$AZ$1001,ROW(),설정!$C$4)&amp;"","")</f>
        <v/>
      </c>
      <c r="C236">
        <f>IFERROR(INDEX('1.산군_붙여넣기'!$A$1:$AZ$1001,ROW(),설정!$C$5)&amp;"","")</f>
        <v/>
      </c>
      <c r="D236" s="5">
        <f>IFERROR(VALUE(SUBSTITUTE(SUBSTITUTE(SUBSTITUTE(IFERROR(INDEX('1.산군_붙여넣기'!$A$1:$AZ$1001,ROW(),설정!$C$6)&amp;"",""),",",""),"㎡",""),"m2","")),"")</f>
        <v/>
      </c>
      <c r="E236">
        <f>IFERROR(INDEX('1.산군_붙여넣기'!$A$1:$AZ$1001,ROW(),설정!$C$7)&amp;"","")</f>
        <v/>
      </c>
      <c r="F236">
        <f>IFERROR(INDEX('1.산군_붙여넣기'!$A$1:$AZ$1001,ROW(),설정!$C$8)&amp;"","")</f>
        <v/>
      </c>
      <c r="G236">
        <f>IFERROR(INDEX('1.산군_붙여넣기'!$A$1:$AZ$1001,ROW(),설정!$C$9)&amp;"","")</f>
        <v/>
      </c>
      <c r="H236">
        <f>IFERROR(INDEX('1.산군_붙여넣기'!$A$1:$AZ$1001,ROW(),설정!$C$10)&amp;"","")</f>
        <v/>
      </c>
      <c r="I236">
        <f>IFERROR(INDEX('1.산군_붙여넣기'!$A$1:$AZ$1001,ROW(),설정!$C$11)&amp;"","")</f>
        <v/>
      </c>
      <c r="J236">
        <f>IFERROR(INDEX('1.산군_붙여넣기'!$A$1:$AZ$1001,ROW(),설정!$C$12)&amp;"","")</f>
        <v/>
      </c>
      <c r="K236">
        <f>IFERROR(INDEX('1.산군_붙여넣기'!$A$1:$AZ$1001,ROW(),설정!$C$13)&amp;"","")</f>
        <v/>
      </c>
      <c r="L236" s="6">
        <f>IF(X236="","",IF(AND(LEN(X236)=8,ISNUMBER(X236*1)),DATE(LEFT(X236,4),MID(X236,5,2),RIGHT(X236,2)),IFERROR(DATEVALUE(SUBSTITUTE(SUBSTITUTE(X236,".","-"),"/","-")),IFERROR(X236*1,""))))</f>
        <v/>
      </c>
      <c r="M236" s="6">
        <f>IF(Y236="","",IF(AND(LEN(Y236)=8,ISNUMBER(Y236*1)),DATE(LEFT(Y236,4),MID(Y236,5,2),RIGHT(Y236,2)),IFERROR(DATEVALUE(SUBSTITUTE(SUBSTITUTE(Y236,".","-"),"/","-")),IFERROR(Y236*1,""))))</f>
        <v/>
      </c>
      <c r="N236">
        <f>IFERROR(LEFT(B236,FIND(" ",B236)-1),B236)</f>
        <v/>
      </c>
      <c r="O236">
        <f>AND(B236&lt;&gt;"",B236&lt;&gt;설정!$B$4,C236&lt;&gt;설정!$B$5)</f>
        <v/>
      </c>
      <c r="P236">
        <f>IF(O236,B236&amp;"|"&amp;C236,"")</f>
        <v/>
      </c>
      <c r="Q236">
        <f>AND(O236,COUNTIF(P237:P$1002,P236)=0)</f>
        <v/>
      </c>
      <c r="R236">
        <f>OR(AND(설정!$A$28&lt;&gt;"",ISNUMBER(SEARCH(설정!$A$28,E236&amp;" "&amp;C236))),AND(설정!$A$29&lt;&gt;"",ISNUMBER(SEARCH(설정!$A$29,E236&amp;" "&amp;C236))),AND(설정!$A$30&lt;&gt;"",ISNUMBER(SEARCH(설정!$A$30,E236&amp;" "&amp;C236))),AND(설정!$A$31&lt;&gt;"",ISNUMBER(SEARCH(설정!$A$31,E236&amp;" "&amp;C236))),AND(설정!$A$32&lt;&gt;"",ISNUMBER(SEARCH(설정!$A$32,E236&amp;" "&amp;C236))),AND(설정!$A$33&lt;&gt;"",ISNUMBER(SEARCH(설정!$A$33,E236&amp;" "&amp;C236))),AND(설정!$A$34&lt;&gt;"",ISNUMBER(SEARCH(설정!$A$34,E236&amp;" "&amp;C236))),AND(설정!$A$35&lt;&gt;"",ISNUMBER(SEARCH(설정!$A$35,E236&amp;" "&amp;C236))),AND(설정!$A$36&lt;&gt;"",ISNUMBER(SEARCH(설정!$A$36,E236&amp;" "&amp;C236))),AND(설정!$A$37&lt;&gt;"",ISNUMBER(SEARCH(설정!$A$37,E236&amp;" "&amp;C236))))</f>
        <v/>
      </c>
      <c r="S236">
        <f>OR(D236="",D236&gt;=설정!$B$19)</f>
        <v/>
      </c>
      <c r="T236">
        <f>AND(Q236,R236,S236)</f>
        <v/>
      </c>
      <c r="U236">
        <f>IF(T236,IF(AND(설정!$A$41&lt;&gt;"",ISNUMBER(SEARCH(설정!$A$41,K236))),설정!$B$41,IF(AND(설정!$A$42&lt;&gt;"",ISNUMBER(SEARCH(설정!$A$42,K236))),설정!$B$42,IF(AND(설정!$A$43&lt;&gt;"",ISNUMBER(SEARCH(설정!$A$43,K236))),설정!$B$43,IF(AND(설정!$A$44&lt;&gt;"",ISNUMBER(SEARCH(설정!$A$44,K236))),설정!$B$44,IF(AND(설정!$A$45&lt;&gt;"",ISNUMBER(SEARCH(설정!$A$45,K236))),설정!$B$45,IF(AND(설정!$A$46&lt;&gt;"",ISNUMBER(SEARCH(설정!$A$46,K236))),설정!$B$46,IF(AND(설정!$A$47&lt;&gt;"",ISNUMBER(SEARCH(설정!$A$47,K236))),설정!$B$47,IF(AND(설정!$A$48&lt;&gt;"",ISNUMBER(SEARCH(설정!$A$48,K236))),설정!$B$48,IF(M236="","설계사","시공사"))))))))),"")</f>
        <v/>
      </c>
      <c r="V236">
        <f>SUBSTITUTE(SUBSTITUTE(SUBSTITUTE(SUBSTITUTE(G236,"(주)",""),"㈜",""),"주식회사","")," ","")</f>
        <v/>
      </c>
      <c r="W236">
        <f>IF(AND(T236,V236&lt;&gt;""),IF(COUNTIFS(V$2:V236,V236,T$2:T236,TRUE)=1,MAX(W$1:W235)+1,""),"")</f>
        <v/>
      </c>
      <c r="X236">
        <f>IFERROR(INDEX('1.산군_붙여넣기'!$A$1:$AZ$1001,ROW(),설정!$C$14)&amp;"","")</f>
        <v/>
      </c>
      <c r="Y236">
        <f>IFERROR(INDEX('1.산군_붙여넣기'!$A$1:$AZ$1001,ROW(),설정!$C$15)&amp;"","")</f>
        <v/>
      </c>
      <c r="Z236">
        <f>IF(T236,V236&amp;"|"&amp;U236,"")</f>
        <v/>
      </c>
    </row>
    <row r="237">
      <c r="A237">
        <f>ROW()</f>
        <v/>
      </c>
      <c r="B237">
        <f>IFERROR(INDEX('1.산군_붙여넣기'!$A$1:$AZ$1001,ROW(),설정!$C$4)&amp;"","")</f>
        <v/>
      </c>
      <c r="C237">
        <f>IFERROR(INDEX('1.산군_붙여넣기'!$A$1:$AZ$1001,ROW(),설정!$C$5)&amp;"","")</f>
        <v/>
      </c>
      <c r="D237" s="5">
        <f>IFERROR(VALUE(SUBSTITUTE(SUBSTITUTE(SUBSTITUTE(IFERROR(INDEX('1.산군_붙여넣기'!$A$1:$AZ$1001,ROW(),설정!$C$6)&amp;"",""),",",""),"㎡",""),"m2","")),"")</f>
        <v/>
      </c>
      <c r="E237">
        <f>IFERROR(INDEX('1.산군_붙여넣기'!$A$1:$AZ$1001,ROW(),설정!$C$7)&amp;"","")</f>
        <v/>
      </c>
      <c r="F237">
        <f>IFERROR(INDEX('1.산군_붙여넣기'!$A$1:$AZ$1001,ROW(),설정!$C$8)&amp;"","")</f>
        <v/>
      </c>
      <c r="G237">
        <f>IFERROR(INDEX('1.산군_붙여넣기'!$A$1:$AZ$1001,ROW(),설정!$C$9)&amp;"","")</f>
        <v/>
      </c>
      <c r="H237">
        <f>IFERROR(INDEX('1.산군_붙여넣기'!$A$1:$AZ$1001,ROW(),설정!$C$10)&amp;"","")</f>
        <v/>
      </c>
      <c r="I237">
        <f>IFERROR(INDEX('1.산군_붙여넣기'!$A$1:$AZ$1001,ROW(),설정!$C$11)&amp;"","")</f>
        <v/>
      </c>
      <c r="J237">
        <f>IFERROR(INDEX('1.산군_붙여넣기'!$A$1:$AZ$1001,ROW(),설정!$C$12)&amp;"","")</f>
        <v/>
      </c>
      <c r="K237">
        <f>IFERROR(INDEX('1.산군_붙여넣기'!$A$1:$AZ$1001,ROW(),설정!$C$13)&amp;"","")</f>
        <v/>
      </c>
      <c r="L237" s="6">
        <f>IF(X237="","",IF(AND(LEN(X237)=8,ISNUMBER(X237*1)),DATE(LEFT(X237,4),MID(X237,5,2),RIGHT(X237,2)),IFERROR(DATEVALUE(SUBSTITUTE(SUBSTITUTE(X237,".","-"),"/","-")),IFERROR(X237*1,""))))</f>
        <v/>
      </c>
      <c r="M237" s="6">
        <f>IF(Y237="","",IF(AND(LEN(Y237)=8,ISNUMBER(Y237*1)),DATE(LEFT(Y237,4),MID(Y237,5,2),RIGHT(Y237,2)),IFERROR(DATEVALUE(SUBSTITUTE(SUBSTITUTE(Y237,".","-"),"/","-")),IFERROR(Y237*1,""))))</f>
        <v/>
      </c>
      <c r="N237">
        <f>IFERROR(LEFT(B237,FIND(" ",B237)-1),B237)</f>
        <v/>
      </c>
      <c r="O237">
        <f>AND(B237&lt;&gt;"",B237&lt;&gt;설정!$B$4,C237&lt;&gt;설정!$B$5)</f>
        <v/>
      </c>
      <c r="P237">
        <f>IF(O237,B237&amp;"|"&amp;C237,"")</f>
        <v/>
      </c>
      <c r="Q237">
        <f>AND(O237,COUNTIF(P238:P$1002,P237)=0)</f>
        <v/>
      </c>
      <c r="R237">
        <f>OR(AND(설정!$A$28&lt;&gt;"",ISNUMBER(SEARCH(설정!$A$28,E237&amp;" "&amp;C237))),AND(설정!$A$29&lt;&gt;"",ISNUMBER(SEARCH(설정!$A$29,E237&amp;" "&amp;C237))),AND(설정!$A$30&lt;&gt;"",ISNUMBER(SEARCH(설정!$A$30,E237&amp;" "&amp;C237))),AND(설정!$A$31&lt;&gt;"",ISNUMBER(SEARCH(설정!$A$31,E237&amp;" "&amp;C237))),AND(설정!$A$32&lt;&gt;"",ISNUMBER(SEARCH(설정!$A$32,E237&amp;" "&amp;C237))),AND(설정!$A$33&lt;&gt;"",ISNUMBER(SEARCH(설정!$A$33,E237&amp;" "&amp;C237))),AND(설정!$A$34&lt;&gt;"",ISNUMBER(SEARCH(설정!$A$34,E237&amp;" "&amp;C237))),AND(설정!$A$35&lt;&gt;"",ISNUMBER(SEARCH(설정!$A$35,E237&amp;" "&amp;C237))),AND(설정!$A$36&lt;&gt;"",ISNUMBER(SEARCH(설정!$A$36,E237&amp;" "&amp;C237))),AND(설정!$A$37&lt;&gt;"",ISNUMBER(SEARCH(설정!$A$37,E237&amp;" "&amp;C237))))</f>
        <v/>
      </c>
      <c r="S237">
        <f>OR(D237="",D237&gt;=설정!$B$19)</f>
        <v/>
      </c>
      <c r="T237">
        <f>AND(Q237,R237,S237)</f>
        <v/>
      </c>
      <c r="U237">
        <f>IF(T237,IF(AND(설정!$A$41&lt;&gt;"",ISNUMBER(SEARCH(설정!$A$41,K237))),설정!$B$41,IF(AND(설정!$A$42&lt;&gt;"",ISNUMBER(SEARCH(설정!$A$42,K237))),설정!$B$42,IF(AND(설정!$A$43&lt;&gt;"",ISNUMBER(SEARCH(설정!$A$43,K237))),설정!$B$43,IF(AND(설정!$A$44&lt;&gt;"",ISNUMBER(SEARCH(설정!$A$44,K237))),설정!$B$44,IF(AND(설정!$A$45&lt;&gt;"",ISNUMBER(SEARCH(설정!$A$45,K237))),설정!$B$45,IF(AND(설정!$A$46&lt;&gt;"",ISNUMBER(SEARCH(설정!$A$46,K237))),설정!$B$46,IF(AND(설정!$A$47&lt;&gt;"",ISNUMBER(SEARCH(설정!$A$47,K237))),설정!$B$47,IF(AND(설정!$A$48&lt;&gt;"",ISNUMBER(SEARCH(설정!$A$48,K237))),설정!$B$48,IF(M237="","설계사","시공사"))))))))),"")</f>
        <v/>
      </c>
      <c r="V237">
        <f>SUBSTITUTE(SUBSTITUTE(SUBSTITUTE(SUBSTITUTE(G237,"(주)",""),"㈜",""),"주식회사","")," ","")</f>
        <v/>
      </c>
      <c r="W237">
        <f>IF(AND(T237,V237&lt;&gt;""),IF(COUNTIFS(V$2:V237,V237,T$2:T237,TRUE)=1,MAX(W$1:W236)+1,""),"")</f>
        <v/>
      </c>
      <c r="X237">
        <f>IFERROR(INDEX('1.산군_붙여넣기'!$A$1:$AZ$1001,ROW(),설정!$C$14)&amp;"","")</f>
        <v/>
      </c>
      <c r="Y237">
        <f>IFERROR(INDEX('1.산군_붙여넣기'!$A$1:$AZ$1001,ROW(),설정!$C$15)&amp;"","")</f>
        <v/>
      </c>
      <c r="Z237">
        <f>IF(T237,V237&amp;"|"&amp;U237,"")</f>
        <v/>
      </c>
    </row>
    <row r="238">
      <c r="A238">
        <f>ROW()</f>
        <v/>
      </c>
      <c r="B238">
        <f>IFERROR(INDEX('1.산군_붙여넣기'!$A$1:$AZ$1001,ROW(),설정!$C$4)&amp;"","")</f>
        <v/>
      </c>
      <c r="C238">
        <f>IFERROR(INDEX('1.산군_붙여넣기'!$A$1:$AZ$1001,ROW(),설정!$C$5)&amp;"","")</f>
        <v/>
      </c>
      <c r="D238" s="5">
        <f>IFERROR(VALUE(SUBSTITUTE(SUBSTITUTE(SUBSTITUTE(IFERROR(INDEX('1.산군_붙여넣기'!$A$1:$AZ$1001,ROW(),설정!$C$6)&amp;"",""),",",""),"㎡",""),"m2","")),"")</f>
        <v/>
      </c>
      <c r="E238">
        <f>IFERROR(INDEX('1.산군_붙여넣기'!$A$1:$AZ$1001,ROW(),설정!$C$7)&amp;"","")</f>
        <v/>
      </c>
      <c r="F238">
        <f>IFERROR(INDEX('1.산군_붙여넣기'!$A$1:$AZ$1001,ROW(),설정!$C$8)&amp;"","")</f>
        <v/>
      </c>
      <c r="G238">
        <f>IFERROR(INDEX('1.산군_붙여넣기'!$A$1:$AZ$1001,ROW(),설정!$C$9)&amp;"","")</f>
        <v/>
      </c>
      <c r="H238">
        <f>IFERROR(INDEX('1.산군_붙여넣기'!$A$1:$AZ$1001,ROW(),설정!$C$10)&amp;"","")</f>
        <v/>
      </c>
      <c r="I238">
        <f>IFERROR(INDEX('1.산군_붙여넣기'!$A$1:$AZ$1001,ROW(),설정!$C$11)&amp;"","")</f>
        <v/>
      </c>
      <c r="J238">
        <f>IFERROR(INDEX('1.산군_붙여넣기'!$A$1:$AZ$1001,ROW(),설정!$C$12)&amp;"","")</f>
        <v/>
      </c>
      <c r="K238">
        <f>IFERROR(INDEX('1.산군_붙여넣기'!$A$1:$AZ$1001,ROW(),설정!$C$13)&amp;"","")</f>
        <v/>
      </c>
      <c r="L238" s="6">
        <f>IF(X238="","",IF(AND(LEN(X238)=8,ISNUMBER(X238*1)),DATE(LEFT(X238,4),MID(X238,5,2),RIGHT(X238,2)),IFERROR(DATEVALUE(SUBSTITUTE(SUBSTITUTE(X238,".","-"),"/","-")),IFERROR(X238*1,""))))</f>
        <v/>
      </c>
      <c r="M238" s="6">
        <f>IF(Y238="","",IF(AND(LEN(Y238)=8,ISNUMBER(Y238*1)),DATE(LEFT(Y238,4),MID(Y238,5,2),RIGHT(Y238,2)),IFERROR(DATEVALUE(SUBSTITUTE(SUBSTITUTE(Y238,".","-"),"/","-")),IFERROR(Y238*1,""))))</f>
        <v/>
      </c>
      <c r="N238">
        <f>IFERROR(LEFT(B238,FIND(" ",B238)-1),B238)</f>
        <v/>
      </c>
      <c r="O238">
        <f>AND(B238&lt;&gt;"",B238&lt;&gt;설정!$B$4,C238&lt;&gt;설정!$B$5)</f>
        <v/>
      </c>
      <c r="P238">
        <f>IF(O238,B238&amp;"|"&amp;C238,"")</f>
        <v/>
      </c>
      <c r="Q238">
        <f>AND(O238,COUNTIF(P239:P$1002,P238)=0)</f>
        <v/>
      </c>
      <c r="R238">
        <f>OR(AND(설정!$A$28&lt;&gt;"",ISNUMBER(SEARCH(설정!$A$28,E238&amp;" "&amp;C238))),AND(설정!$A$29&lt;&gt;"",ISNUMBER(SEARCH(설정!$A$29,E238&amp;" "&amp;C238))),AND(설정!$A$30&lt;&gt;"",ISNUMBER(SEARCH(설정!$A$30,E238&amp;" "&amp;C238))),AND(설정!$A$31&lt;&gt;"",ISNUMBER(SEARCH(설정!$A$31,E238&amp;" "&amp;C238))),AND(설정!$A$32&lt;&gt;"",ISNUMBER(SEARCH(설정!$A$32,E238&amp;" "&amp;C238))),AND(설정!$A$33&lt;&gt;"",ISNUMBER(SEARCH(설정!$A$33,E238&amp;" "&amp;C238))),AND(설정!$A$34&lt;&gt;"",ISNUMBER(SEARCH(설정!$A$34,E238&amp;" "&amp;C238))),AND(설정!$A$35&lt;&gt;"",ISNUMBER(SEARCH(설정!$A$35,E238&amp;" "&amp;C238))),AND(설정!$A$36&lt;&gt;"",ISNUMBER(SEARCH(설정!$A$36,E238&amp;" "&amp;C238))),AND(설정!$A$37&lt;&gt;"",ISNUMBER(SEARCH(설정!$A$37,E238&amp;" "&amp;C238))))</f>
        <v/>
      </c>
      <c r="S238">
        <f>OR(D238="",D238&gt;=설정!$B$19)</f>
        <v/>
      </c>
      <c r="T238">
        <f>AND(Q238,R238,S238)</f>
        <v/>
      </c>
      <c r="U238">
        <f>IF(T238,IF(AND(설정!$A$41&lt;&gt;"",ISNUMBER(SEARCH(설정!$A$41,K238))),설정!$B$41,IF(AND(설정!$A$42&lt;&gt;"",ISNUMBER(SEARCH(설정!$A$42,K238))),설정!$B$42,IF(AND(설정!$A$43&lt;&gt;"",ISNUMBER(SEARCH(설정!$A$43,K238))),설정!$B$43,IF(AND(설정!$A$44&lt;&gt;"",ISNUMBER(SEARCH(설정!$A$44,K238))),설정!$B$44,IF(AND(설정!$A$45&lt;&gt;"",ISNUMBER(SEARCH(설정!$A$45,K238))),설정!$B$45,IF(AND(설정!$A$46&lt;&gt;"",ISNUMBER(SEARCH(설정!$A$46,K238))),설정!$B$46,IF(AND(설정!$A$47&lt;&gt;"",ISNUMBER(SEARCH(설정!$A$47,K238))),설정!$B$47,IF(AND(설정!$A$48&lt;&gt;"",ISNUMBER(SEARCH(설정!$A$48,K238))),설정!$B$48,IF(M238="","설계사","시공사"))))))))),"")</f>
        <v/>
      </c>
      <c r="V238">
        <f>SUBSTITUTE(SUBSTITUTE(SUBSTITUTE(SUBSTITUTE(G238,"(주)",""),"㈜",""),"주식회사","")," ","")</f>
        <v/>
      </c>
      <c r="W238">
        <f>IF(AND(T238,V238&lt;&gt;""),IF(COUNTIFS(V$2:V238,V238,T$2:T238,TRUE)=1,MAX(W$1:W237)+1,""),"")</f>
        <v/>
      </c>
      <c r="X238">
        <f>IFERROR(INDEX('1.산군_붙여넣기'!$A$1:$AZ$1001,ROW(),설정!$C$14)&amp;"","")</f>
        <v/>
      </c>
      <c r="Y238">
        <f>IFERROR(INDEX('1.산군_붙여넣기'!$A$1:$AZ$1001,ROW(),설정!$C$15)&amp;"","")</f>
        <v/>
      </c>
      <c r="Z238">
        <f>IF(T238,V238&amp;"|"&amp;U238,"")</f>
        <v/>
      </c>
    </row>
    <row r="239">
      <c r="A239">
        <f>ROW()</f>
        <v/>
      </c>
      <c r="B239">
        <f>IFERROR(INDEX('1.산군_붙여넣기'!$A$1:$AZ$1001,ROW(),설정!$C$4)&amp;"","")</f>
        <v/>
      </c>
      <c r="C239">
        <f>IFERROR(INDEX('1.산군_붙여넣기'!$A$1:$AZ$1001,ROW(),설정!$C$5)&amp;"","")</f>
        <v/>
      </c>
      <c r="D239" s="5">
        <f>IFERROR(VALUE(SUBSTITUTE(SUBSTITUTE(SUBSTITUTE(IFERROR(INDEX('1.산군_붙여넣기'!$A$1:$AZ$1001,ROW(),설정!$C$6)&amp;"",""),",",""),"㎡",""),"m2","")),"")</f>
        <v/>
      </c>
      <c r="E239">
        <f>IFERROR(INDEX('1.산군_붙여넣기'!$A$1:$AZ$1001,ROW(),설정!$C$7)&amp;"","")</f>
        <v/>
      </c>
      <c r="F239">
        <f>IFERROR(INDEX('1.산군_붙여넣기'!$A$1:$AZ$1001,ROW(),설정!$C$8)&amp;"","")</f>
        <v/>
      </c>
      <c r="G239">
        <f>IFERROR(INDEX('1.산군_붙여넣기'!$A$1:$AZ$1001,ROW(),설정!$C$9)&amp;"","")</f>
        <v/>
      </c>
      <c r="H239">
        <f>IFERROR(INDEX('1.산군_붙여넣기'!$A$1:$AZ$1001,ROW(),설정!$C$10)&amp;"","")</f>
        <v/>
      </c>
      <c r="I239">
        <f>IFERROR(INDEX('1.산군_붙여넣기'!$A$1:$AZ$1001,ROW(),설정!$C$11)&amp;"","")</f>
        <v/>
      </c>
      <c r="J239">
        <f>IFERROR(INDEX('1.산군_붙여넣기'!$A$1:$AZ$1001,ROW(),설정!$C$12)&amp;"","")</f>
        <v/>
      </c>
      <c r="K239">
        <f>IFERROR(INDEX('1.산군_붙여넣기'!$A$1:$AZ$1001,ROW(),설정!$C$13)&amp;"","")</f>
        <v/>
      </c>
      <c r="L239" s="6">
        <f>IF(X239="","",IF(AND(LEN(X239)=8,ISNUMBER(X239*1)),DATE(LEFT(X239,4),MID(X239,5,2),RIGHT(X239,2)),IFERROR(DATEVALUE(SUBSTITUTE(SUBSTITUTE(X239,".","-"),"/","-")),IFERROR(X239*1,""))))</f>
        <v/>
      </c>
      <c r="M239" s="6">
        <f>IF(Y239="","",IF(AND(LEN(Y239)=8,ISNUMBER(Y239*1)),DATE(LEFT(Y239,4),MID(Y239,5,2),RIGHT(Y239,2)),IFERROR(DATEVALUE(SUBSTITUTE(SUBSTITUTE(Y239,".","-"),"/","-")),IFERROR(Y239*1,""))))</f>
        <v/>
      </c>
      <c r="N239">
        <f>IFERROR(LEFT(B239,FIND(" ",B239)-1),B239)</f>
        <v/>
      </c>
      <c r="O239">
        <f>AND(B239&lt;&gt;"",B239&lt;&gt;설정!$B$4,C239&lt;&gt;설정!$B$5)</f>
        <v/>
      </c>
      <c r="P239">
        <f>IF(O239,B239&amp;"|"&amp;C239,"")</f>
        <v/>
      </c>
      <c r="Q239">
        <f>AND(O239,COUNTIF(P240:P$1002,P239)=0)</f>
        <v/>
      </c>
      <c r="R239">
        <f>OR(AND(설정!$A$28&lt;&gt;"",ISNUMBER(SEARCH(설정!$A$28,E239&amp;" "&amp;C239))),AND(설정!$A$29&lt;&gt;"",ISNUMBER(SEARCH(설정!$A$29,E239&amp;" "&amp;C239))),AND(설정!$A$30&lt;&gt;"",ISNUMBER(SEARCH(설정!$A$30,E239&amp;" "&amp;C239))),AND(설정!$A$31&lt;&gt;"",ISNUMBER(SEARCH(설정!$A$31,E239&amp;" "&amp;C239))),AND(설정!$A$32&lt;&gt;"",ISNUMBER(SEARCH(설정!$A$32,E239&amp;" "&amp;C239))),AND(설정!$A$33&lt;&gt;"",ISNUMBER(SEARCH(설정!$A$33,E239&amp;" "&amp;C239))),AND(설정!$A$34&lt;&gt;"",ISNUMBER(SEARCH(설정!$A$34,E239&amp;" "&amp;C239))),AND(설정!$A$35&lt;&gt;"",ISNUMBER(SEARCH(설정!$A$35,E239&amp;" "&amp;C239))),AND(설정!$A$36&lt;&gt;"",ISNUMBER(SEARCH(설정!$A$36,E239&amp;" "&amp;C239))),AND(설정!$A$37&lt;&gt;"",ISNUMBER(SEARCH(설정!$A$37,E239&amp;" "&amp;C239))))</f>
        <v/>
      </c>
      <c r="S239">
        <f>OR(D239="",D239&gt;=설정!$B$19)</f>
        <v/>
      </c>
      <c r="T239">
        <f>AND(Q239,R239,S239)</f>
        <v/>
      </c>
      <c r="U239">
        <f>IF(T239,IF(AND(설정!$A$41&lt;&gt;"",ISNUMBER(SEARCH(설정!$A$41,K239))),설정!$B$41,IF(AND(설정!$A$42&lt;&gt;"",ISNUMBER(SEARCH(설정!$A$42,K239))),설정!$B$42,IF(AND(설정!$A$43&lt;&gt;"",ISNUMBER(SEARCH(설정!$A$43,K239))),설정!$B$43,IF(AND(설정!$A$44&lt;&gt;"",ISNUMBER(SEARCH(설정!$A$44,K239))),설정!$B$44,IF(AND(설정!$A$45&lt;&gt;"",ISNUMBER(SEARCH(설정!$A$45,K239))),설정!$B$45,IF(AND(설정!$A$46&lt;&gt;"",ISNUMBER(SEARCH(설정!$A$46,K239))),설정!$B$46,IF(AND(설정!$A$47&lt;&gt;"",ISNUMBER(SEARCH(설정!$A$47,K239))),설정!$B$47,IF(AND(설정!$A$48&lt;&gt;"",ISNUMBER(SEARCH(설정!$A$48,K239))),설정!$B$48,IF(M239="","설계사","시공사"))))))))),"")</f>
        <v/>
      </c>
      <c r="V239">
        <f>SUBSTITUTE(SUBSTITUTE(SUBSTITUTE(SUBSTITUTE(G239,"(주)",""),"㈜",""),"주식회사","")," ","")</f>
        <v/>
      </c>
      <c r="W239">
        <f>IF(AND(T239,V239&lt;&gt;""),IF(COUNTIFS(V$2:V239,V239,T$2:T239,TRUE)=1,MAX(W$1:W238)+1,""),"")</f>
        <v/>
      </c>
      <c r="X239">
        <f>IFERROR(INDEX('1.산군_붙여넣기'!$A$1:$AZ$1001,ROW(),설정!$C$14)&amp;"","")</f>
        <v/>
      </c>
      <c r="Y239">
        <f>IFERROR(INDEX('1.산군_붙여넣기'!$A$1:$AZ$1001,ROW(),설정!$C$15)&amp;"","")</f>
        <v/>
      </c>
      <c r="Z239">
        <f>IF(T239,V239&amp;"|"&amp;U239,"")</f>
        <v/>
      </c>
    </row>
    <row r="240">
      <c r="A240">
        <f>ROW()</f>
        <v/>
      </c>
      <c r="B240">
        <f>IFERROR(INDEX('1.산군_붙여넣기'!$A$1:$AZ$1001,ROW(),설정!$C$4)&amp;"","")</f>
        <v/>
      </c>
      <c r="C240">
        <f>IFERROR(INDEX('1.산군_붙여넣기'!$A$1:$AZ$1001,ROW(),설정!$C$5)&amp;"","")</f>
        <v/>
      </c>
      <c r="D240" s="5">
        <f>IFERROR(VALUE(SUBSTITUTE(SUBSTITUTE(SUBSTITUTE(IFERROR(INDEX('1.산군_붙여넣기'!$A$1:$AZ$1001,ROW(),설정!$C$6)&amp;"",""),",",""),"㎡",""),"m2","")),"")</f>
        <v/>
      </c>
      <c r="E240">
        <f>IFERROR(INDEX('1.산군_붙여넣기'!$A$1:$AZ$1001,ROW(),설정!$C$7)&amp;"","")</f>
        <v/>
      </c>
      <c r="F240">
        <f>IFERROR(INDEX('1.산군_붙여넣기'!$A$1:$AZ$1001,ROW(),설정!$C$8)&amp;"","")</f>
        <v/>
      </c>
      <c r="G240">
        <f>IFERROR(INDEX('1.산군_붙여넣기'!$A$1:$AZ$1001,ROW(),설정!$C$9)&amp;"","")</f>
        <v/>
      </c>
      <c r="H240">
        <f>IFERROR(INDEX('1.산군_붙여넣기'!$A$1:$AZ$1001,ROW(),설정!$C$10)&amp;"","")</f>
        <v/>
      </c>
      <c r="I240">
        <f>IFERROR(INDEX('1.산군_붙여넣기'!$A$1:$AZ$1001,ROW(),설정!$C$11)&amp;"","")</f>
        <v/>
      </c>
      <c r="J240">
        <f>IFERROR(INDEX('1.산군_붙여넣기'!$A$1:$AZ$1001,ROW(),설정!$C$12)&amp;"","")</f>
        <v/>
      </c>
      <c r="K240">
        <f>IFERROR(INDEX('1.산군_붙여넣기'!$A$1:$AZ$1001,ROW(),설정!$C$13)&amp;"","")</f>
        <v/>
      </c>
      <c r="L240" s="6">
        <f>IF(X240="","",IF(AND(LEN(X240)=8,ISNUMBER(X240*1)),DATE(LEFT(X240,4),MID(X240,5,2),RIGHT(X240,2)),IFERROR(DATEVALUE(SUBSTITUTE(SUBSTITUTE(X240,".","-"),"/","-")),IFERROR(X240*1,""))))</f>
        <v/>
      </c>
      <c r="M240" s="6">
        <f>IF(Y240="","",IF(AND(LEN(Y240)=8,ISNUMBER(Y240*1)),DATE(LEFT(Y240,4),MID(Y240,5,2),RIGHT(Y240,2)),IFERROR(DATEVALUE(SUBSTITUTE(SUBSTITUTE(Y240,".","-"),"/","-")),IFERROR(Y240*1,""))))</f>
        <v/>
      </c>
      <c r="N240">
        <f>IFERROR(LEFT(B240,FIND(" ",B240)-1),B240)</f>
        <v/>
      </c>
      <c r="O240">
        <f>AND(B240&lt;&gt;"",B240&lt;&gt;설정!$B$4,C240&lt;&gt;설정!$B$5)</f>
        <v/>
      </c>
      <c r="P240">
        <f>IF(O240,B240&amp;"|"&amp;C240,"")</f>
        <v/>
      </c>
      <c r="Q240">
        <f>AND(O240,COUNTIF(P241:P$1002,P240)=0)</f>
        <v/>
      </c>
      <c r="R240">
        <f>OR(AND(설정!$A$28&lt;&gt;"",ISNUMBER(SEARCH(설정!$A$28,E240&amp;" "&amp;C240))),AND(설정!$A$29&lt;&gt;"",ISNUMBER(SEARCH(설정!$A$29,E240&amp;" "&amp;C240))),AND(설정!$A$30&lt;&gt;"",ISNUMBER(SEARCH(설정!$A$30,E240&amp;" "&amp;C240))),AND(설정!$A$31&lt;&gt;"",ISNUMBER(SEARCH(설정!$A$31,E240&amp;" "&amp;C240))),AND(설정!$A$32&lt;&gt;"",ISNUMBER(SEARCH(설정!$A$32,E240&amp;" "&amp;C240))),AND(설정!$A$33&lt;&gt;"",ISNUMBER(SEARCH(설정!$A$33,E240&amp;" "&amp;C240))),AND(설정!$A$34&lt;&gt;"",ISNUMBER(SEARCH(설정!$A$34,E240&amp;" "&amp;C240))),AND(설정!$A$35&lt;&gt;"",ISNUMBER(SEARCH(설정!$A$35,E240&amp;" "&amp;C240))),AND(설정!$A$36&lt;&gt;"",ISNUMBER(SEARCH(설정!$A$36,E240&amp;" "&amp;C240))),AND(설정!$A$37&lt;&gt;"",ISNUMBER(SEARCH(설정!$A$37,E240&amp;" "&amp;C240))))</f>
        <v/>
      </c>
      <c r="S240">
        <f>OR(D240="",D240&gt;=설정!$B$19)</f>
        <v/>
      </c>
      <c r="T240">
        <f>AND(Q240,R240,S240)</f>
        <v/>
      </c>
      <c r="U240">
        <f>IF(T240,IF(AND(설정!$A$41&lt;&gt;"",ISNUMBER(SEARCH(설정!$A$41,K240))),설정!$B$41,IF(AND(설정!$A$42&lt;&gt;"",ISNUMBER(SEARCH(설정!$A$42,K240))),설정!$B$42,IF(AND(설정!$A$43&lt;&gt;"",ISNUMBER(SEARCH(설정!$A$43,K240))),설정!$B$43,IF(AND(설정!$A$44&lt;&gt;"",ISNUMBER(SEARCH(설정!$A$44,K240))),설정!$B$44,IF(AND(설정!$A$45&lt;&gt;"",ISNUMBER(SEARCH(설정!$A$45,K240))),설정!$B$45,IF(AND(설정!$A$46&lt;&gt;"",ISNUMBER(SEARCH(설정!$A$46,K240))),설정!$B$46,IF(AND(설정!$A$47&lt;&gt;"",ISNUMBER(SEARCH(설정!$A$47,K240))),설정!$B$47,IF(AND(설정!$A$48&lt;&gt;"",ISNUMBER(SEARCH(설정!$A$48,K240))),설정!$B$48,IF(M240="","설계사","시공사"))))))))),"")</f>
        <v/>
      </c>
      <c r="V240">
        <f>SUBSTITUTE(SUBSTITUTE(SUBSTITUTE(SUBSTITUTE(G240,"(주)",""),"㈜",""),"주식회사","")," ","")</f>
        <v/>
      </c>
      <c r="W240">
        <f>IF(AND(T240,V240&lt;&gt;""),IF(COUNTIFS(V$2:V240,V240,T$2:T240,TRUE)=1,MAX(W$1:W239)+1,""),"")</f>
        <v/>
      </c>
      <c r="X240">
        <f>IFERROR(INDEX('1.산군_붙여넣기'!$A$1:$AZ$1001,ROW(),설정!$C$14)&amp;"","")</f>
        <v/>
      </c>
      <c r="Y240">
        <f>IFERROR(INDEX('1.산군_붙여넣기'!$A$1:$AZ$1001,ROW(),설정!$C$15)&amp;"","")</f>
        <v/>
      </c>
      <c r="Z240">
        <f>IF(T240,V240&amp;"|"&amp;U240,"")</f>
        <v/>
      </c>
    </row>
    <row r="241">
      <c r="A241">
        <f>ROW()</f>
        <v/>
      </c>
      <c r="B241">
        <f>IFERROR(INDEX('1.산군_붙여넣기'!$A$1:$AZ$1001,ROW(),설정!$C$4)&amp;"","")</f>
        <v/>
      </c>
      <c r="C241">
        <f>IFERROR(INDEX('1.산군_붙여넣기'!$A$1:$AZ$1001,ROW(),설정!$C$5)&amp;"","")</f>
        <v/>
      </c>
      <c r="D241" s="5">
        <f>IFERROR(VALUE(SUBSTITUTE(SUBSTITUTE(SUBSTITUTE(IFERROR(INDEX('1.산군_붙여넣기'!$A$1:$AZ$1001,ROW(),설정!$C$6)&amp;"",""),",",""),"㎡",""),"m2","")),"")</f>
        <v/>
      </c>
      <c r="E241">
        <f>IFERROR(INDEX('1.산군_붙여넣기'!$A$1:$AZ$1001,ROW(),설정!$C$7)&amp;"","")</f>
        <v/>
      </c>
      <c r="F241">
        <f>IFERROR(INDEX('1.산군_붙여넣기'!$A$1:$AZ$1001,ROW(),설정!$C$8)&amp;"","")</f>
        <v/>
      </c>
      <c r="G241">
        <f>IFERROR(INDEX('1.산군_붙여넣기'!$A$1:$AZ$1001,ROW(),설정!$C$9)&amp;"","")</f>
        <v/>
      </c>
      <c r="H241">
        <f>IFERROR(INDEX('1.산군_붙여넣기'!$A$1:$AZ$1001,ROW(),설정!$C$10)&amp;"","")</f>
        <v/>
      </c>
      <c r="I241">
        <f>IFERROR(INDEX('1.산군_붙여넣기'!$A$1:$AZ$1001,ROW(),설정!$C$11)&amp;"","")</f>
        <v/>
      </c>
      <c r="J241">
        <f>IFERROR(INDEX('1.산군_붙여넣기'!$A$1:$AZ$1001,ROW(),설정!$C$12)&amp;"","")</f>
        <v/>
      </c>
      <c r="K241">
        <f>IFERROR(INDEX('1.산군_붙여넣기'!$A$1:$AZ$1001,ROW(),설정!$C$13)&amp;"","")</f>
        <v/>
      </c>
      <c r="L241" s="6">
        <f>IF(X241="","",IF(AND(LEN(X241)=8,ISNUMBER(X241*1)),DATE(LEFT(X241,4),MID(X241,5,2),RIGHT(X241,2)),IFERROR(DATEVALUE(SUBSTITUTE(SUBSTITUTE(X241,".","-"),"/","-")),IFERROR(X241*1,""))))</f>
        <v/>
      </c>
      <c r="M241" s="6">
        <f>IF(Y241="","",IF(AND(LEN(Y241)=8,ISNUMBER(Y241*1)),DATE(LEFT(Y241,4),MID(Y241,5,2),RIGHT(Y241,2)),IFERROR(DATEVALUE(SUBSTITUTE(SUBSTITUTE(Y241,".","-"),"/","-")),IFERROR(Y241*1,""))))</f>
        <v/>
      </c>
      <c r="N241">
        <f>IFERROR(LEFT(B241,FIND(" ",B241)-1),B241)</f>
        <v/>
      </c>
      <c r="O241">
        <f>AND(B241&lt;&gt;"",B241&lt;&gt;설정!$B$4,C241&lt;&gt;설정!$B$5)</f>
        <v/>
      </c>
      <c r="P241">
        <f>IF(O241,B241&amp;"|"&amp;C241,"")</f>
        <v/>
      </c>
      <c r="Q241">
        <f>AND(O241,COUNTIF(P242:P$1002,P241)=0)</f>
        <v/>
      </c>
      <c r="R241">
        <f>OR(AND(설정!$A$28&lt;&gt;"",ISNUMBER(SEARCH(설정!$A$28,E241&amp;" "&amp;C241))),AND(설정!$A$29&lt;&gt;"",ISNUMBER(SEARCH(설정!$A$29,E241&amp;" "&amp;C241))),AND(설정!$A$30&lt;&gt;"",ISNUMBER(SEARCH(설정!$A$30,E241&amp;" "&amp;C241))),AND(설정!$A$31&lt;&gt;"",ISNUMBER(SEARCH(설정!$A$31,E241&amp;" "&amp;C241))),AND(설정!$A$32&lt;&gt;"",ISNUMBER(SEARCH(설정!$A$32,E241&amp;" "&amp;C241))),AND(설정!$A$33&lt;&gt;"",ISNUMBER(SEARCH(설정!$A$33,E241&amp;" "&amp;C241))),AND(설정!$A$34&lt;&gt;"",ISNUMBER(SEARCH(설정!$A$34,E241&amp;" "&amp;C241))),AND(설정!$A$35&lt;&gt;"",ISNUMBER(SEARCH(설정!$A$35,E241&amp;" "&amp;C241))),AND(설정!$A$36&lt;&gt;"",ISNUMBER(SEARCH(설정!$A$36,E241&amp;" "&amp;C241))),AND(설정!$A$37&lt;&gt;"",ISNUMBER(SEARCH(설정!$A$37,E241&amp;" "&amp;C241))))</f>
        <v/>
      </c>
      <c r="S241">
        <f>OR(D241="",D241&gt;=설정!$B$19)</f>
        <v/>
      </c>
      <c r="T241">
        <f>AND(Q241,R241,S241)</f>
        <v/>
      </c>
      <c r="U241">
        <f>IF(T241,IF(AND(설정!$A$41&lt;&gt;"",ISNUMBER(SEARCH(설정!$A$41,K241))),설정!$B$41,IF(AND(설정!$A$42&lt;&gt;"",ISNUMBER(SEARCH(설정!$A$42,K241))),설정!$B$42,IF(AND(설정!$A$43&lt;&gt;"",ISNUMBER(SEARCH(설정!$A$43,K241))),설정!$B$43,IF(AND(설정!$A$44&lt;&gt;"",ISNUMBER(SEARCH(설정!$A$44,K241))),설정!$B$44,IF(AND(설정!$A$45&lt;&gt;"",ISNUMBER(SEARCH(설정!$A$45,K241))),설정!$B$45,IF(AND(설정!$A$46&lt;&gt;"",ISNUMBER(SEARCH(설정!$A$46,K241))),설정!$B$46,IF(AND(설정!$A$47&lt;&gt;"",ISNUMBER(SEARCH(설정!$A$47,K241))),설정!$B$47,IF(AND(설정!$A$48&lt;&gt;"",ISNUMBER(SEARCH(설정!$A$48,K241))),설정!$B$48,IF(M241="","설계사","시공사"))))))))),"")</f>
        <v/>
      </c>
      <c r="V241">
        <f>SUBSTITUTE(SUBSTITUTE(SUBSTITUTE(SUBSTITUTE(G241,"(주)",""),"㈜",""),"주식회사","")," ","")</f>
        <v/>
      </c>
      <c r="W241">
        <f>IF(AND(T241,V241&lt;&gt;""),IF(COUNTIFS(V$2:V241,V241,T$2:T241,TRUE)=1,MAX(W$1:W240)+1,""),"")</f>
        <v/>
      </c>
      <c r="X241">
        <f>IFERROR(INDEX('1.산군_붙여넣기'!$A$1:$AZ$1001,ROW(),설정!$C$14)&amp;"","")</f>
        <v/>
      </c>
      <c r="Y241">
        <f>IFERROR(INDEX('1.산군_붙여넣기'!$A$1:$AZ$1001,ROW(),설정!$C$15)&amp;"","")</f>
        <v/>
      </c>
      <c r="Z241">
        <f>IF(T241,V241&amp;"|"&amp;U241,"")</f>
        <v/>
      </c>
    </row>
    <row r="242">
      <c r="A242">
        <f>ROW()</f>
        <v/>
      </c>
      <c r="B242">
        <f>IFERROR(INDEX('1.산군_붙여넣기'!$A$1:$AZ$1001,ROW(),설정!$C$4)&amp;"","")</f>
        <v/>
      </c>
      <c r="C242">
        <f>IFERROR(INDEX('1.산군_붙여넣기'!$A$1:$AZ$1001,ROW(),설정!$C$5)&amp;"","")</f>
        <v/>
      </c>
      <c r="D242" s="5">
        <f>IFERROR(VALUE(SUBSTITUTE(SUBSTITUTE(SUBSTITUTE(IFERROR(INDEX('1.산군_붙여넣기'!$A$1:$AZ$1001,ROW(),설정!$C$6)&amp;"",""),",",""),"㎡",""),"m2","")),"")</f>
        <v/>
      </c>
      <c r="E242">
        <f>IFERROR(INDEX('1.산군_붙여넣기'!$A$1:$AZ$1001,ROW(),설정!$C$7)&amp;"","")</f>
        <v/>
      </c>
      <c r="F242">
        <f>IFERROR(INDEX('1.산군_붙여넣기'!$A$1:$AZ$1001,ROW(),설정!$C$8)&amp;"","")</f>
        <v/>
      </c>
      <c r="G242">
        <f>IFERROR(INDEX('1.산군_붙여넣기'!$A$1:$AZ$1001,ROW(),설정!$C$9)&amp;"","")</f>
        <v/>
      </c>
      <c r="H242">
        <f>IFERROR(INDEX('1.산군_붙여넣기'!$A$1:$AZ$1001,ROW(),설정!$C$10)&amp;"","")</f>
        <v/>
      </c>
      <c r="I242">
        <f>IFERROR(INDEX('1.산군_붙여넣기'!$A$1:$AZ$1001,ROW(),설정!$C$11)&amp;"","")</f>
        <v/>
      </c>
      <c r="J242">
        <f>IFERROR(INDEX('1.산군_붙여넣기'!$A$1:$AZ$1001,ROW(),설정!$C$12)&amp;"","")</f>
        <v/>
      </c>
      <c r="K242">
        <f>IFERROR(INDEX('1.산군_붙여넣기'!$A$1:$AZ$1001,ROW(),설정!$C$13)&amp;"","")</f>
        <v/>
      </c>
      <c r="L242" s="6">
        <f>IF(X242="","",IF(AND(LEN(X242)=8,ISNUMBER(X242*1)),DATE(LEFT(X242,4),MID(X242,5,2),RIGHT(X242,2)),IFERROR(DATEVALUE(SUBSTITUTE(SUBSTITUTE(X242,".","-"),"/","-")),IFERROR(X242*1,""))))</f>
        <v/>
      </c>
      <c r="M242" s="6">
        <f>IF(Y242="","",IF(AND(LEN(Y242)=8,ISNUMBER(Y242*1)),DATE(LEFT(Y242,4),MID(Y242,5,2),RIGHT(Y242,2)),IFERROR(DATEVALUE(SUBSTITUTE(SUBSTITUTE(Y242,".","-"),"/","-")),IFERROR(Y242*1,""))))</f>
        <v/>
      </c>
      <c r="N242">
        <f>IFERROR(LEFT(B242,FIND(" ",B242)-1),B242)</f>
        <v/>
      </c>
      <c r="O242">
        <f>AND(B242&lt;&gt;"",B242&lt;&gt;설정!$B$4,C242&lt;&gt;설정!$B$5)</f>
        <v/>
      </c>
      <c r="P242">
        <f>IF(O242,B242&amp;"|"&amp;C242,"")</f>
        <v/>
      </c>
      <c r="Q242">
        <f>AND(O242,COUNTIF(P243:P$1002,P242)=0)</f>
        <v/>
      </c>
      <c r="R242">
        <f>OR(AND(설정!$A$28&lt;&gt;"",ISNUMBER(SEARCH(설정!$A$28,E242&amp;" "&amp;C242))),AND(설정!$A$29&lt;&gt;"",ISNUMBER(SEARCH(설정!$A$29,E242&amp;" "&amp;C242))),AND(설정!$A$30&lt;&gt;"",ISNUMBER(SEARCH(설정!$A$30,E242&amp;" "&amp;C242))),AND(설정!$A$31&lt;&gt;"",ISNUMBER(SEARCH(설정!$A$31,E242&amp;" "&amp;C242))),AND(설정!$A$32&lt;&gt;"",ISNUMBER(SEARCH(설정!$A$32,E242&amp;" "&amp;C242))),AND(설정!$A$33&lt;&gt;"",ISNUMBER(SEARCH(설정!$A$33,E242&amp;" "&amp;C242))),AND(설정!$A$34&lt;&gt;"",ISNUMBER(SEARCH(설정!$A$34,E242&amp;" "&amp;C242))),AND(설정!$A$35&lt;&gt;"",ISNUMBER(SEARCH(설정!$A$35,E242&amp;" "&amp;C242))),AND(설정!$A$36&lt;&gt;"",ISNUMBER(SEARCH(설정!$A$36,E242&amp;" "&amp;C242))),AND(설정!$A$37&lt;&gt;"",ISNUMBER(SEARCH(설정!$A$37,E242&amp;" "&amp;C242))))</f>
        <v/>
      </c>
      <c r="S242">
        <f>OR(D242="",D242&gt;=설정!$B$19)</f>
        <v/>
      </c>
      <c r="T242">
        <f>AND(Q242,R242,S242)</f>
        <v/>
      </c>
      <c r="U242">
        <f>IF(T242,IF(AND(설정!$A$41&lt;&gt;"",ISNUMBER(SEARCH(설정!$A$41,K242))),설정!$B$41,IF(AND(설정!$A$42&lt;&gt;"",ISNUMBER(SEARCH(설정!$A$42,K242))),설정!$B$42,IF(AND(설정!$A$43&lt;&gt;"",ISNUMBER(SEARCH(설정!$A$43,K242))),설정!$B$43,IF(AND(설정!$A$44&lt;&gt;"",ISNUMBER(SEARCH(설정!$A$44,K242))),설정!$B$44,IF(AND(설정!$A$45&lt;&gt;"",ISNUMBER(SEARCH(설정!$A$45,K242))),설정!$B$45,IF(AND(설정!$A$46&lt;&gt;"",ISNUMBER(SEARCH(설정!$A$46,K242))),설정!$B$46,IF(AND(설정!$A$47&lt;&gt;"",ISNUMBER(SEARCH(설정!$A$47,K242))),설정!$B$47,IF(AND(설정!$A$48&lt;&gt;"",ISNUMBER(SEARCH(설정!$A$48,K242))),설정!$B$48,IF(M242="","설계사","시공사"))))))))),"")</f>
        <v/>
      </c>
      <c r="V242">
        <f>SUBSTITUTE(SUBSTITUTE(SUBSTITUTE(SUBSTITUTE(G242,"(주)",""),"㈜",""),"주식회사","")," ","")</f>
        <v/>
      </c>
      <c r="W242">
        <f>IF(AND(T242,V242&lt;&gt;""),IF(COUNTIFS(V$2:V242,V242,T$2:T242,TRUE)=1,MAX(W$1:W241)+1,""),"")</f>
        <v/>
      </c>
      <c r="X242">
        <f>IFERROR(INDEX('1.산군_붙여넣기'!$A$1:$AZ$1001,ROW(),설정!$C$14)&amp;"","")</f>
        <v/>
      </c>
      <c r="Y242">
        <f>IFERROR(INDEX('1.산군_붙여넣기'!$A$1:$AZ$1001,ROW(),설정!$C$15)&amp;"","")</f>
        <v/>
      </c>
      <c r="Z242">
        <f>IF(T242,V242&amp;"|"&amp;U242,"")</f>
        <v/>
      </c>
    </row>
    <row r="243">
      <c r="A243">
        <f>ROW()</f>
        <v/>
      </c>
      <c r="B243">
        <f>IFERROR(INDEX('1.산군_붙여넣기'!$A$1:$AZ$1001,ROW(),설정!$C$4)&amp;"","")</f>
        <v/>
      </c>
      <c r="C243">
        <f>IFERROR(INDEX('1.산군_붙여넣기'!$A$1:$AZ$1001,ROW(),설정!$C$5)&amp;"","")</f>
        <v/>
      </c>
      <c r="D243" s="5">
        <f>IFERROR(VALUE(SUBSTITUTE(SUBSTITUTE(SUBSTITUTE(IFERROR(INDEX('1.산군_붙여넣기'!$A$1:$AZ$1001,ROW(),설정!$C$6)&amp;"",""),",",""),"㎡",""),"m2","")),"")</f>
        <v/>
      </c>
      <c r="E243">
        <f>IFERROR(INDEX('1.산군_붙여넣기'!$A$1:$AZ$1001,ROW(),설정!$C$7)&amp;"","")</f>
        <v/>
      </c>
      <c r="F243">
        <f>IFERROR(INDEX('1.산군_붙여넣기'!$A$1:$AZ$1001,ROW(),설정!$C$8)&amp;"","")</f>
        <v/>
      </c>
      <c r="G243">
        <f>IFERROR(INDEX('1.산군_붙여넣기'!$A$1:$AZ$1001,ROW(),설정!$C$9)&amp;"","")</f>
        <v/>
      </c>
      <c r="H243">
        <f>IFERROR(INDEX('1.산군_붙여넣기'!$A$1:$AZ$1001,ROW(),설정!$C$10)&amp;"","")</f>
        <v/>
      </c>
      <c r="I243">
        <f>IFERROR(INDEX('1.산군_붙여넣기'!$A$1:$AZ$1001,ROW(),설정!$C$11)&amp;"","")</f>
        <v/>
      </c>
      <c r="J243">
        <f>IFERROR(INDEX('1.산군_붙여넣기'!$A$1:$AZ$1001,ROW(),설정!$C$12)&amp;"","")</f>
        <v/>
      </c>
      <c r="K243">
        <f>IFERROR(INDEX('1.산군_붙여넣기'!$A$1:$AZ$1001,ROW(),설정!$C$13)&amp;"","")</f>
        <v/>
      </c>
      <c r="L243" s="6">
        <f>IF(X243="","",IF(AND(LEN(X243)=8,ISNUMBER(X243*1)),DATE(LEFT(X243,4),MID(X243,5,2),RIGHT(X243,2)),IFERROR(DATEVALUE(SUBSTITUTE(SUBSTITUTE(X243,".","-"),"/","-")),IFERROR(X243*1,""))))</f>
        <v/>
      </c>
      <c r="M243" s="6">
        <f>IF(Y243="","",IF(AND(LEN(Y243)=8,ISNUMBER(Y243*1)),DATE(LEFT(Y243,4),MID(Y243,5,2),RIGHT(Y243,2)),IFERROR(DATEVALUE(SUBSTITUTE(SUBSTITUTE(Y243,".","-"),"/","-")),IFERROR(Y243*1,""))))</f>
        <v/>
      </c>
      <c r="N243">
        <f>IFERROR(LEFT(B243,FIND(" ",B243)-1),B243)</f>
        <v/>
      </c>
      <c r="O243">
        <f>AND(B243&lt;&gt;"",B243&lt;&gt;설정!$B$4,C243&lt;&gt;설정!$B$5)</f>
        <v/>
      </c>
      <c r="P243">
        <f>IF(O243,B243&amp;"|"&amp;C243,"")</f>
        <v/>
      </c>
      <c r="Q243">
        <f>AND(O243,COUNTIF(P244:P$1002,P243)=0)</f>
        <v/>
      </c>
      <c r="R243">
        <f>OR(AND(설정!$A$28&lt;&gt;"",ISNUMBER(SEARCH(설정!$A$28,E243&amp;" "&amp;C243))),AND(설정!$A$29&lt;&gt;"",ISNUMBER(SEARCH(설정!$A$29,E243&amp;" "&amp;C243))),AND(설정!$A$30&lt;&gt;"",ISNUMBER(SEARCH(설정!$A$30,E243&amp;" "&amp;C243))),AND(설정!$A$31&lt;&gt;"",ISNUMBER(SEARCH(설정!$A$31,E243&amp;" "&amp;C243))),AND(설정!$A$32&lt;&gt;"",ISNUMBER(SEARCH(설정!$A$32,E243&amp;" "&amp;C243))),AND(설정!$A$33&lt;&gt;"",ISNUMBER(SEARCH(설정!$A$33,E243&amp;" "&amp;C243))),AND(설정!$A$34&lt;&gt;"",ISNUMBER(SEARCH(설정!$A$34,E243&amp;" "&amp;C243))),AND(설정!$A$35&lt;&gt;"",ISNUMBER(SEARCH(설정!$A$35,E243&amp;" "&amp;C243))),AND(설정!$A$36&lt;&gt;"",ISNUMBER(SEARCH(설정!$A$36,E243&amp;" "&amp;C243))),AND(설정!$A$37&lt;&gt;"",ISNUMBER(SEARCH(설정!$A$37,E243&amp;" "&amp;C243))))</f>
        <v/>
      </c>
      <c r="S243">
        <f>OR(D243="",D243&gt;=설정!$B$19)</f>
        <v/>
      </c>
      <c r="T243">
        <f>AND(Q243,R243,S243)</f>
        <v/>
      </c>
      <c r="U243">
        <f>IF(T243,IF(AND(설정!$A$41&lt;&gt;"",ISNUMBER(SEARCH(설정!$A$41,K243))),설정!$B$41,IF(AND(설정!$A$42&lt;&gt;"",ISNUMBER(SEARCH(설정!$A$42,K243))),설정!$B$42,IF(AND(설정!$A$43&lt;&gt;"",ISNUMBER(SEARCH(설정!$A$43,K243))),설정!$B$43,IF(AND(설정!$A$44&lt;&gt;"",ISNUMBER(SEARCH(설정!$A$44,K243))),설정!$B$44,IF(AND(설정!$A$45&lt;&gt;"",ISNUMBER(SEARCH(설정!$A$45,K243))),설정!$B$45,IF(AND(설정!$A$46&lt;&gt;"",ISNUMBER(SEARCH(설정!$A$46,K243))),설정!$B$46,IF(AND(설정!$A$47&lt;&gt;"",ISNUMBER(SEARCH(설정!$A$47,K243))),설정!$B$47,IF(AND(설정!$A$48&lt;&gt;"",ISNUMBER(SEARCH(설정!$A$48,K243))),설정!$B$48,IF(M243="","설계사","시공사"))))))))),"")</f>
        <v/>
      </c>
      <c r="V243">
        <f>SUBSTITUTE(SUBSTITUTE(SUBSTITUTE(SUBSTITUTE(G243,"(주)",""),"㈜",""),"주식회사","")," ","")</f>
        <v/>
      </c>
      <c r="W243">
        <f>IF(AND(T243,V243&lt;&gt;""),IF(COUNTIFS(V$2:V243,V243,T$2:T243,TRUE)=1,MAX(W$1:W242)+1,""),"")</f>
        <v/>
      </c>
      <c r="X243">
        <f>IFERROR(INDEX('1.산군_붙여넣기'!$A$1:$AZ$1001,ROW(),설정!$C$14)&amp;"","")</f>
        <v/>
      </c>
      <c r="Y243">
        <f>IFERROR(INDEX('1.산군_붙여넣기'!$A$1:$AZ$1001,ROW(),설정!$C$15)&amp;"","")</f>
        <v/>
      </c>
      <c r="Z243">
        <f>IF(T243,V243&amp;"|"&amp;U243,"")</f>
        <v/>
      </c>
    </row>
    <row r="244">
      <c r="A244">
        <f>ROW()</f>
        <v/>
      </c>
      <c r="B244">
        <f>IFERROR(INDEX('1.산군_붙여넣기'!$A$1:$AZ$1001,ROW(),설정!$C$4)&amp;"","")</f>
        <v/>
      </c>
      <c r="C244">
        <f>IFERROR(INDEX('1.산군_붙여넣기'!$A$1:$AZ$1001,ROW(),설정!$C$5)&amp;"","")</f>
        <v/>
      </c>
      <c r="D244" s="5">
        <f>IFERROR(VALUE(SUBSTITUTE(SUBSTITUTE(SUBSTITUTE(IFERROR(INDEX('1.산군_붙여넣기'!$A$1:$AZ$1001,ROW(),설정!$C$6)&amp;"",""),",",""),"㎡",""),"m2","")),"")</f>
        <v/>
      </c>
      <c r="E244">
        <f>IFERROR(INDEX('1.산군_붙여넣기'!$A$1:$AZ$1001,ROW(),설정!$C$7)&amp;"","")</f>
        <v/>
      </c>
      <c r="F244">
        <f>IFERROR(INDEX('1.산군_붙여넣기'!$A$1:$AZ$1001,ROW(),설정!$C$8)&amp;"","")</f>
        <v/>
      </c>
      <c r="G244">
        <f>IFERROR(INDEX('1.산군_붙여넣기'!$A$1:$AZ$1001,ROW(),설정!$C$9)&amp;"","")</f>
        <v/>
      </c>
      <c r="H244">
        <f>IFERROR(INDEX('1.산군_붙여넣기'!$A$1:$AZ$1001,ROW(),설정!$C$10)&amp;"","")</f>
        <v/>
      </c>
      <c r="I244">
        <f>IFERROR(INDEX('1.산군_붙여넣기'!$A$1:$AZ$1001,ROW(),설정!$C$11)&amp;"","")</f>
        <v/>
      </c>
      <c r="J244">
        <f>IFERROR(INDEX('1.산군_붙여넣기'!$A$1:$AZ$1001,ROW(),설정!$C$12)&amp;"","")</f>
        <v/>
      </c>
      <c r="K244">
        <f>IFERROR(INDEX('1.산군_붙여넣기'!$A$1:$AZ$1001,ROW(),설정!$C$13)&amp;"","")</f>
        <v/>
      </c>
      <c r="L244" s="6">
        <f>IF(X244="","",IF(AND(LEN(X244)=8,ISNUMBER(X244*1)),DATE(LEFT(X244,4),MID(X244,5,2),RIGHT(X244,2)),IFERROR(DATEVALUE(SUBSTITUTE(SUBSTITUTE(X244,".","-"),"/","-")),IFERROR(X244*1,""))))</f>
        <v/>
      </c>
      <c r="M244" s="6">
        <f>IF(Y244="","",IF(AND(LEN(Y244)=8,ISNUMBER(Y244*1)),DATE(LEFT(Y244,4),MID(Y244,5,2),RIGHT(Y244,2)),IFERROR(DATEVALUE(SUBSTITUTE(SUBSTITUTE(Y244,".","-"),"/","-")),IFERROR(Y244*1,""))))</f>
        <v/>
      </c>
      <c r="N244">
        <f>IFERROR(LEFT(B244,FIND(" ",B244)-1),B244)</f>
        <v/>
      </c>
      <c r="O244">
        <f>AND(B244&lt;&gt;"",B244&lt;&gt;설정!$B$4,C244&lt;&gt;설정!$B$5)</f>
        <v/>
      </c>
      <c r="P244">
        <f>IF(O244,B244&amp;"|"&amp;C244,"")</f>
        <v/>
      </c>
      <c r="Q244">
        <f>AND(O244,COUNTIF(P245:P$1002,P244)=0)</f>
        <v/>
      </c>
      <c r="R244">
        <f>OR(AND(설정!$A$28&lt;&gt;"",ISNUMBER(SEARCH(설정!$A$28,E244&amp;" "&amp;C244))),AND(설정!$A$29&lt;&gt;"",ISNUMBER(SEARCH(설정!$A$29,E244&amp;" "&amp;C244))),AND(설정!$A$30&lt;&gt;"",ISNUMBER(SEARCH(설정!$A$30,E244&amp;" "&amp;C244))),AND(설정!$A$31&lt;&gt;"",ISNUMBER(SEARCH(설정!$A$31,E244&amp;" "&amp;C244))),AND(설정!$A$32&lt;&gt;"",ISNUMBER(SEARCH(설정!$A$32,E244&amp;" "&amp;C244))),AND(설정!$A$33&lt;&gt;"",ISNUMBER(SEARCH(설정!$A$33,E244&amp;" "&amp;C244))),AND(설정!$A$34&lt;&gt;"",ISNUMBER(SEARCH(설정!$A$34,E244&amp;" "&amp;C244))),AND(설정!$A$35&lt;&gt;"",ISNUMBER(SEARCH(설정!$A$35,E244&amp;" "&amp;C244))),AND(설정!$A$36&lt;&gt;"",ISNUMBER(SEARCH(설정!$A$36,E244&amp;" "&amp;C244))),AND(설정!$A$37&lt;&gt;"",ISNUMBER(SEARCH(설정!$A$37,E244&amp;" "&amp;C244))))</f>
        <v/>
      </c>
      <c r="S244">
        <f>OR(D244="",D244&gt;=설정!$B$19)</f>
        <v/>
      </c>
      <c r="T244">
        <f>AND(Q244,R244,S244)</f>
        <v/>
      </c>
      <c r="U244">
        <f>IF(T244,IF(AND(설정!$A$41&lt;&gt;"",ISNUMBER(SEARCH(설정!$A$41,K244))),설정!$B$41,IF(AND(설정!$A$42&lt;&gt;"",ISNUMBER(SEARCH(설정!$A$42,K244))),설정!$B$42,IF(AND(설정!$A$43&lt;&gt;"",ISNUMBER(SEARCH(설정!$A$43,K244))),설정!$B$43,IF(AND(설정!$A$44&lt;&gt;"",ISNUMBER(SEARCH(설정!$A$44,K244))),설정!$B$44,IF(AND(설정!$A$45&lt;&gt;"",ISNUMBER(SEARCH(설정!$A$45,K244))),설정!$B$45,IF(AND(설정!$A$46&lt;&gt;"",ISNUMBER(SEARCH(설정!$A$46,K244))),설정!$B$46,IF(AND(설정!$A$47&lt;&gt;"",ISNUMBER(SEARCH(설정!$A$47,K244))),설정!$B$47,IF(AND(설정!$A$48&lt;&gt;"",ISNUMBER(SEARCH(설정!$A$48,K244))),설정!$B$48,IF(M244="","설계사","시공사"))))))))),"")</f>
        <v/>
      </c>
      <c r="V244">
        <f>SUBSTITUTE(SUBSTITUTE(SUBSTITUTE(SUBSTITUTE(G244,"(주)",""),"㈜",""),"주식회사","")," ","")</f>
        <v/>
      </c>
      <c r="W244">
        <f>IF(AND(T244,V244&lt;&gt;""),IF(COUNTIFS(V$2:V244,V244,T$2:T244,TRUE)=1,MAX(W$1:W243)+1,""),"")</f>
        <v/>
      </c>
      <c r="X244">
        <f>IFERROR(INDEX('1.산군_붙여넣기'!$A$1:$AZ$1001,ROW(),설정!$C$14)&amp;"","")</f>
        <v/>
      </c>
      <c r="Y244">
        <f>IFERROR(INDEX('1.산군_붙여넣기'!$A$1:$AZ$1001,ROW(),설정!$C$15)&amp;"","")</f>
        <v/>
      </c>
      <c r="Z244">
        <f>IF(T244,V244&amp;"|"&amp;U244,"")</f>
        <v/>
      </c>
    </row>
    <row r="245">
      <c r="A245">
        <f>ROW()</f>
        <v/>
      </c>
      <c r="B245">
        <f>IFERROR(INDEX('1.산군_붙여넣기'!$A$1:$AZ$1001,ROW(),설정!$C$4)&amp;"","")</f>
        <v/>
      </c>
      <c r="C245">
        <f>IFERROR(INDEX('1.산군_붙여넣기'!$A$1:$AZ$1001,ROW(),설정!$C$5)&amp;"","")</f>
        <v/>
      </c>
      <c r="D245" s="5">
        <f>IFERROR(VALUE(SUBSTITUTE(SUBSTITUTE(SUBSTITUTE(IFERROR(INDEX('1.산군_붙여넣기'!$A$1:$AZ$1001,ROW(),설정!$C$6)&amp;"",""),",",""),"㎡",""),"m2","")),"")</f>
        <v/>
      </c>
      <c r="E245">
        <f>IFERROR(INDEX('1.산군_붙여넣기'!$A$1:$AZ$1001,ROW(),설정!$C$7)&amp;"","")</f>
        <v/>
      </c>
      <c r="F245">
        <f>IFERROR(INDEX('1.산군_붙여넣기'!$A$1:$AZ$1001,ROW(),설정!$C$8)&amp;"","")</f>
        <v/>
      </c>
      <c r="G245">
        <f>IFERROR(INDEX('1.산군_붙여넣기'!$A$1:$AZ$1001,ROW(),설정!$C$9)&amp;"","")</f>
        <v/>
      </c>
      <c r="H245">
        <f>IFERROR(INDEX('1.산군_붙여넣기'!$A$1:$AZ$1001,ROW(),설정!$C$10)&amp;"","")</f>
        <v/>
      </c>
      <c r="I245">
        <f>IFERROR(INDEX('1.산군_붙여넣기'!$A$1:$AZ$1001,ROW(),설정!$C$11)&amp;"","")</f>
        <v/>
      </c>
      <c r="J245">
        <f>IFERROR(INDEX('1.산군_붙여넣기'!$A$1:$AZ$1001,ROW(),설정!$C$12)&amp;"","")</f>
        <v/>
      </c>
      <c r="K245">
        <f>IFERROR(INDEX('1.산군_붙여넣기'!$A$1:$AZ$1001,ROW(),설정!$C$13)&amp;"","")</f>
        <v/>
      </c>
      <c r="L245" s="6">
        <f>IF(X245="","",IF(AND(LEN(X245)=8,ISNUMBER(X245*1)),DATE(LEFT(X245,4),MID(X245,5,2),RIGHT(X245,2)),IFERROR(DATEVALUE(SUBSTITUTE(SUBSTITUTE(X245,".","-"),"/","-")),IFERROR(X245*1,""))))</f>
        <v/>
      </c>
      <c r="M245" s="6">
        <f>IF(Y245="","",IF(AND(LEN(Y245)=8,ISNUMBER(Y245*1)),DATE(LEFT(Y245,4),MID(Y245,5,2),RIGHT(Y245,2)),IFERROR(DATEVALUE(SUBSTITUTE(SUBSTITUTE(Y245,".","-"),"/","-")),IFERROR(Y245*1,""))))</f>
        <v/>
      </c>
      <c r="N245">
        <f>IFERROR(LEFT(B245,FIND(" ",B245)-1),B245)</f>
        <v/>
      </c>
      <c r="O245">
        <f>AND(B245&lt;&gt;"",B245&lt;&gt;설정!$B$4,C245&lt;&gt;설정!$B$5)</f>
        <v/>
      </c>
      <c r="P245">
        <f>IF(O245,B245&amp;"|"&amp;C245,"")</f>
        <v/>
      </c>
      <c r="Q245">
        <f>AND(O245,COUNTIF(P246:P$1002,P245)=0)</f>
        <v/>
      </c>
      <c r="R245">
        <f>OR(AND(설정!$A$28&lt;&gt;"",ISNUMBER(SEARCH(설정!$A$28,E245&amp;" "&amp;C245))),AND(설정!$A$29&lt;&gt;"",ISNUMBER(SEARCH(설정!$A$29,E245&amp;" "&amp;C245))),AND(설정!$A$30&lt;&gt;"",ISNUMBER(SEARCH(설정!$A$30,E245&amp;" "&amp;C245))),AND(설정!$A$31&lt;&gt;"",ISNUMBER(SEARCH(설정!$A$31,E245&amp;" "&amp;C245))),AND(설정!$A$32&lt;&gt;"",ISNUMBER(SEARCH(설정!$A$32,E245&amp;" "&amp;C245))),AND(설정!$A$33&lt;&gt;"",ISNUMBER(SEARCH(설정!$A$33,E245&amp;" "&amp;C245))),AND(설정!$A$34&lt;&gt;"",ISNUMBER(SEARCH(설정!$A$34,E245&amp;" "&amp;C245))),AND(설정!$A$35&lt;&gt;"",ISNUMBER(SEARCH(설정!$A$35,E245&amp;" "&amp;C245))),AND(설정!$A$36&lt;&gt;"",ISNUMBER(SEARCH(설정!$A$36,E245&amp;" "&amp;C245))),AND(설정!$A$37&lt;&gt;"",ISNUMBER(SEARCH(설정!$A$37,E245&amp;" "&amp;C245))))</f>
        <v/>
      </c>
      <c r="S245">
        <f>OR(D245="",D245&gt;=설정!$B$19)</f>
        <v/>
      </c>
      <c r="T245">
        <f>AND(Q245,R245,S245)</f>
        <v/>
      </c>
      <c r="U245">
        <f>IF(T245,IF(AND(설정!$A$41&lt;&gt;"",ISNUMBER(SEARCH(설정!$A$41,K245))),설정!$B$41,IF(AND(설정!$A$42&lt;&gt;"",ISNUMBER(SEARCH(설정!$A$42,K245))),설정!$B$42,IF(AND(설정!$A$43&lt;&gt;"",ISNUMBER(SEARCH(설정!$A$43,K245))),설정!$B$43,IF(AND(설정!$A$44&lt;&gt;"",ISNUMBER(SEARCH(설정!$A$44,K245))),설정!$B$44,IF(AND(설정!$A$45&lt;&gt;"",ISNUMBER(SEARCH(설정!$A$45,K245))),설정!$B$45,IF(AND(설정!$A$46&lt;&gt;"",ISNUMBER(SEARCH(설정!$A$46,K245))),설정!$B$46,IF(AND(설정!$A$47&lt;&gt;"",ISNUMBER(SEARCH(설정!$A$47,K245))),설정!$B$47,IF(AND(설정!$A$48&lt;&gt;"",ISNUMBER(SEARCH(설정!$A$48,K245))),설정!$B$48,IF(M245="","설계사","시공사"))))))))),"")</f>
        <v/>
      </c>
      <c r="V245">
        <f>SUBSTITUTE(SUBSTITUTE(SUBSTITUTE(SUBSTITUTE(G245,"(주)",""),"㈜",""),"주식회사","")," ","")</f>
        <v/>
      </c>
      <c r="W245">
        <f>IF(AND(T245,V245&lt;&gt;""),IF(COUNTIFS(V$2:V245,V245,T$2:T245,TRUE)=1,MAX(W$1:W244)+1,""),"")</f>
        <v/>
      </c>
      <c r="X245">
        <f>IFERROR(INDEX('1.산군_붙여넣기'!$A$1:$AZ$1001,ROW(),설정!$C$14)&amp;"","")</f>
        <v/>
      </c>
      <c r="Y245">
        <f>IFERROR(INDEX('1.산군_붙여넣기'!$A$1:$AZ$1001,ROW(),설정!$C$15)&amp;"","")</f>
        <v/>
      </c>
      <c r="Z245">
        <f>IF(T245,V245&amp;"|"&amp;U245,"")</f>
        <v/>
      </c>
    </row>
    <row r="246">
      <c r="A246">
        <f>ROW()</f>
        <v/>
      </c>
      <c r="B246">
        <f>IFERROR(INDEX('1.산군_붙여넣기'!$A$1:$AZ$1001,ROW(),설정!$C$4)&amp;"","")</f>
        <v/>
      </c>
      <c r="C246">
        <f>IFERROR(INDEX('1.산군_붙여넣기'!$A$1:$AZ$1001,ROW(),설정!$C$5)&amp;"","")</f>
        <v/>
      </c>
      <c r="D246" s="5">
        <f>IFERROR(VALUE(SUBSTITUTE(SUBSTITUTE(SUBSTITUTE(IFERROR(INDEX('1.산군_붙여넣기'!$A$1:$AZ$1001,ROW(),설정!$C$6)&amp;"",""),",",""),"㎡",""),"m2","")),"")</f>
        <v/>
      </c>
      <c r="E246">
        <f>IFERROR(INDEX('1.산군_붙여넣기'!$A$1:$AZ$1001,ROW(),설정!$C$7)&amp;"","")</f>
        <v/>
      </c>
      <c r="F246">
        <f>IFERROR(INDEX('1.산군_붙여넣기'!$A$1:$AZ$1001,ROW(),설정!$C$8)&amp;"","")</f>
        <v/>
      </c>
      <c r="G246">
        <f>IFERROR(INDEX('1.산군_붙여넣기'!$A$1:$AZ$1001,ROW(),설정!$C$9)&amp;"","")</f>
        <v/>
      </c>
      <c r="H246">
        <f>IFERROR(INDEX('1.산군_붙여넣기'!$A$1:$AZ$1001,ROW(),설정!$C$10)&amp;"","")</f>
        <v/>
      </c>
      <c r="I246">
        <f>IFERROR(INDEX('1.산군_붙여넣기'!$A$1:$AZ$1001,ROW(),설정!$C$11)&amp;"","")</f>
        <v/>
      </c>
      <c r="J246">
        <f>IFERROR(INDEX('1.산군_붙여넣기'!$A$1:$AZ$1001,ROW(),설정!$C$12)&amp;"","")</f>
        <v/>
      </c>
      <c r="K246">
        <f>IFERROR(INDEX('1.산군_붙여넣기'!$A$1:$AZ$1001,ROW(),설정!$C$13)&amp;"","")</f>
        <v/>
      </c>
      <c r="L246" s="6">
        <f>IF(X246="","",IF(AND(LEN(X246)=8,ISNUMBER(X246*1)),DATE(LEFT(X246,4),MID(X246,5,2),RIGHT(X246,2)),IFERROR(DATEVALUE(SUBSTITUTE(SUBSTITUTE(X246,".","-"),"/","-")),IFERROR(X246*1,""))))</f>
        <v/>
      </c>
      <c r="M246" s="6">
        <f>IF(Y246="","",IF(AND(LEN(Y246)=8,ISNUMBER(Y246*1)),DATE(LEFT(Y246,4),MID(Y246,5,2),RIGHT(Y246,2)),IFERROR(DATEVALUE(SUBSTITUTE(SUBSTITUTE(Y246,".","-"),"/","-")),IFERROR(Y246*1,""))))</f>
        <v/>
      </c>
      <c r="N246">
        <f>IFERROR(LEFT(B246,FIND(" ",B246)-1),B246)</f>
        <v/>
      </c>
      <c r="O246">
        <f>AND(B246&lt;&gt;"",B246&lt;&gt;설정!$B$4,C246&lt;&gt;설정!$B$5)</f>
        <v/>
      </c>
      <c r="P246">
        <f>IF(O246,B246&amp;"|"&amp;C246,"")</f>
        <v/>
      </c>
      <c r="Q246">
        <f>AND(O246,COUNTIF(P247:P$1002,P246)=0)</f>
        <v/>
      </c>
      <c r="R246">
        <f>OR(AND(설정!$A$28&lt;&gt;"",ISNUMBER(SEARCH(설정!$A$28,E246&amp;" "&amp;C246))),AND(설정!$A$29&lt;&gt;"",ISNUMBER(SEARCH(설정!$A$29,E246&amp;" "&amp;C246))),AND(설정!$A$30&lt;&gt;"",ISNUMBER(SEARCH(설정!$A$30,E246&amp;" "&amp;C246))),AND(설정!$A$31&lt;&gt;"",ISNUMBER(SEARCH(설정!$A$31,E246&amp;" "&amp;C246))),AND(설정!$A$32&lt;&gt;"",ISNUMBER(SEARCH(설정!$A$32,E246&amp;" "&amp;C246))),AND(설정!$A$33&lt;&gt;"",ISNUMBER(SEARCH(설정!$A$33,E246&amp;" "&amp;C246))),AND(설정!$A$34&lt;&gt;"",ISNUMBER(SEARCH(설정!$A$34,E246&amp;" "&amp;C246))),AND(설정!$A$35&lt;&gt;"",ISNUMBER(SEARCH(설정!$A$35,E246&amp;" "&amp;C246))),AND(설정!$A$36&lt;&gt;"",ISNUMBER(SEARCH(설정!$A$36,E246&amp;" "&amp;C246))),AND(설정!$A$37&lt;&gt;"",ISNUMBER(SEARCH(설정!$A$37,E246&amp;" "&amp;C246))))</f>
        <v/>
      </c>
      <c r="S246">
        <f>OR(D246="",D246&gt;=설정!$B$19)</f>
        <v/>
      </c>
      <c r="T246">
        <f>AND(Q246,R246,S246)</f>
        <v/>
      </c>
      <c r="U246">
        <f>IF(T246,IF(AND(설정!$A$41&lt;&gt;"",ISNUMBER(SEARCH(설정!$A$41,K246))),설정!$B$41,IF(AND(설정!$A$42&lt;&gt;"",ISNUMBER(SEARCH(설정!$A$42,K246))),설정!$B$42,IF(AND(설정!$A$43&lt;&gt;"",ISNUMBER(SEARCH(설정!$A$43,K246))),설정!$B$43,IF(AND(설정!$A$44&lt;&gt;"",ISNUMBER(SEARCH(설정!$A$44,K246))),설정!$B$44,IF(AND(설정!$A$45&lt;&gt;"",ISNUMBER(SEARCH(설정!$A$45,K246))),설정!$B$45,IF(AND(설정!$A$46&lt;&gt;"",ISNUMBER(SEARCH(설정!$A$46,K246))),설정!$B$46,IF(AND(설정!$A$47&lt;&gt;"",ISNUMBER(SEARCH(설정!$A$47,K246))),설정!$B$47,IF(AND(설정!$A$48&lt;&gt;"",ISNUMBER(SEARCH(설정!$A$48,K246))),설정!$B$48,IF(M246="","설계사","시공사"))))))))),"")</f>
        <v/>
      </c>
      <c r="V246">
        <f>SUBSTITUTE(SUBSTITUTE(SUBSTITUTE(SUBSTITUTE(G246,"(주)",""),"㈜",""),"주식회사","")," ","")</f>
        <v/>
      </c>
      <c r="W246">
        <f>IF(AND(T246,V246&lt;&gt;""),IF(COUNTIFS(V$2:V246,V246,T$2:T246,TRUE)=1,MAX(W$1:W245)+1,""),"")</f>
        <v/>
      </c>
      <c r="X246">
        <f>IFERROR(INDEX('1.산군_붙여넣기'!$A$1:$AZ$1001,ROW(),설정!$C$14)&amp;"","")</f>
        <v/>
      </c>
      <c r="Y246">
        <f>IFERROR(INDEX('1.산군_붙여넣기'!$A$1:$AZ$1001,ROW(),설정!$C$15)&amp;"","")</f>
        <v/>
      </c>
      <c r="Z246">
        <f>IF(T246,V246&amp;"|"&amp;U246,"")</f>
        <v/>
      </c>
    </row>
    <row r="247">
      <c r="A247">
        <f>ROW()</f>
        <v/>
      </c>
      <c r="B247">
        <f>IFERROR(INDEX('1.산군_붙여넣기'!$A$1:$AZ$1001,ROW(),설정!$C$4)&amp;"","")</f>
        <v/>
      </c>
      <c r="C247">
        <f>IFERROR(INDEX('1.산군_붙여넣기'!$A$1:$AZ$1001,ROW(),설정!$C$5)&amp;"","")</f>
        <v/>
      </c>
      <c r="D247" s="5">
        <f>IFERROR(VALUE(SUBSTITUTE(SUBSTITUTE(SUBSTITUTE(IFERROR(INDEX('1.산군_붙여넣기'!$A$1:$AZ$1001,ROW(),설정!$C$6)&amp;"",""),",",""),"㎡",""),"m2","")),"")</f>
        <v/>
      </c>
      <c r="E247">
        <f>IFERROR(INDEX('1.산군_붙여넣기'!$A$1:$AZ$1001,ROW(),설정!$C$7)&amp;"","")</f>
        <v/>
      </c>
      <c r="F247">
        <f>IFERROR(INDEX('1.산군_붙여넣기'!$A$1:$AZ$1001,ROW(),설정!$C$8)&amp;"","")</f>
        <v/>
      </c>
      <c r="G247">
        <f>IFERROR(INDEX('1.산군_붙여넣기'!$A$1:$AZ$1001,ROW(),설정!$C$9)&amp;"","")</f>
        <v/>
      </c>
      <c r="H247">
        <f>IFERROR(INDEX('1.산군_붙여넣기'!$A$1:$AZ$1001,ROW(),설정!$C$10)&amp;"","")</f>
        <v/>
      </c>
      <c r="I247">
        <f>IFERROR(INDEX('1.산군_붙여넣기'!$A$1:$AZ$1001,ROW(),설정!$C$11)&amp;"","")</f>
        <v/>
      </c>
      <c r="J247">
        <f>IFERROR(INDEX('1.산군_붙여넣기'!$A$1:$AZ$1001,ROW(),설정!$C$12)&amp;"","")</f>
        <v/>
      </c>
      <c r="K247">
        <f>IFERROR(INDEX('1.산군_붙여넣기'!$A$1:$AZ$1001,ROW(),설정!$C$13)&amp;"","")</f>
        <v/>
      </c>
      <c r="L247" s="6">
        <f>IF(X247="","",IF(AND(LEN(X247)=8,ISNUMBER(X247*1)),DATE(LEFT(X247,4),MID(X247,5,2),RIGHT(X247,2)),IFERROR(DATEVALUE(SUBSTITUTE(SUBSTITUTE(X247,".","-"),"/","-")),IFERROR(X247*1,""))))</f>
        <v/>
      </c>
      <c r="M247" s="6">
        <f>IF(Y247="","",IF(AND(LEN(Y247)=8,ISNUMBER(Y247*1)),DATE(LEFT(Y247,4),MID(Y247,5,2),RIGHT(Y247,2)),IFERROR(DATEVALUE(SUBSTITUTE(SUBSTITUTE(Y247,".","-"),"/","-")),IFERROR(Y247*1,""))))</f>
        <v/>
      </c>
      <c r="N247">
        <f>IFERROR(LEFT(B247,FIND(" ",B247)-1),B247)</f>
        <v/>
      </c>
      <c r="O247">
        <f>AND(B247&lt;&gt;"",B247&lt;&gt;설정!$B$4,C247&lt;&gt;설정!$B$5)</f>
        <v/>
      </c>
      <c r="P247">
        <f>IF(O247,B247&amp;"|"&amp;C247,"")</f>
        <v/>
      </c>
      <c r="Q247">
        <f>AND(O247,COUNTIF(P248:P$1002,P247)=0)</f>
        <v/>
      </c>
      <c r="R247">
        <f>OR(AND(설정!$A$28&lt;&gt;"",ISNUMBER(SEARCH(설정!$A$28,E247&amp;" "&amp;C247))),AND(설정!$A$29&lt;&gt;"",ISNUMBER(SEARCH(설정!$A$29,E247&amp;" "&amp;C247))),AND(설정!$A$30&lt;&gt;"",ISNUMBER(SEARCH(설정!$A$30,E247&amp;" "&amp;C247))),AND(설정!$A$31&lt;&gt;"",ISNUMBER(SEARCH(설정!$A$31,E247&amp;" "&amp;C247))),AND(설정!$A$32&lt;&gt;"",ISNUMBER(SEARCH(설정!$A$32,E247&amp;" "&amp;C247))),AND(설정!$A$33&lt;&gt;"",ISNUMBER(SEARCH(설정!$A$33,E247&amp;" "&amp;C247))),AND(설정!$A$34&lt;&gt;"",ISNUMBER(SEARCH(설정!$A$34,E247&amp;" "&amp;C247))),AND(설정!$A$35&lt;&gt;"",ISNUMBER(SEARCH(설정!$A$35,E247&amp;" "&amp;C247))),AND(설정!$A$36&lt;&gt;"",ISNUMBER(SEARCH(설정!$A$36,E247&amp;" "&amp;C247))),AND(설정!$A$37&lt;&gt;"",ISNUMBER(SEARCH(설정!$A$37,E247&amp;" "&amp;C247))))</f>
        <v/>
      </c>
      <c r="S247">
        <f>OR(D247="",D247&gt;=설정!$B$19)</f>
        <v/>
      </c>
      <c r="T247">
        <f>AND(Q247,R247,S247)</f>
        <v/>
      </c>
      <c r="U247">
        <f>IF(T247,IF(AND(설정!$A$41&lt;&gt;"",ISNUMBER(SEARCH(설정!$A$41,K247))),설정!$B$41,IF(AND(설정!$A$42&lt;&gt;"",ISNUMBER(SEARCH(설정!$A$42,K247))),설정!$B$42,IF(AND(설정!$A$43&lt;&gt;"",ISNUMBER(SEARCH(설정!$A$43,K247))),설정!$B$43,IF(AND(설정!$A$44&lt;&gt;"",ISNUMBER(SEARCH(설정!$A$44,K247))),설정!$B$44,IF(AND(설정!$A$45&lt;&gt;"",ISNUMBER(SEARCH(설정!$A$45,K247))),설정!$B$45,IF(AND(설정!$A$46&lt;&gt;"",ISNUMBER(SEARCH(설정!$A$46,K247))),설정!$B$46,IF(AND(설정!$A$47&lt;&gt;"",ISNUMBER(SEARCH(설정!$A$47,K247))),설정!$B$47,IF(AND(설정!$A$48&lt;&gt;"",ISNUMBER(SEARCH(설정!$A$48,K247))),설정!$B$48,IF(M247="","설계사","시공사"))))))))),"")</f>
        <v/>
      </c>
      <c r="V247">
        <f>SUBSTITUTE(SUBSTITUTE(SUBSTITUTE(SUBSTITUTE(G247,"(주)",""),"㈜",""),"주식회사","")," ","")</f>
        <v/>
      </c>
      <c r="W247">
        <f>IF(AND(T247,V247&lt;&gt;""),IF(COUNTIFS(V$2:V247,V247,T$2:T247,TRUE)=1,MAX(W$1:W246)+1,""),"")</f>
        <v/>
      </c>
      <c r="X247">
        <f>IFERROR(INDEX('1.산군_붙여넣기'!$A$1:$AZ$1001,ROW(),설정!$C$14)&amp;"","")</f>
        <v/>
      </c>
      <c r="Y247">
        <f>IFERROR(INDEX('1.산군_붙여넣기'!$A$1:$AZ$1001,ROW(),설정!$C$15)&amp;"","")</f>
        <v/>
      </c>
      <c r="Z247">
        <f>IF(T247,V247&amp;"|"&amp;U247,"")</f>
        <v/>
      </c>
    </row>
    <row r="248">
      <c r="A248">
        <f>ROW()</f>
        <v/>
      </c>
      <c r="B248">
        <f>IFERROR(INDEX('1.산군_붙여넣기'!$A$1:$AZ$1001,ROW(),설정!$C$4)&amp;"","")</f>
        <v/>
      </c>
      <c r="C248">
        <f>IFERROR(INDEX('1.산군_붙여넣기'!$A$1:$AZ$1001,ROW(),설정!$C$5)&amp;"","")</f>
        <v/>
      </c>
      <c r="D248" s="5">
        <f>IFERROR(VALUE(SUBSTITUTE(SUBSTITUTE(SUBSTITUTE(IFERROR(INDEX('1.산군_붙여넣기'!$A$1:$AZ$1001,ROW(),설정!$C$6)&amp;"",""),",",""),"㎡",""),"m2","")),"")</f>
        <v/>
      </c>
      <c r="E248">
        <f>IFERROR(INDEX('1.산군_붙여넣기'!$A$1:$AZ$1001,ROW(),설정!$C$7)&amp;"","")</f>
        <v/>
      </c>
      <c r="F248">
        <f>IFERROR(INDEX('1.산군_붙여넣기'!$A$1:$AZ$1001,ROW(),설정!$C$8)&amp;"","")</f>
        <v/>
      </c>
      <c r="G248">
        <f>IFERROR(INDEX('1.산군_붙여넣기'!$A$1:$AZ$1001,ROW(),설정!$C$9)&amp;"","")</f>
        <v/>
      </c>
      <c r="H248">
        <f>IFERROR(INDEX('1.산군_붙여넣기'!$A$1:$AZ$1001,ROW(),설정!$C$10)&amp;"","")</f>
        <v/>
      </c>
      <c r="I248">
        <f>IFERROR(INDEX('1.산군_붙여넣기'!$A$1:$AZ$1001,ROW(),설정!$C$11)&amp;"","")</f>
        <v/>
      </c>
      <c r="J248">
        <f>IFERROR(INDEX('1.산군_붙여넣기'!$A$1:$AZ$1001,ROW(),설정!$C$12)&amp;"","")</f>
        <v/>
      </c>
      <c r="K248">
        <f>IFERROR(INDEX('1.산군_붙여넣기'!$A$1:$AZ$1001,ROW(),설정!$C$13)&amp;"","")</f>
        <v/>
      </c>
      <c r="L248" s="6">
        <f>IF(X248="","",IF(AND(LEN(X248)=8,ISNUMBER(X248*1)),DATE(LEFT(X248,4),MID(X248,5,2),RIGHT(X248,2)),IFERROR(DATEVALUE(SUBSTITUTE(SUBSTITUTE(X248,".","-"),"/","-")),IFERROR(X248*1,""))))</f>
        <v/>
      </c>
      <c r="M248" s="6">
        <f>IF(Y248="","",IF(AND(LEN(Y248)=8,ISNUMBER(Y248*1)),DATE(LEFT(Y248,4),MID(Y248,5,2),RIGHT(Y248,2)),IFERROR(DATEVALUE(SUBSTITUTE(SUBSTITUTE(Y248,".","-"),"/","-")),IFERROR(Y248*1,""))))</f>
        <v/>
      </c>
      <c r="N248">
        <f>IFERROR(LEFT(B248,FIND(" ",B248)-1),B248)</f>
        <v/>
      </c>
      <c r="O248">
        <f>AND(B248&lt;&gt;"",B248&lt;&gt;설정!$B$4,C248&lt;&gt;설정!$B$5)</f>
        <v/>
      </c>
      <c r="P248">
        <f>IF(O248,B248&amp;"|"&amp;C248,"")</f>
        <v/>
      </c>
      <c r="Q248">
        <f>AND(O248,COUNTIF(P249:P$1002,P248)=0)</f>
        <v/>
      </c>
      <c r="R248">
        <f>OR(AND(설정!$A$28&lt;&gt;"",ISNUMBER(SEARCH(설정!$A$28,E248&amp;" "&amp;C248))),AND(설정!$A$29&lt;&gt;"",ISNUMBER(SEARCH(설정!$A$29,E248&amp;" "&amp;C248))),AND(설정!$A$30&lt;&gt;"",ISNUMBER(SEARCH(설정!$A$30,E248&amp;" "&amp;C248))),AND(설정!$A$31&lt;&gt;"",ISNUMBER(SEARCH(설정!$A$31,E248&amp;" "&amp;C248))),AND(설정!$A$32&lt;&gt;"",ISNUMBER(SEARCH(설정!$A$32,E248&amp;" "&amp;C248))),AND(설정!$A$33&lt;&gt;"",ISNUMBER(SEARCH(설정!$A$33,E248&amp;" "&amp;C248))),AND(설정!$A$34&lt;&gt;"",ISNUMBER(SEARCH(설정!$A$34,E248&amp;" "&amp;C248))),AND(설정!$A$35&lt;&gt;"",ISNUMBER(SEARCH(설정!$A$35,E248&amp;" "&amp;C248))),AND(설정!$A$36&lt;&gt;"",ISNUMBER(SEARCH(설정!$A$36,E248&amp;" "&amp;C248))),AND(설정!$A$37&lt;&gt;"",ISNUMBER(SEARCH(설정!$A$37,E248&amp;" "&amp;C248))))</f>
        <v/>
      </c>
      <c r="S248">
        <f>OR(D248="",D248&gt;=설정!$B$19)</f>
        <v/>
      </c>
      <c r="T248">
        <f>AND(Q248,R248,S248)</f>
        <v/>
      </c>
      <c r="U248">
        <f>IF(T248,IF(AND(설정!$A$41&lt;&gt;"",ISNUMBER(SEARCH(설정!$A$41,K248))),설정!$B$41,IF(AND(설정!$A$42&lt;&gt;"",ISNUMBER(SEARCH(설정!$A$42,K248))),설정!$B$42,IF(AND(설정!$A$43&lt;&gt;"",ISNUMBER(SEARCH(설정!$A$43,K248))),설정!$B$43,IF(AND(설정!$A$44&lt;&gt;"",ISNUMBER(SEARCH(설정!$A$44,K248))),설정!$B$44,IF(AND(설정!$A$45&lt;&gt;"",ISNUMBER(SEARCH(설정!$A$45,K248))),설정!$B$45,IF(AND(설정!$A$46&lt;&gt;"",ISNUMBER(SEARCH(설정!$A$46,K248))),설정!$B$46,IF(AND(설정!$A$47&lt;&gt;"",ISNUMBER(SEARCH(설정!$A$47,K248))),설정!$B$47,IF(AND(설정!$A$48&lt;&gt;"",ISNUMBER(SEARCH(설정!$A$48,K248))),설정!$B$48,IF(M248="","설계사","시공사"))))))))),"")</f>
        <v/>
      </c>
      <c r="V248">
        <f>SUBSTITUTE(SUBSTITUTE(SUBSTITUTE(SUBSTITUTE(G248,"(주)",""),"㈜",""),"주식회사","")," ","")</f>
        <v/>
      </c>
      <c r="W248">
        <f>IF(AND(T248,V248&lt;&gt;""),IF(COUNTIFS(V$2:V248,V248,T$2:T248,TRUE)=1,MAX(W$1:W247)+1,""),"")</f>
        <v/>
      </c>
      <c r="X248">
        <f>IFERROR(INDEX('1.산군_붙여넣기'!$A$1:$AZ$1001,ROW(),설정!$C$14)&amp;"","")</f>
        <v/>
      </c>
      <c r="Y248">
        <f>IFERROR(INDEX('1.산군_붙여넣기'!$A$1:$AZ$1001,ROW(),설정!$C$15)&amp;"","")</f>
        <v/>
      </c>
      <c r="Z248">
        <f>IF(T248,V248&amp;"|"&amp;U248,"")</f>
        <v/>
      </c>
    </row>
    <row r="249">
      <c r="A249">
        <f>ROW()</f>
        <v/>
      </c>
      <c r="B249">
        <f>IFERROR(INDEX('1.산군_붙여넣기'!$A$1:$AZ$1001,ROW(),설정!$C$4)&amp;"","")</f>
        <v/>
      </c>
      <c r="C249">
        <f>IFERROR(INDEX('1.산군_붙여넣기'!$A$1:$AZ$1001,ROW(),설정!$C$5)&amp;"","")</f>
        <v/>
      </c>
      <c r="D249" s="5">
        <f>IFERROR(VALUE(SUBSTITUTE(SUBSTITUTE(SUBSTITUTE(IFERROR(INDEX('1.산군_붙여넣기'!$A$1:$AZ$1001,ROW(),설정!$C$6)&amp;"",""),",",""),"㎡",""),"m2","")),"")</f>
        <v/>
      </c>
      <c r="E249">
        <f>IFERROR(INDEX('1.산군_붙여넣기'!$A$1:$AZ$1001,ROW(),설정!$C$7)&amp;"","")</f>
        <v/>
      </c>
      <c r="F249">
        <f>IFERROR(INDEX('1.산군_붙여넣기'!$A$1:$AZ$1001,ROW(),설정!$C$8)&amp;"","")</f>
        <v/>
      </c>
      <c r="G249">
        <f>IFERROR(INDEX('1.산군_붙여넣기'!$A$1:$AZ$1001,ROW(),설정!$C$9)&amp;"","")</f>
        <v/>
      </c>
      <c r="H249">
        <f>IFERROR(INDEX('1.산군_붙여넣기'!$A$1:$AZ$1001,ROW(),설정!$C$10)&amp;"","")</f>
        <v/>
      </c>
      <c r="I249">
        <f>IFERROR(INDEX('1.산군_붙여넣기'!$A$1:$AZ$1001,ROW(),설정!$C$11)&amp;"","")</f>
        <v/>
      </c>
      <c r="J249">
        <f>IFERROR(INDEX('1.산군_붙여넣기'!$A$1:$AZ$1001,ROW(),설정!$C$12)&amp;"","")</f>
        <v/>
      </c>
      <c r="K249">
        <f>IFERROR(INDEX('1.산군_붙여넣기'!$A$1:$AZ$1001,ROW(),설정!$C$13)&amp;"","")</f>
        <v/>
      </c>
      <c r="L249" s="6">
        <f>IF(X249="","",IF(AND(LEN(X249)=8,ISNUMBER(X249*1)),DATE(LEFT(X249,4),MID(X249,5,2),RIGHT(X249,2)),IFERROR(DATEVALUE(SUBSTITUTE(SUBSTITUTE(X249,".","-"),"/","-")),IFERROR(X249*1,""))))</f>
        <v/>
      </c>
      <c r="M249" s="6">
        <f>IF(Y249="","",IF(AND(LEN(Y249)=8,ISNUMBER(Y249*1)),DATE(LEFT(Y249,4),MID(Y249,5,2),RIGHT(Y249,2)),IFERROR(DATEVALUE(SUBSTITUTE(SUBSTITUTE(Y249,".","-"),"/","-")),IFERROR(Y249*1,""))))</f>
        <v/>
      </c>
      <c r="N249">
        <f>IFERROR(LEFT(B249,FIND(" ",B249)-1),B249)</f>
        <v/>
      </c>
      <c r="O249">
        <f>AND(B249&lt;&gt;"",B249&lt;&gt;설정!$B$4,C249&lt;&gt;설정!$B$5)</f>
        <v/>
      </c>
      <c r="P249">
        <f>IF(O249,B249&amp;"|"&amp;C249,"")</f>
        <v/>
      </c>
      <c r="Q249">
        <f>AND(O249,COUNTIF(P250:P$1002,P249)=0)</f>
        <v/>
      </c>
      <c r="R249">
        <f>OR(AND(설정!$A$28&lt;&gt;"",ISNUMBER(SEARCH(설정!$A$28,E249&amp;" "&amp;C249))),AND(설정!$A$29&lt;&gt;"",ISNUMBER(SEARCH(설정!$A$29,E249&amp;" "&amp;C249))),AND(설정!$A$30&lt;&gt;"",ISNUMBER(SEARCH(설정!$A$30,E249&amp;" "&amp;C249))),AND(설정!$A$31&lt;&gt;"",ISNUMBER(SEARCH(설정!$A$31,E249&amp;" "&amp;C249))),AND(설정!$A$32&lt;&gt;"",ISNUMBER(SEARCH(설정!$A$32,E249&amp;" "&amp;C249))),AND(설정!$A$33&lt;&gt;"",ISNUMBER(SEARCH(설정!$A$33,E249&amp;" "&amp;C249))),AND(설정!$A$34&lt;&gt;"",ISNUMBER(SEARCH(설정!$A$34,E249&amp;" "&amp;C249))),AND(설정!$A$35&lt;&gt;"",ISNUMBER(SEARCH(설정!$A$35,E249&amp;" "&amp;C249))),AND(설정!$A$36&lt;&gt;"",ISNUMBER(SEARCH(설정!$A$36,E249&amp;" "&amp;C249))),AND(설정!$A$37&lt;&gt;"",ISNUMBER(SEARCH(설정!$A$37,E249&amp;" "&amp;C249))))</f>
        <v/>
      </c>
      <c r="S249">
        <f>OR(D249="",D249&gt;=설정!$B$19)</f>
        <v/>
      </c>
      <c r="T249">
        <f>AND(Q249,R249,S249)</f>
        <v/>
      </c>
      <c r="U249">
        <f>IF(T249,IF(AND(설정!$A$41&lt;&gt;"",ISNUMBER(SEARCH(설정!$A$41,K249))),설정!$B$41,IF(AND(설정!$A$42&lt;&gt;"",ISNUMBER(SEARCH(설정!$A$42,K249))),설정!$B$42,IF(AND(설정!$A$43&lt;&gt;"",ISNUMBER(SEARCH(설정!$A$43,K249))),설정!$B$43,IF(AND(설정!$A$44&lt;&gt;"",ISNUMBER(SEARCH(설정!$A$44,K249))),설정!$B$44,IF(AND(설정!$A$45&lt;&gt;"",ISNUMBER(SEARCH(설정!$A$45,K249))),설정!$B$45,IF(AND(설정!$A$46&lt;&gt;"",ISNUMBER(SEARCH(설정!$A$46,K249))),설정!$B$46,IF(AND(설정!$A$47&lt;&gt;"",ISNUMBER(SEARCH(설정!$A$47,K249))),설정!$B$47,IF(AND(설정!$A$48&lt;&gt;"",ISNUMBER(SEARCH(설정!$A$48,K249))),설정!$B$48,IF(M249="","설계사","시공사"))))))))),"")</f>
        <v/>
      </c>
      <c r="V249">
        <f>SUBSTITUTE(SUBSTITUTE(SUBSTITUTE(SUBSTITUTE(G249,"(주)",""),"㈜",""),"주식회사","")," ","")</f>
        <v/>
      </c>
      <c r="W249">
        <f>IF(AND(T249,V249&lt;&gt;""),IF(COUNTIFS(V$2:V249,V249,T$2:T249,TRUE)=1,MAX(W$1:W248)+1,""),"")</f>
        <v/>
      </c>
      <c r="X249">
        <f>IFERROR(INDEX('1.산군_붙여넣기'!$A$1:$AZ$1001,ROW(),설정!$C$14)&amp;"","")</f>
        <v/>
      </c>
      <c r="Y249">
        <f>IFERROR(INDEX('1.산군_붙여넣기'!$A$1:$AZ$1001,ROW(),설정!$C$15)&amp;"","")</f>
        <v/>
      </c>
      <c r="Z249">
        <f>IF(T249,V249&amp;"|"&amp;U249,"")</f>
        <v/>
      </c>
    </row>
    <row r="250">
      <c r="A250">
        <f>ROW()</f>
        <v/>
      </c>
      <c r="B250">
        <f>IFERROR(INDEX('1.산군_붙여넣기'!$A$1:$AZ$1001,ROW(),설정!$C$4)&amp;"","")</f>
        <v/>
      </c>
      <c r="C250">
        <f>IFERROR(INDEX('1.산군_붙여넣기'!$A$1:$AZ$1001,ROW(),설정!$C$5)&amp;"","")</f>
        <v/>
      </c>
      <c r="D250" s="5">
        <f>IFERROR(VALUE(SUBSTITUTE(SUBSTITUTE(SUBSTITUTE(IFERROR(INDEX('1.산군_붙여넣기'!$A$1:$AZ$1001,ROW(),설정!$C$6)&amp;"",""),",",""),"㎡",""),"m2","")),"")</f>
        <v/>
      </c>
      <c r="E250">
        <f>IFERROR(INDEX('1.산군_붙여넣기'!$A$1:$AZ$1001,ROW(),설정!$C$7)&amp;"","")</f>
        <v/>
      </c>
      <c r="F250">
        <f>IFERROR(INDEX('1.산군_붙여넣기'!$A$1:$AZ$1001,ROW(),설정!$C$8)&amp;"","")</f>
        <v/>
      </c>
      <c r="G250">
        <f>IFERROR(INDEX('1.산군_붙여넣기'!$A$1:$AZ$1001,ROW(),설정!$C$9)&amp;"","")</f>
        <v/>
      </c>
      <c r="H250">
        <f>IFERROR(INDEX('1.산군_붙여넣기'!$A$1:$AZ$1001,ROW(),설정!$C$10)&amp;"","")</f>
        <v/>
      </c>
      <c r="I250">
        <f>IFERROR(INDEX('1.산군_붙여넣기'!$A$1:$AZ$1001,ROW(),설정!$C$11)&amp;"","")</f>
        <v/>
      </c>
      <c r="J250">
        <f>IFERROR(INDEX('1.산군_붙여넣기'!$A$1:$AZ$1001,ROW(),설정!$C$12)&amp;"","")</f>
        <v/>
      </c>
      <c r="K250">
        <f>IFERROR(INDEX('1.산군_붙여넣기'!$A$1:$AZ$1001,ROW(),설정!$C$13)&amp;"","")</f>
        <v/>
      </c>
      <c r="L250" s="6">
        <f>IF(X250="","",IF(AND(LEN(X250)=8,ISNUMBER(X250*1)),DATE(LEFT(X250,4),MID(X250,5,2),RIGHT(X250,2)),IFERROR(DATEVALUE(SUBSTITUTE(SUBSTITUTE(X250,".","-"),"/","-")),IFERROR(X250*1,""))))</f>
        <v/>
      </c>
      <c r="M250" s="6">
        <f>IF(Y250="","",IF(AND(LEN(Y250)=8,ISNUMBER(Y250*1)),DATE(LEFT(Y250,4),MID(Y250,5,2),RIGHT(Y250,2)),IFERROR(DATEVALUE(SUBSTITUTE(SUBSTITUTE(Y250,".","-"),"/","-")),IFERROR(Y250*1,""))))</f>
        <v/>
      </c>
      <c r="N250">
        <f>IFERROR(LEFT(B250,FIND(" ",B250)-1),B250)</f>
        <v/>
      </c>
      <c r="O250">
        <f>AND(B250&lt;&gt;"",B250&lt;&gt;설정!$B$4,C250&lt;&gt;설정!$B$5)</f>
        <v/>
      </c>
      <c r="P250">
        <f>IF(O250,B250&amp;"|"&amp;C250,"")</f>
        <v/>
      </c>
      <c r="Q250">
        <f>AND(O250,COUNTIF(P251:P$1002,P250)=0)</f>
        <v/>
      </c>
      <c r="R250">
        <f>OR(AND(설정!$A$28&lt;&gt;"",ISNUMBER(SEARCH(설정!$A$28,E250&amp;" "&amp;C250))),AND(설정!$A$29&lt;&gt;"",ISNUMBER(SEARCH(설정!$A$29,E250&amp;" "&amp;C250))),AND(설정!$A$30&lt;&gt;"",ISNUMBER(SEARCH(설정!$A$30,E250&amp;" "&amp;C250))),AND(설정!$A$31&lt;&gt;"",ISNUMBER(SEARCH(설정!$A$31,E250&amp;" "&amp;C250))),AND(설정!$A$32&lt;&gt;"",ISNUMBER(SEARCH(설정!$A$32,E250&amp;" "&amp;C250))),AND(설정!$A$33&lt;&gt;"",ISNUMBER(SEARCH(설정!$A$33,E250&amp;" "&amp;C250))),AND(설정!$A$34&lt;&gt;"",ISNUMBER(SEARCH(설정!$A$34,E250&amp;" "&amp;C250))),AND(설정!$A$35&lt;&gt;"",ISNUMBER(SEARCH(설정!$A$35,E250&amp;" "&amp;C250))),AND(설정!$A$36&lt;&gt;"",ISNUMBER(SEARCH(설정!$A$36,E250&amp;" "&amp;C250))),AND(설정!$A$37&lt;&gt;"",ISNUMBER(SEARCH(설정!$A$37,E250&amp;" "&amp;C250))))</f>
        <v/>
      </c>
      <c r="S250">
        <f>OR(D250="",D250&gt;=설정!$B$19)</f>
        <v/>
      </c>
      <c r="T250">
        <f>AND(Q250,R250,S250)</f>
        <v/>
      </c>
      <c r="U250">
        <f>IF(T250,IF(AND(설정!$A$41&lt;&gt;"",ISNUMBER(SEARCH(설정!$A$41,K250))),설정!$B$41,IF(AND(설정!$A$42&lt;&gt;"",ISNUMBER(SEARCH(설정!$A$42,K250))),설정!$B$42,IF(AND(설정!$A$43&lt;&gt;"",ISNUMBER(SEARCH(설정!$A$43,K250))),설정!$B$43,IF(AND(설정!$A$44&lt;&gt;"",ISNUMBER(SEARCH(설정!$A$44,K250))),설정!$B$44,IF(AND(설정!$A$45&lt;&gt;"",ISNUMBER(SEARCH(설정!$A$45,K250))),설정!$B$45,IF(AND(설정!$A$46&lt;&gt;"",ISNUMBER(SEARCH(설정!$A$46,K250))),설정!$B$46,IF(AND(설정!$A$47&lt;&gt;"",ISNUMBER(SEARCH(설정!$A$47,K250))),설정!$B$47,IF(AND(설정!$A$48&lt;&gt;"",ISNUMBER(SEARCH(설정!$A$48,K250))),설정!$B$48,IF(M250="","설계사","시공사"))))))))),"")</f>
        <v/>
      </c>
      <c r="V250">
        <f>SUBSTITUTE(SUBSTITUTE(SUBSTITUTE(SUBSTITUTE(G250,"(주)",""),"㈜",""),"주식회사","")," ","")</f>
        <v/>
      </c>
      <c r="W250">
        <f>IF(AND(T250,V250&lt;&gt;""),IF(COUNTIFS(V$2:V250,V250,T$2:T250,TRUE)=1,MAX(W$1:W249)+1,""),"")</f>
        <v/>
      </c>
      <c r="X250">
        <f>IFERROR(INDEX('1.산군_붙여넣기'!$A$1:$AZ$1001,ROW(),설정!$C$14)&amp;"","")</f>
        <v/>
      </c>
      <c r="Y250">
        <f>IFERROR(INDEX('1.산군_붙여넣기'!$A$1:$AZ$1001,ROW(),설정!$C$15)&amp;"","")</f>
        <v/>
      </c>
      <c r="Z250">
        <f>IF(T250,V250&amp;"|"&amp;U250,"")</f>
        <v/>
      </c>
    </row>
    <row r="251">
      <c r="A251">
        <f>ROW()</f>
        <v/>
      </c>
      <c r="B251">
        <f>IFERROR(INDEX('1.산군_붙여넣기'!$A$1:$AZ$1001,ROW(),설정!$C$4)&amp;"","")</f>
        <v/>
      </c>
      <c r="C251">
        <f>IFERROR(INDEX('1.산군_붙여넣기'!$A$1:$AZ$1001,ROW(),설정!$C$5)&amp;"","")</f>
        <v/>
      </c>
      <c r="D251" s="5">
        <f>IFERROR(VALUE(SUBSTITUTE(SUBSTITUTE(SUBSTITUTE(IFERROR(INDEX('1.산군_붙여넣기'!$A$1:$AZ$1001,ROW(),설정!$C$6)&amp;"",""),",",""),"㎡",""),"m2","")),"")</f>
        <v/>
      </c>
      <c r="E251">
        <f>IFERROR(INDEX('1.산군_붙여넣기'!$A$1:$AZ$1001,ROW(),설정!$C$7)&amp;"","")</f>
        <v/>
      </c>
      <c r="F251">
        <f>IFERROR(INDEX('1.산군_붙여넣기'!$A$1:$AZ$1001,ROW(),설정!$C$8)&amp;"","")</f>
        <v/>
      </c>
      <c r="G251">
        <f>IFERROR(INDEX('1.산군_붙여넣기'!$A$1:$AZ$1001,ROW(),설정!$C$9)&amp;"","")</f>
        <v/>
      </c>
      <c r="H251">
        <f>IFERROR(INDEX('1.산군_붙여넣기'!$A$1:$AZ$1001,ROW(),설정!$C$10)&amp;"","")</f>
        <v/>
      </c>
      <c r="I251">
        <f>IFERROR(INDEX('1.산군_붙여넣기'!$A$1:$AZ$1001,ROW(),설정!$C$11)&amp;"","")</f>
        <v/>
      </c>
      <c r="J251">
        <f>IFERROR(INDEX('1.산군_붙여넣기'!$A$1:$AZ$1001,ROW(),설정!$C$12)&amp;"","")</f>
        <v/>
      </c>
      <c r="K251">
        <f>IFERROR(INDEX('1.산군_붙여넣기'!$A$1:$AZ$1001,ROW(),설정!$C$13)&amp;"","")</f>
        <v/>
      </c>
      <c r="L251" s="6">
        <f>IF(X251="","",IF(AND(LEN(X251)=8,ISNUMBER(X251*1)),DATE(LEFT(X251,4),MID(X251,5,2),RIGHT(X251,2)),IFERROR(DATEVALUE(SUBSTITUTE(SUBSTITUTE(X251,".","-"),"/","-")),IFERROR(X251*1,""))))</f>
        <v/>
      </c>
      <c r="M251" s="6">
        <f>IF(Y251="","",IF(AND(LEN(Y251)=8,ISNUMBER(Y251*1)),DATE(LEFT(Y251,4),MID(Y251,5,2),RIGHT(Y251,2)),IFERROR(DATEVALUE(SUBSTITUTE(SUBSTITUTE(Y251,".","-"),"/","-")),IFERROR(Y251*1,""))))</f>
        <v/>
      </c>
      <c r="N251">
        <f>IFERROR(LEFT(B251,FIND(" ",B251)-1),B251)</f>
        <v/>
      </c>
      <c r="O251">
        <f>AND(B251&lt;&gt;"",B251&lt;&gt;설정!$B$4,C251&lt;&gt;설정!$B$5)</f>
        <v/>
      </c>
      <c r="P251">
        <f>IF(O251,B251&amp;"|"&amp;C251,"")</f>
        <v/>
      </c>
      <c r="Q251">
        <f>AND(O251,COUNTIF(P252:P$1002,P251)=0)</f>
        <v/>
      </c>
      <c r="R251">
        <f>OR(AND(설정!$A$28&lt;&gt;"",ISNUMBER(SEARCH(설정!$A$28,E251&amp;" "&amp;C251))),AND(설정!$A$29&lt;&gt;"",ISNUMBER(SEARCH(설정!$A$29,E251&amp;" "&amp;C251))),AND(설정!$A$30&lt;&gt;"",ISNUMBER(SEARCH(설정!$A$30,E251&amp;" "&amp;C251))),AND(설정!$A$31&lt;&gt;"",ISNUMBER(SEARCH(설정!$A$31,E251&amp;" "&amp;C251))),AND(설정!$A$32&lt;&gt;"",ISNUMBER(SEARCH(설정!$A$32,E251&amp;" "&amp;C251))),AND(설정!$A$33&lt;&gt;"",ISNUMBER(SEARCH(설정!$A$33,E251&amp;" "&amp;C251))),AND(설정!$A$34&lt;&gt;"",ISNUMBER(SEARCH(설정!$A$34,E251&amp;" "&amp;C251))),AND(설정!$A$35&lt;&gt;"",ISNUMBER(SEARCH(설정!$A$35,E251&amp;" "&amp;C251))),AND(설정!$A$36&lt;&gt;"",ISNUMBER(SEARCH(설정!$A$36,E251&amp;" "&amp;C251))),AND(설정!$A$37&lt;&gt;"",ISNUMBER(SEARCH(설정!$A$37,E251&amp;" "&amp;C251))))</f>
        <v/>
      </c>
      <c r="S251">
        <f>OR(D251="",D251&gt;=설정!$B$19)</f>
        <v/>
      </c>
      <c r="T251">
        <f>AND(Q251,R251,S251)</f>
        <v/>
      </c>
      <c r="U251">
        <f>IF(T251,IF(AND(설정!$A$41&lt;&gt;"",ISNUMBER(SEARCH(설정!$A$41,K251))),설정!$B$41,IF(AND(설정!$A$42&lt;&gt;"",ISNUMBER(SEARCH(설정!$A$42,K251))),설정!$B$42,IF(AND(설정!$A$43&lt;&gt;"",ISNUMBER(SEARCH(설정!$A$43,K251))),설정!$B$43,IF(AND(설정!$A$44&lt;&gt;"",ISNUMBER(SEARCH(설정!$A$44,K251))),설정!$B$44,IF(AND(설정!$A$45&lt;&gt;"",ISNUMBER(SEARCH(설정!$A$45,K251))),설정!$B$45,IF(AND(설정!$A$46&lt;&gt;"",ISNUMBER(SEARCH(설정!$A$46,K251))),설정!$B$46,IF(AND(설정!$A$47&lt;&gt;"",ISNUMBER(SEARCH(설정!$A$47,K251))),설정!$B$47,IF(AND(설정!$A$48&lt;&gt;"",ISNUMBER(SEARCH(설정!$A$48,K251))),설정!$B$48,IF(M251="","설계사","시공사"))))))))),"")</f>
        <v/>
      </c>
      <c r="V251">
        <f>SUBSTITUTE(SUBSTITUTE(SUBSTITUTE(SUBSTITUTE(G251,"(주)",""),"㈜",""),"주식회사","")," ","")</f>
        <v/>
      </c>
      <c r="W251">
        <f>IF(AND(T251,V251&lt;&gt;""),IF(COUNTIFS(V$2:V251,V251,T$2:T251,TRUE)=1,MAX(W$1:W250)+1,""),"")</f>
        <v/>
      </c>
      <c r="X251">
        <f>IFERROR(INDEX('1.산군_붙여넣기'!$A$1:$AZ$1001,ROW(),설정!$C$14)&amp;"","")</f>
        <v/>
      </c>
      <c r="Y251">
        <f>IFERROR(INDEX('1.산군_붙여넣기'!$A$1:$AZ$1001,ROW(),설정!$C$15)&amp;"","")</f>
        <v/>
      </c>
      <c r="Z251">
        <f>IF(T251,V251&amp;"|"&amp;U251,"")</f>
        <v/>
      </c>
    </row>
    <row r="252">
      <c r="A252">
        <f>ROW()</f>
        <v/>
      </c>
      <c r="B252">
        <f>IFERROR(INDEX('1.산군_붙여넣기'!$A$1:$AZ$1001,ROW(),설정!$C$4)&amp;"","")</f>
        <v/>
      </c>
      <c r="C252">
        <f>IFERROR(INDEX('1.산군_붙여넣기'!$A$1:$AZ$1001,ROW(),설정!$C$5)&amp;"","")</f>
        <v/>
      </c>
      <c r="D252" s="5">
        <f>IFERROR(VALUE(SUBSTITUTE(SUBSTITUTE(SUBSTITUTE(IFERROR(INDEX('1.산군_붙여넣기'!$A$1:$AZ$1001,ROW(),설정!$C$6)&amp;"",""),",",""),"㎡",""),"m2","")),"")</f>
        <v/>
      </c>
      <c r="E252">
        <f>IFERROR(INDEX('1.산군_붙여넣기'!$A$1:$AZ$1001,ROW(),설정!$C$7)&amp;"","")</f>
        <v/>
      </c>
      <c r="F252">
        <f>IFERROR(INDEX('1.산군_붙여넣기'!$A$1:$AZ$1001,ROW(),설정!$C$8)&amp;"","")</f>
        <v/>
      </c>
      <c r="G252">
        <f>IFERROR(INDEX('1.산군_붙여넣기'!$A$1:$AZ$1001,ROW(),설정!$C$9)&amp;"","")</f>
        <v/>
      </c>
      <c r="H252">
        <f>IFERROR(INDEX('1.산군_붙여넣기'!$A$1:$AZ$1001,ROW(),설정!$C$10)&amp;"","")</f>
        <v/>
      </c>
      <c r="I252">
        <f>IFERROR(INDEX('1.산군_붙여넣기'!$A$1:$AZ$1001,ROW(),설정!$C$11)&amp;"","")</f>
        <v/>
      </c>
      <c r="J252">
        <f>IFERROR(INDEX('1.산군_붙여넣기'!$A$1:$AZ$1001,ROW(),설정!$C$12)&amp;"","")</f>
        <v/>
      </c>
      <c r="K252">
        <f>IFERROR(INDEX('1.산군_붙여넣기'!$A$1:$AZ$1001,ROW(),설정!$C$13)&amp;"","")</f>
        <v/>
      </c>
      <c r="L252" s="6">
        <f>IF(X252="","",IF(AND(LEN(X252)=8,ISNUMBER(X252*1)),DATE(LEFT(X252,4),MID(X252,5,2),RIGHT(X252,2)),IFERROR(DATEVALUE(SUBSTITUTE(SUBSTITUTE(X252,".","-"),"/","-")),IFERROR(X252*1,""))))</f>
        <v/>
      </c>
      <c r="M252" s="6">
        <f>IF(Y252="","",IF(AND(LEN(Y252)=8,ISNUMBER(Y252*1)),DATE(LEFT(Y252,4),MID(Y252,5,2),RIGHT(Y252,2)),IFERROR(DATEVALUE(SUBSTITUTE(SUBSTITUTE(Y252,".","-"),"/","-")),IFERROR(Y252*1,""))))</f>
        <v/>
      </c>
      <c r="N252">
        <f>IFERROR(LEFT(B252,FIND(" ",B252)-1),B252)</f>
        <v/>
      </c>
      <c r="O252">
        <f>AND(B252&lt;&gt;"",B252&lt;&gt;설정!$B$4,C252&lt;&gt;설정!$B$5)</f>
        <v/>
      </c>
      <c r="P252">
        <f>IF(O252,B252&amp;"|"&amp;C252,"")</f>
        <v/>
      </c>
      <c r="Q252">
        <f>AND(O252,COUNTIF(P253:P$1002,P252)=0)</f>
        <v/>
      </c>
      <c r="R252">
        <f>OR(AND(설정!$A$28&lt;&gt;"",ISNUMBER(SEARCH(설정!$A$28,E252&amp;" "&amp;C252))),AND(설정!$A$29&lt;&gt;"",ISNUMBER(SEARCH(설정!$A$29,E252&amp;" "&amp;C252))),AND(설정!$A$30&lt;&gt;"",ISNUMBER(SEARCH(설정!$A$30,E252&amp;" "&amp;C252))),AND(설정!$A$31&lt;&gt;"",ISNUMBER(SEARCH(설정!$A$31,E252&amp;" "&amp;C252))),AND(설정!$A$32&lt;&gt;"",ISNUMBER(SEARCH(설정!$A$32,E252&amp;" "&amp;C252))),AND(설정!$A$33&lt;&gt;"",ISNUMBER(SEARCH(설정!$A$33,E252&amp;" "&amp;C252))),AND(설정!$A$34&lt;&gt;"",ISNUMBER(SEARCH(설정!$A$34,E252&amp;" "&amp;C252))),AND(설정!$A$35&lt;&gt;"",ISNUMBER(SEARCH(설정!$A$35,E252&amp;" "&amp;C252))),AND(설정!$A$36&lt;&gt;"",ISNUMBER(SEARCH(설정!$A$36,E252&amp;" "&amp;C252))),AND(설정!$A$37&lt;&gt;"",ISNUMBER(SEARCH(설정!$A$37,E252&amp;" "&amp;C252))))</f>
        <v/>
      </c>
      <c r="S252">
        <f>OR(D252="",D252&gt;=설정!$B$19)</f>
        <v/>
      </c>
      <c r="T252">
        <f>AND(Q252,R252,S252)</f>
        <v/>
      </c>
      <c r="U252">
        <f>IF(T252,IF(AND(설정!$A$41&lt;&gt;"",ISNUMBER(SEARCH(설정!$A$41,K252))),설정!$B$41,IF(AND(설정!$A$42&lt;&gt;"",ISNUMBER(SEARCH(설정!$A$42,K252))),설정!$B$42,IF(AND(설정!$A$43&lt;&gt;"",ISNUMBER(SEARCH(설정!$A$43,K252))),설정!$B$43,IF(AND(설정!$A$44&lt;&gt;"",ISNUMBER(SEARCH(설정!$A$44,K252))),설정!$B$44,IF(AND(설정!$A$45&lt;&gt;"",ISNUMBER(SEARCH(설정!$A$45,K252))),설정!$B$45,IF(AND(설정!$A$46&lt;&gt;"",ISNUMBER(SEARCH(설정!$A$46,K252))),설정!$B$46,IF(AND(설정!$A$47&lt;&gt;"",ISNUMBER(SEARCH(설정!$A$47,K252))),설정!$B$47,IF(AND(설정!$A$48&lt;&gt;"",ISNUMBER(SEARCH(설정!$A$48,K252))),설정!$B$48,IF(M252="","설계사","시공사"))))))))),"")</f>
        <v/>
      </c>
      <c r="V252">
        <f>SUBSTITUTE(SUBSTITUTE(SUBSTITUTE(SUBSTITUTE(G252,"(주)",""),"㈜",""),"주식회사","")," ","")</f>
        <v/>
      </c>
      <c r="W252">
        <f>IF(AND(T252,V252&lt;&gt;""),IF(COUNTIFS(V$2:V252,V252,T$2:T252,TRUE)=1,MAX(W$1:W251)+1,""),"")</f>
        <v/>
      </c>
      <c r="X252">
        <f>IFERROR(INDEX('1.산군_붙여넣기'!$A$1:$AZ$1001,ROW(),설정!$C$14)&amp;"","")</f>
        <v/>
      </c>
      <c r="Y252">
        <f>IFERROR(INDEX('1.산군_붙여넣기'!$A$1:$AZ$1001,ROW(),설정!$C$15)&amp;"","")</f>
        <v/>
      </c>
      <c r="Z252">
        <f>IF(T252,V252&amp;"|"&amp;U252,"")</f>
        <v/>
      </c>
    </row>
    <row r="253">
      <c r="A253">
        <f>ROW()</f>
        <v/>
      </c>
      <c r="B253">
        <f>IFERROR(INDEX('1.산군_붙여넣기'!$A$1:$AZ$1001,ROW(),설정!$C$4)&amp;"","")</f>
        <v/>
      </c>
      <c r="C253">
        <f>IFERROR(INDEX('1.산군_붙여넣기'!$A$1:$AZ$1001,ROW(),설정!$C$5)&amp;"","")</f>
        <v/>
      </c>
      <c r="D253" s="5">
        <f>IFERROR(VALUE(SUBSTITUTE(SUBSTITUTE(SUBSTITUTE(IFERROR(INDEX('1.산군_붙여넣기'!$A$1:$AZ$1001,ROW(),설정!$C$6)&amp;"",""),",",""),"㎡",""),"m2","")),"")</f>
        <v/>
      </c>
      <c r="E253">
        <f>IFERROR(INDEX('1.산군_붙여넣기'!$A$1:$AZ$1001,ROW(),설정!$C$7)&amp;"","")</f>
        <v/>
      </c>
      <c r="F253">
        <f>IFERROR(INDEX('1.산군_붙여넣기'!$A$1:$AZ$1001,ROW(),설정!$C$8)&amp;"","")</f>
        <v/>
      </c>
      <c r="G253">
        <f>IFERROR(INDEX('1.산군_붙여넣기'!$A$1:$AZ$1001,ROW(),설정!$C$9)&amp;"","")</f>
        <v/>
      </c>
      <c r="H253">
        <f>IFERROR(INDEX('1.산군_붙여넣기'!$A$1:$AZ$1001,ROW(),설정!$C$10)&amp;"","")</f>
        <v/>
      </c>
      <c r="I253">
        <f>IFERROR(INDEX('1.산군_붙여넣기'!$A$1:$AZ$1001,ROW(),설정!$C$11)&amp;"","")</f>
        <v/>
      </c>
      <c r="J253">
        <f>IFERROR(INDEX('1.산군_붙여넣기'!$A$1:$AZ$1001,ROW(),설정!$C$12)&amp;"","")</f>
        <v/>
      </c>
      <c r="K253">
        <f>IFERROR(INDEX('1.산군_붙여넣기'!$A$1:$AZ$1001,ROW(),설정!$C$13)&amp;"","")</f>
        <v/>
      </c>
      <c r="L253" s="6">
        <f>IF(X253="","",IF(AND(LEN(X253)=8,ISNUMBER(X253*1)),DATE(LEFT(X253,4),MID(X253,5,2),RIGHT(X253,2)),IFERROR(DATEVALUE(SUBSTITUTE(SUBSTITUTE(X253,".","-"),"/","-")),IFERROR(X253*1,""))))</f>
        <v/>
      </c>
      <c r="M253" s="6">
        <f>IF(Y253="","",IF(AND(LEN(Y253)=8,ISNUMBER(Y253*1)),DATE(LEFT(Y253,4),MID(Y253,5,2),RIGHT(Y253,2)),IFERROR(DATEVALUE(SUBSTITUTE(SUBSTITUTE(Y253,".","-"),"/","-")),IFERROR(Y253*1,""))))</f>
        <v/>
      </c>
      <c r="N253">
        <f>IFERROR(LEFT(B253,FIND(" ",B253)-1),B253)</f>
        <v/>
      </c>
      <c r="O253">
        <f>AND(B253&lt;&gt;"",B253&lt;&gt;설정!$B$4,C253&lt;&gt;설정!$B$5)</f>
        <v/>
      </c>
      <c r="P253">
        <f>IF(O253,B253&amp;"|"&amp;C253,"")</f>
        <v/>
      </c>
      <c r="Q253">
        <f>AND(O253,COUNTIF(P254:P$1002,P253)=0)</f>
        <v/>
      </c>
      <c r="R253">
        <f>OR(AND(설정!$A$28&lt;&gt;"",ISNUMBER(SEARCH(설정!$A$28,E253&amp;" "&amp;C253))),AND(설정!$A$29&lt;&gt;"",ISNUMBER(SEARCH(설정!$A$29,E253&amp;" "&amp;C253))),AND(설정!$A$30&lt;&gt;"",ISNUMBER(SEARCH(설정!$A$30,E253&amp;" "&amp;C253))),AND(설정!$A$31&lt;&gt;"",ISNUMBER(SEARCH(설정!$A$31,E253&amp;" "&amp;C253))),AND(설정!$A$32&lt;&gt;"",ISNUMBER(SEARCH(설정!$A$32,E253&amp;" "&amp;C253))),AND(설정!$A$33&lt;&gt;"",ISNUMBER(SEARCH(설정!$A$33,E253&amp;" "&amp;C253))),AND(설정!$A$34&lt;&gt;"",ISNUMBER(SEARCH(설정!$A$34,E253&amp;" "&amp;C253))),AND(설정!$A$35&lt;&gt;"",ISNUMBER(SEARCH(설정!$A$35,E253&amp;" "&amp;C253))),AND(설정!$A$36&lt;&gt;"",ISNUMBER(SEARCH(설정!$A$36,E253&amp;" "&amp;C253))),AND(설정!$A$37&lt;&gt;"",ISNUMBER(SEARCH(설정!$A$37,E253&amp;" "&amp;C253))))</f>
        <v/>
      </c>
      <c r="S253">
        <f>OR(D253="",D253&gt;=설정!$B$19)</f>
        <v/>
      </c>
      <c r="T253">
        <f>AND(Q253,R253,S253)</f>
        <v/>
      </c>
      <c r="U253">
        <f>IF(T253,IF(AND(설정!$A$41&lt;&gt;"",ISNUMBER(SEARCH(설정!$A$41,K253))),설정!$B$41,IF(AND(설정!$A$42&lt;&gt;"",ISNUMBER(SEARCH(설정!$A$42,K253))),설정!$B$42,IF(AND(설정!$A$43&lt;&gt;"",ISNUMBER(SEARCH(설정!$A$43,K253))),설정!$B$43,IF(AND(설정!$A$44&lt;&gt;"",ISNUMBER(SEARCH(설정!$A$44,K253))),설정!$B$44,IF(AND(설정!$A$45&lt;&gt;"",ISNUMBER(SEARCH(설정!$A$45,K253))),설정!$B$45,IF(AND(설정!$A$46&lt;&gt;"",ISNUMBER(SEARCH(설정!$A$46,K253))),설정!$B$46,IF(AND(설정!$A$47&lt;&gt;"",ISNUMBER(SEARCH(설정!$A$47,K253))),설정!$B$47,IF(AND(설정!$A$48&lt;&gt;"",ISNUMBER(SEARCH(설정!$A$48,K253))),설정!$B$48,IF(M253="","설계사","시공사"))))))))),"")</f>
        <v/>
      </c>
      <c r="V253">
        <f>SUBSTITUTE(SUBSTITUTE(SUBSTITUTE(SUBSTITUTE(G253,"(주)",""),"㈜",""),"주식회사","")," ","")</f>
        <v/>
      </c>
      <c r="W253">
        <f>IF(AND(T253,V253&lt;&gt;""),IF(COUNTIFS(V$2:V253,V253,T$2:T253,TRUE)=1,MAX(W$1:W252)+1,""),"")</f>
        <v/>
      </c>
      <c r="X253">
        <f>IFERROR(INDEX('1.산군_붙여넣기'!$A$1:$AZ$1001,ROW(),설정!$C$14)&amp;"","")</f>
        <v/>
      </c>
      <c r="Y253">
        <f>IFERROR(INDEX('1.산군_붙여넣기'!$A$1:$AZ$1001,ROW(),설정!$C$15)&amp;"","")</f>
        <v/>
      </c>
      <c r="Z253">
        <f>IF(T253,V253&amp;"|"&amp;U253,"")</f>
        <v/>
      </c>
    </row>
    <row r="254">
      <c r="A254">
        <f>ROW()</f>
        <v/>
      </c>
      <c r="B254">
        <f>IFERROR(INDEX('1.산군_붙여넣기'!$A$1:$AZ$1001,ROW(),설정!$C$4)&amp;"","")</f>
        <v/>
      </c>
      <c r="C254">
        <f>IFERROR(INDEX('1.산군_붙여넣기'!$A$1:$AZ$1001,ROW(),설정!$C$5)&amp;"","")</f>
        <v/>
      </c>
      <c r="D254" s="5">
        <f>IFERROR(VALUE(SUBSTITUTE(SUBSTITUTE(SUBSTITUTE(IFERROR(INDEX('1.산군_붙여넣기'!$A$1:$AZ$1001,ROW(),설정!$C$6)&amp;"",""),",",""),"㎡",""),"m2","")),"")</f>
        <v/>
      </c>
      <c r="E254">
        <f>IFERROR(INDEX('1.산군_붙여넣기'!$A$1:$AZ$1001,ROW(),설정!$C$7)&amp;"","")</f>
        <v/>
      </c>
      <c r="F254">
        <f>IFERROR(INDEX('1.산군_붙여넣기'!$A$1:$AZ$1001,ROW(),설정!$C$8)&amp;"","")</f>
        <v/>
      </c>
      <c r="G254">
        <f>IFERROR(INDEX('1.산군_붙여넣기'!$A$1:$AZ$1001,ROW(),설정!$C$9)&amp;"","")</f>
        <v/>
      </c>
      <c r="H254">
        <f>IFERROR(INDEX('1.산군_붙여넣기'!$A$1:$AZ$1001,ROW(),설정!$C$10)&amp;"","")</f>
        <v/>
      </c>
      <c r="I254">
        <f>IFERROR(INDEX('1.산군_붙여넣기'!$A$1:$AZ$1001,ROW(),설정!$C$11)&amp;"","")</f>
        <v/>
      </c>
      <c r="J254">
        <f>IFERROR(INDEX('1.산군_붙여넣기'!$A$1:$AZ$1001,ROW(),설정!$C$12)&amp;"","")</f>
        <v/>
      </c>
      <c r="K254">
        <f>IFERROR(INDEX('1.산군_붙여넣기'!$A$1:$AZ$1001,ROW(),설정!$C$13)&amp;"","")</f>
        <v/>
      </c>
      <c r="L254" s="6">
        <f>IF(X254="","",IF(AND(LEN(X254)=8,ISNUMBER(X254*1)),DATE(LEFT(X254,4),MID(X254,5,2),RIGHT(X254,2)),IFERROR(DATEVALUE(SUBSTITUTE(SUBSTITUTE(X254,".","-"),"/","-")),IFERROR(X254*1,""))))</f>
        <v/>
      </c>
      <c r="M254" s="6">
        <f>IF(Y254="","",IF(AND(LEN(Y254)=8,ISNUMBER(Y254*1)),DATE(LEFT(Y254,4),MID(Y254,5,2),RIGHT(Y254,2)),IFERROR(DATEVALUE(SUBSTITUTE(SUBSTITUTE(Y254,".","-"),"/","-")),IFERROR(Y254*1,""))))</f>
        <v/>
      </c>
      <c r="N254">
        <f>IFERROR(LEFT(B254,FIND(" ",B254)-1),B254)</f>
        <v/>
      </c>
      <c r="O254">
        <f>AND(B254&lt;&gt;"",B254&lt;&gt;설정!$B$4,C254&lt;&gt;설정!$B$5)</f>
        <v/>
      </c>
      <c r="P254">
        <f>IF(O254,B254&amp;"|"&amp;C254,"")</f>
        <v/>
      </c>
      <c r="Q254">
        <f>AND(O254,COUNTIF(P255:P$1002,P254)=0)</f>
        <v/>
      </c>
      <c r="R254">
        <f>OR(AND(설정!$A$28&lt;&gt;"",ISNUMBER(SEARCH(설정!$A$28,E254&amp;" "&amp;C254))),AND(설정!$A$29&lt;&gt;"",ISNUMBER(SEARCH(설정!$A$29,E254&amp;" "&amp;C254))),AND(설정!$A$30&lt;&gt;"",ISNUMBER(SEARCH(설정!$A$30,E254&amp;" "&amp;C254))),AND(설정!$A$31&lt;&gt;"",ISNUMBER(SEARCH(설정!$A$31,E254&amp;" "&amp;C254))),AND(설정!$A$32&lt;&gt;"",ISNUMBER(SEARCH(설정!$A$32,E254&amp;" "&amp;C254))),AND(설정!$A$33&lt;&gt;"",ISNUMBER(SEARCH(설정!$A$33,E254&amp;" "&amp;C254))),AND(설정!$A$34&lt;&gt;"",ISNUMBER(SEARCH(설정!$A$34,E254&amp;" "&amp;C254))),AND(설정!$A$35&lt;&gt;"",ISNUMBER(SEARCH(설정!$A$35,E254&amp;" "&amp;C254))),AND(설정!$A$36&lt;&gt;"",ISNUMBER(SEARCH(설정!$A$36,E254&amp;" "&amp;C254))),AND(설정!$A$37&lt;&gt;"",ISNUMBER(SEARCH(설정!$A$37,E254&amp;" "&amp;C254))))</f>
        <v/>
      </c>
      <c r="S254">
        <f>OR(D254="",D254&gt;=설정!$B$19)</f>
        <v/>
      </c>
      <c r="T254">
        <f>AND(Q254,R254,S254)</f>
        <v/>
      </c>
      <c r="U254">
        <f>IF(T254,IF(AND(설정!$A$41&lt;&gt;"",ISNUMBER(SEARCH(설정!$A$41,K254))),설정!$B$41,IF(AND(설정!$A$42&lt;&gt;"",ISNUMBER(SEARCH(설정!$A$42,K254))),설정!$B$42,IF(AND(설정!$A$43&lt;&gt;"",ISNUMBER(SEARCH(설정!$A$43,K254))),설정!$B$43,IF(AND(설정!$A$44&lt;&gt;"",ISNUMBER(SEARCH(설정!$A$44,K254))),설정!$B$44,IF(AND(설정!$A$45&lt;&gt;"",ISNUMBER(SEARCH(설정!$A$45,K254))),설정!$B$45,IF(AND(설정!$A$46&lt;&gt;"",ISNUMBER(SEARCH(설정!$A$46,K254))),설정!$B$46,IF(AND(설정!$A$47&lt;&gt;"",ISNUMBER(SEARCH(설정!$A$47,K254))),설정!$B$47,IF(AND(설정!$A$48&lt;&gt;"",ISNUMBER(SEARCH(설정!$A$48,K254))),설정!$B$48,IF(M254="","설계사","시공사"))))))))),"")</f>
        <v/>
      </c>
      <c r="V254">
        <f>SUBSTITUTE(SUBSTITUTE(SUBSTITUTE(SUBSTITUTE(G254,"(주)",""),"㈜",""),"주식회사","")," ","")</f>
        <v/>
      </c>
      <c r="W254">
        <f>IF(AND(T254,V254&lt;&gt;""),IF(COUNTIFS(V$2:V254,V254,T$2:T254,TRUE)=1,MAX(W$1:W253)+1,""),"")</f>
        <v/>
      </c>
      <c r="X254">
        <f>IFERROR(INDEX('1.산군_붙여넣기'!$A$1:$AZ$1001,ROW(),설정!$C$14)&amp;"","")</f>
        <v/>
      </c>
      <c r="Y254">
        <f>IFERROR(INDEX('1.산군_붙여넣기'!$A$1:$AZ$1001,ROW(),설정!$C$15)&amp;"","")</f>
        <v/>
      </c>
      <c r="Z254">
        <f>IF(T254,V254&amp;"|"&amp;U254,"")</f>
        <v/>
      </c>
    </row>
    <row r="255">
      <c r="A255">
        <f>ROW()</f>
        <v/>
      </c>
      <c r="B255">
        <f>IFERROR(INDEX('1.산군_붙여넣기'!$A$1:$AZ$1001,ROW(),설정!$C$4)&amp;"","")</f>
        <v/>
      </c>
      <c r="C255">
        <f>IFERROR(INDEX('1.산군_붙여넣기'!$A$1:$AZ$1001,ROW(),설정!$C$5)&amp;"","")</f>
        <v/>
      </c>
      <c r="D255" s="5">
        <f>IFERROR(VALUE(SUBSTITUTE(SUBSTITUTE(SUBSTITUTE(IFERROR(INDEX('1.산군_붙여넣기'!$A$1:$AZ$1001,ROW(),설정!$C$6)&amp;"",""),",",""),"㎡",""),"m2","")),"")</f>
        <v/>
      </c>
      <c r="E255">
        <f>IFERROR(INDEX('1.산군_붙여넣기'!$A$1:$AZ$1001,ROW(),설정!$C$7)&amp;"","")</f>
        <v/>
      </c>
      <c r="F255">
        <f>IFERROR(INDEX('1.산군_붙여넣기'!$A$1:$AZ$1001,ROW(),설정!$C$8)&amp;"","")</f>
        <v/>
      </c>
      <c r="G255">
        <f>IFERROR(INDEX('1.산군_붙여넣기'!$A$1:$AZ$1001,ROW(),설정!$C$9)&amp;"","")</f>
        <v/>
      </c>
      <c r="H255">
        <f>IFERROR(INDEX('1.산군_붙여넣기'!$A$1:$AZ$1001,ROW(),설정!$C$10)&amp;"","")</f>
        <v/>
      </c>
      <c r="I255">
        <f>IFERROR(INDEX('1.산군_붙여넣기'!$A$1:$AZ$1001,ROW(),설정!$C$11)&amp;"","")</f>
        <v/>
      </c>
      <c r="J255">
        <f>IFERROR(INDEX('1.산군_붙여넣기'!$A$1:$AZ$1001,ROW(),설정!$C$12)&amp;"","")</f>
        <v/>
      </c>
      <c r="K255">
        <f>IFERROR(INDEX('1.산군_붙여넣기'!$A$1:$AZ$1001,ROW(),설정!$C$13)&amp;"","")</f>
        <v/>
      </c>
      <c r="L255" s="6">
        <f>IF(X255="","",IF(AND(LEN(X255)=8,ISNUMBER(X255*1)),DATE(LEFT(X255,4),MID(X255,5,2),RIGHT(X255,2)),IFERROR(DATEVALUE(SUBSTITUTE(SUBSTITUTE(X255,".","-"),"/","-")),IFERROR(X255*1,""))))</f>
        <v/>
      </c>
      <c r="M255" s="6">
        <f>IF(Y255="","",IF(AND(LEN(Y255)=8,ISNUMBER(Y255*1)),DATE(LEFT(Y255,4),MID(Y255,5,2),RIGHT(Y255,2)),IFERROR(DATEVALUE(SUBSTITUTE(SUBSTITUTE(Y255,".","-"),"/","-")),IFERROR(Y255*1,""))))</f>
        <v/>
      </c>
      <c r="N255">
        <f>IFERROR(LEFT(B255,FIND(" ",B255)-1),B255)</f>
        <v/>
      </c>
      <c r="O255">
        <f>AND(B255&lt;&gt;"",B255&lt;&gt;설정!$B$4,C255&lt;&gt;설정!$B$5)</f>
        <v/>
      </c>
      <c r="P255">
        <f>IF(O255,B255&amp;"|"&amp;C255,"")</f>
        <v/>
      </c>
      <c r="Q255">
        <f>AND(O255,COUNTIF(P256:P$1002,P255)=0)</f>
        <v/>
      </c>
      <c r="R255">
        <f>OR(AND(설정!$A$28&lt;&gt;"",ISNUMBER(SEARCH(설정!$A$28,E255&amp;" "&amp;C255))),AND(설정!$A$29&lt;&gt;"",ISNUMBER(SEARCH(설정!$A$29,E255&amp;" "&amp;C255))),AND(설정!$A$30&lt;&gt;"",ISNUMBER(SEARCH(설정!$A$30,E255&amp;" "&amp;C255))),AND(설정!$A$31&lt;&gt;"",ISNUMBER(SEARCH(설정!$A$31,E255&amp;" "&amp;C255))),AND(설정!$A$32&lt;&gt;"",ISNUMBER(SEARCH(설정!$A$32,E255&amp;" "&amp;C255))),AND(설정!$A$33&lt;&gt;"",ISNUMBER(SEARCH(설정!$A$33,E255&amp;" "&amp;C255))),AND(설정!$A$34&lt;&gt;"",ISNUMBER(SEARCH(설정!$A$34,E255&amp;" "&amp;C255))),AND(설정!$A$35&lt;&gt;"",ISNUMBER(SEARCH(설정!$A$35,E255&amp;" "&amp;C255))),AND(설정!$A$36&lt;&gt;"",ISNUMBER(SEARCH(설정!$A$36,E255&amp;" "&amp;C255))),AND(설정!$A$37&lt;&gt;"",ISNUMBER(SEARCH(설정!$A$37,E255&amp;" "&amp;C255))))</f>
        <v/>
      </c>
      <c r="S255">
        <f>OR(D255="",D255&gt;=설정!$B$19)</f>
        <v/>
      </c>
      <c r="T255">
        <f>AND(Q255,R255,S255)</f>
        <v/>
      </c>
      <c r="U255">
        <f>IF(T255,IF(AND(설정!$A$41&lt;&gt;"",ISNUMBER(SEARCH(설정!$A$41,K255))),설정!$B$41,IF(AND(설정!$A$42&lt;&gt;"",ISNUMBER(SEARCH(설정!$A$42,K255))),설정!$B$42,IF(AND(설정!$A$43&lt;&gt;"",ISNUMBER(SEARCH(설정!$A$43,K255))),설정!$B$43,IF(AND(설정!$A$44&lt;&gt;"",ISNUMBER(SEARCH(설정!$A$44,K255))),설정!$B$44,IF(AND(설정!$A$45&lt;&gt;"",ISNUMBER(SEARCH(설정!$A$45,K255))),설정!$B$45,IF(AND(설정!$A$46&lt;&gt;"",ISNUMBER(SEARCH(설정!$A$46,K255))),설정!$B$46,IF(AND(설정!$A$47&lt;&gt;"",ISNUMBER(SEARCH(설정!$A$47,K255))),설정!$B$47,IF(AND(설정!$A$48&lt;&gt;"",ISNUMBER(SEARCH(설정!$A$48,K255))),설정!$B$48,IF(M255="","설계사","시공사"))))))))),"")</f>
        <v/>
      </c>
      <c r="V255">
        <f>SUBSTITUTE(SUBSTITUTE(SUBSTITUTE(SUBSTITUTE(G255,"(주)",""),"㈜",""),"주식회사","")," ","")</f>
        <v/>
      </c>
      <c r="W255">
        <f>IF(AND(T255,V255&lt;&gt;""),IF(COUNTIFS(V$2:V255,V255,T$2:T255,TRUE)=1,MAX(W$1:W254)+1,""),"")</f>
        <v/>
      </c>
      <c r="X255">
        <f>IFERROR(INDEX('1.산군_붙여넣기'!$A$1:$AZ$1001,ROW(),설정!$C$14)&amp;"","")</f>
        <v/>
      </c>
      <c r="Y255">
        <f>IFERROR(INDEX('1.산군_붙여넣기'!$A$1:$AZ$1001,ROW(),설정!$C$15)&amp;"","")</f>
        <v/>
      </c>
      <c r="Z255">
        <f>IF(T255,V255&amp;"|"&amp;U255,"")</f>
        <v/>
      </c>
    </row>
    <row r="256">
      <c r="A256">
        <f>ROW()</f>
        <v/>
      </c>
      <c r="B256">
        <f>IFERROR(INDEX('1.산군_붙여넣기'!$A$1:$AZ$1001,ROW(),설정!$C$4)&amp;"","")</f>
        <v/>
      </c>
      <c r="C256">
        <f>IFERROR(INDEX('1.산군_붙여넣기'!$A$1:$AZ$1001,ROW(),설정!$C$5)&amp;"","")</f>
        <v/>
      </c>
      <c r="D256" s="5">
        <f>IFERROR(VALUE(SUBSTITUTE(SUBSTITUTE(SUBSTITUTE(IFERROR(INDEX('1.산군_붙여넣기'!$A$1:$AZ$1001,ROW(),설정!$C$6)&amp;"",""),",",""),"㎡",""),"m2","")),"")</f>
        <v/>
      </c>
      <c r="E256">
        <f>IFERROR(INDEX('1.산군_붙여넣기'!$A$1:$AZ$1001,ROW(),설정!$C$7)&amp;"","")</f>
        <v/>
      </c>
      <c r="F256">
        <f>IFERROR(INDEX('1.산군_붙여넣기'!$A$1:$AZ$1001,ROW(),설정!$C$8)&amp;"","")</f>
        <v/>
      </c>
      <c r="G256">
        <f>IFERROR(INDEX('1.산군_붙여넣기'!$A$1:$AZ$1001,ROW(),설정!$C$9)&amp;"","")</f>
        <v/>
      </c>
      <c r="H256">
        <f>IFERROR(INDEX('1.산군_붙여넣기'!$A$1:$AZ$1001,ROW(),설정!$C$10)&amp;"","")</f>
        <v/>
      </c>
      <c r="I256">
        <f>IFERROR(INDEX('1.산군_붙여넣기'!$A$1:$AZ$1001,ROW(),설정!$C$11)&amp;"","")</f>
        <v/>
      </c>
      <c r="J256">
        <f>IFERROR(INDEX('1.산군_붙여넣기'!$A$1:$AZ$1001,ROW(),설정!$C$12)&amp;"","")</f>
        <v/>
      </c>
      <c r="K256">
        <f>IFERROR(INDEX('1.산군_붙여넣기'!$A$1:$AZ$1001,ROW(),설정!$C$13)&amp;"","")</f>
        <v/>
      </c>
      <c r="L256" s="6">
        <f>IF(X256="","",IF(AND(LEN(X256)=8,ISNUMBER(X256*1)),DATE(LEFT(X256,4),MID(X256,5,2),RIGHT(X256,2)),IFERROR(DATEVALUE(SUBSTITUTE(SUBSTITUTE(X256,".","-"),"/","-")),IFERROR(X256*1,""))))</f>
        <v/>
      </c>
      <c r="M256" s="6">
        <f>IF(Y256="","",IF(AND(LEN(Y256)=8,ISNUMBER(Y256*1)),DATE(LEFT(Y256,4),MID(Y256,5,2),RIGHT(Y256,2)),IFERROR(DATEVALUE(SUBSTITUTE(SUBSTITUTE(Y256,".","-"),"/","-")),IFERROR(Y256*1,""))))</f>
        <v/>
      </c>
      <c r="N256">
        <f>IFERROR(LEFT(B256,FIND(" ",B256)-1),B256)</f>
        <v/>
      </c>
      <c r="O256">
        <f>AND(B256&lt;&gt;"",B256&lt;&gt;설정!$B$4,C256&lt;&gt;설정!$B$5)</f>
        <v/>
      </c>
      <c r="P256">
        <f>IF(O256,B256&amp;"|"&amp;C256,"")</f>
        <v/>
      </c>
      <c r="Q256">
        <f>AND(O256,COUNTIF(P257:P$1002,P256)=0)</f>
        <v/>
      </c>
      <c r="R256">
        <f>OR(AND(설정!$A$28&lt;&gt;"",ISNUMBER(SEARCH(설정!$A$28,E256&amp;" "&amp;C256))),AND(설정!$A$29&lt;&gt;"",ISNUMBER(SEARCH(설정!$A$29,E256&amp;" "&amp;C256))),AND(설정!$A$30&lt;&gt;"",ISNUMBER(SEARCH(설정!$A$30,E256&amp;" "&amp;C256))),AND(설정!$A$31&lt;&gt;"",ISNUMBER(SEARCH(설정!$A$31,E256&amp;" "&amp;C256))),AND(설정!$A$32&lt;&gt;"",ISNUMBER(SEARCH(설정!$A$32,E256&amp;" "&amp;C256))),AND(설정!$A$33&lt;&gt;"",ISNUMBER(SEARCH(설정!$A$33,E256&amp;" "&amp;C256))),AND(설정!$A$34&lt;&gt;"",ISNUMBER(SEARCH(설정!$A$34,E256&amp;" "&amp;C256))),AND(설정!$A$35&lt;&gt;"",ISNUMBER(SEARCH(설정!$A$35,E256&amp;" "&amp;C256))),AND(설정!$A$36&lt;&gt;"",ISNUMBER(SEARCH(설정!$A$36,E256&amp;" "&amp;C256))),AND(설정!$A$37&lt;&gt;"",ISNUMBER(SEARCH(설정!$A$37,E256&amp;" "&amp;C256))))</f>
        <v/>
      </c>
      <c r="S256">
        <f>OR(D256="",D256&gt;=설정!$B$19)</f>
        <v/>
      </c>
      <c r="T256">
        <f>AND(Q256,R256,S256)</f>
        <v/>
      </c>
      <c r="U256">
        <f>IF(T256,IF(AND(설정!$A$41&lt;&gt;"",ISNUMBER(SEARCH(설정!$A$41,K256))),설정!$B$41,IF(AND(설정!$A$42&lt;&gt;"",ISNUMBER(SEARCH(설정!$A$42,K256))),설정!$B$42,IF(AND(설정!$A$43&lt;&gt;"",ISNUMBER(SEARCH(설정!$A$43,K256))),설정!$B$43,IF(AND(설정!$A$44&lt;&gt;"",ISNUMBER(SEARCH(설정!$A$44,K256))),설정!$B$44,IF(AND(설정!$A$45&lt;&gt;"",ISNUMBER(SEARCH(설정!$A$45,K256))),설정!$B$45,IF(AND(설정!$A$46&lt;&gt;"",ISNUMBER(SEARCH(설정!$A$46,K256))),설정!$B$46,IF(AND(설정!$A$47&lt;&gt;"",ISNUMBER(SEARCH(설정!$A$47,K256))),설정!$B$47,IF(AND(설정!$A$48&lt;&gt;"",ISNUMBER(SEARCH(설정!$A$48,K256))),설정!$B$48,IF(M256="","설계사","시공사"))))))))),"")</f>
        <v/>
      </c>
      <c r="V256">
        <f>SUBSTITUTE(SUBSTITUTE(SUBSTITUTE(SUBSTITUTE(G256,"(주)",""),"㈜",""),"주식회사","")," ","")</f>
        <v/>
      </c>
      <c r="W256">
        <f>IF(AND(T256,V256&lt;&gt;""),IF(COUNTIFS(V$2:V256,V256,T$2:T256,TRUE)=1,MAX(W$1:W255)+1,""),"")</f>
        <v/>
      </c>
      <c r="X256">
        <f>IFERROR(INDEX('1.산군_붙여넣기'!$A$1:$AZ$1001,ROW(),설정!$C$14)&amp;"","")</f>
        <v/>
      </c>
      <c r="Y256">
        <f>IFERROR(INDEX('1.산군_붙여넣기'!$A$1:$AZ$1001,ROW(),설정!$C$15)&amp;"","")</f>
        <v/>
      </c>
      <c r="Z256">
        <f>IF(T256,V256&amp;"|"&amp;U256,"")</f>
        <v/>
      </c>
    </row>
    <row r="257">
      <c r="A257">
        <f>ROW()</f>
        <v/>
      </c>
      <c r="B257">
        <f>IFERROR(INDEX('1.산군_붙여넣기'!$A$1:$AZ$1001,ROW(),설정!$C$4)&amp;"","")</f>
        <v/>
      </c>
      <c r="C257">
        <f>IFERROR(INDEX('1.산군_붙여넣기'!$A$1:$AZ$1001,ROW(),설정!$C$5)&amp;"","")</f>
        <v/>
      </c>
      <c r="D257" s="5">
        <f>IFERROR(VALUE(SUBSTITUTE(SUBSTITUTE(SUBSTITUTE(IFERROR(INDEX('1.산군_붙여넣기'!$A$1:$AZ$1001,ROW(),설정!$C$6)&amp;"",""),",",""),"㎡",""),"m2","")),"")</f>
        <v/>
      </c>
      <c r="E257">
        <f>IFERROR(INDEX('1.산군_붙여넣기'!$A$1:$AZ$1001,ROW(),설정!$C$7)&amp;"","")</f>
        <v/>
      </c>
      <c r="F257">
        <f>IFERROR(INDEX('1.산군_붙여넣기'!$A$1:$AZ$1001,ROW(),설정!$C$8)&amp;"","")</f>
        <v/>
      </c>
      <c r="G257">
        <f>IFERROR(INDEX('1.산군_붙여넣기'!$A$1:$AZ$1001,ROW(),설정!$C$9)&amp;"","")</f>
        <v/>
      </c>
      <c r="H257">
        <f>IFERROR(INDEX('1.산군_붙여넣기'!$A$1:$AZ$1001,ROW(),설정!$C$10)&amp;"","")</f>
        <v/>
      </c>
      <c r="I257">
        <f>IFERROR(INDEX('1.산군_붙여넣기'!$A$1:$AZ$1001,ROW(),설정!$C$11)&amp;"","")</f>
        <v/>
      </c>
      <c r="J257">
        <f>IFERROR(INDEX('1.산군_붙여넣기'!$A$1:$AZ$1001,ROW(),설정!$C$12)&amp;"","")</f>
        <v/>
      </c>
      <c r="K257">
        <f>IFERROR(INDEX('1.산군_붙여넣기'!$A$1:$AZ$1001,ROW(),설정!$C$13)&amp;"","")</f>
        <v/>
      </c>
      <c r="L257" s="6">
        <f>IF(X257="","",IF(AND(LEN(X257)=8,ISNUMBER(X257*1)),DATE(LEFT(X257,4),MID(X257,5,2),RIGHT(X257,2)),IFERROR(DATEVALUE(SUBSTITUTE(SUBSTITUTE(X257,".","-"),"/","-")),IFERROR(X257*1,""))))</f>
        <v/>
      </c>
      <c r="M257" s="6">
        <f>IF(Y257="","",IF(AND(LEN(Y257)=8,ISNUMBER(Y257*1)),DATE(LEFT(Y257,4),MID(Y257,5,2),RIGHT(Y257,2)),IFERROR(DATEVALUE(SUBSTITUTE(SUBSTITUTE(Y257,".","-"),"/","-")),IFERROR(Y257*1,""))))</f>
        <v/>
      </c>
      <c r="N257">
        <f>IFERROR(LEFT(B257,FIND(" ",B257)-1),B257)</f>
        <v/>
      </c>
      <c r="O257">
        <f>AND(B257&lt;&gt;"",B257&lt;&gt;설정!$B$4,C257&lt;&gt;설정!$B$5)</f>
        <v/>
      </c>
      <c r="P257">
        <f>IF(O257,B257&amp;"|"&amp;C257,"")</f>
        <v/>
      </c>
      <c r="Q257">
        <f>AND(O257,COUNTIF(P258:P$1002,P257)=0)</f>
        <v/>
      </c>
      <c r="R257">
        <f>OR(AND(설정!$A$28&lt;&gt;"",ISNUMBER(SEARCH(설정!$A$28,E257&amp;" "&amp;C257))),AND(설정!$A$29&lt;&gt;"",ISNUMBER(SEARCH(설정!$A$29,E257&amp;" "&amp;C257))),AND(설정!$A$30&lt;&gt;"",ISNUMBER(SEARCH(설정!$A$30,E257&amp;" "&amp;C257))),AND(설정!$A$31&lt;&gt;"",ISNUMBER(SEARCH(설정!$A$31,E257&amp;" "&amp;C257))),AND(설정!$A$32&lt;&gt;"",ISNUMBER(SEARCH(설정!$A$32,E257&amp;" "&amp;C257))),AND(설정!$A$33&lt;&gt;"",ISNUMBER(SEARCH(설정!$A$33,E257&amp;" "&amp;C257))),AND(설정!$A$34&lt;&gt;"",ISNUMBER(SEARCH(설정!$A$34,E257&amp;" "&amp;C257))),AND(설정!$A$35&lt;&gt;"",ISNUMBER(SEARCH(설정!$A$35,E257&amp;" "&amp;C257))),AND(설정!$A$36&lt;&gt;"",ISNUMBER(SEARCH(설정!$A$36,E257&amp;" "&amp;C257))),AND(설정!$A$37&lt;&gt;"",ISNUMBER(SEARCH(설정!$A$37,E257&amp;" "&amp;C257))))</f>
        <v/>
      </c>
      <c r="S257">
        <f>OR(D257="",D257&gt;=설정!$B$19)</f>
        <v/>
      </c>
      <c r="T257">
        <f>AND(Q257,R257,S257)</f>
        <v/>
      </c>
      <c r="U257">
        <f>IF(T257,IF(AND(설정!$A$41&lt;&gt;"",ISNUMBER(SEARCH(설정!$A$41,K257))),설정!$B$41,IF(AND(설정!$A$42&lt;&gt;"",ISNUMBER(SEARCH(설정!$A$42,K257))),설정!$B$42,IF(AND(설정!$A$43&lt;&gt;"",ISNUMBER(SEARCH(설정!$A$43,K257))),설정!$B$43,IF(AND(설정!$A$44&lt;&gt;"",ISNUMBER(SEARCH(설정!$A$44,K257))),설정!$B$44,IF(AND(설정!$A$45&lt;&gt;"",ISNUMBER(SEARCH(설정!$A$45,K257))),설정!$B$45,IF(AND(설정!$A$46&lt;&gt;"",ISNUMBER(SEARCH(설정!$A$46,K257))),설정!$B$46,IF(AND(설정!$A$47&lt;&gt;"",ISNUMBER(SEARCH(설정!$A$47,K257))),설정!$B$47,IF(AND(설정!$A$48&lt;&gt;"",ISNUMBER(SEARCH(설정!$A$48,K257))),설정!$B$48,IF(M257="","설계사","시공사"))))))))),"")</f>
        <v/>
      </c>
      <c r="V257">
        <f>SUBSTITUTE(SUBSTITUTE(SUBSTITUTE(SUBSTITUTE(G257,"(주)",""),"㈜",""),"주식회사","")," ","")</f>
        <v/>
      </c>
      <c r="W257">
        <f>IF(AND(T257,V257&lt;&gt;""),IF(COUNTIFS(V$2:V257,V257,T$2:T257,TRUE)=1,MAX(W$1:W256)+1,""),"")</f>
        <v/>
      </c>
      <c r="X257">
        <f>IFERROR(INDEX('1.산군_붙여넣기'!$A$1:$AZ$1001,ROW(),설정!$C$14)&amp;"","")</f>
        <v/>
      </c>
      <c r="Y257">
        <f>IFERROR(INDEX('1.산군_붙여넣기'!$A$1:$AZ$1001,ROW(),설정!$C$15)&amp;"","")</f>
        <v/>
      </c>
      <c r="Z257">
        <f>IF(T257,V257&amp;"|"&amp;U257,"")</f>
        <v/>
      </c>
    </row>
    <row r="258">
      <c r="A258">
        <f>ROW()</f>
        <v/>
      </c>
      <c r="B258">
        <f>IFERROR(INDEX('1.산군_붙여넣기'!$A$1:$AZ$1001,ROW(),설정!$C$4)&amp;"","")</f>
        <v/>
      </c>
      <c r="C258">
        <f>IFERROR(INDEX('1.산군_붙여넣기'!$A$1:$AZ$1001,ROW(),설정!$C$5)&amp;"","")</f>
        <v/>
      </c>
      <c r="D258" s="5">
        <f>IFERROR(VALUE(SUBSTITUTE(SUBSTITUTE(SUBSTITUTE(IFERROR(INDEX('1.산군_붙여넣기'!$A$1:$AZ$1001,ROW(),설정!$C$6)&amp;"",""),",",""),"㎡",""),"m2","")),"")</f>
        <v/>
      </c>
      <c r="E258">
        <f>IFERROR(INDEX('1.산군_붙여넣기'!$A$1:$AZ$1001,ROW(),설정!$C$7)&amp;"","")</f>
        <v/>
      </c>
      <c r="F258">
        <f>IFERROR(INDEX('1.산군_붙여넣기'!$A$1:$AZ$1001,ROW(),설정!$C$8)&amp;"","")</f>
        <v/>
      </c>
      <c r="G258">
        <f>IFERROR(INDEX('1.산군_붙여넣기'!$A$1:$AZ$1001,ROW(),설정!$C$9)&amp;"","")</f>
        <v/>
      </c>
      <c r="H258">
        <f>IFERROR(INDEX('1.산군_붙여넣기'!$A$1:$AZ$1001,ROW(),설정!$C$10)&amp;"","")</f>
        <v/>
      </c>
      <c r="I258">
        <f>IFERROR(INDEX('1.산군_붙여넣기'!$A$1:$AZ$1001,ROW(),설정!$C$11)&amp;"","")</f>
        <v/>
      </c>
      <c r="J258">
        <f>IFERROR(INDEX('1.산군_붙여넣기'!$A$1:$AZ$1001,ROW(),설정!$C$12)&amp;"","")</f>
        <v/>
      </c>
      <c r="K258">
        <f>IFERROR(INDEX('1.산군_붙여넣기'!$A$1:$AZ$1001,ROW(),설정!$C$13)&amp;"","")</f>
        <v/>
      </c>
      <c r="L258" s="6">
        <f>IF(X258="","",IF(AND(LEN(X258)=8,ISNUMBER(X258*1)),DATE(LEFT(X258,4),MID(X258,5,2),RIGHT(X258,2)),IFERROR(DATEVALUE(SUBSTITUTE(SUBSTITUTE(X258,".","-"),"/","-")),IFERROR(X258*1,""))))</f>
        <v/>
      </c>
      <c r="M258" s="6">
        <f>IF(Y258="","",IF(AND(LEN(Y258)=8,ISNUMBER(Y258*1)),DATE(LEFT(Y258,4),MID(Y258,5,2),RIGHT(Y258,2)),IFERROR(DATEVALUE(SUBSTITUTE(SUBSTITUTE(Y258,".","-"),"/","-")),IFERROR(Y258*1,""))))</f>
        <v/>
      </c>
      <c r="N258">
        <f>IFERROR(LEFT(B258,FIND(" ",B258)-1),B258)</f>
        <v/>
      </c>
      <c r="O258">
        <f>AND(B258&lt;&gt;"",B258&lt;&gt;설정!$B$4,C258&lt;&gt;설정!$B$5)</f>
        <v/>
      </c>
      <c r="P258">
        <f>IF(O258,B258&amp;"|"&amp;C258,"")</f>
        <v/>
      </c>
      <c r="Q258">
        <f>AND(O258,COUNTIF(P259:P$1002,P258)=0)</f>
        <v/>
      </c>
      <c r="R258">
        <f>OR(AND(설정!$A$28&lt;&gt;"",ISNUMBER(SEARCH(설정!$A$28,E258&amp;" "&amp;C258))),AND(설정!$A$29&lt;&gt;"",ISNUMBER(SEARCH(설정!$A$29,E258&amp;" "&amp;C258))),AND(설정!$A$30&lt;&gt;"",ISNUMBER(SEARCH(설정!$A$30,E258&amp;" "&amp;C258))),AND(설정!$A$31&lt;&gt;"",ISNUMBER(SEARCH(설정!$A$31,E258&amp;" "&amp;C258))),AND(설정!$A$32&lt;&gt;"",ISNUMBER(SEARCH(설정!$A$32,E258&amp;" "&amp;C258))),AND(설정!$A$33&lt;&gt;"",ISNUMBER(SEARCH(설정!$A$33,E258&amp;" "&amp;C258))),AND(설정!$A$34&lt;&gt;"",ISNUMBER(SEARCH(설정!$A$34,E258&amp;" "&amp;C258))),AND(설정!$A$35&lt;&gt;"",ISNUMBER(SEARCH(설정!$A$35,E258&amp;" "&amp;C258))),AND(설정!$A$36&lt;&gt;"",ISNUMBER(SEARCH(설정!$A$36,E258&amp;" "&amp;C258))),AND(설정!$A$37&lt;&gt;"",ISNUMBER(SEARCH(설정!$A$37,E258&amp;" "&amp;C258))))</f>
        <v/>
      </c>
      <c r="S258">
        <f>OR(D258="",D258&gt;=설정!$B$19)</f>
        <v/>
      </c>
      <c r="T258">
        <f>AND(Q258,R258,S258)</f>
        <v/>
      </c>
      <c r="U258">
        <f>IF(T258,IF(AND(설정!$A$41&lt;&gt;"",ISNUMBER(SEARCH(설정!$A$41,K258))),설정!$B$41,IF(AND(설정!$A$42&lt;&gt;"",ISNUMBER(SEARCH(설정!$A$42,K258))),설정!$B$42,IF(AND(설정!$A$43&lt;&gt;"",ISNUMBER(SEARCH(설정!$A$43,K258))),설정!$B$43,IF(AND(설정!$A$44&lt;&gt;"",ISNUMBER(SEARCH(설정!$A$44,K258))),설정!$B$44,IF(AND(설정!$A$45&lt;&gt;"",ISNUMBER(SEARCH(설정!$A$45,K258))),설정!$B$45,IF(AND(설정!$A$46&lt;&gt;"",ISNUMBER(SEARCH(설정!$A$46,K258))),설정!$B$46,IF(AND(설정!$A$47&lt;&gt;"",ISNUMBER(SEARCH(설정!$A$47,K258))),설정!$B$47,IF(AND(설정!$A$48&lt;&gt;"",ISNUMBER(SEARCH(설정!$A$48,K258))),설정!$B$48,IF(M258="","설계사","시공사"))))))))),"")</f>
        <v/>
      </c>
      <c r="V258">
        <f>SUBSTITUTE(SUBSTITUTE(SUBSTITUTE(SUBSTITUTE(G258,"(주)",""),"㈜",""),"주식회사","")," ","")</f>
        <v/>
      </c>
      <c r="W258">
        <f>IF(AND(T258,V258&lt;&gt;""),IF(COUNTIFS(V$2:V258,V258,T$2:T258,TRUE)=1,MAX(W$1:W257)+1,""),"")</f>
        <v/>
      </c>
      <c r="X258">
        <f>IFERROR(INDEX('1.산군_붙여넣기'!$A$1:$AZ$1001,ROW(),설정!$C$14)&amp;"","")</f>
        <v/>
      </c>
      <c r="Y258">
        <f>IFERROR(INDEX('1.산군_붙여넣기'!$A$1:$AZ$1001,ROW(),설정!$C$15)&amp;"","")</f>
        <v/>
      </c>
      <c r="Z258">
        <f>IF(T258,V258&amp;"|"&amp;U258,"")</f>
        <v/>
      </c>
    </row>
    <row r="259">
      <c r="A259">
        <f>ROW()</f>
        <v/>
      </c>
      <c r="B259">
        <f>IFERROR(INDEX('1.산군_붙여넣기'!$A$1:$AZ$1001,ROW(),설정!$C$4)&amp;"","")</f>
        <v/>
      </c>
      <c r="C259">
        <f>IFERROR(INDEX('1.산군_붙여넣기'!$A$1:$AZ$1001,ROW(),설정!$C$5)&amp;"","")</f>
        <v/>
      </c>
      <c r="D259" s="5">
        <f>IFERROR(VALUE(SUBSTITUTE(SUBSTITUTE(SUBSTITUTE(IFERROR(INDEX('1.산군_붙여넣기'!$A$1:$AZ$1001,ROW(),설정!$C$6)&amp;"",""),",",""),"㎡",""),"m2","")),"")</f>
        <v/>
      </c>
      <c r="E259">
        <f>IFERROR(INDEX('1.산군_붙여넣기'!$A$1:$AZ$1001,ROW(),설정!$C$7)&amp;"","")</f>
        <v/>
      </c>
      <c r="F259">
        <f>IFERROR(INDEX('1.산군_붙여넣기'!$A$1:$AZ$1001,ROW(),설정!$C$8)&amp;"","")</f>
        <v/>
      </c>
      <c r="G259">
        <f>IFERROR(INDEX('1.산군_붙여넣기'!$A$1:$AZ$1001,ROW(),설정!$C$9)&amp;"","")</f>
        <v/>
      </c>
      <c r="H259">
        <f>IFERROR(INDEX('1.산군_붙여넣기'!$A$1:$AZ$1001,ROW(),설정!$C$10)&amp;"","")</f>
        <v/>
      </c>
      <c r="I259">
        <f>IFERROR(INDEX('1.산군_붙여넣기'!$A$1:$AZ$1001,ROW(),설정!$C$11)&amp;"","")</f>
        <v/>
      </c>
      <c r="J259">
        <f>IFERROR(INDEX('1.산군_붙여넣기'!$A$1:$AZ$1001,ROW(),설정!$C$12)&amp;"","")</f>
        <v/>
      </c>
      <c r="K259">
        <f>IFERROR(INDEX('1.산군_붙여넣기'!$A$1:$AZ$1001,ROW(),설정!$C$13)&amp;"","")</f>
        <v/>
      </c>
      <c r="L259" s="6">
        <f>IF(X259="","",IF(AND(LEN(X259)=8,ISNUMBER(X259*1)),DATE(LEFT(X259,4),MID(X259,5,2),RIGHT(X259,2)),IFERROR(DATEVALUE(SUBSTITUTE(SUBSTITUTE(X259,".","-"),"/","-")),IFERROR(X259*1,""))))</f>
        <v/>
      </c>
      <c r="M259" s="6">
        <f>IF(Y259="","",IF(AND(LEN(Y259)=8,ISNUMBER(Y259*1)),DATE(LEFT(Y259,4),MID(Y259,5,2),RIGHT(Y259,2)),IFERROR(DATEVALUE(SUBSTITUTE(SUBSTITUTE(Y259,".","-"),"/","-")),IFERROR(Y259*1,""))))</f>
        <v/>
      </c>
      <c r="N259">
        <f>IFERROR(LEFT(B259,FIND(" ",B259)-1),B259)</f>
        <v/>
      </c>
      <c r="O259">
        <f>AND(B259&lt;&gt;"",B259&lt;&gt;설정!$B$4,C259&lt;&gt;설정!$B$5)</f>
        <v/>
      </c>
      <c r="P259">
        <f>IF(O259,B259&amp;"|"&amp;C259,"")</f>
        <v/>
      </c>
      <c r="Q259">
        <f>AND(O259,COUNTIF(P260:P$1002,P259)=0)</f>
        <v/>
      </c>
      <c r="R259">
        <f>OR(AND(설정!$A$28&lt;&gt;"",ISNUMBER(SEARCH(설정!$A$28,E259&amp;" "&amp;C259))),AND(설정!$A$29&lt;&gt;"",ISNUMBER(SEARCH(설정!$A$29,E259&amp;" "&amp;C259))),AND(설정!$A$30&lt;&gt;"",ISNUMBER(SEARCH(설정!$A$30,E259&amp;" "&amp;C259))),AND(설정!$A$31&lt;&gt;"",ISNUMBER(SEARCH(설정!$A$31,E259&amp;" "&amp;C259))),AND(설정!$A$32&lt;&gt;"",ISNUMBER(SEARCH(설정!$A$32,E259&amp;" "&amp;C259))),AND(설정!$A$33&lt;&gt;"",ISNUMBER(SEARCH(설정!$A$33,E259&amp;" "&amp;C259))),AND(설정!$A$34&lt;&gt;"",ISNUMBER(SEARCH(설정!$A$34,E259&amp;" "&amp;C259))),AND(설정!$A$35&lt;&gt;"",ISNUMBER(SEARCH(설정!$A$35,E259&amp;" "&amp;C259))),AND(설정!$A$36&lt;&gt;"",ISNUMBER(SEARCH(설정!$A$36,E259&amp;" "&amp;C259))),AND(설정!$A$37&lt;&gt;"",ISNUMBER(SEARCH(설정!$A$37,E259&amp;" "&amp;C259))))</f>
        <v/>
      </c>
      <c r="S259">
        <f>OR(D259="",D259&gt;=설정!$B$19)</f>
        <v/>
      </c>
      <c r="T259">
        <f>AND(Q259,R259,S259)</f>
        <v/>
      </c>
      <c r="U259">
        <f>IF(T259,IF(AND(설정!$A$41&lt;&gt;"",ISNUMBER(SEARCH(설정!$A$41,K259))),설정!$B$41,IF(AND(설정!$A$42&lt;&gt;"",ISNUMBER(SEARCH(설정!$A$42,K259))),설정!$B$42,IF(AND(설정!$A$43&lt;&gt;"",ISNUMBER(SEARCH(설정!$A$43,K259))),설정!$B$43,IF(AND(설정!$A$44&lt;&gt;"",ISNUMBER(SEARCH(설정!$A$44,K259))),설정!$B$44,IF(AND(설정!$A$45&lt;&gt;"",ISNUMBER(SEARCH(설정!$A$45,K259))),설정!$B$45,IF(AND(설정!$A$46&lt;&gt;"",ISNUMBER(SEARCH(설정!$A$46,K259))),설정!$B$46,IF(AND(설정!$A$47&lt;&gt;"",ISNUMBER(SEARCH(설정!$A$47,K259))),설정!$B$47,IF(AND(설정!$A$48&lt;&gt;"",ISNUMBER(SEARCH(설정!$A$48,K259))),설정!$B$48,IF(M259="","설계사","시공사"))))))))),"")</f>
        <v/>
      </c>
      <c r="V259">
        <f>SUBSTITUTE(SUBSTITUTE(SUBSTITUTE(SUBSTITUTE(G259,"(주)",""),"㈜",""),"주식회사","")," ","")</f>
        <v/>
      </c>
      <c r="W259">
        <f>IF(AND(T259,V259&lt;&gt;""),IF(COUNTIFS(V$2:V259,V259,T$2:T259,TRUE)=1,MAX(W$1:W258)+1,""),"")</f>
        <v/>
      </c>
      <c r="X259">
        <f>IFERROR(INDEX('1.산군_붙여넣기'!$A$1:$AZ$1001,ROW(),설정!$C$14)&amp;"","")</f>
        <v/>
      </c>
      <c r="Y259">
        <f>IFERROR(INDEX('1.산군_붙여넣기'!$A$1:$AZ$1001,ROW(),설정!$C$15)&amp;"","")</f>
        <v/>
      </c>
      <c r="Z259">
        <f>IF(T259,V259&amp;"|"&amp;U259,"")</f>
        <v/>
      </c>
    </row>
    <row r="260">
      <c r="A260">
        <f>ROW()</f>
        <v/>
      </c>
      <c r="B260">
        <f>IFERROR(INDEX('1.산군_붙여넣기'!$A$1:$AZ$1001,ROW(),설정!$C$4)&amp;"","")</f>
        <v/>
      </c>
      <c r="C260">
        <f>IFERROR(INDEX('1.산군_붙여넣기'!$A$1:$AZ$1001,ROW(),설정!$C$5)&amp;"","")</f>
        <v/>
      </c>
      <c r="D260" s="5">
        <f>IFERROR(VALUE(SUBSTITUTE(SUBSTITUTE(SUBSTITUTE(IFERROR(INDEX('1.산군_붙여넣기'!$A$1:$AZ$1001,ROW(),설정!$C$6)&amp;"",""),",",""),"㎡",""),"m2","")),"")</f>
        <v/>
      </c>
      <c r="E260">
        <f>IFERROR(INDEX('1.산군_붙여넣기'!$A$1:$AZ$1001,ROW(),설정!$C$7)&amp;"","")</f>
        <v/>
      </c>
      <c r="F260">
        <f>IFERROR(INDEX('1.산군_붙여넣기'!$A$1:$AZ$1001,ROW(),설정!$C$8)&amp;"","")</f>
        <v/>
      </c>
      <c r="G260">
        <f>IFERROR(INDEX('1.산군_붙여넣기'!$A$1:$AZ$1001,ROW(),설정!$C$9)&amp;"","")</f>
        <v/>
      </c>
      <c r="H260">
        <f>IFERROR(INDEX('1.산군_붙여넣기'!$A$1:$AZ$1001,ROW(),설정!$C$10)&amp;"","")</f>
        <v/>
      </c>
      <c r="I260">
        <f>IFERROR(INDEX('1.산군_붙여넣기'!$A$1:$AZ$1001,ROW(),설정!$C$11)&amp;"","")</f>
        <v/>
      </c>
      <c r="J260">
        <f>IFERROR(INDEX('1.산군_붙여넣기'!$A$1:$AZ$1001,ROW(),설정!$C$12)&amp;"","")</f>
        <v/>
      </c>
      <c r="K260">
        <f>IFERROR(INDEX('1.산군_붙여넣기'!$A$1:$AZ$1001,ROW(),설정!$C$13)&amp;"","")</f>
        <v/>
      </c>
      <c r="L260" s="6">
        <f>IF(X260="","",IF(AND(LEN(X260)=8,ISNUMBER(X260*1)),DATE(LEFT(X260,4),MID(X260,5,2),RIGHT(X260,2)),IFERROR(DATEVALUE(SUBSTITUTE(SUBSTITUTE(X260,".","-"),"/","-")),IFERROR(X260*1,""))))</f>
        <v/>
      </c>
      <c r="M260" s="6">
        <f>IF(Y260="","",IF(AND(LEN(Y260)=8,ISNUMBER(Y260*1)),DATE(LEFT(Y260,4),MID(Y260,5,2),RIGHT(Y260,2)),IFERROR(DATEVALUE(SUBSTITUTE(SUBSTITUTE(Y260,".","-"),"/","-")),IFERROR(Y260*1,""))))</f>
        <v/>
      </c>
      <c r="N260">
        <f>IFERROR(LEFT(B260,FIND(" ",B260)-1),B260)</f>
        <v/>
      </c>
      <c r="O260">
        <f>AND(B260&lt;&gt;"",B260&lt;&gt;설정!$B$4,C260&lt;&gt;설정!$B$5)</f>
        <v/>
      </c>
      <c r="P260">
        <f>IF(O260,B260&amp;"|"&amp;C260,"")</f>
        <v/>
      </c>
      <c r="Q260">
        <f>AND(O260,COUNTIF(P261:P$1002,P260)=0)</f>
        <v/>
      </c>
      <c r="R260">
        <f>OR(AND(설정!$A$28&lt;&gt;"",ISNUMBER(SEARCH(설정!$A$28,E260&amp;" "&amp;C260))),AND(설정!$A$29&lt;&gt;"",ISNUMBER(SEARCH(설정!$A$29,E260&amp;" "&amp;C260))),AND(설정!$A$30&lt;&gt;"",ISNUMBER(SEARCH(설정!$A$30,E260&amp;" "&amp;C260))),AND(설정!$A$31&lt;&gt;"",ISNUMBER(SEARCH(설정!$A$31,E260&amp;" "&amp;C260))),AND(설정!$A$32&lt;&gt;"",ISNUMBER(SEARCH(설정!$A$32,E260&amp;" "&amp;C260))),AND(설정!$A$33&lt;&gt;"",ISNUMBER(SEARCH(설정!$A$33,E260&amp;" "&amp;C260))),AND(설정!$A$34&lt;&gt;"",ISNUMBER(SEARCH(설정!$A$34,E260&amp;" "&amp;C260))),AND(설정!$A$35&lt;&gt;"",ISNUMBER(SEARCH(설정!$A$35,E260&amp;" "&amp;C260))),AND(설정!$A$36&lt;&gt;"",ISNUMBER(SEARCH(설정!$A$36,E260&amp;" "&amp;C260))),AND(설정!$A$37&lt;&gt;"",ISNUMBER(SEARCH(설정!$A$37,E260&amp;" "&amp;C260))))</f>
        <v/>
      </c>
      <c r="S260">
        <f>OR(D260="",D260&gt;=설정!$B$19)</f>
        <v/>
      </c>
      <c r="T260">
        <f>AND(Q260,R260,S260)</f>
        <v/>
      </c>
      <c r="U260">
        <f>IF(T260,IF(AND(설정!$A$41&lt;&gt;"",ISNUMBER(SEARCH(설정!$A$41,K260))),설정!$B$41,IF(AND(설정!$A$42&lt;&gt;"",ISNUMBER(SEARCH(설정!$A$42,K260))),설정!$B$42,IF(AND(설정!$A$43&lt;&gt;"",ISNUMBER(SEARCH(설정!$A$43,K260))),설정!$B$43,IF(AND(설정!$A$44&lt;&gt;"",ISNUMBER(SEARCH(설정!$A$44,K260))),설정!$B$44,IF(AND(설정!$A$45&lt;&gt;"",ISNUMBER(SEARCH(설정!$A$45,K260))),설정!$B$45,IF(AND(설정!$A$46&lt;&gt;"",ISNUMBER(SEARCH(설정!$A$46,K260))),설정!$B$46,IF(AND(설정!$A$47&lt;&gt;"",ISNUMBER(SEARCH(설정!$A$47,K260))),설정!$B$47,IF(AND(설정!$A$48&lt;&gt;"",ISNUMBER(SEARCH(설정!$A$48,K260))),설정!$B$48,IF(M260="","설계사","시공사"))))))))),"")</f>
        <v/>
      </c>
      <c r="V260">
        <f>SUBSTITUTE(SUBSTITUTE(SUBSTITUTE(SUBSTITUTE(G260,"(주)",""),"㈜",""),"주식회사","")," ","")</f>
        <v/>
      </c>
      <c r="W260">
        <f>IF(AND(T260,V260&lt;&gt;""),IF(COUNTIFS(V$2:V260,V260,T$2:T260,TRUE)=1,MAX(W$1:W259)+1,""),"")</f>
        <v/>
      </c>
      <c r="X260">
        <f>IFERROR(INDEX('1.산군_붙여넣기'!$A$1:$AZ$1001,ROW(),설정!$C$14)&amp;"","")</f>
        <v/>
      </c>
      <c r="Y260">
        <f>IFERROR(INDEX('1.산군_붙여넣기'!$A$1:$AZ$1001,ROW(),설정!$C$15)&amp;"","")</f>
        <v/>
      </c>
      <c r="Z260">
        <f>IF(T260,V260&amp;"|"&amp;U260,"")</f>
        <v/>
      </c>
    </row>
    <row r="261">
      <c r="A261">
        <f>ROW()</f>
        <v/>
      </c>
      <c r="B261">
        <f>IFERROR(INDEX('1.산군_붙여넣기'!$A$1:$AZ$1001,ROW(),설정!$C$4)&amp;"","")</f>
        <v/>
      </c>
      <c r="C261">
        <f>IFERROR(INDEX('1.산군_붙여넣기'!$A$1:$AZ$1001,ROW(),설정!$C$5)&amp;"","")</f>
        <v/>
      </c>
      <c r="D261" s="5">
        <f>IFERROR(VALUE(SUBSTITUTE(SUBSTITUTE(SUBSTITUTE(IFERROR(INDEX('1.산군_붙여넣기'!$A$1:$AZ$1001,ROW(),설정!$C$6)&amp;"",""),",",""),"㎡",""),"m2","")),"")</f>
        <v/>
      </c>
      <c r="E261">
        <f>IFERROR(INDEX('1.산군_붙여넣기'!$A$1:$AZ$1001,ROW(),설정!$C$7)&amp;"","")</f>
        <v/>
      </c>
      <c r="F261">
        <f>IFERROR(INDEX('1.산군_붙여넣기'!$A$1:$AZ$1001,ROW(),설정!$C$8)&amp;"","")</f>
        <v/>
      </c>
      <c r="G261">
        <f>IFERROR(INDEX('1.산군_붙여넣기'!$A$1:$AZ$1001,ROW(),설정!$C$9)&amp;"","")</f>
        <v/>
      </c>
      <c r="H261">
        <f>IFERROR(INDEX('1.산군_붙여넣기'!$A$1:$AZ$1001,ROW(),설정!$C$10)&amp;"","")</f>
        <v/>
      </c>
      <c r="I261">
        <f>IFERROR(INDEX('1.산군_붙여넣기'!$A$1:$AZ$1001,ROW(),설정!$C$11)&amp;"","")</f>
        <v/>
      </c>
      <c r="J261">
        <f>IFERROR(INDEX('1.산군_붙여넣기'!$A$1:$AZ$1001,ROW(),설정!$C$12)&amp;"","")</f>
        <v/>
      </c>
      <c r="K261">
        <f>IFERROR(INDEX('1.산군_붙여넣기'!$A$1:$AZ$1001,ROW(),설정!$C$13)&amp;"","")</f>
        <v/>
      </c>
      <c r="L261" s="6">
        <f>IF(X261="","",IF(AND(LEN(X261)=8,ISNUMBER(X261*1)),DATE(LEFT(X261,4),MID(X261,5,2),RIGHT(X261,2)),IFERROR(DATEVALUE(SUBSTITUTE(SUBSTITUTE(X261,".","-"),"/","-")),IFERROR(X261*1,""))))</f>
        <v/>
      </c>
      <c r="M261" s="6">
        <f>IF(Y261="","",IF(AND(LEN(Y261)=8,ISNUMBER(Y261*1)),DATE(LEFT(Y261,4),MID(Y261,5,2),RIGHT(Y261,2)),IFERROR(DATEVALUE(SUBSTITUTE(SUBSTITUTE(Y261,".","-"),"/","-")),IFERROR(Y261*1,""))))</f>
        <v/>
      </c>
      <c r="N261">
        <f>IFERROR(LEFT(B261,FIND(" ",B261)-1),B261)</f>
        <v/>
      </c>
      <c r="O261">
        <f>AND(B261&lt;&gt;"",B261&lt;&gt;설정!$B$4,C261&lt;&gt;설정!$B$5)</f>
        <v/>
      </c>
      <c r="P261">
        <f>IF(O261,B261&amp;"|"&amp;C261,"")</f>
        <v/>
      </c>
      <c r="Q261">
        <f>AND(O261,COUNTIF(P262:P$1002,P261)=0)</f>
        <v/>
      </c>
      <c r="R261">
        <f>OR(AND(설정!$A$28&lt;&gt;"",ISNUMBER(SEARCH(설정!$A$28,E261&amp;" "&amp;C261))),AND(설정!$A$29&lt;&gt;"",ISNUMBER(SEARCH(설정!$A$29,E261&amp;" "&amp;C261))),AND(설정!$A$30&lt;&gt;"",ISNUMBER(SEARCH(설정!$A$30,E261&amp;" "&amp;C261))),AND(설정!$A$31&lt;&gt;"",ISNUMBER(SEARCH(설정!$A$31,E261&amp;" "&amp;C261))),AND(설정!$A$32&lt;&gt;"",ISNUMBER(SEARCH(설정!$A$32,E261&amp;" "&amp;C261))),AND(설정!$A$33&lt;&gt;"",ISNUMBER(SEARCH(설정!$A$33,E261&amp;" "&amp;C261))),AND(설정!$A$34&lt;&gt;"",ISNUMBER(SEARCH(설정!$A$34,E261&amp;" "&amp;C261))),AND(설정!$A$35&lt;&gt;"",ISNUMBER(SEARCH(설정!$A$35,E261&amp;" "&amp;C261))),AND(설정!$A$36&lt;&gt;"",ISNUMBER(SEARCH(설정!$A$36,E261&amp;" "&amp;C261))),AND(설정!$A$37&lt;&gt;"",ISNUMBER(SEARCH(설정!$A$37,E261&amp;" "&amp;C261))))</f>
        <v/>
      </c>
      <c r="S261">
        <f>OR(D261="",D261&gt;=설정!$B$19)</f>
        <v/>
      </c>
      <c r="T261">
        <f>AND(Q261,R261,S261)</f>
        <v/>
      </c>
      <c r="U261">
        <f>IF(T261,IF(AND(설정!$A$41&lt;&gt;"",ISNUMBER(SEARCH(설정!$A$41,K261))),설정!$B$41,IF(AND(설정!$A$42&lt;&gt;"",ISNUMBER(SEARCH(설정!$A$42,K261))),설정!$B$42,IF(AND(설정!$A$43&lt;&gt;"",ISNUMBER(SEARCH(설정!$A$43,K261))),설정!$B$43,IF(AND(설정!$A$44&lt;&gt;"",ISNUMBER(SEARCH(설정!$A$44,K261))),설정!$B$44,IF(AND(설정!$A$45&lt;&gt;"",ISNUMBER(SEARCH(설정!$A$45,K261))),설정!$B$45,IF(AND(설정!$A$46&lt;&gt;"",ISNUMBER(SEARCH(설정!$A$46,K261))),설정!$B$46,IF(AND(설정!$A$47&lt;&gt;"",ISNUMBER(SEARCH(설정!$A$47,K261))),설정!$B$47,IF(AND(설정!$A$48&lt;&gt;"",ISNUMBER(SEARCH(설정!$A$48,K261))),설정!$B$48,IF(M261="","설계사","시공사"))))))))),"")</f>
        <v/>
      </c>
      <c r="V261">
        <f>SUBSTITUTE(SUBSTITUTE(SUBSTITUTE(SUBSTITUTE(G261,"(주)",""),"㈜",""),"주식회사","")," ","")</f>
        <v/>
      </c>
      <c r="W261">
        <f>IF(AND(T261,V261&lt;&gt;""),IF(COUNTIFS(V$2:V261,V261,T$2:T261,TRUE)=1,MAX(W$1:W260)+1,""),"")</f>
        <v/>
      </c>
      <c r="X261">
        <f>IFERROR(INDEX('1.산군_붙여넣기'!$A$1:$AZ$1001,ROW(),설정!$C$14)&amp;"","")</f>
        <v/>
      </c>
      <c r="Y261">
        <f>IFERROR(INDEX('1.산군_붙여넣기'!$A$1:$AZ$1001,ROW(),설정!$C$15)&amp;"","")</f>
        <v/>
      </c>
      <c r="Z261">
        <f>IF(T261,V261&amp;"|"&amp;U261,"")</f>
        <v/>
      </c>
    </row>
    <row r="262">
      <c r="A262">
        <f>ROW()</f>
        <v/>
      </c>
      <c r="B262">
        <f>IFERROR(INDEX('1.산군_붙여넣기'!$A$1:$AZ$1001,ROW(),설정!$C$4)&amp;"","")</f>
        <v/>
      </c>
      <c r="C262">
        <f>IFERROR(INDEX('1.산군_붙여넣기'!$A$1:$AZ$1001,ROW(),설정!$C$5)&amp;"","")</f>
        <v/>
      </c>
      <c r="D262" s="5">
        <f>IFERROR(VALUE(SUBSTITUTE(SUBSTITUTE(SUBSTITUTE(IFERROR(INDEX('1.산군_붙여넣기'!$A$1:$AZ$1001,ROW(),설정!$C$6)&amp;"",""),",",""),"㎡",""),"m2","")),"")</f>
        <v/>
      </c>
      <c r="E262">
        <f>IFERROR(INDEX('1.산군_붙여넣기'!$A$1:$AZ$1001,ROW(),설정!$C$7)&amp;"","")</f>
        <v/>
      </c>
      <c r="F262">
        <f>IFERROR(INDEX('1.산군_붙여넣기'!$A$1:$AZ$1001,ROW(),설정!$C$8)&amp;"","")</f>
        <v/>
      </c>
      <c r="G262">
        <f>IFERROR(INDEX('1.산군_붙여넣기'!$A$1:$AZ$1001,ROW(),설정!$C$9)&amp;"","")</f>
        <v/>
      </c>
      <c r="H262">
        <f>IFERROR(INDEX('1.산군_붙여넣기'!$A$1:$AZ$1001,ROW(),설정!$C$10)&amp;"","")</f>
        <v/>
      </c>
      <c r="I262">
        <f>IFERROR(INDEX('1.산군_붙여넣기'!$A$1:$AZ$1001,ROW(),설정!$C$11)&amp;"","")</f>
        <v/>
      </c>
      <c r="J262">
        <f>IFERROR(INDEX('1.산군_붙여넣기'!$A$1:$AZ$1001,ROW(),설정!$C$12)&amp;"","")</f>
        <v/>
      </c>
      <c r="K262">
        <f>IFERROR(INDEX('1.산군_붙여넣기'!$A$1:$AZ$1001,ROW(),설정!$C$13)&amp;"","")</f>
        <v/>
      </c>
      <c r="L262" s="6">
        <f>IF(X262="","",IF(AND(LEN(X262)=8,ISNUMBER(X262*1)),DATE(LEFT(X262,4),MID(X262,5,2),RIGHT(X262,2)),IFERROR(DATEVALUE(SUBSTITUTE(SUBSTITUTE(X262,".","-"),"/","-")),IFERROR(X262*1,""))))</f>
        <v/>
      </c>
      <c r="M262" s="6">
        <f>IF(Y262="","",IF(AND(LEN(Y262)=8,ISNUMBER(Y262*1)),DATE(LEFT(Y262,4),MID(Y262,5,2),RIGHT(Y262,2)),IFERROR(DATEVALUE(SUBSTITUTE(SUBSTITUTE(Y262,".","-"),"/","-")),IFERROR(Y262*1,""))))</f>
        <v/>
      </c>
      <c r="N262">
        <f>IFERROR(LEFT(B262,FIND(" ",B262)-1),B262)</f>
        <v/>
      </c>
      <c r="O262">
        <f>AND(B262&lt;&gt;"",B262&lt;&gt;설정!$B$4,C262&lt;&gt;설정!$B$5)</f>
        <v/>
      </c>
      <c r="P262">
        <f>IF(O262,B262&amp;"|"&amp;C262,"")</f>
        <v/>
      </c>
      <c r="Q262">
        <f>AND(O262,COUNTIF(P263:P$1002,P262)=0)</f>
        <v/>
      </c>
      <c r="R262">
        <f>OR(AND(설정!$A$28&lt;&gt;"",ISNUMBER(SEARCH(설정!$A$28,E262&amp;" "&amp;C262))),AND(설정!$A$29&lt;&gt;"",ISNUMBER(SEARCH(설정!$A$29,E262&amp;" "&amp;C262))),AND(설정!$A$30&lt;&gt;"",ISNUMBER(SEARCH(설정!$A$30,E262&amp;" "&amp;C262))),AND(설정!$A$31&lt;&gt;"",ISNUMBER(SEARCH(설정!$A$31,E262&amp;" "&amp;C262))),AND(설정!$A$32&lt;&gt;"",ISNUMBER(SEARCH(설정!$A$32,E262&amp;" "&amp;C262))),AND(설정!$A$33&lt;&gt;"",ISNUMBER(SEARCH(설정!$A$33,E262&amp;" "&amp;C262))),AND(설정!$A$34&lt;&gt;"",ISNUMBER(SEARCH(설정!$A$34,E262&amp;" "&amp;C262))),AND(설정!$A$35&lt;&gt;"",ISNUMBER(SEARCH(설정!$A$35,E262&amp;" "&amp;C262))),AND(설정!$A$36&lt;&gt;"",ISNUMBER(SEARCH(설정!$A$36,E262&amp;" "&amp;C262))),AND(설정!$A$37&lt;&gt;"",ISNUMBER(SEARCH(설정!$A$37,E262&amp;" "&amp;C262))))</f>
        <v/>
      </c>
      <c r="S262">
        <f>OR(D262="",D262&gt;=설정!$B$19)</f>
        <v/>
      </c>
      <c r="T262">
        <f>AND(Q262,R262,S262)</f>
        <v/>
      </c>
      <c r="U262">
        <f>IF(T262,IF(AND(설정!$A$41&lt;&gt;"",ISNUMBER(SEARCH(설정!$A$41,K262))),설정!$B$41,IF(AND(설정!$A$42&lt;&gt;"",ISNUMBER(SEARCH(설정!$A$42,K262))),설정!$B$42,IF(AND(설정!$A$43&lt;&gt;"",ISNUMBER(SEARCH(설정!$A$43,K262))),설정!$B$43,IF(AND(설정!$A$44&lt;&gt;"",ISNUMBER(SEARCH(설정!$A$44,K262))),설정!$B$44,IF(AND(설정!$A$45&lt;&gt;"",ISNUMBER(SEARCH(설정!$A$45,K262))),설정!$B$45,IF(AND(설정!$A$46&lt;&gt;"",ISNUMBER(SEARCH(설정!$A$46,K262))),설정!$B$46,IF(AND(설정!$A$47&lt;&gt;"",ISNUMBER(SEARCH(설정!$A$47,K262))),설정!$B$47,IF(AND(설정!$A$48&lt;&gt;"",ISNUMBER(SEARCH(설정!$A$48,K262))),설정!$B$48,IF(M262="","설계사","시공사"))))))))),"")</f>
        <v/>
      </c>
      <c r="V262">
        <f>SUBSTITUTE(SUBSTITUTE(SUBSTITUTE(SUBSTITUTE(G262,"(주)",""),"㈜",""),"주식회사","")," ","")</f>
        <v/>
      </c>
      <c r="W262">
        <f>IF(AND(T262,V262&lt;&gt;""),IF(COUNTIFS(V$2:V262,V262,T$2:T262,TRUE)=1,MAX(W$1:W261)+1,""),"")</f>
        <v/>
      </c>
      <c r="X262">
        <f>IFERROR(INDEX('1.산군_붙여넣기'!$A$1:$AZ$1001,ROW(),설정!$C$14)&amp;"","")</f>
        <v/>
      </c>
      <c r="Y262">
        <f>IFERROR(INDEX('1.산군_붙여넣기'!$A$1:$AZ$1001,ROW(),설정!$C$15)&amp;"","")</f>
        <v/>
      </c>
      <c r="Z262">
        <f>IF(T262,V262&amp;"|"&amp;U262,"")</f>
        <v/>
      </c>
    </row>
    <row r="263">
      <c r="A263">
        <f>ROW()</f>
        <v/>
      </c>
      <c r="B263">
        <f>IFERROR(INDEX('1.산군_붙여넣기'!$A$1:$AZ$1001,ROW(),설정!$C$4)&amp;"","")</f>
        <v/>
      </c>
      <c r="C263">
        <f>IFERROR(INDEX('1.산군_붙여넣기'!$A$1:$AZ$1001,ROW(),설정!$C$5)&amp;"","")</f>
        <v/>
      </c>
      <c r="D263" s="5">
        <f>IFERROR(VALUE(SUBSTITUTE(SUBSTITUTE(SUBSTITUTE(IFERROR(INDEX('1.산군_붙여넣기'!$A$1:$AZ$1001,ROW(),설정!$C$6)&amp;"",""),",",""),"㎡",""),"m2","")),"")</f>
        <v/>
      </c>
      <c r="E263">
        <f>IFERROR(INDEX('1.산군_붙여넣기'!$A$1:$AZ$1001,ROW(),설정!$C$7)&amp;"","")</f>
        <v/>
      </c>
      <c r="F263">
        <f>IFERROR(INDEX('1.산군_붙여넣기'!$A$1:$AZ$1001,ROW(),설정!$C$8)&amp;"","")</f>
        <v/>
      </c>
      <c r="G263">
        <f>IFERROR(INDEX('1.산군_붙여넣기'!$A$1:$AZ$1001,ROW(),설정!$C$9)&amp;"","")</f>
        <v/>
      </c>
      <c r="H263">
        <f>IFERROR(INDEX('1.산군_붙여넣기'!$A$1:$AZ$1001,ROW(),설정!$C$10)&amp;"","")</f>
        <v/>
      </c>
      <c r="I263">
        <f>IFERROR(INDEX('1.산군_붙여넣기'!$A$1:$AZ$1001,ROW(),설정!$C$11)&amp;"","")</f>
        <v/>
      </c>
      <c r="J263">
        <f>IFERROR(INDEX('1.산군_붙여넣기'!$A$1:$AZ$1001,ROW(),설정!$C$12)&amp;"","")</f>
        <v/>
      </c>
      <c r="K263">
        <f>IFERROR(INDEX('1.산군_붙여넣기'!$A$1:$AZ$1001,ROW(),설정!$C$13)&amp;"","")</f>
        <v/>
      </c>
      <c r="L263" s="6">
        <f>IF(X263="","",IF(AND(LEN(X263)=8,ISNUMBER(X263*1)),DATE(LEFT(X263,4),MID(X263,5,2),RIGHT(X263,2)),IFERROR(DATEVALUE(SUBSTITUTE(SUBSTITUTE(X263,".","-"),"/","-")),IFERROR(X263*1,""))))</f>
        <v/>
      </c>
      <c r="M263" s="6">
        <f>IF(Y263="","",IF(AND(LEN(Y263)=8,ISNUMBER(Y263*1)),DATE(LEFT(Y263,4),MID(Y263,5,2),RIGHT(Y263,2)),IFERROR(DATEVALUE(SUBSTITUTE(SUBSTITUTE(Y263,".","-"),"/","-")),IFERROR(Y263*1,""))))</f>
        <v/>
      </c>
      <c r="N263">
        <f>IFERROR(LEFT(B263,FIND(" ",B263)-1),B263)</f>
        <v/>
      </c>
      <c r="O263">
        <f>AND(B263&lt;&gt;"",B263&lt;&gt;설정!$B$4,C263&lt;&gt;설정!$B$5)</f>
        <v/>
      </c>
      <c r="P263">
        <f>IF(O263,B263&amp;"|"&amp;C263,"")</f>
        <v/>
      </c>
      <c r="Q263">
        <f>AND(O263,COUNTIF(P264:P$1002,P263)=0)</f>
        <v/>
      </c>
      <c r="R263">
        <f>OR(AND(설정!$A$28&lt;&gt;"",ISNUMBER(SEARCH(설정!$A$28,E263&amp;" "&amp;C263))),AND(설정!$A$29&lt;&gt;"",ISNUMBER(SEARCH(설정!$A$29,E263&amp;" "&amp;C263))),AND(설정!$A$30&lt;&gt;"",ISNUMBER(SEARCH(설정!$A$30,E263&amp;" "&amp;C263))),AND(설정!$A$31&lt;&gt;"",ISNUMBER(SEARCH(설정!$A$31,E263&amp;" "&amp;C263))),AND(설정!$A$32&lt;&gt;"",ISNUMBER(SEARCH(설정!$A$32,E263&amp;" "&amp;C263))),AND(설정!$A$33&lt;&gt;"",ISNUMBER(SEARCH(설정!$A$33,E263&amp;" "&amp;C263))),AND(설정!$A$34&lt;&gt;"",ISNUMBER(SEARCH(설정!$A$34,E263&amp;" "&amp;C263))),AND(설정!$A$35&lt;&gt;"",ISNUMBER(SEARCH(설정!$A$35,E263&amp;" "&amp;C263))),AND(설정!$A$36&lt;&gt;"",ISNUMBER(SEARCH(설정!$A$36,E263&amp;" "&amp;C263))),AND(설정!$A$37&lt;&gt;"",ISNUMBER(SEARCH(설정!$A$37,E263&amp;" "&amp;C263))))</f>
        <v/>
      </c>
      <c r="S263">
        <f>OR(D263="",D263&gt;=설정!$B$19)</f>
        <v/>
      </c>
      <c r="T263">
        <f>AND(Q263,R263,S263)</f>
        <v/>
      </c>
      <c r="U263">
        <f>IF(T263,IF(AND(설정!$A$41&lt;&gt;"",ISNUMBER(SEARCH(설정!$A$41,K263))),설정!$B$41,IF(AND(설정!$A$42&lt;&gt;"",ISNUMBER(SEARCH(설정!$A$42,K263))),설정!$B$42,IF(AND(설정!$A$43&lt;&gt;"",ISNUMBER(SEARCH(설정!$A$43,K263))),설정!$B$43,IF(AND(설정!$A$44&lt;&gt;"",ISNUMBER(SEARCH(설정!$A$44,K263))),설정!$B$44,IF(AND(설정!$A$45&lt;&gt;"",ISNUMBER(SEARCH(설정!$A$45,K263))),설정!$B$45,IF(AND(설정!$A$46&lt;&gt;"",ISNUMBER(SEARCH(설정!$A$46,K263))),설정!$B$46,IF(AND(설정!$A$47&lt;&gt;"",ISNUMBER(SEARCH(설정!$A$47,K263))),설정!$B$47,IF(AND(설정!$A$48&lt;&gt;"",ISNUMBER(SEARCH(설정!$A$48,K263))),설정!$B$48,IF(M263="","설계사","시공사"))))))))),"")</f>
        <v/>
      </c>
      <c r="V263">
        <f>SUBSTITUTE(SUBSTITUTE(SUBSTITUTE(SUBSTITUTE(G263,"(주)",""),"㈜",""),"주식회사","")," ","")</f>
        <v/>
      </c>
      <c r="W263">
        <f>IF(AND(T263,V263&lt;&gt;""),IF(COUNTIFS(V$2:V263,V263,T$2:T263,TRUE)=1,MAX(W$1:W262)+1,""),"")</f>
        <v/>
      </c>
      <c r="X263">
        <f>IFERROR(INDEX('1.산군_붙여넣기'!$A$1:$AZ$1001,ROW(),설정!$C$14)&amp;"","")</f>
        <v/>
      </c>
      <c r="Y263">
        <f>IFERROR(INDEX('1.산군_붙여넣기'!$A$1:$AZ$1001,ROW(),설정!$C$15)&amp;"","")</f>
        <v/>
      </c>
      <c r="Z263">
        <f>IF(T263,V263&amp;"|"&amp;U263,"")</f>
        <v/>
      </c>
    </row>
    <row r="264">
      <c r="A264">
        <f>ROW()</f>
        <v/>
      </c>
      <c r="B264">
        <f>IFERROR(INDEX('1.산군_붙여넣기'!$A$1:$AZ$1001,ROW(),설정!$C$4)&amp;"","")</f>
        <v/>
      </c>
      <c r="C264">
        <f>IFERROR(INDEX('1.산군_붙여넣기'!$A$1:$AZ$1001,ROW(),설정!$C$5)&amp;"","")</f>
        <v/>
      </c>
      <c r="D264" s="5">
        <f>IFERROR(VALUE(SUBSTITUTE(SUBSTITUTE(SUBSTITUTE(IFERROR(INDEX('1.산군_붙여넣기'!$A$1:$AZ$1001,ROW(),설정!$C$6)&amp;"",""),",",""),"㎡",""),"m2","")),"")</f>
        <v/>
      </c>
      <c r="E264">
        <f>IFERROR(INDEX('1.산군_붙여넣기'!$A$1:$AZ$1001,ROW(),설정!$C$7)&amp;"","")</f>
        <v/>
      </c>
      <c r="F264">
        <f>IFERROR(INDEX('1.산군_붙여넣기'!$A$1:$AZ$1001,ROW(),설정!$C$8)&amp;"","")</f>
        <v/>
      </c>
      <c r="G264">
        <f>IFERROR(INDEX('1.산군_붙여넣기'!$A$1:$AZ$1001,ROW(),설정!$C$9)&amp;"","")</f>
        <v/>
      </c>
      <c r="H264">
        <f>IFERROR(INDEX('1.산군_붙여넣기'!$A$1:$AZ$1001,ROW(),설정!$C$10)&amp;"","")</f>
        <v/>
      </c>
      <c r="I264">
        <f>IFERROR(INDEX('1.산군_붙여넣기'!$A$1:$AZ$1001,ROW(),설정!$C$11)&amp;"","")</f>
        <v/>
      </c>
      <c r="J264">
        <f>IFERROR(INDEX('1.산군_붙여넣기'!$A$1:$AZ$1001,ROW(),설정!$C$12)&amp;"","")</f>
        <v/>
      </c>
      <c r="K264">
        <f>IFERROR(INDEX('1.산군_붙여넣기'!$A$1:$AZ$1001,ROW(),설정!$C$13)&amp;"","")</f>
        <v/>
      </c>
      <c r="L264" s="6">
        <f>IF(X264="","",IF(AND(LEN(X264)=8,ISNUMBER(X264*1)),DATE(LEFT(X264,4),MID(X264,5,2),RIGHT(X264,2)),IFERROR(DATEVALUE(SUBSTITUTE(SUBSTITUTE(X264,".","-"),"/","-")),IFERROR(X264*1,""))))</f>
        <v/>
      </c>
      <c r="M264" s="6">
        <f>IF(Y264="","",IF(AND(LEN(Y264)=8,ISNUMBER(Y264*1)),DATE(LEFT(Y264,4),MID(Y264,5,2),RIGHT(Y264,2)),IFERROR(DATEVALUE(SUBSTITUTE(SUBSTITUTE(Y264,".","-"),"/","-")),IFERROR(Y264*1,""))))</f>
        <v/>
      </c>
      <c r="N264">
        <f>IFERROR(LEFT(B264,FIND(" ",B264)-1),B264)</f>
        <v/>
      </c>
      <c r="O264">
        <f>AND(B264&lt;&gt;"",B264&lt;&gt;설정!$B$4,C264&lt;&gt;설정!$B$5)</f>
        <v/>
      </c>
      <c r="P264">
        <f>IF(O264,B264&amp;"|"&amp;C264,"")</f>
        <v/>
      </c>
      <c r="Q264">
        <f>AND(O264,COUNTIF(P265:P$1002,P264)=0)</f>
        <v/>
      </c>
      <c r="R264">
        <f>OR(AND(설정!$A$28&lt;&gt;"",ISNUMBER(SEARCH(설정!$A$28,E264&amp;" "&amp;C264))),AND(설정!$A$29&lt;&gt;"",ISNUMBER(SEARCH(설정!$A$29,E264&amp;" "&amp;C264))),AND(설정!$A$30&lt;&gt;"",ISNUMBER(SEARCH(설정!$A$30,E264&amp;" "&amp;C264))),AND(설정!$A$31&lt;&gt;"",ISNUMBER(SEARCH(설정!$A$31,E264&amp;" "&amp;C264))),AND(설정!$A$32&lt;&gt;"",ISNUMBER(SEARCH(설정!$A$32,E264&amp;" "&amp;C264))),AND(설정!$A$33&lt;&gt;"",ISNUMBER(SEARCH(설정!$A$33,E264&amp;" "&amp;C264))),AND(설정!$A$34&lt;&gt;"",ISNUMBER(SEARCH(설정!$A$34,E264&amp;" "&amp;C264))),AND(설정!$A$35&lt;&gt;"",ISNUMBER(SEARCH(설정!$A$35,E264&amp;" "&amp;C264))),AND(설정!$A$36&lt;&gt;"",ISNUMBER(SEARCH(설정!$A$36,E264&amp;" "&amp;C264))),AND(설정!$A$37&lt;&gt;"",ISNUMBER(SEARCH(설정!$A$37,E264&amp;" "&amp;C264))))</f>
        <v/>
      </c>
      <c r="S264">
        <f>OR(D264="",D264&gt;=설정!$B$19)</f>
        <v/>
      </c>
      <c r="T264">
        <f>AND(Q264,R264,S264)</f>
        <v/>
      </c>
      <c r="U264">
        <f>IF(T264,IF(AND(설정!$A$41&lt;&gt;"",ISNUMBER(SEARCH(설정!$A$41,K264))),설정!$B$41,IF(AND(설정!$A$42&lt;&gt;"",ISNUMBER(SEARCH(설정!$A$42,K264))),설정!$B$42,IF(AND(설정!$A$43&lt;&gt;"",ISNUMBER(SEARCH(설정!$A$43,K264))),설정!$B$43,IF(AND(설정!$A$44&lt;&gt;"",ISNUMBER(SEARCH(설정!$A$44,K264))),설정!$B$44,IF(AND(설정!$A$45&lt;&gt;"",ISNUMBER(SEARCH(설정!$A$45,K264))),설정!$B$45,IF(AND(설정!$A$46&lt;&gt;"",ISNUMBER(SEARCH(설정!$A$46,K264))),설정!$B$46,IF(AND(설정!$A$47&lt;&gt;"",ISNUMBER(SEARCH(설정!$A$47,K264))),설정!$B$47,IF(AND(설정!$A$48&lt;&gt;"",ISNUMBER(SEARCH(설정!$A$48,K264))),설정!$B$48,IF(M264="","설계사","시공사"))))))))),"")</f>
        <v/>
      </c>
      <c r="V264">
        <f>SUBSTITUTE(SUBSTITUTE(SUBSTITUTE(SUBSTITUTE(G264,"(주)",""),"㈜",""),"주식회사","")," ","")</f>
        <v/>
      </c>
      <c r="W264">
        <f>IF(AND(T264,V264&lt;&gt;""),IF(COUNTIFS(V$2:V264,V264,T$2:T264,TRUE)=1,MAX(W$1:W263)+1,""),"")</f>
        <v/>
      </c>
      <c r="X264">
        <f>IFERROR(INDEX('1.산군_붙여넣기'!$A$1:$AZ$1001,ROW(),설정!$C$14)&amp;"","")</f>
        <v/>
      </c>
      <c r="Y264">
        <f>IFERROR(INDEX('1.산군_붙여넣기'!$A$1:$AZ$1001,ROW(),설정!$C$15)&amp;"","")</f>
        <v/>
      </c>
      <c r="Z264">
        <f>IF(T264,V264&amp;"|"&amp;U264,"")</f>
        <v/>
      </c>
    </row>
    <row r="265">
      <c r="A265">
        <f>ROW()</f>
        <v/>
      </c>
      <c r="B265">
        <f>IFERROR(INDEX('1.산군_붙여넣기'!$A$1:$AZ$1001,ROW(),설정!$C$4)&amp;"","")</f>
        <v/>
      </c>
      <c r="C265">
        <f>IFERROR(INDEX('1.산군_붙여넣기'!$A$1:$AZ$1001,ROW(),설정!$C$5)&amp;"","")</f>
        <v/>
      </c>
      <c r="D265" s="5">
        <f>IFERROR(VALUE(SUBSTITUTE(SUBSTITUTE(SUBSTITUTE(IFERROR(INDEX('1.산군_붙여넣기'!$A$1:$AZ$1001,ROW(),설정!$C$6)&amp;"",""),",",""),"㎡",""),"m2","")),"")</f>
        <v/>
      </c>
      <c r="E265">
        <f>IFERROR(INDEX('1.산군_붙여넣기'!$A$1:$AZ$1001,ROW(),설정!$C$7)&amp;"","")</f>
        <v/>
      </c>
      <c r="F265">
        <f>IFERROR(INDEX('1.산군_붙여넣기'!$A$1:$AZ$1001,ROW(),설정!$C$8)&amp;"","")</f>
        <v/>
      </c>
      <c r="G265">
        <f>IFERROR(INDEX('1.산군_붙여넣기'!$A$1:$AZ$1001,ROW(),설정!$C$9)&amp;"","")</f>
        <v/>
      </c>
      <c r="H265">
        <f>IFERROR(INDEX('1.산군_붙여넣기'!$A$1:$AZ$1001,ROW(),설정!$C$10)&amp;"","")</f>
        <v/>
      </c>
      <c r="I265">
        <f>IFERROR(INDEX('1.산군_붙여넣기'!$A$1:$AZ$1001,ROW(),설정!$C$11)&amp;"","")</f>
        <v/>
      </c>
      <c r="J265">
        <f>IFERROR(INDEX('1.산군_붙여넣기'!$A$1:$AZ$1001,ROW(),설정!$C$12)&amp;"","")</f>
        <v/>
      </c>
      <c r="K265">
        <f>IFERROR(INDEX('1.산군_붙여넣기'!$A$1:$AZ$1001,ROW(),설정!$C$13)&amp;"","")</f>
        <v/>
      </c>
      <c r="L265" s="6">
        <f>IF(X265="","",IF(AND(LEN(X265)=8,ISNUMBER(X265*1)),DATE(LEFT(X265,4),MID(X265,5,2),RIGHT(X265,2)),IFERROR(DATEVALUE(SUBSTITUTE(SUBSTITUTE(X265,".","-"),"/","-")),IFERROR(X265*1,""))))</f>
        <v/>
      </c>
      <c r="M265" s="6">
        <f>IF(Y265="","",IF(AND(LEN(Y265)=8,ISNUMBER(Y265*1)),DATE(LEFT(Y265,4),MID(Y265,5,2),RIGHT(Y265,2)),IFERROR(DATEVALUE(SUBSTITUTE(SUBSTITUTE(Y265,".","-"),"/","-")),IFERROR(Y265*1,""))))</f>
        <v/>
      </c>
      <c r="N265">
        <f>IFERROR(LEFT(B265,FIND(" ",B265)-1),B265)</f>
        <v/>
      </c>
      <c r="O265">
        <f>AND(B265&lt;&gt;"",B265&lt;&gt;설정!$B$4,C265&lt;&gt;설정!$B$5)</f>
        <v/>
      </c>
      <c r="P265">
        <f>IF(O265,B265&amp;"|"&amp;C265,"")</f>
        <v/>
      </c>
      <c r="Q265">
        <f>AND(O265,COUNTIF(P266:P$1002,P265)=0)</f>
        <v/>
      </c>
      <c r="R265">
        <f>OR(AND(설정!$A$28&lt;&gt;"",ISNUMBER(SEARCH(설정!$A$28,E265&amp;" "&amp;C265))),AND(설정!$A$29&lt;&gt;"",ISNUMBER(SEARCH(설정!$A$29,E265&amp;" "&amp;C265))),AND(설정!$A$30&lt;&gt;"",ISNUMBER(SEARCH(설정!$A$30,E265&amp;" "&amp;C265))),AND(설정!$A$31&lt;&gt;"",ISNUMBER(SEARCH(설정!$A$31,E265&amp;" "&amp;C265))),AND(설정!$A$32&lt;&gt;"",ISNUMBER(SEARCH(설정!$A$32,E265&amp;" "&amp;C265))),AND(설정!$A$33&lt;&gt;"",ISNUMBER(SEARCH(설정!$A$33,E265&amp;" "&amp;C265))),AND(설정!$A$34&lt;&gt;"",ISNUMBER(SEARCH(설정!$A$34,E265&amp;" "&amp;C265))),AND(설정!$A$35&lt;&gt;"",ISNUMBER(SEARCH(설정!$A$35,E265&amp;" "&amp;C265))),AND(설정!$A$36&lt;&gt;"",ISNUMBER(SEARCH(설정!$A$36,E265&amp;" "&amp;C265))),AND(설정!$A$37&lt;&gt;"",ISNUMBER(SEARCH(설정!$A$37,E265&amp;" "&amp;C265))))</f>
        <v/>
      </c>
      <c r="S265">
        <f>OR(D265="",D265&gt;=설정!$B$19)</f>
        <v/>
      </c>
      <c r="T265">
        <f>AND(Q265,R265,S265)</f>
        <v/>
      </c>
      <c r="U265">
        <f>IF(T265,IF(AND(설정!$A$41&lt;&gt;"",ISNUMBER(SEARCH(설정!$A$41,K265))),설정!$B$41,IF(AND(설정!$A$42&lt;&gt;"",ISNUMBER(SEARCH(설정!$A$42,K265))),설정!$B$42,IF(AND(설정!$A$43&lt;&gt;"",ISNUMBER(SEARCH(설정!$A$43,K265))),설정!$B$43,IF(AND(설정!$A$44&lt;&gt;"",ISNUMBER(SEARCH(설정!$A$44,K265))),설정!$B$44,IF(AND(설정!$A$45&lt;&gt;"",ISNUMBER(SEARCH(설정!$A$45,K265))),설정!$B$45,IF(AND(설정!$A$46&lt;&gt;"",ISNUMBER(SEARCH(설정!$A$46,K265))),설정!$B$46,IF(AND(설정!$A$47&lt;&gt;"",ISNUMBER(SEARCH(설정!$A$47,K265))),설정!$B$47,IF(AND(설정!$A$48&lt;&gt;"",ISNUMBER(SEARCH(설정!$A$48,K265))),설정!$B$48,IF(M265="","설계사","시공사"))))))))),"")</f>
        <v/>
      </c>
      <c r="V265">
        <f>SUBSTITUTE(SUBSTITUTE(SUBSTITUTE(SUBSTITUTE(G265,"(주)",""),"㈜",""),"주식회사","")," ","")</f>
        <v/>
      </c>
      <c r="W265">
        <f>IF(AND(T265,V265&lt;&gt;""),IF(COUNTIFS(V$2:V265,V265,T$2:T265,TRUE)=1,MAX(W$1:W264)+1,""),"")</f>
        <v/>
      </c>
      <c r="X265">
        <f>IFERROR(INDEX('1.산군_붙여넣기'!$A$1:$AZ$1001,ROW(),설정!$C$14)&amp;"","")</f>
        <v/>
      </c>
      <c r="Y265">
        <f>IFERROR(INDEX('1.산군_붙여넣기'!$A$1:$AZ$1001,ROW(),설정!$C$15)&amp;"","")</f>
        <v/>
      </c>
      <c r="Z265">
        <f>IF(T265,V265&amp;"|"&amp;U265,"")</f>
        <v/>
      </c>
    </row>
    <row r="266">
      <c r="A266">
        <f>ROW()</f>
        <v/>
      </c>
      <c r="B266">
        <f>IFERROR(INDEX('1.산군_붙여넣기'!$A$1:$AZ$1001,ROW(),설정!$C$4)&amp;"","")</f>
        <v/>
      </c>
      <c r="C266">
        <f>IFERROR(INDEX('1.산군_붙여넣기'!$A$1:$AZ$1001,ROW(),설정!$C$5)&amp;"","")</f>
        <v/>
      </c>
      <c r="D266" s="5">
        <f>IFERROR(VALUE(SUBSTITUTE(SUBSTITUTE(SUBSTITUTE(IFERROR(INDEX('1.산군_붙여넣기'!$A$1:$AZ$1001,ROW(),설정!$C$6)&amp;"",""),",",""),"㎡",""),"m2","")),"")</f>
        <v/>
      </c>
      <c r="E266">
        <f>IFERROR(INDEX('1.산군_붙여넣기'!$A$1:$AZ$1001,ROW(),설정!$C$7)&amp;"","")</f>
        <v/>
      </c>
      <c r="F266">
        <f>IFERROR(INDEX('1.산군_붙여넣기'!$A$1:$AZ$1001,ROW(),설정!$C$8)&amp;"","")</f>
        <v/>
      </c>
      <c r="G266">
        <f>IFERROR(INDEX('1.산군_붙여넣기'!$A$1:$AZ$1001,ROW(),설정!$C$9)&amp;"","")</f>
        <v/>
      </c>
      <c r="H266">
        <f>IFERROR(INDEX('1.산군_붙여넣기'!$A$1:$AZ$1001,ROW(),설정!$C$10)&amp;"","")</f>
        <v/>
      </c>
      <c r="I266">
        <f>IFERROR(INDEX('1.산군_붙여넣기'!$A$1:$AZ$1001,ROW(),설정!$C$11)&amp;"","")</f>
        <v/>
      </c>
      <c r="J266">
        <f>IFERROR(INDEX('1.산군_붙여넣기'!$A$1:$AZ$1001,ROW(),설정!$C$12)&amp;"","")</f>
        <v/>
      </c>
      <c r="K266">
        <f>IFERROR(INDEX('1.산군_붙여넣기'!$A$1:$AZ$1001,ROW(),설정!$C$13)&amp;"","")</f>
        <v/>
      </c>
      <c r="L266" s="6">
        <f>IF(X266="","",IF(AND(LEN(X266)=8,ISNUMBER(X266*1)),DATE(LEFT(X266,4),MID(X266,5,2),RIGHT(X266,2)),IFERROR(DATEVALUE(SUBSTITUTE(SUBSTITUTE(X266,".","-"),"/","-")),IFERROR(X266*1,""))))</f>
        <v/>
      </c>
      <c r="M266" s="6">
        <f>IF(Y266="","",IF(AND(LEN(Y266)=8,ISNUMBER(Y266*1)),DATE(LEFT(Y266,4),MID(Y266,5,2),RIGHT(Y266,2)),IFERROR(DATEVALUE(SUBSTITUTE(SUBSTITUTE(Y266,".","-"),"/","-")),IFERROR(Y266*1,""))))</f>
        <v/>
      </c>
      <c r="N266">
        <f>IFERROR(LEFT(B266,FIND(" ",B266)-1),B266)</f>
        <v/>
      </c>
      <c r="O266">
        <f>AND(B266&lt;&gt;"",B266&lt;&gt;설정!$B$4,C266&lt;&gt;설정!$B$5)</f>
        <v/>
      </c>
      <c r="P266">
        <f>IF(O266,B266&amp;"|"&amp;C266,"")</f>
        <v/>
      </c>
      <c r="Q266">
        <f>AND(O266,COUNTIF(P267:P$1002,P266)=0)</f>
        <v/>
      </c>
      <c r="R266">
        <f>OR(AND(설정!$A$28&lt;&gt;"",ISNUMBER(SEARCH(설정!$A$28,E266&amp;" "&amp;C266))),AND(설정!$A$29&lt;&gt;"",ISNUMBER(SEARCH(설정!$A$29,E266&amp;" "&amp;C266))),AND(설정!$A$30&lt;&gt;"",ISNUMBER(SEARCH(설정!$A$30,E266&amp;" "&amp;C266))),AND(설정!$A$31&lt;&gt;"",ISNUMBER(SEARCH(설정!$A$31,E266&amp;" "&amp;C266))),AND(설정!$A$32&lt;&gt;"",ISNUMBER(SEARCH(설정!$A$32,E266&amp;" "&amp;C266))),AND(설정!$A$33&lt;&gt;"",ISNUMBER(SEARCH(설정!$A$33,E266&amp;" "&amp;C266))),AND(설정!$A$34&lt;&gt;"",ISNUMBER(SEARCH(설정!$A$34,E266&amp;" "&amp;C266))),AND(설정!$A$35&lt;&gt;"",ISNUMBER(SEARCH(설정!$A$35,E266&amp;" "&amp;C266))),AND(설정!$A$36&lt;&gt;"",ISNUMBER(SEARCH(설정!$A$36,E266&amp;" "&amp;C266))),AND(설정!$A$37&lt;&gt;"",ISNUMBER(SEARCH(설정!$A$37,E266&amp;" "&amp;C266))))</f>
        <v/>
      </c>
      <c r="S266">
        <f>OR(D266="",D266&gt;=설정!$B$19)</f>
        <v/>
      </c>
      <c r="T266">
        <f>AND(Q266,R266,S266)</f>
        <v/>
      </c>
      <c r="U266">
        <f>IF(T266,IF(AND(설정!$A$41&lt;&gt;"",ISNUMBER(SEARCH(설정!$A$41,K266))),설정!$B$41,IF(AND(설정!$A$42&lt;&gt;"",ISNUMBER(SEARCH(설정!$A$42,K266))),설정!$B$42,IF(AND(설정!$A$43&lt;&gt;"",ISNUMBER(SEARCH(설정!$A$43,K266))),설정!$B$43,IF(AND(설정!$A$44&lt;&gt;"",ISNUMBER(SEARCH(설정!$A$44,K266))),설정!$B$44,IF(AND(설정!$A$45&lt;&gt;"",ISNUMBER(SEARCH(설정!$A$45,K266))),설정!$B$45,IF(AND(설정!$A$46&lt;&gt;"",ISNUMBER(SEARCH(설정!$A$46,K266))),설정!$B$46,IF(AND(설정!$A$47&lt;&gt;"",ISNUMBER(SEARCH(설정!$A$47,K266))),설정!$B$47,IF(AND(설정!$A$48&lt;&gt;"",ISNUMBER(SEARCH(설정!$A$48,K266))),설정!$B$48,IF(M266="","설계사","시공사"))))))))),"")</f>
        <v/>
      </c>
      <c r="V266">
        <f>SUBSTITUTE(SUBSTITUTE(SUBSTITUTE(SUBSTITUTE(G266,"(주)",""),"㈜",""),"주식회사","")," ","")</f>
        <v/>
      </c>
      <c r="W266">
        <f>IF(AND(T266,V266&lt;&gt;""),IF(COUNTIFS(V$2:V266,V266,T$2:T266,TRUE)=1,MAX(W$1:W265)+1,""),"")</f>
        <v/>
      </c>
      <c r="X266">
        <f>IFERROR(INDEX('1.산군_붙여넣기'!$A$1:$AZ$1001,ROW(),설정!$C$14)&amp;"","")</f>
        <v/>
      </c>
      <c r="Y266">
        <f>IFERROR(INDEX('1.산군_붙여넣기'!$A$1:$AZ$1001,ROW(),설정!$C$15)&amp;"","")</f>
        <v/>
      </c>
      <c r="Z266">
        <f>IF(T266,V266&amp;"|"&amp;U266,"")</f>
        <v/>
      </c>
    </row>
    <row r="267">
      <c r="A267">
        <f>ROW()</f>
        <v/>
      </c>
      <c r="B267">
        <f>IFERROR(INDEX('1.산군_붙여넣기'!$A$1:$AZ$1001,ROW(),설정!$C$4)&amp;"","")</f>
        <v/>
      </c>
      <c r="C267">
        <f>IFERROR(INDEX('1.산군_붙여넣기'!$A$1:$AZ$1001,ROW(),설정!$C$5)&amp;"","")</f>
        <v/>
      </c>
      <c r="D267" s="5">
        <f>IFERROR(VALUE(SUBSTITUTE(SUBSTITUTE(SUBSTITUTE(IFERROR(INDEX('1.산군_붙여넣기'!$A$1:$AZ$1001,ROW(),설정!$C$6)&amp;"",""),",",""),"㎡",""),"m2","")),"")</f>
        <v/>
      </c>
      <c r="E267">
        <f>IFERROR(INDEX('1.산군_붙여넣기'!$A$1:$AZ$1001,ROW(),설정!$C$7)&amp;"","")</f>
        <v/>
      </c>
      <c r="F267">
        <f>IFERROR(INDEX('1.산군_붙여넣기'!$A$1:$AZ$1001,ROW(),설정!$C$8)&amp;"","")</f>
        <v/>
      </c>
      <c r="G267">
        <f>IFERROR(INDEX('1.산군_붙여넣기'!$A$1:$AZ$1001,ROW(),설정!$C$9)&amp;"","")</f>
        <v/>
      </c>
      <c r="H267">
        <f>IFERROR(INDEX('1.산군_붙여넣기'!$A$1:$AZ$1001,ROW(),설정!$C$10)&amp;"","")</f>
        <v/>
      </c>
      <c r="I267">
        <f>IFERROR(INDEX('1.산군_붙여넣기'!$A$1:$AZ$1001,ROW(),설정!$C$11)&amp;"","")</f>
        <v/>
      </c>
      <c r="J267">
        <f>IFERROR(INDEX('1.산군_붙여넣기'!$A$1:$AZ$1001,ROW(),설정!$C$12)&amp;"","")</f>
        <v/>
      </c>
      <c r="K267">
        <f>IFERROR(INDEX('1.산군_붙여넣기'!$A$1:$AZ$1001,ROW(),설정!$C$13)&amp;"","")</f>
        <v/>
      </c>
      <c r="L267" s="6">
        <f>IF(X267="","",IF(AND(LEN(X267)=8,ISNUMBER(X267*1)),DATE(LEFT(X267,4),MID(X267,5,2),RIGHT(X267,2)),IFERROR(DATEVALUE(SUBSTITUTE(SUBSTITUTE(X267,".","-"),"/","-")),IFERROR(X267*1,""))))</f>
        <v/>
      </c>
      <c r="M267" s="6">
        <f>IF(Y267="","",IF(AND(LEN(Y267)=8,ISNUMBER(Y267*1)),DATE(LEFT(Y267,4),MID(Y267,5,2),RIGHT(Y267,2)),IFERROR(DATEVALUE(SUBSTITUTE(SUBSTITUTE(Y267,".","-"),"/","-")),IFERROR(Y267*1,""))))</f>
        <v/>
      </c>
      <c r="N267">
        <f>IFERROR(LEFT(B267,FIND(" ",B267)-1),B267)</f>
        <v/>
      </c>
      <c r="O267">
        <f>AND(B267&lt;&gt;"",B267&lt;&gt;설정!$B$4,C267&lt;&gt;설정!$B$5)</f>
        <v/>
      </c>
      <c r="P267">
        <f>IF(O267,B267&amp;"|"&amp;C267,"")</f>
        <v/>
      </c>
      <c r="Q267">
        <f>AND(O267,COUNTIF(P268:P$1002,P267)=0)</f>
        <v/>
      </c>
      <c r="R267">
        <f>OR(AND(설정!$A$28&lt;&gt;"",ISNUMBER(SEARCH(설정!$A$28,E267&amp;" "&amp;C267))),AND(설정!$A$29&lt;&gt;"",ISNUMBER(SEARCH(설정!$A$29,E267&amp;" "&amp;C267))),AND(설정!$A$30&lt;&gt;"",ISNUMBER(SEARCH(설정!$A$30,E267&amp;" "&amp;C267))),AND(설정!$A$31&lt;&gt;"",ISNUMBER(SEARCH(설정!$A$31,E267&amp;" "&amp;C267))),AND(설정!$A$32&lt;&gt;"",ISNUMBER(SEARCH(설정!$A$32,E267&amp;" "&amp;C267))),AND(설정!$A$33&lt;&gt;"",ISNUMBER(SEARCH(설정!$A$33,E267&amp;" "&amp;C267))),AND(설정!$A$34&lt;&gt;"",ISNUMBER(SEARCH(설정!$A$34,E267&amp;" "&amp;C267))),AND(설정!$A$35&lt;&gt;"",ISNUMBER(SEARCH(설정!$A$35,E267&amp;" "&amp;C267))),AND(설정!$A$36&lt;&gt;"",ISNUMBER(SEARCH(설정!$A$36,E267&amp;" "&amp;C267))),AND(설정!$A$37&lt;&gt;"",ISNUMBER(SEARCH(설정!$A$37,E267&amp;" "&amp;C267))))</f>
        <v/>
      </c>
      <c r="S267">
        <f>OR(D267="",D267&gt;=설정!$B$19)</f>
        <v/>
      </c>
      <c r="T267">
        <f>AND(Q267,R267,S267)</f>
        <v/>
      </c>
      <c r="U267">
        <f>IF(T267,IF(AND(설정!$A$41&lt;&gt;"",ISNUMBER(SEARCH(설정!$A$41,K267))),설정!$B$41,IF(AND(설정!$A$42&lt;&gt;"",ISNUMBER(SEARCH(설정!$A$42,K267))),설정!$B$42,IF(AND(설정!$A$43&lt;&gt;"",ISNUMBER(SEARCH(설정!$A$43,K267))),설정!$B$43,IF(AND(설정!$A$44&lt;&gt;"",ISNUMBER(SEARCH(설정!$A$44,K267))),설정!$B$44,IF(AND(설정!$A$45&lt;&gt;"",ISNUMBER(SEARCH(설정!$A$45,K267))),설정!$B$45,IF(AND(설정!$A$46&lt;&gt;"",ISNUMBER(SEARCH(설정!$A$46,K267))),설정!$B$46,IF(AND(설정!$A$47&lt;&gt;"",ISNUMBER(SEARCH(설정!$A$47,K267))),설정!$B$47,IF(AND(설정!$A$48&lt;&gt;"",ISNUMBER(SEARCH(설정!$A$48,K267))),설정!$B$48,IF(M267="","설계사","시공사"))))))))),"")</f>
        <v/>
      </c>
      <c r="V267">
        <f>SUBSTITUTE(SUBSTITUTE(SUBSTITUTE(SUBSTITUTE(G267,"(주)",""),"㈜",""),"주식회사","")," ","")</f>
        <v/>
      </c>
      <c r="W267">
        <f>IF(AND(T267,V267&lt;&gt;""),IF(COUNTIFS(V$2:V267,V267,T$2:T267,TRUE)=1,MAX(W$1:W266)+1,""),"")</f>
        <v/>
      </c>
      <c r="X267">
        <f>IFERROR(INDEX('1.산군_붙여넣기'!$A$1:$AZ$1001,ROW(),설정!$C$14)&amp;"","")</f>
        <v/>
      </c>
      <c r="Y267">
        <f>IFERROR(INDEX('1.산군_붙여넣기'!$A$1:$AZ$1001,ROW(),설정!$C$15)&amp;"","")</f>
        <v/>
      </c>
      <c r="Z267">
        <f>IF(T267,V267&amp;"|"&amp;U267,"")</f>
        <v/>
      </c>
    </row>
    <row r="268">
      <c r="A268">
        <f>ROW()</f>
        <v/>
      </c>
      <c r="B268">
        <f>IFERROR(INDEX('1.산군_붙여넣기'!$A$1:$AZ$1001,ROW(),설정!$C$4)&amp;"","")</f>
        <v/>
      </c>
      <c r="C268">
        <f>IFERROR(INDEX('1.산군_붙여넣기'!$A$1:$AZ$1001,ROW(),설정!$C$5)&amp;"","")</f>
        <v/>
      </c>
      <c r="D268" s="5">
        <f>IFERROR(VALUE(SUBSTITUTE(SUBSTITUTE(SUBSTITUTE(IFERROR(INDEX('1.산군_붙여넣기'!$A$1:$AZ$1001,ROW(),설정!$C$6)&amp;"",""),",",""),"㎡",""),"m2","")),"")</f>
        <v/>
      </c>
      <c r="E268">
        <f>IFERROR(INDEX('1.산군_붙여넣기'!$A$1:$AZ$1001,ROW(),설정!$C$7)&amp;"","")</f>
        <v/>
      </c>
      <c r="F268">
        <f>IFERROR(INDEX('1.산군_붙여넣기'!$A$1:$AZ$1001,ROW(),설정!$C$8)&amp;"","")</f>
        <v/>
      </c>
      <c r="G268">
        <f>IFERROR(INDEX('1.산군_붙여넣기'!$A$1:$AZ$1001,ROW(),설정!$C$9)&amp;"","")</f>
        <v/>
      </c>
      <c r="H268">
        <f>IFERROR(INDEX('1.산군_붙여넣기'!$A$1:$AZ$1001,ROW(),설정!$C$10)&amp;"","")</f>
        <v/>
      </c>
      <c r="I268">
        <f>IFERROR(INDEX('1.산군_붙여넣기'!$A$1:$AZ$1001,ROW(),설정!$C$11)&amp;"","")</f>
        <v/>
      </c>
      <c r="J268">
        <f>IFERROR(INDEX('1.산군_붙여넣기'!$A$1:$AZ$1001,ROW(),설정!$C$12)&amp;"","")</f>
        <v/>
      </c>
      <c r="K268">
        <f>IFERROR(INDEX('1.산군_붙여넣기'!$A$1:$AZ$1001,ROW(),설정!$C$13)&amp;"","")</f>
        <v/>
      </c>
      <c r="L268" s="6">
        <f>IF(X268="","",IF(AND(LEN(X268)=8,ISNUMBER(X268*1)),DATE(LEFT(X268,4),MID(X268,5,2),RIGHT(X268,2)),IFERROR(DATEVALUE(SUBSTITUTE(SUBSTITUTE(X268,".","-"),"/","-")),IFERROR(X268*1,""))))</f>
        <v/>
      </c>
      <c r="M268" s="6">
        <f>IF(Y268="","",IF(AND(LEN(Y268)=8,ISNUMBER(Y268*1)),DATE(LEFT(Y268,4),MID(Y268,5,2),RIGHT(Y268,2)),IFERROR(DATEVALUE(SUBSTITUTE(SUBSTITUTE(Y268,".","-"),"/","-")),IFERROR(Y268*1,""))))</f>
        <v/>
      </c>
      <c r="N268">
        <f>IFERROR(LEFT(B268,FIND(" ",B268)-1),B268)</f>
        <v/>
      </c>
      <c r="O268">
        <f>AND(B268&lt;&gt;"",B268&lt;&gt;설정!$B$4,C268&lt;&gt;설정!$B$5)</f>
        <v/>
      </c>
      <c r="P268">
        <f>IF(O268,B268&amp;"|"&amp;C268,"")</f>
        <v/>
      </c>
      <c r="Q268">
        <f>AND(O268,COUNTIF(P269:P$1002,P268)=0)</f>
        <v/>
      </c>
      <c r="R268">
        <f>OR(AND(설정!$A$28&lt;&gt;"",ISNUMBER(SEARCH(설정!$A$28,E268&amp;" "&amp;C268))),AND(설정!$A$29&lt;&gt;"",ISNUMBER(SEARCH(설정!$A$29,E268&amp;" "&amp;C268))),AND(설정!$A$30&lt;&gt;"",ISNUMBER(SEARCH(설정!$A$30,E268&amp;" "&amp;C268))),AND(설정!$A$31&lt;&gt;"",ISNUMBER(SEARCH(설정!$A$31,E268&amp;" "&amp;C268))),AND(설정!$A$32&lt;&gt;"",ISNUMBER(SEARCH(설정!$A$32,E268&amp;" "&amp;C268))),AND(설정!$A$33&lt;&gt;"",ISNUMBER(SEARCH(설정!$A$33,E268&amp;" "&amp;C268))),AND(설정!$A$34&lt;&gt;"",ISNUMBER(SEARCH(설정!$A$34,E268&amp;" "&amp;C268))),AND(설정!$A$35&lt;&gt;"",ISNUMBER(SEARCH(설정!$A$35,E268&amp;" "&amp;C268))),AND(설정!$A$36&lt;&gt;"",ISNUMBER(SEARCH(설정!$A$36,E268&amp;" "&amp;C268))),AND(설정!$A$37&lt;&gt;"",ISNUMBER(SEARCH(설정!$A$37,E268&amp;" "&amp;C268))))</f>
        <v/>
      </c>
      <c r="S268">
        <f>OR(D268="",D268&gt;=설정!$B$19)</f>
        <v/>
      </c>
      <c r="T268">
        <f>AND(Q268,R268,S268)</f>
        <v/>
      </c>
      <c r="U268">
        <f>IF(T268,IF(AND(설정!$A$41&lt;&gt;"",ISNUMBER(SEARCH(설정!$A$41,K268))),설정!$B$41,IF(AND(설정!$A$42&lt;&gt;"",ISNUMBER(SEARCH(설정!$A$42,K268))),설정!$B$42,IF(AND(설정!$A$43&lt;&gt;"",ISNUMBER(SEARCH(설정!$A$43,K268))),설정!$B$43,IF(AND(설정!$A$44&lt;&gt;"",ISNUMBER(SEARCH(설정!$A$44,K268))),설정!$B$44,IF(AND(설정!$A$45&lt;&gt;"",ISNUMBER(SEARCH(설정!$A$45,K268))),설정!$B$45,IF(AND(설정!$A$46&lt;&gt;"",ISNUMBER(SEARCH(설정!$A$46,K268))),설정!$B$46,IF(AND(설정!$A$47&lt;&gt;"",ISNUMBER(SEARCH(설정!$A$47,K268))),설정!$B$47,IF(AND(설정!$A$48&lt;&gt;"",ISNUMBER(SEARCH(설정!$A$48,K268))),설정!$B$48,IF(M268="","설계사","시공사"))))))))),"")</f>
        <v/>
      </c>
      <c r="V268">
        <f>SUBSTITUTE(SUBSTITUTE(SUBSTITUTE(SUBSTITUTE(G268,"(주)",""),"㈜",""),"주식회사","")," ","")</f>
        <v/>
      </c>
      <c r="W268">
        <f>IF(AND(T268,V268&lt;&gt;""),IF(COUNTIFS(V$2:V268,V268,T$2:T268,TRUE)=1,MAX(W$1:W267)+1,""),"")</f>
        <v/>
      </c>
      <c r="X268">
        <f>IFERROR(INDEX('1.산군_붙여넣기'!$A$1:$AZ$1001,ROW(),설정!$C$14)&amp;"","")</f>
        <v/>
      </c>
      <c r="Y268">
        <f>IFERROR(INDEX('1.산군_붙여넣기'!$A$1:$AZ$1001,ROW(),설정!$C$15)&amp;"","")</f>
        <v/>
      </c>
      <c r="Z268">
        <f>IF(T268,V268&amp;"|"&amp;U268,"")</f>
        <v/>
      </c>
    </row>
    <row r="269">
      <c r="A269">
        <f>ROW()</f>
        <v/>
      </c>
      <c r="B269">
        <f>IFERROR(INDEX('1.산군_붙여넣기'!$A$1:$AZ$1001,ROW(),설정!$C$4)&amp;"","")</f>
        <v/>
      </c>
      <c r="C269">
        <f>IFERROR(INDEX('1.산군_붙여넣기'!$A$1:$AZ$1001,ROW(),설정!$C$5)&amp;"","")</f>
        <v/>
      </c>
      <c r="D269" s="5">
        <f>IFERROR(VALUE(SUBSTITUTE(SUBSTITUTE(SUBSTITUTE(IFERROR(INDEX('1.산군_붙여넣기'!$A$1:$AZ$1001,ROW(),설정!$C$6)&amp;"",""),",",""),"㎡",""),"m2","")),"")</f>
        <v/>
      </c>
      <c r="E269">
        <f>IFERROR(INDEX('1.산군_붙여넣기'!$A$1:$AZ$1001,ROW(),설정!$C$7)&amp;"","")</f>
        <v/>
      </c>
      <c r="F269">
        <f>IFERROR(INDEX('1.산군_붙여넣기'!$A$1:$AZ$1001,ROW(),설정!$C$8)&amp;"","")</f>
        <v/>
      </c>
      <c r="G269">
        <f>IFERROR(INDEX('1.산군_붙여넣기'!$A$1:$AZ$1001,ROW(),설정!$C$9)&amp;"","")</f>
        <v/>
      </c>
      <c r="H269">
        <f>IFERROR(INDEX('1.산군_붙여넣기'!$A$1:$AZ$1001,ROW(),설정!$C$10)&amp;"","")</f>
        <v/>
      </c>
      <c r="I269">
        <f>IFERROR(INDEX('1.산군_붙여넣기'!$A$1:$AZ$1001,ROW(),설정!$C$11)&amp;"","")</f>
        <v/>
      </c>
      <c r="J269">
        <f>IFERROR(INDEX('1.산군_붙여넣기'!$A$1:$AZ$1001,ROW(),설정!$C$12)&amp;"","")</f>
        <v/>
      </c>
      <c r="K269">
        <f>IFERROR(INDEX('1.산군_붙여넣기'!$A$1:$AZ$1001,ROW(),설정!$C$13)&amp;"","")</f>
        <v/>
      </c>
      <c r="L269" s="6">
        <f>IF(X269="","",IF(AND(LEN(X269)=8,ISNUMBER(X269*1)),DATE(LEFT(X269,4),MID(X269,5,2),RIGHT(X269,2)),IFERROR(DATEVALUE(SUBSTITUTE(SUBSTITUTE(X269,".","-"),"/","-")),IFERROR(X269*1,""))))</f>
        <v/>
      </c>
      <c r="M269" s="6">
        <f>IF(Y269="","",IF(AND(LEN(Y269)=8,ISNUMBER(Y269*1)),DATE(LEFT(Y269,4),MID(Y269,5,2),RIGHT(Y269,2)),IFERROR(DATEVALUE(SUBSTITUTE(SUBSTITUTE(Y269,".","-"),"/","-")),IFERROR(Y269*1,""))))</f>
        <v/>
      </c>
      <c r="N269">
        <f>IFERROR(LEFT(B269,FIND(" ",B269)-1),B269)</f>
        <v/>
      </c>
      <c r="O269">
        <f>AND(B269&lt;&gt;"",B269&lt;&gt;설정!$B$4,C269&lt;&gt;설정!$B$5)</f>
        <v/>
      </c>
      <c r="P269">
        <f>IF(O269,B269&amp;"|"&amp;C269,"")</f>
        <v/>
      </c>
      <c r="Q269">
        <f>AND(O269,COUNTIF(P270:P$1002,P269)=0)</f>
        <v/>
      </c>
      <c r="R269">
        <f>OR(AND(설정!$A$28&lt;&gt;"",ISNUMBER(SEARCH(설정!$A$28,E269&amp;" "&amp;C269))),AND(설정!$A$29&lt;&gt;"",ISNUMBER(SEARCH(설정!$A$29,E269&amp;" "&amp;C269))),AND(설정!$A$30&lt;&gt;"",ISNUMBER(SEARCH(설정!$A$30,E269&amp;" "&amp;C269))),AND(설정!$A$31&lt;&gt;"",ISNUMBER(SEARCH(설정!$A$31,E269&amp;" "&amp;C269))),AND(설정!$A$32&lt;&gt;"",ISNUMBER(SEARCH(설정!$A$32,E269&amp;" "&amp;C269))),AND(설정!$A$33&lt;&gt;"",ISNUMBER(SEARCH(설정!$A$33,E269&amp;" "&amp;C269))),AND(설정!$A$34&lt;&gt;"",ISNUMBER(SEARCH(설정!$A$34,E269&amp;" "&amp;C269))),AND(설정!$A$35&lt;&gt;"",ISNUMBER(SEARCH(설정!$A$35,E269&amp;" "&amp;C269))),AND(설정!$A$36&lt;&gt;"",ISNUMBER(SEARCH(설정!$A$36,E269&amp;" "&amp;C269))),AND(설정!$A$37&lt;&gt;"",ISNUMBER(SEARCH(설정!$A$37,E269&amp;" "&amp;C269))))</f>
        <v/>
      </c>
      <c r="S269">
        <f>OR(D269="",D269&gt;=설정!$B$19)</f>
        <v/>
      </c>
      <c r="T269">
        <f>AND(Q269,R269,S269)</f>
        <v/>
      </c>
      <c r="U269">
        <f>IF(T269,IF(AND(설정!$A$41&lt;&gt;"",ISNUMBER(SEARCH(설정!$A$41,K269))),설정!$B$41,IF(AND(설정!$A$42&lt;&gt;"",ISNUMBER(SEARCH(설정!$A$42,K269))),설정!$B$42,IF(AND(설정!$A$43&lt;&gt;"",ISNUMBER(SEARCH(설정!$A$43,K269))),설정!$B$43,IF(AND(설정!$A$44&lt;&gt;"",ISNUMBER(SEARCH(설정!$A$44,K269))),설정!$B$44,IF(AND(설정!$A$45&lt;&gt;"",ISNUMBER(SEARCH(설정!$A$45,K269))),설정!$B$45,IF(AND(설정!$A$46&lt;&gt;"",ISNUMBER(SEARCH(설정!$A$46,K269))),설정!$B$46,IF(AND(설정!$A$47&lt;&gt;"",ISNUMBER(SEARCH(설정!$A$47,K269))),설정!$B$47,IF(AND(설정!$A$48&lt;&gt;"",ISNUMBER(SEARCH(설정!$A$48,K269))),설정!$B$48,IF(M269="","설계사","시공사"))))))))),"")</f>
        <v/>
      </c>
      <c r="V269">
        <f>SUBSTITUTE(SUBSTITUTE(SUBSTITUTE(SUBSTITUTE(G269,"(주)",""),"㈜",""),"주식회사","")," ","")</f>
        <v/>
      </c>
      <c r="W269">
        <f>IF(AND(T269,V269&lt;&gt;""),IF(COUNTIFS(V$2:V269,V269,T$2:T269,TRUE)=1,MAX(W$1:W268)+1,""),"")</f>
        <v/>
      </c>
      <c r="X269">
        <f>IFERROR(INDEX('1.산군_붙여넣기'!$A$1:$AZ$1001,ROW(),설정!$C$14)&amp;"","")</f>
        <v/>
      </c>
      <c r="Y269">
        <f>IFERROR(INDEX('1.산군_붙여넣기'!$A$1:$AZ$1001,ROW(),설정!$C$15)&amp;"","")</f>
        <v/>
      </c>
      <c r="Z269">
        <f>IF(T269,V269&amp;"|"&amp;U269,"")</f>
        <v/>
      </c>
    </row>
    <row r="270">
      <c r="A270">
        <f>ROW()</f>
        <v/>
      </c>
      <c r="B270">
        <f>IFERROR(INDEX('1.산군_붙여넣기'!$A$1:$AZ$1001,ROW(),설정!$C$4)&amp;"","")</f>
        <v/>
      </c>
      <c r="C270">
        <f>IFERROR(INDEX('1.산군_붙여넣기'!$A$1:$AZ$1001,ROW(),설정!$C$5)&amp;"","")</f>
        <v/>
      </c>
      <c r="D270" s="5">
        <f>IFERROR(VALUE(SUBSTITUTE(SUBSTITUTE(SUBSTITUTE(IFERROR(INDEX('1.산군_붙여넣기'!$A$1:$AZ$1001,ROW(),설정!$C$6)&amp;"",""),",",""),"㎡",""),"m2","")),"")</f>
        <v/>
      </c>
      <c r="E270">
        <f>IFERROR(INDEX('1.산군_붙여넣기'!$A$1:$AZ$1001,ROW(),설정!$C$7)&amp;"","")</f>
        <v/>
      </c>
      <c r="F270">
        <f>IFERROR(INDEX('1.산군_붙여넣기'!$A$1:$AZ$1001,ROW(),설정!$C$8)&amp;"","")</f>
        <v/>
      </c>
      <c r="G270">
        <f>IFERROR(INDEX('1.산군_붙여넣기'!$A$1:$AZ$1001,ROW(),설정!$C$9)&amp;"","")</f>
        <v/>
      </c>
      <c r="H270">
        <f>IFERROR(INDEX('1.산군_붙여넣기'!$A$1:$AZ$1001,ROW(),설정!$C$10)&amp;"","")</f>
        <v/>
      </c>
      <c r="I270">
        <f>IFERROR(INDEX('1.산군_붙여넣기'!$A$1:$AZ$1001,ROW(),설정!$C$11)&amp;"","")</f>
        <v/>
      </c>
      <c r="J270">
        <f>IFERROR(INDEX('1.산군_붙여넣기'!$A$1:$AZ$1001,ROW(),설정!$C$12)&amp;"","")</f>
        <v/>
      </c>
      <c r="K270">
        <f>IFERROR(INDEX('1.산군_붙여넣기'!$A$1:$AZ$1001,ROW(),설정!$C$13)&amp;"","")</f>
        <v/>
      </c>
      <c r="L270" s="6">
        <f>IF(X270="","",IF(AND(LEN(X270)=8,ISNUMBER(X270*1)),DATE(LEFT(X270,4),MID(X270,5,2),RIGHT(X270,2)),IFERROR(DATEVALUE(SUBSTITUTE(SUBSTITUTE(X270,".","-"),"/","-")),IFERROR(X270*1,""))))</f>
        <v/>
      </c>
      <c r="M270" s="6">
        <f>IF(Y270="","",IF(AND(LEN(Y270)=8,ISNUMBER(Y270*1)),DATE(LEFT(Y270,4),MID(Y270,5,2),RIGHT(Y270,2)),IFERROR(DATEVALUE(SUBSTITUTE(SUBSTITUTE(Y270,".","-"),"/","-")),IFERROR(Y270*1,""))))</f>
        <v/>
      </c>
      <c r="N270">
        <f>IFERROR(LEFT(B270,FIND(" ",B270)-1),B270)</f>
        <v/>
      </c>
      <c r="O270">
        <f>AND(B270&lt;&gt;"",B270&lt;&gt;설정!$B$4,C270&lt;&gt;설정!$B$5)</f>
        <v/>
      </c>
      <c r="P270">
        <f>IF(O270,B270&amp;"|"&amp;C270,"")</f>
        <v/>
      </c>
      <c r="Q270">
        <f>AND(O270,COUNTIF(P271:P$1002,P270)=0)</f>
        <v/>
      </c>
      <c r="R270">
        <f>OR(AND(설정!$A$28&lt;&gt;"",ISNUMBER(SEARCH(설정!$A$28,E270&amp;" "&amp;C270))),AND(설정!$A$29&lt;&gt;"",ISNUMBER(SEARCH(설정!$A$29,E270&amp;" "&amp;C270))),AND(설정!$A$30&lt;&gt;"",ISNUMBER(SEARCH(설정!$A$30,E270&amp;" "&amp;C270))),AND(설정!$A$31&lt;&gt;"",ISNUMBER(SEARCH(설정!$A$31,E270&amp;" "&amp;C270))),AND(설정!$A$32&lt;&gt;"",ISNUMBER(SEARCH(설정!$A$32,E270&amp;" "&amp;C270))),AND(설정!$A$33&lt;&gt;"",ISNUMBER(SEARCH(설정!$A$33,E270&amp;" "&amp;C270))),AND(설정!$A$34&lt;&gt;"",ISNUMBER(SEARCH(설정!$A$34,E270&amp;" "&amp;C270))),AND(설정!$A$35&lt;&gt;"",ISNUMBER(SEARCH(설정!$A$35,E270&amp;" "&amp;C270))),AND(설정!$A$36&lt;&gt;"",ISNUMBER(SEARCH(설정!$A$36,E270&amp;" "&amp;C270))),AND(설정!$A$37&lt;&gt;"",ISNUMBER(SEARCH(설정!$A$37,E270&amp;" "&amp;C270))))</f>
        <v/>
      </c>
      <c r="S270">
        <f>OR(D270="",D270&gt;=설정!$B$19)</f>
        <v/>
      </c>
      <c r="T270">
        <f>AND(Q270,R270,S270)</f>
        <v/>
      </c>
      <c r="U270">
        <f>IF(T270,IF(AND(설정!$A$41&lt;&gt;"",ISNUMBER(SEARCH(설정!$A$41,K270))),설정!$B$41,IF(AND(설정!$A$42&lt;&gt;"",ISNUMBER(SEARCH(설정!$A$42,K270))),설정!$B$42,IF(AND(설정!$A$43&lt;&gt;"",ISNUMBER(SEARCH(설정!$A$43,K270))),설정!$B$43,IF(AND(설정!$A$44&lt;&gt;"",ISNUMBER(SEARCH(설정!$A$44,K270))),설정!$B$44,IF(AND(설정!$A$45&lt;&gt;"",ISNUMBER(SEARCH(설정!$A$45,K270))),설정!$B$45,IF(AND(설정!$A$46&lt;&gt;"",ISNUMBER(SEARCH(설정!$A$46,K270))),설정!$B$46,IF(AND(설정!$A$47&lt;&gt;"",ISNUMBER(SEARCH(설정!$A$47,K270))),설정!$B$47,IF(AND(설정!$A$48&lt;&gt;"",ISNUMBER(SEARCH(설정!$A$48,K270))),설정!$B$48,IF(M270="","설계사","시공사"))))))))),"")</f>
        <v/>
      </c>
      <c r="V270">
        <f>SUBSTITUTE(SUBSTITUTE(SUBSTITUTE(SUBSTITUTE(G270,"(주)",""),"㈜",""),"주식회사","")," ","")</f>
        <v/>
      </c>
      <c r="W270">
        <f>IF(AND(T270,V270&lt;&gt;""),IF(COUNTIFS(V$2:V270,V270,T$2:T270,TRUE)=1,MAX(W$1:W269)+1,""),"")</f>
        <v/>
      </c>
      <c r="X270">
        <f>IFERROR(INDEX('1.산군_붙여넣기'!$A$1:$AZ$1001,ROW(),설정!$C$14)&amp;"","")</f>
        <v/>
      </c>
      <c r="Y270">
        <f>IFERROR(INDEX('1.산군_붙여넣기'!$A$1:$AZ$1001,ROW(),설정!$C$15)&amp;"","")</f>
        <v/>
      </c>
      <c r="Z270">
        <f>IF(T270,V270&amp;"|"&amp;U270,"")</f>
        <v/>
      </c>
    </row>
    <row r="271">
      <c r="A271">
        <f>ROW()</f>
        <v/>
      </c>
      <c r="B271">
        <f>IFERROR(INDEX('1.산군_붙여넣기'!$A$1:$AZ$1001,ROW(),설정!$C$4)&amp;"","")</f>
        <v/>
      </c>
      <c r="C271">
        <f>IFERROR(INDEX('1.산군_붙여넣기'!$A$1:$AZ$1001,ROW(),설정!$C$5)&amp;"","")</f>
        <v/>
      </c>
      <c r="D271" s="5">
        <f>IFERROR(VALUE(SUBSTITUTE(SUBSTITUTE(SUBSTITUTE(IFERROR(INDEX('1.산군_붙여넣기'!$A$1:$AZ$1001,ROW(),설정!$C$6)&amp;"",""),",",""),"㎡",""),"m2","")),"")</f>
        <v/>
      </c>
      <c r="E271">
        <f>IFERROR(INDEX('1.산군_붙여넣기'!$A$1:$AZ$1001,ROW(),설정!$C$7)&amp;"","")</f>
        <v/>
      </c>
      <c r="F271">
        <f>IFERROR(INDEX('1.산군_붙여넣기'!$A$1:$AZ$1001,ROW(),설정!$C$8)&amp;"","")</f>
        <v/>
      </c>
      <c r="G271">
        <f>IFERROR(INDEX('1.산군_붙여넣기'!$A$1:$AZ$1001,ROW(),설정!$C$9)&amp;"","")</f>
        <v/>
      </c>
      <c r="H271">
        <f>IFERROR(INDEX('1.산군_붙여넣기'!$A$1:$AZ$1001,ROW(),설정!$C$10)&amp;"","")</f>
        <v/>
      </c>
      <c r="I271">
        <f>IFERROR(INDEX('1.산군_붙여넣기'!$A$1:$AZ$1001,ROW(),설정!$C$11)&amp;"","")</f>
        <v/>
      </c>
      <c r="J271">
        <f>IFERROR(INDEX('1.산군_붙여넣기'!$A$1:$AZ$1001,ROW(),설정!$C$12)&amp;"","")</f>
        <v/>
      </c>
      <c r="K271">
        <f>IFERROR(INDEX('1.산군_붙여넣기'!$A$1:$AZ$1001,ROW(),설정!$C$13)&amp;"","")</f>
        <v/>
      </c>
      <c r="L271" s="6">
        <f>IF(X271="","",IF(AND(LEN(X271)=8,ISNUMBER(X271*1)),DATE(LEFT(X271,4),MID(X271,5,2),RIGHT(X271,2)),IFERROR(DATEVALUE(SUBSTITUTE(SUBSTITUTE(X271,".","-"),"/","-")),IFERROR(X271*1,""))))</f>
        <v/>
      </c>
      <c r="M271" s="6">
        <f>IF(Y271="","",IF(AND(LEN(Y271)=8,ISNUMBER(Y271*1)),DATE(LEFT(Y271,4),MID(Y271,5,2),RIGHT(Y271,2)),IFERROR(DATEVALUE(SUBSTITUTE(SUBSTITUTE(Y271,".","-"),"/","-")),IFERROR(Y271*1,""))))</f>
        <v/>
      </c>
      <c r="N271">
        <f>IFERROR(LEFT(B271,FIND(" ",B271)-1),B271)</f>
        <v/>
      </c>
      <c r="O271">
        <f>AND(B271&lt;&gt;"",B271&lt;&gt;설정!$B$4,C271&lt;&gt;설정!$B$5)</f>
        <v/>
      </c>
      <c r="P271">
        <f>IF(O271,B271&amp;"|"&amp;C271,"")</f>
        <v/>
      </c>
      <c r="Q271">
        <f>AND(O271,COUNTIF(P272:P$1002,P271)=0)</f>
        <v/>
      </c>
      <c r="R271">
        <f>OR(AND(설정!$A$28&lt;&gt;"",ISNUMBER(SEARCH(설정!$A$28,E271&amp;" "&amp;C271))),AND(설정!$A$29&lt;&gt;"",ISNUMBER(SEARCH(설정!$A$29,E271&amp;" "&amp;C271))),AND(설정!$A$30&lt;&gt;"",ISNUMBER(SEARCH(설정!$A$30,E271&amp;" "&amp;C271))),AND(설정!$A$31&lt;&gt;"",ISNUMBER(SEARCH(설정!$A$31,E271&amp;" "&amp;C271))),AND(설정!$A$32&lt;&gt;"",ISNUMBER(SEARCH(설정!$A$32,E271&amp;" "&amp;C271))),AND(설정!$A$33&lt;&gt;"",ISNUMBER(SEARCH(설정!$A$33,E271&amp;" "&amp;C271))),AND(설정!$A$34&lt;&gt;"",ISNUMBER(SEARCH(설정!$A$34,E271&amp;" "&amp;C271))),AND(설정!$A$35&lt;&gt;"",ISNUMBER(SEARCH(설정!$A$35,E271&amp;" "&amp;C271))),AND(설정!$A$36&lt;&gt;"",ISNUMBER(SEARCH(설정!$A$36,E271&amp;" "&amp;C271))),AND(설정!$A$37&lt;&gt;"",ISNUMBER(SEARCH(설정!$A$37,E271&amp;" "&amp;C271))))</f>
        <v/>
      </c>
      <c r="S271">
        <f>OR(D271="",D271&gt;=설정!$B$19)</f>
        <v/>
      </c>
      <c r="T271">
        <f>AND(Q271,R271,S271)</f>
        <v/>
      </c>
      <c r="U271">
        <f>IF(T271,IF(AND(설정!$A$41&lt;&gt;"",ISNUMBER(SEARCH(설정!$A$41,K271))),설정!$B$41,IF(AND(설정!$A$42&lt;&gt;"",ISNUMBER(SEARCH(설정!$A$42,K271))),설정!$B$42,IF(AND(설정!$A$43&lt;&gt;"",ISNUMBER(SEARCH(설정!$A$43,K271))),설정!$B$43,IF(AND(설정!$A$44&lt;&gt;"",ISNUMBER(SEARCH(설정!$A$44,K271))),설정!$B$44,IF(AND(설정!$A$45&lt;&gt;"",ISNUMBER(SEARCH(설정!$A$45,K271))),설정!$B$45,IF(AND(설정!$A$46&lt;&gt;"",ISNUMBER(SEARCH(설정!$A$46,K271))),설정!$B$46,IF(AND(설정!$A$47&lt;&gt;"",ISNUMBER(SEARCH(설정!$A$47,K271))),설정!$B$47,IF(AND(설정!$A$48&lt;&gt;"",ISNUMBER(SEARCH(설정!$A$48,K271))),설정!$B$48,IF(M271="","설계사","시공사"))))))))),"")</f>
        <v/>
      </c>
      <c r="V271">
        <f>SUBSTITUTE(SUBSTITUTE(SUBSTITUTE(SUBSTITUTE(G271,"(주)",""),"㈜",""),"주식회사","")," ","")</f>
        <v/>
      </c>
      <c r="W271">
        <f>IF(AND(T271,V271&lt;&gt;""),IF(COUNTIFS(V$2:V271,V271,T$2:T271,TRUE)=1,MAX(W$1:W270)+1,""),"")</f>
        <v/>
      </c>
      <c r="X271">
        <f>IFERROR(INDEX('1.산군_붙여넣기'!$A$1:$AZ$1001,ROW(),설정!$C$14)&amp;"","")</f>
        <v/>
      </c>
      <c r="Y271">
        <f>IFERROR(INDEX('1.산군_붙여넣기'!$A$1:$AZ$1001,ROW(),설정!$C$15)&amp;"","")</f>
        <v/>
      </c>
      <c r="Z271">
        <f>IF(T271,V271&amp;"|"&amp;U271,"")</f>
        <v/>
      </c>
    </row>
    <row r="272">
      <c r="A272">
        <f>ROW()</f>
        <v/>
      </c>
      <c r="B272">
        <f>IFERROR(INDEX('1.산군_붙여넣기'!$A$1:$AZ$1001,ROW(),설정!$C$4)&amp;"","")</f>
        <v/>
      </c>
      <c r="C272">
        <f>IFERROR(INDEX('1.산군_붙여넣기'!$A$1:$AZ$1001,ROW(),설정!$C$5)&amp;"","")</f>
        <v/>
      </c>
      <c r="D272" s="5">
        <f>IFERROR(VALUE(SUBSTITUTE(SUBSTITUTE(SUBSTITUTE(IFERROR(INDEX('1.산군_붙여넣기'!$A$1:$AZ$1001,ROW(),설정!$C$6)&amp;"",""),",",""),"㎡",""),"m2","")),"")</f>
        <v/>
      </c>
      <c r="E272">
        <f>IFERROR(INDEX('1.산군_붙여넣기'!$A$1:$AZ$1001,ROW(),설정!$C$7)&amp;"","")</f>
        <v/>
      </c>
      <c r="F272">
        <f>IFERROR(INDEX('1.산군_붙여넣기'!$A$1:$AZ$1001,ROW(),설정!$C$8)&amp;"","")</f>
        <v/>
      </c>
      <c r="G272">
        <f>IFERROR(INDEX('1.산군_붙여넣기'!$A$1:$AZ$1001,ROW(),설정!$C$9)&amp;"","")</f>
        <v/>
      </c>
      <c r="H272">
        <f>IFERROR(INDEX('1.산군_붙여넣기'!$A$1:$AZ$1001,ROW(),설정!$C$10)&amp;"","")</f>
        <v/>
      </c>
      <c r="I272">
        <f>IFERROR(INDEX('1.산군_붙여넣기'!$A$1:$AZ$1001,ROW(),설정!$C$11)&amp;"","")</f>
        <v/>
      </c>
      <c r="J272">
        <f>IFERROR(INDEX('1.산군_붙여넣기'!$A$1:$AZ$1001,ROW(),설정!$C$12)&amp;"","")</f>
        <v/>
      </c>
      <c r="K272">
        <f>IFERROR(INDEX('1.산군_붙여넣기'!$A$1:$AZ$1001,ROW(),설정!$C$13)&amp;"","")</f>
        <v/>
      </c>
      <c r="L272" s="6">
        <f>IF(X272="","",IF(AND(LEN(X272)=8,ISNUMBER(X272*1)),DATE(LEFT(X272,4),MID(X272,5,2),RIGHT(X272,2)),IFERROR(DATEVALUE(SUBSTITUTE(SUBSTITUTE(X272,".","-"),"/","-")),IFERROR(X272*1,""))))</f>
        <v/>
      </c>
      <c r="M272" s="6">
        <f>IF(Y272="","",IF(AND(LEN(Y272)=8,ISNUMBER(Y272*1)),DATE(LEFT(Y272,4),MID(Y272,5,2),RIGHT(Y272,2)),IFERROR(DATEVALUE(SUBSTITUTE(SUBSTITUTE(Y272,".","-"),"/","-")),IFERROR(Y272*1,""))))</f>
        <v/>
      </c>
      <c r="N272">
        <f>IFERROR(LEFT(B272,FIND(" ",B272)-1),B272)</f>
        <v/>
      </c>
      <c r="O272">
        <f>AND(B272&lt;&gt;"",B272&lt;&gt;설정!$B$4,C272&lt;&gt;설정!$B$5)</f>
        <v/>
      </c>
      <c r="P272">
        <f>IF(O272,B272&amp;"|"&amp;C272,"")</f>
        <v/>
      </c>
      <c r="Q272">
        <f>AND(O272,COUNTIF(P273:P$1002,P272)=0)</f>
        <v/>
      </c>
      <c r="R272">
        <f>OR(AND(설정!$A$28&lt;&gt;"",ISNUMBER(SEARCH(설정!$A$28,E272&amp;" "&amp;C272))),AND(설정!$A$29&lt;&gt;"",ISNUMBER(SEARCH(설정!$A$29,E272&amp;" "&amp;C272))),AND(설정!$A$30&lt;&gt;"",ISNUMBER(SEARCH(설정!$A$30,E272&amp;" "&amp;C272))),AND(설정!$A$31&lt;&gt;"",ISNUMBER(SEARCH(설정!$A$31,E272&amp;" "&amp;C272))),AND(설정!$A$32&lt;&gt;"",ISNUMBER(SEARCH(설정!$A$32,E272&amp;" "&amp;C272))),AND(설정!$A$33&lt;&gt;"",ISNUMBER(SEARCH(설정!$A$33,E272&amp;" "&amp;C272))),AND(설정!$A$34&lt;&gt;"",ISNUMBER(SEARCH(설정!$A$34,E272&amp;" "&amp;C272))),AND(설정!$A$35&lt;&gt;"",ISNUMBER(SEARCH(설정!$A$35,E272&amp;" "&amp;C272))),AND(설정!$A$36&lt;&gt;"",ISNUMBER(SEARCH(설정!$A$36,E272&amp;" "&amp;C272))),AND(설정!$A$37&lt;&gt;"",ISNUMBER(SEARCH(설정!$A$37,E272&amp;" "&amp;C272))))</f>
        <v/>
      </c>
      <c r="S272">
        <f>OR(D272="",D272&gt;=설정!$B$19)</f>
        <v/>
      </c>
      <c r="T272">
        <f>AND(Q272,R272,S272)</f>
        <v/>
      </c>
      <c r="U272">
        <f>IF(T272,IF(AND(설정!$A$41&lt;&gt;"",ISNUMBER(SEARCH(설정!$A$41,K272))),설정!$B$41,IF(AND(설정!$A$42&lt;&gt;"",ISNUMBER(SEARCH(설정!$A$42,K272))),설정!$B$42,IF(AND(설정!$A$43&lt;&gt;"",ISNUMBER(SEARCH(설정!$A$43,K272))),설정!$B$43,IF(AND(설정!$A$44&lt;&gt;"",ISNUMBER(SEARCH(설정!$A$44,K272))),설정!$B$44,IF(AND(설정!$A$45&lt;&gt;"",ISNUMBER(SEARCH(설정!$A$45,K272))),설정!$B$45,IF(AND(설정!$A$46&lt;&gt;"",ISNUMBER(SEARCH(설정!$A$46,K272))),설정!$B$46,IF(AND(설정!$A$47&lt;&gt;"",ISNUMBER(SEARCH(설정!$A$47,K272))),설정!$B$47,IF(AND(설정!$A$48&lt;&gt;"",ISNUMBER(SEARCH(설정!$A$48,K272))),설정!$B$48,IF(M272="","설계사","시공사"))))))))),"")</f>
        <v/>
      </c>
      <c r="V272">
        <f>SUBSTITUTE(SUBSTITUTE(SUBSTITUTE(SUBSTITUTE(G272,"(주)",""),"㈜",""),"주식회사","")," ","")</f>
        <v/>
      </c>
      <c r="W272">
        <f>IF(AND(T272,V272&lt;&gt;""),IF(COUNTIFS(V$2:V272,V272,T$2:T272,TRUE)=1,MAX(W$1:W271)+1,""),"")</f>
        <v/>
      </c>
      <c r="X272">
        <f>IFERROR(INDEX('1.산군_붙여넣기'!$A$1:$AZ$1001,ROW(),설정!$C$14)&amp;"","")</f>
        <v/>
      </c>
      <c r="Y272">
        <f>IFERROR(INDEX('1.산군_붙여넣기'!$A$1:$AZ$1001,ROW(),설정!$C$15)&amp;"","")</f>
        <v/>
      </c>
      <c r="Z272">
        <f>IF(T272,V272&amp;"|"&amp;U272,"")</f>
        <v/>
      </c>
    </row>
    <row r="273">
      <c r="A273">
        <f>ROW()</f>
        <v/>
      </c>
      <c r="B273">
        <f>IFERROR(INDEX('1.산군_붙여넣기'!$A$1:$AZ$1001,ROW(),설정!$C$4)&amp;"","")</f>
        <v/>
      </c>
      <c r="C273">
        <f>IFERROR(INDEX('1.산군_붙여넣기'!$A$1:$AZ$1001,ROW(),설정!$C$5)&amp;"","")</f>
        <v/>
      </c>
      <c r="D273" s="5">
        <f>IFERROR(VALUE(SUBSTITUTE(SUBSTITUTE(SUBSTITUTE(IFERROR(INDEX('1.산군_붙여넣기'!$A$1:$AZ$1001,ROW(),설정!$C$6)&amp;"",""),",",""),"㎡",""),"m2","")),"")</f>
        <v/>
      </c>
      <c r="E273">
        <f>IFERROR(INDEX('1.산군_붙여넣기'!$A$1:$AZ$1001,ROW(),설정!$C$7)&amp;"","")</f>
        <v/>
      </c>
      <c r="F273">
        <f>IFERROR(INDEX('1.산군_붙여넣기'!$A$1:$AZ$1001,ROW(),설정!$C$8)&amp;"","")</f>
        <v/>
      </c>
      <c r="G273">
        <f>IFERROR(INDEX('1.산군_붙여넣기'!$A$1:$AZ$1001,ROW(),설정!$C$9)&amp;"","")</f>
        <v/>
      </c>
      <c r="H273">
        <f>IFERROR(INDEX('1.산군_붙여넣기'!$A$1:$AZ$1001,ROW(),설정!$C$10)&amp;"","")</f>
        <v/>
      </c>
      <c r="I273">
        <f>IFERROR(INDEX('1.산군_붙여넣기'!$A$1:$AZ$1001,ROW(),설정!$C$11)&amp;"","")</f>
        <v/>
      </c>
      <c r="J273">
        <f>IFERROR(INDEX('1.산군_붙여넣기'!$A$1:$AZ$1001,ROW(),설정!$C$12)&amp;"","")</f>
        <v/>
      </c>
      <c r="K273">
        <f>IFERROR(INDEX('1.산군_붙여넣기'!$A$1:$AZ$1001,ROW(),설정!$C$13)&amp;"","")</f>
        <v/>
      </c>
      <c r="L273" s="6">
        <f>IF(X273="","",IF(AND(LEN(X273)=8,ISNUMBER(X273*1)),DATE(LEFT(X273,4),MID(X273,5,2),RIGHT(X273,2)),IFERROR(DATEVALUE(SUBSTITUTE(SUBSTITUTE(X273,".","-"),"/","-")),IFERROR(X273*1,""))))</f>
        <v/>
      </c>
      <c r="M273" s="6">
        <f>IF(Y273="","",IF(AND(LEN(Y273)=8,ISNUMBER(Y273*1)),DATE(LEFT(Y273,4),MID(Y273,5,2),RIGHT(Y273,2)),IFERROR(DATEVALUE(SUBSTITUTE(SUBSTITUTE(Y273,".","-"),"/","-")),IFERROR(Y273*1,""))))</f>
        <v/>
      </c>
      <c r="N273">
        <f>IFERROR(LEFT(B273,FIND(" ",B273)-1),B273)</f>
        <v/>
      </c>
      <c r="O273">
        <f>AND(B273&lt;&gt;"",B273&lt;&gt;설정!$B$4,C273&lt;&gt;설정!$B$5)</f>
        <v/>
      </c>
      <c r="P273">
        <f>IF(O273,B273&amp;"|"&amp;C273,"")</f>
        <v/>
      </c>
      <c r="Q273">
        <f>AND(O273,COUNTIF(P274:P$1002,P273)=0)</f>
        <v/>
      </c>
      <c r="R273">
        <f>OR(AND(설정!$A$28&lt;&gt;"",ISNUMBER(SEARCH(설정!$A$28,E273&amp;" "&amp;C273))),AND(설정!$A$29&lt;&gt;"",ISNUMBER(SEARCH(설정!$A$29,E273&amp;" "&amp;C273))),AND(설정!$A$30&lt;&gt;"",ISNUMBER(SEARCH(설정!$A$30,E273&amp;" "&amp;C273))),AND(설정!$A$31&lt;&gt;"",ISNUMBER(SEARCH(설정!$A$31,E273&amp;" "&amp;C273))),AND(설정!$A$32&lt;&gt;"",ISNUMBER(SEARCH(설정!$A$32,E273&amp;" "&amp;C273))),AND(설정!$A$33&lt;&gt;"",ISNUMBER(SEARCH(설정!$A$33,E273&amp;" "&amp;C273))),AND(설정!$A$34&lt;&gt;"",ISNUMBER(SEARCH(설정!$A$34,E273&amp;" "&amp;C273))),AND(설정!$A$35&lt;&gt;"",ISNUMBER(SEARCH(설정!$A$35,E273&amp;" "&amp;C273))),AND(설정!$A$36&lt;&gt;"",ISNUMBER(SEARCH(설정!$A$36,E273&amp;" "&amp;C273))),AND(설정!$A$37&lt;&gt;"",ISNUMBER(SEARCH(설정!$A$37,E273&amp;" "&amp;C273))))</f>
        <v/>
      </c>
      <c r="S273">
        <f>OR(D273="",D273&gt;=설정!$B$19)</f>
        <v/>
      </c>
      <c r="T273">
        <f>AND(Q273,R273,S273)</f>
        <v/>
      </c>
      <c r="U273">
        <f>IF(T273,IF(AND(설정!$A$41&lt;&gt;"",ISNUMBER(SEARCH(설정!$A$41,K273))),설정!$B$41,IF(AND(설정!$A$42&lt;&gt;"",ISNUMBER(SEARCH(설정!$A$42,K273))),설정!$B$42,IF(AND(설정!$A$43&lt;&gt;"",ISNUMBER(SEARCH(설정!$A$43,K273))),설정!$B$43,IF(AND(설정!$A$44&lt;&gt;"",ISNUMBER(SEARCH(설정!$A$44,K273))),설정!$B$44,IF(AND(설정!$A$45&lt;&gt;"",ISNUMBER(SEARCH(설정!$A$45,K273))),설정!$B$45,IF(AND(설정!$A$46&lt;&gt;"",ISNUMBER(SEARCH(설정!$A$46,K273))),설정!$B$46,IF(AND(설정!$A$47&lt;&gt;"",ISNUMBER(SEARCH(설정!$A$47,K273))),설정!$B$47,IF(AND(설정!$A$48&lt;&gt;"",ISNUMBER(SEARCH(설정!$A$48,K273))),설정!$B$48,IF(M273="","설계사","시공사"))))))))),"")</f>
        <v/>
      </c>
      <c r="V273">
        <f>SUBSTITUTE(SUBSTITUTE(SUBSTITUTE(SUBSTITUTE(G273,"(주)",""),"㈜",""),"주식회사","")," ","")</f>
        <v/>
      </c>
      <c r="W273">
        <f>IF(AND(T273,V273&lt;&gt;""),IF(COUNTIFS(V$2:V273,V273,T$2:T273,TRUE)=1,MAX(W$1:W272)+1,""),"")</f>
        <v/>
      </c>
      <c r="X273">
        <f>IFERROR(INDEX('1.산군_붙여넣기'!$A$1:$AZ$1001,ROW(),설정!$C$14)&amp;"","")</f>
        <v/>
      </c>
      <c r="Y273">
        <f>IFERROR(INDEX('1.산군_붙여넣기'!$A$1:$AZ$1001,ROW(),설정!$C$15)&amp;"","")</f>
        <v/>
      </c>
      <c r="Z273">
        <f>IF(T273,V273&amp;"|"&amp;U273,"")</f>
        <v/>
      </c>
    </row>
    <row r="274">
      <c r="A274">
        <f>ROW()</f>
        <v/>
      </c>
      <c r="B274">
        <f>IFERROR(INDEX('1.산군_붙여넣기'!$A$1:$AZ$1001,ROW(),설정!$C$4)&amp;"","")</f>
        <v/>
      </c>
      <c r="C274">
        <f>IFERROR(INDEX('1.산군_붙여넣기'!$A$1:$AZ$1001,ROW(),설정!$C$5)&amp;"","")</f>
        <v/>
      </c>
      <c r="D274" s="5">
        <f>IFERROR(VALUE(SUBSTITUTE(SUBSTITUTE(SUBSTITUTE(IFERROR(INDEX('1.산군_붙여넣기'!$A$1:$AZ$1001,ROW(),설정!$C$6)&amp;"",""),",",""),"㎡",""),"m2","")),"")</f>
        <v/>
      </c>
      <c r="E274">
        <f>IFERROR(INDEX('1.산군_붙여넣기'!$A$1:$AZ$1001,ROW(),설정!$C$7)&amp;"","")</f>
        <v/>
      </c>
      <c r="F274">
        <f>IFERROR(INDEX('1.산군_붙여넣기'!$A$1:$AZ$1001,ROW(),설정!$C$8)&amp;"","")</f>
        <v/>
      </c>
      <c r="G274">
        <f>IFERROR(INDEX('1.산군_붙여넣기'!$A$1:$AZ$1001,ROW(),설정!$C$9)&amp;"","")</f>
        <v/>
      </c>
      <c r="H274">
        <f>IFERROR(INDEX('1.산군_붙여넣기'!$A$1:$AZ$1001,ROW(),설정!$C$10)&amp;"","")</f>
        <v/>
      </c>
      <c r="I274">
        <f>IFERROR(INDEX('1.산군_붙여넣기'!$A$1:$AZ$1001,ROW(),설정!$C$11)&amp;"","")</f>
        <v/>
      </c>
      <c r="J274">
        <f>IFERROR(INDEX('1.산군_붙여넣기'!$A$1:$AZ$1001,ROW(),설정!$C$12)&amp;"","")</f>
        <v/>
      </c>
      <c r="K274">
        <f>IFERROR(INDEX('1.산군_붙여넣기'!$A$1:$AZ$1001,ROW(),설정!$C$13)&amp;"","")</f>
        <v/>
      </c>
      <c r="L274" s="6">
        <f>IF(X274="","",IF(AND(LEN(X274)=8,ISNUMBER(X274*1)),DATE(LEFT(X274,4),MID(X274,5,2),RIGHT(X274,2)),IFERROR(DATEVALUE(SUBSTITUTE(SUBSTITUTE(X274,".","-"),"/","-")),IFERROR(X274*1,""))))</f>
        <v/>
      </c>
      <c r="M274" s="6">
        <f>IF(Y274="","",IF(AND(LEN(Y274)=8,ISNUMBER(Y274*1)),DATE(LEFT(Y274,4),MID(Y274,5,2),RIGHT(Y274,2)),IFERROR(DATEVALUE(SUBSTITUTE(SUBSTITUTE(Y274,".","-"),"/","-")),IFERROR(Y274*1,""))))</f>
        <v/>
      </c>
      <c r="N274">
        <f>IFERROR(LEFT(B274,FIND(" ",B274)-1),B274)</f>
        <v/>
      </c>
      <c r="O274">
        <f>AND(B274&lt;&gt;"",B274&lt;&gt;설정!$B$4,C274&lt;&gt;설정!$B$5)</f>
        <v/>
      </c>
      <c r="P274">
        <f>IF(O274,B274&amp;"|"&amp;C274,"")</f>
        <v/>
      </c>
      <c r="Q274">
        <f>AND(O274,COUNTIF(P275:P$1002,P274)=0)</f>
        <v/>
      </c>
      <c r="R274">
        <f>OR(AND(설정!$A$28&lt;&gt;"",ISNUMBER(SEARCH(설정!$A$28,E274&amp;" "&amp;C274))),AND(설정!$A$29&lt;&gt;"",ISNUMBER(SEARCH(설정!$A$29,E274&amp;" "&amp;C274))),AND(설정!$A$30&lt;&gt;"",ISNUMBER(SEARCH(설정!$A$30,E274&amp;" "&amp;C274))),AND(설정!$A$31&lt;&gt;"",ISNUMBER(SEARCH(설정!$A$31,E274&amp;" "&amp;C274))),AND(설정!$A$32&lt;&gt;"",ISNUMBER(SEARCH(설정!$A$32,E274&amp;" "&amp;C274))),AND(설정!$A$33&lt;&gt;"",ISNUMBER(SEARCH(설정!$A$33,E274&amp;" "&amp;C274))),AND(설정!$A$34&lt;&gt;"",ISNUMBER(SEARCH(설정!$A$34,E274&amp;" "&amp;C274))),AND(설정!$A$35&lt;&gt;"",ISNUMBER(SEARCH(설정!$A$35,E274&amp;" "&amp;C274))),AND(설정!$A$36&lt;&gt;"",ISNUMBER(SEARCH(설정!$A$36,E274&amp;" "&amp;C274))),AND(설정!$A$37&lt;&gt;"",ISNUMBER(SEARCH(설정!$A$37,E274&amp;" "&amp;C274))))</f>
        <v/>
      </c>
      <c r="S274">
        <f>OR(D274="",D274&gt;=설정!$B$19)</f>
        <v/>
      </c>
      <c r="T274">
        <f>AND(Q274,R274,S274)</f>
        <v/>
      </c>
      <c r="U274">
        <f>IF(T274,IF(AND(설정!$A$41&lt;&gt;"",ISNUMBER(SEARCH(설정!$A$41,K274))),설정!$B$41,IF(AND(설정!$A$42&lt;&gt;"",ISNUMBER(SEARCH(설정!$A$42,K274))),설정!$B$42,IF(AND(설정!$A$43&lt;&gt;"",ISNUMBER(SEARCH(설정!$A$43,K274))),설정!$B$43,IF(AND(설정!$A$44&lt;&gt;"",ISNUMBER(SEARCH(설정!$A$44,K274))),설정!$B$44,IF(AND(설정!$A$45&lt;&gt;"",ISNUMBER(SEARCH(설정!$A$45,K274))),설정!$B$45,IF(AND(설정!$A$46&lt;&gt;"",ISNUMBER(SEARCH(설정!$A$46,K274))),설정!$B$46,IF(AND(설정!$A$47&lt;&gt;"",ISNUMBER(SEARCH(설정!$A$47,K274))),설정!$B$47,IF(AND(설정!$A$48&lt;&gt;"",ISNUMBER(SEARCH(설정!$A$48,K274))),설정!$B$48,IF(M274="","설계사","시공사"))))))))),"")</f>
        <v/>
      </c>
      <c r="V274">
        <f>SUBSTITUTE(SUBSTITUTE(SUBSTITUTE(SUBSTITUTE(G274,"(주)",""),"㈜",""),"주식회사","")," ","")</f>
        <v/>
      </c>
      <c r="W274">
        <f>IF(AND(T274,V274&lt;&gt;""),IF(COUNTIFS(V$2:V274,V274,T$2:T274,TRUE)=1,MAX(W$1:W273)+1,""),"")</f>
        <v/>
      </c>
      <c r="X274">
        <f>IFERROR(INDEX('1.산군_붙여넣기'!$A$1:$AZ$1001,ROW(),설정!$C$14)&amp;"","")</f>
        <v/>
      </c>
      <c r="Y274">
        <f>IFERROR(INDEX('1.산군_붙여넣기'!$A$1:$AZ$1001,ROW(),설정!$C$15)&amp;"","")</f>
        <v/>
      </c>
      <c r="Z274">
        <f>IF(T274,V274&amp;"|"&amp;U274,"")</f>
        <v/>
      </c>
    </row>
    <row r="275">
      <c r="A275">
        <f>ROW()</f>
        <v/>
      </c>
      <c r="B275">
        <f>IFERROR(INDEX('1.산군_붙여넣기'!$A$1:$AZ$1001,ROW(),설정!$C$4)&amp;"","")</f>
        <v/>
      </c>
      <c r="C275">
        <f>IFERROR(INDEX('1.산군_붙여넣기'!$A$1:$AZ$1001,ROW(),설정!$C$5)&amp;"","")</f>
        <v/>
      </c>
      <c r="D275" s="5">
        <f>IFERROR(VALUE(SUBSTITUTE(SUBSTITUTE(SUBSTITUTE(IFERROR(INDEX('1.산군_붙여넣기'!$A$1:$AZ$1001,ROW(),설정!$C$6)&amp;"",""),",",""),"㎡",""),"m2","")),"")</f>
        <v/>
      </c>
      <c r="E275">
        <f>IFERROR(INDEX('1.산군_붙여넣기'!$A$1:$AZ$1001,ROW(),설정!$C$7)&amp;"","")</f>
        <v/>
      </c>
      <c r="F275">
        <f>IFERROR(INDEX('1.산군_붙여넣기'!$A$1:$AZ$1001,ROW(),설정!$C$8)&amp;"","")</f>
        <v/>
      </c>
      <c r="G275">
        <f>IFERROR(INDEX('1.산군_붙여넣기'!$A$1:$AZ$1001,ROW(),설정!$C$9)&amp;"","")</f>
        <v/>
      </c>
      <c r="H275">
        <f>IFERROR(INDEX('1.산군_붙여넣기'!$A$1:$AZ$1001,ROW(),설정!$C$10)&amp;"","")</f>
        <v/>
      </c>
      <c r="I275">
        <f>IFERROR(INDEX('1.산군_붙여넣기'!$A$1:$AZ$1001,ROW(),설정!$C$11)&amp;"","")</f>
        <v/>
      </c>
      <c r="J275">
        <f>IFERROR(INDEX('1.산군_붙여넣기'!$A$1:$AZ$1001,ROW(),설정!$C$12)&amp;"","")</f>
        <v/>
      </c>
      <c r="K275">
        <f>IFERROR(INDEX('1.산군_붙여넣기'!$A$1:$AZ$1001,ROW(),설정!$C$13)&amp;"","")</f>
        <v/>
      </c>
      <c r="L275" s="6">
        <f>IF(X275="","",IF(AND(LEN(X275)=8,ISNUMBER(X275*1)),DATE(LEFT(X275,4),MID(X275,5,2),RIGHT(X275,2)),IFERROR(DATEVALUE(SUBSTITUTE(SUBSTITUTE(X275,".","-"),"/","-")),IFERROR(X275*1,""))))</f>
        <v/>
      </c>
      <c r="M275" s="6">
        <f>IF(Y275="","",IF(AND(LEN(Y275)=8,ISNUMBER(Y275*1)),DATE(LEFT(Y275,4),MID(Y275,5,2),RIGHT(Y275,2)),IFERROR(DATEVALUE(SUBSTITUTE(SUBSTITUTE(Y275,".","-"),"/","-")),IFERROR(Y275*1,""))))</f>
        <v/>
      </c>
      <c r="N275">
        <f>IFERROR(LEFT(B275,FIND(" ",B275)-1),B275)</f>
        <v/>
      </c>
      <c r="O275">
        <f>AND(B275&lt;&gt;"",B275&lt;&gt;설정!$B$4,C275&lt;&gt;설정!$B$5)</f>
        <v/>
      </c>
      <c r="P275">
        <f>IF(O275,B275&amp;"|"&amp;C275,"")</f>
        <v/>
      </c>
      <c r="Q275">
        <f>AND(O275,COUNTIF(P276:P$1002,P275)=0)</f>
        <v/>
      </c>
      <c r="R275">
        <f>OR(AND(설정!$A$28&lt;&gt;"",ISNUMBER(SEARCH(설정!$A$28,E275&amp;" "&amp;C275))),AND(설정!$A$29&lt;&gt;"",ISNUMBER(SEARCH(설정!$A$29,E275&amp;" "&amp;C275))),AND(설정!$A$30&lt;&gt;"",ISNUMBER(SEARCH(설정!$A$30,E275&amp;" "&amp;C275))),AND(설정!$A$31&lt;&gt;"",ISNUMBER(SEARCH(설정!$A$31,E275&amp;" "&amp;C275))),AND(설정!$A$32&lt;&gt;"",ISNUMBER(SEARCH(설정!$A$32,E275&amp;" "&amp;C275))),AND(설정!$A$33&lt;&gt;"",ISNUMBER(SEARCH(설정!$A$33,E275&amp;" "&amp;C275))),AND(설정!$A$34&lt;&gt;"",ISNUMBER(SEARCH(설정!$A$34,E275&amp;" "&amp;C275))),AND(설정!$A$35&lt;&gt;"",ISNUMBER(SEARCH(설정!$A$35,E275&amp;" "&amp;C275))),AND(설정!$A$36&lt;&gt;"",ISNUMBER(SEARCH(설정!$A$36,E275&amp;" "&amp;C275))),AND(설정!$A$37&lt;&gt;"",ISNUMBER(SEARCH(설정!$A$37,E275&amp;" "&amp;C275))))</f>
        <v/>
      </c>
      <c r="S275">
        <f>OR(D275="",D275&gt;=설정!$B$19)</f>
        <v/>
      </c>
      <c r="T275">
        <f>AND(Q275,R275,S275)</f>
        <v/>
      </c>
      <c r="U275">
        <f>IF(T275,IF(AND(설정!$A$41&lt;&gt;"",ISNUMBER(SEARCH(설정!$A$41,K275))),설정!$B$41,IF(AND(설정!$A$42&lt;&gt;"",ISNUMBER(SEARCH(설정!$A$42,K275))),설정!$B$42,IF(AND(설정!$A$43&lt;&gt;"",ISNUMBER(SEARCH(설정!$A$43,K275))),설정!$B$43,IF(AND(설정!$A$44&lt;&gt;"",ISNUMBER(SEARCH(설정!$A$44,K275))),설정!$B$44,IF(AND(설정!$A$45&lt;&gt;"",ISNUMBER(SEARCH(설정!$A$45,K275))),설정!$B$45,IF(AND(설정!$A$46&lt;&gt;"",ISNUMBER(SEARCH(설정!$A$46,K275))),설정!$B$46,IF(AND(설정!$A$47&lt;&gt;"",ISNUMBER(SEARCH(설정!$A$47,K275))),설정!$B$47,IF(AND(설정!$A$48&lt;&gt;"",ISNUMBER(SEARCH(설정!$A$48,K275))),설정!$B$48,IF(M275="","설계사","시공사"))))))))),"")</f>
        <v/>
      </c>
      <c r="V275">
        <f>SUBSTITUTE(SUBSTITUTE(SUBSTITUTE(SUBSTITUTE(G275,"(주)",""),"㈜",""),"주식회사","")," ","")</f>
        <v/>
      </c>
      <c r="W275">
        <f>IF(AND(T275,V275&lt;&gt;""),IF(COUNTIFS(V$2:V275,V275,T$2:T275,TRUE)=1,MAX(W$1:W274)+1,""),"")</f>
        <v/>
      </c>
      <c r="X275">
        <f>IFERROR(INDEX('1.산군_붙여넣기'!$A$1:$AZ$1001,ROW(),설정!$C$14)&amp;"","")</f>
        <v/>
      </c>
      <c r="Y275">
        <f>IFERROR(INDEX('1.산군_붙여넣기'!$A$1:$AZ$1001,ROW(),설정!$C$15)&amp;"","")</f>
        <v/>
      </c>
      <c r="Z275">
        <f>IF(T275,V275&amp;"|"&amp;U275,"")</f>
        <v/>
      </c>
    </row>
    <row r="276">
      <c r="A276">
        <f>ROW()</f>
        <v/>
      </c>
      <c r="B276">
        <f>IFERROR(INDEX('1.산군_붙여넣기'!$A$1:$AZ$1001,ROW(),설정!$C$4)&amp;"","")</f>
        <v/>
      </c>
      <c r="C276">
        <f>IFERROR(INDEX('1.산군_붙여넣기'!$A$1:$AZ$1001,ROW(),설정!$C$5)&amp;"","")</f>
        <v/>
      </c>
      <c r="D276" s="5">
        <f>IFERROR(VALUE(SUBSTITUTE(SUBSTITUTE(SUBSTITUTE(IFERROR(INDEX('1.산군_붙여넣기'!$A$1:$AZ$1001,ROW(),설정!$C$6)&amp;"",""),",",""),"㎡",""),"m2","")),"")</f>
        <v/>
      </c>
      <c r="E276">
        <f>IFERROR(INDEX('1.산군_붙여넣기'!$A$1:$AZ$1001,ROW(),설정!$C$7)&amp;"","")</f>
        <v/>
      </c>
      <c r="F276">
        <f>IFERROR(INDEX('1.산군_붙여넣기'!$A$1:$AZ$1001,ROW(),설정!$C$8)&amp;"","")</f>
        <v/>
      </c>
      <c r="G276">
        <f>IFERROR(INDEX('1.산군_붙여넣기'!$A$1:$AZ$1001,ROW(),설정!$C$9)&amp;"","")</f>
        <v/>
      </c>
      <c r="H276">
        <f>IFERROR(INDEX('1.산군_붙여넣기'!$A$1:$AZ$1001,ROW(),설정!$C$10)&amp;"","")</f>
        <v/>
      </c>
      <c r="I276">
        <f>IFERROR(INDEX('1.산군_붙여넣기'!$A$1:$AZ$1001,ROW(),설정!$C$11)&amp;"","")</f>
        <v/>
      </c>
      <c r="J276">
        <f>IFERROR(INDEX('1.산군_붙여넣기'!$A$1:$AZ$1001,ROW(),설정!$C$12)&amp;"","")</f>
        <v/>
      </c>
      <c r="K276">
        <f>IFERROR(INDEX('1.산군_붙여넣기'!$A$1:$AZ$1001,ROW(),설정!$C$13)&amp;"","")</f>
        <v/>
      </c>
      <c r="L276" s="6">
        <f>IF(X276="","",IF(AND(LEN(X276)=8,ISNUMBER(X276*1)),DATE(LEFT(X276,4),MID(X276,5,2),RIGHT(X276,2)),IFERROR(DATEVALUE(SUBSTITUTE(SUBSTITUTE(X276,".","-"),"/","-")),IFERROR(X276*1,""))))</f>
        <v/>
      </c>
      <c r="M276" s="6">
        <f>IF(Y276="","",IF(AND(LEN(Y276)=8,ISNUMBER(Y276*1)),DATE(LEFT(Y276,4),MID(Y276,5,2),RIGHT(Y276,2)),IFERROR(DATEVALUE(SUBSTITUTE(SUBSTITUTE(Y276,".","-"),"/","-")),IFERROR(Y276*1,""))))</f>
        <v/>
      </c>
      <c r="N276">
        <f>IFERROR(LEFT(B276,FIND(" ",B276)-1),B276)</f>
        <v/>
      </c>
      <c r="O276">
        <f>AND(B276&lt;&gt;"",B276&lt;&gt;설정!$B$4,C276&lt;&gt;설정!$B$5)</f>
        <v/>
      </c>
      <c r="P276">
        <f>IF(O276,B276&amp;"|"&amp;C276,"")</f>
        <v/>
      </c>
      <c r="Q276">
        <f>AND(O276,COUNTIF(P277:P$1002,P276)=0)</f>
        <v/>
      </c>
      <c r="R276">
        <f>OR(AND(설정!$A$28&lt;&gt;"",ISNUMBER(SEARCH(설정!$A$28,E276&amp;" "&amp;C276))),AND(설정!$A$29&lt;&gt;"",ISNUMBER(SEARCH(설정!$A$29,E276&amp;" "&amp;C276))),AND(설정!$A$30&lt;&gt;"",ISNUMBER(SEARCH(설정!$A$30,E276&amp;" "&amp;C276))),AND(설정!$A$31&lt;&gt;"",ISNUMBER(SEARCH(설정!$A$31,E276&amp;" "&amp;C276))),AND(설정!$A$32&lt;&gt;"",ISNUMBER(SEARCH(설정!$A$32,E276&amp;" "&amp;C276))),AND(설정!$A$33&lt;&gt;"",ISNUMBER(SEARCH(설정!$A$33,E276&amp;" "&amp;C276))),AND(설정!$A$34&lt;&gt;"",ISNUMBER(SEARCH(설정!$A$34,E276&amp;" "&amp;C276))),AND(설정!$A$35&lt;&gt;"",ISNUMBER(SEARCH(설정!$A$35,E276&amp;" "&amp;C276))),AND(설정!$A$36&lt;&gt;"",ISNUMBER(SEARCH(설정!$A$36,E276&amp;" "&amp;C276))),AND(설정!$A$37&lt;&gt;"",ISNUMBER(SEARCH(설정!$A$37,E276&amp;" "&amp;C276))))</f>
        <v/>
      </c>
      <c r="S276">
        <f>OR(D276="",D276&gt;=설정!$B$19)</f>
        <v/>
      </c>
      <c r="T276">
        <f>AND(Q276,R276,S276)</f>
        <v/>
      </c>
      <c r="U276">
        <f>IF(T276,IF(AND(설정!$A$41&lt;&gt;"",ISNUMBER(SEARCH(설정!$A$41,K276))),설정!$B$41,IF(AND(설정!$A$42&lt;&gt;"",ISNUMBER(SEARCH(설정!$A$42,K276))),설정!$B$42,IF(AND(설정!$A$43&lt;&gt;"",ISNUMBER(SEARCH(설정!$A$43,K276))),설정!$B$43,IF(AND(설정!$A$44&lt;&gt;"",ISNUMBER(SEARCH(설정!$A$44,K276))),설정!$B$44,IF(AND(설정!$A$45&lt;&gt;"",ISNUMBER(SEARCH(설정!$A$45,K276))),설정!$B$45,IF(AND(설정!$A$46&lt;&gt;"",ISNUMBER(SEARCH(설정!$A$46,K276))),설정!$B$46,IF(AND(설정!$A$47&lt;&gt;"",ISNUMBER(SEARCH(설정!$A$47,K276))),설정!$B$47,IF(AND(설정!$A$48&lt;&gt;"",ISNUMBER(SEARCH(설정!$A$48,K276))),설정!$B$48,IF(M276="","설계사","시공사"))))))))),"")</f>
        <v/>
      </c>
      <c r="V276">
        <f>SUBSTITUTE(SUBSTITUTE(SUBSTITUTE(SUBSTITUTE(G276,"(주)",""),"㈜",""),"주식회사","")," ","")</f>
        <v/>
      </c>
      <c r="W276">
        <f>IF(AND(T276,V276&lt;&gt;""),IF(COUNTIFS(V$2:V276,V276,T$2:T276,TRUE)=1,MAX(W$1:W275)+1,""),"")</f>
        <v/>
      </c>
      <c r="X276">
        <f>IFERROR(INDEX('1.산군_붙여넣기'!$A$1:$AZ$1001,ROW(),설정!$C$14)&amp;"","")</f>
        <v/>
      </c>
      <c r="Y276">
        <f>IFERROR(INDEX('1.산군_붙여넣기'!$A$1:$AZ$1001,ROW(),설정!$C$15)&amp;"","")</f>
        <v/>
      </c>
      <c r="Z276">
        <f>IF(T276,V276&amp;"|"&amp;U276,"")</f>
        <v/>
      </c>
    </row>
    <row r="277">
      <c r="A277">
        <f>ROW()</f>
        <v/>
      </c>
      <c r="B277">
        <f>IFERROR(INDEX('1.산군_붙여넣기'!$A$1:$AZ$1001,ROW(),설정!$C$4)&amp;"","")</f>
        <v/>
      </c>
      <c r="C277">
        <f>IFERROR(INDEX('1.산군_붙여넣기'!$A$1:$AZ$1001,ROW(),설정!$C$5)&amp;"","")</f>
        <v/>
      </c>
      <c r="D277" s="5">
        <f>IFERROR(VALUE(SUBSTITUTE(SUBSTITUTE(SUBSTITUTE(IFERROR(INDEX('1.산군_붙여넣기'!$A$1:$AZ$1001,ROW(),설정!$C$6)&amp;"",""),",",""),"㎡",""),"m2","")),"")</f>
        <v/>
      </c>
      <c r="E277">
        <f>IFERROR(INDEX('1.산군_붙여넣기'!$A$1:$AZ$1001,ROW(),설정!$C$7)&amp;"","")</f>
        <v/>
      </c>
      <c r="F277">
        <f>IFERROR(INDEX('1.산군_붙여넣기'!$A$1:$AZ$1001,ROW(),설정!$C$8)&amp;"","")</f>
        <v/>
      </c>
      <c r="G277">
        <f>IFERROR(INDEX('1.산군_붙여넣기'!$A$1:$AZ$1001,ROW(),설정!$C$9)&amp;"","")</f>
        <v/>
      </c>
      <c r="H277">
        <f>IFERROR(INDEX('1.산군_붙여넣기'!$A$1:$AZ$1001,ROW(),설정!$C$10)&amp;"","")</f>
        <v/>
      </c>
      <c r="I277">
        <f>IFERROR(INDEX('1.산군_붙여넣기'!$A$1:$AZ$1001,ROW(),설정!$C$11)&amp;"","")</f>
        <v/>
      </c>
      <c r="J277">
        <f>IFERROR(INDEX('1.산군_붙여넣기'!$A$1:$AZ$1001,ROW(),설정!$C$12)&amp;"","")</f>
        <v/>
      </c>
      <c r="K277">
        <f>IFERROR(INDEX('1.산군_붙여넣기'!$A$1:$AZ$1001,ROW(),설정!$C$13)&amp;"","")</f>
        <v/>
      </c>
      <c r="L277" s="6">
        <f>IF(X277="","",IF(AND(LEN(X277)=8,ISNUMBER(X277*1)),DATE(LEFT(X277,4),MID(X277,5,2),RIGHT(X277,2)),IFERROR(DATEVALUE(SUBSTITUTE(SUBSTITUTE(X277,".","-"),"/","-")),IFERROR(X277*1,""))))</f>
        <v/>
      </c>
      <c r="M277" s="6">
        <f>IF(Y277="","",IF(AND(LEN(Y277)=8,ISNUMBER(Y277*1)),DATE(LEFT(Y277,4),MID(Y277,5,2),RIGHT(Y277,2)),IFERROR(DATEVALUE(SUBSTITUTE(SUBSTITUTE(Y277,".","-"),"/","-")),IFERROR(Y277*1,""))))</f>
        <v/>
      </c>
      <c r="N277">
        <f>IFERROR(LEFT(B277,FIND(" ",B277)-1),B277)</f>
        <v/>
      </c>
      <c r="O277">
        <f>AND(B277&lt;&gt;"",B277&lt;&gt;설정!$B$4,C277&lt;&gt;설정!$B$5)</f>
        <v/>
      </c>
      <c r="P277">
        <f>IF(O277,B277&amp;"|"&amp;C277,"")</f>
        <v/>
      </c>
      <c r="Q277">
        <f>AND(O277,COUNTIF(P278:P$1002,P277)=0)</f>
        <v/>
      </c>
      <c r="R277">
        <f>OR(AND(설정!$A$28&lt;&gt;"",ISNUMBER(SEARCH(설정!$A$28,E277&amp;" "&amp;C277))),AND(설정!$A$29&lt;&gt;"",ISNUMBER(SEARCH(설정!$A$29,E277&amp;" "&amp;C277))),AND(설정!$A$30&lt;&gt;"",ISNUMBER(SEARCH(설정!$A$30,E277&amp;" "&amp;C277))),AND(설정!$A$31&lt;&gt;"",ISNUMBER(SEARCH(설정!$A$31,E277&amp;" "&amp;C277))),AND(설정!$A$32&lt;&gt;"",ISNUMBER(SEARCH(설정!$A$32,E277&amp;" "&amp;C277))),AND(설정!$A$33&lt;&gt;"",ISNUMBER(SEARCH(설정!$A$33,E277&amp;" "&amp;C277))),AND(설정!$A$34&lt;&gt;"",ISNUMBER(SEARCH(설정!$A$34,E277&amp;" "&amp;C277))),AND(설정!$A$35&lt;&gt;"",ISNUMBER(SEARCH(설정!$A$35,E277&amp;" "&amp;C277))),AND(설정!$A$36&lt;&gt;"",ISNUMBER(SEARCH(설정!$A$36,E277&amp;" "&amp;C277))),AND(설정!$A$37&lt;&gt;"",ISNUMBER(SEARCH(설정!$A$37,E277&amp;" "&amp;C277))))</f>
        <v/>
      </c>
      <c r="S277">
        <f>OR(D277="",D277&gt;=설정!$B$19)</f>
        <v/>
      </c>
      <c r="T277">
        <f>AND(Q277,R277,S277)</f>
        <v/>
      </c>
      <c r="U277">
        <f>IF(T277,IF(AND(설정!$A$41&lt;&gt;"",ISNUMBER(SEARCH(설정!$A$41,K277))),설정!$B$41,IF(AND(설정!$A$42&lt;&gt;"",ISNUMBER(SEARCH(설정!$A$42,K277))),설정!$B$42,IF(AND(설정!$A$43&lt;&gt;"",ISNUMBER(SEARCH(설정!$A$43,K277))),설정!$B$43,IF(AND(설정!$A$44&lt;&gt;"",ISNUMBER(SEARCH(설정!$A$44,K277))),설정!$B$44,IF(AND(설정!$A$45&lt;&gt;"",ISNUMBER(SEARCH(설정!$A$45,K277))),설정!$B$45,IF(AND(설정!$A$46&lt;&gt;"",ISNUMBER(SEARCH(설정!$A$46,K277))),설정!$B$46,IF(AND(설정!$A$47&lt;&gt;"",ISNUMBER(SEARCH(설정!$A$47,K277))),설정!$B$47,IF(AND(설정!$A$48&lt;&gt;"",ISNUMBER(SEARCH(설정!$A$48,K277))),설정!$B$48,IF(M277="","설계사","시공사"))))))))),"")</f>
        <v/>
      </c>
      <c r="V277">
        <f>SUBSTITUTE(SUBSTITUTE(SUBSTITUTE(SUBSTITUTE(G277,"(주)",""),"㈜",""),"주식회사","")," ","")</f>
        <v/>
      </c>
      <c r="W277">
        <f>IF(AND(T277,V277&lt;&gt;""),IF(COUNTIFS(V$2:V277,V277,T$2:T277,TRUE)=1,MAX(W$1:W276)+1,""),"")</f>
        <v/>
      </c>
      <c r="X277">
        <f>IFERROR(INDEX('1.산군_붙여넣기'!$A$1:$AZ$1001,ROW(),설정!$C$14)&amp;"","")</f>
        <v/>
      </c>
      <c r="Y277">
        <f>IFERROR(INDEX('1.산군_붙여넣기'!$A$1:$AZ$1001,ROW(),설정!$C$15)&amp;"","")</f>
        <v/>
      </c>
      <c r="Z277">
        <f>IF(T277,V277&amp;"|"&amp;U277,"")</f>
        <v/>
      </c>
    </row>
    <row r="278">
      <c r="A278">
        <f>ROW()</f>
        <v/>
      </c>
      <c r="B278">
        <f>IFERROR(INDEX('1.산군_붙여넣기'!$A$1:$AZ$1001,ROW(),설정!$C$4)&amp;"","")</f>
        <v/>
      </c>
      <c r="C278">
        <f>IFERROR(INDEX('1.산군_붙여넣기'!$A$1:$AZ$1001,ROW(),설정!$C$5)&amp;"","")</f>
        <v/>
      </c>
      <c r="D278" s="5">
        <f>IFERROR(VALUE(SUBSTITUTE(SUBSTITUTE(SUBSTITUTE(IFERROR(INDEX('1.산군_붙여넣기'!$A$1:$AZ$1001,ROW(),설정!$C$6)&amp;"",""),",",""),"㎡",""),"m2","")),"")</f>
        <v/>
      </c>
      <c r="E278">
        <f>IFERROR(INDEX('1.산군_붙여넣기'!$A$1:$AZ$1001,ROW(),설정!$C$7)&amp;"","")</f>
        <v/>
      </c>
      <c r="F278">
        <f>IFERROR(INDEX('1.산군_붙여넣기'!$A$1:$AZ$1001,ROW(),설정!$C$8)&amp;"","")</f>
        <v/>
      </c>
      <c r="G278">
        <f>IFERROR(INDEX('1.산군_붙여넣기'!$A$1:$AZ$1001,ROW(),설정!$C$9)&amp;"","")</f>
        <v/>
      </c>
      <c r="H278">
        <f>IFERROR(INDEX('1.산군_붙여넣기'!$A$1:$AZ$1001,ROW(),설정!$C$10)&amp;"","")</f>
        <v/>
      </c>
      <c r="I278">
        <f>IFERROR(INDEX('1.산군_붙여넣기'!$A$1:$AZ$1001,ROW(),설정!$C$11)&amp;"","")</f>
        <v/>
      </c>
      <c r="J278">
        <f>IFERROR(INDEX('1.산군_붙여넣기'!$A$1:$AZ$1001,ROW(),설정!$C$12)&amp;"","")</f>
        <v/>
      </c>
      <c r="K278">
        <f>IFERROR(INDEX('1.산군_붙여넣기'!$A$1:$AZ$1001,ROW(),설정!$C$13)&amp;"","")</f>
        <v/>
      </c>
      <c r="L278" s="6">
        <f>IF(X278="","",IF(AND(LEN(X278)=8,ISNUMBER(X278*1)),DATE(LEFT(X278,4),MID(X278,5,2),RIGHT(X278,2)),IFERROR(DATEVALUE(SUBSTITUTE(SUBSTITUTE(X278,".","-"),"/","-")),IFERROR(X278*1,""))))</f>
        <v/>
      </c>
      <c r="M278" s="6">
        <f>IF(Y278="","",IF(AND(LEN(Y278)=8,ISNUMBER(Y278*1)),DATE(LEFT(Y278,4),MID(Y278,5,2),RIGHT(Y278,2)),IFERROR(DATEVALUE(SUBSTITUTE(SUBSTITUTE(Y278,".","-"),"/","-")),IFERROR(Y278*1,""))))</f>
        <v/>
      </c>
      <c r="N278">
        <f>IFERROR(LEFT(B278,FIND(" ",B278)-1),B278)</f>
        <v/>
      </c>
      <c r="O278">
        <f>AND(B278&lt;&gt;"",B278&lt;&gt;설정!$B$4,C278&lt;&gt;설정!$B$5)</f>
        <v/>
      </c>
      <c r="P278">
        <f>IF(O278,B278&amp;"|"&amp;C278,"")</f>
        <v/>
      </c>
      <c r="Q278">
        <f>AND(O278,COUNTIF(P279:P$1002,P278)=0)</f>
        <v/>
      </c>
      <c r="R278">
        <f>OR(AND(설정!$A$28&lt;&gt;"",ISNUMBER(SEARCH(설정!$A$28,E278&amp;" "&amp;C278))),AND(설정!$A$29&lt;&gt;"",ISNUMBER(SEARCH(설정!$A$29,E278&amp;" "&amp;C278))),AND(설정!$A$30&lt;&gt;"",ISNUMBER(SEARCH(설정!$A$30,E278&amp;" "&amp;C278))),AND(설정!$A$31&lt;&gt;"",ISNUMBER(SEARCH(설정!$A$31,E278&amp;" "&amp;C278))),AND(설정!$A$32&lt;&gt;"",ISNUMBER(SEARCH(설정!$A$32,E278&amp;" "&amp;C278))),AND(설정!$A$33&lt;&gt;"",ISNUMBER(SEARCH(설정!$A$33,E278&amp;" "&amp;C278))),AND(설정!$A$34&lt;&gt;"",ISNUMBER(SEARCH(설정!$A$34,E278&amp;" "&amp;C278))),AND(설정!$A$35&lt;&gt;"",ISNUMBER(SEARCH(설정!$A$35,E278&amp;" "&amp;C278))),AND(설정!$A$36&lt;&gt;"",ISNUMBER(SEARCH(설정!$A$36,E278&amp;" "&amp;C278))),AND(설정!$A$37&lt;&gt;"",ISNUMBER(SEARCH(설정!$A$37,E278&amp;" "&amp;C278))))</f>
        <v/>
      </c>
      <c r="S278">
        <f>OR(D278="",D278&gt;=설정!$B$19)</f>
        <v/>
      </c>
      <c r="T278">
        <f>AND(Q278,R278,S278)</f>
        <v/>
      </c>
      <c r="U278">
        <f>IF(T278,IF(AND(설정!$A$41&lt;&gt;"",ISNUMBER(SEARCH(설정!$A$41,K278))),설정!$B$41,IF(AND(설정!$A$42&lt;&gt;"",ISNUMBER(SEARCH(설정!$A$42,K278))),설정!$B$42,IF(AND(설정!$A$43&lt;&gt;"",ISNUMBER(SEARCH(설정!$A$43,K278))),설정!$B$43,IF(AND(설정!$A$44&lt;&gt;"",ISNUMBER(SEARCH(설정!$A$44,K278))),설정!$B$44,IF(AND(설정!$A$45&lt;&gt;"",ISNUMBER(SEARCH(설정!$A$45,K278))),설정!$B$45,IF(AND(설정!$A$46&lt;&gt;"",ISNUMBER(SEARCH(설정!$A$46,K278))),설정!$B$46,IF(AND(설정!$A$47&lt;&gt;"",ISNUMBER(SEARCH(설정!$A$47,K278))),설정!$B$47,IF(AND(설정!$A$48&lt;&gt;"",ISNUMBER(SEARCH(설정!$A$48,K278))),설정!$B$48,IF(M278="","설계사","시공사"))))))))),"")</f>
        <v/>
      </c>
      <c r="V278">
        <f>SUBSTITUTE(SUBSTITUTE(SUBSTITUTE(SUBSTITUTE(G278,"(주)",""),"㈜",""),"주식회사","")," ","")</f>
        <v/>
      </c>
      <c r="W278">
        <f>IF(AND(T278,V278&lt;&gt;""),IF(COUNTIFS(V$2:V278,V278,T$2:T278,TRUE)=1,MAX(W$1:W277)+1,""),"")</f>
        <v/>
      </c>
      <c r="X278">
        <f>IFERROR(INDEX('1.산군_붙여넣기'!$A$1:$AZ$1001,ROW(),설정!$C$14)&amp;"","")</f>
        <v/>
      </c>
      <c r="Y278">
        <f>IFERROR(INDEX('1.산군_붙여넣기'!$A$1:$AZ$1001,ROW(),설정!$C$15)&amp;"","")</f>
        <v/>
      </c>
      <c r="Z278">
        <f>IF(T278,V278&amp;"|"&amp;U278,"")</f>
        <v/>
      </c>
    </row>
    <row r="279">
      <c r="A279">
        <f>ROW()</f>
        <v/>
      </c>
      <c r="B279">
        <f>IFERROR(INDEX('1.산군_붙여넣기'!$A$1:$AZ$1001,ROW(),설정!$C$4)&amp;"","")</f>
        <v/>
      </c>
      <c r="C279">
        <f>IFERROR(INDEX('1.산군_붙여넣기'!$A$1:$AZ$1001,ROW(),설정!$C$5)&amp;"","")</f>
        <v/>
      </c>
      <c r="D279" s="5">
        <f>IFERROR(VALUE(SUBSTITUTE(SUBSTITUTE(SUBSTITUTE(IFERROR(INDEX('1.산군_붙여넣기'!$A$1:$AZ$1001,ROW(),설정!$C$6)&amp;"",""),",",""),"㎡",""),"m2","")),"")</f>
        <v/>
      </c>
      <c r="E279">
        <f>IFERROR(INDEX('1.산군_붙여넣기'!$A$1:$AZ$1001,ROW(),설정!$C$7)&amp;"","")</f>
        <v/>
      </c>
      <c r="F279">
        <f>IFERROR(INDEX('1.산군_붙여넣기'!$A$1:$AZ$1001,ROW(),설정!$C$8)&amp;"","")</f>
        <v/>
      </c>
      <c r="G279">
        <f>IFERROR(INDEX('1.산군_붙여넣기'!$A$1:$AZ$1001,ROW(),설정!$C$9)&amp;"","")</f>
        <v/>
      </c>
      <c r="H279">
        <f>IFERROR(INDEX('1.산군_붙여넣기'!$A$1:$AZ$1001,ROW(),설정!$C$10)&amp;"","")</f>
        <v/>
      </c>
      <c r="I279">
        <f>IFERROR(INDEX('1.산군_붙여넣기'!$A$1:$AZ$1001,ROW(),설정!$C$11)&amp;"","")</f>
        <v/>
      </c>
      <c r="J279">
        <f>IFERROR(INDEX('1.산군_붙여넣기'!$A$1:$AZ$1001,ROW(),설정!$C$12)&amp;"","")</f>
        <v/>
      </c>
      <c r="K279">
        <f>IFERROR(INDEX('1.산군_붙여넣기'!$A$1:$AZ$1001,ROW(),설정!$C$13)&amp;"","")</f>
        <v/>
      </c>
      <c r="L279" s="6">
        <f>IF(X279="","",IF(AND(LEN(X279)=8,ISNUMBER(X279*1)),DATE(LEFT(X279,4),MID(X279,5,2),RIGHT(X279,2)),IFERROR(DATEVALUE(SUBSTITUTE(SUBSTITUTE(X279,".","-"),"/","-")),IFERROR(X279*1,""))))</f>
        <v/>
      </c>
      <c r="M279" s="6">
        <f>IF(Y279="","",IF(AND(LEN(Y279)=8,ISNUMBER(Y279*1)),DATE(LEFT(Y279,4),MID(Y279,5,2),RIGHT(Y279,2)),IFERROR(DATEVALUE(SUBSTITUTE(SUBSTITUTE(Y279,".","-"),"/","-")),IFERROR(Y279*1,""))))</f>
        <v/>
      </c>
      <c r="N279">
        <f>IFERROR(LEFT(B279,FIND(" ",B279)-1),B279)</f>
        <v/>
      </c>
      <c r="O279">
        <f>AND(B279&lt;&gt;"",B279&lt;&gt;설정!$B$4,C279&lt;&gt;설정!$B$5)</f>
        <v/>
      </c>
      <c r="P279">
        <f>IF(O279,B279&amp;"|"&amp;C279,"")</f>
        <v/>
      </c>
      <c r="Q279">
        <f>AND(O279,COUNTIF(P280:P$1002,P279)=0)</f>
        <v/>
      </c>
      <c r="R279">
        <f>OR(AND(설정!$A$28&lt;&gt;"",ISNUMBER(SEARCH(설정!$A$28,E279&amp;" "&amp;C279))),AND(설정!$A$29&lt;&gt;"",ISNUMBER(SEARCH(설정!$A$29,E279&amp;" "&amp;C279))),AND(설정!$A$30&lt;&gt;"",ISNUMBER(SEARCH(설정!$A$30,E279&amp;" "&amp;C279))),AND(설정!$A$31&lt;&gt;"",ISNUMBER(SEARCH(설정!$A$31,E279&amp;" "&amp;C279))),AND(설정!$A$32&lt;&gt;"",ISNUMBER(SEARCH(설정!$A$32,E279&amp;" "&amp;C279))),AND(설정!$A$33&lt;&gt;"",ISNUMBER(SEARCH(설정!$A$33,E279&amp;" "&amp;C279))),AND(설정!$A$34&lt;&gt;"",ISNUMBER(SEARCH(설정!$A$34,E279&amp;" "&amp;C279))),AND(설정!$A$35&lt;&gt;"",ISNUMBER(SEARCH(설정!$A$35,E279&amp;" "&amp;C279))),AND(설정!$A$36&lt;&gt;"",ISNUMBER(SEARCH(설정!$A$36,E279&amp;" "&amp;C279))),AND(설정!$A$37&lt;&gt;"",ISNUMBER(SEARCH(설정!$A$37,E279&amp;" "&amp;C279))))</f>
        <v/>
      </c>
      <c r="S279">
        <f>OR(D279="",D279&gt;=설정!$B$19)</f>
        <v/>
      </c>
      <c r="T279">
        <f>AND(Q279,R279,S279)</f>
        <v/>
      </c>
      <c r="U279">
        <f>IF(T279,IF(AND(설정!$A$41&lt;&gt;"",ISNUMBER(SEARCH(설정!$A$41,K279))),설정!$B$41,IF(AND(설정!$A$42&lt;&gt;"",ISNUMBER(SEARCH(설정!$A$42,K279))),설정!$B$42,IF(AND(설정!$A$43&lt;&gt;"",ISNUMBER(SEARCH(설정!$A$43,K279))),설정!$B$43,IF(AND(설정!$A$44&lt;&gt;"",ISNUMBER(SEARCH(설정!$A$44,K279))),설정!$B$44,IF(AND(설정!$A$45&lt;&gt;"",ISNUMBER(SEARCH(설정!$A$45,K279))),설정!$B$45,IF(AND(설정!$A$46&lt;&gt;"",ISNUMBER(SEARCH(설정!$A$46,K279))),설정!$B$46,IF(AND(설정!$A$47&lt;&gt;"",ISNUMBER(SEARCH(설정!$A$47,K279))),설정!$B$47,IF(AND(설정!$A$48&lt;&gt;"",ISNUMBER(SEARCH(설정!$A$48,K279))),설정!$B$48,IF(M279="","설계사","시공사"))))))))),"")</f>
        <v/>
      </c>
      <c r="V279">
        <f>SUBSTITUTE(SUBSTITUTE(SUBSTITUTE(SUBSTITUTE(G279,"(주)",""),"㈜",""),"주식회사","")," ","")</f>
        <v/>
      </c>
      <c r="W279">
        <f>IF(AND(T279,V279&lt;&gt;""),IF(COUNTIFS(V$2:V279,V279,T$2:T279,TRUE)=1,MAX(W$1:W278)+1,""),"")</f>
        <v/>
      </c>
      <c r="X279">
        <f>IFERROR(INDEX('1.산군_붙여넣기'!$A$1:$AZ$1001,ROW(),설정!$C$14)&amp;"","")</f>
        <v/>
      </c>
      <c r="Y279">
        <f>IFERROR(INDEX('1.산군_붙여넣기'!$A$1:$AZ$1001,ROW(),설정!$C$15)&amp;"","")</f>
        <v/>
      </c>
      <c r="Z279">
        <f>IF(T279,V279&amp;"|"&amp;U279,"")</f>
        <v/>
      </c>
    </row>
    <row r="280">
      <c r="A280">
        <f>ROW()</f>
        <v/>
      </c>
      <c r="B280">
        <f>IFERROR(INDEX('1.산군_붙여넣기'!$A$1:$AZ$1001,ROW(),설정!$C$4)&amp;"","")</f>
        <v/>
      </c>
      <c r="C280">
        <f>IFERROR(INDEX('1.산군_붙여넣기'!$A$1:$AZ$1001,ROW(),설정!$C$5)&amp;"","")</f>
        <v/>
      </c>
      <c r="D280" s="5">
        <f>IFERROR(VALUE(SUBSTITUTE(SUBSTITUTE(SUBSTITUTE(IFERROR(INDEX('1.산군_붙여넣기'!$A$1:$AZ$1001,ROW(),설정!$C$6)&amp;"",""),",",""),"㎡",""),"m2","")),"")</f>
        <v/>
      </c>
      <c r="E280">
        <f>IFERROR(INDEX('1.산군_붙여넣기'!$A$1:$AZ$1001,ROW(),설정!$C$7)&amp;"","")</f>
        <v/>
      </c>
      <c r="F280">
        <f>IFERROR(INDEX('1.산군_붙여넣기'!$A$1:$AZ$1001,ROW(),설정!$C$8)&amp;"","")</f>
        <v/>
      </c>
      <c r="G280">
        <f>IFERROR(INDEX('1.산군_붙여넣기'!$A$1:$AZ$1001,ROW(),설정!$C$9)&amp;"","")</f>
        <v/>
      </c>
      <c r="H280">
        <f>IFERROR(INDEX('1.산군_붙여넣기'!$A$1:$AZ$1001,ROW(),설정!$C$10)&amp;"","")</f>
        <v/>
      </c>
      <c r="I280">
        <f>IFERROR(INDEX('1.산군_붙여넣기'!$A$1:$AZ$1001,ROW(),설정!$C$11)&amp;"","")</f>
        <v/>
      </c>
      <c r="J280">
        <f>IFERROR(INDEX('1.산군_붙여넣기'!$A$1:$AZ$1001,ROW(),설정!$C$12)&amp;"","")</f>
        <v/>
      </c>
      <c r="K280">
        <f>IFERROR(INDEX('1.산군_붙여넣기'!$A$1:$AZ$1001,ROW(),설정!$C$13)&amp;"","")</f>
        <v/>
      </c>
      <c r="L280" s="6">
        <f>IF(X280="","",IF(AND(LEN(X280)=8,ISNUMBER(X280*1)),DATE(LEFT(X280,4),MID(X280,5,2),RIGHT(X280,2)),IFERROR(DATEVALUE(SUBSTITUTE(SUBSTITUTE(X280,".","-"),"/","-")),IFERROR(X280*1,""))))</f>
        <v/>
      </c>
      <c r="M280" s="6">
        <f>IF(Y280="","",IF(AND(LEN(Y280)=8,ISNUMBER(Y280*1)),DATE(LEFT(Y280,4),MID(Y280,5,2),RIGHT(Y280,2)),IFERROR(DATEVALUE(SUBSTITUTE(SUBSTITUTE(Y280,".","-"),"/","-")),IFERROR(Y280*1,""))))</f>
        <v/>
      </c>
      <c r="N280">
        <f>IFERROR(LEFT(B280,FIND(" ",B280)-1),B280)</f>
        <v/>
      </c>
      <c r="O280">
        <f>AND(B280&lt;&gt;"",B280&lt;&gt;설정!$B$4,C280&lt;&gt;설정!$B$5)</f>
        <v/>
      </c>
      <c r="P280">
        <f>IF(O280,B280&amp;"|"&amp;C280,"")</f>
        <v/>
      </c>
      <c r="Q280">
        <f>AND(O280,COUNTIF(P281:P$1002,P280)=0)</f>
        <v/>
      </c>
      <c r="R280">
        <f>OR(AND(설정!$A$28&lt;&gt;"",ISNUMBER(SEARCH(설정!$A$28,E280&amp;" "&amp;C280))),AND(설정!$A$29&lt;&gt;"",ISNUMBER(SEARCH(설정!$A$29,E280&amp;" "&amp;C280))),AND(설정!$A$30&lt;&gt;"",ISNUMBER(SEARCH(설정!$A$30,E280&amp;" "&amp;C280))),AND(설정!$A$31&lt;&gt;"",ISNUMBER(SEARCH(설정!$A$31,E280&amp;" "&amp;C280))),AND(설정!$A$32&lt;&gt;"",ISNUMBER(SEARCH(설정!$A$32,E280&amp;" "&amp;C280))),AND(설정!$A$33&lt;&gt;"",ISNUMBER(SEARCH(설정!$A$33,E280&amp;" "&amp;C280))),AND(설정!$A$34&lt;&gt;"",ISNUMBER(SEARCH(설정!$A$34,E280&amp;" "&amp;C280))),AND(설정!$A$35&lt;&gt;"",ISNUMBER(SEARCH(설정!$A$35,E280&amp;" "&amp;C280))),AND(설정!$A$36&lt;&gt;"",ISNUMBER(SEARCH(설정!$A$36,E280&amp;" "&amp;C280))),AND(설정!$A$37&lt;&gt;"",ISNUMBER(SEARCH(설정!$A$37,E280&amp;" "&amp;C280))))</f>
        <v/>
      </c>
      <c r="S280">
        <f>OR(D280="",D280&gt;=설정!$B$19)</f>
        <v/>
      </c>
      <c r="T280">
        <f>AND(Q280,R280,S280)</f>
        <v/>
      </c>
      <c r="U280">
        <f>IF(T280,IF(AND(설정!$A$41&lt;&gt;"",ISNUMBER(SEARCH(설정!$A$41,K280))),설정!$B$41,IF(AND(설정!$A$42&lt;&gt;"",ISNUMBER(SEARCH(설정!$A$42,K280))),설정!$B$42,IF(AND(설정!$A$43&lt;&gt;"",ISNUMBER(SEARCH(설정!$A$43,K280))),설정!$B$43,IF(AND(설정!$A$44&lt;&gt;"",ISNUMBER(SEARCH(설정!$A$44,K280))),설정!$B$44,IF(AND(설정!$A$45&lt;&gt;"",ISNUMBER(SEARCH(설정!$A$45,K280))),설정!$B$45,IF(AND(설정!$A$46&lt;&gt;"",ISNUMBER(SEARCH(설정!$A$46,K280))),설정!$B$46,IF(AND(설정!$A$47&lt;&gt;"",ISNUMBER(SEARCH(설정!$A$47,K280))),설정!$B$47,IF(AND(설정!$A$48&lt;&gt;"",ISNUMBER(SEARCH(설정!$A$48,K280))),설정!$B$48,IF(M280="","설계사","시공사"))))))))),"")</f>
        <v/>
      </c>
      <c r="V280">
        <f>SUBSTITUTE(SUBSTITUTE(SUBSTITUTE(SUBSTITUTE(G280,"(주)",""),"㈜",""),"주식회사","")," ","")</f>
        <v/>
      </c>
      <c r="W280">
        <f>IF(AND(T280,V280&lt;&gt;""),IF(COUNTIFS(V$2:V280,V280,T$2:T280,TRUE)=1,MAX(W$1:W279)+1,""),"")</f>
        <v/>
      </c>
      <c r="X280">
        <f>IFERROR(INDEX('1.산군_붙여넣기'!$A$1:$AZ$1001,ROW(),설정!$C$14)&amp;"","")</f>
        <v/>
      </c>
      <c r="Y280">
        <f>IFERROR(INDEX('1.산군_붙여넣기'!$A$1:$AZ$1001,ROW(),설정!$C$15)&amp;"","")</f>
        <v/>
      </c>
      <c r="Z280">
        <f>IF(T280,V280&amp;"|"&amp;U280,"")</f>
        <v/>
      </c>
    </row>
    <row r="281">
      <c r="A281">
        <f>ROW()</f>
        <v/>
      </c>
      <c r="B281">
        <f>IFERROR(INDEX('1.산군_붙여넣기'!$A$1:$AZ$1001,ROW(),설정!$C$4)&amp;"","")</f>
        <v/>
      </c>
      <c r="C281">
        <f>IFERROR(INDEX('1.산군_붙여넣기'!$A$1:$AZ$1001,ROW(),설정!$C$5)&amp;"","")</f>
        <v/>
      </c>
      <c r="D281" s="5">
        <f>IFERROR(VALUE(SUBSTITUTE(SUBSTITUTE(SUBSTITUTE(IFERROR(INDEX('1.산군_붙여넣기'!$A$1:$AZ$1001,ROW(),설정!$C$6)&amp;"",""),",",""),"㎡",""),"m2","")),"")</f>
        <v/>
      </c>
      <c r="E281">
        <f>IFERROR(INDEX('1.산군_붙여넣기'!$A$1:$AZ$1001,ROW(),설정!$C$7)&amp;"","")</f>
        <v/>
      </c>
      <c r="F281">
        <f>IFERROR(INDEX('1.산군_붙여넣기'!$A$1:$AZ$1001,ROW(),설정!$C$8)&amp;"","")</f>
        <v/>
      </c>
      <c r="G281">
        <f>IFERROR(INDEX('1.산군_붙여넣기'!$A$1:$AZ$1001,ROW(),설정!$C$9)&amp;"","")</f>
        <v/>
      </c>
      <c r="H281">
        <f>IFERROR(INDEX('1.산군_붙여넣기'!$A$1:$AZ$1001,ROW(),설정!$C$10)&amp;"","")</f>
        <v/>
      </c>
      <c r="I281">
        <f>IFERROR(INDEX('1.산군_붙여넣기'!$A$1:$AZ$1001,ROW(),설정!$C$11)&amp;"","")</f>
        <v/>
      </c>
      <c r="J281">
        <f>IFERROR(INDEX('1.산군_붙여넣기'!$A$1:$AZ$1001,ROW(),설정!$C$12)&amp;"","")</f>
        <v/>
      </c>
      <c r="K281">
        <f>IFERROR(INDEX('1.산군_붙여넣기'!$A$1:$AZ$1001,ROW(),설정!$C$13)&amp;"","")</f>
        <v/>
      </c>
      <c r="L281" s="6">
        <f>IF(X281="","",IF(AND(LEN(X281)=8,ISNUMBER(X281*1)),DATE(LEFT(X281,4),MID(X281,5,2),RIGHT(X281,2)),IFERROR(DATEVALUE(SUBSTITUTE(SUBSTITUTE(X281,".","-"),"/","-")),IFERROR(X281*1,""))))</f>
        <v/>
      </c>
      <c r="M281" s="6">
        <f>IF(Y281="","",IF(AND(LEN(Y281)=8,ISNUMBER(Y281*1)),DATE(LEFT(Y281,4),MID(Y281,5,2),RIGHT(Y281,2)),IFERROR(DATEVALUE(SUBSTITUTE(SUBSTITUTE(Y281,".","-"),"/","-")),IFERROR(Y281*1,""))))</f>
        <v/>
      </c>
      <c r="N281">
        <f>IFERROR(LEFT(B281,FIND(" ",B281)-1),B281)</f>
        <v/>
      </c>
      <c r="O281">
        <f>AND(B281&lt;&gt;"",B281&lt;&gt;설정!$B$4,C281&lt;&gt;설정!$B$5)</f>
        <v/>
      </c>
      <c r="P281">
        <f>IF(O281,B281&amp;"|"&amp;C281,"")</f>
        <v/>
      </c>
      <c r="Q281">
        <f>AND(O281,COUNTIF(P282:P$1002,P281)=0)</f>
        <v/>
      </c>
      <c r="R281">
        <f>OR(AND(설정!$A$28&lt;&gt;"",ISNUMBER(SEARCH(설정!$A$28,E281&amp;" "&amp;C281))),AND(설정!$A$29&lt;&gt;"",ISNUMBER(SEARCH(설정!$A$29,E281&amp;" "&amp;C281))),AND(설정!$A$30&lt;&gt;"",ISNUMBER(SEARCH(설정!$A$30,E281&amp;" "&amp;C281))),AND(설정!$A$31&lt;&gt;"",ISNUMBER(SEARCH(설정!$A$31,E281&amp;" "&amp;C281))),AND(설정!$A$32&lt;&gt;"",ISNUMBER(SEARCH(설정!$A$32,E281&amp;" "&amp;C281))),AND(설정!$A$33&lt;&gt;"",ISNUMBER(SEARCH(설정!$A$33,E281&amp;" "&amp;C281))),AND(설정!$A$34&lt;&gt;"",ISNUMBER(SEARCH(설정!$A$34,E281&amp;" "&amp;C281))),AND(설정!$A$35&lt;&gt;"",ISNUMBER(SEARCH(설정!$A$35,E281&amp;" "&amp;C281))),AND(설정!$A$36&lt;&gt;"",ISNUMBER(SEARCH(설정!$A$36,E281&amp;" "&amp;C281))),AND(설정!$A$37&lt;&gt;"",ISNUMBER(SEARCH(설정!$A$37,E281&amp;" "&amp;C281))))</f>
        <v/>
      </c>
      <c r="S281">
        <f>OR(D281="",D281&gt;=설정!$B$19)</f>
        <v/>
      </c>
      <c r="T281">
        <f>AND(Q281,R281,S281)</f>
        <v/>
      </c>
      <c r="U281">
        <f>IF(T281,IF(AND(설정!$A$41&lt;&gt;"",ISNUMBER(SEARCH(설정!$A$41,K281))),설정!$B$41,IF(AND(설정!$A$42&lt;&gt;"",ISNUMBER(SEARCH(설정!$A$42,K281))),설정!$B$42,IF(AND(설정!$A$43&lt;&gt;"",ISNUMBER(SEARCH(설정!$A$43,K281))),설정!$B$43,IF(AND(설정!$A$44&lt;&gt;"",ISNUMBER(SEARCH(설정!$A$44,K281))),설정!$B$44,IF(AND(설정!$A$45&lt;&gt;"",ISNUMBER(SEARCH(설정!$A$45,K281))),설정!$B$45,IF(AND(설정!$A$46&lt;&gt;"",ISNUMBER(SEARCH(설정!$A$46,K281))),설정!$B$46,IF(AND(설정!$A$47&lt;&gt;"",ISNUMBER(SEARCH(설정!$A$47,K281))),설정!$B$47,IF(AND(설정!$A$48&lt;&gt;"",ISNUMBER(SEARCH(설정!$A$48,K281))),설정!$B$48,IF(M281="","설계사","시공사"))))))))),"")</f>
        <v/>
      </c>
      <c r="V281">
        <f>SUBSTITUTE(SUBSTITUTE(SUBSTITUTE(SUBSTITUTE(G281,"(주)",""),"㈜",""),"주식회사","")," ","")</f>
        <v/>
      </c>
      <c r="W281">
        <f>IF(AND(T281,V281&lt;&gt;""),IF(COUNTIFS(V$2:V281,V281,T$2:T281,TRUE)=1,MAX(W$1:W280)+1,""),"")</f>
        <v/>
      </c>
      <c r="X281">
        <f>IFERROR(INDEX('1.산군_붙여넣기'!$A$1:$AZ$1001,ROW(),설정!$C$14)&amp;"","")</f>
        <v/>
      </c>
      <c r="Y281">
        <f>IFERROR(INDEX('1.산군_붙여넣기'!$A$1:$AZ$1001,ROW(),설정!$C$15)&amp;"","")</f>
        <v/>
      </c>
      <c r="Z281">
        <f>IF(T281,V281&amp;"|"&amp;U281,"")</f>
        <v/>
      </c>
    </row>
    <row r="282">
      <c r="A282">
        <f>ROW()</f>
        <v/>
      </c>
      <c r="B282">
        <f>IFERROR(INDEX('1.산군_붙여넣기'!$A$1:$AZ$1001,ROW(),설정!$C$4)&amp;"","")</f>
        <v/>
      </c>
      <c r="C282">
        <f>IFERROR(INDEX('1.산군_붙여넣기'!$A$1:$AZ$1001,ROW(),설정!$C$5)&amp;"","")</f>
        <v/>
      </c>
      <c r="D282" s="5">
        <f>IFERROR(VALUE(SUBSTITUTE(SUBSTITUTE(SUBSTITUTE(IFERROR(INDEX('1.산군_붙여넣기'!$A$1:$AZ$1001,ROW(),설정!$C$6)&amp;"",""),",",""),"㎡",""),"m2","")),"")</f>
        <v/>
      </c>
      <c r="E282">
        <f>IFERROR(INDEX('1.산군_붙여넣기'!$A$1:$AZ$1001,ROW(),설정!$C$7)&amp;"","")</f>
        <v/>
      </c>
      <c r="F282">
        <f>IFERROR(INDEX('1.산군_붙여넣기'!$A$1:$AZ$1001,ROW(),설정!$C$8)&amp;"","")</f>
        <v/>
      </c>
      <c r="G282">
        <f>IFERROR(INDEX('1.산군_붙여넣기'!$A$1:$AZ$1001,ROW(),설정!$C$9)&amp;"","")</f>
        <v/>
      </c>
      <c r="H282">
        <f>IFERROR(INDEX('1.산군_붙여넣기'!$A$1:$AZ$1001,ROW(),설정!$C$10)&amp;"","")</f>
        <v/>
      </c>
      <c r="I282">
        <f>IFERROR(INDEX('1.산군_붙여넣기'!$A$1:$AZ$1001,ROW(),설정!$C$11)&amp;"","")</f>
        <v/>
      </c>
      <c r="J282">
        <f>IFERROR(INDEX('1.산군_붙여넣기'!$A$1:$AZ$1001,ROW(),설정!$C$12)&amp;"","")</f>
        <v/>
      </c>
      <c r="K282">
        <f>IFERROR(INDEX('1.산군_붙여넣기'!$A$1:$AZ$1001,ROW(),설정!$C$13)&amp;"","")</f>
        <v/>
      </c>
      <c r="L282" s="6">
        <f>IF(X282="","",IF(AND(LEN(X282)=8,ISNUMBER(X282*1)),DATE(LEFT(X282,4),MID(X282,5,2),RIGHT(X282,2)),IFERROR(DATEVALUE(SUBSTITUTE(SUBSTITUTE(X282,".","-"),"/","-")),IFERROR(X282*1,""))))</f>
        <v/>
      </c>
      <c r="M282" s="6">
        <f>IF(Y282="","",IF(AND(LEN(Y282)=8,ISNUMBER(Y282*1)),DATE(LEFT(Y282,4),MID(Y282,5,2),RIGHT(Y282,2)),IFERROR(DATEVALUE(SUBSTITUTE(SUBSTITUTE(Y282,".","-"),"/","-")),IFERROR(Y282*1,""))))</f>
        <v/>
      </c>
      <c r="N282">
        <f>IFERROR(LEFT(B282,FIND(" ",B282)-1),B282)</f>
        <v/>
      </c>
      <c r="O282">
        <f>AND(B282&lt;&gt;"",B282&lt;&gt;설정!$B$4,C282&lt;&gt;설정!$B$5)</f>
        <v/>
      </c>
      <c r="P282">
        <f>IF(O282,B282&amp;"|"&amp;C282,"")</f>
        <v/>
      </c>
      <c r="Q282">
        <f>AND(O282,COUNTIF(P283:P$1002,P282)=0)</f>
        <v/>
      </c>
      <c r="R282">
        <f>OR(AND(설정!$A$28&lt;&gt;"",ISNUMBER(SEARCH(설정!$A$28,E282&amp;" "&amp;C282))),AND(설정!$A$29&lt;&gt;"",ISNUMBER(SEARCH(설정!$A$29,E282&amp;" "&amp;C282))),AND(설정!$A$30&lt;&gt;"",ISNUMBER(SEARCH(설정!$A$30,E282&amp;" "&amp;C282))),AND(설정!$A$31&lt;&gt;"",ISNUMBER(SEARCH(설정!$A$31,E282&amp;" "&amp;C282))),AND(설정!$A$32&lt;&gt;"",ISNUMBER(SEARCH(설정!$A$32,E282&amp;" "&amp;C282))),AND(설정!$A$33&lt;&gt;"",ISNUMBER(SEARCH(설정!$A$33,E282&amp;" "&amp;C282))),AND(설정!$A$34&lt;&gt;"",ISNUMBER(SEARCH(설정!$A$34,E282&amp;" "&amp;C282))),AND(설정!$A$35&lt;&gt;"",ISNUMBER(SEARCH(설정!$A$35,E282&amp;" "&amp;C282))),AND(설정!$A$36&lt;&gt;"",ISNUMBER(SEARCH(설정!$A$36,E282&amp;" "&amp;C282))),AND(설정!$A$37&lt;&gt;"",ISNUMBER(SEARCH(설정!$A$37,E282&amp;" "&amp;C282))))</f>
        <v/>
      </c>
      <c r="S282">
        <f>OR(D282="",D282&gt;=설정!$B$19)</f>
        <v/>
      </c>
      <c r="T282">
        <f>AND(Q282,R282,S282)</f>
        <v/>
      </c>
      <c r="U282">
        <f>IF(T282,IF(AND(설정!$A$41&lt;&gt;"",ISNUMBER(SEARCH(설정!$A$41,K282))),설정!$B$41,IF(AND(설정!$A$42&lt;&gt;"",ISNUMBER(SEARCH(설정!$A$42,K282))),설정!$B$42,IF(AND(설정!$A$43&lt;&gt;"",ISNUMBER(SEARCH(설정!$A$43,K282))),설정!$B$43,IF(AND(설정!$A$44&lt;&gt;"",ISNUMBER(SEARCH(설정!$A$44,K282))),설정!$B$44,IF(AND(설정!$A$45&lt;&gt;"",ISNUMBER(SEARCH(설정!$A$45,K282))),설정!$B$45,IF(AND(설정!$A$46&lt;&gt;"",ISNUMBER(SEARCH(설정!$A$46,K282))),설정!$B$46,IF(AND(설정!$A$47&lt;&gt;"",ISNUMBER(SEARCH(설정!$A$47,K282))),설정!$B$47,IF(AND(설정!$A$48&lt;&gt;"",ISNUMBER(SEARCH(설정!$A$48,K282))),설정!$B$48,IF(M282="","설계사","시공사"))))))))),"")</f>
        <v/>
      </c>
      <c r="V282">
        <f>SUBSTITUTE(SUBSTITUTE(SUBSTITUTE(SUBSTITUTE(G282,"(주)",""),"㈜",""),"주식회사","")," ","")</f>
        <v/>
      </c>
      <c r="W282">
        <f>IF(AND(T282,V282&lt;&gt;""),IF(COUNTIFS(V$2:V282,V282,T$2:T282,TRUE)=1,MAX(W$1:W281)+1,""),"")</f>
        <v/>
      </c>
      <c r="X282">
        <f>IFERROR(INDEX('1.산군_붙여넣기'!$A$1:$AZ$1001,ROW(),설정!$C$14)&amp;"","")</f>
        <v/>
      </c>
      <c r="Y282">
        <f>IFERROR(INDEX('1.산군_붙여넣기'!$A$1:$AZ$1001,ROW(),설정!$C$15)&amp;"","")</f>
        <v/>
      </c>
      <c r="Z282">
        <f>IF(T282,V282&amp;"|"&amp;U282,"")</f>
        <v/>
      </c>
    </row>
    <row r="283">
      <c r="A283">
        <f>ROW()</f>
        <v/>
      </c>
      <c r="B283">
        <f>IFERROR(INDEX('1.산군_붙여넣기'!$A$1:$AZ$1001,ROW(),설정!$C$4)&amp;"","")</f>
        <v/>
      </c>
      <c r="C283">
        <f>IFERROR(INDEX('1.산군_붙여넣기'!$A$1:$AZ$1001,ROW(),설정!$C$5)&amp;"","")</f>
        <v/>
      </c>
      <c r="D283" s="5">
        <f>IFERROR(VALUE(SUBSTITUTE(SUBSTITUTE(SUBSTITUTE(IFERROR(INDEX('1.산군_붙여넣기'!$A$1:$AZ$1001,ROW(),설정!$C$6)&amp;"",""),",",""),"㎡",""),"m2","")),"")</f>
        <v/>
      </c>
      <c r="E283">
        <f>IFERROR(INDEX('1.산군_붙여넣기'!$A$1:$AZ$1001,ROW(),설정!$C$7)&amp;"","")</f>
        <v/>
      </c>
      <c r="F283">
        <f>IFERROR(INDEX('1.산군_붙여넣기'!$A$1:$AZ$1001,ROW(),설정!$C$8)&amp;"","")</f>
        <v/>
      </c>
      <c r="G283">
        <f>IFERROR(INDEX('1.산군_붙여넣기'!$A$1:$AZ$1001,ROW(),설정!$C$9)&amp;"","")</f>
        <v/>
      </c>
      <c r="H283">
        <f>IFERROR(INDEX('1.산군_붙여넣기'!$A$1:$AZ$1001,ROW(),설정!$C$10)&amp;"","")</f>
        <v/>
      </c>
      <c r="I283">
        <f>IFERROR(INDEX('1.산군_붙여넣기'!$A$1:$AZ$1001,ROW(),설정!$C$11)&amp;"","")</f>
        <v/>
      </c>
      <c r="J283">
        <f>IFERROR(INDEX('1.산군_붙여넣기'!$A$1:$AZ$1001,ROW(),설정!$C$12)&amp;"","")</f>
        <v/>
      </c>
      <c r="K283">
        <f>IFERROR(INDEX('1.산군_붙여넣기'!$A$1:$AZ$1001,ROW(),설정!$C$13)&amp;"","")</f>
        <v/>
      </c>
      <c r="L283" s="6">
        <f>IF(X283="","",IF(AND(LEN(X283)=8,ISNUMBER(X283*1)),DATE(LEFT(X283,4),MID(X283,5,2),RIGHT(X283,2)),IFERROR(DATEVALUE(SUBSTITUTE(SUBSTITUTE(X283,".","-"),"/","-")),IFERROR(X283*1,""))))</f>
        <v/>
      </c>
      <c r="M283" s="6">
        <f>IF(Y283="","",IF(AND(LEN(Y283)=8,ISNUMBER(Y283*1)),DATE(LEFT(Y283,4),MID(Y283,5,2),RIGHT(Y283,2)),IFERROR(DATEVALUE(SUBSTITUTE(SUBSTITUTE(Y283,".","-"),"/","-")),IFERROR(Y283*1,""))))</f>
        <v/>
      </c>
      <c r="N283">
        <f>IFERROR(LEFT(B283,FIND(" ",B283)-1),B283)</f>
        <v/>
      </c>
      <c r="O283">
        <f>AND(B283&lt;&gt;"",B283&lt;&gt;설정!$B$4,C283&lt;&gt;설정!$B$5)</f>
        <v/>
      </c>
      <c r="P283">
        <f>IF(O283,B283&amp;"|"&amp;C283,"")</f>
        <v/>
      </c>
      <c r="Q283">
        <f>AND(O283,COUNTIF(P284:P$1002,P283)=0)</f>
        <v/>
      </c>
      <c r="R283">
        <f>OR(AND(설정!$A$28&lt;&gt;"",ISNUMBER(SEARCH(설정!$A$28,E283&amp;" "&amp;C283))),AND(설정!$A$29&lt;&gt;"",ISNUMBER(SEARCH(설정!$A$29,E283&amp;" "&amp;C283))),AND(설정!$A$30&lt;&gt;"",ISNUMBER(SEARCH(설정!$A$30,E283&amp;" "&amp;C283))),AND(설정!$A$31&lt;&gt;"",ISNUMBER(SEARCH(설정!$A$31,E283&amp;" "&amp;C283))),AND(설정!$A$32&lt;&gt;"",ISNUMBER(SEARCH(설정!$A$32,E283&amp;" "&amp;C283))),AND(설정!$A$33&lt;&gt;"",ISNUMBER(SEARCH(설정!$A$33,E283&amp;" "&amp;C283))),AND(설정!$A$34&lt;&gt;"",ISNUMBER(SEARCH(설정!$A$34,E283&amp;" "&amp;C283))),AND(설정!$A$35&lt;&gt;"",ISNUMBER(SEARCH(설정!$A$35,E283&amp;" "&amp;C283))),AND(설정!$A$36&lt;&gt;"",ISNUMBER(SEARCH(설정!$A$36,E283&amp;" "&amp;C283))),AND(설정!$A$37&lt;&gt;"",ISNUMBER(SEARCH(설정!$A$37,E283&amp;" "&amp;C283))))</f>
        <v/>
      </c>
      <c r="S283">
        <f>OR(D283="",D283&gt;=설정!$B$19)</f>
        <v/>
      </c>
      <c r="T283">
        <f>AND(Q283,R283,S283)</f>
        <v/>
      </c>
      <c r="U283">
        <f>IF(T283,IF(AND(설정!$A$41&lt;&gt;"",ISNUMBER(SEARCH(설정!$A$41,K283))),설정!$B$41,IF(AND(설정!$A$42&lt;&gt;"",ISNUMBER(SEARCH(설정!$A$42,K283))),설정!$B$42,IF(AND(설정!$A$43&lt;&gt;"",ISNUMBER(SEARCH(설정!$A$43,K283))),설정!$B$43,IF(AND(설정!$A$44&lt;&gt;"",ISNUMBER(SEARCH(설정!$A$44,K283))),설정!$B$44,IF(AND(설정!$A$45&lt;&gt;"",ISNUMBER(SEARCH(설정!$A$45,K283))),설정!$B$45,IF(AND(설정!$A$46&lt;&gt;"",ISNUMBER(SEARCH(설정!$A$46,K283))),설정!$B$46,IF(AND(설정!$A$47&lt;&gt;"",ISNUMBER(SEARCH(설정!$A$47,K283))),설정!$B$47,IF(AND(설정!$A$48&lt;&gt;"",ISNUMBER(SEARCH(설정!$A$48,K283))),설정!$B$48,IF(M283="","설계사","시공사"))))))))),"")</f>
        <v/>
      </c>
      <c r="V283">
        <f>SUBSTITUTE(SUBSTITUTE(SUBSTITUTE(SUBSTITUTE(G283,"(주)",""),"㈜",""),"주식회사","")," ","")</f>
        <v/>
      </c>
      <c r="W283">
        <f>IF(AND(T283,V283&lt;&gt;""),IF(COUNTIFS(V$2:V283,V283,T$2:T283,TRUE)=1,MAX(W$1:W282)+1,""),"")</f>
        <v/>
      </c>
      <c r="X283">
        <f>IFERROR(INDEX('1.산군_붙여넣기'!$A$1:$AZ$1001,ROW(),설정!$C$14)&amp;"","")</f>
        <v/>
      </c>
      <c r="Y283">
        <f>IFERROR(INDEX('1.산군_붙여넣기'!$A$1:$AZ$1001,ROW(),설정!$C$15)&amp;"","")</f>
        <v/>
      </c>
      <c r="Z283">
        <f>IF(T283,V283&amp;"|"&amp;U283,"")</f>
        <v/>
      </c>
    </row>
    <row r="284">
      <c r="A284">
        <f>ROW()</f>
        <v/>
      </c>
      <c r="B284">
        <f>IFERROR(INDEX('1.산군_붙여넣기'!$A$1:$AZ$1001,ROW(),설정!$C$4)&amp;"","")</f>
        <v/>
      </c>
      <c r="C284">
        <f>IFERROR(INDEX('1.산군_붙여넣기'!$A$1:$AZ$1001,ROW(),설정!$C$5)&amp;"","")</f>
        <v/>
      </c>
      <c r="D284" s="5">
        <f>IFERROR(VALUE(SUBSTITUTE(SUBSTITUTE(SUBSTITUTE(IFERROR(INDEX('1.산군_붙여넣기'!$A$1:$AZ$1001,ROW(),설정!$C$6)&amp;"",""),",",""),"㎡",""),"m2","")),"")</f>
        <v/>
      </c>
      <c r="E284">
        <f>IFERROR(INDEX('1.산군_붙여넣기'!$A$1:$AZ$1001,ROW(),설정!$C$7)&amp;"","")</f>
        <v/>
      </c>
      <c r="F284">
        <f>IFERROR(INDEX('1.산군_붙여넣기'!$A$1:$AZ$1001,ROW(),설정!$C$8)&amp;"","")</f>
        <v/>
      </c>
      <c r="G284">
        <f>IFERROR(INDEX('1.산군_붙여넣기'!$A$1:$AZ$1001,ROW(),설정!$C$9)&amp;"","")</f>
        <v/>
      </c>
      <c r="H284">
        <f>IFERROR(INDEX('1.산군_붙여넣기'!$A$1:$AZ$1001,ROW(),설정!$C$10)&amp;"","")</f>
        <v/>
      </c>
      <c r="I284">
        <f>IFERROR(INDEX('1.산군_붙여넣기'!$A$1:$AZ$1001,ROW(),설정!$C$11)&amp;"","")</f>
        <v/>
      </c>
      <c r="J284">
        <f>IFERROR(INDEX('1.산군_붙여넣기'!$A$1:$AZ$1001,ROW(),설정!$C$12)&amp;"","")</f>
        <v/>
      </c>
      <c r="K284">
        <f>IFERROR(INDEX('1.산군_붙여넣기'!$A$1:$AZ$1001,ROW(),설정!$C$13)&amp;"","")</f>
        <v/>
      </c>
      <c r="L284" s="6">
        <f>IF(X284="","",IF(AND(LEN(X284)=8,ISNUMBER(X284*1)),DATE(LEFT(X284,4),MID(X284,5,2),RIGHT(X284,2)),IFERROR(DATEVALUE(SUBSTITUTE(SUBSTITUTE(X284,".","-"),"/","-")),IFERROR(X284*1,""))))</f>
        <v/>
      </c>
      <c r="M284" s="6">
        <f>IF(Y284="","",IF(AND(LEN(Y284)=8,ISNUMBER(Y284*1)),DATE(LEFT(Y284,4),MID(Y284,5,2),RIGHT(Y284,2)),IFERROR(DATEVALUE(SUBSTITUTE(SUBSTITUTE(Y284,".","-"),"/","-")),IFERROR(Y284*1,""))))</f>
        <v/>
      </c>
      <c r="N284">
        <f>IFERROR(LEFT(B284,FIND(" ",B284)-1),B284)</f>
        <v/>
      </c>
      <c r="O284">
        <f>AND(B284&lt;&gt;"",B284&lt;&gt;설정!$B$4,C284&lt;&gt;설정!$B$5)</f>
        <v/>
      </c>
      <c r="P284">
        <f>IF(O284,B284&amp;"|"&amp;C284,"")</f>
        <v/>
      </c>
      <c r="Q284">
        <f>AND(O284,COUNTIF(P285:P$1002,P284)=0)</f>
        <v/>
      </c>
      <c r="R284">
        <f>OR(AND(설정!$A$28&lt;&gt;"",ISNUMBER(SEARCH(설정!$A$28,E284&amp;" "&amp;C284))),AND(설정!$A$29&lt;&gt;"",ISNUMBER(SEARCH(설정!$A$29,E284&amp;" "&amp;C284))),AND(설정!$A$30&lt;&gt;"",ISNUMBER(SEARCH(설정!$A$30,E284&amp;" "&amp;C284))),AND(설정!$A$31&lt;&gt;"",ISNUMBER(SEARCH(설정!$A$31,E284&amp;" "&amp;C284))),AND(설정!$A$32&lt;&gt;"",ISNUMBER(SEARCH(설정!$A$32,E284&amp;" "&amp;C284))),AND(설정!$A$33&lt;&gt;"",ISNUMBER(SEARCH(설정!$A$33,E284&amp;" "&amp;C284))),AND(설정!$A$34&lt;&gt;"",ISNUMBER(SEARCH(설정!$A$34,E284&amp;" "&amp;C284))),AND(설정!$A$35&lt;&gt;"",ISNUMBER(SEARCH(설정!$A$35,E284&amp;" "&amp;C284))),AND(설정!$A$36&lt;&gt;"",ISNUMBER(SEARCH(설정!$A$36,E284&amp;" "&amp;C284))),AND(설정!$A$37&lt;&gt;"",ISNUMBER(SEARCH(설정!$A$37,E284&amp;" "&amp;C284))))</f>
        <v/>
      </c>
      <c r="S284">
        <f>OR(D284="",D284&gt;=설정!$B$19)</f>
        <v/>
      </c>
      <c r="T284">
        <f>AND(Q284,R284,S284)</f>
        <v/>
      </c>
      <c r="U284">
        <f>IF(T284,IF(AND(설정!$A$41&lt;&gt;"",ISNUMBER(SEARCH(설정!$A$41,K284))),설정!$B$41,IF(AND(설정!$A$42&lt;&gt;"",ISNUMBER(SEARCH(설정!$A$42,K284))),설정!$B$42,IF(AND(설정!$A$43&lt;&gt;"",ISNUMBER(SEARCH(설정!$A$43,K284))),설정!$B$43,IF(AND(설정!$A$44&lt;&gt;"",ISNUMBER(SEARCH(설정!$A$44,K284))),설정!$B$44,IF(AND(설정!$A$45&lt;&gt;"",ISNUMBER(SEARCH(설정!$A$45,K284))),설정!$B$45,IF(AND(설정!$A$46&lt;&gt;"",ISNUMBER(SEARCH(설정!$A$46,K284))),설정!$B$46,IF(AND(설정!$A$47&lt;&gt;"",ISNUMBER(SEARCH(설정!$A$47,K284))),설정!$B$47,IF(AND(설정!$A$48&lt;&gt;"",ISNUMBER(SEARCH(설정!$A$48,K284))),설정!$B$48,IF(M284="","설계사","시공사"))))))))),"")</f>
        <v/>
      </c>
      <c r="V284">
        <f>SUBSTITUTE(SUBSTITUTE(SUBSTITUTE(SUBSTITUTE(G284,"(주)",""),"㈜",""),"주식회사","")," ","")</f>
        <v/>
      </c>
      <c r="W284">
        <f>IF(AND(T284,V284&lt;&gt;""),IF(COUNTIFS(V$2:V284,V284,T$2:T284,TRUE)=1,MAX(W$1:W283)+1,""),"")</f>
        <v/>
      </c>
      <c r="X284">
        <f>IFERROR(INDEX('1.산군_붙여넣기'!$A$1:$AZ$1001,ROW(),설정!$C$14)&amp;"","")</f>
        <v/>
      </c>
      <c r="Y284">
        <f>IFERROR(INDEX('1.산군_붙여넣기'!$A$1:$AZ$1001,ROW(),설정!$C$15)&amp;"","")</f>
        <v/>
      </c>
      <c r="Z284">
        <f>IF(T284,V284&amp;"|"&amp;U284,"")</f>
        <v/>
      </c>
    </row>
    <row r="285">
      <c r="A285">
        <f>ROW()</f>
        <v/>
      </c>
      <c r="B285">
        <f>IFERROR(INDEX('1.산군_붙여넣기'!$A$1:$AZ$1001,ROW(),설정!$C$4)&amp;"","")</f>
        <v/>
      </c>
      <c r="C285">
        <f>IFERROR(INDEX('1.산군_붙여넣기'!$A$1:$AZ$1001,ROW(),설정!$C$5)&amp;"","")</f>
        <v/>
      </c>
      <c r="D285" s="5">
        <f>IFERROR(VALUE(SUBSTITUTE(SUBSTITUTE(SUBSTITUTE(IFERROR(INDEX('1.산군_붙여넣기'!$A$1:$AZ$1001,ROW(),설정!$C$6)&amp;"",""),",",""),"㎡",""),"m2","")),"")</f>
        <v/>
      </c>
      <c r="E285">
        <f>IFERROR(INDEX('1.산군_붙여넣기'!$A$1:$AZ$1001,ROW(),설정!$C$7)&amp;"","")</f>
        <v/>
      </c>
      <c r="F285">
        <f>IFERROR(INDEX('1.산군_붙여넣기'!$A$1:$AZ$1001,ROW(),설정!$C$8)&amp;"","")</f>
        <v/>
      </c>
      <c r="G285">
        <f>IFERROR(INDEX('1.산군_붙여넣기'!$A$1:$AZ$1001,ROW(),설정!$C$9)&amp;"","")</f>
        <v/>
      </c>
      <c r="H285">
        <f>IFERROR(INDEX('1.산군_붙여넣기'!$A$1:$AZ$1001,ROW(),설정!$C$10)&amp;"","")</f>
        <v/>
      </c>
      <c r="I285">
        <f>IFERROR(INDEX('1.산군_붙여넣기'!$A$1:$AZ$1001,ROW(),설정!$C$11)&amp;"","")</f>
        <v/>
      </c>
      <c r="J285">
        <f>IFERROR(INDEX('1.산군_붙여넣기'!$A$1:$AZ$1001,ROW(),설정!$C$12)&amp;"","")</f>
        <v/>
      </c>
      <c r="K285">
        <f>IFERROR(INDEX('1.산군_붙여넣기'!$A$1:$AZ$1001,ROW(),설정!$C$13)&amp;"","")</f>
        <v/>
      </c>
      <c r="L285" s="6">
        <f>IF(X285="","",IF(AND(LEN(X285)=8,ISNUMBER(X285*1)),DATE(LEFT(X285,4),MID(X285,5,2),RIGHT(X285,2)),IFERROR(DATEVALUE(SUBSTITUTE(SUBSTITUTE(X285,".","-"),"/","-")),IFERROR(X285*1,""))))</f>
        <v/>
      </c>
      <c r="M285" s="6">
        <f>IF(Y285="","",IF(AND(LEN(Y285)=8,ISNUMBER(Y285*1)),DATE(LEFT(Y285,4),MID(Y285,5,2),RIGHT(Y285,2)),IFERROR(DATEVALUE(SUBSTITUTE(SUBSTITUTE(Y285,".","-"),"/","-")),IFERROR(Y285*1,""))))</f>
        <v/>
      </c>
      <c r="N285">
        <f>IFERROR(LEFT(B285,FIND(" ",B285)-1),B285)</f>
        <v/>
      </c>
      <c r="O285">
        <f>AND(B285&lt;&gt;"",B285&lt;&gt;설정!$B$4,C285&lt;&gt;설정!$B$5)</f>
        <v/>
      </c>
      <c r="P285">
        <f>IF(O285,B285&amp;"|"&amp;C285,"")</f>
        <v/>
      </c>
      <c r="Q285">
        <f>AND(O285,COUNTIF(P286:P$1002,P285)=0)</f>
        <v/>
      </c>
      <c r="R285">
        <f>OR(AND(설정!$A$28&lt;&gt;"",ISNUMBER(SEARCH(설정!$A$28,E285&amp;" "&amp;C285))),AND(설정!$A$29&lt;&gt;"",ISNUMBER(SEARCH(설정!$A$29,E285&amp;" "&amp;C285))),AND(설정!$A$30&lt;&gt;"",ISNUMBER(SEARCH(설정!$A$30,E285&amp;" "&amp;C285))),AND(설정!$A$31&lt;&gt;"",ISNUMBER(SEARCH(설정!$A$31,E285&amp;" "&amp;C285))),AND(설정!$A$32&lt;&gt;"",ISNUMBER(SEARCH(설정!$A$32,E285&amp;" "&amp;C285))),AND(설정!$A$33&lt;&gt;"",ISNUMBER(SEARCH(설정!$A$33,E285&amp;" "&amp;C285))),AND(설정!$A$34&lt;&gt;"",ISNUMBER(SEARCH(설정!$A$34,E285&amp;" "&amp;C285))),AND(설정!$A$35&lt;&gt;"",ISNUMBER(SEARCH(설정!$A$35,E285&amp;" "&amp;C285))),AND(설정!$A$36&lt;&gt;"",ISNUMBER(SEARCH(설정!$A$36,E285&amp;" "&amp;C285))),AND(설정!$A$37&lt;&gt;"",ISNUMBER(SEARCH(설정!$A$37,E285&amp;" "&amp;C285))))</f>
        <v/>
      </c>
      <c r="S285">
        <f>OR(D285="",D285&gt;=설정!$B$19)</f>
        <v/>
      </c>
      <c r="T285">
        <f>AND(Q285,R285,S285)</f>
        <v/>
      </c>
      <c r="U285">
        <f>IF(T285,IF(AND(설정!$A$41&lt;&gt;"",ISNUMBER(SEARCH(설정!$A$41,K285))),설정!$B$41,IF(AND(설정!$A$42&lt;&gt;"",ISNUMBER(SEARCH(설정!$A$42,K285))),설정!$B$42,IF(AND(설정!$A$43&lt;&gt;"",ISNUMBER(SEARCH(설정!$A$43,K285))),설정!$B$43,IF(AND(설정!$A$44&lt;&gt;"",ISNUMBER(SEARCH(설정!$A$44,K285))),설정!$B$44,IF(AND(설정!$A$45&lt;&gt;"",ISNUMBER(SEARCH(설정!$A$45,K285))),설정!$B$45,IF(AND(설정!$A$46&lt;&gt;"",ISNUMBER(SEARCH(설정!$A$46,K285))),설정!$B$46,IF(AND(설정!$A$47&lt;&gt;"",ISNUMBER(SEARCH(설정!$A$47,K285))),설정!$B$47,IF(AND(설정!$A$48&lt;&gt;"",ISNUMBER(SEARCH(설정!$A$48,K285))),설정!$B$48,IF(M285="","설계사","시공사"))))))))),"")</f>
        <v/>
      </c>
      <c r="V285">
        <f>SUBSTITUTE(SUBSTITUTE(SUBSTITUTE(SUBSTITUTE(G285,"(주)",""),"㈜",""),"주식회사","")," ","")</f>
        <v/>
      </c>
      <c r="W285">
        <f>IF(AND(T285,V285&lt;&gt;""),IF(COUNTIFS(V$2:V285,V285,T$2:T285,TRUE)=1,MAX(W$1:W284)+1,""),"")</f>
        <v/>
      </c>
      <c r="X285">
        <f>IFERROR(INDEX('1.산군_붙여넣기'!$A$1:$AZ$1001,ROW(),설정!$C$14)&amp;"","")</f>
        <v/>
      </c>
      <c r="Y285">
        <f>IFERROR(INDEX('1.산군_붙여넣기'!$A$1:$AZ$1001,ROW(),설정!$C$15)&amp;"","")</f>
        <v/>
      </c>
      <c r="Z285">
        <f>IF(T285,V285&amp;"|"&amp;U285,"")</f>
        <v/>
      </c>
    </row>
    <row r="286">
      <c r="A286">
        <f>ROW()</f>
        <v/>
      </c>
      <c r="B286">
        <f>IFERROR(INDEX('1.산군_붙여넣기'!$A$1:$AZ$1001,ROW(),설정!$C$4)&amp;"","")</f>
        <v/>
      </c>
      <c r="C286">
        <f>IFERROR(INDEX('1.산군_붙여넣기'!$A$1:$AZ$1001,ROW(),설정!$C$5)&amp;"","")</f>
        <v/>
      </c>
      <c r="D286" s="5">
        <f>IFERROR(VALUE(SUBSTITUTE(SUBSTITUTE(SUBSTITUTE(IFERROR(INDEX('1.산군_붙여넣기'!$A$1:$AZ$1001,ROW(),설정!$C$6)&amp;"",""),",",""),"㎡",""),"m2","")),"")</f>
        <v/>
      </c>
      <c r="E286">
        <f>IFERROR(INDEX('1.산군_붙여넣기'!$A$1:$AZ$1001,ROW(),설정!$C$7)&amp;"","")</f>
        <v/>
      </c>
      <c r="F286">
        <f>IFERROR(INDEX('1.산군_붙여넣기'!$A$1:$AZ$1001,ROW(),설정!$C$8)&amp;"","")</f>
        <v/>
      </c>
      <c r="G286">
        <f>IFERROR(INDEX('1.산군_붙여넣기'!$A$1:$AZ$1001,ROW(),설정!$C$9)&amp;"","")</f>
        <v/>
      </c>
      <c r="H286">
        <f>IFERROR(INDEX('1.산군_붙여넣기'!$A$1:$AZ$1001,ROW(),설정!$C$10)&amp;"","")</f>
        <v/>
      </c>
      <c r="I286">
        <f>IFERROR(INDEX('1.산군_붙여넣기'!$A$1:$AZ$1001,ROW(),설정!$C$11)&amp;"","")</f>
        <v/>
      </c>
      <c r="J286">
        <f>IFERROR(INDEX('1.산군_붙여넣기'!$A$1:$AZ$1001,ROW(),설정!$C$12)&amp;"","")</f>
        <v/>
      </c>
      <c r="K286">
        <f>IFERROR(INDEX('1.산군_붙여넣기'!$A$1:$AZ$1001,ROW(),설정!$C$13)&amp;"","")</f>
        <v/>
      </c>
      <c r="L286" s="6">
        <f>IF(X286="","",IF(AND(LEN(X286)=8,ISNUMBER(X286*1)),DATE(LEFT(X286,4),MID(X286,5,2),RIGHT(X286,2)),IFERROR(DATEVALUE(SUBSTITUTE(SUBSTITUTE(X286,".","-"),"/","-")),IFERROR(X286*1,""))))</f>
        <v/>
      </c>
      <c r="M286" s="6">
        <f>IF(Y286="","",IF(AND(LEN(Y286)=8,ISNUMBER(Y286*1)),DATE(LEFT(Y286,4),MID(Y286,5,2),RIGHT(Y286,2)),IFERROR(DATEVALUE(SUBSTITUTE(SUBSTITUTE(Y286,".","-"),"/","-")),IFERROR(Y286*1,""))))</f>
        <v/>
      </c>
      <c r="N286">
        <f>IFERROR(LEFT(B286,FIND(" ",B286)-1),B286)</f>
        <v/>
      </c>
      <c r="O286">
        <f>AND(B286&lt;&gt;"",B286&lt;&gt;설정!$B$4,C286&lt;&gt;설정!$B$5)</f>
        <v/>
      </c>
      <c r="P286">
        <f>IF(O286,B286&amp;"|"&amp;C286,"")</f>
        <v/>
      </c>
      <c r="Q286">
        <f>AND(O286,COUNTIF(P287:P$1002,P286)=0)</f>
        <v/>
      </c>
      <c r="R286">
        <f>OR(AND(설정!$A$28&lt;&gt;"",ISNUMBER(SEARCH(설정!$A$28,E286&amp;" "&amp;C286))),AND(설정!$A$29&lt;&gt;"",ISNUMBER(SEARCH(설정!$A$29,E286&amp;" "&amp;C286))),AND(설정!$A$30&lt;&gt;"",ISNUMBER(SEARCH(설정!$A$30,E286&amp;" "&amp;C286))),AND(설정!$A$31&lt;&gt;"",ISNUMBER(SEARCH(설정!$A$31,E286&amp;" "&amp;C286))),AND(설정!$A$32&lt;&gt;"",ISNUMBER(SEARCH(설정!$A$32,E286&amp;" "&amp;C286))),AND(설정!$A$33&lt;&gt;"",ISNUMBER(SEARCH(설정!$A$33,E286&amp;" "&amp;C286))),AND(설정!$A$34&lt;&gt;"",ISNUMBER(SEARCH(설정!$A$34,E286&amp;" "&amp;C286))),AND(설정!$A$35&lt;&gt;"",ISNUMBER(SEARCH(설정!$A$35,E286&amp;" "&amp;C286))),AND(설정!$A$36&lt;&gt;"",ISNUMBER(SEARCH(설정!$A$36,E286&amp;" "&amp;C286))),AND(설정!$A$37&lt;&gt;"",ISNUMBER(SEARCH(설정!$A$37,E286&amp;" "&amp;C286))))</f>
        <v/>
      </c>
      <c r="S286">
        <f>OR(D286="",D286&gt;=설정!$B$19)</f>
        <v/>
      </c>
      <c r="T286">
        <f>AND(Q286,R286,S286)</f>
        <v/>
      </c>
      <c r="U286">
        <f>IF(T286,IF(AND(설정!$A$41&lt;&gt;"",ISNUMBER(SEARCH(설정!$A$41,K286))),설정!$B$41,IF(AND(설정!$A$42&lt;&gt;"",ISNUMBER(SEARCH(설정!$A$42,K286))),설정!$B$42,IF(AND(설정!$A$43&lt;&gt;"",ISNUMBER(SEARCH(설정!$A$43,K286))),설정!$B$43,IF(AND(설정!$A$44&lt;&gt;"",ISNUMBER(SEARCH(설정!$A$44,K286))),설정!$B$44,IF(AND(설정!$A$45&lt;&gt;"",ISNUMBER(SEARCH(설정!$A$45,K286))),설정!$B$45,IF(AND(설정!$A$46&lt;&gt;"",ISNUMBER(SEARCH(설정!$A$46,K286))),설정!$B$46,IF(AND(설정!$A$47&lt;&gt;"",ISNUMBER(SEARCH(설정!$A$47,K286))),설정!$B$47,IF(AND(설정!$A$48&lt;&gt;"",ISNUMBER(SEARCH(설정!$A$48,K286))),설정!$B$48,IF(M286="","설계사","시공사"))))))))),"")</f>
        <v/>
      </c>
      <c r="V286">
        <f>SUBSTITUTE(SUBSTITUTE(SUBSTITUTE(SUBSTITUTE(G286,"(주)",""),"㈜",""),"주식회사","")," ","")</f>
        <v/>
      </c>
      <c r="W286">
        <f>IF(AND(T286,V286&lt;&gt;""),IF(COUNTIFS(V$2:V286,V286,T$2:T286,TRUE)=1,MAX(W$1:W285)+1,""),"")</f>
        <v/>
      </c>
      <c r="X286">
        <f>IFERROR(INDEX('1.산군_붙여넣기'!$A$1:$AZ$1001,ROW(),설정!$C$14)&amp;"","")</f>
        <v/>
      </c>
      <c r="Y286">
        <f>IFERROR(INDEX('1.산군_붙여넣기'!$A$1:$AZ$1001,ROW(),설정!$C$15)&amp;"","")</f>
        <v/>
      </c>
      <c r="Z286">
        <f>IF(T286,V286&amp;"|"&amp;U286,"")</f>
        <v/>
      </c>
    </row>
    <row r="287">
      <c r="A287">
        <f>ROW()</f>
        <v/>
      </c>
      <c r="B287">
        <f>IFERROR(INDEX('1.산군_붙여넣기'!$A$1:$AZ$1001,ROW(),설정!$C$4)&amp;"","")</f>
        <v/>
      </c>
      <c r="C287">
        <f>IFERROR(INDEX('1.산군_붙여넣기'!$A$1:$AZ$1001,ROW(),설정!$C$5)&amp;"","")</f>
        <v/>
      </c>
      <c r="D287" s="5">
        <f>IFERROR(VALUE(SUBSTITUTE(SUBSTITUTE(SUBSTITUTE(IFERROR(INDEX('1.산군_붙여넣기'!$A$1:$AZ$1001,ROW(),설정!$C$6)&amp;"",""),",",""),"㎡",""),"m2","")),"")</f>
        <v/>
      </c>
      <c r="E287">
        <f>IFERROR(INDEX('1.산군_붙여넣기'!$A$1:$AZ$1001,ROW(),설정!$C$7)&amp;"","")</f>
        <v/>
      </c>
      <c r="F287">
        <f>IFERROR(INDEX('1.산군_붙여넣기'!$A$1:$AZ$1001,ROW(),설정!$C$8)&amp;"","")</f>
        <v/>
      </c>
      <c r="G287">
        <f>IFERROR(INDEX('1.산군_붙여넣기'!$A$1:$AZ$1001,ROW(),설정!$C$9)&amp;"","")</f>
        <v/>
      </c>
      <c r="H287">
        <f>IFERROR(INDEX('1.산군_붙여넣기'!$A$1:$AZ$1001,ROW(),설정!$C$10)&amp;"","")</f>
        <v/>
      </c>
      <c r="I287">
        <f>IFERROR(INDEX('1.산군_붙여넣기'!$A$1:$AZ$1001,ROW(),설정!$C$11)&amp;"","")</f>
        <v/>
      </c>
      <c r="J287">
        <f>IFERROR(INDEX('1.산군_붙여넣기'!$A$1:$AZ$1001,ROW(),설정!$C$12)&amp;"","")</f>
        <v/>
      </c>
      <c r="K287">
        <f>IFERROR(INDEX('1.산군_붙여넣기'!$A$1:$AZ$1001,ROW(),설정!$C$13)&amp;"","")</f>
        <v/>
      </c>
      <c r="L287" s="6">
        <f>IF(X287="","",IF(AND(LEN(X287)=8,ISNUMBER(X287*1)),DATE(LEFT(X287,4),MID(X287,5,2),RIGHT(X287,2)),IFERROR(DATEVALUE(SUBSTITUTE(SUBSTITUTE(X287,".","-"),"/","-")),IFERROR(X287*1,""))))</f>
        <v/>
      </c>
      <c r="M287" s="6">
        <f>IF(Y287="","",IF(AND(LEN(Y287)=8,ISNUMBER(Y287*1)),DATE(LEFT(Y287,4),MID(Y287,5,2),RIGHT(Y287,2)),IFERROR(DATEVALUE(SUBSTITUTE(SUBSTITUTE(Y287,".","-"),"/","-")),IFERROR(Y287*1,""))))</f>
        <v/>
      </c>
      <c r="N287">
        <f>IFERROR(LEFT(B287,FIND(" ",B287)-1),B287)</f>
        <v/>
      </c>
      <c r="O287">
        <f>AND(B287&lt;&gt;"",B287&lt;&gt;설정!$B$4,C287&lt;&gt;설정!$B$5)</f>
        <v/>
      </c>
      <c r="P287">
        <f>IF(O287,B287&amp;"|"&amp;C287,"")</f>
        <v/>
      </c>
      <c r="Q287">
        <f>AND(O287,COUNTIF(P288:P$1002,P287)=0)</f>
        <v/>
      </c>
      <c r="R287">
        <f>OR(AND(설정!$A$28&lt;&gt;"",ISNUMBER(SEARCH(설정!$A$28,E287&amp;" "&amp;C287))),AND(설정!$A$29&lt;&gt;"",ISNUMBER(SEARCH(설정!$A$29,E287&amp;" "&amp;C287))),AND(설정!$A$30&lt;&gt;"",ISNUMBER(SEARCH(설정!$A$30,E287&amp;" "&amp;C287))),AND(설정!$A$31&lt;&gt;"",ISNUMBER(SEARCH(설정!$A$31,E287&amp;" "&amp;C287))),AND(설정!$A$32&lt;&gt;"",ISNUMBER(SEARCH(설정!$A$32,E287&amp;" "&amp;C287))),AND(설정!$A$33&lt;&gt;"",ISNUMBER(SEARCH(설정!$A$33,E287&amp;" "&amp;C287))),AND(설정!$A$34&lt;&gt;"",ISNUMBER(SEARCH(설정!$A$34,E287&amp;" "&amp;C287))),AND(설정!$A$35&lt;&gt;"",ISNUMBER(SEARCH(설정!$A$35,E287&amp;" "&amp;C287))),AND(설정!$A$36&lt;&gt;"",ISNUMBER(SEARCH(설정!$A$36,E287&amp;" "&amp;C287))),AND(설정!$A$37&lt;&gt;"",ISNUMBER(SEARCH(설정!$A$37,E287&amp;" "&amp;C287))))</f>
        <v/>
      </c>
      <c r="S287">
        <f>OR(D287="",D287&gt;=설정!$B$19)</f>
        <v/>
      </c>
      <c r="T287">
        <f>AND(Q287,R287,S287)</f>
        <v/>
      </c>
      <c r="U287">
        <f>IF(T287,IF(AND(설정!$A$41&lt;&gt;"",ISNUMBER(SEARCH(설정!$A$41,K287))),설정!$B$41,IF(AND(설정!$A$42&lt;&gt;"",ISNUMBER(SEARCH(설정!$A$42,K287))),설정!$B$42,IF(AND(설정!$A$43&lt;&gt;"",ISNUMBER(SEARCH(설정!$A$43,K287))),설정!$B$43,IF(AND(설정!$A$44&lt;&gt;"",ISNUMBER(SEARCH(설정!$A$44,K287))),설정!$B$44,IF(AND(설정!$A$45&lt;&gt;"",ISNUMBER(SEARCH(설정!$A$45,K287))),설정!$B$45,IF(AND(설정!$A$46&lt;&gt;"",ISNUMBER(SEARCH(설정!$A$46,K287))),설정!$B$46,IF(AND(설정!$A$47&lt;&gt;"",ISNUMBER(SEARCH(설정!$A$47,K287))),설정!$B$47,IF(AND(설정!$A$48&lt;&gt;"",ISNUMBER(SEARCH(설정!$A$48,K287))),설정!$B$48,IF(M287="","설계사","시공사"))))))))),"")</f>
        <v/>
      </c>
      <c r="V287">
        <f>SUBSTITUTE(SUBSTITUTE(SUBSTITUTE(SUBSTITUTE(G287,"(주)",""),"㈜",""),"주식회사","")," ","")</f>
        <v/>
      </c>
      <c r="W287">
        <f>IF(AND(T287,V287&lt;&gt;""),IF(COUNTIFS(V$2:V287,V287,T$2:T287,TRUE)=1,MAX(W$1:W286)+1,""),"")</f>
        <v/>
      </c>
      <c r="X287">
        <f>IFERROR(INDEX('1.산군_붙여넣기'!$A$1:$AZ$1001,ROW(),설정!$C$14)&amp;"","")</f>
        <v/>
      </c>
      <c r="Y287">
        <f>IFERROR(INDEX('1.산군_붙여넣기'!$A$1:$AZ$1001,ROW(),설정!$C$15)&amp;"","")</f>
        <v/>
      </c>
      <c r="Z287">
        <f>IF(T287,V287&amp;"|"&amp;U287,"")</f>
        <v/>
      </c>
    </row>
    <row r="288">
      <c r="A288">
        <f>ROW()</f>
        <v/>
      </c>
      <c r="B288">
        <f>IFERROR(INDEX('1.산군_붙여넣기'!$A$1:$AZ$1001,ROW(),설정!$C$4)&amp;"","")</f>
        <v/>
      </c>
      <c r="C288">
        <f>IFERROR(INDEX('1.산군_붙여넣기'!$A$1:$AZ$1001,ROW(),설정!$C$5)&amp;"","")</f>
        <v/>
      </c>
      <c r="D288" s="5">
        <f>IFERROR(VALUE(SUBSTITUTE(SUBSTITUTE(SUBSTITUTE(IFERROR(INDEX('1.산군_붙여넣기'!$A$1:$AZ$1001,ROW(),설정!$C$6)&amp;"",""),",",""),"㎡",""),"m2","")),"")</f>
        <v/>
      </c>
      <c r="E288">
        <f>IFERROR(INDEX('1.산군_붙여넣기'!$A$1:$AZ$1001,ROW(),설정!$C$7)&amp;"","")</f>
        <v/>
      </c>
      <c r="F288">
        <f>IFERROR(INDEX('1.산군_붙여넣기'!$A$1:$AZ$1001,ROW(),설정!$C$8)&amp;"","")</f>
        <v/>
      </c>
      <c r="G288">
        <f>IFERROR(INDEX('1.산군_붙여넣기'!$A$1:$AZ$1001,ROW(),설정!$C$9)&amp;"","")</f>
        <v/>
      </c>
      <c r="H288">
        <f>IFERROR(INDEX('1.산군_붙여넣기'!$A$1:$AZ$1001,ROW(),설정!$C$10)&amp;"","")</f>
        <v/>
      </c>
      <c r="I288">
        <f>IFERROR(INDEX('1.산군_붙여넣기'!$A$1:$AZ$1001,ROW(),설정!$C$11)&amp;"","")</f>
        <v/>
      </c>
      <c r="J288">
        <f>IFERROR(INDEX('1.산군_붙여넣기'!$A$1:$AZ$1001,ROW(),설정!$C$12)&amp;"","")</f>
        <v/>
      </c>
      <c r="K288">
        <f>IFERROR(INDEX('1.산군_붙여넣기'!$A$1:$AZ$1001,ROW(),설정!$C$13)&amp;"","")</f>
        <v/>
      </c>
      <c r="L288" s="6">
        <f>IF(X288="","",IF(AND(LEN(X288)=8,ISNUMBER(X288*1)),DATE(LEFT(X288,4),MID(X288,5,2),RIGHT(X288,2)),IFERROR(DATEVALUE(SUBSTITUTE(SUBSTITUTE(X288,".","-"),"/","-")),IFERROR(X288*1,""))))</f>
        <v/>
      </c>
      <c r="M288" s="6">
        <f>IF(Y288="","",IF(AND(LEN(Y288)=8,ISNUMBER(Y288*1)),DATE(LEFT(Y288,4),MID(Y288,5,2),RIGHT(Y288,2)),IFERROR(DATEVALUE(SUBSTITUTE(SUBSTITUTE(Y288,".","-"),"/","-")),IFERROR(Y288*1,""))))</f>
        <v/>
      </c>
      <c r="N288">
        <f>IFERROR(LEFT(B288,FIND(" ",B288)-1),B288)</f>
        <v/>
      </c>
      <c r="O288">
        <f>AND(B288&lt;&gt;"",B288&lt;&gt;설정!$B$4,C288&lt;&gt;설정!$B$5)</f>
        <v/>
      </c>
      <c r="P288">
        <f>IF(O288,B288&amp;"|"&amp;C288,"")</f>
        <v/>
      </c>
      <c r="Q288">
        <f>AND(O288,COUNTIF(P289:P$1002,P288)=0)</f>
        <v/>
      </c>
      <c r="R288">
        <f>OR(AND(설정!$A$28&lt;&gt;"",ISNUMBER(SEARCH(설정!$A$28,E288&amp;" "&amp;C288))),AND(설정!$A$29&lt;&gt;"",ISNUMBER(SEARCH(설정!$A$29,E288&amp;" "&amp;C288))),AND(설정!$A$30&lt;&gt;"",ISNUMBER(SEARCH(설정!$A$30,E288&amp;" "&amp;C288))),AND(설정!$A$31&lt;&gt;"",ISNUMBER(SEARCH(설정!$A$31,E288&amp;" "&amp;C288))),AND(설정!$A$32&lt;&gt;"",ISNUMBER(SEARCH(설정!$A$32,E288&amp;" "&amp;C288))),AND(설정!$A$33&lt;&gt;"",ISNUMBER(SEARCH(설정!$A$33,E288&amp;" "&amp;C288))),AND(설정!$A$34&lt;&gt;"",ISNUMBER(SEARCH(설정!$A$34,E288&amp;" "&amp;C288))),AND(설정!$A$35&lt;&gt;"",ISNUMBER(SEARCH(설정!$A$35,E288&amp;" "&amp;C288))),AND(설정!$A$36&lt;&gt;"",ISNUMBER(SEARCH(설정!$A$36,E288&amp;" "&amp;C288))),AND(설정!$A$37&lt;&gt;"",ISNUMBER(SEARCH(설정!$A$37,E288&amp;" "&amp;C288))))</f>
        <v/>
      </c>
      <c r="S288">
        <f>OR(D288="",D288&gt;=설정!$B$19)</f>
        <v/>
      </c>
      <c r="T288">
        <f>AND(Q288,R288,S288)</f>
        <v/>
      </c>
      <c r="U288">
        <f>IF(T288,IF(AND(설정!$A$41&lt;&gt;"",ISNUMBER(SEARCH(설정!$A$41,K288))),설정!$B$41,IF(AND(설정!$A$42&lt;&gt;"",ISNUMBER(SEARCH(설정!$A$42,K288))),설정!$B$42,IF(AND(설정!$A$43&lt;&gt;"",ISNUMBER(SEARCH(설정!$A$43,K288))),설정!$B$43,IF(AND(설정!$A$44&lt;&gt;"",ISNUMBER(SEARCH(설정!$A$44,K288))),설정!$B$44,IF(AND(설정!$A$45&lt;&gt;"",ISNUMBER(SEARCH(설정!$A$45,K288))),설정!$B$45,IF(AND(설정!$A$46&lt;&gt;"",ISNUMBER(SEARCH(설정!$A$46,K288))),설정!$B$46,IF(AND(설정!$A$47&lt;&gt;"",ISNUMBER(SEARCH(설정!$A$47,K288))),설정!$B$47,IF(AND(설정!$A$48&lt;&gt;"",ISNUMBER(SEARCH(설정!$A$48,K288))),설정!$B$48,IF(M288="","설계사","시공사"))))))))),"")</f>
        <v/>
      </c>
      <c r="V288">
        <f>SUBSTITUTE(SUBSTITUTE(SUBSTITUTE(SUBSTITUTE(G288,"(주)",""),"㈜",""),"주식회사","")," ","")</f>
        <v/>
      </c>
      <c r="W288">
        <f>IF(AND(T288,V288&lt;&gt;""),IF(COUNTIFS(V$2:V288,V288,T$2:T288,TRUE)=1,MAX(W$1:W287)+1,""),"")</f>
        <v/>
      </c>
      <c r="X288">
        <f>IFERROR(INDEX('1.산군_붙여넣기'!$A$1:$AZ$1001,ROW(),설정!$C$14)&amp;"","")</f>
        <v/>
      </c>
      <c r="Y288">
        <f>IFERROR(INDEX('1.산군_붙여넣기'!$A$1:$AZ$1001,ROW(),설정!$C$15)&amp;"","")</f>
        <v/>
      </c>
      <c r="Z288">
        <f>IF(T288,V288&amp;"|"&amp;U288,"")</f>
        <v/>
      </c>
    </row>
    <row r="289">
      <c r="A289">
        <f>ROW()</f>
        <v/>
      </c>
      <c r="B289">
        <f>IFERROR(INDEX('1.산군_붙여넣기'!$A$1:$AZ$1001,ROW(),설정!$C$4)&amp;"","")</f>
        <v/>
      </c>
      <c r="C289">
        <f>IFERROR(INDEX('1.산군_붙여넣기'!$A$1:$AZ$1001,ROW(),설정!$C$5)&amp;"","")</f>
        <v/>
      </c>
      <c r="D289" s="5">
        <f>IFERROR(VALUE(SUBSTITUTE(SUBSTITUTE(SUBSTITUTE(IFERROR(INDEX('1.산군_붙여넣기'!$A$1:$AZ$1001,ROW(),설정!$C$6)&amp;"",""),",",""),"㎡",""),"m2","")),"")</f>
        <v/>
      </c>
      <c r="E289">
        <f>IFERROR(INDEX('1.산군_붙여넣기'!$A$1:$AZ$1001,ROW(),설정!$C$7)&amp;"","")</f>
        <v/>
      </c>
      <c r="F289">
        <f>IFERROR(INDEX('1.산군_붙여넣기'!$A$1:$AZ$1001,ROW(),설정!$C$8)&amp;"","")</f>
        <v/>
      </c>
      <c r="G289">
        <f>IFERROR(INDEX('1.산군_붙여넣기'!$A$1:$AZ$1001,ROW(),설정!$C$9)&amp;"","")</f>
        <v/>
      </c>
      <c r="H289">
        <f>IFERROR(INDEX('1.산군_붙여넣기'!$A$1:$AZ$1001,ROW(),설정!$C$10)&amp;"","")</f>
        <v/>
      </c>
      <c r="I289">
        <f>IFERROR(INDEX('1.산군_붙여넣기'!$A$1:$AZ$1001,ROW(),설정!$C$11)&amp;"","")</f>
        <v/>
      </c>
      <c r="J289">
        <f>IFERROR(INDEX('1.산군_붙여넣기'!$A$1:$AZ$1001,ROW(),설정!$C$12)&amp;"","")</f>
        <v/>
      </c>
      <c r="K289">
        <f>IFERROR(INDEX('1.산군_붙여넣기'!$A$1:$AZ$1001,ROW(),설정!$C$13)&amp;"","")</f>
        <v/>
      </c>
      <c r="L289" s="6">
        <f>IF(X289="","",IF(AND(LEN(X289)=8,ISNUMBER(X289*1)),DATE(LEFT(X289,4),MID(X289,5,2),RIGHT(X289,2)),IFERROR(DATEVALUE(SUBSTITUTE(SUBSTITUTE(X289,".","-"),"/","-")),IFERROR(X289*1,""))))</f>
        <v/>
      </c>
      <c r="M289" s="6">
        <f>IF(Y289="","",IF(AND(LEN(Y289)=8,ISNUMBER(Y289*1)),DATE(LEFT(Y289,4),MID(Y289,5,2),RIGHT(Y289,2)),IFERROR(DATEVALUE(SUBSTITUTE(SUBSTITUTE(Y289,".","-"),"/","-")),IFERROR(Y289*1,""))))</f>
        <v/>
      </c>
      <c r="N289">
        <f>IFERROR(LEFT(B289,FIND(" ",B289)-1),B289)</f>
        <v/>
      </c>
      <c r="O289">
        <f>AND(B289&lt;&gt;"",B289&lt;&gt;설정!$B$4,C289&lt;&gt;설정!$B$5)</f>
        <v/>
      </c>
      <c r="P289">
        <f>IF(O289,B289&amp;"|"&amp;C289,"")</f>
        <v/>
      </c>
      <c r="Q289">
        <f>AND(O289,COUNTIF(P290:P$1002,P289)=0)</f>
        <v/>
      </c>
      <c r="R289">
        <f>OR(AND(설정!$A$28&lt;&gt;"",ISNUMBER(SEARCH(설정!$A$28,E289&amp;" "&amp;C289))),AND(설정!$A$29&lt;&gt;"",ISNUMBER(SEARCH(설정!$A$29,E289&amp;" "&amp;C289))),AND(설정!$A$30&lt;&gt;"",ISNUMBER(SEARCH(설정!$A$30,E289&amp;" "&amp;C289))),AND(설정!$A$31&lt;&gt;"",ISNUMBER(SEARCH(설정!$A$31,E289&amp;" "&amp;C289))),AND(설정!$A$32&lt;&gt;"",ISNUMBER(SEARCH(설정!$A$32,E289&amp;" "&amp;C289))),AND(설정!$A$33&lt;&gt;"",ISNUMBER(SEARCH(설정!$A$33,E289&amp;" "&amp;C289))),AND(설정!$A$34&lt;&gt;"",ISNUMBER(SEARCH(설정!$A$34,E289&amp;" "&amp;C289))),AND(설정!$A$35&lt;&gt;"",ISNUMBER(SEARCH(설정!$A$35,E289&amp;" "&amp;C289))),AND(설정!$A$36&lt;&gt;"",ISNUMBER(SEARCH(설정!$A$36,E289&amp;" "&amp;C289))),AND(설정!$A$37&lt;&gt;"",ISNUMBER(SEARCH(설정!$A$37,E289&amp;" "&amp;C289))))</f>
        <v/>
      </c>
      <c r="S289">
        <f>OR(D289="",D289&gt;=설정!$B$19)</f>
        <v/>
      </c>
      <c r="T289">
        <f>AND(Q289,R289,S289)</f>
        <v/>
      </c>
      <c r="U289">
        <f>IF(T289,IF(AND(설정!$A$41&lt;&gt;"",ISNUMBER(SEARCH(설정!$A$41,K289))),설정!$B$41,IF(AND(설정!$A$42&lt;&gt;"",ISNUMBER(SEARCH(설정!$A$42,K289))),설정!$B$42,IF(AND(설정!$A$43&lt;&gt;"",ISNUMBER(SEARCH(설정!$A$43,K289))),설정!$B$43,IF(AND(설정!$A$44&lt;&gt;"",ISNUMBER(SEARCH(설정!$A$44,K289))),설정!$B$44,IF(AND(설정!$A$45&lt;&gt;"",ISNUMBER(SEARCH(설정!$A$45,K289))),설정!$B$45,IF(AND(설정!$A$46&lt;&gt;"",ISNUMBER(SEARCH(설정!$A$46,K289))),설정!$B$46,IF(AND(설정!$A$47&lt;&gt;"",ISNUMBER(SEARCH(설정!$A$47,K289))),설정!$B$47,IF(AND(설정!$A$48&lt;&gt;"",ISNUMBER(SEARCH(설정!$A$48,K289))),설정!$B$48,IF(M289="","설계사","시공사"))))))))),"")</f>
        <v/>
      </c>
      <c r="V289">
        <f>SUBSTITUTE(SUBSTITUTE(SUBSTITUTE(SUBSTITUTE(G289,"(주)",""),"㈜",""),"주식회사","")," ","")</f>
        <v/>
      </c>
      <c r="W289">
        <f>IF(AND(T289,V289&lt;&gt;""),IF(COUNTIFS(V$2:V289,V289,T$2:T289,TRUE)=1,MAX(W$1:W288)+1,""),"")</f>
        <v/>
      </c>
      <c r="X289">
        <f>IFERROR(INDEX('1.산군_붙여넣기'!$A$1:$AZ$1001,ROW(),설정!$C$14)&amp;"","")</f>
        <v/>
      </c>
      <c r="Y289">
        <f>IFERROR(INDEX('1.산군_붙여넣기'!$A$1:$AZ$1001,ROW(),설정!$C$15)&amp;"","")</f>
        <v/>
      </c>
      <c r="Z289">
        <f>IF(T289,V289&amp;"|"&amp;U289,"")</f>
        <v/>
      </c>
    </row>
    <row r="290">
      <c r="A290">
        <f>ROW()</f>
        <v/>
      </c>
      <c r="B290">
        <f>IFERROR(INDEX('1.산군_붙여넣기'!$A$1:$AZ$1001,ROW(),설정!$C$4)&amp;"","")</f>
        <v/>
      </c>
      <c r="C290">
        <f>IFERROR(INDEX('1.산군_붙여넣기'!$A$1:$AZ$1001,ROW(),설정!$C$5)&amp;"","")</f>
        <v/>
      </c>
      <c r="D290" s="5">
        <f>IFERROR(VALUE(SUBSTITUTE(SUBSTITUTE(SUBSTITUTE(IFERROR(INDEX('1.산군_붙여넣기'!$A$1:$AZ$1001,ROW(),설정!$C$6)&amp;"",""),",",""),"㎡",""),"m2","")),"")</f>
        <v/>
      </c>
      <c r="E290">
        <f>IFERROR(INDEX('1.산군_붙여넣기'!$A$1:$AZ$1001,ROW(),설정!$C$7)&amp;"","")</f>
        <v/>
      </c>
      <c r="F290">
        <f>IFERROR(INDEX('1.산군_붙여넣기'!$A$1:$AZ$1001,ROW(),설정!$C$8)&amp;"","")</f>
        <v/>
      </c>
      <c r="G290">
        <f>IFERROR(INDEX('1.산군_붙여넣기'!$A$1:$AZ$1001,ROW(),설정!$C$9)&amp;"","")</f>
        <v/>
      </c>
      <c r="H290">
        <f>IFERROR(INDEX('1.산군_붙여넣기'!$A$1:$AZ$1001,ROW(),설정!$C$10)&amp;"","")</f>
        <v/>
      </c>
      <c r="I290">
        <f>IFERROR(INDEX('1.산군_붙여넣기'!$A$1:$AZ$1001,ROW(),설정!$C$11)&amp;"","")</f>
        <v/>
      </c>
      <c r="J290">
        <f>IFERROR(INDEX('1.산군_붙여넣기'!$A$1:$AZ$1001,ROW(),설정!$C$12)&amp;"","")</f>
        <v/>
      </c>
      <c r="K290">
        <f>IFERROR(INDEX('1.산군_붙여넣기'!$A$1:$AZ$1001,ROW(),설정!$C$13)&amp;"","")</f>
        <v/>
      </c>
      <c r="L290" s="6">
        <f>IF(X290="","",IF(AND(LEN(X290)=8,ISNUMBER(X290*1)),DATE(LEFT(X290,4),MID(X290,5,2),RIGHT(X290,2)),IFERROR(DATEVALUE(SUBSTITUTE(SUBSTITUTE(X290,".","-"),"/","-")),IFERROR(X290*1,""))))</f>
        <v/>
      </c>
      <c r="M290" s="6">
        <f>IF(Y290="","",IF(AND(LEN(Y290)=8,ISNUMBER(Y290*1)),DATE(LEFT(Y290,4),MID(Y290,5,2),RIGHT(Y290,2)),IFERROR(DATEVALUE(SUBSTITUTE(SUBSTITUTE(Y290,".","-"),"/","-")),IFERROR(Y290*1,""))))</f>
        <v/>
      </c>
      <c r="N290">
        <f>IFERROR(LEFT(B290,FIND(" ",B290)-1),B290)</f>
        <v/>
      </c>
      <c r="O290">
        <f>AND(B290&lt;&gt;"",B290&lt;&gt;설정!$B$4,C290&lt;&gt;설정!$B$5)</f>
        <v/>
      </c>
      <c r="P290">
        <f>IF(O290,B290&amp;"|"&amp;C290,"")</f>
        <v/>
      </c>
      <c r="Q290">
        <f>AND(O290,COUNTIF(P291:P$1002,P290)=0)</f>
        <v/>
      </c>
      <c r="R290">
        <f>OR(AND(설정!$A$28&lt;&gt;"",ISNUMBER(SEARCH(설정!$A$28,E290&amp;" "&amp;C290))),AND(설정!$A$29&lt;&gt;"",ISNUMBER(SEARCH(설정!$A$29,E290&amp;" "&amp;C290))),AND(설정!$A$30&lt;&gt;"",ISNUMBER(SEARCH(설정!$A$30,E290&amp;" "&amp;C290))),AND(설정!$A$31&lt;&gt;"",ISNUMBER(SEARCH(설정!$A$31,E290&amp;" "&amp;C290))),AND(설정!$A$32&lt;&gt;"",ISNUMBER(SEARCH(설정!$A$32,E290&amp;" "&amp;C290))),AND(설정!$A$33&lt;&gt;"",ISNUMBER(SEARCH(설정!$A$33,E290&amp;" "&amp;C290))),AND(설정!$A$34&lt;&gt;"",ISNUMBER(SEARCH(설정!$A$34,E290&amp;" "&amp;C290))),AND(설정!$A$35&lt;&gt;"",ISNUMBER(SEARCH(설정!$A$35,E290&amp;" "&amp;C290))),AND(설정!$A$36&lt;&gt;"",ISNUMBER(SEARCH(설정!$A$36,E290&amp;" "&amp;C290))),AND(설정!$A$37&lt;&gt;"",ISNUMBER(SEARCH(설정!$A$37,E290&amp;" "&amp;C290))))</f>
        <v/>
      </c>
      <c r="S290">
        <f>OR(D290="",D290&gt;=설정!$B$19)</f>
        <v/>
      </c>
      <c r="T290">
        <f>AND(Q290,R290,S290)</f>
        <v/>
      </c>
      <c r="U290">
        <f>IF(T290,IF(AND(설정!$A$41&lt;&gt;"",ISNUMBER(SEARCH(설정!$A$41,K290))),설정!$B$41,IF(AND(설정!$A$42&lt;&gt;"",ISNUMBER(SEARCH(설정!$A$42,K290))),설정!$B$42,IF(AND(설정!$A$43&lt;&gt;"",ISNUMBER(SEARCH(설정!$A$43,K290))),설정!$B$43,IF(AND(설정!$A$44&lt;&gt;"",ISNUMBER(SEARCH(설정!$A$44,K290))),설정!$B$44,IF(AND(설정!$A$45&lt;&gt;"",ISNUMBER(SEARCH(설정!$A$45,K290))),설정!$B$45,IF(AND(설정!$A$46&lt;&gt;"",ISNUMBER(SEARCH(설정!$A$46,K290))),설정!$B$46,IF(AND(설정!$A$47&lt;&gt;"",ISNUMBER(SEARCH(설정!$A$47,K290))),설정!$B$47,IF(AND(설정!$A$48&lt;&gt;"",ISNUMBER(SEARCH(설정!$A$48,K290))),설정!$B$48,IF(M290="","설계사","시공사"))))))))),"")</f>
        <v/>
      </c>
      <c r="V290">
        <f>SUBSTITUTE(SUBSTITUTE(SUBSTITUTE(SUBSTITUTE(G290,"(주)",""),"㈜",""),"주식회사","")," ","")</f>
        <v/>
      </c>
      <c r="W290">
        <f>IF(AND(T290,V290&lt;&gt;""),IF(COUNTIFS(V$2:V290,V290,T$2:T290,TRUE)=1,MAX(W$1:W289)+1,""),"")</f>
        <v/>
      </c>
      <c r="X290">
        <f>IFERROR(INDEX('1.산군_붙여넣기'!$A$1:$AZ$1001,ROW(),설정!$C$14)&amp;"","")</f>
        <v/>
      </c>
      <c r="Y290">
        <f>IFERROR(INDEX('1.산군_붙여넣기'!$A$1:$AZ$1001,ROW(),설정!$C$15)&amp;"","")</f>
        <v/>
      </c>
      <c r="Z290">
        <f>IF(T290,V290&amp;"|"&amp;U290,"")</f>
        <v/>
      </c>
    </row>
    <row r="291">
      <c r="A291">
        <f>ROW()</f>
        <v/>
      </c>
      <c r="B291">
        <f>IFERROR(INDEX('1.산군_붙여넣기'!$A$1:$AZ$1001,ROW(),설정!$C$4)&amp;"","")</f>
        <v/>
      </c>
      <c r="C291">
        <f>IFERROR(INDEX('1.산군_붙여넣기'!$A$1:$AZ$1001,ROW(),설정!$C$5)&amp;"","")</f>
        <v/>
      </c>
      <c r="D291" s="5">
        <f>IFERROR(VALUE(SUBSTITUTE(SUBSTITUTE(SUBSTITUTE(IFERROR(INDEX('1.산군_붙여넣기'!$A$1:$AZ$1001,ROW(),설정!$C$6)&amp;"",""),",",""),"㎡",""),"m2","")),"")</f>
        <v/>
      </c>
      <c r="E291">
        <f>IFERROR(INDEX('1.산군_붙여넣기'!$A$1:$AZ$1001,ROW(),설정!$C$7)&amp;"","")</f>
        <v/>
      </c>
      <c r="F291">
        <f>IFERROR(INDEX('1.산군_붙여넣기'!$A$1:$AZ$1001,ROW(),설정!$C$8)&amp;"","")</f>
        <v/>
      </c>
      <c r="G291">
        <f>IFERROR(INDEX('1.산군_붙여넣기'!$A$1:$AZ$1001,ROW(),설정!$C$9)&amp;"","")</f>
        <v/>
      </c>
      <c r="H291">
        <f>IFERROR(INDEX('1.산군_붙여넣기'!$A$1:$AZ$1001,ROW(),설정!$C$10)&amp;"","")</f>
        <v/>
      </c>
      <c r="I291">
        <f>IFERROR(INDEX('1.산군_붙여넣기'!$A$1:$AZ$1001,ROW(),설정!$C$11)&amp;"","")</f>
        <v/>
      </c>
      <c r="J291">
        <f>IFERROR(INDEX('1.산군_붙여넣기'!$A$1:$AZ$1001,ROW(),설정!$C$12)&amp;"","")</f>
        <v/>
      </c>
      <c r="K291">
        <f>IFERROR(INDEX('1.산군_붙여넣기'!$A$1:$AZ$1001,ROW(),설정!$C$13)&amp;"","")</f>
        <v/>
      </c>
      <c r="L291" s="6">
        <f>IF(X291="","",IF(AND(LEN(X291)=8,ISNUMBER(X291*1)),DATE(LEFT(X291,4),MID(X291,5,2),RIGHT(X291,2)),IFERROR(DATEVALUE(SUBSTITUTE(SUBSTITUTE(X291,".","-"),"/","-")),IFERROR(X291*1,""))))</f>
        <v/>
      </c>
      <c r="M291" s="6">
        <f>IF(Y291="","",IF(AND(LEN(Y291)=8,ISNUMBER(Y291*1)),DATE(LEFT(Y291,4),MID(Y291,5,2),RIGHT(Y291,2)),IFERROR(DATEVALUE(SUBSTITUTE(SUBSTITUTE(Y291,".","-"),"/","-")),IFERROR(Y291*1,""))))</f>
        <v/>
      </c>
      <c r="N291">
        <f>IFERROR(LEFT(B291,FIND(" ",B291)-1),B291)</f>
        <v/>
      </c>
      <c r="O291">
        <f>AND(B291&lt;&gt;"",B291&lt;&gt;설정!$B$4,C291&lt;&gt;설정!$B$5)</f>
        <v/>
      </c>
      <c r="P291">
        <f>IF(O291,B291&amp;"|"&amp;C291,"")</f>
        <v/>
      </c>
      <c r="Q291">
        <f>AND(O291,COUNTIF(P292:P$1002,P291)=0)</f>
        <v/>
      </c>
      <c r="R291">
        <f>OR(AND(설정!$A$28&lt;&gt;"",ISNUMBER(SEARCH(설정!$A$28,E291&amp;" "&amp;C291))),AND(설정!$A$29&lt;&gt;"",ISNUMBER(SEARCH(설정!$A$29,E291&amp;" "&amp;C291))),AND(설정!$A$30&lt;&gt;"",ISNUMBER(SEARCH(설정!$A$30,E291&amp;" "&amp;C291))),AND(설정!$A$31&lt;&gt;"",ISNUMBER(SEARCH(설정!$A$31,E291&amp;" "&amp;C291))),AND(설정!$A$32&lt;&gt;"",ISNUMBER(SEARCH(설정!$A$32,E291&amp;" "&amp;C291))),AND(설정!$A$33&lt;&gt;"",ISNUMBER(SEARCH(설정!$A$33,E291&amp;" "&amp;C291))),AND(설정!$A$34&lt;&gt;"",ISNUMBER(SEARCH(설정!$A$34,E291&amp;" "&amp;C291))),AND(설정!$A$35&lt;&gt;"",ISNUMBER(SEARCH(설정!$A$35,E291&amp;" "&amp;C291))),AND(설정!$A$36&lt;&gt;"",ISNUMBER(SEARCH(설정!$A$36,E291&amp;" "&amp;C291))),AND(설정!$A$37&lt;&gt;"",ISNUMBER(SEARCH(설정!$A$37,E291&amp;" "&amp;C291))))</f>
        <v/>
      </c>
      <c r="S291">
        <f>OR(D291="",D291&gt;=설정!$B$19)</f>
        <v/>
      </c>
      <c r="T291">
        <f>AND(Q291,R291,S291)</f>
        <v/>
      </c>
      <c r="U291">
        <f>IF(T291,IF(AND(설정!$A$41&lt;&gt;"",ISNUMBER(SEARCH(설정!$A$41,K291))),설정!$B$41,IF(AND(설정!$A$42&lt;&gt;"",ISNUMBER(SEARCH(설정!$A$42,K291))),설정!$B$42,IF(AND(설정!$A$43&lt;&gt;"",ISNUMBER(SEARCH(설정!$A$43,K291))),설정!$B$43,IF(AND(설정!$A$44&lt;&gt;"",ISNUMBER(SEARCH(설정!$A$44,K291))),설정!$B$44,IF(AND(설정!$A$45&lt;&gt;"",ISNUMBER(SEARCH(설정!$A$45,K291))),설정!$B$45,IF(AND(설정!$A$46&lt;&gt;"",ISNUMBER(SEARCH(설정!$A$46,K291))),설정!$B$46,IF(AND(설정!$A$47&lt;&gt;"",ISNUMBER(SEARCH(설정!$A$47,K291))),설정!$B$47,IF(AND(설정!$A$48&lt;&gt;"",ISNUMBER(SEARCH(설정!$A$48,K291))),설정!$B$48,IF(M291="","설계사","시공사"))))))))),"")</f>
        <v/>
      </c>
      <c r="V291">
        <f>SUBSTITUTE(SUBSTITUTE(SUBSTITUTE(SUBSTITUTE(G291,"(주)",""),"㈜",""),"주식회사","")," ","")</f>
        <v/>
      </c>
      <c r="W291">
        <f>IF(AND(T291,V291&lt;&gt;""),IF(COUNTIFS(V$2:V291,V291,T$2:T291,TRUE)=1,MAX(W$1:W290)+1,""),"")</f>
        <v/>
      </c>
      <c r="X291">
        <f>IFERROR(INDEX('1.산군_붙여넣기'!$A$1:$AZ$1001,ROW(),설정!$C$14)&amp;"","")</f>
        <v/>
      </c>
      <c r="Y291">
        <f>IFERROR(INDEX('1.산군_붙여넣기'!$A$1:$AZ$1001,ROW(),설정!$C$15)&amp;"","")</f>
        <v/>
      </c>
      <c r="Z291">
        <f>IF(T291,V291&amp;"|"&amp;U291,"")</f>
        <v/>
      </c>
    </row>
    <row r="292">
      <c r="A292">
        <f>ROW()</f>
        <v/>
      </c>
      <c r="B292">
        <f>IFERROR(INDEX('1.산군_붙여넣기'!$A$1:$AZ$1001,ROW(),설정!$C$4)&amp;"","")</f>
        <v/>
      </c>
      <c r="C292">
        <f>IFERROR(INDEX('1.산군_붙여넣기'!$A$1:$AZ$1001,ROW(),설정!$C$5)&amp;"","")</f>
        <v/>
      </c>
      <c r="D292" s="5">
        <f>IFERROR(VALUE(SUBSTITUTE(SUBSTITUTE(SUBSTITUTE(IFERROR(INDEX('1.산군_붙여넣기'!$A$1:$AZ$1001,ROW(),설정!$C$6)&amp;"",""),",",""),"㎡",""),"m2","")),"")</f>
        <v/>
      </c>
      <c r="E292">
        <f>IFERROR(INDEX('1.산군_붙여넣기'!$A$1:$AZ$1001,ROW(),설정!$C$7)&amp;"","")</f>
        <v/>
      </c>
      <c r="F292">
        <f>IFERROR(INDEX('1.산군_붙여넣기'!$A$1:$AZ$1001,ROW(),설정!$C$8)&amp;"","")</f>
        <v/>
      </c>
      <c r="G292">
        <f>IFERROR(INDEX('1.산군_붙여넣기'!$A$1:$AZ$1001,ROW(),설정!$C$9)&amp;"","")</f>
        <v/>
      </c>
      <c r="H292">
        <f>IFERROR(INDEX('1.산군_붙여넣기'!$A$1:$AZ$1001,ROW(),설정!$C$10)&amp;"","")</f>
        <v/>
      </c>
      <c r="I292">
        <f>IFERROR(INDEX('1.산군_붙여넣기'!$A$1:$AZ$1001,ROW(),설정!$C$11)&amp;"","")</f>
        <v/>
      </c>
      <c r="J292">
        <f>IFERROR(INDEX('1.산군_붙여넣기'!$A$1:$AZ$1001,ROW(),설정!$C$12)&amp;"","")</f>
        <v/>
      </c>
      <c r="K292">
        <f>IFERROR(INDEX('1.산군_붙여넣기'!$A$1:$AZ$1001,ROW(),설정!$C$13)&amp;"","")</f>
        <v/>
      </c>
      <c r="L292" s="6">
        <f>IF(X292="","",IF(AND(LEN(X292)=8,ISNUMBER(X292*1)),DATE(LEFT(X292,4),MID(X292,5,2),RIGHT(X292,2)),IFERROR(DATEVALUE(SUBSTITUTE(SUBSTITUTE(X292,".","-"),"/","-")),IFERROR(X292*1,""))))</f>
        <v/>
      </c>
      <c r="M292" s="6">
        <f>IF(Y292="","",IF(AND(LEN(Y292)=8,ISNUMBER(Y292*1)),DATE(LEFT(Y292,4),MID(Y292,5,2),RIGHT(Y292,2)),IFERROR(DATEVALUE(SUBSTITUTE(SUBSTITUTE(Y292,".","-"),"/","-")),IFERROR(Y292*1,""))))</f>
        <v/>
      </c>
      <c r="N292">
        <f>IFERROR(LEFT(B292,FIND(" ",B292)-1),B292)</f>
        <v/>
      </c>
      <c r="O292">
        <f>AND(B292&lt;&gt;"",B292&lt;&gt;설정!$B$4,C292&lt;&gt;설정!$B$5)</f>
        <v/>
      </c>
      <c r="P292">
        <f>IF(O292,B292&amp;"|"&amp;C292,"")</f>
        <v/>
      </c>
      <c r="Q292">
        <f>AND(O292,COUNTIF(P293:P$1002,P292)=0)</f>
        <v/>
      </c>
      <c r="R292">
        <f>OR(AND(설정!$A$28&lt;&gt;"",ISNUMBER(SEARCH(설정!$A$28,E292&amp;" "&amp;C292))),AND(설정!$A$29&lt;&gt;"",ISNUMBER(SEARCH(설정!$A$29,E292&amp;" "&amp;C292))),AND(설정!$A$30&lt;&gt;"",ISNUMBER(SEARCH(설정!$A$30,E292&amp;" "&amp;C292))),AND(설정!$A$31&lt;&gt;"",ISNUMBER(SEARCH(설정!$A$31,E292&amp;" "&amp;C292))),AND(설정!$A$32&lt;&gt;"",ISNUMBER(SEARCH(설정!$A$32,E292&amp;" "&amp;C292))),AND(설정!$A$33&lt;&gt;"",ISNUMBER(SEARCH(설정!$A$33,E292&amp;" "&amp;C292))),AND(설정!$A$34&lt;&gt;"",ISNUMBER(SEARCH(설정!$A$34,E292&amp;" "&amp;C292))),AND(설정!$A$35&lt;&gt;"",ISNUMBER(SEARCH(설정!$A$35,E292&amp;" "&amp;C292))),AND(설정!$A$36&lt;&gt;"",ISNUMBER(SEARCH(설정!$A$36,E292&amp;" "&amp;C292))),AND(설정!$A$37&lt;&gt;"",ISNUMBER(SEARCH(설정!$A$37,E292&amp;" "&amp;C292))))</f>
        <v/>
      </c>
      <c r="S292">
        <f>OR(D292="",D292&gt;=설정!$B$19)</f>
        <v/>
      </c>
      <c r="T292">
        <f>AND(Q292,R292,S292)</f>
        <v/>
      </c>
      <c r="U292">
        <f>IF(T292,IF(AND(설정!$A$41&lt;&gt;"",ISNUMBER(SEARCH(설정!$A$41,K292))),설정!$B$41,IF(AND(설정!$A$42&lt;&gt;"",ISNUMBER(SEARCH(설정!$A$42,K292))),설정!$B$42,IF(AND(설정!$A$43&lt;&gt;"",ISNUMBER(SEARCH(설정!$A$43,K292))),설정!$B$43,IF(AND(설정!$A$44&lt;&gt;"",ISNUMBER(SEARCH(설정!$A$44,K292))),설정!$B$44,IF(AND(설정!$A$45&lt;&gt;"",ISNUMBER(SEARCH(설정!$A$45,K292))),설정!$B$45,IF(AND(설정!$A$46&lt;&gt;"",ISNUMBER(SEARCH(설정!$A$46,K292))),설정!$B$46,IF(AND(설정!$A$47&lt;&gt;"",ISNUMBER(SEARCH(설정!$A$47,K292))),설정!$B$47,IF(AND(설정!$A$48&lt;&gt;"",ISNUMBER(SEARCH(설정!$A$48,K292))),설정!$B$48,IF(M292="","설계사","시공사"))))))))),"")</f>
        <v/>
      </c>
      <c r="V292">
        <f>SUBSTITUTE(SUBSTITUTE(SUBSTITUTE(SUBSTITUTE(G292,"(주)",""),"㈜",""),"주식회사","")," ","")</f>
        <v/>
      </c>
      <c r="W292">
        <f>IF(AND(T292,V292&lt;&gt;""),IF(COUNTIFS(V$2:V292,V292,T$2:T292,TRUE)=1,MAX(W$1:W291)+1,""),"")</f>
        <v/>
      </c>
      <c r="X292">
        <f>IFERROR(INDEX('1.산군_붙여넣기'!$A$1:$AZ$1001,ROW(),설정!$C$14)&amp;"","")</f>
        <v/>
      </c>
      <c r="Y292">
        <f>IFERROR(INDEX('1.산군_붙여넣기'!$A$1:$AZ$1001,ROW(),설정!$C$15)&amp;"","")</f>
        <v/>
      </c>
      <c r="Z292">
        <f>IF(T292,V292&amp;"|"&amp;U292,"")</f>
        <v/>
      </c>
    </row>
    <row r="293">
      <c r="A293">
        <f>ROW()</f>
        <v/>
      </c>
      <c r="B293">
        <f>IFERROR(INDEX('1.산군_붙여넣기'!$A$1:$AZ$1001,ROW(),설정!$C$4)&amp;"","")</f>
        <v/>
      </c>
      <c r="C293">
        <f>IFERROR(INDEX('1.산군_붙여넣기'!$A$1:$AZ$1001,ROW(),설정!$C$5)&amp;"","")</f>
        <v/>
      </c>
      <c r="D293" s="5">
        <f>IFERROR(VALUE(SUBSTITUTE(SUBSTITUTE(SUBSTITUTE(IFERROR(INDEX('1.산군_붙여넣기'!$A$1:$AZ$1001,ROW(),설정!$C$6)&amp;"",""),",",""),"㎡",""),"m2","")),"")</f>
        <v/>
      </c>
      <c r="E293">
        <f>IFERROR(INDEX('1.산군_붙여넣기'!$A$1:$AZ$1001,ROW(),설정!$C$7)&amp;"","")</f>
        <v/>
      </c>
      <c r="F293">
        <f>IFERROR(INDEX('1.산군_붙여넣기'!$A$1:$AZ$1001,ROW(),설정!$C$8)&amp;"","")</f>
        <v/>
      </c>
      <c r="G293">
        <f>IFERROR(INDEX('1.산군_붙여넣기'!$A$1:$AZ$1001,ROW(),설정!$C$9)&amp;"","")</f>
        <v/>
      </c>
      <c r="H293">
        <f>IFERROR(INDEX('1.산군_붙여넣기'!$A$1:$AZ$1001,ROW(),설정!$C$10)&amp;"","")</f>
        <v/>
      </c>
      <c r="I293">
        <f>IFERROR(INDEX('1.산군_붙여넣기'!$A$1:$AZ$1001,ROW(),설정!$C$11)&amp;"","")</f>
        <v/>
      </c>
      <c r="J293">
        <f>IFERROR(INDEX('1.산군_붙여넣기'!$A$1:$AZ$1001,ROW(),설정!$C$12)&amp;"","")</f>
        <v/>
      </c>
      <c r="K293">
        <f>IFERROR(INDEX('1.산군_붙여넣기'!$A$1:$AZ$1001,ROW(),설정!$C$13)&amp;"","")</f>
        <v/>
      </c>
      <c r="L293" s="6">
        <f>IF(X293="","",IF(AND(LEN(X293)=8,ISNUMBER(X293*1)),DATE(LEFT(X293,4),MID(X293,5,2),RIGHT(X293,2)),IFERROR(DATEVALUE(SUBSTITUTE(SUBSTITUTE(X293,".","-"),"/","-")),IFERROR(X293*1,""))))</f>
        <v/>
      </c>
      <c r="M293" s="6">
        <f>IF(Y293="","",IF(AND(LEN(Y293)=8,ISNUMBER(Y293*1)),DATE(LEFT(Y293,4),MID(Y293,5,2),RIGHT(Y293,2)),IFERROR(DATEVALUE(SUBSTITUTE(SUBSTITUTE(Y293,".","-"),"/","-")),IFERROR(Y293*1,""))))</f>
        <v/>
      </c>
      <c r="N293">
        <f>IFERROR(LEFT(B293,FIND(" ",B293)-1),B293)</f>
        <v/>
      </c>
      <c r="O293">
        <f>AND(B293&lt;&gt;"",B293&lt;&gt;설정!$B$4,C293&lt;&gt;설정!$B$5)</f>
        <v/>
      </c>
      <c r="P293">
        <f>IF(O293,B293&amp;"|"&amp;C293,"")</f>
        <v/>
      </c>
      <c r="Q293">
        <f>AND(O293,COUNTIF(P294:P$1002,P293)=0)</f>
        <v/>
      </c>
      <c r="R293">
        <f>OR(AND(설정!$A$28&lt;&gt;"",ISNUMBER(SEARCH(설정!$A$28,E293&amp;" "&amp;C293))),AND(설정!$A$29&lt;&gt;"",ISNUMBER(SEARCH(설정!$A$29,E293&amp;" "&amp;C293))),AND(설정!$A$30&lt;&gt;"",ISNUMBER(SEARCH(설정!$A$30,E293&amp;" "&amp;C293))),AND(설정!$A$31&lt;&gt;"",ISNUMBER(SEARCH(설정!$A$31,E293&amp;" "&amp;C293))),AND(설정!$A$32&lt;&gt;"",ISNUMBER(SEARCH(설정!$A$32,E293&amp;" "&amp;C293))),AND(설정!$A$33&lt;&gt;"",ISNUMBER(SEARCH(설정!$A$33,E293&amp;" "&amp;C293))),AND(설정!$A$34&lt;&gt;"",ISNUMBER(SEARCH(설정!$A$34,E293&amp;" "&amp;C293))),AND(설정!$A$35&lt;&gt;"",ISNUMBER(SEARCH(설정!$A$35,E293&amp;" "&amp;C293))),AND(설정!$A$36&lt;&gt;"",ISNUMBER(SEARCH(설정!$A$36,E293&amp;" "&amp;C293))),AND(설정!$A$37&lt;&gt;"",ISNUMBER(SEARCH(설정!$A$37,E293&amp;" "&amp;C293))))</f>
        <v/>
      </c>
      <c r="S293">
        <f>OR(D293="",D293&gt;=설정!$B$19)</f>
        <v/>
      </c>
      <c r="T293">
        <f>AND(Q293,R293,S293)</f>
        <v/>
      </c>
      <c r="U293">
        <f>IF(T293,IF(AND(설정!$A$41&lt;&gt;"",ISNUMBER(SEARCH(설정!$A$41,K293))),설정!$B$41,IF(AND(설정!$A$42&lt;&gt;"",ISNUMBER(SEARCH(설정!$A$42,K293))),설정!$B$42,IF(AND(설정!$A$43&lt;&gt;"",ISNUMBER(SEARCH(설정!$A$43,K293))),설정!$B$43,IF(AND(설정!$A$44&lt;&gt;"",ISNUMBER(SEARCH(설정!$A$44,K293))),설정!$B$44,IF(AND(설정!$A$45&lt;&gt;"",ISNUMBER(SEARCH(설정!$A$45,K293))),설정!$B$45,IF(AND(설정!$A$46&lt;&gt;"",ISNUMBER(SEARCH(설정!$A$46,K293))),설정!$B$46,IF(AND(설정!$A$47&lt;&gt;"",ISNUMBER(SEARCH(설정!$A$47,K293))),설정!$B$47,IF(AND(설정!$A$48&lt;&gt;"",ISNUMBER(SEARCH(설정!$A$48,K293))),설정!$B$48,IF(M293="","설계사","시공사"))))))))),"")</f>
        <v/>
      </c>
      <c r="V293">
        <f>SUBSTITUTE(SUBSTITUTE(SUBSTITUTE(SUBSTITUTE(G293,"(주)",""),"㈜",""),"주식회사","")," ","")</f>
        <v/>
      </c>
      <c r="W293">
        <f>IF(AND(T293,V293&lt;&gt;""),IF(COUNTIFS(V$2:V293,V293,T$2:T293,TRUE)=1,MAX(W$1:W292)+1,""),"")</f>
        <v/>
      </c>
      <c r="X293">
        <f>IFERROR(INDEX('1.산군_붙여넣기'!$A$1:$AZ$1001,ROW(),설정!$C$14)&amp;"","")</f>
        <v/>
      </c>
      <c r="Y293">
        <f>IFERROR(INDEX('1.산군_붙여넣기'!$A$1:$AZ$1001,ROW(),설정!$C$15)&amp;"","")</f>
        <v/>
      </c>
      <c r="Z293">
        <f>IF(T293,V293&amp;"|"&amp;U293,"")</f>
        <v/>
      </c>
    </row>
    <row r="294">
      <c r="A294">
        <f>ROW()</f>
        <v/>
      </c>
      <c r="B294">
        <f>IFERROR(INDEX('1.산군_붙여넣기'!$A$1:$AZ$1001,ROW(),설정!$C$4)&amp;"","")</f>
        <v/>
      </c>
      <c r="C294">
        <f>IFERROR(INDEX('1.산군_붙여넣기'!$A$1:$AZ$1001,ROW(),설정!$C$5)&amp;"","")</f>
        <v/>
      </c>
      <c r="D294" s="5">
        <f>IFERROR(VALUE(SUBSTITUTE(SUBSTITUTE(SUBSTITUTE(IFERROR(INDEX('1.산군_붙여넣기'!$A$1:$AZ$1001,ROW(),설정!$C$6)&amp;"",""),",",""),"㎡",""),"m2","")),"")</f>
        <v/>
      </c>
      <c r="E294">
        <f>IFERROR(INDEX('1.산군_붙여넣기'!$A$1:$AZ$1001,ROW(),설정!$C$7)&amp;"","")</f>
        <v/>
      </c>
      <c r="F294">
        <f>IFERROR(INDEX('1.산군_붙여넣기'!$A$1:$AZ$1001,ROW(),설정!$C$8)&amp;"","")</f>
        <v/>
      </c>
      <c r="G294">
        <f>IFERROR(INDEX('1.산군_붙여넣기'!$A$1:$AZ$1001,ROW(),설정!$C$9)&amp;"","")</f>
        <v/>
      </c>
      <c r="H294">
        <f>IFERROR(INDEX('1.산군_붙여넣기'!$A$1:$AZ$1001,ROW(),설정!$C$10)&amp;"","")</f>
        <v/>
      </c>
      <c r="I294">
        <f>IFERROR(INDEX('1.산군_붙여넣기'!$A$1:$AZ$1001,ROW(),설정!$C$11)&amp;"","")</f>
        <v/>
      </c>
      <c r="J294">
        <f>IFERROR(INDEX('1.산군_붙여넣기'!$A$1:$AZ$1001,ROW(),설정!$C$12)&amp;"","")</f>
        <v/>
      </c>
      <c r="K294">
        <f>IFERROR(INDEX('1.산군_붙여넣기'!$A$1:$AZ$1001,ROW(),설정!$C$13)&amp;"","")</f>
        <v/>
      </c>
      <c r="L294" s="6">
        <f>IF(X294="","",IF(AND(LEN(X294)=8,ISNUMBER(X294*1)),DATE(LEFT(X294,4),MID(X294,5,2),RIGHT(X294,2)),IFERROR(DATEVALUE(SUBSTITUTE(SUBSTITUTE(X294,".","-"),"/","-")),IFERROR(X294*1,""))))</f>
        <v/>
      </c>
      <c r="M294" s="6">
        <f>IF(Y294="","",IF(AND(LEN(Y294)=8,ISNUMBER(Y294*1)),DATE(LEFT(Y294,4),MID(Y294,5,2),RIGHT(Y294,2)),IFERROR(DATEVALUE(SUBSTITUTE(SUBSTITUTE(Y294,".","-"),"/","-")),IFERROR(Y294*1,""))))</f>
        <v/>
      </c>
      <c r="N294">
        <f>IFERROR(LEFT(B294,FIND(" ",B294)-1),B294)</f>
        <v/>
      </c>
      <c r="O294">
        <f>AND(B294&lt;&gt;"",B294&lt;&gt;설정!$B$4,C294&lt;&gt;설정!$B$5)</f>
        <v/>
      </c>
      <c r="P294">
        <f>IF(O294,B294&amp;"|"&amp;C294,"")</f>
        <v/>
      </c>
      <c r="Q294">
        <f>AND(O294,COUNTIF(P295:P$1002,P294)=0)</f>
        <v/>
      </c>
      <c r="R294">
        <f>OR(AND(설정!$A$28&lt;&gt;"",ISNUMBER(SEARCH(설정!$A$28,E294&amp;" "&amp;C294))),AND(설정!$A$29&lt;&gt;"",ISNUMBER(SEARCH(설정!$A$29,E294&amp;" "&amp;C294))),AND(설정!$A$30&lt;&gt;"",ISNUMBER(SEARCH(설정!$A$30,E294&amp;" "&amp;C294))),AND(설정!$A$31&lt;&gt;"",ISNUMBER(SEARCH(설정!$A$31,E294&amp;" "&amp;C294))),AND(설정!$A$32&lt;&gt;"",ISNUMBER(SEARCH(설정!$A$32,E294&amp;" "&amp;C294))),AND(설정!$A$33&lt;&gt;"",ISNUMBER(SEARCH(설정!$A$33,E294&amp;" "&amp;C294))),AND(설정!$A$34&lt;&gt;"",ISNUMBER(SEARCH(설정!$A$34,E294&amp;" "&amp;C294))),AND(설정!$A$35&lt;&gt;"",ISNUMBER(SEARCH(설정!$A$35,E294&amp;" "&amp;C294))),AND(설정!$A$36&lt;&gt;"",ISNUMBER(SEARCH(설정!$A$36,E294&amp;" "&amp;C294))),AND(설정!$A$37&lt;&gt;"",ISNUMBER(SEARCH(설정!$A$37,E294&amp;" "&amp;C294))))</f>
        <v/>
      </c>
      <c r="S294">
        <f>OR(D294="",D294&gt;=설정!$B$19)</f>
        <v/>
      </c>
      <c r="T294">
        <f>AND(Q294,R294,S294)</f>
        <v/>
      </c>
      <c r="U294">
        <f>IF(T294,IF(AND(설정!$A$41&lt;&gt;"",ISNUMBER(SEARCH(설정!$A$41,K294))),설정!$B$41,IF(AND(설정!$A$42&lt;&gt;"",ISNUMBER(SEARCH(설정!$A$42,K294))),설정!$B$42,IF(AND(설정!$A$43&lt;&gt;"",ISNUMBER(SEARCH(설정!$A$43,K294))),설정!$B$43,IF(AND(설정!$A$44&lt;&gt;"",ISNUMBER(SEARCH(설정!$A$44,K294))),설정!$B$44,IF(AND(설정!$A$45&lt;&gt;"",ISNUMBER(SEARCH(설정!$A$45,K294))),설정!$B$45,IF(AND(설정!$A$46&lt;&gt;"",ISNUMBER(SEARCH(설정!$A$46,K294))),설정!$B$46,IF(AND(설정!$A$47&lt;&gt;"",ISNUMBER(SEARCH(설정!$A$47,K294))),설정!$B$47,IF(AND(설정!$A$48&lt;&gt;"",ISNUMBER(SEARCH(설정!$A$48,K294))),설정!$B$48,IF(M294="","설계사","시공사"))))))))),"")</f>
        <v/>
      </c>
      <c r="V294">
        <f>SUBSTITUTE(SUBSTITUTE(SUBSTITUTE(SUBSTITUTE(G294,"(주)",""),"㈜",""),"주식회사","")," ","")</f>
        <v/>
      </c>
      <c r="W294">
        <f>IF(AND(T294,V294&lt;&gt;""),IF(COUNTIFS(V$2:V294,V294,T$2:T294,TRUE)=1,MAX(W$1:W293)+1,""),"")</f>
        <v/>
      </c>
      <c r="X294">
        <f>IFERROR(INDEX('1.산군_붙여넣기'!$A$1:$AZ$1001,ROW(),설정!$C$14)&amp;"","")</f>
        <v/>
      </c>
      <c r="Y294">
        <f>IFERROR(INDEX('1.산군_붙여넣기'!$A$1:$AZ$1001,ROW(),설정!$C$15)&amp;"","")</f>
        <v/>
      </c>
      <c r="Z294">
        <f>IF(T294,V294&amp;"|"&amp;U294,"")</f>
        <v/>
      </c>
    </row>
    <row r="295">
      <c r="A295">
        <f>ROW()</f>
        <v/>
      </c>
      <c r="B295">
        <f>IFERROR(INDEX('1.산군_붙여넣기'!$A$1:$AZ$1001,ROW(),설정!$C$4)&amp;"","")</f>
        <v/>
      </c>
      <c r="C295">
        <f>IFERROR(INDEX('1.산군_붙여넣기'!$A$1:$AZ$1001,ROW(),설정!$C$5)&amp;"","")</f>
        <v/>
      </c>
      <c r="D295" s="5">
        <f>IFERROR(VALUE(SUBSTITUTE(SUBSTITUTE(SUBSTITUTE(IFERROR(INDEX('1.산군_붙여넣기'!$A$1:$AZ$1001,ROW(),설정!$C$6)&amp;"",""),",",""),"㎡",""),"m2","")),"")</f>
        <v/>
      </c>
      <c r="E295">
        <f>IFERROR(INDEX('1.산군_붙여넣기'!$A$1:$AZ$1001,ROW(),설정!$C$7)&amp;"","")</f>
        <v/>
      </c>
      <c r="F295">
        <f>IFERROR(INDEX('1.산군_붙여넣기'!$A$1:$AZ$1001,ROW(),설정!$C$8)&amp;"","")</f>
        <v/>
      </c>
      <c r="G295">
        <f>IFERROR(INDEX('1.산군_붙여넣기'!$A$1:$AZ$1001,ROW(),설정!$C$9)&amp;"","")</f>
        <v/>
      </c>
      <c r="H295">
        <f>IFERROR(INDEX('1.산군_붙여넣기'!$A$1:$AZ$1001,ROW(),설정!$C$10)&amp;"","")</f>
        <v/>
      </c>
      <c r="I295">
        <f>IFERROR(INDEX('1.산군_붙여넣기'!$A$1:$AZ$1001,ROW(),설정!$C$11)&amp;"","")</f>
        <v/>
      </c>
      <c r="J295">
        <f>IFERROR(INDEX('1.산군_붙여넣기'!$A$1:$AZ$1001,ROW(),설정!$C$12)&amp;"","")</f>
        <v/>
      </c>
      <c r="K295">
        <f>IFERROR(INDEX('1.산군_붙여넣기'!$A$1:$AZ$1001,ROW(),설정!$C$13)&amp;"","")</f>
        <v/>
      </c>
      <c r="L295" s="6">
        <f>IF(X295="","",IF(AND(LEN(X295)=8,ISNUMBER(X295*1)),DATE(LEFT(X295,4),MID(X295,5,2),RIGHT(X295,2)),IFERROR(DATEVALUE(SUBSTITUTE(SUBSTITUTE(X295,".","-"),"/","-")),IFERROR(X295*1,""))))</f>
        <v/>
      </c>
      <c r="M295" s="6">
        <f>IF(Y295="","",IF(AND(LEN(Y295)=8,ISNUMBER(Y295*1)),DATE(LEFT(Y295,4),MID(Y295,5,2),RIGHT(Y295,2)),IFERROR(DATEVALUE(SUBSTITUTE(SUBSTITUTE(Y295,".","-"),"/","-")),IFERROR(Y295*1,""))))</f>
        <v/>
      </c>
      <c r="N295">
        <f>IFERROR(LEFT(B295,FIND(" ",B295)-1),B295)</f>
        <v/>
      </c>
      <c r="O295">
        <f>AND(B295&lt;&gt;"",B295&lt;&gt;설정!$B$4,C295&lt;&gt;설정!$B$5)</f>
        <v/>
      </c>
      <c r="P295">
        <f>IF(O295,B295&amp;"|"&amp;C295,"")</f>
        <v/>
      </c>
      <c r="Q295">
        <f>AND(O295,COUNTIF(P296:P$1002,P295)=0)</f>
        <v/>
      </c>
      <c r="R295">
        <f>OR(AND(설정!$A$28&lt;&gt;"",ISNUMBER(SEARCH(설정!$A$28,E295&amp;" "&amp;C295))),AND(설정!$A$29&lt;&gt;"",ISNUMBER(SEARCH(설정!$A$29,E295&amp;" "&amp;C295))),AND(설정!$A$30&lt;&gt;"",ISNUMBER(SEARCH(설정!$A$30,E295&amp;" "&amp;C295))),AND(설정!$A$31&lt;&gt;"",ISNUMBER(SEARCH(설정!$A$31,E295&amp;" "&amp;C295))),AND(설정!$A$32&lt;&gt;"",ISNUMBER(SEARCH(설정!$A$32,E295&amp;" "&amp;C295))),AND(설정!$A$33&lt;&gt;"",ISNUMBER(SEARCH(설정!$A$33,E295&amp;" "&amp;C295))),AND(설정!$A$34&lt;&gt;"",ISNUMBER(SEARCH(설정!$A$34,E295&amp;" "&amp;C295))),AND(설정!$A$35&lt;&gt;"",ISNUMBER(SEARCH(설정!$A$35,E295&amp;" "&amp;C295))),AND(설정!$A$36&lt;&gt;"",ISNUMBER(SEARCH(설정!$A$36,E295&amp;" "&amp;C295))),AND(설정!$A$37&lt;&gt;"",ISNUMBER(SEARCH(설정!$A$37,E295&amp;" "&amp;C295))))</f>
        <v/>
      </c>
      <c r="S295">
        <f>OR(D295="",D295&gt;=설정!$B$19)</f>
        <v/>
      </c>
      <c r="T295">
        <f>AND(Q295,R295,S295)</f>
        <v/>
      </c>
      <c r="U295">
        <f>IF(T295,IF(AND(설정!$A$41&lt;&gt;"",ISNUMBER(SEARCH(설정!$A$41,K295))),설정!$B$41,IF(AND(설정!$A$42&lt;&gt;"",ISNUMBER(SEARCH(설정!$A$42,K295))),설정!$B$42,IF(AND(설정!$A$43&lt;&gt;"",ISNUMBER(SEARCH(설정!$A$43,K295))),설정!$B$43,IF(AND(설정!$A$44&lt;&gt;"",ISNUMBER(SEARCH(설정!$A$44,K295))),설정!$B$44,IF(AND(설정!$A$45&lt;&gt;"",ISNUMBER(SEARCH(설정!$A$45,K295))),설정!$B$45,IF(AND(설정!$A$46&lt;&gt;"",ISNUMBER(SEARCH(설정!$A$46,K295))),설정!$B$46,IF(AND(설정!$A$47&lt;&gt;"",ISNUMBER(SEARCH(설정!$A$47,K295))),설정!$B$47,IF(AND(설정!$A$48&lt;&gt;"",ISNUMBER(SEARCH(설정!$A$48,K295))),설정!$B$48,IF(M295="","설계사","시공사"))))))))),"")</f>
        <v/>
      </c>
      <c r="V295">
        <f>SUBSTITUTE(SUBSTITUTE(SUBSTITUTE(SUBSTITUTE(G295,"(주)",""),"㈜",""),"주식회사","")," ","")</f>
        <v/>
      </c>
      <c r="W295">
        <f>IF(AND(T295,V295&lt;&gt;""),IF(COUNTIFS(V$2:V295,V295,T$2:T295,TRUE)=1,MAX(W$1:W294)+1,""),"")</f>
        <v/>
      </c>
      <c r="X295">
        <f>IFERROR(INDEX('1.산군_붙여넣기'!$A$1:$AZ$1001,ROW(),설정!$C$14)&amp;"","")</f>
        <v/>
      </c>
      <c r="Y295">
        <f>IFERROR(INDEX('1.산군_붙여넣기'!$A$1:$AZ$1001,ROW(),설정!$C$15)&amp;"","")</f>
        <v/>
      </c>
      <c r="Z295">
        <f>IF(T295,V295&amp;"|"&amp;U295,"")</f>
        <v/>
      </c>
    </row>
    <row r="296">
      <c r="A296">
        <f>ROW()</f>
        <v/>
      </c>
      <c r="B296">
        <f>IFERROR(INDEX('1.산군_붙여넣기'!$A$1:$AZ$1001,ROW(),설정!$C$4)&amp;"","")</f>
        <v/>
      </c>
      <c r="C296">
        <f>IFERROR(INDEX('1.산군_붙여넣기'!$A$1:$AZ$1001,ROW(),설정!$C$5)&amp;"","")</f>
        <v/>
      </c>
      <c r="D296" s="5">
        <f>IFERROR(VALUE(SUBSTITUTE(SUBSTITUTE(SUBSTITUTE(IFERROR(INDEX('1.산군_붙여넣기'!$A$1:$AZ$1001,ROW(),설정!$C$6)&amp;"",""),",",""),"㎡",""),"m2","")),"")</f>
        <v/>
      </c>
      <c r="E296">
        <f>IFERROR(INDEX('1.산군_붙여넣기'!$A$1:$AZ$1001,ROW(),설정!$C$7)&amp;"","")</f>
        <v/>
      </c>
      <c r="F296">
        <f>IFERROR(INDEX('1.산군_붙여넣기'!$A$1:$AZ$1001,ROW(),설정!$C$8)&amp;"","")</f>
        <v/>
      </c>
      <c r="G296">
        <f>IFERROR(INDEX('1.산군_붙여넣기'!$A$1:$AZ$1001,ROW(),설정!$C$9)&amp;"","")</f>
        <v/>
      </c>
      <c r="H296">
        <f>IFERROR(INDEX('1.산군_붙여넣기'!$A$1:$AZ$1001,ROW(),설정!$C$10)&amp;"","")</f>
        <v/>
      </c>
      <c r="I296">
        <f>IFERROR(INDEX('1.산군_붙여넣기'!$A$1:$AZ$1001,ROW(),설정!$C$11)&amp;"","")</f>
        <v/>
      </c>
      <c r="J296">
        <f>IFERROR(INDEX('1.산군_붙여넣기'!$A$1:$AZ$1001,ROW(),설정!$C$12)&amp;"","")</f>
        <v/>
      </c>
      <c r="K296">
        <f>IFERROR(INDEX('1.산군_붙여넣기'!$A$1:$AZ$1001,ROW(),설정!$C$13)&amp;"","")</f>
        <v/>
      </c>
      <c r="L296" s="6">
        <f>IF(X296="","",IF(AND(LEN(X296)=8,ISNUMBER(X296*1)),DATE(LEFT(X296,4),MID(X296,5,2),RIGHT(X296,2)),IFERROR(DATEVALUE(SUBSTITUTE(SUBSTITUTE(X296,".","-"),"/","-")),IFERROR(X296*1,""))))</f>
        <v/>
      </c>
      <c r="M296" s="6">
        <f>IF(Y296="","",IF(AND(LEN(Y296)=8,ISNUMBER(Y296*1)),DATE(LEFT(Y296,4),MID(Y296,5,2),RIGHT(Y296,2)),IFERROR(DATEVALUE(SUBSTITUTE(SUBSTITUTE(Y296,".","-"),"/","-")),IFERROR(Y296*1,""))))</f>
        <v/>
      </c>
      <c r="N296">
        <f>IFERROR(LEFT(B296,FIND(" ",B296)-1),B296)</f>
        <v/>
      </c>
      <c r="O296">
        <f>AND(B296&lt;&gt;"",B296&lt;&gt;설정!$B$4,C296&lt;&gt;설정!$B$5)</f>
        <v/>
      </c>
      <c r="P296">
        <f>IF(O296,B296&amp;"|"&amp;C296,"")</f>
        <v/>
      </c>
      <c r="Q296">
        <f>AND(O296,COUNTIF(P297:P$1002,P296)=0)</f>
        <v/>
      </c>
      <c r="R296">
        <f>OR(AND(설정!$A$28&lt;&gt;"",ISNUMBER(SEARCH(설정!$A$28,E296&amp;" "&amp;C296))),AND(설정!$A$29&lt;&gt;"",ISNUMBER(SEARCH(설정!$A$29,E296&amp;" "&amp;C296))),AND(설정!$A$30&lt;&gt;"",ISNUMBER(SEARCH(설정!$A$30,E296&amp;" "&amp;C296))),AND(설정!$A$31&lt;&gt;"",ISNUMBER(SEARCH(설정!$A$31,E296&amp;" "&amp;C296))),AND(설정!$A$32&lt;&gt;"",ISNUMBER(SEARCH(설정!$A$32,E296&amp;" "&amp;C296))),AND(설정!$A$33&lt;&gt;"",ISNUMBER(SEARCH(설정!$A$33,E296&amp;" "&amp;C296))),AND(설정!$A$34&lt;&gt;"",ISNUMBER(SEARCH(설정!$A$34,E296&amp;" "&amp;C296))),AND(설정!$A$35&lt;&gt;"",ISNUMBER(SEARCH(설정!$A$35,E296&amp;" "&amp;C296))),AND(설정!$A$36&lt;&gt;"",ISNUMBER(SEARCH(설정!$A$36,E296&amp;" "&amp;C296))),AND(설정!$A$37&lt;&gt;"",ISNUMBER(SEARCH(설정!$A$37,E296&amp;" "&amp;C296))))</f>
        <v/>
      </c>
      <c r="S296">
        <f>OR(D296="",D296&gt;=설정!$B$19)</f>
        <v/>
      </c>
      <c r="T296">
        <f>AND(Q296,R296,S296)</f>
        <v/>
      </c>
      <c r="U296">
        <f>IF(T296,IF(AND(설정!$A$41&lt;&gt;"",ISNUMBER(SEARCH(설정!$A$41,K296))),설정!$B$41,IF(AND(설정!$A$42&lt;&gt;"",ISNUMBER(SEARCH(설정!$A$42,K296))),설정!$B$42,IF(AND(설정!$A$43&lt;&gt;"",ISNUMBER(SEARCH(설정!$A$43,K296))),설정!$B$43,IF(AND(설정!$A$44&lt;&gt;"",ISNUMBER(SEARCH(설정!$A$44,K296))),설정!$B$44,IF(AND(설정!$A$45&lt;&gt;"",ISNUMBER(SEARCH(설정!$A$45,K296))),설정!$B$45,IF(AND(설정!$A$46&lt;&gt;"",ISNUMBER(SEARCH(설정!$A$46,K296))),설정!$B$46,IF(AND(설정!$A$47&lt;&gt;"",ISNUMBER(SEARCH(설정!$A$47,K296))),설정!$B$47,IF(AND(설정!$A$48&lt;&gt;"",ISNUMBER(SEARCH(설정!$A$48,K296))),설정!$B$48,IF(M296="","설계사","시공사"))))))))),"")</f>
        <v/>
      </c>
      <c r="V296">
        <f>SUBSTITUTE(SUBSTITUTE(SUBSTITUTE(SUBSTITUTE(G296,"(주)",""),"㈜",""),"주식회사","")," ","")</f>
        <v/>
      </c>
      <c r="W296">
        <f>IF(AND(T296,V296&lt;&gt;""),IF(COUNTIFS(V$2:V296,V296,T$2:T296,TRUE)=1,MAX(W$1:W295)+1,""),"")</f>
        <v/>
      </c>
      <c r="X296">
        <f>IFERROR(INDEX('1.산군_붙여넣기'!$A$1:$AZ$1001,ROW(),설정!$C$14)&amp;"","")</f>
        <v/>
      </c>
      <c r="Y296">
        <f>IFERROR(INDEX('1.산군_붙여넣기'!$A$1:$AZ$1001,ROW(),설정!$C$15)&amp;"","")</f>
        <v/>
      </c>
      <c r="Z296">
        <f>IF(T296,V296&amp;"|"&amp;U296,"")</f>
        <v/>
      </c>
    </row>
    <row r="297">
      <c r="A297">
        <f>ROW()</f>
        <v/>
      </c>
      <c r="B297">
        <f>IFERROR(INDEX('1.산군_붙여넣기'!$A$1:$AZ$1001,ROW(),설정!$C$4)&amp;"","")</f>
        <v/>
      </c>
      <c r="C297">
        <f>IFERROR(INDEX('1.산군_붙여넣기'!$A$1:$AZ$1001,ROW(),설정!$C$5)&amp;"","")</f>
        <v/>
      </c>
      <c r="D297" s="5">
        <f>IFERROR(VALUE(SUBSTITUTE(SUBSTITUTE(SUBSTITUTE(IFERROR(INDEX('1.산군_붙여넣기'!$A$1:$AZ$1001,ROW(),설정!$C$6)&amp;"",""),",",""),"㎡",""),"m2","")),"")</f>
        <v/>
      </c>
      <c r="E297">
        <f>IFERROR(INDEX('1.산군_붙여넣기'!$A$1:$AZ$1001,ROW(),설정!$C$7)&amp;"","")</f>
        <v/>
      </c>
      <c r="F297">
        <f>IFERROR(INDEX('1.산군_붙여넣기'!$A$1:$AZ$1001,ROW(),설정!$C$8)&amp;"","")</f>
        <v/>
      </c>
      <c r="G297">
        <f>IFERROR(INDEX('1.산군_붙여넣기'!$A$1:$AZ$1001,ROW(),설정!$C$9)&amp;"","")</f>
        <v/>
      </c>
      <c r="H297">
        <f>IFERROR(INDEX('1.산군_붙여넣기'!$A$1:$AZ$1001,ROW(),설정!$C$10)&amp;"","")</f>
        <v/>
      </c>
      <c r="I297">
        <f>IFERROR(INDEX('1.산군_붙여넣기'!$A$1:$AZ$1001,ROW(),설정!$C$11)&amp;"","")</f>
        <v/>
      </c>
      <c r="J297">
        <f>IFERROR(INDEX('1.산군_붙여넣기'!$A$1:$AZ$1001,ROW(),설정!$C$12)&amp;"","")</f>
        <v/>
      </c>
      <c r="K297">
        <f>IFERROR(INDEX('1.산군_붙여넣기'!$A$1:$AZ$1001,ROW(),설정!$C$13)&amp;"","")</f>
        <v/>
      </c>
      <c r="L297" s="6">
        <f>IF(X297="","",IF(AND(LEN(X297)=8,ISNUMBER(X297*1)),DATE(LEFT(X297,4),MID(X297,5,2),RIGHT(X297,2)),IFERROR(DATEVALUE(SUBSTITUTE(SUBSTITUTE(X297,".","-"),"/","-")),IFERROR(X297*1,""))))</f>
        <v/>
      </c>
      <c r="M297" s="6">
        <f>IF(Y297="","",IF(AND(LEN(Y297)=8,ISNUMBER(Y297*1)),DATE(LEFT(Y297,4),MID(Y297,5,2),RIGHT(Y297,2)),IFERROR(DATEVALUE(SUBSTITUTE(SUBSTITUTE(Y297,".","-"),"/","-")),IFERROR(Y297*1,""))))</f>
        <v/>
      </c>
      <c r="N297">
        <f>IFERROR(LEFT(B297,FIND(" ",B297)-1),B297)</f>
        <v/>
      </c>
      <c r="O297">
        <f>AND(B297&lt;&gt;"",B297&lt;&gt;설정!$B$4,C297&lt;&gt;설정!$B$5)</f>
        <v/>
      </c>
      <c r="P297">
        <f>IF(O297,B297&amp;"|"&amp;C297,"")</f>
        <v/>
      </c>
      <c r="Q297">
        <f>AND(O297,COUNTIF(P298:P$1002,P297)=0)</f>
        <v/>
      </c>
      <c r="R297">
        <f>OR(AND(설정!$A$28&lt;&gt;"",ISNUMBER(SEARCH(설정!$A$28,E297&amp;" "&amp;C297))),AND(설정!$A$29&lt;&gt;"",ISNUMBER(SEARCH(설정!$A$29,E297&amp;" "&amp;C297))),AND(설정!$A$30&lt;&gt;"",ISNUMBER(SEARCH(설정!$A$30,E297&amp;" "&amp;C297))),AND(설정!$A$31&lt;&gt;"",ISNUMBER(SEARCH(설정!$A$31,E297&amp;" "&amp;C297))),AND(설정!$A$32&lt;&gt;"",ISNUMBER(SEARCH(설정!$A$32,E297&amp;" "&amp;C297))),AND(설정!$A$33&lt;&gt;"",ISNUMBER(SEARCH(설정!$A$33,E297&amp;" "&amp;C297))),AND(설정!$A$34&lt;&gt;"",ISNUMBER(SEARCH(설정!$A$34,E297&amp;" "&amp;C297))),AND(설정!$A$35&lt;&gt;"",ISNUMBER(SEARCH(설정!$A$35,E297&amp;" "&amp;C297))),AND(설정!$A$36&lt;&gt;"",ISNUMBER(SEARCH(설정!$A$36,E297&amp;" "&amp;C297))),AND(설정!$A$37&lt;&gt;"",ISNUMBER(SEARCH(설정!$A$37,E297&amp;" "&amp;C297))))</f>
        <v/>
      </c>
      <c r="S297">
        <f>OR(D297="",D297&gt;=설정!$B$19)</f>
        <v/>
      </c>
      <c r="T297">
        <f>AND(Q297,R297,S297)</f>
        <v/>
      </c>
      <c r="U297">
        <f>IF(T297,IF(AND(설정!$A$41&lt;&gt;"",ISNUMBER(SEARCH(설정!$A$41,K297))),설정!$B$41,IF(AND(설정!$A$42&lt;&gt;"",ISNUMBER(SEARCH(설정!$A$42,K297))),설정!$B$42,IF(AND(설정!$A$43&lt;&gt;"",ISNUMBER(SEARCH(설정!$A$43,K297))),설정!$B$43,IF(AND(설정!$A$44&lt;&gt;"",ISNUMBER(SEARCH(설정!$A$44,K297))),설정!$B$44,IF(AND(설정!$A$45&lt;&gt;"",ISNUMBER(SEARCH(설정!$A$45,K297))),설정!$B$45,IF(AND(설정!$A$46&lt;&gt;"",ISNUMBER(SEARCH(설정!$A$46,K297))),설정!$B$46,IF(AND(설정!$A$47&lt;&gt;"",ISNUMBER(SEARCH(설정!$A$47,K297))),설정!$B$47,IF(AND(설정!$A$48&lt;&gt;"",ISNUMBER(SEARCH(설정!$A$48,K297))),설정!$B$48,IF(M297="","설계사","시공사"))))))))),"")</f>
        <v/>
      </c>
      <c r="V297">
        <f>SUBSTITUTE(SUBSTITUTE(SUBSTITUTE(SUBSTITUTE(G297,"(주)",""),"㈜",""),"주식회사","")," ","")</f>
        <v/>
      </c>
      <c r="W297">
        <f>IF(AND(T297,V297&lt;&gt;""),IF(COUNTIFS(V$2:V297,V297,T$2:T297,TRUE)=1,MAX(W$1:W296)+1,""),"")</f>
        <v/>
      </c>
      <c r="X297">
        <f>IFERROR(INDEX('1.산군_붙여넣기'!$A$1:$AZ$1001,ROW(),설정!$C$14)&amp;"","")</f>
        <v/>
      </c>
      <c r="Y297">
        <f>IFERROR(INDEX('1.산군_붙여넣기'!$A$1:$AZ$1001,ROW(),설정!$C$15)&amp;"","")</f>
        <v/>
      </c>
      <c r="Z297">
        <f>IF(T297,V297&amp;"|"&amp;U297,"")</f>
        <v/>
      </c>
    </row>
    <row r="298">
      <c r="A298">
        <f>ROW()</f>
        <v/>
      </c>
      <c r="B298">
        <f>IFERROR(INDEX('1.산군_붙여넣기'!$A$1:$AZ$1001,ROW(),설정!$C$4)&amp;"","")</f>
        <v/>
      </c>
      <c r="C298">
        <f>IFERROR(INDEX('1.산군_붙여넣기'!$A$1:$AZ$1001,ROW(),설정!$C$5)&amp;"","")</f>
        <v/>
      </c>
      <c r="D298" s="5">
        <f>IFERROR(VALUE(SUBSTITUTE(SUBSTITUTE(SUBSTITUTE(IFERROR(INDEX('1.산군_붙여넣기'!$A$1:$AZ$1001,ROW(),설정!$C$6)&amp;"",""),",",""),"㎡",""),"m2","")),"")</f>
        <v/>
      </c>
      <c r="E298">
        <f>IFERROR(INDEX('1.산군_붙여넣기'!$A$1:$AZ$1001,ROW(),설정!$C$7)&amp;"","")</f>
        <v/>
      </c>
      <c r="F298">
        <f>IFERROR(INDEX('1.산군_붙여넣기'!$A$1:$AZ$1001,ROW(),설정!$C$8)&amp;"","")</f>
        <v/>
      </c>
      <c r="G298">
        <f>IFERROR(INDEX('1.산군_붙여넣기'!$A$1:$AZ$1001,ROW(),설정!$C$9)&amp;"","")</f>
        <v/>
      </c>
      <c r="H298">
        <f>IFERROR(INDEX('1.산군_붙여넣기'!$A$1:$AZ$1001,ROW(),설정!$C$10)&amp;"","")</f>
        <v/>
      </c>
      <c r="I298">
        <f>IFERROR(INDEX('1.산군_붙여넣기'!$A$1:$AZ$1001,ROW(),설정!$C$11)&amp;"","")</f>
        <v/>
      </c>
      <c r="J298">
        <f>IFERROR(INDEX('1.산군_붙여넣기'!$A$1:$AZ$1001,ROW(),설정!$C$12)&amp;"","")</f>
        <v/>
      </c>
      <c r="K298">
        <f>IFERROR(INDEX('1.산군_붙여넣기'!$A$1:$AZ$1001,ROW(),설정!$C$13)&amp;"","")</f>
        <v/>
      </c>
      <c r="L298" s="6">
        <f>IF(X298="","",IF(AND(LEN(X298)=8,ISNUMBER(X298*1)),DATE(LEFT(X298,4),MID(X298,5,2),RIGHT(X298,2)),IFERROR(DATEVALUE(SUBSTITUTE(SUBSTITUTE(X298,".","-"),"/","-")),IFERROR(X298*1,""))))</f>
        <v/>
      </c>
      <c r="M298" s="6">
        <f>IF(Y298="","",IF(AND(LEN(Y298)=8,ISNUMBER(Y298*1)),DATE(LEFT(Y298,4),MID(Y298,5,2),RIGHT(Y298,2)),IFERROR(DATEVALUE(SUBSTITUTE(SUBSTITUTE(Y298,".","-"),"/","-")),IFERROR(Y298*1,""))))</f>
        <v/>
      </c>
      <c r="N298">
        <f>IFERROR(LEFT(B298,FIND(" ",B298)-1),B298)</f>
        <v/>
      </c>
      <c r="O298">
        <f>AND(B298&lt;&gt;"",B298&lt;&gt;설정!$B$4,C298&lt;&gt;설정!$B$5)</f>
        <v/>
      </c>
      <c r="P298">
        <f>IF(O298,B298&amp;"|"&amp;C298,"")</f>
        <v/>
      </c>
      <c r="Q298">
        <f>AND(O298,COUNTIF(P299:P$1002,P298)=0)</f>
        <v/>
      </c>
      <c r="R298">
        <f>OR(AND(설정!$A$28&lt;&gt;"",ISNUMBER(SEARCH(설정!$A$28,E298&amp;" "&amp;C298))),AND(설정!$A$29&lt;&gt;"",ISNUMBER(SEARCH(설정!$A$29,E298&amp;" "&amp;C298))),AND(설정!$A$30&lt;&gt;"",ISNUMBER(SEARCH(설정!$A$30,E298&amp;" "&amp;C298))),AND(설정!$A$31&lt;&gt;"",ISNUMBER(SEARCH(설정!$A$31,E298&amp;" "&amp;C298))),AND(설정!$A$32&lt;&gt;"",ISNUMBER(SEARCH(설정!$A$32,E298&amp;" "&amp;C298))),AND(설정!$A$33&lt;&gt;"",ISNUMBER(SEARCH(설정!$A$33,E298&amp;" "&amp;C298))),AND(설정!$A$34&lt;&gt;"",ISNUMBER(SEARCH(설정!$A$34,E298&amp;" "&amp;C298))),AND(설정!$A$35&lt;&gt;"",ISNUMBER(SEARCH(설정!$A$35,E298&amp;" "&amp;C298))),AND(설정!$A$36&lt;&gt;"",ISNUMBER(SEARCH(설정!$A$36,E298&amp;" "&amp;C298))),AND(설정!$A$37&lt;&gt;"",ISNUMBER(SEARCH(설정!$A$37,E298&amp;" "&amp;C298))))</f>
        <v/>
      </c>
      <c r="S298">
        <f>OR(D298="",D298&gt;=설정!$B$19)</f>
        <v/>
      </c>
      <c r="T298">
        <f>AND(Q298,R298,S298)</f>
        <v/>
      </c>
      <c r="U298">
        <f>IF(T298,IF(AND(설정!$A$41&lt;&gt;"",ISNUMBER(SEARCH(설정!$A$41,K298))),설정!$B$41,IF(AND(설정!$A$42&lt;&gt;"",ISNUMBER(SEARCH(설정!$A$42,K298))),설정!$B$42,IF(AND(설정!$A$43&lt;&gt;"",ISNUMBER(SEARCH(설정!$A$43,K298))),설정!$B$43,IF(AND(설정!$A$44&lt;&gt;"",ISNUMBER(SEARCH(설정!$A$44,K298))),설정!$B$44,IF(AND(설정!$A$45&lt;&gt;"",ISNUMBER(SEARCH(설정!$A$45,K298))),설정!$B$45,IF(AND(설정!$A$46&lt;&gt;"",ISNUMBER(SEARCH(설정!$A$46,K298))),설정!$B$46,IF(AND(설정!$A$47&lt;&gt;"",ISNUMBER(SEARCH(설정!$A$47,K298))),설정!$B$47,IF(AND(설정!$A$48&lt;&gt;"",ISNUMBER(SEARCH(설정!$A$48,K298))),설정!$B$48,IF(M298="","설계사","시공사"))))))))),"")</f>
        <v/>
      </c>
      <c r="V298">
        <f>SUBSTITUTE(SUBSTITUTE(SUBSTITUTE(SUBSTITUTE(G298,"(주)",""),"㈜",""),"주식회사","")," ","")</f>
        <v/>
      </c>
      <c r="W298">
        <f>IF(AND(T298,V298&lt;&gt;""),IF(COUNTIFS(V$2:V298,V298,T$2:T298,TRUE)=1,MAX(W$1:W297)+1,""),"")</f>
        <v/>
      </c>
      <c r="X298">
        <f>IFERROR(INDEX('1.산군_붙여넣기'!$A$1:$AZ$1001,ROW(),설정!$C$14)&amp;"","")</f>
        <v/>
      </c>
      <c r="Y298">
        <f>IFERROR(INDEX('1.산군_붙여넣기'!$A$1:$AZ$1001,ROW(),설정!$C$15)&amp;"","")</f>
        <v/>
      </c>
      <c r="Z298">
        <f>IF(T298,V298&amp;"|"&amp;U298,"")</f>
        <v/>
      </c>
    </row>
    <row r="299">
      <c r="A299">
        <f>ROW()</f>
        <v/>
      </c>
      <c r="B299">
        <f>IFERROR(INDEX('1.산군_붙여넣기'!$A$1:$AZ$1001,ROW(),설정!$C$4)&amp;"","")</f>
        <v/>
      </c>
      <c r="C299">
        <f>IFERROR(INDEX('1.산군_붙여넣기'!$A$1:$AZ$1001,ROW(),설정!$C$5)&amp;"","")</f>
        <v/>
      </c>
      <c r="D299" s="5">
        <f>IFERROR(VALUE(SUBSTITUTE(SUBSTITUTE(SUBSTITUTE(IFERROR(INDEX('1.산군_붙여넣기'!$A$1:$AZ$1001,ROW(),설정!$C$6)&amp;"",""),",",""),"㎡",""),"m2","")),"")</f>
        <v/>
      </c>
      <c r="E299">
        <f>IFERROR(INDEX('1.산군_붙여넣기'!$A$1:$AZ$1001,ROW(),설정!$C$7)&amp;"","")</f>
        <v/>
      </c>
      <c r="F299">
        <f>IFERROR(INDEX('1.산군_붙여넣기'!$A$1:$AZ$1001,ROW(),설정!$C$8)&amp;"","")</f>
        <v/>
      </c>
      <c r="G299">
        <f>IFERROR(INDEX('1.산군_붙여넣기'!$A$1:$AZ$1001,ROW(),설정!$C$9)&amp;"","")</f>
        <v/>
      </c>
      <c r="H299">
        <f>IFERROR(INDEX('1.산군_붙여넣기'!$A$1:$AZ$1001,ROW(),설정!$C$10)&amp;"","")</f>
        <v/>
      </c>
      <c r="I299">
        <f>IFERROR(INDEX('1.산군_붙여넣기'!$A$1:$AZ$1001,ROW(),설정!$C$11)&amp;"","")</f>
        <v/>
      </c>
      <c r="J299">
        <f>IFERROR(INDEX('1.산군_붙여넣기'!$A$1:$AZ$1001,ROW(),설정!$C$12)&amp;"","")</f>
        <v/>
      </c>
      <c r="K299">
        <f>IFERROR(INDEX('1.산군_붙여넣기'!$A$1:$AZ$1001,ROW(),설정!$C$13)&amp;"","")</f>
        <v/>
      </c>
      <c r="L299" s="6">
        <f>IF(X299="","",IF(AND(LEN(X299)=8,ISNUMBER(X299*1)),DATE(LEFT(X299,4),MID(X299,5,2),RIGHT(X299,2)),IFERROR(DATEVALUE(SUBSTITUTE(SUBSTITUTE(X299,".","-"),"/","-")),IFERROR(X299*1,""))))</f>
        <v/>
      </c>
      <c r="M299" s="6">
        <f>IF(Y299="","",IF(AND(LEN(Y299)=8,ISNUMBER(Y299*1)),DATE(LEFT(Y299,4),MID(Y299,5,2),RIGHT(Y299,2)),IFERROR(DATEVALUE(SUBSTITUTE(SUBSTITUTE(Y299,".","-"),"/","-")),IFERROR(Y299*1,""))))</f>
        <v/>
      </c>
      <c r="N299">
        <f>IFERROR(LEFT(B299,FIND(" ",B299)-1),B299)</f>
        <v/>
      </c>
      <c r="O299">
        <f>AND(B299&lt;&gt;"",B299&lt;&gt;설정!$B$4,C299&lt;&gt;설정!$B$5)</f>
        <v/>
      </c>
      <c r="P299">
        <f>IF(O299,B299&amp;"|"&amp;C299,"")</f>
        <v/>
      </c>
      <c r="Q299">
        <f>AND(O299,COUNTIF(P300:P$1002,P299)=0)</f>
        <v/>
      </c>
      <c r="R299">
        <f>OR(AND(설정!$A$28&lt;&gt;"",ISNUMBER(SEARCH(설정!$A$28,E299&amp;" "&amp;C299))),AND(설정!$A$29&lt;&gt;"",ISNUMBER(SEARCH(설정!$A$29,E299&amp;" "&amp;C299))),AND(설정!$A$30&lt;&gt;"",ISNUMBER(SEARCH(설정!$A$30,E299&amp;" "&amp;C299))),AND(설정!$A$31&lt;&gt;"",ISNUMBER(SEARCH(설정!$A$31,E299&amp;" "&amp;C299))),AND(설정!$A$32&lt;&gt;"",ISNUMBER(SEARCH(설정!$A$32,E299&amp;" "&amp;C299))),AND(설정!$A$33&lt;&gt;"",ISNUMBER(SEARCH(설정!$A$33,E299&amp;" "&amp;C299))),AND(설정!$A$34&lt;&gt;"",ISNUMBER(SEARCH(설정!$A$34,E299&amp;" "&amp;C299))),AND(설정!$A$35&lt;&gt;"",ISNUMBER(SEARCH(설정!$A$35,E299&amp;" "&amp;C299))),AND(설정!$A$36&lt;&gt;"",ISNUMBER(SEARCH(설정!$A$36,E299&amp;" "&amp;C299))),AND(설정!$A$37&lt;&gt;"",ISNUMBER(SEARCH(설정!$A$37,E299&amp;" "&amp;C299))))</f>
        <v/>
      </c>
      <c r="S299">
        <f>OR(D299="",D299&gt;=설정!$B$19)</f>
        <v/>
      </c>
      <c r="T299">
        <f>AND(Q299,R299,S299)</f>
        <v/>
      </c>
      <c r="U299">
        <f>IF(T299,IF(AND(설정!$A$41&lt;&gt;"",ISNUMBER(SEARCH(설정!$A$41,K299))),설정!$B$41,IF(AND(설정!$A$42&lt;&gt;"",ISNUMBER(SEARCH(설정!$A$42,K299))),설정!$B$42,IF(AND(설정!$A$43&lt;&gt;"",ISNUMBER(SEARCH(설정!$A$43,K299))),설정!$B$43,IF(AND(설정!$A$44&lt;&gt;"",ISNUMBER(SEARCH(설정!$A$44,K299))),설정!$B$44,IF(AND(설정!$A$45&lt;&gt;"",ISNUMBER(SEARCH(설정!$A$45,K299))),설정!$B$45,IF(AND(설정!$A$46&lt;&gt;"",ISNUMBER(SEARCH(설정!$A$46,K299))),설정!$B$46,IF(AND(설정!$A$47&lt;&gt;"",ISNUMBER(SEARCH(설정!$A$47,K299))),설정!$B$47,IF(AND(설정!$A$48&lt;&gt;"",ISNUMBER(SEARCH(설정!$A$48,K299))),설정!$B$48,IF(M299="","설계사","시공사"))))))))),"")</f>
        <v/>
      </c>
      <c r="V299">
        <f>SUBSTITUTE(SUBSTITUTE(SUBSTITUTE(SUBSTITUTE(G299,"(주)",""),"㈜",""),"주식회사","")," ","")</f>
        <v/>
      </c>
      <c r="W299">
        <f>IF(AND(T299,V299&lt;&gt;""),IF(COUNTIFS(V$2:V299,V299,T$2:T299,TRUE)=1,MAX(W$1:W298)+1,""),"")</f>
        <v/>
      </c>
      <c r="X299">
        <f>IFERROR(INDEX('1.산군_붙여넣기'!$A$1:$AZ$1001,ROW(),설정!$C$14)&amp;"","")</f>
        <v/>
      </c>
      <c r="Y299">
        <f>IFERROR(INDEX('1.산군_붙여넣기'!$A$1:$AZ$1001,ROW(),설정!$C$15)&amp;"","")</f>
        <v/>
      </c>
      <c r="Z299">
        <f>IF(T299,V299&amp;"|"&amp;U299,"")</f>
        <v/>
      </c>
    </row>
    <row r="300">
      <c r="A300">
        <f>ROW()</f>
        <v/>
      </c>
      <c r="B300">
        <f>IFERROR(INDEX('1.산군_붙여넣기'!$A$1:$AZ$1001,ROW(),설정!$C$4)&amp;"","")</f>
        <v/>
      </c>
      <c r="C300">
        <f>IFERROR(INDEX('1.산군_붙여넣기'!$A$1:$AZ$1001,ROW(),설정!$C$5)&amp;"","")</f>
        <v/>
      </c>
      <c r="D300" s="5">
        <f>IFERROR(VALUE(SUBSTITUTE(SUBSTITUTE(SUBSTITUTE(IFERROR(INDEX('1.산군_붙여넣기'!$A$1:$AZ$1001,ROW(),설정!$C$6)&amp;"",""),",",""),"㎡",""),"m2","")),"")</f>
        <v/>
      </c>
      <c r="E300">
        <f>IFERROR(INDEX('1.산군_붙여넣기'!$A$1:$AZ$1001,ROW(),설정!$C$7)&amp;"","")</f>
        <v/>
      </c>
      <c r="F300">
        <f>IFERROR(INDEX('1.산군_붙여넣기'!$A$1:$AZ$1001,ROW(),설정!$C$8)&amp;"","")</f>
        <v/>
      </c>
      <c r="G300">
        <f>IFERROR(INDEX('1.산군_붙여넣기'!$A$1:$AZ$1001,ROW(),설정!$C$9)&amp;"","")</f>
        <v/>
      </c>
      <c r="H300">
        <f>IFERROR(INDEX('1.산군_붙여넣기'!$A$1:$AZ$1001,ROW(),설정!$C$10)&amp;"","")</f>
        <v/>
      </c>
      <c r="I300">
        <f>IFERROR(INDEX('1.산군_붙여넣기'!$A$1:$AZ$1001,ROW(),설정!$C$11)&amp;"","")</f>
        <v/>
      </c>
      <c r="J300">
        <f>IFERROR(INDEX('1.산군_붙여넣기'!$A$1:$AZ$1001,ROW(),설정!$C$12)&amp;"","")</f>
        <v/>
      </c>
      <c r="K300">
        <f>IFERROR(INDEX('1.산군_붙여넣기'!$A$1:$AZ$1001,ROW(),설정!$C$13)&amp;"","")</f>
        <v/>
      </c>
      <c r="L300" s="6">
        <f>IF(X300="","",IF(AND(LEN(X300)=8,ISNUMBER(X300*1)),DATE(LEFT(X300,4),MID(X300,5,2),RIGHT(X300,2)),IFERROR(DATEVALUE(SUBSTITUTE(SUBSTITUTE(X300,".","-"),"/","-")),IFERROR(X300*1,""))))</f>
        <v/>
      </c>
      <c r="M300" s="6">
        <f>IF(Y300="","",IF(AND(LEN(Y300)=8,ISNUMBER(Y300*1)),DATE(LEFT(Y300,4),MID(Y300,5,2),RIGHT(Y300,2)),IFERROR(DATEVALUE(SUBSTITUTE(SUBSTITUTE(Y300,".","-"),"/","-")),IFERROR(Y300*1,""))))</f>
        <v/>
      </c>
      <c r="N300">
        <f>IFERROR(LEFT(B300,FIND(" ",B300)-1),B300)</f>
        <v/>
      </c>
      <c r="O300">
        <f>AND(B300&lt;&gt;"",B300&lt;&gt;설정!$B$4,C300&lt;&gt;설정!$B$5)</f>
        <v/>
      </c>
      <c r="P300">
        <f>IF(O300,B300&amp;"|"&amp;C300,"")</f>
        <v/>
      </c>
      <c r="Q300">
        <f>AND(O300,COUNTIF(P301:P$1002,P300)=0)</f>
        <v/>
      </c>
      <c r="R300">
        <f>OR(AND(설정!$A$28&lt;&gt;"",ISNUMBER(SEARCH(설정!$A$28,E300&amp;" "&amp;C300))),AND(설정!$A$29&lt;&gt;"",ISNUMBER(SEARCH(설정!$A$29,E300&amp;" "&amp;C300))),AND(설정!$A$30&lt;&gt;"",ISNUMBER(SEARCH(설정!$A$30,E300&amp;" "&amp;C300))),AND(설정!$A$31&lt;&gt;"",ISNUMBER(SEARCH(설정!$A$31,E300&amp;" "&amp;C300))),AND(설정!$A$32&lt;&gt;"",ISNUMBER(SEARCH(설정!$A$32,E300&amp;" "&amp;C300))),AND(설정!$A$33&lt;&gt;"",ISNUMBER(SEARCH(설정!$A$33,E300&amp;" "&amp;C300))),AND(설정!$A$34&lt;&gt;"",ISNUMBER(SEARCH(설정!$A$34,E300&amp;" "&amp;C300))),AND(설정!$A$35&lt;&gt;"",ISNUMBER(SEARCH(설정!$A$35,E300&amp;" "&amp;C300))),AND(설정!$A$36&lt;&gt;"",ISNUMBER(SEARCH(설정!$A$36,E300&amp;" "&amp;C300))),AND(설정!$A$37&lt;&gt;"",ISNUMBER(SEARCH(설정!$A$37,E300&amp;" "&amp;C300))))</f>
        <v/>
      </c>
      <c r="S300">
        <f>OR(D300="",D300&gt;=설정!$B$19)</f>
        <v/>
      </c>
      <c r="T300">
        <f>AND(Q300,R300,S300)</f>
        <v/>
      </c>
      <c r="U300">
        <f>IF(T300,IF(AND(설정!$A$41&lt;&gt;"",ISNUMBER(SEARCH(설정!$A$41,K300))),설정!$B$41,IF(AND(설정!$A$42&lt;&gt;"",ISNUMBER(SEARCH(설정!$A$42,K300))),설정!$B$42,IF(AND(설정!$A$43&lt;&gt;"",ISNUMBER(SEARCH(설정!$A$43,K300))),설정!$B$43,IF(AND(설정!$A$44&lt;&gt;"",ISNUMBER(SEARCH(설정!$A$44,K300))),설정!$B$44,IF(AND(설정!$A$45&lt;&gt;"",ISNUMBER(SEARCH(설정!$A$45,K300))),설정!$B$45,IF(AND(설정!$A$46&lt;&gt;"",ISNUMBER(SEARCH(설정!$A$46,K300))),설정!$B$46,IF(AND(설정!$A$47&lt;&gt;"",ISNUMBER(SEARCH(설정!$A$47,K300))),설정!$B$47,IF(AND(설정!$A$48&lt;&gt;"",ISNUMBER(SEARCH(설정!$A$48,K300))),설정!$B$48,IF(M300="","설계사","시공사"))))))))),"")</f>
        <v/>
      </c>
      <c r="V300">
        <f>SUBSTITUTE(SUBSTITUTE(SUBSTITUTE(SUBSTITUTE(G300,"(주)",""),"㈜",""),"주식회사","")," ","")</f>
        <v/>
      </c>
      <c r="W300">
        <f>IF(AND(T300,V300&lt;&gt;""),IF(COUNTIFS(V$2:V300,V300,T$2:T300,TRUE)=1,MAX(W$1:W299)+1,""),"")</f>
        <v/>
      </c>
      <c r="X300">
        <f>IFERROR(INDEX('1.산군_붙여넣기'!$A$1:$AZ$1001,ROW(),설정!$C$14)&amp;"","")</f>
        <v/>
      </c>
      <c r="Y300">
        <f>IFERROR(INDEX('1.산군_붙여넣기'!$A$1:$AZ$1001,ROW(),설정!$C$15)&amp;"","")</f>
        <v/>
      </c>
      <c r="Z300">
        <f>IF(T300,V300&amp;"|"&amp;U300,"")</f>
        <v/>
      </c>
    </row>
    <row r="301">
      <c r="A301">
        <f>ROW()</f>
        <v/>
      </c>
      <c r="B301">
        <f>IFERROR(INDEX('1.산군_붙여넣기'!$A$1:$AZ$1001,ROW(),설정!$C$4)&amp;"","")</f>
        <v/>
      </c>
      <c r="C301">
        <f>IFERROR(INDEX('1.산군_붙여넣기'!$A$1:$AZ$1001,ROW(),설정!$C$5)&amp;"","")</f>
        <v/>
      </c>
      <c r="D301" s="5">
        <f>IFERROR(VALUE(SUBSTITUTE(SUBSTITUTE(SUBSTITUTE(IFERROR(INDEX('1.산군_붙여넣기'!$A$1:$AZ$1001,ROW(),설정!$C$6)&amp;"",""),",",""),"㎡",""),"m2","")),"")</f>
        <v/>
      </c>
      <c r="E301">
        <f>IFERROR(INDEX('1.산군_붙여넣기'!$A$1:$AZ$1001,ROW(),설정!$C$7)&amp;"","")</f>
        <v/>
      </c>
      <c r="F301">
        <f>IFERROR(INDEX('1.산군_붙여넣기'!$A$1:$AZ$1001,ROW(),설정!$C$8)&amp;"","")</f>
        <v/>
      </c>
      <c r="G301">
        <f>IFERROR(INDEX('1.산군_붙여넣기'!$A$1:$AZ$1001,ROW(),설정!$C$9)&amp;"","")</f>
        <v/>
      </c>
      <c r="H301">
        <f>IFERROR(INDEX('1.산군_붙여넣기'!$A$1:$AZ$1001,ROW(),설정!$C$10)&amp;"","")</f>
        <v/>
      </c>
      <c r="I301">
        <f>IFERROR(INDEX('1.산군_붙여넣기'!$A$1:$AZ$1001,ROW(),설정!$C$11)&amp;"","")</f>
        <v/>
      </c>
      <c r="J301">
        <f>IFERROR(INDEX('1.산군_붙여넣기'!$A$1:$AZ$1001,ROW(),설정!$C$12)&amp;"","")</f>
        <v/>
      </c>
      <c r="K301">
        <f>IFERROR(INDEX('1.산군_붙여넣기'!$A$1:$AZ$1001,ROW(),설정!$C$13)&amp;"","")</f>
        <v/>
      </c>
      <c r="L301" s="6">
        <f>IF(X301="","",IF(AND(LEN(X301)=8,ISNUMBER(X301*1)),DATE(LEFT(X301,4),MID(X301,5,2),RIGHT(X301,2)),IFERROR(DATEVALUE(SUBSTITUTE(SUBSTITUTE(X301,".","-"),"/","-")),IFERROR(X301*1,""))))</f>
        <v/>
      </c>
      <c r="M301" s="6">
        <f>IF(Y301="","",IF(AND(LEN(Y301)=8,ISNUMBER(Y301*1)),DATE(LEFT(Y301,4),MID(Y301,5,2),RIGHT(Y301,2)),IFERROR(DATEVALUE(SUBSTITUTE(SUBSTITUTE(Y301,".","-"),"/","-")),IFERROR(Y301*1,""))))</f>
        <v/>
      </c>
      <c r="N301">
        <f>IFERROR(LEFT(B301,FIND(" ",B301)-1),B301)</f>
        <v/>
      </c>
      <c r="O301">
        <f>AND(B301&lt;&gt;"",B301&lt;&gt;설정!$B$4,C301&lt;&gt;설정!$B$5)</f>
        <v/>
      </c>
      <c r="P301">
        <f>IF(O301,B301&amp;"|"&amp;C301,"")</f>
        <v/>
      </c>
      <c r="Q301">
        <f>AND(O301,COUNTIF(P302:P$1002,P301)=0)</f>
        <v/>
      </c>
      <c r="R301">
        <f>OR(AND(설정!$A$28&lt;&gt;"",ISNUMBER(SEARCH(설정!$A$28,E301&amp;" "&amp;C301))),AND(설정!$A$29&lt;&gt;"",ISNUMBER(SEARCH(설정!$A$29,E301&amp;" "&amp;C301))),AND(설정!$A$30&lt;&gt;"",ISNUMBER(SEARCH(설정!$A$30,E301&amp;" "&amp;C301))),AND(설정!$A$31&lt;&gt;"",ISNUMBER(SEARCH(설정!$A$31,E301&amp;" "&amp;C301))),AND(설정!$A$32&lt;&gt;"",ISNUMBER(SEARCH(설정!$A$32,E301&amp;" "&amp;C301))),AND(설정!$A$33&lt;&gt;"",ISNUMBER(SEARCH(설정!$A$33,E301&amp;" "&amp;C301))),AND(설정!$A$34&lt;&gt;"",ISNUMBER(SEARCH(설정!$A$34,E301&amp;" "&amp;C301))),AND(설정!$A$35&lt;&gt;"",ISNUMBER(SEARCH(설정!$A$35,E301&amp;" "&amp;C301))),AND(설정!$A$36&lt;&gt;"",ISNUMBER(SEARCH(설정!$A$36,E301&amp;" "&amp;C301))),AND(설정!$A$37&lt;&gt;"",ISNUMBER(SEARCH(설정!$A$37,E301&amp;" "&amp;C301))))</f>
        <v/>
      </c>
      <c r="S301">
        <f>OR(D301="",D301&gt;=설정!$B$19)</f>
        <v/>
      </c>
      <c r="T301">
        <f>AND(Q301,R301,S301)</f>
        <v/>
      </c>
      <c r="U301">
        <f>IF(T301,IF(AND(설정!$A$41&lt;&gt;"",ISNUMBER(SEARCH(설정!$A$41,K301))),설정!$B$41,IF(AND(설정!$A$42&lt;&gt;"",ISNUMBER(SEARCH(설정!$A$42,K301))),설정!$B$42,IF(AND(설정!$A$43&lt;&gt;"",ISNUMBER(SEARCH(설정!$A$43,K301))),설정!$B$43,IF(AND(설정!$A$44&lt;&gt;"",ISNUMBER(SEARCH(설정!$A$44,K301))),설정!$B$44,IF(AND(설정!$A$45&lt;&gt;"",ISNUMBER(SEARCH(설정!$A$45,K301))),설정!$B$45,IF(AND(설정!$A$46&lt;&gt;"",ISNUMBER(SEARCH(설정!$A$46,K301))),설정!$B$46,IF(AND(설정!$A$47&lt;&gt;"",ISNUMBER(SEARCH(설정!$A$47,K301))),설정!$B$47,IF(AND(설정!$A$48&lt;&gt;"",ISNUMBER(SEARCH(설정!$A$48,K301))),설정!$B$48,IF(M301="","설계사","시공사"))))))))),"")</f>
        <v/>
      </c>
      <c r="V301">
        <f>SUBSTITUTE(SUBSTITUTE(SUBSTITUTE(SUBSTITUTE(G301,"(주)",""),"㈜",""),"주식회사","")," ","")</f>
        <v/>
      </c>
      <c r="W301">
        <f>IF(AND(T301,V301&lt;&gt;""),IF(COUNTIFS(V$2:V301,V301,T$2:T301,TRUE)=1,MAX(W$1:W300)+1,""),"")</f>
        <v/>
      </c>
      <c r="X301">
        <f>IFERROR(INDEX('1.산군_붙여넣기'!$A$1:$AZ$1001,ROW(),설정!$C$14)&amp;"","")</f>
        <v/>
      </c>
      <c r="Y301">
        <f>IFERROR(INDEX('1.산군_붙여넣기'!$A$1:$AZ$1001,ROW(),설정!$C$15)&amp;"","")</f>
        <v/>
      </c>
      <c r="Z301">
        <f>IF(T301,V301&amp;"|"&amp;U301,"")</f>
        <v/>
      </c>
    </row>
    <row r="302">
      <c r="A302">
        <f>ROW()</f>
        <v/>
      </c>
      <c r="B302">
        <f>IFERROR(INDEX('1.산군_붙여넣기'!$A$1:$AZ$1001,ROW(),설정!$C$4)&amp;"","")</f>
        <v/>
      </c>
      <c r="C302">
        <f>IFERROR(INDEX('1.산군_붙여넣기'!$A$1:$AZ$1001,ROW(),설정!$C$5)&amp;"","")</f>
        <v/>
      </c>
      <c r="D302" s="5">
        <f>IFERROR(VALUE(SUBSTITUTE(SUBSTITUTE(SUBSTITUTE(IFERROR(INDEX('1.산군_붙여넣기'!$A$1:$AZ$1001,ROW(),설정!$C$6)&amp;"",""),",",""),"㎡",""),"m2","")),"")</f>
        <v/>
      </c>
      <c r="E302">
        <f>IFERROR(INDEX('1.산군_붙여넣기'!$A$1:$AZ$1001,ROW(),설정!$C$7)&amp;"","")</f>
        <v/>
      </c>
      <c r="F302">
        <f>IFERROR(INDEX('1.산군_붙여넣기'!$A$1:$AZ$1001,ROW(),설정!$C$8)&amp;"","")</f>
        <v/>
      </c>
      <c r="G302">
        <f>IFERROR(INDEX('1.산군_붙여넣기'!$A$1:$AZ$1001,ROW(),설정!$C$9)&amp;"","")</f>
        <v/>
      </c>
      <c r="H302">
        <f>IFERROR(INDEX('1.산군_붙여넣기'!$A$1:$AZ$1001,ROW(),설정!$C$10)&amp;"","")</f>
        <v/>
      </c>
      <c r="I302">
        <f>IFERROR(INDEX('1.산군_붙여넣기'!$A$1:$AZ$1001,ROW(),설정!$C$11)&amp;"","")</f>
        <v/>
      </c>
      <c r="J302">
        <f>IFERROR(INDEX('1.산군_붙여넣기'!$A$1:$AZ$1001,ROW(),설정!$C$12)&amp;"","")</f>
        <v/>
      </c>
      <c r="K302">
        <f>IFERROR(INDEX('1.산군_붙여넣기'!$A$1:$AZ$1001,ROW(),설정!$C$13)&amp;"","")</f>
        <v/>
      </c>
      <c r="L302" s="6">
        <f>IF(X302="","",IF(AND(LEN(X302)=8,ISNUMBER(X302*1)),DATE(LEFT(X302,4),MID(X302,5,2),RIGHT(X302,2)),IFERROR(DATEVALUE(SUBSTITUTE(SUBSTITUTE(X302,".","-"),"/","-")),IFERROR(X302*1,""))))</f>
        <v/>
      </c>
      <c r="M302" s="6">
        <f>IF(Y302="","",IF(AND(LEN(Y302)=8,ISNUMBER(Y302*1)),DATE(LEFT(Y302,4),MID(Y302,5,2),RIGHT(Y302,2)),IFERROR(DATEVALUE(SUBSTITUTE(SUBSTITUTE(Y302,".","-"),"/","-")),IFERROR(Y302*1,""))))</f>
        <v/>
      </c>
      <c r="N302">
        <f>IFERROR(LEFT(B302,FIND(" ",B302)-1),B302)</f>
        <v/>
      </c>
      <c r="O302">
        <f>AND(B302&lt;&gt;"",B302&lt;&gt;설정!$B$4,C302&lt;&gt;설정!$B$5)</f>
        <v/>
      </c>
      <c r="P302">
        <f>IF(O302,B302&amp;"|"&amp;C302,"")</f>
        <v/>
      </c>
      <c r="Q302">
        <f>AND(O302,COUNTIF(P303:P$1002,P302)=0)</f>
        <v/>
      </c>
      <c r="R302">
        <f>OR(AND(설정!$A$28&lt;&gt;"",ISNUMBER(SEARCH(설정!$A$28,E302&amp;" "&amp;C302))),AND(설정!$A$29&lt;&gt;"",ISNUMBER(SEARCH(설정!$A$29,E302&amp;" "&amp;C302))),AND(설정!$A$30&lt;&gt;"",ISNUMBER(SEARCH(설정!$A$30,E302&amp;" "&amp;C302))),AND(설정!$A$31&lt;&gt;"",ISNUMBER(SEARCH(설정!$A$31,E302&amp;" "&amp;C302))),AND(설정!$A$32&lt;&gt;"",ISNUMBER(SEARCH(설정!$A$32,E302&amp;" "&amp;C302))),AND(설정!$A$33&lt;&gt;"",ISNUMBER(SEARCH(설정!$A$33,E302&amp;" "&amp;C302))),AND(설정!$A$34&lt;&gt;"",ISNUMBER(SEARCH(설정!$A$34,E302&amp;" "&amp;C302))),AND(설정!$A$35&lt;&gt;"",ISNUMBER(SEARCH(설정!$A$35,E302&amp;" "&amp;C302))),AND(설정!$A$36&lt;&gt;"",ISNUMBER(SEARCH(설정!$A$36,E302&amp;" "&amp;C302))),AND(설정!$A$37&lt;&gt;"",ISNUMBER(SEARCH(설정!$A$37,E302&amp;" "&amp;C302))))</f>
        <v/>
      </c>
      <c r="S302">
        <f>OR(D302="",D302&gt;=설정!$B$19)</f>
        <v/>
      </c>
      <c r="T302">
        <f>AND(Q302,R302,S302)</f>
        <v/>
      </c>
      <c r="U302">
        <f>IF(T302,IF(AND(설정!$A$41&lt;&gt;"",ISNUMBER(SEARCH(설정!$A$41,K302))),설정!$B$41,IF(AND(설정!$A$42&lt;&gt;"",ISNUMBER(SEARCH(설정!$A$42,K302))),설정!$B$42,IF(AND(설정!$A$43&lt;&gt;"",ISNUMBER(SEARCH(설정!$A$43,K302))),설정!$B$43,IF(AND(설정!$A$44&lt;&gt;"",ISNUMBER(SEARCH(설정!$A$44,K302))),설정!$B$44,IF(AND(설정!$A$45&lt;&gt;"",ISNUMBER(SEARCH(설정!$A$45,K302))),설정!$B$45,IF(AND(설정!$A$46&lt;&gt;"",ISNUMBER(SEARCH(설정!$A$46,K302))),설정!$B$46,IF(AND(설정!$A$47&lt;&gt;"",ISNUMBER(SEARCH(설정!$A$47,K302))),설정!$B$47,IF(AND(설정!$A$48&lt;&gt;"",ISNUMBER(SEARCH(설정!$A$48,K302))),설정!$B$48,IF(M302="","설계사","시공사"))))))))),"")</f>
        <v/>
      </c>
      <c r="V302">
        <f>SUBSTITUTE(SUBSTITUTE(SUBSTITUTE(SUBSTITUTE(G302,"(주)",""),"㈜",""),"주식회사","")," ","")</f>
        <v/>
      </c>
      <c r="W302">
        <f>IF(AND(T302,V302&lt;&gt;""),IF(COUNTIFS(V$2:V302,V302,T$2:T302,TRUE)=1,MAX(W$1:W301)+1,""),"")</f>
        <v/>
      </c>
      <c r="X302">
        <f>IFERROR(INDEX('1.산군_붙여넣기'!$A$1:$AZ$1001,ROW(),설정!$C$14)&amp;"","")</f>
        <v/>
      </c>
      <c r="Y302">
        <f>IFERROR(INDEX('1.산군_붙여넣기'!$A$1:$AZ$1001,ROW(),설정!$C$15)&amp;"","")</f>
        <v/>
      </c>
      <c r="Z302">
        <f>IF(T302,V302&amp;"|"&amp;U302,"")</f>
        <v/>
      </c>
    </row>
    <row r="303">
      <c r="A303">
        <f>ROW()</f>
        <v/>
      </c>
      <c r="B303">
        <f>IFERROR(INDEX('1.산군_붙여넣기'!$A$1:$AZ$1001,ROW(),설정!$C$4)&amp;"","")</f>
        <v/>
      </c>
      <c r="C303">
        <f>IFERROR(INDEX('1.산군_붙여넣기'!$A$1:$AZ$1001,ROW(),설정!$C$5)&amp;"","")</f>
        <v/>
      </c>
      <c r="D303" s="5">
        <f>IFERROR(VALUE(SUBSTITUTE(SUBSTITUTE(SUBSTITUTE(IFERROR(INDEX('1.산군_붙여넣기'!$A$1:$AZ$1001,ROW(),설정!$C$6)&amp;"",""),",",""),"㎡",""),"m2","")),"")</f>
        <v/>
      </c>
      <c r="E303">
        <f>IFERROR(INDEX('1.산군_붙여넣기'!$A$1:$AZ$1001,ROW(),설정!$C$7)&amp;"","")</f>
        <v/>
      </c>
      <c r="F303">
        <f>IFERROR(INDEX('1.산군_붙여넣기'!$A$1:$AZ$1001,ROW(),설정!$C$8)&amp;"","")</f>
        <v/>
      </c>
      <c r="G303">
        <f>IFERROR(INDEX('1.산군_붙여넣기'!$A$1:$AZ$1001,ROW(),설정!$C$9)&amp;"","")</f>
        <v/>
      </c>
      <c r="H303">
        <f>IFERROR(INDEX('1.산군_붙여넣기'!$A$1:$AZ$1001,ROW(),설정!$C$10)&amp;"","")</f>
        <v/>
      </c>
      <c r="I303">
        <f>IFERROR(INDEX('1.산군_붙여넣기'!$A$1:$AZ$1001,ROW(),설정!$C$11)&amp;"","")</f>
        <v/>
      </c>
      <c r="J303">
        <f>IFERROR(INDEX('1.산군_붙여넣기'!$A$1:$AZ$1001,ROW(),설정!$C$12)&amp;"","")</f>
        <v/>
      </c>
      <c r="K303">
        <f>IFERROR(INDEX('1.산군_붙여넣기'!$A$1:$AZ$1001,ROW(),설정!$C$13)&amp;"","")</f>
        <v/>
      </c>
      <c r="L303" s="6">
        <f>IF(X303="","",IF(AND(LEN(X303)=8,ISNUMBER(X303*1)),DATE(LEFT(X303,4),MID(X303,5,2),RIGHT(X303,2)),IFERROR(DATEVALUE(SUBSTITUTE(SUBSTITUTE(X303,".","-"),"/","-")),IFERROR(X303*1,""))))</f>
        <v/>
      </c>
      <c r="M303" s="6">
        <f>IF(Y303="","",IF(AND(LEN(Y303)=8,ISNUMBER(Y303*1)),DATE(LEFT(Y303,4),MID(Y303,5,2),RIGHT(Y303,2)),IFERROR(DATEVALUE(SUBSTITUTE(SUBSTITUTE(Y303,".","-"),"/","-")),IFERROR(Y303*1,""))))</f>
        <v/>
      </c>
      <c r="N303">
        <f>IFERROR(LEFT(B303,FIND(" ",B303)-1),B303)</f>
        <v/>
      </c>
      <c r="O303">
        <f>AND(B303&lt;&gt;"",B303&lt;&gt;설정!$B$4,C303&lt;&gt;설정!$B$5)</f>
        <v/>
      </c>
      <c r="P303">
        <f>IF(O303,B303&amp;"|"&amp;C303,"")</f>
        <v/>
      </c>
      <c r="Q303">
        <f>AND(O303,COUNTIF(P304:P$1002,P303)=0)</f>
        <v/>
      </c>
      <c r="R303">
        <f>OR(AND(설정!$A$28&lt;&gt;"",ISNUMBER(SEARCH(설정!$A$28,E303&amp;" "&amp;C303))),AND(설정!$A$29&lt;&gt;"",ISNUMBER(SEARCH(설정!$A$29,E303&amp;" "&amp;C303))),AND(설정!$A$30&lt;&gt;"",ISNUMBER(SEARCH(설정!$A$30,E303&amp;" "&amp;C303))),AND(설정!$A$31&lt;&gt;"",ISNUMBER(SEARCH(설정!$A$31,E303&amp;" "&amp;C303))),AND(설정!$A$32&lt;&gt;"",ISNUMBER(SEARCH(설정!$A$32,E303&amp;" "&amp;C303))),AND(설정!$A$33&lt;&gt;"",ISNUMBER(SEARCH(설정!$A$33,E303&amp;" "&amp;C303))),AND(설정!$A$34&lt;&gt;"",ISNUMBER(SEARCH(설정!$A$34,E303&amp;" "&amp;C303))),AND(설정!$A$35&lt;&gt;"",ISNUMBER(SEARCH(설정!$A$35,E303&amp;" "&amp;C303))),AND(설정!$A$36&lt;&gt;"",ISNUMBER(SEARCH(설정!$A$36,E303&amp;" "&amp;C303))),AND(설정!$A$37&lt;&gt;"",ISNUMBER(SEARCH(설정!$A$37,E303&amp;" "&amp;C303))))</f>
        <v/>
      </c>
      <c r="S303">
        <f>OR(D303="",D303&gt;=설정!$B$19)</f>
        <v/>
      </c>
      <c r="T303">
        <f>AND(Q303,R303,S303)</f>
        <v/>
      </c>
      <c r="U303">
        <f>IF(T303,IF(AND(설정!$A$41&lt;&gt;"",ISNUMBER(SEARCH(설정!$A$41,K303))),설정!$B$41,IF(AND(설정!$A$42&lt;&gt;"",ISNUMBER(SEARCH(설정!$A$42,K303))),설정!$B$42,IF(AND(설정!$A$43&lt;&gt;"",ISNUMBER(SEARCH(설정!$A$43,K303))),설정!$B$43,IF(AND(설정!$A$44&lt;&gt;"",ISNUMBER(SEARCH(설정!$A$44,K303))),설정!$B$44,IF(AND(설정!$A$45&lt;&gt;"",ISNUMBER(SEARCH(설정!$A$45,K303))),설정!$B$45,IF(AND(설정!$A$46&lt;&gt;"",ISNUMBER(SEARCH(설정!$A$46,K303))),설정!$B$46,IF(AND(설정!$A$47&lt;&gt;"",ISNUMBER(SEARCH(설정!$A$47,K303))),설정!$B$47,IF(AND(설정!$A$48&lt;&gt;"",ISNUMBER(SEARCH(설정!$A$48,K303))),설정!$B$48,IF(M303="","설계사","시공사"))))))))),"")</f>
        <v/>
      </c>
      <c r="V303">
        <f>SUBSTITUTE(SUBSTITUTE(SUBSTITUTE(SUBSTITUTE(G303,"(주)",""),"㈜",""),"주식회사","")," ","")</f>
        <v/>
      </c>
      <c r="W303">
        <f>IF(AND(T303,V303&lt;&gt;""),IF(COUNTIFS(V$2:V303,V303,T$2:T303,TRUE)=1,MAX(W$1:W302)+1,""),"")</f>
        <v/>
      </c>
      <c r="X303">
        <f>IFERROR(INDEX('1.산군_붙여넣기'!$A$1:$AZ$1001,ROW(),설정!$C$14)&amp;"","")</f>
        <v/>
      </c>
      <c r="Y303">
        <f>IFERROR(INDEX('1.산군_붙여넣기'!$A$1:$AZ$1001,ROW(),설정!$C$15)&amp;"","")</f>
        <v/>
      </c>
      <c r="Z303">
        <f>IF(T303,V303&amp;"|"&amp;U303,"")</f>
        <v/>
      </c>
    </row>
    <row r="304">
      <c r="A304">
        <f>ROW()</f>
        <v/>
      </c>
      <c r="B304">
        <f>IFERROR(INDEX('1.산군_붙여넣기'!$A$1:$AZ$1001,ROW(),설정!$C$4)&amp;"","")</f>
        <v/>
      </c>
      <c r="C304">
        <f>IFERROR(INDEX('1.산군_붙여넣기'!$A$1:$AZ$1001,ROW(),설정!$C$5)&amp;"","")</f>
        <v/>
      </c>
      <c r="D304" s="5">
        <f>IFERROR(VALUE(SUBSTITUTE(SUBSTITUTE(SUBSTITUTE(IFERROR(INDEX('1.산군_붙여넣기'!$A$1:$AZ$1001,ROW(),설정!$C$6)&amp;"",""),",",""),"㎡",""),"m2","")),"")</f>
        <v/>
      </c>
      <c r="E304">
        <f>IFERROR(INDEX('1.산군_붙여넣기'!$A$1:$AZ$1001,ROW(),설정!$C$7)&amp;"","")</f>
        <v/>
      </c>
      <c r="F304">
        <f>IFERROR(INDEX('1.산군_붙여넣기'!$A$1:$AZ$1001,ROW(),설정!$C$8)&amp;"","")</f>
        <v/>
      </c>
      <c r="G304">
        <f>IFERROR(INDEX('1.산군_붙여넣기'!$A$1:$AZ$1001,ROW(),설정!$C$9)&amp;"","")</f>
        <v/>
      </c>
      <c r="H304">
        <f>IFERROR(INDEX('1.산군_붙여넣기'!$A$1:$AZ$1001,ROW(),설정!$C$10)&amp;"","")</f>
        <v/>
      </c>
      <c r="I304">
        <f>IFERROR(INDEX('1.산군_붙여넣기'!$A$1:$AZ$1001,ROW(),설정!$C$11)&amp;"","")</f>
        <v/>
      </c>
      <c r="J304">
        <f>IFERROR(INDEX('1.산군_붙여넣기'!$A$1:$AZ$1001,ROW(),설정!$C$12)&amp;"","")</f>
        <v/>
      </c>
      <c r="K304">
        <f>IFERROR(INDEX('1.산군_붙여넣기'!$A$1:$AZ$1001,ROW(),설정!$C$13)&amp;"","")</f>
        <v/>
      </c>
      <c r="L304" s="6">
        <f>IF(X304="","",IF(AND(LEN(X304)=8,ISNUMBER(X304*1)),DATE(LEFT(X304,4),MID(X304,5,2),RIGHT(X304,2)),IFERROR(DATEVALUE(SUBSTITUTE(SUBSTITUTE(X304,".","-"),"/","-")),IFERROR(X304*1,""))))</f>
        <v/>
      </c>
      <c r="M304" s="6">
        <f>IF(Y304="","",IF(AND(LEN(Y304)=8,ISNUMBER(Y304*1)),DATE(LEFT(Y304,4),MID(Y304,5,2),RIGHT(Y304,2)),IFERROR(DATEVALUE(SUBSTITUTE(SUBSTITUTE(Y304,".","-"),"/","-")),IFERROR(Y304*1,""))))</f>
        <v/>
      </c>
      <c r="N304">
        <f>IFERROR(LEFT(B304,FIND(" ",B304)-1),B304)</f>
        <v/>
      </c>
      <c r="O304">
        <f>AND(B304&lt;&gt;"",B304&lt;&gt;설정!$B$4,C304&lt;&gt;설정!$B$5)</f>
        <v/>
      </c>
      <c r="P304">
        <f>IF(O304,B304&amp;"|"&amp;C304,"")</f>
        <v/>
      </c>
      <c r="Q304">
        <f>AND(O304,COUNTIF(P305:P$1002,P304)=0)</f>
        <v/>
      </c>
      <c r="R304">
        <f>OR(AND(설정!$A$28&lt;&gt;"",ISNUMBER(SEARCH(설정!$A$28,E304&amp;" "&amp;C304))),AND(설정!$A$29&lt;&gt;"",ISNUMBER(SEARCH(설정!$A$29,E304&amp;" "&amp;C304))),AND(설정!$A$30&lt;&gt;"",ISNUMBER(SEARCH(설정!$A$30,E304&amp;" "&amp;C304))),AND(설정!$A$31&lt;&gt;"",ISNUMBER(SEARCH(설정!$A$31,E304&amp;" "&amp;C304))),AND(설정!$A$32&lt;&gt;"",ISNUMBER(SEARCH(설정!$A$32,E304&amp;" "&amp;C304))),AND(설정!$A$33&lt;&gt;"",ISNUMBER(SEARCH(설정!$A$33,E304&amp;" "&amp;C304))),AND(설정!$A$34&lt;&gt;"",ISNUMBER(SEARCH(설정!$A$34,E304&amp;" "&amp;C304))),AND(설정!$A$35&lt;&gt;"",ISNUMBER(SEARCH(설정!$A$35,E304&amp;" "&amp;C304))),AND(설정!$A$36&lt;&gt;"",ISNUMBER(SEARCH(설정!$A$36,E304&amp;" "&amp;C304))),AND(설정!$A$37&lt;&gt;"",ISNUMBER(SEARCH(설정!$A$37,E304&amp;" "&amp;C304))))</f>
        <v/>
      </c>
      <c r="S304">
        <f>OR(D304="",D304&gt;=설정!$B$19)</f>
        <v/>
      </c>
      <c r="T304">
        <f>AND(Q304,R304,S304)</f>
        <v/>
      </c>
      <c r="U304">
        <f>IF(T304,IF(AND(설정!$A$41&lt;&gt;"",ISNUMBER(SEARCH(설정!$A$41,K304))),설정!$B$41,IF(AND(설정!$A$42&lt;&gt;"",ISNUMBER(SEARCH(설정!$A$42,K304))),설정!$B$42,IF(AND(설정!$A$43&lt;&gt;"",ISNUMBER(SEARCH(설정!$A$43,K304))),설정!$B$43,IF(AND(설정!$A$44&lt;&gt;"",ISNUMBER(SEARCH(설정!$A$44,K304))),설정!$B$44,IF(AND(설정!$A$45&lt;&gt;"",ISNUMBER(SEARCH(설정!$A$45,K304))),설정!$B$45,IF(AND(설정!$A$46&lt;&gt;"",ISNUMBER(SEARCH(설정!$A$46,K304))),설정!$B$46,IF(AND(설정!$A$47&lt;&gt;"",ISNUMBER(SEARCH(설정!$A$47,K304))),설정!$B$47,IF(AND(설정!$A$48&lt;&gt;"",ISNUMBER(SEARCH(설정!$A$48,K304))),설정!$B$48,IF(M304="","설계사","시공사"))))))))),"")</f>
        <v/>
      </c>
      <c r="V304">
        <f>SUBSTITUTE(SUBSTITUTE(SUBSTITUTE(SUBSTITUTE(G304,"(주)",""),"㈜",""),"주식회사","")," ","")</f>
        <v/>
      </c>
      <c r="W304">
        <f>IF(AND(T304,V304&lt;&gt;""),IF(COUNTIFS(V$2:V304,V304,T$2:T304,TRUE)=1,MAX(W$1:W303)+1,""),"")</f>
        <v/>
      </c>
      <c r="X304">
        <f>IFERROR(INDEX('1.산군_붙여넣기'!$A$1:$AZ$1001,ROW(),설정!$C$14)&amp;"","")</f>
        <v/>
      </c>
      <c r="Y304">
        <f>IFERROR(INDEX('1.산군_붙여넣기'!$A$1:$AZ$1001,ROW(),설정!$C$15)&amp;"","")</f>
        <v/>
      </c>
      <c r="Z304">
        <f>IF(T304,V304&amp;"|"&amp;U304,"")</f>
        <v/>
      </c>
    </row>
    <row r="305">
      <c r="A305">
        <f>ROW()</f>
        <v/>
      </c>
      <c r="B305">
        <f>IFERROR(INDEX('1.산군_붙여넣기'!$A$1:$AZ$1001,ROW(),설정!$C$4)&amp;"","")</f>
        <v/>
      </c>
      <c r="C305">
        <f>IFERROR(INDEX('1.산군_붙여넣기'!$A$1:$AZ$1001,ROW(),설정!$C$5)&amp;"","")</f>
        <v/>
      </c>
      <c r="D305" s="5">
        <f>IFERROR(VALUE(SUBSTITUTE(SUBSTITUTE(SUBSTITUTE(IFERROR(INDEX('1.산군_붙여넣기'!$A$1:$AZ$1001,ROW(),설정!$C$6)&amp;"",""),",",""),"㎡",""),"m2","")),"")</f>
        <v/>
      </c>
      <c r="E305">
        <f>IFERROR(INDEX('1.산군_붙여넣기'!$A$1:$AZ$1001,ROW(),설정!$C$7)&amp;"","")</f>
        <v/>
      </c>
      <c r="F305">
        <f>IFERROR(INDEX('1.산군_붙여넣기'!$A$1:$AZ$1001,ROW(),설정!$C$8)&amp;"","")</f>
        <v/>
      </c>
      <c r="G305">
        <f>IFERROR(INDEX('1.산군_붙여넣기'!$A$1:$AZ$1001,ROW(),설정!$C$9)&amp;"","")</f>
        <v/>
      </c>
      <c r="H305">
        <f>IFERROR(INDEX('1.산군_붙여넣기'!$A$1:$AZ$1001,ROW(),설정!$C$10)&amp;"","")</f>
        <v/>
      </c>
      <c r="I305">
        <f>IFERROR(INDEX('1.산군_붙여넣기'!$A$1:$AZ$1001,ROW(),설정!$C$11)&amp;"","")</f>
        <v/>
      </c>
      <c r="J305">
        <f>IFERROR(INDEX('1.산군_붙여넣기'!$A$1:$AZ$1001,ROW(),설정!$C$12)&amp;"","")</f>
        <v/>
      </c>
      <c r="K305">
        <f>IFERROR(INDEX('1.산군_붙여넣기'!$A$1:$AZ$1001,ROW(),설정!$C$13)&amp;"","")</f>
        <v/>
      </c>
      <c r="L305" s="6">
        <f>IF(X305="","",IF(AND(LEN(X305)=8,ISNUMBER(X305*1)),DATE(LEFT(X305,4),MID(X305,5,2),RIGHT(X305,2)),IFERROR(DATEVALUE(SUBSTITUTE(SUBSTITUTE(X305,".","-"),"/","-")),IFERROR(X305*1,""))))</f>
        <v/>
      </c>
      <c r="M305" s="6">
        <f>IF(Y305="","",IF(AND(LEN(Y305)=8,ISNUMBER(Y305*1)),DATE(LEFT(Y305,4),MID(Y305,5,2),RIGHT(Y305,2)),IFERROR(DATEVALUE(SUBSTITUTE(SUBSTITUTE(Y305,".","-"),"/","-")),IFERROR(Y305*1,""))))</f>
        <v/>
      </c>
      <c r="N305">
        <f>IFERROR(LEFT(B305,FIND(" ",B305)-1),B305)</f>
        <v/>
      </c>
      <c r="O305">
        <f>AND(B305&lt;&gt;"",B305&lt;&gt;설정!$B$4,C305&lt;&gt;설정!$B$5)</f>
        <v/>
      </c>
      <c r="P305">
        <f>IF(O305,B305&amp;"|"&amp;C305,"")</f>
        <v/>
      </c>
      <c r="Q305">
        <f>AND(O305,COUNTIF(P306:P$1002,P305)=0)</f>
        <v/>
      </c>
      <c r="R305">
        <f>OR(AND(설정!$A$28&lt;&gt;"",ISNUMBER(SEARCH(설정!$A$28,E305&amp;" "&amp;C305))),AND(설정!$A$29&lt;&gt;"",ISNUMBER(SEARCH(설정!$A$29,E305&amp;" "&amp;C305))),AND(설정!$A$30&lt;&gt;"",ISNUMBER(SEARCH(설정!$A$30,E305&amp;" "&amp;C305))),AND(설정!$A$31&lt;&gt;"",ISNUMBER(SEARCH(설정!$A$31,E305&amp;" "&amp;C305))),AND(설정!$A$32&lt;&gt;"",ISNUMBER(SEARCH(설정!$A$32,E305&amp;" "&amp;C305))),AND(설정!$A$33&lt;&gt;"",ISNUMBER(SEARCH(설정!$A$33,E305&amp;" "&amp;C305))),AND(설정!$A$34&lt;&gt;"",ISNUMBER(SEARCH(설정!$A$34,E305&amp;" "&amp;C305))),AND(설정!$A$35&lt;&gt;"",ISNUMBER(SEARCH(설정!$A$35,E305&amp;" "&amp;C305))),AND(설정!$A$36&lt;&gt;"",ISNUMBER(SEARCH(설정!$A$36,E305&amp;" "&amp;C305))),AND(설정!$A$37&lt;&gt;"",ISNUMBER(SEARCH(설정!$A$37,E305&amp;" "&amp;C305))))</f>
        <v/>
      </c>
      <c r="S305">
        <f>OR(D305="",D305&gt;=설정!$B$19)</f>
        <v/>
      </c>
      <c r="T305">
        <f>AND(Q305,R305,S305)</f>
        <v/>
      </c>
      <c r="U305">
        <f>IF(T305,IF(AND(설정!$A$41&lt;&gt;"",ISNUMBER(SEARCH(설정!$A$41,K305))),설정!$B$41,IF(AND(설정!$A$42&lt;&gt;"",ISNUMBER(SEARCH(설정!$A$42,K305))),설정!$B$42,IF(AND(설정!$A$43&lt;&gt;"",ISNUMBER(SEARCH(설정!$A$43,K305))),설정!$B$43,IF(AND(설정!$A$44&lt;&gt;"",ISNUMBER(SEARCH(설정!$A$44,K305))),설정!$B$44,IF(AND(설정!$A$45&lt;&gt;"",ISNUMBER(SEARCH(설정!$A$45,K305))),설정!$B$45,IF(AND(설정!$A$46&lt;&gt;"",ISNUMBER(SEARCH(설정!$A$46,K305))),설정!$B$46,IF(AND(설정!$A$47&lt;&gt;"",ISNUMBER(SEARCH(설정!$A$47,K305))),설정!$B$47,IF(AND(설정!$A$48&lt;&gt;"",ISNUMBER(SEARCH(설정!$A$48,K305))),설정!$B$48,IF(M305="","설계사","시공사"))))))))),"")</f>
        <v/>
      </c>
      <c r="V305">
        <f>SUBSTITUTE(SUBSTITUTE(SUBSTITUTE(SUBSTITUTE(G305,"(주)",""),"㈜",""),"주식회사","")," ","")</f>
        <v/>
      </c>
      <c r="W305">
        <f>IF(AND(T305,V305&lt;&gt;""),IF(COUNTIFS(V$2:V305,V305,T$2:T305,TRUE)=1,MAX(W$1:W304)+1,""),"")</f>
        <v/>
      </c>
      <c r="X305">
        <f>IFERROR(INDEX('1.산군_붙여넣기'!$A$1:$AZ$1001,ROW(),설정!$C$14)&amp;"","")</f>
        <v/>
      </c>
      <c r="Y305">
        <f>IFERROR(INDEX('1.산군_붙여넣기'!$A$1:$AZ$1001,ROW(),설정!$C$15)&amp;"","")</f>
        <v/>
      </c>
      <c r="Z305">
        <f>IF(T305,V305&amp;"|"&amp;U305,"")</f>
        <v/>
      </c>
    </row>
    <row r="306">
      <c r="A306">
        <f>ROW()</f>
        <v/>
      </c>
      <c r="B306">
        <f>IFERROR(INDEX('1.산군_붙여넣기'!$A$1:$AZ$1001,ROW(),설정!$C$4)&amp;"","")</f>
        <v/>
      </c>
      <c r="C306">
        <f>IFERROR(INDEX('1.산군_붙여넣기'!$A$1:$AZ$1001,ROW(),설정!$C$5)&amp;"","")</f>
        <v/>
      </c>
      <c r="D306" s="5">
        <f>IFERROR(VALUE(SUBSTITUTE(SUBSTITUTE(SUBSTITUTE(IFERROR(INDEX('1.산군_붙여넣기'!$A$1:$AZ$1001,ROW(),설정!$C$6)&amp;"",""),",",""),"㎡",""),"m2","")),"")</f>
        <v/>
      </c>
      <c r="E306">
        <f>IFERROR(INDEX('1.산군_붙여넣기'!$A$1:$AZ$1001,ROW(),설정!$C$7)&amp;"","")</f>
        <v/>
      </c>
      <c r="F306">
        <f>IFERROR(INDEX('1.산군_붙여넣기'!$A$1:$AZ$1001,ROW(),설정!$C$8)&amp;"","")</f>
        <v/>
      </c>
      <c r="G306">
        <f>IFERROR(INDEX('1.산군_붙여넣기'!$A$1:$AZ$1001,ROW(),설정!$C$9)&amp;"","")</f>
        <v/>
      </c>
      <c r="H306">
        <f>IFERROR(INDEX('1.산군_붙여넣기'!$A$1:$AZ$1001,ROW(),설정!$C$10)&amp;"","")</f>
        <v/>
      </c>
      <c r="I306">
        <f>IFERROR(INDEX('1.산군_붙여넣기'!$A$1:$AZ$1001,ROW(),설정!$C$11)&amp;"","")</f>
        <v/>
      </c>
      <c r="J306">
        <f>IFERROR(INDEX('1.산군_붙여넣기'!$A$1:$AZ$1001,ROW(),설정!$C$12)&amp;"","")</f>
        <v/>
      </c>
      <c r="K306">
        <f>IFERROR(INDEX('1.산군_붙여넣기'!$A$1:$AZ$1001,ROW(),설정!$C$13)&amp;"","")</f>
        <v/>
      </c>
      <c r="L306" s="6">
        <f>IF(X306="","",IF(AND(LEN(X306)=8,ISNUMBER(X306*1)),DATE(LEFT(X306,4),MID(X306,5,2),RIGHT(X306,2)),IFERROR(DATEVALUE(SUBSTITUTE(SUBSTITUTE(X306,".","-"),"/","-")),IFERROR(X306*1,""))))</f>
        <v/>
      </c>
      <c r="M306" s="6">
        <f>IF(Y306="","",IF(AND(LEN(Y306)=8,ISNUMBER(Y306*1)),DATE(LEFT(Y306,4),MID(Y306,5,2),RIGHT(Y306,2)),IFERROR(DATEVALUE(SUBSTITUTE(SUBSTITUTE(Y306,".","-"),"/","-")),IFERROR(Y306*1,""))))</f>
        <v/>
      </c>
      <c r="N306">
        <f>IFERROR(LEFT(B306,FIND(" ",B306)-1),B306)</f>
        <v/>
      </c>
      <c r="O306">
        <f>AND(B306&lt;&gt;"",B306&lt;&gt;설정!$B$4,C306&lt;&gt;설정!$B$5)</f>
        <v/>
      </c>
      <c r="P306">
        <f>IF(O306,B306&amp;"|"&amp;C306,"")</f>
        <v/>
      </c>
      <c r="Q306">
        <f>AND(O306,COUNTIF(P307:P$1002,P306)=0)</f>
        <v/>
      </c>
      <c r="R306">
        <f>OR(AND(설정!$A$28&lt;&gt;"",ISNUMBER(SEARCH(설정!$A$28,E306&amp;" "&amp;C306))),AND(설정!$A$29&lt;&gt;"",ISNUMBER(SEARCH(설정!$A$29,E306&amp;" "&amp;C306))),AND(설정!$A$30&lt;&gt;"",ISNUMBER(SEARCH(설정!$A$30,E306&amp;" "&amp;C306))),AND(설정!$A$31&lt;&gt;"",ISNUMBER(SEARCH(설정!$A$31,E306&amp;" "&amp;C306))),AND(설정!$A$32&lt;&gt;"",ISNUMBER(SEARCH(설정!$A$32,E306&amp;" "&amp;C306))),AND(설정!$A$33&lt;&gt;"",ISNUMBER(SEARCH(설정!$A$33,E306&amp;" "&amp;C306))),AND(설정!$A$34&lt;&gt;"",ISNUMBER(SEARCH(설정!$A$34,E306&amp;" "&amp;C306))),AND(설정!$A$35&lt;&gt;"",ISNUMBER(SEARCH(설정!$A$35,E306&amp;" "&amp;C306))),AND(설정!$A$36&lt;&gt;"",ISNUMBER(SEARCH(설정!$A$36,E306&amp;" "&amp;C306))),AND(설정!$A$37&lt;&gt;"",ISNUMBER(SEARCH(설정!$A$37,E306&amp;" "&amp;C306))))</f>
        <v/>
      </c>
      <c r="S306">
        <f>OR(D306="",D306&gt;=설정!$B$19)</f>
        <v/>
      </c>
      <c r="T306">
        <f>AND(Q306,R306,S306)</f>
        <v/>
      </c>
      <c r="U306">
        <f>IF(T306,IF(AND(설정!$A$41&lt;&gt;"",ISNUMBER(SEARCH(설정!$A$41,K306))),설정!$B$41,IF(AND(설정!$A$42&lt;&gt;"",ISNUMBER(SEARCH(설정!$A$42,K306))),설정!$B$42,IF(AND(설정!$A$43&lt;&gt;"",ISNUMBER(SEARCH(설정!$A$43,K306))),설정!$B$43,IF(AND(설정!$A$44&lt;&gt;"",ISNUMBER(SEARCH(설정!$A$44,K306))),설정!$B$44,IF(AND(설정!$A$45&lt;&gt;"",ISNUMBER(SEARCH(설정!$A$45,K306))),설정!$B$45,IF(AND(설정!$A$46&lt;&gt;"",ISNUMBER(SEARCH(설정!$A$46,K306))),설정!$B$46,IF(AND(설정!$A$47&lt;&gt;"",ISNUMBER(SEARCH(설정!$A$47,K306))),설정!$B$47,IF(AND(설정!$A$48&lt;&gt;"",ISNUMBER(SEARCH(설정!$A$48,K306))),설정!$B$48,IF(M306="","설계사","시공사"))))))))),"")</f>
        <v/>
      </c>
      <c r="V306">
        <f>SUBSTITUTE(SUBSTITUTE(SUBSTITUTE(SUBSTITUTE(G306,"(주)",""),"㈜",""),"주식회사","")," ","")</f>
        <v/>
      </c>
      <c r="W306">
        <f>IF(AND(T306,V306&lt;&gt;""),IF(COUNTIFS(V$2:V306,V306,T$2:T306,TRUE)=1,MAX(W$1:W305)+1,""),"")</f>
        <v/>
      </c>
      <c r="X306">
        <f>IFERROR(INDEX('1.산군_붙여넣기'!$A$1:$AZ$1001,ROW(),설정!$C$14)&amp;"","")</f>
        <v/>
      </c>
      <c r="Y306">
        <f>IFERROR(INDEX('1.산군_붙여넣기'!$A$1:$AZ$1001,ROW(),설정!$C$15)&amp;"","")</f>
        <v/>
      </c>
      <c r="Z306">
        <f>IF(T306,V306&amp;"|"&amp;U306,"")</f>
        <v/>
      </c>
    </row>
    <row r="307">
      <c r="A307">
        <f>ROW()</f>
        <v/>
      </c>
      <c r="B307">
        <f>IFERROR(INDEX('1.산군_붙여넣기'!$A$1:$AZ$1001,ROW(),설정!$C$4)&amp;"","")</f>
        <v/>
      </c>
      <c r="C307">
        <f>IFERROR(INDEX('1.산군_붙여넣기'!$A$1:$AZ$1001,ROW(),설정!$C$5)&amp;"","")</f>
        <v/>
      </c>
      <c r="D307" s="5">
        <f>IFERROR(VALUE(SUBSTITUTE(SUBSTITUTE(SUBSTITUTE(IFERROR(INDEX('1.산군_붙여넣기'!$A$1:$AZ$1001,ROW(),설정!$C$6)&amp;"",""),",",""),"㎡",""),"m2","")),"")</f>
        <v/>
      </c>
      <c r="E307">
        <f>IFERROR(INDEX('1.산군_붙여넣기'!$A$1:$AZ$1001,ROW(),설정!$C$7)&amp;"","")</f>
        <v/>
      </c>
      <c r="F307">
        <f>IFERROR(INDEX('1.산군_붙여넣기'!$A$1:$AZ$1001,ROW(),설정!$C$8)&amp;"","")</f>
        <v/>
      </c>
      <c r="G307">
        <f>IFERROR(INDEX('1.산군_붙여넣기'!$A$1:$AZ$1001,ROW(),설정!$C$9)&amp;"","")</f>
        <v/>
      </c>
      <c r="H307">
        <f>IFERROR(INDEX('1.산군_붙여넣기'!$A$1:$AZ$1001,ROW(),설정!$C$10)&amp;"","")</f>
        <v/>
      </c>
      <c r="I307">
        <f>IFERROR(INDEX('1.산군_붙여넣기'!$A$1:$AZ$1001,ROW(),설정!$C$11)&amp;"","")</f>
        <v/>
      </c>
      <c r="J307">
        <f>IFERROR(INDEX('1.산군_붙여넣기'!$A$1:$AZ$1001,ROW(),설정!$C$12)&amp;"","")</f>
        <v/>
      </c>
      <c r="K307">
        <f>IFERROR(INDEX('1.산군_붙여넣기'!$A$1:$AZ$1001,ROW(),설정!$C$13)&amp;"","")</f>
        <v/>
      </c>
      <c r="L307" s="6">
        <f>IF(X307="","",IF(AND(LEN(X307)=8,ISNUMBER(X307*1)),DATE(LEFT(X307,4),MID(X307,5,2),RIGHT(X307,2)),IFERROR(DATEVALUE(SUBSTITUTE(SUBSTITUTE(X307,".","-"),"/","-")),IFERROR(X307*1,""))))</f>
        <v/>
      </c>
      <c r="M307" s="6">
        <f>IF(Y307="","",IF(AND(LEN(Y307)=8,ISNUMBER(Y307*1)),DATE(LEFT(Y307,4),MID(Y307,5,2),RIGHT(Y307,2)),IFERROR(DATEVALUE(SUBSTITUTE(SUBSTITUTE(Y307,".","-"),"/","-")),IFERROR(Y307*1,""))))</f>
        <v/>
      </c>
      <c r="N307">
        <f>IFERROR(LEFT(B307,FIND(" ",B307)-1),B307)</f>
        <v/>
      </c>
      <c r="O307">
        <f>AND(B307&lt;&gt;"",B307&lt;&gt;설정!$B$4,C307&lt;&gt;설정!$B$5)</f>
        <v/>
      </c>
      <c r="P307">
        <f>IF(O307,B307&amp;"|"&amp;C307,"")</f>
        <v/>
      </c>
      <c r="Q307">
        <f>AND(O307,COUNTIF(P308:P$1002,P307)=0)</f>
        <v/>
      </c>
      <c r="R307">
        <f>OR(AND(설정!$A$28&lt;&gt;"",ISNUMBER(SEARCH(설정!$A$28,E307&amp;" "&amp;C307))),AND(설정!$A$29&lt;&gt;"",ISNUMBER(SEARCH(설정!$A$29,E307&amp;" "&amp;C307))),AND(설정!$A$30&lt;&gt;"",ISNUMBER(SEARCH(설정!$A$30,E307&amp;" "&amp;C307))),AND(설정!$A$31&lt;&gt;"",ISNUMBER(SEARCH(설정!$A$31,E307&amp;" "&amp;C307))),AND(설정!$A$32&lt;&gt;"",ISNUMBER(SEARCH(설정!$A$32,E307&amp;" "&amp;C307))),AND(설정!$A$33&lt;&gt;"",ISNUMBER(SEARCH(설정!$A$33,E307&amp;" "&amp;C307))),AND(설정!$A$34&lt;&gt;"",ISNUMBER(SEARCH(설정!$A$34,E307&amp;" "&amp;C307))),AND(설정!$A$35&lt;&gt;"",ISNUMBER(SEARCH(설정!$A$35,E307&amp;" "&amp;C307))),AND(설정!$A$36&lt;&gt;"",ISNUMBER(SEARCH(설정!$A$36,E307&amp;" "&amp;C307))),AND(설정!$A$37&lt;&gt;"",ISNUMBER(SEARCH(설정!$A$37,E307&amp;" "&amp;C307))))</f>
        <v/>
      </c>
      <c r="S307">
        <f>OR(D307="",D307&gt;=설정!$B$19)</f>
        <v/>
      </c>
      <c r="T307">
        <f>AND(Q307,R307,S307)</f>
        <v/>
      </c>
      <c r="U307">
        <f>IF(T307,IF(AND(설정!$A$41&lt;&gt;"",ISNUMBER(SEARCH(설정!$A$41,K307))),설정!$B$41,IF(AND(설정!$A$42&lt;&gt;"",ISNUMBER(SEARCH(설정!$A$42,K307))),설정!$B$42,IF(AND(설정!$A$43&lt;&gt;"",ISNUMBER(SEARCH(설정!$A$43,K307))),설정!$B$43,IF(AND(설정!$A$44&lt;&gt;"",ISNUMBER(SEARCH(설정!$A$44,K307))),설정!$B$44,IF(AND(설정!$A$45&lt;&gt;"",ISNUMBER(SEARCH(설정!$A$45,K307))),설정!$B$45,IF(AND(설정!$A$46&lt;&gt;"",ISNUMBER(SEARCH(설정!$A$46,K307))),설정!$B$46,IF(AND(설정!$A$47&lt;&gt;"",ISNUMBER(SEARCH(설정!$A$47,K307))),설정!$B$47,IF(AND(설정!$A$48&lt;&gt;"",ISNUMBER(SEARCH(설정!$A$48,K307))),설정!$B$48,IF(M307="","설계사","시공사"))))))))),"")</f>
        <v/>
      </c>
      <c r="V307">
        <f>SUBSTITUTE(SUBSTITUTE(SUBSTITUTE(SUBSTITUTE(G307,"(주)",""),"㈜",""),"주식회사","")," ","")</f>
        <v/>
      </c>
      <c r="W307">
        <f>IF(AND(T307,V307&lt;&gt;""),IF(COUNTIFS(V$2:V307,V307,T$2:T307,TRUE)=1,MAX(W$1:W306)+1,""),"")</f>
        <v/>
      </c>
      <c r="X307">
        <f>IFERROR(INDEX('1.산군_붙여넣기'!$A$1:$AZ$1001,ROW(),설정!$C$14)&amp;"","")</f>
        <v/>
      </c>
      <c r="Y307">
        <f>IFERROR(INDEX('1.산군_붙여넣기'!$A$1:$AZ$1001,ROW(),설정!$C$15)&amp;"","")</f>
        <v/>
      </c>
      <c r="Z307">
        <f>IF(T307,V307&amp;"|"&amp;U307,"")</f>
        <v/>
      </c>
    </row>
    <row r="308">
      <c r="A308">
        <f>ROW()</f>
        <v/>
      </c>
      <c r="B308">
        <f>IFERROR(INDEX('1.산군_붙여넣기'!$A$1:$AZ$1001,ROW(),설정!$C$4)&amp;"","")</f>
        <v/>
      </c>
      <c r="C308">
        <f>IFERROR(INDEX('1.산군_붙여넣기'!$A$1:$AZ$1001,ROW(),설정!$C$5)&amp;"","")</f>
        <v/>
      </c>
      <c r="D308" s="5">
        <f>IFERROR(VALUE(SUBSTITUTE(SUBSTITUTE(SUBSTITUTE(IFERROR(INDEX('1.산군_붙여넣기'!$A$1:$AZ$1001,ROW(),설정!$C$6)&amp;"",""),",",""),"㎡",""),"m2","")),"")</f>
        <v/>
      </c>
      <c r="E308">
        <f>IFERROR(INDEX('1.산군_붙여넣기'!$A$1:$AZ$1001,ROW(),설정!$C$7)&amp;"","")</f>
        <v/>
      </c>
      <c r="F308">
        <f>IFERROR(INDEX('1.산군_붙여넣기'!$A$1:$AZ$1001,ROW(),설정!$C$8)&amp;"","")</f>
        <v/>
      </c>
      <c r="G308">
        <f>IFERROR(INDEX('1.산군_붙여넣기'!$A$1:$AZ$1001,ROW(),설정!$C$9)&amp;"","")</f>
        <v/>
      </c>
      <c r="H308">
        <f>IFERROR(INDEX('1.산군_붙여넣기'!$A$1:$AZ$1001,ROW(),설정!$C$10)&amp;"","")</f>
        <v/>
      </c>
      <c r="I308">
        <f>IFERROR(INDEX('1.산군_붙여넣기'!$A$1:$AZ$1001,ROW(),설정!$C$11)&amp;"","")</f>
        <v/>
      </c>
      <c r="J308">
        <f>IFERROR(INDEX('1.산군_붙여넣기'!$A$1:$AZ$1001,ROW(),설정!$C$12)&amp;"","")</f>
        <v/>
      </c>
      <c r="K308">
        <f>IFERROR(INDEX('1.산군_붙여넣기'!$A$1:$AZ$1001,ROW(),설정!$C$13)&amp;"","")</f>
        <v/>
      </c>
      <c r="L308" s="6">
        <f>IF(X308="","",IF(AND(LEN(X308)=8,ISNUMBER(X308*1)),DATE(LEFT(X308,4),MID(X308,5,2),RIGHT(X308,2)),IFERROR(DATEVALUE(SUBSTITUTE(SUBSTITUTE(X308,".","-"),"/","-")),IFERROR(X308*1,""))))</f>
        <v/>
      </c>
      <c r="M308" s="6">
        <f>IF(Y308="","",IF(AND(LEN(Y308)=8,ISNUMBER(Y308*1)),DATE(LEFT(Y308,4),MID(Y308,5,2),RIGHT(Y308,2)),IFERROR(DATEVALUE(SUBSTITUTE(SUBSTITUTE(Y308,".","-"),"/","-")),IFERROR(Y308*1,""))))</f>
        <v/>
      </c>
      <c r="N308">
        <f>IFERROR(LEFT(B308,FIND(" ",B308)-1),B308)</f>
        <v/>
      </c>
      <c r="O308">
        <f>AND(B308&lt;&gt;"",B308&lt;&gt;설정!$B$4,C308&lt;&gt;설정!$B$5)</f>
        <v/>
      </c>
      <c r="P308">
        <f>IF(O308,B308&amp;"|"&amp;C308,"")</f>
        <v/>
      </c>
      <c r="Q308">
        <f>AND(O308,COUNTIF(P309:P$1002,P308)=0)</f>
        <v/>
      </c>
      <c r="R308">
        <f>OR(AND(설정!$A$28&lt;&gt;"",ISNUMBER(SEARCH(설정!$A$28,E308&amp;" "&amp;C308))),AND(설정!$A$29&lt;&gt;"",ISNUMBER(SEARCH(설정!$A$29,E308&amp;" "&amp;C308))),AND(설정!$A$30&lt;&gt;"",ISNUMBER(SEARCH(설정!$A$30,E308&amp;" "&amp;C308))),AND(설정!$A$31&lt;&gt;"",ISNUMBER(SEARCH(설정!$A$31,E308&amp;" "&amp;C308))),AND(설정!$A$32&lt;&gt;"",ISNUMBER(SEARCH(설정!$A$32,E308&amp;" "&amp;C308))),AND(설정!$A$33&lt;&gt;"",ISNUMBER(SEARCH(설정!$A$33,E308&amp;" "&amp;C308))),AND(설정!$A$34&lt;&gt;"",ISNUMBER(SEARCH(설정!$A$34,E308&amp;" "&amp;C308))),AND(설정!$A$35&lt;&gt;"",ISNUMBER(SEARCH(설정!$A$35,E308&amp;" "&amp;C308))),AND(설정!$A$36&lt;&gt;"",ISNUMBER(SEARCH(설정!$A$36,E308&amp;" "&amp;C308))),AND(설정!$A$37&lt;&gt;"",ISNUMBER(SEARCH(설정!$A$37,E308&amp;" "&amp;C308))))</f>
        <v/>
      </c>
      <c r="S308">
        <f>OR(D308="",D308&gt;=설정!$B$19)</f>
        <v/>
      </c>
      <c r="T308">
        <f>AND(Q308,R308,S308)</f>
        <v/>
      </c>
      <c r="U308">
        <f>IF(T308,IF(AND(설정!$A$41&lt;&gt;"",ISNUMBER(SEARCH(설정!$A$41,K308))),설정!$B$41,IF(AND(설정!$A$42&lt;&gt;"",ISNUMBER(SEARCH(설정!$A$42,K308))),설정!$B$42,IF(AND(설정!$A$43&lt;&gt;"",ISNUMBER(SEARCH(설정!$A$43,K308))),설정!$B$43,IF(AND(설정!$A$44&lt;&gt;"",ISNUMBER(SEARCH(설정!$A$44,K308))),설정!$B$44,IF(AND(설정!$A$45&lt;&gt;"",ISNUMBER(SEARCH(설정!$A$45,K308))),설정!$B$45,IF(AND(설정!$A$46&lt;&gt;"",ISNUMBER(SEARCH(설정!$A$46,K308))),설정!$B$46,IF(AND(설정!$A$47&lt;&gt;"",ISNUMBER(SEARCH(설정!$A$47,K308))),설정!$B$47,IF(AND(설정!$A$48&lt;&gt;"",ISNUMBER(SEARCH(설정!$A$48,K308))),설정!$B$48,IF(M308="","설계사","시공사"))))))))),"")</f>
        <v/>
      </c>
      <c r="V308">
        <f>SUBSTITUTE(SUBSTITUTE(SUBSTITUTE(SUBSTITUTE(G308,"(주)",""),"㈜",""),"주식회사","")," ","")</f>
        <v/>
      </c>
      <c r="W308">
        <f>IF(AND(T308,V308&lt;&gt;""),IF(COUNTIFS(V$2:V308,V308,T$2:T308,TRUE)=1,MAX(W$1:W307)+1,""),"")</f>
        <v/>
      </c>
      <c r="X308">
        <f>IFERROR(INDEX('1.산군_붙여넣기'!$A$1:$AZ$1001,ROW(),설정!$C$14)&amp;"","")</f>
        <v/>
      </c>
      <c r="Y308">
        <f>IFERROR(INDEX('1.산군_붙여넣기'!$A$1:$AZ$1001,ROW(),설정!$C$15)&amp;"","")</f>
        <v/>
      </c>
      <c r="Z308">
        <f>IF(T308,V308&amp;"|"&amp;U308,"")</f>
        <v/>
      </c>
    </row>
    <row r="309">
      <c r="A309">
        <f>ROW()</f>
        <v/>
      </c>
      <c r="B309">
        <f>IFERROR(INDEX('1.산군_붙여넣기'!$A$1:$AZ$1001,ROW(),설정!$C$4)&amp;"","")</f>
        <v/>
      </c>
      <c r="C309">
        <f>IFERROR(INDEX('1.산군_붙여넣기'!$A$1:$AZ$1001,ROW(),설정!$C$5)&amp;"","")</f>
        <v/>
      </c>
      <c r="D309" s="5">
        <f>IFERROR(VALUE(SUBSTITUTE(SUBSTITUTE(SUBSTITUTE(IFERROR(INDEX('1.산군_붙여넣기'!$A$1:$AZ$1001,ROW(),설정!$C$6)&amp;"",""),",",""),"㎡",""),"m2","")),"")</f>
        <v/>
      </c>
      <c r="E309">
        <f>IFERROR(INDEX('1.산군_붙여넣기'!$A$1:$AZ$1001,ROW(),설정!$C$7)&amp;"","")</f>
        <v/>
      </c>
      <c r="F309">
        <f>IFERROR(INDEX('1.산군_붙여넣기'!$A$1:$AZ$1001,ROW(),설정!$C$8)&amp;"","")</f>
        <v/>
      </c>
      <c r="G309">
        <f>IFERROR(INDEX('1.산군_붙여넣기'!$A$1:$AZ$1001,ROW(),설정!$C$9)&amp;"","")</f>
        <v/>
      </c>
      <c r="H309">
        <f>IFERROR(INDEX('1.산군_붙여넣기'!$A$1:$AZ$1001,ROW(),설정!$C$10)&amp;"","")</f>
        <v/>
      </c>
      <c r="I309">
        <f>IFERROR(INDEX('1.산군_붙여넣기'!$A$1:$AZ$1001,ROW(),설정!$C$11)&amp;"","")</f>
        <v/>
      </c>
      <c r="J309">
        <f>IFERROR(INDEX('1.산군_붙여넣기'!$A$1:$AZ$1001,ROW(),설정!$C$12)&amp;"","")</f>
        <v/>
      </c>
      <c r="K309">
        <f>IFERROR(INDEX('1.산군_붙여넣기'!$A$1:$AZ$1001,ROW(),설정!$C$13)&amp;"","")</f>
        <v/>
      </c>
      <c r="L309" s="6">
        <f>IF(X309="","",IF(AND(LEN(X309)=8,ISNUMBER(X309*1)),DATE(LEFT(X309,4),MID(X309,5,2),RIGHT(X309,2)),IFERROR(DATEVALUE(SUBSTITUTE(SUBSTITUTE(X309,".","-"),"/","-")),IFERROR(X309*1,""))))</f>
        <v/>
      </c>
      <c r="M309" s="6">
        <f>IF(Y309="","",IF(AND(LEN(Y309)=8,ISNUMBER(Y309*1)),DATE(LEFT(Y309,4),MID(Y309,5,2),RIGHT(Y309,2)),IFERROR(DATEVALUE(SUBSTITUTE(SUBSTITUTE(Y309,".","-"),"/","-")),IFERROR(Y309*1,""))))</f>
        <v/>
      </c>
      <c r="N309">
        <f>IFERROR(LEFT(B309,FIND(" ",B309)-1),B309)</f>
        <v/>
      </c>
      <c r="O309">
        <f>AND(B309&lt;&gt;"",B309&lt;&gt;설정!$B$4,C309&lt;&gt;설정!$B$5)</f>
        <v/>
      </c>
      <c r="P309">
        <f>IF(O309,B309&amp;"|"&amp;C309,"")</f>
        <v/>
      </c>
      <c r="Q309">
        <f>AND(O309,COUNTIF(P310:P$1002,P309)=0)</f>
        <v/>
      </c>
      <c r="R309">
        <f>OR(AND(설정!$A$28&lt;&gt;"",ISNUMBER(SEARCH(설정!$A$28,E309&amp;" "&amp;C309))),AND(설정!$A$29&lt;&gt;"",ISNUMBER(SEARCH(설정!$A$29,E309&amp;" "&amp;C309))),AND(설정!$A$30&lt;&gt;"",ISNUMBER(SEARCH(설정!$A$30,E309&amp;" "&amp;C309))),AND(설정!$A$31&lt;&gt;"",ISNUMBER(SEARCH(설정!$A$31,E309&amp;" "&amp;C309))),AND(설정!$A$32&lt;&gt;"",ISNUMBER(SEARCH(설정!$A$32,E309&amp;" "&amp;C309))),AND(설정!$A$33&lt;&gt;"",ISNUMBER(SEARCH(설정!$A$33,E309&amp;" "&amp;C309))),AND(설정!$A$34&lt;&gt;"",ISNUMBER(SEARCH(설정!$A$34,E309&amp;" "&amp;C309))),AND(설정!$A$35&lt;&gt;"",ISNUMBER(SEARCH(설정!$A$35,E309&amp;" "&amp;C309))),AND(설정!$A$36&lt;&gt;"",ISNUMBER(SEARCH(설정!$A$36,E309&amp;" "&amp;C309))),AND(설정!$A$37&lt;&gt;"",ISNUMBER(SEARCH(설정!$A$37,E309&amp;" "&amp;C309))))</f>
        <v/>
      </c>
      <c r="S309">
        <f>OR(D309="",D309&gt;=설정!$B$19)</f>
        <v/>
      </c>
      <c r="T309">
        <f>AND(Q309,R309,S309)</f>
        <v/>
      </c>
      <c r="U309">
        <f>IF(T309,IF(AND(설정!$A$41&lt;&gt;"",ISNUMBER(SEARCH(설정!$A$41,K309))),설정!$B$41,IF(AND(설정!$A$42&lt;&gt;"",ISNUMBER(SEARCH(설정!$A$42,K309))),설정!$B$42,IF(AND(설정!$A$43&lt;&gt;"",ISNUMBER(SEARCH(설정!$A$43,K309))),설정!$B$43,IF(AND(설정!$A$44&lt;&gt;"",ISNUMBER(SEARCH(설정!$A$44,K309))),설정!$B$44,IF(AND(설정!$A$45&lt;&gt;"",ISNUMBER(SEARCH(설정!$A$45,K309))),설정!$B$45,IF(AND(설정!$A$46&lt;&gt;"",ISNUMBER(SEARCH(설정!$A$46,K309))),설정!$B$46,IF(AND(설정!$A$47&lt;&gt;"",ISNUMBER(SEARCH(설정!$A$47,K309))),설정!$B$47,IF(AND(설정!$A$48&lt;&gt;"",ISNUMBER(SEARCH(설정!$A$48,K309))),설정!$B$48,IF(M309="","설계사","시공사"))))))))),"")</f>
        <v/>
      </c>
      <c r="V309">
        <f>SUBSTITUTE(SUBSTITUTE(SUBSTITUTE(SUBSTITUTE(G309,"(주)",""),"㈜",""),"주식회사","")," ","")</f>
        <v/>
      </c>
      <c r="W309">
        <f>IF(AND(T309,V309&lt;&gt;""),IF(COUNTIFS(V$2:V309,V309,T$2:T309,TRUE)=1,MAX(W$1:W308)+1,""),"")</f>
        <v/>
      </c>
      <c r="X309">
        <f>IFERROR(INDEX('1.산군_붙여넣기'!$A$1:$AZ$1001,ROW(),설정!$C$14)&amp;"","")</f>
        <v/>
      </c>
      <c r="Y309">
        <f>IFERROR(INDEX('1.산군_붙여넣기'!$A$1:$AZ$1001,ROW(),설정!$C$15)&amp;"","")</f>
        <v/>
      </c>
      <c r="Z309">
        <f>IF(T309,V309&amp;"|"&amp;U309,"")</f>
        <v/>
      </c>
    </row>
    <row r="310">
      <c r="A310">
        <f>ROW()</f>
        <v/>
      </c>
      <c r="B310">
        <f>IFERROR(INDEX('1.산군_붙여넣기'!$A$1:$AZ$1001,ROW(),설정!$C$4)&amp;"","")</f>
        <v/>
      </c>
      <c r="C310">
        <f>IFERROR(INDEX('1.산군_붙여넣기'!$A$1:$AZ$1001,ROW(),설정!$C$5)&amp;"","")</f>
        <v/>
      </c>
      <c r="D310" s="5">
        <f>IFERROR(VALUE(SUBSTITUTE(SUBSTITUTE(SUBSTITUTE(IFERROR(INDEX('1.산군_붙여넣기'!$A$1:$AZ$1001,ROW(),설정!$C$6)&amp;"",""),",",""),"㎡",""),"m2","")),"")</f>
        <v/>
      </c>
      <c r="E310">
        <f>IFERROR(INDEX('1.산군_붙여넣기'!$A$1:$AZ$1001,ROW(),설정!$C$7)&amp;"","")</f>
        <v/>
      </c>
      <c r="F310">
        <f>IFERROR(INDEX('1.산군_붙여넣기'!$A$1:$AZ$1001,ROW(),설정!$C$8)&amp;"","")</f>
        <v/>
      </c>
      <c r="G310">
        <f>IFERROR(INDEX('1.산군_붙여넣기'!$A$1:$AZ$1001,ROW(),설정!$C$9)&amp;"","")</f>
        <v/>
      </c>
      <c r="H310">
        <f>IFERROR(INDEX('1.산군_붙여넣기'!$A$1:$AZ$1001,ROW(),설정!$C$10)&amp;"","")</f>
        <v/>
      </c>
      <c r="I310">
        <f>IFERROR(INDEX('1.산군_붙여넣기'!$A$1:$AZ$1001,ROW(),설정!$C$11)&amp;"","")</f>
        <v/>
      </c>
      <c r="J310">
        <f>IFERROR(INDEX('1.산군_붙여넣기'!$A$1:$AZ$1001,ROW(),설정!$C$12)&amp;"","")</f>
        <v/>
      </c>
      <c r="K310">
        <f>IFERROR(INDEX('1.산군_붙여넣기'!$A$1:$AZ$1001,ROW(),설정!$C$13)&amp;"","")</f>
        <v/>
      </c>
      <c r="L310" s="6">
        <f>IF(X310="","",IF(AND(LEN(X310)=8,ISNUMBER(X310*1)),DATE(LEFT(X310,4),MID(X310,5,2),RIGHT(X310,2)),IFERROR(DATEVALUE(SUBSTITUTE(SUBSTITUTE(X310,".","-"),"/","-")),IFERROR(X310*1,""))))</f>
        <v/>
      </c>
      <c r="M310" s="6">
        <f>IF(Y310="","",IF(AND(LEN(Y310)=8,ISNUMBER(Y310*1)),DATE(LEFT(Y310,4),MID(Y310,5,2),RIGHT(Y310,2)),IFERROR(DATEVALUE(SUBSTITUTE(SUBSTITUTE(Y310,".","-"),"/","-")),IFERROR(Y310*1,""))))</f>
        <v/>
      </c>
      <c r="N310">
        <f>IFERROR(LEFT(B310,FIND(" ",B310)-1),B310)</f>
        <v/>
      </c>
      <c r="O310">
        <f>AND(B310&lt;&gt;"",B310&lt;&gt;설정!$B$4,C310&lt;&gt;설정!$B$5)</f>
        <v/>
      </c>
      <c r="P310">
        <f>IF(O310,B310&amp;"|"&amp;C310,"")</f>
        <v/>
      </c>
      <c r="Q310">
        <f>AND(O310,COUNTIF(P311:P$1002,P310)=0)</f>
        <v/>
      </c>
      <c r="R310">
        <f>OR(AND(설정!$A$28&lt;&gt;"",ISNUMBER(SEARCH(설정!$A$28,E310&amp;" "&amp;C310))),AND(설정!$A$29&lt;&gt;"",ISNUMBER(SEARCH(설정!$A$29,E310&amp;" "&amp;C310))),AND(설정!$A$30&lt;&gt;"",ISNUMBER(SEARCH(설정!$A$30,E310&amp;" "&amp;C310))),AND(설정!$A$31&lt;&gt;"",ISNUMBER(SEARCH(설정!$A$31,E310&amp;" "&amp;C310))),AND(설정!$A$32&lt;&gt;"",ISNUMBER(SEARCH(설정!$A$32,E310&amp;" "&amp;C310))),AND(설정!$A$33&lt;&gt;"",ISNUMBER(SEARCH(설정!$A$33,E310&amp;" "&amp;C310))),AND(설정!$A$34&lt;&gt;"",ISNUMBER(SEARCH(설정!$A$34,E310&amp;" "&amp;C310))),AND(설정!$A$35&lt;&gt;"",ISNUMBER(SEARCH(설정!$A$35,E310&amp;" "&amp;C310))),AND(설정!$A$36&lt;&gt;"",ISNUMBER(SEARCH(설정!$A$36,E310&amp;" "&amp;C310))),AND(설정!$A$37&lt;&gt;"",ISNUMBER(SEARCH(설정!$A$37,E310&amp;" "&amp;C310))))</f>
        <v/>
      </c>
      <c r="S310">
        <f>OR(D310="",D310&gt;=설정!$B$19)</f>
        <v/>
      </c>
      <c r="T310">
        <f>AND(Q310,R310,S310)</f>
        <v/>
      </c>
      <c r="U310">
        <f>IF(T310,IF(AND(설정!$A$41&lt;&gt;"",ISNUMBER(SEARCH(설정!$A$41,K310))),설정!$B$41,IF(AND(설정!$A$42&lt;&gt;"",ISNUMBER(SEARCH(설정!$A$42,K310))),설정!$B$42,IF(AND(설정!$A$43&lt;&gt;"",ISNUMBER(SEARCH(설정!$A$43,K310))),설정!$B$43,IF(AND(설정!$A$44&lt;&gt;"",ISNUMBER(SEARCH(설정!$A$44,K310))),설정!$B$44,IF(AND(설정!$A$45&lt;&gt;"",ISNUMBER(SEARCH(설정!$A$45,K310))),설정!$B$45,IF(AND(설정!$A$46&lt;&gt;"",ISNUMBER(SEARCH(설정!$A$46,K310))),설정!$B$46,IF(AND(설정!$A$47&lt;&gt;"",ISNUMBER(SEARCH(설정!$A$47,K310))),설정!$B$47,IF(AND(설정!$A$48&lt;&gt;"",ISNUMBER(SEARCH(설정!$A$48,K310))),설정!$B$48,IF(M310="","설계사","시공사"))))))))),"")</f>
        <v/>
      </c>
      <c r="V310">
        <f>SUBSTITUTE(SUBSTITUTE(SUBSTITUTE(SUBSTITUTE(G310,"(주)",""),"㈜",""),"주식회사","")," ","")</f>
        <v/>
      </c>
      <c r="W310">
        <f>IF(AND(T310,V310&lt;&gt;""),IF(COUNTIFS(V$2:V310,V310,T$2:T310,TRUE)=1,MAX(W$1:W309)+1,""),"")</f>
        <v/>
      </c>
      <c r="X310">
        <f>IFERROR(INDEX('1.산군_붙여넣기'!$A$1:$AZ$1001,ROW(),설정!$C$14)&amp;"","")</f>
        <v/>
      </c>
      <c r="Y310">
        <f>IFERROR(INDEX('1.산군_붙여넣기'!$A$1:$AZ$1001,ROW(),설정!$C$15)&amp;"","")</f>
        <v/>
      </c>
      <c r="Z310">
        <f>IF(T310,V310&amp;"|"&amp;U310,"")</f>
        <v/>
      </c>
    </row>
    <row r="311">
      <c r="A311">
        <f>ROW()</f>
        <v/>
      </c>
      <c r="B311">
        <f>IFERROR(INDEX('1.산군_붙여넣기'!$A$1:$AZ$1001,ROW(),설정!$C$4)&amp;"","")</f>
        <v/>
      </c>
      <c r="C311">
        <f>IFERROR(INDEX('1.산군_붙여넣기'!$A$1:$AZ$1001,ROW(),설정!$C$5)&amp;"","")</f>
        <v/>
      </c>
      <c r="D311" s="5">
        <f>IFERROR(VALUE(SUBSTITUTE(SUBSTITUTE(SUBSTITUTE(IFERROR(INDEX('1.산군_붙여넣기'!$A$1:$AZ$1001,ROW(),설정!$C$6)&amp;"",""),",",""),"㎡",""),"m2","")),"")</f>
        <v/>
      </c>
      <c r="E311">
        <f>IFERROR(INDEX('1.산군_붙여넣기'!$A$1:$AZ$1001,ROW(),설정!$C$7)&amp;"","")</f>
        <v/>
      </c>
      <c r="F311">
        <f>IFERROR(INDEX('1.산군_붙여넣기'!$A$1:$AZ$1001,ROW(),설정!$C$8)&amp;"","")</f>
        <v/>
      </c>
      <c r="G311">
        <f>IFERROR(INDEX('1.산군_붙여넣기'!$A$1:$AZ$1001,ROW(),설정!$C$9)&amp;"","")</f>
        <v/>
      </c>
      <c r="H311">
        <f>IFERROR(INDEX('1.산군_붙여넣기'!$A$1:$AZ$1001,ROW(),설정!$C$10)&amp;"","")</f>
        <v/>
      </c>
      <c r="I311">
        <f>IFERROR(INDEX('1.산군_붙여넣기'!$A$1:$AZ$1001,ROW(),설정!$C$11)&amp;"","")</f>
        <v/>
      </c>
      <c r="J311">
        <f>IFERROR(INDEX('1.산군_붙여넣기'!$A$1:$AZ$1001,ROW(),설정!$C$12)&amp;"","")</f>
        <v/>
      </c>
      <c r="K311">
        <f>IFERROR(INDEX('1.산군_붙여넣기'!$A$1:$AZ$1001,ROW(),설정!$C$13)&amp;"","")</f>
        <v/>
      </c>
      <c r="L311" s="6">
        <f>IF(X311="","",IF(AND(LEN(X311)=8,ISNUMBER(X311*1)),DATE(LEFT(X311,4),MID(X311,5,2),RIGHT(X311,2)),IFERROR(DATEVALUE(SUBSTITUTE(SUBSTITUTE(X311,".","-"),"/","-")),IFERROR(X311*1,""))))</f>
        <v/>
      </c>
      <c r="M311" s="6">
        <f>IF(Y311="","",IF(AND(LEN(Y311)=8,ISNUMBER(Y311*1)),DATE(LEFT(Y311,4),MID(Y311,5,2),RIGHT(Y311,2)),IFERROR(DATEVALUE(SUBSTITUTE(SUBSTITUTE(Y311,".","-"),"/","-")),IFERROR(Y311*1,""))))</f>
        <v/>
      </c>
      <c r="N311">
        <f>IFERROR(LEFT(B311,FIND(" ",B311)-1),B311)</f>
        <v/>
      </c>
      <c r="O311">
        <f>AND(B311&lt;&gt;"",B311&lt;&gt;설정!$B$4,C311&lt;&gt;설정!$B$5)</f>
        <v/>
      </c>
      <c r="P311">
        <f>IF(O311,B311&amp;"|"&amp;C311,"")</f>
        <v/>
      </c>
      <c r="Q311">
        <f>AND(O311,COUNTIF(P312:P$1002,P311)=0)</f>
        <v/>
      </c>
      <c r="R311">
        <f>OR(AND(설정!$A$28&lt;&gt;"",ISNUMBER(SEARCH(설정!$A$28,E311&amp;" "&amp;C311))),AND(설정!$A$29&lt;&gt;"",ISNUMBER(SEARCH(설정!$A$29,E311&amp;" "&amp;C311))),AND(설정!$A$30&lt;&gt;"",ISNUMBER(SEARCH(설정!$A$30,E311&amp;" "&amp;C311))),AND(설정!$A$31&lt;&gt;"",ISNUMBER(SEARCH(설정!$A$31,E311&amp;" "&amp;C311))),AND(설정!$A$32&lt;&gt;"",ISNUMBER(SEARCH(설정!$A$32,E311&amp;" "&amp;C311))),AND(설정!$A$33&lt;&gt;"",ISNUMBER(SEARCH(설정!$A$33,E311&amp;" "&amp;C311))),AND(설정!$A$34&lt;&gt;"",ISNUMBER(SEARCH(설정!$A$34,E311&amp;" "&amp;C311))),AND(설정!$A$35&lt;&gt;"",ISNUMBER(SEARCH(설정!$A$35,E311&amp;" "&amp;C311))),AND(설정!$A$36&lt;&gt;"",ISNUMBER(SEARCH(설정!$A$36,E311&amp;" "&amp;C311))),AND(설정!$A$37&lt;&gt;"",ISNUMBER(SEARCH(설정!$A$37,E311&amp;" "&amp;C311))))</f>
        <v/>
      </c>
      <c r="S311">
        <f>OR(D311="",D311&gt;=설정!$B$19)</f>
        <v/>
      </c>
      <c r="T311">
        <f>AND(Q311,R311,S311)</f>
        <v/>
      </c>
      <c r="U311">
        <f>IF(T311,IF(AND(설정!$A$41&lt;&gt;"",ISNUMBER(SEARCH(설정!$A$41,K311))),설정!$B$41,IF(AND(설정!$A$42&lt;&gt;"",ISNUMBER(SEARCH(설정!$A$42,K311))),설정!$B$42,IF(AND(설정!$A$43&lt;&gt;"",ISNUMBER(SEARCH(설정!$A$43,K311))),설정!$B$43,IF(AND(설정!$A$44&lt;&gt;"",ISNUMBER(SEARCH(설정!$A$44,K311))),설정!$B$44,IF(AND(설정!$A$45&lt;&gt;"",ISNUMBER(SEARCH(설정!$A$45,K311))),설정!$B$45,IF(AND(설정!$A$46&lt;&gt;"",ISNUMBER(SEARCH(설정!$A$46,K311))),설정!$B$46,IF(AND(설정!$A$47&lt;&gt;"",ISNUMBER(SEARCH(설정!$A$47,K311))),설정!$B$47,IF(AND(설정!$A$48&lt;&gt;"",ISNUMBER(SEARCH(설정!$A$48,K311))),설정!$B$48,IF(M311="","설계사","시공사"))))))))),"")</f>
        <v/>
      </c>
      <c r="V311">
        <f>SUBSTITUTE(SUBSTITUTE(SUBSTITUTE(SUBSTITUTE(G311,"(주)",""),"㈜",""),"주식회사","")," ","")</f>
        <v/>
      </c>
      <c r="W311">
        <f>IF(AND(T311,V311&lt;&gt;""),IF(COUNTIFS(V$2:V311,V311,T$2:T311,TRUE)=1,MAX(W$1:W310)+1,""),"")</f>
        <v/>
      </c>
      <c r="X311">
        <f>IFERROR(INDEX('1.산군_붙여넣기'!$A$1:$AZ$1001,ROW(),설정!$C$14)&amp;"","")</f>
        <v/>
      </c>
      <c r="Y311">
        <f>IFERROR(INDEX('1.산군_붙여넣기'!$A$1:$AZ$1001,ROW(),설정!$C$15)&amp;"","")</f>
        <v/>
      </c>
      <c r="Z311">
        <f>IF(T311,V311&amp;"|"&amp;U311,"")</f>
        <v/>
      </c>
    </row>
    <row r="312">
      <c r="A312">
        <f>ROW()</f>
        <v/>
      </c>
      <c r="B312">
        <f>IFERROR(INDEX('1.산군_붙여넣기'!$A$1:$AZ$1001,ROW(),설정!$C$4)&amp;"","")</f>
        <v/>
      </c>
      <c r="C312">
        <f>IFERROR(INDEX('1.산군_붙여넣기'!$A$1:$AZ$1001,ROW(),설정!$C$5)&amp;"","")</f>
        <v/>
      </c>
      <c r="D312" s="5">
        <f>IFERROR(VALUE(SUBSTITUTE(SUBSTITUTE(SUBSTITUTE(IFERROR(INDEX('1.산군_붙여넣기'!$A$1:$AZ$1001,ROW(),설정!$C$6)&amp;"",""),",",""),"㎡",""),"m2","")),"")</f>
        <v/>
      </c>
      <c r="E312">
        <f>IFERROR(INDEX('1.산군_붙여넣기'!$A$1:$AZ$1001,ROW(),설정!$C$7)&amp;"","")</f>
        <v/>
      </c>
      <c r="F312">
        <f>IFERROR(INDEX('1.산군_붙여넣기'!$A$1:$AZ$1001,ROW(),설정!$C$8)&amp;"","")</f>
        <v/>
      </c>
      <c r="G312">
        <f>IFERROR(INDEX('1.산군_붙여넣기'!$A$1:$AZ$1001,ROW(),설정!$C$9)&amp;"","")</f>
        <v/>
      </c>
      <c r="H312">
        <f>IFERROR(INDEX('1.산군_붙여넣기'!$A$1:$AZ$1001,ROW(),설정!$C$10)&amp;"","")</f>
        <v/>
      </c>
      <c r="I312">
        <f>IFERROR(INDEX('1.산군_붙여넣기'!$A$1:$AZ$1001,ROW(),설정!$C$11)&amp;"","")</f>
        <v/>
      </c>
      <c r="J312">
        <f>IFERROR(INDEX('1.산군_붙여넣기'!$A$1:$AZ$1001,ROW(),설정!$C$12)&amp;"","")</f>
        <v/>
      </c>
      <c r="K312">
        <f>IFERROR(INDEX('1.산군_붙여넣기'!$A$1:$AZ$1001,ROW(),설정!$C$13)&amp;"","")</f>
        <v/>
      </c>
      <c r="L312" s="6">
        <f>IF(X312="","",IF(AND(LEN(X312)=8,ISNUMBER(X312*1)),DATE(LEFT(X312,4),MID(X312,5,2),RIGHT(X312,2)),IFERROR(DATEVALUE(SUBSTITUTE(SUBSTITUTE(X312,".","-"),"/","-")),IFERROR(X312*1,""))))</f>
        <v/>
      </c>
      <c r="M312" s="6">
        <f>IF(Y312="","",IF(AND(LEN(Y312)=8,ISNUMBER(Y312*1)),DATE(LEFT(Y312,4),MID(Y312,5,2),RIGHT(Y312,2)),IFERROR(DATEVALUE(SUBSTITUTE(SUBSTITUTE(Y312,".","-"),"/","-")),IFERROR(Y312*1,""))))</f>
        <v/>
      </c>
      <c r="N312">
        <f>IFERROR(LEFT(B312,FIND(" ",B312)-1),B312)</f>
        <v/>
      </c>
      <c r="O312">
        <f>AND(B312&lt;&gt;"",B312&lt;&gt;설정!$B$4,C312&lt;&gt;설정!$B$5)</f>
        <v/>
      </c>
      <c r="P312">
        <f>IF(O312,B312&amp;"|"&amp;C312,"")</f>
        <v/>
      </c>
      <c r="Q312">
        <f>AND(O312,COUNTIF(P313:P$1002,P312)=0)</f>
        <v/>
      </c>
      <c r="R312">
        <f>OR(AND(설정!$A$28&lt;&gt;"",ISNUMBER(SEARCH(설정!$A$28,E312&amp;" "&amp;C312))),AND(설정!$A$29&lt;&gt;"",ISNUMBER(SEARCH(설정!$A$29,E312&amp;" "&amp;C312))),AND(설정!$A$30&lt;&gt;"",ISNUMBER(SEARCH(설정!$A$30,E312&amp;" "&amp;C312))),AND(설정!$A$31&lt;&gt;"",ISNUMBER(SEARCH(설정!$A$31,E312&amp;" "&amp;C312))),AND(설정!$A$32&lt;&gt;"",ISNUMBER(SEARCH(설정!$A$32,E312&amp;" "&amp;C312))),AND(설정!$A$33&lt;&gt;"",ISNUMBER(SEARCH(설정!$A$33,E312&amp;" "&amp;C312))),AND(설정!$A$34&lt;&gt;"",ISNUMBER(SEARCH(설정!$A$34,E312&amp;" "&amp;C312))),AND(설정!$A$35&lt;&gt;"",ISNUMBER(SEARCH(설정!$A$35,E312&amp;" "&amp;C312))),AND(설정!$A$36&lt;&gt;"",ISNUMBER(SEARCH(설정!$A$36,E312&amp;" "&amp;C312))),AND(설정!$A$37&lt;&gt;"",ISNUMBER(SEARCH(설정!$A$37,E312&amp;" "&amp;C312))))</f>
        <v/>
      </c>
      <c r="S312">
        <f>OR(D312="",D312&gt;=설정!$B$19)</f>
        <v/>
      </c>
      <c r="T312">
        <f>AND(Q312,R312,S312)</f>
        <v/>
      </c>
      <c r="U312">
        <f>IF(T312,IF(AND(설정!$A$41&lt;&gt;"",ISNUMBER(SEARCH(설정!$A$41,K312))),설정!$B$41,IF(AND(설정!$A$42&lt;&gt;"",ISNUMBER(SEARCH(설정!$A$42,K312))),설정!$B$42,IF(AND(설정!$A$43&lt;&gt;"",ISNUMBER(SEARCH(설정!$A$43,K312))),설정!$B$43,IF(AND(설정!$A$44&lt;&gt;"",ISNUMBER(SEARCH(설정!$A$44,K312))),설정!$B$44,IF(AND(설정!$A$45&lt;&gt;"",ISNUMBER(SEARCH(설정!$A$45,K312))),설정!$B$45,IF(AND(설정!$A$46&lt;&gt;"",ISNUMBER(SEARCH(설정!$A$46,K312))),설정!$B$46,IF(AND(설정!$A$47&lt;&gt;"",ISNUMBER(SEARCH(설정!$A$47,K312))),설정!$B$47,IF(AND(설정!$A$48&lt;&gt;"",ISNUMBER(SEARCH(설정!$A$48,K312))),설정!$B$48,IF(M312="","설계사","시공사"))))))))),"")</f>
        <v/>
      </c>
      <c r="V312">
        <f>SUBSTITUTE(SUBSTITUTE(SUBSTITUTE(SUBSTITUTE(G312,"(주)",""),"㈜",""),"주식회사","")," ","")</f>
        <v/>
      </c>
      <c r="W312">
        <f>IF(AND(T312,V312&lt;&gt;""),IF(COUNTIFS(V$2:V312,V312,T$2:T312,TRUE)=1,MAX(W$1:W311)+1,""),"")</f>
        <v/>
      </c>
      <c r="X312">
        <f>IFERROR(INDEX('1.산군_붙여넣기'!$A$1:$AZ$1001,ROW(),설정!$C$14)&amp;"","")</f>
        <v/>
      </c>
      <c r="Y312">
        <f>IFERROR(INDEX('1.산군_붙여넣기'!$A$1:$AZ$1001,ROW(),설정!$C$15)&amp;"","")</f>
        <v/>
      </c>
      <c r="Z312">
        <f>IF(T312,V312&amp;"|"&amp;U312,"")</f>
        <v/>
      </c>
    </row>
    <row r="313">
      <c r="A313">
        <f>ROW()</f>
        <v/>
      </c>
      <c r="B313">
        <f>IFERROR(INDEX('1.산군_붙여넣기'!$A$1:$AZ$1001,ROW(),설정!$C$4)&amp;"","")</f>
        <v/>
      </c>
      <c r="C313">
        <f>IFERROR(INDEX('1.산군_붙여넣기'!$A$1:$AZ$1001,ROW(),설정!$C$5)&amp;"","")</f>
        <v/>
      </c>
      <c r="D313" s="5">
        <f>IFERROR(VALUE(SUBSTITUTE(SUBSTITUTE(SUBSTITUTE(IFERROR(INDEX('1.산군_붙여넣기'!$A$1:$AZ$1001,ROW(),설정!$C$6)&amp;"",""),",",""),"㎡",""),"m2","")),"")</f>
        <v/>
      </c>
      <c r="E313">
        <f>IFERROR(INDEX('1.산군_붙여넣기'!$A$1:$AZ$1001,ROW(),설정!$C$7)&amp;"","")</f>
        <v/>
      </c>
      <c r="F313">
        <f>IFERROR(INDEX('1.산군_붙여넣기'!$A$1:$AZ$1001,ROW(),설정!$C$8)&amp;"","")</f>
        <v/>
      </c>
      <c r="G313">
        <f>IFERROR(INDEX('1.산군_붙여넣기'!$A$1:$AZ$1001,ROW(),설정!$C$9)&amp;"","")</f>
        <v/>
      </c>
      <c r="H313">
        <f>IFERROR(INDEX('1.산군_붙여넣기'!$A$1:$AZ$1001,ROW(),설정!$C$10)&amp;"","")</f>
        <v/>
      </c>
      <c r="I313">
        <f>IFERROR(INDEX('1.산군_붙여넣기'!$A$1:$AZ$1001,ROW(),설정!$C$11)&amp;"","")</f>
        <v/>
      </c>
      <c r="J313">
        <f>IFERROR(INDEX('1.산군_붙여넣기'!$A$1:$AZ$1001,ROW(),설정!$C$12)&amp;"","")</f>
        <v/>
      </c>
      <c r="K313">
        <f>IFERROR(INDEX('1.산군_붙여넣기'!$A$1:$AZ$1001,ROW(),설정!$C$13)&amp;"","")</f>
        <v/>
      </c>
      <c r="L313" s="6">
        <f>IF(X313="","",IF(AND(LEN(X313)=8,ISNUMBER(X313*1)),DATE(LEFT(X313,4),MID(X313,5,2),RIGHT(X313,2)),IFERROR(DATEVALUE(SUBSTITUTE(SUBSTITUTE(X313,".","-"),"/","-")),IFERROR(X313*1,""))))</f>
        <v/>
      </c>
      <c r="M313" s="6">
        <f>IF(Y313="","",IF(AND(LEN(Y313)=8,ISNUMBER(Y313*1)),DATE(LEFT(Y313,4),MID(Y313,5,2),RIGHT(Y313,2)),IFERROR(DATEVALUE(SUBSTITUTE(SUBSTITUTE(Y313,".","-"),"/","-")),IFERROR(Y313*1,""))))</f>
        <v/>
      </c>
      <c r="N313">
        <f>IFERROR(LEFT(B313,FIND(" ",B313)-1),B313)</f>
        <v/>
      </c>
      <c r="O313">
        <f>AND(B313&lt;&gt;"",B313&lt;&gt;설정!$B$4,C313&lt;&gt;설정!$B$5)</f>
        <v/>
      </c>
      <c r="P313">
        <f>IF(O313,B313&amp;"|"&amp;C313,"")</f>
        <v/>
      </c>
      <c r="Q313">
        <f>AND(O313,COUNTIF(P314:P$1002,P313)=0)</f>
        <v/>
      </c>
      <c r="R313">
        <f>OR(AND(설정!$A$28&lt;&gt;"",ISNUMBER(SEARCH(설정!$A$28,E313&amp;" "&amp;C313))),AND(설정!$A$29&lt;&gt;"",ISNUMBER(SEARCH(설정!$A$29,E313&amp;" "&amp;C313))),AND(설정!$A$30&lt;&gt;"",ISNUMBER(SEARCH(설정!$A$30,E313&amp;" "&amp;C313))),AND(설정!$A$31&lt;&gt;"",ISNUMBER(SEARCH(설정!$A$31,E313&amp;" "&amp;C313))),AND(설정!$A$32&lt;&gt;"",ISNUMBER(SEARCH(설정!$A$32,E313&amp;" "&amp;C313))),AND(설정!$A$33&lt;&gt;"",ISNUMBER(SEARCH(설정!$A$33,E313&amp;" "&amp;C313))),AND(설정!$A$34&lt;&gt;"",ISNUMBER(SEARCH(설정!$A$34,E313&amp;" "&amp;C313))),AND(설정!$A$35&lt;&gt;"",ISNUMBER(SEARCH(설정!$A$35,E313&amp;" "&amp;C313))),AND(설정!$A$36&lt;&gt;"",ISNUMBER(SEARCH(설정!$A$36,E313&amp;" "&amp;C313))),AND(설정!$A$37&lt;&gt;"",ISNUMBER(SEARCH(설정!$A$37,E313&amp;" "&amp;C313))))</f>
        <v/>
      </c>
      <c r="S313">
        <f>OR(D313="",D313&gt;=설정!$B$19)</f>
        <v/>
      </c>
      <c r="T313">
        <f>AND(Q313,R313,S313)</f>
        <v/>
      </c>
      <c r="U313">
        <f>IF(T313,IF(AND(설정!$A$41&lt;&gt;"",ISNUMBER(SEARCH(설정!$A$41,K313))),설정!$B$41,IF(AND(설정!$A$42&lt;&gt;"",ISNUMBER(SEARCH(설정!$A$42,K313))),설정!$B$42,IF(AND(설정!$A$43&lt;&gt;"",ISNUMBER(SEARCH(설정!$A$43,K313))),설정!$B$43,IF(AND(설정!$A$44&lt;&gt;"",ISNUMBER(SEARCH(설정!$A$44,K313))),설정!$B$44,IF(AND(설정!$A$45&lt;&gt;"",ISNUMBER(SEARCH(설정!$A$45,K313))),설정!$B$45,IF(AND(설정!$A$46&lt;&gt;"",ISNUMBER(SEARCH(설정!$A$46,K313))),설정!$B$46,IF(AND(설정!$A$47&lt;&gt;"",ISNUMBER(SEARCH(설정!$A$47,K313))),설정!$B$47,IF(AND(설정!$A$48&lt;&gt;"",ISNUMBER(SEARCH(설정!$A$48,K313))),설정!$B$48,IF(M313="","설계사","시공사"))))))))),"")</f>
        <v/>
      </c>
      <c r="V313">
        <f>SUBSTITUTE(SUBSTITUTE(SUBSTITUTE(SUBSTITUTE(G313,"(주)",""),"㈜",""),"주식회사","")," ","")</f>
        <v/>
      </c>
      <c r="W313">
        <f>IF(AND(T313,V313&lt;&gt;""),IF(COUNTIFS(V$2:V313,V313,T$2:T313,TRUE)=1,MAX(W$1:W312)+1,""),"")</f>
        <v/>
      </c>
      <c r="X313">
        <f>IFERROR(INDEX('1.산군_붙여넣기'!$A$1:$AZ$1001,ROW(),설정!$C$14)&amp;"","")</f>
        <v/>
      </c>
      <c r="Y313">
        <f>IFERROR(INDEX('1.산군_붙여넣기'!$A$1:$AZ$1001,ROW(),설정!$C$15)&amp;"","")</f>
        <v/>
      </c>
      <c r="Z313">
        <f>IF(T313,V313&amp;"|"&amp;U313,"")</f>
        <v/>
      </c>
    </row>
    <row r="314">
      <c r="A314">
        <f>ROW()</f>
        <v/>
      </c>
      <c r="B314">
        <f>IFERROR(INDEX('1.산군_붙여넣기'!$A$1:$AZ$1001,ROW(),설정!$C$4)&amp;"","")</f>
        <v/>
      </c>
      <c r="C314">
        <f>IFERROR(INDEX('1.산군_붙여넣기'!$A$1:$AZ$1001,ROW(),설정!$C$5)&amp;"","")</f>
        <v/>
      </c>
      <c r="D314" s="5">
        <f>IFERROR(VALUE(SUBSTITUTE(SUBSTITUTE(SUBSTITUTE(IFERROR(INDEX('1.산군_붙여넣기'!$A$1:$AZ$1001,ROW(),설정!$C$6)&amp;"",""),",",""),"㎡",""),"m2","")),"")</f>
        <v/>
      </c>
      <c r="E314">
        <f>IFERROR(INDEX('1.산군_붙여넣기'!$A$1:$AZ$1001,ROW(),설정!$C$7)&amp;"","")</f>
        <v/>
      </c>
      <c r="F314">
        <f>IFERROR(INDEX('1.산군_붙여넣기'!$A$1:$AZ$1001,ROW(),설정!$C$8)&amp;"","")</f>
        <v/>
      </c>
      <c r="G314">
        <f>IFERROR(INDEX('1.산군_붙여넣기'!$A$1:$AZ$1001,ROW(),설정!$C$9)&amp;"","")</f>
        <v/>
      </c>
      <c r="H314">
        <f>IFERROR(INDEX('1.산군_붙여넣기'!$A$1:$AZ$1001,ROW(),설정!$C$10)&amp;"","")</f>
        <v/>
      </c>
      <c r="I314">
        <f>IFERROR(INDEX('1.산군_붙여넣기'!$A$1:$AZ$1001,ROW(),설정!$C$11)&amp;"","")</f>
        <v/>
      </c>
      <c r="J314">
        <f>IFERROR(INDEX('1.산군_붙여넣기'!$A$1:$AZ$1001,ROW(),설정!$C$12)&amp;"","")</f>
        <v/>
      </c>
      <c r="K314">
        <f>IFERROR(INDEX('1.산군_붙여넣기'!$A$1:$AZ$1001,ROW(),설정!$C$13)&amp;"","")</f>
        <v/>
      </c>
      <c r="L314" s="6">
        <f>IF(X314="","",IF(AND(LEN(X314)=8,ISNUMBER(X314*1)),DATE(LEFT(X314,4),MID(X314,5,2),RIGHT(X314,2)),IFERROR(DATEVALUE(SUBSTITUTE(SUBSTITUTE(X314,".","-"),"/","-")),IFERROR(X314*1,""))))</f>
        <v/>
      </c>
      <c r="M314" s="6">
        <f>IF(Y314="","",IF(AND(LEN(Y314)=8,ISNUMBER(Y314*1)),DATE(LEFT(Y314,4),MID(Y314,5,2),RIGHT(Y314,2)),IFERROR(DATEVALUE(SUBSTITUTE(SUBSTITUTE(Y314,".","-"),"/","-")),IFERROR(Y314*1,""))))</f>
        <v/>
      </c>
      <c r="N314">
        <f>IFERROR(LEFT(B314,FIND(" ",B314)-1),B314)</f>
        <v/>
      </c>
      <c r="O314">
        <f>AND(B314&lt;&gt;"",B314&lt;&gt;설정!$B$4,C314&lt;&gt;설정!$B$5)</f>
        <v/>
      </c>
      <c r="P314">
        <f>IF(O314,B314&amp;"|"&amp;C314,"")</f>
        <v/>
      </c>
      <c r="Q314">
        <f>AND(O314,COUNTIF(P315:P$1002,P314)=0)</f>
        <v/>
      </c>
      <c r="R314">
        <f>OR(AND(설정!$A$28&lt;&gt;"",ISNUMBER(SEARCH(설정!$A$28,E314&amp;" "&amp;C314))),AND(설정!$A$29&lt;&gt;"",ISNUMBER(SEARCH(설정!$A$29,E314&amp;" "&amp;C314))),AND(설정!$A$30&lt;&gt;"",ISNUMBER(SEARCH(설정!$A$30,E314&amp;" "&amp;C314))),AND(설정!$A$31&lt;&gt;"",ISNUMBER(SEARCH(설정!$A$31,E314&amp;" "&amp;C314))),AND(설정!$A$32&lt;&gt;"",ISNUMBER(SEARCH(설정!$A$32,E314&amp;" "&amp;C314))),AND(설정!$A$33&lt;&gt;"",ISNUMBER(SEARCH(설정!$A$33,E314&amp;" "&amp;C314))),AND(설정!$A$34&lt;&gt;"",ISNUMBER(SEARCH(설정!$A$34,E314&amp;" "&amp;C314))),AND(설정!$A$35&lt;&gt;"",ISNUMBER(SEARCH(설정!$A$35,E314&amp;" "&amp;C314))),AND(설정!$A$36&lt;&gt;"",ISNUMBER(SEARCH(설정!$A$36,E314&amp;" "&amp;C314))),AND(설정!$A$37&lt;&gt;"",ISNUMBER(SEARCH(설정!$A$37,E314&amp;" "&amp;C314))))</f>
        <v/>
      </c>
      <c r="S314">
        <f>OR(D314="",D314&gt;=설정!$B$19)</f>
        <v/>
      </c>
      <c r="T314">
        <f>AND(Q314,R314,S314)</f>
        <v/>
      </c>
      <c r="U314">
        <f>IF(T314,IF(AND(설정!$A$41&lt;&gt;"",ISNUMBER(SEARCH(설정!$A$41,K314))),설정!$B$41,IF(AND(설정!$A$42&lt;&gt;"",ISNUMBER(SEARCH(설정!$A$42,K314))),설정!$B$42,IF(AND(설정!$A$43&lt;&gt;"",ISNUMBER(SEARCH(설정!$A$43,K314))),설정!$B$43,IF(AND(설정!$A$44&lt;&gt;"",ISNUMBER(SEARCH(설정!$A$44,K314))),설정!$B$44,IF(AND(설정!$A$45&lt;&gt;"",ISNUMBER(SEARCH(설정!$A$45,K314))),설정!$B$45,IF(AND(설정!$A$46&lt;&gt;"",ISNUMBER(SEARCH(설정!$A$46,K314))),설정!$B$46,IF(AND(설정!$A$47&lt;&gt;"",ISNUMBER(SEARCH(설정!$A$47,K314))),설정!$B$47,IF(AND(설정!$A$48&lt;&gt;"",ISNUMBER(SEARCH(설정!$A$48,K314))),설정!$B$48,IF(M314="","설계사","시공사"))))))))),"")</f>
        <v/>
      </c>
      <c r="V314">
        <f>SUBSTITUTE(SUBSTITUTE(SUBSTITUTE(SUBSTITUTE(G314,"(주)",""),"㈜",""),"주식회사","")," ","")</f>
        <v/>
      </c>
      <c r="W314">
        <f>IF(AND(T314,V314&lt;&gt;""),IF(COUNTIFS(V$2:V314,V314,T$2:T314,TRUE)=1,MAX(W$1:W313)+1,""),"")</f>
        <v/>
      </c>
      <c r="X314">
        <f>IFERROR(INDEX('1.산군_붙여넣기'!$A$1:$AZ$1001,ROW(),설정!$C$14)&amp;"","")</f>
        <v/>
      </c>
      <c r="Y314">
        <f>IFERROR(INDEX('1.산군_붙여넣기'!$A$1:$AZ$1001,ROW(),설정!$C$15)&amp;"","")</f>
        <v/>
      </c>
      <c r="Z314">
        <f>IF(T314,V314&amp;"|"&amp;U314,"")</f>
        <v/>
      </c>
    </row>
    <row r="315">
      <c r="A315">
        <f>ROW()</f>
        <v/>
      </c>
      <c r="B315">
        <f>IFERROR(INDEX('1.산군_붙여넣기'!$A$1:$AZ$1001,ROW(),설정!$C$4)&amp;"","")</f>
        <v/>
      </c>
      <c r="C315">
        <f>IFERROR(INDEX('1.산군_붙여넣기'!$A$1:$AZ$1001,ROW(),설정!$C$5)&amp;"","")</f>
        <v/>
      </c>
      <c r="D315" s="5">
        <f>IFERROR(VALUE(SUBSTITUTE(SUBSTITUTE(SUBSTITUTE(IFERROR(INDEX('1.산군_붙여넣기'!$A$1:$AZ$1001,ROW(),설정!$C$6)&amp;"",""),",",""),"㎡",""),"m2","")),"")</f>
        <v/>
      </c>
      <c r="E315">
        <f>IFERROR(INDEX('1.산군_붙여넣기'!$A$1:$AZ$1001,ROW(),설정!$C$7)&amp;"","")</f>
        <v/>
      </c>
      <c r="F315">
        <f>IFERROR(INDEX('1.산군_붙여넣기'!$A$1:$AZ$1001,ROW(),설정!$C$8)&amp;"","")</f>
        <v/>
      </c>
      <c r="G315">
        <f>IFERROR(INDEX('1.산군_붙여넣기'!$A$1:$AZ$1001,ROW(),설정!$C$9)&amp;"","")</f>
        <v/>
      </c>
      <c r="H315">
        <f>IFERROR(INDEX('1.산군_붙여넣기'!$A$1:$AZ$1001,ROW(),설정!$C$10)&amp;"","")</f>
        <v/>
      </c>
      <c r="I315">
        <f>IFERROR(INDEX('1.산군_붙여넣기'!$A$1:$AZ$1001,ROW(),설정!$C$11)&amp;"","")</f>
        <v/>
      </c>
      <c r="J315">
        <f>IFERROR(INDEX('1.산군_붙여넣기'!$A$1:$AZ$1001,ROW(),설정!$C$12)&amp;"","")</f>
        <v/>
      </c>
      <c r="K315">
        <f>IFERROR(INDEX('1.산군_붙여넣기'!$A$1:$AZ$1001,ROW(),설정!$C$13)&amp;"","")</f>
        <v/>
      </c>
      <c r="L315" s="6">
        <f>IF(X315="","",IF(AND(LEN(X315)=8,ISNUMBER(X315*1)),DATE(LEFT(X315,4),MID(X315,5,2),RIGHT(X315,2)),IFERROR(DATEVALUE(SUBSTITUTE(SUBSTITUTE(X315,".","-"),"/","-")),IFERROR(X315*1,""))))</f>
        <v/>
      </c>
      <c r="M315" s="6">
        <f>IF(Y315="","",IF(AND(LEN(Y315)=8,ISNUMBER(Y315*1)),DATE(LEFT(Y315,4),MID(Y315,5,2),RIGHT(Y315,2)),IFERROR(DATEVALUE(SUBSTITUTE(SUBSTITUTE(Y315,".","-"),"/","-")),IFERROR(Y315*1,""))))</f>
        <v/>
      </c>
      <c r="N315">
        <f>IFERROR(LEFT(B315,FIND(" ",B315)-1),B315)</f>
        <v/>
      </c>
      <c r="O315">
        <f>AND(B315&lt;&gt;"",B315&lt;&gt;설정!$B$4,C315&lt;&gt;설정!$B$5)</f>
        <v/>
      </c>
      <c r="P315">
        <f>IF(O315,B315&amp;"|"&amp;C315,"")</f>
        <v/>
      </c>
      <c r="Q315">
        <f>AND(O315,COUNTIF(P316:P$1002,P315)=0)</f>
        <v/>
      </c>
      <c r="R315">
        <f>OR(AND(설정!$A$28&lt;&gt;"",ISNUMBER(SEARCH(설정!$A$28,E315&amp;" "&amp;C315))),AND(설정!$A$29&lt;&gt;"",ISNUMBER(SEARCH(설정!$A$29,E315&amp;" "&amp;C315))),AND(설정!$A$30&lt;&gt;"",ISNUMBER(SEARCH(설정!$A$30,E315&amp;" "&amp;C315))),AND(설정!$A$31&lt;&gt;"",ISNUMBER(SEARCH(설정!$A$31,E315&amp;" "&amp;C315))),AND(설정!$A$32&lt;&gt;"",ISNUMBER(SEARCH(설정!$A$32,E315&amp;" "&amp;C315))),AND(설정!$A$33&lt;&gt;"",ISNUMBER(SEARCH(설정!$A$33,E315&amp;" "&amp;C315))),AND(설정!$A$34&lt;&gt;"",ISNUMBER(SEARCH(설정!$A$34,E315&amp;" "&amp;C315))),AND(설정!$A$35&lt;&gt;"",ISNUMBER(SEARCH(설정!$A$35,E315&amp;" "&amp;C315))),AND(설정!$A$36&lt;&gt;"",ISNUMBER(SEARCH(설정!$A$36,E315&amp;" "&amp;C315))),AND(설정!$A$37&lt;&gt;"",ISNUMBER(SEARCH(설정!$A$37,E315&amp;" "&amp;C315))))</f>
        <v/>
      </c>
      <c r="S315">
        <f>OR(D315="",D315&gt;=설정!$B$19)</f>
        <v/>
      </c>
      <c r="T315">
        <f>AND(Q315,R315,S315)</f>
        <v/>
      </c>
      <c r="U315">
        <f>IF(T315,IF(AND(설정!$A$41&lt;&gt;"",ISNUMBER(SEARCH(설정!$A$41,K315))),설정!$B$41,IF(AND(설정!$A$42&lt;&gt;"",ISNUMBER(SEARCH(설정!$A$42,K315))),설정!$B$42,IF(AND(설정!$A$43&lt;&gt;"",ISNUMBER(SEARCH(설정!$A$43,K315))),설정!$B$43,IF(AND(설정!$A$44&lt;&gt;"",ISNUMBER(SEARCH(설정!$A$44,K315))),설정!$B$44,IF(AND(설정!$A$45&lt;&gt;"",ISNUMBER(SEARCH(설정!$A$45,K315))),설정!$B$45,IF(AND(설정!$A$46&lt;&gt;"",ISNUMBER(SEARCH(설정!$A$46,K315))),설정!$B$46,IF(AND(설정!$A$47&lt;&gt;"",ISNUMBER(SEARCH(설정!$A$47,K315))),설정!$B$47,IF(AND(설정!$A$48&lt;&gt;"",ISNUMBER(SEARCH(설정!$A$48,K315))),설정!$B$48,IF(M315="","설계사","시공사"))))))))),"")</f>
        <v/>
      </c>
      <c r="V315">
        <f>SUBSTITUTE(SUBSTITUTE(SUBSTITUTE(SUBSTITUTE(G315,"(주)",""),"㈜",""),"주식회사","")," ","")</f>
        <v/>
      </c>
      <c r="W315">
        <f>IF(AND(T315,V315&lt;&gt;""),IF(COUNTIFS(V$2:V315,V315,T$2:T315,TRUE)=1,MAX(W$1:W314)+1,""),"")</f>
        <v/>
      </c>
      <c r="X315">
        <f>IFERROR(INDEX('1.산군_붙여넣기'!$A$1:$AZ$1001,ROW(),설정!$C$14)&amp;"","")</f>
        <v/>
      </c>
      <c r="Y315">
        <f>IFERROR(INDEX('1.산군_붙여넣기'!$A$1:$AZ$1001,ROW(),설정!$C$15)&amp;"","")</f>
        <v/>
      </c>
      <c r="Z315">
        <f>IF(T315,V315&amp;"|"&amp;U315,"")</f>
        <v/>
      </c>
    </row>
    <row r="316">
      <c r="A316">
        <f>ROW()</f>
        <v/>
      </c>
      <c r="B316">
        <f>IFERROR(INDEX('1.산군_붙여넣기'!$A$1:$AZ$1001,ROW(),설정!$C$4)&amp;"","")</f>
        <v/>
      </c>
      <c r="C316">
        <f>IFERROR(INDEX('1.산군_붙여넣기'!$A$1:$AZ$1001,ROW(),설정!$C$5)&amp;"","")</f>
        <v/>
      </c>
      <c r="D316" s="5">
        <f>IFERROR(VALUE(SUBSTITUTE(SUBSTITUTE(SUBSTITUTE(IFERROR(INDEX('1.산군_붙여넣기'!$A$1:$AZ$1001,ROW(),설정!$C$6)&amp;"",""),",",""),"㎡",""),"m2","")),"")</f>
        <v/>
      </c>
      <c r="E316">
        <f>IFERROR(INDEX('1.산군_붙여넣기'!$A$1:$AZ$1001,ROW(),설정!$C$7)&amp;"","")</f>
        <v/>
      </c>
      <c r="F316">
        <f>IFERROR(INDEX('1.산군_붙여넣기'!$A$1:$AZ$1001,ROW(),설정!$C$8)&amp;"","")</f>
        <v/>
      </c>
      <c r="G316">
        <f>IFERROR(INDEX('1.산군_붙여넣기'!$A$1:$AZ$1001,ROW(),설정!$C$9)&amp;"","")</f>
        <v/>
      </c>
      <c r="H316">
        <f>IFERROR(INDEX('1.산군_붙여넣기'!$A$1:$AZ$1001,ROW(),설정!$C$10)&amp;"","")</f>
        <v/>
      </c>
      <c r="I316">
        <f>IFERROR(INDEX('1.산군_붙여넣기'!$A$1:$AZ$1001,ROW(),설정!$C$11)&amp;"","")</f>
        <v/>
      </c>
      <c r="J316">
        <f>IFERROR(INDEX('1.산군_붙여넣기'!$A$1:$AZ$1001,ROW(),설정!$C$12)&amp;"","")</f>
        <v/>
      </c>
      <c r="K316">
        <f>IFERROR(INDEX('1.산군_붙여넣기'!$A$1:$AZ$1001,ROW(),설정!$C$13)&amp;"","")</f>
        <v/>
      </c>
      <c r="L316" s="6">
        <f>IF(X316="","",IF(AND(LEN(X316)=8,ISNUMBER(X316*1)),DATE(LEFT(X316,4),MID(X316,5,2),RIGHT(X316,2)),IFERROR(DATEVALUE(SUBSTITUTE(SUBSTITUTE(X316,".","-"),"/","-")),IFERROR(X316*1,""))))</f>
        <v/>
      </c>
      <c r="M316" s="6">
        <f>IF(Y316="","",IF(AND(LEN(Y316)=8,ISNUMBER(Y316*1)),DATE(LEFT(Y316,4),MID(Y316,5,2),RIGHT(Y316,2)),IFERROR(DATEVALUE(SUBSTITUTE(SUBSTITUTE(Y316,".","-"),"/","-")),IFERROR(Y316*1,""))))</f>
        <v/>
      </c>
      <c r="N316">
        <f>IFERROR(LEFT(B316,FIND(" ",B316)-1),B316)</f>
        <v/>
      </c>
      <c r="O316">
        <f>AND(B316&lt;&gt;"",B316&lt;&gt;설정!$B$4,C316&lt;&gt;설정!$B$5)</f>
        <v/>
      </c>
      <c r="P316">
        <f>IF(O316,B316&amp;"|"&amp;C316,"")</f>
        <v/>
      </c>
      <c r="Q316">
        <f>AND(O316,COUNTIF(P317:P$1002,P316)=0)</f>
        <v/>
      </c>
      <c r="R316">
        <f>OR(AND(설정!$A$28&lt;&gt;"",ISNUMBER(SEARCH(설정!$A$28,E316&amp;" "&amp;C316))),AND(설정!$A$29&lt;&gt;"",ISNUMBER(SEARCH(설정!$A$29,E316&amp;" "&amp;C316))),AND(설정!$A$30&lt;&gt;"",ISNUMBER(SEARCH(설정!$A$30,E316&amp;" "&amp;C316))),AND(설정!$A$31&lt;&gt;"",ISNUMBER(SEARCH(설정!$A$31,E316&amp;" "&amp;C316))),AND(설정!$A$32&lt;&gt;"",ISNUMBER(SEARCH(설정!$A$32,E316&amp;" "&amp;C316))),AND(설정!$A$33&lt;&gt;"",ISNUMBER(SEARCH(설정!$A$33,E316&amp;" "&amp;C316))),AND(설정!$A$34&lt;&gt;"",ISNUMBER(SEARCH(설정!$A$34,E316&amp;" "&amp;C316))),AND(설정!$A$35&lt;&gt;"",ISNUMBER(SEARCH(설정!$A$35,E316&amp;" "&amp;C316))),AND(설정!$A$36&lt;&gt;"",ISNUMBER(SEARCH(설정!$A$36,E316&amp;" "&amp;C316))),AND(설정!$A$37&lt;&gt;"",ISNUMBER(SEARCH(설정!$A$37,E316&amp;" "&amp;C316))))</f>
        <v/>
      </c>
      <c r="S316">
        <f>OR(D316="",D316&gt;=설정!$B$19)</f>
        <v/>
      </c>
      <c r="T316">
        <f>AND(Q316,R316,S316)</f>
        <v/>
      </c>
      <c r="U316">
        <f>IF(T316,IF(AND(설정!$A$41&lt;&gt;"",ISNUMBER(SEARCH(설정!$A$41,K316))),설정!$B$41,IF(AND(설정!$A$42&lt;&gt;"",ISNUMBER(SEARCH(설정!$A$42,K316))),설정!$B$42,IF(AND(설정!$A$43&lt;&gt;"",ISNUMBER(SEARCH(설정!$A$43,K316))),설정!$B$43,IF(AND(설정!$A$44&lt;&gt;"",ISNUMBER(SEARCH(설정!$A$44,K316))),설정!$B$44,IF(AND(설정!$A$45&lt;&gt;"",ISNUMBER(SEARCH(설정!$A$45,K316))),설정!$B$45,IF(AND(설정!$A$46&lt;&gt;"",ISNUMBER(SEARCH(설정!$A$46,K316))),설정!$B$46,IF(AND(설정!$A$47&lt;&gt;"",ISNUMBER(SEARCH(설정!$A$47,K316))),설정!$B$47,IF(AND(설정!$A$48&lt;&gt;"",ISNUMBER(SEARCH(설정!$A$48,K316))),설정!$B$48,IF(M316="","설계사","시공사"))))))))),"")</f>
        <v/>
      </c>
      <c r="V316">
        <f>SUBSTITUTE(SUBSTITUTE(SUBSTITUTE(SUBSTITUTE(G316,"(주)",""),"㈜",""),"주식회사","")," ","")</f>
        <v/>
      </c>
      <c r="W316">
        <f>IF(AND(T316,V316&lt;&gt;""),IF(COUNTIFS(V$2:V316,V316,T$2:T316,TRUE)=1,MAX(W$1:W315)+1,""),"")</f>
        <v/>
      </c>
      <c r="X316">
        <f>IFERROR(INDEX('1.산군_붙여넣기'!$A$1:$AZ$1001,ROW(),설정!$C$14)&amp;"","")</f>
        <v/>
      </c>
      <c r="Y316">
        <f>IFERROR(INDEX('1.산군_붙여넣기'!$A$1:$AZ$1001,ROW(),설정!$C$15)&amp;"","")</f>
        <v/>
      </c>
      <c r="Z316">
        <f>IF(T316,V316&amp;"|"&amp;U316,"")</f>
        <v/>
      </c>
    </row>
    <row r="317">
      <c r="A317">
        <f>ROW()</f>
        <v/>
      </c>
      <c r="B317">
        <f>IFERROR(INDEX('1.산군_붙여넣기'!$A$1:$AZ$1001,ROW(),설정!$C$4)&amp;"","")</f>
        <v/>
      </c>
      <c r="C317">
        <f>IFERROR(INDEX('1.산군_붙여넣기'!$A$1:$AZ$1001,ROW(),설정!$C$5)&amp;"","")</f>
        <v/>
      </c>
      <c r="D317" s="5">
        <f>IFERROR(VALUE(SUBSTITUTE(SUBSTITUTE(SUBSTITUTE(IFERROR(INDEX('1.산군_붙여넣기'!$A$1:$AZ$1001,ROW(),설정!$C$6)&amp;"",""),",",""),"㎡",""),"m2","")),"")</f>
        <v/>
      </c>
      <c r="E317">
        <f>IFERROR(INDEX('1.산군_붙여넣기'!$A$1:$AZ$1001,ROW(),설정!$C$7)&amp;"","")</f>
        <v/>
      </c>
      <c r="F317">
        <f>IFERROR(INDEX('1.산군_붙여넣기'!$A$1:$AZ$1001,ROW(),설정!$C$8)&amp;"","")</f>
        <v/>
      </c>
      <c r="G317">
        <f>IFERROR(INDEX('1.산군_붙여넣기'!$A$1:$AZ$1001,ROW(),설정!$C$9)&amp;"","")</f>
        <v/>
      </c>
      <c r="H317">
        <f>IFERROR(INDEX('1.산군_붙여넣기'!$A$1:$AZ$1001,ROW(),설정!$C$10)&amp;"","")</f>
        <v/>
      </c>
      <c r="I317">
        <f>IFERROR(INDEX('1.산군_붙여넣기'!$A$1:$AZ$1001,ROW(),설정!$C$11)&amp;"","")</f>
        <v/>
      </c>
      <c r="J317">
        <f>IFERROR(INDEX('1.산군_붙여넣기'!$A$1:$AZ$1001,ROW(),설정!$C$12)&amp;"","")</f>
        <v/>
      </c>
      <c r="K317">
        <f>IFERROR(INDEX('1.산군_붙여넣기'!$A$1:$AZ$1001,ROW(),설정!$C$13)&amp;"","")</f>
        <v/>
      </c>
      <c r="L317" s="6">
        <f>IF(X317="","",IF(AND(LEN(X317)=8,ISNUMBER(X317*1)),DATE(LEFT(X317,4),MID(X317,5,2),RIGHT(X317,2)),IFERROR(DATEVALUE(SUBSTITUTE(SUBSTITUTE(X317,".","-"),"/","-")),IFERROR(X317*1,""))))</f>
        <v/>
      </c>
      <c r="M317" s="6">
        <f>IF(Y317="","",IF(AND(LEN(Y317)=8,ISNUMBER(Y317*1)),DATE(LEFT(Y317,4),MID(Y317,5,2),RIGHT(Y317,2)),IFERROR(DATEVALUE(SUBSTITUTE(SUBSTITUTE(Y317,".","-"),"/","-")),IFERROR(Y317*1,""))))</f>
        <v/>
      </c>
      <c r="N317">
        <f>IFERROR(LEFT(B317,FIND(" ",B317)-1),B317)</f>
        <v/>
      </c>
      <c r="O317">
        <f>AND(B317&lt;&gt;"",B317&lt;&gt;설정!$B$4,C317&lt;&gt;설정!$B$5)</f>
        <v/>
      </c>
      <c r="P317">
        <f>IF(O317,B317&amp;"|"&amp;C317,"")</f>
        <v/>
      </c>
      <c r="Q317">
        <f>AND(O317,COUNTIF(P318:P$1002,P317)=0)</f>
        <v/>
      </c>
      <c r="R317">
        <f>OR(AND(설정!$A$28&lt;&gt;"",ISNUMBER(SEARCH(설정!$A$28,E317&amp;" "&amp;C317))),AND(설정!$A$29&lt;&gt;"",ISNUMBER(SEARCH(설정!$A$29,E317&amp;" "&amp;C317))),AND(설정!$A$30&lt;&gt;"",ISNUMBER(SEARCH(설정!$A$30,E317&amp;" "&amp;C317))),AND(설정!$A$31&lt;&gt;"",ISNUMBER(SEARCH(설정!$A$31,E317&amp;" "&amp;C317))),AND(설정!$A$32&lt;&gt;"",ISNUMBER(SEARCH(설정!$A$32,E317&amp;" "&amp;C317))),AND(설정!$A$33&lt;&gt;"",ISNUMBER(SEARCH(설정!$A$33,E317&amp;" "&amp;C317))),AND(설정!$A$34&lt;&gt;"",ISNUMBER(SEARCH(설정!$A$34,E317&amp;" "&amp;C317))),AND(설정!$A$35&lt;&gt;"",ISNUMBER(SEARCH(설정!$A$35,E317&amp;" "&amp;C317))),AND(설정!$A$36&lt;&gt;"",ISNUMBER(SEARCH(설정!$A$36,E317&amp;" "&amp;C317))),AND(설정!$A$37&lt;&gt;"",ISNUMBER(SEARCH(설정!$A$37,E317&amp;" "&amp;C317))))</f>
        <v/>
      </c>
      <c r="S317">
        <f>OR(D317="",D317&gt;=설정!$B$19)</f>
        <v/>
      </c>
      <c r="T317">
        <f>AND(Q317,R317,S317)</f>
        <v/>
      </c>
      <c r="U317">
        <f>IF(T317,IF(AND(설정!$A$41&lt;&gt;"",ISNUMBER(SEARCH(설정!$A$41,K317))),설정!$B$41,IF(AND(설정!$A$42&lt;&gt;"",ISNUMBER(SEARCH(설정!$A$42,K317))),설정!$B$42,IF(AND(설정!$A$43&lt;&gt;"",ISNUMBER(SEARCH(설정!$A$43,K317))),설정!$B$43,IF(AND(설정!$A$44&lt;&gt;"",ISNUMBER(SEARCH(설정!$A$44,K317))),설정!$B$44,IF(AND(설정!$A$45&lt;&gt;"",ISNUMBER(SEARCH(설정!$A$45,K317))),설정!$B$45,IF(AND(설정!$A$46&lt;&gt;"",ISNUMBER(SEARCH(설정!$A$46,K317))),설정!$B$46,IF(AND(설정!$A$47&lt;&gt;"",ISNUMBER(SEARCH(설정!$A$47,K317))),설정!$B$47,IF(AND(설정!$A$48&lt;&gt;"",ISNUMBER(SEARCH(설정!$A$48,K317))),설정!$B$48,IF(M317="","설계사","시공사"))))))))),"")</f>
        <v/>
      </c>
      <c r="V317">
        <f>SUBSTITUTE(SUBSTITUTE(SUBSTITUTE(SUBSTITUTE(G317,"(주)",""),"㈜",""),"주식회사","")," ","")</f>
        <v/>
      </c>
      <c r="W317">
        <f>IF(AND(T317,V317&lt;&gt;""),IF(COUNTIFS(V$2:V317,V317,T$2:T317,TRUE)=1,MAX(W$1:W316)+1,""),"")</f>
        <v/>
      </c>
      <c r="X317">
        <f>IFERROR(INDEX('1.산군_붙여넣기'!$A$1:$AZ$1001,ROW(),설정!$C$14)&amp;"","")</f>
        <v/>
      </c>
      <c r="Y317">
        <f>IFERROR(INDEX('1.산군_붙여넣기'!$A$1:$AZ$1001,ROW(),설정!$C$15)&amp;"","")</f>
        <v/>
      </c>
      <c r="Z317">
        <f>IF(T317,V317&amp;"|"&amp;U317,"")</f>
        <v/>
      </c>
    </row>
    <row r="318">
      <c r="A318">
        <f>ROW()</f>
        <v/>
      </c>
      <c r="B318">
        <f>IFERROR(INDEX('1.산군_붙여넣기'!$A$1:$AZ$1001,ROW(),설정!$C$4)&amp;"","")</f>
        <v/>
      </c>
      <c r="C318">
        <f>IFERROR(INDEX('1.산군_붙여넣기'!$A$1:$AZ$1001,ROW(),설정!$C$5)&amp;"","")</f>
        <v/>
      </c>
      <c r="D318" s="5">
        <f>IFERROR(VALUE(SUBSTITUTE(SUBSTITUTE(SUBSTITUTE(IFERROR(INDEX('1.산군_붙여넣기'!$A$1:$AZ$1001,ROW(),설정!$C$6)&amp;"",""),",",""),"㎡",""),"m2","")),"")</f>
        <v/>
      </c>
      <c r="E318">
        <f>IFERROR(INDEX('1.산군_붙여넣기'!$A$1:$AZ$1001,ROW(),설정!$C$7)&amp;"","")</f>
        <v/>
      </c>
      <c r="F318">
        <f>IFERROR(INDEX('1.산군_붙여넣기'!$A$1:$AZ$1001,ROW(),설정!$C$8)&amp;"","")</f>
        <v/>
      </c>
      <c r="G318">
        <f>IFERROR(INDEX('1.산군_붙여넣기'!$A$1:$AZ$1001,ROW(),설정!$C$9)&amp;"","")</f>
        <v/>
      </c>
      <c r="H318">
        <f>IFERROR(INDEX('1.산군_붙여넣기'!$A$1:$AZ$1001,ROW(),설정!$C$10)&amp;"","")</f>
        <v/>
      </c>
      <c r="I318">
        <f>IFERROR(INDEX('1.산군_붙여넣기'!$A$1:$AZ$1001,ROW(),설정!$C$11)&amp;"","")</f>
        <v/>
      </c>
      <c r="J318">
        <f>IFERROR(INDEX('1.산군_붙여넣기'!$A$1:$AZ$1001,ROW(),설정!$C$12)&amp;"","")</f>
        <v/>
      </c>
      <c r="K318">
        <f>IFERROR(INDEX('1.산군_붙여넣기'!$A$1:$AZ$1001,ROW(),설정!$C$13)&amp;"","")</f>
        <v/>
      </c>
      <c r="L318" s="6">
        <f>IF(X318="","",IF(AND(LEN(X318)=8,ISNUMBER(X318*1)),DATE(LEFT(X318,4),MID(X318,5,2),RIGHT(X318,2)),IFERROR(DATEVALUE(SUBSTITUTE(SUBSTITUTE(X318,".","-"),"/","-")),IFERROR(X318*1,""))))</f>
        <v/>
      </c>
      <c r="M318" s="6">
        <f>IF(Y318="","",IF(AND(LEN(Y318)=8,ISNUMBER(Y318*1)),DATE(LEFT(Y318,4),MID(Y318,5,2),RIGHT(Y318,2)),IFERROR(DATEVALUE(SUBSTITUTE(SUBSTITUTE(Y318,".","-"),"/","-")),IFERROR(Y318*1,""))))</f>
        <v/>
      </c>
      <c r="N318">
        <f>IFERROR(LEFT(B318,FIND(" ",B318)-1),B318)</f>
        <v/>
      </c>
      <c r="O318">
        <f>AND(B318&lt;&gt;"",B318&lt;&gt;설정!$B$4,C318&lt;&gt;설정!$B$5)</f>
        <v/>
      </c>
      <c r="P318">
        <f>IF(O318,B318&amp;"|"&amp;C318,"")</f>
        <v/>
      </c>
      <c r="Q318">
        <f>AND(O318,COUNTIF(P319:P$1002,P318)=0)</f>
        <v/>
      </c>
      <c r="R318">
        <f>OR(AND(설정!$A$28&lt;&gt;"",ISNUMBER(SEARCH(설정!$A$28,E318&amp;" "&amp;C318))),AND(설정!$A$29&lt;&gt;"",ISNUMBER(SEARCH(설정!$A$29,E318&amp;" "&amp;C318))),AND(설정!$A$30&lt;&gt;"",ISNUMBER(SEARCH(설정!$A$30,E318&amp;" "&amp;C318))),AND(설정!$A$31&lt;&gt;"",ISNUMBER(SEARCH(설정!$A$31,E318&amp;" "&amp;C318))),AND(설정!$A$32&lt;&gt;"",ISNUMBER(SEARCH(설정!$A$32,E318&amp;" "&amp;C318))),AND(설정!$A$33&lt;&gt;"",ISNUMBER(SEARCH(설정!$A$33,E318&amp;" "&amp;C318))),AND(설정!$A$34&lt;&gt;"",ISNUMBER(SEARCH(설정!$A$34,E318&amp;" "&amp;C318))),AND(설정!$A$35&lt;&gt;"",ISNUMBER(SEARCH(설정!$A$35,E318&amp;" "&amp;C318))),AND(설정!$A$36&lt;&gt;"",ISNUMBER(SEARCH(설정!$A$36,E318&amp;" "&amp;C318))),AND(설정!$A$37&lt;&gt;"",ISNUMBER(SEARCH(설정!$A$37,E318&amp;" "&amp;C318))))</f>
        <v/>
      </c>
      <c r="S318">
        <f>OR(D318="",D318&gt;=설정!$B$19)</f>
        <v/>
      </c>
      <c r="T318">
        <f>AND(Q318,R318,S318)</f>
        <v/>
      </c>
      <c r="U318">
        <f>IF(T318,IF(AND(설정!$A$41&lt;&gt;"",ISNUMBER(SEARCH(설정!$A$41,K318))),설정!$B$41,IF(AND(설정!$A$42&lt;&gt;"",ISNUMBER(SEARCH(설정!$A$42,K318))),설정!$B$42,IF(AND(설정!$A$43&lt;&gt;"",ISNUMBER(SEARCH(설정!$A$43,K318))),설정!$B$43,IF(AND(설정!$A$44&lt;&gt;"",ISNUMBER(SEARCH(설정!$A$44,K318))),설정!$B$44,IF(AND(설정!$A$45&lt;&gt;"",ISNUMBER(SEARCH(설정!$A$45,K318))),설정!$B$45,IF(AND(설정!$A$46&lt;&gt;"",ISNUMBER(SEARCH(설정!$A$46,K318))),설정!$B$46,IF(AND(설정!$A$47&lt;&gt;"",ISNUMBER(SEARCH(설정!$A$47,K318))),설정!$B$47,IF(AND(설정!$A$48&lt;&gt;"",ISNUMBER(SEARCH(설정!$A$48,K318))),설정!$B$48,IF(M318="","설계사","시공사"))))))))),"")</f>
        <v/>
      </c>
      <c r="V318">
        <f>SUBSTITUTE(SUBSTITUTE(SUBSTITUTE(SUBSTITUTE(G318,"(주)",""),"㈜",""),"주식회사","")," ","")</f>
        <v/>
      </c>
      <c r="W318">
        <f>IF(AND(T318,V318&lt;&gt;""),IF(COUNTIFS(V$2:V318,V318,T$2:T318,TRUE)=1,MAX(W$1:W317)+1,""),"")</f>
        <v/>
      </c>
      <c r="X318">
        <f>IFERROR(INDEX('1.산군_붙여넣기'!$A$1:$AZ$1001,ROW(),설정!$C$14)&amp;"","")</f>
        <v/>
      </c>
      <c r="Y318">
        <f>IFERROR(INDEX('1.산군_붙여넣기'!$A$1:$AZ$1001,ROW(),설정!$C$15)&amp;"","")</f>
        <v/>
      </c>
      <c r="Z318">
        <f>IF(T318,V318&amp;"|"&amp;U318,"")</f>
        <v/>
      </c>
    </row>
    <row r="319">
      <c r="A319">
        <f>ROW()</f>
        <v/>
      </c>
      <c r="B319">
        <f>IFERROR(INDEX('1.산군_붙여넣기'!$A$1:$AZ$1001,ROW(),설정!$C$4)&amp;"","")</f>
        <v/>
      </c>
      <c r="C319">
        <f>IFERROR(INDEX('1.산군_붙여넣기'!$A$1:$AZ$1001,ROW(),설정!$C$5)&amp;"","")</f>
        <v/>
      </c>
      <c r="D319" s="5">
        <f>IFERROR(VALUE(SUBSTITUTE(SUBSTITUTE(SUBSTITUTE(IFERROR(INDEX('1.산군_붙여넣기'!$A$1:$AZ$1001,ROW(),설정!$C$6)&amp;"",""),",",""),"㎡",""),"m2","")),"")</f>
        <v/>
      </c>
      <c r="E319">
        <f>IFERROR(INDEX('1.산군_붙여넣기'!$A$1:$AZ$1001,ROW(),설정!$C$7)&amp;"","")</f>
        <v/>
      </c>
      <c r="F319">
        <f>IFERROR(INDEX('1.산군_붙여넣기'!$A$1:$AZ$1001,ROW(),설정!$C$8)&amp;"","")</f>
        <v/>
      </c>
      <c r="G319">
        <f>IFERROR(INDEX('1.산군_붙여넣기'!$A$1:$AZ$1001,ROW(),설정!$C$9)&amp;"","")</f>
        <v/>
      </c>
      <c r="H319">
        <f>IFERROR(INDEX('1.산군_붙여넣기'!$A$1:$AZ$1001,ROW(),설정!$C$10)&amp;"","")</f>
        <v/>
      </c>
      <c r="I319">
        <f>IFERROR(INDEX('1.산군_붙여넣기'!$A$1:$AZ$1001,ROW(),설정!$C$11)&amp;"","")</f>
        <v/>
      </c>
      <c r="J319">
        <f>IFERROR(INDEX('1.산군_붙여넣기'!$A$1:$AZ$1001,ROW(),설정!$C$12)&amp;"","")</f>
        <v/>
      </c>
      <c r="K319">
        <f>IFERROR(INDEX('1.산군_붙여넣기'!$A$1:$AZ$1001,ROW(),설정!$C$13)&amp;"","")</f>
        <v/>
      </c>
      <c r="L319" s="6">
        <f>IF(X319="","",IF(AND(LEN(X319)=8,ISNUMBER(X319*1)),DATE(LEFT(X319,4),MID(X319,5,2),RIGHT(X319,2)),IFERROR(DATEVALUE(SUBSTITUTE(SUBSTITUTE(X319,".","-"),"/","-")),IFERROR(X319*1,""))))</f>
        <v/>
      </c>
      <c r="M319" s="6">
        <f>IF(Y319="","",IF(AND(LEN(Y319)=8,ISNUMBER(Y319*1)),DATE(LEFT(Y319,4),MID(Y319,5,2),RIGHT(Y319,2)),IFERROR(DATEVALUE(SUBSTITUTE(SUBSTITUTE(Y319,".","-"),"/","-")),IFERROR(Y319*1,""))))</f>
        <v/>
      </c>
      <c r="N319">
        <f>IFERROR(LEFT(B319,FIND(" ",B319)-1),B319)</f>
        <v/>
      </c>
      <c r="O319">
        <f>AND(B319&lt;&gt;"",B319&lt;&gt;설정!$B$4,C319&lt;&gt;설정!$B$5)</f>
        <v/>
      </c>
      <c r="P319">
        <f>IF(O319,B319&amp;"|"&amp;C319,"")</f>
        <v/>
      </c>
      <c r="Q319">
        <f>AND(O319,COUNTIF(P320:P$1002,P319)=0)</f>
        <v/>
      </c>
      <c r="R319">
        <f>OR(AND(설정!$A$28&lt;&gt;"",ISNUMBER(SEARCH(설정!$A$28,E319&amp;" "&amp;C319))),AND(설정!$A$29&lt;&gt;"",ISNUMBER(SEARCH(설정!$A$29,E319&amp;" "&amp;C319))),AND(설정!$A$30&lt;&gt;"",ISNUMBER(SEARCH(설정!$A$30,E319&amp;" "&amp;C319))),AND(설정!$A$31&lt;&gt;"",ISNUMBER(SEARCH(설정!$A$31,E319&amp;" "&amp;C319))),AND(설정!$A$32&lt;&gt;"",ISNUMBER(SEARCH(설정!$A$32,E319&amp;" "&amp;C319))),AND(설정!$A$33&lt;&gt;"",ISNUMBER(SEARCH(설정!$A$33,E319&amp;" "&amp;C319))),AND(설정!$A$34&lt;&gt;"",ISNUMBER(SEARCH(설정!$A$34,E319&amp;" "&amp;C319))),AND(설정!$A$35&lt;&gt;"",ISNUMBER(SEARCH(설정!$A$35,E319&amp;" "&amp;C319))),AND(설정!$A$36&lt;&gt;"",ISNUMBER(SEARCH(설정!$A$36,E319&amp;" "&amp;C319))),AND(설정!$A$37&lt;&gt;"",ISNUMBER(SEARCH(설정!$A$37,E319&amp;" "&amp;C319))))</f>
        <v/>
      </c>
      <c r="S319">
        <f>OR(D319="",D319&gt;=설정!$B$19)</f>
        <v/>
      </c>
      <c r="T319">
        <f>AND(Q319,R319,S319)</f>
        <v/>
      </c>
      <c r="U319">
        <f>IF(T319,IF(AND(설정!$A$41&lt;&gt;"",ISNUMBER(SEARCH(설정!$A$41,K319))),설정!$B$41,IF(AND(설정!$A$42&lt;&gt;"",ISNUMBER(SEARCH(설정!$A$42,K319))),설정!$B$42,IF(AND(설정!$A$43&lt;&gt;"",ISNUMBER(SEARCH(설정!$A$43,K319))),설정!$B$43,IF(AND(설정!$A$44&lt;&gt;"",ISNUMBER(SEARCH(설정!$A$44,K319))),설정!$B$44,IF(AND(설정!$A$45&lt;&gt;"",ISNUMBER(SEARCH(설정!$A$45,K319))),설정!$B$45,IF(AND(설정!$A$46&lt;&gt;"",ISNUMBER(SEARCH(설정!$A$46,K319))),설정!$B$46,IF(AND(설정!$A$47&lt;&gt;"",ISNUMBER(SEARCH(설정!$A$47,K319))),설정!$B$47,IF(AND(설정!$A$48&lt;&gt;"",ISNUMBER(SEARCH(설정!$A$48,K319))),설정!$B$48,IF(M319="","설계사","시공사"))))))))),"")</f>
        <v/>
      </c>
      <c r="V319">
        <f>SUBSTITUTE(SUBSTITUTE(SUBSTITUTE(SUBSTITUTE(G319,"(주)",""),"㈜",""),"주식회사","")," ","")</f>
        <v/>
      </c>
      <c r="W319">
        <f>IF(AND(T319,V319&lt;&gt;""),IF(COUNTIFS(V$2:V319,V319,T$2:T319,TRUE)=1,MAX(W$1:W318)+1,""),"")</f>
        <v/>
      </c>
      <c r="X319">
        <f>IFERROR(INDEX('1.산군_붙여넣기'!$A$1:$AZ$1001,ROW(),설정!$C$14)&amp;"","")</f>
        <v/>
      </c>
      <c r="Y319">
        <f>IFERROR(INDEX('1.산군_붙여넣기'!$A$1:$AZ$1001,ROW(),설정!$C$15)&amp;"","")</f>
        <v/>
      </c>
      <c r="Z319">
        <f>IF(T319,V319&amp;"|"&amp;U319,"")</f>
        <v/>
      </c>
    </row>
    <row r="320">
      <c r="A320">
        <f>ROW()</f>
        <v/>
      </c>
      <c r="B320">
        <f>IFERROR(INDEX('1.산군_붙여넣기'!$A$1:$AZ$1001,ROW(),설정!$C$4)&amp;"","")</f>
        <v/>
      </c>
      <c r="C320">
        <f>IFERROR(INDEX('1.산군_붙여넣기'!$A$1:$AZ$1001,ROW(),설정!$C$5)&amp;"","")</f>
        <v/>
      </c>
      <c r="D320" s="5">
        <f>IFERROR(VALUE(SUBSTITUTE(SUBSTITUTE(SUBSTITUTE(IFERROR(INDEX('1.산군_붙여넣기'!$A$1:$AZ$1001,ROW(),설정!$C$6)&amp;"",""),",",""),"㎡",""),"m2","")),"")</f>
        <v/>
      </c>
      <c r="E320">
        <f>IFERROR(INDEX('1.산군_붙여넣기'!$A$1:$AZ$1001,ROW(),설정!$C$7)&amp;"","")</f>
        <v/>
      </c>
      <c r="F320">
        <f>IFERROR(INDEX('1.산군_붙여넣기'!$A$1:$AZ$1001,ROW(),설정!$C$8)&amp;"","")</f>
        <v/>
      </c>
      <c r="G320">
        <f>IFERROR(INDEX('1.산군_붙여넣기'!$A$1:$AZ$1001,ROW(),설정!$C$9)&amp;"","")</f>
        <v/>
      </c>
      <c r="H320">
        <f>IFERROR(INDEX('1.산군_붙여넣기'!$A$1:$AZ$1001,ROW(),설정!$C$10)&amp;"","")</f>
        <v/>
      </c>
      <c r="I320">
        <f>IFERROR(INDEX('1.산군_붙여넣기'!$A$1:$AZ$1001,ROW(),설정!$C$11)&amp;"","")</f>
        <v/>
      </c>
      <c r="J320">
        <f>IFERROR(INDEX('1.산군_붙여넣기'!$A$1:$AZ$1001,ROW(),설정!$C$12)&amp;"","")</f>
        <v/>
      </c>
      <c r="K320">
        <f>IFERROR(INDEX('1.산군_붙여넣기'!$A$1:$AZ$1001,ROW(),설정!$C$13)&amp;"","")</f>
        <v/>
      </c>
      <c r="L320" s="6">
        <f>IF(X320="","",IF(AND(LEN(X320)=8,ISNUMBER(X320*1)),DATE(LEFT(X320,4),MID(X320,5,2),RIGHT(X320,2)),IFERROR(DATEVALUE(SUBSTITUTE(SUBSTITUTE(X320,".","-"),"/","-")),IFERROR(X320*1,""))))</f>
        <v/>
      </c>
      <c r="M320" s="6">
        <f>IF(Y320="","",IF(AND(LEN(Y320)=8,ISNUMBER(Y320*1)),DATE(LEFT(Y320,4),MID(Y320,5,2),RIGHT(Y320,2)),IFERROR(DATEVALUE(SUBSTITUTE(SUBSTITUTE(Y320,".","-"),"/","-")),IFERROR(Y320*1,""))))</f>
        <v/>
      </c>
      <c r="N320">
        <f>IFERROR(LEFT(B320,FIND(" ",B320)-1),B320)</f>
        <v/>
      </c>
      <c r="O320">
        <f>AND(B320&lt;&gt;"",B320&lt;&gt;설정!$B$4,C320&lt;&gt;설정!$B$5)</f>
        <v/>
      </c>
      <c r="P320">
        <f>IF(O320,B320&amp;"|"&amp;C320,"")</f>
        <v/>
      </c>
      <c r="Q320">
        <f>AND(O320,COUNTIF(P321:P$1002,P320)=0)</f>
        <v/>
      </c>
      <c r="R320">
        <f>OR(AND(설정!$A$28&lt;&gt;"",ISNUMBER(SEARCH(설정!$A$28,E320&amp;" "&amp;C320))),AND(설정!$A$29&lt;&gt;"",ISNUMBER(SEARCH(설정!$A$29,E320&amp;" "&amp;C320))),AND(설정!$A$30&lt;&gt;"",ISNUMBER(SEARCH(설정!$A$30,E320&amp;" "&amp;C320))),AND(설정!$A$31&lt;&gt;"",ISNUMBER(SEARCH(설정!$A$31,E320&amp;" "&amp;C320))),AND(설정!$A$32&lt;&gt;"",ISNUMBER(SEARCH(설정!$A$32,E320&amp;" "&amp;C320))),AND(설정!$A$33&lt;&gt;"",ISNUMBER(SEARCH(설정!$A$33,E320&amp;" "&amp;C320))),AND(설정!$A$34&lt;&gt;"",ISNUMBER(SEARCH(설정!$A$34,E320&amp;" "&amp;C320))),AND(설정!$A$35&lt;&gt;"",ISNUMBER(SEARCH(설정!$A$35,E320&amp;" "&amp;C320))),AND(설정!$A$36&lt;&gt;"",ISNUMBER(SEARCH(설정!$A$36,E320&amp;" "&amp;C320))),AND(설정!$A$37&lt;&gt;"",ISNUMBER(SEARCH(설정!$A$37,E320&amp;" "&amp;C320))))</f>
        <v/>
      </c>
      <c r="S320">
        <f>OR(D320="",D320&gt;=설정!$B$19)</f>
        <v/>
      </c>
      <c r="T320">
        <f>AND(Q320,R320,S320)</f>
        <v/>
      </c>
      <c r="U320">
        <f>IF(T320,IF(AND(설정!$A$41&lt;&gt;"",ISNUMBER(SEARCH(설정!$A$41,K320))),설정!$B$41,IF(AND(설정!$A$42&lt;&gt;"",ISNUMBER(SEARCH(설정!$A$42,K320))),설정!$B$42,IF(AND(설정!$A$43&lt;&gt;"",ISNUMBER(SEARCH(설정!$A$43,K320))),설정!$B$43,IF(AND(설정!$A$44&lt;&gt;"",ISNUMBER(SEARCH(설정!$A$44,K320))),설정!$B$44,IF(AND(설정!$A$45&lt;&gt;"",ISNUMBER(SEARCH(설정!$A$45,K320))),설정!$B$45,IF(AND(설정!$A$46&lt;&gt;"",ISNUMBER(SEARCH(설정!$A$46,K320))),설정!$B$46,IF(AND(설정!$A$47&lt;&gt;"",ISNUMBER(SEARCH(설정!$A$47,K320))),설정!$B$47,IF(AND(설정!$A$48&lt;&gt;"",ISNUMBER(SEARCH(설정!$A$48,K320))),설정!$B$48,IF(M320="","설계사","시공사"))))))))),"")</f>
        <v/>
      </c>
      <c r="V320">
        <f>SUBSTITUTE(SUBSTITUTE(SUBSTITUTE(SUBSTITUTE(G320,"(주)",""),"㈜",""),"주식회사","")," ","")</f>
        <v/>
      </c>
      <c r="W320">
        <f>IF(AND(T320,V320&lt;&gt;""),IF(COUNTIFS(V$2:V320,V320,T$2:T320,TRUE)=1,MAX(W$1:W319)+1,""),"")</f>
        <v/>
      </c>
      <c r="X320">
        <f>IFERROR(INDEX('1.산군_붙여넣기'!$A$1:$AZ$1001,ROW(),설정!$C$14)&amp;"","")</f>
        <v/>
      </c>
      <c r="Y320">
        <f>IFERROR(INDEX('1.산군_붙여넣기'!$A$1:$AZ$1001,ROW(),설정!$C$15)&amp;"","")</f>
        <v/>
      </c>
      <c r="Z320">
        <f>IF(T320,V320&amp;"|"&amp;U320,"")</f>
        <v/>
      </c>
    </row>
    <row r="321">
      <c r="A321">
        <f>ROW()</f>
        <v/>
      </c>
      <c r="B321">
        <f>IFERROR(INDEX('1.산군_붙여넣기'!$A$1:$AZ$1001,ROW(),설정!$C$4)&amp;"","")</f>
        <v/>
      </c>
      <c r="C321">
        <f>IFERROR(INDEX('1.산군_붙여넣기'!$A$1:$AZ$1001,ROW(),설정!$C$5)&amp;"","")</f>
        <v/>
      </c>
      <c r="D321" s="5">
        <f>IFERROR(VALUE(SUBSTITUTE(SUBSTITUTE(SUBSTITUTE(IFERROR(INDEX('1.산군_붙여넣기'!$A$1:$AZ$1001,ROW(),설정!$C$6)&amp;"",""),",",""),"㎡",""),"m2","")),"")</f>
        <v/>
      </c>
      <c r="E321">
        <f>IFERROR(INDEX('1.산군_붙여넣기'!$A$1:$AZ$1001,ROW(),설정!$C$7)&amp;"","")</f>
        <v/>
      </c>
      <c r="F321">
        <f>IFERROR(INDEX('1.산군_붙여넣기'!$A$1:$AZ$1001,ROW(),설정!$C$8)&amp;"","")</f>
        <v/>
      </c>
      <c r="G321">
        <f>IFERROR(INDEX('1.산군_붙여넣기'!$A$1:$AZ$1001,ROW(),설정!$C$9)&amp;"","")</f>
        <v/>
      </c>
      <c r="H321">
        <f>IFERROR(INDEX('1.산군_붙여넣기'!$A$1:$AZ$1001,ROW(),설정!$C$10)&amp;"","")</f>
        <v/>
      </c>
      <c r="I321">
        <f>IFERROR(INDEX('1.산군_붙여넣기'!$A$1:$AZ$1001,ROW(),설정!$C$11)&amp;"","")</f>
        <v/>
      </c>
      <c r="J321">
        <f>IFERROR(INDEX('1.산군_붙여넣기'!$A$1:$AZ$1001,ROW(),설정!$C$12)&amp;"","")</f>
        <v/>
      </c>
      <c r="K321">
        <f>IFERROR(INDEX('1.산군_붙여넣기'!$A$1:$AZ$1001,ROW(),설정!$C$13)&amp;"","")</f>
        <v/>
      </c>
      <c r="L321" s="6">
        <f>IF(X321="","",IF(AND(LEN(X321)=8,ISNUMBER(X321*1)),DATE(LEFT(X321,4),MID(X321,5,2),RIGHT(X321,2)),IFERROR(DATEVALUE(SUBSTITUTE(SUBSTITUTE(X321,".","-"),"/","-")),IFERROR(X321*1,""))))</f>
        <v/>
      </c>
      <c r="M321" s="6">
        <f>IF(Y321="","",IF(AND(LEN(Y321)=8,ISNUMBER(Y321*1)),DATE(LEFT(Y321,4),MID(Y321,5,2),RIGHT(Y321,2)),IFERROR(DATEVALUE(SUBSTITUTE(SUBSTITUTE(Y321,".","-"),"/","-")),IFERROR(Y321*1,""))))</f>
        <v/>
      </c>
      <c r="N321">
        <f>IFERROR(LEFT(B321,FIND(" ",B321)-1),B321)</f>
        <v/>
      </c>
      <c r="O321">
        <f>AND(B321&lt;&gt;"",B321&lt;&gt;설정!$B$4,C321&lt;&gt;설정!$B$5)</f>
        <v/>
      </c>
      <c r="P321">
        <f>IF(O321,B321&amp;"|"&amp;C321,"")</f>
        <v/>
      </c>
      <c r="Q321">
        <f>AND(O321,COUNTIF(P322:P$1002,P321)=0)</f>
        <v/>
      </c>
      <c r="R321">
        <f>OR(AND(설정!$A$28&lt;&gt;"",ISNUMBER(SEARCH(설정!$A$28,E321&amp;" "&amp;C321))),AND(설정!$A$29&lt;&gt;"",ISNUMBER(SEARCH(설정!$A$29,E321&amp;" "&amp;C321))),AND(설정!$A$30&lt;&gt;"",ISNUMBER(SEARCH(설정!$A$30,E321&amp;" "&amp;C321))),AND(설정!$A$31&lt;&gt;"",ISNUMBER(SEARCH(설정!$A$31,E321&amp;" "&amp;C321))),AND(설정!$A$32&lt;&gt;"",ISNUMBER(SEARCH(설정!$A$32,E321&amp;" "&amp;C321))),AND(설정!$A$33&lt;&gt;"",ISNUMBER(SEARCH(설정!$A$33,E321&amp;" "&amp;C321))),AND(설정!$A$34&lt;&gt;"",ISNUMBER(SEARCH(설정!$A$34,E321&amp;" "&amp;C321))),AND(설정!$A$35&lt;&gt;"",ISNUMBER(SEARCH(설정!$A$35,E321&amp;" "&amp;C321))),AND(설정!$A$36&lt;&gt;"",ISNUMBER(SEARCH(설정!$A$36,E321&amp;" "&amp;C321))),AND(설정!$A$37&lt;&gt;"",ISNUMBER(SEARCH(설정!$A$37,E321&amp;" "&amp;C321))))</f>
        <v/>
      </c>
      <c r="S321">
        <f>OR(D321="",D321&gt;=설정!$B$19)</f>
        <v/>
      </c>
      <c r="T321">
        <f>AND(Q321,R321,S321)</f>
        <v/>
      </c>
      <c r="U321">
        <f>IF(T321,IF(AND(설정!$A$41&lt;&gt;"",ISNUMBER(SEARCH(설정!$A$41,K321))),설정!$B$41,IF(AND(설정!$A$42&lt;&gt;"",ISNUMBER(SEARCH(설정!$A$42,K321))),설정!$B$42,IF(AND(설정!$A$43&lt;&gt;"",ISNUMBER(SEARCH(설정!$A$43,K321))),설정!$B$43,IF(AND(설정!$A$44&lt;&gt;"",ISNUMBER(SEARCH(설정!$A$44,K321))),설정!$B$44,IF(AND(설정!$A$45&lt;&gt;"",ISNUMBER(SEARCH(설정!$A$45,K321))),설정!$B$45,IF(AND(설정!$A$46&lt;&gt;"",ISNUMBER(SEARCH(설정!$A$46,K321))),설정!$B$46,IF(AND(설정!$A$47&lt;&gt;"",ISNUMBER(SEARCH(설정!$A$47,K321))),설정!$B$47,IF(AND(설정!$A$48&lt;&gt;"",ISNUMBER(SEARCH(설정!$A$48,K321))),설정!$B$48,IF(M321="","설계사","시공사"))))))))),"")</f>
        <v/>
      </c>
      <c r="V321">
        <f>SUBSTITUTE(SUBSTITUTE(SUBSTITUTE(SUBSTITUTE(G321,"(주)",""),"㈜",""),"주식회사","")," ","")</f>
        <v/>
      </c>
      <c r="W321">
        <f>IF(AND(T321,V321&lt;&gt;""),IF(COUNTIFS(V$2:V321,V321,T$2:T321,TRUE)=1,MAX(W$1:W320)+1,""),"")</f>
        <v/>
      </c>
      <c r="X321">
        <f>IFERROR(INDEX('1.산군_붙여넣기'!$A$1:$AZ$1001,ROW(),설정!$C$14)&amp;"","")</f>
        <v/>
      </c>
      <c r="Y321">
        <f>IFERROR(INDEX('1.산군_붙여넣기'!$A$1:$AZ$1001,ROW(),설정!$C$15)&amp;"","")</f>
        <v/>
      </c>
      <c r="Z321">
        <f>IF(T321,V321&amp;"|"&amp;U321,"")</f>
        <v/>
      </c>
    </row>
    <row r="322">
      <c r="A322">
        <f>ROW()</f>
        <v/>
      </c>
      <c r="B322">
        <f>IFERROR(INDEX('1.산군_붙여넣기'!$A$1:$AZ$1001,ROW(),설정!$C$4)&amp;"","")</f>
        <v/>
      </c>
      <c r="C322">
        <f>IFERROR(INDEX('1.산군_붙여넣기'!$A$1:$AZ$1001,ROW(),설정!$C$5)&amp;"","")</f>
        <v/>
      </c>
      <c r="D322" s="5">
        <f>IFERROR(VALUE(SUBSTITUTE(SUBSTITUTE(SUBSTITUTE(IFERROR(INDEX('1.산군_붙여넣기'!$A$1:$AZ$1001,ROW(),설정!$C$6)&amp;"",""),",",""),"㎡",""),"m2","")),"")</f>
        <v/>
      </c>
      <c r="E322">
        <f>IFERROR(INDEX('1.산군_붙여넣기'!$A$1:$AZ$1001,ROW(),설정!$C$7)&amp;"","")</f>
        <v/>
      </c>
      <c r="F322">
        <f>IFERROR(INDEX('1.산군_붙여넣기'!$A$1:$AZ$1001,ROW(),설정!$C$8)&amp;"","")</f>
        <v/>
      </c>
      <c r="G322">
        <f>IFERROR(INDEX('1.산군_붙여넣기'!$A$1:$AZ$1001,ROW(),설정!$C$9)&amp;"","")</f>
        <v/>
      </c>
      <c r="H322">
        <f>IFERROR(INDEX('1.산군_붙여넣기'!$A$1:$AZ$1001,ROW(),설정!$C$10)&amp;"","")</f>
        <v/>
      </c>
      <c r="I322">
        <f>IFERROR(INDEX('1.산군_붙여넣기'!$A$1:$AZ$1001,ROW(),설정!$C$11)&amp;"","")</f>
        <v/>
      </c>
      <c r="J322">
        <f>IFERROR(INDEX('1.산군_붙여넣기'!$A$1:$AZ$1001,ROW(),설정!$C$12)&amp;"","")</f>
        <v/>
      </c>
      <c r="K322">
        <f>IFERROR(INDEX('1.산군_붙여넣기'!$A$1:$AZ$1001,ROW(),설정!$C$13)&amp;"","")</f>
        <v/>
      </c>
      <c r="L322" s="6">
        <f>IF(X322="","",IF(AND(LEN(X322)=8,ISNUMBER(X322*1)),DATE(LEFT(X322,4),MID(X322,5,2),RIGHT(X322,2)),IFERROR(DATEVALUE(SUBSTITUTE(SUBSTITUTE(X322,".","-"),"/","-")),IFERROR(X322*1,""))))</f>
        <v/>
      </c>
      <c r="M322" s="6">
        <f>IF(Y322="","",IF(AND(LEN(Y322)=8,ISNUMBER(Y322*1)),DATE(LEFT(Y322,4),MID(Y322,5,2),RIGHT(Y322,2)),IFERROR(DATEVALUE(SUBSTITUTE(SUBSTITUTE(Y322,".","-"),"/","-")),IFERROR(Y322*1,""))))</f>
        <v/>
      </c>
      <c r="N322">
        <f>IFERROR(LEFT(B322,FIND(" ",B322)-1),B322)</f>
        <v/>
      </c>
      <c r="O322">
        <f>AND(B322&lt;&gt;"",B322&lt;&gt;설정!$B$4,C322&lt;&gt;설정!$B$5)</f>
        <v/>
      </c>
      <c r="P322">
        <f>IF(O322,B322&amp;"|"&amp;C322,"")</f>
        <v/>
      </c>
      <c r="Q322">
        <f>AND(O322,COUNTIF(P323:P$1002,P322)=0)</f>
        <v/>
      </c>
      <c r="R322">
        <f>OR(AND(설정!$A$28&lt;&gt;"",ISNUMBER(SEARCH(설정!$A$28,E322&amp;" "&amp;C322))),AND(설정!$A$29&lt;&gt;"",ISNUMBER(SEARCH(설정!$A$29,E322&amp;" "&amp;C322))),AND(설정!$A$30&lt;&gt;"",ISNUMBER(SEARCH(설정!$A$30,E322&amp;" "&amp;C322))),AND(설정!$A$31&lt;&gt;"",ISNUMBER(SEARCH(설정!$A$31,E322&amp;" "&amp;C322))),AND(설정!$A$32&lt;&gt;"",ISNUMBER(SEARCH(설정!$A$32,E322&amp;" "&amp;C322))),AND(설정!$A$33&lt;&gt;"",ISNUMBER(SEARCH(설정!$A$33,E322&amp;" "&amp;C322))),AND(설정!$A$34&lt;&gt;"",ISNUMBER(SEARCH(설정!$A$34,E322&amp;" "&amp;C322))),AND(설정!$A$35&lt;&gt;"",ISNUMBER(SEARCH(설정!$A$35,E322&amp;" "&amp;C322))),AND(설정!$A$36&lt;&gt;"",ISNUMBER(SEARCH(설정!$A$36,E322&amp;" "&amp;C322))),AND(설정!$A$37&lt;&gt;"",ISNUMBER(SEARCH(설정!$A$37,E322&amp;" "&amp;C322))))</f>
        <v/>
      </c>
      <c r="S322">
        <f>OR(D322="",D322&gt;=설정!$B$19)</f>
        <v/>
      </c>
      <c r="T322">
        <f>AND(Q322,R322,S322)</f>
        <v/>
      </c>
      <c r="U322">
        <f>IF(T322,IF(AND(설정!$A$41&lt;&gt;"",ISNUMBER(SEARCH(설정!$A$41,K322))),설정!$B$41,IF(AND(설정!$A$42&lt;&gt;"",ISNUMBER(SEARCH(설정!$A$42,K322))),설정!$B$42,IF(AND(설정!$A$43&lt;&gt;"",ISNUMBER(SEARCH(설정!$A$43,K322))),설정!$B$43,IF(AND(설정!$A$44&lt;&gt;"",ISNUMBER(SEARCH(설정!$A$44,K322))),설정!$B$44,IF(AND(설정!$A$45&lt;&gt;"",ISNUMBER(SEARCH(설정!$A$45,K322))),설정!$B$45,IF(AND(설정!$A$46&lt;&gt;"",ISNUMBER(SEARCH(설정!$A$46,K322))),설정!$B$46,IF(AND(설정!$A$47&lt;&gt;"",ISNUMBER(SEARCH(설정!$A$47,K322))),설정!$B$47,IF(AND(설정!$A$48&lt;&gt;"",ISNUMBER(SEARCH(설정!$A$48,K322))),설정!$B$48,IF(M322="","설계사","시공사"))))))))),"")</f>
        <v/>
      </c>
      <c r="V322">
        <f>SUBSTITUTE(SUBSTITUTE(SUBSTITUTE(SUBSTITUTE(G322,"(주)",""),"㈜",""),"주식회사","")," ","")</f>
        <v/>
      </c>
      <c r="W322">
        <f>IF(AND(T322,V322&lt;&gt;""),IF(COUNTIFS(V$2:V322,V322,T$2:T322,TRUE)=1,MAX(W$1:W321)+1,""),"")</f>
        <v/>
      </c>
      <c r="X322">
        <f>IFERROR(INDEX('1.산군_붙여넣기'!$A$1:$AZ$1001,ROW(),설정!$C$14)&amp;"","")</f>
        <v/>
      </c>
      <c r="Y322">
        <f>IFERROR(INDEX('1.산군_붙여넣기'!$A$1:$AZ$1001,ROW(),설정!$C$15)&amp;"","")</f>
        <v/>
      </c>
      <c r="Z322">
        <f>IF(T322,V322&amp;"|"&amp;U322,"")</f>
        <v/>
      </c>
    </row>
    <row r="323">
      <c r="A323">
        <f>ROW()</f>
        <v/>
      </c>
      <c r="B323">
        <f>IFERROR(INDEX('1.산군_붙여넣기'!$A$1:$AZ$1001,ROW(),설정!$C$4)&amp;"","")</f>
        <v/>
      </c>
      <c r="C323">
        <f>IFERROR(INDEX('1.산군_붙여넣기'!$A$1:$AZ$1001,ROW(),설정!$C$5)&amp;"","")</f>
        <v/>
      </c>
      <c r="D323" s="5">
        <f>IFERROR(VALUE(SUBSTITUTE(SUBSTITUTE(SUBSTITUTE(IFERROR(INDEX('1.산군_붙여넣기'!$A$1:$AZ$1001,ROW(),설정!$C$6)&amp;"",""),",",""),"㎡",""),"m2","")),"")</f>
        <v/>
      </c>
      <c r="E323">
        <f>IFERROR(INDEX('1.산군_붙여넣기'!$A$1:$AZ$1001,ROW(),설정!$C$7)&amp;"","")</f>
        <v/>
      </c>
      <c r="F323">
        <f>IFERROR(INDEX('1.산군_붙여넣기'!$A$1:$AZ$1001,ROW(),설정!$C$8)&amp;"","")</f>
        <v/>
      </c>
      <c r="G323">
        <f>IFERROR(INDEX('1.산군_붙여넣기'!$A$1:$AZ$1001,ROW(),설정!$C$9)&amp;"","")</f>
        <v/>
      </c>
      <c r="H323">
        <f>IFERROR(INDEX('1.산군_붙여넣기'!$A$1:$AZ$1001,ROW(),설정!$C$10)&amp;"","")</f>
        <v/>
      </c>
      <c r="I323">
        <f>IFERROR(INDEX('1.산군_붙여넣기'!$A$1:$AZ$1001,ROW(),설정!$C$11)&amp;"","")</f>
        <v/>
      </c>
      <c r="J323">
        <f>IFERROR(INDEX('1.산군_붙여넣기'!$A$1:$AZ$1001,ROW(),설정!$C$12)&amp;"","")</f>
        <v/>
      </c>
      <c r="K323">
        <f>IFERROR(INDEX('1.산군_붙여넣기'!$A$1:$AZ$1001,ROW(),설정!$C$13)&amp;"","")</f>
        <v/>
      </c>
      <c r="L323" s="6">
        <f>IF(X323="","",IF(AND(LEN(X323)=8,ISNUMBER(X323*1)),DATE(LEFT(X323,4),MID(X323,5,2),RIGHT(X323,2)),IFERROR(DATEVALUE(SUBSTITUTE(SUBSTITUTE(X323,".","-"),"/","-")),IFERROR(X323*1,""))))</f>
        <v/>
      </c>
      <c r="M323" s="6">
        <f>IF(Y323="","",IF(AND(LEN(Y323)=8,ISNUMBER(Y323*1)),DATE(LEFT(Y323,4),MID(Y323,5,2),RIGHT(Y323,2)),IFERROR(DATEVALUE(SUBSTITUTE(SUBSTITUTE(Y323,".","-"),"/","-")),IFERROR(Y323*1,""))))</f>
        <v/>
      </c>
      <c r="N323">
        <f>IFERROR(LEFT(B323,FIND(" ",B323)-1),B323)</f>
        <v/>
      </c>
      <c r="O323">
        <f>AND(B323&lt;&gt;"",B323&lt;&gt;설정!$B$4,C323&lt;&gt;설정!$B$5)</f>
        <v/>
      </c>
      <c r="P323">
        <f>IF(O323,B323&amp;"|"&amp;C323,"")</f>
        <v/>
      </c>
      <c r="Q323">
        <f>AND(O323,COUNTIF(P324:P$1002,P323)=0)</f>
        <v/>
      </c>
      <c r="R323">
        <f>OR(AND(설정!$A$28&lt;&gt;"",ISNUMBER(SEARCH(설정!$A$28,E323&amp;" "&amp;C323))),AND(설정!$A$29&lt;&gt;"",ISNUMBER(SEARCH(설정!$A$29,E323&amp;" "&amp;C323))),AND(설정!$A$30&lt;&gt;"",ISNUMBER(SEARCH(설정!$A$30,E323&amp;" "&amp;C323))),AND(설정!$A$31&lt;&gt;"",ISNUMBER(SEARCH(설정!$A$31,E323&amp;" "&amp;C323))),AND(설정!$A$32&lt;&gt;"",ISNUMBER(SEARCH(설정!$A$32,E323&amp;" "&amp;C323))),AND(설정!$A$33&lt;&gt;"",ISNUMBER(SEARCH(설정!$A$33,E323&amp;" "&amp;C323))),AND(설정!$A$34&lt;&gt;"",ISNUMBER(SEARCH(설정!$A$34,E323&amp;" "&amp;C323))),AND(설정!$A$35&lt;&gt;"",ISNUMBER(SEARCH(설정!$A$35,E323&amp;" "&amp;C323))),AND(설정!$A$36&lt;&gt;"",ISNUMBER(SEARCH(설정!$A$36,E323&amp;" "&amp;C323))),AND(설정!$A$37&lt;&gt;"",ISNUMBER(SEARCH(설정!$A$37,E323&amp;" "&amp;C323))))</f>
        <v/>
      </c>
      <c r="S323">
        <f>OR(D323="",D323&gt;=설정!$B$19)</f>
        <v/>
      </c>
      <c r="T323">
        <f>AND(Q323,R323,S323)</f>
        <v/>
      </c>
      <c r="U323">
        <f>IF(T323,IF(AND(설정!$A$41&lt;&gt;"",ISNUMBER(SEARCH(설정!$A$41,K323))),설정!$B$41,IF(AND(설정!$A$42&lt;&gt;"",ISNUMBER(SEARCH(설정!$A$42,K323))),설정!$B$42,IF(AND(설정!$A$43&lt;&gt;"",ISNUMBER(SEARCH(설정!$A$43,K323))),설정!$B$43,IF(AND(설정!$A$44&lt;&gt;"",ISNUMBER(SEARCH(설정!$A$44,K323))),설정!$B$44,IF(AND(설정!$A$45&lt;&gt;"",ISNUMBER(SEARCH(설정!$A$45,K323))),설정!$B$45,IF(AND(설정!$A$46&lt;&gt;"",ISNUMBER(SEARCH(설정!$A$46,K323))),설정!$B$46,IF(AND(설정!$A$47&lt;&gt;"",ISNUMBER(SEARCH(설정!$A$47,K323))),설정!$B$47,IF(AND(설정!$A$48&lt;&gt;"",ISNUMBER(SEARCH(설정!$A$48,K323))),설정!$B$48,IF(M323="","설계사","시공사"))))))))),"")</f>
        <v/>
      </c>
      <c r="V323">
        <f>SUBSTITUTE(SUBSTITUTE(SUBSTITUTE(SUBSTITUTE(G323,"(주)",""),"㈜",""),"주식회사","")," ","")</f>
        <v/>
      </c>
      <c r="W323">
        <f>IF(AND(T323,V323&lt;&gt;""),IF(COUNTIFS(V$2:V323,V323,T$2:T323,TRUE)=1,MAX(W$1:W322)+1,""),"")</f>
        <v/>
      </c>
      <c r="X323">
        <f>IFERROR(INDEX('1.산군_붙여넣기'!$A$1:$AZ$1001,ROW(),설정!$C$14)&amp;"","")</f>
        <v/>
      </c>
      <c r="Y323">
        <f>IFERROR(INDEX('1.산군_붙여넣기'!$A$1:$AZ$1001,ROW(),설정!$C$15)&amp;"","")</f>
        <v/>
      </c>
      <c r="Z323">
        <f>IF(T323,V323&amp;"|"&amp;U323,"")</f>
        <v/>
      </c>
    </row>
    <row r="324">
      <c r="A324">
        <f>ROW()</f>
        <v/>
      </c>
      <c r="B324">
        <f>IFERROR(INDEX('1.산군_붙여넣기'!$A$1:$AZ$1001,ROW(),설정!$C$4)&amp;"","")</f>
        <v/>
      </c>
      <c r="C324">
        <f>IFERROR(INDEX('1.산군_붙여넣기'!$A$1:$AZ$1001,ROW(),설정!$C$5)&amp;"","")</f>
        <v/>
      </c>
      <c r="D324" s="5">
        <f>IFERROR(VALUE(SUBSTITUTE(SUBSTITUTE(SUBSTITUTE(IFERROR(INDEX('1.산군_붙여넣기'!$A$1:$AZ$1001,ROW(),설정!$C$6)&amp;"",""),",",""),"㎡",""),"m2","")),"")</f>
        <v/>
      </c>
      <c r="E324">
        <f>IFERROR(INDEX('1.산군_붙여넣기'!$A$1:$AZ$1001,ROW(),설정!$C$7)&amp;"","")</f>
        <v/>
      </c>
      <c r="F324">
        <f>IFERROR(INDEX('1.산군_붙여넣기'!$A$1:$AZ$1001,ROW(),설정!$C$8)&amp;"","")</f>
        <v/>
      </c>
      <c r="G324">
        <f>IFERROR(INDEX('1.산군_붙여넣기'!$A$1:$AZ$1001,ROW(),설정!$C$9)&amp;"","")</f>
        <v/>
      </c>
      <c r="H324">
        <f>IFERROR(INDEX('1.산군_붙여넣기'!$A$1:$AZ$1001,ROW(),설정!$C$10)&amp;"","")</f>
        <v/>
      </c>
      <c r="I324">
        <f>IFERROR(INDEX('1.산군_붙여넣기'!$A$1:$AZ$1001,ROW(),설정!$C$11)&amp;"","")</f>
        <v/>
      </c>
      <c r="J324">
        <f>IFERROR(INDEX('1.산군_붙여넣기'!$A$1:$AZ$1001,ROW(),설정!$C$12)&amp;"","")</f>
        <v/>
      </c>
      <c r="K324">
        <f>IFERROR(INDEX('1.산군_붙여넣기'!$A$1:$AZ$1001,ROW(),설정!$C$13)&amp;"","")</f>
        <v/>
      </c>
      <c r="L324" s="6">
        <f>IF(X324="","",IF(AND(LEN(X324)=8,ISNUMBER(X324*1)),DATE(LEFT(X324,4),MID(X324,5,2),RIGHT(X324,2)),IFERROR(DATEVALUE(SUBSTITUTE(SUBSTITUTE(X324,".","-"),"/","-")),IFERROR(X324*1,""))))</f>
        <v/>
      </c>
      <c r="M324" s="6">
        <f>IF(Y324="","",IF(AND(LEN(Y324)=8,ISNUMBER(Y324*1)),DATE(LEFT(Y324,4),MID(Y324,5,2),RIGHT(Y324,2)),IFERROR(DATEVALUE(SUBSTITUTE(SUBSTITUTE(Y324,".","-"),"/","-")),IFERROR(Y324*1,""))))</f>
        <v/>
      </c>
      <c r="N324">
        <f>IFERROR(LEFT(B324,FIND(" ",B324)-1),B324)</f>
        <v/>
      </c>
      <c r="O324">
        <f>AND(B324&lt;&gt;"",B324&lt;&gt;설정!$B$4,C324&lt;&gt;설정!$B$5)</f>
        <v/>
      </c>
      <c r="P324">
        <f>IF(O324,B324&amp;"|"&amp;C324,"")</f>
        <v/>
      </c>
      <c r="Q324">
        <f>AND(O324,COUNTIF(P325:P$1002,P324)=0)</f>
        <v/>
      </c>
      <c r="R324">
        <f>OR(AND(설정!$A$28&lt;&gt;"",ISNUMBER(SEARCH(설정!$A$28,E324&amp;" "&amp;C324))),AND(설정!$A$29&lt;&gt;"",ISNUMBER(SEARCH(설정!$A$29,E324&amp;" "&amp;C324))),AND(설정!$A$30&lt;&gt;"",ISNUMBER(SEARCH(설정!$A$30,E324&amp;" "&amp;C324))),AND(설정!$A$31&lt;&gt;"",ISNUMBER(SEARCH(설정!$A$31,E324&amp;" "&amp;C324))),AND(설정!$A$32&lt;&gt;"",ISNUMBER(SEARCH(설정!$A$32,E324&amp;" "&amp;C324))),AND(설정!$A$33&lt;&gt;"",ISNUMBER(SEARCH(설정!$A$33,E324&amp;" "&amp;C324))),AND(설정!$A$34&lt;&gt;"",ISNUMBER(SEARCH(설정!$A$34,E324&amp;" "&amp;C324))),AND(설정!$A$35&lt;&gt;"",ISNUMBER(SEARCH(설정!$A$35,E324&amp;" "&amp;C324))),AND(설정!$A$36&lt;&gt;"",ISNUMBER(SEARCH(설정!$A$36,E324&amp;" "&amp;C324))),AND(설정!$A$37&lt;&gt;"",ISNUMBER(SEARCH(설정!$A$37,E324&amp;" "&amp;C324))))</f>
        <v/>
      </c>
      <c r="S324">
        <f>OR(D324="",D324&gt;=설정!$B$19)</f>
        <v/>
      </c>
      <c r="T324">
        <f>AND(Q324,R324,S324)</f>
        <v/>
      </c>
      <c r="U324">
        <f>IF(T324,IF(AND(설정!$A$41&lt;&gt;"",ISNUMBER(SEARCH(설정!$A$41,K324))),설정!$B$41,IF(AND(설정!$A$42&lt;&gt;"",ISNUMBER(SEARCH(설정!$A$42,K324))),설정!$B$42,IF(AND(설정!$A$43&lt;&gt;"",ISNUMBER(SEARCH(설정!$A$43,K324))),설정!$B$43,IF(AND(설정!$A$44&lt;&gt;"",ISNUMBER(SEARCH(설정!$A$44,K324))),설정!$B$44,IF(AND(설정!$A$45&lt;&gt;"",ISNUMBER(SEARCH(설정!$A$45,K324))),설정!$B$45,IF(AND(설정!$A$46&lt;&gt;"",ISNUMBER(SEARCH(설정!$A$46,K324))),설정!$B$46,IF(AND(설정!$A$47&lt;&gt;"",ISNUMBER(SEARCH(설정!$A$47,K324))),설정!$B$47,IF(AND(설정!$A$48&lt;&gt;"",ISNUMBER(SEARCH(설정!$A$48,K324))),설정!$B$48,IF(M324="","설계사","시공사"))))))))),"")</f>
        <v/>
      </c>
      <c r="V324">
        <f>SUBSTITUTE(SUBSTITUTE(SUBSTITUTE(SUBSTITUTE(G324,"(주)",""),"㈜",""),"주식회사","")," ","")</f>
        <v/>
      </c>
      <c r="W324">
        <f>IF(AND(T324,V324&lt;&gt;""),IF(COUNTIFS(V$2:V324,V324,T$2:T324,TRUE)=1,MAX(W$1:W323)+1,""),"")</f>
        <v/>
      </c>
      <c r="X324">
        <f>IFERROR(INDEX('1.산군_붙여넣기'!$A$1:$AZ$1001,ROW(),설정!$C$14)&amp;"","")</f>
        <v/>
      </c>
      <c r="Y324">
        <f>IFERROR(INDEX('1.산군_붙여넣기'!$A$1:$AZ$1001,ROW(),설정!$C$15)&amp;"","")</f>
        <v/>
      </c>
      <c r="Z324">
        <f>IF(T324,V324&amp;"|"&amp;U324,"")</f>
        <v/>
      </c>
    </row>
    <row r="325">
      <c r="A325">
        <f>ROW()</f>
        <v/>
      </c>
      <c r="B325">
        <f>IFERROR(INDEX('1.산군_붙여넣기'!$A$1:$AZ$1001,ROW(),설정!$C$4)&amp;"","")</f>
        <v/>
      </c>
      <c r="C325">
        <f>IFERROR(INDEX('1.산군_붙여넣기'!$A$1:$AZ$1001,ROW(),설정!$C$5)&amp;"","")</f>
        <v/>
      </c>
      <c r="D325" s="5">
        <f>IFERROR(VALUE(SUBSTITUTE(SUBSTITUTE(SUBSTITUTE(IFERROR(INDEX('1.산군_붙여넣기'!$A$1:$AZ$1001,ROW(),설정!$C$6)&amp;"",""),",",""),"㎡",""),"m2","")),"")</f>
        <v/>
      </c>
      <c r="E325">
        <f>IFERROR(INDEX('1.산군_붙여넣기'!$A$1:$AZ$1001,ROW(),설정!$C$7)&amp;"","")</f>
        <v/>
      </c>
      <c r="F325">
        <f>IFERROR(INDEX('1.산군_붙여넣기'!$A$1:$AZ$1001,ROW(),설정!$C$8)&amp;"","")</f>
        <v/>
      </c>
      <c r="G325">
        <f>IFERROR(INDEX('1.산군_붙여넣기'!$A$1:$AZ$1001,ROW(),설정!$C$9)&amp;"","")</f>
        <v/>
      </c>
      <c r="H325">
        <f>IFERROR(INDEX('1.산군_붙여넣기'!$A$1:$AZ$1001,ROW(),설정!$C$10)&amp;"","")</f>
        <v/>
      </c>
      <c r="I325">
        <f>IFERROR(INDEX('1.산군_붙여넣기'!$A$1:$AZ$1001,ROW(),설정!$C$11)&amp;"","")</f>
        <v/>
      </c>
      <c r="J325">
        <f>IFERROR(INDEX('1.산군_붙여넣기'!$A$1:$AZ$1001,ROW(),설정!$C$12)&amp;"","")</f>
        <v/>
      </c>
      <c r="K325">
        <f>IFERROR(INDEX('1.산군_붙여넣기'!$A$1:$AZ$1001,ROW(),설정!$C$13)&amp;"","")</f>
        <v/>
      </c>
      <c r="L325" s="6">
        <f>IF(X325="","",IF(AND(LEN(X325)=8,ISNUMBER(X325*1)),DATE(LEFT(X325,4),MID(X325,5,2),RIGHT(X325,2)),IFERROR(DATEVALUE(SUBSTITUTE(SUBSTITUTE(X325,".","-"),"/","-")),IFERROR(X325*1,""))))</f>
        <v/>
      </c>
      <c r="M325" s="6">
        <f>IF(Y325="","",IF(AND(LEN(Y325)=8,ISNUMBER(Y325*1)),DATE(LEFT(Y325,4),MID(Y325,5,2),RIGHT(Y325,2)),IFERROR(DATEVALUE(SUBSTITUTE(SUBSTITUTE(Y325,".","-"),"/","-")),IFERROR(Y325*1,""))))</f>
        <v/>
      </c>
      <c r="N325">
        <f>IFERROR(LEFT(B325,FIND(" ",B325)-1),B325)</f>
        <v/>
      </c>
      <c r="O325">
        <f>AND(B325&lt;&gt;"",B325&lt;&gt;설정!$B$4,C325&lt;&gt;설정!$B$5)</f>
        <v/>
      </c>
      <c r="P325">
        <f>IF(O325,B325&amp;"|"&amp;C325,"")</f>
        <v/>
      </c>
      <c r="Q325">
        <f>AND(O325,COUNTIF(P326:P$1002,P325)=0)</f>
        <v/>
      </c>
      <c r="R325">
        <f>OR(AND(설정!$A$28&lt;&gt;"",ISNUMBER(SEARCH(설정!$A$28,E325&amp;" "&amp;C325))),AND(설정!$A$29&lt;&gt;"",ISNUMBER(SEARCH(설정!$A$29,E325&amp;" "&amp;C325))),AND(설정!$A$30&lt;&gt;"",ISNUMBER(SEARCH(설정!$A$30,E325&amp;" "&amp;C325))),AND(설정!$A$31&lt;&gt;"",ISNUMBER(SEARCH(설정!$A$31,E325&amp;" "&amp;C325))),AND(설정!$A$32&lt;&gt;"",ISNUMBER(SEARCH(설정!$A$32,E325&amp;" "&amp;C325))),AND(설정!$A$33&lt;&gt;"",ISNUMBER(SEARCH(설정!$A$33,E325&amp;" "&amp;C325))),AND(설정!$A$34&lt;&gt;"",ISNUMBER(SEARCH(설정!$A$34,E325&amp;" "&amp;C325))),AND(설정!$A$35&lt;&gt;"",ISNUMBER(SEARCH(설정!$A$35,E325&amp;" "&amp;C325))),AND(설정!$A$36&lt;&gt;"",ISNUMBER(SEARCH(설정!$A$36,E325&amp;" "&amp;C325))),AND(설정!$A$37&lt;&gt;"",ISNUMBER(SEARCH(설정!$A$37,E325&amp;" "&amp;C325))))</f>
        <v/>
      </c>
      <c r="S325">
        <f>OR(D325="",D325&gt;=설정!$B$19)</f>
        <v/>
      </c>
      <c r="T325">
        <f>AND(Q325,R325,S325)</f>
        <v/>
      </c>
      <c r="U325">
        <f>IF(T325,IF(AND(설정!$A$41&lt;&gt;"",ISNUMBER(SEARCH(설정!$A$41,K325))),설정!$B$41,IF(AND(설정!$A$42&lt;&gt;"",ISNUMBER(SEARCH(설정!$A$42,K325))),설정!$B$42,IF(AND(설정!$A$43&lt;&gt;"",ISNUMBER(SEARCH(설정!$A$43,K325))),설정!$B$43,IF(AND(설정!$A$44&lt;&gt;"",ISNUMBER(SEARCH(설정!$A$44,K325))),설정!$B$44,IF(AND(설정!$A$45&lt;&gt;"",ISNUMBER(SEARCH(설정!$A$45,K325))),설정!$B$45,IF(AND(설정!$A$46&lt;&gt;"",ISNUMBER(SEARCH(설정!$A$46,K325))),설정!$B$46,IF(AND(설정!$A$47&lt;&gt;"",ISNUMBER(SEARCH(설정!$A$47,K325))),설정!$B$47,IF(AND(설정!$A$48&lt;&gt;"",ISNUMBER(SEARCH(설정!$A$48,K325))),설정!$B$48,IF(M325="","설계사","시공사"))))))))),"")</f>
        <v/>
      </c>
      <c r="V325">
        <f>SUBSTITUTE(SUBSTITUTE(SUBSTITUTE(SUBSTITUTE(G325,"(주)",""),"㈜",""),"주식회사","")," ","")</f>
        <v/>
      </c>
      <c r="W325">
        <f>IF(AND(T325,V325&lt;&gt;""),IF(COUNTIFS(V$2:V325,V325,T$2:T325,TRUE)=1,MAX(W$1:W324)+1,""),"")</f>
        <v/>
      </c>
      <c r="X325">
        <f>IFERROR(INDEX('1.산군_붙여넣기'!$A$1:$AZ$1001,ROW(),설정!$C$14)&amp;"","")</f>
        <v/>
      </c>
      <c r="Y325">
        <f>IFERROR(INDEX('1.산군_붙여넣기'!$A$1:$AZ$1001,ROW(),설정!$C$15)&amp;"","")</f>
        <v/>
      </c>
      <c r="Z325">
        <f>IF(T325,V325&amp;"|"&amp;U325,"")</f>
        <v/>
      </c>
    </row>
    <row r="326">
      <c r="A326">
        <f>ROW()</f>
        <v/>
      </c>
      <c r="B326">
        <f>IFERROR(INDEX('1.산군_붙여넣기'!$A$1:$AZ$1001,ROW(),설정!$C$4)&amp;"","")</f>
        <v/>
      </c>
      <c r="C326">
        <f>IFERROR(INDEX('1.산군_붙여넣기'!$A$1:$AZ$1001,ROW(),설정!$C$5)&amp;"","")</f>
        <v/>
      </c>
      <c r="D326" s="5">
        <f>IFERROR(VALUE(SUBSTITUTE(SUBSTITUTE(SUBSTITUTE(IFERROR(INDEX('1.산군_붙여넣기'!$A$1:$AZ$1001,ROW(),설정!$C$6)&amp;"",""),",",""),"㎡",""),"m2","")),"")</f>
        <v/>
      </c>
      <c r="E326">
        <f>IFERROR(INDEX('1.산군_붙여넣기'!$A$1:$AZ$1001,ROW(),설정!$C$7)&amp;"","")</f>
        <v/>
      </c>
      <c r="F326">
        <f>IFERROR(INDEX('1.산군_붙여넣기'!$A$1:$AZ$1001,ROW(),설정!$C$8)&amp;"","")</f>
        <v/>
      </c>
      <c r="G326">
        <f>IFERROR(INDEX('1.산군_붙여넣기'!$A$1:$AZ$1001,ROW(),설정!$C$9)&amp;"","")</f>
        <v/>
      </c>
      <c r="H326">
        <f>IFERROR(INDEX('1.산군_붙여넣기'!$A$1:$AZ$1001,ROW(),설정!$C$10)&amp;"","")</f>
        <v/>
      </c>
      <c r="I326">
        <f>IFERROR(INDEX('1.산군_붙여넣기'!$A$1:$AZ$1001,ROW(),설정!$C$11)&amp;"","")</f>
        <v/>
      </c>
      <c r="J326">
        <f>IFERROR(INDEX('1.산군_붙여넣기'!$A$1:$AZ$1001,ROW(),설정!$C$12)&amp;"","")</f>
        <v/>
      </c>
      <c r="K326">
        <f>IFERROR(INDEX('1.산군_붙여넣기'!$A$1:$AZ$1001,ROW(),설정!$C$13)&amp;"","")</f>
        <v/>
      </c>
      <c r="L326" s="6">
        <f>IF(X326="","",IF(AND(LEN(X326)=8,ISNUMBER(X326*1)),DATE(LEFT(X326,4),MID(X326,5,2),RIGHT(X326,2)),IFERROR(DATEVALUE(SUBSTITUTE(SUBSTITUTE(X326,".","-"),"/","-")),IFERROR(X326*1,""))))</f>
        <v/>
      </c>
      <c r="M326" s="6">
        <f>IF(Y326="","",IF(AND(LEN(Y326)=8,ISNUMBER(Y326*1)),DATE(LEFT(Y326,4),MID(Y326,5,2),RIGHT(Y326,2)),IFERROR(DATEVALUE(SUBSTITUTE(SUBSTITUTE(Y326,".","-"),"/","-")),IFERROR(Y326*1,""))))</f>
        <v/>
      </c>
      <c r="N326">
        <f>IFERROR(LEFT(B326,FIND(" ",B326)-1),B326)</f>
        <v/>
      </c>
      <c r="O326">
        <f>AND(B326&lt;&gt;"",B326&lt;&gt;설정!$B$4,C326&lt;&gt;설정!$B$5)</f>
        <v/>
      </c>
      <c r="P326">
        <f>IF(O326,B326&amp;"|"&amp;C326,"")</f>
        <v/>
      </c>
      <c r="Q326">
        <f>AND(O326,COUNTIF(P327:P$1002,P326)=0)</f>
        <v/>
      </c>
      <c r="R326">
        <f>OR(AND(설정!$A$28&lt;&gt;"",ISNUMBER(SEARCH(설정!$A$28,E326&amp;" "&amp;C326))),AND(설정!$A$29&lt;&gt;"",ISNUMBER(SEARCH(설정!$A$29,E326&amp;" "&amp;C326))),AND(설정!$A$30&lt;&gt;"",ISNUMBER(SEARCH(설정!$A$30,E326&amp;" "&amp;C326))),AND(설정!$A$31&lt;&gt;"",ISNUMBER(SEARCH(설정!$A$31,E326&amp;" "&amp;C326))),AND(설정!$A$32&lt;&gt;"",ISNUMBER(SEARCH(설정!$A$32,E326&amp;" "&amp;C326))),AND(설정!$A$33&lt;&gt;"",ISNUMBER(SEARCH(설정!$A$33,E326&amp;" "&amp;C326))),AND(설정!$A$34&lt;&gt;"",ISNUMBER(SEARCH(설정!$A$34,E326&amp;" "&amp;C326))),AND(설정!$A$35&lt;&gt;"",ISNUMBER(SEARCH(설정!$A$35,E326&amp;" "&amp;C326))),AND(설정!$A$36&lt;&gt;"",ISNUMBER(SEARCH(설정!$A$36,E326&amp;" "&amp;C326))),AND(설정!$A$37&lt;&gt;"",ISNUMBER(SEARCH(설정!$A$37,E326&amp;" "&amp;C326))))</f>
        <v/>
      </c>
      <c r="S326">
        <f>OR(D326="",D326&gt;=설정!$B$19)</f>
        <v/>
      </c>
      <c r="T326">
        <f>AND(Q326,R326,S326)</f>
        <v/>
      </c>
      <c r="U326">
        <f>IF(T326,IF(AND(설정!$A$41&lt;&gt;"",ISNUMBER(SEARCH(설정!$A$41,K326))),설정!$B$41,IF(AND(설정!$A$42&lt;&gt;"",ISNUMBER(SEARCH(설정!$A$42,K326))),설정!$B$42,IF(AND(설정!$A$43&lt;&gt;"",ISNUMBER(SEARCH(설정!$A$43,K326))),설정!$B$43,IF(AND(설정!$A$44&lt;&gt;"",ISNUMBER(SEARCH(설정!$A$44,K326))),설정!$B$44,IF(AND(설정!$A$45&lt;&gt;"",ISNUMBER(SEARCH(설정!$A$45,K326))),설정!$B$45,IF(AND(설정!$A$46&lt;&gt;"",ISNUMBER(SEARCH(설정!$A$46,K326))),설정!$B$46,IF(AND(설정!$A$47&lt;&gt;"",ISNUMBER(SEARCH(설정!$A$47,K326))),설정!$B$47,IF(AND(설정!$A$48&lt;&gt;"",ISNUMBER(SEARCH(설정!$A$48,K326))),설정!$B$48,IF(M326="","설계사","시공사"))))))))),"")</f>
        <v/>
      </c>
      <c r="V326">
        <f>SUBSTITUTE(SUBSTITUTE(SUBSTITUTE(SUBSTITUTE(G326,"(주)",""),"㈜",""),"주식회사","")," ","")</f>
        <v/>
      </c>
      <c r="W326">
        <f>IF(AND(T326,V326&lt;&gt;""),IF(COUNTIFS(V$2:V326,V326,T$2:T326,TRUE)=1,MAX(W$1:W325)+1,""),"")</f>
        <v/>
      </c>
      <c r="X326">
        <f>IFERROR(INDEX('1.산군_붙여넣기'!$A$1:$AZ$1001,ROW(),설정!$C$14)&amp;"","")</f>
        <v/>
      </c>
      <c r="Y326">
        <f>IFERROR(INDEX('1.산군_붙여넣기'!$A$1:$AZ$1001,ROW(),설정!$C$15)&amp;"","")</f>
        <v/>
      </c>
      <c r="Z326">
        <f>IF(T326,V326&amp;"|"&amp;U326,"")</f>
        <v/>
      </c>
    </row>
    <row r="327">
      <c r="A327">
        <f>ROW()</f>
        <v/>
      </c>
      <c r="B327">
        <f>IFERROR(INDEX('1.산군_붙여넣기'!$A$1:$AZ$1001,ROW(),설정!$C$4)&amp;"","")</f>
        <v/>
      </c>
      <c r="C327">
        <f>IFERROR(INDEX('1.산군_붙여넣기'!$A$1:$AZ$1001,ROW(),설정!$C$5)&amp;"","")</f>
        <v/>
      </c>
      <c r="D327" s="5">
        <f>IFERROR(VALUE(SUBSTITUTE(SUBSTITUTE(SUBSTITUTE(IFERROR(INDEX('1.산군_붙여넣기'!$A$1:$AZ$1001,ROW(),설정!$C$6)&amp;"",""),",",""),"㎡",""),"m2","")),"")</f>
        <v/>
      </c>
      <c r="E327">
        <f>IFERROR(INDEX('1.산군_붙여넣기'!$A$1:$AZ$1001,ROW(),설정!$C$7)&amp;"","")</f>
        <v/>
      </c>
      <c r="F327">
        <f>IFERROR(INDEX('1.산군_붙여넣기'!$A$1:$AZ$1001,ROW(),설정!$C$8)&amp;"","")</f>
        <v/>
      </c>
      <c r="G327">
        <f>IFERROR(INDEX('1.산군_붙여넣기'!$A$1:$AZ$1001,ROW(),설정!$C$9)&amp;"","")</f>
        <v/>
      </c>
      <c r="H327">
        <f>IFERROR(INDEX('1.산군_붙여넣기'!$A$1:$AZ$1001,ROW(),설정!$C$10)&amp;"","")</f>
        <v/>
      </c>
      <c r="I327">
        <f>IFERROR(INDEX('1.산군_붙여넣기'!$A$1:$AZ$1001,ROW(),설정!$C$11)&amp;"","")</f>
        <v/>
      </c>
      <c r="J327">
        <f>IFERROR(INDEX('1.산군_붙여넣기'!$A$1:$AZ$1001,ROW(),설정!$C$12)&amp;"","")</f>
        <v/>
      </c>
      <c r="K327">
        <f>IFERROR(INDEX('1.산군_붙여넣기'!$A$1:$AZ$1001,ROW(),설정!$C$13)&amp;"","")</f>
        <v/>
      </c>
      <c r="L327" s="6">
        <f>IF(X327="","",IF(AND(LEN(X327)=8,ISNUMBER(X327*1)),DATE(LEFT(X327,4),MID(X327,5,2),RIGHT(X327,2)),IFERROR(DATEVALUE(SUBSTITUTE(SUBSTITUTE(X327,".","-"),"/","-")),IFERROR(X327*1,""))))</f>
        <v/>
      </c>
      <c r="M327" s="6">
        <f>IF(Y327="","",IF(AND(LEN(Y327)=8,ISNUMBER(Y327*1)),DATE(LEFT(Y327,4),MID(Y327,5,2),RIGHT(Y327,2)),IFERROR(DATEVALUE(SUBSTITUTE(SUBSTITUTE(Y327,".","-"),"/","-")),IFERROR(Y327*1,""))))</f>
        <v/>
      </c>
      <c r="N327">
        <f>IFERROR(LEFT(B327,FIND(" ",B327)-1),B327)</f>
        <v/>
      </c>
      <c r="O327">
        <f>AND(B327&lt;&gt;"",B327&lt;&gt;설정!$B$4,C327&lt;&gt;설정!$B$5)</f>
        <v/>
      </c>
      <c r="P327">
        <f>IF(O327,B327&amp;"|"&amp;C327,"")</f>
        <v/>
      </c>
      <c r="Q327">
        <f>AND(O327,COUNTIF(P328:P$1002,P327)=0)</f>
        <v/>
      </c>
      <c r="R327">
        <f>OR(AND(설정!$A$28&lt;&gt;"",ISNUMBER(SEARCH(설정!$A$28,E327&amp;" "&amp;C327))),AND(설정!$A$29&lt;&gt;"",ISNUMBER(SEARCH(설정!$A$29,E327&amp;" "&amp;C327))),AND(설정!$A$30&lt;&gt;"",ISNUMBER(SEARCH(설정!$A$30,E327&amp;" "&amp;C327))),AND(설정!$A$31&lt;&gt;"",ISNUMBER(SEARCH(설정!$A$31,E327&amp;" "&amp;C327))),AND(설정!$A$32&lt;&gt;"",ISNUMBER(SEARCH(설정!$A$32,E327&amp;" "&amp;C327))),AND(설정!$A$33&lt;&gt;"",ISNUMBER(SEARCH(설정!$A$33,E327&amp;" "&amp;C327))),AND(설정!$A$34&lt;&gt;"",ISNUMBER(SEARCH(설정!$A$34,E327&amp;" "&amp;C327))),AND(설정!$A$35&lt;&gt;"",ISNUMBER(SEARCH(설정!$A$35,E327&amp;" "&amp;C327))),AND(설정!$A$36&lt;&gt;"",ISNUMBER(SEARCH(설정!$A$36,E327&amp;" "&amp;C327))),AND(설정!$A$37&lt;&gt;"",ISNUMBER(SEARCH(설정!$A$37,E327&amp;" "&amp;C327))))</f>
        <v/>
      </c>
      <c r="S327">
        <f>OR(D327="",D327&gt;=설정!$B$19)</f>
        <v/>
      </c>
      <c r="T327">
        <f>AND(Q327,R327,S327)</f>
        <v/>
      </c>
      <c r="U327">
        <f>IF(T327,IF(AND(설정!$A$41&lt;&gt;"",ISNUMBER(SEARCH(설정!$A$41,K327))),설정!$B$41,IF(AND(설정!$A$42&lt;&gt;"",ISNUMBER(SEARCH(설정!$A$42,K327))),설정!$B$42,IF(AND(설정!$A$43&lt;&gt;"",ISNUMBER(SEARCH(설정!$A$43,K327))),설정!$B$43,IF(AND(설정!$A$44&lt;&gt;"",ISNUMBER(SEARCH(설정!$A$44,K327))),설정!$B$44,IF(AND(설정!$A$45&lt;&gt;"",ISNUMBER(SEARCH(설정!$A$45,K327))),설정!$B$45,IF(AND(설정!$A$46&lt;&gt;"",ISNUMBER(SEARCH(설정!$A$46,K327))),설정!$B$46,IF(AND(설정!$A$47&lt;&gt;"",ISNUMBER(SEARCH(설정!$A$47,K327))),설정!$B$47,IF(AND(설정!$A$48&lt;&gt;"",ISNUMBER(SEARCH(설정!$A$48,K327))),설정!$B$48,IF(M327="","설계사","시공사"))))))))),"")</f>
        <v/>
      </c>
      <c r="V327">
        <f>SUBSTITUTE(SUBSTITUTE(SUBSTITUTE(SUBSTITUTE(G327,"(주)",""),"㈜",""),"주식회사","")," ","")</f>
        <v/>
      </c>
      <c r="W327">
        <f>IF(AND(T327,V327&lt;&gt;""),IF(COUNTIFS(V$2:V327,V327,T$2:T327,TRUE)=1,MAX(W$1:W326)+1,""),"")</f>
        <v/>
      </c>
      <c r="X327">
        <f>IFERROR(INDEX('1.산군_붙여넣기'!$A$1:$AZ$1001,ROW(),설정!$C$14)&amp;"","")</f>
        <v/>
      </c>
      <c r="Y327">
        <f>IFERROR(INDEX('1.산군_붙여넣기'!$A$1:$AZ$1001,ROW(),설정!$C$15)&amp;"","")</f>
        <v/>
      </c>
      <c r="Z327">
        <f>IF(T327,V327&amp;"|"&amp;U327,"")</f>
        <v/>
      </c>
    </row>
    <row r="328">
      <c r="A328">
        <f>ROW()</f>
        <v/>
      </c>
      <c r="B328">
        <f>IFERROR(INDEX('1.산군_붙여넣기'!$A$1:$AZ$1001,ROW(),설정!$C$4)&amp;"","")</f>
        <v/>
      </c>
      <c r="C328">
        <f>IFERROR(INDEX('1.산군_붙여넣기'!$A$1:$AZ$1001,ROW(),설정!$C$5)&amp;"","")</f>
        <v/>
      </c>
      <c r="D328" s="5">
        <f>IFERROR(VALUE(SUBSTITUTE(SUBSTITUTE(SUBSTITUTE(IFERROR(INDEX('1.산군_붙여넣기'!$A$1:$AZ$1001,ROW(),설정!$C$6)&amp;"",""),",",""),"㎡",""),"m2","")),"")</f>
        <v/>
      </c>
      <c r="E328">
        <f>IFERROR(INDEX('1.산군_붙여넣기'!$A$1:$AZ$1001,ROW(),설정!$C$7)&amp;"","")</f>
        <v/>
      </c>
      <c r="F328">
        <f>IFERROR(INDEX('1.산군_붙여넣기'!$A$1:$AZ$1001,ROW(),설정!$C$8)&amp;"","")</f>
        <v/>
      </c>
      <c r="G328">
        <f>IFERROR(INDEX('1.산군_붙여넣기'!$A$1:$AZ$1001,ROW(),설정!$C$9)&amp;"","")</f>
        <v/>
      </c>
      <c r="H328">
        <f>IFERROR(INDEX('1.산군_붙여넣기'!$A$1:$AZ$1001,ROW(),설정!$C$10)&amp;"","")</f>
        <v/>
      </c>
      <c r="I328">
        <f>IFERROR(INDEX('1.산군_붙여넣기'!$A$1:$AZ$1001,ROW(),설정!$C$11)&amp;"","")</f>
        <v/>
      </c>
      <c r="J328">
        <f>IFERROR(INDEX('1.산군_붙여넣기'!$A$1:$AZ$1001,ROW(),설정!$C$12)&amp;"","")</f>
        <v/>
      </c>
      <c r="K328">
        <f>IFERROR(INDEX('1.산군_붙여넣기'!$A$1:$AZ$1001,ROW(),설정!$C$13)&amp;"","")</f>
        <v/>
      </c>
      <c r="L328" s="6">
        <f>IF(X328="","",IF(AND(LEN(X328)=8,ISNUMBER(X328*1)),DATE(LEFT(X328,4),MID(X328,5,2),RIGHT(X328,2)),IFERROR(DATEVALUE(SUBSTITUTE(SUBSTITUTE(X328,".","-"),"/","-")),IFERROR(X328*1,""))))</f>
        <v/>
      </c>
      <c r="M328" s="6">
        <f>IF(Y328="","",IF(AND(LEN(Y328)=8,ISNUMBER(Y328*1)),DATE(LEFT(Y328,4),MID(Y328,5,2),RIGHT(Y328,2)),IFERROR(DATEVALUE(SUBSTITUTE(SUBSTITUTE(Y328,".","-"),"/","-")),IFERROR(Y328*1,""))))</f>
        <v/>
      </c>
      <c r="N328">
        <f>IFERROR(LEFT(B328,FIND(" ",B328)-1),B328)</f>
        <v/>
      </c>
      <c r="O328">
        <f>AND(B328&lt;&gt;"",B328&lt;&gt;설정!$B$4,C328&lt;&gt;설정!$B$5)</f>
        <v/>
      </c>
      <c r="P328">
        <f>IF(O328,B328&amp;"|"&amp;C328,"")</f>
        <v/>
      </c>
      <c r="Q328">
        <f>AND(O328,COUNTIF(P329:P$1002,P328)=0)</f>
        <v/>
      </c>
      <c r="R328">
        <f>OR(AND(설정!$A$28&lt;&gt;"",ISNUMBER(SEARCH(설정!$A$28,E328&amp;" "&amp;C328))),AND(설정!$A$29&lt;&gt;"",ISNUMBER(SEARCH(설정!$A$29,E328&amp;" "&amp;C328))),AND(설정!$A$30&lt;&gt;"",ISNUMBER(SEARCH(설정!$A$30,E328&amp;" "&amp;C328))),AND(설정!$A$31&lt;&gt;"",ISNUMBER(SEARCH(설정!$A$31,E328&amp;" "&amp;C328))),AND(설정!$A$32&lt;&gt;"",ISNUMBER(SEARCH(설정!$A$32,E328&amp;" "&amp;C328))),AND(설정!$A$33&lt;&gt;"",ISNUMBER(SEARCH(설정!$A$33,E328&amp;" "&amp;C328))),AND(설정!$A$34&lt;&gt;"",ISNUMBER(SEARCH(설정!$A$34,E328&amp;" "&amp;C328))),AND(설정!$A$35&lt;&gt;"",ISNUMBER(SEARCH(설정!$A$35,E328&amp;" "&amp;C328))),AND(설정!$A$36&lt;&gt;"",ISNUMBER(SEARCH(설정!$A$36,E328&amp;" "&amp;C328))),AND(설정!$A$37&lt;&gt;"",ISNUMBER(SEARCH(설정!$A$37,E328&amp;" "&amp;C328))))</f>
        <v/>
      </c>
      <c r="S328">
        <f>OR(D328="",D328&gt;=설정!$B$19)</f>
        <v/>
      </c>
      <c r="T328">
        <f>AND(Q328,R328,S328)</f>
        <v/>
      </c>
      <c r="U328">
        <f>IF(T328,IF(AND(설정!$A$41&lt;&gt;"",ISNUMBER(SEARCH(설정!$A$41,K328))),설정!$B$41,IF(AND(설정!$A$42&lt;&gt;"",ISNUMBER(SEARCH(설정!$A$42,K328))),설정!$B$42,IF(AND(설정!$A$43&lt;&gt;"",ISNUMBER(SEARCH(설정!$A$43,K328))),설정!$B$43,IF(AND(설정!$A$44&lt;&gt;"",ISNUMBER(SEARCH(설정!$A$44,K328))),설정!$B$44,IF(AND(설정!$A$45&lt;&gt;"",ISNUMBER(SEARCH(설정!$A$45,K328))),설정!$B$45,IF(AND(설정!$A$46&lt;&gt;"",ISNUMBER(SEARCH(설정!$A$46,K328))),설정!$B$46,IF(AND(설정!$A$47&lt;&gt;"",ISNUMBER(SEARCH(설정!$A$47,K328))),설정!$B$47,IF(AND(설정!$A$48&lt;&gt;"",ISNUMBER(SEARCH(설정!$A$48,K328))),설정!$B$48,IF(M328="","설계사","시공사"))))))))),"")</f>
        <v/>
      </c>
      <c r="V328">
        <f>SUBSTITUTE(SUBSTITUTE(SUBSTITUTE(SUBSTITUTE(G328,"(주)",""),"㈜",""),"주식회사","")," ","")</f>
        <v/>
      </c>
      <c r="W328">
        <f>IF(AND(T328,V328&lt;&gt;""),IF(COUNTIFS(V$2:V328,V328,T$2:T328,TRUE)=1,MAX(W$1:W327)+1,""),"")</f>
        <v/>
      </c>
      <c r="X328">
        <f>IFERROR(INDEX('1.산군_붙여넣기'!$A$1:$AZ$1001,ROW(),설정!$C$14)&amp;"","")</f>
        <v/>
      </c>
      <c r="Y328">
        <f>IFERROR(INDEX('1.산군_붙여넣기'!$A$1:$AZ$1001,ROW(),설정!$C$15)&amp;"","")</f>
        <v/>
      </c>
      <c r="Z328">
        <f>IF(T328,V328&amp;"|"&amp;U328,"")</f>
        <v/>
      </c>
    </row>
    <row r="329">
      <c r="A329">
        <f>ROW()</f>
        <v/>
      </c>
      <c r="B329">
        <f>IFERROR(INDEX('1.산군_붙여넣기'!$A$1:$AZ$1001,ROW(),설정!$C$4)&amp;"","")</f>
        <v/>
      </c>
      <c r="C329">
        <f>IFERROR(INDEX('1.산군_붙여넣기'!$A$1:$AZ$1001,ROW(),설정!$C$5)&amp;"","")</f>
        <v/>
      </c>
      <c r="D329" s="5">
        <f>IFERROR(VALUE(SUBSTITUTE(SUBSTITUTE(SUBSTITUTE(IFERROR(INDEX('1.산군_붙여넣기'!$A$1:$AZ$1001,ROW(),설정!$C$6)&amp;"",""),",",""),"㎡",""),"m2","")),"")</f>
        <v/>
      </c>
      <c r="E329">
        <f>IFERROR(INDEX('1.산군_붙여넣기'!$A$1:$AZ$1001,ROW(),설정!$C$7)&amp;"","")</f>
        <v/>
      </c>
      <c r="F329">
        <f>IFERROR(INDEX('1.산군_붙여넣기'!$A$1:$AZ$1001,ROW(),설정!$C$8)&amp;"","")</f>
        <v/>
      </c>
      <c r="G329">
        <f>IFERROR(INDEX('1.산군_붙여넣기'!$A$1:$AZ$1001,ROW(),설정!$C$9)&amp;"","")</f>
        <v/>
      </c>
      <c r="H329">
        <f>IFERROR(INDEX('1.산군_붙여넣기'!$A$1:$AZ$1001,ROW(),설정!$C$10)&amp;"","")</f>
        <v/>
      </c>
      <c r="I329">
        <f>IFERROR(INDEX('1.산군_붙여넣기'!$A$1:$AZ$1001,ROW(),설정!$C$11)&amp;"","")</f>
        <v/>
      </c>
      <c r="J329">
        <f>IFERROR(INDEX('1.산군_붙여넣기'!$A$1:$AZ$1001,ROW(),설정!$C$12)&amp;"","")</f>
        <v/>
      </c>
      <c r="K329">
        <f>IFERROR(INDEX('1.산군_붙여넣기'!$A$1:$AZ$1001,ROW(),설정!$C$13)&amp;"","")</f>
        <v/>
      </c>
      <c r="L329" s="6">
        <f>IF(X329="","",IF(AND(LEN(X329)=8,ISNUMBER(X329*1)),DATE(LEFT(X329,4),MID(X329,5,2),RIGHT(X329,2)),IFERROR(DATEVALUE(SUBSTITUTE(SUBSTITUTE(X329,".","-"),"/","-")),IFERROR(X329*1,""))))</f>
        <v/>
      </c>
      <c r="M329" s="6">
        <f>IF(Y329="","",IF(AND(LEN(Y329)=8,ISNUMBER(Y329*1)),DATE(LEFT(Y329,4),MID(Y329,5,2),RIGHT(Y329,2)),IFERROR(DATEVALUE(SUBSTITUTE(SUBSTITUTE(Y329,".","-"),"/","-")),IFERROR(Y329*1,""))))</f>
        <v/>
      </c>
      <c r="N329">
        <f>IFERROR(LEFT(B329,FIND(" ",B329)-1),B329)</f>
        <v/>
      </c>
      <c r="O329">
        <f>AND(B329&lt;&gt;"",B329&lt;&gt;설정!$B$4,C329&lt;&gt;설정!$B$5)</f>
        <v/>
      </c>
      <c r="P329">
        <f>IF(O329,B329&amp;"|"&amp;C329,"")</f>
        <v/>
      </c>
      <c r="Q329">
        <f>AND(O329,COUNTIF(P330:P$1002,P329)=0)</f>
        <v/>
      </c>
      <c r="R329">
        <f>OR(AND(설정!$A$28&lt;&gt;"",ISNUMBER(SEARCH(설정!$A$28,E329&amp;" "&amp;C329))),AND(설정!$A$29&lt;&gt;"",ISNUMBER(SEARCH(설정!$A$29,E329&amp;" "&amp;C329))),AND(설정!$A$30&lt;&gt;"",ISNUMBER(SEARCH(설정!$A$30,E329&amp;" "&amp;C329))),AND(설정!$A$31&lt;&gt;"",ISNUMBER(SEARCH(설정!$A$31,E329&amp;" "&amp;C329))),AND(설정!$A$32&lt;&gt;"",ISNUMBER(SEARCH(설정!$A$32,E329&amp;" "&amp;C329))),AND(설정!$A$33&lt;&gt;"",ISNUMBER(SEARCH(설정!$A$33,E329&amp;" "&amp;C329))),AND(설정!$A$34&lt;&gt;"",ISNUMBER(SEARCH(설정!$A$34,E329&amp;" "&amp;C329))),AND(설정!$A$35&lt;&gt;"",ISNUMBER(SEARCH(설정!$A$35,E329&amp;" "&amp;C329))),AND(설정!$A$36&lt;&gt;"",ISNUMBER(SEARCH(설정!$A$36,E329&amp;" "&amp;C329))),AND(설정!$A$37&lt;&gt;"",ISNUMBER(SEARCH(설정!$A$37,E329&amp;" "&amp;C329))))</f>
        <v/>
      </c>
      <c r="S329">
        <f>OR(D329="",D329&gt;=설정!$B$19)</f>
        <v/>
      </c>
      <c r="T329">
        <f>AND(Q329,R329,S329)</f>
        <v/>
      </c>
      <c r="U329">
        <f>IF(T329,IF(AND(설정!$A$41&lt;&gt;"",ISNUMBER(SEARCH(설정!$A$41,K329))),설정!$B$41,IF(AND(설정!$A$42&lt;&gt;"",ISNUMBER(SEARCH(설정!$A$42,K329))),설정!$B$42,IF(AND(설정!$A$43&lt;&gt;"",ISNUMBER(SEARCH(설정!$A$43,K329))),설정!$B$43,IF(AND(설정!$A$44&lt;&gt;"",ISNUMBER(SEARCH(설정!$A$44,K329))),설정!$B$44,IF(AND(설정!$A$45&lt;&gt;"",ISNUMBER(SEARCH(설정!$A$45,K329))),설정!$B$45,IF(AND(설정!$A$46&lt;&gt;"",ISNUMBER(SEARCH(설정!$A$46,K329))),설정!$B$46,IF(AND(설정!$A$47&lt;&gt;"",ISNUMBER(SEARCH(설정!$A$47,K329))),설정!$B$47,IF(AND(설정!$A$48&lt;&gt;"",ISNUMBER(SEARCH(설정!$A$48,K329))),설정!$B$48,IF(M329="","설계사","시공사"))))))))),"")</f>
        <v/>
      </c>
      <c r="V329">
        <f>SUBSTITUTE(SUBSTITUTE(SUBSTITUTE(SUBSTITUTE(G329,"(주)",""),"㈜",""),"주식회사","")," ","")</f>
        <v/>
      </c>
      <c r="W329">
        <f>IF(AND(T329,V329&lt;&gt;""),IF(COUNTIFS(V$2:V329,V329,T$2:T329,TRUE)=1,MAX(W$1:W328)+1,""),"")</f>
        <v/>
      </c>
      <c r="X329">
        <f>IFERROR(INDEX('1.산군_붙여넣기'!$A$1:$AZ$1001,ROW(),설정!$C$14)&amp;"","")</f>
        <v/>
      </c>
      <c r="Y329">
        <f>IFERROR(INDEX('1.산군_붙여넣기'!$A$1:$AZ$1001,ROW(),설정!$C$15)&amp;"","")</f>
        <v/>
      </c>
      <c r="Z329">
        <f>IF(T329,V329&amp;"|"&amp;U329,"")</f>
        <v/>
      </c>
    </row>
    <row r="330">
      <c r="A330">
        <f>ROW()</f>
        <v/>
      </c>
      <c r="B330">
        <f>IFERROR(INDEX('1.산군_붙여넣기'!$A$1:$AZ$1001,ROW(),설정!$C$4)&amp;"","")</f>
        <v/>
      </c>
      <c r="C330">
        <f>IFERROR(INDEX('1.산군_붙여넣기'!$A$1:$AZ$1001,ROW(),설정!$C$5)&amp;"","")</f>
        <v/>
      </c>
      <c r="D330" s="5">
        <f>IFERROR(VALUE(SUBSTITUTE(SUBSTITUTE(SUBSTITUTE(IFERROR(INDEX('1.산군_붙여넣기'!$A$1:$AZ$1001,ROW(),설정!$C$6)&amp;"",""),",",""),"㎡",""),"m2","")),"")</f>
        <v/>
      </c>
      <c r="E330">
        <f>IFERROR(INDEX('1.산군_붙여넣기'!$A$1:$AZ$1001,ROW(),설정!$C$7)&amp;"","")</f>
        <v/>
      </c>
      <c r="F330">
        <f>IFERROR(INDEX('1.산군_붙여넣기'!$A$1:$AZ$1001,ROW(),설정!$C$8)&amp;"","")</f>
        <v/>
      </c>
      <c r="G330">
        <f>IFERROR(INDEX('1.산군_붙여넣기'!$A$1:$AZ$1001,ROW(),설정!$C$9)&amp;"","")</f>
        <v/>
      </c>
      <c r="H330">
        <f>IFERROR(INDEX('1.산군_붙여넣기'!$A$1:$AZ$1001,ROW(),설정!$C$10)&amp;"","")</f>
        <v/>
      </c>
      <c r="I330">
        <f>IFERROR(INDEX('1.산군_붙여넣기'!$A$1:$AZ$1001,ROW(),설정!$C$11)&amp;"","")</f>
        <v/>
      </c>
      <c r="J330">
        <f>IFERROR(INDEX('1.산군_붙여넣기'!$A$1:$AZ$1001,ROW(),설정!$C$12)&amp;"","")</f>
        <v/>
      </c>
      <c r="K330">
        <f>IFERROR(INDEX('1.산군_붙여넣기'!$A$1:$AZ$1001,ROW(),설정!$C$13)&amp;"","")</f>
        <v/>
      </c>
      <c r="L330" s="6">
        <f>IF(X330="","",IF(AND(LEN(X330)=8,ISNUMBER(X330*1)),DATE(LEFT(X330,4),MID(X330,5,2),RIGHT(X330,2)),IFERROR(DATEVALUE(SUBSTITUTE(SUBSTITUTE(X330,".","-"),"/","-")),IFERROR(X330*1,""))))</f>
        <v/>
      </c>
      <c r="M330" s="6">
        <f>IF(Y330="","",IF(AND(LEN(Y330)=8,ISNUMBER(Y330*1)),DATE(LEFT(Y330,4),MID(Y330,5,2),RIGHT(Y330,2)),IFERROR(DATEVALUE(SUBSTITUTE(SUBSTITUTE(Y330,".","-"),"/","-")),IFERROR(Y330*1,""))))</f>
        <v/>
      </c>
      <c r="N330">
        <f>IFERROR(LEFT(B330,FIND(" ",B330)-1),B330)</f>
        <v/>
      </c>
      <c r="O330">
        <f>AND(B330&lt;&gt;"",B330&lt;&gt;설정!$B$4,C330&lt;&gt;설정!$B$5)</f>
        <v/>
      </c>
      <c r="P330">
        <f>IF(O330,B330&amp;"|"&amp;C330,"")</f>
        <v/>
      </c>
      <c r="Q330">
        <f>AND(O330,COUNTIF(P331:P$1002,P330)=0)</f>
        <v/>
      </c>
      <c r="R330">
        <f>OR(AND(설정!$A$28&lt;&gt;"",ISNUMBER(SEARCH(설정!$A$28,E330&amp;" "&amp;C330))),AND(설정!$A$29&lt;&gt;"",ISNUMBER(SEARCH(설정!$A$29,E330&amp;" "&amp;C330))),AND(설정!$A$30&lt;&gt;"",ISNUMBER(SEARCH(설정!$A$30,E330&amp;" "&amp;C330))),AND(설정!$A$31&lt;&gt;"",ISNUMBER(SEARCH(설정!$A$31,E330&amp;" "&amp;C330))),AND(설정!$A$32&lt;&gt;"",ISNUMBER(SEARCH(설정!$A$32,E330&amp;" "&amp;C330))),AND(설정!$A$33&lt;&gt;"",ISNUMBER(SEARCH(설정!$A$33,E330&amp;" "&amp;C330))),AND(설정!$A$34&lt;&gt;"",ISNUMBER(SEARCH(설정!$A$34,E330&amp;" "&amp;C330))),AND(설정!$A$35&lt;&gt;"",ISNUMBER(SEARCH(설정!$A$35,E330&amp;" "&amp;C330))),AND(설정!$A$36&lt;&gt;"",ISNUMBER(SEARCH(설정!$A$36,E330&amp;" "&amp;C330))),AND(설정!$A$37&lt;&gt;"",ISNUMBER(SEARCH(설정!$A$37,E330&amp;" "&amp;C330))))</f>
        <v/>
      </c>
      <c r="S330">
        <f>OR(D330="",D330&gt;=설정!$B$19)</f>
        <v/>
      </c>
      <c r="T330">
        <f>AND(Q330,R330,S330)</f>
        <v/>
      </c>
      <c r="U330">
        <f>IF(T330,IF(AND(설정!$A$41&lt;&gt;"",ISNUMBER(SEARCH(설정!$A$41,K330))),설정!$B$41,IF(AND(설정!$A$42&lt;&gt;"",ISNUMBER(SEARCH(설정!$A$42,K330))),설정!$B$42,IF(AND(설정!$A$43&lt;&gt;"",ISNUMBER(SEARCH(설정!$A$43,K330))),설정!$B$43,IF(AND(설정!$A$44&lt;&gt;"",ISNUMBER(SEARCH(설정!$A$44,K330))),설정!$B$44,IF(AND(설정!$A$45&lt;&gt;"",ISNUMBER(SEARCH(설정!$A$45,K330))),설정!$B$45,IF(AND(설정!$A$46&lt;&gt;"",ISNUMBER(SEARCH(설정!$A$46,K330))),설정!$B$46,IF(AND(설정!$A$47&lt;&gt;"",ISNUMBER(SEARCH(설정!$A$47,K330))),설정!$B$47,IF(AND(설정!$A$48&lt;&gt;"",ISNUMBER(SEARCH(설정!$A$48,K330))),설정!$B$48,IF(M330="","설계사","시공사"))))))))),"")</f>
        <v/>
      </c>
      <c r="V330">
        <f>SUBSTITUTE(SUBSTITUTE(SUBSTITUTE(SUBSTITUTE(G330,"(주)",""),"㈜",""),"주식회사","")," ","")</f>
        <v/>
      </c>
      <c r="W330">
        <f>IF(AND(T330,V330&lt;&gt;""),IF(COUNTIFS(V$2:V330,V330,T$2:T330,TRUE)=1,MAX(W$1:W329)+1,""),"")</f>
        <v/>
      </c>
      <c r="X330">
        <f>IFERROR(INDEX('1.산군_붙여넣기'!$A$1:$AZ$1001,ROW(),설정!$C$14)&amp;"","")</f>
        <v/>
      </c>
      <c r="Y330">
        <f>IFERROR(INDEX('1.산군_붙여넣기'!$A$1:$AZ$1001,ROW(),설정!$C$15)&amp;"","")</f>
        <v/>
      </c>
      <c r="Z330">
        <f>IF(T330,V330&amp;"|"&amp;U330,"")</f>
        <v/>
      </c>
    </row>
    <row r="331">
      <c r="A331">
        <f>ROW()</f>
        <v/>
      </c>
      <c r="B331">
        <f>IFERROR(INDEX('1.산군_붙여넣기'!$A$1:$AZ$1001,ROW(),설정!$C$4)&amp;"","")</f>
        <v/>
      </c>
      <c r="C331">
        <f>IFERROR(INDEX('1.산군_붙여넣기'!$A$1:$AZ$1001,ROW(),설정!$C$5)&amp;"","")</f>
        <v/>
      </c>
      <c r="D331" s="5">
        <f>IFERROR(VALUE(SUBSTITUTE(SUBSTITUTE(SUBSTITUTE(IFERROR(INDEX('1.산군_붙여넣기'!$A$1:$AZ$1001,ROW(),설정!$C$6)&amp;"",""),",",""),"㎡",""),"m2","")),"")</f>
        <v/>
      </c>
      <c r="E331">
        <f>IFERROR(INDEX('1.산군_붙여넣기'!$A$1:$AZ$1001,ROW(),설정!$C$7)&amp;"","")</f>
        <v/>
      </c>
      <c r="F331">
        <f>IFERROR(INDEX('1.산군_붙여넣기'!$A$1:$AZ$1001,ROW(),설정!$C$8)&amp;"","")</f>
        <v/>
      </c>
      <c r="G331">
        <f>IFERROR(INDEX('1.산군_붙여넣기'!$A$1:$AZ$1001,ROW(),설정!$C$9)&amp;"","")</f>
        <v/>
      </c>
      <c r="H331">
        <f>IFERROR(INDEX('1.산군_붙여넣기'!$A$1:$AZ$1001,ROW(),설정!$C$10)&amp;"","")</f>
        <v/>
      </c>
      <c r="I331">
        <f>IFERROR(INDEX('1.산군_붙여넣기'!$A$1:$AZ$1001,ROW(),설정!$C$11)&amp;"","")</f>
        <v/>
      </c>
      <c r="J331">
        <f>IFERROR(INDEX('1.산군_붙여넣기'!$A$1:$AZ$1001,ROW(),설정!$C$12)&amp;"","")</f>
        <v/>
      </c>
      <c r="K331">
        <f>IFERROR(INDEX('1.산군_붙여넣기'!$A$1:$AZ$1001,ROW(),설정!$C$13)&amp;"","")</f>
        <v/>
      </c>
      <c r="L331" s="6">
        <f>IF(X331="","",IF(AND(LEN(X331)=8,ISNUMBER(X331*1)),DATE(LEFT(X331,4),MID(X331,5,2),RIGHT(X331,2)),IFERROR(DATEVALUE(SUBSTITUTE(SUBSTITUTE(X331,".","-"),"/","-")),IFERROR(X331*1,""))))</f>
        <v/>
      </c>
      <c r="M331" s="6">
        <f>IF(Y331="","",IF(AND(LEN(Y331)=8,ISNUMBER(Y331*1)),DATE(LEFT(Y331,4),MID(Y331,5,2),RIGHT(Y331,2)),IFERROR(DATEVALUE(SUBSTITUTE(SUBSTITUTE(Y331,".","-"),"/","-")),IFERROR(Y331*1,""))))</f>
        <v/>
      </c>
      <c r="N331">
        <f>IFERROR(LEFT(B331,FIND(" ",B331)-1),B331)</f>
        <v/>
      </c>
      <c r="O331">
        <f>AND(B331&lt;&gt;"",B331&lt;&gt;설정!$B$4,C331&lt;&gt;설정!$B$5)</f>
        <v/>
      </c>
      <c r="P331">
        <f>IF(O331,B331&amp;"|"&amp;C331,"")</f>
        <v/>
      </c>
      <c r="Q331">
        <f>AND(O331,COUNTIF(P332:P$1002,P331)=0)</f>
        <v/>
      </c>
      <c r="R331">
        <f>OR(AND(설정!$A$28&lt;&gt;"",ISNUMBER(SEARCH(설정!$A$28,E331&amp;" "&amp;C331))),AND(설정!$A$29&lt;&gt;"",ISNUMBER(SEARCH(설정!$A$29,E331&amp;" "&amp;C331))),AND(설정!$A$30&lt;&gt;"",ISNUMBER(SEARCH(설정!$A$30,E331&amp;" "&amp;C331))),AND(설정!$A$31&lt;&gt;"",ISNUMBER(SEARCH(설정!$A$31,E331&amp;" "&amp;C331))),AND(설정!$A$32&lt;&gt;"",ISNUMBER(SEARCH(설정!$A$32,E331&amp;" "&amp;C331))),AND(설정!$A$33&lt;&gt;"",ISNUMBER(SEARCH(설정!$A$33,E331&amp;" "&amp;C331))),AND(설정!$A$34&lt;&gt;"",ISNUMBER(SEARCH(설정!$A$34,E331&amp;" "&amp;C331))),AND(설정!$A$35&lt;&gt;"",ISNUMBER(SEARCH(설정!$A$35,E331&amp;" "&amp;C331))),AND(설정!$A$36&lt;&gt;"",ISNUMBER(SEARCH(설정!$A$36,E331&amp;" "&amp;C331))),AND(설정!$A$37&lt;&gt;"",ISNUMBER(SEARCH(설정!$A$37,E331&amp;" "&amp;C331))))</f>
        <v/>
      </c>
      <c r="S331">
        <f>OR(D331="",D331&gt;=설정!$B$19)</f>
        <v/>
      </c>
      <c r="T331">
        <f>AND(Q331,R331,S331)</f>
        <v/>
      </c>
      <c r="U331">
        <f>IF(T331,IF(AND(설정!$A$41&lt;&gt;"",ISNUMBER(SEARCH(설정!$A$41,K331))),설정!$B$41,IF(AND(설정!$A$42&lt;&gt;"",ISNUMBER(SEARCH(설정!$A$42,K331))),설정!$B$42,IF(AND(설정!$A$43&lt;&gt;"",ISNUMBER(SEARCH(설정!$A$43,K331))),설정!$B$43,IF(AND(설정!$A$44&lt;&gt;"",ISNUMBER(SEARCH(설정!$A$44,K331))),설정!$B$44,IF(AND(설정!$A$45&lt;&gt;"",ISNUMBER(SEARCH(설정!$A$45,K331))),설정!$B$45,IF(AND(설정!$A$46&lt;&gt;"",ISNUMBER(SEARCH(설정!$A$46,K331))),설정!$B$46,IF(AND(설정!$A$47&lt;&gt;"",ISNUMBER(SEARCH(설정!$A$47,K331))),설정!$B$47,IF(AND(설정!$A$48&lt;&gt;"",ISNUMBER(SEARCH(설정!$A$48,K331))),설정!$B$48,IF(M331="","설계사","시공사"))))))))),"")</f>
        <v/>
      </c>
      <c r="V331">
        <f>SUBSTITUTE(SUBSTITUTE(SUBSTITUTE(SUBSTITUTE(G331,"(주)",""),"㈜",""),"주식회사","")," ","")</f>
        <v/>
      </c>
      <c r="W331">
        <f>IF(AND(T331,V331&lt;&gt;""),IF(COUNTIFS(V$2:V331,V331,T$2:T331,TRUE)=1,MAX(W$1:W330)+1,""),"")</f>
        <v/>
      </c>
      <c r="X331">
        <f>IFERROR(INDEX('1.산군_붙여넣기'!$A$1:$AZ$1001,ROW(),설정!$C$14)&amp;"","")</f>
        <v/>
      </c>
      <c r="Y331">
        <f>IFERROR(INDEX('1.산군_붙여넣기'!$A$1:$AZ$1001,ROW(),설정!$C$15)&amp;"","")</f>
        <v/>
      </c>
      <c r="Z331">
        <f>IF(T331,V331&amp;"|"&amp;U331,"")</f>
        <v/>
      </c>
    </row>
    <row r="332">
      <c r="A332">
        <f>ROW()</f>
        <v/>
      </c>
      <c r="B332">
        <f>IFERROR(INDEX('1.산군_붙여넣기'!$A$1:$AZ$1001,ROW(),설정!$C$4)&amp;"","")</f>
        <v/>
      </c>
      <c r="C332">
        <f>IFERROR(INDEX('1.산군_붙여넣기'!$A$1:$AZ$1001,ROW(),설정!$C$5)&amp;"","")</f>
        <v/>
      </c>
      <c r="D332" s="5">
        <f>IFERROR(VALUE(SUBSTITUTE(SUBSTITUTE(SUBSTITUTE(IFERROR(INDEX('1.산군_붙여넣기'!$A$1:$AZ$1001,ROW(),설정!$C$6)&amp;"",""),",",""),"㎡",""),"m2","")),"")</f>
        <v/>
      </c>
      <c r="E332">
        <f>IFERROR(INDEX('1.산군_붙여넣기'!$A$1:$AZ$1001,ROW(),설정!$C$7)&amp;"","")</f>
        <v/>
      </c>
      <c r="F332">
        <f>IFERROR(INDEX('1.산군_붙여넣기'!$A$1:$AZ$1001,ROW(),설정!$C$8)&amp;"","")</f>
        <v/>
      </c>
      <c r="G332">
        <f>IFERROR(INDEX('1.산군_붙여넣기'!$A$1:$AZ$1001,ROW(),설정!$C$9)&amp;"","")</f>
        <v/>
      </c>
      <c r="H332">
        <f>IFERROR(INDEX('1.산군_붙여넣기'!$A$1:$AZ$1001,ROW(),설정!$C$10)&amp;"","")</f>
        <v/>
      </c>
      <c r="I332">
        <f>IFERROR(INDEX('1.산군_붙여넣기'!$A$1:$AZ$1001,ROW(),설정!$C$11)&amp;"","")</f>
        <v/>
      </c>
      <c r="J332">
        <f>IFERROR(INDEX('1.산군_붙여넣기'!$A$1:$AZ$1001,ROW(),설정!$C$12)&amp;"","")</f>
        <v/>
      </c>
      <c r="K332">
        <f>IFERROR(INDEX('1.산군_붙여넣기'!$A$1:$AZ$1001,ROW(),설정!$C$13)&amp;"","")</f>
        <v/>
      </c>
      <c r="L332" s="6">
        <f>IF(X332="","",IF(AND(LEN(X332)=8,ISNUMBER(X332*1)),DATE(LEFT(X332,4),MID(X332,5,2),RIGHT(X332,2)),IFERROR(DATEVALUE(SUBSTITUTE(SUBSTITUTE(X332,".","-"),"/","-")),IFERROR(X332*1,""))))</f>
        <v/>
      </c>
      <c r="M332" s="6">
        <f>IF(Y332="","",IF(AND(LEN(Y332)=8,ISNUMBER(Y332*1)),DATE(LEFT(Y332,4),MID(Y332,5,2),RIGHT(Y332,2)),IFERROR(DATEVALUE(SUBSTITUTE(SUBSTITUTE(Y332,".","-"),"/","-")),IFERROR(Y332*1,""))))</f>
        <v/>
      </c>
      <c r="N332">
        <f>IFERROR(LEFT(B332,FIND(" ",B332)-1),B332)</f>
        <v/>
      </c>
      <c r="O332">
        <f>AND(B332&lt;&gt;"",B332&lt;&gt;설정!$B$4,C332&lt;&gt;설정!$B$5)</f>
        <v/>
      </c>
      <c r="P332">
        <f>IF(O332,B332&amp;"|"&amp;C332,"")</f>
        <v/>
      </c>
      <c r="Q332">
        <f>AND(O332,COUNTIF(P333:P$1002,P332)=0)</f>
        <v/>
      </c>
      <c r="R332">
        <f>OR(AND(설정!$A$28&lt;&gt;"",ISNUMBER(SEARCH(설정!$A$28,E332&amp;" "&amp;C332))),AND(설정!$A$29&lt;&gt;"",ISNUMBER(SEARCH(설정!$A$29,E332&amp;" "&amp;C332))),AND(설정!$A$30&lt;&gt;"",ISNUMBER(SEARCH(설정!$A$30,E332&amp;" "&amp;C332))),AND(설정!$A$31&lt;&gt;"",ISNUMBER(SEARCH(설정!$A$31,E332&amp;" "&amp;C332))),AND(설정!$A$32&lt;&gt;"",ISNUMBER(SEARCH(설정!$A$32,E332&amp;" "&amp;C332))),AND(설정!$A$33&lt;&gt;"",ISNUMBER(SEARCH(설정!$A$33,E332&amp;" "&amp;C332))),AND(설정!$A$34&lt;&gt;"",ISNUMBER(SEARCH(설정!$A$34,E332&amp;" "&amp;C332))),AND(설정!$A$35&lt;&gt;"",ISNUMBER(SEARCH(설정!$A$35,E332&amp;" "&amp;C332))),AND(설정!$A$36&lt;&gt;"",ISNUMBER(SEARCH(설정!$A$36,E332&amp;" "&amp;C332))),AND(설정!$A$37&lt;&gt;"",ISNUMBER(SEARCH(설정!$A$37,E332&amp;" "&amp;C332))))</f>
        <v/>
      </c>
      <c r="S332">
        <f>OR(D332="",D332&gt;=설정!$B$19)</f>
        <v/>
      </c>
      <c r="T332">
        <f>AND(Q332,R332,S332)</f>
        <v/>
      </c>
      <c r="U332">
        <f>IF(T332,IF(AND(설정!$A$41&lt;&gt;"",ISNUMBER(SEARCH(설정!$A$41,K332))),설정!$B$41,IF(AND(설정!$A$42&lt;&gt;"",ISNUMBER(SEARCH(설정!$A$42,K332))),설정!$B$42,IF(AND(설정!$A$43&lt;&gt;"",ISNUMBER(SEARCH(설정!$A$43,K332))),설정!$B$43,IF(AND(설정!$A$44&lt;&gt;"",ISNUMBER(SEARCH(설정!$A$44,K332))),설정!$B$44,IF(AND(설정!$A$45&lt;&gt;"",ISNUMBER(SEARCH(설정!$A$45,K332))),설정!$B$45,IF(AND(설정!$A$46&lt;&gt;"",ISNUMBER(SEARCH(설정!$A$46,K332))),설정!$B$46,IF(AND(설정!$A$47&lt;&gt;"",ISNUMBER(SEARCH(설정!$A$47,K332))),설정!$B$47,IF(AND(설정!$A$48&lt;&gt;"",ISNUMBER(SEARCH(설정!$A$48,K332))),설정!$B$48,IF(M332="","설계사","시공사"))))))))),"")</f>
        <v/>
      </c>
      <c r="V332">
        <f>SUBSTITUTE(SUBSTITUTE(SUBSTITUTE(SUBSTITUTE(G332,"(주)",""),"㈜",""),"주식회사","")," ","")</f>
        <v/>
      </c>
      <c r="W332">
        <f>IF(AND(T332,V332&lt;&gt;""),IF(COUNTIFS(V$2:V332,V332,T$2:T332,TRUE)=1,MAX(W$1:W331)+1,""),"")</f>
        <v/>
      </c>
      <c r="X332">
        <f>IFERROR(INDEX('1.산군_붙여넣기'!$A$1:$AZ$1001,ROW(),설정!$C$14)&amp;"","")</f>
        <v/>
      </c>
      <c r="Y332">
        <f>IFERROR(INDEX('1.산군_붙여넣기'!$A$1:$AZ$1001,ROW(),설정!$C$15)&amp;"","")</f>
        <v/>
      </c>
      <c r="Z332">
        <f>IF(T332,V332&amp;"|"&amp;U332,"")</f>
        <v/>
      </c>
    </row>
    <row r="333">
      <c r="A333">
        <f>ROW()</f>
        <v/>
      </c>
      <c r="B333">
        <f>IFERROR(INDEX('1.산군_붙여넣기'!$A$1:$AZ$1001,ROW(),설정!$C$4)&amp;"","")</f>
        <v/>
      </c>
      <c r="C333">
        <f>IFERROR(INDEX('1.산군_붙여넣기'!$A$1:$AZ$1001,ROW(),설정!$C$5)&amp;"","")</f>
        <v/>
      </c>
      <c r="D333" s="5">
        <f>IFERROR(VALUE(SUBSTITUTE(SUBSTITUTE(SUBSTITUTE(IFERROR(INDEX('1.산군_붙여넣기'!$A$1:$AZ$1001,ROW(),설정!$C$6)&amp;"",""),",",""),"㎡",""),"m2","")),"")</f>
        <v/>
      </c>
      <c r="E333">
        <f>IFERROR(INDEX('1.산군_붙여넣기'!$A$1:$AZ$1001,ROW(),설정!$C$7)&amp;"","")</f>
        <v/>
      </c>
      <c r="F333">
        <f>IFERROR(INDEX('1.산군_붙여넣기'!$A$1:$AZ$1001,ROW(),설정!$C$8)&amp;"","")</f>
        <v/>
      </c>
      <c r="G333">
        <f>IFERROR(INDEX('1.산군_붙여넣기'!$A$1:$AZ$1001,ROW(),설정!$C$9)&amp;"","")</f>
        <v/>
      </c>
      <c r="H333">
        <f>IFERROR(INDEX('1.산군_붙여넣기'!$A$1:$AZ$1001,ROW(),설정!$C$10)&amp;"","")</f>
        <v/>
      </c>
      <c r="I333">
        <f>IFERROR(INDEX('1.산군_붙여넣기'!$A$1:$AZ$1001,ROW(),설정!$C$11)&amp;"","")</f>
        <v/>
      </c>
      <c r="J333">
        <f>IFERROR(INDEX('1.산군_붙여넣기'!$A$1:$AZ$1001,ROW(),설정!$C$12)&amp;"","")</f>
        <v/>
      </c>
      <c r="K333">
        <f>IFERROR(INDEX('1.산군_붙여넣기'!$A$1:$AZ$1001,ROW(),설정!$C$13)&amp;"","")</f>
        <v/>
      </c>
      <c r="L333" s="6">
        <f>IF(X333="","",IF(AND(LEN(X333)=8,ISNUMBER(X333*1)),DATE(LEFT(X333,4),MID(X333,5,2),RIGHT(X333,2)),IFERROR(DATEVALUE(SUBSTITUTE(SUBSTITUTE(X333,".","-"),"/","-")),IFERROR(X333*1,""))))</f>
        <v/>
      </c>
      <c r="M333" s="6">
        <f>IF(Y333="","",IF(AND(LEN(Y333)=8,ISNUMBER(Y333*1)),DATE(LEFT(Y333,4),MID(Y333,5,2),RIGHT(Y333,2)),IFERROR(DATEVALUE(SUBSTITUTE(SUBSTITUTE(Y333,".","-"),"/","-")),IFERROR(Y333*1,""))))</f>
        <v/>
      </c>
      <c r="N333">
        <f>IFERROR(LEFT(B333,FIND(" ",B333)-1),B333)</f>
        <v/>
      </c>
      <c r="O333">
        <f>AND(B333&lt;&gt;"",B333&lt;&gt;설정!$B$4,C333&lt;&gt;설정!$B$5)</f>
        <v/>
      </c>
      <c r="P333">
        <f>IF(O333,B333&amp;"|"&amp;C333,"")</f>
        <v/>
      </c>
      <c r="Q333">
        <f>AND(O333,COUNTIF(P334:P$1002,P333)=0)</f>
        <v/>
      </c>
      <c r="R333">
        <f>OR(AND(설정!$A$28&lt;&gt;"",ISNUMBER(SEARCH(설정!$A$28,E333&amp;" "&amp;C333))),AND(설정!$A$29&lt;&gt;"",ISNUMBER(SEARCH(설정!$A$29,E333&amp;" "&amp;C333))),AND(설정!$A$30&lt;&gt;"",ISNUMBER(SEARCH(설정!$A$30,E333&amp;" "&amp;C333))),AND(설정!$A$31&lt;&gt;"",ISNUMBER(SEARCH(설정!$A$31,E333&amp;" "&amp;C333))),AND(설정!$A$32&lt;&gt;"",ISNUMBER(SEARCH(설정!$A$32,E333&amp;" "&amp;C333))),AND(설정!$A$33&lt;&gt;"",ISNUMBER(SEARCH(설정!$A$33,E333&amp;" "&amp;C333))),AND(설정!$A$34&lt;&gt;"",ISNUMBER(SEARCH(설정!$A$34,E333&amp;" "&amp;C333))),AND(설정!$A$35&lt;&gt;"",ISNUMBER(SEARCH(설정!$A$35,E333&amp;" "&amp;C333))),AND(설정!$A$36&lt;&gt;"",ISNUMBER(SEARCH(설정!$A$36,E333&amp;" "&amp;C333))),AND(설정!$A$37&lt;&gt;"",ISNUMBER(SEARCH(설정!$A$37,E333&amp;" "&amp;C333))))</f>
        <v/>
      </c>
      <c r="S333">
        <f>OR(D333="",D333&gt;=설정!$B$19)</f>
        <v/>
      </c>
      <c r="T333">
        <f>AND(Q333,R333,S333)</f>
        <v/>
      </c>
      <c r="U333">
        <f>IF(T333,IF(AND(설정!$A$41&lt;&gt;"",ISNUMBER(SEARCH(설정!$A$41,K333))),설정!$B$41,IF(AND(설정!$A$42&lt;&gt;"",ISNUMBER(SEARCH(설정!$A$42,K333))),설정!$B$42,IF(AND(설정!$A$43&lt;&gt;"",ISNUMBER(SEARCH(설정!$A$43,K333))),설정!$B$43,IF(AND(설정!$A$44&lt;&gt;"",ISNUMBER(SEARCH(설정!$A$44,K333))),설정!$B$44,IF(AND(설정!$A$45&lt;&gt;"",ISNUMBER(SEARCH(설정!$A$45,K333))),설정!$B$45,IF(AND(설정!$A$46&lt;&gt;"",ISNUMBER(SEARCH(설정!$A$46,K333))),설정!$B$46,IF(AND(설정!$A$47&lt;&gt;"",ISNUMBER(SEARCH(설정!$A$47,K333))),설정!$B$47,IF(AND(설정!$A$48&lt;&gt;"",ISNUMBER(SEARCH(설정!$A$48,K333))),설정!$B$48,IF(M333="","설계사","시공사"))))))))),"")</f>
        <v/>
      </c>
      <c r="V333">
        <f>SUBSTITUTE(SUBSTITUTE(SUBSTITUTE(SUBSTITUTE(G333,"(주)",""),"㈜",""),"주식회사","")," ","")</f>
        <v/>
      </c>
      <c r="W333">
        <f>IF(AND(T333,V333&lt;&gt;""),IF(COUNTIFS(V$2:V333,V333,T$2:T333,TRUE)=1,MAX(W$1:W332)+1,""),"")</f>
        <v/>
      </c>
      <c r="X333">
        <f>IFERROR(INDEX('1.산군_붙여넣기'!$A$1:$AZ$1001,ROW(),설정!$C$14)&amp;"","")</f>
        <v/>
      </c>
      <c r="Y333">
        <f>IFERROR(INDEX('1.산군_붙여넣기'!$A$1:$AZ$1001,ROW(),설정!$C$15)&amp;"","")</f>
        <v/>
      </c>
      <c r="Z333">
        <f>IF(T333,V333&amp;"|"&amp;U333,"")</f>
        <v/>
      </c>
    </row>
    <row r="334">
      <c r="A334">
        <f>ROW()</f>
        <v/>
      </c>
      <c r="B334">
        <f>IFERROR(INDEX('1.산군_붙여넣기'!$A$1:$AZ$1001,ROW(),설정!$C$4)&amp;"","")</f>
        <v/>
      </c>
      <c r="C334">
        <f>IFERROR(INDEX('1.산군_붙여넣기'!$A$1:$AZ$1001,ROW(),설정!$C$5)&amp;"","")</f>
        <v/>
      </c>
      <c r="D334" s="5">
        <f>IFERROR(VALUE(SUBSTITUTE(SUBSTITUTE(SUBSTITUTE(IFERROR(INDEX('1.산군_붙여넣기'!$A$1:$AZ$1001,ROW(),설정!$C$6)&amp;"",""),",",""),"㎡",""),"m2","")),"")</f>
        <v/>
      </c>
      <c r="E334">
        <f>IFERROR(INDEX('1.산군_붙여넣기'!$A$1:$AZ$1001,ROW(),설정!$C$7)&amp;"","")</f>
        <v/>
      </c>
      <c r="F334">
        <f>IFERROR(INDEX('1.산군_붙여넣기'!$A$1:$AZ$1001,ROW(),설정!$C$8)&amp;"","")</f>
        <v/>
      </c>
      <c r="G334">
        <f>IFERROR(INDEX('1.산군_붙여넣기'!$A$1:$AZ$1001,ROW(),설정!$C$9)&amp;"","")</f>
        <v/>
      </c>
      <c r="H334">
        <f>IFERROR(INDEX('1.산군_붙여넣기'!$A$1:$AZ$1001,ROW(),설정!$C$10)&amp;"","")</f>
        <v/>
      </c>
      <c r="I334">
        <f>IFERROR(INDEX('1.산군_붙여넣기'!$A$1:$AZ$1001,ROW(),설정!$C$11)&amp;"","")</f>
        <v/>
      </c>
      <c r="J334">
        <f>IFERROR(INDEX('1.산군_붙여넣기'!$A$1:$AZ$1001,ROW(),설정!$C$12)&amp;"","")</f>
        <v/>
      </c>
      <c r="K334">
        <f>IFERROR(INDEX('1.산군_붙여넣기'!$A$1:$AZ$1001,ROW(),설정!$C$13)&amp;"","")</f>
        <v/>
      </c>
      <c r="L334" s="6">
        <f>IF(X334="","",IF(AND(LEN(X334)=8,ISNUMBER(X334*1)),DATE(LEFT(X334,4),MID(X334,5,2),RIGHT(X334,2)),IFERROR(DATEVALUE(SUBSTITUTE(SUBSTITUTE(X334,".","-"),"/","-")),IFERROR(X334*1,""))))</f>
        <v/>
      </c>
      <c r="M334" s="6">
        <f>IF(Y334="","",IF(AND(LEN(Y334)=8,ISNUMBER(Y334*1)),DATE(LEFT(Y334,4),MID(Y334,5,2),RIGHT(Y334,2)),IFERROR(DATEVALUE(SUBSTITUTE(SUBSTITUTE(Y334,".","-"),"/","-")),IFERROR(Y334*1,""))))</f>
        <v/>
      </c>
      <c r="N334">
        <f>IFERROR(LEFT(B334,FIND(" ",B334)-1),B334)</f>
        <v/>
      </c>
      <c r="O334">
        <f>AND(B334&lt;&gt;"",B334&lt;&gt;설정!$B$4,C334&lt;&gt;설정!$B$5)</f>
        <v/>
      </c>
      <c r="P334">
        <f>IF(O334,B334&amp;"|"&amp;C334,"")</f>
        <v/>
      </c>
      <c r="Q334">
        <f>AND(O334,COUNTIF(P335:P$1002,P334)=0)</f>
        <v/>
      </c>
      <c r="R334">
        <f>OR(AND(설정!$A$28&lt;&gt;"",ISNUMBER(SEARCH(설정!$A$28,E334&amp;" "&amp;C334))),AND(설정!$A$29&lt;&gt;"",ISNUMBER(SEARCH(설정!$A$29,E334&amp;" "&amp;C334))),AND(설정!$A$30&lt;&gt;"",ISNUMBER(SEARCH(설정!$A$30,E334&amp;" "&amp;C334))),AND(설정!$A$31&lt;&gt;"",ISNUMBER(SEARCH(설정!$A$31,E334&amp;" "&amp;C334))),AND(설정!$A$32&lt;&gt;"",ISNUMBER(SEARCH(설정!$A$32,E334&amp;" "&amp;C334))),AND(설정!$A$33&lt;&gt;"",ISNUMBER(SEARCH(설정!$A$33,E334&amp;" "&amp;C334))),AND(설정!$A$34&lt;&gt;"",ISNUMBER(SEARCH(설정!$A$34,E334&amp;" "&amp;C334))),AND(설정!$A$35&lt;&gt;"",ISNUMBER(SEARCH(설정!$A$35,E334&amp;" "&amp;C334))),AND(설정!$A$36&lt;&gt;"",ISNUMBER(SEARCH(설정!$A$36,E334&amp;" "&amp;C334))),AND(설정!$A$37&lt;&gt;"",ISNUMBER(SEARCH(설정!$A$37,E334&amp;" "&amp;C334))))</f>
        <v/>
      </c>
      <c r="S334">
        <f>OR(D334="",D334&gt;=설정!$B$19)</f>
        <v/>
      </c>
      <c r="T334">
        <f>AND(Q334,R334,S334)</f>
        <v/>
      </c>
      <c r="U334">
        <f>IF(T334,IF(AND(설정!$A$41&lt;&gt;"",ISNUMBER(SEARCH(설정!$A$41,K334))),설정!$B$41,IF(AND(설정!$A$42&lt;&gt;"",ISNUMBER(SEARCH(설정!$A$42,K334))),설정!$B$42,IF(AND(설정!$A$43&lt;&gt;"",ISNUMBER(SEARCH(설정!$A$43,K334))),설정!$B$43,IF(AND(설정!$A$44&lt;&gt;"",ISNUMBER(SEARCH(설정!$A$44,K334))),설정!$B$44,IF(AND(설정!$A$45&lt;&gt;"",ISNUMBER(SEARCH(설정!$A$45,K334))),설정!$B$45,IF(AND(설정!$A$46&lt;&gt;"",ISNUMBER(SEARCH(설정!$A$46,K334))),설정!$B$46,IF(AND(설정!$A$47&lt;&gt;"",ISNUMBER(SEARCH(설정!$A$47,K334))),설정!$B$47,IF(AND(설정!$A$48&lt;&gt;"",ISNUMBER(SEARCH(설정!$A$48,K334))),설정!$B$48,IF(M334="","설계사","시공사"))))))))),"")</f>
        <v/>
      </c>
      <c r="V334">
        <f>SUBSTITUTE(SUBSTITUTE(SUBSTITUTE(SUBSTITUTE(G334,"(주)",""),"㈜",""),"주식회사","")," ","")</f>
        <v/>
      </c>
      <c r="W334">
        <f>IF(AND(T334,V334&lt;&gt;""),IF(COUNTIFS(V$2:V334,V334,T$2:T334,TRUE)=1,MAX(W$1:W333)+1,""),"")</f>
        <v/>
      </c>
      <c r="X334">
        <f>IFERROR(INDEX('1.산군_붙여넣기'!$A$1:$AZ$1001,ROW(),설정!$C$14)&amp;"","")</f>
        <v/>
      </c>
      <c r="Y334">
        <f>IFERROR(INDEX('1.산군_붙여넣기'!$A$1:$AZ$1001,ROW(),설정!$C$15)&amp;"","")</f>
        <v/>
      </c>
      <c r="Z334">
        <f>IF(T334,V334&amp;"|"&amp;U334,"")</f>
        <v/>
      </c>
    </row>
    <row r="335">
      <c r="A335">
        <f>ROW()</f>
        <v/>
      </c>
      <c r="B335">
        <f>IFERROR(INDEX('1.산군_붙여넣기'!$A$1:$AZ$1001,ROW(),설정!$C$4)&amp;"","")</f>
        <v/>
      </c>
      <c r="C335">
        <f>IFERROR(INDEX('1.산군_붙여넣기'!$A$1:$AZ$1001,ROW(),설정!$C$5)&amp;"","")</f>
        <v/>
      </c>
      <c r="D335" s="5">
        <f>IFERROR(VALUE(SUBSTITUTE(SUBSTITUTE(SUBSTITUTE(IFERROR(INDEX('1.산군_붙여넣기'!$A$1:$AZ$1001,ROW(),설정!$C$6)&amp;"",""),",",""),"㎡",""),"m2","")),"")</f>
        <v/>
      </c>
      <c r="E335">
        <f>IFERROR(INDEX('1.산군_붙여넣기'!$A$1:$AZ$1001,ROW(),설정!$C$7)&amp;"","")</f>
        <v/>
      </c>
      <c r="F335">
        <f>IFERROR(INDEX('1.산군_붙여넣기'!$A$1:$AZ$1001,ROW(),설정!$C$8)&amp;"","")</f>
        <v/>
      </c>
      <c r="G335">
        <f>IFERROR(INDEX('1.산군_붙여넣기'!$A$1:$AZ$1001,ROW(),설정!$C$9)&amp;"","")</f>
        <v/>
      </c>
      <c r="H335">
        <f>IFERROR(INDEX('1.산군_붙여넣기'!$A$1:$AZ$1001,ROW(),설정!$C$10)&amp;"","")</f>
        <v/>
      </c>
      <c r="I335">
        <f>IFERROR(INDEX('1.산군_붙여넣기'!$A$1:$AZ$1001,ROW(),설정!$C$11)&amp;"","")</f>
        <v/>
      </c>
      <c r="J335">
        <f>IFERROR(INDEX('1.산군_붙여넣기'!$A$1:$AZ$1001,ROW(),설정!$C$12)&amp;"","")</f>
        <v/>
      </c>
      <c r="K335">
        <f>IFERROR(INDEX('1.산군_붙여넣기'!$A$1:$AZ$1001,ROW(),설정!$C$13)&amp;"","")</f>
        <v/>
      </c>
      <c r="L335" s="6">
        <f>IF(X335="","",IF(AND(LEN(X335)=8,ISNUMBER(X335*1)),DATE(LEFT(X335,4),MID(X335,5,2),RIGHT(X335,2)),IFERROR(DATEVALUE(SUBSTITUTE(SUBSTITUTE(X335,".","-"),"/","-")),IFERROR(X335*1,""))))</f>
        <v/>
      </c>
      <c r="M335" s="6">
        <f>IF(Y335="","",IF(AND(LEN(Y335)=8,ISNUMBER(Y335*1)),DATE(LEFT(Y335,4),MID(Y335,5,2),RIGHT(Y335,2)),IFERROR(DATEVALUE(SUBSTITUTE(SUBSTITUTE(Y335,".","-"),"/","-")),IFERROR(Y335*1,""))))</f>
        <v/>
      </c>
      <c r="N335">
        <f>IFERROR(LEFT(B335,FIND(" ",B335)-1),B335)</f>
        <v/>
      </c>
      <c r="O335">
        <f>AND(B335&lt;&gt;"",B335&lt;&gt;설정!$B$4,C335&lt;&gt;설정!$B$5)</f>
        <v/>
      </c>
      <c r="P335">
        <f>IF(O335,B335&amp;"|"&amp;C335,"")</f>
        <v/>
      </c>
      <c r="Q335">
        <f>AND(O335,COUNTIF(P336:P$1002,P335)=0)</f>
        <v/>
      </c>
      <c r="R335">
        <f>OR(AND(설정!$A$28&lt;&gt;"",ISNUMBER(SEARCH(설정!$A$28,E335&amp;" "&amp;C335))),AND(설정!$A$29&lt;&gt;"",ISNUMBER(SEARCH(설정!$A$29,E335&amp;" "&amp;C335))),AND(설정!$A$30&lt;&gt;"",ISNUMBER(SEARCH(설정!$A$30,E335&amp;" "&amp;C335))),AND(설정!$A$31&lt;&gt;"",ISNUMBER(SEARCH(설정!$A$31,E335&amp;" "&amp;C335))),AND(설정!$A$32&lt;&gt;"",ISNUMBER(SEARCH(설정!$A$32,E335&amp;" "&amp;C335))),AND(설정!$A$33&lt;&gt;"",ISNUMBER(SEARCH(설정!$A$33,E335&amp;" "&amp;C335))),AND(설정!$A$34&lt;&gt;"",ISNUMBER(SEARCH(설정!$A$34,E335&amp;" "&amp;C335))),AND(설정!$A$35&lt;&gt;"",ISNUMBER(SEARCH(설정!$A$35,E335&amp;" "&amp;C335))),AND(설정!$A$36&lt;&gt;"",ISNUMBER(SEARCH(설정!$A$36,E335&amp;" "&amp;C335))),AND(설정!$A$37&lt;&gt;"",ISNUMBER(SEARCH(설정!$A$37,E335&amp;" "&amp;C335))))</f>
        <v/>
      </c>
      <c r="S335">
        <f>OR(D335="",D335&gt;=설정!$B$19)</f>
        <v/>
      </c>
      <c r="T335">
        <f>AND(Q335,R335,S335)</f>
        <v/>
      </c>
      <c r="U335">
        <f>IF(T335,IF(AND(설정!$A$41&lt;&gt;"",ISNUMBER(SEARCH(설정!$A$41,K335))),설정!$B$41,IF(AND(설정!$A$42&lt;&gt;"",ISNUMBER(SEARCH(설정!$A$42,K335))),설정!$B$42,IF(AND(설정!$A$43&lt;&gt;"",ISNUMBER(SEARCH(설정!$A$43,K335))),설정!$B$43,IF(AND(설정!$A$44&lt;&gt;"",ISNUMBER(SEARCH(설정!$A$44,K335))),설정!$B$44,IF(AND(설정!$A$45&lt;&gt;"",ISNUMBER(SEARCH(설정!$A$45,K335))),설정!$B$45,IF(AND(설정!$A$46&lt;&gt;"",ISNUMBER(SEARCH(설정!$A$46,K335))),설정!$B$46,IF(AND(설정!$A$47&lt;&gt;"",ISNUMBER(SEARCH(설정!$A$47,K335))),설정!$B$47,IF(AND(설정!$A$48&lt;&gt;"",ISNUMBER(SEARCH(설정!$A$48,K335))),설정!$B$48,IF(M335="","설계사","시공사"))))))))),"")</f>
        <v/>
      </c>
      <c r="V335">
        <f>SUBSTITUTE(SUBSTITUTE(SUBSTITUTE(SUBSTITUTE(G335,"(주)",""),"㈜",""),"주식회사","")," ","")</f>
        <v/>
      </c>
      <c r="W335">
        <f>IF(AND(T335,V335&lt;&gt;""),IF(COUNTIFS(V$2:V335,V335,T$2:T335,TRUE)=1,MAX(W$1:W334)+1,""),"")</f>
        <v/>
      </c>
      <c r="X335">
        <f>IFERROR(INDEX('1.산군_붙여넣기'!$A$1:$AZ$1001,ROW(),설정!$C$14)&amp;"","")</f>
        <v/>
      </c>
      <c r="Y335">
        <f>IFERROR(INDEX('1.산군_붙여넣기'!$A$1:$AZ$1001,ROW(),설정!$C$15)&amp;"","")</f>
        <v/>
      </c>
      <c r="Z335">
        <f>IF(T335,V335&amp;"|"&amp;U335,"")</f>
        <v/>
      </c>
    </row>
    <row r="336">
      <c r="A336">
        <f>ROW()</f>
        <v/>
      </c>
      <c r="B336">
        <f>IFERROR(INDEX('1.산군_붙여넣기'!$A$1:$AZ$1001,ROW(),설정!$C$4)&amp;"","")</f>
        <v/>
      </c>
      <c r="C336">
        <f>IFERROR(INDEX('1.산군_붙여넣기'!$A$1:$AZ$1001,ROW(),설정!$C$5)&amp;"","")</f>
        <v/>
      </c>
      <c r="D336" s="5">
        <f>IFERROR(VALUE(SUBSTITUTE(SUBSTITUTE(SUBSTITUTE(IFERROR(INDEX('1.산군_붙여넣기'!$A$1:$AZ$1001,ROW(),설정!$C$6)&amp;"",""),",",""),"㎡",""),"m2","")),"")</f>
        <v/>
      </c>
      <c r="E336">
        <f>IFERROR(INDEX('1.산군_붙여넣기'!$A$1:$AZ$1001,ROW(),설정!$C$7)&amp;"","")</f>
        <v/>
      </c>
      <c r="F336">
        <f>IFERROR(INDEX('1.산군_붙여넣기'!$A$1:$AZ$1001,ROW(),설정!$C$8)&amp;"","")</f>
        <v/>
      </c>
      <c r="G336">
        <f>IFERROR(INDEX('1.산군_붙여넣기'!$A$1:$AZ$1001,ROW(),설정!$C$9)&amp;"","")</f>
        <v/>
      </c>
      <c r="H336">
        <f>IFERROR(INDEX('1.산군_붙여넣기'!$A$1:$AZ$1001,ROW(),설정!$C$10)&amp;"","")</f>
        <v/>
      </c>
      <c r="I336">
        <f>IFERROR(INDEX('1.산군_붙여넣기'!$A$1:$AZ$1001,ROW(),설정!$C$11)&amp;"","")</f>
        <v/>
      </c>
      <c r="J336">
        <f>IFERROR(INDEX('1.산군_붙여넣기'!$A$1:$AZ$1001,ROW(),설정!$C$12)&amp;"","")</f>
        <v/>
      </c>
      <c r="K336">
        <f>IFERROR(INDEX('1.산군_붙여넣기'!$A$1:$AZ$1001,ROW(),설정!$C$13)&amp;"","")</f>
        <v/>
      </c>
      <c r="L336" s="6">
        <f>IF(X336="","",IF(AND(LEN(X336)=8,ISNUMBER(X336*1)),DATE(LEFT(X336,4),MID(X336,5,2),RIGHT(X336,2)),IFERROR(DATEVALUE(SUBSTITUTE(SUBSTITUTE(X336,".","-"),"/","-")),IFERROR(X336*1,""))))</f>
        <v/>
      </c>
      <c r="M336" s="6">
        <f>IF(Y336="","",IF(AND(LEN(Y336)=8,ISNUMBER(Y336*1)),DATE(LEFT(Y336,4),MID(Y336,5,2),RIGHT(Y336,2)),IFERROR(DATEVALUE(SUBSTITUTE(SUBSTITUTE(Y336,".","-"),"/","-")),IFERROR(Y336*1,""))))</f>
        <v/>
      </c>
      <c r="N336">
        <f>IFERROR(LEFT(B336,FIND(" ",B336)-1),B336)</f>
        <v/>
      </c>
      <c r="O336">
        <f>AND(B336&lt;&gt;"",B336&lt;&gt;설정!$B$4,C336&lt;&gt;설정!$B$5)</f>
        <v/>
      </c>
      <c r="P336">
        <f>IF(O336,B336&amp;"|"&amp;C336,"")</f>
        <v/>
      </c>
      <c r="Q336">
        <f>AND(O336,COUNTIF(P337:P$1002,P336)=0)</f>
        <v/>
      </c>
      <c r="R336">
        <f>OR(AND(설정!$A$28&lt;&gt;"",ISNUMBER(SEARCH(설정!$A$28,E336&amp;" "&amp;C336))),AND(설정!$A$29&lt;&gt;"",ISNUMBER(SEARCH(설정!$A$29,E336&amp;" "&amp;C336))),AND(설정!$A$30&lt;&gt;"",ISNUMBER(SEARCH(설정!$A$30,E336&amp;" "&amp;C336))),AND(설정!$A$31&lt;&gt;"",ISNUMBER(SEARCH(설정!$A$31,E336&amp;" "&amp;C336))),AND(설정!$A$32&lt;&gt;"",ISNUMBER(SEARCH(설정!$A$32,E336&amp;" "&amp;C336))),AND(설정!$A$33&lt;&gt;"",ISNUMBER(SEARCH(설정!$A$33,E336&amp;" "&amp;C336))),AND(설정!$A$34&lt;&gt;"",ISNUMBER(SEARCH(설정!$A$34,E336&amp;" "&amp;C336))),AND(설정!$A$35&lt;&gt;"",ISNUMBER(SEARCH(설정!$A$35,E336&amp;" "&amp;C336))),AND(설정!$A$36&lt;&gt;"",ISNUMBER(SEARCH(설정!$A$36,E336&amp;" "&amp;C336))),AND(설정!$A$37&lt;&gt;"",ISNUMBER(SEARCH(설정!$A$37,E336&amp;" "&amp;C336))))</f>
        <v/>
      </c>
      <c r="S336">
        <f>OR(D336="",D336&gt;=설정!$B$19)</f>
        <v/>
      </c>
      <c r="T336">
        <f>AND(Q336,R336,S336)</f>
        <v/>
      </c>
      <c r="U336">
        <f>IF(T336,IF(AND(설정!$A$41&lt;&gt;"",ISNUMBER(SEARCH(설정!$A$41,K336))),설정!$B$41,IF(AND(설정!$A$42&lt;&gt;"",ISNUMBER(SEARCH(설정!$A$42,K336))),설정!$B$42,IF(AND(설정!$A$43&lt;&gt;"",ISNUMBER(SEARCH(설정!$A$43,K336))),설정!$B$43,IF(AND(설정!$A$44&lt;&gt;"",ISNUMBER(SEARCH(설정!$A$44,K336))),설정!$B$44,IF(AND(설정!$A$45&lt;&gt;"",ISNUMBER(SEARCH(설정!$A$45,K336))),설정!$B$45,IF(AND(설정!$A$46&lt;&gt;"",ISNUMBER(SEARCH(설정!$A$46,K336))),설정!$B$46,IF(AND(설정!$A$47&lt;&gt;"",ISNUMBER(SEARCH(설정!$A$47,K336))),설정!$B$47,IF(AND(설정!$A$48&lt;&gt;"",ISNUMBER(SEARCH(설정!$A$48,K336))),설정!$B$48,IF(M336="","설계사","시공사"))))))))),"")</f>
        <v/>
      </c>
      <c r="V336">
        <f>SUBSTITUTE(SUBSTITUTE(SUBSTITUTE(SUBSTITUTE(G336,"(주)",""),"㈜",""),"주식회사","")," ","")</f>
        <v/>
      </c>
      <c r="W336">
        <f>IF(AND(T336,V336&lt;&gt;""),IF(COUNTIFS(V$2:V336,V336,T$2:T336,TRUE)=1,MAX(W$1:W335)+1,""),"")</f>
        <v/>
      </c>
      <c r="X336">
        <f>IFERROR(INDEX('1.산군_붙여넣기'!$A$1:$AZ$1001,ROW(),설정!$C$14)&amp;"","")</f>
        <v/>
      </c>
      <c r="Y336">
        <f>IFERROR(INDEX('1.산군_붙여넣기'!$A$1:$AZ$1001,ROW(),설정!$C$15)&amp;"","")</f>
        <v/>
      </c>
      <c r="Z336">
        <f>IF(T336,V336&amp;"|"&amp;U336,"")</f>
        <v/>
      </c>
    </row>
    <row r="337">
      <c r="A337">
        <f>ROW()</f>
        <v/>
      </c>
      <c r="B337">
        <f>IFERROR(INDEX('1.산군_붙여넣기'!$A$1:$AZ$1001,ROW(),설정!$C$4)&amp;"","")</f>
        <v/>
      </c>
      <c r="C337">
        <f>IFERROR(INDEX('1.산군_붙여넣기'!$A$1:$AZ$1001,ROW(),설정!$C$5)&amp;"","")</f>
        <v/>
      </c>
      <c r="D337" s="5">
        <f>IFERROR(VALUE(SUBSTITUTE(SUBSTITUTE(SUBSTITUTE(IFERROR(INDEX('1.산군_붙여넣기'!$A$1:$AZ$1001,ROW(),설정!$C$6)&amp;"",""),",",""),"㎡",""),"m2","")),"")</f>
        <v/>
      </c>
      <c r="E337">
        <f>IFERROR(INDEX('1.산군_붙여넣기'!$A$1:$AZ$1001,ROW(),설정!$C$7)&amp;"","")</f>
        <v/>
      </c>
      <c r="F337">
        <f>IFERROR(INDEX('1.산군_붙여넣기'!$A$1:$AZ$1001,ROW(),설정!$C$8)&amp;"","")</f>
        <v/>
      </c>
      <c r="G337">
        <f>IFERROR(INDEX('1.산군_붙여넣기'!$A$1:$AZ$1001,ROW(),설정!$C$9)&amp;"","")</f>
        <v/>
      </c>
      <c r="H337">
        <f>IFERROR(INDEX('1.산군_붙여넣기'!$A$1:$AZ$1001,ROW(),설정!$C$10)&amp;"","")</f>
        <v/>
      </c>
      <c r="I337">
        <f>IFERROR(INDEX('1.산군_붙여넣기'!$A$1:$AZ$1001,ROW(),설정!$C$11)&amp;"","")</f>
        <v/>
      </c>
      <c r="J337">
        <f>IFERROR(INDEX('1.산군_붙여넣기'!$A$1:$AZ$1001,ROW(),설정!$C$12)&amp;"","")</f>
        <v/>
      </c>
      <c r="K337">
        <f>IFERROR(INDEX('1.산군_붙여넣기'!$A$1:$AZ$1001,ROW(),설정!$C$13)&amp;"","")</f>
        <v/>
      </c>
      <c r="L337" s="6">
        <f>IF(X337="","",IF(AND(LEN(X337)=8,ISNUMBER(X337*1)),DATE(LEFT(X337,4),MID(X337,5,2),RIGHT(X337,2)),IFERROR(DATEVALUE(SUBSTITUTE(SUBSTITUTE(X337,".","-"),"/","-")),IFERROR(X337*1,""))))</f>
        <v/>
      </c>
      <c r="M337" s="6">
        <f>IF(Y337="","",IF(AND(LEN(Y337)=8,ISNUMBER(Y337*1)),DATE(LEFT(Y337,4),MID(Y337,5,2),RIGHT(Y337,2)),IFERROR(DATEVALUE(SUBSTITUTE(SUBSTITUTE(Y337,".","-"),"/","-")),IFERROR(Y337*1,""))))</f>
        <v/>
      </c>
      <c r="N337">
        <f>IFERROR(LEFT(B337,FIND(" ",B337)-1),B337)</f>
        <v/>
      </c>
      <c r="O337">
        <f>AND(B337&lt;&gt;"",B337&lt;&gt;설정!$B$4,C337&lt;&gt;설정!$B$5)</f>
        <v/>
      </c>
      <c r="P337">
        <f>IF(O337,B337&amp;"|"&amp;C337,"")</f>
        <v/>
      </c>
      <c r="Q337">
        <f>AND(O337,COUNTIF(P338:P$1002,P337)=0)</f>
        <v/>
      </c>
      <c r="R337">
        <f>OR(AND(설정!$A$28&lt;&gt;"",ISNUMBER(SEARCH(설정!$A$28,E337&amp;" "&amp;C337))),AND(설정!$A$29&lt;&gt;"",ISNUMBER(SEARCH(설정!$A$29,E337&amp;" "&amp;C337))),AND(설정!$A$30&lt;&gt;"",ISNUMBER(SEARCH(설정!$A$30,E337&amp;" "&amp;C337))),AND(설정!$A$31&lt;&gt;"",ISNUMBER(SEARCH(설정!$A$31,E337&amp;" "&amp;C337))),AND(설정!$A$32&lt;&gt;"",ISNUMBER(SEARCH(설정!$A$32,E337&amp;" "&amp;C337))),AND(설정!$A$33&lt;&gt;"",ISNUMBER(SEARCH(설정!$A$33,E337&amp;" "&amp;C337))),AND(설정!$A$34&lt;&gt;"",ISNUMBER(SEARCH(설정!$A$34,E337&amp;" "&amp;C337))),AND(설정!$A$35&lt;&gt;"",ISNUMBER(SEARCH(설정!$A$35,E337&amp;" "&amp;C337))),AND(설정!$A$36&lt;&gt;"",ISNUMBER(SEARCH(설정!$A$36,E337&amp;" "&amp;C337))),AND(설정!$A$37&lt;&gt;"",ISNUMBER(SEARCH(설정!$A$37,E337&amp;" "&amp;C337))))</f>
        <v/>
      </c>
      <c r="S337">
        <f>OR(D337="",D337&gt;=설정!$B$19)</f>
        <v/>
      </c>
      <c r="T337">
        <f>AND(Q337,R337,S337)</f>
        <v/>
      </c>
      <c r="U337">
        <f>IF(T337,IF(AND(설정!$A$41&lt;&gt;"",ISNUMBER(SEARCH(설정!$A$41,K337))),설정!$B$41,IF(AND(설정!$A$42&lt;&gt;"",ISNUMBER(SEARCH(설정!$A$42,K337))),설정!$B$42,IF(AND(설정!$A$43&lt;&gt;"",ISNUMBER(SEARCH(설정!$A$43,K337))),설정!$B$43,IF(AND(설정!$A$44&lt;&gt;"",ISNUMBER(SEARCH(설정!$A$44,K337))),설정!$B$44,IF(AND(설정!$A$45&lt;&gt;"",ISNUMBER(SEARCH(설정!$A$45,K337))),설정!$B$45,IF(AND(설정!$A$46&lt;&gt;"",ISNUMBER(SEARCH(설정!$A$46,K337))),설정!$B$46,IF(AND(설정!$A$47&lt;&gt;"",ISNUMBER(SEARCH(설정!$A$47,K337))),설정!$B$47,IF(AND(설정!$A$48&lt;&gt;"",ISNUMBER(SEARCH(설정!$A$48,K337))),설정!$B$48,IF(M337="","설계사","시공사"))))))))),"")</f>
        <v/>
      </c>
      <c r="V337">
        <f>SUBSTITUTE(SUBSTITUTE(SUBSTITUTE(SUBSTITUTE(G337,"(주)",""),"㈜",""),"주식회사","")," ","")</f>
        <v/>
      </c>
      <c r="W337">
        <f>IF(AND(T337,V337&lt;&gt;""),IF(COUNTIFS(V$2:V337,V337,T$2:T337,TRUE)=1,MAX(W$1:W336)+1,""),"")</f>
        <v/>
      </c>
      <c r="X337">
        <f>IFERROR(INDEX('1.산군_붙여넣기'!$A$1:$AZ$1001,ROW(),설정!$C$14)&amp;"","")</f>
        <v/>
      </c>
      <c r="Y337">
        <f>IFERROR(INDEX('1.산군_붙여넣기'!$A$1:$AZ$1001,ROW(),설정!$C$15)&amp;"","")</f>
        <v/>
      </c>
      <c r="Z337">
        <f>IF(T337,V337&amp;"|"&amp;U337,"")</f>
        <v/>
      </c>
    </row>
    <row r="338">
      <c r="A338">
        <f>ROW()</f>
        <v/>
      </c>
      <c r="B338">
        <f>IFERROR(INDEX('1.산군_붙여넣기'!$A$1:$AZ$1001,ROW(),설정!$C$4)&amp;"","")</f>
        <v/>
      </c>
      <c r="C338">
        <f>IFERROR(INDEX('1.산군_붙여넣기'!$A$1:$AZ$1001,ROW(),설정!$C$5)&amp;"","")</f>
        <v/>
      </c>
      <c r="D338" s="5">
        <f>IFERROR(VALUE(SUBSTITUTE(SUBSTITUTE(SUBSTITUTE(IFERROR(INDEX('1.산군_붙여넣기'!$A$1:$AZ$1001,ROW(),설정!$C$6)&amp;"",""),",",""),"㎡",""),"m2","")),"")</f>
        <v/>
      </c>
      <c r="E338">
        <f>IFERROR(INDEX('1.산군_붙여넣기'!$A$1:$AZ$1001,ROW(),설정!$C$7)&amp;"","")</f>
        <v/>
      </c>
      <c r="F338">
        <f>IFERROR(INDEX('1.산군_붙여넣기'!$A$1:$AZ$1001,ROW(),설정!$C$8)&amp;"","")</f>
        <v/>
      </c>
      <c r="G338">
        <f>IFERROR(INDEX('1.산군_붙여넣기'!$A$1:$AZ$1001,ROW(),설정!$C$9)&amp;"","")</f>
        <v/>
      </c>
      <c r="H338">
        <f>IFERROR(INDEX('1.산군_붙여넣기'!$A$1:$AZ$1001,ROW(),설정!$C$10)&amp;"","")</f>
        <v/>
      </c>
      <c r="I338">
        <f>IFERROR(INDEX('1.산군_붙여넣기'!$A$1:$AZ$1001,ROW(),설정!$C$11)&amp;"","")</f>
        <v/>
      </c>
      <c r="J338">
        <f>IFERROR(INDEX('1.산군_붙여넣기'!$A$1:$AZ$1001,ROW(),설정!$C$12)&amp;"","")</f>
        <v/>
      </c>
      <c r="K338">
        <f>IFERROR(INDEX('1.산군_붙여넣기'!$A$1:$AZ$1001,ROW(),설정!$C$13)&amp;"","")</f>
        <v/>
      </c>
      <c r="L338" s="6">
        <f>IF(X338="","",IF(AND(LEN(X338)=8,ISNUMBER(X338*1)),DATE(LEFT(X338,4),MID(X338,5,2),RIGHT(X338,2)),IFERROR(DATEVALUE(SUBSTITUTE(SUBSTITUTE(X338,".","-"),"/","-")),IFERROR(X338*1,""))))</f>
        <v/>
      </c>
      <c r="M338" s="6">
        <f>IF(Y338="","",IF(AND(LEN(Y338)=8,ISNUMBER(Y338*1)),DATE(LEFT(Y338,4),MID(Y338,5,2),RIGHT(Y338,2)),IFERROR(DATEVALUE(SUBSTITUTE(SUBSTITUTE(Y338,".","-"),"/","-")),IFERROR(Y338*1,""))))</f>
        <v/>
      </c>
      <c r="N338">
        <f>IFERROR(LEFT(B338,FIND(" ",B338)-1),B338)</f>
        <v/>
      </c>
      <c r="O338">
        <f>AND(B338&lt;&gt;"",B338&lt;&gt;설정!$B$4,C338&lt;&gt;설정!$B$5)</f>
        <v/>
      </c>
      <c r="P338">
        <f>IF(O338,B338&amp;"|"&amp;C338,"")</f>
        <v/>
      </c>
      <c r="Q338">
        <f>AND(O338,COUNTIF(P339:P$1002,P338)=0)</f>
        <v/>
      </c>
      <c r="R338">
        <f>OR(AND(설정!$A$28&lt;&gt;"",ISNUMBER(SEARCH(설정!$A$28,E338&amp;" "&amp;C338))),AND(설정!$A$29&lt;&gt;"",ISNUMBER(SEARCH(설정!$A$29,E338&amp;" "&amp;C338))),AND(설정!$A$30&lt;&gt;"",ISNUMBER(SEARCH(설정!$A$30,E338&amp;" "&amp;C338))),AND(설정!$A$31&lt;&gt;"",ISNUMBER(SEARCH(설정!$A$31,E338&amp;" "&amp;C338))),AND(설정!$A$32&lt;&gt;"",ISNUMBER(SEARCH(설정!$A$32,E338&amp;" "&amp;C338))),AND(설정!$A$33&lt;&gt;"",ISNUMBER(SEARCH(설정!$A$33,E338&amp;" "&amp;C338))),AND(설정!$A$34&lt;&gt;"",ISNUMBER(SEARCH(설정!$A$34,E338&amp;" "&amp;C338))),AND(설정!$A$35&lt;&gt;"",ISNUMBER(SEARCH(설정!$A$35,E338&amp;" "&amp;C338))),AND(설정!$A$36&lt;&gt;"",ISNUMBER(SEARCH(설정!$A$36,E338&amp;" "&amp;C338))),AND(설정!$A$37&lt;&gt;"",ISNUMBER(SEARCH(설정!$A$37,E338&amp;" "&amp;C338))))</f>
        <v/>
      </c>
      <c r="S338">
        <f>OR(D338="",D338&gt;=설정!$B$19)</f>
        <v/>
      </c>
      <c r="T338">
        <f>AND(Q338,R338,S338)</f>
        <v/>
      </c>
      <c r="U338">
        <f>IF(T338,IF(AND(설정!$A$41&lt;&gt;"",ISNUMBER(SEARCH(설정!$A$41,K338))),설정!$B$41,IF(AND(설정!$A$42&lt;&gt;"",ISNUMBER(SEARCH(설정!$A$42,K338))),설정!$B$42,IF(AND(설정!$A$43&lt;&gt;"",ISNUMBER(SEARCH(설정!$A$43,K338))),설정!$B$43,IF(AND(설정!$A$44&lt;&gt;"",ISNUMBER(SEARCH(설정!$A$44,K338))),설정!$B$44,IF(AND(설정!$A$45&lt;&gt;"",ISNUMBER(SEARCH(설정!$A$45,K338))),설정!$B$45,IF(AND(설정!$A$46&lt;&gt;"",ISNUMBER(SEARCH(설정!$A$46,K338))),설정!$B$46,IF(AND(설정!$A$47&lt;&gt;"",ISNUMBER(SEARCH(설정!$A$47,K338))),설정!$B$47,IF(AND(설정!$A$48&lt;&gt;"",ISNUMBER(SEARCH(설정!$A$48,K338))),설정!$B$48,IF(M338="","설계사","시공사"))))))))),"")</f>
        <v/>
      </c>
      <c r="V338">
        <f>SUBSTITUTE(SUBSTITUTE(SUBSTITUTE(SUBSTITUTE(G338,"(주)",""),"㈜",""),"주식회사","")," ","")</f>
        <v/>
      </c>
      <c r="W338">
        <f>IF(AND(T338,V338&lt;&gt;""),IF(COUNTIFS(V$2:V338,V338,T$2:T338,TRUE)=1,MAX(W$1:W337)+1,""),"")</f>
        <v/>
      </c>
      <c r="X338">
        <f>IFERROR(INDEX('1.산군_붙여넣기'!$A$1:$AZ$1001,ROW(),설정!$C$14)&amp;"","")</f>
        <v/>
      </c>
      <c r="Y338">
        <f>IFERROR(INDEX('1.산군_붙여넣기'!$A$1:$AZ$1001,ROW(),설정!$C$15)&amp;"","")</f>
        <v/>
      </c>
      <c r="Z338">
        <f>IF(T338,V338&amp;"|"&amp;U338,"")</f>
        <v/>
      </c>
    </row>
    <row r="339">
      <c r="A339">
        <f>ROW()</f>
        <v/>
      </c>
      <c r="B339">
        <f>IFERROR(INDEX('1.산군_붙여넣기'!$A$1:$AZ$1001,ROW(),설정!$C$4)&amp;"","")</f>
        <v/>
      </c>
      <c r="C339">
        <f>IFERROR(INDEX('1.산군_붙여넣기'!$A$1:$AZ$1001,ROW(),설정!$C$5)&amp;"","")</f>
        <v/>
      </c>
      <c r="D339" s="5">
        <f>IFERROR(VALUE(SUBSTITUTE(SUBSTITUTE(SUBSTITUTE(IFERROR(INDEX('1.산군_붙여넣기'!$A$1:$AZ$1001,ROW(),설정!$C$6)&amp;"",""),",",""),"㎡",""),"m2","")),"")</f>
        <v/>
      </c>
      <c r="E339">
        <f>IFERROR(INDEX('1.산군_붙여넣기'!$A$1:$AZ$1001,ROW(),설정!$C$7)&amp;"","")</f>
        <v/>
      </c>
      <c r="F339">
        <f>IFERROR(INDEX('1.산군_붙여넣기'!$A$1:$AZ$1001,ROW(),설정!$C$8)&amp;"","")</f>
        <v/>
      </c>
      <c r="G339">
        <f>IFERROR(INDEX('1.산군_붙여넣기'!$A$1:$AZ$1001,ROW(),설정!$C$9)&amp;"","")</f>
        <v/>
      </c>
      <c r="H339">
        <f>IFERROR(INDEX('1.산군_붙여넣기'!$A$1:$AZ$1001,ROW(),설정!$C$10)&amp;"","")</f>
        <v/>
      </c>
      <c r="I339">
        <f>IFERROR(INDEX('1.산군_붙여넣기'!$A$1:$AZ$1001,ROW(),설정!$C$11)&amp;"","")</f>
        <v/>
      </c>
      <c r="J339">
        <f>IFERROR(INDEX('1.산군_붙여넣기'!$A$1:$AZ$1001,ROW(),설정!$C$12)&amp;"","")</f>
        <v/>
      </c>
      <c r="K339">
        <f>IFERROR(INDEX('1.산군_붙여넣기'!$A$1:$AZ$1001,ROW(),설정!$C$13)&amp;"","")</f>
        <v/>
      </c>
      <c r="L339" s="6">
        <f>IF(X339="","",IF(AND(LEN(X339)=8,ISNUMBER(X339*1)),DATE(LEFT(X339,4),MID(X339,5,2),RIGHT(X339,2)),IFERROR(DATEVALUE(SUBSTITUTE(SUBSTITUTE(X339,".","-"),"/","-")),IFERROR(X339*1,""))))</f>
        <v/>
      </c>
      <c r="M339" s="6">
        <f>IF(Y339="","",IF(AND(LEN(Y339)=8,ISNUMBER(Y339*1)),DATE(LEFT(Y339,4),MID(Y339,5,2),RIGHT(Y339,2)),IFERROR(DATEVALUE(SUBSTITUTE(SUBSTITUTE(Y339,".","-"),"/","-")),IFERROR(Y339*1,""))))</f>
        <v/>
      </c>
      <c r="N339">
        <f>IFERROR(LEFT(B339,FIND(" ",B339)-1),B339)</f>
        <v/>
      </c>
      <c r="O339">
        <f>AND(B339&lt;&gt;"",B339&lt;&gt;설정!$B$4,C339&lt;&gt;설정!$B$5)</f>
        <v/>
      </c>
      <c r="P339">
        <f>IF(O339,B339&amp;"|"&amp;C339,"")</f>
        <v/>
      </c>
      <c r="Q339">
        <f>AND(O339,COUNTIF(P340:P$1002,P339)=0)</f>
        <v/>
      </c>
      <c r="R339">
        <f>OR(AND(설정!$A$28&lt;&gt;"",ISNUMBER(SEARCH(설정!$A$28,E339&amp;" "&amp;C339))),AND(설정!$A$29&lt;&gt;"",ISNUMBER(SEARCH(설정!$A$29,E339&amp;" "&amp;C339))),AND(설정!$A$30&lt;&gt;"",ISNUMBER(SEARCH(설정!$A$30,E339&amp;" "&amp;C339))),AND(설정!$A$31&lt;&gt;"",ISNUMBER(SEARCH(설정!$A$31,E339&amp;" "&amp;C339))),AND(설정!$A$32&lt;&gt;"",ISNUMBER(SEARCH(설정!$A$32,E339&amp;" "&amp;C339))),AND(설정!$A$33&lt;&gt;"",ISNUMBER(SEARCH(설정!$A$33,E339&amp;" "&amp;C339))),AND(설정!$A$34&lt;&gt;"",ISNUMBER(SEARCH(설정!$A$34,E339&amp;" "&amp;C339))),AND(설정!$A$35&lt;&gt;"",ISNUMBER(SEARCH(설정!$A$35,E339&amp;" "&amp;C339))),AND(설정!$A$36&lt;&gt;"",ISNUMBER(SEARCH(설정!$A$36,E339&amp;" "&amp;C339))),AND(설정!$A$37&lt;&gt;"",ISNUMBER(SEARCH(설정!$A$37,E339&amp;" "&amp;C339))))</f>
        <v/>
      </c>
      <c r="S339">
        <f>OR(D339="",D339&gt;=설정!$B$19)</f>
        <v/>
      </c>
      <c r="T339">
        <f>AND(Q339,R339,S339)</f>
        <v/>
      </c>
      <c r="U339">
        <f>IF(T339,IF(AND(설정!$A$41&lt;&gt;"",ISNUMBER(SEARCH(설정!$A$41,K339))),설정!$B$41,IF(AND(설정!$A$42&lt;&gt;"",ISNUMBER(SEARCH(설정!$A$42,K339))),설정!$B$42,IF(AND(설정!$A$43&lt;&gt;"",ISNUMBER(SEARCH(설정!$A$43,K339))),설정!$B$43,IF(AND(설정!$A$44&lt;&gt;"",ISNUMBER(SEARCH(설정!$A$44,K339))),설정!$B$44,IF(AND(설정!$A$45&lt;&gt;"",ISNUMBER(SEARCH(설정!$A$45,K339))),설정!$B$45,IF(AND(설정!$A$46&lt;&gt;"",ISNUMBER(SEARCH(설정!$A$46,K339))),설정!$B$46,IF(AND(설정!$A$47&lt;&gt;"",ISNUMBER(SEARCH(설정!$A$47,K339))),설정!$B$47,IF(AND(설정!$A$48&lt;&gt;"",ISNUMBER(SEARCH(설정!$A$48,K339))),설정!$B$48,IF(M339="","설계사","시공사"))))))))),"")</f>
        <v/>
      </c>
      <c r="V339">
        <f>SUBSTITUTE(SUBSTITUTE(SUBSTITUTE(SUBSTITUTE(G339,"(주)",""),"㈜",""),"주식회사","")," ","")</f>
        <v/>
      </c>
      <c r="W339">
        <f>IF(AND(T339,V339&lt;&gt;""),IF(COUNTIFS(V$2:V339,V339,T$2:T339,TRUE)=1,MAX(W$1:W338)+1,""),"")</f>
        <v/>
      </c>
      <c r="X339">
        <f>IFERROR(INDEX('1.산군_붙여넣기'!$A$1:$AZ$1001,ROW(),설정!$C$14)&amp;"","")</f>
        <v/>
      </c>
      <c r="Y339">
        <f>IFERROR(INDEX('1.산군_붙여넣기'!$A$1:$AZ$1001,ROW(),설정!$C$15)&amp;"","")</f>
        <v/>
      </c>
      <c r="Z339">
        <f>IF(T339,V339&amp;"|"&amp;U339,"")</f>
        <v/>
      </c>
    </row>
    <row r="340">
      <c r="A340">
        <f>ROW()</f>
        <v/>
      </c>
      <c r="B340">
        <f>IFERROR(INDEX('1.산군_붙여넣기'!$A$1:$AZ$1001,ROW(),설정!$C$4)&amp;"","")</f>
        <v/>
      </c>
      <c r="C340">
        <f>IFERROR(INDEX('1.산군_붙여넣기'!$A$1:$AZ$1001,ROW(),설정!$C$5)&amp;"","")</f>
        <v/>
      </c>
      <c r="D340" s="5">
        <f>IFERROR(VALUE(SUBSTITUTE(SUBSTITUTE(SUBSTITUTE(IFERROR(INDEX('1.산군_붙여넣기'!$A$1:$AZ$1001,ROW(),설정!$C$6)&amp;"",""),",",""),"㎡",""),"m2","")),"")</f>
        <v/>
      </c>
      <c r="E340">
        <f>IFERROR(INDEX('1.산군_붙여넣기'!$A$1:$AZ$1001,ROW(),설정!$C$7)&amp;"","")</f>
        <v/>
      </c>
      <c r="F340">
        <f>IFERROR(INDEX('1.산군_붙여넣기'!$A$1:$AZ$1001,ROW(),설정!$C$8)&amp;"","")</f>
        <v/>
      </c>
      <c r="G340">
        <f>IFERROR(INDEX('1.산군_붙여넣기'!$A$1:$AZ$1001,ROW(),설정!$C$9)&amp;"","")</f>
        <v/>
      </c>
      <c r="H340">
        <f>IFERROR(INDEX('1.산군_붙여넣기'!$A$1:$AZ$1001,ROW(),설정!$C$10)&amp;"","")</f>
        <v/>
      </c>
      <c r="I340">
        <f>IFERROR(INDEX('1.산군_붙여넣기'!$A$1:$AZ$1001,ROW(),설정!$C$11)&amp;"","")</f>
        <v/>
      </c>
      <c r="J340">
        <f>IFERROR(INDEX('1.산군_붙여넣기'!$A$1:$AZ$1001,ROW(),설정!$C$12)&amp;"","")</f>
        <v/>
      </c>
      <c r="K340">
        <f>IFERROR(INDEX('1.산군_붙여넣기'!$A$1:$AZ$1001,ROW(),설정!$C$13)&amp;"","")</f>
        <v/>
      </c>
      <c r="L340" s="6">
        <f>IF(X340="","",IF(AND(LEN(X340)=8,ISNUMBER(X340*1)),DATE(LEFT(X340,4),MID(X340,5,2),RIGHT(X340,2)),IFERROR(DATEVALUE(SUBSTITUTE(SUBSTITUTE(X340,".","-"),"/","-")),IFERROR(X340*1,""))))</f>
        <v/>
      </c>
      <c r="M340" s="6">
        <f>IF(Y340="","",IF(AND(LEN(Y340)=8,ISNUMBER(Y340*1)),DATE(LEFT(Y340,4),MID(Y340,5,2),RIGHT(Y340,2)),IFERROR(DATEVALUE(SUBSTITUTE(SUBSTITUTE(Y340,".","-"),"/","-")),IFERROR(Y340*1,""))))</f>
        <v/>
      </c>
      <c r="N340">
        <f>IFERROR(LEFT(B340,FIND(" ",B340)-1),B340)</f>
        <v/>
      </c>
      <c r="O340">
        <f>AND(B340&lt;&gt;"",B340&lt;&gt;설정!$B$4,C340&lt;&gt;설정!$B$5)</f>
        <v/>
      </c>
      <c r="P340">
        <f>IF(O340,B340&amp;"|"&amp;C340,"")</f>
        <v/>
      </c>
      <c r="Q340">
        <f>AND(O340,COUNTIF(P341:P$1002,P340)=0)</f>
        <v/>
      </c>
      <c r="R340">
        <f>OR(AND(설정!$A$28&lt;&gt;"",ISNUMBER(SEARCH(설정!$A$28,E340&amp;" "&amp;C340))),AND(설정!$A$29&lt;&gt;"",ISNUMBER(SEARCH(설정!$A$29,E340&amp;" "&amp;C340))),AND(설정!$A$30&lt;&gt;"",ISNUMBER(SEARCH(설정!$A$30,E340&amp;" "&amp;C340))),AND(설정!$A$31&lt;&gt;"",ISNUMBER(SEARCH(설정!$A$31,E340&amp;" "&amp;C340))),AND(설정!$A$32&lt;&gt;"",ISNUMBER(SEARCH(설정!$A$32,E340&amp;" "&amp;C340))),AND(설정!$A$33&lt;&gt;"",ISNUMBER(SEARCH(설정!$A$33,E340&amp;" "&amp;C340))),AND(설정!$A$34&lt;&gt;"",ISNUMBER(SEARCH(설정!$A$34,E340&amp;" "&amp;C340))),AND(설정!$A$35&lt;&gt;"",ISNUMBER(SEARCH(설정!$A$35,E340&amp;" "&amp;C340))),AND(설정!$A$36&lt;&gt;"",ISNUMBER(SEARCH(설정!$A$36,E340&amp;" "&amp;C340))),AND(설정!$A$37&lt;&gt;"",ISNUMBER(SEARCH(설정!$A$37,E340&amp;" "&amp;C340))))</f>
        <v/>
      </c>
      <c r="S340">
        <f>OR(D340="",D340&gt;=설정!$B$19)</f>
        <v/>
      </c>
      <c r="T340">
        <f>AND(Q340,R340,S340)</f>
        <v/>
      </c>
      <c r="U340">
        <f>IF(T340,IF(AND(설정!$A$41&lt;&gt;"",ISNUMBER(SEARCH(설정!$A$41,K340))),설정!$B$41,IF(AND(설정!$A$42&lt;&gt;"",ISNUMBER(SEARCH(설정!$A$42,K340))),설정!$B$42,IF(AND(설정!$A$43&lt;&gt;"",ISNUMBER(SEARCH(설정!$A$43,K340))),설정!$B$43,IF(AND(설정!$A$44&lt;&gt;"",ISNUMBER(SEARCH(설정!$A$44,K340))),설정!$B$44,IF(AND(설정!$A$45&lt;&gt;"",ISNUMBER(SEARCH(설정!$A$45,K340))),설정!$B$45,IF(AND(설정!$A$46&lt;&gt;"",ISNUMBER(SEARCH(설정!$A$46,K340))),설정!$B$46,IF(AND(설정!$A$47&lt;&gt;"",ISNUMBER(SEARCH(설정!$A$47,K340))),설정!$B$47,IF(AND(설정!$A$48&lt;&gt;"",ISNUMBER(SEARCH(설정!$A$48,K340))),설정!$B$48,IF(M340="","설계사","시공사"))))))))),"")</f>
        <v/>
      </c>
      <c r="V340">
        <f>SUBSTITUTE(SUBSTITUTE(SUBSTITUTE(SUBSTITUTE(G340,"(주)",""),"㈜",""),"주식회사","")," ","")</f>
        <v/>
      </c>
      <c r="W340">
        <f>IF(AND(T340,V340&lt;&gt;""),IF(COUNTIFS(V$2:V340,V340,T$2:T340,TRUE)=1,MAX(W$1:W339)+1,""),"")</f>
        <v/>
      </c>
      <c r="X340">
        <f>IFERROR(INDEX('1.산군_붙여넣기'!$A$1:$AZ$1001,ROW(),설정!$C$14)&amp;"","")</f>
        <v/>
      </c>
      <c r="Y340">
        <f>IFERROR(INDEX('1.산군_붙여넣기'!$A$1:$AZ$1001,ROW(),설정!$C$15)&amp;"","")</f>
        <v/>
      </c>
      <c r="Z340">
        <f>IF(T340,V340&amp;"|"&amp;U340,"")</f>
        <v/>
      </c>
    </row>
    <row r="341">
      <c r="A341">
        <f>ROW()</f>
        <v/>
      </c>
      <c r="B341">
        <f>IFERROR(INDEX('1.산군_붙여넣기'!$A$1:$AZ$1001,ROW(),설정!$C$4)&amp;"","")</f>
        <v/>
      </c>
      <c r="C341">
        <f>IFERROR(INDEX('1.산군_붙여넣기'!$A$1:$AZ$1001,ROW(),설정!$C$5)&amp;"","")</f>
        <v/>
      </c>
      <c r="D341" s="5">
        <f>IFERROR(VALUE(SUBSTITUTE(SUBSTITUTE(SUBSTITUTE(IFERROR(INDEX('1.산군_붙여넣기'!$A$1:$AZ$1001,ROW(),설정!$C$6)&amp;"",""),",",""),"㎡",""),"m2","")),"")</f>
        <v/>
      </c>
      <c r="E341">
        <f>IFERROR(INDEX('1.산군_붙여넣기'!$A$1:$AZ$1001,ROW(),설정!$C$7)&amp;"","")</f>
        <v/>
      </c>
      <c r="F341">
        <f>IFERROR(INDEX('1.산군_붙여넣기'!$A$1:$AZ$1001,ROW(),설정!$C$8)&amp;"","")</f>
        <v/>
      </c>
      <c r="G341">
        <f>IFERROR(INDEX('1.산군_붙여넣기'!$A$1:$AZ$1001,ROW(),설정!$C$9)&amp;"","")</f>
        <v/>
      </c>
      <c r="H341">
        <f>IFERROR(INDEX('1.산군_붙여넣기'!$A$1:$AZ$1001,ROW(),설정!$C$10)&amp;"","")</f>
        <v/>
      </c>
      <c r="I341">
        <f>IFERROR(INDEX('1.산군_붙여넣기'!$A$1:$AZ$1001,ROW(),설정!$C$11)&amp;"","")</f>
        <v/>
      </c>
      <c r="J341">
        <f>IFERROR(INDEX('1.산군_붙여넣기'!$A$1:$AZ$1001,ROW(),설정!$C$12)&amp;"","")</f>
        <v/>
      </c>
      <c r="K341">
        <f>IFERROR(INDEX('1.산군_붙여넣기'!$A$1:$AZ$1001,ROW(),설정!$C$13)&amp;"","")</f>
        <v/>
      </c>
      <c r="L341" s="6">
        <f>IF(X341="","",IF(AND(LEN(X341)=8,ISNUMBER(X341*1)),DATE(LEFT(X341,4),MID(X341,5,2),RIGHT(X341,2)),IFERROR(DATEVALUE(SUBSTITUTE(SUBSTITUTE(X341,".","-"),"/","-")),IFERROR(X341*1,""))))</f>
        <v/>
      </c>
      <c r="M341" s="6">
        <f>IF(Y341="","",IF(AND(LEN(Y341)=8,ISNUMBER(Y341*1)),DATE(LEFT(Y341,4),MID(Y341,5,2),RIGHT(Y341,2)),IFERROR(DATEVALUE(SUBSTITUTE(SUBSTITUTE(Y341,".","-"),"/","-")),IFERROR(Y341*1,""))))</f>
        <v/>
      </c>
      <c r="N341">
        <f>IFERROR(LEFT(B341,FIND(" ",B341)-1),B341)</f>
        <v/>
      </c>
      <c r="O341">
        <f>AND(B341&lt;&gt;"",B341&lt;&gt;설정!$B$4,C341&lt;&gt;설정!$B$5)</f>
        <v/>
      </c>
      <c r="P341">
        <f>IF(O341,B341&amp;"|"&amp;C341,"")</f>
        <v/>
      </c>
      <c r="Q341">
        <f>AND(O341,COUNTIF(P342:P$1002,P341)=0)</f>
        <v/>
      </c>
      <c r="R341">
        <f>OR(AND(설정!$A$28&lt;&gt;"",ISNUMBER(SEARCH(설정!$A$28,E341&amp;" "&amp;C341))),AND(설정!$A$29&lt;&gt;"",ISNUMBER(SEARCH(설정!$A$29,E341&amp;" "&amp;C341))),AND(설정!$A$30&lt;&gt;"",ISNUMBER(SEARCH(설정!$A$30,E341&amp;" "&amp;C341))),AND(설정!$A$31&lt;&gt;"",ISNUMBER(SEARCH(설정!$A$31,E341&amp;" "&amp;C341))),AND(설정!$A$32&lt;&gt;"",ISNUMBER(SEARCH(설정!$A$32,E341&amp;" "&amp;C341))),AND(설정!$A$33&lt;&gt;"",ISNUMBER(SEARCH(설정!$A$33,E341&amp;" "&amp;C341))),AND(설정!$A$34&lt;&gt;"",ISNUMBER(SEARCH(설정!$A$34,E341&amp;" "&amp;C341))),AND(설정!$A$35&lt;&gt;"",ISNUMBER(SEARCH(설정!$A$35,E341&amp;" "&amp;C341))),AND(설정!$A$36&lt;&gt;"",ISNUMBER(SEARCH(설정!$A$36,E341&amp;" "&amp;C341))),AND(설정!$A$37&lt;&gt;"",ISNUMBER(SEARCH(설정!$A$37,E341&amp;" "&amp;C341))))</f>
        <v/>
      </c>
      <c r="S341">
        <f>OR(D341="",D341&gt;=설정!$B$19)</f>
        <v/>
      </c>
      <c r="T341">
        <f>AND(Q341,R341,S341)</f>
        <v/>
      </c>
      <c r="U341">
        <f>IF(T341,IF(AND(설정!$A$41&lt;&gt;"",ISNUMBER(SEARCH(설정!$A$41,K341))),설정!$B$41,IF(AND(설정!$A$42&lt;&gt;"",ISNUMBER(SEARCH(설정!$A$42,K341))),설정!$B$42,IF(AND(설정!$A$43&lt;&gt;"",ISNUMBER(SEARCH(설정!$A$43,K341))),설정!$B$43,IF(AND(설정!$A$44&lt;&gt;"",ISNUMBER(SEARCH(설정!$A$44,K341))),설정!$B$44,IF(AND(설정!$A$45&lt;&gt;"",ISNUMBER(SEARCH(설정!$A$45,K341))),설정!$B$45,IF(AND(설정!$A$46&lt;&gt;"",ISNUMBER(SEARCH(설정!$A$46,K341))),설정!$B$46,IF(AND(설정!$A$47&lt;&gt;"",ISNUMBER(SEARCH(설정!$A$47,K341))),설정!$B$47,IF(AND(설정!$A$48&lt;&gt;"",ISNUMBER(SEARCH(설정!$A$48,K341))),설정!$B$48,IF(M341="","설계사","시공사"))))))))),"")</f>
        <v/>
      </c>
      <c r="V341">
        <f>SUBSTITUTE(SUBSTITUTE(SUBSTITUTE(SUBSTITUTE(G341,"(주)",""),"㈜",""),"주식회사","")," ","")</f>
        <v/>
      </c>
      <c r="W341">
        <f>IF(AND(T341,V341&lt;&gt;""),IF(COUNTIFS(V$2:V341,V341,T$2:T341,TRUE)=1,MAX(W$1:W340)+1,""),"")</f>
        <v/>
      </c>
      <c r="X341">
        <f>IFERROR(INDEX('1.산군_붙여넣기'!$A$1:$AZ$1001,ROW(),설정!$C$14)&amp;"","")</f>
        <v/>
      </c>
      <c r="Y341">
        <f>IFERROR(INDEX('1.산군_붙여넣기'!$A$1:$AZ$1001,ROW(),설정!$C$15)&amp;"","")</f>
        <v/>
      </c>
      <c r="Z341">
        <f>IF(T341,V341&amp;"|"&amp;U341,"")</f>
        <v/>
      </c>
    </row>
    <row r="342">
      <c r="A342">
        <f>ROW()</f>
        <v/>
      </c>
      <c r="B342">
        <f>IFERROR(INDEX('1.산군_붙여넣기'!$A$1:$AZ$1001,ROW(),설정!$C$4)&amp;"","")</f>
        <v/>
      </c>
      <c r="C342">
        <f>IFERROR(INDEX('1.산군_붙여넣기'!$A$1:$AZ$1001,ROW(),설정!$C$5)&amp;"","")</f>
        <v/>
      </c>
      <c r="D342" s="5">
        <f>IFERROR(VALUE(SUBSTITUTE(SUBSTITUTE(SUBSTITUTE(IFERROR(INDEX('1.산군_붙여넣기'!$A$1:$AZ$1001,ROW(),설정!$C$6)&amp;"",""),",",""),"㎡",""),"m2","")),"")</f>
        <v/>
      </c>
      <c r="E342">
        <f>IFERROR(INDEX('1.산군_붙여넣기'!$A$1:$AZ$1001,ROW(),설정!$C$7)&amp;"","")</f>
        <v/>
      </c>
      <c r="F342">
        <f>IFERROR(INDEX('1.산군_붙여넣기'!$A$1:$AZ$1001,ROW(),설정!$C$8)&amp;"","")</f>
        <v/>
      </c>
      <c r="G342">
        <f>IFERROR(INDEX('1.산군_붙여넣기'!$A$1:$AZ$1001,ROW(),설정!$C$9)&amp;"","")</f>
        <v/>
      </c>
      <c r="H342">
        <f>IFERROR(INDEX('1.산군_붙여넣기'!$A$1:$AZ$1001,ROW(),설정!$C$10)&amp;"","")</f>
        <v/>
      </c>
      <c r="I342">
        <f>IFERROR(INDEX('1.산군_붙여넣기'!$A$1:$AZ$1001,ROW(),설정!$C$11)&amp;"","")</f>
        <v/>
      </c>
      <c r="J342">
        <f>IFERROR(INDEX('1.산군_붙여넣기'!$A$1:$AZ$1001,ROW(),설정!$C$12)&amp;"","")</f>
        <v/>
      </c>
      <c r="K342">
        <f>IFERROR(INDEX('1.산군_붙여넣기'!$A$1:$AZ$1001,ROW(),설정!$C$13)&amp;"","")</f>
        <v/>
      </c>
      <c r="L342" s="6">
        <f>IF(X342="","",IF(AND(LEN(X342)=8,ISNUMBER(X342*1)),DATE(LEFT(X342,4),MID(X342,5,2),RIGHT(X342,2)),IFERROR(DATEVALUE(SUBSTITUTE(SUBSTITUTE(X342,".","-"),"/","-")),IFERROR(X342*1,""))))</f>
        <v/>
      </c>
      <c r="M342" s="6">
        <f>IF(Y342="","",IF(AND(LEN(Y342)=8,ISNUMBER(Y342*1)),DATE(LEFT(Y342,4),MID(Y342,5,2),RIGHT(Y342,2)),IFERROR(DATEVALUE(SUBSTITUTE(SUBSTITUTE(Y342,".","-"),"/","-")),IFERROR(Y342*1,""))))</f>
        <v/>
      </c>
      <c r="N342">
        <f>IFERROR(LEFT(B342,FIND(" ",B342)-1),B342)</f>
        <v/>
      </c>
      <c r="O342">
        <f>AND(B342&lt;&gt;"",B342&lt;&gt;설정!$B$4,C342&lt;&gt;설정!$B$5)</f>
        <v/>
      </c>
      <c r="P342">
        <f>IF(O342,B342&amp;"|"&amp;C342,"")</f>
        <v/>
      </c>
      <c r="Q342">
        <f>AND(O342,COUNTIF(P343:P$1002,P342)=0)</f>
        <v/>
      </c>
      <c r="R342">
        <f>OR(AND(설정!$A$28&lt;&gt;"",ISNUMBER(SEARCH(설정!$A$28,E342&amp;" "&amp;C342))),AND(설정!$A$29&lt;&gt;"",ISNUMBER(SEARCH(설정!$A$29,E342&amp;" "&amp;C342))),AND(설정!$A$30&lt;&gt;"",ISNUMBER(SEARCH(설정!$A$30,E342&amp;" "&amp;C342))),AND(설정!$A$31&lt;&gt;"",ISNUMBER(SEARCH(설정!$A$31,E342&amp;" "&amp;C342))),AND(설정!$A$32&lt;&gt;"",ISNUMBER(SEARCH(설정!$A$32,E342&amp;" "&amp;C342))),AND(설정!$A$33&lt;&gt;"",ISNUMBER(SEARCH(설정!$A$33,E342&amp;" "&amp;C342))),AND(설정!$A$34&lt;&gt;"",ISNUMBER(SEARCH(설정!$A$34,E342&amp;" "&amp;C342))),AND(설정!$A$35&lt;&gt;"",ISNUMBER(SEARCH(설정!$A$35,E342&amp;" "&amp;C342))),AND(설정!$A$36&lt;&gt;"",ISNUMBER(SEARCH(설정!$A$36,E342&amp;" "&amp;C342))),AND(설정!$A$37&lt;&gt;"",ISNUMBER(SEARCH(설정!$A$37,E342&amp;" "&amp;C342))))</f>
        <v/>
      </c>
      <c r="S342">
        <f>OR(D342="",D342&gt;=설정!$B$19)</f>
        <v/>
      </c>
      <c r="T342">
        <f>AND(Q342,R342,S342)</f>
        <v/>
      </c>
      <c r="U342">
        <f>IF(T342,IF(AND(설정!$A$41&lt;&gt;"",ISNUMBER(SEARCH(설정!$A$41,K342))),설정!$B$41,IF(AND(설정!$A$42&lt;&gt;"",ISNUMBER(SEARCH(설정!$A$42,K342))),설정!$B$42,IF(AND(설정!$A$43&lt;&gt;"",ISNUMBER(SEARCH(설정!$A$43,K342))),설정!$B$43,IF(AND(설정!$A$44&lt;&gt;"",ISNUMBER(SEARCH(설정!$A$44,K342))),설정!$B$44,IF(AND(설정!$A$45&lt;&gt;"",ISNUMBER(SEARCH(설정!$A$45,K342))),설정!$B$45,IF(AND(설정!$A$46&lt;&gt;"",ISNUMBER(SEARCH(설정!$A$46,K342))),설정!$B$46,IF(AND(설정!$A$47&lt;&gt;"",ISNUMBER(SEARCH(설정!$A$47,K342))),설정!$B$47,IF(AND(설정!$A$48&lt;&gt;"",ISNUMBER(SEARCH(설정!$A$48,K342))),설정!$B$48,IF(M342="","설계사","시공사"))))))))),"")</f>
        <v/>
      </c>
      <c r="V342">
        <f>SUBSTITUTE(SUBSTITUTE(SUBSTITUTE(SUBSTITUTE(G342,"(주)",""),"㈜",""),"주식회사","")," ","")</f>
        <v/>
      </c>
      <c r="W342">
        <f>IF(AND(T342,V342&lt;&gt;""),IF(COUNTIFS(V$2:V342,V342,T$2:T342,TRUE)=1,MAX(W$1:W341)+1,""),"")</f>
        <v/>
      </c>
      <c r="X342">
        <f>IFERROR(INDEX('1.산군_붙여넣기'!$A$1:$AZ$1001,ROW(),설정!$C$14)&amp;"","")</f>
        <v/>
      </c>
      <c r="Y342">
        <f>IFERROR(INDEX('1.산군_붙여넣기'!$A$1:$AZ$1001,ROW(),설정!$C$15)&amp;"","")</f>
        <v/>
      </c>
      <c r="Z342">
        <f>IF(T342,V342&amp;"|"&amp;U342,"")</f>
        <v/>
      </c>
    </row>
    <row r="343">
      <c r="A343">
        <f>ROW()</f>
        <v/>
      </c>
      <c r="B343">
        <f>IFERROR(INDEX('1.산군_붙여넣기'!$A$1:$AZ$1001,ROW(),설정!$C$4)&amp;"","")</f>
        <v/>
      </c>
      <c r="C343">
        <f>IFERROR(INDEX('1.산군_붙여넣기'!$A$1:$AZ$1001,ROW(),설정!$C$5)&amp;"","")</f>
        <v/>
      </c>
      <c r="D343" s="5">
        <f>IFERROR(VALUE(SUBSTITUTE(SUBSTITUTE(SUBSTITUTE(IFERROR(INDEX('1.산군_붙여넣기'!$A$1:$AZ$1001,ROW(),설정!$C$6)&amp;"",""),",",""),"㎡",""),"m2","")),"")</f>
        <v/>
      </c>
      <c r="E343">
        <f>IFERROR(INDEX('1.산군_붙여넣기'!$A$1:$AZ$1001,ROW(),설정!$C$7)&amp;"","")</f>
        <v/>
      </c>
      <c r="F343">
        <f>IFERROR(INDEX('1.산군_붙여넣기'!$A$1:$AZ$1001,ROW(),설정!$C$8)&amp;"","")</f>
        <v/>
      </c>
      <c r="G343">
        <f>IFERROR(INDEX('1.산군_붙여넣기'!$A$1:$AZ$1001,ROW(),설정!$C$9)&amp;"","")</f>
        <v/>
      </c>
      <c r="H343">
        <f>IFERROR(INDEX('1.산군_붙여넣기'!$A$1:$AZ$1001,ROW(),설정!$C$10)&amp;"","")</f>
        <v/>
      </c>
      <c r="I343">
        <f>IFERROR(INDEX('1.산군_붙여넣기'!$A$1:$AZ$1001,ROW(),설정!$C$11)&amp;"","")</f>
        <v/>
      </c>
      <c r="J343">
        <f>IFERROR(INDEX('1.산군_붙여넣기'!$A$1:$AZ$1001,ROW(),설정!$C$12)&amp;"","")</f>
        <v/>
      </c>
      <c r="K343">
        <f>IFERROR(INDEX('1.산군_붙여넣기'!$A$1:$AZ$1001,ROW(),설정!$C$13)&amp;"","")</f>
        <v/>
      </c>
      <c r="L343" s="6">
        <f>IF(X343="","",IF(AND(LEN(X343)=8,ISNUMBER(X343*1)),DATE(LEFT(X343,4),MID(X343,5,2),RIGHT(X343,2)),IFERROR(DATEVALUE(SUBSTITUTE(SUBSTITUTE(X343,".","-"),"/","-")),IFERROR(X343*1,""))))</f>
        <v/>
      </c>
      <c r="M343" s="6">
        <f>IF(Y343="","",IF(AND(LEN(Y343)=8,ISNUMBER(Y343*1)),DATE(LEFT(Y343,4),MID(Y343,5,2),RIGHT(Y343,2)),IFERROR(DATEVALUE(SUBSTITUTE(SUBSTITUTE(Y343,".","-"),"/","-")),IFERROR(Y343*1,""))))</f>
        <v/>
      </c>
      <c r="N343">
        <f>IFERROR(LEFT(B343,FIND(" ",B343)-1),B343)</f>
        <v/>
      </c>
      <c r="O343">
        <f>AND(B343&lt;&gt;"",B343&lt;&gt;설정!$B$4,C343&lt;&gt;설정!$B$5)</f>
        <v/>
      </c>
      <c r="P343">
        <f>IF(O343,B343&amp;"|"&amp;C343,"")</f>
        <v/>
      </c>
      <c r="Q343">
        <f>AND(O343,COUNTIF(P344:P$1002,P343)=0)</f>
        <v/>
      </c>
      <c r="R343">
        <f>OR(AND(설정!$A$28&lt;&gt;"",ISNUMBER(SEARCH(설정!$A$28,E343&amp;" "&amp;C343))),AND(설정!$A$29&lt;&gt;"",ISNUMBER(SEARCH(설정!$A$29,E343&amp;" "&amp;C343))),AND(설정!$A$30&lt;&gt;"",ISNUMBER(SEARCH(설정!$A$30,E343&amp;" "&amp;C343))),AND(설정!$A$31&lt;&gt;"",ISNUMBER(SEARCH(설정!$A$31,E343&amp;" "&amp;C343))),AND(설정!$A$32&lt;&gt;"",ISNUMBER(SEARCH(설정!$A$32,E343&amp;" "&amp;C343))),AND(설정!$A$33&lt;&gt;"",ISNUMBER(SEARCH(설정!$A$33,E343&amp;" "&amp;C343))),AND(설정!$A$34&lt;&gt;"",ISNUMBER(SEARCH(설정!$A$34,E343&amp;" "&amp;C343))),AND(설정!$A$35&lt;&gt;"",ISNUMBER(SEARCH(설정!$A$35,E343&amp;" "&amp;C343))),AND(설정!$A$36&lt;&gt;"",ISNUMBER(SEARCH(설정!$A$36,E343&amp;" "&amp;C343))),AND(설정!$A$37&lt;&gt;"",ISNUMBER(SEARCH(설정!$A$37,E343&amp;" "&amp;C343))))</f>
        <v/>
      </c>
      <c r="S343">
        <f>OR(D343="",D343&gt;=설정!$B$19)</f>
        <v/>
      </c>
      <c r="T343">
        <f>AND(Q343,R343,S343)</f>
        <v/>
      </c>
      <c r="U343">
        <f>IF(T343,IF(AND(설정!$A$41&lt;&gt;"",ISNUMBER(SEARCH(설정!$A$41,K343))),설정!$B$41,IF(AND(설정!$A$42&lt;&gt;"",ISNUMBER(SEARCH(설정!$A$42,K343))),설정!$B$42,IF(AND(설정!$A$43&lt;&gt;"",ISNUMBER(SEARCH(설정!$A$43,K343))),설정!$B$43,IF(AND(설정!$A$44&lt;&gt;"",ISNUMBER(SEARCH(설정!$A$44,K343))),설정!$B$44,IF(AND(설정!$A$45&lt;&gt;"",ISNUMBER(SEARCH(설정!$A$45,K343))),설정!$B$45,IF(AND(설정!$A$46&lt;&gt;"",ISNUMBER(SEARCH(설정!$A$46,K343))),설정!$B$46,IF(AND(설정!$A$47&lt;&gt;"",ISNUMBER(SEARCH(설정!$A$47,K343))),설정!$B$47,IF(AND(설정!$A$48&lt;&gt;"",ISNUMBER(SEARCH(설정!$A$48,K343))),설정!$B$48,IF(M343="","설계사","시공사"))))))))),"")</f>
        <v/>
      </c>
      <c r="V343">
        <f>SUBSTITUTE(SUBSTITUTE(SUBSTITUTE(SUBSTITUTE(G343,"(주)",""),"㈜",""),"주식회사","")," ","")</f>
        <v/>
      </c>
      <c r="W343">
        <f>IF(AND(T343,V343&lt;&gt;""),IF(COUNTIFS(V$2:V343,V343,T$2:T343,TRUE)=1,MAX(W$1:W342)+1,""),"")</f>
        <v/>
      </c>
      <c r="X343">
        <f>IFERROR(INDEX('1.산군_붙여넣기'!$A$1:$AZ$1001,ROW(),설정!$C$14)&amp;"","")</f>
        <v/>
      </c>
      <c r="Y343">
        <f>IFERROR(INDEX('1.산군_붙여넣기'!$A$1:$AZ$1001,ROW(),설정!$C$15)&amp;"","")</f>
        <v/>
      </c>
      <c r="Z343">
        <f>IF(T343,V343&amp;"|"&amp;U343,"")</f>
        <v/>
      </c>
    </row>
    <row r="344">
      <c r="A344">
        <f>ROW()</f>
        <v/>
      </c>
      <c r="B344">
        <f>IFERROR(INDEX('1.산군_붙여넣기'!$A$1:$AZ$1001,ROW(),설정!$C$4)&amp;"","")</f>
        <v/>
      </c>
      <c r="C344">
        <f>IFERROR(INDEX('1.산군_붙여넣기'!$A$1:$AZ$1001,ROW(),설정!$C$5)&amp;"","")</f>
        <v/>
      </c>
      <c r="D344" s="5">
        <f>IFERROR(VALUE(SUBSTITUTE(SUBSTITUTE(SUBSTITUTE(IFERROR(INDEX('1.산군_붙여넣기'!$A$1:$AZ$1001,ROW(),설정!$C$6)&amp;"",""),",",""),"㎡",""),"m2","")),"")</f>
        <v/>
      </c>
      <c r="E344">
        <f>IFERROR(INDEX('1.산군_붙여넣기'!$A$1:$AZ$1001,ROW(),설정!$C$7)&amp;"","")</f>
        <v/>
      </c>
      <c r="F344">
        <f>IFERROR(INDEX('1.산군_붙여넣기'!$A$1:$AZ$1001,ROW(),설정!$C$8)&amp;"","")</f>
        <v/>
      </c>
      <c r="G344">
        <f>IFERROR(INDEX('1.산군_붙여넣기'!$A$1:$AZ$1001,ROW(),설정!$C$9)&amp;"","")</f>
        <v/>
      </c>
      <c r="H344">
        <f>IFERROR(INDEX('1.산군_붙여넣기'!$A$1:$AZ$1001,ROW(),설정!$C$10)&amp;"","")</f>
        <v/>
      </c>
      <c r="I344">
        <f>IFERROR(INDEX('1.산군_붙여넣기'!$A$1:$AZ$1001,ROW(),설정!$C$11)&amp;"","")</f>
        <v/>
      </c>
      <c r="J344">
        <f>IFERROR(INDEX('1.산군_붙여넣기'!$A$1:$AZ$1001,ROW(),설정!$C$12)&amp;"","")</f>
        <v/>
      </c>
      <c r="K344">
        <f>IFERROR(INDEX('1.산군_붙여넣기'!$A$1:$AZ$1001,ROW(),설정!$C$13)&amp;"","")</f>
        <v/>
      </c>
      <c r="L344" s="6">
        <f>IF(X344="","",IF(AND(LEN(X344)=8,ISNUMBER(X344*1)),DATE(LEFT(X344,4),MID(X344,5,2),RIGHT(X344,2)),IFERROR(DATEVALUE(SUBSTITUTE(SUBSTITUTE(X344,".","-"),"/","-")),IFERROR(X344*1,""))))</f>
        <v/>
      </c>
      <c r="M344" s="6">
        <f>IF(Y344="","",IF(AND(LEN(Y344)=8,ISNUMBER(Y344*1)),DATE(LEFT(Y344,4),MID(Y344,5,2),RIGHT(Y344,2)),IFERROR(DATEVALUE(SUBSTITUTE(SUBSTITUTE(Y344,".","-"),"/","-")),IFERROR(Y344*1,""))))</f>
        <v/>
      </c>
      <c r="N344">
        <f>IFERROR(LEFT(B344,FIND(" ",B344)-1),B344)</f>
        <v/>
      </c>
      <c r="O344">
        <f>AND(B344&lt;&gt;"",B344&lt;&gt;설정!$B$4,C344&lt;&gt;설정!$B$5)</f>
        <v/>
      </c>
      <c r="P344">
        <f>IF(O344,B344&amp;"|"&amp;C344,"")</f>
        <v/>
      </c>
      <c r="Q344">
        <f>AND(O344,COUNTIF(P345:P$1002,P344)=0)</f>
        <v/>
      </c>
      <c r="R344">
        <f>OR(AND(설정!$A$28&lt;&gt;"",ISNUMBER(SEARCH(설정!$A$28,E344&amp;" "&amp;C344))),AND(설정!$A$29&lt;&gt;"",ISNUMBER(SEARCH(설정!$A$29,E344&amp;" "&amp;C344))),AND(설정!$A$30&lt;&gt;"",ISNUMBER(SEARCH(설정!$A$30,E344&amp;" "&amp;C344))),AND(설정!$A$31&lt;&gt;"",ISNUMBER(SEARCH(설정!$A$31,E344&amp;" "&amp;C344))),AND(설정!$A$32&lt;&gt;"",ISNUMBER(SEARCH(설정!$A$32,E344&amp;" "&amp;C344))),AND(설정!$A$33&lt;&gt;"",ISNUMBER(SEARCH(설정!$A$33,E344&amp;" "&amp;C344))),AND(설정!$A$34&lt;&gt;"",ISNUMBER(SEARCH(설정!$A$34,E344&amp;" "&amp;C344))),AND(설정!$A$35&lt;&gt;"",ISNUMBER(SEARCH(설정!$A$35,E344&amp;" "&amp;C344))),AND(설정!$A$36&lt;&gt;"",ISNUMBER(SEARCH(설정!$A$36,E344&amp;" "&amp;C344))),AND(설정!$A$37&lt;&gt;"",ISNUMBER(SEARCH(설정!$A$37,E344&amp;" "&amp;C344))))</f>
        <v/>
      </c>
      <c r="S344">
        <f>OR(D344="",D344&gt;=설정!$B$19)</f>
        <v/>
      </c>
      <c r="T344">
        <f>AND(Q344,R344,S344)</f>
        <v/>
      </c>
      <c r="U344">
        <f>IF(T344,IF(AND(설정!$A$41&lt;&gt;"",ISNUMBER(SEARCH(설정!$A$41,K344))),설정!$B$41,IF(AND(설정!$A$42&lt;&gt;"",ISNUMBER(SEARCH(설정!$A$42,K344))),설정!$B$42,IF(AND(설정!$A$43&lt;&gt;"",ISNUMBER(SEARCH(설정!$A$43,K344))),설정!$B$43,IF(AND(설정!$A$44&lt;&gt;"",ISNUMBER(SEARCH(설정!$A$44,K344))),설정!$B$44,IF(AND(설정!$A$45&lt;&gt;"",ISNUMBER(SEARCH(설정!$A$45,K344))),설정!$B$45,IF(AND(설정!$A$46&lt;&gt;"",ISNUMBER(SEARCH(설정!$A$46,K344))),설정!$B$46,IF(AND(설정!$A$47&lt;&gt;"",ISNUMBER(SEARCH(설정!$A$47,K344))),설정!$B$47,IF(AND(설정!$A$48&lt;&gt;"",ISNUMBER(SEARCH(설정!$A$48,K344))),설정!$B$48,IF(M344="","설계사","시공사"))))))))),"")</f>
        <v/>
      </c>
      <c r="V344">
        <f>SUBSTITUTE(SUBSTITUTE(SUBSTITUTE(SUBSTITUTE(G344,"(주)",""),"㈜",""),"주식회사","")," ","")</f>
        <v/>
      </c>
      <c r="W344">
        <f>IF(AND(T344,V344&lt;&gt;""),IF(COUNTIFS(V$2:V344,V344,T$2:T344,TRUE)=1,MAX(W$1:W343)+1,""),"")</f>
        <v/>
      </c>
      <c r="X344">
        <f>IFERROR(INDEX('1.산군_붙여넣기'!$A$1:$AZ$1001,ROW(),설정!$C$14)&amp;"","")</f>
        <v/>
      </c>
      <c r="Y344">
        <f>IFERROR(INDEX('1.산군_붙여넣기'!$A$1:$AZ$1001,ROW(),설정!$C$15)&amp;"","")</f>
        <v/>
      </c>
      <c r="Z344">
        <f>IF(T344,V344&amp;"|"&amp;U344,"")</f>
        <v/>
      </c>
    </row>
    <row r="345">
      <c r="A345">
        <f>ROW()</f>
        <v/>
      </c>
      <c r="B345">
        <f>IFERROR(INDEX('1.산군_붙여넣기'!$A$1:$AZ$1001,ROW(),설정!$C$4)&amp;"","")</f>
        <v/>
      </c>
      <c r="C345">
        <f>IFERROR(INDEX('1.산군_붙여넣기'!$A$1:$AZ$1001,ROW(),설정!$C$5)&amp;"","")</f>
        <v/>
      </c>
      <c r="D345" s="5">
        <f>IFERROR(VALUE(SUBSTITUTE(SUBSTITUTE(SUBSTITUTE(IFERROR(INDEX('1.산군_붙여넣기'!$A$1:$AZ$1001,ROW(),설정!$C$6)&amp;"",""),",",""),"㎡",""),"m2","")),"")</f>
        <v/>
      </c>
      <c r="E345">
        <f>IFERROR(INDEX('1.산군_붙여넣기'!$A$1:$AZ$1001,ROW(),설정!$C$7)&amp;"","")</f>
        <v/>
      </c>
      <c r="F345">
        <f>IFERROR(INDEX('1.산군_붙여넣기'!$A$1:$AZ$1001,ROW(),설정!$C$8)&amp;"","")</f>
        <v/>
      </c>
      <c r="G345">
        <f>IFERROR(INDEX('1.산군_붙여넣기'!$A$1:$AZ$1001,ROW(),설정!$C$9)&amp;"","")</f>
        <v/>
      </c>
      <c r="H345">
        <f>IFERROR(INDEX('1.산군_붙여넣기'!$A$1:$AZ$1001,ROW(),설정!$C$10)&amp;"","")</f>
        <v/>
      </c>
      <c r="I345">
        <f>IFERROR(INDEX('1.산군_붙여넣기'!$A$1:$AZ$1001,ROW(),설정!$C$11)&amp;"","")</f>
        <v/>
      </c>
      <c r="J345">
        <f>IFERROR(INDEX('1.산군_붙여넣기'!$A$1:$AZ$1001,ROW(),설정!$C$12)&amp;"","")</f>
        <v/>
      </c>
      <c r="K345">
        <f>IFERROR(INDEX('1.산군_붙여넣기'!$A$1:$AZ$1001,ROW(),설정!$C$13)&amp;"","")</f>
        <v/>
      </c>
      <c r="L345" s="6">
        <f>IF(X345="","",IF(AND(LEN(X345)=8,ISNUMBER(X345*1)),DATE(LEFT(X345,4),MID(X345,5,2),RIGHT(X345,2)),IFERROR(DATEVALUE(SUBSTITUTE(SUBSTITUTE(X345,".","-"),"/","-")),IFERROR(X345*1,""))))</f>
        <v/>
      </c>
      <c r="M345" s="6">
        <f>IF(Y345="","",IF(AND(LEN(Y345)=8,ISNUMBER(Y345*1)),DATE(LEFT(Y345,4),MID(Y345,5,2),RIGHT(Y345,2)),IFERROR(DATEVALUE(SUBSTITUTE(SUBSTITUTE(Y345,".","-"),"/","-")),IFERROR(Y345*1,""))))</f>
        <v/>
      </c>
      <c r="N345">
        <f>IFERROR(LEFT(B345,FIND(" ",B345)-1),B345)</f>
        <v/>
      </c>
      <c r="O345">
        <f>AND(B345&lt;&gt;"",B345&lt;&gt;설정!$B$4,C345&lt;&gt;설정!$B$5)</f>
        <v/>
      </c>
      <c r="P345">
        <f>IF(O345,B345&amp;"|"&amp;C345,"")</f>
        <v/>
      </c>
      <c r="Q345">
        <f>AND(O345,COUNTIF(P346:P$1002,P345)=0)</f>
        <v/>
      </c>
      <c r="R345">
        <f>OR(AND(설정!$A$28&lt;&gt;"",ISNUMBER(SEARCH(설정!$A$28,E345&amp;" "&amp;C345))),AND(설정!$A$29&lt;&gt;"",ISNUMBER(SEARCH(설정!$A$29,E345&amp;" "&amp;C345))),AND(설정!$A$30&lt;&gt;"",ISNUMBER(SEARCH(설정!$A$30,E345&amp;" "&amp;C345))),AND(설정!$A$31&lt;&gt;"",ISNUMBER(SEARCH(설정!$A$31,E345&amp;" "&amp;C345))),AND(설정!$A$32&lt;&gt;"",ISNUMBER(SEARCH(설정!$A$32,E345&amp;" "&amp;C345))),AND(설정!$A$33&lt;&gt;"",ISNUMBER(SEARCH(설정!$A$33,E345&amp;" "&amp;C345))),AND(설정!$A$34&lt;&gt;"",ISNUMBER(SEARCH(설정!$A$34,E345&amp;" "&amp;C345))),AND(설정!$A$35&lt;&gt;"",ISNUMBER(SEARCH(설정!$A$35,E345&amp;" "&amp;C345))),AND(설정!$A$36&lt;&gt;"",ISNUMBER(SEARCH(설정!$A$36,E345&amp;" "&amp;C345))),AND(설정!$A$37&lt;&gt;"",ISNUMBER(SEARCH(설정!$A$37,E345&amp;" "&amp;C345))))</f>
        <v/>
      </c>
      <c r="S345">
        <f>OR(D345="",D345&gt;=설정!$B$19)</f>
        <v/>
      </c>
      <c r="T345">
        <f>AND(Q345,R345,S345)</f>
        <v/>
      </c>
      <c r="U345">
        <f>IF(T345,IF(AND(설정!$A$41&lt;&gt;"",ISNUMBER(SEARCH(설정!$A$41,K345))),설정!$B$41,IF(AND(설정!$A$42&lt;&gt;"",ISNUMBER(SEARCH(설정!$A$42,K345))),설정!$B$42,IF(AND(설정!$A$43&lt;&gt;"",ISNUMBER(SEARCH(설정!$A$43,K345))),설정!$B$43,IF(AND(설정!$A$44&lt;&gt;"",ISNUMBER(SEARCH(설정!$A$44,K345))),설정!$B$44,IF(AND(설정!$A$45&lt;&gt;"",ISNUMBER(SEARCH(설정!$A$45,K345))),설정!$B$45,IF(AND(설정!$A$46&lt;&gt;"",ISNUMBER(SEARCH(설정!$A$46,K345))),설정!$B$46,IF(AND(설정!$A$47&lt;&gt;"",ISNUMBER(SEARCH(설정!$A$47,K345))),설정!$B$47,IF(AND(설정!$A$48&lt;&gt;"",ISNUMBER(SEARCH(설정!$A$48,K345))),설정!$B$48,IF(M345="","설계사","시공사"))))))))),"")</f>
        <v/>
      </c>
      <c r="V345">
        <f>SUBSTITUTE(SUBSTITUTE(SUBSTITUTE(SUBSTITUTE(G345,"(주)",""),"㈜",""),"주식회사","")," ","")</f>
        <v/>
      </c>
      <c r="W345">
        <f>IF(AND(T345,V345&lt;&gt;""),IF(COUNTIFS(V$2:V345,V345,T$2:T345,TRUE)=1,MAX(W$1:W344)+1,""),"")</f>
        <v/>
      </c>
      <c r="X345">
        <f>IFERROR(INDEX('1.산군_붙여넣기'!$A$1:$AZ$1001,ROW(),설정!$C$14)&amp;"","")</f>
        <v/>
      </c>
      <c r="Y345">
        <f>IFERROR(INDEX('1.산군_붙여넣기'!$A$1:$AZ$1001,ROW(),설정!$C$15)&amp;"","")</f>
        <v/>
      </c>
      <c r="Z345">
        <f>IF(T345,V345&amp;"|"&amp;U345,"")</f>
        <v/>
      </c>
    </row>
    <row r="346">
      <c r="A346">
        <f>ROW()</f>
        <v/>
      </c>
      <c r="B346">
        <f>IFERROR(INDEX('1.산군_붙여넣기'!$A$1:$AZ$1001,ROW(),설정!$C$4)&amp;"","")</f>
        <v/>
      </c>
      <c r="C346">
        <f>IFERROR(INDEX('1.산군_붙여넣기'!$A$1:$AZ$1001,ROW(),설정!$C$5)&amp;"","")</f>
        <v/>
      </c>
      <c r="D346" s="5">
        <f>IFERROR(VALUE(SUBSTITUTE(SUBSTITUTE(SUBSTITUTE(IFERROR(INDEX('1.산군_붙여넣기'!$A$1:$AZ$1001,ROW(),설정!$C$6)&amp;"",""),",",""),"㎡",""),"m2","")),"")</f>
        <v/>
      </c>
      <c r="E346">
        <f>IFERROR(INDEX('1.산군_붙여넣기'!$A$1:$AZ$1001,ROW(),설정!$C$7)&amp;"","")</f>
        <v/>
      </c>
      <c r="F346">
        <f>IFERROR(INDEX('1.산군_붙여넣기'!$A$1:$AZ$1001,ROW(),설정!$C$8)&amp;"","")</f>
        <v/>
      </c>
      <c r="G346">
        <f>IFERROR(INDEX('1.산군_붙여넣기'!$A$1:$AZ$1001,ROW(),설정!$C$9)&amp;"","")</f>
        <v/>
      </c>
      <c r="H346">
        <f>IFERROR(INDEX('1.산군_붙여넣기'!$A$1:$AZ$1001,ROW(),설정!$C$10)&amp;"","")</f>
        <v/>
      </c>
      <c r="I346">
        <f>IFERROR(INDEX('1.산군_붙여넣기'!$A$1:$AZ$1001,ROW(),설정!$C$11)&amp;"","")</f>
        <v/>
      </c>
      <c r="J346">
        <f>IFERROR(INDEX('1.산군_붙여넣기'!$A$1:$AZ$1001,ROW(),설정!$C$12)&amp;"","")</f>
        <v/>
      </c>
      <c r="K346">
        <f>IFERROR(INDEX('1.산군_붙여넣기'!$A$1:$AZ$1001,ROW(),설정!$C$13)&amp;"","")</f>
        <v/>
      </c>
      <c r="L346" s="6">
        <f>IF(X346="","",IF(AND(LEN(X346)=8,ISNUMBER(X346*1)),DATE(LEFT(X346,4),MID(X346,5,2),RIGHT(X346,2)),IFERROR(DATEVALUE(SUBSTITUTE(SUBSTITUTE(X346,".","-"),"/","-")),IFERROR(X346*1,""))))</f>
        <v/>
      </c>
      <c r="M346" s="6">
        <f>IF(Y346="","",IF(AND(LEN(Y346)=8,ISNUMBER(Y346*1)),DATE(LEFT(Y346,4),MID(Y346,5,2),RIGHT(Y346,2)),IFERROR(DATEVALUE(SUBSTITUTE(SUBSTITUTE(Y346,".","-"),"/","-")),IFERROR(Y346*1,""))))</f>
        <v/>
      </c>
      <c r="N346">
        <f>IFERROR(LEFT(B346,FIND(" ",B346)-1),B346)</f>
        <v/>
      </c>
      <c r="O346">
        <f>AND(B346&lt;&gt;"",B346&lt;&gt;설정!$B$4,C346&lt;&gt;설정!$B$5)</f>
        <v/>
      </c>
      <c r="P346">
        <f>IF(O346,B346&amp;"|"&amp;C346,"")</f>
        <v/>
      </c>
      <c r="Q346">
        <f>AND(O346,COUNTIF(P347:P$1002,P346)=0)</f>
        <v/>
      </c>
      <c r="R346">
        <f>OR(AND(설정!$A$28&lt;&gt;"",ISNUMBER(SEARCH(설정!$A$28,E346&amp;" "&amp;C346))),AND(설정!$A$29&lt;&gt;"",ISNUMBER(SEARCH(설정!$A$29,E346&amp;" "&amp;C346))),AND(설정!$A$30&lt;&gt;"",ISNUMBER(SEARCH(설정!$A$30,E346&amp;" "&amp;C346))),AND(설정!$A$31&lt;&gt;"",ISNUMBER(SEARCH(설정!$A$31,E346&amp;" "&amp;C346))),AND(설정!$A$32&lt;&gt;"",ISNUMBER(SEARCH(설정!$A$32,E346&amp;" "&amp;C346))),AND(설정!$A$33&lt;&gt;"",ISNUMBER(SEARCH(설정!$A$33,E346&amp;" "&amp;C346))),AND(설정!$A$34&lt;&gt;"",ISNUMBER(SEARCH(설정!$A$34,E346&amp;" "&amp;C346))),AND(설정!$A$35&lt;&gt;"",ISNUMBER(SEARCH(설정!$A$35,E346&amp;" "&amp;C346))),AND(설정!$A$36&lt;&gt;"",ISNUMBER(SEARCH(설정!$A$36,E346&amp;" "&amp;C346))),AND(설정!$A$37&lt;&gt;"",ISNUMBER(SEARCH(설정!$A$37,E346&amp;" "&amp;C346))))</f>
        <v/>
      </c>
      <c r="S346">
        <f>OR(D346="",D346&gt;=설정!$B$19)</f>
        <v/>
      </c>
      <c r="T346">
        <f>AND(Q346,R346,S346)</f>
        <v/>
      </c>
      <c r="U346">
        <f>IF(T346,IF(AND(설정!$A$41&lt;&gt;"",ISNUMBER(SEARCH(설정!$A$41,K346))),설정!$B$41,IF(AND(설정!$A$42&lt;&gt;"",ISNUMBER(SEARCH(설정!$A$42,K346))),설정!$B$42,IF(AND(설정!$A$43&lt;&gt;"",ISNUMBER(SEARCH(설정!$A$43,K346))),설정!$B$43,IF(AND(설정!$A$44&lt;&gt;"",ISNUMBER(SEARCH(설정!$A$44,K346))),설정!$B$44,IF(AND(설정!$A$45&lt;&gt;"",ISNUMBER(SEARCH(설정!$A$45,K346))),설정!$B$45,IF(AND(설정!$A$46&lt;&gt;"",ISNUMBER(SEARCH(설정!$A$46,K346))),설정!$B$46,IF(AND(설정!$A$47&lt;&gt;"",ISNUMBER(SEARCH(설정!$A$47,K346))),설정!$B$47,IF(AND(설정!$A$48&lt;&gt;"",ISNUMBER(SEARCH(설정!$A$48,K346))),설정!$B$48,IF(M346="","설계사","시공사"))))))))),"")</f>
        <v/>
      </c>
      <c r="V346">
        <f>SUBSTITUTE(SUBSTITUTE(SUBSTITUTE(SUBSTITUTE(G346,"(주)",""),"㈜",""),"주식회사","")," ","")</f>
        <v/>
      </c>
      <c r="W346">
        <f>IF(AND(T346,V346&lt;&gt;""),IF(COUNTIFS(V$2:V346,V346,T$2:T346,TRUE)=1,MAX(W$1:W345)+1,""),"")</f>
        <v/>
      </c>
      <c r="X346">
        <f>IFERROR(INDEX('1.산군_붙여넣기'!$A$1:$AZ$1001,ROW(),설정!$C$14)&amp;"","")</f>
        <v/>
      </c>
      <c r="Y346">
        <f>IFERROR(INDEX('1.산군_붙여넣기'!$A$1:$AZ$1001,ROW(),설정!$C$15)&amp;"","")</f>
        <v/>
      </c>
      <c r="Z346">
        <f>IF(T346,V346&amp;"|"&amp;U346,"")</f>
        <v/>
      </c>
    </row>
    <row r="347">
      <c r="A347">
        <f>ROW()</f>
        <v/>
      </c>
      <c r="B347">
        <f>IFERROR(INDEX('1.산군_붙여넣기'!$A$1:$AZ$1001,ROW(),설정!$C$4)&amp;"","")</f>
        <v/>
      </c>
      <c r="C347">
        <f>IFERROR(INDEX('1.산군_붙여넣기'!$A$1:$AZ$1001,ROW(),설정!$C$5)&amp;"","")</f>
        <v/>
      </c>
      <c r="D347" s="5">
        <f>IFERROR(VALUE(SUBSTITUTE(SUBSTITUTE(SUBSTITUTE(IFERROR(INDEX('1.산군_붙여넣기'!$A$1:$AZ$1001,ROW(),설정!$C$6)&amp;"",""),",",""),"㎡",""),"m2","")),"")</f>
        <v/>
      </c>
      <c r="E347">
        <f>IFERROR(INDEX('1.산군_붙여넣기'!$A$1:$AZ$1001,ROW(),설정!$C$7)&amp;"","")</f>
        <v/>
      </c>
      <c r="F347">
        <f>IFERROR(INDEX('1.산군_붙여넣기'!$A$1:$AZ$1001,ROW(),설정!$C$8)&amp;"","")</f>
        <v/>
      </c>
      <c r="G347">
        <f>IFERROR(INDEX('1.산군_붙여넣기'!$A$1:$AZ$1001,ROW(),설정!$C$9)&amp;"","")</f>
        <v/>
      </c>
      <c r="H347">
        <f>IFERROR(INDEX('1.산군_붙여넣기'!$A$1:$AZ$1001,ROW(),설정!$C$10)&amp;"","")</f>
        <v/>
      </c>
      <c r="I347">
        <f>IFERROR(INDEX('1.산군_붙여넣기'!$A$1:$AZ$1001,ROW(),설정!$C$11)&amp;"","")</f>
        <v/>
      </c>
      <c r="J347">
        <f>IFERROR(INDEX('1.산군_붙여넣기'!$A$1:$AZ$1001,ROW(),설정!$C$12)&amp;"","")</f>
        <v/>
      </c>
      <c r="K347">
        <f>IFERROR(INDEX('1.산군_붙여넣기'!$A$1:$AZ$1001,ROW(),설정!$C$13)&amp;"","")</f>
        <v/>
      </c>
      <c r="L347" s="6">
        <f>IF(X347="","",IF(AND(LEN(X347)=8,ISNUMBER(X347*1)),DATE(LEFT(X347,4),MID(X347,5,2),RIGHT(X347,2)),IFERROR(DATEVALUE(SUBSTITUTE(SUBSTITUTE(X347,".","-"),"/","-")),IFERROR(X347*1,""))))</f>
        <v/>
      </c>
      <c r="M347" s="6">
        <f>IF(Y347="","",IF(AND(LEN(Y347)=8,ISNUMBER(Y347*1)),DATE(LEFT(Y347,4),MID(Y347,5,2),RIGHT(Y347,2)),IFERROR(DATEVALUE(SUBSTITUTE(SUBSTITUTE(Y347,".","-"),"/","-")),IFERROR(Y347*1,""))))</f>
        <v/>
      </c>
      <c r="N347">
        <f>IFERROR(LEFT(B347,FIND(" ",B347)-1),B347)</f>
        <v/>
      </c>
      <c r="O347">
        <f>AND(B347&lt;&gt;"",B347&lt;&gt;설정!$B$4,C347&lt;&gt;설정!$B$5)</f>
        <v/>
      </c>
      <c r="P347">
        <f>IF(O347,B347&amp;"|"&amp;C347,"")</f>
        <v/>
      </c>
      <c r="Q347">
        <f>AND(O347,COUNTIF(P348:P$1002,P347)=0)</f>
        <v/>
      </c>
      <c r="R347">
        <f>OR(AND(설정!$A$28&lt;&gt;"",ISNUMBER(SEARCH(설정!$A$28,E347&amp;" "&amp;C347))),AND(설정!$A$29&lt;&gt;"",ISNUMBER(SEARCH(설정!$A$29,E347&amp;" "&amp;C347))),AND(설정!$A$30&lt;&gt;"",ISNUMBER(SEARCH(설정!$A$30,E347&amp;" "&amp;C347))),AND(설정!$A$31&lt;&gt;"",ISNUMBER(SEARCH(설정!$A$31,E347&amp;" "&amp;C347))),AND(설정!$A$32&lt;&gt;"",ISNUMBER(SEARCH(설정!$A$32,E347&amp;" "&amp;C347))),AND(설정!$A$33&lt;&gt;"",ISNUMBER(SEARCH(설정!$A$33,E347&amp;" "&amp;C347))),AND(설정!$A$34&lt;&gt;"",ISNUMBER(SEARCH(설정!$A$34,E347&amp;" "&amp;C347))),AND(설정!$A$35&lt;&gt;"",ISNUMBER(SEARCH(설정!$A$35,E347&amp;" "&amp;C347))),AND(설정!$A$36&lt;&gt;"",ISNUMBER(SEARCH(설정!$A$36,E347&amp;" "&amp;C347))),AND(설정!$A$37&lt;&gt;"",ISNUMBER(SEARCH(설정!$A$37,E347&amp;" "&amp;C347))))</f>
        <v/>
      </c>
      <c r="S347">
        <f>OR(D347="",D347&gt;=설정!$B$19)</f>
        <v/>
      </c>
      <c r="T347">
        <f>AND(Q347,R347,S347)</f>
        <v/>
      </c>
      <c r="U347">
        <f>IF(T347,IF(AND(설정!$A$41&lt;&gt;"",ISNUMBER(SEARCH(설정!$A$41,K347))),설정!$B$41,IF(AND(설정!$A$42&lt;&gt;"",ISNUMBER(SEARCH(설정!$A$42,K347))),설정!$B$42,IF(AND(설정!$A$43&lt;&gt;"",ISNUMBER(SEARCH(설정!$A$43,K347))),설정!$B$43,IF(AND(설정!$A$44&lt;&gt;"",ISNUMBER(SEARCH(설정!$A$44,K347))),설정!$B$44,IF(AND(설정!$A$45&lt;&gt;"",ISNUMBER(SEARCH(설정!$A$45,K347))),설정!$B$45,IF(AND(설정!$A$46&lt;&gt;"",ISNUMBER(SEARCH(설정!$A$46,K347))),설정!$B$46,IF(AND(설정!$A$47&lt;&gt;"",ISNUMBER(SEARCH(설정!$A$47,K347))),설정!$B$47,IF(AND(설정!$A$48&lt;&gt;"",ISNUMBER(SEARCH(설정!$A$48,K347))),설정!$B$48,IF(M347="","설계사","시공사"))))))))),"")</f>
        <v/>
      </c>
      <c r="V347">
        <f>SUBSTITUTE(SUBSTITUTE(SUBSTITUTE(SUBSTITUTE(G347,"(주)",""),"㈜",""),"주식회사","")," ","")</f>
        <v/>
      </c>
      <c r="W347">
        <f>IF(AND(T347,V347&lt;&gt;""),IF(COUNTIFS(V$2:V347,V347,T$2:T347,TRUE)=1,MAX(W$1:W346)+1,""),"")</f>
        <v/>
      </c>
      <c r="X347">
        <f>IFERROR(INDEX('1.산군_붙여넣기'!$A$1:$AZ$1001,ROW(),설정!$C$14)&amp;"","")</f>
        <v/>
      </c>
      <c r="Y347">
        <f>IFERROR(INDEX('1.산군_붙여넣기'!$A$1:$AZ$1001,ROW(),설정!$C$15)&amp;"","")</f>
        <v/>
      </c>
      <c r="Z347">
        <f>IF(T347,V347&amp;"|"&amp;U347,"")</f>
        <v/>
      </c>
    </row>
    <row r="348">
      <c r="A348">
        <f>ROW()</f>
        <v/>
      </c>
      <c r="B348">
        <f>IFERROR(INDEX('1.산군_붙여넣기'!$A$1:$AZ$1001,ROW(),설정!$C$4)&amp;"","")</f>
        <v/>
      </c>
      <c r="C348">
        <f>IFERROR(INDEX('1.산군_붙여넣기'!$A$1:$AZ$1001,ROW(),설정!$C$5)&amp;"","")</f>
        <v/>
      </c>
      <c r="D348" s="5">
        <f>IFERROR(VALUE(SUBSTITUTE(SUBSTITUTE(SUBSTITUTE(IFERROR(INDEX('1.산군_붙여넣기'!$A$1:$AZ$1001,ROW(),설정!$C$6)&amp;"",""),",",""),"㎡",""),"m2","")),"")</f>
        <v/>
      </c>
      <c r="E348">
        <f>IFERROR(INDEX('1.산군_붙여넣기'!$A$1:$AZ$1001,ROW(),설정!$C$7)&amp;"","")</f>
        <v/>
      </c>
      <c r="F348">
        <f>IFERROR(INDEX('1.산군_붙여넣기'!$A$1:$AZ$1001,ROW(),설정!$C$8)&amp;"","")</f>
        <v/>
      </c>
      <c r="G348">
        <f>IFERROR(INDEX('1.산군_붙여넣기'!$A$1:$AZ$1001,ROW(),설정!$C$9)&amp;"","")</f>
        <v/>
      </c>
      <c r="H348">
        <f>IFERROR(INDEX('1.산군_붙여넣기'!$A$1:$AZ$1001,ROW(),설정!$C$10)&amp;"","")</f>
        <v/>
      </c>
      <c r="I348">
        <f>IFERROR(INDEX('1.산군_붙여넣기'!$A$1:$AZ$1001,ROW(),설정!$C$11)&amp;"","")</f>
        <v/>
      </c>
      <c r="J348">
        <f>IFERROR(INDEX('1.산군_붙여넣기'!$A$1:$AZ$1001,ROW(),설정!$C$12)&amp;"","")</f>
        <v/>
      </c>
      <c r="K348">
        <f>IFERROR(INDEX('1.산군_붙여넣기'!$A$1:$AZ$1001,ROW(),설정!$C$13)&amp;"","")</f>
        <v/>
      </c>
      <c r="L348" s="6">
        <f>IF(X348="","",IF(AND(LEN(X348)=8,ISNUMBER(X348*1)),DATE(LEFT(X348,4),MID(X348,5,2),RIGHT(X348,2)),IFERROR(DATEVALUE(SUBSTITUTE(SUBSTITUTE(X348,".","-"),"/","-")),IFERROR(X348*1,""))))</f>
        <v/>
      </c>
      <c r="M348" s="6">
        <f>IF(Y348="","",IF(AND(LEN(Y348)=8,ISNUMBER(Y348*1)),DATE(LEFT(Y348,4),MID(Y348,5,2),RIGHT(Y348,2)),IFERROR(DATEVALUE(SUBSTITUTE(SUBSTITUTE(Y348,".","-"),"/","-")),IFERROR(Y348*1,""))))</f>
        <v/>
      </c>
      <c r="N348">
        <f>IFERROR(LEFT(B348,FIND(" ",B348)-1),B348)</f>
        <v/>
      </c>
      <c r="O348">
        <f>AND(B348&lt;&gt;"",B348&lt;&gt;설정!$B$4,C348&lt;&gt;설정!$B$5)</f>
        <v/>
      </c>
      <c r="P348">
        <f>IF(O348,B348&amp;"|"&amp;C348,"")</f>
        <v/>
      </c>
      <c r="Q348">
        <f>AND(O348,COUNTIF(P349:P$1002,P348)=0)</f>
        <v/>
      </c>
      <c r="R348">
        <f>OR(AND(설정!$A$28&lt;&gt;"",ISNUMBER(SEARCH(설정!$A$28,E348&amp;" "&amp;C348))),AND(설정!$A$29&lt;&gt;"",ISNUMBER(SEARCH(설정!$A$29,E348&amp;" "&amp;C348))),AND(설정!$A$30&lt;&gt;"",ISNUMBER(SEARCH(설정!$A$30,E348&amp;" "&amp;C348))),AND(설정!$A$31&lt;&gt;"",ISNUMBER(SEARCH(설정!$A$31,E348&amp;" "&amp;C348))),AND(설정!$A$32&lt;&gt;"",ISNUMBER(SEARCH(설정!$A$32,E348&amp;" "&amp;C348))),AND(설정!$A$33&lt;&gt;"",ISNUMBER(SEARCH(설정!$A$33,E348&amp;" "&amp;C348))),AND(설정!$A$34&lt;&gt;"",ISNUMBER(SEARCH(설정!$A$34,E348&amp;" "&amp;C348))),AND(설정!$A$35&lt;&gt;"",ISNUMBER(SEARCH(설정!$A$35,E348&amp;" "&amp;C348))),AND(설정!$A$36&lt;&gt;"",ISNUMBER(SEARCH(설정!$A$36,E348&amp;" "&amp;C348))),AND(설정!$A$37&lt;&gt;"",ISNUMBER(SEARCH(설정!$A$37,E348&amp;" "&amp;C348))))</f>
        <v/>
      </c>
      <c r="S348">
        <f>OR(D348="",D348&gt;=설정!$B$19)</f>
        <v/>
      </c>
      <c r="T348">
        <f>AND(Q348,R348,S348)</f>
        <v/>
      </c>
      <c r="U348">
        <f>IF(T348,IF(AND(설정!$A$41&lt;&gt;"",ISNUMBER(SEARCH(설정!$A$41,K348))),설정!$B$41,IF(AND(설정!$A$42&lt;&gt;"",ISNUMBER(SEARCH(설정!$A$42,K348))),설정!$B$42,IF(AND(설정!$A$43&lt;&gt;"",ISNUMBER(SEARCH(설정!$A$43,K348))),설정!$B$43,IF(AND(설정!$A$44&lt;&gt;"",ISNUMBER(SEARCH(설정!$A$44,K348))),설정!$B$44,IF(AND(설정!$A$45&lt;&gt;"",ISNUMBER(SEARCH(설정!$A$45,K348))),설정!$B$45,IF(AND(설정!$A$46&lt;&gt;"",ISNUMBER(SEARCH(설정!$A$46,K348))),설정!$B$46,IF(AND(설정!$A$47&lt;&gt;"",ISNUMBER(SEARCH(설정!$A$47,K348))),설정!$B$47,IF(AND(설정!$A$48&lt;&gt;"",ISNUMBER(SEARCH(설정!$A$48,K348))),설정!$B$48,IF(M348="","설계사","시공사"))))))))),"")</f>
        <v/>
      </c>
      <c r="V348">
        <f>SUBSTITUTE(SUBSTITUTE(SUBSTITUTE(SUBSTITUTE(G348,"(주)",""),"㈜",""),"주식회사","")," ","")</f>
        <v/>
      </c>
      <c r="W348">
        <f>IF(AND(T348,V348&lt;&gt;""),IF(COUNTIFS(V$2:V348,V348,T$2:T348,TRUE)=1,MAX(W$1:W347)+1,""),"")</f>
        <v/>
      </c>
      <c r="X348">
        <f>IFERROR(INDEX('1.산군_붙여넣기'!$A$1:$AZ$1001,ROW(),설정!$C$14)&amp;"","")</f>
        <v/>
      </c>
      <c r="Y348">
        <f>IFERROR(INDEX('1.산군_붙여넣기'!$A$1:$AZ$1001,ROW(),설정!$C$15)&amp;"","")</f>
        <v/>
      </c>
      <c r="Z348">
        <f>IF(T348,V348&amp;"|"&amp;U348,"")</f>
        <v/>
      </c>
    </row>
    <row r="349">
      <c r="A349">
        <f>ROW()</f>
        <v/>
      </c>
      <c r="B349">
        <f>IFERROR(INDEX('1.산군_붙여넣기'!$A$1:$AZ$1001,ROW(),설정!$C$4)&amp;"","")</f>
        <v/>
      </c>
      <c r="C349">
        <f>IFERROR(INDEX('1.산군_붙여넣기'!$A$1:$AZ$1001,ROW(),설정!$C$5)&amp;"","")</f>
        <v/>
      </c>
      <c r="D349" s="5">
        <f>IFERROR(VALUE(SUBSTITUTE(SUBSTITUTE(SUBSTITUTE(IFERROR(INDEX('1.산군_붙여넣기'!$A$1:$AZ$1001,ROW(),설정!$C$6)&amp;"",""),",",""),"㎡",""),"m2","")),"")</f>
        <v/>
      </c>
      <c r="E349">
        <f>IFERROR(INDEX('1.산군_붙여넣기'!$A$1:$AZ$1001,ROW(),설정!$C$7)&amp;"","")</f>
        <v/>
      </c>
      <c r="F349">
        <f>IFERROR(INDEX('1.산군_붙여넣기'!$A$1:$AZ$1001,ROW(),설정!$C$8)&amp;"","")</f>
        <v/>
      </c>
      <c r="G349">
        <f>IFERROR(INDEX('1.산군_붙여넣기'!$A$1:$AZ$1001,ROW(),설정!$C$9)&amp;"","")</f>
        <v/>
      </c>
      <c r="H349">
        <f>IFERROR(INDEX('1.산군_붙여넣기'!$A$1:$AZ$1001,ROW(),설정!$C$10)&amp;"","")</f>
        <v/>
      </c>
      <c r="I349">
        <f>IFERROR(INDEX('1.산군_붙여넣기'!$A$1:$AZ$1001,ROW(),설정!$C$11)&amp;"","")</f>
        <v/>
      </c>
      <c r="J349">
        <f>IFERROR(INDEX('1.산군_붙여넣기'!$A$1:$AZ$1001,ROW(),설정!$C$12)&amp;"","")</f>
        <v/>
      </c>
      <c r="K349">
        <f>IFERROR(INDEX('1.산군_붙여넣기'!$A$1:$AZ$1001,ROW(),설정!$C$13)&amp;"","")</f>
        <v/>
      </c>
      <c r="L349" s="6">
        <f>IF(X349="","",IF(AND(LEN(X349)=8,ISNUMBER(X349*1)),DATE(LEFT(X349,4),MID(X349,5,2),RIGHT(X349,2)),IFERROR(DATEVALUE(SUBSTITUTE(SUBSTITUTE(X349,".","-"),"/","-")),IFERROR(X349*1,""))))</f>
        <v/>
      </c>
      <c r="M349" s="6">
        <f>IF(Y349="","",IF(AND(LEN(Y349)=8,ISNUMBER(Y349*1)),DATE(LEFT(Y349,4),MID(Y349,5,2),RIGHT(Y349,2)),IFERROR(DATEVALUE(SUBSTITUTE(SUBSTITUTE(Y349,".","-"),"/","-")),IFERROR(Y349*1,""))))</f>
        <v/>
      </c>
      <c r="N349">
        <f>IFERROR(LEFT(B349,FIND(" ",B349)-1),B349)</f>
        <v/>
      </c>
      <c r="O349">
        <f>AND(B349&lt;&gt;"",B349&lt;&gt;설정!$B$4,C349&lt;&gt;설정!$B$5)</f>
        <v/>
      </c>
      <c r="P349">
        <f>IF(O349,B349&amp;"|"&amp;C349,"")</f>
        <v/>
      </c>
      <c r="Q349">
        <f>AND(O349,COUNTIF(P350:P$1002,P349)=0)</f>
        <v/>
      </c>
      <c r="R349">
        <f>OR(AND(설정!$A$28&lt;&gt;"",ISNUMBER(SEARCH(설정!$A$28,E349&amp;" "&amp;C349))),AND(설정!$A$29&lt;&gt;"",ISNUMBER(SEARCH(설정!$A$29,E349&amp;" "&amp;C349))),AND(설정!$A$30&lt;&gt;"",ISNUMBER(SEARCH(설정!$A$30,E349&amp;" "&amp;C349))),AND(설정!$A$31&lt;&gt;"",ISNUMBER(SEARCH(설정!$A$31,E349&amp;" "&amp;C349))),AND(설정!$A$32&lt;&gt;"",ISNUMBER(SEARCH(설정!$A$32,E349&amp;" "&amp;C349))),AND(설정!$A$33&lt;&gt;"",ISNUMBER(SEARCH(설정!$A$33,E349&amp;" "&amp;C349))),AND(설정!$A$34&lt;&gt;"",ISNUMBER(SEARCH(설정!$A$34,E349&amp;" "&amp;C349))),AND(설정!$A$35&lt;&gt;"",ISNUMBER(SEARCH(설정!$A$35,E349&amp;" "&amp;C349))),AND(설정!$A$36&lt;&gt;"",ISNUMBER(SEARCH(설정!$A$36,E349&amp;" "&amp;C349))),AND(설정!$A$37&lt;&gt;"",ISNUMBER(SEARCH(설정!$A$37,E349&amp;" "&amp;C349))))</f>
        <v/>
      </c>
      <c r="S349">
        <f>OR(D349="",D349&gt;=설정!$B$19)</f>
        <v/>
      </c>
      <c r="T349">
        <f>AND(Q349,R349,S349)</f>
        <v/>
      </c>
      <c r="U349">
        <f>IF(T349,IF(AND(설정!$A$41&lt;&gt;"",ISNUMBER(SEARCH(설정!$A$41,K349))),설정!$B$41,IF(AND(설정!$A$42&lt;&gt;"",ISNUMBER(SEARCH(설정!$A$42,K349))),설정!$B$42,IF(AND(설정!$A$43&lt;&gt;"",ISNUMBER(SEARCH(설정!$A$43,K349))),설정!$B$43,IF(AND(설정!$A$44&lt;&gt;"",ISNUMBER(SEARCH(설정!$A$44,K349))),설정!$B$44,IF(AND(설정!$A$45&lt;&gt;"",ISNUMBER(SEARCH(설정!$A$45,K349))),설정!$B$45,IF(AND(설정!$A$46&lt;&gt;"",ISNUMBER(SEARCH(설정!$A$46,K349))),설정!$B$46,IF(AND(설정!$A$47&lt;&gt;"",ISNUMBER(SEARCH(설정!$A$47,K349))),설정!$B$47,IF(AND(설정!$A$48&lt;&gt;"",ISNUMBER(SEARCH(설정!$A$48,K349))),설정!$B$48,IF(M349="","설계사","시공사"))))))))),"")</f>
        <v/>
      </c>
      <c r="V349">
        <f>SUBSTITUTE(SUBSTITUTE(SUBSTITUTE(SUBSTITUTE(G349,"(주)",""),"㈜",""),"주식회사","")," ","")</f>
        <v/>
      </c>
      <c r="W349">
        <f>IF(AND(T349,V349&lt;&gt;""),IF(COUNTIFS(V$2:V349,V349,T$2:T349,TRUE)=1,MAX(W$1:W348)+1,""),"")</f>
        <v/>
      </c>
      <c r="X349">
        <f>IFERROR(INDEX('1.산군_붙여넣기'!$A$1:$AZ$1001,ROW(),설정!$C$14)&amp;"","")</f>
        <v/>
      </c>
      <c r="Y349">
        <f>IFERROR(INDEX('1.산군_붙여넣기'!$A$1:$AZ$1001,ROW(),설정!$C$15)&amp;"","")</f>
        <v/>
      </c>
      <c r="Z349">
        <f>IF(T349,V349&amp;"|"&amp;U349,"")</f>
        <v/>
      </c>
    </row>
    <row r="350">
      <c r="A350">
        <f>ROW()</f>
        <v/>
      </c>
      <c r="B350">
        <f>IFERROR(INDEX('1.산군_붙여넣기'!$A$1:$AZ$1001,ROW(),설정!$C$4)&amp;"","")</f>
        <v/>
      </c>
      <c r="C350">
        <f>IFERROR(INDEX('1.산군_붙여넣기'!$A$1:$AZ$1001,ROW(),설정!$C$5)&amp;"","")</f>
        <v/>
      </c>
      <c r="D350" s="5">
        <f>IFERROR(VALUE(SUBSTITUTE(SUBSTITUTE(SUBSTITUTE(IFERROR(INDEX('1.산군_붙여넣기'!$A$1:$AZ$1001,ROW(),설정!$C$6)&amp;"",""),",",""),"㎡",""),"m2","")),"")</f>
        <v/>
      </c>
      <c r="E350">
        <f>IFERROR(INDEX('1.산군_붙여넣기'!$A$1:$AZ$1001,ROW(),설정!$C$7)&amp;"","")</f>
        <v/>
      </c>
      <c r="F350">
        <f>IFERROR(INDEX('1.산군_붙여넣기'!$A$1:$AZ$1001,ROW(),설정!$C$8)&amp;"","")</f>
        <v/>
      </c>
      <c r="G350">
        <f>IFERROR(INDEX('1.산군_붙여넣기'!$A$1:$AZ$1001,ROW(),설정!$C$9)&amp;"","")</f>
        <v/>
      </c>
      <c r="H350">
        <f>IFERROR(INDEX('1.산군_붙여넣기'!$A$1:$AZ$1001,ROW(),설정!$C$10)&amp;"","")</f>
        <v/>
      </c>
      <c r="I350">
        <f>IFERROR(INDEX('1.산군_붙여넣기'!$A$1:$AZ$1001,ROW(),설정!$C$11)&amp;"","")</f>
        <v/>
      </c>
      <c r="J350">
        <f>IFERROR(INDEX('1.산군_붙여넣기'!$A$1:$AZ$1001,ROW(),설정!$C$12)&amp;"","")</f>
        <v/>
      </c>
      <c r="K350">
        <f>IFERROR(INDEX('1.산군_붙여넣기'!$A$1:$AZ$1001,ROW(),설정!$C$13)&amp;"","")</f>
        <v/>
      </c>
      <c r="L350" s="6">
        <f>IF(X350="","",IF(AND(LEN(X350)=8,ISNUMBER(X350*1)),DATE(LEFT(X350,4),MID(X350,5,2),RIGHT(X350,2)),IFERROR(DATEVALUE(SUBSTITUTE(SUBSTITUTE(X350,".","-"),"/","-")),IFERROR(X350*1,""))))</f>
        <v/>
      </c>
      <c r="M350" s="6">
        <f>IF(Y350="","",IF(AND(LEN(Y350)=8,ISNUMBER(Y350*1)),DATE(LEFT(Y350,4),MID(Y350,5,2),RIGHT(Y350,2)),IFERROR(DATEVALUE(SUBSTITUTE(SUBSTITUTE(Y350,".","-"),"/","-")),IFERROR(Y350*1,""))))</f>
        <v/>
      </c>
      <c r="N350">
        <f>IFERROR(LEFT(B350,FIND(" ",B350)-1),B350)</f>
        <v/>
      </c>
      <c r="O350">
        <f>AND(B350&lt;&gt;"",B350&lt;&gt;설정!$B$4,C350&lt;&gt;설정!$B$5)</f>
        <v/>
      </c>
      <c r="P350">
        <f>IF(O350,B350&amp;"|"&amp;C350,"")</f>
        <v/>
      </c>
      <c r="Q350">
        <f>AND(O350,COUNTIF(P351:P$1002,P350)=0)</f>
        <v/>
      </c>
      <c r="R350">
        <f>OR(AND(설정!$A$28&lt;&gt;"",ISNUMBER(SEARCH(설정!$A$28,E350&amp;" "&amp;C350))),AND(설정!$A$29&lt;&gt;"",ISNUMBER(SEARCH(설정!$A$29,E350&amp;" "&amp;C350))),AND(설정!$A$30&lt;&gt;"",ISNUMBER(SEARCH(설정!$A$30,E350&amp;" "&amp;C350))),AND(설정!$A$31&lt;&gt;"",ISNUMBER(SEARCH(설정!$A$31,E350&amp;" "&amp;C350))),AND(설정!$A$32&lt;&gt;"",ISNUMBER(SEARCH(설정!$A$32,E350&amp;" "&amp;C350))),AND(설정!$A$33&lt;&gt;"",ISNUMBER(SEARCH(설정!$A$33,E350&amp;" "&amp;C350))),AND(설정!$A$34&lt;&gt;"",ISNUMBER(SEARCH(설정!$A$34,E350&amp;" "&amp;C350))),AND(설정!$A$35&lt;&gt;"",ISNUMBER(SEARCH(설정!$A$35,E350&amp;" "&amp;C350))),AND(설정!$A$36&lt;&gt;"",ISNUMBER(SEARCH(설정!$A$36,E350&amp;" "&amp;C350))),AND(설정!$A$37&lt;&gt;"",ISNUMBER(SEARCH(설정!$A$37,E350&amp;" "&amp;C350))))</f>
        <v/>
      </c>
      <c r="S350">
        <f>OR(D350="",D350&gt;=설정!$B$19)</f>
        <v/>
      </c>
      <c r="T350">
        <f>AND(Q350,R350,S350)</f>
        <v/>
      </c>
      <c r="U350">
        <f>IF(T350,IF(AND(설정!$A$41&lt;&gt;"",ISNUMBER(SEARCH(설정!$A$41,K350))),설정!$B$41,IF(AND(설정!$A$42&lt;&gt;"",ISNUMBER(SEARCH(설정!$A$42,K350))),설정!$B$42,IF(AND(설정!$A$43&lt;&gt;"",ISNUMBER(SEARCH(설정!$A$43,K350))),설정!$B$43,IF(AND(설정!$A$44&lt;&gt;"",ISNUMBER(SEARCH(설정!$A$44,K350))),설정!$B$44,IF(AND(설정!$A$45&lt;&gt;"",ISNUMBER(SEARCH(설정!$A$45,K350))),설정!$B$45,IF(AND(설정!$A$46&lt;&gt;"",ISNUMBER(SEARCH(설정!$A$46,K350))),설정!$B$46,IF(AND(설정!$A$47&lt;&gt;"",ISNUMBER(SEARCH(설정!$A$47,K350))),설정!$B$47,IF(AND(설정!$A$48&lt;&gt;"",ISNUMBER(SEARCH(설정!$A$48,K350))),설정!$B$48,IF(M350="","설계사","시공사"))))))))),"")</f>
        <v/>
      </c>
      <c r="V350">
        <f>SUBSTITUTE(SUBSTITUTE(SUBSTITUTE(SUBSTITUTE(G350,"(주)",""),"㈜",""),"주식회사","")," ","")</f>
        <v/>
      </c>
      <c r="W350">
        <f>IF(AND(T350,V350&lt;&gt;""),IF(COUNTIFS(V$2:V350,V350,T$2:T350,TRUE)=1,MAX(W$1:W349)+1,""),"")</f>
        <v/>
      </c>
      <c r="X350">
        <f>IFERROR(INDEX('1.산군_붙여넣기'!$A$1:$AZ$1001,ROW(),설정!$C$14)&amp;"","")</f>
        <v/>
      </c>
      <c r="Y350">
        <f>IFERROR(INDEX('1.산군_붙여넣기'!$A$1:$AZ$1001,ROW(),설정!$C$15)&amp;"","")</f>
        <v/>
      </c>
      <c r="Z350">
        <f>IF(T350,V350&amp;"|"&amp;U350,"")</f>
        <v/>
      </c>
    </row>
    <row r="351">
      <c r="A351">
        <f>ROW()</f>
        <v/>
      </c>
      <c r="B351">
        <f>IFERROR(INDEX('1.산군_붙여넣기'!$A$1:$AZ$1001,ROW(),설정!$C$4)&amp;"","")</f>
        <v/>
      </c>
      <c r="C351">
        <f>IFERROR(INDEX('1.산군_붙여넣기'!$A$1:$AZ$1001,ROW(),설정!$C$5)&amp;"","")</f>
        <v/>
      </c>
      <c r="D351" s="5">
        <f>IFERROR(VALUE(SUBSTITUTE(SUBSTITUTE(SUBSTITUTE(IFERROR(INDEX('1.산군_붙여넣기'!$A$1:$AZ$1001,ROW(),설정!$C$6)&amp;"",""),",",""),"㎡",""),"m2","")),"")</f>
        <v/>
      </c>
      <c r="E351">
        <f>IFERROR(INDEX('1.산군_붙여넣기'!$A$1:$AZ$1001,ROW(),설정!$C$7)&amp;"","")</f>
        <v/>
      </c>
      <c r="F351">
        <f>IFERROR(INDEX('1.산군_붙여넣기'!$A$1:$AZ$1001,ROW(),설정!$C$8)&amp;"","")</f>
        <v/>
      </c>
      <c r="G351">
        <f>IFERROR(INDEX('1.산군_붙여넣기'!$A$1:$AZ$1001,ROW(),설정!$C$9)&amp;"","")</f>
        <v/>
      </c>
      <c r="H351">
        <f>IFERROR(INDEX('1.산군_붙여넣기'!$A$1:$AZ$1001,ROW(),설정!$C$10)&amp;"","")</f>
        <v/>
      </c>
      <c r="I351">
        <f>IFERROR(INDEX('1.산군_붙여넣기'!$A$1:$AZ$1001,ROW(),설정!$C$11)&amp;"","")</f>
        <v/>
      </c>
      <c r="J351">
        <f>IFERROR(INDEX('1.산군_붙여넣기'!$A$1:$AZ$1001,ROW(),설정!$C$12)&amp;"","")</f>
        <v/>
      </c>
      <c r="K351">
        <f>IFERROR(INDEX('1.산군_붙여넣기'!$A$1:$AZ$1001,ROW(),설정!$C$13)&amp;"","")</f>
        <v/>
      </c>
      <c r="L351" s="6">
        <f>IF(X351="","",IF(AND(LEN(X351)=8,ISNUMBER(X351*1)),DATE(LEFT(X351,4),MID(X351,5,2),RIGHT(X351,2)),IFERROR(DATEVALUE(SUBSTITUTE(SUBSTITUTE(X351,".","-"),"/","-")),IFERROR(X351*1,""))))</f>
        <v/>
      </c>
      <c r="M351" s="6">
        <f>IF(Y351="","",IF(AND(LEN(Y351)=8,ISNUMBER(Y351*1)),DATE(LEFT(Y351,4),MID(Y351,5,2),RIGHT(Y351,2)),IFERROR(DATEVALUE(SUBSTITUTE(SUBSTITUTE(Y351,".","-"),"/","-")),IFERROR(Y351*1,""))))</f>
        <v/>
      </c>
      <c r="N351">
        <f>IFERROR(LEFT(B351,FIND(" ",B351)-1),B351)</f>
        <v/>
      </c>
      <c r="O351">
        <f>AND(B351&lt;&gt;"",B351&lt;&gt;설정!$B$4,C351&lt;&gt;설정!$B$5)</f>
        <v/>
      </c>
      <c r="P351">
        <f>IF(O351,B351&amp;"|"&amp;C351,"")</f>
        <v/>
      </c>
      <c r="Q351">
        <f>AND(O351,COUNTIF(P352:P$1002,P351)=0)</f>
        <v/>
      </c>
      <c r="R351">
        <f>OR(AND(설정!$A$28&lt;&gt;"",ISNUMBER(SEARCH(설정!$A$28,E351&amp;" "&amp;C351))),AND(설정!$A$29&lt;&gt;"",ISNUMBER(SEARCH(설정!$A$29,E351&amp;" "&amp;C351))),AND(설정!$A$30&lt;&gt;"",ISNUMBER(SEARCH(설정!$A$30,E351&amp;" "&amp;C351))),AND(설정!$A$31&lt;&gt;"",ISNUMBER(SEARCH(설정!$A$31,E351&amp;" "&amp;C351))),AND(설정!$A$32&lt;&gt;"",ISNUMBER(SEARCH(설정!$A$32,E351&amp;" "&amp;C351))),AND(설정!$A$33&lt;&gt;"",ISNUMBER(SEARCH(설정!$A$33,E351&amp;" "&amp;C351))),AND(설정!$A$34&lt;&gt;"",ISNUMBER(SEARCH(설정!$A$34,E351&amp;" "&amp;C351))),AND(설정!$A$35&lt;&gt;"",ISNUMBER(SEARCH(설정!$A$35,E351&amp;" "&amp;C351))),AND(설정!$A$36&lt;&gt;"",ISNUMBER(SEARCH(설정!$A$36,E351&amp;" "&amp;C351))),AND(설정!$A$37&lt;&gt;"",ISNUMBER(SEARCH(설정!$A$37,E351&amp;" "&amp;C351))))</f>
        <v/>
      </c>
      <c r="S351">
        <f>OR(D351="",D351&gt;=설정!$B$19)</f>
        <v/>
      </c>
      <c r="T351">
        <f>AND(Q351,R351,S351)</f>
        <v/>
      </c>
      <c r="U351">
        <f>IF(T351,IF(AND(설정!$A$41&lt;&gt;"",ISNUMBER(SEARCH(설정!$A$41,K351))),설정!$B$41,IF(AND(설정!$A$42&lt;&gt;"",ISNUMBER(SEARCH(설정!$A$42,K351))),설정!$B$42,IF(AND(설정!$A$43&lt;&gt;"",ISNUMBER(SEARCH(설정!$A$43,K351))),설정!$B$43,IF(AND(설정!$A$44&lt;&gt;"",ISNUMBER(SEARCH(설정!$A$44,K351))),설정!$B$44,IF(AND(설정!$A$45&lt;&gt;"",ISNUMBER(SEARCH(설정!$A$45,K351))),설정!$B$45,IF(AND(설정!$A$46&lt;&gt;"",ISNUMBER(SEARCH(설정!$A$46,K351))),설정!$B$46,IF(AND(설정!$A$47&lt;&gt;"",ISNUMBER(SEARCH(설정!$A$47,K351))),설정!$B$47,IF(AND(설정!$A$48&lt;&gt;"",ISNUMBER(SEARCH(설정!$A$48,K351))),설정!$B$48,IF(M351="","설계사","시공사"))))))))),"")</f>
        <v/>
      </c>
      <c r="V351">
        <f>SUBSTITUTE(SUBSTITUTE(SUBSTITUTE(SUBSTITUTE(G351,"(주)",""),"㈜",""),"주식회사","")," ","")</f>
        <v/>
      </c>
      <c r="W351">
        <f>IF(AND(T351,V351&lt;&gt;""),IF(COUNTIFS(V$2:V351,V351,T$2:T351,TRUE)=1,MAX(W$1:W350)+1,""),"")</f>
        <v/>
      </c>
      <c r="X351">
        <f>IFERROR(INDEX('1.산군_붙여넣기'!$A$1:$AZ$1001,ROW(),설정!$C$14)&amp;"","")</f>
        <v/>
      </c>
      <c r="Y351">
        <f>IFERROR(INDEX('1.산군_붙여넣기'!$A$1:$AZ$1001,ROW(),설정!$C$15)&amp;"","")</f>
        <v/>
      </c>
      <c r="Z351">
        <f>IF(T351,V351&amp;"|"&amp;U351,"")</f>
        <v/>
      </c>
    </row>
    <row r="352">
      <c r="A352">
        <f>ROW()</f>
        <v/>
      </c>
      <c r="B352">
        <f>IFERROR(INDEX('1.산군_붙여넣기'!$A$1:$AZ$1001,ROW(),설정!$C$4)&amp;"","")</f>
        <v/>
      </c>
      <c r="C352">
        <f>IFERROR(INDEX('1.산군_붙여넣기'!$A$1:$AZ$1001,ROW(),설정!$C$5)&amp;"","")</f>
        <v/>
      </c>
      <c r="D352" s="5">
        <f>IFERROR(VALUE(SUBSTITUTE(SUBSTITUTE(SUBSTITUTE(IFERROR(INDEX('1.산군_붙여넣기'!$A$1:$AZ$1001,ROW(),설정!$C$6)&amp;"",""),",",""),"㎡",""),"m2","")),"")</f>
        <v/>
      </c>
      <c r="E352">
        <f>IFERROR(INDEX('1.산군_붙여넣기'!$A$1:$AZ$1001,ROW(),설정!$C$7)&amp;"","")</f>
        <v/>
      </c>
      <c r="F352">
        <f>IFERROR(INDEX('1.산군_붙여넣기'!$A$1:$AZ$1001,ROW(),설정!$C$8)&amp;"","")</f>
        <v/>
      </c>
      <c r="G352">
        <f>IFERROR(INDEX('1.산군_붙여넣기'!$A$1:$AZ$1001,ROW(),설정!$C$9)&amp;"","")</f>
        <v/>
      </c>
      <c r="H352">
        <f>IFERROR(INDEX('1.산군_붙여넣기'!$A$1:$AZ$1001,ROW(),설정!$C$10)&amp;"","")</f>
        <v/>
      </c>
      <c r="I352">
        <f>IFERROR(INDEX('1.산군_붙여넣기'!$A$1:$AZ$1001,ROW(),설정!$C$11)&amp;"","")</f>
        <v/>
      </c>
      <c r="J352">
        <f>IFERROR(INDEX('1.산군_붙여넣기'!$A$1:$AZ$1001,ROW(),설정!$C$12)&amp;"","")</f>
        <v/>
      </c>
      <c r="K352">
        <f>IFERROR(INDEX('1.산군_붙여넣기'!$A$1:$AZ$1001,ROW(),설정!$C$13)&amp;"","")</f>
        <v/>
      </c>
      <c r="L352" s="6">
        <f>IF(X352="","",IF(AND(LEN(X352)=8,ISNUMBER(X352*1)),DATE(LEFT(X352,4),MID(X352,5,2),RIGHT(X352,2)),IFERROR(DATEVALUE(SUBSTITUTE(SUBSTITUTE(X352,".","-"),"/","-")),IFERROR(X352*1,""))))</f>
        <v/>
      </c>
      <c r="M352" s="6">
        <f>IF(Y352="","",IF(AND(LEN(Y352)=8,ISNUMBER(Y352*1)),DATE(LEFT(Y352,4),MID(Y352,5,2),RIGHT(Y352,2)),IFERROR(DATEVALUE(SUBSTITUTE(SUBSTITUTE(Y352,".","-"),"/","-")),IFERROR(Y352*1,""))))</f>
        <v/>
      </c>
      <c r="N352">
        <f>IFERROR(LEFT(B352,FIND(" ",B352)-1),B352)</f>
        <v/>
      </c>
      <c r="O352">
        <f>AND(B352&lt;&gt;"",B352&lt;&gt;설정!$B$4,C352&lt;&gt;설정!$B$5)</f>
        <v/>
      </c>
      <c r="P352">
        <f>IF(O352,B352&amp;"|"&amp;C352,"")</f>
        <v/>
      </c>
      <c r="Q352">
        <f>AND(O352,COUNTIF(P353:P$1002,P352)=0)</f>
        <v/>
      </c>
      <c r="R352">
        <f>OR(AND(설정!$A$28&lt;&gt;"",ISNUMBER(SEARCH(설정!$A$28,E352&amp;" "&amp;C352))),AND(설정!$A$29&lt;&gt;"",ISNUMBER(SEARCH(설정!$A$29,E352&amp;" "&amp;C352))),AND(설정!$A$30&lt;&gt;"",ISNUMBER(SEARCH(설정!$A$30,E352&amp;" "&amp;C352))),AND(설정!$A$31&lt;&gt;"",ISNUMBER(SEARCH(설정!$A$31,E352&amp;" "&amp;C352))),AND(설정!$A$32&lt;&gt;"",ISNUMBER(SEARCH(설정!$A$32,E352&amp;" "&amp;C352))),AND(설정!$A$33&lt;&gt;"",ISNUMBER(SEARCH(설정!$A$33,E352&amp;" "&amp;C352))),AND(설정!$A$34&lt;&gt;"",ISNUMBER(SEARCH(설정!$A$34,E352&amp;" "&amp;C352))),AND(설정!$A$35&lt;&gt;"",ISNUMBER(SEARCH(설정!$A$35,E352&amp;" "&amp;C352))),AND(설정!$A$36&lt;&gt;"",ISNUMBER(SEARCH(설정!$A$36,E352&amp;" "&amp;C352))),AND(설정!$A$37&lt;&gt;"",ISNUMBER(SEARCH(설정!$A$37,E352&amp;" "&amp;C352))))</f>
        <v/>
      </c>
      <c r="S352">
        <f>OR(D352="",D352&gt;=설정!$B$19)</f>
        <v/>
      </c>
      <c r="T352">
        <f>AND(Q352,R352,S352)</f>
        <v/>
      </c>
      <c r="U352">
        <f>IF(T352,IF(AND(설정!$A$41&lt;&gt;"",ISNUMBER(SEARCH(설정!$A$41,K352))),설정!$B$41,IF(AND(설정!$A$42&lt;&gt;"",ISNUMBER(SEARCH(설정!$A$42,K352))),설정!$B$42,IF(AND(설정!$A$43&lt;&gt;"",ISNUMBER(SEARCH(설정!$A$43,K352))),설정!$B$43,IF(AND(설정!$A$44&lt;&gt;"",ISNUMBER(SEARCH(설정!$A$44,K352))),설정!$B$44,IF(AND(설정!$A$45&lt;&gt;"",ISNUMBER(SEARCH(설정!$A$45,K352))),설정!$B$45,IF(AND(설정!$A$46&lt;&gt;"",ISNUMBER(SEARCH(설정!$A$46,K352))),설정!$B$46,IF(AND(설정!$A$47&lt;&gt;"",ISNUMBER(SEARCH(설정!$A$47,K352))),설정!$B$47,IF(AND(설정!$A$48&lt;&gt;"",ISNUMBER(SEARCH(설정!$A$48,K352))),설정!$B$48,IF(M352="","설계사","시공사"))))))))),"")</f>
        <v/>
      </c>
      <c r="V352">
        <f>SUBSTITUTE(SUBSTITUTE(SUBSTITUTE(SUBSTITUTE(G352,"(주)",""),"㈜",""),"주식회사","")," ","")</f>
        <v/>
      </c>
      <c r="W352">
        <f>IF(AND(T352,V352&lt;&gt;""),IF(COUNTIFS(V$2:V352,V352,T$2:T352,TRUE)=1,MAX(W$1:W351)+1,""),"")</f>
        <v/>
      </c>
      <c r="X352">
        <f>IFERROR(INDEX('1.산군_붙여넣기'!$A$1:$AZ$1001,ROW(),설정!$C$14)&amp;"","")</f>
        <v/>
      </c>
      <c r="Y352">
        <f>IFERROR(INDEX('1.산군_붙여넣기'!$A$1:$AZ$1001,ROW(),설정!$C$15)&amp;"","")</f>
        <v/>
      </c>
      <c r="Z352">
        <f>IF(T352,V352&amp;"|"&amp;U352,"")</f>
        <v/>
      </c>
    </row>
    <row r="353">
      <c r="A353">
        <f>ROW()</f>
        <v/>
      </c>
      <c r="B353">
        <f>IFERROR(INDEX('1.산군_붙여넣기'!$A$1:$AZ$1001,ROW(),설정!$C$4)&amp;"","")</f>
        <v/>
      </c>
      <c r="C353">
        <f>IFERROR(INDEX('1.산군_붙여넣기'!$A$1:$AZ$1001,ROW(),설정!$C$5)&amp;"","")</f>
        <v/>
      </c>
      <c r="D353" s="5">
        <f>IFERROR(VALUE(SUBSTITUTE(SUBSTITUTE(SUBSTITUTE(IFERROR(INDEX('1.산군_붙여넣기'!$A$1:$AZ$1001,ROW(),설정!$C$6)&amp;"",""),",",""),"㎡",""),"m2","")),"")</f>
        <v/>
      </c>
      <c r="E353">
        <f>IFERROR(INDEX('1.산군_붙여넣기'!$A$1:$AZ$1001,ROW(),설정!$C$7)&amp;"","")</f>
        <v/>
      </c>
      <c r="F353">
        <f>IFERROR(INDEX('1.산군_붙여넣기'!$A$1:$AZ$1001,ROW(),설정!$C$8)&amp;"","")</f>
        <v/>
      </c>
      <c r="G353">
        <f>IFERROR(INDEX('1.산군_붙여넣기'!$A$1:$AZ$1001,ROW(),설정!$C$9)&amp;"","")</f>
        <v/>
      </c>
      <c r="H353">
        <f>IFERROR(INDEX('1.산군_붙여넣기'!$A$1:$AZ$1001,ROW(),설정!$C$10)&amp;"","")</f>
        <v/>
      </c>
      <c r="I353">
        <f>IFERROR(INDEX('1.산군_붙여넣기'!$A$1:$AZ$1001,ROW(),설정!$C$11)&amp;"","")</f>
        <v/>
      </c>
      <c r="J353">
        <f>IFERROR(INDEX('1.산군_붙여넣기'!$A$1:$AZ$1001,ROW(),설정!$C$12)&amp;"","")</f>
        <v/>
      </c>
      <c r="K353">
        <f>IFERROR(INDEX('1.산군_붙여넣기'!$A$1:$AZ$1001,ROW(),설정!$C$13)&amp;"","")</f>
        <v/>
      </c>
      <c r="L353" s="6">
        <f>IF(X353="","",IF(AND(LEN(X353)=8,ISNUMBER(X353*1)),DATE(LEFT(X353,4),MID(X353,5,2),RIGHT(X353,2)),IFERROR(DATEVALUE(SUBSTITUTE(SUBSTITUTE(X353,".","-"),"/","-")),IFERROR(X353*1,""))))</f>
        <v/>
      </c>
      <c r="M353" s="6">
        <f>IF(Y353="","",IF(AND(LEN(Y353)=8,ISNUMBER(Y353*1)),DATE(LEFT(Y353,4),MID(Y353,5,2),RIGHT(Y353,2)),IFERROR(DATEVALUE(SUBSTITUTE(SUBSTITUTE(Y353,".","-"),"/","-")),IFERROR(Y353*1,""))))</f>
        <v/>
      </c>
      <c r="N353">
        <f>IFERROR(LEFT(B353,FIND(" ",B353)-1),B353)</f>
        <v/>
      </c>
      <c r="O353">
        <f>AND(B353&lt;&gt;"",B353&lt;&gt;설정!$B$4,C353&lt;&gt;설정!$B$5)</f>
        <v/>
      </c>
      <c r="P353">
        <f>IF(O353,B353&amp;"|"&amp;C353,"")</f>
        <v/>
      </c>
      <c r="Q353">
        <f>AND(O353,COUNTIF(P354:P$1002,P353)=0)</f>
        <v/>
      </c>
      <c r="R353">
        <f>OR(AND(설정!$A$28&lt;&gt;"",ISNUMBER(SEARCH(설정!$A$28,E353&amp;" "&amp;C353))),AND(설정!$A$29&lt;&gt;"",ISNUMBER(SEARCH(설정!$A$29,E353&amp;" "&amp;C353))),AND(설정!$A$30&lt;&gt;"",ISNUMBER(SEARCH(설정!$A$30,E353&amp;" "&amp;C353))),AND(설정!$A$31&lt;&gt;"",ISNUMBER(SEARCH(설정!$A$31,E353&amp;" "&amp;C353))),AND(설정!$A$32&lt;&gt;"",ISNUMBER(SEARCH(설정!$A$32,E353&amp;" "&amp;C353))),AND(설정!$A$33&lt;&gt;"",ISNUMBER(SEARCH(설정!$A$33,E353&amp;" "&amp;C353))),AND(설정!$A$34&lt;&gt;"",ISNUMBER(SEARCH(설정!$A$34,E353&amp;" "&amp;C353))),AND(설정!$A$35&lt;&gt;"",ISNUMBER(SEARCH(설정!$A$35,E353&amp;" "&amp;C353))),AND(설정!$A$36&lt;&gt;"",ISNUMBER(SEARCH(설정!$A$36,E353&amp;" "&amp;C353))),AND(설정!$A$37&lt;&gt;"",ISNUMBER(SEARCH(설정!$A$37,E353&amp;" "&amp;C353))))</f>
        <v/>
      </c>
      <c r="S353">
        <f>OR(D353="",D353&gt;=설정!$B$19)</f>
        <v/>
      </c>
      <c r="T353">
        <f>AND(Q353,R353,S353)</f>
        <v/>
      </c>
      <c r="U353">
        <f>IF(T353,IF(AND(설정!$A$41&lt;&gt;"",ISNUMBER(SEARCH(설정!$A$41,K353))),설정!$B$41,IF(AND(설정!$A$42&lt;&gt;"",ISNUMBER(SEARCH(설정!$A$42,K353))),설정!$B$42,IF(AND(설정!$A$43&lt;&gt;"",ISNUMBER(SEARCH(설정!$A$43,K353))),설정!$B$43,IF(AND(설정!$A$44&lt;&gt;"",ISNUMBER(SEARCH(설정!$A$44,K353))),설정!$B$44,IF(AND(설정!$A$45&lt;&gt;"",ISNUMBER(SEARCH(설정!$A$45,K353))),설정!$B$45,IF(AND(설정!$A$46&lt;&gt;"",ISNUMBER(SEARCH(설정!$A$46,K353))),설정!$B$46,IF(AND(설정!$A$47&lt;&gt;"",ISNUMBER(SEARCH(설정!$A$47,K353))),설정!$B$47,IF(AND(설정!$A$48&lt;&gt;"",ISNUMBER(SEARCH(설정!$A$48,K353))),설정!$B$48,IF(M353="","설계사","시공사"))))))))),"")</f>
        <v/>
      </c>
      <c r="V353">
        <f>SUBSTITUTE(SUBSTITUTE(SUBSTITUTE(SUBSTITUTE(G353,"(주)",""),"㈜",""),"주식회사","")," ","")</f>
        <v/>
      </c>
      <c r="W353">
        <f>IF(AND(T353,V353&lt;&gt;""),IF(COUNTIFS(V$2:V353,V353,T$2:T353,TRUE)=1,MAX(W$1:W352)+1,""),"")</f>
        <v/>
      </c>
      <c r="X353">
        <f>IFERROR(INDEX('1.산군_붙여넣기'!$A$1:$AZ$1001,ROW(),설정!$C$14)&amp;"","")</f>
        <v/>
      </c>
      <c r="Y353">
        <f>IFERROR(INDEX('1.산군_붙여넣기'!$A$1:$AZ$1001,ROW(),설정!$C$15)&amp;"","")</f>
        <v/>
      </c>
      <c r="Z353">
        <f>IF(T353,V353&amp;"|"&amp;U353,"")</f>
        <v/>
      </c>
    </row>
    <row r="354">
      <c r="A354">
        <f>ROW()</f>
        <v/>
      </c>
      <c r="B354">
        <f>IFERROR(INDEX('1.산군_붙여넣기'!$A$1:$AZ$1001,ROW(),설정!$C$4)&amp;"","")</f>
        <v/>
      </c>
      <c r="C354">
        <f>IFERROR(INDEX('1.산군_붙여넣기'!$A$1:$AZ$1001,ROW(),설정!$C$5)&amp;"","")</f>
        <v/>
      </c>
      <c r="D354" s="5">
        <f>IFERROR(VALUE(SUBSTITUTE(SUBSTITUTE(SUBSTITUTE(IFERROR(INDEX('1.산군_붙여넣기'!$A$1:$AZ$1001,ROW(),설정!$C$6)&amp;"",""),",",""),"㎡",""),"m2","")),"")</f>
        <v/>
      </c>
      <c r="E354">
        <f>IFERROR(INDEX('1.산군_붙여넣기'!$A$1:$AZ$1001,ROW(),설정!$C$7)&amp;"","")</f>
        <v/>
      </c>
      <c r="F354">
        <f>IFERROR(INDEX('1.산군_붙여넣기'!$A$1:$AZ$1001,ROW(),설정!$C$8)&amp;"","")</f>
        <v/>
      </c>
      <c r="G354">
        <f>IFERROR(INDEX('1.산군_붙여넣기'!$A$1:$AZ$1001,ROW(),설정!$C$9)&amp;"","")</f>
        <v/>
      </c>
      <c r="H354">
        <f>IFERROR(INDEX('1.산군_붙여넣기'!$A$1:$AZ$1001,ROW(),설정!$C$10)&amp;"","")</f>
        <v/>
      </c>
      <c r="I354">
        <f>IFERROR(INDEX('1.산군_붙여넣기'!$A$1:$AZ$1001,ROW(),설정!$C$11)&amp;"","")</f>
        <v/>
      </c>
      <c r="J354">
        <f>IFERROR(INDEX('1.산군_붙여넣기'!$A$1:$AZ$1001,ROW(),설정!$C$12)&amp;"","")</f>
        <v/>
      </c>
      <c r="K354">
        <f>IFERROR(INDEX('1.산군_붙여넣기'!$A$1:$AZ$1001,ROW(),설정!$C$13)&amp;"","")</f>
        <v/>
      </c>
      <c r="L354" s="6">
        <f>IF(X354="","",IF(AND(LEN(X354)=8,ISNUMBER(X354*1)),DATE(LEFT(X354,4),MID(X354,5,2),RIGHT(X354,2)),IFERROR(DATEVALUE(SUBSTITUTE(SUBSTITUTE(X354,".","-"),"/","-")),IFERROR(X354*1,""))))</f>
        <v/>
      </c>
      <c r="M354" s="6">
        <f>IF(Y354="","",IF(AND(LEN(Y354)=8,ISNUMBER(Y354*1)),DATE(LEFT(Y354,4),MID(Y354,5,2),RIGHT(Y354,2)),IFERROR(DATEVALUE(SUBSTITUTE(SUBSTITUTE(Y354,".","-"),"/","-")),IFERROR(Y354*1,""))))</f>
        <v/>
      </c>
      <c r="N354">
        <f>IFERROR(LEFT(B354,FIND(" ",B354)-1),B354)</f>
        <v/>
      </c>
      <c r="O354">
        <f>AND(B354&lt;&gt;"",B354&lt;&gt;설정!$B$4,C354&lt;&gt;설정!$B$5)</f>
        <v/>
      </c>
      <c r="P354">
        <f>IF(O354,B354&amp;"|"&amp;C354,"")</f>
        <v/>
      </c>
      <c r="Q354">
        <f>AND(O354,COUNTIF(P355:P$1002,P354)=0)</f>
        <v/>
      </c>
      <c r="R354">
        <f>OR(AND(설정!$A$28&lt;&gt;"",ISNUMBER(SEARCH(설정!$A$28,E354&amp;" "&amp;C354))),AND(설정!$A$29&lt;&gt;"",ISNUMBER(SEARCH(설정!$A$29,E354&amp;" "&amp;C354))),AND(설정!$A$30&lt;&gt;"",ISNUMBER(SEARCH(설정!$A$30,E354&amp;" "&amp;C354))),AND(설정!$A$31&lt;&gt;"",ISNUMBER(SEARCH(설정!$A$31,E354&amp;" "&amp;C354))),AND(설정!$A$32&lt;&gt;"",ISNUMBER(SEARCH(설정!$A$32,E354&amp;" "&amp;C354))),AND(설정!$A$33&lt;&gt;"",ISNUMBER(SEARCH(설정!$A$33,E354&amp;" "&amp;C354))),AND(설정!$A$34&lt;&gt;"",ISNUMBER(SEARCH(설정!$A$34,E354&amp;" "&amp;C354))),AND(설정!$A$35&lt;&gt;"",ISNUMBER(SEARCH(설정!$A$35,E354&amp;" "&amp;C354))),AND(설정!$A$36&lt;&gt;"",ISNUMBER(SEARCH(설정!$A$36,E354&amp;" "&amp;C354))),AND(설정!$A$37&lt;&gt;"",ISNUMBER(SEARCH(설정!$A$37,E354&amp;" "&amp;C354))))</f>
        <v/>
      </c>
      <c r="S354">
        <f>OR(D354="",D354&gt;=설정!$B$19)</f>
        <v/>
      </c>
      <c r="T354">
        <f>AND(Q354,R354,S354)</f>
        <v/>
      </c>
      <c r="U354">
        <f>IF(T354,IF(AND(설정!$A$41&lt;&gt;"",ISNUMBER(SEARCH(설정!$A$41,K354))),설정!$B$41,IF(AND(설정!$A$42&lt;&gt;"",ISNUMBER(SEARCH(설정!$A$42,K354))),설정!$B$42,IF(AND(설정!$A$43&lt;&gt;"",ISNUMBER(SEARCH(설정!$A$43,K354))),설정!$B$43,IF(AND(설정!$A$44&lt;&gt;"",ISNUMBER(SEARCH(설정!$A$44,K354))),설정!$B$44,IF(AND(설정!$A$45&lt;&gt;"",ISNUMBER(SEARCH(설정!$A$45,K354))),설정!$B$45,IF(AND(설정!$A$46&lt;&gt;"",ISNUMBER(SEARCH(설정!$A$46,K354))),설정!$B$46,IF(AND(설정!$A$47&lt;&gt;"",ISNUMBER(SEARCH(설정!$A$47,K354))),설정!$B$47,IF(AND(설정!$A$48&lt;&gt;"",ISNUMBER(SEARCH(설정!$A$48,K354))),설정!$B$48,IF(M354="","설계사","시공사"))))))))),"")</f>
        <v/>
      </c>
      <c r="V354">
        <f>SUBSTITUTE(SUBSTITUTE(SUBSTITUTE(SUBSTITUTE(G354,"(주)",""),"㈜",""),"주식회사","")," ","")</f>
        <v/>
      </c>
      <c r="W354">
        <f>IF(AND(T354,V354&lt;&gt;""),IF(COUNTIFS(V$2:V354,V354,T$2:T354,TRUE)=1,MAX(W$1:W353)+1,""),"")</f>
        <v/>
      </c>
      <c r="X354">
        <f>IFERROR(INDEX('1.산군_붙여넣기'!$A$1:$AZ$1001,ROW(),설정!$C$14)&amp;"","")</f>
        <v/>
      </c>
      <c r="Y354">
        <f>IFERROR(INDEX('1.산군_붙여넣기'!$A$1:$AZ$1001,ROW(),설정!$C$15)&amp;"","")</f>
        <v/>
      </c>
      <c r="Z354">
        <f>IF(T354,V354&amp;"|"&amp;U354,"")</f>
        <v/>
      </c>
    </row>
    <row r="355">
      <c r="A355">
        <f>ROW()</f>
        <v/>
      </c>
      <c r="B355">
        <f>IFERROR(INDEX('1.산군_붙여넣기'!$A$1:$AZ$1001,ROW(),설정!$C$4)&amp;"","")</f>
        <v/>
      </c>
      <c r="C355">
        <f>IFERROR(INDEX('1.산군_붙여넣기'!$A$1:$AZ$1001,ROW(),설정!$C$5)&amp;"","")</f>
        <v/>
      </c>
      <c r="D355" s="5">
        <f>IFERROR(VALUE(SUBSTITUTE(SUBSTITUTE(SUBSTITUTE(IFERROR(INDEX('1.산군_붙여넣기'!$A$1:$AZ$1001,ROW(),설정!$C$6)&amp;"",""),",",""),"㎡",""),"m2","")),"")</f>
        <v/>
      </c>
      <c r="E355">
        <f>IFERROR(INDEX('1.산군_붙여넣기'!$A$1:$AZ$1001,ROW(),설정!$C$7)&amp;"","")</f>
        <v/>
      </c>
      <c r="F355">
        <f>IFERROR(INDEX('1.산군_붙여넣기'!$A$1:$AZ$1001,ROW(),설정!$C$8)&amp;"","")</f>
        <v/>
      </c>
      <c r="G355">
        <f>IFERROR(INDEX('1.산군_붙여넣기'!$A$1:$AZ$1001,ROW(),설정!$C$9)&amp;"","")</f>
        <v/>
      </c>
      <c r="H355">
        <f>IFERROR(INDEX('1.산군_붙여넣기'!$A$1:$AZ$1001,ROW(),설정!$C$10)&amp;"","")</f>
        <v/>
      </c>
      <c r="I355">
        <f>IFERROR(INDEX('1.산군_붙여넣기'!$A$1:$AZ$1001,ROW(),설정!$C$11)&amp;"","")</f>
        <v/>
      </c>
      <c r="J355">
        <f>IFERROR(INDEX('1.산군_붙여넣기'!$A$1:$AZ$1001,ROW(),설정!$C$12)&amp;"","")</f>
        <v/>
      </c>
      <c r="K355">
        <f>IFERROR(INDEX('1.산군_붙여넣기'!$A$1:$AZ$1001,ROW(),설정!$C$13)&amp;"","")</f>
        <v/>
      </c>
      <c r="L355" s="6">
        <f>IF(X355="","",IF(AND(LEN(X355)=8,ISNUMBER(X355*1)),DATE(LEFT(X355,4),MID(X355,5,2),RIGHT(X355,2)),IFERROR(DATEVALUE(SUBSTITUTE(SUBSTITUTE(X355,".","-"),"/","-")),IFERROR(X355*1,""))))</f>
        <v/>
      </c>
      <c r="M355" s="6">
        <f>IF(Y355="","",IF(AND(LEN(Y355)=8,ISNUMBER(Y355*1)),DATE(LEFT(Y355,4),MID(Y355,5,2),RIGHT(Y355,2)),IFERROR(DATEVALUE(SUBSTITUTE(SUBSTITUTE(Y355,".","-"),"/","-")),IFERROR(Y355*1,""))))</f>
        <v/>
      </c>
      <c r="N355">
        <f>IFERROR(LEFT(B355,FIND(" ",B355)-1),B355)</f>
        <v/>
      </c>
      <c r="O355">
        <f>AND(B355&lt;&gt;"",B355&lt;&gt;설정!$B$4,C355&lt;&gt;설정!$B$5)</f>
        <v/>
      </c>
      <c r="P355">
        <f>IF(O355,B355&amp;"|"&amp;C355,"")</f>
        <v/>
      </c>
      <c r="Q355">
        <f>AND(O355,COUNTIF(P356:P$1002,P355)=0)</f>
        <v/>
      </c>
      <c r="R355">
        <f>OR(AND(설정!$A$28&lt;&gt;"",ISNUMBER(SEARCH(설정!$A$28,E355&amp;" "&amp;C355))),AND(설정!$A$29&lt;&gt;"",ISNUMBER(SEARCH(설정!$A$29,E355&amp;" "&amp;C355))),AND(설정!$A$30&lt;&gt;"",ISNUMBER(SEARCH(설정!$A$30,E355&amp;" "&amp;C355))),AND(설정!$A$31&lt;&gt;"",ISNUMBER(SEARCH(설정!$A$31,E355&amp;" "&amp;C355))),AND(설정!$A$32&lt;&gt;"",ISNUMBER(SEARCH(설정!$A$32,E355&amp;" "&amp;C355))),AND(설정!$A$33&lt;&gt;"",ISNUMBER(SEARCH(설정!$A$33,E355&amp;" "&amp;C355))),AND(설정!$A$34&lt;&gt;"",ISNUMBER(SEARCH(설정!$A$34,E355&amp;" "&amp;C355))),AND(설정!$A$35&lt;&gt;"",ISNUMBER(SEARCH(설정!$A$35,E355&amp;" "&amp;C355))),AND(설정!$A$36&lt;&gt;"",ISNUMBER(SEARCH(설정!$A$36,E355&amp;" "&amp;C355))),AND(설정!$A$37&lt;&gt;"",ISNUMBER(SEARCH(설정!$A$37,E355&amp;" "&amp;C355))))</f>
        <v/>
      </c>
      <c r="S355">
        <f>OR(D355="",D355&gt;=설정!$B$19)</f>
        <v/>
      </c>
      <c r="T355">
        <f>AND(Q355,R355,S355)</f>
        <v/>
      </c>
      <c r="U355">
        <f>IF(T355,IF(AND(설정!$A$41&lt;&gt;"",ISNUMBER(SEARCH(설정!$A$41,K355))),설정!$B$41,IF(AND(설정!$A$42&lt;&gt;"",ISNUMBER(SEARCH(설정!$A$42,K355))),설정!$B$42,IF(AND(설정!$A$43&lt;&gt;"",ISNUMBER(SEARCH(설정!$A$43,K355))),설정!$B$43,IF(AND(설정!$A$44&lt;&gt;"",ISNUMBER(SEARCH(설정!$A$44,K355))),설정!$B$44,IF(AND(설정!$A$45&lt;&gt;"",ISNUMBER(SEARCH(설정!$A$45,K355))),설정!$B$45,IF(AND(설정!$A$46&lt;&gt;"",ISNUMBER(SEARCH(설정!$A$46,K355))),설정!$B$46,IF(AND(설정!$A$47&lt;&gt;"",ISNUMBER(SEARCH(설정!$A$47,K355))),설정!$B$47,IF(AND(설정!$A$48&lt;&gt;"",ISNUMBER(SEARCH(설정!$A$48,K355))),설정!$B$48,IF(M355="","설계사","시공사"))))))))),"")</f>
        <v/>
      </c>
      <c r="V355">
        <f>SUBSTITUTE(SUBSTITUTE(SUBSTITUTE(SUBSTITUTE(G355,"(주)",""),"㈜",""),"주식회사","")," ","")</f>
        <v/>
      </c>
      <c r="W355">
        <f>IF(AND(T355,V355&lt;&gt;""),IF(COUNTIFS(V$2:V355,V355,T$2:T355,TRUE)=1,MAX(W$1:W354)+1,""),"")</f>
        <v/>
      </c>
      <c r="X355">
        <f>IFERROR(INDEX('1.산군_붙여넣기'!$A$1:$AZ$1001,ROW(),설정!$C$14)&amp;"","")</f>
        <v/>
      </c>
      <c r="Y355">
        <f>IFERROR(INDEX('1.산군_붙여넣기'!$A$1:$AZ$1001,ROW(),설정!$C$15)&amp;"","")</f>
        <v/>
      </c>
      <c r="Z355">
        <f>IF(T355,V355&amp;"|"&amp;U355,"")</f>
        <v/>
      </c>
    </row>
    <row r="356">
      <c r="A356">
        <f>ROW()</f>
        <v/>
      </c>
      <c r="B356">
        <f>IFERROR(INDEX('1.산군_붙여넣기'!$A$1:$AZ$1001,ROW(),설정!$C$4)&amp;"","")</f>
        <v/>
      </c>
      <c r="C356">
        <f>IFERROR(INDEX('1.산군_붙여넣기'!$A$1:$AZ$1001,ROW(),설정!$C$5)&amp;"","")</f>
        <v/>
      </c>
      <c r="D356" s="5">
        <f>IFERROR(VALUE(SUBSTITUTE(SUBSTITUTE(SUBSTITUTE(IFERROR(INDEX('1.산군_붙여넣기'!$A$1:$AZ$1001,ROW(),설정!$C$6)&amp;"",""),",",""),"㎡",""),"m2","")),"")</f>
        <v/>
      </c>
      <c r="E356">
        <f>IFERROR(INDEX('1.산군_붙여넣기'!$A$1:$AZ$1001,ROW(),설정!$C$7)&amp;"","")</f>
        <v/>
      </c>
      <c r="F356">
        <f>IFERROR(INDEX('1.산군_붙여넣기'!$A$1:$AZ$1001,ROW(),설정!$C$8)&amp;"","")</f>
        <v/>
      </c>
      <c r="G356">
        <f>IFERROR(INDEX('1.산군_붙여넣기'!$A$1:$AZ$1001,ROW(),설정!$C$9)&amp;"","")</f>
        <v/>
      </c>
      <c r="H356">
        <f>IFERROR(INDEX('1.산군_붙여넣기'!$A$1:$AZ$1001,ROW(),설정!$C$10)&amp;"","")</f>
        <v/>
      </c>
      <c r="I356">
        <f>IFERROR(INDEX('1.산군_붙여넣기'!$A$1:$AZ$1001,ROW(),설정!$C$11)&amp;"","")</f>
        <v/>
      </c>
      <c r="J356">
        <f>IFERROR(INDEX('1.산군_붙여넣기'!$A$1:$AZ$1001,ROW(),설정!$C$12)&amp;"","")</f>
        <v/>
      </c>
      <c r="K356">
        <f>IFERROR(INDEX('1.산군_붙여넣기'!$A$1:$AZ$1001,ROW(),설정!$C$13)&amp;"","")</f>
        <v/>
      </c>
      <c r="L356" s="6">
        <f>IF(X356="","",IF(AND(LEN(X356)=8,ISNUMBER(X356*1)),DATE(LEFT(X356,4),MID(X356,5,2),RIGHT(X356,2)),IFERROR(DATEVALUE(SUBSTITUTE(SUBSTITUTE(X356,".","-"),"/","-")),IFERROR(X356*1,""))))</f>
        <v/>
      </c>
      <c r="M356" s="6">
        <f>IF(Y356="","",IF(AND(LEN(Y356)=8,ISNUMBER(Y356*1)),DATE(LEFT(Y356,4),MID(Y356,5,2),RIGHT(Y356,2)),IFERROR(DATEVALUE(SUBSTITUTE(SUBSTITUTE(Y356,".","-"),"/","-")),IFERROR(Y356*1,""))))</f>
        <v/>
      </c>
      <c r="N356">
        <f>IFERROR(LEFT(B356,FIND(" ",B356)-1),B356)</f>
        <v/>
      </c>
      <c r="O356">
        <f>AND(B356&lt;&gt;"",B356&lt;&gt;설정!$B$4,C356&lt;&gt;설정!$B$5)</f>
        <v/>
      </c>
      <c r="P356">
        <f>IF(O356,B356&amp;"|"&amp;C356,"")</f>
        <v/>
      </c>
      <c r="Q356">
        <f>AND(O356,COUNTIF(P357:P$1002,P356)=0)</f>
        <v/>
      </c>
      <c r="R356">
        <f>OR(AND(설정!$A$28&lt;&gt;"",ISNUMBER(SEARCH(설정!$A$28,E356&amp;" "&amp;C356))),AND(설정!$A$29&lt;&gt;"",ISNUMBER(SEARCH(설정!$A$29,E356&amp;" "&amp;C356))),AND(설정!$A$30&lt;&gt;"",ISNUMBER(SEARCH(설정!$A$30,E356&amp;" "&amp;C356))),AND(설정!$A$31&lt;&gt;"",ISNUMBER(SEARCH(설정!$A$31,E356&amp;" "&amp;C356))),AND(설정!$A$32&lt;&gt;"",ISNUMBER(SEARCH(설정!$A$32,E356&amp;" "&amp;C356))),AND(설정!$A$33&lt;&gt;"",ISNUMBER(SEARCH(설정!$A$33,E356&amp;" "&amp;C356))),AND(설정!$A$34&lt;&gt;"",ISNUMBER(SEARCH(설정!$A$34,E356&amp;" "&amp;C356))),AND(설정!$A$35&lt;&gt;"",ISNUMBER(SEARCH(설정!$A$35,E356&amp;" "&amp;C356))),AND(설정!$A$36&lt;&gt;"",ISNUMBER(SEARCH(설정!$A$36,E356&amp;" "&amp;C356))),AND(설정!$A$37&lt;&gt;"",ISNUMBER(SEARCH(설정!$A$37,E356&amp;" "&amp;C356))))</f>
        <v/>
      </c>
      <c r="S356">
        <f>OR(D356="",D356&gt;=설정!$B$19)</f>
        <v/>
      </c>
      <c r="T356">
        <f>AND(Q356,R356,S356)</f>
        <v/>
      </c>
      <c r="U356">
        <f>IF(T356,IF(AND(설정!$A$41&lt;&gt;"",ISNUMBER(SEARCH(설정!$A$41,K356))),설정!$B$41,IF(AND(설정!$A$42&lt;&gt;"",ISNUMBER(SEARCH(설정!$A$42,K356))),설정!$B$42,IF(AND(설정!$A$43&lt;&gt;"",ISNUMBER(SEARCH(설정!$A$43,K356))),설정!$B$43,IF(AND(설정!$A$44&lt;&gt;"",ISNUMBER(SEARCH(설정!$A$44,K356))),설정!$B$44,IF(AND(설정!$A$45&lt;&gt;"",ISNUMBER(SEARCH(설정!$A$45,K356))),설정!$B$45,IF(AND(설정!$A$46&lt;&gt;"",ISNUMBER(SEARCH(설정!$A$46,K356))),설정!$B$46,IF(AND(설정!$A$47&lt;&gt;"",ISNUMBER(SEARCH(설정!$A$47,K356))),설정!$B$47,IF(AND(설정!$A$48&lt;&gt;"",ISNUMBER(SEARCH(설정!$A$48,K356))),설정!$B$48,IF(M356="","설계사","시공사"))))))))),"")</f>
        <v/>
      </c>
      <c r="V356">
        <f>SUBSTITUTE(SUBSTITUTE(SUBSTITUTE(SUBSTITUTE(G356,"(주)",""),"㈜",""),"주식회사","")," ","")</f>
        <v/>
      </c>
      <c r="W356">
        <f>IF(AND(T356,V356&lt;&gt;""),IF(COUNTIFS(V$2:V356,V356,T$2:T356,TRUE)=1,MAX(W$1:W355)+1,""),"")</f>
        <v/>
      </c>
      <c r="X356">
        <f>IFERROR(INDEX('1.산군_붙여넣기'!$A$1:$AZ$1001,ROW(),설정!$C$14)&amp;"","")</f>
        <v/>
      </c>
      <c r="Y356">
        <f>IFERROR(INDEX('1.산군_붙여넣기'!$A$1:$AZ$1001,ROW(),설정!$C$15)&amp;"","")</f>
        <v/>
      </c>
      <c r="Z356">
        <f>IF(T356,V356&amp;"|"&amp;U356,"")</f>
        <v/>
      </c>
    </row>
    <row r="357">
      <c r="A357">
        <f>ROW()</f>
        <v/>
      </c>
      <c r="B357">
        <f>IFERROR(INDEX('1.산군_붙여넣기'!$A$1:$AZ$1001,ROW(),설정!$C$4)&amp;"","")</f>
        <v/>
      </c>
      <c r="C357">
        <f>IFERROR(INDEX('1.산군_붙여넣기'!$A$1:$AZ$1001,ROW(),설정!$C$5)&amp;"","")</f>
        <v/>
      </c>
      <c r="D357" s="5">
        <f>IFERROR(VALUE(SUBSTITUTE(SUBSTITUTE(SUBSTITUTE(IFERROR(INDEX('1.산군_붙여넣기'!$A$1:$AZ$1001,ROW(),설정!$C$6)&amp;"",""),",",""),"㎡",""),"m2","")),"")</f>
        <v/>
      </c>
      <c r="E357">
        <f>IFERROR(INDEX('1.산군_붙여넣기'!$A$1:$AZ$1001,ROW(),설정!$C$7)&amp;"","")</f>
        <v/>
      </c>
      <c r="F357">
        <f>IFERROR(INDEX('1.산군_붙여넣기'!$A$1:$AZ$1001,ROW(),설정!$C$8)&amp;"","")</f>
        <v/>
      </c>
      <c r="G357">
        <f>IFERROR(INDEX('1.산군_붙여넣기'!$A$1:$AZ$1001,ROW(),설정!$C$9)&amp;"","")</f>
        <v/>
      </c>
      <c r="H357">
        <f>IFERROR(INDEX('1.산군_붙여넣기'!$A$1:$AZ$1001,ROW(),설정!$C$10)&amp;"","")</f>
        <v/>
      </c>
      <c r="I357">
        <f>IFERROR(INDEX('1.산군_붙여넣기'!$A$1:$AZ$1001,ROW(),설정!$C$11)&amp;"","")</f>
        <v/>
      </c>
      <c r="J357">
        <f>IFERROR(INDEX('1.산군_붙여넣기'!$A$1:$AZ$1001,ROW(),설정!$C$12)&amp;"","")</f>
        <v/>
      </c>
      <c r="K357">
        <f>IFERROR(INDEX('1.산군_붙여넣기'!$A$1:$AZ$1001,ROW(),설정!$C$13)&amp;"","")</f>
        <v/>
      </c>
      <c r="L357" s="6">
        <f>IF(X357="","",IF(AND(LEN(X357)=8,ISNUMBER(X357*1)),DATE(LEFT(X357,4),MID(X357,5,2),RIGHT(X357,2)),IFERROR(DATEVALUE(SUBSTITUTE(SUBSTITUTE(X357,".","-"),"/","-")),IFERROR(X357*1,""))))</f>
        <v/>
      </c>
      <c r="M357" s="6">
        <f>IF(Y357="","",IF(AND(LEN(Y357)=8,ISNUMBER(Y357*1)),DATE(LEFT(Y357,4),MID(Y357,5,2),RIGHT(Y357,2)),IFERROR(DATEVALUE(SUBSTITUTE(SUBSTITUTE(Y357,".","-"),"/","-")),IFERROR(Y357*1,""))))</f>
        <v/>
      </c>
      <c r="N357">
        <f>IFERROR(LEFT(B357,FIND(" ",B357)-1),B357)</f>
        <v/>
      </c>
      <c r="O357">
        <f>AND(B357&lt;&gt;"",B357&lt;&gt;설정!$B$4,C357&lt;&gt;설정!$B$5)</f>
        <v/>
      </c>
      <c r="P357">
        <f>IF(O357,B357&amp;"|"&amp;C357,"")</f>
        <v/>
      </c>
      <c r="Q357">
        <f>AND(O357,COUNTIF(P358:P$1002,P357)=0)</f>
        <v/>
      </c>
      <c r="R357">
        <f>OR(AND(설정!$A$28&lt;&gt;"",ISNUMBER(SEARCH(설정!$A$28,E357&amp;" "&amp;C357))),AND(설정!$A$29&lt;&gt;"",ISNUMBER(SEARCH(설정!$A$29,E357&amp;" "&amp;C357))),AND(설정!$A$30&lt;&gt;"",ISNUMBER(SEARCH(설정!$A$30,E357&amp;" "&amp;C357))),AND(설정!$A$31&lt;&gt;"",ISNUMBER(SEARCH(설정!$A$31,E357&amp;" "&amp;C357))),AND(설정!$A$32&lt;&gt;"",ISNUMBER(SEARCH(설정!$A$32,E357&amp;" "&amp;C357))),AND(설정!$A$33&lt;&gt;"",ISNUMBER(SEARCH(설정!$A$33,E357&amp;" "&amp;C357))),AND(설정!$A$34&lt;&gt;"",ISNUMBER(SEARCH(설정!$A$34,E357&amp;" "&amp;C357))),AND(설정!$A$35&lt;&gt;"",ISNUMBER(SEARCH(설정!$A$35,E357&amp;" "&amp;C357))),AND(설정!$A$36&lt;&gt;"",ISNUMBER(SEARCH(설정!$A$36,E357&amp;" "&amp;C357))),AND(설정!$A$37&lt;&gt;"",ISNUMBER(SEARCH(설정!$A$37,E357&amp;" "&amp;C357))))</f>
        <v/>
      </c>
      <c r="S357">
        <f>OR(D357="",D357&gt;=설정!$B$19)</f>
        <v/>
      </c>
      <c r="T357">
        <f>AND(Q357,R357,S357)</f>
        <v/>
      </c>
      <c r="U357">
        <f>IF(T357,IF(AND(설정!$A$41&lt;&gt;"",ISNUMBER(SEARCH(설정!$A$41,K357))),설정!$B$41,IF(AND(설정!$A$42&lt;&gt;"",ISNUMBER(SEARCH(설정!$A$42,K357))),설정!$B$42,IF(AND(설정!$A$43&lt;&gt;"",ISNUMBER(SEARCH(설정!$A$43,K357))),설정!$B$43,IF(AND(설정!$A$44&lt;&gt;"",ISNUMBER(SEARCH(설정!$A$44,K357))),설정!$B$44,IF(AND(설정!$A$45&lt;&gt;"",ISNUMBER(SEARCH(설정!$A$45,K357))),설정!$B$45,IF(AND(설정!$A$46&lt;&gt;"",ISNUMBER(SEARCH(설정!$A$46,K357))),설정!$B$46,IF(AND(설정!$A$47&lt;&gt;"",ISNUMBER(SEARCH(설정!$A$47,K357))),설정!$B$47,IF(AND(설정!$A$48&lt;&gt;"",ISNUMBER(SEARCH(설정!$A$48,K357))),설정!$B$48,IF(M357="","설계사","시공사"))))))))),"")</f>
        <v/>
      </c>
      <c r="V357">
        <f>SUBSTITUTE(SUBSTITUTE(SUBSTITUTE(SUBSTITUTE(G357,"(주)",""),"㈜",""),"주식회사","")," ","")</f>
        <v/>
      </c>
      <c r="W357">
        <f>IF(AND(T357,V357&lt;&gt;""),IF(COUNTIFS(V$2:V357,V357,T$2:T357,TRUE)=1,MAX(W$1:W356)+1,""),"")</f>
        <v/>
      </c>
      <c r="X357">
        <f>IFERROR(INDEX('1.산군_붙여넣기'!$A$1:$AZ$1001,ROW(),설정!$C$14)&amp;"","")</f>
        <v/>
      </c>
      <c r="Y357">
        <f>IFERROR(INDEX('1.산군_붙여넣기'!$A$1:$AZ$1001,ROW(),설정!$C$15)&amp;"","")</f>
        <v/>
      </c>
      <c r="Z357">
        <f>IF(T357,V357&amp;"|"&amp;U357,"")</f>
        <v/>
      </c>
    </row>
    <row r="358">
      <c r="A358">
        <f>ROW()</f>
        <v/>
      </c>
      <c r="B358">
        <f>IFERROR(INDEX('1.산군_붙여넣기'!$A$1:$AZ$1001,ROW(),설정!$C$4)&amp;"","")</f>
        <v/>
      </c>
      <c r="C358">
        <f>IFERROR(INDEX('1.산군_붙여넣기'!$A$1:$AZ$1001,ROW(),설정!$C$5)&amp;"","")</f>
        <v/>
      </c>
      <c r="D358" s="5">
        <f>IFERROR(VALUE(SUBSTITUTE(SUBSTITUTE(SUBSTITUTE(IFERROR(INDEX('1.산군_붙여넣기'!$A$1:$AZ$1001,ROW(),설정!$C$6)&amp;"",""),",",""),"㎡",""),"m2","")),"")</f>
        <v/>
      </c>
      <c r="E358">
        <f>IFERROR(INDEX('1.산군_붙여넣기'!$A$1:$AZ$1001,ROW(),설정!$C$7)&amp;"","")</f>
        <v/>
      </c>
      <c r="F358">
        <f>IFERROR(INDEX('1.산군_붙여넣기'!$A$1:$AZ$1001,ROW(),설정!$C$8)&amp;"","")</f>
        <v/>
      </c>
      <c r="G358">
        <f>IFERROR(INDEX('1.산군_붙여넣기'!$A$1:$AZ$1001,ROW(),설정!$C$9)&amp;"","")</f>
        <v/>
      </c>
      <c r="H358">
        <f>IFERROR(INDEX('1.산군_붙여넣기'!$A$1:$AZ$1001,ROW(),설정!$C$10)&amp;"","")</f>
        <v/>
      </c>
      <c r="I358">
        <f>IFERROR(INDEX('1.산군_붙여넣기'!$A$1:$AZ$1001,ROW(),설정!$C$11)&amp;"","")</f>
        <v/>
      </c>
      <c r="J358">
        <f>IFERROR(INDEX('1.산군_붙여넣기'!$A$1:$AZ$1001,ROW(),설정!$C$12)&amp;"","")</f>
        <v/>
      </c>
      <c r="K358">
        <f>IFERROR(INDEX('1.산군_붙여넣기'!$A$1:$AZ$1001,ROW(),설정!$C$13)&amp;"","")</f>
        <v/>
      </c>
      <c r="L358" s="6">
        <f>IF(X358="","",IF(AND(LEN(X358)=8,ISNUMBER(X358*1)),DATE(LEFT(X358,4),MID(X358,5,2),RIGHT(X358,2)),IFERROR(DATEVALUE(SUBSTITUTE(SUBSTITUTE(X358,".","-"),"/","-")),IFERROR(X358*1,""))))</f>
        <v/>
      </c>
      <c r="M358" s="6">
        <f>IF(Y358="","",IF(AND(LEN(Y358)=8,ISNUMBER(Y358*1)),DATE(LEFT(Y358,4),MID(Y358,5,2),RIGHT(Y358,2)),IFERROR(DATEVALUE(SUBSTITUTE(SUBSTITUTE(Y358,".","-"),"/","-")),IFERROR(Y358*1,""))))</f>
        <v/>
      </c>
      <c r="N358">
        <f>IFERROR(LEFT(B358,FIND(" ",B358)-1),B358)</f>
        <v/>
      </c>
      <c r="O358">
        <f>AND(B358&lt;&gt;"",B358&lt;&gt;설정!$B$4,C358&lt;&gt;설정!$B$5)</f>
        <v/>
      </c>
      <c r="P358">
        <f>IF(O358,B358&amp;"|"&amp;C358,"")</f>
        <v/>
      </c>
      <c r="Q358">
        <f>AND(O358,COUNTIF(P359:P$1002,P358)=0)</f>
        <v/>
      </c>
      <c r="R358">
        <f>OR(AND(설정!$A$28&lt;&gt;"",ISNUMBER(SEARCH(설정!$A$28,E358&amp;" "&amp;C358))),AND(설정!$A$29&lt;&gt;"",ISNUMBER(SEARCH(설정!$A$29,E358&amp;" "&amp;C358))),AND(설정!$A$30&lt;&gt;"",ISNUMBER(SEARCH(설정!$A$30,E358&amp;" "&amp;C358))),AND(설정!$A$31&lt;&gt;"",ISNUMBER(SEARCH(설정!$A$31,E358&amp;" "&amp;C358))),AND(설정!$A$32&lt;&gt;"",ISNUMBER(SEARCH(설정!$A$32,E358&amp;" "&amp;C358))),AND(설정!$A$33&lt;&gt;"",ISNUMBER(SEARCH(설정!$A$33,E358&amp;" "&amp;C358))),AND(설정!$A$34&lt;&gt;"",ISNUMBER(SEARCH(설정!$A$34,E358&amp;" "&amp;C358))),AND(설정!$A$35&lt;&gt;"",ISNUMBER(SEARCH(설정!$A$35,E358&amp;" "&amp;C358))),AND(설정!$A$36&lt;&gt;"",ISNUMBER(SEARCH(설정!$A$36,E358&amp;" "&amp;C358))),AND(설정!$A$37&lt;&gt;"",ISNUMBER(SEARCH(설정!$A$37,E358&amp;" "&amp;C358))))</f>
        <v/>
      </c>
      <c r="S358">
        <f>OR(D358="",D358&gt;=설정!$B$19)</f>
        <v/>
      </c>
      <c r="T358">
        <f>AND(Q358,R358,S358)</f>
        <v/>
      </c>
      <c r="U358">
        <f>IF(T358,IF(AND(설정!$A$41&lt;&gt;"",ISNUMBER(SEARCH(설정!$A$41,K358))),설정!$B$41,IF(AND(설정!$A$42&lt;&gt;"",ISNUMBER(SEARCH(설정!$A$42,K358))),설정!$B$42,IF(AND(설정!$A$43&lt;&gt;"",ISNUMBER(SEARCH(설정!$A$43,K358))),설정!$B$43,IF(AND(설정!$A$44&lt;&gt;"",ISNUMBER(SEARCH(설정!$A$44,K358))),설정!$B$44,IF(AND(설정!$A$45&lt;&gt;"",ISNUMBER(SEARCH(설정!$A$45,K358))),설정!$B$45,IF(AND(설정!$A$46&lt;&gt;"",ISNUMBER(SEARCH(설정!$A$46,K358))),설정!$B$46,IF(AND(설정!$A$47&lt;&gt;"",ISNUMBER(SEARCH(설정!$A$47,K358))),설정!$B$47,IF(AND(설정!$A$48&lt;&gt;"",ISNUMBER(SEARCH(설정!$A$48,K358))),설정!$B$48,IF(M358="","설계사","시공사"))))))))),"")</f>
        <v/>
      </c>
      <c r="V358">
        <f>SUBSTITUTE(SUBSTITUTE(SUBSTITUTE(SUBSTITUTE(G358,"(주)",""),"㈜",""),"주식회사","")," ","")</f>
        <v/>
      </c>
      <c r="W358">
        <f>IF(AND(T358,V358&lt;&gt;""),IF(COUNTIFS(V$2:V358,V358,T$2:T358,TRUE)=1,MAX(W$1:W357)+1,""),"")</f>
        <v/>
      </c>
      <c r="X358">
        <f>IFERROR(INDEX('1.산군_붙여넣기'!$A$1:$AZ$1001,ROW(),설정!$C$14)&amp;"","")</f>
        <v/>
      </c>
      <c r="Y358">
        <f>IFERROR(INDEX('1.산군_붙여넣기'!$A$1:$AZ$1001,ROW(),설정!$C$15)&amp;"","")</f>
        <v/>
      </c>
      <c r="Z358">
        <f>IF(T358,V358&amp;"|"&amp;U358,"")</f>
        <v/>
      </c>
    </row>
    <row r="359">
      <c r="A359">
        <f>ROW()</f>
        <v/>
      </c>
      <c r="B359">
        <f>IFERROR(INDEX('1.산군_붙여넣기'!$A$1:$AZ$1001,ROW(),설정!$C$4)&amp;"","")</f>
        <v/>
      </c>
      <c r="C359">
        <f>IFERROR(INDEX('1.산군_붙여넣기'!$A$1:$AZ$1001,ROW(),설정!$C$5)&amp;"","")</f>
        <v/>
      </c>
      <c r="D359" s="5">
        <f>IFERROR(VALUE(SUBSTITUTE(SUBSTITUTE(SUBSTITUTE(IFERROR(INDEX('1.산군_붙여넣기'!$A$1:$AZ$1001,ROW(),설정!$C$6)&amp;"",""),",",""),"㎡",""),"m2","")),"")</f>
        <v/>
      </c>
      <c r="E359">
        <f>IFERROR(INDEX('1.산군_붙여넣기'!$A$1:$AZ$1001,ROW(),설정!$C$7)&amp;"","")</f>
        <v/>
      </c>
      <c r="F359">
        <f>IFERROR(INDEX('1.산군_붙여넣기'!$A$1:$AZ$1001,ROW(),설정!$C$8)&amp;"","")</f>
        <v/>
      </c>
      <c r="G359">
        <f>IFERROR(INDEX('1.산군_붙여넣기'!$A$1:$AZ$1001,ROW(),설정!$C$9)&amp;"","")</f>
        <v/>
      </c>
      <c r="H359">
        <f>IFERROR(INDEX('1.산군_붙여넣기'!$A$1:$AZ$1001,ROW(),설정!$C$10)&amp;"","")</f>
        <v/>
      </c>
      <c r="I359">
        <f>IFERROR(INDEX('1.산군_붙여넣기'!$A$1:$AZ$1001,ROW(),설정!$C$11)&amp;"","")</f>
        <v/>
      </c>
      <c r="J359">
        <f>IFERROR(INDEX('1.산군_붙여넣기'!$A$1:$AZ$1001,ROW(),설정!$C$12)&amp;"","")</f>
        <v/>
      </c>
      <c r="K359">
        <f>IFERROR(INDEX('1.산군_붙여넣기'!$A$1:$AZ$1001,ROW(),설정!$C$13)&amp;"","")</f>
        <v/>
      </c>
      <c r="L359" s="6">
        <f>IF(X359="","",IF(AND(LEN(X359)=8,ISNUMBER(X359*1)),DATE(LEFT(X359,4),MID(X359,5,2),RIGHT(X359,2)),IFERROR(DATEVALUE(SUBSTITUTE(SUBSTITUTE(X359,".","-"),"/","-")),IFERROR(X359*1,""))))</f>
        <v/>
      </c>
      <c r="M359" s="6">
        <f>IF(Y359="","",IF(AND(LEN(Y359)=8,ISNUMBER(Y359*1)),DATE(LEFT(Y359,4),MID(Y359,5,2),RIGHT(Y359,2)),IFERROR(DATEVALUE(SUBSTITUTE(SUBSTITUTE(Y359,".","-"),"/","-")),IFERROR(Y359*1,""))))</f>
        <v/>
      </c>
      <c r="N359">
        <f>IFERROR(LEFT(B359,FIND(" ",B359)-1),B359)</f>
        <v/>
      </c>
      <c r="O359">
        <f>AND(B359&lt;&gt;"",B359&lt;&gt;설정!$B$4,C359&lt;&gt;설정!$B$5)</f>
        <v/>
      </c>
      <c r="P359">
        <f>IF(O359,B359&amp;"|"&amp;C359,"")</f>
        <v/>
      </c>
      <c r="Q359">
        <f>AND(O359,COUNTIF(P360:P$1002,P359)=0)</f>
        <v/>
      </c>
      <c r="R359">
        <f>OR(AND(설정!$A$28&lt;&gt;"",ISNUMBER(SEARCH(설정!$A$28,E359&amp;" "&amp;C359))),AND(설정!$A$29&lt;&gt;"",ISNUMBER(SEARCH(설정!$A$29,E359&amp;" "&amp;C359))),AND(설정!$A$30&lt;&gt;"",ISNUMBER(SEARCH(설정!$A$30,E359&amp;" "&amp;C359))),AND(설정!$A$31&lt;&gt;"",ISNUMBER(SEARCH(설정!$A$31,E359&amp;" "&amp;C359))),AND(설정!$A$32&lt;&gt;"",ISNUMBER(SEARCH(설정!$A$32,E359&amp;" "&amp;C359))),AND(설정!$A$33&lt;&gt;"",ISNUMBER(SEARCH(설정!$A$33,E359&amp;" "&amp;C359))),AND(설정!$A$34&lt;&gt;"",ISNUMBER(SEARCH(설정!$A$34,E359&amp;" "&amp;C359))),AND(설정!$A$35&lt;&gt;"",ISNUMBER(SEARCH(설정!$A$35,E359&amp;" "&amp;C359))),AND(설정!$A$36&lt;&gt;"",ISNUMBER(SEARCH(설정!$A$36,E359&amp;" "&amp;C359))),AND(설정!$A$37&lt;&gt;"",ISNUMBER(SEARCH(설정!$A$37,E359&amp;" "&amp;C359))))</f>
        <v/>
      </c>
      <c r="S359">
        <f>OR(D359="",D359&gt;=설정!$B$19)</f>
        <v/>
      </c>
      <c r="T359">
        <f>AND(Q359,R359,S359)</f>
        <v/>
      </c>
      <c r="U359">
        <f>IF(T359,IF(AND(설정!$A$41&lt;&gt;"",ISNUMBER(SEARCH(설정!$A$41,K359))),설정!$B$41,IF(AND(설정!$A$42&lt;&gt;"",ISNUMBER(SEARCH(설정!$A$42,K359))),설정!$B$42,IF(AND(설정!$A$43&lt;&gt;"",ISNUMBER(SEARCH(설정!$A$43,K359))),설정!$B$43,IF(AND(설정!$A$44&lt;&gt;"",ISNUMBER(SEARCH(설정!$A$44,K359))),설정!$B$44,IF(AND(설정!$A$45&lt;&gt;"",ISNUMBER(SEARCH(설정!$A$45,K359))),설정!$B$45,IF(AND(설정!$A$46&lt;&gt;"",ISNUMBER(SEARCH(설정!$A$46,K359))),설정!$B$46,IF(AND(설정!$A$47&lt;&gt;"",ISNUMBER(SEARCH(설정!$A$47,K359))),설정!$B$47,IF(AND(설정!$A$48&lt;&gt;"",ISNUMBER(SEARCH(설정!$A$48,K359))),설정!$B$48,IF(M359="","설계사","시공사"))))))))),"")</f>
        <v/>
      </c>
      <c r="V359">
        <f>SUBSTITUTE(SUBSTITUTE(SUBSTITUTE(SUBSTITUTE(G359,"(주)",""),"㈜",""),"주식회사","")," ","")</f>
        <v/>
      </c>
      <c r="W359">
        <f>IF(AND(T359,V359&lt;&gt;""),IF(COUNTIFS(V$2:V359,V359,T$2:T359,TRUE)=1,MAX(W$1:W358)+1,""),"")</f>
        <v/>
      </c>
      <c r="X359">
        <f>IFERROR(INDEX('1.산군_붙여넣기'!$A$1:$AZ$1001,ROW(),설정!$C$14)&amp;"","")</f>
        <v/>
      </c>
      <c r="Y359">
        <f>IFERROR(INDEX('1.산군_붙여넣기'!$A$1:$AZ$1001,ROW(),설정!$C$15)&amp;"","")</f>
        <v/>
      </c>
      <c r="Z359">
        <f>IF(T359,V359&amp;"|"&amp;U359,"")</f>
        <v/>
      </c>
    </row>
    <row r="360">
      <c r="A360">
        <f>ROW()</f>
        <v/>
      </c>
      <c r="B360">
        <f>IFERROR(INDEX('1.산군_붙여넣기'!$A$1:$AZ$1001,ROW(),설정!$C$4)&amp;"","")</f>
        <v/>
      </c>
      <c r="C360">
        <f>IFERROR(INDEX('1.산군_붙여넣기'!$A$1:$AZ$1001,ROW(),설정!$C$5)&amp;"","")</f>
        <v/>
      </c>
      <c r="D360" s="5">
        <f>IFERROR(VALUE(SUBSTITUTE(SUBSTITUTE(SUBSTITUTE(IFERROR(INDEX('1.산군_붙여넣기'!$A$1:$AZ$1001,ROW(),설정!$C$6)&amp;"",""),",",""),"㎡",""),"m2","")),"")</f>
        <v/>
      </c>
      <c r="E360">
        <f>IFERROR(INDEX('1.산군_붙여넣기'!$A$1:$AZ$1001,ROW(),설정!$C$7)&amp;"","")</f>
        <v/>
      </c>
      <c r="F360">
        <f>IFERROR(INDEX('1.산군_붙여넣기'!$A$1:$AZ$1001,ROW(),설정!$C$8)&amp;"","")</f>
        <v/>
      </c>
      <c r="G360">
        <f>IFERROR(INDEX('1.산군_붙여넣기'!$A$1:$AZ$1001,ROW(),설정!$C$9)&amp;"","")</f>
        <v/>
      </c>
      <c r="H360">
        <f>IFERROR(INDEX('1.산군_붙여넣기'!$A$1:$AZ$1001,ROW(),설정!$C$10)&amp;"","")</f>
        <v/>
      </c>
      <c r="I360">
        <f>IFERROR(INDEX('1.산군_붙여넣기'!$A$1:$AZ$1001,ROW(),설정!$C$11)&amp;"","")</f>
        <v/>
      </c>
      <c r="J360">
        <f>IFERROR(INDEX('1.산군_붙여넣기'!$A$1:$AZ$1001,ROW(),설정!$C$12)&amp;"","")</f>
        <v/>
      </c>
      <c r="K360">
        <f>IFERROR(INDEX('1.산군_붙여넣기'!$A$1:$AZ$1001,ROW(),설정!$C$13)&amp;"","")</f>
        <v/>
      </c>
      <c r="L360" s="6">
        <f>IF(X360="","",IF(AND(LEN(X360)=8,ISNUMBER(X360*1)),DATE(LEFT(X360,4),MID(X360,5,2),RIGHT(X360,2)),IFERROR(DATEVALUE(SUBSTITUTE(SUBSTITUTE(X360,".","-"),"/","-")),IFERROR(X360*1,""))))</f>
        <v/>
      </c>
      <c r="M360" s="6">
        <f>IF(Y360="","",IF(AND(LEN(Y360)=8,ISNUMBER(Y360*1)),DATE(LEFT(Y360,4),MID(Y360,5,2),RIGHT(Y360,2)),IFERROR(DATEVALUE(SUBSTITUTE(SUBSTITUTE(Y360,".","-"),"/","-")),IFERROR(Y360*1,""))))</f>
        <v/>
      </c>
      <c r="N360">
        <f>IFERROR(LEFT(B360,FIND(" ",B360)-1),B360)</f>
        <v/>
      </c>
      <c r="O360">
        <f>AND(B360&lt;&gt;"",B360&lt;&gt;설정!$B$4,C360&lt;&gt;설정!$B$5)</f>
        <v/>
      </c>
      <c r="P360">
        <f>IF(O360,B360&amp;"|"&amp;C360,"")</f>
        <v/>
      </c>
      <c r="Q360">
        <f>AND(O360,COUNTIF(P361:P$1002,P360)=0)</f>
        <v/>
      </c>
      <c r="R360">
        <f>OR(AND(설정!$A$28&lt;&gt;"",ISNUMBER(SEARCH(설정!$A$28,E360&amp;" "&amp;C360))),AND(설정!$A$29&lt;&gt;"",ISNUMBER(SEARCH(설정!$A$29,E360&amp;" "&amp;C360))),AND(설정!$A$30&lt;&gt;"",ISNUMBER(SEARCH(설정!$A$30,E360&amp;" "&amp;C360))),AND(설정!$A$31&lt;&gt;"",ISNUMBER(SEARCH(설정!$A$31,E360&amp;" "&amp;C360))),AND(설정!$A$32&lt;&gt;"",ISNUMBER(SEARCH(설정!$A$32,E360&amp;" "&amp;C360))),AND(설정!$A$33&lt;&gt;"",ISNUMBER(SEARCH(설정!$A$33,E360&amp;" "&amp;C360))),AND(설정!$A$34&lt;&gt;"",ISNUMBER(SEARCH(설정!$A$34,E360&amp;" "&amp;C360))),AND(설정!$A$35&lt;&gt;"",ISNUMBER(SEARCH(설정!$A$35,E360&amp;" "&amp;C360))),AND(설정!$A$36&lt;&gt;"",ISNUMBER(SEARCH(설정!$A$36,E360&amp;" "&amp;C360))),AND(설정!$A$37&lt;&gt;"",ISNUMBER(SEARCH(설정!$A$37,E360&amp;" "&amp;C360))))</f>
        <v/>
      </c>
      <c r="S360">
        <f>OR(D360="",D360&gt;=설정!$B$19)</f>
        <v/>
      </c>
      <c r="T360">
        <f>AND(Q360,R360,S360)</f>
        <v/>
      </c>
      <c r="U360">
        <f>IF(T360,IF(AND(설정!$A$41&lt;&gt;"",ISNUMBER(SEARCH(설정!$A$41,K360))),설정!$B$41,IF(AND(설정!$A$42&lt;&gt;"",ISNUMBER(SEARCH(설정!$A$42,K360))),설정!$B$42,IF(AND(설정!$A$43&lt;&gt;"",ISNUMBER(SEARCH(설정!$A$43,K360))),설정!$B$43,IF(AND(설정!$A$44&lt;&gt;"",ISNUMBER(SEARCH(설정!$A$44,K360))),설정!$B$44,IF(AND(설정!$A$45&lt;&gt;"",ISNUMBER(SEARCH(설정!$A$45,K360))),설정!$B$45,IF(AND(설정!$A$46&lt;&gt;"",ISNUMBER(SEARCH(설정!$A$46,K360))),설정!$B$46,IF(AND(설정!$A$47&lt;&gt;"",ISNUMBER(SEARCH(설정!$A$47,K360))),설정!$B$47,IF(AND(설정!$A$48&lt;&gt;"",ISNUMBER(SEARCH(설정!$A$48,K360))),설정!$B$48,IF(M360="","설계사","시공사"))))))))),"")</f>
        <v/>
      </c>
      <c r="V360">
        <f>SUBSTITUTE(SUBSTITUTE(SUBSTITUTE(SUBSTITUTE(G360,"(주)",""),"㈜",""),"주식회사","")," ","")</f>
        <v/>
      </c>
      <c r="W360">
        <f>IF(AND(T360,V360&lt;&gt;""),IF(COUNTIFS(V$2:V360,V360,T$2:T360,TRUE)=1,MAX(W$1:W359)+1,""),"")</f>
        <v/>
      </c>
      <c r="X360">
        <f>IFERROR(INDEX('1.산군_붙여넣기'!$A$1:$AZ$1001,ROW(),설정!$C$14)&amp;"","")</f>
        <v/>
      </c>
      <c r="Y360">
        <f>IFERROR(INDEX('1.산군_붙여넣기'!$A$1:$AZ$1001,ROW(),설정!$C$15)&amp;"","")</f>
        <v/>
      </c>
      <c r="Z360">
        <f>IF(T360,V360&amp;"|"&amp;U360,"")</f>
        <v/>
      </c>
    </row>
    <row r="361">
      <c r="A361">
        <f>ROW()</f>
        <v/>
      </c>
      <c r="B361">
        <f>IFERROR(INDEX('1.산군_붙여넣기'!$A$1:$AZ$1001,ROW(),설정!$C$4)&amp;"","")</f>
        <v/>
      </c>
      <c r="C361">
        <f>IFERROR(INDEX('1.산군_붙여넣기'!$A$1:$AZ$1001,ROW(),설정!$C$5)&amp;"","")</f>
        <v/>
      </c>
      <c r="D361" s="5">
        <f>IFERROR(VALUE(SUBSTITUTE(SUBSTITUTE(SUBSTITUTE(IFERROR(INDEX('1.산군_붙여넣기'!$A$1:$AZ$1001,ROW(),설정!$C$6)&amp;"",""),",",""),"㎡",""),"m2","")),"")</f>
        <v/>
      </c>
      <c r="E361">
        <f>IFERROR(INDEX('1.산군_붙여넣기'!$A$1:$AZ$1001,ROW(),설정!$C$7)&amp;"","")</f>
        <v/>
      </c>
      <c r="F361">
        <f>IFERROR(INDEX('1.산군_붙여넣기'!$A$1:$AZ$1001,ROW(),설정!$C$8)&amp;"","")</f>
        <v/>
      </c>
      <c r="G361">
        <f>IFERROR(INDEX('1.산군_붙여넣기'!$A$1:$AZ$1001,ROW(),설정!$C$9)&amp;"","")</f>
        <v/>
      </c>
      <c r="H361">
        <f>IFERROR(INDEX('1.산군_붙여넣기'!$A$1:$AZ$1001,ROW(),설정!$C$10)&amp;"","")</f>
        <v/>
      </c>
      <c r="I361">
        <f>IFERROR(INDEX('1.산군_붙여넣기'!$A$1:$AZ$1001,ROW(),설정!$C$11)&amp;"","")</f>
        <v/>
      </c>
      <c r="J361">
        <f>IFERROR(INDEX('1.산군_붙여넣기'!$A$1:$AZ$1001,ROW(),설정!$C$12)&amp;"","")</f>
        <v/>
      </c>
      <c r="K361">
        <f>IFERROR(INDEX('1.산군_붙여넣기'!$A$1:$AZ$1001,ROW(),설정!$C$13)&amp;"","")</f>
        <v/>
      </c>
      <c r="L361" s="6">
        <f>IF(X361="","",IF(AND(LEN(X361)=8,ISNUMBER(X361*1)),DATE(LEFT(X361,4),MID(X361,5,2),RIGHT(X361,2)),IFERROR(DATEVALUE(SUBSTITUTE(SUBSTITUTE(X361,".","-"),"/","-")),IFERROR(X361*1,""))))</f>
        <v/>
      </c>
      <c r="M361" s="6">
        <f>IF(Y361="","",IF(AND(LEN(Y361)=8,ISNUMBER(Y361*1)),DATE(LEFT(Y361,4),MID(Y361,5,2),RIGHT(Y361,2)),IFERROR(DATEVALUE(SUBSTITUTE(SUBSTITUTE(Y361,".","-"),"/","-")),IFERROR(Y361*1,""))))</f>
        <v/>
      </c>
      <c r="N361">
        <f>IFERROR(LEFT(B361,FIND(" ",B361)-1),B361)</f>
        <v/>
      </c>
      <c r="O361">
        <f>AND(B361&lt;&gt;"",B361&lt;&gt;설정!$B$4,C361&lt;&gt;설정!$B$5)</f>
        <v/>
      </c>
      <c r="P361">
        <f>IF(O361,B361&amp;"|"&amp;C361,"")</f>
        <v/>
      </c>
      <c r="Q361">
        <f>AND(O361,COUNTIF(P362:P$1002,P361)=0)</f>
        <v/>
      </c>
      <c r="R361">
        <f>OR(AND(설정!$A$28&lt;&gt;"",ISNUMBER(SEARCH(설정!$A$28,E361&amp;" "&amp;C361))),AND(설정!$A$29&lt;&gt;"",ISNUMBER(SEARCH(설정!$A$29,E361&amp;" "&amp;C361))),AND(설정!$A$30&lt;&gt;"",ISNUMBER(SEARCH(설정!$A$30,E361&amp;" "&amp;C361))),AND(설정!$A$31&lt;&gt;"",ISNUMBER(SEARCH(설정!$A$31,E361&amp;" "&amp;C361))),AND(설정!$A$32&lt;&gt;"",ISNUMBER(SEARCH(설정!$A$32,E361&amp;" "&amp;C361))),AND(설정!$A$33&lt;&gt;"",ISNUMBER(SEARCH(설정!$A$33,E361&amp;" "&amp;C361))),AND(설정!$A$34&lt;&gt;"",ISNUMBER(SEARCH(설정!$A$34,E361&amp;" "&amp;C361))),AND(설정!$A$35&lt;&gt;"",ISNUMBER(SEARCH(설정!$A$35,E361&amp;" "&amp;C361))),AND(설정!$A$36&lt;&gt;"",ISNUMBER(SEARCH(설정!$A$36,E361&amp;" "&amp;C361))),AND(설정!$A$37&lt;&gt;"",ISNUMBER(SEARCH(설정!$A$37,E361&amp;" "&amp;C361))))</f>
        <v/>
      </c>
      <c r="S361">
        <f>OR(D361="",D361&gt;=설정!$B$19)</f>
        <v/>
      </c>
      <c r="T361">
        <f>AND(Q361,R361,S361)</f>
        <v/>
      </c>
      <c r="U361">
        <f>IF(T361,IF(AND(설정!$A$41&lt;&gt;"",ISNUMBER(SEARCH(설정!$A$41,K361))),설정!$B$41,IF(AND(설정!$A$42&lt;&gt;"",ISNUMBER(SEARCH(설정!$A$42,K361))),설정!$B$42,IF(AND(설정!$A$43&lt;&gt;"",ISNUMBER(SEARCH(설정!$A$43,K361))),설정!$B$43,IF(AND(설정!$A$44&lt;&gt;"",ISNUMBER(SEARCH(설정!$A$44,K361))),설정!$B$44,IF(AND(설정!$A$45&lt;&gt;"",ISNUMBER(SEARCH(설정!$A$45,K361))),설정!$B$45,IF(AND(설정!$A$46&lt;&gt;"",ISNUMBER(SEARCH(설정!$A$46,K361))),설정!$B$46,IF(AND(설정!$A$47&lt;&gt;"",ISNUMBER(SEARCH(설정!$A$47,K361))),설정!$B$47,IF(AND(설정!$A$48&lt;&gt;"",ISNUMBER(SEARCH(설정!$A$48,K361))),설정!$B$48,IF(M361="","설계사","시공사"))))))))),"")</f>
        <v/>
      </c>
      <c r="V361">
        <f>SUBSTITUTE(SUBSTITUTE(SUBSTITUTE(SUBSTITUTE(G361,"(주)",""),"㈜",""),"주식회사","")," ","")</f>
        <v/>
      </c>
      <c r="W361">
        <f>IF(AND(T361,V361&lt;&gt;""),IF(COUNTIFS(V$2:V361,V361,T$2:T361,TRUE)=1,MAX(W$1:W360)+1,""),"")</f>
        <v/>
      </c>
      <c r="X361">
        <f>IFERROR(INDEX('1.산군_붙여넣기'!$A$1:$AZ$1001,ROW(),설정!$C$14)&amp;"","")</f>
        <v/>
      </c>
      <c r="Y361">
        <f>IFERROR(INDEX('1.산군_붙여넣기'!$A$1:$AZ$1001,ROW(),설정!$C$15)&amp;"","")</f>
        <v/>
      </c>
      <c r="Z361">
        <f>IF(T361,V361&amp;"|"&amp;U361,"")</f>
        <v/>
      </c>
    </row>
    <row r="362">
      <c r="A362">
        <f>ROW()</f>
        <v/>
      </c>
      <c r="B362">
        <f>IFERROR(INDEX('1.산군_붙여넣기'!$A$1:$AZ$1001,ROW(),설정!$C$4)&amp;"","")</f>
        <v/>
      </c>
      <c r="C362">
        <f>IFERROR(INDEX('1.산군_붙여넣기'!$A$1:$AZ$1001,ROW(),설정!$C$5)&amp;"","")</f>
        <v/>
      </c>
      <c r="D362" s="5">
        <f>IFERROR(VALUE(SUBSTITUTE(SUBSTITUTE(SUBSTITUTE(IFERROR(INDEX('1.산군_붙여넣기'!$A$1:$AZ$1001,ROW(),설정!$C$6)&amp;"",""),",",""),"㎡",""),"m2","")),"")</f>
        <v/>
      </c>
      <c r="E362">
        <f>IFERROR(INDEX('1.산군_붙여넣기'!$A$1:$AZ$1001,ROW(),설정!$C$7)&amp;"","")</f>
        <v/>
      </c>
      <c r="F362">
        <f>IFERROR(INDEX('1.산군_붙여넣기'!$A$1:$AZ$1001,ROW(),설정!$C$8)&amp;"","")</f>
        <v/>
      </c>
      <c r="G362">
        <f>IFERROR(INDEX('1.산군_붙여넣기'!$A$1:$AZ$1001,ROW(),설정!$C$9)&amp;"","")</f>
        <v/>
      </c>
      <c r="H362">
        <f>IFERROR(INDEX('1.산군_붙여넣기'!$A$1:$AZ$1001,ROW(),설정!$C$10)&amp;"","")</f>
        <v/>
      </c>
      <c r="I362">
        <f>IFERROR(INDEX('1.산군_붙여넣기'!$A$1:$AZ$1001,ROW(),설정!$C$11)&amp;"","")</f>
        <v/>
      </c>
      <c r="J362">
        <f>IFERROR(INDEX('1.산군_붙여넣기'!$A$1:$AZ$1001,ROW(),설정!$C$12)&amp;"","")</f>
        <v/>
      </c>
      <c r="K362">
        <f>IFERROR(INDEX('1.산군_붙여넣기'!$A$1:$AZ$1001,ROW(),설정!$C$13)&amp;"","")</f>
        <v/>
      </c>
      <c r="L362" s="6">
        <f>IF(X362="","",IF(AND(LEN(X362)=8,ISNUMBER(X362*1)),DATE(LEFT(X362,4),MID(X362,5,2),RIGHT(X362,2)),IFERROR(DATEVALUE(SUBSTITUTE(SUBSTITUTE(X362,".","-"),"/","-")),IFERROR(X362*1,""))))</f>
        <v/>
      </c>
      <c r="M362" s="6">
        <f>IF(Y362="","",IF(AND(LEN(Y362)=8,ISNUMBER(Y362*1)),DATE(LEFT(Y362,4),MID(Y362,5,2),RIGHT(Y362,2)),IFERROR(DATEVALUE(SUBSTITUTE(SUBSTITUTE(Y362,".","-"),"/","-")),IFERROR(Y362*1,""))))</f>
        <v/>
      </c>
      <c r="N362">
        <f>IFERROR(LEFT(B362,FIND(" ",B362)-1),B362)</f>
        <v/>
      </c>
      <c r="O362">
        <f>AND(B362&lt;&gt;"",B362&lt;&gt;설정!$B$4,C362&lt;&gt;설정!$B$5)</f>
        <v/>
      </c>
      <c r="P362">
        <f>IF(O362,B362&amp;"|"&amp;C362,"")</f>
        <v/>
      </c>
      <c r="Q362">
        <f>AND(O362,COUNTIF(P363:P$1002,P362)=0)</f>
        <v/>
      </c>
      <c r="R362">
        <f>OR(AND(설정!$A$28&lt;&gt;"",ISNUMBER(SEARCH(설정!$A$28,E362&amp;" "&amp;C362))),AND(설정!$A$29&lt;&gt;"",ISNUMBER(SEARCH(설정!$A$29,E362&amp;" "&amp;C362))),AND(설정!$A$30&lt;&gt;"",ISNUMBER(SEARCH(설정!$A$30,E362&amp;" "&amp;C362))),AND(설정!$A$31&lt;&gt;"",ISNUMBER(SEARCH(설정!$A$31,E362&amp;" "&amp;C362))),AND(설정!$A$32&lt;&gt;"",ISNUMBER(SEARCH(설정!$A$32,E362&amp;" "&amp;C362))),AND(설정!$A$33&lt;&gt;"",ISNUMBER(SEARCH(설정!$A$33,E362&amp;" "&amp;C362))),AND(설정!$A$34&lt;&gt;"",ISNUMBER(SEARCH(설정!$A$34,E362&amp;" "&amp;C362))),AND(설정!$A$35&lt;&gt;"",ISNUMBER(SEARCH(설정!$A$35,E362&amp;" "&amp;C362))),AND(설정!$A$36&lt;&gt;"",ISNUMBER(SEARCH(설정!$A$36,E362&amp;" "&amp;C362))),AND(설정!$A$37&lt;&gt;"",ISNUMBER(SEARCH(설정!$A$37,E362&amp;" "&amp;C362))))</f>
        <v/>
      </c>
      <c r="S362">
        <f>OR(D362="",D362&gt;=설정!$B$19)</f>
        <v/>
      </c>
      <c r="T362">
        <f>AND(Q362,R362,S362)</f>
        <v/>
      </c>
      <c r="U362">
        <f>IF(T362,IF(AND(설정!$A$41&lt;&gt;"",ISNUMBER(SEARCH(설정!$A$41,K362))),설정!$B$41,IF(AND(설정!$A$42&lt;&gt;"",ISNUMBER(SEARCH(설정!$A$42,K362))),설정!$B$42,IF(AND(설정!$A$43&lt;&gt;"",ISNUMBER(SEARCH(설정!$A$43,K362))),설정!$B$43,IF(AND(설정!$A$44&lt;&gt;"",ISNUMBER(SEARCH(설정!$A$44,K362))),설정!$B$44,IF(AND(설정!$A$45&lt;&gt;"",ISNUMBER(SEARCH(설정!$A$45,K362))),설정!$B$45,IF(AND(설정!$A$46&lt;&gt;"",ISNUMBER(SEARCH(설정!$A$46,K362))),설정!$B$46,IF(AND(설정!$A$47&lt;&gt;"",ISNUMBER(SEARCH(설정!$A$47,K362))),설정!$B$47,IF(AND(설정!$A$48&lt;&gt;"",ISNUMBER(SEARCH(설정!$A$48,K362))),설정!$B$48,IF(M362="","설계사","시공사"))))))))),"")</f>
        <v/>
      </c>
      <c r="V362">
        <f>SUBSTITUTE(SUBSTITUTE(SUBSTITUTE(SUBSTITUTE(G362,"(주)",""),"㈜",""),"주식회사","")," ","")</f>
        <v/>
      </c>
      <c r="W362">
        <f>IF(AND(T362,V362&lt;&gt;""),IF(COUNTIFS(V$2:V362,V362,T$2:T362,TRUE)=1,MAX(W$1:W361)+1,""),"")</f>
        <v/>
      </c>
      <c r="X362">
        <f>IFERROR(INDEX('1.산군_붙여넣기'!$A$1:$AZ$1001,ROW(),설정!$C$14)&amp;"","")</f>
        <v/>
      </c>
      <c r="Y362">
        <f>IFERROR(INDEX('1.산군_붙여넣기'!$A$1:$AZ$1001,ROW(),설정!$C$15)&amp;"","")</f>
        <v/>
      </c>
      <c r="Z362">
        <f>IF(T362,V362&amp;"|"&amp;U362,"")</f>
        <v/>
      </c>
    </row>
    <row r="363">
      <c r="A363">
        <f>ROW()</f>
        <v/>
      </c>
      <c r="B363">
        <f>IFERROR(INDEX('1.산군_붙여넣기'!$A$1:$AZ$1001,ROW(),설정!$C$4)&amp;"","")</f>
        <v/>
      </c>
      <c r="C363">
        <f>IFERROR(INDEX('1.산군_붙여넣기'!$A$1:$AZ$1001,ROW(),설정!$C$5)&amp;"","")</f>
        <v/>
      </c>
      <c r="D363" s="5">
        <f>IFERROR(VALUE(SUBSTITUTE(SUBSTITUTE(SUBSTITUTE(IFERROR(INDEX('1.산군_붙여넣기'!$A$1:$AZ$1001,ROW(),설정!$C$6)&amp;"",""),",",""),"㎡",""),"m2","")),"")</f>
        <v/>
      </c>
      <c r="E363">
        <f>IFERROR(INDEX('1.산군_붙여넣기'!$A$1:$AZ$1001,ROW(),설정!$C$7)&amp;"","")</f>
        <v/>
      </c>
      <c r="F363">
        <f>IFERROR(INDEX('1.산군_붙여넣기'!$A$1:$AZ$1001,ROW(),설정!$C$8)&amp;"","")</f>
        <v/>
      </c>
      <c r="G363">
        <f>IFERROR(INDEX('1.산군_붙여넣기'!$A$1:$AZ$1001,ROW(),설정!$C$9)&amp;"","")</f>
        <v/>
      </c>
      <c r="H363">
        <f>IFERROR(INDEX('1.산군_붙여넣기'!$A$1:$AZ$1001,ROW(),설정!$C$10)&amp;"","")</f>
        <v/>
      </c>
      <c r="I363">
        <f>IFERROR(INDEX('1.산군_붙여넣기'!$A$1:$AZ$1001,ROW(),설정!$C$11)&amp;"","")</f>
        <v/>
      </c>
      <c r="J363">
        <f>IFERROR(INDEX('1.산군_붙여넣기'!$A$1:$AZ$1001,ROW(),설정!$C$12)&amp;"","")</f>
        <v/>
      </c>
      <c r="K363">
        <f>IFERROR(INDEX('1.산군_붙여넣기'!$A$1:$AZ$1001,ROW(),설정!$C$13)&amp;"","")</f>
        <v/>
      </c>
      <c r="L363" s="6">
        <f>IF(X363="","",IF(AND(LEN(X363)=8,ISNUMBER(X363*1)),DATE(LEFT(X363,4),MID(X363,5,2),RIGHT(X363,2)),IFERROR(DATEVALUE(SUBSTITUTE(SUBSTITUTE(X363,".","-"),"/","-")),IFERROR(X363*1,""))))</f>
        <v/>
      </c>
      <c r="M363" s="6">
        <f>IF(Y363="","",IF(AND(LEN(Y363)=8,ISNUMBER(Y363*1)),DATE(LEFT(Y363,4),MID(Y363,5,2),RIGHT(Y363,2)),IFERROR(DATEVALUE(SUBSTITUTE(SUBSTITUTE(Y363,".","-"),"/","-")),IFERROR(Y363*1,""))))</f>
        <v/>
      </c>
      <c r="N363">
        <f>IFERROR(LEFT(B363,FIND(" ",B363)-1),B363)</f>
        <v/>
      </c>
      <c r="O363">
        <f>AND(B363&lt;&gt;"",B363&lt;&gt;설정!$B$4,C363&lt;&gt;설정!$B$5)</f>
        <v/>
      </c>
      <c r="P363">
        <f>IF(O363,B363&amp;"|"&amp;C363,"")</f>
        <v/>
      </c>
      <c r="Q363">
        <f>AND(O363,COUNTIF(P364:P$1002,P363)=0)</f>
        <v/>
      </c>
      <c r="R363">
        <f>OR(AND(설정!$A$28&lt;&gt;"",ISNUMBER(SEARCH(설정!$A$28,E363&amp;" "&amp;C363))),AND(설정!$A$29&lt;&gt;"",ISNUMBER(SEARCH(설정!$A$29,E363&amp;" "&amp;C363))),AND(설정!$A$30&lt;&gt;"",ISNUMBER(SEARCH(설정!$A$30,E363&amp;" "&amp;C363))),AND(설정!$A$31&lt;&gt;"",ISNUMBER(SEARCH(설정!$A$31,E363&amp;" "&amp;C363))),AND(설정!$A$32&lt;&gt;"",ISNUMBER(SEARCH(설정!$A$32,E363&amp;" "&amp;C363))),AND(설정!$A$33&lt;&gt;"",ISNUMBER(SEARCH(설정!$A$33,E363&amp;" "&amp;C363))),AND(설정!$A$34&lt;&gt;"",ISNUMBER(SEARCH(설정!$A$34,E363&amp;" "&amp;C363))),AND(설정!$A$35&lt;&gt;"",ISNUMBER(SEARCH(설정!$A$35,E363&amp;" "&amp;C363))),AND(설정!$A$36&lt;&gt;"",ISNUMBER(SEARCH(설정!$A$36,E363&amp;" "&amp;C363))),AND(설정!$A$37&lt;&gt;"",ISNUMBER(SEARCH(설정!$A$37,E363&amp;" "&amp;C363))))</f>
        <v/>
      </c>
      <c r="S363">
        <f>OR(D363="",D363&gt;=설정!$B$19)</f>
        <v/>
      </c>
      <c r="T363">
        <f>AND(Q363,R363,S363)</f>
        <v/>
      </c>
      <c r="U363">
        <f>IF(T363,IF(AND(설정!$A$41&lt;&gt;"",ISNUMBER(SEARCH(설정!$A$41,K363))),설정!$B$41,IF(AND(설정!$A$42&lt;&gt;"",ISNUMBER(SEARCH(설정!$A$42,K363))),설정!$B$42,IF(AND(설정!$A$43&lt;&gt;"",ISNUMBER(SEARCH(설정!$A$43,K363))),설정!$B$43,IF(AND(설정!$A$44&lt;&gt;"",ISNUMBER(SEARCH(설정!$A$44,K363))),설정!$B$44,IF(AND(설정!$A$45&lt;&gt;"",ISNUMBER(SEARCH(설정!$A$45,K363))),설정!$B$45,IF(AND(설정!$A$46&lt;&gt;"",ISNUMBER(SEARCH(설정!$A$46,K363))),설정!$B$46,IF(AND(설정!$A$47&lt;&gt;"",ISNUMBER(SEARCH(설정!$A$47,K363))),설정!$B$47,IF(AND(설정!$A$48&lt;&gt;"",ISNUMBER(SEARCH(설정!$A$48,K363))),설정!$B$48,IF(M363="","설계사","시공사"))))))))),"")</f>
        <v/>
      </c>
      <c r="V363">
        <f>SUBSTITUTE(SUBSTITUTE(SUBSTITUTE(SUBSTITUTE(G363,"(주)",""),"㈜",""),"주식회사","")," ","")</f>
        <v/>
      </c>
      <c r="W363">
        <f>IF(AND(T363,V363&lt;&gt;""),IF(COUNTIFS(V$2:V363,V363,T$2:T363,TRUE)=1,MAX(W$1:W362)+1,""),"")</f>
        <v/>
      </c>
      <c r="X363">
        <f>IFERROR(INDEX('1.산군_붙여넣기'!$A$1:$AZ$1001,ROW(),설정!$C$14)&amp;"","")</f>
        <v/>
      </c>
      <c r="Y363">
        <f>IFERROR(INDEX('1.산군_붙여넣기'!$A$1:$AZ$1001,ROW(),설정!$C$15)&amp;"","")</f>
        <v/>
      </c>
      <c r="Z363">
        <f>IF(T363,V363&amp;"|"&amp;U363,"")</f>
        <v/>
      </c>
    </row>
    <row r="364">
      <c r="A364">
        <f>ROW()</f>
        <v/>
      </c>
      <c r="B364">
        <f>IFERROR(INDEX('1.산군_붙여넣기'!$A$1:$AZ$1001,ROW(),설정!$C$4)&amp;"","")</f>
        <v/>
      </c>
      <c r="C364">
        <f>IFERROR(INDEX('1.산군_붙여넣기'!$A$1:$AZ$1001,ROW(),설정!$C$5)&amp;"","")</f>
        <v/>
      </c>
      <c r="D364" s="5">
        <f>IFERROR(VALUE(SUBSTITUTE(SUBSTITUTE(SUBSTITUTE(IFERROR(INDEX('1.산군_붙여넣기'!$A$1:$AZ$1001,ROW(),설정!$C$6)&amp;"",""),",",""),"㎡",""),"m2","")),"")</f>
        <v/>
      </c>
      <c r="E364">
        <f>IFERROR(INDEX('1.산군_붙여넣기'!$A$1:$AZ$1001,ROW(),설정!$C$7)&amp;"","")</f>
        <v/>
      </c>
      <c r="F364">
        <f>IFERROR(INDEX('1.산군_붙여넣기'!$A$1:$AZ$1001,ROW(),설정!$C$8)&amp;"","")</f>
        <v/>
      </c>
      <c r="G364">
        <f>IFERROR(INDEX('1.산군_붙여넣기'!$A$1:$AZ$1001,ROW(),설정!$C$9)&amp;"","")</f>
        <v/>
      </c>
      <c r="H364">
        <f>IFERROR(INDEX('1.산군_붙여넣기'!$A$1:$AZ$1001,ROW(),설정!$C$10)&amp;"","")</f>
        <v/>
      </c>
      <c r="I364">
        <f>IFERROR(INDEX('1.산군_붙여넣기'!$A$1:$AZ$1001,ROW(),설정!$C$11)&amp;"","")</f>
        <v/>
      </c>
      <c r="J364">
        <f>IFERROR(INDEX('1.산군_붙여넣기'!$A$1:$AZ$1001,ROW(),설정!$C$12)&amp;"","")</f>
        <v/>
      </c>
      <c r="K364">
        <f>IFERROR(INDEX('1.산군_붙여넣기'!$A$1:$AZ$1001,ROW(),설정!$C$13)&amp;"","")</f>
        <v/>
      </c>
      <c r="L364" s="6">
        <f>IF(X364="","",IF(AND(LEN(X364)=8,ISNUMBER(X364*1)),DATE(LEFT(X364,4),MID(X364,5,2),RIGHT(X364,2)),IFERROR(DATEVALUE(SUBSTITUTE(SUBSTITUTE(X364,".","-"),"/","-")),IFERROR(X364*1,""))))</f>
        <v/>
      </c>
      <c r="M364" s="6">
        <f>IF(Y364="","",IF(AND(LEN(Y364)=8,ISNUMBER(Y364*1)),DATE(LEFT(Y364,4),MID(Y364,5,2),RIGHT(Y364,2)),IFERROR(DATEVALUE(SUBSTITUTE(SUBSTITUTE(Y364,".","-"),"/","-")),IFERROR(Y364*1,""))))</f>
        <v/>
      </c>
      <c r="N364">
        <f>IFERROR(LEFT(B364,FIND(" ",B364)-1),B364)</f>
        <v/>
      </c>
      <c r="O364">
        <f>AND(B364&lt;&gt;"",B364&lt;&gt;설정!$B$4,C364&lt;&gt;설정!$B$5)</f>
        <v/>
      </c>
      <c r="P364">
        <f>IF(O364,B364&amp;"|"&amp;C364,"")</f>
        <v/>
      </c>
      <c r="Q364">
        <f>AND(O364,COUNTIF(P365:P$1002,P364)=0)</f>
        <v/>
      </c>
      <c r="R364">
        <f>OR(AND(설정!$A$28&lt;&gt;"",ISNUMBER(SEARCH(설정!$A$28,E364&amp;" "&amp;C364))),AND(설정!$A$29&lt;&gt;"",ISNUMBER(SEARCH(설정!$A$29,E364&amp;" "&amp;C364))),AND(설정!$A$30&lt;&gt;"",ISNUMBER(SEARCH(설정!$A$30,E364&amp;" "&amp;C364))),AND(설정!$A$31&lt;&gt;"",ISNUMBER(SEARCH(설정!$A$31,E364&amp;" "&amp;C364))),AND(설정!$A$32&lt;&gt;"",ISNUMBER(SEARCH(설정!$A$32,E364&amp;" "&amp;C364))),AND(설정!$A$33&lt;&gt;"",ISNUMBER(SEARCH(설정!$A$33,E364&amp;" "&amp;C364))),AND(설정!$A$34&lt;&gt;"",ISNUMBER(SEARCH(설정!$A$34,E364&amp;" "&amp;C364))),AND(설정!$A$35&lt;&gt;"",ISNUMBER(SEARCH(설정!$A$35,E364&amp;" "&amp;C364))),AND(설정!$A$36&lt;&gt;"",ISNUMBER(SEARCH(설정!$A$36,E364&amp;" "&amp;C364))),AND(설정!$A$37&lt;&gt;"",ISNUMBER(SEARCH(설정!$A$37,E364&amp;" "&amp;C364))))</f>
        <v/>
      </c>
      <c r="S364">
        <f>OR(D364="",D364&gt;=설정!$B$19)</f>
        <v/>
      </c>
      <c r="T364">
        <f>AND(Q364,R364,S364)</f>
        <v/>
      </c>
      <c r="U364">
        <f>IF(T364,IF(AND(설정!$A$41&lt;&gt;"",ISNUMBER(SEARCH(설정!$A$41,K364))),설정!$B$41,IF(AND(설정!$A$42&lt;&gt;"",ISNUMBER(SEARCH(설정!$A$42,K364))),설정!$B$42,IF(AND(설정!$A$43&lt;&gt;"",ISNUMBER(SEARCH(설정!$A$43,K364))),설정!$B$43,IF(AND(설정!$A$44&lt;&gt;"",ISNUMBER(SEARCH(설정!$A$44,K364))),설정!$B$44,IF(AND(설정!$A$45&lt;&gt;"",ISNUMBER(SEARCH(설정!$A$45,K364))),설정!$B$45,IF(AND(설정!$A$46&lt;&gt;"",ISNUMBER(SEARCH(설정!$A$46,K364))),설정!$B$46,IF(AND(설정!$A$47&lt;&gt;"",ISNUMBER(SEARCH(설정!$A$47,K364))),설정!$B$47,IF(AND(설정!$A$48&lt;&gt;"",ISNUMBER(SEARCH(설정!$A$48,K364))),설정!$B$48,IF(M364="","설계사","시공사"))))))))),"")</f>
        <v/>
      </c>
      <c r="V364">
        <f>SUBSTITUTE(SUBSTITUTE(SUBSTITUTE(SUBSTITUTE(G364,"(주)",""),"㈜",""),"주식회사","")," ","")</f>
        <v/>
      </c>
      <c r="W364">
        <f>IF(AND(T364,V364&lt;&gt;""),IF(COUNTIFS(V$2:V364,V364,T$2:T364,TRUE)=1,MAX(W$1:W363)+1,""),"")</f>
        <v/>
      </c>
      <c r="X364">
        <f>IFERROR(INDEX('1.산군_붙여넣기'!$A$1:$AZ$1001,ROW(),설정!$C$14)&amp;"","")</f>
        <v/>
      </c>
      <c r="Y364">
        <f>IFERROR(INDEX('1.산군_붙여넣기'!$A$1:$AZ$1001,ROW(),설정!$C$15)&amp;"","")</f>
        <v/>
      </c>
      <c r="Z364">
        <f>IF(T364,V364&amp;"|"&amp;U364,"")</f>
        <v/>
      </c>
    </row>
    <row r="365">
      <c r="A365">
        <f>ROW()</f>
        <v/>
      </c>
      <c r="B365">
        <f>IFERROR(INDEX('1.산군_붙여넣기'!$A$1:$AZ$1001,ROW(),설정!$C$4)&amp;"","")</f>
        <v/>
      </c>
      <c r="C365">
        <f>IFERROR(INDEX('1.산군_붙여넣기'!$A$1:$AZ$1001,ROW(),설정!$C$5)&amp;"","")</f>
        <v/>
      </c>
      <c r="D365" s="5">
        <f>IFERROR(VALUE(SUBSTITUTE(SUBSTITUTE(SUBSTITUTE(IFERROR(INDEX('1.산군_붙여넣기'!$A$1:$AZ$1001,ROW(),설정!$C$6)&amp;"",""),",",""),"㎡",""),"m2","")),"")</f>
        <v/>
      </c>
      <c r="E365">
        <f>IFERROR(INDEX('1.산군_붙여넣기'!$A$1:$AZ$1001,ROW(),설정!$C$7)&amp;"","")</f>
        <v/>
      </c>
      <c r="F365">
        <f>IFERROR(INDEX('1.산군_붙여넣기'!$A$1:$AZ$1001,ROW(),설정!$C$8)&amp;"","")</f>
        <v/>
      </c>
      <c r="G365">
        <f>IFERROR(INDEX('1.산군_붙여넣기'!$A$1:$AZ$1001,ROW(),설정!$C$9)&amp;"","")</f>
        <v/>
      </c>
      <c r="H365">
        <f>IFERROR(INDEX('1.산군_붙여넣기'!$A$1:$AZ$1001,ROW(),설정!$C$10)&amp;"","")</f>
        <v/>
      </c>
      <c r="I365">
        <f>IFERROR(INDEX('1.산군_붙여넣기'!$A$1:$AZ$1001,ROW(),설정!$C$11)&amp;"","")</f>
        <v/>
      </c>
      <c r="J365">
        <f>IFERROR(INDEX('1.산군_붙여넣기'!$A$1:$AZ$1001,ROW(),설정!$C$12)&amp;"","")</f>
        <v/>
      </c>
      <c r="K365">
        <f>IFERROR(INDEX('1.산군_붙여넣기'!$A$1:$AZ$1001,ROW(),설정!$C$13)&amp;"","")</f>
        <v/>
      </c>
      <c r="L365" s="6">
        <f>IF(X365="","",IF(AND(LEN(X365)=8,ISNUMBER(X365*1)),DATE(LEFT(X365,4),MID(X365,5,2),RIGHT(X365,2)),IFERROR(DATEVALUE(SUBSTITUTE(SUBSTITUTE(X365,".","-"),"/","-")),IFERROR(X365*1,""))))</f>
        <v/>
      </c>
      <c r="M365" s="6">
        <f>IF(Y365="","",IF(AND(LEN(Y365)=8,ISNUMBER(Y365*1)),DATE(LEFT(Y365,4),MID(Y365,5,2),RIGHT(Y365,2)),IFERROR(DATEVALUE(SUBSTITUTE(SUBSTITUTE(Y365,".","-"),"/","-")),IFERROR(Y365*1,""))))</f>
        <v/>
      </c>
      <c r="N365">
        <f>IFERROR(LEFT(B365,FIND(" ",B365)-1),B365)</f>
        <v/>
      </c>
      <c r="O365">
        <f>AND(B365&lt;&gt;"",B365&lt;&gt;설정!$B$4,C365&lt;&gt;설정!$B$5)</f>
        <v/>
      </c>
      <c r="P365">
        <f>IF(O365,B365&amp;"|"&amp;C365,"")</f>
        <v/>
      </c>
      <c r="Q365">
        <f>AND(O365,COUNTIF(P366:P$1002,P365)=0)</f>
        <v/>
      </c>
      <c r="R365">
        <f>OR(AND(설정!$A$28&lt;&gt;"",ISNUMBER(SEARCH(설정!$A$28,E365&amp;" "&amp;C365))),AND(설정!$A$29&lt;&gt;"",ISNUMBER(SEARCH(설정!$A$29,E365&amp;" "&amp;C365))),AND(설정!$A$30&lt;&gt;"",ISNUMBER(SEARCH(설정!$A$30,E365&amp;" "&amp;C365))),AND(설정!$A$31&lt;&gt;"",ISNUMBER(SEARCH(설정!$A$31,E365&amp;" "&amp;C365))),AND(설정!$A$32&lt;&gt;"",ISNUMBER(SEARCH(설정!$A$32,E365&amp;" "&amp;C365))),AND(설정!$A$33&lt;&gt;"",ISNUMBER(SEARCH(설정!$A$33,E365&amp;" "&amp;C365))),AND(설정!$A$34&lt;&gt;"",ISNUMBER(SEARCH(설정!$A$34,E365&amp;" "&amp;C365))),AND(설정!$A$35&lt;&gt;"",ISNUMBER(SEARCH(설정!$A$35,E365&amp;" "&amp;C365))),AND(설정!$A$36&lt;&gt;"",ISNUMBER(SEARCH(설정!$A$36,E365&amp;" "&amp;C365))),AND(설정!$A$37&lt;&gt;"",ISNUMBER(SEARCH(설정!$A$37,E365&amp;" "&amp;C365))))</f>
        <v/>
      </c>
      <c r="S365">
        <f>OR(D365="",D365&gt;=설정!$B$19)</f>
        <v/>
      </c>
      <c r="T365">
        <f>AND(Q365,R365,S365)</f>
        <v/>
      </c>
      <c r="U365">
        <f>IF(T365,IF(AND(설정!$A$41&lt;&gt;"",ISNUMBER(SEARCH(설정!$A$41,K365))),설정!$B$41,IF(AND(설정!$A$42&lt;&gt;"",ISNUMBER(SEARCH(설정!$A$42,K365))),설정!$B$42,IF(AND(설정!$A$43&lt;&gt;"",ISNUMBER(SEARCH(설정!$A$43,K365))),설정!$B$43,IF(AND(설정!$A$44&lt;&gt;"",ISNUMBER(SEARCH(설정!$A$44,K365))),설정!$B$44,IF(AND(설정!$A$45&lt;&gt;"",ISNUMBER(SEARCH(설정!$A$45,K365))),설정!$B$45,IF(AND(설정!$A$46&lt;&gt;"",ISNUMBER(SEARCH(설정!$A$46,K365))),설정!$B$46,IF(AND(설정!$A$47&lt;&gt;"",ISNUMBER(SEARCH(설정!$A$47,K365))),설정!$B$47,IF(AND(설정!$A$48&lt;&gt;"",ISNUMBER(SEARCH(설정!$A$48,K365))),설정!$B$48,IF(M365="","설계사","시공사"))))))))),"")</f>
        <v/>
      </c>
      <c r="V365">
        <f>SUBSTITUTE(SUBSTITUTE(SUBSTITUTE(SUBSTITUTE(G365,"(주)",""),"㈜",""),"주식회사","")," ","")</f>
        <v/>
      </c>
      <c r="W365">
        <f>IF(AND(T365,V365&lt;&gt;""),IF(COUNTIFS(V$2:V365,V365,T$2:T365,TRUE)=1,MAX(W$1:W364)+1,""),"")</f>
        <v/>
      </c>
      <c r="X365">
        <f>IFERROR(INDEX('1.산군_붙여넣기'!$A$1:$AZ$1001,ROW(),설정!$C$14)&amp;"","")</f>
        <v/>
      </c>
      <c r="Y365">
        <f>IFERROR(INDEX('1.산군_붙여넣기'!$A$1:$AZ$1001,ROW(),설정!$C$15)&amp;"","")</f>
        <v/>
      </c>
      <c r="Z365">
        <f>IF(T365,V365&amp;"|"&amp;U365,"")</f>
        <v/>
      </c>
    </row>
    <row r="366">
      <c r="A366">
        <f>ROW()</f>
        <v/>
      </c>
      <c r="B366">
        <f>IFERROR(INDEX('1.산군_붙여넣기'!$A$1:$AZ$1001,ROW(),설정!$C$4)&amp;"","")</f>
        <v/>
      </c>
      <c r="C366">
        <f>IFERROR(INDEX('1.산군_붙여넣기'!$A$1:$AZ$1001,ROW(),설정!$C$5)&amp;"","")</f>
        <v/>
      </c>
      <c r="D366" s="5">
        <f>IFERROR(VALUE(SUBSTITUTE(SUBSTITUTE(SUBSTITUTE(IFERROR(INDEX('1.산군_붙여넣기'!$A$1:$AZ$1001,ROW(),설정!$C$6)&amp;"",""),",",""),"㎡",""),"m2","")),"")</f>
        <v/>
      </c>
      <c r="E366">
        <f>IFERROR(INDEX('1.산군_붙여넣기'!$A$1:$AZ$1001,ROW(),설정!$C$7)&amp;"","")</f>
        <v/>
      </c>
      <c r="F366">
        <f>IFERROR(INDEX('1.산군_붙여넣기'!$A$1:$AZ$1001,ROW(),설정!$C$8)&amp;"","")</f>
        <v/>
      </c>
      <c r="G366">
        <f>IFERROR(INDEX('1.산군_붙여넣기'!$A$1:$AZ$1001,ROW(),설정!$C$9)&amp;"","")</f>
        <v/>
      </c>
      <c r="H366">
        <f>IFERROR(INDEX('1.산군_붙여넣기'!$A$1:$AZ$1001,ROW(),설정!$C$10)&amp;"","")</f>
        <v/>
      </c>
      <c r="I366">
        <f>IFERROR(INDEX('1.산군_붙여넣기'!$A$1:$AZ$1001,ROW(),설정!$C$11)&amp;"","")</f>
        <v/>
      </c>
      <c r="J366">
        <f>IFERROR(INDEX('1.산군_붙여넣기'!$A$1:$AZ$1001,ROW(),설정!$C$12)&amp;"","")</f>
        <v/>
      </c>
      <c r="K366">
        <f>IFERROR(INDEX('1.산군_붙여넣기'!$A$1:$AZ$1001,ROW(),설정!$C$13)&amp;"","")</f>
        <v/>
      </c>
      <c r="L366" s="6">
        <f>IF(X366="","",IF(AND(LEN(X366)=8,ISNUMBER(X366*1)),DATE(LEFT(X366,4),MID(X366,5,2),RIGHT(X366,2)),IFERROR(DATEVALUE(SUBSTITUTE(SUBSTITUTE(X366,".","-"),"/","-")),IFERROR(X366*1,""))))</f>
        <v/>
      </c>
      <c r="M366" s="6">
        <f>IF(Y366="","",IF(AND(LEN(Y366)=8,ISNUMBER(Y366*1)),DATE(LEFT(Y366,4),MID(Y366,5,2),RIGHT(Y366,2)),IFERROR(DATEVALUE(SUBSTITUTE(SUBSTITUTE(Y366,".","-"),"/","-")),IFERROR(Y366*1,""))))</f>
        <v/>
      </c>
      <c r="N366">
        <f>IFERROR(LEFT(B366,FIND(" ",B366)-1),B366)</f>
        <v/>
      </c>
      <c r="O366">
        <f>AND(B366&lt;&gt;"",B366&lt;&gt;설정!$B$4,C366&lt;&gt;설정!$B$5)</f>
        <v/>
      </c>
      <c r="P366">
        <f>IF(O366,B366&amp;"|"&amp;C366,"")</f>
        <v/>
      </c>
      <c r="Q366">
        <f>AND(O366,COUNTIF(P367:P$1002,P366)=0)</f>
        <v/>
      </c>
      <c r="R366">
        <f>OR(AND(설정!$A$28&lt;&gt;"",ISNUMBER(SEARCH(설정!$A$28,E366&amp;" "&amp;C366))),AND(설정!$A$29&lt;&gt;"",ISNUMBER(SEARCH(설정!$A$29,E366&amp;" "&amp;C366))),AND(설정!$A$30&lt;&gt;"",ISNUMBER(SEARCH(설정!$A$30,E366&amp;" "&amp;C366))),AND(설정!$A$31&lt;&gt;"",ISNUMBER(SEARCH(설정!$A$31,E366&amp;" "&amp;C366))),AND(설정!$A$32&lt;&gt;"",ISNUMBER(SEARCH(설정!$A$32,E366&amp;" "&amp;C366))),AND(설정!$A$33&lt;&gt;"",ISNUMBER(SEARCH(설정!$A$33,E366&amp;" "&amp;C366))),AND(설정!$A$34&lt;&gt;"",ISNUMBER(SEARCH(설정!$A$34,E366&amp;" "&amp;C366))),AND(설정!$A$35&lt;&gt;"",ISNUMBER(SEARCH(설정!$A$35,E366&amp;" "&amp;C366))),AND(설정!$A$36&lt;&gt;"",ISNUMBER(SEARCH(설정!$A$36,E366&amp;" "&amp;C366))),AND(설정!$A$37&lt;&gt;"",ISNUMBER(SEARCH(설정!$A$37,E366&amp;" "&amp;C366))))</f>
        <v/>
      </c>
      <c r="S366">
        <f>OR(D366="",D366&gt;=설정!$B$19)</f>
        <v/>
      </c>
      <c r="T366">
        <f>AND(Q366,R366,S366)</f>
        <v/>
      </c>
      <c r="U366">
        <f>IF(T366,IF(AND(설정!$A$41&lt;&gt;"",ISNUMBER(SEARCH(설정!$A$41,K366))),설정!$B$41,IF(AND(설정!$A$42&lt;&gt;"",ISNUMBER(SEARCH(설정!$A$42,K366))),설정!$B$42,IF(AND(설정!$A$43&lt;&gt;"",ISNUMBER(SEARCH(설정!$A$43,K366))),설정!$B$43,IF(AND(설정!$A$44&lt;&gt;"",ISNUMBER(SEARCH(설정!$A$44,K366))),설정!$B$44,IF(AND(설정!$A$45&lt;&gt;"",ISNUMBER(SEARCH(설정!$A$45,K366))),설정!$B$45,IF(AND(설정!$A$46&lt;&gt;"",ISNUMBER(SEARCH(설정!$A$46,K366))),설정!$B$46,IF(AND(설정!$A$47&lt;&gt;"",ISNUMBER(SEARCH(설정!$A$47,K366))),설정!$B$47,IF(AND(설정!$A$48&lt;&gt;"",ISNUMBER(SEARCH(설정!$A$48,K366))),설정!$B$48,IF(M366="","설계사","시공사"))))))))),"")</f>
        <v/>
      </c>
      <c r="V366">
        <f>SUBSTITUTE(SUBSTITUTE(SUBSTITUTE(SUBSTITUTE(G366,"(주)",""),"㈜",""),"주식회사","")," ","")</f>
        <v/>
      </c>
      <c r="W366">
        <f>IF(AND(T366,V366&lt;&gt;""),IF(COUNTIFS(V$2:V366,V366,T$2:T366,TRUE)=1,MAX(W$1:W365)+1,""),"")</f>
        <v/>
      </c>
      <c r="X366">
        <f>IFERROR(INDEX('1.산군_붙여넣기'!$A$1:$AZ$1001,ROW(),설정!$C$14)&amp;"","")</f>
        <v/>
      </c>
      <c r="Y366">
        <f>IFERROR(INDEX('1.산군_붙여넣기'!$A$1:$AZ$1001,ROW(),설정!$C$15)&amp;"","")</f>
        <v/>
      </c>
      <c r="Z366">
        <f>IF(T366,V366&amp;"|"&amp;U366,"")</f>
        <v/>
      </c>
    </row>
    <row r="367">
      <c r="A367">
        <f>ROW()</f>
        <v/>
      </c>
      <c r="B367">
        <f>IFERROR(INDEX('1.산군_붙여넣기'!$A$1:$AZ$1001,ROW(),설정!$C$4)&amp;"","")</f>
        <v/>
      </c>
      <c r="C367">
        <f>IFERROR(INDEX('1.산군_붙여넣기'!$A$1:$AZ$1001,ROW(),설정!$C$5)&amp;"","")</f>
        <v/>
      </c>
      <c r="D367" s="5">
        <f>IFERROR(VALUE(SUBSTITUTE(SUBSTITUTE(SUBSTITUTE(IFERROR(INDEX('1.산군_붙여넣기'!$A$1:$AZ$1001,ROW(),설정!$C$6)&amp;"",""),",",""),"㎡",""),"m2","")),"")</f>
        <v/>
      </c>
      <c r="E367">
        <f>IFERROR(INDEX('1.산군_붙여넣기'!$A$1:$AZ$1001,ROW(),설정!$C$7)&amp;"","")</f>
        <v/>
      </c>
      <c r="F367">
        <f>IFERROR(INDEX('1.산군_붙여넣기'!$A$1:$AZ$1001,ROW(),설정!$C$8)&amp;"","")</f>
        <v/>
      </c>
      <c r="G367">
        <f>IFERROR(INDEX('1.산군_붙여넣기'!$A$1:$AZ$1001,ROW(),설정!$C$9)&amp;"","")</f>
        <v/>
      </c>
      <c r="H367">
        <f>IFERROR(INDEX('1.산군_붙여넣기'!$A$1:$AZ$1001,ROW(),설정!$C$10)&amp;"","")</f>
        <v/>
      </c>
      <c r="I367">
        <f>IFERROR(INDEX('1.산군_붙여넣기'!$A$1:$AZ$1001,ROW(),설정!$C$11)&amp;"","")</f>
        <v/>
      </c>
      <c r="J367">
        <f>IFERROR(INDEX('1.산군_붙여넣기'!$A$1:$AZ$1001,ROW(),설정!$C$12)&amp;"","")</f>
        <v/>
      </c>
      <c r="K367">
        <f>IFERROR(INDEX('1.산군_붙여넣기'!$A$1:$AZ$1001,ROW(),설정!$C$13)&amp;"","")</f>
        <v/>
      </c>
      <c r="L367" s="6">
        <f>IF(X367="","",IF(AND(LEN(X367)=8,ISNUMBER(X367*1)),DATE(LEFT(X367,4),MID(X367,5,2),RIGHT(X367,2)),IFERROR(DATEVALUE(SUBSTITUTE(SUBSTITUTE(X367,".","-"),"/","-")),IFERROR(X367*1,""))))</f>
        <v/>
      </c>
      <c r="M367" s="6">
        <f>IF(Y367="","",IF(AND(LEN(Y367)=8,ISNUMBER(Y367*1)),DATE(LEFT(Y367,4),MID(Y367,5,2),RIGHT(Y367,2)),IFERROR(DATEVALUE(SUBSTITUTE(SUBSTITUTE(Y367,".","-"),"/","-")),IFERROR(Y367*1,""))))</f>
        <v/>
      </c>
      <c r="N367">
        <f>IFERROR(LEFT(B367,FIND(" ",B367)-1),B367)</f>
        <v/>
      </c>
      <c r="O367">
        <f>AND(B367&lt;&gt;"",B367&lt;&gt;설정!$B$4,C367&lt;&gt;설정!$B$5)</f>
        <v/>
      </c>
      <c r="P367">
        <f>IF(O367,B367&amp;"|"&amp;C367,"")</f>
        <v/>
      </c>
      <c r="Q367">
        <f>AND(O367,COUNTIF(P368:P$1002,P367)=0)</f>
        <v/>
      </c>
      <c r="R367">
        <f>OR(AND(설정!$A$28&lt;&gt;"",ISNUMBER(SEARCH(설정!$A$28,E367&amp;" "&amp;C367))),AND(설정!$A$29&lt;&gt;"",ISNUMBER(SEARCH(설정!$A$29,E367&amp;" "&amp;C367))),AND(설정!$A$30&lt;&gt;"",ISNUMBER(SEARCH(설정!$A$30,E367&amp;" "&amp;C367))),AND(설정!$A$31&lt;&gt;"",ISNUMBER(SEARCH(설정!$A$31,E367&amp;" "&amp;C367))),AND(설정!$A$32&lt;&gt;"",ISNUMBER(SEARCH(설정!$A$32,E367&amp;" "&amp;C367))),AND(설정!$A$33&lt;&gt;"",ISNUMBER(SEARCH(설정!$A$33,E367&amp;" "&amp;C367))),AND(설정!$A$34&lt;&gt;"",ISNUMBER(SEARCH(설정!$A$34,E367&amp;" "&amp;C367))),AND(설정!$A$35&lt;&gt;"",ISNUMBER(SEARCH(설정!$A$35,E367&amp;" "&amp;C367))),AND(설정!$A$36&lt;&gt;"",ISNUMBER(SEARCH(설정!$A$36,E367&amp;" "&amp;C367))),AND(설정!$A$37&lt;&gt;"",ISNUMBER(SEARCH(설정!$A$37,E367&amp;" "&amp;C367))))</f>
        <v/>
      </c>
      <c r="S367">
        <f>OR(D367="",D367&gt;=설정!$B$19)</f>
        <v/>
      </c>
      <c r="T367">
        <f>AND(Q367,R367,S367)</f>
        <v/>
      </c>
      <c r="U367">
        <f>IF(T367,IF(AND(설정!$A$41&lt;&gt;"",ISNUMBER(SEARCH(설정!$A$41,K367))),설정!$B$41,IF(AND(설정!$A$42&lt;&gt;"",ISNUMBER(SEARCH(설정!$A$42,K367))),설정!$B$42,IF(AND(설정!$A$43&lt;&gt;"",ISNUMBER(SEARCH(설정!$A$43,K367))),설정!$B$43,IF(AND(설정!$A$44&lt;&gt;"",ISNUMBER(SEARCH(설정!$A$44,K367))),설정!$B$44,IF(AND(설정!$A$45&lt;&gt;"",ISNUMBER(SEARCH(설정!$A$45,K367))),설정!$B$45,IF(AND(설정!$A$46&lt;&gt;"",ISNUMBER(SEARCH(설정!$A$46,K367))),설정!$B$46,IF(AND(설정!$A$47&lt;&gt;"",ISNUMBER(SEARCH(설정!$A$47,K367))),설정!$B$47,IF(AND(설정!$A$48&lt;&gt;"",ISNUMBER(SEARCH(설정!$A$48,K367))),설정!$B$48,IF(M367="","설계사","시공사"))))))))),"")</f>
        <v/>
      </c>
      <c r="V367">
        <f>SUBSTITUTE(SUBSTITUTE(SUBSTITUTE(SUBSTITUTE(G367,"(주)",""),"㈜",""),"주식회사","")," ","")</f>
        <v/>
      </c>
      <c r="W367">
        <f>IF(AND(T367,V367&lt;&gt;""),IF(COUNTIFS(V$2:V367,V367,T$2:T367,TRUE)=1,MAX(W$1:W366)+1,""),"")</f>
        <v/>
      </c>
      <c r="X367">
        <f>IFERROR(INDEX('1.산군_붙여넣기'!$A$1:$AZ$1001,ROW(),설정!$C$14)&amp;"","")</f>
        <v/>
      </c>
      <c r="Y367">
        <f>IFERROR(INDEX('1.산군_붙여넣기'!$A$1:$AZ$1001,ROW(),설정!$C$15)&amp;"","")</f>
        <v/>
      </c>
      <c r="Z367">
        <f>IF(T367,V367&amp;"|"&amp;U367,"")</f>
        <v/>
      </c>
    </row>
    <row r="368">
      <c r="A368">
        <f>ROW()</f>
        <v/>
      </c>
      <c r="B368">
        <f>IFERROR(INDEX('1.산군_붙여넣기'!$A$1:$AZ$1001,ROW(),설정!$C$4)&amp;"","")</f>
        <v/>
      </c>
      <c r="C368">
        <f>IFERROR(INDEX('1.산군_붙여넣기'!$A$1:$AZ$1001,ROW(),설정!$C$5)&amp;"","")</f>
        <v/>
      </c>
      <c r="D368" s="5">
        <f>IFERROR(VALUE(SUBSTITUTE(SUBSTITUTE(SUBSTITUTE(IFERROR(INDEX('1.산군_붙여넣기'!$A$1:$AZ$1001,ROW(),설정!$C$6)&amp;"",""),",",""),"㎡",""),"m2","")),"")</f>
        <v/>
      </c>
      <c r="E368">
        <f>IFERROR(INDEX('1.산군_붙여넣기'!$A$1:$AZ$1001,ROW(),설정!$C$7)&amp;"","")</f>
        <v/>
      </c>
      <c r="F368">
        <f>IFERROR(INDEX('1.산군_붙여넣기'!$A$1:$AZ$1001,ROW(),설정!$C$8)&amp;"","")</f>
        <v/>
      </c>
      <c r="G368">
        <f>IFERROR(INDEX('1.산군_붙여넣기'!$A$1:$AZ$1001,ROW(),설정!$C$9)&amp;"","")</f>
        <v/>
      </c>
      <c r="H368">
        <f>IFERROR(INDEX('1.산군_붙여넣기'!$A$1:$AZ$1001,ROW(),설정!$C$10)&amp;"","")</f>
        <v/>
      </c>
      <c r="I368">
        <f>IFERROR(INDEX('1.산군_붙여넣기'!$A$1:$AZ$1001,ROW(),설정!$C$11)&amp;"","")</f>
        <v/>
      </c>
      <c r="J368">
        <f>IFERROR(INDEX('1.산군_붙여넣기'!$A$1:$AZ$1001,ROW(),설정!$C$12)&amp;"","")</f>
        <v/>
      </c>
      <c r="K368">
        <f>IFERROR(INDEX('1.산군_붙여넣기'!$A$1:$AZ$1001,ROW(),설정!$C$13)&amp;"","")</f>
        <v/>
      </c>
      <c r="L368" s="6">
        <f>IF(X368="","",IF(AND(LEN(X368)=8,ISNUMBER(X368*1)),DATE(LEFT(X368,4),MID(X368,5,2),RIGHT(X368,2)),IFERROR(DATEVALUE(SUBSTITUTE(SUBSTITUTE(X368,".","-"),"/","-")),IFERROR(X368*1,""))))</f>
        <v/>
      </c>
      <c r="M368" s="6">
        <f>IF(Y368="","",IF(AND(LEN(Y368)=8,ISNUMBER(Y368*1)),DATE(LEFT(Y368,4),MID(Y368,5,2),RIGHT(Y368,2)),IFERROR(DATEVALUE(SUBSTITUTE(SUBSTITUTE(Y368,".","-"),"/","-")),IFERROR(Y368*1,""))))</f>
        <v/>
      </c>
      <c r="N368">
        <f>IFERROR(LEFT(B368,FIND(" ",B368)-1),B368)</f>
        <v/>
      </c>
      <c r="O368">
        <f>AND(B368&lt;&gt;"",B368&lt;&gt;설정!$B$4,C368&lt;&gt;설정!$B$5)</f>
        <v/>
      </c>
      <c r="P368">
        <f>IF(O368,B368&amp;"|"&amp;C368,"")</f>
        <v/>
      </c>
      <c r="Q368">
        <f>AND(O368,COUNTIF(P369:P$1002,P368)=0)</f>
        <v/>
      </c>
      <c r="R368">
        <f>OR(AND(설정!$A$28&lt;&gt;"",ISNUMBER(SEARCH(설정!$A$28,E368&amp;" "&amp;C368))),AND(설정!$A$29&lt;&gt;"",ISNUMBER(SEARCH(설정!$A$29,E368&amp;" "&amp;C368))),AND(설정!$A$30&lt;&gt;"",ISNUMBER(SEARCH(설정!$A$30,E368&amp;" "&amp;C368))),AND(설정!$A$31&lt;&gt;"",ISNUMBER(SEARCH(설정!$A$31,E368&amp;" "&amp;C368))),AND(설정!$A$32&lt;&gt;"",ISNUMBER(SEARCH(설정!$A$32,E368&amp;" "&amp;C368))),AND(설정!$A$33&lt;&gt;"",ISNUMBER(SEARCH(설정!$A$33,E368&amp;" "&amp;C368))),AND(설정!$A$34&lt;&gt;"",ISNUMBER(SEARCH(설정!$A$34,E368&amp;" "&amp;C368))),AND(설정!$A$35&lt;&gt;"",ISNUMBER(SEARCH(설정!$A$35,E368&amp;" "&amp;C368))),AND(설정!$A$36&lt;&gt;"",ISNUMBER(SEARCH(설정!$A$36,E368&amp;" "&amp;C368))),AND(설정!$A$37&lt;&gt;"",ISNUMBER(SEARCH(설정!$A$37,E368&amp;" "&amp;C368))))</f>
        <v/>
      </c>
      <c r="S368">
        <f>OR(D368="",D368&gt;=설정!$B$19)</f>
        <v/>
      </c>
      <c r="T368">
        <f>AND(Q368,R368,S368)</f>
        <v/>
      </c>
      <c r="U368">
        <f>IF(T368,IF(AND(설정!$A$41&lt;&gt;"",ISNUMBER(SEARCH(설정!$A$41,K368))),설정!$B$41,IF(AND(설정!$A$42&lt;&gt;"",ISNUMBER(SEARCH(설정!$A$42,K368))),설정!$B$42,IF(AND(설정!$A$43&lt;&gt;"",ISNUMBER(SEARCH(설정!$A$43,K368))),설정!$B$43,IF(AND(설정!$A$44&lt;&gt;"",ISNUMBER(SEARCH(설정!$A$44,K368))),설정!$B$44,IF(AND(설정!$A$45&lt;&gt;"",ISNUMBER(SEARCH(설정!$A$45,K368))),설정!$B$45,IF(AND(설정!$A$46&lt;&gt;"",ISNUMBER(SEARCH(설정!$A$46,K368))),설정!$B$46,IF(AND(설정!$A$47&lt;&gt;"",ISNUMBER(SEARCH(설정!$A$47,K368))),설정!$B$47,IF(AND(설정!$A$48&lt;&gt;"",ISNUMBER(SEARCH(설정!$A$48,K368))),설정!$B$48,IF(M368="","설계사","시공사"))))))))),"")</f>
        <v/>
      </c>
      <c r="V368">
        <f>SUBSTITUTE(SUBSTITUTE(SUBSTITUTE(SUBSTITUTE(G368,"(주)",""),"㈜",""),"주식회사","")," ","")</f>
        <v/>
      </c>
      <c r="W368">
        <f>IF(AND(T368,V368&lt;&gt;""),IF(COUNTIFS(V$2:V368,V368,T$2:T368,TRUE)=1,MAX(W$1:W367)+1,""),"")</f>
        <v/>
      </c>
      <c r="X368">
        <f>IFERROR(INDEX('1.산군_붙여넣기'!$A$1:$AZ$1001,ROW(),설정!$C$14)&amp;"","")</f>
        <v/>
      </c>
      <c r="Y368">
        <f>IFERROR(INDEX('1.산군_붙여넣기'!$A$1:$AZ$1001,ROW(),설정!$C$15)&amp;"","")</f>
        <v/>
      </c>
      <c r="Z368">
        <f>IF(T368,V368&amp;"|"&amp;U368,"")</f>
        <v/>
      </c>
    </row>
    <row r="369">
      <c r="A369">
        <f>ROW()</f>
        <v/>
      </c>
      <c r="B369">
        <f>IFERROR(INDEX('1.산군_붙여넣기'!$A$1:$AZ$1001,ROW(),설정!$C$4)&amp;"","")</f>
        <v/>
      </c>
      <c r="C369">
        <f>IFERROR(INDEX('1.산군_붙여넣기'!$A$1:$AZ$1001,ROW(),설정!$C$5)&amp;"","")</f>
        <v/>
      </c>
      <c r="D369" s="5">
        <f>IFERROR(VALUE(SUBSTITUTE(SUBSTITUTE(SUBSTITUTE(IFERROR(INDEX('1.산군_붙여넣기'!$A$1:$AZ$1001,ROW(),설정!$C$6)&amp;"",""),",",""),"㎡",""),"m2","")),"")</f>
        <v/>
      </c>
      <c r="E369">
        <f>IFERROR(INDEX('1.산군_붙여넣기'!$A$1:$AZ$1001,ROW(),설정!$C$7)&amp;"","")</f>
        <v/>
      </c>
      <c r="F369">
        <f>IFERROR(INDEX('1.산군_붙여넣기'!$A$1:$AZ$1001,ROW(),설정!$C$8)&amp;"","")</f>
        <v/>
      </c>
      <c r="G369">
        <f>IFERROR(INDEX('1.산군_붙여넣기'!$A$1:$AZ$1001,ROW(),설정!$C$9)&amp;"","")</f>
        <v/>
      </c>
      <c r="H369">
        <f>IFERROR(INDEX('1.산군_붙여넣기'!$A$1:$AZ$1001,ROW(),설정!$C$10)&amp;"","")</f>
        <v/>
      </c>
      <c r="I369">
        <f>IFERROR(INDEX('1.산군_붙여넣기'!$A$1:$AZ$1001,ROW(),설정!$C$11)&amp;"","")</f>
        <v/>
      </c>
      <c r="J369">
        <f>IFERROR(INDEX('1.산군_붙여넣기'!$A$1:$AZ$1001,ROW(),설정!$C$12)&amp;"","")</f>
        <v/>
      </c>
      <c r="K369">
        <f>IFERROR(INDEX('1.산군_붙여넣기'!$A$1:$AZ$1001,ROW(),설정!$C$13)&amp;"","")</f>
        <v/>
      </c>
      <c r="L369" s="6">
        <f>IF(X369="","",IF(AND(LEN(X369)=8,ISNUMBER(X369*1)),DATE(LEFT(X369,4),MID(X369,5,2),RIGHT(X369,2)),IFERROR(DATEVALUE(SUBSTITUTE(SUBSTITUTE(X369,".","-"),"/","-")),IFERROR(X369*1,""))))</f>
        <v/>
      </c>
      <c r="M369" s="6">
        <f>IF(Y369="","",IF(AND(LEN(Y369)=8,ISNUMBER(Y369*1)),DATE(LEFT(Y369,4),MID(Y369,5,2),RIGHT(Y369,2)),IFERROR(DATEVALUE(SUBSTITUTE(SUBSTITUTE(Y369,".","-"),"/","-")),IFERROR(Y369*1,""))))</f>
        <v/>
      </c>
      <c r="N369">
        <f>IFERROR(LEFT(B369,FIND(" ",B369)-1),B369)</f>
        <v/>
      </c>
      <c r="O369">
        <f>AND(B369&lt;&gt;"",B369&lt;&gt;설정!$B$4,C369&lt;&gt;설정!$B$5)</f>
        <v/>
      </c>
      <c r="P369">
        <f>IF(O369,B369&amp;"|"&amp;C369,"")</f>
        <v/>
      </c>
      <c r="Q369">
        <f>AND(O369,COUNTIF(P370:P$1002,P369)=0)</f>
        <v/>
      </c>
      <c r="R369">
        <f>OR(AND(설정!$A$28&lt;&gt;"",ISNUMBER(SEARCH(설정!$A$28,E369&amp;" "&amp;C369))),AND(설정!$A$29&lt;&gt;"",ISNUMBER(SEARCH(설정!$A$29,E369&amp;" "&amp;C369))),AND(설정!$A$30&lt;&gt;"",ISNUMBER(SEARCH(설정!$A$30,E369&amp;" "&amp;C369))),AND(설정!$A$31&lt;&gt;"",ISNUMBER(SEARCH(설정!$A$31,E369&amp;" "&amp;C369))),AND(설정!$A$32&lt;&gt;"",ISNUMBER(SEARCH(설정!$A$32,E369&amp;" "&amp;C369))),AND(설정!$A$33&lt;&gt;"",ISNUMBER(SEARCH(설정!$A$33,E369&amp;" "&amp;C369))),AND(설정!$A$34&lt;&gt;"",ISNUMBER(SEARCH(설정!$A$34,E369&amp;" "&amp;C369))),AND(설정!$A$35&lt;&gt;"",ISNUMBER(SEARCH(설정!$A$35,E369&amp;" "&amp;C369))),AND(설정!$A$36&lt;&gt;"",ISNUMBER(SEARCH(설정!$A$36,E369&amp;" "&amp;C369))),AND(설정!$A$37&lt;&gt;"",ISNUMBER(SEARCH(설정!$A$37,E369&amp;" "&amp;C369))))</f>
        <v/>
      </c>
      <c r="S369">
        <f>OR(D369="",D369&gt;=설정!$B$19)</f>
        <v/>
      </c>
      <c r="T369">
        <f>AND(Q369,R369,S369)</f>
        <v/>
      </c>
      <c r="U369">
        <f>IF(T369,IF(AND(설정!$A$41&lt;&gt;"",ISNUMBER(SEARCH(설정!$A$41,K369))),설정!$B$41,IF(AND(설정!$A$42&lt;&gt;"",ISNUMBER(SEARCH(설정!$A$42,K369))),설정!$B$42,IF(AND(설정!$A$43&lt;&gt;"",ISNUMBER(SEARCH(설정!$A$43,K369))),설정!$B$43,IF(AND(설정!$A$44&lt;&gt;"",ISNUMBER(SEARCH(설정!$A$44,K369))),설정!$B$44,IF(AND(설정!$A$45&lt;&gt;"",ISNUMBER(SEARCH(설정!$A$45,K369))),설정!$B$45,IF(AND(설정!$A$46&lt;&gt;"",ISNUMBER(SEARCH(설정!$A$46,K369))),설정!$B$46,IF(AND(설정!$A$47&lt;&gt;"",ISNUMBER(SEARCH(설정!$A$47,K369))),설정!$B$47,IF(AND(설정!$A$48&lt;&gt;"",ISNUMBER(SEARCH(설정!$A$48,K369))),설정!$B$48,IF(M369="","설계사","시공사"))))))))),"")</f>
        <v/>
      </c>
      <c r="V369">
        <f>SUBSTITUTE(SUBSTITUTE(SUBSTITUTE(SUBSTITUTE(G369,"(주)",""),"㈜",""),"주식회사","")," ","")</f>
        <v/>
      </c>
      <c r="W369">
        <f>IF(AND(T369,V369&lt;&gt;""),IF(COUNTIFS(V$2:V369,V369,T$2:T369,TRUE)=1,MAX(W$1:W368)+1,""),"")</f>
        <v/>
      </c>
      <c r="X369">
        <f>IFERROR(INDEX('1.산군_붙여넣기'!$A$1:$AZ$1001,ROW(),설정!$C$14)&amp;"","")</f>
        <v/>
      </c>
      <c r="Y369">
        <f>IFERROR(INDEX('1.산군_붙여넣기'!$A$1:$AZ$1001,ROW(),설정!$C$15)&amp;"","")</f>
        <v/>
      </c>
      <c r="Z369">
        <f>IF(T369,V369&amp;"|"&amp;U369,"")</f>
        <v/>
      </c>
    </row>
    <row r="370">
      <c r="A370">
        <f>ROW()</f>
        <v/>
      </c>
      <c r="B370">
        <f>IFERROR(INDEX('1.산군_붙여넣기'!$A$1:$AZ$1001,ROW(),설정!$C$4)&amp;"","")</f>
        <v/>
      </c>
      <c r="C370">
        <f>IFERROR(INDEX('1.산군_붙여넣기'!$A$1:$AZ$1001,ROW(),설정!$C$5)&amp;"","")</f>
        <v/>
      </c>
      <c r="D370" s="5">
        <f>IFERROR(VALUE(SUBSTITUTE(SUBSTITUTE(SUBSTITUTE(IFERROR(INDEX('1.산군_붙여넣기'!$A$1:$AZ$1001,ROW(),설정!$C$6)&amp;"",""),",",""),"㎡",""),"m2","")),"")</f>
        <v/>
      </c>
      <c r="E370">
        <f>IFERROR(INDEX('1.산군_붙여넣기'!$A$1:$AZ$1001,ROW(),설정!$C$7)&amp;"","")</f>
        <v/>
      </c>
      <c r="F370">
        <f>IFERROR(INDEX('1.산군_붙여넣기'!$A$1:$AZ$1001,ROW(),설정!$C$8)&amp;"","")</f>
        <v/>
      </c>
      <c r="G370">
        <f>IFERROR(INDEX('1.산군_붙여넣기'!$A$1:$AZ$1001,ROW(),설정!$C$9)&amp;"","")</f>
        <v/>
      </c>
      <c r="H370">
        <f>IFERROR(INDEX('1.산군_붙여넣기'!$A$1:$AZ$1001,ROW(),설정!$C$10)&amp;"","")</f>
        <v/>
      </c>
      <c r="I370">
        <f>IFERROR(INDEX('1.산군_붙여넣기'!$A$1:$AZ$1001,ROW(),설정!$C$11)&amp;"","")</f>
        <v/>
      </c>
      <c r="J370">
        <f>IFERROR(INDEX('1.산군_붙여넣기'!$A$1:$AZ$1001,ROW(),설정!$C$12)&amp;"","")</f>
        <v/>
      </c>
      <c r="K370">
        <f>IFERROR(INDEX('1.산군_붙여넣기'!$A$1:$AZ$1001,ROW(),설정!$C$13)&amp;"","")</f>
        <v/>
      </c>
      <c r="L370" s="6">
        <f>IF(X370="","",IF(AND(LEN(X370)=8,ISNUMBER(X370*1)),DATE(LEFT(X370,4),MID(X370,5,2),RIGHT(X370,2)),IFERROR(DATEVALUE(SUBSTITUTE(SUBSTITUTE(X370,".","-"),"/","-")),IFERROR(X370*1,""))))</f>
        <v/>
      </c>
      <c r="M370" s="6">
        <f>IF(Y370="","",IF(AND(LEN(Y370)=8,ISNUMBER(Y370*1)),DATE(LEFT(Y370,4),MID(Y370,5,2),RIGHT(Y370,2)),IFERROR(DATEVALUE(SUBSTITUTE(SUBSTITUTE(Y370,".","-"),"/","-")),IFERROR(Y370*1,""))))</f>
        <v/>
      </c>
      <c r="N370">
        <f>IFERROR(LEFT(B370,FIND(" ",B370)-1),B370)</f>
        <v/>
      </c>
      <c r="O370">
        <f>AND(B370&lt;&gt;"",B370&lt;&gt;설정!$B$4,C370&lt;&gt;설정!$B$5)</f>
        <v/>
      </c>
      <c r="P370">
        <f>IF(O370,B370&amp;"|"&amp;C370,"")</f>
        <v/>
      </c>
      <c r="Q370">
        <f>AND(O370,COUNTIF(P371:P$1002,P370)=0)</f>
        <v/>
      </c>
      <c r="R370">
        <f>OR(AND(설정!$A$28&lt;&gt;"",ISNUMBER(SEARCH(설정!$A$28,E370&amp;" "&amp;C370))),AND(설정!$A$29&lt;&gt;"",ISNUMBER(SEARCH(설정!$A$29,E370&amp;" "&amp;C370))),AND(설정!$A$30&lt;&gt;"",ISNUMBER(SEARCH(설정!$A$30,E370&amp;" "&amp;C370))),AND(설정!$A$31&lt;&gt;"",ISNUMBER(SEARCH(설정!$A$31,E370&amp;" "&amp;C370))),AND(설정!$A$32&lt;&gt;"",ISNUMBER(SEARCH(설정!$A$32,E370&amp;" "&amp;C370))),AND(설정!$A$33&lt;&gt;"",ISNUMBER(SEARCH(설정!$A$33,E370&amp;" "&amp;C370))),AND(설정!$A$34&lt;&gt;"",ISNUMBER(SEARCH(설정!$A$34,E370&amp;" "&amp;C370))),AND(설정!$A$35&lt;&gt;"",ISNUMBER(SEARCH(설정!$A$35,E370&amp;" "&amp;C370))),AND(설정!$A$36&lt;&gt;"",ISNUMBER(SEARCH(설정!$A$36,E370&amp;" "&amp;C370))),AND(설정!$A$37&lt;&gt;"",ISNUMBER(SEARCH(설정!$A$37,E370&amp;" "&amp;C370))))</f>
        <v/>
      </c>
      <c r="S370">
        <f>OR(D370="",D370&gt;=설정!$B$19)</f>
        <v/>
      </c>
      <c r="T370">
        <f>AND(Q370,R370,S370)</f>
        <v/>
      </c>
      <c r="U370">
        <f>IF(T370,IF(AND(설정!$A$41&lt;&gt;"",ISNUMBER(SEARCH(설정!$A$41,K370))),설정!$B$41,IF(AND(설정!$A$42&lt;&gt;"",ISNUMBER(SEARCH(설정!$A$42,K370))),설정!$B$42,IF(AND(설정!$A$43&lt;&gt;"",ISNUMBER(SEARCH(설정!$A$43,K370))),설정!$B$43,IF(AND(설정!$A$44&lt;&gt;"",ISNUMBER(SEARCH(설정!$A$44,K370))),설정!$B$44,IF(AND(설정!$A$45&lt;&gt;"",ISNUMBER(SEARCH(설정!$A$45,K370))),설정!$B$45,IF(AND(설정!$A$46&lt;&gt;"",ISNUMBER(SEARCH(설정!$A$46,K370))),설정!$B$46,IF(AND(설정!$A$47&lt;&gt;"",ISNUMBER(SEARCH(설정!$A$47,K370))),설정!$B$47,IF(AND(설정!$A$48&lt;&gt;"",ISNUMBER(SEARCH(설정!$A$48,K370))),설정!$B$48,IF(M370="","설계사","시공사"))))))))),"")</f>
        <v/>
      </c>
      <c r="V370">
        <f>SUBSTITUTE(SUBSTITUTE(SUBSTITUTE(SUBSTITUTE(G370,"(주)",""),"㈜",""),"주식회사","")," ","")</f>
        <v/>
      </c>
      <c r="W370">
        <f>IF(AND(T370,V370&lt;&gt;""),IF(COUNTIFS(V$2:V370,V370,T$2:T370,TRUE)=1,MAX(W$1:W369)+1,""),"")</f>
        <v/>
      </c>
      <c r="X370">
        <f>IFERROR(INDEX('1.산군_붙여넣기'!$A$1:$AZ$1001,ROW(),설정!$C$14)&amp;"","")</f>
        <v/>
      </c>
      <c r="Y370">
        <f>IFERROR(INDEX('1.산군_붙여넣기'!$A$1:$AZ$1001,ROW(),설정!$C$15)&amp;"","")</f>
        <v/>
      </c>
      <c r="Z370">
        <f>IF(T370,V370&amp;"|"&amp;U370,"")</f>
        <v/>
      </c>
    </row>
    <row r="371">
      <c r="A371">
        <f>ROW()</f>
        <v/>
      </c>
      <c r="B371">
        <f>IFERROR(INDEX('1.산군_붙여넣기'!$A$1:$AZ$1001,ROW(),설정!$C$4)&amp;"","")</f>
        <v/>
      </c>
      <c r="C371">
        <f>IFERROR(INDEX('1.산군_붙여넣기'!$A$1:$AZ$1001,ROW(),설정!$C$5)&amp;"","")</f>
        <v/>
      </c>
      <c r="D371" s="5">
        <f>IFERROR(VALUE(SUBSTITUTE(SUBSTITUTE(SUBSTITUTE(IFERROR(INDEX('1.산군_붙여넣기'!$A$1:$AZ$1001,ROW(),설정!$C$6)&amp;"",""),",",""),"㎡",""),"m2","")),"")</f>
        <v/>
      </c>
      <c r="E371">
        <f>IFERROR(INDEX('1.산군_붙여넣기'!$A$1:$AZ$1001,ROW(),설정!$C$7)&amp;"","")</f>
        <v/>
      </c>
      <c r="F371">
        <f>IFERROR(INDEX('1.산군_붙여넣기'!$A$1:$AZ$1001,ROW(),설정!$C$8)&amp;"","")</f>
        <v/>
      </c>
      <c r="G371">
        <f>IFERROR(INDEX('1.산군_붙여넣기'!$A$1:$AZ$1001,ROW(),설정!$C$9)&amp;"","")</f>
        <v/>
      </c>
      <c r="H371">
        <f>IFERROR(INDEX('1.산군_붙여넣기'!$A$1:$AZ$1001,ROW(),설정!$C$10)&amp;"","")</f>
        <v/>
      </c>
      <c r="I371">
        <f>IFERROR(INDEX('1.산군_붙여넣기'!$A$1:$AZ$1001,ROW(),설정!$C$11)&amp;"","")</f>
        <v/>
      </c>
      <c r="J371">
        <f>IFERROR(INDEX('1.산군_붙여넣기'!$A$1:$AZ$1001,ROW(),설정!$C$12)&amp;"","")</f>
        <v/>
      </c>
      <c r="K371">
        <f>IFERROR(INDEX('1.산군_붙여넣기'!$A$1:$AZ$1001,ROW(),설정!$C$13)&amp;"","")</f>
        <v/>
      </c>
      <c r="L371" s="6">
        <f>IF(X371="","",IF(AND(LEN(X371)=8,ISNUMBER(X371*1)),DATE(LEFT(X371,4),MID(X371,5,2),RIGHT(X371,2)),IFERROR(DATEVALUE(SUBSTITUTE(SUBSTITUTE(X371,".","-"),"/","-")),IFERROR(X371*1,""))))</f>
        <v/>
      </c>
      <c r="M371" s="6">
        <f>IF(Y371="","",IF(AND(LEN(Y371)=8,ISNUMBER(Y371*1)),DATE(LEFT(Y371,4),MID(Y371,5,2),RIGHT(Y371,2)),IFERROR(DATEVALUE(SUBSTITUTE(SUBSTITUTE(Y371,".","-"),"/","-")),IFERROR(Y371*1,""))))</f>
        <v/>
      </c>
      <c r="N371">
        <f>IFERROR(LEFT(B371,FIND(" ",B371)-1),B371)</f>
        <v/>
      </c>
      <c r="O371">
        <f>AND(B371&lt;&gt;"",B371&lt;&gt;설정!$B$4,C371&lt;&gt;설정!$B$5)</f>
        <v/>
      </c>
      <c r="P371">
        <f>IF(O371,B371&amp;"|"&amp;C371,"")</f>
        <v/>
      </c>
      <c r="Q371">
        <f>AND(O371,COUNTIF(P372:P$1002,P371)=0)</f>
        <v/>
      </c>
      <c r="R371">
        <f>OR(AND(설정!$A$28&lt;&gt;"",ISNUMBER(SEARCH(설정!$A$28,E371&amp;" "&amp;C371))),AND(설정!$A$29&lt;&gt;"",ISNUMBER(SEARCH(설정!$A$29,E371&amp;" "&amp;C371))),AND(설정!$A$30&lt;&gt;"",ISNUMBER(SEARCH(설정!$A$30,E371&amp;" "&amp;C371))),AND(설정!$A$31&lt;&gt;"",ISNUMBER(SEARCH(설정!$A$31,E371&amp;" "&amp;C371))),AND(설정!$A$32&lt;&gt;"",ISNUMBER(SEARCH(설정!$A$32,E371&amp;" "&amp;C371))),AND(설정!$A$33&lt;&gt;"",ISNUMBER(SEARCH(설정!$A$33,E371&amp;" "&amp;C371))),AND(설정!$A$34&lt;&gt;"",ISNUMBER(SEARCH(설정!$A$34,E371&amp;" "&amp;C371))),AND(설정!$A$35&lt;&gt;"",ISNUMBER(SEARCH(설정!$A$35,E371&amp;" "&amp;C371))),AND(설정!$A$36&lt;&gt;"",ISNUMBER(SEARCH(설정!$A$36,E371&amp;" "&amp;C371))),AND(설정!$A$37&lt;&gt;"",ISNUMBER(SEARCH(설정!$A$37,E371&amp;" "&amp;C371))))</f>
        <v/>
      </c>
      <c r="S371">
        <f>OR(D371="",D371&gt;=설정!$B$19)</f>
        <v/>
      </c>
      <c r="T371">
        <f>AND(Q371,R371,S371)</f>
        <v/>
      </c>
      <c r="U371">
        <f>IF(T371,IF(AND(설정!$A$41&lt;&gt;"",ISNUMBER(SEARCH(설정!$A$41,K371))),설정!$B$41,IF(AND(설정!$A$42&lt;&gt;"",ISNUMBER(SEARCH(설정!$A$42,K371))),설정!$B$42,IF(AND(설정!$A$43&lt;&gt;"",ISNUMBER(SEARCH(설정!$A$43,K371))),설정!$B$43,IF(AND(설정!$A$44&lt;&gt;"",ISNUMBER(SEARCH(설정!$A$44,K371))),설정!$B$44,IF(AND(설정!$A$45&lt;&gt;"",ISNUMBER(SEARCH(설정!$A$45,K371))),설정!$B$45,IF(AND(설정!$A$46&lt;&gt;"",ISNUMBER(SEARCH(설정!$A$46,K371))),설정!$B$46,IF(AND(설정!$A$47&lt;&gt;"",ISNUMBER(SEARCH(설정!$A$47,K371))),설정!$B$47,IF(AND(설정!$A$48&lt;&gt;"",ISNUMBER(SEARCH(설정!$A$48,K371))),설정!$B$48,IF(M371="","설계사","시공사"))))))))),"")</f>
        <v/>
      </c>
      <c r="V371">
        <f>SUBSTITUTE(SUBSTITUTE(SUBSTITUTE(SUBSTITUTE(G371,"(주)",""),"㈜",""),"주식회사","")," ","")</f>
        <v/>
      </c>
      <c r="W371">
        <f>IF(AND(T371,V371&lt;&gt;""),IF(COUNTIFS(V$2:V371,V371,T$2:T371,TRUE)=1,MAX(W$1:W370)+1,""),"")</f>
        <v/>
      </c>
      <c r="X371">
        <f>IFERROR(INDEX('1.산군_붙여넣기'!$A$1:$AZ$1001,ROW(),설정!$C$14)&amp;"","")</f>
        <v/>
      </c>
      <c r="Y371">
        <f>IFERROR(INDEX('1.산군_붙여넣기'!$A$1:$AZ$1001,ROW(),설정!$C$15)&amp;"","")</f>
        <v/>
      </c>
      <c r="Z371">
        <f>IF(T371,V371&amp;"|"&amp;U371,"")</f>
        <v/>
      </c>
    </row>
    <row r="372">
      <c r="A372">
        <f>ROW()</f>
        <v/>
      </c>
      <c r="B372">
        <f>IFERROR(INDEX('1.산군_붙여넣기'!$A$1:$AZ$1001,ROW(),설정!$C$4)&amp;"","")</f>
        <v/>
      </c>
      <c r="C372">
        <f>IFERROR(INDEX('1.산군_붙여넣기'!$A$1:$AZ$1001,ROW(),설정!$C$5)&amp;"","")</f>
        <v/>
      </c>
      <c r="D372" s="5">
        <f>IFERROR(VALUE(SUBSTITUTE(SUBSTITUTE(SUBSTITUTE(IFERROR(INDEX('1.산군_붙여넣기'!$A$1:$AZ$1001,ROW(),설정!$C$6)&amp;"",""),",",""),"㎡",""),"m2","")),"")</f>
        <v/>
      </c>
      <c r="E372">
        <f>IFERROR(INDEX('1.산군_붙여넣기'!$A$1:$AZ$1001,ROW(),설정!$C$7)&amp;"","")</f>
        <v/>
      </c>
      <c r="F372">
        <f>IFERROR(INDEX('1.산군_붙여넣기'!$A$1:$AZ$1001,ROW(),설정!$C$8)&amp;"","")</f>
        <v/>
      </c>
      <c r="G372">
        <f>IFERROR(INDEX('1.산군_붙여넣기'!$A$1:$AZ$1001,ROW(),설정!$C$9)&amp;"","")</f>
        <v/>
      </c>
      <c r="H372">
        <f>IFERROR(INDEX('1.산군_붙여넣기'!$A$1:$AZ$1001,ROW(),설정!$C$10)&amp;"","")</f>
        <v/>
      </c>
      <c r="I372">
        <f>IFERROR(INDEX('1.산군_붙여넣기'!$A$1:$AZ$1001,ROW(),설정!$C$11)&amp;"","")</f>
        <v/>
      </c>
      <c r="J372">
        <f>IFERROR(INDEX('1.산군_붙여넣기'!$A$1:$AZ$1001,ROW(),설정!$C$12)&amp;"","")</f>
        <v/>
      </c>
      <c r="K372">
        <f>IFERROR(INDEX('1.산군_붙여넣기'!$A$1:$AZ$1001,ROW(),설정!$C$13)&amp;"","")</f>
        <v/>
      </c>
      <c r="L372" s="6">
        <f>IF(X372="","",IF(AND(LEN(X372)=8,ISNUMBER(X372*1)),DATE(LEFT(X372,4),MID(X372,5,2),RIGHT(X372,2)),IFERROR(DATEVALUE(SUBSTITUTE(SUBSTITUTE(X372,".","-"),"/","-")),IFERROR(X372*1,""))))</f>
        <v/>
      </c>
      <c r="M372" s="6">
        <f>IF(Y372="","",IF(AND(LEN(Y372)=8,ISNUMBER(Y372*1)),DATE(LEFT(Y372,4),MID(Y372,5,2),RIGHT(Y372,2)),IFERROR(DATEVALUE(SUBSTITUTE(SUBSTITUTE(Y372,".","-"),"/","-")),IFERROR(Y372*1,""))))</f>
        <v/>
      </c>
      <c r="N372">
        <f>IFERROR(LEFT(B372,FIND(" ",B372)-1),B372)</f>
        <v/>
      </c>
      <c r="O372">
        <f>AND(B372&lt;&gt;"",B372&lt;&gt;설정!$B$4,C372&lt;&gt;설정!$B$5)</f>
        <v/>
      </c>
      <c r="P372">
        <f>IF(O372,B372&amp;"|"&amp;C372,"")</f>
        <v/>
      </c>
      <c r="Q372">
        <f>AND(O372,COUNTIF(P373:P$1002,P372)=0)</f>
        <v/>
      </c>
      <c r="R372">
        <f>OR(AND(설정!$A$28&lt;&gt;"",ISNUMBER(SEARCH(설정!$A$28,E372&amp;" "&amp;C372))),AND(설정!$A$29&lt;&gt;"",ISNUMBER(SEARCH(설정!$A$29,E372&amp;" "&amp;C372))),AND(설정!$A$30&lt;&gt;"",ISNUMBER(SEARCH(설정!$A$30,E372&amp;" "&amp;C372))),AND(설정!$A$31&lt;&gt;"",ISNUMBER(SEARCH(설정!$A$31,E372&amp;" "&amp;C372))),AND(설정!$A$32&lt;&gt;"",ISNUMBER(SEARCH(설정!$A$32,E372&amp;" "&amp;C372))),AND(설정!$A$33&lt;&gt;"",ISNUMBER(SEARCH(설정!$A$33,E372&amp;" "&amp;C372))),AND(설정!$A$34&lt;&gt;"",ISNUMBER(SEARCH(설정!$A$34,E372&amp;" "&amp;C372))),AND(설정!$A$35&lt;&gt;"",ISNUMBER(SEARCH(설정!$A$35,E372&amp;" "&amp;C372))),AND(설정!$A$36&lt;&gt;"",ISNUMBER(SEARCH(설정!$A$36,E372&amp;" "&amp;C372))),AND(설정!$A$37&lt;&gt;"",ISNUMBER(SEARCH(설정!$A$37,E372&amp;" "&amp;C372))))</f>
        <v/>
      </c>
      <c r="S372">
        <f>OR(D372="",D372&gt;=설정!$B$19)</f>
        <v/>
      </c>
      <c r="T372">
        <f>AND(Q372,R372,S372)</f>
        <v/>
      </c>
      <c r="U372">
        <f>IF(T372,IF(AND(설정!$A$41&lt;&gt;"",ISNUMBER(SEARCH(설정!$A$41,K372))),설정!$B$41,IF(AND(설정!$A$42&lt;&gt;"",ISNUMBER(SEARCH(설정!$A$42,K372))),설정!$B$42,IF(AND(설정!$A$43&lt;&gt;"",ISNUMBER(SEARCH(설정!$A$43,K372))),설정!$B$43,IF(AND(설정!$A$44&lt;&gt;"",ISNUMBER(SEARCH(설정!$A$44,K372))),설정!$B$44,IF(AND(설정!$A$45&lt;&gt;"",ISNUMBER(SEARCH(설정!$A$45,K372))),설정!$B$45,IF(AND(설정!$A$46&lt;&gt;"",ISNUMBER(SEARCH(설정!$A$46,K372))),설정!$B$46,IF(AND(설정!$A$47&lt;&gt;"",ISNUMBER(SEARCH(설정!$A$47,K372))),설정!$B$47,IF(AND(설정!$A$48&lt;&gt;"",ISNUMBER(SEARCH(설정!$A$48,K372))),설정!$B$48,IF(M372="","설계사","시공사"))))))))),"")</f>
        <v/>
      </c>
      <c r="V372">
        <f>SUBSTITUTE(SUBSTITUTE(SUBSTITUTE(SUBSTITUTE(G372,"(주)",""),"㈜",""),"주식회사","")," ","")</f>
        <v/>
      </c>
      <c r="W372">
        <f>IF(AND(T372,V372&lt;&gt;""),IF(COUNTIFS(V$2:V372,V372,T$2:T372,TRUE)=1,MAX(W$1:W371)+1,""),"")</f>
        <v/>
      </c>
      <c r="X372">
        <f>IFERROR(INDEX('1.산군_붙여넣기'!$A$1:$AZ$1001,ROW(),설정!$C$14)&amp;"","")</f>
        <v/>
      </c>
      <c r="Y372">
        <f>IFERROR(INDEX('1.산군_붙여넣기'!$A$1:$AZ$1001,ROW(),설정!$C$15)&amp;"","")</f>
        <v/>
      </c>
      <c r="Z372">
        <f>IF(T372,V372&amp;"|"&amp;U372,"")</f>
        <v/>
      </c>
    </row>
    <row r="373">
      <c r="A373">
        <f>ROW()</f>
        <v/>
      </c>
      <c r="B373">
        <f>IFERROR(INDEX('1.산군_붙여넣기'!$A$1:$AZ$1001,ROW(),설정!$C$4)&amp;"","")</f>
        <v/>
      </c>
      <c r="C373">
        <f>IFERROR(INDEX('1.산군_붙여넣기'!$A$1:$AZ$1001,ROW(),설정!$C$5)&amp;"","")</f>
        <v/>
      </c>
      <c r="D373" s="5">
        <f>IFERROR(VALUE(SUBSTITUTE(SUBSTITUTE(SUBSTITUTE(IFERROR(INDEX('1.산군_붙여넣기'!$A$1:$AZ$1001,ROW(),설정!$C$6)&amp;"",""),",",""),"㎡",""),"m2","")),"")</f>
        <v/>
      </c>
      <c r="E373">
        <f>IFERROR(INDEX('1.산군_붙여넣기'!$A$1:$AZ$1001,ROW(),설정!$C$7)&amp;"","")</f>
        <v/>
      </c>
      <c r="F373">
        <f>IFERROR(INDEX('1.산군_붙여넣기'!$A$1:$AZ$1001,ROW(),설정!$C$8)&amp;"","")</f>
        <v/>
      </c>
      <c r="G373">
        <f>IFERROR(INDEX('1.산군_붙여넣기'!$A$1:$AZ$1001,ROW(),설정!$C$9)&amp;"","")</f>
        <v/>
      </c>
      <c r="H373">
        <f>IFERROR(INDEX('1.산군_붙여넣기'!$A$1:$AZ$1001,ROW(),설정!$C$10)&amp;"","")</f>
        <v/>
      </c>
      <c r="I373">
        <f>IFERROR(INDEX('1.산군_붙여넣기'!$A$1:$AZ$1001,ROW(),설정!$C$11)&amp;"","")</f>
        <v/>
      </c>
      <c r="J373">
        <f>IFERROR(INDEX('1.산군_붙여넣기'!$A$1:$AZ$1001,ROW(),설정!$C$12)&amp;"","")</f>
        <v/>
      </c>
      <c r="K373">
        <f>IFERROR(INDEX('1.산군_붙여넣기'!$A$1:$AZ$1001,ROW(),설정!$C$13)&amp;"","")</f>
        <v/>
      </c>
      <c r="L373" s="6">
        <f>IF(X373="","",IF(AND(LEN(X373)=8,ISNUMBER(X373*1)),DATE(LEFT(X373,4),MID(X373,5,2),RIGHT(X373,2)),IFERROR(DATEVALUE(SUBSTITUTE(SUBSTITUTE(X373,".","-"),"/","-")),IFERROR(X373*1,""))))</f>
        <v/>
      </c>
      <c r="M373" s="6">
        <f>IF(Y373="","",IF(AND(LEN(Y373)=8,ISNUMBER(Y373*1)),DATE(LEFT(Y373,4),MID(Y373,5,2),RIGHT(Y373,2)),IFERROR(DATEVALUE(SUBSTITUTE(SUBSTITUTE(Y373,".","-"),"/","-")),IFERROR(Y373*1,""))))</f>
        <v/>
      </c>
      <c r="N373">
        <f>IFERROR(LEFT(B373,FIND(" ",B373)-1),B373)</f>
        <v/>
      </c>
      <c r="O373">
        <f>AND(B373&lt;&gt;"",B373&lt;&gt;설정!$B$4,C373&lt;&gt;설정!$B$5)</f>
        <v/>
      </c>
      <c r="P373">
        <f>IF(O373,B373&amp;"|"&amp;C373,"")</f>
        <v/>
      </c>
      <c r="Q373">
        <f>AND(O373,COUNTIF(P374:P$1002,P373)=0)</f>
        <v/>
      </c>
      <c r="R373">
        <f>OR(AND(설정!$A$28&lt;&gt;"",ISNUMBER(SEARCH(설정!$A$28,E373&amp;" "&amp;C373))),AND(설정!$A$29&lt;&gt;"",ISNUMBER(SEARCH(설정!$A$29,E373&amp;" "&amp;C373))),AND(설정!$A$30&lt;&gt;"",ISNUMBER(SEARCH(설정!$A$30,E373&amp;" "&amp;C373))),AND(설정!$A$31&lt;&gt;"",ISNUMBER(SEARCH(설정!$A$31,E373&amp;" "&amp;C373))),AND(설정!$A$32&lt;&gt;"",ISNUMBER(SEARCH(설정!$A$32,E373&amp;" "&amp;C373))),AND(설정!$A$33&lt;&gt;"",ISNUMBER(SEARCH(설정!$A$33,E373&amp;" "&amp;C373))),AND(설정!$A$34&lt;&gt;"",ISNUMBER(SEARCH(설정!$A$34,E373&amp;" "&amp;C373))),AND(설정!$A$35&lt;&gt;"",ISNUMBER(SEARCH(설정!$A$35,E373&amp;" "&amp;C373))),AND(설정!$A$36&lt;&gt;"",ISNUMBER(SEARCH(설정!$A$36,E373&amp;" "&amp;C373))),AND(설정!$A$37&lt;&gt;"",ISNUMBER(SEARCH(설정!$A$37,E373&amp;" "&amp;C373))))</f>
        <v/>
      </c>
      <c r="S373">
        <f>OR(D373="",D373&gt;=설정!$B$19)</f>
        <v/>
      </c>
      <c r="T373">
        <f>AND(Q373,R373,S373)</f>
        <v/>
      </c>
      <c r="U373">
        <f>IF(T373,IF(AND(설정!$A$41&lt;&gt;"",ISNUMBER(SEARCH(설정!$A$41,K373))),설정!$B$41,IF(AND(설정!$A$42&lt;&gt;"",ISNUMBER(SEARCH(설정!$A$42,K373))),설정!$B$42,IF(AND(설정!$A$43&lt;&gt;"",ISNUMBER(SEARCH(설정!$A$43,K373))),설정!$B$43,IF(AND(설정!$A$44&lt;&gt;"",ISNUMBER(SEARCH(설정!$A$44,K373))),설정!$B$44,IF(AND(설정!$A$45&lt;&gt;"",ISNUMBER(SEARCH(설정!$A$45,K373))),설정!$B$45,IF(AND(설정!$A$46&lt;&gt;"",ISNUMBER(SEARCH(설정!$A$46,K373))),설정!$B$46,IF(AND(설정!$A$47&lt;&gt;"",ISNUMBER(SEARCH(설정!$A$47,K373))),설정!$B$47,IF(AND(설정!$A$48&lt;&gt;"",ISNUMBER(SEARCH(설정!$A$48,K373))),설정!$B$48,IF(M373="","설계사","시공사"))))))))),"")</f>
        <v/>
      </c>
      <c r="V373">
        <f>SUBSTITUTE(SUBSTITUTE(SUBSTITUTE(SUBSTITUTE(G373,"(주)",""),"㈜",""),"주식회사","")," ","")</f>
        <v/>
      </c>
      <c r="W373">
        <f>IF(AND(T373,V373&lt;&gt;""),IF(COUNTIFS(V$2:V373,V373,T$2:T373,TRUE)=1,MAX(W$1:W372)+1,""),"")</f>
        <v/>
      </c>
      <c r="X373">
        <f>IFERROR(INDEX('1.산군_붙여넣기'!$A$1:$AZ$1001,ROW(),설정!$C$14)&amp;"","")</f>
        <v/>
      </c>
      <c r="Y373">
        <f>IFERROR(INDEX('1.산군_붙여넣기'!$A$1:$AZ$1001,ROW(),설정!$C$15)&amp;"","")</f>
        <v/>
      </c>
      <c r="Z373">
        <f>IF(T373,V373&amp;"|"&amp;U373,"")</f>
        <v/>
      </c>
    </row>
    <row r="374">
      <c r="A374">
        <f>ROW()</f>
        <v/>
      </c>
      <c r="B374">
        <f>IFERROR(INDEX('1.산군_붙여넣기'!$A$1:$AZ$1001,ROW(),설정!$C$4)&amp;"","")</f>
        <v/>
      </c>
      <c r="C374">
        <f>IFERROR(INDEX('1.산군_붙여넣기'!$A$1:$AZ$1001,ROW(),설정!$C$5)&amp;"","")</f>
        <v/>
      </c>
      <c r="D374" s="5">
        <f>IFERROR(VALUE(SUBSTITUTE(SUBSTITUTE(SUBSTITUTE(IFERROR(INDEX('1.산군_붙여넣기'!$A$1:$AZ$1001,ROW(),설정!$C$6)&amp;"",""),",",""),"㎡",""),"m2","")),"")</f>
        <v/>
      </c>
      <c r="E374">
        <f>IFERROR(INDEX('1.산군_붙여넣기'!$A$1:$AZ$1001,ROW(),설정!$C$7)&amp;"","")</f>
        <v/>
      </c>
      <c r="F374">
        <f>IFERROR(INDEX('1.산군_붙여넣기'!$A$1:$AZ$1001,ROW(),설정!$C$8)&amp;"","")</f>
        <v/>
      </c>
      <c r="G374">
        <f>IFERROR(INDEX('1.산군_붙여넣기'!$A$1:$AZ$1001,ROW(),설정!$C$9)&amp;"","")</f>
        <v/>
      </c>
      <c r="H374">
        <f>IFERROR(INDEX('1.산군_붙여넣기'!$A$1:$AZ$1001,ROW(),설정!$C$10)&amp;"","")</f>
        <v/>
      </c>
      <c r="I374">
        <f>IFERROR(INDEX('1.산군_붙여넣기'!$A$1:$AZ$1001,ROW(),설정!$C$11)&amp;"","")</f>
        <v/>
      </c>
      <c r="J374">
        <f>IFERROR(INDEX('1.산군_붙여넣기'!$A$1:$AZ$1001,ROW(),설정!$C$12)&amp;"","")</f>
        <v/>
      </c>
      <c r="K374">
        <f>IFERROR(INDEX('1.산군_붙여넣기'!$A$1:$AZ$1001,ROW(),설정!$C$13)&amp;"","")</f>
        <v/>
      </c>
      <c r="L374" s="6">
        <f>IF(X374="","",IF(AND(LEN(X374)=8,ISNUMBER(X374*1)),DATE(LEFT(X374,4),MID(X374,5,2),RIGHT(X374,2)),IFERROR(DATEVALUE(SUBSTITUTE(SUBSTITUTE(X374,".","-"),"/","-")),IFERROR(X374*1,""))))</f>
        <v/>
      </c>
      <c r="M374" s="6">
        <f>IF(Y374="","",IF(AND(LEN(Y374)=8,ISNUMBER(Y374*1)),DATE(LEFT(Y374,4),MID(Y374,5,2),RIGHT(Y374,2)),IFERROR(DATEVALUE(SUBSTITUTE(SUBSTITUTE(Y374,".","-"),"/","-")),IFERROR(Y374*1,""))))</f>
        <v/>
      </c>
      <c r="N374">
        <f>IFERROR(LEFT(B374,FIND(" ",B374)-1),B374)</f>
        <v/>
      </c>
      <c r="O374">
        <f>AND(B374&lt;&gt;"",B374&lt;&gt;설정!$B$4,C374&lt;&gt;설정!$B$5)</f>
        <v/>
      </c>
      <c r="P374">
        <f>IF(O374,B374&amp;"|"&amp;C374,"")</f>
        <v/>
      </c>
      <c r="Q374">
        <f>AND(O374,COUNTIF(P375:P$1002,P374)=0)</f>
        <v/>
      </c>
      <c r="R374">
        <f>OR(AND(설정!$A$28&lt;&gt;"",ISNUMBER(SEARCH(설정!$A$28,E374&amp;" "&amp;C374))),AND(설정!$A$29&lt;&gt;"",ISNUMBER(SEARCH(설정!$A$29,E374&amp;" "&amp;C374))),AND(설정!$A$30&lt;&gt;"",ISNUMBER(SEARCH(설정!$A$30,E374&amp;" "&amp;C374))),AND(설정!$A$31&lt;&gt;"",ISNUMBER(SEARCH(설정!$A$31,E374&amp;" "&amp;C374))),AND(설정!$A$32&lt;&gt;"",ISNUMBER(SEARCH(설정!$A$32,E374&amp;" "&amp;C374))),AND(설정!$A$33&lt;&gt;"",ISNUMBER(SEARCH(설정!$A$33,E374&amp;" "&amp;C374))),AND(설정!$A$34&lt;&gt;"",ISNUMBER(SEARCH(설정!$A$34,E374&amp;" "&amp;C374))),AND(설정!$A$35&lt;&gt;"",ISNUMBER(SEARCH(설정!$A$35,E374&amp;" "&amp;C374))),AND(설정!$A$36&lt;&gt;"",ISNUMBER(SEARCH(설정!$A$36,E374&amp;" "&amp;C374))),AND(설정!$A$37&lt;&gt;"",ISNUMBER(SEARCH(설정!$A$37,E374&amp;" "&amp;C374))))</f>
        <v/>
      </c>
      <c r="S374">
        <f>OR(D374="",D374&gt;=설정!$B$19)</f>
        <v/>
      </c>
      <c r="T374">
        <f>AND(Q374,R374,S374)</f>
        <v/>
      </c>
      <c r="U374">
        <f>IF(T374,IF(AND(설정!$A$41&lt;&gt;"",ISNUMBER(SEARCH(설정!$A$41,K374))),설정!$B$41,IF(AND(설정!$A$42&lt;&gt;"",ISNUMBER(SEARCH(설정!$A$42,K374))),설정!$B$42,IF(AND(설정!$A$43&lt;&gt;"",ISNUMBER(SEARCH(설정!$A$43,K374))),설정!$B$43,IF(AND(설정!$A$44&lt;&gt;"",ISNUMBER(SEARCH(설정!$A$44,K374))),설정!$B$44,IF(AND(설정!$A$45&lt;&gt;"",ISNUMBER(SEARCH(설정!$A$45,K374))),설정!$B$45,IF(AND(설정!$A$46&lt;&gt;"",ISNUMBER(SEARCH(설정!$A$46,K374))),설정!$B$46,IF(AND(설정!$A$47&lt;&gt;"",ISNUMBER(SEARCH(설정!$A$47,K374))),설정!$B$47,IF(AND(설정!$A$48&lt;&gt;"",ISNUMBER(SEARCH(설정!$A$48,K374))),설정!$B$48,IF(M374="","설계사","시공사"))))))))),"")</f>
        <v/>
      </c>
      <c r="V374">
        <f>SUBSTITUTE(SUBSTITUTE(SUBSTITUTE(SUBSTITUTE(G374,"(주)",""),"㈜",""),"주식회사","")," ","")</f>
        <v/>
      </c>
      <c r="W374">
        <f>IF(AND(T374,V374&lt;&gt;""),IF(COUNTIFS(V$2:V374,V374,T$2:T374,TRUE)=1,MAX(W$1:W373)+1,""),"")</f>
        <v/>
      </c>
      <c r="X374">
        <f>IFERROR(INDEX('1.산군_붙여넣기'!$A$1:$AZ$1001,ROW(),설정!$C$14)&amp;"","")</f>
        <v/>
      </c>
      <c r="Y374">
        <f>IFERROR(INDEX('1.산군_붙여넣기'!$A$1:$AZ$1001,ROW(),설정!$C$15)&amp;"","")</f>
        <v/>
      </c>
      <c r="Z374">
        <f>IF(T374,V374&amp;"|"&amp;U374,"")</f>
        <v/>
      </c>
    </row>
    <row r="375">
      <c r="A375">
        <f>ROW()</f>
        <v/>
      </c>
      <c r="B375">
        <f>IFERROR(INDEX('1.산군_붙여넣기'!$A$1:$AZ$1001,ROW(),설정!$C$4)&amp;"","")</f>
        <v/>
      </c>
      <c r="C375">
        <f>IFERROR(INDEX('1.산군_붙여넣기'!$A$1:$AZ$1001,ROW(),설정!$C$5)&amp;"","")</f>
        <v/>
      </c>
      <c r="D375" s="5">
        <f>IFERROR(VALUE(SUBSTITUTE(SUBSTITUTE(SUBSTITUTE(IFERROR(INDEX('1.산군_붙여넣기'!$A$1:$AZ$1001,ROW(),설정!$C$6)&amp;"",""),",",""),"㎡",""),"m2","")),"")</f>
        <v/>
      </c>
      <c r="E375">
        <f>IFERROR(INDEX('1.산군_붙여넣기'!$A$1:$AZ$1001,ROW(),설정!$C$7)&amp;"","")</f>
        <v/>
      </c>
      <c r="F375">
        <f>IFERROR(INDEX('1.산군_붙여넣기'!$A$1:$AZ$1001,ROW(),설정!$C$8)&amp;"","")</f>
        <v/>
      </c>
      <c r="G375">
        <f>IFERROR(INDEX('1.산군_붙여넣기'!$A$1:$AZ$1001,ROW(),설정!$C$9)&amp;"","")</f>
        <v/>
      </c>
      <c r="H375">
        <f>IFERROR(INDEX('1.산군_붙여넣기'!$A$1:$AZ$1001,ROW(),설정!$C$10)&amp;"","")</f>
        <v/>
      </c>
      <c r="I375">
        <f>IFERROR(INDEX('1.산군_붙여넣기'!$A$1:$AZ$1001,ROW(),설정!$C$11)&amp;"","")</f>
        <v/>
      </c>
      <c r="J375">
        <f>IFERROR(INDEX('1.산군_붙여넣기'!$A$1:$AZ$1001,ROW(),설정!$C$12)&amp;"","")</f>
        <v/>
      </c>
      <c r="K375">
        <f>IFERROR(INDEX('1.산군_붙여넣기'!$A$1:$AZ$1001,ROW(),설정!$C$13)&amp;"","")</f>
        <v/>
      </c>
      <c r="L375" s="6">
        <f>IF(X375="","",IF(AND(LEN(X375)=8,ISNUMBER(X375*1)),DATE(LEFT(X375,4),MID(X375,5,2),RIGHT(X375,2)),IFERROR(DATEVALUE(SUBSTITUTE(SUBSTITUTE(X375,".","-"),"/","-")),IFERROR(X375*1,""))))</f>
        <v/>
      </c>
      <c r="M375" s="6">
        <f>IF(Y375="","",IF(AND(LEN(Y375)=8,ISNUMBER(Y375*1)),DATE(LEFT(Y375,4),MID(Y375,5,2),RIGHT(Y375,2)),IFERROR(DATEVALUE(SUBSTITUTE(SUBSTITUTE(Y375,".","-"),"/","-")),IFERROR(Y375*1,""))))</f>
        <v/>
      </c>
      <c r="N375">
        <f>IFERROR(LEFT(B375,FIND(" ",B375)-1),B375)</f>
        <v/>
      </c>
      <c r="O375">
        <f>AND(B375&lt;&gt;"",B375&lt;&gt;설정!$B$4,C375&lt;&gt;설정!$B$5)</f>
        <v/>
      </c>
      <c r="P375">
        <f>IF(O375,B375&amp;"|"&amp;C375,"")</f>
        <v/>
      </c>
      <c r="Q375">
        <f>AND(O375,COUNTIF(P376:P$1002,P375)=0)</f>
        <v/>
      </c>
      <c r="R375">
        <f>OR(AND(설정!$A$28&lt;&gt;"",ISNUMBER(SEARCH(설정!$A$28,E375&amp;" "&amp;C375))),AND(설정!$A$29&lt;&gt;"",ISNUMBER(SEARCH(설정!$A$29,E375&amp;" "&amp;C375))),AND(설정!$A$30&lt;&gt;"",ISNUMBER(SEARCH(설정!$A$30,E375&amp;" "&amp;C375))),AND(설정!$A$31&lt;&gt;"",ISNUMBER(SEARCH(설정!$A$31,E375&amp;" "&amp;C375))),AND(설정!$A$32&lt;&gt;"",ISNUMBER(SEARCH(설정!$A$32,E375&amp;" "&amp;C375))),AND(설정!$A$33&lt;&gt;"",ISNUMBER(SEARCH(설정!$A$33,E375&amp;" "&amp;C375))),AND(설정!$A$34&lt;&gt;"",ISNUMBER(SEARCH(설정!$A$34,E375&amp;" "&amp;C375))),AND(설정!$A$35&lt;&gt;"",ISNUMBER(SEARCH(설정!$A$35,E375&amp;" "&amp;C375))),AND(설정!$A$36&lt;&gt;"",ISNUMBER(SEARCH(설정!$A$36,E375&amp;" "&amp;C375))),AND(설정!$A$37&lt;&gt;"",ISNUMBER(SEARCH(설정!$A$37,E375&amp;" "&amp;C375))))</f>
        <v/>
      </c>
      <c r="S375">
        <f>OR(D375="",D375&gt;=설정!$B$19)</f>
        <v/>
      </c>
      <c r="T375">
        <f>AND(Q375,R375,S375)</f>
        <v/>
      </c>
      <c r="U375">
        <f>IF(T375,IF(AND(설정!$A$41&lt;&gt;"",ISNUMBER(SEARCH(설정!$A$41,K375))),설정!$B$41,IF(AND(설정!$A$42&lt;&gt;"",ISNUMBER(SEARCH(설정!$A$42,K375))),설정!$B$42,IF(AND(설정!$A$43&lt;&gt;"",ISNUMBER(SEARCH(설정!$A$43,K375))),설정!$B$43,IF(AND(설정!$A$44&lt;&gt;"",ISNUMBER(SEARCH(설정!$A$44,K375))),설정!$B$44,IF(AND(설정!$A$45&lt;&gt;"",ISNUMBER(SEARCH(설정!$A$45,K375))),설정!$B$45,IF(AND(설정!$A$46&lt;&gt;"",ISNUMBER(SEARCH(설정!$A$46,K375))),설정!$B$46,IF(AND(설정!$A$47&lt;&gt;"",ISNUMBER(SEARCH(설정!$A$47,K375))),설정!$B$47,IF(AND(설정!$A$48&lt;&gt;"",ISNUMBER(SEARCH(설정!$A$48,K375))),설정!$B$48,IF(M375="","설계사","시공사"))))))))),"")</f>
        <v/>
      </c>
      <c r="V375">
        <f>SUBSTITUTE(SUBSTITUTE(SUBSTITUTE(SUBSTITUTE(G375,"(주)",""),"㈜",""),"주식회사","")," ","")</f>
        <v/>
      </c>
      <c r="W375">
        <f>IF(AND(T375,V375&lt;&gt;""),IF(COUNTIFS(V$2:V375,V375,T$2:T375,TRUE)=1,MAX(W$1:W374)+1,""),"")</f>
        <v/>
      </c>
      <c r="X375">
        <f>IFERROR(INDEX('1.산군_붙여넣기'!$A$1:$AZ$1001,ROW(),설정!$C$14)&amp;"","")</f>
        <v/>
      </c>
      <c r="Y375">
        <f>IFERROR(INDEX('1.산군_붙여넣기'!$A$1:$AZ$1001,ROW(),설정!$C$15)&amp;"","")</f>
        <v/>
      </c>
      <c r="Z375">
        <f>IF(T375,V375&amp;"|"&amp;U375,"")</f>
        <v/>
      </c>
    </row>
    <row r="376">
      <c r="A376">
        <f>ROW()</f>
        <v/>
      </c>
      <c r="B376">
        <f>IFERROR(INDEX('1.산군_붙여넣기'!$A$1:$AZ$1001,ROW(),설정!$C$4)&amp;"","")</f>
        <v/>
      </c>
      <c r="C376">
        <f>IFERROR(INDEX('1.산군_붙여넣기'!$A$1:$AZ$1001,ROW(),설정!$C$5)&amp;"","")</f>
        <v/>
      </c>
      <c r="D376" s="5">
        <f>IFERROR(VALUE(SUBSTITUTE(SUBSTITUTE(SUBSTITUTE(IFERROR(INDEX('1.산군_붙여넣기'!$A$1:$AZ$1001,ROW(),설정!$C$6)&amp;"",""),",",""),"㎡",""),"m2","")),"")</f>
        <v/>
      </c>
      <c r="E376">
        <f>IFERROR(INDEX('1.산군_붙여넣기'!$A$1:$AZ$1001,ROW(),설정!$C$7)&amp;"","")</f>
        <v/>
      </c>
      <c r="F376">
        <f>IFERROR(INDEX('1.산군_붙여넣기'!$A$1:$AZ$1001,ROW(),설정!$C$8)&amp;"","")</f>
        <v/>
      </c>
      <c r="G376">
        <f>IFERROR(INDEX('1.산군_붙여넣기'!$A$1:$AZ$1001,ROW(),설정!$C$9)&amp;"","")</f>
        <v/>
      </c>
      <c r="H376">
        <f>IFERROR(INDEX('1.산군_붙여넣기'!$A$1:$AZ$1001,ROW(),설정!$C$10)&amp;"","")</f>
        <v/>
      </c>
      <c r="I376">
        <f>IFERROR(INDEX('1.산군_붙여넣기'!$A$1:$AZ$1001,ROW(),설정!$C$11)&amp;"","")</f>
        <v/>
      </c>
      <c r="J376">
        <f>IFERROR(INDEX('1.산군_붙여넣기'!$A$1:$AZ$1001,ROW(),설정!$C$12)&amp;"","")</f>
        <v/>
      </c>
      <c r="K376">
        <f>IFERROR(INDEX('1.산군_붙여넣기'!$A$1:$AZ$1001,ROW(),설정!$C$13)&amp;"","")</f>
        <v/>
      </c>
      <c r="L376" s="6">
        <f>IF(X376="","",IF(AND(LEN(X376)=8,ISNUMBER(X376*1)),DATE(LEFT(X376,4),MID(X376,5,2),RIGHT(X376,2)),IFERROR(DATEVALUE(SUBSTITUTE(SUBSTITUTE(X376,".","-"),"/","-")),IFERROR(X376*1,""))))</f>
        <v/>
      </c>
      <c r="M376" s="6">
        <f>IF(Y376="","",IF(AND(LEN(Y376)=8,ISNUMBER(Y376*1)),DATE(LEFT(Y376,4),MID(Y376,5,2),RIGHT(Y376,2)),IFERROR(DATEVALUE(SUBSTITUTE(SUBSTITUTE(Y376,".","-"),"/","-")),IFERROR(Y376*1,""))))</f>
        <v/>
      </c>
      <c r="N376">
        <f>IFERROR(LEFT(B376,FIND(" ",B376)-1),B376)</f>
        <v/>
      </c>
      <c r="O376">
        <f>AND(B376&lt;&gt;"",B376&lt;&gt;설정!$B$4,C376&lt;&gt;설정!$B$5)</f>
        <v/>
      </c>
      <c r="P376">
        <f>IF(O376,B376&amp;"|"&amp;C376,"")</f>
        <v/>
      </c>
      <c r="Q376">
        <f>AND(O376,COUNTIF(P377:P$1002,P376)=0)</f>
        <v/>
      </c>
      <c r="R376">
        <f>OR(AND(설정!$A$28&lt;&gt;"",ISNUMBER(SEARCH(설정!$A$28,E376&amp;" "&amp;C376))),AND(설정!$A$29&lt;&gt;"",ISNUMBER(SEARCH(설정!$A$29,E376&amp;" "&amp;C376))),AND(설정!$A$30&lt;&gt;"",ISNUMBER(SEARCH(설정!$A$30,E376&amp;" "&amp;C376))),AND(설정!$A$31&lt;&gt;"",ISNUMBER(SEARCH(설정!$A$31,E376&amp;" "&amp;C376))),AND(설정!$A$32&lt;&gt;"",ISNUMBER(SEARCH(설정!$A$32,E376&amp;" "&amp;C376))),AND(설정!$A$33&lt;&gt;"",ISNUMBER(SEARCH(설정!$A$33,E376&amp;" "&amp;C376))),AND(설정!$A$34&lt;&gt;"",ISNUMBER(SEARCH(설정!$A$34,E376&amp;" "&amp;C376))),AND(설정!$A$35&lt;&gt;"",ISNUMBER(SEARCH(설정!$A$35,E376&amp;" "&amp;C376))),AND(설정!$A$36&lt;&gt;"",ISNUMBER(SEARCH(설정!$A$36,E376&amp;" "&amp;C376))),AND(설정!$A$37&lt;&gt;"",ISNUMBER(SEARCH(설정!$A$37,E376&amp;" "&amp;C376))))</f>
        <v/>
      </c>
      <c r="S376">
        <f>OR(D376="",D376&gt;=설정!$B$19)</f>
        <v/>
      </c>
      <c r="T376">
        <f>AND(Q376,R376,S376)</f>
        <v/>
      </c>
      <c r="U376">
        <f>IF(T376,IF(AND(설정!$A$41&lt;&gt;"",ISNUMBER(SEARCH(설정!$A$41,K376))),설정!$B$41,IF(AND(설정!$A$42&lt;&gt;"",ISNUMBER(SEARCH(설정!$A$42,K376))),설정!$B$42,IF(AND(설정!$A$43&lt;&gt;"",ISNUMBER(SEARCH(설정!$A$43,K376))),설정!$B$43,IF(AND(설정!$A$44&lt;&gt;"",ISNUMBER(SEARCH(설정!$A$44,K376))),설정!$B$44,IF(AND(설정!$A$45&lt;&gt;"",ISNUMBER(SEARCH(설정!$A$45,K376))),설정!$B$45,IF(AND(설정!$A$46&lt;&gt;"",ISNUMBER(SEARCH(설정!$A$46,K376))),설정!$B$46,IF(AND(설정!$A$47&lt;&gt;"",ISNUMBER(SEARCH(설정!$A$47,K376))),설정!$B$47,IF(AND(설정!$A$48&lt;&gt;"",ISNUMBER(SEARCH(설정!$A$48,K376))),설정!$B$48,IF(M376="","설계사","시공사"))))))))),"")</f>
        <v/>
      </c>
      <c r="V376">
        <f>SUBSTITUTE(SUBSTITUTE(SUBSTITUTE(SUBSTITUTE(G376,"(주)",""),"㈜",""),"주식회사","")," ","")</f>
        <v/>
      </c>
      <c r="W376">
        <f>IF(AND(T376,V376&lt;&gt;""),IF(COUNTIFS(V$2:V376,V376,T$2:T376,TRUE)=1,MAX(W$1:W375)+1,""),"")</f>
        <v/>
      </c>
      <c r="X376">
        <f>IFERROR(INDEX('1.산군_붙여넣기'!$A$1:$AZ$1001,ROW(),설정!$C$14)&amp;"","")</f>
        <v/>
      </c>
      <c r="Y376">
        <f>IFERROR(INDEX('1.산군_붙여넣기'!$A$1:$AZ$1001,ROW(),설정!$C$15)&amp;"","")</f>
        <v/>
      </c>
      <c r="Z376">
        <f>IF(T376,V376&amp;"|"&amp;U376,"")</f>
        <v/>
      </c>
    </row>
    <row r="377">
      <c r="A377">
        <f>ROW()</f>
        <v/>
      </c>
      <c r="B377">
        <f>IFERROR(INDEX('1.산군_붙여넣기'!$A$1:$AZ$1001,ROW(),설정!$C$4)&amp;"","")</f>
        <v/>
      </c>
      <c r="C377">
        <f>IFERROR(INDEX('1.산군_붙여넣기'!$A$1:$AZ$1001,ROW(),설정!$C$5)&amp;"","")</f>
        <v/>
      </c>
      <c r="D377" s="5">
        <f>IFERROR(VALUE(SUBSTITUTE(SUBSTITUTE(SUBSTITUTE(IFERROR(INDEX('1.산군_붙여넣기'!$A$1:$AZ$1001,ROW(),설정!$C$6)&amp;"",""),",",""),"㎡",""),"m2","")),"")</f>
        <v/>
      </c>
      <c r="E377">
        <f>IFERROR(INDEX('1.산군_붙여넣기'!$A$1:$AZ$1001,ROW(),설정!$C$7)&amp;"","")</f>
        <v/>
      </c>
      <c r="F377">
        <f>IFERROR(INDEX('1.산군_붙여넣기'!$A$1:$AZ$1001,ROW(),설정!$C$8)&amp;"","")</f>
        <v/>
      </c>
      <c r="G377">
        <f>IFERROR(INDEX('1.산군_붙여넣기'!$A$1:$AZ$1001,ROW(),설정!$C$9)&amp;"","")</f>
        <v/>
      </c>
      <c r="H377">
        <f>IFERROR(INDEX('1.산군_붙여넣기'!$A$1:$AZ$1001,ROW(),설정!$C$10)&amp;"","")</f>
        <v/>
      </c>
      <c r="I377">
        <f>IFERROR(INDEX('1.산군_붙여넣기'!$A$1:$AZ$1001,ROW(),설정!$C$11)&amp;"","")</f>
        <v/>
      </c>
      <c r="J377">
        <f>IFERROR(INDEX('1.산군_붙여넣기'!$A$1:$AZ$1001,ROW(),설정!$C$12)&amp;"","")</f>
        <v/>
      </c>
      <c r="K377">
        <f>IFERROR(INDEX('1.산군_붙여넣기'!$A$1:$AZ$1001,ROW(),설정!$C$13)&amp;"","")</f>
        <v/>
      </c>
      <c r="L377" s="6">
        <f>IF(X377="","",IF(AND(LEN(X377)=8,ISNUMBER(X377*1)),DATE(LEFT(X377,4),MID(X377,5,2),RIGHT(X377,2)),IFERROR(DATEVALUE(SUBSTITUTE(SUBSTITUTE(X377,".","-"),"/","-")),IFERROR(X377*1,""))))</f>
        <v/>
      </c>
      <c r="M377" s="6">
        <f>IF(Y377="","",IF(AND(LEN(Y377)=8,ISNUMBER(Y377*1)),DATE(LEFT(Y377,4),MID(Y377,5,2),RIGHT(Y377,2)),IFERROR(DATEVALUE(SUBSTITUTE(SUBSTITUTE(Y377,".","-"),"/","-")),IFERROR(Y377*1,""))))</f>
        <v/>
      </c>
      <c r="N377">
        <f>IFERROR(LEFT(B377,FIND(" ",B377)-1),B377)</f>
        <v/>
      </c>
      <c r="O377">
        <f>AND(B377&lt;&gt;"",B377&lt;&gt;설정!$B$4,C377&lt;&gt;설정!$B$5)</f>
        <v/>
      </c>
      <c r="P377">
        <f>IF(O377,B377&amp;"|"&amp;C377,"")</f>
        <v/>
      </c>
      <c r="Q377">
        <f>AND(O377,COUNTIF(P378:P$1002,P377)=0)</f>
        <v/>
      </c>
      <c r="R377">
        <f>OR(AND(설정!$A$28&lt;&gt;"",ISNUMBER(SEARCH(설정!$A$28,E377&amp;" "&amp;C377))),AND(설정!$A$29&lt;&gt;"",ISNUMBER(SEARCH(설정!$A$29,E377&amp;" "&amp;C377))),AND(설정!$A$30&lt;&gt;"",ISNUMBER(SEARCH(설정!$A$30,E377&amp;" "&amp;C377))),AND(설정!$A$31&lt;&gt;"",ISNUMBER(SEARCH(설정!$A$31,E377&amp;" "&amp;C377))),AND(설정!$A$32&lt;&gt;"",ISNUMBER(SEARCH(설정!$A$32,E377&amp;" "&amp;C377))),AND(설정!$A$33&lt;&gt;"",ISNUMBER(SEARCH(설정!$A$33,E377&amp;" "&amp;C377))),AND(설정!$A$34&lt;&gt;"",ISNUMBER(SEARCH(설정!$A$34,E377&amp;" "&amp;C377))),AND(설정!$A$35&lt;&gt;"",ISNUMBER(SEARCH(설정!$A$35,E377&amp;" "&amp;C377))),AND(설정!$A$36&lt;&gt;"",ISNUMBER(SEARCH(설정!$A$36,E377&amp;" "&amp;C377))),AND(설정!$A$37&lt;&gt;"",ISNUMBER(SEARCH(설정!$A$37,E377&amp;" "&amp;C377))))</f>
        <v/>
      </c>
      <c r="S377">
        <f>OR(D377="",D377&gt;=설정!$B$19)</f>
        <v/>
      </c>
      <c r="T377">
        <f>AND(Q377,R377,S377)</f>
        <v/>
      </c>
      <c r="U377">
        <f>IF(T377,IF(AND(설정!$A$41&lt;&gt;"",ISNUMBER(SEARCH(설정!$A$41,K377))),설정!$B$41,IF(AND(설정!$A$42&lt;&gt;"",ISNUMBER(SEARCH(설정!$A$42,K377))),설정!$B$42,IF(AND(설정!$A$43&lt;&gt;"",ISNUMBER(SEARCH(설정!$A$43,K377))),설정!$B$43,IF(AND(설정!$A$44&lt;&gt;"",ISNUMBER(SEARCH(설정!$A$44,K377))),설정!$B$44,IF(AND(설정!$A$45&lt;&gt;"",ISNUMBER(SEARCH(설정!$A$45,K377))),설정!$B$45,IF(AND(설정!$A$46&lt;&gt;"",ISNUMBER(SEARCH(설정!$A$46,K377))),설정!$B$46,IF(AND(설정!$A$47&lt;&gt;"",ISNUMBER(SEARCH(설정!$A$47,K377))),설정!$B$47,IF(AND(설정!$A$48&lt;&gt;"",ISNUMBER(SEARCH(설정!$A$48,K377))),설정!$B$48,IF(M377="","설계사","시공사"))))))))),"")</f>
        <v/>
      </c>
      <c r="V377">
        <f>SUBSTITUTE(SUBSTITUTE(SUBSTITUTE(SUBSTITUTE(G377,"(주)",""),"㈜",""),"주식회사","")," ","")</f>
        <v/>
      </c>
      <c r="W377">
        <f>IF(AND(T377,V377&lt;&gt;""),IF(COUNTIFS(V$2:V377,V377,T$2:T377,TRUE)=1,MAX(W$1:W376)+1,""),"")</f>
        <v/>
      </c>
      <c r="X377">
        <f>IFERROR(INDEX('1.산군_붙여넣기'!$A$1:$AZ$1001,ROW(),설정!$C$14)&amp;"","")</f>
        <v/>
      </c>
      <c r="Y377">
        <f>IFERROR(INDEX('1.산군_붙여넣기'!$A$1:$AZ$1001,ROW(),설정!$C$15)&amp;"","")</f>
        <v/>
      </c>
      <c r="Z377">
        <f>IF(T377,V377&amp;"|"&amp;U377,"")</f>
        <v/>
      </c>
    </row>
    <row r="378">
      <c r="A378">
        <f>ROW()</f>
        <v/>
      </c>
      <c r="B378">
        <f>IFERROR(INDEX('1.산군_붙여넣기'!$A$1:$AZ$1001,ROW(),설정!$C$4)&amp;"","")</f>
        <v/>
      </c>
      <c r="C378">
        <f>IFERROR(INDEX('1.산군_붙여넣기'!$A$1:$AZ$1001,ROW(),설정!$C$5)&amp;"","")</f>
        <v/>
      </c>
      <c r="D378" s="5">
        <f>IFERROR(VALUE(SUBSTITUTE(SUBSTITUTE(SUBSTITUTE(IFERROR(INDEX('1.산군_붙여넣기'!$A$1:$AZ$1001,ROW(),설정!$C$6)&amp;"",""),",",""),"㎡",""),"m2","")),"")</f>
        <v/>
      </c>
      <c r="E378">
        <f>IFERROR(INDEX('1.산군_붙여넣기'!$A$1:$AZ$1001,ROW(),설정!$C$7)&amp;"","")</f>
        <v/>
      </c>
      <c r="F378">
        <f>IFERROR(INDEX('1.산군_붙여넣기'!$A$1:$AZ$1001,ROW(),설정!$C$8)&amp;"","")</f>
        <v/>
      </c>
      <c r="G378">
        <f>IFERROR(INDEX('1.산군_붙여넣기'!$A$1:$AZ$1001,ROW(),설정!$C$9)&amp;"","")</f>
        <v/>
      </c>
      <c r="H378">
        <f>IFERROR(INDEX('1.산군_붙여넣기'!$A$1:$AZ$1001,ROW(),설정!$C$10)&amp;"","")</f>
        <v/>
      </c>
      <c r="I378">
        <f>IFERROR(INDEX('1.산군_붙여넣기'!$A$1:$AZ$1001,ROW(),설정!$C$11)&amp;"","")</f>
        <v/>
      </c>
      <c r="J378">
        <f>IFERROR(INDEX('1.산군_붙여넣기'!$A$1:$AZ$1001,ROW(),설정!$C$12)&amp;"","")</f>
        <v/>
      </c>
      <c r="K378">
        <f>IFERROR(INDEX('1.산군_붙여넣기'!$A$1:$AZ$1001,ROW(),설정!$C$13)&amp;"","")</f>
        <v/>
      </c>
      <c r="L378" s="6">
        <f>IF(X378="","",IF(AND(LEN(X378)=8,ISNUMBER(X378*1)),DATE(LEFT(X378,4),MID(X378,5,2),RIGHT(X378,2)),IFERROR(DATEVALUE(SUBSTITUTE(SUBSTITUTE(X378,".","-"),"/","-")),IFERROR(X378*1,""))))</f>
        <v/>
      </c>
      <c r="M378" s="6">
        <f>IF(Y378="","",IF(AND(LEN(Y378)=8,ISNUMBER(Y378*1)),DATE(LEFT(Y378,4),MID(Y378,5,2),RIGHT(Y378,2)),IFERROR(DATEVALUE(SUBSTITUTE(SUBSTITUTE(Y378,".","-"),"/","-")),IFERROR(Y378*1,""))))</f>
        <v/>
      </c>
      <c r="N378">
        <f>IFERROR(LEFT(B378,FIND(" ",B378)-1),B378)</f>
        <v/>
      </c>
      <c r="O378">
        <f>AND(B378&lt;&gt;"",B378&lt;&gt;설정!$B$4,C378&lt;&gt;설정!$B$5)</f>
        <v/>
      </c>
      <c r="P378">
        <f>IF(O378,B378&amp;"|"&amp;C378,"")</f>
        <v/>
      </c>
      <c r="Q378">
        <f>AND(O378,COUNTIF(P379:P$1002,P378)=0)</f>
        <v/>
      </c>
      <c r="R378">
        <f>OR(AND(설정!$A$28&lt;&gt;"",ISNUMBER(SEARCH(설정!$A$28,E378&amp;" "&amp;C378))),AND(설정!$A$29&lt;&gt;"",ISNUMBER(SEARCH(설정!$A$29,E378&amp;" "&amp;C378))),AND(설정!$A$30&lt;&gt;"",ISNUMBER(SEARCH(설정!$A$30,E378&amp;" "&amp;C378))),AND(설정!$A$31&lt;&gt;"",ISNUMBER(SEARCH(설정!$A$31,E378&amp;" "&amp;C378))),AND(설정!$A$32&lt;&gt;"",ISNUMBER(SEARCH(설정!$A$32,E378&amp;" "&amp;C378))),AND(설정!$A$33&lt;&gt;"",ISNUMBER(SEARCH(설정!$A$33,E378&amp;" "&amp;C378))),AND(설정!$A$34&lt;&gt;"",ISNUMBER(SEARCH(설정!$A$34,E378&amp;" "&amp;C378))),AND(설정!$A$35&lt;&gt;"",ISNUMBER(SEARCH(설정!$A$35,E378&amp;" "&amp;C378))),AND(설정!$A$36&lt;&gt;"",ISNUMBER(SEARCH(설정!$A$36,E378&amp;" "&amp;C378))),AND(설정!$A$37&lt;&gt;"",ISNUMBER(SEARCH(설정!$A$37,E378&amp;" "&amp;C378))))</f>
        <v/>
      </c>
      <c r="S378">
        <f>OR(D378="",D378&gt;=설정!$B$19)</f>
        <v/>
      </c>
      <c r="T378">
        <f>AND(Q378,R378,S378)</f>
        <v/>
      </c>
      <c r="U378">
        <f>IF(T378,IF(AND(설정!$A$41&lt;&gt;"",ISNUMBER(SEARCH(설정!$A$41,K378))),설정!$B$41,IF(AND(설정!$A$42&lt;&gt;"",ISNUMBER(SEARCH(설정!$A$42,K378))),설정!$B$42,IF(AND(설정!$A$43&lt;&gt;"",ISNUMBER(SEARCH(설정!$A$43,K378))),설정!$B$43,IF(AND(설정!$A$44&lt;&gt;"",ISNUMBER(SEARCH(설정!$A$44,K378))),설정!$B$44,IF(AND(설정!$A$45&lt;&gt;"",ISNUMBER(SEARCH(설정!$A$45,K378))),설정!$B$45,IF(AND(설정!$A$46&lt;&gt;"",ISNUMBER(SEARCH(설정!$A$46,K378))),설정!$B$46,IF(AND(설정!$A$47&lt;&gt;"",ISNUMBER(SEARCH(설정!$A$47,K378))),설정!$B$47,IF(AND(설정!$A$48&lt;&gt;"",ISNUMBER(SEARCH(설정!$A$48,K378))),설정!$B$48,IF(M378="","설계사","시공사"))))))))),"")</f>
        <v/>
      </c>
      <c r="V378">
        <f>SUBSTITUTE(SUBSTITUTE(SUBSTITUTE(SUBSTITUTE(G378,"(주)",""),"㈜",""),"주식회사","")," ","")</f>
        <v/>
      </c>
      <c r="W378">
        <f>IF(AND(T378,V378&lt;&gt;""),IF(COUNTIFS(V$2:V378,V378,T$2:T378,TRUE)=1,MAX(W$1:W377)+1,""),"")</f>
        <v/>
      </c>
      <c r="X378">
        <f>IFERROR(INDEX('1.산군_붙여넣기'!$A$1:$AZ$1001,ROW(),설정!$C$14)&amp;"","")</f>
        <v/>
      </c>
      <c r="Y378">
        <f>IFERROR(INDEX('1.산군_붙여넣기'!$A$1:$AZ$1001,ROW(),설정!$C$15)&amp;"","")</f>
        <v/>
      </c>
      <c r="Z378">
        <f>IF(T378,V378&amp;"|"&amp;U378,"")</f>
        <v/>
      </c>
    </row>
    <row r="379">
      <c r="A379">
        <f>ROW()</f>
        <v/>
      </c>
      <c r="B379">
        <f>IFERROR(INDEX('1.산군_붙여넣기'!$A$1:$AZ$1001,ROW(),설정!$C$4)&amp;"","")</f>
        <v/>
      </c>
      <c r="C379">
        <f>IFERROR(INDEX('1.산군_붙여넣기'!$A$1:$AZ$1001,ROW(),설정!$C$5)&amp;"","")</f>
        <v/>
      </c>
      <c r="D379" s="5">
        <f>IFERROR(VALUE(SUBSTITUTE(SUBSTITUTE(SUBSTITUTE(IFERROR(INDEX('1.산군_붙여넣기'!$A$1:$AZ$1001,ROW(),설정!$C$6)&amp;"",""),",",""),"㎡",""),"m2","")),"")</f>
        <v/>
      </c>
      <c r="E379">
        <f>IFERROR(INDEX('1.산군_붙여넣기'!$A$1:$AZ$1001,ROW(),설정!$C$7)&amp;"","")</f>
        <v/>
      </c>
      <c r="F379">
        <f>IFERROR(INDEX('1.산군_붙여넣기'!$A$1:$AZ$1001,ROW(),설정!$C$8)&amp;"","")</f>
        <v/>
      </c>
      <c r="G379">
        <f>IFERROR(INDEX('1.산군_붙여넣기'!$A$1:$AZ$1001,ROW(),설정!$C$9)&amp;"","")</f>
        <v/>
      </c>
      <c r="H379">
        <f>IFERROR(INDEX('1.산군_붙여넣기'!$A$1:$AZ$1001,ROW(),설정!$C$10)&amp;"","")</f>
        <v/>
      </c>
      <c r="I379">
        <f>IFERROR(INDEX('1.산군_붙여넣기'!$A$1:$AZ$1001,ROW(),설정!$C$11)&amp;"","")</f>
        <v/>
      </c>
      <c r="J379">
        <f>IFERROR(INDEX('1.산군_붙여넣기'!$A$1:$AZ$1001,ROW(),설정!$C$12)&amp;"","")</f>
        <v/>
      </c>
      <c r="K379">
        <f>IFERROR(INDEX('1.산군_붙여넣기'!$A$1:$AZ$1001,ROW(),설정!$C$13)&amp;"","")</f>
        <v/>
      </c>
      <c r="L379" s="6">
        <f>IF(X379="","",IF(AND(LEN(X379)=8,ISNUMBER(X379*1)),DATE(LEFT(X379,4),MID(X379,5,2),RIGHT(X379,2)),IFERROR(DATEVALUE(SUBSTITUTE(SUBSTITUTE(X379,".","-"),"/","-")),IFERROR(X379*1,""))))</f>
        <v/>
      </c>
      <c r="M379" s="6">
        <f>IF(Y379="","",IF(AND(LEN(Y379)=8,ISNUMBER(Y379*1)),DATE(LEFT(Y379,4),MID(Y379,5,2),RIGHT(Y379,2)),IFERROR(DATEVALUE(SUBSTITUTE(SUBSTITUTE(Y379,".","-"),"/","-")),IFERROR(Y379*1,""))))</f>
        <v/>
      </c>
      <c r="N379">
        <f>IFERROR(LEFT(B379,FIND(" ",B379)-1),B379)</f>
        <v/>
      </c>
      <c r="O379">
        <f>AND(B379&lt;&gt;"",B379&lt;&gt;설정!$B$4,C379&lt;&gt;설정!$B$5)</f>
        <v/>
      </c>
      <c r="P379">
        <f>IF(O379,B379&amp;"|"&amp;C379,"")</f>
        <v/>
      </c>
      <c r="Q379">
        <f>AND(O379,COUNTIF(P380:P$1002,P379)=0)</f>
        <v/>
      </c>
      <c r="R379">
        <f>OR(AND(설정!$A$28&lt;&gt;"",ISNUMBER(SEARCH(설정!$A$28,E379&amp;" "&amp;C379))),AND(설정!$A$29&lt;&gt;"",ISNUMBER(SEARCH(설정!$A$29,E379&amp;" "&amp;C379))),AND(설정!$A$30&lt;&gt;"",ISNUMBER(SEARCH(설정!$A$30,E379&amp;" "&amp;C379))),AND(설정!$A$31&lt;&gt;"",ISNUMBER(SEARCH(설정!$A$31,E379&amp;" "&amp;C379))),AND(설정!$A$32&lt;&gt;"",ISNUMBER(SEARCH(설정!$A$32,E379&amp;" "&amp;C379))),AND(설정!$A$33&lt;&gt;"",ISNUMBER(SEARCH(설정!$A$33,E379&amp;" "&amp;C379))),AND(설정!$A$34&lt;&gt;"",ISNUMBER(SEARCH(설정!$A$34,E379&amp;" "&amp;C379))),AND(설정!$A$35&lt;&gt;"",ISNUMBER(SEARCH(설정!$A$35,E379&amp;" "&amp;C379))),AND(설정!$A$36&lt;&gt;"",ISNUMBER(SEARCH(설정!$A$36,E379&amp;" "&amp;C379))),AND(설정!$A$37&lt;&gt;"",ISNUMBER(SEARCH(설정!$A$37,E379&amp;" "&amp;C379))))</f>
        <v/>
      </c>
      <c r="S379">
        <f>OR(D379="",D379&gt;=설정!$B$19)</f>
        <v/>
      </c>
      <c r="T379">
        <f>AND(Q379,R379,S379)</f>
        <v/>
      </c>
      <c r="U379">
        <f>IF(T379,IF(AND(설정!$A$41&lt;&gt;"",ISNUMBER(SEARCH(설정!$A$41,K379))),설정!$B$41,IF(AND(설정!$A$42&lt;&gt;"",ISNUMBER(SEARCH(설정!$A$42,K379))),설정!$B$42,IF(AND(설정!$A$43&lt;&gt;"",ISNUMBER(SEARCH(설정!$A$43,K379))),설정!$B$43,IF(AND(설정!$A$44&lt;&gt;"",ISNUMBER(SEARCH(설정!$A$44,K379))),설정!$B$44,IF(AND(설정!$A$45&lt;&gt;"",ISNUMBER(SEARCH(설정!$A$45,K379))),설정!$B$45,IF(AND(설정!$A$46&lt;&gt;"",ISNUMBER(SEARCH(설정!$A$46,K379))),설정!$B$46,IF(AND(설정!$A$47&lt;&gt;"",ISNUMBER(SEARCH(설정!$A$47,K379))),설정!$B$47,IF(AND(설정!$A$48&lt;&gt;"",ISNUMBER(SEARCH(설정!$A$48,K379))),설정!$B$48,IF(M379="","설계사","시공사"))))))))),"")</f>
        <v/>
      </c>
      <c r="V379">
        <f>SUBSTITUTE(SUBSTITUTE(SUBSTITUTE(SUBSTITUTE(G379,"(주)",""),"㈜",""),"주식회사","")," ","")</f>
        <v/>
      </c>
      <c r="W379">
        <f>IF(AND(T379,V379&lt;&gt;""),IF(COUNTIFS(V$2:V379,V379,T$2:T379,TRUE)=1,MAX(W$1:W378)+1,""),"")</f>
        <v/>
      </c>
      <c r="X379">
        <f>IFERROR(INDEX('1.산군_붙여넣기'!$A$1:$AZ$1001,ROW(),설정!$C$14)&amp;"","")</f>
        <v/>
      </c>
      <c r="Y379">
        <f>IFERROR(INDEX('1.산군_붙여넣기'!$A$1:$AZ$1001,ROW(),설정!$C$15)&amp;"","")</f>
        <v/>
      </c>
      <c r="Z379">
        <f>IF(T379,V379&amp;"|"&amp;U379,"")</f>
        <v/>
      </c>
    </row>
    <row r="380">
      <c r="A380">
        <f>ROW()</f>
        <v/>
      </c>
      <c r="B380">
        <f>IFERROR(INDEX('1.산군_붙여넣기'!$A$1:$AZ$1001,ROW(),설정!$C$4)&amp;"","")</f>
        <v/>
      </c>
      <c r="C380">
        <f>IFERROR(INDEX('1.산군_붙여넣기'!$A$1:$AZ$1001,ROW(),설정!$C$5)&amp;"","")</f>
        <v/>
      </c>
      <c r="D380" s="5">
        <f>IFERROR(VALUE(SUBSTITUTE(SUBSTITUTE(SUBSTITUTE(IFERROR(INDEX('1.산군_붙여넣기'!$A$1:$AZ$1001,ROW(),설정!$C$6)&amp;"",""),",",""),"㎡",""),"m2","")),"")</f>
        <v/>
      </c>
      <c r="E380">
        <f>IFERROR(INDEX('1.산군_붙여넣기'!$A$1:$AZ$1001,ROW(),설정!$C$7)&amp;"","")</f>
        <v/>
      </c>
      <c r="F380">
        <f>IFERROR(INDEX('1.산군_붙여넣기'!$A$1:$AZ$1001,ROW(),설정!$C$8)&amp;"","")</f>
        <v/>
      </c>
      <c r="G380">
        <f>IFERROR(INDEX('1.산군_붙여넣기'!$A$1:$AZ$1001,ROW(),설정!$C$9)&amp;"","")</f>
        <v/>
      </c>
      <c r="H380">
        <f>IFERROR(INDEX('1.산군_붙여넣기'!$A$1:$AZ$1001,ROW(),설정!$C$10)&amp;"","")</f>
        <v/>
      </c>
      <c r="I380">
        <f>IFERROR(INDEX('1.산군_붙여넣기'!$A$1:$AZ$1001,ROW(),설정!$C$11)&amp;"","")</f>
        <v/>
      </c>
      <c r="J380">
        <f>IFERROR(INDEX('1.산군_붙여넣기'!$A$1:$AZ$1001,ROW(),설정!$C$12)&amp;"","")</f>
        <v/>
      </c>
      <c r="K380">
        <f>IFERROR(INDEX('1.산군_붙여넣기'!$A$1:$AZ$1001,ROW(),설정!$C$13)&amp;"","")</f>
        <v/>
      </c>
      <c r="L380" s="6">
        <f>IF(X380="","",IF(AND(LEN(X380)=8,ISNUMBER(X380*1)),DATE(LEFT(X380,4),MID(X380,5,2),RIGHT(X380,2)),IFERROR(DATEVALUE(SUBSTITUTE(SUBSTITUTE(X380,".","-"),"/","-")),IFERROR(X380*1,""))))</f>
        <v/>
      </c>
      <c r="M380" s="6">
        <f>IF(Y380="","",IF(AND(LEN(Y380)=8,ISNUMBER(Y380*1)),DATE(LEFT(Y380,4),MID(Y380,5,2),RIGHT(Y380,2)),IFERROR(DATEVALUE(SUBSTITUTE(SUBSTITUTE(Y380,".","-"),"/","-")),IFERROR(Y380*1,""))))</f>
        <v/>
      </c>
      <c r="N380">
        <f>IFERROR(LEFT(B380,FIND(" ",B380)-1),B380)</f>
        <v/>
      </c>
      <c r="O380">
        <f>AND(B380&lt;&gt;"",B380&lt;&gt;설정!$B$4,C380&lt;&gt;설정!$B$5)</f>
        <v/>
      </c>
      <c r="P380">
        <f>IF(O380,B380&amp;"|"&amp;C380,"")</f>
        <v/>
      </c>
      <c r="Q380">
        <f>AND(O380,COUNTIF(P381:P$1002,P380)=0)</f>
        <v/>
      </c>
      <c r="R380">
        <f>OR(AND(설정!$A$28&lt;&gt;"",ISNUMBER(SEARCH(설정!$A$28,E380&amp;" "&amp;C380))),AND(설정!$A$29&lt;&gt;"",ISNUMBER(SEARCH(설정!$A$29,E380&amp;" "&amp;C380))),AND(설정!$A$30&lt;&gt;"",ISNUMBER(SEARCH(설정!$A$30,E380&amp;" "&amp;C380))),AND(설정!$A$31&lt;&gt;"",ISNUMBER(SEARCH(설정!$A$31,E380&amp;" "&amp;C380))),AND(설정!$A$32&lt;&gt;"",ISNUMBER(SEARCH(설정!$A$32,E380&amp;" "&amp;C380))),AND(설정!$A$33&lt;&gt;"",ISNUMBER(SEARCH(설정!$A$33,E380&amp;" "&amp;C380))),AND(설정!$A$34&lt;&gt;"",ISNUMBER(SEARCH(설정!$A$34,E380&amp;" "&amp;C380))),AND(설정!$A$35&lt;&gt;"",ISNUMBER(SEARCH(설정!$A$35,E380&amp;" "&amp;C380))),AND(설정!$A$36&lt;&gt;"",ISNUMBER(SEARCH(설정!$A$36,E380&amp;" "&amp;C380))),AND(설정!$A$37&lt;&gt;"",ISNUMBER(SEARCH(설정!$A$37,E380&amp;" "&amp;C380))))</f>
        <v/>
      </c>
      <c r="S380">
        <f>OR(D380="",D380&gt;=설정!$B$19)</f>
        <v/>
      </c>
      <c r="T380">
        <f>AND(Q380,R380,S380)</f>
        <v/>
      </c>
      <c r="U380">
        <f>IF(T380,IF(AND(설정!$A$41&lt;&gt;"",ISNUMBER(SEARCH(설정!$A$41,K380))),설정!$B$41,IF(AND(설정!$A$42&lt;&gt;"",ISNUMBER(SEARCH(설정!$A$42,K380))),설정!$B$42,IF(AND(설정!$A$43&lt;&gt;"",ISNUMBER(SEARCH(설정!$A$43,K380))),설정!$B$43,IF(AND(설정!$A$44&lt;&gt;"",ISNUMBER(SEARCH(설정!$A$44,K380))),설정!$B$44,IF(AND(설정!$A$45&lt;&gt;"",ISNUMBER(SEARCH(설정!$A$45,K380))),설정!$B$45,IF(AND(설정!$A$46&lt;&gt;"",ISNUMBER(SEARCH(설정!$A$46,K380))),설정!$B$46,IF(AND(설정!$A$47&lt;&gt;"",ISNUMBER(SEARCH(설정!$A$47,K380))),설정!$B$47,IF(AND(설정!$A$48&lt;&gt;"",ISNUMBER(SEARCH(설정!$A$48,K380))),설정!$B$48,IF(M380="","설계사","시공사"))))))))),"")</f>
        <v/>
      </c>
      <c r="V380">
        <f>SUBSTITUTE(SUBSTITUTE(SUBSTITUTE(SUBSTITUTE(G380,"(주)",""),"㈜",""),"주식회사","")," ","")</f>
        <v/>
      </c>
      <c r="W380">
        <f>IF(AND(T380,V380&lt;&gt;""),IF(COUNTIFS(V$2:V380,V380,T$2:T380,TRUE)=1,MAX(W$1:W379)+1,""),"")</f>
        <v/>
      </c>
      <c r="X380">
        <f>IFERROR(INDEX('1.산군_붙여넣기'!$A$1:$AZ$1001,ROW(),설정!$C$14)&amp;"","")</f>
        <v/>
      </c>
      <c r="Y380">
        <f>IFERROR(INDEX('1.산군_붙여넣기'!$A$1:$AZ$1001,ROW(),설정!$C$15)&amp;"","")</f>
        <v/>
      </c>
      <c r="Z380">
        <f>IF(T380,V380&amp;"|"&amp;U380,"")</f>
        <v/>
      </c>
    </row>
    <row r="381">
      <c r="A381">
        <f>ROW()</f>
        <v/>
      </c>
      <c r="B381">
        <f>IFERROR(INDEX('1.산군_붙여넣기'!$A$1:$AZ$1001,ROW(),설정!$C$4)&amp;"","")</f>
        <v/>
      </c>
      <c r="C381">
        <f>IFERROR(INDEX('1.산군_붙여넣기'!$A$1:$AZ$1001,ROW(),설정!$C$5)&amp;"","")</f>
        <v/>
      </c>
      <c r="D381" s="5">
        <f>IFERROR(VALUE(SUBSTITUTE(SUBSTITUTE(SUBSTITUTE(IFERROR(INDEX('1.산군_붙여넣기'!$A$1:$AZ$1001,ROW(),설정!$C$6)&amp;"",""),",",""),"㎡",""),"m2","")),"")</f>
        <v/>
      </c>
      <c r="E381">
        <f>IFERROR(INDEX('1.산군_붙여넣기'!$A$1:$AZ$1001,ROW(),설정!$C$7)&amp;"","")</f>
        <v/>
      </c>
      <c r="F381">
        <f>IFERROR(INDEX('1.산군_붙여넣기'!$A$1:$AZ$1001,ROW(),설정!$C$8)&amp;"","")</f>
        <v/>
      </c>
      <c r="G381">
        <f>IFERROR(INDEX('1.산군_붙여넣기'!$A$1:$AZ$1001,ROW(),설정!$C$9)&amp;"","")</f>
        <v/>
      </c>
      <c r="H381">
        <f>IFERROR(INDEX('1.산군_붙여넣기'!$A$1:$AZ$1001,ROW(),설정!$C$10)&amp;"","")</f>
        <v/>
      </c>
      <c r="I381">
        <f>IFERROR(INDEX('1.산군_붙여넣기'!$A$1:$AZ$1001,ROW(),설정!$C$11)&amp;"","")</f>
        <v/>
      </c>
      <c r="J381">
        <f>IFERROR(INDEX('1.산군_붙여넣기'!$A$1:$AZ$1001,ROW(),설정!$C$12)&amp;"","")</f>
        <v/>
      </c>
      <c r="K381">
        <f>IFERROR(INDEX('1.산군_붙여넣기'!$A$1:$AZ$1001,ROW(),설정!$C$13)&amp;"","")</f>
        <v/>
      </c>
      <c r="L381" s="6">
        <f>IF(X381="","",IF(AND(LEN(X381)=8,ISNUMBER(X381*1)),DATE(LEFT(X381,4),MID(X381,5,2),RIGHT(X381,2)),IFERROR(DATEVALUE(SUBSTITUTE(SUBSTITUTE(X381,".","-"),"/","-")),IFERROR(X381*1,""))))</f>
        <v/>
      </c>
      <c r="M381" s="6">
        <f>IF(Y381="","",IF(AND(LEN(Y381)=8,ISNUMBER(Y381*1)),DATE(LEFT(Y381,4),MID(Y381,5,2),RIGHT(Y381,2)),IFERROR(DATEVALUE(SUBSTITUTE(SUBSTITUTE(Y381,".","-"),"/","-")),IFERROR(Y381*1,""))))</f>
        <v/>
      </c>
      <c r="N381">
        <f>IFERROR(LEFT(B381,FIND(" ",B381)-1),B381)</f>
        <v/>
      </c>
      <c r="O381">
        <f>AND(B381&lt;&gt;"",B381&lt;&gt;설정!$B$4,C381&lt;&gt;설정!$B$5)</f>
        <v/>
      </c>
      <c r="P381">
        <f>IF(O381,B381&amp;"|"&amp;C381,"")</f>
        <v/>
      </c>
      <c r="Q381">
        <f>AND(O381,COUNTIF(P382:P$1002,P381)=0)</f>
        <v/>
      </c>
      <c r="R381">
        <f>OR(AND(설정!$A$28&lt;&gt;"",ISNUMBER(SEARCH(설정!$A$28,E381&amp;" "&amp;C381))),AND(설정!$A$29&lt;&gt;"",ISNUMBER(SEARCH(설정!$A$29,E381&amp;" "&amp;C381))),AND(설정!$A$30&lt;&gt;"",ISNUMBER(SEARCH(설정!$A$30,E381&amp;" "&amp;C381))),AND(설정!$A$31&lt;&gt;"",ISNUMBER(SEARCH(설정!$A$31,E381&amp;" "&amp;C381))),AND(설정!$A$32&lt;&gt;"",ISNUMBER(SEARCH(설정!$A$32,E381&amp;" "&amp;C381))),AND(설정!$A$33&lt;&gt;"",ISNUMBER(SEARCH(설정!$A$33,E381&amp;" "&amp;C381))),AND(설정!$A$34&lt;&gt;"",ISNUMBER(SEARCH(설정!$A$34,E381&amp;" "&amp;C381))),AND(설정!$A$35&lt;&gt;"",ISNUMBER(SEARCH(설정!$A$35,E381&amp;" "&amp;C381))),AND(설정!$A$36&lt;&gt;"",ISNUMBER(SEARCH(설정!$A$36,E381&amp;" "&amp;C381))),AND(설정!$A$37&lt;&gt;"",ISNUMBER(SEARCH(설정!$A$37,E381&amp;" "&amp;C381))))</f>
        <v/>
      </c>
      <c r="S381">
        <f>OR(D381="",D381&gt;=설정!$B$19)</f>
        <v/>
      </c>
      <c r="T381">
        <f>AND(Q381,R381,S381)</f>
        <v/>
      </c>
      <c r="U381">
        <f>IF(T381,IF(AND(설정!$A$41&lt;&gt;"",ISNUMBER(SEARCH(설정!$A$41,K381))),설정!$B$41,IF(AND(설정!$A$42&lt;&gt;"",ISNUMBER(SEARCH(설정!$A$42,K381))),설정!$B$42,IF(AND(설정!$A$43&lt;&gt;"",ISNUMBER(SEARCH(설정!$A$43,K381))),설정!$B$43,IF(AND(설정!$A$44&lt;&gt;"",ISNUMBER(SEARCH(설정!$A$44,K381))),설정!$B$44,IF(AND(설정!$A$45&lt;&gt;"",ISNUMBER(SEARCH(설정!$A$45,K381))),설정!$B$45,IF(AND(설정!$A$46&lt;&gt;"",ISNUMBER(SEARCH(설정!$A$46,K381))),설정!$B$46,IF(AND(설정!$A$47&lt;&gt;"",ISNUMBER(SEARCH(설정!$A$47,K381))),설정!$B$47,IF(AND(설정!$A$48&lt;&gt;"",ISNUMBER(SEARCH(설정!$A$48,K381))),설정!$B$48,IF(M381="","설계사","시공사"))))))))),"")</f>
        <v/>
      </c>
      <c r="V381">
        <f>SUBSTITUTE(SUBSTITUTE(SUBSTITUTE(SUBSTITUTE(G381,"(주)",""),"㈜",""),"주식회사","")," ","")</f>
        <v/>
      </c>
      <c r="W381">
        <f>IF(AND(T381,V381&lt;&gt;""),IF(COUNTIFS(V$2:V381,V381,T$2:T381,TRUE)=1,MAX(W$1:W380)+1,""),"")</f>
        <v/>
      </c>
      <c r="X381">
        <f>IFERROR(INDEX('1.산군_붙여넣기'!$A$1:$AZ$1001,ROW(),설정!$C$14)&amp;"","")</f>
        <v/>
      </c>
      <c r="Y381">
        <f>IFERROR(INDEX('1.산군_붙여넣기'!$A$1:$AZ$1001,ROW(),설정!$C$15)&amp;"","")</f>
        <v/>
      </c>
      <c r="Z381">
        <f>IF(T381,V381&amp;"|"&amp;U381,"")</f>
        <v/>
      </c>
    </row>
    <row r="382">
      <c r="A382">
        <f>ROW()</f>
        <v/>
      </c>
      <c r="B382">
        <f>IFERROR(INDEX('1.산군_붙여넣기'!$A$1:$AZ$1001,ROW(),설정!$C$4)&amp;"","")</f>
        <v/>
      </c>
      <c r="C382">
        <f>IFERROR(INDEX('1.산군_붙여넣기'!$A$1:$AZ$1001,ROW(),설정!$C$5)&amp;"","")</f>
        <v/>
      </c>
      <c r="D382" s="5">
        <f>IFERROR(VALUE(SUBSTITUTE(SUBSTITUTE(SUBSTITUTE(IFERROR(INDEX('1.산군_붙여넣기'!$A$1:$AZ$1001,ROW(),설정!$C$6)&amp;"",""),",",""),"㎡",""),"m2","")),"")</f>
        <v/>
      </c>
      <c r="E382">
        <f>IFERROR(INDEX('1.산군_붙여넣기'!$A$1:$AZ$1001,ROW(),설정!$C$7)&amp;"","")</f>
        <v/>
      </c>
      <c r="F382">
        <f>IFERROR(INDEX('1.산군_붙여넣기'!$A$1:$AZ$1001,ROW(),설정!$C$8)&amp;"","")</f>
        <v/>
      </c>
      <c r="G382">
        <f>IFERROR(INDEX('1.산군_붙여넣기'!$A$1:$AZ$1001,ROW(),설정!$C$9)&amp;"","")</f>
        <v/>
      </c>
      <c r="H382">
        <f>IFERROR(INDEX('1.산군_붙여넣기'!$A$1:$AZ$1001,ROW(),설정!$C$10)&amp;"","")</f>
        <v/>
      </c>
      <c r="I382">
        <f>IFERROR(INDEX('1.산군_붙여넣기'!$A$1:$AZ$1001,ROW(),설정!$C$11)&amp;"","")</f>
        <v/>
      </c>
      <c r="J382">
        <f>IFERROR(INDEX('1.산군_붙여넣기'!$A$1:$AZ$1001,ROW(),설정!$C$12)&amp;"","")</f>
        <v/>
      </c>
      <c r="K382">
        <f>IFERROR(INDEX('1.산군_붙여넣기'!$A$1:$AZ$1001,ROW(),설정!$C$13)&amp;"","")</f>
        <v/>
      </c>
      <c r="L382" s="6">
        <f>IF(X382="","",IF(AND(LEN(X382)=8,ISNUMBER(X382*1)),DATE(LEFT(X382,4),MID(X382,5,2),RIGHT(X382,2)),IFERROR(DATEVALUE(SUBSTITUTE(SUBSTITUTE(X382,".","-"),"/","-")),IFERROR(X382*1,""))))</f>
        <v/>
      </c>
      <c r="M382" s="6">
        <f>IF(Y382="","",IF(AND(LEN(Y382)=8,ISNUMBER(Y382*1)),DATE(LEFT(Y382,4),MID(Y382,5,2),RIGHT(Y382,2)),IFERROR(DATEVALUE(SUBSTITUTE(SUBSTITUTE(Y382,".","-"),"/","-")),IFERROR(Y382*1,""))))</f>
        <v/>
      </c>
      <c r="N382">
        <f>IFERROR(LEFT(B382,FIND(" ",B382)-1),B382)</f>
        <v/>
      </c>
      <c r="O382">
        <f>AND(B382&lt;&gt;"",B382&lt;&gt;설정!$B$4,C382&lt;&gt;설정!$B$5)</f>
        <v/>
      </c>
      <c r="P382">
        <f>IF(O382,B382&amp;"|"&amp;C382,"")</f>
        <v/>
      </c>
      <c r="Q382">
        <f>AND(O382,COUNTIF(P383:P$1002,P382)=0)</f>
        <v/>
      </c>
      <c r="R382">
        <f>OR(AND(설정!$A$28&lt;&gt;"",ISNUMBER(SEARCH(설정!$A$28,E382&amp;" "&amp;C382))),AND(설정!$A$29&lt;&gt;"",ISNUMBER(SEARCH(설정!$A$29,E382&amp;" "&amp;C382))),AND(설정!$A$30&lt;&gt;"",ISNUMBER(SEARCH(설정!$A$30,E382&amp;" "&amp;C382))),AND(설정!$A$31&lt;&gt;"",ISNUMBER(SEARCH(설정!$A$31,E382&amp;" "&amp;C382))),AND(설정!$A$32&lt;&gt;"",ISNUMBER(SEARCH(설정!$A$32,E382&amp;" "&amp;C382))),AND(설정!$A$33&lt;&gt;"",ISNUMBER(SEARCH(설정!$A$33,E382&amp;" "&amp;C382))),AND(설정!$A$34&lt;&gt;"",ISNUMBER(SEARCH(설정!$A$34,E382&amp;" "&amp;C382))),AND(설정!$A$35&lt;&gt;"",ISNUMBER(SEARCH(설정!$A$35,E382&amp;" "&amp;C382))),AND(설정!$A$36&lt;&gt;"",ISNUMBER(SEARCH(설정!$A$36,E382&amp;" "&amp;C382))),AND(설정!$A$37&lt;&gt;"",ISNUMBER(SEARCH(설정!$A$37,E382&amp;" "&amp;C382))))</f>
        <v/>
      </c>
      <c r="S382">
        <f>OR(D382="",D382&gt;=설정!$B$19)</f>
        <v/>
      </c>
      <c r="T382">
        <f>AND(Q382,R382,S382)</f>
        <v/>
      </c>
      <c r="U382">
        <f>IF(T382,IF(AND(설정!$A$41&lt;&gt;"",ISNUMBER(SEARCH(설정!$A$41,K382))),설정!$B$41,IF(AND(설정!$A$42&lt;&gt;"",ISNUMBER(SEARCH(설정!$A$42,K382))),설정!$B$42,IF(AND(설정!$A$43&lt;&gt;"",ISNUMBER(SEARCH(설정!$A$43,K382))),설정!$B$43,IF(AND(설정!$A$44&lt;&gt;"",ISNUMBER(SEARCH(설정!$A$44,K382))),설정!$B$44,IF(AND(설정!$A$45&lt;&gt;"",ISNUMBER(SEARCH(설정!$A$45,K382))),설정!$B$45,IF(AND(설정!$A$46&lt;&gt;"",ISNUMBER(SEARCH(설정!$A$46,K382))),설정!$B$46,IF(AND(설정!$A$47&lt;&gt;"",ISNUMBER(SEARCH(설정!$A$47,K382))),설정!$B$47,IF(AND(설정!$A$48&lt;&gt;"",ISNUMBER(SEARCH(설정!$A$48,K382))),설정!$B$48,IF(M382="","설계사","시공사"))))))))),"")</f>
        <v/>
      </c>
      <c r="V382">
        <f>SUBSTITUTE(SUBSTITUTE(SUBSTITUTE(SUBSTITUTE(G382,"(주)",""),"㈜",""),"주식회사","")," ","")</f>
        <v/>
      </c>
      <c r="W382">
        <f>IF(AND(T382,V382&lt;&gt;""),IF(COUNTIFS(V$2:V382,V382,T$2:T382,TRUE)=1,MAX(W$1:W381)+1,""),"")</f>
        <v/>
      </c>
      <c r="X382">
        <f>IFERROR(INDEX('1.산군_붙여넣기'!$A$1:$AZ$1001,ROW(),설정!$C$14)&amp;"","")</f>
        <v/>
      </c>
      <c r="Y382">
        <f>IFERROR(INDEX('1.산군_붙여넣기'!$A$1:$AZ$1001,ROW(),설정!$C$15)&amp;"","")</f>
        <v/>
      </c>
      <c r="Z382">
        <f>IF(T382,V382&amp;"|"&amp;U382,"")</f>
        <v/>
      </c>
    </row>
    <row r="383">
      <c r="A383">
        <f>ROW()</f>
        <v/>
      </c>
      <c r="B383">
        <f>IFERROR(INDEX('1.산군_붙여넣기'!$A$1:$AZ$1001,ROW(),설정!$C$4)&amp;"","")</f>
        <v/>
      </c>
      <c r="C383">
        <f>IFERROR(INDEX('1.산군_붙여넣기'!$A$1:$AZ$1001,ROW(),설정!$C$5)&amp;"","")</f>
        <v/>
      </c>
      <c r="D383" s="5">
        <f>IFERROR(VALUE(SUBSTITUTE(SUBSTITUTE(SUBSTITUTE(IFERROR(INDEX('1.산군_붙여넣기'!$A$1:$AZ$1001,ROW(),설정!$C$6)&amp;"",""),",",""),"㎡",""),"m2","")),"")</f>
        <v/>
      </c>
      <c r="E383">
        <f>IFERROR(INDEX('1.산군_붙여넣기'!$A$1:$AZ$1001,ROW(),설정!$C$7)&amp;"","")</f>
        <v/>
      </c>
      <c r="F383">
        <f>IFERROR(INDEX('1.산군_붙여넣기'!$A$1:$AZ$1001,ROW(),설정!$C$8)&amp;"","")</f>
        <v/>
      </c>
      <c r="G383">
        <f>IFERROR(INDEX('1.산군_붙여넣기'!$A$1:$AZ$1001,ROW(),설정!$C$9)&amp;"","")</f>
        <v/>
      </c>
      <c r="H383">
        <f>IFERROR(INDEX('1.산군_붙여넣기'!$A$1:$AZ$1001,ROW(),설정!$C$10)&amp;"","")</f>
        <v/>
      </c>
      <c r="I383">
        <f>IFERROR(INDEX('1.산군_붙여넣기'!$A$1:$AZ$1001,ROW(),설정!$C$11)&amp;"","")</f>
        <v/>
      </c>
      <c r="J383">
        <f>IFERROR(INDEX('1.산군_붙여넣기'!$A$1:$AZ$1001,ROW(),설정!$C$12)&amp;"","")</f>
        <v/>
      </c>
      <c r="K383">
        <f>IFERROR(INDEX('1.산군_붙여넣기'!$A$1:$AZ$1001,ROW(),설정!$C$13)&amp;"","")</f>
        <v/>
      </c>
      <c r="L383" s="6">
        <f>IF(X383="","",IF(AND(LEN(X383)=8,ISNUMBER(X383*1)),DATE(LEFT(X383,4),MID(X383,5,2),RIGHT(X383,2)),IFERROR(DATEVALUE(SUBSTITUTE(SUBSTITUTE(X383,".","-"),"/","-")),IFERROR(X383*1,""))))</f>
        <v/>
      </c>
      <c r="M383" s="6">
        <f>IF(Y383="","",IF(AND(LEN(Y383)=8,ISNUMBER(Y383*1)),DATE(LEFT(Y383,4),MID(Y383,5,2),RIGHT(Y383,2)),IFERROR(DATEVALUE(SUBSTITUTE(SUBSTITUTE(Y383,".","-"),"/","-")),IFERROR(Y383*1,""))))</f>
        <v/>
      </c>
      <c r="N383">
        <f>IFERROR(LEFT(B383,FIND(" ",B383)-1),B383)</f>
        <v/>
      </c>
      <c r="O383">
        <f>AND(B383&lt;&gt;"",B383&lt;&gt;설정!$B$4,C383&lt;&gt;설정!$B$5)</f>
        <v/>
      </c>
      <c r="P383">
        <f>IF(O383,B383&amp;"|"&amp;C383,"")</f>
        <v/>
      </c>
      <c r="Q383">
        <f>AND(O383,COUNTIF(P384:P$1002,P383)=0)</f>
        <v/>
      </c>
      <c r="R383">
        <f>OR(AND(설정!$A$28&lt;&gt;"",ISNUMBER(SEARCH(설정!$A$28,E383&amp;" "&amp;C383))),AND(설정!$A$29&lt;&gt;"",ISNUMBER(SEARCH(설정!$A$29,E383&amp;" "&amp;C383))),AND(설정!$A$30&lt;&gt;"",ISNUMBER(SEARCH(설정!$A$30,E383&amp;" "&amp;C383))),AND(설정!$A$31&lt;&gt;"",ISNUMBER(SEARCH(설정!$A$31,E383&amp;" "&amp;C383))),AND(설정!$A$32&lt;&gt;"",ISNUMBER(SEARCH(설정!$A$32,E383&amp;" "&amp;C383))),AND(설정!$A$33&lt;&gt;"",ISNUMBER(SEARCH(설정!$A$33,E383&amp;" "&amp;C383))),AND(설정!$A$34&lt;&gt;"",ISNUMBER(SEARCH(설정!$A$34,E383&amp;" "&amp;C383))),AND(설정!$A$35&lt;&gt;"",ISNUMBER(SEARCH(설정!$A$35,E383&amp;" "&amp;C383))),AND(설정!$A$36&lt;&gt;"",ISNUMBER(SEARCH(설정!$A$36,E383&amp;" "&amp;C383))),AND(설정!$A$37&lt;&gt;"",ISNUMBER(SEARCH(설정!$A$37,E383&amp;" "&amp;C383))))</f>
        <v/>
      </c>
      <c r="S383">
        <f>OR(D383="",D383&gt;=설정!$B$19)</f>
        <v/>
      </c>
      <c r="T383">
        <f>AND(Q383,R383,S383)</f>
        <v/>
      </c>
      <c r="U383">
        <f>IF(T383,IF(AND(설정!$A$41&lt;&gt;"",ISNUMBER(SEARCH(설정!$A$41,K383))),설정!$B$41,IF(AND(설정!$A$42&lt;&gt;"",ISNUMBER(SEARCH(설정!$A$42,K383))),설정!$B$42,IF(AND(설정!$A$43&lt;&gt;"",ISNUMBER(SEARCH(설정!$A$43,K383))),설정!$B$43,IF(AND(설정!$A$44&lt;&gt;"",ISNUMBER(SEARCH(설정!$A$44,K383))),설정!$B$44,IF(AND(설정!$A$45&lt;&gt;"",ISNUMBER(SEARCH(설정!$A$45,K383))),설정!$B$45,IF(AND(설정!$A$46&lt;&gt;"",ISNUMBER(SEARCH(설정!$A$46,K383))),설정!$B$46,IF(AND(설정!$A$47&lt;&gt;"",ISNUMBER(SEARCH(설정!$A$47,K383))),설정!$B$47,IF(AND(설정!$A$48&lt;&gt;"",ISNUMBER(SEARCH(설정!$A$48,K383))),설정!$B$48,IF(M383="","설계사","시공사"))))))))),"")</f>
        <v/>
      </c>
      <c r="V383">
        <f>SUBSTITUTE(SUBSTITUTE(SUBSTITUTE(SUBSTITUTE(G383,"(주)",""),"㈜",""),"주식회사","")," ","")</f>
        <v/>
      </c>
      <c r="W383">
        <f>IF(AND(T383,V383&lt;&gt;""),IF(COUNTIFS(V$2:V383,V383,T$2:T383,TRUE)=1,MAX(W$1:W382)+1,""),"")</f>
        <v/>
      </c>
      <c r="X383">
        <f>IFERROR(INDEX('1.산군_붙여넣기'!$A$1:$AZ$1001,ROW(),설정!$C$14)&amp;"","")</f>
        <v/>
      </c>
      <c r="Y383">
        <f>IFERROR(INDEX('1.산군_붙여넣기'!$A$1:$AZ$1001,ROW(),설정!$C$15)&amp;"","")</f>
        <v/>
      </c>
      <c r="Z383">
        <f>IF(T383,V383&amp;"|"&amp;U383,"")</f>
        <v/>
      </c>
    </row>
    <row r="384">
      <c r="A384">
        <f>ROW()</f>
        <v/>
      </c>
      <c r="B384">
        <f>IFERROR(INDEX('1.산군_붙여넣기'!$A$1:$AZ$1001,ROW(),설정!$C$4)&amp;"","")</f>
        <v/>
      </c>
      <c r="C384">
        <f>IFERROR(INDEX('1.산군_붙여넣기'!$A$1:$AZ$1001,ROW(),설정!$C$5)&amp;"","")</f>
        <v/>
      </c>
      <c r="D384" s="5">
        <f>IFERROR(VALUE(SUBSTITUTE(SUBSTITUTE(SUBSTITUTE(IFERROR(INDEX('1.산군_붙여넣기'!$A$1:$AZ$1001,ROW(),설정!$C$6)&amp;"",""),",",""),"㎡",""),"m2","")),"")</f>
        <v/>
      </c>
      <c r="E384">
        <f>IFERROR(INDEX('1.산군_붙여넣기'!$A$1:$AZ$1001,ROW(),설정!$C$7)&amp;"","")</f>
        <v/>
      </c>
      <c r="F384">
        <f>IFERROR(INDEX('1.산군_붙여넣기'!$A$1:$AZ$1001,ROW(),설정!$C$8)&amp;"","")</f>
        <v/>
      </c>
      <c r="G384">
        <f>IFERROR(INDEX('1.산군_붙여넣기'!$A$1:$AZ$1001,ROW(),설정!$C$9)&amp;"","")</f>
        <v/>
      </c>
      <c r="H384">
        <f>IFERROR(INDEX('1.산군_붙여넣기'!$A$1:$AZ$1001,ROW(),설정!$C$10)&amp;"","")</f>
        <v/>
      </c>
      <c r="I384">
        <f>IFERROR(INDEX('1.산군_붙여넣기'!$A$1:$AZ$1001,ROW(),설정!$C$11)&amp;"","")</f>
        <v/>
      </c>
      <c r="J384">
        <f>IFERROR(INDEX('1.산군_붙여넣기'!$A$1:$AZ$1001,ROW(),설정!$C$12)&amp;"","")</f>
        <v/>
      </c>
      <c r="K384">
        <f>IFERROR(INDEX('1.산군_붙여넣기'!$A$1:$AZ$1001,ROW(),설정!$C$13)&amp;"","")</f>
        <v/>
      </c>
      <c r="L384" s="6">
        <f>IF(X384="","",IF(AND(LEN(X384)=8,ISNUMBER(X384*1)),DATE(LEFT(X384,4),MID(X384,5,2),RIGHT(X384,2)),IFERROR(DATEVALUE(SUBSTITUTE(SUBSTITUTE(X384,".","-"),"/","-")),IFERROR(X384*1,""))))</f>
        <v/>
      </c>
      <c r="M384" s="6">
        <f>IF(Y384="","",IF(AND(LEN(Y384)=8,ISNUMBER(Y384*1)),DATE(LEFT(Y384,4),MID(Y384,5,2),RIGHT(Y384,2)),IFERROR(DATEVALUE(SUBSTITUTE(SUBSTITUTE(Y384,".","-"),"/","-")),IFERROR(Y384*1,""))))</f>
        <v/>
      </c>
      <c r="N384">
        <f>IFERROR(LEFT(B384,FIND(" ",B384)-1),B384)</f>
        <v/>
      </c>
      <c r="O384">
        <f>AND(B384&lt;&gt;"",B384&lt;&gt;설정!$B$4,C384&lt;&gt;설정!$B$5)</f>
        <v/>
      </c>
      <c r="P384">
        <f>IF(O384,B384&amp;"|"&amp;C384,"")</f>
        <v/>
      </c>
      <c r="Q384">
        <f>AND(O384,COUNTIF(P385:P$1002,P384)=0)</f>
        <v/>
      </c>
      <c r="R384">
        <f>OR(AND(설정!$A$28&lt;&gt;"",ISNUMBER(SEARCH(설정!$A$28,E384&amp;" "&amp;C384))),AND(설정!$A$29&lt;&gt;"",ISNUMBER(SEARCH(설정!$A$29,E384&amp;" "&amp;C384))),AND(설정!$A$30&lt;&gt;"",ISNUMBER(SEARCH(설정!$A$30,E384&amp;" "&amp;C384))),AND(설정!$A$31&lt;&gt;"",ISNUMBER(SEARCH(설정!$A$31,E384&amp;" "&amp;C384))),AND(설정!$A$32&lt;&gt;"",ISNUMBER(SEARCH(설정!$A$32,E384&amp;" "&amp;C384))),AND(설정!$A$33&lt;&gt;"",ISNUMBER(SEARCH(설정!$A$33,E384&amp;" "&amp;C384))),AND(설정!$A$34&lt;&gt;"",ISNUMBER(SEARCH(설정!$A$34,E384&amp;" "&amp;C384))),AND(설정!$A$35&lt;&gt;"",ISNUMBER(SEARCH(설정!$A$35,E384&amp;" "&amp;C384))),AND(설정!$A$36&lt;&gt;"",ISNUMBER(SEARCH(설정!$A$36,E384&amp;" "&amp;C384))),AND(설정!$A$37&lt;&gt;"",ISNUMBER(SEARCH(설정!$A$37,E384&amp;" "&amp;C384))))</f>
        <v/>
      </c>
      <c r="S384">
        <f>OR(D384="",D384&gt;=설정!$B$19)</f>
        <v/>
      </c>
      <c r="T384">
        <f>AND(Q384,R384,S384)</f>
        <v/>
      </c>
      <c r="U384">
        <f>IF(T384,IF(AND(설정!$A$41&lt;&gt;"",ISNUMBER(SEARCH(설정!$A$41,K384))),설정!$B$41,IF(AND(설정!$A$42&lt;&gt;"",ISNUMBER(SEARCH(설정!$A$42,K384))),설정!$B$42,IF(AND(설정!$A$43&lt;&gt;"",ISNUMBER(SEARCH(설정!$A$43,K384))),설정!$B$43,IF(AND(설정!$A$44&lt;&gt;"",ISNUMBER(SEARCH(설정!$A$44,K384))),설정!$B$44,IF(AND(설정!$A$45&lt;&gt;"",ISNUMBER(SEARCH(설정!$A$45,K384))),설정!$B$45,IF(AND(설정!$A$46&lt;&gt;"",ISNUMBER(SEARCH(설정!$A$46,K384))),설정!$B$46,IF(AND(설정!$A$47&lt;&gt;"",ISNUMBER(SEARCH(설정!$A$47,K384))),설정!$B$47,IF(AND(설정!$A$48&lt;&gt;"",ISNUMBER(SEARCH(설정!$A$48,K384))),설정!$B$48,IF(M384="","설계사","시공사"))))))))),"")</f>
        <v/>
      </c>
      <c r="V384">
        <f>SUBSTITUTE(SUBSTITUTE(SUBSTITUTE(SUBSTITUTE(G384,"(주)",""),"㈜",""),"주식회사","")," ","")</f>
        <v/>
      </c>
      <c r="W384">
        <f>IF(AND(T384,V384&lt;&gt;""),IF(COUNTIFS(V$2:V384,V384,T$2:T384,TRUE)=1,MAX(W$1:W383)+1,""),"")</f>
        <v/>
      </c>
      <c r="X384">
        <f>IFERROR(INDEX('1.산군_붙여넣기'!$A$1:$AZ$1001,ROW(),설정!$C$14)&amp;"","")</f>
        <v/>
      </c>
      <c r="Y384">
        <f>IFERROR(INDEX('1.산군_붙여넣기'!$A$1:$AZ$1001,ROW(),설정!$C$15)&amp;"","")</f>
        <v/>
      </c>
      <c r="Z384">
        <f>IF(T384,V384&amp;"|"&amp;U384,"")</f>
        <v/>
      </c>
    </row>
    <row r="385">
      <c r="A385">
        <f>ROW()</f>
        <v/>
      </c>
      <c r="B385">
        <f>IFERROR(INDEX('1.산군_붙여넣기'!$A$1:$AZ$1001,ROW(),설정!$C$4)&amp;"","")</f>
        <v/>
      </c>
      <c r="C385">
        <f>IFERROR(INDEX('1.산군_붙여넣기'!$A$1:$AZ$1001,ROW(),설정!$C$5)&amp;"","")</f>
        <v/>
      </c>
      <c r="D385" s="5">
        <f>IFERROR(VALUE(SUBSTITUTE(SUBSTITUTE(SUBSTITUTE(IFERROR(INDEX('1.산군_붙여넣기'!$A$1:$AZ$1001,ROW(),설정!$C$6)&amp;"",""),",",""),"㎡",""),"m2","")),"")</f>
        <v/>
      </c>
      <c r="E385">
        <f>IFERROR(INDEX('1.산군_붙여넣기'!$A$1:$AZ$1001,ROW(),설정!$C$7)&amp;"","")</f>
        <v/>
      </c>
      <c r="F385">
        <f>IFERROR(INDEX('1.산군_붙여넣기'!$A$1:$AZ$1001,ROW(),설정!$C$8)&amp;"","")</f>
        <v/>
      </c>
      <c r="G385">
        <f>IFERROR(INDEX('1.산군_붙여넣기'!$A$1:$AZ$1001,ROW(),설정!$C$9)&amp;"","")</f>
        <v/>
      </c>
      <c r="H385">
        <f>IFERROR(INDEX('1.산군_붙여넣기'!$A$1:$AZ$1001,ROW(),설정!$C$10)&amp;"","")</f>
        <v/>
      </c>
      <c r="I385">
        <f>IFERROR(INDEX('1.산군_붙여넣기'!$A$1:$AZ$1001,ROW(),설정!$C$11)&amp;"","")</f>
        <v/>
      </c>
      <c r="J385">
        <f>IFERROR(INDEX('1.산군_붙여넣기'!$A$1:$AZ$1001,ROW(),설정!$C$12)&amp;"","")</f>
        <v/>
      </c>
      <c r="K385">
        <f>IFERROR(INDEX('1.산군_붙여넣기'!$A$1:$AZ$1001,ROW(),설정!$C$13)&amp;"","")</f>
        <v/>
      </c>
      <c r="L385" s="6">
        <f>IF(X385="","",IF(AND(LEN(X385)=8,ISNUMBER(X385*1)),DATE(LEFT(X385,4),MID(X385,5,2),RIGHT(X385,2)),IFERROR(DATEVALUE(SUBSTITUTE(SUBSTITUTE(X385,".","-"),"/","-")),IFERROR(X385*1,""))))</f>
        <v/>
      </c>
      <c r="M385" s="6">
        <f>IF(Y385="","",IF(AND(LEN(Y385)=8,ISNUMBER(Y385*1)),DATE(LEFT(Y385,4),MID(Y385,5,2),RIGHT(Y385,2)),IFERROR(DATEVALUE(SUBSTITUTE(SUBSTITUTE(Y385,".","-"),"/","-")),IFERROR(Y385*1,""))))</f>
        <v/>
      </c>
      <c r="N385">
        <f>IFERROR(LEFT(B385,FIND(" ",B385)-1),B385)</f>
        <v/>
      </c>
      <c r="O385">
        <f>AND(B385&lt;&gt;"",B385&lt;&gt;설정!$B$4,C385&lt;&gt;설정!$B$5)</f>
        <v/>
      </c>
      <c r="P385">
        <f>IF(O385,B385&amp;"|"&amp;C385,"")</f>
        <v/>
      </c>
      <c r="Q385">
        <f>AND(O385,COUNTIF(P386:P$1002,P385)=0)</f>
        <v/>
      </c>
      <c r="R385">
        <f>OR(AND(설정!$A$28&lt;&gt;"",ISNUMBER(SEARCH(설정!$A$28,E385&amp;" "&amp;C385))),AND(설정!$A$29&lt;&gt;"",ISNUMBER(SEARCH(설정!$A$29,E385&amp;" "&amp;C385))),AND(설정!$A$30&lt;&gt;"",ISNUMBER(SEARCH(설정!$A$30,E385&amp;" "&amp;C385))),AND(설정!$A$31&lt;&gt;"",ISNUMBER(SEARCH(설정!$A$31,E385&amp;" "&amp;C385))),AND(설정!$A$32&lt;&gt;"",ISNUMBER(SEARCH(설정!$A$32,E385&amp;" "&amp;C385))),AND(설정!$A$33&lt;&gt;"",ISNUMBER(SEARCH(설정!$A$33,E385&amp;" "&amp;C385))),AND(설정!$A$34&lt;&gt;"",ISNUMBER(SEARCH(설정!$A$34,E385&amp;" "&amp;C385))),AND(설정!$A$35&lt;&gt;"",ISNUMBER(SEARCH(설정!$A$35,E385&amp;" "&amp;C385))),AND(설정!$A$36&lt;&gt;"",ISNUMBER(SEARCH(설정!$A$36,E385&amp;" "&amp;C385))),AND(설정!$A$37&lt;&gt;"",ISNUMBER(SEARCH(설정!$A$37,E385&amp;" "&amp;C385))))</f>
        <v/>
      </c>
      <c r="S385">
        <f>OR(D385="",D385&gt;=설정!$B$19)</f>
        <v/>
      </c>
      <c r="T385">
        <f>AND(Q385,R385,S385)</f>
        <v/>
      </c>
      <c r="U385">
        <f>IF(T385,IF(AND(설정!$A$41&lt;&gt;"",ISNUMBER(SEARCH(설정!$A$41,K385))),설정!$B$41,IF(AND(설정!$A$42&lt;&gt;"",ISNUMBER(SEARCH(설정!$A$42,K385))),설정!$B$42,IF(AND(설정!$A$43&lt;&gt;"",ISNUMBER(SEARCH(설정!$A$43,K385))),설정!$B$43,IF(AND(설정!$A$44&lt;&gt;"",ISNUMBER(SEARCH(설정!$A$44,K385))),설정!$B$44,IF(AND(설정!$A$45&lt;&gt;"",ISNUMBER(SEARCH(설정!$A$45,K385))),설정!$B$45,IF(AND(설정!$A$46&lt;&gt;"",ISNUMBER(SEARCH(설정!$A$46,K385))),설정!$B$46,IF(AND(설정!$A$47&lt;&gt;"",ISNUMBER(SEARCH(설정!$A$47,K385))),설정!$B$47,IF(AND(설정!$A$48&lt;&gt;"",ISNUMBER(SEARCH(설정!$A$48,K385))),설정!$B$48,IF(M385="","설계사","시공사"))))))))),"")</f>
        <v/>
      </c>
      <c r="V385">
        <f>SUBSTITUTE(SUBSTITUTE(SUBSTITUTE(SUBSTITUTE(G385,"(주)",""),"㈜",""),"주식회사","")," ","")</f>
        <v/>
      </c>
      <c r="W385">
        <f>IF(AND(T385,V385&lt;&gt;""),IF(COUNTIFS(V$2:V385,V385,T$2:T385,TRUE)=1,MAX(W$1:W384)+1,""),"")</f>
        <v/>
      </c>
      <c r="X385">
        <f>IFERROR(INDEX('1.산군_붙여넣기'!$A$1:$AZ$1001,ROW(),설정!$C$14)&amp;"","")</f>
        <v/>
      </c>
      <c r="Y385">
        <f>IFERROR(INDEX('1.산군_붙여넣기'!$A$1:$AZ$1001,ROW(),설정!$C$15)&amp;"","")</f>
        <v/>
      </c>
      <c r="Z385">
        <f>IF(T385,V385&amp;"|"&amp;U385,"")</f>
        <v/>
      </c>
    </row>
    <row r="386">
      <c r="A386">
        <f>ROW()</f>
        <v/>
      </c>
      <c r="B386">
        <f>IFERROR(INDEX('1.산군_붙여넣기'!$A$1:$AZ$1001,ROW(),설정!$C$4)&amp;"","")</f>
        <v/>
      </c>
      <c r="C386">
        <f>IFERROR(INDEX('1.산군_붙여넣기'!$A$1:$AZ$1001,ROW(),설정!$C$5)&amp;"","")</f>
        <v/>
      </c>
      <c r="D386" s="5">
        <f>IFERROR(VALUE(SUBSTITUTE(SUBSTITUTE(SUBSTITUTE(IFERROR(INDEX('1.산군_붙여넣기'!$A$1:$AZ$1001,ROW(),설정!$C$6)&amp;"",""),",",""),"㎡",""),"m2","")),"")</f>
        <v/>
      </c>
      <c r="E386">
        <f>IFERROR(INDEX('1.산군_붙여넣기'!$A$1:$AZ$1001,ROW(),설정!$C$7)&amp;"","")</f>
        <v/>
      </c>
      <c r="F386">
        <f>IFERROR(INDEX('1.산군_붙여넣기'!$A$1:$AZ$1001,ROW(),설정!$C$8)&amp;"","")</f>
        <v/>
      </c>
      <c r="G386">
        <f>IFERROR(INDEX('1.산군_붙여넣기'!$A$1:$AZ$1001,ROW(),설정!$C$9)&amp;"","")</f>
        <v/>
      </c>
      <c r="H386">
        <f>IFERROR(INDEX('1.산군_붙여넣기'!$A$1:$AZ$1001,ROW(),설정!$C$10)&amp;"","")</f>
        <v/>
      </c>
      <c r="I386">
        <f>IFERROR(INDEX('1.산군_붙여넣기'!$A$1:$AZ$1001,ROW(),설정!$C$11)&amp;"","")</f>
        <v/>
      </c>
      <c r="J386">
        <f>IFERROR(INDEX('1.산군_붙여넣기'!$A$1:$AZ$1001,ROW(),설정!$C$12)&amp;"","")</f>
        <v/>
      </c>
      <c r="K386">
        <f>IFERROR(INDEX('1.산군_붙여넣기'!$A$1:$AZ$1001,ROW(),설정!$C$13)&amp;"","")</f>
        <v/>
      </c>
      <c r="L386" s="6">
        <f>IF(X386="","",IF(AND(LEN(X386)=8,ISNUMBER(X386*1)),DATE(LEFT(X386,4),MID(X386,5,2),RIGHT(X386,2)),IFERROR(DATEVALUE(SUBSTITUTE(SUBSTITUTE(X386,".","-"),"/","-")),IFERROR(X386*1,""))))</f>
        <v/>
      </c>
      <c r="M386" s="6">
        <f>IF(Y386="","",IF(AND(LEN(Y386)=8,ISNUMBER(Y386*1)),DATE(LEFT(Y386,4),MID(Y386,5,2),RIGHT(Y386,2)),IFERROR(DATEVALUE(SUBSTITUTE(SUBSTITUTE(Y386,".","-"),"/","-")),IFERROR(Y386*1,""))))</f>
        <v/>
      </c>
      <c r="N386">
        <f>IFERROR(LEFT(B386,FIND(" ",B386)-1),B386)</f>
        <v/>
      </c>
      <c r="O386">
        <f>AND(B386&lt;&gt;"",B386&lt;&gt;설정!$B$4,C386&lt;&gt;설정!$B$5)</f>
        <v/>
      </c>
      <c r="P386">
        <f>IF(O386,B386&amp;"|"&amp;C386,"")</f>
        <v/>
      </c>
      <c r="Q386">
        <f>AND(O386,COUNTIF(P387:P$1002,P386)=0)</f>
        <v/>
      </c>
      <c r="R386">
        <f>OR(AND(설정!$A$28&lt;&gt;"",ISNUMBER(SEARCH(설정!$A$28,E386&amp;" "&amp;C386))),AND(설정!$A$29&lt;&gt;"",ISNUMBER(SEARCH(설정!$A$29,E386&amp;" "&amp;C386))),AND(설정!$A$30&lt;&gt;"",ISNUMBER(SEARCH(설정!$A$30,E386&amp;" "&amp;C386))),AND(설정!$A$31&lt;&gt;"",ISNUMBER(SEARCH(설정!$A$31,E386&amp;" "&amp;C386))),AND(설정!$A$32&lt;&gt;"",ISNUMBER(SEARCH(설정!$A$32,E386&amp;" "&amp;C386))),AND(설정!$A$33&lt;&gt;"",ISNUMBER(SEARCH(설정!$A$33,E386&amp;" "&amp;C386))),AND(설정!$A$34&lt;&gt;"",ISNUMBER(SEARCH(설정!$A$34,E386&amp;" "&amp;C386))),AND(설정!$A$35&lt;&gt;"",ISNUMBER(SEARCH(설정!$A$35,E386&amp;" "&amp;C386))),AND(설정!$A$36&lt;&gt;"",ISNUMBER(SEARCH(설정!$A$36,E386&amp;" "&amp;C386))),AND(설정!$A$37&lt;&gt;"",ISNUMBER(SEARCH(설정!$A$37,E386&amp;" "&amp;C386))))</f>
        <v/>
      </c>
      <c r="S386">
        <f>OR(D386="",D386&gt;=설정!$B$19)</f>
        <v/>
      </c>
      <c r="T386">
        <f>AND(Q386,R386,S386)</f>
        <v/>
      </c>
      <c r="U386">
        <f>IF(T386,IF(AND(설정!$A$41&lt;&gt;"",ISNUMBER(SEARCH(설정!$A$41,K386))),설정!$B$41,IF(AND(설정!$A$42&lt;&gt;"",ISNUMBER(SEARCH(설정!$A$42,K386))),설정!$B$42,IF(AND(설정!$A$43&lt;&gt;"",ISNUMBER(SEARCH(설정!$A$43,K386))),설정!$B$43,IF(AND(설정!$A$44&lt;&gt;"",ISNUMBER(SEARCH(설정!$A$44,K386))),설정!$B$44,IF(AND(설정!$A$45&lt;&gt;"",ISNUMBER(SEARCH(설정!$A$45,K386))),설정!$B$45,IF(AND(설정!$A$46&lt;&gt;"",ISNUMBER(SEARCH(설정!$A$46,K386))),설정!$B$46,IF(AND(설정!$A$47&lt;&gt;"",ISNUMBER(SEARCH(설정!$A$47,K386))),설정!$B$47,IF(AND(설정!$A$48&lt;&gt;"",ISNUMBER(SEARCH(설정!$A$48,K386))),설정!$B$48,IF(M386="","설계사","시공사"))))))))),"")</f>
        <v/>
      </c>
      <c r="V386">
        <f>SUBSTITUTE(SUBSTITUTE(SUBSTITUTE(SUBSTITUTE(G386,"(주)",""),"㈜",""),"주식회사","")," ","")</f>
        <v/>
      </c>
      <c r="W386">
        <f>IF(AND(T386,V386&lt;&gt;""),IF(COUNTIFS(V$2:V386,V386,T$2:T386,TRUE)=1,MAX(W$1:W385)+1,""),"")</f>
        <v/>
      </c>
      <c r="X386">
        <f>IFERROR(INDEX('1.산군_붙여넣기'!$A$1:$AZ$1001,ROW(),설정!$C$14)&amp;"","")</f>
        <v/>
      </c>
      <c r="Y386">
        <f>IFERROR(INDEX('1.산군_붙여넣기'!$A$1:$AZ$1001,ROW(),설정!$C$15)&amp;"","")</f>
        <v/>
      </c>
      <c r="Z386">
        <f>IF(T386,V386&amp;"|"&amp;U386,"")</f>
        <v/>
      </c>
    </row>
    <row r="387">
      <c r="A387">
        <f>ROW()</f>
        <v/>
      </c>
      <c r="B387">
        <f>IFERROR(INDEX('1.산군_붙여넣기'!$A$1:$AZ$1001,ROW(),설정!$C$4)&amp;"","")</f>
        <v/>
      </c>
      <c r="C387">
        <f>IFERROR(INDEX('1.산군_붙여넣기'!$A$1:$AZ$1001,ROW(),설정!$C$5)&amp;"","")</f>
        <v/>
      </c>
      <c r="D387" s="5">
        <f>IFERROR(VALUE(SUBSTITUTE(SUBSTITUTE(SUBSTITUTE(IFERROR(INDEX('1.산군_붙여넣기'!$A$1:$AZ$1001,ROW(),설정!$C$6)&amp;"",""),",",""),"㎡",""),"m2","")),"")</f>
        <v/>
      </c>
      <c r="E387">
        <f>IFERROR(INDEX('1.산군_붙여넣기'!$A$1:$AZ$1001,ROW(),설정!$C$7)&amp;"","")</f>
        <v/>
      </c>
      <c r="F387">
        <f>IFERROR(INDEX('1.산군_붙여넣기'!$A$1:$AZ$1001,ROW(),설정!$C$8)&amp;"","")</f>
        <v/>
      </c>
      <c r="G387">
        <f>IFERROR(INDEX('1.산군_붙여넣기'!$A$1:$AZ$1001,ROW(),설정!$C$9)&amp;"","")</f>
        <v/>
      </c>
      <c r="H387">
        <f>IFERROR(INDEX('1.산군_붙여넣기'!$A$1:$AZ$1001,ROW(),설정!$C$10)&amp;"","")</f>
        <v/>
      </c>
      <c r="I387">
        <f>IFERROR(INDEX('1.산군_붙여넣기'!$A$1:$AZ$1001,ROW(),설정!$C$11)&amp;"","")</f>
        <v/>
      </c>
      <c r="J387">
        <f>IFERROR(INDEX('1.산군_붙여넣기'!$A$1:$AZ$1001,ROW(),설정!$C$12)&amp;"","")</f>
        <v/>
      </c>
      <c r="K387">
        <f>IFERROR(INDEX('1.산군_붙여넣기'!$A$1:$AZ$1001,ROW(),설정!$C$13)&amp;"","")</f>
        <v/>
      </c>
      <c r="L387" s="6">
        <f>IF(X387="","",IF(AND(LEN(X387)=8,ISNUMBER(X387*1)),DATE(LEFT(X387,4),MID(X387,5,2),RIGHT(X387,2)),IFERROR(DATEVALUE(SUBSTITUTE(SUBSTITUTE(X387,".","-"),"/","-")),IFERROR(X387*1,""))))</f>
        <v/>
      </c>
      <c r="M387" s="6">
        <f>IF(Y387="","",IF(AND(LEN(Y387)=8,ISNUMBER(Y387*1)),DATE(LEFT(Y387,4),MID(Y387,5,2),RIGHT(Y387,2)),IFERROR(DATEVALUE(SUBSTITUTE(SUBSTITUTE(Y387,".","-"),"/","-")),IFERROR(Y387*1,""))))</f>
        <v/>
      </c>
      <c r="N387">
        <f>IFERROR(LEFT(B387,FIND(" ",B387)-1),B387)</f>
        <v/>
      </c>
      <c r="O387">
        <f>AND(B387&lt;&gt;"",B387&lt;&gt;설정!$B$4,C387&lt;&gt;설정!$B$5)</f>
        <v/>
      </c>
      <c r="P387">
        <f>IF(O387,B387&amp;"|"&amp;C387,"")</f>
        <v/>
      </c>
      <c r="Q387">
        <f>AND(O387,COUNTIF(P388:P$1002,P387)=0)</f>
        <v/>
      </c>
      <c r="R387">
        <f>OR(AND(설정!$A$28&lt;&gt;"",ISNUMBER(SEARCH(설정!$A$28,E387&amp;" "&amp;C387))),AND(설정!$A$29&lt;&gt;"",ISNUMBER(SEARCH(설정!$A$29,E387&amp;" "&amp;C387))),AND(설정!$A$30&lt;&gt;"",ISNUMBER(SEARCH(설정!$A$30,E387&amp;" "&amp;C387))),AND(설정!$A$31&lt;&gt;"",ISNUMBER(SEARCH(설정!$A$31,E387&amp;" "&amp;C387))),AND(설정!$A$32&lt;&gt;"",ISNUMBER(SEARCH(설정!$A$32,E387&amp;" "&amp;C387))),AND(설정!$A$33&lt;&gt;"",ISNUMBER(SEARCH(설정!$A$33,E387&amp;" "&amp;C387))),AND(설정!$A$34&lt;&gt;"",ISNUMBER(SEARCH(설정!$A$34,E387&amp;" "&amp;C387))),AND(설정!$A$35&lt;&gt;"",ISNUMBER(SEARCH(설정!$A$35,E387&amp;" "&amp;C387))),AND(설정!$A$36&lt;&gt;"",ISNUMBER(SEARCH(설정!$A$36,E387&amp;" "&amp;C387))),AND(설정!$A$37&lt;&gt;"",ISNUMBER(SEARCH(설정!$A$37,E387&amp;" "&amp;C387))))</f>
        <v/>
      </c>
      <c r="S387">
        <f>OR(D387="",D387&gt;=설정!$B$19)</f>
        <v/>
      </c>
      <c r="T387">
        <f>AND(Q387,R387,S387)</f>
        <v/>
      </c>
      <c r="U387">
        <f>IF(T387,IF(AND(설정!$A$41&lt;&gt;"",ISNUMBER(SEARCH(설정!$A$41,K387))),설정!$B$41,IF(AND(설정!$A$42&lt;&gt;"",ISNUMBER(SEARCH(설정!$A$42,K387))),설정!$B$42,IF(AND(설정!$A$43&lt;&gt;"",ISNUMBER(SEARCH(설정!$A$43,K387))),설정!$B$43,IF(AND(설정!$A$44&lt;&gt;"",ISNUMBER(SEARCH(설정!$A$44,K387))),설정!$B$44,IF(AND(설정!$A$45&lt;&gt;"",ISNUMBER(SEARCH(설정!$A$45,K387))),설정!$B$45,IF(AND(설정!$A$46&lt;&gt;"",ISNUMBER(SEARCH(설정!$A$46,K387))),설정!$B$46,IF(AND(설정!$A$47&lt;&gt;"",ISNUMBER(SEARCH(설정!$A$47,K387))),설정!$B$47,IF(AND(설정!$A$48&lt;&gt;"",ISNUMBER(SEARCH(설정!$A$48,K387))),설정!$B$48,IF(M387="","설계사","시공사"))))))))),"")</f>
        <v/>
      </c>
      <c r="V387">
        <f>SUBSTITUTE(SUBSTITUTE(SUBSTITUTE(SUBSTITUTE(G387,"(주)",""),"㈜",""),"주식회사","")," ","")</f>
        <v/>
      </c>
      <c r="W387">
        <f>IF(AND(T387,V387&lt;&gt;""),IF(COUNTIFS(V$2:V387,V387,T$2:T387,TRUE)=1,MAX(W$1:W386)+1,""),"")</f>
        <v/>
      </c>
      <c r="X387">
        <f>IFERROR(INDEX('1.산군_붙여넣기'!$A$1:$AZ$1001,ROW(),설정!$C$14)&amp;"","")</f>
        <v/>
      </c>
      <c r="Y387">
        <f>IFERROR(INDEX('1.산군_붙여넣기'!$A$1:$AZ$1001,ROW(),설정!$C$15)&amp;"","")</f>
        <v/>
      </c>
      <c r="Z387">
        <f>IF(T387,V387&amp;"|"&amp;U387,"")</f>
        <v/>
      </c>
    </row>
    <row r="388">
      <c r="A388">
        <f>ROW()</f>
        <v/>
      </c>
      <c r="B388">
        <f>IFERROR(INDEX('1.산군_붙여넣기'!$A$1:$AZ$1001,ROW(),설정!$C$4)&amp;"","")</f>
        <v/>
      </c>
      <c r="C388">
        <f>IFERROR(INDEX('1.산군_붙여넣기'!$A$1:$AZ$1001,ROW(),설정!$C$5)&amp;"","")</f>
        <v/>
      </c>
      <c r="D388" s="5">
        <f>IFERROR(VALUE(SUBSTITUTE(SUBSTITUTE(SUBSTITUTE(IFERROR(INDEX('1.산군_붙여넣기'!$A$1:$AZ$1001,ROW(),설정!$C$6)&amp;"",""),",",""),"㎡",""),"m2","")),"")</f>
        <v/>
      </c>
      <c r="E388">
        <f>IFERROR(INDEX('1.산군_붙여넣기'!$A$1:$AZ$1001,ROW(),설정!$C$7)&amp;"","")</f>
        <v/>
      </c>
      <c r="F388">
        <f>IFERROR(INDEX('1.산군_붙여넣기'!$A$1:$AZ$1001,ROW(),설정!$C$8)&amp;"","")</f>
        <v/>
      </c>
      <c r="G388">
        <f>IFERROR(INDEX('1.산군_붙여넣기'!$A$1:$AZ$1001,ROW(),설정!$C$9)&amp;"","")</f>
        <v/>
      </c>
      <c r="H388">
        <f>IFERROR(INDEX('1.산군_붙여넣기'!$A$1:$AZ$1001,ROW(),설정!$C$10)&amp;"","")</f>
        <v/>
      </c>
      <c r="I388">
        <f>IFERROR(INDEX('1.산군_붙여넣기'!$A$1:$AZ$1001,ROW(),설정!$C$11)&amp;"","")</f>
        <v/>
      </c>
      <c r="J388">
        <f>IFERROR(INDEX('1.산군_붙여넣기'!$A$1:$AZ$1001,ROW(),설정!$C$12)&amp;"","")</f>
        <v/>
      </c>
      <c r="K388">
        <f>IFERROR(INDEX('1.산군_붙여넣기'!$A$1:$AZ$1001,ROW(),설정!$C$13)&amp;"","")</f>
        <v/>
      </c>
      <c r="L388" s="6">
        <f>IF(X388="","",IF(AND(LEN(X388)=8,ISNUMBER(X388*1)),DATE(LEFT(X388,4),MID(X388,5,2),RIGHT(X388,2)),IFERROR(DATEVALUE(SUBSTITUTE(SUBSTITUTE(X388,".","-"),"/","-")),IFERROR(X388*1,""))))</f>
        <v/>
      </c>
      <c r="M388" s="6">
        <f>IF(Y388="","",IF(AND(LEN(Y388)=8,ISNUMBER(Y388*1)),DATE(LEFT(Y388,4),MID(Y388,5,2),RIGHT(Y388,2)),IFERROR(DATEVALUE(SUBSTITUTE(SUBSTITUTE(Y388,".","-"),"/","-")),IFERROR(Y388*1,""))))</f>
        <v/>
      </c>
      <c r="N388">
        <f>IFERROR(LEFT(B388,FIND(" ",B388)-1),B388)</f>
        <v/>
      </c>
      <c r="O388">
        <f>AND(B388&lt;&gt;"",B388&lt;&gt;설정!$B$4,C388&lt;&gt;설정!$B$5)</f>
        <v/>
      </c>
      <c r="P388">
        <f>IF(O388,B388&amp;"|"&amp;C388,"")</f>
        <v/>
      </c>
      <c r="Q388">
        <f>AND(O388,COUNTIF(P389:P$1002,P388)=0)</f>
        <v/>
      </c>
      <c r="R388">
        <f>OR(AND(설정!$A$28&lt;&gt;"",ISNUMBER(SEARCH(설정!$A$28,E388&amp;" "&amp;C388))),AND(설정!$A$29&lt;&gt;"",ISNUMBER(SEARCH(설정!$A$29,E388&amp;" "&amp;C388))),AND(설정!$A$30&lt;&gt;"",ISNUMBER(SEARCH(설정!$A$30,E388&amp;" "&amp;C388))),AND(설정!$A$31&lt;&gt;"",ISNUMBER(SEARCH(설정!$A$31,E388&amp;" "&amp;C388))),AND(설정!$A$32&lt;&gt;"",ISNUMBER(SEARCH(설정!$A$32,E388&amp;" "&amp;C388))),AND(설정!$A$33&lt;&gt;"",ISNUMBER(SEARCH(설정!$A$33,E388&amp;" "&amp;C388))),AND(설정!$A$34&lt;&gt;"",ISNUMBER(SEARCH(설정!$A$34,E388&amp;" "&amp;C388))),AND(설정!$A$35&lt;&gt;"",ISNUMBER(SEARCH(설정!$A$35,E388&amp;" "&amp;C388))),AND(설정!$A$36&lt;&gt;"",ISNUMBER(SEARCH(설정!$A$36,E388&amp;" "&amp;C388))),AND(설정!$A$37&lt;&gt;"",ISNUMBER(SEARCH(설정!$A$37,E388&amp;" "&amp;C388))))</f>
        <v/>
      </c>
      <c r="S388">
        <f>OR(D388="",D388&gt;=설정!$B$19)</f>
        <v/>
      </c>
      <c r="T388">
        <f>AND(Q388,R388,S388)</f>
        <v/>
      </c>
      <c r="U388">
        <f>IF(T388,IF(AND(설정!$A$41&lt;&gt;"",ISNUMBER(SEARCH(설정!$A$41,K388))),설정!$B$41,IF(AND(설정!$A$42&lt;&gt;"",ISNUMBER(SEARCH(설정!$A$42,K388))),설정!$B$42,IF(AND(설정!$A$43&lt;&gt;"",ISNUMBER(SEARCH(설정!$A$43,K388))),설정!$B$43,IF(AND(설정!$A$44&lt;&gt;"",ISNUMBER(SEARCH(설정!$A$44,K388))),설정!$B$44,IF(AND(설정!$A$45&lt;&gt;"",ISNUMBER(SEARCH(설정!$A$45,K388))),설정!$B$45,IF(AND(설정!$A$46&lt;&gt;"",ISNUMBER(SEARCH(설정!$A$46,K388))),설정!$B$46,IF(AND(설정!$A$47&lt;&gt;"",ISNUMBER(SEARCH(설정!$A$47,K388))),설정!$B$47,IF(AND(설정!$A$48&lt;&gt;"",ISNUMBER(SEARCH(설정!$A$48,K388))),설정!$B$48,IF(M388="","설계사","시공사"))))))))),"")</f>
        <v/>
      </c>
      <c r="V388">
        <f>SUBSTITUTE(SUBSTITUTE(SUBSTITUTE(SUBSTITUTE(G388,"(주)",""),"㈜",""),"주식회사","")," ","")</f>
        <v/>
      </c>
      <c r="W388">
        <f>IF(AND(T388,V388&lt;&gt;""),IF(COUNTIFS(V$2:V388,V388,T$2:T388,TRUE)=1,MAX(W$1:W387)+1,""),"")</f>
        <v/>
      </c>
      <c r="X388">
        <f>IFERROR(INDEX('1.산군_붙여넣기'!$A$1:$AZ$1001,ROW(),설정!$C$14)&amp;"","")</f>
        <v/>
      </c>
      <c r="Y388">
        <f>IFERROR(INDEX('1.산군_붙여넣기'!$A$1:$AZ$1001,ROW(),설정!$C$15)&amp;"","")</f>
        <v/>
      </c>
      <c r="Z388">
        <f>IF(T388,V388&amp;"|"&amp;U388,"")</f>
        <v/>
      </c>
    </row>
    <row r="389">
      <c r="A389">
        <f>ROW()</f>
        <v/>
      </c>
      <c r="B389">
        <f>IFERROR(INDEX('1.산군_붙여넣기'!$A$1:$AZ$1001,ROW(),설정!$C$4)&amp;"","")</f>
        <v/>
      </c>
      <c r="C389">
        <f>IFERROR(INDEX('1.산군_붙여넣기'!$A$1:$AZ$1001,ROW(),설정!$C$5)&amp;"","")</f>
        <v/>
      </c>
      <c r="D389" s="5">
        <f>IFERROR(VALUE(SUBSTITUTE(SUBSTITUTE(SUBSTITUTE(IFERROR(INDEX('1.산군_붙여넣기'!$A$1:$AZ$1001,ROW(),설정!$C$6)&amp;"",""),",",""),"㎡",""),"m2","")),"")</f>
        <v/>
      </c>
      <c r="E389">
        <f>IFERROR(INDEX('1.산군_붙여넣기'!$A$1:$AZ$1001,ROW(),설정!$C$7)&amp;"","")</f>
        <v/>
      </c>
      <c r="F389">
        <f>IFERROR(INDEX('1.산군_붙여넣기'!$A$1:$AZ$1001,ROW(),설정!$C$8)&amp;"","")</f>
        <v/>
      </c>
      <c r="G389">
        <f>IFERROR(INDEX('1.산군_붙여넣기'!$A$1:$AZ$1001,ROW(),설정!$C$9)&amp;"","")</f>
        <v/>
      </c>
      <c r="H389">
        <f>IFERROR(INDEX('1.산군_붙여넣기'!$A$1:$AZ$1001,ROW(),설정!$C$10)&amp;"","")</f>
        <v/>
      </c>
      <c r="I389">
        <f>IFERROR(INDEX('1.산군_붙여넣기'!$A$1:$AZ$1001,ROW(),설정!$C$11)&amp;"","")</f>
        <v/>
      </c>
      <c r="J389">
        <f>IFERROR(INDEX('1.산군_붙여넣기'!$A$1:$AZ$1001,ROW(),설정!$C$12)&amp;"","")</f>
        <v/>
      </c>
      <c r="K389">
        <f>IFERROR(INDEX('1.산군_붙여넣기'!$A$1:$AZ$1001,ROW(),설정!$C$13)&amp;"","")</f>
        <v/>
      </c>
      <c r="L389" s="6">
        <f>IF(X389="","",IF(AND(LEN(X389)=8,ISNUMBER(X389*1)),DATE(LEFT(X389,4),MID(X389,5,2),RIGHT(X389,2)),IFERROR(DATEVALUE(SUBSTITUTE(SUBSTITUTE(X389,".","-"),"/","-")),IFERROR(X389*1,""))))</f>
        <v/>
      </c>
      <c r="M389" s="6">
        <f>IF(Y389="","",IF(AND(LEN(Y389)=8,ISNUMBER(Y389*1)),DATE(LEFT(Y389,4),MID(Y389,5,2),RIGHT(Y389,2)),IFERROR(DATEVALUE(SUBSTITUTE(SUBSTITUTE(Y389,".","-"),"/","-")),IFERROR(Y389*1,""))))</f>
        <v/>
      </c>
      <c r="N389">
        <f>IFERROR(LEFT(B389,FIND(" ",B389)-1),B389)</f>
        <v/>
      </c>
      <c r="O389">
        <f>AND(B389&lt;&gt;"",B389&lt;&gt;설정!$B$4,C389&lt;&gt;설정!$B$5)</f>
        <v/>
      </c>
      <c r="P389">
        <f>IF(O389,B389&amp;"|"&amp;C389,"")</f>
        <v/>
      </c>
      <c r="Q389">
        <f>AND(O389,COUNTIF(P390:P$1002,P389)=0)</f>
        <v/>
      </c>
      <c r="R389">
        <f>OR(AND(설정!$A$28&lt;&gt;"",ISNUMBER(SEARCH(설정!$A$28,E389&amp;" "&amp;C389))),AND(설정!$A$29&lt;&gt;"",ISNUMBER(SEARCH(설정!$A$29,E389&amp;" "&amp;C389))),AND(설정!$A$30&lt;&gt;"",ISNUMBER(SEARCH(설정!$A$30,E389&amp;" "&amp;C389))),AND(설정!$A$31&lt;&gt;"",ISNUMBER(SEARCH(설정!$A$31,E389&amp;" "&amp;C389))),AND(설정!$A$32&lt;&gt;"",ISNUMBER(SEARCH(설정!$A$32,E389&amp;" "&amp;C389))),AND(설정!$A$33&lt;&gt;"",ISNUMBER(SEARCH(설정!$A$33,E389&amp;" "&amp;C389))),AND(설정!$A$34&lt;&gt;"",ISNUMBER(SEARCH(설정!$A$34,E389&amp;" "&amp;C389))),AND(설정!$A$35&lt;&gt;"",ISNUMBER(SEARCH(설정!$A$35,E389&amp;" "&amp;C389))),AND(설정!$A$36&lt;&gt;"",ISNUMBER(SEARCH(설정!$A$36,E389&amp;" "&amp;C389))),AND(설정!$A$37&lt;&gt;"",ISNUMBER(SEARCH(설정!$A$37,E389&amp;" "&amp;C389))))</f>
        <v/>
      </c>
      <c r="S389">
        <f>OR(D389="",D389&gt;=설정!$B$19)</f>
        <v/>
      </c>
      <c r="T389">
        <f>AND(Q389,R389,S389)</f>
        <v/>
      </c>
      <c r="U389">
        <f>IF(T389,IF(AND(설정!$A$41&lt;&gt;"",ISNUMBER(SEARCH(설정!$A$41,K389))),설정!$B$41,IF(AND(설정!$A$42&lt;&gt;"",ISNUMBER(SEARCH(설정!$A$42,K389))),설정!$B$42,IF(AND(설정!$A$43&lt;&gt;"",ISNUMBER(SEARCH(설정!$A$43,K389))),설정!$B$43,IF(AND(설정!$A$44&lt;&gt;"",ISNUMBER(SEARCH(설정!$A$44,K389))),설정!$B$44,IF(AND(설정!$A$45&lt;&gt;"",ISNUMBER(SEARCH(설정!$A$45,K389))),설정!$B$45,IF(AND(설정!$A$46&lt;&gt;"",ISNUMBER(SEARCH(설정!$A$46,K389))),설정!$B$46,IF(AND(설정!$A$47&lt;&gt;"",ISNUMBER(SEARCH(설정!$A$47,K389))),설정!$B$47,IF(AND(설정!$A$48&lt;&gt;"",ISNUMBER(SEARCH(설정!$A$48,K389))),설정!$B$48,IF(M389="","설계사","시공사"))))))))),"")</f>
        <v/>
      </c>
      <c r="V389">
        <f>SUBSTITUTE(SUBSTITUTE(SUBSTITUTE(SUBSTITUTE(G389,"(주)",""),"㈜",""),"주식회사","")," ","")</f>
        <v/>
      </c>
      <c r="W389">
        <f>IF(AND(T389,V389&lt;&gt;""),IF(COUNTIFS(V$2:V389,V389,T$2:T389,TRUE)=1,MAX(W$1:W388)+1,""),"")</f>
        <v/>
      </c>
      <c r="X389">
        <f>IFERROR(INDEX('1.산군_붙여넣기'!$A$1:$AZ$1001,ROW(),설정!$C$14)&amp;"","")</f>
        <v/>
      </c>
      <c r="Y389">
        <f>IFERROR(INDEX('1.산군_붙여넣기'!$A$1:$AZ$1001,ROW(),설정!$C$15)&amp;"","")</f>
        <v/>
      </c>
      <c r="Z389">
        <f>IF(T389,V389&amp;"|"&amp;U389,"")</f>
        <v/>
      </c>
    </row>
    <row r="390">
      <c r="A390">
        <f>ROW()</f>
        <v/>
      </c>
      <c r="B390">
        <f>IFERROR(INDEX('1.산군_붙여넣기'!$A$1:$AZ$1001,ROW(),설정!$C$4)&amp;"","")</f>
        <v/>
      </c>
      <c r="C390">
        <f>IFERROR(INDEX('1.산군_붙여넣기'!$A$1:$AZ$1001,ROW(),설정!$C$5)&amp;"","")</f>
        <v/>
      </c>
      <c r="D390" s="5">
        <f>IFERROR(VALUE(SUBSTITUTE(SUBSTITUTE(SUBSTITUTE(IFERROR(INDEX('1.산군_붙여넣기'!$A$1:$AZ$1001,ROW(),설정!$C$6)&amp;"",""),",",""),"㎡",""),"m2","")),"")</f>
        <v/>
      </c>
      <c r="E390">
        <f>IFERROR(INDEX('1.산군_붙여넣기'!$A$1:$AZ$1001,ROW(),설정!$C$7)&amp;"","")</f>
        <v/>
      </c>
      <c r="F390">
        <f>IFERROR(INDEX('1.산군_붙여넣기'!$A$1:$AZ$1001,ROW(),설정!$C$8)&amp;"","")</f>
        <v/>
      </c>
      <c r="G390">
        <f>IFERROR(INDEX('1.산군_붙여넣기'!$A$1:$AZ$1001,ROW(),설정!$C$9)&amp;"","")</f>
        <v/>
      </c>
      <c r="H390">
        <f>IFERROR(INDEX('1.산군_붙여넣기'!$A$1:$AZ$1001,ROW(),설정!$C$10)&amp;"","")</f>
        <v/>
      </c>
      <c r="I390">
        <f>IFERROR(INDEX('1.산군_붙여넣기'!$A$1:$AZ$1001,ROW(),설정!$C$11)&amp;"","")</f>
        <v/>
      </c>
      <c r="J390">
        <f>IFERROR(INDEX('1.산군_붙여넣기'!$A$1:$AZ$1001,ROW(),설정!$C$12)&amp;"","")</f>
        <v/>
      </c>
      <c r="K390">
        <f>IFERROR(INDEX('1.산군_붙여넣기'!$A$1:$AZ$1001,ROW(),설정!$C$13)&amp;"","")</f>
        <v/>
      </c>
      <c r="L390" s="6">
        <f>IF(X390="","",IF(AND(LEN(X390)=8,ISNUMBER(X390*1)),DATE(LEFT(X390,4),MID(X390,5,2),RIGHT(X390,2)),IFERROR(DATEVALUE(SUBSTITUTE(SUBSTITUTE(X390,".","-"),"/","-")),IFERROR(X390*1,""))))</f>
        <v/>
      </c>
      <c r="M390" s="6">
        <f>IF(Y390="","",IF(AND(LEN(Y390)=8,ISNUMBER(Y390*1)),DATE(LEFT(Y390,4),MID(Y390,5,2),RIGHT(Y390,2)),IFERROR(DATEVALUE(SUBSTITUTE(SUBSTITUTE(Y390,".","-"),"/","-")),IFERROR(Y390*1,""))))</f>
        <v/>
      </c>
      <c r="N390">
        <f>IFERROR(LEFT(B390,FIND(" ",B390)-1),B390)</f>
        <v/>
      </c>
      <c r="O390">
        <f>AND(B390&lt;&gt;"",B390&lt;&gt;설정!$B$4,C390&lt;&gt;설정!$B$5)</f>
        <v/>
      </c>
      <c r="P390">
        <f>IF(O390,B390&amp;"|"&amp;C390,"")</f>
        <v/>
      </c>
      <c r="Q390">
        <f>AND(O390,COUNTIF(P391:P$1002,P390)=0)</f>
        <v/>
      </c>
      <c r="R390">
        <f>OR(AND(설정!$A$28&lt;&gt;"",ISNUMBER(SEARCH(설정!$A$28,E390&amp;" "&amp;C390))),AND(설정!$A$29&lt;&gt;"",ISNUMBER(SEARCH(설정!$A$29,E390&amp;" "&amp;C390))),AND(설정!$A$30&lt;&gt;"",ISNUMBER(SEARCH(설정!$A$30,E390&amp;" "&amp;C390))),AND(설정!$A$31&lt;&gt;"",ISNUMBER(SEARCH(설정!$A$31,E390&amp;" "&amp;C390))),AND(설정!$A$32&lt;&gt;"",ISNUMBER(SEARCH(설정!$A$32,E390&amp;" "&amp;C390))),AND(설정!$A$33&lt;&gt;"",ISNUMBER(SEARCH(설정!$A$33,E390&amp;" "&amp;C390))),AND(설정!$A$34&lt;&gt;"",ISNUMBER(SEARCH(설정!$A$34,E390&amp;" "&amp;C390))),AND(설정!$A$35&lt;&gt;"",ISNUMBER(SEARCH(설정!$A$35,E390&amp;" "&amp;C390))),AND(설정!$A$36&lt;&gt;"",ISNUMBER(SEARCH(설정!$A$36,E390&amp;" "&amp;C390))),AND(설정!$A$37&lt;&gt;"",ISNUMBER(SEARCH(설정!$A$37,E390&amp;" "&amp;C390))))</f>
        <v/>
      </c>
      <c r="S390">
        <f>OR(D390="",D390&gt;=설정!$B$19)</f>
        <v/>
      </c>
      <c r="T390">
        <f>AND(Q390,R390,S390)</f>
        <v/>
      </c>
      <c r="U390">
        <f>IF(T390,IF(AND(설정!$A$41&lt;&gt;"",ISNUMBER(SEARCH(설정!$A$41,K390))),설정!$B$41,IF(AND(설정!$A$42&lt;&gt;"",ISNUMBER(SEARCH(설정!$A$42,K390))),설정!$B$42,IF(AND(설정!$A$43&lt;&gt;"",ISNUMBER(SEARCH(설정!$A$43,K390))),설정!$B$43,IF(AND(설정!$A$44&lt;&gt;"",ISNUMBER(SEARCH(설정!$A$44,K390))),설정!$B$44,IF(AND(설정!$A$45&lt;&gt;"",ISNUMBER(SEARCH(설정!$A$45,K390))),설정!$B$45,IF(AND(설정!$A$46&lt;&gt;"",ISNUMBER(SEARCH(설정!$A$46,K390))),설정!$B$46,IF(AND(설정!$A$47&lt;&gt;"",ISNUMBER(SEARCH(설정!$A$47,K390))),설정!$B$47,IF(AND(설정!$A$48&lt;&gt;"",ISNUMBER(SEARCH(설정!$A$48,K390))),설정!$B$48,IF(M390="","설계사","시공사"))))))))),"")</f>
        <v/>
      </c>
      <c r="V390">
        <f>SUBSTITUTE(SUBSTITUTE(SUBSTITUTE(SUBSTITUTE(G390,"(주)",""),"㈜",""),"주식회사","")," ","")</f>
        <v/>
      </c>
      <c r="W390">
        <f>IF(AND(T390,V390&lt;&gt;""),IF(COUNTIFS(V$2:V390,V390,T$2:T390,TRUE)=1,MAX(W$1:W389)+1,""),"")</f>
        <v/>
      </c>
      <c r="X390">
        <f>IFERROR(INDEX('1.산군_붙여넣기'!$A$1:$AZ$1001,ROW(),설정!$C$14)&amp;"","")</f>
        <v/>
      </c>
      <c r="Y390">
        <f>IFERROR(INDEX('1.산군_붙여넣기'!$A$1:$AZ$1001,ROW(),설정!$C$15)&amp;"","")</f>
        <v/>
      </c>
      <c r="Z390">
        <f>IF(T390,V390&amp;"|"&amp;U390,"")</f>
        <v/>
      </c>
    </row>
    <row r="391">
      <c r="A391">
        <f>ROW()</f>
        <v/>
      </c>
      <c r="B391">
        <f>IFERROR(INDEX('1.산군_붙여넣기'!$A$1:$AZ$1001,ROW(),설정!$C$4)&amp;"","")</f>
        <v/>
      </c>
      <c r="C391">
        <f>IFERROR(INDEX('1.산군_붙여넣기'!$A$1:$AZ$1001,ROW(),설정!$C$5)&amp;"","")</f>
        <v/>
      </c>
      <c r="D391" s="5">
        <f>IFERROR(VALUE(SUBSTITUTE(SUBSTITUTE(SUBSTITUTE(IFERROR(INDEX('1.산군_붙여넣기'!$A$1:$AZ$1001,ROW(),설정!$C$6)&amp;"",""),",",""),"㎡",""),"m2","")),"")</f>
        <v/>
      </c>
      <c r="E391">
        <f>IFERROR(INDEX('1.산군_붙여넣기'!$A$1:$AZ$1001,ROW(),설정!$C$7)&amp;"","")</f>
        <v/>
      </c>
      <c r="F391">
        <f>IFERROR(INDEX('1.산군_붙여넣기'!$A$1:$AZ$1001,ROW(),설정!$C$8)&amp;"","")</f>
        <v/>
      </c>
      <c r="G391">
        <f>IFERROR(INDEX('1.산군_붙여넣기'!$A$1:$AZ$1001,ROW(),설정!$C$9)&amp;"","")</f>
        <v/>
      </c>
      <c r="H391">
        <f>IFERROR(INDEX('1.산군_붙여넣기'!$A$1:$AZ$1001,ROW(),설정!$C$10)&amp;"","")</f>
        <v/>
      </c>
      <c r="I391">
        <f>IFERROR(INDEX('1.산군_붙여넣기'!$A$1:$AZ$1001,ROW(),설정!$C$11)&amp;"","")</f>
        <v/>
      </c>
      <c r="J391">
        <f>IFERROR(INDEX('1.산군_붙여넣기'!$A$1:$AZ$1001,ROW(),설정!$C$12)&amp;"","")</f>
        <v/>
      </c>
      <c r="K391">
        <f>IFERROR(INDEX('1.산군_붙여넣기'!$A$1:$AZ$1001,ROW(),설정!$C$13)&amp;"","")</f>
        <v/>
      </c>
      <c r="L391" s="6">
        <f>IF(X391="","",IF(AND(LEN(X391)=8,ISNUMBER(X391*1)),DATE(LEFT(X391,4),MID(X391,5,2),RIGHT(X391,2)),IFERROR(DATEVALUE(SUBSTITUTE(SUBSTITUTE(X391,".","-"),"/","-")),IFERROR(X391*1,""))))</f>
        <v/>
      </c>
      <c r="M391" s="6">
        <f>IF(Y391="","",IF(AND(LEN(Y391)=8,ISNUMBER(Y391*1)),DATE(LEFT(Y391,4),MID(Y391,5,2),RIGHT(Y391,2)),IFERROR(DATEVALUE(SUBSTITUTE(SUBSTITUTE(Y391,".","-"),"/","-")),IFERROR(Y391*1,""))))</f>
        <v/>
      </c>
      <c r="N391">
        <f>IFERROR(LEFT(B391,FIND(" ",B391)-1),B391)</f>
        <v/>
      </c>
      <c r="O391">
        <f>AND(B391&lt;&gt;"",B391&lt;&gt;설정!$B$4,C391&lt;&gt;설정!$B$5)</f>
        <v/>
      </c>
      <c r="P391">
        <f>IF(O391,B391&amp;"|"&amp;C391,"")</f>
        <v/>
      </c>
      <c r="Q391">
        <f>AND(O391,COUNTIF(P392:P$1002,P391)=0)</f>
        <v/>
      </c>
      <c r="R391">
        <f>OR(AND(설정!$A$28&lt;&gt;"",ISNUMBER(SEARCH(설정!$A$28,E391&amp;" "&amp;C391))),AND(설정!$A$29&lt;&gt;"",ISNUMBER(SEARCH(설정!$A$29,E391&amp;" "&amp;C391))),AND(설정!$A$30&lt;&gt;"",ISNUMBER(SEARCH(설정!$A$30,E391&amp;" "&amp;C391))),AND(설정!$A$31&lt;&gt;"",ISNUMBER(SEARCH(설정!$A$31,E391&amp;" "&amp;C391))),AND(설정!$A$32&lt;&gt;"",ISNUMBER(SEARCH(설정!$A$32,E391&amp;" "&amp;C391))),AND(설정!$A$33&lt;&gt;"",ISNUMBER(SEARCH(설정!$A$33,E391&amp;" "&amp;C391))),AND(설정!$A$34&lt;&gt;"",ISNUMBER(SEARCH(설정!$A$34,E391&amp;" "&amp;C391))),AND(설정!$A$35&lt;&gt;"",ISNUMBER(SEARCH(설정!$A$35,E391&amp;" "&amp;C391))),AND(설정!$A$36&lt;&gt;"",ISNUMBER(SEARCH(설정!$A$36,E391&amp;" "&amp;C391))),AND(설정!$A$37&lt;&gt;"",ISNUMBER(SEARCH(설정!$A$37,E391&amp;" "&amp;C391))))</f>
        <v/>
      </c>
      <c r="S391">
        <f>OR(D391="",D391&gt;=설정!$B$19)</f>
        <v/>
      </c>
      <c r="T391">
        <f>AND(Q391,R391,S391)</f>
        <v/>
      </c>
      <c r="U391">
        <f>IF(T391,IF(AND(설정!$A$41&lt;&gt;"",ISNUMBER(SEARCH(설정!$A$41,K391))),설정!$B$41,IF(AND(설정!$A$42&lt;&gt;"",ISNUMBER(SEARCH(설정!$A$42,K391))),설정!$B$42,IF(AND(설정!$A$43&lt;&gt;"",ISNUMBER(SEARCH(설정!$A$43,K391))),설정!$B$43,IF(AND(설정!$A$44&lt;&gt;"",ISNUMBER(SEARCH(설정!$A$44,K391))),설정!$B$44,IF(AND(설정!$A$45&lt;&gt;"",ISNUMBER(SEARCH(설정!$A$45,K391))),설정!$B$45,IF(AND(설정!$A$46&lt;&gt;"",ISNUMBER(SEARCH(설정!$A$46,K391))),설정!$B$46,IF(AND(설정!$A$47&lt;&gt;"",ISNUMBER(SEARCH(설정!$A$47,K391))),설정!$B$47,IF(AND(설정!$A$48&lt;&gt;"",ISNUMBER(SEARCH(설정!$A$48,K391))),설정!$B$48,IF(M391="","설계사","시공사"))))))))),"")</f>
        <v/>
      </c>
      <c r="V391">
        <f>SUBSTITUTE(SUBSTITUTE(SUBSTITUTE(SUBSTITUTE(G391,"(주)",""),"㈜",""),"주식회사","")," ","")</f>
        <v/>
      </c>
      <c r="W391">
        <f>IF(AND(T391,V391&lt;&gt;""),IF(COUNTIFS(V$2:V391,V391,T$2:T391,TRUE)=1,MAX(W$1:W390)+1,""),"")</f>
        <v/>
      </c>
      <c r="X391">
        <f>IFERROR(INDEX('1.산군_붙여넣기'!$A$1:$AZ$1001,ROW(),설정!$C$14)&amp;"","")</f>
        <v/>
      </c>
      <c r="Y391">
        <f>IFERROR(INDEX('1.산군_붙여넣기'!$A$1:$AZ$1001,ROW(),설정!$C$15)&amp;"","")</f>
        <v/>
      </c>
      <c r="Z391">
        <f>IF(T391,V391&amp;"|"&amp;U391,"")</f>
        <v/>
      </c>
    </row>
    <row r="392">
      <c r="A392">
        <f>ROW()</f>
        <v/>
      </c>
      <c r="B392">
        <f>IFERROR(INDEX('1.산군_붙여넣기'!$A$1:$AZ$1001,ROW(),설정!$C$4)&amp;"","")</f>
        <v/>
      </c>
      <c r="C392">
        <f>IFERROR(INDEX('1.산군_붙여넣기'!$A$1:$AZ$1001,ROW(),설정!$C$5)&amp;"","")</f>
        <v/>
      </c>
      <c r="D392" s="5">
        <f>IFERROR(VALUE(SUBSTITUTE(SUBSTITUTE(SUBSTITUTE(IFERROR(INDEX('1.산군_붙여넣기'!$A$1:$AZ$1001,ROW(),설정!$C$6)&amp;"",""),",",""),"㎡",""),"m2","")),"")</f>
        <v/>
      </c>
      <c r="E392">
        <f>IFERROR(INDEX('1.산군_붙여넣기'!$A$1:$AZ$1001,ROW(),설정!$C$7)&amp;"","")</f>
        <v/>
      </c>
      <c r="F392">
        <f>IFERROR(INDEX('1.산군_붙여넣기'!$A$1:$AZ$1001,ROW(),설정!$C$8)&amp;"","")</f>
        <v/>
      </c>
      <c r="G392">
        <f>IFERROR(INDEX('1.산군_붙여넣기'!$A$1:$AZ$1001,ROW(),설정!$C$9)&amp;"","")</f>
        <v/>
      </c>
      <c r="H392">
        <f>IFERROR(INDEX('1.산군_붙여넣기'!$A$1:$AZ$1001,ROW(),설정!$C$10)&amp;"","")</f>
        <v/>
      </c>
      <c r="I392">
        <f>IFERROR(INDEX('1.산군_붙여넣기'!$A$1:$AZ$1001,ROW(),설정!$C$11)&amp;"","")</f>
        <v/>
      </c>
      <c r="J392">
        <f>IFERROR(INDEX('1.산군_붙여넣기'!$A$1:$AZ$1001,ROW(),설정!$C$12)&amp;"","")</f>
        <v/>
      </c>
      <c r="K392">
        <f>IFERROR(INDEX('1.산군_붙여넣기'!$A$1:$AZ$1001,ROW(),설정!$C$13)&amp;"","")</f>
        <v/>
      </c>
      <c r="L392" s="6">
        <f>IF(X392="","",IF(AND(LEN(X392)=8,ISNUMBER(X392*1)),DATE(LEFT(X392,4),MID(X392,5,2),RIGHT(X392,2)),IFERROR(DATEVALUE(SUBSTITUTE(SUBSTITUTE(X392,".","-"),"/","-")),IFERROR(X392*1,""))))</f>
        <v/>
      </c>
      <c r="M392" s="6">
        <f>IF(Y392="","",IF(AND(LEN(Y392)=8,ISNUMBER(Y392*1)),DATE(LEFT(Y392,4),MID(Y392,5,2),RIGHT(Y392,2)),IFERROR(DATEVALUE(SUBSTITUTE(SUBSTITUTE(Y392,".","-"),"/","-")),IFERROR(Y392*1,""))))</f>
        <v/>
      </c>
      <c r="N392">
        <f>IFERROR(LEFT(B392,FIND(" ",B392)-1),B392)</f>
        <v/>
      </c>
      <c r="O392">
        <f>AND(B392&lt;&gt;"",B392&lt;&gt;설정!$B$4,C392&lt;&gt;설정!$B$5)</f>
        <v/>
      </c>
      <c r="P392">
        <f>IF(O392,B392&amp;"|"&amp;C392,"")</f>
        <v/>
      </c>
      <c r="Q392">
        <f>AND(O392,COUNTIF(P393:P$1002,P392)=0)</f>
        <v/>
      </c>
      <c r="R392">
        <f>OR(AND(설정!$A$28&lt;&gt;"",ISNUMBER(SEARCH(설정!$A$28,E392&amp;" "&amp;C392))),AND(설정!$A$29&lt;&gt;"",ISNUMBER(SEARCH(설정!$A$29,E392&amp;" "&amp;C392))),AND(설정!$A$30&lt;&gt;"",ISNUMBER(SEARCH(설정!$A$30,E392&amp;" "&amp;C392))),AND(설정!$A$31&lt;&gt;"",ISNUMBER(SEARCH(설정!$A$31,E392&amp;" "&amp;C392))),AND(설정!$A$32&lt;&gt;"",ISNUMBER(SEARCH(설정!$A$32,E392&amp;" "&amp;C392))),AND(설정!$A$33&lt;&gt;"",ISNUMBER(SEARCH(설정!$A$33,E392&amp;" "&amp;C392))),AND(설정!$A$34&lt;&gt;"",ISNUMBER(SEARCH(설정!$A$34,E392&amp;" "&amp;C392))),AND(설정!$A$35&lt;&gt;"",ISNUMBER(SEARCH(설정!$A$35,E392&amp;" "&amp;C392))),AND(설정!$A$36&lt;&gt;"",ISNUMBER(SEARCH(설정!$A$36,E392&amp;" "&amp;C392))),AND(설정!$A$37&lt;&gt;"",ISNUMBER(SEARCH(설정!$A$37,E392&amp;" "&amp;C392))))</f>
        <v/>
      </c>
      <c r="S392">
        <f>OR(D392="",D392&gt;=설정!$B$19)</f>
        <v/>
      </c>
      <c r="T392">
        <f>AND(Q392,R392,S392)</f>
        <v/>
      </c>
      <c r="U392">
        <f>IF(T392,IF(AND(설정!$A$41&lt;&gt;"",ISNUMBER(SEARCH(설정!$A$41,K392))),설정!$B$41,IF(AND(설정!$A$42&lt;&gt;"",ISNUMBER(SEARCH(설정!$A$42,K392))),설정!$B$42,IF(AND(설정!$A$43&lt;&gt;"",ISNUMBER(SEARCH(설정!$A$43,K392))),설정!$B$43,IF(AND(설정!$A$44&lt;&gt;"",ISNUMBER(SEARCH(설정!$A$44,K392))),설정!$B$44,IF(AND(설정!$A$45&lt;&gt;"",ISNUMBER(SEARCH(설정!$A$45,K392))),설정!$B$45,IF(AND(설정!$A$46&lt;&gt;"",ISNUMBER(SEARCH(설정!$A$46,K392))),설정!$B$46,IF(AND(설정!$A$47&lt;&gt;"",ISNUMBER(SEARCH(설정!$A$47,K392))),설정!$B$47,IF(AND(설정!$A$48&lt;&gt;"",ISNUMBER(SEARCH(설정!$A$48,K392))),설정!$B$48,IF(M392="","설계사","시공사"))))))))),"")</f>
        <v/>
      </c>
      <c r="V392">
        <f>SUBSTITUTE(SUBSTITUTE(SUBSTITUTE(SUBSTITUTE(G392,"(주)",""),"㈜",""),"주식회사","")," ","")</f>
        <v/>
      </c>
      <c r="W392">
        <f>IF(AND(T392,V392&lt;&gt;""),IF(COUNTIFS(V$2:V392,V392,T$2:T392,TRUE)=1,MAX(W$1:W391)+1,""),"")</f>
        <v/>
      </c>
      <c r="X392">
        <f>IFERROR(INDEX('1.산군_붙여넣기'!$A$1:$AZ$1001,ROW(),설정!$C$14)&amp;"","")</f>
        <v/>
      </c>
      <c r="Y392">
        <f>IFERROR(INDEX('1.산군_붙여넣기'!$A$1:$AZ$1001,ROW(),설정!$C$15)&amp;"","")</f>
        <v/>
      </c>
      <c r="Z392">
        <f>IF(T392,V392&amp;"|"&amp;U392,"")</f>
        <v/>
      </c>
    </row>
    <row r="393">
      <c r="A393">
        <f>ROW()</f>
        <v/>
      </c>
      <c r="B393">
        <f>IFERROR(INDEX('1.산군_붙여넣기'!$A$1:$AZ$1001,ROW(),설정!$C$4)&amp;"","")</f>
        <v/>
      </c>
      <c r="C393">
        <f>IFERROR(INDEX('1.산군_붙여넣기'!$A$1:$AZ$1001,ROW(),설정!$C$5)&amp;"","")</f>
        <v/>
      </c>
      <c r="D393" s="5">
        <f>IFERROR(VALUE(SUBSTITUTE(SUBSTITUTE(SUBSTITUTE(IFERROR(INDEX('1.산군_붙여넣기'!$A$1:$AZ$1001,ROW(),설정!$C$6)&amp;"",""),",",""),"㎡",""),"m2","")),"")</f>
        <v/>
      </c>
      <c r="E393">
        <f>IFERROR(INDEX('1.산군_붙여넣기'!$A$1:$AZ$1001,ROW(),설정!$C$7)&amp;"","")</f>
        <v/>
      </c>
      <c r="F393">
        <f>IFERROR(INDEX('1.산군_붙여넣기'!$A$1:$AZ$1001,ROW(),설정!$C$8)&amp;"","")</f>
        <v/>
      </c>
      <c r="G393">
        <f>IFERROR(INDEX('1.산군_붙여넣기'!$A$1:$AZ$1001,ROW(),설정!$C$9)&amp;"","")</f>
        <v/>
      </c>
      <c r="H393">
        <f>IFERROR(INDEX('1.산군_붙여넣기'!$A$1:$AZ$1001,ROW(),설정!$C$10)&amp;"","")</f>
        <v/>
      </c>
      <c r="I393">
        <f>IFERROR(INDEX('1.산군_붙여넣기'!$A$1:$AZ$1001,ROW(),설정!$C$11)&amp;"","")</f>
        <v/>
      </c>
      <c r="J393">
        <f>IFERROR(INDEX('1.산군_붙여넣기'!$A$1:$AZ$1001,ROW(),설정!$C$12)&amp;"","")</f>
        <v/>
      </c>
      <c r="K393">
        <f>IFERROR(INDEX('1.산군_붙여넣기'!$A$1:$AZ$1001,ROW(),설정!$C$13)&amp;"","")</f>
        <v/>
      </c>
      <c r="L393" s="6">
        <f>IF(X393="","",IF(AND(LEN(X393)=8,ISNUMBER(X393*1)),DATE(LEFT(X393,4),MID(X393,5,2),RIGHT(X393,2)),IFERROR(DATEVALUE(SUBSTITUTE(SUBSTITUTE(X393,".","-"),"/","-")),IFERROR(X393*1,""))))</f>
        <v/>
      </c>
      <c r="M393" s="6">
        <f>IF(Y393="","",IF(AND(LEN(Y393)=8,ISNUMBER(Y393*1)),DATE(LEFT(Y393,4),MID(Y393,5,2),RIGHT(Y393,2)),IFERROR(DATEVALUE(SUBSTITUTE(SUBSTITUTE(Y393,".","-"),"/","-")),IFERROR(Y393*1,""))))</f>
        <v/>
      </c>
      <c r="N393">
        <f>IFERROR(LEFT(B393,FIND(" ",B393)-1),B393)</f>
        <v/>
      </c>
      <c r="O393">
        <f>AND(B393&lt;&gt;"",B393&lt;&gt;설정!$B$4,C393&lt;&gt;설정!$B$5)</f>
        <v/>
      </c>
      <c r="P393">
        <f>IF(O393,B393&amp;"|"&amp;C393,"")</f>
        <v/>
      </c>
      <c r="Q393">
        <f>AND(O393,COUNTIF(P394:P$1002,P393)=0)</f>
        <v/>
      </c>
      <c r="R393">
        <f>OR(AND(설정!$A$28&lt;&gt;"",ISNUMBER(SEARCH(설정!$A$28,E393&amp;" "&amp;C393))),AND(설정!$A$29&lt;&gt;"",ISNUMBER(SEARCH(설정!$A$29,E393&amp;" "&amp;C393))),AND(설정!$A$30&lt;&gt;"",ISNUMBER(SEARCH(설정!$A$30,E393&amp;" "&amp;C393))),AND(설정!$A$31&lt;&gt;"",ISNUMBER(SEARCH(설정!$A$31,E393&amp;" "&amp;C393))),AND(설정!$A$32&lt;&gt;"",ISNUMBER(SEARCH(설정!$A$32,E393&amp;" "&amp;C393))),AND(설정!$A$33&lt;&gt;"",ISNUMBER(SEARCH(설정!$A$33,E393&amp;" "&amp;C393))),AND(설정!$A$34&lt;&gt;"",ISNUMBER(SEARCH(설정!$A$34,E393&amp;" "&amp;C393))),AND(설정!$A$35&lt;&gt;"",ISNUMBER(SEARCH(설정!$A$35,E393&amp;" "&amp;C393))),AND(설정!$A$36&lt;&gt;"",ISNUMBER(SEARCH(설정!$A$36,E393&amp;" "&amp;C393))),AND(설정!$A$37&lt;&gt;"",ISNUMBER(SEARCH(설정!$A$37,E393&amp;" "&amp;C393))))</f>
        <v/>
      </c>
      <c r="S393">
        <f>OR(D393="",D393&gt;=설정!$B$19)</f>
        <v/>
      </c>
      <c r="T393">
        <f>AND(Q393,R393,S393)</f>
        <v/>
      </c>
      <c r="U393">
        <f>IF(T393,IF(AND(설정!$A$41&lt;&gt;"",ISNUMBER(SEARCH(설정!$A$41,K393))),설정!$B$41,IF(AND(설정!$A$42&lt;&gt;"",ISNUMBER(SEARCH(설정!$A$42,K393))),설정!$B$42,IF(AND(설정!$A$43&lt;&gt;"",ISNUMBER(SEARCH(설정!$A$43,K393))),설정!$B$43,IF(AND(설정!$A$44&lt;&gt;"",ISNUMBER(SEARCH(설정!$A$44,K393))),설정!$B$44,IF(AND(설정!$A$45&lt;&gt;"",ISNUMBER(SEARCH(설정!$A$45,K393))),설정!$B$45,IF(AND(설정!$A$46&lt;&gt;"",ISNUMBER(SEARCH(설정!$A$46,K393))),설정!$B$46,IF(AND(설정!$A$47&lt;&gt;"",ISNUMBER(SEARCH(설정!$A$47,K393))),설정!$B$47,IF(AND(설정!$A$48&lt;&gt;"",ISNUMBER(SEARCH(설정!$A$48,K393))),설정!$B$48,IF(M393="","설계사","시공사"))))))))),"")</f>
        <v/>
      </c>
      <c r="V393">
        <f>SUBSTITUTE(SUBSTITUTE(SUBSTITUTE(SUBSTITUTE(G393,"(주)",""),"㈜",""),"주식회사","")," ","")</f>
        <v/>
      </c>
      <c r="W393">
        <f>IF(AND(T393,V393&lt;&gt;""),IF(COUNTIFS(V$2:V393,V393,T$2:T393,TRUE)=1,MAX(W$1:W392)+1,""),"")</f>
        <v/>
      </c>
      <c r="X393">
        <f>IFERROR(INDEX('1.산군_붙여넣기'!$A$1:$AZ$1001,ROW(),설정!$C$14)&amp;"","")</f>
        <v/>
      </c>
      <c r="Y393">
        <f>IFERROR(INDEX('1.산군_붙여넣기'!$A$1:$AZ$1001,ROW(),설정!$C$15)&amp;"","")</f>
        <v/>
      </c>
      <c r="Z393">
        <f>IF(T393,V393&amp;"|"&amp;U393,"")</f>
        <v/>
      </c>
    </row>
    <row r="394">
      <c r="A394">
        <f>ROW()</f>
        <v/>
      </c>
      <c r="B394">
        <f>IFERROR(INDEX('1.산군_붙여넣기'!$A$1:$AZ$1001,ROW(),설정!$C$4)&amp;"","")</f>
        <v/>
      </c>
      <c r="C394">
        <f>IFERROR(INDEX('1.산군_붙여넣기'!$A$1:$AZ$1001,ROW(),설정!$C$5)&amp;"","")</f>
        <v/>
      </c>
      <c r="D394" s="5">
        <f>IFERROR(VALUE(SUBSTITUTE(SUBSTITUTE(SUBSTITUTE(IFERROR(INDEX('1.산군_붙여넣기'!$A$1:$AZ$1001,ROW(),설정!$C$6)&amp;"",""),",",""),"㎡",""),"m2","")),"")</f>
        <v/>
      </c>
      <c r="E394">
        <f>IFERROR(INDEX('1.산군_붙여넣기'!$A$1:$AZ$1001,ROW(),설정!$C$7)&amp;"","")</f>
        <v/>
      </c>
      <c r="F394">
        <f>IFERROR(INDEX('1.산군_붙여넣기'!$A$1:$AZ$1001,ROW(),설정!$C$8)&amp;"","")</f>
        <v/>
      </c>
      <c r="G394">
        <f>IFERROR(INDEX('1.산군_붙여넣기'!$A$1:$AZ$1001,ROW(),설정!$C$9)&amp;"","")</f>
        <v/>
      </c>
      <c r="H394">
        <f>IFERROR(INDEX('1.산군_붙여넣기'!$A$1:$AZ$1001,ROW(),설정!$C$10)&amp;"","")</f>
        <v/>
      </c>
      <c r="I394">
        <f>IFERROR(INDEX('1.산군_붙여넣기'!$A$1:$AZ$1001,ROW(),설정!$C$11)&amp;"","")</f>
        <v/>
      </c>
      <c r="J394">
        <f>IFERROR(INDEX('1.산군_붙여넣기'!$A$1:$AZ$1001,ROW(),설정!$C$12)&amp;"","")</f>
        <v/>
      </c>
      <c r="K394">
        <f>IFERROR(INDEX('1.산군_붙여넣기'!$A$1:$AZ$1001,ROW(),설정!$C$13)&amp;"","")</f>
        <v/>
      </c>
      <c r="L394" s="6">
        <f>IF(X394="","",IF(AND(LEN(X394)=8,ISNUMBER(X394*1)),DATE(LEFT(X394,4),MID(X394,5,2),RIGHT(X394,2)),IFERROR(DATEVALUE(SUBSTITUTE(SUBSTITUTE(X394,".","-"),"/","-")),IFERROR(X394*1,""))))</f>
        <v/>
      </c>
      <c r="M394" s="6">
        <f>IF(Y394="","",IF(AND(LEN(Y394)=8,ISNUMBER(Y394*1)),DATE(LEFT(Y394,4),MID(Y394,5,2),RIGHT(Y394,2)),IFERROR(DATEVALUE(SUBSTITUTE(SUBSTITUTE(Y394,".","-"),"/","-")),IFERROR(Y394*1,""))))</f>
        <v/>
      </c>
      <c r="N394">
        <f>IFERROR(LEFT(B394,FIND(" ",B394)-1),B394)</f>
        <v/>
      </c>
      <c r="O394">
        <f>AND(B394&lt;&gt;"",B394&lt;&gt;설정!$B$4,C394&lt;&gt;설정!$B$5)</f>
        <v/>
      </c>
      <c r="P394">
        <f>IF(O394,B394&amp;"|"&amp;C394,"")</f>
        <v/>
      </c>
      <c r="Q394">
        <f>AND(O394,COUNTIF(P395:P$1002,P394)=0)</f>
        <v/>
      </c>
      <c r="R394">
        <f>OR(AND(설정!$A$28&lt;&gt;"",ISNUMBER(SEARCH(설정!$A$28,E394&amp;" "&amp;C394))),AND(설정!$A$29&lt;&gt;"",ISNUMBER(SEARCH(설정!$A$29,E394&amp;" "&amp;C394))),AND(설정!$A$30&lt;&gt;"",ISNUMBER(SEARCH(설정!$A$30,E394&amp;" "&amp;C394))),AND(설정!$A$31&lt;&gt;"",ISNUMBER(SEARCH(설정!$A$31,E394&amp;" "&amp;C394))),AND(설정!$A$32&lt;&gt;"",ISNUMBER(SEARCH(설정!$A$32,E394&amp;" "&amp;C394))),AND(설정!$A$33&lt;&gt;"",ISNUMBER(SEARCH(설정!$A$33,E394&amp;" "&amp;C394))),AND(설정!$A$34&lt;&gt;"",ISNUMBER(SEARCH(설정!$A$34,E394&amp;" "&amp;C394))),AND(설정!$A$35&lt;&gt;"",ISNUMBER(SEARCH(설정!$A$35,E394&amp;" "&amp;C394))),AND(설정!$A$36&lt;&gt;"",ISNUMBER(SEARCH(설정!$A$36,E394&amp;" "&amp;C394))),AND(설정!$A$37&lt;&gt;"",ISNUMBER(SEARCH(설정!$A$37,E394&amp;" "&amp;C394))))</f>
        <v/>
      </c>
      <c r="S394">
        <f>OR(D394="",D394&gt;=설정!$B$19)</f>
        <v/>
      </c>
      <c r="T394">
        <f>AND(Q394,R394,S394)</f>
        <v/>
      </c>
      <c r="U394">
        <f>IF(T394,IF(AND(설정!$A$41&lt;&gt;"",ISNUMBER(SEARCH(설정!$A$41,K394))),설정!$B$41,IF(AND(설정!$A$42&lt;&gt;"",ISNUMBER(SEARCH(설정!$A$42,K394))),설정!$B$42,IF(AND(설정!$A$43&lt;&gt;"",ISNUMBER(SEARCH(설정!$A$43,K394))),설정!$B$43,IF(AND(설정!$A$44&lt;&gt;"",ISNUMBER(SEARCH(설정!$A$44,K394))),설정!$B$44,IF(AND(설정!$A$45&lt;&gt;"",ISNUMBER(SEARCH(설정!$A$45,K394))),설정!$B$45,IF(AND(설정!$A$46&lt;&gt;"",ISNUMBER(SEARCH(설정!$A$46,K394))),설정!$B$46,IF(AND(설정!$A$47&lt;&gt;"",ISNUMBER(SEARCH(설정!$A$47,K394))),설정!$B$47,IF(AND(설정!$A$48&lt;&gt;"",ISNUMBER(SEARCH(설정!$A$48,K394))),설정!$B$48,IF(M394="","설계사","시공사"))))))))),"")</f>
        <v/>
      </c>
      <c r="V394">
        <f>SUBSTITUTE(SUBSTITUTE(SUBSTITUTE(SUBSTITUTE(G394,"(주)",""),"㈜",""),"주식회사","")," ","")</f>
        <v/>
      </c>
      <c r="W394">
        <f>IF(AND(T394,V394&lt;&gt;""),IF(COUNTIFS(V$2:V394,V394,T$2:T394,TRUE)=1,MAX(W$1:W393)+1,""),"")</f>
        <v/>
      </c>
      <c r="X394">
        <f>IFERROR(INDEX('1.산군_붙여넣기'!$A$1:$AZ$1001,ROW(),설정!$C$14)&amp;"","")</f>
        <v/>
      </c>
      <c r="Y394">
        <f>IFERROR(INDEX('1.산군_붙여넣기'!$A$1:$AZ$1001,ROW(),설정!$C$15)&amp;"","")</f>
        <v/>
      </c>
      <c r="Z394">
        <f>IF(T394,V394&amp;"|"&amp;U394,"")</f>
        <v/>
      </c>
    </row>
    <row r="395">
      <c r="A395">
        <f>ROW()</f>
        <v/>
      </c>
      <c r="B395">
        <f>IFERROR(INDEX('1.산군_붙여넣기'!$A$1:$AZ$1001,ROW(),설정!$C$4)&amp;"","")</f>
        <v/>
      </c>
      <c r="C395">
        <f>IFERROR(INDEX('1.산군_붙여넣기'!$A$1:$AZ$1001,ROW(),설정!$C$5)&amp;"","")</f>
        <v/>
      </c>
      <c r="D395" s="5">
        <f>IFERROR(VALUE(SUBSTITUTE(SUBSTITUTE(SUBSTITUTE(IFERROR(INDEX('1.산군_붙여넣기'!$A$1:$AZ$1001,ROW(),설정!$C$6)&amp;"",""),",",""),"㎡",""),"m2","")),"")</f>
        <v/>
      </c>
      <c r="E395">
        <f>IFERROR(INDEX('1.산군_붙여넣기'!$A$1:$AZ$1001,ROW(),설정!$C$7)&amp;"","")</f>
        <v/>
      </c>
      <c r="F395">
        <f>IFERROR(INDEX('1.산군_붙여넣기'!$A$1:$AZ$1001,ROW(),설정!$C$8)&amp;"","")</f>
        <v/>
      </c>
      <c r="G395">
        <f>IFERROR(INDEX('1.산군_붙여넣기'!$A$1:$AZ$1001,ROW(),설정!$C$9)&amp;"","")</f>
        <v/>
      </c>
      <c r="H395">
        <f>IFERROR(INDEX('1.산군_붙여넣기'!$A$1:$AZ$1001,ROW(),설정!$C$10)&amp;"","")</f>
        <v/>
      </c>
      <c r="I395">
        <f>IFERROR(INDEX('1.산군_붙여넣기'!$A$1:$AZ$1001,ROW(),설정!$C$11)&amp;"","")</f>
        <v/>
      </c>
      <c r="J395">
        <f>IFERROR(INDEX('1.산군_붙여넣기'!$A$1:$AZ$1001,ROW(),설정!$C$12)&amp;"","")</f>
        <v/>
      </c>
      <c r="K395">
        <f>IFERROR(INDEX('1.산군_붙여넣기'!$A$1:$AZ$1001,ROW(),설정!$C$13)&amp;"","")</f>
        <v/>
      </c>
      <c r="L395" s="6">
        <f>IF(X395="","",IF(AND(LEN(X395)=8,ISNUMBER(X395*1)),DATE(LEFT(X395,4),MID(X395,5,2),RIGHT(X395,2)),IFERROR(DATEVALUE(SUBSTITUTE(SUBSTITUTE(X395,".","-"),"/","-")),IFERROR(X395*1,""))))</f>
        <v/>
      </c>
      <c r="M395" s="6">
        <f>IF(Y395="","",IF(AND(LEN(Y395)=8,ISNUMBER(Y395*1)),DATE(LEFT(Y395,4),MID(Y395,5,2),RIGHT(Y395,2)),IFERROR(DATEVALUE(SUBSTITUTE(SUBSTITUTE(Y395,".","-"),"/","-")),IFERROR(Y395*1,""))))</f>
        <v/>
      </c>
      <c r="N395">
        <f>IFERROR(LEFT(B395,FIND(" ",B395)-1),B395)</f>
        <v/>
      </c>
      <c r="O395">
        <f>AND(B395&lt;&gt;"",B395&lt;&gt;설정!$B$4,C395&lt;&gt;설정!$B$5)</f>
        <v/>
      </c>
      <c r="P395">
        <f>IF(O395,B395&amp;"|"&amp;C395,"")</f>
        <v/>
      </c>
      <c r="Q395">
        <f>AND(O395,COUNTIF(P396:P$1002,P395)=0)</f>
        <v/>
      </c>
      <c r="R395">
        <f>OR(AND(설정!$A$28&lt;&gt;"",ISNUMBER(SEARCH(설정!$A$28,E395&amp;" "&amp;C395))),AND(설정!$A$29&lt;&gt;"",ISNUMBER(SEARCH(설정!$A$29,E395&amp;" "&amp;C395))),AND(설정!$A$30&lt;&gt;"",ISNUMBER(SEARCH(설정!$A$30,E395&amp;" "&amp;C395))),AND(설정!$A$31&lt;&gt;"",ISNUMBER(SEARCH(설정!$A$31,E395&amp;" "&amp;C395))),AND(설정!$A$32&lt;&gt;"",ISNUMBER(SEARCH(설정!$A$32,E395&amp;" "&amp;C395))),AND(설정!$A$33&lt;&gt;"",ISNUMBER(SEARCH(설정!$A$33,E395&amp;" "&amp;C395))),AND(설정!$A$34&lt;&gt;"",ISNUMBER(SEARCH(설정!$A$34,E395&amp;" "&amp;C395))),AND(설정!$A$35&lt;&gt;"",ISNUMBER(SEARCH(설정!$A$35,E395&amp;" "&amp;C395))),AND(설정!$A$36&lt;&gt;"",ISNUMBER(SEARCH(설정!$A$36,E395&amp;" "&amp;C395))),AND(설정!$A$37&lt;&gt;"",ISNUMBER(SEARCH(설정!$A$37,E395&amp;" "&amp;C395))))</f>
        <v/>
      </c>
      <c r="S395">
        <f>OR(D395="",D395&gt;=설정!$B$19)</f>
        <v/>
      </c>
      <c r="T395">
        <f>AND(Q395,R395,S395)</f>
        <v/>
      </c>
      <c r="U395">
        <f>IF(T395,IF(AND(설정!$A$41&lt;&gt;"",ISNUMBER(SEARCH(설정!$A$41,K395))),설정!$B$41,IF(AND(설정!$A$42&lt;&gt;"",ISNUMBER(SEARCH(설정!$A$42,K395))),설정!$B$42,IF(AND(설정!$A$43&lt;&gt;"",ISNUMBER(SEARCH(설정!$A$43,K395))),설정!$B$43,IF(AND(설정!$A$44&lt;&gt;"",ISNUMBER(SEARCH(설정!$A$44,K395))),설정!$B$44,IF(AND(설정!$A$45&lt;&gt;"",ISNUMBER(SEARCH(설정!$A$45,K395))),설정!$B$45,IF(AND(설정!$A$46&lt;&gt;"",ISNUMBER(SEARCH(설정!$A$46,K395))),설정!$B$46,IF(AND(설정!$A$47&lt;&gt;"",ISNUMBER(SEARCH(설정!$A$47,K395))),설정!$B$47,IF(AND(설정!$A$48&lt;&gt;"",ISNUMBER(SEARCH(설정!$A$48,K395))),설정!$B$48,IF(M395="","설계사","시공사"))))))))),"")</f>
        <v/>
      </c>
      <c r="V395">
        <f>SUBSTITUTE(SUBSTITUTE(SUBSTITUTE(SUBSTITUTE(G395,"(주)",""),"㈜",""),"주식회사","")," ","")</f>
        <v/>
      </c>
      <c r="W395">
        <f>IF(AND(T395,V395&lt;&gt;""),IF(COUNTIFS(V$2:V395,V395,T$2:T395,TRUE)=1,MAX(W$1:W394)+1,""),"")</f>
        <v/>
      </c>
      <c r="X395">
        <f>IFERROR(INDEX('1.산군_붙여넣기'!$A$1:$AZ$1001,ROW(),설정!$C$14)&amp;"","")</f>
        <v/>
      </c>
      <c r="Y395">
        <f>IFERROR(INDEX('1.산군_붙여넣기'!$A$1:$AZ$1001,ROW(),설정!$C$15)&amp;"","")</f>
        <v/>
      </c>
      <c r="Z395">
        <f>IF(T395,V395&amp;"|"&amp;U395,"")</f>
        <v/>
      </c>
    </row>
    <row r="396">
      <c r="A396">
        <f>ROW()</f>
        <v/>
      </c>
      <c r="B396">
        <f>IFERROR(INDEX('1.산군_붙여넣기'!$A$1:$AZ$1001,ROW(),설정!$C$4)&amp;"","")</f>
        <v/>
      </c>
      <c r="C396">
        <f>IFERROR(INDEX('1.산군_붙여넣기'!$A$1:$AZ$1001,ROW(),설정!$C$5)&amp;"","")</f>
        <v/>
      </c>
      <c r="D396" s="5">
        <f>IFERROR(VALUE(SUBSTITUTE(SUBSTITUTE(SUBSTITUTE(IFERROR(INDEX('1.산군_붙여넣기'!$A$1:$AZ$1001,ROW(),설정!$C$6)&amp;"",""),",",""),"㎡",""),"m2","")),"")</f>
        <v/>
      </c>
      <c r="E396">
        <f>IFERROR(INDEX('1.산군_붙여넣기'!$A$1:$AZ$1001,ROW(),설정!$C$7)&amp;"","")</f>
        <v/>
      </c>
      <c r="F396">
        <f>IFERROR(INDEX('1.산군_붙여넣기'!$A$1:$AZ$1001,ROW(),설정!$C$8)&amp;"","")</f>
        <v/>
      </c>
      <c r="G396">
        <f>IFERROR(INDEX('1.산군_붙여넣기'!$A$1:$AZ$1001,ROW(),설정!$C$9)&amp;"","")</f>
        <v/>
      </c>
      <c r="H396">
        <f>IFERROR(INDEX('1.산군_붙여넣기'!$A$1:$AZ$1001,ROW(),설정!$C$10)&amp;"","")</f>
        <v/>
      </c>
      <c r="I396">
        <f>IFERROR(INDEX('1.산군_붙여넣기'!$A$1:$AZ$1001,ROW(),설정!$C$11)&amp;"","")</f>
        <v/>
      </c>
      <c r="J396">
        <f>IFERROR(INDEX('1.산군_붙여넣기'!$A$1:$AZ$1001,ROW(),설정!$C$12)&amp;"","")</f>
        <v/>
      </c>
      <c r="K396">
        <f>IFERROR(INDEX('1.산군_붙여넣기'!$A$1:$AZ$1001,ROW(),설정!$C$13)&amp;"","")</f>
        <v/>
      </c>
      <c r="L396" s="6">
        <f>IF(X396="","",IF(AND(LEN(X396)=8,ISNUMBER(X396*1)),DATE(LEFT(X396,4),MID(X396,5,2),RIGHT(X396,2)),IFERROR(DATEVALUE(SUBSTITUTE(SUBSTITUTE(X396,".","-"),"/","-")),IFERROR(X396*1,""))))</f>
        <v/>
      </c>
      <c r="M396" s="6">
        <f>IF(Y396="","",IF(AND(LEN(Y396)=8,ISNUMBER(Y396*1)),DATE(LEFT(Y396,4),MID(Y396,5,2),RIGHT(Y396,2)),IFERROR(DATEVALUE(SUBSTITUTE(SUBSTITUTE(Y396,".","-"),"/","-")),IFERROR(Y396*1,""))))</f>
        <v/>
      </c>
      <c r="N396">
        <f>IFERROR(LEFT(B396,FIND(" ",B396)-1),B396)</f>
        <v/>
      </c>
      <c r="O396">
        <f>AND(B396&lt;&gt;"",B396&lt;&gt;설정!$B$4,C396&lt;&gt;설정!$B$5)</f>
        <v/>
      </c>
      <c r="P396">
        <f>IF(O396,B396&amp;"|"&amp;C396,"")</f>
        <v/>
      </c>
      <c r="Q396">
        <f>AND(O396,COUNTIF(P397:P$1002,P396)=0)</f>
        <v/>
      </c>
      <c r="R396">
        <f>OR(AND(설정!$A$28&lt;&gt;"",ISNUMBER(SEARCH(설정!$A$28,E396&amp;" "&amp;C396))),AND(설정!$A$29&lt;&gt;"",ISNUMBER(SEARCH(설정!$A$29,E396&amp;" "&amp;C396))),AND(설정!$A$30&lt;&gt;"",ISNUMBER(SEARCH(설정!$A$30,E396&amp;" "&amp;C396))),AND(설정!$A$31&lt;&gt;"",ISNUMBER(SEARCH(설정!$A$31,E396&amp;" "&amp;C396))),AND(설정!$A$32&lt;&gt;"",ISNUMBER(SEARCH(설정!$A$32,E396&amp;" "&amp;C396))),AND(설정!$A$33&lt;&gt;"",ISNUMBER(SEARCH(설정!$A$33,E396&amp;" "&amp;C396))),AND(설정!$A$34&lt;&gt;"",ISNUMBER(SEARCH(설정!$A$34,E396&amp;" "&amp;C396))),AND(설정!$A$35&lt;&gt;"",ISNUMBER(SEARCH(설정!$A$35,E396&amp;" "&amp;C396))),AND(설정!$A$36&lt;&gt;"",ISNUMBER(SEARCH(설정!$A$36,E396&amp;" "&amp;C396))),AND(설정!$A$37&lt;&gt;"",ISNUMBER(SEARCH(설정!$A$37,E396&amp;" "&amp;C396))))</f>
        <v/>
      </c>
      <c r="S396">
        <f>OR(D396="",D396&gt;=설정!$B$19)</f>
        <v/>
      </c>
      <c r="T396">
        <f>AND(Q396,R396,S396)</f>
        <v/>
      </c>
      <c r="U396">
        <f>IF(T396,IF(AND(설정!$A$41&lt;&gt;"",ISNUMBER(SEARCH(설정!$A$41,K396))),설정!$B$41,IF(AND(설정!$A$42&lt;&gt;"",ISNUMBER(SEARCH(설정!$A$42,K396))),설정!$B$42,IF(AND(설정!$A$43&lt;&gt;"",ISNUMBER(SEARCH(설정!$A$43,K396))),설정!$B$43,IF(AND(설정!$A$44&lt;&gt;"",ISNUMBER(SEARCH(설정!$A$44,K396))),설정!$B$44,IF(AND(설정!$A$45&lt;&gt;"",ISNUMBER(SEARCH(설정!$A$45,K396))),설정!$B$45,IF(AND(설정!$A$46&lt;&gt;"",ISNUMBER(SEARCH(설정!$A$46,K396))),설정!$B$46,IF(AND(설정!$A$47&lt;&gt;"",ISNUMBER(SEARCH(설정!$A$47,K396))),설정!$B$47,IF(AND(설정!$A$48&lt;&gt;"",ISNUMBER(SEARCH(설정!$A$48,K396))),설정!$B$48,IF(M396="","설계사","시공사"))))))))),"")</f>
        <v/>
      </c>
      <c r="V396">
        <f>SUBSTITUTE(SUBSTITUTE(SUBSTITUTE(SUBSTITUTE(G396,"(주)",""),"㈜",""),"주식회사","")," ","")</f>
        <v/>
      </c>
      <c r="W396">
        <f>IF(AND(T396,V396&lt;&gt;""),IF(COUNTIFS(V$2:V396,V396,T$2:T396,TRUE)=1,MAX(W$1:W395)+1,""),"")</f>
        <v/>
      </c>
      <c r="X396">
        <f>IFERROR(INDEX('1.산군_붙여넣기'!$A$1:$AZ$1001,ROW(),설정!$C$14)&amp;"","")</f>
        <v/>
      </c>
      <c r="Y396">
        <f>IFERROR(INDEX('1.산군_붙여넣기'!$A$1:$AZ$1001,ROW(),설정!$C$15)&amp;"","")</f>
        <v/>
      </c>
      <c r="Z396">
        <f>IF(T396,V396&amp;"|"&amp;U396,"")</f>
        <v/>
      </c>
    </row>
    <row r="397">
      <c r="A397">
        <f>ROW()</f>
        <v/>
      </c>
      <c r="B397">
        <f>IFERROR(INDEX('1.산군_붙여넣기'!$A$1:$AZ$1001,ROW(),설정!$C$4)&amp;"","")</f>
        <v/>
      </c>
      <c r="C397">
        <f>IFERROR(INDEX('1.산군_붙여넣기'!$A$1:$AZ$1001,ROW(),설정!$C$5)&amp;"","")</f>
        <v/>
      </c>
      <c r="D397" s="5">
        <f>IFERROR(VALUE(SUBSTITUTE(SUBSTITUTE(SUBSTITUTE(IFERROR(INDEX('1.산군_붙여넣기'!$A$1:$AZ$1001,ROW(),설정!$C$6)&amp;"",""),",",""),"㎡",""),"m2","")),"")</f>
        <v/>
      </c>
      <c r="E397">
        <f>IFERROR(INDEX('1.산군_붙여넣기'!$A$1:$AZ$1001,ROW(),설정!$C$7)&amp;"","")</f>
        <v/>
      </c>
      <c r="F397">
        <f>IFERROR(INDEX('1.산군_붙여넣기'!$A$1:$AZ$1001,ROW(),설정!$C$8)&amp;"","")</f>
        <v/>
      </c>
      <c r="G397">
        <f>IFERROR(INDEX('1.산군_붙여넣기'!$A$1:$AZ$1001,ROW(),설정!$C$9)&amp;"","")</f>
        <v/>
      </c>
      <c r="H397">
        <f>IFERROR(INDEX('1.산군_붙여넣기'!$A$1:$AZ$1001,ROW(),설정!$C$10)&amp;"","")</f>
        <v/>
      </c>
      <c r="I397">
        <f>IFERROR(INDEX('1.산군_붙여넣기'!$A$1:$AZ$1001,ROW(),설정!$C$11)&amp;"","")</f>
        <v/>
      </c>
      <c r="J397">
        <f>IFERROR(INDEX('1.산군_붙여넣기'!$A$1:$AZ$1001,ROW(),설정!$C$12)&amp;"","")</f>
        <v/>
      </c>
      <c r="K397">
        <f>IFERROR(INDEX('1.산군_붙여넣기'!$A$1:$AZ$1001,ROW(),설정!$C$13)&amp;"","")</f>
        <v/>
      </c>
      <c r="L397" s="6">
        <f>IF(X397="","",IF(AND(LEN(X397)=8,ISNUMBER(X397*1)),DATE(LEFT(X397,4),MID(X397,5,2),RIGHT(X397,2)),IFERROR(DATEVALUE(SUBSTITUTE(SUBSTITUTE(X397,".","-"),"/","-")),IFERROR(X397*1,""))))</f>
        <v/>
      </c>
      <c r="M397" s="6">
        <f>IF(Y397="","",IF(AND(LEN(Y397)=8,ISNUMBER(Y397*1)),DATE(LEFT(Y397,4),MID(Y397,5,2),RIGHT(Y397,2)),IFERROR(DATEVALUE(SUBSTITUTE(SUBSTITUTE(Y397,".","-"),"/","-")),IFERROR(Y397*1,""))))</f>
        <v/>
      </c>
      <c r="N397">
        <f>IFERROR(LEFT(B397,FIND(" ",B397)-1),B397)</f>
        <v/>
      </c>
      <c r="O397">
        <f>AND(B397&lt;&gt;"",B397&lt;&gt;설정!$B$4,C397&lt;&gt;설정!$B$5)</f>
        <v/>
      </c>
      <c r="P397">
        <f>IF(O397,B397&amp;"|"&amp;C397,"")</f>
        <v/>
      </c>
      <c r="Q397">
        <f>AND(O397,COUNTIF(P398:P$1002,P397)=0)</f>
        <v/>
      </c>
      <c r="R397">
        <f>OR(AND(설정!$A$28&lt;&gt;"",ISNUMBER(SEARCH(설정!$A$28,E397&amp;" "&amp;C397))),AND(설정!$A$29&lt;&gt;"",ISNUMBER(SEARCH(설정!$A$29,E397&amp;" "&amp;C397))),AND(설정!$A$30&lt;&gt;"",ISNUMBER(SEARCH(설정!$A$30,E397&amp;" "&amp;C397))),AND(설정!$A$31&lt;&gt;"",ISNUMBER(SEARCH(설정!$A$31,E397&amp;" "&amp;C397))),AND(설정!$A$32&lt;&gt;"",ISNUMBER(SEARCH(설정!$A$32,E397&amp;" "&amp;C397))),AND(설정!$A$33&lt;&gt;"",ISNUMBER(SEARCH(설정!$A$33,E397&amp;" "&amp;C397))),AND(설정!$A$34&lt;&gt;"",ISNUMBER(SEARCH(설정!$A$34,E397&amp;" "&amp;C397))),AND(설정!$A$35&lt;&gt;"",ISNUMBER(SEARCH(설정!$A$35,E397&amp;" "&amp;C397))),AND(설정!$A$36&lt;&gt;"",ISNUMBER(SEARCH(설정!$A$36,E397&amp;" "&amp;C397))),AND(설정!$A$37&lt;&gt;"",ISNUMBER(SEARCH(설정!$A$37,E397&amp;" "&amp;C397))))</f>
        <v/>
      </c>
      <c r="S397">
        <f>OR(D397="",D397&gt;=설정!$B$19)</f>
        <v/>
      </c>
      <c r="T397">
        <f>AND(Q397,R397,S397)</f>
        <v/>
      </c>
      <c r="U397">
        <f>IF(T397,IF(AND(설정!$A$41&lt;&gt;"",ISNUMBER(SEARCH(설정!$A$41,K397))),설정!$B$41,IF(AND(설정!$A$42&lt;&gt;"",ISNUMBER(SEARCH(설정!$A$42,K397))),설정!$B$42,IF(AND(설정!$A$43&lt;&gt;"",ISNUMBER(SEARCH(설정!$A$43,K397))),설정!$B$43,IF(AND(설정!$A$44&lt;&gt;"",ISNUMBER(SEARCH(설정!$A$44,K397))),설정!$B$44,IF(AND(설정!$A$45&lt;&gt;"",ISNUMBER(SEARCH(설정!$A$45,K397))),설정!$B$45,IF(AND(설정!$A$46&lt;&gt;"",ISNUMBER(SEARCH(설정!$A$46,K397))),설정!$B$46,IF(AND(설정!$A$47&lt;&gt;"",ISNUMBER(SEARCH(설정!$A$47,K397))),설정!$B$47,IF(AND(설정!$A$48&lt;&gt;"",ISNUMBER(SEARCH(설정!$A$48,K397))),설정!$B$48,IF(M397="","설계사","시공사"))))))))),"")</f>
        <v/>
      </c>
      <c r="V397">
        <f>SUBSTITUTE(SUBSTITUTE(SUBSTITUTE(SUBSTITUTE(G397,"(주)",""),"㈜",""),"주식회사","")," ","")</f>
        <v/>
      </c>
      <c r="W397">
        <f>IF(AND(T397,V397&lt;&gt;""),IF(COUNTIFS(V$2:V397,V397,T$2:T397,TRUE)=1,MAX(W$1:W396)+1,""),"")</f>
        <v/>
      </c>
      <c r="X397">
        <f>IFERROR(INDEX('1.산군_붙여넣기'!$A$1:$AZ$1001,ROW(),설정!$C$14)&amp;"","")</f>
        <v/>
      </c>
      <c r="Y397">
        <f>IFERROR(INDEX('1.산군_붙여넣기'!$A$1:$AZ$1001,ROW(),설정!$C$15)&amp;"","")</f>
        <v/>
      </c>
      <c r="Z397">
        <f>IF(T397,V397&amp;"|"&amp;U397,"")</f>
        <v/>
      </c>
    </row>
    <row r="398">
      <c r="A398">
        <f>ROW()</f>
        <v/>
      </c>
      <c r="B398">
        <f>IFERROR(INDEX('1.산군_붙여넣기'!$A$1:$AZ$1001,ROW(),설정!$C$4)&amp;"","")</f>
        <v/>
      </c>
      <c r="C398">
        <f>IFERROR(INDEX('1.산군_붙여넣기'!$A$1:$AZ$1001,ROW(),설정!$C$5)&amp;"","")</f>
        <v/>
      </c>
      <c r="D398" s="5">
        <f>IFERROR(VALUE(SUBSTITUTE(SUBSTITUTE(SUBSTITUTE(IFERROR(INDEX('1.산군_붙여넣기'!$A$1:$AZ$1001,ROW(),설정!$C$6)&amp;"",""),",",""),"㎡",""),"m2","")),"")</f>
        <v/>
      </c>
      <c r="E398">
        <f>IFERROR(INDEX('1.산군_붙여넣기'!$A$1:$AZ$1001,ROW(),설정!$C$7)&amp;"","")</f>
        <v/>
      </c>
      <c r="F398">
        <f>IFERROR(INDEX('1.산군_붙여넣기'!$A$1:$AZ$1001,ROW(),설정!$C$8)&amp;"","")</f>
        <v/>
      </c>
      <c r="G398">
        <f>IFERROR(INDEX('1.산군_붙여넣기'!$A$1:$AZ$1001,ROW(),설정!$C$9)&amp;"","")</f>
        <v/>
      </c>
      <c r="H398">
        <f>IFERROR(INDEX('1.산군_붙여넣기'!$A$1:$AZ$1001,ROW(),설정!$C$10)&amp;"","")</f>
        <v/>
      </c>
      <c r="I398">
        <f>IFERROR(INDEX('1.산군_붙여넣기'!$A$1:$AZ$1001,ROW(),설정!$C$11)&amp;"","")</f>
        <v/>
      </c>
      <c r="J398">
        <f>IFERROR(INDEX('1.산군_붙여넣기'!$A$1:$AZ$1001,ROW(),설정!$C$12)&amp;"","")</f>
        <v/>
      </c>
      <c r="K398">
        <f>IFERROR(INDEX('1.산군_붙여넣기'!$A$1:$AZ$1001,ROW(),설정!$C$13)&amp;"","")</f>
        <v/>
      </c>
      <c r="L398" s="6">
        <f>IF(X398="","",IF(AND(LEN(X398)=8,ISNUMBER(X398*1)),DATE(LEFT(X398,4),MID(X398,5,2),RIGHT(X398,2)),IFERROR(DATEVALUE(SUBSTITUTE(SUBSTITUTE(X398,".","-"),"/","-")),IFERROR(X398*1,""))))</f>
        <v/>
      </c>
      <c r="M398" s="6">
        <f>IF(Y398="","",IF(AND(LEN(Y398)=8,ISNUMBER(Y398*1)),DATE(LEFT(Y398,4),MID(Y398,5,2),RIGHT(Y398,2)),IFERROR(DATEVALUE(SUBSTITUTE(SUBSTITUTE(Y398,".","-"),"/","-")),IFERROR(Y398*1,""))))</f>
        <v/>
      </c>
      <c r="N398">
        <f>IFERROR(LEFT(B398,FIND(" ",B398)-1),B398)</f>
        <v/>
      </c>
      <c r="O398">
        <f>AND(B398&lt;&gt;"",B398&lt;&gt;설정!$B$4,C398&lt;&gt;설정!$B$5)</f>
        <v/>
      </c>
      <c r="P398">
        <f>IF(O398,B398&amp;"|"&amp;C398,"")</f>
        <v/>
      </c>
      <c r="Q398">
        <f>AND(O398,COUNTIF(P399:P$1002,P398)=0)</f>
        <v/>
      </c>
      <c r="R398">
        <f>OR(AND(설정!$A$28&lt;&gt;"",ISNUMBER(SEARCH(설정!$A$28,E398&amp;" "&amp;C398))),AND(설정!$A$29&lt;&gt;"",ISNUMBER(SEARCH(설정!$A$29,E398&amp;" "&amp;C398))),AND(설정!$A$30&lt;&gt;"",ISNUMBER(SEARCH(설정!$A$30,E398&amp;" "&amp;C398))),AND(설정!$A$31&lt;&gt;"",ISNUMBER(SEARCH(설정!$A$31,E398&amp;" "&amp;C398))),AND(설정!$A$32&lt;&gt;"",ISNUMBER(SEARCH(설정!$A$32,E398&amp;" "&amp;C398))),AND(설정!$A$33&lt;&gt;"",ISNUMBER(SEARCH(설정!$A$33,E398&amp;" "&amp;C398))),AND(설정!$A$34&lt;&gt;"",ISNUMBER(SEARCH(설정!$A$34,E398&amp;" "&amp;C398))),AND(설정!$A$35&lt;&gt;"",ISNUMBER(SEARCH(설정!$A$35,E398&amp;" "&amp;C398))),AND(설정!$A$36&lt;&gt;"",ISNUMBER(SEARCH(설정!$A$36,E398&amp;" "&amp;C398))),AND(설정!$A$37&lt;&gt;"",ISNUMBER(SEARCH(설정!$A$37,E398&amp;" "&amp;C398))))</f>
        <v/>
      </c>
      <c r="S398">
        <f>OR(D398="",D398&gt;=설정!$B$19)</f>
        <v/>
      </c>
      <c r="T398">
        <f>AND(Q398,R398,S398)</f>
        <v/>
      </c>
      <c r="U398">
        <f>IF(T398,IF(AND(설정!$A$41&lt;&gt;"",ISNUMBER(SEARCH(설정!$A$41,K398))),설정!$B$41,IF(AND(설정!$A$42&lt;&gt;"",ISNUMBER(SEARCH(설정!$A$42,K398))),설정!$B$42,IF(AND(설정!$A$43&lt;&gt;"",ISNUMBER(SEARCH(설정!$A$43,K398))),설정!$B$43,IF(AND(설정!$A$44&lt;&gt;"",ISNUMBER(SEARCH(설정!$A$44,K398))),설정!$B$44,IF(AND(설정!$A$45&lt;&gt;"",ISNUMBER(SEARCH(설정!$A$45,K398))),설정!$B$45,IF(AND(설정!$A$46&lt;&gt;"",ISNUMBER(SEARCH(설정!$A$46,K398))),설정!$B$46,IF(AND(설정!$A$47&lt;&gt;"",ISNUMBER(SEARCH(설정!$A$47,K398))),설정!$B$47,IF(AND(설정!$A$48&lt;&gt;"",ISNUMBER(SEARCH(설정!$A$48,K398))),설정!$B$48,IF(M398="","설계사","시공사"))))))))),"")</f>
        <v/>
      </c>
      <c r="V398">
        <f>SUBSTITUTE(SUBSTITUTE(SUBSTITUTE(SUBSTITUTE(G398,"(주)",""),"㈜",""),"주식회사","")," ","")</f>
        <v/>
      </c>
      <c r="W398">
        <f>IF(AND(T398,V398&lt;&gt;""),IF(COUNTIFS(V$2:V398,V398,T$2:T398,TRUE)=1,MAX(W$1:W397)+1,""),"")</f>
        <v/>
      </c>
      <c r="X398">
        <f>IFERROR(INDEX('1.산군_붙여넣기'!$A$1:$AZ$1001,ROW(),설정!$C$14)&amp;"","")</f>
        <v/>
      </c>
      <c r="Y398">
        <f>IFERROR(INDEX('1.산군_붙여넣기'!$A$1:$AZ$1001,ROW(),설정!$C$15)&amp;"","")</f>
        <v/>
      </c>
      <c r="Z398">
        <f>IF(T398,V398&amp;"|"&amp;U398,"")</f>
        <v/>
      </c>
    </row>
    <row r="399">
      <c r="A399">
        <f>ROW()</f>
        <v/>
      </c>
      <c r="B399">
        <f>IFERROR(INDEX('1.산군_붙여넣기'!$A$1:$AZ$1001,ROW(),설정!$C$4)&amp;"","")</f>
        <v/>
      </c>
      <c r="C399">
        <f>IFERROR(INDEX('1.산군_붙여넣기'!$A$1:$AZ$1001,ROW(),설정!$C$5)&amp;"","")</f>
        <v/>
      </c>
      <c r="D399" s="5">
        <f>IFERROR(VALUE(SUBSTITUTE(SUBSTITUTE(SUBSTITUTE(IFERROR(INDEX('1.산군_붙여넣기'!$A$1:$AZ$1001,ROW(),설정!$C$6)&amp;"",""),",",""),"㎡",""),"m2","")),"")</f>
        <v/>
      </c>
      <c r="E399">
        <f>IFERROR(INDEX('1.산군_붙여넣기'!$A$1:$AZ$1001,ROW(),설정!$C$7)&amp;"","")</f>
        <v/>
      </c>
      <c r="F399">
        <f>IFERROR(INDEX('1.산군_붙여넣기'!$A$1:$AZ$1001,ROW(),설정!$C$8)&amp;"","")</f>
        <v/>
      </c>
      <c r="G399">
        <f>IFERROR(INDEX('1.산군_붙여넣기'!$A$1:$AZ$1001,ROW(),설정!$C$9)&amp;"","")</f>
        <v/>
      </c>
      <c r="H399">
        <f>IFERROR(INDEX('1.산군_붙여넣기'!$A$1:$AZ$1001,ROW(),설정!$C$10)&amp;"","")</f>
        <v/>
      </c>
      <c r="I399">
        <f>IFERROR(INDEX('1.산군_붙여넣기'!$A$1:$AZ$1001,ROW(),설정!$C$11)&amp;"","")</f>
        <v/>
      </c>
      <c r="J399">
        <f>IFERROR(INDEX('1.산군_붙여넣기'!$A$1:$AZ$1001,ROW(),설정!$C$12)&amp;"","")</f>
        <v/>
      </c>
      <c r="K399">
        <f>IFERROR(INDEX('1.산군_붙여넣기'!$A$1:$AZ$1001,ROW(),설정!$C$13)&amp;"","")</f>
        <v/>
      </c>
      <c r="L399" s="6">
        <f>IF(X399="","",IF(AND(LEN(X399)=8,ISNUMBER(X399*1)),DATE(LEFT(X399,4),MID(X399,5,2),RIGHT(X399,2)),IFERROR(DATEVALUE(SUBSTITUTE(SUBSTITUTE(X399,".","-"),"/","-")),IFERROR(X399*1,""))))</f>
        <v/>
      </c>
      <c r="M399" s="6">
        <f>IF(Y399="","",IF(AND(LEN(Y399)=8,ISNUMBER(Y399*1)),DATE(LEFT(Y399,4),MID(Y399,5,2),RIGHT(Y399,2)),IFERROR(DATEVALUE(SUBSTITUTE(SUBSTITUTE(Y399,".","-"),"/","-")),IFERROR(Y399*1,""))))</f>
        <v/>
      </c>
      <c r="N399">
        <f>IFERROR(LEFT(B399,FIND(" ",B399)-1),B399)</f>
        <v/>
      </c>
      <c r="O399">
        <f>AND(B399&lt;&gt;"",B399&lt;&gt;설정!$B$4,C399&lt;&gt;설정!$B$5)</f>
        <v/>
      </c>
      <c r="P399">
        <f>IF(O399,B399&amp;"|"&amp;C399,"")</f>
        <v/>
      </c>
      <c r="Q399">
        <f>AND(O399,COUNTIF(P400:P$1002,P399)=0)</f>
        <v/>
      </c>
      <c r="R399">
        <f>OR(AND(설정!$A$28&lt;&gt;"",ISNUMBER(SEARCH(설정!$A$28,E399&amp;" "&amp;C399))),AND(설정!$A$29&lt;&gt;"",ISNUMBER(SEARCH(설정!$A$29,E399&amp;" "&amp;C399))),AND(설정!$A$30&lt;&gt;"",ISNUMBER(SEARCH(설정!$A$30,E399&amp;" "&amp;C399))),AND(설정!$A$31&lt;&gt;"",ISNUMBER(SEARCH(설정!$A$31,E399&amp;" "&amp;C399))),AND(설정!$A$32&lt;&gt;"",ISNUMBER(SEARCH(설정!$A$32,E399&amp;" "&amp;C399))),AND(설정!$A$33&lt;&gt;"",ISNUMBER(SEARCH(설정!$A$33,E399&amp;" "&amp;C399))),AND(설정!$A$34&lt;&gt;"",ISNUMBER(SEARCH(설정!$A$34,E399&amp;" "&amp;C399))),AND(설정!$A$35&lt;&gt;"",ISNUMBER(SEARCH(설정!$A$35,E399&amp;" "&amp;C399))),AND(설정!$A$36&lt;&gt;"",ISNUMBER(SEARCH(설정!$A$36,E399&amp;" "&amp;C399))),AND(설정!$A$37&lt;&gt;"",ISNUMBER(SEARCH(설정!$A$37,E399&amp;" "&amp;C399))))</f>
        <v/>
      </c>
      <c r="S399">
        <f>OR(D399="",D399&gt;=설정!$B$19)</f>
        <v/>
      </c>
      <c r="T399">
        <f>AND(Q399,R399,S399)</f>
        <v/>
      </c>
      <c r="U399">
        <f>IF(T399,IF(AND(설정!$A$41&lt;&gt;"",ISNUMBER(SEARCH(설정!$A$41,K399))),설정!$B$41,IF(AND(설정!$A$42&lt;&gt;"",ISNUMBER(SEARCH(설정!$A$42,K399))),설정!$B$42,IF(AND(설정!$A$43&lt;&gt;"",ISNUMBER(SEARCH(설정!$A$43,K399))),설정!$B$43,IF(AND(설정!$A$44&lt;&gt;"",ISNUMBER(SEARCH(설정!$A$44,K399))),설정!$B$44,IF(AND(설정!$A$45&lt;&gt;"",ISNUMBER(SEARCH(설정!$A$45,K399))),설정!$B$45,IF(AND(설정!$A$46&lt;&gt;"",ISNUMBER(SEARCH(설정!$A$46,K399))),설정!$B$46,IF(AND(설정!$A$47&lt;&gt;"",ISNUMBER(SEARCH(설정!$A$47,K399))),설정!$B$47,IF(AND(설정!$A$48&lt;&gt;"",ISNUMBER(SEARCH(설정!$A$48,K399))),설정!$B$48,IF(M399="","설계사","시공사"))))))))),"")</f>
        <v/>
      </c>
      <c r="V399">
        <f>SUBSTITUTE(SUBSTITUTE(SUBSTITUTE(SUBSTITUTE(G399,"(주)",""),"㈜",""),"주식회사","")," ","")</f>
        <v/>
      </c>
      <c r="W399">
        <f>IF(AND(T399,V399&lt;&gt;""),IF(COUNTIFS(V$2:V399,V399,T$2:T399,TRUE)=1,MAX(W$1:W398)+1,""),"")</f>
        <v/>
      </c>
      <c r="X399">
        <f>IFERROR(INDEX('1.산군_붙여넣기'!$A$1:$AZ$1001,ROW(),설정!$C$14)&amp;"","")</f>
        <v/>
      </c>
      <c r="Y399">
        <f>IFERROR(INDEX('1.산군_붙여넣기'!$A$1:$AZ$1001,ROW(),설정!$C$15)&amp;"","")</f>
        <v/>
      </c>
      <c r="Z399">
        <f>IF(T399,V399&amp;"|"&amp;U399,"")</f>
        <v/>
      </c>
    </row>
    <row r="400">
      <c r="A400">
        <f>ROW()</f>
        <v/>
      </c>
      <c r="B400">
        <f>IFERROR(INDEX('1.산군_붙여넣기'!$A$1:$AZ$1001,ROW(),설정!$C$4)&amp;"","")</f>
        <v/>
      </c>
      <c r="C400">
        <f>IFERROR(INDEX('1.산군_붙여넣기'!$A$1:$AZ$1001,ROW(),설정!$C$5)&amp;"","")</f>
        <v/>
      </c>
      <c r="D400" s="5">
        <f>IFERROR(VALUE(SUBSTITUTE(SUBSTITUTE(SUBSTITUTE(IFERROR(INDEX('1.산군_붙여넣기'!$A$1:$AZ$1001,ROW(),설정!$C$6)&amp;"",""),",",""),"㎡",""),"m2","")),"")</f>
        <v/>
      </c>
      <c r="E400">
        <f>IFERROR(INDEX('1.산군_붙여넣기'!$A$1:$AZ$1001,ROW(),설정!$C$7)&amp;"","")</f>
        <v/>
      </c>
      <c r="F400">
        <f>IFERROR(INDEX('1.산군_붙여넣기'!$A$1:$AZ$1001,ROW(),설정!$C$8)&amp;"","")</f>
        <v/>
      </c>
      <c r="G400">
        <f>IFERROR(INDEX('1.산군_붙여넣기'!$A$1:$AZ$1001,ROW(),설정!$C$9)&amp;"","")</f>
        <v/>
      </c>
      <c r="H400">
        <f>IFERROR(INDEX('1.산군_붙여넣기'!$A$1:$AZ$1001,ROW(),설정!$C$10)&amp;"","")</f>
        <v/>
      </c>
      <c r="I400">
        <f>IFERROR(INDEX('1.산군_붙여넣기'!$A$1:$AZ$1001,ROW(),설정!$C$11)&amp;"","")</f>
        <v/>
      </c>
      <c r="J400">
        <f>IFERROR(INDEX('1.산군_붙여넣기'!$A$1:$AZ$1001,ROW(),설정!$C$12)&amp;"","")</f>
        <v/>
      </c>
      <c r="K400">
        <f>IFERROR(INDEX('1.산군_붙여넣기'!$A$1:$AZ$1001,ROW(),설정!$C$13)&amp;"","")</f>
        <v/>
      </c>
      <c r="L400" s="6">
        <f>IF(X400="","",IF(AND(LEN(X400)=8,ISNUMBER(X400*1)),DATE(LEFT(X400,4),MID(X400,5,2),RIGHT(X400,2)),IFERROR(DATEVALUE(SUBSTITUTE(SUBSTITUTE(X400,".","-"),"/","-")),IFERROR(X400*1,""))))</f>
        <v/>
      </c>
      <c r="M400" s="6">
        <f>IF(Y400="","",IF(AND(LEN(Y400)=8,ISNUMBER(Y400*1)),DATE(LEFT(Y400,4),MID(Y400,5,2),RIGHT(Y400,2)),IFERROR(DATEVALUE(SUBSTITUTE(SUBSTITUTE(Y400,".","-"),"/","-")),IFERROR(Y400*1,""))))</f>
        <v/>
      </c>
      <c r="N400">
        <f>IFERROR(LEFT(B400,FIND(" ",B400)-1),B400)</f>
        <v/>
      </c>
      <c r="O400">
        <f>AND(B400&lt;&gt;"",B400&lt;&gt;설정!$B$4,C400&lt;&gt;설정!$B$5)</f>
        <v/>
      </c>
      <c r="P400">
        <f>IF(O400,B400&amp;"|"&amp;C400,"")</f>
        <v/>
      </c>
      <c r="Q400">
        <f>AND(O400,COUNTIF(P401:P$1002,P400)=0)</f>
        <v/>
      </c>
      <c r="R400">
        <f>OR(AND(설정!$A$28&lt;&gt;"",ISNUMBER(SEARCH(설정!$A$28,E400&amp;" "&amp;C400))),AND(설정!$A$29&lt;&gt;"",ISNUMBER(SEARCH(설정!$A$29,E400&amp;" "&amp;C400))),AND(설정!$A$30&lt;&gt;"",ISNUMBER(SEARCH(설정!$A$30,E400&amp;" "&amp;C400))),AND(설정!$A$31&lt;&gt;"",ISNUMBER(SEARCH(설정!$A$31,E400&amp;" "&amp;C400))),AND(설정!$A$32&lt;&gt;"",ISNUMBER(SEARCH(설정!$A$32,E400&amp;" "&amp;C400))),AND(설정!$A$33&lt;&gt;"",ISNUMBER(SEARCH(설정!$A$33,E400&amp;" "&amp;C400))),AND(설정!$A$34&lt;&gt;"",ISNUMBER(SEARCH(설정!$A$34,E400&amp;" "&amp;C400))),AND(설정!$A$35&lt;&gt;"",ISNUMBER(SEARCH(설정!$A$35,E400&amp;" "&amp;C400))),AND(설정!$A$36&lt;&gt;"",ISNUMBER(SEARCH(설정!$A$36,E400&amp;" "&amp;C400))),AND(설정!$A$37&lt;&gt;"",ISNUMBER(SEARCH(설정!$A$37,E400&amp;" "&amp;C400))))</f>
        <v/>
      </c>
      <c r="S400">
        <f>OR(D400="",D400&gt;=설정!$B$19)</f>
        <v/>
      </c>
      <c r="T400">
        <f>AND(Q400,R400,S400)</f>
        <v/>
      </c>
      <c r="U400">
        <f>IF(T400,IF(AND(설정!$A$41&lt;&gt;"",ISNUMBER(SEARCH(설정!$A$41,K400))),설정!$B$41,IF(AND(설정!$A$42&lt;&gt;"",ISNUMBER(SEARCH(설정!$A$42,K400))),설정!$B$42,IF(AND(설정!$A$43&lt;&gt;"",ISNUMBER(SEARCH(설정!$A$43,K400))),설정!$B$43,IF(AND(설정!$A$44&lt;&gt;"",ISNUMBER(SEARCH(설정!$A$44,K400))),설정!$B$44,IF(AND(설정!$A$45&lt;&gt;"",ISNUMBER(SEARCH(설정!$A$45,K400))),설정!$B$45,IF(AND(설정!$A$46&lt;&gt;"",ISNUMBER(SEARCH(설정!$A$46,K400))),설정!$B$46,IF(AND(설정!$A$47&lt;&gt;"",ISNUMBER(SEARCH(설정!$A$47,K400))),설정!$B$47,IF(AND(설정!$A$48&lt;&gt;"",ISNUMBER(SEARCH(설정!$A$48,K400))),설정!$B$48,IF(M400="","설계사","시공사"))))))))),"")</f>
        <v/>
      </c>
      <c r="V400">
        <f>SUBSTITUTE(SUBSTITUTE(SUBSTITUTE(SUBSTITUTE(G400,"(주)",""),"㈜",""),"주식회사","")," ","")</f>
        <v/>
      </c>
      <c r="W400">
        <f>IF(AND(T400,V400&lt;&gt;""),IF(COUNTIFS(V$2:V400,V400,T$2:T400,TRUE)=1,MAX(W$1:W399)+1,""),"")</f>
        <v/>
      </c>
      <c r="X400">
        <f>IFERROR(INDEX('1.산군_붙여넣기'!$A$1:$AZ$1001,ROW(),설정!$C$14)&amp;"","")</f>
        <v/>
      </c>
      <c r="Y400">
        <f>IFERROR(INDEX('1.산군_붙여넣기'!$A$1:$AZ$1001,ROW(),설정!$C$15)&amp;"","")</f>
        <v/>
      </c>
      <c r="Z400">
        <f>IF(T400,V400&amp;"|"&amp;U400,"")</f>
        <v/>
      </c>
    </row>
    <row r="401">
      <c r="A401">
        <f>ROW()</f>
        <v/>
      </c>
      <c r="B401">
        <f>IFERROR(INDEX('1.산군_붙여넣기'!$A$1:$AZ$1001,ROW(),설정!$C$4)&amp;"","")</f>
        <v/>
      </c>
      <c r="C401">
        <f>IFERROR(INDEX('1.산군_붙여넣기'!$A$1:$AZ$1001,ROW(),설정!$C$5)&amp;"","")</f>
        <v/>
      </c>
      <c r="D401" s="5">
        <f>IFERROR(VALUE(SUBSTITUTE(SUBSTITUTE(SUBSTITUTE(IFERROR(INDEX('1.산군_붙여넣기'!$A$1:$AZ$1001,ROW(),설정!$C$6)&amp;"",""),",",""),"㎡",""),"m2","")),"")</f>
        <v/>
      </c>
      <c r="E401">
        <f>IFERROR(INDEX('1.산군_붙여넣기'!$A$1:$AZ$1001,ROW(),설정!$C$7)&amp;"","")</f>
        <v/>
      </c>
      <c r="F401">
        <f>IFERROR(INDEX('1.산군_붙여넣기'!$A$1:$AZ$1001,ROW(),설정!$C$8)&amp;"","")</f>
        <v/>
      </c>
      <c r="G401">
        <f>IFERROR(INDEX('1.산군_붙여넣기'!$A$1:$AZ$1001,ROW(),설정!$C$9)&amp;"","")</f>
        <v/>
      </c>
      <c r="H401">
        <f>IFERROR(INDEX('1.산군_붙여넣기'!$A$1:$AZ$1001,ROW(),설정!$C$10)&amp;"","")</f>
        <v/>
      </c>
      <c r="I401">
        <f>IFERROR(INDEX('1.산군_붙여넣기'!$A$1:$AZ$1001,ROW(),설정!$C$11)&amp;"","")</f>
        <v/>
      </c>
      <c r="J401">
        <f>IFERROR(INDEX('1.산군_붙여넣기'!$A$1:$AZ$1001,ROW(),설정!$C$12)&amp;"","")</f>
        <v/>
      </c>
      <c r="K401">
        <f>IFERROR(INDEX('1.산군_붙여넣기'!$A$1:$AZ$1001,ROW(),설정!$C$13)&amp;"","")</f>
        <v/>
      </c>
      <c r="L401" s="6">
        <f>IF(X401="","",IF(AND(LEN(X401)=8,ISNUMBER(X401*1)),DATE(LEFT(X401,4),MID(X401,5,2),RIGHT(X401,2)),IFERROR(DATEVALUE(SUBSTITUTE(SUBSTITUTE(X401,".","-"),"/","-")),IFERROR(X401*1,""))))</f>
        <v/>
      </c>
      <c r="M401" s="6">
        <f>IF(Y401="","",IF(AND(LEN(Y401)=8,ISNUMBER(Y401*1)),DATE(LEFT(Y401,4),MID(Y401,5,2),RIGHT(Y401,2)),IFERROR(DATEVALUE(SUBSTITUTE(SUBSTITUTE(Y401,".","-"),"/","-")),IFERROR(Y401*1,""))))</f>
        <v/>
      </c>
      <c r="N401">
        <f>IFERROR(LEFT(B401,FIND(" ",B401)-1),B401)</f>
        <v/>
      </c>
      <c r="O401">
        <f>AND(B401&lt;&gt;"",B401&lt;&gt;설정!$B$4,C401&lt;&gt;설정!$B$5)</f>
        <v/>
      </c>
      <c r="P401">
        <f>IF(O401,B401&amp;"|"&amp;C401,"")</f>
        <v/>
      </c>
      <c r="Q401">
        <f>AND(O401,COUNTIF(P402:P$1002,P401)=0)</f>
        <v/>
      </c>
      <c r="R401">
        <f>OR(AND(설정!$A$28&lt;&gt;"",ISNUMBER(SEARCH(설정!$A$28,E401&amp;" "&amp;C401))),AND(설정!$A$29&lt;&gt;"",ISNUMBER(SEARCH(설정!$A$29,E401&amp;" "&amp;C401))),AND(설정!$A$30&lt;&gt;"",ISNUMBER(SEARCH(설정!$A$30,E401&amp;" "&amp;C401))),AND(설정!$A$31&lt;&gt;"",ISNUMBER(SEARCH(설정!$A$31,E401&amp;" "&amp;C401))),AND(설정!$A$32&lt;&gt;"",ISNUMBER(SEARCH(설정!$A$32,E401&amp;" "&amp;C401))),AND(설정!$A$33&lt;&gt;"",ISNUMBER(SEARCH(설정!$A$33,E401&amp;" "&amp;C401))),AND(설정!$A$34&lt;&gt;"",ISNUMBER(SEARCH(설정!$A$34,E401&amp;" "&amp;C401))),AND(설정!$A$35&lt;&gt;"",ISNUMBER(SEARCH(설정!$A$35,E401&amp;" "&amp;C401))),AND(설정!$A$36&lt;&gt;"",ISNUMBER(SEARCH(설정!$A$36,E401&amp;" "&amp;C401))),AND(설정!$A$37&lt;&gt;"",ISNUMBER(SEARCH(설정!$A$37,E401&amp;" "&amp;C401))))</f>
        <v/>
      </c>
      <c r="S401">
        <f>OR(D401="",D401&gt;=설정!$B$19)</f>
        <v/>
      </c>
      <c r="T401">
        <f>AND(Q401,R401,S401)</f>
        <v/>
      </c>
      <c r="U401">
        <f>IF(T401,IF(AND(설정!$A$41&lt;&gt;"",ISNUMBER(SEARCH(설정!$A$41,K401))),설정!$B$41,IF(AND(설정!$A$42&lt;&gt;"",ISNUMBER(SEARCH(설정!$A$42,K401))),설정!$B$42,IF(AND(설정!$A$43&lt;&gt;"",ISNUMBER(SEARCH(설정!$A$43,K401))),설정!$B$43,IF(AND(설정!$A$44&lt;&gt;"",ISNUMBER(SEARCH(설정!$A$44,K401))),설정!$B$44,IF(AND(설정!$A$45&lt;&gt;"",ISNUMBER(SEARCH(설정!$A$45,K401))),설정!$B$45,IF(AND(설정!$A$46&lt;&gt;"",ISNUMBER(SEARCH(설정!$A$46,K401))),설정!$B$46,IF(AND(설정!$A$47&lt;&gt;"",ISNUMBER(SEARCH(설정!$A$47,K401))),설정!$B$47,IF(AND(설정!$A$48&lt;&gt;"",ISNUMBER(SEARCH(설정!$A$48,K401))),설정!$B$48,IF(M401="","설계사","시공사"))))))))),"")</f>
        <v/>
      </c>
      <c r="V401">
        <f>SUBSTITUTE(SUBSTITUTE(SUBSTITUTE(SUBSTITUTE(G401,"(주)",""),"㈜",""),"주식회사","")," ","")</f>
        <v/>
      </c>
      <c r="W401">
        <f>IF(AND(T401,V401&lt;&gt;""),IF(COUNTIFS(V$2:V401,V401,T$2:T401,TRUE)=1,MAX(W$1:W400)+1,""),"")</f>
        <v/>
      </c>
      <c r="X401">
        <f>IFERROR(INDEX('1.산군_붙여넣기'!$A$1:$AZ$1001,ROW(),설정!$C$14)&amp;"","")</f>
        <v/>
      </c>
      <c r="Y401">
        <f>IFERROR(INDEX('1.산군_붙여넣기'!$A$1:$AZ$1001,ROW(),설정!$C$15)&amp;"","")</f>
        <v/>
      </c>
      <c r="Z401">
        <f>IF(T401,V401&amp;"|"&amp;U401,"")</f>
        <v/>
      </c>
    </row>
    <row r="402">
      <c r="A402">
        <f>ROW()</f>
        <v/>
      </c>
      <c r="B402">
        <f>IFERROR(INDEX('1.산군_붙여넣기'!$A$1:$AZ$1001,ROW(),설정!$C$4)&amp;"","")</f>
        <v/>
      </c>
      <c r="C402">
        <f>IFERROR(INDEX('1.산군_붙여넣기'!$A$1:$AZ$1001,ROW(),설정!$C$5)&amp;"","")</f>
        <v/>
      </c>
      <c r="D402" s="5">
        <f>IFERROR(VALUE(SUBSTITUTE(SUBSTITUTE(SUBSTITUTE(IFERROR(INDEX('1.산군_붙여넣기'!$A$1:$AZ$1001,ROW(),설정!$C$6)&amp;"",""),",",""),"㎡",""),"m2","")),"")</f>
        <v/>
      </c>
      <c r="E402">
        <f>IFERROR(INDEX('1.산군_붙여넣기'!$A$1:$AZ$1001,ROW(),설정!$C$7)&amp;"","")</f>
        <v/>
      </c>
      <c r="F402">
        <f>IFERROR(INDEX('1.산군_붙여넣기'!$A$1:$AZ$1001,ROW(),설정!$C$8)&amp;"","")</f>
        <v/>
      </c>
      <c r="G402">
        <f>IFERROR(INDEX('1.산군_붙여넣기'!$A$1:$AZ$1001,ROW(),설정!$C$9)&amp;"","")</f>
        <v/>
      </c>
      <c r="H402">
        <f>IFERROR(INDEX('1.산군_붙여넣기'!$A$1:$AZ$1001,ROW(),설정!$C$10)&amp;"","")</f>
        <v/>
      </c>
      <c r="I402">
        <f>IFERROR(INDEX('1.산군_붙여넣기'!$A$1:$AZ$1001,ROW(),설정!$C$11)&amp;"","")</f>
        <v/>
      </c>
      <c r="J402">
        <f>IFERROR(INDEX('1.산군_붙여넣기'!$A$1:$AZ$1001,ROW(),설정!$C$12)&amp;"","")</f>
        <v/>
      </c>
      <c r="K402">
        <f>IFERROR(INDEX('1.산군_붙여넣기'!$A$1:$AZ$1001,ROW(),설정!$C$13)&amp;"","")</f>
        <v/>
      </c>
      <c r="L402" s="6">
        <f>IF(X402="","",IF(AND(LEN(X402)=8,ISNUMBER(X402*1)),DATE(LEFT(X402,4),MID(X402,5,2),RIGHT(X402,2)),IFERROR(DATEVALUE(SUBSTITUTE(SUBSTITUTE(X402,".","-"),"/","-")),IFERROR(X402*1,""))))</f>
        <v/>
      </c>
      <c r="M402" s="6">
        <f>IF(Y402="","",IF(AND(LEN(Y402)=8,ISNUMBER(Y402*1)),DATE(LEFT(Y402,4),MID(Y402,5,2),RIGHT(Y402,2)),IFERROR(DATEVALUE(SUBSTITUTE(SUBSTITUTE(Y402,".","-"),"/","-")),IFERROR(Y402*1,""))))</f>
        <v/>
      </c>
      <c r="N402">
        <f>IFERROR(LEFT(B402,FIND(" ",B402)-1),B402)</f>
        <v/>
      </c>
      <c r="O402">
        <f>AND(B402&lt;&gt;"",B402&lt;&gt;설정!$B$4,C402&lt;&gt;설정!$B$5)</f>
        <v/>
      </c>
      <c r="P402">
        <f>IF(O402,B402&amp;"|"&amp;C402,"")</f>
        <v/>
      </c>
      <c r="Q402">
        <f>AND(O402,COUNTIF(P403:P$1002,P402)=0)</f>
        <v/>
      </c>
      <c r="R402">
        <f>OR(AND(설정!$A$28&lt;&gt;"",ISNUMBER(SEARCH(설정!$A$28,E402&amp;" "&amp;C402))),AND(설정!$A$29&lt;&gt;"",ISNUMBER(SEARCH(설정!$A$29,E402&amp;" "&amp;C402))),AND(설정!$A$30&lt;&gt;"",ISNUMBER(SEARCH(설정!$A$30,E402&amp;" "&amp;C402))),AND(설정!$A$31&lt;&gt;"",ISNUMBER(SEARCH(설정!$A$31,E402&amp;" "&amp;C402))),AND(설정!$A$32&lt;&gt;"",ISNUMBER(SEARCH(설정!$A$32,E402&amp;" "&amp;C402))),AND(설정!$A$33&lt;&gt;"",ISNUMBER(SEARCH(설정!$A$33,E402&amp;" "&amp;C402))),AND(설정!$A$34&lt;&gt;"",ISNUMBER(SEARCH(설정!$A$34,E402&amp;" "&amp;C402))),AND(설정!$A$35&lt;&gt;"",ISNUMBER(SEARCH(설정!$A$35,E402&amp;" "&amp;C402))),AND(설정!$A$36&lt;&gt;"",ISNUMBER(SEARCH(설정!$A$36,E402&amp;" "&amp;C402))),AND(설정!$A$37&lt;&gt;"",ISNUMBER(SEARCH(설정!$A$37,E402&amp;" "&amp;C402))))</f>
        <v/>
      </c>
      <c r="S402">
        <f>OR(D402="",D402&gt;=설정!$B$19)</f>
        <v/>
      </c>
      <c r="T402">
        <f>AND(Q402,R402,S402)</f>
        <v/>
      </c>
      <c r="U402">
        <f>IF(T402,IF(AND(설정!$A$41&lt;&gt;"",ISNUMBER(SEARCH(설정!$A$41,K402))),설정!$B$41,IF(AND(설정!$A$42&lt;&gt;"",ISNUMBER(SEARCH(설정!$A$42,K402))),설정!$B$42,IF(AND(설정!$A$43&lt;&gt;"",ISNUMBER(SEARCH(설정!$A$43,K402))),설정!$B$43,IF(AND(설정!$A$44&lt;&gt;"",ISNUMBER(SEARCH(설정!$A$44,K402))),설정!$B$44,IF(AND(설정!$A$45&lt;&gt;"",ISNUMBER(SEARCH(설정!$A$45,K402))),설정!$B$45,IF(AND(설정!$A$46&lt;&gt;"",ISNUMBER(SEARCH(설정!$A$46,K402))),설정!$B$46,IF(AND(설정!$A$47&lt;&gt;"",ISNUMBER(SEARCH(설정!$A$47,K402))),설정!$B$47,IF(AND(설정!$A$48&lt;&gt;"",ISNUMBER(SEARCH(설정!$A$48,K402))),설정!$B$48,IF(M402="","설계사","시공사"))))))))),"")</f>
        <v/>
      </c>
      <c r="V402">
        <f>SUBSTITUTE(SUBSTITUTE(SUBSTITUTE(SUBSTITUTE(G402,"(주)",""),"㈜",""),"주식회사","")," ","")</f>
        <v/>
      </c>
      <c r="W402">
        <f>IF(AND(T402,V402&lt;&gt;""),IF(COUNTIFS(V$2:V402,V402,T$2:T402,TRUE)=1,MAX(W$1:W401)+1,""),"")</f>
        <v/>
      </c>
      <c r="X402">
        <f>IFERROR(INDEX('1.산군_붙여넣기'!$A$1:$AZ$1001,ROW(),설정!$C$14)&amp;"","")</f>
        <v/>
      </c>
      <c r="Y402">
        <f>IFERROR(INDEX('1.산군_붙여넣기'!$A$1:$AZ$1001,ROW(),설정!$C$15)&amp;"","")</f>
        <v/>
      </c>
      <c r="Z402">
        <f>IF(T402,V402&amp;"|"&amp;U402,"")</f>
        <v/>
      </c>
    </row>
    <row r="403">
      <c r="A403">
        <f>ROW()</f>
        <v/>
      </c>
      <c r="B403">
        <f>IFERROR(INDEX('1.산군_붙여넣기'!$A$1:$AZ$1001,ROW(),설정!$C$4)&amp;"","")</f>
        <v/>
      </c>
      <c r="C403">
        <f>IFERROR(INDEX('1.산군_붙여넣기'!$A$1:$AZ$1001,ROW(),설정!$C$5)&amp;"","")</f>
        <v/>
      </c>
      <c r="D403" s="5">
        <f>IFERROR(VALUE(SUBSTITUTE(SUBSTITUTE(SUBSTITUTE(IFERROR(INDEX('1.산군_붙여넣기'!$A$1:$AZ$1001,ROW(),설정!$C$6)&amp;"",""),",",""),"㎡",""),"m2","")),"")</f>
        <v/>
      </c>
      <c r="E403">
        <f>IFERROR(INDEX('1.산군_붙여넣기'!$A$1:$AZ$1001,ROW(),설정!$C$7)&amp;"","")</f>
        <v/>
      </c>
      <c r="F403">
        <f>IFERROR(INDEX('1.산군_붙여넣기'!$A$1:$AZ$1001,ROW(),설정!$C$8)&amp;"","")</f>
        <v/>
      </c>
      <c r="G403">
        <f>IFERROR(INDEX('1.산군_붙여넣기'!$A$1:$AZ$1001,ROW(),설정!$C$9)&amp;"","")</f>
        <v/>
      </c>
      <c r="H403">
        <f>IFERROR(INDEX('1.산군_붙여넣기'!$A$1:$AZ$1001,ROW(),설정!$C$10)&amp;"","")</f>
        <v/>
      </c>
      <c r="I403">
        <f>IFERROR(INDEX('1.산군_붙여넣기'!$A$1:$AZ$1001,ROW(),설정!$C$11)&amp;"","")</f>
        <v/>
      </c>
      <c r="J403">
        <f>IFERROR(INDEX('1.산군_붙여넣기'!$A$1:$AZ$1001,ROW(),설정!$C$12)&amp;"","")</f>
        <v/>
      </c>
      <c r="K403">
        <f>IFERROR(INDEX('1.산군_붙여넣기'!$A$1:$AZ$1001,ROW(),설정!$C$13)&amp;"","")</f>
        <v/>
      </c>
      <c r="L403" s="6">
        <f>IF(X403="","",IF(AND(LEN(X403)=8,ISNUMBER(X403*1)),DATE(LEFT(X403,4),MID(X403,5,2),RIGHT(X403,2)),IFERROR(DATEVALUE(SUBSTITUTE(SUBSTITUTE(X403,".","-"),"/","-")),IFERROR(X403*1,""))))</f>
        <v/>
      </c>
      <c r="M403" s="6">
        <f>IF(Y403="","",IF(AND(LEN(Y403)=8,ISNUMBER(Y403*1)),DATE(LEFT(Y403,4),MID(Y403,5,2),RIGHT(Y403,2)),IFERROR(DATEVALUE(SUBSTITUTE(SUBSTITUTE(Y403,".","-"),"/","-")),IFERROR(Y403*1,""))))</f>
        <v/>
      </c>
      <c r="N403">
        <f>IFERROR(LEFT(B403,FIND(" ",B403)-1),B403)</f>
        <v/>
      </c>
      <c r="O403">
        <f>AND(B403&lt;&gt;"",B403&lt;&gt;설정!$B$4,C403&lt;&gt;설정!$B$5)</f>
        <v/>
      </c>
      <c r="P403">
        <f>IF(O403,B403&amp;"|"&amp;C403,"")</f>
        <v/>
      </c>
      <c r="Q403">
        <f>AND(O403,COUNTIF(P404:P$1002,P403)=0)</f>
        <v/>
      </c>
      <c r="R403">
        <f>OR(AND(설정!$A$28&lt;&gt;"",ISNUMBER(SEARCH(설정!$A$28,E403&amp;" "&amp;C403))),AND(설정!$A$29&lt;&gt;"",ISNUMBER(SEARCH(설정!$A$29,E403&amp;" "&amp;C403))),AND(설정!$A$30&lt;&gt;"",ISNUMBER(SEARCH(설정!$A$30,E403&amp;" "&amp;C403))),AND(설정!$A$31&lt;&gt;"",ISNUMBER(SEARCH(설정!$A$31,E403&amp;" "&amp;C403))),AND(설정!$A$32&lt;&gt;"",ISNUMBER(SEARCH(설정!$A$32,E403&amp;" "&amp;C403))),AND(설정!$A$33&lt;&gt;"",ISNUMBER(SEARCH(설정!$A$33,E403&amp;" "&amp;C403))),AND(설정!$A$34&lt;&gt;"",ISNUMBER(SEARCH(설정!$A$34,E403&amp;" "&amp;C403))),AND(설정!$A$35&lt;&gt;"",ISNUMBER(SEARCH(설정!$A$35,E403&amp;" "&amp;C403))),AND(설정!$A$36&lt;&gt;"",ISNUMBER(SEARCH(설정!$A$36,E403&amp;" "&amp;C403))),AND(설정!$A$37&lt;&gt;"",ISNUMBER(SEARCH(설정!$A$37,E403&amp;" "&amp;C403))))</f>
        <v/>
      </c>
      <c r="S403">
        <f>OR(D403="",D403&gt;=설정!$B$19)</f>
        <v/>
      </c>
      <c r="T403">
        <f>AND(Q403,R403,S403)</f>
        <v/>
      </c>
      <c r="U403">
        <f>IF(T403,IF(AND(설정!$A$41&lt;&gt;"",ISNUMBER(SEARCH(설정!$A$41,K403))),설정!$B$41,IF(AND(설정!$A$42&lt;&gt;"",ISNUMBER(SEARCH(설정!$A$42,K403))),설정!$B$42,IF(AND(설정!$A$43&lt;&gt;"",ISNUMBER(SEARCH(설정!$A$43,K403))),설정!$B$43,IF(AND(설정!$A$44&lt;&gt;"",ISNUMBER(SEARCH(설정!$A$44,K403))),설정!$B$44,IF(AND(설정!$A$45&lt;&gt;"",ISNUMBER(SEARCH(설정!$A$45,K403))),설정!$B$45,IF(AND(설정!$A$46&lt;&gt;"",ISNUMBER(SEARCH(설정!$A$46,K403))),설정!$B$46,IF(AND(설정!$A$47&lt;&gt;"",ISNUMBER(SEARCH(설정!$A$47,K403))),설정!$B$47,IF(AND(설정!$A$48&lt;&gt;"",ISNUMBER(SEARCH(설정!$A$48,K403))),설정!$B$48,IF(M403="","설계사","시공사"))))))))),"")</f>
        <v/>
      </c>
      <c r="V403">
        <f>SUBSTITUTE(SUBSTITUTE(SUBSTITUTE(SUBSTITUTE(G403,"(주)",""),"㈜",""),"주식회사","")," ","")</f>
        <v/>
      </c>
      <c r="W403">
        <f>IF(AND(T403,V403&lt;&gt;""),IF(COUNTIFS(V$2:V403,V403,T$2:T403,TRUE)=1,MAX(W$1:W402)+1,""),"")</f>
        <v/>
      </c>
      <c r="X403">
        <f>IFERROR(INDEX('1.산군_붙여넣기'!$A$1:$AZ$1001,ROW(),설정!$C$14)&amp;"","")</f>
        <v/>
      </c>
      <c r="Y403">
        <f>IFERROR(INDEX('1.산군_붙여넣기'!$A$1:$AZ$1001,ROW(),설정!$C$15)&amp;"","")</f>
        <v/>
      </c>
      <c r="Z403">
        <f>IF(T403,V403&amp;"|"&amp;U403,"")</f>
        <v/>
      </c>
    </row>
    <row r="404">
      <c r="A404">
        <f>ROW()</f>
        <v/>
      </c>
      <c r="B404">
        <f>IFERROR(INDEX('1.산군_붙여넣기'!$A$1:$AZ$1001,ROW(),설정!$C$4)&amp;"","")</f>
        <v/>
      </c>
      <c r="C404">
        <f>IFERROR(INDEX('1.산군_붙여넣기'!$A$1:$AZ$1001,ROW(),설정!$C$5)&amp;"","")</f>
        <v/>
      </c>
      <c r="D404" s="5">
        <f>IFERROR(VALUE(SUBSTITUTE(SUBSTITUTE(SUBSTITUTE(IFERROR(INDEX('1.산군_붙여넣기'!$A$1:$AZ$1001,ROW(),설정!$C$6)&amp;"",""),",",""),"㎡",""),"m2","")),"")</f>
        <v/>
      </c>
      <c r="E404">
        <f>IFERROR(INDEX('1.산군_붙여넣기'!$A$1:$AZ$1001,ROW(),설정!$C$7)&amp;"","")</f>
        <v/>
      </c>
      <c r="F404">
        <f>IFERROR(INDEX('1.산군_붙여넣기'!$A$1:$AZ$1001,ROW(),설정!$C$8)&amp;"","")</f>
        <v/>
      </c>
      <c r="G404">
        <f>IFERROR(INDEX('1.산군_붙여넣기'!$A$1:$AZ$1001,ROW(),설정!$C$9)&amp;"","")</f>
        <v/>
      </c>
      <c r="H404">
        <f>IFERROR(INDEX('1.산군_붙여넣기'!$A$1:$AZ$1001,ROW(),설정!$C$10)&amp;"","")</f>
        <v/>
      </c>
      <c r="I404">
        <f>IFERROR(INDEX('1.산군_붙여넣기'!$A$1:$AZ$1001,ROW(),설정!$C$11)&amp;"","")</f>
        <v/>
      </c>
      <c r="J404">
        <f>IFERROR(INDEX('1.산군_붙여넣기'!$A$1:$AZ$1001,ROW(),설정!$C$12)&amp;"","")</f>
        <v/>
      </c>
      <c r="K404">
        <f>IFERROR(INDEX('1.산군_붙여넣기'!$A$1:$AZ$1001,ROW(),설정!$C$13)&amp;"","")</f>
        <v/>
      </c>
      <c r="L404" s="6">
        <f>IF(X404="","",IF(AND(LEN(X404)=8,ISNUMBER(X404*1)),DATE(LEFT(X404,4),MID(X404,5,2),RIGHT(X404,2)),IFERROR(DATEVALUE(SUBSTITUTE(SUBSTITUTE(X404,".","-"),"/","-")),IFERROR(X404*1,""))))</f>
        <v/>
      </c>
      <c r="M404" s="6">
        <f>IF(Y404="","",IF(AND(LEN(Y404)=8,ISNUMBER(Y404*1)),DATE(LEFT(Y404,4),MID(Y404,5,2),RIGHT(Y404,2)),IFERROR(DATEVALUE(SUBSTITUTE(SUBSTITUTE(Y404,".","-"),"/","-")),IFERROR(Y404*1,""))))</f>
        <v/>
      </c>
      <c r="N404">
        <f>IFERROR(LEFT(B404,FIND(" ",B404)-1),B404)</f>
        <v/>
      </c>
      <c r="O404">
        <f>AND(B404&lt;&gt;"",B404&lt;&gt;설정!$B$4,C404&lt;&gt;설정!$B$5)</f>
        <v/>
      </c>
      <c r="P404">
        <f>IF(O404,B404&amp;"|"&amp;C404,"")</f>
        <v/>
      </c>
      <c r="Q404">
        <f>AND(O404,COUNTIF(P405:P$1002,P404)=0)</f>
        <v/>
      </c>
      <c r="R404">
        <f>OR(AND(설정!$A$28&lt;&gt;"",ISNUMBER(SEARCH(설정!$A$28,E404&amp;" "&amp;C404))),AND(설정!$A$29&lt;&gt;"",ISNUMBER(SEARCH(설정!$A$29,E404&amp;" "&amp;C404))),AND(설정!$A$30&lt;&gt;"",ISNUMBER(SEARCH(설정!$A$30,E404&amp;" "&amp;C404))),AND(설정!$A$31&lt;&gt;"",ISNUMBER(SEARCH(설정!$A$31,E404&amp;" "&amp;C404))),AND(설정!$A$32&lt;&gt;"",ISNUMBER(SEARCH(설정!$A$32,E404&amp;" "&amp;C404))),AND(설정!$A$33&lt;&gt;"",ISNUMBER(SEARCH(설정!$A$33,E404&amp;" "&amp;C404))),AND(설정!$A$34&lt;&gt;"",ISNUMBER(SEARCH(설정!$A$34,E404&amp;" "&amp;C404))),AND(설정!$A$35&lt;&gt;"",ISNUMBER(SEARCH(설정!$A$35,E404&amp;" "&amp;C404))),AND(설정!$A$36&lt;&gt;"",ISNUMBER(SEARCH(설정!$A$36,E404&amp;" "&amp;C404))),AND(설정!$A$37&lt;&gt;"",ISNUMBER(SEARCH(설정!$A$37,E404&amp;" "&amp;C404))))</f>
        <v/>
      </c>
      <c r="S404">
        <f>OR(D404="",D404&gt;=설정!$B$19)</f>
        <v/>
      </c>
      <c r="T404">
        <f>AND(Q404,R404,S404)</f>
        <v/>
      </c>
      <c r="U404">
        <f>IF(T404,IF(AND(설정!$A$41&lt;&gt;"",ISNUMBER(SEARCH(설정!$A$41,K404))),설정!$B$41,IF(AND(설정!$A$42&lt;&gt;"",ISNUMBER(SEARCH(설정!$A$42,K404))),설정!$B$42,IF(AND(설정!$A$43&lt;&gt;"",ISNUMBER(SEARCH(설정!$A$43,K404))),설정!$B$43,IF(AND(설정!$A$44&lt;&gt;"",ISNUMBER(SEARCH(설정!$A$44,K404))),설정!$B$44,IF(AND(설정!$A$45&lt;&gt;"",ISNUMBER(SEARCH(설정!$A$45,K404))),설정!$B$45,IF(AND(설정!$A$46&lt;&gt;"",ISNUMBER(SEARCH(설정!$A$46,K404))),설정!$B$46,IF(AND(설정!$A$47&lt;&gt;"",ISNUMBER(SEARCH(설정!$A$47,K404))),설정!$B$47,IF(AND(설정!$A$48&lt;&gt;"",ISNUMBER(SEARCH(설정!$A$48,K404))),설정!$B$48,IF(M404="","설계사","시공사"))))))))),"")</f>
        <v/>
      </c>
      <c r="V404">
        <f>SUBSTITUTE(SUBSTITUTE(SUBSTITUTE(SUBSTITUTE(G404,"(주)",""),"㈜",""),"주식회사","")," ","")</f>
        <v/>
      </c>
      <c r="W404">
        <f>IF(AND(T404,V404&lt;&gt;""),IF(COUNTIFS(V$2:V404,V404,T$2:T404,TRUE)=1,MAX(W$1:W403)+1,""),"")</f>
        <v/>
      </c>
      <c r="X404">
        <f>IFERROR(INDEX('1.산군_붙여넣기'!$A$1:$AZ$1001,ROW(),설정!$C$14)&amp;"","")</f>
        <v/>
      </c>
      <c r="Y404">
        <f>IFERROR(INDEX('1.산군_붙여넣기'!$A$1:$AZ$1001,ROW(),설정!$C$15)&amp;"","")</f>
        <v/>
      </c>
      <c r="Z404">
        <f>IF(T404,V404&amp;"|"&amp;U404,"")</f>
        <v/>
      </c>
    </row>
    <row r="405">
      <c r="A405">
        <f>ROW()</f>
        <v/>
      </c>
      <c r="B405">
        <f>IFERROR(INDEX('1.산군_붙여넣기'!$A$1:$AZ$1001,ROW(),설정!$C$4)&amp;"","")</f>
        <v/>
      </c>
      <c r="C405">
        <f>IFERROR(INDEX('1.산군_붙여넣기'!$A$1:$AZ$1001,ROW(),설정!$C$5)&amp;"","")</f>
        <v/>
      </c>
      <c r="D405" s="5">
        <f>IFERROR(VALUE(SUBSTITUTE(SUBSTITUTE(SUBSTITUTE(IFERROR(INDEX('1.산군_붙여넣기'!$A$1:$AZ$1001,ROW(),설정!$C$6)&amp;"",""),",",""),"㎡",""),"m2","")),"")</f>
        <v/>
      </c>
      <c r="E405">
        <f>IFERROR(INDEX('1.산군_붙여넣기'!$A$1:$AZ$1001,ROW(),설정!$C$7)&amp;"","")</f>
        <v/>
      </c>
      <c r="F405">
        <f>IFERROR(INDEX('1.산군_붙여넣기'!$A$1:$AZ$1001,ROW(),설정!$C$8)&amp;"","")</f>
        <v/>
      </c>
      <c r="G405">
        <f>IFERROR(INDEX('1.산군_붙여넣기'!$A$1:$AZ$1001,ROW(),설정!$C$9)&amp;"","")</f>
        <v/>
      </c>
      <c r="H405">
        <f>IFERROR(INDEX('1.산군_붙여넣기'!$A$1:$AZ$1001,ROW(),설정!$C$10)&amp;"","")</f>
        <v/>
      </c>
      <c r="I405">
        <f>IFERROR(INDEX('1.산군_붙여넣기'!$A$1:$AZ$1001,ROW(),설정!$C$11)&amp;"","")</f>
        <v/>
      </c>
      <c r="J405">
        <f>IFERROR(INDEX('1.산군_붙여넣기'!$A$1:$AZ$1001,ROW(),설정!$C$12)&amp;"","")</f>
        <v/>
      </c>
      <c r="K405">
        <f>IFERROR(INDEX('1.산군_붙여넣기'!$A$1:$AZ$1001,ROW(),설정!$C$13)&amp;"","")</f>
        <v/>
      </c>
      <c r="L405" s="6">
        <f>IF(X405="","",IF(AND(LEN(X405)=8,ISNUMBER(X405*1)),DATE(LEFT(X405,4),MID(X405,5,2),RIGHT(X405,2)),IFERROR(DATEVALUE(SUBSTITUTE(SUBSTITUTE(X405,".","-"),"/","-")),IFERROR(X405*1,""))))</f>
        <v/>
      </c>
      <c r="M405" s="6">
        <f>IF(Y405="","",IF(AND(LEN(Y405)=8,ISNUMBER(Y405*1)),DATE(LEFT(Y405,4),MID(Y405,5,2),RIGHT(Y405,2)),IFERROR(DATEVALUE(SUBSTITUTE(SUBSTITUTE(Y405,".","-"),"/","-")),IFERROR(Y405*1,""))))</f>
        <v/>
      </c>
      <c r="N405">
        <f>IFERROR(LEFT(B405,FIND(" ",B405)-1),B405)</f>
        <v/>
      </c>
      <c r="O405">
        <f>AND(B405&lt;&gt;"",B405&lt;&gt;설정!$B$4,C405&lt;&gt;설정!$B$5)</f>
        <v/>
      </c>
      <c r="P405">
        <f>IF(O405,B405&amp;"|"&amp;C405,"")</f>
        <v/>
      </c>
      <c r="Q405">
        <f>AND(O405,COUNTIF(P406:P$1002,P405)=0)</f>
        <v/>
      </c>
      <c r="R405">
        <f>OR(AND(설정!$A$28&lt;&gt;"",ISNUMBER(SEARCH(설정!$A$28,E405&amp;" "&amp;C405))),AND(설정!$A$29&lt;&gt;"",ISNUMBER(SEARCH(설정!$A$29,E405&amp;" "&amp;C405))),AND(설정!$A$30&lt;&gt;"",ISNUMBER(SEARCH(설정!$A$30,E405&amp;" "&amp;C405))),AND(설정!$A$31&lt;&gt;"",ISNUMBER(SEARCH(설정!$A$31,E405&amp;" "&amp;C405))),AND(설정!$A$32&lt;&gt;"",ISNUMBER(SEARCH(설정!$A$32,E405&amp;" "&amp;C405))),AND(설정!$A$33&lt;&gt;"",ISNUMBER(SEARCH(설정!$A$33,E405&amp;" "&amp;C405))),AND(설정!$A$34&lt;&gt;"",ISNUMBER(SEARCH(설정!$A$34,E405&amp;" "&amp;C405))),AND(설정!$A$35&lt;&gt;"",ISNUMBER(SEARCH(설정!$A$35,E405&amp;" "&amp;C405))),AND(설정!$A$36&lt;&gt;"",ISNUMBER(SEARCH(설정!$A$36,E405&amp;" "&amp;C405))),AND(설정!$A$37&lt;&gt;"",ISNUMBER(SEARCH(설정!$A$37,E405&amp;" "&amp;C405))))</f>
        <v/>
      </c>
      <c r="S405">
        <f>OR(D405="",D405&gt;=설정!$B$19)</f>
        <v/>
      </c>
      <c r="T405">
        <f>AND(Q405,R405,S405)</f>
        <v/>
      </c>
      <c r="U405">
        <f>IF(T405,IF(AND(설정!$A$41&lt;&gt;"",ISNUMBER(SEARCH(설정!$A$41,K405))),설정!$B$41,IF(AND(설정!$A$42&lt;&gt;"",ISNUMBER(SEARCH(설정!$A$42,K405))),설정!$B$42,IF(AND(설정!$A$43&lt;&gt;"",ISNUMBER(SEARCH(설정!$A$43,K405))),설정!$B$43,IF(AND(설정!$A$44&lt;&gt;"",ISNUMBER(SEARCH(설정!$A$44,K405))),설정!$B$44,IF(AND(설정!$A$45&lt;&gt;"",ISNUMBER(SEARCH(설정!$A$45,K405))),설정!$B$45,IF(AND(설정!$A$46&lt;&gt;"",ISNUMBER(SEARCH(설정!$A$46,K405))),설정!$B$46,IF(AND(설정!$A$47&lt;&gt;"",ISNUMBER(SEARCH(설정!$A$47,K405))),설정!$B$47,IF(AND(설정!$A$48&lt;&gt;"",ISNUMBER(SEARCH(설정!$A$48,K405))),설정!$B$48,IF(M405="","설계사","시공사"))))))))),"")</f>
        <v/>
      </c>
      <c r="V405">
        <f>SUBSTITUTE(SUBSTITUTE(SUBSTITUTE(SUBSTITUTE(G405,"(주)",""),"㈜",""),"주식회사","")," ","")</f>
        <v/>
      </c>
      <c r="W405">
        <f>IF(AND(T405,V405&lt;&gt;""),IF(COUNTIFS(V$2:V405,V405,T$2:T405,TRUE)=1,MAX(W$1:W404)+1,""),"")</f>
        <v/>
      </c>
      <c r="X405">
        <f>IFERROR(INDEX('1.산군_붙여넣기'!$A$1:$AZ$1001,ROW(),설정!$C$14)&amp;"","")</f>
        <v/>
      </c>
      <c r="Y405">
        <f>IFERROR(INDEX('1.산군_붙여넣기'!$A$1:$AZ$1001,ROW(),설정!$C$15)&amp;"","")</f>
        <v/>
      </c>
      <c r="Z405">
        <f>IF(T405,V405&amp;"|"&amp;U405,"")</f>
        <v/>
      </c>
    </row>
    <row r="406">
      <c r="A406">
        <f>ROW()</f>
        <v/>
      </c>
      <c r="B406">
        <f>IFERROR(INDEX('1.산군_붙여넣기'!$A$1:$AZ$1001,ROW(),설정!$C$4)&amp;"","")</f>
        <v/>
      </c>
      <c r="C406">
        <f>IFERROR(INDEX('1.산군_붙여넣기'!$A$1:$AZ$1001,ROW(),설정!$C$5)&amp;"","")</f>
        <v/>
      </c>
      <c r="D406" s="5">
        <f>IFERROR(VALUE(SUBSTITUTE(SUBSTITUTE(SUBSTITUTE(IFERROR(INDEX('1.산군_붙여넣기'!$A$1:$AZ$1001,ROW(),설정!$C$6)&amp;"",""),",",""),"㎡",""),"m2","")),"")</f>
        <v/>
      </c>
      <c r="E406">
        <f>IFERROR(INDEX('1.산군_붙여넣기'!$A$1:$AZ$1001,ROW(),설정!$C$7)&amp;"","")</f>
        <v/>
      </c>
      <c r="F406">
        <f>IFERROR(INDEX('1.산군_붙여넣기'!$A$1:$AZ$1001,ROW(),설정!$C$8)&amp;"","")</f>
        <v/>
      </c>
      <c r="G406">
        <f>IFERROR(INDEX('1.산군_붙여넣기'!$A$1:$AZ$1001,ROW(),설정!$C$9)&amp;"","")</f>
        <v/>
      </c>
      <c r="H406">
        <f>IFERROR(INDEX('1.산군_붙여넣기'!$A$1:$AZ$1001,ROW(),설정!$C$10)&amp;"","")</f>
        <v/>
      </c>
      <c r="I406">
        <f>IFERROR(INDEX('1.산군_붙여넣기'!$A$1:$AZ$1001,ROW(),설정!$C$11)&amp;"","")</f>
        <v/>
      </c>
      <c r="J406">
        <f>IFERROR(INDEX('1.산군_붙여넣기'!$A$1:$AZ$1001,ROW(),설정!$C$12)&amp;"","")</f>
        <v/>
      </c>
      <c r="K406">
        <f>IFERROR(INDEX('1.산군_붙여넣기'!$A$1:$AZ$1001,ROW(),설정!$C$13)&amp;"","")</f>
        <v/>
      </c>
      <c r="L406" s="6">
        <f>IF(X406="","",IF(AND(LEN(X406)=8,ISNUMBER(X406*1)),DATE(LEFT(X406,4),MID(X406,5,2),RIGHT(X406,2)),IFERROR(DATEVALUE(SUBSTITUTE(SUBSTITUTE(X406,".","-"),"/","-")),IFERROR(X406*1,""))))</f>
        <v/>
      </c>
      <c r="M406" s="6">
        <f>IF(Y406="","",IF(AND(LEN(Y406)=8,ISNUMBER(Y406*1)),DATE(LEFT(Y406,4),MID(Y406,5,2),RIGHT(Y406,2)),IFERROR(DATEVALUE(SUBSTITUTE(SUBSTITUTE(Y406,".","-"),"/","-")),IFERROR(Y406*1,""))))</f>
        <v/>
      </c>
      <c r="N406">
        <f>IFERROR(LEFT(B406,FIND(" ",B406)-1),B406)</f>
        <v/>
      </c>
      <c r="O406">
        <f>AND(B406&lt;&gt;"",B406&lt;&gt;설정!$B$4,C406&lt;&gt;설정!$B$5)</f>
        <v/>
      </c>
      <c r="P406">
        <f>IF(O406,B406&amp;"|"&amp;C406,"")</f>
        <v/>
      </c>
      <c r="Q406">
        <f>AND(O406,COUNTIF(P407:P$1002,P406)=0)</f>
        <v/>
      </c>
      <c r="R406">
        <f>OR(AND(설정!$A$28&lt;&gt;"",ISNUMBER(SEARCH(설정!$A$28,E406&amp;" "&amp;C406))),AND(설정!$A$29&lt;&gt;"",ISNUMBER(SEARCH(설정!$A$29,E406&amp;" "&amp;C406))),AND(설정!$A$30&lt;&gt;"",ISNUMBER(SEARCH(설정!$A$30,E406&amp;" "&amp;C406))),AND(설정!$A$31&lt;&gt;"",ISNUMBER(SEARCH(설정!$A$31,E406&amp;" "&amp;C406))),AND(설정!$A$32&lt;&gt;"",ISNUMBER(SEARCH(설정!$A$32,E406&amp;" "&amp;C406))),AND(설정!$A$33&lt;&gt;"",ISNUMBER(SEARCH(설정!$A$33,E406&amp;" "&amp;C406))),AND(설정!$A$34&lt;&gt;"",ISNUMBER(SEARCH(설정!$A$34,E406&amp;" "&amp;C406))),AND(설정!$A$35&lt;&gt;"",ISNUMBER(SEARCH(설정!$A$35,E406&amp;" "&amp;C406))),AND(설정!$A$36&lt;&gt;"",ISNUMBER(SEARCH(설정!$A$36,E406&amp;" "&amp;C406))),AND(설정!$A$37&lt;&gt;"",ISNUMBER(SEARCH(설정!$A$37,E406&amp;" "&amp;C406))))</f>
        <v/>
      </c>
      <c r="S406">
        <f>OR(D406="",D406&gt;=설정!$B$19)</f>
        <v/>
      </c>
      <c r="T406">
        <f>AND(Q406,R406,S406)</f>
        <v/>
      </c>
      <c r="U406">
        <f>IF(T406,IF(AND(설정!$A$41&lt;&gt;"",ISNUMBER(SEARCH(설정!$A$41,K406))),설정!$B$41,IF(AND(설정!$A$42&lt;&gt;"",ISNUMBER(SEARCH(설정!$A$42,K406))),설정!$B$42,IF(AND(설정!$A$43&lt;&gt;"",ISNUMBER(SEARCH(설정!$A$43,K406))),설정!$B$43,IF(AND(설정!$A$44&lt;&gt;"",ISNUMBER(SEARCH(설정!$A$44,K406))),설정!$B$44,IF(AND(설정!$A$45&lt;&gt;"",ISNUMBER(SEARCH(설정!$A$45,K406))),설정!$B$45,IF(AND(설정!$A$46&lt;&gt;"",ISNUMBER(SEARCH(설정!$A$46,K406))),설정!$B$46,IF(AND(설정!$A$47&lt;&gt;"",ISNUMBER(SEARCH(설정!$A$47,K406))),설정!$B$47,IF(AND(설정!$A$48&lt;&gt;"",ISNUMBER(SEARCH(설정!$A$48,K406))),설정!$B$48,IF(M406="","설계사","시공사"))))))))),"")</f>
        <v/>
      </c>
      <c r="V406">
        <f>SUBSTITUTE(SUBSTITUTE(SUBSTITUTE(SUBSTITUTE(G406,"(주)",""),"㈜",""),"주식회사","")," ","")</f>
        <v/>
      </c>
      <c r="W406">
        <f>IF(AND(T406,V406&lt;&gt;""),IF(COUNTIFS(V$2:V406,V406,T$2:T406,TRUE)=1,MAX(W$1:W405)+1,""),"")</f>
        <v/>
      </c>
      <c r="X406">
        <f>IFERROR(INDEX('1.산군_붙여넣기'!$A$1:$AZ$1001,ROW(),설정!$C$14)&amp;"","")</f>
        <v/>
      </c>
      <c r="Y406">
        <f>IFERROR(INDEX('1.산군_붙여넣기'!$A$1:$AZ$1001,ROW(),설정!$C$15)&amp;"","")</f>
        <v/>
      </c>
      <c r="Z406">
        <f>IF(T406,V406&amp;"|"&amp;U406,"")</f>
        <v/>
      </c>
    </row>
    <row r="407">
      <c r="A407">
        <f>ROW()</f>
        <v/>
      </c>
      <c r="B407">
        <f>IFERROR(INDEX('1.산군_붙여넣기'!$A$1:$AZ$1001,ROW(),설정!$C$4)&amp;"","")</f>
        <v/>
      </c>
      <c r="C407">
        <f>IFERROR(INDEX('1.산군_붙여넣기'!$A$1:$AZ$1001,ROW(),설정!$C$5)&amp;"","")</f>
        <v/>
      </c>
      <c r="D407" s="5">
        <f>IFERROR(VALUE(SUBSTITUTE(SUBSTITUTE(SUBSTITUTE(IFERROR(INDEX('1.산군_붙여넣기'!$A$1:$AZ$1001,ROW(),설정!$C$6)&amp;"",""),",",""),"㎡",""),"m2","")),"")</f>
        <v/>
      </c>
      <c r="E407">
        <f>IFERROR(INDEX('1.산군_붙여넣기'!$A$1:$AZ$1001,ROW(),설정!$C$7)&amp;"","")</f>
        <v/>
      </c>
      <c r="F407">
        <f>IFERROR(INDEX('1.산군_붙여넣기'!$A$1:$AZ$1001,ROW(),설정!$C$8)&amp;"","")</f>
        <v/>
      </c>
      <c r="G407">
        <f>IFERROR(INDEX('1.산군_붙여넣기'!$A$1:$AZ$1001,ROW(),설정!$C$9)&amp;"","")</f>
        <v/>
      </c>
      <c r="H407">
        <f>IFERROR(INDEX('1.산군_붙여넣기'!$A$1:$AZ$1001,ROW(),설정!$C$10)&amp;"","")</f>
        <v/>
      </c>
      <c r="I407">
        <f>IFERROR(INDEX('1.산군_붙여넣기'!$A$1:$AZ$1001,ROW(),설정!$C$11)&amp;"","")</f>
        <v/>
      </c>
      <c r="J407">
        <f>IFERROR(INDEX('1.산군_붙여넣기'!$A$1:$AZ$1001,ROW(),설정!$C$12)&amp;"","")</f>
        <v/>
      </c>
      <c r="K407">
        <f>IFERROR(INDEX('1.산군_붙여넣기'!$A$1:$AZ$1001,ROW(),설정!$C$13)&amp;"","")</f>
        <v/>
      </c>
      <c r="L407" s="6">
        <f>IF(X407="","",IF(AND(LEN(X407)=8,ISNUMBER(X407*1)),DATE(LEFT(X407,4),MID(X407,5,2),RIGHT(X407,2)),IFERROR(DATEVALUE(SUBSTITUTE(SUBSTITUTE(X407,".","-"),"/","-")),IFERROR(X407*1,""))))</f>
        <v/>
      </c>
      <c r="M407" s="6">
        <f>IF(Y407="","",IF(AND(LEN(Y407)=8,ISNUMBER(Y407*1)),DATE(LEFT(Y407,4),MID(Y407,5,2),RIGHT(Y407,2)),IFERROR(DATEVALUE(SUBSTITUTE(SUBSTITUTE(Y407,".","-"),"/","-")),IFERROR(Y407*1,""))))</f>
        <v/>
      </c>
      <c r="N407">
        <f>IFERROR(LEFT(B407,FIND(" ",B407)-1),B407)</f>
        <v/>
      </c>
      <c r="O407">
        <f>AND(B407&lt;&gt;"",B407&lt;&gt;설정!$B$4,C407&lt;&gt;설정!$B$5)</f>
        <v/>
      </c>
      <c r="P407">
        <f>IF(O407,B407&amp;"|"&amp;C407,"")</f>
        <v/>
      </c>
      <c r="Q407">
        <f>AND(O407,COUNTIF(P408:P$1002,P407)=0)</f>
        <v/>
      </c>
      <c r="R407">
        <f>OR(AND(설정!$A$28&lt;&gt;"",ISNUMBER(SEARCH(설정!$A$28,E407&amp;" "&amp;C407))),AND(설정!$A$29&lt;&gt;"",ISNUMBER(SEARCH(설정!$A$29,E407&amp;" "&amp;C407))),AND(설정!$A$30&lt;&gt;"",ISNUMBER(SEARCH(설정!$A$30,E407&amp;" "&amp;C407))),AND(설정!$A$31&lt;&gt;"",ISNUMBER(SEARCH(설정!$A$31,E407&amp;" "&amp;C407))),AND(설정!$A$32&lt;&gt;"",ISNUMBER(SEARCH(설정!$A$32,E407&amp;" "&amp;C407))),AND(설정!$A$33&lt;&gt;"",ISNUMBER(SEARCH(설정!$A$33,E407&amp;" "&amp;C407))),AND(설정!$A$34&lt;&gt;"",ISNUMBER(SEARCH(설정!$A$34,E407&amp;" "&amp;C407))),AND(설정!$A$35&lt;&gt;"",ISNUMBER(SEARCH(설정!$A$35,E407&amp;" "&amp;C407))),AND(설정!$A$36&lt;&gt;"",ISNUMBER(SEARCH(설정!$A$36,E407&amp;" "&amp;C407))),AND(설정!$A$37&lt;&gt;"",ISNUMBER(SEARCH(설정!$A$37,E407&amp;" "&amp;C407))))</f>
        <v/>
      </c>
      <c r="S407">
        <f>OR(D407="",D407&gt;=설정!$B$19)</f>
        <v/>
      </c>
      <c r="T407">
        <f>AND(Q407,R407,S407)</f>
        <v/>
      </c>
      <c r="U407">
        <f>IF(T407,IF(AND(설정!$A$41&lt;&gt;"",ISNUMBER(SEARCH(설정!$A$41,K407))),설정!$B$41,IF(AND(설정!$A$42&lt;&gt;"",ISNUMBER(SEARCH(설정!$A$42,K407))),설정!$B$42,IF(AND(설정!$A$43&lt;&gt;"",ISNUMBER(SEARCH(설정!$A$43,K407))),설정!$B$43,IF(AND(설정!$A$44&lt;&gt;"",ISNUMBER(SEARCH(설정!$A$44,K407))),설정!$B$44,IF(AND(설정!$A$45&lt;&gt;"",ISNUMBER(SEARCH(설정!$A$45,K407))),설정!$B$45,IF(AND(설정!$A$46&lt;&gt;"",ISNUMBER(SEARCH(설정!$A$46,K407))),설정!$B$46,IF(AND(설정!$A$47&lt;&gt;"",ISNUMBER(SEARCH(설정!$A$47,K407))),설정!$B$47,IF(AND(설정!$A$48&lt;&gt;"",ISNUMBER(SEARCH(설정!$A$48,K407))),설정!$B$48,IF(M407="","설계사","시공사"))))))))),"")</f>
        <v/>
      </c>
      <c r="V407">
        <f>SUBSTITUTE(SUBSTITUTE(SUBSTITUTE(SUBSTITUTE(G407,"(주)",""),"㈜",""),"주식회사","")," ","")</f>
        <v/>
      </c>
      <c r="W407">
        <f>IF(AND(T407,V407&lt;&gt;""),IF(COUNTIFS(V$2:V407,V407,T$2:T407,TRUE)=1,MAX(W$1:W406)+1,""),"")</f>
        <v/>
      </c>
      <c r="X407">
        <f>IFERROR(INDEX('1.산군_붙여넣기'!$A$1:$AZ$1001,ROW(),설정!$C$14)&amp;"","")</f>
        <v/>
      </c>
      <c r="Y407">
        <f>IFERROR(INDEX('1.산군_붙여넣기'!$A$1:$AZ$1001,ROW(),설정!$C$15)&amp;"","")</f>
        <v/>
      </c>
      <c r="Z407">
        <f>IF(T407,V407&amp;"|"&amp;U407,"")</f>
        <v/>
      </c>
    </row>
    <row r="408">
      <c r="A408">
        <f>ROW()</f>
        <v/>
      </c>
      <c r="B408">
        <f>IFERROR(INDEX('1.산군_붙여넣기'!$A$1:$AZ$1001,ROW(),설정!$C$4)&amp;"","")</f>
        <v/>
      </c>
      <c r="C408">
        <f>IFERROR(INDEX('1.산군_붙여넣기'!$A$1:$AZ$1001,ROW(),설정!$C$5)&amp;"","")</f>
        <v/>
      </c>
      <c r="D408" s="5">
        <f>IFERROR(VALUE(SUBSTITUTE(SUBSTITUTE(SUBSTITUTE(IFERROR(INDEX('1.산군_붙여넣기'!$A$1:$AZ$1001,ROW(),설정!$C$6)&amp;"",""),",",""),"㎡",""),"m2","")),"")</f>
        <v/>
      </c>
      <c r="E408">
        <f>IFERROR(INDEX('1.산군_붙여넣기'!$A$1:$AZ$1001,ROW(),설정!$C$7)&amp;"","")</f>
        <v/>
      </c>
      <c r="F408">
        <f>IFERROR(INDEX('1.산군_붙여넣기'!$A$1:$AZ$1001,ROW(),설정!$C$8)&amp;"","")</f>
        <v/>
      </c>
      <c r="G408">
        <f>IFERROR(INDEX('1.산군_붙여넣기'!$A$1:$AZ$1001,ROW(),설정!$C$9)&amp;"","")</f>
        <v/>
      </c>
      <c r="H408">
        <f>IFERROR(INDEX('1.산군_붙여넣기'!$A$1:$AZ$1001,ROW(),설정!$C$10)&amp;"","")</f>
        <v/>
      </c>
      <c r="I408">
        <f>IFERROR(INDEX('1.산군_붙여넣기'!$A$1:$AZ$1001,ROW(),설정!$C$11)&amp;"","")</f>
        <v/>
      </c>
      <c r="J408">
        <f>IFERROR(INDEX('1.산군_붙여넣기'!$A$1:$AZ$1001,ROW(),설정!$C$12)&amp;"","")</f>
        <v/>
      </c>
      <c r="K408">
        <f>IFERROR(INDEX('1.산군_붙여넣기'!$A$1:$AZ$1001,ROW(),설정!$C$13)&amp;"","")</f>
        <v/>
      </c>
      <c r="L408" s="6">
        <f>IF(X408="","",IF(AND(LEN(X408)=8,ISNUMBER(X408*1)),DATE(LEFT(X408,4),MID(X408,5,2),RIGHT(X408,2)),IFERROR(DATEVALUE(SUBSTITUTE(SUBSTITUTE(X408,".","-"),"/","-")),IFERROR(X408*1,""))))</f>
        <v/>
      </c>
      <c r="M408" s="6">
        <f>IF(Y408="","",IF(AND(LEN(Y408)=8,ISNUMBER(Y408*1)),DATE(LEFT(Y408,4),MID(Y408,5,2),RIGHT(Y408,2)),IFERROR(DATEVALUE(SUBSTITUTE(SUBSTITUTE(Y408,".","-"),"/","-")),IFERROR(Y408*1,""))))</f>
        <v/>
      </c>
      <c r="N408">
        <f>IFERROR(LEFT(B408,FIND(" ",B408)-1),B408)</f>
        <v/>
      </c>
      <c r="O408">
        <f>AND(B408&lt;&gt;"",B408&lt;&gt;설정!$B$4,C408&lt;&gt;설정!$B$5)</f>
        <v/>
      </c>
      <c r="P408">
        <f>IF(O408,B408&amp;"|"&amp;C408,"")</f>
        <v/>
      </c>
      <c r="Q408">
        <f>AND(O408,COUNTIF(P409:P$1002,P408)=0)</f>
        <v/>
      </c>
      <c r="R408">
        <f>OR(AND(설정!$A$28&lt;&gt;"",ISNUMBER(SEARCH(설정!$A$28,E408&amp;" "&amp;C408))),AND(설정!$A$29&lt;&gt;"",ISNUMBER(SEARCH(설정!$A$29,E408&amp;" "&amp;C408))),AND(설정!$A$30&lt;&gt;"",ISNUMBER(SEARCH(설정!$A$30,E408&amp;" "&amp;C408))),AND(설정!$A$31&lt;&gt;"",ISNUMBER(SEARCH(설정!$A$31,E408&amp;" "&amp;C408))),AND(설정!$A$32&lt;&gt;"",ISNUMBER(SEARCH(설정!$A$32,E408&amp;" "&amp;C408))),AND(설정!$A$33&lt;&gt;"",ISNUMBER(SEARCH(설정!$A$33,E408&amp;" "&amp;C408))),AND(설정!$A$34&lt;&gt;"",ISNUMBER(SEARCH(설정!$A$34,E408&amp;" "&amp;C408))),AND(설정!$A$35&lt;&gt;"",ISNUMBER(SEARCH(설정!$A$35,E408&amp;" "&amp;C408))),AND(설정!$A$36&lt;&gt;"",ISNUMBER(SEARCH(설정!$A$36,E408&amp;" "&amp;C408))),AND(설정!$A$37&lt;&gt;"",ISNUMBER(SEARCH(설정!$A$37,E408&amp;" "&amp;C408))))</f>
        <v/>
      </c>
      <c r="S408">
        <f>OR(D408="",D408&gt;=설정!$B$19)</f>
        <v/>
      </c>
      <c r="T408">
        <f>AND(Q408,R408,S408)</f>
        <v/>
      </c>
      <c r="U408">
        <f>IF(T408,IF(AND(설정!$A$41&lt;&gt;"",ISNUMBER(SEARCH(설정!$A$41,K408))),설정!$B$41,IF(AND(설정!$A$42&lt;&gt;"",ISNUMBER(SEARCH(설정!$A$42,K408))),설정!$B$42,IF(AND(설정!$A$43&lt;&gt;"",ISNUMBER(SEARCH(설정!$A$43,K408))),설정!$B$43,IF(AND(설정!$A$44&lt;&gt;"",ISNUMBER(SEARCH(설정!$A$44,K408))),설정!$B$44,IF(AND(설정!$A$45&lt;&gt;"",ISNUMBER(SEARCH(설정!$A$45,K408))),설정!$B$45,IF(AND(설정!$A$46&lt;&gt;"",ISNUMBER(SEARCH(설정!$A$46,K408))),설정!$B$46,IF(AND(설정!$A$47&lt;&gt;"",ISNUMBER(SEARCH(설정!$A$47,K408))),설정!$B$47,IF(AND(설정!$A$48&lt;&gt;"",ISNUMBER(SEARCH(설정!$A$48,K408))),설정!$B$48,IF(M408="","설계사","시공사"))))))))),"")</f>
        <v/>
      </c>
      <c r="V408">
        <f>SUBSTITUTE(SUBSTITUTE(SUBSTITUTE(SUBSTITUTE(G408,"(주)",""),"㈜",""),"주식회사","")," ","")</f>
        <v/>
      </c>
      <c r="W408">
        <f>IF(AND(T408,V408&lt;&gt;""),IF(COUNTIFS(V$2:V408,V408,T$2:T408,TRUE)=1,MAX(W$1:W407)+1,""),"")</f>
        <v/>
      </c>
      <c r="X408">
        <f>IFERROR(INDEX('1.산군_붙여넣기'!$A$1:$AZ$1001,ROW(),설정!$C$14)&amp;"","")</f>
        <v/>
      </c>
      <c r="Y408">
        <f>IFERROR(INDEX('1.산군_붙여넣기'!$A$1:$AZ$1001,ROW(),설정!$C$15)&amp;"","")</f>
        <v/>
      </c>
      <c r="Z408">
        <f>IF(T408,V408&amp;"|"&amp;U408,"")</f>
        <v/>
      </c>
    </row>
    <row r="409">
      <c r="A409">
        <f>ROW()</f>
        <v/>
      </c>
      <c r="B409">
        <f>IFERROR(INDEX('1.산군_붙여넣기'!$A$1:$AZ$1001,ROW(),설정!$C$4)&amp;"","")</f>
        <v/>
      </c>
      <c r="C409">
        <f>IFERROR(INDEX('1.산군_붙여넣기'!$A$1:$AZ$1001,ROW(),설정!$C$5)&amp;"","")</f>
        <v/>
      </c>
      <c r="D409" s="5">
        <f>IFERROR(VALUE(SUBSTITUTE(SUBSTITUTE(SUBSTITUTE(IFERROR(INDEX('1.산군_붙여넣기'!$A$1:$AZ$1001,ROW(),설정!$C$6)&amp;"",""),",",""),"㎡",""),"m2","")),"")</f>
        <v/>
      </c>
      <c r="E409">
        <f>IFERROR(INDEX('1.산군_붙여넣기'!$A$1:$AZ$1001,ROW(),설정!$C$7)&amp;"","")</f>
        <v/>
      </c>
      <c r="F409">
        <f>IFERROR(INDEX('1.산군_붙여넣기'!$A$1:$AZ$1001,ROW(),설정!$C$8)&amp;"","")</f>
        <v/>
      </c>
      <c r="G409">
        <f>IFERROR(INDEX('1.산군_붙여넣기'!$A$1:$AZ$1001,ROW(),설정!$C$9)&amp;"","")</f>
        <v/>
      </c>
      <c r="H409">
        <f>IFERROR(INDEX('1.산군_붙여넣기'!$A$1:$AZ$1001,ROW(),설정!$C$10)&amp;"","")</f>
        <v/>
      </c>
      <c r="I409">
        <f>IFERROR(INDEX('1.산군_붙여넣기'!$A$1:$AZ$1001,ROW(),설정!$C$11)&amp;"","")</f>
        <v/>
      </c>
      <c r="J409">
        <f>IFERROR(INDEX('1.산군_붙여넣기'!$A$1:$AZ$1001,ROW(),설정!$C$12)&amp;"","")</f>
        <v/>
      </c>
      <c r="K409">
        <f>IFERROR(INDEX('1.산군_붙여넣기'!$A$1:$AZ$1001,ROW(),설정!$C$13)&amp;"","")</f>
        <v/>
      </c>
      <c r="L409" s="6">
        <f>IF(X409="","",IF(AND(LEN(X409)=8,ISNUMBER(X409*1)),DATE(LEFT(X409,4),MID(X409,5,2),RIGHT(X409,2)),IFERROR(DATEVALUE(SUBSTITUTE(SUBSTITUTE(X409,".","-"),"/","-")),IFERROR(X409*1,""))))</f>
        <v/>
      </c>
      <c r="M409" s="6">
        <f>IF(Y409="","",IF(AND(LEN(Y409)=8,ISNUMBER(Y409*1)),DATE(LEFT(Y409,4),MID(Y409,5,2),RIGHT(Y409,2)),IFERROR(DATEVALUE(SUBSTITUTE(SUBSTITUTE(Y409,".","-"),"/","-")),IFERROR(Y409*1,""))))</f>
        <v/>
      </c>
      <c r="N409">
        <f>IFERROR(LEFT(B409,FIND(" ",B409)-1),B409)</f>
        <v/>
      </c>
      <c r="O409">
        <f>AND(B409&lt;&gt;"",B409&lt;&gt;설정!$B$4,C409&lt;&gt;설정!$B$5)</f>
        <v/>
      </c>
      <c r="P409">
        <f>IF(O409,B409&amp;"|"&amp;C409,"")</f>
        <v/>
      </c>
      <c r="Q409">
        <f>AND(O409,COUNTIF(P410:P$1002,P409)=0)</f>
        <v/>
      </c>
      <c r="R409">
        <f>OR(AND(설정!$A$28&lt;&gt;"",ISNUMBER(SEARCH(설정!$A$28,E409&amp;" "&amp;C409))),AND(설정!$A$29&lt;&gt;"",ISNUMBER(SEARCH(설정!$A$29,E409&amp;" "&amp;C409))),AND(설정!$A$30&lt;&gt;"",ISNUMBER(SEARCH(설정!$A$30,E409&amp;" "&amp;C409))),AND(설정!$A$31&lt;&gt;"",ISNUMBER(SEARCH(설정!$A$31,E409&amp;" "&amp;C409))),AND(설정!$A$32&lt;&gt;"",ISNUMBER(SEARCH(설정!$A$32,E409&amp;" "&amp;C409))),AND(설정!$A$33&lt;&gt;"",ISNUMBER(SEARCH(설정!$A$33,E409&amp;" "&amp;C409))),AND(설정!$A$34&lt;&gt;"",ISNUMBER(SEARCH(설정!$A$34,E409&amp;" "&amp;C409))),AND(설정!$A$35&lt;&gt;"",ISNUMBER(SEARCH(설정!$A$35,E409&amp;" "&amp;C409))),AND(설정!$A$36&lt;&gt;"",ISNUMBER(SEARCH(설정!$A$36,E409&amp;" "&amp;C409))),AND(설정!$A$37&lt;&gt;"",ISNUMBER(SEARCH(설정!$A$37,E409&amp;" "&amp;C409))))</f>
        <v/>
      </c>
      <c r="S409">
        <f>OR(D409="",D409&gt;=설정!$B$19)</f>
        <v/>
      </c>
      <c r="T409">
        <f>AND(Q409,R409,S409)</f>
        <v/>
      </c>
      <c r="U409">
        <f>IF(T409,IF(AND(설정!$A$41&lt;&gt;"",ISNUMBER(SEARCH(설정!$A$41,K409))),설정!$B$41,IF(AND(설정!$A$42&lt;&gt;"",ISNUMBER(SEARCH(설정!$A$42,K409))),설정!$B$42,IF(AND(설정!$A$43&lt;&gt;"",ISNUMBER(SEARCH(설정!$A$43,K409))),설정!$B$43,IF(AND(설정!$A$44&lt;&gt;"",ISNUMBER(SEARCH(설정!$A$44,K409))),설정!$B$44,IF(AND(설정!$A$45&lt;&gt;"",ISNUMBER(SEARCH(설정!$A$45,K409))),설정!$B$45,IF(AND(설정!$A$46&lt;&gt;"",ISNUMBER(SEARCH(설정!$A$46,K409))),설정!$B$46,IF(AND(설정!$A$47&lt;&gt;"",ISNUMBER(SEARCH(설정!$A$47,K409))),설정!$B$47,IF(AND(설정!$A$48&lt;&gt;"",ISNUMBER(SEARCH(설정!$A$48,K409))),설정!$B$48,IF(M409="","설계사","시공사"))))))))),"")</f>
        <v/>
      </c>
      <c r="V409">
        <f>SUBSTITUTE(SUBSTITUTE(SUBSTITUTE(SUBSTITUTE(G409,"(주)",""),"㈜",""),"주식회사","")," ","")</f>
        <v/>
      </c>
      <c r="W409">
        <f>IF(AND(T409,V409&lt;&gt;""),IF(COUNTIFS(V$2:V409,V409,T$2:T409,TRUE)=1,MAX(W$1:W408)+1,""),"")</f>
        <v/>
      </c>
      <c r="X409">
        <f>IFERROR(INDEX('1.산군_붙여넣기'!$A$1:$AZ$1001,ROW(),설정!$C$14)&amp;"","")</f>
        <v/>
      </c>
      <c r="Y409">
        <f>IFERROR(INDEX('1.산군_붙여넣기'!$A$1:$AZ$1001,ROW(),설정!$C$15)&amp;"","")</f>
        <v/>
      </c>
      <c r="Z409">
        <f>IF(T409,V409&amp;"|"&amp;U409,"")</f>
        <v/>
      </c>
    </row>
    <row r="410">
      <c r="A410">
        <f>ROW()</f>
        <v/>
      </c>
      <c r="B410">
        <f>IFERROR(INDEX('1.산군_붙여넣기'!$A$1:$AZ$1001,ROW(),설정!$C$4)&amp;"","")</f>
        <v/>
      </c>
      <c r="C410">
        <f>IFERROR(INDEX('1.산군_붙여넣기'!$A$1:$AZ$1001,ROW(),설정!$C$5)&amp;"","")</f>
        <v/>
      </c>
      <c r="D410" s="5">
        <f>IFERROR(VALUE(SUBSTITUTE(SUBSTITUTE(SUBSTITUTE(IFERROR(INDEX('1.산군_붙여넣기'!$A$1:$AZ$1001,ROW(),설정!$C$6)&amp;"",""),",",""),"㎡",""),"m2","")),"")</f>
        <v/>
      </c>
      <c r="E410">
        <f>IFERROR(INDEX('1.산군_붙여넣기'!$A$1:$AZ$1001,ROW(),설정!$C$7)&amp;"","")</f>
        <v/>
      </c>
      <c r="F410">
        <f>IFERROR(INDEX('1.산군_붙여넣기'!$A$1:$AZ$1001,ROW(),설정!$C$8)&amp;"","")</f>
        <v/>
      </c>
      <c r="G410">
        <f>IFERROR(INDEX('1.산군_붙여넣기'!$A$1:$AZ$1001,ROW(),설정!$C$9)&amp;"","")</f>
        <v/>
      </c>
      <c r="H410">
        <f>IFERROR(INDEX('1.산군_붙여넣기'!$A$1:$AZ$1001,ROW(),설정!$C$10)&amp;"","")</f>
        <v/>
      </c>
      <c r="I410">
        <f>IFERROR(INDEX('1.산군_붙여넣기'!$A$1:$AZ$1001,ROW(),설정!$C$11)&amp;"","")</f>
        <v/>
      </c>
      <c r="J410">
        <f>IFERROR(INDEX('1.산군_붙여넣기'!$A$1:$AZ$1001,ROW(),설정!$C$12)&amp;"","")</f>
        <v/>
      </c>
      <c r="K410">
        <f>IFERROR(INDEX('1.산군_붙여넣기'!$A$1:$AZ$1001,ROW(),설정!$C$13)&amp;"","")</f>
        <v/>
      </c>
      <c r="L410" s="6">
        <f>IF(X410="","",IF(AND(LEN(X410)=8,ISNUMBER(X410*1)),DATE(LEFT(X410,4),MID(X410,5,2),RIGHT(X410,2)),IFERROR(DATEVALUE(SUBSTITUTE(SUBSTITUTE(X410,".","-"),"/","-")),IFERROR(X410*1,""))))</f>
        <v/>
      </c>
      <c r="M410" s="6">
        <f>IF(Y410="","",IF(AND(LEN(Y410)=8,ISNUMBER(Y410*1)),DATE(LEFT(Y410,4),MID(Y410,5,2),RIGHT(Y410,2)),IFERROR(DATEVALUE(SUBSTITUTE(SUBSTITUTE(Y410,".","-"),"/","-")),IFERROR(Y410*1,""))))</f>
        <v/>
      </c>
      <c r="N410">
        <f>IFERROR(LEFT(B410,FIND(" ",B410)-1),B410)</f>
        <v/>
      </c>
      <c r="O410">
        <f>AND(B410&lt;&gt;"",B410&lt;&gt;설정!$B$4,C410&lt;&gt;설정!$B$5)</f>
        <v/>
      </c>
      <c r="P410">
        <f>IF(O410,B410&amp;"|"&amp;C410,"")</f>
        <v/>
      </c>
      <c r="Q410">
        <f>AND(O410,COUNTIF(P411:P$1002,P410)=0)</f>
        <v/>
      </c>
      <c r="R410">
        <f>OR(AND(설정!$A$28&lt;&gt;"",ISNUMBER(SEARCH(설정!$A$28,E410&amp;" "&amp;C410))),AND(설정!$A$29&lt;&gt;"",ISNUMBER(SEARCH(설정!$A$29,E410&amp;" "&amp;C410))),AND(설정!$A$30&lt;&gt;"",ISNUMBER(SEARCH(설정!$A$30,E410&amp;" "&amp;C410))),AND(설정!$A$31&lt;&gt;"",ISNUMBER(SEARCH(설정!$A$31,E410&amp;" "&amp;C410))),AND(설정!$A$32&lt;&gt;"",ISNUMBER(SEARCH(설정!$A$32,E410&amp;" "&amp;C410))),AND(설정!$A$33&lt;&gt;"",ISNUMBER(SEARCH(설정!$A$33,E410&amp;" "&amp;C410))),AND(설정!$A$34&lt;&gt;"",ISNUMBER(SEARCH(설정!$A$34,E410&amp;" "&amp;C410))),AND(설정!$A$35&lt;&gt;"",ISNUMBER(SEARCH(설정!$A$35,E410&amp;" "&amp;C410))),AND(설정!$A$36&lt;&gt;"",ISNUMBER(SEARCH(설정!$A$36,E410&amp;" "&amp;C410))),AND(설정!$A$37&lt;&gt;"",ISNUMBER(SEARCH(설정!$A$37,E410&amp;" "&amp;C410))))</f>
        <v/>
      </c>
      <c r="S410">
        <f>OR(D410="",D410&gt;=설정!$B$19)</f>
        <v/>
      </c>
      <c r="T410">
        <f>AND(Q410,R410,S410)</f>
        <v/>
      </c>
      <c r="U410">
        <f>IF(T410,IF(AND(설정!$A$41&lt;&gt;"",ISNUMBER(SEARCH(설정!$A$41,K410))),설정!$B$41,IF(AND(설정!$A$42&lt;&gt;"",ISNUMBER(SEARCH(설정!$A$42,K410))),설정!$B$42,IF(AND(설정!$A$43&lt;&gt;"",ISNUMBER(SEARCH(설정!$A$43,K410))),설정!$B$43,IF(AND(설정!$A$44&lt;&gt;"",ISNUMBER(SEARCH(설정!$A$44,K410))),설정!$B$44,IF(AND(설정!$A$45&lt;&gt;"",ISNUMBER(SEARCH(설정!$A$45,K410))),설정!$B$45,IF(AND(설정!$A$46&lt;&gt;"",ISNUMBER(SEARCH(설정!$A$46,K410))),설정!$B$46,IF(AND(설정!$A$47&lt;&gt;"",ISNUMBER(SEARCH(설정!$A$47,K410))),설정!$B$47,IF(AND(설정!$A$48&lt;&gt;"",ISNUMBER(SEARCH(설정!$A$48,K410))),설정!$B$48,IF(M410="","설계사","시공사"))))))))),"")</f>
        <v/>
      </c>
      <c r="V410">
        <f>SUBSTITUTE(SUBSTITUTE(SUBSTITUTE(SUBSTITUTE(G410,"(주)",""),"㈜",""),"주식회사","")," ","")</f>
        <v/>
      </c>
      <c r="W410">
        <f>IF(AND(T410,V410&lt;&gt;""),IF(COUNTIFS(V$2:V410,V410,T$2:T410,TRUE)=1,MAX(W$1:W409)+1,""),"")</f>
        <v/>
      </c>
      <c r="X410">
        <f>IFERROR(INDEX('1.산군_붙여넣기'!$A$1:$AZ$1001,ROW(),설정!$C$14)&amp;"","")</f>
        <v/>
      </c>
      <c r="Y410">
        <f>IFERROR(INDEX('1.산군_붙여넣기'!$A$1:$AZ$1001,ROW(),설정!$C$15)&amp;"","")</f>
        <v/>
      </c>
      <c r="Z410">
        <f>IF(T410,V410&amp;"|"&amp;U410,"")</f>
        <v/>
      </c>
    </row>
    <row r="411">
      <c r="A411">
        <f>ROW()</f>
        <v/>
      </c>
      <c r="B411">
        <f>IFERROR(INDEX('1.산군_붙여넣기'!$A$1:$AZ$1001,ROW(),설정!$C$4)&amp;"","")</f>
        <v/>
      </c>
      <c r="C411">
        <f>IFERROR(INDEX('1.산군_붙여넣기'!$A$1:$AZ$1001,ROW(),설정!$C$5)&amp;"","")</f>
        <v/>
      </c>
      <c r="D411" s="5">
        <f>IFERROR(VALUE(SUBSTITUTE(SUBSTITUTE(SUBSTITUTE(IFERROR(INDEX('1.산군_붙여넣기'!$A$1:$AZ$1001,ROW(),설정!$C$6)&amp;"",""),",",""),"㎡",""),"m2","")),"")</f>
        <v/>
      </c>
      <c r="E411">
        <f>IFERROR(INDEX('1.산군_붙여넣기'!$A$1:$AZ$1001,ROW(),설정!$C$7)&amp;"","")</f>
        <v/>
      </c>
      <c r="F411">
        <f>IFERROR(INDEX('1.산군_붙여넣기'!$A$1:$AZ$1001,ROW(),설정!$C$8)&amp;"","")</f>
        <v/>
      </c>
      <c r="G411">
        <f>IFERROR(INDEX('1.산군_붙여넣기'!$A$1:$AZ$1001,ROW(),설정!$C$9)&amp;"","")</f>
        <v/>
      </c>
      <c r="H411">
        <f>IFERROR(INDEX('1.산군_붙여넣기'!$A$1:$AZ$1001,ROW(),설정!$C$10)&amp;"","")</f>
        <v/>
      </c>
      <c r="I411">
        <f>IFERROR(INDEX('1.산군_붙여넣기'!$A$1:$AZ$1001,ROW(),설정!$C$11)&amp;"","")</f>
        <v/>
      </c>
      <c r="J411">
        <f>IFERROR(INDEX('1.산군_붙여넣기'!$A$1:$AZ$1001,ROW(),설정!$C$12)&amp;"","")</f>
        <v/>
      </c>
      <c r="K411">
        <f>IFERROR(INDEX('1.산군_붙여넣기'!$A$1:$AZ$1001,ROW(),설정!$C$13)&amp;"","")</f>
        <v/>
      </c>
      <c r="L411" s="6">
        <f>IF(X411="","",IF(AND(LEN(X411)=8,ISNUMBER(X411*1)),DATE(LEFT(X411,4),MID(X411,5,2),RIGHT(X411,2)),IFERROR(DATEVALUE(SUBSTITUTE(SUBSTITUTE(X411,".","-"),"/","-")),IFERROR(X411*1,""))))</f>
        <v/>
      </c>
      <c r="M411" s="6">
        <f>IF(Y411="","",IF(AND(LEN(Y411)=8,ISNUMBER(Y411*1)),DATE(LEFT(Y411,4),MID(Y411,5,2),RIGHT(Y411,2)),IFERROR(DATEVALUE(SUBSTITUTE(SUBSTITUTE(Y411,".","-"),"/","-")),IFERROR(Y411*1,""))))</f>
        <v/>
      </c>
      <c r="N411">
        <f>IFERROR(LEFT(B411,FIND(" ",B411)-1),B411)</f>
        <v/>
      </c>
      <c r="O411">
        <f>AND(B411&lt;&gt;"",B411&lt;&gt;설정!$B$4,C411&lt;&gt;설정!$B$5)</f>
        <v/>
      </c>
      <c r="P411">
        <f>IF(O411,B411&amp;"|"&amp;C411,"")</f>
        <v/>
      </c>
      <c r="Q411">
        <f>AND(O411,COUNTIF(P412:P$1002,P411)=0)</f>
        <v/>
      </c>
      <c r="R411">
        <f>OR(AND(설정!$A$28&lt;&gt;"",ISNUMBER(SEARCH(설정!$A$28,E411&amp;" "&amp;C411))),AND(설정!$A$29&lt;&gt;"",ISNUMBER(SEARCH(설정!$A$29,E411&amp;" "&amp;C411))),AND(설정!$A$30&lt;&gt;"",ISNUMBER(SEARCH(설정!$A$30,E411&amp;" "&amp;C411))),AND(설정!$A$31&lt;&gt;"",ISNUMBER(SEARCH(설정!$A$31,E411&amp;" "&amp;C411))),AND(설정!$A$32&lt;&gt;"",ISNUMBER(SEARCH(설정!$A$32,E411&amp;" "&amp;C411))),AND(설정!$A$33&lt;&gt;"",ISNUMBER(SEARCH(설정!$A$33,E411&amp;" "&amp;C411))),AND(설정!$A$34&lt;&gt;"",ISNUMBER(SEARCH(설정!$A$34,E411&amp;" "&amp;C411))),AND(설정!$A$35&lt;&gt;"",ISNUMBER(SEARCH(설정!$A$35,E411&amp;" "&amp;C411))),AND(설정!$A$36&lt;&gt;"",ISNUMBER(SEARCH(설정!$A$36,E411&amp;" "&amp;C411))),AND(설정!$A$37&lt;&gt;"",ISNUMBER(SEARCH(설정!$A$37,E411&amp;" "&amp;C411))))</f>
        <v/>
      </c>
      <c r="S411">
        <f>OR(D411="",D411&gt;=설정!$B$19)</f>
        <v/>
      </c>
      <c r="T411">
        <f>AND(Q411,R411,S411)</f>
        <v/>
      </c>
      <c r="U411">
        <f>IF(T411,IF(AND(설정!$A$41&lt;&gt;"",ISNUMBER(SEARCH(설정!$A$41,K411))),설정!$B$41,IF(AND(설정!$A$42&lt;&gt;"",ISNUMBER(SEARCH(설정!$A$42,K411))),설정!$B$42,IF(AND(설정!$A$43&lt;&gt;"",ISNUMBER(SEARCH(설정!$A$43,K411))),설정!$B$43,IF(AND(설정!$A$44&lt;&gt;"",ISNUMBER(SEARCH(설정!$A$44,K411))),설정!$B$44,IF(AND(설정!$A$45&lt;&gt;"",ISNUMBER(SEARCH(설정!$A$45,K411))),설정!$B$45,IF(AND(설정!$A$46&lt;&gt;"",ISNUMBER(SEARCH(설정!$A$46,K411))),설정!$B$46,IF(AND(설정!$A$47&lt;&gt;"",ISNUMBER(SEARCH(설정!$A$47,K411))),설정!$B$47,IF(AND(설정!$A$48&lt;&gt;"",ISNUMBER(SEARCH(설정!$A$48,K411))),설정!$B$48,IF(M411="","설계사","시공사"))))))))),"")</f>
        <v/>
      </c>
      <c r="V411">
        <f>SUBSTITUTE(SUBSTITUTE(SUBSTITUTE(SUBSTITUTE(G411,"(주)",""),"㈜",""),"주식회사","")," ","")</f>
        <v/>
      </c>
      <c r="W411">
        <f>IF(AND(T411,V411&lt;&gt;""),IF(COUNTIFS(V$2:V411,V411,T$2:T411,TRUE)=1,MAX(W$1:W410)+1,""),"")</f>
        <v/>
      </c>
      <c r="X411">
        <f>IFERROR(INDEX('1.산군_붙여넣기'!$A$1:$AZ$1001,ROW(),설정!$C$14)&amp;"","")</f>
        <v/>
      </c>
      <c r="Y411">
        <f>IFERROR(INDEX('1.산군_붙여넣기'!$A$1:$AZ$1001,ROW(),설정!$C$15)&amp;"","")</f>
        <v/>
      </c>
      <c r="Z411">
        <f>IF(T411,V411&amp;"|"&amp;U411,"")</f>
        <v/>
      </c>
    </row>
    <row r="412">
      <c r="A412">
        <f>ROW()</f>
        <v/>
      </c>
      <c r="B412">
        <f>IFERROR(INDEX('1.산군_붙여넣기'!$A$1:$AZ$1001,ROW(),설정!$C$4)&amp;"","")</f>
        <v/>
      </c>
      <c r="C412">
        <f>IFERROR(INDEX('1.산군_붙여넣기'!$A$1:$AZ$1001,ROW(),설정!$C$5)&amp;"","")</f>
        <v/>
      </c>
      <c r="D412" s="5">
        <f>IFERROR(VALUE(SUBSTITUTE(SUBSTITUTE(SUBSTITUTE(IFERROR(INDEX('1.산군_붙여넣기'!$A$1:$AZ$1001,ROW(),설정!$C$6)&amp;"",""),",",""),"㎡",""),"m2","")),"")</f>
        <v/>
      </c>
      <c r="E412">
        <f>IFERROR(INDEX('1.산군_붙여넣기'!$A$1:$AZ$1001,ROW(),설정!$C$7)&amp;"","")</f>
        <v/>
      </c>
      <c r="F412">
        <f>IFERROR(INDEX('1.산군_붙여넣기'!$A$1:$AZ$1001,ROW(),설정!$C$8)&amp;"","")</f>
        <v/>
      </c>
      <c r="G412">
        <f>IFERROR(INDEX('1.산군_붙여넣기'!$A$1:$AZ$1001,ROW(),설정!$C$9)&amp;"","")</f>
        <v/>
      </c>
      <c r="H412">
        <f>IFERROR(INDEX('1.산군_붙여넣기'!$A$1:$AZ$1001,ROW(),설정!$C$10)&amp;"","")</f>
        <v/>
      </c>
      <c r="I412">
        <f>IFERROR(INDEX('1.산군_붙여넣기'!$A$1:$AZ$1001,ROW(),설정!$C$11)&amp;"","")</f>
        <v/>
      </c>
      <c r="J412">
        <f>IFERROR(INDEX('1.산군_붙여넣기'!$A$1:$AZ$1001,ROW(),설정!$C$12)&amp;"","")</f>
        <v/>
      </c>
      <c r="K412">
        <f>IFERROR(INDEX('1.산군_붙여넣기'!$A$1:$AZ$1001,ROW(),설정!$C$13)&amp;"","")</f>
        <v/>
      </c>
      <c r="L412" s="6">
        <f>IF(X412="","",IF(AND(LEN(X412)=8,ISNUMBER(X412*1)),DATE(LEFT(X412,4),MID(X412,5,2),RIGHT(X412,2)),IFERROR(DATEVALUE(SUBSTITUTE(SUBSTITUTE(X412,".","-"),"/","-")),IFERROR(X412*1,""))))</f>
        <v/>
      </c>
      <c r="M412" s="6">
        <f>IF(Y412="","",IF(AND(LEN(Y412)=8,ISNUMBER(Y412*1)),DATE(LEFT(Y412,4),MID(Y412,5,2),RIGHT(Y412,2)),IFERROR(DATEVALUE(SUBSTITUTE(SUBSTITUTE(Y412,".","-"),"/","-")),IFERROR(Y412*1,""))))</f>
        <v/>
      </c>
      <c r="N412">
        <f>IFERROR(LEFT(B412,FIND(" ",B412)-1),B412)</f>
        <v/>
      </c>
      <c r="O412">
        <f>AND(B412&lt;&gt;"",B412&lt;&gt;설정!$B$4,C412&lt;&gt;설정!$B$5)</f>
        <v/>
      </c>
      <c r="P412">
        <f>IF(O412,B412&amp;"|"&amp;C412,"")</f>
        <v/>
      </c>
      <c r="Q412">
        <f>AND(O412,COUNTIF(P413:P$1002,P412)=0)</f>
        <v/>
      </c>
      <c r="R412">
        <f>OR(AND(설정!$A$28&lt;&gt;"",ISNUMBER(SEARCH(설정!$A$28,E412&amp;" "&amp;C412))),AND(설정!$A$29&lt;&gt;"",ISNUMBER(SEARCH(설정!$A$29,E412&amp;" "&amp;C412))),AND(설정!$A$30&lt;&gt;"",ISNUMBER(SEARCH(설정!$A$30,E412&amp;" "&amp;C412))),AND(설정!$A$31&lt;&gt;"",ISNUMBER(SEARCH(설정!$A$31,E412&amp;" "&amp;C412))),AND(설정!$A$32&lt;&gt;"",ISNUMBER(SEARCH(설정!$A$32,E412&amp;" "&amp;C412))),AND(설정!$A$33&lt;&gt;"",ISNUMBER(SEARCH(설정!$A$33,E412&amp;" "&amp;C412))),AND(설정!$A$34&lt;&gt;"",ISNUMBER(SEARCH(설정!$A$34,E412&amp;" "&amp;C412))),AND(설정!$A$35&lt;&gt;"",ISNUMBER(SEARCH(설정!$A$35,E412&amp;" "&amp;C412))),AND(설정!$A$36&lt;&gt;"",ISNUMBER(SEARCH(설정!$A$36,E412&amp;" "&amp;C412))),AND(설정!$A$37&lt;&gt;"",ISNUMBER(SEARCH(설정!$A$37,E412&amp;" "&amp;C412))))</f>
        <v/>
      </c>
      <c r="S412">
        <f>OR(D412="",D412&gt;=설정!$B$19)</f>
        <v/>
      </c>
      <c r="T412">
        <f>AND(Q412,R412,S412)</f>
        <v/>
      </c>
      <c r="U412">
        <f>IF(T412,IF(AND(설정!$A$41&lt;&gt;"",ISNUMBER(SEARCH(설정!$A$41,K412))),설정!$B$41,IF(AND(설정!$A$42&lt;&gt;"",ISNUMBER(SEARCH(설정!$A$42,K412))),설정!$B$42,IF(AND(설정!$A$43&lt;&gt;"",ISNUMBER(SEARCH(설정!$A$43,K412))),설정!$B$43,IF(AND(설정!$A$44&lt;&gt;"",ISNUMBER(SEARCH(설정!$A$44,K412))),설정!$B$44,IF(AND(설정!$A$45&lt;&gt;"",ISNUMBER(SEARCH(설정!$A$45,K412))),설정!$B$45,IF(AND(설정!$A$46&lt;&gt;"",ISNUMBER(SEARCH(설정!$A$46,K412))),설정!$B$46,IF(AND(설정!$A$47&lt;&gt;"",ISNUMBER(SEARCH(설정!$A$47,K412))),설정!$B$47,IF(AND(설정!$A$48&lt;&gt;"",ISNUMBER(SEARCH(설정!$A$48,K412))),설정!$B$48,IF(M412="","설계사","시공사"))))))))),"")</f>
        <v/>
      </c>
      <c r="V412">
        <f>SUBSTITUTE(SUBSTITUTE(SUBSTITUTE(SUBSTITUTE(G412,"(주)",""),"㈜",""),"주식회사","")," ","")</f>
        <v/>
      </c>
      <c r="W412">
        <f>IF(AND(T412,V412&lt;&gt;""),IF(COUNTIFS(V$2:V412,V412,T$2:T412,TRUE)=1,MAX(W$1:W411)+1,""),"")</f>
        <v/>
      </c>
      <c r="X412">
        <f>IFERROR(INDEX('1.산군_붙여넣기'!$A$1:$AZ$1001,ROW(),설정!$C$14)&amp;"","")</f>
        <v/>
      </c>
      <c r="Y412">
        <f>IFERROR(INDEX('1.산군_붙여넣기'!$A$1:$AZ$1001,ROW(),설정!$C$15)&amp;"","")</f>
        <v/>
      </c>
      <c r="Z412">
        <f>IF(T412,V412&amp;"|"&amp;U412,"")</f>
        <v/>
      </c>
    </row>
    <row r="413">
      <c r="A413">
        <f>ROW()</f>
        <v/>
      </c>
      <c r="B413">
        <f>IFERROR(INDEX('1.산군_붙여넣기'!$A$1:$AZ$1001,ROW(),설정!$C$4)&amp;"","")</f>
        <v/>
      </c>
      <c r="C413">
        <f>IFERROR(INDEX('1.산군_붙여넣기'!$A$1:$AZ$1001,ROW(),설정!$C$5)&amp;"","")</f>
        <v/>
      </c>
      <c r="D413" s="5">
        <f>IFERROR(VALUE(SUBSTITUTE(SUBSTITUTE(SUBSTITUTE(IFERROR(INDEX('1.산군_붙여넣기'!$A$1:$AZ$1001,ROW(),설정!$C$6)&amp;"",""),",",""),"㎡",""),"m2","")),"")</f>
        <v/>
      </c>
      <c r="E413">
        <f>IFERROR(INDEX('1.산군_붙여넣기'!$A$1:$AZ$1001,ROW(),설정!$C$7)&amp;"","")</f>
        <v/>
      </c>
      <c r="F413">
        <f>IFERROR(INDEX('1.산군_붙여넣기'!$A$1:$AZ$1001,ROW(),설정!$C$8)&amp;"","")</f>
        <v/>
      </c>
      <c r="G413">
        <f>IFERROR(INDEX('1.산군_붙여넣기'!$A$1:$AZ$1001,ROW(),설정!$C$9)&amp;"","")</f>
        <v/>
      </c>
      <c r="H413">
        <f>IFERROR(INDEX('1.산군_붙여넣기'!$A$1:$AZ$1001,ROW(),설정!$C$10)&amp;"","")</f>
        <v/>
      </c>
      <c r="I413">
        <f>IFERROR(INDEX('1.산군_붙여넣기'!$A$1:$AZ$1001,ROW(),설정!$C$11)&amp;"","")</f>
        <v/>
      </c>
      <c r="J413">
        <f>IFERROR(INDEX('1.산군_붙여넣기'!$A$1:$AZ$1001,ROW(),설정!$C$12)&amp;"","")</f>
        <v/>
      </c>
      <c r="K413">
        <f>IFERROR(INDEX('1.산군_붙여넣기'!$A$1:$AZ$1001,ROW(),설정!$C$13)&amp;"","")</f>
        <v/>
      </c>
      <c r="L413" s="6">
        <f>IF(X413="","",IF(AND(LEN(X413)=8,ISNUMBER(X413*1)),DATE(LEFT(X413,4),MID(X413,5,2),RIGHT(X413,2)),IFERROR(DATEVALUE(SUBSTITUTE(SUBSTITUTE(X413,".","-"),"/","-")),IFERROR(X413*1,""))))</f>
        <v/>
      </c>
      <c r="M413" s="6">
        <f>IF(Y413="","",IF(AND(LEN(Y413)=8,ISNUMBER(Y413*1)),DATE(LEFT(Y413,4),MID(Y413,5,2),RIGHT(Y413,2)),IFERROR(DATEVALUE(SUBSTITUTE(SUBSTITUTE(Y413,".","-"),"/","-")),IFERROR(Y413*1,""))))</f>
        <v/>
      </c>
      <c r="N413">
        <f>IFERROR(LEFT(B413,FIND(" ",B413)-1),B413)</f>
        <v/>
      </c>
      <c r="O413">
        <f>AND(B413&lt;&gt;"",B413&lt;&gt;설정!$B$4,C413&lt;&gt;설정!$B$5)</f>
        <v/>
      </c>
      <c r="P413">
        <f>IF(O413,B413&amp;"|"&amp;C413,"")</f>
        <v/>
      </c>
      <c r="Q413">
        <f>AND(O413,COUNTIF(P414:P$1002,P413)=0)</f>
        <v/>
      </c>
      <c r="R413">
        <f>OR(AND(설정!$A$28&lt;&gt;"",ISNUMBER(SEARCH(설정!$A$28,E413&amp;" "&amp;C413))),AND(설정!$A$29&lt;&gt;"",ISNUMBER(SEARCH(설정!$A$29,E413&amp;" "&amp;C413))),AND(설정!$A$30&lt;&gt;"",ISNUMBER(SEARCH(설정!$A$30,E413&amp;" "&amp;C413))),AND(설정!$A$31&lt;&gt;"",ISNUMBER(SEARCH(설정!$A$31,E413&amp;" "&amp;C413))),AND(설정!$A$32&lt;&gt;"",ISNUMBER(SEARCH(설정!$A$32,E413&amp;" "&amp;C413))),AND(설정!$A$33&lt;&gt;"",ISNUMBER(SEARCH(설정!$A$33,E413&amp;" "&amp;C413))),AND(설정!$A$34&lt;&gt;"",ISNUMBER(SEARCH(설정!$A$34,E413&amp;" "&amp;C413))),AND(설정!$A$35&lt;&gt;"",ISNUMBER(SEARCH(설정!$A$35,E413&amp;" "&amp;C413))),AND(설정!$A$36&lt;&gt;"",ISNUMBER(SEARCH(설정!$A$36,E413&amp;" "&amp;C413))),AND(설정!$A$37&lt;&gt;"",ISNUMBER(SEARCH(설정!$A$37,E413&amp;" "&amp;C413))))</f>
        <v/>
      </c>
      <c r="S413">
        <f>OR(D413="",D413&gt;=설정!$B$19)</f>
        <v/>
      </c>
      <c r="T413">
        <f>AND(Q413,R413,S413)</f>
        <v/>
      </c>
      <c r="U413">
        <f>IF(T413,IF(AND(설정!$A$41&lt;&gt;"",ISNUMBER(SEARCH(설정!$A$41,K413))),설정!$B$41,IF(AND(설정!$A$42&lt;&gt;"",ISNUMBER(SEARCH(설정!$A$42,K413))),설정!$B$42,IF(AND(설정!$A$43&lt;&gt;"",ISNUMBER(SEARCH(설정!$A$43,K413))),설정!$B$43,IF(AND(설정!$A$44&lt;&gt;"",ISNUMBER(SEARCH(설정!$A$44,K413))),설정!$B$44,IF(AND(설정!$A$45&lt;&gt;"",ISNUMBER(SEARCH(설정!$A$45,K413))),설정!$B$45,IF(AND(설정!$A$46&lt;&gt;"",ISNUMBER(SEARCH(설정!$A$46,K413))),설정!$B$46,IF(AND(설정!$A$47&lt;&gt;"",ISNUMBER(SEARCH(설정!$A$47,K413))),설정!$B$47,IF(AND(설정!$A$48&lt;&gt;"",ISNUMBER(SEARCH(설정!$A$48,K413))),설정!$B$48,IF(M413="","설계사","시공사"))))))))),"")</f>
        <v/>
      </c>
      <c r="V413">
        <f>SUBSTITUTE(SUBSTITUTE(SUBSTITUTE(SUBSTITUTE(G413,"(주)",""),"㈜",""),"주식회사","")," ","")</f>
        <v/>
      </c>
      <c r="W413">
        <f>IF(AND(T413,V413&lt;&gt;""),IF(COUNTIFS(V$2:V413,V413,T$2:T413,TRUE)=1,MAX(W$1:W412)+1,""),"")</f>
        <v/>
      </c>
      <c r="X413">
        <f>IFERROR(INDEX('1.산군_붙여넣기'!$A$1:$AZ$1001,ROW(),설정!$C$14)&amp;"","")</f>
        <v/>
      </c>
      <c r="Y413">
        <f>IFERROR(INDEX('1.산군_붙여넣기'!$A$1:$AZ$1001,ROW(),설정!$C$15)&amp;"","")</f>
        <v/>
      </c>
      <c r="Z413">
        <f>IF(T413,V413&amp;"|"&amp;U413,"")</f>
        <v/>
      </c>
    </row>
    <row r="414">
      <c r="A414">
        <f>ROW()</f>
        <v/>
      </c>
      <c r="B414">
        <f>IFERROR(INDEX('1.산군_붙여넣기'!$A$1:$AZ$1001,ROW(),설정!$C$4)&amp;"","")</f>
        <v/>
      </c>
      <c r="C414">
        <f>IFERROR(INDEX('1.산군_붙여넣기'!$A$1:$AZ$1001,ROW(),설정!$C$5)&amp;"","")</f>
        <v/>
      </c>
      <c r="D414" s="5">
        <f>IFERROR(VALUE(SUBSTITUTE(SUBSTITUTE(SUBSTITUTE(IFERROR(INDEX('1.산군_붙여넣기'!$A$1:$AZ$1001,ROW(),설정!$C$6)&amp;"",""),",",""),"㎡",""),"m2","")),"")</f>
        <v/>
      </c>
      <c r="E414">
        <f>IFERROR(INDEX('1.산군_붙여넣기'!$A$1:$AZ$1001,ROW(),설정!$C$7)&amp;"","")</f>
        <v/>
      </c>
      <c r="F414">
        <f>IFERROR(INDEX('1.산군_붙여넣기'!$A$1:$AZ$1001,ROW(),설정!$C$8)&amp;"","")</f>
        <v/>
      </c>
      <c r="G414">
        <f>IFERROR(INDEX('1.산군_붙여넣기'!$A$1:$AZ$1001,ROW(),설정!$C$9)&amp;"","")</f>
        <v/>
      </c>
      <c r="H414">
        <f>IFERROR(INDEX('1.산군_붙여넣기'!$A$1:$AZ$1001,ROW(),설정!$C$10)&amp;"","")</f>
        <v/>
      </c>
      <c r="I414">
        <f>IFERROR(INDEX('1.산군_붙여넣기'!$A$1:$AZ$1001,ROW(),설정!$C$11)&amp;"","")</f>
        <v/>
      </c>
      <c r="J414">
        <f>IFERROR(INDEX('1.산군_붙여넣기'!$A$1:$AZ$1001,ROW(),설정!$C$12)&amp;"","")</f>
        <v/>
      </c>
      <c r="K414">
        <f>IFERROR(INDEX('1.산군_붙여넣기'!$A$1:$AZ$1001,ROW(),설정!$C$13)&amp;"","")</f>
        <v/>
      </c>
      <c r="L414" s="6">
        <f>IF(X414="","",IF(AND(LEN(X414)=8,ISNUMBER(X414*1)),DATE(LEFT(X414,4),MID(X414,5,2),RIGHT(X414,2)),IFERROR(DATEVALUE(SUBSTITUTE(SUBSTITUTE(X414,".","-"),"/","-")),IFERROR(X414*1,""))))</f>
        <v/>
      </c>
      <c r="M414" s="6">
        <f>IF(Y414="","",IF(AND(LEN(Y414)=8,ISNUMBER(Y414*1)),DATE(LEFT(Y414,4),MID(Y414,5,2),RIGHT(Y414,2)),IFERROR(DATEVALUE(SUBSTITUTE(SUBSTITUTE(Y414,".","-"),"/","-")),IFERROR(Y414*1,""))))</f>
        <v/>
      </c>
      <c r="N414">
        <f>IFERROR(LEFT(B414,FIND(" ",B414)-1),B414)</f>
        <v/>
      </c>
      <c r="O414">
        <f>AND(B414&lt;&gt;"",B414&lt;&gt;설정!$B$4,C414&lt;&gt;설정!$B$5)</f>
        <v/>
      </c>
      <c r="P414">
        <f>IF(O414,B414&amp;"|"&amp;C414,"")</f>
        <v/>
      </c>
      <c r="Q414">
        <f>AND(O414,COUNTIF(P415:P$1002,P414)=0)</f>
        <v/>
      </c>
      <c r="R414">
        <f>OR(AND(설정!$A$28&lt;&gt;"",ISNUMBER(SEARCH(설정!$A$28,E414&amp;" "&amp;C414))),AND(설정!$A$29&lt;&gt;"",ISNUMBER(SEARCH(설정!$A$29,E414&amp;" "&amp;C414))),AND(설정!$A$30&lt;&gt;"",ISNUMBER(SEARCH(설정!$A$30,E414&amp;" "&amp;C414))),AND(설정!$A$31&lt;&gt;"",ISNUMBER(SEARCH(설정!$A$31,E414&amp;" "&amp;C414))),AND(설정!$A$32&lt;&gt;"",ISNUMBER(SEARCH(설정!$A$32,E414&amp;" "&amp;C414))),AND(설정!$A$33&lt;&gt;"",ISNUMBER(SEARCH(설정!$A$33,E414&amp;" "&amp;C414))),AND(설정!$A$34&lt;&gt;"",ISNUMBER(SEARCH(설정!$A$34,E414&amp;" "&amp;C414))),AND(설정!$A$35&lt;&gt;"",ISNUMBER(SEARCH(설정!$A$35,E414&amp;" "&amp;C414))),AND(설정!$A$36&lt;&gt;"",ISNUMBER(SEARCH(설정!$A$36,E414&amp;" "&amp;C414))),AND(설정!$A$37&lt;&gt;"",ISNUMBER(SEARCH(설정!$A$37,E414&amp;" "&amp;C414))))</f>
        <v/>
      </c>
      <c r="S414">
        <f>OR(D414="",D414&gt;=설정!$B$19)</f>
        <v/>
      </c>
      <c r="T414">
        <f>AND(Q414,R414,S414)</f>
        <v/>
      </c>
      <c r="U414">
        <f>IF(T414,IF(AND(설정!$A$41&lt;&gt;"",ISNUMBER(SEARCH(설정!$A$41,K414))),설정!$B$41,IF(AND(설정!$A$42&lt;&gt;"",ISNUMBER(SEARCH(설정!$A$42,K414))),설정!$B$42,IF(AND(설정!$A$43&lt;&gt;"",ISNUMBER(SEARCH(설정!$A$43,K414))),설정!$B$43,IF(AND(설정!$A$44&lt;&gt;"",ISNUMBER(SEARCH(설정!$A$44,K414))),설정!$B$44,IF(AND(설정!$A$45&lt;&gt;"",ISNUMBER(SEARCH(설정!$A$45,K414))),설정!$B$45,IF(AND(설정!$A$46&lt;&gt;"",ISNUMBER(SEARCH(설정!$A$46,K414))),설정!$B$46,IF(AND(설정!$A$47&lt;&gt;"",ISNUMBER(SEARCH(설정!$A$47,K414))),설정!$B$47,IF(AND(설정!$A$48&lt;&gt;"",ISNUMBER(SEARCH(설정!$A$48,K414))),설정!$B$48,IF(M414="","설계사","시공사"))))))))),"")</f>
        <v/>
      </c>
      <c r="V414">
        <f>SUBSTITUTE(SUBSTITUTE(SUBSTITUTE(SUBSTITUTE(G414,"(주)",""),"㈜",""),"주식회사","")," ","")</f>
        <v/>
      </c>
      <c r="W414">
        <f>IF(AND(T414,V414&lt;&gt;""),IF(COUNTIFS(V$2:V414,V414,T$2:T414,TRUE)=1,MAX(W$1:W413)+1,""),"")</f>
        <v/>
      </c>
      <c r="X414">
        <f>IFERROR(INDEX('1.산군_붙여넣기'!$A$1:$AZ$1001,ROW(),설정!$C$14)&amp;"","")</f>
        <v/>
      </c>
      <c r="Y414">
        <f>IFERROR(INDEX('1.산군_붙여넣기'!$A$1:$AZ$1001,ROW(),설정!$C$15)&amp;"","")</f>
        <v/>
      </c>
      <c r="Z414">
        <f>IF(T414,V414&amp;"|"&amp;U414,"")</f>
        <v/>
      </c>
    </row>
    <row r="415">
      <c r="A415">
        <f>ROW()</f>
        <v/>
      </c>
      <c r="B415">
        <f>IFERROR(INDEX('1.산군_붙여넣기'!$A$1:$AZ$1001,ROW(),설정!$C$4)&amp;"","")</f>
        <v/>
      </c>
      <c r="C415">
        <f>IFERROR(INDEX('1.산군_붙여넣기'!$A$1:$AZ$1001,ROW(),설정!$C$5)&amp;"","")</f>
        <v/>
      </c>
      <c r="D415" s="5">
        <f>IFERROR(VALUE(SUBSTITUTE(SUBSTITUTE(SUBSTITUTE(IFERROR(INDEX('1.산군_붙여넣기'!$A$1:$AZ$1001,ROW(),설정!$C$6)&amp;"",""),",",""),"㎡",""),"m2","")),"")</f>
        <v/>
      </c>
      <c r="E415">
        <f>IFERROR(INDEX('1.산군_붙여넣기'!$A$1:$AZ$1001,ROW(),설정!$C$7)&amp;"","")</f>
        <v/>
      </c>
      <c r="F415">
        <f>IFERROR(INDEX('1.산군_붙여넣기'!$A$1:$AZ$1001,ROW(),설정!$C$8)&amp;"","")</f>
        <v/>
      </c>
      <c r="G415">
        <f>IFERROR(INDEX('1.산군_붙여넣기'!$A$1:$AZ$1001,ROW(),설정!$C$9)&amp;"","")</f>
        <v/>
      </c>
      <c r="H415">
        <f>IFERROR(INDEX('1.산군_붙여넣기'!$A$1:$AZ$1001,ROW(),설정!$C$10)&amp;"","")</f>
        <v/>
      </c>
      <c r="I415">
        <f>IFERROR(INDEX('1.산군_붙여넣기'!$A$1:$AZ$1001,ROW(),설정!$C$11)&amp;"","")</f>
        <v/>
      </c>
      <c r="J415">
        <f>IFERROR(INDEX('1.산군_붙여넣기'!$A$1:$AZ$1001,ROW(),설정!$C$12)&amp;"","")</f>
        <v/>
      </c>
      <c r="K415">
        <f>IFERROR(INDEX('1.산군_붙여넣기'!$A$1:$AZ$1001,ROW(),설정!$C$13)&amp;"","")</f>
        <v/>
      </c>
      <c r="L415" s="6">
        <f>IF(X415="","",IF(AND(LEN(X415)=8,ISNUMBER(X415*1)),DATE(LEFT(X415,4),MID(X415,5,2),RIGHT(X415,2)),IFERROR(DATEVALUE(SUBSTITUTE(SUBSTITUTE(X415,".","-"),"/","-")),IFERROR(X415*1,""))))</f>
        <v/>
      </c>
      <c r="M415" s="6">
        <f>IF(Y415="","",IF(AND(LEN(Y415)=8,ISNUMBER(Y415*1)),DATE(LEFT(Y415,4),MID(Y415,5,2),RIGHT(Y415,2)),IFERROR(DATEVALUE(SUBSTITUTE(SUBSTITUTE(Y415,".","-"),"/","-")),IFERROR(Y415*1,""))))</f>
        <v/>
      </c>
      <c r="N415">
        <f>IFERROR(LEFT(B415,FIND(" ",B415)-1),B415)</f>
        <v/>
      </c>
      <c r="O415">
        <f>AND(B415&lt;&gt;"",B415&lt;&gt;설정!$B$4,C415&lt;&gt;설정!$B$5)</f>
        <v/>
      </c>
      <c r="P415">
        <f>IF(O415,B415&amp;"|"&amp;C415,"")</f>
        <v/>
      </c>
      <c r="Q415">
        <f>AND(O415,COUNTIF(P416:P$1002,P415)=0)</f>
        <v/>
      </c>
      <c r="R415">
        <f>OR(AND(설정!$A$28&lt;&gt;"",ISNUMBER(SEARCH(설정!$A$28,E415&amp;" "&amp;C415))),AND(설정!$A$29&lt;&gt;"",ISNUMBER(SEARCH(설정!$A$29,E415&amp;" "&amp;C415))),AND(설정!$A$30&lt;&gt;"",ISNUMBER(SEARCH(설정!$A$30,E415&amp;" "&amp;C415))),AND(설정!$A$31&lt;&gt;"",ISNUMBER(SEARCH(설정!$A$31,E415&amp;" "&amp;C415))),AND(설정!$A$32&lt;&gt;"",ISNUMBER(SEARCH(설정!$A$32,E415&amp;" "&amp;C415))),AND(설정!$A$33&lt;&gt;"",ISNUMBER(SEARCH(설정!$A$33,E415&amp;" "&amp;C415))),AND(설정!$A$34&lt;&gt;"",ISNUMBER(SEARCH(설정!$A$34,E415&amp;" "&amp;C415))),AND(설정!$A$35&lt;&gt;"",ISNUMBER(SEARCH(설정!$A$35,E415&amp;" "&amp;C415))),AND(설정!$A$36&lt;&gt;"",ISNUMBER(SEARCH(설정!$A$36,E415&amp;" "&amp;C415))),AND(설정!$A$37&lt;&gt;"",ISNUMBER(SEARCH(설정!$A$37,E415&amp;" "&amp;C415))))</f>
        <v/>
      </c>
      <c r="S415">
        <f>OR(D415="",D415&gt;=설정!$B$19)</f>
        <v/>
      </c>
      <c r="T415">
        <f>AND(Q415,R415,S415)</f>
        <v/>
      </c>
      <c r="U415">
        <f>IF(T415,IF(AND(설정!$A$41&lt;&gt;"",ISNUMBER(SEARCH(설정!$A$41,K415))),설정!$B$41,IF(AND(설정!$A$42&lt;&gt;"",ISNUMBER(SEARCH(설정!$A$42,K415))),설정!$B$42,IF(AND(설정!$A$43&lt;&gt;"",ISNUMBER(SEARCH(설정!$A$43,K415))),설정!$B$43,IF(AND(설정!$A$44&lt;&gt;"",ISNUMBER(SEARCH(설정!$A$44,K415))),설정!$B$44,IF(AND(설정!$A$45&lt;&gt;"",ISNUMBER(SEARCH(설정!$A$45,K415))),설정!$B$45,IF(AND(설정!$A$46&lt;&gt;"",ISNUMBER(SEARCH(설정!$A$46,K415))),설정!$B$46,IF(AND(설정!$A$47&lt;&gt;"",ISNUMBER(SEARCH(설정!$A$47,K415))),설정!$B$47,IF(AND(설정!$A$48&lt;&gt;"",ISNUMBER(SEARCH(설정!$A$48,K415))),설정!$B$48,IF(M415="","설계사","시공사"))))))))),"")</f>
        <v/>
      </c>
      <c r="V415">
        <f>SUBSTITUTE(SUBSTITUTE(SUBSTITUTE(SUBSTITUTE(G415,"(주)",""),"㈜",""),"주식회사","")," ","")</f>
        <v/>
      </c>
      <c r="W415">
        <f>IF(AND(T415,V415&lt;&gt;""),IF(COUNTIFS(V$2:V415,V415,T$2:T415,TRUE)=1,MAX(W$1:W414)+1,""),"")</f>
        <v/>
      </c>
      <c r="X415">
        <f>IFERROR(INDEX('1.산군_붙여넣기'!$A$1:$AZ$1001,ROW(),설정!$C$14)&amp;"","")</f>
        <v/>
      </c>
      <c r="Y415">
        <f>IFERROR(INDEX('1.산군_붙여넣기'!$A$1:$AZ$1001,ROW(),설정!$C$15)&amp;"","")</f>
        <v/>
      </c>
      <c r="Z415">
        <f>IF(T415,V415&amp;"|"&amp;U415,"")</f>
        <v/>
      </c>
    </row>
    <row r="416">
      <c r="A416">
        <f>ROW()</f>
        <v/>
      </c>
      <c r="B416">
        <f>IFERROR(INDEX('1.산군_붙여넣기'!$A$1:$AZ$1001,ROW(),설정!$C$4)&amp;"","")</f>
        <v/>
      </c>
      <c r="C416">
        <f>IFERROR(INDEX('1.산군_붙여넣기'!$A$1:$AZ$1001,ROW(),설정!$C$5)&amp;"","")</f>
        <v/>
      </c>
      <c r="D416" s="5">
        <f>IFERROR(VALUE(SUBSTITUTE(SUBSTITUTE(SUBSTITUTE(IFERROR(INDEX('1.산군_붙여넣기'!$A$1:$AZ$1001,ROW(),설정!$C$6)&amp;"",""),",",""),"㎡",""),"m2","")),"")</f>
        <v/>
      </c>
      <c r="E416">
        <f>IFERROR(INDEX('1.산군_붙여넣기'!$A$1:$AZ$1001,ROW(),설정!$C$7)&amp;"","")</f>
        <v/>
      </c>
      <c r="F416">
        <f>IFERROR(INDEX('1.산군_붙여넣기'!$A$1:$AZ$1001,ROW(),설정!$C$8)&amp;"","")</f>
        <v/>
      </c>
      <c r="G416">
        <f>IFERROR(INDEX('1.산군_붙여넣기'!$A$1:$AZ$1001,ROW(),설정!$C$9)&amp;"","")</f>
        <v/>
      </c>
      <c r="H416">
        <f>IFERROR(INDEX('1.산군_붙여넣기'!$A$1:$AZ$1001,ROW(),설정!$C$10)&amp;"","")</f>
        <v/>
      </c>
      <c r="I416">
        <f>IFERROR(INDEX('1.산군_붙여넣기'!$A$1:$AZ$1001,ROW(),설정!$C$11)&amp;"","")</f>
        <v/>
      </c>
      <c r="J416">
        <f>IFERROR(INDEX('1.산군_붙여넣기'!$A$1:$AZ$1001,ROW(),설정!$C$12)&amp;"","")</f>
        <v/>
      </c>
      <c r="K416">
        <f>IFERROR(INDEX('1.산군_붙여넣기'!$A$1:$AZ$1001,ROW(),설정!$C$13)&amp;"","")</f>
        <v/>
      </c>
      <c r="L416" s="6">
        <f>IF(X416="","",IF(AND(LEN(X416)=8,ISNUMBER(X416*1)),DATE(LEFT(X416,4),MID(X416,5,2),RIGHT(X416,2)),IFERROR(DATEVALUE(SUBSTITUTE(SUBSTITUTE(X416,".","-"),"/","-")),IFERROR(X416*1,""))))</f>
        <v/>
      </c>
      <c r="M416" s="6">
        <f>IF(Y416="","",IF(AND(LEN(Y416)=8,ISNUMBER(Y416*1)),DATE(LEFT(Y416,4),MID(Y416,5,2),RIGHT(Y416,2)),IFERROR(DATEVALUE(SUBSTITUTE(SUBSTITUTE(Y416,".","-"),"/","-")),IFERROR(Y416*1,""))))</f>
        <v/>
      </c>
      <c r="N416">
        <f>IFERROR(LEFT(B416,FIND(" ",B416)-1),B416)</f>
        <v/>
      </c>
      <c r="O416">
        <f>AND(B416&lt;&gt;"",B416&lt;&gt;설정!$B$4,C416&lt;&gt;설정!$B$5)</f>
        <v/>
      </c>
      <c r="P416">
        <f>IF(O416,B416&amp;"|"&amp;C416,"")</f>
        <v/>
      </c>
      <c r="Q416">
        <f>AND(O416,COUNTIF(P417:P$1002,P416)=0)</f>
        <v/>
      </c>
      <c r="R416">
        <f>OR(AND(설정!$A$28&lt;&gt;"",ISNUMBER(SEARCH(설정!$A$28,E416&amp;" "&amp;C416))),AND(설정!$A$29&lt;&gt;"",ISNUMBER(SEARCH(설정!$A$29,E416&amp;" "&amp;C416))),AND(설정!$A$30&lt;&gt;"",ISNUMBER(SEARCH(설정!$A$30,E416&amp;" "&amp;C416))),AND(설정!$A$31&lt;&gt;"",ISNUMBER(SEARCH(설정!$A$31,E416&amp;" "&amp;C416))),AND(설정!$A$32&lt;&gt;"",ISNUMBER(SEARCH(설정!$A$32,E416&amp;" "&amp;C416))),AND(설정!$A$33&lt;&gt;"",ISNUMBER(SEARCH(설정!$A$33,E416&amp;" "&amp;C416))),AND(설정!$A$34&lt;&gt;"",ISNUMBER(SEARCH(설정!$A$34,E416&amp;" "&amp;C416))),AND(설정!$A$35&lt;&gt;"",ISNUMBER(SEARCH(설정!$A$35,E416&amp;" "&amp;C416))),AND(설정!$A$36&lt;&gt;"",ISNUMBER(SEARCH(설정!$A$36,E416&amp;" "&amp;C416))),AND(설정!$A$37&lt;&gt;"",ISNUMBER(SEARCH(설정!$A$37,E416&amp;" "&amp;C416))))</f>
        <v/>
      </c>
      <c r="S416">
        <f>OR(D416="",D416&gt;=설정!$B$19)</f>
        <v/>
      </c>
      <c r="T416">
        <f>AND(Q416,R416,S416)</f>
        <v/>
      </c>
      <c r="U416">
        <f>IF(T416,IF(AND(설정!$A$41&lt;&gt;"",ISNUMBER(SEARCH(설정!$A$41,K416))),설정!$B$41,IF(AND(설정!$A$42&lt;&gt;"",ISNUMBER(SEARCH(설정!$A$42,K416))),설정!$B$42,IF(AND(설정!$A$43&lt;&gt;"",ISNUMBER(SEARCH(설정!$A$43,K416))),설정!$B$43,IF(AND(설정!$A$44&lt;&gt;"",ISNUMBER(SEARCH(설정!$A$44,K416))),설정!$B$44,IF(AND(설정!$A$45&lt;&gt;"",ISNUMBER(SEARCH(설정!$A$45,K416))),설정!$B$45,IF(AND(설정!$A$46&lt;&gt;"",ISNUMBER(SEARCH(설정!$A$46,K416))),설정!$B$46,IF(AND(설정!$A$47&lt;&gt;"",ISNUMBER(SEARCH(설정!$A$47,K416))),설정!$B$47,IF(AND(설정!$A$48&lt;&gt;"",ISNUMBER(SEARCH(설정!$A$48,K416))),설정!$B$48,IF(M416="","설계사","시공사"))))))))),"")</f>
        <v/>
      </c>
      <c r="V416">
        <f>SUBSTITUTE(SUBSTITUTE(SUBSTITUTE(SUBSTITUTE(G416,"(주)",""),"㈜",""),"주식회사","")," ","")</f>
        <v/>
      </c>
      <c r="W416">
        <f>IF(AND(T416,V416&lt;&gt;""),IF(COUNTIFS(V$2:V416,V416,T$2:T416,TRUE)=1,MAX(W$1:W415)+1,""),"")</f>
        <v/>
      </c>
      <c r="X416">
        <f>IFERROR(INDEX('1.산군_붙여넣기'!$A$1:$AZ$1001,ROW(),설정!$C$14)&amp;"","")</f>
        <v/>
      </c>
      <c r="Y416">
        <f>IFERROR(INDEX('1.산군_붙여넣기'!$A$1:$AZ$1001,ROW(),설정!$C$15)&amp;"","")</f>
        <v/>
      </c>
      <c r="Z416">
        <f>IF(T416,V416&amp;"|"&amp;U416,"")</f>
        <v/>
      </c>
    </row>
    <row r="417">
      <c r="A417">
        <f>ROW()</f>
        <v/>
      </c>
      <c r="B417">
        <f>IFERROR(INDEX('1.산군_붙여넣기'!$A$1:$AZ$1001,ROW(),설정!$C$4)&amp;"","")</f>
        <v/>
      </c>
      <c r="C417">
        <f>IFERROR(INDEX('1.산군_붙여넣기'!$A$1:$AZ$1001,ROW(),설정!$C$5)&amp;"","")</f>
        <v/>
      </c>
      <c r="D417" s="5">
        <f>IFERROR(VALUE(SUBSTITUTE(SUBSTITUTE(SUBSTITUTE(IFERROR(INDEX('1.산군_붙여넣기'!$A$1:$AZ$1001,ROW(),설정!$C$6)&amp;"",""),",",""),"㎡",""),"m2","")),"")</f>
        <v/>
      </c>
      <c r="E417">
        <f>IFERROR(INDEX('1.산군_붙여넣기'!$A$1:$AZ$1001,ROW(),설정!$C$7)&amp;"","")</f>
        <v/>
      </c>
      <c r="F417">
        <f>IFERROR(INDEX('1.산군_붙여넣기'!$A$1:$AZ$1001,ROW(),설정!$C$8)&amp;"","")</f>
        <v/>
      </c>
      <c r="G417">
        <f>IFERROR(INDEX('1.산군_붙여넣기'!$A$1:$AZ$1001,ROW(),설정!$C$9)&amp;"","")</f>
        <v/>
      </c>
      <c r="H417">
        <f>IFERROR(INDEX('1.산군_붙여넣기'!$A$1:$AZ$1001,ROW(),설정!$C$10)&amp;"","")</f>
        <v/>
      </c>
      <c r="I417">
        <f>IFERROR(INDEX('1.산군_붙여넣기'!$A$1:$AZ$1001,ROW(),설정!$C$11)&amp;"","")</f>
        <v/>
      </c>
      <c r="J417">
        <f>IFERROR(INDEX('1.산군_붙여넣기'!$A$1:$AZ$1001,ROW(),설정!$C$12)&amp;"","")</f>
        <v/>
      </c>
      <c r="K417">
        <f>IFERROR(INDEX('1.산군_붙여넣기'!$A$1:$AZ$1001,ROW(),설정!$C$13)&amp;"","")</f>
        <v/>
      </c>
      <c r="L417" s="6">
        <f>IF(X417="","",IF(AND(LEN(X417)=8,ISNUMBER(X417*1)),DATE(LEFT(X417,4),MID(X417,5,2),RIGHT(X417,2)),IFERROR(DATEVALUE(SUBSTITUTE(SUBSTITUTE(X417,".","-"),"/","-")),IFERROR(X417*1,""))))</f>
        <v/>
      </c>
      <c r="M417" s="6">
        <f>IF(Y417="","",IF(AND(LEN(Y417)=8,ISNUMBER(Y417*1)),DATE(LEFT(Y417,4),MID(Y417,5,2),RIGHT(Y417,2)),IFERROR(DATEVALUE(SUBSTITUTE(SUBSTITUTE(Y417,".","-"),"/","-")),IFERROR(Y417*1,""))))</f>
        <v/>
      </c>
      <c r="N417">
        <f>IFERROR(LEFT(B417,FIND(" ",B417)-1),B417)</f>
        <v/>
      </c>
      <c r="O417">
        <f>AND(B417&lt;&gt;"",B417&lt;&gt;설정!$B$4,C417&lt;&gt;설정!$B$5)</f>
        <v/>
      </c>
      <c r="P417">
        <f>IF(O417,B417&amp;"|"&amp;C417,"")</f>
        <v/>
      </c>
      <c r="Q417">
        <f>AND(O417,COUNTIF(P418:P$1002,P417)=0)</f>
        <v/>
      </c>
      <c r="R417">
        <f>OR(AND(설정!$A$28&lt;&gt;"",ISNUMBER(SEARCH(설정!$A$28,E417&amp;" "&amp;C417))),AND(설정!$A$29&lt;&gt;"",ISNUMBER(SEARCH(설정!$A$29,E417&amp;" "&amp;C417))),AND(설정!$A$30&lt;&gt;"",ISNUMBER(SEARCH(설정!$A$30,E417&amp;" "&amp;C417))),AND(설정!$A$31&lt;&gt;"",ISNUMBER(SEARCH(설정!$A$31,E417&amp;" "&amp;C417))),AND(설정!$A$32&lt;&gt;"",ISNUMBER(SEARCH(설정!$A$32,E417&amp;" "&amp;C417))),AND(설정!$A$33&lt;&gt;"",ISNUMBER(SEARCH(설정!$A$33,E417&amp;" "&amp;C417))),AND(설정!$A$34&lt;&gt;"",ISNUMBER(SEARCH(설정!$A$34,E417&amp;" "&amp;C417))),AND(설정!$A$35&lt;&gt;"",ISNUMBER(SEARCH(설정!$A$35,E417&amp;" "&amp;C417))),AND(설정!$A$36&lt;&gt;"",ISNUMBER(SEARCH(설정!$A$36,E417&amp;" "&amp;C417))),AND(설정!$A$37&lt;&gt;"",ISNUMBER(SEARCH(설정!$A$37,E417&amp;" "&amp;C417))))</f>
        <v/>
      </c>
      <c r="S417">
        <f>OR(D417="",D417&gt;=설정!$B$19)</f>
        <v/>
      </c>
      <c r="T417">
        <f>AND(Q417,R417,S417)</f>
        <v/>
      </c>
      <c r="U417">
        <f>IF(T417,IF(AND(설정!$A$41&lt;&gt;"",ISNUMBER(SEARCH(설정!$A$41,K417))),설정!$B$41,IF(AND(설정!$A$42&lt;&gt;"",ISNUMBER(SEARCH(설정!$A$42,K417))),설정!$B$42,IF(AND(설정!$A$43&lt;&gt;"",ISNUMBER(SEARCH(설정!$A$43,K417))),설정!$B$43,IF(AND(설정!$A$44&lt;&gt;"",ISNUMBER(SEARCH(설정!$A$44,K417))),설정!$B$44,IF(AND(설정!$A$45&lt;&gt;"",ISNUMBER(SEARCH(설정!$A$45,K417))),설정!$B$45,IF(AND(설정!$A$46&lt;&gt;"",ISNUMBER(SEARCH(설정!$A$46,K417))),설정!$B$46,IF(AND(설정!$A$47&lt;&gt;"",ISNUMBER(SEARCH(설정!$A$47,K417))),설정!$B$47,IF(AND(설정!$A$48&lt;&gt;"",ISNUMBER(SEARCH(설정!$A$48,K417))),설정!$B$48,IF(M417="","설계사","시공사"))))))))),"")</f>
        <v/>
      </c>
      <c r="V417">
        <f>SUBSTITUTE(SUBSTITUTE(SUBSTITUTE(SUBSTITUTE(G417,"(주)",""),"㈜",""),"주식회사","")," ","")</f>
        <v/>
      </c>
      <c r="W417">
        <f>IF(AND(T417,V417&lt;&gt;""),IF(COUNTIFS(V$2:V417,V417,T$2:T417,TRUE)=1,MAX(W$1:W416)+1,""),"")</f>
        <v/>
      </c>
      <c r="X417">
        <f>IFERROR(INDEX('1.산군_붙여넣기'!$A$1:$AZ$1001,ROW(),설정!$C$14)&amp;"","")</f>
        <v/>
      </c>
      <c r="Y417">
        <f>IFERROR(INDEX('1.산군_붙여넣기'!$A$1:$AZ$1001,ROW(),설정!$C$15)&amp;"","")</f>
        <v/>
      </c>
      <c r="Z417">
        <f>IF(T417,V417&amp;"|"&amp;U417,"")</f>
        <v/>
      </c>
    </row>
    <row r="418">
      <c r="A418">
        <f>ROW()</f>
        <v/>
      </c>
      <c r="B418">
        <f>IFERROR(INDEX('1.산군_붙여넣기'!$A$1:$AZ$1001,ROW(),설정!$C$4)&amp;"","")</f>
        <v/>
      </c>
      <c r="C418">
        <f>IFERROR(INDEX('1.산군_붙여넣기'!$A$1:$AZ$1001,ROW(),설정!$C$5)&amp;"","")</f>
        <v/>
      </c>
      <c r="D418" s="5">
        <f>IFERROR(VALUE(SUBSTITUTE(SUBSTITUTE(SUBSTITUTE(IFERROR(INDEX('1.산군_붙여넣기'!$A$1:$AZ$1001,ROW(),설정!$C$6)&amp;"",""),",",""),"㎡",""),"m2","")),"")</f>
        <v/>
      </c>
      <c r="E418">
        <f>IFERROR(INDEX('1.산군_붙여넣기'!$A$1:$AZ$1001,ROW(),설정!$C$7)&amp;"","")</f>
        <v/>
      </c>
      <c r="F418">
        <f>IFERROR(INDEX('1.산군_붙여넣기'!$A$1:$AZ$1001,ROW(),설정!$C$8)&amp;"","")</f>
        <v/>
      </c>
      <c r="G418">
        <f>IFERROR(INDEX('1.산군_붙여넣기'!$A$1:$AZ$1001,ROW(),설정!$C$9)&amp;"","")</f>
        <v/>
      </c>
      <c r="H418">
        <f>IFERROR(INDEX('1.산군_붙여넣기'!$A$1:$AZ$1001,ROW(),설정!$C$10)&amp;"","")</f>
        <v/>
      </c>
      <c r="I418">
        <f>IFERROR(INDEX('1.산군_붙여넣기'!$A$1:$AZ$1001,ROW(),설정!$C$11)&amp;"","")</f>
        <v/>
      </c>
      <c r="J418">
        <f>IFERROR(INDEX('1.산군_붙여넣기'!$A$1:$AZ$1001,ROW(),설정!$C$12)&amp;"","")</f>
        <v/>
      </c>
      <c r="K418">
        <f>IFERROR(INDEX('1.산군_붙여넣기'!$A$1:$AZ$1001,ROW(),설정!$C$13)&amp;"","")</f>
        <v/>
      </c>
      <c r="L418" s="6">
        <f>IF(X418="","",IF(AND(LEN(X418)=8,ISNUMBER(X418*1)),DATE(LEFT(X418,4),MID(X418,5,2),RIGHT(X418,2)),IFERROR(DATEVALUE(SUBSTITUTE(SUBSTITUTE(X418,".","-"),"/","-")),IFERROR(X418*1,""))))</f>
        <v/>
      </c>
      <c r="M418" s="6">
        <f>IF(Y418="","",IF(AND(LEN(Y418)=8,ISNUMBER(Y418*1)),DATE(LEFT(Y418,4),MID(Y418,5,2),RIGHT(Y418,2)),IFERROR(DATEVALUE(SUBSTITUTE(SUBSTITUTE(Y418,".","-"),"/","-")),IFERROR(Y418*1,""))))</f>
        <v/>
      </c>
      <c r="N418">
        <f>IFERROR(LEFT(B418,FIND(" ",B418)-1),B418)</f>
        <v/>
      </c>
      <c r="O418">
        <f>AND(B418&lt;&gt;"",B418&lt;&gt;설정!$B$4,C418&lt;&gt;설정!$B$5)</f>
        <v/>
      </c>
      <c r="P418">
        <f>IF(O418,B418&amp;"|"&amp;C418,"")</f>
        <v/>
      </c>
      <c r="Q418">
        <f>AND(O418,COUNTIF(P419:P$1002,P418)=0)</f>
        <v/>
      </c>
      <c r="R418">
        <f>OR(AND(설정!$A$28&lt;&gt;"",ISNUMBER(SEARCH(설정!$A$28,E418&amp;" "&amp;C418))),AND(설정!$A$29&lt;&gt;"",ISNUMBER(SEARCH(설정!$A$29,E418&amp;" "&amp;C418))),AND(설정!$A$30&lt;&gt;"",ISNUMBER(SEARCH(설정!$A$30,E418&amp;" "&amp;C418))),AND(설정!$A$31&lt;&gt;"",ISNUMBER(SEARCH(설정!$A$31,E418&amp;" "&amp;C418))),AND(설정!$A$32&lt;&gt;"",ISNUMBER(SEARCH(설정!$A$32,E418&amp;" "&amp;C418))),AND(설정!$A$33&lt;&gt;"",ISNUMBER(SEARCH(설정!$A$33,E418&amp;" "&amp;C418))),AND(설정!$A$34&lt;&gt;"",ISNUMBER(SEARCH(설정!$A$34,E418&amp;" "&amp;C418))),AND(설정!$A$35&lt;&gt;"",ISNUMBER(SEARCH(설정!$A$35,E418&amp;" "&amp;C418))),AND(설정!$A$36&lt;&gt;"",ISNUMBER(SEARCH(설정!$A$36,E418&amp;" "&amp;C418))),AND(설정!$A$37&lt;&gt;"",ISNUMBER(SEARCH(설정!$A$37,E418&amp;" "&amp;C418))))</f>
        <v/>
      </c>
      <c r="S418">
        <f>OR(D418="",D418&gt;=설정!$B$19)</f>
        <v/>
      </c>
      <c r="T418">
        <f>AND(Q418,R418,S418)</f>
        <v/>
      </c>
      <c r="U418">
        <f>IF(T418,IF(AND(설정!$A$41&lt;&gt;"",ISNUMBER(SEARCH(설정!$A$41,K418))),설정!$B$41,IF(AND(설정!$A$42&lt;&gt;"",ISNUMBER(SEARCH(설정!$A$42,K418))),설정!$B$42,IF(AND(설정!$A$43&lt;&gt;"",ISNUMBER(SEARCH(설정!$A$43,K418))),설정!$B$43,IF(AND(설정!$A$44&lt;&gt;"",ISNUMBER(SEARCH(설정!$A$44,K418))),설정!$B$44,IF(AND(설정!$A$45&lt;&gt;"",ISNUMBER(SEARCH(설정!$A$45,K418))),설정!$B$45,IF(AND(설정!$A$46&lt;&gt;"",ISNUMBER(SEARCH(설정!$A$46,K418))),설정!$B$46,IF(AND(설정!$A$47&lt;&gt;"",ISNUMBER(SEARCH(설정!$A$47,K418))),설정!$B$47,IF(AND(설정!$A$48&lt;&gt;"",ISNUMBER(SEARCH(설정!$A$48,K418))),설정!$B$48,IF(M418="","설계사","시공사"))))))))),"")</f>
        <v/>
      </c>
      <c r="V418">
        <f>SUBSTITUTE(SUBSTITUTE(SUBSTITUTE(SUBSTITUTE(G418,"(주)",""),"㈜",""),"주식회사","")," ","")</f>
        <v/>
      </c>
      <c r="W418">
        <f>IF(AND(T418,V418&lt;&gt;""),IF(COUNTIFS(V$2:V418,V418,T$2:T418,TRUE)=1,MAX(W$1:W417)+1,""),"")</f>
        <v/>
      </c>
      <c r="X418">
        <f>IFERROR(INDEX('1.산군_붙여넣기'!$A$1:$AZ$1001,ROW(),설정!$C$14)&amp;"","")</f>
        <v/>
      </c>
      <c r="Y418">
        <f>IFERROR(INDEX('1.산군_붙여넣기'!$A$1:$AZ$1001,ROW(),설정!$C$15)&amp;"","")</f>
        <v/>
      </c>
      <c r="Z418">
        <f>IF(T418,V418&amp;"|"&amp;U418,"")</f>
        <v/>
      </c>
    </row>
    <row r="419">
      <c r="A419">
        <f>ROW()</f>
        <v/>
      </c>
      <c r="B419">
        <f>IFERROR(INDEX('1.산군_붙여넣기'!$A$1:$AZ$1001,ROW(),설정!$C$4)&amp;"","")</f>
        <v/>
      </c>
      <c r="C419">
        <f>IFERROR(INDEX('1.산군_붙여넣기'!$A$1:$AZ$1001,ROW(),설정!$C$5)&amp;"","")</f>
        <v/>
      </c>
      <c r="D419" s="5">
        <f>IFERROR(VALUE(SUBSTITUTE(SUBSTITUTE(SUBSTITUTE(IFERROR(INDEX('1.산군_붙여넣기'!$A$1:$AZ$1001,ROW(),설정!$C$6)&amp;"",""),",",""),"㎡",""),"m2","")),"")</f>
        <v/>
      </c>
      <c r="E419">
        <f>IFERROR(INDEX('1.산군_붙여넣기'!$A$1:$AZ$1001,ROW(),설정!$C$7)&amp;"","")</f>
        <v/>
      </c>
      <c r="F419">
        <f>IFERROR(INDEX('1.산군_붙여넣기'!$A$1:$AZ$1001,ROW(),설정!$C$8)&amp;"","")</f>
        <v/>
      </c>
      <c r="G419">
        <f>IFERROR(INDEX('1.산군_붙여넣기'!$A$1:$AZ$1001,ROW(),설정!$C$9)&amp;"","")</f>
        <v/>
      </c>
      <c r="H419">
        <f>IFERROR(INDEX('1.산군_붙여넣기'!$A$1:$AZ$1001,ROW(),설정!$C$10)&amp;"","")</f>
        <v/>
      </c>
      <c r="I419">
        <f>IFERROR(INDEX('1.산군_붙여넣기'!$A$1:$AZ$1001,ROW(),설정!$C$11)&amp;"","")</f>
        <v/>
      </c>
      <c r="J419">
        <f>IFERROR(INDEX('1.산군_붙여넣기'!$A$1:$AZ$1001,ROW(),설정!$C$12)&amp;"","")</f>
        <v/>
      </c>
      <c r="K419">
        <f>IFERROR(INDEX('1.산군_붙여넣기'!$A$1:$AZ$1001,ROW(),설정!$C$13)&amp;"","")</f>
        <v/>
      </c>
      <c r="L419" s="6">
        <f>IF(X419="","",IF(AND(LEN(X419)=8,ISNUMBER(X419*1)),DATE(LEFT(X419,4),MID(X419,5,2),RIGHT(X419,2)),IFERROR(DATEVALUE(SUBSTITUTE(SUBSTITUTE(X419,".","-"),"/","-")),IFERROR(X419*1,""))))</f>
        <v/>
      </c>
      <c r="M419" s="6">
        <f>IF(Y419="","",IF(AND(LEN(Y419)=8,ISNUMBER(Y419*1)),DATE(LEFT(Y419,4),MID(Y419,5,2),RIGHT(Y419,2)),IFERROR(DATEVALUE(SUBSTITUTE(SUBSTITUTE(Y419,".","-"),"/","-")),IFERROR(Y419*1,""))))</f>
        <v/>
      </c>
      <c r="N419">
        <f>IFERROR(LEFT(B419,FIND(" ",B419)-1),B419)</f>
        <v/>
      </c>
      <c r="O419">
        <f>AND(B419&lt;&gt;"",B419&lt;&gt;설정!$B$4,C419&lt;&gt;설정!$B$5)</f>
        <v/>
      </c>
      <c r="P419">
        <f>IF(O419,B419&amp;"|"&amp;C419,"")</f>
        <v/>
      </c>
      <c r="Q419">
        <f>AND(O419,COUNTIF(P420:P$1002,P419)=0)</f>
        <v/>
      </c>
      <c r="R419">
        <f>OR(AND(설정!$A$28&lt;&gt;"",ISNUMBER(SEARCH(설정!$A$28,E419&amp;" "&amp;C419))),AND(설정!$A$29&lt;&gt;"",ISNUMBER(SEARCH(설정!$A$29,E419&amp;" "&amp;C419))),AND(설정!$A$30&lt;&gt;"",ISNUMBER(SEARCH(설정!$A$30,E419&amp;" "&amp;C419))),AND(설정!$A$31&lt;&gt;"",ISNUMBER(SEARCH(설정!$A$31,E419&amp;" "&amp;C419))),AND(설정!$A$32&lt;&gt;"",ISNUMBER(SEARCH(설정!$A$32,E419&amp;" "&amp;C419))),AND(설정!$A$33&lt;&gt;"",ISNUMBER(SEARCH(설정!$A$33,E419&amp;" "&amp;C419))),AND(설정!$A$34&lt;&gt;"",ISNUMBER(SEARCH(설정!$A$34,E419&amp;" "&amp;C419))),AND(설정!$A$35&lt;&gt;"",ISNUMBER(SEARCH(설정!$A$35,E419&amp;" "&amp;C419))),AND(설정!$A$36&lt;&gt;"",ISNUMBER(SEARCH(설정!$A$36,E419&amp;" "&amp;C419))),AND(설정!$A$37&lt;&gt;"",ISNUMBER(SEARCH(설정!$A$37,E419&amp;" "&amp;C419))))</f>
        <v/>
      </c>
      <c r="S419">
        <f>OR(D419="",D419&gt;=설정!$B$19)</f>
        <v/>
      </c>
      <c r="T419">
        <f>AND(Q419,R419,S419)</f>
        <v/>
      </c>
      <c r="U419">
        <f>IF(T419,IF(AND(설정!$A$41&lt;&gt;"",ISNUMBER(SEARCH(설정!$A$41,K419))),설정!$B$41,IF(AND(설정!$A$42&lt;&gt;"",ISNUMBER(SEARCH(설정!$A$42,K419))),설정!$B$42,IF(AND(설정!$A$43&lt;&gt;"",ISNUMBER(SEARCH(설정!$A$43,K419))),설정!$B$43,IF(AND(설정!$A$44&lt;&gt;"",ISNUMBER(SEARCH(설정!$A$44,K419))),설정!$B$44,IF(AND(설정!$A$45&lt;&gt;"",ISNUMBER(SEARCH(설정!$A$45,K419))),설정!$B$45,IF(AND(설정!$A$46&lt;&gt;"",ISNUMBER(SEARCH(설정!$A$46,K419))),설정!$B$46,IF(AND(설정!$A$47&lt;&gt;"",ISNUMBER(SEARCH(설정!$A$47,K419))),설정!$B$47,IF(AND(설정!$A$48&lt;&gt;"",ISNUMBER(SEARCH(설정!$A$48,K419))),설정!$B$48,IF(M419="","설계사","시공사"))))))))),"")</f>
        <v/>
      </c>
      <c r="V419">
        <f>SUBSTITUTE(SUBSTITUTE(SUBSTITUTE(SUBSTITUTE(G419,"(주)",""),"㈜",""),"주식회사","")," ","")</f>
        <v/>
      </c>
      <c r="W419">
        <f>IF(AND(T419,V419&lt;&gt;""),IF(COUNTIFS(V$2:V419,V419,T$2:T419,TRUE)=1,MAX(W$1:W418)+1,""),"")</f>
        <v/>
      </c>
      <c r="X419">
        <f>IFERROR(INDEX('1.산군_붙여넣기'!$A$1:$AZ$1001,ROW(),설정!$C$14)&amp;"","")</f>
        <v/>
      </c>
      <c r="Y419">
        <f>IFERROR(INDEX('1.산군_붙여넣기'!$A$1:$AZ$1001,ROW(),설정!$C$15)&amp;"","")</f>
        <v/>
      </c>
      <c r="Z419">
        <f>IF(T419,V419&amp;"|"&amp;U419,"")</f>
        <v/>
      </c>
    </row>
    <row r="420">
      <c r="A420">
        <f>ROW()</f>
        <v/>
      </c>
      <c r="B420">
        <f>IFERROR(INDEX('1.산군_붙여넣기'!$A$1:$AZ$1001,ROW(),설정!$C$4)&amp;"","")</f>
        <v/>
      </c>
      <c r="C420">
        <f>IFERROR(INDEX('1.산군_붙여넣기'!$A$1:$AZ$1001,ROW(),설정!$C$5)&amp;"","")</f>
        <v/>
      </c>
      <c r="D420" s="5">
        <f>IFERROR(VALUE(SUBSTITUTE(SUBSTITUTE(SUBSTITUTE(IFERROR(INDEX('1.산군_붙여넣기'!$A$1:$AZ$1001,ROW(),설정!$C$6)&amp;"",""),",",""),"㎡",""),"m2","")),"")</f>
        <v/>
      </c>
      <c r="E420">
        <f>IFERROR(INDEX('1.산군_붙여넣기'!$A$1:$AZ$1001,ROW(),설정!$C$7)&amp;"","")</f>
        <v/>
      </c>
      <c r="F420">
        <f>IFERROR(INDEX('1.산군_붙여넣기'!$A$1:$AZ$1001,ROW(),설정!$C$8)&amp;"","")</f>
        <v/>
      </c>
      <c r="G420">
        <f>IFERROR(INDEX('1.산군_붙여넣기'!$A$1:$AZ$1001,ROW(),설정!$C$9)&amp;"","")</f>
        <v/>
      </c>
      <c r="H420">
        <f>IFERROR(INDEX('1.산군_붙여넣기'!$A$1:$AZ$1001,ROW(),설정!$C$10)&amp;"","")</f>
        <v/>
      </c>
      <c r="I420">
        <f>IFERROR(INDEX('1.산군_붙여넣기'!$A$1:$AZ$1001,ROW(),설정!$C$11)&amp;"","")</f>
        <v/>
      </c>
      <c r="J420">
        <f>IFERROR(INDEX('1.산군_붙여넣기'!$A$1:$AZ$1001,ROW(),설정!$C$12)&amp;"","")</f>
        <v/>
      </c>
      <c r="K420">
        <f>IFERROR(INDEX('1.산군_붙여넣기'!$A$1:$AZ$1001,ROW(),설정!$C$13)&amp;"","")</f>
        <v/>
      </c>
      <c r="L420" s="6">
        <f>IF(X420="","",IF(AND(LEN(X420)=8,ISNUMBER(X420*1)),DATE(LEFT(X420,4),MID(X420,5,2),RIGHT(X420,2)),IFERROR(DATEVALUE(SUBSTITUTE(SUBSTITUTE(X420,".","-"),"/","-")),IFERROR(X420*1,""))))</f>
        <v/>
      </c>
      <c r="M420" s="6">
        <f>IF(Y420="","",IF(AND(LEN(Y420)=8,ISNUMBER(Y420*1)),DATE(LEFT(Y420,4),MID(Y420,5,2),RIGHT(Y420,2)),IFERROR(DATEVALUE(SUBSTITUTE(SUBSTITUTE(Y420,".","-"),"/","-")),IFERROR(Y420*1,""))))</f>
        <v/>
      </c>
      <c r="N420">
        <f>IFERROR(LEFT(B420,FIND(" ",B420)-1),B420)</f>
        <v/>
      </c>
      <c r="O420">
        <f>AND(B420&lt;&gt;"",B420&lt;&gt;설정!$B$4,C420&lt;&gt;설정!$B$5)</f>
        <v/>
      </c>
      <c r="P420">
        <f>IF(O420,B420&amp;"|"&amp;C420,"")</f>
        <v/>
      </c>
      <c r="Q420">
        <f>AND(O420,COUNTIF(P421:P$1002,P420)=0)</f>
        <v/>
      </c>
      <c r="R420">
        <f>OR(AND(설정!$A$28&lt;&gt;"",ISNUMBER(SEARCH(설정!$A$28,E420&amp;" "&amp;C420))),AND(설정!$A$29&lt;&gt;"",ISNUMBER(SEARCH(설정!$A$29,E420&amp;" "&amp;C420))),AND(설정!$A$30&lt;&gt;"",ISNUMBER(SEARCH(설정!$A$30,E420&amp;" "&amp;C420))),AND(설정!$A$31&lt;&gt;"",ISNUMBER(SEARCH(설정!$A$31,E420&amp;" "&amp;C420))),AND(설정!$A$32&lt;&gt;"",ISNUMBER(SEARCH(설정!$A$32,E420&amp;" "&amp;C420))),AND(설정!$A$33&lt;&gt;"",ISNUMBER(SEARCH(설정!$A$33,E420&amp;" "&amp;C420))),AND(설정!$A$34&lt;&gt;"",ISNUMBER(SEARCH(설정!$A$34,E420&amp;" "&amp;C420))),AND(설정!$A$35&lt;&gt;"",ISNUMBER(SEARCH(설정!$A$35,E420&amp;" "&amp;C420))),AND(설정!$A$36&lt;&gt;"",ISNUMBER(SEARCH(설정!$A$36,E420&amp;" "&amp;C420))),AND(설정!$A$37&lt;&gt;"",ISNUMBER(SEARCH(설정!$A$37,E420&amp;" "&amp;C420))))</f>
        <v/>
      </c>
      <c r="S420">
        <f>OR(D420="",D420&gt;=설정!$B$19)</f>
        <v/>
      </c>
      <c r="T420">
        <f>AND(Q420,R420,S420)</f>
        <v/>
      </c>
      <c r="U420">
        <f>IF(T420,IF(AND(설정!$A$41&lt;&gt;"",ISNUMBER(SEARCH(설정!$A$41,K420))),설정!$B$41,IF(AND(설정!$A$42&lt;&gt;"",ISNUMBER(SEARCH(설정!$A$42,K420))),설정!$B$42,IF(AND(설정!$A$43&lt;&gt;"",ISNUMBER(SEARCH(설정!$A$43,K420))),설정!$B$43,IF(AND(설정!$A$44&lt;&gt;"",ISNUMBER(SEARCH(설정!$A$44,K420))),설정!$B$44,IF(AND(설정!$A$45&lt;&gt;"",ISNUMBER(SEARCH(설정!$A$45,K420))),설정!$B$45,IF(AND(설정!$A$46&lt;&gt;"",ISNUMBER(SEARCH(설정!$A$46,K420))),설정!$B$46,IF(AND(설정!$A$47&lt;&gt;"",ISNUMBER(SEARCH(설정!$A$47,K420))),설정!$B$47,IF(AND(설정!$A$48&lt;&gt;"",ISNUMBER(SEARCH(설정!$A$48,K420))),설정!$B$48,IF(M420="","설계사","시공사"))))))))),"")</f>
        <v/>
      </c>
      <c r="V420">
        <f>SUBSTITUTE(SUBSTITUTE(SUBSTITUTE(SUBSTITUTE(G420,"(주)",""),"㈜",""),"주식회사","")," ","")</f>
        <v/>
      </c>
      <c r="W420">
        <f>IF(AND(T420,V420&lt;&gt;""),IF(COUNTIFS(V$2:V420,V420,T$2:T420,TRUE)=1,MAX(W$1:W419)+1,""),"")</f>
        <v/>
      </c>
      <c r="X420">
        <f>IFERROR(INDEX('1.산군_붙여넣기'!$A$1:$AZ$1001,ROW(),설정!$C$14)&amp;"","")</f>
        <v/>
      </c>
      <c r="Y420">
        <f>IFERROR(INDEX('1.산군_붙여넣기'!$A$1:$AZ$1001,ROW(),설정!$C$15)&amp;"","")</f>
        <v/>
      </c>
      <c r="Z420">
        <f>IF(T420,V420&amp;"|"&amp;U420,"")</f>
        <v/>
      </c>
    </row>
    <row r="421">
      <c r="A421">
        <f>ROW()</f>
        <v/>
      </c>
      <c r="B421">
        <f>IFERROR(INDEX('1.산군_붙여넣기'!$A$1:$AZ$1001,ROW(),설정!$C$4)&amp;"","")</f>
        <v/>
      </c>
      <c r="C421">
        <f>IFERROR(INDEX('1.산군_붙여넣기'!$A$1:$AZ$1001,ROW(),설정!$C$5)&amp;"","")</f>
        <v/>
      </c>
      <c r="D421" s="5">
        <f>IFERROR(VALUE(SUBSTITUTE(SUBSTITUTE(SUBSTITUTE(IFERROR(INDEX('1.산군_붙여넣기'!$A$1:$AZ$1001,ROW(),설정!$C$6)&amp;"",""),",",""),"㎡",""),"m2","")),"")</f>
        <v/>
      </c>
      <c r="E421">
        <f>IFERROR(INDEX('1.산군_붙여넣기'!$A$1:$AZ$1001,ROW(),설정!$C$7)&amp;"","")</f>
        <v/>
      </c>
      <c r="F421">
        <f>IFERROR(INDEX('1.산군_붙여넣기'!$A$1:$AZ$1001,ROW(),설정!$C$8)&amp;"","")</f>
        <v/>
      </c>
      <c r="G421">
        <f>IFERROR(INDEX('1.산군_붙여넣기'!$A$1:$AZ$1001,ROW(),설정!$C$9)&amp;"","")</f>
        <v/>
      </c>
      <c r="H421">
        <f>IFERROR(INDEX('1.산군_붙여넣기'!$A$1:$AZ$1001,ROW(),설정!$C$10)&amp;"","")</f>
        <v/>
      </c>
      <c r="I421">
        <f>IFERROR(INDEX('1.산군_붙여넣기'!$A$1:$AZ$1001,ROW(),설정!$C$11)&amp;"","")</f>
        <v/>
      </c>
      <c r="J421">
        <f>IFERROR(INDEX('1.산군_붙여넣기'!$A$1:$AZ$1001,ROW(),설정!$C$12)&amp;"","")</f>
        <v/>
      </c>
      <c r="K421">
        <f>IFERROR(INDEX('1.산군_붙여넣기'!$A$1:$AZ$1001,ROW(),설정!$C$13)&amp;"","")</f>
        <v/>
      </c>
      <c r="L421" s="6">
        <f>IF(X421="","",IF(AND(LEN(X421)=8,ISNUMBER(X421*1)),DATE(LEFT(X421,4),MID(X421,5,2),RIGHT(X421,2)),IFERROR(DATEVALUE(SUBSTITUTE(SUBSTITUTE(X421,".","-"),"/","-")),IFERROR(X421*1,""))))</f>
        <v/>
      </c>
      <c r="M421" s="6">
        <f>IF(Y421="","",IF(AND(LEN(Y421)=8,ISNUMBER(Y421*1)),DATE(LEFT(Y421,4),MID(Y421,5,2),RIGHT(Y421,2)),IFERROR(DATEVALUE(SUBSTITUTE(SUBSTITUTE(Y421,".","-"),"/","-")),IFERROR(Y421*1,""))))</f>
        <v/>
      </c>
      <c r="N421">
        <f>IFERROR(LEFT(B421,FIND(" ",B421)-1),B421)</f>
        <v/>
      </c>
      <c r="O421">
        <f>AND(B421&lt;&gt;"",B421&lt;&gt;설정!$B$4,C421&lt;&gt;설정!$B$5)</f>
        <v/>
      </c>
      <c r="P421">
        <f>IF(O421,B421&amp;"|"&amp;C421,"")</f>
        <v/>
      </c>
      <c r="Q421">
        <f>AND(O421,COUNTIF(P422:P$1002,P421)=0)</f>
        <v/>
      </c>
      <c r="R421">
        <f>OR(AND(설정!$A$28&lt;&gt;"",ISNUMBER(SEARCH(설정!$A$28,E421&amp;" "&amp;C421))),AND(설정!$A$29&lt;&gt;"",ISNUMBER(SEARCH(설정!$A$29,E421&amp;" "&amp;C421))),AND(설정!$A$30&lt;&gt;"",ISNUMBER(SEARCH(설정!$A$30,E421&amp;" "&amp;C421))),AND(설정!$A$31&lt;&gt;"",ISNUMBER(SEARCH(설정!$A$31,E421&amp;" "&amp;C421))),AND(설정!$A$32&lt;&gt;"",ISNUMBER(SEARCH(설정!$A$32,E421&amp;" "&amp;C421))),AND(설정!$A$33&lt;&gt;"",ISNUMBER(SEARCH(설정!$A$33,E421&amp;" "&amp;C421))),AND(설정!$A$34&lt;&gt;"",ISNUMBER(SEARCH(설정!$A$34,E421&amp;" "&amp;C421))),AND(설정!$A$35&lt;&gt;"",ISNUMBER(SEARCH(설정!$A$35,E421&amp;" "&amp;C421))),AND(설정!$A$36&lt;&gt;"",ISNUMBER(SEARCH(설정!$A$36,E421&amp;" "&amp;C421))),AND(설정!$A$37&lt;&gt;"",ISNUMBER(SEARCH(설정!$A$37,E421&amp;" "&amp;C421))))</f>
        <v/>
      </c>
      <c r="S421">
        <f>OR(D421="",D421&gt;=설정!$B$19)</f>
        <v/>
      </c>
      <c r="T421">
        <f>AND(Q421,R421,S421)</f>
        <v/>
      </c>
      <c r="U421">
        <f>IF(T421,IF(AND(설정!$A$41&lt;&gt;"",ISNUMBER(SEARCH(설정!$A$41,K421))),설정!$B$41,IF(AND(설정!$A$42&lt;&gt;"",ISNUMBER(SEARCH(설정!$A$42,K421))),설정!$B$42,IF(AND(설정!$A$43&lt;&gt;"",ISNUMBER(SEARCH(설정!$A$43,K421))),설정!$B$43,IF(AND(설정!$A$44&lt;&gt;"",ISNUMBER(SEARCH(설정!$A$44,K421))),설정!$B$44,IF(AND(설정!$A$45&lt;&gt;"",ISNUMBER(SEARCH(설정!$A$45,K421))),설정!$B$45,IF(AND(설정!$A$46&lt;&gt;"",ISNUMBER(SEARCH(설정!$A$46,K421))),설정!$B$46,IF(AND(설정!$A$47&lt;&gt;"",ISNUMBER(SEARCH(설정!$A$47,K421))),설정!$B$47,IF(AND(설정!$A$48&lt;&gt;"",ISNUMBER(SEARCH(설정!$A$48,K421))),설정!$B$48,IF(M421="","설계사","시공사"))))))))),"")</f>
        <v/>
      </c>
      <c r="V421">
        <f>SUBSTITUTE(SUBSTITUTE(SUBSTITUTE(SUBSTITUTE(G421,"(주)",""),"㈜",""),"주식회사","")," ","")</f>
        <v/>
      </c>
      <c r="W421">
        <f>IF(AND(T421,V421&lt;&gt;""),IF(COUNTIFS(V$2:V421,V421,T$2:T421,TRUE)=1,MAX(W$1:W420)+1,""),"")</f>
        <v/>
      </c>
      <c r="X421">
        <f>IFERROR(INDEX('1.산군_붙여넣기'!$A$1:$AZ$1001,ROW(),설정!$C$14)&amp;"","")</f>
        <v/>
      </c>
      <c r="Y421">
        <f>IFERROR(INDEX('1.산군_붙여넣기'!$A$1:$AZ$1001,ROW(),설정!$C$15)&amp;"","")</f>
        <v/>
      </c>
      <c r="Z421">
        <f>IF(T421,V421&amp;"|"&amp;U421,"")</f>
        <v/>
      </c>
    </row>
    <row r="422">
      <c r="A422">
        <f>ROW()</f>
        <v/>
      </c>
      <c r="B422">
        <f>IFERROR(INDEX('1.산군_붙여넣기'!$A$1:$AZ$1001,ROW(),설정!$C$4)&amp;"","")</f>
        <v/>
      </c>
      <c r="C422">
        <f>IFERROR(INDEX('1.산군_붙여넣기'!$A$1:$AZ$1001,ROW(),설정!$C$5)&amp;"","")</f>
        <v/>
      </c>
      <c r="D422" s="5">
        <f>IFERROR(VALUE(SUBSTITUTE(SUBSTITUTE(SUBSTITUTE(IFERROR(INDEX('1.산군_붙여넣기'!$A$1:$AZ$1001,ROW(),설정!$C$6)&amp;"",""),",",""),"㎡",""),"m2","")),"")</f>
        <v/>
      </c>
      <c r="E422">
        <f>IFERROR(INDEX('1.산군_붙여넣기'!$A$1:$AZ$1001,ROW(),설정!$C$7)&amp;"","")</f>
        <v/>
      </c>
      <c r="F422">
        <f>IFERROR(INDEX('1.산군_붙여넣기'!$A$1:$AZ$1001,ROW(),설정!$C$8)&amp;"","")</f>
        <v/>
      </c>
      <c r="G422">
        <f>IFERROR(INDEX('1.산군_붙여넣기'!$A$1:$AZ$1001,ROW(),설정!$C$9)&amp;"","")</f>
        <v/>
      </c>
      <c r="H422">
        <f>IFERROR(INDEX('1.산군_붙여넣기'!$A$1:$AZ$1001,ROW(),설정!$C$10)&amp;"","")</f>
        <v/>
      </c>
      <c r="I422">
        <f>IFERROR(INDEX('1.산군_붙여넣기'!$A$1:$AZ$1001,ROW(),설정!$C$11)&amp;"","")</f>
        <v/>
      </c>
      <c r="J422">
        <f>IFERROR(INDEX('1.산군_붙여넣기'!$A$1:$AZ$1001,ROW(),설정!$C$12)&amp;"","")</f>
        <v/>
      </c>
      <c r="K422">
        <f>IFERROR(INDEX('1.산군_붙여넣기'!$A$1:$AZ$1001,ROW(),설정!$C$13)&amp;"","")</f>
        <v/>
      </c>
      <c r="L422" s="6">
        <f>IF(X422="","",IF(AND(LEN(X422)=8,ISNUMBER(X422*1)),DATE(LEFT(X422,4),MID(X422,5,2),RIGHT(X422,2)),IFERROR(DATEVALUE(SUBSTITUTE(SUBSTITUTE(X422,".","-"),"/","-")),IFERROR(X422*1,""))))</f>
        <v/>
      </c>
      <c r="M422" s="6">
        <f>IF(Y422="","",IF(AND(LEN(Y422)=8,ISNUMBER(Y422*1)),DATE(LEFT(Y422,4),MID(Y422,5,2),RIGHT(Y422,2)),IFERROR(DATEVALUE(SUBSTITUTE(SUBSTITUTE(Y422,".","-"),"/","-")),IFERROR(Y422*1,""))))</f>
        <v/>
      </c>
      <c r="N422">
        <f>IFERROR(LEFT(B422,FIND(" ",B422)-1),B422)</f>
        <v/>
      </c>
      <c r="O422">
        <f>AND(B422&lt;&gt;"",B422&lt;&gt;설정!$B$4,C422&lt;&gt;설정!$B$5)</f>
        <v/>
      </c>
      <c r="P422">
        <f>IF(O422,B422&amp;"|"&amp;C422,"")</f>
        <v/>
      </c>
      <c r="Q422">
        <f>AND(O422,COUNTIF(P423:P$1002,P422)=0)</f>
        <v/>
      </c>
      <c r="R422">
        <f>OR(AND(설정!$A$28&lt;&gt;"",ISNUMBER(SEARCH(설정!$A$28,E422&amp;" "&amp;C422))),AND(설정!$A$29&lt;&gt;"",ISNUMBER(SEARCH(설정!$A$29,E422&amp;" "&amp;C422))),AND(설정!$A$30&lt;&gt;"",ISNUMBER(SEARCH(설정!$A$30,E422&amp;" "&amp;C422))),AND(설정!$A$31&lt;&gt;"",ISNUMBER(SEARCH(설정!$A$31,E422&amp;" "&amp;C422))),AND(설정!$A$32&lt;&gt;"",ISNUMBER(SEARCH(설정!$A$32,E422&amp;" "&amp;C422))),AND(설정!$A$33&lt;&gt;"",ISNUMBER(SEARCH(설정!$A$33,E422&amp;" "&amp;C422))),AND(설정!$A$34&lt;&gt;"",ISNUMBER(SEARCH(설정!$A$34,E422&amp;" "&amp;C422))),AND(설정!$A$35&lt;&gt;"",ISNUMBER(SEARCH(설정!$A$35,E422&amp;" "&amp;C422))),AND(설정!$A$36&lt;&gt;"",ISNUMBER(SEARCH(설정!$A$36,E422&amp;" "&amp;C422))),AND(설정!$A$37&lt;&gt;"",ISNUMBER(SEARCH(설정!$A$37,E422&amp;" "&amp;C422))))</f>
        <v/>
      </c>
      <c r="S422">
        <f>OR(D422="",D422&gt;=설정!$B$19)</f>
        <v/>
      </c>
      <c r="T422">
        <f>AND(Q422,R422,S422)</f>
        <v/>
      </c>
      <c r="U422">
        <f>IF(T422,IF(AND(설정!$A$41&lt;&gt;"",ISNUMBER(SEARCH(설정!$A$41,K422))),설정!$B$41,IF(AND(설정!$A$42&lt;&gt;"",ISNUMBER(SEARCH(설정!$A$42,K422))),설정!$B$42,IF(AND(설정!$A$43&lt;&gt;"",ISNUMBER(SEARCH(설정!$A$43,K422))),설정!$B$43,IF(AND(설정!$A$44&lt;&gt;"",ISNUMBER(SEARCH(설정!$A$44,K422))),설정!$B$44,IF(AND(설정!$A$45&lt;&gt;"",ISNUMBER(SEARCH(설정!$A$45,K422))),설정!$B$45,IF(AND(설정!$A$46&lt;&gt;"",ISNUMBER(SEARCH(설정!$A$46,K422))),설정!$B$46,IF(AND(설정!$A$47&lt;&gt;"",ISNUMBER(SEARCH(설정!$A$47,K422))),설정!$B$47,IF(AND(설정!$A$48&lt;&gt;"",ISNUMBER(SEARCH(설정!$A$48,K422))),설정!$B$48,IF(M422="","설계사","시공사"))))))))),"")</f>
        <v/>
      </c>
      <c r="V422">
        <f>SUBSTITUTE(SUBSTITUTE(SUBSTITUTE(SUBSTITUTE(G422,"(주)",""),"㈜",""),"주식회사","")," ","")</f>
        <v/>
      </c>
      <c r="W422">
        <f>IF(AND(T422,V422&lt;&gt;""),IF(COUNTIFS(V$2:V422,V422,T$2:T422,TRUE)=1,MAX(W$1:W421)+1,""),"")</f>
        <v/>
      </c>
      <c r="X422">
        <f>IFERROR(INDEX('1.산군_붙여넣기'!$A$1:$AZ$1001,ROW(),설정!$C$14)&amp;"","")</f>
        <v/>
      </c>
      <c r="Y422">
        <f>IFERROR(INDEX('1.산군_붙여넣기'!$A$1:$AZ$1001,ROW(),설정!$C$15)&amp;"","")</f>
        <v/>
      </c>
      <c r="Z422">
        <f>IF(T422,V422&amp;"|"&amp;U422,"")</f>
        <v/>
      </c>
    </row>
    <row r="423">
      <c r="A423">
        <f>ROW()</f>
        <v/>
      </c>
      <c r="B423">
        <f>IFERROR(INDEX('1.산군_붙여넣기'!$A$1:$AZ$1001,ROW(),설정!$C$4)&amp;"","")</f>
        <v/>
      </c>
      <c r="C423">
        <f>IFERROR(INDEX('1.산군_붙여넣기'!$A$1:$AZ$1001,ROW(),설정!$C$5)&amp;"","")</f>
        <v/>
      </c>
      <c r="D423" s="5">
        <f>IFERROR(VALUE(SUBSTITUTE(SUBSTITUTE(SUBSTITUTE(IFERROR(INDEX('1.산군_붙여넣기'!$A$1:$AZ$1001,ROW(),설정!$C$6)&amp;"",""),",",""),"㎡",""),"m2","")),"")</f>
        <v/>
      </c>
      <c r="E423">
        <f>IFERROR(INDEX('1.산군_붙여넣기'!$A$1:$AZ$1001,ROW(),설정!$C$7)&amp;"","")</f>
        <v/>
      </c>
      <c r="F423">
        <f>IFERROR(INDEX('1.산군_붙여넣기'!$A$1:$AZ$1001,ROW(),설정!$C$8)&amp;"","")</f>
        <v/>
      </c>
      <c r="G423">
        <f>IFERROR(INDEX('1.산군_붙여넣기'!$A$1:$AZ$1001,ROW(),설정!$C$9)&amp;"","")</f>
        <v/>
      </c>
      <c r="H423">
        <f>IFERROR(INDEX('1.산군_붙여넣기'!$A$1:$AZ$1001,ROW(),설정!$C$10)&amp;"","")</f>
        <v/>
      </c>
      <c r="I423">
        <f>IFERROR(INDEX('1.산군_붙여넣기'!$A$1:$AZ$1001,ROW(),설정!$C$11)&amp;"","")</f>
        <v/>
      </c>
      <c r="J423">
        <f>IFERROR(INDEX('1.산군_붙여넣기'!$A$1:$AZ$1001,ROW(),설정!$C$12)&amp;"","")</f>
        <v/>
      </c>
      <c r="K423">
        <f>IFERROR(INDEX('1.산군_붙여넣기'!$A$1:$AZ$1001,ROW(),설정!$C$13)&amp;"","")</f>
        <v/>
      </c>
      <c r="L423" s="6">
        <f>IF(X423="","",IF(AND(LEN(X423)=8,ISNUMBER(X423*1)),DATE(LEFT(X423,4),MID(X423,5,2),RIGHT(X423,2)),IFERROR(DATEVALUE(SUBSTITUTE(SUBSTITUTE(X423,".","-"),"/","-")),IFERROR(X423*1,""))))</f>
        <v/>
      </c>
      <c r="M423" s="6">
        <f>IF(Y423="","",IF(AND(LEN(Y423)=8,ISNUMBER(Y423*1)),DATE(LEFT(Y423,4),MID(Y423,5,2),RIGHT(Y423,2)),IFERROR(DATEVALUE(SUBSTITUTE(SUBSTITUTE(Y423,".","-"),"/","-")),IFERROR(Y423*1,""))))</f>
        <v/>
      </c>
      <c r="N423">
        <f>IFERROR(LEFT(B423,FIND(" ",B423)-1),B423)</f>
        <v/>
      </c>
      <c r="O423">
        <f>AND(B423&lt;&gt;"",B423&lt;&gt;설정!$B$4,C423&lt;&gt;설정!$B$5)</f>
        <v/>
      </c>
      <c r="P423">
        <f>IF(O423,B423&amp;"|"&amp;C423,"")</f>
        <v/>
      </c>
      <c r="Q423">
        <f>AND(O423,COUNTIF(P424:P$1002,P423)=0)</f>
        <v/>
      </c>
      <c r="R423">
        <f>OR(AND(설정!$A$28&lt;&gt;"",ISNUMBER(SEARCH(설정!$A$28,E423&amp;" "&amp;C423))),AND(설정!$A$29&lt;&gt;"",ISNUMBER(SEARCH(설정!$A$29,E423&amp;" "&amp;C423))),AND(설정!$A$30&lt;&gt;"",ISNUMBER(SEARCH(설정!$A$30,E423&amp;" "&amp;C423))),AND(설정!$A$31&lt;&gt;"",ISNUMBER(SEARCH(설정!$A$31,E423&amp;" "&amp;C423))),AND(설정!$A$32&lt;&gt;"",ISNUMBER(SEARCH(설정!$A$32,E423&amp;" "&amp;C423))),AND(설정!$A$33&lt;&gt;"",ISNUMBER(SEARCH(설정!$A$33,E423&amp;" "&amp;C423))),AND(설정!$A$34&lt;&gt;"",ISNUMBER(SEARCH(설정!$A$34,E423&amp;" "&amp;C423))),AND(설정!$A$35&lt;&gt;"",ISNUMBER(SEARCH(설정!$A$35,E423&amp;" "&amp;C423))),AND(설정!$A$36&lt;&gt;"",ISNUMBER(SEARCH(설정!$A$36,E423&amp;" "&amp;C423))),AND(설정!$A$37&lt;&gt;"",ISNUMBER(SEARCH(설정!$A$37,E423&amp;" "&amp;C423))))</f>
        <v/>
      </c>
      <c r="S423">
        <f>OR(D423="",D423&gt;=설정!$B$19)</f>
        <v/>
      </c>
      <c r="T423">
        <f>AND(Q423,R423,S423)</f>
        <v/>
      </c>
      <c r="U423">
        <f>IF(T423,IF(AND(설정!$A$41&lt;&gt;"",ISNUMBER(SEARCH(설정!$A$41,K423))),설정!$B$41,IF(AND(설정!$A$42&lt;&gt;"",ISNUMBER(SEARCH(설정!$A$42,K423))),설정!$B$42,IF(AND(설정!$A$43&lt;&gt;"",ISNUMBER(SEARCH(설정!$A$43,K423))),설정!$B$43,IF(AND(설정!$A$44&lt;&gt;"",ISNUMBER(SEARCH(설정!$A$44,K423))),설정!$B$44,IF(AND(설정!$A$45&lt;&gt;"",ISNUMBER(SEARCH(설정!$A$45,K423))),설정!$B$45,IF(AND(설정!$A$46&lt;&gt;"",ISNUMBER(SEARCH(설정!$A$46,K423))),설정!$B$46,IF(AND(설정!$A$47&lt;&gt;"",ISNUMBER(SEARCH(설정!$A$47,K423))),설정!$B$47,IF(AND(설정!$A$48&lt;&gt;"",ISNUMBER(SEARCH(설정!$A$48,K423))),설정!$B$48,IF(M423="","설계사","시공사"))))))))),"")</f>
        <v/>
      </c>
      <c r="V423">
        <f>SUBSTITUTE(SUBSTITUTE(SUBSTITUTE(SUBSTITUTE(G423,"(주)",""),"㈜",""),"주식회사","")," ","")</f>
        <v/>
      </c>
      <c r="W423">
        <f>IF(AND(T423,V423&lt;&gt;""),IF(COUNTIFS(V$2:V423,V423,T$2:T423,TRUE)=1,MAX(W$1:W422)+1,""),"")</f>
        <v/>
      </c>
      <c r="X423">
        <f>IFERROR(INDEX('1.산군_붙여넣기'!$A$1:$AZ$1001,ROW(),설정!$C$14)&amp;"","")</f>
        <v/>
      </c>
      <c r="Y423">
        <f>IFERROR(INDEX('1.산군_붙여넣기'!$A$1:$AZ$1001,ROW(),설정!$C$15)&amp;"","")</f>
        <v/>
      </c>
      <c r="Z423">
        <f>IF(T423,V423&amp;"|"&amp;U423,"")</f>
        <v/>
      </c>
    </row>
    <row r="424">
      <c r="A424">
        <f>ROW()</f>
        <v/>
      </c>
      <c r="B424">
        <f>IFERROR(INDEX('1.산군_붙여넣기'!$A$1:$AZ$1001,ROW(),설정!$C$4)&amp;"","")</f>
        <v/>
      </c>
      <c r="C424">
        <f>IFERROR(INDEX('1.산군_붙여넣기'!$A$1:$AZ$1001,ROW(),설정!$C$5)&amp;"","")</f>
        <v/>
      </c>
      <c r="D424" s="5">
        <f>IFERROR(VALUE(SUBSTITUTE(SUBSTITUTE(SUBSTITUTE(IFERROR(INDEX('1.산군_붙여넣기'!$A$1:$AZ$1001,ROW(),설정!$C$6)&amp;"",""),",",""),"㎡",""),"m2","")),"")</f>
        <v/>
      </c>
      <c r="E424">
        <f>IFERROR(INDEX('1.산군_붙여넣기'!$A$1:$AZ$1001,ROW(),설정!$C$7)&amp;"","")</f>
        <v/>
      </c>
      <c r="F424">
        <f>IFERROR(INDEX('1.산군_붙여넣기'!$A$1:$AZ$1001,ROW(),설정!$C$8)&amp;"","")</f>
        <v/>
      </c>
      <c r="G424">
        <f>IFERROR(INDEX('1.산군_붙여넣기'!$A$1:$AZ$1001,ROW(),설정!$C$9)&amp;"","")</f>
        <v/>
      </c>
      <c r="H424">
        <f>IFERROR(INDEX('1.산군_붙여넣기'!$A$1:$AZ$1001,ROW(),설정!$C$10)&amp;"","")</f>
        <v/>
      </c>
      <c r="I424">
        <f>IFERROR(INDEX('1.산군_붙여넣기'!$A$1:$AZ$1001,ROW(),설정!$C$11)&amp;"","")</f>
        <v/>
      </c>
      <c r="J424">
        <f>IFERROR(INDEX('1.산군_붙여넣기'!$A$1:$AZ$1001,ROW(),설정!$C$12)&amp;"","")</f>
        <v/>
      </c>
      <c r="K424">
        <f>IFERROR(INDEX('1.산군_붙여넣기'!$A$1:$AZ$1001,ROW(),설정!$C$13)&amp;"","")</f>
        <v/>
      </c>
      <c r="L424" s="6">
        <f>IF(X424="","",IF(AND(LEN(X424)=8,ISNUMBER(X424*1)),DATE(LEFT(X424,4),MID(X424,5,2),RIGHT(X424,2)),IFERROR(DATEVALUE(SUBSTITUTE(SUBSTITUTE(X424,".","-"),"/","-")),IFERROR(X424*1,""))))</f>
        <v/>
      </c>
      <c r="M424" s="6">
        <f>IF(Y424="","",IF(AND(LEN(Y424)=8,ISNUMBER(Y424*1)),DATE(LEFT(Y424,4),MID(Y424,5,2),RIGHT(Y424,2)),IFERROR(DATEVALUE(SUBSTITUTE(SUBSTITUTE(Y424,".","-"),"/","-")),IFERROR(Y424*1,""))))</f>
        <v/>
      </c>
      <c r="N424">
        <f>IFERROR(LEFT(B424,FIND(" ",B424)-1),B424)</f>
        <v/>
      </c>
      <c r="O424">
        <f>AND(B424&lt;&gt;"",B424&lt;&gt;설정!$B$4,C424&lt;&gt;설정!$B$5)</f>
        <v/>
      </c>
      <c r="P424">
        <f>IF(O424,B424&amp;"|"&amp;C424,"")</f>
        <v/>
      </c>
      <c r="Q424">
        <f>AND(O424,COUNTIF(P425:P$1002,P424)=0)</f>
        <v/>
      </c>
      <c r="R424">
        <f>OR(AND(설정!$A$28&lt;&gt;"",ISNUMBER(SEARCH(설정!$A$28,E424&amp;" "&amp;C424))),AND(설정!$A$29&lt;&gt;"",ISNUMBER(SEARCH(설정!$A$29,E424&amp;" "&amp;C424))),AND(설정!$A$30&lt;&gt;"",ISNUMBER(SEARCH(설정!$A$30,E424&amp;" "&amp;C424))),AND(설정!$A$31&lt;&gt;"",ISNUMBER(SEARCH(설정!$A$31,E424&amp;" "&amp;C424))),AND(설정!$A$32&lt;&gt;"",ISNUMBER(SEARCH(설정!$A$32,E424&amp;" "&amp;C424))),AND(설정!$A$33&lt;&gt;"",ISNUMBER(SEARCH(설정!$A$33,E424&amp;" "&amp;C424))),AND(설정!$A$34&lt;&gt;"",ISNUMBER(SEARCH(설정!$A$34,E424&amp;" "&amp;C424))),AND(설정!$A$35&lt;&gt;"",ISNUMBER(SEARCH(설정!$A$35,E424&amp;" "&amp;C424))),AND(설정!$A$36&lt;&gt;"",ISNUMBER(SEARCH(설정!$A$36,E424&amp;" "&amp;C424))),AND(설정!$A$37&lt;&gt;"",ISNUMBER(SEARCH(설정!$A$37,E424&amp;" "&amp;C424))))</f>
        <v/>
      </c>
      <c r="S424">
        <f>OR(D424="",D424&gt;=설정!$B$19)</f>
        <v/>
      </c>
      <c r="T424">
        <f>AND(Q424,R424,S424)</f>
        <v/>
      </c>
      <c r="U424">
        <f>IF(T424,IF(AND(설정!$A$41&lt;&gt;"",ISNUMBER(SEARCH(설정!$A$41,K424))),설정!$B$41,IF(AND(설정!$A$42&lt;&gt;"",ISNUMBER(SEARCH(설정!$A$42,K424))),설정!$B$42,IF(AND(설정!$A$43&lt;&gt;"",ISNUMBER(SEARCH(설정!$A$43,K424))),설정!$B$43,IF(AND(설정!$A$44&lt;&gt;"",ISNUMBER(SEARCH(설정!$A$44,K424))),설정!$B$44,IF(AND(설정!$A$45&lt;&gt;"",ISNUMBER(SEARCH(설정!$A$45,K424))),설정!$B$45,IF(AND(설정!$A$46&lt;&gt;"",ISNUMBER(SEARCH(설정!$A$46,K424))),설정!$B$46,IF(AND(설정!$A$47&lt;&gt;"",ISNUMBER(SEARCH(설정!$A$47,K424))),설정!$B$47,IF(AND(설정!$A$48&lt;&gt;"",ISNUMBER(SEARCH(설정!$A$48,K424))),설정!$B$48,IF(M424="","설계사","시공사"))))))))),"")</f>
        <v/>
      </c>
      <c r="V424">
        <f>SUBSTITUTE(SUBSTITUTE(SUBSTITUTE(SUBSTITUTE(G424,"(주)",""),"㈜",""),"주식회사","")," ","")</f>
        <v/>
      </c>
      <c r="W424">
        <f>IF(AND(T424,V424&lt;&gt;""),IF(COUNTIFS(V$2:V424,V424,T$2:T424,TRUE)=1,MAX(W$1:W423)+1,""),"")</f>
        <v/>
      </c>
      <c r="X424">
        <f>IFERROR(INDEX('1.산군_붙여넣기'!$A$1:$AZ$1001,ROW(),설정!$C$14)&amp;"","")</f>
        <v/>
      </c>
      <c r="Y424">
        <f>IFERROR(INDEX('1.산군_붙여넣기'!$A$1:$AZ$1001,ROW(),설정!$C$15)&amp;"","")</f>
        <v/>
      </c>
      <c r="Z424">
        <f>IF(T424,V424&amp;"|"&amp;U424,"")</f>
        <v/>
      </c>
    </row>
    <row r="425">
      <c r="A425">
        <f>ROW()</f>
        <v/>
      </c>
      <c r="B425">
        <f>IFERROR(INDEX('1.산군_붙여넣기'!$A$1:$AZ$1001,ROW(),설정!$C$4)&amp;"","")</f>
        <v/>
      </c>
      <c r="C425">
        <f>IFERROR(INDEX('1.산군_붙여넣기'!$A$1:$AZ$1001,ROW(),설정!$C$5)&amp;"","")</f>
        <v/>
      </c>
      <c r="D425" s="5">
        <f>IFERROR(VALUE(SUBSTITUTE(SUBSTITUTE(SUBSTITUTE(IFERROR(INDEX('1.산군_붙여넣기'!$A$1:$AZ$1001,ROW(),설정!$C$6)&amp;"",""),",",""),"㎡",""),"m2","")),"")</f>
        <v/>
      </c>
      <c r="E425">
        <f>IFERROR(INDEX('1.산군_붙여넣기'!$A$1:$AZ$1001,ROW(),설정!$C$7)&amp;"","")</f>
        <v/>
      </c>
      <c r="F425">
        <f>IFERROR(INDEX('1.산군_붙여넣기'!$A$1:$AZ$1001,ROW(),설정!$C$8)&amp;"","")</f>
        <v/>
      </c>
      <c r="G425">
        <f>IFERROR(INDEX('1.산군_붙여넣기'!$A$1:$AZ$1001,ROW(),설정!$C$9)&amp;"","")</f>
        <v/>
      </c>
      <c r="H425">
        <f>IFERROR(INDEX('1.산군_붙여넣기'!$A$1:$AZ$1001,ROW(),설정!$C$10)&amp;"","")</f>
        <v/>
      </c>
      <c r="I425">
        <f>IFERROR(INDEX('1.산군_붙여넣기'!$A$1:$AZ$1001,ROW(),설정!$C$11)&amp;"","")</f>
        <v/>
      </c>
      <c r="J425">
        <f>IFERROR(INDEX('1.산군_붙여넣기'!$A$1:$AZ$1001,ROW(),설정!$C$12)&amp;"","")</f>
        <v/>
      </c>
      <c r="K425">
        <f>IFERROR(INDEX('1.산군_붙여넣기'!$A$1:$AZ$1001,ROW(),설정!$C$13)&amp;"","")</f>
        <v/>
      </c>
      <c r="L425" s="6">
        <f>IF(X425="","",IF(AND(LEN(X425)=8,ISNUMBER(X425*1)),DATE(LEFT(X425,4),MID(X425,5,2),RIGHT(X425,2)),IFERROR(DATEVALUE(SUBSTITUTE(SUBSTITUTE(X425,".","-"),"/","-")),IFERROR(X425*1,""))))</f>
        <v/>
      </c>
      <c r="M425" s="6">
        <f>IF(Y425="","",IF(AND(LEN(Y425)=8,ISNUMBER(Y425*1)),DATE(LEFT(Y425,4),MID(Y425,5,2),RIGHT(Y425,2)),IFERROR(DATEVALUE(SUBSTITUTE(SUBSTITUTE(Y425,".","-"),"/","-")),IFERROR(Y425*1,""))))</f>
        <v/>
      </c>
      <c r="N425">
        <f>IFERROR(LEFT(B425,FIND(" ",B425)-1),B425)</f>
        <v/>
      </c>
      <c r="O425">
        <f>AND(B425&lt;&gt;"",B425&lt;&gt;설정!$B$4,C425&lt;&gt;설정!$B$5)</f>
        <v/>
      </c>
      <c r="P425">
        <f>IF(O425,B425&amp;"|"&amp;C425,"")</f>
        <v/>
      </c>
      <c r="Q425">
        <f>AND(O425,COUNTIF(P426:P$1002,P425)=0)</f>
        <v/>
      </c>
      <c r="R425">
        <f>OR(AND(설정!$A$28&lt;&gt;"",ISNUMBER(SEARCH(설정!$A$28,E425&amp;" "&amp;C425))),AND(설정!$A$29&lt;&gt;"",ISNUMBER(SEARCH(설정!$A$29,E425&amp;" "&amp;C425))),AND(설정!$A$30&lt;&gt;"",ISNUMBER(SEARCH(설정!$A$30,E425&amp;" "&amp;C425))),AND(설정!$A$31&lt;&gt;"",ISNUMBER(SEARCH(설정!$A$31,E425&amp;" "&amp;C425))),AND(설정!$A$32&lt;&gt;"",ISNUMBER(SEARCH(설정!$A$32,E425&amp;" "&amp;C425))),AND(설정!$A$33&lt;&gt;"",ISNUMBER(SEARCH(설정!$A$33,E425&amp;" "&amp;C425))),AND(설정!$A$34&lt;&gt;"",ISNUMBER(SEARCH(설정!$A$34,E425&amp;" "&amp;C425))),AND(설정!$A$35&lt;&gt;"",ISNUMBER(SEARCH(설정!$A$35,E425&amp;" "&amp;C425))),AND(설정!$A$36&lt;&gt;"",ISNUMBER(SEARCH(설정!$A$36,E425&amp;" "&amp;C425))),AND(설정!$A$37&lt;&gt;"",ISNUMBER(SEARCH(설정!$A$37,E425&amp;" "&amp;C425))))</f>
        <v/>
      </c>
      <c r="S425">
        <f>OR(D425="",D425&gt;=설정!$B$19)</f>
        <v/>
      </c>
      <c r="T425">
        <f>AND(Q425,R425,S425)</f>
        <v/>
      </c>
      <c r="U425">
        <f>IF(T425,IF(AND(설정!$A$41&lt;&gt;"",ISNUMBER(SEARCH(설정!$A$41,K425))),설정!$B$41,IF(AND(설정!$A$42&lt;&gt;"",ISNUMBER(SEARCH(설정!$A$42,K425))),설정!$B$42,IF(AND(설정!$A$43&lt;&gt;"",ISNUMBER(SEARCH(설정!$A$43,K425))),설정!$B$43,IF(AND(설정!$A$44&lt;&gt;"",ISNUMBER(SEARCH(설정!$A$44,K425))),설정!$B$44,IF(AND(설정!$A$45&lt;&gt;"",ISNUMBER(SEARCH(설정!$A$45,K425))),설정!$B$45,IF(AND(설정!$A$46&lt;&gt;"",ISNUMBER(SEARCH(설정!$A$46,K425))),설정!$B$46,IF(AND(설정!$A$47&lt;&gt;"",ISNUMBER(SEARCH(설정!$A$47,K425))),설정!$B$47,IF(AND(설정!$A$48&lt;&gt;"",ISNUMBER(SEARCH(설정!$A$48,K425))),설정!$B$48,IF(M425="","설계사","시공사"))))))))),"")</f>
        <v/>
      </c>
      <c r="V425">
        <f>SUBSTITUTE(SUBSTITUTE(SUBSTITUTE(SUBSTITUTE(G425,"(주)",""),"㈜",""),"주식회사","")," ","")</f>
        <v/>
      </c>
      <c r="W425">
        <f>IF(AND(T425,V425&lt;&gt;""),IF(COUNTIFS(V$2:V425,V425,T$2:T425,TRUE)=1,MAX(W$1:W424)+1,""),"")</f>
        <v/>
      </c>
      <c r="X425">
        <f>IFERROR(INDEX('1.산군_붙여넣기'!$A$1:$AZ$1001,ROW(),설정!$C$14)&amp;"","")</f>
        <v/>
      </c>
      <c r="Y425">
        <f>IFERROR(INDEX('1.산군_붙여넣기'!$A$1:$AZ$1001,ROW(),설정!$C$15)&amp;"","")</f>
        <v/>
      </c>
      <c r="Z425">
        <f>IF(T425,V425&amp;"|"&amp;U425,"")</f>
        <v/>
      </c>
    </row>
    <row r="426">
      <c r="A426">
        <f>ROW()</f>
        <v/>
      </c>
      <c r="B426">
        <f>IFERROR(INDEX('1.산군_붙여넣기'!$A$1:$AZ$1001,ROW(),설정!$C$4)&amp;"","")</f>
        <v/>
      </c>
      <c r="C426">
        <f>IFERROR(INDEX('1.산군_붙여넣기'!$A$1:$AZ$1001,ROW(),설정!$C$5)&amp;"","")</f>
        <v/>
      </c>
      <c r="D426" s="5">
        <f>IFERROR(VALUE(SUBSTITUTE(SUBSTITUTE(SUBSTITUTE(IFERROR(INDEX('1.산군_붙여넣기'!$A$1:$AZ$1001,ROW(),설정!$C$6)&amp;"",""),",",""),"㎡",""),"m2","")),"")</f>
        <v/>
      </c>
      <c r="E426">
        <f>IFERROR(INDEX('1.산군_붙여넣기'!$A$1:$AZ$1001,ROW(),설정!$C$7)&amp;"","")</f>
        <v/>
      </c>
      <c r="F426">
        <f>IFERROR(INDEX('1.산군_붙여넣기'!$A$1:$AZ$1001,ROW(),설정!$C$8)&amp;"","")</f>
        <v/>
      </c>
      <c r="G426">
        <f>IFERROR(INDEX('1.산군_붙여넣기'!$A$1:$AZ$1001,ROW(),설정!$C$9)&amp;"","")</f>
        <v/>
      </c>
      <c r="H426">
        <f>IFERROR(INDEX('1.산군_붙여넣기'!$A$1:$AZ$1001,ROW(),설정!$C$10)&amp;"","")</f>
        <v/>
      </c>
      <c r="I426">
        <f>IFERROR(INDEX('1.산군_붙여넣기'!$A$1:$AZ$1001,ROW(),설정!$C$11)&amp;"","")</f>
        <v/>
      </c>
      <c r="J426">
        <f>IFERROR(INDEX('1.산군_붙여넣기'!$A$1:$AZ$1001,ROW(),설정!$C$12)&amp;"","")</f>
        <v/>
      </c>
      <c r="K426">
        <f>IFERROR(INDEX('1.산군_붙여넣기'!$A$1:$AZ$1001,ROW(),설정!$C$13)&amp;"","")</f>
        <v/>
      </c>
      <c r="L426" s="6">
        <f>IF(X426="","",IF(AND(LEN(X426)=8,ISNUMBER(X426*1)),DATE(LEFT(X426,4),MID(X426,5,2),RIGHT(X426,2)),IFERROR(DATEVALUE(SUBSTITUTE(SUBSTITUTE(X426,".","-"),"/","-")),IFERROR(X426*1,""))))</f>
        <v/>
      </c>
      <c r="M426" s="6">
        <f>IF(Y426="","",IF(AND(LEN(Y426)=8,ISNUMBER(Y426*1)),DATE(LEFT(Y426,4),MID(Y426,5,2),RIGHT(Y426,2)),IFERROR(DATEVALUE(SUBSTITUTE(SUBSTITUTE(Y426,".","-"),"/","-")),IFERROR(Y426*1,""))))</f>
        <v/>
      </c>
      <c r="N426">
        <f>IFERROR(LEFT(B426,FIND(" ",B426)-1),B426)</f>
        <v/>
      </c>
      <c r="O426">
        <f>AND(B426&lt;&gt;"",B426&lt;&gt;설정!$B$4,C426&lt;&gt;설정!$B$5)</f>
        <v/>
      </c>
      <c r="P426">
        <f>IF(O426,B426&amp;"|"&amp;C426,"")</f>
        <v/>
      </c>
      <c r="Q426">
        <f>AND(O426,COUNTIF(P427:P$1002,P426)=0)</f>
        <v/>
      </c>
      <c r="R426">
        <f>OR(AND(설정!$A$28&lt;&gt;"",ISNUMBER(SEARCH(설정!$A$28,E426&amp;" "&amp;C426))),AND(설정!$A$29&lt;&gt;"",ISNUMBER(SEARCH(설정!$A$29,E426&amp;" "&amp;C426))),AND(설정!$A$30&lt;&gt;"",ISNUMBER(SEARCH(설정!$A$30,E426&amp;" "&amp;C426))),AND(설정!$A$31&lt;&gt;"",ISNUMBER(SEARCH(설정!$A$31,E426&amp;" "&amp;C426))),AND(설정!$A$32&lt;&gt;"",ISNUMBER(SEARCH(설정!$A$32,E426&amp;" "&amp;C426))),AND(설정!$A$33&lt;&gt;"",ISNUMBER(SEARCH(설정!$A$33,E426&amp;" "&amp;C426))),AND(설정!$A$34&lt;&gt;"",ISNUMBER(SEARCH(설정!$A$34,E426&amp;" "&amp;C426))),AND(설정!$A$35&lt;&gt;"",ISNUMBER(SEARCH(설정!$A$35,E426&amp;" "&amp;C426))),AND(설정!$A$36&lt;&gt;"",ISNUMBER(SEARCH(설정!$A$36,E426&amp;" "&amp;C426))),AND(설정!$A$37&lt;&gt;"",ISNUMBER(SEARCH(설정!$A$37,E426&amp;" "&amp;C426))))</f>
        <v/>
      </c>
      <c r="S426">
        <f>OR(D426="",D426&gt;=설정!$B$19)</f>
        <v/>
      </c>
      <c r="T426">
        <f>AND(Q426,R426,S426)</f>
        <v/>
      </c>
      <c r="U426">
        <f>IF(T426,IF(AND(설정!$A$41&lt;&gt;"",ISNUMBER(SEARCH(설정!$A$41,K426))),설정!$B$41,IF(AND(설정!$A$42&lt;&gt;"",ISNUMBER(SEARCH(설정!$A$42,K426))),설정!$B$42,IF(AND(설정!$A$43&lt;&gt;"",ISNUMBER(SEARCH(설정!$A$43,K426))),설정!$B$43,IF(AND(설정!$A$44&lt;&gt;"",ISNUMBER(SEARCH(설정!$A$44,K426))),설정!$B$44,IF(AND(설정!$A$45&lt;&gt;"",ISNUMBER(SEARCH(설정!$A$45,K426))),설정!$B$45,IF(AND(설정!$A$46&lt;&gt;"",ISNUMBER(SEARCH(설정!$A$46,K426))),설정!$B$46,IF(AND(설정!$A$47&lt;&gt;"",ISNUMBER(SEARCH(설정!$A$47,K426))),설정!$B$47,IF(AND(설정!$A$48&lt;&gt;"",ISNUMBER(SEARCH(설정!$A$48,K426))),설정!$B$48,IF(M426="","설계사","시공사"))))))))),"")</f>
        <v/>
      </c>
      <c r="V426">
        <f>SUBSTITUTE(SUBSTITUTE(SUBSTITUTE(SUBSTITUTE(G426,"(주)",""),"㈜",""),"주식회사","")," ","")</f>
        <v/>
      </c>
      <c r="W426">
        <f>IF(AND(T426,V426&lt;&gt;""),IF(COUNTIFS(V$2:V426,V426,T$2:T426,TRUE)=1,MAX(W$1:W425)+1,""),"")</f>
        <v/>
      </c>
      <c r="X426">
        <f>IFERROR(INDEX('1.산군_붙여넣기'!$A$1:$AZ$1001,ROW(),설정!$C$14)&amp;"","")</f>
        <v/>
      </c>
      <c r="Y426">
        <f>IFERROR(INDEX('1.산군_붙여넣기'!$A$1:$AZ$1001,ROW(),설정!$C$15)&amp;"","")</f>
        <v/>
      </c>
      <c r="Z426">
        <f>IF(T426,V426&amp;"|"&amp;U426,"")</f>
        <v/>
      </c>
    </row>
    <row r="427">
      <c r="A427">
        <f>ROW()</f>
        <v/>
      </c>
      <c r="B427">
        <f>IFERROR(INDEX('1.산군_붙여넣기'!$A$1:$AZ$1001,ROW(),설정!$C$4)&amp;"","")</f>
        <v/>
      </c>
      <c r="C427">
        <f>IFERROR(INDEX('1.산군_붙여넣기'!$A$1:$AZ$1001,ROW(),설정!$C$5)&amp;"","")</f>
        <v/>
      </c>
      <c r="D427" s="5">
        <f>IFERROR(VALUE(SUBSTITUTE(SUBSTITUTE(SUBSTITUTE(IFERROR(INDEX('1.산군_붙여넣기'!$A$1:$AZ$1001,ROW(),설정!$C$6)&amp;"",""),",",""),"㎡",""),"m2","")),"")</f>
        <v/>
      </c>
      <c r="E427">
        <f>IFERROR(INDEX('1.산군_붙여넣기'!$A$1:$AZ$1001,ROW(),설정!$C$7)&amp;"","")</f>
        <v/>
      </c>
      <c r="F427">
        <f>IFERROR(INDEX('1.산군_붙여넣기'!$A$1:$AZ$1001,ROW(),설정!$C$8)&amp;"","")</f>
        <v/>
      </c>
      <c r="G427">
        <f>IFERROR(INDEX('1.산군_붙여넣기'!$A$1:$AZ$1001,ROW(),설정!$C$9)&amp;"","")</f>
        <v/>
      </c>
      <c r="H427">
        <f>IFERROR(INDEX('1.산군_붙여넣기'!$A$1:$AZ$1001,ROW(),설정!$C$10)&amp;"","")</f>
        <v/>
      </c>
      <c r="I427">
        <f>IFERROR(INDEX('1.산군_붙여넣기'!$A$1:$AZ$1001,ROW(),설정!$C$11)&amp;"","")</f>
        <v/>
      </c>
      <c r="J427">
        <f>IFERROR(INDEX('1.산군_붙여넣기'!$A$1:$AZ$1001,ROW(),설정!$C$12)&amp;"","")</f>
        <v/>
      </c>
      <c r="K427">
        <f>IFERROR(INDEX('1.산군_붙여넣기'!$A$1:$AZ$1001,ROW(),설정!$C$13)&amp;"","")</f>
        <v/>
      </c>
      <c r="L427" s="6">
        <f>IF(X427="","",IF(AND(LEN(X427)=8,ISNUMBER(X427*1)),DATE(LEFT(X427,4),MID(X427,5,2),RIGHT(X427,2)),IFERROR(DATEVALUE(SUBSTITUTE(SUBSTITUTE(X427,".","-"),"/","-")),IFERROR(X427*1,""))))</f>
        <v/>
      </c>
      <c r="M427" s="6">
        <f>IF(Y427="","",IF(AND(LEN(Y427)=8,ISNUMBER(Y427*1)),DATE(LEFT(Y427,4),MID(Y427,5,2),RIGHT(Y427,2)),IFERROR(DATEVALUE(SUBSTITUTE(SUBSTITUTE(Y427,".","-"),"/","-")),IFERROR(Y427*1,""))))</f>
        <v/>
      </c>
      <c r="N427">
        <f>IFERROR(LEFT(B427,FIND(" ",B427)-1),B427)</f>
        <v/>
      </c>
      <c r="O427">
        <f>AND(B427&lt;&gt;"",B427&lt;&gt;설정!$B$4,C427&lt;&gt;설정!$B$5)</f>
        <v/>
      </c>
      <c r="P427">
        <f>IF(O427,B427&amp;"|"&amp;C427,"")</f>
        <v/>
      </c>
      <c r="Q427">
        <f>AND(O427,COUNTIF(P428:P$1002,P427)=0)</f>
        <v/>
      </c>
      <c r="R427">
        <f>OR(AND(설정!$A$28&lt;&gt;"",ISNUMBER(SEARCH(설정!$A$28,E427&amp;" "&amp;C427))),AND(설정!$A$29&lt;&gt;"",ISNUMBER(SEARCH(설정!$A$29,E427&amp;" "&amp;C427))),AND(설정!$A$30&lt;&gt;"",ISNUMBER(SEARCH(설정!$A$30,E427&amp;" "&amp;C427))),AND(설정!$A$31&lt;&gt;"",ISNUMBER(SEARCH(설정!$A$31,E427&amp;" "&amp;C427))),AND(설정!$A$32&lt;&gt;"",ISNUMBER(SEARCH(설정!$A$32,E427&amp;" "&amp;C427))),AND(설정!$A$33&lt;&gt;"",ISNUMBER(SEARCH(설정!$A$33,E427&amp;" "&amp;C427))),AND(설정!$A$34&lt;&gt;"",ISNUMBER(SEARCH(설정!$A$34,E427&amp;" "&amp;C427))),AND(설정!$A$35&lt;&gt;"",ISNUMBER(SEARCH(설정!$A$35,E427&amp;" "&amp;C427))),AND(설정!$A$36&lt;&gt;"",ISNUMBER(SEARCH(설정!$A$36,E427&amp;" "&amp;C427))),AND(설정!$A$37&lt;&gt;"",ISNUMBER(SEARCH(설정!$A$37,E427&amp;" "&amp;C427))))</f>
        <v/>
      </c>
      <c r="S427">
        <f>OR(D427="",D427&gt;=설정!$B$19)</f>
        <v/>
      </c>
      <c r="T427">
        <f>AND(Q427,R427,S427)</f>
        <v/>
      </c>
      <c r="U427">
        <f>IF(T427,IF(AND(설정!$A$41&lt;&gt;"",ISNUMBER(SEARCH(설정!$A$41,K427))),설정!$B$41,IF(AND(설정!$A$42&lt;&gt;"",ISNUMBER(SEARCH(설정!$A$42,K427))),설정!$B$42,IF(AND(설정!$A$43&lt;&gt;"",ISNUMBER(SEARCH(설정!$A$43,K427))),설정!$B$43,IF(AND(설정!$A$44&lt;&gt;"",ISNUMBER(SEARCH(설정!$A$44,K427))),설정!$B$44,IF(AND(설정!$A$45&lt;&gt;"",ISNUMBER(SEARCH(설정!$A$45,K427))),설정!$B$45,IF(AND(설정!$A$46&lt;&gt;"",ISNUMBER(SEARCH(설정!$A$46,K427))),설정!$B$46,IF(AND(설정!$A$47&lt;&gt;"",ISNUMBER(SEARCH(설정!$A$47,K427))),설정!$B$47,IF(AND(설정!$A$48&lt;&gt;"",ISNUMBER(SEARCH(설정!$A$48,K427))),설정!$B$48,IF(M427="","설계사","시공사"))))))))),"")</f>
        <v/>
      </c>
      <c r="V427">
        <f>SUBSTITUTE(SUBSTITUTE(SUBSTITUTE(SUBSTITUTE(G427,"(주)",""),"㈜",""),"주식회사","")," ","")</f>
        <v/>
      </c>
      <c r="W427">
        <f>IF(AND(T427,V427&lt;&gt;""),IF(COUNTIFS(V$2:V427,V427,T$2:T427,TRUE)=1,MAX(W$1:W426)+1,""),"")</f>
        <v/>
      </c>
      <c r="X427">
        <f>IFERROR(INDEX('1.산군_붙여넣기'!$A$1:$AZ$1001,ROW(),설정!$C$14)&amp;"","")</f>
        <v/>
      </c>
      <c r="Y427">
        <f>IFERROR(INDEX('1.산군_붙여넣기'!$A$1:$AZ$1001,ROW(),설정!$C$15)&amp;"","")</f>
        <v/>
      </c>
      <c r="Z427">
        <f>IF(T427,V427&amp;"|"&amp;U427,"")</f>
        <v/>
      </c>
    </row>
    <row r="428">
      <c r="A428">
        <f>ROW()</f>
        <v/>
      </c>
      <c r="B428">
        <f>IFERROR(INDEX('1.산군_붙여넣기'!$A$1:$AZ$1001,ROW(),설정!$C$4)&amp;"","")</f>
        <v/>
      </c>
      <c r="C428">
        <f>IFERROR(INDEX('1.산군_붙여넣기'!$A$1:$AZ$1001,ROW(),설정!$C$5)&amp;"","")</f>
        <v/>
      </c>
      <c r="D428" s="5">
        <f>IFERROR(VALUE(SUBSTITUTE(SUBSTITUTE(SUBSTITUTE(IFERROR(INDEX('1.산군_붙여넣기'!$A$1:$AZ$1001,ROW(),설정!$C$6)&amp;"",""),",",""),"㎡",""),"m2","")),"")</f>
        <v/>
      </c>
      <c r="E428">
        <f>IFERROR(INDEX('1.산군_붙여넣기'!$A$1:$AZ$1001,ROW(),설정!$C$7)&amp;"","")</f>
        <v/>
      </c>
      <c r="F428">
        <f>IFERROR(INDEX('1.산군_붙여넣기'!$A$1:$AZ$1001,ROW(),설정!$C$8)&amp;"","")</f>
        <v/>
      </c>
      <c r="G428">
        <f>IFERROR(INDEX('1.산군_붙여넣기'!$A$1:$AZ$1001,ROW(),설정!$C$9)&amp;"","")</f>
        <v/>
      </c>
      <c r="H428">
        <f>IFERROR(INDEX('1.산군_붙여넣기'!$A$1:$AZ$1001,ROW(),설정!$C$10)&amp;"","")</f>
        <v/>
      </c>
      <c r="I428">
        <f>IFERROR(INDEX('1.산군_붙여넣기'!$A$1:$AZ$1001,ROW(),설정!$C$11)&amp;"","")</f>
        <v/>
      </c>
      <c r="J428">
        <f>IFERROR(INDEX('1.산군_붙여넣기'!$A$1:$AZ$1001,ROW(),설정!$C$12)&amp;"","")</f>
        <v/>
      </c>
      <c r="K428">
        <f>IFERROR(INDEX('1.산군_붙여넣기'!$A$1:$AZ$1001,ROW(),설정!$C$13)&amp;"","")</f>
        <v/>
      </c>
      <c r="L428" s="6">
        <f>IF(X428="","",IF(AND(LEN(X428)=8,ISNUMBER(X428*1)),DATE(LEFT(X428,4),MID(X428,5,2),RIGHT(X428,2)),IFERROR(DATEVALUE(SUBSTITUTE(SUBSTITUTE(X428,".","-"),"/","-")),IFERROR(X428*1,""))))</f>
        <v/>
      </c>
      <c r="M428" s="6">
        <f>IF(Y428="","",IF(AND(LEN(Y428)=8,ISNUMBER(Y428*1)),DATE(LEFT(Y428,4),MID(Y428,5,2),RIGHT(Y428,2)),IFERROR(DATEVALUE(SUBSTITUTE(SUBSTITUTE(Y428,".","-"),"/","-")),IFERROR(Y428*1,""))))</f>
        <v/>
      </c>
      <c r="N428">
        <f>IFERROR(LEFT(B428,FIND(" ",B428)-1),B428)</f>
        <v/>
      </c>
      <c r="O428">
        <f>AND(B428&lt;&gt;"",B428&lt;&gt;설정!$B$4,C428&lt;&gt;설정!$B$5)</f>
        <v/>
      </c>
      <c r="P428">
        <f>IF(O428,B428&amp;"|"&amp;C428,"")</f>
        <v/>
      </c>
      <c r="Q428">
        <f>AND(O428,COUNTIF(P429:P$1002,P428)=0)</f>
        <v/>
      </c>
      <c r="R428">
        <f>OR(AND(설정!$A$28&lt;&gt;"",ISNUMBER(SEARCH(설정!$A$28,E428&amp;" "&amp;C428))),AND(설정!$A$29&lt;&gt;"",ISNUMBER(SEARCH(설정!$A$29,E428&amp;" "&amp;C428))),AND(설정!$A$30&lt;&gt;"",ISNUMBER(SEARCH(설정!$A$30,E428&amp;" "&amp;C428))),AND(설정!$A$31&lt;&gt;"",ISNUMBER(SEARCH(설정!$A$31,E428&amp;" "&amp;C428))),AND(설정!$A$32&lt;&gt;"",ISNUMBER(SEARCH(설정!$A$32,E428&amp;" "&amp;C428))),AND(설정!$A$33&lt;&gt;"",ISNUMBER(SEARCH(설정!$A$33,E428&amp;" "&amp;C428))),AND(설정!$A$34&lt;&gt;"",ISNUMBER(SEARCH(설정!$A$34,E428&amp;" "&amp;C428))),AND(설정!$A$35&lt;&gt;"",ISNUMBER(SEARCH(설정!$A$35,E428&amp;" "&amp;C428))),AND(설정!$A$36&lt;&gt;"",ISNUMBER(SEARCH(설정!$A$36,E428&amp;" "&amp;C428))),AND(설정!$A$37&lt;&gt;"",ISNUMBER(SEARCH(설정!$A$37,E428&amp;" "&amp;C428))))</f>
        <v/>
      </c>
      <c r="S428">
        <f>OR(D428="",D428&gt;=설정!$B$19)</f>
        <v/>
      </c>
      <c r="T428">
        <f>AND(Q428,R428,S428)</f>
        <v/>
      </c>
      <c r="U428">
        <f>IF(T428,IF(AND(설정!$A$41&lt;&gt;"",ISNUMBER(SEARCH(설정!$A$41,K428))),설정!$B$41,IF(AND(설정!$A$42&lt;&gt;"",ISNUMBER(SEARCH(설정!$A$42,K428))),설정!$B$42,IF(AND(설정!$A$43&lt;&gt;"",ISNUMBER(SEARCH(설정!$A$43,K428))),설정!$B$43,IF(AND(설정!$A$44&lt;&gt;"",ISNUMBER(SEARCH(설정!$A$44,K428))),설정!$B$44,IF(AND(설정!$A$45&lt;&gt;"",ISNUMBER(SEARCH(설정!$A$45,K428))),설정!$B$45,IF(AND(설정!$A$46&lt;&gt;"",ISNUMBER(SEARCH(설정!$A$46,K428))),설정!$B$46,IF(AND(설정!$A$47&lt;&gt;"",ISNUMBER(SEARCH(설정!$A$47,K428))),설정!$B$47,IF(AND(설정!$A$48&lt;&gt;"",ISNUMBER(SEARCH(설정!$A$48,K428))),설정!$B$48,IF(M428="","설계사","시공사"))))))))),"")</f>
        <v/>
      </c>
      <c r="V428">
        <f>SUBSTITUTE(SUBSTITUTE(SUBSTITUTE(SUBSTITUTE(G428,"(주)",""),"㈜",""),"주식회사","")," ","")</f>
        <v/>
      </c>
      <c r="W428">
        <f>IF(AND(T428,V428&lt;&gt;""),IF(COUNTIFS(V$2:V428,V428,T$2:T428,TRUE)=1,MAX(W$1:W427)+1,""),"")</f>
        <v/>
      </c>
      <c r="X428">
        <f>IFERROR(INDEX('1.산군_붙여넣기'!$A$1:$AZ$1001,ROW(),설정!$C$14)&amp;"","")</f>
        <v/>
      </c>
      <c r="Y428">
        <f>IFERROR(INDEX('1.산군_붙여넣기'!$A$1:$AZ$1001,ROW(),설정!$C$15)&amp;"","")</f>
        <v/>
      </c>
      <c r="Z428">
        <f>IF(T428,V428&amp;"|"&amp;U428,"")</f>
        <v/>
      </c>
    </row>
    <row r="429">
      <c r="A429">
        <f>ROW()</f>
        <v/>
      </c>
      <c r="B429">
        <f>IFERROR(INDEX('1.산군_붙여넣기'!$A$1:$AZ$1001,ROW(),설정!$C$4)&amp;"","")</f>
        <v/>
      </c>
      <c r="C429">
        <f>IFERROR(INDEX('1.산군_붙여넣기'!$A$1:$AZ$1001,ROW(),설정!$C$5)&amp;"","")</f>
        <v/>
      </c>
      <c r="D429" s="5">
        <f>IFERROR(VALUE(SUBSTITUTE(SUBSTITUTE(SUBSTITUTE(IFERROR(INDEX('1.산군_붙여넣기'!$A$1:$AZ$1001,ROW(),설정!$C$6)&amp;"",""),",",""),"㎡",""),"m2","")),"")</f>
        <v/>
      </c>
      <c r="E429">
        <f>IFERROR(INDEX('1.산군_붙여넣기'!$A$1:$AZ$1001,ROW(),설정!$C$7)&amp;"","")</f>
        <v/>
      </c>
      <c r="F429">
        <f>IFERROR(INDEX('1.산군_붙여넣기'!$A$1:$AZ$1001,ROW(),설정!$C$8)&amp;"","")</f>
        <v/>
      </c>
      <c r="G429">
        <f>IFERROR(INDEX('1.산군_붙여넣기'!$A$1:$AZ$1001,ROW(),설정!$C$9)&amp;"","")</f>
        <v/>
      </c>
      <c r="H429">
        <f>IFERROR(INDEX('1.산군_붙여넣기'!$A$1:$AZ$1001,ROW(),설정!$C$10)&amp;"","")</f>
        <v/>
      </c>
      <c r="I429">
        <f>IFERROR(INDEX('1.산군_붙여넣기'!$A$1:$AZ$1001,ROW(),설정!$C$11)&amp;"","")</f>
        <v/>
      </c>
      <c r="J429">
        <f>IFERROR(INDEX('1.산군_붙여넣기'!$A$1:$AZ$1001,ROW(),설정!$C$12)&amp;"","")</f>
        <v/>
      </c>
      <c r="K429">
        <f>IFERROR(INDEX('1.산군_붙여넣기'!$A$1:$AZ$1001,ROW(),설정!$C$13)&amp;"","")</f>
        <v/>
      </c>
      <c r="L429" s="6">
        <f>IF(X429="","",IF(AND(LEN(X429)=8,ISNUMBER(X429*1)),DATE(LEFT(X429,4),MID(X429,5,2),RIGHT(X429,2)),IFERROR(DATEVALUE(SUBSTITUTE(SUBSTITUTE(X429,".","-"),"/","-")),IFERROR(X429*1,""))))</f>
        <v/>
      </c>
      <c r="M429" s="6">
        <f>IF(Y429="","",IF(AND(LEN(Y429)=8,ISNUMBER(Y429*1)),DATE(LEFT(Y429,4),MID(Y429,5,2),RIGHT(Y429,2)),IFERROR(DATEVALUE(SUBSTITUTE(SUBSTITUTE(Y429,".","-"),"/","-")),IFERROR(Y429*1,""))))</f>
        <v/>
      </c>
      <c r="N429">
        <f>IFERROR(LEFT(B429,FIND(" ",B429)-1),B429)</f>
        <v/>
      </c>
      <c r="O429">
        <f>AND(B429&lt;&gt;"",B429&lt;&gt;설정!$B$4,C429&lt;&gt;설정!$B$5)</f>
        <v/>
      </c>
      <c r="P429">
        <f>IF(O429,B429&amp;"|"&amp;C429,"")</f>
        <v/>
      </c>
      <c r="Q429">
        <f>AND(O429,COUNTIF(P430:P$1002,P429)=0)</f>
        <v/>
      </c>
      <c r="R429">
        <f>OR(AND(설정!$A$28&lt;&gt;"",ISNUMBER(SEARCH(설정!$A$28,E429&amp;" "&amp;C429))),AND(설정!$A$29&lt;&gt;"",ISNUMBER(SEARCH(설정!$A$29,E429&amp;" "&amp;C429))),AND(설정!$A$30&lt;&gt;"",ISNUMBER(SEARCH(설정!$A$30,E429&amp;" "&amp;C429))),AND(설정!$A$31&lt;&gt;"",ISNUMBER(SEARCH(설정!$A$31,E429&amp;" "&amp;C429))),AND(설정!$A$32&lt;&gt;"",ISNUMBER(SEARCH(설정!$A$32,E429&amp;" "&amp;C429))),AND(설정!$A$33&lt;&gt;"",ISNUMBER(SEARCH(설정!$A$33,E429&amp;" "&amp;C429))),AND(설정!$A$34&lt;&gt;"",ISNUMBER(SEARCH(설정!$A$34,E429&amp;" "&amp;C429))),AND(설정!$A$35&lt;&gt;"",ISNUMBER(SEARCH(설정!$A$35,E429&amp;" "&amp;C429))),AND(설정!$A$36&lt;&gt;"",ISNUMBER(SEARCH(설정!$A$36,E429&amp;" "&amp;C429))),AND(설정!$A$37&lt;&gt;"",ISNUMBER(SEARCH(설정!$A$37,E429&amp;" "&amp;C429))))</f>
        <v/>
      </c>
      <c r="S429">
        <f>OR(D429="",D429&gt;=설정!$B$19)</f>
        <v/>
      </c>
      <c r="T429">
        <f>AND(Q429,R429,S429)</f>
        <v/>
      </c>
      <c r="U429">
        <f>IF(T429,IF(AND(설정!$A$41&lt;&gt;"",ISNUMBER(SEARCH(설정!$A$41,K429))),설정!$B$41,IF(AND(설정!$A$42&lt;&gt;"",ISNUMBER(SEARCH(설정!$A$42,K429))),설정!$B$42,IF(AND(설정!$A$43&lt;&gt;"",ISNUMBER(SEARCH(설정!$A$43,K429))),설정!$B$43,IF(AND(설정!$A$44&lt;&gt;"",ISNUMBER(SEARCH(설정!$A$44,K429))),설정!$B$44,IF(AND(설정!$A$45&lt;&gt;"",ISNUMBER(SEARCH(설정!$A$45,K429))),설정!$B$45,IF(AND(설정!$A$46&lt;&gt;"",ISNUMBER(SEARCH(설정!$A$46,K429))),설정!$B$46,IF(AND(설정!$A$47&lt;&gt;"",ISNUMBER(SEARCH(설정!$A$47,K429))),설정!$B$47,IF(AND(설정!$A$48&lt;&gt;"",ISNUMBER(SEARCH(설정!$A$48,K429))),설정!$B$48,IF(M429="","설계사","시공사"))))))))),"")</f>
        <v/>
      </c>
      <c r="V429">
        <f>SUBSTITUTE(SUBSTITUTE(SUBSTITUTE(SUBSTITUTE(G429,"(주)",""),"㈜",""),"주식회사","")," ","")</f>
        <v/>
      </c>
      <c r="W429">
        <f>IF(AND(T429,V429&lt;&gt;""),IF(COUNTIFS(V$2:V429,V429,T$2:T429,TRUE)=1,MAX(W$1:W428)+1,""),"")</f>
        <v/>
      </c>
      <c r="X429">
        <f>IFERROR(INDEX('1.산군_붙여넣기'!$A$1:$AZ$1001,ROW(),설정!$C$14)&amp;"","")</f>
        <v/>
      </c>
      <c r="Y429">
        <f>IFERROR(INDEX('1.산군_붙여넣기'!$A$1:$AZ$1001,ROW(),설정!$C$15)&amp;"","")</f>
        <v/>
      </c>
      <c r="Z429">
        <f>IF(T429,V429&amp;"|"&amp;U429,"")</f>
        <v/>
      </c>
    </row>
    <row r="430">
      <c r="A430">
        <f>ROW()</f>
        <v/>
      </c>
      <c r="B430">
        <f>IFERROR(INDEX('1.산군_붙여넣기'!$A$1:$AZ$1001,ROW(),설정!$C$4)&amp;"","")</f>
        <v/>
      </c>
      <c r="C430">
        <f>IFERROR(INDEX('1.산군_붙여넣기'!$A$1:$AZ$1001,ROW(),설정!$C$5)&amp;"","")</f>
        <v/>
      </c>
      <c r="D430" s="5">
        <f>IFERROR(VALUE(SUBSTITUTE(SUBSTITUTE(SUBSTITUTE(IFERROR(INDEX('1.산군_붙여넣기'!$A$1:$AZ$1001,ROW(),설정!$C$6)&amp;"",""),",",""),"㎡",""),"m2","")),"")</f>
        <v/>
      </c>
      <c r="E430">
        <f>IFERROR(INDEX('1.산군_붙여넣기'!$A$1:$AZ$1001,ROW(),설정!$C$7)&amp;"","")</f>
        <v/>
      </c>
      <c r="F430">
        <f>IFERROR(INDEX('1.산군_붙여넣기'!$A$1:$AZ$1001,ROW(),설정!$C$8)&amp;"","")</f>
        <v/>
      </c>
      <c r="G430">
        <f>IFERROR(INDEX('1.산군_붙여넣기'!$A$1:$AZ$1001,ROW(),설정!$C$9)&amp;"","")</f>
        <v/>
      </c>
      <c r="H430">
        <f>IFERROR(INDEX('1.산군_붙여넣기'!$A$1:$AZ$1001,ROW(),설정!$C$10)&amp;"","")</f>
        <v/>
      </c>
      <c r="I430">
        <f>IFERROR(INDEX('1.산군_붙여넣기'!$A$1:$AZ$1001,ROW(),설정!$C$11)&amp;"","")</f>
        <v/>
      </c>
      <c r="J430">
        <f>IFERROR(INDEX('1.산군_붙여넣기'!$A$1:$AZ$1001,ROW(),설정!$C$12)&amp;"","")</f>
        <v/>
      </c>
      <c r="K430">
        <f>IFERROR(INDEX('1.산군_붙여넣기'!$A$1:$AZ$1001,ROW(),설정!$C$13)&amp;"","")</f>
        <v/>
      </c>
      <c r="L430" s="6">
        <f>IF(X430="","",IF(AND(LEN(X430)=8,ISNUMBER(X430*1)),DATE(LEFT(X430,4),MID(X430,5,2),RIGHT(X430,2)),IFERROR(DATEVALUE(SUBSTITUTE(SUBSTITUTE(X430,".","-"),"/","-")),IFERROR(X430*1,""))))</f>
        <v/>
      </c>
      <c r="M430" s="6">
        <f>IF(Y430="","",IF(AND(LEN(Y430)=8,ISNUMBER(Y430*1)),DATE(LEFT(Y430,4),MID(Y430,5,2),RIGHT(Y430,2)),IFERROR(DATEVALUE(SUBSTITUTE(SUBSTITUTE(Y430,".","-"),"/","-")),IFERROR(Y430*1,""))))</f>
        <v/>
      </c>
      <c r="N430">
        <f>IFERROR(LEFT(B430,FIND(" ",B430)-1),B430)</f>
        <v/>
      </c>
      <c r="O430">
        <f>AND(B430&lt;&gt;"",B430&lt;&gt;설정!$B$4,C430&lt;&gt;설정!$B$5)</f>
        <v/>
      </c>
      <c r="P430">
        <f>IF(O430,B430&amp;"|"&amp;C430,"")</f>
        <v/>
      </c>
      <c r="Q430">
        <f>AND(O430,COUNTIF(P431:P$1002,P430)=0)</f>
        <v/>
      </c>
      <c r="R430">
        <f>OR(AND(설정!$A$28&lt;&gt;"",ISNUMBER(SEARCH(설정!$A$28,E430&amp;" "&amp;C430))),AND(설정!$A$29&lt;&gt;"",ISNUMBER(SEARCH(설정!$A$29,E430&amp;" "&amp;C430))),AND(설정!$A$30&lt;&gt;"",ISNUMBER(SEARCH(설정!$A$30,E430&amp;" "&amp;C430))),AND(설정!$A$31&lt;&gt;"",ISNUMBER(SEARCH(설정!$A$31,E430&amp;" "&amp;C430))),AND(설정!$A$32&lt;&gt;"",ISNUMBER(SEARCH(설정!$A$32,E430&amp;" "&amp;C430))),AND(설정!$A$33&lt;&gt;"",ISNUMBER(SEARCH(설정!$A$33,E430&amp;" "&amp;C430))),AND(설정!$A$34&lt;&gt;"",ISNUMBER(SEARCH(설정!$A$34,E430&amp;" "&amp;C430))),AND(설정!$A$35&lt;&gt;"",ISNUMBER(SEARCH(설정!$A$35,E430&amp;" "&amp;C430))),AND(설정!$A$36&lt;&gt;"",ISNUMBER(SEARCH(설정!$A$36,E430&amp;" "&amp;C430))),AND(설정!$A$37&lt;&gt;"",ISNUMBER(SEARCH(설정!$A$37,E430&amp;" "&amp;C430))))</f>
        <v/>
      </c>
      <c r="S430">
        <f>OR(D430="",D430&gt;=설정!$B$19)</f>
        <v/>
      </c>
      <c r="T430">
        <f>AND(Q430,R430,S430)</f>
        <v/>
      </c>
      <c r="U430">
        <f>IF(T430,IF(AND(설정!$A$41&lt;&gt;"",ISNUMBER(SEARCH(설정!$A$41,K430))),설정!$B$41,IF(AND(설정!$A$42&lt;&gt;"",ISNUMBER(SEARCH(설정!$A$42,K430))),설정!$B$42,IF(AND(설정!$A$43&lt;&gt;"",ISNUMBER(SEARCH(설정!$A$43,K430))),설정!$B$43,IF(AND(설정!$A$44&lt;&gt;"",ISNUMBER(SEARCH(설정!$A$44,K430))),설정!$B$44,IF(AND(설정!$A$45&lt;&gt;"",ISNUMBER(SEARCH(설정!$A$45,K430))),설정!$B$45,IF(AND(설정!$A$46&lt;&gt;"",ISNUMBER(SEARCH(설정!$A$46,K430))),설정!$B$46,IF(AND(설정!$A$47&lt;&gt;"",ISNUMBER(SEARCH(설정!$A$47,K430))),설정!$B$47,IF(AND(설정!$A$48&lt;&gt;"",ISNUMBER(SEARCH(설정!$A$48,K430))),설정!$B$48,IF(M430="","설계사","시공사"))))))))),"")</f>
        <v/>
      </c>
      <c r="V430">
        <f>SUBSTITUTE(SUBSTITUTE(SUBSTITUTE(SUBSTITUTE(G430,"(주)",""),"㈜",""),"주식회사","")," ","")</f>
        <v/>
      </c>
      <c r="W430">
        <f>IF(AND(T430,V430&lt;&gt;""),IF(COUNTIFS(V$2:V430,V430,T$2:T430,TRUE)=1,MAX(W$1:W429)+1,""),"")</f>
        <v/>
      </c>
      <c r="X430">
        <f>IFERROR(INDEX('1.산군_붙여넣기'!$A$1:$AZ$1001,ROW(),설정!$C$14)&amp;"","")</f>
        <v/>
      </c>
      <c r="Y430">
        <f>IFERROR(INDEX('1.산군_붙여넣기'!$A$1:$AZ$1001,ROW(),설정!$C$15)&amp;"","")</f>
        <v/>
      </c>
      <c r="Z430">
        <f>IF(T430,V430&amp;"|"&amp;U430,"")</f>
        <v/>
      </c>
    </row>
    <row r="431">
      <c r="A431">
        <f>ROW()</f>
        <v/>
      </c>
      <c r="B431">
        <f>IFERROR(INDEX('1.산군_붙여넣기'!$A$1:$AZ$1001,ROW(),설정!$C$4)&amp;"","")</f>
        <v/>
      </c>
      <c r="C431">
        <f>IFERROR(INDEX('1.산군_붙여넣기'!$A$1:$AZ$1001,ROW(),설정!$C$5)&amp;"","")</f>
        <v/>
      </c>
      <c r="D431" s="5">
        <f>IFERROR(VALUE(SUBSTITUTE(SUBSTITUTE(SUBSTITUTE(IFERROR(INDEX('1.산군_붙여넣기'!$A$1:$AZ$1001,ROW(),설정!$C$6)&amp;"",""),",",""),"㎡",""),"m2","")),"")</f>
        <v/>
      </c>
      <c r="E431">
        <f>IFERROR(INDEX('1.산군_붙여넣기'!$A$1:$AZ$1001,ROW(),설정!$C$7)&amp;"","")</f>
        <v/>
      </c>
      <c r="F431">
        <f>IFERROR(INDEX('1.산군_붙여넣기'!$A$1:$AZ$1001,ROW(),설정!$C$8)&amp;"","")</f>
        <v/>
      </c>
      <c r="G431">
        <f>IFERROR(INDEX('1.산군_붙여넣기'!$A$1:$AZ$1001,ROW(),설정!$C$9)&amp;"","")</f>
        <v/>
      </c>
      <c r="H431">
        <f>IFERROR(INDEX('1.산군_붙여넣기'!$A$1:$AZ$1001,ROW(),설정!$C$10)&amp;"","")</f>
        <v/>
      </c>
      <c r="I431">
        <f>IFERROR(INDEX('1.산군_붙여넣기'!$A$1:$AZ$1001,ROW(),설정!$C$11)&amp;"","")</f>
        <v/>
      </c>
      <c r="J431">
        <f>IFERROR(INDEX('1.산군_붙여넣기'!$A$1:$AZ$1001,ROW(),설정!$C$12)&amp;"","")</f>
        <v/>
      </c>
      <c r="K431">
        <f>IFERROR(INDEX('1.산군_붙여넣기'!$A$1:$AZ$1001,ROW(),설정!$C$13)&amp;"","")</f>
        <v/>
      </c>
      <c r="L431" s="6">
        <f>IF(X431="","",IF(AND(LEN(X431)=8,ISNUMBER(X431*1)),DATE(LEFT(X431,4),MID(X431,5,2),RIGHT(X431,2)),IFERROR(DATEVALUE(SUBSTITUTE(SUBSTITUTE(X431,".","-"),"/","-")),IFERROR(X431*1,""))))</f>
        <v/>
      </c>
      <c r="M431" s="6">
        <f>IF(Y431="","",IF(AND(LEN(Y431)=8,ISNUMBER(Y431*1)),DATE(LEFT(Y431,4),MID(Y431,5,2),RIGHT(Y431,2)),IFERROR(DATEVALUE(SUBSTITUTE(SUBSTITUTE(Y431,".","-"),"/","-")),IFERROR(Y431*1,""))))</f>
        <v/>
      </c>
      <c r="N431">
        <f>IFERROR(LEFT(B431,FIND(" ",B431)-1),B431)</f>
        <v/>
      </c>
      <c r="O431">
        <f>AND(B431&lt;&gt;"",B431&lt;&gt;설정!$B$4,C431&lt;&gt;설정!$B$5)</f>
        <v/>
      </c>
      <c r="P431">
        <f>IF(O431,B431&amp;"|"&amp;C431,"")</f>
        <v/>
      </c>
      <c r="Q431">
        <f>AND(O431,COUNTIF(P432:P$1002,P431)=0)</f>
        <v/>
      </c>
      <c r="R431">
        <f>OR(AND(설정!$A$28&lt;&gt;"",ISNUMBER(SEARCH(설정!$A$28,E431&amp;" "&amp;C431))),AND(설정!$A$29&lt;&gt;"",ISNUMBER(SEARCH(설정!$A$29,E431&amp;" "&amp;C431))),AND(설정!$A$30&lt;&gt;"",ISNUMBER(SEARCH(설정!$A$30,E431&amp;" "&amp;C431))),AND(설정!$A$31&lt;&gt;"",ISNUMBER(SEARCH(설정!$A$31,E431&amp;" "&amp;C431))),AND(설정!$A$32&lt;&gt;"",ISNUMBER(SEARCH(설정!$A$32,E431&amp;" "&amp;C431))),AND(설정!$A$33&lt;&gt;"",ISNUMBER(SEARCH(설정!$A$33,E431&amp;" "&amp;C431))),AND(설정!$A$34&lt;&gt;"",ISNUMBER(SEARCH(설정!$A$34,E431&amp;" "&amp;C431))),AND(설정!$A$35&lt;&gt;"",ISNUMBER(SEARCH(설정!$A$35,E431&amp;" "&amp;C431))),AND(설정!$A$36&lt;&gt;"",ISNUMBER(SEARCH(설정!$A$36,E431&amp;" "&amp;C431))),AND(설정!$A$37&lt;&gt;"",ISNUMBER(SEARCH(설정!$A$37,E431&amp;" "&amp;C431))))</f>
        <v/>
      </c>
      <c r="S431">
        <f>OR(D431="",D431&gt;=설정!$B$19)</f>
        <v/>
      </c>
      <c r="T431">
        <f>AND(Q431,R431,S431)</f>
        <v/>
      </c>
      <c r="U431">
        <f>IF(T431,IF(AND(설정!$A$41&lt;&gt;"",ISNUMBER(SEARCH(설정!$A$41,K431))),설정!$B$41,IF(AND(설정!$A$42&lt;&gt;"",ISNUMBER(SEARCH(설정!$A$42,K431))),설정!$B$42,IF(AND(설정!$A$43&lt;&gt;"",ISNUMBER(SEARCH(설정!$A$43,K431))),설정!$B$43,IF(AND(설정!$A$44&lt;&gt;"",ISNUMBER(SEARCH(설정!$A$44,K431))),설정!$B$44,IF(AND(설정!$A$45&lt;&gt;"",ISNUMBER(SEARCH(설정!$A$45,K431))),설정!$B$45,IF(AND(설정!$A$46&lt;&gt;"",ISNUMBER(SEARCH(설정!$A$46,K431))),설정!$B$46,IF(AND(설정!$A$47&lt;&gt;"",ISNUMBER(SEARCH(설정!$A$47,K431))),설정!$B$47,IF(AND(설정!$A$48&lt;&gt;"",ISNUMBER(SEARCH(설정!$A$48,K431))),설정!$B$48,IF(M431="","설계사","시공사"))))))))),"")</f>
        <v/>
      </c>
      <c r="V431">
        <f>SUBSTITUTE(SUBSTITUTE(SUBSTITUTE(SUBSTITUTE(G431,"(주)",""),"㈜",""),"주식회사","")," ","")</f>
        <v/>
      </c>
      <c r="W431">
        <f>IF(AND(T431,V431&lt;&gt;""),IF(COUNTIFS(V$2:V431,V431,T$2:T431,TRUE)=1,MAX(W$1:W430)+1,""),"")</f>
        <v/>
      </c>
      <c r="X431">
        <f>IFERROR(INDEX('1.산군_붙여넣기'!$A$1:$AZ$1001,ROW(),설정!$C$14)&amp;"","")</f>
        <v/>
      </c>
      <c r="Y431">
        <f>IFERROR(INDEX('1.산군_붙여넣기'!$A$1:$AZ$1001,ROW(),설정!$C$15)&amp;"","")</f>
        <v/>
      </c>
      <c r="Z431">
        <f>IF(T431,V431&amp;"|"&amp;U431,"")</f>
        <v/>
      </c>
    </row>
    <row r="432">
      <c r="A432">
        <f>ROW()</f>
        <v/>
      </c>
      <c r="B432">
        <f>IFERROR(INDEX('1.산군_붙여넣기'!$A$1:$AZ$1001,ROW(),설정!$C$4)&amp;"","")</f>
        <v/>
      </c>
      <c r="C432">
        <f>IFERROR(INDEX('1.산군_붙여넣기'!$A$1:$AZ$1001,ROW(),설정!$C$5)&amp;"","")</f>
        <v/>
      </c>
      <c r="D432" s="5">
        <f>IFERROR(VALUE(SUBSTITUTE(SUBSTITUTE(SUBSTITUTE(IFERROR(INDEX('1.산군_붙여넣기'!$A$1:$AZ$1001,ROW(),설정!$C$6)&amp;"",""),",",""),"㎡",""),"m2","")),"")</f>
        <v/>
      </c>
      <c r="E432">
        <f>IFERROR(INDEX('1.산군_붙여넣기'!$A$1:$AZ$1001,ROW(),설정!$C$7)&amp;"","")</f>
        <v/>
      </c>
      <c r="F432">
        <f>IFERROR(INDEX('1.산군_붙여넣기'!$A$1:$AZ$1001,ROW(),설정!$C$8)&amp;"","")</f>
        <v/>
      </c>
      <c r="G432">
        <f>IFERROR(INDEX('1.산군_붙여넣기'!$A$1:$AZ$1001,ROW(),설정!$C$9)&amp;"","")</f>
        <v/>
      </c>
      <c r="H432">
        <f>IFERROR(INDEX('1.산군_붙여넣기'!$A$1:$AZ$1001,ROW(),설정!$C$10)&amp;"","")</f>
        <v/>
      </c>
      <c r="I432">
        <f>IFERROR(INDEX('1.산군_붙여넣기'!$A$1:$AZ$1001,ROW(),설정!$C$11)&amp;"","")</f>
        <v/>
      </c>
      <c r="J432">
        <f>IFERROR(INDEX('1.산군_붙여넣기'!$A$1:$AZ$1001,ROW(),설정!$C$12)&amp;"","")</f>
        <v/>
      </c>
      <c r="K432">
        <f>IFERROR(INDEX('1.산군_붙여넣기'!$A$1:$AZ$1001,ROW(),설정!$C$13)&amp;"","")</f>
        <v/>
      </c>
      <c r="L432" s="6">
        <f>IF(X432="","",IF(AND(LEN(X432)=8,ISNUMBER(X432*1)),DATE(LEFT(X432,4),MID(X432,5,2),RIGHT(X432,2)),IFERROR(DATEVALUE(SUBSTITUTE(SUBSTITUTE(X432,".","-"),"/","-")),IFERROR(X432*1,""))))</f>
        <v/>
      </c>
      <c r="M432" s="6">
        <f>IF(Y432="","",IF(AND(LEN(Y432)=8,ISNUMBER(Y432*1)),DATE(LEFT(Y432,4),MID(Y432,5,2),RIGHT(Y432,2)),IFERROR(DATEVALUE(SUBSTITUTE(SUBSTITUTE(Y432,".","-"),"/","-")),IFERROR(Y432*1,""))))</f>
        <v/>
      </c>
      <c r="N432">
        <f>IFERROR(LEFT(B432,FIND(" ",B432)-1),B432)</f>
        <v/>
      </c>
      <c r="O432">
        <f>AND(B432&lt;&gt;"",B432&lt;&gt;설정!$B$4,C432&lt;&gt;설정!$B$5)</f>
        <v/>
      </c>
      <c r="P432">
        <f>IF(O432,B432&amp;"|"&amp;C432,"")</f>
        <v/>
      </c>
      <c r="Q432">
        <f>AND(O432,COUNTIF(P433:P$1002,P432)=0)</f>
        <v/>
      </c>
      <c r="R432">
        <f>OR(AND(설정!$A$28&lt;&gt;"",ISNUMBER(SEARCH(설정!$A$28,E432&amp;" "&amp;C432))),AND(설정!$A$29&lt;&gt;"",ISNUMBER(SEARCH(설정!$A$29,E432&amp;" "&amp;C432))),AND(설정!$A$30&lt;&gt;"",ISNUMBER(SEARCH(설정!$A$30,E432&amp;" "&amp;C432))),AND(설정!$A$31&lt;&gt;"",ISNUMBER(SEARCH(설정!$A$31,E432&amp;" "&amp;C432))),AND(설정!$A$32&lt;&gt;"",ISNUMBER(SEARCH(설정!$A$32,E432&amp;" "&amp;C432))),AND(설정!$A$33&lt;&gt;"",ISNUMBER(SEARCH(설정!$A$33,E432&amp;" "&amp;C432))),AND(설정!$A$34&lt;&gt;"",ISNUMBER(SEARCH(설정!$A$34,E432&amp;" "&amp;C432))),AND(설정!$A$35&lt;&gt;"",ISNUMBER(SEARCH(설정!$A$35,E432&amp;" "&amp;C432))),AND(설정!$A$36&lt;&gt;"",ISNUMBER(SEARCH(설정!$A$36,E432&amp;" "&amp;C432))),AND(설정!$A$37&lt;&gt;"",ISNUMBER(SEARCH(설정!$A$37,E432&amp;" "&amp;C432))))</f>
        <v/>
      </c>
      <c r="S432">
        <f>OR(D432="",D432&gt;=설정!$B$19)</f>
        <v/>
      </c>
      <c r="T432">
        <f>AND(Q432,R432,S432)</f>
        <v/>
      </c>
      <c r="U432">
        <f>IF(T432,IF(AND(설정!$A$41&lt;&gt;"",ISNUMBER(SEARCH(설정!$A$41,K432))),설정!$B$41,IF(AND(설정!$A$42&lt;&gt;"",ISNUMBER(SEARCH(설정!$A$42,K432))),설정!$B$42,IF(AND(설정!$A$43&lt;&gt;"",ISNUMBER(SEARCH(설정!$A$43,K432))),설정!$B$43,IF(AND(설정!$A$44&lt;&gt;"",ISNUMBER(SEARCH(설정!$A$44,K432))),설정!$B$44,IF(AND(설정!$A$45&lt;&gt;"",ISNUMBER(SEARCH(설정!$A$45,K432))),설정!$B$45,IF(AND(설정!$A$46&lt;&gt;"",ISNUMBER(SEARCH(설정!$A$46,K432))),설정!$B$46,IF(AND(설정!$A$47&lt;&gt;"",ISNUMBER(SEARCH(설정!$A$47,K432))),설정!$B$47,IF(AND(설정!$A$48&lt;&gt;"",ISNUMBER(SEARCH(설정!$A$48,K432))),설정!$B$48,IF(M432="","설계사","시공사"))))))))),"")</f>
        <v/>
      </c>
      <c r="V432">
        <f>SUBSTITUTE(SUBSTITUTE(SUBSTITUTE(SUBSTITUTE(G432,"(주)",""),"㈜",""),"주식회사","")," ","")</f>
        <v/>
      </c>
      <c r="W432">
        <f>IF(AND(T432,V432&lt;&gt;""),IF(COUNTIFS(V$2:V432,V432,T$2:T432,TRUE)=1,MAX(W$1:W431)+1,""),"")</f>
        <v/>
      </c>
      <c r="X432">
        <f>IFERROR(INDEX('1.산군_붙여넣기'!$A$1:$AZ$1001,ROW(),설정!$C$14)&amp;"","")</f>
        <v/>
      </c>
      <c r="Y432">
        <f>IFERROR(INDEX('1.산군_붙여넣기'!$A$1:$AZ$1001,ROW(),설정!$C$15)&amp;"","")</f>
        <v/>
      </c>
      <c r="Z432">
        <f>IF(T432,V432&amp;"|"&amp;U432,"")</f>
        <v/>
      </c>
    </row>
    <row r="433">
      <c r="A433">
        <f>ROW()</f>
        <v/>
      </c>
      <c r="B433">
        <f>IFERROR(INDEX('1.산군_붙여넣기'!$A$1:$AZ$1001,ROW(),설정!$C$4)&amp;"","")</f>
        <v/>
      </c>
      <c r="C433">
        <f>IFERROR(INDEX('1.산군_붙여넣기'!$A$1:$AZ$1001,ROW(),설정!$C$5)&amp;"","")</f>
        <v/>
      </c>
      <c r="D433" s="5">
        <f>IFERROR(VALUE(SUBSTITUTE(SUBSTITUTE(SUBSTITUTE(IFERROR(INDEX('1.산군_붙여넣기'!$A$1:$AZ$1001,ROW(),설정!$C$6)&amp;"",""),",",""),"㎡",""),"m2","")),"")</f>
        <v/>
      </c>
      <c r="E433">
        <f>IFERROR(INDEX('1.산군_붙여넣기'!$A$1:$AZ$1001,ROW(),설정!$C$7)&amp;"","")</f>
        <v/>
      </c>
      <c r="F433">
        <f>IFERROR(INDEX('1.산군_붙여넣기'!$A$1:$AZ$1001,ROW(),설정!$C$8)&amp;"","")</f>
        <v/>
      </c>
      <c r="G433">
        <f>IFERROR(INDEX('1.산군_붙여넣기'!$A$1:$AZ$1001,ROW(),설정!$C$9)&amp;"","")</f>
        <v/>
      </c>
      <c r="H433">
        <f>IFERROR(INDEX('1.산군_붙여넣기'!$A$1:$AZ$1001,ROW(),설정!$C$10)&amp;"","")</f>
        <v/>
      </c>
      <c r="I433">
        <f>IFERROR(INDEX('1.산군_붙여넣기'!$A$1:$AZ$1001,ROW(),설정!$C$11)&amp;"","")</f>
        <v/>
      </c>
      <c r="J433">
        <f>IFERROR(INDEX('1.산군_붙여넣기'!$A$1:$AZ$1001,ROW(),설정!$C$12)&amp;"","")</f>
        <v/>
      </c>
      <c r="K433">
        <f>IFERROR(INDEX('1.산군_붙여넣기'!$A$1:$AZ$1001,ROW(),설정!$C$13)&amp;"","")</f>
        <v/>
      </c>
      <c r="L433" s="6">
        <f>IF(X433="","",IF(AND(LEN(X433)=8,ISNUMBER(X433*1)),DATE(LEFT(X433,4),MID(X433,5,2),RIGHT(X433,2)),IFERROR(DATEVALUE(SUBSTITUTE(SUBSTITUTE(X433,".","-"),"/","-")),IFERROR(X433*1,""))))</f>
        <v/>
      </c>
      <c r="M433" s="6">
        <f>IF(Y433="","",IF(AND(LEN(Y433)=8,ISNUMBER(Y433*1)),DATE(LEFT(Y433,4),MID(Y433,5,2),RIGHT(Y433,2)),IFERROR(DATEVALUE(SUBSTITUTE(SUBSTITUTE(Y433,".","-"),"/","-")),IFERROR(Y433*1,""))))</f>
        <v/>
      </c>
      <c r="N433">
        <f>IFERROR(LEFT(B433,FIND(" ",B433)-1),B433)</f>
        <v/>
      </c>
      <c r="O433">
        <f>AND(B433&lt;&gt;"",B433&lt;&gt;설정!$B$4,C433&lt;&gt;설정!$B$5)</f>
        <v/>
      </c>
      <c r="P433">
        <f>IF(O433,B433&amp;"|"&amp;C433,"")</f>
        <v/>
      </c>
      <c r="Q433">
        <f>AND(O433,COUNTIF(P434:P$1002,P433)=0)</f>
        <v/>
      </c>
      <c r="R433">
        <f>OR(AND(설정!$A$28&lt;&gt;"",ISNUMBER(SEARCH(설정!$A$28,E433&amp;" "&amp;C433))),AND(설정!$A$29&lt;&gt;"",ISNUMBER(SEARCH(설정!$A$29,E433&amp;" "&amp;C433))),AND(설정!$A$30&lt;&gt;"",ISNUMBER(SEARCH(설정!$A$30,E433&amp;" "&amp;C433))),AND(설정!$A$31&lt;&gt;"",ISNUMBER(SEARCH(설정!$A$31,E433&amp;" "&amp;C433))),AND(설정!$A$32&lt;&gt;"",ISNUMBER(SEARCH(설정!$A$32,E433&amp;" "&amp;C433))),AND(설정!$A$33&lt;&gt;"",ISNUMBER(SEARCH(설정!$A$33,E433&amp;" "&amp;C433))),AND(설정!$A$34&lt;&gt;"",ISNUMBER(SEARCH(설정!$A$34,E433&amp;" "&amp;C433))),AND(설정!$A$35&lt;&gt;"",ISNUMBER(SEARCH(설정!$A$35,E433&amp;" "&amp;C433))),AND(설정!$A$36&lt;&gt;"",ISNUMBER(SEARCH(설정!$A$36,E433&amp;" "&amp;C433))),AND(설정!$A$37&lt;&gt;"",ISNUMBER(SEARCH(설정!$A$37,E433&amp;" "&amp;C433))))</f>
        <v/>
      </c>
      <c r="S433">
        <f>OR(D433="",D433&gt;=설정!$B$19)</f>
        <v/>
      </c>
      <c r="T433">
        <f>AND(Q433,R433,S433)</f>
        <v/>
      </c>
      <c r="U433">
        <f>IF(T433,IF(AND(설정!$A$41&lt;&gt;"",ISNUMBER(SEARCH(설정!$A$41,K433))),설정!$B$41,IF(AND(설정!$A$42&lt;&gt;"",ISNUMBER(SEARCH(설정!$A$42,K433))),설정!$B$42,IF(AND(설정!$A$43&lt;&gt;"",ISNUMBER(SEARCH(설정!$A$43,K433))),설정!$B$43,IF(AND(설정!$A$44&lt;&gt;"",ISNUMBER(SEARCH(설정!$A$44,K433))),설정!$B$44,IF(AND(설정!$A$45&lt;&gt;"",ISNUMBER(SEARCH(설정!$A$45,K433))),설정!$B$45,IF(AND(설정!$A$46&lt;&gt;"",ISNUMBER(SEARCH(설정!$A$46,K433))),설정!$B$46,IF(AND(설정!$A$47&lt;&gt;"",ISNUMBER(SEARCH(설정!$A$47,K433))),설정!$B$47,IF(AND(설정!$A$48&lt;&gt;"",ISNUMBER(SEARCH(설정!$A$48,K433))),설정!$B$48,IF(M433="","설계사","시공사"))))))))),"")</f>
        <v/>
      </c>
      <c r="V433">
        <f>SUBSTITUTE(SUBSTITUTE(SUBSTITUTE(SUBSTITUTE(G433,"(주)",""),"㈜",""),"주식회사","")," ","")</f>
        <v/>
      </c>
      <c r="W433">
        <f>IF(AND(T433,V433&lt;&gt;""),IF(COUNTIFS(V$2:V433,V433,T$2:T433,TRUE)=1,MAX(W$1:W432)+1,""),"")</f>
        <v/>
      </c>
      <c r="X433">
        <f>IFERROR(INDEX('1.산군_붙여넣기'!$A$1:$AZ$1001,ROW(),설정!$C$14)&amp;"","")</f>
        <v/>
      </c>
      <c r="Y433">
        <f>IFERROR(INDEX('1.산군_붙여넣기'!$A$1:$AZ$1001,ROW(),설정!$C$15)&amp;"","")</f>
        <v/>
      </c>
      <c r="Z433">
        <f>IF(T433,V433&amp;"|"&amp;U433,"")</f>
        <v/>
      </c>
    </row>
    <row r="434">
      <c r="A434">
        <f>ROW()</f>
        <v/>
      </c>
      <c r="B434">
        <f>IFERROR(INDEX('1.산군_붙여넣기'!$A$1:$AZ$1001,ROW(),설정!$C$4)&amp;"","")</f>
        <v/>
      </c>
      <c r="C434">
        <f>IFERROR(INDEX('1.산군_붙여넣기'!$A$1:$AZ$1001,ROW(),설정!$C$5)&amp;"","")</f>
        <v/>
      </c>
      <c r="D434" s="5">
        <f>IFERROR(VALUE(SUBSTITUTE(SUBSTITUTE(SUBSTITUTE(IFERROR(INDEX('1.산군_붙여넣기'!$A$1:$AZ$1001,ROW(),설정!$C$6)&amp;"",""),",",""),"㎡",""),"m2","")),"")</f>
        <v/>
      </c>
      <c r="E434">
        <f>IFERROR(INDEX('1.산군_붙여넣기'!$A$1:$AZ$1001,ROW(),설정!$C$7)&amp;"","")</f>
        <v/>
      </c>
      <c r="F434">
        <f>IFERROR(INDEX('1.산군_붙여넣기'!$A$1:$AZ$1001,ROW(),설정!$C$8)&amp;"","")</f>
        <v/>
      </c>
      <c r="G434">
        <f>IFERROR(INDEX('1.산군_붙여넣기'!$A$1:$AZ$1001,ROW(),설정!$C$9)&amp;"","")</f>
        <v/>
      </c>
      <c r="H434">
        <f>IFERROR(INDEX('1.산군_붙여넣기'!$A$1:$AZ$1001,ROW(),설정!$C$10)&amp;"","")</f>
        <v/>
      </c>
      <c r="I434">
        <f>IFERROR(INDEX('1.산군_붙여넣기'!$A$1:$AZ$1001,ROW(),설정!$C$11)&amp;"","")</f>
        <v/>
      </c>
      <c r="J434">
        <f>IFERROR(INDEX('1.산군_붙여넣기'!$A$1:$AZ$1001,ROW(),설정!$C$12)&amp;"","")</f>
        <v/>
      </c>
      <c r="K434">
        <f>IFERROR(INDEX('1.산군_붙여넣기'!$A$1:$AZ$1001,ROW(),설정!$C$13)&amp;"","")</f>
        <v/>
      </c>
      <c r="L434" s="6">
        <f>IF(X434="","",IF(AND(LEN(X434)=8,ISNUMBER(X434*1)),DATE(LEFT(X434,4),MID(X434,5,2),RIGHT(X434,2)),IFERROR(DATEVALUE(SUBSTITUTE(SUBSTITUTE(X434,".","-"),"/","-")),IFERROR(X434*1,""))))</f>
        <v/>
      </c>
      <c r="M434" s="6">
        <f>IF(Y434="","",IF(AND(LEN(Y434)=8,ISNUMBER(Y434*1)),DATE(LEFT(Y434,4),MID(Y434,5,2),RIGHT(Y434,2)),IFERROR(DATEVALUE(SUBSTITUTE(SUBSTITUTE(Y434,".","-"),"/","-")),IFERROR(Y434*1,""))))</f>
        <v/>
      </c>
      <c r="N434">
        <f>IFERROR(LEFT(B434,FIND(" ",B434)-1),B434)</f>
        <v/>
      </c>
      <c r="O434">
        <f>AND(B434&lt;&gt;"",B434&lt;&gt;설정!$B$4,C434&lt;&gt;설정!$B$5)</f>
        <v/>
      </c>
      <c r="P434">
        <f>IF(O434,B434&amp;"|"&amp;C434,"")</f>
        <v/>
      </c>
      <c r="Q434">
        <f>AND(O434,COUNTIF(P435:P$1002,P434)=0)</f>
        <v/>
      </c>
      <c r="R434">
        <f>OR(AND(설정!$A$28&lt;&gt;"",ISNUMBER(SEARCH(설정!$A$28,E434&amp;" "&amp;C434))),AND(설정!$A$29&lt;&gt;"",ISNUMBER(SEARCH(설정!$A$29,E434&amp;" "&amp;C434))),AND(설정!$A$30&lt;&gt;"",ISNUMBER(SEARCH(설정!$A$30,E434&amp;" "&amp;C434))),AND(설정!$A$31&lt;&gt;"",ISNUMBER(SEARCH(설정!$A$31,E434&amp;" "&amp;C434))),AND(설정!$A$32&lt;&gt;"",ISNUMBER(SEARCH(설정!$A$32,E434&amp;" "&amp;C434))),AND(설정!$A$33&lt;&gt;"",ISNUMBER(SEARCH(설정!$A$33,E434&amp;" "&amp;C434))),AND(설정!$A$34&lt;&gt;"",ISNUMBER(SEARCH(설정!$A$34,E434&amp;" "&amp;C434))),AND(설정!$A$35&lt;&gt;"",ISNUMBER(SEARCH(설정!$A$35,E434&amp;" "&amp;C434))),AND(설정!$A$36&lt;&gt;"",ISNUMBER(SEARCH(설정!$A$36,E434&amp;" "&amp;C434))),AND(설정!$A$37&lt;&gt;"",ISNUMBER(SEARCH(설정!$A$37,E434&amp;" "&amp;C434))))</f>
        <v/>
      </c>
      <c r="S434">
        <f>OR(D434="",D434&gt;=설정!$B$19)</f>
        <v/>
      </c>
      <c r="T434">
        <f>AND(Q434,R434,S434)</f>
        <v/>
      </c>
      <c r="U434">
        <f>IF(T434,IF(AND(설정!$A$41&lt;&gt;"",ISNUMBER(SEARCH(설정!$A$41,K434))),설정!$B$41,IF(AND(설정!$A$42&lt;&gt;"",ISNUMBER(SEARCH(설정!$A$42,K434))),설정!$B$42,IF(AND(설정!$A$43&lt;&gt;"",ISNUMBER(SEARCH(설정!$A$43,K434))),설정!$B$43,IF(AND(설정!$A$44&lt;&gt;"",ISNUMBER(SEARCH(설정!$A$44,K434))),설정!$B$44,IF(AND(설정!$A$45&lt;&gt;"",ISNUMBER(SEARCH(설정!$A$45,K434))),설정!$B$45,IF(AND(설정!$A$46&lt;&gt;"",ISNUMBER(SEARCH(설정!$A$46,K434))),설정!$B$46,IF(AND(설정!$A$47&lt;&gt;"",ISNUMBER(SEARCH(설정!$A$47,K434))),설정!$B$47,IF(AND(설정!$A$48&lt;&gt;"",ISNUMBER(SEARCH(설정!$A$48,K434))),설정!$B$48,IF(M434="","설계사","시공사"))))))))),"")</f>
        <v/>
      </c>
      <c r="V434">
        <f>SUBSTITUTE(SUBSTITUTE(SUBSTITUTE(SUBSTITUTE(G434,"(주)",""),"㈜",""),"주식회사","")," ","")</f>
        <v/>
      </c>
      <c r="W434">
        <f>IF(AND(T434,V434&lt;&gt;""),IF(COUNTIFS(V$2:V434,V434,T$2:T434,TRUE)=1,MAX(W$1:W433)+1,""),"")</f>
        <v/>
      </c>
      <c r="X434">
        <f>IFERROR(INDEX('1.산군_붙여넣기'!$A$1:$AZ$1001,ROW(),설정!$C$14)&amp;"","")</f>
        <v/>
      </c>
      <c r="Y434">
        <f>IFERROR(INDEX('1.산군_붙여넣기'!$A$1:$AZ$1001,ROW(),설정!$C$15)&amp;"","")</f>
        <v/>
      </c>
      <c r="Z434">
        <f>IF(T434,V434&amp;"|"&amp;U434,"")</f>
        <v/>
      </c>
    </row>
    <row r="435">
      <c r="A435">
        <f>ROW()</f>
        <v/>
      </c>
      <c r="B435">
        <f>IFERROR(INDEX('1.산군_붙여넣기'!$A$1:$AZ$1001,ROW(),설정!$C$4)&amp;"","")</f>
        <v/>
      </c>
      <c r="C435">
        <f>IFERROR(INDEX('1.산군_붙여넣기'!$A$1:$AZ$1001,ROW(),설정!$C$5)&amp;"","")</f>
        <v/>
      </c>
      <c r="D435" s="5">
        <f>IFERROR(VALUE(SUBSTITUTE(SUBSTITUTE(SUBSTITUTE(IFERROR(INDEX('1.산군_붙여넣기'!$A$1:$AZ$1001,ROW(),설정!$C$6)&amp;"",""),",",""),"㎡",""),"m2","")),"")</f>
        <v/>
      </c>
      <c r="E435">
        <f>IFERROR(INDEX('1.산군_붙여넣기'!$A$1:$AZ$1001,ROW(),설정!$C$7)&amp;"","")</f>
        <v/>
      </c>
      <c r="F435">
        <f>IFERROR(INDEX('1.산군_붙여넣기'!$A$1:$AZ$1001,ROW(),설정!$C$8)&amp;"","")</f>
        <v/>
      </c>
      <c r="G435">
        <f>IFERROR(INDEX('1.산군_붙여넣기'!$A$1:$AZ$1001,ROW(),설정!$C$9)&amp;"","")</f>
        <v/>
      </c>
      <c r="H435">
        <f>IFERROR(INDEX('1.산군_붙여넣기'!$A$1:$AZ$1001,ROW(),설정!$C$10)&amp;"","")</f>
        <v/>
      </c>
      <c r="I435">
        <f>IFERROR(INDEX('1.산군_붙여넣기'!$A$1:$AZ$1001,ROW(),설정!$C$11)&amp;"","")</f>
        <v/>
      </c>
      <c r="J435">
        <f>IFERROR(INDEX('1.산군_붙여넣기'!$A$1:$AZ$1001,ROW(),설정!$C$12)&amp;"","")</f>
        <v/>
      </c>
      <c r="K435">
        <f>IFERROR(INDEX('1.산군_붙여넣기'!$A$1:$AZ$1001,ROW(),설정!$C$13)&amp;"","")</f>
        <v/>
      </c>
      <c r="L435" s="6">
        <f>IF(X435="","",IF(AND(LEN(X435)=8,ISNUMBER(X435*1)),DATE(LEFT(X435,4),MID(X435,5,2),RIGHT(X435,2)),IFERROR(DATEVALUE(SUBSTITUTE(SUBSTITUTE(X435,".","-"),"/","-")),IFERROR(X435*1,""))))</f>
        <v/>
      </c>
      <c r="M435" s="6">
        <f>IF(Y435="","",IF(AND(LEN(Y435)=8,ISNUMBER(Y435*1)),DATE(LEFT(Y435,4),MID(Y435,5,2),RIGHT(Y435,2)),IFERROR(DATEVALUE(SUBSTITUTE(SUBSTITUTE(Y435,".","-"),"/","-")),IFERROR(Y435*1,""))))</f>
        <v/>
      </c>
      <c r="N435">
        <f>IFERROR(LEFT(B435,FIND(" ",B435)-1),B435)</f>
        <v/>
      </c>
      <c r="O435">
        <f>AND(B435&lt;&gt;"",B435&lt;&gt;설정!$B$4,C435&lt;&gt;설정!$B$5)</f>
        <v/>
      </c>
      <c r="P435">
        <f>IF(O435,B435&amp;"|"&amp;C435,"")</f>
        <v/>
      </c>
      <c r="Q435">
        <f>AND(O435,COUNTIF(P436:P$1002,P435)=0)</f>
        <v/>
      </c>
      <c r="R435">
        <f>OR(AND(설정!$A$28&lt;&gt;"",ISNUMBER(SEARCH(설정!$A$28,E435&amp;" "&amp;C435))),AND(설정!$A$29&lt;&gt;"",ISNUMBER(SEARCH(설정!$A$29,E435&amp;" "&amp;C435))),AND(설정!$A$30&lt;&gt;"",ISNUMBER(SEARCH(설정!$A$30,E435&amp;" "&amp;C435))),AND(설정!$A$31&lt;&gt;"",ISNUMBER(SEARCH(설정!$A$31,E435&amp;" "&amp;C435))),AND(설정!$A$32&lt;&gt;"",ISNUMBER(SEARCH(설정!$A$32,E435&amp;" "&amp;C435))),AND(설정!$A$33&lt;&gt;"",ISNUMBER(SEARCH(설정!$A$33,E435&amp;" "&amp;C435))),AND(설정!$A$34&lt;&gt;"",ISNUMBER(SEARCH(설정!$A$34,E435&amp;" "&amp;C435))),AND(설정!$A$35&lt;&gt;"",ISNUMBER(SEARCH(설정!$A$35,E435&amp;" "&amp;C435))),AND(설정!$A$36&lt;&gt;"",ISNUMBER(SEARCH(설정!$A$36,E435&amp;" "&amp;C435))),AND(설정!$A$37&lt;&gt;"",ISNUMBER(SEARCH(설정!$A$37,E435&amp;" "&amp;C435))))</f>
        <v/>
      </c>
      <c r="S435">
        <f>OR(D435="",D435&gt;=설정!$B$19)</f>
        <v/>
      </c>
      <c r="T435">
        <f>AND(Q435,R435,S435)</f>
        <v/>
      </c>
      <c r="U435">
        <f>IF(T435,IF(AND(설정!$A$41&lt;&gt;"",ISNUMBER(SEARCH(설정!$A$41,K435))),설정!$B$41,IF(AND(설정!$A$42&lt;&gt;"",ISNUMBER(SEARCH(설정!$A$42,K435))),설정!$B$42,IF(AND(설정!$A$43&lt;&gt;"",ISNUMBER(SEARCH(설정!$A$43,K435))),설정!$B$43,IF(AND(설정!$A$44&lt;&gt;"",ISNUMBER(SEARCH(설정!$A$44,K435))),설정!$B$44,IF(AND(설정!$A$45&lt;&gt;"",ISNUMBER(SEARCH(설정!$A$45,K435))),설정!$B$45,IF(AND(설정!$A$46&lt;&gt;"",ISNUMBER(SEARCH(설정!$A$46,K435))),설정!$B$46,IF(AND(설정!$A$47&lt;&gt;"",ISNUMBER(SEARCH(설정!$A$47,K435))),설정!$B$47,IF(AND(설정!$A$48&lt;&gt;"",ISNUMBER(SEARCH(설정!$A$48,K435))),설정!$B$48,IF(M435="","설계사","시공사"))))))))),"")</f>
        <v/>
      </c>
      <c r="V435">
        <f>SUBSTITUTE(SUBSTITUTE(SUBSTITUTE(SUBSTITUTE(G435,"(주)",""),"㈜",""),"주식회사","")," ","")</f>
        <v/>
      </c>
      <c r="W435">
        <f>IF(AND(T435,V435&lt;&gt;""),IF(COUNTIFS(V$2:V435,V435,T$2:T435,TRUE)=1,MAX(W$1:W434)+1,""),"")</f>
        <v/>
      </c>
      <c r="X435">
        <f>IFERROR(INDEX('1.산군_붙여넣기'!$A$1:$AZ$1001,ROW(),설정!$C$14)&amp;"","")</f>
        <v/>
      </c>
      <c r="Y435">
        <f>IFERROR(INDEX('1.산군_붙여넣기'!$A$1:$AZ$1001,ROW(),설정!$C$15)&amp;"","")</f>
        <v/>
      </c>
      <c r="Z435">
        <f>IF(T435,V435&amp;"|"&amp;U435,"")</f>
        <v/>
      </c>
    </row>
    <row r="436">
      <c r="A436">
        <f>ROW()</f>
        <v/>
      </c>
      <c r="B436">
        <f>IFERROR(INDEX('1.산군_붙여넣기'!$A$1:$AZ$1001,ROW(),설정!$C$4)&amp;"","")</f>
        <v/>
      </c>
      <c r="C436">
        <f>IFERROR(INDEX('1.산군_붙여넣기'!$A$1:$AZ$1001,ROW(),설정!$C$5)&amp;"","")</f>
        <v/>
      </c>
      <c r="D436" s="5">
        <f>IFERROR(VALUE(SUBSTITUTE(SUBSTITUTE(SUBSTITUTE(IFERROR(INDEX('1.산군_붙여넣기'!$A$1:$AZ$1001,ROW(),설정!$C$6)&amp;"",""),",",""),"㎡",""),"m2","")),"")</f>
        <v/>
      </c>
      <c r="E436">
        <f>IFERROR(INDEX('1.산군_붙여넣기'!$A$1:$AZ$1001,ROW(),설정!$C$7)&amp;"","")</f>
        <v/>
      </c>
      <c r="F436">
        <f>IFERROR(INDEX('1.산군_붙여넣기'!$A$1:$AZ$1001,ROW(),설정!$C$8)&amp;"","")</f>
        <v/>
      </c>
      <c r="G436">
        <f>IFERROR(INDEX('1.산군_붙여넣기'!$A$1:$AZ$1001,ROW(),설정!$C$9)&amp;"","")</f>
        <v/>
      </c>
      <c r="H436">
        <f>IFERROR(INDEX('1.산군_붙여넣기'!$A$1:$AZ$1001,ROW(),설정!$C$10)&amp;"","")</f>
        <v/>
      </c>
      <c r="I436">
        <f>IFERROR(INDEX('1.산군_붙여넣기'!$A$1:$AZ$1001,ROW(),설정!$C$11)&amp;"","")</f>
        <v/>
      </c>
      <c r="J436">
        <f>IFERROR(INDEX('1.산군_붙여넣기'!$A$1:$AZ$1001,ROW(),설정!$C$12)&amp;"","")</f>
        <v/>
      </c>
      <c r="K436">
        <f>IFERROR(INDEX('1.산군_붙여넣기'!$A$1:$AZ$1001,ROW(),설정!$C$13)&amp;"","")</f>
        <v/>
      </c>
      <c r="L436" s="6">
        <f>IF(X436="","",IF(AND(LEN(X436)=8,ISNUMBER(X436*1)),DATE(LEFT(X436,4),MID(X436,5,2),RIGHT(X436,2)),IFERROR(DATEVALUE(SUBSTITUTE(SUBSTITUTE(X436,".","-"),"/","-")),IFERROR(X436*1,""))))</f>
        <v/>
      </c>
      <c r="M436" s="6">
        <f>IF(Y436="","",IF(AND(LEN(Y436)=8,ISNUMBER(Y436*1)),DATE(LEFT(Y436,4),MID(Y436,5,2),RIGHT(Y436,2)),IFERROR(DATEVALUE(SUBSTITUTE(SUBSTITUTE(Y436,".","-"),"/","-")),IFERROR(Y436*1,""))))</f>
        <v/>
      </c>
      <c r="N436">
        <f>IFERROR(LEFT(B436,FIND(" ",B436)-1),B436)</f>
        <v/>
      </c>
      <c r="O436">
        <f>AND(B436&lt;&gt;"",B436&lt;&gt;설정!$B$4,C436&lt;&gt;설정!$B$5)</f>
        <v/>
      </c>
      <c r="P436">
        <f>IF(O436,B436&amp;"|"&amp;C436,"")</f>
        <v/>
      </c>
      <c r="Q436">
        <f>AND(O436,COUNTIF(P437:P$1002,P436)=0)</f>
        <v/>
      </c>
      <c r="R436">
        <f>OR(AND(설정!$A$28&lt;&gt;"",ISNUMBER(SEARCH(설정!$A$28,E436&amp;" "&amp;C436))),AND(설정!$A$29&lt;&gt;"",ISNUMBER(SEARCH(설정!$A$29,E436&amp;" "&amp;C436))),AND(설정!$A$30&lt;&gt;"",ISNUMBER(SEARCH(설정!$A$30,E436&amp;" "&amp;C436))),AND(설정!$A$31&lt;&gt;"",ISNUMBER(SEARCH(설정!$A$31,E436&amp;" "&amp;C436))),AND(설정!$A$32&lt;&gt;"",ISNUMBER(SEARCH(설정!$A$32,E436&amp;" "&amp;C436))),AND(설정!$A$33&lt;&gt;"",ISNUMBER(SEARCH(설정!$A$33,E436&amp;" "&amp;C436))),AND(설정!$A$34&lt;&gt;"",ISNUMBER(SEARCH(설정!$A$34,E436&amp;" "&amp;C436))),AND(설정!$A$35&lt;&gt;"",ISNUMBER(SEARCH(설정!$A$35,E436&amp;" "&amp;C436))),AND(설정!$A$36&lt;&gt;"",ISNUMBER(SEARCH(설정!$A$36,E436&amp;" "&amp;C436))),AND(설정!$A$37&lt;&gt;"",ISNUMBER(SEARCH(설정!$A$37,E436&amp;" "&amp;C436))))</f>
        <v/>
      </c>
      <c r="S436">
        <f>OR(D436="",D436&gt;=설정!$B$19)</f>
        <v/>
      </c>
      <c r="T436">
        <f>AND(Q436,R436,S436)</f>
        <v/>
      </c>
      <c r="U436">
        <f>IF(T436,IF(AND(설정!$A$41&lt;&gt;"",ISNUMBER(SEARCH(설정!$A$41,K436))),설정!$B$41,IF(AND(설정!$A$42&lt;&gt;"",ISNUMBER(SEARCH(설정!$A$42,K436))),설정!$B$42,IF(AND(설정!$A$43&lt;&gt;"",ISNUMBER(SEARCH(설정!$A$43,K436))),설정!$B$43,IF(AND(설정!$A$44&lt;&gt;"",ISNUMBER(SEARCH(설정!$A$44,K436))),설정!$B$44,IF(AND(설정!$A$45&lt;&gt;"",ISNUMBER(SEARCH(설정!$A$45,K436))),설정!$B$45,IF(AND(설정!$A$46&lt;&gt;"",ISNUMBER(SEARCH(설정!$A$46,K436))),설정!$B$46,IF(AND(설정!$A$47&lt;&gt;"",ISNUMBER(SEARCH(설정!$A$47,K436))),설정!$B$47,IF(AND(설정!$A$48&lt;&gt;"",ISNUMBER(SEARCH(설정!$A$48,K436))),설정!$B$48,IF(M436="","설계사","시공사"))))))))),"")</f>
        <v/>
      </c>
      <c r="V436">
        <f>SUBSTITUTE(SUBSTITUTE(SUBSTITUTE(SUBSTITUTE(G436,"(주)",""),"㈜",""),"주식회사","")," ","")</f>
        <v/>
      </c>
      <c r="W436">
        <f>IF(AND(T436,V436&lt;&gt;""),IF(COUNTIFS(V$2:V436,V436,T$2:T436,TRUE)=1,MAX(W$1:W435)+1,""),"")</f>
        <v/>
      </c>
      <c r="X436">
        <f>IFERROR(INDEX('1.산군_붙여넣기'!$A$1:$AZ$1001,ROW(),설정!$C$14)&amp;"","")</f>
        <v/>
      </c>
      <c r="Y436">
        <f>IFERROR(INDEX('1.산군_붙여넣기'!$A$1:$AZ$1001,ROW(),설정!$C$15)&amp;"","")</f>
        <v/>
      </c>
      <c r="Z436">
        <f>IF(T436,V436&amp;"|"&amp;U436,"")</f>
        <v/>
      </c>
    </row>
    <row r="437">
      <c r="A437">
        <f>ROW()</f>
        <v/>
      </c>
      <c r="B437">
        <f>IFERROR(INDEX('1.산군_붙여넣기'!$A$1:$AZ$1001,ROW(),설정!$C$4)&amp;"","")</f>
        <v/>
      </c>
      <c r="C437">
        <f>IFERROR(INDEX('1.산군_붙여넣기'!$A$1:$AZ$1001,ROW(),설정!$C$5)&amp;"","")</f>
        <v/>
      </c>
      <c r="D437" s="5">
        <f>IFERROR(VALUE(SUBSTITUTE(SUBSTITUTE(SUBSTITUTE(IFERROR(INDEX('1.산군_붙여넣기'!$A$1:$AZ$1001,ROW(),설정!$C$6)&amp;"",""),",",""),"㎡",""),"m2","")),"")</f>
        <v/>
      </c>
      <c r="E437">
        <f>IFERROR(INDEX('1.산군_붙여넣기'!$A$1:$AZ$1001,ROW(),설정!$C$7)&amp;"","")</f>
        <v/>
      </c>
      <c r="F437">
        <f>IFERROR(INDEX('1.산군_붙여넣기'!$A$1:$AZ$1001,ROW(),설정!$C$8)&amp;"","")</f>
        <v/>
      </c>
      <c r="G437">
        <f>IFERROR(INDEX('1.산군_붙여넣기'!$A$1:$AZ$1001,ROW(),설정!$C$9)&amp;"","")</f>
        <v/>
      </c>
      <c r="H437">
        <f>IFERROR(INDEX('1.산군_붙여넣기'!$A$1:$AZ$1001,ROW(),설정!$C$10)&amp;"","")</f>
        <v/>
      </c>
      <c r="I437">
        <f>IFERROR(INDEX('1.산군_붙여넣기'!$A$1:$AZ$1001,ROW(),설정!$C$11)&amp;"","")</f>
        <v/>
      </c>
      <c r="J437">
        <f>IFERROR(INDEX('1.산군_붙여넣기'!$A$1:$AZ$1001,ROW(),설정!$C$12)&amp;"","")</f>
        <v/>
      </c>
      <c r="K437">
        <f>IFERROR(INDEX('1.산군_붙여넣기'!$A$1:$AZ$1001,ROW(),설정!$C$13)&amp;"","")</f>
        <v/>
      </c>
      <c r="L437" s="6">
        <f>IF(X437="","",IF(AND(LEN(X437)=8,ISNUMBER(X437*1)),DATE(LEFT(X437,4),MID(X437,5,2),RIGHT(X437,2)),IFERROR(DATEVALUE(SUBSTITUTE(SUBSTITUTE(X437,".","-"),"/","-")),IFERROR(X437*1,""))))</f>
        <v/>
      </c>
      <c r="M437" s="6">
        <f>IF(Y437="","",IF(AND(LEN(Y437)=8,ISNUMBER(Y437*1)),DATE(LEFT(Y437,4),MID(Y437,5,2),RIGHT(Y437,2)),IFERROR(DATEVALUE(SUBSTITUTE(SUBSTITUTE(Y437,".","-"),"/","-")),IFERROR(Y437*1,""))))</f>
        <v/>
      </c>
      <c r="N437">
        <f>IFERROR(LEFT(B437,FIND(" ",B437)-1),B437)</f>
        <v/>
      </c>
      <c r="O437">
        <f>AND(B437&lt;&gt;"",B437&lt;&gt;설정!$B$4,C437&lt;&gt;설정!$B$5)</f>
        <v/>
      </c>
      <c r="P437">
        <f>IF(O437,B437&amp;"|"&amp;C437,"")</f>
        <v/>
      </c>
      <c r="Q437">
        <f>AND(O437,COUNTIF(P438:P$1002,P437)=0)</f>
        <v/>
      </c>
      <c r="R437">
        <f>OR(AND(설정!$A$28&lt;&gt;"",ISNUMBER(SEARCH(설정!$A$28,E437&amp;" "&amp;C437))),AND(설정!$A$29&lt;&gt;"",ISNUMBER(SEARCH(설정!$A$29,E437&amp;" "&amp;C437))),AND(설정!$A$30&lt;&gt;"",ISNUMBER(SEARCH(설정!$A$30,E437&amp;" "&amp;C437))),AND(설정!$A$31&lt;&gt;"",ISNUMBER(SEARCH(설정!$A$31,E437&amp;" "&amp;C437))),AND(설정!$A$32&lt;&gt;"",ISNUMBER(SEARCH(설정!$A$32,E437&amp;" "&amp;C437))),AND(설정!$A$33&lt;&gt;"",ISNUMBER(SEARCH(설정!$A$33,E437&amp;" "&amp;C437))),AND(설정!$A$34&lt;&gt;"",ISNUMBER(SEARCH(설정!$A$34,E437&amp;" "&amp;C437))),AND(설정!$A$35&lt;&gt;"",ISNUMBER(SEARCH(설정!$A$35,E437&amp;" "&amp;C437))),AND(설정!$A$36&lt;&gt;"",ISNUMBER(SEARCH(설정!$A$36,E437&amp;" "&amp;C437))),AND(설정!$A$37&lt;&gt;"",ISNUMBER(SEARCH(설정!$A$37,E437&amp;" "&amp;C437))))</f>
        <v/>
      </c>
      <c r="S437">
        <f>OR(D437="",D437&gt;=설정!$B$19)</f>
        <v/>
      </c>
      <c r="T437">
        <f>AND(Q437,R437,S437)</f>
        <v/>
      </c>
      <c r="U437">
        <f>IF(T437,IF(AND(설정!$A$41&lt;&gt;"",ISNUMBER(SEARCH(설정!$A$41,K437))),설정!$B$41,IF(AND(설정!$A$42&lt;&gt;"",ISNUMBER(SEARCH(설정!$A$42,K437))),설정!$B$42,IF(AND(설정!$A$43&lt;&gt;"",ISNUMBER(SEARCH(설정!$A$43,K437))),설정!$B$43,IF(AND(설정!$A$44&lt;&gt;"",ISNUMBER(SEARCH(설정!$A$44,K437))),설정!$B$44,IF(AND(설정!$A$45&lt;&gt;"",ISNUMBER(SEARCH(설정!$A$45,K437))),설정!$B$45,IF(AND(설정!$A$46&lt;&gt;"",ISNUMBER(SEARCH(설정!$A$46,K437))),설정!$B$46,IF(AND(설정!$A$47&lt;&gt;"",ISNUMBER(SEARCH(설정!$A$47,K437))),설정!$B$47,IF(AND(설정!$A$48&lt;&gt;"",ISNUMBER(SEARCH(설정!$A$48,K437))),설정!$B$48,IF(M437="","설계사","시공사"))))))))),"")</f>
        <v/>
      </c>
      <c r="V437">
        <f>SUBSTITUTE(SUBSTITUTE(SUBSTITUTE(SUBSTITUTE(G437,"(주)",""),"㈜",""),"주식회사","")," ","")</f>
        <v/>
      </c>
      <c r="W437">
        <f>IF(AND(T437,V437&lt;&gt;""),IF(COUNTIFS(V$2:V437,V437,T$2:T437,TRUE)=1,MAX(W$1:W436)+1,""),"")</f>
        <v/>
      </c>
      <c r="X437">
        <f>IFERROR(INDEX('1.산군_붙여넣기'!$A$1:$AZ$1001,ROW(),설정!$C$14)&amp;"","")</f>
        <v/>
      </c>
      <c r="Y437">
        <f>IFERROR(INDEX('1.산군_붙여넣기'!$A$1:$AZ$1001,ROW(),설정!$C$15)&amp;"","")</f>
        <v/>
      </c>
      <c r="Z437">
        <f>IF(T437,V437&amp;"|"&amp;U437,"")</f>
        <v/>
      </c>
    </row>
    <row r="438">
      <c r="A438">
        <f>ROW()</f>
        <v/>
      </c>
      <c r="B438">
        <f>IFERROR(INDEX('1.산군_붙여넣기'!$A$1:$AZ$1001,ROW(),설정!$C$4)&amp;"","")</f>
        <v/>
      </c>
      <c r="C438">
        <f>IFERROR(INDEX('1.산군_붙여넣기'!$A$1:$AZ$1001,ROW(),설정!$C$5)&amp;"","")</f>
        <v/>
      </c>
      <c r="D438" s="5">
        <f>IFERROR(VALUE(SUBSTITUTE(SUBSTITUTE(SUBSTITUTE(IFERROR(INDEX('1.산군_붙여넣기'!$A$1:$AZ$1001,ROW(),설정!$C$6)&amp;"",""),",",""),"㎡",""),"m2","")),"")</f>
        <v/>
      </c>
      <c r="E438">
        <f>IFERROR(INDEX('1.산군_붙여넣기'!$A$1:$AZ$1001,ROW(),설정!$C$7)&amp;"","")</f>
        <v/>
      </c>
      <c r="F438">
        <f>IFERROR(INDEX('1.산군_붙여넣기'!$A$1:$AZ$1001,ROW(),설정!$C$8)&amp;"","")</f>
        <v/>
      </c>
      <c r="G438">
        <f>IFERROR(INDEX('1.산군_붙여넣기'!$A$1:$AZ$1001,ROW(),설정!$C$9)&amp;"","")</f>
        <v/>
      </c>
      <c r="H438">
        <f>IFERROR(INDEX('1.산군_붙여넣기'!$A$1:$AZ$1001,ROW(),설정!$C$10)&amp;"","")</f>
        <v/>
      </c>
      <c r="I438">
        <f>IFERROR(INDEX('1.산군_붙여넣기'!$A$1:$AZ$1001,ROW(),설정!$C$11)&amp;"","")</f>
        <v/>
      </c>
      <c r="J438">
        <f>IFERROR(INDEX('1.산군_붙여넣기'!$A$1:$AZ$1001,ROW(),설정!$C$12)&amp;"","")</f>
        <v/>
      </c>
      <c r="K438">
        <f>IFERROR(INDEX('1.산군_붙여넣기'!$A$1:$AZ$1001,ROW(),설정!$C$13)&amp;"","")</f>
        <v/>
      </c>
      <c r="L438" s="6">
        <f>IF(X438="","",IF(AND(LEN(X438)=8,ISNUMBER(X438*1)),DATE(LEFT(X438,4),MID(X438,5,2),RIGHT(X438,2)),IFERROR(DATEVALUE(SUBSTITUTE(SUBSTITUTE(X438,".","-"),"/","-")),IFERROR(X438*1,""))))</f>
        <v/>
      </c>
      <c r="M438" s="6">
        <f>IF(Y438="","",IF(AND(LEN(Y438)=8,ISNUMBER(Y438*1)),DATE(LEFT(Y438,4),MID(Y438,5,2),RIGHT(Y438,2)),IFERROR(DATEVALUE(SUBSTITUTE(SUBSTITUTE(Y438,".","-"),"/","-")),IFERROR(Y438*1,""))))</f>
        <v/>
      </c>
      <c r="N438">
        <f>IFERROR(LEFT(B438,FIND(" ",B438)-1),B438)</f>
        <v/>
      </c>
      <c r="O438">
        <f>AND(B438&lt;&gt;"",B438&lt;&gt;설정!$B$4,C438&lt;&gt;설정!$B$5)</f>
        <v/>
      </c>
      <c r="P438">
        <f>IF(O438,B438&amp;"|"&amp;C438,"")</f>
        <v/>
      </c>
      <c r="Q438">
        <f>AND(O438,COUNTIF(P439:P$1002,P438)=0)</f>
        <v/>
      </c>
      <c r="R438">
        <f>OR(AND(설정!$A$28&lt;&gt;"",ISNUMBER(SEARCH(설정!$A$28,E438&amp;" "&amp;C438))),AND(설정!$A$29&lt;&gt;"",ISNUMBER(SEARCH(설정!$A$29,E438&amp;" "&amp;C438))),AND(설정!$A$30&lt;&gt;"",ISNUMBER(SEARCH(설정!$A$30,E438&amp;" "&amp;C438))),AND(설정!$A$31&lt;&gt;"",ISNUMBER(SEARCH(설정!$A$31,E438&amp;" "&amp;C438))),AND(설정!$A$32&lt;&gt;"",ISNUMBER(SEARCH(설정!$A$32,E438&amp;" "&amp;C438))),AND(설정!$A$33&lt;&gt;"",ISNUMBER(SEARCH(설정!$A$33,E438&amp;" "&amp;C438))),AND(설정!$A$34&lt;&gt;"",ISNUMBER(SEARCH(설정!$A$34,E438&amp;" "&amp;C438))),AND(설정!$A$35&lt;&gt;"",ISNUMBER(SEARCH(설정!$A$35,E438&amp;" "&amp;C438))),AND(설정!$A$36&lt;&gt;"",ISNUMBER(SEARCH(설정!$A$36,E438&amp;" "&amp;C438))),AND(설정!$A$37&lt;&gt;"",ISNUMBER(SEARCH(설정!$A$37,E438&amp;" "&amp;C438))))</f>
        <v/>
      </c>
      <c r="S438">
        <f>OR(D438="",D438&gt;=설정!$B$19)</f>
        <v/>
      </c>
      <c r="T438">
        <f>AND(Q438,R438,S438)</f>
        <v/>
      </c>
      <c r="U438">
        <f>IF(T438,IF(AND(설정!$A$41&lt;&gt;"",ISNUMBER(SEARCH(설정!$A$41,K438))),설정!$B$41,IF(AND(설정!$A$42&lt;&gt;"",ISNUMBER(SEARCH(설정!$A$42,K438))),설정!$B$42,IF(AND(설정!$A$43&lt;&gt;"",ISNUMBER(SEARCH(설정!$A$43,K438))),설정!$B$43,IF(AND(설정!$A$44&lt;&gt;"",ISNUMBER(SEARCH(설정!$A$44,K438))),설정!$B$44,IF(AND(설정!$A$45&lt;&gt;"",ISNUMBER(SEARCH(설정!$A$45,K438))),설정!$B$45,IF(AND(설정!$A$46&lt;&gt;"",ISNUMBER(SEARCH(설정!$A$46,K438))),설정!$B$46,IF(AND(설정!$A$47&lt;&gt;"",ISNUMBER(SEARCH(설정!$A$47,K438))),설정!$B$47,IF(AND(설정!$A$48&lt;&gt;"",ISNUMBER(SEARCH(설정!$A$48,K438))),설정!$B$48,IF(M438="","설계사","시공사"))))))))),"")</f>
        <v/>
      </c>
      <c r="V438">
        <f>SUBSTITUTE(SUBSTITUTE(SUBSTITUTE(SUBSTITUTE(G438,"(주)",""),"㈜",""),"주식회사","")," ","")</f>
        <v/>
      </c>
      <c r="W438">
        <f>IF(AND(T438,V438&lt;&gt;""),IF(COUNTIFS(V$2:V438,V438,T$2:T438,TRUE)=1,MAX(W$1:W437)+1,""),"")</f>
        <v/>
      </c>
      <c r="X438">
        <f>IFERROR(INDEX('1.산군_붙여넣기'!$A$1:$AZ$1001,ROW(),설정!$C$14)&amp;"","")</f>
        <v/>
      </c>
      <c r="Y438">
        <f>IFERROR(INDEX('1.산군_붙여넣기'!$A$1:$AZ$1001,ROW(),설정!$C$15)&amp;"","")</f>
        <v/>
      </c>
      <c r="Z438">
        <f>IF(T438,V438&amp;"|"&amp;U438,"")</f>
        <v/>
      </c>
    </row>
    <row r="439">
      <c r="A439">
        <f>ROW()</f>
        <v/>
      </c>
      <c r="B439">
        <f>IFERROR(INDEX('1.산군_붙여넣기'!$A$1:$AZ$1001,ROW(),설정!$C$4)&amp;"","")</f>
        <v/>
      </c>
      <c r="C439">
        <f>IFERROR(INDEX('1.산군_붙여넣기'!$A$1:$AZ$1001,ROW(),설정!$C$5)&amp;"","")</f>
        <v/>
      </c>
      <c r="D439" s="5">
        <f>IFERROR(VALUE(SUBSTITUTE(SUBSTITUTE(SUBSTITUTE(IFERROR(INDEX('1.산군_붙여넣기'!$A$1:$AZ$1001,ROW(),설정!$C$6)&amp;"",""),",",""),"㎡",""),"m2","")),"")</f>
        <v/>
      </c>
      <c r="E439">
        <f>IFERROR(INDEX('1.산군_붙여넣기'!$A$1:$AZ$1001,ROW(),설정!$C$7)&amp;"","")</f>
        <v/>
      </c>
      <c r="F439">
        <f>IFERROR(INDEX('1.산군_붙여넣기'!$A$1:$AZ$1001,ROW(),설정!$C$8)&amp;"","")</f>
        <v/>
      </c>
      <c r="G439">
        <f>IFERROR(INDEX('1.산군_붙여넣기'!$A$1:$AZ$1001,ROW(),설정!$C$9)&amp;"","")</f>
        <v/>
      </c>
      <c r="H439">
        <f>IFERROR(INDEX('1.산군_붙여넣기'!$A$1:$AZ$1001,ROW(),설정!$C$10)&amp;"","")</f>
        <v/>
      </c>
      <c r="I439">
        <f>IFERROR(INDEX('1.산군_붙여넣기'!$A$1:$AZ$1001,ROW(),설정!$C$11)&amp;"","")</f>
        <v/>
      </c>
      <c r="J439">
        <f>IFERROR(INDEX('1.산군_붙여넣기'!$A$1:$AZ$1001,ROW(),설정!$C$12)&amp;"","")</f>
        <v/>
      </c>
      <c r="K439">
        <f>IFERROR(INDEX('1.산군_붙여넣기'!$A$1:$AZ$1001,ROW(),설정!$C$13)&amp;"","")</f>
        <v/>
      </c>
      <c r="L439" s="6">
        <f>IF(X439="","",IF(AND(LEN(X439)=8,ISNUMBER(X439*1)),DATE(LEFT(X439,4),MID(X439,5,2),RIGHT(X439,2)),IFERROR(DATEVALUE(SUBSTITUTE(SUBSTITUTE(X439,".","-"),"/","-")),IFERROR(X439*1,""))))</f>
        <v/>
      </c>
      <c r="M439" s="6">
        <f>IF(Y439="","",IF(AND(LEN(Y439)=8,ISNUMBER(Y439*1)),DATE(LEFT(Y439,4),MID(Y439,5,2),RIGHT(Y439,2)),IFERROR(DATEVALUE(SUBSTITUTE(SUBSTITUTE(Y439,".","-"),"/","-")),IFERROR(Y439*1,""))))</f>
        <v/>
      </c>
      <c r="N439">
        <f>IFERROR(LEFT(B439,FIND(" ",B439)-1),B439)</f>
        <v/>
      </c>
      <c r="O439">
        <f>AND(B439&lt;&gt;"",B439&lt;&gt;설정!$B$4,C439&lt;&gt;설정!$B$5)</f>
        <v/>
      </c>
      <c r="P439">
        <f>IF(O439,B439&amp;"|"&amp;C439,"")</f>
        <v/>
      </c>
      <c r="Q439">
        <f>AND(O439,COUNTIF(P440:P$1002,P439)=0)</f>
        <v/>
      </c>
      <c r="R439">
        <f>OR(AND(설정!$A$28&lt;&gt;"",ISNUMBER(SEARCH(설정!$A$28,E439&amp;" "&amp;C439))),AND(설정!$A$29&lt;&gt;"",ISNUMBER(SEARCH(설정!$A$29,E439&amp;" "&amp;C439))),AND(설정!$A$30&lt;&gt;"",ISNUMBER(SEARCH(설정!$A$30,E439&amp;" "&amp;C439))),AND(설정!$A$31&lt;&gt;"",ISNUMBER(SEARCH(설정!$A$31,E439&amp;" "&amp;C439))),AND(설정!$A$32&lt;&gt;"",ISNUMBER(SEARCH(설정!$A$32,E439&amp;" "&amp;C439))),AND(설정!$A$33&lt;&gt;"",ISNUMBER(SEARCH(설정!$A$33,E439&amp;" "&amp;C439))),AND(설정!$A$34&lt;&gt;"",ISNUMBER(SEARCH(설정!$A$34,E439&amp;" "&amp;C439))),AND(설정!$A$35&lt;&gt;"",ISNUMBER(SEARCH(설정!$A$35,E439&amp;" "&amp;C439))),AND(설정!$A$36&lt;&gt;"",ISNUMBER(SEARCH(설정!$A$36,E439&amp;" "&amp;C439))),AND(설정!$A$37&lt;&gt;"",ISNUMBER(SEARCH(설정!$A$37,E439&amp;" "&amp;C439))))</f>
        <v/>
      </c>
      <c r="S439">
        <f>OR(D439="",D439&gt;=설정!$B$19)</f>
        <v/>
      </c>
      <c r="T439">
        <f>AND(Q439,R439,S439)</f>
        <v/>
      </c>
      <c r="U439">
        <f>IF(T439,IF(AND(설정!$A$41&lt;&gt;"",ISNUMBER(SEARCH(설정!$A$41,K439))),설정!$B$41,IF(AND(설정!$A$42&lt;&gt;"",ISNUMBER(SEARCH(설정!$A$42,K439))),설정!$B$42,IF(AND(설정!$A$43&lt;&gt;"",ISNUMBER(SEARCH(설정!$A$43,K439))),설정!$B$43,IF(AND(설정!$A$44&lt;&gt;"",ISNUMBER(SEARCH(설정!$A$44,K439))),설정!$B$44,IF(AND(설정!$A$45&lt;&gt;"",ISNUMBER(SEARCH(설정!$A$45,K439))),설정!$B$45,IF(AND(설정!$A$46&lt;&gt;"",ISNUMBER(SEARCH(설정!$A$46,K439))),설정!$B$46,IF(AND(설정!$A$47&lt;&gt;"",ISNUMBER(SEARCH(설정!$A$47,K439))),설정!$B$47,IF(AND(설정!$A$48&lt;&gt;"",ISNUMBER(SEARCH(설정!$A$48,K439))),설정!$B$48,IF(M439="","설계사","시공사"))))))))),"")</f>
        <v/>
      </c>
      <c r="V439">
        <f>SUBSTITUTE(SUBSTITUTE(SUBSTITUTE(SUBSTITUTE(G439,"(주)",""),"㈜",""),"주식회사","")," ","")</f>
        <v/>
      </c>
      <c r="W439">
        <f>IF(AND(T439,V439&lt;&gt;""),IF(COUNTIFS(V$2:V439,V439,T$2:T439,TRUE)=1,MAX(W$1:W438)+1,""),"")</f>
        <v/>
      </c>
      <c r="X439">
        <f>IFERROR(INDEX('1.산군_붙여넣기'!$A$1:$AZ$1001,ROW(),설정!$C$14)&amp;"","")</f>
        <v/>
      </c>
      <c r="Y439">
        <f>IFERROR(INDEX('1.산군_붙여넣기'!$A$1:$AZ$1001,ROW(),설정!$C$15)&amp;"","")</f>
        <v/>
      </c>
      <c r="Z439">
        <f>IF(T439,V439&amp;"|"&amp;U439,"")</f>
        <v/>
      </c>
    </row>
    <row r="440">
      <c r="A440">
        <f>ROW()</f>
        <v/>
      </c>
      <c r="B440">
        <f>IFERROR(INDEX('1.산군_붙여넣기'!$A$1:$AZ$1001,ROW(),설정!$C$4)&amp;"","")</f>
        <v/>
      </c>
      <c r="C440">
        <f>IFERROR(INDEX('1.산군_붙여넣기'!$A$1:$AZ$1001,ROW(),설정!$C$5)&amp;"","")</f>
        <v/>
      </c>
      <c r="D440" s="5">
        <f>IFERROR(VALUE(SUBSTITUTE(SUBSTITUTE(SUBSTITUTE(IFERROR(INDEX('1.산군_붙여넣기'!$A$1:$AZ$1001,ROW(),설정!$C$6)&amp;"",""),",",""),"㎡",""),"m2","")),"")</f>
        <v/>
      </c>
      <c r="E440">
        <f>IFERROR(INDEX('1.산군_붙여넣기'!$A$1:$AZ$1001,ROW(),설정!$C$7)&amp;"","")</f>
        <v/>
      </c>
      <c r="F440">
        <f>IFERROR(INDEX('1.산군_붙여넣기'!$A$1:$AZ$1001,ROW(),설정!$C$8)&amp;"","")</f>
        <v/>
      </c>
      <c r="G440">
        <f>IFERROR(INDEX('1.산군_붙여넣기'!$A$1:$AZ$1001,ROW(),설정!$C$9)&amp;"","")</f>
        <v/>
      </c>
      <c r="H440">
        <f>IFERROR(INDEX('1.산군_붙여넣기'!$A$1:$AZ$1001,ROW(),설정!$C$10)&amp;"","")</f>
        <v/>
      </c>
      <c r="I440">
        <f>IFERROR(INDEX('1.산군_붙여넣기'!$A$1:$AZ$1001,ROW(),설정!$C$11)&amp;"","")</f>
        <v/>
      </c>
      <c r="J440">
        <f>IFERROR(INDEX('1.산군_붙여넣기'!$A$1:$AZ$1001,ROW(),설정!$C$12)&amp;"","")</f>
        <v/>
      </c>
      <c r="K440">
        <f>IFERROR(INDEX('1.산군_붙여넣기'!$A$1:$AZ$1001,ROW(),설정!$C$13)&amp;"","")</f>
        <v/>
      </c>
      <c r="L440" s="6">
        <f>IF(X440="","",IF(AND(LEN(X440)=8,ISNUMBER(X440*1)),DATE(LEFT(X440,4),MID(X440,5,2),RIGHT(X440,2)),IFERROR(DATEVALUE(SUBSTITUTE(SUBSTITUTE(X440,".","-"),"/","-")),IFERROR(X440*1,""))))</f>
        <v/>
      </c>
      <c r="M440" s="6">
        <f>IF(Y440="","",IF(AND(LEN(Y440)=8,ISNUMBER(Y440*1)),DATE(LEFT(Y440,4),MID(Y440,5,2),RIGHT(Y440,2)),IFERROR(DATEVALUE(SUBSTITUTE(SUBSTITUTE(Y440,".","-"),"/","-")),IFERROR(Y440*1,""))))</f>
        <v/>
      </c>
      <c r="N440">
        <f>IFERROR(LEFT(B440,FIND(" ",B440)-1),B440)</f>
        <v/>
      </c>
      <c r="O440">
        <f>AND(B440&lt;&gt;"",B440&lt;&gt;설정!$B$4,C440&lt;&gt;설정!$B$5)</f>
        <v/>
      </c>
      <c r="P440">
        <f>IF(O440,B440&amp;"|"&amp;C440,"")</f>
        <v/>
      </c>
      <c r="Q440">
        <f>AND(O440,COUNTIF(P441:P$1002,P440)=0)</f>
        <v/>
      </c>
      <c r="R440">
        <f>OR(AND(설정!$A$28&lt;&gt;"",ISNUMBER(SEARCH(설정!$A$28,E440&amp;" "&amp;C440))),AND(설정!$A$29&lt;&gt;"",ISNUMBER(SEARCH(설정!$A$29,E440&amp;" "&amp;C440))),AND(설정!$A$30&lt;&gt;"",ISNUMBER(SEARCH(설정!$A$30,E440&amp;" "&amp;C440))),AND(설정!$A$31&lt;&gt;"",ISNUMBER(SEARCH(설정!$A$31,E440&amp;" "&amp;C440))),AND(설정!$A$32&lt;&gt;"",ISNUMBER(SEARCH(설정!$A$32,E440&amp;" "&amp;C440))),AND(설정!$A$33&lt;&gt;"",ISNUMBER(SEARCH(설정!$A$33,E440&amp;" "&amp;C440))),AND(설정!$A$34&lt;&gt;"",ISNUMBER(SEARCH(설정!$A$34,E440&amp;" "&amp;C440))),AND(설정!$A$35&lt;&gt;"",ISNUMBER(SEARCH(설정!$A$35,E440&amp;" "&amp;C440))),AND(설정!$A$36&lt;&gt;"",ISNUMBER(SEARCH(설정!$A$36,E440&amp;" "&amp;C440))),AND(설정!$A$37&lt;&gt;"",ISNUMBER(SEARCH(설정!$A$37,E440&amp;" "&amp;C440))))</f>
        <v/>
      </c>
      <c r="S440">
        <f>OR(D440="",D440&gt;=설정!$B$19)</f>
        <v/>
      </c>
      <c r="T440">
        <f>AND(Q440,R440,S440)</f>
        <v/>
      </c>
      <c r="U440">
        <f>IF(T440,IF(AND(설정!$A$41&lt;&gt;"",ISNUMBER(SEARCH(설정!$A$41,K440))),설정!$B$41,IF(AND(설정!$A$42&lt;&gt;"",ISNUMBER(SEARCH(설정!$A$42,K440))),설정!$B$42,IF(AND(설정!$A$43&lt;&gt;"",ISNUMBER(SEARCH(설정!$A$43,K440))),설정!$B$43,IF(AND(설정!$A$44&lt;&gt;"",ISNUMBER(SEARCH(설정!$A$44,K440))),설정!$B$44,IF(AND(설정!$A$45&lt;&gt;"",ISNUMBER(SEARCH(설정!$A$45,K440))),설정!$B$45,IF(AND(설정!$A$46&lt;&gt;"",ISNUMBER(SEARCH(설정!$A$46,K440))),설정!$B$46,IF(AND(설정!$A$47&lt;&gt;"",ISNUMBER(SEARCH(설정!$A$47,K440))),설정!$B$47,IF(AND(설정!$A$48&lt;&gt;"",ISNUMBER(SEARCH(설정!$A$48,K440))),설정!$B$48,IF(M440="","설계사","시공사"))))))))),"")</f>
        <v/>
      </c>
      <c r="V440">
        <f>SUBSTITUTE(SUBSTITUTE(SUBSTITUTE(SUBSTITUTE(G440,"(주)",""),"㈜",""),"주식회사","")," ","")</f>
        <v/>
      </c>
      <c r="W440">
        <f>IF(AND(T440,V440&lt;&gt;""),IF(COUNTIFS(V$2:V440,V440,T$2:T440,TRUE)=1,MAX(W$1:W439)+1,""),"")</f>
        <v/>
      </c>
      <c r="X440">
        <f>IFERROR(INDEX('1.산군_붙여넣기'!$A$1:$AZ$1001,ROW(),설정!$C$14)&amp;"","")</f>
        <v/>
      </c>
      <c r="Y440">
        <f>IFERROR(INDEX('1.산군_붙여넣기'!$A$1:$AZ$1001,ROW(),설정!$C$15)&amp;"","")</f>
        <v/>
      </c>
      <c r="Z440">
        <f>IF(T440,V440&amp;"|"&amp;U440,"")</f>
        <v/>
      </c>
    </row>
    <row r="441">
      <c r="A441">
        <f>ROW()</f>
        <v/>
      </c>
      <c r="B441">
        <f>IFERROR(INDEX('1.산군_붙여넣기'!$A$1:$AZ$1001,ROW(),설정!$C$4)&amp;"","")</f>
        <v/>
      </c>
      <c r="C441">
        <f>IFERROR(INDEX('1.산군_붙여넣기'!$A$1:$AZ$1001,ROW(),설정!$C$5)&amp;"","")</f>
        <v/>
      </c>
      <c r="D441" s="5">
        <f>IFERROR(VALUE(SUBSTITUTE(SUBSTITUTE(SUBSTITUTE(IFERROR(INDEX('1.산군_붙여넣기'!$A$1:$AZ$1001,ROW(),설정!$C$6)&amp;"",""),",",""),"㎡",""),"m2","")),"")</f>
        <v/>
      </c>
      <c r="E441">
        <f>IFERROR(INDEX('1.산군_붙여넣기'!$A$1:$AZ$1001,ROW(),설정!$C$7)&amp;"","")</f>
        <v/>
      </c>
      <c r="F441">
        <f>IFERROR(INDEX('1.산군_붙여넣기'!$A$1:$AZ$1001,ROW(),설정!$C$8)&amp;"","")</f>
        <v/>
      </c>
      <c r="G441">
        <f>IFERROR(INDEX('1.산군_붙여넣기'!$A$1:$AZ$1001,ROW(),설정!$C$9)&amp;"","")</f>
        <v/>
      </c>
      <c r="H441">
        <f>IFERROR(INDEX('1.산군_붙여넣기'!$A$1:$AZ$1001,ROW(),설정!$C$10)&amp;"","")</f>
        <v/>
      </c>
      <c r="I441">
        <f>IFERROR(INDEX('1.산군_붙여넣기'!$A$1:$AZ$1001,ROW(),설정!$C$11)&amp;"","")</f>
        <v/>
      </c>
      <c r="J441">
        <f>IFERROR(INDEX('1.산군_붙여넣기'!$A$1:$AZ$1001,ROW(),설정!$C$12)&amp;"","")</f>
        <v/>
      </c>
      <c r="K441">
        <f>IFERROR(INDEX('1.산군_붙여넣기'!$A$1:$AZ$1001,ROW(),설정!$C$13)&amp;"","")</f>
        <v/>
      </c>
      <c r="L441" s="6">
        <f>IF(X441="","",IF(AND(LEN(X441)=8,ISNUMBER(X441*1)),DATE(LEFT(X441,4),MID(X441,5,2),RIGHT(X441,2)),IFERROR(DATEVALUE(SUBSTITUTE(SUBSTITUTE(X441,".","-"),"/","-")),IFERROR(X441*1,""))))</f>
        <v/>
      </c>
      <c r="M441" s="6">
        <f>IF(Y441="","",IF(AND(LEN(Y441)=8,ISNUMBER(Y441*1)),DATE(LEFT(Y441,4),MID(Y441,5,2),RIGHT(Y441,2)),IFERROR(DATEVALUE(SUBSTITUTE(SUBSTITUTE(Y441,".","-"),"/","-")),IFERROR(Y441*1,""))))</f>
        <v/>
      </c>
      <c r="N441">
        <f>IFERROR(LEFT(B441,FIND(" ",B441)-1),B441)</f>
        <v/>
      </c>
      <c r="O441">
        <f>AND(B441&lt;&gt;"",B441&lt;&gt;설정!$B$4,C441&lt;&gt;설정!$B$5)</f>
        <v/>
      </c>
      <c r="P441">
        <f>IF(O441,B441&amp;"|"&amp;C441,"")</f>
        <v/>
      </c>
      <c r="Q441">
        <f>AND(O441,COUNTIF(P442:P$1002,P441)=0)</f>
        <v/>
      </c>
      <c r="R441">
        <f>OR(AND(설정!$A$28&lt;&gt;"",ISNUMBER(SEARCH(설정!$A$28,E441&amp;" "&amp;C441))),AND(설정!$A$29&lt;&gt;"",ISNUMBER(SEARCH(설정!$A$29,E441&amp;" "&amp;C441))),AND(설정!$A$30&lt;&gt;"",ISNUMBER(SEARCH(설정!$A$30,E441&amp;" "&amp;C441))),AND(설정!$A$31&lt;&gt;"",ISNUMBER(SEARCH(설정!$A$31,E441&amp;" "&amp;C441))),AND(설정!$A$32&lt;&gt;"",ISNUMBER(SEARCH(설정!$A$32,E441&amp;" "&amp;C441))),AND(설정!$A$33&lt;&gt;"",ISNUMBER(SEARCH(설정!$A$33,E441&amp;" "&amp;C441))),AND(설정!$A$34&lt;&gt;"",ISNUMBER(SEARCH(설정!$A$34,E441&amp;" "&amp;C441))),AND(설정!$A$35&lt;&gt;"",ISNUMBER(SEARCH(설정!$A$35,E441&amp;" "&amp;C441))),AND(설정!$A$36&lt;&gt;"",ISNUMBER(SEARCH(설정!$A$36,E441&amp;" "&amp;C441))),AND(설정!$A$37&lt;&gt;"",ISNUMBER(SEARCH(설정!$A$37,E441&amp;" "&amp;C441))))</f>
        <v/>
      </c>
      <c r="S441">
        <f>OR(D441="",D441&gt;=설정!$B$19)</f>
        <v/>
      </c>
      <c r="T441">
        <f>AND(Q441,R441,S441)</f>
        <v/>
      </c>
      <c r="U441">
        <f>IF(T441,IF(AND(설정!$A$41&lt;&gt;"",ISNUMBER(SEARCH(설정!$A$41,K441))),설정!$B$41,IF(AND(설정!$A$42&lt;&gt;"",ISNUMBER(SEARCH(설정!$A$42,K441))),설정!$B$42,IF(AND(설정!$A$43&lt;&gt;"",ISNUMBER(SEARCH(설정!$A$43,K441))),설정!$B$43,IF(AND(설정!$A$44&lt;&gt;"",ISNUMBER(SEARCH(설정!$A$44,K441))),설정!$B$44,IF(AND(설정!$A$45&lt;&gt;"",ISNUMBER(SEARCH(설정!$A$45,K441))),설정!$B$45,IF(AND(설정!$A$46&lt;&gt;"",ISNUMBER(SEARCH(설정!$A$46,K441))),설정!$B$46,IF(AND(설정!$A$47&lt;&gt;"",ISNUMBER(SEARCH(설정!$A$47,K441))),설정!$B$47,IF(AND(설정!$A$48&lt;&gt;"",ISNUMBER(SEARCH(설정!$A$48,K441))),설정!$B$48,IF(M441="","설계사","시공사"))))))))),"")</f>
        <v/>
      </c>
      <c r="V441">
        <f>SUBSTITUTE(SUBSTITUTE(SUBSTITUTE(SUBSTITUTE(G441,"(주)",""),"㈜",""),"주식회사","")," ","")</f>
        <v/>
      </c>
      <c r="W441">
        <f>IF(AND(T441,V441&lt;&gt;""),IF(COUNTIFS(V$2:V441,V441,T$2:T441,TRUE)=1,MAX(W$1:W440)+1,""),"")</f>
        <v/>
      </c>
      <c r="X441">
        <f>IFERROR(INDEX('1.산군_붙여넣기'!$A$1:$AZ$1001,ROW(),설정!$C$14)&amp;"","")</f>
        <v/>
      </c>
      <c r="Y441">
        <f>IFERROR(INDEX('1.산군_붙여넣기'!$A$1:$AZ$1001,ROW(),설정!$C$15)&amp;"","")</f>
        <v/>
      </c>
      <c r="Z441">
        <f>IF(T441,V441&amp;"|"&amp;U441,"")</f>
        <v/>
      </c>
    </row>
    <row r="442">
      <c r="A442">
        <f>ROW()</f>
        <v/>
      </c>
      <c r="B442">
        <f>IFERROR(INDEX('1.산군_붙여넣기'!$A$1:$AZ$1001,ROW(),설정!$C$4)&amp;"","")</f>
        <v/>
      </c>
      <c r="C442">
        <f>IFERROR(INDEX('1.산군_붙여넣기'!$A$1:$AZ$1001,ROW(),설정!$C$5)&amp;"","")</f>
        <v/>
      </c>
      <c r="D442" s="5">
        <f>IFERROR(VALUE(SUBSTITUTE(SUBSTITUTE(SUBSTITUTE(IFERROR(INDEX('1.산군_붙여넣기'!$A$1:$AZ$1001,ROW(),설정!$C$6)&amp;"",""),",",""),"㎡",""),"m2","")),"")</f>
        <v/>
      </c>
      <c r="E442">
        <f>IFERROR(INDEX('1.산군_붙여넣기'!$A$1:$AZ$1001,ROW(),설정!$C$7)&amp;"","")</f>
        <v/>
      </c>
      <c r="F442">
        <f>IFERROR(INDEX('1.산군_붙여넣기'!$A$1:$AZ$1001,ROW(),설정!$C$8)&amp;"","")</f>
        <v/>
      </c>
      <c r="G442">
        <f>IFERROR(INDEX('1.산군_붙여넣기'!$A$1:$AZ$1001,ROW(),설정!$C$9)&amp;"","")</f>
        <v/>
      </c>
      <c r="H442">
        <f>IFERROR(INDEX('1.산군_붙여넣기'!$A$1:$AZ$1001,ROW(),설정!$C$10)&amp;"","")</f>
        <v/>
      </c>
      <c r="I442">
        <f>IFERROR(INDEX('1.산군_붙여넣기'!$A$1:$AZ$1001,ROW(),설정!$C$11)&amp;"","")</f>
        <v/>
      </c>
      <c r="J442">
        <f>IFERROR(INDEX('1.산군_붙여넣기'!$A$1:$AZ$1001,ROW(),설정!$C$12)&amp;"","")</f>
        <v/>
      </c>
      <c r="K442">
        <f>IFERROR(INDEX('1.산군_붙여넣기'!$A$1:$AZ$1001,ROW(),설정!$C$13)&amp;"","")</f>
        <v/>
      </c>
      <c r="L442" s="6">
        <f>IF(X442="","",IF(AND(LEN(X442)=8,ISNUMBER(X442*1)),DATE(LEFT(X442,4),MID(X442,5,2),RIGHT(X442,2)),IFERROR(DATEVALUE(SUBSTITUTE(SUBSTITUTE(X442,".","-"),"/","-")),IFERROR(X442*1,""))))</f>
        <v/>
      </c>
      <c r="M442" s="6">
        <f>IF(Y442="","",IF(AND(LEN(Y442)=8,ISNUMBER(Y442*1)),DATE(LEFT(Y442,4),MID(Y442,5,2),RIGHT(Y442,2)),IFERROR(DATEVALUE(SUBSTITUTE(SUBSTITUTE(Y442,".","-"),"/","-")),IFERROR(Y442*1,""))))</f>
        <v/>
      </c>
      <c r="N442">
        <f>IFERROR(LEFT(B442,FIND(" ",B442)-1),B442)</f>
        <v/>
      </c>
      <c r="O442">
        <f>AND(B442&lt;&gt;"",B442&lt;&gt;설정!$B$4,C442&lt;&gt;설정!$B$5)</f>
        <v/>
      </c>
      <c r="P442">
        <f>IF(O442,B442&amp;"|"&amp;C442,"")</f>
        <v/>
      </c>
      <c r="Q442">
        <f>AND(O442,COUNTIF(P443:P$1002,P442)=0)</f>
        <v/>
      </c>
      <c r="R442">
        <f>OR(AND(설정!$A$28&lt;&gt;"",ISNUMBER(SEARCH(설정!$A$28,E442&amp;" "&amp;C442))),AND(설정!$A$29&lt;&gt;"",ISNUMBER(SEARCH(설정!$A$29,E442&amp;" "&amp;C442))),AND(설정!$A$30&lt;&gt;"",ISNUMBER(SEARCH(설정!$A$30,E442&amp;" "&amp;C442))),AND(설정!$A$31&lt;&gt;"",ISNUMBER(SEARCH(설정!$A$31,E442&amp;" "&amp;C442))),AND(설정!$A$32&lt;&gt;"",ISNUMBER(SEARCH(설정!$A$32,E442&amp;" "&amp;C442))),AND(설정!$A$33&lt;&gt;"",ISNUMBER(SEARCH(설정!$A$33,E442&amp;" "&amp;C442))),AND(설정!$A$34&lt;&gt;"",ISNUMBER(SEARCH(설정!$A$34,E442&amp;" "&amp;C442))),AND(설정!$A$35&lt;&gt;"",ISNUMBER(SEARCH(설정!$A$35,E442&amp;" "&amp;C442))),AND(설정!$A$36&lt;&gt;"",ISNUMBER(SEARCH(설정!$A$36,E442&amp;" "&amp;C442))),AND(설정!$A$37&lt;&gt;"",ISNUMBER(SEARCH(설정!$A$37,E442&amp;" "&amp;C442))))</f>
        <v/>
      </c>
      <c r="S442">
        <f>OR(D442="",D442&gt;=설정!$B$19)</f>
        <v/>
      </c>
      <c r="T442">
        <f>AND(Q442,R442,S442)</f>
        <v/>
      </c>
      <c r="U442">
        <f>IF(T442,IF(AND(설정!$A$41&lt;&gt;"",ISNUMBER(SEARCH(설정!$A$41,K442))),설정!$B$41,IF(AND(설정!$A$42&lt;&gt;"",ISNUMBER(SEARCH(설정!$A$42,K442))),설정!$B$42,IF(AND(설정!$A$43&lt;&gt;"",ISNUMBER(SEARCH(설정!$A$43,K442))),설정!$B$43,IF(AND(설정!$A$44&lt;&gt;"",ISNUMBER(SEARCH(설정!$A$44,K442))),설정!$B$44,IF(AND(설정!$A$45&lt;&gt;"",ISNUMBER(SEARCH(설정!$A$45,K442))),설정!$B$45,IF(AND(설정!$A$46&lt;&gt;"",ISNUMBER(SEARCH(설정!$A$46,K442))),설정!$B$46,IF(AND(설정!$A$47&lt;&gt;"",ISNUMBER(SEARCH(설정!$A$47,K442))),설정!$B$47,IF(AND(설정!$A$48&lt;&gt;"",ISNUMBER(SEARCH(설정!$A$48,K442))),설정!$B$48,IF(M442="","설계사","시공사"))))))))),"")</f>
        <v/>
      </c>
      <c r="V442">
        <f>SUBSTITUTE(SUBSTITUTE(SUBSTITUTE(SUBSTITUTE(G442,"(주)",""),"㈜",""),"주식회사","")," ","")</f>
        <v/>
      </c>
      <c r="W442">
        <f>IF(AND(T442,V442&lt;&gt;""),IF(COUNTIFS(V$2:V442,V442,T$2:T442,TRUE)=1,MAX(W$1:W441)+1,""),"")</f>
        <v/>
      </c>
      <c r="X442">
        <f>IFERROR(INDEX('1.산군_붙여넣기'!$A$1:$AZ$1001,ROW(),설정!$C$14)&amp;"","")</f>
        <v/>
      </c>
      <c r="Y442">
        <f>IFERROR(INDEX('1.산군_붙여넣기'!$A$1:$AZ$1001,ROW(),설정!$C$15)&amp;"","")</f>
        <v/>
      </c>
      <c r="Z442">
        <f>IF(T442,V442&amp;"|"&amp;U442,"")</f>
        <v/>
      </c>
    </row>
    <row r="443">
      <c r="A443">
        <f>ROW()</f>
        <v/>
      </c>
      <c r="B443">
        <f>IFERROR(INDEX('1.산군_붙여넣기'!$A$1:$AZ$1001,ROW(),설정!$C$4)&amp;"","")</f>
        <v/>
      </c>
      <c r="C443">
        <f>IFERROR(INDEX('1.산군_붙여넣기'!$A$1:$AZ$1001,ROW(),설정!$C$5)&amp;"","")</f>
        <v/>
      </c>
      <c r="D443" s="5">
        <f>IFERROR(VALUE(SUBSTITUTE(SUBSTITUTE(SUBSTITUTE(IFERROR(INDEX('1.산군_붙여넣기'!$A$1:$AZ$1001,ROW(),설정!$C$6)&amp;"",""),",",""),"㎡",""),"m2","")),"")</f>
        <v/>
      </c>
      <c r="E443">
        <f>IFERROR(INDEX('1.산군_붙여넣기'!$A$1:$AZ$1001,ROW(),설정!$C$7)&amp;"","")</f>
        <v/>
      </c>
      <c r="F443">
        <f>IFERROR(INDEX('1.산군_붙여넣기'!$A$1:$AZ$1001,ROW(),설정!$C$8)&amp;"","")</f>
        <v/>
      </c>
      <c r="G443">
        <f>IFERROR(INDEX('1.산군_붙여넣기'!$A$1:$AZ$1001,ROW(),설정!$C$9)&amp;"","")</f>
        <v/>
      </c>
      <c r="H443">
        <f>IFERROR(INDEX('1.산군_붙여넣기'!$A$1:$AZ$1001,ROW(),설정!$C$10)&amp;"","")</f>
        <v/>
      </c>
      <c r="I443">
        <f>IFERROR(INDEX('1.산군_붙여넣기'!$A$1:$AZ$1001,ROW(),설정!$C$11)&amp;"","")</f>
        <v/>
      </c>
      <c r="J443">
        <f>IFERROR(INDEX('1.산군_붙여넣기'!$A$1:$AZ$1001,ROW(),설정!$C$12)&amp;"","")</f>
        <v/>
      </c>
      <c r="K443">
        <f>IFERROR(INDEX('1.산군_붙여넣기'!$A$1:$AZ$1001,ROW(),설정!$C$13)&amp;"","")</f>
        <v/>
      </c>
      <c r="L443" s="6">
        <f>IF(X443="","",IF(AND(LEN(X443)=8,ISNUMBER(X443*1)),DATE(LEFT(X443,4),MID(X443,5,2),RIGHT(X443,2)),IFERROR(DATEVALUE(SUBSTITUTE(SUBSTITUTE(X443,".","-"),"/","-")),IFERROR(X443*1,""))))</f>
        <v/>
      </c>
      <c r="M443" s="6">
        <f>IF(Y443="","",IF(AND(LEN(Y443)=8,ISNUMBER(Y443*1)),DATE(LEFT(Y443,4),MID(Y443,5,2),RIGHT(Y443,2)),IFERROR(DATEVALUE(SUBSTITUTE(SUBSTITUTE(Y443,".","-"),"/","-")),IFERROR(Y443*1,""))))</f>
        <v/>
      </c>
      <c r="N443">
        <f>IFERROR(LEFT(B443,FIND(" ",B443)-1),B443)</f>
        <v/>
      </c>
      <c r="O443">
        <f>AND(B443&lt;&gt;"",B443&lt;&gt;설정!$B$4,C443&lt;&gt;설정!$B$5)</f>
        <v/>
      </c>
      <c r="P443">
        <f>IF(O443,B443&amp;"|"&amp;C443,"")</f>
        <v/>
      </c>
      <c r="Q443">
        <f>AND(O443,COUNTIF(P444:P$1002,P443)=0)</f>
        <v/>
      </c>
      <c r="R443">
        <f>OR(AND(설정!$A$28&lt;&gt;"",ISNUMBER(SEARCH(설정!$A$28,E443&amp;" "&amp;C443))),AND(설정!$A$29&lt;&gt;"",ISNUMBER(SEARCH(설정!$A$29,E443&amp;" "&amp;C443))),AND(설정!$A$30&lt;&gt;"",ISNUMBER(SEARCH(설정!$A$30,E443&amp;" "&amp;C443))),AND(설정!$A$31&lt;&gt;"",ISNUMBER(SEARCH(설정!$A$31,E443&amp;" "&amp;C443))),AND(설정!$A$32&lt;&gt;"",ISNUMBER(SEARCH(설정!$A$32,E443&amp;" "&amp;C443))),AND(설정!$A$33&lt;&gt;"",ISNUMBER(SEARCH(설정!$A$33,E443&amp;" "&amp;C443))),AND(설정!$A$34&lt;&gt;"",ISNUMBER(SEARCH(설정!$A$34,E443&amp;" "&amp;C443))),AND(설정!$A$35&lt;&gt;"",ISNUMBER(SEARCH(설정!$A$35,E443&amp;" "&amp;C443))),AND(설정!$A$36&lt;&gt;"",ISNUMBER(SEARCH(설정!$A$36,E443&amp;" "&amp;C443))),AND(설정!$A$37&lt;&gt;"",ISNUMBER(SEARCH(설정!$A$37,E443&amp;" "&amp;C443))))</f>
        <v/>
      </c>
      <c r="S443">
        <f>OR(D443="",D443&gt;=설정!$B$19)</f>
        <v/>
      </c>
      <c r="T443">
        <f>AND(Q443,R443,S443)</f>
        <v/>
      </c>
      <c r="U443">
        <f>IF(T443,IF(AND(설정!$A$41&lt;&gt;"",ISNUMBER(SEARCH(설정!$A$41,K443))),설정!$B$41,IF(AND(설정!$A$42&lt;&gt;"",ISNUMBER(SEARCH(설정!$A$42,K443))),설정!$B$42,IF(AND(설정!$A$43&lt;&gt;"",ISNUMBER(SEARCH(설정!$A$43,K443))),설정!$B$43,IF(AND(설정!$A$44&lt;&gt;"",ISNUMBER(SEARCH(설정!$A$44,K443))),설정!$B$44,IF(AND(설정!$A$45&lt;&gt;"",ISNUMBER(SEARCH(설정!$A$45,K443))),설정!$B$45,IF(AND(설정!$A$46&lt;&gt;"",ISNUMBER(SEARCH(설정!$A$46,K443))),설정!$B$46,IF(AND(설정!$A$47&lt;&gt;"",ISNUMBER(SEARCH(설정!$A$47,K443))),설정!$B$47,IF(AND(설정!$A$48&lt;&gt;"",ISNUMBER(SEARCH(설정!$A$48,K443))),설정!$B$48,IF(M443="","설계사","시공사"))))))))),"")</f>
        <v/>
      </c>
      <c r="V443">
        <f>SUBSTITUTE(SUBSTITUTE(SUBSTITUTE(SUBSTITUTE(G443,"(주)",""),"㈜",""),"주식회사","")," ","")</f>
        <v/>
      </c>
      <c r="W443">
        <f>IF(AND(T443,V443&lt;&gt;""),IF(COUNTIFS(V$2:V443,V443,T$2:T443,TRUE)=1,MAX(W$1:W442)+1,""),"")</f>
        <v/>
      </c>
      <c r="X443">
        <f>IFERROR(INDEX('1.산군_붙여넣기'!$A$1:$AZ$1001,ROW(),설정!$C$14)&amp;"","")</f>
        <v/>
      </c>
      <c r="Y443">
        <f>IFERROR(INDEX('1.산군_붙여넣기'!$A$1:$AZ$1001,ROW(),설정!$C$15)&amp;"","")</f>
        <v/>
      </c>
      <c r="Z443">
        <f>IF(T443,V443&amp;"|"&amp;U443,"")</f>
        <v/>
      </c>
    </row>
    <row r="444">
      <c r="A444">
        <f>ROW()</f>
        <v/>
      </c>
      <c r="B444">
        <f>IFERROR(INDEX('1.산군_붙여넣기'!$A$1:$AZ$1001,ROW(),설정!$C$4)&amp;"","")</f>
        <v/>
      </c>
      <c r="C444">
        <f>IFERROR(INDEX('1.산군_붙여넣기'!$A$1:$AZ$1001,ROW(),설정!$C$5)&amp;"","")</f>
        <v/>
      </c>
      <c r="D444" s="5">
        <f>IFERROR(VALUE(SUBSTITUTE(SUBSTITUTE(SUBSTITUTE(IFERROR(INDEX('1.산군_붙여넣기'!$A$1:$AZ$1001,ROW(),설정!$C$6)&amp;"",""),",",""),"㎡",""),"m2","")),"")</f>
        <v/>
      </c>
      <c r="E444">
        <f>IFERROR(INDEX('1.산군_붙여넣기'!$A$1:$AZ$1001,ROW(),설정!$C$7)&amp;"","")</f>
        <v/>
      </c>
      <c r="F444">
        <f>IFERROR(INDEX('1.산군_붙여넣기'!$A$1:$AZ$1001,ROW(),설정!$C$8)&amp;"","")</f>
        <v/>
      </c>
      <c r="G444">
        <f>IFERROR(INDEX('1.산군_붙여넣기'!$A$1:$AZ$1001,ROW(),설정!$C$9)&amp;"","")</f>
        <v/>
      </c>
      <c r="H444">
        <f>IFERROR(INDEX('1.산군_붙여넣기'!$A$1:$AZ$1001,ROW(),설정!$C$10)&amp;"","")</f>
        <v/>
      </c>
      <c r="I444">
        <f>IFERROR(INDEX('1.산군_붙여넣기'!$A$1:$AZ$1001,ROW(),설정!$C$11)&amp;"","")</f>
        <v/>
      </c>
      <c r="J444">
        <f>IFERROR(INDEX('1.산군_붙여넣기'!$A$1:$AZ$1001,ROW(),설정!$C$12)&amp;"","")</f>
        <v/>
      </c>
      <c r="K444">
        <f>IFERROR(INDEX('1.산군_붙여넣기'!$A$1:$AZ$1001,ROW(),설정!$C$13)&amp;"","")</f>
        <v/>
      </c>
      <c r="L444" s="6">
        <f>IF(X444="","",IF(AND(LEN(X444)=8,ISNUMBER(X444*1)),DATE(LEFT(X444,4),MID(X444,5,2),RIGHT(X444,2)),IFERROR(DATEVALUE(SUBSTITUTE(SUBSTITUTE(X444,".","-"),"/","-")),IFERROR(X444*1,""))))</f>
        <v/>
      </c>
      <c r="M444" s="6">
        <f>IF(Y444="","",IF(AND(LEN(Y444)=8,ISNUMBER(Y444*1)),DATE(LEFT(Y444,4),MID(Y444,5,2),RIGHT(Y444,2)),IFERROR(DATEVALUE(SUBSTITUTE(SUBSTITUTE(Y444,".","-"),"/","-")),IFERROR(Y444*1,""))))</f>
        <v/>
      </c>
      <c r="N444">
        <f>IFERROR(LEFT(B444,FIND(" ",B444)-1),B444)</f>
        <v/>
      </c>
      <c r="O444">
        <f>AND(B444&lt;&gt;"",B444&lt;&gt;설정!$B$4,C444&lt;&gt;설정!$B$5)</f>
        <v/>
      </c>
      <c r="P444">
        <f>IF(O444,B444&amp;"|"&amp;C444,"")</f>
        <v/>
      </c>
      <c r="Q444">
        <f>AND(O444,COUNTIF(P445:P$1002,P444)=0)</f>
        <v/>
      </c>
      <c r="R444">
        <f>OR(AND(설정!$A$28&lt;&gt;"",ISNUMBER(SEARCH(설정!$A$28,E444&amp;" "&amp;C444))),AND(설정!$A$29&lt;&gt;"",ISNUMBER(SEARCH(설정!$A$29,E444&amp;" "&amp;C444))),AND(설정!$A$30&lt;&gt;"",ISNUMBER(SEARCH(설정!$A$30,E444&amp;" "&amp;C444))),AND(설정!$A$31&lt;&gt;"",ISNUMBER(SEARCH(설정!$A$31,E444&amp;" "&amp;C444))),AND(설정!$A$32&lt;&gt;"",ISNUMBER(SEARCH(설정!$A$32,E444&amp;" "&amp;C444))),AND(설정!$A$33&lt;&gt;"",ISNUMBER(SEARCH(설정!$A$33,E444&amp;" "&amp;C444))),AND(설정!$A$34&lt;&gt;"",ISNUMBER(SEARCH(설정!$A$34,E444&amp;" "&amp;C444))),AND(설정!$A$35&lt;&gt;"",ISNUMBER(SEARCH(설정!$A$35,E444&amp;" "&amp;C444))),AND(설정!$A$36&lt;&gt;"",ISNUMBER(SEARCH(설정!$A$36,E444&amp;" "&amp;C444))),AND(설정!$A$37&lt;&gt;"",ISNUMBER(SEARCH(설정!$A$37,E444&amp;" "&amp;C444))))</f>
        <v/>
      </c>
      <c r="S444">
        <f>OR(D444="",D444&gt;=설정!$B$19)</f>
        <v/>
      </c>
      <c r="T444">
        <f>AND(Q444,R444,S444)</f>
        <v/>
      </c>
      <c r="U444">
        <f>IF(T444,IF(AND(설정!$A$41&lt;&gt;"",ISNUMBER(SEARCH(설정!$A$41,K444))),설정!$B$41,IF(AND(설정!$A$42&lt;&gt;"",ISNUMBER(SEARCH(설정!$A$42,K444))),설정!$B$42,IF(AND(설정!$A$43&lt;&gt;"",ISNUMBER(SEARCH(설정!$A$43,K444))),설정!$B$43,IF(AND(설정!$A$44&lt;&gt;"",ISNUMBER(SEARCH(설정!$A$44,K444))),설정!$B$44,IF(AND(설정!$A$45&lt;&gt;"",ISNUMBER(SEARCH(설정!$A$45,K444))),설정!$B$45,IF(AND(설정!$A$46&lt;&gt;"",ISNUMBER(SEARCH(설정!$A$46,K444))),설정!$B$46,IF(AND(설정!$A$47&lt;&gt;"",ISNUMBER(SEARCH(설정!$A$47,K444))),설정!$B$47,IF(AND(설정!$A$48&lt;&gt;"",ISNUMBER(SEARCH(설정!$A$48,K444))),설정!$B$48,IF(M444="","설계사","시공사"))))))))),"")</f>
        <v/>
      </c>
      <c r="V444">
        <f>SUBSTITUTE(SUBSTITUTE(SUBSTITUTE(SUBSTITUTE(G444,"(주)",""),"㈜",""),"주식회사","")," ","")</f>
        <v/>
      </c>
      <c r="W444">
        <f>IF(AND(T444,V444&lt;&gt;""),IF(COUNTIFS(V$2:V444,V444,T$2:T444,TRUE)=1,MAX(W$1:W443)+1,""),"")</f>
        <v/>
      </c>
      <c r="X444">
        <f>IFERROR(INDEX('1.산군_붙여넣기'!$A$1:$AZ$1001,ROW(),설정!$C$14)&amp;"","")</f>
        <v/>
      </c>
      <c r="Y444">
        <f>IFERROR(INDEX('1.산군_붙여넣기'!$A$1:$AZ$1001,ROW(),설정!$C$15)&amp;"","")</f>
        <v/>
      </c>
      <c r="Z444">
        <f>IF(T444,V444&amp;"|"&amp;U444,"")</f>
        <v/>
      </c>
    </row>
    <row r="445">
      <c r="A445">
        <f>ROW()</f>
        <v/>
      </c>
      <c r="B445">
        <f>IFERROR(INDEX('1.산군_붙여넣기'!$A$1:$AZ$1001,ROW(),설정!$C$4)&amp;"","")</f>
        <v/>
      </c>
      <c r="C445">
        <f>IFERROR(INDEX('1.산군_붙여넣기'!$A$1:$AZ$1001,ROW(),설정!$C$5)&amp;"","")</f>
        <v/>
      </c>
      <c r="D445" s="5">
        <f>IFERROR(VALUE(SUBSTITUTE(SUBSTITUTE(SUBSTITUTE(IFERROR(INDEX('1.산군_붙여넣기'!$A$1:$AZ$1001,ROW(),설정!$C$6)&amp;"",""),",",""),"㎡",""),"m2","")),"")</f>
        <v/>
      </c>
      <c r="E445">
        <f>IFERROR(INDEX('1.산군_붙여넣기'!$A$1:$AZ$1001,ROW(),설정!$C$7)&amp;"","")</f>
        <v/>
      </c>
      <c r="F445">
        <f>IFERROR(INDEX('1.산군_붙여넣기'!$A$1:$AZ$1001,ROW(),설정!$C$8)&amp;"","")</f>
        <v/>
      </c>
      <c r="G445">
        <f>IFERROR(INDEX('1.산군_붙여넣기'!$A$1:$AZ$1001,ROW(),설정!$C$9)&amp;"","")</f>
        <v/>
      </c>
      <c r="H445">
        <f>IFERROR(INDEX('1.산군_붙여넣기'!$A$1:$AZ$1001,ROW(),설정!$C$10)&amp;"","")</f>
        <v/>
      </c>
      <c r="I445">
        <f>IFERROR(INDEX('1.산군_붙여넣기'!$A$1:$AZ$1001,ROW(),설정!$C$11)&amp;"","")</f>
        <v/>
      </c>
      <c r="J445">
        <f>IFERROR(INDEX('1.산군_붙여넣기'!$A$1:$AZ$1001,ROW(),설정!$C$12)&amp;"","")</f>
        <v/>
      </c>
      <c r="K445">
        <f>IFERROR(INDEX('1.산군_붙여넣기'!$A$1:$AZ$1001,ROW(),설정!$C$13)&amp;"","")</f>
        <v/>
      </c>
      <c r="L445" s="6">
        <f>IF(X445="","",IF(AND(LEN(X445)=8,ISNUMBER(X445*1)),DATE(LEFT(X445,4),MID(X445,5,2),RIGHT(X445,2)),IFERROR(DATEVALUE(SUBSTITUTE(SUBSTITUTE(X445,".","-"),"/","-")),IFERROR(X445*1,""))))</f>
        <v/>
      </c>
      <c r="M445" s="6">
        <f>IF(Y445="","",IF(AND(LEN(Y445)=8,ISNUMBER(Y445*1)),DATE(LEFT(Y445,4),MID(Y445,5,2),RIGHT(Y445,2)),IFERROR(DATEVALUE(SUBSTITUTE(SUBSTITUTE(Y445,".","-"),"/","-")),IFERROR(Y445*1,""))))</f>
        <v/>
      </c>
      <c r="N445">
        <f>IFERROR(LEFT(B445,FIND(" ",B445)-1),B445)</f>
        <v/>
      </c>
      <c r="O445">
        <f>AND(B445&lt;&gt;"",B445&lt;&gt;설정!$B$4,C445&lt;&gt;설정!$B$5)</f>
        <v/>
      </c>
      <c r="P445">
        <f>IF(O445,B445&amp;"|"&amp;C445,"")</f>
        <v/>
      </c>
      <c r="Q445">
        <f>AND(O445,COUNTIF(P446:P$1002,P445)=0)</f>
        <v/>
      </c>
      <c r="R445">
        <f>OR(AND(설정!$A$28&lt;&gt;"",ISNUMBER(SEARCH(설정!$A$28,E445&amp;" "&amp;C445))),AND(설정!$A$29&lt;&gt;"",ISNUMBER(SEARCH(설정!$A$29,E445&amp;" "&amp;C445))),AND(설정!$A$30&lt;&gt;"",ISNUMBER(SEARCH(설정!$A$30,E445&amp;" "&amp;C445))),AND(설정!$A$31&lt;&gt;"",ISNUMBER(SEARCH(설정!$A$31,E445&amp;" "&amp;C445))),AND(설정!$A$32&lt;&gt;"",ISNUMBER(SEARCH(설정!$A$32,E445&amp;" "&amp;C445))),AND(설정!$A$33&lt;&gt;"",ISNUMBER(SEARCH(설정!$A$33,E445&amp;" "&amp;C445))),AND(설정!$A$34&lt;&gt;"",ISNUMBER(SEARCH(설정!$A$34,E445&amp;" "&amp;C445))),AND(설정!$A$35&lt;&gt;"",ISNUMBER(SEARCH(설정!$A$35,E445&amp;" "&amp;C445))),AND(설정!$A$36&lt;&gt;"",ISNUMBER(SEARCH(설정!$A$36,E445&amp;" "&amp;C445))),AND(설정!$A$37&lt;&gt;"",ISNUMBER(SEARCH(설정!$A$37,E445&amp;" "&amp;C445))))</f>
        <v/>
      </c>
      <c r="S445">
        <f>OR(D445="",D445&gt;=설정!$B$19)</f>
        <v/>
      </c>
      <c r="T445">
        <f>AND(Q445,R445,S445)</f>
        <v/>
      </c>
      <c r="U445">
        <f>IF(T445,IF(AND(설정!$A$41&lt;&gt;"",ISNUMBER(SEARCH(설정!$A$41,K445))),설정!$B$41,IF(AND(설정!$A$42&lt;&gt;"",ISNUMBER(SEARCH(설정!$A$42,K445))),설정!$B$42,IF(AND(설정!$A$43&lt;&gt;"",ISNUMBER(SEARCH(설정!$A$43,K445))),설정!$B$43,IF(AND(설정!$A$44&lt;&gt;"",ISNUMBER(SEARCH(설정!$A$44,K445))),설정!$B$44,IF(AND(설정!$A$45&lt;&gt;"",ISNUMBER(SEARCH(설정!$A$45,K445))),설정!$B$45,IF(AND(설정!$A$46&lt;&gt;"",ISNUMBER(SEARCH(설정!$A$46,K445))),설정!$B$46,IF(AND(설정!$A$47&lt;&gt;"",ISNUMBER(SEARCH(설정!$A$47,K445))),설정!$B$47,IF(AND(설정!$A$48&lt;&gt;"",ISNUMBER(SEARCH(설정!$A$48,K445))),설정!$B$48,IF(M445="","설계사","시공사"))))))))),"")</f>
        <v/>
      </c>
      <c r="V445">
        <f>SUBSTITUTE(SUBSTITUTE(SUBSTITUTE(SUBSTITUTE(G445,"(주)",""),"㈜",""),"주식회사","")," ","")</f>
        <v/>
      </c>
      <c r="W445">
        <f>IF(AND(T445,V445&lt;&gt;""),IF(COUNTIFS(V$2:V445,V445,T$2:T445,TRUE)=1,MAX(W$1:W444)+1,""),"")</f>
        <v/>
      </c>
      <c r="X445">
        <f>IFERROR(INDEX('1.산군_붙여넣기'!$A$1:$AZ$1001,ROW(),설정!$C$14)&amp;"","")</f>
        <v/>
      </c>
      <c r="Y445">
        <f>IFERROR(INDEX('1.산군_붙여넣기'!$A$1:$AZ$1001,ROW(),설정!$C$15)&amp;"","")</f>
        <v/>
      </c>
      <c r="Z445">
        <f>IF(T445,V445&amp;"|"&amp;U445,"")</f>
        <v/>
      </c>
    </row>
    <row r="446">
      <c r="A446">
        <f>ROW()</f>
        <v/>
      </c>
      <c r="B446">
        <f>IFERROR(INDEX('1.산군_붙여넣기'!$A$1:$AZ$1001,ROW(),설정!$C$4)&amp;"","")</f>
        <v/>
      </c>
      <c r="C446">
        <f>IFERROR(INDEX('1.산군_붙여넣기'!$A$1:$AZ$1001,ROW(),설정!$C$5)&amp;"","")</f>
        <v/>
      </c>
      <c r="D446" s="5">
        <f>IFERROR(VALUE(SUBSTITUTE(SUBSTITUTE(SUBSTITUTE(IFERROR(INDEX('1.산군_붙여넣기'!$A$1:$AZ$1001,ROW(),설정!$C$6)&amp;"",""),",",""),"㎡",""),"m2","")),"")</f>
        <v/>
      </c>
      <c r="E446">
        <f>IFERROR(INDEX('1.산군_붙여넣기'!$A$1:$AZ$1001,ROW(),설정!$C$7)&amp;"","")</f>
        <v/>
      </c>
      <c r="F446">
        <f>IFERROR(INDEX('1.산군_붙여넣기'!$A$1:$AZ$1001,ROW(),설정!$C$8)&amp;"","")</f>
        <v/>
      </c>
      <c r="G446">
        <f>IFERROR(INDEX('1.산군_붙여넣기'!$A$1:$AZ$1001,ROW(),설정!$C$9)&amp;"","")</f>
        <v/>
      </c>
      <c r="H446">
        <f>IFERROR(INDEX('1.산군_붙여넣기'!$A$1:$AZ$1001,ROW(),설정!$C$10)&amp;"","")</f>
        <v/>
      </c>
      <c r="I446">
        <f>IFERROR(INDEX('1.산군_붙여넣기'!$A$1:$AZ$1001,ROW(),설정!$C$11)&amp;"","")</f>
        <v/>
      </c>
      <c r="J446">
        <f>IFERROR(INDEX('1.산군_붙여넣기'!$A$1:$AZ$1001,ROW(),설정!$C$12)&amp;"","")</f>
        <v/>
      </c>
      <c r="K446">
        <f>IFERROR(INDEX('1.산군_붙여넣기'!$A$1:$AZ$1001,ROW(),설정!$C$13)&amp;"","")</f>
        <v/>
      </c>
      <c r="L446" s="6">
        <f>IF(X446="","",IF(AND(LEN(X446)=8,ISNUMBER(X446*1)),DATE(LEFT(X446,4),MID(X446,5,2),RIGHT(X446,2)),IFERROR(DATEVALUE(SUBSTITUTE(SUBSTITUTE(X446,".","-"),"/","-")),IFERROR(X446*1,""))))</f>
        <v/>
      </c>
      <c r="M446" s="6">
        <f>IF(Y446="","",IF(AND(LEN(Y446)=8,ISNUMBER(Y446*1)),DATE(LEFT(Y446,4),MID(Y446,5,2),RIGHT(Y446,2)),IFERROR(DATEVALUE(SUBSTITUTE(SUBSTITUTE(Y446,".","-"),"/","-")),IFERROR(Y446*1,""))))</f>
        <v/>
      </c>
      <c r="N446">
        <f>IFERROR(LEFT(B446,FIND(" ",B446)-1),B446)</f>
        <v/>
      </c>
      <c r="O446">
        <f>AND(B446&lt;&gt;"",B446&lt;&gt;설정!$B$4,C446&lt;&gt;설정!$B$5)</f>
        <v/>
      </c>
      <c r="P446">
        <f>IF(O446,B446&amp;"|"&amp;C446,"")</f>
        <v/>
      </c>
      <c r="Q446">
        <f>AND(O446,COUNTIF(P447:P$1002,P446)=0)</f>
        <v/>
      </c>
      <c r="R446">
        <f>OR(AND(설정!$A$28&lt;&gt;"",ISNUMBER(SEARCH(설정!$A$28,E446&amp;" "&amp;C446))),AND(설정!$A$29&lt;&gt;"",ISNUMBER(SEARCH(설정!$A$29,E446&amp;" "&amp;C446))),AND(설정!$A$30&lt;&gt;"",ISNUMBER(SEARCH(설정!$A$30,E446&amp;" "&amp;C446))),AND(설정!$A$31&lt;&gt;"",ISNUMBER(SEARCH(설정!$A$31,E446&amp;" "&amp;C446))),AND(설정!$A$32&lt;&gt;"",ISNUMBER(SEARCH(설정!$A$32,E446&amp;" "&amp;C446))),AND(설정!$A$33&lt;&gt;"",ISNUMBER(SEARCH(설정!$A$33,E446&amp;" "&amp;C446))),AND(설정!$A$34&lt;&gt;"",ISNUMBER(SEARCH(설정!$A$34,E446&amp;" "&amp;C446))),AND(설정!$A$35&lt;&gt;"",ISNUMBER(SEARCH(설정!$A$35,E446&amp;" "&amp;C446))),AND(설정!$A$36&lt;&gt;"",ISNUMBER(SEARCH(설정!$A$36,E446&amp;" "&amp;C446))),AND(설정!$A$37&lt;&gt;"",ISNUMBER(SEARCH(설정!$A$37,E446&amp;" "&amp;C446))))</f>
        <v/>
      </c>
      <c r="S446">
        <f>OR(D446="",D446&gt;=설정!$B$19)</f>
        <v/>
      </c>
      <c r="T446">
        <f>AND(Q446,R446,S446)</f>
        <v/>
      </c>
      <c r="U446">
        <f>IF(T446,IF(AND(설정!$A$41&lt;&gt;"",ISNUMBER(SEARCH(설정!$A$41,K446))),설정!$B$41,IF(AND(설정!$A$42&lt;&gt;"",ISNUMBER(SEARCH(설정!$A$42,K446))),설정!$B$42,IF(AND(설정!$A$43&lt;&gt;"",ISNUMBER(SEARCH(설정!$A$43,K446))),설정!$B$43,IF(AND(설정!$A$44&lt;&gt;"",ISNUMBER(SEARCH(설정!$A$44,K446))),설정!$B$44,IF(AND(설정!$A$45&lt;&gt;"",ISNUMBER(SEARCH(설정!$A$45,K446))),설정!$B$45,IF(AND(설정!$A$46&lt;&gt;"",ISNUMBER(SEARCH(설정!$A$46,K446))),설정!$B$46,IF(AND(설정!$A$47&lt;&gt;"",ISNUMBER(SEARCH(설정!$A$47,K446))),설정!$B$47,IF(AND(설정!$A$48&lt;&gt;"",ISNUMBER(SEARCH(설정!$A$48,K446))),설정!$B$48,IF(M446="","설계사","시공사"))))))))),"")</f>
        <v/>
      </c>
      <c r="V446">
        <f>SUBSTITUTE(SUBSTITUTE(SUBSTITUTE(SUBSTITUTE(G446,"(주)",""),"㈜",""),"주식회사","")," ","")</f>
        <v/>
      </c>
      <c r="W446">
        <f>IF(AND(T446,V446&lt;&gt;""),IF(COUNTIFS(V$2:V446,V446,T$2:T446,TRUE)=1,MAX(W$1:W445)+1,""),"")</f>
        <v/>
      </c>
      <c r="X446">
        <f>IFERROR(INDEX('1.산군_붙여넣기'!$A$1:$AZ$1001,ROW(),설정!$C$14)&amp;"","")</f>
        <v/>
      </c>
      <c r="Y446">
        <f>IFERROR(INDEX('1.산군_붙여넣기'!$A$1:$AZ$1001,ROW(),설정!$C$15)&amp;"","")</f>
        <v/>
      </c>
      <c r="Z446">
        <f>IF(T446,V446&amp;"|"&amp;U446,"")</f>
        <v/>
      </c>
    </row>
    <row r="447">
      <c r="A447">
        <f>ROW()</f>
        <v/>
      </c>
      <c r="B447">
        <f>IFERROR(INDEX('1.산군_붙여넣기'!$A$1:$AZ$1001,ROW(),설정!$C$4)&amp;"","")</f>
        <v/>
      </c>
      <c r="C447">
        <f>IFERROR(INDEX('1.산군_붙여넣기'!$A$1:$AZ$1001,ROW(),설정!$C$5)&amp;"","")</f>
        <v/>
      </c>
      <c r="D447" s="5">
        <f>IFERROR(VALUE(SUBSTITUTE(SUBSTITUTE(SUBSTITUTE(IFERROR(INDEX('1.산군_붙여넣기'!$A$1:$AZ$1001,ROW(),설정!$C$6)&amp;"",""),",",""),"㎡",""),"m2","")),"")</f>
        <v/>
      </c>
      <c r="E447">
        <f>IFERROR(INDEX('1.산군_붙여넣기'!$A$1:$AZ$1001,ROW(),설정!$C$7)&amp;"","")</f>
        <v/>
      </c>
      <c r="F447">
        <f>IFERROR(INDEX('1.산군_붙여넣기'!$A$1:$AZ$1001,ROW(),설정!$C$8)&amp;"","")</f>
        <v/>
      </c>
      <c r="G447">
        <f>IFERROR(INDEX('1.산군_붙여넣기'!$A$1:$AZ$1001,ROW(),설정!$C$9)&amp;"","")</f>
        <v/>
      </c>
      <c r="H447">
        <f>IFERROR(INDEX('1.산군_붙여넣기'!$A$1:$AZ$1001,ROW(),설정!$C$10)&amp;"","")</f>
        <v/>
      </c>
      <c r="I447">
        <f>IFERROR(INDEX('1.산군_붙여넣기'!$A$1:$AZ$1001,ROW(),설정!$C$11)&amp;"","")</f>
        <v/>
      </c>
      <c r="J447">
        <f>IFERROR(INDEX('1.산군_붙여넣기'!$A$1:$AZ$1001,ROW(),설정!$C$12)&amp;"","")</f>
        <v/>
      </c>
      <c r="K447">
        <f>IFERROR(INDEX('1.산군_붙여넣기'!$A$1:$AZ$1001,ROW(),설정!$C$13)&amp;"","")</f>
        <v/>
      </c>
      <c r="L447" s="6">
        <f>IF(X447="","",IF(AND(LEN(X447)=8,ISNUMBER(X447*1)),DATE(LEFT(X447,4),MID(X447,5,2),RIGHT(X447,2)),IFERROR(DATEVALUE(SUBSTITUTE(SUBSTITUTE(X447,".","-"),"/","-")),IFERROR(X447*1,""))))</f>
        <v/>
      </c>
      <c r="M447" s="6">
        <f>IF(Y447="","",IF(AND(LEN(Y447)=8,ISNUMBER(Y447*1)),DATE(LEFT(Y447,4),MID(Y447,5,2),RIGHT(Y447,2)),IFERROR(DATEVALUE(SUBSTITUTE(SUBSTITUTE(Y447,".","-"),"/","-")),IFERROR(Y447*1,""))))</f>
        <v/>
      </c>
      <c r="N447">
        <f>IFERROR(LEFT(B447,FIND(" ",B447)-1),B447)</f>
        <v/>
      </c>
      <c r="O447">
        <f>AND(B447&lt;&gt;"",B447&lt;&gt;설정!$B$4,C447&lt;&gt;설정!$B$5)</f>
        <v/>
      </c>
      <c r="P447">
        <f>IF(O447,B447&amp;"|"&amp;C447,"")</f>
        <v/>
      </c>
      <c r="Q447">
        <f>AND(O447,COUNTIF(P448:P$1002,P447)=0)</f>
        <v/>
      </c>
      <c r="R447">
        <f>OR(AND(설정!$A$28&lt;&gt;"",ISNUMBER(SEARCH(설정!$A$28,E447&amp;" "&amp;C447))),AND(설정!$A$29&lt;&gt;"",ISNUMBER(SEARCH(설정!$A$29,E447&amp;" "&amp;C447))),AND(설정!$A$30&lt;&gt;"",ISNUMBER(SEARCH(설정!$A$30,E447&amp;" "&amp;C447))),AND(설정!$A$31&lt;&gt;"",ISNUMBER(SEARCH(설정!$A$31,E447&amp;" "&amp;C447))),AND(설정!$A$32&lt;&gt;"",ISNUMBER(SEARCH(설정!$A$32,E447&amp;" "&amp;C447))),AND(설정!$A$33&lt;&gt;"",ISNUMBER(SEARCH(설정!$A$33,E447&amp;" "&amp;C447))),AND(설정!$A$34&lt;&gt;"",ISNUMBER(SEARCH(설정!$A$34,E447&amp;" "&amp;C447))),AND(설정!$A$35&lt;&gt;"",ISNUMBER(SEARCH(설정!$A$35,E447&amp;" "&amp;C447))),AND(설정!$A$36&lt;&gt;"",ISNUMBER(SEARCH(설정!$A$36,E447&amp;" "&amp;C447))),AND(설정!$A$37&lt;&gt;"",ISNUMBER(SEARCH(설정!$A$37,E447&amp;" "&amp;C447))))</f>
        <v/>
      </c>
      <c r="S447">
        <f>OR(D447="",D447&gt;=설정!$B$19)</f>
        <v/>
      </c>
      <c r="T447">
        <f>AND(Q447,R447,S447)</f>
        <v/>
      </c>
      <c r="U447">
        <f>IF(T447,IF(AND(설정!$A$41&lt;&gt;"",ISNUMBER(SEARCH(설정!$A$41,K447))),설정!$B$41,IF(AND(설정!$A$42&lt;&gt;"",ISNUMBER(SEARCH(설정!$A$42,K447))),설정!$B$42,IF(AND(설정!$A$43&lt;&gt;"",ISNUMBER(SEARCH(설정!$A$43,K447))),설정!$B$43,IF(AND(설정!$A$44&lt;&gt;"",ISNUMBER(SEARCH(설정!$A$44,K447))),설정!$B$44,IF(AND(설정!$A$45&lt;&gt;"",ISNUMBER(SEARCH(설정!$A$45,K447))),설정!$B$45,IF(AND(설정!$A$46&lt;&gt;"",ISNUMBER(SEARCH(설정!$A$46,K447))),설정!$B$46,IF(AND(설정!$A$47&lt;&gt;"",ISNUMBER(SEARCH(설정!$A$47,K447))),설정!$B$47,IF(AND(설정!$A$48&lt;&gt;"",ISNUMBER(SEARCH(설정!$A$48,K447))),설정!$B$48,IF(M447="","설계사","시공사"))))))))),"")</f>
        <v/>
      </c>
      <c r="V447">
        <f>SUBSTITUTE(SUBSTITUTE(SUBSTITUTE(SUBSTITUTE(G447,"(주)",""),"㈜",""),"주식회사","")," ","")</f>
        <v/>
      </c>
      <c r="W447">
        <f>IF(AND(T447,V447&lt;&gt;""),IF(COUNTIFS(V$2:V447,V447,T$2:T447,TRUE)=1,MAX(W$1:W446)+1,""),"")</f>
        <v/>
      </c>
      <c r="X447">
        <f>IFERROR(INDEX('1.산군_붙여넣기'!$A$1:$AZ$1001,ROW(),설정!$C$14)&amp;"","")</f>
        <v/>
      </c>
      <c r="Y447">
        <f>IFERROR(INDEX('1.산군_붙여넣기'!$A$1:$AZ$1001,ROW(),설정!$C$15)&amp;"","")</f>
        <v/>
      </c>
      <c r="Z447">
        <f>IF(T447,V447&amp;"|"&amp;U447,"")</f>
        <v/>
      </c>
    </row>
    <row r="448">
      <c r="A448">
        <f>ROW()</f>
        <v/>
      </c>
      <c r="B448">
        <f>IFERROR(INDEX('1.산군_붙여넣기'!$A$1:$AZ$1001,ROW(),설정!$C$4)&amp;"","")</f>
        <v/>
      </c>
      <c r="C448">
        <f>IFERROR(INDEX('1.산군_붙여넣기'!$A$1:$AZ$1001,ROW(),설정!$C$5)&amp;"","")</f>
        <v/>
      </c>
      <c r="D448" s="5">
        <f>IFERROR(VALUE(SUBSTITUTE(SUBSTITUTE(SUBSTITUTE(IFERROR(INDEX('1.산군_붙여넣기'!$A$1:$AZ$1001,ROW(),설정!$C$6)&amp;"",""),",",""),"㎡",""),"m2","")),"")</f>
        <v/>
      </c>
      <c r="E448">
        <f>IFERROR(INDEX('1.산군_붙여넣기'!$A$1:$AZ$1001,ROW(),설정!$C$7)&amp;"","")</f>
        <v/>
      </c>
      <c r="F448">
        <f>IFERROR(INDEX('1.산군_붙여넣기'!$A$1:$AZ$1001,ROW(),설정!$C$8)&amp;"","")</f>
        <v/>
      </c>
      <c r="G448">
        <f>IFERROR(INDEX('1.산군_붙여넣기'!$A$1:$AZ$1001,ROW(),설정!$C$9)&amp;"","")</f>
        <v/>
      </c>
      <c r="H448">
        <f>IFERROR(INDEX('1.산군_붙여넣기'!$A$1:$AZ$1001,ROW(),설정!$C$10)&amp;"","")</f>
        <v/>
      </c>
      <c r="I448">
        <f>IFERROR(INDEX('1.산군_붙여넣기'!$A$1:$AZ$1001,ROW(),설정!$C$11)&amp;"","")</f>
        <v/>
      </c>
      <c r="J448">
        <f>IFERROR(INDEX('1.산군_붙여넣기'!$A$1:$AZ$1001,ROW(),설정!$C$12)&amp;"","")</f>
        <v/>
      </c>
      <c r="K448">
        <f>IFERROR(INDEX('1.산군_붙여넣기'!$A$1:$AZ$1001,ROW(),설정!$C$13)&amp;"","")</f>
        <v/>
      </c>
      <c r="L448" s="6">
        <f>IF(X448="","",IF(AND(LEN(X448)=8,ISNUMBER(X448*1)),DATE(LEFT(X448,4),MID(X448,5,2),RIGHT(X448,2)),IFERROR(DATEVALUE(SUBSTITUTE(SUBSTITUTE(X448,".","-"),"/","-")),IFERROR(X448*1,""))))</f>
        <v/>
      </c>
      <c r="M448" s="6">
        <f>IF(Y448="","",IF(AND(LEN(Y448)=8,ISNUMBER(Y448*1)),DATE(LEFT(Y448,4),MID(Y448,5,2),RIGHT(Y448,2)),IFERROR(DATEVALUE(SUBSTITUTE(SUBSTITUTE(Y448,".","-"),"/","-")),IFERROR(Y448*1,""))))</f>
        <v/>
      </c>
      <c r="N448">
        <f>IFERROR(LEFT(B448,FIND(" ",B448)-1),B448)</f>
        <v/>
      </c>
      <c r="O448">
        <f>AND(B448&lt;&gt;"",B448&lt;&gt;설정!$B$4,C448&lt;&gt;설정!$B$5)</f>
        <v/>
      </c>
      <c r="P448">
        <f>IF(O448,B448&amp;"|"&amp;C448,"")</f>
        <v/>
      </c>
      <c r="Q448">
        <f>AND(O448,COUNTIF(P449:P$1002,P448)=0)</f>
        <v/>
      </c>
      <c r="R448">
        <f>OR(AND(설정!$A$28&lt;&gt;"",ISNUMBER(SEARCH(설정!$A$28,E448&amp;" "&amp;C448))),AND(설정!$A$29&lt;&gt;"",ISNUMBER(SEARCH(설정!$A$29,E448&amp;" "&amp;C448))),AND(설정!$A$30&lt;&gt;"",ISNUMBER(SEARCH(설정!$A$30,E448&amp;" "&amp;C448))),AND(설정!$A$31&lt;&gt;"",ISNUMBER(SEARCH(설정!$A$31,E448&amp;" "&amp;C448))),AND(설정!$A$32&lt;&gt;"",ISNUMBER(SEARCH(설정!$A$32,E448&amp;" "&amp;C448))),AND(설정!$A$33&lt;&gt;"",ISNUMBER(SEARCH(설정!$A$33,E448&amp;" "&amp;C448))),AND(설정!$A$34&lt;&gt;"",ISNUMBER(SEARCH(설정!$A$34,E448&amp;" "&amp;C448))),AND(설정!$A$35&lt;&gt;"",ISNUMBER(SEARCH(설정!$A$35,E448&amp;" "&amp;C448))),AND(설정!$A$36&lt;&gt;"",ISNUMBER(SEARCH(설정!$A$36,E448&amp;" "&amp;C448))),AND(설정!$A$37&lt;&gt;"",ISNUMBER(SEARCH(설정!$A$37,E448&amp;" "&amp;C448))))</f>
        <v/>
      </c>
      <c r="S448">
        <f>OR(D448="",D448&gt;=설정!$B$19)</f>
        <v/>
      </c>
      <c r="T448">
        <f>AND(Q448,R448,S448)</f>
        <v/>
      </c>
      <c r="U448">
        <f>IF(T448,IF(AND(설정!$A$41&lt;&gt;"",ISNUMBER(SEARCH(설정!$A$41,K448))),설정!$B$41,IF(AND(설정!$A$42&lt;&gt;"",ISNUMBER(SEARCH(설정!$A$42,K448))),설정!$B$42,IF(AND(설정!$A$43&lt;&gt;"",ISNUMBER(SEARCH(설정!$A$43,K448))),설정!$B$43,IF(AND(설정!$A$44&lt;&gt;"",ISNUMBER(SEARCH(설정!$A$44,K448))),설정!$B$44,IF(AND(설정!$A$45&lt;&gt;"",ISNUMBER(SEARCH(설정!$A$45,K448))),설정!$B$45,IF(AND(설정!$A$46&lt;&gt;"",ISNUMBER(SEARCH(설정!$A$46,K448))),설정!$B$46,IF(AND(설정!$A$47&lt;&gt;"",ISNUMBER(SEARCH(설정!$A$47,K448))),설정!$B$47,IF(AND(설정!$A$48&lt;&gt;"",ISNUMBER(SEARCH(설정!$A$48,K448))),설정!$B$48,IF(M448="","설계사","시공사"))))))))),"")</f>
        <v/>
      </c>
      <c r="V448">
        <f>SUBSTITUTE(SUBSTITUTE(SUBSTITUTE(SUBSTITUTE(G448,"(주)",""),"㈜",""),"주식회사","")," ","")</f>
        <v/>
      </c>
      <c r="W448">
        <f>IF(AND(T448,V448&lt;&gt;""),IF(COUNTIFS(V$2:V448,V448,T$2:T448,TRUE)=1,MAX(W$1:W447)+1,""),"")</f>
        <v/>
      </c>
      <c r="X448">
        <f>IFERROR(INDEX('1.산군_붙여넣기'!$A$1:$AZ$1001,ROW(),설정!$C$14)&amp;"","")</f>
        <v/>
      </c>
      <c r="Y448">
        <f>IFERROR(INDEX('1.산군_붙여넣기'!$A$1:$AZ$1001,ROW(),설정!$C$15)&amp;"","")</f>
        <v/>
      </c>
      <c r="Z448">
        <f>IF(T448,V448&amp;"|"&amp;U448,"")</f>
        <v/>
      </c>
    </row>
    <row r="449">
      <c r="A449">
        <f>ROW()</f>
        <v/>
      </c>
      <c r="B449">
        <f>IFERROR(INDEX('1.산군_붙여넣기'!$A$1:$AZ$1001,ROW(),설정!$C$4)&amp;"","")</f>
        <v/>
      </c>
      <c r="C449">
        <f>IFERROR(INDEX('1.산군_붙여넣기'!$A$1:$AZ$1001,ROW(),설정!$C$5)&amp;"","")</f>
        <v/>
      </c>
      <c r="D449" s="5">
        <f>IFERROR(VALUE(SUBSTITUTE(SUBSTITUTE(SUBSTITUTE(IFERROR(INDEX('1.산군_붙여넣기'!$A$1:$AZ$1001,ROW(),설정!$C$6)&amp;"",""),",",""),"㎡",""),"m2","")),"")</f>
        <v/>
      </c>
      <c r="E449">
        <f>IFERROR(INDEX('1.산군_붙여넣기'!$A$1:$AZ$1001,ROW(),설정!$C$7)&amp;"","")</f>
        <v/>
      </c>
      <c r="F449">
        <f>IFERROR(INDEX('1.산군_붙여넣기'!$A$1:$AZ$1001,ROW(),설정!$C$8)&amp;"","")</f>
        <v/>
      </c>
      <c r="G449">
        <f>IFERROR(INDEX('1.산군_붙여넣기'!$A$1:$AZ$1001,ROW(),설정!$C$9)&amp;"","")</f>
        <v/>
      </c>
      <c r="H449">
        <f>IFERROR(INDEX('1.산군_붙여넣기'!$A$1:$AZ$1001,ROW(),설정!$C$10)&amp;"","")</f>
        <v/>
      </c>
      <c r="I449">
        <f>IFERROR(INDEX('1.산군_붙여넣기'!$A$1:$AZ$1001,ROW(),설정!$C$11)&amp;"","")</f>
        <v/>
      </c>
      <c r="J449">
        <f>IFERROR(INDEX('1.산군_붙여넣기'!$A$1:$AZ$1001,ROW(),설정!$C$12)&amp;"","")</f>
        <v/>
      </c>
      <c r="K449">
        <f>IFERROR(INDEX('1.산군_붙여넣기'!$A$1:$AZ$1001,ROW(),설정!$C$13)&amp;"","")</f>
        <v/>
      </c>
      <c r="L449" s="6">
        <f>IF(X449="","",IF(AND(LEN(X449)=8,ISNUMBER(X449*1)),DATE(LEFT(X449,4),MID(X449,5,2),RIGHT(X449,2)),IFERROR(DATEVALUE(SUBSTITUTE(SUBSTITUTE(X449,".","-"),"/","-")),IFERROR(X449*1,""))))</f>
        <v/>
      </c>
      <c r="M449" s="6">
        <f>IF(Y449="","",IF(AND(LEN(Y449)=8,ISNUMBER(Y449*1)),DATE(LEFT(Y449,4),MID(Y449,5,2),RIGHT(Y449,2)),IFERROR(DATEVALUE(SUBSTITUTE(SUBSTITUTE(Y449,".","-"),"/","-")),IFERROR(Y449*1,""))))</f>
        <v/>
      </c>
      <c r="N449">
        <f>IFERROR(LEFT(B449,FIND(" ",B449)-1),B449)</f>
        <v/>
      </c>
      <c r="O449">
        <f>AND(B449&lt;&gt;"",B449&lt;&gt;설정!$B$4,C449&lt;&gt;설정!$B$5)</f>
        <v/>
      </c>
      <c r="P449">
        <f>IF(O449,B449&amp;"|"&amp;C449,"")</f>
        <v/>
      </c>
      <c r="Q449">
        <f>AND(O449,COUNTIF(P450:P$1002,P449)=0)</f>
        <v/>
      </c>
      <c r="R449">
        <f>OR(AND(설정!$A$28&lt;&gt;"",ISNUMBER(SEARCH(설정!$A$28,E449&amp;" "&amp;C449))),AND(설정!$A$29&lt;&gt;"",ISNUMBER(SEARCH(설정!$A$29,E449&amp;" "&amp;C449))),AND(설정!$A$30&lt;&gt;"",ISNUMBER(SEARCH(설정!$A$30,E449&amp;" "&amp;C449))),AND(설정!$A$31&lt;&gt;"",ISNUMBER(SEARCH(설정!$A$31,E449&amp;" "&amp;C449))),AND(설정!$A$32&lt;&gt;"",ISNUMBER(SEARCH(설정!$A$32,E449&amp;" "&amp;C449))),AND(설정!$A$33&lt;&gt;"",ISNUMBER(SEARCH(설정!$A$33,E449&amp;" "&amp;C449))),AND(설정!$A$34&lt;&gt;"",ISNUMBER(SEARCH(설정!$A$34,E449&amp;" "&amp;C449))),AND(설정!$A$35&lt;&gt;"",ISNUMBER(SEARCH(설정!$A$35,E449&amp;" "&amp;C449))),AND(설정!$A$36&lt;&gt;"",ISNUMBER(SEARCH(설정!$A$36,E449&amp;" "&amp;C449))),AND(설정!$A$37&lt;&gt;"",ISNUMBER(SEARCH(설정!$A$37,E449&amp;" "&amp;C449))))</f>
        <v/>
      </c>
      <c r="S449">
        <f>OR(D449="",D449&gt;=설정!$B$19)</f>
        <v/>
      </c>
      <c r="T449">
        <f>AND(Q449,R449,S449)</f>
        <v/>
      </c>
      <c r="U449">
        <f>IF(T449,IF(AND(설정!$A$41&lt;&gt;"",ISNUMBER(SEARCH(설정!$A$41,K449))),설정!$B$41,IF(AND(설정!$A$42&lt;&gt;"",ISNUMBER(SEARCH(설정!$A$42,K449))),설정!$B$42,IF(AND(설정!$A$43&lt;&gt;"",ISNUMBER(SEARCH(설정!$A$43,K449))),설정!$B$43,IF(AND(설정!$A$44&lt;&gt;"",ISNUMBER(SEARCH(설정!$A$44,K449))),설정!$B$44,IF(AND(설정!$A$45&lt;&gt;"",ISNUMBER(SEARCH(설정!$A$45,K449))),설정!$B$45,IF(AND(설정!$A$46&lt;&gt;"",ISNUMBER(SEARCH(설정!$A$46,K449))),설정!$B$46,IF(AND(설정!$A$47&lt;&gt;"",ISNUMBER(SEARCH(설정!$A$47,K449))),설정!$B$47,IF(AND(설정!$A$48&lt;&gt;"",ISNUMBER(SEARCH(설정!$A$48,K449))),설정!$B$48,IF(M449="","설계사","시공사"))))))))),"")</f>
        <v/>
      </c>
      <c r="V449">
        <f>SUBSTITUTE(SUBSTITUTE(SUBSTITUTE(SUBSTITUTE(G449,"(주)",""),"㈜",""),"주식회사","")," ","")</f>
        <v/>
      </c>
      <c r="W449">
        <f>IF(AND(T449,V449&lt;&gt;""),IF(COUNTIFS(V$2:V449,V449,T$2:T449,TRUE)=1,MAX(W$1:W448)+1,""),"")</f>
        <v/>
      </c>
      <c r="X449">
        <f>IFERROR(INDEX('1.산군_붙여넣기'!$A$1:$AZ$1001,ROW(),설정!$C$14)&amp;"","")</f>
        <v/>
      </c>
      <c r="Y449">
        <f>IFERROR(INDEX('1.산군_붙여넣기'!$A$1:$AZ$1001,ROW(),설정!$C$15)&amp;"","")</f>
        <v/>
      </c>
      <c r="Z449">
        <f>IF(T449,V449&amp;"|"&amp;U449,"")</f>
        <v/>
      </c>
    </row>
    <row r="450">
      <c r="A450">
        <f>ROW()</f>
        <v/>
      </c>
      <c r="B450">
        <f>IFERROR(INDEX('1.산군_붙여넣기'!$A$1:$AZ$1001,ROW(),설정!$C$4)&amp;"","")</f>
        <v/>
      </c>
      <c r="C450">
        <f>IFERROR(INDEX('1.산군_붙여넣기'!$A$1:$AZ$1001,ROW(),설정!$C$5)&amp;"","")</f>
        <v/>
      </c>
      <c r="D450" s="5">
        <f>IFERROR(VALUE(SUBSTITUTE(SUBSTITUTE(SUBSTITUTE(IFERROR(INDEX('1.산군_붙여넣기'!$A$1:$AZ$1001,ROW(),설정!$C$6)&amp;"",""),",",""),"㎡",""),"m2","")),"")</f>
        <v/>
      </c>
      <c r="E450">
        <f>IFERROR(INDEX('1.산군_붙여넣기'!$A$1:$AZ$1001,ROW(),설정!$C$7)&amp;"","")</f>
        <v/>
      </c>
      <c r="F450">
        <f>IFERROR(INDEX('1.산군_붙여넣기'!$A$1:$AZ$1001,ROW(),설정!$C$8)&amp;"","")</f>
        <v/>
      </c>
      <c r="G450">
        <f>IFERROR(INDEX('1.산군_붙여넣기'!$A$1:$AZ$1001,ROW(),설정!$C$9)&amp;"","")</f>
        <v/>
      </c>
      <c r="H450">
        <f>IFERROR(INDEX('1.산군_붙여넣기'!$A$1:$AZ$1001,ROW(),설정!$C$10)&amp;"","")</f>
        <v/>
      </c>
      <c r="I450">
        <f>IFERROR(INDEX('1.산군_붙여넣기'!$A$1:$AZ$1001,ROW(),설정!$C$11)&amp;"","")</f>
        <v/>
      </c>
      <c r="J450">
        <f>IFERROR(INDEX('1.산군_붙여넣기'!$A$1:$AZ$1001,ROW(),설정!$C$12)&amp;"","")</f>
        <v/>
      </c>
      <c r="K450">
        <f>IFERROR(INDEX('1.산군_붙여넣기'!$A$1:$AZ$1001,ROW(),설정!$C$13)&amp;"","")</f>
        <v/>
      </c>
      <c r="L450" s="6">
        <f>IF(X450="","",IF(AND(LEN(X450)=8,ISNUMBER(X450*1)),DATE(LEFT(X450,4),MID(X450,5,2),RIGHT(X450,2)),IFERROR(DATEVALUE(SUBSTITUTE(SUBSTITUTE(X450,".","-"),"/","-")),IFERROR(X450*1,""))))</f>
        <v/>
      </c>
      <c r="M450" s="6">
        <f>IF(Y450="","",IF(AND(LEN(Y450)=8,ISNUMBER(Y450*1)),DATE(LEFT(Y450,4),MID(Y450,5,2),RIGHT(Y450,2)),IFERROR(DATEVALUE(SUBSTITUTE(SUBSTITUTE(Y450,".","-"),"/","-")),IFERROR(Y450*1,""))))</f>
        <v/>
      </c>
      <c r="N450">
        <f>IFERROR(LEFT(B450,FIND(" ",B450)-1),B450)</f>
        <v/>
      </c>
      <c r="O450">
        <f>AND(B450&lt;&gt;"",B450&lt;&gt;설정!$B$4,C450&lt;&gt;설정!$B$5)</f>
        <v/>
      </c>
      <c r="P450">
        <f>IF(O450,B450&amp;"|"&amp;C450,"")</f>
        <v/>
      </c>
      <c r="Q450">
        <f>AND(O450,COUNTIF(P451:P$1002,P450)=0)</f>
        <v/>
      </c>
      <c r="R450">
        <f>OR(AND(설정!$A$28&lt;&gt;"",ISNUMBER(SEARCH(설정!$A$28,E450&amp;" "&amp;C450))),AND(설정!$A$29&lt;&gt;"",ISNUMBER(SEARCH(설정!$A$29,E450&amp;" "&amp;C450))),AND(설정!$A$30&lt;&gt;"",ISNUMBER(SEARCH(설정!$A$30,E450&amp;" "&amp;C450))),AND(설정!$A$31&lt;&gt;"",ISNUMBER(SEARCH(설정!$A$31,E450&amp;" "&amp;C450))),AND(설정!$A$32&lt;&gt;"",ISNUMBER(SEARCH(설정!$A$32,E450&amp;" "&amp;C450))),AND(설정!$A$33&lt;&gt;"",ISNUMBER(SEARCH(설정!$A$33,E450&amp;" "&amp;C450))),AND(설정!$A$34&lt;&gt;"",ISNUMBER(SEARCH(설정!$A$34,E450&amp;" "&amp;C450))),AND(설정!$A$35&lt;&gt;"",ISNUMBER(SEARCH(설정!$A$35,E450&amp;" "&amp;C450))),AND(설정!$A$36&lt;&gt;"",ISNUMBER(SEARCH(설정!$A$36,E450&amp;" "&amp;C450))),AND(설정!$A$37&lt;&gt;"",ISNUMBER(SEARCH(설정!$A$37,E450&amp;" "&amp;C450))))</f>
        <v/>
      </c>
      <c r="S450">
        <f>OR(D450="",D450&gt;=설정!$B$19)</f>
        <v/>
      </c>
      <c r="T450">
        <f>AND(Q450,R450,S450)</f>
        <v/>
      </c>
      <c r="U450">
        <f>IF(T450,IF(AND(설정!$A$41&lt;&gt;"",ISNUMBER(SEARCH(설정!$A$41,K450))),설정!$B$41,IF(AND(설정!$A$42&lt;&gt;"",ISNUMBER(SEARCH(설정!$A$42,K450))),설정!$B$42,IF(AND(설정!$A$43&lt;&gt;"",ISNUMBER(SEARCH(설정!$A$43,K450))),설정!$B$43,IF(AND(설정!$A$44&lt;&gt;"",ISNUMBER(SEARCH(설정!$A$44,K450))),설정!$B$44,IF(AND(설정!$A$45&lt;&gt;"",ISNUMBER(SEARCH(설정!$A$45,K450))),설정!$B$45,IF(AND(설정!$A$46&lt;&gt;"",ISNUMBER(SEARCH(설정!$A$46,K450))),설정!$B$46,IF(AND(설정!$A$47&lt;&gt;"",ISNUMBER(SEARCH(설정!$A$47,K450))),설정!$B$47,IF(AND(설정!$A$48&lt;&gt;"",ISNUMBER(SEARCH(설정!$A$48,K450))),설정!$B$48,IF(M450="","설계사","시공사"))))))))),"")</f>
        <v/>
      </c>
      <c r="V450">
        <f>SUBSTITUTE(SUBSTITUTE(SUBSTITUTE(SUBSTITUTE(G450,"(주)",""),"㈜",""),"주식회사","")," ","")</f>
        <v/>
      </c>
      <c r="W450">
        <f>IF(AND(T450,V450&lt;&gt;""),IF(COUNTIFS(V$2:V450,V450,T$2:T450,TRUE)=1,MAX(W$1:W449)+1,""),"")</f>
        <v/>
      </c>
      <c r="X450">
        <f>IFERROR(INDEX('1.산군_붙여넣기'!$A$1:$AZ$1001,ROW(),설정!$C$14)&amp;"","")</f>
        <v/>
      </c>
      <c r="Y450">
        <f>IFERROR(INDEX('1.산군_붙여넣기'!$A$1:$AZ$1001,ROW(),설정!$C$15)&amp;"","")</f>
        <v/>
      </c>
      <c r="Z450">
        <f>IF(T450,V450&amp;"|"&amp;U450,"")</f>
        <v/>
      </c>
    </row>
    <row r="451">
      <c r="A451">
        <f>ROW()</f>
        <v/>
      </c>
      <c r="B451">
        <f>IFERROR(INDEX('1.산군_붙여넣기'!$A$1:$AZ$1001,ROW(),설정!$C$4)&amp;"","")</f>
        <v/>
      </c>
      <c r="C451">
        <f>IFERROR(INDEX('1.산군_붙여넣기'!$A$1:$AZ$1001,ROW(),설정!$C$5)&amp;"","")</f>
        <v/>
      </c>
      <c r="D451" s="5">
        <f>IFERROR(VALUE(SUBSTITUTE(SUBSTITUTE(SUBSTITUTE(IFERROR(INDEX('1.산군_붙여넣기'!$A$1:$AZ$1001,ROW(),설정!$C$6)&amp;"",""),",",""),"㎡",""),"m2","")),"")</f>
        <v/>
      </c>
      <c r="E451">
        <f>IFERROR(INDEX('1.산군_붙여넣기'!$A$1:$AZ$1001,ROW(),설정!$C$7)&amp;"","")</f>
        <v/>
      </c>
      <c r="F451">
        <f>IFERROR(INDEX('1.산군_붙여넣기'!$A$1:$AZ$1001,ROW(),설정!$C$8)&amp;"","")</f>
        <v/>
      </c>
      <c r="G451">
        <f>IFERROR(INDEX('1.산군_붙여넣기'!$A$1:$AZ$1001,ROW(),설정!$C$9)&amp;"","")</f>
        <v/>
      </c>
      <c r="H451">
        <f>IFERROR(INDEX('1.산군_붙여넣기'!$A$1:$AZ$1001,ROW(),설정!$C$10)&amp;"","")</f>
        <v/>
      </c>
      <c r="I451">
        <f>IFERROR(INDEX('1.산군_붙여넣기'!$A$1:$AZ$1001,ROW(),설정!$C$11)&amp;"","")</f>
        <v/>
      </c>
      <c r="J451">
        <f>IFERROR(INDEX('1.산군_붙여넣기'!$A$1:$AZ$1001,ROW(),설정!$C$12)&amp;"","")</f>
        <v/>
      </c>
      <c r="K451">
        <f>IFERROR(INDEX('1.산군_붙여넣기'!$A$1:$AZ$1001,ROW(),설정!$C$13)&amp;"","")</f>
        <v/>
      </c>
      <c r="L451" s="6">
        <f>IF(X451="","",IF(AND(LEN(X451)=8,ISNUMBER(X451*1)),DATE(LEFT(X451,4),MID(X451,5,2),RIGHT(X451,2)),IFERROR(DATEVALUE(SUBSTITUTE(SUBSTITUTE(X451,".","-"),"/","-")),IFERROR(X451*1,""))))</f>
        <v/>
      </c>
      <c r="M451" s="6">
        <f>IF(Y451="","",IF(AND(LEN(Y451)=8,ISNUMBER(Y451*1)),DATE(LEFT(Y451,4),MID(Y451,5,2),RIGHT(Y451,2)),IFERROR(DATEVALUE(SUBSTITUTE(SUBSTITUTE(Y451,".","-"),"/","-")),IFERROR(Y451*1,""))))</f>
        <v/>
      </c>
      <c r="N451">
        <f>IFERROR(LEFT(B451,FIND(" ",B451)-1),B451)</f>
        <v/>
      </c>
      <c r="O451">
        <f>AND(B451&lt;&gt;"",B451&lt;&gt;설정!$B$4,C451&lt;&gt;설정!$B$5)</f>
        <v/>
      </c>
      <c r="P451">
        <f>IF(O451,B451&amp;"|"&amp;C451,"")</f>
        <v/>
      </c>
      <c r="Q451">
        <f>AND(O451,COUNTIF(P452:P$1002,P451)=0)</f>
        <v/>
      </c>
      <c r="R451">
        <f>OR(AND(설정!$A$28&lt;&gt;"",ISNUMBER(SEARCH(설정!$A$28,E451&amp;" "&amp;C451))),AND(설정!$A$29&lt;&gt;"",ISNUMBER(SEARCH(설정!$A$29,E451&amp;" "&amp;C451))),AND(설정!$A$30&lt;&gt;"",ISNUMBER(SEARCH(설정!$A$30,E451&amp;" "&amp;C451))),AND(설정!$A$31&lt;&gt;"",ISNUMBER(SEARCH(설정!$A$31,E451&amp;" "&amp;C451))),AND(설정!$A$32&lt;&gt;"",ISNUMBER(SEARCH(설정!$A$32,E451&amp;" "&amp;C451))),AND(설정!$A$33&lt;&gt;"",ISNUMBER(SEARCH(설정!$A$33,E451&amp;" "&amp;C451))),AND(설정!$A$34&lt;&gt;"",ISNUMBER(SEARCH(설정!$A$34,E451&amp;" "&amp;C451))),AND(설정!$A$35&lt;&gt;"",ISNUMBER(SEARCH(설정!$A$35,E451&amp;" "&amp;C451))),AND(설정!$A$36&lt;&gt;"",ISNUMBER(SEARCH(설정!$A$36,E451&amp;" "&amp;C451))),AND(설정!$A$37&lt;&gt;"",ISNUMBER(SEARCH(설정!$A$37,E451&amp;" "&amp;C451))))</f>
        <v/>
      </c>
      <c r="S451">
        <f>OR(D451="",D451&gt;=설정!$B$19)</f>
        <v/>
      </c>
      <c r="T451">
        <f>AND(Q451,R451,S451)</f>
        <v/>
      </c>
      <c r="U451">
        <f>IF(T451,IF(AND(설정!$A$41&lt;&gt;"",ISNUMBER(SEARCH(설정!$A$41,K451))),설정!$B$41,IF(AND(설정!$A$42&lt;&gt;"",ISNUMBER(SEARCH(설정!$A$42,K451))),설정!$B$42,IF(AND(설정!$A$43&lt;&gt;"",ISNUMBER(SEARCH(설정!$A$43,K451))),설정!$B$43,IF(AND(설정!$A$44&lt;&gt;"",ISNUMBER(SEARCH(설정!$A$44,K451))),설정!$B$44,IF(AND(설정!$A$45&lt;&gt;"",ISNUMBER(SEARCH(설정!$A$45,K451))),설정!$B$45,IF(AND(설정!$A$46&lt;&gt;"",ISNUMBER(SEARCH(설정!$A$46,K451))),설정!$B$46,IF(AND(설정!$A$47&lt;&gt;"",ISNUMBER(SEARCH(설정!$A$47,K451))),설정!$B$47,IF(AND(설정!$A$48&lt;&gt;"",ISNUMBER(SEARCH(설정!$A$48,K451))),설정!$B$48,IF(M451="","설계사","시공사"))))))))),"")</f>
        <v/>
      </c>
      <c r="V451">
        <f>SUBSTITUTE(SUBSTITUTE(SUBSTITUTE(SUBSTITUTE(G451,"(주)",""),"㈜",""),"주식회사","")," ","")</f>
        <v/>
      </c>
      <c r="W451">
        <f>IF(AND(T451,V451&lt;&gt;""),IF(COUNTIFS(V$2:V451,V451,T$2:T451,TRUE)=1,MAX(W$1:W450)+1,""),"")</f>
        <v/>
      </c>
      <c r="X451">
        <f>IFERROR(INDEX('1.산군_붙여넣기'!$A$1:$AZ$1001,ROW(),설정!$C$14)&amp;"","")</f>
        <v/>
      </c>
      <c r="Y451">
        <f>IFERROR(INDEX('1.산군_붙여넣기'!$A$1:$AZ$1001,ROW(),설정!$C$15)&amp;"","")</f>
        <v/>
      </c>
      <c r="Z451">
        <f>IF(T451,V451&amp;"|"&amp;U451,"")</f>
        <v/>
      </c>
    </row>
    <row r="452">
      <c r="A452">
        <f>ROW()</f>
        <v/>
      </c>
      <c r="B452">
        <f>IFERROR(INDEX('1.산군_붙여넣기'!$A$1:$AZ$1001,ROW(),설정!$C$4)&amp;"","")</f>
        <v/>
      </c>
      <c r="C452">
        <f>IFERROR(INDEX('1.산군_붙여넣기'!$A$1:$AZ$1001,ROW(),설정!$C$5)&amp;"","")</f>
        <v/>
      </c>
      <c r="D452" s="5">
        <f>IFERROR(VALUE(SUBSTITUTE(SUBSTITUTE(SUBSTITUTE(IFERROR(INDEX('1.산군_붙여넣기'!$A$1:$AZ$1001,ROW(),설정!$C$6)&amp;"",""),",",""),"㎡",""),"m2","")),"")</f>
        <v/>
      </c>
      <c r="E452">
        <f>IFERROR(INDEX('1.산군_붙여넣기'!$A$1:$AZ$1001,ROW(),설정!$C$7)&amp;"","")</f>
        <v/>
      </c>
      <c r="F452">
        <f>IFERROR(INDEX('1.산군_붙여넣기'!$A$1:$AZ$1001,ROW(),설정!$C$8)&amp;"","")</f>
        <v/>
      </c>
      <c r="G452">
        <f>IFERROR(INDEX('1.산군_붙여넣기'!$A$1:$AZ$1001,ROW(),설정!$C$9)&amp;"","")</f>
        <v/>
      </c>
      <c r="H452">
        <f>IFERROR(INDEX('1.산군_붙여넣기'!$A$1:$AZ$1001,ROW(),설정!$C$10)&amp;"","")</f>
        <v/>
      </c>
      <c r="I452">
        <f>IFERROR(INDEX('1.산군_붙여넣기'!$A$1:$AZ$1001,ROW(),설정!$C$11)&amp;"","")</f>
        <v/>
      </c>
      <c r="J452">
        <f>IFERROR(INDEX('1.산군_붙여넣기'!$A$1:$AZ$1001,ROW(),설정!$C$12)&amp;"","")</f>
        <v/>
      </c>
      <c r="K452">
        <f>IFERROR(INDEX('1.산군_붙여넣기'!$A$1:$AZ$1001,ROW(),설정!$C$13)&amp;"","")</f>
        <v/>
      </c>
      <c r="L452" s="6">
        <f>IF(X452="","",IF(AND(LEN(X452)=8,ISNUMBER(X452*1)),DATE(LEFT(X452,4),MID(X452,5,2),RIGHT(X452,2)),IFERROR(DATEVALUE(SUBSTITUTE(SUBSTITUTE(X452,".","-"),"/","-")),IFERROR(X452*1,""))))</f>
        <v/>
      </c>
      <c r="M452" s="6">
        <f>IF(Y452="","",IF(AND(LEN(Y452)=8,ISNUMBER(Y452*1)),DATE(LEFT(Y452,4),MID(Y452,5,2),RIGHT(Y452,2)),IFERROR(DATEVALUE(SUBSTITUTE(SUBSTITUTE(Y452,".","-"),"/","-")),IFERROR(Y452*1,""))))</f>
        <v/>
      </c>
      <c r="N452">
        <f>IFERROR(LEFT(B452,FIND(" ",B452)-1),B452)</f>
        <v/>
      </c>
      <c r="O452">
        <f>AND(B452&lt;&gt;"",B452&lt;&gt;설정!$B$4,C452&lt;&gt;설정!$B$5)</f>
        <v/>
      </c>
      <c r="P452">
        <f>IF(O452,B452&amp;"|"&amp;C452,"")</f>
        <v/>
      </c>
      <c r="Q452">
        <f>AND(O452,COUNTIF(P453:P$1002,P452)=0)</f>
        <v/>
      </c>
      <c r="R452">
        <f>OR(AND(설정!$A$28&lt;&gt;"",ISNUMBER(SEARCH(설정!$A$28,E452&amp;" "&amp;C452))),AND(설정!$A$29&lt;&gt;"",ISNUMBER(SEARCH(설정!$A$29,E452&amp;" "&amp;C452))),AND(설정!$A$30&lt;&gt;"",ISNUMBER(SEARCH(설정!$A$30,E452&amp;" "&amp;C452))),AND(설정!$A$31&lt;&gt;"",ISNUMBER(SEARCH(설정!$A$31,E452&amp;" "&amp;C452))),AND(설정!$A$32&lt;&gt;"",ISNUMBER(SEARCH(설정!$A$32,E452&amp;" "&amp;C452))),AND(설정!$A$33&lt;&gt;"",ISNUMBER(SEARCH(설정!$A$33,E452&amp;" "&amp;C452))),AND(설정!$A$34&lt;&gt;"",ISNUMBER(SEARCH(설정!$A$34,E452&amp;" "&amp;C452))),AND(설정!$A$35&lt;&gt;"",ISNUMBER(SEARCH(설정!$A$35,E452&amp;" "&amp;C452))),AND(설정!$A$36&lt;&gt;"",ISNUMBER(SEARCH(설정!$A$36,E452&amp;" "&amp;C452))),AND(설정!$A$37&lt;&gt;"",ISNUMBER(SEARCH(설정!$A$37,E452&amp;" "&amp;C452))))</f>
        <v/>
      </c>
      <c r="S452">
        <f>OR(D452="",D452&gt;=설정!$B$19)</f>
        <v/>
      </c>
      <c r="T452">
        <f>AND(Q452,R452,S452)</f>
        <v/>
      </c>
      <c r="U452">
        <f>IF(T452,IF(AND(설정!$A$41&lt;&gt;"",ISNUMBER(SEARCH(설정!$A$41,K452))),설정!$B$41,IF(AND(설정!$A$42&lt;&gt;"",ISNUMBER(SEARCH(설정!$A$42,K452))),설정!$B$42,IF(AND(설정!$A$43&lt;&gt;"",ISNUMBER(SEARCH(설정!$A$43,K452))),설정!$B$43,IF(AND(설정!$A$44&lt;&gt;"",ISNUMBER(SEARCH(설정!$A$44,K452))),설정!$B$44,IF(AND(설정!$A$45&lt;&gt;"",ISNUMBER(SEARCH(설정!$A$45,K452))),설정!$B$45,IF(AND(설정!$A$46&lt;&gt;"",ISNUMBER(SEARCH(설정!$A$46,K452))),설정!$B$46,IF(AND(설정!$A$47&lt;&gt;"",ISNUMBER(SEARCH(설정!$A$47,K452))),설정!$B$47,IF(AND(설정!$A$48&lt;&gt;"",ISNUMBER(SEARCH(설정!$A$48,K452))),설정!$B$48,IF(M452="","설계사","시공사"))))))))),"")</f>
        <v/>
      </c>
      <c r="V452">
        <f>SUBSTITUTE(SUBSTITUTE(SUBSTITUTE(SUBSTITUTE(G452,"(주)",""),"㈜",""),"주식회사","")," ","")</f>
        <v/>
      </c>
      <c r="W452">
        <f>IF(AND(T452,V452&lt;&gt;""),IF(COUNTIFS(V$2:V452,V452,T$2:T452,TRUE)=1,MAX(W$1:W451)+1,""),"")</f>
        <v/>
      </c>
      <c r="X452">
        <f>IFERROR(INDEX('1.산군_붙여넣기'!$A$1:$AZ$1001,ROW(),설정!$C$14)&amp;"","")</f>
        <v/>
      </c>
      <c r="Y452">
        <f>IFERROR(INDEX('1.산군_붙여넣기'!$A$1:$AZ$1001,ROW(),설정!$C$15)&amp;"","")</f>
        <v/>
      </c>
      <c r="Z452">
        <f>IF(T452,V452&amp;"|"&amp;U452,"")</f>
        <v/>
      </c>
    </row>
    <row r="453">
      <c r="A453">
        <f>ROW()</f>
        <v/>
      </c>
      <c r="B453">
        <f>IFERROR(INDEX('1.산군_붙여넣기'!$A$1:$AZ$1001,ROW(),설정!$C$4)&amp;"","")</f>
        <v/>
      </c>
      <c r="C453">
        <f>IFERROR(INDEX('1.산군_붙여넣기'!$A$1:$AZ$1001,ROW(),설정!$C$5)&amp;"","")</f>
        <v/>
      </c>
      <c r="D453" s="5">
        <f>IFERROR(VALUE(SUBSTITUTE(SUBSTITUTE(SUBSTITUTE(IFERROR(INDEX('1.산군_붙여넣기'!$A$1:$AZ$1001,ROW(),설정!$C$6)&amp;"",""),",",""),"㎡",""),"m2","")),"")</f>
        <v/>
      </c>
      <c r="E453">
        <f>IFERROR(INDEX('1.산군_붙여넣기'!$A$1:$AZ$1001,ROW(),설정!$C$7)&amp;"","")</f>
        <v/>
      </c>
      <c r="F453">
        <f>IFERROR(INDEX('1.산군_붙여넣기'!$A$1:$AZ$1001,ROW(),설정!$C$8)&amp;"","")</f>
        <v/>
      </c>
      <c r="G453">
        <f>IFERROR(INDEX('1.산군_붙여넣기'!$A$1:$AZ$1001,ROW(),설정!$C$9)&amp;"","")</f>
        <v/>
      </c>
      <c r="H453">
        <f>IFERROR(INDEX('1.산군_붙여넣기'!$A$1:$AZ$1001,ROW(),설정!$C$10)&amp;"","")</f>
        <v/>
      </c>
      <c r="I453">
        <f>IFERROR(INDEX('1.산군_붙여넣기'!$A$1:$AZ$1001,ROW(),설정!$C$11)&amp;"","")</f>
        <v/>
      </c>
      <c r="J453">
        <f>IFERROR(INDEX('1.산군_붙여넣기'!$A$1:$AZ$1001,ROW(),설정!$C$12)&amp;"","")</f>
        <v/>
      </c>
      <c r="K453">
        <f>IFERROR(INDEX('1.산군_붙여넣기'!$A$1:$AZ$1001,ROW(),설정!$C$13)&amp;"","")</f>
        <v/>
      </c>
      <c r="L453" s="6">
        <f>IF(X453="","",IF(AND(LEN(X453)=8,ISNUMBER(X453*1)),DATE(LEFT(X453,4),MID(X453,5,2),RIGHT(X453,2)),IFERROR(DATEVALUE(SUBSTITUTE(SUBSTITUTE(X453,".","-"),"/","-")),IFERROR(X453*1,""))))</f>
        <v/>
      </c>
      <c r="M453" s="6">
        <f>IF(Y453="","",IF(AND(LEN(Y453)=8,ISNUMBER(Y453*1)),DATE(LEFT(Y453,4),MID(Y453,5,2),RIGHT(Y453,2)),IFERROR(DATEVALUE(SUBSTITUTE(SUBSTITUTE(Y453,".","-"),"/","-")),IFERROR(Y453*1,""))))</f>
        <v/>
      </c>
      <c r="N453">
        <f>IFERROR(LEFT(B453,FIND(" ",B453)-1),B453)</f>
        <v/>
      </c>
      <c r="O453">
        <f>AND(B453&lt;&gt;"",B453&lt;&gt;설정!$B$4,C453&lt;&gt;설정!$B$5)</f>
        <v/>
      </c>
      <c r="P453">
        <f>IF(O453,B453&amp;"|"&amp;C453,"")</f>
        <v/>
      </c>
      <c r="Q453">
        <f>AND(O453,COUNTIF(P454:P$1002,P453)=0)</f>
        <v/>
      </c>
      <c r="R453">
        <f>OR(AND(설정!$A$28&lt;&gt;"",ISNUMBER(SEARCH(설정!$A$28,E453&amp;" "&amp;C453))),AND(설정!$A$29&lt;&gt;"",ISNUMBER(SEARCH(설정!$A$29,E453&amp;" "&amp;C453))),AND(설정!$A$30&lt;&gt;"",ISNUMBER(SEARCH(설정!$A$30,E453&amp;" "&amp;C453))),AND(설정!$A$31&lt;&gt;"",ISNUMBER(SEARCH(설정!$A$31,E453&amp;" "&amp;C453))),AND(설정!$A$32&lt;&gt;"",ISNUMBER(SEARCH(설정!$A$32,E453&amp;" "&amp;C453))),AND(설정!$A$33&lt;&gt;"",ISNUMBER(SEARCH(설정!$A$33,E453&amp;" "&amp;C453))),AND(설정!$A$34&lt;&gt;"",ISNUMBER(SEARCH(설정!$A$34,E453&amp;" "&amp;C453))),AND(설정!$A$35&lt;&gt;"",ISNUMBER(SEARCH(설정!$A$35,E453&amp;" "&amp;C453))),AND(설정!$A$36&lt;&gt;"",ISNUMBER(SEARCH(설정!$A$36,E453&amp;" "&amp;C453))),AND(설정!$A$37&lt;&gt;"",ISNUMBER(SEARCH(설정!$A$37,E453&amp;" "&amp;C453))))</f>
        <v/>
      </c>
      <c r="S453">
        <f>OR(D453="",D453&gt;=설정!$B$19)</f>
        <v/>
      </c>
      <c r="T453">
        <f>AND(Q453,R453,S453)</f>
        <v/>
      </c>
      <c r="U453">
        <f>IF(T453,IF(AND(설정!$A$41&lt;&gt;"",ISNUMBER(SEARCH(설정!$A$41,K453))),설정!$B$41,IF(AND(설정!$A$42&lt;&gt;"",ISNUMBER(SEARCH(설정!$A$42,K453))),설정!$B$42,IF(AND(설정!$A$43&lt;&gt;"",ISNUMBER(SEARCH(설정!$A$43,K453))),설정!$B$43,IF(AND(설정!$A$44&lt;&gt;"",ISNUMBER(SEARCH(설정!$A$44,K453))),설정!$B$44,IF(AND(설정!$A$45&lt;&gt;"",ISNUMBER(SEARCH(설정!$A$45,K453))),설정!$B$45,IF(AND(설정!$A$46&lt;&gt;"",ISNUMBER(SEARCH(설정!$A$46,K453))),설정!$B$46,IF(AND(설정!$A$47&lt;&gt;"",ISNUMBER(SEARCH(설정!$A$47,K453))),설정!$B$47,IF(AND(설정!$A$48&lt;&gt;"",ISNUMBER(SEARCH(설정!$A$48,K453))),설정!$B$48,IF(M453="","설계사","시공사"))))))))),"")</f>
        <v/>
      </c>
      <c r="V453">
        <f>SUBSTITUTE(SUBSTITUTE(SUBSTITUTE(SUBSTITUTE(G453,"(주)",""),"㈜",""),"주식회사","")," ","")</f>
        <v/>
      </c>
      <c r="W453">
        <f>IF(AND(T453,V453&lt;&gt;""),IF(COUNTIFS(V$2:V453,V453,T$2:T453,TRUE)=1,MAX(W$1:W452)+1,""),"")</f>
        <v/>
      </c>
      <c r="X453">
        <f>IFERROR(INDEX('1.산군_붙여넣기'!$A$1:$AZ$1001,ROW(),설정!$C$14)&amp;"","")</f>
        <v/>
      </c>
      <c r="Y453">
        <f>IFERROR(INDEX('1.산군_붙여넣기'!$A$1:$AZ$1001,ROW(),설정!$C$15)&amp;"","")</f>
        <v/>
      </c>
      <c r="Z453">
        <f>IF(T453,V453&amp;"|"&amp;U453,"")</f>
        <v/>
      </c>
    </row>
    <row r="454">
      <c r="A454">
        <f>ROW()</f>
        <v/>
      </c>
      <c r="B454">
        <f>IFERROR(INDEX('1.산군_붙여넣기'!$A$1:$AZ$1001,ROW(),설정!$C$4)&amp;"","")</f>
        <v/>
      </c>
      <c r="C454">
        <f>IFERROR(INDEX('1.산군_붙여넣기'!$A$1:$AZ$1001,ROW(),설정!$C$5)&amp;"","")</f>
        <v/>
      </c>
      <c r="D454" s="5">
        <f>IFERROR(VALUE(SUBSTITUTE(SUBSTITUTE(SUBSTITUTE(IFERROR(INDEX('1.산군_붙여넣기'!$A$1:$AZ$1001,ROW(),설정!$C$6)&amp;"",""),",",""),"㎡",""),"m2","")),"")</f>
        <v/>
      </c>
      <c r="E454">
        <f>IFERROR(INDEX('1.산군_붙여넣기'!$A$1:$AZ$1001,ROW(),설정!$C$7)&amp;"","")</f>
        <v/>
      </c>
      <c r="F454">
        <f>IFERROR(INDEX('1.산군_붙여넣기'!$A$1:$AZ$1001,ROW(),설정!$C$8)&amp;"","")</f>
        <v/>
      </c>
      <c r="G454">
        <f>IFERROR(INDEX('1.산군_붙여넣기'!$A$1:$AZ$1001,ROW(),설정!$C$9)&amp;"","")</f>
        <v/>
      </c>
      <c r="H454">
        <f>IFERROR(INDEX('1.산군_붙여넣기'!$A$1:$AZ$1001,ROW(),설정!$C$10)&amp;"","")</f>
        <v/>
      </c>
      <c r="I454">
        <f>IFERROR(INDEX('1.산군_붙여넣기'!$A$1:$AZ$1001,ROW(),설정!$C$11)&amp;"","")</f>
        <v/>
      </c>
      <c r="J454">
        <f>IFERROR(INDEX('1.산군_붙여넣기'!$A$1:$AZ$1001,ROW(),설정!$C$12)&amp;"","")</f>
        <v/>
      </c>
      <c r="K454">
        <f>IFERROR(INDEX('1.산군_붙여넣기'!$A$1:$AZ$1001,ROW(),설정!$C$13)&amp;"","")</f>
        <v/>
      </c>
      <c r="L454" s="6">
        <f>IF(X454="","",IF(AND(LEN(X454)=8,ISNUMBER(X454*1)),DATE(LEFT(X454,4),MID(X454,5,2),RIGHT(X454,2)),IFERROR(DATEVALUE(SUBSTITUTE(SUBSTITUTE(X454,".","-"),"/","-")),IFERROR(X454*1,""))))</f>
        <v/>
      </c>
      <c r="M454" s="6">
        <f>IF(Y454="","",IF(AND(LEN(Y454)=8,ISNUMBER(Y454*1)),DATE(LEFT(Y454,4),MID(Y454,5,2),RIGHT(Y454,2)),IFERROR(DATEVALUE(SUBSTITUTE(SUBSTITUTE(Y454,".","-"),"/","-")),IFERROR(Y454*1,""))))</f>
        <v/>
      </c>
      <c r="N454">
        <f>IFERROR(LEFT(B454,FIND(" ",B454)-1),B454)</f>
        <v/>
      </c>
      <c r="O454">
        <f>AND(B454&lt;&gt;"",B454&lt;&gt;설정!$B$4,C454&lt;&gt;설정!$B$5)</f>
        <v/>
      </c>
      <c r="P454">
        <f>IF(O454,B454&amp;"|"&amp;C454,"")</f>
        <v/>
      </c>
      <c r="Q454">
        <f>AND(O454,COUNTIF(P455:P$1002,P454)=0)</f>
        <v/>
      </c>
      <c r="R454">
        <f>OR(AND(설정!$A$28&lt;&gt;"",ISNUMBER(SEARCH(설정!$A$28,E454&amp;" "&amp;C454))),AND(설정!$A$29&lt;&gt;"",ISNUMBER(SEARCH(설정!$A$29,E454&amp;" "&amp;C454))),AND(설정!$A$30&lt;&gt;"",ISNUMBER(SEARCH(설정!$A$30,E454&amp;" "&amp;C454))),AND(설정!$A$31&lt;&gt;"",ISNUMBER(SEARCH(설정!$A$31,E454&amp;" "&amp;C454))),AND(설정!$A$32&lt;&gt;"",ISNUMBER(SEARCH(설정!$A$32,E454&amp;" "&amp;C454))),AND(설정!$A$33&lt;&gt;"",ISNUMBER(SEARCH(설정!$A$33,E454&amp;" "&amp;C454))),AND(설정!$A$34&lt;&gt;"",ISNUMBER(SEARCH(설정!$A$34,E454&amp;" "&amp;C454))),AND(설정!$A$35&lt;&gt;"",ISNUMBER(SEARCH(설정!$A$35,E454&amp;" "&amp;C454))),AND(설정!$A$36&lt;&gt;"",ISNUMBER(SEARCH(설정!$A$36,E454&amp;" "&amp;C454))),AND(설정!$A$37&lt;&gt;"",ISNUMBER(SEARCH(설정!$A$37,E454&amp;" "&amp;C454))))</f>
        <v/>
      </c>
      <c r="S454">
        <f>OR(D454="",D454&gt;=설정!$B$19)</f>
        <v/>
      </c>
      <c r="T454">
        <f>AND(Q454,R454,S454)</f>
        <v/>
      </c>
      <c r="U454">
        <f>IF(T454,IF(AND(설정!$A$41&lt;&gt;"",ISNUMBER(SEARCH(설정!$A$41,K454))),설정!$B$41,IF(AND(설정!$A$42&lt;&gt;"",ISNUMBER(SEARCH(설정!$A$42,K454))),설정!$B$42,IF(AND(설정!$A$43&lt;&gt;"",ISNUMBER(SEARCH(설정!$A$43,K454))),설정!$B$43,IF(AND(설정!$A$44&lt;&gt;"",ISNUMBER(SEARCH(설정!$A$44,K454))),설정!$B$44,IF(AND(설정!$A$45&lt;&gt;"",ISNUMBER(SEARCH(설정!$A$45,K454))),설정!$B$45,IF(AND(설정!$A$46&lt;&gt;"",ISNUMBER(SEARCH(설정!$A$46,K454))),설정!$B$46,IF(AND(설정!$A$47&lt;&gt;"",ISNUMBER(SEARCH(설정!$A$47,K454))),설정!$B$47,IF(AND(설정!$A$48&lt;&gt;"",ISNUMBER(SEARCH(설정!$A$48,K454))),설정!$B$48,IF(M454="","설계사","시공사"))))))))),"")</f>
        <v/>
      </c>
      <c r="V454">
        <f>SUBSTITUTE(SUBSTITUTE(SUBSTITUTE(SUBSTITUTE(G454,"(주)",""),"㈜",""),"주식회사","")," ","")</f>
        <v/>
      </c>
      <c r="W454">
        <f>IF(AND(T454,V454&lt;&gt;""),IF(COUNTIFS(V$2:V454,V454,T$2:T454,TRUE)=1,MAX(W$1:W453)+1,""),"")</f>
        <v/>
      </c>
      <c r="X454">
        <f>IFERROR(INDEX('1.산군_붙여넣기'!$A$1:$AZ$1001,ROW(),설정!$C$14)&amp;"","")</f>
        <v/>
      </c>
      <c r="Y454">
        <f>IFERROR(INDEX('1.산군_붙여넣기'!$A$1:$AZ$1001,ROW(),설정!$C$15)&amp;"","")</f>
        <v/>
      </c>
      <c r="Z454">
        <f>IF(T454,V454&amp;"|"&amp;U454,"")</f>
        <v/>
      </c>
    </row>
    <row r="455">
      <c r="A455">
        <f>ROW()</f>
        <v/>
      </c>
      <c r="B455">
        <f>IFERROR(INDEX('1.산군_붙여넣기'!$A$1:$AZ$1001,ROW(),설정!$C$4)&amp;"","")</f>
        <v/>
      </c>
      <c r="C455">
        <f>IFERROR(INDEX('1.산군_붙여넣기'!$A$1:$AZ$1001,ROW(),설정!$C$5)&amp;"","")</f>
        <v/>
      </c>
      <c r="D455" s="5">
        <f>IFERROR(VALUE(SUBSTITUTE(SUBSTITUTE(SUBSTITUTE(IFERROR(INDEX('1.산군_붙여넣기'!$A$1:$AZ$1001,ROW(),설정!$C$6)&amp;"",""),",",""),"㎡",""),"m2","")),"")</f>
        <v/>
      </c>
      <c r="E455">
        <f>IFERROR(INDEX('1.산군_붙여넣기'!$A$1:$AZ$1001,ROW(),설정!$C$7)&amp;"","")</f>
        <v/>
      </c>
      <c r="F455">
        <f>IFERROR(INDEX('1.산군_붙여넣기'!$A$1:$AZ$1001,ROW(),설정!$C$8)&amp;"","")</f>
        <v/>
      </c>
      <c r="G455">
        <f>IFERROR(INDEX('1.산군_붙여넣기'!$A$1:$AZ$1001,ROW(),설정!$C$9)&amp;"","")</f>
        <v/>
      </c>
      <c r="H455">
        <f>IFERROR(INDEX('1.산군_붙여넣기'!$A$1:$AZ$1001,ROW(),설정!$C$10)&amp;"","")</f>
        <v/>
      </c>
      <c r="I455">
        <f>IFERROR(INDEX('1.산군_붙여넣기'!$A$1:$AZ$1001,ROW(),설정!$C$11)&amp;"","")</f>
        <v/>
      </c>
      <c r="J455">
        <f>IFERROR(INDEX('1.산군_붙여넣기'!$A$1:$AZ$1001,ROW(),설정!$C$12)&amp;"","")</f>
        <v/>
      </c>
      <c r="K455">
        <f>IFERROR(INDEX('1.산군_붙여넣기'!$A$1:$AZ$1001,ROW(),설정!$C$13)&amp;"","")</f>
        <v/>
      </c>
      <c r="L455" s="6">
        <f>IF(X455="","",IF(AND(LEN(X455)=8,ISNUMBER(X455*1)),DATE(LEFT(X455,4),MID(X455,5,2),RIGHT(X455,2)),IFERROR(DATEVALUE(SUBSTITUTE(SUBSTITUTE(X455,".","-"),"/","-")),IFERROR(X455*1,""))))</f>
        <v/>
      </c>
      <c r="M455" s="6">
        <f>IF(Y455="","",IF(AND(LEN(Y455)=8,ISNUMBER(Y455*1)),DATE(LEFT(Y455,4),MID(Y455,5,2),RIGHT(Y455,2)),IFERROR(DATEVALUE(SUBSTITUTE(SUBSTITUTE(Y455,".","-"),"/","-")),IFERROR(Y455*1,""))))</f>
        <v/>
      </c>
      <c r="N455">
        <f>IFERROR(LEFT(B455,FIND(" ",B455)-1),B455)</f>
        <v/>
      </c>
      <c r="O455">
        <f>AND(B455&lt;&gt;"",B455&lt;&gt;설정!$B$4,C455&lt;&gt;설정!$B$5)</f>
        <v/>
      </c>
      <c r="P455">
        <f>IF(O455,B455&amp;"|"&amp;C455,"")</f>
        <v/>
      </c>
      <c r="Q455">
        <f>AND(O455,COUNTIF(P456:P$1002,P455)=0)</f>
        <v/>
      </c>
      <c r="R455">
        <f>OR(AND(설정!$A$28&lt;&gt;"",ISNUMBER(SEARCH(설정!$A$28,E455&amp;" "&amp;C455))),AND(설정!$A$29&lt;&gt;"",ISNUMBER(SEARCH(설정!$A$29,E455&amp;" "&amp;C455))),AND(설정!$A$30&lt;&gt;"",ISNUMBER(SEARCH(설정!$A$30,E455&amp;" "&amp;C455))),AND(설정!$A$31&lt;&gt;"",ISNUMBER(SEARCH(설정!$A$31,E455&amp;" "&amp;C455))),AND(설정!$A$32&lt;&gt;"",ISNUMBER(SEARCH(설정!$A$32,E455&amp;" "&amp;C455))),AND(설정!$A$33&lt;&gt;"",ISNUMBER(SEARCH(설정!$A$33,E455&amp;" "&amp;C455))),AND(설정!$A$34&lt;&gt;"",ISNUMBER(SEARCH(설정!$A$34,E455&amp;" "&amp;C455))),AND(설정!$A$35&lt;&gt;"",ISNUMBER(SEARCH(설정!$A$35,E455&amp;" "&amp;C455))),AND(설정!$A$36&lt;&gt;"",ISNUMBER(SEARCH(설정!$A$36,E455&amp;" "&amp;C455))),AND(설정!$A$37&lt;&gt;"",ISNUMBER(SEARCH(설정!$A$37,E455&amp;" "&amp;C455))))</f>
        <v/>
      </c>
      <c r="S455">
        <f>OR(D455="",D455&gt;=설정!$B$19)</f>
        <v/>
      </c>
      <c r="T455">
        <f>AND(Q455,R455,S455)</f>
        <v/>
      </c>
      <c r="U455">
        <f>IF(T455,IF(AND(설정!$A$41&lt;&gt;"",ISNUMBER(SEARCH(설정!$A$41,K455))),설정!$B$41,IF(AND(설정!$A$42&lt;&gt;"",ISNUMBER(SEARCH(설정!$A$42,K455))),설정!$B$42,IF(AND(설정!$A$43&lt;&gt;"",ISNUMBER(SEARCH(설정!$A$43,K455))),설정!$B$43,IF(AND(설정!$A$44&lt;&gt;"",ISNUMBER(SEARCH(설정!$A$44,K455))),설정!$B$44,IF(AND(설정!$A$45&lt;&gt;"",ISNUMBER(SEARCH(설정!$A$45,K455))),설정!$B$45,IF(AND(설정!$A$46&lt;&gt;"",ISNUMBER(SEARCH(설정!$A$46,K455))),설정!$B$46,IF(AND(설정!$A$47&lt;&gt;"",ISNUMBER(SEARCH(설정!$A$47,K455))),설정!$B$47,IF(AND(설정!$A$48&lt;&gt;"",ISNUMBER(SEARCH(설정!$A$48,K455))),설정!$B$48,IF(M455="","설계사","시공사"))))))))),"")</f>
        <v/>
      </c>
      <c r="V455">
        <f>SUBSTITUTE(SUBSTITUTE(SUBSTITUTE(SUBSTITUTE(G455,"(주)",""),"㈜",""),"주식회사","")," ","")</f>
        <v/>
      </c>
      <c r="W455">
        <f>IF(AND(T455,V455&lt;&gt;""),IF(COUNTIFS(V$2:V455,V455,T$2:T455,TRUE)=1,MAX(W$1:W454)+1,""),"")</f>
        <v/>
      </c>
      <c r="X455">
        <f>IFERROR(INDEX('1.산군_붙여넣기'!$A$1:$AZ$1001,ROW(),설정!$C$14)&amp;"","")</f>
        <v/>
      </c>
      <c r="Y455">
        <f>IFERROR(INDEX('1.산군_붙여넣기'!$A$1:$AZ$1001,ROW(),설정!$C$15)&amp;"","")</f>
        <v/>
      </c>
      <c r="Z455">
        <f>IF(T455,V455&amp;"|"&amp;U455,"")</f>
        <v/>
      </c>
    </row>
    <row r="456">
      <c r="A456">
        <f>ROW()</f>
        <v/>
      </c>
      <c r="B456">
        <f>IFERROR(INDEX('1.산군_붙여넣기'!$A$1:$AZ$1001,ROW(),설정!$C$4)&amp;"","")</f>
        <v/>
      </c>
      <c r="C456">
        <f>IFERROR(INDEX('1.산군_붙여넣기'!$A$1:$AZ$1001,ROW(),설정!$C$5)&amp;"","")</f>
        <v/>
      </c>
      <c r="D456" s="5">
        <f>IFERROR(VALUE(SUBSTITUTE(SUBSTITUTE(SUBSTITUTE(IFERROR(INDEX('1.산군_붙여넣기'!$A$1:$AZ$1001,ROW(),설정!$C$6)&amp;"",""),",",""),"㎡",""),"m2","")),"")</f>
        <v/>
      </c>
      <c r="E456">
        <f>IFERROR(INDEX('1.산군_붙여넣기'!$A$1:$AZ$1001,ROW(),설정!$C$7)&amp;"","")</f>
        <v/>
      </c>
      <c r="F456">
        <f>IFERROR(INDEX('1.산군_붙여넣기'!$A$1:$AZ$1001,ROW(),설정!$C$8)&amp;"","")</f>
        <v/>
      </c>
      <c r="G456">
        <f>IFERROR(INDEX('1.산군_붙여넣기'!$A$1:$AZ$1001,ROW(),설정!$C$9)&amp;"","")</f>
        <v/>
      </c>
      <c r="H456">
        <f>IFERROR(INDEX('1.산군_붙여넣기'!$A$1:$AZ$1001,ROW(),설정!$C$10)&amp;"","")</f>
        <v/>
      </c>
      <c r="I456">
        <f>IFERROR(INDEX('1.산군_붙여넣기'!$A$1:$AZ$1001,ROW(),설정!$C$11)&amp;"","")</f>
        <v/>
      </c>
      <c r="J456">
        <f>IFERROR(INDEX('1.산군_붙여넣기'!$A$1:$AZ$1001,ROW(),설정!$C$12)&amp;"","")</f>
        <v/>
      </c>
      <c r="K456">
        <f>IFERROR(INDEX('1.산군_붙여넣기'!$A$1:$AZ$1001,ROW(),설정!$C$13)&amp;"","")</f>
        <v/>
      </c>
      <c r="L456" s="6">
        <f>IF(X456="","",IF(AND(LEN(X456)=8,ISNUMBER(X456*1)),DATE(LEFT(X456,4),MID(X456,5,2),RIGHT(X456,2)),IFERROR(DATEVALUE(SUBSTITUTE(SUBSTITUTE(X456,".","-"),"/","-")),IFERROR(X456*1,""))))</f>
        <v/>
      </c>
      <c r="M456" s="6">
        <f>IF(Y456="","",IF(AND(LEN(Y456)=8,ISNUMBER(Y456*1)),DATE(LEFT(Y456,4),MID(Y456,5,2),RIGHT(Y456,2)),IFERROR(DATEVALUE(SUBSTITUTE(SUBSTITUTE(Y456,".","-"),"/","-")),IFERROR(Y456*1,""))))</f>
        <v/>
      </c>
      <c r="N456">
        <f>IFERROR(LEFT(B456,FIND(" ",B456)-1),B456)</f>
        <v/>
      </c>
      <c r="O456">
        <f>AND(B456&lt;&gt;"",B456&lt;&gt;설정!$B$4,C456&lt;&gt;설정!$B$5)</f>
        <v/>
      </c>
      <c r="P456">
        <f>IF(O456,B456&amp;"|"&amp;C456,"")</f>
        <v/>
      </c>
      <c r="Q456">
        <f>AND(O456,COUNTIF(P457:P$1002,P456)=0)</f>
        <v/>
      </c>
      <c r="R456">
        <f>OR(AND(설정!$A$28&lt;&gt;"",ISNUMBER(SEARCH(설정!$A$28,E456&amp;" "&amp;C456))),AND(설정!$A$29&lt;&gt;"",ISNUMBER(SEARCH(설정!$A$29,E456&amp;" "&amp;C456))),AND(설정!$A$30&lt;&gt;"",ISNUMBER(SEARCH(설정!$A$30,E456&amp;" "&amp;C456))),AND(설정!$A$31&lt;&gt;"",ISNUMBER(SEARCH(설정!$A$31,E456&amp;" "&amp;C456))),AND(설정!$A$32&lt;&gt;"",ISNUMBER(SEARCH(설정!$A$32,E456&amp;" "&amp;C456))),AND(설정!$A$33&lt;&gt;"",ISNUMBER(SEARCH(설정!$A$33,E456&amp;" "&amp;C456))),AND(설정!$A$34&lt;&gt;"",ISNUMBER(SEARCH(설정!$A$34,E456&amp;" "&amp;C456))),AND(설정!$A$35&lt;&gt;"",ISNUMBER(SEARCH(설정!$A$35,E456&amp;" "&amp;C456))),AND(설정!$A$36&lt;&gt;"",ISNUMBER(SEARCH(설정!$A$36,E456&amp;" "&amp;C456))),AND(설정!$A$37&lt;&gt;"",ISNUMBER(SEARCH(설정!$A$37,E456&amp;" "&amp;C456))))</f>
        <v/>
      </c>
      <c r="S456">
        <f>OR(D456="",D456&gt;=설정!$B$19)</f>
        <v/>
      </c>
      <c r="T456">
        <f>AND(Q456,R456,S456)</f>
        <v/>
      </c>
      <c r="U456">
        <f>IF(T456,IF(AND(설정!$A$41&lt;&gt;"",ISNUMBER(SEARCH(설정!$A$41,K456))),설정!$B$41,IF(AND(설정!$A$42&lt;&gt;"",ISNUMBER(SEARCH(설정!$A$42,K456))),설정!$B$42,IF(AND(설정!$A$43&lt;&gt;"",ISNUMBER(SEARCH(설정!$A$43,K456))),설정!$B$43,IF(AND(설정!$A$44&lt;&gt;"",ISNUMBER(SEARCH(설정!$A$44,K456))),설정!$B$44,IF(AND(설정!$A$45&lt;&gt;"",ISNUMBER(SEARCH(설정!$A$45,K456))),설정!$B$45,IF(AND(설정!$A$46&lt;&gt;"",ISNUMBER(SEARCH(설정!$A$46,K456))),설정!$B$46,IF(AND(설정!$A$47&lt;&gt;"",ISNUMBER(SEARCH(설정!$A$47,K456))),설정!$B$47,IF(AND(설정!$A$48&lt;&gt;"",ISNUMBER(SEARCH(설정!$A$48,K456))),설정!$B$48,IF(M456="","설계사","시공사"))))))))),"")</f>
        <v/>
      </c>
      <c r="V456">
        <f>SUBSTITUTE(SUBSTITUTE(SUBSTITUTE(SUBSTITUTE(G456,"(주)",""),"㈜",""),"주식회사","")," ","")</f>
        <v/>
      </c>
      <c r="W456">
        <f>IF(AND(T456,V456&lt;&gt;""),IF(COUNTIFS(V$2:V456,V456,T$2:T456,TRUE)=1,MAX(W$1:W455)+1,""),"")</f>
        <v/>
      </c>
      <c r="X456">
        <f>IFERROR(INDEX('1.산군_붙여넣기'!$A$1:$AZ$1001,ROW(),설정!$C$14)&amp;"","")</f>
        <v/>
      </c>
      <c r="Y456">
        <f>IFERROR(INDEX('1.산군_붙여넣기'!$A$1:$AZ$1001,ROW(),설정!$C$15)&amp;"","")</f>
        <v/>
      </c>
      <c r="Z456">
        <f>IF(T456,V456&amp;"|"&amp;U456,"")</f>
        <v/>
      </c>
    </row>
    <row r="457">
      <c r="A457">
        <f>ROW()</f>
        <v/>
      </c>
      <c r="B457">
        <f>IFERROR(INDEX('1.산군_붙여넣기'!$A$1:$AZ$1001,ROW(),설정!$C$4)&amp;"","")</f>
        <v/>
      </c>
      <c r="C457">
        <f>IFERROR(INDEX('1.산군_붙여넣기'!$A$1:$AZ$1001,ROW(),설정!$C$5)&amp;"","")</f>
        <v/>
      </c>
      <c r="D457" s="5">
        <f>IFERROR(VALUE(SUBSTITUTE(SUBSTITUTE(SUBSTITUTE(IFERROR(INDEX('1.산군_붙여넣기'!$A$1:$AZ$1001,ROW(),설정!$C$6)&amp;"",""),",",""),"㎡",""),"m2","")),"")</f>
        <v/>
      </c>
      <c r="E457">
        <f>IFERROR(INDEX('1.산군_붙여넣기'!$A$1:$AZ$1001,ROW(),설정!$C$7)&amp;"","")</f>
        <v/>
      </c>
      <c r="F457">
        <f>IFERROR(INDEX('1.산군_붙여넣기'!$A$1:$AZ$1001,ROW(),설정!$C$8)&amp;"","")</f>
        <v/>
      </c>
      <c r="G457">
        <f>IFERROR(INDEX('1.산군_붙여넣기'!$A$1:$AZ$1001,ROW(),설정!$C$9)&amp;"","")</f>
        <v/>
      </c>
      <c r="H457">
        <f>IFERROR(INDEX('1.산군_붙여넣기'!$A$1:$AZ$1001,ROW(),설정!$C$10)&amp;"","")</f>
        <v/>
      </c>
      <c r="I457">
        <f>IFERROR(INDEX('1.산군_붙여넣기'!$A$1:$AZ$1001,ROW(),설정!$C$11)&amp;"","")</f>
        <v/>
      </c>
      <c r="J457">
        <f>IFERROR(INDEX('1.산군_붙여넣기'!$A$1:$AZ$1001,ROW(),설정!$C$12)&amp;"","")</f>
        <v/>
      </c>
      <c r="K457">
        <f>IFERROR(INDEX('1.산군_붙여넣기'!$A$1:$AZ$1001,ROW(),설정!$C$13)&amp;"","")</f>
        <v/>
      </c>
      <c r="L457" s="6">
        <f>IF(X457="","",IF(AND(LEN(X457)=8,ISNUMBER(X457*1)),DATE(LEFT(X457,4),MID(X457,5,2),RIGHT(X457,2)),IFERROR(DATEVALUE(SUBSTITUTE(SUBSTITUTE(X457,".","-"),"/","-")),IFERROR(X457*1,""))))</f>
        <v/>
      </c>
      <c r="M457" s="6">
        <f>IF(Y457="","",IF(AND(LEN(Y457)=8,ISNUMBER(Y457*1)),DATE(LEFT(Y457,4),MID(Y457,5,2),RIGHT(Y457,2)),IFERROR(DATEVALUE(SUBSTITUTE(SUBSTITUTE(Y457,".","-"),"/","-")),IFERROR(Y457*1,""))))</f>
        <v/>
      </c>
      <c r="N457">
        <f>IFERROR(LEFT(B457,FIND(" ",B457)-1),B457)</f>
        <v/>
      </c>
      <c r="O457">
        <f>AND(B457&lt;&gt;"",B457&lt;&gt;설정!$B$4,C457&lt;&gt;설정!$B$5)</f>
        <v/>
      </c>
      <c r="P457">
        <f>IF(O457,B457&amp;"|"&amp;C457,"")</f>
        <v/>
      </c>
      <c r="Q457">
        <f>AND(O457,COUNTIF(P458:P$1002,P457)=0)</f>
        <v/>
      </c>
      <c r="R457">
        <f>OR(AND(설정!$A$28&lt;&gt;"",ISNUMBER(SEARCH(설정!$A$28,E457&amp;" "&amp;C457))),AND(설정!$A$29&lt;&gt;"",ISNUMBER(SEARCH(설정!$A$29,E457&amp;" "&amp;C457))),AND(설정!$A$30&lt;&gt;"",ISNUMBER(SEARCH(설정!$A$30,E457&amp;" "&amp;C457))),AND(설정!$A$31&lt;&gt;"",ISNUMBER(SEARCH(설정!$A$31,E457&amp;" "&amp;C457))),AND(설정!$A$32&lt;&gt;"",ISNUMBER(SEARCH(설정!$A$32,E457&amp;" "&amp;C457))),AND(설정!$A$33&lt;&gt;"",ISNUMBER(SEARCH(설정!$A$33,E457&amp;" "&amp;C457))),AND(설정!$A$34&lt;&gt;"",ISNUMBER(SEARCH(설정!$A$34,E457&amp;" "&amp;C457))),AND(설정!$A$35&lt;&gt;"",ISNUMBER(SEARCH(설정!$A$35,E457&amp;" "&amp;C457))),AND(설정!$A$36&lt;&gt;"",ISNUMBER(SEARCH(설정!$A$36,E457&amp;" "&amp;C457))),AND(설정!$A$37&lt;&gt;"",ISNUMBER(SEARCH(설정!$A$37,E457&amp;" "&amp;C457))))</f>
        <v/>
      </c>
      <c r="S457">
        <f>OR(D457="",D457&gt;=설정!$B$19)</f>
        <v/>
      </c>
      <c r="T457">
        <f>AND(Q457,R457,S457)</f>
        <v/>
      </c>
      <c r="U457">
        <f>IF(T457,IF(AND(설정!$A$41&lt;&gt;"",ISNUMBER(SEARCH(설정!$A$41,K457))),설정!$B$41,IF(AND(설정!$A$42&lt;&gt;"",ISNUMBER(SEARCH(설정!$A$42,K457))),설정!$B$42,IF(AND(설정!$A$43&lt;&gt;"",ISNUMBER(SEARCH(설정!$A$43,K457))),설정!$B$43,IF(AND(설정!$A$44&lt;&gt;"",ISNUMBER(SEARCH(설정!$A$44,K457))),설정!$B$44,IF(AND(설정!$A$45&lt;&gt;"",ISNUMBER(SEARCH(설정!$A$45,K457))),설정!$B$45,IF(AND(설정!$A$46&lt;&gt;"",ISNUMBER(SEARCH(설정!$A$46,K457))),설정!$B$46,IF(AND(설정!$A$47&lt;&gt;"",ISNUMBER(SEARCH(설정!$A$47,K457))),설정!$B$47,IF(AND(설정!$A$48&lt;&gt;"",ISNUMBER(SEARCH(설정!$A$48,K457))),설정!$B$48,IF(M457="","설계사","시공사"))))))))),"")</f>
        <v/>
      </c>
      <c r="V457">
        <f>SUBSTITUTE(SUBSTITUTE(SUBSTITUTE(SUBSTITUTE(G457,"(주)",""),"㈜",""),"주식회사","")," ","")</f>
        <v/>
      </c>
      <c r="W457">
        <f>IF(AND(T457,V457&lt;&gt;""),IF(COUNTIFS(V$2:V457,V457,T$2:T457,TRUE)=1,MAX(W$1:W456)+1,""),"")</f>
        <v/>
      </c>
      <c r="X457">
        <f>IFERROR(INDEX('1.산군_붙여넣기'!$A$1:$AZ$1001,ROW(),설정!$C$14)&amp;"","")</f>
        <v/>
      </c>
      <c r="Y457">
        <f>IFERROR(INDEX('1.산군_붙여넣기'!$A$1:$AZ$1001,ROW(),설정!$C$15)&amp;"","")</f>
        <v/>
      </c>
      <c r="Z457">
        <f>IF(T457,V457&amp;"|"&amp;U457,"")</f>
        <v/>
      </c>
    </row>
    <row r="458">
      <c r="A458">
        <f>ROW()</f>
        <v/>
      </c>
      <c r="B458">
        <f>IFERROR(INDEX('1.산군_붙여넣기'!$A$1:$AZ$1001,ROW(),설정!$C$4)&amp;"","")</f>
        <v/>
      </c>
      <c r="C458">
        <f>IFERROR(INDEX('1.산군_붙여넣기'!$A$1:$AZ$1001,ROW(),설정!$C$5)&amp;"","")</f>
        <v/>
      </c>
      <c r="D458" s="5">
        <f>IFERROR(VALUE(SUBSTITUTE(SUBSTITUTE(SUBSTITUTE(IFERROR(INDEX('1.산군_붙여넣기'!$A$1:$AZ$1001,ROW(),설정!$C$6)&amp;"",""),",",""),"㎡",""),"m2","")),"")</f>
        <v/>
      </c>
      <c r="E458">
        <f>IFERROR(INDEX('1.산군_붙여넣기'!$A$1:$AZ$1001,ROW(),설정!$C$7)&amp;"","")</f>
        <v/>
      </c>
      <c r="F458">
        <f>IFERROR(INDEX('1.산군_붙여넣기'!$A$1:$AZ$1001,ROW(),설정!$C$8)&amp;"","")</f>
        <v/>
      </c>
      <c r="G458">
        <f>IFERROR(INDEX('1.산군_붙여넣기'!$A$1:$AZ$1001,ROW(),설정!$C$9)&amp;"","")</f>
        <v/>
      </c>
      <c r="H458">
        <f>IFERROR(INDEX('1.산군_붙여넣기'!$A$1:$AZ$1001,ROW(),설정!$C$10)&amp;"","")</f>
        <v/>
      </c>
      <c r="I458">
        <f>IFERROR(INDEX('1.산군_붙여넣기'!$A$1:$AZ$1001,ROW(),설정!$C$11)&amp;"","")</f>
        <v/>
      </c>
      <c r="J458">
        <f>IFERROR(INDEX('1.산군_붙여넣기'!$A$1:$AZ$1001,ROW(),설정!$C$12)&amp;"","")</f>
        <v/>
      </c>
      <c r="K458">
        <f>IFERROR(INDEX('1.산군_붙여넣기'!$A$1:$AZ$1001,ROW(),설정!$C$13)&amp;"","")</f>
        <v/>
      </c>
      <c r="L458" s="6">
        <f>IF(X458="","",IF(AND(LEN(X458)=8,ISNUMBER(X458*1)),DATE(LEFT(X458,4),MID(X458,5,2),RIGHT(X458,2)),IFERROR(DATEVALUE(SUBSTITUTE(SUBSTITUTE(X458,".","-"),"/","-")),IFERROR(X458*1,""))))</f>
        <v/>
      </c>
      <c r="M458" s="6">
        <f>IF(Y458="","",IF(AND(LEN(Y458)=8,ISNUMBER(Y458*1)),DATE(LEFT(Y458,4),MID(Y458,5,2),RIGHT(Y458,2)),IFERROR(DATEVALUE(SUBSTITUTE(SUBSTITUTE(Y458,".","-"),"/","-")),IFERROR(Y458*1,""))))</f>
        <v/>
      </c>
      <c r="N458">
        <f>IFERROR(LEFT(B458,FIND(" ",B458)-1),B458)</f>
        <v/>
      </c>
      <c r="O458">
        <f>AND(B458&lt;&gt;"",B458&lt;&gt;설정!$B$4,C458&lt;&gt;설정!$B$5)</f>
        <v/>
      </c>
      <c r="P458">
        <f>IF(O458,B458&amp;"|"&amp;C458,"")</f>
        <v/>
      </c>
      <c r="Q458">
        <f>AND(O458,COUNTIF(P459:P$1002,P458)=0)</f>
        <v/>
      </c>
      <c r="R458">
        <f>OR(AND(설정!$A$28&lt;&gt;"",ISNUMBER(SEARCH(설정!$A$28,E458&amp;" "&amp;C458))),AND(설정!$A$29&lt;&gt;"",ISNUMBER(SEARCH(설정!$A$29,E458&amp;" "&amp;C458))),AND(설정!$A$30&lt;&gt;"",ISNUMBER(SEARCH(설정!$A$30,E458&amp;" "&amp;C458))),AND(설정!$A$31&lt;&gt;"",ISNUMBER(SEARCH(설정!$A$31,E458&amp;" "&amp;C458))),AND(설정!$A$32&lt;&gt;"",ISNUMBER(SEARCH(설정!$A$32,E458&amp;" "&amp;C458))),AND(설정!$A$33&lt;&gt;"",ISNUMBER(SEARCH(설정!$A$33,E458&amp;" "&amp;C458))),AND(설정!$A$34&lt;&gt;"",ISNUMBER(SEARCH(설정!$A$34,E458&amp;" "&amp;C458))),AND(설정!$A$35&lt;&gt;"",ISNUMBER(SEARCH(설정!$A$35,E458&amp;" "&amp;C458))),AND(설정!$A$36&lt;&gt;"",ISNUMBER(SEARCH(설정!$A$36,E458&amp;" "&amp;C458))),AND(설정!$A$37&lt;&gt;"",ISNUMBER(SEARCH(설정!$A$37,E458&amp;" "&amp;C458))))</f>
        <v/>
      </c>
      <c r="S458">
        <f>OR(D458="",D458&gt;=설정!$B$19)</f>
        <v/>
      </c>
      <c r="T458">
        <f>AND(Q458,R458,S458)</f>
        <v/>
      </c>
      <c r="U458">
        <f>IF(T458,IF(AND(설정!$A$41&lt;&gt;"",ISNUMBER(SEARCH(설정!$A$41,K458))),설정!$B$41,IF(AND(설정!$A$42&lt;&gt;"",ISNUMBER(SEARCH(설정!$A$42,K458))),설정!$B$42,IF(AND(설정!$A$43&lt;&gt;"",ISNUMBER(SEARCH(설정!$A$43,K458))),설정!$B$43,IF(AND(설정!$A$44&lt;&gt;"",ISNUMBER(SEARCH(설정!$A$44,K458))),설정!$B$44,IF(AND(설정!$A$45&lt;&gt;"",ISNUMBER(SEARCH(설정!$A$45,K458))),설정!$B$45,IF(AND(설정!$A$46&lt;&gt;"",ISNUMBER(SEARCH(설정!$A$46,K458))),설정!$B$46,IF(AND(설정!$A$47&lt;&gt;"",ISNUMBER(SEARCH(설정!$A$47,K458))),설정!$B$47,IF(AND(설정!$A$48&lt;&gt;"",ISNUMBER(SEARCH(설정!$A$48,K458))),설정!$B$48,IF(M458="","설계사","시공사"))))))))),"")</f>
        <v/>
      </c>
      <c r="V458">
        <f>SUBSTITUTE(SUBSTITUTE(SUBSTITUTE(SUBSTITUTE(G458,"(주)",""),"㈜",""),"주식회사","")," ","")</f>
        <v/>
      </c>
      <c r="W458">
        <f>IF(AND(T458,V458&lt;&gt;""),IF(COUNTIFS(V$2:V458,V458,T$2:T458,TRUE)=1,MAX(W$1:W457)+1,""),"")</f>
        <v/>
      </c>
      <c r="X458">
        <f>IFERROR(INDEX('1.산군_붙여넣기'!$A$1:$AZ$1001,ROW(),설정!$C$14)&amp;"","")</f>
        <v/>
      </c>
      <c r="Y458">
        <f>IFERROR(INDEX('1.산군_붙여넣기'!$A$1:$AZ$1001,ROW(),설정!$C$15)&amp;"","")</f>
        <v/>
      </c>
      <c r="Z458">
        <f>IF(T458,V458&amp;"|"&amp;U458,"")</f>
        <v/>
      </c>
    </row>
    <row r="459">
      <c r="A459">
        <f>ROW()</f>
        <v/>
      </c>
      <c r="B459">
        <f>IFERROR(INDEX('1.산군_붙여넣기'!$A$1:$AZ$1001,ROW(),설정!$C$4)&amp;"","")</f>
        <v/>
      </c>
      <c r="C459">
        <f>IFERROR(INDEX('1.산군_붙여넣기'!$A$1:$AZ$1001,ROW(),설정!$C$5)&amp;"","")</f>
        <v/>
      </c>
      <c r="D459" s="5">
        <f>IFERROR(VALUE(SUBSTITUTE(SUBSTITUTE(SUBSTITUTE(IFERROR(INDEX('1.산군_붙여넣기'!$A$1:$AZ$1001,ROW(),설정!$C$6)&amp;"",""),",",""),"㎡",""),"m2","")),"")</f>
        <v/>
      </c>
      <c r="E459">
        <f>IFERROR(INDEX('1.산군_붙여넣기'!$A$1:$AZ$1001,ROW(),설정!$C$7)&amp;"","")</f>
        <v/>
      </c>
      <c r="F459">
        <f>IFERROR(INDEX('1.산군_붙여넣기'!$A$1:$AZ$1001,ROW(),설정!$C$8)&amp;"","")</f>
        <v/>
      </c>
      <c r="G459">
        <f>IFERROR(INDEX('1.산군_붙여넣기'!$A$1:$AZ$1001,ROW(),설정!$C$9)&amp;"","")</f>
        <v/>
      </c>
      <c r="H459">
        <f>IFERROR(INDEX('1.산군_붙여넣기'!$A$1:$AZ$1001,ROW(),설정!$C$10)&amp;"","")</f>
        <v/>
      </c>
      <c r="I459">
        <f>IFERROR(INDEX('1.산군_붙여넣기'!$A$1:$AZ$1001,ROW(),설정!$C$11)&amp;"","")</f>
        <v/>
      </c>
      <c r="J459">
        <f>IFERROR(INDEX('1.산군_붙여넣기'!$A$1:$AZ$1001,ROW(),설정!$C$12)&amp;"","")</f>
        <v/>
      </c>
      <c r="K459">
        <f>IFERROR(INDEX('1.산군_붙여넣기'!$A$1:$AZ$1001,ROW(),설정!$C$13)&amp;"","")</f>
        <v/>
      </c>
      <c r="L459" s="6">
        <f>IF(X459="","",IF(AND(LEN(X459)=8,ISNUMBER(X459*1)),DATE(LEFT(X459,4),MID(X459,5,2),RIGHT(X459,2)),IFERROR(DATEVALUE(SUBSTITUTE(SUBSTITUTE(X459,".","-"),"/","-")),IFERROR(X459*1,""))))</f>
        <v/>
      </c>
      <c r="M459" s="6">
        <f>IF(Y459="","",IF(AND(LEN(Y459)=8,ISNUMBER(Y459*1)),DATE(LEFT(Y459,4),MID(Y459,5,2),RIGHT(Y459,2)),IFERROR(DATEVALUE(SUBSTITUTE(SUBSTITUTE(Y459,".","-"),"/","-")),IFERROR(Y459*1,""))))</f>
        <v/>
      </c>
      <c r="N459">
        <f>IFERROR(LEFT(B459,FIND(" ",B459)-1),B459)</f>
        <v/>
      </c>
      <c r="O459">
        <f>AND(B459&lt;&gt;"",B459&lt;&gt;설정!$B$4,C459&lt;&gt;설정!$B$5)</f>
        <v/>
      </c>
      <c r="P459">
        <f>IF(O459,B459&amp;"|"&amp;C459,"")</f>
        <v/>
      </c>
      <c r="Q459">
        <f>AND(O459,COUNTIF(P460:P$1002,P459)=0)</f>
        <v/>
      </c>
      <c r="R459">
        <f>OR(AND(설정!$A$28&lt;&gt;"",ISNUMBER(SEARCH(설정!$A$28,E459&amp;" "&amp;C459))),AND(설정!$A$29&lt;&gt;"",ISNUMBER(SEARCH(설정!$A$29,E459&amp;" "&amp;C459))),AND(설정!$A$30&lt;&gt;"",ISNUMBER(SEARCH(설정!$A$30,E459&amp;" "&amp;C459))),AND(설정!$A$31&lt;&gt;"",ISNUMBER(SEARCH(설정!$A$31,E459&amp;" "&amp;C459))),AND(설정!$A$32&lt;&gt;"",ISNUMBER(SEARCH(설정!$A$32,E459&amp;" "&amp;C459))),AND(설정!$A$33&lt;&gt;"",ISNUMBER(SEARCH(설정!$A$33,E459&amp;" "&amp;C459))),AND(설정!$A$34&lt;&gt;"",ISNUMBER(SEARCH(설정!$A$34,E459&amp;" "&amp;C459))),AND(설정!$A$35&lt;&gt;"",ISNUMBER(SEARCH(설정!$A$35,E459&amp;" "&amp;C459))),AND(설정!$A$36&lt;&gt;"",ISNUMBER(SEARCH(설정!$A$36,E459&amp;" "&amp;C459))),AND(설정!$A$37&lt;&gt;"",ISNUMBER(SEARCH(설정!$A$37,E459&amp;" "&amp;C459))))</f>
        <v/>
      </c>
      <c r="S459">
        <f>OR(D459="",D459&gt;=설정!$B$19)</f>
        <v/>
      </c>
      <c r="T459">
        <f>AND(Q459,R459,S459)</f>
        <v/>
      </c>
      <c r="U459">
        <f>IF(T459,IF(AND(설정!$A$41&lt;&gt;"",ISNUMBER(SEARCH(설정!$A$41,K459))),설정!$B$41,IF(AND(설정!$A$42&lt;&gt;"",ISNUMBER(SEARCH(설정!$A$42,K459))),설정!$B$42,IF(AND(설정!$A$43&lt;&gt;"",ISNUMBER(SEARCH(설정!$A$43,K459))),설정!$B$43,IF(AND(설정!$A$44&lt;&gt;"",ISNUMBER(SEARCH(설정!$A$44,K459))),설정!$B$44,IF(AND(설정!$A$45&lt;&gt;"",ISNUMBER(SEARCH(설정!$A$45,K459))),설정!$B$45,IF(AND(설정!$A$46&lt;&gt;"",ISNUMBER(SEARCH(설정!$A$46,K459))),설정!$B$46,IF(AND(설정!$A$47&lt;&gt;"",ISNUMBER(SEARCH(설정!$A$47,K459))),설정!$B$47,IF(AND(설정!$A$48&lt;&gt;"",ISNUMBER(SEARCH(설정!$A$48,K459))),설정!$B$48,IF(M459="","설계사","시공사"))))))))),"")</f>
        <v/>
      </c>
      <c r="V459">
        <f>SUBSTITUTE(SUBSTITUTE(SUBSTITUTE(SUBSTITUTE(G459,"(주)",""),"㈜",""),"주식회사","")," ","")</f>
        <v/>
      </c>
      <c r="W459">
        <f>IF(AND(T459,V459&lt;&gt;""),IF(COUNTIFS(V$2:V459,V459,T$2:T459,TRUE)=1,MAX(W$1:W458)+1,""),"")</f>
        <v/>
      </c>
      <c r="X459">
        <f>IFERROR(INDEX('1.산군_붙여넣기'!$A$1:$AZ$1001,ROW(),설정!$C$14)&amp;"","")</f>
        <v/>
      </c>
      <c r="Y459">
        <f>IFERROR(INDEX('1.산군_붙여넣기'!$A$1:$AZ$1001,ROW(),설정!$C$15)&amp;"","")</f>
        <v/>
      </c>
      <c r="Z459">
        <f>IF(T459,V459&amp;"|"&amp;U459,"")</f>
        <v/>
      </c>
    </row>
    <row r="460">
      <c r="A460">
        <f>ROW()</f>
        <v/>
      </c>
      <c r="B460">
        <f>IFERROR(INDEX('1.산군_붙여넣기'!$A$1:$AZ$1001,ROW(),설정!$C$4)&amp;"","")</f>
        <v/>
      </c>
      <c r="C460">
        <f>IFERROR(INDEX('1.산군_붙여넣기'!$A$1:$AZ$1001,ROW(),설정!$C$5)&amp;"","")</f>
        <v/>
      </c>
      <c r="D460" s="5">
        <f>IFERROR(VALUE(SUBSTITUTE(SUBSTITUTE(SUBSTITUTE(IFERROR(INDEX('1.산군_붙여넣기'!$A$1:$AZ$1001,ROW(),설정!$C$6)&amp;"",""),",",""),"㎡",""),"m2","")),"")</f>
        <v/>
      </c>
      <c r="E460">
        <f>IFERROR(INDEX('1.산군_붙여넣기'!$A$1:$AZ$1001,ROW(),설정!$C$7)&amp;"","")</f>
        <v/>
      </c>
      <c r="F460">
        <f>IFERROR(INDEX('1.산군_붙여넣기'!$A$1:$AZ$1001,ROW(),설정!$C$8)&amp;"","")</f>
        <v/>
      </c>
      <c r="G460">
        <f>IFERROR(INDEX('1.산군_붙여넣기'!$A$1:$AZ$1001,ROW(),설정!$C$9)&amp;"","")</f>
        <v/>
      </c>
      <c r="H460">
        <f>IFERROR(INDEX('1.산군_붙여넣기'!$A$1:$AZ$1001,ROW(),설정!$C$10)&amp;"","")</f>
        <v/>
      </c>
      <c r="I460">
        <f>IFERROR(INDEX('1.산군_붙여넣기'!$A$1:$AZ$1001,ROW(),설정!$C$11)&amp;"","")</f>
        <v/>
      </c>
      <c r="J460">
        <f>IFERROR(INDEX('1.산군_붙여넣기'!$A$1:$AZ$1001,ROW(),설정!$C$12)&amp;"","")</f>
        <v/>
      </c>
      <c r="K460">
        <f>IFERROR(INDEX('1.산군_붙여넣기'!$A$1:$AZ$1001,ROW(),설정!$C$13)&amp;"","")</f>
        <v/>
      </c>
      <c r="L460" s="6">
        <f>IF(X460="","",IF(AND(LEN(X460)=8,ISNUMBER(X460*1)),DATE(LEFT(X460,4),MID(X460,5,2),RIGHT(X460,2)),IFERROR(DATEVALUE(SUBSTITUTE(SUBSTITUTE(X460,".","-"),"/","-")),IFERROR(X460*1,""))))</f>
        <v/>
      </c>
      <c r="M460" s="6">
        <f>IF(Y460="","",IF(AND(LEN(Y460)=8,ISNUMBER(Y460*1)),DATE(LEFT(Y460,4),MID(Y460,5,2),RIGHT(Y460,2)),IFERROR(DATEVALUE(SUBSTITUTE(SUBSTITUTE(Y460,".","-"),"/","-")),IFERROR(Y460*1,""))))</f>
        <v/>
      </c>
      <c r="N460">
        <f>IFERROR(LEFT(B460,FIND(" ",B460)-1),B460)</f>
        <v/>
      </c>
      <c r="O460">
        <f>AND(B460&lt;&gt;"",B460&lt;&gt;설정!$B$4,C460&lt;&gt;설정!$B$5)</f>
        <v/>
      </c>
      <c r="P460">
        <f>IF(O460,B460&amp;"|"&amp;C460,"")</f>
        <v/>
      </c>
      <c r="Q460">
        <f>AND(O460,COUNTIF(P461:P$1002,P460)=0)</f>
        <v/>
      </c>
      <c r="R460">
        <f>OR(AND(설정!$A$28&lt;&gt;"",ISNUMBER(SEARCH(설정!$A$28,E460&amp;" "&amp;C460))),AND(설정!$A$29&lt;&gt;"",ISNUMBER(SEARCH(설정!$A$29,E460&amp;" "&amp;C460))),AND(설정!$A$30&lt;&gt;"",ISNUMBER(SEARCH(설정!$A$30,E460&amp;" "&amp;C460))),AND(설정!$A$31&lt;&gt;"",ISNUMBER(SEARCH(설정!$A$31,E460&amp;" "&amp;C460))),AND(설정!$A$32&lt;&gt;"",ISNUMBER(SEARCH(설정!$A$32,E460&amp;" "&amp;C460))),AND(설정!$A$33&lt;&gt;"",ISNUMBER(SEARCH(설정!$A$33,E460&amp;" "&amp;C460))),AND(설정!$A$34&lt;&gt;"",ISNUMBER(SEARCH(설정!$A$34,E460&amp;" "&amp;C460))),AND(설정!$A$35&lt;&gt;"",ISNUMBER(SEARCH(설정!$A$35,E460&amp;" "&amp;C460))),AND(설정!$A$36&lt;&gt;"",ISNUMBER(SEARCH(설정!$A$36,E460&amp;" "&amp;C460))),AND(설정!$A$37&lt;&gt;"",ISNUMBER(SEARCH(설정!$A$37,E460&amp;" "&amp;C460))))</f>
        <v/>
      </c>
      <c r="S460">
        <f>OR(D460="",D460&gt;=설정!$B$19)</f>
        <v/>
      </c>
      <c r="T460">
        <f>AND(Q460,R460,S460)</f>
        <v/>
      </c>
      <c r="U460">
        <f>IF(T460,IF(AND(설정!$A$41&lt;&gt;"",ISNUMBER(SEARCH(설정!$A$41,K460))),설정!$B$41,IF(AND(설정!$A$42&lt;&gt;"",ISNUMBER(SEARCH(설정!$A$42,K460))),설정!$B$42,IF(AND(설정!$A$43&lt;&gt;"",ISNUMBER(SEARCH(설정!$A$43,K460))),설정!$B$43,IF(AND(설정!$A$44&lt;&gt;"",ISNUMBER(SEARCH(설정!$A$44,K460))),설정!$B$44,IF(AND(설정!$A$45&lt;&gt;"",ISNUMBER(SEARCH(설정!$A$45,K460))),설정!$B$45,IF(AND(설정!$A$46&lt;&gt;"",ISNUMBER(SEARCH(설정!$A$46,K460))),설정!$B$46,IF(AND(설정!$A$47&lt;&gt;"",ISNUMBER(SEARCH(설정!$A$47,K460))),설정!$B$47,IF(AND(설정!$A$48&lt;&gt;"",ISNUMBER(SEARCH(설정!$A$48,K460))),설정!$B$48,IF(M460="","설계사","시공사"))))))))),"")</f>
        <v/>
      </c>
      <c r="V460">
        <f>SUBSTITUTE(SUBSTITUTE(SUBSTITUTE(SUBSTITUTE(G460,"(주)",""),"㈜",""),"주식회사","")," ","")</f>
        <v/>
      </c>
      <c r="W460">
        <f>IF(AND(T460,V460&lt;&gt;""),IF(COUNTIFS(V$2:V460,V460,T$2:T460,TRUE)=1,MAX(W$1:W459)+1,""),"")</f>
        <v/>
      </c>
      <c r="X460">
        <f>IFERROR(INDEX('1.산군_붙여넣기'!$A$1:$AZ$1001,ROW(),설정!$C$14)&amp;"","")</f>
        <v/>
      </c>
      <c r="Y460">
        <f>IFERROR(INDEX('1.산군_붙여넣기'!$A$1:$AZ$1001,ROW(),설정!$C$15)&amp;"","")</f>
        <v/>
      </c>
      <c r="Z460">
        <f>IF(T460,V460&amp;"|"&amp;U460,"")</f>
        <v/>
      </c>
    </row>
    <row r="461">
      <c r="A461">
        <f>ROW()</f>
        <v/>
      </c>
      <c r="B461">
        <f>IFERROR(INDEX('1.산군_붙여넣기'!$A$1:$AZ$1001,ROW(),설정!$C$4)&amp;"","")</f>
        <v/>
      </c>
      <c r="C461">
        <f>IFERROR(INDEX('1.산군_붙여넣기'!$A$1:$AZ$1001,ROW(),설정!$C$5)&amp;"","")</f>
        <v/>
      </c>
      <c r="D461" s="5">
        <f>IFERROR(VALUE(SUBSTITUTE(SUBSTITUTE(SUBSTITUTE(IFERROR(INDEX('1.산군_붙여넣기'!$A$1:$AZ$1001,ROW(),설정!$C$6)&amp;"",""),",",""),"㎡",""),"m2","")),"")</f>
        <v/>
      </c>
      <c r="E461">
        <f>IFERROR(INDEX('1.산군_붙여넣기'!$A$1:$AZ$1001,ROW(),설정!$C$7)&amp;"","")</f>
        <v/>
      </c>
      <c r="F461">
        <f>IFERROR(INDEX('1.산군_붙여넣기'!$A$1:$AZ$1001,ROW(),설정!$C$8)&amp;"","")</f>
        <v/>
      </c>
      <c r="G461">
        <f>IFERROR(INDEX('1.산군_붙여넣기'!$A$1:$AZ$1001,ROW(),설정!$C$9)&amp;"","")</f>
        <v/>
      </c>
      <c r="H461">
        <f>IFERROR(INDEX('1.산군_붙여넣기'!$A$1:$AZ$1001,ROW(),설정!$C$10)&amp;"","")</f>
        <v/>
      </c>
      <c r="I461">
        <f>IFERROR(INDEX('1.산군_붙여넣기'!$A$1:$AZ$1001,ROW(),설정!$C$11)&amp;"","")</f>
        <v/>
      </c>
      <c r="J461">
        <f>IFERROR(INDEX('1.산군_붙여넣기'!$A$1:$AZ$1001,ROW(),설정!$C$12)&amp;"","")</f>
        <v/>
      </c>
      <c r="K461">
        <f>IFERROR(INDEX('1.산군_붙여넣기'!$A$1:$AZ$1001,ROW(),설정!$C$13)&amp;"","")</f>
        <v/>
      </c>
      <c r="L461" s="6">
        <f>IF(X461="","",IF(AND(LEN(X461)=8,ISNUMBER(X461*1)),DATE(LEFT(X461,4),MID(X461,5,2),RIGHT(X461,2)),IFERROR(DATEVALUE(SUBSTITUTE(SUBSTITUTE(X461,".","-"),"/","-")),IFERROR(X461*1,""))))</f>
        <v/>
      </c>
      <c r="M461" s="6">
        <f>IF(Y461="","",IF(AND(LEN(Y461)=8,ISNUMBER(Y461*1)),DATE(LEFT(Y461,4),MID(Y461,5,2),RIGHT(Y461,2)),IFERROR(DATEVALUE(SUBSTITUTE(SUBSTITUTE(Y461,".","-"),"/","-")),IFERROR(Y461*1,""))))</f>
        <v/>
      </c>
      <c r="N461">
        <f>IFERROR(LEFT(B461,FIND(" ",B461)-1),B461)</f>
        <v/>
      </c>
      <c r="O461">
        <f>AND(B461&lt;&gt;"",B461&lt;&gt;설정!$B$4,C461&lt;&gt;설정!$B$5)</f>
        <v/>
      </c>
      <c r="P461">
        <f>IF(O461,B461&amp;"|"&amp;C461,"")</f>
        <v/>
      </c>
      <c r="Q461">
        <f>AND(O461,COUNTIF(P462:P$1002,P461)=0)</f>
        <v/>
      </c>
      <c r="R461">
        <f>OR(AND(설정!$A$28&lt;&gt;"",ISNUMBER(SEARCH(설정!$A$28,E461&amp;" "&amp;C461))),AND(설정!$A$29&lt;&gt;"",ISNUMBER(SEARCH(설정!$A$29,E461&amp;" "&amp;C461))),AND(설정!$A$30&lt;&gt;"",ISNUMBER(SEARCH(설정!$A$30,E461&amp;" "&amp;C461))),AND(설정!$A$31&lt;&gt;"",ISNUMBER(SEARCH(설정!$A$31,E461&amp;" "&amp;C461))),AND(설정!$A$32&lt;&gt;"",ISNUMBER(SEARCH(설정!$A$32,E461&amp;" "&amp;C461))),AND(설정!$A$33&lt;&gt;"",ISNUMBER(SEARCH(설정!$A$33,E461&amp;" "&amp;C461))),AND(설정!$A$34&lt;&gt;"",ISNUMBER(SEARCH(설정!$A$34,E461&amp;" "&amp;C461))),AND(설정!$A$35&lt;&gt;"",ISNUMBER(SEARCH(설정!$A$35,E461&amp;" "&amp;C461))),AND(설정!$A$36&lt;&gt;"",ISNUMBER(SEARCH(설정!$A$36,E461&amp;" "&amp;C461))),AND(설정!$A$37&lt;&gt;"",ISNUMBER(SEARCH(설정!$A$37,E461&amp;" "&amp;C461))))</f>
        <v/>
      </c>
      <c r="S461">
        <f>OR(D461="",D461&gt;=설정!$B$19)</f>
        <v/>
      </c>
      <c r="T461">
        <f>AND(Q461,R461,S461)</f>
        <v/>
      </c>
      <c r="U461">
        <f>IF(T461,IF(AND(설정!$A$41&lt;&gt;"",ISNUMBER(SEARCH(설정!$A$41,K461))),설정!$B$41,IF(AND(설정!$A$42&lt;&gt;"",ISNUMBER(SEARCH(설정!$A$42,K461))),설정!$B$42,IF(AND(설정!$A$43&lt;&gt;"",ISNUMBER(SEARCH(설정!$A$43,K461))),설정!$B$43,IF(AND(설정!$A$44&lt;&gt;"",ISNUMBER(SEARCH(설정!$A$44,K461))),설정!$B$44,IF(AND(설정!$A$45&lt;&gt;"",ISNUMBER(SEARCH(설정!$A$45,K461))),설정!$B$45,IF(AND(설정!$A$46&lt;&gt;"",ISNUMBER(SEARCH(설정!$A$46,K461))),설정!$B$46,IF(AND(설정!$A$47&lt;&gt;"",ISNUMBER(SEARCH(설정!$A$47,K461))),설정!$B$47,IF(AND(설정!$A$48&lt;&gt;"",ISNUMBER(SEARCH(설정!$A$48,K461))),설정!$B$48,IF(M461="","설계사","시공사"))))))))),"")</f>
        <v/>
      </c>
      <c r="V461">
        <f>SUBSTITUTE(SUBSTITUTE(SUBSTITUTE(SUBSTITUTE(G461,"(주)",""),"㈜",""),"주식회사","")," ","")</f>
        <v/>
      </c>
      <c r="W461">
        <f>IF(AND(T461,V461&lt;&gt;""),IF(COUNTIFS(V$2:V461,V461,T$2:T461,TRUE)=1,MAX(W$1:W460)+1,""),"")</f>
        <v/>
      </c>
      <c r="X461">
        <f>IFERROR(INDEX('1.산군_붙여넣기'!$A$1:$AZ$1001,ROW(),설정!$C$14)&amp;"","")</f>
        <v/>
      </c>
      <c r="Y461">
        <f>IFERROR(INDEX('1.산군_붙여넣기'!$A$1:$AZ$1001,ROW(),설정!$C$15)&amp;"","")</f>
        <v/>
      </c>
      <c r="Z461">
        <f>IF(T461,V461&amp;"|"&amp;U461,"")</f>
        <v/>
      </c>
    </row>
    <row r="462">
      <c r="A462">
        <f>ROW()</f>
        <v/>
      </c>
      <c r="B462">
        <f>IFERROR(INDEX('1.산군_붙여넣기'!$A$1:$AZ$1001,ROW(),설정!$C$4)&amp;"","")</f>
        <v/>
      </c>
      <c r="C462">
        <f>IFERROR(INDEX('1.산군_붙여넣기'!$A$1:$AZ$1001,ROW(),설정!$C$5)&amp;"","")</f>
        <v/>
      </c>
      <c r="D462" s="5">
        <f>IFERROR(VALUE(SUBSTITUTE(SUBSTITUTE(SUBSTITUTE(IFERROR(INDEX('1.산군_붙여넣기'!$A$1:$AZ$1001,ROW(),설정!$C$6)&amp;"",""),",",""),"㎡",""),"m2","")),"")</f>
        <v/>
      </c>
      <c r="E462">
        <f>IFERROR(INDEX('1.산군_붙여넣기'!$A$1:$AZ$1001,ROW(),설정!$C$7)&amp;"","")</f>
        <v/>
      </c>
      <c r="F462">
        <f>IFERROR(INDEX('1.산군_붙여넣기'!$A$1:$AZ$1001,ROW(),설정!$C$8)&amp;"","")</f>
        <v/>
      </c>
      <c r="G462">
        <f>IFERROR(INDEX('1.산군_붙여넣기'!$A$1:$AZ$1001,ROW(),설정!$C$9)&amp;"","")</f>
        <v/>
      </c>
      <c r="H462">
        <f>IFERROR(INDEX('1.산군_붙여넣기'!$A$1:$AZ$1001,ROW(),설정!$C$10)&amp;"","")</f>
        <v/>
      </c>
      <c r="I462">
        <f>IFERROR(INDEX('1.산군_붙여넣기'!$A$1:$AZ$1001,ROW(),설정!$C$11)&amp;"","")</f>
        <v/>
      </c>
      <c r="J462">
        <f>IFERROR(INDEX('1.산군_붙여넣기'!$A$1:$AZ$1001,ROW(),설정!$C$12)&amp;"","")</f>
        <v/>
      </c>
      <c r="K462">
        <f>IFERROR(INDEX('1.산군_붙여넣기'!$A$1:$AZ$1001,ROW(),설정!$C$13)&amp;"","")</f>
        <v/>
      </c>
      <c r="L462" s="6">
        <f>IF(X462="","",IF(AND(LEN(X462)=8,ISNUMBER(X462*1)),DATE(LEFT(X462,4),MID(X462,5,2),RIGHT(X462,2)),IFERROR(DATEVALUE(SUBSTITUTE(SUBSTITUTE(X462,".","-"),"/","-")),IFERROR(X462*1,""))))</f>
        <v/>
      </c>
      <c r="M462" s="6">
        <f>IF(Y462="","",IF(AND(LEN(Y462)=8,ISNUMBER(Y462*1)),DATE(LEFT(Y462,4),MID(Y462,5,2),RIGHT(Y462,2)),IFERROR(DATEVALUE(SUBSTITUTE(SUBSTITUTE(Y462,".","-"),"/","-")),IFERROR(Y462*1,""))))</f>
        <v/>
      </c>
      <c r="N462">
        <f>IFERROR(LEFT(B462,FIND(" ",B462)-1),B462)</f>
        <v/>
      </c>
      <c r="O462">
        <f>AND(B462&lt;&gt;"",B462&lt;&gt;설정!$B$4,C462&lt;&gt;설정!$B$5)</f>
        <v/>
      </c>
      <c r="P462">
        <f>IF(O462,B462&amp;"|"&amp;C462,"")</f>
        <v/>
      </c>
      <c r="Q462">
        <f>AND(O462,COUNTIF(P463:P$1002,P462)=0)</f>
        <v/>
      </c>
      <c r="R462">
        <f>OR(AND(설정!$A$28&lt;&gt;"",ISNUMBER(SEARCH(설정!$A$28,E462&amp;" "&amp;C462))),AND(설정!$A$29&lt;&gt;"",ISNUMBER(SEARCH(설정!$A$29,E462&amp;" "&amp;C462))),AND(설정!$A$30&lt;&gt;"",ISNUMBER(SEARCH(설정!$A$30,E462&amp;" "&amp;C462))),AND(설정!$A$31&lt;&gt;"",ISNUMBER(SEARCH(설정!$A$31,E462&amp;" "&amp;C462))),AND(설정!$A$32&lt;&gt;"",ISNUMBER(SEARCH(설정!$A$32,E462&amp;" "&amp;C462))),AND(설정!$A$33&lt;&gt;"",ISNUMBER(SEARCH(설정!$A$33,E462&amp;" "&amp;C462))),AND(설정!$A$34&lt;&gt;"",ISNUMBER(SEARCH(설정!$A$34,E462&amp;" "&amp;C462))),AND(설정!$A$35&lt;&gt;"",ISNUMBER(SEARCH(설정!$A$35,E462&amp;" "&amp;C462))),AND(설정!$A$36&lt;&gt;"",ISNUMBER(SEARCH(설정!$A$36,E462&amp;" "&amp;C462))),AND(설정!$A$37&lt;&gt;"",ISNUMBER(SEARCH(설정!$A$37,E462&amp;" "&amp;C462))))</f>
        <v/>
      </c>
      <c r="S462">
        <f>OR(D462="",D462&gt;=설정!$B$19)</f>
        <v/>
      </c>
      <c r="T462">
        <f>AND(Q462,R462,S462)</f>
        <v/>
      </c>
      <c r="U462">
        <f>IF(T462,IF(AND(설정!$A$41&lt;&gt;"",ISNUMBER(SEARCH(설정!$A$41,K462))),설정!$B$41,IF(AND(설정!$A$42&lt;&gt;"",ISNUMBER(SEARCH(설정!$A$42,K462))),설정!$B$42,IF(AND(설정!$A$43&lt;&gt;"",ISNUMBER(SEARCH(설정!$A$43,K462))),설정!$B$43,IF(AND(설정!$A$44&lt;&gt;"",ISNUMBER(SEARCH(설정!$A$44,K462))),설정!$B$44,IF(AND(설정!$A$45&lt;&gt;"",ISNUMBER(SEARCH(설정!$A$45,K462))),설정!$B$45,IF(AND(설정!$A$46&lt;&gt;"",ISNUMBER(SEARCH(설정!$A$46,K462))),설정!$B$46,IF(AND(설정!$A$47&lt;&gt;"",ISNUMBER(SEARCH(설정!$A$47,K462))),설정!$B$47,IF(AND(설정!$A$48&lt;&gt;"",ISNUMBER(SEARCH(설정!$A$48,K462))),설정!$B$48,IF(M462="","설계사","시공사"))))))))),"")</f>
        <v/>
      </c>
      <c r="V462">
        <f>SUBSTITUTE(SUBSTITUTE(SUBSTITUTE(SUBSTITUTE(G462,"(주)",""),"㈜",""),"주식회사","")," ","")</f>
        <v/>
      </c>
      <c r="W462">
        <f>IF(AND(T462,V462&lt;&gt;""),IF(COUNTIFS(V$2:V462,V462,T$2:T462,TRUE)=1,MAX(W$1:W461)+1,""),"")</f>
        <v/>
      </c>
      <c r="X462">
        <f>IFERROR(INDEX('1.산군_붙여넣기'!$A$1:$AZ$1001,ROW(),설정!$C$14)&amp;"","")</f>
        <v/>
      </c>
      <c r="Y462">
        <f>IFERROR(INDEX('1.산군_붙여넣기'!$A$1:$AZ$1001,ROW(),설정!$C$15)&amp;"","")</f>
        <v/>
      </c>
      <c r="Z462">
        <f>IF(T462,V462&amp;"|"&amp;U462,"")</f>
        <v/>
      </c>
    </row>
    <row r="463">
      <c r="A463">
        <f>ROW()</f>
        <v/>
      </c>
      <c r="B463">
        <f>IFERROR(INDEX('1.산군_붙여넣기'!$A$1:$AZ$1001,ROW(),설정!$C$4)&amp;"","")</f>
        <v/>
      </c>
      <c r="C463">
        <f>IFERROR(INDEX('1.산군_붙여넣기'!$A$1:$AZ$1001,ROW(),설정!$C$5)&amp;"","")</f>
        <v/>
      </c>
      <c r="D463" s="5">
        <f>IFERROR(VALUE(SUBSTITUTE(SUBSTITUTE(SUBSTITUTE(IFERROR(INDEX('1.산군_붙여넣기'!$A$1:$AZ$1001,ROW(),설정!$C$6)&amp;"",""),",",""),"㎡",""),"m2","")),"")</f>
        <v/>
      </c>
      <c r="E463">
        <f>IFERROR(INDEX('1.산군_붙여넣기'!$A$1:$AZ$1001,ROW(),설정!$C$7)&amp;"","")</f>
        <v/>
      </c>
      <c r="F463">
        <f>IFERROR(INDEX('1.산군_붙여넣기'!$A$1:$AZ$1001,ROW(),설정!$C$8)&amp;"","")</f>
        <v/>
      </c>
      <c r="G463">
        <f>IFERROR(INDEX('1.산군_붙여넣기'!$A$1:$AZ$1001,ROW(),설정!$C$9)&amp;"","")</f>
        <v/>
      </c>
      <c r="H463">
        <f>IFERROR(INDEX('1.산군_붙여넣기'!$A$1:$AZ$1001,ROW(),설정!$C$10)&amp;"","")</f>
        <v/>
      </c>
      <c r="I463">
        <f>IFERROR(INDEX('1.산군_붙여넣기'!$A$1:$AZ$1001,ROW(),설정!$C$11)&amp;"","")</f>
        <v/>
      </c>
      <c r="J463">
        <f>IFERROR(INDEX('1.산군_붙여넣기'!$A$1:$AZ$1001,ROW(),설정!$C$12)&amp;"","")</f>
        <v/>
      </c>
      <c r="K463">
        <f>IFERROR(INDEX('1.산군_붙여넣기'!$A$1:$AZ$1001,ROW(),설정!$C$13)&amp;"","")</f>
        <v/>
      </c>
      <c r="L463" s="6">
        <f>IF(X463="","",IF(AND(LEN(X463)=8,ISNUMBER(X463*1)),DATE(LEFT(X463,4),MID(X463,5,2),RIGHT(X463,2)),IFERROR(DATEVALUE(SUBSTITUTE(SUBSTITUTE(X463,".","-"),"/","-")),IFERROR(X463*1,""))))</f>
        <v/>
      </c>
      <c r="M463" s="6">
        <f>IF(Y463="","",IF(AND(LEN(Y463)=8,ISNUMBER(Y463*1)),DATE(LEFT(Y463,4),MID(Y463,5,2),RIGHT(Y463,2)),IFERROR(DATEVALUE(SUBSTITUTE(SUBSTITUTE(Y463,".","-"),"/","-")),IFERROR(Y463*1,""))))</f>
        <v/>
      </c>
      <c r="N463">
        <f>IFERROR(LEFT(B463,FIND(" ",B463)-1),B463)</f>
        <v/>
      </c>
      <c r="O463">
        <f>AND(B463&lt;&gt;"",B463&lt;&gt;설정!$B$4,C463&lt;&gt;설정!$B$5)</f>
        <v/>
      </c>
      <c r="P463">
        <f>IF(O463,B463&amp;"|"&amp;C463,"")</f>
        <v/>
      </c>
      <c r="Q463">
        <f>AND(O463,COUNTIF(P464:P$1002,P463)=0)</f>
        <v/>
      </c>
      <c r="R463">
        <f>OR(AND(설정!$A$28&lt;&gt;"",ISNUMBER(SEARCH(설정!$A$28,E463&amp;" "&amp;C463))),AND(설정!$A$29&lt;&gt;"",ISNUMBER(SEARCH(설정!$A$29,E463&amp;" "&amp;C463))),AND(설정!$A$30&lt;&gt;"",ISNUMBER(SEARCH(설정!$A$30,E463&amp;" "&amp;C463))),AND(설정!$A$31&lt;&gt;"",ISNUMBER(SEARCH(설정!$A$31,E463&amp;" "&amp;C463))),AND(설정!$A$32&lt;&gt;"",ISNUMBER(SEARCH(설정!$A$32,E463&amp;" "&amp;C463))),AND(설정!$A$33&lt;&gt;"",ISNUMBER(SEARCH(설정!$A$33,E463&amp;" "&amp;C463))),AND(설정!$A$34&lt;&gt;"",ISNUMBER(SEARCH(설정!$A$34,E463&amp;" "&amp;C463))),AND(설정!$A$35&lt;&gt;"",ISNUMBER(SEARCH(설정!$A$35,E463&amp;" "&amp;C463))),AND(설정!$A$36&lt;&gt;"",ISNUMBER(SEARCH(설정!$A$36,E463&amp;" "&amp;C463))),AND(설정!$A$37&lt;&gt;"",ISNUMBER(SEARCH(설정!$A$37,E463&amp;" "&amp;C463))))</f>
        <v/>
      </c>
      <c r="S463">
        <f>OR(D463="",D463&gt;=설정!$B$19)</f>
        <v/>
      </c>
      <c r="T463">
        <f>AND(Q463,R463,S463)</f>
        <v/>
      </c>
      <c r="U463">
        <f>IF(T463,IF(AND(설정!$A$41&lt;&gt;"",ISNUMBER(SEARCH(설정!$A$41,K463))),설정!$B$41,IF(AND(설정!$A$42&lt;&gt;"",ISNUMBER(SEARCH(설정!$A$42,K463))),설정!$B$42,IF(AND(설정!$A$43&lt;&gt;"",ISNUMBER(SEARCH(설정!$A$43,K463))),설정!$B$43,IF(AND(설정!$A$44&lt;&gt;"",ISNUMBER(SEARCH(설정!$A$44,K463))),설정!$B$44,IF(AND(설정!$A$45&lt;&gt;"",ISNUMBER(SEARCH(설정!$A$45,K463))),설정!$B$45,IF(AND(설정!$A$46&lt;&gt;"",ISNUMBER(SEARCH(설정!$A$46,K463))),설정!$B$46,IF(AND(설정!$A$47&lt;&gt;"",ISNUMBER(SEARCH(설정!$A$47,K463))),설정!$B$47,IF(AND(설정!$A$48&lt;&gt;"",ISNUMBER(SEARCH(설정!$A$48,K463))),설정!$B$48,IF(M463="","설계사","시공사"))))))))),"")</f>
        <v/>
      </c>
      <c r="V463">
        <f>SUBSTITUTE(SUBSTITUTE(SUBSTITUTE(SUBSTITUTE(G463,"(주)",""),"㈜",""),"주식회사","")," ","")</f>
        <v/>
      </c>
      <c r="W463">
        <f>IF(AND(T463,V463&lt;&gt;""),IF(COUNTIFS(V$2:V463,V463,T$2:T463,TRUE)=1,MAX(W$1:W462)+1,""),"")</f>
        <v/>
      </c>
      <c r="X463">
        <f>IFERROR(INDEX('1.산군_붙여넣기'!$A$1:$AZ$1001,ROW(),설정!$C$14)&amp;"","")</f>
        <v/>
      </c>
      <c r="Y463">
        <f>IFERROR(INDEX('1.산군_붙여넣기'!$A$1:$AZ$1001,ROW(),설정!$C$15)&amp;"","")</f>
        <v/>
      </c>
      <c r="Z463">
        <f>IF(T463,V463&amp;"|"&amp;U463,"")</f>
        <v/>
      </c>
    </row>
    <row r="464">
      <c r="A464">
        <f>ROW()</f>
        <v/>
      </c>
      <c r="B464">
        <f>IFERROR(INDEX('1.산군_붙여넣기'!$A$1:$AZ$1001,ROW(),설정!$C$4)&amp;"","")</f>
        <v/>
      </c>
      <c r="C464">
        <f>IFERROR(INDEX('1.산군_붙여넣기'!$A$1:$AZ$1001,ROW(),설정!$C$5)&amp;"","")</f>
        <v/>
      </c>
      <c r="D464" s="5">
        <f>IFERROR(VALUE(SUBSTITUTE(SUBSTITUTE(SUBSTITUTE(IFERROR(INDEX('1.산군_붙여넣기'!$A$1:$AZ$1001,ROW(),설정!$C$6)&amp;"",""),",",""),"㎡",""),"m2","")),"")</f>
        <v/>
      </c>
      <c r="E464">
        <f>IFERROR(INDEX('1.산군_붙여넣기'!$A$1:$AZ$1001,ROW(),설정!$C$7)&amp;"","")</f>
        <v/>
      </c>
      <c r="F464">
        <f>IFERROR(INDEX('1.산군_붙여넣기'!$A$1:$AZ$1001,ROW(),설정!$C$8)&amp;"","")</f>
        <v/>
      </c>
      <c r="G464">
        <f>IFERROR(INDEX('1.산군_붙여넣기'!$A$1:$AZ$1001,ROW(),설정!$C$9)&amp;"","")</f>
        <v/>
      </c>
      <c r="H464">
        <f>IFERROR(INDEX('1.산군_붙여넣기'!$A$1:$AZ$1001,ROW(),설정!$C$10)&amp;"","")</f>
        <v/>
      </c>
      <c r="I464">
        <f>IFERROR(INDEX('1.산군_붙여넣기'!$A$1:$AZ$1001,ROW(),설정!$C$11)&amp;"","")</f>
        <v/>
      </c>
      <c r="J464">
        <f>IFERROR(INDEX('1.산군_붙여넣기'!$A$1:$AZ$1001,ROW(),설정!$C$12)&amp;"","")</f>
        <v/>
      </c>
      <c r="K464">
        <f>IFERROR(INDEX('1.산군_붙여넣기'!$A$1:$AZ$1001,ROW(),설정!$C$13)&amp;"","")</f>
        <v/>
      </c>
      <c r="L464" s="6">
        <f>IF(X464="","",IF(AND(LEN(X464)=8,ISNUMBER(X464*1)),DATE(LEFT(X464,4),MID(X464,5,2),RIGHT(X464,2)),IFERROR(DATEVALUE(SUBSTITUTE(SUBSTITUTE(X464,".","-"),"/","-")),IFERROR(X464*1,""))))</f>
        <v/>
      </c>
      <c r="M464" s="6">
        <f>IF(Y464="","",IF(AND(LEN(Y464)=8,ISNUMBER(Y464*1)),DATE(LEFT(Y464,4),MID(Y464,5,2),RIGHT(Y464,2)),IFERROR(DATEVALUE(SUBSTITUTE(SUBSTITUTE(Y464,".","-"),"/","-")),IFERROR(Y464*1,""))))</f>
        <v/>
      </c>
      <c r="N464">
        <f>IFERROR(LEFT(B464,FIND(" ",B464)-1),B464)</f>
        <v/>
      </c>
      <c r="O464">
        <f>AND(B464&lt;&gt;"",B464&lt;&gt;설정!$B$4,C464&lt;&gt;설정!$B$5)</f>
        <v/>
      </c>
      <c r="P464">
        <f>IF(O464,B464&amp;"|"&amp;C464,"")</f>
        <v/>
      </c>
      <c r="Q464">
        <f>AND(O464,COUNTIF(P465:P$1002,P464)=0)</f>
        <v/>
      </c>
      <c r="R464">
        <f>OR(AND(설정!$A$28&lt;&gt;"",ISNUMBER(SEARCH(설정!$A$28,E464&amp;" "&amp;C464))),AND(설정!$A$29&lt;&gt;"",ISNUMBER(SEARCH(설정!$A$29,E464&amp;" "&amp;C464))),AND(설정!$A$30&lt;&gt;"",ISNUMBER(SEARCH(설정!$A$30,E464&amp;" "&amp;C464))),AND(설정!$A$31&lt;&gt;"",ISNUMBER(SEARCH(설정!$A$31,E464&amp;" "&amp;C464))),AND(설정!$A$32&lt;&gt;"",ISNUMBER(SEARCH(설정!$A$32,E464&amp;" "&amp;C464))),AND(설정!$A$33&lt;&gt;"",ISNUMBER(SEARCH(설정!$A$33,E464&amp;" "&amp;C464))),AND(설정!$A$34&lt;&gt;"",ISNUMBER(SEARCH(설정!$A$34,E464&amp;" "&amp;C464))),AND(설정!$A$35&lt;&gt;"",ISNUMBER(SEARCH(설정!$A$35,E464&amp;" "&amp;C464))),AND(설정!$A$36&lt;&gt;"",ISNUMBER(SEARCH(설정!$A$36,E464&amp;" "&amp;C464))),AND(설정!$A$37&lt;&gt;"",ISNUMBER(SEARCH(설정!$A$37,E464&amp;" "&amp;C464))))</f>
        <v/>
      </c>
      <c r="S464">
        <f>OR(D464="",D464&gt;=설정!$B$19)</f>
        <v/>
      </c>
      <c r="T464">
        <f>AND(Q464,R464,S464)</f>
        <v/>
      </c>
      <c r="U464">
        <f>IF(T464,IF(AND(설정!$A$41&lt;&gt;"",ISNUMBER(SEARCH(설정!$A$41,K464))),설정!$B$41,IF(AND(설정!$A$42&lt;&gt;"",ISNUMBER(SEARCH(설정!$A$42,K464))),설정!$B$42,IF(AND(설정!$A$43&lt;&gt;"",ISNUMBER(SEARCH(설정!$A$43,K464))),설정!$B$43,IF(AND(설정!$A$44&lt;&gt;"",ISNUMBER(SEARCH(설정!$A$44,K464))),설정!$B$44,IF(AND(설정!$A$45&lt;&gt;"",ISNUMBER(SEARCH(설정!$A$45,K464))),설정!$B$45,IF(AND(설정!$A$46&lt;&gt;"",ISNUMBER(SEARCH(설정!$A$46,K464))),설정!$B$46,IF(AND(설정!$A$47&lt;&gt;"",ISNUMBER(SEARCH(설정!$A$47,K464))),설정!$B$47,IF(AND(설정!$A$48&lt;&gt;"",ISNUMBER(SEARCH(설정!$A$48,K464))),설정!$B$48,IF(M464="","설계사","시공사"))))))))),"")</f>
        <v/>
      </c>
      <c r="V464">
        <f>SUBSTITUTE(SUBSTITUTE(SUBSTITUTE(SUBSTITUTE(G464,"(주)",""),"㈜",""),"주식회사","")," ","")</f>
        <v/>
      </c>
      <c r="W464">
        <f>IF(AND(T464,V464&lt;&gt;""),IF(COUNTIFS(V$2:V464,V464,T$2:T464,TRUE)=1,MAX(W$1:W463)+1,""),"")</f>
        <v/>
      </c>
      <c r="X464">
        <f>IFERROR(INDEX('1.산군_붙여넣기'!$A$1:$AZ$1001,ROW(),설정!$C$14)&amp;"","")</f>
        <v/>
      </c>
      <c r="Y464">
        <f>IFERROR(INDEX('1.산군_붙여넣기'!$A$1:$AZ$1001,ROW(),설정!$C$15)&amp;"","")</f>
        <v/>
      </c>
      <c r="Z464">
        <f>IF(T464,V464&amp;"|"&amp;U464,"")</f>
        <v/>
      </c>
    </row>
    <row r="465">
      <c r="A465">
        <f>ROW()</f>
        <v/>
      </c>
      <c r="B465">
        <f>IFERROR(INDEX('1.산군_붙여넣기'!$A$1:$AZ$1001,ROW(),설정!$C$4)&amp;"","")</f>
        <v/>
      </c>
      <c r="C465">
        <f>IFERROR(INDEX('1.산군_붙여넣기'!$A$1:$AZ$1001,ROW(),설정!$C$5)&amp;"","")</f>
        <v/>
      </c>
      <c r="D465" s="5">
        <f>IFERROR(VALUE(SUBSTITUTE(SUBSTITUTE(SUBSTITUTE(IFERROR(INDEX('1.산군_붙여넣기'!$A$1:$AZ$1001,ROW(),설정!$C$6)&amp;"",""),",",""),"㎡",""),"m2","")),"")</f>
        <v/>
      </c>
      <c r="E465">
        <f>IFERROR(INDEX('1.산군_붙여넣기'!$A$1:$AZ$1001,ROW(),설정!$C$7)&amp;"","")</f>
        <v/>
      </c>
      <c r="F465">
        <f>IFERROR(INDEX('1.산군_붙여넣기'!$A$1:$AZ$1001,ROW(),설정!$C$8)&amp;"","")</f>
        <v/>
      </c>
      <c r="G465">
        <f>IFERROR(INDEX('1.산군_붙여넣기'!$A$1:$AZ$1001,ROW(),설정!$C$9)&amp;"","")</f>
        <v/>
      </c>
      <c r="H465">
        <f>IFERROR(INDEX('1.산군_붙여넣기'!$A$1:$AZ$1001,ROW(),설정!$C$10)&amp;"","")</f>
        <v/>
      </c>
      <c r="I465">
        <f>IFERROR(INDEX('1.산군_붙여넣기'!$A$1:$AZ$1001,ROW(),설정!$C$11)&amp;"","")</f>
        <v/>
      </c>
      <c r="J465">
        <f>IFERROR(INDEX('1.산군_붙여넣기'!$A$1:$AZ$1001,ROW(),설정!$C$12)&amp;"","")</f>
        <v/>
      </c>
      <c r="K465">
        <f>IFERROR(INDEX('1.산군_붙여넣기'!$A$1:$AZ$1001,ROW(),설정!$C$13)&amp;"","")</f>
        <v/>
      </c>
      <c r="L465" s="6">
        <f>IF(X465="","",IF(AND(LEN(X465)=8,ISNUMBER(X465*1)),DATE(LEFT(X465,4),MID(X465,5,2),RIGHT(X465,2)),IFERROR(DATEVALUE(SUBSTITUTE(SUBSTITUTE(X465,".","-"),"/","-")),IFERROR(X465*1,""))))</f>
        <v/>
      </c>
      <c r="M465" s="6">
        <f>IF(Y465="","",IF(AND(LEN(Y465)=8,ISNUMBER(Y465*1)),DATE(LEFT(Y465,4),MID(Y465,5,2),RIGHT(Y465,2)),IFERROR(DATEVALUE(SUBSTITUTE(SUBSTITUTE(Y465,".","-"),"/","-")),IFERROR(Y465*1,""))))</f>
        <v/>
      </c>
      <c r="N465">
        <f>IFERROR(LEFT(B465,FIND(" ",B465)-1),B465)</f>
        <v/>
      </c>
      <c r="O465">
        <f>AND(B465&lt;&gt;"",B465&lt;&gt;설정!$B$4,C465&lt;&gt;설정!$B$5)</f>
        <v/>
      </c>
      <c r="P465">
        <f>IF(O465,B465&amp;"|"&amp;C465,"")</f>
        <v/>
      </c>
      <c r="Q465">
        <f>AND(O465,COUNTIF(P466:P$1002,P465)=0)</f>
        <v/>
      </c>
      <c r="R465">
        <f>OR(AND(설정!$A$28&lt;&gt;"",ISNUMBER(SEARCH(설정!$A$28,E465&amp;" "&amp;C465))),AND(설정!$A$29&lt;&gt;"",ISNUMBER(SEARCH(설정!$A$29,E465&amp;" "&amp;C465))),AND(설정!$A$30&lt;&gt;"",ISNUMBER(SEARCH(설정!$A$30,E465&amp;" "&amp;C465))),AND(설정!$A$31&lt;&gt;"",ISNUMBER(SEARCH(설정!$A$31,E465&amp;" "&amp;C465))),AND(설정!$A$32&lt;&gt;"",ISNUMBER(SEARCH(설정!$A$32,E465&amp;" "&amp;C465))),AND(설정!$A$33&lt;&gt;"",ISNUMBER(SEARCH(설정!$A$33,E465&amp;" "&amp;C465))),AND(설정!$A$34&lt;&gt;"",ISNUMBER(SEARCH(설정!$A$34,E465&amp;" "&amp;C465))),AND(설정!$A$35&lt;&gt;"",ISNUMBER(SEARCH(설정!$A$35,E465&amp;" "&amp;C465))),AND(설정!$A$36&lt;&gt;"",ISNUMBER(SEARCH(설정!$A$36,E465&amp;" "&amp;C465))),AND(설정!$A$37&lt;&gt;"",ISNUMBER(SEARCH(설정!$A$37,E465&amp;" "&amp;C465))))</f>
        <v/>
      </c>
      <c r="S465">
        <f>OR(D465="",D465&gt;=설정!$B$19)</f>
        <v/>
      </c>
      <c r="T465">
        <f>AND(Q465,R465,S465)</f>
        <v/>
      </c>
      <c r="U465">
        <f>IF(T465,IF(AND(설정!$A$41&lt;&gt;"",ISNUMBER(SEARCH(설정!$A$41,K465))),설정!$B$41,IF(AND(설정!$A$42&lt;&gt;"",ISNUMBER(SEARCH(설정!$A$42,K465))),설정!$B$42,IF(AND(설정!$A$43&lt;&gt;"",ISNUMBER(SEARCH(설정!$A$43,K465))),설정!$B$43,IF(AND(설정!$A$44&lt;&gt;"",ISNUMBER(SEARCH(설정!$A$44,K465))),설정!$B$44,IF(AND(설정!$A$45&lt;&gt;"",ISNUMBER(SEARCH(설정!$A$45,K465))),설정!$B$45,IF(AND(설정!$A$46&lt;&gt;"",ISNUMBER(SEARCH(설정!$A$46,K465))),설정!$B$46,IF(AND(설정!$A$47&lt;&gt;"",ISNUMBER(SEARCH(설정!$A$47,K465))),설정!$B$47,IF(AND(설정!$A$48&lt;&gt;"",ISNUMBER(SEARCH(설정!$A$48,K465))),설정!$B$48,IF(M465="","설계사","시공사"))))))))),"")</f>
        <v/>
      </c>
      <c r="V465">
        <f>SUBSTITUTE(SUBSTITUTE(SUBSTITUTE(SUBSTITUTE(G465,"(주)",""),"㈜",""),"주식회사","")," ","")</f>
        <v/>
      </c>
      <c r="W465">
        <f>IF(AND(T465,V465&lt;&gt;""),IF(COUNTIFS(V$2:V465,V465,T$2:T465,TRUE)=1,MAX(W$1:W464)+1,""),"")</f>
        <v/>
      </c>
      <c r="X465">
        <f>IFERROR(INDEX('1.산군_붙여넣기'!$A$1:$AZ$1001,ROW(),설정!$C$14)&amp;"","")</f>
        <v/>
      </c>
      <c r="Y465">
        <f>IFERROR(INDEX('1.산군_붙여넣기'!$A$1:$AZ$1001,ROW(),설정!$C$15)&amp;"","")</f>
        <v/>
      </c>
      <c r="Z465">
        <f>IF(T465,V465&amp;"|"&amp;U465,"")</f>
        <v/>
      </c>
    </row>
    <row r="466">
      <c r="A466">
        <f>ROW()</f>
        <v/>
      </c>
      <c r="B466">
        <f>IFERROR(INDEX('1.산군_붙여넣기'!$A$1:$AZ$1001,ROW(),설정!$C$4)&amp;"","")</f>
        <v/>
      </c>
      <c r="C466">
        <f>IFERROR(INDEX('1.산군_붙여넣기'!$A$1:$AZ$1001,ROW(),설정!$C$5)&amp;"","")</f>
        <v/>
      </c>
      <c r="D466" s="5">
        <f>IFERROR(VALUE(SUBSTITUTE(SUBSTITUTE(SUBSTITUTE(IFERROR(INDEX('1.산군_붙여넣기'!$A$1:$AZ$1001,ROW(),설정!$C$6)&amp;"",""),",",""),"㎡",""),"m2","")),"")</f>
        <v/>
      </c>
      <c r="E466">
        <f>IFERROR(INDEX('1.산군_붙여넣기'!$A$1:$AZ$1001,ROW(),설정!$C$7)&amp;"","")</f>
        <v/>
      </c>
      <c r="F466">
        <f>IFERROR(INDEX('1.산군_붙여넣기'!$A$1:$AZ$1001,ROW(),설정!$C$8)&amp;"","")</f>
        <v/>
      </c>
      <c r="G466">
        <f>IFERROR(INDEX('1.산군_붙여넣기'!$A$1:$AZ$1001,ROW(),설정!$C$9)&amp;"","")</f>
        <v/>
      </c>
      <c r="H466">
        <f>IFERROR(INDEX('1.산군_붙여넣기'!$A$1:$AZ$1001,ROW(),설정!$C$10)&amp;"","")</f>
        <v/>
      </c>
      <c r="I466">
        <f>IFERROR(INDEX('1.산군_붙여넣기'!$A$1:$AZ$1001,ROW(),설정!$C$11)&amp;"","")</f>
        <v/>
      </c>
      <c r="J466">
        <f>IFERROR(INDEX('1.산군_붙여넣기'!$A$1:$AZ$1001,ROW(),설정!$C$12)&amp;"","")</f>
        <v/>
      </c>
      <c r="K466">
        <f>IFERROR(INDEX('1.산군_붙여넣기'!$A$1:$AZ$1001,ROW(),설정!$C$13)&amp;"","")</f>
        <v/>
      </c>
      <c r="L466" s="6">
        <f>IF(X466="","",IF(AND(LEN(X466)=8,ISNUMBER(X466*1)),DATE(LEFT(X466,4),MID(X466,5,2),RIGHT(X466,2)),IFERROR(DATEVALUE(SUBSTITUTE(SUBSTITUTE(X466,".","-"),"/","-")),IFERROR(X466*1,""))))</f>
        <v/>
      </c>
      <c r="M466" s="6">
        <f>IF(Y466="","",IF(AND(LEN(Y466)=8,ISNUMBER(Y466*1)),DATE(LEFT(Y466,4),MID(Y466,5,2),RIGHT(Y466,2)),IFERROR(DATEVALUE(SUBSTITUTE(SUBSTITUTE(Y466,".","-"),"/","-")),IFERROR(Y466*1,""))))</f>
        <v/>
      </c>
      <c r="N466">
        <f>IFERROR(LEFT(B466,FIND(" ",B466)-1),B466)</f>
        <v/>
      </c>
      <c r="O466">
        <f>AND(B466&lt;&gt;"",B466&lt;&gt;설정!$B$4,C466&lt;&gt;설정!$B$5)</f>
        <v/>
      </c>
      <c r="P466">
        <f>IF(O466,B466&amp;"|"&amp;C466,"")</f>
        <v/>
      </c>
      <c r="Q466">
        <f>AND(O466,COUNTIF(P467:P$1002,P466)=0)</f>
        <v/>
      </c>
      <c r="R466">
        <f>OR(AND(설정!$A$28&lt;&gt;"",ISNUMBER(SEARCH(설정!$A$28,E466&amp;" "&amp;C466))),AND(설정!$A$29&lt;&gt;"",ISNUMBER(SEARCH(설정!$A$29,E466&amp;" "&amp;C466))),AND(설정!$A$30&lt;&gt;"",ISNUMBER(SEARCH(설정!$A$30,E466&amp;" "&amp;C466))),AND(설정!$A$31&lt;&gt;"",ISNUMBER(SEARCH(설정!$A$31,E466&amp;" "&amp;C466))),AND(설정!$A$32&lt;&gt;"",ISNUMBER(SEARCH(설정!$A$32,E466&amp;" "&amp;C466))),AND(설정!$A$33&lt;&gt;"",ISNUMBER(SEARCH(설정!$A$33,E466&amp;" "&amp;C466))),AND(설정!$A$34&lt;&gt;"",ISNUMBER(SEARCH(설정!$A$34,E466&amp;" "&amp;C466))),AND(설정!$A$35&lt;&gt;"",ISNUMBER(SEARCH(설정!$A$35,E466&amp;" "&amp;C466))),AND(설정!$A$36&lt;&gt;"",ISNUMBER(SEARCH(설정!$A$36,E466&amp;" "&amp;C466))),AND(설정!$A$37&lt;&gt;"",ISNUMBER(SEARCH(설정!$A$37,E466&amp;" "&amp;C466))))</f>
        <v/>
      </c>
      <c r="S466">
        <f>OR(D466="",D466&gt;=설정!$B$19)</f>
        <v/>
      </c>
      <c r="T466">
        <f>AND(Q466,R466,S466)</f>
        <v/>
      </c>
      <c r="U466">
        <f>IF(T466,IF(AND(설정!$A$41&lt;&gt;"",ISNUMBER(SEARCH(설정!$A$41,K466))),설정!$B$41,IF(AND(설정!$A$42&lt;&gt;"",ISNUMBER(SEARCH(설정!$A$42,K466))),설정!$B$42,IF(AND(설정!$A$43&lt;&gt;"",ISNUMBER(SEARCH(설정!$A$43,K466))),설정!$B$43,IF(AND(설정!$A$44&lt;&gt;"",ISNUMBER(SEARCH(설정!$A$44,K466))),설정!$B$44,IF(AND(설정!$A$45&lt;&gt;"",ISNUMBER(SEARCH(설정!$A$45,K466))),설정!$B$45,IF(AND(설정!$A$46&lt;&gt;"",ISNUMBER(SEARCH(설정!$A$46,K466))),설정!$B$46,IF(AND(설정!$A$47&lt;&gt;"",ISNUMBER(SEARCH(설정!$A$47,K466))),설정!$B$47,IF(AND(설정!$A$48&lt;&gt;"",ISNUMBER(SEARCH(설정!$A$48,K466))),설정!$B$48,IF(M466="","설계사","시공사"))))))))),"")</f>
        <v/>
      </c>
      <c r="V466">
        <f>SUBSTITUTE(SUBSTITUTE(SUBSTITUTE(SUBSTITUTE(G466,"(주)",""),"㈜",""),"주식회사","")," ","")</f>
        <v/>
      </c>
      <c r="W466">
        <f>IF(AND(T466,V466&lt;&gt;""),IF(COUNTIFS(V$2:V466,V466,T$2:T466,TRUE)=1,MAX(W$1:W465)+1,""),"")</f>
        <v/>
      </c>
      <c r="X466">
        <f>IFERROR(INDEX('1.산군_붙여넣기'!$A$1:$AZ$1001,ROW(),설정!$C$14)&amp;"","")</f>
        <v/>
      </c>
      <c r="Y466">
        <f>IFERROR(INDEX('1.산군_붙여넣기'!$A$1:$AZ$1001,ROW(),설정!$C$15)&amp;"","")</f>
        <v/>
      </c>
      <c r="Z466">
        <f>IF(T466,V466&amp;"|"&amp;U466,"")</f>
        <v/>
      </c>
    </row>
    <row r="467">
      <c r="A467">
        <f>ROW()</f>
        <v/>
      </c>
      <c r="B467">
        <f>IFERROR(INDEX('1.산군_붙여넣기'!$A$1:$AZ$1001,ROW(),설정!$C$4)&amp;"","")</f>
        <v/>
      </c>
      <c r="C467">
        <f>IFERROR(INDEX('1.산군_붙여넣기'!$A$1:$AZ$1001,ROW(),설정!$C$5)&amp;"","")</f>
        <v/>
      </c>
      <c r="D467" s="5">
        <f>IFERROR(VALUE(SUBSTITUTE(SUBSTITUTE(SUBSTITUTE(IFERROR(INDEX('1.산군_붙여넣기'!$A$1:$AZ$1001,ROW(),설정!$C$6)&amp;"",""),",",""),"㎡",""),"m2","")),"")</f>
        <v/>
      </c>
      <c r="E467">
        <f>IFERROR(INDEX('1.산군_붙여넣기'!$A$1:$AZ$1001,ROW(),설정!$C$7)&amp;"","")</f>
        <v/>
      </c>
      <c r="F467">
        <f>IFERROR(INDEX('1.산군_붙여넣기'!$A$1:$AZ$1001,ROW(),설정!$C$8)&amp;"","")</f>
        <v/>
      </c>
      <c r="G467">
        <f>IFERROR(INDEX('1.산군_붙여넣기'!$A$1:$AZ$1001,ROW(),설정!$C$9)&amp;"","")</f>
        <v/>
      </c>
      <c r="H467">
        <f>IFERROR(INDEX('1.산군_붙여넣기'!$A$1:$AZ$1001,ROW(),설정!$C$10)&amp;"","")</f>
        <v/>
      </c>
      <c r="I467">
        <f>IFERROR(INDEX('1.산군_붙여넣기'!$A$1:$AZ$1001,ROW(),설정!$C$11)&amp;"","")</f>
        <v/>
      </c>
      <c r="J467">
        <f>IFERROR(INDEX('1.산군_붙여넣기'!$A$1:$AZ$1001,ROW(),설정!$C$12)&amp;"","")</f>
        <v/>
      </c>
      <c r="K467">
        <f>IFERROR(INDEX('1.산군_붙여넣기'!$A$1:$AZ$1001,ROW(),설정!$C$13)&amp;"","")</f>
        <v/>
      </c>
      <c r="L467" s="6">
        <f>IF(X467="","",IF(AND(LEN(X467)=8,ISNUMBER(X467*1)),DATE(LEFT(X467,4),MID(X467,5,2),RIGHT(X467,2)),IFERROR(DATEVALUE(SUBSTITUTE(SUBSTITUTE(X467,".","-"),"/","-")),IFERROR(X467*1,""))))</f>
        <v/>
      </c>
      <c r="M467" s="6">
        <f>IF(Y467="","",IF(AND(LEN(Y467)=8,ISNUMBER(Y467*1)),DATE(LEFT(Y467,4),MID(Y467,5,2),RIGHT(Y467,2)),IFERROR(DATEVALUE(SUBSTITUTE(SUBSTITUTE(Y467,".","-"),"/","-")),IFERROR(Y467*1,""))))</f>
        <v/>
      </c>
      <c r="N467">
        <f>IFERROR(LEFT(B467,FIND(" ",B467)-1),B467)</f>
        <v/>
      </c>
      <c r="O467">
        <f>AND(B467&lt;&gt;"",B467&lt;&gt;설정!$B$4,C467&lt;&gt;설정!$B$5)</f>
        <v/>
      </c>
      <c r="P467">
        <f>IF(O467,B467&amp;"|"&amp;C467,"")</f>
        <v/>
      </c>
      <c r="Q467">
        <f>AND(O467,COUNTIF(P468:P$1002,P467)=0)</f>
        <v/>
      </c>
      <c r="R467">
        <f>OR(AND(설정!$A$28&lt;&gt;"",ISNUMBER(SEARCH(설정!$A$28,E467&amp;" "&amp;C467))),AND(설정!$A$29&lt;&gt;"",ISNUMBER(SEARCH(설정!$A$29,E467&amp;" "&amp;C467))),AND(설정!$A$30&lt;&gt;"",ISNUMBER(SEARCH(설정!$A$30,E467&amp;" "&amp;C467))),AND(설정!$A$31&lt;&gt;"",ISNUMBER(SEARCH(설정!$A$31,E467&amp;" "&amp;C467))),AND(설정!$A$32&lt;&gt;"",ISNUMBER(SEARCH(설정!$A$32,E467&amp;" "&amp;C467))),AND(설정!$A$33&lt;&gt;"",ISNUMBER(SEARCH(설정!$A$33,E467&amp;" "&amp;C467))),AND(설정!$A$34&lt;&gt;"",ISNUMBER(SEARCH(설정!$A$34,E467&amp;" "&amp;C467))),AND(설정!$A$35&lt;&gt;"",ISNUMBER(SEARCH(설정!$A$35,E467&amp;" "&amp;C467))),AND(설정!$A$36&lt;&gt;"",ISNUMBER(SEARCH(설정!$A$36,E467&amp;" "&amp;C467))),AND(설정!$A$37&lt;&gt;"",ISNUMBER(SEARCH(설정!$A$37,E467&amp;" "&amp;C467))))</f>
        <v/>
      </c>
      <c r="S467">
        <f>OR(D467="",D467&gt;=설정!$B$19)</f>
        <v/>
      </c>
      <c r="T467">
        <f>AND(Q467,R467,S467)</f>
        <v/>
      </c>
      <c r="U467">
        <f>IF(T467,IF(AND(설정!$A$41&lt;&gt;"",ISNUMBER(SEARCH(설정!$A$41,K467))),설정!$B$41,IF(AND(설정!$A$42&lt;&gt;"",ISNUMBER(SEARCH(설정!$A$42,K467))),설정!$B$42,IF(AND(설정!$A$43&lt;&gt;"",ISNUMBER(SEARCH(설정!$A$43,K467))),설정!$B$43,IF(AND(설정!$A$44&lt;&gt;"",ISNUMBER(SEARCH(설정!$A$44,K467))),설정!$B$44,IF(AND(설정!$A$45&lt;&gt;"",ISNUMBER(SEARCH(설정!$A$45,K467))),설정!$B$45,IF(AND(설정!$A$46&lt;&gt;"",ISNUMBER(SEARCH(설정!$A$46,K467))),설정!$B$46,IF(AND(설정!$A$47&lt;&gt;"",ISNUMBER(SEARCH(설정!$A$47,K467))),설정!$B$47,IF(AND(설정!$A$48&lt;&gt;"",ISNUMBER(SEARCH(설정!$A$48,K467))),설정!$B$48,IF(M467="","설계사","시공사"))))))))),"")</f>
        <v/>
      </c>
      <c r="V467">
        <f>SUBSTITUTE(SUBSTITUTE(SUBSTITUTE(SUBSTITUTE(G467,"(주)",""),"㈜",""),"주식회사","")," ","")</f>
        <v/>
      </c>
      <c r="W467">
        <f>IF(AND(T467,V467&lt;&gt;""),IF(COUNTIFS(V$2:V467,V467,T$2:T467,TRUE)=1,MAX(W$1:W466)+1,""),"")</f>
        <v/>
      </c>
      <c r="X467">
        <f>IFERROR(INDEX('1.산군_붙여넣기'!$A$1:$AZ$1001,ROW(),설정!$C$14)&amp;"","")</f>
        <v/>
      </c>
      <c r="Y467">
        <f>IFERROR(INDEX('1.산군_붙여넣기'!$A$1:$AZ$1001,ROW(),설정!$C$15)&amp;"","")</f>
        <v/>
      </c>
      <c r="Z467">
        <f>IF(T467,V467&amp;"|"&amp;U467,"")</f>
        <v/>
      </c>
    </row>
    <row r="468">
      <c r="A468">
        <f>ROW()</f>
        <v/>
      </c>
      <c r="B468">
        <f>IFERROR(INDEX('1.산군_붙여넣기'!$A$1:$AZ$1001,ROW(),설정!$C$4)&amp;"","")</f>
        <v/>
      </c>
      <c r="C468">
        <f>IFERROR(INDEX('1.산군_붙여넣기'!$A$1:$AZ$1001,ROW(),설정!$C$5)&amp;"","")</f>
        <v/>
      </c>
      <c r="D468" s="5">
        <f>IFERROR(VALUE(SUBSTITUTE(SUBSTITUTE(SUBSTITUTE(IFERROR(INDEX('1.산군_붙여넣기'!$A$1:$AZ$1001,ROW(),설정!$C$6)&amp;"",""),",",""),"㎡",""),"m2","")),"")</f>
        <v/>
      </c>
      <c r="E468">
        <f>IFERROR(INDEX('1.산군_붙여넣기'!$A$1:$AZ$1001,ROW(),설정!$C$7)&amp;"","")</f>
        <v/>
      </c>
      <c r="F468">
        <f>IFERROR(INDEX('1.산군_붙여넣기'!$A$1:$AZ$1001,ROW(),설정!$C$8)&amp;"","")</f>
        <v/>
      </c>
      <c r="G468">
        <f>IFERROR(INDEX('1.산군_붙여넣기'!$A$1:$AZ$1001,ROW(),설정!$C$9)&amp;"","")</f>
        <v/>
      </c>
      <c r="H468">
        <f>IFERROR(INDEX('1.산군_붙여넣기'!$A$1:$AZ$1001,ROW(),설정!$C$10)&amp;"","")</f>
        <v/>
      </c>
      <c r="I468">
        <f>IFERROR(INDEX('1.산군_붙여넣기'!$A$1:$AZ$1001,ROW(),설정!$C$11)&amp;"","")</f>
        <v/>
      </c>
      <c r="J468">
        <f>IFERROR(INDEX('1.산군_붙여넣기'!$A$1:$AZ$1001,ROW(),설정!$C$12)&amp;"","")</f>
        <v/>
      </c>
      <c r="K468">
        <f>IFERROR(INDEX('1.산군_붙여넣기'!$A$1:$AZ$1001,ROW(),설정!$C$13)&amp;"","")</f>
        <v/>
      </c>
      <c r="L468" s="6">
        <f>IF(X468="","",IF(AND(LEN(X468)=8,ISNUMBER(X468*1)),DATE(LEFT(X468,4),MID(X468,5,2),RIGHT(X468,2)),IFERROR(DATEVALUE(SUBSTITUTE(SUBSTITUTE(X468,".","-"),"/","-")),IFERROR(X468*1,""))))</f>
        <v/>
      </c>
      <c r="M468" s="6">
        <f>IF(Y468="","",IF(AND(LEN(Y468)=8,ISNUMBER(Y468*1)),DATE(LEFT(Y468,4),MID(Y468,5,2),RIGHT(Y468,2)),IFERROR(DATEVALUE(SUBSTITUTE(SUBSTITUTE(Y468,".","-"),"/","-")),IFERROR(Y468*1,""))))</f>
        <v/>
      </c>
      <c r="N468">
        <f>IFERROR(LEFT(B468,FIND(" ",B468)-1),B468)</f>
        <v/>
      </c>
      <c r="O468">
        <f>AND(B468&lt;&gt;"",B468&lt;&gt;설정!$B$4,C468&lt;&gt;설정!$B$5)</f>
        <v/>
      </c>
      <c r="P468">
        <f>IF(O468,B468&amp;"|"&amp;C468,"")</f>
        <v/>
      </c>
      <c r="Q468">
        <f>AND(O468,COUNTIF(P469:P$1002,P468)=0)</f>
        <v/>
      </c>
      <c r="R468">
        <f>OR(AND(설정!$A$28&lt;&gt;"",ISNUMBER(SEARCH(설정!$A$28,E468&amp;" "&amp;C468))),AND(설정!$A$29&lt;&gt;"",ISNUMBER(SEARCH(설정!$A$29,E468&amp;" "&amp;C468))),AND(설정!$A$30&lt;&gt;"",ISNUMBER(SEARCH(설정!$A$30,E468&amp;" "&amp;C468))),AND(설정!$A$31&lt;&gt;"",ISNUMBER(SEARCH(설정!$A$31,E468&amp;" "&amp;C468))),AND(설정!$A$32&lt;&gt;"",ISNUMBER(SEARCH(설정!$A$32,E468&amp;" "&amp;C468))),AND(설정!$A$33&lt;&gt;"",ISNUMBER(SEARCH(설정!$A$33,E468&amp;" "&amp;C468))),AND(설정!$A$34&lt;&gt;"",ISNUMBER(SEARCH(설정!$A$34,E468&amp;" "&amp;C468))),AND(설정!$A$35&lt;&gt;"",ISNUMBER(SEARCH(설정!$A$35,E468&amp;" "&amp;C468))),AND(설정!$A$36&lt;&gt;"",ISNUMBER(SEARCH(설정!$A$36,E468&amp;" "&amp;C468))),AND(설정!$A$37&lt;&gt;"",ISNUMBER(SEARCH(설정!$A$37,E468&amp;" "&amp;C468))))</f>
        <v/>
      </c>
      <c r="S468">
        <f>OR(D468="",D468&gt;=설정!$B$19)</f>
        <v/>
      </c>
      <c r="T468">
        <f>AND(Q468,R468,S468)</f>
        <v/>
      </c>
      <c r="U468">
        <f>IF(T468,IF(AND(설정!$A$41&lt;&gt;"",ISNUMBER(SEARCH(설정!$A$41,K468))),설정!$B$41,IF(AND(설정!$A$42&lt;&gt;"",ISNUMBER(SEARCH(설정!$A$42,K468))),설정!$B$42,IF(AND(설정!$A$43&lt;&gt;"",ISNUMBER(SEARCH(설정!$A$43,K468))),설정!$B$43,IF(AND(설정!$A$44&lt;&gt;"",ISNUMBER(SEARCH(설정!$A$44,K468))),설정!$B$44,IF(AND(설정!$A$45&lt;&gt;"",ISNUMBER(SEARCH(설정!$A$45,K468))),설정!$B$45,IF(AND(설정!$A$46&lt;&gt;"",ISNUMBER(SEARCH(설정!$A$46,K468))),설정!$B$46,IF(AND(설정!$A$47&lt;&gt;"",ISNUMBER(SEARCH(설정!$A$47,K468))),설정!$B$47,IF(AND(설정!$A$48&lt;&gt;"",ISNUMBER(SEARCH(설정!$A$48,K468))),설정!$B$48,IF(M468="","설계사","시공사"))))))))),"")</f>
        <v/>
      </c>
      <c r="V468">
        <f>SUBSTITUTE(SUBSTITUTE(SUBSTITUTE(SUBSTITUTE(G468,"(주)",""),"㈜",""),"주식회사","")," ","")</f>
        <v/>
      </c>
      <c r="W468">
        <f>IF(AND(T468,V468&lt;&gt;""),IF(COUNTIFS(V$2:V468,V468,T$2:T468,TRUE)=1,MAX(W$1:W467)+1,""),"")</f>
        <v/>
      </c>
      <c r="X468">
        <f>IFERROR(INDEX('1.산군_붙여넣기'!$A$1:$AZ$1001,ROW(),설정!$C$14)&amp;"","")</f>
        <v/>
      </c>
      <c r="Y468">
        <f>IFERROR(INDEX('1.산군_붙여넣기'!$A$1:$AZ$1001,ROW(),설정!$C$15)&amp;"","")</f>
        <v/>
      </c>
      <c r="Z468">
        <f>IF(T468,V468&amp;"|"&amp;U468,"")</f>
        <v/>
      </c>
    </row>
    <row r="469">
      <c r="A469">
        <f>ROW()</f>
        <v/>
      </c>
      <c r="B469">
        <f>IFERROR(INDEX('1.산군_붙여넣기'!$A$1:$AZ$1001,ROW(),설정!$C$4)&amp;"","")</f>
        <v/>
      </c>
      <c r="C469">
        <f>IFERROR(INDEX('1.산군_붙여넣기'!$A$1:$AZ$1001,ROW(),설정!$C$5)&amp;"","")</f>
        <v/>
      </c>
      <c r="D469" s="5">
        <f>IFERROR(VALUE(SUBSTITUTE(SUBSTITUTE(SUBSTITUTE(IFERROR(INDEX('1.산군_붙여넣기'!$A$1:$AZ$1001,ROW(),설정!$C$6)&amp;"",""),",",""),"㎡",""),"m2","")),"")</f>
        <v/>
      </c>
      <c r="E469">
        <f>IFERROR(INDEX('1.산군_붙여넣기'!$A$1:$AZ$1001,ROW(),설정!$C$7)&amp;"","")</f>
        <v/>
      </c>
      <c r="F469">
        <f>IFERROR(INDEX('1.산군_붙여넣기'!$A$1:$AZ$1001,ROW(),설정!$C$8)&amp;"","")</f>
        <v/>
      </c>
      <c r="G469">
        <f>IFERROR(INDEX('1.산군_붙여넣기'!$A$1:$AZ$1001,ROW(),설정!$C$9)&amp;"","")</f>
        <v/>
      </c>
      <c r="H469">
        <f>IFERROR(INDEX('1.산군_붙여넣기'!$A$1:$AZ$1001,ROW(),설정!$C$10)&amp;"","")</f>
        <v/>
      </c>
      <c r="I469">
        <f>IFERROR(INDEX('1.산군_붙여넣기'!$A$1:$AZ$1001,ROW(),설정!$C$11)&amp;"","")</f>
        <v/>
      </c>
      <c r="J469">
        <f>IFERROR(INDEX('1.산군_붙여넣기'!$A$1:$AZ$1001,ROW(),설정!$C$12)&amp;"","")</f>
        <v/>
      </c>
      <c r="K469">
        <f>IFERROR(INDEX('1.산군_붙여넣기'!$A$1:$AZ$1001,ROW(),설정!$C$13)&amp;"","")</f>
        <v/>
      </c>
      <c r="L469" s="6">
        <f>IF(X469="","",IF(AND(LEN(X469)=8,ISNUMBER(X469*1)),DATE(LEFT(X469,4),MID(X469,5,2),RIGHT(X469,2)),IFERROR(DATEVALUE(SUBSTITUTE(SUBSTITUTE(X469,".","-"),"/","-")),IFERROR(X469*1,""))))</f>
        <v/>
      </c>
      <c r="M469" s="6">
        <f>IF(Y469="","",IF(AND(LEN(Y469)=8,ISNUMBER(Y469*1)),DATE(LEFT(Y469,4),MID(Y469,5,2),RIGHT(Y469,2)),IFERROR(DATEVALUE(SUBSTITUTE(SUBSTITUTE(Y469,".","-"),"/","-")),IFERROR(Y469*1,""))))</f>
        <v/>
      </c>
      <c r="N469">
        <f>IFERROR(LEFT(B469,FIND(" ",B469)-1),B469)</f>
        <v/>
      </c>
      <c r="O469">
        <f>AND(B469&lt;&gt;"",B469&lt;&gt;설정!$B$4,C469&lt;&gt;설정!$B$5)</f>
        <v/>
      </c>
      <c r="P469">
        <f>IF(O469,B469&amp;"|"&amp;C469,"")</f>
        <v/>
      </c>
      <c r="Q469">
        <f>AND(O469,COUNTIF(P470:P$1002,P469)=0)</f>
        <v/>
      </c>
      <c r="R469">
        <f>OR(AND(설정!$A$28&lt;&gt;"",ISNUMBER(SEARCH(설정!$A$28,E469&amp;" "&amp;C469))),AND(설정!$A$29&lt;&gt;"",ISNUMBER(SEARCH(설정!$A$29,E469&amp;" "&amp;C469))),AND(설정!$A$30&lt;&gt;"",ISNUMBER(SEARCH(설정!$A$30,E469&amp;" "&amp;C469))),AND(설정!$A$31&lt;&gt;"",ISNUMBER(SEARCH(설정!$A$31,E469&amp;" "&amp;C469))),AND(설정!$A$32&lt;&gt;"",ISNUMBER(SEARCH(설정!$A$32,E469&amp;" "&amp;C469))),AND(설정!$A$33&lt;&gt;"",ISNUMBER(SEARCH(설정!$A$33,E469&amp;" "&amp;C469))),AND(설정!$A$34&lt;&gt;"",ISNUMBER(SEARCH(설정!$A$34,E469&amp;" "&amp;C469))),AND(설정!$A$35&lt;&gt;"",ISNUMBER(SEARCH(설정!$A$35,E469&amp;" "&amp;C469))),AND(설정!$A$36&lt;&gt;"",ISNUMBER(SEARCH(설정!$A$36,E469&amp;" "&amp;C469))),AND(설정!$A$37&lt;&gt;"",ISNUMBER(SEARCH(설정!$A$37,E469&amp;" "&amp;C469))))</f>
        <v/>
      </c>
      <c r="S469">
        <f>OR(D469="",D469&gt;=설정!$B$19)</f>
        <v/>
      </c>
      <c r="T469">
        <f>AND(Q469,R469,S469)</f>
        <v/>
      </c>
      <c r="U469">
        <f>IF(T469,IF(AND(설정!$A$41&lt;&gt;"",ISNUMBER(SEARCH(설정!$A$41,K469))),설정!$B$41,IF(AND(설정!$A$42&lt;&gt;"",ISNUMBER(SEARCH(설정!$A$42,K469))),설정!$B$42,IF(AND(설정!$A$43&lt;&gt;"",ISNUMBER(SEARCH(설정!$A$43,K469))),설정!$B$43,IF(AND(설정!$A$44&lt;&gt;"",ISNUMBER(SEARCH(설정!$A$44,K469))),설정!$B$44,IF(AND(설정!$A$45&lt;&gt;"",ISNUMBER(SEARCH(설정!$A$45,K469))),설정!$B$45,IF(AND(설정!$A$46&lt;&gt;"",ISNUMBER(SEARCH(설정!$A$46,K469))),설정!$B$46,IF(AND(설정!$A$47&lt;&gt;"",ISNUMBER(SEARCH(설정!$A$47,K469))),설정!$B$47,IF(AND(설정!$A$48&lt;&gt;"",ISNUMBER(SEARCH(설정!$A$48,K469))),설정!$B$48,IF(M469="","설계사","시공사"))))))))),"")</f>
        <v/>
      </c>
      <c r="V469">
        <f>SUBSTITUTE(SUBSTITUTE(SUBSTITUTE(SUBSTITUTE(G469,"(주)",""),"㈜",""),"주식회사","")," ","")</f>
        <v/>
      </c>
      <c r="W469">
        <f>IF(AND(T469,V469&lt;&gt;""),IF(COUNTIFS(V$2:V469,V469,T$2:T469,TRUE)=1,MAX(W$1:W468)+1,""),"")</f>
        <v/>
      </c>
      <c r="X469">
        <f>IFERROR(INDEX('1.산군_붙여넣기'!$A$1:$AZ$1001,ROW(),설정!$C$14)&amp;"","")</f>
        <v/>
      </c>
      <c r="Y469">
        <f>IFERROR(INDEX('1.산군_붙여넣기'!$A$1:$AZ$1001,ROW(),설정!$C$15)&amp;"","")</f>
        <v/>
      </c>
      <c r="Z469">
        <f>IF(T469,V469&amp;"|"&amp;U469,"")</f>
        <v/>
      </c>
    </row>
    <row r="470">
      <c r="A470">
        <f>ROW()</f>
        <v/>
      </c>
      <c r="B470">
        <f>IFERROR(INDEX('1.산군_붙여넣기'!$A$1:$AZ$1001,ROW(),설정!$C$4)&amp;"","")</f>
        <v/>
      </c>
      <c r="C470">
        <f>IFERROR(INDEX('1.산군_붙여넣기'!$A$1:$AZ$1001,ROW(),설정!$C$5)&amp;"","")</f>
        <v/>
      </c>
      <c r="D470" s="5">
        <f>IFERROR(VALUE(SUBSTITUTE(SUBSTITUTE(SUBSTITUTE(IFERROR(INDEX('1.산군_붙여넣기'!$A$1:$AZ$1001,ROW(),설정!$C$6)&amp;"",""),",",""),"㎡",""),"m2","")),"")</f>
        <v/>
      </c>
      <c r="E470">
        <f>IFERROR(INDEX('1.산군_붙여넣기'!$A$1:$AZ$1001,ROW(),설정!$C$7)&amp;"","")</f>
        <v/>
      </c>
      <c r="F470">
        <f>IFERROR(INDEX('1.산군_붙여넣기'!$A$1:$AZ$1001,ROW(),설정!$C$8)&amp;"","")</f>
        <v/>
      </c>
      <c r="G470">
        <f>IFERROR(INDEX('1.산군_붙여넣기'!$A$1:$AZ$1001,ROW(),설정!$C$9)&amp;"","")</f>
        <v/>
      </c>
      <c r="H470">
        <f>IFERROR(INDEX('1.산군_붙여넣기'!$A$1:$AZ$1001,ROW(),설정!$C$10)&amp;"","")</f>
        <v/>
      </c>
      <c r="I470">
        <f>IFERROR(INDEX('1.산군_붙여넣기'!$A$1:$AZ$1001,ROW(),설정!$C$11)&amp;"","")</f>
        <v/>
      </c>
      <c r="J470">
        <f>IFERROR(INDEX('1.산군_붙여넣기'!$A$1:$AZ$1001,ROW(),설정!$C$12)&amp;"","")</f>
        <v/>
      </c>
      <c r="K470">
        <f>IFERROR(INDEX('1.산군_붙여넣기'!$A$1:$AZ$1001,ROW(),설정!$C$13)&amp;"","")</f>
        <v/>
      </c>
      <c r="L470" s="6">
        <f>IF(X470="","",IF(AND(LEN(X470)=8,ISNUMBER(X470*1)),DATE(LEFT(X470,4),MID(X470,5,2),RIGHT(X470,2)),IFERROR(DATEVALUE(SUBSTITUTE(SUBSTITUTE(X470,".","-"),"/","-")),IFERROR(X470*1,""))))</f>
        <v/>
      </c>
      <c r="M470" s="6">
        <f>IF(Y470="","",IF(AND(LEN(Y470)=8,ISNUMBER(Y470*1)),DATE(LEFT(Y470,4),MID(Y470,5,2),RIGHT(Y470,2)),IFERROR(DATEVALUE(SUBSTITUTE(SUBSTITUTE(Y470,".","-"),"/","-")),IFERROR(Y470*1,""))))</f>
        <v/>
      </c>
      <c r="N470">
        <f>IFERROR(LEFT(B470,FIND(" ",B470)-1),B470)</f>
        <v/>
      </c>
      <c r="O470">
        <f>AND(B470&lt;&gt;"",B470&lt;&gt;설정!$B$4,C470&lt;&gt;설정!$B$5)</f>
        <v/>
      </c>
      <c r="P470">
        <f>IF(O470,B470&amp;"|"&amp;C470,"")</f>
        <v/>
      </c>
      <c r="Q470">
        <f>AND(O470,COUNTIF(P471:P$1002,P470)=0)</f>
        <v/>
      </c>
      <c r="R470">
        <f>OR(AND(설정!$A$28&lt;&gt;"",ISNUMBER(SEARCH(설정!$A$28,E470&amp;" "&amp;C470))),AND(설정!$A$29&lt;&gt;"",ISNUMBER(SEARCH(설정!$A$29,E470&amp;" "&amp;C470))),AND(설정!$A$30&lt;&gt;"",ISNUMBER(SEARCH(설정!$A$30,E470&amp;" "&amp;C470))),AND(설정!$A$31&lt;&gt;"",ISNUMBER(SEARCH(설정!$A$31,E470&amp;" "&amp;C470))),AND(설정!$A$32&lt;&gt;"",ISNUMBER(SEARCH(설정!$A$32,E470&amp;" "&amp;C470))),AND(설정!$A$33&lt;&gt;"",ISNUMBER(SEARCH(설정!$A$33,E470&amp;" "&amp;C470))),AND(설정!$A$34&lt;&gt;"",ISNUMBER(SEARCH(설정!$A$34,E470&amp;" "&amp;C470))),AND(설정!$A$35&lt;&gt;"",ISNUMBER(SEARCH(설정!$A$35,E470&amp;" "&amp;C470))),AND(설정!$A$36&lt;&gt;"",ISNUMBER(SEARCH(설정!$A$36,E470&amp;" "&amp;C470))),AND(설정!$A$37&lt;&gt;"",ISNUMBER(SEARCH(설정!$A$37,E470&amp;" "&amp;C470))))</f>
        <v/>
      </c>
      <c r="S470">
        <f>OR(D470="",D470&gt;=설정!$B$19)</f>
        <v/>
      </c>
      <c r="T470">
        <f>AND(Q470,R470,S470)</f>
        <v/>
      </c>
      <c r="U470">
        <f>IF(T470,IF(AND(설정!$A$41&lt;&gt;"",ISNUMBER(SEARCH(설정!$A$41,K470))),설정!$B$41,IF(AND(설정!$A$42&lt;&gt;"",ISNUMBER(SEARCH(설정!$A$42,K470))),설정!$B$42,IF(AND(설정!$A$43&lt;&gt;"",ISNUMBER(SEARCH(설정!$A$43,K470))),설정!$B$43,IF(AND(설정!$A$44&lt;&gt;"",ISNUMBER(SEARCH(설정!$A$44,K470))),설정!$B$44,IF(AND(설정!$A$45&lt;&gt;"",ISNUMBER(SEARCH(설정!$A$45,K470))),설정!$B$45,IF(AND(설정!$A$46&lt;&gt;"",ISNUMBER(SEARCH(설정!$A$46,K470))),설정!$B$46,IF(AND(설정!$A$47&lt;&gt;"",ISNUMBER(SEARCH(설정!$A$47,K470))),설정!$B$47,IF(AND(설정!$A$48&lt;&gt;"",ISNUMBER(SEARCH(설정!$A$48,K470))),설정!$B$48,IF(M470="","설계사","시공사"))))))))),"")</f>
        <v/>
      </c>
      <c r="V470">
        <f>SUBSTITUTE(SUBSTITUTE(SUBSTITUTE(SUBSTITUTE(G470,"(주)",""),"㈜",""),"주식회사","")," ","")</f>
        <v/>
      </c>
      <c r="W470">
        <f>IF(AND(T470,V470&lt;&gt;""),IF(COUNTIFS(V$2:V470,V470,T$2:T470,TRUE)=1,MAX(W$1:W469)+1,""),"")</f>
        <v/>
      </c>
      <c r="X470">
        <f>IFERROR(INDEX('1.산군_붙여넣기'!$A$1:$AZ$1001,ROW(),설정!$C$14)&amp;"","")</f>
        <v/>
      </c>
      <c r="Y470">
        <f>IFERROR(INDEX('1.산군_붙여넣기'!$A$1:$AZ$1001,ROW(),설정!$C$15)&amp;"","")</f>
        <v/>
      </c>
      <c r="Z470">
        <f>IF(T470,V470&amp;"|"&amp;U470,"")</f>
        <v/>
      </c>
    </row>
    <row r="471">
      <c r="A471">
        <f>ROW()</f>
        <v/>
      </c>
      <c r="B471">
        <f>IFERROR(INDEX('1.산군_붙여넣기'!$A$1:$AZ$1001,ROW(),설정!$C$4)&amp;"","")</f>
        <v/>
      </c>
      <c r="C471">
        <f>IFERROR(INDEX('1.산군_붙여넣기'!$A$1:$AZ$1001,ROW(),설정!$C$5)&amp;"","")</f>
        <v/>
      </c>
      <c r="D471" s="5">
        <f>IFERROR(VALUE(SUBSTITUTE(SUBSTITUTE(SUBSTITUTE(IFERROR(INDEX('1.산군_붙여넣기'!$A$1:$AZ$1001,ROW(),설정!$C$6)&amp;"",""),",",""),"㎡",""),"m2","")),"")</f>
        <v/>
      </c>
      <c r="E471">
        <f>IFERROR(INDEX('1.산군_붙여넣기'!$A$1:$AZ$1001,ROW(),설정!$C$7)&amp;"","")</f>
        <v/>
      </c>
      <c r="F471">
        <f>IFERROR(INDEX('1.산군_붙여넣기'!$A$1:$AZ$1001,ROW(),설정!$C$8)&amp;"","")</f>
        <v/>
      </c>
      <c r="G471">
        <f>IFERROR(INDEX('1.산군_붙여넣기'!$A$1:$AZ$1001,ROW(),설정!$C$9)&amp;"","")</f>
        <v/>
      </c>
      <c r="H471">
        <f>IFERROR(INDEX('1.산군_붙여넣기'!$A$1:$AZ$1001,ROW(),설정!$C$10)&amp;"","")</f>
        <v/>
      </c>
      <c r="I471">
        <f>IFERROR(INDEX('1.산군_붙여넣기'!$A$1:$AZ$1001,ROW(),설정!$C$11)&amp;"","")</f>
        <v/>
      </c>
      <c r="J471">
        <f>IFERROR(INDEX('1.산군_붙여넣기'!$A$1:$AZ$1001,ROW(),설정!$C$12)&amp;"","")</f>
        <v/>
      </c>
      <c r="K471">
        <f>IFERROR(INDEX('1.산군_붙여넣기'!$A$1:$AZ$1001,ROW(),설정!$C$13)&amp;"","")</f>
        <v/>
      </c>
      <c r="L471" s="6">
        <f>IF(X471="","",IF(AND(LEN(X471)=8,ISNUMBER(X471*1)),DATE(LEFT(X471,4),MID(X471,5,2),RIGHT(X471,2)),IFERROR(DATEVALUE(SUBSTITUTE(SUBSTITUTE(X471,".","-"),"/","-")),IFERROR(X471*1,""))))</f>
        <v/>
      </c>
      <c r="M471" s="6">
        <f>IF(Y471="","",IF(AND(LEN(Y471)=8,ISNUMBER(Y471*1)),DATE(LEFT(Y471,4),MID(Y471,5,2),RIGHT(Y471,2)),IFERROR(DATEVALUE(SUBSTITUTE(SUBSTITUTE(Y471,".","-"),"/","-")),IFERROR(Y471*1,""))))</f>
        <v/>
      </c>
      <c r="N471">
        <f>IFERROR(LEFT(B471,FIND(" ",B471)-1),B471)</f>
        <v/>
      </c>
      <c r="O471">
        <f>AND(B471&lt;&gt;"",B471&lt;&gt;설정!$B$4,C471&lt;&gt;설정!$B$5)</f>
        <v/>
      </c>
      <c r="P471">
        <f>IF(O471,B471&amp;"|"&amp;C471,"")</f>
        <v/>
      </c>
      <c r="Q471">
        <f>AND(O471,COUNTIF(P472:P$1002,P471)=0)</f>
        <v/>
      </c>
      <c r="R471">
        <f>OR(AND(설정!$A$28&lt;&gt;"",ISNUMBER(SEARCH(설정!$A$28,E471&amp;" "&amp;C471))),AND(설정!$A$29&lt;&gt;"",ISNUMBER(SEARCH(설정!$A$29,E471&amp;" "&amp;C471))),AND(설정!$A$30&lt;&gt;"",ISNUMBER(SEARCH(설정!$A$30,E471&amp;" "&amp;C471))),AND(설정!$A$31&lt;&gt;"",ISNUMBER(SEARCH(설정!$A$31,E471&amp;" "&amp;C471))),AND(설정!$A$32&lt;&gt;"",ISNUMBER(SEARCH(설정!$A$32,E471&amp;" "&amp;C471))),AND(설정!$A$33&lt;&gt;"",ISNUMBER(SEARCH(설정!$A$33,E471&amp;" "&amp;C471))),AND(설정!$A$34&lt;&gt;"",ISNUMBER(SEARCH(설정!$A$34,E471&amp;" "&amp;C471))),AND(설정!$A$35&lt;&gt;"",ISNUMBER(SEARCH(설정!$A$35,E471&amp;" "&amp;C471))),AND(설정!$A$36&lt;&gt;"",ISNUMBER(SEARCH(설정!$A$36,E471&amp;" "&amp;C471))),AND(설정!$A$37&lt;&gt;"",ISNUMBER(SEARCH(설정!$A$37,E471&amp;" "&amp;C471))))</f>
        <v/>
      </c>
      <c r="S471">
        <f>OR(D471="",D471&gt;=설정!$B$19)</f>
        <v/>
      </c>
      <c r="T471">
        <f>AND(Q471,R471,S471)</f>
        <v/>
      </c>
      <c r="U471">
        <f>IF(T471,IF(AND(설정!$A$41&lt;&gt;"",ISNUMBER(SEARCH(설정!$A$41,K471))),설정!$B$41,IF(AND(설정!$A$42&lt;&gt;"",ISNUMBER(SEARCH(설정!$A$42,K471))),설정!$B$42,IF(AND(설정!$A$43&lt;&gt;"",ISNUMBER(SEARCH(설정!$A$43,K471))),설정!$B$43,IF(AND(설정!$A$44&lt;&gt;"",ISNUMBER(SEARCH(설정!$A$44,K471))),설정!$B$44,IF(AND(설정!$A$45&lt;&gt;"",ISNUMBER(SEARCH(설정!$A$45,K471))),설정!$B$45,IF(AND(설정!$A$46&lt;&gt;"",ISNUMBER(SEARCH(설정!$A$46,K471))),설정!$B$46,IF(AND(설정!$A$47&lt;&gt;"",ISNUMBER(SEARCH(설정!$A$47,K471))),설정!$B$47,IF(AND(설정!$A$48&lt;&gt;"",ISNUMBER(SEARCH(설정!$A$48,K471))),설정!$B$48,IF(M471="","설계사","시공사"))))))))),"")</f>
        <v/>
      </c>
      <c r="V471">
        <f>SUBSTITUTE(SUBSTITUTE(SUBSTITUTE(SUBSTITUTE(G471,"(주)",""),"㈜",""),"주식회사","")," ","")</f>
        <v/>
      </c>
      <c r="W471">
        <f>IF(AND(T471,V471&lt;&gt;""),IF(COUNTIFS(V$2:V471,V471,T$2:T471,TRUE)=1,MAX(W$1:W470)+1,""),"")</f>
        <v/>
      </c>
      <c r="X471">
        <f>IFERROR(INDEX('1.산군_붙여넣기'!$A$1:$AZ$1001,ROW(),설정!$C$14)&amp;"","")</f>
        <v/>
      </c>
      <c r="Y471">
        <f>IFERROR(INDEX('1.산군_붙여넣기'!$A$1:$AZ$1001,ROW(),설정!$C$15)&amp;"","")</f>
        <v/>
      </c>
      <c r="Z471">
        <f>IF(T471,V471&amp;"|"&amp;U471,"")</f>
        <v/>
      </c>
    </row>
    <row r="472">
      <c r="A472">
        <f>ROW()</f>
        <v/>
      </c>
      <c r="B472">
        <f>IFERROR(INDEX('1.산군_붙여넣기'!$A$1:$AZ$1001,ROW(),설정!$C$4)&amp;"","")</f>
        <v/>
      </c>
      <c r="C472">
        <f>IFERROR(INDEX('1.산군_붙여넣기'!$A$1:$AZ$1001,ROW(),설정!$C$5)&amp;"","")</f>
        <v/>
      </c>
      <c r="D472" s="5">
        <f>IFERROR(VALUE(SUBSTITUTE(SUBSTITUTE(SUBSTITUTE(IFERROR(INDEX('1.산군_붙여넣기'!$A$1:$AZ$1001,ROW(),설정!$C$6)&amp;"",""),",",""),"㎡",""),"m2","")),"")</f>
        <v/>
      </c>
      <c r="E472">
        <f>IFERROR(INDEX('1.산군_붙여넣기'!$A$1:$AZ$1001,ROW(),설정!$C$7)&amp;"","")</f>
        <v/>
      </c>
      <c r="F472">
        <f>IFERROR(INDEX('1.산군_붙여넣기'!$A$1:$AZ$1001,ROW(),설정!$C$8)&amp;"","")</f>
        <v/>
      </c>
      <c r="G472">
        <f>IFERROR(INDEX('1.산군_붙여넣기'!$A$1:$AZ$1001,ROW(),설정!$C$9)&amp;"","")</f>
        <v/>
      </c>
      <c r="H472">
        <f>IFERROR(INDEX('1.산군_붙여넣기'!$A$1:$AZ$1001,ROW(),설정!$C$10)&amp;"","")</f>
        <v/>
      </c>
      <c r="I472">
        <f>IFERROR(INDEX('1.산군_붙여넣기'!$A$1:$AZ$1001,ROW(),설정!$C$11)&amp;"","")</f>
        <v/>
      </c>
      <c r="J472">
        <f>IFERROR(INDEX('1.산군_붙여넣기'!$A$1:$AZ$1001,ROW(),설정!$C$12)&amp;"","")</f>
        <v/>
      </c>
      <c r="K472">
        <f>IFERROR(INDEX('1.산군_붙여넣기'!$A$1:$AZ$1001,ROW(),설정!$C$13)&amp;"","")</f>
        <v/>
      </c>
      <c r="L472" s="6">
        <f>IF(X472="","",IF(AND(LEN(X472)=8,ISNUMBER(X472*1)),DATE(LEFT(X472,4),MID(X472,5,2),RIGHT(X472,2)),IFERROR(DATEVALUE(SUBSTITUTE(SUBSTITUTE(X472,".","-"),"/","-")),IFERROR(X472*1,""))))</f>
        <v/>
      </c>
      <c r="M472" s="6">
        <f>IF(Y472="","",IF(AND(LEN(Y472)=8,ISNUMBER(Y472*1)),DATE(LEFT(Y472,4),MID(Y472,5,2),RIGHT(Y472,2)),IFERROR(DATEVALUE(SUBSTITUTE(SUBSTITUTE(Y472,".","-"),"/","-")),IFERROR(Y472*1,""))))</f>
        <v/>
      </c>
      <c r="N472">
        <f>IFERROR(LEFT(B472,FIND(" ",B472)-1),B472)</f>
        <v/>
      </c>
      <c r="O472">
        <f>AND(B472&lt;&gt;"",B472&lt;&gt;설정!$B$4,C472&lt;&gt;설정!$B$5)</f>
        <v/>
      </c>
      <c r="P472">
        <f>IF(O472,B472&amp;"|"&amp;C472,"")</f>
        <v/>
      </c>
      <c r="Q472">
        <f>AND(O472,COUNTIF(P473:P$1002,P472)=0)</f>
        <v/>
      </c>
      <c r="R472">
        <f>OR(AND(설정!$A$28&lt;&gt;"",ISNUMBER(SEARCH(설정!$A$28,E472&amp;" "&amp;C472))),AND(설정!$A$29&lt;&gt;"",ISNUMBER(SEARCH(설정!$A$29,E472&amp;" "&amp;C472))),AND(설정!$A$30&lt;&gt;"",ISNUMBER(SEARCH(설정!$A$30,E472&amp;" "&amp;C472))),AND(설정!$A$31&lt;&gt;"",ISNUMBER(SEARCH(설정!$A$31,E472&amp;" "&amp;C472))),AND(설정!$A$32&lt;&gt;"",ISNUMBER(SEARCH(설정!$A$32,E472&amp;" "&amp;C472))),AND(설정!$A$33&lt;&gt;"",ISNUMBER(SEARCH(설정!$A$33,E472&amp;" "&amp;C472))),AND(설정!$A$34&lt;&gt;"",ISNUMBER(SEARCH(설정!$A$34,E472&amp;" "&amp;C472))),AND(설정!$A$35&lt;&gt;"",ISNUMBER(SEARCH(설정!$A$35,E472&amp;" "&amp;C472))),AND(설정!$A$36&lt;&gt;"",ISNUMBER(SEARCH(설정!$A$36,E472&amp;" "&amp;C472))),AND(설정!$A$37&lt;&gt;"",ISNUMBER(SEARCH(설정!$A$37,E472&amp;" "&amp;C472))))</f>
        <v/>
      </c>
      <c r="S472">
        <f>OR(D472="",D472&gt;=설정!$B$19)</f>
        <v/>
      </c>
      <c r="T472">
        <f>AND(Q472,R472,S472)</f>
        <v/>
      </c>
      <c r="U472">
        <f>IF(T472,IF(AND(설정!$A$41&lt;&gt;"",ISNUMBER(SEARCH(설정!$A$41,K472))),설정!$B$41,IF(AND(설정!$A$42&lt;&gt;"",ISNUMBER(SEARCH(설정!$A$42,K472))),설정!$B$42,IF(AND(설정!$A$43&lt;&gt;"",ISNUMBER(SEARCH(설정!$A$43,K472))),설정!$B$43,IF(AND(설정!$A$44&lt;&gt;"",ISNUMBER(SEARCH(설정!$A$44,K472))),설정!$B$44,IF(AND(설정!$A$45&lt;&gt;"",ISNUMBER(SEARCH(설정!$A$45,K472))),설정!$B$45,IF(AND(설정!$A$46&lt;&gt;"",ISNUMBER(SEARCH(설정!$A$46,K472))),설정!$B$46,IF(AND(설정!$A$47&lt;&gt;"",ISNUMBER(SEARCH(설정!$A$47,K472))),설정!$B$47,IF(AND(설정!$A$48&lt;&gt;"",ISNUMBER(SEARCH(설정!$A$48,K472))),설정!$B$48,IF(M472="","설계사","시공사"))))))))),"")</f>
        <v/>
      </c>
      <c r="V472">
        <f>SUBSTITUTE(SUBSTITUTE(SUBSTITUTE(SUBSTITUTE(G472,"(주)",""),"㈜",""),"주식회사","")," ","")</f>
        <v/>
      </c>
      <c r="W472">
        <f>IF(AND(T472,V472&lt;&gt;""),IF(COUNTIFS(V$2:V472,V472,T$2:T472,TRUE)=1,MAX(W$1:W471)+1,""),"")</f>
        <v/>
      </c>
      <c r="X472">
        <f>IFERROR(INDEX('1.산군_붙여넣기'!$A$1:$AZ$1001,ROW(),설정!$C$14)&amp;"","")</f>
        <v/>
      </c>
      <c r="Y472">
        <f>IFERROR(INDEX('1.산군_붙여넣기'!$A$1:$AZ$1001,ROW(),설정!$C$15)&amp;"","")</f>
        <v/>
      </c>
      <c r="Z472">
        <f>IF(T472,V472&amp;"|"&amp;U472,"")</f>
        <v/>
      </c>
    </row>
    <row r="473">
      <c r="A473">
        <f>ROW()</f>
        <v/>
      </c>
      <c r="B473">
        <f>IFERROR(INDEX('1.산군_붙여넣기'!$A$1:$AZ$1001,ROW(),설정!$C$4)&amp;"","")</f>
        <v/>
      </c>
      <c r="C473">
        <f>IFERROR(INDEX('1.산군_붙여넣기'!$A$1:$AZ$1001,ROW(),설정!$C$5)&amp;"","")</f>
        <v/>
      </c>
      <c r="D473" s="5">
        <f>IFERROR(VALUE(SUBSTITUTE(SUBSTITUTE(SUBSTITUTE(IFERROR(INDEX('1.산군_붙여넣기'!$A$1:$AZ$1001,ROW(),설정!$C$6)&amp;"",""),",",""),"㎡",""),"m2","")),"")</f>
        <v/>
      </c>
      <c r="E473">
        <f>IFERROR(INDEX('1.산군_붙여넣기'!$A$1:$AZ$1001,ROW(),설정!$C$7)&amp;"","")</f>
        <v/>
      </c>
      <c r="F473">
        <f>IFERROR(INDEX('1.산군_붙여넣기'!$A$1:$AZ$1001,ROW(),설정!$C$8)&amp;"","")</f>
        <v/>
      </c>
      <c r="G473">
        <f>IFERROR(INDEX('1.산군_붙여넣기'!$A$1:$AZ$1001,ROW(),설정!$C$9)&amp;"","")</f>
        <v/>
      </c>
      <c r="H473">
        <f>IFERROR(INDEX('1.산군_붙여넣기'!$A$1:$AZ$1001,ROW(),설정!$C$10)&amp;"","")</f>
        <v/>
      </c>
      <c r="I473">
        <f>IFERROR(INDEX('1.산군_붙여넣기'!$A$1:$AZ$1001,ROW(),설정!$C$11)&amp;"","")</f>
        <v/>
      </c>
      <c r="J473">
        <f>IFERROR(INDEX('1.산군_붙여넣기'!$A$1:$AZ$1001,ROW(),설정!$C$12)&amp;"","")</f>
        <v/>
      </c>
      <c r="K473">
        <f>IFERROR(INDEX('1.산군_붙여넣기'!$A$1:$AZ$1001,ROW(),설정!$C$13)&amp;"","")</f>
        <v/>
      </c>
      <c r="L473" s="6">
        <f>IF(X473="","",IF(AND(LEN(X473)=8,ISNUMBER(X473*1)),DATE(LEFT(X473,4),MID(X473,5,2),RIGHT(X473,2)),IFERROR(DATEVALUE(SUBSTITUTE(SUBSTITUTE(X473,".","-"),"/","-")),IFERROR(X473*1,""))))</f>
        <v/>
      </c>
      <c r="M473" s="6">
        <f>IF(Y473="","",IF(AND(LEN(Y473)=8,ISNUMBER(Y473*1)),DATE(LEFT(Y473,4),MID(Y473,5,2),RIGHT(Y473,2)),IFERROR(DATEVALUE(SUBSTITUTE(SUBSTITUTE(Y473,".","-"),"/","-")),IFERROR(Y473*1,""))))</f>
        <v/>
      </c>
      <c r="N473">
        <f>IFERROR(LEFT(B473,FIND(" ",B473)-1),B473)</f>
        <v/>
      </c>
      <c r="O473">
        <f>AND(B473&lt;&gt;"",B473&lt;&gt;설정!$B$4,C473&lt;&gt;설정!$B$5)</f>
        <v/>
      </c>
      <c r="P473">
        <f>IF(O473,B473&amp;"|"&amp;C473,"")</f>
        <v/>
      </c>
      <c r="Q473">
        <f>AND(O473,COUNTIF(P474:P$1002,P473)=0)</f>
        <v/>
      </c>
      <c r="R473">
        <f>OR(AND(설정!$A$28&lt;&gt;"",ISNUMBER(SEARCH(설정!$A$28,E473&amp;" "&amp;C473))),AND(설정!$A$29&lt;&gt;"",ISNUMBER(SEARCH(설정!$A$29,E473&amp;" "&amp;C473))),AND(설정!$A$30&lt;&gt;"",ISNUMBER(SEARCH(설정!$A$30,E473&amp;" "&amp;C473))),AND(설정!$A$31&lt;&gt;"",ISNUMBER(SEARCH(설정!$A$31,E473&amp;" "&amp;C473))),AND(설정!$A$32&lt;&gt;"",ISNUMBER(SEARCH(설정!$A$32,E473&amp;" "&amp;C473))),AND(설정!$A$33&lt;&gt;"",ISNUMBER(SEARCH(설정!$A$33,E473&amp;" "&amp;C473))),AND(설정!$A$34&lt;&gt;"",ISNUMBER(SEARCH(설정!$A$34,E473&amp;" "&amp;C473))),AND(설정!$A$35&lt;&gt;"",ISNUMBER(SEARCH(설정!$A$35,E473&amp;" "&amp;C473))),AND(설정!$A$36&lt;&gt;"",ISNUMBER(SEARCH(설정!$A$36,E473&amp;" "&amp;C473))),AND(설정!$A$37&lt;&gt;"",ISNUMBER(SEARCH(설정!$A$37,E473&amp;" "&amp;C473))))</f>
        <v/>
      </c>
      <c r="S473">
        <f>OR(D473="",D473&gt;=설정!$B$19)</f>
        <v/>
      </c>
      <c r="T473">
        <f>AND(Q473,R473,S473)</f>
        <v/>
      </c>
      <c r="U473">
        <f>IF(T473,IF(AND(설정!$A$41&lt;&gt;"",ISNUMBER(SEARCH(설정!$A$41,K473))),설정!$B$41,IF(AND(설정!$A$42&lt;&gt;"",ISNUMBER(SEARCH(설정!$A$42,K473))),설정!$B$42,IF(AND(설정!$A$43&lt;&gt;"",ISNUMBER(SEARCH(설정!$A$43,K473))),설정!$B$43,IF(AND(설정!$A$44&lt;&gt;"",ISNUMBER(SEARCH(설정!$A$44,K473))),설정!$B$44,IF(AND(설정!$A$45&lt;&gt;"",ISNUMBER(SEARCH(설정!$A$45,K473))),설정!$B$45,IF(AND(설정!$A$46&lt;&gt;"",ISNUMBER(SEARCH(설정!$A$46,K473))),설정!$B$46,IF(AND(설정!$A$47&lt;&gt;"",ISNUMBER(SEARCH(설정!$A$47,K473))),설정!$B$47,IF(AND(설정!$A$48&lt;&gt;"",ISNUMBER(SEARCH(설정!$A$48,K473))),설정!$B$48,IF(M473="","설계사","시공사"))))))))),"")</f>
        <v/>
      </c>
      <c r="V473">
        <f>SUBSTITUTE(SUBSTITUTE(SUBSTITUTE(SUBSTITUTE(G473,"(주)",""),"㈜",""),"주식회사","")," ","")</f>
        <v/>
      </c>
      <c r="W473">
        <f>IF(AND(T473,V473&lt;&gt;""),IF(COUNTIFS(V$2:V473,V473,T$2:T473,TRUE)=1,MAX(W$1:W472)+1,""),"")</f>
        <v/>
      </c>
      <c r="X473">
        <f>IFERROR(INDEX('1.산군_붙여넣기'!$A$1:$AZ$1001,ROW(),설정!$C$14)&amp;"","")</f>
        <v/>
      </c>
      <c r="Y473">
        <f>IFERROR(INDEX('1.산군_붙여넣기'!$A$1:$AZ$1001,ROW(),설정!$C$15)&amp;"","")</f>
        <v/>
      </c>
      <c r="Z473">
        <f>IF(T473,V473&amp;"|"&amp;U473,"")</f>
        <v/>
      </c>
    </row>
    <row r="474">
      <c r="A474">
        <f>ROW()</f>
        <v/>
      </c>
      <c r="B474">
        <f>IFERROR(INDEX('1.산군_붙여넣기'!$A$1:$AZ$1001,ROW(),설정!$C$4)&amp;"","")</f>
        <v/>
      </c>
      <c r="C474">
        <f>IFERROR(INDEX('1.산군_붙여넣기'!$A$1:$AZ$1001,ROW(),설정!$C$5)&amp;"","")</f>
        <v/>
      </c>
      <c r="D474" s="5">
        <f>IFERROR(VALUE(SUBSTITUTE(SUBSTITUTE(SUBSTITUTE(IFERROR(INDEX('1.산군_붙여넣기'!$A$1:$AZ$1001,ROW(),설정!$C$6)&amp;"",""),",",""),"㎡",""),"m2","")),"")</f>
        <v/>
      </c>
      <c r="E474">
        <f>IFERROR(INDEX('1.산군_붙여넣기'!$A$1:$AZ$1001,ROW(),설정!$C$7)&amp;"","")</f>
        <v/>
      </c>
      <c r="F474">
        <f>IFERROR(INDEX('1.산군_붙여넣기'!$A$1:$AZ$1001,ROW(),설정!$C$8)&amp;"","")</f>
        <v/>
      </c>
      <c r="G474">
        <f>IFERROR(INDEX('1.산군_붙여넣기'!$A$1:$AZ$1001,ROW(),설정!$C$9)&amp;"","")</f>
        <v/>
      </c>
      <c r="H474">
        <f>IFERROR(INDEX('1.산군_붙여넣기'!$A$1:$AZ$1001,ROW(),설정!$C$10)&amp;"","")</f>
        <v/>
      </c>
      <c r="I474">
        <f>IFERROR(INDEX('1.산군_붙여넣기'!$A$1:$AZ$1001,ROW(),설정!$C$11)&amp;"","")</f>
        <v/>
      </c>
      <c r="J474">
        <f>IFERROR(INDEX('1.산군_붙여넣기'!$A$1:$AZ$1001,ROW(),설정!$C$12)&amp;"","")</f>
        <v/>
      </c>
      <c r="K474">
        <f>IFERROR(INDEX('1.산군_붙여넣기'!$A$1:$AZ$1001,ROW(),설정!$C$13)&amp;"","")</f>
        <v/>
      </c>
      <c r="L474" s="6">
        <f>IF(X474="","",IF(AND(LEN(X474)=8,ISNUMBER(X474*1)),DATE(LEFT(X474,4),MID(X474,5,2),RIGHT(X474,2)),IFERROR(DATEVALUE(SUBSTITUTE(SUBSTITUTE(X474,".","-"),"/","-")),IFERROR(X474*1,""))))</f>
        <v/>
      </c>
      <c r="M474" s="6">
        <f>IF(Y474="","",IF(AND(LEN(Y474)=8,ISNUMBER(Y474*1)),DATE(LEFT(Y474,4),MID(Y474,5,2),RIGHT(Y474,2)),IFERROR(DATEVALUE(SUBSTITUTE(SUBSTITUTE(Y474,".","-"),"/","-")),IFERROR(Y474*1,""))))</f>
        <v/>
      </c>
      <c r="N474">
        <f>IFERROR(LEFT(B474,FIND(" ",B474)-1),B474)</f>
        <v/>
      </c>
      <c r="O474">
        <f>AND(B474&lt;&gt;"",B474&lt;&gt;설정!$B$4,C474&lt;&gt;설정!$B$5)</f>
        <v/>
      </c>
      <c r="P474">
        <f>IF(O474,B474&amp;"|"&amp;C474,"")</f>
        <v/>
      </c>
      <c r="Q474">
        <f>AND(O474,COUNTIF(P475:P$1002,P474)=0)</f>
        <v/>
      </c>
      <c r="R474">
        <f>OR(AND(설정!$A$28&lt;&gt;"",ISNUMBER(SEARCH(설정!$A$28,E474&amp;" "&amp;C474))),AND(설정!$A$29&lt;&gt;"",ISNUMBER(SEARCH(설정!$A$29,E474&amp;" "&amp;C474))),AND(설정!$A$30&lt;&gt;"",ISNUMBER(SEARCH(설정!$A$30,E474&amp;" "&amp;C474))),AND(설정!$A$31&lt;&gt;"",ISNUMBER(SEARCH(설정!$A$31,E474&amp;" "&amp;C474))),AND(설정!$A$32&lt;&gt;"",ISNUMBER(SEARCH(설정!$A$32,E474&amp;" "&amp;C474))),AND(설정!$A$33&lt;&gt;"",ISNUMBER(SEARCH(설정!$A$33,E474&amp;" "&amp;C474))),AND(설정!$A$34&lt;&gt;"",ISNUMBER(SEARCH(설정!$A$34,E474&amp;" "&amp;C474))),AND(설정!$A$35&lt;&gt;"",ISNUMBER(SEARCH(설정!$A$35,E474&amp;" "&amp;C474))),AND(설정!$A$36&lt;&gt;"",ISNUMBER(SEARCH(설정!$A$36,E474&amp;" "&amp;C474))),AND(설정!$A$37&lt;&gt;"",ISNUMBER(SEARCH(설정!$A$37,E474&amp;" "&amp;C474))))</f>
        <v/>
      </c>
      <c r="S474">
        <f>OR(D474="",D474&gt;=설정!$B$19)</f>
        <v/>
      </c>
      <c r="T474">
        <f>AND(Q474,R474,S474)</f>
        <v/>
      </c>
      <c r="U474">
        <f>IF(T474,IF(AND(설정!$A$41&lt;&gt;"",ISNUMBER(SEARCH(설정!$A$41,K474))),설정!$B$41,IF(AND(설정!$A$42&lt;&gt;"",ISNUMBER(SEARCH(설정!$A$42,K474))),설정!$B$42,IF(AND(설정!$A$43&lt;&gt;"",ISNUMBER(SEARCH(설정!$A$43,K474))),설정!$B$43,IF(AND(설정!$A$44&lt;&gt;"",ISNUMBER(SEARCH(설정!$A$44,K474))),설정!$B$44,IF(AND(설정!$A$45&lt;&gt;"",ISNUMBER(SEARCH(설정!$A$45,K474))),설정!$B$45,IF(AND(설정!$A$46&lt;&gt;"",ISNUMBER(SEARCH(설정!$A$46,K474))),설정!$B$46,IF(AND(설정!$A$47&lt;&gt;"",ISNUMBER(SEARCH(설정!$A$47,K474))),설정!$B$47,IF(AND(설정!$A$48&lt;&gt;"",ISNUMBER(SEARCH(설정!$A$48,K474))),설정!$B$48,IF(M474="","설계사","시공사"))))))))),"")</f>
        <v/>
      </c>
      <c r="V474">
        <f>SUBSTITUTE(SUBSTITUTE(SUBSTITUTE(SUBSTITUTE(G474,"(주)",""),"㈜",""),"주식회사","")," ","")</f>
        <v/>
      </c>
      <c r="W474">
        <f>IF(AND(T474,V474&lt;&gt;""),IF(COUNTIFS(V$2:V474,V474,T$2:T474,TRUE)=1,MAX(W$1:W473)+1,""),"")</f>
        <v/>
      </c>
      <c r="X474">
        <f>IFERROR(INDEX('1.산군_붙여넣기'!$A$1:$AZ$1001,ROW(),설정!$C$14)&amp;"","")</f>
        <v/>
      </c>
      <c r="Y474">
        <f>IFERROR(INDEX('1.산군_붙여넣기'!$A$1:$AZ$1001,ROW(),설정!$C$15)&amp;"","")</f>
        <v/>
      </c>
      <c r="Z474">
        <f>IF(T474,V474&amp;"|"&amp;U474,"")</f>
        <v/>
      </c>
    </row>
    <row r="475">
      <c r="A475">
        <f>ROW()</f>
        <v/>
      </c>
      <c r="B475">
        <f>IFERROR(INDEX('1.산군_붙여넣기'!$A$1:$AZ$1001,ROW(),설정!$C$4)&amp;"","")</f>
        <v/>
      </c>
      <c r="C475">
        <f>IFERROR(INDEX('1.산군_붙여넣기'!$A$1:$AZ$1001,ROW(),설정!$C$5)&amp;"","")</f>
        <v/>
      </c>
      <c r="D475" s="5">
        <f>IFERROR(VALUE(SUBSTITUTE(SUBSTITUTE(SUBSTITUTE(IFERROR(INDEX('1.산군_붙여넣기'!$A$1:$AZ$1001,ROW(),설정!$C$6)&amp;"",""),",",""),"㎡",""),"m2","")),"")</f>
        <v/>
      </c>
      <c r="E475">
        <f>IFERROR(INDEX('1.산군_붙여넣기'!$A$1:$AZ$1001,ROW(),설정!$C$7)&amp;"","")</f>
        <v/>
      </c>
      <c r="F475">
        <f>IFERROR(INDEX('1.산군_붙여넣기'!$A$1:$AZ$1001,ROW(),설정!$C$8)&amp;"","")</f>
        <v/>
      </c>
      <c r="G475">
        <f>IFERROR(INDEX('1.산군_붙여넣기'!$A$1:$AZ$1001,ROW(),설정!$C$9)&amp;"","")</f>
        <v/>
      </c>
      <c r="H475">
        <f>IFERROR(INDEX('1.산군_붙여넣기'!$A$1:$AZ$1001,ROW(),설정!$C$10)&amp;"","")</f>
        <v/>
      </c>
      <c r="I475">
        <f>IFERROR(INDEX('1.산군_붙여넣기'!$A$1:$AZ$1001,ROW(),설정!$C$11)&amp;"","")</f>
        <v/>
      </c>
      <c r="J475">
        <f>IFERROR(INDEX('1.산군_붙여넣기'!$A$1:$AZ$1001,ROW(),설정!$C$12)&amp;"","")</f>
        <v/>
      </c>
      <c r="K475">
        <f>IFERROR(INDEX('1.산군_붙여넣기'!$A$1:$AZ$1001,ROW(),설정!$C$13)&amp;"","")</f>
        <v/>
      </c>
      <c r="L475" s="6">
        <f>IF(X475="","",IF(AND(LEN(X475)=8,ISNUMBER(X475*1)),DATE(LEFT(X475,4),MID(X475,5,2),RIGHT(X475,2)),IFERROR(DATEVALUE(SUBSTITUTE(SUBSTITUTE(X475,".","-"),"/","-")),IFERROR(X475*1,""))))</f>
        <v/>
      </c>
      <c r="M475" s="6">
        <f>IF(Y475="","",IF(AND(LEN(Y475)=8,ISNUMBER(Y475*1)),DATE(LEFT(Y475,4),MID(Y475,5,2),RIGHT(Y475,2)),IFERROR(DATEVALUE(SUBSTITUTE(SUBSTITUTE(Y475,".","-"),"/","-")),IFERROR(Y475*1,""))))</f>
        <v/>
      </c>
      <c r="N475">
        <f>IFERROR(LEFT(B475,FIND(" ",B475)-1),B475)</f>
        <v/>
      </c>
      <c r="O475">
        <f>AND(B475&lt;&gt;"",B475&lt;&gt;설정!$B$4,C475&lt;&gt;설정!$B$5)</f>
        <v/>
      </c>
      <c r="P475">
        <f>IF(O475,B475&amp;"|"&amp;C475,"")</f>
        <v/>
      </c>
      <c r="Q475">
        <f>AND(O475,COUNTIF(P476:P$1002,P475)=0)</f>
        <v/>
      </c>
      <c r="R475">
        <f>OR(AND(설정!$A$28&lt;&gt;"",ISNUMBER(SEARCH(설정!$A$28,E475&amp;" "&amp;C475))),AND(설정!$A$29&lt;&gt;"",ISNUMBER(SEARCH(설정!$A$29,E475&amp;" "&amp;C475))),AND(설정!$A$30&lt;&gt;"",ISNUMBER(SEARCH(설정!$A$30,E475&amp;" "&amp;C475))),AND(설정!$A$31&lt;&gt;"",ISNUMBER(SEARCH(설정!$A$31,E475&amp;" "&amp;C475))),AND(설정!$A$32&lt;&gt;"",ISNUMBER(SEARCH(설정!$A$32,E475&amp;" "&amp;C475))),AND(설정!$A$33&lt;&gt;"",ISNUMBER(SEARCH(설정!$A$33,E475&amp;" "&amp;C475))),AND(설정!$A$34&lt;&gt;"",ISNUMBER(SEARCH(설정!$A$34,E475&amp;" "&amp;C475))),AND(설정!$A$35&lt;&gt;"",ISNUMBER(SEARCH(설정!$A$35,E475&amp;" "&amp;C475))),AND(설정!$A$36&lt;&gt;"",ISNUMBER(SEARCH(설정!$A$36,E475&amp;" "&amp;C475))),AND(설정!$A$37&lt;&gt;"",ISNUMBER(SEARCH(설정!$A$37,E475&amp;" "&amp;C475))))</f>
        <v/>
      </c>
      <c r="S475">
        <f>OR(D475="",D475&gt;=설정!$B$19)</f>
        <v/>
      </c>
      <c r="T475">
        <f>AND(Q475,R475,S475)</f>
        <v/>
      </c>
      <c r="U475">
        <f>IF(T475,IF(AND(설정!$A$41&lt;&gt;"",ISNUMBER(SEARCH(설정!$A$41,K475))),설정!$B$41,IF(AND(설정!$A$42&lt;&gt;"",ISNUMBER(SEARCH(설정!$A$42,K475))),설정!$B$42,IF(AND(설정!$A$43&lt;&gt;"",ISNUMBER(SEARCH(설정!$A$43,K475))),설정!$B$43,IF(AND(설정!$A$44&lt;&gt;"",ISNUMBER(SEARCH(설정!$A$44,K475))),설정!$B$44,IF(AND(설정!$A$45&lt;&gt;"",ISNUMBER(SEARCH(설정!$A$45,K475))),설정!$B$45,IF(AND(설정!$A$46&lt;&gt;"",ISNUMBER(SEARCH(설정!$A$46,K475))),설정!$B$46,IF(AND(설정!$A$47&lt;&gt;"",ISNUMBER(SEARCH(설정!$A$47,K475))),설정!$B$47,IF(AND(설정!$A$48&lt;&gt;"",ISNUMBER(SEARCH(설정!$A$48,K475))),설정!$B$48,IF(M475="","설계사","시공사"))))))))),"")</f>
        <v/>
      </c>
      <c r="V475">
        <f>SUBSTITUTE(SUBSTITUTE(SUBSTITUTE(SUBSTITUTE(G475,"(주)",""),"㈜",""),"주식회사","")," ","")</f>
        <v/>
      </c>
      <c r="W475">
        <f>IF(AND(T475,V475&lt;&gt;""),IF(COUNTIFS(V$2:V475,V475,T$2:T475,TRUE)=1,MAX(W$1:W474)+1,""),"")</f>
        <v/>
      </c>
      <c r="X475">
        <f>IFERROR(INDEX('1.산군_붙여넣기'!$A$1:$AZ$1001,ROW(),설정!$C$14)&amp;"","")</f>
        <v/>
      </c>
      <c r="Y475">
        <f>IFERROR(INDEX('1.산군_붙여넣기'!$A$1:$AZ$1001,ROW(),설정!$C$15)&amp;"","")</f>
        <v/>
      </c>
      <c r="Z475">
        <f>IF(T475,V475&amp;"|"&amp;U475,"")</f>
        <v/>
      </c>
    </row>
    <row r="476">
      <c r="A476">
        <f>ROW()</f>
        <v/>
      </c>
      <c r="B476">
        <f>IFERROR(INDEX('1.산군_붙여넣기'!$A$1:$AZ$1001,ROW(),설정!$C$4)&amp;"","")</f>
        <v/>
      </c>
      <c r="C476">
        <f>IFERROR(INDEX('1.산군_붙여넣기'!$A$1:$AZ$1001,ROW(),설정!$C$5)&amp;"","")</f>
        <v/>
      </c>
      <c r="D476" s="5">
        <f>IFERROR(VALUE(SUBSTITUTE(SUBSTITUTE(SUBSTITUTE(IFERROR(INDEX('1.산군_붙여넣기'!$A$1:$AZ$1001,ROW(),설정!$C$6)&amp;"",""),",",""),"㎡",""),"m2","")),"")</f>
        <v/>
      </c>
      <c r="E476">
        <f>IFERROR(INDEX('1.산군_붙여넣기'!$A$1:$AZ$1001,ROW(),설정!$C$7)&amp;"","")</f>
        <v/>
      </c>
      <c r="F476">
        <f>IFERROR(INDEX('1.산군_붙여넣기'!$A$1:$AZ$1001,ROW(),설정!$C$8)&amp;"","")</f>
        <v/>
      </c>
      <c r="G476">
        <f>IFERROR(INDEX('1.산군_붙여넣기'!$A$1:$AZ$1001,ROW(),설정!$C$9)&amp;"","")</f>
        <v/>
      </c>
      <c r="H476">
        <f>IFERROR(INDEX('1.산군_붙여넣기'!$A$1:$AZ$1001,ROW(),설정!$C$10)&amp;"","")</f>
        <v/>
      </c>
      <c r="I476">
        <f>IFERROR(INDEX('1.산군_붙여넣기'!$A$1:$AZ$1001,ROW(),설정!$C$11)&amp;"","")</f>
        <v/>
      </c>
      <c r="J476">
        <f>IFERROR(INDEX('1.산군_붙여넣기'!$A$1:$AZ$1001,ROW(),설정!$C$12)&amp;"","")</f>
        <v/>
      </c>
      <c r="K476">
        <f>IFERROR(INDEX('1.산군_붙여넣기'!$A$1:$AZ$1001,ROW(),설정!$C$13)&amp;"","")</f>
        <v/>
      </c>
      <c r="L476" s="6">
        <f>IF(X476="","",IF(AND(LEN(X476)=8,ISNUMBER(X476*1)),DATE(LEFT(X476,4),MID(X476,5,2),RIGHT(X476,2)),IFERROR(DATEVALUE(SUBSTITUTE(SUBSTITUTE(X476,".","-"),"/","-")),IFERROR(X476*1,""))))</f>
        <v/>
      </c>
      <c r="M476" s="6">
        <f>IF(Y476="","",IF(AND(LEN(Y476)=8,ISNUMBER(Y476*1)),DATE(LEFT(Y476,4),MID(Y476,5,2),RIGHT(Y476,2)),IFERROR(DATEVALUE(SUBSTITUTE(SUBSTITUTE(Y476,".","-"),"/","-")),IFERROR(Y476*1,""))))</f>
        <v/>
      </c>
      <c r="N476">
        <f>IFERROR(LEFT(B476,FIND(" ",B476)-1),B476)</f>
        <v/>
      </c>
      <c r="O476">
        <f>AND(B476&lt;&gt;"",B476&lt;&gt;설정!$B$4,C476&lt;&gt;설정!$B$5)</f>
        <v/>
      </c>
      <c r="P476">
        <f>IF(O476,B476&amp;"|"&amp;C476,"")</f>
        <v/>
      </c>
      <c r="Q476">
        <f>AND(O476,COUNTIF(P477:P$1002,P476)=0)</f>
        <v/>
      </c>
      <c r="R476">
        <f>OR(AND(설정!$A$28&lt;&gt;"",ISNUMBER(SEARCH(설정!$A$28,E476&amp;" "&amp;C476))),AND(설정!$A$29&lt;&gt;"",ISNUMBER(SEARCH(설정!$A$29,E476&amp;" "&amp;C476))),AND(설정!$A$30&lt;&gt;"",ISNUMBER(SEARCH(설정!$A$30,E476&amp;" "&amp;C476))),AND(설정!$A$31&lt;&gt;"",ISNUMBER(SEARCH(설정!$A$31,E476&amp;" "&amp;C476))),AND(설정!$A$32&lt;&gt;"",ISNUMBER(SEARCH(설정!$A$32,E476&amp;" "&amp;C476))),AND(설정!$A$33&lt;&gt;"",ISNUMBER(SEARCH(설정!$A$33,E476&amp;" "&amp;C476))),AND(설정!$A$34&lt;&gt;"",ISNUMBER(SEARCH(설정!$A$34,E476&amp;" "&amp;C476))),AND(설정!$A$35&lt;&gt;"",ISNUMBER(SEARCH(설정!$A$35,E476&amp;" "&amp;C476))),AND(설정!$A$36&lt;&gt;"",ISNUMBER(SEARCH(설정!$A$36,E476&amp;" "&amp;C476))),AND(설정!$A$37&lt;&gt;"",ISNUMBER(SEARCH(설정!$A$37,E476&amp;" "&amp;C476))))</f>
        <v/>
      </c>
      <c r="S476">
        <f>OR(D476="",D476&gt;=설정!$B$19)</f>
        <v/>
      </c>
      <c r="T476">
        <f>AND(Q476,R476,S476)</f>
        <v/>
      </c>
      <c r="U476">
        <f>IF(T476,IF(AND(설정!$A$41&lt;&gt;"",ISNUMBER(SEARCH(설정!$A$41,K476))),설정!$B$41,IF(AND(설정!$A$42&lt;&gt;"",ISNUMBER(SEARCH(설정!$A$42,K476))),설정!$B$42,IF(AND(설정!$A$43&lt;&gt;"",ISNUMBER(SEARCH(설정!$A$43,K476))),설정!$B$43,IF(AND(설정!$A$44&lt;&gt;"",ISNUMBER(SEARCH(설정!$A$44,K476))),설정!$B$44,IF(AND(설정!$A$45&lt;&gt;"",ISNUMBER(SEARCH(설정!$A$45,K476))),설정!$B$45,IF(AND(설정!$A$46&lt;&gt;"",ISNUMBER(SEARCH(설정!$A$46,K476))),설정!$B$46,IF(AND(설정!$A$47&lt;&gt;"",ISNUMBER(SEARCH(설정!$A$47,K476))),설정!$B$47,IF(AND(설정!$A$48&lt;&gt;"",ISNUMBER(SEARCH(설정!$A$48,K476))),설정!$B$48,IF(M476="","설계사","시공사"))))))))),"")</f>
        <v/>
      </c>
      <c r="V476">
        <f>SUBSTITUTE(SUBSTITUTE(SUBSTITUTE(SUBSTITUTE(G476,"(주)",""),"㈜",""),"주식회사","")," ","")</f>
        <v/>
      </c>
      <c r="W476">
        <f>IF(AND(T476,V476&lt;&gt;""),IF(COUNTIFS(V$2:V476,V476,T$2:T476,TRUE)=1,MAX(W$1:W475)+1,""),"")</f>
        <v/>
      </c>
      <c r="X476">
        <f>IFERROR(INDEX('1.산군_붙여넣기'!$A$1:$AZ$1001,ROW(),설정!$C$14)&amp;"","")</f>
        <v/>
      </c>
      <c r="Y476">
        <f>IFERROR(INDEX('1.산군_붙여넣기'!$A$1:$AZ$1001,ROW(),설정!$C$15)&amp;"","")</f>
        <v/>
      </c>
      <c r="Z476">
        <f>IF(T476,V476&amp;"|"&amp;U476,"")</f>
        <v/>
      </c>
    </row>
    <row r="477">
      <c r="A477">
        <f>ROW()</f>
        <v/>
      </c>
      <c r="B477">
        <f>IFERROR(INDEX('1.산군_붙여넣기'!$A$1:$AZ$1001,ROW(),설정!$C$4)&amp;"","")</f>
        <v/>
      </c>
      <c r="C477">
        <f>IFERROR(INDEX('1.산군_붙여넣기'!$A$1:$AZ$1001,ROW(),설정!$C$5)&amp;"","")</f>
        <v/>
      </c>
      <c r="D477" s="5">
        <f>IFERROR(VALUE(SUBSTITUTE(SUBSTITUTE(SUBSTITUTE(IFERROR(INDEX('1.산군_붙여넣기'!$A$1:$AZ$1001,ROW(),설정!$C$6)&amp;"",""),",",""),"㎡",""),"m2","")),"")</f>
        <v/>
      </c>
      <c r="E477">
        <f>IFERROR(INDEX('1.산군_붙여넣기'!$A$1:$AZ$1001,ROW(),설정!$C$7)&amp;"","")</f>
        <v/>
      </c>
      <c r="F477">
        <f>IFERROR(INDEX('1.산군_붙여넣기'!$A$1:$AZ$1001,ROW(),설정!$C$8)&amp;"","")</f>
        <v/>
      </c>
      <c r="G477">
        <f>IFERROR(INDEX('1.산군_붙여넣기'!$A$1:$AZ$1001,ROW(),설정!$C$9)&amp;"","")</f>
        <v/>
      </c>
      <c r="H477">
        <f>IFERROR(INDEX('1.산군_붙여넣기'!$A$1:$AZ$1001,ROW(),설정!$C$10)&amp;"","")</f>
        <v/>
      </c>
      <c r="I477">
        <f>IFERROR(INDEX('1.산군_붙여넣기'!$A$1:$AZ$1001,ROW(),설정!$C$11)&amp;"","")</f>
        <v/>
      </c>
      <c r="J477">
        <f>IFERROR(INDEX('1.산군_붙여넣기'!$A$1:$AZ$1001,ROW(),설정!$C$12)&amp;"","")</f>
        <v/>
      </c>
      <c r="K477">
        <f>IFERROR(INDEX('1.산군_붙여넣기'!$A$1:$AZ$1001,ROW(),설정!$C$13)&amp;"","")</f>
        <v/>
      </c>
      <c r="L477" s="6">
        <f>IF(X477="","",IF(AND(LEN(X477)=8,ISNUMBER(X477*1)),DATE(LEFT(X477,4),MID(X477,5,2),RIGHT(X477,2)),IFERROR(DATEVALUE(SUBSTITUTE(SUBSTITUTE(X477,".","-"),"/","-")),IFERROR(X477*1,""))))</f>
        <v/>
      </c>
      <c r="M477" s="6">
        <f>IF(Y477="","",IF(AND(LEN(Y477)=8,ISNUMBER(Y477*1)),DATE(LEFT(Y477,4),MID(Y477,5,2),RIGHT(Y477,2)),IFERROR(DATEVALUE(SUBSTITUTE(SUBSTITUTE(Y477,".","-"),"/","-")),IFERROR(Y477*1,""))))</f>
        <v/>
      </c>
      <c r="N477">
        <f>IFERROR(LEFT(B477,FIND(" ",B477)-1),B477)</f>
        <v/>
      </c>
      <c r="O477">
        <f>AND(B477&lt;&gt;"",B477&lt;&gt;설정!$B$4,C477&lt;&gt;설정!$B$5)</f>
        <v/>
      </c>
      <c r="P477">
        <f>IF(O477,B477&amp;"|"&amp;C477,"")</f>
        <v/>
      </c>
      <c r="Q477">
        <f>AND(O477,COUNTIF(P478:P$1002,P477)=0)</f>
        <v/>
      </c>
      <c r="R477">
        <f>OR(AND(설정!$A$28&lt;&gt;"",ISNUMBER(SEARCH(설정!$A$28,E477&amp;" "&amp;C477))),AND(설정!$A$29&lt;&gt;"",ISNUMBER(SEARCH(설정!$A$29,E477&amp;" "&amp;C477))),AND(설정!$A$30&lt;&gt;"",ISNUMBER(SEARCH(설정!$A$30,E477&amp;" "&amp;C477))),AND(설정!$A$31&lt;&gt;"",ISNUMBER(SEARCH(설정!$A$31,E477&amp;" "&amp;C477))),AND(설정!$A$32&lt;&gt;"",ISNUMBER(SEARCH(설정!$A$32,E477&amp;" "&amp;C477))),AND(설정!$A$33&lt;&gt;"",ISNUMBER(SEARCH(설정!$A$33,E477&amp;" "&amp;C477))),AND(설정!$A$34&lt;&gt;"",ISNUMBER(SEARCH(설정!$A$34,E477&amp;" "&amp;C477))),AND(설정!$A$35&lt;&gt;"",ISNUMBER(SEARCH(설정!$A$35,E477&amp;" "&amp;C477))),AND(설정!$A$36&lt;&gt;"",ISNUMBER(SEARCH(설정!$A$36,E477&amp;" "&amp;C477))),AND(설정!$A$37&lt;&gt;"",ISNUMBER(SEARCH(설정!$A$37,E477&amp;" "&amp;C477))))</f>
        <v/>
      </c>
      <c r="S477">
        <f>OR(D477="",D477&gt;=설정!$B$19)</f>
        <v/>
      </c>
      <c r="T477">
        <f>AND(Q477,R477,S477)</f>
        <v/>
      </c>
      <c r="U477">
        <f>IF(T477,IF(AND(설정!$A$41&lt;&gt;"",ISNUMBER(SEARCH(설정!$A$41,K477))),설정!$B$41,IF(AND(설정!$A$42&lt;&gt;"",ISNUMBER(SEARCH(설정!$A$42,K477))),설정!$B$42,IF(AND(설정!$A$43&lt;&gt;"",ISNUMBER(SEARCH(설정!$A$43,K477))),설정!$B$43,IF(AND(설정!$A$44&lt;&gt;"",ISNUMBER(SEARCH(설정!$A$44,K477))),설정!$B$44,IF(AND(설정!$A$45&lt;&gt;"",ISNUMBER(SEARCH(설정!$A$45,K477))),설정!$B$45,IF(AND(설정!$A$46&lt;&gt;"",ISNUMBER(SEARCH(설정!$A$46,K477))),설정!$B$46,IF(AND(설정!$A$47&lt;&gt;"",ISNUMBER(SEARCH(설정!$A$47,K477))),설정!$B$47,IF(AND(설정!$A$48&lt;&gt;"",ISNUMBER(SEARCH(설정!$A$48,K477))),설정!$B$48,IF(M477="","설계사","시공사"))))))))),"")</f>
        <v/>
      </c>
      <c r="V477">
        <f>SUBSTITUTE(SUBSTITUTE(SUBSTITUTE(SUBSTITUTE(G477,"(주)",""),"㈜",""),"주식회사","")," ","")</f>
        <v/>
      </c>
      <c r="W477">
        <f>IF(AND(T477,V477&lt;&gt;""),IF(COUNTIFS(V$2:V477,V477,T$2:T477,TRUE)=1,MAX(W$1:W476)+1,""),"")</f>
        <v/>
      </c>
      <c r="X477">
        <f>IFERROR(INDEX('1.산군_붙여넣기'!$A$1:$AZ$1001,ROW(),설정!$C$14)&amp;"","")</f>
        <v/>
      </c>
      <c r="Y477">
        <f>IFERROR(INDEX('1.산군_붙여넣기'!$A$1:$AZ$1001,ROW(),설정!$C$15)&amp;"","")</f>
        <v/>
      </c>
      <c r="Z477">
        <f>IF(T477,V477&amp;"|"&amp;U477,"")</f>
        <v/>
      </c>
    </row>
    <row r="478">
      <c r="A478">
        <f>ROW()</f>
        <v/>
      </c>
      <c r="B478">
        <f>IFERROR(INDEX('1.산군_붙여넣기'!$A$1:$AZ$1001,ROW(),설정!$C$4)&amp;"","")</f>
        <v/>
      </c>
      <c r="C478">
        <f>IFERROR(INDEX('1.산군_붙여넣기'!$A$1:$AZ$1001,ROW(),설정!$C$5)&amp;"","")</f>
        <v/>
      </c>
      <c r="D478" s="5">
        <f>IFERROR(VALUE(SUBSTITUTE(SUBSTITUTE(SUBSTITUTE(IFERROR(INDEX('1.산군_붙여넣기'!$A$1:$AZ$1001,ROW(),설정!$C$6)&amp;"",""),",",""),"㎡",""),"m2","")),"")</f>
        <v/>
      </c>
      <c r="E478">
        <f>IFERROR(INDEX('1.산군_붙여넣기'!$A$1:$AZ$1001,ROW(),설정!$C$7)&amp;"","")</f>
        <v/>
      </c>
      <c r="F478">
        <f>IFERROR(INDEX('1.산군_붙여넣기'!$A$1:$AZ$1001,ROW(),설정!$C$8)&amp;"","")</f>
        <v/>
      </c>
      <c r="G478">
        <f>IFERROR(INDEX('1.산군_붙여넣기'!$A$1:$AZ$1001,ROW(),설정!$C$9)&amp;"","")</f>
        <v/>
      </c>
      <c r="H478">
        <f>IFERROR(INDEX('1.산군_붙여넣기'!$A$1:$AZ$1001,ROW(),설정!$C$10)&amp;"","")</f>
        <v/>
      </c>
      <c r="I478">
        <f>IFERROR(INDEX('1.산군_붙여넣기'!$A$1:$AZ$1001,ROW(),설정!$C$11)&amp;"","")</f>
        <v/>
      </c>
      <c r="J478">
        <f>IFERROR(INDEX('1.산군_붙여넣기'!$A$1:$AZ$1001,ROW(),설정!$C$12)&amp;"","")</f>
        <v/>
      </c>
      <c r="K478">
        <f>IFERROR(INDEX('1.산군_붙여넣기'!$A$1:$AZ$1001,ROW(),설정!$C$13)&amp;"","")</f>
        <v/>
      </c>
      <c r="L478" s="6">
        <f>IF(X478="","",IF(AND(LEN(X478)=8,ISNUMBER(X478*1)),DATE(LEFT(X478,4),MID(X478,5,2),RIGHT(X478,2)),IFERROR(DATEVALUE(SUBSTITUTE(SUBSTITUTE(X478,".","-"),"/","-")),IFERROR(X478*1,""))))</f>
        <v/>
      </c>
      <c r="M478" s="6">
        <f>IF(Y478="","",IF(AND(LEN(Y478)=8,ISNUMBER(Y478*1)),DATE(LEFT(Y478,4),MID(Y478,5,2),RIGHT(Y478,2)),IFERROR(DATEVALUE(SUBSTITUTE(SUBSTITUTE(Y478,".","-"),"/","-")),IFERROR(Y478*1,""))))</f>
        <v/>
      </c>
      <c r="N478">
        <f>IFERROR(LEFT(B478,FIND(" ",B478)-1),B478)</f>
        <v/>
      </c>
      <c r="O478">
        <f>AND(B478&lt;&gt;"",B478&lt;&gt;설정!$B$4,C478&lt;&gt;설정!$B$5)</f>
        <v/>
      </c>
      <c r="P478">
        <f>IF(O478,B478&amp;"|"&amp;C478,"")</f>
        <v/>
      </c>
      <c r="Q478">
        <f>AND(O478,COUNTIF(P479:P$1002,P478)=0)</f>
        <v/>
      </c>
      <c r="R478">
        <f>OR(AND(설정!$A$28&lt;&gt;"",ISNUMBER(SEARCH(설정!$A$28,E478&amp;" "&amp;C478))),AND(설정!$A$29&lt;&gt;"",ISNUMBER(SEARCH(설정!$A$29,E478&amp;" "&amp;C478))),AND(설정!$A$30&lt;&gt;"",ISNUMBER(SEARCH(설정!$A$30,E478&amp;" "&amp;C478))),AND(설정!$A$31&lt;&gt;"",ISNUMBER(SEARCH(설정!$A$31,E478&amp;" "&amp;C478))),AND(설정!$A$32&lt;&gt;"",ISNUMBER(SEARCH(설정!$A$32,E478&amp;" "&amp;C478))),AND(설정!$A$33&lt;&gt;"",ISNUMBER(SEARCH(설정!$A$33,E478&amp;" "&amp;C478))),AND(설정!$A$34&lt;&gt;"",ISNUMBER(SEARCH(설정!$A$34,E478&amp;" "&amp;C478))),AND(설정!$A$35&lt;&gt;"",ISNUMBER(SEARCH(설정!$A$35,E478&amp;" "&amp;C478))),AND(설정!$A$36&lt;&gt;"",ISNUMBER(SEARCH(설정!$A$36,E478&amp;" "&amp;C478))),AND(설정!$A$37&lt;&gt;"",ISNUMBER(SEARCH(설정!$A$37,E478&amp;" "&amp;C478))))</f>
        <v/>
      </c>
      <c r="S478">
        <f>OR(D478="",D478&gt;=설정!$B$19)</f>
        <v/>
      </c>
      <c r="T478">
        <f>AND(Q478,R478,S478)</f>
        <v/>
      </c>
      <c r="U478">
        <f>IF(T478,IF(AND(설정!$A$41&lt;&gt;"",ISNUMBER(SEARCH(설정!$A$41,K478))),설정!$B$41,IF(AND(설정!$A$42&lt;&gt;"",ISNUMBER(SEARCH(설정!$A$42,K478))),설정!$B$42,IF(AND(설정!$A$43&lt;&gt;"",ISNUMBER(SEARCH(설정!$A$43,K478))),설정!$B$43,IF(AND(설정!$A$44&lt;&gt;"",ISNUMBER(SEARCH(설정!$A$44,K478))),설정!$B$44,IF(AND(설정!$A$45&lt;&gt;"",ISNUMBER(SEARCH(설정!$A$45,K478))),설정!$B$45,IF(AND(설정!$A$46&lt;&gt;"",ISNUMBER(SEARCH(설정!$A$46,K478))),설정!$B$46,IF(AND(설정!$A$47&lt;&gt;"",ISNUMBER(SEARCH(설정!$A$47,K478))),설정!$B$47,IF(AND(설정!$A$48&lt;&gt;"",ISNUMBER(SEARCH(설정!$A$48,K478))),설정!$B$48,IF(M478="","설계사","시공사"))))))))),"")</f>
        <v/>
      </c>
      <c r="V478">
        <f>SUBSTITUTE(SUBSTITUTE(SUBSTITUTE(SUBSTITUTE(G478,"(주)",""),"㈜",""),"주식회사","")," ","")</f>
        <v/>
      </c>
      <c r="W478">
        <f>IF(AND(T478,V478&lt;&gt;""),IF(COUNTIFS(V$2:V478,V478,T$2:T478,TRUE)=1,MAX(W$1:W477)+1,""),"")</f>
        <v/>
      </c>
      <c r="X478">
        <f>IFERROR(INDEX('1.산군_붙여넣기'!$A$1:$AZ$1001,ROW(),설정!$C$14)&amp;"","")</f>
        <v/>
      </c>
      <c r="Y478">
        <f>IFERROR(INDEX('1.산군_붙여넣기'!$A$1:$AZ$1001,ROW(),설정!$C$15)&amp;"","")</f>
        <v/>
      </c>
      <c r="Z478">
        <f>IF(T478,V478&amp;"|"&amp;U478,"")</f>
        <v/>
      </c>
    </row>
    <row r="479">
      <c r="A479">
        <f>ROW()</f>
        <v/>
      </c>
      <c r="B479">
        <f>IFERROR(INDEX('1.산군_붙여넣기'!$A$1:$AZ$1001,ROW(),설정!$C$4)&amp;"","")</f>
        <v/>
      </c>
      <c r="C479">
        <f>IFERROR(INDEX('1.산군_붙여넣기'!$A$1:$AZ$1001,ROW(),설정!$C$5)&amp;"","")</f>
        <v/>
      </c>
      <c r="D479" s="5">
        <f>IFERROR(VALUE(SUBSTITUTE(SUBSTITUTE(SUBSTITUTE(IFERROR(INDEX('1.산군_붙여넣기'!$A$1:$AZ$1001,ROW(),설정!$C$6)&amp;"",""),",",""),"㎡",""),"m2","")),"")</f>
        <v/>
      </c>
      <c r="E479">
        <f>IFERROR(INDEX('1.산군_붙여넣기'!$A$1:$AZ$1001,ROW(),설정!$C$7)&amp;"","")</f>
        <v/>
      </c>
      <c r="F479">
        <f>IFERROR(INDEX('1.산군_붙여넣기'!$A$1:$AZ$1001,ROW(),설정!$C$8)&amp;"","")</f>
        <v/>
      </c>
      <c r="G479">
        <f>IFERROR(INDEX('1.산군_붙여넣기'!$A$1:$AZ$1001,ROW(),설정!$C$9)&amp;"","")</f>
        <v/>
      </c>
      <c r="H479">
        <f>IFERROR(INDEX('1.산군_붙여넣기'!$A$1:$AZ$1001,ROW(),설정!$C$10)&amp;"","")</f>
        <v/>
      </c>
      <c r="I479">
        <f>IFERROR(INDEX('1.산군_붙여넣기'!$A$1:$AZ$1001,ROW(),설정!$C$11)&amp;"","")</f>
        <v/>
      </c>
      <c r="J479">
        <f>IFERROR(INDEX('1.산군_붙여넣기'!$A$1:$AZ$1001,ROW(),설정!$C$12)&amp;"","")</f>
        <v/>
      </c>
      <c r="K479">
        <f>IFERROR(INDEX('1.산군_붙여넣기'!$A$1:$AZ$1001,ROW(),설정!$C$13)&amp;"","")</f>
        <v/>
      </c>
      <c r="L479" s="6">
        <f>IF(X479="","",IF(AND(LEN(X479)=8,ISNUMBER(X479*1)),DATE(LEFT(X479,4),MID(X479,5,2),RIGHT(X479,2)),IFERROR(DATEVALUE(SUBSTITUTE(SUBSTITUTE(X479,".","-"),"/","-")),IFERROR(X479*1,""))))</f>
        <v/>
      </c>
      <c r="M479" s="6">
        <f>IF(Y479="","",IF(AND(LEN(Y479)=8,ISNUMBER(Y479*1)),DATE(LEFT(Y479,4),MID(Y479,5,2),RIGHT(Y479,2)),IFERROR(DATEVALUE(SUBSTITUTE(SUBSTITUTE(Y479,".","-"),"/","-")),IFERROR(Y479*1,""))))</f>
        <v/>
      </c>
      <c r="N479">
        <f>IFERROR(LEFT(B479,FIND(" ",B479)-1),B479)</f>
        <v/>
      </c>
      <c r="O479">
        <f>AND(B479&lt;&gt;"",B479&lt;&gt;설정!$B$4,C479&lt;&gt;설정!$B$5)</f>
        <v/>
      </c>
      <c r="P479">
        <f>IF(O479,B479&amp;"|"&amp;C479,"")</f>
        <v/>
      </c>
      <c r="Q479">
        <f>AND(O479,COUNTIF(P480:P$1002,P479)=0)</f>
        <v/>
      </c>
      <c r="R479">
        <f>OR(AND(설정!$A$28&lt;&gt;"",ISNUMBER(SEARCH(설정!$A$28,E479&amp;" "&amp;C479))),AND(설정!$A$29&lt;&gt;"",ISNUMBER(SEARCH(설정!$A$29,E479&amp;" "&amp;C479))),AND(설정!$A$30&lt;&gt;"",ISNUMBER(SEARCH(설정!$A$30,E479&amp;" "&amp;C479))),AND(설정!$A$31&lt;&gt;"",ISNUMBER(SEARCH(설정!$A$31,E479&amp;" "&amp;C479))),AND(설정!$A$32&lt;&gt;"",ISNUMBER(SEARCH(설정!$A$32,E479&amp;" "&amp;C479))),AND(설정!$A$33&lt;&gt;"",ISNUMBER(SEARCH(설정!$A$33,E479&amp;" "&amp;C479))),AND(설정!$A$34&lt;&gt;"",ISNUMBER(SEARCH(설정!$A$34,E479&amp;" "&amp;C479))),AND(설정!$A$35&lt;&gt;"",ISNUMBER(SEARCH(설정!$A$35,E479&amp;" "&amp;C479))),AND(설정!$A$36&lt;&gt;"",ISNUMBER(SEARCH(설정!$A$36,E479&amp;" "&amp;C479))),AND(설정!$A$37&lt;&gt;"",ISNUMBER(SEARCH(설정!$A$37,E479&amp;" "&amp;C479))))</f>
        <v/>
      </c>
      <c r="S479">
        <f>OR(D479="",D479&gt;=설정!$B$19)</f>
        <v/>
      </c>
      <c r="T479">
        <f>AND(Q479,R479,S479)</f>
        <v/>
      </c>
      <c r="U479">
        <f>IF(T479,IF(AND(설정!$A$41&lt;&gt;"",ISNUMBER(SEARCH(설정!$A$41,K479))),설정!$B$41,IF(AND(설정!$A$42&lt;&gt;"",ISNUMBER(SEARCH(설정!$A$42,K479))),설정!$B$42,IF(AND(설정!$A$43&lt;&gt;"",ISNUMBER(SEARCH(설정!$A$43,K479))),설정!$B$43,IF(AND(설정!$A$44&lt;&gt;"",ISNUMBER(SEARCH(설정!$A$44,K479))),설정!$B$44,IF(AND(설정!$A$45&lt;&gt;"",ISNUMBER(SEARCH(설정!$A$45,K479))),설정!$B$45,IF(AND(설정!$A$46&lt;&gt;"",ISNUMBER(SEARCH(설정!$A$46,K479))),설정!$B$46,IF(AND(설정!$A$47&lt;&gt;"",ISNUMBER(SEARCH(설정!$A$47,K479))),설정!$B$47,IF(AND(설정!$A$48&lt;&gt;"",ISNUMBER(SEARCH(설정!$A$48,K479))),설정!$B$48,IF(M479="","설계사","시공사"))))))))),"")</f>
        <v/>
      </c>
      <c r="V479">
        <f>SUBSTITUTE(SUBSTITUTE(SUBSTITUTE(SUBSTITUTE(G479,"(주)",""),"㈜",""),"주식회사","")," ","")</f>
        <v/>
      </c>
      <c r="W479">
        <f>IF(AND(T479,V479&lt;&gt;""),IF(COUNTIFS(V$2:V479,V479,T$2:T479,TRUE)=1,MAX(W$1:W478)+1,""),"")</f>
        <v/>
      </c>
      <c r="X479">
        <f>IFERROR(INDEX('1.산군_붙여넣기'!$A$1:$AZ$1001,ROW(),설정!$C$14)&amp;"","")</f>
        <v/>
      </c>
      <c r="Y479">
        <f>IFERROR(INDEX('1.산군_붙여넣기'!$A$1:$AZ$1001,ROW(),설정!$C$15)&amp;"","")</f>
        <v/>
      </c>
      <c r="Z479">
        <f>IF(T479,V479&amp;"|"&amp;U479,"")</f>
        <v/>
      </c>
    </row>
    <row r="480">
      <c r="A480">
        <f>ROW()</f>
        <v/>
      </c>
      <c r="B480">
        <f>IFERROR(INDEX('1.산군_붙여넣기'!$A$1:$AZ$1001,ROW(),설정!$C$4)&amp;"","")</f>
        <v/>
      </c>
      <c r="C480">
        <f>IFERROR(INDEX('1.산군_붙여넣기'!$A$1:$AZ$1001,ROW(),설정!$C$5)&amp;"","")</f>
        <v/>
      </c>
      <c r="D480" s="5">
        <f>IFERROR(VALUE(SUBSTITUTE(SUBSTITUTE(SUBSTITUTE(IFERROR(INDEX('1.산군_붙여넣기'!$A$1:$AZ$1001,ROW(),설정!$C$6)&amp;"",""),",",""),"㎡",""),"m2","")),"")</f>
        <v/>
      </c>
      <c r="E480">
        <f>IFERROR(INDEX('1.산군_붙여넣기'!$A$1:$AZ$1001,ROW(),설정!$C$7)&amp;"","")</f>
        <v/>
      </c>
      <c r="F480">
        <f>IFERROR(INDEX('1.산군_붙여넣기'!$A$1:$AZ$1001,ROW(),설정!$C$8)&amp;"","")</f>
        <v/>
      </c>
      <c r="G480">
        <f>IFERROR(INDEX('1.산군_붙여넣기'!$A$1:$AZ$1001,ROW(),설정!$C$9)&amp;"","")</f>
        <v/>
      </c>
      <c r="H480">
        <f>IFERROR(INDEX('1.산군_붙여넣기'!$A$1:$AZ$1001,ROW(),설정!$C$10)&amp;"","")</f>
        <v/>
      </c>
      <c r="I480">
        <f>IFERROR(INDEX('1.산군_붙여넣기'!$A$1:$AZ$1001,ROW(),설정!$C$11)&amp;"","")</f>
        <v/>
      </c>
      <c r="J480">
        <f>IFERROR(INDEX('1.산군_붙여넣기'!$A$1:$AZ$1001,ROW(),설정!$C$12)&amp;"","")</f>
        <v/>
      </c>
      <c r="K480">
        <f>IFERROR(INDEX('1.산군_붙여넣기'!$A$1:$AZ$1001,ROW(),설정!$C$13)&amp;"","")</f>
        <v/>
      </c>
      <c r="L480" s="6">
        <f>IF(X480="","",IF(AND(LEN(X480)=8,ISNUMBER(X480*1)),DATE(LEFT(X480,4),MID(X480,5,2),RIGHT(X480,2)),IFERROR(DATEVALUE(SUBSTITUTE(SUBSTITUTE(X480,".","-"),"/","-")),IFERROR(X480*1,""))))</f>
        <v/>
      </c>
      <c r="M480" s="6">
        <f>IF(Y480="","",IF(AND(LEN(Y480)=8,ISNUMBER(Y480*1)),DATE(LEFT(Y480,4),MID(Y480,5,2),RIGHT(Y480,2)),IFERROR(DATEVALUE(SUBSTITUTE(SUBSTITUTE(Y480,".","-"),"/","-")),IFERROR(Y480*1,""))))</f>
        <v/>
      </c>
      <c r="N480">
        <f>IFERROR(LEFT(B480,FIND(" ",B480)-1),B480)</f>
        <v/>
      </c>
      <c r="O480">
        <f>AND(B480&lt;&gt;"",B480&lt;&gt;설정!$B$4,C480&lt;&gt;설정!$B$5)</f>
        <v/>
      </c>
      <c r="P480">
        <f>IF(O480,B480&amp;"|"&amp;C480,"")</f>
        <v/>
      </c>
      <c r="Q480">
        <f>AND(O480,COUNTIF(P481:P$1002,P480)=0)</f>
        <v/>
      </c>
      <c r="R480">
        <f>OR(AND(설정!$A$28&lt;&gt;"",ISNUMBER(SEARCH(설정!$A$28,E480&amp;" "&amp;C480))),AND(설정!$A$29&lt;&gt;"",ISNUMBER(SEARCH(설정!$A$29,E480&amp;" "&amp;C480))),AND(설정!$A$30&lt;&gt;"",ISNUMBER(SEARCH(설정!$A$30,E480&amp;" "&amp;C480))),AND(설정!$A$31&lt;&gt;"",ISNUMBER(SEARCH(설정!$A$31,E480&amp;" "&amp;C480))),AND(설정!$A$32&lt;&gt;"",ISNUMBER(SEARCH(설정!$A$32,E480&amp;" "&amp;C480))),AND(설정!$A$33&lt;&gt;"",ISNUMBER(SEARCH(설정!$A$33,E480&amp;" "&amp;C480))),AND(설정!$A$34&lt;&gt;"",ISNUMBER(SEARCH(설정!$A$34,E480&amp;" "&amp;C480))),AND(설정!$A$35&lt;&gt;"",ISNUMBER(SEARCH(설정!$A$35,E480&amp;" "&amp;C480))),AND(설정!$A$36&lt;&gt;"",ISNUMBER(SEARCH(설정!$A$36,E480&amp;" "&amp;C480))),AND(설정!$A$37&lt;&gt;"",ISNUMBER(SEARCH(설정!$A$37,E480&amp;" "&amp;C480))))</f>
        <v/>
      </c>
      <c r="S480">
        <f>OR(D480="",D480&gt;=설정!$B$19)</f>
        <v/>
      </c>
      <c r="T480">
        <f>AND(Q480,R480,S480)</f>
        <v/>
      </c>
      <c r="U480">
        <f>IF(T480,IF(AND(설정!$A$41&lt;&gt;"",ISNUMBER(SEARCH(설정!$A$41,K480))),설정!$B$41,IF(AND(설정!$A$42&lt;&gt;"",ISNUMBER(SEARCH(설정!$A$42,K480))),설정!$B$42,IF(AND(설정!$A$43&lt;&gt;"",ISNUMBER(SEARCH(설정!$A$43,K480))),설정!$B$43,IF(AND(설정!$A$44&lt;&gt;"",ISNUMBER(SEARCH(설정!$A$44,K480))),설정!$B$44,IF(AND(설정!$A$45&lt;&gt;"",ISNUMBER(SEARCH(설정!$A$45,K480))),설정!$B$45,IF(AND(설정!$A$46&lt;&gt;"",ISNUMBER(SEARCH(설정!$A$46,K480))),설정!$B$46,IF(AND(설정!$A$47&lt;&gt;"",ISNUMBER(SEARCH(설정!$A$47,K480))),설정!$B$47,IF(AND(설정!$A$48&lt;&gt;"",ISNUMBER(SEARCH(설정!$A$48,K480))),설정!$B$48,IF(M480="","설계사","시공사"))))))))),"")</f>
        <v/>
      </c>
      <c r="V480">
        <f>SUBSTITUTE(SUBSTITUTE(SUBSTITUTE(SUBSTITUTE(G480,"(주)",""),"㈜",""),"주식회사","")," ","")</f>
        <v/>
      </c>
      <c r="W480">
        <f>IF(AND(T480,V480&lt;&gt;""),IF(COUNTIFS(V$2:V480,V480,T$2:T480,TRUE)=1,MAX(W$1:W479)+1,""),"")</f>
        <v/>
      </c>
      <c r="X480">
        <f>IFERROR(INDEX('1.산군_붙여넣기'!$A$1:$AZ$1001,ROW(),설정!$C$14)&amp;"","")</f>
        <v/>
      </c>
      <c r="Y480">
        <f>IFERROR(INDEX('1.산군_붙여넣기'!$A$1:$AZ$1001,ROW(),설정!$C$15)&amp;"","")</f>
        <v/>
      </c>
      <c r="Z480">
        <f>IF(T480,V480&amp;"|"&amp;U480,"")</f>
        <v/>
      </c>
    </row>
    <row r="481">
      <c r="A481">
        <f>ROW()</f>
        <v/>
      </c>
      <c r="B481">
        <f>IFERROR(INDEX('1.산군_붙여넣기'!$A$1:$AZ$1001,ROW(),설정!$C$4)&amp;"","")</f>
        <v/>
      </c>
      <c r="C481">
        <f>IFERROR(INDEX('1.산군_붙여넣기'!$A$1:$AZ$1001,ROW(),설정!$C$5)&amp;"","")</f>
        <v/>
      </c>
      <c r="D481" s="5">
        <f>IFERROR(VALUE(SUBSTITUTE(SUBSTITUTE(SUBSTITUTE(IFERROR(INDEX('1.산군_붙여넣기'!$A$1:$AZ$1001,ROW(),설정!$C$6)&amp;"",""),",",""),"㎡",""),"m2","")),"")</f>
        <v/>
      </c>
      <c r="E481">
        <f>IFERROR(INDEX('1.산군_붙여넣기'!$A$1:$AZ$1001,ROW(),설정!$C$7)&amp;"","")</f>
        <v/>
      </c>
      <c r="F481">
        <f>IFERROR(INDEX('1.산군_붙여넣기'!$A$1:$AZ$1001,ROW(),설정!$C$8)&amp;"","")</f>
        <v/>
      </c>
      <c r="G481">
        <f>IFERROR(INDEX('1.산군_붙여넣기'!$A$1:$AZ$1001,ROW(),설정!$C$9)&amp;"","")</f>
        <v/>
      </c>
      <c r="H481">
        <f>IFERROR(INDEX('1.산군_붙여넣기'!$A$1:$AZ$1001,ROW(),설정!$C$10)&amp;"","")</f>
        <v/>
      </c>
      <c r="I481">
        <f>IFERROR(INDEX('1.산군_붙여넣기'!$A$1:$AZ$1001,ROW(),설정!$C$11)&amp;"","")</f>
        <v/>
      </c>
      <c r="J481">
        <f>IFERROR(INDEX('1.산군_붙여넣기'!$A$1:$AZ$1001,ROW(),설정!$C$12)&amp;"","")</f>
        <v/>
      </c>
      <c r="K481">
        <f>IFERROR(INDEX('1.산군_붙여넣기'!$A$1:$AZ$1001,ROW(),설정!$C$13)&amp;"","")</f>
        <v/>
      </c>
      <c r="L481" s="6">
        <f>IF(X481="","",IF(AND(LEN(X481)=8,ISNUMBER(X481*1)),DATE(LEFT(X481,4),MID(X481,5,2),RIGHT(X481,2)),IFERROR(DATEVALUE(SUBSTITUTE(SUBSTITUTE(X481,".","-"),"/","-")),IFERROR(X481*1,""))))</f>
        <v/>
      </c>
      <c r="M481" s="6">
        <f>IF(Y481="","",IF(AND(LEN(Y481)=8,ISNUMBER(Y481*1)),DATE(LEFT(Y481,4),MID(Y481,5,2),RIGHT(Y481,2)),IFERROR(DATEVALUE(SUBSTITUTE(SUBSTITUTE(Y481,".","-"),"/","-")),IFERROR(Y481*1,""))))</f>
        <v/>
      </c>
      <c r="N481">
        <f>IFERROR(LEFT(B481,FIND(" ",B481)-1),B481)</f>
        <v/>
      </c>
      <c r="O481">
        <f>AND(B481&lt;&gt;"",B481&lt;&gt;설정!$B$4,C481&lt;&gt;설정!$B$5)</f>
        <v/>
      </c>
      <c r="P481">
        <f>IF(O481,B481&amp;"|"&amp;C481,"")</f>
        <v/>
      </c>
      <c r="Q481">
        <f>AND(O481,COUNTIF(P482:P$1002,P481)=0)</f>
        <v/>
      </c>
      <c r="R481">
        <f>OR(AND(설정!$A$28&lt;&gt;"",ISNUMBER(SEARCH(설정!$A$28,E481&amp;" "&amp;C481))),AND(설정!$A$29&lt;&gt;"",ISNUMBER(SEARCH(설정!$A$29,E481&amp;" "&amp;C481))),AND(설정!$A$30&lt;&gt;"",ISNUMBER(SEARCH(설정!$A$30,E481&amp;" "&amp;C481))),AND(설정!$A$31&lt;&gt;"",ISNUMBER(SEARCH(설정!$A$31,E481&amp;" "&amp;C481))),AND(설정!$A$32&lt;&gt;"",ISNUMBER(SEARCH(설정!$A$32,E481&amp;" "&amp;C481))),AND(설정!$A$33&lt;&gt;"",ISNUMBER(SEARCH(설정!$A$33,E481&amp;" "&amp;C481))),AND(설정!$A$34&lt;&gt;"",ISNUMBER(SEARCH(설정!$A$34,E481&amp;" "&amp;C481))),AND(설정!$A$35&lt;&gt;"",ISNUMBER(SEARCH(설정!$A$35,E481&amp;" "&amp;C481))),AND(설정!$A$36&lt;&gt;"",ISNUMBER(SEARCH(설정!$A$36,E481&amp;" "&amp;C481))),AND(설정!$A$37&lt;&gt;"",ISNUMBER(SEARCH(설정!$A$37,E481&amp;" "&amp;C481))))</f>
        <v/>
      </c>
      <c r="S481">
        <f>OR(D481="",D481&gt;=설정!$B$19)</f>
        <v/>
      </c>
      <c r="T481">
        <f>AND(Q481,R481,S481)</f>
        <v/>
      </c>
      <c r="U481">
        <f>IF(T481,IF(AND(설정!$A$41&lt;&gt;"",ISNUMBER(SEARCH(설정!$A$41,K481))),설정!$B$41,IF(AND(설정!$A$42&lt;&gt;"",ISNUMBER(SEARCH(설정!$A$42,K481))),설정!$B$42,IF(AND(설정!$A$43&lt;&gt;"",ISNUMBER(SEARCH(설정!$A$43,K481))),설정!$B$43,IF(AND(설정!$A$44&lt;&gt;"",ISNUMBER(SEARCH(설정!$A$44,K481))),설정!$B$44,IF(AND(설정!$A$45&lt;&gt;"",ISNUMBER(SEARCH(설정!$A$45,K481))),설정!$B$45,IF(AND(설정!$A$46&lt;&gt;"",ISNUMBER(SEARCH(설정!$A$46,K481))),설정!$B$46,IF(AND(설정!$A$47&lt;&gt;"",ISNUMBER(SEARCH(설정!$A$47,K481))),설정!$B$47,IF(AND(설정!$A$48&lt;&gt;"",ISNUMBER(SEARCH(설정!$A$48,K481))),설정!$B$48,IF(M481="","설계사","시공사"))))))))),"")</f>
        <v/>
      </c>
      <c r="V481">
        <f>SUBSTITUTE(SUBSTITUTE(SUBSTITUTE(SUBSTITUTE(G481,"(주)",""),"㈜",""),"주식회사","")," ","")</f>
        <v/>
      </c>
      <c r="W481">
        <f>IF(AND(T481,V481&lt;&gt;""),IF(COUNTIFS(V$2:V481,V481,T$2:T481,TRUE)=1,MAX(W$1:W480)+1,""),"")</f>
        <v/>
      </c>
      <c r="X481">
        <f>IFERROR(INDEX('1.산군_붙여넣기'!$A$1:$AZ$1001,ROW(),설정!$C$14)&amp;"","")</f>
        <v/>
      </c>
      <c r="Y481">
        <f>IFERROR(INDEX('1.산군_붙여넣기'!$A$1:$AZ$1001,ROW(),설정!$C$15)&amp;"","")</f>
        <v/>
      </c>
      <c r="Z481">
        <f>IF(T481,V481&amp;"|"&amp;U481,"")</f>
        <v/>
      </c>
    </row>
    <row r="482">
      <c r="A482">
        <f>ROW()</f>
        <v/>
      </c>
      <c r="B482">
        <f>IFERROR(INDEX('1.산군_붙여넣기'!$A$1:$AZ$1001,ROW(),설정!$C$4)&amp;"","")</f>
        <v/>
      </c>
      <c r="C482">
        <f>IFERROR(INDEX('1.산군_붙여넣기'!$A$1:$AZ$1001,ROW(),설정!$C$5)&amp;"","")</f>
        <v/>
      </c>
      <c r="D482" s="5">
        <f>IFERROR(VALUE(SUBSTITUTE(SUBSTITUTE(SUBSTITUTE(IFERROR(INDEX('1.산군_붙여넣기'!$A$1:$AZ$1001,ROW(),설정!$C$6)&amp;"",""),",",""),"㎡",""),"m2","")),"")</f>
        <v/>
      </c>
      <c r="E482">
        <f>IFERROR(INDEX('1.산군_붙여넣기'!$A$1:$AZ$1001,ROW(),설정!$C$7)&amp;"","")</f>
        <v/>
      </c>
      <c r="F482">
        <f>IFERROR(INDEX('1.산군_붙여넣기'!$A$1:$AZ$1001,ROW(),설정!$C$8)&amp;"","")</f>
        <v/>
      </c>
      <c r="G482">
        <f>IFERROR(INDEX('1.산군_붙여넣기'!$A$1:$AZ$1001,ROW(),설정!$C$9)&amp;"","")</f>
        <v/>
      </c>
      <c r="H482">
        <f>IFERROR(INDEX('1.산군_붙여넣기'!$A$1:$AZ$1001,ROW(),설정!$C$10)&amp;"","")</f>
        <v/>
      </c>
      <c r="I482">
        <f>IFERROR(INDEX('1.산군_붙여넣기'!$A$1:$AZ$1001,ROW(),설정!$C$11)&amp;"","")</f>
        <v/>
      </c>
      <c r="J482">
        <f>IFERROR(INDEX('1.산군_붙여넣기'!$A$1:$AZ$1001,ROW(),설정!$C$12)&amp;"","")</f>
        <v/>
      </c>
      <c r="K482">
        <f>IFERROR(INDEX('1.산군_붙여넣기'!$A$1:$AZ$1001,ROW(),설정!$C$13)&amp;"","")</f>
        <v/>
      </c>
      <c r="L482" s="6">
        <f>IF(X482="","",IF(AND(LEN(X482)=8,ISNUMBER(X482*1)),DATE(LEFT(X482,4),MID(X482,5,2),RIGHT(X482,2)),IFERROR(DATEVALUE(SUBSTITUTE(SUBSTITUTE(X482,".","-"),"/","-")),IFERROR(X482*1,""))))</f>
        <v/>
      </c>
      <c r="M482" s="6">
        <f>IF(Y482="","",IF(AND(LEN(Y482)=8,ISNUMBER(Y482*1)),DATE(LEFT(Y482,4),MID(Y482,5,2),RIGHT(Y482,2)),IFERROR(DATEVALUE(SUBSTITUTE(SUBSTITUTE(Y482,".","-"),"/","-")),IFERROR(Y482*1,""))))</f>
        <v/>
      </c>
      <c r="N482">
        <f>IFERROR(LEFT(B482,FIND(" ",B482)-1),B482)</f>
        <v/>
      </c>
      <c r="O482">
        <f>AND(B482&lt;&gt;"",B482&lt;&gt;설정!$B$4,C482&lt;&gt;설정!$B$5)</f>
        <v/>
      </c>
      <c r="P482">
        <f>IF(O482,B482&amp;"|"&amp;C482,"")</f>
        <v/>
      </c>
      <c r="Q482">
        <f>AND(O482,COUNTIF(P483:P$1002,P482)=0)</f>
        <v/>
      </c>
      <c r="R482">
        <f>OR(AND(설정!$A$28&lt;&gt;"",ISNUMBER(SEARCH(설정!$A$28,E482&amp;" "&amp;C482))),AND(설정!$A$29&lt;&gt;"",ISNUMBER(SEARCH(설정!$A$29,E482&amp;" "&amp;C482))),AND(설정!$A$30&lt;&gt;"",ISNUMBER(SEARCH(설정!$A$30,E482&amp;" "&amp;C482))),AND(설정!$A$31&lt;&gt;"",ISNUMBER(SEARCH(설정!$A$31,E482&amp;" "&amp;C482))),AND(설정!$A$32&lt;&gt;"",ISNUMBER(SEARCH(설정!$A$32,E482&amp;" "&amp;C482))),AND(설정!$A$33&lt;&gt;"",ISNUMBER(SEARCH(설정!$A$33,E482&amp;" "&amp;C482))),AND(설정!$A$34&lt;&gt;"",ISNUMBER(SEARCH(설정!$A$34,E482&amp;" "&amp;C482))),AND(설정!$A$35&lt;&gt;"",ISNUMBER(SEARCH(설정!$A$35,E482&amp;" "&amp;C482))),AND(설정!$A$36&lt;&gt;"",ISNUMBER(SEARCH(설정!$A$36,E482&amp;" "&amp;C482))),AND(설정!$A$37&lt;&gt;"",ISNUMBER(SEARCH(설정!$A$37,E482&amp;" "&amp;C482))))</f>
        <v/>
      </c>
      <c r="S482">
        <f>OR(D482="",D482&gt;=설정!$B$19)</f>
        <v/>
      </c>
      <c r="T482">
        <f>AND(Q482,R482,S482)</f>
        <v/>
      </c>
      <c r="U482">
        <f>IF(T482,IF(AND(설정!$A$41&lt;&gt;"",ISNUMBER(SEARCH(설정!$A$41,K482))),설정!$B$41,IF(AND(설정!$A$42&lt;&gt;"",ISNUMBER(SEARCH(설정!$A$42,K482))),설정!$B$42,IF(AND(설정!$A$43&lt;&gt;"",ISNUMBER(SEARCH(설정!$A$43,K482))),설정!$B$43,IF(AND(설정!$A$44&lt;&gt;"",ISNUMBER(SEARCH(설정!$A$44,K482))),설정!$B$44,IF(AND(설정!$A$45&lt;&gt;"",ISNUMBER(SEARCH(설정!$A$45,K482))),설정!$B$45,IF(AND(설정!$A$46&lt;&gt;"",ISNUMBER(SEARCH(설정!$A$46,K482))),설정!$B$46,IF(AND(설정!$A$47&lt;&gt;"",ISNUMBER(SEARCH(설정!$A$47,K482))),설정!$B$47,IF(AND(설정!$A$48&lt;&gt;"",ISNUMBER(SEARCH(설정!$A$48,K482))),설정!$B$48,IF(M482="","설계사","시공사"))))))))),"")</f>
        <v/>
      </c>
      <c r="V482">
        <f>SUBSTITUTE(SUBSTITUTE(SUBSTITUTE(SUBSTITUTE(G482,"(주)",""),"㈜",""),"주식회사","")," ","")</f>
        <v/>
      </c>
      <c r="W482">
        <f>IF(AND(T482,V482&lt;&gt;""),IF(COUNTIFS(V$2:V482,V482,T$2:T482,TRUE)=1,MAX(W$1:W481)+1,""),"")</f>
        <v/>
      </c>
      <c r="X482">
        <f>IFERROR(INDEX('1.산군_붙여넣기'!$A$1:$AZ$1001,ROW(),설정!$C$14)&amp;"","")</f>
        <v/>
      </c>
      <c r="Y482">
        <f>IFERROR(INDEX('1.산군_붙여넣기'!$A$1:$AZ$1001,ROW(),설정!$C$15)&amp;"","")</f>
        <v/>
      </c>
      <c r="Z482">
        <f>IF(T482,V482&amp;"|"&amp;U482,"")</f>
        <v/>
      </c>
    </row>
    <row r="483">
      <c r="A483">
        <f>ROW()</f>
        <v/>
      </c>
      <c r="B483">
        <f>IFERROR(INDEX('1.산군_붙여넣기'!$A$1:$AZ$1001,ROW(),설정!$C$4)&amp;"","")</f>
        <v/>
      </c>
      <c r="C483">
        <f>IFERROR(INDEX('1.산군_붙여넣기'!$A$1:$AZ$1001,ROW(),설정!$C$5)&amp;"","")</f>
        <v/>
      </c>
      <c r="D483" s="5">
        <f>IFERROR(VALUE(SUBSTITUTE(SUBSTITUTE(SUBSTITUTE(IFERROR(INDEX('1.산군_붙여넣기'!$A$1:$AZ$1001,ROW(),설정!$C$6)&amp;"",""),",",""),"㎡",""),"m2","")),"")</f>
        <v/>
      </c>
      <c r="E483">
        <f>IFERROR(INDEX('1.산군_붙여넣기'!$A$1:$AZ$1001,ROW(),설정!$C$7)&amp;"","")</f>
        <v/>
      </c>
      <c r="F483">
        <f>IFERROR(INDEX('1.산군_붙여넣기'!$A$1:$AZ$1001,ROW(),설정!$C$8)&amp;"","")</f>
        <v/>
      </c>
      <c r="G483">
        <f>IFERROR(INDEX('1.산군_붙여넣기'!$A$1:$AZ$1001,ROW(),설정!$C$9)&amp;"","")</f>
        <v/>
      </c>
      <c r="H483">
        <f>IFERROR(INDEX('1.산군_붙여넣기'!$A$1:$AZ$1001,ROW(),설정!$C$10)&amp;"","")</f>
        <v/>
      </c>
      <c r="I483">
        <f>IFERROR(INDEX('1.산군_붙여넣기'!$A$1:$AZ$1001,ROW(),설정!$C$11)&amp;"","")</f>
        <v/>
      </c>
      <c r="J483">
        <f>IFERROR(INDEX('1.산군_붙여넣기'!$A$1:$AZ$1001,ROW(),설정!$C$12)&amp;"","")</f>
        <v/>
      </c>
      <c r="K483">
        <f>IFERROR(INDEX('1.산군_붙여넣기'!$A$1:$AZ$1001,ROW(),설정!$C$13)&amp;"","")</f>
        <v/>
      </c>
      <c r="L483" s="6">
        <f>IF(X483="","",IF(AND(LEN(X483)=8,ISNUMBER(X483*1)),DATE(LEFT(X483,4),MID(X483,5,2),RIGHT(X483,2)),IFERROR(DATEVALUE(SUBSTITUTE(SUBSTITUTE(X483,".","-"),"/","-")),IFERROR(X483*1,""))))</f>
        <v/>
      </c>
      <c r="M483" s="6">
        <f>IF(Y483="","",IF(AND(LEN(Y483)=8,ISNUMBER(Y483*1)),DATE(LEFT(Y483,4),MID(Y483,5,2),RIGHT(Y483,2)),IFERROR(DATEVALUE(SUBSTITUTE(SUBSTITUTE(Y483,".","-"),"/","-")),IFERROR(Y483*1,""))))</f>
        <v/>
      </c>
      <c r="N483">
        <f>IFERROR(LEFT(B483,FIND(" ",B483)-1),B483)</f>
        <v/>
      </c>
      <c r="O483">
        <f>AND(B483&lt;&gt;"",B483&lt;&gt;설정!$B$4,C483&lt;&gt;설정!$B$5)</f>
        <v/>
      </c>
      <c r="P483">
        <f>IF(O483,B483&amp;"|"&amp;C483,"")</f>
        <v/>
      </c>
      <c r="Q483">
        <f>AND(O483,COUNTIF(P484:P$1002,P483)=0)</f>
        <v/>
      </c>
      <c r="R483">
        <f>OR(AND(설정!$A$28&lt;&gt;"",ISNUMBER(SEARCH(설정!$A$28,E483&amp;" "&amp;C483))),AND(설정!$A$29&lt;&gt;"",ISNUMBER(SEARCH(설정!$A$29,E483&amp;" "&amp;C483))),AND(설정!$A$30&lt;&gt;"",ISNUMBER(SEARCH(설정!$A$30,E483&amp;" "&amp;C483))),AND(설정!$A$31&lt;&gt;"",ISNUMBER(SEARCH(설정!$A$31,E483&amp;" "&amp;C483))),AND(설정!$A$32&lt;&gt;"",ISNUMBER(SEARCH(설정!$A$32,E483&amp;" "&amp;C483))),AND(설정!$A$33&lt;&gt;"",ISNUMBER(SEARCH(설정!$A$33,E483&amp;" "&amp;C483))),AND(설정!$A$34&lt;&gt;"",ISNUMBER(SEARCH(설정!$A$34,E483&amp;" "&amp;C483))),AND(설정!$A$35&lt;&gt;"",ISNUMBER(SEARCH(설정!$A$35,E483&amp;" "&amp;C483))),AND(설정!$A$36&lt;&gt;"",ISNUMBER(SEARCH(설정!$A$36,E483&amp;" "&amp;C483))),AND(설정!$A$37&lt;&gt;"",ISNUMBER(SEARCH(설정!$A$37,E483&amp;" "&amp;C483))))</f>
        <v/>
      </c>
      <c r="S483">
        <f>OR(D483="",D483&gt;=설정!$B$19)</f>
        <v/>
      </c>
      <c r="T483">
        <f>AND(Q483,R483,S483)</f>
        <v/>
      </c>
      <c r="U483">
        <f>IF(T483,IF(AND(설정!$A$41&lt;&gt;"",ISNUMBER(SEARCH(설정!$A$41,K483))),설정!$B$41,IF(AND(설정!$A$42&lt;&gt;"",ISNUMBER(SEARCH(설정!$A$42,K483))),설정!$B$42,IF(AND(설정!$A$43&lt;&gt;"",ISNUMBER(SEARCH(설정!$A$43,K483))),설정!$B$43,IF(AND(설정!$A$44&lt;&gt;"",ISNUMBER(SEARCH(설정!$A$44,K483))),설정!$B$44,IF(AND(설정!$A$45&lt;&gt;"",ISNUMBER(SEARCH(설정!$A$45,K483))),설정!$B$45,IF(AND(설정!$A$46&lt;&gt;"",ISNUMBER(SEARCH(설정!$A$46,K483))),설정!$B$46,IF(AND(설정!$A$47&lt;&gt;"",ISNUMBER(SEARCH(설정!$A$47,K483))),설정!$B$47,IF(AND(설정!$A$48&lt;&gt;"",ISNUMBER(SEARCH(설정!$A$48,K483))),설정!$B$48,IF(M483="","설계사","시공사"))))))))),"")</f>
        <v/>
      </c>
      <c r="V483">
        <f>SUBSTITUTE(SUBSTITUTE(SUBSTITUTE(SUBSTITUTE(G483,"(주)",""),"㈜",""),"주식회사","")," ","")</f>
        <v/>
      </c>
      <c r="W483">
        <f>IF(AND(T483,V483&lt;&gt;""),IF(COUNTIFS(V$2:V483,V483,T$2:T483,TRUE)=1,MAX(W$1:W482)+1,""),"")</f>
        <v/>
      </c>
      <c r="X483">
        <f>IFERROR(INDEX('1.산군_붙여넣기'!$A$1:$AZ$1001,ROW(),설정!$C$14)&amp;"","")</f>
        <v/>
      </c>
      <c r="Y483">
        <f>IFERROR(INDEX('1.산군_붙여넣기'!$A$1:$AZ$1001,ROW(),설정!$C$15)&amp;"","")</f>
        <v/>
      </c>
      <c r="Z483">
        <f>IF(T483,V483&amp;"|"&amp;U483,"")</f>
        <v/>
      </c>
    </row>
    <row r="484">
      <c r="A484">
        <f>ROW()</f>
        <v/>
      </c>
      <c r="B484">
        <f>IFERROR(INDEX('1.산군_붙여넣기'!$A$1:$AZ$1001,ROW(),설정!$C$4)&amp;"","")</f>
        <v/>
      </c>
      <c r="C484">
        <f>IFERROR(INDEX('1.산군_붙여넣기'!$A$1:$AZ$1001,ROW(),설정!$C$5)&amp;"","")</f>
        <v/>
      </c>
      <c r="D484" s="5">
        <f>IFERROR(VALUE(SUBSTITUTE(SUBSTITUTE(SUBSTITUTE(IFERROR(INDEX('1.산군_붙여넣기'!$A$1:$AZ$1001,ROW(),설정!$C$6)&amp;"",""),",",""),"㎡",""),"m2","")),"")</f>
        <v/>
      </c>
      <c r="E484">
        <f>IFERROR(INDEX('1.산군_붙여넣기'!$A$1:$AZ$1001,ROW(),설정!$C$7)&amp;"","")</f>
        <v/>
      </c>
      <c r="F484">
        <f>IFERROR(INDEX('1.산군_붙여넣기'!$A$1:$AZ$1001,ROW(),설정!$C$8)&amp;"","")</f>
        <v/>
      </c>
      <c r="G484">
        <f>IFERROR(INDEX('1.산군_붙여넣기'!$A$1:$AZ$1001,ROW(),설정!$C$9)&amp;"","")</f>
        <v/>
      </c>
      <c r="H484">
        <f>IFERROR(INDEX('1.산군_붙여넣기'!$A$1:$AZ$1001,ROW(),설정!$C$10)&amp;"","")</f>
        <v/>
      </c>
      <c r="I484">
        <f>IFERROR(INDEX('1.산군_붙여넣기'!$A$1:$AZ$1001,ROW(),설정!$C$11)&amp;"","")</f>
        <v/>
      </c>
      <c r="J484">
        <f>IFERROR(INDEX('1.산군_붙여넣기'!$A$1:$AZ$1001,ROW(),설정!$C$12)&amp;"","")</f>
        <v/>
      </c>
      <c r="K484">
        <f>IFERROR(INDEX('1.산군_붙여넣기'!$A$1:$AZ$1001,ROW(),설정!$C$13)&amp;"","")</f>
        <v/>
      </c>
      <c r="L484" s="6">
        <f>IF(X484="","",IF(AND(LEN(X484)=8,ISNUMBER(X484*1)),DATE(LEFT(X484,4),MID(X484,5,2),RIGHT(X484,2)),IFERROR(DATEVALUE(SUBSTITUTE(SUBSTITUTE(X484,".","-"),"/","-")),IFERROR(X484*1,""))))</f>
        <v/>
      </c>
      <c r="M484" s="6">
        <f>IF(Y484="","",IF(AND(LEN(Y484)=8,ISNUMBER(Y484*1)),DATE(LEFT(Y484,4),MID(Y484,5,2),RIGHT(Y484,2)),IFERROR(DATEVALUE(SUBSTITUTE(SUBSTITUTE(Y484,".","-"),"/","-")),IFERROR(Y484*1,""))))</f>
        <v/>
      </c>
      <c r="N484">
        <f>IFERROR(LEFT(B484,FIND(" ",B484)-1),B484)</f>
        <v/>
      </c>
      <c r="O484">
        <f>AND(B484&lt;&gt;"",B484&lt;&gt;설정!$B$4,C484&lt;&gt;설정!$B$5)</f>
        <v/>
      </c>
      <c r="P484">
        <f>IF(O484,B484&amp;"|"&amp;C484,"")</f>
        <v/>
      </c>
      <c r="Q484">
        <f>AND(O484,COUNTIF(P485:P$1002,P484)=0)</f>
        <v/>
      </c>
      <c r="R484">
        <f>OR(AND(설정!$A$28&lt;&gt;"",ISNUMBER(SEARCH(설정!$A$28,E484&amp;" "&amp;C484))),AND(설정!$A$29&lt;&gt;"",ISNUMBER(SEARCH(설정!$A$29,E484&amp;" "&amp;C484))),AND(설정!$A$30&lt;&gt;"",ISNUMBER(SEARCH(설정!$A$30,E484&amp;" "&amp;C484))),AND(설정!$A$31&lt;&gt;"",ISNUMBER(SEARCH(설정!$A$31,E484&amp;" "&amp;C484))),AND(설정!$A$32&lt;&gt;"",ISNUMBER(SEARCH(설정!$A$32,E484&amp;" "&amp;C484))),AND(설정!$A$33&lt;&gt;"",ISNUMBER(SEARCH(설정!$A$33,E484&amp;" "&amp;C484))),AND(설정!$A$34&lt;&gt;"",ISNUMBER(SEARCH(설정!$A$34,E484&amp;" "&amp;C484))),AND(설정!$A$35&lt;&gt;"",ISNUMBER(SEARCH(설정!$A$35,E484&amp;" "&amp;C484))),AND(설정!$A$36&lt;&gt;"",ISNUMBER(SEARCH(설정!$A$36,E484&amp;" "&amp;C484))),AND(설정!$A$37&lt;&gt;"",ISNUMBER(SEARCH(설정!$A$37,E484&amp;" "&amp;C484))))</f>
        <v/>
      </c>
      <c r="S484">
        <f>OR(D484="",D484&gt;=설정!$B$19)</f>
        <v/>
      </c>
      <c r="T484">
        <f>AND(Q484,R484,S484)</f>
        <v/>
      </c>
      <c r="U484">
        <f>IF(T484,IF(AND(설정!$A$41&lt;&gt;"",ISNUMBER(SEARCH(설정!$A$41,K484))),설정!$B$41,IF(AND(설정!$A$42&lt;&gt;"",ISNUMBER(SEARCH(설정!$A$42,K484))),설정!$B$42,IF(AND(설정!$A$43&lt;&gt;"",ISNUMBER(SEARCH(설정!$A$43,K484))),설정!$B$43,IF(AND(설정!$A$44&lt;&gt;"",ISNUMBER(SEARCH(설정!$A$44,K484))),설정!$B$44,IF(AND(설정!$A$45&lt;&gt;"",ISNUMBER(SEARCH(설정!$A$45,K484))),설정!$B$45,IF(AND(설정!$A$46&lt;&gt;"",ISNUMBER(SEARCH(설정!$A$46,K484))),설정!$B$46,IF(AND(설정!$A$47&lt;&gt;"",ISNUMBER(SEARCH(설정!$A$47,K484))),설정!$B$47,IF(AND(설정!$A$48&lt;&gt;"",ISNUMBER(SEARCH(설정!$A$48,K484))),설정!$B$48,IF(M484="","설계사","시공사"))))))))),"")</f>
        <v/>
      </c>
      <c r="V484">
        <f>SUBSTITUTE(SUBSTITUTE(SUBSTITUTE(SUBSTITUTE(G484,"(주)",""),"㈜",""),"주식회사","")," ","")</f>
        <v/>
      </c>
      <c r="W484">
        <f>IF(AND(T484,V484&lt;&gt;""),IF(COUNTIFS(V$2:V484,V484,T$2:T484,TRUE)=1,MAX(W$1:W483)+1,""),"")</f>
        <v/>
      </c>
      <c r="X484">
        <f>IFERROR(INDEX('1.산군_붙여넣기'!$A$1:$AZ$1001,ROW(),설정!$C$14)&amp;"","")</f>
        <v/>
      </c>
      <c r="Y484">
        <f>IFERROR(INDEX('1.산군_붙여넣기'!$A$1:$AZ$1001,ROW(),설정!$C$15)&amp;"","")</f>
        <v/>
      </c>
      <c r="Z484">
        <f>IF(T484,V484&amp;"|"&amp;U484,"")</f>
        <v/>
      </c>
    </row>
    <row r="485">
      <c r="A485">
        <f>ROW()</f>
        <v/>
      </c>
      <c r="B485">
        <f>IFERROR(INDEX('1.산군_붙여넣기'!$A$1:$AZ$1001,ROW(),설정!$C$4)&amp;"","")</f>
        <v/>
      </c>
      <c r="C485">
        <f>IFERROR(INDEX('1.산군_붙여넣기'!$A$1:$AZ$1001,ROW(),설정!$C$5)&amp;"","")</f>
        <v/>
      </c>
      <c r="D485" s="5">
        <f>IFERROR(VALUE(SUBSTITUTE(SUBSTITUTE(SUBSTITUTE(IFERROR(INDEX('1.산군_붙여넣기'!$A$1:$AZ$1001,ROW(),설정!$C$6)&amp;"",""),",",""),"㎡",""),"m2","")),"")</f>
        <v/>
      </c>
      <c r="E485">
        <f>IFERROR(INDEX('1.산군_붙여넣기'!$A$1:$AZ$1001,ROW(),설정!$C$7)&amp;"","")</f>
        <v/>
      </c>
      <c r="F485">
        <f>IFERROR(INDEX('1.산군_붙여넣기'!$A$1:$AZ$1001,ROW(),설정!$C$8)&amp;"","")</f>
        <v/>
      </c>
      <c r="G485">
        <f>IFERROR(INDEX('1.산군_붙여넣기'!$A$1:$AZ$1001,ROW(),설정!$C$9)&amp;"","")</f>
        <v/>
      </c>
      <c r="H485">
        <f>IFERROR(INDEX('1.산군_붙여넣기'!$A$1:$AZ$1001,ROW(),설정!$C$10)&amp;"","")</f>
        <v/>
      </c>
      <c r="I485">
        <f>IFERROR(INDEX('1.산군_붙여넣기'!$A$1:$AZ$1001,ROW(),설정!$C$11)&amp;"","")</f>
        <v/>
      </c>
      <c r="J485">
        <f>IFERROR(INDEX('1.산군_붙여넣기'!$A$1:$AZ$1001,ROW(),설정!$C$12)&amp;"","")</f>
        <v/>
      </c>
      <c r="K485">
        <f>IFERROR(INDEX('1.산군_붙여넣기'!$A$1:$AZ$1001,ROW(),설정!$C$13)&amp;"","")</f>
        <v/>
      </c>
      <c r="L485" s="6">
        <f>IF(X485="","",IF(AND(LEN(X485)=8,ISNUMBER(X485*1)),DATE(LEFT(X485,4),MID(X485,5,2),RIGHT(X485,2)),IFERROR(DATEVALUE(SUBSTITUTE(SUBSTITUTE(X485,".","-"),"/","-")),IFERROR(X485*1,""))))</f>
        <v/>
      </c>
      <c r="M485" s="6">
        <f>IF(Y485="","",IF(AND(LEN(Y485)=8,ISNUMBER(Y485*1)),DATE(LEFT(Y485,4),MID(Y485,5,2),RIGHT(Y485,2)),IFERROR(DATEVALUE(SUBSTITUTE(SUBSTITUTE(Y485,".","-"),"/","-")),IFERROR(Y485*1,""))))</f>
        <v/>
      </c>
      <c r="N485">
        <f>IFERROR(LEFT(B485,FIND(" ",B485)-1),B485)</f>
        <v/>
      </c>
      <c r="O485">
        <f>AND(B485&lt;&gt;"",B485&lt;&gt;설정!$B$4,C485&lt;&gt;설정!$B$5)</f>
        <v/>
      </c>
      <c r="P485">
        <f>IF(O485,B485&amp;"|"&amp;C485,"")</f>
        <v/>
      </c>
      <c r="Q485">
        <f>AND(O485,COUNTIF(P486:P$1002,P485)=0)</f>
        <v/>
      </c>
      <c r="R485">
        <f>OR(AND(설정!$A$28&lt;&gt;"",ISNUMBER(SEARCH(설정!$A$28,E485&amp;" "&amp;C485))),AND(설정!$A$29&lt;&gt;"",ISNUMBER(SEARCH(설정!$A$29,E485&amp;" "&amp;C485))),AND(설정!$A$30&lt;&gt;"",ISNUMBER(SEARCH(설정!$A$30,E485&amp;" "&amp;C485))),AND(설정!$A$31&lt;&gt;"",ISNUMBER(SEARCH(설정!$A$31,E485&amp;" "&amp;C485))),AND(설정!$A$32&lt;&gt;"",ISNUMBER(SEARCH(설정!$A$32,E485&amp;" "&amp;C485))),AND(설정!$A$33&lt;&gt;"",ISNUMBER(SEARCH(설정!$A$33,E485&amp;" "&amp;C485))),AND(설정!$A$34&lt;&gt;"",ISNUMBER(SEARCH(설정!$A$34,E485&amp;" "&amp;C485))),AND(설정!$A$35&lt;&gt;"",ISNUMBER(SEARCH(설정!$A$35,E485&amp;" "&amp;C485))),AND(설정!$A$36&lt;&gt;"",ISNUMBER(SEARCH(설정!$A$36,E485&amp;" "&amp;C485))),AND(설정!$A$37&lt;&gt;"",ISNUMBER(SEARCH(설정!$A$37,E485&amp;" "&amp;C485))))</f>
        <v/>
      </c>
      <c r="S485">
        <f>OR(D485="",D485&gt;=설정!$B$19)</f>
        <v/>
      </c>
      <c r="T485">
        <f>AND(Q485,R485,S485)</f>
        <v/>
      </c>
      <c r="U485">
        <f>IF(T485,IF(AND(설정!$A$41&lt;&gt;"",ISNUMBER(SEARCH(설정!$A$41,K485))),설정!$B$41,IF(AND(설정!$A$42&lt;&gt;"",ISNUMBER(SEARCH(설정!$A$42,K485))),설정!$B$42,IF(AND(설정!$A$43&lt;&gt;"",ISNUMBER(SEARCH(설정!$A$43,K485))),설정!$B$43,IF(AND(설정!$A$44&lt;&gt;"",ISNUMBER(SEARCH(설정!$A$44,K485))),설정!$B$44,IF(AND(설정!$A$45&lt;&gt;"",ISNUMBER(SEARCH(설정!$A$45,K485))),설정!$B$45,IF(AND(설정!$A$46&lt;&gt;"",ISNUMBER(SEARCH(설정!$A$46,K485))),설정!$B$46,IF(AND(설정!$A$47&lt;&gt;"",ISNUMBER(SEARCH(설정!$A$47,K485))),설정!$B$47,IF(AND(설정!$A$48&lt;&gt;"",ISNUMBER(SEARCH(설정!$A$48,K485))),설정!$B$48,IF(M485="","설계사","시공사"))))))))),"")</f>
        <v/>
      </c>
      <c r="V485">
        <f>SUBSTITUTE(SUBSTITUTE(SUBSTITUTE(SUBSTITUTE(G485,"(주)",""),"㈜",""),"주식회사","")," ","")</f>
        <v/>
      </c>
      <c r="W485">
        <f>IF(AND(T485,V485&lt;&gt;""),IF(COUNTIFS(V$2:V485,V485,T$2:T485,TRUE)=1,MAX(W$1:W484)+1,""),"")</f>
        <v/>
      </c>
      <c r="X485">
        <f>IFERROR(INDEX('1.산군_붙여넣기'!$A$1:$AZ$1001,ROW(),설정!$C$14)&amp;"","")</f>
        <v/>
      </c>
      <c r="Y485">
        <f>IFERROR(INDEX('1.산군_붙여넣기'!$A$1:$AZ$1001,ROW(),설정!$C$15)&amp;"","")</f>
        <v/>
      </c>
      <c r="Z485">
        <f>IF(T485,V485&amp;"|"&amp;U485,"")</f>
        <v/>
      </c>
    </row>
    <row r="486">
      <c r="A486">
        <f>ROW()</f>
        <v/>
      </c>
      <c r="B486">
        <f>IFERROR(INDEX('1.산군_붙여넣기'!$A$1:$AZ$1001,ROW(),설정!$C$4)&amp;"","")</f>
        <v/>
      </c>
      <c r="C486">
        <f>IFERROR(INDEX('1.산군_붙여넣기'!$A$1:$AZ$1001,ROW(),설정!$C$5)&amp;"","")</f>
        <v/>
      </c>
      <c r="D486" s="5">
        <f>IFERROR(VALUE(SUBSTITUTE(SUBSTITUTE(SUBSTITUTE(IFERROR(INDEX('1.산군_붙여넣기'!$A$1:$AZ$1001,ROW(),설정!$C$6)&amp;"",""),",",""),"㎡",""),"m2","")),"")</f>
        <v/>
      </c>
      <c r="E486">
        <f>IFERROR(INDEX('1.산군_붙여넣기'!$A$1:$AZ$1001,ROW(),설정!$C$7)&amp;"","")</f>
        <v/>
      </c>
      <c r="F486">
        <f>IFERROR(INDEX('1.산군_붙여넣기'!$A$1:$AZ$1001,ROW(),설정!$C$8)&amp;"","")</f>
        <v/>
      </c>
      <c r="G486">
        <f>IFERROR(INDEX('1.산군_붙여넣기'!$A$1:$AZ$1001,ROW(),설정!$C$9)&amp;"","")</f>
        <v/>
      </c>
      <c r="H486">
        <f>IFERROR(INDEX('1.산군_붙여넣기'!$A$1:$AZ$1001,ROW(),설정!$C$10)&amp;"","")</f>
        <v/>
      </c>
      <c r="I486">
        <f>IFERROR(INDEX('1.산군_붙여넣기'!$A$1:$AZ$1001,ROW(),설정!$C$11)&amp;"","")</f>
        <v/>
      </c>
      <c r="J486">
        <f>IFERROR(INDEX('1.산군_붙여넣기'!$A$1:$AZ$1001,ROW(),설정!$C$12)&amp;"","")</f>
        <v/>
      </c>
      <c r="K486">
        <f>IFERROR(INDEX('1.산군_붙여넣기'!$A$1:$AZ$1001,ROW(),설정!$C$13)&amp;"","")</f>
        <v/>
      </c>
      <c r="L486" s="6">
        <f>IF(X486="","",IF(AND(LEN(X486)=8,ISNUMBER(X486*1)),DATE(LEFT(X486,4),MID(X486,5,2),RIGHT(X486,2)),IFERROR(DATEVALUE(SUBSTITUTE(SUBSTITUTE(X486,".","-"),"/","-")),IFERROR(X486*1,""))))</f>
        <v/>
      </c>
      <c r="M486" s="6">
        <f>IF(Y486="","",IF(AND(LEN(Y486)=8,ISNUMBER(Y486*1)),DATE(LEFT(Y486,4),MID(Y486,5,2),RIGHT(Y486,2)),IFERROR(DATEVALUE(SUBSTITUTE(SUBSTITUTE(Y486,".","-"),"/","-")),IFERROR(Y486*1,""))))</f>
        <v/>
      </c>
      <c r="N486">
        <f>IFERROR(LEFT(B486,FIND(" ",B486)-1),B486)</f>
        <v/>
      </c>
      <c r="O486">
        <f>AND(B486&lt;&gt;"",B486&lt;&gt;설정!$B$4,C486&lt;&gt;설정!$B$5)</f>
        <v/>
      </c>
      <c r="P486">
        <f>IF(O486,B486&amp;"|"&amp;C486,"")</f>
        <v/>
      </c>
      <c r="Q486">
        <f>AND(O486,COUNTIF(P487:P$1002,P486)=0)</f>
        <v/>
      </c>
      <c r="R486">
        <f>OR(AND(설정!$A$28&lt;&gt;"",ISNUMBER(SEARCH(설정!$A$28,E486&amp;" "&amp;C486))),AND(설정!$A$29&lt;&gt;"",ISNUMBER(SEARCH(설정!$A$29,E486&amp;" "&amp;C486))),AND(설정!$A$30&lt;&gt;"",ISNUMBER(SEARCH(설정!$A$30,E486&amp;" "&amp;C486))),AND(설정!$A$31&lt;&gt;"",ISNUMBER(SEARCH(설정!$A$31,E486&amp;" "&amp;C486))),AND(설정!$A$32&lt;&gt;"",ISNUMBER(SEARCH(설정!$A$32,E486&amp;" "&amp;C486))),AND(설정!$A$33&lt;&gt;"",ISNUMBER(SEARCH(설정!$A$33,E486&amp;" "&amp;C486))),AND(설정!$A$34&lt;&gt;"",ISNUMBER(SEARCH(설정!$A$34,E486&amp;" "&amp;C486))),AND(설정!$A$35&lt;&gt;"",ISNUMBER(SEARCH(설정!$A$35,E486&amp;" "&amp;C486))),AND(설정!$A$36&lt;&gt;"",ISNUMBER(SEARCH(설정!$A$36,E486&amp;" "&amp;C486))),AND(설정!$A$37&lt;&gt;"",ISNUMBER(SEARCH(설정!$A$37,E486&amp;" "&amp;C486))))</f>
        <v/>
      </c>
      <c r="S486">
        <f>OR(D486="",D486&gt;=설정!$B$19)</f>
        <v/>
      </c>
      <c r="T486">
        <f>AND(Q486,R486,S486)</f>
        <v/>
      </c>
      <c r="U486">
        <f>IF(T486,IF(AND(설정!$A$41&lt;&gt;"",ISNUMBER(SEARCH(설정!$A$41,K486))),설정!$B$41,IF(AND(설정!$A$42&lt;&gt;"",ISNUMBER(SEARCH(설정!$A$42,K486))),설정!$B$42,IF(AND(설정!$A$43&lt;&gt;"",ISNUMBER(SEARCH(설정!$A$43,K486))),설정!$B$43,IF(AND(설정!$A$44&lt;&gt;"",ISNUMBER(SEARCH(설정!$A$44,K486))),설정!$B$44,IF(AND(설정!$A$45&lt;&gt;"",ISNUMBER(SEARCH(설정!$A$45,K486))),설정!$B$45,IF(AND(설정!$A$46&lt;&gt;"",ISNUMBER(SEARCH(설정!$A$46,K486))),설정!$B$46,IF(AND(설정!$A$47&lt;&gt;"",ISNUMBER(SEARCH(설정!$A$47,K486))),설정!$B$47,IF(AND(설정!$A$48&lt;&gt;"",ISNUMBER(SEARCH(설정!$A$48,K486))),설정!$B$48,IF(M486="","설계사","시공사"))))))))),"")</f>
        <v/>
      </c>
      <c r="V486">
        <f>SUBSTITUTE(SUBSTITUTE(SUBSTITUTE(SUBSTITUTE(G486,"(주)",""),"㈜",""),"주식회사","")," ","")</f>
        <v/>
      </c>
      <c r="W486">
        <f>IF(AND(T486,V486&lt;&gt;""),IF(COUNTIFS(V$2:V486,V486,T$2:T486,TRUE)=1,MAX(W$1:W485)+1,""),"")</f>
        <v/>
      </c>
      <c r="X486">
        <f>IFERROR(INDEX('1.산군_붙여넣기'!$A$1:$AZ$1001,ROW(),설정!$C$14)&amp;"","")</f>
        <v/>
      </c>
      <c r="Y486">
        <f>IFERROR(INDEX('1.산군_붙여넣기'!$A$1:$AZ$1001,ROW(),설정!$C$15)&amp;"","")</f>
        <v/>
      </c>
      <c r="Z486">
        <f>IF(T486,V486&amp;"|"&amp;U486,"")</f>
        <v/>
      </c>
    </row>
    <row r="487">
      <c r="A487">
        <f>ROW()</f>
        <v/>
      </c>
      <c r="B487">
        <f>IFERROR(INDEX('1.산군_붙여넣기'!$A$1:$AZ$1001,ROW(),설정!$C$4)&amp;"","")</f>
        <v/>
      </c>
      <c r="C487">
        <f>IFERROR(INDEX('1.산군_붙여넣기'!$A$1:$AZ$1001,ROW(),설정!$C$5)&amp;"","")</f>
        <v/>
      </c>
      <c r="D487" s="5">
        <f>IFERROR(VALUE(SUBSTITUTE(SUBSTITUTE(SUBSTITUTE(IFERROR(INDEX('1.산군_붙여넣기'!$A$1:$AZ$1001,ROW(),설정!$C$6)&amp;"",""),",",""),"㎡",""),"m2","")),"")</f>
        <v/>
      </c>
      <c r="E487">
        <f>IFERROR(INDEX('1.산군_붙여넣기'!$A$1:$AZ$1001,ROW(),설정!$C$7)&amp;"","")</f>
        <v/>
      </c>
      <c r="F487">
        <f>IFERROR(INDEX('1.산군_붙여넣기'!$A$1:$AZ$1001,ROW(),설정!$C$8)&amp;"","")</f>
        <v/>
      </c>
      <c r="G487">
        <f>IFERROR(INDEX('1.산군_붙여넣기'!$A$1:$AZ$1001,ROW(),설정!$C$9)&amp;"","")</f>
        <v/>
      </c>
      <c r="H487">
        <f>IFERROR(INDEX('1.산군_붙여넣기'!$A$1:$AZ$1001,ROW(),설정!$C$10)&amp;"","")</f>
        <v/>
      </c>
      <c r="I487">
        <f>IFERROR(INDEX('1.산군_붙여넣기'!$A$1:$AZ$1001,ROW(),설정!$C$11)&amp;"","")</f>
        <v/>
      </c>
      <c r="J487">
        <f>IFERROR(INDEX('1.산군_붙여넣기'!$A$1:$AZ$1001,ROW(),설정!$C$12)&amp;"","")</f>
        <v/>
      </c>
      <c r="K487">
        <f>IFERROR(INDEX('1.산군_붙여넣기'!$A$1:$AZ$1001,ROW(),설정!$C$13)&amp;"","")</f>
        <v/>
      </c>
      <c r="L487" s="6">
        <f>IF(X487="","",IF(AND(LEN(X487)=8,ISNUMBER(X487*1)),DATE(LEFT(X487,4),MID(X487,5,2),RIGHT(X487,2)),IFERROR(DATEVALUE(SUBSTITUTE(SUBSTITUTE(X487,".","-"),"/","-")),IFERROR(X487*1,""))))</f>
        <v/>
      </c>
      <c r="M487" s="6">
        <f>IF(Y487="","",IF(AND(LEN(Y487)=8,ISNUMBER(Y487*1)),DATE(LEFT(Y487,4),MID(Y487,5,2),RIGHT(Y487,2)),IFERROR(DATEVALUE(SUBSTITUTE(SUBSTITUTE(Y487,".","-"),"/","-")),IFERROR(Y487*1,""))))</f>
        <v/>
      </c>
      <c r="N487">
        <f>IFERROR(LEFT(B487,FIND(" ",B487)-1),B487)</f>
        <v/>
      </c>
      <c r="O487">
        <f>AND(B487&lt;&gt;"",B487&lt;&gt;설정!$B$4,C487&lt;&gt;설정!$B$5)</f>
        <v/>
      </c>
      <c r="P487">
        <f>IF(O487,B487&amp;"|"&amp;C487,"")</f>
        <v/>
      </c>
      <c r="Q487">
        <f>AND(O487,COUNTIF(P488:P$1002,P487)=0)</f>
        <v/>
      </c>
      <c r="R487">
        <f>OR(AND(설정!$A$28&lt;&gt;"",ISNUMBER(SEARCH(설정!$A$28,E487&amp;" "&amp;C487))),AND(설정!$A$29&lt;&gt;"",ISNUMBER(SEARCH(설정!$A$29,E487&amp;" "&amp;C487))),AND(설정!$A$30&lt;&gt;"",ISNUMBER(SEARCH(설정!$A$30,E487&amp;" "&amp;C487))),AND(설정!$A$31&lt;&gt;"",ISNUMBER(SEARCH(설정!$A$31,E487&amp;" "&amp;C487))),AND(설정!$A$32&lt;&gt;"",ISNUMBER(SEARCH(설정!$A$32,E487&amp;" "&amp;C487))),AND(설정!$A$33&lt;&gt;"",ISNUMBER(SEARCH(설정!$A$33,E487&amp;" "&amp;C487))),AND(설정!$A$34&lt;&gt;"",ISNUMBER(SEARCH(설정!$A$34,E487&amp;" "&amp;C487))),AND(설정!$A$35&lt;&gt;"",ISNUMBER(SEARCH(설정!$A$35,E487&amp;" "&amp;C487))),AND(설정!$A$36&lt;&gt;"",ISNUMBER(SEARCH(설정!$A$36,E487&amp;" "&amp;C487))),AND(설정!$A$37&lt;&gt;"",ISNUMBER(SEARCH(설정!$A$37,E487&amp;" "&amp;C487))))</f>
        <v/>
      </c>
      <c r="S487">
        <f>OR(D487="",D487&gt;=설정!$B$19)</f>
        <v/>
      </c>
      <c r="T487">
        <f>AND(Q487,R487,S487)</f>
        <v/>
      </c>
      <c r="U487">
        <f>IF(T487,IF(AND(설정!$A$41&lt;&gt;"",ISNUMBER(SEARCH(설정!$A$41,K487))),설정!$B$41,IF(AND(설정!$A$42&lt;&gt;"",ISNUMBER(SEARCH(설정!$A$42,K487))),설정!$B$42,IF(AND(설정!$A$43&lt;&gt;"",ISNUMBER(SEARCH(설정!$A$43,K487))),설정!$B$43,IF(AND(설정!$A$44&lt;&gt;"",ISNUMBER(SEARCH(설정!$A$44,K487))),설정!$B$44,IF(AND(설정!$A$45&lt;&gt;"",ISNUMBER(SEARCH(설정!$A$45,K487))),설정!$B$45,IF(AND(설정!$A$46&lt;&gt;"",ISNUMBER(SEARCH(설정!$A$46,K487))),설정!$B$46,IF(AND(설정!$A$47&lt;&gt;"",ISNUMBER(SEARCH(설정!$A$47,K487))),설정!$B$47,IF(AND(설정!$A$48&lt;&gt;"",ISNUMBER(SEARCH(설정!$A$48,K487))),설정!$B$48,IF(M487="","설계사","시공사"))))))))),"")</f>
        <v/>
      </c>
      <c r="V487">
        <f>SUBSTITUTE(SUBSTITUTE(SUBSTITUTE(SUBSTITUTE(G487,"(주)",""),"㈜",""),"주식회사","")," ","")</f>
        <v/>
      </c>
      <c r="W487">
        <f>IF(AND(T487,V487&lt;&gt;""),IF(COUNTIFS(V$2:V487,V487,T$2:T487,TRUE)=1,MAX(W$1:W486)+1,""),"")</f>
        <v/>
      </c>
      <c r="X487">
        <f>IFERROR(INDEX('1.산군_붙여넣기'!$A$1:$AZ$1001,ROW(),설정!$C$14)&amp;"","")</f>
        <v/>
      </c>
      <c r="Y487">
        <f>IFERROR(INDEX('1.산군_붙여넣기'!$A$1:$AZ$1001,ROW(),설정!$C$15)&amp;"","")</f>
        <v/>
      </c>
      <c r="Z487">
        <f>IF(T487,V487&amp;"|"&amp;U487,"")</f>
        <v/>
      </c>
    </row>
    <row r="488">
      <c r="A488">
        <f>ROW()</f>
        <v/>
      </c>
      <c r="B488">
        <f>IFERROR(INDEX('1.산군_붙여넣기'!$A$1:$AZ$1001,ROW(),설정!$C$4)&amp;"","")</f>
        <v/>
      </c>
      <c r="C488">
        <f>IFERROR(INDEX('1.산군_붙여넣기'!$A$1:$AZ$1001,ROW(),설정!$C$5)&amp;"","")</f>
        <v/>
      </c>
      <c r="D488" s="5">
        <f>IFERROR(VALUE(SUBSTITUTE(SUBSTITUTE(SUBSTITUTE(IFERROR(INDEX('1.산군_붙여넣기'!$A$1:$AZ$1001,ROW(),설정!$C$6)&amp;"",""),",",""),"㎡",""),"m2","")),"")</f>
        <v/>
      </c>
      <c r="E488">
        <f>IFERROR(INDEX('1.산군_붙여넣기'!$A$1:$AZ$1001,ROW(),설정!$C$7)&amp;"","")</f>
        <v/>
      </c>
      <c r="F488">
        <f>IFERROR(INDEX('1.산군_붙여넣기'!$A$1:$AZ$1001,ROW(),설정!$C$8)&amp;"","")</f>
        <v/>
      </c>
      <c r="G488">
        <f>IFERROR(INDEX('1.산군_붙여넣기'!$A$1:$AZ$1001,ROW(),설정!$C$9)&amp;"","")</f>
        <v/>
      </c>
      <c r="H488">
        <f>IFERROR(INDEX('1.산군_붙여넣기'!$A$1:$AZ$1001,ROW(),설정!$C$10)&amp;"","")</f>
        <v/>
      </c>
      <c r="I488">
        <f>IFERROR(INDEX('1.산군_붙여넣기'!$A$1:$AZ$1001,ROW(),설정!$C$11)&amp;"","")</f>
        <v/>
      </c>
      <c r="J488">
        <f>IFERROR(INDEX('1.산군_붙여넣기'!$A$1:$AZ$1001,ROW(),설정!$C$12)&amp;"","")</f>
        <v/>
      </c>
      <c r="K488">
        <f>IFERROR(INDEX('1.산군_붙여넣기'!$A$1:$AZ$1001,ROW(),설정!$C$13)&amp;"","")</f>
        <v/>
      </c>
      <c r="L488" s="6">
        <f>IF(X488="","",IF(AND(LEN(X488)=8,ISNUMBER(X488*1)),DATE(LEFT(X488,4),MID(X488,5,2),RIGHT(X488,2)),IFERROR(DATEVALUE(SUBSTITUTE(SUBSTITUTE(X488,".","-"),"/","-")),IFERROR(X488*1,""))))</f>
        <v/>
      </c>
      <c r="M488" s="6">
        <f>IF(Y488="","",IF(AND(LEN(Y488)=8,ISNUMBER(Y488*1)),DATE(LEFT(Y488,4),MID(Y488,5,2),RIGHT(Y488,2)),IFERROR(DATEVALUE(SUBSTITUTE(SUBSTITUTE(Y488,".","-"),"/","-")),IFERROR(Y488*1,""))))</f>
        <v/>
      </c>
      <c r="N488">
        <f>IFERROR(LEFT(B488,FIND(" ",B488)-1),B488)</f>
        <v/>
      </c>
      <c r="O488">
        <f>AND(B488&lt;&gt;"",B488&lt;&gt;설정!$B$4,C488&lt;&gt;설정!$B$5)</f>
        <v/>
      </c>
      <c r="P488">
        <f>IF(O488,B488&amp;"|"&amp;C488,"")</f>
        <v/>
      </c>
      <c r="Q488">
        <f>AND(O488,COUNTIF(P489:P$1002,P488)=0)</f>
        <v/>
      </c>
      <c r="R488">
        <f>OR(AND(설정!$A$28&lt;&gt;"",ISNUMBER(SEARCH(설정!$A$28,E488&amp;" "&amp;C488))),AND(설정!$A$29&lt;&gt;"",ISNUMBER(SEARCH(설정!$A$29,E488&amp;" "&amp;C488))),AND(설정!$A$30&lt;&gt;"",ISNUMBER(SEARCH(설정!$A$30,E488&amp;" "&amp;C488))),AND(설정!$A$31&lt;&gt;"",ISNUMBER(SEARCH(설정!$A$31,E488&amp;" "&amp;C488))),AND(설정!$A$32&lt;&gt;"",ISNUMBER(SEARCH(설정!$A$32,E488&amp;" "&amp;C488))),AND(설정!$A$33&lt;&gt;"",ISNUMBER(SEARCH(설정!$A$33,E488&amp;" "&amp;C488))),AND(설정!$A$34&lt;&gt;"",ISNUMBER(SEARCH(설정!$A$34,E488&amp;" "&amp;C488))),AND(설정!$A$35&lt;&gt;"",ISNUMBER(SEARCH(설정!$A$35,E488&amp;" "&amp;C488))),AND(설정!$A$36&lt;&gt;"",ISNUMBER(SEARCH(설정!$A$36,E488&amp;" "&amp;C488))),AND(설정!$A$37&lt;&gt;"",ISNUMBER(SEARCH(설정!$A$37,E488&amp;" "&amp;C488))))</f>
        <v/>
      </c>
      <c r="S488">
        <f>OR(D488="",D488&gt;=설정!$B$19)</f>
        <v/>
      </c>
      <c r="T488">
        <f>AND(Q488,R488,S488)</f>
        <v/>
      </c>
      <c r="U488">
        <f>IF(T488,IF(AND(설정!$A$41&lt;&gt;"",ISNUMBER(SEARCH(설정!$A$41,K488))),설정!$B$41,IF(AND(설정!$A$42&lt;&gt;"",ISNUMBER(SEARCH(설정!$A$42,K488))),설정!$B$42,IF(AND(설정!$A$43&lt;&gt;"",ISNUMBER(SEARCH(설정!$A$43,K488))),설정!$B$43,IF(AND(설정!$A$44&lt;&gt;"",ISNUMBER(SEARCH(설정!$A$44,K488))),설정!$B$44,IF(AND(설정!$A$45&lt;&gt;"",ISNUMBER(SEARCH(설정!$A$45,K488))),설정!$B$45,IF(AND(설정!$A$46&lt;&gt;"",ISNUMBER(SEARCH(설정!$A$46,K488))),설정!$B$46,IF(AND(설정!$A$47&lt;&gt;"",ISNUMBER(SEARCH(설정!$A$47,K488))),설정!$B$47,IF(AND(설정!$A$48&lt;&gt;"",ISNUMBER(SEARCH(설정!$A$48,K488))),설정!$B$48,IF(M488="","설계사","시공사"))))))))),"")</f>
        <v/>
      </c>
      <c r="V488">
        <f>SUBSTITUTE(SUBSTITUTE(SUBSTITUTE(SUBSTITUTE(G488,"(주)",""),"㈜",""),"주식회사","")," ","")</f>
        <v/>
      </c>
      <c r="W488">
        <f>IF(AND(T488,V488&lt;&gt;""),IF(COUNTIFS(V$2:V488,V488,T$2:T488,TRUE)=1,MAX(W$1:W487)+1,""),"")</f>
        <v/>
      </c>
      <c r="X488">
        <f>IFERROR(INDEX('1.산군_붙여넣기'!$A$1:$AZ$1001,ROW(),설정!$C$14)&amp;"","")</f>
        <v/>
      </c>
      <c r="Y488">
        <f>IFERROR(INDEX('1.산군_붙여넣기'!$A$1:$AZ$1001,ROW(),설정!$C$15)&amp;"","")</f>
        <v/>
      </c>
      <c r="Z488">
        <f>IF(T488,V488&amp;"|"&amp;U488,"")</f>
        <v/>
      </c>
    </row>
    <row r="489">
      <c r="A489">
        <f>ROW()</f>
        <v/>
      </c>
      <c r="B489">
        <f>IFERROR(INDEX('1.산군_붙여넣기'!$A$1:$AZ$1001,ROW(),설정!$C$4)&amp;"","")</f>
        <v/>
      </c>
      <c r="C489">
        <f>IFERROR(INDEX('1.산군_붙여넣기'!$A$1:$AZ$1001,ROW(),설정!$C$5)&amp;"","")</f>
        <v/>
      </c>
      <c r="D489" s="5">
        <f>IFERROR(VALUE(SUBSTITUTE(SUBSTITUTE(SUBSTITUTE(IFERROR(INDEX('1.산군_붙여넣기'!$A$1:$AZ$1001,ROW(),설정!$C$6)&amp;"",""),",",""),"㎡",""),"m2","")),"")</f>
        <v/>
      </c>
      <c r="E489">
        <f>IFERROR(INDEX('1.산군_붙여넣기'!$A$1:$AZ$1001,ROW(),설정!$C$7)&amp;"","")</f>
        <v/>
      </c>
      <c r="F489">
        <f>IFERROR(INDEX('1.산군_붙여넣기'!$A$1:$AZ$1001,ROW(),설정!$C$8)&amp;"","")</f>
        <v/>
      </c>
      <c r="G489">
        <f>IFERROR(INDEX('1.산군_붙여넣기'!$A$1:$AZ$1001,ROW(),설정!$C$9)&amp;"","")</f>
        <v/>
      </c>
      <c r="H489">
        <f>IFERROR(INDEX('1.산군_붙여넣기'!$A$1:$AZ$1001,ROW(),설정!$C$10)&amp;"","")</f>
        <v/>
      </c>
      <c r="I489">
        <f>IFERROR(INDEX('1.산군_붙여넣기'!$A$1:$AZ$1001,ROW(),설정!$C$11)&amp;"","")</f>
        <v/>
      </c>
      <c r="J489">
        <f>IFERROR(INDEX('1.산군_붙여넣기'!$A$1:$AZ$1001,ROW(),설정!$C$12)&amp;"","")</f>
        <v/>
      </c>
      <c r="K489">
        <f>IFERROR(INDEX('1.산군_붙여넣기'!$A$1:$AZ$1001,ROW(),설정!$C$13)&amp;"","")</f>
        <v/>
      </c>
      <c r="L489" s="6">
        <f>IF(X489="","",IF(AND(LEN(X489)=8,ISNUMBER(X489*1)),DATE(LEFT(X489,4),MID(X489,5,2),RIGHT(X489,2)),IFERROR(DATEVALUE(SUBSTITUTE(SUBSTITUTE(X489,".","-"),"/","-")),IFERROR(X489*1,""))))</f>
        <v/>
      </c>
      <c r="M489" s="6">
        <f>IF(Y489="","",IF(AND(LEN(Y489)=8,ISNUMBER(Y489*1)),DATE(LEFT(Y489,4),MID(Y489,5,2),RIGHT(Y489,2)),IFERROR(DATEVALUE(SUBSTITUTE(SUBSTITUTE(Y489,".","-"),"/","-")),IFERROR(Y489*1,""))))</f>
        <v/>
      </c>
      <c r="N489">
        <f>IFERROR(LEFT(B489,FIND(" ",B489)-1),B489)</f>
        <v/>
      </c>
      <c r="O489">
        <f>AND(B489&lt;&gt;"",B489&lt;&gt;설정!$B$4,C489&lt;&gt;설정!$B$5)</f>
        <v/>
      </c>
      <c r="P489">
        <f>IF(O489,B489&amp;"|"&amp;C489,"")</f>
        <v/>
      </c>
      <c r="Q489">
        <f>AND(O489,COUNTIF(P490:P$1002,P489)=0)</f>
        <v/>
      </c>
      <c r="R489">
        <f>OR(AND(설정!$A$28&lt;&gt;"",ISNUMBER(SEARCH(설정!$A$28,E489&amp;" "&amp;C489))),AND(설정!$A$29&lt;&gt;"",ISNUMBER(SEARCH(설정!$A$29,E489&amp;" "&amp;C489))),AND(설정!$A$30&lt;&gt;"",ISNUMBER(SEARCH(설정!$A$30,E489&amp;" "&amp;C489))),AND(설정!$A$31&lt;&gt;"",ISNUMBER(SEARCH(설정!$A$31,E489&amp;" "&amp;C489))),AND(설정!$A$32&lt;&gt;"",ISNUMBER(SEARCH(설정!$A$32,E489&amp;" "&amp;C489))),AND(설정!$A$33&lt;&gt;"",ISNUMBER(SEARCH(설정!$A$33,E489&amp;" "&amp;C489))),AND(설정!$A$34&lt;&gt;"",ISNUMBER(SEARCH(설정!$A$34,E489&amp;" "&amp;C489))),AND(설정!$A$35&lt;&gt;"",ISNUMBER(SEARCH(설정!$A$35,E489&amp;" "&amp;C489))),AND(설정!$A$36&lt;&gt;"",ISNUMBER(SEARCH(설정!$A$36,E489&amp;" "&amp;C489))),AND(설정!$A$37&lt;&gt;"",ISNUMBER(SEARCH(설정!$A$37,E489&amp;" "&amp;C489))))</f>
        <v/>
      </c>
      <c r="S489">
        <f>OR(D489="",D489&gt;=설정!$B$19)</f>
        <v/>
      </c>
      <c r="T489">
        <f>AND(Q489,R489,S489)</f>
        <v/>
      </c>
      <c r="U489">
        <f>IF(T489,IF(AND(설정!$A$41&lt;&gt;"",ISNUMBER(SEARCH(설정!$A$41,K489))),설정!$B$41,IF(AND(설정!$A$42&lt;&gt;"",ISNUMBER(SEARCH(설정!$A$42,K489))),설정!$B$42,IF(AND(설정!$A$43&lt;&gt;"",ISNUMBER(SEARCH(설정!$A$43,K489))),설정!$B$43,IF(AND(설정!$A$44&lt;&gt;"",ISNUMBER(SEARCH(설정!$A$44,K489))),설정!$B$44,IF(AND(설정!$A$45&lt;&gt;"",ISNUMBER(SEARCH(설정!$A$45,K489))),설정!$B$45,IF(AND(설정!$A$46&lt;&gt;"",ISNUMBER(SEARCH(설정!$A$46,K489))),설정!$B$46,IF(AND(설정!$A$47&lt;&gt;"",ISNUMBER(SEARCH(설정!$A$47,K489))),설정!$B$47,IF(AND(설정!$A$48&lt;&gt;"",ISNUMBER(SEARCH(설정!$A$48,K489))),설정!$B$48,IF(M489="","설계사","시공사"))))))))),"")</f>
        <v/>
      </c>
      <c r="V489">
        <f>SUBSTITUTE(SUBSTITUTE(SUBSTITUTE(SUBSTITUTE(G489,"(주)",""),"㈜",""),"주식회사","")," ","")</f>
        <v/>
      </c>
      <c r="W489">
        <f>IF(AND(T489,V489&lt;&gt;""),IF(COUNTIFS(V$2:V489,V489,T$2:T489,TRUE)=1,MAX(W$1:W488)+1,""),"")</f>
        <v/>
      </c>
      <c r="X489">
        <f>IFERROR(INDEX('1.산군_붙여넣기'!$A$1:$AZ$1001,ROW(),설정!$C$14)&amp;"","")</f>
        <v/>
      </c>
      <c r="Y489">
        <f>IFERROR(INDEX('1.산군_붙여넣기'!$A$1:$AZ$1001,ROW(),설정!$C$15)&amp;"","")</f>
        <v/>
      </c>
      <c r="Z489">
        <f>IF(T489,V489&amp;"|"&amp;U489,"")</f>
        <v/>
      </c>
    </row>
    <row r="490">
      <c r="A490">
        <f>ROW()</f>
        <v/>
      </c>
      <c r="B490">
        <f>IFERROR(INDEX('1.산군_붙여넣기'!$A$1:$AZ$1001,ROW(),설정!$C$4)&amp;"","")</f>
        <v/>
      </c>
      <c r="C490">
        <f>IFERROR(INDEX('1.산군_붙여넣기'!$A$1:$AZ$1001,ROW(),설정!$C$5)&amp;"","")</f>
        <v/>
      </c>
      <c r="D490" s="5">
        <f>IFERROR(VALUE(SUBSTITUTE(SUBSTITUTE(SUBSTITUTE(IFERROR(INDEX('1.산군_붙여넣기'!$A$1:$AZ$1001,ROW(),설정!$C$6)&amp;"",""),",",""),"㎡",""),"m2","")),"")</f>
        <v/>
      </c>
      <c r="E490">
        <f>IFERROR(INDEX('1.산군_붙여넣기'!$A$1:$AZ$1001,ROW(),설정!$C$7)&amp;"","")</f>
        <v/>
      </c>
      <c r="F490">
        <f>IFERROR(INDEX('1.산군_붙여넣기'!$A$1:$AZ$1001,ROW(),설정!$C$8)&amp;"","")</f>
        <v/>
      </c>
      <c r="G490">
        <f>IFERROR(INDEX('1.산군_붙여넣기'!$A$1:$AZ$1001,ROW(),설정!$C$9)&amp;"","")</f>
        <v/>
      </c>
      <c r="H490">
        <f>IFERROR(INDEX('1.산군_붙여넣기'!$A$1:$AZ$1001,ROW(),설정!$C$10)&amp;"","")</f>
        <v/>
      </c>
      <c r="I490">
        <f>IFERROR(INDEX('1.산군_붙여넣기'!$A$1:$AZ$1001,ROW(),설정!$C$11)&amp;"","")</f>
        <v/>
      </c>
      <c r="J490">
        <f>IFERROR(INDEX('1.산군_붙여넣기'!$A$1:$AZ$1001,ROW(),설정!$C$12)&amp;"","")</f>
        <v/>
      </c>
      <c r="K490">
        <f>IFERROR(INDEX('1.산군_붙여넣기'!$A$1:$AZ$1001,ROW(),설정!$C$13)&amp;"","")</f>
        <v/>
      </c>
      <c r="L490" s="6">
        <f>IF(X490="","",IF(AND(LEN(X490)=8,ISNUMBER(X490*1)),DATE(LEFT(X490,4),MID(X490,5,2),RIGHT(X490,2)),IFERROR(DATEVALUE(SUBSTITUTE(SUBSTITUTE(X490,".","-"),"/","-")),IFERROR(X490*1,""))))</f>
        <v/>
      </c>
      <c r="M490" s="6">
        <f>IF(Y490="","",IF(AND(LEN(Y490)=8,ISNUMBER(Y490*1)),DATE(LEFT(Y490,4),MID(Y490,5,2),RIGHT(Y490,2)),IFERROR(DATEVALUE(SUBSTITUTE(SUBSTITUTE(Y490,".","-"),"/","-")),IFERROR(Y490*1,""))))</f>
        <v/>
      </c>
      <c r="N490">
        <f>IFERROR(LEFT(B490,FIND(" ",B490)-1),B490)</f>
        <v/>
      </c>
      <c r="O490">
        <f>AND(B490&lt;&gt;"",B490&lt;&gt;설정!$B$4,C490&lt;&gt;설정!$B$5)</f>
        <v/>
      </c>
      <c r="P490">
        <f>IF(O490,B490&amp;"|"&amp;C490,"")</f>
        <v/>
      </c>
      <c r="Q490">
        <f>AND(O490,COUNTIF(P491:P$1002,P490)=0)</f>
        <v/>
      </c>
      <c r="R490">
        <f>OR(AND(설정!$A$28&lt;&gt;"",ISNUMBER(SEARCH(설정!$A$28,E490&amp;" "&amp;C490))),AND(설정!$A$29&lt;&gt;"",ISNUMBER(SEARCH(설정!$A$29,E490&amp;" "&amp;C490))),AND(설정!$A$30&lt;&gt;"",ISNUMBER(SEARCH(설정!$A$30,E490&amp;" "&amp;C490))),AND(설정!$A$31&lt;&gt;"",ISNUMBER(SEARCH(설정!$A$31,E490&amp;" "&amp;C490))),AND(설정!$A$32&lt;&gt;"",ISNUMBER(SEARCH(설정!$A$32,E490&amp;" "&amp;C490))),AND(설정!$A$33&lt;&gt;"",ISNUMBER(SEARCH(설정!$A$33,E490&amp;" "&amp;C490))),AND(설정!$A$34&lt;&gt;"",ISNUMBER(SEARCH(설정!$A$34,E490&amp;" "&amp;C490))),AND(설정!$A$35&lt;&gt;"",ISNUMBER(SEARCH(설정!$A$35,E490&amp;" "&amp;C490))),AND(설정!$A$36&lt;&gt;"",ISNUMBER(SEARCH(설정!$A$36,E490&amp;" "&amp;C490))),AND(설정!$A$37&lt;&gt;"",ISNUMBER(SEARCH(설정!$A$37,E490&amp;" "&amp;C490))))</f>
        <v/>
      </c>
      <c r="S490">
        <f>OR(D490="",D490&gt;=설정!$B$19)</f>
        <v/>
      </c>
      <c r="T490">
        <f>AND(Q490,R490,S490)</f>
        <v/>
      </c>
      <c r="U490">
        <f>IF(T490,IF(AND(설정!$A$41&lt;&gt;"",ISNUMBER(SEARCH(설정!$A$41,K490))),설정!$B$41,IF(AND(설정!$A$42&lt;&gt;"",ISNUMBER(SEARCH(설정!$A$42,K490))),설정!$B$42,IF(AND(설정!$A$43&lt;&gt;"",ISNUMBER(SEARCH(설정!$A$43,K490))),설정!$B$43,IF(AND(설정!$A$44&lt;&gt;"",ISNUMBER(SEARCH(설정!$A$44,K490))),설정!$B$44,IF(AND(설정!$A$45&lt;&gt;"",ISNUMBER(SEARCH(설정!$A$45,K490))),설정!$B$45,IF(AND(설정!$A$46&lt;&gt;"",ISNUMBER(SEARCH(설정!$A$46,K490))),설정!$B$46,IF(AND(설정!$A$47&lt;&gt;"",ISNUMBER(SEARCH(설정!$A$47,K490))),설정!$B$47,IF(AND(설정!$A$48&lt;&gt;"",ISNUMBER(SEARCH(설정!$A$48,K490))),설정!$B$48,IF(M490="","설계사","시공사"))))))))),"")</f>
        <v/>
      </c>
      <c r="V490">
        <f>SUBSTITUTE(SUBSTITUTE(SUBSTITUTE(SUBSTITUTE(G490,"(주)",""),"㈜",""),"주식회사","")," ","")</f>
        <v/>
      </c>
      <c r="W490">
        <f>IF(AND(T490,V490&lt;&gt;""),IF(COUNTIFS(V$2:V490,V490,T$2:T490,TRUE)=1,MAX(W$1:W489)+1,""),"")</f>
        <v/>
      </c>
      <c r="X490">
        <f>IFERROR(INDEX('1.산군_붙여넣기'!$A$1:$AZ$1001,ROW(),설정!$C$14)&amp;"","")</f>
        <v/>
      </c>
      <c r="Y490">
        <f>IFERROR(INDEX('1.산군_붙여넣기'!$A$1:$AZ$1001,ROW(),설정!$C$15)&amp;"","")</f>
        <v/>
      </c>
      <c r="Z490">
        <f>IF(T490,V490&amp;"|"&amp;U490,"")</f>
        <v/>
      </c>
    </row>
    <row r="491">
      <c r="A491">
        <f>ROW()</f>
        <v/>
      </c>
      <c r="B491">
        <f>IFERROR(INDEX('1.산군_붙여넣기'!$A$1:$AZ$1001,ROW(),설정!$C$4)&amp;"","")</f>
        <v/>
      </c>
      <c r="C491">
        <f>IFERROR(INDEX('1.산군_붙여넣기'!$A$1:$AZ$1001,ROW(),설정!$C$5)&amp;"","")</f>
        <v/>
      </c>
      <c r="D491" s="5">
        <f>IFERROR(VALUE(SUBSTITUTE(SUBSTITUTE(SUBSTITUTE(IFERROR(INDEX('1.산군_붙여넣기'!$A$1:$AZ$1001,ROW(),설정!$C$6)&amp;"",""),",",""),"㎡",""),"m2","")),"")</f>
        <v/>
      </c>
      <c r="E491">
        <f>IFERROR(INDEX('1.산군_붙여넣기'!$A$1:$AZ$1001,ROW(),설정!$C$7)&amp;"","")</f>
        <v/>
      </c>
      <c r="F491">
        <f>IFERROR(INDEX('1.산군_붙여넣기'!$A$1:$AZ$1001,ROW(),설정!$C$8)&amp;"","")</f>
        <v/>
      </c>
      <c r="G491">
        <f>IFERROR(INDEX('1.산군_붙여넣기'!$A$1:$AZ$1001,ROW(),설정!$C$9)&amp;"","")</f>
        <v/>
      </c>
      <c r="H491">
        <f>IFERROR(INDEX('1.산군_붙여넣기'!$A$1:$AZ$1001,ROW(),설정!$C$10)&amp;"","")</f>
        <v/>
      </c>
      <c r="I491">
        <f>IFERROR(INDEX('1.산군_붙여넣기'!$A$1:$AZ$1001,ROW(),설정!$C$11)&amp;"","")</f>
        <v/>
      </c>
      <c r="J491">
        <f>IFERROR(INDEX('1.산군_붙여넣기'!$A$1:$AZ$1001,ROW(),설정!$C$12)&amp;"","")</f>
        <v/>
      </c>
      <c r="K491">
        <f>IFERROR(INDEX('1.산군_붙여넣기'!$A$1:$AZ$1001,ROW(),설정!$C$13)&amp;"","")</f>
        <v/>
      </c>
      <c r="L491" s="6">
        <f>IF(X491="","",IF(AND(LEN(X491)=8,ISNUMBER(X491*1)),DATE(LEFT(X491,4),MID(X491,5,2),RIGHT(X491,2)),IFERROR(DATEVALUE(SUBSTITUTE(SUBSTITUTE(X491,".","-"),"/","-")),IFERROR(X491*1,""))))</f>
        <v/>
      </c>
      <c r="M491" s="6">
        <f>IF(Y491="","",IF(AND(LEN(Y491)=8,ISNUMBER(Y491*1)),DATE(LEFT(Y491,4),MID(Y491,5,2),RIGHT(Y491,2)),IFERROR(DATEVALUE(SUBSTITUTE(SUBSTITUTE(Y491,".","-"),"/","-")),IFERROR(Y491*1,""))))</f>
        <v/>
      </c>
      <c r="N491">
        <f>IFERROR(LEFT(B491,FIND(" ",B491)-1),B491)</f>
        <v/>
      </c>
      <c r="O491">
        <f>AND(B491&lt;&gt;"",B491&lt;&gt;설정!$B$4,C491&lt;&gt;설정!$B$5)</f>
        <v/>
      </c>
      <c r="P491">
        <f>IF(O491,B491&amp;"|"&amp;C491,"")</f>
        <v/>
      </c>
      <c r="Q491">
        <f>AND(O491,COUNTIF(P492:P$1002,P491)=0)</f>
        <v/>
      </c>
      <c r="R491">
        <f>OR(AND(설정!$A$28&lt;&gt;"",ISNUMBER(SEARCH(설정!$A$28,E491&amp;" "&amp;C491))),AND(설정!$A$29&lt;&gt;"",ISNUMBER(SEARCH(설정!$A$29,E491&amp;" "&amp;C491))),AND(설정!$A$30&lt;&gt;"",ISNUMBER(SEARCH(설정!$A$30,E491&amp;" "&amp;C491))),AND(설정!$A$31&lt;&gt;"",ISNUMBER(SEARCH(설정!$A$31,E491&amp;" "&amp;C491))),AND(설정!$A$32&lt;&gt;"",ISNUMBER(SEARCH(설정!$A$32,E491&amp;" "&amp;C491))),AND(설정!$A$33&lt;&gt;"",ISNUMBER(SEARCH(설정!$A$33,E491&amp;" "&amp;C491))),AND(설정!$A$34&lt;&gt;"",ISNUMBER(SEARCH(설정!$A$34,E491&amp;" "&amp;C491))),AND(설정!$A$35&lt;&gt;"",ISNUMBER(SEARCH(설정!$A$35,E491&amp;" "&amp;C491))),AND(설정!$A$36&lt;&gt;"",ISNUMBER(SEARCH(설정!$A$36,E491&amp;" "&amp;C491))),AND(설정!$A$37&lt;&gt;"",ISNUMBER(SEARCH(설정!$A$37,E491&amp;" "&amp;C491))))</f>
        <v/>
      </c>
      <c r="S491">
        <f>OR(D491="",D491&gt;=설정!$B$19)</f>
        <v/>
      </c>
      <c r="T491">
        <f>AND(Q491,R491,S491)</f>
        <v/>
      </c>
      <c r="U491">
        <f>IF(T491,IF(AND(설정!$A$41&lt;&gt;"",ISNUMBER(SEARCH(설정!$A$41,K491))),설정!$B$41,IF(AND(설정!$A$42&lt;&gt;"",ISNUMBER(SEARCH(설정!$A$42,K491))),설정!$B$42,IF(AND(설정!$A$43&lt;&gt;"",ISNUMBER(SEARCH(설정!$A$43,K491))),설정!$B$43,IF(AND(설정!$A$44&lt;&gt;"",ISNUMBER(SEARCH(설정!$A$44,K491))),설정!$B$44,IF(AND(설정!$A$45&lt;&gt;"",ISNUMBER(SEARCH(설정!$A$45,K491))),설정!$B$45,IF(AND(설정!$A$46&lt;&gt;"",ISNUMBER(SEARCH(설정!$A$46,K491))),설정!$B$46,IF(AND(설정!$A$47&lt;&gt;"",ISNUMBER(SEARCH(설정!$A$47,K491))),설정!$B$47,IF(AND(설정!$A$48&lt;&gt;"",ISNUMBER(SEARCH(설정!$A$48,K491))),설정!$B$48,IF(M491="","설계사","시공사"))))))))),"")</f>
        <v/>
      </c>
      <c r="V491">
        <f>SUBSTITUTE(SUBSTITUTE(SUBSTITUTE(SUBSTITUTE(G491,"(주)",""),"㈜",""),"주식회사","")," ","")</f>
        <v/>
      </c>
      <c r="W491">
        <f>IF(AND(T491,V491&lt;&gt;""),IF(COUNTIFS(V$2:V491,V491,T$2:T491,TRUE)=1,MAX(W$1:W490)+1,""),"")</f>
        <v/>
      </c>
      <c r="X491">
        <f>IFERROR(INDEX('1.산군_붙여넣기'!$A$1:$AZ$1001,ROW(),설정!$C$14)&amp;"","")</f>
        <v/>
      </c>
      <c r="Y491">
        <f>IFERROR(INDEX('1.산군_붙여넣기'!$A$1:$AZ$1001,ROW(),설정!$C$15)&amp;"","")</f>
        <v/>
      </c>
      <c r="Z491">
        <f>IF(T491,V491&amp;"|"&amp;U491,"")</f>
        <v/>
      </c>
    </row>
    <row r="492">
      <c r="A492">
        <f>ROW()</f>
        <v/>
      </c>
      <c r="B492">
        <f>IFERROR(INDEX('1.산군_붙여넣기'!$A$1:$AZ$1001,ROW(),설정!$C$4)&amp;"","")</f>
        <v/>
      </c>
      <c r="C492">
        <f>IFERROR(INDEX('1.산군_붙여넣기'!$A$1:$AZ$1001,ROW(),설정!$C$5)&amp;"","")</f>
        <v/>
      </c>
      <c r="D492" s="5">
        <f>IFERROR(VALUE(SUBSTITUTE(SUBSTITUTE(SUBSTITUTE(IFERROR(INDEX('1.산군_붙여넣기'!$A$1:$AZ$1001,ROW(),설정!$C$6)&amp;"",""),",",""),"㎡",""),"m2","")),"")</f>
        <v/>
      </c>
      <c r="E492">
        <f>IFERROR(INDEX('1.산군_붙여넣기'!$A$1:$AZ$1001,ROW(),설정!$C$7)&amp;"","")</f>
        <v/>
      </c>
      <c r="F492">
        <f>IFERROR(INDEX('1.산군_붙여넣기'!$A$1:$AZ$1001,ROW(),설정!$C$8)&amp;"","")</f>
        <v/>
      </c>
      <c r="G492">
        <f>IFERROR(INDEX('1.산군_붙여넣기'!$A$1:$AZ$1001,ROW(),설정!$C$9)&amp;"","")</f>
        <v/>
      </c>
      <c r="H492">
        <f>IFERROR(INDEX('1.산군_붙여넣기'!$A$1:$AZ$1001,ROW(),설정!$C$10)&amp;"","")</f>
        <v/>
      </c>
      <c r="I492">
        <f>IFERROR(INDEX('1.산군_붙여넣기'!$A$1:$AZ$1001,ROW(),설정!$C$11)&amp;"","")</f>
        <v/>
      </c>
      <c r="J492">
        <f>IFERROR(INDEX('1.산군_붙여넣기'!$A$1:$AZ$1001,ROW(),설정!$C$12)&amp;"","")</f>
        <v/>
      </c>
      <c r="K492">
        <f>IFERROR(INDEX('1.산군_붙여넣기'!$A$1:$AZ$1001,ROW(),설정!$C$13)&amp;"","")</f>
        <v/>
      </c>
      <c r="L492" s="6">
        <f>IF(X492="","",IF(AND(LEN(X492)=8,ISNUMBER(X492*1)),DATE(LEFT(X492,4),MID(X492,5,2),RIGHT(X492,2)),IFERROR(DATEVALUE(SUBSTITUTE(SUBSTITUTE(X492,".","-"),"/","-")),IFERROR(X492*1,""))))</f>
        <v/>
      </c>
      <c r="M492" s="6">
        <f>IF(Y492="","",IF(AND(LEN(Y492)=8,ISNUMBER(Y492*1)),DATE(LEFT(Y492,4),MID(Y492,5,2),RIGHT(Y492,2)),IFERROR(DATEVALUE(SUBSTITUTE(SUBSTITUTE(Y492,".","-"),"/","-")),IFERROR(Y492*1,""))))</f>
        <v/>
      </c>
      <c r="N492">
        <f>IFERROR(LEFT(B492,FIND(" ",B492)-1),B492)</f>
        <v/>
      </c>
      <c r="O492">
        <f>AND(B492&lt;&gt;"",B492&lt;&gt;설정!$B$4,C492&lt;&gt;설정!$B$5)</f>
        <v/>
      </c>
      <c r="P492">
        <f>IF(O492,B492&amp;"|"&amp;C492,"")</f>
        <v/>
      </c>
      <c r="Q492">
        <f>AND(O492,COUNTIF(P493:P$1002,P492)=0)</f>
        <v/>
      </c>
      <c r="R492">
        <f>OR(AND(설정!$A$28&lt;&gt;"",ISNUMBER(SEARCH(설정!$A$28,E492&amp;" "&amp;C492))),AND(설정!$A$29&lt;&gt;"",ISNUMBER(SEARCH(설정!$A$29,E492&amp;" "&amp;C492))),AND(설정!$A$30&lt;&gt;"",ISNUMBER(SEARCH(설정!$A$30,E492&amp;" "&amp;C492))),AND(설정!$A$31&lt;&gt;"",ISNUMBER(SEARCH(설정!$A$31,E492&amp;" "&amp;C492))),AND(설정!$A$32&lt;&gt;"",ISNUMBER(SEARCH(설정!$A$32,E492&amp;" "&amp;C492))),AND(설정!$A$33&lt;&gt;"",ISNUMBER(SEARCH(설정!$A$33,E492&amp;" "&amp;C492))),AND(설정!$A$34&lt;&gt;"",ISNUMBER(SEARCH(설정!$A$34,E492&amp;" "&amp;C492))),AND(설정!$A$35&lt;&gt;"",ISNUMBER(SEARCH(설정!$A$35,E492&amp;" "&amp;C492))),AND(설정!$A$36&lt;&gt;"",ISNUMBER(SEARCH(설정!$A$36,E492&amp;" "&amp;C492))),AND(설정!$A$37&lt;&gt;"",ISNUMBER(SEARCH(설정!$A$37,E492&amp;" "&amp;C492))))</f>
        <v/>
      </c>
      <c r="S492">
        <f>OR(D492="",D492&gt;=설정!$B$19)</f>
        <v/>
      </c>
      <c r="T492">
        <f>AND(Q492,R492,S492)</f>
        <v/>
      </c>
      <c r="U492">
        <f>IF(T492,IF(AND(설정!$A$41&lt;&gt;"",ISNUMBER(SEARCH(설정!$A$41,K492))),설정!$B$41,IF(AND(설정!$A$42&lt;&gt;"",ISNUMBER(SEARCH(설정!$A$42,K492))),설정!$B$42,IF(AND(설정!$A$43&lt;&gt;"",ISNUMBER(SEARCH(설정!$A$43,K492))),설정!$B$43,IF(AND(설정!$A$44&lt;&gt;"",ISNUMBER(SEARCH(설정!$A$44,K492))),설정!$B$44,IF(AND(설정!$A$45&lt;&gt;"",ISNUMBER(SEARCH(설정!$A$45,K492))),설정!$B$45,IF(AND(설정!$A$46&lt;&gt;"",ISNUMBER(SEARCH(설정!$A$46,K492))),설정!$B$46,IF(AND(설정!$A$47&lt;&gt;"",ISNUMBER(SEARCH(설정!$A$47,K492))),설정!$B$47,IF(AND(설정!$A$48&lt;&gt;"",ISNUMBER(SEARCH(설정!$A$48,K492))),설정!$B$48,IF(M492="","설계사","시공사"))))))))),"")</f>
        <v/>
      </c>
      <c r="V492">
        <f>SUBSTITUTE(SUBSTITUTE(SUBSTITUTE(SUBSTITUTE(G492,"(주)",""),"㈜",""),"주식회사","")," ","")</f>
        <v/>
      </c>
      <c r="W492">
        <f>IF(AND(T492,V492&lt;&gt;""),IF(COUNTIFS(V$2:V492,V492,T$2:T492,TRUE)=1,MAX(W$1:W491)+1,""),"")</f>
        <v/>
      </c>
      <c r="X492">
        <f>IFERROR(INDEX('1.산군_붙여넣기'!$A$1:$AZ$1001,ROW(),설정!$C$14)&amp;"","")</f>
        <v/>
      </c>
      <c r="Y492">
        <f>IFERROR(INDEX('1.산군_붙여넣기'!$A$1:$AZ$1001,ROW(),설정!$C$15)&amp;"","")</f>
        <v/>
      </c>
      <c r="Z492">
        <f>IF(T492,V492&amp;"|"&amp;U492,"")</f>
        <v/>
      </c>
    </row>
    <row r="493">
      <c r="A493">
        <f>ROW()</f>
        <v/>
      </c>
      <c r="B493">
        <f>IFERROR(INDEX('1.산군_붙여넣기'!$A$1:$AZ$1001,ROW(),설정!$C$4)&amp;"","")</f>
        <v/>
      </c>
      <c r="C493">
        <f>IFERROR(INDEX('1.산군_붙여넣기'!$A$1:$AZ$1001,ROW(),설정!$C$5)&amp;"","")</f>
        <v/>
      </c>
      <c r="D493" s="5">
        <f>IFERROR(VALUE(SUBSTITUTE(SUBSTITUTE(SUBSTITUTE(IFERROR(INDEX('1.산군_붙여넣기'!$A$1:$AZ$1001,ROW(),설정!$C$6)&amp;"",""),",",""),"㎡",""),"m2","")),"")</f>
        <v/>
      </c>
      <c r="E493">
        <f>IFERROR(INDEX('1.산군_붙여넣기'!$A$1:$AZ$1001,ROW(),설정!$C$7)&amp;"","")</f>
        <v/>
      </c>
      <c r="F493">
        <f>IFERROR(INDEX('1.산군_붙여넣기'!$A$1:$AZ$1001,ROW(),설정!$C$8)&amp;"","")</f>
        <v/>
      </c>
      <c r="G493">
        <f>IFERROR(INDEX('1.산군_붙여넣기'!$A$1:$AZ$1001,ROW(),설정!$C$9)&amp;"","")</f>
        <v/>
      </c>
      <c r="H493">
        <f>IFERROR(INDEX('1.산군_붙여넣기'!$A$1:$AZ$1001,ROW(),설정!$C$10)&amp;"","")</f>
        <v/>
      </c>
      <c r="I493">
        <f>IFERROR(INDEX('1.산군_붙여넣기'!$A$1:$AZ$1001,ROW(),설정!$C$11)&amp;"","")</f>
        <v/>
      </c>
      <c r="J493">
        <f>IFERROR(INDEX('1.산군_붙여넣기'!$A$1:$AZ$1001,ROW(),설정!$C$12)&amp;"","")</f>
        <v/>
      </c>
      <c r="K493">
        <f>IFERROR(INDEX('1.산군_붙여넣기'!$A$1:$AZ$1001,ROW(),설정!$C$13)&amp;"","")</f>
        <v/>
      </c>
      <c r="L493" s="6">
        <f>IF(X493="","",IF(AND(LEN(X493)=8,ISNUMBER(X493*1)),DATE(LEFT(X493,4),MID(X493,5,2),RIGHT(X493,2)),IFERROR(DATEVALUE(SUBSTITUTE(SUBSTITUTE(X493,".","-"),"/","-")),IFERROR(X493*1,""))))</f>
        <v/>
      </c>
      <c r="M493" s="6">
        <f>IF(Y493="","",IF(AND(LEN(Y493)=8,ISNUMBER(Y493*1)),DATE(LEFT(Y493,4),MID(Y493,5,2),RIGHT(Y493,2)),IFERROR(DATEVALUE(SUBSTITUTE(SUBSTITUTE(Y493,".","-"),"/","-")),IFERROR(Y493*1,""))))</f>
        <v/>
      </c>
      <c r="N493">
        <f>IFERROR(LEFT(B493,FIND(" ",B493)-1),B493)</f>
        <v/>
      </c>
      <c r="O493">
        <f>AND(B493&lt;&gt;"",B493&lt;&gt;설정!$B$4,C493&lt;&gt;설정!$B$5)</f>
        <v/>
      </c>
      <c r="P493">
        <f>IF(O493,B493&amp;"|"&amp;C493,"")</f>
        <v/>
      </c>
      <c r="Q493">
        <f>AND(O493,COUNTIF(P494:P$1002,P493)=0)</f>
        <v/>
      </c>
      <c r="R493">
        <f>OR(AND(설정!$A$28&lt;&gt;"",ISNUMBER(SEARCH(설정!$A$28,E493&amp;" "&amp;C493))),AND(설정!$A$29&lt;&gt;"",ISNUMBER(SEARCH(설정!$A$29,E493&amp;" "&amp;C493))),AND(설정!$A$30&lt;&gt;"",ISNUMBER(SEARCH(설정!$A$30,E493&amp;" "&amp;C493))),AND(설정!$A$31&lt;&gt;"",ISNUMBER(SEARCH(설정!$A$31,E493&amp;" "&amp;C493))),AND(설정!$A$32&lt;&gt;"",ISNUMBER(SEARCH(설정!$A$32,E493&amp;" "&amp;C493))),AND(설정!$A$33&lt;&gt;"",ISNUMBER(SEARCH(설정!$A$33,E493&amp;" "&amp;C493))),AND(설정!$A$34&lt;&gt;"",ISNUMBER(SEARCH(설정!$A$34,E493&amp;" "&amp;C493))),AND(설정!$A$35&lt;&gt;"",ISNUMBER(SEARCH(설정!$A$35,E493&amp;" "&amp;C493))),AND(설정!$A$36&lt;&gt;"",ISNUMBER(SEARCH(설정!$A$36,E493&amp;" "&amp;C493))),AND(설정!$A$37&lt;&gt;"",ISNUMBER(SEARCH(설정!$A$37,E493&amp;" "&amp;C493))))</f>
        <v/>
      </c>
      <c r="S493">
        <f>OR(D493="",D493&gt;=설정!$B$19)</f>
        <v/>
      </c>
      <c r="T493">
        <f>AND(Q493,R493,S493)</f>
        <v/>
      </c>
      <c r="U493">
        <f>IF(T493,IF(AND(설정!$A$41&lt;&gt;"",ISNUMBER(SEARCH(설정!$A$41,K493))),설정!$B$41,IF(AND(설정!$A$42&lt;&gt;"",ISNUMBER(SEARCH(설정!$A$42,K493))),설정!$B$42,IF(AND(설정!$A$43&lt;&gt;"",ISNUMBER(SEARCH(설정!$A$43,K493))),설정!$B$43,IF(AND(설정!$A$44&lt;&gt;"",ISNUMBER(SEARCH(설정!$A$44,K493))),설정!$B$44,IF(AND(설정!$A$45&lt;&gt;"",ISNUMBER(SEARCH(설정!$A$45,K493))),설정!$B$45,IF(AND(설정!$A$46&lt;&gt;"",ISNUMBER(SEARCH(설정!$A$46,K493))),설정!$B$46,IF(AND(설정!$A$47&lt;&gt;"",ISNUMBER(SEARCH(설정!$A$47,K493))),설정!$B$47,IF(AND(설정!$A$48&lt;&gt;"",ISNUMBER(SEARCH(설정!$A$48,K493))),설정!$B$48,IF(M493="","설계사","시공사"))))))))),"")</f>
        <v/>
      </c>
      <c r="V493">
        <f>SUBSTITUTE(SUBSTITUTE(SUBSTITUTE(SUBSTITUTE(G493,"(주)",""),"㈜",""),"주식회사","")," ","")</f>
        <v/>
      </c>
      <c r="W493">
        <f>IF(AND(T493,V493&lt;&gt;""),IF(COUNTIFS(V$2:V493,V493,T$2:T493,TRUE)=1,MAX(W$1:W492)+1,""),"")</f>
        <v/>
      </c>
      <c r="X493">
        <f>IFERROR(INDEX('1.산군_붙여넣기'!$A$1:$AZ$1001,ROW(),설정!$C$14)&amp;"","")</f>
        <v/>
      </c>
      <c r="Y493">
        <f>IFERROR(INDEX('1.산군_붙여넣기'!$A$1:$AZ$1001,ROW(),설정!$C$15)&amp;"","")</f>
        <v/>
      </c>
      <c r="Z493">
        <f>IF(T493,V493&amp;"|"&amp;U493,"")</f>
        <v/>
      </c>
    </row>
    <row r="494">
      <c r="A494">
        <f>ROW()</f>
        <v/>
      </c>
      <c r="B494">
        <f>IFERROR(INDEX('1.산군_붙여넣기'!$A$1:$AZ$1001,ROW(),설정!$C$4)&amp;"","")</f>
        <v/>
      </c>
      <c r="C494">
        <f>IFERROR(INDEX('1.산군_붙여넣기'!$A$1:$AZ$1001,ROW(),설정!$C$5)&amp;"","")</f>
        <v/>
      </c>
      <c r="D494" s="5">
        <f>IFERROR(VALUE(SUBSTITUTE(SUBSTITUTE(SUBSTITUTE(IFERROR(INDEX('1.산군_붙여넣기'!$A$1:$AZ$1001,ROW(),설정!$C$6)&amp;"",""),",",""),"㎡",""),"m2","")),"")</f>
        <v/>
      </c>
      <c r="E494">
        <f>IFERROR(INDEX('1.산군_붙여넣기'!$A$1:$AZ$1001,ROW(),설정!$C$7)&amp;"","")</f>
        <v/>
      </c>
      <c r="F494">
        <f>IFERROR(INDEX('1.산군_붙여넣기'!$A$1:$AZ$1001,ROW(),설정!$C$8)&amp;"","")</f>
        <v/>
      </c>
      <c r="G494">
        <f>IFERROR(INDEX('1.산군_붙여넣기'!$A$1:$AZ$1001,ROW(),설정!$C$9)&amp;"","")</f>
        <v/>
      </c>
      <c r="H494">
        <f>IFERROR(INDEX('1.산군_붙여넣기'!$A$1:$AZ$1001,ROW(),설정!$C$10)&amp;"","")</f>
        <v/>
      </c>
      <c r="I494">
        <f>IFERROR(INDEX('1.산군_붙여넣기'!$A$1:$AZ$1001,ROW(),설정!$C$11)&amp;"","")</f>
        <v/>
      </c>
      <c r="J494">
        <f>IFERROR(INDEX('1.산군_붙여넣기'!$A$1:$AZ$1001,ROW(),설정!$C$12)&amp;"","")</f>
        <v/>
      </c>
      <c r="K494">
        <f>IFERROR(INDEX('1.산군_붙여넣기'!$A$1:$AZ$1001,ROW(),설정!$C$13)&amp;"","")</f>
        <v/>
      </c>
      <c r="L494" s="6">
        <f>IF(X494="","",IF(AND(LEN(X494)=8,ISNUMBER(X494*1)),DATE(LEFT(X494,4),MID(X494,5,2),RIGHT(X494,2)),IFERROR(DATEVALUE(SUBSTITUTE(SUBSTITUTE(X494,".","-"),"/","-")),IFERROR(X494*1,""))))</f>
        <v/>
      </c>
      <c r="M494" s="6">
        <f>IF(Y494="","",IF(AND(LEN(Y494)=8,ISNUMBER(Y494*1)),DATE(LEFT(Y494,4),MID(Y494,5,2),RIGHT(Y494,2)),IFERROR(DATEVALUE(SUBSTITUTE(SUBSTITUTE(Y494,".","-"),"/","-")),IFERROR(Y494*1,""))))</f>
        <v/>
      </c>
      <c r="N494">
        <f>IFERROR(LEFT(B494,FIND(" ",B494)-1),B494)</f>
        <v/>
      </c>
      <c r="O494">
        <f>AND(B494&lt;&gt;"",B494&lt;&gt;설정!$B$4,C494&lt;&gt;설정!$B$5)</f>
        <v/>
      </c>
      <c r="P494">
        <f>IF(O494,B494&amp;"|"&amp;C494,"")</f>
        <v/>
      </c>
      <c r="Q494">
        <f>AND(O494,COUNTIF(P495:P$1002,P494)=0)</f>
        <v/>
      </c>
      <c r="R494">
        <f>OR(AND(설정!$A$28&lt;&gt;"",ISNUMBER(SEARCH(설정!$A$28,E494&amp;" "&amp;C494))),AND(설정!$A$29&lt;&gt;"",ISNUMBER(SEARCH(설정!$A$29,E494&amp;" "&amp;C494))),AND(설정!$A$30&lt;&gt;"",ISNUMBER(SEARCH(설정!$A$30,E494&amp;" "&amp;C494))),AND(설정!$A$31&lt;&gt;"",ISNUMBER(SEARCH(설정!$A$31,E494&amp;" "&amp;C494))),AND(설정!$A$32&lt;&gt;"",ISNUMBER(SEARCH(설정!$A$32,E494&amp;" "&amp;C494))),AND(설정!$A$33&lt;&gt;"",ISNUMBER(SEARCH(설정!$A$33,E494&amp;" "&amp;C494))),AND(설정!$A$34&lt;&gt;"",ISNUMBER(SEARCH(설정!$A$34,E494&amp;" "&amp;C494))),AND(설정!$A$35&lt;&gt;"",ISNUMBER(SEARCH(설정!$A$35,E494&amp;" "&amp;C494))),AND(설정!$A$36&lt;&gt;"",ISNUMBER(SEARCH(설정!$A$36,E494&amp;" "&amp;C494))),AND(설정!$A$37&lt;&gt;"",ISNUMBER(SEARCH(설정!$A$37,E494&amp;" "&amp;C494))))</f>
        <v/>
      </c>
      <c r="S494">
        <f>OR(D494="",D494&gt;=설정!$B$19)</f>
        <v/>
      </c>
      <c r="T494">
        <f>AND(Q494,R494,S494)</f>
        <v/>
      </c>
      <c r="U494">
        <f>IF(T494,IF(AND(설정!$A$41&lt;&gt;"",ISNUMBER(SEARCH(설정!$A$41,K494))),설정!$B$41,IF(AND(설정!$A$42&lt;&gt;"",ISNUMBER(SEARCH(설정!$A$42,K494))),설정!$B$42,IF(AND(설정!$A$43&lt;&gt;"",ISNUMBER(SEARCH(설정!$A$43,K494))),설정!$B$43,IF(AND(설정!$A$44&lt;&gt;"",ISNUMBER(SEARCH(설정!$A$44,K494))),설정!$B$44,IF(AND(설정!$A$45&lt;&gt;"",ISNUMBER(SEARCH(설정!$A$45,K494))),설정!$B$45,IF(AND(설정!$A$46&lt;&gt;"",ISNUMBER(SEARCH(설정!$A$46,K494))),설정!$B$46,IF(AND(설정!$A$47&lt;&gt;"",ISNUMBER(SEARCH(설정!$A$47,K494))),설정!$B$47,IF(AND(설정!$A$48&lt;&gt;"",ISNUMBER(SEARCH(설정!$A$48,K494))),설정!$B$48,IF(M494="","설계사","시공사"))))))))),"")</f>
        <v/>
      </c>
      <c r="V494">
        <f>SUBSTITUTE(SUBSTITUTE(SUBSTITUTE(SUBSTITUTE(G494,"(주)",""),"㈜",""),"주식회사","")," ","")</f>
        <v/>
      </c>
      <c r="W494">
        <f>IF(AND(T494,V494&lt;&gt;""),IF(COUNTIFS(V$2:V494,V494,T$2:T494,TRUE)=1,MAX(W$1:W493)+1,""),"")</f>
        <v/>
      </c>
      <c r="X494">
        <f>IFERROR(INDEX('1.산군_붙여넣기'!$A$1:$AZ$1001,ROW(),설정!$C$14)&amp;"","")</f>
        <v/>
      </c>
      <c r="Y494">
        <f>IFERROR(INDEX('1.산군_붙여넣기'!$A$1:$AZ$1001,ROW(),설정!$C$15)&amp;"","")</f>
        <v/>
      </c>
      <c r="Z494">
        <f>IF(T494,V494&amp;"|"&amp;U494,"")</f>
        <v/>
      </c>
    </row>
    <row r="495">
      <c r="A495">
        <f>ROW()</f>
        <v/>
      </c>
      <c r="B495">
        <f>IFERROR(INDEX('1.산군_붙여넣기'!$A$1:$AZ$1001,ROW(),설정!$C$4)&amp;"","")</f>
        <v/>
      </c>
      <c r="C495">
        <f>IFERROR(INDEX('1.산군_붙여넣기'!$A$1:$AZ$1001,ROW(),설정!$C$5)&amp;"","")</f>
        <v/>
      </c>
      <c r="D495" s="5">
        <f>IFERROR(VALUE(SUBSTITUTE(SUBSTITUTE(SUBSTITUTE(IFERROR(INDEX('1.산군_붙여넣기'!$A$1:$AZ$1001,ROW(),설정!$C$6)&amp;"",""),",",""),"㎡",""),"m2","")),"")</f>
        <v/>
      </c>
      <c r="E495">
        <f>IFERROR(INDEX('1.산군_붙여넣기'!$A$1:$AZ$1001,ROW(),설정!$C$7)&amp;"","")</f>
        <v/>
      </c>
      <c r="F495">
        <f>IFERROR(INDEX('1.산군_붙여넣기'!$A$1:$AZ$1001,ROW(),설정!$C$8)&amp;"","")</f>
        <v/>
      </c>
      <c r="G495">
        <f>IFERROR(INDEX('1.산군_붙여넣기'!$A$1:$AZ$1001,ROW(),설정!$C$9)&amp;"","")</f>
        <v/>
      </c>
      <c r="H495">
        <f>IFERROR(INDEX('1.산군_붙여넣기'!$A$1:$AZ$1001,ROW(),설정!$C$10)&amp;"","")</f>
        <v/>
      </c>
      <c r="I495">
        <f>IFERROR(INDEX('1.산군_붙여넣기'!$A$1:$AZ$1001,ROW(),설정!$C$11)&amp;"","")</f>
        <v/>
      </c>
      <c r="J495">
        <f>IFERROR(INDEX('1.산군_붙여넣기'!$A$1:$AZ$1001,ROW(),설정!$C$12)&amp;"","")</f>
        <v/>
      </c>
      <c r="K495">
        <f>IFERROR(INDEX('1.산군_붙여넣기'!$A$1:$AZ$1001,ROW(),설정!$C$13)&amp;"","")</f>
        <v/>
      </c>
      <c r="L495" s="6">
        <f>IF(X495="","",IF(AND(LEN(X495)=8,ISNUMBER(X495*1)),DATE(LEFT(X495,4),MID(X495,5,2),RIGHT(X495,2)),IFERROR(DATEVALUE(SUBSTITUTE(SUBSTITUTE(X495,".","-"),"/","-")),IFERROR(X495*1,""))))</f>
        <v/>
      </c>
      <c r="M495" s="6">
        <f>IF(Y495="","",IF(AND(LEN(Y495)=8,ISNUMBER(Y495*1)),DATE(LEFT(Y495,4),MID(Y495,5,2),RIGHT(Y495,2)),IFERROR(DATEVALUE(SUBSTITUTE(SUBSTITUTE(Y495,".","-"),"/","-")),IFERROR(Y495*1,""))))</f>
        <v/>
      </c>
      <c r="N495">
        <f>IFERROR(LEFT(B495,FIND(" ",B495)-1),B495)</f>
        <v/>
      </c>
      <c r="O495">
        <f>AND(B495&lt;&gt;"",B495&lt;&gt;설정!$B$4,C495&lt;&gt;설정!$B$5)</f>
        <v/>
      </c>
      <c r="P495">
        <f>IF(O495,B495&amp;"|"&amp;C495,"")</f>
        <v/>
      </c>
      <c r="Q495">
        <f>AND(O495,COUNTIF(P496:P$1002,P495)=0)</f>
        <v/>
      </c>
      <c r="R495">
        <f>OR(AND(설정!$A$28&lt;&gt;"",ISNUMBER(SEARCH(설정!$A$28,E495&amp;" "&amp;C495))),AND(설정!$A$29&lt;&gt;"",ISNUMBER(SEARCH(설정!$A$29,E495&amp;" "&amp;C495))),AND(설정!$A$30&lt;&gt;"",ISNUMBER(SEARCH(설정!$A$30,E495&amp;" "&amp;C495))),AND(설정!$A$31&lt;&gt;"",ISNUMBER(SEARCH(설정!$A$31,E495&amp;" "&amp;C495))),AND(설정!$A$32&lt;&gt;"",ISNUMBER(SEARCH(설정!$A$32,E495&amp;" "&amp;C495))),AND(설정!$A$33&lt;&gt;"",ISNUMBER(SEARCH(설정!$A$33,E495&amp;" "&amp;C495))),AND(설정!$A$34&lt;&gt;"",ISNUMBER(SEARCH(설정!$A$34,E495&amp;" "&amp;C495))),AND(설정!$A$35&lt;&gt;"",ISNUMBER(SEARCH(설정!$A$35,E495&amp;" "&amp;C495))),AND(설정!$A$36&lt;&gt;"",ISNUMBER(SEARCH(설정!$A$36,E495&amp;" "&amp;C495))),AND(설정!$A$37&lt;&gt;"",ISNUMBER(SEARCH(설정!$A$37,E495&amp;" "&amp;C495))))</f>
        <v/>
      </c>
      <c r="S495">
        <f>OR(D495="",D495&gt;=설정!$B$19)</f>
        <v/>
      </c>
      <c r="T495">
        <f>AND(Q495,R495,S495)</f>
        <v/>
      </c>
      <c r="U495">
        <f>IF(T495,IF(AND(설정!$A$41&lt;&gt;"",ISNUMBER(SEARCH(설정!$A$41,K495))),설정!$B$41,IF(AND(설정!$A$42&lt;&gt;"",ISNUMBER(SEARCH(설정!$A$42,K495))),설정!$B$42,IF(AND(설정!$A$43&lt;&gt;"",ISNUMBER(SEARCH(설정!$A$43,K495))),설정!$B$43,IF(AND(설정!$A$44&lt;&gt;"",ISNUMBER(SEARCH(설정!$A$44,K495))),설정!$B$44,IF(AND(설정!$A$45&lt;&gt;"",ISNUMBER(SEARCH(설정!$A$45,K495))),설정!$B$45,IF(AND(설정!$A$46&lt;&gt;"",ISNUMBER(SEARCH(설정!$A$46,K495))),설정!$B$46,IF(AND(설정!$A$47&lt;&gt;"",ISNUMBER(SEARCH(설정!$A$47,K495))),설정!$B$47,IF(AND(설정!$A$48&lt;&gt;"",ISNUMBER(SEARCH(설정!$A$48,K495))),설정!$B$48,IF(M495="","설계사","시공사"))))))))),"")</f>
        <v/>
      </c>
      <c r="V495">
        <f>SUBSTITUTE(SUBSTITUTE(SUBSTITUTE(SUBSTITUTE(G495,"(주)",""),"㈜",""),"주식회사","")," ","")</f>
        <v/>
      </c>
      <c r="W495">
        <f>IF(AND(T495,V495&lt;&gt;""),IF(COUNTIFS(V$2:V495,V495,T$2:T495,TRUE)=1,MAX(W$1:W494)+1,""),"")</f>
        <v/>
      </c>
      <c r="X495">
        <f>IFERROR(INDEX('1.산군_붙여넣기'!$A$1:$AZ$1001,ROW(),설정!$C$14)&amp;"","")</f>
        <v/>
      </c>
      <c r="Y495">
        <f>IFERROR(INDEX('1.산군_붙여넣기'!$A$1:$AZ$1001,ROW(),설정!$C$15)&amp;"","")</f>
        <v/>
      </c>
      <c r="Z495">
        <f>IF(T495,V495&amp;"|"&amp;U495,"")</f>
        <v/>
      </c>
    </row>
    <row r="496">
      <c r="A496">
        <f>ROW()</f>
        <v/>
      </c>
      <c r="B496">
        <f>IFERROR(INDEX('1.산군_붙여넣기'!$A$1:$AZ$1001,ROW(),설정!$C$4)&amp;"","")</f>
        <v/>
      </c>
      <c r="C496">
        <f>IFERROR(INDEX('1.산군_붙여넣기'!$A$1:$AZ$1001,ROW(),설정!$C$5)&amp;"","")</f>
        <v/>
      </c>
      <c r="D496" s="5">
        <f>IFERROR(VALUE(SUBSTITUTE(SUBSTITUTE(SUBSTITUTE(IFERROR(INDEX('1.산군_붙여넣기'!$A$1:$AZ$1001,ROW(),설정!$C$6)&amp;"",""),",",""),"㎡",""),"m2","")),"")</f>
        <v/>
      </c>
      <c r="E496">
        <f>IFERROR(INDEX('1.산군_붙여넣기'!$A$1:$AZ$1001,ROW(),설정!$C$7)&amp;"","")</f>
        <v/>
      </c>
      <c r="F496">
        <f>IFERROR(INDEX('1.산군_붙여넣기'!$A$1:$AZ$1001,ROW(),설정!$C$8)&amp;"","")</f>
        <v/>
      </c>
      <c r="G496">
        <f>IFERROR(INDEX('1.산군_붙여넣기'!$A$1:$AZ$1001,ROW(),설정!$C$9)&amp;"","")</f>
        <v/>
      </c>
      <c r="H496">
        <f>IFERROR(INDEX('1.산군_붙여넣기'!$A$1:$AZ$1001,ROW(),설정!$C$10)&amp;"","")</f>
        <v/>
      </c>
      <c r="I496">
        <f>IFERROR(INDEX('1.산군_붙여넣기'!$A$1:$AZ$1001,ROW(),설정!$C$11)&amp;"","")</f>
        <v/>
      </c>
      <c r="J496">
        <f>IFERROR(INDEX('1.산군_붙여넣기'!$A$1:$AZ$1001,ROW(),설정!$C$12)&amp;"","")</f>
        <v/>
      </c>
      <c r="K496">
        <f>IFERROR(INDEX('1.산군_붙여넣기'!$A$1:$AZ$1001,ROW(),설정!$C$13)&amp;"","")</f>
        <v/>
      </c>
      <c r="L496" s="6">
        <f>IF(X496="","",IF(AND(LEN(X496)=8,ISNUMBER(X496*1)),DATE(LEFT(X496,4),MID(X496,5,2),RIGHT(X496,2)),IFERROR(DATEVALUE(SUBSTITUTE(SUBSTITUTE(X496,".","-"),"/","-")),IFERROR(X496*1,""))))</f>
        <v/>
      </c>
      <c r="M496" s="6">
        <f>IF(Y496="","",IF(AND(LEN(Y496)=8,ISNUMBER(Y496*1)),DATE(LEFT(Y496,4),MID(Y496,5,2),RIGHT(Y496,2)),IFERROR(DATEVALUE(SUBSTITUTE(SUBSTITUTE(Y496,".","-"),"/","-")),IFERROR(Y496*1,""))))</f>
        <v/>
      </c>
      <c r="N496">
        <f>IFERROR(LEFT(B496,FIND(" ",B496)-1),B496)</f>
        <v/>
      </c>
      <c r="O496">
        <f>AND(B496&lt;&gt;"",B496&lt;&gt;설정!$B$4,C496&lt;&gt;설정!$B$5)</f>
        <v/>
      </c>
      <c r="P496">
        <f>IF(O496,B496&amp;"|"&amp;C496,"")</f>
        <v/>
      </c>
      <c r="Q496">
        <f>AND(O496,COUNTIF(P497:P$1002,P496)=0)</f>
        <v/>
      </c>
      <c r="R496">
        <f>OR(AND(설정!$A$28&lt;&gt;"",ISNUMBER(SEARCH(설정!$A$28,E496&amp;" "&amp;C496))),AND(설정!$A$29&lt;&gt;"",ISNUMBER(SEARCH(설정!$A$29,E496&amp;" "&amp;C496))),AND(설정!$A$30&lt;&gt;"",ISNUMBER(SEARCH(설정!$A$30,E496&amp;" "&amp;C496))),AND(설정!$A$31&lt;&gt;"",ISNUMBER(SEARCH(설정!$A$31,E496&amp;" "&amp;C496))),AND(설정!$A$32&lt;&gt;"",ISNUMBER(SEARCH(설정!$A$32,E496&amp;" "&amp;C496))),AND(설정!$A$33&lt;&gt;"",ISNUMBER(SEARCH(설정!$A$33,E496&amp;" "&amp;C496))),AND(설정!$A$34&lt;&gt;"",ISNUMBER(SEARCH(설정!$A$34,E496&amp;" "&amp;C496))),AND(설정!$A$35&lt;&gt;"",ISNUMBER(SEARCH(설정!$A$35,E496&amp;" "&amp;C496))),AND(설정!$A$36&lt;&gt;"",ISNUMBER(SEARCH(설정!$A$36,E496&amp;" "&amp;C496))),AND(설정!$A$37&lt;&gt;"",ISNUMBER(SEARCH(설정!$A$37,E496&amp;" "&amp;C496))))</f>
        <v/>
      </c>
      <c r="S496">
        <f>OR(D496="",D496&gt;=설정!$B$19)</f>
        <v/>
      </c>
      <c r="T496">
        <f>AND(Q496,R496,S496)</f>
        <v/>
      </c>
      <c r="U496">
        <f>IF(T496,IF(AND(설정!$A$41&lt;&gt;"",ISNUMBER(SEARCH(설정!$A$41,K496))),설정!$B$41,IF(AND(설정!$A$42&lt;&gt;"",ISNUMBER(SEARCH(설정!$A$42,K496))),설정!$B$42,IF(AND(설정!$A$43&lt;&gt;"",ISNUMBER(SEARCH(설정!$A$43,K496))),설정!$B$43,IF(AND(설정!$A$44&lt;&gt;"",ISNUMBER(SEARCH(설정!$A$44,K496))),설정!$B$44,IF(AND(설정!$A$45&lt;&gt;"",ISNUMBER(SEARCH(설정!$A$45,K496))),설정!$B$45,IF(AND(설정!$A$46&lt;&gt;"",ISNUMBER(SEARCH(설정!$A$46,K496))),설정!$B$46,IF(AND(설정!$A$47&lt;&gt;"",ISNUMBER(SEARCH(설정!$A$47,K496))),설정!$B$47,IF(AND(설정!$A$48&lt;&gt;"",ISNUMBER(SEARCH(설정!$A$48,K496))),설정!$B$48,IF(M496="","설계사","시공사"))))))))),"")</f>
        <v/>
      </c>
      <c r="V496">
        <f>SUBSTITUTE(SUBSTITUTE(SUBSTITUTE(SUBSTITUTE(G496,"(주)",""),"㈜",""),"주식회사","")," ","")</f>
        <v/>
      </c>
      <c r="W496">
        <f>IF(AND(T496,V496&lt;&gt;""),IF(COUNTIFS(V$2:V496,V496,T$2:T496,TRUE)=1,MAX(W$1:W495)+1,""),"")</f>
        <v/>
      </c>
      <c r="X496">
        <f>IFERROR(INDEX('1.산군_붙여넣기'!$A$1:$AZ$1001,ROW(),설정!$C$14)&amp;"","")</f>
        <v/>
      </c>
      <c r="Y496">
        <f>IFERROR(INDEX('1.산군_붙여넣기'!$A$1:$AZ$1001,ROW(),설정!$C$15)&amp;"","")</f>
        <v/>
      </c>
      <c r="Z496">
        <f>IF(T496,V496&amp;"|"&amp;U496,"")</f>
        <v/>
      </c>
    </row>
    <row r="497">
      <c r="A497">
        <f>ROW()</f>
        <v/>
      </c>
      <c r="B497">
        <f>IFERROR(INDEX('1.산군_붙여넣기'!$A$1:$AZ$1001,ROW(),설정!$C$4)&amp;"","")</f>
        <v/>
      </c>
      <c r="C497">
        <f>IFERROR(INDEX('1.산군_붙여넣기'!$A$1:$AZ$1001,ROW(),설정!$C$5)&amp;"","")</f>
        <v/>
      </c>
      <c r="D497" s="5">
        <f>IFERROR(VALUE(SUBSTITUTE(SUBSTITUTE(SUBSTITUTE(IFERROR(INDEX('1.산군_붙여넣기'!$A$1:$AZ$1001,ROW(),설정!$C$6)&amp;"",""),",",""),"㎡",""),"m2","")),"")</f>
        <v/>
      </c>
      <c r="E497">
        <f>IFERROR(INDEX('1.산군_붙여넣기'!$A$1:$AZ$1001,ROW(),설정!$C$7)&amp;"","")</f>
        <v/>
      </c>
      <c r="F497">
        <f>IFERROR(INDEX('1.산군_붙여넣기'!$A$1:$AZ$1001,ROW(),설정!$C$8)&amp;"","")</f>
        <v/>
      </c>
      <c r="G497">
        <f>IFERROR(INDEX('1.산군_붙여넣기'!$A$1:$AZ$1001,ROW(),설정!$C$9)&amp;"","")</f>
        <v/>
      </c>
      <c r="H497">
        <f>IFERROR(INDEX('1.산군_붙여넣기'!$A$1:$AZ$1001,ROW(),설정!$C$10)&amp;"","")</f>
        <v/>
      </c>
      <c r="I497">
        <f>IFERROR(INDEX('1.산군_붙여넣기'!$A$1:$AZ$1001,ROW(),설정!$C$11)&amp;"","")</f>
        <v/>
      </c>
      <c r="J497">
        <f>IFERROR(INDEX('1.산군_붙여넣기'!$A$1:$AZ$1001,ROW(),설정!$C$12)&amp;"","")</f>
        <v/>
      </c>
      <c r="K497">
        <f>IFERROR(INDEX('1.산군_붙여넣기'!$A$1:$AZ$1001,ROW(),설정!$C$13)&amp;"","")</f>
        <v/>
      </c>
      <c r="L497" s="6">
        <f>IF(X497="","",IF(AND(LEN(X497)=8,ISNUMBER(X497*1)),DATE(LEFT(X497,4),MID(X497,5,2),RIGHT(X497,2)),IFERROR(DATEVALUE(SUBSTITUTE(SUBSTITUTE(X497,".","-"),"/","-")),IFERROR(X497*1,""))))</f>
        <v/>
      </c>
      <c r="M497" s="6">
        <f>IF(Y497="","",IF(AND(LEN(Y497)=8,ISNUMBER(Y497*1)),DATE(LEFT(Y497,4),MID(Y497,5,2),RIGHT(Y497,2)),IFERROR(DATEVALUE(SUBSTITUTE(SUBSTITUTE(Y497,".","-"),"/","-")),IFERROR(Y497*1,""))))</f>
        <v/>
      </c>
      <c r="N497">
        <f>IFERROR(LEFT(B497,FIND(" ",B497)-1),B497)</f>
        <v/>
      </c>
      <c r="O497">
        <f>AND(B497&lt;&gt;"",B497&lt;&gt;설정!$B$4,C497&lt;&gt;설정!$B$5)</f>
        <v/>
      </c>
      <c r="P497">
        <f>IF(O497,B497&amp;"|"&amp;C497,"")</f>
        <v/>
      </c>
      <c r="Q497">
        <f>AND(O497,COUNTIF(P498:P$1002,P497)=0)</f>
        <v/>
      </c>
      <c r="R497">
        <f>OR(AND(설정!$A$28&lt;&gt;"",ISNUMBER(SEARCH(설정!$A$28,E497&amp;" "&amp;C497))),AND(설정!$A$29&lt;&gt;"",ISNUMBER(SEARCH(설정!$A$29,E497&amp;" "&amp;C497))),AND(설정!$A$30&lt;&gt;"",ISNUMBER(SEARCH(설정!$A$30,E497&amp;" "&amp;C497))),AND(설정!$A$31&lt;&gt;"",ISNUMBER(SEARCH(설정!$A$31,E497&amp;" "&amp;C497))),AND(설정!$A$32&lt;&gt;"",ISNUMBER(SEARCH(설정!$A$32,E497&amp;" "&amp;C497))),AND(설정!$A$33&lt;&gt;"",ISNUMBER(SEARCH(설정!$A$33,E497&amp;" "&amp;C497))),AND(설정!$A$34&lt;&gt;"",ISNUMBER(SEARCH(설정!$A$34,E497&amp;" "&amp;C497))),AND(설정!$A$35&lt;&gt;"",ISNUMBER(SEARCH(설정!$A$35,E497&amp;" "&amp;C497))),AND(설정!$A$36&lt;&gt;"",ISNUMBER(SEARCH(설정!$A$36,E497&amp;" "&amp;C497))),AND(설정!$A$37&lt;&gt;"",ISNUMBER(SEARCH(설정!$A$37,E497&amp;" "&amp;C497))))</f>
        <v/>
      </c>
      <c r="S497">
        <f>OR(D497="",D497&gt;=설정!$B$19)</f>
        <v/>
      </c>
      <c r="T497">
        <f>AND(Q497,R497,S497)</f>
        <v/>
      </c>
      <c r="U497">
        <f>IF(T497,IF(AND(설정!$A$41&lt;&gt;"",ISNUMBER(SEARCH(설정!$A$41,K497))),설정!$B$41,IF(AND(설정!$A$42&lt;&gt;"",ISNUMBER(SEARCH(설정!$A$42,K497))),설정!$B$42,IF(AND(설정!$A$43&lt;&gt;"",ISNUMBER(SEARCH(설정!$A$43,K497))),설정!$B$43,IF(AND(설정!$A$44&lt;&gt;"",ISNUMBER(SEARCH(설정!$A$44,K497))),설정!$B$44,IF(AND(설정!$A$45&lt;&gt;"",ISNUMBER(SEARCH(설정!$A$45,K497))),설정!$B$45,IF(AND(설정!$A$46&lt;&gt;"",ISNUMBER(SEARCH(설정!$A$46,K497))),설정!$B$46,IF(AND(설정!$A$47&lt;&gt;"",ISNUMBER(SEARCH(설정!$A$47,K497))),설정!$B$47,IF(AND(설정!$A$48&lt;&gt;"",ISNUMBER(SEARCH(설정!$A$48,K497))),설정!$B$48,IF(M497="","설계사","시공사"))))))))),"")</f>
        <v/>
      </c>
      <c r="V497">
        <f>SUBSTITUTE(SUBSTITUTE(SUBSTITUTE(SUBSTITUTE(G497,"(주)",""),"㈜",""),"주식회사","")," ","")</f>
        <v/>
      </c>
      <c r="W497">
        <f>IF(AND(T497,V497&lt;&gt;""),IF(COUNTIFS(V$2:V497,V497,T$2:T497,TRUE)=1,MAX(W$1:W496)+1,""),"")</f>
        <v/>
      </c>
      <c r="X497">
        <f>IFERROR(INDEX('1.산군_붙여넣기'!$A$1:$AZ$1001,ROW(),설정!$C$14)&amp;"","")</f>
        <v/>
      </c>
      <c r="Y497">
        <f>IFERROR(INDEX('1.산군_붙여넣기'!$A$1:$AZ$1001,ROW(),설정!$C$15)&amp;"","")</f>
        <v/>
      </c>
      <c r="Z497">
        <f>IF(T497,V497&amp;"|"&amp;U497,"")</f>
        <v/>
      </c>
    </row>
    <row r="498">
      <c r="A498">
        <f>ROW()</f>
        <v/>
      </c>
      <c r="B498">
        <f>IFERROR(INDEX('1.산군_붙여넣기'!$A$1:$AZ$1001,ROW(),설정!$C$4)&amp;"","")</f>
        <v/>
      </c>
      <c r="C498">
        <f>IFERROR(INDEX('1.산군_붙여넣기'!$A$1:$AZ$1001,ROW(),설정!$C$5)&amp;"","")</f>
        <v/>
      </c>
      <c r="D498" s="5">
        <f>IFERROR(VALUE(SUBSTITUTE(SUBSTITUTE(SUBSTITUTE(IFERROR(INDEX('1.산군_붙여넣기'!$A$1:$AZ$1001,ROW(),설정!$C$6)&amp;"",""),",",""),"㎡",""),"m2","")),"")</f>
        <v/>
      </c>
      <c r="E498">
        <f>IFERROR(INDEX('1.산군_붙여넣기'!$A$1:$AZ$1001,ROW(),설정!$C$7)&amp;"","")</f>
        <v/>
      </c>
      <c r="F498">
        <f>IFERROR(INDEX('1.산군_붙여넣기'!$A$1:$AZ$1001,ROW(),설정!$C$8)&amp;"","")</f>
        <v/>
      </c>
      <c r="G498">
        <f>IFERROR(INDEX('1.산군_붙여넣기'!$A$1:$AZ$1001,ROW(),설정!$C$9)&amp;"","")</f>
        <v/>
      </c>
      <c r="H498">
        <f>IFERROR(INDEX('1.산군_붙여넣기'!$A$1:$AZ$1001,ROW(),설정!$C$10)&amp;"","")</f>
        <v/>
      </c>
      <c r="I498">
        <f>IFERROR(INDEX('1.산군_붙여넣기'!$A$1:$AZ$1001,ROW(),설정!$C$11)&amp;"","")</f>
        <v/>
      </c>
      <c r="J498">
        <f>IFERROR(INDEX('1.산군_붙여넣기'!$A$1:$AZ$1001,ROW(),설정!$C$12)&amp;"","")</f>
        <v/>
      </c>
      <c r="K498">
        <f>IFERROR(INDEX('1.산군_붙여넣기'!$A$1:$AZ$1001,ROW(),설정!$C$13)&amp;"","")</f>
        <v/>
      </c>
      <c r="L498" s="6">
        <f>IF(X498="","",IF(AND(LEN(X498)=8,ISNUMBER(X498*1)),DATE(LEFT(X498,4),MID(X498,5,2),RIGHT(X498,2)),IFERROR(DATEVALUE(SUBSTITUTE(SUBSTITUTE(X498,".","-"),"/","-")),IFERROR(X498*1,""))))</f>
        <v/>
      </c>
      <c r="M498" s="6">
        <f>IF(Y498="","",IF(AND(LEN(Y498)=8,ISNUMBER(Y498*1)),DATE(LEFT(Y498,4),MID(Y498,5,2),RIGHT(Y498,2)),IFERROR(DATEVALUE(SUBSTITUTE(SUBSTITUTE(Y498,".","-"),"/","-")),IFERROR(Y498*1,""))))</f>
        <v/>
      </c>
      <c r="N498">
        <f>IFERROR(LEFT(B498,FIND(" ",B498)-1),B498)</f>
        <v/>
      </c>
      <c r="O498">
        <f>AND(B498&lt;&gt;"",B498&lt;&gt;설정!$B$4,C498&lt;&gt;설정!$B$5)</f>
        <v/>
      </c>
      <c r="P498">
        <f>IF(O498,B498&amp;"|"&amp;C498,"")</f>
        <v/>
      </c>
      <c r="Q498">
        <f>AND(O498,COUNTIF(P499:P$1002,P498)=0)</f>
        <v/>
      </c>
      <c r="R498">
        <f>OR(AND(설정!$A$28&lt;&gt;"",ISNUMBER(SEARCH(설정!$A$28,E498&amp;" "&amp;C498))),AND(설정!$A$29&lt;&gt;"",ISNUMBER(SEARCH(설정!$A$29,E498&amp;" "&amp;C498))),AND(설정!$A$30&lt;&gt;"",ISNUMBER(SEARCH(설정!$A$30,E498&amp;" "&amp;C498))),AND(설정!$A$31&lt;&gt;"",ISNUMBER(SEARCH(설정!$A$31,E498&amp;" "&amp;C498))),AND(설정!$A$32&lt;&gt;"",ISNUMBER(SEARCH(설정!$A$32,E498&amp;" "&amp;C498))),AND(설정!$A$33&lt;&gt;"",ISNUMBER(SEARCH(설정!$A$33,E498&amp;" "&amp;C498))),AND(설정!$A$34&lt;&gt;"",ISNUMBER(SEARCH(설정!$A$34,E498&amp;" "&amp;C498))),AND(설정!$A$35&lt;&gt;"",ISNUMBER(SEARCH(설정!$A$35,E498&amp;" "&amp;C498))),AND(설정!$A$36&lt;&gt;"",ISNUMBER(SEARCH(설정!$A$36,E498&amp;" "&amp;C498))),AND(설정!$A$37&lt;&gt;"",ISNUMBER(SEARCH(설정!$A$37,E498&amp;" "&amp;C498))))</f>
        <v/>
      </c>
      <c r="S498">
        <f>OR(D498="",D498&gt;=설정!$B$19)</f>
        <v/>
      </c>
      <c r="T498">
        <f>AND(Q498,R498,S498)</f>
        <v/>
      </c>
      <c r="U498">
        <f>IF(T498,IF(AND(설정!$A$41&lt;&gt;"",ISNUMBER(SEARCH(설정!$A$41,K498))),설정!$B$41,IF(AND(설정!$A$42&lt;&gt;"",ISNUMBER(SEARCH(설정!$A$42,K498))),설정!$B$42,IF(AND(설정!$A$43&lt;&gt;"",ISNUMBER(SEARCH(설정!$A$43,K498))),설정!$B$43,IF(AND(설정!$A$44&lt;&gt;"",ISNUMBER(SEARCH(설정!$A$44,K498))),설정!$B$44,IF(AND(설정!$A$45&lt;&gt;"",ISNUMBER(SEARCH(설정!$A$45,K498))),설정!$B$45,IF(AND(설정!$A$46&lt;&gt;"",ISNUMBER(SEARCH(설정!$A$46,K498))),설정!$B$46,IF(AND(설정!$A$47&lt;&gt;"",ISNUMBER(SEARCH(설정!$A$47,K498))),설정!$B$47,IF(AND(설정!$A$48&lt;&gt;"",ISNUMBER(SEARCH(설정!$A$48,K498))),설정!$B$48,IF(M498="","설계사","시공사"))))))))),"")</f>
        <v/>
      </c>
      <c r="V498">
        <f>SUBSTITUTE(SUBSTITUTE(SUBSTITUTE(SUBSTITUTE(G498,"(주)",""),"㈜",""),"주식회사","")," ","")</f>
        <v/>
      </c>
      <c r="W498">
        <f>IF(AND(T498,V498&lt;&gt;""),IF(COUNTIFS(V$2:V498,V498,T$2:T498,TRUE)=1,MAX(W$1:W497)+1,""),"")</f>
        <v/>
      </c>
      <c r="X498">
        <f>IFERROR(INDEX('1.산군_붙여넣기'!$A$1:$AZ$1001,ROW(),설정!$C$14)&amp;"","")</f>
        <v/>
      </c>
      <c r="Y498">
        <f>IFERROR(INDEX('1.산군_붙여넣기'!$A$1:$AZ$1001,ROW(),설정!$C$15)&amp;"","")</f>
        <v/>
      </c>
      <c r="Z498">
        <f>IF(T498,V498&amp;"|"&amp;U498,"")</f>
        <v/>
      </c>
    </row>
    <row r="499">
      <c r="A499">
        <f>ROW()</f>
        <v/>
      </c>
      <c r="B499">
        <f>IFERROR(INDEX('1.산군_붙여넣기'!$A$1:$AZ$1001,ROW(),설정!$C$4)&amp;"","")</f>
        <v/>
      </c>
      <c r="C499">
        <f>IFERROR(INDEX('1.산군_붙여넣기'!$A$1:$AZ$1001,ROW(),설정!$C$5)&amp;"","")</f>
        <v/>
      </c>
      <c r="D499" s="5">
        <f>IFERROR(VALUE(SUBSTITUTE(SUBSTITUTE(SUBSTITUTE(IFERROR(INDEX('1.산군_붙여넣기'!$A$1:$AZ$1001,ROW(),설정!$C$6)&amp;"",""),",",""),"㎡",""),"m2","")),"")</f>
        <v/>
      </c>
      <c r="E499">
        <f>IFERROR(INDEX('1.산군_붙여넣기'!$A$1:$AZ$1001,ROW(),설정!$C$7)&amp;"","")</f>
        <v/>
      </c>
      <c r="F499">
        <f>IFERROR(INDEX('1.산군_붙여넣기'!$A$1:$AZ$1001,ROW(),설정!$C$8)&amp;"","")</f>
        <v/>
      </c>
      <c r="G499">
        <f>IFERROR(INDEX('1.산군_붙여넣기'!$A$1:$AZ$1001,ROW(),설정!$C$9)&amp;"","")</f>
        <v/>
      </c>
      <c r="H499">
        <f>IFERROR(INDEX('1.산군_붙여넣기'!$A$1:$AZ$1001,ROW(),설정!$C$10)&amp;"","")</f>
        <v/>
      </c>
      <c r="I499">
        <f>IFERROR(INDEX('1.산군_붙여넣기'!$A$1:$AZ$1001,ROW(),설정!$C$11)&amp;"","")</f>
        <v/>
      </c>
      <c r="J499">
        <f>IFERROR(INDEX('1.산군_붙여넣기'!$A$1:$AZ$1001,ROW(),설정!$C$12)&amp;"","")</f>
        <v/>
      </c>
      <c r="K499">
        <f>IFERROR(INDEX('1.산군_붙여넣기'!$A$1:$AZ$1001,ROW(),설정!$C$13)&amp;"","")</f>
        <v/>
      </c>
      <c r="L499" s="6">
        <f>IF(X499="","",IF(AND(LEN(X499)=8,ISNUMBER(X499*1)),DATE(LEFT(X499,4),MID(X499,5,2),RIGHT(X499,2)),IFERROR(DATEVALUE(SUBSTITUTE(SUBSTITUTE(X499,".","-"),"/","-")),IFERROR(X499*1,""))))</f>
        <v/>
      </c>
      <c r="M499" s="6">
        <f>IF(Y499="","",IF(AND(LEN(Y499)=8,ISNUMBER(Y499*1)),DATE(LEFT(Y499,4),MID(Y499,5,2),RIGHT(Y499,2)),IFERROR(DATEVALUE(SUBSTITUTE(SUBSTITUTE(Y499,".","-"),"/","-")),IFERROR(Y499*1,""))))</f>
        <v/>
      </c>
      <c r="N499">
        <f>IFERROR(LEFT(B499,FIND(" ",B499)-1),B499)</f>
        <v/>
      </c>
      <c r="O499">
        <f>AND(B499&lt;&gt;"",B499&lt;&gt;설정!$B$4,C499&lt;&gt;설정!$B$5)</f>
        <v/>
      </c>
      <c r="P499">
        <f>IF(O499,B499&amp;"|"&amp;C499,"")</f>
        <v/>
      </c>
      <c r="Q499">
        <f>AND(O499,COUNTIF(P500:P$1002,P499)=0)</f>
        <v/>
      </c>
      <c r="R499">
        <f>OR(AND(설정!$A$28&lt;&gt;"",ISNUMBER(SEARCH(설정!$A$28,E499&amp;" "&amp;C499))),AND(설정!$A$29&lt;&gt;"",ISNUMBER(SEARCH(설정!$A$29,E499&amp;" "&amp;C499))),AND(설정!$A$30&lt;&gt;"",ISNUMBER(SEARCH(설정!$A$30,E499&amp;" "&amp;C499))),AND(설정!$A$31&lt;&gt;"",ISNUMBER(SEARCH(설정!$A$31,E499&amp;" "&amp;C499))),AND(설정!$A$32&lt;&gt;"",ISNUMBER(SEARCH(설정!$A$32,E499&amp;" "&amp;C499))),AND(설정!$A$33&lt;&gt;"",ISNUMBER(SEARCH(설정!$A$33,E499&amp;" "&amp;C499))),AND(설정!$A$34&lt;&gt;"",ISNUMBER(SEARCH(설정!$A$34,E499&amp;" "&amp;C499))),AND(설정!$A$35&lt;&gt;"",ISNUMBER(SEARCH(설정!$A$35,E499&amp;" "&amp;C499))),AND(설정!$A$36&lt;&gt;"",ISNUMBER(SEARCH(설정!$A$36,E499&amp;" "&amp;C499))),AND(설정!$A$37&lt;&gt;"",ISNUMBER(SEARCH(설정!$A$37,E499&amp;" "&amp;C499))))</f>
        <v/>
      </c>
      <c r="S499">
        <f>OR(D499="",D499&gt;=설정!$B$19)</f>
        <v/>
      </c>
      <c r="T499">
        <f>AND(Q499,R499,S499)</f>
        <v/>
      </c>
      <c r="U499">
        <f>IF(T499,IF(AND(설정!$A$41&lt;&gt;"",ISNUMBER(SEARCH(설정!$A$41,K499))),설정!$B$41,IF(AND(설정!$A$42&lt;&gt;"",ISNUMBER(SEARCH(설정!$A$42,K499))),설정!$B$42,IF(AND(설정!$A$43&lt;&gt;"",ISNUMBER(SEARCH(설정!$A$43,K499))),설정!$B$43,IF(AND(설정!$A$44&lt;&gt;"",ISNUMBER(SEARCH(설정!$A$44,K499))),설정!$B$44,IF(AND(설정!$A$45&lt;&gt;"",ISNUMBER(SEARCH(설정!$A$45,K499))),설정!$B$45,IF(AND(설정!$A$46&lt;&gt;"",ISNUMBER(SEARCH(설정!$A$46,K499))),설정!$B$46,IF(AND(설정!$A$47&lt;&gt;"",ISNUMBER(SEARCH(설정!$A$47,K499))),설정!$B$47,IF(AND(설정!$A$48&lt;&gt;"",ISNUMBER(SEARCH(설정!$A$48,K499))),설정!$B$48,IF(M499="","설계사","시공사"))))))))),"")</f>
        <v/>
      </c>
      <c r="V499">
        <f>SUBSTITUTE(SUBSTITUTE(SUBSTITUTE(SUBSTITUTE(G499,"(주)",""),"㈜",""),"주식회사","")," ","")</f>
        <v/>
      </c>
      <c r="W499">
        <f>IF(AND(T499,V499&lt;&gt;""),IF(COUNTIFS(V$2:V499,V499,T$2:T499,TRUE)=1,MAX(W$1:W498)+1,""),"")</f>
        <v/>
      </c>
      <c r="X499">
        <f>IFERROR(INDEX('1.산군_붙여넣기'!$A$1:$AZ$1001,ROW(),설정!$C$14)&amp;"","")</f>
        <v/>
      </c>
      <c r="Y499">
        <f>IFERROR(INDEX('1.산군_붙여넣기'!$A$1:$AZ$1001,ROW(),설정!$C$15)&amp;"","")</f>
        <v/>
      </c>
      <c r="Z499">
        <f>IF(T499,V499&amp;"|"&amp;U499,"")</f>
        <v/>
      </c>
    </row>
    <row r="500">
      <c r="A500">
        <f>ROW()</f>
        <v/>
      </c>
      <c r="B500">
        <f>IFERROR(INDEX('1.산군_붙여넣기'!$A$1:$AZ$1001,ROW(),설정!$C$4)&amp;"","")</f>
        <v/>
      </c>
      <c r="C500">
        <f>IFERROR(INDEX('1.산군_붙여넣기'!$A$1:$AZ$1001,ROW(),설정!$C$5)&amp;"","")</f>
        <v/>
      </c>
      <c r="D500" s="5">
        <f>IFERROR(VALUE(SUBSTITUTE(SUBSTITUTE(SUBSTITUTE(IFERROR(INDEX('1.산군_붙여넣기'!$A$1:$AZ$1001,ROW(),설정!$C$6)&amp;"",""),",",""),"㎡",""),"m2","")),"")</f>
        <v/>
      </c>
      <c r="E500">
        <f>IFERROR(INDEX('1.산군_붙여넣기'!$A$1:$AZ$1001,ROW(),설정!$C$7)&amp;"","")</f>
        <v/>
      </c>
      <c r="F500">
        <f>IFERROR(INDEX('1.산군_붙여넣기'!$A$1:$AZ$1001,ROW(),설정!$C$8)&amp;"","")</f>
        <v/>
      </c>
      <c r="G500">
        <f>IFERROR(INDEX('1.산군_붙여넣기'!$A$1:$AZ$1001,ROW(),설정!$C$9)&amp;"","")</f>
        <v/>
      </c>
      <c r="H500">
        <f>IFERROR(INDEX('1.산군_붙여넣기'!$A$1:$AZ$1001,ROW(),설정!$C$10)&amp;"","")</f>
        <v/>
      </c>
      <c r="I500">
        <f>IFERROR(INDEX('1.산군_붙여넣기'!$A$1:$AZ$1001,ROW(),설정!$C$11)&amp;"","")</f>
        <v/>
      </c>
      <c r="J500">
        <f>IFERROR(INDEX('1.산군_붙여넣기'!$A$1:$AZ$1001,ROW(),설정!$C$12)&amp;"","")</f>
        <v/>
      </c>
      <c r="K500">
        <f>IFERROR(INDEX('1.산군_붙여넣기'!$A$1:$AZ$1001,ROW(),설정!$C$13)&amp;"","")</f>
        <v/>
      </c>
      <c r="L500" s="6">
        <f>IF(X500="","",IF(AND(LEN(X500)=8,ISNUMBER(X500*1)),DATE(LEFT(X500,4),MID(X500,5,2),RIGHT(X500,2)),IFERROR(DATEVALUE(SUBSTITUTE(SUBSTITUTE(X500,".","-"),"/","-")),IFERROR(X500*1,""))))</f>
        <v/>
      </c>
      <c r="M500" s="6">
        <f>IF(Y500="","",IF(AND(LEN(Y500)=8,ISNUMBER(Y500*1)),DATE(LEFT(Y500,4),MID(Y500,5,2),RIGHT(Y500,2)),IFERROR(DATEVALUE(SUBSTITUTE(SUBSTITUTE(Y500,".","-"),"/","-")),IFERROR(Y500*1,""))))</f>
        <v/>
      </c>
      <c r="N500">
        <f>IFERROR(LEFT(B500,FIND(" ",B500)-1),B500)</f>
        <v/>
      </c>
      <c r="O500">
        <f>AND(B500&lt;&gt;"",B500&lt;&gt;설정!$B$4,C500&lt;&gt;설정!$B$5)</f>
        <v/>
      </c>
      <c r="P500">
        <f>IF(O500,B500&amp;"|"&amp;C500,"")</f>
        <v/>
      </c>
      <c r="Q500">
        <f>AND(O500,COUNTIF(P501:P$1002,P500)=0)</f>
        <v/>
      </c>
      <c r="R500">
        <f>OR(AND(설정!$A$28&lt;&gt;"",ISNUMBER(SEARCH(설정!$A$28,E500&amp;" "&amp;C500))),AND(설정!$A$29&lt;&gt;"",ISNUMBER(SEARCH(설정!$A$29,E500&amp;" "&amp;C500))),AND(설정!$A$30&lt;&gt;"",ISNUMBER(SEARCH(설정!$A$30,E500&amp;" "&amp;C500))),AND(설정!$A$31&lt;&gt;"",ISNUMBER(SEARCH(설정!$A$31,E500&amp;" "&amp;C500))),AND(설정!$A$32&lt;&gt;"",ISNUMBER(SEARCH(설정!$A$32,E500&amp;" "&amp;C500))),AND(설정!$A$33&lt;&gt;"",ISNUMBER(SEARCH(설정!$A$33,E500&amp;" "&amp;C500))),AND(설정!$A$34&lt;&gt;"",ISNUMBER(SEARCH(설정!$A$34,E500&amp;" "&amp;C500))),AND(설정!$A$35&lt;&gt;"",ISNUMBER(SEARCH(설정!$A$35,E500&amp;" "&amp;C500))),AND(설정!$A$36&lt;&gt;"",ISNUMBER(SEARCH(설정!$A$36,E500&amp;" "&amp;C500))),AND(설정!$A$37&lt;&gt;"",ISNUMBER(SEARCH(설정!$A$37,E500&amp;" "&amp;C500))))</f>
        <v/>
      </c>
      <c r="S500">
        <f>OR(D500="",D500&gt;=설정!$B$19)</f>
        <v/>
      </c>
      <c r="T500">
        <f>AND(Q500,R500,S500)</f>
        <v/>
      </c>
      <c r="U500">
        <f>IF(T500,IF(AND(설정!$A$41&lt;&gt;"",ISNUMBER(SEARCH(설정!$A$41,K500))),설정!$B$41,IF(AND(설정!$A$42&lt;&gt;"",ISNUMBER(SEARCH(설정!$A$42,K500))),설정!$B$42,IF(AND(설정!$A$43&lt;&gt;"",ISNUMBER(SEARCH(설정!$A$43,K500))),설정!$B$43,IF(AND(설정!$A$44&lt;&gt;"",ISNUMBER(SEARCH(설정!$A$44,K500))),설정!$B$44,IF(AND(설정!$A$45&lt;&gt;"",ISNUMBER(SEARCH(설정!$A$45,K500))),설정!$B$45,IF(AND(설정!$A$46&lt;&gt;"",ISNUMBER(SEARCH(설정!$A$46,K500))),설정!$B$46,IF(AND(설정!$A$47&lt;&gt;"",ISNUMBER(SEARCH(설정!$A$47,K500))),설정!$B$47,IF(AND(설정!$A$48&lt;&gt;"",ISNUMBER(SEARCH(설정!$A$48,K500))),설정!$B$48,IF(M500="","설계사","시공사"))))))))),"")</f>
        <v/>
      </c>
      <c r="V500">
        <f>SUBSTITUTE(SUBSTITUTE(SUBSTITUTE(SUBSTITUTE(G500,"(주)",""),"㈜",""),"주식회사","")," ","")</f>
        <v/>
      </c>
      <c r="W500">
        <f>IF(AND(T500,V500&lt;&gt;""),IF(COUNTIFS(V$2:V500,V500,T$2:T500,TRUE)=1,MAX(W$1:W499)+1,""),"")</f>
        <v/>
      </c>
      <c r="X500">
        <f>IFERROR(INDEX('1.산군_붙여넣기'!$A$1:$AZ$1001,ROW(),설정!$C$14)&amp;"","")</f>
        <v/>
      </c>
      <c r="Y500">
        <f>IFERROR(INDEX('1.산군_붙여넣기'!$A$1:$AZ$1001,ROW(),설정!$C$15)&amp;"","")</f>
        <v/>
      </c>
      <c r="Z500">
        <f>IF(T500,V500&amp;"|"&amp;U500,"")</f>
        <v/>
      </c>
    </row>
    <row r="501">
      <c r="A501">
        <f>ROW()</f>
        <v/>
      </c>
      <c r="B501">
        <f>IFERROR(INDEX('1.산군_붙여넣기'!$A$1:$AZ$1001,ROW(),설정!$C$4)&amp;"","")</f>
        <v/>
      </c>
      <c r="C501">
        <f>IFERROR(INDEX('1.산군_붙여넣기'!$A$1:$AZ$1001,ROW(),설정!$C$5)&amp;"","")</f>
        <v/>
      </c>
      <c r="D501" s="5">
        <f>IFERROR(VALUE(SUBSTITUTE(SUBSTITUTE(SUBSTITUTE(IFERROR(INDEX('1.산군_붙여넣기'!$A$1:$AZ$1001,ROW(),설정!$C$6)&amp;"",""),",",""),"㎡",""),"m2","")),"")</f>
        <v/>
      </c>
      <c r="E501">
        <f>IFERROR(INDEX('1.산군_붙여넣기'!$A$1:$AZ$1001,ROW(),설정!$C$7)&amp;"","")</f>
        <v/>
      </c>
      <c r="F501">
        <f>IFERROR(INDEX('1.산군_붙여넣기'!$A$1:$AZ$1001,ROW(),설정!$C$8)&amp;"","")</f>
        <v/>
      </c>
      <c r="G501">
        <f>IFERROR(INDEX('1.산군_붙여넣기'!$A$1:$AZ$1001,ROW(),설정!$C$9)&amp;"","")</f>
        <v/>
      </c>
      <c r="H501">
        <f>IFERROR(INDEX('1.산군_붙여넣기'!$A$1:$AZ$1001,ROW(),설정!$C$10)&amp;"","")</f>
        <v/>
      </c>
      <c r="I501">
        <f>IFERROR(INDEX('1.산군_붙여넣기'!$A$1:$AZ$1001,ROW(),설정!$C$11)&amp;"","")</f>
        <v/>
      </c>
      <c r="J501">
        <f>IFERROR(INDEX('1.산군_붙여넣기'!$A$1:$AZ$1001,ROW(),설정!$C$12)&amp;"","")</f>
        <v/>
      </c>
      <c r="K501">
        <f>IFERROR(INDEX('1.산군_붙여넣기'!$A$1:$AZ$1001,ROW(),설정!$C$13)&amp;"","")</f>
        <v/>
      </c>
      <c r="L501" s="6">
        <f>IF(X501="","",IF(AND(LEN(X501)=8,ISNUMBER(X501*1)),DATE(LEFT(X501,4),MID(X501,5,2),RIGHT(X501,2)),IFERROR(DATEVALUE(SUBSTITUTE(SUBSTITUTE(X501,".","-"),"/","-")),IFERROR(X501*1,""))))</f>
        <v/>
      </c>
      <c r="M501" s="6">
        <f>IF(Y501="","",IF(AND(LEN(Y501)=8,ISNUMBER(Y501*1)),DATE(LEFT(Y501,4),MID(Y501,5,2),RIGHT(Y501,2)),IFERROR(DATEVALUE(SUBSTITUTE(SUBSTITUTE(Y501,".","-"),"/","-")),IFERROR(Y501*1,""))))</f>
        <v/>
      </c>
      <c r="N501">
        <f>IFERROR(LEFT(B501,FIND(" ",B501)-1),B501)</f>
        <v/>
      </c>
      <c r="O501">
        <f>AND(B501&lt;&gt;"",B501&lt;&gt;설정!$B$4,C501&lt;&gt;설정!$B$5)</f>
        <v/>
      </c>
      <c r="P501">
        <f>IF(O501,B501&amp;"|"&amp;C501,"")</f>
        <v/>
      </c>
      <c r="Q501">
        <f>AND(O501,COUNTIF(P502:P$1002,P501)=0)</f>
        <v/>
      </c>
      <c r="R501">
        <f>OR(AND(설정!$A$28&lt;&gt;"",ISNUMBER(SEARCH(설정!$A$28,E501&amp;" "&amp;C501))),AND(설정!$A$29&lt;&gt;"",ISNUMBER(SEARCH(설정!$A$29,E501&amp;" "&amp;C501))),AND(설정!$A$30&lt;&gt;"",ISNUMBER(SEARCH(설정!$A$30,E501&amp;" "&amp;C501))),AND(설정!$A$31&lt;&gt;"",ISNUMBER(SEARCH(설정!$A$31,E501&amp;" "&amp;C501))),AND(설정!$A$32&lt;&gt;"",ISNUMBER(SEARCH(설정!$A$32,E501&amp;" "&amp;C501))),AND(설정!$A$33&lt;&gt;"",ISNUMBER(SEARCH(설정!$A$33,E501&amp;" "&amp;C501))),AND(설정!$A$34&lt;&gt;"",ISNUMBER(SEARCH(설정!$A$34,E501&amp;" "&amp;C501))),AND(설정!$A$35&lt;&gt;"",ISNUMBER(SEARCH(설정!$A$35,E501&amp;" "&amp;C501))),AND(설정!$A$36&lt;&gt;"",ISNUMBER(SEARCH(설정!$A$36,E501&amp;" "&amp;C501))),AND(설정!$A$37&lt;&gt;"",ISNUMBER(SEARCH(설정!$A$37,E501&amp;" "&amp;C501))))</f>
        <v/>
      </c>
      <c r="S501">
        <f>OR(D501="",D501&gt;=설정!$B$19)</f>
        <v/>
      </c>
      <c r="T501">
        <f>AND(Q501,R501,S501)</f>
        <v/>
      </c>
      <c r="U501">
        <f>IF(T501,IF(AND(설정!$A$41&lt;&gt;"",ISNUMBER(SEARCH(설정!$A$41,K501))),설정!$B$41,IF(AND(설정!$A$42&lt;&gt;"",ISNUMBER(SEARCH(설정!$A$42,K501))),설정!$B$42,IF(AND(설정!$A$43&lt;&gt;"",ISNUMBER(SEARCH(설정!$A$43,K501))),설정!$B$43,IF(AND(설정!$A$44&lt;&gt;"",ISNUMBER(SEARCH(설정!$A$44,K501))),설정!$B$44,IF(AND(설정!$A$45&lt;&gt;"",ISNUMBER(SEARCH(설정!$A$45,K501))),설정!$B$45,IF(AND(설정!$A$46&lt;&gt;"",ISNUMBER(SEARCH(설정!$A$46,K501))),설정!$B$46,IF(AND(설정!$A$47&lt;&gt;"",ISNUMBER(SEARCH(설정!$A$47,K501))),설정!$B$47,IF(AND(설정!$A$48&lt;&gt;"",ISNUMBER(SEARCH(설정!$A$48,K501))),설정!$B$48,IF(M501="","설계사","시공사"))))))))),"")</f>
        <v/>
      </c>
      <c r="V501">
        <f>SUBSTITUTE(SUBSTITUTE(SUBSTITUTE(SUBSTITUTE(G501,"(주)",""),"㈜",""),"주식회사","")," ","")</f>
        <v/>
      </c>
      <c r="W501">
        <f>IF(AND(T501,V501&lt;&gt;""),IF(COUNTIFS(V$2:V501,V501,T$2:T501,TRUE)=1,MAX(W$1:W500)+1,""),"")</f>
        <v/>
      </c>
      <c r="X501">
        <f>IFERROR(INDEX('1.산군_붙여넣기'!$A$1:$AZ$1001,ROW(),설정!$C$14)&amp;"","")</f>
        <v/>
      </c>
      <c r="Y501">
        <f>IFERROR(INDEX('1.산군_붙여넣기'!$A$1:$AZ$1001,ROW(),설정!$C$15)&amp;"","")</f>
        <v/>
      </c>
      <c r="Z501">
        <f>IF(T501,V501&amp;"|"&amp;U501,"")</f>
        <v/>
      </c>
    </row>
    <row r="502">
      <c r="A502">
        <f>ROW()</f>
        <v/>
      </c>
      <c r="B502">
        <f>IFERROR(INDEX('1.산군_붙여넣기'!$A$1:$AZ$1001,ROW(),설정!$C$4)&amp;"","")</f>
        <v/>
      </c>
      <c r="C502">
        <f>IFERROR(INDEX('1.산군_붙여넣기'!$A$1:$AZ$1001,ROW(),설정!$C$5)&amp;"","")</f>
        <v/>
      </c>
      <c r="D502" s="5">
        <f>IFERROR(VALUE(SUBSTITUTE(SUBSTITUTE(SUBSTITUTE(IFERROR(INDEX('1.산군_붙여넣기'!$A$1:$AZ$1001,ROW(),설정!$C$6)&amp;"",""),",",""),"㎡",""),"m2","")),"")</f>
        <v/>
      </c>
      <c r="E502">
        <f>IFERROR(INDEX('1.산군_붙여넣기'!$A$1:$AZ$1001,ROW(),설정!$C$7)&amp;"","")</f>
        <v/>
      </c>
      <c r="F502">
        <f>IFERROR(INDEX('1.산군_붙여넣기'!$A$1:$AZ$1001,ROW(),설정!$C$8)&amp;"","")</f>
        <v/>
      </c>
      <c r="G502">
        <f>IFERROR(INDEX('1.산군_붙여넣기'!$A$1:$AZ$1001,ROW(),설정!$C$9)&amp;"","")</f>
        <v/>
      </c>
      <c r="H502">
        <f>IFERROR(INDEX('1.산군_붙여넣기'!$A$1:$AZ$1001,ROW(),설정!$C$10)&amp;"","")</f>
        <v/>
      </c>
      <c r="I502">
        <f>IFERROR(INDEX('1.산군_붙여넣기'!$A$1:$AZ$1001,ROW(),설정!$C$11)&amp;"","")</f>
        <v/>
      </c>
      <c r="J502">
        <f>IFERROR(INDEX('1.산군_붙여넣기'!$A$1:$AZ$1001,ROW(),설정!$C$12)&amp;"","")</f>
        <v/>
      </c>
      <c r="K502">
        <f>IFERROR(INDEX('1.산군_붙여넣기'!$A$1:$AZ$1001,ROW(),설정!$C$13)&amp;"","")</f>
        <v/>
      </c>
      <c r="L502" s="6">
        <f>IF(X502="","",IF(AND(LEN(X502)=8,ISNUMBER(X502*1)),DATE(LEFT(X502,4),MID(X502,5,2),RIGHT(X502,2)),IFERROR(DATEVALUE(SUBSTITUTE(SUBSTITUTE(X502,".","-"),"/","-")),IFERROR(X502*1,""))))</f>
        <v/>
      </c>
      <c r="M502" s="6">
        <f>IF(Y502="","",IF(AND(LEN(Y502)=8,ISNUMBER(Y502*1)),DATE(LEFT(Y502,4),MID(Y502,5,2),RIGHT(Y502,2)),IFERROR(DATEVALUE(SUBSTITUTE(SUBSTITUTE(Y502,".","-"),"/","-")),IFERROR(Y502*1,""))))</f>
        <v/>
      </c>
      <c r="N502">
        <f>IFERROR(LEFT(B502,FIND(" ",B502)-1),B502)</f>
        <v/>
      </c>
      <c r="O502">
        <f>AND(B502&lt;&gt;"",B502&lt;&gt;설정!$B$4,C502&lt;&gt;설정!$B$5)</f>
        <v/>
      </c>
      <c r="P502">
        <f>IF(O502,B502&amp;"|"&amp;C502,"")</f>
        <v/>
      </c>
      <c r="Q502">
        <f>AND(O502,COUNTIF(P503:P$1002,P502)=0)</f>
        <v/>
      </c>
      <c r="R502">
        <f>OR(AND(설정!$A$28&lt;&gt;"",ISNUMBER(SEARCH(설정!$A$28,E502&amp;" "&amp;C502))),AND(설정!$A$29&lt;&gt;"",ISNUMBER(SEARCH(설정!$A$29,E502&amp;" "&amp;C502))),AND(설정!$A$30&lt;&gt;"",ISNUMBER(SEARCH(설정!$A$30,E502&amp;" "&amp;C502))),AND(설정!$A$31&lt;&gt;"",ISNUMBER(SEARCH(설정!$A$31,E502&amp;" "&amp;C502))),AND(설정!$A$32&lt;&gt;"",ISNUMBER(SEARCH(설정!$A$32,E502&amp;" "&amp;C502))),AND(설정!$A$33&lt;&gt;"",ISNUMBER(SEARCH(설정!$A$33,E502&amp;" "&amp;C502))),AND(설정!$A$34&lt;&gt;"",ISNUMBER(SEARCH(설정!$A$34,E502&amp;" "&amp;C502))),AND(설정!$A$35&lt;&gt;"",ISNUMBER(SEARCH(설정!$A$35,E502&amp;" "&amp;C502))),AND(설정!$A$36&lt;&gt;"",ISNUMBER(SEARCH(설정!$A$36,E502&amp;" "&amp;C502))),AND(설정!$A$37&lt;&gt;"",ISNUMBER(SEARCH(설정!$A$37,E502&amp;" "&amp;C502))))</f>
        <v/>
      </c>
      <c r="S502">
        <f>OR(D502="",D502&gt;=설정!$B$19)</f>
        <v/>
      </c>
      <c r="T502">
        <f>AND(Q502,R502,S502)</f>
        <v/>
      </c>
      <c r="U502">
        <f>IF(T502,IF(AND(설정!$A$41&lt;&gt;"",ISNUMBER(SEARCH(설정!$A$41,K502))),설정!$B$41,IF(AND(설정!$A$42&lt;&gt;"",ISNUMBER(SEARCH(설정!$A$42,K502))),설정!$B$42,IF(AND(설정!$A$43&lt;&gt;"",ISNUMBER(SEARCH(설정!$A$43,K502))),설정!$B$43,IF(AND(설정!$A$44&lt;&gt;"",ISNUMBER(SEARCH(설정!$A$44,K502))),설정!$B$44,IF(AND(설정!$A$45&lt;&gt;"",ISNUMBER(SEARCH(설정!$A$45,K502))),설정!$B$45,IF(AND(설정!$A$46&lt;&gt;"",ISNUMBER(SEARCH(설정!$A$46,K502))),설정!$B$46,IF(AND(설정!$A$47&lt;&gt;"",ISNUMBER(SEARCH(설정!$A$47,K502))),설정!$B$47,IF(AND(설정!$A$48&lt;&gt;"",ISNUMBER(SEARCH(설정!$A$48,K502))),설정!$B$48,IF(M502="","설계사","시공사"))))))))),"")</f>
        <v/>
      </c>
      <c r="V502">
        <f>SUBSTITUTE(SUBSTITUTE(SUBSTITUTE(SUBSTITUTE(G502,"(주)",""),"㈜",""),"주식회사","")," ","")</f>
        <v/>
      </c>
      <c r="W502">
        <f>IF(AND(T502,V502&lt;&gt;""),IF(COUNTIFS(V$2:V502,V502,T$2:T502,TRUE)=1,MAX(W$1:W501)+1,""),"")</f>
        <v/>
      </c>
      <c r="X502">
        <f>IFERROR(INDEX('1.산군_붙여넣기'!$A$1:$AZ$1001,ROW(),설정!$C$14)&amp;"","")</f>
        <v/>
      </c>
      <c r="Y502">
        <f>IFERROR(INDEX('1.산군_붙여넣기'!$A$1:$AZ$1001,ROW(),설정!$C$15)&amp;"","")</f>
        <v/>
      </c>
      <c r="Z502">
        <f>IF(T502,V502&amp;"|"&amp;U502,"")</f>
        <v/>
      </c>
    </row>
    <row r="503">
      <c r="A503">
        <f>ROW()</f>
        <v/>
      </c>
      <c r="B503">
        <f>IFERROR(INDEX('1.산군_붙여넣기'!$A$1:$AZ$1001,ROW(),설정!$C$4)&amp;"","")</f>
        <v/>
      </c>
      <c r="C503">
        <f>IFERROR(INDEX('1.산군_붙여넣기'!$A$1:$AZ$1001,ROW(),설정!$C$5)&amp;"","")</f>
        <v/>
      </c>
      <c r="D503" s="5">
        <f>IFERROR(VALUE(SUBSTITUTE(SUBSTITUTE(SUBSTITUTE(IFERROR(INDEX('1.산군_붙여넣기'!$A$1:$AZ$1001,ROW(),설정!$C$6)&amp;"",""),",",""),"㎡",""),"m2","")),"")</f>
        <v/>
      </c>
      <c r="E503">
        <f>IFERROR(INDEX('1.산군_붙여넣기'!$A$1:$AZ$1001,ROW(),설정!$C$7)&amp;"","")</f>
        <v/>
      </c>
      <c r="F503">
        <f>IFERROR(INDEX('1.산군_붙여넣기'!$A$1:$AZ$1001,ROW(),설정!$C$8)&amp;"","")</f>
        <v/>
      </c>
      <c r="G503">
        <f>IFERROR(INDEX('1.산군_붙여넣기'!$A$1:$AZ$1001,ROW(),설정!$C$9)&amp;"","")</f>
        <v/>
      </c>
      <c r="H503">
        <f>IFERROR(INDEX('1.산군_붙여넣기'!$A$1:$AZ$1001,ROW(),설정!$C$10)&amp;"","")</f>
        <v/>
      </c>
      <c r="I503">
        <f>IFERROR(INDEX('1.산군_붙여넣기'!$A$1:$AZ$1001,ROW(),설정!$C$11)&amp;"","")</f>
        <v/>
      </c>
      <c r="J503">
        <f>IFERROR(INDEX('1.산군_붙여넣기'!$A$1:$AZ$1001,ROW(),설정!$C$12)&amp;"","")</f>
        <v/>
      </c>
      <c r="K503">
        <f>IFERROR(INDEX('1.산군_붙여넣기'!$A$1:$AZ$1001,ROW(),설정!$C$13)&amp;"","")</f>
        <v/>
      </c>
      <c r="L503" s="6">
        <f>IF(X503="","",IF(AND(LEN(X503)=8,ISNUMBER(X503*1)),DATE(LEFT(X503,4),MID(X503,5,2),RIGHT(X503,2)),IFERROR(DATEVALUE(SUBSTITUTE(SUBSTITUTE(X503,".","-"),"/","-")),IFERROR(X503*1,""))))</f>
        <v/>
      </c>
      <c r="M503" s="6">
        <f>IF(Y503="","",IF(AND(LEN(Y503)=8,ISNUMBER(Y503*1)),DATE(LEFT(Y503,4),MID(Y503,5,2),RIGHT(Y503,2)),IFERROR(DATEVALUE(SUBSTITUTE(SUBSTITUTE(Y503,".","-"),"/","-")),IFERROR(Y503*1,""))))</f>
        <v/>
      </c>
      <c r="N503">
        <f>IFERROR(LEFT(B503,FIND(" ",B503)-1),B503)</f>
        <v/>
      </c>
      <c r="O503">
        <f>AND(B503&lt;&gt;"",B503&lt;&gt;설정!$B$4,C503&lt;&gt;설정!$B$5)</f>
        <v/>
      </c>
      <c r="P503">
        <f>IF(O503,B503&amp;"|"&amp;C503,"")</f>
        <v/>
      </c>
      <c r="Q503">
        <f>AND(O503,COUNTIF(P504:P$1002,P503)=0)</f>
        <v/>
      </c>
      <c r="R503">
        <f>OR(AND(설정!$A$28&lt;&gt;"",ISNUMBER(SEARCH(설정!$A$28,E503&amp;" "&amp;C503))),AND(설정!$A$29&lt;&gt;"",ISNUMBER(SEARCH(설정!$A$29,E503&amp;" "&amp;C503))),AND(설정!$A$30&lt;&gt;"",ISNUMBER(SEARCH(설정!$A$30,E503&amp;" "&amp;C503))),AND(설정!$A$31&lt;&gt;"",ISNUMBER(SEARCH(설정!$A$31,E503&amp;" "&amp;C503))),AND(설정!$A$32&lt;&gt;"",ISNUMBER(SEARCH(설정!$A$32,E503&amp;" "&amp;C503))),AND(설정!$A$33&lt;&gt;"",ISNUMBER(SEARCH(설정!$A$33,E503&amp;" "&amp;C503))),AND(설정!$A$34&lt;&gt;"",ISNUMBER(SEARCH(설정!$A$34,E503&amp;" "&amp;C503))),AND(설정!$A$35&lt;&gt;"",ISNUMBER(SEARCH(설정!$A$35,E503&amp;" "&amp;C503))),AND(설정!$A$36&lt;&gt;"",ISNUMBER(SEARCH(설정!$A$36,E503&amp;" "&amp;C503))),AND(설정!$A$37&lt;&gt;"",ISNUMBER(SEARCH(설정!$A$37,E503&amp;" "&amp;C503))))</f>
        <v/>
      </c>
      <c r="S503">
        <f>OR(D503="",D503&gt;=설정!$B$19)</f>
        <v/>
      </c>
      <c r="T503">
        <f>AND(Q503,R503,S503)</f>
        <v/>
      </c>
      <c r="U503">
        <f>IF(T503,IF(AND(설정!$A$41&lt;&gt;"",ISNUMBER(SEARCH(설정!$A$41,K503))),설정!$B$41,IF(AND(설정!$A$42&lt;&gt;"",ISNUMBER(SEARCH(설정!$A$42,K503))),설정!$B$42,IF(AND(설정!$A$43&lt;&gt;"",ISNUMBER(SEARCH(설정!$A$43,K503))),설정!$B$43,IF(AND(설정!$A$44&lt;&gt;"",ISNUMBER(SEARCH(설정!$A$44,K503))),설정!$B$44,IF(AND(설정!$A$45&lt;&gt;"",ISNUMBER(SEARCH(설정!$A$45,K503))),설정!$B$45,IF(AND(설정!$A$46&lt;&gt;"",ISNUMBER(SEARCH(설정!$A$46,K503))),설정!$B$46,IF(AND(설정!$A$47&lt;&gt;"",ISNUMBER(SEARCH(설정!$A$47,K503))),설정!$B$47,IF(AND(설정!$A$48&lt;&gt;"",ISNUMBER(SEARCH(설정!$A$48,K503))),설정!$B$48,IF(M503="","설계사","시공사"))))))))),"")</f>
        <v/>
      </c>
      <c r="V503">
        <f>SUBSTITUTE(SUBSTITUTE(SUBSTITUTE(SUBSTITUTE(G503,"(주)",""),"㈜",""),"주식회사","")," ","")</f>
        <v/>
      </c>
      <c r="W503">
        <f>IF(AND(T503,V503&lt;&gt;""),IF(COUNTIFS(V$2:V503,V503,T$2:T503,TRUE)=1,MAX(W$1:W502)+1,""),"")</f>
        <v/>
      </c>
      <c r="X503">
        <f>IFERROR(INDEX('1.산군_붙여넣기'!$A$1:$AZ$1001,ROW(),설정!$C$14)&amp;"","")</f>
        <v/>
      </c>
      <c r="Y503">
        <f>IFERROR(INDEX('1.산군_붙여넣기'!$A$1:$AZ$1001,ROW(),설정!$C$15)&amp;"","")</f>
        <v/>
      </c>
      <c r="Z503">
        <f>IF(T503,V503&amp;"|"&amp;U503,"")</f>
        <v/>
      </c>
    </row>
    <row r="504">
      <c r="A504">
        <f>ROW()</f>
        <v/>
      </c>
      <c r="B504">
        <f>IFERROR(INDEX('1.산군_붙여넣기'!$A$1:$AZ$1001,ROW(),설정!$C$4)&amp;"","")</f>
        <v/>
      </c>
      <c r="C504">
        <f>IFERROR(INDEX('1.산군_붙여넣기'!$A$1:$AZ$1001,ROW(),설정!$C$5)&amp;"","")</f>
        <v/>
      </c>
      <c r="D504" s="5">
        <f>IFERROR(VALUE(SUBSTITUTE(SUBSTITUTE(SUBSTITUTE(IFERROR(INDEX('1.산군_붙여넣기'!$A$1:$AZ$1001,ROW(),설정!$C$6)&amp;"",""),",",""),"㎡",""),"m2","")),"")</f>
        <v/>
      </c>
      <c r="E504">
        <f>IFERROR(INDEX('1.산군_붙여넣기'!$A$1:$AZ$1001,ROW(),설정!$C$7)&amp;"","")</f>
        <v/>
      </c>
      <c r="F504">
        <f>IFERROR(INDEX('1.산군_붙여넣기'!$A$1:$AZ$1001,ROW(),설정!$C$8)&amp;"","")</f>
        <v/>
      </c>
      <c r="G504">
        <f>IFERROR(INDEX('1.산군_붙여넣기'!$A$1:$AZ$1001,ROW(),설정!$C$9)&amp;"","")</f>
        <v/>
      </c>
      <c r="H504">
        <f>IFERROR(INDEX('1.산군_붙여넣기'!$A$1:$AZ$1001,ROW(),설정!$C$10)&amp;"","")</f>
        <v/>
      </c>
      <c r="I504">
        <f>IFERROR(INDEX('1.산군_붙여넣기'!$A$1:$AZ$1001,ROW(),설정!$C$11)&amp;"","")</f>
        <v/>
      </c>
      <c r="J504">
        <f>IFERROR(INDEX('1.산군_붙여넣기'!$A$1:$AZ$1001,ROW(),설정!$C$12)&amp;"","")</f>
        <v/>
      </c>
      <c r="K504">
        <f>IFERROR(INDEX('1.산군_붙여넣기'!$A$1:$AZ$1001,ROW(),설정!$C$13)&amp;"","")</f>
        <v/>
      </c>
      <c r="L504" s="6">
        <f>IF(X504="","",IF(AND(LEN(X504)=8,ISNUMBER(X504*1)),DATE(LEFT(X504,4),MID(X504,5,2),RIGHT(X504,2)),IFERROR(DATEVALUE(SUBSTITUTE(SUBSTITUTE(X504,".","-"),"/","-")),IFERROR(X504*1,""))))</f>
        <v/>
      </c>
      <c r="M504" s="6">
        <f>IF(Y504="","",IF(AND(LEN(Y504)=8,ISNUMBER(Y504*1)),DATE(LEFT(Y504,4),MID(Y504,5,2),RIGHT(Y504,2)),IFERROR(DATEVALUE(SUBSTITUTE(SUBSTITUTE(Y504,".","-"),"/","-")),IFERROR(Y504*1,""))))</f>
        <v/>
      </c>
      <c r="N504">
        <f>IFERROR(LEFT(B504,FIND(" ",B504)-1),B504)</f>
        <v/>
      </c>
      <c r="O504">
        <f>AND(B504&lt;&gt;"",B504&lt;&gt;설정!$B$4,C504&lt;&gt;설정!$B$5)</f>
        <v/>
      </c>
      <c r="P504">
        <f>IF(O504,B504&amp;"|"&amp;C504,"")</f>
        <v/>
      </c>
      <c r="Q504">
        <f>AND(O504,COUNTIF(P505:P$1002,P504)=0)</f>
        <v/>
      </c>
      <c r="R504">
        <f>OR(AND(설정!$A$28&lt;&gt;"",ISNUMBER(SEARCH(설정!$A$28,E504&amp;" "&amp;C504))),AND(설정!$A$29&lt;&gt;"",ISNUMBER(SEARCH(설정!$A$29,E504&amp;" "&amp;C504))),AND(설정!$A$30&lt;&gt;"",ISNUMBER(SEARCH(설정!$A$30,E504&amp;" "&amp;C504))),AND(설정!$A$31&lt;&gt;"",ISNUMBER(SEARCH(설정!$A$31,E504&amp;" "&amp;C504))),AND(설정!$A$32&lt;&gt;"",ISNUMBER(SEARCH(설정!$A$32,E504&amp;" "&amp;C504))),AND(설정!$A$33&lt;&gt;"",ISNUMBER(SEARCH(설정!$A$33,E504&amp;" "&amp;C504))),AND(설정!$A$34&lt;&gt;"",ISNUMBER(SEARCH(설정!$A$34,E504&amp;" "&amp;C504))),AND(설정!$A$35&lt;&gt;"",ISNUMBER(SEARCH(설정!$A$35,E504&amp;" "&amp;C504))),AND(설정!$A$36&lt;&gt;"",ISNUMBER(SEARCH(설정!$A$36,E504&amp;" "&amp;C504))),AND(설정!$A$37&lt;&gt;"",ISNUMBER(SEARCH(설정!$A$37,E504&amp;" "&amp;C504))))</f>
        <v/>
      </c>
      <c r="S504">
        <f>OR(D504="",D504&gt;=설정!$B$19)</f>
        <v/>
      </c>
      <c r="T504">
        <f>AND(Q504,R504,S504)</f>
        <v/>
      </c>
      <c r="U504">
        <f>IF(T504,IF(AND(설정!$A$41&lt;&gt;"",ISNUMBER(SEARCH(설정!$A$41,K504))),설정!$B$41,IF(AND(설정!$A$42&lt;&gt;"",ISNUMBER(SEARCH(설정!$A$42,K504))),설정!$B$42,IF(AND(설정!$A$43&lt;&gt;"",ISNUMBER(SEARCH(설정!$A$43,K504))),설정!$B$43,IF(AND(설정!$A$44&lt;&gt;"",ISNUMBER(SEARCH(설정!$A$44,K504))),설정!$B$44,IF(AND(설정!$A$45&lt;&gt;"",ISNUMBER(SEARCH(설정!$A$45,K504))),설정!$B$45,IF(AND(설정!$A$46&lt;&gt;"",ISNUMBER(SEARCH(설정!$A$46,K504))),설정!$B$46,IF(AND(설정!$A$47&lt;&gt;"",ISNUMBER(SEARCH(설정!$A$47,K504))),설정!$B$47,IF(AND(설정!$A$48&lt;&gt;"",ISNUMBER(SEARCH(설정!$A$48,K504))),설정!$B$48,IF(M504="","설계사","시공사"))))))))),"")</f>
        <v/>
      </c>
      <c r="V504">
        <f>SUBSTITUTE(SUBSTITUTE(SUBSTITUTE(SUBSTITUTE(G504,"(주)",""),"㈜",""),"주식회사","")," ","")</f>
        <v/>
      </c>
      <c r="W504">
        <f>IF(AND(T504,V504&lt;&gt;""),IF(COUNTIFS(V$2:V504,V504,T$2:T504,TRUE)=1,MAX(W$1:W503)+1,""),"")</f>
        <v/>
      </c>
      <c r="X504">
        <f>IFERROR(INDEX('1.산군_붙여넣기'!$A$1:$AZ$1001,ROW(),설정!$C$14)&amp;"","")</f>
        <v/>
      </c>
      <c r="Y504">
        <f>IFERROR(INDEX('1.산군_붙여넣기'!$A$1:$AZ$1001,ROW(),설정!$C$15)&amp;"","")</f>
        <v/>
      </c>
      <c r="Z504">
        <f>IF(T504,V504&amp;"|"&amp;U504,"")</f>
        <v/>
      </c>
    </row>
    <row r="505">
      <c r="A505">
        <f>ROW()</f>
        <v/>
      </c>
      <c r="B505">
        <f>IFERROR(INDEX('1.산군_붙여넣기'!$A$1:$AZ$1001,ROW(),설정!$C$4)&amp;"","")</f>
        <v/>
      </c>
      <c r="C505">
        <f>IFERROR(INDEX('1.산군_붙여넣기'!$A$1:$AZ$1001,ROW(),설정!$C$5)&amp;"","")</f>
        <v/>
      </c>
      <c r="D505" s="5">
        <f>IFERROR(VALUE(SUBSTITUTE(SUBSTITUTE(SUBSTITUTE(IFERROR(INDEX('1.산군_붙여넣기'!$A$1:$AZ$1001,ROW(),설정!$C$6)&amp;"",""),",",""),"㎡",""),"m2","")),"")</f>
        <v/>
      </c>
      <c r="E505">
        <f>IFERROR(INDEX('1.산군_붙여넣기'!$A$1:$AZ$1001,ROW(),설정!$C$7)&amp;"","")</f>
        <v/>
      </c>
      <c r="F505">
        <f>IFERROR(INDEX('1.산군_붙여넣기'!$A$1:$AZ$1001,ROW(),설정!$C$8)&amp;"","")</f>
        <v/>
      </c>
      <c r="G505">
        <f>IFERROR(INDEX('1.산군_붙여넣기'!$A$1:$AZ$1001,ROW(),설정!$C$9)&amp;"","")</f>
        <v/>
      </c>
      <c r="H505">
        <f>IFERROR(INDEX('1.산군_붙여넣기'!$A$1:$AZ$1001,ROW(),설정!$C$10)&amp;"","")</f>
        <v/>
      </c>
      <c r="I505">
        <f>IFERROR(INDEX('1.산군_붙여넣기'!$A$1:$AZ$1001,ROW(),설정!$C$11)&amp;"","")</f>
        <v/>
      </c>
      <c r="J505">
        <f>IFERROR(INDEX('1.산군_붙여넣기'!$A$1:$AZ$1001,ROW(),설정!$C$12)&amp;"","")</f>
        <v/>
      </c>
      <c r="K505">
        <f>IFERROR(INDEX('1.산군_붙여넣기'!$A$1:$AZ$1001,ROW(),설정!$C$13)&amp;"","")</f>
        <v/>
      </c>
      <c r="L505" s="6">
        <f>IF(X505="","",IF(AND(LEN(X505)=8,ISNUMBER(X505*1)),DATE(LEFT(X505,4),MID(X505,5,2),RIGHT(X505,2)),IFERROR(DATEVALUE(SUBSTITUTE(SUBSTITUTE(X505,".","-"),"/","-")),IFERROR(X505*1,""))))</f>
        <v/>
      </c>
      <c r="M505" s="6">
        <f>IF(Y505="","",IF(AND(LEN(Y505)=8,ISNUMBER(Y505*1)),DATE(LEFT(Y505,4),MID(Y505,5,2),RIGHT(Y505,2)),IFERROR(DATEVALUE(SUBSTITUTE(SUBSTITUTE(Y505,".","-"),"/","-")),IFERROR(Y505*1,""))))</f>
        <v/>
      </c>
      <c r="N505">
        <f>IFERROR(LEFT(B505,FIND(" ",B505)-1),B505)</f>
        <v/>
      </c>
      <c r="O505">
        <f>AND(B505&lt;&gt;"",B505&lt;&gt;설정!$B$4,C505&lt;&gt;설정!$B$5)</f>
        <v/>
      </c>
      <c r="P505">
        <f>IF(O505,B505&amp;"|"&amp;C505,"")</f>
        <v/>
      </c>
      <c r="Q505">
        <f>AND(O505,COUNTIF(P506:P$1002,P505)=0)</f>
        <v/>
      </c>
      <c r="R505">
        <f>OR(AND(설정!$A$28&lt;&gt;"",ISNUMBER(SEARCH(설정!$A$28,E505&amp;" "&amp;C505))),AND(설정!$A$29&lt;&gt;"",ISNUMBER(SEARCH(설정!$A$29,E505&amp;" "&amp;C505))),AND(설정!$A$30&lt;&gt;"",ISNUMBER(SEARCH(설정!$A$30,E505&amp;" "&amp;C505))),AND(설정!$A$31&lt;&gt;"",ISNUMBER(SEARCH(설정!$A$31,E505&amp;" "&amp;C505))),AND(설정!$A$32&lt;&gt;"",ISNUMBER(SEARCH(설정!$A$32,E505&amp;" "&amp;C505))),AND(설정!$A$33&lt;&gt;"",ISNUMBER(SEARCH(설정!$A$33,E505&amp;" "&amp;C505))),AND(설정!$A$34&lt;&gt;"",ISNUMBER(SEARCH(설정!$A$34,E505&amp;" "&amp;C505))),AND(설정!$A$35&lt;&gt;"",ISNUMBER(SEARCH(설정!$A$35,E505&amp;" "&amp;C505))),AND(설정!$A$36&lt;&gt;"",ISNUMBER(SEARCH(설정!$A$36,E505&amp;" "&amp;C505))),AND(설정!$A$37&lt;&gt;"",ISNUMBER(SEARCH(설정!$A$37,E505&amp;" "&amp;C505))))</f>
        <v/>
      </c>
      <c r="S505">
        <f>OR(D505="",D505&gt;=설정!$B$19)</f>
        <v/>
      </c>
      <c r="T505">
        <f>AND(Q505,R505,S505)</f>
        <v/>
      </c>
      <c r="U505">
        <f>IF(T505,IF(AND(설정!$A$41&lt;&gt;"",ISNUMBER(SEARCH(설정!$A$41,K505))),설정!$B$41,IF(AND(설정!$A$42&lt;&gt;"",ISNUMBER(SEARCH(설정!$A$42,K505))),설정!$B$42,IF(AND(설정!$A$43&lt;&gt;"",ISNUMBER(SEARCH(설정!$A$43,K505))),설정!$B$43,IF(AND(설정!$A$44&lt;&gt;"",ISNUMBER(SEARCH(설정!$A$44,K505))),설정!$B$44,IF(AND(설정!$A$45&lt;&gt;"",ISNUMBER(SEARCH(설정!$A$45,K505))),설정!$B$45,IF(AND(설정!$A$46&lt;&gt;"",ISNUMBER(SEARCH(설정!$A$46,K505))),설정!$B$46,IF(AND(설정!$A$47&lt;&gt;"",ISNUMBER(SEARCH(설정!$A$47,K505))),설정!$B$47,IF(AND(설정!$A$48&lt;&gt;"",ISNUMBER(SEARCH(설정!$A$48,K505))),설정!$B$48,IF(M505="","설계사","시공사"))))))))),"")</f>
        <v/>
      </c>
      <c r="V505">
        <f>SUBSTITUTE(SUBSTITUTE(SUBSTITUTE(SUBSTITUTE(G505,"(주)",""),"㈜",""),"주식회사","")," ","")</f>
        <v/>
      </c>
      <c r="W505">
        <f>IF(AND(T505,V505&lt;&gt;""),IF(COUNTIFS(V$2:V505,V505,T$2:T505,TRUE)=1,MAX(W$1:W504)+1,""),"")</f>
        <v/>
      </c>
      <c r="X505">
        <f>IFERROR(INDEX('1.산군_붙여넣기'!$A$1:$AZ$1001,ROW(),설정!$C$14)&amp;"","")</f>
        <v/>
      </c>
      <c r="Y505">
        <f>IFERROR(INDEX('1.산군_붙여넣기'!$A$1:$AZ$1001,ROW(),설정!$C$15)&amp;"","")</f>
        <v/>
      </c>
      <c r="Z505">
        <f>IF(T505,V505&amp;"|"&amp;U505,"")</f>
        <v/>
      </c>
    </row>
    <row r="506">
      <c r="A506">
        <f>ROW()</f>
        <v/>
      </c>
      <c r="B506">
        <f>IFERROR(INDEX('1.산군_붙여넣기'!$A$1:$AZ$1001,ROW(),설정!$C$4)&amp;"","")</f>
        <v/>
      </c>
      <c r="C506">
        <f>IFERROR(INDEX('1.산군_붙여넣기'!$A$1:$AZ$1001,ROW(),설정!$C$5)&amp;"","")</f>
        <v/>
      </c>
      <c r="D506" s="5">
        <f>IFERROR(VALUE(SUBSTITUTE(SUBSTITUTE(SUBSTITUTE(IFERROR(INDEX('1.산군_붙여넣기'!$A$1:$AZ$1001,ROW(),설정!$C$6)&amp;"",""),",",""),"㎡",""),"m2","")),"")</f>
        <v/>
      </c>
      <c r="E506">
        <f>IFERROR(INDEX('1.산군_붙여넣기'!$A$1:$AZ$1001,ROW(),설정!$C$7)&amp;"","")</f>
        <v/>
      </c>
      <c r="F506">
        <f>IFERROR(INDEX('1.산군_붙여넣기'!$A$1:$AZ$1001,ROW(),설정!$C$8)&amp;"","")</f>
        <v/>
      </c>
      <c r="G506">
        <f>IFERROR(INDEX('1.산군_붙여넣기'!$A$1:$AZ$1001,ROW(),설정!$C$9)&amp;"","")</f>
        <v/>
      </c>
      <c r="H506">
        <f>IFERROR(INDEX('1.산군_붙여넣기'!$A$1:$AZ$1001,ROW(),설정!$C$10)&amp;"","")</f>
        <v/>
      </c>
      <c r="I506">
        <f>IFERROR(INDEX('1.산군_붙여넣기'!$A$1:$AZ$1001,ROW(),설정!$C$11)&amp;"","")</f>
        <v/>
      </c>
      <c r="J506">
        <f>IFERROR(INDEX('1.산군_붙여넣기'!$A$1:$AZ$1001,ROW(),설정!$C$12)&amp;"","")</f>
        <v/>
      </c>
      <c r="K506">
        <f>IFERROR(INDEX('1.산군_붙여넣기'!$A$1:$AZ$1001,ROW(),설정!$C$13)&amp;"","")</f>
        <v/>
      </c>
      <c r="L506" s="6">
        <f>IF(X506="","",IF(AND(LEN(X506)=8,ISNUMBER(X506*1)),DATE(LEFT(X506,4),MID(X506,5,2),RIGHT(X506,2)),IFERROR(DATEVALUE(SUBSTITUTE(SUBSTITUTE(X506,".","-"),"/","-")),IFERROR(X506*1,""))))</f>
        <v/>
      </c>
      <c r="M506" s="6">
        <f>IF(Y506="","",IF(AND(LEN(Y506)=8,ISNUMBER(Y506*1)),DATE(LEFT(Y506,4),MID(Y506,5,2),RIGHT(Y506,2)),IFERROR(DATEVALUE(SUBSTITUTE(SUBSTITUTE(Y506,".","-"),"/","-")),IFERROR(Y506*1,""))))</f>
        <v/>
      </c>
      <c r="N506">
        <f>IFERROR(LEFT(B506,FIND(" ",B506)-1),B506)</f>
        <v/>
      </c>
      <c r="O506">
        <f>AND(B506&lt;&gt;"",B506&lt;&gt;설정!$B$4,C506&lt;&gt;설정!$B$5)</f>
        <v/>
      </c>
      <c r="P506">
        <f>IF(O506,B506&amp;"|"&amp;C506,"")</f>
        <v/>
      </c>
      <c r="Q506">
        <f>AND(O506,COUNTIF(P507:P$1002,P506)=0)</f>
        <v/>
      </c>
      <c r="R506">
        <f>OR(AND(설정!$A$28&lt;&gt;"",ISNUMBER(SEARCH(설정!$A$28,E506&amp;" "&amp;C506))),AND(설정!$A$29&lt;&gt;"",ISNUMBER(SEARCH(설정!$A$29,E506&amp;" "&amp;C506))),AND(설정!$A$30&lt;&gt;"",ISNUMBER(SEARCH(설정!$A$30,E506&amp;" "&amp;C506))),AND(설정!$A$31&lt;&gt;"",ISNUMBER(SEARCH(설정!$A$31,E506&amp;" "&amp;C506))),AND(설정!$A$32&lt;&gt;"",ISNUMBER(SEARCH(설정!$A$32,E506&amp;" "&amp;C506))),AND(설정!$A$33&lt;&gt;"",ISNUMBER(SEARCH(설정!$A$33,E506&amp;" "&amp;C506))),AND(설정!$A$34&lt;&gt;"",ISNUMBER(SEARCH(설정!$A$34,E506&amp;" "&amp;C506))),AND(설정!$A$35&lt;&gt;"",ISNUMBER(SEARCH(설정!$A$35,E506&amp;" "&amp;C506))),AND(설정!$A$36&lt;&gt;"",ISNUMBER(SEARCH(설정!$A$36,E506&amp;" "&amp;C506))),AND(설정!$A$37&lt;&gt;"",ISNUMBER(SEARCH(설정!$A$37,E506&amp;" "&amp;C506))))</f>
        <v/>
      </c>
      <c r="S506">
        <f>OR(D506="",D506&gt;=설정!$B$19)</f>
        <v/>
      </c>
      <c r="T506">
        <f>AND(Q506,R506,S506)</f>
        <v/>
      </c>
      <c r="U506">
        <f>IF(T506,IF(AND(설정!$A$41&lt;&gt;"",ISNUMBER(SEARCH(설정!$A$41,K506))),설정!$B$41,IF(AND(설정!$A$42&lt;&gt;"",ISNUMBER(SEARCH(설정!$A$42,K506))),설정!$B$42,IF(AND(설정!$A$43&lt;&gt;"",ISNUMBER(SEARCH(설정!$A$43,K506))),설정!$B$43,IF(AND(설정!$A$44&lt;&gt;"",ISNUMBER(SEARCH(설정!$A$44,K506))),설정!$B$44,IF(AND(설정!$A$45&lt;&gt;"",ISNUMBER(SEARCH(설정!$A$45,K506))),설정!$B$45,IF(AND(설정!$A$46&lt;&gt;"",ISNUMBER(SEARCH(설정!$A$46,K506))),설정!$B$46,IF(AND(설정!$A$47&lt;&gt;"",ISNUMBER(SEARCH(설정!$A$47,K506))),설정!$B$47,IF(AND(설정!$A$48&lt;&gt;"",ISNUMBER(SEARCH(설정!$A$48,K506))),설정!$B$48,IF(M506="","설계사","시공사"))))))))),"")</f>
        <v/>
      </c>
      <c r="V506">
        <f>SUBSTITUTE(SUBSTITUTE(SUBSTITUTE(SUBSTITUTE(G506,"(주)",""),"㈜",""),"주식회사","")," ","")</f>
        <v/>
      </c>
      <c r="W506">
        <f>IF(AND(T506,V506&lt;&gt;""),IF(COUNTIFS(V$2:V506,V506,T$2:T506,TRUE)=1,MAX(W$1:W505)+1,""),"")</f>
        <v/>
      </c>
      <c r="X506">
        <f>IFERROR(INDEX('1.산군_붙여넣기'!$A$1:$AZ$1001,ROW(),설정!$C$14)&amp;"","")</f>
        <v/>
      </c>
      <c r="Y506">
        <f>IFERROR(INDEX('1.산군_붙여넣기'!$A$1:$AZ$1001,ROW(),설정!$C$15)&amp;"","")</f>
        <v/>
      </c>
      <c r="Z506">
        <f>IF(T506,V506&amp;"|"&amp;U506,"")</f>
        <v/>
      </c>
    </row>
    <row r="507">
      <c r="A507">
        <f>ROW()</f>
        <v/>
      </c>
      <c r="B507">
        <f>IFERROR(INDEX('1.산군_붙여넣기'!$A$1:$AZ$1001,ROW(),설정!$C$4)&amp;"","")</f>
        <v/>
      </c>
      <c r="C507">
        <f>IFERROR(INDEX('1.산군_붙여넣기'!$A$1:$AZ$1001,ROW(),설정!$C$5)&amp;"","")</f>
        <v/>
      </c>
      <c r="D507" s="5">
        <f>IFERROR(VALUE(SUBSTITUTE(SUBSTITUTE(SUBSTITUTE(IFERROR(INDEX('1.산군_붙여넣기'!$A$1:$AZ$1001,ROW(),설정!$C$6)&amp;"",""),",",""),"㎡",""),"m2","")),"")</f>
        <v/>
      </c>
      <c r="E507">
        <f>IFERROR(INDEX('1.산군_붙여넣기'!$A$1:$AZ$1001,ROW(),설정!$C$7)&amp;"","")</f>
        <v/>
      </c>
      <c r="F507">
        <f>IFERROR(INDEX('1.산군_붙여넣기'!$A$1:$AZ$1001,ROW(),설정!$C$8)&amp;"","")</f>
        <v/>
      </c>
      <c r="G507">
        <f>IFERROR(INDEX('1.산군_붙여넣기'!$A$1:$AZ$1001,ROW(),설정!$C$9)&amp;"","")</f>
        <v/>
      </c>
      <c r="H507">
        <f>IFERROR(INDEX('1.산군_붙여넣기'!$A$1:$AZ$1001,ROW(),설정!$C$10)&amp;"","")</f>
        <v/>
      </c>
      <c r="I507">
        <f>IFERROR(INDEX('1.산군_붙여넣기'!$A$1:$AZ$1001,ROW(),설정!$C$11)&amp;"","")</f>
        <v/>
      </c>
      <c r="J507">
        <f>IFERROR(INDEX('1.산군_붙여넣기'!$A$1:$AZ$1001,ROW(),설정!$C$12)&amp;"","")</f>
        <v/>
      </c>
      <c r="K507">
        <f>IFERROR(INDEX('1.산군_붙여넣기'!$A$1:$AZ$1001,ROW(),설정!$C$13)&amp;"","")</f>
        <v/>
      </c>
      <c r="L507" s="6">
        <f>IF(X507="","",IF(AND(LEN(X507)=8,ISNUMBER(X507*1)),DATE(LEFT(X507,4),MID(X507,5,2),RIGHT(X507,2)),IFERROR(DATEVALUE(SUBSTITUTE(SUBSTITUTE(X507,".","-"),"/","-")),IFERROR(X507*1,""))))</f>
        <v/>
      </c>
      <c r="M507" s="6">
        <f>IF(Y507="","",IF(AND(LEN(Y507)=8,ISNUMBER(Y507*1)),DATE(LEFT(Y507,4),MID(Y507,5,2),RIGHT(Y507,2)),IFERROR(DATEVALUE(SUBSTITUTE(SUBSTITUTE(Y507,".","-"),"/","-")),IFERROR(Y507*1,""))))</f>
        <v/>
      </c>
      <c r="N507">
        <f>IFERROR(LEFT(B507,FIND(" ",B507)-1),B507)</f>
        <v/>
      </c>
      <c r="O507">
        <f>AND(B507&lt;&gt;"",B507&lt;&gt;설정!$B$4,C507&lt;&gt;설정!$B$5)</f>
        <v/>
      </c>
      <c r="P507">
        <f>IF(O507,B507&amp;"|"&amp;C507,"")</f>
        <v/>
      </c>
      <c r="Q507">
        <f>AND(O507,COUNTIF(P508:P$1002,P507)=0)</f>
        <v/>
      </c>
      <c r="R507">
        <f>OR(AND(설정!$A$28&lt;&gt;"",ISNUMBER(SEARCH(설정!$A$28,E507&amp;" "&amp;C507))),AND(설정!$A$29&lt;&gt;"",ISNUMBER(SEARCH(설정!$A$29,E507&amp;" "&amp;C507))),AND(설정!$A$30&lt;&gt;"",ISNUMBER(SEARCH(설정!$A$30,E507&amp;" "&amp;C507))),AND(설정!$A$31&lt;&gt;"",ISNUMBER(SEARCH(설정!$A$31,E507&amp;" "&amp;C507))),AND(설정!$A$32&lt;&gt;"",ISNUMBER(SEARCH(설정!$A$32,E507&amp;" "&amp;C507))),AND(설정!$A$33&lt;&gt;"",ISNUMBER(SEARCH(설정!$A$33,E507&amp;" "&amp;C507))),AND(설정!$A$34&lt;&gt;"",ISNUMBER(SEARCH(설정!$A$34,E507&amp;" "&amp;C507))),AND(설정!$A$35&lt;&gt;"",ISNUMBER(SEARCH(설정!$A$35,E507&amp;" "&amp;C507))),AND(설정!$A$36&lt;&gt;"",ISNUMBER(SEARCH(설정!$A$36,E507&amp;" "&amp;C507))),AND(설정!$A$37&lt;&gt;"",ISNUMBER(SEARCH(설정!$A$37,E507&amp;" "&amp;C507))))</f>
        <v/>
      </c>
      <c r="S507">
        <f>OR(D507="",D507&gt;=설정!$B$19)</f>
        <v/>
      </c>
      <c r="T507">
        <f>AND(Q507,R507,S507)</f>
        <v/>
      </c>
      <c r="U507">
        <f>IF(T507,IF(AND(설정!$A$41&lt;&gt;"",ISNUMBER(SEARCH(설정!$A$41,K507))),설정!$B$41,IF(AND(설정!$A$42&lt;&gt;"",ISNUMBER(SEARCH(설정!$A$42,K507))),설정!$B$42,IF(AND(설정!$A$43&lt;&gt;"",ISNUMBER(SEARCH(설정!$A$43,K507))),설정!$B$43,IF(AND(설정!$A$44&lt;&gt;"",ISNUMBER(SEARCH(설정!$A$44,K507))),설정!$B$44,IF(AND(설정!$A$45&lt;&gt;"",ISNUMBER(SEARCH(설정!$A$45,K507))),설정!$B$45,IF(AND(설정!$A$46&lt;&gt;"",ISNUMBER(SEARCH(설정!$A$46,K507))),설정!$B$46,IF(AND(설정!$A$47&lt;&gt;"",ISNUMBER(SEARCH(설정!$A$47,K507))),설정!$B$47,IF(AND(설정!$A$48&lt;&gt;"",ISNUMBER(SEARCH(설정!$A$48,K507))),설정!$B$48,IF(M507="","설계사","시공사"))))))))),"")</f>
        <v/>
      </c>
      <c r="V507">
        <f>SUBSTITUTE(SUBSTITUTE(SUBSTITUTE(SUBSTITUTE(G507,"(주)",""),"㈜",""),"주식회사","")," ","")</f>
        <v/>
      </c>
      <c r="W507">
        <f>IF(AND(T507,V507&lt;&gt;""),IF(COUNTIFS(V$2:V507,V507,T$2:T507,TRUE)=1,MAX(W$1:W506)+1,""),"")</f>
        <v/>
      </c>
      <c r="X507">
        <f>IFERROR(INDEX('1.산군_붙여넣기'!$A$1:$AZ$1001,ROW(),설정!$C$14)&amp;"","")</f>
        <v/>
      </c>
      <c r="Y507">
        <f>IFERROR(INDEX('1.산군_붙여넣기'!$A$1:$AZ$1001,ROW(),설정!$C$15)&amp;"","")</f>
        <v/>
      </c>
      <c r="Z507">
        <f>IF(T507,V507&amp;"|"&amp;U507,"")</f>
        <v/>
      </c>
    </row>
    <row r="508">
      <c r="A508">
        <f>ROW()</f>
        <v/>
      </c>
      <c r="B508">
        <f>IFERROR(INDEX('1.산군_붙여넣기'!$A$1:$AZ$1001,ROW(),설정!$C$4)&amp;"","")</f>
        <v/>
      </c>
      <c r="C508">
        <f>IFERROR(INDEX('1.산군_붙여넣기'!$A$1:$AZ$1001,ROW(),설정!$C$5)&amp;"","")</f>
        <v/>
      </c>
      <c r="D508" s="5">
        <f>IFERROR(VALUE(SUBSTITUTE(SUBSTITUTE(SUBSTITUTE(IFERROR(INDEX('1.산군_붙여넣기'!$A$1:$AZ$1001,ROW(),설정!$C$6)&amp;"",""),",",""),"㎡",""),"m2","")),"")</f>
        <v/>
      </c>
      <c r="E508">
        <f>IFERROR(INDEX('1.산군_붙여넣기'!$A$1:$AZ$1001,ROW(),설정!$C$7)&amp;"","")</f>
        <v/>
      </c>
      <c r="F508">
        <f>IFERROR(INDEX('1.산군_붙여넣기'!$A$1:$AZ$1001,ROW(),설정!$C$8)&amp;"","")</f>
        <v/>
      </c>
      <c r="G508">
        <f>IFERROR(INDEX('1.산군_붙여넣기'!$A$1:$AZ$1001,ROW(),설정!$C$9)&amp;"","")</f>
        <v/>
      </c>
      <c r="H508">
        <f>IFERROR(INDEX('1.산군_붙여넣기'!$A$1:$AZ$1001,ROW(),설정!$C$10)&amp;"","")</f>
        <v/>
      </c>
      <c r="I508">
        <f>IFERROR(INDEX('1.산군_붙여넣기'!$A$1:$AZ$1001,ROW(),설정!$C$11)&amp;"","")</f>
        <v/>
      </c>
      <c r="J508">
        <f>IFERROR(INDEX('1.산군_붙여넣기'!$A$1:$AZ$1001,ROW(),설정!$C$12)&amp;"","")</f>
        <v/>
      </c>
      <c r="K508">
        <f>IFERROR(INDEX('1.산군_붙여넣기'!$A$1:$AZ$1001,ROW(),설정!$C$13)&amp;"","")</f>
        <v/>
      </c>
      <c r="L508" s="6">
        <f>IF(X508="","",IF(AND(LEN(X508)=8,ISNUMBER(X508*1)),DATE(LEFT(X508,4),MID(X508,5,2),RIGHT(X508,2)),IFERROR(DATEVALUE(SUBSTITUTE(SUBSTITUTE(X508,".","-"),"/","-")),IFERROR(X508*1,""))))</f>
        <v/>
      </c>
      <c r="M508" s="6">
        <f>IF(Y508="","",IF(AND(LEN(Y508)=8,ISNUMBER(Y508*1)),DATE(LEFT(Y508,4),MID(Y508,5,2),RIGHT(Y508,2)),IFERROR(DATEVALUE(SUBSTITUTE(SUBSTITUTE(Y508,".","-"),"/","-")),IFERROR(Y508*1,""))))</f>
        <v/>
      </c>
      <c r="N508">
        <f>IFERROR(LEFT(B508,FIND(" ",B508)-1),B508)</f>
        <v/>
      </c>
      <c r="O508">
        <f>AND(B508&lt;&gt;"",B508&lt;&gt;설정!$B$4,C508&lt;&gt;설정!$B$5)</f>
        <v/>
      </c>
      <c r="P508">
        <f>IF(O508,B508&amp;"|"&amp;C508,"")</f>
        <v/>
      </c>
      <c r="Q508">
        <f>AND(O508,COUNTIF(P509:P$1002,P508)=0)</f>
        <v/>
      </c>
      <c r="R508">
        <f>OR(AND(설정!$A$28&lt;&gt;"",ISNUMBER(SEARCH(설정!$A$28,E508&amp;" "&amp;C508))),AND(설정!$A$29&lt;&gt;"",ISNUMBER(SEARCH(설정!$A$29,E508&amp;" "&amp;C508))),AND(설정!$A$30&lt;&gt;"",ISNUMBER(SEARCH(설정!$A$30,E508&amp;" "&amp;C508))),AND(설정!$A$31&lt;&gt;"",ISNUMBER(SEARCH(설정!$A$31,E508&amp;" "&amp;C508))),AND(설정!$A$32&lt;&gt;"",ISNUMBER(SEARCH(설정!$A$32,E508&amp;" "&amp;C508))),AND(설정!$A$33&lt;&gt;"",ISNUMBER(SEARCH(설정!$A$33,E508&amp;" "&amp;C508))),AND(설정!$A$34&lt;&gt;"",ISNUMBER(SEARCH(설정!$A$34,E508&amp;" "&amp;C508))),AND(설정!$A$35&lt;&gt;"",ISNUMBER(SEARCH(설정!$A$35,E508&amp;" "&amp;C508))),AND(설정!$A$36&lt;&gt;"",ISNUMBER(SEARCH(설정!$A$36,E508&amp;" "&amp;C508))),AND(설정!$A$37&lt;&gt;"",ISNUMBER(SEARCH(설정!$A$37,E508&amp;" "&amp;C508))))</f>
        <v/>
      </c>
      <c r="S508">
        <f>OR(D508="",D508&gt;=설정!$B$19)</f>
        <v/>
      </c>
      <c r="T508">
        <f>AND(Q508,R508,S508)</f>
        <v/>
      </c>
      <c r="U508">
        <f>IF(T508,IF(AND(설정!$A$41&lt;&gt;"",ISNUMBER(SEARCH(설정!$A$41,K508))),설정!$B$41,IF(AND(설정!$A$42&lt;&gt;"",ISNUMBER(SEARCH(설정!$A$42,K508))),설정!$B$42,IF(AND(설정!$A$43&lt;&gt;"",ISNUMBER(SEARCH(설정!$A$43,K508))),설정!$B$43,IF(AND(설정!$A$44&lt;&gt;"",ISNUMBER(SEARCH(설정!$A$44,K508))),설정!$B$44,IF(AND(설정!$A$45&lt;&gt;"",ISNUMBER(SEARCH(설정!$A$45,K508))),설정!$B$45,IF(AND(설정!$A$46&lt;&gt;"",ISNUMBER(SEARCH(설정!$A$46,K508))),설정!$B$46,IF(AND(설정!$A$47&lt;&gt;"",ISNUMBER(SEARCH(설정!$A$47,K508))),설정!$B$47,IF(AND(설정!$A$48&lt;&gt;"",ISNUMBER(SEARCH(설정!$A$48,K508))),설정!$B$48,IF(M508="","설계사","시공사"))))))))),"")</f>
        <v/>
      </c>
      <c r="V508">
        <f>SUBSTITUTE(SUBSTITUTE(SUBSTITUTE(SUBSTITUTE(G508,"(주)",""),"㈜",""),"주식회사","")," ","")</f>
        <v/>
      </c>
      <c r="W508">
        <f>IF(AND(T508,V508&lt;&gt;""),IF(COUNTIFS(V$2:V508,V508,T$2:T508,TRUE)=1,MAX(W$1:W507)+1,""),"")</f>
        <v/>
      </c>
      <c r="X508">
        <f>IFERROR(INDEX('1.산군_붙여넣기'!$A$1:$AZ$1001,ROW(),설정!$C$14)&amp;"","")</f>
        <v/>
      </c>
      <c r="Y508">
        <f>IFERROR(INDEX('1.산군_붙여넣기'!$A$1:$AZ$1001,ROW(),설정!$C$15)&amp;"","")</f>
        <v/>
      </c>
      <c r="Z508">
        <f>IF(T508,V508&amp;"|"&amp;U508,"")</f>
        <v/>
      </c>
    </row>
    <row r="509">
      <c r="A509">
        <f>ROW()</f>
        <v/>
      </c>
      <c r="B509">
        <f>IFERROR(INDEX('1.산군_붙여넣기'!$A$1:$AZ$1001,ROW(),설정!$C$4)&amp;"","")</f>
        <v/>
      </c>
      <c r="C509">
        <f>IFERROR(INDEX('1.산군_붙여넣기'!$A$1:$AZ$1001,ROW(),설정!$C$5)&amp;"","")</f>
        <v/>
      </c>
      <c r="D509" s="5">
        <f>IFERROR(VALUE(SUBSTITUTE(SUBSTITUTE(SUBSTITUTE(IFERROR(INDEX('1.산군_붙여넣기'!$A$1:$AZ$1001,ROW(),설정!$C$6)&amp;"",""),",",""),"㎡",""),"m2","")),"")</f>
        <v/>
      </c>
      <c r="E509">
        <f>IFERROR(INDEX('1.산군_붙여넣기'!$A$1:$AZ$1001,ROW(),설정!$C$7)&amp;"","")</f>
        <v/>
      </c>
      <c r="F509">
        <f>IFERROR(INDEX('1.산군_붙여넣기'!$A$1:$AZ$1001,ROW(),설정!$C$8)&amp;"","")</f>
        <v/>
      </c>
      <c r="G509">
        <f>IFERROR(INDEX('1.산군_붙여넣기'!$A$1:$AZ$1001,ROW(),설정!$C$9)&amp;"","")</f>
        <v/>
      </c>
      <c r="H509">
        <f>IFERROR(INDEX('1.산군_붙여넣기'!$A$1:$AZ$1001,ROW(),설정!$C$10)&amp;"","")</f>
        <v/>
      </c>
      <c r="I509">
        <f>IFERROR(INDEX('1.산군_붙여넣기'!$A$1:$AZ$1001,ROW(),설정!$C$11)&amp;"","")</f>
        <v/>
      </c>
      <c r="J509">
        <f>IFERROR(INDEX('1.산군_붙여넣기'!$A$1:$AZ$1001,ROW(),설정!$C$12)&amp;"","")</f>
        <v/>
      </c>
      <c r="K509">
        <f>IFERROR(INDEX('1.산군_붙여넣기'!$A$1:$AZ$1001,ROW(),설정!$C$13)&amp;"","")</f>
        <v/>
      </c>
      <c r="L509" s="6">
        <f>IF(X509="","",IF(AND(LEN(X509)=8,ISNUMBER(X509*1)),DATE(LEFT(X509,4),MID(X509,5,2),RIGHT(X509,2)),IFERROR(DATEVALUE(SUBSTITUTE(SUBSTITUTE(X509,".","-"),"/","-")),IFERROR(X509*1,""))))</f>
        <v/>
      </c>
      <c r="M509" s="6">
        <f>IF(Y509="","",IF(AND(LEN(Y509)=8,ISNUMBER(Y509*1)),DATE(LEFT(Y509,4),MID(Y509,5,2),RIGHT(Y509,2)),IFERROR(DATEVALUE(SUBSTITUTE(SUBSTITUTE(Y509,".","-"),"/","-")),IFERROR(Y509*1,""))))</f>
        <v/>
      </c>
      <c r="N509">
        <f>IFERROR(LEFT(B509,FIND(" ",B509)-1),B509)</f>
        <v/>
      </c>
      <c r="O509">
        <f>AND(B509&lt;&gt;"",B509&lt;&gt;설정!$B$4,C509&lt;&gt;설정!$B$5)</f>
        <v/>
      </c>
      <c r="P509">
        <f>IF(O509,B509&amp;"|"&amp;C509,"")</f>
        <v/>
      </c>
      <c r="Q509">
        <f>AND(O509,COUNTIF(P510:P$1002,P509)=0)</f>
        <v/>
      </c>
      <c r="R509">
        <f>OR(AND(설정!$A$28&lt;&gt;"",ISNUMBER(SEARCH(설정!$A$28,E509&amp;" "&amp;C509))),AND(설정!$A$29&lt;&gt;"",ISNUMBER(SEARCH(설정!$A$29,E509&amp;" "&amp;C509))),AND(설정!$A$30&lt;&gt;"",ISNUMBER(SEARCH(설정!$A$30,E509&amp;" "&amp;C509))),AND(설정!$A$31&lt;&gt;"",ISNUMBER(SEARCH(설정!$A$31,E509&amp;" "&amp;C509))),AND(설정!$A$32&lt;&gt;"",ISNUMBER(SEARCH(설정!$A$32,E509&amp;" "&amp;C509))),AND(설정!$A$33&lt;&gt;"",ISNUMBER(SEARCH(설정!$A$33,E509&amp;" "&amp;C509))),AND(설정!$A$34&lt;&gt;"",ISNUMBER(SEARCH(설정!$A$34,E509&amp;" "&amp;C509))),AND(설정!$A$35&lt;&gt;"",ISNUMBER(SEARCH(설정!$A$35,E509&amp;" "&amp;C509))),AND(설정!$A$36&lt;&gt;"",ISNUMBER(SEARCH(설정!$A$36,E509&amp;" "&amp;C509))),AND(설정!$A$37&lt;&gt;"",ISNUMBER(SEARCH(설정!$A$37,E509&amp;" "&amp;C509))))</f>
        <v/>
      </c>
      <c r="S509">
        <f>OR(D509="",D509&gt;=설정!$B$19)</f>
        <v/>
      </c>
      <c r="T509">
        <f>AND(Q509,R509,S509)</f>
        <v/>
      </c>
      <c r="U509">
        <f>IF(T509,IF(AND(설정!$A$41&lt;&gt;"",ISNUMBER(SEARCH(설정!$A$41,K509))),설정!$B$41,IF(AND(설정!$A$42&lt;&gt;"",ISNUMBER(SEARCH(설정!$A$42,K509))),설정!$B$42,IF(AND(설정!$A$43&lt;&gt;"",ISNUMBER(SEARCH(설정!$A$43,K509))),설정!$B$43,IF(AND(설정!$A$44&lt;&gt;"",ISNUMBER(SEARCH(설정!$A$44,K509))),설정!$B$44,IF(AND(설정!$A$45&lt;&gt;"",ISNUMBER(SEARCH(설정!$A$45,K509))),설정!$B$45,IF(AND(설정!$A$46&lt;&gt;"",ISNUMBER(SEARCH(설정!$A$46,K509))),설정!$B$46,IF(AND(설정!$A$47&lt;&gt;"",ISNUMBER(SEARCH(설정!$A$47,K509))),설정!$B$47,IF(AND(설정!$A$48&lt;&gt;"",ISNUMBER(SEARCH(설정!$A$48,K509))),설정!$B$48,IF(M509="","설계사","시공사"))))))))),"")</f>
        <v/>
      </c>
      <c r="V509">
        <f>SUBSTITUTE(SUBSTITUTE(SUBSTITUTE(SUBSTITUTE(G509,"(주)",""),"㈜",""),"주식회사","")," ","")</f>
        <v/>
      </c>
      <c r="W509">
        <f>IF(AND(T509,V509&lt;&gt;""),IF(COUNTIFS(V$2:V509,V509,T$2:T509,TRUE)=1,MAX(W$1:W508)+1,""),"")</f>
        <v/>
      </c>
      <c r="X509">
        <f>IFERROR(INDEX('1.산군_붙여넣기'!$A$1:$AZ$1001,ROW(),설정!$C$14)&amp;"","")</f>
        <v/>
      </c>
      <c r="Y509">
        <f>IFERROR(INDEX('1.산군_붙여넣기'!$A$1:$AZ$1001,ROW(),설정!$C$15)&amp;"","")</f>
        <v/>
      </c>
      <c r="Z509">
        <f>IF(T509,V509&amp;"|"&amp;U509,"")</f>
        <v/>
      </c>
    </row>
    <row r="510">
      <c r="A510">
        <f>ROW()</f>
        <v/>
      </c>
      <c r="B510">
        <f>IFERROR(INDEX('1.산군_붙여넣기'!$A$1:$AZ$1001,ROW(),설정!$C$4)&amp;"","")</f>
        <v/>
      </c>
      <c r="C510">
        <f>IFERROR(INDEX('1.산군_붙여넣기'!$A$1:$AZ$1001,ROW(),설정!$C$5)&amp;"","")</f>
        <v/>
      </c>
      <c r="D510" s="5">
        <f>IFERROR(VALUE(SUBSTITUTE(SUBSTITUTE(SUBSTITUTE(IFERROR(INDEX('1.산군_붙여넣기'!$A$1:$AZ$1001,ROW(),설정!$C$6)&amp;"",""),",",""),"㎡",""),"m2","")),"")</f>
        <v/>
      </c>
      <c r="E510">
        <f>IFERROR(INDEX('1.산군_붙여넣기'!$A$1:$AZ$1001,ROW(),설정!$C$7)&amp;"","")</f>
        <v/>
      </c>
      <c r="F510">
        <f>IFERROR(INDEX('1.산군_붙여넣기'!$A$1:$AZ$1001,ROW(),설정!$C$8)&amp;"","")</f>
        <v/>
      </c>
      <c r="G510">
        <f>IFERROR(INDEX('1.산군_붙여넣기'!$A$1:$AZ$1001,ROW(),설정!$C$9)&amp;"","")</f>
        <v/>
      </c>
      <c r="H510">
        <f>IFERROR(INDEX('1.산군_붙여넣기'!$A$1:$AZ$1001,ROW(),설정!$C$10)&amp;"","")</f>
        <v/>
      </c>
      <c r="I510">
        <f>IFERROR(INDEX('1.산군_붙여넣기'!$A$1:$AZ$1001,ROW(),설정!$C$11)&amp;"","")</f>
        <v/>
      </c>
      <c r="J510">
        <f>IFERROR(INDEX('1.산군_붙여넣기'!$A$1:$AZ$1001,ROW(),설정!$C$12)&amp;"","")</f>
        <v/>
      </c>
      <c r="K510">
        <f>IFERROR(INDEX('1.산군_붙여넣기'!$A$1:$AZ$1001,ROW(),설정!$C$13)&amp;"","")</f>
        <v/>
      </c>
      <c r="L510" s="6">
        <f>IF(X510="","",IF(AND(LEN(X510)=8,ISNUMBER(X510*1)),DATE(LEFT(X510,4),MID(X510,5,2),RIGHT(X510,2)),IFERROR(DATEVALUE(SUBSTITUTE(SUBSTITUTE(X510,".","-"),"/","-")),IFERROR(X510*1,""))))</f>
        <v/>
      </c>
      <c r="M510" s="6">
        <f>IF(Y510="","",IF(AND(LEN(Y510)=8,ISNUMBER(Y510*1)),DATE(LEFT(Y510,4),MID(Y510,5,2),RIGHT(Y510,2)),IFERROR(DATEVALUE(SUBSTITUTE(SUBSTITUTE(Y510,".","-"),"/","-")),IFERROR(Y510*1,""))))</f>
        <v/>
      </c>
      <c r="N510">
        <f>IFERROR(LEFT(B510,FIND(" ",B510)-1),B510)</f>
        <v/>
      </c>
      <c r="O510">
        <f>AND(B510&lt;&gt;"",B510&lt;&gt;설정!$B$4,C510&lt;&gt;설정!$B$5)</f>
        <v/>
      </c>
      <c r="P510">
        <f>IF(O510,B510&amp;"|"&amp;C510,"")</f>
        <v/>
      </c>
      <c r="Q510">
        <f>AND(O510,COUNTIF(P511:P$1002,P510)=0)</f>
        <v/>
      </c>
      <c r="R510">
        <f>OR(AND(설정!$A$28&lt;&gt;"",ISNUMBER(SEARCH(설정!$A$28,E510&amp;" "&amp;C510))),AND(설정!$A$29&lt;&gt;"",ISNUMBER(SEARCH(설정!$A$29,E510&amp;" "&amp;C510))),AND(설정!$A$30&lt;&gt;"",ISNUMBER(SEARCH(설정!$A$30,E510&amp;" "&amp;C510))),AND(설정!$A$31&lt;&gt;"",ISNUMBER(SEARCH(설정!$A$31,E510&amp;" "&amp;C510))),AND(설정!$A$32&lt;&gt;"",ISNUMBER(SEARCH(설정!$A$32,E510&amp;" "&amp;C510))),AND(설정!$A$33&lt;&gt;"",ISNUMBER(SEARCH(설정!$A$33,E510&amp;" "&amp;C510))),AND(설정!$A$34&lt;&gt;"",ISNUMBER(SEARCH(설정!$A$34,E510&amp;" "&amp;C510))),AND(설정!$A$35&lt;&gt;"",ISNUMBER(SEARCH(설정!$A$35,E510&amp;" "&amp;C510))),AND(설정!$A$36&lt;&gt;"",ISNUMBER(SEARCH(설정!$A$36,E510&amp;" "&amp;C510))),AND(설정!$A$37&lt;&gt;"",ISNUMBER(SEARCH(설정!$A$37,E510&amp;" "&amp;C510))))</f>
        <v/>
      </c>
      <c r="S510">
        <f>OR(D510="",D510&gt;=설정!$B$19)</f>
        <v/>
      </c>
      <c r="T510">
        <f>AND(Q510,R510,S510)</f>
        <v/>
      </c>
      <c r="U510">
        <f>IF(T510,IF(AND(설정!$A$41&lt;&gt;"",ISNUMBER(SEARCH(설정!$A$41,K510))),설정!$B$41,IF(AND(설정!$A$42&lt;&gt;"",ISNUMBER(SEARCH(설정!$A$42,K510))),설정!$B$42,IF(AND(설정!$A$43&lt;&gt;"",ISNUMBER(SEARCH(설정!$A$43,K510))),설정!$B$43,IF(AND(설정!$A$44&lt;&gt;"",ISNUMBER(SEARCH(설정!$A$44,K510))),설정!$B$44,IF(AND(설정!$A$45&lt;&gt;"",ISNUMBER(SEARCH(설정!$A$45,K510))),설정!$B$45,IF(AND(설정!$A$46&lt;&gt;"",ISNUMBER(SEARCH(설정!$A$46,K510))),설정!$B$46,IF(AND(설정!$A$47&lt;&gt;"",ISNUMBER(SEARCH(설정!$A$47,K510))),설정!$B$47,IF(AND(설정!$A$48&lt;&gt;"",ISNUMBER(SEARCH(설정!$A$48,K510))),설정!$B$48,IF(M510="","설계사","시공사"))))))))),"")</f>
        <v/>
      </c>
      <c r="V510">
        <f>SUBSTITUTE(SUBSTITUTE(SUBSTITUTE(SUBSTITUTE(G510,"(주)",""),"㈜",""),"주식회사","")," ","")</f>
        <v/>
      </c>
      <c r="W510">
        <f>IF(AND(T510,V510&lt;&gt;""),IF(COUNTIFS(V$2:V510,V510,T$2:T510,TRUE)=1,MAX(W$1:W509)+1,""),"")</f>
        <v/>
      </c>
      <c r="X510">
        <f>IFERROR(INDEX('1.산군_붙여넣기'!$A$1:$AZ$1001,ROW(),설정!$C$14)&amp;"","")</f>
        <v/>
      </c>
      <c r="Y510">
        <f>IFERROR(INDEX('1.산군_붙여넣기'!$A$1:$AZ$1001,ROW(),설정!$C$15)&amp;"","")</f>
        <v/>
      </c>
      <c r="Z510">
        <f>IF(T510,V510&amp;"|"&amp;U510,"")</f>
        <v/>
      </c>
    </row>
    <row r="511">
      <c r="A511">
        <f>ROW()</f>
        <v/>
      </c>
      <c r="B511">
        <f>IFERROR(INDEX('1.산군_붙여넣기'!$A$1:$AZ$1001,ROW(),설정!$C$4)&amp;"","")</f>
        <v/>
      </c>
      <c r="C511">
        <f>IFERROR(INDEX('1.산군_붙여넣기'!$A$1:$AZ$1001,ROW(),설정!$C$5)&amp;"","")</f>
        <v/>
      </c>
      <c r="D511" s="5">
        <f>IFERROR(VALUE(SUBSTITUTE(SUBSTITUTE(SUBSTITUTE(IFERROR(INDEX('1.산군_붙여넣기'!$A$1:$AZ$1001,ROW(),설정!$C$6)&amp;"",""),",",""),"㎡",""),"m2","")),"")</f>
        <v/>
      </c>
      <c r="E511">
        <f>IFERROR(INDEX('1.산군_붙여넣기'!$A$1:$AZ$1001,ROW(),설정!$C$7)&amp;"","")</f>
        <v/>
      </c>
      <c r="F511">
        <f>IFERROR(INDEX('1.산군_붙여넣기'!$A$1:$AZ$1001,ROW(),설정!$C$8)&amp;"","")</f>
        <v/>
      </c>
      <c r="G511">
        <f>IFERROR(INDEX('1.산군_붙여넣기'!$A$1:$AZ$1001,ROW(),설정!$C$9)&amp;"","")</f>
        <v/>
      </c>
      <c r="H511">
        <f>IFERROR(INDEX('1.산군_붙여넣기'!$A$1:$AZ$1001,ROW(),설정!$C$10)&amp;"","")</f>
        <v/>
      </c>
      <c r="I511">
        <f>IFERROR(INDEX('1.산군_붙여넣기'!$A$1:$AZ$1001,ROW(),설정!$C$11)&amp;"","")</f>
        <v/>
      </c>
      <c r="J511">
        <f>IFERROR(INDEX('1.산군_붙여넣기'!$A$1:$AZ$1001,ROW(),설정!$C$12)&amp;"","")</f>
        <v/>
      </c>
      <c r="K511">
        <f>IFERROR(INDEX('1.산군_붙여넣기'!$A$1:$AZ$1001,ROW(),설정!$C$13)&amp;"","")</f>
        <v/>
      </c>
      <c r="L511" s="6">
        <f>IF(X511="","",IF(AND(LEN(X511)=8,ISNUMBER(X511*1)),DATE(LEFT(X511,4),MID(X511,5,2),RIGHT(X511,2)),IFERROR(DATEVALUE(SUBSTITUTE(SUBSTITUTE(X511,".","-"),"/","-")),IFERROR(X511*1,""))))</f>
        <v/>
      </c>
      <c r="M511" s="6">
        <f>IF(Y511="","",IF(AND(LEN(Y511)=8,ISNUMBER(Y511*1)),DATE(LEFT(Y511,4),MID(Y511,5,2),RIGHT(Y511,2)),IFERROR(DATEVALUE(SUBSTITUTE(SUBSTITUTE(Y511,".","-"),"/","-")),IFERROR(Y511*1,""))))</f>
        <v/>
      </c>
      <c r="N511">
        <f>IFERROR(LEFT(B511,FIND(" ",B511)-1),B511)</f>
        <v/>
      </c>
      <c r="O511">
        <f>AND(B511&lt;&gt;"",B511&lt;&gt;설정!$B$4,C511&lt;&gt;설정!$B$5)</f>
        <v/>
      </c>
      <c r="P511">
        <f>IF(O511,B511&amp;"|"&amp;C511,"")</f>
        <v/>
      </c>
      <c r="Q511">
        <f>AND(O511,COUNTIF(P512:P$1002,P511)=0)</f>
        <v/>
      </c>
      <c r="R511">
        <f>OR(AND(설정!$A$28&lt;&gt;"",ISNUMBER(SEARCH(설정!$A$28,E511&amp;" "&amp;C511))),AND(설정!$A$29&lt;&gt;"",ISNUMBER(SEARCH(설정!$A$29,E511&amp;" "&amp;C511))),AND(설정!$A$30&lt;&gt;"",ISNUMBER(SEARCH(설정!$A$30,E511&amp;" "&amp;C511))),AND(설정!$A$31&lt;&gt;"",ISNUMBER(SEARCH(설정!$A$31,E511&amp;" "&amp;C511))),AND(설정!$A$32&lt;&gt;"",ISNUMBER(SEARCH(설정!$A$32,E511&amp;" "&amp;C511))),AND(설정!$A$33&lt;&gt;"",ISNUMBER(SEARCH(설정!$A$33,E511&amp;" "&amp;C511))),AND(설정!$A$34&lt;&gt;"",ISNUMBER(SEARCH(설정!$A$34,E511&amp;" "&amp;C511))),AND(설정!$A$35&lt;&gt;"",ISNUMBER(SEARCH(설정!$A$35,E511&amp;" "&amp;C511))),AND(설정!$A$36&lt;&gt;"",ISNUMBER(SEARCH(설정!$A$36,E511&amp;" "&amp;C511))),AND(설정!$A$37&lt;&gt;"",ISNUMBER(SEARCH(설정!$A$37,E511&amp;" "&amp;C511))))</f>
        <v/>
      </c>
      <c r="S511">
        <f>OR(D511="",D511&gt;=설정!$B$19)</f>
        <v/>
      </c>
      <c r="T511">
        <f>AND(Q511,R511,S511)</f>
        <v/>
      </c>
      <c r="U511">
        <f>IF(T511,IF(AND(설정!$A$41&lt;&gt;"",ISNUMBER(SEARCH(설정!$A$41,K511))),설정!$B$41,IF(AND(설정!$A$42&lt;&gt;"",ISNUMBER(SEARCH(설정!$A$42,K511))),설정!$B$42,IF(AND(설정!$A$43&lt;&gt;"",ISNUMBER(SEARCH(설정!$A$43,K511))),설정!$B$43,IF(AND(설정!$A$44&lt;&gt;"",ISNUMBER(SEARCH(설정!$A$44,K511))),설정!$B$44,IF(AND(설정!$A$45&lt;&gt;"",ISNUMBER(SEARCH(설정!$A$45,K511))),설정!$B$45,IF(AND(설정!$A$46&lt;&gt;"",ISNUMBER(SEARCH(설정!$A$46,K511))),설정!$B$46,IF(AND(설정!$A$47&lt;&gt;"",ISNUMBER(SEARCH(설정!$A$47,K511))),설정!$B$47,IF(AND(설정!$A$48&lt;&gt;"",ISNUMBER(SEARCH(설정!$A$48,K511))),설정!$B$48,IF(M511="","설계사","시공사"))))))))),"")</f>
        <v/>
      </c>
      <c r="V511">
        <f>SUBSTITUTE(SUBSTITUTE(SUBSTITUTE(SUBSTITUTE(G511,"(주)",""),"㈜",""),"주식회사","")," ","")</f>
        <v/>
      </c>
      <c r="W511">
        <f>IF(AND(T511,V511&lt;&gt;""),IF(COUNTIFS(V$2:V511,V511,T$2:T511,TRUE)=1,MAX(W$1:W510)+1,""),"")</f>
        <v/>
      </c>
      <c r="X511">
        <f>IFERROR(INDEX('1.산군_붙여넣기'!$A$1:$AZ$1001,ROW(),설정!$C$14)&amp;"","")</f>
        <v/>
      </c>
      <c r="Y511">
        <f>IFERROR(INDEX('1.산군_붙여넣기'!$A$1:$AZ$1001,ROW(),설정!$C$15)&amp;"","")</f>
        <v/>
      </c>
      <c r="Z511">
        <f>IF(T511,V511&amp;"|"&amp;U511,"")</f>
        <v/>
      </c>
    </row>
    <row r="512">
      <c r="A512">
        <f>ROW()</f>
        <v/>
      </c>
      <c r="B512">
        <f>IFERROR(INDEX('1.산군_붙여넣기'!$A$1:$AZ$1001,ROW(),설정!$C$4)&amp;"","")</f>
        <v/>
      </c>
      <c r="C512">
        <f>IFERROR(INDEX('1.산군_붙여넣기'!$A$1:$AZ$1001,ROW(),설정!$C$5)&amp;"","")</f>
        <v/>
      </c>
      <c r="D512" s="5">
        <f>IFERROR(VALUE(SUBSTITUTE(SUBSTITUTE(SUBSTITUTE(IFERROR(INDEX('1.산군_붙여넣기'!$A$1:$AZ$1001,ROW(),설정!$C$6)&amp;"",""),",",""),"㎡",""),"m2","")),"")</f>
        <v/>
      </c>
      <c r="E512">
        <f>IFERROR(INDEX('1.산군_붙여넣기'!$A$1:$AZ$1001,ROW(),설정!$C$7)&amp;"","")</f>
        <v/>
      </c>
      <c r="F512">
        <f>IFERROR(INDEX('1.산군_붙여넣기'!$A$1:$AZ$1001,ROW(),설정!$C$8)&amp;"","")</f>
        <v/>
      </c>
      <c r="G512">
        <f>IFERROR(INDEX('1.산군_붙여넣기'!$A$1:$AZ$1001,ROW(),설정!$C$9)&amp;"","")</f>
        <v/>
      </c>
      <c r="H512">
        <f>IFERROR(INDEX('1.산군_붙여넣기'!$A$1:$AZ$1001,ROW(),설정!$C$10)&amp;"","")</f>
        <v/>
      </c>
      <c r="I512">
        <f>IFERROR(INDEX('1.산군_붙여넣기'!$A$1:$AZ$1001,ROW(),설정!$C$11)&amp;"","")</f>
        <v/>
      </c>
      <c r="J512">
        <f>IFERROR(INDEX('1.산군_붙여넣기'!$A$1:$AZ$1001,ROW(),설정!$C$12)&amp;"","")</f>
        <v/>
      </c>
      <c r="K512">
        <f>IFERROR(INDEX('1.산군_붙여넣기'!$A$1:$AZ$1001,ROW(),설정!$C$13)&amp;"","")</f>
        <v/>
      </c>
      <c r="L512" s="6">
        <f>IF(X512="","",IF(AND(LEN(X512)=8,ISNUMBER(X512*1)),DATE(LEFT(X512,4),MID(X512,5,2),RIGHT(X512,2)),IFERROR(DATEVALUE(SUBSTITUTE(SUBSTITUTE(X512,".","-"),"/","-")),IFERROR(X512*1,""))))</f>
        <v/>
      </c>
      <c r="M512" s="6">
        <f>IF(Y512="","",IF(AND(LEN(Y512)=8,ISNUMBER(Y512*1)),DATE(LEFT(Y512,4),MID(Y512,5,2),RIGHT(Y512,2)),IFERROR(DATEVALUE(SUBSTITUTE(SUBSTITUTE(Y512,".","-"),"/","-")),IFERROR(Y512*1,""))))</f>
        <v/>
      </c>
      <c r="N512">
        <f>IFERROR(LEFT(B512,FIND(" ",B512)-1),B512)</f>
        <v/>
      </c>
      <c r="O512">
        <f>AND(B512&lt;&gt;"",B512&lt;&gt;설정!$B$4,C512&lt;&gt;설정!$B$5)</f>
        <v/>
      </c>
      <c r="P512">
        <f>IF(O512,B512&amp;"|"&amp;C512,"")</f>
        <v/>
      </c>
      <c r="Q512">
        <f>AND(O512,COUNTIF(P513:P$1002,P512)=0)</f>
        <v/>
      </c>
      <c r="R512">
        <f>OR(AND(설정!$A$28&lt;&gt;"",ISNUMBER(SEARCH(설정!$A$28,E512&amp;" "&amp;C512))),AND(설정!$A$29&lt;&gt;"",ISNUMBER(SEARCH(설정!$A$29,E512&amp;" "&amp;C512))),AND(설정!$A$30&lt;&gt;"",ISNUMBER(SEARCH(설정!$A$30,E512&amp;" "&amp;C512))),AND(설정!$A$31&lt;&gt;"",ISNUMBER(SEARCH(설정!$A$31,E512&amp;" "&amp;C512))),AND(설정!$A$32&lt;&gt;"",ISNUMBER(SEARCH(설정!$A$32,E512&amp;" "&amp;C512))),AND(설정!$A$33&lt;&gt;"",ISNUMBER(SEARCH(설정!$A$33,E512&amp;" "&amp;C512))),AND(설정!$A$34&lt;&gt;"",ISNUMBER(SEARCH(설정!$A$34,E512&amp;" "&amp;C512))),AND(설정!$A$35&lt;&gt;"",ISNUMBER(SEARCH(설정!$A$35,E512&amp;" "&amp;C512))),AND(설정!$A$36&lt;&gt;"",ISNUMBER(SEARCH(설정!$A$36,E512&amp;" "&amp;C512))),AND(설정!$A$37&lt;&gt;"",ISNUMBER(SEARCH(설정!$A$37,E512&amp;" "&amp;C512))))</f>
        <v/>
      </c>
      <c r="S512">
        <f>OR(D512="",D512&gt;=설정!$B$19)</f>
        <v/>
      </c>
      <c r="T512">
        <f>AND(Q512,R512,S512)</f>
        <v/>
      </c>
      <c r="U512">
        <f>IF(T512,IF(AND(설정!$A$41&lt;&gt;"",ISNUMBER(SEARCH(설정!$A$41,K512))),설정!$B$41,IF(AND(설정!$A$42&lt;&gt;"",ISNUMBER(SEARCH(설정!$A$42,K512))),설정!$B$42,IF(AND(설정!$A$43&lt;&gt;"",ISNUMBER(SEARCH(설정!$A$43,K512))),설정!$B$43,IF(AND(설정!$A$44&lt;&gt;"",ISNUMBER(SEARCH(설정!$A$44,K512))),설정!$B$44,IF(AND(설정!$A$45&lt;&gt;"",ISNUMBER(SEARCH(설정!$A$45,K512))),설정!$B$45,IF(AND(설정!$A$46&lt;&gt;"",ISNUMBER(SEARCH(설정!$A$46,K512))),설정!$B$46,IF(AND(설정!$A$47&lt;&gt;"",ISNUMBER(SEARCH(설정!$A$47,K512))),설정!$B$47,IF(AND(설정!$A$48&lt;&gt;"",ISNUMBER(SEARCH(설정!$A$48,K512))),설정!$B$48,IF(M512="","설계사","시공사"))))))))),"")</f>
        <v/>
      </c>
      <c r="V512">
        <f>SUBSTITUTE(SUBSTITUTE(SUBSTITUTE(SUBSTITUTE(G512,"(주)",""),"㈜",""),"주식회사","")," ","")</f>
        <v/>
      </c>
      <c r="W512">
        <f>IF(AND(T512,V512&lt;&gt;""),IF(COUNTIFS(V$2:V512,V512,T$2:T512,TRUE)=1,MAX(W$1:W511)+1,""),"")</f>
        <v/>
      </c>
      <c r="X512">
        <f>IFERROR(INDEX('1.산군_붙여넣기'!$A$1:$AZ$1001,ROW(),설정!$C$14)&amp;"","")</f>
        <v/>
      </c>
      <c r="Y512">
        <f>IFERROR(INDEX('1.산군_붙여넣기'!$A$1:$AZ$1001,ROW(),설정!$C$15)&amp;"","")</f>
        <v/>
      </c>
      <c r="Z512">
        <f>IF(T512,V512&amp;"|"&amp;U512,"")</f>
        <v/>
      </c>
    </row>
    <row r="513">
      <c r="A513">
        <f>ROW()</f>
        <v/>
      </c>
      <c r="B513">
        <f>IFERROR(INDEX('1.산군_붙여넣기'!$A$1:$AZ$1001,ROW(),설정!$C$4)&amp;"","")</f>
        <v/>
      </c>
      <c r="C513">
        <f>IFERROR(INDEX('1.산군_붙여넣기'!$A$1:$AZ$1001,ROW(),설정!$C$5)&amp;"","")</f>
        <v/>
      </c>
      <c r="D513" s="5">
        <f>IFERROR(VALUE(SUBSTITUTE(SUBSTITUTE(SUBSTITUTE(IFERROR(INDEX('1.산군_붙여넣기'!$A$1:$AZ$1001,ROW(),설정!$C$6)&amp;"",""),",",""),"㎡",""),"m2","")),"")</f>
        <v/>
      </c>
      <c r="E513">
        <f>IFERROR(INDEX('1.산군_붙여넣기'!$A$1:$AZ$1001,ROW(),설정!$C$7)&amp;"","")</f>
        <v/>
      </c>
      <c r="F513">
        <f>IFERROR(INDEX('1.산군_붙여넣기'!$A$1:$AZ$1001,ROW(),설정!$C$8)&amp;"","")</f>
        <v/>
      </c>
      <c r="G513">
        <f>IFERROR(INDEX('1.산군_붙여넣기'!$A$1:$AZ$1001,ROW(),설정!$C$9)&amp;"","")</f>
        <v/>
      </c>
      <c r="H513">
        <f>IFERROR(INDEX('1.산군_붙여넣기'!$A$1:$AZ$1001,ROW(),설정!$C$10)&amp;"","")</f>
        <v/>
      </c>
      <c r="I513">
        <f>IFERROR(INDEX('1.산군_붙여넣기'!$A$1:$AZ$1001,ROW(),설정!$C$11)&amp;"","")</f>
        <v/>
      </c>
      <c r="J513">
        <f>IFERROR(INDEX('1.산군_붙여넣기'!$A$1:$AZ$1001,ROW(),설정!$C$12)&amp;"","")</f>
        <v/>
      </c>
      <c r="K513">
        <f>IFERROR(INDEX('1.산군_붙여넣기'!$A$1:$AZ$1001,ROW(),설정!$C$13)&amp;"","")</f>
        <v/>
      </c>
      <c r="L513" s="6">
        <f>IF(X513="","",IF(AND(LEN(X513)=8,ISNUMBER(X513*1)),DATE(LEFT(X513,4),MID(X513,5,2),RIGHT(X513,2)),IFERROR(DATEVALUE(SUBSTITUTE(SUBSTITUTE(X513,".","-"),"/","-")),IFERROR(X513*1,""))))</f>
        <v/>
      </c>
      <c r="M513" s="6">
        <f>IF(Y513="","",IF(AND(LEN(Y513)=8,ISNUMBER(Y513*1)),DATE(LEFT(Y513,4),MID(Y513,5,2),RIGHT(Y513,2)),IFERROR(DATEVALUE(SUBSTITUTE(SUBSTITUTE(Y513,".","-"),"/","-")),IFERROR(Y513*1,""))))</f>
        <v/>
      </c>
      <c r="N513">
        <f>IFERROR(LEFT(B513,FIND(" ",B513)-1),B513)</f>
        <v/>
      </c>
      <c r="O513">
        <f>AND(B513&lt;&gt;"",B513&lt;&gt;설정!$B$4,C513&lt;&gt;설정!$B$5)</f>
        <v/>
      </c>
      <c r="P513">
        <f>IF(O513,B513&amp;"|"&amp;C513,"")</f>
        <v/>
      </c>
      <c r="Q513">
        <f>AND(O513,COUNTIF(P514:P$1002,P513)=0)</f>
        <v/>
      </c>
      <c r="R513">
        <f>OR(AND(설정!$A$28&lt;&gt;"",ISNUMBER(SEARCH(설정!$A$28,E513&amp;" "&amp;C513))),AND(설정!$A$29&lt;&gt;"",ISNUMBER(SEARCH(설정!$A$29,E513&amp;" "&amp;C513))),AND(설정!$A$30&lt;&gt;"",ISNUMBER(SEARCH(설정!$A$30,E513&amp;" "&amp;C513))),AND(설정!$A$31&lt;&gt;"",ISNUMBER(SEARCH(설정!$A$31,E513&amp;" "&amp;C513))),AND(설정!$A$32&lt;&gt;"",ISNUMBER(SEARCH(설정!$A$32,E513&amp;" "&amp;C513))),AND(설정!$A$33&lt;&gt;"",ISNUMBER(SEARCH(설정!$A$33,E513&amp;" "&amp;C513))),AND(설정!$A$34&lt;&gt;"",ISNUMBER(SEARCH(설정!$A$34,E513&amp;" "&amp;C513))),AND(설정!$A$35&lt;&gt;"",ISNUMBER(SEARCH(설정!$A$35,E513&amp;" "&amp;C513))),AND(설정!$A$36&lt;&gt;"",ISNUMBER(SEARCH(설정!$A$36,E513&amp;" "&amp;C513))),AND(설정!$A$37&lt;&gt;"",ISNUMBER(SEARCH(설정!$A$37,E513&amp;" "&amp;C513))))</f>
        <v/>
      </c>
      <c r="S513">
        <f>OR(D513="",D513&gt;=설정!$B$19)</f>
        <v/>
      </c>
      <c r="T513">
        <f>AND(Q513,R513,S513)</f>
        <v/>
      </c>
      <c r="U513">
        <f>IF(T513,IF(AND(설정!$A$41&lt;&gt;"",ISNUMBER(SEARCH(설정!$A$41,K513))),설정!$B$41,IF(AND(설정!$A$42&lt;&gt;"",ISNUMBER(SEARCH(설정!$A$42,K513))),설정!$B$42,IF(AND(설정!$A$43&lt;&gt;"",ISNUMBER(SEARCH(설정!$A$43,K513))),설정!$B$43,IF(AND(설정!$A$44&lt;&gt;"",ISNUMBER(SEARCH(설정!$A$44,K513))),설정!$B$44,IF(AND(설정!$A$45&lt;&gt;"",ISNUMBER(SEARCH(설정!$A$45,K513))),설정!$B$45,IF(AND(설정!$A$46&lt;&gt;"",ISNUMBER(SEARCH(설정!$A$46,K513))),설정!$B$46,IF(AND(설정!$A$47&lt;&gt;"",ISNUMBER(SEARCH(설정!$A$47,K513))),설정!$B$47,IF(AND(설정!$A$48&lt;&gt;"",ISNUMBER(SEARCH(설정!$A$48,K513))),설정!$B$48,IF(M513="","설계사","시공사"))))))))),"")</f>
        <v/>
      </c>
      <c r="V513">
        <f>SUBSTITUTE(SUBSTITUTE(SUBSTITUTE(SUBSTITUTE(G513,"(주)",""),"㈜",""),"주식회사","")," ","")</f>
        <v/>
      </c>
      <c r="W513">
        <f>IF(AND(T513,V513&lt;&gt;""),IF(COUNTIFS(V$2:V513,V513,T$2:T513,TRUE)=1,MAX(W$1:W512)+1,""),"")</f>
        <v/>
      </c>
      <c r="X513">
        <f>IFERROR(INDEX('1.산군_붙여넣기'!$A$1:$AZ$1001,ROW(),설정!$C$14)&amp;"","")</f>
        <v/>
      </c>
      <c r="Y513">
        <f>IFERROR(INDEX('1.산군_붙여넣기'!$A$1:$AZ$1001,ROW(),설정!$C$15)&amp;"","")</f>
        <v/>
      </c>
      <c r="Z513">
        <f>IF(T513,V513&amp;"|"&amp;U513,"")</f>
        <v/>
      </c>
    </row>
    <row r="514">
      <c r="A514">
        <f>ROW()</f>
        <v/>
      </c>
      <c r="B514">
        <f>IFERROR(INDEX('1.산군_붙여넣기'!$A$1:$AZ$1001,ROW(),설정!$C$4)&amp;"","")</f>
        <v/>
      </c>
      <c r="C514">
        <f>IFERROR(INDEX('1.산군_붙여넣기'!$A$1:$AZ$1001,ROW(),설정!$C$5)&amp;"","")</f>
        <v/>
      </c>
      <c r="D514" s="5">
        <f>IFERROR(VALUE(SUBSTITUTE(SUBSTITUTE(SUBSTITUTE(IFERROR(INDEX('1.산군_붙여넣기'!$A$1:$AZ$1001,ROW(),설정!$C$6)&amp;"",""),",",""),"㎡",""),"m2","")),"")</f>
        <v/>
      </c>
      <c r="E514">
        <f>IFERROR(INDEX('1.산군_붙여넣기'!$A$1:$AZ$1001,ROW(),설정!$C$7)&amp;"","")</f>
        <v/>
      </c>
      <c r="F514">
        <f>IFERROR(INDEX('1.산군_붙여넣기'!$A$1:$AZ$1001,ROW(),설정!$C$8)&amp;"","")</f>
        <v/>
      </c>
      <c r="G514">
        <f>IFERROR(INDEX('1.산군_붙여넣기'!$A$1:$AZ$1001,ROW(),설정!$C$9)&amp;"","")</f>
        <v/>
      </c>
      <c r="H514">
        <f>IFERROR(INDEX('1.산군_붙여넣기'!$A$1:$AZ$1001,ROW(),설정!$C$10)&amp;"","")</f>
        <v/>
      </c>
      <c r="I514">
        <f>IFERROR(INDEX('1.산군_붙여넣기'!$A$1:$AZ$1001,ROW(),설정!$C$11)&amp;"","")</f>
        <v/>
      </c>
      <c r="J514">
        <f>IFERROR(INDEX('1.산군_붙여넣기'!$A$1:$AZ$1001,ROW(),설정!$C$12)&amp;"","")</f>
        <v/>
      </c>
      <c r="K514">
        <f>IFERROR(INDEX('1.산군_붙여넣기'!$A$1:$AZ$1001,ROW(),설정!$C$13)&amp;"","")</f>
        <v/>
      </c>
      <c r="L514" s="6">
        <f>IF(X514="","",IF(AND(LEN(X514)=8,ISNUMBER(X514*1)),DATE(LEFT(X514,4),MID(X514,5,2),RIGHT(X514,2)),IFERROR(DATEVALUE(SUBSTITUTE(SUBSTITUTE(X514,".","-"),"/","-")),IFERROR(X514*1,""))))</f>
        <v/>
      </c>
      <c r="M514" s="6">
        <f>IF(Y514="","",IF(AND(LEN(Y514)=8,ISNUMBER(Y514*1)),DATE(LEFT(Y514,4),MID(Y514,5,2),RIGHT(Y514,2)),IFERROR(DATEVALUE(SUBSTITUTE(SUBSTITUTE(Y514,".","-"),"/","-")),IFERROR(Y514*1,""))))</f>
        <v/>
      </c>
      <c r="N514">
        <f>IFERROR(LEFT(B514,FIND(" ",B514)-1),B514)</f>
        <v/>
      </c>
      <c r="O514">
        <f>AND(B514&lt;&gt;"",B514&lt;&gt;설정!$B$4,C514&lt;&gt;설정!$B$5)</f>
        <v/>
      </c>
      <c r="P514">
        <f>IF(O514,B514&amp;"|"&amp;C514,"")</f>
        <v/>
      </c>
      <c r="Q514">
        <f>AND(O514,COUNTIF(P515:P$1002,P514)=0)</f>
        <v/>
      </c>
      <c r="R514">
        <f>OR(AND(설정!$A$28&lt;&gt;"",ISNUMBER(SEARCH(설정!$A$28,E514&amp;" "&amp;C514))),AND(설정!$A$29&lt;&gt;"",ISNUMBER(SEARCH(설정!$A$29,E514&amp;" "&amp;C514))),AND(설정!$A$30&lt;&gt;"",ISNUMBER(SEARCH(설정!$A$30,E514&amp;" "&amp;C514))),AND(설정!$A$31&lt;&gt;"",ISNUMBER(SEARCH(설정!$A$31,E514&amp;" "&amp;C514))),AND(설정!$A$32&lt;&gt;"",ISNUMBER(SEARCH(설정!$A$32,E514&amp;" "&amp;C514))),AND(설정!$A$33&lt;&gt;"",ISNUMBER(SEARCH(설정!$A$33,E514&amp;" "&amp;C514))),AND(설정!$A$34&lt;&gt;"",ISNUMBER(SEARCH(설정!$A$34,E514&amp;" "&amp;C514))),AND(설정!$A$35&lt;&gt;"",ISNUMBER(SEARCH(설정!$A$35,E514&amp;" "&amp;C514))),AND(설정!$A$36&lt;&gt;"",ISNUMBER(SEARCH(설정!$A$36,E514&amp;" "&amp;C514))),AND(설정!$A$37&lt;&gt;"",ISNUMBER(SEARCH(설정!$A$37,E514&amp;" "&amp;C514))))</f>
        <v/>
      </c>
      <c r="S514">
        <f>OR(D514="",D514&gt;=설정!$B$19)</f>
        <v/>
      </c>
      <c r="T514">
        <f>AND(Q514,R514,S514)</f>
        <v/>
      </c>
      <c r="U514">
        <f>IF(T514,IF(AND(설정!$A$41&lt;&gt;"",ISNUMBER(SEARCH(설정!$A$41,K514))),설정!$B$41,IF(AND(설정!$A$42&lt;&gt;"",ISNUMBER(SEARCH(설정!$A$42,K514))),설정!$B$42,IF(AND(설정!$A$43&lt;&gt;"",ISNUMBER(SEARCH(설정!$A$43,K514))),설정!$B$43,IF(AND(설정!$A$44&lt;&gt;"",ISNUMBER(SEARCH(설정!$A$44,K514))),설정!$B$44,IF(AND(설정!$A$45&lt;&gt;"",ISNUMBER(SEARCH(설정!$A$45,K514))),설정!$B$45,IF(AND(설정!$A$46&lt;&gt;"",ISNUMBER(SEARCH(설정!$A$46,K514))),설정!$B$46,IF(AND(설정!$A$47&lt;&gt;"",ISNUMBER(SEARCH(설정!$A$47,K514))),설정!$B$47,IF(AND(설정!$A$48&lt;&gt;"",ISNUMBER(SEARCH(설정!$A$48,K514))),설정!$B$48,IF(M514="","설계사","시공사"))))))))),"")</f>
        <v/>
      </c>
      <c r="V514">
        <f>SUBSTITUTE(SUBSTITUTE(SUBSTITUTE(SUBSTITUTE(G514,"(주)",""),"㈜",""),"주식회사","")," ","")</f>
        <v/>
      </c>
      <c r="W514">
        <f>IF(AND(T514,V514&lt;&gt;""),IF(COUNTIFS(V$2:V514,V514,T$2:T514,TRUE)=1,MAX(W$1:W513)+1,""),"")</f>
        <v/>
      </c>
      <c r="X514">
        <f>IFERROR(INDEX('1.산군_붙여넣기'!$A$1:$AZ$1001,ROW(),설정!$C$14)&amp;"","")</f>
        <v/>
      </c>
      <c r="Y514">
        <f>IFERROR(INDEX('1.산군_붙여넣기'!$A$1:$AZ$1001,ROW(),설정!$C$15)&amp;"","")</f>
        <v/>
      </c>
      <c r="Z514">
        <f>IF(T514,V514&amp;"|"&amp;U514,"")</f>
        <v/>
      </c>
    </row>
    <row r="515">
      <c r="A515">
        <f>ROW()</f>
        <v/>
      </c>
      <c r="B515">
        <f>IFERROR(INDEX('1.산군_붙여넣기'!$A$1:$AZ$1001,ROW(),설정!$C$4)&amp;"","")</f>
        <v/>
      </c>
      <c r="C515">
        <f>IFERROR(INDEX('1.산군_붙여넣기'!$A$1:$AZ$1001,ROW(),설정!$C$5)&amp;"","")</f>
        <v/>
      </c>
      <c r="D515" s="5">
        <f>IFERROR(VALUE(SUBSTITUTE(SUBSTITUTE(SUBSTITUTE(IFERROR(INDEX('1.산군_붙여넣기'!$A$1:$AZ$1001,ROW(),설정!$C$6)&amp;"",""),",",""),"㎡",""),"m2","")),"")</f>
        <v/>
      </c>
      <c r="E515">
        <f>IFERROR(INDEX('1.산군_붙여넣기'!$A$1:$AZ$1001,ROW(),설정!$C$7)&amp;"","")</f>
        <v/>
      </c>
      <c r="F515">
        <f>IFERROR(INDEX('1.산군_붙여넣기'!$A$1:$AZ$1001,ROW(),설정!$C$8)&amp;"","")</f>
        <v/>
      </c>
      <c r="G515">
        <f>IFERROR(INDEX('1.산군_붙여넣기'!$A$1:$AZ$1001,ROW(),설정!$C$9)&amp;"","")</f>
        <v/>
      </c>
      <c r="H515">
        <f>IFERROR(INDEX('1.산군_붙여넣기'!$A$1:$AZ$1001,ROW(),설정!$C$10)&amp;"","")</f>
        <v/>
      </c>
      <c r="I515">
        <f>IFERROR(INDEX('1.산군_붙여넣기'!$A$1:$AZ$1001,ROW(),설정!$C$11)&amp;"","")</f>
        <v/>
      </c>
      <c r="J515">
        <f>IFERROR(INDEX('1.산군_붙여넣기'!$A$1:$AZ$1001,ROW(),설정!$C$12)&amp;"","")</f>
        <v/>
      </c>
      <c r="K515">
        <f>IFERROR(INDEX('1.산군_붙여넣기'!$A$1:$AZ$1001,ROW(),설정!$C$13)&amp;"","")</f>
        <v/>
      </c>
      <c r="L515" s="6">
        <f>IF(X515="","",IF(AND(LEN(X515)=8,ISNUMBER(X515*1)),DATE(LEFT(X515,4),MID(X515,5,2),RIGHT(X515,2)),IFERROR(DATEVALUE(SUBSTITUTE(SUBSTITUTE(X515,".","-"),"/","-")),IFERROR(X515*1,""))))</f>
        <v/>
      </c>
      <c r="M515" s="6">
        <f>IF(Y515="","",IF(AND(LEN(Y515)=8,ISNUMBER(Y515*1)),DATE(LEFT(Y515,4),MID(Y515,5,2),RIGHT(Y515,2)),IFERROR(DATEVALUE(SUBSTITUTE(SUBSTITUTE(Y515,".","-"),"/","-")),IFERROR(Y515*1,""))))</f>
        <v/>
      </c>
      <c r="N515">
        <f>IFERROR(LEFT(B515,FIND(" ",B515)-1),B515)</f>
        <v/>
      </c>
      <c r="O515">
        <f>AND(B515&lt;&gt;"",B515&lt;&gt;설정!$B$4,C515&lt;&gt;설정!$B$5)</f>
        <v/>
      </c>
      <c r="P515">
        <f>IF(O515,B515&amp;"|"&amp;C515,"")</f>
        <v/>
      </c>
      <c r="Q515">
        <f>AND(O515,COUNTIF(P516:P$1002,P515)=0)</f>
        <v/>
      </c>
      <c r="R515">
        <f>OR(AND(설정!$A$28&lt;&gt;"",ISNUMBER(SEARCH(설정!$A$28,E515&amp;" "&amp;C515))),AND(설정!$A$29&lt;&gt;"",ISNUMBER(SEARCH(설정!$A$29,E515&amp;" "&amp;C515))),AND(설정!$A$30&lt;&gt;"",ISNUMBER(SEARCH(설정!$A$30,E515&amp;" "&amp;C515))),AND(설정!$A$31&lt;&gt;"",ISNUMBER(SEARCH(설정!$A$31,E515&amp;" "&amp;C515))),AND(설정!$A$32&lt;&gt;"",ISNUMBER(SEARCH(설정!$A$32,E515&amp;" "&amp;C515))),AND(설정!$A$33&lt;&gt;"",ISNUMBER(SEARCH(설정!$A$33,E515&amp;" "&amp;C515))),AND(설정!$A$34&lt;&gt;"",ISNUMBER(SEARCH(설정!$A$34,E515&amp;" "&amp;C515))),AND(설정!$A$35&lt;&gt;"",ISNUMBER(SEARCH(설정!$A$35,E515&amp;" "&amp;C515))),AND(설정!$A$36&lt;&gt;"",ISNUMBER(SEARCH(설정!$A$36,E515&amp;" "&amp;C515))),AND(설정!$A$37&lt;&gt;"",ISNUMBER(SEARCH(설정!$A$37,E515&amp;" "&amp;C515))))</f>
        <v/>
      </c>
      <c r="S515">
        <f>OR(D515="",D515&gt;=설정!$B$19)</f>
        <v/>
      </c>
      <c r="T515">
        <f>AND(Q515,R515,S515)</f>
        <v/>
      </c>
      <c r="U515">
        <f>IF(T515,IF(AND(설정!$A$41&lt;&gt;"",ISNUMBER(SEARCH(설정!$A$41,K515))),설정!$B$41,IF(AND(설정!$A$42&lt;&gt;"",ISNUMBER(SEARCH(설정!$A$42,K515))),설정!$B$42,IF(AND(설정!$A$43&lt;&gt;"",ISNUMBER(SEARCH(설정!$A$43,K515))),설정!$B$43,IF(AND(설정!$A$44&lt;&gt;"",ISNUMBER(SEARCH(설정!$A$44,K515))),설정!$B$44,IF(AND(설정!$A$45&lt;&gt;"",ISNUMBER(SEARCH(설정!$A$45,K515))),설정!$B$45,IF(AND(설정!$A$46&lt;&gt;"",ISNUMBER(SEARCH(설정!$A$46,K515))),설정!$B$46,IF(AND(설정!$A$47&lt;&gt;"",ISNUMBER(SEARCH(설정!$A$47,K515))),설정!$B$47,IF(AND(설정!$A$48&lt;&gt;"",ISNUMBER(SEARCH(설정!$A$48,K515))),설정!$B$48,IF(M515="","설계사","시공사"))))))))),"")</f>
        <v/>
      </c>
      <c r="V515">
        <f>SUBSTITUTE(SUBSTITUTE(SUBSTITUTE(SUBSTITUTE(G515,"(주)",""),"㈜",""),"주식회사","")," ","")</f>
        <v/>
      </c>
      <c r="W515">
        <f>IF(AND(T515,V515&lt;&gt;""),IF(COUNTIFS(V$2:V515,V515,T$2:T515,TRUE)=1,MAX(W$1:W514)+1,""),"")</f>
        <v/>
      </c>
      <c r="X515">
        <f>IFERROR(INDEX('1.산군_붙여넣기'!$A$1:$AZ$1001,ROW(),설정!$C$14)&amp;"","")</f>
        <v/>
      </c>
      <c r="Y515">
        <f>IFERROR(INDEX('1.산군_붙여넣기'!$A$1:$AZ$1001,ROW(),설정!$C$15)&amp;"","")</f>
        <v/>
      </c>
      <c r="Z515">
        <f>IF(T515,V515&amp;"|"&amp;U515,"")</f>
        <v/>
      </c>
    </row>
    <row r="516">
      <c r="A516">
        <f>ROW()</f>
        <v/>
      </c>
      <c r="B516">
        <f>IFERROR(INDEX('1.산군_붙여넣기'!$A$1:$AZ$1001,ROW(),설정!$C$4)&amp;"","")</f>
        <v/>
      </c>
      <c r="C516">
        <f>IFERROR(INDEX('1.산군_붙여넣기'!$A$1:$AZ$1001,ROW(),설정!$C$5)&amp;"","")</f>
        <v/>
      </c>
      <c r="D516" s="5">
        <f>IFERROR(VALUE(SUBSTITUTE(SUBSTITUTE(SUBSTITUTE(IFERROR(INDEX('1.산군_붙여넣기'!$A$1:$AZ$1001,ROW(),설정!$C$6)&amp;"",""),",",""),"㎡",""),"m2","")),"")</f>
        <v/>
      </c>
      <c r="E516">
        <f>IFERROR(INDEX('1.산군_붙여넣기'!$A$1:$AZ$1001,ROW(),설정!$C$7)&amp;"","")</f>
        <v/>
      </c>
      <c r="F516">
        <f>IFERROR(INDEX('1.산군_붙여넣기'!$A$1:$AZ$1001,ROW(),설정!$C$8)&amp;"","")</f>
        <v/>
      </c>
      <c r="G516">
        <f>IFERROR(INDEX('1.산군_붙여넣기'!$A$1:$AZ$1001,ROW(),설정!$C$9)&amp;"","")</f>
        <v/>
      </c>
      <c r="H516">
        <f>IFERROR(INDEX('1.산군_붙여넣기'!$A$1:$AZ$1001,ROW(),설정!$C$10)&amp;"","")</f>
        <v/>
      </c>
      <c r="I516">
        <f>IFERROR(INDEX('1.산군_붙여넣기'!$A$1:$AZ$1001,ROW(),설정!$C$11)&amp;"","")</f>
        <v/>
      </c>
      <c r="J516">
        <f>IFERROR(INDEX('1.산군_붙여넣기'!$A$1:$AZ$1001,ROW(),설정!$C$12)&amp;"","")</f>
        <v/>
      </c>
      <c r="K516">
        <f>IFERROR(INDEX('1.산군_붙여넣기'!$A$1:$AZ$1001,ROW(),설정!$C$13)&amp;"","")</f>
        <v/>
      </c>
      <c r="L516" s="6">
        <f>IF(X516="","",IF(AND(LEN(X516)=8,ISNUMBER(X516*1)),DATE(LEFT(X516,4),MID(X516,5,2),RIGHT(X516,2)),IFERROR(DATEVALUE(SUBSTITUTE(SUBSTITUTE(X516,".","-"),"/","-")),IFERROR(X516*1,""))))</f>
        <v/>
      </c>
      <c r="M516" s="6">
        <f>IF(Y516="","",IF(AND(LEN(Y516)=8,ISNUMBER(Y516*1)),DATE(LEFT(Y516,4),MID(Y516,5,2),RIGHT(Y516,2)),IFERROR(DATEVALUE(SUBSTITUTE(SUBSTITUTE(Y516,".","-"),"/","-")),IFERROR(Y516*1,""))))</f>
        <v/>
      </c>
      <c r="N516">
        <f>IFERROR(LEFT(B516,FIND(" ",B516)-1),B516)</f>
        <v/>
      </c>
      <c r="O516">
        <f>AND(B516&lt;&gt;"",B516&lt;&gt;설정!$B$4,C516&lt;&gt;설정!$B$5)</f>
        <v/>
      </c>
      <c r="P516">
        <f>IF(O516,B516&amp;"|"&amp;C516,"")</f>
        <v/>
      </c>
      <c r="Q516">
        <f>AND(O516,COUNTIF(P517:P$1002,P516)=0)</f>
        <v/>
      </c>
      <c r="R516">
        <f>OR(AND(설정!$A$28&lt;&gt;"",ISNUMBER(SEARCH(설정!$A$28,E516&amp;" "&amp;C516))),AND(설정!$A$29&lt;&gt;"",ISNUMBER(SEARCH(설정!$A$29,E516&amp;" "&amp;C516))),AND(설정!$A$30&lt;&gt;"",ISNUMBER(SEARCH(설정!$A$30,E516&amp;" "&amp;C516))),AND(설정!$A$31&lt;&gt;"",ISNUMBER(SEARCH(설정!$A$31,E516&amp;" "&amp;C516))),AND(설정!$A$32&lt;&gt;"",ISNUMBER(SEARCH(설정!$A$32,E516&amp;" "&amp;C516))),AND(설정!$A$33&lt;&gt;"",ISNUMBER(SEARCH(설정!$A$33,E516&amp;" "&amp;C516))),AND(설정!$A$34&lt;&gt;"",ISNUMBER(SEARCH(설정!$A$34,E516&amp;" "&amp;C516))),AND(설정!$A$35&lt;&gt;"",ISNUMBER(SEARCH(설정!$A$35,E516&amp;" "&amp;C516))),AND(설정!$A$36&lt;&gt;"",ISNUMBER(SEARCH(설정!$A$36,E516&amp;" "&amp;C516))),AND(설정!$A$37&lt;&gt;"",ISNUMBER(SEARCH(설정!$A$37,E516&amp;" "&amp;C516))))</f>
        <v/>
      </c>
      <c r="S516">
        <f>OR(D516="",D516&gt;=설정!$B$19)</f>
        <v/>
      </c>
      <c r="T516">
        <f>AND(Q516,R516,S516)</f>
        <v/>
      </c>
      <c r="U516">
        <f>IF(T516,IF(AND(설정!$A$41&lt;&gt;"",ISNUMBER(SEARCH(설정!$A$41,K516))),설정!$B$41,IF(AND(설정!$A$42&lt;&gt;"",ISNUMBER(SEARCH(설정!$A$42,K516))),설정!$B$42,IF(AND(설정!$A$43&lt;&gt;"",ISNUMBER(SEARCH(설정!$A$43,K516))),설정!$B$43,IF(AND(설정!$A$44&lt;&gt;"",ISNUMBER(SEARCH(설정!$A$44,K516))),설정!$B$44,IF(AND(설정!$A$45&lt;&gt;"",ISNUMBER(SEARCH(설정!$A$45,K516))),설정!$B$45,IF(AND(설정!$A$46&lt;&gt;"",ISNUMBER(SEARCH(설정!$A$46,K516))),설정!$B$46,IF(AND(설정!$A$47&lt;&gt;"",ISNUMBER(SEARCH(설정!$A$47,K516))),설정!$B$47,IF(AND(설정!$A$48&lt;&gt;"",ISNUMBER(SEARCH(설정!$A$48,K516))),설정!$B$48,IF(M516="","설계사","시공사"))))))))),"")</f>
        <v/>
      </c>
      <c r="V516">
        <f>SUBSTITUTE(SUBSTITUTE(SUBSTITUTE(SUBSTITUTE(G516,"(주)",""),"㈜",""),"주식회사","")," ","")</f>
        <v/>
      </c>
      <c r="W516">
        <f>IF(AND(T516,V516&lt;&gt;""),IF(COUNTIFS(V$2:V516,V516,T$2:T516,TRUE)=1,MAX(W$1:W515)+1,""),"")</f>
        <v/>
      </c>
      <c r="X516">
        <f>IFERROR(INDEX('1.산군_붙여넣기'!$A$1:$AZ$1001,ROW(),설정!$C$14)&amp;"","")</f>
        <v/>
      </c>
      <c r="Y516">
        <f>IFERROR(INDEX('1.산군_붙여넣기'!$A$1:$AZ$1001,ROW(),설정!$C$15)&amp;"","")</f>
        <v/>
      </c>
      <c r="Z516">
        <f>IF(T516,V516&amp;"|"&amp;U516,"")</f>
        <v/>
      </c>
    </row>
    <row r="517">
      <c r="A517">
        <f>ROW()</f>
        <v/>
      </c>
      <c r="B517">
        <f>IFERROR(INDEX('1.산군_붙여넣기'!$A$1:$AZ$1001,ROW(),설정!$C$4)&amp;"","")</f>
        <v/>
      </c>
      <c r="C517">
        <f>IFERROR(INDEX('1.산군_붙여넣기'!$A$1:$AZ$1001,ROW(),설정!$C$5)&amp;"","")</f>
        <v/>
      </c>
      <c r="D517" s="5">
        <f>IFERROR(VALUE(SUBSTITUTE(SUBSTITUTE(SUBSTITUTE(IFERROR(INDEX('1.산군_붙여넣기'!$A$1:$AZ$1001,ROW(),설정!$C$6)&amp;"",""),",",""),"㎡",""),"m2","")),"")</f>
        <v/>
      </c>
      <c r="E517">
        <f>IFERROR(INDEX('1.산군_붙여넣기'!$A$1:$AZ$1001,ROW(),설정!$C$7)&amp;"","")</f>
        <v/>
      </c>
      <c r="F517">
        <f>IFERROR(INDEX('1.산군_붙여넣기'!$A$1:$AZ$1001,ROW(),설정!$C$8)&amp;"","")</f>
        <v/>
      </c>
      <c r="G517">
        <f>IFERROR(INDEX('1.산군_붙여넣기'!$A$1:$AZ$1001,ROW(),설정!$C$9)&amp;"","")</f>
        <v/>
      </c>
      <c r="H517">
        <f>IFERROR(INDEX('1.산군_붙여넣기'!$A$1:$AZ$1001,ROW(),설정!$C$10)&amp;"","")</f>
        <v/>
      </c>
      <c r="I517">
        <f>IFERROR(INDEX('1.산군_붙여넣기'!$A$1:$AZ$1001,ROW(),설정!$C$11)&amp;"","")</f>
        <v/>
      </c>
      <c r="J517">
        <f>IFERROR(INDEX('1.산군_붙여넣기'!$A$1:$AZ$1001,ROW(),설정!$C$12)&amp;"","")</f>
        <v/>
      </c>
      <c r="K517">
        <f>IFERROR(INDEX('1.산군_붙여넣기'!$A$1:$AZ$1001,ROW(),설정!$C$13)&amp;"","")</f>
        <v/>
      </c>
      <c r="L517" s="6">
        <f>IF(X517="","",IF(AND(LEN(X517)=8,ISNUMBER(X517*1)),DATE(LEFT(X517,4),MID(X517,5,2),RIGHT(X517,2)),IFERROR(DATEVALUE(SUBSTITUTE(SUBSTITUTE(X517,".","-"),"/","-")),IFERROR(X517*1,""))))</f>
        <v/>
      </c>
      <c r="M517" s="6">
        <f>IF(Y517="","",IF(AND(LEN(Y517)=8,ISNUMBER(Y517*1)),DATE(LEFT(Y517,4),MID(Y517,5,2),RIGHT(Y517,2)),IFERROR(DATEVALUE(SUBSTITUTE(SUBSTITUTE(Y517,".","-"),"/","-")),IFERROR(Y517*1,""))))</f>
        <v/>
      </c>
      <c r="N517">
        <f>IFERROR(LEFT(B517,FIND(" ",B517)-1),B517)</f>
        <v/>
      </c>
      <c r="O517">
        <f>AND(B517&lt;&gt;"",B517&lt;&gt;설정!$B$4,C517&lt;&gt;설정!$B$5)</f>
        <v/>
      </c>
      <c r="P517">
        <f>IF(O517,B517&amp;"|"&amp;C517,"")</f>
        <v/>
      </c>
      <c r="Q517">
        <f>AND(O517,COUNTIF(P518:P$1002,P517)=0)</f>
        <v/>
      </c>
      <c r="R517">
        <f>OR(AND(설정!$A$28&lt;&gt;"",ISNUMBER(SEARCH(설정!$A$28,E517&amp;" "&amp;C517))),AND(설정!$A$29&lt;&gt;"",ISNUMBER(SEARCH(설정!$A$29,E517&amp;" "&amp;C517))),AND(설정!$A$30&lt;&gt;"",ISNUMBER(SEARCH(설정!$A$30,E517&amp;" "&amp;C517))),AND(설정!$A$31&lt;&gt;"",ISNUMBER(SEARCH(설정!$A$31,E517&amp;" "&amp;C517))),AND(설정!$A$32&lt;&gt;"",ISNUMBER(SEARCH(설정!$A$32,E517&amp;" "&amp;C517))),AND(설정!$A$33&lt;&gt;"",ISNUMBER(SEARCH(설정!$A$33,E517&amp;" "&amp;C517))),AND(설정!$A$34&lt;&gt;"",ISNUMBER(SEARCH(설정!$A$34,E517&amp;" "&amp;C517))),AND(설정!$A$35&lt;&gt;"",ISNUMBER(SEARCH(설정!$A$35,E517&amp;" "&amp;C517))),AND(설정!$A$36&lt;&gt;"",ISNUMBER(SEARCH(설정!$A$36,E517&amp;" "&amp;C517))),AND(설정!$A$37&lt;&gt;"",ISNUMBER(SEARCH(설정!$A$37,E517&amp;" "&amp;C517))))</f>
        <v/>
      </c>
      <c r="S517">
        <f>OR(D517="",D517&gt;=설정!$B$19)</f>
        <v/>
      </c>
      <c r="T517">
        <f>AND(Q517,R517,S517)</f>
        <v/>
      </c>
      <c r="U517">
        <f>IF(T517,IF(AND(설정!$A$41&lt;&gt;"",ISNUMBER(SEARCH(설정!$A$41,K517))),설정!$B$41,IF(AND(설정!$A$42&lt;&gt;"",ISNUMBER(SEARCH(설정!$A$42,K517))),설정!$B$42,IF(AND(설정!$A$43&lt;&gt;"",ISNUMBER(SEARCH(설정!$A$43,K517))),설정!$B$43,IF(AND(설정!$A$44&lt;&gt;"",ISNUMBER(SEARCH(설정!$A$44,K517))),설정!$B$44,IF(AND(설정!$A$45&lt;&gt;"",ISNUMBER(SEARCH(설정!$A$45,K517))),설정!$B$45,IF(AND(설정!$A$46&lt;&gt;"",ISNUMBER(SEARCH(설정!$A$46,K517))),설정!$B$46,IF(AND(설정!$A$47&lt;&gt;"",ISNUMBER(SEARCH(설정!$A$47,K517))),설정!$B$47,IF(AND(설정!$A$48&lt;&gt;"",ISNUMBER(SEARCH(설정!$A$48,K517))),설정!$B$48,IF(M517="","설계사","시공사"))))))))),"")</f>
        <v/>
      </c>
      <c r="V517">
        <f>SUBSTITUTE(SUBSTITUTE(SUBSTITUTE(SUBSTITUTE(G517,"(주)",""),"㈜",""),"주식회사","")," ","")</f>
        <v/>
      </c>
      <c r="W517">
        <f>IF(AND(T517,V517&lt;&gt;""),IF(COUNTIFS(V$2:V517,V517,T$2:T517,TRUE)=1,MAX(W$1:W516)+1,""),"")</f>
        <v/>
      </c>
      <c r="X517">
        <f>IFERROR(INDEX('1.산군_붙여넣기'!$A$1:$AZ$1001,ROW(),설정!$C$14)&amp;"","")</f>
        <v/>
      </c>
      <c r="Y517">
        <f>IFERROR(INDEX('1.산군_붙여넣기'!$A$1:$AZ$1001,ROW(),설정!$C$15)&amp;"","")</f>
        <v/>
      </c>
      <c r="Z517">
        <f>IF(T517,V517&amp;"|"&amp;U517,"")</f>
        <v/>
      </c>
    </row>
    <row r="518">
      <c r="A518">
        <f>ROW()</f>
        <v/>
      </c>
      <c r="B518">
        <f>IFERROR(INDEX('1.산군_붙여넣기'!$A$1:$AZ$1001,ROW(),설정!$C$4)&amp;"","")</f>
        <v/>
      </c>
      <c r="C518">
        <f>IFERROR(INDEX('1.산군_붙여넣기'!$A$1:$AZ$1001,ROW(),설정!$C$5)&amp;"","")</f>
        <v/>
      </c>
      <c r="D518" s="5">
        <f>IFERROR(VALUE(SUBSTITUTE(SUBSTITUTE(SUBSTITUTE(IFERROR(INDEX('1.산군_붙여넣기'!$A$1:$AZ$1001,ROW(),설정!$C$6)&amp;"",""),",",""),"㎡",""),"m2","")),"")</f>
        <v/>
      </c>
      <c r="E518">
        <f>IFERROR(INDEX('1.산군_붙여넣기'!$A$1:$AZ$1001,ROW(),설정!$C$7)&amp;"","")</f>
        <v/>
      </c>
      <c r="F518">
        <f>IFERROR(INDEX('1.산군_붙여넣기'!$A$1:$AZ$1001,ROW(),설정!$C$8)&amp;"","")</f>
        <v/>
      </c>
      <c r="G518">
        <f>IFERROR(INDEX('1.산군_붙여넣기'!$A$1:$AZ$1001,ROW(),설정!$C$9)&amp;"","")</f>
        <v/>
      </c>
      <c r="H518">
        <f>IFERROR(INDEX('1.산군_붙여넣기'!$A$1:$AZ$1001,ROW(),설정!$C$10)&amp;"","")</f>
        <v/>
      </c>
      <c r="I518">
        <f>IFERROR(INDEX('1.산군_붙여넣기'!$A$1:$AZ$1001,ROW(),설정!$C$11)&amp;"","")</f>
        <v/>
      </c>
      <c r="J518">
        <f>IFERROR(INDEX('1.산군_붙여넣기'!$A$1:$AZ$1001,ROW(),설정!$C$12)&amp;"","")</f>
        <v/>
      </c>
      <c r="K518">
        <f>IFERROR(INDEX('1.산군_붙여넣기'!$A$1:$AZ$1001,ROW(),설정!$C$13)&amp;"","")</f>
        <v/>
      </c>
      <c r="L518" s="6">
        <f>IF(X518="","",IF(AND(LEN(X518)=8,ISNUMBER(X518*1)),DATE(LEFT(X518,4),MID(X518,5,2),RIGHT(X518,2)),IFERROR(DATEVALUE(SUBSTITUTE(SUBSTITUTE(X518,".","-"),"/","-")),IFERROR(X518*1,""))))</f>
        <v/>
      </c>
      <c r="M518" s="6">
        <f>IF(Y518="","",IF(AND(LEN(Y518)=8,ISNUMBER(Y518*1)),DATE(LEFT(Y518,4),MID(Y518,5,2),RIGHT(Y518,2)),IFERROR(DATEVALUE(SUBSTITUTE(SUBSTITUTE(Y518,".","-"),"/","-")),IFERROR(Y518*1,""))))</f>
        <v/>
      </c>
      <c r="N518">
        <f>IFERROR(LEFT(B518,FIND(" ",B518)-1),B518)</f>
        <v/>
      </c>
      <c r="O518">
        <f>AND(B518&lt;&gt;"",B518&lt;&gt;설정!$B$4,C518&lt;&gt;설정!$B$5)</f>
        <v/>
      </c>
      <c r="P518">
        <f>IF(O518,B518&amp;"|"&amp;C518,"")</f>
        <v/>
      </c>
      <c r="Q518">
        <f>AND(O518,COUNTIF(P519:P$1002,P518)=0)</f>
        <v/>
      </c>
      <c r="R518">
        <f>OR(AND(설정!$A$28&lt;&gt;"",ISNUMBER(SEARCH(설정!$A$28,E518&amp;" "&amp;C518))),AND(설정!$A$29&lt;&gt;"",ISNUMBER(SEARCH(설정!$A$29,E518&amp;" "&amp;C518))),AND(설정!$A$30&lt;&gt;"",ISNUMBER(SEARCH(설정!$A$30,E518&amp;" "&amp;C518))),AND(설정!$A$31&lt;&gt;"",ISNUMBER(SEARCH(설정!$A$31,E518&amp;" "&amp;C518))),AND(설정!$A$32&lt;&gt;"",ISNUMBER(SEARCH(설정!$A$32,E518&amp;" "&amp;C518))),AND(설정!$A$33&lt;&gt;"",ISNUMBER(SEARCH(설정!$A$33,E518&amp;" "&amp;C518))),AND(설정!$A$34&lt;&gt;"",ISNUMBER(SEARCH(설정!$A$34,E518&amp;" "&amp;C518))),AND(설정!$A$35&lt;&gt;"",ISNUMBER(SEARCH(설정!$A$35,E518&amp;" "&amp;C518))),AND(설정!$A$36&lt;&gt;"",ISNUMBER(SEARCH(설정!$A$36,E518&amp;" "&amp;C518))),AND(설정!$A$37&lt;&gt;"",ISNUMBER(SEARCH(설정!$A$37,E518&amp;" "&amp;C518))))</f>
        <v/>
      </c>
      <c r="S518">
        <f>OR(D518="",D518&gt;=설정!$B$19)</f>
        <v/>
      </c>
      <c r="T518">
        <f>AND(Q518,R518,S518)</f>
        <v/>
      </c>
      <c r="U518">
        <f>IF(T518,IF(AND(설정!$A$41&lt;&gt;"",ISNUMBER(SEARCH(설정!$A$41,K518))),설정!$B$41,IF(AND(설정!$A$42&lt;&gt;"",ISNUMBER(SEARCH(설정!$A$42,K518))),설정!$B$42,IF(AND(설정!$A$43&lt;&gt;"",ISNUMBER(SEARCH(설정!$A$43,K518))),설정!$B$43,IF(AND(설정!$A$44&lt;&gt;"",ISNUMBER(SEARCH(설정!$A$44,K518))),설정!$B$44,IF(AND(설정!$A$45&lt;&gt;"",ISNUMBER(SEARCH(설정!$A$45,K518))),설정!$B$45,IF(AND(설정!$A$46&lt;&gt;"",ISNUMBER(SEARCH(설정!$A$46,K518))),설정!$B$46,IF(AND(설정!$A$47&lt;&gt;"",ISNUMBER(SEARCH(설정!$A$47,K518))),설정!$B$47,IF(AND(설정!$A$48&lt;&gt;"",ISNUMBER(SEARCH(설정!$A$48,K518))),설정!$B$48,IF(M518="","설계사","시공사"))))))))),"")</f>
        <v/>
      </c>
      <c r="V518">
        <f>SUBSTITUTE(SUBSTITUTE(SUBSTITUTE(SUBSTITUTE(G518,"(주)",""),"㈜",""),"주식회사","")," ","")</f>
        <v/>
      </c>
      <c r="W518">
        <f>IF(AND(T518,V518&lt;&gt;""),IF(COUNTIFS(V$2:V518,V518,T$2:T518,TRUE)=1,MAX(W$1:W517)+1,""),"")</f>
        <v/>
      </c>
      <c r="X518">
        <f>IFERROR(INDEX('1.산군_붙여넣기'!$A$1:$AZ$1001,ROW(),설정!$C$14)&amp;"","")</f>
        <v/>
      </c>
      <c r="Y518">
        <f>IFERROR(INDEX('1.산군_붙여넣기'!$A$1:$AZ$1001,ROW(),설정!$C$15)&amp;"","")</f>
        <v/>
      </c>
      <c r="Z518">
        <f>IF(T518,V518&amp;"|"&amp;U518,"")</f>
        <v/>
      </c>
    </row>
    <row r="519">
      <c r="A519">
        <f>ROW()</f>
        <v/>
      </c>
      <c r="B519">
        <f>IFERROR(INDEX('1.산군_붙여넣기'!$A$1:$AZ$1001,ROW(),설정!$C$4)&amp;"","")</f>
        <v/>
      </c>
      <c r="C519">
        <f>IFERROR(INDEX('1.산군_붙여넣기'!$A$1:$AZ$1001,ROW(),설정!$C$5)&amp;"","")</f>
        <v/>
      </c>
      <c r="D519" s="5">
        <f>IFERROR(VALUE(SUBSTITUTE(SUBSTITUTE(SUBSTITUTE(IFERROR(INDEX('1.산군_붙여넣기'!$A$1:$AZ$1001,ROW(),설정!$C$6)&amp;"",""),",",""),"㎡",""),"m2","")),"")</f>
        <v/>
      </c>
      <c r="E519">
        <f>IFERROR(INDEX('1.산군_붙여넣기'!$A$1:$AZ$1001,ROW(),설정!$C$7)&amp;"","")</f>
        <v/>
      </c>
      <c r="F519">
        <f>IFERROR(INDEX('1.산군_붙여넣기'!$A$1:$AZ$1001,ROW(),설정!$C$8)&amp;"","")</f>
        <v/>
      </c>
      <c r="G519">
        <f>IFERROR(INDEX('1.산군_붙여넣기'!$A$1:$AZ$1001,ROW(),설정!$C$9)&amp;"","")</f>
        <v/>
      </c>
      <c r="H519">
        <f>IFERROR(INDEX('1.산군_붙여넣기'!$A$1:$AZ$1001,ROW(),설정!$C$10)&amp;"","")</f>
        <v/>
      </c>
      <c r="I519">
        <f>IFERROR(INDEX('1.산군_붙여넣기'!$A$1:$AZ$1001,ROW(),설정!$C$11)&amp;"","")</f>
        <v/>
      </c>
      <c r="J519">
        <f>IFERROR(INDEX('1.산군_붙여넣기'!$A$1:$AZ$1001,ROW(),설정!$C$12)&amp;"","")</f>
        <v/>
      </c>
      <c r="K519">
        <f>IFERROR(INDEX('1.산군_붙여넣기'!$A$1:$AZ$1001,ROW(),설정!$C$13)&amp;"","")</f>
        <v/>
      </c>
      <c r="L519" s="6">
        <f>IF(X519="","",IF(AND(LEN(X519)=8,ISNUMBER(X519*1)),DATE(LEFT(X519,4),MID(X519,5,2),RIGHT(X519,2)),IFERROR(DATEVALUE(SUBSTITUTE(SUBSTITUTE(X519,".","-"),"/","-")),IFERROR(X519*1,""))))</f>
        <v/>
      </c>
      <c r="M519" s="6">
        <f>IF(Y519="","",IF(AND(LEN(Y519)=8,ISNUMBER(Y519*1)),DATE(LEFT(Y519,4),MID(Y519,5,2),RIGHT(Y519,2)),IFERROR(DATEVALUE(SUBSTITUTE(SUBSTITUTE(Y519,".","-"),"/","-")),IFERROR(Y519*1,""))))</f>
        <v/>
      </c>
      <c r="N519">
        <f>IFERROR(LEFT(B519,FIND(" ",B519)-1),B519)</f>
        <v/>
      </c>
      <c r="O519">
        <f>AND(B519&lt;&gt;"",B519&lt;&gt;설정!$B$4,C519&lt;&gt;설정!$B$5)</f>
        <v/>
      </c>
      <c r="P519">
        <f>IF(O519,B519&amp;"|"&amp;C519,"")</f>
        <v/>
      </c>
      <c r="Q519">
        <f>AND(O519,COUNTIF(P520:P$1002,P519)=0)</f>
        <v/>
      </c>
      <c r="R519">
        <f>OR(AND(설정!$A$28&lt;&gt;"",ISNUMBER(SEARCH(설정!$A$28,E519&amp;" "&amp;C519))),AND(설정!$A$29&lt;&gt;"",ISNUMBER(SEARCH(설정!$A$29,E519&amp;" "&amp;C519))),AND(설정!$A$30&lt;&gt;"",ISNUMBER(SEARCH(설정!$A$30,E519&amp;" "&amp;C519))),AND(설정!$A$31&lt;&gt;"",ISNUMBER(SEARCH(설정!$A$31,E519&amp;" "&amp;C519))),AND(설정!$A$32&lt;&gt;"",ISNUMBER(SEARCH(설정!$A$32,E519&amp;" "&amp;C519))),AND(설정!$A$33&lt;&gt;"",ISNUMBER(SEARCH(설정!$A$33,E519&amp;" "&amp;C519))),AND(설정!$A$34&lt;&gt;"",ISNUMBER(SEARCH(설정!$A$34,E519&amp;" "&amp;C519))),AND(설정!$A$35&lt;&gt;"",ISNUMBER(SEARCH(설정!$A$35,E519&amp;" "&amp;C519))),AND(설정!$A$36&lt;&gt;"",ISNUMBER(SEARCH(설정!$A$36,E519&amp;" "&amp;C519))),AND(설정!$A$37&lt;&gt;"",ISNUMBER(SEARCH(설정!$A$37,E519&amp;" "&amp;C519))))</f>
        <v/>
      </c>
      <c r="S519">
        <f>OR(D519="",D519&gt;=설정!$B$19)</f>
        <v/>
      </c>
      <c r="T519">
        <f>AND(Q519,R519,S519)</f>
        <v/>
      </c>
      <c r="U519">
        <f>IF(T519,IF(AND(설정!$A$41&lt;&gt;"",ISNUMBER(SEARCH(설정!$A$41,K519))),설정!$B$41,IF(AND(설정!$A$42&lt;&gt;"",ISNUMBER(SEARCH(설정!$A$42,K519))),설정!$B$42,IF(AND(설정!$A$43&lt;&gt;"",ISNUMBER(SEARCH(설정!$A$43,K519))),설정!$B$43,IF(AND(설정!$A$44&lt;&gt;"",ISNUMBER(SEARCH(설정!$A$44,K519))),설정!$B$44,IF(AND(설정!$A$45&lt;&gt;"",ISNUMBER(SEARCH(설정!$A$45,K519))),설정!$B$45,IF(AND(설정!$A$46&lt;&gt;"",ISNUMBER(SEARCH(설정!$A$46,K519))),설정!$B$46,IF(AND(설정!$A$47&lt;&gt;"",ISNUMBER(SEARCH(설정!$A$47,K519))),설정!$B$47,IF(AND(설정!$A$48&lt;&gt;"",ISNUMBER(SEARCH(설정!$A$48,K519))),설정!$B$48,IF(M519="","설계사","시공사"))))))))),"")</f>
        <v/>
      </c>
      <c r="V519">
        <f>SUBSTITUTE(SUBSTITUTE(SUBSTITUTE(SUBSTITUTE(G519,"(주)",""),"㈜",""),"주식회사","")," ","")</f>
        <v/>
      </c>
      <c r="W519">
        <f>IF(AND(T519,V519&lt;&gt;""),IF(COUNTIFS(V$2:V519,V519,T$2:T519,TRUE)=1,MAX(W$1:W518)+1,""),"")</f>
        <v/>
      </c>
      <c r="X519">
        <f>IFERROR(INDEX('1.산군_붙여넣기'!$A$1:$AZ$1001,ROW(),설정!$C$14)&amp;"","")</f>
        <v/>
      </c>
      <c r="Y519">
        <f>IFERROR(INDEX('1.산군_붙여넣기'!$A$1:$AZ$1001,ROW(),설정!$C$15)&amp;"","")</f>
        <v/>
      </c>
      <c r="Z519">
        <f>IF(T519,V519&amp;"|"&amp;U519,"")</f>
        <v/>
      </c>
    </row>
    <row r="520">
      <c r="A520">
        <f>ROW()</f>
        <v/>
      </c>
      <c r="B520">
        <f>IFERROR(INDEX('1.산군_붙여넣기'!$A$1:$AZ$1001,ROW(),설정!$C$4)&amp;"","")</f>
        <v/>
      </c>
      <c r="C520">
        <f>IFERROR(INDEX('1.산군_붙여넣기'!$A$1:$AZ$1001,ROW(),설정!$C$5)&amp;"","")</f>
        <v/>
      </c>
      <c r="D520" s="5">
        <f>IFERROR(VALUE(SUBSTITUTE(SUBSTITUTE(SUBSTITUTE(IFERROR(INDEX('1.산군_붙여넣기'!$A$1:$AZ$1001,ROW(),설정!$C$6)&amp;"",""),",",""),"㎡",""),"m2","")),"")</f>
        <v/>
      </c>
      <c r="E520">
        <f>IFERROR(INDEX('1.산군_붙여넣기'!$A$1:$AZ$1001,ROW(),설정!$C$7)&amp;"","")</f>
        <v/>
      </c>
      <c r="F520">
        <f>IFERROR(INDEX('1.산군_붙여넣기'!$A$1:$AZ$1001,ROW(),설정!$C$8)&amp;"","")</f>
        <v/>
      </c>
      <c r="G520">
        <f>IFERROR(INDEX('1.산군_붙여넣기'!$A$1:$AZ$1001,ROW(),설정!$C$9)&amp;"","")</f>
        <v/>
      </c>
      <c r="H520">
        <f>IFERROR(INDEX('1.산군_붙여넣기'!$A$1:$AZ$1001,ROW(),설정!$C$10)&amp;"","")</f>
        <v/>
      </c>
      <c r="I520">
        <f>IFERROR(INDEX('1.산군_붙여넣기'!$A$1:$AZ$1001,ROW(),설정!$C$11)&amp;"","")</f>
        <v/>
      </c>
      <c r="J520">
        <f>IFERROR(INDEX('1.산군_붙여넣기'!$A$1:$AZ$1001,ROW(),설정!$C$12)&amp;"","")</f>
        <v/>
      </c>
      <c r="K520">
        <f>IFERROR(INDEX('1.산군_붙여넣기'!$A$1:$AZ$1001,ROW(),설정!$C$13)&amp;"","")</f>
        <v/>
      </c>
      <c r="L520" s="6">
        <f>IF(X520="","",IF(AND(LEN(X520)=8,ISNUMBER(X520*1)),DATE(LEFT(X520,4),MID(X520,5,2),RIGHT(X520,2)),IFERROR(DATEVALUE(SUBSTITUTE(SUBSTITUTE(X520,".","-"),"/","-")),IFERROR(X520*1,""))))</f>
        <v/>
      </c>
      <c r="M520" s="6">
        <f>IF(Y520="","",IF(AND(LEN(Y520)=8,ISNUMBER(Y520*1)),DATE(LEFT(Y520,4),MID(Y520,5,2),RIGHT(Y520,2)),IFERROR(DATEVALUE(SUBSTITUTE(SUBSTITUTE(Y520,".","-"),"/","-")),IFERROR(Y520*1,""))))</f>
        <v/>
      </c>
      <c r="N520">
        <f>IFERROR(LEFT(B520,FIND(" ",B520)-1),B520)</f>
        <v/>
      </c>
      <c r="O520">
        <f>AND(B520&lt;&gt;"",B520&lt;&gt;설정!$B$4,C520&lt;&gt;설정!$B$5)</f>
        <v/>
      </c>
      <c r="P520">
        <f>IF(O520,B520&amp;"|"&amp;C520,"")</f>
        <v/>
      </c>
      <c r="Q520">
        <f>AND(O520,COUNTIF(P521:P$1002,P520)=0)</f>
        <v/>
      </c>
      <c r="R520">
        <f>OR(AND(설정!$A$28&lt;&gt;"",ISNUMBER(SEARCH(설정!$A$28,E520&amp;" "&amp;C520))),AND(설정!$A$29&lt;&gt;"",ISNUMBER(SEARCH(설정!$A$29,E520&amp;" "&amp;C520))),AND(설정!$A$30&lt;&gt;"",ISNUMBER(SEARCH(설정!$A$30,E520&amp;" "&amp;C520))),AND(설정!$A$31&lt;&gt;"",ISNUMBER(SEARCH(설정!$A$31,E520&amp;" "&amp;C520))),AND(설정!$A$32&lt;&gt;"",ISNUMBER(SEARCH(설정!$A$32,E520&amp;" "&amp;C520))),AND(설정!$A$33&lt;&gt;"",ISNUMBER(SEARCH(설정!$A$33,E520&amp;" "&amp;C520))),AND(설정!$A$34&lt;&gt;"",ISNUMBER(SEARCH(설정!$A$34,E520&amp;" "&amp;C520))),AND(설정!$A$35&lt;&gt;"",ISNUMBER(SEARCH(설정!$A$35,E520&amp;" "&amp;C520))),AND(설정!$A$36&lt;&gt;"",ISNUMBER(SEARCH(설정!$A$36,E520&amp;" "&amp;C520))),AND(설정!$A$37&lt;&gt;"",ISNUMBER(SEARCH(설정!$A$37,E520&amp;" "&amp;C520))))</f>
        <v/>
      </c>
      <c r="S520">
        <f>OR(D520="",D520&gt;=설정!$B$19)</f>
        <v/>
      </c>
      <c r="T520">
        <f>AND(Q520,R520,S520)</f>
        <v/>
      </c>
      <c r="U520">
        <f>IF(T520,IF(AND(설정!$A$41&lt;&gt;"",ISNUMBER(SEARCH(설정!$A$41,K520))),설정!$B$41,IF(AND(설정!$A$42&lt;&gt;"",ISNUMBER(SEARCH(설정!$A$42,K520))),설정!$B$42,IF(AND(설정!$A$43&lt;&gt;"",ISNUMBER(SEARCH(설정!$A$43,K520))),설정!$B$43,IF(AND(설정!$A$44&lt;&gt;"",ISNUMBER(SEARCH(설정!$A$44,K520))),설정!$B$44,IF(AND(설정!$A$45&lt;&gt;"",ISNUMBER(SEARCH(설정!$A$45,K520))),설정!$B$45,IF(AND(설정!$A$46&lt;&gt;"",ISNUMBER(SEARCH(설정!$A$46,K520))),설정!$B$46,IF(AND(설정!$A$47&lt;&gt;"",ISNUMBER(SEARCH(설정!$A$47,K520))),설정!$B$47,IF(AND(설정!$A$48&lt;&gt;"",ISNUMBER(SEARCH(설정!$A$48,K520))),설정!$B$48,IF(M520="","설계사","시공사"))))))))),"")</f>
        <v/>
      </c>
      <c r="V520">
        <f>SUBSTITUTE(SUBSTITUTE(SUBSTITUTE(SUBSTITUTE(G520,"(주)",""),"㈜",""),"주식회사","")," ","")</f>
        <v/>
      </c>
      <c r="W520">
        <f>IF(AND(T520,V520&lt;&gt;""),IF(COUNTIFS(V$2:V520,V520,T$2:T520,TRUE)=1,MAX(W$1:W519)+1,""),"")</f>
        <v/>
      </c>
      <c r="X520">
        <f>IFERROR(INDEX('1.산군_붙여넣기'!$A$1:$AZ$1001,ROW(),설정!$C$14)&amp;"","")</f>
        <v/>
      </c>
      <c r="Y520">
        <f>IFERROR(INDEX('1.산군_붙여넣기'!$A$1:$AZ$1001,ROW(),설정!$C$15)&amp;"","")</f>
        <v/>
      </c>
      <c r="Z520">
        <f>IF(T520,V520&amp;"|"&amp;U520,"")</f>
        <v/>
      </c>
    </row>
    <row r="521">
      <c r="A521">
        <f>ROW()</f>
        <v/>
      </c>
      <c r="B521">
        <f>IFERROR(INDEX('1.산군_붙여넣기'!$A$1:$AZ$1001,ROW(),설정!$C$4)&amp;"","")</f>
        <v/>
      </c>
      <c r="C521">
        <f>IFERROR(INDEX('1.산군_붙여넣기'!$A$1:$AZ$1001,ROW(),설정!$C$5)&amp;"","")</f>
        <v/>
      </c>
      <c r="D521" s="5">
        <f>IFERROR(VALUE(SUBSTITUTE(SUBSTITUTE(SUBSTITUTE(IFERROR(INDEX('1.산군_붙여넣기'!$A$1:$AZ$1001,ROW(),설정!$C$6)&amp;"",""),",",""),"㎡",""),"m2","")),"")</f>
        <v/>
      </c>
      <c r="E521">
        <f>IFERROR(INDEX('1.산군_붙여넣기'!$A$1:$AZ$1001,ROW(),설정!$C$7)&amp;"","")</f>
        <v/>
      </c>
      <c r="F521">
        <f>IFERROR(INDEX('1.산군_붙여넣기'!$A$1:$AZ$1001,ROW(),설정!$C$8)&amp;"","")</f>
        <v/>
      </c>
      <c r="G521">
        <f>IFERROR(INDEX('1.산군_붙여넣기'!$A$1:$AZ$1001,ROW(),설정!$C$9)&amp;"","")</f>
        <v/>
      </c>
      <c r="H521">
        <f>IFERROR(INDEX('1.산군_붙여넣기'!$A$1:$AZ$1001,ROW(),설정!$C$10)&amp;"","")</f>
        <v/>
      </c>
      <c r="I521">
        <f>IFERROR(INDEX('1.산군_붙여넣기'!$A$1:$AZ$1001,ROW(),설정!$C$11)&amp;"","")</f>
        <v/>
      </c>
      <c r="J521">
        <f>IFERROR(INDEX('1.산군_붙여넣기'!$A$1:$AZ$1001,ROW(),설정!$C$12)&amp;"","")</f>
        <v/>
      </c>
      <c r="K521">
        <f>IFERROR(INDEX('1.산군_붙여넣기'!$A$1:$AZ$1001,ROW(),설정!$C$13)&amp;"","")</f>
        <v/>
      </c>
      <c r="L521" s="6">
        <f>IF(X521="","",IF(AND(LEN(X521)=8,ISNUMBER(X521*1)),DATE(LEFT(X521,4),MID(X521,5,2),RIGHT(X521,2)),IFERROR(DATEVALUE(SUBSTITUTE(SUBSTITUTE(X521,".","-"),"/","-")),IFERROR(X521*1,""))))</f>
        <v/>
      </c>
      <c r="M521" s="6">
        <f>IF(Y521="","",IF(AND(LEN(Y521)=8,ISNUMBER(Y521*1)),DATE(LEFT(Y521,4),MID(Y521,5,2),RIGHT(Y521,2)),IFERROR(DATEVALUE(SUBSTITUTE(SUBSTITUTE(Y521,".","-"),"/","-")),IFERROR(Y521*1,""))))</f>
        <v/>
      </c>
      <c r="N521">
        <f>IFERROR(LEFT(B521,FIND(" ",B521)-1),B521)</f>
        <v/>
      </c>
      <c r="O521">
        <f>AND(B521&lt;&gt;"",B521&lt;&gt;설정!$B$4,C521&lt;&gt;설정!$B$5)</f>
        <v/>
      </c>
      <c r="P521">
        <f>IF(O521,B521&amp;"|"&amp;C521,"")</f>
        <v/>
      </c>
      <c r="Q521">
        <f>AND(O521,COUNTIF(P522:P$1002,P521)=0)</f>
        <v/>
      </c>
      <c r="R521">
        <f>OR(AND(설정!$A$28&lt;&gt;"",ISNUMBER(SEARCH(설정!$A$28,E521&amp;" "&amp;C521))),AND(설정!$A$29&lt;&gt;"",ISNUMBER(SEARCH(설정!$A$29,E521&amp;" "&amp;C521))),AND(설정!$A$30&lt;&gt;"",ISNUMBER(SEARCH(설정!$A$30,E521&amp;" "&amp;C521))),AND(설정!$A$31&lt;&gt;"",ISNUMBER(SEARCH(설정!$A$31,E521&amp;" "&amp;C521))),AND(설정!$A$32&lt;&gt;"",ISNUMBER(SEARCH(설정!$A$32,E521&amp;" "&amp;C521))),AND(설정!$A$33&lt;&gt;"",ISNUMBER(SEARCH(설정!$A$33,E521&amp;" "&amp;C521))),AND(설정!$A$34&lt;&gt;"",ISNUMBER(SEARCH(설정!$A$34,E521&amp;" "&amp;C521))),AND(설정!$A$35&lt;&gt;"",ISNUMBER(SEARCH(설정!$A$35,E521&amp;" "&amp;C521))),AND(설정!$A$36&lt;&gt;"",ISNUMBER(SEARCH(설정!$A$36,E521&amp;" "&amp;C521))),AND(설정!$A$37&lt;&gt;"",ISNUMBER(SEARCH(설정!$A$37,E521&amp;" "&amp;C521))))</f>
        <v/>
      </c>
      <c r="S521">
        <f>OR(D521="",D521&gt;=설정!$B$19)</f>
        <v/>
      </c>
      <c r="T521">
        <f>AND(Q521,R521,S521)</f>
        <v/>
      </c>
      <c r="U521">
        <f>IF(T521,IF(AND(설정!$A$41&lt;&gt;"",ISNUMBER(SEARCH(설정!$A$41,K521))),설정!$B$41,IF(AND(설정!$A$42&lt;&gt;"",ISNUMBER(SEARCH(설정!$A$42,K521))),설정!$B$42,IF(AND(설정!$A$43&lt;&gt;"",ISNUMBER(SEARCH(설정!$A$43,K521))),설정!$B$43,IF(AND(설정!$A$44&lt;&gt;"",ISNUMBER(SEARCH(설정!$A$44,K521))),설정!$B$44,IF(AND(설정!$A$45&lt;&gt;"",ISNUMBER(SEARCH(설정!$A$45,K521))),설정!$B$45,IF(AND(설정!$A$46&lt;&gt;"",ISNUMBER(SEARCH(설정!$A$46,K521))),설정!$B$46,IF(AND(설정!$A$47&lt;&gt;"",ISNUMBER(SEARCH(설정!$A$47,K521))),설정!$B$47,IF(AND(설정!$A$48&lt;&gt;"",ISNUMBER(SEARCH(설정!$A$48,K521))),설정!$B$48,IF(M521="","설계사","시공사"))))))))),"")</f>
        <v/>
      </c>
      <c r="V521">
        <f>SUBSTITUTE(SUBSTITUTE(SUBSTITUTE(SUBSTITUTE(G521,"(주)",""),"㈜",""),"주식회사","")," ","")</f>
        <v/>
      </c>
      <c r="W521">
        <f>IF(AND(T521,V521&lt;&gt;""),IF(COUNTIFS(V$2:V521,V521,T$2:T521,TRUE)=1,MAX(W$1:W520)+1,""),"")</f>
        <v/>
      </c>
      <c r="X521">
        <f>IFERROR(INDEX('1.산군_붙여넣기'!$A$1:$AZ$1001,ROW(),설정!$C$14)&amp;"","")</f>
        <v/>
      </c>
      <c r="Y521">
        <f>IFERROR(INDEX('1.산군_붙여넣기'!$A$1:$AZ$1001,ROW(),설정!$C$15)&amp;"","")</f>
        <v/>
      </c>
      <c r="Z521">
        <f>IF(T521,V521&amp;"|"&amp;U521,"")</f>
        <v/>
      </c>
    </row>
    <row r="522">
      <c r="A522">
        <f>ROW()</f>
        <v/>
      </c>
      <c r="B522">
        <f>IFERROR(INDEX('1.산군_붙여넣기'!$A$1:$AZ$1001,ROW(),설정!$C$4)&amp;"","")</f>
        <v/>
      </c>
      <c r="C522">
        <f>IFERROR(INDEX('1.산군_붙여넣기'!$A$1:$AZ$1001,ROW(),설정!$C$5)&amp;"","")</f>
        <v/>
      </c>
      <c r="D522" s="5">
        <f>IFERROR(VALUE(SUBSTITUTE(SUBSTITUTE(SUBSTITUTE(IFERROR(INDEX('1.산군_붙여넣기'!$A$1:$AZ$1001,ROW(),설정!$C$6)&amp;"",""),",",""),"㎡",""),"m2","")),"")</f>
        <v/>
      </c>
      <c r="E522">
        <f>IFERROR(INDEX('1.산군_붙여넣기'!$A$1:$AZ$1001,ROW(),설정!$C$7)&amp;"","")</f>
        <v/>
      </c>
      <c r="F522">
        <f>IFERROR(INDEX('1.산군_붙여넣기'!$A$1:$AZ$1001,ROW(),설정!$C$8)&amp;"","")</f>
        <v/>
      </c>
      <c r="G522">
        <f>IFERROR(INDEX('1.산군_붙여넣기'!$A$1:$AZ$1001,ROW(),설정!$C$9)&amp;"","")</f>
        <v/>
      </c>
      <c r="H522">
        <f>IFERROR(INDEX('1.산군_붙여넣기'!$A$1:$AZ$1001,ROW(),설정!$C$10)&amp;"","")</f>
        <v/>
      </c>
      <c r="I522">
        <f>IFERROR(INDEX('1.산군_붙여넣기'!$A$1:$AZ$1001,ROW(),설정!$C$11)&amp;"","")</f>
        <v/>
      </c>
      <c r="J522">
        <f>IFERROR(INDEX('1.산군_붙여넣기'!$A$1:$AZ$1001,ROW(),설정!$C$12)&amp;"","")</f>
        <v/>
      </c>
      <c r="K522">
        <f>IFERROR(INDEX('1.산군_붙여넣기'!$A$1:$AZ$1001,ROW(),설정!$C$13)&amp;"","")</f>
        <v/>
      </c>
      <c r="L522" s="6">
        <f>IF(X522="","",IF(AND(LEN(X522)=8,ISNUMBER(X522*1)),DATE(LEFT(X522,4),MID(X522,5,2),RIGHT(X522,2)),IFERROR(DATEVALUE(SUBSTITUTE(SUBSTITUTE(X522,".","-"),"/","-")),IFERROR(X522*1,""))))</f>
        <v/>
      </c>
      <c r="M522" s="6">
        <f>IF(Y522="","",IF(AND(LEN(Y522)=8,ISNUMBER(Y522*1)),DATE(LEFT(Y522,4),MID(Y522,5,2),RIGHT(Y522,2)),IFERROR(DATEVALUE(SUBSTITUTE(SUBSTITUTE(Y522,".","-"),"/","-")),IFERROR(Y522*1,""))))</f>
        <v/>
      </c>
      <c r="N522">
        <f>IFERROR(LEFT(B522,FIND(" ",B522)-1),B522)</f>
        <v/>
      </c>
      <c r="O522">
        <f>AND(B522&lt;&gt;"",B522&lt;&gt;설정!$B$4,C522&lt;&gt;설정!$B$5)</f>
        <v/>
      </c>
      <c r="P522">
        <f>IF(O522,B522&amp;"|"&amp;C522,"")</f>
        <v/>
      </c>
      <c r="Q522">
        <f>AND(O522,COUNTIF(P523:P$1002,P522)=0)</f>
        <v/>
      </c>
      <c r="R522">
        <f>OR(AND(설정!$A$28&lt;&gt;"",ISNUMBER(SEARCH(설정!$A$28,E522&amp;" "&amp;C522))),AND(설정!$A$29&lt;&gt;"",ISNUMBER(SEARCH(설정!$A$29,E522&amp;" "&amp;C522))),AND(설정!$A$30&lt;&gt;"",ISNUMBER(SEARCH(설정!$A$30,E522&amp;" "&amp;C522))),AND(설정!$A$31&lt;&gt;"",ISNUMBER(SEARCH(설정!$A$31,E522&amp;" "&amp;C522))),AND(설정!$A$32&lt;&gt;"",ISNUMBER(SEARCH(설정!$A$32,E522&amp;" "&amp;C522))),AND(설정!$A$33&lt;&gt;"",ISNUMBER(SEARCH(설정!$A$33,E522&amp;" "&amp;C522))),AND(설정!$A$34&lt;&gt;"",ISNUMBER(SEARCH(설정!$A$34,E522&amp;" "&amp;C522))),AND(설정!$A$35&lt;&gt;"",ISNUMBER(SEARCH(설정!$A$35,E522&amp;" "&amp;C522))),AND(설정!$A$36&lt;&gt;"",ISNUMBER(SEARCH(설정!$A$36,E522&amp;" "&amp;C522))),AND(설정!$A$37&lt;&gt;"",ISNUMBER(SEARCH(설정!$A$37,E522&amp;" "&amp;C522))))</f>
        <v/>
      </c>
      <c r="S522">
        <f>OR(D522="",D522&gt;=설정!$B$19)</f>
        <v/>
      </c>
      <c r="T522">
        <f>AND(Q522,R522,S522)</f>
        <v/>
      </c>
      <c r="U522">
        <f>IF(T522,IF(AND(설정!$A$41&lt;&gt;"",ISNUMBER(SEARCH(설정!$A$41,K522))),설정!$B$41,IF(AND(설정!$A$42&lt;&gt;"",ISNUMBER(SEARCH(설정!$A$42,K522))),설정!$B$42,IF(AND(설정!$A$43&lt;&gt;"",ISNUMBER(SEARCH(설정!$A$43,K522))),설정!$B$43,IF(AND(설정!$A$44&lt;&gt;"",ISNUMBER(SEARCH(설정!$A$44,K522))),설정!$B$44,IF(AND(설정!$A$45&lt;&gt;"",ISNUMBER(SEARCH(설정!$A$45,K522))),설정!$B$45,IF(AND(설정!$A$46&lt;&gt;"",ISNUMBER(SEARCH(설정!$A$46,K522))),설정!$B$46,IF(AND(설정!$A$47&lt;&gt;"",ISNUMBER(SEARCH(설정!$A$47,K522))),설정!$B$47,IF(AND(설정!$A$48&lt;&gt;"",ISNUMBER(SEARCH(설정!$A$48,K522))),설정!$B$48,IF(M522="","설계사","시공사"))))))))),"")</f>
        <v/>
      </c>
      <c r="V522">
        <f>SUBSTITUTE(SUBSTITUTE(SUBSTITUTE(SUBSTITUTE(G522,"(주)",""),"㈜",""),"주식회사","")," ","")</f>
        <v/>
      </c>
      <c r="W522">
        <f>IF(AND(T522,V522&lt;&gt;""),IF(COUNTIFS(V$2:V522,V522,T$2:T522,TRUE)=1,MAX(W$1:W521)+1,""),"")</f>
        <v/>
      </c>
      <c r="X522">
        <f>IFERROR(INDEX('1.산군_붙여넣기'!$A$1:$AZ$1001,ROW(),설정!$C$14)&amp;"","")</f>
        <v/>
      </c>
      <c r="Y522">
        <f>IFERROR(INDEX('1.산군_붙여넣기'!$A$1:$AZ$1001,ROW(),설정!$C$15)&amp;"","")</f>
        <v/>
      </c>
      <c r="Z522">
        <f>IF(T522,V522&amp;"|"&amp;U522,"")</f>
        <v/>
      </c>
    </row>
    <row r="523">
      <c r="A523">
        <f>ROW()</f>
        <v/>
      </c>
      <c r="B523">
        <f>IFERROR(INDEX('1.산군_붙여넣기'!$A$1:$AZ$1001,ROW(),설정!$C$4)&amp;"","")</f>
        <v/>
      </c>
      <c r="C523">
        <f>IFERROR(INDEX('1.산군_붙여넣기'!$A$1:$AZ$1001,ROW(),설정!$C$5)&amp;"","")</f>
        <v/>
      </c>
      <c r="D523" s="5">
        <f>IFERROR(VALUE(SUBSTITUTE(SUBSTITUTE(SUBSTITUTE(IFERROR(INDEX('1.산군_붙여넣기'!$A$1:$AZ$1001,ROW(),설정!$C$6)&amp;"",""),",",""),"㎡",""),"m2","")),"")</f>
        <v/>
      </c>
      <c r="E523">
        <f>IFERROR(INDEX('1.산군_붙여넣기'!$A$1:$AZ$1001,ROW(),설정!$C$7)&amp;"","")</f>
        <v/>
      </c>
      <c r="F523">
        <f>IFERROR(INDEX('1.산군_붙여넣기'!$A$1:$AZ$1001,ROW(),설정!$C$8)&amp;"","")</f>
        <v/>
      </c>
      <c r="G523">
        <f>IFERROR(INDEX('1.산군_붙여넣기'!$A$1:$AZ$1001,ROW(),설정!$C$9)&amp;"","")</f>
        <v/>
      </c>
      <c r="H523">
        <f>IFERROR(INDEX('1.산군_붙여넣기'!$A$1:$AZ$1001,ROW(),설정!$C$10)&amp;"","")</f>
        <v/>
      </c>
      <c r="I523">
        <f>IFERROR(INDEX('1.산군_붙여넣기'!$A$1:$AZ$1001,ROW(),설정!$C$11)&amp;"","")</f>
        <v/>
      </c>
      <c r="J523">
        <f>IFERROR(INDEX('1.산군_붙여넣기'!$A$1:$AZ$1001,ROW(),설정!$C$12)&amp;"","")</f>
        <v/>
      </c>
      <c r="K523">
        <f>IFERROR(INDEX('1.산군_붙여넣기'!$A$1:$AZ$1001,ROW(),설정!$C$13)&amp;"","")</f>
        <v/>
      </c>
      <c r="L523" s="6">
        <f>IF(X523="","",IF(AND(LEN(X523)=8,ISNUMBER(X523*1)),DATE(LEFT(X523,4),MID(X523,5,2),RIGHT(X523,2)),IFERROR(DATEVALUE(SUBSTITUTE(SUBSTITUTE(X523,".","-"),"/","-")),IFERROR(X523*1,""))))</f>
        <v/>
      </c>
      <c r="M523" s="6">
        <f>IF(Y523="","",IF(AND(LEN(Y523)=8,ISNUMBER(Y523*1)),DATE(LEFT(Y523,4),MID(Y523,5,2),RIGHT(Y523,2)),IFERROR(DATEVALUE(SUBSTITUTE(SUBSTITUTE(Y523,".","-"),"/","-")),IFERROR(Y523*1,""))))</f>
        <v/>
      </c>
      <c r="N523">
        <f>IFERROR(LEFT(B523,FIND(" ",B523)-1),B523)</f>
        <v/>
      </c>
      <c r="O523">
        <f>AND(B523&lt;&gt;"",B523&lt;&gt;설정!$B$4,C523&lt;&gt;설정!$B$5)</f>
        <v/>
      </c>
      <c r="P523">
        <f>IF(O523,B523&amp;"|"&amp;C523,"")</f>
        <v/>
      </c>
      <c r="Q523">
        <f>AND(O523,COUNTIF(P524:P$1002,P523)=0)</f>
        <v/>
      </c>
      <c r="R523">
        <f>OR(AND(설정!$A$28&lt;&gt;"",ISNUMBER(SEARCH(설정!$A$28,E523&amp;" "&amp;C523))),AND(설정!$A$29&lt;&gt;"",ISNUMBER(SEARCH(설정!$A$29,E523&amp;" "&amp;C523))),AND(설정!$A$30&lt;&gt;"",ISNUMBER(SEARCH(설정!$A$30,E523&amp;" "&amp;C523))),AND(설정!$A$31&lt;&gt;"",ISNUMBER(SEARCH(설정!$A$31,E523&amp;" "&amp;C523))),AND(설정!$A$32&lt;&gt;"",ISNUMBER(SEARCH(설정!$A$32,E523&amp;" "&amp;C523))),AND(설정!$A$33&lt;&gt;"",ISNUMBER(SEARCH(설정!$A$33,E523&amp;" "&amp;C523))),AND(설정!$A$34&lt;&gt;"",ISNUMBER(SEARCH(설정!$A$34,E523&amp;" "&amp;C523))),AND(설정!$A$35&lt;&gt;"",ISNUMBER(SEARCH(설정!$A$35,E523&amp;" "&amp;C523))),AND(설정!$A$36&lt;&gt;"",ISNUMBER(SEARCH(설정!$A$36,E523&amp;" "&amp;C523))),AND(설정!$A$37&lt;&gt;"",ISNUMBER(SEARCH(설정!$A$37,E523&amp;" "&amp;C523))))</f>
        <v/>
      </c>
      <c r="S523">
        <f>OR(D523="",D523&gt;=설정!$B$19)</f>
        <v/>
      </c>
      <c r="T523">
        <f>AND(Q523,R523,S523)</f>
        <v/>
      </c>
      <c r="U523">
        <f>IF(T523,IF(AND(설정!$A$41&lt;&gt;"",ISNUMBER(SEARCH(설정!$A$41,K523))),설정!$B$41,IF(AND(설정!$A$42&lt;&gt;"",ISNUMBER(SEARCH(설정!$A$42,K523))),설정!$B$42,IF(AND(설정!$A$43&lt;&gt;"",ISNUMBER(SEARCH(설정!$A$43,K523))),설정!$B$43,IF(AND(설정!$A$44&lt;&gt;"",ISNUMBER(SEARCH(설정!$A$44,K523))),설정!$B$44,IF(AND(설정!$A$45&lt;&gt;"",ISNUMBER(SEARCH(설정!$A$45,K523))),설정!$B$45,IF(AND(설정!$A$46&lt;&gt;"",ISNUMBER(SEARCH(설정!$A$46,K523))),설정!$B$46,IF(AND(설정!$A$47&lt;&gt;"",ISNUMBER(SEARCH(설정!$A$47,K523))),설정!$B$47,IF(AND(설정!$A$48&lt;&gt;"",ISNUMBER(SEARCH(설정!$A$48,K523))),설정!$B$48,IF(M523="","설계사","시공사"))))))))),"")</f>
        <v/>
      </c>
      <c r="V523">
        <f>SUBSTITUTE(SUBSTITUTE(SUBSTITUTE(SUBSTITUTE(G523,"(주)",""),"㈜",""),"주식회사","")," ","")</f>
        <v/>
      </c>
      <c r="W523">
        <f>IF(AND(T523,V523&lt;&gt;""),IF(COUNTIFS(V$2:V523,V523,T$2:T523,TRUE)=1,MAX(W$1:W522)+1,""),"")</f>
        <v/>
      </c>
      <c r="X523">
        <f>IFERROR(INDEX('1.산군_붙여넣기'!$A$1:$AZ$1001,ROW(),설정!$C$14)&amp;"","")</f>
        <v/>
      </c>
      <c r="Y523">
        <f>IFERROR(INDEX('1.산군_붙여넣기'!$A$1:$AZ$1001,ROW(),설정!$C$15)&amp;"","")</f>
        <v/>
      </c>
      <c r="Z523">
        <f>IF(T523,V523&amp;"|"&amp;U523,"")</f>
        <v/>
      </c>
    </row>
    <row r="524">
      <c r="A524">
        <f>ROW()</f>
        <v/>
      </c>
      <c r="B524">
        <f>IFERROR(INDEX('1.산군_붙여넣기'!$A$1:$AZ$1001,ROW(),설정!$C$4)&amp;"","")</f>
        <v/>
      </c>
      <c r="C524">
        <f>IFERROR(INDEX('1.산군_붙여넣기'!$A$1:$AZ$1001,ROW(),설정!$C$5)&amp;"","")</f>
        <v/>
      </c>
      <c r="D524" s="5">
        <f>IFERROR(VALUE(SUBSTITUTE(SUBSTITUTE(SUBSTITUTE(IFERROR(INDEX('1.산군_붙여넣기'!$A$1:$AZ$1001,ROW(),설정!$C$6)&amp;"",""),",",""),"㎡",""),"m2","")),"")</f>
        <v/>
      </c>
      <c r="E524">
        <f>IFERROR(INDEX('1.산군_붙여넣기'!$A$1:$AZ$1001,ROW(),설정!$C$7)&amp;"","")</f>
        <v/>
      </c>
      <c r="F524">
        <f>IFERROR(INDEX('1.산군_붙여넣기'!$A$1:$AZ$1001,ROW(),설정!$C$8)&amp;"","")</f>
        <v/>
      </c>
      <c r="G524">
        <f>IFERROR(INDEX('1.산군_붙여넣기'!$A$1:$AZ$1001,ROW(),설정!$C$9)&amp;"","")</f>
        <v/>
      </c>
      <c r="H524">
        <f>IFERROR(INDEX('1.산군_붙여넣기'!$A$1:$AZ$1001,ROW(),설정!$C$10)&amp;"","")</f>
        <v/>
      </c>
      <c r="I524">
        <f>IFERROR(INDEX('1.산군_붙여넣기'!$A$1:$AZ$1001,ROW(),설정!$C$11)&amp;"","")</f>
        <v/>
      </c>
      <c r="J524">
        <f>IFERROR(INDEX('1.산군_붙여넣기'!$A$1:$AZ$1001,ROW(),설정!$C$12)&amp;"","")</f>
        <v/>
      </c>
      <c r="K524">
        <f>IFERROR(INDEX('1.산군_붙여넣기'!$A$1:$AZ$1001,ROW(),설정!$C$13)&amp;"","")</f>
        <v/>
      </c>
      <c r="L524" s="6">
        <f>IF(X524="","",IF(AND(LEN(X524)=8,ISNUMBER(X524*1)),DATE(LEFT(X524,4),MID(X524,5,2),RIGHT(X524,2)),IFERROR(DATEVALUE(SUBSTITUTE(SUBSTITUTE(X524,".","-"),"/","-")),IFERROR(X524*1,""))))</f>
        <v/>
      </c>
      <c r="M524" s="6">
        <f>IF(Y524="","",IF(AND(LEN(Y524)=8,ISNUMBER(Y524*1)),DATE(LEFT(Y524,4),MID(Y524,5,2),RIGHT(Y524,2)),IFERROR(DATEVALUE(SUBSTITUTE(SUBSTITUTE(Y524,".","-"),"/","-")),IFERROR(Y524*1,""))))</f>
        <v/>
      </c>
      <c r="N524">
        <f>IFERROR(LEFT(B524,FIND(" ",B524)-1),B524)</f>
        <v/>
      </c>
      <c r="O524">
        <f>AND(B524&lt;&gt;"",B524&lt;&gt;설정!$B$4,C524&lt;&gt;설정!$B$5)</f>
        <v/>
      </c>
      <c r="P524">
        <f>IF(O524,B524&amp;"|"&amp;C524,"")</f>
        <v/>
      </c>
      <c r="Q524">
        <f>AND(O524,COUNTIF(P525:P$1002,P524)=0)</f>
        <v/>
      </c>
      <c r="R524">
        <f>OR(AND(설정!$A$28&lt;&gt;"",ISNUMBER(SEARCH(설정!$A$28,E524&amp;" "&amp;C524))),AND(설정!$A$29&lt;&gt;"",ISNUMBER(SEARCH(설정!$A$29,E524&amp;" "&amp;C524))),AND(설정!$A$30&lt;&gt;"",ISNUMBER(SEARCH(설정!$A$30,E524&amp;" "&amp;C524))),AND(설정!$A$31&lt;&gt;"",ISNUMBER(SEARCH(설정!$A$31,E524&amp;" "&amp;C524))),AND(설정!$A$32&lt;&gt;"",ISNUMBER(SEARCH(설정!$A$32,E524&amp;" "&amp;C524))),AND(설정!$A$33&lt;&gt;"",ISNUMBER(SEARCH(설정!$A$33,E524&amp;" "&amp;C524))),AND(설정!$A$34&lt;&gt;"",ISNUMBER(SEARCH(설정!$A$34,E524&amp;" "&amp;C524))),AND(설정!$A$35&lt;&gt;"",ISNUMBER(SEARCH(설정!$A$35,E524&amp;" "&amp;C524))),AND(설정!$A$36&lt;&gt;"",ISNUMBER(SEARCH(설정!$A$36,E524&amp;" "&amp;C524))),AND(설정!$A$37&lt;&gt;"",ISNUMBER(SEARCH(설정!$A$37,E524&amp;" "&amp;C524))))</f>
        <v/>
      </c>
      <c r="S524">
        <f>OR(D524="",D524&gt;=설정!$B$19)</f>
        <v/>
      </c>
      <c r="T524">
        <f>AND(Q524,R524,S524)</f>
        <v/>
      </c>
      <c r="U524">
        <f>IF(T524,IF(AND(설정!$A$41&lt;&gt;"",ISNUMBER(SEARCH(설정!$A$41,K524))),설정!$B$41,IF(AND(설정!$A$42&lt;&gt;"",ISNUMBER(SEARCH(설정!$A$42,K524))),설정!$B$42,IF(AND(설정!$A$43&lt;&gt;"",ISNUMBER(SEARCH(설정!$A$43,K524))),설정!$B$43,IF(AND(설정!$A$44&lt;&gt;"",ISNUMBER(SEARCH(설정!$A$44,K524))),설정!$B$44,IF(AND(설정!$A$45&lt;&gt;"",ISNUMBER(SEARCH(설정!$A$45,K524))),설정!$B$45,IF(AND(설정!$A$46&lt;&gt;"",ISNUMBER(SEARCH(설정!$A$46,K524))),설정!$B$46,IF(AND(설정!$A$47&lt;&gt;"",ISNUMBER(SEARCH(설정!$A$47,K524))),설정!$B$47,IF(AND(설정!$A$48&lt;&gt;"",ISNUMBER(SEARCH(설정!$A$48,K524))),설정!$B$48,IF(M524="","설계사","시공사"))))))))),"")</f>
        <v/>
      </c>
      <c r="V524">
        <f>SUBSTITUTE(SUBSTITUTE(SUBSTITUTE(SUBSTITUTE(G524,"(주)",""),"㈜",""),"주식회사","")," ","")</f>
        <v/>
      </c>
      <c r="W524">
        <f>IF(AND(T524,V524&lt;&gt;""),IF(COUNTIFS(V$2:V524,V524,T$2:T524,TRUE)=1,MAX(W$1:W523)+1,""),"")</f>
        <v/>
      </c>
      <c r="X524">
        <f>IFERROR(INDEX('1.산군_붙여넣기'!$A$1:$AZ$1001,ROW(),설정!$C$14)&amp;"","")</f>
        <v/>
      </c>
      <c r="Y524">
        <f>IFERROR(INDEX('1.산군_붙여넣기'!$A$1:$AZ$1001,ROW(),설정!$C$15)&amp;"","")</f>
        <v/>
      </c>
      <c r="Z524">
        <f>IF(T524,V524&amp;"|"&amp;U524,"")</f>
        <v/>
      </c>
    </row>
    <row r="525">
      <c r="A525">
        <f>ROW()</f>
        <v/>
      </c>
      <c r="B525">
        <f>IFERROR(INDEX('1.산군_붙여넣기'!$A$1:$AZ$1001,ROW(),설정!$C$4)&amp;"","")</f>
        <v/>
      </c>
      <c r="C525">
        <f>IFERROR(INDEX('1.산군_붙여넣기'!$A$1:$AZ$1001,ROW(),설정!$C$5)&amp;"","")</f>
        <v/>
      </c>
      <c r="D525" s="5">
        <f>IFERROR(VALUE(SUBSTITUTE(SUBSTITUTE(SUBSTITUTE(IFERROR(INDEX('1.산군_붙여넣기'!$A$1:$AZ$1001,ROW(),설정!$C$6)&amp;"",""),",",""),"㎡",""),"m2","")),"")</f>
        <v/>
      </c>
      <c r="E525">
        <f>IFERROR(INDEX('1.산군_붙여넣기'!$A$1:$AZ$1001,ROW(),설정!$C$7)&amp;"","")</f>
        <v/>
      </c>
      <c r="F525">
        <f>IFERROR(INDEX('1.산군_붙여넣기'!$A$1:$AZ$1001,ROW(),설정!$C$8)&amp;"","")</f>
        <v/>
      </c>
      <c r="G525">
        <f>IFERROR(INDEX('1.산군_붙여넣기'!$A$1:$AZ$1001,ROW(),설정!$C$9)&amp;"","")</f>
        <v/>
      </c>
      <c r="H525">
        <f>IFERROR(INDEX('1.산군_붙여넣기'!$A$1:$AZ$1001,ROW(),설정!$C$10)&amp;"","")</f>
        <v/>
      </c>
      <c r="I525">
        <f>IFERROR(INDEX('1.산군_붙여넣기'!$A$1:$AZ$1001,ROW(),설정!$C$11)&amp;"","")</f>
        <v/>
      </c>
      <c r="J525">
        <f>IFERROR(INDEX('1.산군_붙여넣기'!$A$1:$AZ$1001,ROW(),설정!$C$12)&amp;"","")</f>
        <v/>
      </c>
      <c r="K525">
        <f>IFERROR(INDEX('1.산군_붙여넣기'!$A$1:$AZ$1001,ROW(),설정!$C$13)&amp;"","")</f>
        <v/>
      </c>
      <c r="L525" s="6">
        <f>IF(X525="","",IF(AND(LEN(X525)=8,ISNUMBER(X525*1)),DATE(LEFT(X525,4),MID(X525,5,2),RIGHT(X525,2)),IFERROR(DATEVALUE(SUBSTITUTE(SUBSTITUTE(X525,".","-"),"/","-")),IFERROR(X525*1,""))))</f>
        <v/>
      </c>
      <c r="M525" s="6">
        <f>IF(Y525="","",IF(AND(LEN(Y525)=8,ISNUMBER(Y525*1)),DATE(LEFT(Y525,4),MID(Y525,5,2),RIGHT(Y525,2)),IFERROR(DATEVALUE(SUBSTITUTE(SUBSTITUTE(Y525,".","-"),"/","-")),IFERROR(Y525*1,""))))</f>
        <v/>
      </c>
      <c r="N525">
        <f>IFERROR(LEFT(B525,FIND(" ",B525)-1),B525)</f>
        <v/>
      </c>
      <c r="O525">
        <f>AND(B525&lt;&gt;"",B525&lt;&gt;설정!$B$4,C525&lt;&gt;설정!$B$5)</f>
        <v/>
      </c>
      <c r="P525">
        <f>IF(O525,B525&amp;"|"&amp;C525,"")</f>
        <v/>
      </c>
      <c r="Q525">
        <f>AND(O525,COUNTIF(P526:P$1002,P525)=0)</f>
        <v/>
      </c>
      <c r="R525">
        <f>OR(AND(설정!$A$28&lt;&gt;"",ISNUMBER(SEARCH(설정!$A$28,E525&amp;" "&amp;C525))),AND(설정!$A$29&lt;&gt;"",ISNUMBER(SEARCH(설정!$A$29,E525&amp;" "&amp;C525))),AND(설정!$A$30&lt;&gt;"",ISNUMBER(SEARCH(설정!$A$30,E525&amp;" "&amp;C525))),AND(설정!$A$31&lt;&gt;"",ISNUMBER(SEARCH(설정!$A$31,E525&amp;" "&amp;C525))),AND(설정!$A$32&lt;&gt;"",ISNUMBER(SEARCH(설정!$A$32,E525&amp;" "&amp;C525))),AND(설정!$A$33&lt;&gt;"",ISNUMBER(SEARCH(설정!$A$33,E525&amp;" "&amp;C525))),AND(설정!$A$34&lt;&gt;"",ISNUMBER(SEARCH(설정!$A$34,E525&amp;" "&amp;C525))),AND(설정!$A$35&lt;&gt;"",ISNUMBER(SEARCH(설정!$A$35,E525&amp;" "&amp;C525))),AND(설정!$A$36&lt;&gt;"",ISNUMBER(SEARCH(설정!$A$36,E525&amp;" "&amp;C525))),AND(설정!$A$37&lt;&gt;"",ISNUMBER(SEARCH(설정!$A$37,E525&amp;" "&amp;C525))))</f>
        <v/>
      </c>
      <c r="S525">
        <f>OR(D525="",D525&gt;=설정!$B$19)</f>
        <v/>
      </c>
      <c r="T525">
        <f>AND(Q525,R525,S525)</f>
        <v/>
      </c>
      <c r="U525">
        <f>IF(T525,IF(AND(설정!$A$41&lt;&gt;"",ISNUMBER(SEARCH(설정!$A$41,K525))),설정!$B$41,IF(AND(설정!$A$42&lt;&gt;"",ISNUMBER(SEARCH(설정!$A$42,K525))),설정!$B$42,IF(AND(설정!$A$43&lt;&gt;"",ISNUMBER(SEARCH(설정!$A$43,K525))),설정!$B$43,IF(AND(설정!$A$44&lt;&gt;"",ISNUMBER(SEARCH(설정!$A$44,K525))),설정!$B$44,IF(AND(설정!$A$45&lt;&gt;"",ISNUMBER(SEARCH(설정!$A$45,K525))),설정!$B$45,IF(AND(설정!$A$46&lt;&gt;"",ISNUMBER(SEARCH(설정!$A$46,K525))),설정!$B$46,IF(AND(설정!$A$47&lt;&gt;"",ISNUMBER(SEARCH(설정!$A$47,K525))),설정!$B$47,IF(AND(설정!$A$48&lt;&gt;"",ISNUMBER(SEARCH(설정!$A$48,K525))),설정!$B$48,IF(M525="","설계사","시공사"))))))))),"")</f>
        <v/>
      </c>
      <c r="V525">
        <f>SUBSTITUTE(SUBSTITUTE(SUBSTITUTE(SUBSTITUTE(G525,"(주)",""),"㈜",""),"주식회사","")," ","")</f>
        <v/>
      </c>
      <c r="W525">
        <f>IF(AND(T525,V525&lt;&gt;""),IF(COUNTIFS(V$2:V525,V525,T$2:T525,TRUE)=1,MAX(W$1:W524)+1,""),"")</f>
        <v/>
      </c>
      <c r="X525">
        <f>IFERROR(INDEX('1.산군_붙여넣기'!$A$1:$AZ$1001,ROW(),설정!$C$14)&amp;"","")</f>
        <v/>
      </c>
      <c r="Y525">
        <f>IFERROR(INDEX('1.산군_붙여넣기'!$A$1:$AZ$1001,ROW(),설정!$C$15)&amp;"","")</f>
        <v/>
      </c>
      <c r="Z525">
        <f>IF(T525,V525&amp;"|"&amp;U525,"")</f>
        <v/>
      </c>
    </row>
    <row r="526">
      <c r="A526">
        <f>ROW()</f>
        <v/>
      </c>
      <c r="B526">
        <f>IFERROR(INDEX('1.산군_붙여넣기'!$A$1:$AZ$1001,ROW(),설정!$C$4)&amp;"","")</f>
        <v/>
      </c>
      <c r="C526">
        <f>IFERROR(INDEX('1.산군_붙여넣기'!$A$1:$AZ$1001,ROW(),설정!$C$5)&amp;"","")</f>
        <v/>
      </c>
      <c r="D526" s="5">
        <f>IFERROR(VALUE(SUBSTITUTE(SUBSTITUTE(SUBSTITUTE(IFERROR(INDEX('1.산군_붙여넣기'!$A$1:$AZ$1001,ROW(),설정!$C$6)&amp;"",""),",",""),"㎡",""),"m2","")),"")</f>
        <v/>
      </c>
      <c r="E526">
        <f>IFERROR(INDEX('1.산군_붙여넣기'!$A$1:$AZ$1001,ROW(),설정!$C$7)&amp;"","")</f>
        <v/>
      </c>
      <c r="F526">
        <f>IFERROR(INDEX('1.산군_붙여넣기'!$A$1:$AZ$1001,ROW(),설정!$C$8)&amp;"","")</f>
        <v/>
      </c>
      <c r="G526">
        <f>IFERROR(INDEX('1.산군_붙여넣기'!$A$1:$AZ$1001,ROW(),설정!$C$9)&amp;"","")</f>
        <v/>
      </c>
      <c r="H526">
        <f>IFERROR(INDEX('1.산군_붙여넣기'!$A$1:$AZ$1001,ROW(),설정!$C$10)&amp;"","")</f>
        <v/>
      </c>
      <c r="I526">
        <f>IFERROR(INDEX('1.산군_붙여넣기'!$A$1:$AZ$1001,ROW(),설정!$C$11)&amp;"","")</f>
        <v/>
      </c>
      <c r="J526">
        <f>IFERROR(INDEX('1.산군_붙여넣기'!$A$1:$AZ$1001,ROW(),설정!$C$12)&amp;"","")</f>
        <v/>
      </c>
      <c r="K526">
        <f>IFERROR(INDEX('1.산군_붙여넣기'!$A$1:$AZ$1001,ROW(),설정!$C$13)&amp;"","")</f>
        <v/>
      </c>
      <c r="L526" s="6">
        <f>IF(X526="","",IF(AND(LEN(X526)=8,ISNUMBER(X526*1)),DATE(LEFT(X526,4),MID(X526,5,2),RIGHT(X526,2)),IFERROR(DATEVALUE(SUBSTITUTE(SUBSTITUTE(X526,".","-"),"/","-")),IFERROR(X526*1,""))))</f>
        <v/>
      </c>
      <c r="M526" s="6">
        <f>IF(Y526="","",IF(AND(LEN(Y526)=8,ISNUMBER(Y526*1)),DATE(LEFT(Y526,4),MID(Y526,5,2),RIGHT(Y526,2)),IFERROR(DATEVALUE(SUBSTITUTE(SUBSTITUTE(Y526,".","-"),"/","-")),IFERROR(Y526*1,""))))</f>
        <v/>
      </c>
      <c r="N526">
        <f>IFERROR(LEFT(B526,FIND(" ",B526)-1),B526)</f>
        <v/>
      </c>
      <c r="O526">
        <f>AND(B526&lt;&gt;"",B526&lt;&gt;설정!$B$4,C526&lt;&gt;설정!$B$5)</f>
        <v/>
      </c>
      <c r="P526">
        <f>IF(O526,B526&amp;"|"&amp;C526,"")</f>
        <v/>
      </c>
      <c r="Q526">
        <f>AND(O526,COUNTIF(P527:P$1002,P526)=0)</f>
        <v/>
      </c>
      <c r="R526">
        <f>OR(AND(설정!$A$28&lt;&gt;"",ISNUMBER(SEARCH(설정!$A$28,E526&amp;" "&amp;C526))),AND(설정!$A$29&lt;&gt;"",ISNUMBER(SEARCH(설정!$A$29,E526&amp;" "&amp;C526))),AND(설정!$A$30&lt;&gt;"",ISNUMBER(SEARCH(설정!$A$30,E526&amp;" "&amp;C526))),AND(설정!$A$31&lt;&gt;"",ISNUMBER(SEARCH(설정!$A$31,E526&amp;" "&amp;C526))),AND(설정!$A$32&lt;&gt;"",ISNUMBER(SEARCH(설정!$A$32,E526&amp;" "&amp;C526))),AND(설정!$A$33&lt;&gt;"",ISNUMBER(SEARCH(설정!$A$33,E526&amp;" "&amp;C526))),AND(설정!$A$34&lt;&gt;"",ISNUMBER(SEARCH(설정!$A$34,E526&amp;" "&amp;C526))),AND(설정!$A$35&lt;&gt;"",ISNUMBER(SEARCH(설정!$A$35,E526&amp;" "&amp;C526))),AND(설정!$A$36&lt;&gt;"",ISNUMBER(SEARCH(설정!$A$36,E526&amp;" "&amp;C526))),AND(설정!$A$37&lt;&gt;"",ISNUMBER(SEARCH(설정!$A$37,E526&amp;" "&amp;C526))))</f>
        <v/>
      </c>
      <c r="S526">
        <f>OR(D526="",D526&gt;=설정!$B$19)</f>
        <v/>
      </c>
      <c r="T526">
        <f>AND(Q526,R526,S526)</f>
        <v/>
      </c>
      <c r="U526">
        <f>IF(T526,IF(AND(설정!$A$41&lt;&gt;"",ISNUMBER(SEARCH(설정!$A$41,K526))),설정!$B$41,IF(AND(설정!$A$42&lt;&gt;"",ISNUMBER(SEARCH(설정!$A$42,K526))),설정!$B$42,IF(AND(설정!$A$43&lt;&gt;"",ISNUMBER(SEARCH(설정!$A$43,K526))),설정!$B$43,IF(AND(설정!$A$44&lt;&gt;"",ISNUMBER(SEARCH(설정!$A$44,K526))),설정!$B$44,IF(AND(설정!$A$45&lt;&gt;"",ISNUMBER(SEARCH(설정!$A$45,K526))),설정!$B$45,IF(AND(설정!$A$46&lt;&gt;"",ISNUMBER(SEARCH(설정!$A$46,K526))),설정!$B$46,IF(AND(설정!$A$47&lt;&gt;"",ISNUMBER(SEARCH(설정!$A$47,K526))),설정!$B$47,IF(AND(설정!$A$48&lt;&gt;"",ISNUMBER(SEARCH(설정!$A$48,K526))),설정!$B$48,IF(M526="","설계사","시공사"))))))))),"")</f>
        <v/>
      </c>
      <c r="V526">
        <f>SUBSTITUTE(SUBSTITUTE(SUBSTITUTE(SUBSTITUTE(G526,"(주)",""),"㈜",""),"주식회사","")," ","")</f>
        <v/>
      </c>
      <c r="W526">
        <f>IF(AND(T526,V526&lt;&gt;""),IF(COUNTIFS(V$2:V526,V526,T$2:T526,TRUE)=1,MAX(W$1:W525)+1,""),"")</f>
        <v/>
      </c>
      <c r="X526">
        <f>IFERROR(INDEX('1.산군_붙여넣기'!$A$1:$AZ$1001,ROW(),설정!$C$14)&amp;"","")</f>
        <v/>
      </c>
      <c r="Y526">
        <f>IFERROR(INDEX('1.산군_붙여넣기'!$A$1:$AZ$1001,ROW(),설정!$C$15)&amp;"","")</f>
        <v/>
      </c>
      <c r="Z526">
        <f>IF(T526,V526&amp;"|"&amp;U526,"")</f>
        <v/>
      </c>
    </row>
    <row r="527">
      <c r="A527">
        <f>ROW()</f>
        <v/>
      </c>
      <c r="B527">
        <f>IFERROR(INDEX('1.산군_붙여넣기'!$A$1:$AZ$1001,ROW(),설정!$C$4)&amp;"","")</f>
        <v/>
      </c>
      <c r="C527">
        <f>IFERROR(INDEX('1.산군_붙여넣기'!$A$1:$AZ$1001,ROW(),설정!$C$5)&amp;"","")</f>
        <v/>
      </c>
      <c r="D527" s="5">
        <f>IFERROR(VALUE(SUBSTITUTE(SUBSTITUTE(SUBSTITUTE(IFERROR(INDEX('1.산군_붙여넣기'!$A$1:$AZ$1001,ROW(),설정!$C$6)&amp;"",""),",",""),"㎡",""),"m2","")),"")</f>
        <v/>
      </c>
      <c r="E527">
        <f>IFERROR(INDEX('1.산군_붙여넣기'!$A$1:$AZ$1001,ROW(),설정!$C$7)&amp;"","")</f>
        <v/>
      </c>
      <c r="F527">
        <f>IFERROR(INDEX('1.산군_붙여넣기'!$A$1:$AZ$1001,ROW(),설정!$C$8)&amp;"","")</f>
        <v/>
      </c>
      <c r="G527">
        <f>IFERROR(INDEX('1.산군_붙여넣기'!$A$1:$AZ$1001,ROW(),설정!$C$9)&amp;"","")</f>
        <v/>
      </c>
      <c r="H527">
        <f>IFERROR(INDEX('1.산군_붙여넣기'!$A$1:$AZ$1001,ROW(),설정!$C$10)&amp;"","")</f>
        <v/>
      </c>
      <c r="I527">
        <f>IFERROR(INDEX('1.산군_붙여넣기'!$A$1:$AZ$1001,ROW(),설정!$C$11)&amp;"","")</f>
        <v/>
      </c>
      <c r="J527">
        <f>IFERROR(INDEX('1.산군_붙여넣기'!$A$1:$AZ$1001,ROW(),설정!$C$12)&amp;"","")</f>
        <v/>
      </c>
      <c r="K527">
        <f>IFERROR(INDEX('1.산군_붙여넣기'!$A$1:$AZ$1001,ROW(),설정!$C$13)&amp;"","")</f>
        <v/>
      </c>
      <c r="L527" s="6">
        <f>IF(X527="","",IF(AND(LEN(X527)=8,ISNUMBER(X527*1)),DATE(LEFT(X527,4),MID(X527,5,2),RIGHT(X527,2)),IFERROR(DATEVALUE(SUBSTITUTE(SUBSTITUTE(X527,".","-"),"/","-")),IFERROR(X527*1,""))))</f>
        <v/>
      </c>
      <c r="M527" s="6">
        <f>IF(Y527="","",IF(AND(LEN(Y527)=8,ISNUMBER(Y527*1)),DATE(LEFT(Y527,4),MID(Y527,5,2),RIGHT(Y527,2)),IFERROR(DATEVALUE(SUBSTITUTE(SUBSTITUTE(Y527,".","-"),"/","-")),IFERROR(Y527*1,""))))</f>
        <v/>
      </c>
      <c r="N527">
        <f>IFERROR(LEFT(B527,FIND(" ",B527)-1),B527)</f>
        <v/>
      </c>
      <c r="O527">
        <f>AND(B527&lt;&gt;"",B527&lt;&gt;설정!$B$4,C527&lt;&gt;설정!$B$5)</f>
        <v/>
      </c>
      <c r="P527">
        <f>IF(O527,B527&amp;"|"&amp;C527,"")</f>
        <v/>
      </c>
      <c r="Q527">
        <f>AND(O527,COUNTIF(P528:P$1002,P527)=0)</f>
        <v/>
      </c>
      <c r="R527">
        <f>OR(AND(설정!$A$28&lt;&gt;"",ISNUMBER(SEARCH(설정!$A$28,E527&amp;" "&amp;C527))),AND(설정!$A$29&lt;&gt;"",ISNUMBER(SEARCH(설정!$A$29,E527&amp;" "&amp;C527))),AND(설정!$A$30&lt;&gt;"",ISNUMBER(SEARCH(설정!$A$30,E527&amp;" "&amp;C527))),AND(설정!$A$31&lt;&gt;"",ISNUMBER(SEARCH(설정!$A$31,E527&amp;" "&amp;C527))),AND(설정!$A$32&lt;&gt;"",ISNUMBER(SEARCH(설정!$A$32,E527&amp;" "&amp;C527))),AND(설정!$A$33&lt;&gt;"",ISNUMBER(SEARCH(설정!$A$33,E527&amp;" "&amp;C527))),AND(설정!$A$34&lt;&gt;"",ISNUMBER(SEARCH(설정!$A$34,E527&amp;" "&amp;C527))),AND(설정!$A$35&lt;&gt;"",ISNUMBER(SEARCH(설정!$A$35,E527&amp;" "&amp;C527))),AND(설정!$A$36&lt;&gt;"",ISNUMBER(SEARCH(설정!$A$36,E527&amp;" "&amp;C527))),AND(설정!$A$37&lt;&gt;"",ISNUMBER(SEARCH(설정!$A$37,E527&amp;" "&amp;C527))))</f>
        <v/>
      </c>
      <c r="S527">
        <f>OR(D527="",D527&gt;=설정!$B$19)</f>
        <v/>
      </c>
      <c r="T527">
        <f>AND(Q527,R527,S527)</f>
        <v/>
      </c>
      <c r="U527">
        <f>IF(T527,IF(AND(설정!$A$41&lt;&gt;"",ISNUMBER(SEARCH(설정!$A$41,K527))),설정!$B$41,IF(AND(설정!$A$42&lt;&gt;"",ISNUMBER(SEARCH(설정!$A$42,K527))),설정!$B$42,IF(AND(설정!$A$43&lt;&gt;"",ISNUMBER(SEARCH(설정!$A$43,K527))),설정!$B$43,IF(AND(설정!$A$44&lt;&gt;"",ISNUMBER(SEARCH(설정!$A$44,K527))),설정!$B$44,IF(AND(설정!$A$45&lt;&gt;"",ISNUMBER(SEARCH(설정!$A$45,K527))),설정!$B$45,IF(AND(설정!$A$46&lt;&gt;"",ISNUMBER(SEARCH(설정!$A$46,K527))),설정!$B$46,IF(AND(설정!$A$47&lt;&gt;"",ISNUMBER(SEARCH(설정!$A$47,K527))),설정!$B$47,IF(AND(설정!$A$48&lt;&gt;"",ISNUMBER(SEARCH(설정!$A$48,K527))),설정!$B$48,IF(M527="","설계사","시공사"))))))))),"")</f>
        <v/>
      </c>
      <c r="V527">
        <f>SUBSTITUTE(SUBSTITUTE(SUBSTITUTE(SUBSTITUTE(G527,"(주)",""),"㈜",""),"주식회사","")," ","")</f>
        <v/>
      </c>
      <c r="W527">
        <f>IF(AND(T527,V527&lt;&gt;""),IF(COUNTIFS(V$2:V527,V527,T$2:T527,TRUE)=1,MAX(W$1:W526)+1,""),"")</f>
        <v/>
      </c>
      <c r="X527">
        <f>IFERROR(INDEX('1.산군_붙여넣기'!$A$1:$AZ$1001,ROW(),설정!$C$14)&amp;"","")</f>
        <v/>
      </c>
      <c r="Y527">
        <f>IFERROR(INDEX('1.산군_붙여넣기'!$A$1:$AZ$1001,ROW(),설정!$C$15)&amp;"","")</f>
        <v/>
      </c>
      <c r="Z527">
        <f>IF(T527,V527&amp;"|"&amp;U527,"")</f>
        <v/>
      </c>
    </row>
    <row r="528">
      <c r="A528">
        <f>ROW()</f>
        <v/>
      </c>
      <c r="B528">
        <f>IFERROR(INDEX('1.산군_붙여넣기'!$A$1:$AZ$1001,ROW(),설정!$C$4)&amp;"","")</f>
        <v/>
      </c>
      <c r="C528">
        <f>IFERROR(INDEX('1.산군_붙여넣기'!$A$1:$AZ$1001,ROW(),설정!$C$5)&amp;"","")</f>
        <v/>
      </c>
      <c r="D528" s="5">
        <f>IFERROR(VALUE(SUBSTITUTE(SUBSTITUTE(SUBSTITUTE(IFERROR(INDEX('1.산군_붙여넣기'!$A$1:$AZ$1001,ROW(),설정!$C$6)&amp;"",""),",",""),"㎡",""),"m2","")),"")</f>
        <v/>
      </c>
      <c r="E528">
        <f>IFERROR(INDEX('1.산군_붙여넣기'!$A$1:$AZ$1001,ROW(),설정!$C$7)&amp;"","")</f>
        <v/>
      </c>
      <c r="F528">
        <f>IFERROR(INDEX('1.산군_붙여넣기'!$A$1:$AZ$1001,ROW(),설정!$C$8)&amp;"","")</f>
        <v/>
      </c>
      <c r="G528">
        <f>IFERROR(INDEX('1.산군_붙여넣기'!$A$1:$AZ$1001,ROW(),설정!$C$9)&amp;"","")</f>
        <v/>
      </c>
      <c r="H528">
        <f>IFERROR(INDEX('1.산군_붙여넣기'!$A$1:$AZ$1001,ROW(),설정!$C$10)&amp;"","")</f>
        <v/>
      </c>
      <c r="I528">
        <f>IFERROR(INDEX('1.산군_붙여넣기'!$A$1:$AZ$1001,ROW(),설정!$C$11)&amp;"","")</f>
        <v/>
      </c>
      <c r="J528">
        <f>IFERROR(INDEX('1.산군_붙여넣기'!$A$1:$AZ$1001,ROW(),설정!$C$12)&amp;"","")</f>
        <v/>
      </c>
      <c r="K528">
        <f>IFERROR(INDEX('1.산군_붙여넣기'!$A$1:$AZ$1001,ROW(),설정!$C$13)&amp;"","")</f>
        <v/>
      </c>
      <c r="L528" s="6">
        <f>IF(X528="","",IF(AND(LEN(X528)=8,ISNUMBER(X528*1)),DATE(LEFT(X528,4),MID(X528,5,2),RIGHT(X528,2)),IFERROR(DATEVALUE(SUBSTITUTE(SUBSTITUTE(X528,".","-"),"/","-")),IFERROR(X528*1,""))))</f>
        <v/>
      </c>
      <c r="M528" s="6">
        <f>IF(Y528="","",IF(AND(LEN(Y528)=8,ISNUMBER(Y528*1)),DATE(LEFT(Y528,4),MID(Y528,5,2),RIGHT(Y528,2)),IFERROR(DATEVALUE(SUBSTITUTE(SUBSTITUTE(Y528,".","-"),"/","-")),IFERROR(Y528*1,""))))</f>
        <v/>
      </c>
      <c r="N528">
        <f>IFERROR(LEFT(B528,FIND(" ",B528)-1),B528)</f>
        <v/>
      </c>
      <c r="O528">
        <f>AND(B528&lt;&gt;"",B528&lt;&gt;설정!$B$4,C528&lt;&gt;설정!$B$5)</f>
        <v/>
      </c>
      <c r="P528">
        <f>IF(O528,B528&amp;"|"&amp;C528,"")</f>
        <v/>
      </c>
      <c r="Q528">
        <f>AND(O528,COUNTIF(P529:P$1002,P528)=0)</f>
        <v/>
      </c>
      <c r="R528">
        <f>OR(AND(설정!$A$28&lt;&gt;"",ISNUMBER(SEARCH(설정!$A$28,E528&amp;" "&amp;C528))),AND(설정!$A$29&lt;&gt;"",ISNUMBER(SEARCH(설정!$A$29,E528&amp;" "&amp;C528))),AND(설정!$A$30&lt;&gt;"",ISNUMBER(SEARCH(설정!$A$30,E528&amp;" "&amp;C528))),AND(설정!$A$31&lt;&gt;"",ISNUMBER(SEARCH(설정!$A$31,E528&amp;" "&amp;C528))),AND(설정!$A$32&lt;&gt;"",ISNUMBER(SEARCH(설정!$A$32,E528&amp;" "&amp;C528))),AND(설정!$A$33&lt;&gt;"",ISNUMBER(SEARCH(설정!$A$33,E528&amp;" "&amp;C528))),AND(설정!$A$34&lt;&gt;"",ISNUMBER(SEARCH(설정!$A$34,E528&amp;" "&amp;C528))),AND(설정!$A$35&lt;&gt;"",ISNUMBER(SEARCH(설정!$A$35,E528&amp;" "&amp;C528))),AND(설정!$A$36&lt;&gt;"",ISNUMBER(SEARCH(설정!$A$36,E528&amp;" "&amp;C528))),AND(설정!$A$37&lt;&gt;"",ISNUMBER(SEARCH(설정!$A$37,E528&amp;" "&amp;C528))))</f>
        <v/>
      </c>
      <c r="S528">
        <f>OR(D528="",D528&gt;=설정!$B$19)</f>
        <v/>
      </c>
      <c r="T528">
        <f>AND(Q528,R528,S528)</f>
        <v/>
      </c>
      <c r="U528">
        <f>IF(T528,IF(AND(설정!$A$41&lt;&gt;"",ISNUMBER(SEARCH(설정!$A$41,K528))),설정!$B$41,IF(AND(설정!$A$42&lt;&gt;"",ISNUMBER(SEARCH(설정!$A$42,K528))),설정!$B$42,IF(AND(설정!$A$43&lt;&gt;"",ISNUMBER(SEARCH(설정!$A$43,K528))),설정!$B$43,IF(AND(설정!$A$44&lt;&gt;"",ISNUMBER(SEARCH(설정!$A$44,K528))),설정!$B$44,IF(AND(설정!$A$45&lt;&gt;"",ISNUMBER(SEARCH(설정!$A$45,K528))),설정!$B$45,IF(AND(설정!$A$46&lt;&gt;"",ISNUMBER(SEARCH(설정!$A$46,K528))),설정!$B$46,IF(AND(설정!$A$47&lt;&gt;"",ISNUMBER(SEARCH(설정!$A$47,K528))),설정!$B$47,IF(AND(설정!$A$48&lt;&gt;"",ISNUMBER(SEARCH(설정!$A$48,K528))),설정!$B$48,IF(M528="","설계사","시공사"))))))))),"")</f>
        <v/>
      </c>
      <c r="V528">
        <f>SUBSTITUTE(SUBSTITUTE(SUBSTITUTE(SUBSTITUTE(G528,"(주)",""),"㈜",""),"주식회사","")," ","")</f>
        <v/>
      </c>
      <c r="W528">
        <f>IF(AND(T528,V528&lt;&gt;""),IF(COUNTIFS(V$2:V528,V528,T$2:T528,TRUE)=1,MAX(W$1:W527)+1,""),"")</f>
        <v/>
      </c>
      <c r="X528">
        <f>IFERROR(INDEX('1.산군_붙여넣기'!$A$1:$AZ$1001,ROW(),설정!$C$14)&amp;"","")</f>
        <v/>
      </c>
      <c r="Y528">
        <f>IFERROR(INDEX('1.산군_붙여넣기'!$A$1:$AZ$1001,ROW(),설정!$C$15)&amp;"","")</f>
        <v/>
      </c>
      <c r="Z528">
        <f>IF(T528,V528&amp;"|"&amp;U528,"")</f>
        <v/>
      </c>
    </row>
    <row r="529">
      <c r="A529">
        <f>ROW()</f>
        <v/>
      </c>
      <c r="B529">
        <f>IFERROR(INDEX('1.산군_붙여넣기'!$A$1:$AZ$1001,ROW(),설정!$C$4)&amp;"","")</f>
        <v/>
      </c>
      <c r="C529">
        <f>IFERROR(INDEX('1.산군_붙여넣기'!$A$1:$AZ$1001,ROW(),설정!$C$5)&amp;"","")</f>
        <v/>
      </c>
      <c r="D529" s="5">
        <f>IFERROR(VALUE(SUBSTITUTE(SUBSTITUTE(SUBSTITUTE(IFERROR(INDEX('1.산군_붙여넣기'!$A$1:$AZ$1001,ROW(),설정!$C$6)&amp;"",""),",",""),"㎡",""),"m2","")),"")</f>
        <v/>
      </c>
      <c r="E529">
        <f>IFERROR(INDEX('1.산군_붙여넣기'!$A$1:$AZ$1001,ROW(),설정!$C$7)&amp;"","")</f>
        <v/>
      </c>
      <c r="F529">
        <f>IFERROR(INDEX('1.산군_붙여넣기'!$A$1:$AZ$1001,ROW(),설정!$C$8)&amp;"","")</f>
        <v/>
      </c>
      <c r="G529">
        <f>IFERROR(INDEX('1.산군_붙여넣기'!$A$1:$AZ$1001,ROW(),설정!$C$9)&amp;"","")</f>
        <v/>
      </c>
      <c r="H529">
        <f>IFERROR(INDEX('1.산군_붙여넣기'!$A$1:$AZ$1001,ROW(),설정!$C$10)&amp;"","")</f>
        <v/>
      </c>
      <c r="I529">
        <f>IFERROR(INDEX('1.산군_붙여넣기'!$A$1:$AZ$1001,ROW(),설정!$C$11)&amp;"","")</f>
        <v/>
      </c>
      <c r="J529">
        <f>IFERROR(INDEX('1.산군_붙여넣기'!$A$1:$AZ$1001,ROW(),설정!$C$12)&amp;"","")</f>
        <v/>
      </c>
      <c r="K529">
        <f>IFERROR(INDEX('1.산군_붙여넣기'!$A$1:$AZ$1001,ROW(),설정!$C$13)&amp;"","")</f>
        <v/>
      </c>
      <c r="L529" s="6">
        <f>IF(X529="","",IF(AND(LEN(X529)=8,ISNUMBER(X529*1)),DATE(LEFT(X529,4),MID(X529,5,2),RIGHT(X529,2)),IFERROR(DATEVALUE(SUBSTITUTE(SUBSTITUTE(X529,".","-"),"/","-")),IFERROR(X529*1,""))))</f>
        <v/>
      </c>
      <c r="M529" s="6">
        <f>IF(Y529="","",IF(AND(LEN(Y529)=8,ISNUMBER(Y529*1)),DATE(LEFT(Y529,4),MID(Y529,5,2),RIGHT(Y529,2)),IFERROR(DATEVALUE(SUBSTITUTE(SUBSTITUTE(Y529,".","-"),"/","-")),IFERROR(Y529*1,""))))</f>
        <v/>
      </c>
      <c r="N529">
        <f>IFERROR(LEFT(B529,FIND(" ",B529)-1),B529)</f>
        <v/>
      </c>
      <c r="O529">
        <f>AND(B529&lt;&gt;"",B529&lt;&gt;설정!$B$4,C529&lt;&gt;설정!$B$5)</f>
        <v/>
      </c>
      <c r="P529">
        <f>IF(O529,B529&amp;"|"&amp;C529,"")</f>
        <v/>
      </c>
      <c r="Q529">
        <f>AND(O529,COUNTIF(P530:P$1002,P529)=0)</f>
        <v/>
      </c>
      <c r="R529">
        <f>OR(AND(설정!$A$28&lt;&gt;"",ISNUMBER(SEARCH(설정!$A$28,E529&amp;" "&amp;C529))),AND(설정!$A$29&lt;&gt;"",ISNUMBER(SEARCH(설정!$A$29,E529&amp;" "&amp;C529))),AND(설정!$A$30&lt;&gt;"",ISNUMBER(SEARCH(설정!$A$30,E529&amp;" "&amp;C529))),AND(설정!$A$31&lt;&gt;"",ISNUMBER(SEARCH(설정!$A$31,E529&amp;" "&amp;C529))),AND(설정!$A$32&lt;&gt;"",ISNUMBER(SEARCH(설정!$A$32,E529&amp;" "&amp;C529))),AND(설정!$A$33&lt;&gt;"",ISNUMBER(SEARCH(설정!$A$33,E529&amp;" "&amp;C529))),AND(설정!$A$34&lt;&gt;"",ISNUMBER(SEARCH(설정!$A$34,E529&amp;" "&amp;C529))),AND(설정!$A$35&lt;&gt;"",ISNUMBER(SEARCH(설정!$A$35,E529&amp;" "&amp;C529))),AND(설정!$A$36&lt;&gt;"",ISNUMBER(SEARCH(설정!$A$36,E529&amp;" "&amp;C529))),AND(설정!$A$37&lt;&gt;"",ISNUMBER(SEARCH(설정!$A$37,E529&amp;" "&amp;C529))))</f>
        <v/>
      </c>
      <c r="S529">
        <f>OR(D529="",D529&gt;=설정!$B$19)</f>
        <v/>
      </c>
      <c r="T529">
        <f>AND(Q529,R529,S529)</f>
        <v/>
      </c>
      <c r="U529">
        <f>IF(T529,IF(AND(설정!$A$41&lt;&gt;"",ISNUMBER(SEARCH(설정!$A$41,K529))),설정!$B$41,IF(AND(설정!$A$42&lt;&gt;"",ISNUMBER(SEARCH(설정!$A$42,K529))),설정!$B$42,IF(AND(설정!$A$43&lt;&gt;"",ISNUMBER(SEARCH(설정!$A$43,K529))),설정!$B$43,IF(AND(설정!$A$44&lt;&gt;"",ISNUMBER(SEARCH(설정!$A$44,K529))),설정!$B$44,IF(AND(설정!$A$45&lt;&gt;"",ISNUMBER(SEARCH(설정!$A$45,K529))),설정!$B$45,IF(AND(설정!$A$46&lt;&gt;"",ISNUMBER(SEARCH(설정!$A$46,K529))),설정!$B$46,IF(AND(설정!$A$47&lt;&gt;"",ISNUMBER(SEARCH(설정!$A$47,K529))),설정!$B$47,IF(AND(설정!$A$48&lt;&gt;"",ISNUMBER(SEARCH(설정!$A$48,K529))),설정!$B$48,IF(M529="","설계사","시공사"))))))))),"")</f>
        <v/>
      </c>
      <c r="V529">
        <f>SUBSTITUTE(SUBSTITUTE(SUBSTITUTE(SUBSTITUTE(G529,"(주)",""),"㈜",""),"주식회사","")," ","")</f>
        <v/>
      </c>
      <c r="W529">
        <f>IF(AND(T529,V529&lt;&gt;""),IF(COUNTIFS(V$2:V529,V529,T$2:T529,TRUE)=1,MAX(W$1:W528)+1,""),"")</f>
        <v/>
      </c>
      <c r="X529">
        <f>IFERROR(INDEX('1.산군_붙여넣기'!$A$1:$AZ$1001,ROW(),설정!$C$14)&amp;"","")</f>
        <v/>
      </c>
      <c r="Y529">
        <f>IFERROR(INDEX('1.산군_붙여넣기'!$A$1:$AZ$1001,ROW(),설정!$C$15)&amp;"","")</f>
        <v/>
      </c>
      <c r="Z529">
        <f>IF(T529,V529&amp;"|"&amp;U529,"")</f>
        <v/>
      </c>
    </row>
    <row r="530">
      <c r="A530">
        <f>ROW()</f>
        <v/>
      </c>
      <c r="B530">
        <f>IFERROR(INDEX('1.산군_붙여넣기'!$A$1:$AZ$1001,ROW(),설정!$C$4)&amp;"","")</f>
        <v/>
      </c>
      <c r="C530">
        <f>IFERROR(INDEX('1.산군_붙여넣기'!$A$1:$AZ$1001,ROW(),설정!$C$5)&amp;"","")</f>
        <v/>
      </c>
      <c r="D530" s="5">
        <f>IFERROR(VALUE(SUBSTITUTE(SUBSTITUTE(SUBSTITUTE(IFERROR(INDEX('1.산군_붙여넣기'!$A$1:$AZ$1001,ROW(),설정!$C$6)&amp;"",""),",",""),"㎡",""),"m2","")),"")</f>
        <v/>
      </c>
      <c r="E530">
        <f>IFERROR(INDEX('1.산군_붙여넣기'!$A$1:$AZ$1001,ROW(),설정!$C$7)&amp;"","")</f>
        <v/>
      </c>
      <c r="F530">
        <f>IFERROR(INDEX('1.산군_붙여넣기'!$A$1:$AZ$1001,ROW(),설정!$C$8)&amp;"","")</f>
        <v/>
      </c>
      <c r="G530">
        <f>IFERROR(INDEX('1.산군_붙여넣기'!$A$1:$AZ$1001,ROW(),설정!$C$9)&amp;"","")</f>
        <v/>
      </c>
      <c r="H530">
        <f>IFERROR(INDEX('1.산군_붙여넣기'!$A$1:$AZ$1001,ROW(),설정!$C$10)&amp;"","")</f>
        <v/>
      </c>
      <c r="I530">
        <f>IFERROR(INDEX('1.산군_붙여넣기'!$A$1:$AZ$1001,ROW(),설정!$C$11)&amp;"","")</f>
        <v/>
      </c>
      <c r="J530">
        <f>IFERROR(INDEX('1.산군_붙여넣기'!$A$1:$AZ$1001,ROW(),설정!$C$12)&amp;"","")</f>
        <v/>
      </c>
      <c r="K530">
        <f>IFERROR(INDEX('1.산군_붙여넣기'!$A$1:$AZ$1001,ROW(),설정!$C$13)&amp;"","")</f>
        <v/>
      </c>
      <c r="L530" s="6">
        <f>IF(X530="","",IF(AND(LEN(X530)=8,ISNUMBER(X530*1)),DATE(LEFT(X530,4),MID(X530,5,2),RIGHT(X530,2)),IFERROR(DATEVALUE(SUBSTITUTE(SUBSTITUTE(X530,".","-"),"/","-")),IFERROR(X530*1,""))))</f>
        <v/>
      </c>
      <c r="M530" s="6">
        <f>IF(Y530="","",IF(AND(LEN(Y530)=8,ISNUMBER(Y530*1)),DATE(LEFT(Y530,4),MID(Y530,5,2),RIGHT(Y530,2)),IFERROR(DATEVALUE(SUBSTITUTE(SUBSTITUTE(Y530,".","-"),"/","-")),IFERROR(Y530*1,""))))</f>
        <v/>
      </c>
      <c r="N530">
        <f>IFERROR(LEFT(B530,FIND(" ",B530)-1),B530)</f>
        <v/>
      </c>
      <c r="O530">
        <f>AND(B530&lt;&gt;"",B530&lt;&gt;설정!$B$4,C530&lt;&gt;설정!$B$5)</f>
        <v/>
      </c>
      <c r="P530">
        <f>IF(O530,B530&amp;"|"&amp;C530,"")</f>
        <v/>
      </c>
      <c r="Q530">
        <f>AND(O530,COUNTIF(P531:P$1002,P530)=0)</f>
        <v/>
      </c>
      <c r="R530">
        <f>OR(AND(설정!$A$28&lt;&gt;"",ISNUMBER(SEARCH(설정!$A$28,E530&amp;" "&amp;C530))),AND(설정!$A$29&lt;&gt;"",ISNUMBER(SEARCH(설정!$A$29,E530&amp;" "&amp;C530))),AND(설정!$A$30&lt;&gt;"",ISNUMBER(SEARCH(설정!$A$30,E530&amp;" "&amp;C530))),AND(설정!$A$31&lt;&gt;"",ISNUMBER(SEARCH(설정!$A$31,E530&amp;" "&amp;C530))),AND(설정!$A$32&lt;&gt;"",ISNUMBER(SEARCH(설정!$A$32,E530&amp;" "&amp;C530))),AND(설정!$A$33&lt;&gt;"",ISNUMBER(SEARCH(설정!$A$33,E530&amp;" "&amp;C530))),AND(설정!$A$34&lt;&gt;"",ISNUMBER(SEARCH(설정!$A$34,E530&amp;" "&amp;C530))),AND(설정!$A$35&lt;&gt;"",ISNUMBER(SEARCH(설정!$A$35,E530&amp;" "&amp;C530))),AND(설정!$A$36&lt;&gt;"",ISNUMBER(SEARCH(설정!$A$36,E530&amp;" "&amp;C530))),AND(설정!$A$37&lt;&gt;"",ISNUMBER(SEARCH(설정!$A$37,E530&amp;" "&amp;C530))))</f>
        <v/>
      </c>
      <c r="S530">
        <f>OR(D530="",D530&gt;=설정!$B$19)</f>
        <v/>
      </c>
      <c r="T530">
        <f>AND(Q530,R530,S530)</f>
        <v/>
      </c>
      <c r="U530">
        <f>IF(T530,IF(AND(설정!$A$41&lt;&gt;"",ISNUMBER(SEARCH(설정!$A$41,K530))),설정!$B$41,IF(AND(설정!$A$42&lt;&gt;"",ISNUMBER(SEARCH(설정!$A$42,K530))),설정!$B$42,IF(AND(설정!$A$43&lt;&gt;"",ISNUMBER(SEARCH(설정!$A$43,K530))),설정!$B$43,IF(AND(설정!$A$44&lt;&gt;"",ISNUMBER(SEARCH(설정!$A$44,K530))),설정!$B$44,IF(AND(설정!$A$45&lt;&gt;"",ISNUMBER(SEARCH(설정!$A$45,K530))),설정!$B$45,IF(AND(설정!$A$46&lt;&gt;"",ISNUMBER(SEARCH(설정!$A$46,K530))),설정!$B$46,IF(AND(설정!$A$47&lt;&gt;"",ISNUMBER(SEARCH(설정!$A$47,K530))),설정!$B$47,IF(AND(설정!$A$48&lt;&gt;"",ISNUMBER(SEARCH(설정!$A$48,K530))),설정!$B$48,IF(M530="","설계사","시공사"))))))))),"")</f>
        <v/>
      </c>
      <c r="V530">
        <f>SUBSTITUTE(SUBSTITUTE(SUBSTITUTE(SUBSTITUTE(G530,"(주)",""),"㈜",""),"주식회사","")," ","")</f>
        <v/>
      </c>
      <c r="W530">
        <f>IF(AND(T530,V530&lt;&gt;""),IF(COUNTIFS(V$2:V530,V530,T$2:T530,TRUE)=1,MAX(W$1:W529)+1,""),"")</f>
        <v/>
      </c>
      <c r="X530">
        <f>IFERROR(INDEX('1.산군_붙여넣기'!$A$1:$AZ$1001,ROW(),설정!$C$14)&amp;"","")</f>
        <v/>
      </c>
      <c r="Y530">
        <f>IFERROR(INDEX('1.산군_붙여넣기'!$A$1:$AZ$1001,ROW(),설정!$C$15)&amp;"","")</f>
        <v/>
      </c>
      <c r="Z530">
        <f>IF(T530,V530&amp;"|"&amp;U530,"")</f>
        <v/>
      </c>
    </row>
    <row r="531">
      <c r="A531">
        <f>ROW()</f>
        <v/>
      </c>
      <c r="B531">
        <f>IFERROR(INDEX('1.산군_붙여넣기'!$A$1:$AZ$1001,ROW(),설정!$C$4)&amp;"","")</f>
        <v/>
      </c>
      <c r="C531">
        <f>IFERROR(INDEX('1.산군_붙여넣기'!$A$1:$AZ$1001,ROW(),설정!$C$5)&amp;"","")</f>
        <v/>
      </c>
      <c r="D531" s="5">
        <f>IFERROR(VALUE(SUBSTITUTE(SUBSTITUTE(SUBSTITUTE(IFERROR(INDEX('1.산군_붙여넣기'!$A$1:$AZ$1001,ROW(),설정!$C$6)&amp;"",""),",",""),"㎡",""),"m2","")),"")</f>
        <v/>
      </c>
      <c r="E531">
        <f>IFERROR(INDEX('1.산군_붙여넣기'!$A$1:$AZ$1001,ROW(),설정!$C$7)&amp;"","")</f>
        <v/>
      </c>
      <c r="F531">
        <f>IFERROR(INDEX('1.산군_붙여넣기'!$A$1:$AZ$1001,ROW(),설정!$C$8)&amp;"","")</f>
        <v/>
      </c>
      <c r="G531">
        <f>IFERROR(INDEX('1.산군_붙여넣기'!$A$1:$AZ$1001,ROW(),설정!$C$9)&amp;"","")</f>
        <v/>
      </c>
      <c r="H531">
        <f>IFERROR(INDEX('1.산군_붙여넣기'!$A$1:$AZ$1001,ROW(),설정!$C$10)&amp;"","")</f>
        <v/>
      </c>
      <c r="I531">
        <f>IFERROR(INDEX('1.산군_붙여넣기'!$A$1:$AZ$1001,ROW(),설정!$C$11)&amp;"","")</f>
        <v/>
      </c>
      <c r="J531">
        <f>IFERROR(INDEX('1.산군_붙여넣기'!$A$1:$AZ$1001,ROW(),설정!$C$12)&amp;"","")</f>
        <v/>
      </c>
      <c r="K531">
        <f>IFERROR(INDEX('1.산군_붙여넣기'!$A$1:$AZ$1001,ROW(),설정!$C$13)&amp;"","")</f>
        <v/>
      </c>
      <c r="L531" s="6">
        <f>IF(X531="","",IF(AND(LEN(X531)=8,ISNUMBER(X531*1)),DATE(LEFT(X531,4),MID(X531,5,2),RIGHT(X531,2)),IFERROR(DATEVALUE(SUBSTITUTE(SUBSTITUTE(X531,".","-"),"/","-")),IFERROR(X531*1,""))))</f>
        <v/>
      </c>
      <c r="M531" s="6">
        <f>IF(Y531="","",IF(AND(LEN(Y531)=8,ISNUMBER(Y531*1)),DATE(LEFT(Y531,4),MID(Y531,5,2),RIGHT(Y531,2)),IFERROR(DATEVALUE(SUBSTITUTE(SUBSTITUTE(Y531,".","-"),"/","-")),IFERROR(Y531*1,""))))</f>
        <v/>
      </c>
      <c r="N531">
        <f>IFERROR(LEFT(B531,FIND(" ",B531)-1),B531)</f>
        <v/>
      </c>
      <c r="O531">
        <f>AND(B531&lt;&gt;"",B531&lt;&gt;설정!$B$4,C531&lt;&gt;설정!$B$5)</f>
        <v/>
      </c>
      <c r="P531">
        <f>IF(O531,B531&amp;"|"&amp;C531,"")</f>
        <v/>
      </c>
      <c r="Q531">
        <f>AND(O531,COUNTIF(P532:P$1002,P531)=0)</f>
        <v/>
      </c>
      <c r="R531">
        <f>OR(AND(설정!$A$28&lt;&gt;"",ISNUMBER(SEARCH(설정!$A$28,E531&amp;" "&amp;C531))),AND(설정!$A$29&lt;&gt;"",ISNUMBER(SEARCH(설정!$A$29,E531&amp;" "&amp;C531))),AND(설정!$A$30&lt;&gt;"",ISNUMBER(SEARCH(설정!$A$30,E531&amp;" "&amp;C531))),AND(설정!$A$31&lt;&gt;"",ISNUMBER(SEARCH(설정!$A$31,E531&amp;" "&amp;C531))),AND(설정!$A$32&lt;&gt;"",ISNUMBER(SEARCH(설정!$A$32,E531&amp;" "&amp;C531))),AND(설정!$A$33&lt;&gt;"",ISNUMBER(SEARCH(설정!$A$33,E531&amp;" "&amp;C531))),AND(설정!$A$34&lt;&gt;"",ISNUMBER(SEARCH(설정!$A$34,E531&amp;" "&amp;C531))),AND(설정!$A$35&lt;&gt;"",ISNUMBER(SEARCH(설정!$A$35,E531&amp;" "&amp;C531))),AND(설정!$A$36&lt;&gt;"",ISNUMBER(SEARCH(설정!$A$36,E531&amp;" "&amp;C531))),AND(설정!$A$37&lt;&gt;"",ISNUMBER(SEARCH(설정!$A$37,E531&amp;" "&amp;C531))))</f>
        <v/>
      </c>
      <c r="S531">
        <f>OR(D531="",D531&gt;=설정!$B$19)</f>
        <v/>
      </c>
      <c r="T531">
        <f>AND(Q531,R531,S531)</f>
        <v/>
      </c>
      <c r="U531">
        <f>IF(T531,IF(AND(설정!$A$41&lt;&gt;"",ISNUMBER(SEARCH(설정!$A$41,K531))),설정!$B$41,IF(AND(설정!$A$42&lt;&gt;"",ISNUMBER(SEARCH(설정!$A$42,K531))),설정!$B$42,IF(AND(설정!$A$43&lt;&gt;"",ISNUMBER(SEARCH(설정!$A$43,K531))),설정!$B$43,IF(AND(설정!$A$44&lt;&gt;"",ISNUMBER(SEARCH(설정!$A$44,K531))),설정!$B$44,IF(AND(설정!$A$45&lt;&gt;"",ISNUMBER(SEARCH(설정!$A$45,K531))),설정!$B$45,IF(AND(설정!$A$46&lt;&gt;"",ISNUMBER(SEARCH(설정!$A$46,K531))),설정!$B$46,IF(AND(설정!$A$47&lt;&gt;"",ISNUMBER(SEARCH(설정!$A$47,K531))),설정!$B$47,IF(AND(설정!$A$48&lt;&gt;"",ISNUMBER(SEARCH(설정!$A$48,K531))),설정!$B$48,IF(M531="","설계사","시공사"))))))))),"")</f>
        <v/>
      </c>
      <c r="V531">
        <f>SUBSTITUTE(SUBSTITUTE(SUBSTITUTE(SUBSTITUTE(G531,"(주)",""),"㈜",""),"주식회사","")," ","")</f>
        <v/>
      </c>
      <c r="W531">
        <f>IF(AND(T531,V531&lt;&gt;""),IF(COUNTIFS(V$2:V531,V531,T$2:T531,TRUE)=1,MAX(W$1:W530)+1,""),"")</f>
        <v/>
      </c>
      <c r="X531">
        <f>IFERROR(INDEX('1.산군_붙여넣기'!$A$1:$AZ$1001,ROW(),설정!$C$14)&amp;"","")</f>
        <v/>
      </c>
      <c r="Y531">
        <f>IFERROR(INDEX('1.산군_붙여넣기'!$A$1:$AZ$1001,ROW(),설정!$C$15)&amp;"","")</f>
        <v/>
      </c>
      <c r="Z531">
        <f>IF(T531,V531&amp;"|"&amp;U531,"")</f>
        <v/>
      </c>
    </row>
    <row r="532">
      <c r="A532">
        <f>ROW()</f>
        <v/>
      </c>
      <c r="B532">
        <f>IFERROR(INDEX('1.산군_붙여넣기'!$A$1:$AZ$1001,ROW(),설정!$C$4)&amp;"","")</f>
        <v/>
      </c>
      <c r="C532">
        <f>IFERROR(INDEX('1.산군_붙여넣기'!$A$1:$AZ$1001,ROW(),설정!$C$5)&amp;"","")</f>
        <v/>
      </c>
      <c r="D532" s="5">
        <f>IFERROR(VALUE(SUBSTITUTE(SUBSTITUTE(SUBSTITUTE(IFERROR(INDEX('1.산군_붙여넣기'!$A$1:$AZ$1001,ROW(),설정!$C$6)&amp;"",""),",",""),"㎡",""),"m2","")),"")</f>
        <v/>
      </c>
      <c r="E532">
        <f>IFERROR(INDEX('1.산군_붙여넣기'!$A$1:$AZ$1001,ROW(),설정!$C$7)&amp;"","")</f>
        <v/>
      </c>
      <c r="F532">
        <f>IFERROR(INDEX('1.산군_붙여넣기'!$A$1:$AZ$1001,ROW(),설정!$C$8)&amp;"","")</f>
        <v/>
      </c>
      <c r="G532">
        <f>IFERROR(INDEX('1.산군_붙여넣기'!$A$1:$AZ$1001,ROW(),설정!$C$9)&amp;"","")</f>
        <v/>
      </c>
      <c r="H532">
        <f>IFERROR(INDEX('1.산군_붙여넣기'!$A$1:$AZ$1001,ROW(),설정!$C$10)&amp;"","")</f>
        <v/>
      </c>
      <c r="I532">
        <f>IFERROR(INDEX('1.산군_붙여넣기'!$A$1:$AZ$1001,ROW(),설정!$C$11)&amp;"","")</f>
        <v/>
      </c>
      <c r="J532">
        <f>IFERROR(INDEX('1.산군_붙여넣기'!$A$1:$AZ$1001,ROW(),설정!$C$12)&amp;"","")</f>
        <v/>
      </c>
      <c r="K532">
        <f>IFERROR(INDEX('1.산군_붙여넣기'!$A$1:$AZ$1001,ROW(),설정!$C$13)&amp;"","")</f>
        <v/>
      </c>
      <c r="L532" s="6">
        <f>IF(X532="","",IF(AND(LEN(X532)=8,ISNUMBER(X532*1)),DATE(LEFT(X532,4),MID(X532,5,2),RIGHT(X532,2)),IFERROR(DATEVALUE(SUBSTITUTE(SUBSTITUTE(X532,".","-"),"/","-")),IFERROR(X532*1,""))))</f>
        <v/>
      </c>
      <c r="M532" s="6">
        <f>IF(Y532="","",IF(AND(LEN(Y532)=8,ISNUMBER(Y532*1)),DATE(LEFT(Y532,4),MID(Y532,5,2),RIGHT(Y532,2)),IFERROR(DATEVALUE(SUBSTITUTE(SUBSTITUTE(Y532,".","-"),"/","-")),IFERROR(Y532*1,""))))</f>
        <v/>
      </c>
      <c r="N532">
        <f>IFERROR(LEFT(B532,FIND(" ",B532)-1),B532)</f>
        <v/>
      </c>
      <c r="O532">
        <f>AND(B532&lt;&gt;"",B532&lt;&gt;설정!$B$4,C532&lt;&gt;설정!$B$5)</f>
        <v/>
      </c>
      <c r="P532">
        <f>IF(O532,B532&amp;"|"&amp;C532,"")</f>
        <v/>
      </c>
      <c r="Q532">
        <f>AND(O532,COUNTIF(P533:P$1002,P532)=0)</f>
        <v/>
      </c>
      <c r="R532">
        <f>OR(AND(설정!$A$28&lt;&gt;"",ISNUMBER(SEARCH(설정!$A$28,E532&amp;" "&amp;C532))),AND(설정!$A$29&lt;&gt;"",ISNUMBER(SEARCH(설정!$A$29,E532&amp;" "&amp;C532))),AND(설정!$A$30&lt;&gt;"",ISNUMBER(SEARCH(설정!$A$30,E532&amp;" "&amp;C532))),AND(설정!$A$31&lt;&gt;"",ISNUMBER(SEARCH(설정!$A$31,E532&amp;" "&amp;C532))),AND(설정!$A$32&lt;&gt;"",ISNUMBER(SEARCH(설정!$A$32,E532&amp;" "&amp;C532))),AND(설정!$A$33&lt;&gt;"",ISNUMBER(SEARCH(설정!$A$33,E532&amp;" "&amp;C532))),AND(설정!$A$34&lt;&gt;"",ISNUMBER(SEARCH(설정!$A$34,E532&amp;" "&amp;C532))),AND(설정!$A$35&lt;&gt;"",ISNUMBER(SEARCH(설정!$A$35,E532&amp;" "&amp;C532))),AND(설정!$A$36&lt;&gt;"",ISNUMBER(SEARCH(설정!$A$36,E532&amp;" "&amp;C532))),AND(설정!$A$37&lt;&gt;"",ISNUMBER(SEARCH(설정!$A$37,E532&amp;" "&amp;C532))))</f>
        <v/>
      </c>
      <c r="S532">
        <f>OR(D532="",D532&gt;=설정!$B$19)</f>
        <v/>
      </c>
      <c r="T532">
        <f>AND(Q532,R532,S532)</f>
        <v/>
      </c>
      <c r="U532">
        <f>IF(T532,IF(AND(설정!$A$41&lt;&gt;"",ISNUMBER(SEARCH(설정!$A$41,K532))),설정!$B$41,IF(AND(설정!$A$42&lt;&gt;"",ISNUMBER(SEARCH(설정!$A$42,K532))),설정!$B$42,IF(AND(설정!$A$43&lt;&gt;"",ISNUMBER(SEARCH(설정!$A$43,K532))),설정!$B$43,IF(AND(설정!$A$44&lt;&gt;"",ISNUMBER(SEARCH(설정!$A$44,K532))),설정!$B$44,IF(AND(설정!$A$45&lt;&gt;"",ISNUMBER(SEARCH(설정!$A$45,K532))),설정!$B$45,IF(AND(설정!$A$46&lt;&gt;"",ISNUMBER(SEARCH(설정!$A$46,K532))),설정!$B$46,IF(AND(설정!$A$47&lt;&gt;"",ISNUMBER(SEARCH(설정!$A$47,K532))),설정!$B$47,IF(AND(설정!$A$48&lt;&gt;"",ISNUMBER(SEARCH(설정!$A$48,K532))),설정!$B$48,IF(M532="","설계사","시공사"))))))))),"")</f>
        <v/>
      </c>
      <c r="V532">
        <f>SUBSTITUTE(SUBSTITUTE(SUBSTITUTE(SUBSTITUTE(G532,"(주)",""),"㈜",""),"주식회사","")," ","")</f>
        <v/>
      </c>
      <c r="W532">
        <f>IF(AND(T532,V532&lt;&gt;""),IF(COUNTIFS(V$2:V532,V532,T$2:T532,TRUE)=1,MAX(W$1:W531)+1,""),"")</f>
        <v/>
      </c>
      <c r="X532">
        <f>IFERROR(INDEX('1.산군_붙여넣기'!$A$1:$AZ$1001,ROW(),설정!$C$14)&amp;"","")</f>
        <v/>
      </c>
      <c r="Y532">
        <f>IFERROR(INDEX('1.산군_붙여넣기'!$A$1:$AZ$1001,ROW(),설정!$C$15)&amp;"","")</f>
        <v/>
      </c>
      <c r="Z532">
        <f>IF(T532,V532&amp;"|"&amp;U532,"")</f>
        <v/>
      </c>
    </row>
    <row r="533">
      <c r="A533">
        <f>ROW()</f>
        <v/>
      </c>
      <c r="B533">
        <f>IFERROR(INDEX('1.산군_붙여넣기'!$A$1:$AZ$1001,ROW(),설정!$C$4)&amp;"","")</f>
        <v/>
      </c>
      <c r="C533">
        <f>IFERROR(INDEX('1.산군_붙여넣기'!$A$1:$AZ$1001,ROW(),설정!$C$5)&amp;"","")</f>
        <v/>
      </c>
      <c r="D533" s="5">
        <f>IFERROR(VALUE(SUBSTITUTE(SUBSTITUTE(SUBSTITUTE(IFERROR(INDEX('1.산군_붙여넣기'!$A$1:$AZ$1001,ROW(),설정!$C$6)&amp;"",""),",",""),"㎡",""),"m2","")),"")</f>
        <v/>
      </c>
      <c r="E533">
        <f>IFERROR(INDEX('1.산군_붙여넣기'!$A$1:$AZ$1001,ROW(),설정!$C$7)&amp;"","")</f>
        <v/>
      </c>
      <c r="F533">
        <f>IFERROR(INDEX('1.산군_붙여넣기'!$A$1:$AZ$1001,ROW(),설정!$C$8)&amp;"","")</f>
        <v/>
      </c>
      <c r="G533">
        <f>IFERROR(INDEX('1.산군_붙여넣기'!$A$1:$AZ$1001,ROW(),설정!$C$9)&amp;"","")</f>
        <v/>
      </c>
      <c r="H533">
        <f>IFERROR(INDEX('1.산군_붙여넣기'!$A$1:$AZ$1001,ROW(),설정!$C$10)&amp;"","")</f>
        <v/>
      </c>
      <c r="I533">
        <f>IFERROR(INDEX('1.산군_붙여넣기'!$A$1:$AZ$1001,ROW(),설정!$C$11)&amp;"","")</f>
        <v/>
      </c>
      <c r="J533">
        <f>IFERROR(INDEX('1.산군_붙여넣기'!$A$1:$AZ$1001,ROW(),설정!$C$12)&amp;"","")</f>
        <v/>
      </c>
      <c r="K533">
        <f>IFERROR(INDEX('1.산군_붙여넣기'!$A$1:$AZ$1001,ROW(),설정!$C$13)&amp;"","")</f>
        <v/>
      </c>
      <c r="L533" s="6">
        <f>IF(X533="","",IF(AND(LEN(X533)=8,ISNUMBER(X533*1)),DATE(LEFT(X533,4),MID(X533,5,2),RIGHT(X533,2)),IFERROR(DATEVALUE(SUBSTITUTE(SUBSTITUTE(X533,".","-"),"/","-")),IFERROR(X533*1,""))))</f>
        <v/>
      </c>
      <c r="M533" s="6">
        <f>IF(Y533="","",IF(AND(LEN(Y533)=8,ISNUMBER(Y533*1)),DATE(LEFT(Y533,4),MID(Y533,5,2),RIGHT(Y533,2)),IFERROR(DATEVALUE(SUBSTITUTE(SUBSTITUTE(Y533,".","-"),"/","-")),IFERROR(Y533*1,""))))</f>
        <v/>
      </c>
      <c r="N533">
        <f>IFERROR(LEFT(B533,FIND(" ",B533)-1),B533)</f>
        <v/>
      </c>
      <c r="O533">
        <f>AND(B533&lt;&gt;"",B533&lt;&gt;설정!$B$4,C533&lt;&gt;설정!$B$5)</f>
        <v/>
      </c>
      <c r="P533">
        <f>IF(O533,B533&amp;"|"&amp;C533,"")</f>
        <v/>
      </c>
      <c r="Q533">
        <f>AND(O533,COUNTIF(P534:P$1002,P533)=0)</f>
        <v/>
      </c>
      <c r="R533">
        <f>OR(AND(설정!$A$28&lt;&gt;"",ISNUMBER(SEARCH(설정!$A$28,E533&amp;" "&amp;C533))),AND(설정!$A$29&lt;&gt;"",ISNUMBER(SEARCH(설정!$A$29,E533&amp;" "&amp;C533))),AND(설정!$A$30&lt;&gt;"",ISNUMBER(SEARCH(설정!$A$30,E533&amp;" "&amp;C533))),AND(설정!$A$31&lt;&gt;"",ISNUMBER(SEARCH(설정!$A$31,E533&amp;" "&amp;C533))),AND(설정!$A$32&lt;&gt;"",ISNUMBER(SEARCH(설정!$A$32,E533&amp;" "&amp;C533))),AND(설정!$A$33&lt;&gt;"",ISNUMBER(SEARCH(설정!$A$33,E533&amp;" "&amp;C533))),AND(설정!$A$34&lt;&gt;"",ISNUMBER(SEARCH(설정!$A$34,E533&amp;" "&amp;C533))),AND(설정!$A$35&lt;&gt;"",ISNUMBER(SEARCH(설정!$A$35,E533&amp;" "&amp;C533))),AND(설정!$A$36&lt;&gt;"",ISNUMBER(SEARCH(설정!$A$36,E533&amp;" "&amp;C533))),AND(설정!$A$37&lt;&gt;"",ISNUMBER(SEARCH(설정!$A$37,E533&amp;" "&amp;C533))))</f>
        <v/>
      </c>
      <c r="S533">
        <f>OR(D533="",D533&gt;=설정!$B$19)</f>
        <v/>
      </c>
      <c r="T533">
        <f>AND(Q533,R533,S533)</f>
        <v/>
      </c>
      <c r="U533">
        <f>IF(T533,IF(AND(설정!$A$41&lt;&gt;"",ISNUMBER(SEARCH(설정!$A$41,K533))),설정!$B$41,IF(AND(설정!$A$42&lt;&gt;"",ISNUMBER(SEARCH(설정!$A$42,K533))),설정!$B$42,IF(AND(설정!$A$43&lt;&gt;"",ISNUMBER(SEARCH(설정!$A$43,K533))),설정!$B$43,IF(AND(설정!$A$44&lt;&gt;"",ISNUMBER(SEARCH(설정!$A$44,K533))),설정!$B$44,IF(AND(설정!$A$45&lt;&gt;"",ISNUMBER(SEARCH(설정!$A$45,K533))),설정!$B$45,IF(AND(설정!$A$46&lt;&gt;"",ISNUMBER(SEARCH(설정!$A$46,K533))),설정!$B$46,IF(AND(설정!$A$47&lt;&gt;"",ISNUMBER(SEARCH(설정!$A$47,K533))),설정!$B$47,IF(AND(설정!$A$48&lt;&gt;"",ISNUMBER(SEARCH(설정!$A$48,K533))),설정!$B$48,IF(M533="","설계사","시공사"))))))))),"")</f>
        <v/>
      </c>
      <c r="V533">
        <f>SUBSTITUTE(SUBSTITUTE(SUBSTITUTE(SUBSTITUTE(G533,"(주)",""),"㈜",""),"주식회사","")," ","")</f>
        <v/>
      </c>
      <c r="W533">
        <f>IF(AND(T533,V533&lt;&gt;""),IF(COUNTIFS(V$2:V533,V533,T$2:T533,TRUE)=1,MAX(W$1:W532)+1,""),"")</f>
        <v/>
      </c>
      <c r="X533">
        <f>IFERROR(INDEX('1.산군_붙여넣기'!$A$1:$AZ$1001,ROW(),설정!$C$14)&amp;"","")</f>
        <v/>
      </c>
      <c r="Y533">
        <f>IFERROR(INDEX('1.산군_붙여넣기'!$A$1:$AZ$1001,ROW(),설정!$C$15)&amp;"","")</f>
        <v/>
      </c>
      <c r="Z533">
        <f>IF(T533,V533&amp;"|"&amp;U533,"")</f>
        <v/>
      </c>
    </row>
    <row r="534">
      <c r="A534">
        <f>ROW()</f>
        <v/>
      </c>
      <c r="B534">
        <f>IFERROR(INDEX('1.산군_붙여넣기'!$A$1:$AZ$1001,ROW(),설정!$C$4)&amp;"","")</f>
        <v/>
      </c>
      <c r="C534">
        <f>IFERROR(INDEX('1.산군_붙여넣기'!$A$1:$AZ$1001,ROW(),설정!$C$5)&amp;"","")</f>
        <v/>
      </c>
      <c r="D534" s="5">
        <f>IFERROR(VALUE(SUBSTITUTE(SUBSTITUTE(SUBSTITUTE(IFERROR(INDEX('1.산군_붙여넣기'!$A$1:$AZ$1001,ROW(),설정!$C$6)&amp;"",""),",",""),"㎡",""),"m2","")),"")</f>
        <v/>
      </c>
      <c r="E534">
        <f>IFERROR(INDEX('1.산군_붙여넣기'!$A$1:$AZ$1001,ROW(),설정!$C$7)&amp;"","")</f>
        <v/>
      </c>
      <c r="F534">
        <f>IFERROR(INDEX('1.산군_붙여넣기'!$A$1:$AZ$1001,ROW(),설정!$C$8)&amp;"","")</f>
        <v/>
      </c>
      <c r="G534">
        <f>IFERROR(INDEX('1.산군_붙여넣기'!$A$1:$AZ$1001,ROW(),설정!$C$9)&amp;"","")</f>
        <v/>
      </c>
      <c r="H534">
        <f>IFERROR(INDEX('1.산군_붙여넣기'!$A$1:$AZ$1001,ROW(),설정!$C$10)&amp;"","")</f>
        <v/>
      </c>
      <c r="I534">
        <f>IFERROR(INDEX('1.산군_붙여넣기'!$A$1:$AZ$1001,ROW(),설정!$C$11)&amp;"","")</f>
        <v/>
      </c>
      <c r="J534">
        <f>IFERROR(INDEX('1.산군_붙여넣기'!$A$1:$AZ$1001,ROW(),설정!$C$12)&amp;"","")</f>
        <v/>
      </c>
      <c r="K534">
        <f>IFERROR(INDEX('1.산군_붙여넣기'!$A$1:$AZ$1001,ROW(),설정!$C$13)&amp;"","")</f>
        <v/>
      </c>
      <c r="L534" s="6">
        <f>IF(X534="","",IF(AND(LEN(X534)=8,ISNUMBER(X534*1)),DATE(LEFT(X534,4),MID(X534,5,2),RIGHT(X534,2)),IFERROR(DATEVALUE(SUBSTITUTE(SUBSTITUTE(X534,".","-"),"/","-")),IFERROR(X534*1,""))))</f>
        <v/>
      </c>
      <c r="M534" s="6">
        <f>IF(Y534="","",IF(AND(LEN(Y534)=8,ISNUMBER(Y534*1)),DATE(LEFT(Y534,4),MID(Y534,5,2),RIGHT(Y534,2)),IFERROR(DATEVALUE(SUBSTITUTE(SUBSTITUTE(Y534,".","-"),"/","-")),IFERROR(Y534*1,""))))</f>
        <v/>
      </c>
      <c r="N534">
        <f>IFERROR(LEFT(B534,FIND(" ",B534)-1),B534)</f>
        <v/>
      </c>
      <c r="O534">
        <f>AND(B534&lt;&gt;"",B534&lt;&gt;설정!$B$4,C534&lt;&gt;설정!$B$5)</f>
        <v/>
      </c>
      <c r="P534">
        <f>IF(O534,B534&amp;"|"&amp;C534,"")</f>
        <v/>
      </c>
      <c r="Q534">
        <f>AND(O534,COUNTIF(P535:P$1002,P534)=0)</f>
        <v/>
      </c>
      <c r="R534">
        <f>OR(AND(설정!$A$28&lt;&gt;"",ISNUMBER(SEARCH(설정!$A$28,E534&amp;" "&amp;C534))),AND(설정!$A$29&lt;&gt;"",ISNUMBER(SEARCH(설정!$A$29,E534&amp;" "&amp;C534))),AND(설정!$A$30&lt;&gt;"",ISNUMBER(SEARCH(설정!$A$30,E534&amp;" "&amp;C534))),AND(설정!$A$31&lt;&gt;"",ISNUMBER(SEARCH(설정!$A$31,E534&amp;" "&amp;C534))),AND(설정!$A$32&lt;&gt;"",ISNUMBER(SEARCH(설정!$A$32,E534&amp;" "&amp;C534))),AND(설정!$A$33&lt;&gt;"",ISNUMBER(SEARCH(설정!$A$33,E534&amp;" "&amp;C534))),AND(설정!$A$34&lt;&gt;"",ISNUMBER(SEARCH(설정!$A$34,E534&amp;" "&amp;C534))),AND(설정!$A$35&lt;&gt;"",ISNUMBER(SEARCH(설정!$A$35,E534&amp;" "&amp;C534))),AND(설정!$A$36&lt;&gt;"",ISNUMBER(SEARCH(설정!$A$36,E534&amp;" "&amp;C534))),AND(설정!$A$37&lt;&gt;"",ISNUMBER(SEARCH(설정!$A$37,E534&amp;" "&amp;C534))))</f>
        <v/>
      </c>
      <c r="S534">
        <f>OR(D534="",D534&gt;=설정!$B$19)</f>
        <v/>
      </c>
      <c r="T534">
        <f>AND(Q534,R534,S534)</f>
        <v/>
      </c>
      <c r="U534">
        <f>IF(T534,IF(AND(설정!$A$41&lt;&gt;"",ISNUMBER(SEARCH(설정!$A$41,K534))),설정!$B$41,IF(AND(설정!$A$42&lt;&gt;"",ISNUMBER(SEARCH(설정!$A$42,K534))),설정!$B$42,IF(AND(설정!$A$43&lt;&gt;"",ISNUMBER(SEARCH(설정!$A$43,K534))),설정!$B$43,IF(AND(설정!$A$44&lt;&gt;"",ISNUMBER(SEARCH(설정!$A$44,K534))),설정!$B$44,IF(AND(설정!$A$45&lt;&gt;"",ISNUMBER(SEARCH(설정!$A$45,K534))),설정!$B$45,IF(AND(설정!$A$46&lt;&gt;"",ISNUMBER(SEARCH(설정!$A$46,K534))),설정!$B$46,IF(AND(설정!$A$47&lt;&gt;"",ISNUMBER(SEARCH(설정!$A$47,K534))),설정!$B$47,IF(AND(설정!$A$48&lt;&gt;"",ISNUMBER(SEARCH(설정!$A$48,K534))),설정!$B$48,IF(M534="","설계사","시공사"))))))))),"")</f>
        <v/>
      </c>
      <c r="V534">
        <f>SUBSTITUTE(SUBSTITUTE(SUBSTITUTE(SUBSTITUTE(G534,"(주)",""),"㈜",""),"주식회사","")," ","")</f>
        <v/>
      </c>
      <c r="W534">
        <f>IF(AND(T534,V534&lt;&gt;""),IF(COUNTIFS(V$2:V534,V534,T$2:T534,TRUE)=1,MAX(W$1:W533)+1,""),"")</f>
        <v/>
      </c>
      <c r="X534">
        <f>IFERROR(INDEX('1.산군_붙여넣기'!$A$1:$AZ$1001,ROW(),설정!$C$14)&amp;"","")</f>
        <v/>
      </c>
      <c r="Y534">
        <f>IFERROR(INDEX('1.산군_붙여넣기'!$A$1:$AZ$1001,ROW(),설정!$C$15)&amp;"","")</f>
        <v/>
      </c>
      <c r="Z534">
        <f>IF(T534,V534&amp;"|"&amp;U534,"")</f>
        <v/>
      </c>
    </row>
    <row r="535">
      <c r="A535">
        <f>ROW()</f>
        <v/>
      </c>
      <c r="B535">
        <f>IFERROR(INDEX('1.산군_붙여넣기'!$A$1:$AZ$1001,ROW(),설정!$C$4)&amp;"","")</f>
        <v/>
      </c>
      <c r="C535">
        <f>IFERROR(INDEX('1.산군_붙여넣기'!$A$1:$AZ$1001,ROW(),설정!$C$5)&amp;"","")</f>
        <v/>
      </c>
      <c r="D535" s="5">
        <f>IFERROR(VALUE(SUBSTITUTE(SUBSTITUTE(SUBSTITUTE(IFERROR(INDEX('1.산군_붙여넣기'!$A$1:$AZ$1001,ROW(),설정!$C$6)&amp;"",""),",",""),"㎡",""),"m2","")),"")</f>
        <v/>
      </c>
      <c r="E535">
        <f>IFERROR(INDEX('1.산군_붙여넣기'!$A$1:$AZ$1001,ROW(),설정!$C$7)&amp;"","")</f>
        <v/>
      </c>
      <c r="F535">
        <f>IFERROR(INDEX('1.산군_붙여넣기'!$A$1:$AZ$1001,ROW(),설정!$C$8)&amp;"","")</f>
        <v/>
      </c>
      <c r="G535">
        <f>IFERROR(INDEX('1.산군_붙여넣기'!$A$1:$AZ$1001,ROW(),설정!$C$9)&amp;"","")</f>
        <v/>
      </c>
      <c r="H535">
        <f>IFERROR(INDEX('1.산군_붙여넣기'!$A$1:$AZ$1001,ROW(),설정!$C$10)&amp;"","")</f>
        <v/>
      </c>
      <c r="I535">
        <f>IFERROR(INDEX('1.산군_붙여넣기'!$A$1:$AZ$1001,ROW(),설정!$C$11)&amp;"","")</f>
        <v/>
      </c>
      <c r="J535">
        <f>IFERROR(INDEX('1.산군_붙여넣기'!$A$1:$AZ$1001,ROW(),설정!$C$12)&amp;"","")</f>
        <v/>
      </c>
      <c r="K535">
        <f>IFERROR(INDEX('1.산군_붙여넣기'!$A$1:$AZ$1001,ROW(),설정!$C$13)&amp;"","")</f>
        <v/>
      </c>
      <c r="L535" s="6">
        <f>IF(X535="","",IF(AND(LEN(X535)=8,ISNUMBER(X535*1)),DATE(LEFT(X535,4),MID(X535,5,2),RIGHT(X535,2)),IFERROR(DATEVALUE(SUBSTITUTE(SUBSTITUTE(X535,".","-"),"/","-")),IFERROR(X535*1,""))))</f>
        <v/>
      </c>
      <c r="M535" s="6">
        <f>IF(Y535="","",IF(AND(LEN(Y535)=8,ISNUMBER(Y535*1)),DATE(LEFT(Y535,4),MID(Y535,5,2),RIGHT(Y535,2)),IFERROR(DATEVALUE(SUBSTITUTE(SUBSTITUTE(Y535,".","-"),"/","-")),IFERROR(Y535*1,""))))</f>
        <v/>
      </c>
      <c r="N535">
        <f>IFERROR(LEFT(B535,FIND(" ",B535)-1),B535)</f>
        <v/>
      </c>
      <c r="O535">
        <f>AND(B535&lt;&gt;"",B535&lt;&gt;설정!$B$4,C535&lt;&gt;설정!$B$5)</f>
        <v/>
      </c>
      <c r="P535">
        <f>IF(O535,B535&amp;"|"&amp;C535,"")</f>
        <v/>
      </c>
      <c r="Q535">
        <f>AND(O535,COUNTIF(P536:P$1002,P535)=0)</f>
        <v/>
      </c>
      <c r="R535">
        <f>OR(AND(설정!$A$28&lt;&gt;"",ISNUMBER(SEARCH(설정!$A$28,E535&amp;" "&amp;C535))),AND(설정!$A$29&lt;&gt;"",ISNUMBER(SEARCH(설정!$A$29,E535&amp;" "&amp;C535))),AND(설정!$A$30&lt;&gt;"",ISNUMBER(SEARCH(설정!$A$30,E535&amp;" "&amp;C535))),AND(설정!$A$31&lt;&gt;"",ISNUMBER(SEARCH(설정!$A$31,E535&amp;" "&amp;C535))),AND(설정!$A$32&lt;&gt;"",ISNUMBER(SEARCH(설정!$A$32,E535&amp;" "&amp;C535))),AND(설정!$A$33&lt;&gt;"",ISNUMBER(SEARCH(설정!$A$33,E535&amp;" "&amp;C535))),AND(설정!$A$34&lt;&gt;"",ISNUMBER(SEARCH(설정!$A$34,E535&amp;" "&amp;C535))),AND(설정!$A$35&lt;&gt;"",ISNUMBER(SEARCH(설정!$A$35,E535&amp;" "&amp;C535))),AND(설정!$A$36&lt;&gt;"",ISNUMBER(SEARCH(설정!$A$36,E535&amp;" "&amp;C535))),AND(설정!$A$37&lt;&gt;"",ISNUMBER(SEARCH(설정!$A$37,E535&amp;" "&amp;C535))))</f>
        <v/>
      </c>
      <c r="S535">
        <f>OR(D535="",D535&gt;=설정!$B$19)</f>
        <v/>
      </c>
      <c r="T535">
        <f>AND(Q535,R535,S535)</f>
        <v/>
      </c>
      <c r="U535">
        <f>IF(T535,IF(AND(설정!$A$41&lt;&gt;"",ISNUMBER(SEARCH(설정!$A$41,K535))),설정!$B$41,IF(AND(설정!$A$42&lt;&gt;"",ISNUMBER(SEARCH(설정!$A$42,K535))),설정!$B$42,IF(AND(설정!$A$43&lt;&gt;"",ISNUMBER(SEARCH(설정!$A$43,K535))),설정!$B$43,IF(AND(설정!$A$44&lt;&gt;"",ISNUMBER(SEARCH(설정!$A$44,K535))),설정!$B$44,IF(AND(설정!$A$45&lt;&gt;"",ISNUMBER(SEARCH(설정!$A$45,K535))),설정!$B$45,IF(AND(설정!$A$46&lt;&gt;"",ISNUMBER(SEARCH(설정!$A$46,K535))),설정!$B$46,IF(AND(설정!$A$47&lt;&gt;"",ISNUMBER(SEARCH(설정!$A$47,K535))),설정!$B$47,IF(AND(설정!$A$48&lt;&gt;"",ISNUMBER(SEARCH(설정!$A$48,K535))),설정!$B$48,IF(M535="","설계사","시공사"))))))))),"")</f>
        <v/>
      </c>
      <c r="V535">
        <f>SUBSTITUTE(SUBSTITUTE(SUBSTITUTE(SUBSTITUTE(G535,"(주)",""),"㈜",""),"주식회사","")," ","")</f>
        <v/>
      </c>
      <c r="W535">
        <f>IF(AND(T535,V535&lt;&gt;""),IF(COUNTIFS(V$2:V535,V535,T$2:T535,TRUE)=1,MAX(W$1:W534)+1,""),"")</f>
        <v/>
      </c>
      <c r="X535">
        <f>IFERROR(INDEX('1.산군_붙여넣기'!$A$1:$AZ$1001,ROW(),설정!$C$14)&amp;"","")</f>
        <v/>
      </c>
      <c r="Y535">
        <f>IFERROR(INDEX('1.산군_붙여넣기'!$A$1:$AZ$1001,ROW(),설정!$C$15)&amp;"","")</f>
        <v/>
      </c>
      <c r="Z535">
        <f>IF(T535,V535&amp;"|"&amp;U535,"")</f>
        <v/>
      </c>
    </row>
    <row r="536">
      <c r="A536">
        <f>ROW()</f>
        <v/>
      </c>
      <c r="B536">
        <f>IFERROR(INDEX('1.산군_붙여넣기'!$A$1:$AZ$1001,ROW(),설정!$C$4)&amp;"","")</f>
        <v/>
      </c>
      <c r="C536">
        <f>IFERROR(INDEX('1.산군_붙여넣기'!$A$1:$AZ$1001,ROW(),설정!$C$5)&amp;"","")</f>
        <v/>
      </c>
      <c r="D536" s="5">
        <f>IFERROR(VALUE(SUBSTITUTE(SUBSTITUTE(SUBSTITUTE(IFERROR(INDEX('1.산군_붙여넣기'!$A$1:$AZ$1001,ROW(),설정!$C$6)&amp;"",""),",",""),"㎡",""),"m2","")),"")</f>
        <v/>
      </c>
      <c r="E536">
        <f>IFERROR(INDEX('1.산군_붙여넣기'!$A$1:$AZ$1001,ROW(),설정!$C$7)&amp;"","")</f>
        <v/>
      </c>
      <c r="F536">
        <f>IFERROR(INDEX('1.산군_붙여넣기'!$A$1:$AZ$1001,ROW(),설정!$C$8)&amp;"","")</f>
        <v/>
      </c>
      <c r="G536">
        <f>IFERROR(INDEX('1.산군_붙여넣기'!$A$1:$AZ$1001,ROW(),설정!$C$9)&amp;"","")</f>
        <v/>
      </c>
      <c r="H536">
        <f>IFERROR(INDEX('1.산군_붙여넣기'!$A$1:$AZ$1001,ROW(),설정!$C$10)&amp;"","")</f>
        <v/>
      </c>
      <c r="I536">
        <f>IFERROR(INDEX('1.산군_붙여넣기'!$A$1:$AZ$1001,ROW(),설정!$C$11)&amp;"","")</f>
        <v/>
      </c>
      <c r="J536">
        <f>IFERROR(INDEX('1.산군_붙여넣기'!$A$1:$AZ$1001,ROW(),설정!$C$12)&amp;"","")</f>
        <v/>
      </c>
      <c r="K536">
        <f>IFERROR(INDEX('1.산군_붙여넣기'!$A$1:$AZ$1001,ROW(),설정!$C$13)&amp;"","")</f>
        <v/>
      </c>
      <c r="L536" s="6">
        <f>IF(X536="","",IF(AND(LEN(X536)=8,ISNUMBER(X536*1)),DATE(LEFT(X536,4),MID(X536,5,2),RIGHT(X536,2)),IFERROR(DATEVALUE(SUBSTITUTE(SUBSTITUTE(X536,".","-"),"/","-")),IFERROR(X536*1,""))))</f>
        <v/>
      </c>
      <c r="M536" s="6">
        <f>IF(Y536="","",IF(AND(LEN(Y536)=8,ISNUMBER(Y536*1)),DATE(LEFT(Y536,4),MID(Y536,5,2),RIGHT(Y536,2)),IFERROR(DATEVALUE(SUBSTITUTE(SUBSTITUTE(Y536,".","-"),"/","-")),IFERROR(Y536*1,""))))</f>
        <v/>
      </c>
      <c r="N536">
        <f>IFERROR(LEFT(B536,FIND(" ",B536)-1),B536)</f>
        <v/>
      </c>
      <c r="O536">
        <f>AND(B536&lt;&gt;"",B536&lt;&gt;설정!$B$4,C536&lt;&gt;설정!$B$5)</f>
        <v/>
      </c>
      <c r="P536">
        <f>IF(O536,B536&amp;"|"&amp;C536,"")</f>
        <v/>
      </c>
      <c r="Q536">
        <f>AND(O536,COUNTIF(P537:P$1002,P536)=0)</f>
        <v/>
      </c>
      <c r="R536">
        <f>OR(AND(설정!$A$28&lt;&gt;"",ISNUMBER(SEARCH(설정!$A$28,E536&amp;" "&amp;C536))),AND(설정!$A$29&lt;&gt;"",ISNUMBER(SEARCH(설정!$A$29,E536&amp;" "&amp;C536))),AND(설정!$A$30&lt;&gt;"",ISNUMBER(SEARCH(설정!$A$30,E536&amp;" "&amp;C536))),AND(설정!$A$31&lt;&gt;"",ISNUMBER(SEARCH(설정!$A$31,E536&amp;" "&amp;C536))),AND(설정!$A$32&lt;&gt;"",ISNUMBER(SEARCH(설정!$A$32,E536&amp;" "&amp;C536))),AND(설정!$A$33&lt;&gt;"",ISNUMBER(SEARCH(설정!$A$33,E536&amp;" "&amp;C536))),AND(설정!$A$34&lt;&gt;"",ISNUMBER(SEARCH(설정!$A$34,E536&amp;" "&amp;C536))),AND(설정!$A$35&lt;&gt;"",ISNUMBER(SEARCH(설정!$A$35,E536&amp;" "&amp;C536))),AND(설정!$A$36&lt;&gt;"",ISNUMBER(SEARCH(설정!$A$36,E536&amp;" "&amp;C536))),AND(설정!$A$37&lt;&gt;"",ISNUMBER(SEARCH(설정!$A$37,E536&amp;" "&amp;C536))))</f>
        <v/>
      </c>
      <c r="S536">
        <f>OR(D536="",D536&gt;=설정!$B$19)</f>
        <v/>
      </c>
      <c r="T536">
        <f>AND(Q536,R536,S536)</f>
        <v/>
      </c>
      <c r="U536">
        <f>IF(T536,IF(AND(설정!$A$41&lt;&gt;"",ISNUMBER(SEARCH(설정!$A$41,K536))),설정!$B$41,IF(AND(설정!$A$42&lt;&gt;"",ISNUMBER(SEARCH(설정!$A$42,K536))),설정!$B$42,IF(AND(설정!$A$43&lt;&gt;"",ISNUMBER(SEARCH(설정!$A$43,K536))),설정!$B$43,IF(AND(설정!$A$44&lt;&gt;"",ISNUMBER(SEARCH(설정!$A$44,K536))),설정!$B$44,IF(AND(설정!$A$45&lt;&gt;"",ISNUMBER(SEARCH(설정!$A$45,K536))),설정!$B$45,IF(AND(설정!$A$46&lt;&gt;"",ISNUMBER(SEARCH(설정!$A$46,K536))),설정!$B$46,IF(AND(설정!$A$47&lt;&gt;"",ISNUMBER(SEARCH(설정!$A$47,K536))),설정!$B$47,IF(AND(설정!$A$48&lt;&gt;"",ISNUMBER(SEARCH(설정!$A$48,K536))),설정!$B$48,IF(M536="","설계사","시공사"))))))))),"")</f>
        <v/>
      </c>
      <c r="V536">
        <f>SUBSTITUTE(SUBSTITUTE(SUBSTITUTE(SUBSTITUTE(G536,"(주)",""),"㈜",""),"주식회사","")," ","")</f>
        <v/>
      </c>
      <c r="W536">
        <f>IF(AND(T536,V536&lt;&gt;""),IF(COUNTIFS(V$2:V536,V536,T$2:T536,TRUE)=1,MAX(W$1:W535)+1,""),"")</f>
        <v/>
      </c>
      <c r="X536">
        <f>IFERROR(INDEX('1.산군_붙여넣기'!$A$1:$AZ$1001,ROW(),설정!$C$14)&amp;"","")</f>
        <v/>
      </c>
      <c r="Y536">
        <f>IFERROR(INDEX('1.산군_붙여넣기'!$A$1:$AZ$1001,ROW(),설정!$C$15)&amp;"","")</f>
        <v/>
      </c>
      <c r="Z536">
        <f>IF(T536,V536&amp;"|"&amp;U536,"")</f>
        <v/>
      </c>
    </row>
    <row r="537">
      <c r="A537">
        <f>ROW()</f>
        <v/>
      </c>
      <c r="B537">
        <f>IFERROR(INDEX('1.산군_붙여넣기'!$A$1:$AZ$1001,ROW(),설정!$C$4)&amp;"","")</f>
        <v/>
      </c>
      <c r="C537">
        <f>IFERROR(INDEX('1.산군_붙여넣기'!$A$1:$AZ$1001,ROW(),설정!$C$5)&amp;"","")</f>
        <v/>
      </c>
      <c r="D537" s="5">
        <f>IFERROR(VALUE(SUBSTITUTE(SUBSTITUTE(SUBSTITUTE(IFERROR(INDEX('1.산군_붙여넣기'!$A$1:$AZ$1001,ROW(),설정!$C$6)&amp;"",""),",",""),"㎡",""),"m2","")),"")</f>
        <v/>
      </c>
      <c r="E537">
        <f>IFERROR(INDEX('1.산군_붙여넣기'!$A$1:$AZ$1001,ROW(),설정!$C$7)&amp;"","")</f>
        <v/>
      </c>
      <c r="F537">
        <f>IFERROR(INDEX('1.산군_붙여넣기'!$A$1:$AZ$1001,ROW(),설정!$C$8)&amp;"","")</f>
        <v/>
      </c>
      <c r="G537">
        <f>IFERROR(INDEX('1.산군_붙여넣기'!$A$1:$AZ$1001,ROW(),설정!$C$9)&amp;"","")</f>
        <v/>
      </c>
      <c r="H537">
        <f>IFERROR(INDEX('1.산군_붙여넣기'!$A$1:$AZ$1001,ROW(),설정!$C$10)&amp;"","")</f>
        <v/>
      </c>
      <c r="I537">
        <f>IFERROR(INDEX('1.산군_붙여넣기'!$A$1:$AZ$1001,ROW(),설정!$C$11)&amp;"","")</f>
        <v/>
      </c>
      <c r="J537">
        <f>IFERROR(INDEX('1.산군_붙여넣기'!$A$1:$AZ$1001,ROW(),설정!$C$12)&amp;"","")</f>
        <v/>
      </c>
      <c r="K537">
        <f>IFERROR(INDEX('1.산군_붙여넣기'!$A$1:$AZ$1001,ROW(),설정!$C$13)&amp;"","")</f>
        <v/>
      </c>
      <c r="L537" s="6">
        <f>IF(X537="","",IF(AND(LEN(X537)=8,ISNUMBER(X537*1)),DATE(LEFT(X537,4),MID(X537,5,2),RIGHT(X537,2)),IFERROR(DATEVALUE(SUBSTITUTE(SUBSTITUTE(X537,".","-"),"/","-")),IFERROR(X537*1,""))))</f>
        <v/>
      </c>
      <c r="M537" s="6">
        <f>IF(Y537="","",IF(AND(LEN(Y537)=8,ISNUMBER(Y537*1)),DATE(LEFT(Y537,4),MID(Y537,5,2),RIGHT(Y537,2)),IFERROR(DATEVALUE(SUBSTITUTE(SUBSTITUTE(Y537,".","-"),"/","-")),IFERROR(Y537*1,""))))</f>
        <v/>
      </c>
      <c r="N537">
        <f>IFERROR(LEFT(B537,FIND(" ",B537)-1),B537)</f>
        <v/>
      </c>
      <c r="O537">
        <f>AND(B537&lt;&gt;"",B537&lt;&gt;설정!$B$4,C537&lt;&gt;설정!$B$5)</f>
        <v/>
      </c>
      <c r="P537">
        <f>IF(O537,B537&amp;"|"&amp;C537,"")</f>
        <v/>
      </c>
      <c r="Q537">
        <f>AND(O537,COUNTIF(P538:P$1002,P537)=0)</f>
        <v/>
      </c>
      <c r="R537">
        <f>OR(AND(설정!$A$28&lt;&gt;"",ISNUMBER(SEARCH(설정!$A$28,E537&amp;" "&amp;C537))),AND(설정!$A$29&lt;&gt;"",ISNUMBER(SEARCH(설정!$A$29,E537&amp;" "&amp;C537))),AND(설정!$A$30&lt;&gt;"",ISNUMBER(SEARCH(설정!$A$30,E537&amp;" "&amp;C537))),AND(설정!$A$31&lt;&gt;"",ISNUMBER(SEARCH(설정!$A$31,E537&amp;" "&amp;C537))),AND(설정!$A$32&lt;&gt;"",ISNUMBER(SEARCH(설정!$A$32,E537&amp;" "&amp;C537))),AND(설정!$A$33&lt;&gt;"",ISNUMBER(SEARCH(설정!$A$33,E537&amp;" "&amp;C537))),AND(설정!$A$34&lt;&gt;"",ISNUMBER(SEARCH(설정!$A$34,E537&amp;" "&amp;C537))),AND(설정!$A$35&lt;&gt;"",ISNUMBER(SEARCH(설정!$A$35,E537&amp;" "&amp;C537))),AND(설정!$A$36&lt;&gt;"",ISNUMBER(SEARCH(설정!$A$36,E537&amp;" "&amp;C537))),AND(설정!$A$37&lt;&gt;"",ISNUMBER(SEARCH(설정!$A$37,E537&amp;" "&amp;C537))))</f>
        <v/>
      </c>
      <c r="S537">
        <f>OR(D537="",D537&gt;=설정!$B$19)</f>
        <v/>
      </c>
      <c r="T537">
        <f>AND(Q537,R537,S537)</f>
        <v/>
      </c>
      <c r="U537">
        <f>IF(T537,IF(AND(설정!$A$41&lt;&gt;"",ISNUMBER(SEARCH(설정!$A$41,K537))),설정!$B$41,IF(AND(설정!$A$42&lt;&gt;"",ISNUMBER(SEARCH(설정!$A$42,K537))),설정!$B$42,IF(AND(설정!$A$43&lt;&gt;"",ISNUMBER(SEARCH(설정!$A$43,K537))),설정!$B$43,IF(AND(설정!$A$44&lt;&gt;"",ISNUMBER(SEARCH(설정!$A$44,K537))),설정!$B$44,IF(AND(설정!$A$45&lt;&gt;"",ISNUMBER(SEARCH(설정!$A$45,K537))),설정!$B$45,IF(AND(설정!$A$46&lt;&gt;"",ISNUMBER(SEARCH(설정!$A$46,K537))),설정!$B$46,IF(AND(설정!$A$47&lt;&gt;"",ISNUMBER(SEARCH(설정!$A$47,K537))),설정!$B$47,IF(AND(설정!$A$48&lt;&gt;"",ISNUMBER(SEARCH(설정!$A$48,K537))),설정!$B$48,IF(M537="","설계사","시공사"))))))))),"")</f>
        <v/>
      </c>
      <c r="V537">
        <f>SUBSTITUTE(SUBSTITUTE(SUBSTITUTE(SUBSTITUTE(G537,"(주)",""),"㈜",""),"주식회사","")," ","")</f>
        <v/>
      </c>
      <c r="W537">
        <f>IF(AND(T537,V537&lt;&gt;""),IF(COUNTIFS(V$2:V537,V537,T$2:T537,TRUE)=1,MAX(W$1:W536)+1,""),"")</f>
        <v/>
      </c>
      <c r="X537">
        <f>IFERROR(INDEX('1.산군_붙여넣기'!$A$1:$AZ$1001,ROW(),설정!$C$14)&amp;"","")</f>
        <v/>
      </c>
      <c r="Y537">
        <f>IFERROR(INDEX('1.산군_붙여넣기'!$A$1:$AZ$1001,ROW(),설정!$C$15)&amp;"","")</f>
        <v/>
      </c>
      <c r="Z537">
        <f>IF(T537,V537&amp;"|"&amp;U537,"")</f>
        <v/>
      </c>
    </row>
    <row r="538">
      <c r="A538">
        <f>ROW()</f>
        <v/>
      </c>
      <c r="B538">
        <f>IFERROR(INDEX('1.산군_붙여넣기'!$A$1:$AZ$1001,ROW(),설정!$C$4)&amp;"","")</f>
        <v/>
      </c>
      <c r="C538">
        <f>IFERROR(INDEX('1.산군_붙여넣기'!$A$1:$AZ$1001,ROW(),설정!$C$5)&amp;"","")</f>
        <v/>
      </c>
      <c r="D538" s="5">
        <f>IFERROR(VALUE(SUBSTITUTE(SUBSTITUTE(SUBSTITUTE(IFERROR(INDEX('1.산군_붙여넣기'!$A$1:$AZ$1001,ROW(),설정!$C$6)&amp;"",""),",",""),"㎡",""),"m2","")),"")</f>
        <v/>
      </c>
      <c r="E538">
        <f>IFERROR(INDEX('1.산군_붙여넣기'!$A$1:$AZ$1001,ROW(),설정!$C$7)&amp;"","")</f>
        <v/>
      </c>
      <c r="F538">
        <f>IFERROR(INDEX('1.산군_붙여넣기'!$A$1:$AZ$1001,ROW(),설정!$C$8)&amp;"","")</f>
        <v/>
      </c>
      <c r="G538">
        <f>IFERROR(INDEX('1.산군_붙여넣기'!$A$1:$AZ$1001,ROW(),설정!$C$9)&amp;"","")</f>
        <v/>
      </c>
      <c r="H538">
        <f>IFERROR(INDEX('1.산군_붙여넣기'!$A$1:$AZ$1001,ROW(),설정!$C$10)&amp;"","")</f>
        <v/>
      </c>
      <c r="I538">
        <f>IFERROR(INDEX('1.산군_붙여넣기'!$A$1:$AZ$1001,ROW(),설정!$C$11)&amp;"","")</f>
        <v/>
      </c>
      <c r="J538">
        <f>IFERROR(INDEX('1.산군_붙여넣기'!$A$1:$AZ$1001,ROW(),설정!$C$12)&amp;"","")</f>
        <v/>
      </c>
      <c r="K538">
        <f>IFERROR(INDEX('1.산군_붙여넣기'!$A$1:$AZ$1001,ROW(),설정!$C$13)&amp;"","")</f>
        <v/>
      </c>
      <c r="L538" s="6">
        <f>IF(X538="","",IF(AND(LEN(X538)=8,ISNUMBER(X538*1)),DATE(LEFT(X538,4),MID(X538,5,2),RIGHT(X538,2)),IFERROR(DATEVALUE(SUBSTITUTE(SUBSTITUTE(X538,".","-"),"/","-")),IFERROR(X538*1,""))))</f>
        <v/>
      </c>
      <c r="M538" s="6">
        <f>IF(Y538="","",IF(AND(LEN(Y538)=8,ISNUMBER(Y538*1)),DATE(LEFT(Y538,4),MID(Y538,5,2),RIGHT(Y538,2)),IFERROR(DATEVALUE(SUBSTITUTE(SUBSTITUTE(Y538,".","-"),"/","-")),IFERROR(Y538*1,""))))</f>
        <v/>
      </c>
      <c r="N538">
        <f>IFERROR(LEFT(B538,FIND(" ",B538)-1),B538)</f>
        <v/>
      </c>
      <c r="O538">
        <f>AND(B538&lt;&gt;"",B538&lt;&gt;설정!$B$4,C538&lt;&gt;설정!$B$5)</f>
        <v/>
      </c>
      <c r="P538">
        <f>IF(O538,B538&amp;"|"&amp;C538,"")</f>
        <v/>
      </c>
      <c r="Q538">
        <f>AND(O538,COUNTIF(P539:P$1002,P538)=0)</f>
        <v/>
      </c>
      <c r="R538">
        <f>OR(AND(설정!$A$28&lt;&gt;"",ISNUMBER(SEARCH(설정!$A$28,E538&amp;" "&amp;C538))),AND(설정!$A$29&lt;&gt;"",ISNUMBER(SEARCH(설정!$A$29,E538&amp;" "&amp;C538))),AND(설정!$A$30&lt;&gt;"",ISNUMBER(SEARCH(설정!$A$30,E538&amp;" "&amp;C538))),AND(설정!$A$31&lt;&gt;"",ISNUMBER(SEARCH(설정!$A$31,E538&amp;" "&amp;C538))),AND(설정!$A$32&lt;&gt;"",ISNUMBER(SEARCH(설정!$A$32,E538&amp;" "&amp;C538))),AND(설정!$A$33&lt;&gt;"",ISNUMBER(SEARCH(설정!$A$33,E538&amp;" "&amp;C538))),AND(설정!$A$34&lt;&gt;"",ISNUMBER(SEARCH(설정!$A$34,E538&amp;" "&amp;C538))),AND(설정!$A$35&lt;&gt;"",ISNUMBER(SEARCH(설정!$A$35,E538&amp;" "&amp;C538))),AND(설정!$A$36&lt;&gt;"",ISNUMBER(SEARCH(설정!$A$36,E538&amp;" "&amp;C538))),AND(설정!$A$37&lt;&gt;"",ISNUMBER(SEARCH(설정!$A$37,E538&amp;" "&amp;C538))))</f>
        <v/>
      </c>
      <c r="S538">
        <f>OR(D538="",D538&gt;=설정!$B$19)</f>
        <v/>
      </c>
      <c r="T538">
        <f>AND(Q538,R538,S538)</f>
        <v/>
      </c>
      <c r="U538">
        <f>IF(T538,IF(AND(설정!$A$41&lt;&gt;"",ISNUMBER(SEARCH(설정!$A$41,K538))),설정!$B$41,IF(AND(설정!$A$42&lt;&gt;"",ISNUMBER(SEARCH(설정!$A$42,K538))),설정!$B$42,IF(AND(설정!$A$43&lt;&gt;"",ISNUMBER(SEARCH(설정!$A$43,K538))),설정!$B$43,IF(AND(설정!$A$44&lt;&gt;"",ISNUMBER(SEARCH(설정!$A$44,K538))),설정!$B$44,IF(AND(설정!$A$45&lt;&gt;"",ISNUMBER(SEARCH(설정!$A$45,K538))),설정!$B$45,IF(AND(설정!$A$46&lt;&gt;"",ISNUMBER(SEARCH(설정!$A$46,K538))),설정!$B$46,IF(AND(설정!$A$47&lt;&gt;"",ISNUMBER(SEARCH(설정!$A$47,K538))),설정!$B$47,IF(AND(설정!$A$48&lt;&gt;"",ISNUMBER(SEARCH(설정!$A$48,K538))),설정!$B$48,IF(M538="","설계사","시공사"))))))))),"")</f>
        <v/>
      </c>
      <c r="V538">
        <f>SUBSTITUTE(SUBSTITUTE(SUBSTITUTE(SUBSTITUTE(G538,"(주)",""),"㈜",""),"주식회사","")," ","")</f>
        <v/>
      </c>
      <c r="W538">
        <f>IF(AND(T538,V538&lt;&gt;""),IF(COUNTIFS(V$2:V538,V538,T$2:T538,TRUE)=1,MAX(W$1:W537)+1,""),"")</f>
        <v/>
      </c>
      <c r="X538">
        <f>IFERROR(INDEX('1.산군_붙여넣기'!$A$1:$AZ$1001,ROW(),설정!$C$14)&amp;"","")</f>
        <v/>
      </c>
      <c r="Y538">
        <f>IFERROR(INDEX('1.산군_붙여넣기'!$A$1:$AZ$1001,ROW(),설정!$C$15)&amp;"","")</f>
        <v/>
      </c>
      <c r="Z538">
        <f>IF(T538,V538&amp;"|"&amp;U538,"")</f>
        <v/>
      </c>
    </row>
    <row r="539">
      <c r="A539">
        <f>ROW()</f>
        <v/>
      </c>
      <c r="B539">
        <f>IFERROR(INDEX('1.산군_붙여넣기'!$A$1:$AZ$1001,ROW(),설정!$C$4)&amp;"","")</f>
        <v/>
      </c>
      <c r="C539">
        <f>IFERROR(INDEX('1.산군_붙여넣기'!$A$1:$AZ$1001,ROW(),설정!$C$5)&amp;"","")</f>
        <v/>
      </c>
      <c r="D539" s="5">
        <f>IFERROR(VALUE(SUBSTITUTE(SUBSTITUTE(SUBSTITUTE(IFERROR(INDEX('1.산군_붙여넣기'!$A$1:$AZ$1001,ROW(),설정!$C$6)&amp;"",""),",",""),"㎡",""),"m2","")),"")</f>
        <v/>
      </c>
      <c r="E539">
        <f>IFERROR(INDEX('1.산군_붙여넣기'!$A$1:$AZ$1001,ROW(),설정!$C$7)&amp;"","")</f>
        <v/>
      </c>
      <c r="F539">
        <f>IFERROR(INDEX('1.산군_붙여넣기'!$A$1:$AZ$1001,ROW(),설정!$C$8)&amp;"","")</f>
        <v/>
      </c>
      <c r="G539">
        <f>IFERROR(INDEX('1.산군_붙여넣기'!$A$1:$AZ$1001,ROW(),설정!$C$9)&amp;"","")</f>
        <v/>
      </c>
      <c r="H539">
        <f>IFERROR(INDEX('1.산군_붙여넣기'!$A$1:$AZ$1001,ROW(),설정!$C$10)&amp;"","")</f>
        <v/>
      </c>
      <c r="I539">
        <f>IFERROR(INDEX('1.산군_붙여넣기'!$A$1:$AZ$1001,ROW(),설정!$C$11)&amp;"","")</f>
        <v/>
      </c>
      <c r="J539">
        <f>IFERROR(INDEX('1.산군_붙여넣기'!$A$1:$AZ$1001,ROW(),설정!$C$12)&amp;"","")</f>
        <v/>
      </c>
      <c r="K539">
        <f>IFERROR(INDEX('1.산군_붙여넣기'!$A$1:$AZ$1001,ROW(),설정!$C$13)&amp;"","")</f>
        <v/>
      </c>
      <c r="L539" s="6">
        <f>IF(X539="","",IF(AND(LEN(X539)=8,ISNUMBER(X539*1)),DATE(LEFT(X539,4),MID(X539,5,2),RIGHT(X539,2)),IFERROR(DATEVALUE(SUBSTITUTE(SUBSTITUTE(X539,".","-"),"/","-")),IFERROR(X539*1,""))))</f>
        <v/>
      </c>
      <c r="M539" s="6">
        <f>IF(Y539="","",IF(AND(LEN(Y539)=8,ISNUMBER(Y539*1)),DATE(LEFT(Y539,4),MID(Y539,5,2),RIGHT(Y539,2)),IFERROR(DATEVALUE(SUBSTITUTE(SUBSTITUTE(Y539,".","-"),"/","-")),IFERROR(Y539*1,""))))</f>
        <v/>
      </c>
      <c r="N539">
        <f>IFERROR(LEFT(B539,FIND(" ",B539)-1),B539)</f>
        <v/>
      </c>
      <c r="O539">
        <f>AND(B539&lt;&gt;"",B539&lt;&gt;설정!$B$4,C539&lt;&gt;설정!$B$5)</f>
        <v/>
      </c>
      <c r="P539">
        <f>IF(O539,B539&amp;"|"&amp;C539,"")</f>
        <v/>
      </c>
      <c r="Q539">
        <f>AND(O539,COUNTIF(P540:P$1002,P539)=0)</f>
        <v/>
      </c>
      <c r="R539">
        <f>OR(AND(설정!$A$28&lt;&gt;"",ISNUMBER(SEARCH(설정!$A$28,E539&amp;" "&amp;C539))),AND(설정!$A$29&lt;&gt;"",ISNUMBER(SEARCH(설정!$A$29,E539&amp;" "&amp;C539))),AND(설정!$A$30&lt;&gt;"",ISNUMBER(SEARCH(설정!$A$30,E539&amp;" "&amp;C539))),AND(설정!$A$31&lt;&gt;"",ISNUMBER(SEARCH(설정!$A$31,E539&amp;" "&amp;C539))),AND(설정!$A$32&lt;&gt;"",ISNUMBER(SEARCH(설정!$A$32,E539&amp;" "&amp;C539))),AND(설정!$A$33&lt;&gt;"",ISNUMBER(SEARCH(설정!$A$33,E539&amp;" "&amp;C539))),AND(설정!$A$34&lt;&gt;"",ISNUMBER(SEARCH(설정!$A$34,E539&amp;" "&amp;C539))),AND(설정!$A$35&lt;&gt;"",ISNUMBER(SEARCH(설정!$A$35,E539&amp;" "&amp;C539))),AND(설정!$A$36&lt;&gt;"",ISNUMBER(SEARCH(설정!$A$36,E539&amp;" "&amp;C539))),AND(설정!$A$37&lt;&gt;"",ISNUMBER(SEARCH(설정!$A$37,E539&amp;" "&amp;C539))))</f>
        <v/>
      </c>
      <c r="S539">
        <f>OR(D539="",D539&gt;=설정!$B$19)</f>
        <v/>
      </c>
      <c r="T539">
        <f>AND(Q539,R539,S539)</f>
        <v/>
      </c>
      <c r="U539">
        <f>IF(T539,IF(AND(설정!$A$41&lt;&gt;"",ISNUMBER(SEARCH(설정!$A$41,K539))),설정!$B$41,IF(AND(설정!$A$42&lt;&gt;"",ISNUMBER(SEARCH(설정!$A$42,K539))),설정!$B$42,IF(AND(설정!$A$43&lt;&gt;"",ISNUMBER(SEARCH(설정!$A$43,K539))),설정!$B$43,IF(AND(설정!$A$44&lt;&gt;"",ISNUMBER(SEARCH(설정!$A$44,K539))),설정!$B$44,IF(AND(설정!$A$45&lt;&gt;"",ISNUMBER(SEARCH(설정!$A$45,K539))),설정!$B$45,IF(AND(설정!$A$46&lt;&gt;"",ISNUMBER(SEARCH(설정!$A$46,K539))),설정!$B$46,IF(AND(설정!$A$47&lt;&gt;"",ISNUMBER(SEARCH(설정!$A$47,K539))),설정!$B$47,IF(AND(설정!$A$48&lt;&gt;"",ISNUMBER(SEARCH(설정!$A$48,K539))),설정!$B$48,IF(M539="","설계사","시공사"))))))))),"")</f>
        <v/>
      </c>
      <c r="V539">
        <f>SUBSTITUTE(SUBSTITUTE(SUBSTITUTE(SUBSTITUTE(G539,"(주)",""),"㈜",""),"주식회사","")," ","")</f>
        <v/>
      </c>
      <c r="W539">
        <f>IF(AND(T539,V539&lt;&gt;""),IF(COUNTIFS(V$2:V539,V539,T$2:T539,TRUE)=1,MAX(W$1:W538)+1,""),"")</f>
        <v/>
      </c>
      <c r="X539">
        <f>IFERROR(INDEX('1.산군_붙여넣기'!$A$1:$AZ$1001,ROW(),설정!$C$14)&amp;"","")</f>
        <v/>
      </c>
      <c r="Y539">
        <f>IFERROR(INDEX('1.산군_붙여넣기'!$A$1:$AZ$1001,ROW(),설정!$C$15)&amp;"","")</f>
        <v/>
      </c>
      <c r="Z539">
        <f>IF(T539,V539&amp;"|"&amp;U539,"")</f>
        <v/>
      </c>
    </row>
    <row r="540">
      <c r="A540">
        <f>ROW()</f>
        <v/>
      </c>
      <c r="B540">
        <f>IFERROR(INDEX('1.산군_붙여넣기'!$A$1:$AZ$1001,ROW(),설정!$C$4)&amp;"","")</f>
        <v/>
      </c>
      <c r="C540">
        <f>IFERROR(INDEX('1.산군_붙여넣기'!$A$1:$AZ$1001,ROW(),설정!$C$5)&amp;"","")</f>
        <v/>
      </c>
      <c r="D540" s="5">
        <f>IFERROR(VALUE(SUBSTITUTE(SUBSTITUTE(SUBSTITUTE(IFERROR(INDEX('1.산군_붙여넣기'!$A$1:$AZ$1001,ROW(),설정!$C$6)&amp;"",""),",",""),"㎡",""),"m2","")),"")</f>
        <v/>
      </c>
      <c r="E540">
        <f>IFERROR(INDEX('1.산군_붙여넣기'!$A$1:$AZ$1001,ROW(),설정!$C$7)&amp;"","")</f>
        <v/>
      </c>
      <c r="F540">
        <f>IFERROR(INDEX('1.산군_붙여넣기'!$A$1:$AZ$1001,ROW(),설정!$C$8)&amp;"","")</f>
        <v/>
      </c>
      <c r="G540">
        <f>IFERROR(INDEX('1.산군_붙여넣기'!$A$1:$AZ$1001,ROW(),설정!$C$9)&amp;"","")</f>
        <v/>
      </c>
      <c r="H540">
        <f>IFERROR(INDEX('1.산군_붙여넣기'!$A$1:$AZ$1001,ROW(),설정!$C$10)&amp;"","")</f>
        <v/>
      </c>
      <c r="I540">
        <f>IFERROR(INDEX('1.산군_붙여넣기'!$A$1:$AZ$1001,ROW(),설정!$C$11)&amp;"","")</f>
        <v/>
      </c>
      <c r="J540">
        <f>IFERROR(INDEX('1.산군_붙여넣기'!$A$1:$AZ$1001,ROW(),설정!$C$12)&amp;"","")</f>
        <v/>
      </c>
      <c r="K540">
        <f>IFERROR(INDEX('1.산군_붙여넣기'!$A$1:$AZ$1001,ROW(),설정!$C$13)&amp;"","")</f>
        <v/>
      </c>
      <c r="L540" s="6">
        <f>IF(X540="","",IF(AND(LEN(X540)=8,ISNUMBER(X540*1)),DATE(LEFT(X540,4),MID(X540,5,2),RIGHT(X540,2)),IFERROR(DATEVALUE(SUBSTITUTE(SUBSTITUTE(X540,".","-"),"/","-")),IFERROR(X540*1,""))))</f>
        <v/>
      </c>
      <c r="M540" s="6">
        <f>IF(Y540="","",IF(AND(LEN(Y540)=8,ISNUMBER(Y540*1)),DATE(LEFT(Y540,4),MID(Y540,5,2),RIGHT(Y540,2)),IFERROR(DATEVALUE(SUBSTITUTE(SUBSTITUTE(Y540,".","-"),"/","-")),IFERROR(Y540*1,""))))</f>
        <v/>
      </c>
      <c r="N540">
        <f>IFERROR(LEFT(B540,FIND(" ",B540)-1),B540)</f>
        <v/>
      </c>
      <c r="O540">
        <f>AND(B540&lt;&gt;"",B540&lt;&gt;설정!$B$4,C540&lt;&gt;설정!$B$5)</f>
        <v/>
      </c>
      <c r="P540">
        <f>IF(O540,B540&amp;"|"&amp;C540,"")</f>
        <v/>
      </c>
      <c r="Q540">
        <f>AND(O540,COUNTIF(P541:P$1002,P540)=0)</f>
        <v/>
      </c>
      <c r="R540">
        <f>OR(AND(설정!$A$28&lt;&gt;"",ISNUMBER(SEARCH(설정!$A$28,E540&amp;" "&amp;C540))),AND(설정!$A$29&lt;&gt;"",ISNUMBER(SEARCH(설정!$A$29,E540&amp;" "&amp;C540))),AND(설정!$A$30&lt;&gt;"",ISNUMBER(SEARCH(설정!$A$30,E540&amp;" "&amp;C540))),AND(설정!$A$31&lt;&gt;"",ISNUMBER(SEARCH(설정!$A$31,E540&amp;" "&amp;C540))),AND(설정!$A$32&lt;&gt;"",ISNUMBER(SEARCH(설정!$A$32,E540&amp;" "&amp;C540))),AND(설정!$A$33&lt;&gt;"",ISNUMBER(SEARCH(설정!$A$33,E540&amp;" "&amp;C540))),AND(설정!$A$34&lt;&gt;"",ISNUMBER(SEARCH(설정!$A$34,E540&amp;" "&amp;C540))),AND(설정!$A$35&lt;&gt;"",ISNUMBER(SEARCH(설정!$A$35,E540&amp;" "&amp;C540))),AND(설정!$A$36&lt;&gt;"",ISNUMBER(SEARCH(설정!$A$36,E540&amp;" "&amp;C540))),AND(설정!$A$37&lt;&gt;"",ISNUMBER(SEARCH(설정!$A$37,E540&amp;" "&amp;C540))))</f>
        <v/>
      </c>
      <c r="S540">
        <f>OR(D540="",D540&gt;=설정!$B$19)</f>
        <v/>
      </c>
      <c r="T540">
        <f>AND(Q540,R540,S540)</f>
        <v/>
      </c>
      <c r="U540">
        <f>IF(T540,IF(AND(설정!$A$41&lt;&gt;"",ISNUMBER(SEARCH(설정!$A$41,K540))),설정!$B$41,IF(AND(설정!$A$42&lt;&gt;"",ISNUMBER(SEARCH(설정!$A$42,K540))),설정!$B$42,IF(AND(설정!$A$43&lt;&gt;"",ISNUMBER(SEARCH(설정!$A$43,K540))),설정!$B$43,IF(AND(설정!$A$44&lt;&gt;"",ISNUMBER(SEARCH(설정!$A$44,K540))),설정!$B$44,IF(AND(설정!$A$45&lt;&gt;"",ISNUMBER(SEARCH(설정!$A$45,K540))),설정!$B$45,IF(AND(설정!$A$46&lt;&gt;"",ISNUMBER(SEARCH(설정!$A$46,K540))),설정!$B$46,IF(AND(설정!$A$47&lt;&gt;"",ISNUMBER(SEARCH(설정!$A$47,K540))),설정!$B$47,IF(AND(설정!$A$48&lt;&gt;"",ISNUMBER(SEARCH(설정!$A$48,K540))),설정!$B$48,IF(M540="","설계사","시공사"))))))))),"")</f>
        <v/>
      </c>
      <c r="V540">
        <f>SUBSTITUTE(SUBSTITUTE(SUBSTITUTE(SUBSTITUTE(G540,"(주)",""),"㈜",""),"주식회사","")," ","")</f>
        <v/>
      </c>
      <c r="W540">
        <f>IF(AND(T540,V540&lt;&gt;""),IF(COUNTIFS(V$2:V540,V540,T$2:T540,TRUE)=1,MAX(W$1:W539)+1,""),"")</f>
        <v/>
      </c>
      <c r="X540">
        <f>IFERROR(INDEX('1.산군_붙여넣기'!$A$1:$AZ$1001,ROW(),설정!$C$14)&amp;"","")</f>
        <v/>
      </c>
      <c r="Y540">
        <f>IFERROR(INDEX('1.산군_붙여넣기'!$A$1:$AZ$1001,ROW(),설정!$C$15)&amp;"","")</f>
        <v/>
      </c>
      <c r="Z540">
        <f>IF(T540,V540&amp;"|"&amp;U540,"")</f>
        <v/>
      </c>
    </row>
    <row r="541">
      <c r="A541">
        <f>ROW()</f>
        <v/>
      </c>
      <c r="B541">
        <f>IFERROR(INDEX('1.산군_붙여넣기'!$A$1:$AZ$1001,ROW(),설정!$C$4)&amp;"","")</f>
        <v/>
      </c>
      <c r="C541">
        <f>IFERROR(INDEX('1.산군_붙여넣기'!$A$1:$AZ$1001,ROW(),설정!$C$5)&amp;"","")</f>
        <v/>
      </c>
      <c r="D541" s="5">
        <f>IFERROR(VALUE(SUBSTITUTE(SUBSTITUTE(SUBSTITUTE(IFERROR(INDEX('1.산군_붙여넣기'!$A$1:$AZ$1001,ROW(),설정!$C$6)&amp;"",""),",",""),"㎡",""),"m2","")),"")</f>
        <v/>
      </c>
      <c r="E541">
        <f>IFERROR(INDEX('1.산군_붙여넣기'!$A$1:$AZ$1001,ROW(),설정!$C$7)&amp;"","")</f>
        <v/>
      </c>
      <c r="F541">
        <f>IFERROR(INDEX('1.산군_붙여넣기'!$A$1:$AZ$1001,ROW(),설정!$C$8)&amp;"","")</f>
        <v/>
      </c>
      <c r="G541">
        <f>IFERROR(INDEX('1.산군_붙여넣기'!$A$1:$AZ$1001,ROW(),설정!$C$9)&amp;"","")</f>
        <v/>
      </c>
      <c r="H541">
        <f>IFERROR(INDEX('1.산군_붙여넣기'!$A$1:$AZ$1001,ROW(),설정!$C$10)&amp;"","")</f>
        <v/>
      </c>
      <c r="I541">
        <f>IFERROR(INDEX('1.산군_붙여넣기'!$A$1:$AZ$1001,ROW(),설정!$C$11)&amp;"","")</f>
        <v/>
      </c>
      <c r="J541">
        <f>IFERROR(INDEX('1.산군_붙여넣기'!$A$1:$AZ$1001,ROW(),설정!$C$12)&amp;"","")</f>
        <v/>
      </c>
      <c r="K541">
        <f>IFERROR(INDEX('1.산군_붙여넣기'!$A$1:$AZ$1001,ROW(),설정!$C$13)&amp;"","")</f>
        <v/>
      </c>
      <c r="L541" s="6">
        <f>IF(X541="","",IF(AND(LEN(X541)=8,ISNUMBER(X541*1)),DATE(LEFT(X541,4),MID(X541,5,2),RIGHT(X541,2)),IFERROR(DATEVALUE(SUBSTITUTE(SUBSTITUTE(X541,".","-"),"/","-")),IFERROR(X541*1,""))))</f>
        <v/>
      </c>
      <c r="M541" s="6">
        <f>IF(Y541="","",IF(AND(LEN(Y541)=8,ISNUMBER(Y541*1)),DATE(LEFT(Y541,4),MID(Y541,5,2),RIGHT(Y541,2)),IFERROR(DATEVALUE(SUBSTITUTE(SUBSTITUTE(Y541,".","-"),"/","-")),IFERROR(Y541*1,""))))</f>
        <v/>
      </c>
      <c r="N541">
        <f>IFERROR(LEFT(B541,FIND(" ",B541)-1),B541)</f>
        <v/>
      </c>
      <c r="O541">
        <f>AND(B541&lt;&gt;"",B541&lt;&gt;설정!$B$4,C541&lt;&gt;설정!$B$5)</f>
        <v/>
      </c>
      <c r="P541">
        <f>IF(O541,B541&amp;"|"&amp;C541,"")</f>
        <v/>
      </c>
      <c r="Q541">
        <f>AND(O541,COUNTIF(P542:P$1002,P541)=0)</f>
        <v/>
      </c>
      <c r="R541">
        <f>OR(AND(설정!$A$28&lt;&gt;"",ISNUMBER(SEARCH(설정!$A$28,E541&amp;" "&amp;C541))),AND(설정!$A$29&lt;&gt;"",ISNUMBER(SEARCH(설정!$A$29,E541&amp;" "&amp;C541))),AND(설정!$A$30&lt;&gt;"",ISNUMBER(SEARCH(설정!$A$30,E541&amp;" "&amp;C541))),AND(설정!$A$31&lt;&gt;"",ISNUMBER(SEARCH(설정!$A$31,E541&amp;" "&amp;C541))),AND(설정!$A$32&lt;&gt;"",ISNUMBER(SEARCH(설정!$A$32,E541&amp;" "&amp;C541))),AND(설정!$A$33&lt;&gt;"",ISNUMBER(SEARCH(설정!$A$33,E541&amp;" "&amp;C541))),AND(설정!$A$34&lt;&gt;"",ISNUMBER(SEARCH(설정!$A$34,E541&amp;" "&amp;C541))),AND(설정!$A$35&lt;&gt;"",ISNUMBER(SEARCH(설정!$A$35,E541&amp;" "&amp;C541))),AND(설정!$A$36&lt;&gt;"",ISNUMBER(SEARCH(설정!$A$36,E541&amp;" "&amp;C541))),AND(설정!$A$37&lt;&gt;"",ISNUMBER(SEARCH(설정!$A$37,E541&amp;" "&amp;C541))))</f>
        <v/>
      </c>
      <c r="S541">
        <f>OR(D541="",D541&gt;=설정!$B$19)</f>
        <v/>
      </c>
      <c r="T541">
        <f>AND(Q541,R541,S541)</f>
        <v/>
      </c>
      <c r="U541">
        <f>IF(T541,IF(AND(설정!$A$41&lt;&gt;"",ISNUMBER(SEARCH(설정!$A$41,K541))),설정!$B$41,IF(AND(설정!$A$42&lt;&gt;"",ISNUMBER(SEARCH(설정!$A$42,K541))),설정!$B$42,IF(AND(설정!$A$43&lt;&gt;"",ISNUMBER(SEARCH(설정!$A$43,K541))),설정!$B$43,IF(AND(설정!$A$44&lt;&gt;"",ISNUMBER(SEARCH(설정!$A$44,K541))),설정!$B$44,IF(AND(설정!$A$45&lt;&gt;"",ISNUMBER(SEARCH(설정!$A$45,K541))),설정!$B$45,IF(AND(설정!$A$46&lt;&gt;"",ISNUMBER(SEARCH(설정!$A$46,K541))),설정!$B$46,IF(AND(설정!$A$47&lt;&gt;"",ISNUMBER(SEARCH(설정!$A$47,K541))),설정!$B$47,IF(AND(설정!$A$48&lt;&gt;"",ISNUMBER(SEARCH(설정!$A$48,K541))),설정!$B$48,IF(M541="","설계사","시공사"))))))))),"")</f>
        <v/>
      </c>
      <c r="V541">
        <f>SUBSTITUTE(SUBSTITUTE(SUBSTITUTE(SUBSTITUTE(G541,"(주)",""),"㈜",""),"주식회사","")," ","")</f>
        <v/>
      </c>
      <c r="W541">
        <f>IF(AND(T541,V541&lt;&gt;""),IF(COUNTIFS(V$2:V541,V541,T$2:T541,TRUE)=1,MAX(W$1:W540)+1,""),"")</f>
        <v/>
      </c>
      <c r="X541">
        <f>IFERROR(INDEX('1.산군_붙여넣기'!$A$1:$AZ$1001,ROW(),설정!$C$14)&amp;"","")</f>
        <v/>
      </c>
      <c r="Y541">
        <f>IFERROR(INDEX('1.산군_붙여넣기'!$A$1:$AZ$1001,ROW(),설정!$C$15)&amp;"","")</f>
        <v/>
      </c>
      <c r="Z541">
        <f>IF(T541,V541&amp;"|"&amp;U541,"")</f>
        <v/>
      </c>
    </row>
    <row r="542">
      <c r="A542">
        <f>ROW()</f>
        <v/>
      </c>
      <c r="B542">
        <f>IFERROR(INDEX('1.산군_붙여넣기'!$A$1:$AZ$1001,ROW(),설정!$C$4)&amp;"","")</f>
        <v/>
      </c>
      <c r="C542">
        <f>IFERROR(INDEX('1.산군_붙여넣기'!$A$1:$AZ$1001,ROW(),설정!$C$5)&amp;"","")</f>
        <v/>
      </c>
      <c r="D542" s="5">
        <f>IFERROR(VALUE(SUBSTITUTE(SUBSTITUTE(SUBSTITUTE(IFERROR(INDEX('1.산군_붙여넣기'!$A$1:$AZ$1001,ROW(),설정!$C$6)&amp;"",""),",",""),"㎡",""),"m2","")),"")</f>
        <v/>
      </c>
      <c r="E542">
        <f>IFERROR(INDEX('1.산군_붙여넣기'!$A$1:$AZ$1001,ROW(),설정!$C$7)&amp;"","")</f>
        <v/>
      </c>
      <c r="F542">
        <f>IFERROR(INDEX('1.산군_붙여넣기'!$A$1:$AZ$1001,ROW(),설정!$C$8)&amp;"","")</f>
        <v/>
      </c>
      <c r="G542">
        <f>IFERROR(INDEX('1.산군_붙여넣기'!$A$1:$AZ$1001,ROW(),설정!$C$9)&amp;"","")</f>
        <v/>
      </c>
      <c r="H542">
        <f>IFERROR(INDEX('1.산군_붙여넣기'!$A$1:$AZ$1001,ROW(),설정!$C$10)&amp;"","")</f>
        <v/>
      </c>
      <c r="I542">
        <f>IFERROR(INDEX('1.산군_붙여넣기'!$A$1:$AZ$1001,ROW(),설정!$C$11)&amp;"","")</f>
        <v/>
      </c>
      <c r="J542">
        <f>IFERROR(INDEX('1.산군_붙여넣기'!$A$1:$AZ$1001,ROW(),설정!$C$12)&amp;"","")</f>
        <v/>
      </c>
      <c r="K542">
        <f>IFERROR(INDEX('1.산군_붙여넣기'!$A$1:$AZ$1001,ROW(),설정!$C$13)&amp;"","")</f>
        <v/>
      </c>
      <c r="L542" s="6">
        <f>IF(X542="","",IF(AND(LEN(X542)=8,ISNUMBER(X542*1)),DATE(LEFT(X542,4),MID(X542,5,2),RIGHT(X542,2)),IFERROR(DATEVALUE(SUBSTITUTE(SUBSTITUTE(X542,".","-"),"/","-")),IFERROR(X542*1,""))))</f>
        <v/>
      </c>
      <c r="M542" s="6">
        <f>IF(Y542="","",IF(AND(LEN(Y542)=8,ISNUMBER(Y542*1)),DATE(LEFT(Y542,4),MID(Y542,5,2),RIGHT(Y542,2)),IFERROR(DATEVALUE(SUBSTITUTE(SUBSTITUTE(Y542,".","-"),"/","-")),IFERROR(Y542*1,""))))</f>
        <v/>
      </c>
      <c r="N542">
        <f>IFERROR(LEFT(B542,FIND(" ",B542)-1),B542)</f>
        <v/>
      </c>
      <c r="O542">
        <f>AND(B542&lt;&gt;"",B542&lt;&gt;설정!$B$4,C542&lt;&gt;설정!$B$5)</f>
        <v/>
      </c>
      <c r="P542">
        <f>IF(O542,B542&amp;"|"&amp;C542,"")</f>
        <v/>
      </c>
      <c r="Q542">
        <f>AND(O542,COUNTIF(P543:P$1002,P542)=0)</f>
        <v/>
      </c>
      <c r="R542">
        <f>OR(AND(설정!$A$28&lt;&gt;"",ISNUMBER(SEARCH(설정!$A$28,E542&amp;" "&amp;C542))),AND(설정!$A$29&lt;&gt;"",ISNUMBER(SEARCH(설정!$A$29,E542&amp;" "&amp;C542))),AND(설정!$A$30&lt;&gt;"",ISNUMBER(SEARCH(설정!$A$30,E542&amp;" "&amp;C542))),AND(설정!$A$31&lt;&gt;"",ISNUMBER(SEARCH(설정!$A$31,E542&amp;" "&amp;C542))),AND(설정!$A$32&lt;&gt;"",ISNUMBER(SEARCH(설정!$A$32,E542&amp;" "&amp;C542))),AND(설정!$A$33&lt;&gt;"",ISNUMBER(SEARCH(설정!$A$33,E542&amp;" "&amp;C542))),AND(설정!$A$34&lt;&gt;"",ISNUMBER(SEARCH(설정!$A$34,E542&amp;" "&amp;C542))),AND(설정!$A$35&lt;&gt;"",ISNUMBER(SEARCH(설정!$A$35,E542&amp;" "&amp;C542))),AND(설정!$A$36&lt;&gt;"",ISNUMBER(SEARCH(설정!$A$36,E542&amp;" "&amp;C542))),AND(설정!$A$37&lt;&gt;"",ISNUMBER(SEARCH(설정!$A$37,E542&amp;" "&amp;C542))))</f>
        <v/>
      </c>
      <c r="S542">
        <f>OR(D542="",D542&gt;=설정!$B$19)</f>
        <v/>
      </c>
      <c r="T542">
        <f>AND(Q542,R542,S542)</f>
        <v/>
      </c>
      <c r="U542">
        <f>IF(T542,IF(AND(설정!$A$41&lt;&gt;"",ISNUMBER(SEARCH(설정!$A$41,K542))),설정!$B$41,IF(AND(설정!$A$42&lt;&gt;"",ISNUMBER(SEARCH(설정!$A$42,K542))),설정!$B$42,IF(AND(설정!$A$43&lt;&gt;"",ISNUMBER(SEARCH(설정!$A$43,K542))),설정!$B$43,IF(AND(설정!$A$44&lt;&gt;"",ISNUMBER(SEARCH(설정!$A$44,K542))),설정!$B$44,IF(AND(설정!$A$45&lt;&gt;"",ISNUMBER(SEARCH(설정!$A$45,K542))),설정!$B$45,IF(AND(설정!$A$46&lt;&gt;"",ISNUMBER(SEARCH(설정!$A$46,K542))),설정!$B$46,IF(AND(설정!$A$47&lt;&gt;"",ISNUMBER(SEARCH(설정!$A$47,K542))),설정!$B$47,IF(AND(설정!$A$48&lt;&gt;"",ISNUMBER(SEARCH(설정!$A$48,K542))),설정!$B$48,IF(M542="","설계사","시공사"))))))))),"")</f>
        <v/>
      </c>
      <c r="V542">
        <f>SUBSTITUTE(SUBSTITUTE(SUBSTITUTE(SUBSTITUTE(G542,"(주)",""),"㈜",""),"주식회사","")," ","")</f>
        <v/>
      </c>
      <c r="W542">
        <f>IF(AND(T542,V542&lt;&gt;""),IF(COUNTIFS(V$2:V542,V542,T$2:T542,TRUE)=1,MAX(W$1:W541)+1,""),"")</f>
        <v/>
      </c>
      <c r="X542">
        <f>IFERROR(INDEX('1.산군_붙여넣기'!$A$1:$AZ$1001,ROW(),설정!$C$14)&amp;"","")</f>
        <v/>
      </c>
      <c r="Y542">
        <f>IFERROR(INDEX('1.산군_붙여넣기'!$A$1:$AZ$1001,ROW(),설정!$C$15)&amp;"","")</f>
        <v/>
      </c>
      <c r="Z542">
        <f>IF(T542,V542&amp;"|"&amp;U542,"")</f>
        <v/>
      </c>
    </row>
    <row r="543">
      <c r="A543">
        <f>ROW()</f>
        <v/>
      </c>
      <c r="B543">
        <f>IFERROR(INDEX('1.산군_붙여넣기'!$A$1:$AZ$1001,ROW(),설정!$C$4)&amp;"","")</f>
        <v/>
      </c>
      <c r="C543">
        <f>IFERROR(INDEX('1.산군_붙여넣기'!$A$1:$AZ$1001,ROW(),설정!$C$5)&amp;"","")</f>
        <v/>
      </c>
      <c r="D543" s="5">
        <f>IFERROR(VALUE(SUBSTITUTE(SUBSTITUTE(SUBSTITUTE(IFERROR(INDEX('1.산군_붙여넣기'!$A$1:$AZ$1001,ROW(),설정!$C$6)&amp;"",""),",",""),"㎡",""),"m2","")),"")</f>
        <v/>
      </c>
      <c r="E543">
        <f>IFERROR(INDEX('1.산군_붙여넣기'!$A$1:$AZ$1001,ROW(),설정!$C$7)&amp;"","")</f>
        <v/>
      </c>
      <c r="F543">
        <f>IFERROR(INDEX('1.산군_붙여넣기'!$A$1:$AZ$1001,ROW(),설정!$C$8)&amp;"","")</f>
        <v/>
      </c>
      <c r="G543">
        <f>IFERROR(INDEX('1.산군_붙여넣기'!$A$1:$AZ$1001,ROW(),설정!$C$9)&amp;"","")</f>
        <v/>
      </c>
      <c r="H543">
        <f>IFERROR(INDEX('1.산군_붙여넣기'!$A$1:$AZ$1001,ROW(),설정!$C$10)&amp;"","")</f>
        <v/>
      </c>
      <c r="I543">
        <f>IFERROR(INDEX('1.산군_붙여넣기'!$A$1:$AZ$1001,ROW(),설정!$C$11)&amp;"","")</f>
        <v/>
      </c>
      <c r="J543">
        <f>IFERROR(INDEX('1.산군_붙여넣기'!$A$1:$AZ$1001,ROW(),설정!$C$12)&amp;"","")</f>
        <v/>
      </c>
      <c r="K543">
        <f>IFERROR(INDEX('1.산군_붙여넣기'!$A$1:$AZ$1001,ROW(),설정!$C$13)&amp;"","")</f>
        <v/>
      </c>
      <c r="L543" s="6">
        <f>IF(X543="","",IF(AND(LEN(X543)=8,ISNUMBER(X543*1)),DATE(LEFT(X543,4),MID(X543,5,2),RIGHT(X543,2)),IFERROR(DATEVALUE(SUBSTITUTE(SUBSTITUTE(X543,".","-"),"/","-")),IFERROR(X543*1,""))))</f>
        <v/>
      </c>
      <c r="M543" s="6">
        <f>IF(Y543="","",IF(AND(LEN(Y543)=8,ISNUMBER(Y543*1)),DATE(LEFT(Y543,4),MID(Y543,5,2),RIGHT(Y543,2)),IFERROR(DATEVALUE(SUBSTITUTE(SUBSTITUTE(Y543,".","-"),"/","-")),IFERROR(Y543*1,""))))</f>
        <v/>
      </c>
      <c r="N543">
        <f>IFERROR(LEFT(B543,FIND(" ",B543)-1),B543)</f>
        <v/>
      </c>
      <c r="O543">
        <f>AND(B543&lt;&gt;"",B543&lt;&gt;설정!$B$4,C543&lt;&gt;설정!$B$5)</f>
        <v/>
      </c>
      <c r="P543">
        <f>IF(O543,B543&amp;"|"&amp;C543,"")</f>
        <v/>
      </c>
      <c r="Q543">
        <f>AND(O543,COUNTIF(P544:P$1002,P543)=0)</f>
        <v/>
      </c>
      <c r="R543">
        <f>OR(AND(설정!$A$28&lt;&gt;"",ISNUMBER(SEARCH(설정!$A$28,E543&amp;" "&amp;C543))),AND(설정!$A$29&lt;&gt;"",ISNUMBER(SEARCH(설정!$A$29,E543&amp;" "&amp;C543))),AND(설정!$A$30&lt;&gt;"",ISNUMBER(SEARCH(설정!$A$30,E543&amp;" "&amp;C543))),AND(설정!$A$31&lt;&gt;"",ISNUMBER(SEARCH(설정!$A$31,E543&amp;" "&amp;C543))),AND(설정!$A$32&lt;&gt;"",ISNUMBER(SEARCH(설정!$A$32,E543&amp;" "&amp;C543))),AND(설정!$A$33&lt;&gt;"",ISNUMBER(SEARCH(설정!$A$33,E543&amp;" "&amp;C543))),AND(설정!$A$34&lt;&gt;"",ISNUMBER(SEARCH(설정!$A$34,E543&amp;" "&amp;C543))),AND(설정!$A$35&lt;&gt;"",ISNUMBER(SEARCH(설정!$A$35,E543&amp;" "&amp;C543))),AND(설정!$A$36&lt;&gt;"",ISNUMBER(SEARCH(설정!$A$36,E543&amp;" "&amp;C543))),AND(설정!$A$37&lt;&gt;"",ISNUMBER(SEARCH(설정!$A$37,E543&amp;" "&amp;C543))))</f>
        <v/>
      </c>
      <c r="S543">
        <f>OR(D543="",D543&gt;=설정!$B$19)</f>
        <v/>
      </c>
      <c r="T543">
        <f>AND(Q543,R543,S543)</f>
        <v/>
      </c>
      <c r="U543">
        <f>IF(T543,IF(AND(설정!$A$41&lt;&gt;"",ISNUMBER(SEARCH(설정!$A$41,K543))),설정!$B$41,IF(AND(설정!$A$42&lt;&gt;"",ISNUMBER(SEARCH(설정!$A$42,K543))),설정!$B$42,IF(AND(설정!$A$43&lt;&gt;"",ISNUMBER(SEARCH(설정!$A$43,K543))),설정!$B$43,IF(AND(설정!$A$44&lt;&gt;"",ISNUMBER(SEARCH(설정!$A$44,K543))),설정!$B$44,IF(AND(설정!$A$45&lt;&gt;"",ISNUMBER(SEARCH(설정!$A$45,K543))),설정!$B$45,IF(AND(설정!$A$46&lt;&gt;"",ISNUMBER(SEARCH(설정!$A$46,K543))),설정!$B$46,IF(AND(설정!$A$47&lt;&gt;"",ISNUMBER(SEARCH(설정!$A$47,K543))),설정!$B$47,IF(AND(설정!$A$48&lt;&gt;"",ISNUMBER(SEARCH(설정!$A$48,K543))),설정!$B$48,IF(M543="","설계사","시공사"))))))))),"")</f>
        <v/>
      </c>
      <c r="V543">
        <f>SUBSTITUTE(SUBSTITUTE(SUBSTITUTE(SUBSTITUTE(G543,"(주)",""),"㈜",""),"주식회사","")," ","")</f>
        <v/>
      </c>
      <c r="W543">
        <f>IF(AND(T543,V543&lt;&gt;""),IF(COUNTIFS(V$2:V543,V543,T$2:T543,TRUE)=1,MAX(W$1:W542)+1,""),"")</f>
        <v/>
      </c>
      <c r="X543">
        <f>IFERROR(INDEX('1.산군_붙여넣기'!$A$1:$AZ$1001,ROW(),설정!$C$14)&amp;"","")</f>
        <v/>
      </c>
      <c r="Y543">
        <f>IFERROR(INDEX('1.산군_붙여넣기'!$A$1:$AZ$1001,ROW(),설정!$C$15)&amp;"","")</f>
        <v/>
      </c>
      <c r="Z543">
        <f>IF(T543,V543&amp;"|"&amp;U543,"")</f>
        <v/>
      </c>
    </row>
    <row r="544">
      <c r="A544">
        <f>ROW()</f>
        <v/>
      </c>
      <c r="B544">
        <f>IFERROR(INDEX('1.산군_붙여넣기'!$A$1:$AZ$1001,ROW(),설정!$C$4)&amp;"","")</f>
        <v/>
      </c>
      <c r="C544">
        <f>IFERROR(INDEX('1.산군_붙여넣기'!$A$1:$AZ$1001,ROW(),설정!$C$5)&amp;"","")</f>
        <v/>
      </c>
      <c r="D544" s="5">
        <f>IFERROR(VALUE(SUBSTITUTE(SUBSTITUTE(SUBSTITUTE(IFERROR(INDEX('1.산군_붙여넣기'!$A$1:$AZ$1001,ROW(),설정!$C$6)&amp;"",""),",",""),"㎡",""),"m2","")),"")</f>
        <v/>
      </c>
      <c r="E544">
        <f>IFERROR(INDEX('1.산군_붙여넣기'!$A$1:$AZ$1001,ROW(),설정!$C$7)&amp;"","")</f>
        <v/>
      </c>
      <c r="F544">
        <f>IFERROR(INDEX('1.산군_붙여넣기'!$A$1:$AZ$1001,ROW(),설정!$C$8)&amp;"","")</f>
        <v/>
      </c>
      <c r="G544">
        <f>IFERROR(INDEX('1.산군_붙여넣기'!$A$1:$AZ$1001,ROW(),설정!$C$9)&amp;"","")</f>
        <v/>
      </c>
      <c r="H544">
        <f>IFERROR(INDEX('1.산군_붙여넣기'!$A$1:$AZ$1001,ROW(),설정!$C$10)&amp;"","")</f>
        <v/>
      </c>
      <c r="I544">
        <f>IFERROR(INDEX('1.산군_붙여넣기'!$A$1:$AZ$1001,ROW(),설정!$C$11)&amp;"","")</f>
        <v/>
      </c>
      <c r="J544">
        <f>IFERROR(INDEX('1.산군_붙여넣기'!$A$1:$AZ$1001,ROW(),설정!$C$12)&amp;"","")</f>
        <v/>
      </c>
      <c r="K544">
        <f>IFERROR(INDEX('1.산군_붙여넣기'!$A$1:$AZ$1001,ROW(),설정!$C$13)&amp;"","")</f>
        <v/>
      </c>
      <c r="L544" s="6">
        <f>IF(X544="","",IF(AND(LEN(X544)=8,ISNUMBER(X544*1)),DATE(LEFT(X544,4),MID(X544,5,2),RIGHT(X544,2)),IFERROR(DATEVALUE(SUBSTITUTE(SUBSTITUTE(X544,".","-"),"/","-")),IFERROR(X544*1,""))))</f>
        <v/>
      </c>
      <c r="M544" s="6">
        <f>IF(Y544="","",IF(AND(LEN(Y544)=8,ISNUMBER(Y544*1)),DATE(LEFT(Y544,4),MID(Y544,5,2),RIGHT(Y544,2)),IFERROR(DATEVALUE(SUBSTITUTE(SUBSTITUTE(Y544,".","-"),"/","-")),IFERROR(Y544*1,""))))</f>
        <v/>
      </c>
      <c r="N544">
        <f>IFERROR(LEFT(B544,FIND(" ",B544)-1),B544)</f>
        <v/>
      </c>
      <c r="O544">
        <f>AND(B544&lt;&gt;"",B544&lt;&gt;설정!$B$4,C544&lt;&gt;설정!$B$5)</f>
        <v/>
      </c>
      <c r="P544">
        <f>IF(O544,B544&amp;"|"&amp;C544,"")</f>
        <v/>
      </c>
      <c r="Q544">
        <f>AND(O544,COUNTIF(P545:P$1002,P544)=0)</f>
        <v/>
      </c>
      <c r="R544">
        <f>OR(AND(설정!$A$28&lt;&gt;"",ISNUMBER(SEARCH(설정!$A$28,E544&amp;" "&amp;C544))),AND(설정!$A$29&lt;&gt;"",ISNUMBER(SEARCH(설정!$A$29,E544&amp;" "&amp;C544))),AND(설정!$A$30&lt;&gt;"",ISNUMBER(SEARCH(설정!$A$30,E544&amp;" "&amp;C544))),AND(설정!$A$31&lt;&gt;"",ISNUMBER(SEARCH(설정!$A$31,E544&amp;" "&amp;C544))),AND(설정!$A$32&lt;&gt;"",ISNUMBER(SEARCH(설정!$A$32,E544&amp;" "&amp;C544))),AND(설정!$A$33&lt;&gt;"",ISNUMBER(SEARCH(설정!$A$33,E544&amp;" "&amp;C544))),AND(설정!$A$34&lt;&gt;"",ISNUMBER(SEARCH(설정!$A$34,E544&amp;" "&amp;C544))),AND(설정!$A$35&lt;&gt;"",ISNUMBER(SEARCH(설정!$A$35,E544&amp;" "&amp;C544))),AND(설정!$A$36&lt;&gt;"",ISNUMBER(SEARCH(설정!$A$36,E544&amp;" "&amp;C544))),AND(설정!$A$37&lt;&gt;"",ISNUMBER(SEARCH(설정!$A$37,E544&amp;" "&amp;C544))))</f>
        <v/>
      </c>
      <c r="S544">
        <f>OR(D544="",D544&gt;=설정!$B$19)</f>
        <v/>
      </c>
      <c r="T544">
        <f>AND(Q544,R544,S544)</f>
        <v/>
      </c>
      <c r="U544">
        <f>IF(T544,IF(AND(설정!$A$41&lt;&gt;"",ISNUMBER(SEARCH(설정!$A$41,K544))),설정!$B$41,IF(AND(설정!$A$42&lt;&gt;"",ISNUMBER(SEARCH(설정!$A$42,K544))),설정!$B$42,IF(AND(설정!$A$43&lt;&gt;"",ISNUMBER(SEARCH(설정!$A$43,K544))),설정!$B$43,IF(AND(설정!$A$44&lt;&gt;"",ISNUMBER(SEARCH(설정!$A$44,K544))),설정!$B$44,IF(AND(설정!$A$45&lt;&gt;"",ISNUMBER(SEARCH(설정!$A$45,K544))),설정!$B$45,IF(AND(설정!$A$46&lt;&gt;"",ISNUMBER(SEARCH(설정!$A$46,K544))),설정!$B$46,IF(AND(설정!$A$47&lt;&gt;"",ISNUMBER(SEARCH(설정!$A$47,K544))),설정!$B$47,IF(AND(설정!$A$48&lt;&gt;"",ISNUMBER(SEARCH(설정!$A$48,K544))),설정!$B$48,IF(M544="","설계사","시공사"))))))))),"")</f>
        <v/>
      </c>
      <c r="V544">
        <f>SUBSTITUTE(SUBSTITUTE(SUBSTITUTE(SUBSTITUTE(G544,"(주)",""),"㈜",""),"주식회사","")," ","")</f>
        <v/>
      </c>
      <c r="W544">
        <f>IF(AND(T544,V544&lt;&gt;""),IF(COUNTIFS(V$2:V544,V544,T$2:T544,TRUE)=1,MAX(W$1:W543)+1,""),"")</f>
        <v/>
      </c>
      <c r="X544">
        <f>IFERROR(INDEX('1.산군_붙여넣기'!$A$1:$AZ$1001,ROW(),설정!$C$14)&amp;"","")</f>
        <v/>
      </c>
      <c r="Y544">
        <f>IFERROR(INDEX('1.산군_붙여넣기'!$A$1:$AZ$1001,ROW(),설정!$C$15)&amp;"","")</f>
        <v/>
      </c>
      <c r="Z544">
        <f>IF(T544,V544&amp;"|"&amp;U544,"")</f>
        <v/>
      </c>
    </row>
    <row r="545">
      <c r="A545">
        <f>ROW()</f>
        <v/>
      </c>
      <c r="B545">
        <f>IFERROR(INDEX('1.산군_붙여넣기'!$A$1:$AZ$1001,ROW(),설정!$C$4)&amp;"","")</f>
        <v/>
      </c>
      <c r="C545">
        <f>IFERROR(INDEX('1.산군_붙여넣기'!$A$1:$AZ$1001,ROW(),설정!$C$5)&amp;"","")</f>
        <v/>
      </c>
      <c r="D545" s="5">
        <f>IFERROR(VALUE(SUBSTITUTE(SUBSTITUTE(SUBSTITUTE(IFERROR(INDEX('1.산군_붙여넣기'!$A$1:$AZ$1001,ROW(),설정!$C$6)&amp;"",""),",",""),"㎡",""),"m2","")),"")</f>
        <v/>
      </c>
      <c r="E545">
        <f>IFERROR(INDEX('1.산군_붙여넣기'!$A$1:$AZ$1001,ROW(),설정!$C$7)&amp;"","")</f>
        <v/>
      </c>
      <c r="F545">
        <f>IFERROR(INDEX('1.산군_붙여넣기'!$A$1:$AZ$1001,ROW(),설정!$C$8)&amp;"","")</f>
        <v/>
      </c>
      <c r="G545">
        <f>IFERROR(INDEX('1.산군_붙여넣기'!$A$1:$AZ$1001,ROW(),설정!$C$9)&amp;"","")</f>
        <v/>
      </c>
      <c r="H545">
        <f>IFERROR(INDEX('1.산군_붙여넣기'!$A$1:$AZ$1001,ROW(),설정!$C$10)&amp;"","")</f>
        <v/>
      </c>
      <c r="I545">
        <f>IFERROR(INDEX('1.산군_붙여넣기'!$A$1:$AZ$1001,ROW(),설정!$C$11)&amp;"","")</f>
        <v/>
      </c>
      <c r="J545">
        <f>IFERROR(INDEX('1.산군_붙여넣기'!$A$1:$AZ$1001,ROW(),설정!$C$12)&amp;"","")</f>
        <v/>
      </c>
      <c r="K545">
        <f>IFERROR(INDEX('1.산군_붙여넣기'!$A$1:$AZ$1001,ROW(),설정!$C$13)&amp;"","")</f>
        <v/>
      </c>
      <c r="L545" s="6">
        <f>IF(X545="","",IF(AND(LEN(X545)=8,ISNUMBER(X545*1)),DATE(LEFT(X545,4),MID(X545,5,2),RIGHT(X545,2)),IFERROR(DATEVALUE(SUBSTITUTE(SUBSTITUTE(X545,".","-"),"/","-")),IFERROR(X545*1,""))))</f>
        <v/>
      </c>
      <c r="M545" s="6">
        <f>IF(Y545="","",IF(AND(LEN(Y545)=8,ISNUMBER(Y545*1)),DATE(LEFT(Y545,4),MID(Y545,5,2),RIGHT(Y545,2)),IFERROR(DATEVALUE(SUBSTITUTE(SUBSTITUTE(Y545,".","-"),"/","-")),IFERROR(Y545*1,""))))</f>
        <v/>
      </c>
      <c r="N545">
        <f>IFERROR(LEFT(B545,FIND(" ",B545)-1),B545)</f>
        <v/>
      </c>
      <c r="O545">
        <f>AND(B545&lt;&gt;"",B545&lt;&gt;설정!$B$4,C545&lt;&gt;설정!$B$5)</f>
        <v/>
      </c>
      <c r="P545">
        <f>IF(O545,B545&amp;"|"&amp;C545,"")</f>
        <v/>
      </c>
      <c r="Q545">
        <f>AND(O545,COUNTIF(P546:P$1002,P545)=0)</f>
        <v/>
      </c>
      <c r="R545">
        <f>OR(AND(설정!$A$28&lt;&gt;"",ISNUMBER(SEARCH(설정!$A$28,E545&amp;" "&amp;C545))),AND(설정!$A$29&lt;&gt;"",ISNUMBER(SEARCH(설정!$A$29,E545&amp;" "&amp;C545))),AND(설정!$A$30&lt;&gt;"",ISNUMBER(SEARCH(설정!$A$30,E545&amp;" "&amp;C545))),AND(설정!$A$31&lt;&gt;"",ISNUMBER(SEARCH(설정!$A$31,E545&amp;" "&amp;C545))),AND(설정!$A$32&lt;&gt;"",ISNUMBER(SEARCH(설정!$A$32,E545&amp;" "&amp;C545))),AND(설정!$A$33&lt;&gt;"",ISNUMBER(SEARCH(설정!$A$33,E545&amp;" "&amp;C545))),AND(설정!$A$34&lt;&gt;"",ISNUMBER(SEARCH(설정!$A$34,E545&amp;" "&amp;C545))),AND(설정!$A$35&lt;&gt;"",ISNUMBER(SEARCH(설정!$A$35,E545&amp;" "&amp;C545))),AND(설정!$A$36&lt;&gt;"",ISNUMBER(SEARCH(설정!$A$36,E545&amp;" "&amp;C545))),AND(설정!$A$37&lt;&gt;"",ISNUMBER(SEARCH(설정!$A$37,E545&amp;" "&amp;C545))))</f>
        <v/>
      </c>
      <c r="S545">
        <f>OR(D545="",D545&gt;=설정!$B$19)</f>
        <v/>
      </c>
      <c r="T545">
        <f>AND(Q545,R545,S545)</f>
        <v/>
      </c>
      <c r="U545">
        <f>IF(T545,IF(AND(설정!$A$41&lt;&gt;"",ISNUMBER(SEARCH(설정!$A$41,K545))),설정!$B$41,IF(AND(설정!$A$42&lt;&gt;"",ISNUMBER(SEARCH(설정!$A$42,K545))),설정!$B$42,IF(AND(설정!$A$43&lt;&gt;"",ISNUMBER(SEARCH(설정!$A$43,K545))),설정!$B$43,IF(AND(설정!$A$44&lt;&gt;"",ISNUMBER(SEARCH(설정!$A$44,K545))),설정!$B$44,IF(AND(설정!$A$45&lt;&gt;"",ISNUMBER(SEARCH(설정!$A$45,K545))),설정!$B$45,IF(AND(설정!$A$46&lt;&gt;"",ISNUMBER(SEARCH(설정!$A$46,K545))),설정!$B$46,IF(AND(설정!$A$47&lt;&gt;"",ISNUMBER(SEARCH(설정!$A$47,K545))),설정!$B$47,IF(AND(설정!$A$48&lt;&gt;"",ISNUMBER(SEARCH(설정!$A$48,K545))),설정!$B$48,IF(M545="","설계사","시공사"))))))))),"")</f>
        <v/>
      </c>
      <c r="V545">
        <f>SUBSTITUTE(SUBSTITUTE(SUBSTITUTE(SUBSTITUTE(G545,"(주)",""),"㈜",""),"주식회사","")," ","")</f>
        <v/>
      </c>
      <c r="W545">
        <f>IF(AND(T545,V545&lt;&gt;""),IF(COUNTIFS(V$2:V545,V545,T$2:T545,TRUE)=1,MAX(W$1:W544)+1,""),"")</f>
        <v/>
      </c>
      <c r="X545">
        <f>IFERROR(INDEX('1.산군_붙여넣기'!$A$1:$AZ$1001,ROW(),설정!$C$14)&amp;"","")</f>
        <v/>
      </c>
      <c r="Y545">
        <f>IFERROR(INDEX('1.산군_붙여넣기'!$A$1:$AZ$1001,ROW(),설정!$C$15)&amp;"","")</f>
        <v/>
      </c>
      <c r="Z545">
        <f>IF(T545,V545&amp;"|"&amp;U545,"")</f>
        <v/>
      </c>
    </row>
    <row r="546">
      <c r="A546">
        <f>ROW()</f>
        <v/>
      </c>
      <c r="B546">
        <f>IFERROR(INDEX('1.산군_붙여넣기'!$A$1:$AZ$1001,ROW(),설정!$C$4)&amp;"","")</f>
        <v/>
      </c>
      <c r="C546">
        <f>IFERROR(INDEX('1.산군_붙여넣기'!$A$1:$AZ$1001,ROW(),설정!$C$5)&amp;"","")</f>
        <v/>
      </c>
      <c r="D546" s="5">
        <f>IFERROR(VALUE(SUBSTITUTE(SUBSTITUTE(SUBSTITUTE(IFERROR(INDEX('1.산군_붙여넣기'!$A$1:$AZ$1001,ROW(),설정!$C$6)&amp;"",""),",",""),"㎡",""),"m2","")),"")</f>
        <v/>
      </c>
      <c r="E546">
        <f>IFERROR(INDEX('1.산군_붙여넣기'!$A$1:$AZ$1001,ROW(),설정!$C$7)&amp;"","")</f>
        <v/>
      </c>
      <c r="F546">
        <f>IFERROR(INDEX('1.산군_붙여넣기'!$A$1:$AZ$1001,ROW(),설정!$C$8)&amp;"","")</f>
        <v/>
      </c>
      <c r="G546">
        <f>IFERROR(INDEX('1.산군_붙여넣기'!$A$1:$AZ$1001,ROW(),설정!$C$9)&amp;"","")</f>
        <v/>
      </c>
      <c r="H546">
        <f>IFERROR(INDEX('1.산군_붙여넣기'!$A$1:$AZ$1001,ROW(),설정!$C$10)&amp;"","")</f>
        <v/>
      </c>
      <c r="I546">
        <f>IFERROR(INDEX('1.산군_붙여넣기'!$A$1:$AZ$1001,ROW(),설정!$C$11)&amp;"","")</f>
        <v/>
      </c>
      <c r="J546">
        <f>IFERROR(INDEX('1.산군_붙여넣기'!$A$1:$AZ$1001,ROW(),설정!$C$12)&amp;"","")</f>
        <v/>
      </c>
      <c r="K546">
        <f>IFERROR(INDEX('1.산군_붙여넣기'!$A$1:$AZ$1001,ROW(),설정!$C$13)&amp;"","")</f>
        <v/>
      </c>
      <c r="L546" s="6">
        <f>IF(X546="","",IF(AND(LEN(X546)=8,ISNUMBER(X546*1)),DATE(LEFT(X546,4),MID(X546,5,2),RIGHT(X546,2)),IFERROR(DATEVALUE(SUBSTITUTE(SUBSTITUTE(X546,".","-"),"/","-")),IFERROR(X546*1,""))))</f>
        <v/>
      </c>
      <c r="M546" s="6">
        <f>IF(Y546="","",IF(AND(LEN(Y546)=8,ISNUMBER(Y546*1)),DATE(LEFT(Y546,4),MID(Y546,5,2),RIGHT(Y546,2)),IFERROR(DATEVALUE(SUBSTITUTE(SUBSTITUTE(Y546,".","-"),"/","-")),IFERROR(Y546*1,""))))</f>
        <v/>
      </c>
      <c r="N546">
        <f>IFERROR(LEFT(B546,FIND(" ",B546)-1),B546)</f>
        <v/>
      </c>
      <c r="O546">
        <f>AND(B546&lt;&gt;"",B546&lt;&gt;설정!$B$4,C546&lt;&gt;설정!$B$5)</f>
        <v/>
      </c>
      <c r="P546">
        <f>IF(O546,B546&amp;"|"&amp;C546,"")</f>
        <v/>
      </c>
      <c r="Q546">
        <f>AND(O546,COUNTIF(P547:P$1002,P546)=0)</f>
        <v/>
      </c>
      <c r="R546">
        <f>OR(AND(설정!$A$28&lt;&gt;"",ISNUMBER(SEARCH(설정!$A$28,E546&amp;" "&amp;C546))),AND(설정!$A$29&lt;&gt;"",ISNUMBER(SEARCH(설정!$A$29,E546&amp;" "&amp;C546))),AND(설정!$A$30&lt;&gt;"",ISNUMBER(SEARCH(설정!$A$30,E546&amp;" "&amp;C546))),AND(설정!$A$31&lt;&gt;"",ISNUMBER(SEARCH(설정!$A$31,E546&amp;" "&amp;C546))),AND(설정!$A$32&lt;&gt;"",ISNUMBER(SEARCH(설정!$A$32,E546&amp;" "&amp;C546))),AND(설정!$A$33&lt;&gt;"",ISNUMBER(SEARCH(설정!$A$33,E546&amp;" "&amp;C546))),AND(설정!$A$34&lt;&gt;"",ISNUMBER(SEARCH(설정!$A$34,E546&amp;" "&amp;C546))),AND(설정!$A$35&lt;&gt;"",ISNUMBER(SEARCH(설정!$A$35,E546&amp;" "&amp;C546))),AND(설정!$A$36&lt;&gt;"",ISNUMBER(SEARCH(설정!$A$36,E546&amp;" "&amp;C546))),AND(설정!$A$37&lt;&gt;"",ISNUMBER(SEARCH(설정!$A$37,E546&amp;" "&amp;C546))))</f>
        <v/>
      </c>
      <c r="S546">
        <f>OR(D546="",D546&gt;=설정!$B$19)</f>
        <v/>
      </c>
      <c r="T546">
        <f>AND(Q546,R546,S546)</f>
        <v/>
      </c>
      <c r="U546">
        <f>IF(T546,IF(AND(설정!$A$41&lt;&gt;"",ISNUMBER(SEARCH(설정!$A$41,K546))),설정!$B$41,IF(AND(설정!$A$42&lt;&gt;"",ISNUMBER(SEARCH(설정!$A$42,K546))),설정!$B$42,IF(AND(설정!$A$43&lt;&gt;"",ISNUMBER(SEARCH(설정!$A$43,K546))),설정!$B$43,IF(AND(설정!$A$44&lt;&gt;"",ISNUMBER(SEARCH(설정!$A$44,K546))),설정!$B$44,IF(AND(설정!$A$45&lt;&gt;"",ISNUMBER(SEARCH(설정!$A$45,K546))),설정!$B$45,IF(AND(설정!$A$46&lt;&gt;"",ISNUMBER(SEARCH(설정!$A$46,K546))),설정!$B$46,IF(AND(설정!$A$47&lt;&gt;"",ISNUMBER(SEARCH(설정!$A$47,K546))),설정!$B$47,IF(AND(설정!$A$48&lt;&gt;"",ISNUMBER(SEARCH(설정!$A$48,K546))),설정!$B$48,IF(M546="","설계사","시공사"))))))))),"")</f>
        <v/>
      </c>
      <c r="V546">
        <f>SUBSTITUTE(SUBSTITUTE(SUBSTITUTE(SUBSTITUTE(G546,"(주)",""),"㈜",""),"주식회사","")," ","")</f>
        <v/>
      </c>
      <c r="W546">
        <f>IF(AND(T546,V546&lt;&gt;""),IF(COUNTIFS(V$2:V546,V546,T$2:T546,TRUE)=1,MAX(W$1:W545)+1,""),"")</f>
        <v/>
      </c>
      <c r="X546">
        <f>IFERROR(INDEX('1.산군_붙여넣기'!$A$1:$AZ$1001,ROW(),설정!$C$14)&amp;"","")</f>
        <v/>
      </c>
      <c r="Y546">
        <f>IFERROR(INDEX('1.산군_붙여넣기'!$A$1:$AZ$1001,ROW(),설정!$C$15)&amp;"","")</f>
        <v/>
      </c>
      <c r="Z546">
        <f>IF(T546,V546&amp;"|"&amp;U546,"")</f>
        <v/>
      </c>
    </row>
    <row r="547">
      <c r="A547">
        <f>ROW()</f>
        <v/>
      </c>
      <c r="B547">
        <f>IFERROR(INDEX('1.산군_붙여넣기'!$A$1:$AZ$1001,ROW(),설정!$C$4)&amp;"","")</f>
        <v/>
      </c>
      <c r="C547">
        <f>IFERROR(INDEX('1.산군_붙여넣기'!$A$1:$AZ$1001,ROW(),설정!$C$5)&amp;"","")</f>
        <v/>
      </c>
      <c r="D547" s="5">
        <f>IFERROR(VALUE(SUBSTITUTE(SUBSTITUTE(SUBSTITUTE(IFERROR(INDEX('1.산군_붙여넣기'!$A$1:$AZ$1001,ROW(),설정!$C$6)&amp;"",""),",",""),"㎡",""),"m2","")),"")</f>
        <v/>
      </c>
      <c r="E547">
        <f>IFERROR(INDEX('1.산군_붙여넣기'!$A$1:$AZ$1001,ROW(),설정!$C$7)&amp;"","")</f>
        <v/>
      </c>
      <c r="F547">
        <f>IFERROR(INDEX('1.산군_붙여넣기'!$A$1:$AZ$1001,ROW(),설정!$C$8)&amp;"","")</f>
        <v/>
      </c>
      <c r="G547">
        <f>IFERROR(INDEX('1.산군_붙여넣기'!$A$1:$AZ$1001,ROW(),설정!$C$9)&amp;"","")</f>
        <v/>
      </c>
      <c r="H547">
        <f>IFERROR(INDEX('1.산군_붙여넣기'!$A$1:$AZ$1001,ROW(),설정!$C$10)&amp;"","")</f>
        <v/>
      </c>
      <c r="I547">
        <f>IFERROR(INDEX('1.산군_붙여넣기'!$A$1:$AZ$1001,ROW(),설정!$C$11)&amp;"","")</f>
        <v/>
      </c>
      <c r="J547">
        <f>IFERROR(INDEX('1.산군_붙여넣기'!$A$1:$AZ$1001,ROW(),설정!$C$12)&amp;"","")</f>
        <v/>
      </c>
      <c r="K547">
        <f>IFERROR(INDEX('1.산군_붙여넣기'!$A$1:$AZ$1001,ROW(),설정!$C$13)&amp;"","")</f>
        <v/>
      </c>
      <c r="L547" s="6">
        <f>IF(X547="","",IF(AND(LEN(X547)=8,ISNUMBER(X547*1)),DATE(LEFT(X547,4),MID(X547,5,2),RIGHT(X547,2)),IFERROR(DATEVALUE(SUBSTITUTE(SUBSTITUTE(X547,".","-"),"/","-")),IFERROR(X547*1,""))))</f>
        <v/>
      </c>
      <c r="M547" s="6">
        <f>IF(Y547="","",IF(AND(LEN(Y547)=8,ISNUMBER(Y547*1)),DATE(LEFT(Y547,4),MID(Y547,5,2),RIGHT(Y547,2)),IFERROR(DATEVALUE(SUBSTITUTE(SUBSTITUTE(Y547,".","-"),"/","-")),IFERROR(Y547*1,""))))</f>
        <v/>
      </c>
      <c r="N547">
        <f>IFERROR(LEFT(B547,FIND(" ",B547)-1),B547)</f>
        <v/>
      </c>
      <c r="O547">
        <f>AND(B547&lt;&gt;"",B547&lt;&gt;설정!$B$4,C547&lt;&gt;설정!$B$5)</f>
        <v/>
      </c>
      <c r="P547">
        <f>IF(O547,B547&amp;"|"&amp;C547,"")</f>
        <v/>
      </c>
      <c r="Q547">
        <f>AND(O547,COUNTIF(P548:P$1002,P547)=0)</f>
        <v/>
      </c>
      <c r="R547">
        <f>OR(AND(설정!$A$28&lt;&gt;"",ISNUMBER(SEARCH(설정!$A$28,E547&amp;" "&amp;C547))),AND(설정!$A$29&lt;&gt;"",ISNUMBER(SEARCH(설정!$A$29,E547&amp;" "&amp;C547))),AND(설정!$A$30&lt;&gt;"",ISNUMBER(SEARCH(설정!$A$30,E547&amp;" "&amp;C547))),AND(설정!$A$31&lt;&gt;"",ISNUMBER(SEARCH(설정!$A$31,E547&amp;" "&amp;C547))),AND(설정!$A$32&lt;&gt;"",ISNUMBER(SEARCH(설정!$A$32,E547&amp;" "&amp;C547))),AND(설정!$A$33&lt;&gt;"",ISNUMBER(SEARCH(설정!$A$33,E547&amp;" "&amp;C547))),AND(설정!$A$34&lt;&gt;"",ISNUMBER(SEARCH(설정!$A$34,E547&amp;" "&amp;C547))),AND(설정!$A$35&lt;&gt;"",ISNUMBER(SEARCH(설정!$A$35,E547&amp;" "&amp;C547))),AND(설정!$A$36&lt;&gt;"",ISNUMBER(SEARCH(설정!$A$36,E547&amp;" "&amp;C547))),AND(설정!$A$37&lt;&gt;"",ISNUMBER(SEARCH(설정!$A$37,E547&amp;" "&amp;C547))))</f>
        <v/>
      </c>
      <c r="S547">
        <f>OR(D547="",D547&gt;=설정!$B$19)</f>
        <v/>
      </c>
      <c r="T547">
        <f>AND(Q547,R547,S547)</f>
        <v/>
      </c>
      <c r="U547">
        <f>IF(T547,IF(AND(설정!$A$41&lt;&gt;"",ISNUMBER(SEARCH(설정!$A$41,K547))),설정!$B$41,IF(AND(설정!$A$42&lt;&gt;"",ISNUMBER(SEARCH(설정!$A$42,K547))),설정!$B$42,IF(AND(설정!$A$43&lt;&gt;"",ISNUMBER(SEARCH(설정!$A$43,K547))),설정!$B$43,IF(AND(설정!$A$44&lt;&gt;"",ISNUMBER(SEARCH(설정!$A$44,K547))),설정!$B$44,IF(AND(설정!$A$45&lt;&gt;"",ISNUMBER(SEARCH(설정!$A$45,K547))),설정!$B$45,IF(AND(설정!$A$46&lt;&gt;"",ISNUMBER(SEARCH(설정!$A$46,K547))),설정!$B$46,IF(AND(설정!$A$47&lt;&gt;"",ISNUMBER(SEARCH(설정!$A$47,K547))),설정!$B$47,IF(AND(설정!$A$48&lt;&gt;"",ISNUMBER(SEARCH(설정!$A$48,K547))),설정!$B$48,IF(M547="","설계사","시공사"))))))))),"")</f>
        <v/>
      </c>
      <c r="V547">
        <f>SUBSTITUTE(SUBSTITUTE(SUBSTITUTE(SUBSTITUTE(G547,"(주)",""),"㈜",""),"주식회사","")," ","")</f>
        <v/>
      </c>
      <c r="W547">
        <f>IF(AND(T547,V547&lt;&gt;""),IF(COUNTIFS(V$2:V547,V547,T$2:T547,TRUE)=1,MAX(W$1:W546)+1,""),"")</f>
        <v/>
      </c>
      <c r="X547">
        <f>IFERROR(INDEX('1.산군_붙여넣기'!$A$1:$AZ$1001,ROW(),설정!$C$14)&amp;"","")</f>
        <v/>
      </c>
      <c r="Y547">
        <f>IFERROR(INDEX('1.산군_붙여넣기'!$A$1:$AZ$1001,ROW(),설정!$C$15)&amp;"","")</f>
        <v/>
      </c>
      <c r="Z547">
        <f>IF(T547,V547&amp;"|"&amp;U547,"")</f>
        <v/>
      </c>
    </row>
    <row r="548">
      <c r="A548">
        <f>ROW()</f>
        <v/>
      </c>
      <c r="B548">
        <f>IFERROR(INDEX('1.산군_붙여넣기'!$A$1:$AZ$1001,ROW(),설정!$C$4)&amp;"","")</f>
        <v/>
      </c>
      <c r="C548">
        <f>IFERROR(INDEX('1.산군_붙여넣기'!$A$1:$AZ$1001,ROW(),설정!$C$5)&amp;"","")</f>
        <v/>
      </c>
      <c r="D548" s="5">
        <f>IFERROR(VALUE(SUBSTITUTE(SUBSTITUTE(SUBSTITUTE(IFERROR(INDEX('1.산군_붙여넣기'!$A$1:$AZ$1001,ROW(),설정!$C$6)&amp;"",""),",",""),"㎡",""),"m2","")),"")</f>
        <v/>
      </c>
      <c r="E548">
        <f>IFERROR(INDEX('1.산군_붙여넣기'!$A$1:$AZ$1001,ROW(),설정!$C$7)&amp;"","")</f>
        <v/>
      </c>
      <c r="F548">
        <f>IFERROR(INDEX('1.산군_붙여넣기'!$A$1:$AZ$1001,ROW(),설정!$C$8)&amp;"","")</f>
        <v/>
      </c>
      <c r="G548">
        <f>IFERROR(INDEX('1.산군_붙여넣기'!$A$1:$AZ$1001,ROW(),설정!$C$9)&amp;"","")</f>
        <v/>
      </c>
      <c r="H548">
        <f>IFERROR(INDEX('1.산군_붙여넣기'!$A$1:$AZ$1001,ROW(),설정!$C$10)&amp;"","")</f>
        <v/>
      </c>
      <c r="I548">
        <f>IFERROR(INDEX('1.산군_붙여넣기'!$A$1:$AZ$1001,ROW(),설정!$C$11)&amp;"","")</f>
        <v/>
      </c>
      <c r="J548">
        <f>IFERROR(INDEX('1.산군_붙여넣기'!$A$1:$AZ$1001,ROW(),설정!$C$12)&amp;"","")</f>
        <v/>
      </c>
      <c r="K548">
        <f>IFERROR(INDEX('1.산군_붙여넣기'!$A$1:$AZ$1001,ROW(),설정!$C$13)&amp;"","")</f>
        <v/>
      </c>
      <c r="L548" s="6">
        <f>IF(X548="","",IF(AND(LEN(X548)=8,ISNUMBER(X548*1)),DATE(LEFT(X548,4),MID(X548,5,2),RIGHT(X548,2)),IFERROR(DATEVALUE(SUBSTITUTE(SUBSTITUTE(X548,".","-"),"/","-")),IFERROR(X548*1,""))))</f>
        <v/>
      </c>
      <c r="M548" s="6">
        <f>IF(Y548="","",IF(AND(LEN(Y548)=8,ISNUMBER(Y548*1)),DATE(LEFT(Y548,4),MID(Y548,5,2),RIGHT(Y548,2)),IFERROR(DATEVALUE(SUBSTITUTE(SUBSTITUTE(Y548,".","-"),"/","-")),IFERROR(Y548*1,""))))</f>
        <v/>
      </c>
      <c r="N548">
        <f>IFERROR(LEFT(B548,FIND(" ",B548)-1),B548)</f>
        <v/>
      </c>
      <c r="O548">
        <f>AND(B548&lt;&gt;"",B548&lt;&gt;설정!$B$4,C548&lt;&gt;설정!$B$5)</f>
        <v/>
      </c>
      <c r="P548">
        <f>IF(O548,B548&amp;"|"&amp;C548,"")</f>
        <v/>
      </c>
      <c r="Q548">
        <f>AND(O548,COUNTIF(P549:P$1002,P548)=0)</f>
        <v/>
      </c>
      <c r="R548">
        <f>OR(AND(설정!$A$28&lt;&gt;"",ISNUMBER(SEARCH(설정!$A$28,E548&amp;" "&amp;C548))),AND(설정!$A$29&lt;&gt;"",ISNUMBER(SEARCH(설정!$A$29,E548&amp;" "&amp;C548))),AND(설정!$A$30&lt;&gt;"",ISNUMBER(SEARCH(설정!$A$30,E548&amp;" "&amp;C548))),AND(설정!$A$31&lt;&gt;"",ISNUMBER(SEARCH(설정!$A$31,E548&amp;" "&amp;C548))),AND(설정!$A$32&lt;&gt;"",ISNUMBER(SEARCH(설정!$A$32,E548&amp;" "&amp;C548))),AND(설정!$A$33&lt;&gt;"",ISNUMBER(SEARCH(설정!$A$33,E548&amp;" "&amp;C548))),AND(설정!$A$34&lt;&gt;"",ISNUMBER(SEARCH(설정!$A$34,E548&amp;" "&amp;C548))),AND(설정!$A$35&lt;&gt;"",ISNUMBER(SEARCH(설정!$A$35,E548&amp;" "&amp;C548))),AND(설정!$A$36&lt;&gt;"",ISNUMBER(SEARCH(설정!$A$36,E548&amp;" "&amp;C548))),AND(설정!$A$37&lt;&gt;"",ISNUMBER(SEARCH(설정!$A$37,E548&amp;" "&amp;C548))))</f>
        <v/>
      </c>
      <c r="S548">
        <f>OR(D548="",D548&gt;=설정!$B$19)</f>
        <v/>
      </c>
      <c r="T548">
        <f>AND(Q548,R548,S548)</f>
        <v/>
      </c>
      <c r="U548">
        <f>IF(T548,IF(AND(설정!$A$41&lt;&gt;"",ISNUMBER(SEARCH(설정!$A$41,K548))),설정!$B$41,IF(AND(설정!$A$42&lt;&gt;"",ISNUMBER(SEARCH(설정!$A$42,K548))),설정!$B$42,IF(AND(설정!$A$43&lt;&gt;"",ISNUMBER(SEARCH(설정!$A$43,K548))),설정!$B$43,IF(AND(설정!$A$44&lt;&gt;"",ISNUMBER(SEARCH(설정!$A$44,K548))),설정!$B$44,IF(AND(설정!$A$45&lt;&gt;"",ISNUMBER(SEARCH(설정!$A$45,K548))),설정!$B$45,IF(AND(설정!$A$46&lt;&gt;"",ISNUMBER(SEARCH(설정!$A$46,K548))),설정!$B$46,IF(AND(설정!$A$47&lt;&gt;"",ISNUMBER(SEARCH(설정!$A$47,K548))),설정!$B$47,IF(AND(설정!$A$48&lt;&gt;"",ISNUMBER(SEARCH(설정!$A$48,K548))),설정!$B$48,IF(M548="","설계사","시공사"))))))))),"")</f>
        <v/>
      </c>
      <c r="V548">
        <f>SUBSTITUTE(SUBSTITUTE(SUBSTITUTE(SUBSTITUTE(G548,"(주)",""),"㈜",""),"주식회사","")," ","")</f>
        <v/>
      </c>
      <c r="W548">
        <f>IF(AND(T548,V548&lt;&gt;""),IF(COUNTIFS(V$2:V548,V548,T$2:T548,TRUE)=1,MAX(W$1:W547)+1,""),"")</f>
        <v/>
      </c>
      <c r="X548">
        <f>IFERROR(INDEX('1.산군_붙여넣기'!$A$1:$AZ$1001,ROW(),설정!$C$14)&amp;"","")</f>
        <v/>
      </c>
      <c r="Y548">
        <f>IFERROR(INDEX('1.산군_붙여넣기'!$A$1:$AZ$1001,ROW(),설정!$C$15)&amp;"","")</f>
        <v/>
      </c>
      <c r="Z548">
        <f>IF(T548,V548&amp;"|"&amp;U548,"")</f>
        <v/>
      </c>
    </row>
    <row r="549">
      <c r="A549">
        <f>ROW()</f>
        <v/>
      </c>
      <c r="B549">
        <f>IFERROR(INDEX('1.산군_붙여넣기'!$A$1:$AZ$1001,ROW(),설정!$C$4)&amp;"","")</f>
        <v/>
      </c>
      <c r="C549">
        <f>IFERROR(INDEX('1.산군_붙여넣기'!$A$1:$AZ$1001,ROW(),설정!$C$5)&amp;"","")</f>
        <v/>
      </c>
      <c r="D549" s="5">
        <f>IFERROR(VALUE(SUBSTITUTE(SUBSTITUTE(SUBSTITUTE(IFERROR(INDEX('1.산군_붙여넣기'!$A$1:$AZ$1001,ROW(),설정!$C$6)&amp;"",""),",",""),"㎡",""),"m2","")),"")</f>
        <v/>
      </c>
      <c r="E549">
        <f>IFERROR(INDEX('1.산군_붙여넣기'!$A$1:$AZ$1001,ROW(),설정!$C$7)&amp;"","")</f>
        <v/>
      </c>
      <c r="F549">
        <f>IFERROR(INDEX('1.산군_붙여넣기'!$A$1:$AZ$1001,ROW(),설정!$C$8)&amp;"","")</f>
        <v/>
      </c>
      <c r="G549">
        <f>IFERROR(INDEX('1.산군_붙여넣기'!$A$1:$AZ$1001,ROW(),설정!$C$9)&amp;"","")</f>
        <v/>
      </c>
      <c r="H549">
        <f>IFERROR(INDEX('1.산군_붙여넣기'!$A$1:$AZ$1001,ROW(),설정!$C$10)&amp;"","")</f>
        <v/>
      </c>
      <c r="I549">
        <f>IFERROR(INDEX('1.산군_붙여넣기'!$A$1:$AZ$1001,ROW(),설정!$C$11)&amp;"","")</f>
        <v/>
      </c>
      <c r="J549">
        <f>IFERROR(INDEX('1.산군_붙여넣기'!$A$1:$AZ$1001,ROW(),설정!$C$12)&amp;"","")</f>
        <v/>
      </c>
      <c r="K549">
        <f>IFERROR(INDEX('1.산군_붙여넣기'!$A$1:$AZ$1001,ROW(),설정!$C$13)&amp;"","")</f>
        <v/>
      </c>
      <c r="L549" s="6">
        <f>IF(X549="","",IF(AND(LEN(X549)=8,ISNUMBER(X549*1)),DATE(LEFT(X549,4),MID(X549,5,2),RIGHT(X549,2)),IFERROR(DATEVALUE(SUBSTITUTE(SUBSTITUTE(X549,".","-"),"/","-")),IFERROR(X549*1,""))))</f>
        <v/>
      </c>
      <c r="M549" s="6">
        <f>IF(Y549="","",IF(AND(LEN(Y549)=8,ISNUMBER(Y549*1)),DATE(LEFT(Y549,4),MID(Y549,5,2),RIGHT(Y549,2)),IFERROR(DATEVALUE(SUBSTITUTE(SUBSTITUTE(Y549,".","-"),"/","-")),IFERROR(Y549*1,""))))</f>
        <v/>
      </c>
      <c r="N549">
        <f>IFERROR(LEFT(B549,FIND(" ",B549)-1),B549)</f>
        <v/>
      </c>
      <c r="O549">
        <f>AND(B549&lt;&gt;"",B549&lt;&gt;설정!$B$4,C549&lt;&gt;설정!$B$5)</f>
        <v/>
      </c>
      <c r="P549">
        <f>IF(O549,B549&amp;"|"&amp;C549,"")</f>
        <v/>
      </c>
      <c r="Q549">
        <f>AND(O549,COUNTIF(P550:P$1002,P549)=0)</f>
        <v/>
      </c>
      <c r="R549">
        <f>OR(AND(설정!$A$28&lt;&gt;"",ISNUMBER(SEARCH(설정!$A$28,E549&amp;" "&amp;C549))),AND(설정!$A$29&lt;&gt;"",ISNUMBER(SEARCH(설정!$A$29,E549&amp;" "&amp;C549))),AND(설정!$A$30&lt;&gt;"",ISNUMBER(SEARCH(설정!$A$30,E549&amp;" "&amp;C549))),AND(설정!$A$31&lt;&gt;"",ISNUMBER(SEARCH(설정!$A$31,E549&amp;" "&amp;C549))),AND(설정!$A$32&lt;&gt;"",ISNUMBER(SEARCH(설정!$A$32,E549&amp;" "&amp;C549))),AND(설정!$A$33&lt;&gt;"",ISNUMBER(SEARCH(설정!$A$33,E549&amp;" "&amp;C549))),AND(설정!$A$34&lt;&gt;"",ISNUMBER(SEARCH(설정!$A$34,E549&amp;" "&amp;C549))),AND(설정!$A$35&lt;&gt;"",ISNUMBER(SEARCH(설정!$A$35,E549&amp;" "&amp;C549))),AND(설정!$A$36&lt;&gt;"",ISNUMBER(SEARCH(설정!$A$36,E549&amp;" "&amp;C549))),AND(설정!$A$37&lt;&gt;"",ISNUMBER(SEARCH(설정!$A$37,E549&amp;" "&amp;C549))))</f>
        <v/>
      </c>
      <c r="S549">
        <f>OR(D549="",D549&gt;=설정!$B$19)</f>
        <v/>
      </c>
      <c r="T549">
        <f>AND(Q549,R549,S549)</f>
        <v/>
      </c>
      <c r="U549">
        <f>IF(T549,IF(AND(설정!$A$41&lt;&gt;"",ISNUMBER(SEARCH(설정!$A$41,K549))),설정!$B$41,IF(AND(설정!$A$42&lt;&gt;"",ISNUMBER(SEARCH(설정!$A$42,K549))),설정!$B$42,IF(AND(설정!$A$43&lt;&gt;"",ISNUMBER(SEARCH(설정!$A$43,K549))),설정!$B$43,IF(AND(설정!$A$44&lt;&gt;"",ISNUMBER(SEARCH(설정!$A$44,K549))),설정!$B$44,IF(AND(설정!$A$45&lt;&gt;"",ISNUMBER(SEARCH(설정!$A$45,K549))),설정!$B$45,IF(AND(설정!$A$46&lt;&gt;"",ISNUMBER(SEARCH(설정!$A$46,K549))),설정!$B$46,IF(AND(설정!$A$47&lt;&gt;"",ISNUMBER(SEARCH(설정!$A$47,K549))),설정!$B$47,IF(AND(설정!$A$48&lt;&gt;"",ISNUMBER(SEARCH(설정!$A$48,K549))),설정!$B$48,IF(M549="","설계사","시공사"))))))))),"")</f>
        <v/>
      </c>
      <c r="V549">
        <f>SUBSTITUTE(SUBSTITUTE(SUBSTITUTE(SUBSTITUTE(G549,"(주)",""),"㈜",""),"주식회사","")," ","")</f>
        <v/>
      </c>
      <c r="W549">
        <f>IF(AND(T549,V549&lt;&gt;""),IF(COUNTIFS(V$2:V549,V549,T$2:T549,TRUE)=1,MAX(W$1:W548)+1,""),"")</f>
        <v/>
      </c>
      <c r="X549">
        <f>IFERROR(INDEX('1.산군_붙여넣기'!$A$1:$AZ$1001,ROW(),설정!$C$14)&amp;"","")</f>
        <v/>
      </c>
      <c r="Y549">
        <f>IFERROR(INDEX('1.산군_붙여넣기'!$A$1:$AZ$1001,ROW(),설정!$C$15)&amp;"","")</f>
        <v/>
      </c>
      <c r="Z549">
        <f>IF(T549,V549&amp;"|"&amp;U549,"")</f>
        <v/>
      </c>
    </row>
    <row r="550">
      <c r="A550">
        <f>ROW()</f>
        <v/>
      </c>
      <c r="B550">
        <f>IFERROR(INDEX('1.산군_붙여넣기'!$A$1:$AZ$1001,ROW(),설정!$C$4)&amp;"","")</f>
        <v/>
      </c>
      <c r="C550">
        <f>IFERROR(INDEX('1.산군_붙여넣기'!$A$1:$AZ$1001,ROW(),설정!$C$5)&amp;"","")</f>
        <v/>
      </c>
      <c r="D550" s="5">
        <f>IFERROR(VALUE(SUBSTITUTE(SUBSTITUTE(SUBSTITUTE(IFERROR(INDEX('1.산군_붙여넣기'!$A$1:$AZ$1001,ROW(),설정!$C$6)&amp;"",""),",",""),"㎡",""),"m2","")),"")</f>
        <v/>
      </c>
      <c r="E550">
        <f>IFERROR(INDEX('1.산군_붙여넣기'!$A$1:$AZ$1001,ROW(),설정!$C$7)&amp;"","")</f>
        <v/>
      </c>
      <c r="F550">
        <f>IFERROR(INDEX('1.산군_붙여넣기'!$A$1:$AZ$1001,ROW(),설정!$C$8)&amp;"","")</f>
        <v/>
      </c>
      <c r="G550">
        <f>IFERROR(INDEX('1.산군_붙여넣기'!$A$1:$AZ$1001,ROW(),설정!$C$9)&amp;"","")</f>
        <v/>
      </c>
      <c r="H550">
        <f>IFERROR(INDEX('1.산군_붙여넣기'!$A$1:$AZ$1001,ROW(),설정!$C$10)&amp;"","")</f>
        <v/>
      </c>
      <c r="I550">
        <f>IFERROR(INDEX('1.산군_붙여넣기'!$A$1:$AZ$1001,ROW(),설정!$C$11)&amp;"","")</f>
        <v/>
      </c>
      <c r="J550">
        <f>IFERROR(INDEX('1.산군_붙여넣기'!$A$1:$AZ$1001,ROW(),설정!$C$12)&amp;"","")</f>
        <v/>
      </c>
      <c r="K550">
        <f>IFERROR(INDEX('1.산군_붙여넣기'!$A$1:$AZ$1001,ROW(),설정!$C$13)&amp;"","")</f>
        <v/>
      </c>
      <c r="L550" s="6">
        <f>IF(X550="","",IF(AND(LEN(X550)=8,ISNUMBER(X550*1)),DATE(LEFT(X550,4),MID(X550,5,2),RIGHT(X550,2)),IFERROR(DATEVALUE(SUBSTITUTE(SUBSTITUTE(X550,".","-"),"/","-")),IFERROR(X550*1,""))))</f>
        <v/>
      </c>
      <c r="M550" s="6">
        <f>IF(Y550="","",IF(AND(LEN(Y550)=8,ISNUMBER(Y550*1)),DATE(LEFT(Y550,4),MID(Y550,5,2),RIGHT(Y550,2)),IFERROR(DATEVALUE(SUBSTITUTE(SUBSTITUTE(Y550,".","-"),"/","-")),IFERROR(Y550*1,""))))</f>
        <v/>
      </c>
      <c r="N550">
        <f>IFERROR(LEFT(B550,FIND(" ",B550)-1),B550)</f>
        <v/>
      </c>
      <c r="O550">
        <f>AND(B550&lt;&gt;"",B550&lt;&gt;설정!$B$4,C550&lt;&gt;설정!$B$5)</f>
        <v/>
      </c>
      <c r="P550">
        <f>IF(O550,B550&amp;"|"&amp;C550,"")</f>
        <v/>
      </c>
      <c r="Q550">
        <f>AND(O550,COUNTIF(P551:P$1002,P550)=0)</f>
        <v/>
      </c>
      <c r="R550">
        <f>OR(AND(설정!$A$28&lt;&gt;"",ISNUMBER(SEARCH(설정!$A$28,E550&amp;" "&amp;C550))),AND(설정!$A$29&lt;&gt;"",ISNUMBER(SEARCH(설정!$A$29,E550&amp;" "&amp;C550))),AND(설정!$A$30&lt;&gt;"",ISNUMBER(SEARCH(설정!$A$30,E550&amp;" "&amp;C550))),AND(설정!$A$31&lt;&gt;"",ISNUMBER(SEARCH(설정!$A$31,E550&amp;" "&amp;C550))),AND(설정!$A$32&lt;&gt;"",ISNUMBER(SEARCH(설정!$A$32,E550&amp;" "&amp;C550))),AND(설정!$A$33&lt;&gt;"",ISNUMBER(SEARCH(설정!$A$33,E550&amp;" "&amp;C550))),AND(설정!$A$34&lt;&gt;"",ISNUMBER(SEARCH(설정!$A$34,E550&amp;" "&amp;C550))),AND(설정!$A$35&lt;&gt;"",ISNUMBER(SEARCH(설정!$A$35,E550&amp;" "&amp;C550))),AND(설정!$A$36&lt;&gt;"",ISNUMBER(SEARCH(설정!$A$36,E550&amp;" "&amp;C550))),AND(설정!$A$37&lt;&gt;"",ISNUMBER(SEARCH(설정!$A$37,E550&amp;" "&amp;C550))))</f>
        <v/>
      </c>
      <c r="S550">
        <f>OR(D550="",D550&gt;=설정!$B$19)</f>
        <v/>
      </c>
      <c r="T550">
        <f>AND(Q550,R550,S550)</f>
        <v/>
      </c>
      <c r="U550">
        <f>IF(T550,IF(AND(설정!$A$41&lt;&gt;"",ISNUMBER(SEARCH(설정!$A$41,K550))),설정!$B$41,IF(AND(설정!$A$42&lt;&gt;"",ISNUMBER(SEARCH(설정!$A$42,K550))),설정!$B$42,IF(AND(설정!$A$43&lt;&gt;"",ISNUMBER(SEARCH(설정!$A$43,K550))),설정!$B$43,IF(AND(설정!$A$44&lt;&gt;"",ISNUMBER(SEARCH(설정!$A$44,K550))),설정!$B$44,IF(AND(설정!$A$45&lt;&gt;"",ISNUMBER(SEARCH(설정!$A$45,K550))),설정!$B$45,IF(AND(설정!$A$46&lt;&gt;"",ISNUMBER(SEARCH(설정!$A$46,K550))),설정!$B$46,IF(AND(설정!$A$47&lt;&gt;"",ISNUMBER(SEARCH(설정!$A$47,K550))),설정!$B$47,IF(AND(설정!$A$48&lt;&gt;"",ISNUMBER(SEARCH(설정!$A$48,K550))),설정!$B$48,IF(M550="","설계사","시공사"))))))))),"")</f>
        <v/>
      </c>
      <c r="V550">
        <f>SUBSTITUTE(SUBSTITUTE(SUBSTITUTE(SUBSTITUTE(G550,"(주)",""),"㈜",""),"주식회사","")," ","")</f>
        <v/>
      </c>
      <c r="W550">
        <f>IF(AND(T550,V550&lt;&gt;""),IF(COUNTIFS(V$2:V550,V550,T$2:T550,TRUE)=1,MAX(W$1:W549)+1,""),"")</f>
        <v/>
      </c>
      <c r="X550">
        <f>IFERROR(INDEX('1.산군_붙여넣기'!$A$1:$AZ$1001,ROW(),설정!$C$14)&amp;"","")</f>
        <v/>
      </c>
      <c r="Y550">
        <f>IFERROR(INDEX('1.산군_붙여넣기'!$A$1:$AZ$1001,ROW(),설정!$C$15)&amp;"","")</f>
        <v/>
      </c>
      <c r="Z550">
        <f>IF(T550,V550&amp;"|"&amp;U550,"")</f>
        <v/>
      </c>
    </row>
    <row r="551">
      <c r="A551">
        <f>ROW()</f>
        <v/>
      </c>
      <c r="B551">
        <f>IFERROR(INDEX('1.산군_붙여넣기'!$A$1:$AZ$1001,ROW(),설정!$C$4)&amp;"","")</f>
        <v/>
      </c>
      <c r="C551">
        <f>IFERROR(INDEX('1.산군_붙여넣기'!$A$1:$AZ$1001,ROW(),설정!$C$5)&amp;"","")</f>
        <v/>
      </c>
      <c r="D551" s="5">
        <f>IFERROR(VALUE(SUBSTITUTE(SUBSTITUTE(SUBSTITUTE(IFERROR(INDEX('1.산군_붙여넣기'!$A$1:$AZ$1001,ROW(),설정!$C$6)&amp;"",""),",",""),"㎡",""),"m2","")),"")</f>
        <v/>
      </c>
      <c r="E551">
        <f>IFERROR(INDEX('1.산군_붙여넣기'!$A$1:$AZ$1001,ROW(),설정!$C$7)&amp;"","")</f>
        <v/>
      </c>
      <c r="F551">
        <f>IFERROR(INDEX('1.산군_붙여넣기'!$A$1:$AZ$1001,ROW(),설정!$C$8)&amp;"","")</f>
        <v/>
      </c>
      <c r="G551">
        <f>IFERROR(INDEX('1.산군_붙여넣기'!$A$1:$AZ$1001,ROW(),설정!$C$9)&amp;"","")</f>
        <v/>
      </c>
      <c r="H551">
        <f>IFERROR(INDEX('1.산군_붙여넣기'!$A$1:$AZ$1001,ROW(),설정!$C$10)&amp;"","")</f>
        <v/>
      </c>
      <c r="I551">
        <f>IFERROR(INDEX('1.산군_붙여넣기'!$A$1:$AZ$1001,ROW(),설정!$C$11)&amp;"","")</f>
        <v/>
      </c>
      <c r="J551">
        <f>IFERROR(INDEX('1.산군_붙여넣기'!$A$1:$AZ$1001,ROW(),설정!$C$12)&amp;"","")</f>
        <v/>
      </c>
      <c r="K551">
        <f>IFERROR(INDEX('1.산군_붙여넣기'!$A$1:$AZ$1001,ROW(),설정!$C$13)&amp;"","")</f>
        <v/>
      </c>
      <c r="L551" s="6">
        <f>IF(X551="","",IF(AND(LEN(X551)=8,ISNUMBER(X551*1)),DATE(LEFT(X551,4),MID(X551,5,2),RIGHT(X551,2)),IFERROR(DATEVALUE(SUBSTITUTE(SUBSTITUTE(X551,".","-"),"/","-")),IFERROR(X551*1,""))))</f>
        <v/>
      </c>
      <c r="M551" s="6">
        <f>IF(Y551="","",IF(AND(LEN(Y551)=8,ISNUMBER(Y551*1)),DATE(LEFT(Y551,4),MID(Y551,5,2),RIGHT(Y551,2)),IFERROR(DATEVALUE(SUBSTITUTE(SUBSTITUTE(Y551,".","-"),"/","-")),IFERROR(Y551*1,""))))</f>
        <v/>
      </c>
      <c r="N551">
        <f>IFERROR(LEFT(B551,FIND(" ",B551)-1),B551)</f>
        <v/>
      </c>
      <c r="O551">
        <f>AND(B551&lt;&gt;"",B551&lt;&gt;설정!$B$4,C551&lt;&gt;설정!$B$5)</f>
        <v/>
      </c>
      <c r="P551">
        <f>IF(O551,B551&amp;"|"&amp;C551,"")</f>
        <v/>
      </c>
      <c r="Q551">
        <f>AND(O551,COUNTIF(P552:P$1002,P551)=0)</f>
        <v/>
      </c>
      <c r="R551">
        <f>OR(AND(설정!$A$28&lt;&gt;"",ISNUMBER(SEARCH(설정!$A$28,E551&amp;" "&amp;C551))),AND(설정!$A$29&lt;&gt;"",ISNUMBER(SEARCH(설정!$A$29,E551&amp;" "&amp;C551))),AND(설정!$A$30&lt;&gt;"",ISNUMBER(SEARCH(설정!$A$30,E551&amp;" "&amp;C551))),AND(설정!$A$31&lt;&gt;"",ISNUMBER(SEARCH(설정!$A$31,E551&amp;" "&amp;C551))),AND(설정!$A$32&lt;&gt;"",ISNUMBER(SEARCH(설정!$A$32,E551&amp;" "&amp;C551))),AND(설정!$A$33&lt;&gt;"",ISNUMBER(SEARCH(설정!$A$33,E551&amp;" "&amp;C551))),AND(설정!$A$34&lt;&gt;"",ISNUMBER(SEARCH(설정!$A$34,E551&amp;" "&amp;C551))),AND(설정!$A$35&lt;&gt;"",ISNUMBER(SEARCH(설정!$A$35,E551&amp;" "&amp;C551))),AND(설정!$A$36&lt;&gt;"",ISNUMBER(SEARCH(설정!$A$36,E551&amp;" "&amp;C551))),AND(설정!$A$37&lt;&gt;"",ISNUMBER(SEARCH(설정!$A$37,E551&amp;" "&amp;C551))))</f>
        <v/>
      </c>
      <c r="S551">
        <f>OR(D551="",D551&gt;=설정!$B$19)</f>
        <v/>
      </c>
      <c r="T551">
        <f>AND(Q551,R551,S551)</f>
        <v/>
      </c>
      <c r="U551">
        <f>IF(T551,IF(AND(설정!$A$41&lt;&gt;"",ISNUMBER(SEARCH(설정!$A$41,K551))),설정!$B$41,IF(AND(설정!$A$42&lt;&gt;"",ISNUMBER(SEARCH(설정!$A$42,K551))),설정!$B$42,IF(AND(설정!$A$43&lt;&gt;"",ISNUMBER(SEARCH(설정!$A$43,K551))),설정!$B$43,IF(AND(설정!$A$44&lt;&gt;"",ISNUMBER(SEARCH(설정!$A$44,K551))),설정!$B$44,IF(AND(설정!$A$45&lt;&gt;"",ISNUMBER(SEARCH(설정!$A$45,K551))),설정!$B$45,IF(AND(설정!$A$46&lt;&gt;"",ISNUMBER(SEARCH(설정!$A$46,K551))),설정!$B$46,IF(AND(설정!$A$47&lt;&gt;"",ISNUMBER(SEARCH(설정!$A$47,K551))),설정!$B$47,IF(AND(설정!$A$48&lt;&gt;"",ISNUMBER(SEARCH(설정!$A$48,K551))),설정!$B$48,IF(M551="","설계사","시공사"))))))))),"")</f>
        <v/>
      </c>
      <c r="V551">
        <f>SUBSTITUTE(SUBSTITUTE(SUBSTITUTE(SUBSTITUTE(G551,"(주)",""),"㈜",""),"주식회사","")," ","")</f>
        <v/>
      </c>
      <c r="W551">
        <f>IF(AND(T551,V551&lt;&gt;""),IF(COUNTIFS(V$2:V551,V551,T$2:T551,TRUE)=1,MAX(W$1:W550)+1,""),"")</f>
        <v/>
      </c>
      <c r="X551">
        <f>IFERROR(INDEX('1.산군_붙여넣기'!$A$1:$AZ$1001,ROW(),설정!$C$14)&amp;"","")</f>
        <v/>
      </c>
      <c r="Y551">
        <f>IFERROR(INDEX('1.산군_붙여넣기'!$A$1:$AZ$1001,ROW(),설정!$C$15)&amp;"","")</f>
        <v/>
      </c>
      <c r="Z551">
        <f>IF(T551,V551&amp;"|"&amp;U551,"")</f>
        <v/>
      </c>
    </row>
    <row r="552">
      <c r="A552">
        <f>ROW()</f>
        <v/>
      </c>
      <c r="B552">
        <f>IFERROR(INDEX('1.산군_붙여넣기'!$A$1:$AZ$1001,ROW(),설정!$C$4)&amp;"","")</f>
        <v/>
      </c>
      <c r="C552">
        <f>IFERROR(INDEX('1.산군_붙여넣기'!$A$1:$AZ$1001,ROW(),설정!$C$5)&amp;"","")</f>
        <v/>
      </c>
      <c r="D552" s="5">
        <f>IFERROR(VALUE(SUBSTITUTE(SUBSTITUTE(SUBSTITUTE(IFERROR(INDEX('1.산군_붙여넣기'!$A$1:$AZ$1001,ROW(),설정!$C$6)&amp;"",""),",",""),"㎡",""),"m2","")),"")</f>
        <v/>
      </c>
      <c r="E552">
        <f>IFERROR(INDEX('1.산군_붙여넣기'!$A$1:$AZ$1001,ROW(),설정!$C$7)&amp;"","")</f>
        <v/>
      </c>
      <c r="F552">
        <f>IFERROR(INDEX('1.산군_붙여넣기'!$A$1:$AZ$1001,ROW(),설정!$C$8)&amp;"","")</f>
        <v/>
      </c>
      <c r="G552">
        <f>IFERROR(INDEX('1.산군_붙여넣기'!$A$1:$AZ$1001,ROW(),설정!$C$9)&amp;"","")</f>
        <v/>
      </c>
      <c r="H552">
        <f>IFERROR(INDEX('1.산군_붙여넣기'!$A$1:$AZ$1001,ROW(),설정!$C$10)&amp;"","")</f>
        <v/>
      </c>
      <c r="I552">
        <f>IFERROR(INDEX('1.산군_붙여넣기'!$A$1:$AZ$1001,ROW(),설정!$C$11)&amp;"","")</f>
        <v/>
      </c>
      <c r="J552">
        <f>IFERROR(INDEX('1.산군_붙여넣기'!$A$1:$AZ$1001,ROW(),설정!$C$12)&amp;"","")</f>
        <v/>
      </c>
      <c r="K552">
        <f>IFERROR(INDEX('1.산군_붙여넣기'!$A$1:$AZ$1001,ROW(),설정!$C$13)&amp;"","")</f>
        <v/>
      </c>
      <c r="L552" s="6">
        <f>IF(X552="","",IF(AND(LEN(X552)=8,ISNUMBER(X552*1)),DATE(LEFT(X552,4),MID(X552,5,2),RIGHT(X552,2)),IFERROR(DATEVALUE(SUBSTITUTE(SUBSTITUTE(X552,".","-"),"/","-")),IFERROR(X552*1,""))))</f>
        <v/>
      </c>
      <c r="M552" s="6">
        <f>IF(Y552="","",IF(AND(LEN(Y552)=8,ISNUMBER(Y552*1)),DATE(LEFT(Y552,4),MID(Y552,5,2),RIGHT(Y552,2)),IFERROR(DATEVALUE(SUBSTITUTE(SUBSTITUTE(Y552,".","-"),"/","-")),IFERROR(Y552*1,""))))</f>
        <v/>
      </c>
      <c r="N552">
        <f>IFERROR(LEFT(B552,FIND(" ",B552)-1),B552)</f>
        <v/>
      </c>
      <c r="O552">
        <f>AND(B552&lt;&gt;"",B552&lt;&gt;설정!$B$4,C552&lt;&gt;설정!$B$5)</f>
        <v/>
      </c>
      <c r="P552">
        <f>IF(O552,B552&amp;"|"&amp;C552,"")</f>
        <v/>
      </c>
      <c r="Q552">
        <f>AND(O552,COUNTIF(P553:P$1002,P552)=0)</f>
        <v/>
      </c>
      <c r="R552">
        <f>OR(AND(설정!$A$28&lt;&gt;"",ISNUMBER(SEARCH(설정!$A$28,E552&amp;" "&amp;C552))),AND(설정!$A$29&lt;&gt;"",ISNUMBER(SEARCH(설정!$A$29,E552&amp;" "&amp;C552))),AND(설정!$A$30&lt;&gt;"",ISNUMBER(SEARCH(설정!$A$30,E552&amp;" "&amp;C552))),AND(설정!$A$31&lt;&gt;"",ISNUMBER(SEARCH(설정!$A$31,E552&amp;" "&amp;C552))),AND(설정!$A$32&lt;&gt;"",ISNUMBER(SEARCH(설정!$A$32,E552&amp;" "&amp;C552))),AND(설정!$A$33&lt;&gt;"",ISNUMBER(SEARCH(설정!$A$33,E552&amp;" "&amp;C552))),AND(설정!$A$34&lt;&gt;"",ISNUMBER(SEARCH(설정!$A$34,E552&amp;" "&amp;C552))),AND(설정!$A$35&lt;&gt;"",ISNUMBER(SEARCH(설정!$A$35,E552&amp;" "&amp;C552))),AND(설정!$A$36&lt;&gt;"",ISNUMBER(SEARCH(설정!$A$36,E552&amp;" "&amp;C552))),AND(설정!$A$37&lt;&gt;"",ISNUMBER(SEARCH(설정!$A$37,E552&amp;" "&amp;C552))))</f>
        <v/>
      </c>
      <c r="S552">
        <f>OR(D552="",D552&gt;=설정!$B$19)</f>
        <v/>
      </c>
      <c r="T552">
        <f>AND(Q552,R552,S552)</f>
        <v/>
      </c>
      <c r="U552">
        <f>IF(T552,IF(AND(설정!$A$41&lt;&gt;"",ISNUMBER(SEARCH(설정!$A$41,K552))),설정!$B$41,IF(AND(설정!$A$42&lt;&gt;"",ISNUMBER(SEARCH(설정!$A$42,K552))),설정!$B$42,IF(AND(설정!$A$43&lt;&gt;"",ISNUMBER(SEARCH(설정!$A$43,K552))),설정!$B$43,IF(AND(설정!$A$44&lt;&gt;"",ISNUMBER(SEARCH(설정!$A$44,K552))),설정!$B$44,IF(AND(설정!$A$45&lt;&gt;"",ISNUMBER(SEARCH(설정!$A$45,K552))),설정!$B$45,IF(AND(설정!$A$46&lt;&gt;"",ISNUMBER(SEARCH(설정!$A$46,K552))),설정!$B$46,IF(AND(설정!$A$47&lt;&gt;"",ISNUMBER(SEARCH(설정!$A$47,K552))),설정!$B$47,IF(AND(설정!$A$48&lt;&gt;"",ISNUMBER(SEARCH(설정!$A$48,K552))),설정!$B$48,IF(M552="","설계사","시공사"))))))))),"")</f>
        <v/>
      </c>
      <c r="V552">
        <f>SUBSTITUTE(SUBSTITUTE(SUBSTITUTE(SUBSTITUTE(G552,"(주)",""),"㈜",""),"주식회사","")," ","")</f>
        <v/>
      </c>
      <c r="W552">
        <f>IF(AND(T552,V552&lt;&gt;""),IF(COUNTIFS(V$2:V552,V552,T$2:T552,TRUE)=1,MAX(W$1:W551)+1,""),"")</f>
        <v/>
      </c>
      <c r="X552">
        <f>IFERROR(INDEX('1.산군_붙여넣기'!$A$1:$AZ$1001,ROW(),설정!$C$14)&amp;"","")</f>
        <v/>
      </c>
      <c r="Y552">
        <f>IFERROR(INDEX('1.산군_붙여넣기'!$A$1:$AZ$1001,ROW(),설정!$C$15)&amp;"","")</f>
        <v/>
      </c>
      <c r="Z552">
        <f>IF(T552,V552&amp;"|"&amp;U552,"")</f>
        <v/>
      </c>
    </row>
    <row r="553">
      <c r="A553">
        <f>ROW()</f>
        <v/>
      </c>
      <c r="B553">
        <f>IFERROR(INDEX('1.산군_붙여넣기'!$A$1:$AZ$1001,ROW(),설정!$C$4)&amp;"","")</f>
        <v/>
      </c>
      <c r="C553">
        <f>IFERROR(INDEX('1.산군_붙여넣기'!$A$1:$AZ$1001,ROW(),설정!$C$5)&amp;"","")</f>
        <v/>
      </c>
      <c r="D553" s="5">
        <f>IFERROR(VALUE(SUBSTITUTE(SUBSTITUTE(SUBSTITUTE(IFERROR(INDEX('1.산군_붙여넣기'!$A$1:$AZ$1001,ROW(),설정!$C$6)&amp;"",""),",",""),"㎡",""),"m2","")),"")</f>
        <v/>
      </c>
      <c r="E553">
        <f>IFERROR(INDEX('1.산군_붙여넣기'!$A$1:$AZ$1001,ROW(),설정!$C$7)&amp;"","")</f>
        <v/>
      </c>
      <c r="F553">
        <f>IFERROR(INDEX('1.산군_붙여넣기'!$A$1:$AZ$1001,ROW(),설정!$C$8)&amp;"","")</f>
        <v/>
      </c>
      <c r="G553">
        <f>IFERROR(INDEX('1.산군_붙여넣기'!$A$1:$AZ$1001,ROW(),설정!$C$9)&amp;"","")</f>
        <v/>
      </c>
      <c r="H553">
        <f>IFERROR(INDEX('1.산군_붙여넣기'!$A$1:$AZ$1001,ROW(),설정!$C$10)&amp;"","")</f>
        <v/>
      </c>
      <c r="I553">
        <f>IFERROR(INDEX('1.산군_붙여넣기'!$A$1:$AZ$1001,ROW(),설정!$C$11)&amp;"","")</f>
        <v/>
      </c>
      <c r="J553">
        <f>IFERROR(INDEX('1.산군_붙여넣기'!$A$1:$AZ$1001,ROW(),설정!$C$12)&amp;"","")</f>
        <v/>
      </c>
      <c r="K553">
        <f>IFERROR(INDEX('1.산군_붙여넣기'!$A$1:$AZ$1001,ROW(),설정!$C$13)&amp;"","")</f>
        <v/>
      </c>
      <c r="L553" s="6">
        <f>IF(X553="","",IF(AND(LEN(X553)=8,ISNUMBER(X553*1)),DATE(LEFT(X553,4),MID(X553,5,2),RIGHT(X553,2)),IFERROR(DATEVALUE(SUBSTITUTE(SUBSTITUTE(X553,".","-"),"/","-")),IFERROR(X553*1,""))))</f>
        <v/>
      </c>
      <c r="M553" s="6">
        <f>IF(Y553="","",IF(AND(LEN(Y553)=8,ISNUMBER(Y553*1)),DATE(LEFT(Y553,4),MID(Y553,5,2),RIGHT(Y553,2)),IFERROR(DATEVALUE(SUBSTITUTE(SUBSTITUTE(Y553,".","-"),"/","-")),IFERROR(Y553*1,""))))</f>
        <v/>
      </c>
      <c r="N553">
        <f>IFERROR(LEFT(B553,FIND(" ",B553)-1),B553)</f>
        <v/>
      </c>
      <c r="O553">
        <f>AND(B553&lt;&gt;"",B553&lt;&gt;설정!$B$4,C553&lt;&gt;설정!$B$5)</f>
        <v/>
      </c>
      <c r="P553">
        <f>IF(O553,B553&amp;"|"&amp;C553,"")</f>
        <v/>
      </c>
      <c r="Q553">
        <f>AND(O553,COUNTIF(P554:P$1002,P553)=0)</f>
        <v/>
      </c>
      <c r="R553">
        <f>OR(AND(설정!$A$28&lt;&gt;"",ISNUMBER(SEARCH(설정!$A$28,E553&amp;" "&amp;C553))),AND(설정!$A$29&lt;&gt;"",ISNUMBER(SEARCH(설정!$A$29,E553&amp;" "&amp;C553))),AND(설정!$A$30&lt;&gt;"",ISNUMBER(SEARCH(설정!$A$30,E553&amp;" "&amp;C553))),AND(설정!$A$31&lt;&gt;"",ISNUMBER(SEARCH(설정!$A$31,E553&amp;" "&amp;C553))),AND(설정!$A$32&lt;&gt;"",ISNUMBER(SEARCH(설정!$A$32,E553&amp;" "&amp;C553))),AND(설정!$A$33&lt;&gt;"",ISNUMBER(SEARCH(설정!$A$33,E553&amp;" "&amp;C553))),AND(설정!$A$34&lt;&gt;"",ISNUMBER(SEARCH(설정!$A$34,E553&amp;" "&amp;C553))),AND(설정!$A$35&lt;&gt;"",ISNUMBER(SEARCH(설정!$A$35,E553&amp;" "&amp;C553))),AND(설정!$A$36&lt;&gt;"",ISNUMBER(SEARCH(설정!$A$36,E553&amp;" "&amp;C553))),AND(설정!$A$37&lt;&gt;"",ISNUMBER(SEARCH(설정!$A$37,E553&amp;" "&amp;C553))))</f>
        <v/>
      </c>
      <c r="S553">
        <f>OR(D553="",D553&gt;=설정!$B$19)</f>
        <v/>
      </c>
      <c r="T553">
        <f>AND(Q553,R553,S553)</f>
        <v/>
      </c>
      <c r="U553">
        <f>IF(T553,IF(AND(설정!$A$41&lt;&gt;"",ISNUMBER(SEARCH(설정!$A$41,K553))),설정!$B$41,IF(AND(설정!$A$42&lt;&gt;"",ISNUMBER(SEARCH(설정!$A$42,K553))),설정!$B$42,IF(AND(설정!$A$43&lt;&gt;"",ISNUMBER(SEARCH(설정!$A$43,K553))),설정!$B$43,IF(AND(설정!$A$44&lt;&gt;"",ISNUMBER(SEARCH(설정!$A$44,K553))),설정!$B$44,IF(AND(설정!$A$45&lt;&gt;"",ISNUMBER(SEARCH(설정!$A$45,K553))),설정!$B$45,IF(AND(설정!$A$46&lt;&gt;"",ISNUMBER(SEARCH(설정!$A$46,K553))),설정!$B$46,IF(AND(설정!$A$47&lt;&gt;"",ISNUMBER(SEARCH(설정!$A$47,K553))),설정!$B$47,IF(AND(설정!$A$48&lt;&gt;"",ISNUMBER(SEARCH(설정!$A$48,K553))),설정!$B$48,IF(M553="","설계사","시공사"))))))))),"")</f>
        <v/>
      </c>
      <c r="V553">
        <f>SUBSTITUTE(SUBSTITUTE(SUBSTITUTE(SUBSTITUTE(G553,"(주)",""),"㈜",""),"주식회사","")," ","")</f>
        <v/>
      </c>
      <c r="W553">
        <f>IF(AND(T553,V553&lt;&gt;""),IF(COUNTIFS(V$2:V553,V553,T$2:T553,TRUE)=1,MAX(W$1:W552)+1,""),"")</f>
        <v/>
      </c>
      <c r="X553">
        <f>IFERROR(INDEX('1.산군_붙여넣기'!$A$1:$AZ$1001,ROW(),설정!$C$14)&amp;"","")</f>
        <v/>
      </c>
      <c r="Y553">
        <f>IFERROR(INDEX('1.산군_붙여넣기'!$A$1:$AZ$1001,ROW(),설정!$C$15)&amp;"","")</f>
        <v/>
      </c>
      <c r="Z553">
        <f>IF(T553,V553&amp;"|"&amp;U553,"")</f>
        <v/>
      </c>
    </row>
    <row r="554">
      <c r="A554">
        <f>ROW()</f>
        <v/>
      </c>
      <c r="B554">
        <f>IFERROR(INDEX('1.산군_붙여넣기'!$A$1:$AZ$1001,ROW(),설정!$C$4)&amp;"","")</f>
        <v/>
      </c>
      <c r="C554">
        <f>IFERROR(INDEX('1.산군_붙여넣기'!$A$1:$AZ$1001,ROW(),설정!$C$5)&amp;"","")</f>
        <v/>
      </c>
      <c r="D554" s="5">
        <f>IFERROR(VALUE(SUBSTITUTE(SUBSTITUTE(SUBSTITUTE(IFERROR(INDEX('1.산군_붙여넣기'!$A$1:$AZ$1001,ROW(),설정!$C$6)&amp;"",""),",",""),"㎡",""),"m2","")),"")</f>
        <v/>
      </c>
      <c r="E554">
        <f>IFERROR(INDEX('1.산군_붙여넣기'!$A$1:$AZ$1001,ROW(),설정!$C$7)&amp;"","")</f>
        <v/>
      </c>
      <c r="F554">
        <f>IFERROR(INDEX('1.산군_붙여넣기'!$A$1:$AZ$1001,ROW(),설정!$C$8)&amp;"","")</f>
        <v/>
      </c>
      <c r="G554">
        <f>IFERROR(INDEX('1.산군_붙여넣기'!$A$1:$AZ$1001,ROW(),설정!$C$9)&amp;"","")</f>
        <v/>
      </c>
      <c r="H554">
        <f>IFERROR(INDEX('1.산군_붙여넣기'!$A$1:$AZ$1001,ROW(),설정!$C$10)&amp;"","")</f>
        <v/>
      </c>
      <c r="I554">
        <f>IFERROR(INDEX('1.산군_붙여넣기'!$A$1:$AZ$1001,ROW(),설정!$C$11)&amp;"","")</f>
        <v/>
      </c>
      <c r="J554">
        <f>IFERROR(INDEX('1.산군_붙여넣기'!$A$1:$AZ$1001,ROW(),설정!$C$12)&amp;"","")</f>
        <v/>
      </c>
      <c r="K554">
        <f>IFERROR(INDEX('1.산군_붙여넣기'!$A$1:$AZ$1001,ROW(),설정!$C$13)&amp;"","")</f>
        <v/>
      </c>
      <c r="L554" s="6">
        <f>IF(X554="","",IF(AND(LEN(X554)=8,ISNUMBER(X554*1)),DATE(LEFT(X554,4),MID(X554,5,2),RIGHT(X554,2)),IFERROR(DATEVALUE(SUBSTITUTE(SUBSTITUTE(X554,".","-"),"/","-")),IFERROR(X554*1,""))))</f>
        <v/>
      </c>
      <c r="M554" s="6">
        <f>IF(Y554="","",IF(AND(LEN(Y554)=8,ISNUMBER(Y554*1)),DATE(LEFT(Y554,4),MID(Y554,5,2),RIGHT(Y554,2)),IFERROR(DATEVALUE(SUBSTITUTE(SUBSTITUTE(Y554,".","-"),"/","-")),IFERROR(Y554*1,""))))</f>
        <v/>
      </c>
      <c r="N554">
        <f>IFERROR(LEFT(B554,FIND(" ",B554)-1),B554)</f>
        <v/>
      </c>
      <c r="O554">
        <f>AND(B554&lt;&gt;"",B554&lt;&gt;설정!$B$4,C554&lt;&gt;설정!$B$5)</f>
        <v/>
      </c>
      <c r="P554">
        <f>IF(O554,B554&amp;"|"&amp;C554,"")</f>
        <v/>
      </c>
      <c r="Q554">
        <f>AND(O554,COUNTIF(P555:P$1002,P554)=0)</f>
        <v/>
      </c>
      <c r="R554">
        <f>OR(AND(설정!$A$28&lt;&gt;"",ISNUMBER(SEARCH(설정!$A$28,E554&amp;" "&amp;C554))),AND(설정!$A$29&lt;&gt;"",ISNUMBER(SEARCH(설정!$A$29,E554&amp;" "&amp;C554))),AND(설정!$A$30&lt;&gt;"",ISNUMBER(SEARCH(설정!$A$30,E554&amp;" "&amp;C554))),AND(설정!$A$31&lt;&gt;"",ISNUMBER(SEARCH(설정!$A$31,E554&amp;" "&amp;C554))),AND(설정!$A$32&lt;&gt;"",ISNUMBER(SEARCH(설정!$A$32,E554&amp;" "&amp;C554))),AND(설정!$A$33&lt;&gt;"",ISNUMBER(SEARCH(설정!$A$33,E554&amp;" "&amp;C554))),AND(설정!$A$34&lt;&gt;"",ISNUMBER(SEARCH(설정!$A$34,E554&amp;" "&amp;C554))),AND(설정!$A$35&lt;&gt;"",ISNUMBER(SEARCH(설정!$A$35,E554&amp;" "&amp;C554))),AND(설정!$A$36&lt;&gt;"",ISNUMBER(SEARCH(설정!$A$36,E554&amp;" "&amp;C554))),AND(설정!$A$37&lt;&gt;"",ISNUMBER(SEARCH(설정!$A$37,E554&amp;" "&amp;C554))))</f>
        <v/>
      </c>
      <c r="S554">
        <f>OR(D554="",D554&gt;=설정!$B$19)</f>
        <v/>
      </c>
      <c r="T554">
        <f>AND(Q554,R554,S554)</f>
        <v/>
      </c>
      <c r="U554">
        <f>IF(T554,IF(AND(설정!$A$41&lt;&gt;"",ISNUMBER(SEARCH(설정!$A$41,K554))),설정!$B$41,IF(AND(설정!$A$42&lt;&gt;"",ISNUMBER(SEARCH(설정!$A$42,K554))),설정!$B$42,IF(AND(설정!$A$43&lt;&gt;"",ISNUMBER(SEARCH(설정!$A$43,K554))),설정!$B$43,IF(AND(설정!$A$44&lt;&gt;"",ISNUMBER(SEARCH(설정!$A$44,K554))),설정!$B$44,IF(AND(설정!$A$45&lt;&gt;"",ISNUMBER(SEARCH(설정!$A$45,K554))),설정!$B$45,IF(AND(설정!$A$46&lt;&gt;"",ISNUMBER(SEARCH(설정!$A$46,K554))),설정!$B$46,IF(AND(설정!$A$47&lt;&gt;"",ISNUMBER(SEARCH(설정!$A$47,K554))),설정!$B$47,IF(AND(설정!$A$48&lt;&gt;"",ISNUMBER(SEARCH(설정!$A$48,K554))),설정!$B$48,IF(M554="","설계사","시공사"))))))))),"")</f>
        <v/>
      </c>
      <c r="V554">
        <f>SUBSTITUTE(SUBSTITUTE(SUBSTITUTE(SUBSTITUTE(G554,"(주)",""),"㈜",""),"주식회사","")," ","")</f>
        <v/>
      </c>
      <c r="W554">
        <f>IF(AND(T554,V554&lt;&gt;""),IF(COUNTIFS(V$2:V554,V554,T$2:T554,TRUE)=1,MAX(W$1:W553)+1,""),"")</f>
        <v/>
      </c>
      <c r="X554">
        <f>IFERROR(INDEX('1.산군_붙여넣기'!$A$1:$AZ$1001,ROW(),설정!$C$14)&amp;"","")</f>
        <v/>
      </c>
      <c r="Y554">
        <f>IFERROR(INDEX('1.산군_붙여넣기'!$A$1:$AZ$1001,ROW(),설정!$C$15)&amp;"","")</f>
        <v/>
      </c>
      <c r="Z554">
        <f>IF(T554,V554&amp;"|"&amp;U554,"")</f>
        <v/>
      </c>
    </row>
    <row r="555">
      <c r="A555">
        <f>ROW()</f>
        <v/>
      </c>
      <c r="B555">
        <f>IFERROR(INDEX('1.산군_붙여넣기'!$A$1:$AZ$1001,ROW(),설정!$C$4)&amp;"","")</f>
        <v/>
      </c>
      <c r="C555">
        <f>IFERROR(INDEX('1.산군_붙여넣기'!$A$1:$AZ$1001,ROW(),설정!$C$5)&amp;"","")</f>
        <v/>
      </c>
      <c r="D555" s="5">
        <f>IFERROR(VALUE(SUBSTITUTE(SUBSTITUTE(SUBSTITUTE(IFERROR(INDEX('1.산군_붙여넣기'!$A$1:$AZ$1001,ROW(),설정!$C$6)&amp;"",""),",",""),"㎡",""),"m2","")),"")</f>
        <v/>
      </c>
      <c r="E555">
        <f>IFERROR(INDEX('1.산군_붙여넣기'!$A$1:$AZ$1001,ROW(),설정!$C$7)&amp;"","")</f>
        <v/>
      </c>
      <c r="F555">
        <f>IFERROR(INDEX('1.산군_붙여넣기'!$A$1:$AZ$1001,ROW(),설정!$C$8)&amp;"","")</f>
        <v/>
      </c>
      <c r="G555">
        <f>IFERROR(INDEX('1.산군_붙여넣기'!$A$1:$AZ$1001,ROW(),설정!$C$9)&amp;"","")</f>
        <v/>
      </c>
      <c r="H555">
        <f>IFERROR(INDEX('1.산군_붙여넣기'!$A$1:$AZ$1001,ROW(),설정!$C$10)&amp;"","")</f>
        <v/>
      </c>
      <c r="I555">
        <f>IFERROR(INDEX('1.산군_붙여넣기'!$A$1:$AZ$1001,ROW(),설정!$C$11)&amp;"","")</f>
        <v/>
      </c>
      <c r="J555">
        <f>IFERROR(INDEX('1.산군_붙여넣기'!$A$1:$AZ$1001,ROW(),설정!$C$12)&amp;"","")</f>
        <v/>
      </c>
      <c r="K555">
        <f>IFERROR(INDEX('1.산군_붙여넣기'!$A$1:$AZ$1001,ROW(),설정!$C$13)&amp;"","")</f>
        <v/>
      </c>
      <c r="L555" s="6">
        <f>IF(X555="","",IF(AND(LEN(X555)=8,ISNUMBER(X555*1)),DATE(LEFT(X555,4),MID(X555,5,2),RIGHT(X555,2)),IFERROR(DATEVALUE(SUBSTITUTE(SUBSTITUTE(X555,".","-"),"/","-")),IFERROR(X555*1,""))))</f>
        <v/>
      </c>
      <c r="M555" s="6">
        <f>IF(Y555="","",IF(AND(LEN(Y555)=8,ISNUMBER(Y555*1)),DATE(LEFT(Y555,4),MID(Y555,5,2),RIGHT(Y555,2)),IFERROR(DATEVALUE(SUBSTITUTE(SUBSTITUTE(Y555,".","-"),"/","-")),IFERROR(Y555*1,""))))</f>
        <v/>
      </c>
      <c r="N555">
        <f>IFERROR(LEFT(B555,FIND(" ",B555)-1),B555)</f>
        <v/>
      </c>
      <c r="O555">
        <f>AND(B555&lt;&gt;"",B555&lt;&gt;설정!$B$4,C555&lt;&gt;설정!$B$5)</f>
        <v/>
      </c>
      <c r="P555">
        <f>IF(O555,B555&amp;"|"&amp;C555,"")</f>
        <v/>
      </c>
      <c r="Q555">
        <f>AND(O555,COUNTIF(P556:P$1002,P555)=0)</f>
        <v/>
      </c>
      <c r="R555">
        <f>OR(AND(설정!$A$28&lt;&gt;"",ISNUMBER(SEARCH(설정!$A$28,E555&amp;" "&amp;C555))),AND(설정!$A$29&lt;&gt;"",ISNUMBER(SEARCH(설정!$A$29,E555&amp;" "&amp;C555))),AND(설정!$A$30&lt;&gt;"",ISNUMBER(SEARCH(설정!$A$30,E555&amp;" "&amp;C555))),AND(설정!$A$31&lt;&gt;"",ISNUMBER(SEARCH(설정!$A$31,E555&amp;" "&amp;C555))),AND(설정!$A$32&lt;&gt;"",ISNUMBER(SEARCH(설정!$A$32,E555&amp;" "&amp;C555))),AND(설정!$A$33&lt;&gt;"",ISNUMBER(SEARCH(설정!$A$33,E555&amp;" "&amp;C555))),AND(설정!$A$34&lt;&gt;"",ISNUMBER(SEARCH(설정!$A$34,E555&amp;" "&amp;C555))),AND(설정!$A$35&lt;&gt;"",ISNUMBER(SEARCH(설정!$A$35,E555&amp;" "&amp;C555))),AND(설정!$A$36&lt;&gt;"",ISNUMBER(SEARCH(설정!$A$36,E555&amp;" "&amp;C555))),AND(설정!$A$37&lt;&gt;"",ISNUMBER(SEARCH(설정!$A$37,E555&amp;" "&amp;C555))))</f>
        <v/>
      </c>
      <c r="S555">
        <f>OR(D555="",D555&gt;=설정!$B$19)</f>
        <v/>
      </c>
      <c r="T555">
        <f>AND(Q555,R555,S555)</f>
        <v/>
      </c>
      <c r="U555">
        <f>IF(T555,IF(AND(설정!$A$41&lt;&gt;"",ISNUMBER(SEARCH(설정!$A$41,K555))),설정!$B$41,IF(AND(설정!$A$42&lt;&gt;"",ISNUMBER(SEARCH(설정!$A$42,K555))),설정!$B$42,IF(AND(설정!$A$43&lt;&gt;"",ISNUMBER(SEARCH(설정!$A$43,K555))),설정!$B$43,IF(AND(설정!$A$44&lt;&gt;"",ISNUMBER(SEARCH(설정!$A$44,K555))),설정!$B$44,IF(AND(설정!$A$45&lt;&gt;"",ISNUMBER(SEARCH(설정!$A$45,K555))),설정!$B$45,IF(AND(설정!$A$46&lt;&gt;"",ISNUMBER(SEARCH(설정!$A$46,K555))),설정!$B$46,IF(AND(설정!$A$47&lt;&gt;"",ISNUMBER(SEARCH(설정!$A$47,K555))),설정!$B$47,IF(AND(설정!$A$48&lt;&gt;"",ISNUMBER(SEARCH(설정!$A$48,K555))),설정!$B$48,IF(M555="","설계사","시공사"))))))))),"")</f>
        <v/>
      </c>
      <c r="V555">
        <f>SUBSTITUTE(SUBSTITUTE(SUBSTITUTE(SUBSTITUTE(G555,"(주)",""),"㈜",""),"주식회사","")," ","")</f>
        <v/>
      </c>
      <c r="W555">
        <f>IF(AND(T555,V555&lt;&gt;""),IF(COUNTIFS(V$2:V555,V555,T$2:T555,TRUE)=1,MAX(W$1:W554)+1,""),"")</f>
        <v/>
      </c>
      <c r="X555">
        <f>IFERROR(INDEX('1.산군_붙여넣기'!$A$1:$AZ$1001,ROW(),설정!$C$14)&amp;"","")</f>
        <v/>
      </c>
      <c r="Y555">
        <f>IFERROR(INDEX('1.산군_붙여넣기'!$A$1:$AZ$1001,ROW(),설정!$C$15)&amp;"","")</f>
        <v/>
      </c>
      <c r="Z555">
        <f>IF(T555,V555&amp;"|"&amp;U555,"")</f>
        <v/>
      </c>
    </row>
    <row r="556">
      <c r="A556">
        <f>ROW()</f>
        <v/>
      </c>
      <c r="B556">
        <f>IFERROR(INDEX('1.산군_붙여넣기'!$A$1:$AZ$1001,ROW(),설정!$C$4)&amp;"","")</f>
        <v/>
      </c>
      <c r="C556">
        <f>IFERROR(INDEX('1.산군_붙여넣기'!$A$1:$AZ$1001,ROW(),설정!$C$5)&amp;"","")</f>
        <v/>
      </c>
      <c r="D556" s="5">
        <f>IFERROR(VALUE(SUBSTITUTE(SUBSTITUTE(SUBSTITUTE(IFERROR(INDEX('1.산군_붙여넣기'!$A$1:$AZ$1001,ROW(),설정!$C$6)&amp;"",""),",",""),"㎡",""),"m2","")),"")</f>
        <v/>
      </c>
      <c r="E556">
        <f>IFERROR(INDEX('1.산군_붙여넣기'!$A$1:$AZ$1001,ROW(),설정!$C$7)&amp;"","")</f>
        <v/>
      </c>
      <c r="F556">
        <f>IFERROR(INDEX('1.산군_붙여넣기'!$A$1:$AZ$1001,ROW(),설정!$C$8)&amp;"","")</f>
        <v/>
      </c>
      <c r="G556">
        <f>IFERROR(INDEX('1.산군_붙여넣기'!$A$1:$AZ$1001,ROW(),설정!$C$9)&amp;"","")</f>
        <v/>
      </c>
      <c r="H556">
        <f>IFERROR(INDEX('1.산군_붙여넣기'!$A$1:$AZ$1001,ROW(),설정!$C$10)&amp;"","")</f>
        <v/>
      </c>
      <c r="I556">
        <f>IFERROR(INDEX('1.산군_붙여넣기'!$A$1:$AZ$1001,ROW(),설정!$C$11)&amp;"","")</f>
        <v/>
      </c>
      <c r="J556">
        <f>IFERROR(INDEX('1.산군_붙여넣기'!$A$1:$AZ$1001,ROW(),설정!$C$12)&amp;"","")</f>
        <v/>
      </c>
      <c r="K556">
        <f>IFERROR(INDEX('1.산군_붙여넣기'!$A$1:$AZ$1001,ROW(),설정!$C$13)&amp;"","")</f>
        <v/>
      </c>
      <c r="L556" s="6">
        <f>IF(X556="","",IF(AND(LEN(X556)=8,ISNUMBER(X556*1)),DATE(LEFT(X556,4),MID(X556,5,2),RIGHT(X556,2)),IFERROR(DATEVALUE(SUBSTITUTE(SUBSTITUTE(X556,".","-"),"/","-")),IFERROR(X556*1,""))))</f>
        <v/>
      </c>
      <c r="M556" s="6">
        <f>IF(Y556="","",IF(AND(LEN(Y556)=8,ISNUMBER(Y556*1)),DATE(LEFT(Y556,4),MID(Y556,5,2),RIGHT(Y556,2)),IFERROR(DATEVALUE(SUBSTITUTE(SUBSTITUTE(Y556,".","-"),"/","-")),IFERROR(Y556*1,""))))</f>
        <v/>
      </c>
      <c r="N556">
        <f>IFERROR(LEFT(B556,FIND(" ",B556)-1),B556)</f>
        <v/>
      </c>
      <c r="O556">
        <f>AND(B556&lt;&gt;"",B556&lt;&gt;설정!$B$4,C556&lt;&gt;설정!$B$5)</f>
        <v/>
      </c>
      <c r="P556">
        <f>IF(O556,B556&amp;"|"&amp;C556,"")</f>
        <v/>
      </c>
      <c r="Q556">
        <f>AND(O556,COUNTIF(P557:P$1002,P556)=0)</f>
        <v/>
      </c>
      <c r="R556">
        <f>OR(AND(설정!$A$28&lt;&gt;"",ISNUMBER(SEARCH(설정!$A$28,E556&amp;" "&amp;C556))),AND(설정!$A$29&lt;&gt;"",ISNUMBER(SEARCH(설정!$A$29,E556&amp;" "&amp;C556))),AND(설정!$A$30&lt;&gt;"",ISNUMBER(SEARCH(설정!$A$30,E556&amp;" "&amp;C556))),AND(설정!$A$31&lt;&gt;"",ISNUMBER(SEARCH(설정!$A$31,E556&amp;" "&amp;C556))),AND(설정!$A$32&lt;&gt;"",ISNUMBER(SEARCH(설정!$A$32,E556&amp;" "&amp;C556))),AND(설정!$A$33&lt;&gt;"",ISNUMBER(SEARCH(설정!$A$33,E556&amp;" "&amp;C556))),AND(설정!$A$34&lt;&gt;"",ISNUMBER(SEARCH(설정!$A$34,E556&amp;" "&amp;C556))),AND(설정!$A$35&lt;&gt;"",ISNUMBER(SEARCH(설정!$A$35,E556&amp;" "&amp;C556))),AND(설정!$A$36&lt;&gt;"",ISNUMBER(SEARCH(설정!$A$36,E556&amp;" "&amp;C556))),AND(설정!$A$37&lt;&gt;"",ISNUMBER(SEARCH(설정!$A$37,E556&amp;" "&amp;C556))))</f>
        <v/>
      </c>
      <c r="S556">
        <f>OR(D556="",D556&gt;=설정!$B$19)</f>
        <v/>
      </c>
      <c r="T556">
        <f>AND(Q556,R556,S556)</f>
        <v/>
      </c>
      <c r="U556">
        <f>IF(T556,IF(AND(설정!$A$41&lt;&gt;"",ISNUMBER(SEARCH(설정!$A$41,K556))),설정!$B$41,IF(AND(설정!$A$42&lt;&gt;"",ISNUMBER(SEARCH(설정!$A$42,K556))),설정!$B$42,IF(AND(설정!$A$43&lt;&gt;"",ISNUMBER(SEARCH(설정!$A$43,K556))),설정!$B$43,IF(AND(설정!$A$44&lt;&gt;"",ISNUMBER(SEARCH(설정!$A$44,K556))),설정!$B$44,IF(AND(설정!$A$45&lt;&gt;"",ISNUMBER(SEARCH(설정!$A$45,K556))),설정!$B$45,IF(AND(설정!$A$46&lt;&gt;"",ISNUMBER(SEARCH(설정!$A$46,K556))),설정!$B$46,IF(AND(설정!$A$47&lt;&gt;"",ISNUMBER(SEARCH(설정!$A$47,K556))),설정!$B$47,IF(AND(설정!$A$48&lt;&gt;"",ISNUMBER(SEARCH(설정!$A$48,K556))),설정!$B$48,IF(M556="","설계사","시공사"))))))))),"")</f>
        <v/>
      </c>
      <c r="V556">
        <f>SUBSTITUTE(SUBSTITUTE(SUBSTITUTE(SUBSTITUTE(G556,"(주)",""),"㈜",""),"주식회사","")," ","")</f>
        <v/>
      </c>
      <c r="W556">
        <f>IF(AND(T556,V556&lt;&gt;""),IF(COUNTIFS(V$2:V556,V556,T$2:T556,TRUE)=1,MAX(W$1:W555)+1,""),"")</f>
        <v/>
      </c>
      <c r="X556">
        <f>IFERROR(INDEX('1.산군_붙여넣기'!$A$1:$AZ$1001,ROW(),설정!$C$14)&amp;"","")</f>
        <v/>
      </c>
      <c r="Y556">
        <f>IFERROR(INDEX('1.산군_붙여넣기'!$A$1:$AZ$1001,ROW(),설정!$C$15)&amp;"","")</f>
        <v/>
      </c>
      <c r="Z556">
        <f>IF(T556,V556&amp;"|"&amp;U556,"")</f>
        <v/>
      </c>
    </row>
    <row r="557">
      <c r="A557">
        <f>ROW()</f>
        <v/>
      </c>
      <c r="B557">
        <f>IFERROR(INDEX('1.산군_붙여넣기'!$A$1:$AZ$1001,ROW(),설정!$C$4)&amp;"","")</f>
        <v/>
      </c>
      <c r="C557">
        <f>IFERROR(INDEX('1.산군_붙여넣기'!$A$1:$AZ$1001,ROW(),설정!$C$5)&amp;"","")</f>
        <v/>
      </c>
      <c r="D557" s="5">
        <f>IFERROR(VALUE(SUBSTITUTE(SUBSTITUTE(SUBSTITUTE(IFERROR(INDEX('1.산군_붙여넣기'!$A$1:$AZ$1001,ROW(),설정!$C$6)&amp;"",""),",",""),"㎡",""),"m2","")),"")</f>
        <v/>
      </c>
      <c r="E557">
        <f>IFERROR(INDEX('1.산군_붙여넣기'!$A$1:$AZ$1001,ROW(),설정!$C$7)&amp;"","")</f>
        <v/>
      </c>
      <c r="F557">
        <f>IFERROR(INDEX('1.산군_붙여넣기'!$A$1:$AZ$1001,ROW(),설정!$C$8)&amp;"","")</f>
        <v/>
      </c>
      <c r="G557">
        <f>IFERROR(INDEX('1.산군_붙여넣기'!$A$1:$AZ$1001,ROW(),설정!$C$9)&amp;"","")</f>
        <v/>
      </c>
      <c r="H557">
        <f>IFERROR(INDEX('1.산군_붙여넣기'!$A$1:$AZ$1001,ROW(),설정!$C$10)&amp;"","")</f>
        <v/>
      </c>
      <c r="I557">
        <f>IFERROR(INDEX('1.산군_붙여넣기'!$A$1:$AZ$1001,ROW(),설정!$C$11)&amp;"","")</f>
        <v/>
      </c>
      <c r="J557">
        <f>IFERROR(INDEX('1.산군_붙여넣기'!$A$1:$AZ$1001,ROW(),설정!$C$12)&amp;"","")</f>
        <v/>
      </c>
      <c r="K557">
        <f>IFERROR(INDEX('1.산군_붙여넣기'!$A$1:$AZ$1001,ROW(),설정!$C$13)&amp;"","")</f>
        <v/>
      </c>
      <c r="L557" s="6">
        <f>IF(X557="","",IF(AND(LEN(X557)=8,ISNUMBER(X557*1)),DATE(LEFT(X557,4),MID(X557,5,2),RIGHT(X557,2)),IFERROR(DATEVALUE(SUBSTITUTE(SUBSTITUTE(X557,".","-"),"/","-")),IFERROR(X557*1,""))))</f>
        <v/>
      </c>
      <c r="M557" s="6">
        <f>IF(Y557="","",IF(AND(LEN(Y557)=8,ISNUMBER(Y557*1)),DATE(LEFT(Y557,4),MID(Y557,5,2),RIGHT(Y557,2)),IFERROR(DATEVALUE(SUBSTITUTE(SUBSTITUTE(Y557,".","-"),"/","-")),IFERROR(Y557*1,""))))</f>
        <v/>
      </c>
      <c r="N557">
        <f>IFERROR(LEFT(B557,FIND(" ",B557)-1),B557)</f>
        <v/>
      </c>
      <c r="O557">
        <f>AND(B557&lt;&gt;"",B557&lt;&gt;설정!$B$4,C557&lt;&gt;설정!$B$5)</f>
        <v/>
      </c>
      <c r="P557">
        <f>IF(O557,B557&amp;"|"&amp;C557,"")</f>
        <v/>
      </c>
      <c r="Q557">
        <f>AND(O557,COUNTIF(P558:P$1002,P557)=0)</f>
        <v/>
      </c>
      <c r="R557">
        <f>OR(AND(설정!$A$28&lt;&gt;"",ISNUMBER(SEARCH(설정!$A$28,E557&amp;" "&amp;C557))),AND(설정!$A$29&lt;&gt;"",ISNUMBER(SEARCH(설정!$A$29,E557&amp;" "&amp;C557))),AND(설정!$A$30&lt;&gt;"",ISNUMBER(SEARCH(설정!$A$30,E557&amp;" "&amp;C557))),AND(설정!$A$31&lt;&gt;"",ISNUMBER(SEARCH(설정!$A$31,E557&amp;" "&amp;C557))),AND(설정!$A$32&lt;&gt;"",ISNUMBER(SEARCH(설정!$A$32,E557&amp;" "&amp;C557))),AND(설정!$A$33&lt;&gt;"",ISNUMBER(SEARCH(설정!$A$33,E557&amp;" "&amp;C557))),AND(설정!$A$34&lt;&gt;"",ISNUMBER(SEARCH(설정!$A$34,E557&amp;" "&amp;C557))),AND(설정!$A$35&lt;&gt;"",ISNUMBER(SEARCH(설정!$A$35,E557&amp;" "&amp;C557))),AND(설정!$A$36&lt;&gt;"",ISNUMBER(SEARCH(설정!$A$36,E557&amp;" "&amp;C557))),AND(설정!$A$37&lt;&gt;"",ISNUMBER(SEARCH(설정!$A$37,E557&amp;" "&amp;C557))))</f>
        <v/>
      </c>
      <c r="S557">
        <f>OR(D557="",D557&gt;=설정!$B$19)</f>
        <v/>
      </c>
      <c r="T557">
        <f>AND(Q557,R557,S557)</f>
        <v/>
      </c>
      <c r="U557">
        <f>IF(T557,IF(AND(설정!$A$41&lt;&gt;"",ISNUMBER(SEARCH(설정!$A$41,K557))),설정!$B$41,IF(AND(설정!$A$42&lt;&gt;"",ISNUMBER(SEARCH(설정!$A$42,K557))),설정!$B$42,IF(AND(설정!$A$43&lt;&gt;"",ISNUMBER(SEARCH(설정!$A$43,K557))),설정!$B$43,IF(AND(설정!$A$44&lt;&gt;"",ISNUMBER(SEARCH(설정!$A$44,K557))),설정!$B$44,IF(AND(설정!$A$45&lt;&gt;"",ISNUMBER(SEARCH(설정!$A$45,K557))),설정!$B$45,IF(AND(설정!$A$46&lt;&gt;"",ISNUMBER(SEARCH(설정!$A$46,K557))),설정!$B$46,IF(AND(설정!$A$47&lt;&gt;"",ISNUMBER(SEARCH(설정!$A$47,K557))),설정!$B$47,IF(AND(설정!$A$48&lt;&gt;"",ISNUMBER(SEARCH(설정!$A$48,K557))),설정!$B$48,IF(M557="","설계사","시공사"))))))))),"")</f>
        <v/>
      </c>
      <c r="V557">
        <f>SUBSTITUTE(SUBSTITUTE(SUBSTITUTE(SUBSTITUTE(G557,"(주)",""),"㈜",""),"주식회사","")," ","")</f>
        <v/>
      </c>
      <c r="W557">
        <f>IF(AND(T557,V557&lt;&gt;""),IF(COUNTIFS(V$2:V557,V557,T$2:T557,TRUE)=1,MAX(W$1:W556)+1,""),"")</f>
        <v/>
      </c>
      <c r="X557">
        <f>IFERROR(INDEX('1.산군_붙여넣기'!$A$1:$AZ$1001,ROW(),설정!$C$14)&amp;"","")</f>
        <v/>
      </c>
      <c r="Y557">
        <f>IFERROR(INDEX('1.산군_붙여넣기'!$A$1:$AZ$1001,ROW(),설정!$C$15)&amp;"","")</f>
        <v/>
      </c>
      <c r="Z557">
        <f>IF(T557,V557&amp;"|"&amp;U557,"")</f>
        <v/>
      </c>
    </row>
    <row r="558">
      <c r="A558">
        <f>ROW()</f>
        <v/>
      </c>
      <c r="B558">
        <f>IFERROR(INDEX('1.산군_붙여넣기'!$A$1:$AZ$1001,ROW(),설정!$C$4)&amp;"","")</f>
        <v/>
      </c>
      <c r="C558">
        <f>IFERROR(INDEX('1.산군_붙여넣기'!$A$1:$AZ$1001,ROW(),설정!$C$5)&amp;"","")</f>
        <v/>
      </c>
      <c r="D558" s="5">
        <f>IFERROR(VALUE(SUBSTITUTE(SUBSTITUTE(SUBSTITUTE(IFERROR(INDEX('1.산군_붙여넣기'!$A$1:$AZ$1001,ROW(),설정!$C$6)&amp;"",""),",",""),"㎡",""),"m2","")),"")</f>
        <v/>
      </c>
      <c r="E558">
        <f>IFERROR(INDEX('1.산군_붙여넣기'!$A$1:$AZ$1001,ROW(),설정!$C$7)&amp;"","")</f>
        <v/>
      </c>
      <c r="F558">
        <f>IFERROR(INDEX('1.산군_붙여넣기'!$A$1:$AZ$1001,ROW(),설정!$C$8)&amp;"","")</f>
        <v/>
      </c>
      <c r="G558">
        <f>IFERROR(INDEX('1.산군_붙여넣기'!$A$1:$AZ$1001,ROW(),설정!$C$9)&amp;"","")</f>
        <v/>
      </c>
      <c r="H558">
        <f>IFERROR(INDEX('1.산군_붙여넣기'!$A$1:$AZ$1001,ROW(),설정!$C$10)&amp;"","")</f>
        <v/>
      </c>
      <c r="I558">
        <f>IFERROR(INDEX('1.산군_붙여넣기'!$A$1:$AZ$1001,ROW(),설정!$C$11)&amp;"","")</f>
        <v/>
      </c>
      <c r="J558">
        <f>IFERROR(INDEX('1.산군_붙여넣기'!$A$1:$AZ$1001,ROW(),설정!$C$12)&amp;"","")</f>
        <v/>
      </c>
      <c r="K558">
        <f>IFERROR(INDEX('1.산군_붙여넣기'!$A$1:$AZ$1001,ROW(),설정!$C$13)&amp;"","")</f>
        <v/>
      </c>
      <c r="L558" s="6">
        <f>IF(X558="","",IF(AND(LEN(X558)=8,ISNUMBER(X558*1)),DATE(LEFT(X558,4),MID(X558,5,2),RIGHT(X558,2)),IFERROR(DATEVALUE(SUBSTITUTE(SUBSTITUTE(X558,".","-"),"/","-")),IFERROR(X558*1,""))))</f>
        <v/>
      </c>
      <c r="M558" s="6">
        <f>IF(Y558="","",IF(AND(LEN(Y558)=8,ISNUMBER(Y558*1)),DATE(LEFT(Y558,4),MID(Y558,5,2),RIGHT(Y558,2)),IFERROR(DATEVALUE(SUBSTITUTE(SUBSTITUTE(Y558,".","-"),"/","-")),IFERROR(Y558*1,""))))</f>
        <v/>
      </c>
      <c r="N558">
        <f>IFERROR(LEFT(B558,FIND(" ",B558)-1),B558)</f>
        <v/>
      </c>
      <c r="O558">
        <f>AND(B558&lt;&gt;"",B558&lt;&gt;설정!$B$4,C558&lt;&gt;설정!$B$5)</f>
        <v/>
      </c>
      <c r="P558">
        <f>IF(O558,B558&amp;"|"&amp;C558,"")</f>
        <v/>
      </c>
      <c r="Q558">
        <f>AND(O558,COUNTIF(P559:P$1002,P558)=0)</f>
        <v/>
      </c>
      <c r="R558">
        <f>OR(AND(설정!$A$28&lt;&gt;"",ISNUMBER(SEARCH(설정!$A$28,E558&amp;" "&amp;C558))),AND(설정!$A$29&lt;&gt;"",ISNUMBER(SEARCH(설정!$A$29,E558&amp;" "&amp;C558))),AND(설정!$A$30&lt;&gt;"",ISNUMBER(SEARCH(설정!$A$30,E558&amp;" "&amp;C558))),AND(설정!$A$31&lt;&gt;"",ISNUMBER(SEARCH(설정!$A$31,E558&amp;" "&amp;C558))),AND(설정!$A$32&lt;&gt;"",ISNUMBER(SEARCH(설정!$A$32,E558&amp;" "&amp;C558))),AND(설정!$A$33&lt;&gt;"",ISNUMBER(SEARCH(설정!$A$33,E558&amp;" "&amp;C558))),AND(설정!$A$34&lt;&gt;"",ISNUMBER(SEARCH(설정!$A$34,E558&amp;" "&amp;C558))),AND(설정!$A$35&lt;&gt;"",ISNUMBER(SEARCH(설정!$A$35,E558&amp;" "&amp;C558))),AND(설정!$A$36&lt;&gt;"",ISNUMBER(SEARCH(설정!$A$36,E558&amp;" "&amp;C558))),AND(설정!$A$37&lt;&gt;"",ISNUMBER(SEARCH(설정!$A$37,E558&amp;" "&amp;C558))))</f>
        <v/>
      </c>
      <c r="S558">
        <f>OR(D558="",D558&gt;=설정!$B$19)</f>
        <v/>
      </c>
      <c r="T558">
        <f>AND(Q558,R558,S558)</f>
        <v/>
      </c>
      <c r="U558">
        <f>IF(T558,IF(AND(설정!$A$41&lt;&gt;"",ISNUMBER(SEARCH(설정!$A$41,K558))),설정!$B$41,IF(AND(설정!$A$42&lt;&gt;"",ISNUMBER(SEARCH(설정!$A$42,K558))),설정!$B$42,IF(AND(설정!$A$43&lt;&gt;"",ISNUMBER(SEARCH(설정!$A$43,K558))),설정!$B$43,IF(AND(설정!$A$44&lt;&gt;"",ISNUMBER(SEARCH(설정!$A$44,K558))),설정!$B$44,IF(AND(설정!$A$45&lt;&gt;"",ISNUMBER(SEARCH(설정!$A$45,K558))),설정!$B$45,IF(AND(설정!$A$46&lt;&gt;"",ISNUMBER(SEARCH(설정!$A$46,K558))),설정!$B$46,IF(AND(설정!$A$47&lt;&gt;"",ISNUMBER(SEARCH(설정!$A$47,K558))),설정!$B$47,IF(AND(설정!$A$48&lt;&gt;"",ISNUMBER(SEARCH(설정!$A$48,K558))),설정!$B$48,IF(M558="","설계사","시공사"))))))))),"")</f>
        <v/>
      </c>
      <c r="V558">
        <f>SUBSTITUTE(SUBSTITUTE(SUBSTITUTE(SUBSTITUTE(G558,"(주)",""),"㈜",""),"주식회사","")," ","")</f>
        <v/>
      </c>
      <c r="W558">
        <f>IF(AND(T558,V558&lt;&gt;""),IF(COUNTIFS(V$2:V558,V558,T$2:T558,TRUE)=1,MAX(W$1:W557)+1,""),"")</f>
        <v/>
      </c>
      <c r="X558">
        <f>IFERROR(INDEX('1.산군_붙여넣기'!$A$1:$AZ$1001,ROW(),설정!$C$14)&amp;"","")</f>
        <v/>
      </c>
      <c r="Y558">
        <f>IFERROR(INDEX('1.산군_붙여넣기'!$A$1:$AZ$1001,ROW(),설정!$C$15)&amp;"","")</f>
        <v/>
      </c>
      <c r="Z558">
        <f>IF(T558,V558&amp;"|"&amp;U558,"")</f>
        <v/>
      </c>
    </row>
    <row r="559">
      <c r="A559">
        <f>ROW()</f>
        <v/>
      </c>
      <c r="B559">
        <f>IFERROR(INDEX('1.산군_붙여넣기'!$A$1:$AZ$1001,ROW(),설정!$C$4)&amp;"","")</f>
        <v/>
      </c>
      <c r="C559">
        <f>IFERROR(INDEX('1.산군_붙여넣기'!$A$1:$AZ$1001,ROW(),설정!$C$5)&amp;"","")</f>
        <v/>
      </c>
      <c r="D559" s="5">
        <f>IFERROR(VALUE(SUBSTITUTE(SUBSTITUTE(SUBSTITUTE(IFERROR(INDEX('1.산군_붙여넣기'!$A$1:$AZ$1001,ROW(),설정!$C$6)&amp;"",""),",",""),"㎡",""),"m2","")),"")</f>
        <v/>
      </c>
      <c r="E559">
        <f>IFERROR(INDEX('1.산군_붙여넣기'!$A$1:$AZ$1001,ROW(),설정!$C$7)&amp;"","")</f>
        <v/>
      </c>
      <c r="F559">
        <f>IFERROR(INDEX('1.산군_붙여넣기'!$A$1:$AZ$1001,ROW(),설정!$C$8)&amp;"","")</f>
        <v/>
      </c>
      <c r="G559">
        <f>IFERROR(INDEX('1.산군_붙여넣기'!$A$1:$AZ$1001,ROW(),설정!$C$9)&amp;"","")</f>
        <v/>
      </c>
      <c r="H559">
        <f>IFERROR(INDEX('1.산군_붙여넣기'!$A$1:$AZ$1001,ROW(),설정!$C$10)&amp;"","")</f>
        <v/>
      </c>
      <c r="I559">
        <f>IFERROR(INDEX('1.산군_붙여넣기'!$A$1:$AZ$1001,ROW(),설정!$C$11)&amp;"","")</f>
        <v/>
      </c>
      <c r="J559">
        <f>IFERROR(INDEX('1.산군_붙여넣기'!$A$1:$AZ$1001,ROW(),설정!$C$12)&amp;"","")</f>
        <v/>
      </c>
      <c r="K559">
        <f>IFERROR(INDEX('1.산군_붙여넣기'!$A$1:$AZ$1001,ROW(),설정!$C$13)&amp;"","")</f>
        <v/>
      </c>
      <c r="L559" s="6">
        <f>IF(X559="","",IF(AND(LEN(X559)=8,ISNUMBER(X559*1)),DATE(LEFT(X559,4),MID(X559,5,2),RIGHT(X559,2)),IFERROR(DATEVALUE(SUBSTITUTE(SUBSTITUTE(X559,".","-"),"/","-")),IFERROR(X559*1,""))))</f>
        <v/>
      </c>
      <c r="M559" s="6">
        <f>IF(Y559="","",IF(AND(LEN(Y559)=8,ISNUMBER(Y559*1)),DATE(LEFT(Y559,4),MID(Y559,5,2),RIGHT(Y559,2)),IFERROR(DATEVALUE(SUBSTITUTE(SUBSTITUTE(Y559,".","-"),"/","-")),IFERROR(Y559*1,""))))</f>
        <v/>
      </c>
      <c r="N559">
        <f>IFERROR(LEFT(B559,FIND(" ",B559)-1),B559)</f>
        <v/>
      </c>
      <c r="O559">
        <f>AND(B559&lt;&gt;"",B559&lt;&gt;설정!$B$4,C559&lt;&gt;설정!$B$5)</f>
        <v/>
      </c>
      <c r="P559">
        <f>IF(O559,B559&amp;"|"&amp;C559,"")</f>
        <v/>
      </c>
      <c r="Q559">
        <f>AND(O559,COUNTIF(P560:P$1002,P559)=0)</f>
        <v/>
      </c>
      <c r="R559">
        <f>OR(AND(설정!$A$28&lt;&gt;"",ISNUMBER(SEARCH(설정!$A$28,E559&amp;" "&amp;C559))),AND(설정!$A$29&lt;&gt;"",ISNUMBER(SEARCH(설정!$A$29,E559&amp;" "&amp;C559))),AND(설정!$A$30&lt;&gt;"",ISNUMBER(SEARCH(설정!$A$30,E559&amp;" "&amp;C559))),AND(설정!$A$31&lt;&gt;"",ISNUMBER(SEARCH(설정!$A$31,E559&amp;" "&amp;C559))),AND(설정!$A$32&lt;&gt;"",ISNUMBER(SEARCH(설정!$A$32,E559&amp;" "&amp;C559))),AND(설정!$A$33&lt;&gt;"",ISNUMBER(SEARCH(설정!$A$33,E559&amp;" "&amp;C559))),AND(설정!$A$34&lt;&gt;"",ISNUMBER(SEARCH(설정!$A$34,E559&amp;" "&amp;C559))),AND(설정!$A$35&lt;&gt;"",ISNUMBER(SEARCH(설정!$A$35,E559&amp;" "&amp;C559))),AND(설정!$A$36&lt;&gt;"",ISNUMBER(SEARCH(설정!$A$36,E559&amp;" "&amp;C559))),AND(설정!$A$37&lt;&gt;"",ISNUMBER(SEARCH(설정!$A$37,E559&amp;" "&amp;C559))))</f>
        <v/>
      </c>
      <c r="S559">
        <f>OR(D559="",D559&gt;=설정!$B$19)</f>
        <v/>
      </c>
      <c r="T559">
        <f>AND(Q559,R559,S559)</f>
        <v/>
      </c>
      <c r="U559">
        <f>IF(T559,IF(AND(설정!$A$41&lt;&gt;"",ISNUMBER(SEARCH(설정!$A$41,K559))),설정!$B$41,IF(AND(설정!$A$42&lt;&gt;"",ISNUMBER(SEARCH(설정!$A$42,K559))),설정!$B$42,IF(AND(설정!$A$43&lt;&gt;"",ISNUMBER(SEARCH(설정!$A$43,K559))),설정!$B$43,IF(AND(설정!$A$44&lt;&gt;"",ISNUMBER(SEARCH(설정!$A$44,K559))),설정!$B$44,IF(AND(설정!$A$45&lt;&gt;"",ISNUMBER(SEARCH(설정!$A$45,K559))),설정!$B$45,IF(AND(설정!$A$46&lt;&gt;"",ISNUMBER(SEARCH(설정!$A$46,K559))),설정!$B$46,IF(AND(설정!$A$47&lt;&gt;"",ISNUMBER(SEARCH(설정!$A$47,K559))),설정!$B$47,IF(AND(설정!$A$48&lt;&gt;"",ISNUMBER(SEARCH(설정!$A$48,K559))),설정!$B$48,IF(M559="","설계사","시공사"))))))))),"")</f>
        <v/>
      </c>
      <c r="V559">
        <f>SUBSTITUTE(SUBSTITUTE(SUBSTITUTE(SUBSTITUTE(G559,"(주)",""),"㈜",""),"주식회사","")," ","")</f>
        <v/>
      </c>
      <c r="W559">
        <f>IF(AND(T559,V559&lt;&gt;""),IF(COUNTIFS(V$2:V559,V559,T$2:T559,TRUE)=1,MAX(W$1:W558)+1,""),"")</f>
        <v/>
      </c>
      <c r="X559">
        <f>IFERROR(INDEX('1.산군_붙여넣기'!$A$1:$AZ$1001,ROW(),설정!$C$14)&amp;"","")</f>
        <v/>
      </c>
      <c r="Y559">
        <f>IFERROR(INDEX('1.산군_붙여넣기'!$A$1:$AZ$1001,ROW(),설정!$C$15)&amp;"","")</f>
        <v/>
      </c>
      <c r="Z559">
        <f>IF(T559,V559&amp;"|"&amp;U559,"")</f>
        <v/>
      </c>
    </row>
    <row r="560">
      <c r="A560">
        <f>ROW()</f>
        <v/>
      </c>
      <c r="B560">
        <f>IFERROR(INDEX('1.산군_붙여넣기'!$A$1:$AZ$1001,ROW(),설정!$C$4)&amp;"","")</f>
        <v/>
      </c>
      <c r="C560">
        <f>IFERROR(INDEX('1.산군_붙여넣기'!$A$1:$AZ$1001,ROW(),설정!$C$5)&amp;"","")</f>
        <v/>
      </c>
      <c r="D560" s="5">
        <f>IFERROR(VALUE(SUBSTITUTE(SUBSTITUTE(SUBSTITUTE(IFERROR(INDEX('1.산군_붙여넣기'!$A$1:$AZ$1001,ROW(),설정!$C$6)&amp;"",""),",",""),"㎡",""),"m2","")),"")</f>
        <v/>
      </c>
      <c r="E560">
        <f>IFERROR(INDEX('1.산군_붙여넣기'!$A$1:$AZ$1001,ROW(),설정!$C$7)&amp;"","")</f>
        <v/>
      </c>
      <c r="F560">
        <f>IFERROR(INDEX('1.산군_붙여넣기'!$A$1:$AZ$1001,ROW(),설정!$C$8)&amp;"","")</f>
        <v/>
      </c>
      <c r="G560">
        <f>IFERROR(INDEX('1.산군_붙여넣기'!$A$1:$AZ$1001,ROW(),설정!$C$9)&amp;"","")</f>
        <v/>
      </c>
      <c r="H560">
        <f>IFERROR(INDEX('1.산군_붙여넣기'!$A$1:$AZ$1001,ROW(),설정!$C$10)&amp;"","")</f>
        <v/>
      </c>
      <c r="I560">
        <f>IFERROR(INDEX('1.산군_붙여넣기'!$A$1:$AZ$1001,ROW(),설정!$C$11)&amp;"","")</f>
        <v/>
      </c>
      <c r="J560">
        <f>IFERROR(INDEX('1.산군_붙여넣기'!$A$1:$AZ$1001,ROW(),설정!$C$12)&amp;"","")</f>
        <v/>
      </c>
      <c r="K560">
        <f>IFERROR(INDEX('1.산군_붙여넣기'!$A$1:$AZ$1001,ROW(),설정!$C$13)&amp;"","")</f>
        <v/>
      </c>
      <c r="L560" s="6">
        <f>IF(X560="","",IF(AND(LEN(X560)=8,ISNUMBER(X560*1)),DATE(LEFT(X560,4),MID(X560,5,2),RIGHT(X560,2)),IFERROR(DATEVALUE(SUBSTITUTE(SUBSTITUTE(X560,".","-"),"/","-")),IFERROR(X560*1,""))))</f>
        <v/>
      </c>
      <c r="M560" s="6">
        <f>IF(Y560="","",IF(AND(LEN(Y560)=8,ISNUMBER(Y560*1)),DATE(LEFT(Y560,4),MID(Y560,5,2),RIGHT(Y560,2)),IFERROR(DATEVALUE(SUBSTITUTE(SUBSTITUTE(Y560,".","-"),"/","-")),IFERROR(Y560*1,""))))</f>
        <v/>
      </c>
      <c r="N560">
        <f>IFERROR(LEFT(B560,FIND(" ",B560)-1),B560)</f>
        <v/>
      </c>
      <c r="O560">
        <f>AND(B560&lt;&gt;"",B560&lt;&gt;설정!$B$4,C560&lt;&gt;설정!$B$5)</f>
        <v/>
      </c>
      <c r="P560">
        <f>IF(O560,B560&amp;"|"&amp;C560,"")</f>
        <v/>
      </c>
      <c r="Q560">
        <f>AND(O560,COUNTIF(P561:P$1002,P560)=0)</f>
        <v/>
      </c>
      <c r="R560">
        <f>OR(AND(설정!$A$28&lt;&gt;"",ISNUMBER(SEARCH(설정!$A$28,E560&amp;" "&amp;C560))),AND(설정!$A$29&lt;&gt;"",ISNUMBER(SEARCH(설정!$A$29,E560&amp;" "&amp;C560))),AND(설정!$A$30&lt;&gt;"",ISNUMBER(SEARCH(설정!$A$30,E560&amp;" "&amp;C560))),AND(설정!$A$31&lt;&gt;"",ISNUMBER(SEARCH(설정!$A$31,E560&amp;" "&amp;C560))),AND(설정!$A$32&lt;&gt;"",ISNUMBER(SEARCH(설정!$A$32,E560&amp;" "&amp;C560))),AND(설정!$A$33&lt;&gt;"",ISNUMBER(SEARCH(설정!$A$33,E560&amp;" "&amp;C560))),AND(설정!$A$34&lt;&gt;"",ISNUMBER(SEARCH(설정!$A$34,E560&amp;" "&amp;C560))),AND(설정!$A$35&lt;&gt;"",ISNUMBER(SEARCH(설정!$A$35,E560&amp;" "&amp;C560))),AND(설정!$A$36&lt;&gt;"",ISNUMBER(SEARCH(설정!$A$36,E560&amp;" "&amp;C560))),AND(설정!$A$37&lt;&gt;"",ISNUMBER(SEARCH(설정!$A$37,E560&amp;" "&amp;C560))))</f>
        <v/>
      </c>
      <c r="S560">
        <f>OR(D560="",D560&gt;=설정!$B$19)</f>
        <v/>
      </c>
      <c r="T560">
        <f>AND(Q560,R560,S560)</f>
        <v/>
      </c>
      <c r="U560">
        <f>IF(T560,IF(AND(설정!$A$41&lt;&gt;"",ISNUMBER(SEARCH(설정!$A$41,K560))),설정!$B$41,IF(AND(설정!$A$42&lt;&gt;"",ISNUMBER(SEARCH(설정!$A$42,K560))),설정!$B$42,IF(AND(설정!$A$43&lt;&gt;"",ISNUMBER(SEARCH(설정!$A$43,K560))),설정!$B$43,IF(AND(설정!$A$44&lt;&gt;"",ISNUMBER(SEARCH(설정!$A$44,K560))),설정!$B$44,IF(AND(설정!$A$45&lt;&gt;"",ISNUMBER(SEARCH(설정!$A$45,K560))),설정!$B$45,IF(AND(설정!$A$46&lt;&gt;"",ISNUMBER(SEARCH(설정!$A$46,K560))),설정!$B$46,IF(AND(설정!$A$47&lt;&gt;"",ISNUMBER(SEARCH(설정!$A$47,K560))),설정!$B$47,IF(AND(설정!$A$48&lt;&gt;"",ISNUMBER(SEARCH(설정!$A$48,K560))),설정!$B$48,IF(M560="","설계사","시공사"))))))))),"")</f>
        <v/>
      </c>
      <c r="V560">
        <f>SUBSTITUTE(SUBSTITUTE(SUBSTITUTE(SUBSTITUTE(G560,"(주)",""),"㈜",""),"주식회사","")," ","")</f>
        <v/>
      </c>
      <c r="W560">
        <f>IF(AND(T560,V560&lt;&gt;""),IF(COUNTIFS(V$2:V560,V560,T$2:T560,TRUE)=1,MAX(W$1:W559)+1,""),"")</f>
        <v/>
      </c>
      <c r="X560">
        <f>IFERROR(INDEX('1.산군_붙여넣기'!$A$1:$AZ$1001,ROW(),설정!$C$14)&amp;"","")</f>
        <v/>
      </c>
      <c r="Y560">
        <f>IFERROR(INDEX('1.산군_붙여넣기'!$A$1:$AZ$1001,ROW(),설정!$C$15)&amp;"","")</f>
        <v/>
      </c>
      <c r="Z560">
        <f>IF(T560,V560&amp;"|"&amp;U560,"")</f>
        <v/>
      </c>
    </row>
    <row r="561">
      <c r="A561">
        <f>ROW()</f>
        <v/>
      </c>
      <c r="B561">
        <f>IFERROR(INDEX('1.산군_붙여넣기'!$A$1:$AZ$1001,ROW(),설정!$C$4)&amp;"","")</f>
        <v/>
      </c>
      <c r="C561">
        <f>IFERROR(INDEX('1.산군_붙여넣기'!$A$1:$AZ$1001,ROW(),설정!$C$5)&amp;"","")</f>
        <v/>
      </c>
      <c r="D561" s="5">
        <f>IFERROR(VALUE(SUBSTITUTE(SUBSTITUTE(SUBSTITUTE(IFERROR(INDEX('1.산군_붙여넣기'!$A$1:$AZ$1001,ROW(),설정!$C$6)&amp;"",""),",",""),"㎡",""),"m2","")),"")</f>
        <v/>
      </c>
      <c r="E561">
        <f>IFERROR(INDEX('1.산군_붙여넣기'!$A$1:$AZ$1001,ROW(),설정!$C$7)&amp;"","")</f>
        <v/>
      </c>
      <c r="F561">
        <f>IFERROR(INDEX('1.산군_붙여넣기'!$A$1:$AZ$1001,ROW(),설정!$C$8)&amp;"","")</f>
        <v/>
      </c>
      <c r="G561">
        <f>IFERROR(INDEX('1.산군_붙여넣기'!$A$1:$AZ$1001,ROW(),설정!$C$9)&amp;"","")</f>
        <v/>
      </c>
      <c r="H561">
        <f>IFERROR(INDEX('1.산군_붙여넣기'!$A$1:$AZ$1001,ROW(),설정!$C$10)&amp;"","")</f>
        <v/>
      </c>
      <c r="I561">
        <f>IFERROR(INDEX('1.산군_붙여넣기'!$A$1:$AZ$1001,ROW(),설정!$C$11)&amp;"","")</f>
        <v/>
      </c>
      <c r="J561">
        <f>IFERROR(INDEX('1.산군_붙여넣기'!$A$1:$AZ$1001,ROW(),설정!$C$12)&amp;"","")</f>
        <v/>
      </c>
      <c r="K561">
        <f>IFERROR(INDEX('1.산군_붙여넣기'!$A$1:$AZ$1001,ROW(),설정!$C$13)&amp;"","")</f>
        <v/>
      </c>
      <c r="L561" s="6">
        <f>IF(X561="","",IF(AND(LEN(X561)=8,ISNUMBER(X561*1)),DATE(LEFT(X561,4),MID(X561,5,2),RIGHT(X561,2)),IFERROR(DATEVALUE(SUBSTITUTE(SUBSTITUTE(X561,".","-"),"/","-")),IFERROR(X561*1,""))))</f>
        <v/>
      </c>
      <c r="M561" s="6">
        <f>IF(Y561="","",IF(AND(LEN(Y561)=8,ISNUMBER(Y561*1)),DATE(LEFT(Y561,4),MID(Y561,5,2),RIGHT(Y561,2)),IFERROR(DATEVALUE(SUBSTITUTE(SUBSTITUTE(Y561,".","-"),"/","-")),IFERROR(Y561*1,""))))</f>
        <v/>
      </c>
      <c r="N561">
        <f>IFERROR(LEFT(B561,FIND(" ",B561)-1),B561)</f>
        <v/>
      </c>
      <c r="O561">
        <f>AND(B561&lt;&gt;"",B561&lt;&gt;설정!$B$4,C561&lt;&gt;설정!$B$5)</f>
        <v/>
      </c>
      <c r="P561">
        <f>IF(O561,B561&amp;"|"&amp;C561,"")</f>
        <v/>
      </c>
      <c r="Q561">
        <f>AND(O561,COUNTIF(P562:P$1002,P561)=0)</f>
        <v/>
      </c>
      <c r="R561">
        <f>OR(AND(설정!$A$28&lt;&gt;"",ISNUMBER(SEARCH(설정!$A$28,E561&amp;" "&amp;C561))),AND(설정!$A$29&lt;&gt;"",ISNUMBER(SEARCH(설정!$A$29,E561&amp;" "&amp;C561))),AND(설정!$A$30&lt;&gt;"",ISNUMBER(SEARCH(설정!$A$30,E561&amp;" "&amp;C561))),AND(설정!$A$31&lt;&gt;"",ISNUMBER(SEARCH(설정!$A$31,E561&amp;" "&amp;C561))),AND(설정!$A$32&lt;&gt;"",ISNUMBER(SEARCH(설정!$A$32,E561&amp;" "&amp;C561))),AND(설정!$A$33&lt;&gt;"",ISNUMBER(SEARCH(설정!$A$33,E561&amp;" "&amp;C561))),AND(설정!$A$34&lt;&gt;"",ISNUMBER(SEARCH(설정!$A$34,E561&amp;" "&amp;C561))),AND(설정!$A$35&lt;&gt;"",ISNUMBER(SEARCH(설정!$A$35,E561&amp;" "&amp;C561))),AND(설정!$A$36&lt;&gt;"",ISNUMBER(SEARCH(설정!$A$36,E561&amp;" "&amp;C561))),AND(설정!$A$37&lt;&gt;"",ISNUMBER(SEARCH(설정!$A$37,E561&amp;" "&amp;C561))))</f>
        <v/>
      </c>
      <c r="S561">
        <f>OR(D561="",D561&gt;=설정!$B$19)</f>
        <v/>
      </c>
      <c r="T561">
        <f>AND(Q561,R561,S561)</f>
        <v/>
      </c>
      <c r="U561">
        <f>IF(T561,IF(AND(설정!$A$41&lt;&gt;"",ISNUMBER(SEARCH(설정!$A$41,K561))),설정!$B$41,IF(AND(설정!$A$42&lt;&gt;"",ISNUMBER(SEARCH(설정!$A$42,K561))),설정!$B$42,IF(AND(설정!$A$43&lt;&gt;"",ISNUMBER(SEARCH(설정!$A$43,K561))),설정!$B$43,IF(AND(설정!$A$44&lt;&gt;"",ISNUMBER(SEARCH(설정!$A$44,K561))),설정!$B$44,IF(AND(설정!$A$45&lt;&gt;"",ISNUMBER(SEARCH(설정!$A$45,K561))),설정!$B$45,IF(AND(설정!$A$46&lt;&gt;"",ISNUMBER(SEARCH(설정!$A$46,K561))),설정!$B$46,IF(AND(설정!$A$47&lt;&gt;"",ISNUMBER(SEARCH(설정!$A$47,K561))),설정!$B$47,IF(AND(설정!$A$48&lt;&gt;"",ISNUMBER(SEARCH(설정!$A$48,K561))),설정!$B$48,IF(M561="","설계사","시공사"))))))))),"")</f>
        <v/>
      </c>
      <c r="V561">
        <f>SUBSTITUTE(SUBSTITUTE(SUBSTITUTE(SUBSTITUTE(G561,"(주)",""),"㈜",""),"주식회사","")," ","")</f>
        <v/>
      </c>
      <c r="W561">
        <f>IF(AND(T561,V561&lt;&gt;""),IF(COUNTIFS(V$2:V561,V561,T$2:T561,TRUE)=1,MAX(W$1:W560)+1,""),"")</f>
        <v/>
      </c>
      <c r="X561">
        <f>IFERROR(INDEX('1.산군_붙여넣기'!$A$1:$AZ$1001,ROW(),설정!$C$14)&amp;"","")</f>
        <v/>
      </c>
      <c r="Y561">
        <f>IFERROR(INDEX('1.산군_붙여넣기'!$A$1:$AZ$1001,ROW(),설정!$C$15)&amp;"","")</f>
        <v/>
      </c>
      <c r="Z561">
        <f>IF(T561,V561&amp;"|"&amp;U561,"")</f>
        <v/>
      </c>
    </row>
    <row r="562">
      <c r="A562">
        <f>ROW()</f>
        <v/>
      </c>
      <c r="B562">
        <f>IFERROR(INDEX('1.산군_붙여넣기'!$A$1:$AZ$1001,ROW(),설정!$C$4)&amp;"","")</f>
        <v/>
      </c>
      <c r="C562">
        <f>IFERROR(INDEX('1.산군_붙여넣기'!$A$1:$AZ$1001,ROW(),설정!$C$5)&amp;"","")</f>
        <v/>
      </c>
      <c r="D562" s="5">
        <f>IFERROR(VALUE(SUBSTITUTE(SUBSTITUTE(SUBSTITUTE(IFERROR(INDEX('1.산군_붙여넣기'!$A$1:$AZ$1001,ROW(),설정!$C$6)&amp;"",""),",",""),"㎡",""),"m2","")),"")</f>
        <v/>
      </c>
      <c r="E562">
        <f>IFERROR(INDEX('1.산군_붙여넣기'!$A$1:$AZ$1001,ROW(),설정!$C$7)&amp;"","")</f>
        <v/>
      </c>
      <c r="F562">
        <f>IFERROR(INDEX('1.산군_붙여넣기'!$A$1:$AZ$1001,ROW(),설정!$C$8)&amp;"","")</f>
        <v/>
      </c>
      <c r="G562">
        <f>IFERROR(INDEX('1.산군_붙여넣기'!$A$1:$AZ$1001,ROW(),설정!$C$9)&amp;"","")</f>
        <v/>
      </c>
      <c r="H562">
        <f>IFERROR(INDEX('1.산군_붙여넣기'!$A$1:$AZ$1001,ROW(),설정!$C$10)&amp;"","")</f>
        <v/>
      </c>
      <c r="I562">
        <f>IFERROR(INDEX('1.산군_붙여넣기'!$A$1:$AZ$1001,ROW(),설정!$C$11)&amp;"","")</f>
        <v/>
      </c>
      <c r="J562">
        <f>IFERROR(INDEX('1.산군_붙여넣기'!$A$1:$AZ$1001,ROW(),설정!$C$12)&amp;"","")</f>
        <v/>
      </c>
      <c r="K562">
        <f>IFERROR(INDEX('1.산군_붙여넣기'!$A$1:$AZ$1001,ROW(),설정!$C$13)&amp;"","")</f>
        <v/>
      </c>
      <c r="L562" s="6">
        <f>IF(X562="","",IF(AND(LEN(X562)=8,ISNUMBER(X562*1)),DATE(LEFT(X562,4),MID(X562,5,2),RIGHT(X562,2)),IFERROR(DATEVALUE(SUBSTITUTE(SUBSTITUTE(X562,".","-"),"/","-")),IFERROR(X562*1,""))))</f>
        <v/>
      </c>
      <c r="M562" s="6">
        <f>IF(Y562="","",IF(AND(LEN(Y562)=8,ISNUMBER(Y562*1)),DATE(LEFT(Y562,4),MID(Y562,5,2),RIGHT(Y562,2)),IFERROR(DATEVALUE(SUBSTITUTE(SUBSTITUTE(Y562,".","-"),"/","-")),IFERROR(Y562*1,""))))</f>
        <v/>
      </c>
      <c r="N562">
        <f>IFERROR(LEFT(B562,FIND(" ",B562)-1),B562)</f>
        <v/>
      </c>
      <c r="O562">
        <f>AND(B562&lt;&gt;"",B562&lt;&gt;설정!$B$4,C562&lt;&gt;설정!$B$5)</f>
        <v/>
      </c>
      <c r="P562">
        <f>IF(O562,B562&amp;"|"&amp;C562,"")</f>
        <v/>
      </c>
      <c r="Q562">
        <f>AND(O562,COUNTIF(P563:P$1002,P562)=0)</f>
        <v/>
      </c>
      <c r="R562">
        <f>OR(AND(설정!$A$28&lt;&gt;"",ISNUMBER(SEARCH(설정!$A$28,E562&amp;" "&amp;C562))),AND(설정!$A$29&lt;&gt;"",ISNUMBER(SEARCH(설정!$A$29,E562&amp;" "&amp;C562))),AND(설정!$A$30&lt;&gt;"",ISNUMBER(SEARCH(설정!$A$30,E562&amp;" "&amp;C562))),AND(설정!$A$31&lt;&gt;"",ISNUMBER(SEARCH(설정!$A$31,E562&amp;" "&amp;C562))),AND(설정!$A$32&lt;&gt;"",ISNUMBER(SEARCH(설정!$A$32,E562&amp;" "&amp;C562))),AND(설정!$A$33&lt;&gt;"",ISNUMBER(SEARCH(설정!$A$33,E562&amp;" "&amp;C562))),AND(설정!$A$34&lt;&gt;"",ISNUMBER(SEARCH(설정!$A$34,E562&amp;" "&amp;C562))),AND(설정!$A$35&lt;&gt;"",ISNUMBER(SEARCH(설정!$A$35,E562&amp;" "&amp;C562))),AND(설정!$A$36&lt;&gt;"",ISNUMBER(SEARCH(설정!$A$36,E562&amp;" "&amp;C562))),AND(설정!$A$37&lt;&gt;"",ISNUMBER(SEARCH(설정!$A$37,E562&amp;" "&amp;C562))))</f>
        <v/>
      </c>
      <c r="S562">
        <f>OR(D562="",D562&gt;=설정!$B$19)</f>
        <v/>
      </c>
      <c r="T562">
        <f>AND(Q562,R562,S562)</f>
        <v/>
      </c>
      <c r="U562">
        <f>IF(T562,IF(AND(설정!$A$41&lt;&gt;"",ISNUMBER(SEARCH(설정!$A$41,K562))),설정!$B$41,IF(AND(설정!$A$42&lt;&gt;"",ISNUMBER(SEARCH(설정!$A$42,K562))),설정!$B$42,IF(AND(설정!$A$43&lt;&gt;"",ISNUMBER(SEARCH(설정!$A$43,K562))),설정!$B$43,IF(AND(설정!$A$44&lt;&gt;"",ISNUMBER(SEARCH(설정!$A$44,K562))),설정!$B$44,IF(AND(설정!$A$45&lt;&gt;"",ISNUMBER(SEARCH(설정!$A$45,K562))),설정!$B$45,IF(AND(설정!$A$46&lt;&gt;"",ISNUMBER(SEARCH(설정!$A$46,K562))),설정!$B$46,IF(AND(설정!$A$47&lt;&gt;"",ISNUMBER(SEARCH(설정!$A$47,K562))),설정!$B$47,IF(AND(설정!$A$48&lt;&gt;"",ISNUMBER(SEARCH(설정!$A$48,K562))),설정!$B$48,IF(M562="","설계사","시공사"))))))))),"")</f>
        <v/>
      </c>
      <c r="V562">
        <f>SUBSTITUTE(SUBSTITUTE(SUBSTITUTE(SUBSTITUTE(G562,"(주)",""),"㈜",""),"주식회사","")," ","")</f>
        <v/>
      </c>
      <c r="W562">
        <f>IF(AND(T562,V562&lt;&gt;""),IF(COUNTIFS(V$2:V562,V562,T$2:T562,TRUE)=1,MAX(W$1:W561)+1,""),"")</f>
        <v/>
      </c>
      <c r="X562">
        <f>IFERROR(INDEX('1.산군_붙여넣기'!$A$1:$AZ$1001,ROW(),설정!$C$14)&amp;"","")</f>
        <v/>
      </c>
      <c r="Y562">
        <f>IFERROR(INDEX('1.산군_붙여넣기'!$A$1:$AZ$1001,ROW(),설정!$C$15)&amp;"","")</f>
        <v/>
      </c>
      <c r="Z562">
        <f>IF(T562,V562&amp;"|"&amp;U562,"")</f>
        <v/>
      </c>
    </row>
    <row r="563">
      <c r="A563">
        <f>ROW()</f>
        <v/>
      </c>
      <c r="B563">
        <f>IFERROR(INDEX('1.산군_붙여넣기'!$A$1:$AZ$1001,ROW(),설정!$C$4)&amp;"","")</f>
        <v/>
      </c>
      <c r="C563">
        <f>IFERROR(INDEX('1.산군_붙여넣기'!$A$1:$AZ$1001,ROW(),설정!$C$5)&amp;"","")</f>
        <v/>
      </c>
      <c r="D563" s="5">
        <f>IFERROR(VALUE(SUBSTITUTE(SUBSTITUTE(SUBSTITUTE(IFERROR(INDEX('1.산군_붙여넣기'!$A$1:$AZ$1001,ROW(),설정!$C$6)&amp;"",""),",",""),"㎡",""),"m2","")),"")</f>
        <v/>
      </c>
      <c r="E563">
        <f>IFERROR(INDEX('1.산군_붙여넣기'!$A$1:$AZ$1001,ROW(),설정!$C$7)&amp;"","")</f>
        <v/>
      </c>
      <c r="F563">
        <f>IFERROR(INDEX('1.산군_붙여넣기'!$A$1:$AZ$1001,ROW(),설정!$C$8)&amp;"","")</f>
        <v/>
      </c>
      <c r="G563">
        <f>IFERROR(INDEX('1.산군_붙여넣기'!$A$1:$AZ$1001,ROW(),설정!$C$9)&amp;"","")</f>
        <v/>
      </c>
      <c r="H563">
        <f>IFERROR(INDEX('1.산군_붙여넣기'!$A$1:$AZ$1001,ROW(),설정!$C$10)&amp;"","")</f>
        <v/>
      </c>
      <c r="I563">
        <f>IFERROR(INDEX('1.산군_붙여넣기'!$A$1:$AZ$1001,ROW(),설정!$C$11)&amp;"","")</f>
        <v/>
      </c>
      <c r="J563">
        <f>IFERROR(INDEX('1.산군_붙여넣기'!$A$1:$AZ$1001,ROW(),설정!$C$12)&amp;"","")</f>
        <v/>
      </c>
      <c r="K563">
        <f>IFERROR(INDEX('1.산군_붙여넣기'!$A$1:$AZ$1001,ROW(),설정!$C$13)&amp;"","")</f>
        <v/>
      </c>
      <c r="L563" s="6">
        <f>IF(X563="","",IF(AND(LEN(X563)=8,ISNUMBER(X563*1)),DATE(LEFT(X563,4),MID(X563,5,2),RIGHT(X563,2)),IFERROR(DATEVALUE(SUBSTITUTE(SUBSTITUTE(X563,".","-"),"/","-")),IFERROR(X563*1,""))))</f>
        <v/>
      </c>
      <c r="M563" s="6">
        <f>IF(Y563="","",IF(AND(LEN(Y563)=8,ISNUMBER(Y563*1)),DATE(LEFT(Y563,4),MID(Y563,5,2),RIGHT(Y563,2)),IFERROR(DATEVALUE(SUBSTITUTE(SUBSTITUTE(Y563,".","-"),"/","-")),IFERROR(Y563*1,""))))</f>
        <v/>
      </c>
      <c r="N563">
        <f>IFERROR(LEFT(B563,FIND(" ",B563)-1),B563)</f>
        <v/>
      </c>
      <c r="O563">
        <f>AND(B563&lt;&gt;"",B563&lt;&gt;설정!$B$4,C563&lt;&gt;설정!$B$5)</f>
        <v/>
      </c>
      <c r="P563">
        <f>IF(O563,B563&amp;"|"&amp;C563,"")</f>
        <v/>
      </c>
      <c r="Q563">
        <f>AND(O563,COUNTIF(P564:P$1002,P563)=0)</f>
        <v/>
      </c>
      <c r="R563">
        <f>OR(AND(설정!$A$28&lt;&gt;"",ISNUMBER(SEARCH(설정!$A$28,E563&amp;" "&amp;C563))),AND(설정!$A$29&lt;&gt;"",ISNUMBER(SEARCH(설정!$A$29,E563&amp;" "&amp;C563))),AND(설정!$A$30&lt;&gt;"",ISNUMBER(SEARCH(설정!$A$30,E563&amp;" "&amp;C563))),AND(설정!$A$31&lt;&gt;"",ISNUMBER(SEARCH(설정!$A$31,E563&amp;" "&amp;C563))),AND(설정!$A$32&lt;&gt;"",ISNUMBER(SEARCH(설정!$A$32,E563&amp;" "&amp;C563))),AND(설정!$A$33&lt;&gt;"",ISNUMBER(SEARCH(설정!$A$33,E563&amp;" "&amp;C563))),AND(설정!$A$34&lt;&gt;"",ISNUMBER(SEARCH(설정!$A$34,E563&amp;" "&amp;C563))),AND(설정!$A$35&lt;&gt;"",ISNUMBER(SEARCH(설정!$A$35,E563&amp;" "&amp;C563))),AND(설정!$A$36&lt;&gt;"",ISNUMBER(SEARCH(설정!$A$36,E563&amp;" "&amp;C563))),AND(설정!$A$37&lt;&gt;"",ISNUMBER(SEARCH(설정!$A$37,E563&amp;" "&amp;C563))))</f>
        <v/>
      </c>
      <c r="S563">
        <f>OR(D563="",D563&gt;=설정!$B$19)</f>
        <v/>
      </c>
      <c r="T563">
        <f>AND(Q563,R563,S563)</f>
        <v/>
      </c>
      <c r="U563">
        <f>IF(T563,IF(AND(설정!$A$41&lt;&gt;"",ISNUMBER(SEARCH(설정!$A$41,K563))),설정!$B$41,IF(AND(설정!$A$42&lt;&gt;"",ISNUMBER(SEARCH(설정!$A$42,K563))),설정!$B$42,IF(AND(설정!$A$43&lt;&gt;"",ISNUMBER(SEARCH(설정!$A$43,K563))),설정!$B$43,IF(AND(설정!$A$44&lt;&gt;"",ISNUMBER(SEARCH(설정!$A$44,K563))),설정!$B$44,IF(AND(설정!$A$45&lt;&gt;"",ISNUMBER(SEARCH(설정!$A$45,K563))),설정!$B$45,IF(AND(설정!$A$46&lt;&gt;"",ISNUMBER(SEARCH(설정!$A$46,K563))),설정!$B$46,IF(AND(설정!$A$47&lt;&gt;"",ISNUMBER(SEARCH(설정!$A$47,K563))),설정!$B$47,IF(AND(설정!$A$48&lt;&gt;"",ISNUMBER(SEARCH(설정!$A$48,K563))),설정!$B$48,IF(M563="","설계사","시공사"))))))))),"")</f>
        <v/>
      </c>
      <c r="V563">
        <f>SUBSTITUTE(SUBSTITUTE(SUBSTITUTE(SUBSTITUTE(G563,"(주)",""),"㈜",""),"주식회사","")," ","")</f>
        <v/>
      </c>
      <c r="W563">
        <f>IF(AND(T563,V563&lt;&gt;""),IF(COUNTIFS(V$2:V563,V563,T$2:T563,TRUE)=1,MAX(W$1:W562)+1,""),"")</f>
        <v/>
      </c>
      <c r="X563">
        <f>IFERROR(INDEX('1.산군_붙여넣기'!$A$1:$AZ$1001,ROW(),설정!$C$14)&amp;"","")</f>
        <v/>
      </c>
      <c r="Y563">
        <f>IFERROR(INDEX('1.산군_붙여넣기'!$A$1:$AZ$1001,ROW(),설정!$C$15)&amp;"","")</f>
        <v/>
      </c>
      <c r="Z563">
        <f>IF(T563,V563&amp;"|"&amp;U563,"")</f>
        <v/>
      </c>
    </row>
    <row r="564">
      <c r="A564">
        <f>ROW()</f>
        <v/>
      </c>
      <c r="B564">
        <f>IFERROR(INDEX('1.산군_붙여넣기'!$A$1:$AZ$1001,ROW(),설정!$C$4)&amp;"","")</f>
        <v/>
      </c>
      <c r="C564">
        <f>IFERROR(INDEX('1.산군_붙여넣기'!$A$1:$AZ$1001,ROW(),설정!$C$5)&amp;"","")</f>
        <v/>
      </c>
      <c r="D564" s="5">
        <f>IFERROR(VALUE(SUBSTITUTE(SUBSTITUTE(SUBSTITUTE(IFERROR(INDEX('1.산군_붙여넣기'!$A$1:$AZ$1001,ROW(),설정!$C$6)&amp;"",""),",",""),"㎡",""),"m2","")),"")</f>
        <v/>
      </c>
      <c r="E564">
        <f>IFERROR(INDEX('1.산군_붙여넣기'!$A$1:$AZ$1001,ROW(),설정!$C$7)&amp;"","")</f>
        <v/>
      </c>
      <c r="F564">
        <f>IFERROR(INDEX('1.산군_붙여넣기'!$A$1:$AZ$1001,ROW(),설정!$C$8)&amp;"","")</f>
        <v/>
      </c>
      <c r="G564">
        <f>IFERROR(INDEX('1.산군_붙여넣기'!$A$1:$AZ$1001,ROW(),설정!$C$9)&amp;"","")</f>
        <v/>
      </c>
      <c r="H564">
        <f>IFERROR(INDEX('1.산군_붙여넣기'!$A$1:$AZ$1001,ROW(),설정!$C$10)&amp;"","")</f>
        <v/>
      </c>
      <c r="I564">
        <f>IFERROR(INDEX('1.산군_붙여넣기'!$A$1:$AZ$1001,ROW(),설정!$C$11)&amp;"","")</f>
        <v/>
      </c>
      <c r="J564">
        <f>IFERROR(INDEX('1.산군_붙여넣기'!$A$1:$AZ$1001,ROW(),설정!$C$12)&amp;"","")</f>
        <v/>
      </c>
      <c r="K564">
        <f>IFERROR(INDEX('1.산군_붙여넣기'!$A$1:$AZ$1001,ROW(),설정!$C$13)&amp;"","")</f>
        <v/>
      </c>
      <c r="L564" s="6">
        <f>IF(X564="","",IF(AND(LEN(X564)=8,ISNUMBER(X564*1)),DATE(LEFT(X564,4),MID(X564,5,2),RIGHT(X564,2)),IFERROR(DATEVALUE(SUBSTITUTE(SUBSTITUTE(X564,".","-"),"/","-")),IFERROR(X564*1,""))))</f>
        <v/>
      </c>
      <c r="M564" s="6">
        <f>IF(Y564="","",IF(AND(LEN(Y564)=8,ISNUMBER(Y564*1)),DATE(LEFT(Y564,4),MID(Y564,5,2),RIGHT(Y564,2)),IFERROR(DATEVALUE(SUBSTITUTE(SUBSTITUTE(Y564,".","-"),"/","-")),IFERROR(Y564*1,""))))</f>
        <v/>
      </c>
      <c r="N564">
        <f>IFERROR(LEFT(B564,FIND(" ",B564)-1),B564)</f>
        <v/>
      </c>
      <c r="O564">
        <f>AND(B564&lt;&gt;"",B564&lt;&gt;설정!$B$4,C564&lt;&gt;설정!$B$5)</f>
        <v/>
      </c>
      <c r="P564">
        <f>IF(O564,B564&amp;"|"&amp;C564,"")</f>
        <v/>
      </c>
      <c r="Q564">
        <f>AND(O564,COUNTIF(P565:P$1002,P564)=0)</f>
        <v/>
      </c>
      <c r="R564">
        <f>OR(AND(설정!$A$28&lt;&gt;"",ISNUMBER(SEARCH(설정!$A$28,E564&amp;" "&amp;C564))),AND(설정!$A$29&lt;&gt;"",ISNUMBER(SEARCH(설정!$A$29,E564&amp;" "&amp;C564))),AND(설정!$A$30&lt;&gt;"",ISNUMBER(SEARCH(설정!$A$30,E564&amp;" "&amp;C564))),AND(설정!$A$31&lt;&gt;"",ISNUMBER(SEARCH(설정!$A$31,E564&amp;" "&amp;C564))),AND(설정!$A$32&lt;&gt;"",ISNUMBER(SEARCH(설정!$A$32,E564&amp;" "&amp;C564))),AND(설정!$A$33&lt;&gt;"",ISNUMBER(SEARCH(설정!$A$33,E564&amp;" "&amp;C564))),AND(설정!$A$34&lt;&gt;"",ISNUMBER(SEARCH(설정!$A$34,E564&amp;" "&amp;C564))),AND(설정!$A$35&lt;&gt;"",ISNUMBER(SEARCH(설정!$A$35,E564&amp;" "&amp;C564))),AND(설정!$A$36&lt;&gt;"",ISNUMBER(SEARCH(설정!$A$36,E564&amp;" "&amp;C564))),AND(설정!$A$37&lt;&gt;"",ISNUMBER(SEARCH(설정!$A$37,E564&amp;" "&amp;C564))))</f>
        <v/>
      </c>
      <c r="S564">
        <f>OR(D564="",D564&gt;=설정!$B$19)</f>
        <v/>
      </c>
      <c r="T564">
        <f>AND(Q564,R564,S564)</f>
        <v/>
      </c>
      <c r="U564">
        <f>IF(T564,IF(AND(설정!$A$41&lt;&gt;"",ISNUMBER(SEARCH(설정!$A$41,K564))),설정!$B$41,IF(AND(설정!$A$42&lt;&gt;"",ISNUMBER(SEARCH(설정!$A$42,K564))),설정!$B$42,IF(AND(설정!$A$43&lt;&gt;"",ISNUMBER(SEARCH(설정!$A$43,K564))),설정!$B$43,IF(AND(설정!$A$44&lt;&gt;"",ISNUMBER(SEARCH(설정!$A$44,K564))),설정!$B$44,IF(AND(설정!$A$45&lt;&gt;"",ISNUMBER(SEARCH(설정!$A$45,K564))),설정!$B$45,IF(AND(설정!$A$46&lt;&gt;"",ISNUMBER(SEARCH(설정!$A$46,K564))),설정!$B$46,IF(AND(설정!$A$47&lt;&gt;"",ISNUMBER(SEARCH(설정!$A$47,K564))),설정!$B$47,IF(AND(설정!$A$48&lt;&gt;"",ISNUMBER(SEARCH(설정!$A$48,K564))),설정!$B$48,IF(M564="","설계사","시공사"))))))))),"")</f>
        <v/>
      </c>
      <c r="V564">
        <f>SUBSTITUTE(SUBSTITUTE(SUBSTITUTE(SUBSTITUTE(G564,"(주)",""),"㈜",""),"주식회사","")," ","")</f>
        <v/>
      </c>
      <c r="W564">
        <f>IF(AND(T564,V564&lt;&gt;""),IF(COUNTIFS(V$2:V564,V564,T$2:T564,TRUE)=1,MAX(W$1:W563)+1,""),"")</f>
        <v/>
      </c>
      <c r="X564">
        <f>IFERROR(INDEX('1.산군_붙여넣기'!$A$1:$AZ$1001,ROW(),설정!$C$14)&amp;"","")</f>
        <v/>
      </c>
      <c r="Y564">
        <f>IFERROR(INDEX('1.산군_붙여넣기'!$A$1:$AZ$1001,ROW(),설정!$C$15)&amp;"","")</f>
        <v/>
      </c>
      <c r="Z564">
        <f>IF(T564,V564&amp;"|"&amp;U564,"")</f>
        <v/>
      </c>
    </row>
    <row r="565">
      <c r="A565">
        <f>ROW()</f>
        <v/>
      </c>
      <c r="B565">
        <f>IFERROR(INDEX('1.산군_붙여넣기'!$A$1:$AZ$1001,ROW(),설정!$C$4)&amp;"","")</f>
        <v/>
      </c>
      <c r="C565">
        <f>IFERROR(INDEX('1.산군_붙여넣기'!$A$1:$AZ$1001,ROW(),설정!$C$5)&amp;"","")</f>
        <v/>
      </c>
      <c r="D565" s="5">
        <f>IFERROR(VALUE(SUBSTITUTE(SUBSTITUTE(SUBSTITUTE(IFERROR(INDEX('1.산군_붙여넣기'!$A$1:$AZ$1001,ROW(),설정!$C$6)&amp;"",""),",",""),"㎡",""),"m2","")),"")</f>
        <v/>
      </c>
      <c r="E565">
        <f>IFERROR(INDEX('1.산군_붙여넣기'!$A$1:$AZ$1001,ROW(),설정!$C$7)&amp;"","")</f>
        <v/>
      </c>
      <c r="F565">
        <f>IFERROR(INDEX('1.산군_붙여넣기'!$A$1:$AZ$1001,ROW(),설정!$C$8)&amp;"","")</f>
        <v/>
      </c>
      <c r="G565">
        <f>IFERROR(INDEX('1.산군_붙여넣기'!$A$1:$AZ$1001,ROW(),설정!$C$9)&amp;"","")</f>
        <v/>
      </c>
      <c r="H565">
        <f>IFERROR(INDEX('1.산군_붙여넣기'!$A$1:$AZ$1001,ROW(),설정!$C$10)&amp;"","")</f>
        <v/>
      </c>
      <c r="I565">
        <f>IFERROR(INDEX('1.산군_붙여넣기'!$A$1:$AZ$1001,ROW(),설정!$C$11)&amp;"","")</f>
        <v/>
      </c>
      <c r="J565">
        <f>IFERROR(INDEX('1.산군_붙여넣기'!$A$1:$AZ$1001,ROW(),설정!$C$12)&amp;"","")</f>
        <v/>
      </c>
      <c r="K565">
        <f>IFERROR(INDEX('1.산군_붙여넣기'!$A$1:$AZ$1001,ROW(),설정!$C$13)&amp;"","")</f>
        <v/>
      </c>
      <c r="L565" s="6">
        <f>IF(X565="","",IF(AND(LEN(X565)=8,ISNUMBER(X565*1)),DATE(LEFT(X565,4),MID(X565,5,2),RIGHT(X565,2)),IFERROR(DATEVALUE(SUBSTITUTE(SUBSTITUTE(X565,".","-"),"/","-")),IFERROR(X565*1,""))))</f>
        <v/>
      </c>
      <c r="M565" s="6">
        <f>IF(Y565="","",IF(AND(LEN(Y565)=8,ISNUMBER(Y565*1)),DATE(LEFT(Y565,4),MID(Y565,5,2),RIGHT(Y565,2)),IFERROR(DATEVALUE(SUBSTITUTE(SUBSTITUTE(Y565,".","-"),"/","-")),IFERROR(Y565*1,""))))</f>
        <v/>
      </c>
      <c r="N565">
        <f>IFERROR(LEFT(B565,FIND(" ",B565)-1),B565)</f>
        <v/>
      </c>
      <c r="O565">
        <f>AND(B565&lt;&gt;"",B565&lt;&gt;설정!$B$4,C565&lt;&gt;설정!$B$5)</f>
        <v/>
      </c>
      <c r="P565">
        <f>IF(O565,B565&amp;"|"&amp;C565,"")</f>
        <v/>
      </c>
      <c r="Q565">
        <f>AND(O565,COUNTIF(P566:P$1002,P565)=0)</f>
        <v/>
      </c>
      <c r="R565">
        <f>OR(AND(설정!$A$28&lt;&gt;"",ISNUMBER(SEARCH(설정!$A$28,E565&amp;" "&amp;C565))),AND(설정!$A$29&lt;&gt;"",ISNUMBER(SEARCH(설정!$A$29,E565&amp;" "&amp;C565))),AND(설정!$A$30&lt;&gt;"",ISNUMBER(SEARCH(설정!$A$30,E565&amp;" "&amp;C565))),AND(설정!$A$31&lt;&gt;"",ISNUMBER(SEARCH(설정!$A$31,E565&amp;" "&amp;C565))),AND(설정!$A$32&lt;&gt;"",ISNUMBER(SEARCH(설정!$A$32,E565&amp;" "&amp;C565))),AND(설정!$A$33&lt;&gt;"",ISNUMBER(SEARCH(설정!$A$33,E565&amp;" "&amp;C565))),AND(설정!$A$34&lt;&gt;"",ISNUMBER(SEARCH(설정!$A$34,E565&amp;" "&amp;C565))),AND(설정!$A$35&lt;&gt;"",ISNUMBER(SEARCH(설정!$A$35,E565&amp;" "&amp;C565))),AND(설정!$A$36&lt;&gt;"",ISNUMBER(SEARCH(설정!$A$36,E565&amp;" "&amp;C565))),AND(설정!$A$37&lt;&gt;"",ISNUMBER(SEARCH(설정!$A$37,E565&amp;" "&amp;C565))))</f>
        <v/>
      </c>
      <c r="S565">
        <f>OR(D565="",D565&gt;=설정!$B$19)</f>
        <v/>
      </c>
      <c r="T565">
        <f>AND(Q565,R565,S565)</f>
        <v/>
      </c>
      <c r="U565">
        <f>IF(T565,IF(AND(설정!$A$41&lt;&gt;"",ISNUMBER(SEARCH(설정!$A$41,K565))),설정!$B$41,IF(AND(설정!$A$42&lt;&gt;"",ISNUMBER(SEARCH(설정!$A$42,K565))),설정!$B$42,IF(AND(설정!$A$43&lt;&gt;"",ISNUMBER(SEARCH(설정!$A$43,K565))),설정!$B$43,IF(AND(설정!$A$44&lt;&gt;"",ISNUMBER(SEARCH(설정!$A$44,K565))),설정!$B$44,IF(AND(설정!$A$45&lt;&gt;"",ISNUMBER(SEARCH(설정!$A$45,K565))),설정!$B$45,IF(AND(설정!$A$46&lt;&gt;"",ISNUMBER(SEARCH(설정!$A$46,K565))),설정!$B$46,IF(AND(설정!$A$47&lt;&gt;"",ISNUMBER(SEARCH(설정!$A$47,K565))),설정!$B$47,IF(AND(설정!$A$48&lt;&gt;"",ISNUMBER(SEARCH(설정!$A$48,K565))),설정!$B$48,IF(M565="","설계사","시공사"))))))))),"")</f>
        <v/>
      </c>
      <c r="V565">
        <f>SUBSTITUTE(SUBSTITUTE(SUBSTITUTE(SUBSTITUTE(G565,"(주)",""),"㈜",""),"주식회사","")," ","")</f>
        <v/>
      </c>
      <c r="W565">
        <f>IF(AND(T565,V565&lt;&gt;""),IF(COUNTIFS(V$2:V565,V565,T$2:T565,TRUE)=1,MAX(W$1:W564)+1,""),"")</f>
        <v/>
      </c>
      <c r="X565">
        <f>IFERROR(INDEX('1.산군_붙여넣기'!$A$1:$AZ$1001,ROW(),설정!$C$14)&amp;"","")</f>
        <v/>
      </c>
      <c r="Y565">
        <f>IFERROR(INDEX('1.산군_붙여넣기'!$A$1:$AZ$1001,ROW(),설정!$C$15)&amp;"","")</f>
        <v/>
      </c>
      <c r="Z565">
        <f>IF(T565,V565&amp;"|"&amp;U565,"")</f>
        <v/>
      </c>
    </row>
    <row r="566">
      <c r="A566">
        <f>ROW()</f>
        <v/>
      </c>
      <c r="B566">
        <f>IFERROR(INDEX('1.산군_붙여넣기'!$A$1:$AZ$1001,ROW(),설정!$C$4)&amp;"","")</f>
        <v/>
      </c>
      <c r="C566">
        <f>IFERROR(INDEX('1.산군_붙여넣기'!$A$1:$AZ$1001,ROW(),설정!$C$5)&amp;"","")</f>
        <v/>
      </c>
      <c r="D566" s="5">
        <f>IFERROR(VALUE(SUBSTITUTE(SUBSTITUTE(SUBSTITUTE(IFERROR(INDEX('1.산군_붙여넣기'!$A$1:$AZ$1001,ROW(),설정!$C$6)&amp;"",""),",",""),"㎡",""),"m2","")),"")</f>
        <v/>
      </c>
      <c r="E566">
        <f>IFERROR(INDEX('1.산군_붙여넣기'!$A$1:$AZ$1001,ROW(),설정!$C$7)&amp;"","")</f>
        <v/>
      </c>
      <c r="F566">
        <f>IFERROR(INDEX('1.산군_붙여넣기'!$A$1:$AZ$1001,ROW(),설정!$C$8)&amp;"","")</f>
        <v/>
      </c>
      <c r="G566">
        <f>IFERROR(INDEX('1.산군_붙여넣기'!$A$1:$AZ$1001,ROW(),설정!$C$9)&amp;"","")</f>
        <v/>
      </c>
      <c r="H566">
        <f>IFERROR(INDEX('1.산군_붙여넣기'!$A$1:$AZ$1001,ROW(),설정!$C$10)&amp;"","")</f>
        <v/>
      </c>
      <c r="I566">
        <f>IFERROR(INDEX('1.산군_붙여넣기'!$A$1:$AZ$1001,ROW(),설정!$C$11)&amp;"","")</f>
        <v/>
      </c>
      <c r="J566">
        <f>IFERROR(INDEX('1.산군_붙여넣기'!$A$1:$AZ$1001,ROW(),설정!$C$12)&amp;"","")</f>
        <v/>
      </c>
      <c r="K566">
        <f>IFERROR(INDEX('1.산군_붙여넣기'!$A$1:$AZ$1001,ROW(),설정!$C$13)&amp;"","")</f>
        <v/>
      </c>
      <c r="L566" s="6">
        <f>IF(X566="","",IF(AND(LEN(X566)=8,ISNUMBER(X566*1)),DATE(LEFT(X566,4),MID(X566,5,2),RIGHT(X566,2)),IFERROR(DATEVALUE(SUBSTITUTE(SUBSTITUTE(X566,".","-"),"/","-")),IFERROR(X566*1,""))))</f>
        <v/>
      </c>
      <c r="M566" s="6">
        <f>IF(Y566="","",IF(AND(LEN(Y566)=8,ISNUMBER(Y566*1)),DATE(LEFT(Y566,4),MID(Y566,5,2),RIGHT(Y566,2)),IFERROR(DATEVALUE(SUBSTITUTE(SUBSTITUTE(Y566,".","-"),"/","-")),IFERROR(Y566*1,""))))</f>
        <v/>
      </c>
      <c r="N566">
        <f>IFERROR(LEFT(B566,FIND(" ",B566)-1),B566)</f>
        <v/>
      </c>
      <c r="O566">
        <f>AND(B566&lt;&gt;"",B566&lt;&gt;설정!$B$4,C566&lt;&gt;설정!$B$5)</f>
        <v/>
      </c>
      <c r="P566">
        <f>IF(O566,B566&amp;"|"&amp;C566,"")</f>
        <v/>
      </c>
      <c r="Q566">
        <f>AND(O566,COUNTIF(P567:P$1002,P566)=0)</f>
        <v/>
      </c>
      <c r="R566">
        <f>OR(AND(설정!$A$28&lt;&gt;"",ISNUMBER(SEARCH(설정!$A$28,E566&amp;" "&amp;C566))),AND(설정!$A$29&lt;&gt;"",ISNUMBER(SEARCH(설정!$A$29,E566&amp;" "&amp;C566))),AND(설정!$A$30&lt;&gt;"",ISNUMBER(SEARCH(설정!$A$30,E566&amp;" "&amp;C566))),AND(설정!$A$31&lt;&gt;"",ISNUMBER(SEARCH(설정!$A$31,E566&amp;" "&amp;C566))),AND(설정!$A$32&lt;&gt;"",ISNUMBER(SEARCH(설정!$A$32,E566&amp;" "&amp;C566))),AND(설정!$A$33&lt;&gt;"",ISNUMBER(SEARCH(설정!$A$33,E566&amp;" "&amp;C566))),AND(설정!$A$34&lt;&gt;"",ISNUMBER(SEARCH(설정!$A$34,E566&amp;" "&amp;C566))),AND(설정!$A$35&lt;&gt;"",ISNUMBER(SEARCH(설정!$A$35,E566&amp;" "&amp;C566))),AND(설정!$A$36&lt;&gt;"",ISNUMBER(SEARCH(설정!$A$36,E566&amp;" "&amp;C566))),AND(설정!$A$37&lt;&gt;"",ISNUMBER(SEARCH(설정!$A$37,E566&amp;" "&amp;C566))))</f>
        <v/>
      </c>
      <c r="S566">
        <f>OR(D566="",D566&gt;=설정!$B$19)</f>
        <v/>
      </c>
      <c r="T566">
        <f>AND(Q566,R566,S566)</f>
        <v/>
      </c>
      <c r="U566">
        <f>IF(T566,IF(AND(설정!$A$41&lt;&gt;"",ISNUMBER(SEARCH(설정!$A$41,K566))),설정!$B$41,IF(AND(설정!$A$42&lt;&gt;"",ISNUMBER(SEARCH(설정!$A$42,K566))),설정!$B$42,IF(AND(설정!$A$43&lt;&gt;"",ISNUMBER(SEARCH(설정!$A$43,K566))),설정!$B$43,IF(AND(설정!$A$44&lt;&gt;"",ISNUMBER(SEARCH(설정!$A$44,K566))),설정!$B$44,IF(AND(설정!$A$45&lt;&gt;"",ISNUMBER(SEARCH(설정!$A$45,K566))),설정!$B$45,IF(AND(설정!$A$46&lt;&gt;"",ISNUMBER(SEARCH(설정!$A$46,K566))),설정!$B$46,IF(AND(설정!$A$47&lt;&gt;"",ISNUMBER(SEARCH(설정!$A$47,K566))),설정!$B$47,IF(AND(설정!$A$48&lt;&gt;"",ISNUMBER(SEARCH(설정!$A$48,K566))),설정!$B$48,IF(M566="","설계사","시공사"))))))))),"")</f>
        <v/>
      </c>
      <c r="V566">
        <f>SUBSTITUTE(SUBSTITUTE(SUBSTITUTE(SUBSTITUTE(G566,"(주)",""),"㈜",""),"주식회사","")," ","")</f>
        <v/>
      </c>
      <c r="W566">
        <f>IF(AND(T566,V566&lt;&gt;""),IF(COUNTIFS(V$2:V566,V566,T$2:T566,TRUE)=1,MAX(W$1:W565)+1,""),"")</f>
        <v/>
      </c>
      <c r="X566">
        <f>IFERROR(INDEX('1.산군_붙여넣기'!$A$1:$AZ$1001,ROW(),설정!$C$14)&amp;"","")</f>
        <v/>
      </c>
      <c r="Y566">
        <f>IFERROR(INDEX('1.산군_붙여넣기'!$A$1:$AZ$1001,ROW(),설정!$C$15)&amp;"","")</f>
        <v/>
      </c>
      <c r="Z566">
        <f>IF(T566,V566&amp;"|"&amp;U566,"")</f>
        <v/>
      </c>
    </row>
    <row r="567">
      <c r="A567">
        <f>ROW()</f>
        <v/>
      </c>
      <c r="B567">
        <f>IFERROR(INDEX('1.산군_붙여넣기'!$A$1:$AZ$1001,ROW(),설정!$C$4)&amp;"","")</f>
        <v/>
      </c>
      <c r="C567">
        <f>IFERROR(INDEX('1.산군_붙여넣기'!$A$1:$AZ$1001,ROW(),설정!$C$5)&amp;"","")</f>
        <v/>
      </c>
      <c r="D567" s="5">
        <f>IFERROR(VALUE(SUBSTITUTE(SUBSTITUTE(SUBSTITUTE(IFERROR(INDEX('1.산군_붙여넣기'!$A$1:$AZ$1001,ROW(),설정!$C$6)&amp;"",""),",",""),"㎡",""),"m2","")),"")</f>
        <v/>
      </c>
      <c r="E567">
        <f>IFERROR(INDEX('1.산군_붙여넣기'!$A$1:$AZ$1001,ROW(),설정!$C$7)&amp;"","")</f>
        <v/>
      </c>
      <c r="F567">
        <f>IFERROR(INDEX('1.산군_붙여넣기'!$A$1:$AZ$1001,ROW(),설정!$C$8)&amp;"","")</f>
        <v/>
      </c>
      <c r="G567">
        <f>IFERROR(INDEX('1.산군_붙여넣기'!$A$1:$AZ$1001,ROW(),설정!$C$9)&amp;"","")</f>
        <v/>
      </c>
      <c r="H567">
        <f>IFERROR(INDEX('1.산군_붙여넣기'!$A$1:$AZ$1001,ROW(),설정!$C$10)&amp;"","")</f>
        <v/>
      </c>
      <c r="I567">
        <f>IFERROR(INDEX('1.산군_붙여넣기'!$A$1:$AZ$1001,ROW(),설정!$C$11)&amp;"","")</f>
        <v/>
      </c>
      <c r="J567">
        <f>IFERROR(INDEX('1.산군_붙여넣기'!$A$1:$AZ$1001,ROW(),설정!$C$12)&amp;"","")</f>
        <v/>
      </c>
      <c r="K567">
        <f>IFERROR(INDEX('1.산군_붙여넣기'!$A$1:$AZ$1001,ROW(),설정!$C$13)&amp;"","")</f>
        <v/>
      </c>
      <c r="L567" s="6">
        <f>IF(X567="","",IF(AND(LEN(X567)=8,ISNUMBER(X567*1)),DATE(LEFT(X567,4),MID(X567,5,2),RIGHT(X567,2)),IFERROR(DATEVALUE(SUBSTITUTE(SUBSTITUTE(X567,".","-"),"/","-")),IFERROR(X567*1,""))))</f>
        <v/>
      </c>
      <c r="M567" s="6">
        <f>IF(Y567="","",IF(AND(LEN(Y567)=8,ISNUMBER(Y567*1)),DATE(LEFT(Y567,4),MID(Y567,5,2),RIGHT(Y567,2)),IFERROR(DATEVALUE(SUBSTITUTE(SUBSTITUTE(Y567,".","-"),"/","-")),IFERROR(Y567*1,""))))</f>
        <v/>
      </c>
      <c r="N567">
        <f>IFERROR(LEFT(B567,FIND(" ",B567)-1),B567)</f>
        <v/>
      </c>
      <c r="O567">
        <f>AND(B567&lt;&gt;"",B567&lt;&gt;설정!$B$4,C567&lt;&gt;설정!$B$5)</f>
        <v/>
      </c>
      <c r="P567">
        <f>IF(O567,B567&amp;"|"&amp;C567,"")</f>
        <v/>
      </c>
      <c r="Q567">
        <f>AND(O567,COUNTIF(P568:P$1002,P567)=0)</f>
        <v/>
      </c>
      <c r="R567">
        <f>OR(AND(설정!$A$28&lt;&gt;"",ISNUMBER(SEARCH(설정!$A$28,E567&amp;" "&amp;C567))),AND(설정!$A$29&lt;&gt;"",ISNUMBER(SEARCH(설정!$A$29,E567&amp;" "&amp;C567))),AND(설정!$A$30&lt;&gt;"",ISNUMBER(SEARCH(설정!$A$30,E567&amp;" "&amp;C567))),AND(설정!$A$31&lt;&gt;"",ISNUMBER(SEARCH(설정!$A$31,E567&amp;" "&amp;C567))),AND(설정!$A$32&lt;&gt;"",ISNUMBER(SEARCH(설정!$A$32,E567&amp;" "&amp;C567))),AND(설정!$A$33&lt;&gt;"",ISNUMBER(SEARCH(설정!$A$33,E567&amp;" "&amp;C567))),AND(설정!$A$34&lt;&gt;"",ISNUMBER(SEARCH(설정!$A$34,E567&amp;" "&amp;C567))),AND(설정!$A$35&lt;&gt;"",ISNUMBER(SEARCH(설정!$A$35,E567&amp;" "&amp;C567))),AND(설정!$A$36&lt;&gt;"",ISNUMBER(SEARCH(설정!$A$36,E567&amp;" "&amp;C567))),AND(설정!$A$37&lt;&gt;"",ISNUMBER(SEARCH(설정!$A$37,E567&amp;" "&amp;C567))))</f>
        <v/>
      </c>
      <c r="S567">
        <f>OR(D567="",D567&gt;=설정!$B$19)</f>
        <v/>
      </c>
      <c r="T567">
        <f>AND(Q567,R567,S567)</f>
        <v/>
      </c>
      <c r="U567">
        <f>IF(T567,IF(AND(설정!$A$41&lt;&gt;"",ISNUMBER(SEARCH(설정!$A$41,K567))),설정!$B$41,IF(AND(설정!$A$42&lt;&gt;"",ISNUMBER(SEARCH(설정!$A$42,K567))),설정!$B$42,IF(AND(설정!$A$43&lt;&gt;"",ISNUMBER(SEARCH(설정!$A$43,K567))),설정!$B$43,IF(AND(설정!$A$44&lt;&gt;"",ISNUMBER(SEARCH(설정!$A$44,K567))),설정!$B$44,IF(AND(설정!$A$45&lt;&gt;"",ISNUMBER(SEARCH(설정!$A$45,K567))),설정!$B$45,IF(AND(설정!$A$46&lt;&gt;"",ISNUMBER(SEARCH(설정!$A$46,K567))),설정!$B$46,IF(AND(설정!$A$47&lt;&gt;"",ISNUMBER(SEARCH(설정!$A$47,K567))),설정!$B$47,IF(AND(설정!$A$48&lt;&gt;"",ISNUMBER(SEARCH(설정!$A$48,K567))),설정!$B$48,IF(M567="","설계사","시공사"))))))))),"")</f>
        <v/>
      </c>
      <c r="V567">
        <f>SUBSTITUTE(SUBSTITUTE(SUBSTITUTE(SUBSTITUTE(G567,"(주)",""),"㈜",""),"주식회사","")," ","")</f>
        <v/>
      </c>
      <c r="W567">
        <f>IF(AND(T567,V567&lt;&gt;""),IF(COUNTIFS(V$2:V567,V567,T$2:T567,TRUE)=1,MAX(W$1:W566)+1,""),"")</f>
        <v/>
      </c>
      <c r="X567">
        <f>IFERROR(INDEX('1.산군_붙여넣기'!$A$1:$AZ$1001,ROW(),설정!$C$14)&amp;"","")</f>
        <v/>
      </c>
      <c r="Y567">
        <f>IFERROR(INDEX('1.산군_붙여넣기'!$A$1:$AZ$1001,ROW(),설정!$C$15)&amp;"","")</f>
        <v/>
      </c>
      <c r="Z567">
        <f>IF(T567,V567&amp;"|"&amp;U567,"")</f>
        <v/>
      </c>
    </row>
    <row r="568">
      <c r="A568">
        <f>ROW()</f>
        <v/>
      </c>
      <c r="B568">
        <f>IFERROR(INDEX('1.산군_붙여넣기'!$A$1:$AZ$1001,ROW(),설정!$C$4)&amp;"","")</f>
        <v/>
      </c>
      <c r="C568">
        <f>IFERROR(INDEX('1.산군_붙여넣기'!$A$1:$AZ$1001,ROW(),설정!$C$5)&amp;"","")</f>
        <v/>
      </c>
      <c r="D568" s="5">
        <f>IFERROR(VALUE(SUBSTITUTE(SUBSTITUTE(SUBSTITUTE(IFERROR(INDEX('1.산군_붙여넣기'!$A$1:$AZ$1001,ROW(),설정!$C$6)&amp;"",""),",",""),"㎡",""),"m2","")),"")</f>
        <v/>
      </c>
      <c r="E568">
        <f>IFERROR(INDEX('1.산군_붙여넣기'!$A$1:$AZ$1001,ROW(),설정!$C$7)&amp;"","")</f>
        <v/>
      </c>
      <c r="F568">
        <f>IFERROR(INDEX('1.산군_붙여넣기'!$A$1:$AZ$1001,ROW(),설정!$C$8)&amp;"","")</f>
        <v/>
      </c>
      <c r="G568">
        <f>IFERROR(INDEX('1.산군_붙여넣기'!$A$1:$AZ$1001,ROW(),설정!$C$9)&amp;"","")</f>
        <v/>
      </c>
      <c r="H568">
        <f>IFERROR(INDEX('1.산군_붙여넣기'!$A$1:$AZ$1001,ROW(),설정!$C$10)&amp;"","")</f>
        <v/>
      </c>
      <c r="I568">
        <f>IFERROR(INDEX('1.산군_붙여넣기'!$A$1:$AZ$1001,ROW(),설정!$C$11)&amp;"","")</f>
        <v/>
      </c>
      <c r="J568">
        <f>IFERROR(INDEX('1.산군_붙여넣기'!$A$1:$AZ$1001,ROW(),설정!$C$12)&amp;"","")</f>
        <v/>
      </c>
      <c r="K568">
        <f>IFERROR(INDEX('1.산군_붙여넣기'!$A$1:$AZ$1001,ROW(),설정!$C$13)&amp;"","")</f>
        <v/>
      </c>
      <c r="L568" s="6">
        <f>IF(X568="","",IF(AND(LEN(X568)=8,ISNUMBER(X568*1)),DATE(LEFT(X568,4),MID(X568,5,2),RIGHT(X568,2)),IFERROR(DATEVALUE(SUBSTITUTE(SUBSTITUTE(X568,".","-"),"/","-")),IFERROR(X568*1,""))))</f>
        <v/>
      </c>
      <c r="M568" s="6">
        <f>IF(Y568="","",IF(AND(LEN(Y568)=8,ISNUMBER(Y568*1)),DATE(LEFT(Y568,4),MID(Y568,5,2),RIGHT(Y568,2)),IFERROR(DATEVALUE(SUBSTITUTE(SUBSTITUTE(Y568,".","-"),"/","-")),IFERROR(Y568*1,""))))</f>
        <v/>
      </c>
      <c r="N568">
        <f>IFERROR(LEFT(B568,FIND(" ",B568)-1),B568)</f>
        <v/>
      </c>
      <c r="O568">
        <f>AND(B568&lt;&gt;"",B568&lt;&gt;설정!$B$4,C568&lt;&gt;설정!$B$5)</f>
        <v/>
      </c>
      <c r="P568">
        <f>IF(O568,B568&amp;"|"&amp;C568,"")</f>
        <v/>
      </c>
      <c r="Q568">
        <f>AND(O568,COUNTIF(P569:P$1002,P568)=0)</f>
        <v/>
      </c>
      <c r="R568">
        <f>OR(AND(설정!$A$28&lt;&gt;"",ISNUMBER(SEARCH(설정!$A$28,E568&amp;" "&amp;C568))),AND(설정!$A$29&lt;&gt;"",ISNUMBER(SEARCH(설정!$A$29,E568&amp;" "&amp;C568))),AND(설정!$A$30&lt;&gt;"",ISNUMBER(SEARCH(설정!$A$30,E568&amp;" "&amp;C568))),AND(설정!$A$31&lt;&gt;"",ISNUMBER(SEARCH(설정!$A$31,E568&amp;" "&amp;C568))),AND(설정!$A$32&lt;&gt;"",ISNUMBER(SEARCH(설정!$A$32,E568&amp;" "&amp;C568))),AND(설정!$A$33&lt;&gt;"",ISNUMBER(SEARCH(설정!$A$33,E568&amp;" "&amp;C568))),AND(설정!$A$34&lt;&gt;"",ISNUMBER(SEARCH(설정!$A$34,E568&amp;" "&amp;C568))),AND(설정!$A$35&lt;&gt;"",ISNUMBER(SEARCH(설정!$A$35,E568&amp;" "&amp;C568))),AND(설정!$A$36&lt;&gt;"",ISNUMBER(SEARCH(설정!$A$36,E568&amp;" "&amp;C568))),AND(설정!$A$37&lt;&gt;"",ISNUMBER(SEARCH(설정!$A$37,E568&amp;" "&amp;C568))))</f>
        <v/>
      </c>
      <c r="S568">
        <f>OR(D568="",D568&gt;=설정!$B$19)</f>
        <v/>
      </c>
      <c r="T568">
        <f>AND(Q568,R568,S568)</f>
        <v/>
      </c>
      <c r="U568">
        <f>IF(T568,IF(AND(설정!$A$41&lt;&gt;"",ISNUMBER(SEARCH(설정!$A$41,K568))),설정!$B$41,IF(AND(설정!$A$42&lt;&gt;"",ISNUMBER(SEARCH(설정!$A$42,K568))),설정!$B$42,IF(AND(설정!$A$43&lt;&gt;"",ISNUMBER(SEARCH(설정!$A$43,K568))),설정!$B$43,IF(AND(설정!$A$44&lt;&gt;"",ISNUMBER(SEARCH(설정!$A$44,K568))),설정!$B$44,IF(AND(설정!$A$45&lt;&gt;"",ISNUMBER(SEARCH(설정!$A$45,K568))),설정!$B$45,IF(AND(설정!$A$46&lt;&gt;"",ISNUMBER(SEARCH(설정!$A$46,K568))),설정!$B$46,IF(AND(설정!$A$47&lt;&gt;"",ISNUMBER(SEARCH(설정!$A$47,K568))),설정!$B$47,IF(AND(설정!$A$48&lt;&gt;"",ISNUMBER(SEARCH(설정!$A$48,K568))),설정!$B$48,IF(M568="","설계사","시공사"))))))))),"")</f>
        <v/>
      </c>
      <c r="V568">
        <f>SUBSTITUTE(SUBSTITUTE(SUBSTITUTE(SUBSTITUTE(G568,"(주)",""),"㈜",""),"주식회사","")," ","")</f>
        <v/>
      </c>
      <c r="W568">
        <f>IF(AND(T568,V568&lt;&gt;""),IF(COUNTIFS(V$2:V568,V568,T$2:T568,TRUE)=1,MAX(W$1:W567)+1,""),"")</f>
        <v/>
      </c>
      <c r="X568">
        <f>IFERROR(INDEX('1.산군_붙여넣기'!$A$1:$AZ$1001,ROW(),설정!$C$14)&amp;"","")</f>
        <v/>
      </c>
      <c r="Y568">
        <f>IFERROR(INDEX('1.산군_붙여넣기'!$A$1:$AZ$1001,ROW(),설정!$C$15)&amp;"","")</f>
        <v/>
      </c>
      <c r="Z568">
        <f>IF(T568,V568&amp;"|"&amp;U568,"")</f>
        <v/>
      </c>
    </row>
    <row r="569">
      <c r="A569">
        <f>ROW()</f>
        <v/>
      </c>
      <c r="B569">
        <f>IFERROR(INDEX('1.산군_붙여넣기'!$A$1:$AZ$1001,ROW(),설정!$C$4)&amp;"","")</f>
        <v/>
      </c>
      <c r="C569">
        <f>IFERROR(INDEX('1.산군_붙여넣기'!$A$1:$AZ$1001,ROW(),설정!$C$5)&amp;"","")</f>
        <v/>
      </c>
      <c r="D569" s="5">
        <f>IFERROR(VALUE(SUBSTITUTE(SUBSTITUTE(SUBSTITUTE(IFERROR(INDEX('1.산군_붙여넣기'!$A$1:$AZ$1001,ROW(),설정!$C$6)&amp;"",""),",",""),"㎡",""),"m2","")),"")</f>
        <v/>
      </c>
      <c r="E569">
        <f>IFERROR(INDEX('1.산군_붙여넣기'!$A$1:$AZ$1001,ROW(),설정!$C$7)&amp;"","")</f>
        <v/>
      </c>
      <c r="F569">
        <f>IFERROR(INDEX('1.산군_붙여넣기'!$A$1:$AZ$1001,ROW(),설정!$C$8)&amp;"","")</f>
        <v/>
      </c>
      <c r="G569">
        <f>IFERROR(INDEX('1.산군_붙여넣기'!$A$1:$AZ$1001,ROW(),설정!$C$9)&amp;"","")</f>
        <v/>
      </c>
      <c r="H569">
        <f>IFERROR(INDEX('1.산군_붙여넣기'!$A$1:$AZ$1001,ROW(),설정!$C$10)&amp;"","")</f>
        <v/>
      </c>
      <c r="I569">
        <f>IFERROR(INDEX('1.산군_붙여넣기'!$A$1:$AZ$1001,ROW(),설정!$C$11)&amp;"","")</f>
        <v/>
      </c>
      <c r="J569">
        <f>IFERROR(INDEX('1.산군_붙여넣기'!$A$1:$AZ$1001,ROW(),설정!$C$12)&amp;"","")</f>
        <v/>
      </c>
      <c r="K569">
        <f>IFERROR(INDEX('1.산군_붙여넣기'!$A$1:$AZ$1001,ROW(),설정!$C$13)&amp;"","")</f>
        <v/>
      </c>
      <c r="L569" s="6">
        <f>IF(X569="","",IF(AND(LEN(X569)=8,ISNUMBER(X569*1)),DATE(LEFT(X569,4),MID(X569,5,2),RIGHT(X569,2)),IFERROR(DATEVALUE(SUBSTITUTE(SUBSTITUTE(X569,".","-"),"/","-")),IFERROR(X569*1,""))))</f>
        <v/>
      </c>
      <c r="M569" s="6">
        <f>IF(Y569="","",IF(AND(LEN(Y569)=8,ISNUMBER(Y569*1)),DATE(LEFT(Y569,4),MID(Y569,5,2),RIGHT(Y569,2)),IFERROR(DATEVALUE(SUBSTITUTE(SUBSTITUTE(Y569,".","-"),"/","-")),IFERROR(Y569*1,""))))</f>
        <v/>
      </c>
      <c r="N569">
        <f>IFERROR(LEFT(B569,FIND(" ",B569)-1),B569)</f>
        <v/>
      </c>
      <c r="O569">
        <f>AND(B569&lt;&gt;"",B569&lt;&gt;설정!$B$4,C569&lt;&gt;설정!$B$5)</f>
        <v/>
      </c>
      <c r="P569">
        <f>IF(O569,B569&amp;"|"&amp;C569,"")</f>
        <v/>
      </c>
      <c r="Q569">
        <f>AND(O569,COUNTIF(P570:P$1002,P569)=0)</f>
        <v/>
      </c>
      <c r="R569">
        <f>OR(AND(설정!$A$28&lt;&gt;"",ISNUMBER(SEARCH(설정!$A$28,E569&amp;" "&amp;C569))),AND(설정!$A$29&lt;&gt;"",ISNUMBER(SEARCH(설정!$A$29,E569&amp;" "&amp;C569))),AND(설정!$A$30&lt;&gt;"",ISNUMBER(SEARCH(설정!$A$30,E569&amp;" "&amp;C569))),AND(설정!$A$31&lt;&gt;"",ISNUMBER(SEARCH(설정!$A$31,E569&amp;" "&amp;C569))),AND(설정!$A$32&lt;&gt;"",ISNUMBER(SEARCH(설정!$A$32,E569&amp;" "&amp;C569))),AND(설정!$A$33&lt;&gt;"",ISNUMBER(SEARCH(설정!$A$33,E569&amp;" "&amp;C569))),AND(설정!$A$34&lt;&gt;"",ISNUMBER(SEARCH(설정!$A$34,E569&amp;" "&amp;C569))),AND(설정!$A$35&lt;&gt;"",ISNUMBER(SEARCH(설정!$A$35,E569&amp;" "&amp;C569))),AND(설정!$A$36&lt;&gt;"",ISNUMBER(SEARCH(설정!$A$36,E569&amp;" "&amp;C569))),AND(설정!$A$37&lt;&gt;"",ISNUMBER(SEARCH(설정!$A$37,E569&amp;" "&amp;C569))))</f>
        <v/>
      </c>
      <c r="S569">
        <f>OR(D569="",D569&gt;=설정!$B$19)</f>
        <v/>
      </c>
      <c r="T569">
        <f>AND(Q569,R569,S569)</f>
        <v/>
      </c>
      <c r="U569">
        <f>IF(T569,IF(AND(설정!$A$41&lt;&gt;"",ISNUMBER(SEARCH(설정!$A$41,K569))),설정!$B$41,IF(AND(설정!$A$42&lt;&gt;"",ISNUMBER(SEARCH(설정!$A$42,K569))),설정!$B$42,IF(AND(설정!$A$43&lt;&gt;"",ISNUMBER(SEARCH(설정!$A$43,K569))),설정!$B$43,IF(AND(설정!$A$44&lt;&gt;"",ISNUMBER(SEARCH(설정!$A$44,K569))),설정!$B$44,IF(AND(설정!$A$45&lt;&gt;"",ISNUMBER(SEARCH(설정!$A$45,K569))),설정!$B$45,IF(AND(설정!$A$46&lt;&gt;"",ISNUMBER(SEARCH(설정!$A$46,K569))),설정!$B$46,IF(AND(설정!$A$47&lt;&gt;"",ISNUMBER(SEARCH(설정!$A$47,K569))),설정!$B$47,IF(AND(설정!$A$48&lt;&gt;"",ISNUMBER(SEARCH(설정!$A$48,K569))),설정!$B$48,IF(M569="","설계사","시공사"))))))))),"")</f>
        <v/>
      </c>
      <c r="V569">
        <f>SUBSTITUTE(SUBSTITUTE(SUBSTITUTE(SUBSTITUTE(G569,"(주)",""),"㈜",""),"주식회사","")," ","")</f>
        <v/>
      </c>
      <c r="W569">
        <f>IF(AND(T569,V569&lt;&gt;""),IF(COUNTIFS(V$2:V569,V569,T$2:T569,TRUE)=1,MAX(W$1:W568)+1,""),"")</f>
        <v/>
      </c>
      <c r="X569">
        <f>IFERROR(INDEX('1.산군_붙여넣기'!$A$1:$AZ$1001,ROW(),설정!$C$14)&amp;"","")</f>
        <v/>
      </c>
      <c r="Y569">
        <f>IFERROR(INDEX('1.산군_붙여넣기'!$A$1:$AZ$1001,ROW(),설정!$C$15)&amp;"","")</f>
        <v/>
      </c>
      <c r="Z569">
        <f>IF(T569,V569&amp;"|"&amp;U569,"")</f>
        <v/>
      </c>
    </row>
    <row r="570">
      <c r="A570">
        <f>ROW()</f>
        <v/>
      </c>
      <c r="B570">
        <f>IFERROR(INDEX('1.산군_붙여넣기'!$A$1:$AZ$1001,ROW(),설정!$C$4)&amp;"","")</f>
        <v/>
      </c>
      <c r="C570">
        <f>IFERROR(INDEX('1.산군_붙여넣기'!$A$1:$AZ$1001,ROW(),설정!$C$5)&amp;"","")</f>
        <v/>
      </c>
      <c r="D570" s="5">
        <f>IFERROR(VALUE(SUBSTITUTE(SUBSTITUTE(SUBSTITUTE(IFERROR(INDEX('1.산군_붙여넣기'!$A$1:$AZ$1001,ROW(),설정!$C$6)&amp;"",""),",",""),"㎡",""),"m2","")),"")</f>
        <v/>
      </c>
      <c r="E570">
        <f>IFERROR(INDEX('1.산군_붙여넣기'!$A$1:$AZ$1001,ROW(),설정!$C$7)&amp;"","")</f>
        <v/>
      </c>
      <c r="F570">
        <f>IFERROR(INDEX('1.산군_붙여넣기'!$A$1:$AZ$1001,ROW(),설정!$C$8)&amp;"","")</f>
        <v/>
      </c>
      <c r="G570">
        <f>IFERROR(INDEX('1.산군_붙여넣기'!$A$1:$AZ$1001,ROW(),설정!$C$9)&amp;"","")</f>
        <v/>
      </c>
      <c r="H570">
        <f>IFERROR(INDEX('1.산군_붙여넣기'!$A$1:$AZ$1001,ROW(),설정!$C$10)&amp;"","")</f>
        <v/>
      </c>
      <c r="I570">
        <f>IFERROR(INDEX('1.산군_붙여넣기'!$A$1:$AZ$1001,ROW(),설정!$C$11)&amp;"","")</f>
        <v/>
      </c>
      <c r="J570">
        <f>IFERROR(INDEX('1.산군_붙여넣기'!$A$1:$AZ$1001,ROW(),설정!$C$12)&amp;"","")</f>
        <v/>
      </c>
      <c r="K570">
        <f>IFERROR(INDEX('1.산군_붙여넣기'!$A$1:$AZ$1001,ROW(),설정!$C$13)&amp;"","")</f>
        <v/>
      </c>
      <c r="L570" s="6">
        <f>IF(X570="","",IF(AND(LEN(X570)=8,ISNUMBER(X570*1)),DATE(LEFT(X570,4),MID(X570,5,2),RIGHT(X570,2)),IFERROR(DATEVALUE(SUBSTITUTE(SUBSTITUTE(X570,".","-"),"/","-")),IFERROR(X570*1,""))))</f>
        <v/>
      </c>
      <c r="M570" s="6">
        <f>IF(Y570="","",IF(AND(LEN(Y570)=8,ISNUMBER(Y570*1)),DATE(LEFT(Y570,4),MID(Y570,5,2),RIGHT(Y570,2)),IFERROR(DATEVALUE(SUBSTITUTE(SUBSTITUTE(Y570,".","-"),"/","-")),IFERROR(Y570*1,""))))</f>
        <v/>
      </c>
      <c r="N570">
        <f>IFERROR(LEFT(B570,FIND(" ",B570)-1),B570)</f>
        <v/>
      </c>
      <c r="O570">
        <f>AND(B570&lt;&gt;"",B570&lt;&gt;설정!$B$4,C570&lt;&gt;설정!$B$5)</f>
        <v/>
      </c>
      <c r="P570">
        <f>IF(O570,B570&amp;"|"&amp;C570,"")</f>
        <v/>
      </c>
      <c r="Q570">
        <f>AND(O570,COUNTIF(P571:P$1002,P570)=0)</f>
        <v/>
      </c>
      <c r="R570">
        <f>OR(AND(설정!$A$28&lt;&gt;"",ISNUMBER(SEARCH(설정!$A$28,E570&amp;" "&amp;C570))),AND(설정!$A$29&lt;&gt;"",ISNUMBER(SEARCH(설정!$A$29,E570&amp;" "&amp;C570))),AND(설정!$A$30&lt;&gt;"",ISNUMBER(SEARCH(설정!$A$30,E570&amp;" "&amp;C570))),AND(설정!$A$31&lt;&gt;"",ISNUMBER(SEARCH(설정!$A$31,E570&amp;" "&amp;C570))),AND(설정!$A$32&lt;&gt;"",ISNUMBER(SEARCH(설정!$A$32,E570&amp;" "&amp;C570))),AND(설정!$A$33&lt;&gt;"",ISNUMBER(SEARCH(설정!$A$33,E570&amp;" "&amp;C570))),AND(설정!$A$34&lt;&gt;"",ISNUMBER(SEARCH(설정!$A$34,E570&amp;" "&amp;C570))),AND(설정!$A$35&lt;&gt;"",ISNUMBER(SEARCH(설정!$A$35,E570&amp;" "&amp;C570))),AND(설정!$A$36&lt;&gt;"",ISNUMBER(SEARCH(설정!$A$36,E570&amp;" "&amp;C570))),AND(설정!$A$37&lt;&gt;"",ISNUMBER(SEARCH(설정!$A$37,E570&amp;" "&amp;C570))))</f>
        <v/>
      </c>
      <c r="S570">
        <f>OR(D570="",D570&gt;=설정!$B$19)</f>
        <v/>
      </c>
      <c r="T570">
        <f>AND(Q570,R570,S570)</f>
        <v/>
      </c>
      <c r="U570">
        <f>IF(T570,IF(AND(설정!$A$41&lt;&gt;"",ISNUMBER(SEARCH(설정!$A$41,K570))),설정!$B$41,IF(AND(설정!$A$42&lt;&gt;"",ISNUMBER(SEARCH(설정!$A$42,K570))),설정!$B$42,IF(AND(설정!$A$43&lt;&gt;"",ISNUMBER(SEARCH(설정!$A$43,K570))),설정!$B$43,IF(AND(설정!$A$44&lt;&gt;"",ISNUMBER(SEARCH(설정!$A$44,K570))),설정!$B$44,IF(AND(설정!$A$45&lt;&gt;"",ISNUMBER(SEARCH(설정!$A$45,K570))),설정!$B$45,IF(AND(설정!$A$46&lt;&gt;"",ISNUMBER(SEARCH(설정!$A$46,K570))),설정!$B$46,IF(AND(설정!$A$47&lt;&gt;"",ISNUMBER(SEARCH(설정!$A$47,K570))),설정!$B$47,IF(AND(설정!$A$48&lt;&gt;"",ISNUMBER(SEARCH(설정!$A$48,K570))),설정!$B$48,IF(M570="","설계사","시공사"))))))))),"")</f>
        <v/>
      </c>
      <c r="V570">
        <f>SUBSTITUTE(SUBSTITUTE(SUBSTITUTE(SUBSTITUTE(G570,"(주)",""),"㈜",""),"주식회사","")," ","")</f>
        <v/>
      </c>
      <c r="W570">
        <f>IF(AND(T570,V570&lt;&gt;""),IF(COUNTIFS(V$2:V570,V570,T$2:T570,TRUE)=1,MAX(W$1:W569)+1,""),"")</f>
        <v/>
      </c>
      <c r="X570">
        <f>IFERROR(INDEX('1.산군_붙여넣기'!$A$1:$AZ$1001,ROW(),설정!$C$14)&amp;"","")</f>
        <v/>
      </c>
      <c r="Y570">
        <f>IFERROR(INDEX('1.산군_붙여넣기'!$A$1:$AZ$1001,ROW(),설정!$C$15)&amp;"","")</f>
        <v/>
      </c>
      <c r="Z570">
        <f>IF(T570,V570&amp;"|"&amp;U570,"")</f>
        <v/>
      </c>
    </row>
    <row r="571">
      <c r="A571">
        <f>ROW()</f>
        <v/>
      </c>
      <c r="B571">
        <f>IFERROR(INDEX('1.산군_붙여넣기'!$A$1:$AZ$1001,ROW(),설정!$C$4)&amp;"","")</f>
        <v/>
      </c>
      <c r="C571">
        <f>IFERROR(INDEX('1.산군_붙여넣기'!$A$1:$AZ$1001,ROW(),설정!$C$5)&amp;"","")</f>
        <v/>
      </c>
      <c r="D571" s="5">
        <f>IFERROR(VALUE(SUBSTITUTE(SUBSTITUTE(SUBSTITUTE(IFERROR(INDEX('1.산군_붙여넣기'!$A$1:$AZ$1001,ROW(),설정!$C$6)&amp;"",""),",",""),"㎡",""),"m2","")),"")</f>
        <v/>
      </c>
      <c r="E571">
        <f>IFERROR(INDEX('1.산군_붙여넣기'!$A$1:$AZ$1001,ROW(),설정!$C$7)&amp;"","")</f>
        <v/>
      </c>
      <c r="F571">
        <f>IFERROR(INDEX('1.산군_붙여넣기'!$A$1:$AZ$1001,ROW(),설정!$C$8)&amp;"","")</f>
        <v/>
      </c>
      <c r="G571">
        <f>IFERROR(INDEX('1.산군_붙여넣기'!$A$1:$AZ$1001,ROW(),설정!$C$9)&amp;"","")</f>
        <v/>
      </c>
      <c r="H571">
        <f>IFERROR(INDEX('1.산군_붙여넣기'!$A$1:$AZ$1001,ROW(),설정!$C$10)&amp;"","")</f>
        <v/>
      </c>
      <c r="I571">
        <f>IFERROR(INDEX('1.산군_붙여넣기'!$A$1:$AZ$1001,ROW(),설정!$C$11)&amp;"","")</f>
        <v/>
      </c>
      <c r="J571">
        <f>IFERROR(INDEX('1.산군_붙여넣기'!$A$1:$AZ$1001,ROW(),설정!$C$12)&amp;"","")</f>
        <v/>
      </c>
      <c r="K571">
        <f>IFERROR(INDEX('1.산군_붙여넣기'!$A$1:$AZ$1001,ROW(),설정!$C$13)&amp;"","")</f>
        <v/>
      </c>
      <c r="L571" s="6">
        <f>IF(X571="","",IF(AND(LEN(X571)=8,ISNUMBER(X571*1)),DATE(LEFT(X571,4),MID(X571,5,2),RIGHT(X571,2)),IFERROR(DATEVALUE(SUBSTITUTE(SUBSTITUTE(X571,".","-"),"/","-")),IFERROR(X571*1,""))))</f>
        <v/>
      </c>
      <c r="M571" s="6">
        <f>IF(Y571="","",IF(AND(LEN(Y571)=8,ISNUMBER(Y571*1)),DATE(LEFT(Y571,4),MID(Y571,5,2),RIGHT(Y571,2)),IFERROR(DATEVALUE(SUBSTITUTE(SUBSTITUTE(Y571,".","-"),"/","-")),IFERROR(Y571*1,""))))</f>
        <v/>
      </c>
      <c r="N571">
        <f>IFERROR(LEFT(B571,FIND(" ",B571)-1),B571)</f>
        <v/>
      </c>
      <c r="O571">
        <f>AND(B571&lt;&gt;"",B571&lt;&gt;설정!$B$4,C571&lt;&gt;설정!$B$5)</f>
        <v/>
      </c>
      <c r="P571">
        <f>IF(O571,B571&amp;"|"&amp;C571,"")</f>
        <v/>
      </c>
      <c r="Q571">
        <f>AND(O571,COUNTIF(P572:P$1002,P571)=0)</f>
        <v/>
      </c>
      <c r="R571">
        <f>OR(AND(설정!$A$28&lt;&gt;"",ISNUMBER(SEARCH(설정!$A$28,E571&amp;" "&amp;C571))),AND(설정!$A$29&lt;&gt;"",ISNUMBER(SEARCH(설정!$A$29,E571&amp;" "&amp;C571))),AND(설정!$A$30&lt;&gt;"",ISNUMBER(SEARCH(설정!$A$30,E571&amp;" "&amp;C571))),AND(설정!$A$31&lt;&gt;"",ISNUMBER(SEARCH(설정!$A$31,E571&amp;" "&amp;C571))),AND(설정!$A$32&lt;&gt;"",ISNUMBER(SEARCH(설정!$A$32,E571&amp;" "&amp;C571))),AND(설정!$A$33&lt;&gt;"",ISNUMBER(SEARCH(설정!$A$33,E571&amp;" "&amp;C571))),AND(설정!$A$34&lt;&gt;"",ISNUMBER(SEARCH(설정!$A$34,E571&amp;" "&amp;C571))),AND(설정!$A$35&lt;&gt;"",ISNUMBER(SEARCH(설정!$A$35,E571&amp;" "&amp;C571))),AND(설정!$A$36&lt;&gt;"",ISNUMBER(SEARCH(설정!$A$36,E571&amp;" "&amp;C571))),AND(설정!$A$37&lt;&gt;"",ISNUMBER(SEARCH(설정!$A$37,E571&amp;" "&amp;C571))))</f>
        <v/>
      </c>
      <c r="S571">
        <f>OR(D571="",D571&gt;=설정!$B$19)</f>
        <v/>
      </c>
      <c r="T571">
        <f>AND(Q571,R571,S571)</f>
        <v/>
      </c>
      <c r="U571">
        <f>IF(T571,IF(AND(설정!$A$41&lt;&gt;"",ISNUMBER(SEARCH(설정!$A$41,K571))),설정!$B$41,IF(AND(설정!$A$42&lt;&gt;"",ISNUMBER(SEARCH(설정!$A$42,K571))),설정!$B$42,IF(AND(설정!$A$43&lt;&gt;"",ISNUMBER(SEARCH(설정!$A$43,K571))),설정!$B$43,IF(AND(설정!$A$44&lt;&gt;"",ISNUMBER(SEARCH(설정!$A$44,K571))),설정!$B$44,IF(AND(설정!$A$45&lt;&gt;"",ISNUMBER(SEARCH(설정!$A$45,K571))),설정!$B$45,IF(AND(설정!$A$46&lt;&gt;"",ISNUMBER(SEARCH(설정!$A$46,K571))),설정!$B$46,IF(AND(설정!$A$47&lt;&gt;"",ISNUMBER(SEARCH(설정!$A$47,K571))),설정!$B$47,IF(AND(설정!$A$48&lt;&gt;"",ISNUMBER(SEARCH(설정!$A$48,K571))),설정!$B$48,IF(M571="","설계사","시공사"))))))))),"")</f>
        <v/>
      </c>
      <c r="V571">
        <f>SUBSTITUTE(SUBSTITUTE(SUBSTITUTE(SUBSTITUTE(G571,"(주)",""),"㈜",""),"주식회사","")," ","")</f>
        <v/>
      </c>
      <c r="W571">
        <f>IF(AND(T571,V571&lt;&gt;""),IF(COUNTIFS(V$2:V571,V571,T$2:T571,TRUE)=1,MAX(W$1:W570)+1,""),"")</f>
        <v/>
      </c>
      <c r="X571">
        <f>IFERROR(INDEX('1.산군_붙여넣기'!$A$1:$AZ$1001,ROW(),설정!$C$14)&amp;"","")</f>
        <v/>
      </c>
      <c r="Y571">
        <f>IFERROR(INDEX('1.산군_붙여넣기'!$A$1:$AZ$1001,ROW(),설정!$C$15)&amp;"","")</f>
        <v/>
      </c>
      <c r="Z571">
        <f>IF(T571,V571&amp;"|"&amp;U571,"")</f>
        <v/>
      </c>
    </row>
    <row r="572">
      <c r="A572">
        <f>ROW()</f>
        <v/>
      </c>
      <c r="B572">
        <f>IFERROR(INDEX('1.산군_붙여넣기'!$A$1:$AZ$1001,ROW(),설정!$C$4)&amp;"","")</f>
        <v/>
      </c>
      <c r="C572">
        <f>IFERROR(INDEX('1.산군_붙여넣기'!$A$1:$AZ$1001,ROW(),설정!$C$5)&amp;"","")</f>
        <v/>
      </c>
      <c r="D572" s="5">
        <f>IFERROR(VALUE(SUBSTITUTE(SUBSTITUTE(SUBSTITUTE(IFERROR(INDEX('1.산군_붙여넣기'!$A$1:$AZ$1001,ROW(),설정!$C$6)&amp;"",""),",",""),"㎡",""),"m2","")),"")</f>
        <v/>
      </c>
      <c r="E572">
        <f>IFERROR(INDEX('1.산군_붙여넣기'!$A$1:$AZ$1001,ROW(),설정!$C$7)&amp;"","")</f>
        <v/>
      </c>
      <c r="F572">
        <f>IFERROR(INDEX('1.산군_붙여넣기'!$A$1:$AZ$1001,ROW(),설정!$C$8)&amp;"","")</f>
        <v/>
      </c>
      <c r="G572">
        <f>IFERROR(INDEX('1.산군_붙여넣기'!$A$1:$AZ$1001,ROW(),설정!$C$9)&amp;"","")</f>
        <v/>
      </c>
      <c r="H572">
        <f>IFERROR(INDEX('1.산군_붙여넣기'!$A$1:$AZ$1001,ROW(),설정!$C$10)&amp;"","")</f>
        <v/>
      </c>
      <c r="I572">
        <f>IFERROR(INDEX('1.산군_붙여넣기'!$A$1:$AZ$1001,ROW(),설정!$C$11)&amp;"","")</f>
        <v/>
      </c>
      <c r="J572">
        <f>IFERROR(INDEX('1.산군_붙여넣기'!$A$1:$AZ$1001,ROW(),설정!$C$12)&amp;"","")</f>
        <v/>
      </c>
      <c r="K572">
        <f>IFERROR(INDEX('1.산군_붙여넣기'!$A$1:$AZ$1001,ROW(),설정!$C$13)&amp;"","")</f>
        <v/>
      </c>
      <c r="L572" s="6">
        <f>IF(X572="","",IF(AND(LEN(X572)=8,ISNUMBER(X572*1)),DATE(LEFT(X572,4),MID(X572,5,2),RIGHT(X572,2)),IFERROR(DATEVALUE(SUBSTITUTE(SUBSTITUTE(X572,".","-"),"/","-")),IFERROR(X572*1,""))))</f>
        <v/>
      </c>
      <c r="M572" s="6">
        <f>IF(Y572="","",IF(AND(LEN(Y572)=8,ISNUMBER(Y572*1)),DATE(LEFT(Y572,4),MID(Y572,5,2),RIGHT(Y572,2)),IFERROR(DATEVALUE(SUBSTITUTE(SUBSTITUTE(Y572,".","-"),"/","-")),IFERROR(Y572*1,""))))</f>
        <v/>
      </c>
      <c r="N572">
        <f>IFERROR(LEFT(B572,FIND(" ",B572)-1),B572)</f>
        <v/>
      </c>
      <c r="O572">
        <f>AND(B572&lt;&gt;"",B572&lt;&gt;설정!$B$4,C572&lt;&gt;설정!$B$5)</f>
        <v/>
      </c>
      <c r="P572">
        <f>IF(O572,B572&amp;"|"&amp;C572,"")</f>
        <v/>
      </c>
      <c r="Q572">
        <f>AND(O572,COUNTIF(P573:P$1002,P572)=0)</f>
        <v/>
      </c>
      <c r="R572">
        <f>OR(AND(설정!$A$28&lt;&gt;"",ISNUMBER(SEARCH(설정!$A$28,E572&amp;" "&amp;C572))),AND(설정!$A$29&lt;&gt;"",ISNUMBER(SEARCH(설정!$A$29,E572&amp;" "&amp;C572))),AND(설정!$A$30&lt;&gt;"",ISNUMBER(SEARCH(설정!$A$30,E572&amp;" "&amp;C572))),AND(설정!$A$31&lt;&gt;"",ISNUMBER(SEARCH(설정!$A$31,E572&amp;" "&amp;C572))),AND(설정!$A$32&lt;&gt;"",ISNUMBER(SEARCH(설정!$A$32,E572&amp;" "&amp;C572))),AND(설정!$A$33&lt;&gt;"",ISNUMBER(SEARCH(설정!$A$33,E572&amp;" "&amp;C572))),AND(설정!$A$34&lt;&gt;"",ISNUMBER(SEARCH(설정!$A$34,E572&amp;" "&amp;C572))),AND(설정!$A$35&lt;&gt;"",ISNUMBER(SEARCH(설정!$A$35,E572&amp;" "&amp;C572))),AND(설정!$A$36&lt;&gt;"",ISNUMBER(SEARCH(설정!$A$36,E572&amp;" "&amp;C572))),AND(설정!$A$37&lt;&gt;"",ISNUMBER(SEARCH(설정!$A$37,E572&amp;" "&amp;C572))))</f>
        <v/>
      </c>
      <c r="S572">
        <f>OR(D572="",D572&gt;=설정!$B$19)</f>
        <v/>
      </c>
      <c r="T572">
        <f>AND(Q572,R572,S572)</f>
        <v/>
      </c>
      <c r="U572">
        <f>IF(T572,IF(AND(설정!$A$41&lt;&gt;"",ISNUMBER(SEARCH(설정!$A$41,K572))),설정!$B$41,IF(AND(설정!$A$42&lt;&gt;"",ISNUMBER(SEARCH(설정!$A$42,K572))),설정!$B$42,IF(AND(설정!$A$43&lt;&gt;"",ISNUMBER(SEARCH(설정!$A$43,K572))),설정!$B$43,IF(AND(설정!$A$44&lt;&gt;"",ISNUMBER(SEARCH(설정!$A$44,K572))),설정!$B$44,IF(AND(설정!$A$45&lt;&gt;"",ISNUMBER(SEARCH(설정!$A$45,K572))),설정!$B$45,IF(AND(설정!$A$46&lt;&gt;"",ISNUMBER(SEARCH(설정!$A$46,K572))),설정!$B$46,IF(AND(설정!$A$47&lt;&gt;"",ISNUMBER(SEARCH(설정!$A$47,K572))),설정!$B$47,IF(AND(설정!$A$48&lt;&gt;"",ISNUMBER(SEARCH(설정!$A$48,K572))),설정!$B$48,IF(M572="","설계사","시공사"))))))))),"")</f>
        <v/>
      </c>
      <c r="V572">
        <f>SUBSTITUTE(SUBSTITUTE(SUBSTITUTE(SUBSTITUTE(G572,"(주)",""),"㈜",""),"주식회사","")," ","")</f>
        <v/>
      </c>
      <c r="W572">
        <f>IF(AND(T572,V572&lt;&gt;""),IF(COUNTIFS(V$2:V572,V572,T$2:T572,TRUE)=1,MAX(W$1:W571)+1,""),"")</f>
        <v/>
      </c>
      <c r="X572">
        <f>IFERROR(INDEX('1.산군_붙여넣기'!$A$1:$AZ$1001,ROW(),설정!$C$14)&amp;"","")</f>
        <v/>
      </c>
      <c r="Y572">
        <f>IFERROR(INDEX('1.산군_붙여넣기'!$A$1:$AZ$1001,ROW(),설정!$C$15)&amp;"","")</f>
        <v/>
      </c>
      <c r="Z572">
        <f>IF(T572,V572&amp;"|"&amp;U572,"")</f>
        <v/>
      </c>
    </row>
    <row r="573">
      <c r="A573">
        <f>ROW()</f>
        <v/>
      </c>
      <c r="B573">
        <f>IFERROR(INDEX('1.산군_붙여넣기'!$A$1:$AZ$1001,ROW(),설정!$C$4)&amp;"","")</f>
        <v/>
      </c>
      <c r="C573">
        <f>IFERROR(INDEX('1.산군_붙여넣기'!$A$1:$AZ$1001,ROW(),설정!$C$5)&amp;"","")</f>
        <v/>
      </c>
      <c r="D573" s="5">
        <f>IFERROR(VALUE(SUBSTITUTE(SUBSTITUTE(SUBSTITUTE(IFERROR(INDEX('1.산군_붙여넣기'!$A$1:$AZ$1001,ROW(),설정!$C$6)&amp;"",""),",",""),"㎡",""),"m2","")),"")</f>
        <v/>
      </c>
      <c r="E573">
        <f>IFERROR(INDEX('1.산군_붙여넣기'!$A$1:$AZ$1001,ROW(),설정!$C$7)&amp;"","")</f>
        <v/>
      </c>
      <c r="F573">
        <f>IFERROR(INDEX('1.산군_붙여넣기'!$A$1:$AZ$1001,ROW(),설정!$C$8)&amp;"","")</f>
        <v/>
      </c>
      <c r="G573">
        <f>IFERROR(INDEX('1.산군_붙여넣기'!$A$1:$AZ$1001,ROW(),설정!$C$9)&amp;"","")</f>
        <v/>
      </c>
      <c r="H573">
        <f>IFERROR(INDEX('1.산군_붙여넣기'!$A$1:$AZ$1001,ROW(),설정!$C$10)&amp;"","")</f>
        <v/>
      </c>
      <c r="I573">
        <f>IFERROR(INDEX('1.산군_붙여넣기'!$A$1:$AZ$1001,ROW(),설정!$C$11)&amp;"","")</f>
        <v/>
      </c>
      <c r="J573">
        <f>IFERROR(INDEX('1.산군_붙여넣기'!$A$1:$AZ$1001,ROW(),설정!$C$12)&amp;"","")</f>
        <v/>
      </c>
      <c r="K573">
        <f>IFERROR(INDEX('1.산군_붙여넣기'!$A$1:$AZ$1001,ROW(),설정!$C$13)&amp;"","")</f>
        <v/>
      </c>
      <c r="L573" s="6">
        <f>IF(X573="","",IF(AND(LEN(X573)=8,ISNUMBER(X573*1)),DATE(LEFT(X573,4),MID(X573,5,2),RIGHT(X573,2)),IFERROR(DATEVALUE(SUBSTITUTE(SUBSTITUTE(X573,".","-"),"/","-")),IFERROR(X573*1,""))))</f>
        <v/>
      </c>
      <c r="M573" s="6">
        <f>IF(Y573="","",IF(AND(LEN(Y573)=8,ISNUMBER(Y573*1)),DATE(LEFT(Y573,4),MID(Y573,5,2),RIGHT(Y573,2)),IFERROR(DATEVALUE(SUBSTITUTE(SUBSTITUTE(Y573,".","-"),"/","-")),IFERROR(Y573*1,""))))</f>
        <v/>
      </c>
      <c r="N573">
        <f>IFERROR(LEFT(B573,FIND(" ",B573)-1),B573)</f>
        <v/>
      </c>
      <c r="O573">
        <f>AND(B573&lt;&gt;"",B573&lt;&gt;설정!$B$4,C573&lt;&gt;설정!$B$5)</f>
        <v/>
      </c>
      <c r="P573">
        <f>IF(O573,B573&amp;"|"&amp;C573,"")</f>
        <v/>
      </c>
      <c r="Q573">
        <f>AND(O573,COUNTIF(P574:P$1002,P573)=0)</f>
        <v/>
      </c>
      <c r="R573">
        <f>OR(AND(설정!$A$28&lt;&gt;"",ISNUMBER(SEARCH(설정!$A$28,E573&amp;" "&amp;C573))),AND(설정!$A$29&lt;&gt;"",ISNUMBER(SEARCH(설정!$A$29,E573&amp;" "&amp;C573))),AND(설정!$A$30&lt;&gt;"",ISNUMBER(SEARCH(설정!$A$30,E573&amp;" "&amp;C573))),AND(설정!$A$31&lt;&gt;"",ISNUMBER(SEARCH(설정!$A$31,E573&amp;" "&amp;C573))),AND(설정!$A$32&lt;&gt;"",ISNUMBER(SEARCH(설정!$A$32,E573&amp;" "&amp;C573))),AND(설정!$A$33&lt;&gt;"",ISNUMBER(SEARCH(설정!$A$33,E573&amp;" "&amp;C573))),AND(설정!$A$34&lt;&gt;"",ISNUMBER(SEARCH(설정!$A$34,E573&amp;" "&amp;C573))),AND(설정!$A$35&lt;&gt;"",ISNUMBER(SEARCH(설정!$A$35,E573&amp;" "&amp;C573))),AND(설정!$A$36&lt;&gt;"",ISNUMBER(SEARCH(설정!$A$36,E573&amp;" "&amp;C573))),AND(설정!$A$37&lt;&gt;"",ISNUMBER(SEARCH(설정!$A$37,E573&amp;" "&amp;C573))))</f>
        <v/>
      </c>
      <c r="S573">
        <f>OR(D573="",D573&gt;=설정!$B$19)</f>
        <v/>
      </c>
      <c r="T573">
        <f>AND(Q573,R573,S573)</f>
        <v/>
      </c>
      <c r="U573">
        <f>IF(T573,IF(AND(설정!$A$41&lt;&gt;"",ISNUMBER(SEARCH(설정!$A$41,K573))),설정!$B$41,IF(AND(설정!$A$42&lt;&gt;"",ISNUMBER(SEARCH(설정!$A$42,K573))),설정!$B$42,IF(AND(설정!$A$43&lt;&gt;"",ISNUMBER(SEARCH(설정!$A$43,K573))),설정!$B$43,IF(AND(설정!$A$44&lt;&gt;"",ISNUMBER(SEARCH(설정!$A$44,K573))),설정!$B$44,IF(AND(설정!$A$45&lt;&gt;"",ISNUMBER(SEARCH(설정!$A$45,K573))),설정!$B$45,IF(AND(설정!$A$46&lt;&gt;"",ISNUMBER(SEARCH(설정!$A$46,K573))),설정!$B$46,IF(AND(설정!$A$47&lt;&gt;"",ISNUMBER(SEARCH(설정!$A$47,K573))),설정!$B$47,IF(AND(설정!$A$48&lt;&gt;"",ISNUMBER(SEARCH(설정!$A$48,K573))),설정!$B$48,IF(M573="","설계사","시공사"))))))))),"")</f>
        <v/>
      </c>
      <c r="V573">
        <f>SUBSTITUTE(SUBSTITUTE(SUBSTITUTE(SUBSTITUTE(G573,"(주)",""),"㈜",""),"주식회사","")," ","")</f>
        <v/>
      </c>
      <c r="W573">
        <f>IF(AND(T573,V573&lt;&gt;""),IF(COUNTIFS(V$2:V573,V573,T$2:T573,TRUE)=1,MAX(W$1:W572)+1,""),"")</f>
        <v/>
      </c>
      <c r="X573">
        <f>IFERROR(INDEX('1.산군_붙여넣기'!$A$1:$AZ$1001,ROW(),설정!$C$14)&amp;"","")</f>
        <v/>
      </c>
      <c r="Y573">
        <f>IFERROR(INDEX('1.산군_붙여넣기'!$A$1:$AZ$1001,ROW(),설정!$C$15)&amp;"","")</f>
        <v/>
      </c>
      <c r="Z573">
        <f>IF(T573,V573&amp;"|"&amp;U573,"")</f>
        <v/>
      </c>
    </row>
    <row r="574">
      <c r="A574">
        <f>ROW()</f>
        <v/>
      </c>
      <c r="B574">
        <f>IFERROR(INDEX('1.산군_붙여넣기'!$A$1:$AZ$1001,ROW(),설정!$C$4)&amp;"","")</f>
        <v/>
      </c>
      <c r="C574">
        <f>IFERROR(INDEX('1.산군_붙여넣기'!$A$1:$AZ$1001,ROW(),설정!$C$5)&amp;"","")</f>
        <v/>
      </c>
      <c r="D574" s="5">
        <f>IFERROR(VALUE(SUBSTITUTE(SUBSTITUTE(SUBSTITUTE(IFERROR(INDEX('1.산군_붙여넣기'!$A$1:$AZ$1001,ROW(),설정!$C$6)&amp;"",""),",",""),"㎡",""),"m2","")),"")</f>
        <v/>
      </c>
      <c r="E574">
        <f>IFERROR(INDEX('1.산군_붙여넣기'!$A$1:$AZ$1001,ROW(),설정!$C$7)&amp;"","")</f>
        <v/>
      </c>
      <c r="F574">
        <f>IFERROR(INDEX('1.산군_붙여넣기'!$A$1:$AZ$1001,ROW(),설정!$C$8)&amp;"","")</f>
        <v/>
      </c>
      <c r="G574">
        <f>IFERROR(INDEX('1.산군_붙여넣기'!$A$1:$AZ$1001,ROW(),설정!$C$9)&amp;"","")</f>
        <v/>
      </c>
      <c r="H574">
        <f>IFERROR(INDEX('1.산군_붙여넣기'!$A$1:$AZ$1001,ROW(),설정!$C$10)&amp;"","")</f>
        <v/>
      </c>
      <c r="I574">
        <f>IFERROR(INDEX('1.산군_붙여넣기'!$A$1:$AZ$1001,ROW(),설정!$C$11)&amp;"","")</f>
        <v/>
      </c>
      <c r="J574">
        <f>IFERROR(INDEX('1.산군_붙여넣기'!$A$1:$AZ$1001,ROW(),설정!$C$12)&amp;"","")</f>
        <v/>
      </c>
      <c r="K574">
        <f>IFERROR(INDEX('1.산군_붙여넣기'!$A$1:$AZ$1001,ROW(),설정!$C$13)&amp;"","")</f>
        <v/>
      </c>
      <c r="L574" s="6">
        <f>IF(X574="","",IF(AND(LEN(X574)=8,ISNUMBER(X574*1)),DATE(LEFT(X574,4),MID(X574,5,2),RIGHT(X574,2)),IFERROR(DATEVALUE(SUBSTITUTE(SUBSTITUTE(X574,".","-"),"/","-")),IFERROR(X574*1,""))))</f>
        <v/>
      </c>
      <c r="M574" s="6">
        <f>IF(Y574="","",IF(AND(LEN(Y574)=8,ISNUMBER(Y574*1)),DATE(LEFT(Y574,4),MID(Y574,5,2),RIGHT(Y574,2)),IFERROR(DATEVALUE(SUBSTITUTE(SUBSTITUTE(Y574,".","-"),"/","-")),IFERROR(Y574*1,""))))</f>
        <v/>
      </c>
      <c r="N574">
        <f>IFERROR(LEFT(B574,FIND(" ",B574)-1),B574)</f>
        <v/>
      </c>
      <c r="O574">
        <f>AND(B574&lt;&gt;"",B574&lt;&gt;설정!$B$4,C574&lt;&gt;설정!$B$5)</f>
        <v/>
      </c>
      <c r="P574">
        <f>IF(O574,B574&amp;"|"&amp;C574,"")</f>
        <v/>
      </c>
      <c r="Q574">
        <f>AND(O574,COUNTIF(P575:P$1002,P574)=0)</f>
        <v/>
      </c>
      <c r="R574">
        <f>OR(AND(설정!$A$28&lt;&gt;"",ISNUMBER(SEARCH(설정!$A$28,E574&amp;" "&amp;C574))),AND(설정!$A$29&lt;&gt;"",ISNUMBER(SEARCH(설정!$A$29,E574&amp;" "&amp;C574))),AND(설정!$A$30&lt;&gt;"",ISNUMBER(SEARCH(설정!$A$30,E574&amp;" "&amp;C574))),AND(설정!$A$31&lt;&gt;"",ISNUMBER(SEARCH(설정!$A$31,E574&amp;" "&amp;C574))),AND(설정!$A$32&lt;&gt;"",ISNUMBER(SEARCH(설정!$A$32,E574&amp;" "&amp;C574))),AND(설정!$A$33&lt;&gt;"",ISNUMBER(SEARCH(설정!$A$33,E574&amp;" "&amp;C574))),AND(설정!$A$34&lt;&gt;"",ISNUMBER(SEARCH(설정!$A$34,E574&amp;" "&amp;C574))),AND(설정!$A$35&lt;&gt;"",ISNUMBER(SEARCH(설정!$A$35,E574&amp;" "&amp;C574))),AND(설정!$A$36&lt;&gt;"",ISNUMBER(SEARCH(설정!$A$36,E574&amp;" "&amp;C574))),AND(설정!$A$37&lt;&gt;"",ISNUMBER(SEARCH(설정!$A$37,E574&amp;" "&amp;C574))))</f>
        <v/>
      </c>
      <c r="S574">
        <f>OR(D574="",D574&gt;=설정!$B$19)</f>
        <v/>
      </c>
      <c r="T574">
        <f>AND(Q574,R574,S574)</f>
        <v/>
      </c>
      <c r="U574">
        <f>IF(T574,IF(AND(설정!$A$41&lt;&gt;"",ISNUMBER(SEARCH(설정!$A$41,K574))),설정!$B$41,IF(AND(설정!$A$42&lt;&gt;"",ISNUMBER(SEARCH(설정!$A$42,K574))),설정!$B$42,IF(AND(설정!$A$43&lt;&gt;"",ISNUMBER(SEARCH(설정!$A$43,K574))),설정!$B$43,IF(AND(설정!$A$44&lt;&gt;"",ISNUMBER(SEARCH(설정!$A$44,K574))),설정!$B$44,IF(AND(설정!$A$45&lt;&gt;"",ISNUMBER(SEARCH(설정!$A$45,K574))),설정!$B$45,IF(AND(설정!$A$46&lt;&gt;"",ISNUMBER(SEARCH(설정!$A$46,K574))),설정!$B$46,IF(AND(설정!$A$47&lt;&gt;"",ISNUMBER(SEARCH(설정!$A$47,K574))),설정!$B$47,IF(AND(설정!$A$48&lt;&gt;"",ISNUMBER(SEARCH(설정!$A$48,K574))),설정!$B$48,IF(M574="","설계사","시공사"))))))))),"")</f>
        <v/>
      </c>
      <c r="V574">
        <f>SUBSTITUTE(SUBSTITUTE(SUBSTITUTE(SUBSTITUTE(G574,"(주)",""),"㈜",""),"주식회사","")," ","")</f>
        <v/>
      </c>
      <c r="W574">
        <f>IF(AND(T574,V574&lt;&gt;""),IF(COUNTIFS(V$2:V574,V574,T$2:T574,TRUE)=1,MAX(W$1:W573)+1,""),"")</f>
        <v/>
      </c>
      <c r="X574">
        <f>IFERROR(INDEX('1.산군_붙여넣기'!$A$1:$AZ$1001,ROW(),설정!$C$14)&amp;"","")</f>
        <v/>
      </c>
      <c r="Y574">
        <f>IFERROR(INDEX('1.산군_붙여넣기'!$A$1:$AZ$1001,ROW(),설정!$C$15)&amp;"","")</f>
        <v/>
      </c>
      <c r="Z574">
        <f>IF(T574,V574&amp;"|"&amp;U574,"")</f>
        <v/>
      </c>
    </row>
    <row r="575">
      <c r="A575">
        <f>ROW()</f>
        <v/>
      </c>
      <c r="B575">
        <f>IFERROR(INDEX('1.산군_붙여넣기'!$A$1:$AZ$1001,ROW(),설정!$C$4)&amp;"","")</f>
        <v/>
      </c>
      <c r="C575">
        <f>IFERROR(INDEX('1.산군_붙여넣기'!$A$1:$AZ$1001,ROW(),설정!$C$5)&amp;"","")</f>
        <v/>
      </c>
      <c r="D575" s="5">
        <f>IFERROR(VALUE(SUBSTITUTE(SUBSTITUTE(SUBSTITUTE(IFERROR(INDEX('1.산군_붙여넣기'!$A$1:$AZ$1001,ROW(),설정!$C$6)&amp;"",""),",",""),"㎡",""),"m2","")),"")</f>
        <v/>
      </c>
      <c r="E575">
        <f>IFERROR(INDEX('1.산군_붙여넣기'!$A$1:$AZ$1001,ROW(),설정!$C$7)&amp;"","")</f>
        <v/>
      </c>
      <c r="F575">
        <f>IFERROR(INDEX('1.산군_붙여넣기'!$A$1:$AZ$1001,ROW(),설정!$C$8)&amp;"","")</f>
        <v/>
      </c>
      <c r="G575">
        <f>IFERROR(INDEX('1.산군_붙여넣기'!$A$1:$AZ$1001,ROW(),설정!$C$9)&amp;"","")</f>
        <v/>
      </c>
      <c r="H575">
        <f>IFERROR(INDEX('1.산군_붙여넣기'!$A$1:$AZ$1001,ROW(),설정!$C$10)&amp;"","")</f>
        <v/>
      </c>
      <c r="I575">
        <f>IFERROR(INDEX('1.산군_붙여넣기'!$A$1:$AZ$1001,ROW(),설정!$C$11)&amp;"","")</f>
        <v/>
      </c>
      <c r="J575">
        <f>IFERROR(INDEX('1.산군_붙여넣기'!$A$1:$AZ$1001,ROW(),설정!$C$12)&amp;"","")</f>
        <v/>
      </c>
      <c r="K575">
        <f>IFERROR(INDEX('1.산군_붙여넣기'!$A$1:$AZ$1001,ROW(),설정!$C$13)&amp;"","")</f>
        <v/>
      </c>
      <c r="L575" s="6">
        <f>IF(X575="","",IF(AND(LEN(X575)=8,ISNUMBER(X575*1)),DATE(LEFT(X575,4),MID(X575,5,2),RIGHT(X575,2)),IFERROR(DATEVALUE(SUBSTITUTE(SUBSTITUTE(X575,".","-"),"/","-")),IFERROR(X575*1,""))))</f>
        <v/>
      </c>
      <c r="M575" s="6">
        <f>IF(Y575="","",IF(AND(LEN(Y575)=8,ISNUMBER(Y575*1)),DATE(LEFT(Y575,4),MID(Y575,5,2),RIGHT(Y575,2)),IFERROR(DATEVALUE(SUBSTITUTE(SUBSTITUTE(Y575,".","-"),"/","-")),IFERROR(Y575*1,""))))</f>
        <v/>
      </c>
      <c r="N575">
        <f>IFERROR(LEFT(B575,FIND(" ",B575)-1),B575)</f>
        <v/>
      </c>
      <c r="O575">
        <f>AND(B575&lt;&gt;"",B575&lt;&gt;설정!$B$4,C575&lt;&gt;설정!$B$5)</f>
        <v/>
      </c>
      <c r="P575">
        <f>IF(O575,B575&amp;"|"&amp;C575,"")</f>
        <v/>
      </c>
      <c r="Q575">
        <f>AND(O575,COUNTIF(P576:P$1002,P575)=0)</f>
        <v/>
      </c>
      <c r="R575">
        <f>OR(AND(설정!$A$28&lt;&gt;"",ISNUMBER(SEARCH(설정!$A$28,E575&amp;" "&amp;C575))),AND(설정!$A$29&lt;&gt;"",ISNUMBER(SEARCH(설정!$A$29,E575&amp;" "&amp;C575))),AND(설정!$A$30&lt;&gt;"",ISNUMBER(SEARCH(설정!$A$30,E575&amp;" "&amp;C575))),AND(설정!$A$31&lt;&gt;"",ISNUMBER(SEARCH(설정!$A$31,E575&amp;" "&amp;C575))),AND(설정!$A$32&lt;&gt;"",ISNUMBER(SEARCH(설정!$A$32,E575&amp;" "&amp;C575))),AND(설정!$A$33&lt;&gt;"",ISNUMBER(SEARCH(설정!$A$33,E575&amp;" "&amp;C575))),AND(설정!$A$34&lt;&gt;"",ISNUMBER(SEARCH(설정!$A$34,E575&amp;" "&amp;C575))),AND(설정!$A$35&lt;&gt;"",ISNUMBER(SEARCH(설정!$A$35,E575&amp;" "&amp;C575))),AND(설정!$A$36&lt;&gt;"",ISNUMBER(SEARCH(설정!$A$36,E575&amp;" "&amp;C575))),AND(설정!$A$37&lt;&gt;"",ISNUMBER(SEARCH(설정!$A$37,E575&amp;" "&amp;C575))))</f>
        <v/>
      </c>
      <c r="S575">
        <f>OR(D575="",D575&gt;=설정!$B$19)</f>
        <v/>
      </c>
      <c r="T575">
        <f>AND(Q575,R575,S575)</f>
        <v/>
      </c>
      <c r="U575">
        <f>IF(T575,IF(AND(설정!$A$41&lt;&gt;"",ISNUMBER(SEARCH(설정!$A$41,K575))),설정!$B$41,IF(AND(설정!$A$42&lt;&gt;"",ISNUMBER(SEARCH(설정!$A$42,K575))),설정!$B$42,IF(AND(설정!$A$43&lt;&gt;"",ISNUMBER(SEARCH(설정!$A$43,K575))),설정!$B$43,IF(AND(설정!$A$44&lt;&gt;"",ISNUMBER(SEARCH(설정!$A$44,K575))),설정!$B$44,IF(AND(설정!$A$45&lt;&gt;"",ISNUMBER(SEARCH(설정!$A$45,K575))),설정!$B$45,IF(AND(설정!$A$46&lt;&gt;"",ISNUMBER(SEARCH(설정!$A$46,K575))),설정!$B$46,IF(AND(설정!$A$47&lt;&gt;"",ISNUMBER(SEARCH(설정!$A$47,K575))),설정!$B$47,IF(AND(설정!$A$48&lt;&gt;"",ISNUMBER(SEARCH(설정!$A$48,K575))),설정!$B$48,IF(M575="","설계사","시공사"))))))))),"")</f>
        <v/>
      </c>
      <c r="V575">
        <f>SUBSTITUTE(SUBSTITUTE(SUBSTITUTE(SUBSTITUTE(G575,"(주)",""),"㈜",""),"주식회사","")," ","")</f>
        <v/>
      </c>
      <c r="W575">
        <f>IF(AND(T575,V575&lt;&gt;""),IF(COUNTIFS(V$2:V575,V575,T$2:T575,TRUE)=1,MAX(W$1:W574)+1,""),"")</f>
        <v/>
      </c>
      <c r="X575">
        <f>IFERROR(INDEX('1.산군_붙여넣기'!$A$1:$AZ$1001,ROW(),설정!$C$14)&amp;"","")</f>
        <v/>
      </c>
      <c r="Y575">
        <f>IFERROR(INDEX('1.산군_붙여넣기'!$A$1:$AZ$1001,ROW(),설정!$C$15)&amp;"","")</f>
        <v/>
      </c>
      <c r="Z575">
        <f>IF(T575,V575&amp;"|"&amp;U575,"")</f>
        <v/>
      </c>
    </row>
    <row r="576">
      <c r="A576">
        <f>ROW()</f>
        <v/>
      </c>
      <c r="B576">
        <f>IFERROR(INDEX('1.산군_붙여넣기'!$A$1:$AZ$1001,ROW(),설정!$C$4)&amp;"","")</f>
        <v/>
      </c>
      <c r="C576">
        <f>IFERROR(INDEX('1.산군_붙여넣기'!$A$1:$AZ$1001,ROW(),설정!$C$5)&amp;"","")</f>
        <v/>
      </c>
      <c r="D576" s="5">
        <f>IFERROR(VALUE(SUBSTITUTE(SUBSTITUTE(SUBSTITUTE(IFERROR(INDEX('1.산군_붙여넣기'!$A$1:$AZ$1001,ROW(),설정!$C$6)&amp;"",""),",",""),"㎡",""),"m2","")),"")</f>
        <v/>
      </c>
      <c r="E576">
        <f>IFERROR(INDEX('1.산군_붙여넣기'!$A$1:$AZ$1001,ROW(),설정!$C$7)&amp;"","")</f>
        <v/>
      </c>
      <c r="F576">
        <f>IFERROR(INDEX('1.산군_붙여넣기'!$A$1:$AZ$1001,ROW(),설정!$C$8)&amp;"","")</f>
        <v/>
      </c>
      <c r="G576">
        <f>IFERROR(INDEX('1.산군_붙여넣기'!$A$1:$AZ$1001,ROW(),설정!$C$9)&amp;"","")</f>
        <v/>
      </c>
      <c r="H576">
        <f>IFERROR(INDEX('1.산군_붙여넣기'!$A$1:$AZ$1001,ROW(),설정!$C$10)&amp;"","")</f>
        <v/>
      </c>
      <c r="I576">
        <f>IFERROR(INDEX('1.산군_붙여넣기'!$A$1:$AZ$1001,ROW(),설정!$C$11)&amp;"","")</f>
        <v/>
      </c>
      <c r="J576">
        <f>IFERROR(INDEX('1.산군_붙여넣기'!$A$1:$AZ$1001,ROW(),설정!$C$12)&amp;"","")</f>
        <v/>
      </c>
      <c r="K576">
        <f>IFERROR(INDEX('1.산군_붙여넣기'!$A$1:$AZ$1001,ROW(),설정!$C$13)&amp;"","")</f>
        <v/>
      </c>
      <c r="L576" s="6">
        <f>IF(X576="","",IF(AND(LEN(X576)=8,ISNUMBER(X576*1)),DATE(LEFT(X576,4),MID(X576,5,2),RIGHT(X576,2)),IFERROR(DATEVALUE(SUBSTITUTE(SUBSTITUTE(X576,".","-"),"/","-")),IFERROR(X576*1,""))))</f>
        <v/>
      </c>
      <c r="M576" s="6">
        <f>IF(Y576="","",IF(AND(LEN(Y576)=8,ISNUMBER(Y576*1)),DATE(LEFT(Y576,4),MID(Y576,5,2),RIGHT(Y576,2)),IFERROR(DATEVALUE(SUBSTITUTE(SUBSTITUTE(Y576,".","-"),"/","-")),IFERROR(Y576*1,""))))</f>
        <v/>
      </c>
      <c r="N576">
        <f>IFERROR(LEFT(B576,FIND(" ",B576)-1),B576)</f>
        <v/>
      </c>
      <c r="O576">
        <f>AND(B576&lt;&gt;"",B576&lt;&gt;설정!$B$4,C576&lt;&gt;설정!$B$5)</f>
        <v/>
      </c>
      <c r="P576">
        <f>IF(O576,B576&amp;"|"&amp;C576,"")</f>
        <v/>
      </c>
      <c r="Q576">
        <f>AND(O576,COUNTIF(P577:P$1002,P576)=0)</f>
        <v/>
      </c>
      <c r="R576">
        <f>OR(AND(설정!$A$28&lt;&gt;"",ISNUMBER(SEARCH(설정!$A$28,E576&amp;" "&amp;C576))),AND(설정!$A$29&lt;&gt;"",ISNUMBER(SEARCH(설정!$A$29,E576&amp;" "&amp;C576))),AND(설정!$A$30&lt;&gt;"",ISNUMBER(SEARCH(설정!$A$30,E576&amp;" "&amp;C576))),AND(설정!$A$31&lt;&gt;"",ISNUMBER(SEARCH(설정!$A$31,E576&amp;" "&amp;C576))),AND(설정!$A$32&lt;&gt;"",ISNUMBER(SEARCH(설정!$A$32,E576&amp;" "&amp;C576))),AND(설정!$A$33&lt;&gt;"",ISNUMBER(SEARCH(설정!$A$33,E576&amp;" "&amp;C576))),AND(설정!$A$34&lt;&gt;"",ISNUMBER(SEARCH(설정!$A$34,E576&amp;" "&amp;C576))),AND(설정!$A$35&lt;&gt;"",ISNUMBER(SEARCH(설정!$A$35,E576&amp;" "&amp;C576))),AND(설정!$A$36&lt;&gt;"",ISNUMBER(SEARCH(설정!$A$36,E576&amp;" "&amp;C576))),AND(설정!$A$37&lt;&gt;"",ISNUMBER(SEARCH(설정!$A$37,E576&amp;" "&amp;C576))))</f>
        <v/>
      </c>
      <c r="S576">
        <f>OR(D576="",D576&gt;=설정!$B$19)</f>
        <v/>
      </c>
      <c r="T576">
        <f>AND(Q576,R576,S576)</f>
        <v/>
      </c>
      <c r="U576">
        <f>IF(T576,IF(AND(설정!$A$41&lt;&gt;"",ISNUMBER(SEARCH(설정!$A$41,K576))),설정!$B$41,IF(AND(설정!$A$42&lt;&gt;"",ISNUMBER(SEARCH(설정!$A$42,K576))),설정!$B$42,IF(AND(설정!$A$43&lt;&gt;"",ISNUMBER(SEARCH(설정!$A$43,K576))),설정!$B$43,IF(AND(설정!$A$44&lt;&gt;"",ISNUMBER(SEARCH(설정!$A$44,K576))),설정!$B$44,IF(AND(설정!$A$45&lt;&gt;"",ISNUMBER(SEARCH(설정!$A$45,K576))),설정!$B$45,IF(AND(설정!$A$46&lt;&gt;"",ISNUMBER(SEARCH(설정!$A$46,K576))),설정!$B$46,IF(AND(설정!$A$47&lt;&gt;"",ISNUMBER(SEARCH(설정!$A$47,K576))),설정!$B$47,IF(AND(설정!$A$48&lt;&gt;"",ISNUMBER(SEARCH(설정!$A$48,K576))),설정!$B$48,IF(M576="","설계사","시공사"))))))))),"")</f>
        <v/>
      </c>
      <c r="V576">
        <f>SUBSTITUTE(SUBSTITUTE(SUBSTITUTE(SUBSTITUTE(G576,"(주)",""),"㈜",""),"주식회사","")," ","")</f>
        <v/>
      </c>
      <c r="W576">
        <f>IF(AND(T576,V576&lt;&gt;""),IF(COUNTIFS(V$2:V576,V576,T$2:T576,TRUE)=1,MAX(W$1:W575)+1,""),"")</f>
        <v/>
      </c>
      <c r="X576">
        <f>IFERROR(INDEX('1.산군_붙여넣기'!$A$1:$AZ$1001,ROW(),설정!$C$14)&amp;"","")</f>
        <v/>
      </c>
      <c r="Y576">
        <f>IFERROR(INDEX('1.산군_붙여넣기'!$A$1:$AZ$1001,ROW(),설정!$C$15)&amp;"","")</f>
        <v/>
      </c>
      <c r="Z576">
        <f>IF(T576,V576&amp;"|"&amp;U576,"")</f>
        <v/>
      </c>
    </row>
    <row r="577">
      <c r="A577">
        <f>ROW()</f>
        <v/>
      </c>
      <c r="B577">
        <f>IFERROR(INDEX('1.산군_붙여넣기'!$A$1:$AZ$1001,ROW(),설정!$C$4)&amp;"","")</f>
        <v/>
      </c>
      <c r="C577">
        <f>IFERROR(INDEX('1.산군_붙여넣기'!$A$1:$AZ$1001,ROW(),설정!$C$5)&amp;"","")</f>
        <v/>
      </c>
      <c r="D577" s="5">
        <f>IFERROR(VALUE(SUBSTITUTE(SUBSTITUTE(SUBSTITUTE(IFERROR(INDEX('1.산군_붙여넣기'!$A$1:$AZ$1001,ROW(),설정!$C$6)&amp;"",""),",",""),"㎡",""),"m2","")),"")</f>
        <v/>
      </c>
      <c r="E577">
        <f>IFERROR(INDEX('1.산군_붙여넣기'!$A$1:$AZ$1001,ROW(),설정!$C$7)&amp;"","")</f>
        <v/>
      </c>
      <c r="F577">
        <f>IFERROR(INDEX('1.산군_붙여넣기'!$A$1:$AZ$1001,ROW(),설정!$C$8)&amp;"","")</f>
        <v/>
      </c>
      <c r="G577">
        <f>IFERROR(INDEX('1.산군_붙여넣기'!$A$1:$AZ$1001,ROW(),설정!$C$9)&amp;"","")</f>
        <v/>
      </c>
      <c r="H577">
        <f>IFERROR(INDEX('1.산군_붙여넣기'!$A$1:$AZ$1001,ROW(),설정!$C$10)&amp;"","")</f>
        <v/>
      </c>
      <c r="I577">
        <f>IFERROR(INDEX('1.산군_붙여넣기'!$A$1:$AZ$1001,ROW(),설정!$C$11)&amp;"","")</f>
        <v/>
      </c>
      <c r="J577">
        <f>IFERROR(INDEX('1.산군_붙여넣기'!$A$1:$AZ$1001,ROW(),설정!$C$12)&amp;"","")</f>
        <v/>
      </c>
      <c r="K577">
        <f>IFERROR(INDEX('1.산군_붙여넣기'!$A$1:$AZ$1001,ROW(),설정!$C$13)&amp;"","")</f>
        <v/>
      </c>
      <c r="L577" s="6">
        <f>IF(X577="","",IF(AND(LEN(X577)=8,ISNUMBER(X577*1)),DATE(LEFT(X577,4),MID(X577,5,2),RIGHT(X577,2)),IFERROR(DATEVALUE(SUBSTITUTE(SUBSTITUTE(X577,".","-"),"/","-")),IFERROR(X577*1,""))))</f>
        <v/>
      </c>
      <c r="M577" s="6">
        <f>IF(Y577="","",IF(AND(LEN(Y577)=8,ISNUMBER(Y577*1)),DATE(LEFT(Y577,4),MID(Y577,5,2),RIGHT(Y577,2)),IFERROR(DATEVALUE(SUBSTITUTE(SUBSTITUTE(Y577,".","-"),"/","-")),IFERROR(Y577*1,""))))</f>
        <v/>
      </c>
      <c r="N577">
        <f>IFERROR(LEFT(B577,FIND(" ",B577)-1),B577)</f>
        <v/>
      </c>
      <c r="O577">
        <f>AND(B577&lt;&gt;"",B577&lt;&gt;설정!$B$4,C577&lt;&gt;설정!$B$5)</f>
        <v/>
      </c>
      <c r="P577">
        <f>IF(O577,B577&amp;"|"&amp;C577,"")</f>
        <v/>
      </c>
      <c r="Q577">
        <f>AND(O577,COUNTIF(P578:P$1002,P577)=0)</f>
        <v/>
      </c>
      <c r="R577">
        <f>OR(AND(설정!$A$28&lt;&gt;"",ISNUMBER(SEARCH(설정!$A$28,E577&amp;" "&amp;C577))),AND(설정!$A$29&lt;&gt;"",ISNUMBER(SEARCH(설정!$A$29,E577&amp;" "&amp;C577))),AND(설정!$A$30&lt;&gt;"",ISNUMBER(SEARCH(설정!$A$30,E577&amp;" "&amp;C577))),AND(설정!$A$31&lt;&gt;"",ISNUMBER(SEARCH(설정!$A$31,E577&amp;" "&amp;C577))),AND(설정!$A$32&lt;&gt;"",ISNUMBER(SEARCH(설정!$A$32,E577&amp;" "&amp;C577))),AND(설정!$A$33&lt;&gt;"",ISNUMBER(SEARCH(설정!$A$33,E577&amp;" "&amp;C577))),AND(설정!$A$34&lt;&gt;"",ISNUMBER(SEARCH(설정!$A$34,E577&amp;" "&amp;C577))),AND(설정!$A$35&lt;&gt;"",ISNUMBER(SEARCH(설정!$A$35,E577&amp;" "&amp;C577))),AND(설정!$A$36&lt;&gt;"",ISNUMBER(SEARCH(설정!$A$36,E577&amp;" "&amp;C577))),AND(설정!$A$37&lt;&gt;"",ISNUMBER(SEARCH(설정!$A$37,E577&amp;" "&amp;C577))))</f>
        <v/>
      </c>
      <c r="S577">
        <f>OR(D577="",D577&gt;=설정!$B$19)</f>
        <v/>
      </c>
      <c r="T577">
        <f>AND(Q577,R577,S577)</f>
        <v/>
      </c>
      <c r="U577">
        <f>IF(T577,IF(AND(설정!$A$41&lt;&gt;"",ISNUMBER(SEARCH(설정!$A$41,K577))),설정!$B$41,IF(AND(설정!$A$42&lt;&gt;"",ISNUMBER(SEARCH(설정!$A$42,K577))),설정!$B$42,IF(AND(설정!$A$43&lt;&gt;"",ISNUMBER(SEARCH(설정!$A$43,K577))),설정!$B$43,IF(AND(설정!$A$44&lt;&gt;"",ISNUMBER(SEARCH(설정!$A$44,K577))),설정!$B$44,IF(AND(설정!$A$45&lt;&gt;"",ISNUMBER(SEARCH(설정!$A$45,K577))),설정!$B$45,IF(AND(설정!$A$46&lt;&gt;"",ISNUMBER(SEARCH(설정!$A$46,K577))),설정!$B$46,IF(AND(설정!$A$47&lt;&gt;"",ISNUMBER(SEARCH(설정!$A$47,K577))),설정!$B$47,IF(AND(설정!$A$48&lt;&gt;"",ISNUMBER(SEARCH(설정!$A$48,K577))),설정!$B$48,IF(M577="","설계사","시공사"))))))))),"")</f>
        <v/>
      </c>
      <c r="V577">
        <f>SUBSTITUTE(SUBSTITUTE(SUBSTITUTE(SUBSTITUTE(G577,"(주)",""),"㈜",""),"주식회사","")," ","")</f>
        <v/>
      </c>
      <c r="W577">
        <f>IF(AND(T577,V577&lt;&gt;""),IF(COUNTIFS(V$2:V577,V577,T$2:T577,TRUE)=1,MAX(W$1:W576)+1,""),"")</f>
        <v/>
      </c>
      <c r="X577">
        <f>IFERROR(INDEX('1.산군_붙여넣기'!$A$1:$AZ$1001,ROW(),설정!$C$14)&amp;"","")</f>
        <v/>
      </c>
      <c r="Y577">
        <f>IFERROR(INDEX('1.산군_붙여넣기'!$A$1:$AZ$1001,ROW(),설정!$C$15)&amp;"","")</f>
        <v/>
      </c>
      <c r="Z577">
        <f>IF(T577,V577&amp;"|"&amp;U577,"")</f>
        <v/>
      </c>
    </row>
    <row r="578">
      <c r="A578">
        <f>ROW()</f>
        <v/>
      </c>
      <c r="B578">
        <f>IFERROR(INDEX('1.산군_붙여넣기'!$A$1:$AZ$1001,ROW(),설정!$C$4)&amp;"","")</f>
        <v/>
      </c>
      <c r="C578">
        <f>IFERROR(INDEX('1.산군_붙여넣기'!$A$1:$AZ$1001,ROW(),설정!$C$5)&amp;"","")</f>
        <v/>
      </c>
      <c r="D578" s="5">
        <f>IFERROR(VALUE(SUBSTITUTE(SUBSTITUTE(SUBSTITUTE(IFERROR(INDEX('1.산군_붙여넣기'!$A$1:$AZ$1001,ROW(),설정!$C$6)&amp;"",""),",",""),"㎡",""),"m2","")),"")</f>
        <v/>
      </c>
      <c r="E578">
        <f>IFERROR(INDEX('1.산군_붙여넣기'!$A$1:$AZ$1001,ROW(),설정!$C$7)&amp;"","")</f>
        <v/>
      </c>
      <c r="F578">
        <f>IFERROR(INDEX('1.산군_붙여넣기'!$A$1:$AZ$1001,ROW(),설정!$C$8)&amp;"","")</f>
        <v/>
      </c>
      <c r="G578">
        <f>IFERROR(INDEX('1.산군_붙여넣기'!$A$1:$AZ$1001,ROW(),설정!$C$9)&amp;"","")</f>
        <v/>
      </c>
      <c r="H578">
        <f>IFERROR(INDEX('1.산군_붙여넣기'!$A$1:$AZ$1001,ROW(),설정!$C$10)&amp;"","")</f>
        <v/>
      </c>
      <c r="I578">
        <f>IFERROR(INDEX('1.산군_붙여넣기'!$A$1:$AZ$1001,ROW(),설정!$C$11)&amp;"","")</f>
        <v/>
      </c>
      <c r="J578">
        <f>IFERROR(INDEX('1.산군_붙여넣기'!$A$1:$AZ$1001,ROW(),설정!$C$12)&amp;"","")</f>
        <v/>
      </c>
      <c r="K578">
        <f>IFERROR(INDEX('1.산군_붙여넣기'!$A$1:$AZ$1001,ROW(),설정!$C$13)&amp;"","")</f>
        <v/>
      </c>
      <c r="L578" s="6">
        <f>IF(X578="","",IF(AND(LEN(X578)=8,ISNUMBER(X578*1)),DATE(LEFT(X578,4),MID(X578,5,2),RIGHT(X578,2)),IFERROR(DATEVALUE(SUBSTITUTE(SUBSTITUTE(X578,".","-"),"/","-")),IFERROR(X578*1,""))))</f>
        <v/>
      </c>
      <c r="M578" s="6">
        <f>IF(Y578="","",IF(AND(LEN(Y578)=8,ISNUMBER(Y578*1)),DATE(LEFT(Y578,4),MID(Y578,5,2),RIGHT(Y578,2)),IFERROR(DATEVALUE(SUBSTITUTE(SUBSTITUTE(Y578,".","-"),"/","-")),IFERROR(Y578*1,""))))</f>
        <v/>
      </c>
      <c r="N578">
        <f>IFERROR(LEFT(B578,FIND(" ",B578)-1),B578)</f>
        <v/>
      </c>
      <c r="O578">
        <f>AND(B578&lt;&gt;"",B578&lt;&gt;설정!$B$4,C578&lt;&gt;설정!$B$5)</f>
        <v/>
      </c>
      <c r="P578">
        <f>IF(O578,B578&amp;"|"&amp;C578,"")</f>
        <v/>
      </c>
      <c r="Q578">
        <f>AND(O578,COUNTIF(P579:P$1002,P578)=0)</f>
        <v/>
      </c>
      <c r="R578">
        <f>OR(AND(설정!$A$28&lt;&gt;"",ISNUMBER(SEARCH(설정!$A$28,E578&amp;" "&amp;C578))),AND(설정!$A$29&lt;&gt;"",ISNUMBER(SEARCH(설정!$A$29,E578&amp;" "&amp;C578))),AND(설정!$A$30&lt;&gt;"",ISNUMBER(SEARCH(설정!$A$30,E578&amp;" "&amp;C578))),AND(설정!$A$31&lt;&gt;"",ISNUMBER(SEARCH(설정!$A$31,E578&amp;" "&amp;C578))),AND(설정!$A$32&lt;&gt;"",ISNUMBER(SEARCH(설정!$A$32,E578&amp;" "&amp;C578))),AND(설정!$A$33&lt;&gt;"",ISNUMBER(SEARCH(설정!$A$33,E578&amp;" "&amp;C578))),AND(설정!$A$34&lt;&gt;"",ISNUMBER(SEARCH(설정!$A$34,E578&amp;" "&amp;C578))),AND(설정!$A$35&lt;&gt;"",ISNUMBER(SEARCH(설정!$A$35,E578&amp;" "&amp;C578))),AND(설정!$A$36&lt;&gt;"",ISNUMBER(SEARCH(설정!$A$36,E578&amp;" "&amp;C578))),AND(설정!$A$37&lt;&gt;"",ISNUMBER(SEARCH(설정!$A$37,E578&amp;" "&amp;C578))))</f>
        <v/>
      </c>
      <c r="S578">
        <f>OR(D578="",D578&gt;=설정!$B$19)</f>
        <v/>
      </c>
      <c r="T578">
        <f>AND(Q578,R578,S578)</f>
        <v/>
      </c>
      <c r="U578">
        <f>IF(T578,IF(AND(설정!$A$41&lt;&gt;"",ISNUMBER(SEARCH(설정!$A$41,K578))),설정!$B$41,IF(AND(설정!$A$42&lt;&gt;"",ISNUMBER(SEARCH(설정!$A$42,K578))),설정!$B$42,IF(AND(설정!$A$43&lt;&gt;"",ISNUMBER(SEARCH(설정!$A$43,K578))),설정!$B$43,IF(AND(설정!$A$44&lt;&gt;"",ISNUMBER(SEARCH(설정!$A$44,K578))),설정!$B$44,IF(AND(설정!$A$45&lt;&gt;"",ISNUMBER(SEARCH(설정!$A$45,K578))),설정!$B$45,IF(AND(설정!$A$46&lt;&gt;"",ISNUMBER(SEARCH(설정!$A$46,K578))),설정!$B$46,IF(AND(설정!$A$47&lt;&gt;"",ISNUMBER(SEARCH(설정!$A$47,K578))),설정!$B$47,IF(AND(설정!$A$48&lt;&gt;"",ISNUMBER(SEARCH(설정!$A$48,K578))),설정!$B$48,IF(M578="","설계사","시공사"))))))))),"")</f>
        <v/>
      </c>
      <c r="V578">
        <f>SUBSTITUTE(SUBSTITUTE(SUBSTITUTE(SUBSTITUTE(G578,"(주)",""),"㈜",""),"주식회사","")," ","")</f>
        <v/>
      </c>
      <c r="W578">
        <f>IF(AND(T578,V578&lt;&gt;""),IF(COUNTIFS(V$2:V578,V578,T$2:T578,TRUE)=1,MAX(W$1:W577)+1,""),"")</f>
        <v/>
      </c>
      <c r="X578">
        <f>IFERROR(INDEX('1.산군_붙여넣기'!$A$1:$AZ$1001,ROW(),설정!$C$14)&amp;"","")</f>
        <v/>
      </c>
      <c r="Y578">
        <f>IFERROR(INDEX('1.산군_붙여넣기'!$A$1:$AZ$1001,ROW(),설정!$C$15)&amp;"","")</f>
        <v/>
      </c>
      <c r="Z578">
        <f>IF(T578,V578&amp;"|"&amp;U578,"")</f>
        <v/>
      </c>
    </row>
    <row r="579">
      <c r="A579">
        <f>ROW()</f>
        <v/>
      </c>
      <c r="B579">
        <f>IFERROR(INDEX('1.산군_붙여넣기'!$A$1:$AZ$1001,ROW(),설정!$C$4)&amp;"","")</f>
        <v/>
      </c>
      <c r="C579">
        <f>IFERROR(INDEX('1.산군_붙여넣기'!$A$1:$AZ$1001,ROW(),설정!$C$5)&amp;"","")</f>
        <v/>
      </c>
      <c r="D579" s="5">
        <f>IFERROR(VALUE(SUBSTITUTE(SUBSTITUTE(SUBSTITUTE(IFERROR(INDEX('1.산군_붙여넣기'!$A$1:$AZ$1001,ROW(),설정!$C$6)&amp;"",""),",",""),"㎡",""),"m2","")),"")</f>
        <v/>
      </c>
      <c r="E579">
        <f>IFERROR(INDEX('1.산군_붙여넣기'!$A$1:$AZ$1001,ROW(),설정!$C$7)&amp;"","")</f>
        <v/>
      </c>
      <c r="F579">
        <f>IFERROR(INDEX('1.산군_붙여넣기'!$A$1:$AZ$1001,ROW(),설정!$C$8)&amp;"","")</f>
        <v/>
      </c>
      <c r="G579">
        <f>IFERROR(INDEX('1.산군_붙여넣기'!$A$1:$AZ$1001,ROW(),설정!$C$9)&amp;"","")</f>
        <v/>
      </c>
      <c r="H579">
        <f>IFERROR(INDEX('1.산군_붙여넣기'!$A$1:$AZ$1001,ROW(),설정!$C$10)&amp;"","")</f>
        <v/>
      </c>
      <c r="I579">
        <f>IFERROR(INDEX('1.산군_붙여넣기'!$A$1:$AZ$1001,ROW(),설정!$C$11)&amp;"","")</f>
        <v/>
      </c>
      <c r="J579">
        <f>IFERROR(INDEX('1.산군_붙여넣기'!$A$1:$AZ$1001,ROW(),설정!$C$12)&amp;"","")</f>
        <v/>
      </c>
      <c r="K579">
        <f>IFERROR(INDEX('1.산군_붙여넣기'!$A$1:$AZ$1001,ROW(),설정!$C$13)&amp;"","")</f>
        <v/>
      </c>
      <c r="L579" s="6">
        <f>IF(X579="","",IF(AND(LEN(X579)=8,ISNUMBER(X579*1)),DATE(LEFT(X579,4),MID(X579,5,2),RIGHT(X579,2)),IFERROR(DATEVALUE(SUBSTITUTE(SUBSTITUTE(X579,".","-"),"/","-")),IFERROR(X579*1,""))))</f>
        <v/>
      </c>
      <c r="M579" s="6">
        <f>IF(Y579="","",IF(AND(LEN(Y579)=8,ISNUMBER(Y579*1)),DATE(LEFT(Y579,4),MID(Y579,5,2),RIGHT(Y579,2)),IFERROR(DATEVALUE(SUBSTITUTE(SUBSTITUTE(Y579,".","-"),"/","-")),IFERROR(Y579*1,""))))</f>
        <v/>
      </c>
      <c r="N579">
        <f>IFERROR(LEFT(B579,FIND(" ",B579)-1),B579)</f>
        <v/>
      </c>
      <c r="O579">
        <f>AND(B579&lt;&gt;"",B579&lt;&gt;설정!$B$4,C579&lt;&gt;설정!$B$5)</f>
        <v/>
      </c>
      <c r="P579">
        <f>IF(O579,B579&amp;"|"&amp;C579,"")</f>
        <v/>
      </c>
      <c r="Q579">
        <f>AND(O579,COUNTIF(P580:P$1002,P579)=0)</f>
        <v/>
      </c>
      <c r="R579">
        <f>OR(AND(설정!$A$28&lt;&gt;"",ISNUMBER(SEARCH(설정!$A$28,E579&amp;" "&amp;C579))),AND(설정!$A$29&lt;&gt;"",ISNUMBER(SEARCH(설정!$A$29,E579&amp;" "&amp;C579))),AND(설정!$A$30&lt;&gt;"",ISNUMBER(SEARCH(설정!$A$30,E579&amp;" "&amp;C579))),AND(설정!$A$31&lt;&gt;"",ISNUMBER(SEARCH(설정!$A$31,E579&amp;" "&amp;C579))),AND(설정!$A$32&lt;&gt;"",ISNUMBER(SEARCH(설정!$A$32,E579&amp;" "&amp;C579))),AND(설정!$A$33&lt;&gt;"",ISNUMBER(SEARCH(설정!$A$33,E579&amp;" "&amp;C579))),AND(설정!$A$34&lt;&gt;"",ISNUMBER(SEARCH(설정!$A$34,E579&amp;" "&amp;C579))),AND(설정!$A$35&lt;&gt;"",ISNUMBER(SEARCH(설정!$A$35,E579&amp;" "&amp;C579))),AND(설정!$A$36&lt;&gt;"",ISNUMBER(SEARCH(설정!$A$36,E579&amp;" "&amp;C579))),AND(설정!$A$37&lt;&gt;"",ISNUMBER(SEARCH(설정!$A$37,E579&amp;" "&amp;C579))))</f>
        <v/>
      </c>
      <c r="S579">
        <f>OR(D579="",D579&gt;=설정!$B$19)</f>
        <v/>
      </c>
      <c r="T579">
        <f>AND(Q579,R579,S579)</f>
        <v/>
      </c>
      <c r="U579">
        <f>IF(T579,IF(AND(설정!$A$41&lt;&gt;"",ISNUMBER(SEARCH(설정!$A$41,K579))),설정!$B$41,IF(AND(설정!$A$42&lt;&gt;"",ISNUMBER(SEARCH(설정!$A$42,K579))),설정!$B$42,IF(AND(설정!$A$43&lt;&gt;"",ISNUMBER(SEARCH(설정!$A$43,K579))),설정!$B$43,IF(AND(설정!$A$44&lt;&gt;"",ISNUMBER(SEARCH(설정!$A$44,K579))),설정!$B$44,IF(AND(설정!$A$45&lt;&gt;"",ISNUMBER(SEARCH(설정!$A$45,K579))),설정!$B$45,IF(AND(설정!$A$46&lt;&gt;"",ISNUMBER(SEARCH(설정!$A$46,K579))),설정!$B$46,IF(AND(설정!$A$47&lt;&gt;"",ISNUMBER(SEARCH(설정!$A$47,K579))),설정!$B$47,IF(AND(설정!$A$48&lt;&gt;"",ISNUMBER(SEARCH(설정!$A$48,K579))),설정!$B$48,IF(M579="","설계사","시공사"))))))))),"")</f>
        <v/>
      </c>
      <c r="V579">
        <f>SUBSTITUTE(SUBSTITUTE(SUBSTITUTE(SUBSTITUTE(G579,"(주)",""),"㈜",""),"주식회사","")," ","")</f>
        <v/>
      </c>
      <c r="W579">
        <f>IF(AND(T579,V579&lt;&gt;""),IF(COUNTIFS(V$2:V579,V579,T$2:T579,TRUE)=1,MAX(W$1:W578)+1,""),"")</f>
        <v/>
      </c>
      <c r="X579">
        <f>IFERROR(INDEX('1.산군_붙여넣기'!$A$1:$AZ$1001,ROW(),설정!$C$14)&amp;"","")</f>
        <v/>
      </c>
      <c r="Y579">
        <f>IFERROR(INDEX('1.산군_붙여넣기'!$A$1:$AZ$1001,ROW(),설정!$C$15)&amp;"","")</f>
        <v/>
      </c>
      <c r="Z579">
        <f>IF(T579,V579&amp;"|"&amp;U579,"")</f>
        <v/>
      </c>
    </row>
    <row r="580">
      <c r="A580">
        <f>ROW()</f>
        <v/>
      </c>
      <c r="B580">
        <f>IFERROR(INDEX('1.산군_붙여넣기'!$A$1:$AZ$1001,ROW(),설정!$C$4)&amp;"","")</f>
        <v/>
      </c>
      <c r="C580">
        <f>IFERROR(INDEX('1.산군_붙여넣기'!$A$1:$AZ$1001,ROW(),설정!$C$5)&amp;"","")</f>
        <v/>
      </c>
      <c r="D580" s="5">
        <f>IFERROR(VALUE(SUBSTITUTE(SUBSTITUTE(SUBSTITUTE(IFERROR(INDEX('1.산군_붙여넣기'!$A$1:$AZ$1001,ROW(),설정!$C$6)&amp;"",""),",",""),"㎡",""),"m2","")),"")</f>
        <v/>
      </c>
      <c r="E580">
        <f>IFERROR(INDEX('1.산군_붙여넣기'!$A$1:$AZ$1001,ROW(),설정!$C$7)&amp;"","")</f>
        <v/>
      </c>
      <c r="F580">
        <f>IFERROR(INDEX('1.산군_붙여넣기'!$A$1:$AZ$1001,ROW(),설정!$C$8)&amp;"","")</f>
        <v/>
      </c>
      <c r="G580">
        <f>IFERROR(INDEX('1.산군_붙여넣기'!$A$1:$AZ$1001,ROW(),설정!$C$9)&amp;"","")</f>
        <v/>
      </c>
      <c r="H580">
        <f>IFERROR(INDEX('1.산군_붙여넣기'!$A$1:$AZ$1001,ROW(),설정!$C$10)&amp;"","")</f>
        <v/>
      </c>
      <c r="I580">
        <f>IFERROR(INDEX('1.산군_붙여넣기'!$A$1:$AZ$1001,ROW(),설정!$C$11)&amp;"","")</f>
        <v/>
      </c>
      <c r="J580">
        <f>IFERROR(INDEX('1.산군_붙여넣기'!$A$1:$AZ$1001,ROW(),설정!$C$12)&amp;"","")</f>
        <v/>
      </c>
      <c r="K580">
        <f>IFERROR(INDEX('1.산군_붙여넣기'!$A$1:$AZ$1001,ROW(),설정!$C$13)&amp;"","")</f>
        <v/>
      </c>
      <c r="L580" s="6">
        <f>IF(X580="","",IF(AND(LEN(X580)=8,ISNUMBER(X580*1)),DATE(LEFT(X580,4),MID(X580,5,2),RIGHT(X580,2)),IFERROR(DATEVALUE(SUBSTITUTE(SUBSTITUTE(X580,".","-"),"/","-")),IFERROR(X580*1,""))))</f>
        <v/>
      </c>
      <c r="M580" s="6">
        <f>IF(Y580="","",IF(AND(LEN(Y580)=8,ISNUMBER(Y580*1)),DATE(LEFT(Y580,4),MID(Y580,5,2),RIGHT(Y580,2)),IFERROR(DATEVALUE(SUBSTITUTE(SUBSTITUTE(Y580,".","-"),"/","-")),IFERROR(Y580*1,""))))</f>
        <v/>
      </c>
      <c r="N580">
        <f>IFERROR(LEFT(B580,FIND(" ",B580)-1),B580)</f>
        <v/>
      </c>
      <c r="O580">
        <f>AND(B580&lt;&gt;"",B580&lt;&gt;설정!$B$4,C580&lt;&gt;설정!$B$5)</f>
        <v/>
      </c>
      <c r="P580">
        <f>IF(O580,B580&amp;"|"&amp;C580,"")</f>
        <v/>
      </c>
      <c r="Q580">
        <f>AND(O580,COUNTIF(P581:P$1002,P580)=0)</f>
        <v/>
      </c>
      <c r="R580">
        <f>OR(AND(설정!$A$28&lt;&gt;"",ISNUMBER(SEARCH(설정!$A$28,E580&amp;" "&amp;C580))),AND(설정!$A$29&lt;&gt;"",ISNUMBER(SEARCH(설정!$A$29,E580&amp;" "&amp;C580))),AND(설정!$A$30&lt;&gt;"",ISNUMBER(SEARCH(설정!$A$30,E580&amp;" "&amp;C580))),AND(설정!$A$31&lt;&gt;"",ISNUMBER(SEARCH(설정!$A$31,E580&amp;" "&amp;C580))),AND(설정!$A$32&lt;&gt;"",ISNUMBER(SEARCH(설정!$A$32,E580&amp;" "&amp;C580))),AND(설정!$A$33&lt;&gt;"",ISNUMBER(SEARCH(설정!$A$33,E580&amp;" "&amp;C580))),AND(설정!$A$34&lt;&gt;"",ISNUMBER(SEARCH(설정!$A$34,E580&amp;" "&amp;C580))),AND(설정!$A$35&lt;&gt;"",ISNUMBER(SEARCH(설정!$A$35,E580&amp;" "&amp;C580))),AND(설정!$A$36&lt;&gt;"",ISNUMBER(SEARCH(설정!$A$36,E580&amp;" "&amp;C580))),AND(설정!$A$37&lt;&gt;"",ISNUMBER(SEARCH(설정!$A$37,E580&amp;" "&amp;C580))))</f>
        <v/>
      </c>
      <c r="S580">
        <f>OR(D580="",D580&gt;=설정!$B$19)</f>
        <v/>
      </c>
      <c r="T580">
        <f>AND(Q580,R580,S580)</f>
        <v/>
      </c>
      <c r="U580">
        <f>IF(T580,IF(AND(설정!$A$41&lt;&gt;"",ISNUMBER(SEARCH(설정!$A$41,K580))),설정!$B$41,IF(AND(설정!$A$42&lt;&gt;"",ISNUMBER(SEARCH(설정!$A$42,K580))),설정!$B$42,IF(AND(설정!$A$43&lt;&gt;"",ISNUMBER(SEARCH(설정!$A$43,K580))),설정!$B$43,IF(AND(설정!$A$44&lt;&gt;"",ISNUMBER(SEARCH(설정!$A$44,K580))),설정!$B$44,IF(AND(설정!$A$45&lt;&gt;"",ISNUMBER(SEARCH(설정!$A$45,K580))),설정!$B$45,IF(AND(설정!$A$46&lt;&gt;"",ISNUMBER(SEARCH(설정!$A$46,K580))),설정!$B$46,IF(AND(설정!$A$47&lt;&gt;"",ISNUMBER(SEARCH(설정!$A$47,K580))),설정!$B$47,IF(AND(설정!$A$48&lt;&gt;"",ISNUMBER(SEARCH(설정!$A$48,K580))),설정!$B$48,IF(M580="","설계사","시공사"))))))))),"")</f>
        <v/>
      </c>
      <c r="V580">
        <f>SUBSTITUTE(SUBSTITUTE(SUBSTITUTE(SUBSTITUTE(G580,"(주)",""),"㈜",""),"주식회사","")," ","")</f>
        <v/>
      </c>
      <c r="W580">
        <f>IF(AND(T580,V580&lt;&gt;""),IF(COUNTIFS(V$2:V580,V580,T$2:T580,TRUE)=1,MAX(W$1:W579)+1,""),"")</f>
        <v/>
      </c>
      <c r="X580">
        <f>IFERROR(INDEX('1.산군_붙여넣기'!$A$1:$AZ$1001,ROW(),설정!$C$14)&amp;"","")</f>
        <v/>
      </c>
      <c r="Y580">
        <f>IFERROR(INDEX('1.산군_붙여넣기'!$A$1:$AZ$1001,ROW(),설정!$C$15)&amp;"","")</f>
        <v/>
      </c>
      <c r="Z580">
        <f>IF(T580,V580&amp;"|"&amp;U580,"")</f>
        <v/>
      </c>
    </row>
    <row r="581">
      <c r="A581">
        <f>ROW()</f>
        <v/>
      </c>
      <c r="B581">
        <f>IFERROR(INDEX('1.산군_붙여넣기'!$A$1:$AZ$1001,ROW(),설정!$C$4)&amp;"","")</f>
        <v/>
      </c>
      <c r="C581">
        <f>IFERROR(INDEX('1.산군_붙여넣기'!$A$1:$AZ$1001,ROW(),설정!$C$5)&amp;"","")</f>
        <v/>
      </c>
      <c r="D581" s="5">
        <f>IFERROR(VALUE(SUBSTITUTE(SUBSTITUTE(SUBSTITUTE(IFERROR(INDEX('1.산군_붙여넣기'!$A$1:$AZ$1001,ROW(),설정!$C$6)&amp;"",""),",",""),"㎡",""),"m2","")),"")</f>
        <v/>
      </c>
      <c r="E581">
        <f>IFERROR(INDEX('1.산군_붙여넣기'!$A$1:$AZ$1001,ROW(),설정!$C$7)&amp;"","")</f>
        <v/>
      </c>
      <c r="F581">
        <f>IFERROR(INDEX('1.산군_붙여넣기'!$A$1:$AZ$1001,ROW(),설정!$C$8)&amp;"","")</f>
        <v/>
      </c>
      <c r="G581">
        <f>IFERROR(INDEX('1.산군_붙여넣기'!$A$1:$AZ$1001,ROW(),설정!$C$9)&amp;"","")</f>
        <v/>
      </c>
      <c r="H581">
        <f>IFERROR(INDEX('1.산군_붙여넣기'!$A$1:$AZ$1001,ROW(),설정!$C$10)&amp;"","")</f>
        <v/>
      </c>
      <c r="I581">
        <f>IFERROR(INDEX('1.산군_붙여넣기'!$A$1:$AZ$1001,ROW(),설정!$C$11)&amp;"","")</f>
        <v/>
      </c>
      <c r="J581">
        <f>IFERROR(INDEX('1.산군_붙여넣기'!$A$1:$AZ$1001,ROW(),설정!$C$12)&amp;"","")</f>
        <v/>
      </c>
      <c r="K581">
        <f>IFERROR(INDEX('1.산군_붙여넣기'!$A$1:$AZ$1001,ROW(),설정!$C$13)&amp;"","")</f>
        <v/>
      </c>
      <c r="L581" s="6">
        <f>IF(X581="","",IF(AND(LEN(X581)=8,ISNUMBER(X581*1)),DATE(LEFT(X581,4),MID(X581,5,2),RIGHT(X581,2)),IFERROR(DATEVALUE(SUBSTITUTE(SUBSTITUTE(X581,".","-"),"/","-")),IFERROR(X581*1,""))))</f>
        <v/>
      </c>
      <c r="M581" s="6">
        <f>IF(Y581="","",IF(AND(LEN(Y581)=8,ISNUMBER(Y581*1)),DATE(LEFT(Y581,4),MID(Y581,5,2),RIGHT(Y581,2)),IFERROR(DATEVALUE(SUBSTITUTE(SUBSTITUTE(Y581,".","-"),"/","-")),IFERROR(Y581*1,""))))</f>
        <v/>
      </c>
      <c r="N581">
        <f>IFERROR(LEFT(B581,FIND(" ",B581)-1),B581)</f>
        <v/>
      </c>
      <c r="O581">
        <f>AND(B581&lt;&gt;"",B581&lt;&gt;설정!$B$4,C581&lt;&gt;설정!$B$5)</f>
        <v/>
      </c>
      <c r="P581">
        <f>IF(O581,B581&amp;"|"&amp;C581,"")</f>
        <v/>
      </c>
      <c r="Q581">
        <f>AND(O581,COUNTIF(P582:P$1002,P581)=0)</f>
        <v/>
      </c>
      <c r="R581">
        <f>OR(AND(설정!$A$28&lt;&gt;"",ISNUMBER(SEARCH(설정!$A$28,E581&amp;" "&amp;C581))),AND(설정!$A$29&lt;&gt;"",ISNUMBER(SEARCH(설정!$A$29,E581&amp;" "&amp;C581))),AND(설정!$A$30&lt;&gt;"",ISNUMBER(SEARCH(설정!$A$30,E581&amp;" "&amp;C581))),AND(설정!$A$31&lt;&gt;"",ISNUMBER(SEARCH(설정!$A$31,E581&amp;" "&amp;C581))),AND(설정!$A$32&lt;&gt;"",ISNUMBER(SEARCH(설정!$A$32,E581&amp;" "&amp;C581))),AND(설정!$A$33&lt;&gt;"",ISNUMBER(SEARCH(설정!$A$33,E581&amp;" "&amp;C581))),AND(설정!$A$34&lt;&gt;"",ISNUMBER(SEARCH(설정!$A$34,E581&amp;" "&amp;C581))),AND(설정!$A$35&lt;&gt;"",ISNUMBER(SEARCH(설정!$A$35,E581&amp;" "&amp;C581))),AND(설정!$A$36&lt;&gt;"",ISNUMBER(SEARCH(설정!$A$36,E581&amp;" "&amp;C581))),AND(설정!$A$37&lt;&gt;"",ISNUMBER(SEARCH(설정!$A$37,E581&amp;" "&amp;C581))))</f>
        <v/>
      </c>
      <c r="S581">
        <f>OR(D581="",D581&gt;=설정!$B$19)</f>
        <v/>
      </c>
      <c r="T581">
        <f>AND(Q581,R581,S581)</f>
        <v/>
      </c>
      <c r="U581">
        <f>IF(T581,IF(AND(설정!$A$41&lt;&gt;"",ISNUMBER(SEARCH(설정!$A$41,K581))),설정!$B$41,IF(AND(설정!$A$42&lt;&gt;"",ISNUMBER(SEARCH(설정!$A$42,K581))),설정!$B$42,IF(AND(설정!$A$43&lt;&gt;"",ISNUMBER(SEARCH(설정!$A$43,K581))),설정!$B$43,IF(AND(설정!$A$44&lt;&gt;"",ISNUMBER(SEARCH(설정!$A$44,K581))),설정!$B$44,IF(AND(설정!$A$45&lt;&gt;"",ISNUMBER(SEARCH(설정!$A$45,K581))),설정!$B$45,IF(AND(설정!$A$46&lt;&gt;"",ISNUMBER(SEARCH(설정!$A$46,K581))),설정!$B$46,IF(AND(설정!$A$47&lt;&gt;"",ISNUMBER(SEARCH(설정!$A$47,K581))),설정!$B$47,IF(AND(설정!$A$48&lt;&gt;"",ISNUMBER(SEARCH(설정!$A$48,K581))),설정!$B$48,IF(M581="","설계사","시공사"))))))))),"")</f>
        <v/>
      </c>
      <c r="V581">
        <f>SUBSTITUTE(SUBSTITUTE(SUBSTITUTE(SUBSTITUTE(G581,"(주)",""),"㈜",""),"주식회사","")," ","")</f>
        <v/>
      </c>
      <c r="W581">
        <f>IF(AND(T581,V581&lt;&gt;""),IF(COUNTIFS(V$2:V581,V581,T$2:T581,TRUE)=1,MAX(W$1:W580)+1,""),"")</f>
        <v/>
      </c>
      <c r="X581">
        <f>IFERROR(INDEX('1.산군_붙여넣기'!$A$1:$AZ$1001,ROW(),설정!$C$14)&amp;"","")</f>
        <v/>
      </c>
      <c r="Y581">
        <f>IFERROR(INDEX('1.산군_붙여넣기'!$A$1:$AZ$1001,ROW(),설정!$C$15)&amp;"","")</f>
        <v/>
      </c>
      <c r="Z581">
        <f>IF(T581,V581&amp;"|"&amp;U581,"")</f>
        <v/>
      </c>
    </row>
    <row r="582">
      <c r="A582">
        <f>ROW()</f>
        <v/>
      </c>
      <c r="B582">
        <f>IFERROR(INDEX('1.산군_붙여넣기'!$A$1:$AZ$1001,ROW(),설정!$C$4)&amp;"","")</f>
        <v/>
      </c>
      <c r="C582">
        <f>IFERROR(INDEX('1.산군_붙여넣기'!$A$1:$AZ$1001,ROW(),설정!$C$5)&amp;"","")</f>
        <v/>
      </c>
      <c r="D582" s="5">
        <f>IFERROR(VALUE(SUBSTITUTE(SUBSTITUTE(SUBSTITUTE(IFERROR(INDEX('1.산군_붙여넣기'!$A$1:$AZ$1001,ROW(),설정!$C$6)&amp;"",""),",",""),"㎡",""),"m2","")),"")</f>
        <v/>
      </c>
      <c r="E582">
        <f>IFERROR(INDEX('1.산군_붙여넣기'!$A$1:$AZ$1001,ROW(),설정!$C$7)&amp;"","")</f>
        <v/>
      </c>
      <c r="F582">
        <f>IFERROR(INDEX('1.산군_붙여넣기'!$A$1:$AZ$1001,ROW(),설정!$C$8)&amp;"","")</f>
        <v/>
      </c>
      <c r="G582">
        <f>IFERROR(INDEX('1.산군_붙여넣기'!$A$1:$AZ$1001,ROW(),설정!$C$9)&amp;"","")</f>
        <v/>
      </c>
      <c r="H582">
        <f>IFERROR(INDEX('1.산군_붙여넣기'!$A$1:$AZ$1001,ROW(),설정!$C$10)&amp;"","")</f>
        <v/>
      </c>
      <c r="I582">
        <f>IFERROR(INDEX('1.산군_붙여넣기'!$A$1:$AZ$1001,ROW(),설정!$C$11)&amp;"","")</f>
        <v/>
      </c>
      <c r="J582">
        <f>IFERROR(INDEX('1.산군_붙여넣기'!$A$1:$AZ$1001,ROW(),설정!$C$12)&amp;"","")</f>
        <v/>
      </c>
      <c r="K582">
        <f>IFERROR(INDEX('1.산군_붙여넣기'!$A$1:$AZ$1001,ROW(),설정!$C$13)&amp;"","")</f>
        <v/>
      </c>
      <c r="L582" s="6">
        <f>IF(X582="","",IF(AND(LEN(X582)=8,ISNUMBER(X582*1)),DATE(LEFT(X582,4),MID(X582,5,2),RIGHT(X582,2)),IFERROR(DATEVALUE(SUBSTITUTE(SUBSTITUTE(X582,".","-"),"/","-")),IFERROR(X582*1,""))))</f>
        <v/>
      </c>
      <c r="M582" s="6">
        <f>IF(Y582="","",IF(AND(LEN(Y582)=8,ISNUMBER(Y582*1)),DATE(LEFT(Y582,4),MID(Y582,5,2),RIGHT(Y582,2)),IFERROR(DATEVALUE(SUBSTITUTE(SUBSTITUTE(Y582,".","-"),"/","-")),IFERROR(Y582*1,""))))</f>
        <v/>
      </c>
      <c r="N582">
        <f>IFERROR(LEFT(B582,FIND(" ",B582)-1),B582)</f>
        <v/>
      </c>
      <c r="O582">
        <f>AND(B582&lt;&gt;"",B582&lt;&gt;설정!$B$4,C582&lt;&gt;설정!$B$5)</f>
        <v/>
      </c>
      <c r="P582">
        <f>IF(O582,B582&amp;"|"&amp;C582,"")</f>
        <v/>
      </c>
      <c r="Q582">
        <f>AND(O582,COUNTIF(P583:P$1002,P582)=0)</f>
        <v/>
      </c>
      <c r="R582">
        <f>OR(AND(설정!$A$28&lt;&gt;"",ISNUMBER(SEARCH(설정!$A$28,E582&amp;" "&amp;C582))),AND(설정!$A$29&lt;&gt;"",ISNUMBER(SEARCH(설정!$A$29,E582&amp;" "&amp;C582))),AND(설정!$A$30&lt;&gt;"",ISNUMBER(SEARCH(설정!$A$30,E582&amp;" "&amp;C582))),AND(설정!$A$31&lt;&gt;"",ISNUMBER(SEARCH(설정!$A$31,E582&amp;" "&amp;C582))),AND(설정!$A$32&lt;&gt;"",ISNUMBER(SEARCH(설정!$A$32,E582&amp;" "&amp;C582))),AND(설정!$A$33&lt;&gt;"",ISNUMBER(SEARCH(설정!$A$33,E582&amp;" "&amp;C582))),AND(설정!$A$34&lt;&gt;"",ISNUMBER(SEARCH(설정!$A$34,E582&amp;" "&amp;C582))),AND(설정!$A$35&lt;&gt;"",ISNUMBER(SEARCH(설정!$A$35,E582&amp;" "&amp;C582))),AND(설정!$A$36&lt;&gt;"",ISNUMBER(SEARCH(설정!$A$36,E582&amp;" "&amp;C582))),AND(설정!$A$37&lt;&gt;"",ISNUMBER(SEARCH(설정!$A$37,E582&amp;" "&amp;C582))))</f>
        <v/>
      </c>
      <c r="S582">
        <f>OR(D582="",D582&gt;=설정!$B$19)</f>
        <v/>
      </c>
      <c r="T582">
        <f>AND(Q582,R582,S582)</f>
        <v/>
      </c>
      <c r="U582">
        <f>IF(T582,IF(AND(설정!$A$41&lt;&gt;"",ISNUMBER(SEARCH(설정!$A$41,K582))),설정!$B$41,IF(AND(설정!$A$42&lt;&gt;"",ISNUMBER(SEARCH(설정!$A$42,K582))),설정!$B$42,IF(AND(설정!$A$43&lt;&gt;"",ISNUMBER(SEARCH(설정!$A$43,K582))),설정!$B$43,IF(AND(설정!$A$44&lt;&gt;"",ISNUMBER(SEARCH(설정!$A$44,K582))),설정!$B$44,IF(AND(설정!$A$45&lt;&gt;"",ISNUMBER(SEARCH(설정!$A$45,K582))),설정!$B$45,IF(AND(설정!$A$46&lt;&gt;"",ISNUMBER(SEARCH(설정!$A$46,K582))),설정!$B$46,IF(AND(설정!$A$47&lt;&gt;"",ISNUMBER(SEARCH(설정!$A$47,K582))),설정!$B$47,IF(AND(설정!$A$48&lt;&gt;"",ISNUMBER(SEARCH(설정!$A$48,K582))),설정!$B$48,IF(M582="","설계사","시공사"))))))))),"")</f>
        <v/>
      </c>
      <c r="V582">
        <f>SUBSTITUTE(SUBSTITUTE(SUBSTITUTE(SUBSTITUTE(G582,"(주)",""),"㈜",""),"주식회사","")," ","")</f>
        <v/>
      </c>
      <c r="W582">
        <f>IF(AND(T582,V582&lt;&gt;""),IF(COUNTIFS(V$2:V582,V582,T$2:T582,TRUE)=1,MAX(W$1:W581)+1,""),"")</f>
        <v/>
      </c>
      <c r="X582">
        <f>IFERROR(INDEX('1.산군_붙여넣기'!$A$1:$AZ$1001,ROW(),설정!$C$14)&amp;"","")</f>
        <v/>
      </c>
      <c r="Y582">
        <f>IFERROR(INDEX('1.산군_붙여넣기'!$A$1:$AZ$1001,ROW(),설정!$C$15)&amp;"","")</f>
        <v/>
      </c>
      <c r="Z582">
        <f>IF(T582,V582&amp;"|"&amp;U582,"")</f>
        <v/>
      </c>
    </row>
    <row r="583">
      <c r="A583">
        <f>ROW()</f>
        <v/>
      </c>
      <c r="B583">
        <f>IFERROR(INDEX('1.산군_붙여넣기'!$A$1:$AZ$1001,ROW(),설정!$C$4)&amp;"","")</f>
        <v/>
      </c>
      <c r="C583">
        <f>IFERROR(INDEX('1.산군_붙여넣기'!$A$1:$AZ$1001,ROW(),설정!$C$5)&amp;"","")</f>
        <v/>
      </c>
      <c r="D583" s="5">
        <f>IFERROR(VALUE(SUBSTITUTE(SUBSTITUTE(SUBSTITUTE(IFERROR(INDEX('1.산군_붙여넣기'!$A$1:$AZ$1001,ROW(),설정!$C$6)&amp;"",""),",",""),"㎡",""),"m2","")),"")</f>
        <v/>
      </c>
      <c r="E583">
        <f>IFERROR(INDEX('1.산군_붙여넣기'!$A$1:$AZ$1001,ROW(),설정!$C$7)&amp;"","")</f>
        <v/>
      </c>
      <c r="F583">
        <f>IFERROR(INDEX('1.산군_붙여넣기'!$A$1:$AZ$1001,ROW(),설정!$C$8)&amp;"","")</f>
        <v/>
      </c>
      <c r="G583">
        <f>IFERROR(INDEX('1.산군_붙여넣기'!$A$1:$AZ$1001,ROW(),설정!$C$9)&amp;"","")</f>
        <v/>
      </c>
      <c r="H583">
        <f>IFERROR(INDEX('1.산군_붙여넣기'!$A$1:$AZ$1001,ROW(),설정!$C$10)&amp;"","")</f>
        <v/>
      </c>
      <c r="I583">
        <f>IFERROR(INDEX('1.산군_붙여넣기'!$A$1:$AZ$1001,ROW(),설정!$C$11)&amp;"","")</f>
        <v/>
      </c>
      <c r="J583">
        <f>IFERROR(INDEX('1.산군_붙여넣기'!$A$1:$AZ$1001,ROW(),설정!$C$12)&amp;"","")</f>
        <v/>
      </c>
      <c r="K583">
        <f>IFERROR(INDEX('1.산군_붙여넣기'!$A$1:$AZ$1001,ROW(),설정!$C$13)&amp;"","")</f>
        <v/>
      </c>
      <c r="L583" s="6">
        <f>IF(X583="","",IF(AND(LEN(X583)=8,ISNUMBER(X583*1)),DATE(LEFT(X583,4),MID(X583,5,2),RIGHT(X583,2)),IFERROR(DATEVALUE(SUBSTITUTE(SUBSTITUTE(X583,".","-"),"/","-")),IFERROR(X583*1,""))))</f>
        <v/>
      </c>
      <c r="M583" s="6">
        <f>IF(Y583="","",IF(AND(LEN(Y583)=8,ISNUMBER(Y583*1)),DATE(LEFT(Y583,4),MID(Y583,5,2),RIGHT(Y583,2)),IFERROR(DATEVALUE(SUBSTITUTE(SUBSTITUTE(Y583,".","-"),"/","-")),IFERROR(Y583*1,""))))</f>
        <v/>
      </c>
      <c r="N583">
        <f>IFERROR(LEFT(B583,FIND(" ",B583)-1),B583)</f>
        <v/>
      </c>
      <c r="O583">
        <f>AND(B583&lt;&gt;"",B583&lt;&gt;설정!$B$4,C583&lt;&gt;설정!$B$5)</f>
        <v/>
      </c>
      <c r="P583">
        <f>IF(O583,B583&amp;"|"&amp;C583,"")</f>
        <v/>
      </c>
      <c r="Q583">
        <f>AND(O583,COUNTIF(P584:P$1002,P583)=0)</f>
        <v/>
      </c>
      <c r="R583">
        <f>OR(AND(설정!$A$28&lt;&gt;"",ISNUMBER(SEARCH(설정!$A$28,E583&amp;" "&amp;C583))),AND(설정!$A$29&lt;&gt;"",ISNUMBER(SEARCH(설정!$A$29,E583&amp;" "&amp;C583))),AND(설정!$A$30&lt;&gt;"",ISNUMBER(SEARCH(설정!$A$30,E583&amp;" "&amp;C583))),AND(설정!$A$31&lt;&gt;"",ISNUMBER(SEARCH(설정!$A$31,E583&amp;" "&amp;C583))),AND(설정!$A$32&lt;&gt;"",ISNUMBER(SEARCH(설정!$A$32,E583&amp;" "&amp;C583))),AND(설정!$A$33&lt;&gt;"",ISNUMBER(SEARCH(설정!$A$33,E583&amp;" "&amp;C583))),AND(설정!$A$34&lt;&gt;"",ISNUMBER(SEARCH(설정!$A$34,E583&amp;" "&amp;C583))),AND(설정!$A$35&lt;&gt;"",ISNUMBER(SEARCH(설정!$A$35,E583&amp;" "&amp;C583))),AND(설정!$A$36&lt;&gt;"",ISNUMBER(SEARCH(설정!$A$36,E583&amp;" "&amp;C583))),AND(설정!$A$37&lt;&gt;"",ISNUMBER(SEARCH(설정!$A$37,E583&amp;" "&amp;C583))))</f>
        <v/>
      </c>
      <c r="S583">
        <f>OR(D583="",D583&gt;=설정!$B$19)</f>
        <v/>
      </c>
      <c r="T583">
        <f>AND(Q583,R583,S583)</f>
        <v/>
      </c>
      <c r="U583">
        <f>IF(T583,IF(AND(설정!$A$41&lt;&gt;"",ISNUMBER(SEARCH(설정!$A$41,K583))),설정!$B$41,IF(AND(설정!$A$42&lt;&gt;"",ISNUMBER(SEARCH(설정!$A$42,K583))),설정!$B$42,IF(AND(설정!$A$43&lt;&gt;"",ISNUMBER(SEARCH(설정!$A$43,K583))),설정!$B$43,IF(AND(설정!$A$44&lt;&gt;"",ISNUMBER(SEARCH(설정!$A$44,K583))),설정!$B$44,IF(AND(설정!$A$45&lt;&gt;"",ISNUMBER(SEARCH(설정!$A$45,K583))),설정!$B$45,IF(AND(설정!$A$46&lt;&gt;"",ISNUMBER(SEARCH(설정!$A$46,K583))),설정!$B$46,IF(AND(설정!$A$47&lt;&gt;"",ISNUMBER(SEARCH(설정!$A$47,K583))),설정!$B$47,IF(AND(설정!$A$48&lt;&gt;"",ISNUMBER(SEARCH(설정!$A$48,K583))),설정!$B$48,IF(M583="","설계사","시공사"))))))))),"")</f>
        <v/>
      </c>
      <c r="V583">
        <f>SUBSTITUTE(SUBSTITUTE(SUBSTITUTE(SUBSTITUTE(G583,"(주)",""),"㈜",""),"주식회사","")," ","")</f>
        <v/>
      </c>
      <c r="W583">
        <f>IF(AND(T583,V583&lt;&gt;""),IF(COUNTIFS(V$2:V583,V583,T$2:T583,TRUE)=1,MAX(W$1:W582)+1,""),"")</f>
        <v/>
      </c>
      <c r="X583">
        <f>IFERROR(INDEX('1.산군_붙여넣기'!$A$1:$AZ$1001,ROW(),설정!$C$14)&amp;"","")</f>
        <v/>
      </c>
      <c r="Y583">
        <f>IFERROR(INDEX('1.산군_붙여넣기'!$A$1:$AZ$1001,ROW(),설정!$C$15)&amp;"","")</f>
        <v/>
      </c>
      <c r="Z583">
        <f>IF(T583,V583&amp;"|"&amp;U583,"")</f>
        <v/>
      </c>
    </row>
    <row r="584">
      <c r="A584">
        <f>ROW()</f>
        <v/>
      </c>
      <c r="B584">
        <f>IFERROR(INDEX('1.산군_붙여넣기'!$A$1:$AZ$1001,ROW(),설정!$C$4)&amp;"","")</f>
        <v/>
      </c>
      <c r="C584">
        <f>IFERROR(INDEX('1.산군_붙여넣기'!$A$1:$AZ$1001,ROW(),설정!$C$5)&amp;"","")</f>
        <v/>
      </c>
      <c r="D584" s="5">
        <f>IFERROR(VALUE(SUBSTITUTE(SUBSTITUTE(SUBSTITUTE(IFERROR(INDEX('1.산군_붙여넣기'!$A$1:$AZ$1001,ROW(),설정!$C$6)&amp;"",""),",",""),"㎡",""),"m2","")),"")</f>
        <v/>
      </c>
      <c r="E584">
        <f>IFERROR(INDEX('1.산군_붙여넣기'!$A$1:$AZ$1001,ROW(),설정!$C$7)&amp;"","")</f>
        <v/>
      </c>
      <c r="F584">
        <f>IFERROR(INDEX('1.산군_붙여넣기'!$A$1:$AZ$1001,ROW(),설정!$C$8)&amp;"","")</f>
        <v/>
      </c>
      <c r="G584">
        <f>IFERROR(INDEX('1.산군_붙여넣기'!$A$1:$AZ$1001,ROW(),설정!$C$9)&amp;"","")</f>
        <v/>
      </c>
      <c r="H584">
        <f>IFERROR(INDEX('1.산군_붙여넣기'!$A$1:$AZ$1001,ROW(),설정!$C$10)&amp;"","")</f>
        <v/>
      </c>
      <c r="I584">
        <f>IFERROR(INDEX('1.산군_붙여넣기'!$A$1:$AZ$1001,ROW(),설정!$C$11)&amp;"","")</f>
        <v/>
      </c>
      <c r="J584">
        <f>IFERROR(INDEX('1.산군_붙여넣기'!$A$1:$AZ$1001,ROW(),설정!$C$12)&amp;"","")</f>
        <v/>
      </c>
      <c r="K584">
        <f>IFERROR(INDEX('1.산군_붙여넣기'!$A$1:$AZ$1001,ROW(),설정!$C$13)&amp;"","")</f>
        <v/>
      </c>
      <c r="L584" s="6">
        <f>IF(X584="","",IF(AND(LEN(X584)=8,ISNUMBER(X584*1)),DATE(LEFT(X584,4),MID(X584,5,2),RIGHT(X584,2)),IFERROR(DATEVALUE(SUBSTITUTE(SUBSTITUTE(X584,".","-"),"/","-")),IFERROR(X584*1,""))))</f>
        <v/>
      </c>
      <c r="M584" s="6">
        <f>IF(Y584="","",IF(AND(LEN(Y584)=8,ISNUMBER(Y584*1)),DATE(LEFT(Y584,4),MID(Y584,5,2),RIGHT(Y584,2)),IFERROR(DATEVALUE(SUBSTITUTE(SUBSTITUTE(Y584,".","-"),"/","-")),IFERROR(Y584*1,""))))</f>
        <v/>
      </c>
      <c r="N584">
        <f>IFERROR(LEFT(B584,FIND(" ",B584)-1),B584)</f>
        <v/>
      </c>
      <c r="O584">
        <f>AND(B584&lt;&gt;"",B584&lt;&gt;설정!$B$4,C584&lt;&gt;설정!$B$5)</f>
        <v/>
      </c>
      <c r="P584">
        <f>IF(O584,B584&amp;"|"&amp;C584,"")</f>
        <v/>
      </c>
      <c r="Q584">
        <f>AND(O584,COUNTIF(P585:P$1002,P584)=0)</f>
        <v/>
      </c>
      <c r="R584">
        <f>OR(AND(설정!$A$28&lt;&gt;"",ISNUMBER(SEARCH(설정!$A$28,E584&amp;" "&amp;C584))),AND(설정!$A$29&lt;&gt;"",ISNUMBER(SEARCH(설정!$A$29,E584&amp;" "&amp;C584))),AND(설정!$A$30&lt;&gt;"",ISNUMBER(SEARCH(설정!$A$30,E584&amp;" "&amp;C584))),AND(설정!$A$31&lt;&gt;"",ISNUMBER(SEARCH(설정!$A$31,E584&amp;" "&amp;C584))),AND(설정!$A$32&lt;&gt;"",ISNUMBER(SEARCH(설정!$A$32,E584&amp;" "&amp;C584))),AND(설정!$A$33&lt;&gt;"",ISNUMBER(SEARCH(설정!$A$33,E584&amp;" "&amp;C584))),AND(설정!$A$34&lt;&gt;"",ISNUMBER(SEARCH(설정!$A$34,E584&amp;" "&amp;C584))),AND(설정!$A$35&lt;&gt;"",ISNUMBER(SEARCH(설정!$A$35,E584&amp;" "&amp;C584))),AND(설정!$A$36&lt;&gt;"",ISNUMBER(SEARCH(설정!$A$36,E584&amp;" "&amp;C584))),AND(설정!$A$37&lt;&gt;"",ISNUMBER(SEARCH(설정!$A$37,E584&amp;" "&amp;C584))))</f>
        <v/>
      </c>
      <c r="S584">
        <f>OR(D584="",D584&gt;=설정!$B$19)</f>
        <v/>
      </c>
      <c r="T584">
        <f>AND(Q584,R584,S584)</f>
        <v/>
      </c>
      <c r="U584">
        <f>IF(T584,IF(AND(설정!$A$41&lt;&gt;"",ISNUMBER(SEARCH(설정!$A$41,K584))),설정!$B$41,IF(AND(설정!$A$42&lt;&gt;"",ISNUMBER(SEARCH(설정!$A$42,K584))),설정!$B$42,IF(AND(설정!$A$43&lt;&gt;"",ISNUMBER(SEARCH(설정!$A$43,K584))),설정!$B$43,IF(AND(설정!$A$44&lt;&gt;"",ISNUMBER(SEARCH(설정!$A$44,K584))),설정!$B$44,IF(AND(설정!$A$45&lt;&gt;"",ISNUMBER(SEARCH(설정!$A$45,K584))),설정!$B$45,IF(AND(설정!$A$46&lt;&gt;"",ISNUMBER(SEARCH(설정!$A$46,K584))),설정!$B$46,IF(AND(설정!$A$47&lt;&gt;"",ISNUMBER(SEARCH(설정!$A$47,K584))),설정!$B$47,IF(AND(설정!$A$48&lt;&gt;"",ISNUMBER(SEARCH(설정!$A$48,K584))),설정!$B$48,IF(M584="","설계사","시공사"))))))))),"")</f>
        <v/>
      </c>
      <c r="V584">
        <f>SUBSTITUTE(SUBSTITUTE(SUBSTITUTE(SUBSTITUTE(G584,"(주)",""),"㈜",""),"주식회사","")," ","")</f>
        <v/>
      </c>
      <c r="W584">
        <f>IF(AND(T584,V584&lt;&gt;""),IF(COUNTIFS(V$2:V584,V584,T$2:T584,TRUE)=1,MAX(W$1:W583)+1,""),"")</f>
        <v/>
      </c>
      <c r="X584">
        <f>IFERROR(INDEX('1.산군_붙여넣기'!$A$1:$AZ$1001,ROW(),설정!$C$14)&amp;"","")</f>
        <v/>
      </c>
      <c r="Y584">
        <f>IFERROR(INDEX('1.산군_붙여넣기'!$A$1:$AZ$1001,ROW(),설정!$C$15)&amp;"","")</f>
        <v/>
      </c>
      <c r="Z584">
        <f>IF(T584,V584&amp;"|"&amp;U584,"")</f>
        <v/>
      </c>
    </row>
    <row r="585">
      <c r="A585">
        <f>ROW()</f>
        <v/>
      </c>
      <c r="B585">
        <f>IFERROR(INDEX('1.산군_붙여넣기'!$A$1:$AZ$1001,ROW(),설정!$C$4)&amp;"","")</f>
        <v/>
      </c>
      <c r="C585">
        <f>IFERROR(INDEX('1.산군_붙여넣기'!$A$1:$AZ$1001,ROW(),설정!$C$5)&amp;"","")</f>
        <v/>
      </c>
      <c r="D585" s="5">
        <f>IFERROR(VALUE(SUBSTITUTE(SUBSTITUTE(SUBSTITUTE(IFERROR(INDEX('1.산군_붙여넣기'!$A$1:$AZ$1001,ROW(),설정!$C$6)&amp;"",""),",",""),"㎡",""),"m2","")),"")</f>
        <v/>
      </c>
      <c r="E585">
        <f>IFERROR(INDEX('1.산군_붙여넣기'!$A$1:$AZ$1001,ROW(),설정!$C$7)&amp;"","")</f>
        <v/>
      </c>
      <c r="F585">
        <f>IFERROR(INDEX('1.산군_붙여넣기'!$A$1:$AZ$1001,ROW(),설정!$C$8)&amp;"","")</f>
        <v/>
      </c>
      <c r="G585">
        <f>IFERROR(INDEX('1.산군_붙여넣기'!$A$1:$AZ$1001,ROW(),설정!$C$9)&amp;"","")</f>
        <v/>
      </c>
      <c r="H585">
        <f>IFERROR(INDEX('1.산군_붙여넣기'!$A$1:$AZ$1001,ROW(),설정!$C$10)&amp;"","")</f>
        <v/>
      </c>
      <c r="I585">
        <f>IFERROR(INDEX('1.산군_붙여넣기'!$A$1:$AZ$1001,ROW(),설정!$C$11)&amp;"","")</f>
        <v/>
      </c>
      <c r="J585">
        <f>IFERROR(INDEX('1.산군_붙여넣기'!$A$1:$AZ$1001,ROW(),설정!$C$12)&amp;"","")</f>
        <v/>
      </c>
      <c r="K585">
        <f>IFERROR(INDEX('1.산군_붙여넣기'!$A$1:$AZ$1001,ROW(),설정!$C$13)&amp;"","")</f>
        <v/>
      </c>
      <c r="L585" s="6">
        <f>IF(X585="","",IF(AND(LEN(X585)=8,ISNUMBER(X585*1)),DATE(LEFT(X585,4),MID(X585,5,2),RIGHT(X585,2)),IFERROR(DATEVALUE(SUBSTITUTE(SUBSTITUTE(X585,".","-"),"/","-")),IFERROR(X585*1,""))))</f>
        <v/>
      </c>
      <c r="M585" s="6">
        <f>IF(Y585="","",IF(AND(LEN(Y585)=8,ISNUMBER(Y585*1)),DATE(LEFT(Y585,4),MID(Y585,5,2),RIGHT(Y585,2)),IFERROR(DATEVALUE(SUBSTITUTE(SUBSTITUTE(Y585,".","-"),"/","-")),IFERROR(Y585*1,""))))</f>
        <v/>
      </c>
      <c r="N585">
        <f>IFERROR(LEFT(B585,FIND(" ",B585)-1),B585)</f>
        <v/>
      </c>
      <c r="O585">
        <f>AND(B585&lt;&gt;"",B585&lt;&gt;설정!$B$4,C585&lt;&gt;설정!$B$5)</f>
        <v/>
      </c>
      <c r="P585">
        <f>IF(O585,B585&amp;"|"&amp;C585,"")</f>
        <v/>
      </c>
      <c r="Q585">
        <f>AND(O585,COUNTIF(P586:P$1002,P585)=0)</f>
        <v/>
      </c>
      <c r="R585">
        <f>OR(AND(설정!$A$28&lt;&gt;"",ISNUMBER(SEARCH(설정!$A$28,E585&amp;" "&amp;C585))),AND(설정!$A$29&lt;&gt;"",ISNUMBER(SEARCH(설정!$A$29,E585&amp;" "&amp;C585))),AND(설정!$A$30&lt;&gt;"",ISNUMBER(SEARCH(설정!$A$30,E585&amp;" "&amp;C585))),AND(설정!$A$31&lt;&gt;"",ISNUMBER(SEARCH(설정!$A$31,E585&amp;" "&amp;C585))),AND(설정!$A$32&lt;&gt;"",ISNUMBER(SEARCH(설정!$A$32,E585&amp;" "&amp;C585))),AND(설정!$A$33&lt;&gt;"",ISNUMBER(SEARCH(설정!$A$33,E585&amp;" "&amp;C585))),AND(설정!$A$34&lt;&gt;"",ISNUMBER(SEARCH(설정!$A$34,E585&amp;" "&amp;C585))),AND(설정!$A$35&lt;&gt;"",ISNUMBER(SEARCH(설정!$A$35,E585&amp;" "&amp;C585))),AND(설정!$A$36&lt;&gt;"",ISNUMBER(SEARCH(설정!$A$36,E585&amp;" "&amp;C585))),AND(설정!$A$37&lt;&gt;"",ISNUMBER(SEARCH(설정!$A$37,E585&amp;" "&amp;C585))))</f>
        <v/>
      </c>
      <c r="S585">
        <f>OR(D585="",D585&gt;=설정!$B$19)</f>
        <v/>
      </c>
      <c r="T585">
        <f>AND(Q585,R585,S585)</f>
        <v/>
      </c>
      <c r="U585">
        <f>IF(T585,IF(AND(설정!$A$41&lt;&gt;"",ISNUMBER(SEARCH(설정!$A$41,K585))),설정!$B$41,IF(AND(설정!$A$42&lt;&gt;"",ISNUMBER(SEARCH(설정!$A$42,K585))),설정!$B$42,IF(AND(설정!$A$43&lt;&gt;"",ISNUMBER(SEARCH(설정!$A$43,K585))),설정!$B$43,IF(AND(설정!$A$44&lt;&gt;"",ISNUMBER(SEARCH(설정!$A$44,K585))),설정!$B$44,IF(AND(설정!$A$45&lt;&gt;"",ISNUMBER(SEARCH(설정!$A$45,K585))),설정!$B$45,IF(AND(설정!$A$46&lt;&gt;"",ISNUMBER(SEARCH(설정!$A$46,K585))),설정!$B$46,IF(AND(설정!$A$47&lt;&gt;"",ISNUMBER(SEARCH(설정!$A$47,K585))),설정!$B$47,IF(AND(설정!$A$48&lt;&gt;"",ISNUMBER(SEARCH(설정!$A$48,K585))),설정!$B$48,IF(M585="","설계사","시공사"))))))))),"")</f>
        <v/>
      </c>
      <c r="V585">
        <f>SUBSTITUTE(SUBSTITUTE(SUBSTITUTE(SUBSTITUTE(G585,"(주)",""),"㈜",""),"주식회사","")," ","")</f>
        <v/>
      </c>
      <c r="W585">
        <f>IF(AND(T585,V585&lt;&gt;""),IF(COUNTIFS(V$2:V585,V585,T$2:T585,TRUE)=1,MAX(W$1:W584)+1,""),"")</f>
        <v/>
      </c>
      <c r="X585">
        <f>IFERROR(INDEX('1.산군_붙여넣기'!$A$1:$AZ$1001,ROW(),설정!$C$14)&amp;"","")</f>
        <v/>
      </c>
      <c r="Y585">
        <f>IFERROR(INDEX('1.산군_붙여넣기'!$A$1:$AZ$1001,ROW(),설정!$C$15)&amp;"","")</f>
        <v/>
      </c>
      <c r="Z585">
        <f>IF(T585,V585&amp;"|"&amp;U585,"")</f>
        <v/>
      </c>
    </row>
    <row r="586">
      <c r="A586">
        <f>ROW()</f>
        <v/>
      </c>
      <c r="B586">
        <f>IFERROR(INDEX('1.산군_붙여넣기'!$A$1:$AZ$1001,ROW(),설정!$C$4)&amp;"","")</f>
        <v/>
      </c>
      <c r="C586">
        <f>IFERROR(INDEX('1.산군_붙여넣기'!$A$1:$AZ$1001,ROW(),설정!$C$5)&amp;"","")</f>
        <v/>
      </c>
      <c r="D586" s="5">
        <f>IFERROR(VALUE(SUBSTITUTE(SUBSTITUTE(SUBSTITUTE(IFERROR(INDEX('1.산군_붙여넣기'!$A$1:$AZ$1001,ROW(),설정!$C$6)&amp;"",""),",",""),"㎡",""),"m2","")),"")</f>
        <v/>
      </c>
      <c r="E586">
        <f>IFERROR(INDEX('1.산군_붙여넣기'!$A$1:$AZ$1001,ROW(),설정!$C$7)&amp;"","")</f>
        <v/>
      </c>
      <c r="F586">
        <f>IFERROR(INDEX('1.산군_붙여넣기'!$A$1:$AZ$1001,ROW(),설정!$C$8)&amp;"","")</f>
        <v/>
      </c>
      <c r="G586">
        <f>IFERROR(INDEX('1.산군_붙여넣기'!$A$1:$AZ$1001,ROW(),설정!$C$9)&amp;"","")</f>
        <v/>
      </c>
      <c r="H586">
        <f>IFERROR(INDEX('1.산군_붙여넣기'!$A$1:$AZ$1001,ROW(),설정!$C$10)&amp;"","")</f>
        <v/>
      </c>
      <c r="I586">
        <f>IFERROR(INDEX('1.산군_붙여넣기'!$A$1:$AZ$1001,ROW(),설정!$C$11)&amp;"","")</f>
        <v/>
      </c>
      <c r="J586">
        <f>IFERROR(INDEX('1.산군_붙여넣기'!$A$1:$AZ$1001,ROW(),설정!$C$12)&amp;"","")</f>
        <v/>
      </c>
      <c r="K586">
        <f>IFERROR(INDEX('1.산군_붙여넣기'!$A$1:$AZ$1001,ROW(),설정!$C$13)&amp;"","")</f>
        <v/>
      </c>
      <c r="L586" s="6">
        <f>IF(X586="","",IF(AND(LEN(X586)=8,ISNUMBER(X586*1)),DATE(LEFT(X586,4),MID(X586,5,2),RIGHT(X586,2)),IFERROR(DATEVALUE(SUBSTITUTE(SUBSTITUTE(X586,".","-"),"/","-")),IFERROR(X586*1,""))))</f>
        <v/>
      </c>
      <c r="M586" s="6">
        <f>IF(Y586="","",IF(AND(LEN(Y586)=8,ISNUMBER(Y586*1)),DATE(LEFT(Y586,4),MID(Y586,5,2),RIGHT(Y586,2)),IFERROR(DATEVALUE(SUBSTITUTE(SUBSTITUTE(Y586,".","-"),"/","-")),IFERROR(Y586*1,""))))</f>
        <v/>
      </c>
      <c r="N586">
        <f>IFERROR(LEFT(B586,FIND(" ",B586)-1),B586)</f>
        <v/>
      </c>
      <c r="O586">
        <f>AND(B586&lt;&gt;"",B586&lt;&gt;설정!$B$4,C586&lt;&gt;설정!$B$5)</f>
        <v/>
      </c>
      <c r="P586">
        <f>IF(O586,B586&amp;"|"&amp;C586,"")</f>
        <v/>
      </c>
      <c r="Q586">
        <f>AND(O586,COUNTIF(P587:P$1002,P586)=0)</f>
        <v/>
      </c>
      <c r="R586">
        <f>OR(AND(설정!$A$28&lt;&gt;"",ISNUMBER(SEARCH(설정!$A$28,E586&amp;" "&amp;C586))),AND(설정!$A$29&lt;&gt;"",ISNUMBER(SEARCH(설정!$A$29,E586&amp;" "&amp;C586))),AND(설정!$A$30&lt;&gt;"",ISNUMBER(SEARCH(설정!$A$30,E586&amp;" "&amp;C586))),AND(설정!$A$31&lt;&gt;"",ISNUMBER(SEARCH(설정!$A$31,E586&amp;" "&amp;C586))),AND(설정!$A$32&lt;&gt;"",ISNUMBER(SEARCH(설정!$A$32,E586&amp;" "&amp;C586))),AND(설정!$A$33&lt;&gt;"",ISNUMBER(SEARCH(설정!$A$33,E586&amp;" "&amp;C586))),AND(설정!$A$34&lt;&gt;"",ISNUMBER(SEARCH(설정!$A$34,E586&amp;" "&amp;C586))),AND(설정!$A$35&lt;&gt;"",ISNUMBER(SEARCH(설정!$A$35,E586&amp;" "&amp;C586))),AND(설정!$A$36&lt;&gt;"",ISNUMBER(SEARCH(설정!$A$36,E586&amp;" "&amp;C586))),AND(설정!$A$37&lt;&gt;"",ISNUMBER(SEARCH(설정!$A$37,E586&amp;" "&amp;C586))))</f>
        <v/>
      </c>
      <c r="S586">
        <f>OR(D586="",D586&gt;=설정!$B$19)</f>
        <v/>
      </c>
      <c r="T586">
        <f>AND(Q586,R586,S586)</f>
        <v/>
      </c>
      <c r="U586">
        <f>IF(T586,IF(AND(설정!$A$41&lt;&gt;"",ISNUMBER(SEARCH(설정!$A$41,K586))),설정!$B$41,IF(AND(설정!$A$42&lt;&gt;"",ISNUMBER(SEARCH(설정!$A$42,K586))),설정!$B$42,IF(AND(설정!$A$43&lt;&gt;"",ISNUMBER(SEARCH(설정!$A$43,K586))),설정!$B$43,IF(AND(설정!$A$44&lt;&gt;"",ISNUMBER(SEARCH(설정!$A$44,K586))),설정!$B$44,IF(AND(설정!$A$45&lt;&gt;"",ISNUMBER(SEARCH(설정!$A$45,K586))),설정!$B$45,IF(AND(설정!$A$46&lt;&gt;"",ISNUMBER(SEARCH(설정!$A$46,K586))),설정!$B$46,IF(AND(설정!$A$47&lt;&gt;"",ISNUMBER(SEARCH(설정!$A$47,K586))),설정!$B$47,IF(AND(설정!$A$48&lt;&gt;"",ISNUMBER(SEARCH(설정!$A$48,K586))),설정!$B$48,IF(M586="","설계사","시공사"))))))))),"")</f>
        <v/>
      </c>
      <c r="V586">
        <f>SUBSTITUTE(SUBSTITUTE(SUBSTITUTE(SUBSTITUTE(G586,"(주)",""),"㈜",""),"주식회사","")," ","")</f>
        <v/>
      </c>
      <c r="W586">
        <f>IF(AND(T586,V586&lt;&gt;""),IF(COUNTIFS(V$2:V586,V586,T$2:T586,TRUE)=1,MAX(W$1:W585)+1,""),"")</f>
        <v/>
      </c>
      <c r="X586">
        <f>IFERROR(INDEX('1.산군_붙여넣기'!$A$1:$AZ$1001,ROW(),설정!$C$14)&amp;"","")</f>
        <v/>
      </c>
      <c r="Y586">
        <f>IFERROR(INDEX('1.산군_붙여넣기'!$A$1:$AZ$1001,ROW(),설정!$C$15)&amp;"","")</f>
        <v/>
      </c>
      <c r="Z586">
        <f>IF(T586,V586&amp;"|"&amp;U586,"")</f>
        <v/>
      </c>
    </row>
    <row r="587">
      <c r="A587">
        <f>ROW()</f>
        <v/>
      </c>
      <c r="B587">
        <f>IFERROR(INDEX('1.산군_붙여넣기'!$A$1:$AZ$1001,ROW(),설정!$C$4)&amp;"","")</f>
        <v/>
      </c>
      <c r="C587">
        <f>IFERROR(INDEX('1.산군_붙여넣기'!$A$1:$AZ$1001,ROW(),설정!$C$5)&amp;"","")</f>
        <v/>
      </c>
      <c r="D587" s="5">
        <f>IFERROR(VALUE(SUBSTITUTE(SUBSTITUTE(SUBSTITUTE(IFERROR(INDEX('1.산군_붙여넣기'!$A$1:$AZ$1001,ROW(),설정!$C$6)&amp;"",""),",",""),"㎡",""),"m2","")),"")</f>
        <v/>
      </c>
      <c r="E587">
        <f>IFERROR(INDEX('1.산군_붙여넣기'!$A$1:$AZ$1001,ROW(),설정!$C$7)&amp;"","")</f>
        <v/>
      </c>
      <c r="F587">
        <f>IFERROR(INDEX('1.산군_붙여넣기'!$A$1:$AZ$1001,ROW(),설정!$C$8)&amp;"","")</f>
        <v/>
      </c>
      <c r="G587">
        <f>IFERROR(INDEX('1.산군_붙여넣기'!$A$1:$AZ$1001,ROW(),설정!$C$9)&amp;"","")</f>
        <v/>
      </c>
      <c r="H587">
        <f>IFERROR(INDEX('1.산군_붙여넣기'!$A$1:$AZ$1001,ROW(),설정!$C$10)&amp;"","")</f>
        <v/>
      </c>
      <c r="I587">
        <f>IFERROR(INDEX('1.산군_붙여넣기'!$A$1:$AZ$1001,ROW(),설정!$C$11)&amp;"","")</f>
        <v/>
      </c>
      <c r="J587">
        <f>IFERROR(INDEX('1.산군_붙여넣기'!$A$1:$AZ$1001,ROW(),설정!$C$12)&amp;"","")</f>
        <v/>
      </c>
      <c r="K587">
        <f>IFERROR(INDEX('1.산군_붙여넣기'!$A$1:$AZ$1001,ROW(),설정!$C$13)&amp;"","")</f>
        <v/>
      </c>
      <c r="L587" s="6">
        <f>IF(X587="","",IF(AND(LEN(X587)=8,ISNUMBER(X587*1)),DATE(LEFT(X587,4),MID(X587,5,2),RIGHT(X587,2)),IFERROR(DATEVALUE(SUBSTITUTE(SUBSTITUTE(X587,".","-"),"/","-")),IFERROR(X587*1,""))))</f>
        <v/>
      </c>
      <c r="M587" s="6">
        <f>IF(Y587="","",IF(AND(LEN(Y587)=8,ISNUMBER(Y587*1)),DATE(LEFT(Y587,4),MID(Y587,5,2),RIGHT(Y587,2)),IFERROR(DATEVALUE(SUBSTITUTE(SUBSTITUTE(Y587,".","-"),"/","-")),IFERROR(Y587*1,""))))</f>
        <v/>
      </c>
      <c r="N587">
        <f>IFERROR(LEFT(B587,FIND(" ",B587)-1),B587)</f>
        <v/>
      </c>
      <c r="O587">
        <f>AND(B587&lt;&gt;"",B587&lt;&gt;설정!$B$4,C587&lt;&gt;설정!$B$5)</f>
        <v/>
      </c>
      <c r="P587">
        <f>IF(O587,B587&amp;"|"&amp;C587,"")</f>
        <v/>
      </c>
      <c r="Q587">
        <f>AND(O587,COUNTIF(P588:P$1002,P587)=0)</f>
        <v/>
      </c>
      <c r="R587">
        <f>OR(AND(설정!$A$28&lt;&gt;"",ISNUMBER(SEARCH(설정!$A$28,E587&amp;" "&amp;C587))),AND(설정!$A$29&lt;&gt;"",ISNUMBER(SEARCH(설정!$A$29,E587&amp;" "&amp;C587))),AND(설정!$A$30&lt;&gt;"",ISNUMBER(SEARCH(설정!$A$30,E587&amp;" "&amp;C587))),AND(설정!$A$31&lt;&gt;"",ISNUMBER(SEARCH(설정!$A$31,E587&amp;" "&amp;C587))),AND(설정!$A$32&lt;&gt;"",ISNUMBER(SEARCH(설정!$A$32,E587&amp;" "&amp;C587))),AND(설정!$A$33&lt;&gt;"",ISNUMBER(SEARCH(설정!$A$33,E587&amp;" "&amp;C587))),AND(설정!$A$34&lt;&gt;"",ISNUMBER(SEARCH(설정!$A$34,E587&amp;" "&amp;C587))),AND(설정!$A$35&lt;&gt;"",ISNUMBER(SEARCH(설정!$A$35,E587&amp;" "&amp;C587))),AND(설정!$A$36&lt;&gt;"",ISNUMBER(SEARCH(설정!$A$36,E587&amp;" "&amp;C587))),AND(설정!$A$37&lt;&gt;"",ISNUMBER(SEARCH(설정!$A$37,E587&amp;" "&amp;C587))))</f>
        <v/>
      </c>
      <c r="S587">
        <f>OR(D587="",D587&gt;=설정!$B$19)</f>
        <v/>
      </c>
      <c r="T587">
        <f>AND(Q587,R587,S587)</f>
        <v/>
      </c>
      <c r="U587">
        <f>IF(T587,IF(AND(설정!$A$41&lt;&gt;"",ISNUMBER(SEARCH(설정!$A$41,K587))),설정!$B$41,IF(AND(설정!$A$42&lt;&gt;"",ISNUMBER(SEARCH(설정!$A$42,K587))),설정!$B$42,IF(AND(설정!$A$43&lt;&gt;"",ISNUMBER(SEARCH(설정!$A$43,K587))),설정!$B$43,IF(AND(설정!$A$44&lt;&gt;"",ISNUMBER(SEARCH(설정!$A$44,K587))),설정!$B$44,IF(AND(설정!$A$45&lt;&gt;"",ISNUMBER(SEARCH(설정!$A$45,K587))),설정!$B$45,IF(AND(설정!$A$46&lt;&gt;"",ISNUMBER(SEARCH(설정!$A$46,K587))),설정!$B$46,IF(AND(설정!$A$47&lt;&gt;"",ISNUMBER(SEARCH(설정!$A$47,K587))),설정!$B$47,IF(AND(설정!$A$48&lt;&gt;"",ISNUMBER(SEARCH(설정!$A$48,K587))),설정!$B$48,IF(M587="","설계사","시공사"))))))))),"")</f>
        <v/>
      </c>
      <c r="V587">
        <f>SUBSTITUTE(SUBSTITUTE(SUBSTITUTE(SUBSTITUTE(G587,"(주)",""),"㈜",""),"주식회사","")," ","")</f>
        <v/>
      </c>
      <c r="W587">
        <f>IF(AND(T587,V587&lt;&gt;""),IF(COUNTIFS(V$2:V587,V587,T$2:T587,TRUE)=1,MAX(W$1:W586)+1,""),"")</f>
        <v/>
      </c>
      <c r="X587">
        <f>IFERROR(INDEX('1.산군_붙여넣기'!$A$1:$AZ$1001,ROW(),설정!$C$14)&amp;"","")</f>
        <v/>
      </c>
      <c r="Y587">
        <f>IFERROR(INDEX('1.산군_붙여넣기'!$A$1:$AZ$1001,ROW(),설정!$C$15)&amp;"","")</f>
        <v/>
      </c>
      <c r="Z587">
        <f>IF(T587,V587&amp;"|"&amp;U587,"")</f>
        <v/>
      </c>
    </row>
    <row r="588">
      <c r="A588">
        <f>ROW()</f>
        <v/>
      </c>
      <c r="B588">
        <f>IFERROR(INDEX('1.산군_붙여넣기'!$A$1:$AZ$1001,ROW(),설정!$C$4)&amp;"","")</f>
        <v/>
      </c>
      <c r="C588">
        <f>IFERROR(INDEX('1.산군_붙여넣기'!$A$1:$AZ$1001,ROW(),설정!$C$5)&amp;"","")</f>
        <v/>
      </c>
      <c r="D588" s="5">
        <f>IFERROR(VALUE(SUBSTITUTE(SUBSTITUTE(SUBSTITUTE(IFERROR(INDEX('1.산군_붙여넣기'!$A$1:$AZ$1001,ROW(),설정!$C$6)&amp;"",""),",",""),"㎡",""),"m2","")),"")</f>
        <v/>
      </c>
      <c r="E588">
        <f>IFERROR(INDEX('1.산군_붙여넣기'!$A$1:$AZ$1001,ROW(),설정!$C$7)&amp;"","")</f>
        <v/>
      </c>
      <c r="F588">
        <f>IFERROR(INDEX('1.산군_붙여넣기'!$A$1:$AZ$1001,ROW(),설정!$C$8)&amp;"","")</f>
        <v/>
      </c>
      <c r="G588">
        <f>IFERROR(INDEX('1.산군_붙여넣기'!$A$1:$AZ$1001,ROW(),설정!$C$9)&amp;"","")</f>
        <v/>
      </c>
      <c r="H588">
        <f>IFERROR(INDEX('1.산군_붙여넣기'!$A$1:$AZ$1001,ROW(),설정!$C$10)&amp;"","")</f>
        <v/>
      </c>
      <c r="I588">
        <f>IFERROR(INDEX('1.산군_붙여넣기'!$A$1:$AZ$1001,ROW(),설정!$C$11)&amp;"","")</f>
        <v/>
      </c>
      <c r="J588">
        <f>IFERROR(INDEX('1.산군_붙여넣기'!$A$1:$AZ$1001,ROW(),설정!$C$12)&amp;"","")</f>
        <v/>
      </c>
      <c r="K588">
        <f>IFERROR(INDEX('1.산군_붙여넣기'!$A$1:$AZ$1001,ROW(),설정!$C$13)&amp;"","")</f>
        <v/>
      </c>
      <c r="L588" s="6">
        <f>IF(X588="","",IF(AND(LEN(X588)=8,ISNUMBER(X588*1)),DATE(LEFT(X588,4),MID(X588,5,2),RIGHT(X588,2)),IFERROR(DATEVALUE(SUBSTITUTE(SUBSTITUTE(X588,".","-"),"/","-")),IFERROR(X588*1,""))))</f>
        <v/>
      </c>
      <c r="M588" s="6">
        <f>IF(Y588="","",IF(AND(LEN(Y588)=8,ISNUMBER(Y588*1)),DATE(LEFT(Y588,4),MID(Y588,5,2),RIGHT(Y588,2)),IFERROR(DATEVALUE(SUBSTITUTE(SUBSTITUTE(Y588,".","-"),"/","-")),IFERROR(Y588*1,""))))</f>
        <v/>
      </c>
      <c r="N588">
        <f>IFERROR(LEFT(B588,FIND(" ",B588)-1),B588)</f>
        <v/>
      </c>
      <c r="O588">
        <f>AND(B588&lt;&gt;"",B588&lt;&gt;설정!$B$4,C588&lt;&gt;설정!$B$5)</f>
        <v/>
      </c>
      <c r="P588">
        <f>IF(O588,B588&amp;"|"&amp;C588,"")</f>
        <v/>
      </c>
      <c r="Q588">
        <f>AND(O588,COUNTIF(P589:P$1002,P588)=0)</f>
        <v/>
      </c>
      <c r="R588">
        <f>OR(AND(설정!$A$28&lt;&gt;"",ISNUMBER(SEARCH(설정!$A$28,E588&amp;" "&amp;C588))),AND(설정!$A$29&lt;&gt;"",ISNUMBER(SEARCH(설정!$A$29,E588&amp;" "&amp;C588))),AND(설정!$A$30&lt;&gt;"",ISNUMBER(SEARCH(설정!$A$30,E588&amp;" "&amp;C588))),AND(설정!$A$31&lt;&gt;"",ISNUMBER(SEARCH(설정!$A$31,E588&amp;" "&amp;C588))),AND(설정!$A$32&lt;&gt;"",ISNUMBER(SEARCH(설정!$A$32,E588&amp;" "&amp;C588))),AND(설정!$A$33&lt;&gt;"",ISNUMBER(SEARCH(설정!$A$33,E588&amp;" "&amp;C588))),AND(설정!$A$34&lt;&gt;"",ISNUMBER(SEARCH(설정!$A$34,E588&amp;" "&amp;C588))),AND(설정!$A$35&lt;&gt;"",ISNUMBER(SEARCH(설정!$A$35,E588&amp;" "&amp;C588))),AND(설정!$A$36&lt;&gt;"",ISNUMBER(SEARCH(설정!$A$36,E588&amp;" "&amp;C588))),AND(설정!$A$37&lt;&gt;"",ISNUMBER(SEARCH(설정!$A$37,E588&amp;" "&amp;C588))))</f>
        <v/>
      </c>
      <c r="S588">
        <f>OR(D588="",D588&gt;=설정!$B$19)</f>
        <v/>
      </c>
      <c r="T588">
        <f>AND(Q588,R588,S588)</f>
        <v/>
      </c>
      <c r="U588">
        <f>IF(T588,IF(AND(설정!$A$41&lt;&gt;"",ISNUMBER(SEARCH(설정!$A$41,K588))),설정!$B$41,IF(AND(설정!$A$42&lt;&gt;"",ISNUMBER(SEARCH(설정!$A$42,K588))),설정!$B$42,IF(AND(설정!$A$43&lt;&gt;"",ISNUMBER(SEARCH(설정!$A$43,K588))),설정!$B$43,IF(AND(설정!$A$44&lt;&gt;"",ISNUMBER(SEARCH(설정!$A$44,K588))),설정!$B$44,IF(AND(설정!$A$45&lt;&gt;"",ISNUMBER(SEARCH(설정!$A$45,K588))),설정!$B$45,IF(AND(설정!$A$46&lt;&gt;"",ISNUMBER(SEARCH(설정!$A$46,K588))),설정!$B$46,IF(AND(설정!$A$47&lt;&gt;"",ISNUMBER(SEARCH(설정!$A$47,K588))),설정!$B$47,IF(AND(설정!$A$48&lt;&gt;"",ISNUMBER(SEARCH(설정!$A$48,K588))),설정!$B$48,IF(M588="","설계사","시공사"))))))))),"")</f>
        <v/>
      </c>
      <c r="V588">
        <f>SUBSTITUTE(SUBSTITUTE(SUBSTITUTE(SUBSTITUTE(G588,"(주)",""),"㈜",""),"주식회사","")," ","")</f>
        <v/>
      </c>
      <c r="W588">
        <f>IF(AND(T588,V588&lt;&gt;""),IF(COUNTIFS(V$2:V588,V588,T$2:T588,TRUE)=1,MAX(W$1:W587)+1,""),"")</f>
        <v/>
      </c>
      <c r="X588">
        <f>IFERROR(INDEX('1.산군_붙여넣기'!$A$1:$AZ$1001,ROW(),설정!$C$14)&amp;"","")</f>
        <v/>
      </c>
      <c r="Y588">
        <f>IFERROR(INDEX('1.산군_붙여넣기'!$A$1:$AZ$1001,ROW(),설정!$C$15)&amp;"","")</f>
        <v/>
      </c>
      <c r="Z588">
        <f>IF(T588,V588&amp;"|"&amp;U588,"")</f>
        <v/>
      </c>
    </row>
    <row r="589">
      <c r="A589">
        <f>ROW()</f>
        <v/>
      </c>
      <c r="B589">
        <f>IFERROR(INDEX('1.산군_붙여넣기'!$A$1:$AZ$1001,ROW(),설정!$C$4)&amp;"","")</f>
        <v/>
      </c>
      <c r="C589">
        <f>IFERROR(INDEX('1.산군_붙여넣기'!$A$1:$AZ$1001,ROW(),설정!$C$5)&amp;"","")</f>
        <v/>
      </c>
      <c r="D589" s="5">
        <f>IFERROR(VALUE(SUBSTITUTE(SUBSTITUTE(SUBSTITUTE(IFERROR(INDEX('1.산군_붙여넣기'!$A$1:$AZ$1001,ROW(),설정!$C$6)&amp;"",""),",",""),"㎡",""),"m2","")),"")</f>
        <v/>
      </c>
      <c r="E589">
        <f>IFERROR(INDEX('1.산군_붙여넣기'!$A$1:$AZ$1001,ROW(),설정!$C$7)&amp;"","")</f>
        <v/>
      </c>
      <c r="F589">
        <f>IFERROR(INDEX('1.산군_붙여넣기'!$A$1:$AZ$1001,ROW(),설정!$C$8)&amp;"","")</f>
        <v/>
      </c>
      <c r="G589">
        <f>IFERROR(INDEX('1.산군_붙여넣기'!$A$1:$AZ$1001,ROW(),설정!$C$9)&amp;"","")</f>
        <v/>
      </c>
      <c r="H589">
        <f>IFERROR(INDEX('1.산군_붙여넣기'!$A$1:$AZ$1001,ROW(),설정!$C$10)&amp;"","")</f>
        <v/>
      </c>
      <c r="I589">
        <f>IFERROR(INDEX('1.산군_붙여넣기'!$A$1:$AZ$1001,ROW(),설정!$C$11)&amp;"","")</f>
        <v/>
      </c>
      <c r="J589">
        <f>IFERROR(INDEX('1.산군_붙여넣기'!$A$1:$AZ$1001,ROW(),설정!$C$12)&amp;"","")</f>
        <v/>
      </c>
      <c r="K589">
        <f>IFERROR(INDEX('1.산군_붙여넣기'!$A$1:$AZ$1001,ROW(),설정!$C$13)&amp;"","")</f>
        <v/>
      </c>
      <c r="L589" s="6">
        <f>IF(X589="","",IF(AND(LEN(X589)=8,ISNUMBER(X589*1)),DATE(LEFT(X589,4),MID(X589,5,2),RIGHT(X589,2)),IFERROR(DATEVALUE(SUBSTITUTE(SUBSTITUTE(X589,".","-"),"/","-")),IFERROR(X589*1,""))))</f>
        <v/>
      </c>
      <c r="M589" s="6">
        <f>IF(Y589="","",IF(AND(LEN(Y589)=8,ISNUMBER(Y589*1)),DATE(LEFT(Y589,4),MID(Y589,5,2),RIGHT(Y589,2)),IFERROR(DATEVALUE(SUBSTITUTE(SUBSTITUTE(Y589,".","-"),"/","-")),IFERROR(Y589*1,""))))</f>
        <v/>
      </c>
      <c r="N589">
        <f>IFERROR(LEFT(B589,FIND(" ",B589)-1),B589)</f>
        <v/>
      </c>
      <c r="O589">
        <f>AND(B589&lt;&gt;"",B589&lt;&gt;설정!$B$4,C589&lt;&gt;설정!$B$5)</f>
        <v/>
      </c>
      <c r="P589">
        <f>IF(O589,B589&amp;"|"&amp;C589,"")</f>
        <v/>
      </c>
      <c r="Q589">
        <f>AND(O589,COUNTIF(P590:P$1002,P589)=0)</f>
        <v/>
      </c>
      <c r="R589">
        <f>OR(AND(설정!$A$28&lt;&gt;"",ISNUMBER(SEARCH(설정!$A$28,E589&amp;" "&amp;C589))),AND(설정!$A$29&lt;&gt;"",ISNUMBER(SEARCH(설정!$A$29,E589&amp;" "&amp;C589))),AND(설정!$A$30&lt;&gt;"",ISNUMBER(SEARCH(설정!$A$30,E589&amp;" "&amp;C589))),AND(설정!$A$31&lt;&gt;"",ISNUMBER(SEARCH(설정!$A$31,E589&amp;" "&amp;C589))),AND(설정!$A$32&lt;&gt;"",ISNUMBER(SEARCH(설정!$A$32,E589&amp;" "&amp;C589))),AND(설정!$A$33&lt;&gt;"",ISNUMBER(SEARCH(설정!$A$33,E589&amp;" "&amp;C589))),AND(설정!$A$34&lt;&gt;"",ISNUMBER(SEARCH(설정!$A$34,E589&amp;" "&amp;C589))),AND(설정!$A$35&lt;&gt;"",ISNUMBER(SEARCH(설정!$A$35,E589&amp;" "&amp;C589))),AND(설정!$A$36&lt;&gt;"",ISNUMBER(SEARCH(설정!$A$36,E589&amp;" "&amp;C589))),AND(설정!$A$37&lt;&gt;"",ISNUMBER(SEARCH(설정!$A$37,E589&amp;" "&amp;C589))))</f>
        <v/>
      </c>
      <c r="S589">
        <f>OR(D589="",D589&gt;=설정!$B$19)</f>
        <v/>
      </c>
      <c r="T589">
        <f>AND(Q589,R589,S589)</f>
        <v/>
      </c>
      <c r="U589">
        <f>IF(T589,IF(AND(설정!$A$41&lt;&gt;"",ISNUMBER(SEARCH(설정!$A$41,K589))),설정!$B$41,IF(AND(설정!$A$42&lt;&gt;"",ISNUMBER(SEARCH(설정!$A$42,K589))),설정!$B$42,IF(AND(설정!$A$43&lt;&gt;"",ISNUMBER(SEARCH(설정!$A$43,K589))),설정!$B$43,IF(AND(설정!$A$44&lt;&gt;"",ISNUMBER(SEARCH(설정!$A$44,K589))),설정!$B$44,IF(AND(설정!$A$45&lt;&gt;"",ISNUMBER(SEARCH(설정!$A$45,K589))),설정!$B$45,IF(AND(설정!$A$46&lt;&gt;"",ISNUMBER(SEARCH(설정!$A$46,K589))),설정!$B$46,IF(AND(설정!$A$47&lt;&gt;"",ISNUMBER(SEARCH(설정!$A$47,K589))),설정!$B$47,IF(AND(설정!$A$48&lt;&gt;"",ISNUMBER(SEARCH(설정!$A$48,K589))),설정!$B$48,IF(M589="","설계사","시공사"))))))))),"")</f>
        <v/>
      </c>
      <c r="V589">
        <f>SUBSTITUTE(SUBSTITUTE(SUBSTITUTE(SUBSTITUTE(G589,"(주)",""),"㈜",""),"주식회사","")," ","")</f>
        <v/>
      </c>
      <c r="W589">
        <f>IF(AND(T589,V589&lt;&gt;""),IF(COUNTIFS(V$2:V589,V589,T$2:T589,TRUE)=1,MAX(W$1:W588)+1,""),"")</f>
        <v/>
      </c>
      <c r="X589">
        <f>IFERROR(INDEX('1.산군_붙여넣기'!$A$1:$AZ$1001,ROW(),설정!$C$14)&amp;"","")</f>
        <v/>
      </c>
      <c r="Y589">
        <f>IFERROR(INDEX('1.산군_붙여넣기'!$A$1:$AZ$1001,ROW(),설정!$C$15)&amp;"","")</f>
        <v/>
      </c>
      <c r="Z589">
        <f>IF(T589,V589&amp;"|"&amp;U589,"")</f>
        <v/>
      </c>
    </row>
    <row r="590">
      <c r="A590">
        <f>ROW()</f>
        <v/>
      </c>
      <c r="B590">
        <f>IFERROR(INDEX('1.산군_붙여넣기'!$A$1:$AZ$1001,ROW(),설정!$C$4)&amp;"","")</f>
        <v/>
      </c>
      <c r="C590">
        <f>IFERROR(INDEX('1.산군_붙여넣기'!$A$1:$AZ$1001,ROW(),설정!$C$5)&amp;"","")</f>
        <v/>
      </c>
      <c r="D590" s="5">
        <f>IFERROR(VALUE(SUBSTITUTE(SUBSTITUTE(SUBSTITUTE(IFERROR(INDEX('1.산군_붙여넣기'!$A$1:$AZ$1001,ROW(),설정!$C$6)&amp;"",""),",",""),"㎡",""),"m2","")),"")</f>
        <v/>
      </c>
      <c r="E590">
        <f>IFERROR(INDEX('1.산군_붙여넣기'!$A$1:$AZ$1001,ROW(),설정!$C$7)&amp;"","")</f>
        <v/>
      </c>
      <c r="F590">
        <f>IFERROR(INDEX('1.산군_붙여넣기'!$A$1:$AZ$1001,ROW(),설정!$C$8)&amp;"","")</f>
        <v/>
      </c>
      <c r="G590">
        <f>IFERROR(INDEX('1.산군_붙여넣기'!$A$1:$AZ$1001,ROW(),설정!$C$9)&amp;"","")</f>
        <v/>
      </c>
      <c r="H590">
        <f>IFERROR(INDEX('1.산군_붙여넣기'!$A$1:$AZ$1001,ROW(),설정!$C$10)&amp;"","")</f>
        <v/>
      </c>
      <c r="I590">
        <f>IFERROR(INDEX('1.산군_붙여넣기'!$A$1:$AZ$1001,ROW(),설정!$C$11)&amp;"","")</f>
        <v/>
      </c>
      <c r="J590">
        <f>IFERROR(INDEX('1.산군_붙여넣기'!$A$1:$AZ$1001,ROW(),설정!$C$12)&amp;"","")</f>
        <v/>
      </c>
      <c r="K590">
        <f>IFERROR(INDEX('1.산군_붙여넣기'!$A$1:$AZ$1001,ROW(),설정!$C$13)&amp;"","")</f>
        <v/>
      </c>
      <c r="L590" s="6">
        <f>IF(X590="","",IF(AND(LEN(X590)=8,ISNUMBER(X590*1)),DATE(LEFT(X590,4),MID(X590,5,2),RIGHT(X590,2)),IFERROR(DATEVALUE(SUBSTITUTE(SUBSTITUTE(X590,".","-"),"/","-")),IFERROR(X590*1,""))))</f>
        <v/>
      </c>
      <c r="M590" s="6">
        <f>IF(Y590="","",IF(AND(LEN(Y590)=8,ISNUMBER(Y590*1)),DATE(LEFT(Y590,4),MID(Y590,5,2),RIGHT(Y590,2)),IFERROR(DATEVALUE(SUBSTITUTE(SUBSTITUTE(Y590,".","-"),"/","-")),IFERROR(Y590*1,""))))</f>
        <v/>
      </c>
      <c r="N590">
        <f>IFERROR(LEFT(B590,FIND(" ",B590)-1),B590)</f>
        <v/>
      </c>
      <c r="O590">
        <f>AND(B590&lt;&gt;"",B590&lt;&gt;설정!$B$4,C590&lt;&gt;설정!$B$5)</f>
        <v/>
      </c>
      <c r="P590">
        <f>IF(O590,B590&amp;"|"&amp;C590,"")</f>
        <v/>
      </c>
      <c r="Q590">
        <f>AND(O590,COUNTIF(P591:P$1002,P590)=0)</f>
        <v/>
      </c>
      <c r="R590">
        <f>OR(AND(설정!$A$28&lt;&gt;"",ISNUMBER(SEARCH(설정!$A$28,E590&amp;" "&amp;C590))),AND(설정!$A$29&lt;&gt;"",ISNUMBER(SEARCH(설정!$A$29,E590&amp;" "&amp;C590))),AND(설정!$A$30&lt;&gt;"",ISNUMBER(SEARCH(설정!$A$30,E590&amp;" "&amp;C590))),AND(설정!$A$31&lt;&gt;"",ISNUMBER(SEARCH(설정!$A$31,E590&amp;" "&amp;C590))),AND(설정!$A$32&lt;&gt;"",ISNUMBER(SEARCH(설정!$A$32,E590&amp;" "&amp;C590))),AND(설정!$A$33&lt;&gt;"",ISNUMBER(SEARCH(설정!$A$33,E590&amp;" "&amp;C590))),AND(설정!$A$34&lt;&gt;"",ISNUMBER(SEARCH(설정!$A$34,E590&amp;" "&amp;C590))),AND(설정!$A$35&lt;&gt;"",ISNUMBER(SEARCH(설정!$A$35,E590&amp;" "&amp;C590))),AND(설정!$A$36&lt;&gt;"",ISNUMBER(SEARCH(설정!$A$36,E590&amp;" "&amp;C590))),AND(설정!$A$37&lt;&gt;"",ISNUMBER(SEARCH(설정!$A$37,E590&amp;" "&amp;C590))))</f>
        <v/>
      </c>
      <c r="S590">
        <f>OR(D590="",D590&gt;=설정!$B$19)</f>
        <v/>
      </c>
      <c r="T590">
        <f>AND(Q590,R590,S590)</f>
        <v/>
      </c>
      <c r="U590">
        <f>IF(T590,IF(AND(설정!$A$41&lt;&gt;"",ISNUMBER(SEARCH(설정!$A$41,K590))),설정!$B$41,IF(AND(설정!$A$42&lt;&gt;"",ISNUMBER(SEARCH(설정!$A$42,K590))),설정!$B$42,IF(AND(설정!$A$43&lt;&gt;"",ISNUMBER(SEARCH(설정!$A$43,K590))),설정!$B$43,IF(AND(설정!$A$44&lt;&gt;"",ISNUMBER(SEARCH(설정!$A$44,K590))),설정!$B$44,IF(AND(설정!$A$45&lt;&gt;"",ISNUMBER(SEARCH(설정!$A$45,K590))),설정!$B$45,IF(AND(설정!$A$46&lt;&gt;"",ISNUMBER(SEARCH(설정!$A$46,K590))),설정!$B$46,IF(AND(설정!$A$47&lt;&gt;"",ISNUMBER(SEARCH(설정!$A$47,K590))),설정!$B$47,IF(AND(설정!$A$48&lt;&gt;"",ISNUMBER(SEARCH(설정!$A$48,K590))),설정!$B$48,IF(M590="","설계사","시공사"))))))))),"")</f>
        <v/>
      </c>
      <c r="V590">
        <f>SUBSTITUTE(SUBSTITUTE(SUBSTITUTE(SUBSTITUTE(G590,"(주)",""),"㈜",""),"주식회사","")," ","")</f>
        <v/>
      </c>
      <c r="W590">
        <f>IF(AND(T590,V590&lt;&gt;""),IF(COUNTIFS(V$2:V590,V590,T$2:T590,TRUE)=1,MAX(W$1:W589)+1,""),"")</f>
        <v/>
      </c>
      <c r="X590">
        <f>IFERROR(INDEX('1.산군_붙여넣기'!$A$1:$AZ$1001,ROW(),설정!$C$14)&amp;"","")</f>
        <v/>
      </c>
      <c r="Y590">
        <f>IFERROR(INDEX('1.산군_붙여넣기'!$A$1:$AZ$1001,ROW(),설정!$C$15)&amp;"","")</f>
        <v/>
      </c>
      <c r="Z590">
        <f>IF(T590,V590&amp;"|"&amp;U590,"")</f>
        <v/>
      </c>
    </row>
    <row r="591">
      <c r="A591">
        <f>ROW()</f>
        <v/>
      </c>
      <c r="B591">
        <f>IFERROR(INDEX('1.산군_붙여넣기'!$A$1:$AZ$1001,ROW(),설정!$C$4)&amp;"","")</f>
        <v/>
      </c>
      <c r="C591">
        <f>IFERROR(INDEX('1.산군_붙여넣기'!$A$1:$AZ$1001,ROW(),설정!$C$5)&amp;"","")</f>
        <v/>
      </c>
      <c r="D591" s="5">
        <f>IFERROR(VALUE(SUBSTITUTE(SUBSTITUTE(SUBSTITUTE(IFERROR(INDEX('1.산군_붙여넣기'!$A$1:$AZ$1001,ROW(),설정!$C$6)&amp;"",""),",",""),"㎡",""),"m2","")),"")</f>
        <v/>
      </c>
      <c r="E591">
        <f>IFERROR(INDEX('1.산군_붙여넣기'!$A$1:$AZ$1001,ROW(),설정!$C$7)&amp;"","")</f>
        <v/>
      </c>
      <c r="F591">
        <f>IFERROR(INDEX('1.산군_붙여넣기'!$A$1:$AZ$1001,ROW(),설정!$C$8)&amp;"","")</f>
        <v/>
      </c>
      <c r="G591">
        <f>IFERROR(INDEX('1.산군_붙여넣기'!$A$1:$AZ$1001,ROW(),설정!$C$9)&amp;"","")</f>
        <v/>
      </c>
      <c r="H591">
        <f>IFERROR(INDEX('1.산군_붙여넣기'!$A$1:$AZ$1001,ROW(),설정!$C$10)&amp;"","")</f>
        <v/>
      </c>
      <c r="I591">
        <f>IFERROR(INDEX('1.산군_붙여넣기'!$A$1:$AZ$1001,ROW(),설정!$C$11)&amp;"","")</f>
        <v/>
      </c>
      <c r="J591">
        <f>IFERROR(INDEX('1.산군_붙여넣기'!$A$1:$AZ$1001,ROW(),설정!$C$12)&amp;"","")</f>
        <v/>
      </c>
      <c r="K591">
        <f>IFERROR(INDEX('1.산군_붙여넣기'!$A$1:$AZ$1001,ROW(),설정!$C$13)&amp;"","")</f>
        <v/>
      </c>
      <c r="L591" s="6">
        <f>IF(X591="","",IF(AND(LEN(X591)=8,ISNUMBER(X591*1)),DATE(LEFT(X591,4),MID(X591,5,2),RIGHT(X591,2)),IFERROR(DATEVALUE(SUBSTITUTE(SUBSTITUTE(X591,".","-"),"/","-")),IFERROR(X591*1,""))))</f>
        <v/>
      </c>
      <c r="M591" s="6">
        <f>IF(Y591="","",IF(AND(LEN(Y591)=8,ISNUMBER(Y591*1)),DATE(LEFT(Y591,4),MID(Y591,5,2),RIGHT(Y591,2)),IFERROR(DATEVALUE(SUBSTITUTE(SUBSTITUTE(Y591,".","-"),"/","-")),IFERROR(Y591*1,""))))</f>
        <v/>
      </c>
      <c r="N591">
        <f>IFERROR(LEFT(B591,FIND(" ",B591)-1),B591)</f>
        <v/>
      </c>
      <c r="O591">
        <f>AND(B591&lt;&gt;"",B591&lt;&gt;설정!$B$4,C591&lt;&gt;설정!$B$5)</f>
        <v/>
      </c>
      <c r="P591">
        <f>IF(O591,B591&amp;"|"&amp;C591,"")</f>
        <v/>
      </c>
      <c r="Q591">
        <f>AND(O591,COUNTIF(P592:P$1002,P591)=0)</f>
        <v/>
      </c>
      <c r="R591">
        <f>OR(AND(설정!$A$28&lt;&gt;"",ISNUMBER(SEARCH(설정!$A$28,E591&amp;" "&amp;C591))),AND(설정!$A$29&lt;&gt;"",ISNUMBER(SEARCH(설정!$A$29,E591&amp;" "&amp;C591))),AND(설정!$A$30&lt;&gt;"",ISNUMBER(SEARCH(설정!$A$30,E591&amp;" "&amp;C591))),AND(설정!$A$31&lt;&gt;"",ISNUMBER(SEARCH(설정!$A$31,E591&amp;" "&amp;C591))),AND(설정!$A$32&lt;&gt;"",ISNUMBER(SEARCH(설정!$A$32,E591&amp;" "&amp;C591))),AND(설정!$A$33&lt;&gt;"",ISNUMBER(SEARCH(설정!$A$33,E591&amp;" "&amp;C591))),AND(설정!$A$34&lt;&gt;"",ISNUMBER(SEARCH(설정!$A$34,E591&amp;" "&amp;C591))),AND(설정!$A$35&lt;&gt;"",ISNUMBER(SEARCH(설정!$A$35,E591&amp;" "&amp;C591))),AND(설정!$A$36&lt;&gt;"",ISNUMBER(SEARCH(설정!$A$36,E591&amp;" "&amp;C591))),AND(설정!$A$37&lt;&gt;"",ISNUMBER(SEARCH(설정!$A$37,E591&amp;" "&amp;C591))))</f>
        <v/>
      </c>
      <c r="S591">
        <f>OR(D591="",D591&gt;=설정!$B$19)</f>
        <v/>
      </c>
      <c r="T591">
        <f>AND(Q591,R591,S591)</f>
        <v/>
      </c>
      <c r="U591">
        <f>IF(T591,IF(AND(설정!$A$41&lt;&gt;"",ISNUMBER(SEARCH(설정!$A$41,K591))),설정!$B$41,IF(AND(설정!$A$42&lt;&gt;"",ISNUMBER(SEARCH(설정!$A$42,K591))),설정!$B$42,IF(AND(설정!$A$43&lt;&gt;"",ISNUMBER(SEARCH(설정!$A$43,K591))),설정!$B$43,IF(AND(설정!$A$44&lt;&gt;"",ISNUMBER(SEARCH(설정!$A$44,K591))),설정!$B$44,IF(AND(설정!$A$45&lt;&gt;"",ISNUMBER(SEARCH(설정!$A$45,K591))),설정!$B$45,IF(AND(설정!$A$46&lt;&gt;"",ISNUMBER(SEARCH(설정!$A$46,K591))),설정!$B$46,IF(AND(설정!$A$47&lt;&gt;"",ISNUMBER(SEARCH(설정!$A$47,K591))),설정!$B$47,IF(AND(설정!$A$48&lt;&gt;"",ISNUMBER(SEARCH(설정!$A$48,K591))),설정!$B$48,IF(M591="","설계사","시공사"))))))))),"")</f>
        <v/>
      </c>
      <c r="V591">
        <f>SUBSTITUTE(SUBSTITUTE(SUBSTITUTE(SUBSTITUTE(G591,"(주)",""),"㈜",""),"주식회사","")," ","")</f>
        <v/>
      </c>
      <c r="W591">
        <f>IF(AND(T591,V591&lt;&gt;""),IF(COUNTIFS(V$2:V591,V591,T$2:T591,TRUE)=1,MAX(W$1:W590)+1,""),"")</f>
        <v/>
      </c>
      <c r="X591">
        <f>IFERROR(INDEX('1.산군_붙여넣기'!$A$1:$AZ$1001,ROW(),설정!$C$14)&amp;"","")</f>
        <v/>
      </c>
      <c r="Y591">
        <f>IFERROR(INDEX('1.산군_붙여넣기'!$A$1:$AZ$1001,ROW(),설정!$C$15)&amp;"","")</f>
        <v/>
      </c>
      <c r="Z591">
        <f>IF(T591,V591&amp;"|"&amp;U591,"")</f>
        <v/>
      </c>
    </row>
    <row r="592">
      <c r="A592">
        <f>ROW()</f>
        <v/>
      </c>
      <c r="B592">
        <f>IFERROR(INDEX('1.산군_붙여넣기'!$A$1:$AZ$1001,ROW(),설정!$C$4)&amp;"","")</f>
        <v/>
      </c>
      <c r="C592">
        <f>IFERROR(INDEX('1.산군_붙여넣기'!$A$1:$AZ$1001,ROW(),설정!$C$5)&amp;"","")</f>
        <v/>
      </c>
      <c r="D592" s="5">
        <f>IFERROR(VALUE(SUBSTITUTE(SUBSTITUTE(SUBSTITUTE(IFERROR(INDEX('1.산군_붙여넣기'!$A$1:$AZ$1001,ROW(),설정!$C$6)&amp;"",""),",",""),"㎡",""),"m2","")),"")</f>
        <v/>
      </c>
      <c r="E592">
        <f>IFERROR(INDEX('1.산군_붙여넣기'!$A$1:$AZ$1001,ROW(),설정!$C$7)&amp;"","")</f>
        <v/>
      </c>
      <c r="F592">
        <f>IFERROR(INDEX('1.산군_붙여넣기'!$A$1:$AZ$1001,ROW(),설정!$C$8)&amp;"","")</f>
        <v/>
      </c>
      <c r="G592">
        <f>IFERROR(INDEX('1.산군_붙여넣기'!$A$1:$AZ$1001,ROW(),설정!$C$9)&amp;"","")</f>
        <v/>
      </c>
      <c r="H592">
        <f>IFERROR(INDEX('1.산군_붙여넣기'!$A$1:$AZ$1001,ROW(),설정!$C$10)&amp;"","")</f>
        <v/>
      </c>
      <c r="I592">
        <f>IFERROR(INDEX('1.산군_붙여넣기'!$A$1:$AZ$1001,ROW(),설정!$C$11)&amp;"","")</f>
        <v/>
      </c>
      <c r="J592">
        <f>IFERROR(INDEX('1.산군_붙여넣기'!$A$1:$AZ$1001,ROW(),설정!$C$12)&amp;"","")</f>
        <v/>
      </c>
      <c r="K592">
        <f>IFERROR(INDEX('1.산군_붙여넣기'!$A$1:$AZ$1001,ROW(),설정!$C$13)&amp;"","")</f>
        <v/>
      </c>
      <c r="L592" s="6">
        <f>IF(X592="","",IF(AND(LEN(X592)=8,ISNUMBER(X592*1)),DATE(LEFT(X592,4),MID(X592,5,2),RIGHT(X592,2)),IFERROR(DATEVALUE(SUBSTITUTE(SUBSTITUTE(X592,".","-"),"/","-")),IFERROR(X592*1,""))))</f>
        <v/>
      </c>
      <c r="M592" s="6">
        <f>IF(Y592="","",IF(AND(LEN(Y592)=8,ISNUMBER(Y592*1)),DATE(LEFT(Y592,4),MID(Y592,5,2),RIGHT(Y592,2)),IFERROR(DATEVALUE(SUBSTITUTE(SUBSTITUTE(Y592,".","-"),"/","-")),IFERROR(Y592*1,""))))</f>
        <v/>
      </c>
      <c r="N592">
        <f>IFERROR(LEFT(B592,FIND(" ",B592)-1),B592)</f>
        <v/>
      </c>
      <c r="O592">
        <f>AND(B592&lt;&gt;"",B592&lt;&gt;설정!$B$4,C592&lt;&gt;설정!$B$5)</f>
        <v/>
      </c>
      <c r="P592">
        <f>IF(O592,B592&amp;"|"&amp;C592,"")</f>
        <v/>
      </c>
      <c r="Q592">
        <f>AND(O592,COUNTIF(P593:P$1002,P592)=0)</f>
        <v/>
      </c>
      <c r="R592">
        <f>OR(AND(설정!$A$28&lt;&gt;"",ISNUMBER(SEARCH(설정!$A$28,E592&amp;" "&amp;C592))),AND(설정!$A$29&lt;&gt;"",ISNUMBER(SEARCH(설정!$A$29,E592&amp;" "&amp;C592))),AND(설정!$A$30&lt;&gt;"",ISNUMBER(SEARCH(설정!$A$30,E592&amp;" "&amp;C592))),AND(설정!$A$31&lt;&gt;"",ISNUMBER(SEARCH(설정!$A$31,E592&amp;" "&amp;C592))),AND(설정!$A$32&lt;&gt;"",ISNUMBER(SEARCH(설정!$A$32,E592&amp;" "&amp;C592))),AND(설정!$A$33&lt;&gt;"",ISNUMBER(SEARCH(설정!$A$33,E592&amp;" "&amp;C592))),AND(설정!$A$34&lt;&gt;"",ISNUMBER(SEARCH(설정!$A$34,E592&amp;" "&amp;C592))),AND(설정!$A$35&lt;&gt;"",ISNUMBER(SEARCH(설정!$A$35,E592&amp;" "&amp;C592))),AND(설정!$A$36&lt;&gt;"",ISNUMBER(SEARCH(설정!$A$36,E592&amp;" "&amp;C592))),AND(설정!$A$37&lt;&gt;"",ISNUMBER(SEARCH(설정!$A$37,E592&amp;" "&amp;C592))))</f>
        <v/>
      </c>
      <c r="S592">
        <f>OR(D592="",D592&gt;=설정!$B$19)</f>
        <v/>
      </c>
      <c r="T592">
        <f>AND(Q592,R592,S592)</f>
        <v/>
      </c>
      <c r="U592">
        <f>IF(T592,IF(AND(설정!$A$41&lt;&gt;"",ISNUMBER(SEARCH(설정!$A$41,K592))),설정!$B$41,IF(AND(설정!$A$42&lt;&gt;"",ISNUMBER(SEARCH(설정!$A$42,K592))),설정!$B$42,IF(AND(설정!$A$43&lt;&gt;"",ISNUMBER(SEARCH(설정!$A$43,K592))),설정!$B$43,IF(AND(설정!$A$44&lt;&gt;"",ISNUMBER(SEARCH(설정!$A$44,K592))),설정!$B$44,IF(AND(설정!$A$45&lt;&gt;"",ISNUMBER(SEARCH(설정!$A$45,K592))),설정!$B$45,IF(AND(설정!$A$46&lt;&gt;"",ISNUMBER(SEARCH(설정!$A$46,K592))),설정!$B$46,IF(AND(설정!$A$47&lt;&gt;"",ISNUMBER(SEARCH(설정!$A$47,K592))),설정!$B$47,IF(AND(설정!$A$48&lt;&gt;"",ISNUMBER(SEARCH(설정!$A$48,K592))),설정!$B$48,IF(M592="","설계사","시공사"))))))))),"")</f>
        <v/>
      </c>
      <c r="V592">
        <f>SUBSTITUTE(SUBSTITUTE(SUBSTITUTE(SUBSTITUTE(G592,"(주)",""),"㈜",""),"주식회사","")," ","")</f>
        <v/>
      </c>
      <c r="W592">
        <f>IF(AND(T592,V592&lt;&gt;""),IF(COUNTIFS(V$2:V592,V592,T$2:T592,TRUE)=1,MAX(W$1:W591)+1,""),"")</f>
        <v/>
      </c>
      <c r="X592">
        <f>IFERROR(INDEX('1.산군_붙여넣기'!$A$1:$AZ$1001,ROW(),설정!$C$14)&amp;"","")</f>
        <v/>
      </c>
      <c r="Y592">
        <f>IFERROR(INDEX('1.산군_붙여넣기'!$A$1:$AZ$1001,ROW(),설정!$C$15)&amp;"","")</f>
        <v/>
      </c>
      <c r="Z592">
        <f>IF(T592,V592&amp;"|"&amp;U592,"")</f>
        <v/>
      </c>
    </row>
    <row r="593">
      <c r="A593">
        <f>ROW()</f>
        <v/>
      </c>
      <c r="B593">
        <f>IFERROR(INDEX('1.산군_붙여넣기'!$A$1:$AZ$1001,ROW(),설정!$C$4)&amp;"","")</f>
        <v/>
      </c>
      <c r="C593">
        <f>IFERROR(INDEX('1.산군_붙여넣기'!$A$1:$AZ$1001,ROW(),설정!$C$5)&amp;"","")</f>
        <v/>
      </c>
      <c r="D593" s="5">
        <f>IFERROR(VALUE(SUBSTITUTE(SUBSTITUTE(SUBSTITUTE(IFERROR(INDEX('1.산군_붙여넣기'!$A$1:$AZ$1001,ROW(),설정!$C$6)&amp;"",""),",",""),"㎡",""),"m2","")),"")</f>
        <v/>
      </c>
      <c r="E593">
        <f>IFERROR(INDEX('1.산군_붙여넣기'!$A$1:$AZ$1001,ROW(),설정!$C$7)&amp;"","")</f>
        <v/>
      </c>
      <c r="F593">
        <f>IFERROR(INDEX('1.산군_붙여넣기'!$A$1:$AZ$1001,ROW(),설정!$C$8)&amp;"","")</f>
        <v/>
      </c>
      <c r="G593">
        <f>IFERROR(INDEX('1.산군_붙여넣기'!$A$1:$AZ$1001,ROW(),설정!$C$9)&amp;"","")</f>
        <v/>
      </c>
      <c r="H593">
        <f>IFERROR(INDEX('1.산군_붙여넣기'!$A$1:$AZ$1001,ROW(),설정!$C$10)&amp;"","")</f>
        <v/>
      </c>
      <c r="I593">
        <f>IFERROR(INDEX('1.산군_붙여넣기'!$A$1:$AZ$1001,ROW(),설정!$C$11)&amp;"","")</f>
        <v/>
      </c>
      <c r="J593">
        <f>IFERROR(INDEX('1.산군_붙여넣기'!$A$1:$AZ$1001,ROW(),설정!$C$12)&amp;"","")</f>
        <v/>
      </c>
      <c r="K593">
        <f>IFERROR(INDEX('1.산군_붙여넣기'!$A$1:$AZ$1001,ROW(),설정!$C$13)&amp;"","")</f>
        <v/>
      </c>
      <c r="L593" s="6">
        <f>IF(X593="","",IF(AND(LEN(X593)=8,ISNUMBER(X593*1)),DATE(LEFT(X593,4),MID(X593,5,2),RIGHT(X593,2)),IFERROR(DATEVALUE(SUBSTITUTE(SUBSTITUTE(X593,".","-"),"/","-")),IFERROR(X593*1,""))))</f>
        <v/>
      </c>
      <c r="M593" s="6">
        <f>IF(Y593="","",IF(AND(LEN(Y593)=8,ISNUMBER(Y593*1)),DATE(LEFT(Y593,4),MID(Y593,5,2),RIGHT(Y593,2)),IFERROR(DATEVALUE(SUBSTITUTE(SUBSTITUTE(Y593,".","-"),"/","-")),IFERROR(Y593*1,""))))</f>
        <v/>
      </c>
      <c r="N593">
        <f>IFERROR(LEFT(B593,FIND(" ",B593)-1),B593)</f>
        <v/>
      </c>
      <c r="O593">
        <f>AND(B593&lt;&gt;"",B593&lt;&gt;설정!$B$4,C593&lt;&gt;설정!$B$5)</f>
        <v/>
      </c>
      <c r="P593">
        <f>IF(O593,B593&amp;"|"&amp;C593,"")</f>
        <v/>
      </c>
      <c r="Q593">
        <f>AND(O593,COUNTIF(P594:P$1002,P593)=0)</f>
        <v/>
      </c>
      <c r="R593">
        <f>OR(AND(설정!$A$28&lt;&gt;"",ISNUMBER(SEARCH(설정!$A$28,E593&amp;" "&amp;C593))),AND(설정!$A$29&lt;&gt;"",ISNUMBER(SEARCH(설정!$A$29,E593&amp;" "&amp;C593))),AND(설정!$A$30&lt;&gt;"",ISNUMBER(SEARCH(설정!$A$30,E593&amp;" "&amp;C593))),AND(설정!$A$31&lt;&gt;"",ISNUMBER(SEARCH(설정!$A$31,E593&amp;" "&amp;C593))),AND(설정!$A$32&lt;&gt;"",ISNUMBER(SEARCH(설정!$A$32,E593&amp;" "&amp;C593))),AND(설정!$A$33&lt;&gt;"",ISNUMBER(SEARCH(설정!$A$33,E593&amp;" "&amp;C593))),AND(설정!$A$34&lt;&gt;"",ISNUMBER(SEARCH(설정!$A$34,E593&amp;" "&amp;C593))),AND(설정!$A$35&lt;&gt;"",ISNUMBER(SEARCH(설정!$A$35,E593&amp;" "&amp;C593))),AND(설정!$A$36&lt;&gt;"",ISNUMBER(SEARCH(설정!$A$36,E593&amp;" "&amp;C593))),AND(설정!$A$37&lt;&gt;"",ISNUMBER(SEARCH(설정!$A$37,E593&amp;" "&amp;C593))))</f>
        <v/>
      </c>
      <c r="S593">
        <f>OR(D593="",D593&gt;=설정!$B$19)</f>
        <v/>
      </c>
      <c r="T593">
        <f>AND(Q593,R593,S593)</f>
        <v/>
      </c>
      <c r="U593">
        <f>IF(T593,IF(AND(설정!$A$41&lt;&gt;"",ISNUMBER(SEARCH(설정!$A$41,K593))),설정!$B$41,IF(AND(설정!$A$42&lt;&gt;"",ISNUMBER(SEARCH(설정!$A$42,K593))),설정!$B$42,IF(AND(설정!$A$43&lt;&gt;"",ISNUMBER(SEARCH(설정!$A$43,K593))),설정!$B$43,IF(AND(설정!$A$44&lt;&gt;"",ISNUMBER(SEARCH(설정!$A$44,K593))),설정!$B$44,IF(AND(설정!$A$45&lt;&gt;"",ISNUMBER(SEARCH(설정!$A$45,K593))),설정!$B$45,IF(AND(설정!$A$46&lt;&gt;"",ISNUMBER(SEARCH(설정!$A$46,K593))),설정!$B$46,IF(AND(설정!$A$47&lt;&gt;"",ISNUMBER(SEARCH(설정!$A$47,K593))),설정!$B$47,IF(AND(설정!$A$48&lt;&gt;"",ISNUMBER(SEARCH(설정!$A$48,K593))),설정!$B$48,IF(M593="","설계사","시공사"))))))))),"")</f>
        <v/>
      </c>
      <c r="V593">
        <f>SUBSTITUTE(SUBSTITUTE(SUBSTITUTE(SUBSTITUTE(G593,"(주)",""),"㈜",""),"주식회사","")," ","")</f>
        <v/>
      </c>
      <c r="W593">
        <f>IF(AND(T593,V593&lt;&gt;""),IF(COUNTIFS(V$2:V593,V593,T$2:T593,TRUE)=1,MAX(W$1:W592)+1,""),"")</f>
        <v/>
      </c>
      <c r="X593">
        <f>IFERROR(INDEX('1.산군_붙여넣기'!$A$1:$AZ$1001,ROW(),설정!$C$14)&amp;"","")</f>
        <v/>
      </c>
      <c r="Y593">
        <f>IFERROR(INDEX('1.산군_붙여넣기'!$A$1:$AZ$1001,ROW(),설정!$C$15)&amp;"","")</f>
        <v/>
      </c>
      <c r="Z593">
        <f>IF(T593,V593&amp;"|"&amp;U593,"")</f>
        <v/>
      </c>
    </row>
    <row r="594">
      <c r="A594">
        <f>ROW()</f>
        <v/>
      </c>
      <c r="B594">
        <f>IFERROR(INDEX('1.산군_붙여넣기'!$A$1:$AZ$1001,ROW(),설정!$C$4)&amp;"","")</f>
        <v/>
      </c>
      <c r="C594">
        <f>IFERROR(INDEX('1.산군_붙여넣기'!$A$1:$AZ$1001,ROW(),설정!$C$5)&amp;"","")</f>
        <v/>
      </c>
      <c r="D594" s="5">
        <f>IFERROR(VALUE(SUBSTITUTE(SUBSTITUTE(SUBSTITUTE(IFERROR(INDEX('1.산군_붙여넣기'!$A$1:$AZ$1001,ROW(),설정!$C$6)&amp;"",""),",",""),"㎡",""),"m2","")),"")</f>
        <v/>
      </c>
      <c r="E594">
        <f>IFERROR(INDEX('1.산군_붙여넣기'!$A$1:$AZ$1001,ROW(),설정!$C$7)&amp;"","")</f>
        <v/>
      </c>
      <c r="F594">
        <f>IFERROR(INDEX('1.산군_붙여넣기'!$A$1:$AZ$1001,ROW(),설정!$C$8)&amp;"","")</f>
        <v/>
      </c>
      <c r="G594">
        <f>IFERROR(INDEX('1.산군_붙여넣기'!$A$1:$AZ$1001,ROW(),설정!$C$9)&amp;"","")</f>
        <v/>
      </c>
      <c r="H594">
        <f>IFERROR(INDEX('1.산군_붙여넣기'!$A$1:$AZ$1001,ROW(),설정!$C$10)&amp;"","")</f>
        <v/>
      </c>
      <c r="I594">
        <f>IFERROR(INDEX('1.산군_붙여넣기'!$A$1:$AZ$1001,ROW(),설정!$C$11)&amp;"","")</f>
        <v/>
      </c>
      <c r="J594">
        <f>IFERROR(INDEX('1.산군_붙여넣기'!$A$1:$AZ$1001,ROW(),설정!$C$12)&amp;"","")</f>
        <v/>
      </c>
      <c r="K594">
        <f>IFERROR(INDEX('1.산군_붙여넣기'!$A$1:$AZ$1001,ROW(),설정!$C$13)&amp;"","")</f>
        <v/>
      </c>
      <c r="L594" s="6">
        <f>IF(X594="","",IF(AND(LEN(X594)=8,ISNUMBER(X594*1)),DATE(LEFT(X594,4),MID(X594,5,2),RIGHT(X594,2)),IFERROR(DATEVALUE(SUBSTITUTE(SUBSTITUTE(X594,".","-"),"/","-")),IFERROR(X594*1,""))))</f>
        <v/>
      </c>
      <c r="M594" s="6">
        <f>IF(Y594="","",IF(AND(LEN(Y594)=8,ISNUMBER(Y594*1)),DATE(LEFT(Y594,4),MID(Y594,5,2),RIGHT(Y594,2)),IFERROR(DATEVALUE(SUBSTITUTE(SUBSTITUTE(Y594,".","-"),"/","-")),IFERROR(Y594*1,""))))</f>
        <v/>
      </c>
      <c r="N594">
        <f>IFERROR(LEFT(B594,FIND(" ",B594)-1),B594)</f>
        <v/>
      </c>
      <c r="O594">
        <f>AND(B594&lt;&gt;"",B594&lt;&gt;설정!$B$4,C594&lt;&gt;설정!$B$5)</f>
        <v/>
      </c>
      <c r="P594">
        <f>IF(O594,B594&amp;"|"&amp;C594,"")</f>
        <v/>
      </c>
      <c r="Q594">
        <f>AND(O594,COUNTIF(P595:P$1002,P594)=0)</f>
        <v/>
      </c>
      <c r="R594">
        <f>OR(AND(설정!$A$28&lt;&gt;"",ISNUMBER(SEARCH(설정!$A$28,E594&amp;" "&amp;C594))),AND(설정!$A$29&lt;&gt;"",ISNUMBER(SEARCH(설정!$A$29,E594&amp;" "&amp;C594))),AND(설정!$A$30&lt;&gt;"",ISNUMBER(SEARCH(설정!$A$30,E594&amp;" "&amp;C594))),AND(설정!$A$31&lt;&gt;"",ISNUMBER(SEARCH(설정!$A$31,E594&amp;" "&amp;C594))),AND(설정!$A$32&lt;&gt;"",ISNUMBER(SEARCH(설정!$A$32,E594&amp;" "&amp;C594))),AND(설정!$A$33&lt;&gt;"",ISNUMBER(SEARCH(설정!$A$33,E594&amp;" "&amp;C594))),AND(설정!$A$34&lt;&gt;"",ISNUMBER(SEARCH(설정!$A$34,E594&amp;" "&amp;C594))),AND(설정!$A$35&lt;&gt;"",ISNUMBER(SEARCH(설정!$A$35,E594&amp;" "&amp;C594))),AND(설정!$A$36&lt;&gt;"",ISNUMBER(SEARCH(설정!$A$36,E594&amp;" "&amp;C594))),AND(설정!$A$37&lt;&gt;"",ISNUMBER(SEARCH(설정!$A$37,E594&amp;" "&amp;C594))))</f>
        <v/>
      </c>
      <c r="S594">
        <f>OR(D594="",D594&gt;=설정!$B$19)</f>
        <v/>
      </c>
      <c r="T594">
        <f>AND(Q594,R594,S594)</f>
        <v/>
      </c>
      <c r="U594">
        <f>IF(T594,IF(AND(설정!$A$41&lt;&gt;"",ISNUMBER(SEARCH(설정!$A$41,K594))),설정!$B$41,IF(AND(설정!$A$42&lt;&gt;"",ISNUMBER(SEARCH(설정!$A$42,K594))),설정!$B$42,IF(AND(설정!$A$43&lt;&gt;"",ISNUMBER(SEARCH(설정!$A$43,K594))),설정!$B$43,IF(AND(설정!$A$44&lt;&gt;"",ISNUMBER(SEARCH(설정!$A$44,K594))),설정!$B$44,IF(AND(설정!$A$45&lt;&gt;"",ISNUMBER(SEARCH(설정!$A$45,K594))),설정!$B$45,IF(AND(설정!$A$46&lt;&gt;"",ISNUMBER(SEARCH(설정!$A$46,K594))),설정!$B$46,IF(AND(설정!$A$47&lt;&gt;"",ISNUMBER(SEARCH(설정!$A$47,K594))),설정!$B$47,IF(AND(설정!$A$48&lt;&gt;"",ISNUMBER(SEARCH(설정!$A$48,K594))),설정!$B$48,IF(M594="","설계사","시공사"))))))))),"")</f>
        <v/>
      </c>
      <c r="V594">
        <f>SUBSTITUTE(SUBSTITUTE(SUBSTITUTE(SUBSTITUTE(G594,"(주)",""),"㈜",""),"주식회사","")," ","")</f>
        <v/>
      </c>
      <c r="W594">
        <f>IF(AND(T594,V594&lt;&gt;""),IF(COUNTIFS(V$2:V594,V594,T$2:T594,TRUE)=1,MAX(W$1:W593)+1,""),"")</f>
        <v/>
      </c>
      <c r="X594">
        <f>IFERROR(INDEX('1.산군_붙여넣기'!$A$1:$AZ$1001,ROW(),설정!$C$14)&amp;"","")</f>
        <v/>
      </c>
      <c r="Y594">
        <f>IFERROR(INDEX('1.산군_붙여넣기'!$A$1:$AZ$1001,ROW(),설정!$C$15)&amp;"","")</f>
        <v/>
      </c>
      <c r="Z594">
        <f>IF(T594,V594&amp;"|"&amp;U594,"")</f>
        <v/>
      </c>
    </row>
    <row r="595">
      <c r="A595">
        <f>ROW()</f>
        <v/>
      </c>
      <c r="B595">
        <f>IFERROR(INDEX('1.산군_붙여넣기'!$A$1:$AZ$1001,ROW(),설정!$C$4)&amp;"","")</f>
        <v/>
      </c>
      <c r="C595">
        <f>IFERROR(INDEX('1.산군_붙여넣기'!$A$1:$AZ$1001,ROW(),설정!$C$5)&amp;"","")</f>
        <v/>
      </c>
      <c r="D595" s="5">
        <f>IFERROR(VALUE(SUBSTITUTE(SUBSTITUTE(SUBSTITUTE(IFERROR(INDEX('1.산군_붙여넣기'!$A$1:$AZ$1001,ROW(),설정!$C$6)&amp;"",""),",",""),"㎡",""),"m2","")),"")</f>
        <v/>
      </c>
      <c r="E595">
        <f>IFERROR(INDEX('1.산군_붙여넣기'!$A$1:$AZ$1001,ROW(),설정!$C$7)&amp;"","")</f>
        <v/>
      </c>
      <c r="F595">
        <f>IFERROR(INDEX('1.산군_붙여넣기'!$A$1:$AZ$1001,ROW(),설정!$C$8)&amp;"","")</f>
        <v/>
      </c>
      <c r="G595">
        <f>IFERROR(INDEX('1.산군_붙여넣기'!$A$1:$AZ$1001,ROW(),설정!$C$9)&amp;"","")</f>
        <v/>
      </c>
      <c r="H595">
        <f>IFERROR(INDEX('1.산군_붙여넣기'!$A$1:$AZ$1001,ROW(),설정!$C$10)&amp;"","")</f>
        <v/>
      </c>
      <c r="I595">
        <f>IFERROR(INDEX('1.산군_붙여넣기'!$A$1:$AZ$1001,ROW(),설정!$C$11)&amp;"","")</f>
        <v/>
      </c>
      <c r="J595">
        <f>IFERROR(INDEX('1.산군_붙여넣기'!$A$1:$AZ$1001,ROW(),설정!$C$12)&amp;"","")</f>
        <v/>
      </c>
      <c r="K595">
        <f>IFERROR(INDEX('1.산군_붙여넣기'!$A$1:$AZ$1001,ROW(),설정!$C$13)&amp;"","")</f>
        <v/>
      </c>
      <c r="L595" s="6">
        <f>IF(X595="","",IF(AND(LEN(X595)=8,ISNUMBER(X595*1)),DATE(LEFT(X595,4),MID(X595,5,2),RIGHT(X595,2)),IFERROR(DATEVALUE(SUBSTITUTE(SUBSTITUTE(X595,".","-"),"/","-")),IFERROR(X595*1,""))))</f>
        <v/>
      </c>
      <c r="M595" s="6">
        <f>IF(Y595="","",IF(AND(LEN(Y595)=8,ISNUMBER(Y595*1)),DATE(LEFT(Y595,4),MID(Y595,5,2),RIGHT(Y595,2)),IFERROR(DATEVALUE(SUBSTITUTE(SUBSTITUTE(Y595,".","-"),"/","-")),IFERROR(Y595*1,""))))</f>
        <v/>
      </c>
      <c r="N595">
        <f>IFERROR(LEFT(B595,FIND(" ",B595)-1),B595)</f>
        <v/>
      </c>
      <c r="O595">
        <f>AND(B595&lt;&gt;"",B595&lt;&gt;설정!$B$4,C595&lt;&gt;설정!$B$5)</f>
        <v/>
      </c>
      <c r="P595">
        <f>IF(O595,B595&amp;"|"&amp;C595,"")</f>
        <v/>
      </c>
      <c r="Q595">
        <f>AND(O595,COUNTIF(P596:P$1002,P595)=0)</f>
        <v/>
      </c>
      <c r="R595">
        <f>OR(AND(설정!$A$28&lt;&gt;"",ISNUMBER(SEARCH(설정!$A$28,E595&amp;" "&amp;C595))),AND(설정!$A$29&lt;&gt;"",ISNUMBER(SEARCH(설정!$A$29,E595&amp;" "&amp;C595))),AND(설정!$A$30&lt;&gt;"",ISNUMBER(SEARCH(설정!$A$30,E595&amp;" "&amp;C595))),AND(설정!$A$31&lt;&gt;"",ISNUMBER(SEARCH(설정!$A$31,E595&amp;" "&amp;C595))),AND(설정!$A$32&lt;&gt;"",ISNUMBER(SEARCH(설정!$A$32,E595&amp;" "&amp;C595))),AND(설정!$A$33&lt;&gt;"",ISNUMBER(SEARCH(설정!$A$33,E595&amp;" "&amp;C595))),AND(설정!$A$34&lt;&gt;"",ISNUMBER(SEARCH(설정!$A$34,E595&amp;" "&amp;C595))),AND(설정!$A$35&lt;&gt;"",ISNUMBER(SEARCH(설정!$A$35,E595&amp;" "&amp;C595))),AND(설정!$A$36&lt;&gt;"",ISNUMBER(SEARCH(설정!$A$36,E595&amp;" "&amp;C595))),AND(설정!$A$37&lt;&gt;"",ISNUMBER(SEARCH(설정!$A$37,E595&amp;" "&amp;C595))))</f>
        <v/>
      </c>
      <c r="S595">
        <f>OR(D595="",D595&gt;=설정!$B$19)</f>
        <v/>
      </c>
      <c r="T595">
        <f>AND(Q595,R595,S595)</f>
        <v/>
      </c>
      <c r="U595">
        <f>IF(T595,IF(AND(설정!$A$41&lt;&gt;"",ISNUMBER(SEARCH(설정!$A$41,K595))),설정!$B$41,IF(AND(설정!$A$42&lt;&gt;"",ISNUMBER(SEARCH(설정!$A$42,K595))),설정!$B$42,IF(AND(설정!$A$43&lt;&gt;"",ISNUMBER(SEARCH(설정!$A$43,K595))),설정!$B$43,IF(AND(설정!$A$44&lt;&gt;"",ISNUMBER(SEARCH(설정!$A$44,K595))),설정!$B$44,IF(AND(설정!$A$45&lt;&gt;"",ISNUMBER(SEARCH(설정!$A$45,K595))),설정!$B$45,IF(AND(설정!$A$46&lt;&gt;"",ISNUMBER(SEARCH(설정!$A$46,K595))),설정!$B$46,IF(AND(설정!$A$47&lt;&gt;"",ISNUMBER(SEARCH(설정!$A$47,K595))),설정!$B$47,IF(AND(설정!$A$48&lt;&gt;"",ISNUMBER(SEARCH(설정!$A$48,K595))),설정!$B$48,IF(M595="","설계사","시공사"))))))))),"")</f>
        <v/>
      </c>
      <c r="V595">
        <f>SUBSTITUTE(SUBSTITUTE(SUBSTITUTE(SUBSTITUTE(G595,"(주)",""),"㈜",""),"주식회사","")," ","")</f>
        <v/>
      </c>
      <c r="W595">
        <f>IF(AND(T595,V595&lt;&gt;""),IF(COUNTIFS(V$2:V595,V595,T$2:T595,TRUE)=1,MAX(W$1:W594)+1,""),"")</f>
        <v/>
      </c>
      <c r="X595">
        <f>IFERROR(INDEX('1.산군_붙여넣기'!$A$1:$AZ$1001,ROW(),설정!$C$14)&amp;"","")</f>
        <v/>
      </c>
      <c r="Y595">
        <f>IFERROR(INDEX('1.산군_붙여넣기'!$A$1:$AZ$1001,ROW(),설정!$C$15)&amp;"","")</f>
        <v/>
      </c>
      <c r="Z595">
        <f>IF(T595,V595&amp;"|"&amp;U595,"")</f>
        <v/>
      </c>
    </row>
    <row r="596">
      <c r="A596">
        <f>ROW()</f>
        <v/>
      </c>
      <c r="B596">
        <f>IFERROR(INDEX('1.산군_붙여넣기'!$A$1:$AZ$1001,ROW(),설정!$C$4)&amp;"","")</f>
        <v/>
      </c>
      <c r="C596">
        <f>IFERROR(INDEX('1.산군_붙여넣기'!$A$1:$AZ$1001,ROW(),설정!$C$5)&amp;"","")</f>
        <v/>
      </c>
      <c r="D596" s="5">
        <f>IFERROR(VALUE(SUBSTITUTE(SUBSTITUTE(SUBSTITUTE(IFERROR(INDEX('1.산군_붙여넣기'!$A$1:$AZ$1001,ROW(),설정!$C$6)&amp;"",""),",",""),"㎡",""),"m2","")),"")</f>
        <v/>
      </c>
      <c r="E596">
        <f>IFERROR(INDEX('1.산군_붙여넣기'!$A$1:$AZ$1001,ROW(),설정!$C$7)&amp;"","")</f>
        <v/>
      </c>
      <c r="F596">
        <f>IFERROR(INDEX('1.산군_붙여넣기'!$A$1:$AZ$1001,ROW(),설정!$C$8)&amp;"","")</f>
        <v/>
      </c>
      <c r="G596">
        <f>IFERROR(INDEX('1.산군_붙여넣기'!$A$1:$AZ$1001,ROW(),설정!$C$9)&amp;"","")</f>
        <v/>
      </c>
      <c r="H596">
        <f>IFERROR(INDEX('1.산군_붙여넣기'!$A$1:$AZ$1001,ROW(),설정!$C$10)&amp;"","")</f>
        <v/>
      </c>
      <c r="I596">
        <f>IFERROR(INDEX('1.산군_붙여넣기'!$A$1:$AZ$1001,ROW(),설정!$C$11)&amp;"","")</f>
        <v/>
      </c>
      <c r="J596">
        <f>IFERROR(INDEX('1.산군_붙여넣기'!$A$1:$AZ$1001,ROW(),설정!$C$12)&amp;"","")</f>
        <v/>
      </c>
      <c r="K596">
        <f>IFERROR(INDEX('1.산군_붙여넣기'!$A$1:$AZ$1001,ROW(),설정!$C$13)&amp;"","")</f>
        <v/>
      </c>
      <c r="L596" s="6">
        <f>IF(X596="","",IF(AND(LEN(X596)=8,ISNUMBER(X596*1)),DATE(LEFT(X596,4),MID(X596,5,2),RIGHT(X596,2)),IFERROR(DATEVALUE(SUBSTITUTE(SUBSTITUTE(X596,".","-"),"/","-")),IFERROR(X596*1,""))))</f>
        <v/>
      </c>
      <c r="M596" s="6">
        <f>IF(Y596="","",IF(AND(LEN(Y596)=8,ISNUMBER(Y596*1)),DATE(LEFT(Y596,4),MID(Y596,5,2),RIGHT(Y596,2)),IFERROR(DATEVALUE(SUBSTITUTE(SUBSTITUTE(Y596,".","-"),"/","-")),IFERROR(Y596*1,""))))</f>
        <v/>
      </c>
      <c r="N596">
        <f>IFERROR(LEFT(B596,FIND(" ",B596)-1),B596)</f>
        <v/>
      </c>
      <c r="O596">
        <f>AND(B596&lt;&gt;"",B596&lt;&gt;설정!$B$4,C596&lt;&gt;설정!$B$5)</f>
        <v/>
      </c>
      <c r="P596">
        <f>IF(O596,B596&amp;"|"&amp;C596,"")</f>
        <v/>
      </c>
      <c r="Q596">
        <f>AND(O596,COUNTIF(P597:P$1002,P596)=0)</f>
        <v/>
      </c>
      <c r="R596">
        <f>OR(AND(설정!$A$28&lt;&gt;"",ISNUMBER(SEARCH(설정!$A$28,E596&amp;" "&amp;C596))),AND(설정!$A$29&lt;&gt;"",ISNUMBER(SEARCH(설정!$A$29,E596&amp;" "&amp;C596))),AND(설정!$A$30&lt;&gt;"",ISNUMBER(SEARCH(설정!$A$30,E596&amp;" "&amp;C596))),AND(설정!$A$31&lt;&gt;"",ISNUMBER(SEARCH(설정!$A$31,E596&amp;" "&amp;C596))),AND(설정!$A$32&lt;&gt;"",ISNUMBER(SEARCH(설정!$A$32,E596&amp;" "&amp;C596))),AND(설정!$A$33&lt;&gt;"",ISNUMBER(SEARCH(설정!$A$33,E596&amp;" "&amp;C596))),AND(설정!$A$34&lt;&gt;"",ISNUMBER(SEARCH(설정!$A$34,E596&amp;" "&amp;C596))),AND(설정!$A$35&lt;&gt;"",ISNUMBER(SEARCH(설정!$A$35,E596&amp;" "&amp;C596))),AND(설정!$A$36&lt;&gt;"",ISNUMBER(SEARCH(설정!$A$36,E596&amp;" "&amp;C596))),AND(설정!$A$37&lt;&gt;"",ISNUMBER(SEARCH(설정!$A$37,E596&amp;" "&amp;C596))))</f>
        <v/>
      </c>
      <c r="S596">
        <f>OR(D596="",D596&gt;=설정!$B$19)</f>
        <v/>
      </c>
      <c r="T596">
        <f>AND(Q596,R596,S596)</f>
        <v/>
      </c>
      <c r="U596">
        <f>IF(T596,IF(AND(설정!$A$41&lt;&gt;"",ISNUMBER(SEARCH(설정!$A$41,K596))),설정!$B$41,IF(AND(설정!$A$42&lt;&gt;"",ISNUMBER(SEARCH(설정!$A$42,K596))),설정!$B$42,IF(AND(설정!$A$43&lt;&gt;"",ISNUMBER(SEARCH(설정!$A$43,K596))),설정!$B$43,IF(AND(설정!$A$44&lt;&gt;"",ISNUMBER(SEARCH(설정!$A$44,K596))),설정!$B$44,IF(AND(설정!$A$45&lt;&gt;"",ISNUMBER(SEARCH(설정!$A$45,K596))),설정!$B$45,IF(AND(설정!$A$46&lt;&gt;"",ISNUMBER(SEARCH(설정!$A$46,K596))),설정!$B$46,IF(AND(설정!$A$47&lt;&gt;"",ISNUMBER(SEARCH(설정!$A$47,K596))),설정!$B$47,IF(AND(설정!$A$48&lt;&gt;"",ISNUMBER(SEARCH(설정!$A$48,K596))),설정!$B$48,IF(M596="","설계사","시공사"))))))))),"")</f>
        <v/>
      </c>
      <c r="V596">
        <f>SUBSTITUTE(SUBSTITUTE(SUBSTITUTE(SUBSTITUTE(G596,"(주)",""),"㈜",""),"주식회사","")," ","")</f>
        <v/>
      </c>
      <c r="W596">
        <f>IF(AND(T596,V596&lt;&gt;""),IF(COUNTIFS(V$2:V596,V596,T$2:T596,TRUE)=1,MAX(W$1:W595)+1,""),"")</f>
        <v/>
      </c>
      <c r="X596">
        <f>IFERROR(INDEX('1.산군_붙여넣기'!$A$1:$AZ$1001,ROW(),설정!$C$14)&amp;"","")</f>
        <v/>
      </c>
      <c r="Y596">
        <f>IFERROR(INDEX('1.산군_붙여넣기'!$A$1:$AZ$1001,ROW(),설정!$C$15)&amp;"","")</f>
        <v/>
      </c>
      <c r="Z596">
        <f>IF(T596,V596&amp;"|"&amp;U596,"")</f>
        <v/>
      </c>
    </row>
    <row r="597">
      <c r="A597">
        <f>ROW()</f>
        <v/>
      </c>
      <c r="B597">
        <f>IFERROR(INDEX('1.산군_붙여넣기'!$A$1:$AZ$1001,ROW(),설정!$C$4)&amp;"","")</f>
        <v/>
      </c>
      <c r="C597">
        <f>IFERROR(INDEX('1.산군_붙여넣기'!$A$1:$AZ$1001,ROW(),설정!$C$5)&amp;"","")</f>
        <v/>
      </c>
      <c r="D597" s="5">
        <f>IFERROR(VALUE(SUBSTITUTE(SUBSTITUTE(SUBSTITUTE(IFERROR(INDEX('1.산군_붙여넣기'!$A$1:$AZ$1001,ROW(),설정!$C$6)&amp;"",""),",",""),"㎡",""),"m2","")),"")</f>
        <v/>
      </c>
      <c r="E597">
        <f>IFERROR(INDEX('1.산군_붙여넣기'!$A$1:$AZ$1001,ROW(),설정!$C$7)&amp;"","")</f>
        <v/>
      </c>
      <c r="F597">
        <f>IFERROR(INDEX('1.산군_붙여넣기'!$A$1:$AZ$1001,ROW(),설정!$C$8)&amp;"","")</f>
        <v/>
      </c>
      <c r="G597">
        <f>IFERROR(INDEX('1.산군_붙여넣기'!$A$1:$AZ$1001,ROW(),설정!$C$9)&amp;"","")</f>
        <v/>
      </c>
      <c r="H597">
        <f>IFERROR(INDEX('1.산군_붙여넣기'!$A$1:$AZ$1001,ROW(),설정!$C$10)&amp;"","")</f>
        <v/>
      </c>
      <c r="I597">
        <f>IFERROR(INDEX('1.산군_붙여넣기'!$A$1:$AZ$1001,ROW(),설정!$C$11)&amp;"","")</f>
        <v/>
      </c>
      <c r="J597">
        <f>IFERROR(INDEX('1.산군_붙여넣기'!$A$1:$AZ$1001,ROW(),설정!$C$12)&amp;"","")</f>
        <v/>
      </c>
      <c r="K597">
        <f>IFERROR(INDEX('1.산군_붙여넣기'!$A$1:$AZ$1001,ROW(),설정!$C$13)&amp;"","")</f>
        <v/>
      </c>
      <c r="L597" s="6">
        <f>IF(X597="","",IF(AND(LEN(X597)=8,ISNUMBER(X597*1)),DATE(LEFT(X597,4),MID(X597,5,2),RIGHT(X597,2)),IFERROR(DATEVALUE(SUBSTITUTE(SUBSTITUTE(X597,".","-"),"/","-")),IFERROR(X597*1,""))))</f>
        <v/>
      </c>
      <c r="M597" s="6">
        <f>IF(Y597="","",IF(AND(LEN(Y597)=8,ISNUMBER(Y597*1)),DATE(LEFT(Y597,4),MID(Y597,5,2),RIGHT(Y597,2)),IFERROR(DATEVALUE(SUBSTITUTE(SUBSTITUTE(Y597,".","-"),"/","-")),IFERROR(Y597*1,""))))</f>
        <v/>
      </c>
      <c r="N597">
        <f>IFERROR(LEFT(B597,FIND(" ",B597)-1),B597)</f>
        <v/>
      </c>
      <c r="O597">
        <f>AND(B597&lt;&gt;"",B597&lt;&gt;설정!$B$4,C597&lt;&gt;설정!$B$5)</f>
        <v/>
      </c>
      <c r="P597">
        <f>IF(O597,B597&amp;"|"&amp;C597,"")</f>
        <v/>
      </c>
      <c r="Q597">
        <f>AND(O597,COUNTIF(P598:P$1002,P597)=0)</f>
        <v/>
      </c>
      <c r="R597">
        <f>OR(AND(설정!$A$28&lt;&gt;"",ISNUMBER(SEARCH(설정!$A$28,E597&amp;" "&amp;C597))),AND(설정!$A$29&lt;&gt;"",ISNUMBER(SEARCH(설정!$A$29,E597&amp;" "&amp;C597))),AND(설정!$A$30&lt;&gt;"",ISNUMBER(SEARCH(설정!$A$30,E597&amp;" "&amp;C597))),AND(설정!$A$31&lt;&gt;"",ISNUMBER(SEARCH(설정!$A$31,E597&amp;" "&amp;C597))),AND(설정!$A$32&lt;&gt;"",ISNUMBER(SEARCH(설정!$A$32,E597&amp;" "&amp;C597))),AND(설정!$A$33&lt;&gt;"",ISNUMBER(SEARCH(설정!$A$33,E597&amp;" "&amp;C597))),AND(설정!$A$34&lt;&gt;"",ISNUMBER(SEARCH(설정!$A$34,E597&amp;" "&amp;C597))),AND(설정!$A$35&lt;&gt;"",ISNUMBER(SEARCH(설정!$A$35,E597&amp;" "&amp;C597))),AND(설정!$A$36&lt;&gt;"",ISNUMBER(SEARCH(설정!$A$36,E597&amp;" "&amp;C597))),AND(설정!$A$37&lt;&gt;"",ISNUMBER(SEARCH(설정!$A$37,E597&amp;" "&amp;C597))))</f>
        <v/>
      </c>
      <c r="S597">
        <f>OR(D597="",D597&gt;=설정!$B$19)</f>
        <v/>
      </c>
      <c r="T597">
        <f>AND(Q597,R597,S597)</f>
        <v/>
      </c>
      <c r="U597">
        <f>IF(T597,IF(AND(설정!$A$41&lt;&gt;"",ISNUMBER(SEARCH(설정!$A$41,K597))),설정!$B$41,IF(AND(설정!$A$42&lt;&gt;"",ISNUMBER(SEARCH(설정!$A$42,K597))),설정!$B$42,IF(AND(설정!$A$43&lt;&gt;"",ISNUMBER(SEARCH(설정!$A$43,K597))),설정!$B$43,IF(AND(설정!$A$44&lt;&gt;"",ISNUMBER(SEARCH(설정!$A$44,K597))),설정!$B$44,IF(AND(설정!$A$45&lt;&gt;"",ISNUMBER(SEARCH(설정!$A$45,K597))),설정!$B$45,IF(AND(설정!$A$46&lt;&gt;"",ISNUMBER(SEARCH(설정!$A$46,K597))),설정!$B$46,IF(AND(설정!$A$47&lt;&gt;"",ISNUMBER(SEARCH(설정!$A$47,K597))),설정!$B$47,IF(AND(설정!$A$48&lt;&gt;"",ISNUMBER(SEARCH(설정!$A$48,K597))),설정!$B$48,IF(M597="","설계사","시공사"))))))))),"")</f>
        <v/>
      </c>
      <c r="V597">
        <f>SUBSTITUTE(SUBSTITUTE(SUBSTITUTE(SUBSTITUTE(G597,"(주)",""),"㈜",""),"주식회사","")," ","")</f>
        <v/>
      </c>
      <c r="W597">
        <f>IF(AND(T597,V597&lt;&gt;""),IF(COUNTIFS(V$2:V597,V597,T$2:T597,TRUE)=1,MAX(W$1:W596)+1,""),"")</f>
        <v/>
      </c>
      <c r="X597">
        <f>IFERROR(INDEX('1.산군_붙여넣기'!$A$1:$AZ$1001,ROW(),설정!$C$14)&amp;"","")</f>
        <v/>
      </c>
      <c r="Y597">
        <f>IFERROR(INDEX('1.산군_붙여넣기'!$A$1:$AZ$1001,ROW(),설정!$C$15)&amp;"","")</f>
        <v/>
      </c>
      <c r="Z597">
        <f>IF(T597,V597&amp;"|"&amp;U597,"")</f>
        <v/>
      </c>
    </row>
    <row r="598">
      <c r="A598">
        <f>ROW()</f>
        <v/>
      </c>
      <c r="B598">
        <f>IFERROR(INDEX('1.산군_붙여넣기'!$A$1:$AZ$1001,ROW(),설정!$C$4)&amp;"","")</f>
        <v/>
      </c>
      <c r="C598">
        <f>IFERROR(INDEX('1.산군_붙여넣기'!$A$1:$AZ$1001,ROW(),설정!$C$5)&amp;"","")</f>
        <v/>
      </c>
      <c r="D598" s="5">
        <f>IFERROR(VALUE(SUBSTITUTE(SUBSTITUTE(SUBSTITUTE(IFERROR(INDEX('1.산군_붙여넣기'!$A$1:$AZ$1001,ROW(),설정!$C$6)&amp;"",""),",",""),"㎡",""),"m2","")),"")</f>
        <v/>
      </c>
      <c r="E598">
        <f>IFERROR(INDEX('1.산군_붙여넣기'!$A$1:$AZ$1001,ROW(),설정!$C$7)&amp;"","")</f>
        <v/>
      </c>
      <c r="F598">
        <f>IFERROR(INDEX('1.산군_붙여넣기'!$A$1:$AZ$1001,ROW(),설정!$C$8)&amp;"","")</f>
        <v/>
      </c>
      <c r="G598">
        <f>IFERROR(INDEX('1.산군_붙여넣기'!$A$1:$AZ$1001,ROW(),설정!$C$9)&amp;"","")</f>
        <v/>
      </c>
      <c r="H598">
        <f>IFERROR(INDEX('1.산군_붙여넣기'!$A$1:$AZ$1001,ROW(),설정!$C$10)&amp;"","")</f>
        <v/>
      </c>
      <c r="I598">
        <f>IFERROR(INDEX('1.산군_붙여넣기'!$A$1:$AZ$1001,ROW(),설정!$C$11)&amp;"","")</f>
        <v/>
      </c>
      <c r="J598">
        <f>IFERROR(INDEX('1.산군_붙여넣기'!$A$1:$AZ$1001,ROW(),설정!$C$12)&amp;"","")</f>
        <v/>
      </c>
      <c r="K598">
        <f>IFERROR(INDEX('1.산군_붙여넣기'!$A$1:$AZ$1001,ROW(),설정!$C$13)&amp;"","")</f>
        <v/>
      </c>
      <c r="L598" s="6">
        <f>IF(X598="","",IF(AND(LEN(X598)=8,ISNUMBER(X598*1)),DATE(LEFT(X598,4),MID(X598,5,2),RIGHT(X598,2)),IFERROR(DATEVALUE(SUBSTITUTE(SUBSTITUTE(X598,".","-"),"/","-")),IFERROR(X598*1,""))))</f>
        <v/>
      </c>
      <c r="M598" s="6">
        <f>IF(Y598="","",IF(AND(LEN(Y598)=8,ISNUMBER(Y598*1)),DATE(LEFT(Y598,4),MID(Y598,5,2),RIGHT(Y598,2)),IFERROR(DATEVALUE(SUBSTITUTE(SUBSTITUTE(Y598,".","-"),"/","-")),IFERROR(Y598*1,""))))</f>
        <v/>
      </c>
      <c r="N598">
        <f>IFERROR(LEFT(B598,FIND(" ",B598)-1),B598)</f>
        <v/>
      </c>
      <c r="O598">
        <f>AND(B598&lt;&gt;"",B598&lt;&gt;설정!$B$4,C598&lt;&gt;설정!$B$5)</f>
        <v/>
      </c>
      <c r="P598">
        <f>IF(O598,B598&amp;"|"&amp;C598,"")</f>
        <v/>
      </c>
      <c r="Q598">
        <f>AND(O598,COUNTIF(P599:P$1002,P598)=0)</f>
        <v/>
      </c>
      <c r="R598">
        <f>OR(AND(설정!$A$28&lt;&gt;"",ISNUMBER(SEARCH(설정!$A$28,E598&amp;" "&amp;C598))),AND(설정!$A$29&lt;&gt;"",ISNUMBER(SEARCH(설정!$A$29,E598&amp;" "&amp;C598))),AND(설정!$A$30&lt;&gt;"",ISNUMBER(SEARCH(설정!$A$30,E598&amp;" "&amp;C598))),AND(설정!$A$31&lt;&gt;"",ISNUMBER(SEARCH(설정!$A$31,E598&amp;" "&amp;C598))),AND(설정!$A$32&lt;&gt;"",ISNUMBER(SEARCH(설정!$A$32,E598&amp;" "&amp;C598))),AND(설정!$A$33&lt;&gt;"",ISNUMBER(SEARCH(설정!$A$33,E598&amp;" "&amp;C598))),AND(설정!$A$34&lt;&gt;"",ISNUMBER(SEARCH(설정!$A$34,E598&amp;" "&amp;C598))),AND(설정!$A$35&lt;&gt;"",ISNUMBER(SEARCH(설정!$A$35,E598&amp;" "&amp;C598))),AND(설정!$A$36&lt;&gt;"",ISNUMBER(SEARCH(설정!$A$36,E598&amp;" "&amp;C598))),AND(설정!$A$37&lt;&gt;"",ISNUMBER(SEARCH(설정!$A$37,E598&amp;" "&amp;C598))))</f>
        <v/>
      </c>
      <c r="S598">
        <f>OR(D598="",D598&gt;=설정!$B$19)</f>
        <v/>
      </c>
      <c r="T598">
        <f>AND(Q598,R598,S598)</f>
        <v/>
      </c>
      <c r="U598">
        <f>IF(T598,IF(AND(설정!$A$41&lt;&gt;"",ISNUMBER(SEARCH(설정!$A$41,K598))),설정!$B$41,IF(AND(설정!$A$42&lt;&gt;"",ISNUMBER(SEARCH(설정!$A$42,K598))),설정!$B$42,IF(AND(설정!$A$43&lt;&gt;"",ISNUMBER(SEARCH(설정!$A$43,K598))),설정!$B$43,IF(AND(설정!$A$44&lt;&gt;"",ISNUMBER(SEARCH(설정!$A$44,K598))),설정!$B$44,IF(AND(설정!$A$45&lt;&gt;"",ISNUMBER(SEARCH(설정!$A$45,K598))),설정!$B$45,IF(AND(설정!$A$46&lt;&gt;"",ISNUMBER(SEARCH(설정!$A$46,K598))),설정!$B$46,IF(AND(설정!$A$47&lt;&gt;"",ISNUMBER(SEARCH(설정!$A$47,K598))),설정!$B$47,IF(AND(설정!$A$48&lt;&gt;"",ISNUMBER(SEARCH(설정!$A$48,K598))),설정!$B$48,IF(M598="","설계사","시공사"))))))))),"")</f>
        <v/>
      </c>
      <c r="V598">
        <f>SUBSTITUTE(SUBSTITUTE(SUBSTITUTE(SUBSTITUTE(G598,"(주)",""),"㈜",""),"주식회사","")," ","")</f>
        <v/>
      </c>
      <c r="W598">
        <f>IF(AND(T598,V598&lt;&gt;""),IF(COUNTIFS(V$2:V598,V598,T$2:T598,TRUE)=1,MAX(W$1:W597)+1,""),"")</f>
        <v/>
      </c>
      <c r="X598">
        <f>IFERROR(INDEX('1.산군_붙여넣기'!$A$1:$AZ$1001,ROW(),설정!$C$14)&amp;"","")</f>
        <v/>
      </c>
      <c r="Y598">
        <f>IFERROR(INDEX('1.산군_붙여넣기'!$A$1:$AZ$1001,ROW(),설정!$C$15)&amp;"","")</f>
        <v/>
      </c>
      <c r="Z598">
        <f>IF(T598,V598&amp;"|"&amp;U598,"")</f>
        <v/>
      </c>
    </row>
    <row r="599">
      <c r="A599">
        <f>ROW()</f>
        <v/>
      </c>
      <c r="B599">
        <f>IFERROR(INDEX('1.산군_붙여넣기'!$A$1:$AZ$1001,ROW(),설정!$C$4)&amp;"","")</f>
        <v/>
      </c>
      <c r="C599">
        <f>IFERROR(INDEX('1.산군_붙여넣기'!$A$1:$AZ$1001,ROW(),설정!$C$5)&amp;"","")</f>
        <v/>
      </c>
      <c r="D599" s="5">
        <f>IFERROR(VALUE(SUBSTITUTE(SUBSTITUTE(SUBSTITUTE(IFERROR(INDEX('1.산군_붙여넣기'!$A$1:$AZ$1001,ROW(),설정!$C$6)&amp;"",""),",",""),"㎡",""),"m2","")),"")</f>
        <v/>
      </c>
      <c r="E599">
        <f>IFERROR(INDEX('1.산군_붙여넣기'!$A$1:$AZ$1001,ROW(),설정!$C$7)&amp;"","")</f>
        <v/>
      </c>
      <c r="F599">
        <f>IFERROR(INDEX('1.산군_붙여넣기'!$A$1:$AZ$1001,ROW(),설정!$C$8)&amp;"","")</f>
        <v/>
      </c>
      <c r="G599">
        <f>IFERROR(INDEX('1.산군_붙여넣기'!$A$1:$AZ$1001,ROW(),설정!$C$9)&amp;"","")</f>
        <v/>
      </c>
      <c r="H599">
        <f>IFERROR(INDEX('1.산군_붙여넣기'!$A$1:$AZ$1001,ROW(),설정!$C$10)&amp;"","")</f>
        <v/>
      </c>
      <c r="I599">
        <f>IFERROR(INDEX('1.산군_붙여넣기'!$A$1:$AZ$1001,ROW(),설정!$C$11)&amp;"","")</f>
        <v/>
      </c>
      <c r="J599">
        <f>IFERROR(INDEX('1.산군_붙여넣기'!$A$1:$AZ$1001,ROW(),설정!$C$12)&amp;"","")</f>
        <v/>
      </c>
      <c r="K599">
        <f>IFERROR(INDEX('1.산군_붙여넣기'!$A$1:$AZ$1001,ROW(),설정!$C$13)&amp;"","")</f>
        <v/>
      </c>
      <c r="L599" s="6">
        <f>IF(X599="","",IF(AND(LEN(X599)=8,ISNUMBER(X599*1)),DATE(LEFT(X599,4),MID(X599,5,2),RIGHT(X599,2)),IFERROR(DATEVALUE(SUBSTITUTE(SUBSTITUTE(X599,".","-"),"/","-")),IFERROR(X599*1,""))))</f>
        <v/>
      </c>
      <c r="M599" s="6">
        <f>IF(Y599="","",IF(AND(LEN(Y599)=8,ISNUMBER(Y599*1)),DATE(LEFT(Y599,4),MID(Y599,5,2),RIGHT(Y599,2)),IFERROR(DATEVALUE(SUBSTITUTE(SUBSTITUTE(Y599,".","-"),"/","-")),IFERROR(Y599*1,""))))</f>
        <v/>
      </c>
      <c r="N599">
        <f>IFERROR(LEFT(B599,FIND(" ",B599)-1),B599)</f>
        <v/>
      </c>
      <c r="O599">
        <f>AND(B599&lt;&gt;"",B599&lt;&gt;설정!$B$4,C599&lt;&gt;설정!$B$5)</f>
        <v/>
      </c>
      <c r="P599">
        <f>IF(O599,B599&amp;"|"&amp;C599,"")</f>
        <v/>
      </c>
      <c r="Q599">
        <f>AND(O599,COUNTIF(P600:P$1002,P599)=0)</f>
        <v/>
      </c>
      <c r="R599">
        <f>OR(AND(설정!$A$28&lt;&gt;"",ISNUMBER(SEARCH(설정!$A$28,E599&amp;" "&amp;C599))),AND(설정!$A$29&lt;&gt;"",ISNUMBER(SEARCH(설정!$A$29,E599&amp;" "&amp;C599))),AND(설정!$A$30&lt;&gt;"",ISNUMBER(SEARCH(설정!$A$30,E599&amp;" "&amp;C599))),AND(설정!$A$31&lt;&gt;"",ISNUMBER(SEARCH(설정!$A$31,E599&amp;" "&amp;C599))),AND(설정!$A$32&lt;&gt;"",ISNUMBER(SEARCH(설정!$A$32,E599&amp;" "&amp;C599))),AND(설정!$A$33&lt;&gt;"",ISNUMBER(SEARCH(설정!$A$33,E599&amp;" "&amp;C599))),AND(설정!$A$34&lt;&gt;"",ISNUMBER(SEARCH(설정!$A$34,E599&amp;" "&amp;C599))),AND(설정!$A$35&lt;&gt;"",ISNUMBER(SEARCH(설정!$A$35,E599&amp;" "&amp;C599))),AND(설정!$A$36&lt;&gt;"",ISNUMBER(SEARCH(설정!$A$36,E599&amp;" "&amp;C599))),AND(설정!$A$37&lt;&gt;"",ISNUMBER(SEARCH(설정!$A$37,E599&amp;" "&amp;C599))))</f>
        <v/>
      </c>
      <c r="S599">
        <f>OR(D599="",D599&gt;=설정!$B$19)</f>
        <v/>
      </c>
      <c r="T599">
        <f>AND(Q599,R599,S599)</f>
        <v/>
      </c>
      <c r="U599">
        <f>IF(T599,IF(AND(설정!$A$41&lt;&gt;"",ISNUMBER(SEARCH(설정!$A$41,K599))),설정!$B$41,IF(AND(설정!$A$42&lt;&gt;"",ISNUMBER(SEARCH(설정!$A$42,K599))),설정!$B$42,IF(AND(설정!$A$43&lt;&gt;"",ISNUMBER(SEARCH(설정!$A$43,K599))),설정!$B$43,IF(AND(설정!$A$44&lt;&gt;"",ISNUMBER(SEARCH(설정!$A$44,K599))),설정!$B$44,IF(AND(설정!$A$45&lt;&gt;"",ISNUMBER(SEARCH(설정!$A$45,K599))),설정!$B$45,IF(AND(설정!$A$46&lt;&gt;"",ISNUMBER(SEARCH(설정!$A$46,K599))),설정!$B$46,IF(AND(설정!$A$47&lt;&gt;"",ISNUMBER(SEARCH(설정!$A$47,K599))),설정!$B$47,IF(AND(설정!$A$48&lt;&gt;"",ISNUMBER(SEARCH(설정!$A$48,K599))),설정!$B$48,IF(M599="","설계사","시공사"))))))))),"")</f>
        <v/>
      </c>
      <c r="V599">
        <f>SUBSTITUTE(SUBSTITUTE(SUBSTITUTE(SUBSTITUTE(G599,"(주)",""),"㈜",""),"주식회사","")," ","")</f>
        <v/>
      </c>
      <c r="W599">
        <f>IF(AND(T599,V599&lt;&gt;""),IF(COUNTIFS(V$2:V599,V599,T$2:T599,TRUE)=1,MAX(W$1:W598)+1,""),"")</f>
        <v/>
      </c>
      <c r="X599">
        <f>IFERROR(INDEX('1.산군_붙여넣기'!$A$1:$AZ$1001,ROW(),설정!$C$14)&amp;"","")</f>
        <v/>
      </c>
      <c r="Y599">
        <f>IFERROR(INDEX('1.산군_붙여넣기'!$A$1:$AZ$1001,ROW(),설정!$C$15)&amp;"","")</f>
        <v/>
      </c>
      <c r="Z599">
        <f>IF(T599,V599&amp;"|"&amp;U599,"")</f>
        <v/>
      </c>
    </row>
    <row r="600">
      <c r="A600">
        <f>ROW()</f>
        <v/>
      </c>
      <c r="B600">
        <f>IFERROR(INDEX('1.산군_붙여넣기'!$A$1:$AZ$1001,ROW(),설정!$C$4)&amp;"","")</f>
        <v/>
      </c>
      <c r="C600">
        <f>IFERROR(INDEX('1.산군_붙여넣기'!$A$1:$AZ$1001,ROW(),설정!$C$5)&amp;"","")</f>
        <v/>
      </c>
      <c r="D600" s="5">
        <f>IFERROR(VALUE(SUBSTITUTE(SUBSTITUTE(SUBSTITUTE(IFERROR(INDEX('1.산군_붙여넣기'!$A$1:$AZ$1001,ROW(),설정!$C$6)&amp;"",""),",",""),"㎡",""),"m2","")),"")</f>
        <v/>
      </c>
      <c r="E600">
        <f>IFERROR(INDEX('1.산군_붙여넣기'!$A$1:$AZ$1001,ROW(),설정!$C$7)&amp;"","")</f>
        <v/>
      </c>
      <c r="F600">
        <f>IFERROR(INDEX('1.산군_붙여넣기'!$A$1:$AZ$1001,ROW(),설정!$C$8)&amp;"","")</f>
        <v/>
      </c>
      <c r="G600">
        <f>IFERROR(INDEX('1.산군_붙여넣기'!$A$1:$AZ$1001,ROW(),설정!$C$9)&amp;"","")</f>
        <v/>
      </c>
      <c r="H600">
        <f>IFERROR(INDEX('1.산군_붙여넣기'!$A$1:$AZ$1001,ROW(),설정!$C$10)&amp;"","")</f>
        <v/>
      </c>
      <c r="I600">
        <f>IFERROR(INDEX('1.산군_붙여넣기'!$A$1:$AZ$1001,ROW(),설정!$C$11)&amp;"","")</f>
        <v/>
      </c>
      <c r="J600">
        <f>IFERROR(INDEX('1.산군_붙여넣기'!$A$1:$AZ$1001,ROW(),설정!$C$12)&amp;"","")</f>
        <v/>
      </c>
      <c r="K600">
        <f>IFERROR(INDEX('1.산군_붙여넣기'!$A$1:$AZ$1001,ROW(),설정!$C$13)&amp;"","")</f>
        <v/>
      </c>
      <c r="L600" s="6">
        <f>IF(X600="","",IF(AND(LEN(X600)=8,ISNUMBER(X600*1)),DATE(LEFT(X600,4),MID(X600,5,2),RIGHT(X600,2)),IFERROR(DATEVALUE(SUBSTITUTE(SUBSTITUTE(X600,".","-"),"/","-")),IFERROR(X600*1,""))))</f>
        <v/>
      </c>
      <c r="M600" s="6">
        <f>IF(Y600="","",IF(AND(LEN(Y600)=8,ISNUMBER(Y600*1)),DATE(LEFT(Y600,4),MID(Y600,5,2),RIGHT(Y600,2)),IFERROR(DATEVALUE(SUBSTITUTE(SUBSTITUTE(Y600,".","-"),"/","-")),IFERROR(Y600*1,""))))</f>
        <v/>
      </c>
      <c r="N600">
        <f>IFERROR(LEFT(B600,FIND(" ",B600)-1),B600)</f>
        <v/>
      </c>
      <c r="O600">
        <f>AND(B600&lt;&gt;"",B600&lt;&gt;설정!$B$4,C600&lt;&gt;설정!$B$5)</f>
        <v/>
      </c>
      <c r="P600">
        <f>IF(O600,B600&amp;"|"&amp;C600,"")</f>
        <v/>
      </c>
      <c r="Q600">
        <f>AND(O600,COUNTIF(P601:P$1002,P600)=0)</f>
        <v/>
      </c>
      <c r="R600">
        <f>OR(AND(설정!$A$28&lt;&gt;"",ISNUMBER(SEARCH(설정!$A$28,E600&amp;" "&amp;C600))),AND(설정!$A$29&lt;&gt;"",ISNUMBER(SEARCH(설정!$A$29,E600&amp;" "&amp;C600))),AND(설정!$A$30&lt;&gt;"",ISNUMBER(SEARCH(설정!$A$30,E600&amp;" "&amp;C600))),AND(설정!$A$31&lt;&gt;"",ISNUMBER(SEARCH(설정!$A$31,E600&amp;" "&amp;C600))),AND(설정!$A$32&lt;&gt;"",ISNUMBER(SEARCH(설정!$A$32,E600&amp;" "&amp;C600))),AND(설정!$A$33&lt;&gt;"",ISNUMBER(SEARCH(설정!$A$33,E600&amp;" "&amp;C600))),AND(설정!$A$34&lt;&gt;"",ISNUMBER(SEARCH(설정!$A$34,E600&amp;" "&amp;C600))),AND(설정!$A$35&lt;&gt;"",ISNUMBER(SEARCH(설정!$A$35,E600&amp;" "&amp;C600))),AND(설정!$A$36&lt;&gt;"",ISNUMBER(SEARCH(설정!$A$36,E600&amp;" "&amp;C600))),AND(설정!$A$37&lt;&gt;"",ISNUMBER(SEARCH(설정!$A$37,E600&amp;" "&amp;C600))))</f>
        <v/>
      </c>
      <c r="S600">
        <f>OR(D600="",D600&gt;=설정!$B$19)</f>
        <v/>
      </c>
      <c r="T600">
        <f>AND(Q600,R600,S600)</f>
        <v/>
      </c>
      <c r="U600">
        <f>IF(T600,IF(AND(설정!$A$41&lt;&gt;"",ISNUMBER(SEARCH(설정!$A$41,K600))),설정!$B$41,IF(AND(설정!$A$42&lt;&gt;"",ISNUMBER(SEARCH(설정!$A$42,K600))),설정!$B$42,IF(AND(설정!$A$43&lt;&gt;"",ISNUMBER(SEARCH(설정!$A$43,K600))),설정!$B$43,IF(AND(설정!$A$44&lt;&gt;"",ISNUMBER(SEARCH(설정!$A$44,K600))),설정!$B$44,IF(AND(설정!$A$45&lt;&gt;"",ISNUMBER(SEARCH(설정!$A$45,K600))),설정!$B$45,IF(AND(설정!$A$46&lt;&gt;"",ISNUMBER(SEARCH(설정!$A$46,K600))),설정!$B$46,IF(AND(설정!$A$47&lt;&gt;"",ISNUMBER(SEARCH(설정!$A$47,K600))),설정!$B$47,IF(AND(설정!$A$48&lt;&gt;"",ISNUMBER(SEARCH(설정!$A$48,K600))),설정!$B$48,IF(M600="","설계사","시공사"))))))))),"")</f>
        <v/>
      </c>
      <c r="V600">
        <f>SUBSTITUTE(SUBSTITUTE(SUBSTITUTE(SUBSTITUTE(G600,"(주)",""),"㈜",""),"주식회사","")," ","")</f>
        <v/>
      </c>
      <c r="W600">
        <f>IF(AND(T600,V600&lt;&gt;""),IF(COUNTIFS(V$2:V600,V600,T$2:T600,TRUE)=1,MAX(W$1:W599)+1,""),"")</f>
        <v/>
      </c>
      <c r="X600">
        <f>IFERROR(INDEX('1.산군_붙여넣기'!$A$1:$AZ$1001,ROW(),설정!$C$14)&amp;"","")</f>
        <v/>
      </c>
      <c r="Y600">
        <f>IFERROR(INDEX('1.산군_붙여넣기'!$A$1:$AZ$1001,ROW(),설정!$C$15)&amp;"","")</f>
        <v/>
      </c>
      <c r="Z600">
        <f>IF(T600,V600&amp;"|"&amp;U600,"")</f>
        <v/>
      </c>
    </row>
    <row r="601">
      <c r="A601">
        <f>ROW()</f>
        <v/>
      </c>
      <c r="B601">
        <f>IFERROR(INDEX('1.산군_붙여넣기'!$A$1:$AZ$1001,ROW(),설정!$C$4)&amp;"","")</f>
        <v/>
      </c>
      <c r="C601">
        <f>IFERROR(INDEX('1.산군_붙여넣기'!$A$1:$AZ$1001,ROW(),설정!$C$5)&amp;"","")</f>
        <v/>
      </c>
      <c r="D601" s="5">
        <f>IFERROR(VALUE(SUBSTITUTE(SUBSTITUTE(SUBSTITUTE(IFERROR(INDEX('1.산군_붙여넣기'!$A$1:$AZ$1001,ROW(),설정!$C$6)&amp;"",""),",",""),"㎡",""),"m2","")),"")</f>
        <v/>
      </c>
      <c r="E601">
        <f>IFERROR(INDEX('1.산군_붙여넣기'!$A$1:$AZ$1001,ROW(),설정!$C$7)&amp;"","")</f>
        <v/>
      </c>
      <c r="F601">
        <f>IFERROR(INDEX('1.산군_붙여넣기'!$A$1:$AZ$1001,ROW(),설정!$C$8)&amp;"","")</f>
        <v/>
      </c>
      <c r="G601">
        <f>IFERROR(INDEX('1.산군_붙여넣기'!$A$1:$AZ$1001,ROW(),설정!$C$9)&amp;"","")</f>
        <v/>
      </c>
      <c r="H601">
        <f>IFERROR(INDEX('1.산군_붙여넣기'!$A$1:$AZ$1001,ROW(),설정!$C$10)&amp;"","")</f>
        <v/>
      </c>
      <c r="I601">
        <f>IFERROR(INDEX('1.산군_붙여넣기'!$A$1:$AZ$1001,ROW(),설정!$C$11)&amp;"","")</f>
        <v/>
      </c>
      <c r="J601">
        <f>IFERROR(INDEX('1.산군_붙여넣기'!$A$1:$AZ$1001,ROW(),설정!$C$12)&amp;"","")</f>
        <v/>
      </c>
      <c r="K601">
        <f>IFERROR(INDEX('1.산군_붙여넣기'!$A$1:$AZ$1001,ROW(),설정!$C$13)&amp;"","")</f>
        <v/>
      </c>
      <c r="L601" s="6">
        <f>IF(X601="","",IF(AND(LEN(X601)=8,ISNUMBER(X601*1)),DATE(LEFT(X601,4),MID(X601,5,2),RIGHT(X601,2)),IFERROR(DATEVALUE(SUBSTITUTE(SUBSTITUTE(X601,".","-"),"/","-")),IFERROR(X601*1,""))))</f>
        <v/>
      </c>
      <c r="M601" s="6">
        <f>IF(Y601="","",IF(AND(LEN(Y601)=8,ISNUMBER(Y601*1)),DATE(LEFT(Y601,4),MID(Y601,5,2),RIGHT(Y601,2)),IFERROR(DATEVALUE(SUBSTITUTE(SUBSTITUTE(Y601,".","-"),"/","-")),IFERROR(Y601*1,""))))</f>
        <v/>
      </c>
      <c r="N601">
        <f>IFERROR(LEFT(B601,FIND(" ",B601)-1),B601)</f>
        <v/>
      </c>
      <c r="O601">
        <f>AND(B601&lt;&gt;"",B601&lt;&gt;설정!$B$4,C601&lt;&gt;설정!$B$5)</f>
        <v/>
      </c>
      <c r="P601">
        <f>IF(O601,B601&amp;"|"&amp;C601,"")</f>
        <v/>
      </c>
      <c r="Q601">
        <f>AND(O601,COUNTIF(P602:P$1002,P601)=0)</f>
        <v/>
      </c>
      <c r="R601">
        <f>OR(AND(설정!$A$28&lt;&gt;"",ISNUMBER(SEARCH(설정!$A$28,E601&amp;" "&amp;C601))),AND(설정!$A$29&lt;&gt;"",ISNUMBER(SEARCH(설정!$A$29,E601&amp;" "&amp;C601))),AND(설정!$A$30&lt;&gt;"",ISNUMBER(SEARCH(설정!$A$30,E601&amp;" "&amp;C601))),AND(설정!$A$31&lt;&gt;"",ISNUMBER(SEARCH(설정!$A$31,E601&amp;" "&amp;C601))),AND(설정!$A$32&lt;&gt;"",ISNUMBER(SEARCH(설정!$A$32,E601&amp;" "&amp;C601))),AND(설정!$A$33&lt;&gt;"",ISNUMBER(SEARCH(설정!$A$33,E601&amp;" "&amp;C601))),AND(설정!$A$34&lt;&gt;"",ISNUMBER(SEARCH(설정!$A$34,E601&amp;" "&amp;C601))),AND(설정!$A$35&lt;&gt;"",ISNUMBER(SEARCH(설정!$A$35,E601&amp;" "&amp;C601))),AND(설정!$A$36&lt;&gt;"",ISNUMBER(SEARCH(설정!$A$36,E601&amp;" "&amp;C601))),AND(설정!$A$37&lt;&gt;"",ISNUMBER(SEARCH(설정!$A$37,E601&amp;" "&amp;C601))))</f>
        <v/>
      </c>
      <c r="S601">
        <f>OR(D601="",D601&gt;=설정!$B$19)</f>
        <v/>
      </c>
      <c r="T601">
        <f>AND(Q601,R601,S601)</f>
        <v/>
      </c>
      <c r="U601">
        <f>IF(T601,IF(AND(설정!$A$41&lt;&gt;"",ISNUMBER(SEARCH(설정!$A$41,K601))),설정!$B$41,IF(AND(설정!$A$42&lt;&gt;"",ISNUMBER(SEARCH(설정!$A$42,K601))),설정!$B$42,IF(AND(설정!$A$43&lt;&gt;"",ISNUMBER(SEARCH(설정!$A$43,K601))),설정!$B$43,IF(AND(설정!$A$44&lt;&gt;"",ISNUMBER(SEARCH(설정!$A$44,K601))),설정!$B$44,IF(AND(설정!$A$45&lt;&gt;"",ISNUMBER(SEARCH(설정!$A$45,K601))),설정!$B$45,IF(AND(설정!$A$46&lt;&gt;"",ISNUMBER(SEARCH(설정!$A$46,K601))),설정!$B$46,IF(AND(설정!$A$47&lt;&gt;"",ISNUMBER(SEARCH(설정!$A$47,K601))),설정!$B$47,IF(AND(설정!$A$48&lt;&gt;"",ISNUMBER(SEARCH(설정!$A$48,K601))),설정!$B$48,IF(M601="","설계사","시공사"))))))))),"")</f>
        <v/>
      </c>
      <c r="V601">
        <f>SUBSTITUTE(SUBSTITUTE(SUBSTITUTE(SUBSTITUTE(G601,"(주)",""),"㈜",""),"주식회사","")," ","")</f>
        <v/>
      </c>
      <c r="W601">
        <f>IF(AND(T601,V601&lt;&gt;""),IF(COUNTIFS(V$2:V601,V601,T$2:T601,TRUE)=1,MAX(W$1:W600)+1,""),"")</f>
        <v/>
      </c>
      <c r="X601">
        <f>IFERROR(INDEX('1.산군_붙여넣기'!$A$1:$AZ$1001,ROW(),설정!$C$14)&amp;"","")</f>
        <v/>
      </c>
      <c r="Y601">
        <f>IFERROR(INDEX('1.산군_붙여넣기'!$A$1:$AZ$1001,ROW(),설정!$C$15)&amp;"","")</f>
        <v/>
      </c>
      <c r="Z601">
        <f>IF(T601,V601&amp;"|"&amp;U601,"")</f>
        <v/>
      </c>
    </row>
    <row r="602">
      <c r="A602">
        <f>ROW()</f>
        <v/>
      </c>
      <c r="B602">
        <f>IFERROR(INDEX('1.산군_붙여넣기'!$A$1:$AZ$1001,ROW(),설정!$C$4)&amp;"","")</f>
        <v/>
      </c>
      <c r="C602">
        <f>IFERROR(INDEX('1.산군_붙여넣기'!$A$1:$AZ$1001,ROW(),설정!$C$5)&amp;"","")</f>
        <v/>
      </c>
      <c r="D602" s="5">
        <f>IFERROR(VALUE(SUBSTITUTE(SUBSTITUTE(SUBSTITUTE(IFERROR(INDEX('1.산군_붙여넣기'!$A$1:$AZ$1001,ROW(),설정!$C$6)&amp;"",""),",",""),"㎡",""),"m2","")),"")</f>
        <v/>
      </c>
      <c r="E602">
        <f>IFERROR(INDEX('1.산군_붙여넣기'!$A$1:$AZ$1001,ROW(),설정!$C$7)&amp;"","")</f>
        <v/>
      </c>
      <c r="F602">
        <f>IFERROR(INDEX('1.산군_붙여넣기'!$A$1:$AZ$1001,ROW(),설정!$C$8)&amp;"","")</f>
        <v/>
      </c>
      <c r="G602">
        <f>IFERROR(INDEX('1.산군_붙여넣기'!$A$1:$AZ$1001,ROW(),설정!$C$9)&amp;"","")</f>
        <v/>
      </c>
      <c r="H602">
        <f>IFERROR(INDEX('1.산군_붙여넣기'!$A$1:$AZ$1001,ROW(),설정!$C$10)&amp;"","")</f>
        <v/>
      </c>
      <c r="I602">
        <f>IFERROR(INDEX('1.산군_붙여넣기'!$A$1:$AZ$1001,ROW(),설정!$C$11)&amp;"","")</f>
        <v/>
      </c>
      <c r="J602">
        <f>IFERROR(INDEX('1.산군_붙여넣기'!$A$1:$AZ$1001,ROW(),설정!$C$12)&amp;"","")</f>
        <v/>
      </c>
      <c r="K602">
        <f>IFERROR(INDEX('1.산군_붙여넣기'!$A$1:$AZ$1001,ROW(),설정!$C$13)&amp;"","")</f>
        <v/>
      </c>
      <c r="L602" s="6">
        <f>IF(X602="","",IF(AND(LEN(X602)=8,ISNUMBER(X602*1)),DATE(LEFT(X602,4),MID(X602,5,2),RIGHT(X602,2)),IFERROR(DATEVALUE(SUBSTITUTE(SUBSTITUTE(X602,".","-"),"/","-")),IFERROR(X602*1,""))))</f>
        <v/>
      </c>
      <c r="M602" s="6">
        <f>IF(Y602="","",IF(AND(LEN(Y602)=8,ISNUMBER(Y602*1)),DATE(LEFT(Y602,4),MID(Y602,5,2),RIGHT(Y602,2)),IFERROR(DATEVALUE(SUBSTITUTE(SUBSTITUTE(Y602,".","-"),"/","-")),IFERROR(Y602*1,""))))</f>
        <v/>
      </c>
      <c r="N602">
        <f>IFERROR(LEFT(B602,FIND(" ",B602)-1),B602)</f>
        <v/>
      </c>
      <c r="O602">
        <f>AND(B602&lt;&gt;"",B602&lt;&gt;설정!$B$4,C602&lt;&gt;설정!$B$5)</f>
        <v/>
      </c>
      <c r="P602">
        <f>IF(O602,B602&amp;"|"&amp;C602,"")</f>
        <v/>
      </c>
      <c r="Q602">
        <f>AND(O602,COUNTIF(P603:P$1002,P602)=0)</f>
        <v/>
      </c>
      <c r="R602">
        <f>OR(AND(설정!$A$28&lt;&gt;"",ISNUMBER(SEARCH(설정!$A$28,E602&amp;" "&amp;C602))),AND(설정!$A$29&lt;&gt;"",ISNUMBER(SEARCH(설정!$A$29,E602&amp;" "&amp;C602))),AND(설정!$A$30&lt;&gt;"",ISNUMBER(SEARCH(설정!$A$30,E602&amp;" "&amp;C602))),AND(설정!$A$31&lt;&gt;"",ISNUMBER(SEARCH(설정!$A$31,E602&amp;" "&amp;C602))),AND(설정!$A$32&lt;&gt;"",ISNUMBER(SEARCH(설정!$A$32,E602&amp;" "&amp;C602))),AND(설정!$A$33&lt;&gt;"",ISNUMBER(SEARCH(설정!$A$33,E602&amp;" "&amp;C602))),AND(설정!$A$34&lt;&gt;"",ISNUMBER(SEARCH(설정!$A$34,E602&amp;" "&amp;C602))),AND(설정!$A$35&lt;&gt;"",ISNUMBER(SEARCH(설정!$A$35,E602&amp;" "&amp;C602))),AND(설정!$A$36&lt;&gt;"",ISNUMBER(SEARCH(설정!$A$36,E602&amp;" "&amp;C602))),AND(설정!$A$37&lt;&gt;"",ISNUMBER(SEARCH(설정!$A$37,E602&amp;" "&amp;C602))))</f>
        <v/>
      </c>
      <c r="S602">
        <f>OR(D602="",D602&gt;=설정!$B$19)</f>
        <v/>
      </c>
      <c r="T602">
        <f>AND(Q602,R602,S602)</f>
        <v/>
      </c>
      <c r="U602">
        <f>IF(T602,IF(AND(설정!$A$41&lt;&gt;"",ISNUMBER(SEARCH(설정!$A$41,K602))),설정!$B$41,IF(AND(설정!$A$42&lt;&gt;"",ISNUMBER(SEARCH(설정!$A$42,K602))),설정!$B$42,IF(AND(설정!$A$43&lt;&gt;"",ISNUMBER(SEARCH(설정!$A$43,K602))),설정!$B$43,IF(AND(설정!$A$44&lt;&gt;"",ISNUMBER(SEARCH(설정!$A$44,K602))),설정!$B$44,IF(AND(설정!$A$45&lt;&gt;"",ISNUMBER(SEARCH(설정!$A$45,K602))),설정!$B$45,IF(AND(설정!$A$46&lt;&gt;"",ISNUMBER(SEARCH(설정!$A$46,K602))),설정!$B$46,IF(AND(설정!$A$47&lt;&gt;"",ISNUMBER(SEARCH(설정!$A$47,K602))),설정!$B$47,IF(AND(설정!$A$48&lt;&gt;"",ISNUMBER(SEARCH(설정!$A$48,K602))),설정!$B$48,IF(M602="","설계사","시공사"))))))))),"")</f>
        <v/>
      </c>
      <c r="V602">
        <f>SUBSTITUTE(SUBSTITUTE(SUBSTITUTE(SUBSTITUTE(G602,"(주)",""),"㈜",""),"주식회사","")," ","")</f>
        <v/>
      </c>
      <c r="W602">
        <f>IF(AND(T602,V602&lt;&gt;""),IF(COUNTIFS(V$2:V602,V602,T$2:T602,TRUE)=1,MAX(W$1:W601)+1,""),"")</f>
        <v/>
      </c>
      <c r="X602">
        <f>IFERROR(INDEX('1.산군_붙여넣기'!$A$1:$AZ$1001,ROW(),설정!$C$14)&amp;"","")</f>
        <v/>
      </c>
      <c r="Y602">
        <f>IFERROR(INDEX('1.산군_붙여넣기'!$A$1:$AZ$1001,ROW(),설정!$C$15)&amp;"","")</f>
        <v/>
      </c>
      <c r="Z602">
        <f>IF(T602,V602&amp;"|"&amp;U602,"")</f>
        <v/>
      </c>
    </row>
    <row r="603">
      <c r="A603">
        <f>ROW()</f>
        <v/>
      </c>
      <c r="B603">
        <f>IFERROR(INDEX('1.산군_붙여넣기'!$A$1:$AZ$1001,ROW(),설정!$C$4)&amp;"","")</f>
        <v/>
      </c>
      <c r="C603">
        <f>IFERROR(INDEX('1.산군_붙여넣기'!$A$1:$AZ$1001,ROW(),설정!$C$5)&amp;"","")</f>
        <v/>
      </c>
      <c r="D603" s="5">
        <f>IFERROR(VALUE(SUBSTITUTE(SUBSTITUTE(SUBSTITUTE(IFERROR(INDEX('1.산군_붙여넣기'!$A$1:$AZ$1001,ROW(),설정!$C$6)&amp;"",""),",",""),"㎡",""),"m2","")),"")</f>
        <v/>
      </c>
      <c r="E603">
        <f>IFERROR(INDEX('1.산군_붙여넣기'!$A$1:$AZ$1001,ROW(),설정!$C$7)&amp;"","")</f>
        <v/>
      </c>
      <c r="F603">
        <f>IFERROR(INDEX('1.산군_붙여넣기'!$A$1:$AZ$1001,ROW(),설정!$C$8)&amp;"","")</f>
        <v/>
      </c>
      <c r="G603">
        <f>IFERROR(INDEX('1.산군_붙여넣기'!$A$1:$AZ$1001,ROW(),설정!$C$9)&amp;"","")</f>
        <v/>
      </c>
      <c r="H603">
        <f>IFERROR(INDEX('1.산군_붙여넣기'!$A$1:$AZ$1001,ROW(),설정!$C$10)&amp;"","")</f>
        <v/>
      </c>
      <c r="I603">
        <f>IFERROR(INDEX('1.산군_붙여넣기'!$A$1:$AZ$1001,ROW(),설정!$C$11)&amp;"","")</f>
        <v/>
      </c>
      <c r="J603">
        <f>IFERROR(INDEX('1.산군_붙여넣기'!$A$1:$AZ$1001,ROW(),설정!$C$12)&amp;"","")</f>
        <v/>
      </c>
      <c r="K603">
        <f>IFERROR(INDEX('1.산군_붙여넣기'!$A$1:$AZ$1001,ROW(),설정!$C$13)&amp;"","")</f>
        <v/>
      </c>
      <c r="L603" s="6">
        <f>IF(X603="","",IF(AND(LEN(X603)=8,ISNUMBER(X603*1)),DATE(LEFT(X603,4),MID(X603,5,2),RIGHT(X603,2)),IFERROR(DATEVALUE(SUBSTITUTE(SUBSTITUTE(X603,".","-"),"/","-")),IFERROR(X603*1,""))))</f>
        <v/>
      </c>
      <c r="M603" s="6">
        <f>IF(Y603="","",IF(AND(LEN(Y603)=8,ISNUMBER(Y603*1)),DATE(LEFT(Y603,4),MID(Y603,5,2),RIGHT(Y603,2)),IFERROR(DATEVALUE(SUBSTITUTE(SUBSTITUTE(Y603,".","-"),"/","-")),IFERROR(Y603*1,""))))</f>
        <v/>
      </c>
      <c r="N603">
        <f>IFERROR(LEFT(B603,FIND(" ",B603)-1),B603)</f>
        <v/>
      </c>
      <c r="O603">
        <f>AND(B603&lt;&gt;"",B603&lt;&gt;설정!$B$4,C603&lt;&gt;설정!$B$5)</f>
        <v/>
      </c>
      <c r="P603">
        <f>IF(O603,B603&amp;"|"&amp;C603,"")</f>
        <v/>
      </c>
      <c r="Q603">
        <f>AND(O603,COUNTIF(P604:P$1002,P603)=0)</f>
        <v/>
      </c>
      <c r="R603">
        <f>OR(AND(설정!$A$28&lt;&gt;"",ISNUMBER(SEARCH(설정!$A$28,E603&amp;" "&amp;C603))),AND(설정!$A$29&lt;&gt;"",ISNUMBER(SEARCH(설정!$A$29,E603&amp;" "&amp;C603))),AND(설정!$A$30&lt;&gt;"",ISNUMBER(SEARCH(설정!$A$30,E603&amp;" "&amp;C603))),AND(설정!$A$31&lt;&gt;"",ISNUMBER(SEARCH(설정!$A$31,E603&amp;" "&amp;C603))),AND(설정!$A$32&lt;&gt;"",ISNUMBER(SEARCH(설정!$A$32,E603&amp;" "&amp;C603))),AND(설정!$A$33&lt;&gt;"",ISNUMBER(SEARCH(설정!$A$33,E603&amp;" "&amp;C603))),AND(설정!$A$34&lt;&gt;"",ISNUMBER(SEARCH(설정!$A$34,E603&amp;" "&amp;C603))),AND(설정!$A$35&lt;&gt;"",ISNUMBER(SEARCH(설정!$A$35,E603&amp;" "&amp;C603))),AND(설정!$A$36&lt;&gt;"",ISNUMBER(SEARCH(설정!$A$36,E603&amp;" "&amp;C603))),AND(설정!$A$37&lt;&gt;"",ISNUMBER(SEARCH(설정!$A$37,E603&amp;" "&amp;C603))))</f>
        <v/>
      </c>
      <c r="S603">
        <f>OR(D603="",D603&gt;=설정!$B$19)</f>
        <v/>
      </c>
      <c r="T603">
        <f>AND(Q603,R603,S603)</f>
        <v/>
      </c>
      <c r="U603">
        <f>IF(T603,IF(AND(설정!$A$41&lt;&gt;"",ISNUMBER(SEARCH(설정!$A$41,K603))),설정!$B$41,IF(AND(설정!$A$42&lt;&gt;"",ISNUMBER(SEARCH(설정!$A$42,K603))),설정!$B$42,IF(AND(설정!$A$43&lt;&gt;"",ISNUMBER(SEARCH(설정!$A$43,K603))),설정!$B$43,IF(AND(설정!$A$44&lt;&gt;"",ISNUMBER(SEARCH(설정!$A$44,K603))),설정!$B$44,IF(AND(설정!$A$45&lt;&gt;"",ISNUMBER(SEARCH(설정!$A$45,K603))),설정!$B$45,IF(AND(설정!$A$46&lt;&gt;"",ISNUMBER(SEARCH(설정!$A$46,K603))),설정!$B$46,IF(AND(설정!$A$47&lt;&gt;"",ISNUMBER(SEARCH(설정!$A$47,K603))),설정!$B$47,IF(AND(설정!$A$48&lt;&gt;"",ISNUMBER(SEARCH(설정!$A$48,K603))),설정!$B$48,IF(M603="","설계사","시공사"))))))))),"")</f>
        <v/>
      </c>
      <c r="V603">
        <f>SUBSTITUTE(SUBSTITUTE(SUBSTITUTE(SUBSTITUTE(G603,"(주)",""),"㈜",""),"주식회사","")," ","")</f>
        <v/>
      </c>
      <c r="W603">
        <f>IF(AND(T603,V603&lt;&gt;""),IF(COUNTIFS(V$2:V603,V603,T$2:T603,TRUE)=1,MAX(W$1:W602)+1,""),"")</f>
        <v/>
      </c>
      <c r="X603">
        <f>IFERROR(INDEX('1.산군_붙여넣기'!$A$1:$AZ$1001,ROW(),설정!$C$14)&amp;"","")</f>
        <v/>
      </c>
      <c r="Y603">
        <f>IFERROR(INDEX('1.산군_붙여넣기'!$A$1:$AZ$1001,ROW(),설정!$C$15)&amp;"","")</f>
        <v/>
      </c>
      <c r="Z603">
        <f>IF(T603,V603&amp;"|"&amp;U603,"")</f>
        <v/>
      </c>
    </row>
    <row r="604">
      <c r="A604">
        <f>ROW()</f>
        <v/>
      </c>
      <c r="B604">
        <f>IFERROR(INDEX('1.산군_붙여넣기'!$A$1:$AZ$1001,ROW(),설정!$C$4)&amp;"","")</f>
        <v/>
      </c>
      <c r="C604">
        <f>IFERROR(INDEX('1.산군_붙여넣기'!$A$1:$AZ$1001,ROW(),설정!$C$5)&amp;"","")</f>
        <v/>
      </c>
      <c r="D604" s="5">
        <f>IFERROR(VALUE(SUBSTITUTE(SUBSTITUTE(SUBSTITUTE(IFERROR(INDEX('1.산군_붙여넣기'!$A$1:$AZ$1001,ROW(),설정!$C$6)&amp;"",""),",",""),"㎡",""),"m2","")),"")</f>
        <v/>
      </c>
      <c r="E604">
        <f>IFERROR(INDEX('1.산군_붙여넣기'!$A$1:$AZ$1001,ROW(),설정!$C$7)&amp;"","")</f>
        <v/>
      </c>
      <c r="F604">
        <f>IFERROR(INDEX('1.산군_붙여넣기'!$A$1:$AZ$1001,ROW(),설정!$C$8)&amp;"","")</f>
        <v/>
      </c>
      <c r="G604">
        <f>IFERROR(INDEX('1.산군_붙여넣기'!$A$1:$AZ$1001,ROW(),설정!$C$9)&amp;"","")</f>
        <v/>
      </c>
      <c r="H604">
        <f>IFERROR(INDEX('1.산군_붙여넣기'!$A$1:$AZ$1001,ROW(),설정!$C$10)&amp;"","")</f>
        <v/>
      </c>
      <c r="I604">
        <f>IFERROR(INDEX('1.산군_붙여넣기'!$A$1:$AZ$1001,ROW(),설정!$C$11)&amp;"","")</f>
        <v/>
      </c>
      <c r="J604">
        <f>IFERROR(INDEX('1.산군_붙여넣기'!$A$1:$AZ$1001,ROW(),설정!$C$12)&amp;"","")</f>
        <v/>
      </c>
      <c r="K604">
        <f>IFERROR(INDEX('1.산군_붙여넣기'!$A$1:$AZ$1001,ROW(),설정!$C$13)&amp;"","")</f>
        <v/>
      </c>
      <c r="L604" s="6">
        <f>IF(X604="","",IF(AND(LEN(X604)=8,ISNUMBER(X604*1)),DATE(LEFT(X604,4),MID(X604,5,2),RIGHT(X604,2)),IFERROR(DATEVALUE(SUBSTITUTE(SUBSTITUTE(X604,".","-"),"/","-")),IFERROR(X604*1,""))))</f>
        <v/>
      </c>
      <c r="M604" s="6">
        <f>IF(Y604="","",IF(AND(LEN(Y604)=8,ISNUMBER(Y604*1)),DATE(LEFT(Y604,4),MID(Y604,5,2),RIGHT(Y604,2)),IFERROR(DATEVALUE(SUBSTITUTE(SUBSTITUTE(Y604,".","-"),"/","-")),IFERROR(Y604*1,""))))</f>
        <v/>
      </c>
      <c r="N604">
        <f>IFERROR(LEFT(B604,FIND(" ",B604)-1),B604)</f>
        <v/>
      </c>
      <c r="O604">
        <f>AND(B604&lt;&gt;"",B604&lt;&gt;설정!$B$4,C604&lt;&gt;설정!$B$5)</f>
        <v/>
      </c>
      <c r="P604">
        <f>IF(O604,B604&amp;"|"&amp;C604,"")</f>
        <v/>
      </c>
      <c r="Q604">
        <f>AND(O604,COUNTIF(P605:P$1002,P604)=0)</f>
        <v/>
      </c>
      <c r="R604">
        <f>OR(AND(설정!$A$28&lt;&gt;"",ISNUMBER(SEARCH(설정!$A$28,E604&amp;" "&amp;C604))),AND(설정!$A$29&lt;&gt;"",ISNUMBER(SEARCH(설정!$A$29,E604&amp;" "&amp;C604))),AND(설정!$A$30&lt;&gt;"",ISNUMBER(SEARCH(설정!$A$30,E604&amp;" "&amp;C604))),AND(설정!$A$31&lt;&gt;"",ISNUMBER(SEARCH(설정!$A$31,E604&amp;" "&amp;C604))),AND(설정!$A$32&lt;&gt;"",ISNUMBER(SEARCH(설정!$A$32,E604&amp;" "&amp;C604))),AND(설정!$A$33&lt;&gt;"",ISNUMBER(SEARCH(설정!$A$33,E604&amp;" "&amp;C604))),AND(설정!$A$34&lt;&gt;"",ISNUMBER(SEARCH(설정!$A$34,E604&amp;" "&amp;C604))),AND(설정!$A$35&lt;&gt;"",ISNUMBER(SEARCH(설정!$A$35,E604&amp;" "&amp;C604))),AND(설정!$A$36&lt;&gt;"",ISNUMBER(SEARCH(설정!$A$36,E604&amp;" "&amp;C604))),AND(설정!$A$37&lt;&gt;"",ISNUMBER(SEARCH(설정!$A$37,E604&amp;" "&amp;C604))))</f>
        <v/>
      </c>
      <c r="S604">
        <f>OR(D604="",D604&gt;=설정!$B$19)</f>
        <v/>
      </c>
      <c r="T604">
        <f>AND(Q604,R604,S604)</f>
        <v/>
      </c>
      <c r="U604">
        <f>IF(T604,IF(AND(설정!$A$41&lt;&gt;"",ISNUMBER(SEARCH(설정!$A$41,K604))),설정!$B$41,IF(AND(설정!$A$42&lt;&gt;"",ISNUMBER(SEARCH(설정!$A$42,K604))),설정!$B$42,IF(AND(설정!$A$43&lt;&gt;"",ISNUMBER(SEARCH(설정!$A$43,K604))),설정!$B$43,IF(AND(설정!$A$44&lt;&gt;"",ISNUMBER(SEARCH(설정!$A$44,K604))),설정!$B$44,IF(AND(설정!$A$45&lt;&gt;"",ISNUMBER(SEARCH(설정!$A$45,K604))),설정!$B$45,IF(AND(설정!$A$46&lt;&gt;"",ISNUMBER(SEARCH(설정!$A$46,K604))),설정!$B$46,IF(AND(설정!$A$47&lt;&gt;"",ISNUMBER(SEARCH(설정!$A$47,K604))),설정!$B$47,IF(AND(설정!$A$48&lt;&gt;"",ISNUMBER(SEARCH(설정!$A$48,K604))),설정!$B$48,IF(M604="","설계사","시공사"))))))))),"")</f>
        <v/>
      </c>
      <c r="V604">
        <f>SUBSTITUTE(SUBSTITUTE(SUBSTITUTE(SUBSTITUTE(G604,"(주)",""),"㈜",""),"주식회사","")," ","")</f>
        <v/>
      </c>
      <c r="W604">
        <f>IF(AND(T604,V604&lt;&gt;""),IF(COUNTIFS(V$2:V604,V604,T$2:T604,TRUE)=1,MAX(W$1:W603)+1,""),"")</f>
        <v/>
      </c>
      <c r="X604">
        <f>IFERROR(INDEX('1.산군_붙여넣기'!$A$1:$AZ$1001,ROW(),설정!$C$14)&amp;"","")</f>
        <v/>
      </c>
      <c r="Y604">
        <f>IFERROR(INDEX('1.산군_붙여넣기'!$A$1:$AZ$1001,ROW(),설정!$C$15)&amp;"","")</f>
        <v/>
      </c>
      <c r="Z604">
        <f>IF(T604,V604&amp;"|"&amp;U604,"")</f>
        <v/>
      </c>
    </row>
    <row r="605">
      <c r="A605">
        <f>ROW()</f>
        <v/>
      </c>
      <c r="B605">
        <f>IFERROR(INDEX('1.산군_붙여넣기'!$A$1:$AZ$1001,ROW(),설정!$C$4)&amp;"","")</f>
        <v/>
      </c>
      <c r="C605">
        <f>IFERROR(INDEX('1.산군_붙여넣기'!$A$1:$AZ$1001,ROW(),설정!$C$5)&amp;"","")</f>
        <v/>
      </c>
      <c r="D605" s="5">
        <f>IFERROR(VALUE(SUBSTITUTE(SUBSTITUTE(SUBSTITUTE(IFERROR(INDEX('1.산군_붙여넣기'!$A$1:$AZ$1001,ROW(),설정!$C$6)&amp;"",""),",",""),"㎡",""),"m2","")),"")</f>
        <v/>
      </c>
      <c r="E605">
        <f>IFERROR(INDEX('1.산군_붙여넣기'!$A$1:$AZ$1001,ROW(),설정!$C$7)&amp;"","")</f>
        <v/>
      </c>
      <c r="F605">
        <f>IFERROR(INDEX('1.산군_붙여넣기'!$A$1:$AZ$1001,ROW(),설정!$C$8)&amp;"","")</f>
        <v/>
      </c>
      <c r="G605">
        <f>IFERROR(INDEX('1.산군_붙여넣기'!$A$1:$AZ$1001,ROW(),설정!$C$9)&amp;"","")</f>
        <v/>
      </c>
      <c r="H605">
        <f>IFERROR(INDEX('1.산군_붙여넣기'!$A$1:$AZ$1001,ROW(),설정!$C$10)&amp;"","")</f>
        <v/>
      </c>
      <c r="I605">
        <f>IFERROR(INDEX('1.산군_붙여넣기'!$A$1:$AZ$1001,ROW(),설정!$C$11)&amp;"","")</f>
        <v/>
      </c>
      <c r="J605">
        <f>IFERROR(INDEX('1.산군_붙여넣기'!$A$1:$AZ$1001,ROW(),설정!$C$12)&amp;"","")</f>
        <v/>
      </c>
      <c r="K605">
        <f>IFERROR(INDEX('1.산군_붙여넣기'!$A$1:$AZ$1001,ROW(),설정!$C$13)&amp;"","")</f>
        <v/>
      </c>
      <c r="L605" s="6">
        <f>IF(X605="","",IF(AND(LEN(X605)=8,ISNUMBER(X605*1)),DATE(LEFT(X605,4),MID(X605,5,2),RIGHT(X605,2)),IFERROR(DATEVALUE(SUBSTITUTE(SUBSTITUTE(X605,".","-"),"/","-")),IFERROR(X605*1,""))))</f>
        <v/>
      </c>
      <c r="M605" s="6">
        <f>IF(Y605="","",IF(AND(LEN(Y605)=8,ISNUMBER(Y605*1)),DATE(LEFT(Y605,4),MID(Y605,5,2),RIGHT(Y605,2)),IFERROR(DATEVALUE(SUBSTITUTE(SUBSTITUTE(Y605,".","-"),"/","-")),IFERROR(Y605*1,""))))</f>
        <v/>
      </c>
      <c r="N605">
        <f>IFERROR(LEFT(B605,FIND(" ",B605)-1),B605)</f>
        <v/>
      </c>
      <c r="O605">
        <f>AND(B605&lt;&gt;"",B605&lt;&gt;설정!$B$4,C605&lt;&gt;설정!$B$5)</f>
        <v/>
      </c>
      <c r="P605">
        <f>IF(O605,B605&amp;"|"&amp;C605,"")</f>
        <v/>
      </c>
      <c r="Q605">
        <f>AND(O605,COUNTIF(P606:P$1002,P605)=0)</f>
        <v/>
      </c>
      <c r="R605">
        <f>OR(AND(설정!$A$28&lt;&gt;"",ISNUMBER(SEARCH(설정!$A$28,E605&amp;" "&amp;C605))),AND(설정!$A$29&lt;&gt;"",ISNUMBER(SEARCH(설정!$A$29,E605&amp;" "&amp;C605))),AND(설정!$A$30&lt;&gt;"",ISNUMBER(SEARCH(설정!$A$30,E605&amp;" "&amp;C605))),AND(설정!$A$31&lt;&gt;"",ISNUMBER(SEARCH(설정!$A$31,E605&amp;" "&amp;C605))),AND(설정!$A$32&lt;&gt;"",ISNUMBER(SEARCH(설정!$A$32,E605&amp;" "&amp;C605))),AND(설정!$A$33&lt;&gt;"",ISNUMBER(SEARCH(설정!$A$33,E605&amp;" "&amp;C605))),AND(설정!$A$34&lt;&gt;"",ISNUMBER(SEARCH(설정!$A$34,E605&amp;" "&amp;C605))),AND(설정!$A$35&lt;&gt;"",ISNUMBER(SEARCH(설정!$A$35,E605&amp;" "&amp;C605))),AND(설정!$A$36&lt;&gt;"",ISNUMBER(SEARCH(설정!$A$36,E605&amp;" "&amp;C605))),AND(설정!$A$37&lt;&gt;"",ISNUMBER(SEARCH(설정!$A$37,E605&amp;" "&amp;C605))))</f>
        <v/>
      </c>
      <c r="S605">
        <f>OR(D605="",D605&gt;=설정!$B$19)</f>
        <v/>
      </c>
      <c r="T605">
        <f>AND(Q605,R605,S605)</f>
        <v/>
      </c>
      <c r="U605">
        <f>IF(T605,IF(AND(설정!$A$41&lt;&gt;"",ISNUMBER(SEARCH(설정!$A$41,K605))),설정!$B$41,IF(AND(설정!$A$42&lt;&gt;"",ISNUMBER(SEARCH(설정!$A$42,K605))),설정!$B$42,IF(AND(설정!$A$43&lt;&gt;"",ISNUMBER(SEARCH(설정!$A$43,K605))),설정!$B$43,IF(AND(설정!$A$44&lt;&gt;"",ISNUMBER(SEARCH(설정!$A$44,K605))),설정!$B$44,IF(AND(설정!$A$45&lt;&gt;"",ISNUMBER(SEARCH(설정!$A$45,K605))),설정!$B$45,IF(AND(설정!$A$46&lt;&gt;"",ISNUMBER(SEARCH(설정!$A$46,K605))),설정!$B$46,IF(AND(설정!$A$47&lt;&gt;"",ISNUMBER(SEARCH(설정!$A$47,K605))),설정!$B$47,IF(AND(설정!$A$48&lt;&gt;"",ISNUMBER(SEARCH(설정!$A$48,K605))),설정!$B$48,IF(M605="","설계사","시공사"))))))))),"")</f>
        <v/>
      </c>
      <c r="V605">
        <f>SUBSTITUTE(SUBSTITUTE(SUBSTITUTE(SUBSTITUTE(G605,"(주)",""),"㈜",""),"주식회사","")," ","")</f>
        <v/>
      </c>
      <c r="W605">
        <f>IF(AND(T605,V605&lt;&gt;""),IF(COUNTIFS(V$2:V605,V605,T$2:T605,TRUE)=1,MAX(W$1:W604)+1,""),"")</f>
        <v/>
      </c>
      <c r="X605">
        <f>IFERROR(INDEX('1.산군_붙여넣기'!$A$1:$AZ$1001,ROW(),설정!$C$14)&amp;"","")</f>
        <v/>
      </c>
      <c r="Y605">
        <f>IFERROR(INDEX('1.산군_붙여넣기'!$A$1:$AZ$1001,ROW(),설정!$C$15)&amp;"","")</f>
        <v/>
      </c>
      <c r="Z605">
        <f>IF(T605,V605&amp;"|"&amp;U605,"")</f>
        <v/>
      </c>
    </row>
    <row r="606">
      <c r="A606">
        <f>ROW()</f>
        <v/>
      </c>
      <c r="B606">
        <f>IFERROR(INDEX('1.산군_붙여넣기'!$A$1:$AZ$1001,ROW(),설정!$C$4)&amp;"","")</f>
        <v/>
      </c>
      <c r="C606">
        <f>IFERROR(INDEX('1.산군_붙여넣기'!$A$1:$AZ$1001,ROW(),설정!$C$5)&amp;"","")</f>
        <v/>
      </c>
      <c r="D606" s="5">
        <f>IFERROR(VALUE(SUBSTITUTE(SUBSTITUTE(SUBSTITUTE(IFERROR(INDEX('1.산군_붙여넣기'!$A$1:$AZ$1001,ROW(),설정!$C$6)&amp;"",""),",",""),"㎡",""),"m2","")),"")</f>
        <v/>
      </c>
      <c r="E606">
        <f>IFERROR(INDEX('1.산군_붙여넣기'!$A$1:$AZ$1001,ROW(),설정!$C$7)&amp;"","")</f>
        <v/>
      </c>
      <c r="F606">
        <f>IFERROR(INDEX('1.산군_붙여넣기'!$A$1:$AZ$1001,ROW(),설정!$C$8)&amp;"","")</f>
        <v/>
      </c>
      <c r="G606">
        <f>IFERROR(INDEX('1.산군_붙여넣기'!$A$1:$AZ$1001,ROW(),설정!$C$9)&amp;"","")</f>
        <v/>
      </c>
      <c r="H606">
        <f>IFERROR(INDEX('1.산군_붙여넣기'!$A$1:$AZ$1001,ROW(),설정!$C$10)&amp;"","")</f>
        <v/>
      </c>
      <c r="I606">
        <f>IFERROR(INDEX('1.산군_붙여넣기'!$A$1:$AZ$1001,ROW(),설정!$C$11)&amp;"","")</f>
        <v/>
      </c>
      <c r="J606">
        <f>IFERROR(INDEX('1.산군_붙여넣기'!$A$1:$AZ$1001,ROW(),설정!$C$12)&amp;"","")</f>
        <v/>
      </c>
      <c r="K606">
        <f>IFERROR(INDEX('1.산군_붙여넣기'!$A$1:$AZ$1001,ROW(),설정!$C$13)&amp;"","")</f>
        <v/>
      </c>
      <c r="L606" s="6">
        <f>IF(X606="","",IF(AND(LEN(X606)=8,ISNUMBER(X606*1)),DATE(LEFT(X606,4),MID(X606,5,2),RIGHT(X606,2)),IFERROR(DATEVALUE(SUBSTITUTE(SUBSTITUTE(X606,".","-"),"/","-")),IFERROR(X606*1,""))))</f>
        <v/>
      </c>
      <c r="M606" s="6">
        <f>IF(Y606="","",IF(AND(LEN(Y606)=8,ISNUMBER(Y606*1)),DATE(LEFT(Y606,4),MID(Y606,5,2),RIGHT(Y606,2)),IFERROR(DATEVALUE(SUBSTITUTE(SUBSTITUTE(Y606,".","-"),"/","-")),IFERROR(Y606*1,""))))</f>
        <v/>
      </c>
      <c r="N606">
        <f>IFERROR(LEFT(B606,FIND(" ",B606)-1),B606)</f>
        <v/>
      </c>
      <c r="O606">
        <f>AND(B606&lt;&gt;"",B606&lt;&gt;설정!$B$4,C606&lt;&gt;설정!$B$5)</f>
        <v/>
      </c>
      <c r="P606">
        <f>IF(O606,B606&amp;"|"&amp;C606,"")</f>
        <v/>
      </c>
      <c r="Q606">
        <f>AND(O606,COUNTIF(P607:P$1002,P606)=0)</f>
        <v/>
      </c>
      <c r="R606">
        <f>OR(AND(설정!$A$28&lt;&gt;"",ISNUMBER(SEARCH(설정!$A$28,E606&amp;" "&amp;C606))),AND(설정!$A$29&lt;&gt;"",ISNUMBER(SEARCH(설정!$A$29,E606&amp;" "&amp;C606))),AND(설정!$A$30&lt;&gt;"",ISNUMBER(SEARCH(설정!$A$30,E606&amp;" "&amp;C606))),AND(설정!$A$31&lt;&gt;"",ISNUMBER(SEARCH(설정!$A$31,E606&amp;" "&amp;C606))),AND(설정!$A$32&lt;&gt;"",ISNUMBER(SEARCH(설정!$A$32,E606&amp;" "&amp;C606))),AND(설정!$A$33&lt;&gt;"",ISNUMBER(SEARCH(설정!$A$33,E606&amp;" "&amp;C606))),AND(설정!$A$34&lt;&gt;"",ISNUMBER(SEARCH(설정!$A$34,E606&amp;" "&amp;C606))),AND(설정!$A$35&lt;&gt;"",ISNUMBER(SEARCH(설정!$A$35,E606&amp;" "&amp;C606))),AND(설정!$A$36&lt;&gt;"",ISNUMBER(SEARCH(설정!$A$36,E606&amp;" "&amp;C606))),AND(설정!$A$37&lt;&gt;"",ISNUMBER(SEARCH(설정!$A$37,E606&amp;" "&amp;C606))))</f>
        <v/>
      </c>
      <c r="S606">
        <f>OR(D606="",D606&gt;=설정!$B$19)</f>
        <v/>
      </c>
      <c r="T606">
        <f>AND(Q606,R606,S606)</f>
        <v/>
      </c>
      <c r="U606">
        <f>IF(T606,IF(AND(설정!$A$41&lt;&gt;"",ISNUMBER(SEARCH(설정!$A$41,K606))),설정!$B$41,IF(AND(설정!$A$42&lt;&gt;"",ISNUMBER(SEARCH(설정!$A$42,K606))),설정!$B$42,IF(AND(설정!$A$43&lt;&gt;"",ISNUMBER(SEARCH(설정!$A$43,K606))),설정!$B$43,IF(AND(설정!$A$44&lt;&gt;"",ISNUMBER(SEARCH(설정!$A$44,K606))),설정!$B$44,IF(AND(설정!$A$45&lt;&gt;"",ISNUMBER(SEARCH(설정!$A$45,K606))),설정!$B$45,IF(AND(설정!$A$46&lt;&gt;"",ISNUMBER(SEARCH(설정!$A$46,K606))),설정!$B$46,IF(AND(설정!$A$47&lt;&gt;"",ISNUMBER(SEARCH(설정!$A$47,K606))),설정!$B$47,IF(AND(설정!$A$48&lt;&gt;"",ISNUMBER(SEARCH(설정!$A$48,K606))),설정!$B$48,IF(M606="","설계사","시공사"))))))))),"")</f>
        <v/>
      </c>
      <c r="V606">
        <f>SUBSTITUTE(SUBSTITUTE(SUBSTITUTE(SUBSTITUTE(G606,"(주)",""),"㈜",""),"주식회사","")," ","")</f>
        <v/>
      </c>
      <c r="W606">
        <f>IF(AND(T606,V606&lt;&gt;""),IF(COUNTIFS(V$2:V606,V606,T$2:T606,TRUE)=1,MAX(W$1:W605)+1,""),"")</f>
        <v/>
      </c>
      <c r="X606">
        <f>IFERROR(INDEX('1.산군_붙여넣기'!$A$1:$AZ$1001,ROW(),설정!$C$14)&amp;"","")</f>
        <v/>
      </c>
      <c r="Y606">
        <f>IFERROR(INDEX('1.산군_붙여넣기'!$A$1:$AZ$1001,ROW(),설정!$C$15)&amp;"","")</f>
        <v/>
      </c>
      <c r="Z606">
        <f>IF(T606,V606&amp;"|"&amp;U606,"")</f>
        <v/>
      </c>
    </row>
    <row r="607">
      <c r="A607">
        <f>ROW()</f>
        <v/>
      </c>
      <c r="B607">
        <f>IFERROR(INDEX('1.산군_붙여넣기'!$A$1:$AZ$1001,ROW(),설정!$C$4)&amp;"","")</f>
        <v/>
      </c>
      <c r="C607">
        <f>IFERROR(INDEX('1.산군_붙여넣기'!$A$1:$AZ$1001,ROW(),설정!$C$5)&amp;"","")</f>
        <v/>
      </c>
      <c r="D607" s="5">
        <f>IFERROR(VALUE(SUBSTITUTE(SUBSTITUTE(SUBSTITUTE(IFERROR(INDEX('1.산군_붙여넣기'!$A$1:$AZ$1001,ROW(),설정!$C$6)&amp;"",""),",",""),"㎡",""),"m2","")),"")</f>
        <v/>
      </c>
      <c r="E607">
        <f>IFERROR(INDEX('1.산군_붙여넣기'!$A$1:$AZ$1001,ROW(),설정!$C$7)&amp;"","")</f>
        <v/>
      </c>
      <c r="F607">
        <f>IFERROR(INDEX('1.산군_붙여넣기'!$A$1:$AZ$1001,ROW(),설정!$C$8)&amp;"","")</f>
        <v/>
      </c>
      <c r="G607">
        <f>IFERROR(INDEX('1.산군_붙여넣기'!$A$1:$AZ$1001,ROW(),설정!$C$9)&amp;"","")</f>
        <v/>
      </c>
      <c r="H607">
        <f>IFERROR(INDEX('1.산군_붙여넣기'!$A$1:$AZ$1001,ROW(),설정!$C$10)&amp;"","")</f>
        <v/>
      </c>
      <c r="I607">
        <f>IFERROR(INDEX('1.산군_붙여넣기'!$A$1:$AZ$1001,ROW(),설정!$C$11)&amp;"","")</f>
        <v/>
      </c>
      <c r="J607">
        <f>IFERROR(INDEX('1.산군_붙여넣기'!$A$1:$AZ$1001,ROW(),설정!$C$12)&amp;"","")</f>
        <v/>
      </c>
      <c r="K607">
        <f>IFERROR(INDEX('1.산군_붙여넣기'!$A$1:$AZ$1001,ROW(),설정!$C$13)&amp;"","")</f>
        <v/>
      </c>
      <c r="L607" s="6">
        <f>IF(X607="","",IF(AND(LEN(X607)=8,ISNUMBER(X607*1)),DATE(LEFT(X607,4),MID(X607,5,2),RIGHT(X607,2)),IFERROR(DATEVALUE(SUBSTITUTE(SUBSTITUTE(X607,".","-"),"/","-")),IFERROR(X607*1,""))))</f>
        <v/>
      </c>
      <c r="M607" s="6">
        <f>IF(Y607="","",IF(AND(LEN(Y607)=8,ISNUMBER(Y607*1)),DATE(LEFT(Y607,4),MID(Y607,5,2),RIGHT(Y607,2)),IFERROR(DATEVALUE(SUBSTITUTE(SUBSTITUTE(Y607,".","-"),"/","-")),IFERROR(Y607*1,""))))</f>
        <v/>
      </c>
      <c r="N607">
        <f>IFERROR(LEFT(B607,FIND(" ",B607)-1),B607)</f>
        <v/>
      </c>
      <c r="O607">
        <f>AND(B607&lt;&gt;"",B607&lt;&gt;설정!$B$4,C607&lt;&gt;설정!$B$5)</f>
        <v/>
      </c>
      <c r="P607">
        <f>IF(O607,B607&amp;"|"&amp;C607,"")</f>
        <v/>
      </c>
      <c r="Q607">
        <f>AND(O607,COUNTIF(P608:P$1002,P607)=0)</f>
        <v/>
      </c>
      <c r="R607">
        <f>OR(AND(설정!$A$28&lt;&gt;"",ISNUMBER(SEARCH(설정!$A$28,E607&amp;" "&amp;C607))),AND(설정!$A$29&lt;&gt;"",ISNUMBER(SEARCH(설정!$A$29,E607&amp;" "&amp;C607))),AND(설정!$A$30&lt;&gt;"",ISNUMBER(SEARCH(설정!$A$30,E607&amp;" "&amp;C607))),AND(설정!$A$31&lt;&gt;"",ISNUMBER(SEARCH(설정!$A$31,E607&amp;" "&amp;C607))),AND(설정!$A$32&lt;&gt;"",ISNUMBER(SEARCH(설정!$A$32,E607&amp;" "&amp;C607))),AND(설정!$A$33&lt;&gt;"",ISNUMBER(SEARCH(설정!$A$33,E607&amp;" "&amp;C607))),AND(설정!$A$34&lt;&gt;"",ISNUMBER(SEARCH(설정!$A$34,E607&amp;" "&amp;C607))),AND(설정!$A$35&lt;&gt;"",ISNUMBER(SEARCH(설정!$A$35,E607&amp;" "&amp;C607))),AND(설정!$A$36&lt;&gt;"",ISNUMBER(SEARCH(설정!$A$36,E607&amp;" "&amp;C607))),AND(설정!$A$37&lt;&gt;"",ISNUMBER(SEARCH(설정!$A$37,E607&amp;" "&amp;C607))))</f>
        <v/>
      </c>
      <c r="S607">
        <f>OR(D607="",D607&gt;=설정!$B$19)</f>
        <v/>
      </c>
      <c r="T607">
        <f>AND(Q607,R607,S607)</f>
        <v/>
      </c>
      <c r="U607">
        <f>IF(T607,IF(AND(설정!$A$41&lt;&gt;"",ISNUMBER(SEARCH(설정!$A$41,K607))),설정!$B$41,IF(AND(설정!$A$42&lt;&gt;"",ISNUMBER(SEARCH(설정!$A$42,K607))),설정!$B$42,IF(AND(설정!$A$43&lt;&gt;"",ISNUMBER(SEARCH(설정!$A$43,K607))),설정!$B$43,IF(AND(설정!$A$44&lt;&gt;"",ISNUMBER(SEARCH(설정!$A$44,K607))),설정!$B$44,IF(AND(설정!$A$45&lt;&gt;"",ISNUMBER(SEARCH(설정!$A$45,K607))),설정!$B$45,IF(AND(설정!$A$46&lt;&gt;"",ISNUMBER(SEARCH(설정!$A$46,K607))),설정!$B$46,IF(AND(설정!$A$47&lt;&gt;"",ISNUMBER(SEARCH(설정!$A$47,K607))),설정!$B$47,IF(AND(설정!$A$48&lt;&gt;"",ISNUMBER(SEARCH(설정!$A$48,K607))),설정!$B$48,IF(M607="","설계사","시공사"))))))))),"")</f>
        <v/>
      </c>
      <c r="V607">
        <f>SUBSTITUTE(SUBSTITUTE(SUBSTITUTE(SUBSTITUTE(G607,"(주)",""),"㈜",""),"주식회사","")," ","")</f>
        <v/>
      </c>
      <c r="W607">
        <f>IF(AND(T607,V607&lt;&gt;""),IF(COUNTIFS(V$2:V607,V607,T$2:T607,TRUE)=1,MAX(W$1:W606)+1,""),"")</f>
        <v/>
      </c>
      <c r="X607">
        <f>IFERROR(INDEX('1.산군_붙여넣기'!$A$1:$AZ$1001,ROW(),설정!$C$14)&amp;"","")</f>
        <v/>
      </c>
      <c r="Y607">
        <f>IFERROR(INDEX('1.산군_붙여넣기'!$A$1:$AZ$1001,ROW(),설정!$C$15)&amp;"","")</f>
        <v/>
      </c>
      <c r="Z607">
        <f>IF(T607,V607&amp;"|"&amp;U607,"")</f>
        <v/>
      </c>
    </row>
    <row r="608">
      <c r="A608">
        <f>ROW()</f>
        <v/>
      </c>
      <c r="B608">
        <f>IFERROR(INDEX('1.산군_붙여넣기'!$A$1:$AZ$1001,ROW(),설정!$C$4)&amp;"","")</f>
        <v/>
      </c>
      <c r="C608">
        <f>IFERROR(INDEX('1.산군_붙여넣기'!$A$1:$AZ$1001,ROW(),설정!$C$5)&amp;"","")</f>
        <v/>
      </c>
      <c r="D608" s="5">
        <f>IFERROR(VALUE(SUBSTITUTE(SUBSTITUTE(SUBSTITUTE(IFERROR(INDEX('1.산군_붙여넣기'!$A$1:$AZ$1001,ROW(),설정!$C$6)&amp;"",""),",",""),"㎡",""),"m2","")),"")</f>
        <v/>
      </c>
      <c r="E608">
        <f>IFERROR(INDEX('1.산군_붙여넣기'!$A$1:$AZ$1001,ROW(),설정!$C$7)&amp;"","")</f>
        <v/>
      </c>
      <c r="F608">
        <f>IFERROR(INDEX('1.산군_붙여넣기'!$A$1:$AZ$1001,ROW(),설정!$C$8)&amp;"","")</f>
        <v/>
      </c>
      <c r="G608">
        <f>IFERROR(INDEX('1.산군_붙여넣기'!$A$1:$AZ$1001,ROW(),설정!$C$9)&amp;"","")</f>
        <v/>
      </c>
      <c r="H608">
        <f>IFERROR(INDEX('1.산군_붙여넣기'!$A$1:$AZ$1001,ROW(),설정!$C$10)&amp;"","")</f>
        <v/>
      </c>
      <c r="I608">
        <f>IFERROR(INDEX('1.산군_붙여넣기'!$A$1:$AZ$1001,ROW(),설정!$C$11)&amp;"","")</f>
        <v/>
      </c>
      <c r="J608">
        <f>IFERROR(INDEX('1.산군_붙여넣기'!$A$1:$AZ$1001,ROW(),설정!$C$12)&amp;"","")</f>
        <v/>
      </c>
      <c r="K608">
        <f>IFERROR(INDEX('1.산군_붙여넣기'!$A$1:$AZ$1001,ROW(),설정!$C$13)&amp;"","")</f>
        <v/>
      </c>
      <c r="L608" s="6">
        <f>IF(X608="","",IF(AND(LEN(X608)=8,ISNUMBER(X608*1)),DATE(LEFT(X608,4),MID(X608,5,2),RIGHT(X608,2)),IFERROR(DATEVALUE(SUBSTITUTE(SUBSTITUTE(X608,".","-"),"/","-")),IFERROR(X608*1,""))))</f>
        <v/>
      </c>
      <c r="M608" s="6">
        <f>IF(Y608="","",IF(AND(LEN(Y608)=8,ISNUMBER(Y608*1)),DATE(LEFT(Y608,4),MID(Y608,5,2),RIGHT(Y608,2)),IFERROR(DATEVALUE(SUBSTITUTE(SUBSTITUTE(Y608,".","-"),"/","-")),IFERROR(Y608*1,""))))</f>
        <v/>
      </c>
      <c r="N608">
        <f>IFERROR(LEFT(B608,FIND(" ",B608)-1),B608)</f>
        <v/>
      </c>
      <c r="O608">
        <f>AND(B608&lt;&gt;"",B608&lt;&gt;설정!$B$4,C608&lt;&gt;설정!$B$5)</f>
        <v/>
      </c>
      <c r="P608">
        <f>IF(O608,B608&amp;"|"&amp;C608,"")</f>
        <v/>
      </c>
      <c r="Q608">
        <f>AND(O608,COUNTIF(P609:P$1002,P608)=0)</f>
        <v/>
      </c>
      <c r="R608">
        <f>OR(AND(설정!$A$28&lt;&gt;"",ISNUMBER(SEARCH(설정!$A$28,E608&amp;" "&amp;C608))),AND(설정!$A$29&lt;&gt;"",ISNUMBER(SEARCH(설정!$A$29,E608&amp;" "&amp;C608))),AND(설정!$A$30&lt;&gt;"",ISNUMBER(SEARCH(설정!$A$30,E608&amp;" "&amp;C608))),AND(설정!$A$31&lt;&gt;"",ISNUMBER(SEARCH(설정!$A$31,E608&amp;" "&amp;C608))),AND(설정!$A$32&lt;&gt;"",ISNUMBER(SEARCH(설정!$A$32,E608&amp;" "&amp;C608))),AND(설정!$A$33&lt;&gt;"",ISNUMBER(SEARCH(설정!$A$33,E608&amp;" "&amp;C608))),AND(설정!$A$34&lt;&gt;"",ISNUMBER(SEARCH(설정!$A$34,E608&amp;" "&amp;C608))),AND(설정!$A$35&lt;&gt;"",ISNUMBER(SEARCH(설정!$A$35,E608&amp;" "&amp;C608))),AND(설정!$A$36&lt;&gt;"",ISNUMBER(SEARCH(설정!$A$36,E608&amp;" "&amp;C608))),AND(설정!$A$37&lt;&gt;"",ISNUMBER(SEARCH(설정!$A$37,E608&amp;" "&amp;C608))))</f>
        <v/>
      </c>
      <c r="S608">
        <f>OR(D608="",D608&gt;=설정!$B$19)</f>
        <v/>
      </c>
      <c r="T608">
        <f>AND(Q608,R608,S608)</f>
        <v/>
      </c>
      <c r="U608">
        <f>IF(T608,IF(AND(설정!$A$41&lt;&gt;"",ISNUMBER(SEARCH(설정!$A$41,K608))),설정!$B$41,IF(AND(설정!$A$42&lt;&gt;"",ISNUMBER(SEARCH(설정!$A$42,K608))),설정!$B$42,IF(AND(설정!$A$43&lt;&gt;"",ISNUMBER(SEARCH(설정!$A$43,K608))),설정!$B$43,IF(AND(설정!$A$44&lt;&gt;"",ISNUMBER(SEARCH(설정!$A$44,K608))),설정!$B$44,IF(AND(설정!$A$45&lt;&gt;"",ISNUMBER(SEARCH(설정!$A$45,K608))),설정!$B$45,IF(AND(설정!$A$46&lt;&gt;"",ISNUMBER(SEARCH(설정!$A$46,K608))),설정!$B$46,IF(AND(설정!$A$47&lt;&gt;"",ISNUMBER(SEARCH(설정!$A$47,K608))),설정!$B$47,IF(AND(설정!$A$48&lt;&gt;"",ISNUMBER(SEARCH(설정!$A$48,K608))),설정!$B$48,IF(M608="","설계사","시공사"))))))))),"")</f>
        <v/>
      </c>
      <c r="V608">
        <f>SUBSTITUTE(SUBSTITUTE(SUBSTITUTE(SUBSTITUTE(G608,"(주)",""),"㈜",""),"주식회사","")," ","")</f>
        <v/>
      </c>
      <c r="W608">
        <f>IF(AND(T608,V608&lt;&gt;""),IF(COUNTIFS(V$2:V608,V608,T$2:T608,TRUE)=1,MAX(W$1:W607)+1,""),"")</f>
        <v/>
      </c>
      <c r="X608">
        <f>IFERROR(INDEX('1.산군_붙여넣기'!$A$1:$AZ$1001,ROW(),설정!$C$14)&amp;"","")</f>
        <v/>
      </c>
      <c r="Y608">
        <f>IFERROR(INDEX('1.산군_붙여넣기'!$A$1:$AZ$1001,ROW(),설정!$C$15)&amp;"","")</f>
        <v/>
      </c>
      <c r="Z608">
        <f>IF(T608,V608&amp;"|"&amp;U608,"")</f>
        <v/>
      </c>
    </row>
    <row r="609">
      <c r="A609">
        <f>ROW()</f>
        <v/>
      </c>
      <c r="B609">
        <f>IFERROR(INDEX('1.산군_붙여넣기'!$A$1:$AZ$1001,ROW(),설정!$C$4)&amp;"","")</f>
        <v/>
      </c>
      <c r="C609">
        <f>IFERROR(INDEX('1.산군_붙여넣기'!$A$1:$AZ$1001,ROW(),설정!$C$5)&amp;"","")</f>
        <v/>
      </c>
      <c r="D609" s="5">
        <f>IFERROR(VALUE(SUBSTITUTE(SUBSTITUTE(SUBSTITUTE(IFERROR(INDEX('1.산군_붙여넣기'!$A$1:$AZ$1001,ROW(),설정!$C$6)&amp;"",""),",",""),"㎡",""),"m2","")),"")</f>
        <v/>
      </c>
      <c r="E609">
        <f>IFERROR(INDEX('1.산군_붙여넣기'!$A$1:$AZ$1001,ROW(),설정!$C$7)&amp;"","")</f>
        <v/>
      </c>
      <c r="F609">
        <f>IFERROR(INDEX('1.산군_붙여넣기'!$A$1:$AZ$1001,ROW(),설정!$C$8)&amp;"","")</f>
        <v/>
      </c>
      <c r="G609">
        <f>IFERROR(INDEX('1.산군_붙여넣기'!$A$1:$AZ$1001,ROW(),설정!$C$9)&amp;"","")</f>
        <v/>
      </c>
      <c r="H609">
        <f>IFERROR(INDEX('1.산군_붙여넣기'!$A$1:$AZ$1001,ROW(),설정!$C$10)&amp;"","")</f>
        <v/>
      </c>
      <c r="I609">
        <f>IFERROR(INDEX('1.산군_붙여넣기'!$A$1:$AZ$1001,ROW(),설정!$C$11)&amp;"","")</f>
        <v/>
      </c>
      <c r="J609">
        <f>IFERROR(INDEX('1.산군_붙여넣기'!$A$1:$AZ$1001,ROW(),설정!$C$12)&amp;"","")</f>
        <v/>
      </c>
      <c r="K609">
        <f>IFERROR(INDEX('1.산군_붙여넣기'!$A$1:$AZ$1001,ROW(),설정!$C$13)&amp;"","")</f>
        <v/>
      </c>
      <c r="L609" s="6">
        <f>IF(X609="","",IF(AND(LEN(X609)=8,ISNUMBER(X609*1)),DATE(LEFT(X609,4),MID(X609,5,2),RIGHT(X609,2)),IFERROR(DATEVALUE(SUBSTITUTE(SUBSTITUTE(X609,".","-"),"/","-")),IFERROR(X609*1,""))))</f>
        <v/>
      </c>
      <c r="M609" s="6">
        <f>IF(Y609="","",IF(AND(LEN(Y609)=8,ISNUMBER(Y609*1)),DATE(LEFT(Y609,4),MID(Y609,5,2),RIGHT(Y609,2)),IFERROR(DATEVALUE(SUBSTITUTE(SUBSTITUTE(Y609,".","-"),"/","-")),IFERROR(Y609*1,""))))</f>
        <v/>
      </c>
      <c r="N609">
        <f>IFERROR(LEFT(B609,FIND(" ",B609)-1),B609)</f>
        <v/>
      </c>
      <c r="O609">
        <f>AND(B609&lt;&gt;"",B609&lt;&gt;설정!$B$4,C609&lt;&gt;설정!$B$5)</f>
        <v/>
      </c>
      <c r="P609">
        <f>IF(O609,B609&amp;"|"&amp;C609,"")</f>
        <v/>
      </c>
      <c r="Q609">
        <f>AND(O609,COUNTIF(P610:P$1002,P609)=0)</f>
        <v/>
      </c>
      <c r="R609">
        <f>OR(AND(설정!$A$28&lt;&gt;"",ISNUMBER(SEARCH(설정!$A$28,E609&amp;" "&amp;C609))),AND(설정!$A$29&lt;&gt;"",ISNUMBER(SEARCH(설정!$A$29,E609&amp;" "&amp;C609))),AND(설정!$A$30&lt;&gt;"",ISNUMBER(SEARCH(설정!$A$30,E609&amp;" "&amp;C609))),AND(설정!$A$31&lt;&gt;"",ISNUMBER(SEARCH(설정!$A$31,E609&amp;" "&amp;C609))),AND(설정!$A$32&lt;&gt;"",ISNUMBER(SEARCH(설정!$A$32,E609&amp;" "&amp;C609))),AND(설정!$A$33&lt;&gt;"",ISNUMBER(SEARCH(설정!$A$33,E609&amp;" "&amp;C609))),AND(설정!$A$34&lt;&gt;"",ISNUMBER(SEARCH(설정!$A$34,E609&amp;" "&amp;C609))),AND(설정!$A$35&lt;&gt;"",ISNUMBER(SEARCH(설정!$A$35,E609&amp;" "&amp;C609))),AND(설정!$A$36&lt;&gt;"",ISNUMBER(SEARCH(설정!$A$36,E609&amp;" "&amp;C609))),AND(설정!$A$37&lt;&gt;"",ISNUMBER(SEARCH(설정!$A$37,E609&amp;" "&amp;C609))))</f>
        <v/>
      </c>
      <c r="S609">
        <f>OR(D609="",D609&gt;=설정!$B$19)</f>
        <v/>
      </c>
      <c r="T609">
        <f>AND(Q609,R609,S609)</f>
        <v/>
      </c>
      <c r="U609">
        <f>IF(T609,IF(AND(설정!$A$41&lt;&gt;"",ISNUMBER(SEARCH(설정!$A$41,K609))),설정!$B$41,IF(AND(설정!$A$42&lt;&gt;"",ISNUMBER(SEARCH(설정!$A$42,K609))),설정!$B$42,IF(AND(설정!$A$43&lt;&gt;"",ISNUMBER(SEARCH(설정!$A$43,K609))),설정!$B$43,IF(AND(설정!$A$44&lt;&gt;"",ISNUMBER(SEARCH(설정!$A$44,K609))),설정!$B$44,IF(AND(설정!$A$45&lt;&gt;"",ISNUMBER(SEARCH(설정!$A$45,K609))),설정!$B$45,IF(AND(설정!$A$46&lt;&gt;"",ISNUMBER(SEARCH(설정!$A$46,K609))),설정!$B$46,IF(AND(설정!$A$47&lt;&gt;"",ISNUMBER(SEARCH(설정!$A$47,K609))),설정!$B$47,IF(AND(설정!$A$48&lt;&gt;"",ISNUMBER(SEARCH(설정!$A$48,K609))),설정!$B$48,IF(M609="","설계사","시공사"))))))))),"")</f>
        <v/>
      </c>
      <c r="V609">
        <f>SUBSTITUTE(SUBSTITUTE(SUBSTITUTE(SUBSTITUTE(G609,"(주)",""),"㈜",""),"주식회사","")," ","")</f>
        <v/>
      </c>
      <c r="W609">
        <f>IF(AND(T609,V609&lt;&gt;""),IF(COUNTIFS(V$2:V609,V609,T$2:T609,TRUE)=1,MAX(W$1:W608)+1,""),"")</f>
        <v/>
      </c>
      <c r="X609">
        <f>IFERROR(INDEX('1.산군_붙여넣기'!$A$1:$AZ$1001,ROW(),설정!$C$14)&amp;"","")</f>
        <v/>
      </c>
      <c r="Y609">
        <f>IFERROR(INDEX('1.산군_붙여넣기'!$A$1:$AZ$1001,ROW(),설정!$C$15)&amp;"","")</f>
        <v/>
      </c>
      <c r="Z609">
        <f>IF(T609,V609&amp;"|"&amp;U609,"")</f>
        <v/>
      </c>
    </row>
    <row r="610">
      <c r="A610">
        <f>ROW()</f>
        <v/>
      </c>
      <c r="B610">
        <f>IFERROR(INDEX('1.산군_붙여넣기'!$A$1:$AZ$1001,ROW(),설정!$C$4)&amp;"","")</f>
        <v/>
      </c>
      <c r="C610">
        <f>IFERROR(INDEX('1.산군_붙여넣기'!$A$1:$AZ$1001,ROW(),설정!$C$5)&amp;"","")</f>
        <v/>
      </c>
      <c r="D610" s="5">
        <f>IFERROR(VALUE(SUBSTITUTE(SUBSTITUTE(SUBSTITUTE(IFERROR(INDEX('1.산군_붙여넣기'!$A$1:$AZ$1001,ROW(),설정!$C$6)&amp;"",""),",",""),"㎡",""),"m2","")),"")</f>
        <v/>
      </c>
      <c r="E610">
        <f>IFERROR(INDEX('1.산군_붙여넣기'!$A$1:$AZ$1001,ROW(),설정!$C$7)&amp;"","")</f>
        <v/>
      </c>
      <c r="F610">
        <f>IFERROR(INDEX('1.산군_붙여넣기'!$A$1:$AZ$1001,ROW(),설정!$C$8)&amp;"","")</f>
        <v/>
      </c>
      <c r="G610">
        <f>IFERROR(INDEX('1.산군_붙여넣기'!$A$1:$AZ$1001,ROW(),설정!$C$9)&amp;"","")</f>
        <v/>
      </c>
      <c r="H610">
        <f>IFERROR(INDEX('1.산군_붙여넣기'!$A$1:$AZ$1001,ROW(),설정!$C$10)&amp;"","")</f>
        <v/>
      </c>
      <c r="I610">
        <f>IFERROR(INDEX('1.산군_붙여넣기'!$A$1:$AZ$1001,ROW(),설정!$C$11)&amp;"","")</f>
        <v/>
      </c>
      <c r="J610">
        <f>IFERROR(INDEX('1.산군_붙여넣기'!$A$1:$AZ$1001,ROW(),설정!$C$12)&amp;"","")</f>
        <v/>
      </c>
      <c r="K610">
        <f>IFERROR(INDEX('1.산군_붙여넣기'!$A$1:$AZ$1001,ROW(),설정!$C$13)&amp;"","")</f>
        <v/>
      </c>
      <c r="L610" s="6">
        <f>IF(X610="","",IF(AND(LEN(X610)=8,ISNUMBER(X610*1)),DATE(LEFT(X610,4),MID(X610,5,2),RIGHT(X610,2)),IFERROR(DATEVALUE(SUBSTITUTE(SUBSTITUTE(X610,".","-"),"/","-")),IFERROR(X610*1,""))))</f>
        <v/>
      </c>
      <c r="M610" s="6">
        <f>IF(Y610="","",IF(AND(LEN(Y610)=8,ISNUMBER(Y610*1)),DATE(LEFT(Y610,4),MID(Y610,5,2),RIGHT(Y610,2)),IFERROR(DATEVALUE(SUBSTITUTE(SUBSTITUTE(Y610,".","-"),"/","-")),IFERROR(Y610*1,""))))</f>
        <v/>
      </c>
      <c r="N610">
        <f>IFERROR(LEFT(B610,FIND(" ",B610)-1),B610)</f>
        <v/>
      </c>
      <c r="O610">
        <f>AND(B610&lt;&gt;"",B610&lt;&gt;설정!$B$4,C610&lt;&gt;설정!$B$5)</f>
        <v/>
      </c>
      <c r="P610">
        <f>IF(O610,B610&amp;"|"&amp;C610,"")</f>
        <v/>
      </c>
      <c r="Q610">
        <f>AND(O610,COUNTIF(P611:P$1002,P610)=0)</f>
        <v/>
      </c>
      <c r="R610">
        <f>OR(AND(설정!$A$28&lt;&gt;"",ISNUMBER(SEARCH(설정!$A$28,E610&amp;" "&amp;C610))),AND(설정!$A$29&lt;&gt;"",ISNUMBER(SEARCH(설정!$A$29,E610&amp;" "&amp;C610))),AND(설정!$A$30&lt;&gt;"",ISNUMBER(SEARCH(설정!$A$30,E610&amp;" "&amp;C610))),AND(설정!$A$31&lt;&gt;"",ISNUMBER(SEARCH(설정!$A$31,E610&amp;" "&amp;C610))),AND(설정!$A$32&lt;&gt;"",ISNUMBER(SEARCH(설정!$A$32,E610&amp;" "&amp;C610))),AND(설정!$A$33&lt;&gt;"",ISNUMBER(SEARCH(설정!$A$33,E610&amp;" "&amp;C610))),AND(설정!$A$34&lt;&gt;"",ISNUMBER(SEARCH(설정!$A$34,E610&amp;" "&amp;C610))),AND(설정!$A$35&lt;&gt;"",ISNUMBER(SEARCH(설정!$A$35,E610&amp;" "&amp;C610))),AND(설정!$A$36&lt;&gt;"",ISNUMBER(SEARCH(설정!$A$36,E610&amp;" "&amp;C610))),AND(설정!$A$37&lt;&gt;"",ISNUMBER(SEARCH(설정!$A$37,E610&amp;" "&amp;C610))))</f>
        <v/>
      </c>
      <c r="S610">
        <f>OR(D610="",D610&gt;=설정!$B$19)</f>
        <v/>
      </c>
      <c r="T610">
        <f>AND(Q610,R610,S610)</f>
        <v/>
      </c>
      <c r="U610">
        <f>IF(T610,IF(AND(설정!$A$41&lt;&gt;"",ISNUMBER(SEARCH(설정!$A$41,K610))),설정!$B$41,IF(AND(설정!$A$42&lt;&gt;"",ISNUMBER(SEARCH(설정!$A$42,K610))),설정!$B$42,IF(AND(설정!$A$43&lt;&gt;"",ISNUMBER(SEARCH(설정!$A$43,K610))),설정!$B$43,IF(AND(설정!$A$44&lt;&gt;"",ISNUMBER(SEARCH(설정!$A$44,K610))),설정!$B$44,IF(AND(설정!$A$45&lt;&gt;"",ISNUMBER(SEARCH(설정!$A$45,K610))),설정!$B$45,IF(AND(설정!$A$46&lt;&gt;"",ISNUMBER(SEARCH(설정!$A$46,K610))),설정!$B$46,IF(AND(설정!$A$47&lt;&gt;"",ISNUMBER(SEARCH(설정!$A$47,K610))),설정!$B$47,IF(AND(설정!$A$48&lt;&gt;"",ISNUMBER(SEARCH(설정!$A$48,K610))),설정!$B$48,IF(M610="","설계사","시공사"))))))))),"")</f>
        <v/>
      </c>
      <c r="V610">
        <f>SUBSTITUTE(SUBSTITUTE(SUBSTITUTE(SUBSTITUTE(G610,"(주)",""),"㈜",""),"주식회사","")," ","")</f>
        <v/>
      </c>
      <c r="W610">
        <f>IF(AND(T610,V610&lt;&gt;""),IF(COUNTIFS(V$2:V610,V610,T$2:T610,TRUE)=1,MAX(W$1:W609)+1,""),"")</f>
        <v/>
      </c>
      <c r="X610">
        <f>IFERROR(INDEX('1.산군_붙여넣기'!$A$1:$AZ$1001,ROW(),설정!$C$14)&amp;"","")</f>
        <v/>
      </c>
      <c r="Y610">
        <f>IFERROR(INDEX('1.산군_붙여넣기'!$A$1:$AZ$1001,ROW(),설정!$C$15)&amp;"","")</f>
        <v/>
      </c>
      <c r="Z610">
        <f>IF(T610,V610&amp;"|"&amp;U610,"")</f>
        <v/>
      </c>
    </row>
    <row r="611">
      <c r="A611">
        <f>ROW()</f>
        <v/>
      </c>
      <c r="B611">
        <f>IFERROR(INDEX('1.산군_붙여넣기'!$A$1:$AZ$1001,ROW(),설정!$C$4)&amp;"","")</f>
        <v/>
      </c>
      <c r="C611">
        <f>IFERROR(INDEX('1.산군_붙여넣기'!$A$1:$AZ$1001,ROW(),설정!$C$5)&amp;"","")</f>
        <v/>
      </c>
      <c r="D611" s="5">
        <f>IFERROR(VALUE(SUBSTITUTE(SUBSTITUTE(SUBSTITUTE(IFERROR(INDEX('1.산군_붙여넣기'!$A$1:$AZ$1001,ROW(),설정!$C$6)&amp;"",""),",",""),"㎡",""),"m2","")),"")</f>
        <v/>
      </c>
      <c r="E611">
        <f>IFERROR(INDEX('1.산군_붙여넣기'!$A$1:$AZ$1001,ROW(),설정!$C$7)&amp;"","")</f>
        <v/>
      </c>
      <c r="F611">
        <f>IFERROR(INDEX('1.산군_붙여넣기'!$A$1:$AZ$1001,ROW(),설정!$C$8)&amp;"","")</f>
        <v/>
      </c>
      <c r="G611">
        <f>IFERROR(INDEX('1.산군_붙여넣기'!$A$1:$AZ$1001,ROW(),설정!$C$9)&amp;"","")</f>
        <v/>
      </c>
      <c r="H611">
        <f>IFERROR(INDEX('1.산군_붙여넣기'!$A$1:$AZ$1001,ROW(),설정!$C$10)&amp;"","")</f>
        <v/>
      </c>
      <c r="I611">
        <f>IFERROR(INDEX('1.산군_붙여넣기'!$A$1:$AZ$1001,ROW(),설정!$C$11)&amp;"","")</f>
        <v/>
      </c>
      <c r="J611">
        <f>IFERROR(INDEX('1.산군_붙여넣기'!$A$1:$AZ$1001,ROW(),설정!$C$12)&amp;"","")</f>
        <v/>
      </c>
      <c r="K611">
        <f>IFERROR(INDEX('1.산군_붙여넣기'!$A$1:$AZ$1001,ROW(),설정!$C$13)&amp;"","")</f>
        <v/>
      </c>
      <c r="L611" s="6">
        <f>IF(X611="","",IF(AND(LEN(X611)=8,ISNUMBER(X611*1)),DATE(LEFT(X611,4),MID(X611,5,2),RIGHT(X611,2)),IFERROR(DATEVALUE(SUBSTITUTE(SUBSTITUTE(X611,".","-"),"/","-")),IFERROR(X611*1,""))))</f>
        <v/>
      </c>
      <c r="M611" s="6">
        <f>IF(Y611="","",IF(AND(LEN(Y611)=8,ISNUMBER(Y611*1)),DATE(LEFT(Y611,4),MID(Y611,5,2),RIGHT(Y611,2)),IFERROR(DATEVALUE(SUBSTITUTE(SUBSTITUTE(Y611,".","-"),"/","-")),IFERROR(Y611*1,""))))</f>
        <v/>
      </c>
      <c r="N611">
        <f>IFERROR(LEFT(B611,FIND(" ",B611)-1),B611)</f>
        <v/>
      </c>
      <c r="O611">
        <f>AND(B611&lt;&gt;"",B611&lt;&gt;설정!$B$4,C611&lt;&gt;설정!$B$5)</f>
        <v/>
      </c>
      <c r="P611">
        <f>IF(O611,B611&amp;"|"&amp;C611,"")</f>
        <v/>
      </c>
      <c r="Q611">
        <f>AND(O611,COUNTIF(P612:P$1002,P611)=0)</f>
        <v/>
      </c>
      <c r="R611">
        <f>OR(AND(설정!$A$28&lt;&gt;"",ISNUMBER(SEARCH(설정!$A$28,E611&amp;" "&amp;C611))),AND(설정!$A$29&lt;&gt;"",ISNUMBER(SEARCH(설정!$A$29,E611&amp;" "&amp;C611))),AND(설정!$A$30&lt;&gt;"",ISNUMBER(SEARCH(설정!$A$30,E611&amp;" "&amp;C611))),AND(설정!$A$31&lt;&gt;"",ISNUMBER(SEARCH(설정!$A$31,E611&amp;" "&amp;C611))),AND(설정!$A$32&lt;&gt;"",ISNUMBER(SEARCH(설정!$A$32,E611&amp;" "&amp;C611))),AND(설정!$A$33&lt;&gt;"",ISNUMBER(SEARCH(설정!$A$33,E611&amp;" "&amp;C611))),AND(설정!$A$34&lt;&gt;"",ISNUMBER(SEARCH(설정!$A$34,E611&amp;" "&amp;C611))),AND(설정!$A$35&lt;&gt;"",ISNUMBER(SEARCH(설정!$A$35,E611&amp;" "&amp;C611))),AND(설정!$A$36&lt;&gt;"",ISNUMBER(SEARCH(설정!$A$36,E611&amp;" "&amp;C611))),AND(설정!$A$37&lt;&gt;"",ISNUMBER(SEARCH(설정!$A$37,E611&amp;" "&amp;C611))))</f>
        <v/>
      </c>
      <c r="S611">
        <f>OR(D611="",D611&gt;=설정!$B$19)</f>
        <v/>
      </c>
      <c r="T611">
        <f>AND(Q611,R611,S611)</f>
        <v/>
      </c>
      <c r="U611">
        <f>IF(T611,IF(AND(설정!$A$41&lt;&gt;"",ISNUMBER(SEARCH(설정!$A$41,K611))),설정!$B$41,IF(AND(설정!$A$42&lt;&gt;"",ISNUMBER(SEARCH(설정!$A$42,K611))),설정!$B$42,IF(AND(설정!$A$43&lt;&gt;"",ISNUMBER(SEARCH(설정!$A$43,K611))),설정!$B$43,IF(AND(설정!$A$44&lt;&gt;"",ISNUMBER(SEARCH(설정!$A$44,K611))),설정!$B$44,IF(AND(설정!$A$45&lt;&gt;"",ISNUMBER(SEARCH(설정!$A$45,K611))),설정!$B$45,IF(AND(설정!$A$46&lt;&gt;"",ISNUMBER(SEARCH(설정!$A$46,K611))),설정!$B$46,IF(AND(설정!$A$47&lt;&gt;"",ISNUMBER(SEARCH(설정!$A$47,K611))),설정!$B$47,IF(AND(설정!$A$48&lt;&gt;"",ISNUMBER(SEARCH(설정!$A$48,K611))),설정!$B$48,IF(M611="","설계사","시공사"))))))))),"")</f>
        <v/>
      </c>
      <c r="V611">
        <f>SUBSTITUTE(SUBSTITUTE(SUBSTITUTE(SUBSTITUTE(G611,"(주)",""),"㈜",""),"주식회사","")," ","")</f>
        <v/>
      </c>
      <c r="W611">
        <f>IF(AND(T611,V611&lt;&gt;""),IF(COUNTIFS(V$2:V611,V611,T$2:T611,TRUE)=1,MAX(W$1:W610)+1,""),"")</f>
        <v/>
      </c>
      <c r="X611">
        <f>IFERROR(INDEX('1.산군_붙여넣기'!$A$1:$AZ$1001,ROW(),설정!$C$14)&amp;"","")</f>
        <v/>
      </c>
      <c r="Y611">
        <f>IFERROR(INDEX('1.산군_붙여넣기'!$A$1:$AZ$1001,ROW(),설정!$C$15)&amp;"","")</f>
        <v/>
      </c>
      <c r="Z611">
        <f>IF(T611,V611&amp;"|"&amp;U611,"")</f>
        <v/>
      </c>
    </row>
    <row r="612">
      <c r="A612">
        <f>ROW()</f>
        <v/>
      </c>
      <c r="B612">
        <f>IFERROR(INDEX('1.산군_붙여넣기'!$A$1:$AZ$1001,ROW(),설정!$C$4)&amp;"","")</f>
        <v/>
      </c>
      <c r="C612">
        <f>IFERROR(INDEX('1.산군_붙여넣기'!$A$1:$AZ$1001,ROW(),설정!$C$5)&amp;"","")</f>
        <v/>
      </c>
      <c r="D612" s="5">
        <f>IFERROR(VALUE(SUBSTITUTE(SUBSTITUTE(SUBSTITUTE(IFERROR(INDEX('1.산군_붙여넣기'!$A$1:$AZ$1001,ROW(),설정!$C$6)&amp;"",""),",",""),"㎡",""),"m2","")),"")</f>
        <v/>
      </c>
      <c r="E612">
        <f>IFERROR(INDEX('1.산군_붙여넣기'!$A$1:$AZ$1001,ROW(),설정!$C$7)&amp;"","")</f>
        <v/>
      </c>
      <c r="F612">
        <f>IFERROR(INDEX('1.산군_붙여넣기'!$A$1:$AZ$1001,ROW(),설정!$C$8)&amp;"","")</f>
        <v/>
      </c>
      <c r="G612">
        <f>IFERROR(INDEX('1.산군_붙여넣기'!$A$1:$AZ$1001,ROW(),설정!$C$9)&amp;"","")</f>
        <v/>
      </c>
      <c r="H612">
        <f>IFERROR(INDEX('1.산군_붙여넣기'!$A$1:$AZ$1001,ROW(),설정!$C$10)&amp;"","")</f>
        <v/>
      </c>
      <c r="I612">
        <f>IFERROR(INDEX('1.산군_붙여넣기'!$A$1:$AZ$1001,ROW(),설정!$C$11)&amp;"","")</f>
        <v/>
      </c>
      <c r="J612">
        <f>IFERROR(INDEX('1.산군_붙여넣기'!$A$1:$AZ$1001,ROW(),설정!$C$12)&amp;"","")</f>
        <v/>
      </c>
      <c r="K612">
        <f>IFERROR(INDEX('1.산군_붙여넣기'!$A$1:$AZ$1001,ROW(),설정!$C$13)&amp;"","")</f>
        <v/>
      </c>
      <c r="L612" s="6">
        <f>IF(X612="","",IF(AND(LEN(X612)=8,ISNUMBER(X612*1)),DATE(LEFT(X612,4),MID(X612,5,2),RIGHT(X612,2)),IFERROR(DATEVALUE(SUBSTITUTE(SUBSTITUTE(X612,".","-"),"/","-")),IFERROR(X612*1,""))))</f>
        <v/>
      </c>
      <c r="M612" s="6">
        <f>IF(Y612="","",IF(AND(LEN(Y612)=8,ISNUMBER(Y612*1)),DATE(LEFT(Y612,4),MID(Y612,5,2),RIGHT(Y612,2)),IFERROR(DATEVALUE(SUBSTITUTE(SUBSTITUTE(Y612,".","-"),"/","-")),IFERROR(Y612*1,""))))</f>
        <v/>
      </c>
      <c r="N612">
        <f>IFERROR(LEFT(B612,FIND(" ",B612)-1),B612)</f>
        <v/>
      </c>
      <c r="O612">
        <f>AND(B612&lt;&gt;"",B612&lt;&gt;설정!$B$4,C612&lt;&gt;설정!$B$5)</f>
        <v/>
      </c>
      <c r="P612">
        <f>IF(O612,B612&amp;"|"&amp;C612,"")</f>
        <v/>
      </c>
      <c r="Q612">
        <f>AND(O612,COUNTIF(P613:P$1002,P612)=0)</f>
        <v/>
      </c>
      <c r="R612">
        <f>OR(AND(설정!$A$28&lt;&gt;"",ISNUMBER(SEARCH(설정!$A$28,E612&amp;" "&amp;C612))),AND(설정!$A$29&lt;&gt;"",ISNUMBER(SEARCH(설정!$A$29,E612&amp;" "&amp;C612))),AND(설정!$A$30&lt;&gt;"",ISNUMBER(SEARCH(설정!$A$30,E612&amp;" "&amp;C612))),AND(설정!$A$31&lt;&gt;"",ISNUMBER(SEARCH(설정!$A$31,E612&amp;" "&amp;C612))),AND(설정!$A$32&lt;&gt;"",ISNUMBER(SEARCH(설정!$A$32,E612&amp;" "&amp;C612))),AND(설정!$A$33&lt;&gt;"",ISNUMBER(SEARCH(설정!$A$33,E612&amp;" "&amp;C612))),AND(설정!$A$34&lt;&gt;"",ISNUMBER(SEARCH(설정!$A$34,E612&amp;" "&amp;C612))),AND(설정!$A$35&lt;&gt;"",ISNUMBER(SEARCH(설정!$A$35,E612&amp;" "&amp;C612))),AND(설정!$A$36&lt;&gt;"",ISNUMBER(SEARCH(설정!$A$36,E612&amp;" "&amp;C612))),AND(설정!$A$37&lt;&gt;"",ISNUMBER(SEARCH(설정!$A$37,E612&amp;" "&amp;C612))))</f>
        <v/>
      </c>
      <c r="S612">
        <f>OR(D612="",D612&gt;=설정!$B$19)</f>
        <v/>
      </c>
      <c r="T612">
        <f>AND(Q612,R612,S612)</f>
        <v/>
      </c>
      <c r="U612">
        <f>IF(T612,IF(AND(설정!$A$41&lt;&gt;"",ISNUMBER(SEARCH(설정!$A$41,K612))),설정!$B$41,IF(AND(설정!$A$42&lt;&gt;"",ISNUMBER(SEARCH(설정!$A$42,K612))),설정!$B$42,IF(AND(설정!$A$43&lt;&gt;"",ISNUMBER(SEARCH(설정!$A$43,K612))),설정!$B$43,IF(AND(설정!$A$44&lt;&gt;"",ISNUMBER(SEARCH(설정!$A$44,K612))),설정!$B$44,IF(AND(설정!$A$45&lt;&gt;"",ISNUMBER(SEARCH(설정!$A$45,K612))),설정!$B$45,IF(AND(설정!$A$46&lt;&gt;"",ISNUMBER(SEARCH(설정!$A$46,K612))),설정!$B$46,IF(AND(설정!$A$47&lt;&gt;"",ISNUMBER(SEARCH(설정!$A$47,K612))),설정!$B$47,IF(AND(설정!$A$48&lt;&gt;"",ISNUMBER(SEARCH(설정!$A$48,K612))),설정!$B$48,IF(M612="","설계사","시공사"))))))))),"")</f>
        <v/>
      </c>
      <c r="V612">
        <f>SUBSTITUTE(SUBSTITUTE(SUBSTITUTE(SUBSTITUTE(G612,"(주)",""),"㈜",""),"주식회사","")," ","")</f>
        <v/>
      </c>
      <c r="W612">
        <f>IF(AND(T612,V612&lt;&gt;""),IF(COUNTIFS(V$2:V612,V612,T$2:T612,TRUE)=1,MAX(W$1:W611)+1,""),"")</f>
        <v/>
      </c>
      <c r="X612">
        <f>IFERROR(INDEX('1.산군_붙여넣기'!$A$1:$AZ$1001,ROW(),설정!$C$14)&amp;"","")</f>
        <v/>
      </c>
      <c r="Y612">
        <f>IFERROR(INDEX('1.산군_붙여넣기'!$A$1:$AZ$1001,ROW(),설정!$C$15)&amp;"","")</f>
        <v/>
      </c>
      <c r="Z612">
        <f>IF(T612,V612&amp;"|"&amp;U612,"")</f>
        <v/>
      </c>
    </row>
    <row r="613">
      <c r="A613">
        <f>ROW()</f>
        <v/>
      </c>
      <c r="B613">
        <f>IFERROR(INDEX('1.산군_붙여넣기'!$A$1:$AZ$1001,ROW(),설정!$C$4)&amp;"","")</f>
        <v/>
      </c>
      <c r="C613">
        <f>IFERROR(INDEX('1.산군_붙여넣기'!$A$1:$AZ$1001,ROW(),설정!$C$5)&amp;"","")</f>
        <v/>
      </c>
      <c r="D613" s="5">
        <f>IFERROR(VALUE(SUBSTITUTE(SUBSTITUTE(SUBSTITUTE(IFERROR(INDEX('1.산군_붙여넣기'!$A$1:$AZ$1001,ROW(),설정!$C$6)&amp;"",""),",",""),"㎡",""),"m2","")),"")</f>
        <v/>
      </c>
      <c r="E613">
        <f>IFERROR(INDEX('1.산군_붙여넣기'!$A$1:$AZ$1001,ROW(),설정!$C$7)&amp;"","")</f>
        <v/>
      </c>
      <c r="F613">
        <f>IFERROR(INDEX('1.산군_붙여넣기'!$A$1:$AZ$1001,ROW(),설정!$C$8)&amp;"","")</f>
        <v/>
      </c>
      <c r="G613">
        <f>IFERROR(INDEX('1.산군_붙여넣기'!$A$1:$AZ$1001,ROW(),설정!$C$9)&amp;"","")</f>
        <v/>
      </c>
      <c r="H613">
        <f>IFERROR(INDEX('1.산군_붙여넣기'!$A$1:$AZ$1001,ROW(),설정!$C$10)&amp;"","")</f>
        <v/>
      </c>
      <c r="I613">
        <f>IFERROR(INDEX('1.산군_붙여넣기'!$A$1:$AZ$1001,ROW(),설정!$C$11)&amp;"","")</f>
        <v/>
      </c>
      <c r="J613">
        <f>IFERROR(INDEX('1.산군_붙여넣기'!$A$1:$AZ$1001,ROW(),설정!$C$12)&amp;"","")</f>
        <v/>
      </c>
      <c r="K613">
        <f>IFERROR(INDEX('1.산군_붙여넣기'!$A$1:$AZ$1001,ROW(),설정!$C$13)&amp;"","")</f>
        <v/>
      </c>
      <c r="L613" s="6">
        <f>IF(X613="","",IF(AND(LEN(X613)=8,ISNUMBER(X613*1)),DATE(LEFT(X613,4),MID(X613,5,2),RIGHT(X613,2)),IFERROR(DATEVALUE(SUBSTITUTE(SUBSTITUTE(X613,".","-"),"/","-")),IFERROR(X613*1,""))))</f>
        <v/>
      </c>
      <c r="M613" s="6">
        <f>IF(Y613="","",IF(AND(LEN(Y613)=8,ISNUMBER(Y613*1)),DATE(LEFT(Y613,4),MID(Y613,5,2),RIGHT(Y613,2)),IFERROR(DATEVALUE(SUBSTITUTE(SUBSTITUTE(Y613,".","-"),"/","-")),IFERROR(Y613*1,""))))</f>
        <v/>
      </c>
      <c r="N613">
        <f>IFERROR(LEFT(B613,FIND(" ",B613)-1),B613)</f>
        <v/>
      </c>
      <c r="O613">
        <f>AND(B613&lt;&gt;"",B613&lt;&gt;설정!$B$4,C613&lt;&gt;설정!$B$5)</f>
        <v/>
      </c>
      <c r="P613">
        <f>IF(O613,B613&amp;"|"&amp;C613,"")</f>
        <v/>
      </c>
      <c r="Q613">
        <f>AND(O613,COUNTIF(P614:P$1002,P613)=0)</f>
        <v/>
      </c>
      <c r="R613">
        <f>OR(AND(설정!$A$28&lt;&gt;"",ISNUMBER(SEARCH(설정!$A$28,E613&amp;" "&amp;C613))),AND(설정!$A$29&lt;&gt;"",ISNUMBER(SEARCH(설정!$A$29,E613&amp;" "&amp;C613))),AND(설정!$A$30&lt;&gt;"",ISNUMBER(SEARCH(설정!$A$30,E613&amp;" "&amp;C613))),AND(설정!$A$31&lt;&gt;"",ISNUMBER(SEARCH(설정!$A$31,E613&amp;" "&amp;C613))),AND(설정!$A$32&lt;&gt;"",ISNUMBER(SEARCH(설정!$A$32,E613&amp;" "&amp;C613))),AND(설정!$A$33&lt;&gt;"",ISNUMBER(SEARCH(설정!$A$33,E613&amp;" "&amp;C613))),AND(설정!$A$34&lt;&gt;"",ISNUMBER(SEARCH(설정!$A$34,E613&amp;" "&amp;C613))),AND(설정!$A$35&lt;&gt;"",ISNUMBER(SEARCH(설정!$A$35,E613&amp;" "&amp;C613))),AND(설정!$A$36&lt;&gt;"",ISNUMBER(SEARCH(설정!$A$36,E613&amp;" "&amp;C613))),AND(설정!$A$37&lt;&gt;"",ISNUMBER(SEARCH(설정!$A$37,E613&amp;" "&amp;C613))))</f>
        <v/>
      </c>
      <c r="S613">
        <f>OR(D613="",D613&gt;=설정!$B$19)</f>
        <v/>
      </c>
      <c r="T613">
        <f>AND(Q613,R613,S613)</f>
        <v/>
      </c>
      <c r="U613">
        <f>IF(T613,IF(AND(설정!$A$41&lt;&gt;"",ISNUMBER(SEARCH(설정!$A$41,K613))),설정!$B$41,IF(AND(설정!$A$42&lt;&gt;"",ISNUMBER(SEARCH(설정!$A$42,K613))),설정!$B$42,IF(AND(설정!$A$43&lt;&gt;"",ISNUMBER(SEARCH(설정!$A$43,K613))),설정!$B$43,IF(AND(설정!$A$44&lt;&gt;"",ISNUMBER(SEARCH(설정!$A$44,K613))),설정!$B$44,IF(AND(설정!$A$45&lt;&gt;"",ISNUMBER(SEARCH(설정!$A$45,K613))),설정!$B$45,IF(AND(설정!$A$46&lt;&gt;"",ISNUMBER(SEARCH(설정!$A$46,K613))),설정!$B$46,IF(AND(설정!$A$47&lt;&gt;"",ISNUMBER(SEARCH(설정!$A$47,K613))),설정!$B$47,IF(AND(설정!$A$48&lt;&gt;"",ISNUMBER(SEARCH(설정!$A$48,K613))),설정!$B$48,IF(M613="","설계사","시공사"))))))))),"")</f>
        <v/>
      </c>
      <c r="V613">
        <f>SUBSTITUTE(SUBSTITUTE(SUBSTITUTE(SUBSTITUTE(G613,"(주)",""),"㈜",""),"주식회사","")," ","")</f>
        <v/>
      </c>
      <c r="W613">
        <f>IF(AND(T613,V613&lt;&gt;""),IF(COUNTIFS(V$2:V613,V613,T$2:T613,TRUE)=1,MAX(W$1:W612)+1,""),"")</f>
        <v/>
      </c>
      <c r="X613">
        <f>IFERROR(INDEX('1.산군_붙여넣기'!$A$1:$AZ$1001,ROW(),설정!$C$14)&amp;"","")</f>
        <v/>
      </c>
      <c r="Y613">
        <f>IFERROR(INDEX('1.산군_붙여넣기'!$A$1:$AZ$1001,ROW(),설정!$C$15)&amp;"","")</f>
        <v/>
      </c>
      <c r="Z613">
        <f>IF(T613,V613&amp;"|"&amp;U613,"")</f>
        <v/>
      </c>
    </row>
    <row r="614">
      <c r="A614">
        <f>ROW()</f>
        <v/>
      </c>
      <c r="B614">
        <f>IFERROR(INDEX('1.산군_붙여넣기'!$A$1:$AZ$1001,ROW(),설정!$C$4)&amp;"","")</f>
        <v/>
      </c>
      <c r="C614">
        <f>IFERROR(INDEX('1.산군_붙여넣기'!$A$1:$AZ$1001,ROW(),설정!$C$5)&amp;"","")</f>
        <v/>
      </c>
      <c r="D614" s="5">
        <f>IFERROR(VALUE(SUBSTITUTE(SUBSTITUTE(SUBSTITUTE(IFERROR(INDEX('1.산군_붙여넣기'!$A$1:$AZ$1001,ROW(),설정!$C$6)&amp;"",""),",",""),"㎡",""),"m2","")),"")</f>
        <v/>
      </c>
      <c r="E614">
        <f>IFERROR(INDEX('1.산군_붙여넣기'!$A$1:$AZ$1001,ROW(),설정!$C$7)&amp;"","")</f>
        <v/>
      </c>
      <c r="F614">
        <f>IFERROR(INDEX('1.산군_붙여넣기'!$A$1:$AZ$1001,ROW(),설정!$C$8)&amp;"","")</f>
        <v/>
      </c>
      <c r="G614">
        <f>IFERROR(INDEX('1.산군_붙여넣기'!$A$1:$AZ$1001,ROW(),설정!$C$9)&amp;"","")</f>
        <v/>
      </c>
      <c r="H614">
        <f>IFERROR(INDEX('1.산군_붙여넣기'!$A$1:$AZ$1001,ROW(),설정!$C$10)&amp;"","")</f>
        <v/>
      </c>
      <c r="I614">
        <f>IFERROR(INDEX('1.산군_붙여넣기'!$A$1:$AZ$1001,ROW(),설정!$C$11)&amp;"","")</f>
        <v/>
      </c>
      <c r="J614">
        <f>IFERROR(INDEX('1.산군_붙여넣기'!$A$1:$AZ$1001,ROW(),설정!$C$12)&amp;"","")</f>
        <v/>
      </c>
      <c r="K614">
        <f>IFERROR(INDEX('1.산군_붙여넣기'!$A$1:$AZ$1001,ROW(),설정!$C$13)&amp;"","")</f>
        <v/>
      </c>
      <c r="L614" s="6">
        <f>IF(X614="","",IF(AND(LEN(X614)=8,ISNUMBER(X614*1)),DATE(LEFT(X614,4),MID(X614,5,2),RIGHT(X614,2)),IFERROR(DATEVALUE(SUBSTITUTE(SUBSTITUTE(X614,".","-"),"/","-")),IFERROR(X614*1,""))))</f>
        <v/>
      </c>
      <c r="M614" s="6">
        <f>IF(Y614="","",IF(AND(LEN(Y614)=8,ISNUMBER(Y614*1)),DATE(LEFT(Y614,4),MID(Y614,5,2),RIGHT(Y614,2)),IFERROR(DATEVALUE(SUBSTITUTE(SUBSTITUTE(Y614,".","-"),"/","-")),IFERROR(Y614*1,""))))</f>
        <v/>
      </c>
      <c r="N614">
        <f>IFERROR(LEFT(B614,FIND(" ",B614)-1),B614)</f>
        <v/>
      </c>
      <c r="O614">
        <f>AND(B614&lt;&gt;"",B614&lt;&gt;설정!$B$4,C614&lt;&gt;설정!$B$5)</f>
        <v/>
      </c>
      <c r="P614">
        <f>IF(O614,B614&amp;"|"&amp;C614,"")</f>
        <v/>
      </c>
      <c r="Q614">
        <f>AND(O614,COUNTIF(P615:P$1002,P614)=0)</f>
        <v/>
      </c>
      <c r="R614">
        <f>OR(AND(설정!$A$28&lt;&gt;"",ISNUMBER(SEARCH(설정!$A$28,E614&amp;" "&amp;C614))),AND(설정!$A$29&lt;&gt;"",ISNUMBER(SEARCH(설정!$A$29,E614&amp;" "&amp;C614))),AND(설정!$A$30&lt;&gt;"",ISNUMBER(SEARCH(설정!$A$30,E614&amp;" "&amp;C614))),AND(설정!$A$31&lt;&gt;"",ISNUMBER(SEARCH(설정!$A$31,E614&amp;" "&amp;C614))),AND(설정!$A$32&lt;&gt;"",ISNUMBER(SEARCH(설정!$A$32,E614&amp;" "&amp;C614))),AND(설정!$A$33&lt;&gt;"",ISNUMBER(SEARCH(설정!$A$33,E614&amp;" "&amp;C614))),AND(설정!$A$34&lt;&gt;"",ISNUMBER(SEARCH(설정!$A$34,E614&amp;" "&amp;C614))),AND(설정!$A$35&lt;&gt;"",ISNUMBER(SEARCH(설정!$A$35,E614&amp;" "&amp;C614))),AND(설정!$A$36&lt;&gt;"",ISNUMBER(SEARCH(설정!$A$36,E614&amp;" "&amp;C614))),AND(설정!$A$37&lt;&gt;"",ISNUMBER(SEARCH(설정!$A$37,E614&amp;" "&amp;C614))))</f>
        <v/>
      </c>
      <c r="S614">
        <f>OR(D614="",D614&gt;=설정!$B$19)</f>
        <v/>
      </c>
      <c r="T614">
        <f>AND(Q614,R614,S614)</f>
        <v/>
      </c>
      <c r="U614">
        <f>IF(T614,IF(AND(설정!$A$41&lt;&gt;"",ISNUMBER(SEARCH(설정!$A$41,K614))),설정!$B$41,IF(AND(설정!$A$42&lt;&gt;"",ISNUMBER(SEARCH(설정!$A$42,K614))),설정!$B$42,IF(AND(설정!$A$43&lt;&gt;"",ISNUMBER(SEARCH(설정!$A$43,K614))),설정!$B$43,IF(AND(설정!$A$44&lt;&gt;"",ISNUMBER(SEARCH(설정!$A$44,K614))),설정!$B$44,IF(AND(설정!$A$45&lt;&gt;"",ISNUMBER(SEARCH(설정!$A$45,K614))),설정!$B$45,IF(AND(설정!$A$46&lt;&gt;"",ISNUMBER(SEARCH(설정!$A$46,K614))),설정!$B$46,IF(AND(설정!$A$47&lt;&gt;"",ISNUMBER(SEARCH(설정!$A$47,K614))),설정!$B$47,IF(AND(설정!$A$48&lt;&gt;"",ISNUMBER(SEARCH(설정!$A$48,K614))),설정!$B$48,IF(M614="","설계사","시공사"))))))))),"")</f>
        <v/>
      </c>
      <c r="V614">
        <f>SUBSTITUTE(SUBSTITUTE(SUBSTITUTE(SUBSTITUTE(G614,"(주)",""),"㈜",""),"주식회사","")," ","")</f>
        <v/>
      </c>
      <c r="W614">
        <f>IF(AND(T614,V614&lt;&gt;""),IF(COUNTIFS(V$2:V614,V614,T$2:T614,TRUE)=1,MAX(W$1:W613)+1,""),"")</f>
        <v/>
      </c>
      <c r="X614">
        <f>IFERROR(INDEX('1.산군_붙여넣기'!$A$1:$AZ$1001,ROW(),설정!$C$14)&amp;"","")</f>
        <v/>
      </c>
      <c r="Y614">
        <f>IFERROR(INDEX('1.산군_붙여넣기'!$A$1:$AZ$1001,ROW(),설정!$C$15)&amp;"","")</f>
        <v/>
      </c>
      <c r="Z614">
        <f>IF(T614,V614&amp;"|"&amp;U614,"")</f>
        <v/>
      </c>
    </row>
    <row r="615">
      <c r="A615">
        <f>ROW()</f>
        <v/>
      </c>
      <c r="B615">
        <f>IFERROR(INDEX('1.산군_붙여넣기'!$A$1:$AZ$1001,ROW(),설정!$C$4)&amp;"","")</f>
        <v/>
      </c>
      <c r="C615">
        <f>IFERROR(INDEX('1.산군_붙여넣기'!$A$1:$AZ$1001,ROW(),설정!$C$5)&amp;"","")</f>
        <v/>
      </c>
      <c r="D615" s="5">
        <f>IFERROR(VALUE(SUBSTITUTE(SUBSTITUTE(SUBSTITUTE(IFERROR(INDEX('1.산군_붙여넣기'!$A$1:$AZ$1001,ROW(),설정!$C$6)&amp;"",""),",",""),"㎡",""),"m2","")),"")</f>
        <v/>
      </c>
      <c r="E615">
        <f>IFERROR(INDEX('1.산군_붙여넣기'!$A$1:$AZ$1001,ROW(),설정!$C$7)&amp;"","")</f>
        <v/>
      </c>
      <c r="F615">
        <f>IFERROR(INDEX('1.산군_붙여넣기'!$A$1:$AZ$1001,ROW(),설정!$C$8)&amp;"","")</f>
        <v/>
      </c>
      <c r="G615">
        <f>IFERROR(INDEX('1.산군_붙여넣기'!$A$1:$AZ$1001,ROW(),설정!$C$9)&amp;"","")</f>
        <v/>
      </c>
      <c r="H615">
        <f>IFERROR(INDEX('1.산군_붙여넣기'!$A$1:$AZ$1001,ROW(),설정!$C$10)&amp;"","")</f>
        <v/>
      </c>
      <c r="I615">
        <f>IFERROR(INDEX('1.산군_붙여넣기'!$A$1:$AZ$1001,ROW(),설정!$C$11)&amp;"","")</f>
        <v/>
      </c>
      <c r="J615">
        <f>IFERROR(INDEX('1.산군_붙여넣기'!$A$1:$AZ$1001,ROW(),설정!$C$12)&amp;"","")</f>
        <v/>
      </c>
      <c r="K615">
        <f>IFERROR(INDEX('1.산군_붙여넣기'!$A$1:$AZ$1001,ROW(),설정!$C$13)&amp;"","")</f>
        <v/>
      </c>
      <c r="L615" s="6">
        <f>IF(X615="","",IF(AND(LEN(X615)=8,ISNUMBER(X615*1)),DATE(LEFT(X615,4),MID(X615,5,2),RIGHT(X615,2)),IFERROR(DATEVALUE(SUBSTITUTE(SUBSTITUTE(X615,".","-"),"/","-")),IFERROR(X615*1,""))))</f>
        <v/>
      </c>
      <c r="M615" s="6">
        <f>IF(Y615="","",IF(AND(LEN(Y615)=8,ISNUMBER(Y615*1)),DATE(LEFT(Y615,4),MID(Y615,5,2),RIGHT(Y615,2)),IFERROR(DATEVALUE(SUBSTITUTE(SUBSTITUTE(Y615,".","-"),"/","-")),IFERROR(Y615*1,""))))</f>
        <v/>
      </c>
      <c r="N615">
        <f>IFERROR(LEFT(B615,FIND(" ",B615)-1),B615)</f>
        <v/>
      </c>
      <c r="O615">
        <f>AND(B615&lt;&gt;"",B615&lt;&gt;설정!$B$4,C615&lt;&gt;설정!$B$5)</f>
        <v/>
      </c>
      <c r="P615">
        <f>IF(O615,B615&amp;"|"&amp;C615,"")</f>
        <v/>
      </c>
      <c r="Q615">
        <f>AND(O615,COUNTIF(P616:P$1002,P615)=0)</f>
        <v/>
      </c>
      <c r="R615">
        <f>OR(AND(설정!$A$28&lt;&gt;"",ISNUMBER(SEARCH(설정!$A$28,E615&amp;" "&amp;C615))),AND(설정!$A$29&lt;&gt;"",ISNUMBER(SEARCH(설정!$A$29,E615&amp;" "&amp;C615))),AND(설정!$A$30&lt;&gt;"",ISNUMBER(SEARCH(설정!$A$30,E615&amp;" "&amp;C615))),AND(설정!$A$31&lt;&gt;"",ISNUMBER(SEARCH(설정!$A$31,E615&amp;" "&amp;C615))),AND(설정!$A$32&lt;&gt;"",ISNUMBER(SEARCH(설정!$A$32,E615&amp;" "&amp;C615))),AND(설정!$A$33&lt;&gt;"",ISNUMBER(SEARCH(설정!$A$33,E615&amp;" "&amp;C615))),AND(설정!$A$34&lt;&gt;"",ISNUMBER(SEARCH(설정!$A$34,E615&amp;" "&amp;C615))),AND(설정!$A$35&lt;&gt;"",ISNUMBER(SEARCH(설정!$A$35,E615&amp;" "&amp;C615))),AND(설정!$A$36&lt;&gt;"",ISNUMBER(SEARCH(설정!$A$36,E615&amp;" "&amp;C615))),AND(설정!$A$37&lt;&gt;"",ISNUMBER(SEARCH(설정!$A$37,E615&amp;" "&amp;C615))))</f>
        <v/>
      </c>
      <c r="S615">
        <f>OR(D615="",D615&gt;=설정!$B$19)</f>
        <v/>
      </c>
      <c r="T615">
        <f>AND(Q615,R615,S615)</f>
        <v/>
      </c>
      <c r="U615">
        <f>IF(T615,IF(AND(설정!$A$41&lt;&gt;"",ISNUMBER(SEARCH(설정!$A$41,K615))),설정!$B$41,IF(AND(설정!$A$42&lt;&gt;"",ISNUMBER(SEARCH(설정!$A$42,K615))),설정!$B$42,IF(AND(설정!$A$43&lt;&gt;"",ISNUMBER(SEARCH(설정!$A$43,K615))),설정!$B$43,IF(AND(설정!$A$44&lt;&gt;"",ISNUMBER(SEARCH(설정!$A$44,K615))),설정!$B$44,IF(AND(설정!$A$45&lt;&gt;"",ISNUMBER(SEARCH(설정!$A$45,K615))),설정!$B$45,IF(AND(설정!$A$46&lt;&gt;"",ISNUMBER(SEARCH(설정!$A$46,K615))),설정!$B$46,IF(AND(설정!$A$47&lt;&gt;"",ISNUMBER(SEARCH(설정!$A$47,K615))),설정!$B$47,IF(AND(설정!$A$48&lt;&gt;"",ISNUMBER(SEARCH(설정!$A$48,K615))),설정!$B$48,IF(M615="","설계사","시공사"))))))))),"")</f>
        <v/>
      </c>
      <c r="V615">
        <f>SUBSTITUTE(SUBSTITUTE(SUBSTITUTE(SUBSTITUTE(G615,"(주)",""),"㈜",""),"주식회사","")," ","")</f>
        <v/>
      </c>
      <c r="W615">
        <f>IF(AND(T615,V615&lt;&gt;""),IF(COUNTIFS(V$2:V615,V615,T$2:T615,TRUE)=1,MAX(W$1:W614)+1,""),"")</f>
        <v/>
      </c>
      <c r="X615">
        <f>IFERROR(INDEX('1.산군_붙여넣기'!$A$1:$AZ$1001,ROW(),설정!$C$14)&amp;"","")</f>
        <v/>
      </c>
      <c r="Y615">
        <f>IFERROR(INDEX('1.산군_붙여넣기'!$A$1:$AZ$1001,ROW(),설정!$C$15)&amp;"","")</f>
        <v/>
      </c>
      <c r="Z615">
        <f>IF(T615,V615&amp;"|"&amp;U615,"")</f>
        <v/>
      </c>
    </row>
    <row r="616">
      <c r="A616">
        <f>ROW()</f>
        <v/>
      </c>
      <c r="B616">
        <f>IFERROR(INDEX('1.산군_붙여넣기'!$A$1:$AZ$1001,ROW(),설정!$C$4)&amp;"","")</f>
        <v/>
      </c>
      <c r="C616">
        <f>IFERROR(INDEX('1.산군_붙여넣기'!$A$1:$AZ$1001,ROW(),설정!$C$5)&amp;"","")</f>
        <v/>
      </c>
      <c r="D616" s="5">
        <f>IFERROR(VALUE(SUBSTITUTE(SUBSTITUTE(SUBSTITUTE(IFERROR(INDEX('1.산군_붙여넣기'!$A$1:$AZ$1001,ROW(),설정!$C$6)&amp;"",""),",",""),"㎡",""),"m2","")),"")</f>
        <v/>
      </c>
      <c r="E616">
        <f>IFERROR(INDEX('1.산군_붙여넣기'!$A$1:$AZ$1001,ROW(),설정!$C$7)&amp;"","")</f>
        <v/>
      </c>
      <c r="F616">
        <f>IFERROR(INDEX('1.산군_붙여넣기'!$A$1:$AZ$1001,ROW(),설정!$C$8)&amp;"","")</f>
        <v/>
      </c>
      <c r="G616">
        <f>IFERROR(INDEX('1.산군_붙여넣기'!$A$1:$AZ$1001,ROW(),설정!$C$9)&amp;"","")</f>
        <v/>
      </c>
      <c r="H616">
        <f>IFERROR(INDEX('1.산군_붙여넣기'!$A$1:$AZ$1001,ROW(),설정!$C$10)&amp;"","")</f>
        <v/>
      </c>
      <c r="I616">
        <f>IFERROR(INDEX('1.산군_붙여넣기'!$A$1:$AZ$1001,ROW(),설정!$C$11)&amp;"","")</f>
        <v/>
      </c>
      <c r="J616">
        <f>IFERROR(INDEX('1.산군_붙여넣기'!$A$1:$AZ$1001,ROW(),설정!$C$12)&amp;"","")</f>
        <v/>
      </c>
      <c r="K616">
        <f>IFERROR(INDEX('1.산군_붙여넣기'!$A$1:$AZ$1001,ROW(),설정!$C$13)&amp;"","")</f>
        <v/>
      </c>
      <c r="L616" s="6">
        <f>IF(X616="","",IF(AND(LEN(X616)=8,ISNUMBER(X616*1)),DATE(LEFT(X616,4),MID(X616,5,2),RIGHT(X616,2)),IFERROR(DATEVALUE(SUBSTITUTE(SUBSTITUTE(X616,".","-"),"/","-")),IFERROR(X616*1,""))))</f>
        <v/>
      </c>
      <c r="M616" s="6">
        <f>IF(Y616="","",IF(AND(LEN(Y616)=8,ISNUMBER(Y616*1)),DATE(LEFT(Y616,4),MID(Y616,5,2),RIGHT(Y616,2)),IFERROR(DATEVALUE(SUBSTITUTE(SUBSTITUTE(Y616,".","-"),"/","-")),IFERROR(Y616*1,""))))</f>
        <v/>
      </c>
      <c r="N616">
        <f>IFERROR(LEFT(B616,FIND(" ",B616)-1),B616)</f>
        <v/>
      </c>
      <c r="O616">
        <f>AND(B616&lt;&gt;"",B616&lt;&gt;설정!$B$4,C616&lt;&gt;설정!$B$5)</f>
        <v/>
      </c>
      <c r="P616">
        <f>IF(O616,B616&amp;"|"&amp;C616,"")</f>
        <v/>
      </c>
      <c r="Q616">
        <f>AND(O616,COUNTIF(P617:P$1002,P616)=0)</f>
        <v/>
      </c>
      <c r="R616">
        <f>OR(AND(설정!$A$28&lt;&gt;"",ISNUMBER(SEARCH(설정!$A$28,E616&amp;" "&amp;C616))),AND(설정!$A$29&lt;&gt;"",ISNUMBER(SEARCH(설정!$A$29,E616&amp;" "&amp;C616))),AND(설정!$A$30&lt;&gt;"",ISNUMBER(SEARCH(설정!$A$30,E616&amp;" "&amp;C616))),AND(설정!$A$31&lt;&gt;"",ISNUMBER(SEARCH(설정!$A$31,E616&amp;" "&amp;C616))),AND(설정!$A$32&lt;&gt;"",ISNUMBER(SEARCH(설정!$A$32,E616&amp;" "&amp;C616))),AND(설정!$A$33&lt;&gt;"",ISNUMBER(SEARCH(설정!$A$33,E616&amp;" "&amp;C616))),AND(설정!$A$34&lt;&gt;"",ISNUMBER(SEARCH(설정!$A$34,E616&amp;" "&amp;C616))),AND(설정!$A$35&lt;&gt;"",ISNUMBER(SEARCH(설정!$A$35,E616&amp;" "&amp;C616))),AND(설정!$A$36&lt;&gt;"",ISNUMBER(SEARCH(설정!$A$36,E616&amp;" "&amp;C616))),AND(설정!$A$37&lt;&gt;"",ISNUMBER(SEARCH(설정!$A$37,E616&amp;" "&amp;C616))))</f>
        <v/>
      </c>
      <c r="S616">
        <f>OR(D616="",D616&gt;=설정!$B$19)</f>
        <v/>
      </c>
      <c r="T616">
        <f>AND(Q616,R616,S616)</f>
        <v/>
      </c>
      <c r="U616">
        <f>IF(T616,IF(AND(설정!$A$41&lt;&gt;"",ISNUMBER(SEARCH(설정!$A$41,K616))),설정!$B$41,IF(AND(설정!$A$42&lt;&gt;"",ISNUMBER(SEARCH(설정!$A$42,K616))),설정!$B$42,IF(AND(설정!$A$43&lt;&gt;"",ISNUMBER(SEARCH(설정!$A$43,K616))),설정!$B$43,IF(AND(설정!$A$44&lt;&gt;"",ISNUMBER(SEARCH(설정!$A$44,K616))),설정!$B$44,IF(AND(설정!$A$45&lt;&gt;"",ISNUMBER(SEARCH(설정!$A$45,K616))),설정!$B$45,IF(AND(설정!$A$46&lt;&gt;"",ISNUMBER(SEARCH(설정!$A$46,K616))),설정!$B$46,IF(AND(설정!$A$47&lt;&gt;"",ISNUMBER(SEARCH(설정!$A$47,K616))),설정!$B$47,IF(AND(설정!$A$48&lt;&gt;"",ISNUMBER(SEARCH(설정!$A$48,K616))),설정!$B$48,IF(M616="","설계사","시공사"))))))))),"")</f>
        <v/>
      </c>
      <c r="V616">
        <f>SUBSTITUTE(SUBSTITUTE(SUBSTITUTE(SUBSTITUTE(G616,"(주)",""),"㈜",""),"주식회사","")," ","")</f>
        <v/>
      </c>
      <c r="W616">
        <f>IF(AND(T616,V616&lt;&gt;""),IF(COUNTIFS(V$2:V616,V616,T$2:T616,TRUE)=1,MAX(W$1:W615)+1,""),"")</f>
        <v/>
      </c>
      <c r="X616">
        <f>IFERROR(INDEX('1.산군_붙여넣기'!$A$1:$AZ$1001,ROW(),설정!$C$14)&amp;"","")</f>
        <v/>
      </c>
      <c r="Y616">
        <f>IFERROR(INDEX('1.산군_붙여넣기'!$A$1:$AZ$1001,ROW(),설정!$C$15)&amp;"","")</f>
        <v/>
      </c>
      <c r="Z616">
        <f>IF(T616,V616&amp;"|"&amp;U616,"")</f>
        <v/>
      </c>
    </row>
    <row r="617">
      <c r="A617">
        <f>ROW()</f>
        <v/>
      </c>
      <c r="B617">
        <f>IFERROR(INDEX('1.산군_붙여넣기'!$A$1:$AZ$1001,ROW(),설정!$C$4)&amp;"","")</f>
        <v/>
      </c>
      <c r="C617">
        <f>IFERROR(INDEX('1.산군_붙여넣기'!$A$1:$AZ$1001,ROW(),설정!$C$5)&amp;"","")</f>
        <v/>
      </c>
      <c r="D617" s="5">
        <f>IFERROR(VALUE(SUBSTITUTE(SUBSTITUTE(SUBSTITUTE(IFERROR(INDEX('1.산군_붙여넣기'!$A$1:$AZ$1001,ROW(),설정!$C$6)&amp;"",""),",",""),"㎡",""),"m2","")),"")</f>
        <v/>
      </c>
      <c r="E617">
        <f>IFERROR(INDEX('1.산군_붙여넣기'!$A$1:$AZ$1001,ROW(),설정!$C$7)&amp;"","")</f>
        <v/>
      </c>
      <c r="F617">
        <f>IFERROR(INDEX('1.산군_붙여넣기'!$A$1:$AZ$1001,ROW(),설정!$C$8)&amp;"","")</f>
        <v/>
      </c>
      <c r="G617">
        <f>IFERROR(INDEX('1.산군_붙여넣기'!$A$1:$AZ$1001,ROW(),설정!$C$9)&amp;"","")</f>
        <v/>
      </c>
      <c r="H617">
        <f>IFERROR(INDEX('1.산군_붙여넣기'!$A$1:$AZ$1001,ROW(),설정!$C$10)&amp;"","")</f>
        <v/>
      </c>
      <c r="I617">
        <f>IFERROR(INDEX('1.산군_붙여넣기'!$A$1:$AZ$1001,ROW(),설정!$C$11)&amp;"","")</f>
        <v/>
      </c>
      <c r="J617">
        <f>IFERROR(INDEX('1.산군_붙여넣기'!$A$1:$AZ$1001,ROW(),설정!$C$12)&amp;"","")</f>
        <v/>
      </c>
      <c r="K617">
        <f>IFERROR(INDEX('1.산군_붙여넣기'!$A$1:$AZ$1001,ROW(),설정!$C$13)&amp;"","")</f>
        <v/>
      </c>
      <c r="L617" s="6">
        <f>IF(X617="","",IF(AND(LEN(X617)=8,ISNUMBER(X617*1)),DATE(LEFT(X617,4),MID(X617,5,2),RIGHT(X617,2)),IFERROR(DATEVALUE(SUBSTITUTE(SUBSTITUTE(X617,".","-"),"/","-")),IFERROR(X617*1,""))))</f>
        <v/>
      </c>
      <c r="M617" s="6">
        <f>IF(Y617="","",IF(AND(LEN(Y617)=8,ISNUMBER(Y617*1)),DATE(LEFT(Y617,4),MID(Y617,5,2),RIGHT(Y617,2)),IFERROR(DATEVALUE(SUBSTITUTE(SUBSTITUTE(Y617,".","-"),"/","-")),IFERROR(Y617*1,""))))</f>
        <v/>
      </c>
      <c r="N617">
        <f>IFERROR(LEFT(B617,FIND(" ",B617)-1),B617)</f>
        <v/>
      </c>
      <c r="O617">
        <f>AND(B617&lt;&gt;"",B617&lt;&gt;설정!$B$4,C617&lt;&gt;설정!$B$5)</f>
        <v/>
      </c>
      <c r="P617">
        <f>IF(O617,B617&amp;"|"&amp;C617,"")</f>
        <v/>
      </c>
      <c r="Q617">
        <f>AND(O617,COUNTIF(P618:P$1002,P617)=0)</f>
        <v/>
      </c>
      <c r="R617">
        <f>OR(AND(설정!$A$28&lt;&gt;"",ISNUMBER(SEARCH(설정!$A$28,E617&amp;" "&amp;C617))),AND(설정!$A$29&lt;&gt;"",ISNUMBER(SEARCH(설정!$A$29,E617&amp;" "&amp;C617))),AND(설정!$A$30&lt;&gt;"",ISNUMBER(SEARCH(설정!$A$30,E617&amp;" "&amp;C617))),AND(설정!$A$31&lt;&gt;"",ISNUMBER(SEARCH(설정!$A$31,E617&amp;" "&amp;C617))),AND(설정!$A$32&lt;&gt;"",ISNUMBER(SEARCH(설정!$A$32,E617&amp;" "&amp;C617))),AND(설정!$A$33&lt;&gt;"",ISNUMBER(SEARCH(설정!$A$33,E617&amp;" "&amp;C617))),AND(설정!$A$34&lt;&gt;"",ISNUMBER(SEARCH(설정!$A$34,E617&amp;" "&amp;C617))),AND(설정!$A$35&lt;&gt;"",ISNUMBER(SEARCH(설정!$A$35,E617&amp;" "&amp;C617))),AND(설정!$A$36&lt;&gt;"",ISNUMBER(SEARCH(설정!$A$36,E617&amp;" "&amp;C617))),AND(설정!$A$37&lt;&gt;"",ISNUMBER(SEARCH(설정!$A$37,E617&amp;" "&amp;C617))))</f>
        <v/>
      </c>
      <c r="S617">
        <f>OR(D617="",D617&gt;=설정!$B$19)</f>
        <v/>
      </c>
      <c r="T617">
        <f>AND(Q617,R617,S617)</f>
        <v/>
      </c>
      <c r="U617">
        <f>IF(T617,IF(AND(설정!$A$41&lt;&gt;"",ISNUMBER(SEARCH(설정!$A$41,K617))),설정!$B$41,IF(AND(설정!$A$42&lt;&gt;"",ISNUMBER(SEARCH(설정!$A$42,K617))),설정!$B$42,IF(AND(설정!$A$43&lt;&gt;"",ISNUMBER(SEARCH(설정!$A$43,K617))),설정!$B$43,IF(AND(설정!$A$44&lt;&gt;"",ISNUMBER(SEARCH(설정!$A$44,K617))),설정!$B$44,IF(AND(설정!$A$45&lt;&gt;"",ISNUMBER(SEARCH(설정!$A$45,K617))),설정!$B$45,IF(AND(설정!$A$46&lt;&gt;"",ISNUMBER(SEARCH(설정!$A$46,K617))),설정!$B$46,IF(AND(설정!$A$47&lt;&gt;"",ISNUMBER(SEARCH(설정!$A$47,K617))),설정!$B$47,IF(AND(설정!$A$48&lt;&gt;"",ISNUMBER(SEARCH(설정!$A$48,K617))),설정!$B$48,IF(M617="","설계사","시공사"))))))))),"")</f>
        <v/>
      </c>
      <c r="V617">
        <f>SUBSTITUTE(SUBSTITUTE(SUBSTITUTE(SUBSTITUTE(G617,"(주)",""),"㈜",""),"주식회사","")," ","")</f>
        <v/>
      </c>
      <c r="W617">
        <f>IF(AND(T617,V617&lt;&gt;""),IF(COUNTIFS(V$2:V617,V617,T$2:T617,TRUE)=1,MAX(W$1:W616)+1,""),"")</f>
        <v/>
      </c>
      <c r="X617">
        <f>IFERROR(INDEX('1.산군_붙여넣기'!$A$1:$AZ$1001,ROW(),설정!$C$14)&amp;"","")</f>
        <v/>
      </c>
      <c r="Y617">
        <f>IFERROR(INDEX('1.산군_붙여넣기'!$A$1:$AZ$1001,ROW(),설정!$C$15)&amp;"","")</f>
        <v/>
      </c>
      <c r="Z617">
        <f>IF(T617,V617&amp;"|"&amp;U617,"")</f>
        <v/>
      </c>
    </row>
    <row r="618">
      <c r="A618">
        <f>ROW()</f>
        <v/>
      </c>
      <c r="B618">
        <f>IFERROR(INDEX('1.산군_붙여넣기'!$A$1:$AZ$1001,ROW(),설정!$C$4)&amp;"","")</f>
        <v/>
      </c>
      <c r="C618">
        <f>IFERROR(INDEX('1.산군_붙여넣기'!$A$1:$AZ$1001,ROW(),설정!$C$5)&amp;"","")</f>
        <v/>
      </c>
      <c r="D618" s="5">
        <f>IFERROR(VALUE(SUBSTITUTE(SUBSTITUTE(SUBSTITUTE(IFERROR(INDEX('1.산군_붙여넣기'!$A$1:$AZ$1001,ROW(),설정!$C$6)&amp;"",""),",",""),"㎡",""),"m2","")),"")</f>
        <v/>
      </c>
      <c r="E618">
        <f>IFERROR(INDEX('1.산군_붙여넣기'!$A$1:$AZ$1001,ROW(),설정!$C$7)&amp;"","")</f>
        <v/>
      </c>
      <c r="F618">
        <f>IFERROR(INDEX('1.산군_붙여넣기'!$A$1:$AZ$1001,ROW(),설정!$C$8)&amp;"","")</f>
        <v/>
      </c>
      <c r="G618">
        <f>IFERROR(INDEX('1.산군_붙여넣기'!$A$1:$AZ$1001,ROW(),설정!$C$9)&amp;"","")</f>
        <v/>
      </c>
      <c r="H618">
        <f>IFERROR(INDEX('1.산군_붙여넣기'!$A$1:$AZ$1001,ROW(),설정!$C$10)&amp;"","")</f>
        <v/>
      </c>
      <c r="I618">
        <f>IFERROR(INDEX('1.산군_붙여넣기'!$A$1:$AZ$1001,ROW(),설정!$C$11)&amp;"","")</f>
        <v/>
      </c>
      <c r="J618">
        <f>IFERROR(INDEX('1.산군_붙여넣기'!$A$1:$AZ$1001,ROW(),설정!$C$12)&amp;"","")</f>
        <v/>
      </c>
      <c r="K618">
        <f>IFERROR(INDEX('1.산군_붙여넣기'!$A$1:$AZ$1001,ROW(),설정!$C$13)&amp;"","")</f>
        <v/>
      </c>
      <c r="L618" s="6">
        <f>IF(X618="","",IF(AND(LEN(X618)=8,ISNUMBER(X618*1)),DATE(LEFT(X618,4),MID(X618,5,2),RIGHT(X618,2)),IFERROR(DATEVALUE(SUBSTITUTE(SUBSTITUTE(X618,".","-"),"/","-")),IFERROR(X618*1,""))))</f>
        <v/>
      </c>
      <c r="M618" s="6">
        <f>IF(Y618="","",IF(AND(LEN(Y618)=8,ISNUMBER(Y618*1)),DATE(LEFT(Y618,4),MID(Y618,5,2),RIGHT(Y618,2)),IFERROR(DATEVALUE(SUBSTITUTE(SUBSTITUTE(Y618,".","-"),"/","-")),IFERROR(Y618*1,""))))</f>
        <v/>
      </c>
      <c r="N618">
        <f>IFERROR(LEFT(B618,FIND(" ",B618)-1),B618)</f>
        <v/>
      </c>
      <c r="O618">
        <f>AND(B618&lt;&gt;"",B618&lt;&gt;설정!$B$4,C618&lt;&gt;설정!$B$5)</f>
        <v/>
      </c>
      <c r="P618">
        <f>IF(O618,B618&amp;"|"&amp;C618,"")</f>
        <v/>
      </c>
      <c r="Q618">
        <f>AND(O618,COUNTIF(P619:P$1002,P618)=0)</f>
        <v/>
      </c>
      <c r="R618">
        <f>OR(AND(설정!$A$28&lt;&gt;"",ISNUMBER(SEARCH(설정!$A$28,E618&amp;" "&amp;C618))),AND(설정!$A$29&lt;&gt;"",ISNUMBER(SEARCH(설정!$A$29,E618&amp;" "&amp;C618))),AND(설정!$A$30&lt;&gt;"",ISNUMBER(SEARCH(설정!$A$30,E618&amp;" "&amp;C618))),AND(설정!$A$31&lt;&gt;"",ISNUMBER(SEARCH(설정!$A$31,E618&amp;" "&amp;C618))),AND(설정!$A$32&lt;&gt;"",ISNUMBER(SEARCH(설정!$A$32,E618&amp;" "&amp;C618))),AND(설정!$A$33&lt;&gt;"",ISNUMBER(SEARCH(설정!$A$33,E618&amp;" "&amp;C618))),AND(설정!$A$34&lt;&gt;"",ISNUMBER(SEARCH(설정!$A$34,E618&amp;" "&amp;C618))),AND(설정!$A$35&lt;&gt;"",ISNUMBER(SEARCH(설정!$A$35,E618&amp;" "&amp;C618))),AND(설정!$A$36&lt;&gt;"",ISNUMBER(SEARCH(설정!$A$36,E618&amp;" "&amp;C618))),AND(설정!$A$37&lt;&gt;"",ISNUMBER(SEARCH(설정!$A$37,E618&amp;" "&amp;C618))))</f>
        <v/>
      </c>
      <c r="S618">
        <f>OR(D618="",D618&gt;=설정!$B$19)</f>
        <v/>
      </c>
      <c r="T618">
        <f>AND(Q618,R618,S618)</f>
        <v/>
      </c>
      <c r="U618">
        <f>IF(T618,IF(AND(설정!$A$41&lt;&gt;"",ISNUMBER(SEARCH(설정!$A$41,K618))),설정!$B$41,IF(AND(설정!$A$42&lt;&gt;"",ISNUMBER(SEARCH(설정!$A$42,K618))),설정!$B$42,IF(AND(설정!$A$43&lt;&gt;"",ISNUMBER(SEARCH(설정!$A$43,K618))),설정!$B$43,IF(AND(설정!$A$44&lt;&gt;"",ISNUMBER(SEARCH(설정!$A$44,K618))),설정!$B$44,IF(AND(설정!$A$45&lt;&gt;"",ISNUMBER(SEARCH(설정!$A$45,K618))),설정!$B$45,IF(AND(설정!$A$46&lt;&gt;"",ISNUMBER(SEARCH(설정!$A$46,K618))),설정!$B$46,IF(AND(설정!$A$47&lt;&gt;"",ISNUMBER(SEARCH(설정!$A$47,K618))),설정!$B$47,IF(AND(설정!$A$48&lt;&gt;"",ISNUMBER(SEARCH(설정!$A$48,K618))),설정!$B$48,IF(M618="","설계사","시공사"))))))))),"")</f>
        <v/>
      </c>
      <c r="V618">
        <f>SUBSTITUTE(SUBSTITUTE(SUBSTITUTE(SUBSTITUTE(G618,"(주)",""),"㈜",""),"주식회사","")," ","")</f>
        <v/>
      </c>
      <c r="W618">
        <f>IF(AND(T618,V618&lt;&gt;""),IF(COUNTIFS(V$2:V618,V618,T$2:T618,TRUE)=1,MAX(W$1:W617)+1,""),"")</f>
        <v/>
      </c>
      <c r="X618">
        <f>IFERROR(INDEX('1.산군_붙여넣기'!$A$1:$AZ$1001,ROW(),설정!$C$14)&amp;"","")</f>
        <v/>
      </c>
      <c r="Y618">
        <f>IFERROR(INDEX('1.산군_붙여넣기'!$A$1:$AZ$1001,ROW(),설정!$C$15)&amp;"","")</f>
        <v/>
      </c>
      <c r="Z618">
        <f>IF(T618,V618&amp;"|"&amp;U618,"")</f>
        <v/>
      </c>
    </row>
    <row r="619">
      <c r="A619">
        <f>ROW()</f>
        <v/>
      </c>
      <c r="B619">
        <f>IFERROR(INDEX('1.산군_붙여넣기'!$A$1:$AZ$1001,ROW(),설정!$C$4)&amp;"","")</f>
        <v/>
      </c>
      <c r="C619">
        <f>IFERROR(INDEX('1.산군_붙여넣기'!$A$1:$AZ$1001,ROW(),설정!$C$5)&amp;"","")</f>
        <v/>
      </c>
      <c r="D619" s="5">
        <f>IFERROR(VALUE(SUBSTITUTE(SUBSTITUTE(SUBSTITUTE(IFERROR(INDEX('1.산군_붙여넣기'!$A$1:$AZ$1001,ROW(),설정!$C$6)&amp;"",""),",",""),"㎡",""),"m2","")),"")</f>
        <v/>
      </c>
      <c r="E619">
        <f>IFERROR(INDEX('1.산군_붙여넣기'!$A$1:$AZ$1001,ROW(),설정!$C$7)&amp;"","")</f>
        <v/>
      </c>
      <c r="F619">
        <f>IFERROR(INDEX('1.산군_붙여넣기'!$A$1:$AZ$1001,ROW(),설정!$C$8)&amp;"","")</f>
        <v/>
      </c>
      <c r="G619">
        <f>IFERROR(INDEX('1.산군_붙여넣기'!$A$1:$AZ$1001,ROW(),설정!$C$9)&amp;"","")</f>
        <v/>
      </c>
      <c r="H619">
        <f>IFERROR(INDEX('1.산군_붙여넣기'!$A$1:$AZ$1001,ROW(),설정!$C$10)&amp;"","")</f>
        <v/>
      </c>
      <c r="I619">
        <f>IFERROR(INDEX('1.산군_붙여넣기'!$A$1:$AZ$1001,ROW(),설정!$C$11)&amp;"","")</f>
        <v/>
      </c>
      <c r="J619">
        <f>IFERROR(INDEX('1.산군_붙여넣기'!$A$1:$AZ$1001,ROW(),설정!$C$12)&amp;"","")</f>
        <v/>
      </c>
      <c r="K619">
        <f>IFERROR(INDEX('1.산군_붙여넣기'!$A$1:$AZ$1001,ROW(),설정!$C$13)&amp;"","")</f>
        <v/>
      </c>
      <c r="L619" s="6">
        <f>IF(X619="","",IF(AND(LEN(X619)=8,ISNUMBER(X619*1)),DATE(LEFT(X619,4),MID(X619,5,2),RIGHT(X619,2)),IFERROR(DATEVALUE(SUBSTITUTE(SUBSTITUTE(X619,".","-"),"/","-")),IFERROR(X619*1,""))))</f>
        <v/>
      </c>
      <c r="M619" s="6">
        <f>IF(Y619="","",IF(AND(LEN(Y619)=8,ISNUMBER(Y619*1)),DATE(LEFT(Y619,4),MID(Y619,5,2),RIGHT(Y619,2)),IFERROR(DATEVALUE(SUBSTITUTE(SUBSTITUTE(Y619,".","-"),"/","-")),IFERROR(Y619*1,""))))</f>
        <v/>
      </c>
      <c r="N619">
        <f>IFERROR(LEFT(B619,FIND(" ",B619)-1),B619)</f>
        <v/>
      </c>
      <c r="O619">
        <f>AND(B619&lt;&gt;"",B619&lt;&gt;설정!$B$4,C619&lt;&gt;설정!$B$5)</f>
        <v/>
      </c>
      <c r="P619">
        <f>IF(O619,B619&amp;"|"&amp;C619,"")</f>
        <v/>
      </c>
      <c r="Q619">
        <f>AND(O619,COUNTIF(P620:P$1002,P619)=0)</f>
        <v/>
      </c>
      <c r="R619">
        <f>OR(AND(설정!$A$28&lt;&gt;"",ISNUMBER(SEARCH(설정!$A$28,E619&amp;" "&amp;C619))),AND(설정!$A$29&lt;&gt;"",ISNUMBER(SEARCH(설정!$A$29,E619&amp;" "&amp;C619))),AND(설정!$A$30&lt;&gt;"",ISNUMBER(SEARCH(설정!$A$30,E619&amp;" "&amp;C619))),AND(설정!$A$31&lt;&gt;"",ISNUMBER(SEARCH(설정!$A$31,E619&amp;" "&amp;C619))),AND(설정!$A$32&lt;&gt;"",ISNUMBER(SEARCH(설정!$A$32,E619&amp;" "&amp;C619))),AND(설정!$A$33&lt;&gt;"",ISNUMBER(SEARCH(설정!$A$33,E619&amp;" "&amp;C619))),AND(설정!$A$34&lt;&gt;"",ISNUMBER(SEARCH(설정!$A$34,E619&amp;" "&amp;C619))),AND(설정!$A$35&lt;&gt;"",ISNUMBER(SEARCH(설정!$A$35,E619&amp;" "&amp;C619))),AND(설정!$A$36&lt;&gt;"",ISNUMBER(SEARCH(설정!$A$36,E619&amp;" "&amp;C619))),AND(설정!$A$37&lt;&gt;"",ISNUMBER(SEARCH(설정!$A$37,E619&amp;" "&amp;C619))))</f>
        <v/>
      </c>
      <c r="S619">
        <f>OR(D619="",D619&gt;=설정!$B$19)</f>
        <v/>
      </c>
      <c r="T619">
        <f>AND(Q619,R619,S619)</f>
        <v/>
      </c>
      <c r="U619">
        <f>IF(T619,IF(AND(설정!$A$41&lt;&gt;"",ISNUMBER(SEARCH(설정!$A$41,K619))),설정!$B$41,IF(AND(설정!$A$42&lt;&gt;"",ISNUMBER(SEARCH(설정!$A$42,K619))),설정!$B$42,IF(AND(설정!$A$43&lt;&gt;"",ISNUMBER(SEARCH(설정!$A$43,K619))),설정!$B$43,IF(AND(설정!$A$44&lt;&gt;"",ISNUMBER(SEARCH(설정!$A$44,K619))),설정!$B$44,IF(AND(설정!$A$45&lt;&gt;"",ISNUMBER(SEARCH(설정!$A$45,K619))),설정!$B$45,IF(AND(설정!$A$46&lt;&gt;"",ISNUMBER(SEARCH(설정!$A$46,K619))),설정!$B$46,IF(AND(설정!$A$47&lt;&gt;"",ISNUMBER(SEARCH(설정!$A$47,K619))),설정!$B$47,IF(AND(설정!$A$48&lt;&gt;"",ISNUMBER(SEARCH(설정!$A$48,K619))),설정!$B$48,IF(M619="","설계사","시공사"))))))))),"")</f>
        <v/>
      </c>
      <c r="V619">
        <f>SUBSTITUTE(SUBSTITUTE(SUBSTITUTE(SUBSTITUTE(G619,"(주)",""),"㈜",""),"주식회사","")," ","")</f>
        <v/>
      </c>
      <c r="W619">
        <f>IF(AND(T619,V619&lt;&gt;""),IF(COUNTIFS(V$2:V619,V619,T$2:T619,TRUE)=1,MAX(W$1:W618)+1,""),"")</f>
        <v/>
      </c>
      <c r="X619">
        <f>IFERROR(INDEX('1.산군_붙여넣기'!$A$1:$AZ$1001,ROW(),설정!$C$14)&amp;"","")</f>
        <v/>
      </c>
      <c r="Y619">
        <f>IFERROR(INDEX('1.산군_붙여넣기'!$A$1:$AZ$1001,ROW(),설정!$C$15)&amp;"","")</f>
        <v/>
      </c>
      <c r="Z619">
        <f>IF(T619,V619&amp;"|"&amp;U619,"")</f>
        <v/>
      </c>
    </row>
    <row r="620">
      <c r="A620">
        <f>ROW()</f>
        <v/>
      </c>
      <c r="B620">
        <f>IFERROR(INDEX('1.산군_붙여넣기'!$A$1:$AZ$1001,ROW(),설정!$C$4)&amp;"","")</f>
        <v/>
      </c>
      <c r="C620">
        <f>IFERROR(INDEX('1.산군_붙여넣기'!$A$1:$AZ$1001,ROW(),설정!$C$5)&amp;"","")</f>
        <v/>
      </c>
      <c r="D620" s="5">
        <f>IFERROR(VALUE(SUBSTITUTE(SUBSTITUTE(SUBSTITUTE(IFERROR(INDEX('1.산군_붙여넣기'!$A$1:$AZ$1001,ROW(),설정!$C$6)&amp;"",""),",",""),"㎡",""),"m2","")),"")</f>
        <v/>
      </c>
      <c r="E620">
        <f>IFERROR(INDEX('1.산군_붙여넣기'!$A$1:$AZ$1001,ROW(),설정!$C$7)&amp;"","")</f>
        <v/>
      </c>
      <c r="F620">
        <f>IFERROR(INDEX('1.산군_붙여넣기'!$A$1:$AZ$1001,ROW(),설정!$C$8)&amp;"","")</f>
        <v/>
      </c>
      <c r="G620">
        <f>IFERROR(INDEX('1.산군_붙여넣기'!$A$1:$AZ$1001,ROW(),설정!$C$9)&amp;"","")</f>
        <v/>
      </c>
      <c r="H620">
        <f>IFERROR(INDEX('1.산군_붙여넣기'!$A$1:$AZ$1001,ROW(),설정!$C$10)&amp;"","")</f>
        <v/>
      </c>
      <c r="I620">
        <f>IFERROR(INDEX('1.산군_붙여넣기'!$A$1:$AZ$1001,ROW(),설정!$C$11)&amp;"","")</f>
        <v/>
      </c>
      <c r="J620">
        <f>IFERROR(INDEX('1.산군_붙여넣기'!$A$1:$AZ$1001,ROW(),설정!$C$12)&amp;"","")</f>
        <v/>
      </c>
      <c r="K620">
        <f>IFERROR(INDEX('1.산군_붙여넣기'!$A$1:$AZ$1001,ROW(),설정!$C$13)&amp;"","")</f>
        <v/>
      </c>
      <c r="L620" s="6">
        <f>IF(X620="","",IF(AND(LEN(X620)=8,ISNUMBER(X620*1)),DATE(LEFT(X620,4),MID(X620,5,2),RIGHT(X620,2)),IFERROR(DATEVALUE(SUBSTITUTE(SUBSTITUTE(X620,".","-"),"/","-")),IFERROR(X620*1,""))))</f>
        <v/>
      </c>
      <c r="M620" s="6">
        <f>IF(Y620="","",IF(AND(LEN(Y620)=8,ISNUMBER(Y620*1)),DATE(LEFT(Y620,4),MID(Y620,5,2),RIGHT(Y620,2)),IFERROR(DATEVALUE(SUBSTITUTE(SUBSTITUTE(Y620,".","-"),"/","-")),IFERROR(Y620*1,""))))</f>
        <v/>
      </c>
      <c r="N620">
        <f>IFERROR(LEFT(B620,FIND(" ",B620)-1),B620)</f>
        <v/>
      </c>
      <c r="O620">
        <f>AND(B620&lt;&gt;"",B620&lt;&gt;설정!$B$4,C620&lt;&gt;설정!$B$5)</f>
        <v/>
      </c>
      <c r="P620">
        <f>IF(O620,B620&amp;"|"&amp;C620,"")</f>
        <v/>
      </c>
      <c r="Q620">
        <f>AND(O620,COUNTIF(P621:P$1002,P620)=0)</f>
        <v/>
      </c>
      <c r="R620">
        <f>OR(AND(설정!$A$28&lt;&gt;"",ISNUMBER(SEARCH(설정!$A$28,E620&amp;" "&amp;C620))),AND(설정!$A$29&lt;&gt;"",ISNUMBER(SEARCH(설정!$A$29,E620&amp;" "&amp;C620))),AND(설정!$A$30&lt;&gt;"",ISNUMBER(SEARCH(설정!$A$30,E620&amp;" "&amp;C620))),AND(설정!$A$31&lt;&gt;"",ISNUMBER(SEARCH(설정!$A$31,E620&amp;" "&amp;C620))),AND(설정!$A$32&lt;&gt;"",ISNUMBER(SEARCH(설정!$A$32,E620&amp;" "&amp;C620))),AND(설정!$A$33&lt;&gt;"",ISNUMBER(SEARCH(설정!$A$33,E620&amp;" "&amp;C620))),AND(설정!$A$34&lt;&gt;"",ISNUMBER(SEARCH(설정!$A$34,E620&amp;" "&amp;C620))),AND(설정!$A$35&lt;&gt;"",ISNUMBER(SEARCH(설정!$A$35,E620&amp;" "&amp;C620))),AND(설정!$A$36&lt;&gt;"",ISNUMBER(SEARCH(설정!$A$36,E620&amp;" "&amp;C620))),AND(설정!$A$37&lt;&gt;"",ISNUMBER(SEARCH(설정!$A$37,E620&amp;" "&amp;C620))))</f>
        <v/>
      </c>
      <c r="S620">
        <f>OR(D620="",D620&gt;=설정!$B$19)</f>
        <v/>
      </c>
      <c r="T620">
        <f>AND(Q620,R620,S620)</f>
        <v/>
      </c>
      <c r="U620">
        <f>IF(T620,IF(AND(설정!$A$41&lt;&gt;"",ISNUMBER(SEARCH(설정!$A$41,K620))),설정!$B$41,IF(AND(설정!$A$42&lt;&gt;"",ISNUMBER(SEARCH(설정!$A$42,K620))),설정!$B$42,IF(AND(설정!$A$43&lt;&gt;"",ISNUMBER(SEARCH(설정!$A$43,K620))),설정!$B$43,IF(AND(설정!$A$44&lt;&gt;"",ISNUMBER(SEARCH(설정!$A$44,K620))),설정!$B$44,IF(AND(설정!$A$45&lt;&gt;"",ISNUMBER(SEARCH(설정!$A$45,K620))),설정!$B$45,IF(AND(설정!$A$46&lt;&gt;"",ISNUMBER(SEARCH(설정!$A$46,K620))),설정!$B$46,IF(AND(설정!$A$47&lt;&gt;"",ISNUMBER(SEARCH(설정!$A$47,K620))),설정!$B$47,IF(AND(설정!$A$48&lt;&gt;"",ISNUMBER(SEARCH(설정!$A$48,K620))),설정!$B$48,IF(M620="","설계사","시공사"))))))))),"")</f>
        <v/>
      </c>
      <c r="V620">
        <f>SUBSTITUTE(SUBSTITUTE(SUBSTITUTE(SUBSTITUTE(G620,"(주)",""),"㈜",""),"주식회사","")," ","")</f>
        <v/>
      </c>
      <c r="W620">
        <f>IF(AND(T620,V620&lt;&gt;""),IF(COUNTIFS(V$2:V620,V620,T$2:T620,TRUE)=1,MAX(W$1:W619)+1,""),"")</f>
        <v/>
      </c>
      <c r="X620">
        <f>IFERROR(INDEX('1.산군_붙여넣기'!$A$1:$AZ$1001,ROW(),설정!$C$14)&amp;"","")</f>
        <v/>
      </c>
      <c r="Y620">
        <f>IFERROR(INDEX('1.산군_붙여넣기'!$A$1:$AZ$1001,ROW(),설정!$C$15)&amp;"","")</f>
        <v/>
      </c>
      <c r="Z620">
        <f>IF(T620,V620&amp;"|"&amp;U620,"")</f>
        <v/>
      </c>
    </row>
    <row r="621">
      <c r="A621">
        <f>ROW()</f>
        <v/>
      </c>
      <c r="B621">
        <f>IFERROR(INDEX('1.산군_붙여넣기'!$A$1:$AZ$1001,ROW(),설정!$C$4)&amp;"","")</f>
        <v/>
      </c>
      <c r="C621">
        <f>IFERROR(INDEX('1.산군_붙여넣기'!$A$1:$AZ$1001,ROW(),설정!$C$5)&amp;"","")</f>
        <v/>
      </c>
      <c r="D621" s="5">
        <f>IFERROR(VALUE(SUBSTITUTE(SUBSTITUTE(SUBSTITUTE(IFERROR(INDEX('1.산군_붙여넣기'!$A$1:$AZ$1001,ROW(),설정!$C$6)&amp;"",""),",",""),"㎡",""),"m2","")),"")</f>
        <v/>
      </c>
      <c r="E621">
        <f>IFERROR(INDEX('1.산군_붙여넣기'!$A$1:$AZ$1001,ROW(),설정!$C$7)&amp;"","")</f>
        <v/>
      </c>
      <c r="F621">
        <f>IFERROR(INDEX('1.산군_붙여넣기'!$A$1:$AZ$1001,ROW(),설정!$C$8)&amp;"","")</f>
        <v/>
      </c>
      <c r="G621">
        <f>IFERROR(INDEX('1.산군_붙여넣기'!$A$1:$AZ$1001,ROW(),설정!$C$9)&amp;"","")</f>
        <v/>
      </c>
      <c r="H621">
        <f>IFERROR(INDEX('1.산군_붙여넣기'!$A$1:$AZ$1001,ROW(),설정!$C$10)&amp;"","")</f>
        <v/>
      </c>
      <c r="I621">
        <f>IFERROR(INDEX('1.산군_붙여넣기'!$A$1:$AZ$1001,ROW(),설정!$C$11)&amp;"","")</f>
        <v/>
      </c>
      <c r="J621">
        <f>IFERROR(INDEX('1.산군_붙여넣기'!$A$1:$AZ$1001,ROW(),설정!$C$12)&amp;"","")</f>
        <v/>
      </c>
      <c r="K621">
        <f>IFERROR(INDEX('1.산군_붙여넣기'!$A$1:$AZ$1001,ROW(),설정!$C$13)&amp;"","")</f>
        <v/>
      </c>
      <c r="L621" s="6">
        <f>IF(X621="","",IF(AND(LEN(X621)=8,ISNUMBER(X621*1)),DATE(LEFT(X621,4),MID(X621,5,2),RIGHT(X621,2)),IFERROR(DATEVALUE(SUBSTITUTE(SUBSTITUTE(X621,".","-"),"/","-")),IFERROR(X621*1,""))))</f>
        <v/>
      </c>
      <c r="M621" s="6">
        <f>IF(Y621="","",IF(AND(LEN(Y621)=8,ISNUMBER(Y621*1)),DATE(LEFT(Y621,4),MID(Y621,5,2),RIGHT(Y621,2)),IFERROR(DATEVALUE(SUBSTITUTE(SUBSTITUTE(Y621,".","-"),"/","-")),IFERROR(Y621*1,""))))</f>
        <v/>
      </c>
      <c r="N621">
        <f>IFERROR(LEFT(B621,FIND(" ",B621)-1),B621)</f>
        <v/>
      </c>
      <c r="O621">
        <f>AND(B621&lt;&gt;"",B621&lt;&gt;설정!$B$4,C621&lt;&gt;설정!$B$5)</f>
        <v/>
      </c>
      <c r="P621">
        <f>IF(O621,B621&amp;"|"&amp;C621,"")</f>
        <v/>
      </c>
      <c r="Q621">
        <f>AND(O621,COUNTIF(P622:P$1002,P621)=0)</f>
        <v/>
      </c>
      <c r="R621">
        <f>OR(AND(설정!$A$28&lt;&gt;"",ISNUMBER(SEARCH(설정!$A$28,E621&amp;" "&amp;C621))),AND(설정!$A$29&lt;&gt;"",ISNUMBER(SEARCH(설정!$A$29,E621&amp;" "&amp;C621))),AND(설정!$A$30&lt;&gt;"",ISNUMBER(SEARCH(설정!$A$30,E621&amp;" "&amp;C621))),AND(설정!$A$31&lt;&gt;"",ISNUMBER(SEARCH(설정!$A$31,E621&amp;" "&amp;C621))),AND(설정!$A$32&lt;&gt;"",ISNUMBER(SEARCH(설정!$A$32,E621&amp;" "&amp;C621))),AND(설정!$A$33&lt;&gt;"",ISNUMBER(SEARCH(설정!$A$33,E621&amp;" "&amp;C621))),AND(설정!$A$34&lt;&gt;"",ISNUMBER(SEARCH(설정!$A$34,E621&amp;" "&amp;C621))),AND(설정!$A$35&lt;&gt;"",ISNUMBER(SEARCH(설정!$A$35,E621&amp;" "&amp;C621))),AND(설정!$A$36&lt;&gt;"",ISNUMBER(SEARCH(설정!$A$36,E621&amp;" "&amp;C621))),AND(설정!$A$37&lt;&gt;"",ISNUMBER(SEARCH(설정!$A$37,E621&amp;" "&amp;C621))))</f>
        <v/>
      </c>
      <c r="S621">
        <f>OR(D621="",D621&gt;=설정!$B$19)</f>
        <v/>
      </c>
      <c r="T621">
        <f>AND(Q621,R621,S621)</f>
        <v/>
      </c>
      <c r="U621">
        <f>IF(T621,IF(AND(설정!$A$41&lt;&gt;"",ISNUMBER(SEARCH(설정!$A$41,K621))),설정!$B$41,IF(AND(설정!$A$42&lt;&gt;"",ISNUMBER(SEARCH(설정!$A$42,K621))),설정!$B$42,IF(AND(설정!$A$43&lt;&gt;"",ISNUMBER(SEARCH(설정!$A$43,K621))),설정!$B$43,IF(AND(설정!$A$44&lt;&gt;"",ISNUMBER(SEARCH(설정!$A$44,K621))),설정!$B$44,IF(AND(설정!$A$45&lt;&gt;"",ISNUMBER(SEARCH(설정!$A$45,K621))),설정!$B$45,IF(AND(설정!$A$46&lt;&gt;"",ISNUMBER(SEARCH(설정!$A$46,K621))),설정!$B$46,IF(AND(설정!$A$47&lt;&gt;"",ISNUMBER(SEARCH(설정!$A$47,K621))),설정!$B$47,IF(AND(설정!$A$48&lt;&gt;"",ISNUMBER(SEARCH(설정!$A$48,K621))),설정!$B$48,IF(M621="","설계사","시공사"))))))))),"")</f>
        <v/>
      </c>
      <c r="V621">
        <f>SUBSTITUTE(SUBSTITUTE(SUBSTITUTE(SUBSTITUTE(G621,"(주)",""),"㈜",""),"주식회사","")," ","")</f>
        <v/>
      </c>
      <c r="W621">
        <f>IF(AND(T621,V621&lt;&gt;""),IF(COUNTIFS(V$2:V621,V621,T$2:T621,TRUE)=1,MAX(W$1:W620)+1,""),"")</f>
        <v/>
      </c>
      <c r="X621">
        <f>IFERROR(INDEX('1.산군_붙여넣기'!$A$1:$AZ$1001,ROW(),설정!$C$14)&amp;"","")</f>
        <v/>
      </c>
      <c r="Y621">
        <f>IFERROR(INDEX('1.산군_붙여넣기'!$A$1:$AZ$1001,ROW(),설정!$C$15)&amp;"","")</f>
        <v/>
      </c>
      <c r="Z621">
        <f>IF(T621,V621&amp;"|"&amp;U621,"")</f>
        <v/>
      </c>
    </row>
    <row r="622">
      <c r="A622">
        <f>ROW()</f>
        <v/>
      </c>
      <c r="B622">
        <f>IFERROR(INDEX('1.산군_붙여넣기'!$A$1:$AZ$1001,ROW(),설정!$C$4)&amp;"","")</f>
        <v/>
      </c>
      <c r="C622">
        <f>IFERROR(INDEX('1.산군_붙여넣기'!$A$1:$AZ$1001,ROW(),설정!$C$5)&amp;"","")</f>
        <v/>
      </c>
      <c r="D622" s="5">
        <f>IFERROR(VALUE(SUBSTITUTE(SUBSTITUTE(SUBSTITUTE(IFERROR(INDEX('1.산군_붙여넣기'!$A$1:$AZ$1001,ROW(),설정!$C$6)&amp;"",""),",",""),"㎡",""),"m2","")),"")</f>
        <v/>
      </c>
      <c r="E622">
        <f>IFERROR(INDEX('1.산군_붙여넣기'!$A$1:$AZ$1001,ROW(),설정!$C$7)&amp;"","")</f>
        <v/>
      </c>
      <c r="F622">
        <f>IFERROR(INDEX('1.산군_붙여넣기'!$A$1:$AZ$1001,ROW(),설정!$C$8)&amp;"","")</f>
        <v/>
      </c>
      <c r="G622">
        <f>IFERROR(INDEX('1.산군_붙여넣기'!$A$1:$AZ$1001,ROW(),설정!$C$9)&amp;"","")</f>
        <v/>
      </c>
      <c r="H622">
        <f>IFERROR(INDEX('1.산군_붙여넣기'!$A$1:$AZ$1001,ROW(),설정!$C$10)&amp;"","")</f>
        <v/>
      </c>
      <c r="I622">
        <f>IFERROR(INDEX('1.산군_붙여넣기'!$A$1:$AZ$1001,ROW(),설정!$C$11)&amp;"","")</f>
        <v/>
      </c>
      <c r="J622">
        <f>IFERROR(INDEX('1.산군_붙여넣기'!$A$1:$AZ$1001,ROW(),설정!$C$12)&amp;"","")</f>
        <v/>
      </c>
      <c r="K622">
        <f>IFERROR(INDEX('1.산군_붙여넣기'!$A$1:$AZ$1001,ROW(),설정!$C$13)&amp;"","")</f>
        <v/>
      </c>
      <c r="L622" s="6">
        <f>IF(X622="","",IF(AND(LEN(X622)=8,ISNUMBER(X622*1)),DATE(LEFT(X622,4),MID(X622,5,2),RIGHT(X622,2)),IFERROR(DATEVALUE(SUBSTITUTE(SUBSTITUTE(X622,".","-"),"/","-")),IFERROR(X622*1,""))))</f>
        <v/>
      </c>
      <c r="M622" s="6">
        <f>IF(Y622="","",IF(AND(LEN(Y622)=8,ISNUMBER(Y622*1)),DATE(LEFT(Y622,4),MID(Y622,5,2),RIGHT(Y622,2)),IFERROR(DATEVALUE(SUBSTITUTE(SUBSTITUTE(Y622,".","-"),"/","-")),IFERROR(Y622*1,""))))</f>
        <v/>
      </c>
      <c r="N622">
        <f>IFERROR(LEFT(B622,FIND(" ",B622)-1),B622)</f>
        <v/>
      </c>
      <c r="O622">
        <f>AND(B622&lt;&gt;"",B622&lt;&gt;설정!$B$4,C622&lt;&gt;설정!$B$5)</f>
        <v/>
      </c>
      <c r="P622">
        <f>IF(O622,B622&amp;"|"&amp;C622,"")</f>
        <v/>
      </c>
      <c r="Q622">
        <f>AND(O622,COUNTIF(P623:P$1002,P622)=0)</f>
        <v/>
      </c>
      <c r="R622">
        <f>OR(AND(설정!$A$28&lt;&gt;"",ISNUMBER(SEARCH(설정!$A$28,E622&amp;" "&amp;C622))),AND(설정!$A$29&lt;&gt;"",ISNUMBER(SEARCH(설정!$A$29,E622&amp;" "&amp;C622))),AND(설정!$A$30&lt;&gt;"",ISNUMBER(SEARCH(설정!$A$30,E622&amp;" "&amp;C622))),AND(설정!$A$31&lt;&gt;"",ISNUMBER(SEARCH(설정!$A$31,E622&amp;" "&amp;C622))),AND(설정!$A$32&lt;&gt;"",ISNUMBER(SEARCH(설정!$A$32,E622&amp;" "&amp;C622))),AND(설정!$A$33&lt;&gt;"",ISNUMBER(SEARCH(설정!$A$33,E622&amp;" "&amp;C622))),AND(설정!$A$34&lt;&gt;"",ISNUMBER(SEARCH(설정!$A$34,E622&amp;" "&amp;C622))),AND(설정!$A$35&lt;&gt;"",ISNUMBER(SEARCH(설정!$A$35,E622&amp;" "&amp;C622))),AND(설정!$A$36&lt;&gt;"",ISNUMBER(SEARCH(설정!$A$36,E622&amp;" "&amp;C622))),AND(설정!$A$37&lt;&gt;"",ISNUMBER(SEARCH(설정!$A$37,E622&amp;" "&amp;C622))))</f>
        <v/>
      </c>
      <c r="S622">
        <f>OR(D622="",D622&gt;=설정!$B$19)</f>
        <v/>
      </c>
      <c r="T622">
        <f>AND(Q622,R622,S622)</f>
        <v/>
      </c>
      <c r="U622">
        <f>IF(T622,IF(AND(설정!$A$41&lt;&gt;"",ISNUMBER(SEARCH(설정!$A$41,K622))),설정!$B$41,IF(AND(설정!$A$42&lt;&gt;"",ISNUMBER(SEARCH(설정!$A$42,K622))),설정!$B$42,IF(AND(설정!$A$43&lt;&gt;"",ISNUMBER(SEARCH(설정!$A$43,K622))),설정!$B$43,IF(AND(설정!$A$44&lt;&gt;"",ISNUMBER(SEARCH(설정!$A$44,K622))),설정!$B$44,IF(AND(설정!$A$45&lt;&gt;"",ISNUMBER(SEARCH(설정!$A$45,K622))),설정!$B$45,IF(AND(설정!$A$46&lt;&gt;"",ISNUMBER(SEARCH(설정!$A$46,K622))),설정!$B$46,IF(AND(설정!$A$47&lt;&gt;"",ISNUMBER(SEARCH(설정!$A$47,K622))),설정!$B$47,IF(AND(설정!$A$48&lt;&gt;"",ISNUMBER(SEARCH(설정!$A$48,K622))),설정!$B$48,IF(M622="","설계사","시공사"))))))))),"")</f>
        <v/>
      </c>
      <c r="V622">
        <f>SUBSTITUTE(SUBSTITUTE(SUBSTITUTE(SUBSTITUTE(G622,"(주)",""),"㈜",""),"주식회사","")," ","")</f>
        <v/>
      </c>
      <c r="W622">
        <f>IF(AND(T622,V622&lt;&gt;""),IF(COUNTIFS(V$2:V622,V622,T$2:T622,TRUE)=1,MAX(W$1:W621)+1,""),"")</f>
        <v/>
      </c>
      <c r="X622">
        <f>IFERROR(INDEX('1.산군_붙여넣기'!$A$1:$AZ$1001,ROW(),설정!$C$14)&amp;"","")</f>
        <v/>
      </c>
      <c r="Y622">
        <f>IFERROR(INDEX('1.산군_붙여넣기'!$A$1:$AZ$1001,ROW(),설정!$C$15)&amp;"","")</f>
        <v/>
      </c>
      <c r="Z622">
        <f>IF(T622,V622&amp;"|"&amp;U622,"")</f>
        <v/>
      </c>
    </row>
    <row r="623">
      <c r="A623">
        <f>ROW()</f>
        <v/>
      </c>
      <c r="B623">
        <f>IFERROR(INDEX('1.산군_붙여넣기'!$A$1:$AZ$1001,ROW(),설정!$C$4)&amp;"","")</f>
        <v/>
      </c>
      <c r="C623">
        <f>IFERROR(INDEX('1.산군_붙여넣기'!$A$1:$AZ$1001,ROW(),설정!$C$5)&amp;"","")</f>
        <v/>
      </c>
      <c r="D623" s="5">
        <f>IFERROR(VALUE(SUBSTITUTE(SUBSTITUTE(SUBSTITUTE(IFERROR(INDEX('1.산군_붙여넣기'!$A$1:$AZ$1001,ROW(),설정!$C$6)&amp;"",""),",",""),"㎡",""),"m2","")),"")</f>
        <v/>
      </c>
      <c r="E623">
        <f>IFERROR(INDEX('1.산군_붙여넣기'!$A$1:$AZ$1001,ROW(),설정!$C$7)&amp;"","")</f>
        <v/>
      </c>
      <c r="F623">
        <f>IFERROR(INDEX('1.산군_붙여넣기'!$A$1:$AZ$1001,ROW(),설정!$C$8)&amp;"","")</f>
        <v/>
      </c>
      <c r="G623">
        <f>IFERROR(INDEX('1.산군_붙여넣기'!$A$1:$AZ$1001,ROW(),설정!$C$9)&amp;"","")</f>
        <v/>
      </c>
      <c r="H623">
        <f>IFERROR(INDEX('1.산군_붙여넣기'!$A$1:$AZ$1001,ROW(),설정!$C$10)&amp;"","")</f>
        <v/>
      </c>
      <c r="I623">
        <f>IFERROR(INDEX('1.산군_붙여넣기'!$A$1:$AZ$1001,ROW(),설정!$C$11)&amp;"","")</f>
        <v/>
      </c>
      <c r="J623">
        <f>IFERROR(INDEX('1.산군_붙여넣기'!$A$1:$AZ$1001,ROW(),설정!$C$12)&amp;"","")</f>
        <v/>
      </c>
      <c r="K623">
        <f>IFERROR(INDEX('1.산군_붙여넣기'!$A$1:$AZ$1001,ROW(),설정!$C$13)&amp;"","")</f>
        <v/>
      </c>
      <c r="L623" s="6">
        <f>IF(X623="","",IF(AND(LEN(X623)=8,ISNUMBER(X623*1)),DATE(LEFT(X623,4),MID(X623,5,2),RIGHT(X623,2)),IFERROR(DATEVALUE(SUBSTITUTE(SUBSTITUTE(X623,".","-"),"/","-")),IFERROR(X623*1,""))))</f>
        <v/>
      </c>
      <c r="M623" s="6">
        <f>IF(Y623="","",IF(AND(LEN(Y623)=8,ISNUMBER(Y623*1)),DATE(LEFT(Y623,4),MID(Y623,5,2),RIGHT(Y623,2)),IFERROR(DATEVALUE(SUBSTITUTE(SUBSTITUTE(Y623,".","-"),"/","-")),IFERROR(Y623*1,""))))</f>
        <v/>
      </c>
      <c r="N623">
        <f>IFERROR(LEFT(B623,FIND(" ",B623)-1),B623)</f>
        <v/>
      </c>
      <c r="O623">
        <f>AND(B623&lt;&gt;"",B623&lt;&gt;설정!$B$4,C623&lt;&gt;설정!$B$5)</f>
        <v/>
      </c>
      <c r="P623">
        <f>IF(O623,B623&amp;"|"&amp;C623,"")</f>
        <v/>
      </c>
      <c r="Q623">
        <f>AND(O623,COUNTIF(P624:P$1002,P623)=0)</f>
        <v/>
      </c>
      <c r="R623">
        <f>OR(AND(설정!$A$28&lt;&gt;"",ISNUMBER(SEARCH(설정!$A$28,E623&amp;" "&amp;C623))),AND(설정!$A$29&lt;&gt;"",ISNUMBER(SEARCH(설정!$A$29,E623&amp;" "&amp;C623))),AND(설정!$A$30&lt;&gt;"",ISNUMBER(SEARCH(설정!$A$30,E623&amp;" "&amp;C623))),AND(설정!$A$31&lt;&gt;"",ISNUMBER(SEARCH(설정!$A$31,E623&amp;" "&amp;C623))),AND(설정!$A$32&lt;&gt;"",ISNUMBER(SEARCH(설정!$A$32,E623&amp;" "&amp;C623))),AND(설정!$A$33&lt;&gt;"",ISNUMBER(SEARCH(설정!$A$33,E623&amp;" "&amp;C623))),AND(설정!$A$34&lt;&gt;"",ISNUMBER(SEARCH(설정!$A$34,E623&amp;" "&amp;C623))),AND(설정!$A$35&lt;&gt;"",ISNUMBER(SEARCH(설정!$A$35,E623&amp;" "&amp;C623))),AND(설정!$A$36&lt;&gt;"",ISNUMBER(SEARCH(설정!$A$36,E623&amp;" "&amp;C623))),AND(설정!$A$37&lt;&gt;"",ISNUMBER(SEARCH(설정!$A$37,E623&amp;" "&amp;C623))))</f>
        <v/>
      </c>
      <c r="S623">
        <f>OR(D623="",D623&gt;=설정!$B$19)</f>
        <v/>
      </c>
      <c r="T623">
        <f>AND(Q623,R623,S623)</f>
        <v/>
      </c>
      <c r="U623">
        <f>IF(T623,IF(AND(설정!$A$41&lt;&gt;"",ISNUMBER(SEARCH(설정!$A$41,K623))),설정!$B$41,IF(AND(설정!$A$42&lt;&gt;"",ISNUMBER(SEARCH(설정!$A$42,K623))),설정!$B$42,IF(AND(설정!$A$43&lt;&gt;"",ISNUMBER(SEARCH(설정!$A$43,K623))),설정!$B$43,IF(AND(설정!$A$44&lt;&gt;"",ISNUMBER(SEARCH(설정!$A$44,K623))),설정!$B$44,IF(AND(설정!$A$45&lt;&gt;"",ISNUMBER(SEARCH(설정!$A$45,K623))),설정!$B$45,IF(AND(설정!$A$46&lt;&gt;"",ISNUMBER(SEARCH(설정!$A$46,K623))),설정!$B$46,IF(AND(설정!$A$47&lt;&gt;"",ISNUMBER(SEARCH(설정!$A$47,K623))),설정!$B$47,IF(AND(설정!$A$48&lt;&gt;"",ISNUMBER(SEARCH(설정!$A$48,K623))),설정!$B$48,IF(M623="","설계사","시공사"))))))))),"")</f>
        <v/>
      </c>
      <c r="V623">
        <f>SUBSTITUTE(SUBSTITUTE(SUBSTITUTE(SUBSTITUTE(G623,"(주)",""),"㈜",""),"주식회사","")," ","")</f>
        <v/>
      </c>
      <c r="W623">
        <f>IF(AND(T623,V623&lt;&gt;""),IF(COUNTIFS(V$2:V623,V623,T$2:T623,TRUE)=1,MAX(W$1:W622)+1,""),"")</f>
        <v/>
      </c>
      <c r="X623">
        <f>IFERROR(INDEX('1.산군_붙여넣기'!$A$1:$AZ$1001,ROW(),설정!$C$14)&amp;"","")</f>
        <v/>
      </c>
      <c r="Y623">
        <f>IFERROR(INDEX('1.산군_붙여넣기'!$A$1:$AZ$1001,ROW(),설정!$C$15)&amp;"","")</f>
        <v/>
      </c>
      <c r="Z623">
        <f>IF(T623,V623&amp;"|"&amp;U623,"")</f>
        <v/>
      </c>
    </row>
    <row r="624">
      <c r="A624">
        <f>ROW()</f>
        <v/>
      </c>
      <c r="B624">
        <f>IFERROR(INDEX('1.산군_붙여넣기'!$A$1:$AZ$1001,ROW(),설정!$C$4)&amp;"","")</f>
        <v/>
      </c>
      <c r="C624">
        <f>IFERROR(INDEX('1.산군_붙여넣기'!$A$1:$AZ$1001,ROW(),설정!$C$5)&amp;"","")</f>
        <v/>
      </c>
      <c r="D624" s="5">
        <f>IFERROR(VALUE(SUBSTITUTE(SUBSTITUTE(SUBSTITUTE(IFERROR(INDEX('1.산군_붙여넣기'!$A$1:$AZ$1001,ROW(),설정!$C$6)&amp;"",""),",",""),"㎡",""),"m2","")),"")</f>
        <v/>
      </c>
      <c r="E624">
        <f>IFERROR(INDEX('1.산군_붙여넣기'!$A$1:$AZ$1001,ROW(),설정!$C$7)&amp;"","")</f>
        <v/>
      </c>
      <c r="F624">
        <f>IFERROR(INDEX('1.산군_붙여넣기'!$A$1:$AZ$1001,ROW(),설정!$C$8)&amp;"","")</f>
        <v/>
      </c>
      <c r="G624">
        <f>IFERROR(INDEX('1.산군_붙여넣기'!$A$1:$AZ$1001,ROW(),설정!$C$9)&amp;"","")</f>
        <v/>
      </c>
      <c r="H624">
        <f>IFERROR(INDEX('1.산군_붙여넣기'!$A$1:$AZ$1001,ROW(),설정!$C$10)&amp;"","")</f>
        <v/>
      </c>
      <c r="I624">
        <f>IFERROR(INDEX('1.산군_붙여넣기'!$A$1:$AZ$1001,ROW(),설정!$C$11)&amp;"","")</f>
        <v/>
      </c>
      <c r="J624">
        <f>IFERROR(INDEX('1.산군_붙여넣기'!$A$1:$AZ$1001,ROW(),설정!$C$12)&amp;"","")</f>
        <v/>
      </c>
      <c r="K624">
        <f>IFERROR(INDEX('1.산군_붙여넣기'!$A$1:$AZ$1001,ROW(),설정!$C$13)&amp;"","")</f>
        <v/>
      </c>
      <c r="L624" s="6">
        <f>IF(X624="","",IF(AND(LEN(X624)=8,ISNUMBER(X624*1)),DATE(LEFT(X624,4),MID(X624,5,2),RIGHT(X624,2)),IFERROR(DATEVALUE(SUBSTITUTE(SUBSTITUTE(X624,".","-"),"/","-")),IFERROR(X624*1,""))))</f>
        <v/>
      </c>
      <c r="M624" s="6">
        <f>IF(Y624="","",IF(AND(LEN(Y624)=8,ISNUMBER(Y624*1)),DATE(LEFT(Y624,4),MID(Y624,5,2),RIGHT(Y624,2)),IFERROR(DATEVALUE(SUBSTITUTE(SUBSTITUTE(Y624,".","-"),"/","-")),IFERROR(Y624*1,""))))</f>
        <v/>
      </c>
      <c r="N624">
        <f>IFERROR(LEFT(B624,FIND(" ",B624)-1),B624)</f>
        <v/>
      </c>
      <c r="O624">
        <f>AND(B624&lt;&gt;"",B624&lt;&gt;설정!$B$4,C624&lt;&gt;설정!$B$5)</f>
        <v/>
      </c>
      <c r="P624">
        <f>IF(O624,B624&amp;"|"&amp;C624,"")</f>
        <v/>
      </c>
      <c r="Q624">
        <f>AND(O624,COUNTIF(P625:P$1002,P624)=0)</f>
        <v/>
      </c>
      <c r="R624">
        <f>OR(AND(설정!$A$28&lt;&gt;"",ISNUMBER(SEARCH(설정!$A$28,E624&amp;" "&amp;C624))),AND(설정!$A$29&lt;&gt;"",ISNUMBER(SEARCH(설정!$A$29,E624&amp;" "&amp;C624))),AND(설정!$A$30&lt;&gt;"",ISNUMBER(SEARCH(설정!$A$30,E624&amp;" "&amp;C624))),AND(설정!$A$31&lt;&gt;"",ISNUMBER(SEARCH(설정!$A$31,E624&amp;" "&amp;C624))),AND(설정!$A$32&lt;&gt;"",ISNUMBER(SEARCH(설정!$A$32,E624&amp;" "&amp;C624))),AND(설정!$A$33&lt;&gt;"",ISNUMBER(SEARCH(설정!$A$33,E624&amp;" "&amp;C624))),AND(설정!$A$34&lt;&gt;"",ISNUMBER(SEARCH(설정!$A$34,E624&amp;" "&amp;C624))),AND(설정!$A$35&lt;&gt;"",ISNUMBER(SEARCH(설정!$A$35,E624&amp;" "&amp;C624))),AND(설정!$A$36&lt;&gt;"",ISNUMBER(SEARCH(설정!$A$36,E624&amp;" "&amp;C624))),AND(설정!$A$37&lt;&gt;"",ISNUMBER(SEARCH(설정!$A$37,E624&amp;" "&amp;C624))))</f>
        <v/>
      </c>
      <c r="S624">
        <f>OR(D624="",D624&gt;=설정!$B$19)</f>
        <v/>
      </c>
      <c r="T624">
        <f>AND(Q624,R624,S624)</f>
        <v/>
      </c>
      <c r="U624">
        <f>IF(T624,IF(AND(설정!$A$41&lt;&gt;"",ISNUMBER(SEARCH(설정!$A$41,K624))),설정!$B$41,IF(AND(설정!$A$42&lt;&gt;"",ISNUMBER(SEARCH(설정!$A$42,K624))),설정!$B$42,IF(AND(설정!$A$43&lt;&gt;"",ISNUMBER(SEARCH(설정!$A$43,K624))),설정!$B$43,IF(AND(설정!$A$44&lt;&gt;"",ISNUMBER(SEARCH(설정!$A$44,K624))),설정!$B$44,IF(AND(설정!$A$45&lt;&gt;"",ISNUMBER(SEARCH(설정!$A$45,K624))),설정!$B$45,IF(AND(설정!$A$46&lt;&gt;"",ISNUMBER(SEARCH(설정!$A$46,K624))),설정!$B$46,IF(AND(설정!$A$47&lt;&gt;"",ISNUMBER(SEARCH(설정!$A$47,K624))),설정!$B$47,IF(AND(설정!$A$48&lt;&gt;"",ISNUMBER(SEARCH(설정!$A$48,K624))),설정!$B$48,IF(M624="","설계사","시공사"))))))))),"")</f>
        <v/>
      </c>
      <c r="V624">
        <f>SUBSTITUTE(SUBSTITUTE(SUBSTITUTE(SUBSTITUTE(G624,"(주)",""),"㈜",""),"주식회사","")," ","")</f>
        <v/>
      </c>
      <c r="W624">
        <f>IF(AND(T624,V624&lt;&gt;""),IF(COUNTIFS(V$2:V624,V624,T$2:T624,TRUE)=1,MAX(W$1:W623)+1,""),"")</f>
        <v/>
      </c>
      <c r="X624">
        <f>IFERROR(INDEX('1.산군_붙여넣기'!$A$1:$AZ$1001,ROW(),설정!$C$14)&amp;"","")</f>
        <v/>
      </c>
      <c r="Y624">
        <f>IFERROR(INDEX('1.산군_붙여넣기'!$A$1:$AZ$1001,ROW(),설정!$C$15)&amp;"","")</f>
        <v/>
      </c>
      <c r="Z624">
        <f>IF(T624,V624&amp;"|"&amp;U624,"")</f>
        <v/>
      </c>
    </row>
    <row r="625">
      <c r="A625">
        <f>ROW()</f>
        <v/>
      </c>
      <c r="B625">
        <f>IFERROR(INDEX('1.산군_붙여넣기'!$A$1:$AZ$1001,ROW(),설정!$C$4)&amp;"","")</f>
        <v/>
      </c>
      <c r="C625">
        <f>IFERROR(INDEX('1.산군_붙여넣기'!$A$1:$AZ$1001,ROW(),설정!$C$5)&amp;"","")</f>
        <v/>
      </c>
      <c r="D625" s="5">
        <f>IFERROR(VALUE(SUBSTITUTE(SUBSTITUTE(SUBSTITUTE(IFERROR(INDEX('1.산군_붙여넣기'!$A$1:$AZ$1001,ROW(),설정!$C$6)&amp;"",""),",",""),"㎡",""),"m2","")),"")</f>
        <v/>
      </c>
      <c r="E625">
        <f>IFERROR(INDEX('1.산군_붙여넣기'!$A$1:$AZ$1001,ROW(),설정!$C$7)&amp;"","")</f>
        <v/>
      </c>
      <c r="F625">
        <f>IFERROR(INDEX('1.산군_붙여넣기'!$A$1:$AZ$1001,ROW(),설정!$C$8)&amp;"","")</f>
        <v/>
      </c>
      <c r="G625">
        <f>IFERROR(INDEX('1.산군_붙여넣기'!$A$1:$AZ$1001,ROW(),설정!$C$9)&amp;"","")</f>
        <v/>
      </c>
      <c r="H625">
        <f>IFERROR(INDEX('1.산군_붙여넣기'!$A$1:$AZ$1001,ROW(),설정!$C$10)&amp;"","")</f>
        <v/>
      </c>
      <c r="I625">
        <f>IFERROR(INDEX('1.산군_붙여넣기'!$A$1:$AZ$1001,ROW(),설정!$C$11)&amp;"","")</f>
        <v/>
      </c>
      <c r="J625">
        <f>IFERROR(INDEX('1.산군_붙여넣기'!$A$1:$AZ$1001,ROW(),설정!$C$12)&amp;"","")</f>
        <v/>
      </c>
      <c r="K625">
        <f>IFERROR(INDEX('1.산군_붙여넣기'!$A$1:$AZ$1001,ROW(),설정!$C$13)&amp;"","")</f>
        <v/>
      </c>
      <c r="L625" s="6">
        <f>IF(X625="","",IF(AND(LEN(X625)=8,ISNUMBER(X625*1)),DATE(LEFT(X625,4),MID(X625,5,2),RIGHT(X625,2)),IFERROR(DATEVALUE(SUBSTITUTE(SUBSTITUTE(X625,".","-"),"/","-")),IFERROR(X625*1,""))))</f>
        <v/>
      </c>
      <c r="M625" s="6">
        <f>IF(Y625="","",IF(AND(LEN(Y625)=8,ISNUMBER(Y625*1)),DATE(LEFT(Y625,4),MID(Y625,5,2),RIGHT(Y625,2)),IFERROR(DATEVALUE(SUBSTITUTE(SUBSTITUTE(Y625,".","-"),"/","-")),IFERROR(Y625*1,""))))</f>
        <v/>
      </c>
      <c r="N625">
        <f>IFERROR(LEFT(B625,FIND(" ",B625)-1),B625)</f>
        <v/>
      </c>
      <c r="O625">
        <f>AND(B625&lt;&gt;"",B625&lt;&gt;설정!$B$4,C625&lt;&gt;설정!$B$5)</f>
        <v/>
      </c>
      <c r="P625">
        <f>IF(O625,B625&amp;"|"&amp;C625,"")</f>
        <v/>
      </c>
      <c r="Q625">
        <f>AND(O625,COUNTIF(P626:P$1002,P625)=0)</f>
        <v/>
      </c>
      <c r="R625">
        <f>OR(AND(설정!$A$28&lt;&gt;"",ISNUMBER(SEARCH(설정!$A$28,E625&amp;" "&amp;C625))),AND(설정!$A$29&lt;&gt;"",ISNUMBER(SEARCH(설정!$A$29,E625&amp;" "&amp;C625))),AND(설정!$A$30&lt;&gt;"",ISNUMBER(SEARCH(설정!$A$30,E625&amp;" "&amp;C625))),AND(설정!$A$31&lt;&gt;"",ISNUMBER(SEARCH(설정!$A$31,E625&amp;" "&amp;C625))),AND(설정!$A$32&lt;&gt;"",ISNUMBER(SEARCH(설정!$A$32,E625&amp;" "&amp;C625))),AND(설정!$A$33&lt;&gt;"",ISNUMBER(SEARCH(설정!$A$33,E625&amp;" "&amp;C625))),AND(설정!$A$34&lt;&gt;"",ISNUMBER(SEARCH(설정!$A$34,E625&amp;" "&amp;C625))),AND(설정!$A$35&lt;&gt;"",ISNUMBER(SEARCH(설정!$A$35,E625&amp;" "&amp;C625))),AND(설정!$A$36&lt;&gt;"",ISNUMBER(SEARCH(설정!$A$36,E625&amp;" "&amp;C625))),AND(설정!$A$37&lt;&gt;"",ISNUMBER(SEARCH(설정!$A$37,E625&amp;" "&amp;C625))))</f>
        <v/>
      </c>
      <c r="S625">
        <f>OR(D625="",D625&gt;=설정!$B$19)</f>
        <v/>
      </c>
      <c r="T625">
        <f>AND(Q625,R625,S625)</f>
        <v/>
      </c>
      <c r="U625">
        <f>IF(T625,IF(AND(설정!$A$41&lt;&gt;"",ISNUMBER(SEARCH(설정!$A$41,K625))),설정!$B$41,IF(AND(설정!$A$42&lt;&gt;"",ISNUMBER(SEARCH(설정!$A$42,K625))),설정!$B$42,IF(AND(설정!$A$43&lt;&gt;"",ISNUMBER(SEARCH(설정!$A$43,K625))),설정!$B$43,IF(AND(설정!$A$44&lt;&gt;"",ISNUMBER(SEARCH(설정!$A$44,K625))),설정!$B$44,IF(AND(설정!$A$45&lt;&gt;"",ISNUMBER(SEARCH(설정!$A$45,K625))),설정!$B$45,IF(AND(설정!$A$46&lt;&gt;"",ISNUMBER(SEARCH(설정!$A$46,K625))),설정!$B$46,IF(AND(설정!$A$47&lt;&gt;"",ISNUMBER(SEARCH(설정!$A$47,K625))),설정!$B$47,IF(AND(설정!$A$48&lt;&gt;"",ISNUMBER(SEARCH(설정!$A$48,K625))),설정!$B$48,IF(M625="","설계사","시공사"))))))))),"")</f>
        <v/>
      </c>
      <c r="V625">
        <f>SUBSTITUTE(SUBSTITUTE(SUBSTITUTE(SUBSTITUTE(G625,"(주)",""),"㈜",""),"주식회사","")," ","")</f>
        <v/>
      </c>
      <c r="W625">
        <f>IF(AND(T625,V625&lt;&gt;""),IF(COUNTIFS(V$2:V625,V625,T$2:T625,TRUE)=1,MAX(W$1:W624)+1,""),"")</f>
        <v/>
      </c>
      <c r="X625">
        <f>IFERROR(INDEX('1.산군_붙여넣기'!$A$1:$AZ$1001,ROW(),설정!$C$14)&amp;"","")</f>
        <v/>
      </c>
      <c r="Y625">
        <f>IFERROR(INDEX('1.산군_붙여넣기'!$A$1:$AZ$1001,ROW(),설정!$C$15)&amp;"","")</f>
        <v/>
      </c>
      <c r="Z625">
        <f>IF(T625,V625&amp;"|"&amp;U625,"")</f>
        <v/>
      </c>
    </row>
    <row r="626">
      <c r="A626">
        <f>ROW()</f>
        <v/>
      </c>
      <c r="B626">
        <f>IFERROR(INDEX('1.산군_붙여넣기'!$A$1:$AZ$1001,ROW(),설정!$C$4)&amp;"","")</f>
        <v/>
      </c>
      <c r="C626">
        <f>IFERROR(INDEX('1.산군_붙여넣기'!$A$1:$AZ$1001,ROW(),설정!$C$5)&amp;"","")</f>
        <v/>
      </c>
      <c r="D626" s="5">
        <f>IFERROR(VALUE(SUBSTITUTE(SUBSTITUTE(SUBSTITUTE(IFERROR(INDEX('1.산군_붙여넣기'!$A$1:$AZ$1001,ROW(),설정!$C$6)&amp;"",""),",",""),"㎡",""),"m2","")),"")</f>
        <v/>
      </c>
      <c r="E626">
        <f>IFERROR(INDEX('1.산군_붙여넣기'!$A$1:$AZ$1001,ROW(),설정!$C$7)&amp;"","")</f>
        <v/>
      </c>
      <c r="F626">
        <f>IFERROR(INDEX('1.산군_붙여넣기'!$A$1:$AZ$1001,ROW(),설정!$C$8)&amp;"","")</f>
        <v/>
      </c>
      <c r="G626">
        <f>IFERROR(INDEX('1.산군_붙여넣기'!$A$1:$AZ$1001,ROW(),설정!$C$9)&amp;"","")</f>
        <v/>
      </c>
      <c r="H626">
        <f>IFERROR(INDEX('1.산군_붙여넣기'!$A$1:$AZ$1001,ROW(),설정!$C$10)&amp;"","")</f>
        <v/>
      </c>
      <c r="I626">
        <f>IFERROR(INDEX('1.산군_붙여넣기'!$A$1:$AZ$1001,ROW(),설정!$C$11)&amp;"","")</f>
        <v/>
      </c>
      <c r="J626">
        <f>IFERROR(INDEX('1.산군_붙여넣기'!$A$1:$AZ$1001,ROW(),설정!$C$12)&amp;"","")</f>
        <v/>
      </c>
      <c r="K626">
        <f>IFERROR(INDEX('1.산군_붙여넣기'!$A$1:$AZ$1001,ROW(),설정!$C$13)&amp;"","")</f>
        <v/>
      </c>
      <c r="L626" s="6">
        <f>IF(X626="","",IF(AND(LEN(X626)=8,ISNUMBER(X626*1)),DATE(LEFT(X626,4),MID(X626,5,2),RIGHT(X626,2)),IFERROR(DATEVALUE(SUBSTITUTE(SUBSTITUTE(X626,".","-"),"/","-")),IFERROR(X626*1,""))))</f>
        <v/>
      </c>
      <c r="M626" s="6">
        <f>IF(Y626="","",IF(AND(LEN(Y626)=8,ISNUMBER(Y626*1)),DATE(LEFT(Y626,4),MID(Y626,5,2),RIGHT(Y626,2)),IFERROR(DATEVALUE(SUBSTITUTE(SUBSTITUTE(Y626,".","-"),"/","-")),IFERROR(Y626*1,""))))</f>
        <v/>
      </c>
      <c r="N626">
        <f>IFERROR(LEFT(B626,FIND(" ",B626)-1),B626)</f>
        <v/>
      </c>
      <c r="O626">
        <f>AND(B626&lt;&gt;"",B626&lt;&gt;설정!$B$4,C626&lt;&gt;설정!$B$5)</f>
        <v/>
      </c>
      <c r="P626">
        <f>IF(O626,B626&amp;"|"&amp;C626,"")</f>
        <v/>
      </c>
      <c r="Q626">
        <f>AND(O626,COUNTIF(P627:P$1002,P626)=0)</f>
        <v/>
      </c>
      <c r="R626">
        <f>OR(AND(설정!$A$28&lt;&gt;"",ISNUMBER(SEARCH(설정!$A$28,E626&amp;" "&amp;C626))),AND(설정!$A$29&lt;&gt;"",ISNUMBER(SEARCH(설정!$A$29,E626&amp;" "&amp;C626))),AND(설정!$A$30&lt;&gt;"",ISNUMBER(SEARCH(설정!$A$30,E626&amp;" "&amp;C626))),AND(설정!$A$31&lt;&gt;"",ISNUMBER(SEARCH(설정!$A$31,E626&amp;" "&amp;C626))),AND(설정!$A$32&lt;&gt;"",ISNUMBER(SEARCH(설정!$A$32,E626&amp;" "&amp;C626))),AND(설정!$A$33&lt;&gt;"",ISNUMBER(SEARCH(설정!$A$33,E626&amp;" "&amp;C626))),AND(설정!$A$34&lt;&gt;"",ISNUMBER(SEARCH(설정!$A$34,E626&amp;" "&amp;C626))),AND(설정!$A$35&lt;&gt;"",ISNUMBER(SEARCH(설정!$A$35,E626&amp;" "&amp;C626))),AND(설정!$A$36&lt;&gt;"",ISNUMBER(SEARCH(설정!$A$36,E626&amp;" "&amp;C626))),AND(설정!$A$37&lt;&gt;"",ISNUMBER(SEARCH(설정!$A$37,E626&amp;" "&amp;C626))))</f>
        <v/>
      </c>
      <c r="S626">
        <f>OR(D626="",D626&gt;=설정!$B$19)</f>
        <v/>
      </c>
      <c r="T626">
        <f>AND(Q626,R626,S626)</f>
        <v/>
      </c>
      <c r="U626">
        <f>IF(T626,IF(AND(설정!$A$41&lt;&gt;"",ISNUMBER(SEARCH(설정!$A$41,K626))),설정!$B$41,IF(AND(설정!$A$42&lt;&gt;"",ISNUMBER(SEARCH(설정!$A$42,K626))),설정!$B$42,IF(AND(설정!$A$43&lt;&gt;"",ISNUMBER(SEARCH(설정!$A$43,K626))),설정!$B$43,IF(AND(설정!$A$44&lt;&gt;"",ISNUMBER(SEARCH(설정!$A$44,K626))),설정!$B$44,IF(AND(설정!$A$45&lt;&gt;"",ISNUMBER(SEARCH(설정!$A$45,K626))),설정!$B$45,IF(AND(설정!$A$46&lt;&gt;"",ISNUMBER(SEARCH(설정!$A$46,K626))),설정!$B$46,IF(AND(설정!$A$47&lt;&gt;"",ISNUMBER(SEARCH(설정!$A$47,K626))),설정!$B$47,IF(AND(설정!$A$48&lt;&gt;"",ISNUMBER(SEARCH(설정!$A$48,K626))),설정!$B$48,IF(M626="","설계사","시공사"))))))))),"")</f>
        <v/>
      </c>
      <c r="V626">
        <f>SUBSTITUTE(SUBSTITUTE(SUBSTITUTE(SUBSTITUTE(G626,"(주)",""),"㈜",""),"주식회사","")," ","")</f>
        <v/>
      </c>
      <c r="W626">
        <f>IF(AND(T626,V626&lt;&gt;""),IF(COUNTIFS(V$2:V626,V626,T$2:T626,TRUE)=1,MAX(W$1:W625)+1,""),"")</f>
        <v/>
      </c>
      <c r="X626">
        <f>IFERROR(INDEX('1.산군_붙여넣기'!$A$1:$AZ$1001,ROW(),설정!$C$14)&amp;"","")</f>
        <v/>
      </c>
      <c r="Y626">
        <f>IFERROR(INDEX('1.산군_붙여넣기'!$A$1:$AZ$1001,ROW(),설정!$C$15)&amp;"","")</f>
        <v/>
      </c>
      <c r="Z626">
        <f>IF(T626,V626&amp;"|"&amp;U626,"")</f>
        <v/>
      </c>
    </row>
    <row r="627">
      <c r="A627">
        <f>ROW()</f>
        <v/>
      </c>
      <c r="B627">
        <f>IFERROR(INDEX('1.산군_붙여넣기'!$A$1:$AZ$1001,ROW(),설정!$C$4)&amp;"","")</f>
        <v/>
      </c>
      <c r="C627">
        <f>IFERROR(INDEX('1.산군_붙여넣기'!$A$1:$AZ$1001,ROW(),설정!$C$5)&amp;"","")</f>
        <v/>
      </c>
      <c r="D627" s="5">
        <f>IFERROR(VALUE(SUBSTITUTE(SUBSTITUTE(SUBSTITUTE(IFERROR(INDEX('1.산군_붙여넣기'!$A$1:$AZ$1001,ROW(),설정!$C$6)&amp;"",""),",",""),"㎡",""),"m2","")),"")</f>
        <v/>
      </c>
      <c r="E627">
        <f>IFERROR(INDEX('1.산군_붙여넣기'!$A$1:$AZ$1001,ROW(),설정!$C$7)&amp;"","")</f>
        <v/>
      </c>
      <c r="F627">
        <f>IFERROR(INDEX('1.산군_붙여넣기'!$A$1:$AZ$1001,ROW(),설정!$C$8)&amp;"","")</f>
        <v/>
      </c>
      <c r="G627">
        <f>IFERROR(INDEX('1.산군_붙여넣기'!$A$1:$AZ$1001,ROW(),설정!$C$9)&amp;"","")</f>
        <v/>
      </c>
      <c r="H627">
        <f>IFERROR(INDEX('1.산군_붙여넣기'!$A$1:$AZ$1001,ROW(),설정!$C$10)&amp;"","")</f>
        <v/>
      </c>
      <c r="I627">
        <f>IFERROR(INDEX('1.산군_붙여넣기'!$A$1:$AZ$1001,ROW(),설정!$C$11)&amp;"","")</f>
        <v/>
      </c>
      <c r="J627">
        <f>IFERROR(INDEX('1.산군_붙여넣기'!$A$1:$AZ$1001,ROW(),설정!$C$12)&amp;"","")</f>
        <v/>
      </c>
      <c r="K627">
        <f>IFERROR(INDEX('1.산군_붙여넣기'!$A$1:$AZ$1001,ROW(),설정!$C$13)&amp;"","")</f>
        <v/>
      </c>
      <c r="L627" s="6">
        <f>IF(X627="","",IF(AND(LEN(X627)=8,ISNUMBER(X627*1)),DATE(LEFT(X627,4),MID(X627,5,2),RIGHT(X627,2)),IFERROR(DATEVALUE(SUBSTITUTE(SUBSTITUTE(X627,".","-"),"/","-")),IFERROR(X627*1,""))))</f>
        <v/>
      </c>
      <c r="M627" s="6">
        <f>IF(Y627="","",IF(AND(LEN(Y627)=8,ISNUMBER(Y627*1)),DATE(LEFT(Y627,4),MID(Y627,5,2),RIGHT(Y627,2)),IFERROR(DATEVALUE(SUBSTITUTE(SUBSTITUTE(Y627,".","-"),"/","-")),IFERROR(Y627*1,""))))</f>
        <v/>
      </c>
      <c r="N627">
        <f>IFERROR(LEFT(B627,FIND(" ",B627)-1),B627)</f>
        <v/>
      </c>
      <c r="O627">
        <f>AND(B627&lt;&gt;"",B627&lt;&gt;설정!$B$4,C627&lt;&gt;설정!$B$5)</f>
        <v/>
      </c>
      <c r="P627">
        <f>IF(O627,B627&amp;"|"&amp;C627,"")</f>
        <v/>
      </c>
      <c r="Q627">
        <f>AND(O627,COUNTIF(P628:P$1002,P627)=0)</f>
        <v/>
      </c>
      <c r="R627">
        <f>OR(AND(설정!$A$28&lt;&gt;"",ISNUMBER(SEARCH(설정!$A$28,E627&amp;" "&amp;C627))),AND(설정!$A$29&lt;&gt;"",ISNUMBER(SEARCH(설정!$A$29,E627&amp;" "&amp;C627))),AND(설정!$A$30&lt;&gt;"",ISNUMBER(SEARCH(설정!$A$30,E627&amp;" "&amp;C627))),AND(설정!$A$31&lt;&gt;"",ISNUMBER(SEARCH(설정!$A$31,E627&amp;" "&amp;C627))),AND(설정!$A$32&lt;&gt;"",ISNUMBER(SEARCH(설정!$A$32,E627&amp;" "&amp;C627))),AND(설정!$A$33&lt;&gt;"",ISNUMBER(SEARCH(설정!$A$33,E627&amp;" "&amp;C627))),AND(설정!$A$34&lt;&gt;"",ISNUMBER(SEARCH(설정!$A$34,E627&amp;" "&amp;C627))),AND(설정!$A$35&lt;&gt;"",ISNUMBER(SEARCH(설정!$A$35,E627&amp;" "&amp;C627))),AND(설정!$A$36&lt;&gt;"",ISNUMBER(SEARCH(설정!$A$36,E627&amp;" "&amp;C627))),AND(설정!$A$37&lt;&gt;"",ISNUMBER(SEARCH(설정!$A$37,E627&amp;" "&amp;C627))))</f>
        <v/>
      </c>
      <c r="S627">
        <f>OR(D627="",D627&gt;=설정!$B$19)</f>
        <v/>
      </c>
      <c r="T627">
        <f>AND(Q627,R627,S627)</f>
        <v/>
      </c>
      <c r="U627">
        <f>IF(T627,IF(AND(설정!$A$41&lt;&gt;"",ISNUMBER(SEARCH(설정!$A$41,K627))),설정!$B$41,IF(AND(설정!$A$42&lt;&gt;"",ISNUMBER(SEARCH(설정!$A$42,K627))),설정!$B$42,IF(AND(설정!$A$43&lt;&gt;"",ISNUMBER(SEARCH(설정!$A$43,K627))),설정!$B$43,IF(AND(설정!$A$44&lt;&gt;"",ISNUMBER(SEARCH(설정!$A$44,K627))),설정!$B$44,IF(AND(설정!$A$45&lt;&gt;"",ISNUMBER(SEARCH(설정!$A$45,K627))),설정!$B$45,IF(AND(설정!$A$46&lt;&gt;"",ISNUMBER(SEARCH(설정!$A$46,K627))),설정!$B$46,IF(AND(설정!$A$47&lt;&gt;"",ISNUMBER(SEARCH(설정!$A$47,K627))),설정!$B$47,IF(AND(설정!$A$48&lt;&gt;"",ISNUMBER(SEARCH(설정!$A$48,K627))),설정!$B$48,IF(M627="","설계사","시공사"))))))))),"")</f>
        <v/>
      </c>
      <c r="V627">
        <f>SUBSTITUTE(SUBSTITUTE(SUBSTITUTE(SUBSTITUTE(G627,"(주)",""),"㈜",""),"주식회사","")," ","")</f>
        <v/>
      </c>
      <c r="W627">
        <f>IF(AND(T627,V627&lt;&gt;""),IF(COUNTIFS(V$2:V627,V627,T$2:T627,TRUE)=1,MAX(W$1:W626)+1,""),"")</f>
        <v/>
      </c>
      <c r="X627">
        <f>IFERROR(INDEX('1.산군_붙여넣기'!$A$1:$AZ$1001,ROW(),설정!$C$14)&amp;"","")</f>
        <v/>
      </c>
      <c r="Y627">
        <f>IFERROR(INDEX('1.산군_붙여넣기'!$A$1:$AZ$1001,ROW(),설정!$C$15)&amp;"","")</f>
        <v/>
      </c>
      <c r="Z627">
        <f>IF(T627,V627&amp;"|"&amp;U627,"")</f>
        <v/>
      </c>
    </row>
    <row r="628">
      <c r="A628">
        <f>ROW()</f>
        <v/>
      </c>
      <c r="B628">
        <f>IFERROR(INDEX('1.산군_붙여넣기'!$A$1:$AZ$1001,ROW(),설정!$C$4)&amp;"","")</f>
        <v/>
      </c>
      <c r="C628">
        <f>IFERROR(INDEX('1.산군_붙여넣기'!$A$1:$AZ$1001,ROW(),설정!$C$5)&amp;"","")</f>
        <v/>
      </c>
      <c r="D628" s="5">
        <f>IFERROR(VALUE(SUBSTITUTE(SUBSTITUTE(SUBSTITUTE(IFERROR(INDEX('1.산군_붙여넣기'!$A$1:$AZ$1001,ROW(),설정!$C$6)&amp;"",""),",",""),"㎡",""),"m2","")),"")</f>
        <v/>
      </c>
      <c r="E628">
        <f>IFERROR(INDEX('1.산군_붙여넣기'!$A$1:$AZ$1001,ROW(),설정!$C$7)&amp;"","")</f>
        <v/>
      </c>
      <c r="F628">
        <f>IFERROR(INDEX('1.산군_붙여넣기'!$A$1:$AZ$1001,ROW(),설정!$C$8)&amp;"","")</f>
        <v/>
      </c>
      <c r="G628">
        <f>IFERROR(INDEX('1.산군_붙여넣기'!$A$1:$AZ$1001,ROW(),설정!$C$9)&amp;"","")</f>
        <v/>
      </c>
      <c r="H628">
        <f>IFERROR(INDEX('1.산군_붙여넣기'!$A$1:$AZ$1001,ROW(),설정!$C$10)&amp;"","")</f>
        <v/>
      </c>
      <c r="I628">
        <f>IFERROR(INDEX('1.산군_붙여넣기'!$A$1:$AZ$1001,ROW(),설정!$C$11)&amp;"","")</f>
        <v/>
      </c>
      <c r="J628">
        <f>IFERROR(INDEX('1.산군_붙여넣기'!$A$1:$AZ$1001,ROW(),설정!$C$12)&amp;"","")</f>
        <v/>
      </c>
      <c r="K628">
        <f>IFERROR(INDEX('1.산군_붙여넣기'!$A$1:$AZ$1001,ROW(),설정!$C$13)&amp;"","")</f>
        <v/>
      </c>
      <c r="L628" s="6">
        <f>IF(X628="","",IF(AND(LEN(X628)=8,ISNUMBER(X628*1)),DATE(LEFT(X628,4),MID(X628,5,2),RIGHT(X628,2)),IFERROR(DATEVALUE(SUBSTITUTE(SUBSTITUTE(X628,".","-"),"/","-")),IFERROR(X628*1,""))))</f>
        <v/>
      </c>
      <c r="M628" s="6">
        <f>IF(Y628="","",IF(AND(LEN(Y628)=8,ISNUMBER(Y628*1)),DATE(LEFT(Y628,4),MID(Y628,5,2),RIGHT(Y628,2)),IFERROR(DATEVALUE(SUBSTITUTE(SUBSTITUTE(Y628,".","-"),"/","-")),IFERROR(Y628*1,""))))</f>
        <v/>
      </c>
      <c r="N628">
        <f>IFERROR(LEFT(B628,FIND(" ",B628)-1),B628)</f>
        <v/>
      </c>
      <c r="O628">
        <f>AND(B628&lt;&gt;"",B628&lt;&gt;설정!$B$4,C628&lt;&gt;설정!$B$5)</f>
        <v/>
      </c>
      <c r="P628">
        <f>IF(O628,B628&amp;"|"&amp;C628,"")</f>
        <v/>
      </c>
      <c r="Q628">
        <f>AND(O628,COUNTIF(P629:P$1002,P628)=0)</f>
        <v/>
      </c>
      <c r="R628">
        <f>OR(AND(설정!$A$28&lt;&gt;"",ISNUMBER(SEARCH(설정!$A$28,E628&amp;" "&amp;C628))),AND(설정!$A$29&lt;&gt;"",ISNUMBER(SEARCH(설정!$A$29,E628&amp;" "&amp;C628))),AND(설정!$A$30&lt;&gt;"",ISNUMBER(SEARCH(설정!$A$30,E628&amp;" "&amp;C628))),AND(설정!$A$31&lt;&gt;"",ISNUMBER(SEARCH(설정!$A$31,E628&amp;" "&amp;C628))),AND(설정!$A$32&lt;&gt;"",ISNUMBER(SEARCH(설정!$A$32,E628&amp;" "&amp;C628))),AND(설정!$A$33&lt;&gt;"",ISNUMBER(SEARCH(설정!$A$33,E628&amp;" "&amp;C628))),AND(설정!$A$34&lt;&gt;"",ISNUMBER(SEARCH(설정!$A$34,E628&amp;" "&amp;C628))),AND(설정!$A$35&lt;&gt;"",ISNUMBER(SEARCH(설정!$A$35,E628&amp;" "&amp;C628))),AND(설정!$A$36&lt;&gt;"",ISNUMBER(SEARCH(설정!$A$36,E628&amp;" "&amp;C628))),AND(설정!$A$37&lt;&gt;"",ISNUMBER(SEARCH(설정!$A$37,E628&amp;" "&amp;C628))))</f>
        <v/>
      </c>
      <c r="S628">
        <f>OR(D628="",D628&gt;=설정!$B$19)</f>
        <v/>
      </c>
      <c r="T628">
        <f>AND(Q628,R628,S628)</f>
        <v/>
      </c>
      <c r="U628">
        <f>IF(T628,IF(AND(설정!$A$41&lt;&gt;"",ISNUMBER(SEARCH(설정!$A$41,K628))),설정!$B$41,IF(AND(설정!$A$42&lt;&gt;"",ISNUMBER(SEARCH(설정!$A$42,K628))),설정!$B$42,IF(AND(설정!$A$43&lt;&gt;"",ISNUMBER(SEARCH(설정!$A$43,K628))),설정!$B$43,IF(AND(설정!$A$44&lt;&gt;"",ISNUMBER(SEARCH(설정!$A$44,K628))),설정!$B$44,IF(AND(설정!$A$45&lt;&gt;"",ISNUMBER(SEARCH(설정!$A$45,K628))),설정!$B$45,IF(AND(설정!$A$46&lt;&gt;"",ISNUMBER(SEARCH(설정!$A$46,K628))),설정!$B$46,IF(AND(설정!$A$47&lt;&gt;"",ISNUMBER(SEARCH(설정!$A$47,K628))),설정!$B$47,IF(AND(설정!$A$48&lt;&gt;"",ISNUMBER(SEARCH(설정!$A$48,K628))),설정!$B$48,IF(M628="","설계사","시공사"))))))))),"")</f>
        <v/>
      </c>
      <c r="V628">
        <f>SUBSTITUTE(SUBSTITUTE(SUBSTITUTE(SUBSTITUTE(G628,"(주)",""),"㈜",""),"주식회사","")," ","")</f>
        <v/>
      </c>
      <c r="W628">
        <f>IF(AND(T628,V628&lt;&gt;""),IF(COUNTIFS(V$2:V628,V628,T$2:T628,TRUE)=1,MAX(W$1:W627)+1,""),"")</f>
        <v/>
      </c>
      <c r="X628">
        <f>IFERROR(INDEX('1.산군_붙여넣기'!$A$1:$AZ$1001,ROW(),설정!$C$14)&amp;"","")</f>
        <v/>
      </c>
      <c r="Y628">
        <f>IFERROR(INDEX('1.산군_붙여넣기'!$A$1:$AZ$1001,ROW(),설정!$C$15)&amp;"","")</f>
        <v/>
      </c>
      <c r="Z628">
        <f>IF(T628,V628&amp;"|"&amp;U628,"")</f>
        <v/>
      </c>
    </row>
    <row r="629">
      <c r="A629">
        <f>ROW()</f>
        <v/>
      </c>
      <c r="B629">
        <f>IFERROR(INDEX('1.산군_붙여넣기'!$A$1:$AZ$1001,ROW(),설정!$C$4)&amp;"","")</f>
        <v/>
      </c>
      <c r="C629">
        <f>IFERROR(INDEX('1.산군_붙여넣기'!$A$1:$AZ$1001,ROW(),설정!$C$5)&amp;"","")</f>
        <v/>
      </c>
      <c r="D629" s="5">
        <f>IFERROR(VALUE(SUBSTITUTE(SUBSTITUTE(SUBSTITUTE(IFERROR(INDEX('1.산군_붙여넣기'!$A$1:$AZ$1001,ROW(),설정!$C$6)&amp;"",""),",",""),"㎡",""),"m2","")),"")</f>
        <v/>
      </c>
      <c r="E629">
        <f>IFERROR(INDEX('1.산군_붙여넣기'!$A$1:$AZ$1001,ROW(),설정!$C$7)&amp;"","")</f>
        <v/>
      </c>
      <c r="F629">
        <f>IFERROR(INDEX('1.산군_붙여넣기'!$A$1:$AZ$1001,ROW(),설정!$C$8)&amp;"","")</f>
        <v/>
      </c>
      <c r="G629">
        <f>IFERROR(INDEX('1.산군_붙여넣기'!$A$1:$AZ$1001,ROW(),설정!$C$9)&amp;"","")</f>
        <v/>
      </c>
      <c r="H629">
        <f>IFERROR(INDEX('1.산군_붙여넣기'!$A$1:$AZ$1001,ROW(),설정!$C$10)&amp;"","")</f>
        <v/>
      </c>
      <c r="I629">
        <f>IFERROR(INDEX('1.산군_붙여넣기'!$A$1:$AZ$1001,ROW(),설정!$C$11)&amp;"","")</f>
        <v/>
      </c>
      <c r="J629">
        <f>IFERROR(INDEX('1.산군_붙여넣기'!$A$1:$AZ$1001,ROW(),설정!$C$12)&amp;"","")</f>
        <v/>
      </c>
      <c r="K629">
        <f>IFERROR(INDEX('1.산군_붙여넣기'!$A$1:$AZ$1001,ROW(),설정!$C$13)&amp;"","")</f>
        <v/>
      </c>
      <c r="L629" s="6">
        <f>IF(X629="","",IF(AND(LEN(X629)=8,ISNUMBER(X629*1)),DATE(LEFT(X629,4),MID(X629,5,2),RIGHT(X629,2)),IFERROR(DATEVALUE(SUBSTITUTE(SUBSTITUTE(X629,".","-"),"/","-")),IFERROR(X629*1,""))))</f>
        <v/>
      </c>
      <c r="M629" s="6">
        <f>IF(Y629="","",IF(AND(LEN(Y629)=8,ISNUMBER(Y629*1)),DATE(LEFT(Y629,4),MID(Y629,5,2),RIGHT(Y629,2)),IFERROR(DATEVALUE(SUBSTITUTE(SUBSTITUTE(Y629,".","-"),"/","-")),IFERROR(Y629*1,""))))</f>
        <v/>
      </c>
      <c r="N629">
        <f>IFERROR(LEFT(B629,FIND(" ",B629)-1),B629)</f>
        <v/>
      </c>
      <c r="O629">
        <f>AND(B629&lt;&gt;"",B629&lt;&gt;설정!$B$4,C629&lt;&gt;설정!$B$5)</f>
        <v/>
      </c>
      <c r="P629">
        <f>IF(O629,B629&amp;"|"&amp;C629,"")</f>
        <v/>
      </c>
      <c r="Q629">
        <f>AND(O629,COUNTIF(P630:P$1002,P629)=0)</f>
        <v/>
      </c>
      <c r="R629">
        <f>OR(AND(설정!$A$28&lt;&gt;"",ISNUMBER(SEARCH(설정!$A$28,E629&amp;" "&amp;C629))),AND(설정!$A$29&lt;&gt;"",ISNUMBER(SEARCH(설정!$A$29,E629&amp;" "&amp;C629))),AND(설정!$A$30&lt;&gt;"",ISNUMBER(SEARCH(설정!$A$30,E629&amp;" "&amp;C629))),AND(설정!$A$31&lt;&gt;"",ISNUMBER(SEARCH(설정!$A$31,E629&amp;" "&amp;C629))),AND(설정!$A$32&lt;&gt;"",ISNUMBER(SEARCH(설정!$A$32,E629&amp;" "&amp;C629))),AND(설정!$A$33&lt;&gt;"",ISNUMBER(SEARCH(설정!$A$33,E629&amp;" "&amp;C629))),AND(설정!$A$34&lt;&gt;"",ISNUMBER(SEARCH(설정!$A$34,E629&amp;" "&amp;C629))),AND(설정!$A$35&lt;&gt;"",ISNUMBER(SEARCH(설정!$A$35,E629&amp;" "&amp;C629))),AND(설정!$A$36&lt;&gt;"",ISNUMBER(SEARCH(설정!$A$36,E629&amp;" "&amp;C629))),AND(설정!$A$37&lt;&gt;"",ISNUMBER(SEARCH(설정!$A$37,E629&amp;" "&amp;C629))))</f>
        <v/>
      </c>
      <c r="S629">
        <f>OR(D629="",D629&gt;=설정!$B$19)</f>
        <v/>
      </c>
      <c r="T629">
        <f>AND(Q629,R629,S629)</f>
        <v/>
      </c>
      <c r="U629">
        <f>IF(T629,IF(AND(설정!$A$41&lt;&gt;"",ISNUMBER(SEARCH(설정!$A$41,K629))),설정!$B$41,IF(AND(설정!$A$42&lt;&gt;"",ISNUMBER(SEARCH(설정!$A$42,K629))),설정!$B$42,IF(AND(설정!$A$43&lt;&gt;"",ISNUMBER(SEARCH(설정!$A$43,K629))),설정!$B$43,IF(AND(설정!$A$44&lt;&gt;"",ISNUMBER(SEARCH(설정!$A$44,K629))),설정!$B$44,IF(AND(설정!$A$45&lt;&gt;"",ISNUMBER(SEARCH(설정!$A$45,K629))),설정!$B$45,IF(AND(설정!$A$46&lt;&gt;"",ISNUMBER(SEARCH(설정!$A$46,K629))),설정!$B$46,IF(AND(설정!$A$47&lt;&gt;"",ISNUMBER(SEARCH(설정!$A$47,K629))),설정!$B$47,IF(AND(설정!$A$48&lt;&gt;"",ISNUMBER(SEARCH(설정!$A$48,K629))),설정!$B$48,IF(M629="","설계사","시공사"))))))))),"")</f>
        <v/>
      </c>
      <c r="V629">
        <f>SUBSTITUTE(SUBSTITUTE(SUBSTITUTE(SUBSTITUTE(G629,"(주)",""),"㈜",""),"주식회사","")," ","")</f>
        <v/>
      </c>
      <c r="W629">
        <f>IF(AND(T629,V629&lt;&gt;""),IF(COUNTIFS(V$2:V629,V629,T$2:T629,TRUE)=1,MAX(W$1:W628)+1,""),"")</f>
        <v/>
      </c>
      <c r="X629">
        <f>IFERROR(INDEX('1.산군_붙여넣기'!$A$1:$AZ$1001,ROW(),설정!$C$14)&amp;"","")</f>
        <v/>
      </c>
      <c r="Y629">
        <f>IFERROR(INDEX('1.산군_붙여넣기'!$A$1:$AZ$1001,ROW(),설정!$C$15)&amp;"","")</f>
        <v/>
      </c>
      <c r="Z629">
        <f>IF(T629,V629&amp;"|"&amp;U629,"")</f>
        <v/>
      </c>
    </row>
    <row r="630">
      <c r="A630">
        <f>ROW()</f>
        <v/>
      </c>
      <c r="B630">
        <f>IFERROR(INDEX('1.산군_붙여넣기'!$A$1:$AZ$1001,ROW(),설정!$C$4)&amp;"","")</f>
        <v/>
      </c>
      <c r="C630">
        <f>IFERROR(INDEX('1.산군_붙여넣기'!$A$1:$AZ$1001,ROW(),설정!$C$5)&amp;"","")</f>
        <v/>
      </c>
      <c r="D630" s="5">
        <f>IFERROR(VALUE(SUBSTITUTE(SUBSTITUTE(SUBSTITUTE(IFERROR(INDEX('1.산군_붙여넣기'!$A$1:$AZ$1001,ROW(),설정!$C$6)&amp;"",""),",",""),"㎡",""),"m2","")),"")</f>
        <v/>
      </c>
      <c r="E630">
        <f>IFERROR(INDEX('1.산군_붙여넣기'!$A$1:$AZ$1001,ROW(),설정!$C$7)&amp;"","")</f>
        <v/>
      </c>
      <c r="F630">
        <f>IFERROR(INDEX('1.산군_붙여넣기'!$A$1:$AZ$1001,ROW(),설정!$C$8)&amp;"","")</f>
        <v/>
      </c>
      <c r="G630">
        <f>IFERROR(INDEX('1.산군_붙여넣기'!$A$1:$AZ$1001,ROW(),설정!$C$9)&amp;"","")</f>
        <v/>
      </c>
      <c r="H630">
        <f>IFERROR(INDEX('1.산군_붙여넣기'!$A$1:$AZ$1001,ROW(),설정!$C$10)&amp;"","")</f>
        <v/>
      </c>
      <c r="I630">
        <f>IFERROR(INDEX('1.산군_붙여넣기'!$A$1:$AZ$1001,ROW(),설정!$C$11)&amp;"","")</f>
        <v/>
      </c>
      <c r="J630">
        <f>IFERROR(INDEX('1.산군_붙여넣기'!$A$1:$AZ$1001,ROW(),설정!$C$12)&amp;"","")</f>
        <v/>
      </c>
      <c r="K630">
        <f>IFERROR(INDEX('1.산군_붙여넣기'!$A$1:$AZ$1001,ROW(),설정!$C$13)&amp;"","")</f>
        <v/>
      </c>
      <c r="L630" s="6">
        <f>IF(X630="","",IF(AND(LEN(X630)=8,ISNUMBER(X630*1)),DATE(LEFT(X630,4),MID(X630,5,2),RIGHT(X630,2)),IFERROR(DATEVALUE(SUBSTITUTE(SUBSTITUTE(X630,".","-"),"/","-")),IFERROR(X630*1,""))))</f>
        <v/>
      </c>
      <c r="M630" s="6">
        <f>IF(Y630="","",IF(AND(LEN(Y630)=8,ISNUMBER(Y630*1)),DATE(LEFT(Y630,4),MID(Y630,5,2),RIGHT(Y630,2)),IFERROR(DATEVALUE(SUBSTITUTE(SUBSTITUTE(Y630,".","-"),"/","-")),IFERROR(Y630*1,""))))</f>
        <v/>
      </c>
      <c r="N630">
        <f>IFERROR(LEFT(B630,FIND(" ",B630)-1),B630)</f>
        <v/>
      </c>
      <c r="O630">
        <f>AND(B630&lt;&gt;"",B630&lt;&gt;설정!$B$4,C630&lt;&gt;설정!$B$5)</f>
        <v/>
      </c>
      <c r="P630">
        <f>IF(O630,B630&amp;"|"&amp;C630,"")</f>
        <v/>
      </c>
      <c r="Q630">
        <f>AND(O630,COUNTIF(P631:P$1002,P630)=0)</f>
        <v/>
      </c>
      <c r="R630">
        <f>OR(AND(설정!$A$28&lt;&gt;"",ISNUMBER(SEARCH(설정!$A$28,E630&amp;" "&amp;C630))),AND(설정!$A$29&lt;&gt;"",ISNUMBER(SEARCH(설정!$A$29,E630&amp;" "&amp;C630))),AND(설정!$A$30&lt;&gt;"",ISNUMBER(SEARCH(설정!$A$30,E630&amp;" "&amp;C630))),AND(설정!$A$31&lt;&gt;"",ISNUMBER(SEARCH(설정!$A$31,E630&amp;" "&amp;C630))),AND(설정!$A$32&lt;&gt;"",ISNUMBER(SEARCH(설정!$A$32,E630&amp;" "&amp;C630))),AND(설정!$A$33&lt;&gt;"",ISNUMBER(SEARCH(설정!$A$33,E630&amp;" "&amp;C630))),AND(설정!$A$34&lt;&gt;"",ISNUMBER(SEARCH(설정!$A$34,E630&amp;" "&amp;C630))),AND(설정!$A$35&lt;&gt;"",ISNUMBER(SEARCH(설정!$A$35,E630&amp;" "&amp;C630))),AND(설정!$A$36&lt;&gt;"",ISNUMBER(SEARCH(설정!$A$36,E630&amp;" "&amp;C630))),AND(설정!$A$37&lt;&gt;"",ISNUMBER(SEARCH(설정!$A$37,E630&amp;" "&amp;C630))))</f>
        <v/>
      </c>
      <c r="S630">
        <f>OR(D630="",D630&gt;=설정!$B$19)</f>
        <v/>
      </c>
      <c r="T630">
        <f>AND(Q630,R630,S630)</f>
        <v/>
      </c>
      <c r="U630">
        <f>IF(T630,IF(AND(설정!$A$41&lt;&gt;"",ISNUMBER(SEARCH(설정!$A$41,K630))),설정!$B$41,IF(AND(설정!$A$42&lt;&gt;"",ISNUMBER(SEARCH(설정!$A$42,K630))),설정!$B$42,IF(AND(설정!$A$43&lt;&gt;"",ISNUMBER(SEARCH(설정!$A$43,K630))),설정!$B$43,IF(AND(설정!$A$44&lt;&gt;"",ISNUMBER(SEARCH(설정!$A$44,K630))),설정!$B$44,IF(AND(설정!$A$45&lt;&gt;"",ISNUMBER(SEARCH(설정!$A$45,K630))),설정!$B$45,IF(AND(설정!$A$46&lt;&gt;"",ISNUMBER(SEARCH(설정!$A$46,K630))),설정!$B$46,IF(AND(설정!$A$47&lt;&gt;"",ISNUMBER(SEARCH(설정!$A$47,K630))),설정!$B$47,IF(AND(설정!$A$48&lt;&gt;"",ISNUMBER(SEARCH(설정!$A$48,K630))),설정!$B$48,IF(M630="","설계사","시공사"))))))))),"")</f>
        <v/>
      </c>
      <c r="V630">
        <f>SUBSTITUTE(SUBSTITUTE(SUBSTITUTE(SUBSTITUTE(G630,"(주)",""),"㈜",""),"주식회사","")," ","")</f>
        <v/>
      </c>
      <c r="W630">
        <f>IF(AND(T630,V630&lt;&gt;""),IF(COUNTIFS(V$2:V630,V630,T$2:T630,TRUE)=1,MAX(W$1:W629)+1,""),"")</f>
        <v/>
      </c>
      <c r="X630">
        <f>IFERROR(INDEX('1.산군_붙여넣기'!$A$1:$AZ$1001,ROW(),설정!$C$14)&amp;"","")</f>
        <v/>
      </c>
      <c r="Y630">
        <f>IFERROR(INDEX('1.산군_붙여넣기'!$A$1:$AZ$1001,ROW(),설정!$C$15)&amp;"","")</f>
        <v/>
      </c>
      <c r="Z630">
        <f>IF(T630,V630&amp;"|"&amp;U630,"")</f>
        <v/>
      </c>
    </row>
    <row r="631">
      <c r="A631">
        <f>ROW()</f>
        <v/>
      </c>
      <c r="B631">
        <f>IFERROR(INDEX('1.산군_붙여넣기'!$A$1:$AZ$1001,ROW(),설정!$C$4)&amp;"","")</f>
        <v/>
      </c>
      <c r="C631">
        <f>IFERROR(INDEX('1.산군_붙여넣기'!$A$1:$AZ$1001,ROW(),설정!$C$5)&amp;"","")</f>
        <v/>
      </c>
      <c r="D631" s="5">
        <f>IFERROR(VALUE(SUBSTITUTE(SUBSTITUTE(SUBSTITUTE(IFERROR(INDEX('1.산군_붙여넣기'!$A$1:$AZ$1001,ROW(),설정!$C$6)&amp;"",""),",",""),"㎡",""),"m2","")),"")</f>
        <v/>
      </c>
      <c r="E631">
        <f>IFERROR(INDEX('1.산군_붙여넣기'!$A$1:$AZ$1001,ROW(),설정!$C$7)&amp;"","")</f>
        <v/>
      </c>
      <c r="F631">
        <f>IFERROR(INDEX('1.산군_붙여넣기'!$A$1:$AZ$1001,ROW(),설정!$C$8)&amp;"","")</f>
        <v/>
      </c>
      <c r="G631">
        <f>IFERROR(INDEX('1.산군_붙여넣기'!$A$1:$AZ$1001,ROW(),설정!$C$9)&amp;"","")</f>
        <v/>
      </c>
      <c r="H631">
        <f>IFERROR(INDEX('1.산군_붙여넣기'!$A$1:$AZ$1001,ROW(),설정!$C$10)&amp;"","")</f>
        <v/>
      </c>
      <c r="I631">
        <f>IFERROR(INDEX('1.산군_붙여넣기'!$A$1:$AZ$1001,ROW(),설정!$C$11)&amp;"","")</f>
        <v/>
      </c>
      <c r="J631">
        <f>IFERROR(INDEX('1.산군_붙여넣기'!$A$1:$AZ$1001,ROW(),설정!$C$12)&amp;"","")</f>
        <v/>
      </c>
      <c r="K631">
        <f>IFERROR(INDEX('1.산군_붙여넣기'!$A$1:$AZ$1001,ROW(),설정!$C$13)&amp;"","")</f>
        <v/>
      </c>
      <c r="L631" s="6">
        <f>IF(X631="","",IF(AND(LEN(X631)=8,ISNUMBER(X631*1)),DATE(LEFT(X631,4),MID(X631,5,2),RIGHT(X631,2)),IFERROR(DATEVALUE(SUBSTITUTE(SUBSTITUTE(X631,".","-"),"/","-")),IFERROR(X631*1,""))))</f>
        <v/>
      </c>
      <c r="M631" s="6">
        <f>IF(Y631="","",IF(AND(LEN(Y631)=8,ISNUMBER(Y631*1)),DATE(LEFT(Y631,4),MID(Y631,5,2),RIGHT(Y631,2)),IFERROR(DATEVALUE(SUBSTITUTE(SUBSTITUTE(Y631,".","-"),"/","-")),IFERROR(Y631*1,""))))</f>
        <v/>
      </c>
      <c r="N631">
        <f>IFERROR(LEFT(B631,FIND(" ",B631)-1),B631)</f>
        <v/>
      </c>
      <c r="O631">
        <f>AND(B631&lt;&gt;"",B631&lt;&gt;설정!$B$4,C631&lt;&gt;설정!$B$5)</f>
        <v/>
      </c>
      <c r="P631">
        <f>IF(O631,B631&amp;"|"&amp;C631,"")</f>
        <v/>
      </c>
      <c r="Q631">
        <f>AND(O631,COUNTIF(P632:P$1002,P631)=0)</f>
        <v/>
      </c>
      <c r="R631">
        <f>OR(AND(설정!$A$28&lt;&gt;"",ISNUMBER(SEARCH(설정!$A$28,E631&amp;" "&amp;C631))),AND(설정!$A$29&lt;&gt;"",ISNUMBER(SEARCH(설정!$A$29,E631&amp;" "&amp;C631))),AND(설정!$A$30&lt;&gt;"",ISNUMBER(SEARCH(설정!$A$30,E631&amp;" "&amp;C631))),AND(설정!$A$31&lt;&gt;"",ISNUMBER(SEARCH(설정!$A$31,E631&amp;" "&amp;C631))),AND(설정!$A$32&lt;&gt;"",ISNUMBER(SEARCH(설정!$A$32,E631&amp;" "&amp;C631))),AND(설정!$A$33&lt;&gt;"",ISNUMBER(SEARCH(설정!$A$33,E631&amp;" "&amp;C631))),AND(설정!$A$34&lt;&gt;"",ISNUMBER(SEARCH(설정!$A$34,E631&amp;" "&amp;C631))),AND(설정!$A$35&lt;&gt;"",ISNUMBER(SEARCH(설정!$A$35,E631&amp;" "&amp;C631))),AND(설정!$A$36&lt;&gt;"",ISNUMBER(SEARCH(설정!$A$36,E631&amp;" "&amp;C631))),AND(설정!$A$37&lt;&gt;"",ISNUMBER(SEARCH(설정!$A$37,E631&amp;" "&amp;C631))))</f>
        <v/>
      </c>
      <c r="S631">
        <f>OR(D631="",D631&gt;=설정!$B$19)</f>
        <v/>
      </c>
      <c r="T631">
        <f>AND(Q631,R631,S631)</f>
        <v/>
      </c>
      <c r="U631">
        <f>IF(T631,IF(AND(설정!$A$41&lt;&gt;"",ISNUMBER(SEARCH(설정!$A$41,K631))),설정!$B$41,IF(AND(설정!$A$42&lt;&gt;"",ISNUMBER(SEARCH(설정!$A$42,K631))),설정!$B$42,IF(AND(설정!$A$43&lt;&gt;"",ISNUMBER(SEARCH(설정!$A$43,K631))),설정!$B$43,IF(AND(설정!$A$44&lt;&gt;"",ISNUMBER(SEARCH(설정!$A$44,K631))),설정!$B$44,IF(AND(설정!$A$45&lt;&gt;"",ISNUMBER(SEARCH(설정!$A$45,K631))),설정!$B$45,IF(AND(설정!$A$46&lt;&gt;"",ISNUMBER(SEARCH(설정!$A$46,K631))),설정!$B$46,IF(AND(설정!$A$47&lt;&gt;"",ISNUMBER(SEARCH(설정!$A$47,K631))),설정!$B$47,IF(AND(설정!$A$48&lt;&gt;"",ISNUMBER(SEARCH(설정!$A$48,K631))),설정!$B$48,IF(M631="","설계사","시공사"))))))))),"")</f>
        <v/>
      </c>
      <c r="V631">
        <f>SUBSTITUTE(SUBSTITUTE(SUBSTITUTE(SUBSTITUTE(G631,"(주)",""),"㈜",""),"주식회사","")," ","")</f>
        <v/>
      </c>
      <c r="W631">
        <f>IF(AND(T631,V631&lt;&gt;""),IF(COUNTIFS(V$2:V631,V631,T$2:T631,TRUE)=1,MAX(W$1:W630)+1,""),"")</f>
        <v/>
      </c>
      <c r="X631">
        <f>IFERROR(INDEX('1.산군_붙여넣기'!$A$1:$AZ$1001,ROW(),설정!$C$14)&amp;"","")</f>
        <v/>
      </c>
      <c r="Y631">
        <f>IFERROR(INDEX('1.산군_붙여넣기'!$A$1:$AZ$1001,ROW(),설정!$C$15)&amp;"","")</f>
        <v/>
      </c>
      <c r="Z631">
        <f>IF(T631,V631&amp;"|"&amp;U631,"")</f>
        <v/>
      </c>
    </row>
    <row r="632">
      <c r="A632">
        <f>ROW()</f>
        <v/>
      </c>
      <c r="B632">
        <f>IFERROR(INDEX('1.산군_붙여넣기'!$A$1:$AZ$1001,ROW(),설정!$C$4)&amp;"","")</f>
        <v/>
      </c>
      <c r="C632">
        <f>IFERROR(INDEX('1.산군_붙여넣기'!$A$1:$AZ$1001,ROW(),설정!$C$5)&amp;"","")</f>
        <v/>
      </c>
      <c r="D632" s="5">
        <f>IFERROR(VALUE(SUBSTITUTE(SUBSTITUTE(SUBSTITUTE(IFERROR(INDEX('1.산군_붙여넣기'!$A$1:$AZ$1001,ROW(),설정!$C$6)&amp;"",""),",",""),"㎡",""),"m2","")),"")</f>
        <v/>
      </c>
      <c r="E632">
        <f>IFERROR(INDEX('1.산군_붙여넣기'!$A$1:$AZ$1001,ROW(),설정!$C$7)&amp;"","")</f>
        <v/>
      </c>
      <c r="F632">
        <f>IFERROR(INDEX('1.산군_붙여넣기'!$A$1:$AZ$1001,ROW(),설정!$C$8)&amp;"","")</f>
        <v/>
      </c>
      <c r="G632">
        <f>IFERROR(INDEX('1.산군_붙여넣기'!$A$1:$AZ$1001,ROW(),설정!$C$9)&amp;"","")</f>
        <v/>
      </c>
      <c r="H632">
        <f>IFERROR(INDEX('1.산군_붙여넣기'!$A$1:$AZ$1001,ROW(),설정!$C$10)&amp;"","")</f>
        <v/>
      </c>
      <c r="I632">
        <f>IFERROR(INDEX('1.산군_붙여넣기'!$A$1:$AZ$1001,ROW(),설정!$C$11)&amp;"","")</f>
        <v/>
      </c>
      <c r="J632">
        <f>IFERROR(INDEX('1.산군_붙여넣기'!$A$1:$AZ$1001,ROW(),설정!$C$12)&amp;"","")</f>
        <v/>
      </c>
      <c r="K632">
        <f>IFERROR(INDEX('1.산군_붙여넣기'!$A$1:$AZ$1001,ROW(),설정!$C$13)&amp;"","")</f>
        <v/>
      </c>
      <c r="L632" s="6">
        <f>IF(X632="","",IF(AND(LEN(X632)=8,ISNUMBER(X632*1)),DATE(LEFT(X632,4),MID(X632,5,2),RIGHT(X632,2)),IFERROR(DATEVALUE(SUBSTITUTE(SUBSTITUTE(X632,".","-"),"/","-")),IFERROR(X632*1,""))))</f>
        <v/>
      </c>
      <c r="M632" s="6">
        <f>IF(Y632="","",IF(AND(LEN(Y632)=8,ISNUMBER(Y632*1)),DATE(LEFT(Y632,4),MID(Y632,5,2),RIGHT(Y632,2)),IFERROR(DATEVALUE(SUBSTITUTE(SUBSTITUTE(Y632,".","-"),"/","-")),IFERROR(Y632*1,""))))</f>
        <v/>
      </c>
      <c r="N632">
        <f>IFERROR(LEFT(B632,FIND(" ",B632)-1),B632)</f>
        <v/>
      </c>
      <c r="O632">
        <f>AND(B632&lt;&gt;"",B632&lt;&gt;설정!$B$4,C632&lt;&gt;설정!$B$5)</f>
        <v/>
      </c>
      <c r="P632">
        <f>IF(O632,B632&amp;"|"&amp;C632,"")</f>
        <v/>
      </c>
      <c r="Q632">
        <f>AND(O632,COUNTIF(P633:P$1002,P632)=0)</f>
        <v/>
      </c>
      <c r="R632">
        <f>OR(AND(설정!$A$28&lt;&gt;"",ISNUMBER(SEARCH(설정!$A$28,E632&amp;" "&amp;C632))),AND(설정!$A$29&lt;&gt;"",ISNUMBER(SEARCH(설정!$A$29,E632&amp;" "&amp;C632))),AND(설정!$A$30&lt;&gt;"",ISNUMBER(SEARCH(설정!$A$30,E632&amp;" "&amp;C632))),AND(설정!$A$31&lt;&gt;"",ISNUMBER(SEARCH(설정!$A$31,E632&amp;" "&amp;C632))),AND(설정!$A$32&lt;&gt;"",ISNUMBER(SEARCH(설정!$A$32,E632&amp;" "&amp;C632))),AND(설정!$A$33&lt;&gt;"",ISNUMBER(SEARCH(설정!$A$33,E632&amp;" "&amp;C632))),AND(설정!$A$34&lt;&gt;"",ISNUMBER(SEARCH(설정!$A$34,E632&amp;" "&amp;C632))),AND(설정!$A$35&lt;&gt;"",ISNUMBER(SEARCH(설정!$A$35,E632&amp;" "&amp;C632))),AND(설정!$A$36&lt;&gt;"",ISNUMBER(SEARCH(설정!$A$36,E632&amp;" "&amp;C632))),AND(설정!$A$37&lt;&gt;"",ISNUMBER(SEARCH(설정!$A$37,E632&amp;" "&amp;C632))))</f>
        <v/>
      </c>
      <c r="S632">
        <f>OR(D632="",D632&gt;=설정!$B$19)</f>
        <v/>
      </c>
      <c r="T632">
        <f>AND(Q632,R632,S632)</f>
        <v/>
      </c>
      <c r="U632">
        <f>IF(T632,IF(AND(설정!$A$41&lt;&gt;"",ISNUMBER(SEARCH(설정!$A$41,K632))),설정!$B$41,IF(AND(설정!$A$42&lt;&gt;"",ISNUMBER(SEARCH(설정!$A$42,K632))),설정!$B$42,IF(AND(설정!$A$43&lt;&gt;"",ISNUMBER(SEARCH(설정!$A$43,K632))),설정!$B$43,IF(AND(설정!$A$44&lt;&gt;"",ISNUMBER(SEARCH(설정!$A$44,K632))),설정!$B$44,IF(AND(설정!$A$45&lt;&gt;"",ISNUMBER(SEARCH(설정!$A$45,K632))),설정!$B$45,IF(AND(설정!$A$46&lt;&gt;"",ISNUMBER(SEARCH(설정!$A$46,K632))),설정!$B$46,IF(AND(설정!$A$47&lt;&gt;"",ISNUMBER(SEARCH(설정!$A$47,K632))),설정!$B$47,IF(AND(설정!$A$48&lt;&gt;"",ISNUMBER(SEARCH(설정!$A$48,K632))),설정!$B$48,IF(M632="","설계사","시공사"))))))))),"")</f>
        <v/>
      </c>
      <c r="V632">
        <f>SUBSTITUTE(SUBSTITUTE(SUBSTITUTE(SUBSTITUTE(G632,"(주)",""),"㈜",""),"주식회사","")," ","")</f>
        <v/>
      </c>
      <c r="W632">
        <f>IF(AND(T632,V632&lt;&gt;""),IF(COUNTIFS(V$2:V632,V632,T$2:T632,TRUE)=1,MAX(W$1:W631)+1,""),"")</f>
        <v/>
      </c>
      <c r="X632">
        <f>IFERROR(INDEX('1.산군_붙여넣기'!$A$1:$AZ$1001,ROW(),설정!$C$14)&amp;"","")</f>
        <v/>
      </c>
      <c r="Y632">
        <f>IFERROR(INDEX('1.산군_붙여넣기'!$A$1:$AZ$1001,ROW(),설정!$C$15)&amp;"","")</f>
        <v/>
      </c>
      <c r="Z632">
        <f>IF(T632,V632&amp;"|"&amp;U632,"")</f>
        <v/>
      </c>
    </row>
    <row r="633">
      <c r="A633">
        <f>ROW()</f>
        <v/>
      </c>
      <c r="B633">
        <f>IFERROR(INDEX('1.산군_붙여넣기'!$A$1:$AZ$1001,ROW(),설정!$C$4)&amp;"","")</f>
        <v/>
      </c>
      <c r="C633">
        <f>IFERROR(INDEX('1.산군_붙여넣기'!$A$1:$AZ$1001,ROW(),설정!$C$5)&amp;"","")</f>
        <v/>
      </c>
      <c r="D633" s="5">
        <f>IFERROR(VALUE(SUBSTITUTE(SUBSTITUTE(SUBSTITUTE(IFERROR(INDEX('1.산군_붙여넣기'!$A$1:$AZ$1001,ROW(),설정!$C$6)&amp;"",""),",",""),"㎡",""),"m2","")),"")</f>
        <v/>
      </c>
      <c r="E633">
        <f>IFERROR(INDEX('1.산군_붙여넣기'!$A$1:$AZ$1001,ROW(),설정!$C$7)&amp;"","")</f>
        <v/>
      </c>
      <c r="F633">
        <f>IFERROR(INDEX('1.산군_붙여넣기'!$A$1:$AZ$1001,ROW(),설정!$C$8)&amp;"","")</f>
        <v/>
      </c>
      <c r="G633">
        <f>IFERROR(INDEX('1.산군_붙여넣기'!$A$1:$AZ$1001,ROW(),설정!$C$9)&amp;"","")</f>
        <v/>
      </c>
      <c r="H633">
        <f>IFERROR(INDEX('1.산군_붙여넣기'!$A$1:$AZ$1001,ROW(),설정!$C$10)&amp;"","")</f>
        <v/>
      </c>
      <c r="I633">
        <f>IFERROR(INDEX('1.산군_붙여넣기'!$A$1:$AZ$1001,ROW(),설정!$C$11)&amp;"","")</f>
        <v/>
      </c>
      <c r="J633">
        <f>IFERROR(INDEX('1.산군_붙여넣기'!$A$1:$AZ$1001,ROW(),설정!$C$12)&amp;"","")</f>
        <v/>
      </c>
      <c r="K633">
        <f>IFERROR(INDEX('1.산군_붙여넣기'!$A$1:$AZ$1001,ROW(),설정!$C$13)&amp;"","")</f>
        <v/>
      </c>
      <c r="L633" s="6">
        <f>IF(X633="","",IF(AND(LEN(X633)=8,ISNUMBER(X633*1)),DATE(LEFT(X633,4),MID(X633,5,2),RIGHT(X633,2)),IFERROR(DATEVALUE(SUBSTITUTE(SUBSTITUTE(X633,".","-"),"/","-")),IFERROR(X633*1,""))))</f>
        <v/>
      </c>
      <c r="M633" s="6">
        <f>IF(Y633="","",IF(AND(LEN(Y633)=8,ISNUMBER(Y633*1)),DATE(LEFT(Y633,4),MID(Y633,5,2),RIGHT(Y633,2)),IFERROR(DATEVALUE(SUBSTITUTE(SUBSTITUTE(Y633,".","-"),"/","-")),IFERROR(Y633*1,""))))</f>
        <v/>
      </c>
      <c r="N633">
        <f>IFERROR(LEFT(B633,FIND(" ",B633)-1),B633)</f>
        <v/>
      </c>
      <c r="O633">
        <f>AND(B633&lt;&gt;"",B633&lt;&gt;설정!$B$4,C633&lt;&gt;설정!$B$5)</f>
        <v/>
      </c>
      <c r="P633">
        <f>IF(O633,B633&amp;"|"&amp;C633,"")</f>
        <v/>
      </c>
      <c r="Q633">
        <f>AND(O633,COUNTIF(P634:P$1002,P633)=0)</f>
        <v/>
      </c>
      <c r="R633">
        <f>OR(AND(설정!$A$28&lt;&gt;"",ISNUMBER(SEARCH(설정!$A$28,E633&amp;" "&amp;C633))),AND(설정!$A$29&lt;&gt;"",ISNUMBER(SEARCH(설정!$A$29,E633&amp;" "&amp;C633))),AND(설정!$A$30&lt;&gt;"",ISNUMBER(SEARCH(설정!$A$30,E633&amp;" "&amp;C633))),AND(설정!$A$31&lt;&gt;"",ISNUMBER(SEARCH(설정!$A$31,E633&amp;" "&amp;C633))),AND(설정!$A$32&lt;&gt;"",ISNUMBER(SEARCH(설정!$A$32,E633&amp;" "&amp;C633))),AND(설정!$A$33&lt;&gt;"",ISNUMBER(SEARCH(설정!$A$33,E633&amp;" "&amp;C633))),AND(설정!$A$34&lt;&gt;"",ISNUMBER(SEARCH(설정!$A$34,E633&amp;" "&amp;C633))),AND(설정!$A$35&lt;&gt;"",ISNUMBER(SEARCH(설정!$A$35,E633&amp;" "&amp;C633))),AND(설정!$A$36&lt;&gt;"",ISNUMBER(SEARCH(설정!$A$36,E633&amp;" "&amp;C633))),AND(설정!$A$37&lt;&gt;"",ISNUMBER(SEARCH(설정!$A$37,E633&amp;" "&amp;C633))))</f>
        <v/>
      </c>
      <c r="S633">
        <f>OR(D633="",D633&gt;=설정!$B$19)</f>
        <v/>
      </c>
      <c r="T633">
        <f>AND(Q633,R633,S633)</f>
        <v/>
      </c>
      <c r="U633">
        <f>IF(T633,IF(AND(설정!$A$41&lt;&gt;"",ISNUMBER(SEARCH(설정!$A$41,K633))),설정!$B$41,IF(AND(설정!$A$42&lt;&gt;"",ISNUMBER(SEARCH(설정!$A$42,K633))),설정!$B$42,IF(AND(설정!$A$43&lt;&gt;"",ISNUMBER(SEARCH(설정!$A$43,K633))),설정!$B$43,IF(AND(설정!$A$44&lt;&gt;"",ISNUMBER(SEARCH(설정!$A$44,K633))),설정!$B$44,IF(AND(설정!$A$45&lt;&gt;"",ISNUMBER(SEARCH(설정!$A$45,K633))),설정!$B$45,IF(AND(설정!$A$46&lt;&gt;"",ISNUMBER(SEARCH(설정!$A$46,K633))),설정!$B$46,IF(AND(설정!$A$47&lt;&gt;"",ISNUMBER(SEARCH(설정!$A$47,K633))),설정!$B$47,IF(AND(설정!$A$48&lt;&gt;"",ISNUMBER(SEARCH(설정!$A$48,K633))),설정!$B$48,IF(M633="","설계사","시공사"))))))))),"")</f>
        <v/>
      </c>
      <c r="V633">
        <f>SUBSTITUTE(SUBSTITUTE(SUBSTITUTE(SUBSTITUTE(G633,"(주)",""),"㈜",""),"주식회사","")," ","")</f>
        <v/>
      </c>
      <c r="W633">
        <f>IF(AND(T633,V633&lt;&gt;""),IF(COUNTIFS(V$2:V633,V633,T$2:T633,TRUE)=1,MAX(W$1:W632)+1,""),"")</f>
        <v/>
      </c>
      <c r="X633">
        <f>IFERROR(INDEX('1.산군_붙여넣기'!$A$1:$AZ$1001,ROW(),설정!$C$14)&amp;"","")</f>
        <v/>
      </c>
      <c r="Y633">
        <f>IFERROR(INDEX('1.산군_붙여넣기'!$A$1:$AZ$1001,ROW(),설정!$C$15)&amp;"","")</f>
        <v/>
      </c>
      <c r="Z633">
        <f>IF(T633,V633&amp;"|"&amp;U633,"")</f>
        <v/>
      </c>
    </row>
    <row r="634">
      <c r="A634">
        <f>ROW()</f>
        <v/>
      </c>
      <c r="B634">
        <f>IFERROR(INDEX('1.산군_붙여넣기'!$A$1:$AZ$1001,ROW(),설정!$C$4)&amp;"","")</f>
        <v/>
      </c>
      <c r="C634">
        <f>IFERROR(INDEX('1.산군_붙여넣기'!$A$1:$AZ$1001,ROW(),설정!$C$5)&amp;"","")</f>
        <v/>
      </c>
      <c r="D634" s="5">
        <f>IFERROR(VALUE(SUBSTITUTE(SUBSTITUTE(SUBSTITUTE(IFERROR(INDEX('1.산군_붙여넣기'!$A$1:$AZ$1001,ROW(),설정!$C$6)&amp;"",""),",",""),"㎡",""),"m2","")),"")</f>
        <v/>
      </c>
      <c r="E634">
        <f>IFERROR(INDEX('1.산군_붙여넣기'!$A$1:$AZ$1001,ROW(),설정!$C$7)&amp;"","")</f>
        <v/>
      </c>
      <c r="F634">
        <f>IFERROR(INDEX('1.산군_붙여넣기'!$A$1:$AZ$1001,ROW(),설정!$C$8)&amp;"","")</f>
        <v/>
      </c>
      <c r="G634">
        <f>IFERROR(INDEX('1.산군_붙여넣기'!$A$1:$AZ$1001,ROW(),설정!$C$9)&amp;"","")</f>
        <v/>
      </c>
      <c r="H634">
        <f>IFERROR(INDEX('1.산군_붙여넣기'!$A$1:$AZ$1001,ROW(),설정!$C$10)&amp;"","")</f>
        <v/>
      </c>
      <c r="I634">
        <f>IFERROR(INDEX('1.산군_붙여넣기'!$A$1:$AZ$1001,ROW(),설정!$C$11)&amp;"","")</f>
        <v/>
      </c>
      <c r="J634">
        <f>IFERROR(INDEX('1.산군_붙여넣기'!$A$1:$AZ$1001,ROW(),설정!$C$12)&amp;"","")</f>
        <v/>
      </c>
      <c r="K634">
        <f>IFERROR(INDEX('1.산군_붙여넣기'!$A$1:$AZ$1001,ROW(),설정!$C$13)&amp;"","")</f>
        <v/>
      </c>
      <c r="L634" s="6">
        <f>IF(X634="","",IF(AND(LEN(X634)=8,ISNUMBER(X634*1)),DATE(LEFT(X634,4),MID(X634,5,2),RIGHT(X634,2)),IFERROR(DATEVALUE(SUBSTITUTE(SUBSTITUTE(X634,".","-"),"/","-")),IFERROR(X634*1,""))))</f>
        <v/>
      </c>
      <c r="M634" s="6">
        <f>IF(Y634="","",IF(AND(LEN(Y634)=8,ISNUMBER(Y634*1)),DATE(LEFT(Y634,4),MID(Y634,5,2),RIGHT(Y634,2)),IFERROR(DATEVALUE(SUBSTITUTE(SUBSTITUTE(Y634,".","-"),"/","-")),IFERROR(Y634*1,""))))</f>
        <v/>
      </c>
      <c r="N634">
        <f>IFERROR(LEFT(B634,FIND(" ",B634)-1),B634)</f>
        <v/>
      </c>
      <c r="O634">
        <f>AND(B634&lt;&gt;"",B634&lt;&gt;설정!$B$4,C634&lt;&gt;설정!$B$5)</f>
        <v/>
      </c>
      <c r="P634">
        <f>IF(O634,B634&amp;"|"&amp;C634,"")</f>
        <v/>
      </c>
      <c r="Q634">
        <f>AND(O634,COUNTIF(P635:P$1002,P634)=0)</f>
        <v/>
      </c>
      <c r="R634">
        <f>OR(AND(설정!$A$28&lt;&gt;"",ISNUMBER(SEARCH(설정!$A$28,E634&amp;" "&amp;C634))),AND(설정!$A$29&lt;&gt;"",ISNUMBER(SEARCH(설정!$A$29,E634&amp;" "&amp;C634))),AND(설정!$A$30&lt;&gt;"",ISNUMBER(SEARCH(설정!$A$30,E634&amp;" "&amp;C634))),AND(설정!$A$31&lt;&gt;"",ISNUMBER(SEARCH(설정!$A$31,E634&amp;" "&amp;C634))),AND(설정!$A$32&lt;&gt;"",ISNUMBER(SEARCH(설정!$A$32,E634&amp;" "&amp;C634))),AND(설정!$A$33&lt;&gt;"",ISNUMBER(SEARCH(설정!$A$33,E634&amp;" "&amp;C634))),AND(설정!$A$34&lt;&gt;"",ISNUMBER(SEARCH(설정!$A$34,E634&amp;" "&amp;C634))),AND(설정!$A$35&lt;&gt;"",ISNUMBER(SEARCH(설정!$A$35,E634&amp;" "&amp;C634))),AND(설정!$A$36&lt;&gt;"",ISNUMBER(SEARCH(설정!$A$36,E634&amp;" "&amp;C634))),AND(설정!$A$37&lt;&gt;"",ISNUMBER(SEARCH(설정!$A$37,E634&amp;" "&amp;C634))))</f>
        <v/>
      </c>
      <c r="S634">
        <f>OR(D634="",D634&gt;=설정!$B$19)</f>
        <v/>
      </c>
      <c r="T634">
        <f>AND(Q634,R634,S634)</f>
        <v/>
      </c>
      <c r="U634">
        <f>IF(T634,IF(AND(설정!$A$41&lt;&gt;"",ISNUMBER(SEARCH(설정!$A$41,K634))),설정!$B$41,IF(AND(설정!$A$42&lt;&gt;"",ISNUMBER(SEARCH(설정!$A$42,K634))),설정!$B$42,IF(AND(설정!$A$43&lt;&gt;"",ISNUMBER(SEARCH(설정!$A$43,K634))),설정!$B$43,IF(AND(설정!$A$44&lt;&gt;"",ISNUMBER(SEARCH(설정!$A$44,K634))),설정!$B$44,IF(AND(설정!$A$45&lt;&gt;"",ISNUMBER(SEARCH(설정!$A$45,K634))),설정!$B$45,IF(AND(설정!$A$46&lt;&gt;"",ISNUMBER(SEARCH(설정!$A$46,K634))),설정!$B$46,IF(AND(설정!$A$47&lt;&gt;"",ISNUMBER(SEARCH(설정!$A$47,K634))),설정!$B$47,IF(AND(설정!$A$48&lt;&gt;"",ISNUMBER(SEARCH(설정!$A$48,K634))),설정!$B$48,IF(M634="","설계사","시공사"))))))))),"")</f>
        <v/>
      </c>
      <c r="V634">
        <f>SUBSTITUTE(SUBSTITUTE(SUBSTITUTE(SUBSTITUTE(G634,"(주)",""),"㈜",""),"주식회사","")," ","")</f>
        <v/>
      </c>
      <c r="W634">
        <f>IF(AND(T634,V634&lt;&gt;""),IF(COUNTIFS(V$2:V634,V634,T$2:T634,TRUE)=1,MAX(W$1:W633)+1,""),"")</f>
        <v/>
      </c>
      <c r="X634">
        <f>IFERROR(INDEX('1.산군_붙여넣기'!$A$1:$AZ$1001,ROW(),설정!$C$14)&amp;"","")</f>
        <v/>
      </c>
      <c r="Y634">
        <f>IFERROR(INDEX('1.산군_붙여넣기'!$A$1:$AZ$1001,ROW(),설정!$C$15)&amp;"","")</f>
        <v/>
      </c>
      <c r="Z634">
        <f>IF(T634,V634&amp;"|"&amp;U634,"")</f>
        <v/>
      </c>
    </row>
    <row r="635">
      <c r="A635">
        <f>ROW()</f>
        <v/>
      </c>
      <c r="B635">
        <f>IFERROR(INDEX('1.산군_붙여넣기'!$A$1:$AZ$1001,ROW(),설정!$C$4)&amp;"","")</f>
        <v/>
      </c>
      <c r="C635">
        <f>IFERROR(INDEX('1.산군_붙여넣기'!$A$1:$AZ$1001,ROW(),설정!$C$5)&amp;"","")</f>
        <v/>
      </c>
      <c r="D635" s="5">
        <f>IFERROR(VALUE(SUBSTITUTE(SUBSTITUTE(SUBSTITUTE(IFERROR(INDEX('1.산군_붙여넣기'!$A$1:$AZ$1001,ROW(),설정!$C$6)&amp;"",""),",",""),"㎡",""),"m2","")),"")</f>
        <v/>
      </c>
      <c r="E635">
        <f>IFERROR(INDEX('1.산군_붙여넣기'!$A$1:$AZ$1001,ROW(),설정!$C$7)&amp;"","")</f>
        <v/>
      </c>
      <c r="F635">
        <f>IFERROR(INDEX('1.산군_붙여넣기'!$A$1:$AZ$1001,ROW(),설정!$C$8)&amp;"","")</f>
        <v/>
      </c>
      <c r="G635">
        <f>IFERROR(INDEX('1.산군_붙여넣기'!$A$1:$AZ$1001,ROW(),설정!$C$9)&amp;"","")</f>
        <v/>
      </c>
      <c r="H635">
        <f>IFERROR(INDEX('1.산군_붙여넣기'!$A$1:$AZ$1001,ROW(),설정!$C$10)&amp;"","")</f>
        <v/>
      </c>
      <c r="I635">
        <f>IFERROR(INDEX('1.산군_붙여넣기'!$A$1:$AZ$1001,ROW(),설정!$C$11)&amp;"","")</f>
        <v/>
      </c>
      <c r="J635">
        <f>IFERROR(INDEX('1.산군_붙여넣기'!$A$1:$AZ$1001,ROW(),설정!$C$12)&amp;"","")</f>
        <v/>
      </c>
      <c r="K635">
        <f>IFERROR(INDEX('1.산군_붙여넣기'!$A$1:$AZ$1001,ROW(),설정!$C$13)&amp;"","")</f>
        <v/>
      </c>
      <c r="L635" s="6">
        <f>IF(X635="","",IF(AND(LEN(X635)=8,ISNUMBER(X635*1)),DATE(LEFT(X635,4),MID(X635,5,2),RIGHT(X635,2)),IFERROR(DATEVALUE(SUBSTITUTE(SUBSTITUTE(X635,".","-"),"/","-")),IFERROR(X635*1,""))))</f>
        <v/>
      </c>
      <c r="M635" s="6">
        <f>IF(Y635="","",IF(AND(LEN(Y635)=8,ISNUMBER(Y635*1)),DATE(LEFT(Y635,4),MID(Y635,5,2),RIGHT(Y635,2)),IFERROR(DATEVALUE(SUBSTITUTE(SUBSTITUTE(Y635,".","-"),"/","-")),IFERROR(Y635*1,""))))</f>
        <v/>
      </c>
      <c r="N635">
        <f>IFERROR(LEFT(B635,FIND(" ",B635)-1),B635)</f>
        <v/>
      </c>
      <c r="O635">
        <f>AND(B635&lt;&gt;"",B635&lt;&gt;설정!$B$4,C635&lt;&gt;설정!$B$5)</f>
        <v/>
      </c>
      <c r="P635">
        <f>IF(O635,B635&amp;"|"&amp;C635,"")</f>
        <v/>
      </c>
      <c r="Q635">
        <f>AND(O635,COUNTIF(P636:P$1002,P635)=0)</f>
        <v/>
      </c>
      <c r="R635">
        <f>OR(AND(설정!$A$28&lt;&gt;"",ISNUMBER(SEARCH(설정!$A$28,E635&amp;" "&amp;C635))),AND(설정!$A$29&lt;&gt;"",ISNUMBER(SEARCH(설정!$A$29,E635&amp;" "&amp;C635))),AND(설정!$A$30&lt;&gt;"",ISNUMBER(SEARCH(설정!$A$30,E635&amp;" "&amp;C635))),AND(설정!$A$31&lt;&gt;"",ISNUMBER(SEARCH(설정!$A$31,E635&amp;" "&amp;C635))),AND(설정!$A$32&lt;&gt;"",ISNUMBER(SEARCH(설정!$A$32,E635&amp;" "&amp;C635))),AND(설정!$A$33&lt;&gt;"",ISNUMBER(SEARCH(설정!$A$33,E635&amp;" "&amp;C635))),AND(설정!$A$34&lt;&gt;"",ISNUMBER(SEARCH(설정!$A$34,E635&amp;" "&amp;C635))),AND(설정!$A$35&lt;&gt;"",ISNUMBER(SEARCH(설정!$A$35,E635&amp;" "&amp;C635))),AND(설정!$A$36&lt;&gt;"",ISNUMBER(SEARCH(설정!$A$36,E635&amp;" "&amp;C635))),AND(설정!$A$37&lt;&gt;"",ISNUMBER(SEARCH(설정!$A$37,E635&amp;" "&amp;C635))))</f>
        <v/>
      </c>
      <c r="S635">
        <f>OR(D635="",D635&gt;=설정!$B$19)</f>
        <v/>
      </c>
      <c r="T635">
        <f>AND(Q635,R635,S635)</f>
        <v/>
      </c>
      <c r="U635">
        <f>IF(T635,IF(AND(설정!$A$41&lt;&gt;"",ISNUMBER(SEARCH(설정!$A$41,K635))),설정!$B$41,IF(AND(설정!$A$42&lt;&gt;"",ISNUMBER(SEARCH(설정!$A$42,K635))),설정!$B$42,IF(AND(설정!$A$43&lt;&gt;"",ISNUMBER(SEARCH(설정!$A$43,K635))),설정!$B$43,IF(AND(설정!$A$44&lt;&gt;"",ISNUMBER(SEARCH(설정!$A$44,K635))),설정!$B$44,IF(AND(설정!$A$45&lt;&gt;"",ISNUMBER(SEARCH(설정!$A$45,K635))),설정!$B$45,IF(AND(설정!$A$46&lt;&gt;"",ISNUMBER(SEARCH(설정!$A$46,K635))),설정!$B$46,IF(AND(설정!$A$47&lt;&gt;"",ISNUMBER(SEARCH(설정!$A$47,K635))),설정!$B$47,IF(AND(설정!$A$48&lt;&gt;"",ISNUMBER(SEARCH(설정!$A$48,K635))),설정!$B$48,IF(M635="","설계사","시공사"))))))))),"")</f>
        <v/>
      </c>
      <c r="V635">
        <f>SUBSTITUTE(SUBSTITUTE(SUBSTITUTE(SUBSTITUTE(G635,"(주)",""),"㈜",""),"주식회사","")," ","")</f>
        <v/>
      </c>
      <c r="W635">
        <f>IF(AND(T635,V635&lt;&gt;""),IF(COUNTIFS(V$2:V635,V635,T$2:T635,TRUE)=1,MAX(W$1:W634)+1,""),"")</f>
        <v/>
      </c>
      <c r="X635">
        <f>IFERROR(INDEX('1.산군_붙여넣기'!$A$1:$AZ$1001,ROW(),설정!$C$14)&amp;"","")</f>
        <v/>
      </c>
      <c r="Y635">
        <f>IFERROR(INDEX('1.산군_붙여넣기'!$A$1:$AZ$1001,ROW(),설정!$C$15)&amp;"","")</f>
        <v/>
      </c>
      <c r="Z635">
        <f>IF(T635,V635&amp;"|"&amp;U635,"")</f>
        <v/>
      </c>
    </row>
    <row r="636">
      <c r="A636">
        <f>ROW()</f>
        <v/>
      </c>
      <c r="B636">
        <f>IFERROR(INDEX('1.산군_붙여넣기'!$A$1:$AZ$1001,ROW(),설정!$C$4)&amp;"","")</f>
        <v/>
      </c>
      <c r="C636">
        <f>IFERROR(INDEX('1.산군_붙여넣기'!$A$1:$AZ$1001,ROW(),설정!$C$5)&amp;"","")</f>
        <v/>
      </c>
      <c r="D636" s="5">
        <f>IFERROR(VALUE(SUBSTITUTE(SUBSTITUTE(SUBSTITUTE(IFERROR(INDEX('1.산군_붙여넣기'!$A$1:$AZ$1001,ROW(),설정!$C$6)&amp;"",""),",",""),"㎡",""),"m2","")),"")</f>
        <v/>
      </c>
      <c r="E636">
        <f>IFERROR(INDEX('1.산군_붙여넣기'!$A$1:$AZ$1001,ROW(),설정!$C$7)&amp;"","")</f>
        <v/>
      </c>
      <c r="F636">
        <f>IFERROR(INDEX('1.산군_붙여넣기'!$A$1:$AZ$1001,ROW(),설정!$C$8)&amp;"","")</f>
        <v/>
      </c>
      <c r="G636">
        <f>IFERROR(INDEX('1.산군_붙여넣기'!$A$1:$AZ$1001,ROW(),설정!$C$9)&amp;"","")</f>
        <v/>
      </c>
      <c r="H636">
        <f>IFERROR(INDEX('1.산군_붙여넣기'!$A$1:$AZ$1001,ROW(),설정!$C$10)&amp;"","")</f>
        <v/>
      </c>
      <c r="I636">
        <f>IFERROR(INDEX('1.산군_붙여넣기'!$A$1:$AZ$1001,ROW(),설정!$C$11)&amp;"","")</f>
        <v/>
      </c>
      <c r="J636">
        <f>IFERROR(INDEX('1.산군_붙여넣기'!$A$1:$AZ$1001,ROW(),설정!$C$12)&amp;"","")</f>
        <v/>
      </c>
      <c r="K636">
        <f>IFERROR(INDEX('1.산군_붙여넣기'!$A$1:$AZ$1001,ROW(),설정!$C$13)&amp;"","")</f>
        <v/>
      </c>
      <c r="L636" s="6">
        <f>IF(X636="","",IF(AND(LEN(X636)=8,ISNUMBER(X636*1)),DATE(LEFT(X636,4),MID(X636,5,2),RIGHT(X636,2)),IFERROR(DATEVALUE(SUBSTITUTE(SUBSTITUTE(X636,".","-"),"/","-")),IFERROR(X636*1,""))))</f>
        <v/>
      </c>
      <c r="M636" s="6">
        <f>IF(Y636="","",IF(AND(LEN(Y636)=8,ISNUMBER(Y636*1)),DATE(LEFT(Y636,4),MID(Y636,5,2),RIGHT(Y636,2)),IFERROR(DATEVALUE(SUBSTITUTE(SUBSTITUTE(Y636,".","-"),"/","-")),IFERROR(Y636*1,""))))</f>
        <v/>
      </c>
      <c r="N636">
        <f>IFERROR(LEFT(B636,FIND(" ",B636)-1),B636)</f>
        <v/>
      </c>
      <c r="O636">
        <f>AND(B636&lt;&gt;"",B636&lt;&gt;설정!$B$4,C636&lt;&gt;설정!$B$5)</f>
        <v/>
      </c>
      <c r="P636">
        <f>IF(O636,B636&amp;"|"&amp;C636,"")</f>
        <v/>
      </c>
      <c r="Q636">
        <f>AND(O636,COUNTIF(P637:P$1002,P636)=0)</f>
        <v/>
      </c>
      <c r="R636">
        <f>OR(AND(설정!$A$28&lt;&gt;"",ISNUMBER(SEARCH(설정!$A$28,E636&amp;" "&amp;C636))),AND(설정!$A$29&lt;&gt;"",ISNUMBER(SEARCH(설정!$A$29,E636&amp;" "&amp;C636))),AND(설정!$A$30&lt;&gt;"",ISNUMBER(SEARCH(설정!$A$30,E636&amp;" "&amp;C636))),AND(설정!$A$31&lt;&gt;"",ISNUMBER(SEARCH(설정!$A$31,E636&amp;" "&amp;C636))),AND(설정!$A$32&lt;&gt;"",ISNUMBER(SEARCH(설정!$A$32,E636&amp;" "&amp;C636))),AND(설정!$A$33&lt;&gt;"",ISNUMBER(SEARCH(설정!$A$33,E636&amp;" "&amp;C636))),AND(설정!$A$34&lt;&gt;"",ISNUMBER(SEARCH(설정!$A$34,E636&amp;" "&amp;C636))),AND(설정!$A$35&lt;&gt;"",ISNUMBER(SEARCH(설정!$A$35,E636&amp;" "&amp;C636))),AND(설정!$A$36&lt;&gt;"",ISNUMBER(SEARCH(설정!$A$36,E636&amp;" "&amp;C636))),AND(설정!$A$37&lt;&gt;"",ISNUMBER(SEARCH(설정!$A$37,E636&amp;" "&amp;C636))))</f>
        <v/>
      </c>
      <c r="S636">
        <f>OR(D636="",D636&gt;=설정!$B$19)</f>
        <v/>
      </c>
      <c r="T636">
        <f>AND(Q636,R636,S636)</f>
        <v/>
      </c>
      <c r="U636">
        <f>IF(T636,IF(AND(설정!$A$41&lt;&gt;"",ISNUMBER(SEARCH(설정!$A$41,K636))),설정!$B$41,IF(AND(설정!$A$42&lt;&gt;"",ISNUMBER(SEARCH(설정!$A$42,K636))),설정!$B$42,IF(AND(설정!$A$43&lt;&gt;"",ISNUMBER(SEARCH(설정!$A$43,K636))),설정!$B$43,IF(AND(설정!$A$44&lt;&gt;"",ISNUMBER(SEARCH(설정!$A$44,K636))),설정!$B$44,IF(AND(설정!$A$45&lt;&gt;"",ISNUMBER(SEARCH(설정!$A$45,K636))),설정!$B$45,IF(AND(설정!$A$46&lt;&gt;"",ISNUMBER(SEARCH(설정!$A$46,K636))),설정!$B$46,IF(AND(설정!$A$47&lt;&gt;"",ISNUMBER(SEARCH(설정!$A$47,K636))),설정!$B$47,IF(AND(설정!$A$48&lt;&gt;"",ISNUMBER(SEARCH(설정!$A$48,K636))),설정!$B$48,IF(M636="","설계사","시공사"))))))))),"")</f>
        <v/>
      </c>
      <c r="V636">
        <f>SUBSTITUTE(SUBSTITUTE(SUBSTITUTE(SUBSTITUTE(G636,"(주)",""),"㈜",""),"주식회사","")," ","")</f>
        <v/>
      </c>
      <c r="W636">
        <f>IF(AND(T636,V636&lt;&gt;""),IF(COUNTIFS(V$2:V636,V636,T$2:T636,TRUE)=1,MAX(W$1:W635)+1,""),"")</f>
        <v/>
      </c>
      <c r="X636">
        <f>IFERROR(INDEX('1.산군_붙여넣기'!$A$1:$AZ$1001,ROW(),설정!$C$14)&amp;"","")</f>
        <v/>
      </c>
      <c r="Y636">
        <f>IFERROR(INDEX('1.산군_붙여넣기'!$A$1:$AZ$1001,ROW(),설정!$C$15)&amp;"","")</f>
        <v/>
      </c>
      <c r="Z636">
        <f>IF(T636,V636&amp;"|"&amp;U636,"")</f>
        <v/>
      </c>
    </row>
    <row r="637">
      <c r="A637">
        <f>ROW()</f>
        <v/>
      </c>
      <c r="B637">
        <f>IFERROR(INDEX('1.산군_붙여넣기'!$A$1:$AZ$1001,ROW(),설정!$C$4)&amp;"","")</f>
        <v/>
      </c>
      <c r="C637">
        <f>IFERROR(INDEX('1.산군_붙여넣기'!$A$1:$AZ$1001,ROW(),설정!$C$5)&amp;"","")</f>
        <v/>
      </c>
      <c r="D637" s="5">
        <f>IFERROR(VALUE(SUBSTITUTE(SUBSTITUTE(SUBSTITUTE(IFERROR(INDEX('1.산군_붙여넣기'!$A$1:$AZ$1001,ROW(),설정!$C$6)&amp;"",""),",",""),"㎡",""),"m2","")),"")</f>
        <v/>
      </c>
      <c r="E637">
        <f>IFERROR(INDEX('1.산군_붙여넣기'!$A$1:$AZ$1001,ROW(),설정!$C$7)&amp;"","")</f>
        <v/>
      </c>
      <c r="F637">
        <f>IFERROR(INDEX('1.산군_붙여넣기'!$A$1:$AZ$1001,ROW(),설정!$C$8)&amp;"","")</f>
        <v/>
      </c>
      <c r="G637">
        <f>IFERROR(INDEX('1.산군_붙여넣기'!$A$1:$AZ$1001,ROW(),설정!$C$9)&amp;"","")</f>
        <v/>
      </c>
      <c r="H637">
        <f>IFERROR(INDEX('1.산군_붙여넣기'!$A$1:$AZ$1001,ROW(),설정!$C$10)&amp;"","")</f>
        <v/>
      </c>
      <c r="I637">
        <f>IFERROR(INDEX('1.산군_붙여넣기'!$A$1:$AZ$1001,ROW(),설정!$C$11)&amp;"","")</f>
        <v/>
      </c>
      <c r="J637">
        <f>IFERROR(INDEX('1.산군_붙여넣기'!$A$1:$AZ$1001,ROW(),설정!$C$12)&amp;"","")</f>
        <v/>
      </c>
      <c r="K637">
        <f>IFERROR(INDEX('1.산군_붙여넣기'!$A$1:$AZ$1001,ROW(),설정!$C$13)&amp;"","")</f>
        <v/>
      </c>
      <c r="L637" s="6">
        <f>IF(X637="","",IF(AND(LEN(X637)=8,ISNUMBER(X637*1)),DATE(LEFT(X637,4),MID(X637,5,2),RIGHT(X637,2)),IFERROR(DATEVALUE(SUBSTITUTE(SUBSTITUTE(X637,".","-"),"/","-")),IFERROR(X637*1,""))))</f>
        <v/>
      </c>
      <c r="M637" s="6">
        <f>IF(Y637="","",IF(AND(LEN(Y637)=8,ISNUMBER(Y637*1)),DATE(LEFT(Y637,4),MID(Y637,5,2),RIGHT(Y637,2)),IFERROR(DATEVALUE(SUBSTITUTE(SUBSTITUTE(Y637,".","-"),"/","-")),IFERROR(Y637*1,""))))</f>
        <v/>
      </c>
      <c r="N637">
        <f>IFERROR(LEFT(B637,FIND(" ",B637)-1),B637)</f>
        <v/>
      </c>
      <c r="O637">
        <f>AND(B637&lt;&gt;"",B637&lt;&gt;설정!$B$4,C637&lt;&gt;설정!$B$5)</f>
        <v/>
      </c>
      <c r="P637">
        <f>IF(O637,B637&amp;"|"&amp;C637,"")</f>
        <v/>
      </c>
      <c r="Q637">
        <f>AND(O637,COUNTIF(P638:P$1002,P637)=0)</f>
        <v/>
      </c>
      <c r="R637">
        <f>OR(AND(설정!$A$28&lt;&gt;"",ISNUMBER(SEARCH(설정!$A$28,E637&amp;" "&amp;C637))),AND(설정!$A$29&lt;&gt;"",ISNUMBER(SEARCH(설정!$A$29,E637&amp;" "&amp;C637))),AND(설정!$A$30&lt;&gt;"",ISNUMBER(SEARCH(설정!$A$30,E637&amp;" "&amp;C637))),AND(설정!$A$31&lt;&gt;"",ISNUMBER(SEARCH(설정!$A$31,E637&amp;" "&amp;C637))),AND(설정!$A$32&lt;&gt;"",ISNUMBER(SEARCH(설정!$A$32,E637&amp;" "&amp;C637))),AND(설정!$A$33&lt;&gt;"",ISNUMBER(SEARCH(설정!$A$33,E637&amp;" "&amp;C637))),AND(설정!$A$34&lt;&gt;"",ISNUMBER(SEARCH(설정!$A$34,E637&amp;" "&amp;C637))),AND(설정!$A$35&lt;&gt;"",ISNUMBER(SEARCH(설정!$A$35,E637&amp;" "&amp;C637))),AND(설정!$A$36&lt;&gt;"",ISNUMBER(SEARCH(설정!$A$36,E637&amp;" "&amp;C637))),AND(설정!$A$37&lt;&gt;"",ISNUMBER(SEARCH(설정!$A$37,E637&amp;" "&amp;C637))))</f>
        <v/>
      </c>
      <c r="S637">
        <f>OR(D637="",D637&gt;=설정!$B$19)</f>
        <v/>
      </c>
      <c r="T637">
        <f>AND(Q637,R637,S637)</f>
        <v/>
      </c>
      <c r="U637">
        <f>IF(T637,IF(AND(설정!$A$41&lt;&gt;"",ISNUMBER(SEARCH(설정!$A$41,K637))),설정!$B$41,IF(AND(설정!$A$42&lt;&gt;"",ISNUMBER(SEARCH(설정!$A$42,K637))),설정!$B$42,IF(AND(설정!$A$43&lt;&gt;"",ISNUMBER(SEARCH(설정!$A$43,K637))),설정!$B$43,IF(AND(설정!$A$44&lt;&gt;"",ISNUMBER(SEARCH(설정!$A$44,K637))),설정!$B$44,IF(AND(설정!$A$45&lt;&gt;"",ISNUMBER(SEARCH(설정!$A$45,K637))),설정!$B$45,IF(AND(설정!$A$46&lt;&gt;"",ISNUMBER(SEARCH(설정!$A$46,K637))),설정!$B$46,IF(AND(설정!$A$47&lt;&gt;"",ISNUMBER(SEARCH(설정!$A$47,K637))),설정!$B$47,IF(AND(설정!$A$48&lt;&gt;"",ISNUMBER(SEARCH(설정!$A$48,K637))),설정!$B$48,IF(M637="","설계사","시공사"))))))))),"")</f>
        <v/>
      </c>
      <c r="V637">
        <f>SUBSTITUTE(SUBSTITUTE(SUBSTITUTE(SUBSTITUTE(G637,"(주)",""),"㈜",""),"주식회사","")," ","")</f>
        <v/>
      </c>
      <c r="W637">
        <f>IF(AND(T637,V637&lt;&gt;""),IF(COUNTIFS(V$2:V637,V637,T$2:T637,TRUE)=1,MAX(W$1:W636)+1,""),"")</f>
        <v/>
      </c>
      <c r="X637">
        <f>IFERROR(INDEX('1.산군_붙여넣기'!$A$1:$AZ$1001,ROW(),설정!$C$14)&amp;"","")</f>
        <v/>
      </c>
      <c r="Y637">
        <f>IFERROR(INDEX('1.산군_붙여넣기'!$A$1:$AZ$1001,ROW(),설정!$C$15)&amp;"","")</f>
        <v/>
      </c>
      <c r="Z637">
        <f>IF(T637,V637&amp;"|"&amp;U637,"")</f>
        <v/>
      </c>
    </row>
    <row r="638">
      <c r="A638">
        <f>ROW()</f>
        <v/>
      </c>
      <c r="B638">
        <f>IFERROR(INDEX('1.산군_붙여넣기'!$A$1:$AZ$1001,ROW(),설정!$C$4)&amp;"","")</f>
        <v/>
      </c>
      <c r="C638">
        <f>IFERROR(INDEX('1.산군_붙여넣기'!$A$1:$AZ$1001,ROW(),설정!$C$5)&amp;"","")</f>
        <v/>
      </c>
      <c r="D638" s="5">
        <f>IFERROR(VALUE(SUBSTITUTE(SUBSTITUTE(SUBSTITUTE(IFERROR(INDEX('1.산군_붙여넣기'!$A$1:$AZ$1001,ROW(),설정!$C$6)&amp;"",""),",",""),"㎡",""),"m2","")),"")</f>
        <v/>
      </c>
      <c r="E638">
        <f>IFERROR(INDEX('1.산군_붙여넣기'!$A$1:$AZ$1001,ROW(),설정!$C$7)&amp;"","")</f>
        <v/>
      </c>
      <c r="F638">
        <f>IFERROR(INDEX('1.산군_붙여넣기'!$A$1:$AZ$1001,ROW(),설정!$C$8)&amp;"","")</f>
        <v/>
      </c>
      <c r="G638">
        <f>IFERROR(INDEX('1.산군_붙여넣기'!$A$1:$AZ$1001,ROW(),설정!$C$9)&amp;"","")</f>
        <v/>
      </c>
      <c r="H638">
        <f>IFERROR(INDEX('1.산군_붙여넣기'!$A$1:$AZ$1001,ROW(),설정!$C$10)&amp;"","")</f>
        <v/>
      </c>
      <c r="I638">
        <f>IFERROR(INDEX('1.산군_붙여넣기'!$A$1:$AZ$1001,ROW(),설정!$C$11)&amp;"","")</f>
        <v/>
      </c>
      <c r="J638">
        <f>IFERROR(INDEX('1.산군_붙여넣기'!$A$1:$AZ$1001,ROW(),설정!$C$12)&amp;"","")</f>
        <v/>
      </c>
      <c r="K638">
        <f>IFERROR(INDEX('1.산군_붙여넣기'!$A$1:$AZ$1001,ROW(),설정!$C$13)&amp;"","")</f>
        <v/>
      </c>
      <c r="L638" s="6">
        <f>IF(X638="","",IF(AND(LEN(X638)=8,ISNUMBER(X638*1)),DATE(LEFT(X638,4),MID(X638,5,2),RIGHT(X638,2)),IFERROR(DATEVALUE(SUBSTITUTE(SUBSTITUTE(X638,".","-"),"/","-")),IFERROR(X638*1,""))))</f>
        <v/>
      </c>
      <c r="M638" s="6">
        <f>IF(Y638="","",IF(AND(LEN(Y638)=8,ISNUMBER(Y638*1)),DATE(LEFT(Y638,4),MID(Y638,5,2),RIGHT(Y638,2)),IFERROR(DATEVALUE(SUBSTITUTE(SUBSTITUTE(Y638,".","-"),"/","-")),IFERROR(Y638*1,""))))</f>
        <v/>
      </c>
      <c r="N638">
        <f>IFERROR(LEFT(B638,FIND(" ",B638)-1),B638)</f>
        <v/>
      </c>
      <c r="O638">
        <f>AND(B638&lt;&gt;"",B638&lt;&gt;설정!$B$4,C638&lt;&gt;설정!$B$5)</f>
        <v/>
      </c>
      <c r="P638">
        <f>IF(O638,B638&amp;"|"&amp;C638,"")</f>
        <v/>
      </c>
      <c r="Q638">
        <f>AND(O638,COUNTIF(P639:P$1002,P638)=0)</f>
        <v/>
      </c>
      <c r="R638">
        <f>OR(AND(설정!$A$28&lt;&gt;"",ISNUMBER(SEARCH(설정!$A$28,E638&amp;" "&amp;C638))),AND(설정!$A$29&lt;&gt;"",ISNUMBER(SEARCH(설정!$A$29,E638&amp;" "&amp;C638))),AND(설정!$A$30&lt;&gt;"",ISNUMBER(SEARCH(설정!$A$30,E638&amp;" "&amp;C638))),AND(설정!$A$31&lt;&gt;"",ISNUMBER(SEARCH(설정!$A$31,E638&amp;" "&amp;C638))),AND(설정!$A$32&lt;&gt;"",ISNUMBER(SEARCH(설정!$A$32,E638&amp;" "&amp;C638))),AND(설정!$A$33&lt;&gt;"",ISNUMBER(SEARCH(설정!$A$33,E638&amp;" "&amp;C638))),AND(설정!$A$34&lt;&gt;"",ISNUMBER(SEARCH(설정!$A$34,E638&amp;" "&amp;C638))),AND(설정!$A$35&lt;&gt;"",ISNUMBER(SEARCH(설정!$A$35,E638&amp;" "&amp;C638))),AND(설정!$A$36&lt;&gt;"",ISNUMBER(SEARCH(설정!$A$36,E638&amp;" "&amp;C638))),AND(설정!$A$37&lt;&gt;"",ISNUMBER(SEARCH(설정!$A$37,E638&amp;" "&amp;C638))))</f>
        <v/>
      </c>
      <c r="S638">
        <f>OR(D638="",D638&gt;=설정!$B$19)</f>
        <v/>
      </c>
      <c r="T638">
        <f>AND(Q638,R638,S638)</f>
        <v/>
      </c>
      <c r="U638">
        <f>IF(T638,IF(AND(설정!$A$41&lt;&gt;"",ISNUMBER(SEARCH(설정!$A$41,K638))),설정!$B$41,IF(AND(설정!$A$42&lt;&gt;"",ISNUMBER(SEARCH(설정!$A$42,K638))),설정!$B$42,IF(AND(설정!$A$43&lt;&gt;"",ISNUMBER(SEARCH(설정!$A$43,K638))),설정!$B$43,IF(AND(설정!$A$44&lt;&gt;"",ISNUMBER(SEARCH(설정!$A$44,K638))),설정!$B$44,IF(AND(설정!$A$45&lt;&gt;"",ISNUMBER(SEARCH(설정!$A$45,K638))),설정!$B$45,IF(AND(설정!$A$46&lt;&gt;"",ISNUMBER(SEARCH(설정!$A$46,K638))),설정!$B$46,IF(AND(설정!$A$47&lt;&gt;"",ISNUMBER(SEARCH(설정!$A$47,K638))),설정!$B$47,IF(AND(설정!$A$48&lt;&gt;"",ISNUMBER(SEARCH(설정!$A$48,K638))),설정!$B$48,IF(M638="","설계사","시공사"))))))))),"")</f>
        <v/>
      </c>
      <c r="V638">
        <f>SUBSTITUTE(SUBSTITUTE(SUBSTITUTE(SUBSTITUTE(G638,"(주)",""),"㈜",""),"주식회사","")," ","")</f>
        <v/>
      </c>
      <c r="W638">
        <f>IF(AND(T638,V638&lt;&gt;""),IF(COUNTIFS(V$2:V638,V638,T$2:T638,TRUE)=1,MAX(W$1:W637)+1,""),"")</f>
        <v/>
      </c>
      <c r="X638">
        <f>IFERROR(INDEX('1.산군_붙여넣기'!$A$1:$AZ$1001,ROW(),설정!$C$14)&amp;"","")</f>
        <v/>
      </c>
      <c r="Y638">
        <f>IFERROR(INDEX('1.산군_붙여넣기'!$A$1:$AZ$1001,ROW(),설정!$C$15)&amp;"","")</f>
        <v/>
      </c>
      <c r="Z638">
        <f>IF(T638,V638&amp;"|"&amp;U638,"")</f>
        <v/>
      </c>
    </row>
    <row r="639">
      <c r="A639">
        <f>ROW()</f>
        <v/>
      </c>
      <c r="B639">
        <f>IFERROR(INDEX('1.산군_붙여넣기'!$A$1:$AZ$1001,ROW(),설정!$C$4)&amp;"","")</f>
        <v/>
      </c>
      <c r="C639">
        <f>IFERROR(INDEX('1.산군_붙여넣기'!$A$1:$AZ$1001,ROW(),설정!$C$5)&amp;"","")</f>
        <v/>
      </c>
      <c r="D639" s="5">
        <f>IFERROR(VALUE(SUBSTITUTE(SUBSTITUTE(SUBSTITUTE(IFERROR(INDEX('1.산군_붙여넣기'!$A$1:$AZ$1001,ROW(),설정!$C$6)&amp;"",""),",",""),"㎡",""),"m2","")),"")</f>
        <v/>
      </c>
      <c r="E639">
        <f>IFERROR(INDEX('1.산군_붙여넣기'!$A$1:$AZ$1001,ROW(),설정!$C$7)&amp;"","")</f>
        <v/>
      </c>
      <c r="F639">
        <f>IFERROR(INDEX('1.산군_붙여넣기'!$A$1:$AZ$1001,ROW(),설정!$C$8)&amp;"","")</f>
        <v/>
      </c>
      <c r="G639">
        <f>IFERROR(INDEX('1.산군_붙여넣기'!$A$1:$AZ$1001,ROW(),설정!$C$9)&amp;"","")</f>
        <v/>
      </c>
      <c r="H639">
        <f>IFERROR(INDEX('1.산군_붙여넣기'!$A$1:$AZ$1001,ROW(),설정!$C$10)&amp;"","")</f>
        <v/>
      </c>
      <c r="I639">
        <f>IFERROR(INDEX('1.산군_붙여넣기'!$A$1:$AZ$1001,ROW(),설정!$C$11)&amp;"","")</f>
        <v/>
      </c>
      <c r="J639">
        <f>IFERROR(INDEX('1.산군_붙여넣기'!$A$1:$AZ$1001,ROW(),설정!$C$12)&amp;"","")</f>
        <v/>
      </c>
      <c r="K639">
        <f>IFERROR(INDEX('1.산군_붙여넣기'!$A$1:$AZ$1001,ROW(),설정!$C$13)&amp;"","")</f>
        <v/>
      </c>
      <c r="L639" s="6">
        <f>IF(X639="","",IF(AND(LEN(X639)=8,ISNUMBER(X639*1)),DATE(LEFT(X639,4),MID(X639,5,2),RIGHT(X639,2)),IFERROR(DATEVALUE(SUBSTITUTE(SUBSTITUTE(X639,".","-"),"/","-")),IFERROR(X639*1,""))))</f>
        <v/>
      </c>
      <c r="M639" s="6">
        <f>IF(Y639="","",IF(AND(LEN(Y639)=8,ISNUMBER(Y639*1)),DATE(LEFT(Y639,4),MID(Y639,5,2),RIGHT(Y639,2)),IFERROR(DATEVALUE(SUBSTITUTE(SUBSTITUTE(Y639,".","-"),"/","-")),IFERROR(Y639*1,""))))</f>
        <v/>
      </c>
      <c r="N639">
        <f>IFERROR(LEFT(B639,FIND(" ",B639)-1),B639)</f>
        <v/>
      </c>
      <c r="O639">
        <f>AND(B639&lt;&gt;"",B639&lt;&gt;설정!$B$4,C639&lt;&gt;설정!$B$5)</f>
        <v/>
      </c>
      <c r="P639">
        <f>IF(O639,B639&amp;"|"&amp;C639,"")</f>
        <v/>
      </c>
      <c r="Q639">
        <f>AND(O639,COUNTIF(P640:P$1002,P639)=0)</f>
        <v/>
      </c>
      <c r="R639">
        <f>OR(AND(설정!$A$28&lt;&gt;"",ISNUMBER(SEARCH(설정!$A$28,E639&amp;" "&amp;C639))),AND(설정!$A$29&lt;&gt;"",ISNUMBER(SEARCH(설정!$A$29,E639&amp;" "&amp;C639))),AND(설정!$A$30&lt;&gt;"",ISNUMBER(SEARCH(설정!$A$30,E639&amp;" "&amp;C639))),AND(설정!$A$31&lt;&gt;"",ISNUMBER(SEARCH(설정!$A$31,E639&amp;" "&amp;C639))),AND(설정!$A$32&lt;&gt;"",ISNUMBER(SEARCH(설정!$A$32,E639&amp;" "&amp;C639))),AND(설정!$A$33&lt;&gt;"",ISNUMBER(SEARCH(설정!$A$33,E639&amp;" "&amp;C639))),AND(설정!$A$34&lt;&gt;"",ISNUMBER(SEARCH(설정!$A$34,E639&amp;" "&amp;C639))),AND(설정!$A$35&lt;&gt;"",ISNUMBER(SEARCH(설정!$A$35,E639&amp;" "&amp;C639))),AND(설정!$A$36&lt;&gt;"",ISNUMBER(SEARCH(설정!$A$36,E639&amp;" "&amp;C639))),AND(설정!$A$37&lt;&gt;"",ISNUMBER(SEARCH(설정!$A$37,E639&amp;" "&amp;C639))))</f>
        <v/>
      </c>
      <c r="S639">
        <f>OR(D639="",D639&gt;=설정!$B$19)</f>
        <v/>
      </c>
      <c r="T639">
        <f>AND(Q639,R639,S639)</f>
        <v/>
      </c>
      <c r="U639">
        <f>IF(T639,IF(AND(설정!$A$41&lt;&gt;"",ISNUMBER(SEARCH(설정!$A$41,K639))),설정!$B$41,IF(AND(설정!$A$42&lt;&gt;"",ISNUMBER(SEARCH(설정!$A$42,K639))),설정!$B$42,IF(AND(설정!$A$43&lt;&gt;"",ISNUMBER(SEARCH(설정!$A$43,K639))),설정!$B$43,IF(AND(설정!$A$44&lt;&gt;"",ISNUMBER(SEARCH(설정!$A$44,K639))),설정!$B$44,IF(AND(설정!$A$45&lt;&gt;"",ISNUMBER(SEARCH(설정!$A$45,K639))),설정!$B$45,IF(AND(설정!$A$46&lt;&gt;"",ISNUMBER(SEARCH(설정!$A$46,K639))),설정!$B$46,IF(AND(설정!$A$47&lt;&gt;"",ISNUMBER(SEARCH(설정!$A$47,K639))),설정!$B$47,IF(AND(설정!$A$48&lt;&gt;"",ISNUMBER(SEARCH(설정!$A$48,K639))),설정!$B$48,IF(M639="","설계사","시공사"))))))))),"")</f>
        <v/>
      </c>
      <c r="V639">
        <f>SUBSTITUTE(SUBSTITUTE(SUBSTITUTE(SUBSTITUTE(G639,"(주)",""),"㈜",""),"주식회사","")," ","")</f>
        <v/>
      </c>
      <c r="W639">
        <f>IF(AND(T639,V639&lt;&gt;""),IF(COUNTIFS(V$2:V639,V639,T$2:T639,TRUE)=1,MAX(W$1:W638)+1,""),"")</f>
        <v/>
      </c>
      <c r="X639">
        <f>IFERROR(INDEX('1.산군_붙여넣기'!$A$1:$AZ$1001,ROW(),설정!$C$14)&amp;"","")</f>
        <v/>
      </c>
      <c r="Y639">
        <f>IFERROR(INDEX('1.산군_붙여넣기'!$A$1:$AZ$1001,ROW(),설정!$C$15)&amp;"","")</f>
        <v/>
      </c>
      <c r="Z639">
        <f>IF(T639,V639&amp;"|"&amp;U639,"")</f>
        <v/>
      </c>
    </row>
    <row r="640">
      <c r="A640">
        <f>ROW()</f>
        <v/>
      </c>
      <c r="B640">
        <f>IFERROR(INDEX('1.산군_붙여넣기'!$A$1:$AZ$1001,ROW(),설정!$C$4)&amp;"","")</f>
        <v/>
      </c>
      <c r="C640">
        <f>IFERROR(INDEX('1.산군_붙여넣기'!$A$1:$AZ$1001,ROW(),설정!$C$5)&amp;"","")</f>
        <v/>
      </c>
      <c r="D640" s="5">
        <f>IFERROR(VALUE(SUBSTITUTE(SUBSTITUTE(SUBSTITUTE(IFERROR(INDEX('1.산군_붙여넣기'!$A$1:$AZ$1001,ROW(),설정!$C$6)&amp;"",""),",",""),"㎡",""),"m2","")),"")</f>
        <v/>
      </c>
      <c r="E640">
        <f>IFERROR(INDEX('1.산군_붙여넣기'!$A$1:$AZ$1001,ROW(),설정!$C$7)&amp;"","")</f>
        <v/>
      </c>
      <c r="F640">
        <f>IFERROR(INDEX('1.산군_붙여넣기'!$A$1:$AZ$1001,ROW(),설정!$C$8)&amp;"","")</f>
        <v/>
      </c>
      <c r="G640">
        <f>IFERROR(INDEX('1.산군_붙여넣기'!$A$1:$AZ$1001,ROW(),설정!$C$9)&amp;"","")</f>
        <v/>
      </c>
      <c r="H640">
        <f>IFERROR(INDEX('1.산군_붙여넣기'!$A$1:$AZ$1001,ROW(),설정!$C$10)&amp;"","")</f>
        <v/>
      </c>
      <c r="I640">
        <f>IFERROR(INDEX('1.산군_붙여넣기'!$A$1:$AZ$1001,ROW(),설정!$C$11)&amp;"","")</f>
        <v/>
      </c>
      <c r="J640">
        <f>IFERROR(INDEX('1.산군_붙여넣기'!$A$1:$AZ$1001,ROW(),설정!$C$12)&amp;"","")</f>
        <v/>
      </c>
      <c r="K640">
        <f>IFERROR(INDEX('1.산군_붙여넣기'!$A$1:$AZ$1001,ROW(),설정!$C$13)&amp;"","")</f>
        <v/>
      </c>
      <c r="L640" s="6">
        <f>IF(X640="","",IF(AND(LEN(X640)=8,ISNUMBER(X640*1)),DATE(LEFT(X640,4),MID(X640,5,2),RIGHT(X640,2)),IFERROR(DATEVALUE(SUBSTITUTE(SUBSTITUTE(X640,".","-"),"/","-")),IFERROR(X640*1,""))))</f>
        <v/>
      </c>
      <c r="M640" s="6">
        <f>IF(Y640="","",IF(AND(LEN(Y640)=8,ISNUMBER(Y640*1)),DATE(LEFT(Y640,4),MID(Y640,5,2),RIGHT(Y640,2)),IFERROR(DATEVALUE(SUBSTITUTE(SUBSTITUTE(Y640,".","-"),"/","-")),IFERROR(Y640*1,""))))</f>
        <v/>
      </c>
      <c r="N640">
        <f>IFERROR(LEFT(B640,FIND(" ",B640)-1),B640)</f>
        <v/>
      </c>
      <c r="O640">
        <f>AND(B640&lt;&gt;"",B640&lt;&gt;설정!$B$4,C640&lt;&gt;설정!$B$5)</f>
        <v/>
      </c>
      <c r="P640">
        <f>IF(O640,B640&amp;"|"&amp;C640,"")</f>
        <v/>
      </c>
      <c r="Q640">
        <f>AND(O640,COUNTIF(P641:P$1002,P640)=0)</f>
        <v/>
      </c>
      <c r="R640">
        <f>OR(AND(설정!$A$28&lt;&gt;"",ISNUMBER(SEARCH(설정!$A$28,E640&amp;" "&amp;C640))),AND(설정!$A$29&lt;&gt;"",ISNUMBER(SEARCH(설정!$A$29,E640&amp;" "&amp;C640))),AND(설정!$A$30&lt;&gt;"",ISNUMBER(SEARCH(설정!$A$30,E640&amp;" "&amp;C640))),AND(설정!$A$31&lt;&gt;"",ISNUMBER(SEARCH(설정!$A$31,E640&amp;" "&amp;C640))),AND(설정!$A$32&lt;&gt;"",ISNUMBER(SEARCH(설정!$A$32,E640&amp;" "&amp;C640))),AND(설정!$A$33&lt;&gt;"",ISNUMBER(SEARCH(설정!$A$33,E640&amp;" "&amp;C640))),AND(설정!$A$34&lt;&gt;"",ISNUMBER(SEARCH(설정!$A$34,E640&amp;" "&amp;C640))),AND(설정!$A$35&lt;&gt;"",ISNUMBER(SEARCH(설정!$A$35,E640&amp;" "&amp;C640))),AND(설정!$A$36&lt;&gt;"",ISNUMBER(SEARCH(설정!$A$36,E640&amp;" "&amp;C640))),AND(설정!$A$37&lt;&gt;"",ISNUMBER(SEARCH(설정!$A$37,E640&amp;" "&amp;C640))))</f>
        <v/>
      </c>
      <c r="S640">
        <f>OR(D640="",D640&gt;=설정!$B$19)</f>
        <v/>
      </c>
      <c r="T640">
        <f>AND(Q640,R640,S640)</f>
        <v/>
      </c>
      <c r="U640">
        <f>IF(T640,IF(AND(설정!$A$41&lt;&gt;"",ISNUMBER(SEARCH(설정!$A$41,K640))),설정!$B$41,IF(AND(설정!$A$42&lt;&gt;"",ISNUMBER(SEARCH(설정!$A$42,K640))),설정!$B$42,IF(AND(설정!$A$43&lt;&gt;"",ISNUMBER(SEARCH(설정!$A$43,K640))),설정!$B$43,IF(AND(설정!$A$44&lt;&gt;"",ISNUMBER(SEARCH(설정!$A$44,K640))),설정!$B$44,IF(AND(설정!$A$45&lt;&gt;"",ISNUMBER(SEARCH(설정!$A$45,K640))),설정!$B$45,IF(AND(설정!$A$46&lt;&gt;"",ISNUMBER(SEARCH(설정!$A$46,K640))),설정!$B$46,IF(AND(설정!$A$47&lt;&gt;"",ISNUMBER(SEARCH(설정!$A$47,K640))),설정!$B$47,IF(AND(설정!$A$48&lt;&gt;"",ISNUMBER(SEARCH(설정!$A$48,K640))),설정!$B$48,IF(M640="","설계사","시공사"))))))))),"")</f>
        <v/>
      </c>
      <c r="V640">
        <f>SUBSTITUTE(SUBSTITUTE(SUBSTITUTE(SUBSTITUTE(G640,"(주)",""),"㈜",""),"주식회사","")," ","")</f>
        <v/>
      </c>
      <c r="W640">
        <f>IF(AND(T640,V640&lt;&gt;""),IF(COUNTIFS(V$2:V640,V640,T$2:T640,TRUE)=1,MAX(W$1:W639)+1,""),"")</f>
        <v/>
      </c>
      <c r="X640">
        <f>IFERROR(INDEX('1.산군_붙여넣기'!$A$1:$AZ$1001,ROW(),설정!$C$14)&amp;"","")</f>
        <v/>
      </c>
      <c r="Y640">
        <f>IFERROR(INDEX('1.산군_붙여넣기'!$A$1:$AZ$1001,ROW(),설정!$C$15)&amp;"","")</f>
        <v/>
      </c>
      <c r="Z640">
        <f>IF(T640,V640&amp;"|"&amp;U640,"")</f>
        <v/>
      </c>
    </row>
    <row r="641">
      <c r="A641">
        <f>ROW()</f>
        <v/>
      </c>
      <c r="B641">
        <f>IFERROR(INDEX('1.산군_붙여넣기'!$A$1:$AZ$1001,ROW(),설정!$C$4)&amp;"","")</f>
        <v/>
      </c>
      <c r="C641">
        <f>IFERROR(INDEX('1.산군_붙여넣기'!$A$1:$AZ$1001,ROW(),설정!$C$5)&amp;"","")</f>
        <v/>
      </c>
      <c r="D641" s="5">
        <f>IFERROR(VALUE(SUBSTITUTE(SUBSTITUTE(SUBSTITUTE(IFERROR(INDEX('1.산군_붙여넣기'!$A$1:$AZ$1001,ROW(),설정!$C$6)&amp;"",""),",",""),"㎡",""),"m2","")),"")</f>
        <v/>
      </c>
      <c r="E641">
        <f>IFERROR(INDEX('1.산군_붙여넣기'!$A$1:$AZ$1001,ROW(),설정!$C$7)&amp;"","")</f>
        <v/>
      </c>
      <c r="F641">
        <f>IFERROR(INDEX('1.산군_붙여넣기'!$A$1:$AZ$1001,ROW(),설정!$C$8)&amp;"","")</f>
        <v/>
      </c>
      <c r="G641">
        <f>IFERROR(INDEX('1.산군_붙여넣기'!$A$1:$AZ$1001,ROW(),설정!$C$9)&amp;"","")</f>
        <v/>
      </c>
      <c r="H641">
        <f>IFERROR(INDEX('1.산군_붙여넣기'!$A$1:$AZ$1001,ROW(),설정!$C$10)&amp;"","")</f>
        <v/>
      </c>
      <c r="I641">
        <f>IFERROR(INDEX('1.산군_붙여넣기'!$A$1:$AZ$1001,ROW(),설정!$C$11)&amp;"","")</f>
        <v/>
      </c>
      <c r="J641">
        <f>IFERROR(INDEX('1.산군_붙여넣기'!$A$1:$AZ$1001,ROW(),설정!$C$12)&amp;"","")</f>
        <v/>
      </c>
      <c r="K641">
        <f>IFERROR(INDEX('1.산군_붙여넣기'!$A$1:$AZ$1001,ROW(),설정!$C$13)&amp;"","")</f>
        <v/>
      </c>
      <c r="L641" s="6">
        <f>IF(X641="","",IF(AND(LEN(X641)=8,ISNUMBER(X641*1)),DATE(LEFT(X641,4),MID(X641,5,2),RIGHT(X641,2)),IFERROR(DATEVALUE(SUBSTITUTE(SUBSTITUTE(X641,".","-"),"/","-")),IFERROR(X641*1,""))))</f>
        <v/>
      </c>
      <c r="M641" s="6">
        <f>IF(Y641="","",IF(AND(LEN(Y641)=8,ISNUMBER(Y641*1)),DATE(LEFT(Y641,4),MID(Y641,5,2),RIGHT(Y641,2)),IFERROR(DATEVALUE(SUBSTITUTE(SUBSTITUTE(Y641,".","-"),"/","-")),IFERROR(Y641*1,""))))</f>
        <v/>
      </c>
      <c r="N641">
        <f>IFERROR(LEFT(B641,FIND(" ",B641)-1),B641)</f>
        <v/>
      </c>
      <c r="O641">
        <f>AND(B641&lt;&gt;"",B641&lt;&gt;설정!$B$4,C641&lt;&gt;설정!$B$5)</f>
        <v/>
      </c>
      <c r="P641">
        <f>IF(O641,B641&amp;"|"&amp;C641,"")</f>
        <v/>
      </c>
      <c r="Q641">
        <f>AND(O641,COUNTIF(P642:P$1002,P641)=0)</f>
        <v/>
      </c>
      <c r="R641">
        <f>OR(AND(설정!$A$28&lt;&gt;"",ISNUMBER(SEARCH(설정!$A$28,E641&amp;" "&amp;C641))),AND(설정!$A$29&lt;&gt;"",ISNUMBER(SEARCH(설정!$A$29,E641&amp;" "&amp;C641))),AND(설정!$A$30&lt;&gt;"",ISNUMBER(SEARCH(설정!$A$30,E641&amp;" "&amp;C641))),AND(설정!$A$31&lt;&gt;"",ISNUMBER(SEARCH(설정!$A$31,E641&amp;" "&amp;C641))),AND(설정!$A$32&lt;&gt;"",ISNUMBER(SEARCH(설정!$A$32,E641&amp;" "&amp;C641))),AND(설정!$A$33&lt;&gt;"",ISNUMBER(SEARCH(설정!$A$33,E641&amp;" "&amp;C641))),AND(설정!$A$34&lt;&gt;"",ISNUMBER(SEARCH(설정!$A$34,E641&amp;" "&amp;C641))),AND(설정!$A$35&lt;&gt;"",ISNUMBER(SEARCH(설정!$A$35,E641&amp;" "&amp;C641))),AND(설정!$A$36&lt;&gt;"",ISNUMBER(SEARCH(설정!$A$36,E641&amp;" "&amp;C641))),AND(설정!$A$37&lt;&gt;"",ISNUMBER(SEARCH(설정!$A$37,E641&amp;" "&amp;C641))))</f>
        <v/>
      </c>
      <c r="S641">
        <f>OR(D641="",D641&gt;=설정!$B$19)</f>
        <v/>
      </c>
      <c r="T641">
        <f>AND(Q641,R641,S641)</f>
        <v/>
      </c>
      <c r="U641">
        <f>IF(T641,IF(AND(설정!$A$41&lt;&gt;"",ISNUMBER(SEARCH(설정!$A$41,K641))),설정!$B$41,IF(AND(설정!$A$42&lt;&gt;"",ISNUMBER(SEARCH(설정!$A$42,K641))),설정!$B$42,IF(AND(설정!$A$43&lt;&gt;"",ISNUMBER(SEARCH(설정!$A$43,K641))),설정!$B$43,IF(AND(설정!$A$44&lt;&gt;"",ISNUMBER(SEARCH(설정!$A$44,K641))),설정!$B$44,IF(AND(설정!$A$45&lt;&gt;"",ISNUMBER(SEARCH(설정!$A$45,K641))),설정!$B$45,IF(AND(설정!$A$46&lt;&gt;"",ISNUMBER(SEARCH(설정!$A$46,K641))),설정!$B$46,IF(AND(설정!$A$47&lt;&gt;"",ISNUMBER(SEARCH(설정!$A$47,K641))),설정!$B$47,IF(AND(설정!$A$48&lt;&gt;"",ISNUMBER(SEARCH(설정!$A$48,K641))),설정!$B$48,IF(M641="","설계사","시공사"))))))))),"")</f>
        <v/>
      </c>
      <c r="V641">
        <f>SUBSTITUTE(SUBSTITUTE(SUBSTITUTE(SUBSTITUTE(G641,"(주)",""),"㈜",""),"주식회사","")," ","")</f>
        <v/>
      </c>
      <c r="W641">
        <f>IF(AND(T641,V641&lt;&gt;""),IF(COUNTIFS(V$2:V641,V641,T$2:T641,TRUE)=1,MAX(W$1:W640)+1,""),"")</f>
        <v/>
      </c>
      <c r="X641">
        <f>IFERROR(INDEX('1.산군_붙여넣기'!$A$1:$AZ$1001,ROW(),설정!$C$14)&amp;"","")</f>
        <v/>
      </c>
      <c r="Y641">
        <f>IFERROR(INDEX('1.산군_붙여넣기'!$A$1:$AZ$1001,ROW(),설정!$C$15)&amp;"","")</f>
        <v/>
      </c>
      <c r="Z641">
        <f>IF(T641,V641&amp;"|"&amp;U641,"")</f>
        <v/>
      </c>
    </row>
    <row r="642">
      <c r="A642">
        <f>ROW()</f>
        <v/>
      </c>
      <c r="B642">
        <f>IFERROR(INDEX('1.산군_붙여넣기'!$A$1:$AZ$1001,ROW(),설정!$C$4)&amp;"","")</f>
        <v/>
      </c>
      <c r="C642">
        <f>IFERROR(INDEX('1.산군_붙여넣기'!$A$1:$AZ$1001,ROW(),설정!$C$5)&amp;"","")</f>
        <v/>
      </c>
      <c r="D642" s="5">
        <f>IFERROR(VALUE(SUBSTITUTE(SUBSTITUTE(SUBSTITUTE(IFERROR(INDEX('1.산군_붙여넣기'!$A$1:$AZ$1001,ROW(),설정!$C$6)&amp;"",""),",",""),"㎡",""),"m2","")),"")</f>
        <v/>
      </c>
      <c r="E642">
        <f>IFERROR(INDEX('1.산군_붙여넣기'!$A$1:$AZ$1001,ROW(),설정!$C$7)&amp;"","")</f>
        <v/>
      </c>
      <c r="F642">
        <f>IFERROR(INDEX('1.산군_붙여넣기'!$A$1:$AZ$1001,ROW(),설정!$C$8)&amp;"","")</f>
        <v/>
      </c>
      <c r="G642">
        <f>IFERROR(INDEX('1.산군_붙여넣기'!$A$1:$AZ$1001,ROW(),설정!$C$9)&amp;"","")</f>
        <v/>
      </c>
      <c r="H642">
        <f>IFERROR(INDEX('1.산군_붙여넣기'!$A$1:$AZ$1001,ROW(),설정!$C$10)&amp;"","")</f>
        <v/>
      </c>
      <c r="I642">
        <f>IFERROR(INDEX('1.산군_붙여넣기'!$A$1:$AZ$1001,ROW(),설정!$C$11)&amp;"","")</f>
        <v/>
      </c>
      <c r="J642">
        <f>IFERROR(INDEX('1.산군_붙여넣기'!$A$1:$AZ$1001,ROW(),설정!$C$12)&amp;"","")</f>
        <v/>
      </c>
      <c r="K642">
        <f>IFERROR(INDEX('1.산군_붙여넣기'!$A$1:$AZ$1001,ROW(),설정!$C$13)&amp;"","")</f>
        <v/>
      </c>
      <c r="L642" s="6">
        <f>IF(X642="","",IF(AND(LEN(X642)=8,ISNUMBER(X642*1)),DATE(LEFT(X642,4),MID(X642,5,2),RIGHT(X642,2)),IFERROR(DATEVALUE(SUBSTITUTE(SUBSTITUTE(X642,".","-"),"/","-")),IFERROR(X642*1,""))))</f>
        <v/>
      </c>
      <c r="M642" s="6">
        <f>IF(Y642="","",IF(AND(LEN(Y642)=8,ISNUMBER(Y642*1)),DATE(LEFT(Y642,4),MID(Y642,5,2),RIGHT(Y642,2)),IFERROR(DATEVALUE(SUBSTITUTE(SUBSTITUTE(Y642,".","-"),"/","-")),IFERROR(Y642*1,""))))</f>
        <v/>
      </c>
      <c r="N642">
        <f>IFERROR(LEFT(B642,FIND(" ",B642)-1),B642)</f>
        <v/>
      </c>
      <c r="O642">
        <f>AND(B642&lt;&gt;"",B642&lt;&gt;설정!$B$4,C642&lt;&gt;설정!$B$5)</f>
        <v/>
      </c>
      <c r="P642">
        <f>IF(O642,B642&amp;"|"&amp;C642,"")</f>
        <v/>
      </c>
      <c r="Q642">
        <f>AND(O642,COUNTIF(P643:P$1002,P642)=0)</f>
        <v/>
      </c>
      <c r="R642">
        <f>OR(AND(설정!$A$28&lt;&gt;"",ISNUMBER(SEARCH(설정!$A$28,E642&amp;" "&amp;C642))),AND(설정!$A$29&lt;&gt;"",ISNUMBER(SEARCH(설정!$A$29,E642&amp;" "&amp;C642))),AND(설정!$A$30&lt;&gt;"",ISNUMBER(SEARCH(설정!$A$30,E642&amp;" "&amp;C642))),AND(설정!$A$31&lt;&gt;"",ISNUMBER(SEARCH(설정!$A$31,E642&amp;" "&amp;C642))),AND(설정!$A$32&lt;&gt;"",ISNUMBER(SEARCH(설정!$A$32,E642&amp;" "&amp;C642))),AND(설정!$A$33&lt;&gt;"",ISNUMBER(SEARCH(설정!$A$33,E642&amp;" "&amp;C642))),AND(설정!$A$34&lt;&gt;"",ISNUMBER(SEARCH(설정!$A$34,E642&amp;" "&amp;C642))),AND(설정!$A$35&lt;&gt;"",ISNUMBER(SEARCH(설정!$A$35,E642&amp;" "&amp;C642))),AND(설정!$A$36&lt;&gt;"",ISNUMBER(SEARCH(설정!$A$36,E642&amp;" "&amp;C642))),AND(설정!$A$37&lt;&gt;"",ISNUMBER(SEARCH(설정!$A$37,E642&amp;" "&amp;C642))))</f>
        <v/>
      </c>
      <c r="S642">
        <f>OR(D642="",D642&gt;=설정!$B$19)</f>
        <v/>
      </c>
      <c r="T642">
        <f>AND(Q642,R642,S642)</f>
        <v/>
      </c>
      <c r="U642">
        <f>IF(T642,IF(AND(설정!$A$41&lt;&gt;"",ISNUMBER(SEARCH(설정!$A$41,K642))),설정!$B$41,IF(AND(설정!$A$42&lt;&gt;"",ISNUMBER(SEARCH(설정!$A$42,K642))),설정!$B$42,IF(AND(설정!$A$43&lt;&gt;"",ISNUMBER(SEARCH(설정!$A$43,K642))),설정!$B$43,IF(AND(설정!$A$44&lt;&gt;"",ISNUMBER(SEARCH(설정!$A$44,K642))),설정!$B$44,IF(AND(설정!$A$45&lt;&gt;"",ISNUMBER(SEARCH(설정!$A$45,K642))),설정!$B$45,IF(AND(설정!$A$46&lt;&gt;"",ISNUMBER(SEARCH(설정!$A$46,K642))),설정!$B$46,IF(AND(설정!$A$47&lt;&gt;"",ISNUMBER(SEARCH(설정!$A$47,K642))),설정!$B$47,IF(AND(설정!$A$48&lt;&gt;"",ISNUMBER(SEARCH(설정!$A$48,K642))),설정!$B$48,IF(M642="","설계사","시공사"))))))))),"")</f>
        <v/>
      </c>
      <c r="V642">
        <f>SUBSTITUTE(SUBSTITUTE(SUBSTITUTE(SUBSTITUTE(G642,"(주)",""),"㈜",""),"주식회사","")," ","")</f>
        <v/>
      </c>
      <c r="W642">
        <f>IF(AND(T642,V642&lt;&gt;""),IF(COUNTIFS(V$2:V642,V642,T$2:T642,TRUE)=1,MAX(W$1:W641)+1,""),"")</f>
        <v/>
      </c>
      <c r="X642">
        <f>IFERROR(INDEX('1.산군_붙여넣기'!$A$1:$AZ$1001,ROW(),설정!$C$14)&amp;"","")</f>
        <v/>
      </c>
      <c r="Y642">
        <f>IFERROR(INDEX('1.산군_붙여넣기'!$A$1:$AZ$1001,ROW(),설정!$C$15)&amp;"","")</f>
        <v/>
      </c>
      <c r="Z642">
        <f>IF(T642,V642&amp;"|"&amp;U642,"")</f>
        <v/>
      </c>
    </row>
    <row r="643">
      <c r="A643">
        <f>ROW()</f>
        <v/>
      </c>
      <c r="B643">
        <f>IFERROR(INDEX('1.산군_붙여넣기'!$A$1:$AZ$1001,ROW(),설정!$C$4)&amp;"","")</f>
        <v/>
      </c>
      <c r="C643">
        <f>IFERROR(INDEX('1.산군_붙여넣기'!$A$1:$AZ$1001,ROW(),설정!$C$5)&amp;"","")</f>
        <v/>
      </c>
      <c r="D643" s="5">
        <f>IFERROR(VALUE(SUBSTITUTE(SUBSTITUTE(SUBSTITUTE(IFERROR(INDEX('1.산군_붙여넣기'!$A$1:$AZ$1001,ROW(),설정!$C$6)&amp;"",""),",",""),"㎡",""),"m2","")),"")</f>
        <v/>
      </c>
      <c r="E643">
        <f>IFERROR(INDEX('1.산군_붙여넣기'!$A$1:$AZ$1001,ROW(),설정!$C$7)&amp;"","")</f>
        <v/>
      </c>
      <c r="F643">
        <f>IFERROR(INDEX('1.산군_붙여넣기'!$A$1:$AZ$1001,ROW(),설정!$C$8)&amp;"","")</f>
        <v/>
      </c>
      <c r="G643">
        <f>IFERROR(INDEX('1.산군_붙여넣기'!$A$1:$AZ$1001,ROW(),설정!$C$9)&amp;"","")</f>
        <v/>
      </c>
      <c r="H643">
        <f>IFERROR(INDEX('1.산군_붙여넣기'!$A$1:$AZ$1001,ROW(),설정!$C$10)&amp;"","")</f>
        <v/>
      </c>
      <c r="I643">
        <f>IFERROR(INDEX('1.산군_붙여넣기'!$A$1:$AZ$1001,ROW(),설정!$C$11)&amp;"","")</f>
        <v/>
      </c>
      <c r="J643">
        <f>IFERROR(INDEX('1.산군_붙여넣기'!$A$1:$AZ$1001,ROW(),설정!$C$12)&amp;"","")</f>
        <v/>
      </c>
      <c r="K643">
        <f>IFERROR(INDEX('1.산군_붙여넣기'!$A$1:$AZ$1001,ROW(),설정!$C$13)&amp;"","")</f>
        <v/>
      </c>
      <c r="L643" s="6">
        <f>IF(X643="","",IF(AND(LEN(X643)=8,ISNUMBER(X643*1)),DATE(LEFT(X643,4),MID(X643,5,2),RIGHT(X643,2)),IFERROR(DATEVALUE(SUBSTITUTE(SUBSTITUTE(X643,".","-"),"/","-")),IFERROR(X643*1,""))))</f>
        <v/>
      </c>
      <c r="M643" s="6">
        <f>IF(Y643="","",IF(AND(LEN(Y643)=8,ISNUMBER(Y643*1)),DATE(LEFT(Y643,4),MID(Y643,5,2),RIGHT(Y643,2)),IFERROR(DATEVALUE(SUBSTITUTE(SUBSTITUTE(Y643,".","-"),"/","-")),IFERROR(Y643*1,""))))</f>
        <v/>
      </c>
      <c r="N643">
        <f>IFERROR(LEFT(B643,FIND(" ",B643)-1),B643)</f>
        <v/>
      </c>
      <c r="O643">
        <f>AND(B643&lt;&gt;"",B643&lt;&gt;설정!$B$4,C643&lt;&gt;설정!$B$5)</f>
        <v/>
      </c>
      <c r="P643">
        <f>IF(O643,B643&amp;"|"&amp;C643,"")</f>
        <v/>
      </c>
      <c r="Q643">
        <f>AND(O643,COUNTIF(P644:P$1002,P643)=0)</f>
        <v/>
      </c>
      <c r="R643">
        <f>OR(AND(설정!$A$28&lt;&gt;"",ISNUMBER(SEARCH(설정!$A$28,E643&amp;" "&amp;C643))),AND(설정!$A$29&lt;&gt;"",ISNUMBER(SEARCH(설정!$A$29,E643&amp;" "&amp;C643))),AND(설정!$A$30&lt;&gt;"",ISNUMBER(SEARCH(설정!$A$30,E643&amp;" "&amp;C643))),AND(설정!$A$31&lt;&gt;"",ISNUMBER(SEARCH(설정!$A$31,E643&amp;" "&amp;C643))),AND(설정!$A$32&lt;&gt;"",ISNUMBER(SEARCH(설정!$A$32,E643&amp;" "&amp;C643))),AND(설정!$A$33&lt;&gt;"",ISNUMBER(SEARCH(설정!$A$33,E643&amp;" "&amp;C643))),AND(설정!$A$34&lt;&gt;"",ISNUMBER(SEARCH(설정!$A$34,E643&amp;" "&amp;C643))),AND(설정!$A$35&lt;&gt;"",ISNUMBER(SEARCH(설정!$A$35,E643&amp;" "&amp;C643))),AND(설정!$A$36&lt;&gt;"",ISNUMBER(SEARCH(설정!$A$36,E643&amp;" "&amp;C643))),AND(설정!$A$37&lt;&gt;"",ISNUMBER(SEARCH(설정!$A$37,E643&amp;" "&amp;C643))))</f>
        <v/>
      </c>
      <c r="S643">
        <f>OR(D643="",D643&gt;=설정!$B$19)</f>
        <v/>
      </c>
      <c r="T643">
        <f>AND(Q643,R643,S643)</f>
        <v/>
      </c>
      <c r="U643">
        <f>IF(T643,IF(AND(설정!$A$41&lt;&gt;"",ISNUMBER(SEARCH(설정!$A$41,K643))),설정!$B$41,IF(AND(설정!$A$42&lt;&gt;"",ISNUMBER(SEARCH(설정!$A$42,K643))),설정!$B$42,IF(AND(설정!$A$43&lt;&gt;"",ISNUMBER(SEARCH(설정!$A$43,K643))),설정!$B$43,IF(AND(설정!$A$44&lt;&gt;"",ISNUMBER(SEARCH(설정!$A$44,K643))),설정!$B$44,IF(AND(설정!$A$45&lt;&gt;"",ISNUMBER(SEARCH(설정!$A$45,K643))),설정!$B$45,IF(AND(설정!$A$46&lt;&gt;"",ISNUMBER(SEARCH(설정!$A$46,K643))),설정!$B$46,IF(AND(설정!$A$47&lt;&gt;"",ISNUMBER(SEARCH(설정!$A$47,K643))),설정!$B$47,IF(AND(설정!$A$48&lt;&gt;"",ISNUMBER(SEARCH(설정!$A$48,K643))),설정!$B$48,IF(M643="","설계사","시공사"))))))))),"")</f>
        <v/>
      </c>
      <c r="V643">
        <f>SUBSTITUTE(SUBSTITUTE(SUBSTITUTE(SUBSTITUTE(G643,"(주)",""),"㈜",""),"주식회사","")," ","")</f>
        <v/>
      </c>
      <c r="W643">
        <f>IF(AND(T643,V643&lt;&gt;""),IF(COUNTIFS(V$2:V643,V643,T$2:T643,TRUE)=1,MAX(W$1:W642)+1,""),"")</f>
        <v/>
      </c>
      <c r="X643">
        <f>IFERROR(INDEX('1.산군_붙여넣기'!$A$1:$AZ$1001,ROW(),설정!$C$14)&amp;"","")</f>
        <v/>
      </c>
      <c r="Y643">
        <f>IFERROR(INDEX('1.산군_붙여넣기'!$A$1:$AZ$1001,ROW(),설정!$C$15)&amp;"","")</f>
        <v/>
      </c>
      <c r="Z643">
        <f>IF(T643,V643&amp;"|"&amp;U643,"")</f>
        <v/>
      </c>
    </row>
    <row r="644">
      <c r="A644">
        <f>ROW()</f>
        <v/>
      </c>
      <c r="B644">
        <f>IFERROR(INDEX('1.산군_붙여넣기'!$A$1:$AZ$1001,ROW(),설정!$C$4)&amp;"","")</f>
        <v/>
      </c>
      <c r="C644">
        <f>IFERROR(INDEX('1.산군_붙여넣기'!$A$1:$AZ$1001,ROW(),설정!$C$5)&amp;"","")</f>
        <v/>
      </c>
      <c r="D644" s="5">
        <f>IFERROR(VALUE(SUBSTITUTE(SUBSTITUTE(SUBSTITUTE(IFERROR(INDEX('1.산군_붙여넣기'!$A$1:$AZ$1001,ROW(),설정!$C$6)&amp;"",""),",",""),"㎡",""),"m2","")),"")</f>
        <v/>
      </c>
      <c r="E644">
        <f>IFERROR(INDEX('1.산군_붙여넣기'!$A$1:$AZ$1001,ROW(),설정!$C$7)&amp;"","")</f>
        <v/>
      </c>
      <c r="F644">
        <f>IFERROR(INDEX('1.산군_붙여넣기'!$A$1:$AZ$1001,ROW(),설정!$C$8)&amp;"","")</f>
        <v/>
      </c>
      <c r="G644">
        <f>IFERROR(INDEX('1.산군_붙여넣기'!$A$1:$AZ$1001,ROW(),설정!$C$9)&amp;"","")</f>
        <v/>
      </c>
      <c r="H644">
        <f>IFERROR(INDEX('1.산군_붙여넣기'!$A$1:$AZ$1001,ROW(),설정!$C$10)&amp;"","")</f>
        <v/>
      </c>
      <c r="I644">
        <f>IFERROR(INDEX('1.산군_붙여넣기'!$A$1:$AZ$1001,ROW(),설정!$C$11)&amp;"","")</f>
        <v/>
      </c>
      <c r="J644">
        <f>IFERROR(INDEX('1.산군_붙여넣기'!$A$1:$AZ$1001,ROW(),설정!$C$12)&amp;"","")</f>
        <v/>
      </c>
      <c r="K644">
        <f>IFERROR(INDEX('1.산군_붙여넣기'!$A$1:$AZ$1001,ROW(),설정!$C$13)&amp;"","")</f>
        <v/>
      </c>
      <c r="L644" s="6">
        <f>IF(X644="","",IF(AND(LEN(X644)=8,ISNUMBER(X644*1)),DATE(LEFT(X644,4),MID(X644,5,2),RIGHT(X644,2)),IFERROR(DATEVALUE(SUBSTITUTE(SUBSTITUTE(X644,".","-"),"/","-")),IFERROR(X644*1,""))))</f>
        <v/>
      </c>
      <c r="M644" s="6">
        <f>IF(Y644="","",IF(AND(LEN(Y644)=8,ISNUMBER(Y644*1)),DATE(LEFT(Y644,4),MID(Y644,5,2),RIGHT(Y644,2)),IFERROR(DATEVALUE(SUBSTITUTE(SUBSTITUTE(Y644,".","-"),"/","-")),IFERROR(Y644*1,""))))</f>
        <v/>
      </c>
      <c r="N644">
        <f>IFERROR(LEFT(B644,FIND(" ",B644)-1),B644)</f>
        <v/>
      </c>
      <c r="O644">
        <f>AND(B644&lt;&gt;"",B644&lt;&gt;설정!$B$4,C644&lt;&gt;설정!$B$5)</f>
        <v/>
      </c>
      <c r="P644">
        <f>IF(O644,B644&amp;"|"&amp;C644,"")</f>
        <v/>
      </c>
      <c r="Q644">
        <f>AND(O644,COUNTIF(P645:P$1002,P644)=0)</f>
        <v/>
      </c>
      <c r="R644">
        <f>OR(AND(설정!$A$28&lt;&gt;"",ISNUMBER(SEARCH(설정!$A$28,E644&amp;" "&amp;C644))),AND(설정!$A$29&lt;&gt;"",ISNUMBER(SEARCH(설정!$A$29,E644&amp;" "&amp;C644))),AND(설정!$A$30&lt;&gt;"",ISNUMBER(SEARCH(설정!$A$30,E644&amp;" "&amp;C644))),AND(설정!$A$31&lt;&gt;"",ISNUMBER(SEARCH(설정!$A$31,E644&amp;" "&amp;C644))),AND(설정!$A$32&lt;&gt;"",ISNUMBER(SEARCH(설정!$A$32,E644&amp;" "&amp;C644))),AND(설정!$A$33&lt;&gt;"",ISNUMBER(SEARCH(설정!$A$33,E644&amp;" "&amp;C644))),AND(설정!$A$34&lt;&gt;"",ISNUMBER(SEARCH(설정!$A$34,E644&amp;" "&amp;C644))),AND(설정!$A$35&lt;&gt;"",ISNUMBER(SEARCH(설정!$A$35,E644&amp;" "&amp;C644))),AND(설정!$A$36&lt;&gt;"",ISNUMBER(SEARCH(설정!$A$36,E644&amp;" "&amp;C644))),AND(설정!$A$37&lt;&gt;"",ISNUMBER(SEARCH(설정!$A$37,E644&amp;" "&amp;C644))))</f>
        <v/>
      </c>
      <c r="S644">
        <f>OR(D644="",D644&gt;=설정!$B$19)</f>
        <v/>
      </c>
      <c r="T644">
        <f>AND(Q644,R644,S644)</f>
        <v/>
      </c>
      <c r="U644">
        <f>IF(T644,IF(AND(설정!$A$41&lt;&gt;"",ISNUMBER(SEARCH(설정!$A$41,K644))),설정!$B$41,IF(AND(설정!$A$42&lt;&gt;"",ISNUMBER(SEARCH(설정!$A$42,K644))),설정!$B$42,IF(AND(설정!$A$43&lt;&gt;"",ISNUMBER(SEARCH(설정!$A$43,K644))),설정!$B$43,IF(AND(설정!$A$44&lt;&gt;"",ISNUMBER(SEARCH(설정!$A$44,K644))),설정!$B$44,IF(AND(설정!$A$45&lt;&gt;"",ISNUMBER(SEARCH(설정!$A$45,K644))),설정!$B$45,IF(AND(설정!$A$46&lt;&gt;"",ISNUMBER(SEARCH(설정!$A$46,K644))),설정!$B$46,IF(AND(설정!$A$47&lt;&gt;"",ISNUMBER(SEARCH(설정!$A$47,K644))),설정!$B$47,IF(AND(설정!$A$48&lt;&gt;"",ISNUMBER(SEARCH(설정!$A$48,K644))),설정!$B$48,IF(M644="","설계사","시공사"))))))))),"")</f>
        <v/>
      </c>
      <c r="V644">
        <f>SUBSTITUTE(SUBSTITUTE(SUBSTITUTE(SUBSTITUTE(G644,"(주)",""),"㈜",""),"주식회사","")," ","")</f>
        <v/>
      </c>
      <c r="W644">
        <f>IF(AND(T644,V644&lt;&gt;""),IF(COUNTIFS(V$2:V644,V644,T$2:T644,TRUE)=1,MAX(W$1:W643)+1,""),"")</f>
        <v/>
      </c>
      <c r="X644">
        <f>IFERROR(INDEX('1.산군_붙여넣기'!$A$1:$AZ$1001,ROW(),설정!$C$14)&amp;"","")</f>
        <v/>
      </c>
      <c r="Y644">
        <f>IFERROR(INDEX('1.산군_붙여넣기'!$A$1:$AZ$1001,ROW(),설정!$C$15)&amp;"","")</f>
        <v/>
      </c>
      <c r="Z644">
        <f>IF(T644,V644&amp;"|"&amp;U644,"")</f>
        <v/>
      </c>
    </row>
    <row r="645">
      <c r="A645">
        <f>ROW()</f>
        <v/>
      </c>
      <c r="B645">
        <f>IFERROR(INDEX('1.산군_붙여넣기'!$A$1:$AZ$1001,ROW(),설정!$C$4)&amp;"","")</f>
        <v/>
      </c>
      <c r="C645">
        <f>IFERROR(INDEX('1.산군_붙여넣기'!$A$1:$AZ$1001,ROW(),설정!$C$5)&amp;"","")</f>
        <v/>
      </c>
      <c r="D645" s="5">
        <f>IFERROR(VALUE(SUBSTITUTE(SUBSTITUTE(SUBSTITUTE(IFERROR(INDEX('1.산군_붙여넣기'!$A$1:$AZ$1001,ROW(),설정!$C$6)&amp;"",""),",",""),"㎡",""),"m2","")),"")</f>
        <v/>
      </c>
      <c r="E645">
        <f>IFERROR(INDEX('1.산군_붙여넣기'!$A$1:$AZ$1001,ROW(),설정!$C$7)&amp;"","")</f>
        <v/>
      </c>
      <c r="F645">
        <f>IFERROR(INDEX('1.산군_붙여넣기'!$A$1:$AZ$1001,ROW(),설정!$C$8)&amp;"","")</f>
        <v/>
      </c>
      <c r="G645">
        <f>IFERROR(INDEX('1.산군_붙여넣기'!$A$1:$AZ$1001,ROW(),설정!$C$9)&amp;"","")</f>
        <v/>
      </c>
      <c r="H645">
        <f>IFERROR(INDEX('1.산군_붙여넣기'!$A$1:$AZ$1001,ROW(),설정!$C$10)&amp;"","")</f>
        <v/>
      </c>
      <c r="I645">
        <f>IFERROR(INDEX('1.산군_붙여넣기'!$A$1:$AZ$1001,ROW(),설정!$C$11)&amp;"","")</f>
        <v/>
      </c>
      <c r="J645">
        <f>IFERROR(INDEX('1.산군_붙여넣기'!$A$1:$AZ$1001,ROW(),설정!$C$12)&amp;"","")</f>
        <v/>
      </c>
      <c r="K645">
        <f>IFERROR(INDEX('1.산군_붙여넣기'!$A$1:$AZ$1001,ROW(),설정!$C$13)&amp;"","")</f>
        <v/>
      </c>
      <c r="L645" s="6">
        <f>IF(X645="","",IF(AND(LEN(X645)=8,ISNUMBER(X645*1)),DATE(LEFT(X645,4),MID(X645,5,2),RIGHT(X645,2)),IFERROR(DATEVALUE(SUBSTITUTE(SUBSTITUTE(X645,".","-"),"/","-")),IFERROR(X645*1,""))))</f>
        <v/>
      </c>
      <c r="M645" s="6">
        <f>IF(Y645="","",IF(AND(LEN(Y645)=8,ISNUMBER(Y645*1)),DATE(LEFT(Y645,4),MID(Y645,5,2),RIGHT(Y645,2)),IFERROR(DATEVALUE(SUBSTITUTE(SUBSTITUTE(Y645,".","-"),"/","-")),IFERROR(Y645*1,""))))</f>
        <v/>
      </c>
      <c r="N645">
        <f>IFERROR(LEFT(B645,FIND(" ",B645)-1),B645)</f>
        <v/>
      </c>
      <c r="O645">
        <f>AND(B645&lt;&gt;"",B645&lt;&gt;설정!$B$4,C645&lt;&gt;설정!$B$5)</f>
        <v/>
      </c>
      <c r="P645">
        <f>IF(O645,B645&amp;"|"&amp;C645,"")</f>
        <v/>
      </c>
      <c r="Q645">
        <f>AND(O645,COUNTIF(P646:P$1002,P645)=0)</f>
        <v/>
      </c>
      <c r="R645">
        <f>OR(AND(설정!$A$28&lt;&gt;"",ISNUMBER(SEARCH(설정!$A$28,E645&amp;" "&amp;C645))),AND(설정!$A$29&lt;&gt;"",ISNUMBER(SEARCH(설정!$A$29,E645&amp;" "&amp;C645))),AND(설정!$A$30&lt;&gt;"",ISNUMBER(SEARCH(설정!$A$30,E645&amp;" "&amp;C645))),AND(설정!$A$31&lt;&gt;"",ISNUMBER(SEARCH(설정!$A$31,E645&amp;" "&amp;C645))),AND(설정!$A$32&lt;&gt;"",ISNUMBER(SEARCH(설정!$A$32,E645&amp;" "&amp;C645))),AND(설정!$A$33&lt;&gt;"",ISNUMBER(SEARCH(설정!$A$33,E645&amp;" "&amp;C645))),AND(설정!$A$34&lt;&gt;"",ISNUMBER(SEARCH(설정!$A$34,E645&amp;" "&amp;C645))),AND(설정!$A$35&lt;&gt;"",ISNUMBER(SEARCH(설정!$A$35,E645&amp;" "&amp;C645))),AND(설정!$A$36&lt;&gt;"",ISNUMBER(SEARCH(설정!$A$36,E645&amp;" "&amp;C645))),AND(설정!$A$37&lt;&gt;"",ISNUMBER(SEARCH(설정!$A$37,E645&amp;" "&amp;C645))))</f>
        <v/>
      </c>
      <c r="S645">
        <f>OR(D645="",D645&gt;=설정!$B$19)</f>
        <v/>
      </c>
      <c r="T645">
        <f>AND(Q645,R645,S645)</f>
        <v/>
      </c>
      <c r="U645">
        <f>IF(T645,IF(AND(설정!$A$41&lt;&gt;"",ISNUMBER(SEARCH(설정!$A$41,K645))),설정!$B$41,IF(AND(설정!$A$42&lt;&gt;"",ISNUMBER(SEARCH(설정!$A$42,K645))),설정!$B$42,IF(AND(설정!$A$43&lt;&gt;"",ISNUMBER(SEARCH(설정!$A$43,K645))),설정!$B$43,IF(AND(설정!$A$44&lt;&gt;"",ISNUMBER(SEARCH(설정!$A$44,K645))),설정!$B$44,IF(AND(설정!$A$45&lt;&gt;"",ISNUMBER(SEARCH(설정!$A$45,K645))),설정!$B$45,IF(AND(설정!$A$46&lt;&gt;"",ISNUMBER(SEARCH(설정!$A$46,K645))),설정!$B$46,IF(AND(설정!$A$47&lt;&gt;"",ISNUMBER(SEARCH(설정!$A$47,K645))),설정!$B$47,IF(AND(설정!$A$48&lt;&gt;"",ISNUMBER(SEARCH(설정!$A$48,K645))),설정!$B$48,IF(M645="","설계사","시공사"))))))))),"")</f>
        <v/>
      </c>
      <c r="V645">
        <f>SUBSTITUTE(SUBSTITUTE(SUBSTITUTE(SUBSTITUTE(G645,"(주)",""),"㈜",""),"주식회사","")," ","")</f>
        <v/>
      </c>
      <c r="W645">
        <f>IF(AND(T645,V645&lt;&gt;""),IF(COUNTIFS(V$2:V645,V645,T$2:T645,TRUE)=1,MAX(W$1:W644)+1,""),"")</f>
        <v/>
      </c>
      <c r="X645">
        <f>IFERROR(INDEX('1.산군_붙여넣기'!$A$1:$AZ$1001,ROW(),설정!$C$14)&amp;"","")</f>
        <v/>
      </c>
      <c r="Y645">
        <f>IFERROR(INDEX('1.산군_붙여넣기'!$A$1:$AZ$1001,ROW(),설정!$C$15)&amp;"","")</f>
        <v/>
      </c>
      <c r="Z645">
        <f>IF(T645,V645&amp;"|"&amp;U645,"")</f>
        <v/>
      </c>
    </row>
    <row r="646">
      <c r="A646">
        <f>ROW()</f>
        <v/>
      </c>
      <c r="B646">
        <f>IFERROR(INDEX('1.산군_붙여넣기'!$A$1:$AZ$1001,ROW(),설정!$C$4)&amp;"","")</f>
        <v/>
      </c>
      <c r="C646">
        <f>IFERROR(INDEX('1.산군_붙여넣기'!$A$1:$AZ$1001,ROW(),설정!$C$5)&amp;"","")</f>
        <v/>
      </c>
      <c r="D646" s="5">
        <f>IFERROR(VALUE(SUBSTITUTE(SUBSTITUTE(SUBSTITUTE(IFERROR(INDEX('1.산군_붙여넣기'!$A$1:$AZ$1001,ROW(),설정!$C$6)&amp;"",""),",",""),"㎡",""),"m2","")),"")</f>
        <v/>
      </c>
      <c r="E646">
        <f>IFERROR(INDEX('1.산군_붙여넣기'!$A$1:$AZ$1001,ROW(),설정!$C$7)&amp;"","")</f>
        <v/>
      </c>
      <c r="F646">
        <f>IFERROR(INDEX('1.산군_붙여넣기'!$A$1:$AZ$1001,ROW(),설정!$C$8)&amp;"","")</f>
        <v/>
      </c>
      <c r="G646">
        <f>IFERROR(INDEX('1.산군_붙여넣기'!$A$1:$AZ$1001,ROW(),설정!$C$9)&amp;"","")</f>
        <v/>
      </c>
      <c r="H646">
        <f>IFERROR(INDEX('1.산군_붙여넣기'!$A$1:$AZ$1001,ROW(),설정!$C$10)&amp;"","")</f>
        <v/>
      </c>
      <c r="I646">
        <f>IFERROR(INDEX('1.산군_붙여넣기'!$A$1:$AZ$1001,ROW(),설정!$C$11)&amp;"","")</f>
        <v/>
      </c>
      <c r="J646">
        <f>IFERROR(INDEX('1.산군_붙여넣기'!$A$1:$AZ$1001,ROW(),설정!$C$12)&amp;"","")</f>
        <v/>
      </c>
      <c r="K646">
        <f>IFERROR(INDEX('1.산군_붙여넣기'!$A$1:$AZ$1001,ROW(),설정!$C$13)&amp;"","")</f>
        <v/>
      </c>
      <c r="L646" s="6">
        <f>IF(X646="","",IF(AND(LEN(X646)=8,ISNUMBER(X646*1)),DATE(LEFT(X646,4),MID(X646,5,2),RIGHT(X646,2)),IFERROR(DATEVALUE(SUBSTITUTE(SUBSTITUTE(X646,".","-"),"/","-")),IFERROR(X646*1,""))))</f>
        <v/>
      </c>
      <c r="M646" s="6">
        <f>IF(Y646="","",IF(AND(LEN(Y646)=8,ISNUMBER(Y646*1)),DATE(LEFT(Y646,4),MID(Y646,5,2),RIGHT(Y646,2)),IFERROR(DATEVALUE(SUBSTITUTE(SUBSTITUTE(Y646,".","-"),"/","-")),IFERROR(Y646*1,""))))</f>
        <v/>
      </c>
      <c r="N646">
        <f>IFERROR(LEFT(B646,FIND(" ",B646)-1),B646)</f>
        <v/>
      </c>
      <c r="O646">
        <f>AND(B646&lt;&gt;"",B646&lt;&gt;설정!$B$4,C646&lt;&gt;설정!$B$5)</f>
        <v/>
      </c>
      <c r="P646">
        <f>IF(O646,B646&amp;"|"&amp;C646,"")</f>
        <v/>
      </c>
      <c r="Q646">
        <f>AND(O646,COUNTIF(P647:P$1002,P646)=0)</f>
        <v/>
      </c>
      <c r="R646">
        <f>OR(AND(설정!$A$28&lt;&gt;"",ISNUMBER(SEARCH(설정!$A$28,E646&amp;" "&amp;C646))),AND(설정!$A$29&lt;&gt;"",ISNUMBER(SEARCH(설정!$A$29,E646&amp;" "&amp;C646))),AND(설정!$A$30&lt;&gt;"",ISNUMBER(SEARCH(설정!$A$30,E646&amp;" "&amp;C646))),AND(설정!$A$31&lt;&gt;"",ISNUMBER(SEARCH(설정!$A$31,E646&amp;" "&amp;C646))),AND(설정!$A$32&lt;&gt;"",ISNUMBER(SEARCH(설정!$A$32,E646&amp;" "&amp;C646))),AND(설정!$A$33&lt;&gt;"",ISNUMBER(SEARCH(설정!$A$33,E646&amp;" "&amp;C646))),AND(설정!$A$34&lt;&gt;"",ISNUMBER(SEARCH(설정!$A$34,E646&amp;" "&amp;C646))),AND(설정!$A$35&lt;&gt;"",ISNUMBER(SEARCH(설정!$A$35,E646&amp;" "&amp;C646))),AND(설정!$A$36&lt;&gt;"",ISNUMBER(SEARCH(설정!$A$36,E646&amp;" "&amp;C646))),AND(설정!$A$37&lt;&gt;"",ISNUMBER(SEARCH(설정!$A$37,E646&amp;" "&amp;C646))))</f>
        <v/>
      </c>
      <c r="S646">
        <f>OR(D646="",D646&gt;=설정!$B$19)</f>
        <v/>
      </c>
      <c r="T646">
        <f>AND(Q646,R646,S646)</f>
        <v/>
      </c>
      <c r="U646">
        <f>IF(T646,IF(AND(설정!$A$41&lt;&gt;"",ISNUMBER(SEARCH(설정!$A$41,K646))),설정!$B$41,IF(AND(설정!$A$42&lt;&gt;"",ISNUMBER(SEARCH(설정!$A$42,K646))),설정!$B$42,IF(AND(설정!$A$43&lt;&gt;"",ISNUMBER(SEARCH(설정!$A$43,K646))),설정!$B$43,IF(AND(설정!$A$44&lt;&gt;"",ISNUMBER(SEARCH(설정!$A$44,K646))),설정!$B$44,IF(AND(설정!$A$45&lt;&gt;"",ISNUMBER(SEARCH(설정!$A$45,K646))),설정!$B$45,IF(AND(설정!$A$46&lt;&gt;"",ISNUMBER(SEARCH(설정!$A$46,K646))),설정!$B$46,IF(AND(설정!$A$47&lt;&gt;"",ISNUMBER(SEARCH(설정!$A$47,K646))),설정!$B$47,IF(AND(설정!$A$48&lt;&gt;"",ISNUMBER(SEARCH(설정!$A$48,K646))),설정!$B$48,IF(M646="","설계사","시공사"))))))))),"")</f>
        <v/>
      </c>
      <c r="V646">
        <f>SUBSTITUTE(SUBSTITUTE(SUBSTITUTE(SUBSTITUTE(G646,"(주)",""),"㈜",""),"주식회사","")," ","")</f>
        <v/>
      </c>
      <c r="W646">
        <f>IF(AND(T646,V646&lt;&gt;""),IF(COUNTIFS(V$2:V646,V646,T$2:T646,TRUE)=1,MAX(W$1:W645)+1,""),"")</f>
        <v/>
      </c>
      <c r="X646">
        <f>IFERROR(INDEX('1.산군_붙여넣기'!$A$1:$AZ$1001,ROW(),설정!$C$14)&amp;"","")</f>
        <v/>
      </c>
      <c r="Y646">
        <f>IFERROR(INDEX('1.산군_붙여넣기'!$A$1:$AZ$1001,ROW(),설정!$C$15)&amp;"","")</f>
        <v/>
      </c>
      <c r="Z646">
        <f>IF(T646,V646&amp;"|"&amp;U646,"")</f>
        <v/>
      </c>
    </row>
    <row r="647">
      <c r="A647">
        <f>ROW()</f>
        <v/>
      </c>
      <c r="B647">
        <f>IFERROR(INDEX('1.산군_붙여넣기'!$A$1:$AZ$1001,ROW(),설정!$C$4)&amp;"","")</f>
        <v/>
      </c>
      <c r="C647">
        <f>IFERROR(INDEX('1.산군_붙여넣기'!$A$1:$AZ$1001,ROW(),설정!$C$5)&amp;"","")</f>
        <v/>
      </c>
      <c r="D647" s="5">
        <f>IFERROR(VALUE(SUBSTITUTE(SUBSTITUTE(SUBSTITUTE(IFERROR(INDEX('1.산군_붙여넣기'!$A$1:$AZ$1001,ROW(),설정!$C$6)&amp;"",""),",",""),"㎡",""),"m2","")),"")</f>
        <v/>
      </c>
      <c r="E647">
        <f>IFERROR(INDEX('1.산군_붙여넣기'!$A$1:$AZ$1001,ROW(),설정!$C$7)&amp;"","")</f>
        <v/>
      </c>
      <c r="F647">
        <f>IFERROR(INDEX('1.산군_붙여넣기'!$A$1:$AZ$1001,ROW(),설정!$C$8)&amp;"","")</f>
        <v/>
      </c>
      <c r="G647">
        <f>IFERROR(INDEX('1.산군_붙여넣기'!$A$1:$AZ$1001,ROW(),설정!$C$9)&amp;"","")</f>
        <v/>
      </c>
      <c r="H647">
        <f>IFERROR(INDEX('1.산군_붙여넣기'!$A$1:$AZ$1001,ROW(),설정!$C$10)&amp;"","")</f>
        <v/>
      </c>
      <c r="I647">
        <f>IFERROR(INDEX('1.산군_붙여넣기'!$A$1:$AZ$1001,ROW(),설정!$C$11)&amp;"","")</f>
        <v/>
      </c>
      <c r="J647">
        <f>IFERROR(INDEX('1.산군_붙여넣기'!$A$1:$AZ$1001,ROW(),설정!$C$12)&amp;"","")</f>
        <v/>
      </c>
      <c r="K647">
        <f>IFERROR(INDEX('1.산군_붙여넣기'!$A$1:$AZ$1001,ROW(),설정!$C$13)&amp;"","")</f>
        <v/>
      </c>
      <c r="L647" s="6">
        <f>IF(X647="","",IF(AND(LEN(X647)=8,ISNUMBER(X647*1)),DATE(LEFT(X647,4),MID(X647,5,2),RIGHT(X647,2)),IFERROR(DATEVALUE(SUBSTITUTE(SUBSTITUTE(X647,".","-"),"/","-")),IFERROR(X647*1,""))))</f>
        <v/>
      </c>
      <c r="M647" s="6">
        <f>IF(Y647="","",IF(AND(LEN(Y647)=8,ISNUMBER(Y647*1)),DATE(LEFT(Y647,4),MID(Y647,5,2),RIGHT(Y647,2)),IFERROR(DATEVALUE(SUBSTITUTE(SUBSTITUTE(Y647,".","-"),"/","-")),IFERROR(Y647*1,""))))</f>
        <v/>
      </c>
      <c r="N647">
        <f>IFERROR(LEFT(B647,FIND(" ",B647)-1),B647)</f>
        <v/>
      </c>
      <c r="O647">
        <f>AND(B647&lt;&gt;"",B647&lt;&gt;설정!$B$4,C647&lt;&gt;설정!$B$5)</f>
        <v/>
      </c>
      <c r="P647">
        <f>IF(O647,B647&amp;"|"&amp;C647,"")</f>
        <v/>
      </c>
      <c r="Q647">
        <f>AND(O647,COUNTIF(P648:P$1002,P647)=0)</f>
        <v/>
      </c>
      <c r="R647">
        <f>OR(AND(설정!$A$28&lt;&gt;"",ISNUMBER(SEARCH(설정!$A$28,E647&amp;" "&amp;C647))),AND(설정!$A$29&lt;&gt;"",ISNUMBER(SEARCH(설정!$A$29,E647&amp;" "&amp;C647))),AND(설정!$A$30&lt;&gt;"",ISNUMBER(SEARCH(설정!$A$30,E647&amp;" "&amp;C647))),AND(설정!$A$31&lt;&gt;"",ISNUMBER(SEARCH(설정!$A$31,E647&amp;" "&amp;C647))),AND(설정!$A$32&lt;&gt;"",ISNUMBER(SEARCH(설정!$A$32,E647&amp;" "&amp;C647))),AND(설정!$A$33&lt;&gt;"",ISNUMBER(SEARCH(설정!$A$33,E647&amp;" "&amp;C647))),AND(설정!$A$34&lt;&gt;"",ISNUMBER(SEARCH(설정!$A$34,E647&amp;" "&amp;C647))),AND(설정!$A$35&lt;&gt;"",ISNUMBER(SEARCH(설정!$A$35,E647&amp;" "&amp;C647))),AND(설정!$A$36&lt;&gt;"",ISNUMBER(SEARCH(설정!$A$36,E647&amp;" "&amp;C647))),AND(설정!$A$37&lt;&gt;"",ISNUMBER(SEARCH(설정!$A$37,E647&amp;" "&amp;C647))))</f>
        <v/>
      </c>
      <c r="S647">
        <f>OR(D647="",D647&gt;=설정!$B$19)</f>
        <v/>
      </c>
      <c r="T647">
        <f>AND(Q647,R647,S647)</f>
        <v/>
      </c>
      <c r="U647">
        <f>IF(T647,IF(AND(설정!$A$41&lt;&gt;"",ISNUMBER(SEARCH(설정!$A$41,K647))),설정!$B$41,IF(AND(설정!$A$42&lt;&gt;"",ISNUMBER(SEARCH(설정!$A$42,K647))),설정!$B$42,IF(AND(설정!$A$43&lt;&gt;"",ISNUMBER(SEARCH(설정!$A$43,K647))),설정!$B$43,IF(AND(설정!$A$44&lt;&gt;"",ISNUMBER(SEARCH(설정!$A$44,K647))),설정!$B$44,IF(AND(설정!$A$45&lt;&gt;"",ISNUMBER(SEARCH(설정!$A$45,K647))),설정!$B$45,IF(AND(설정!$A$46&lt;&gt;"",ISNUMBER(SEARCH(설정!$A$46,K647))),설정!$B$46,IF(AND(설정!$A$47&lt;&gt;"",ISNUMBER(SEARCH(설정!$A$47,K647))),설정!$B$47,IF(AND(설정!$A$48&lt;&gt;"",ISNUMBER(SEARCH(설정!$A$48,K647))),설정!$B$48,IF(M647="","설계사","시공사"))))))))),"")</f>
        <v/>
      </c>
      <c r="V647">
        <f>SUBSTITUTE(SUBSTITUTE(SUBSTITUTE(SUBSTITUTE(G647,"(주)",""),"㈜",""),"주식회사","")," ","")</f>
        <v/>
      </c>
      <c r="W647">
        <f>IF(AND(T647,V647&lt;&gt;""),IF(COUNTIFS(V$2:V647,V647,T$2:T647,TRUE)=1,MAX(W$1:W646)+1,""),"")</f>
        <v/>
      </c>
      <c r="X647">
        <f>IFERROR(INDEX('1.산군_붙여넣기'!$A$1:$AZ$1001,ROW(),설정!$C$14)&amp;"","")</f>
        <v/>
      </c>
      <c r="Y647">
        <f>IFERROR(INDEX('1.산군_붙여넣기'!$A$1:$AZ$1001,ROW(),설정!$C$15)&amp;"","")</f>
        <v/>
      </c>
      <c r="Z647">
        <f>IF(T647,V647&amp;"|"&amp;U647,"")</f>
        <v/>
      </c>
    </row>
    <row r="648">
      <c r="A648">
        <f>ROW()</f>
        <v/>
      </c>
      <c r="B648">
        <f>IFERROR(INDEX('1.산군_붙여넣기'!$A$1:$AZ$1001,ROW(),설정!$C$4)&amp;"","")</f>
        <v/>
      </c>
      <c r="C648">
        <f>IFERROR(INDEX('1.산군_붙여넣기'!$A$1:$AZ$1001,ROW(),설정!$C$5)&amp;"","")</f>
        <v/>
      </c>
      <c r="D648" s="5">
        <f>IFERROR(VALUE(SUBSTITUTE(SUBSTITUTE(SUBSTITUTE(IFERROR(INDEX('1.산군_붙여넣기'!$A$1:$AZ$1001,ROW(),설정!$C$6)&amp;"",""),",",""),"㎡",""),"m2","")),"")</f>
        <v/>
      </c>
      <c r="E648">
        <f>IFERROR(INDEX('1.산군_붙여넣기'!$A$1:$AZ$1001,ROW(),설정!$C$7)&amp;"","")</f>
        <v/>
      </c>
      <c r="F648">
        <f>IFERROR(INDEX('1.산군_붙여넣기'!$A$1:$AZ$1001,ROW(),설정!$C$8)&amp;"","")</f>
        <v/>
      </c>
      <c r="G648">
        <f>IFERROR(INDEX('1.산군_붙여넣기'!$A$1:$AZ$1001,ROW(),설정!$C$9)&amp;"","")</f>
        <v/>
      </c>
      <c r="H648">
        <f>IFERROR(INDEX('1.산군_붙여넣기'!$A$1:$AZ$1001,ROW(),설정!$C$10)&amp;"","")</f>
        <v/>
      </c>
      <c r="I648">
        <f>IFERROR(INDEX('1.산군_붙여넣기'!$A$1:$AZ$1001,ROW(),설정!$C$11)&amp;"","")</f>
        <v/>
      </c>
      <c r="J648">
        <f>IFERROR(INDEX('1.산군_붙여넣기'!$A$1:$AZ$1001,ROW(),설정!$C$12)&amp;"","")</f>
        <v/>
      </c>
      <c r="K648">
        <f>IFERROR(INDEX('1.산군_붙여넣기'!$A$1:$AZ$1001,ROW(),설정!$C$13)&amp;"","")</f>
        <v/>
      </c>
      <c r="L648" s="6">
        <f>IF(X648="","",IF(AND(LEN(X648)=8,ISNUMBER(X648*1)),DATE(LEFT(X648,4),MID(X648,5,2),RIGHT(X648,2)),IFERROR(DATEVALUE(SUBSTITUTE(SUBSTITUTE(X648,".","-"),"/","-")),IFERROR(X648*1,""))))</f>
        <v/>
      </c>
      <c r="M648" s="6">
        <f>IF(Y648="","",IF(AND(LEN(Y648)=8,ISNUMBER(Y648*1)),DATE(LEFT(Y648,4),MID(Y648,5,2),RIGHT(Y648,2)),IFERROR(DATEVALUE(SUBSTITUTE(SUBSTITUTE(Y648,".","-"),"/","-")),IFERROR(Y648*1,""))))</f>
        <v/>
      </c>
      <c r="N648">
        <f>IFERROR(LEFT(B648,FIND(" ",B648)-1),B648)</f>
        <v/>
      </c>
      <c r="O648">
        <f>AND(B648&lt;&gt;"",B648&lt;&gt;설정!$B$4,C648&lt;&gt;설정!$B$5)</f>
        <v/>
      </c>
      <c r="P648">
        <f>IF(O648,B648&amp;"|"&amp;C648,"")</f>
        <v/>
      </c>
      <c r="Q648">
        <f>AND(O648,COUNTIF(P649:P$1002,P648)=0)</f>
        <v/>
      </c>
      <c r="R648">
        <f>OR(AND(설정!$A$28&lt;&gt;"",ISNUMBER(SEARCH(설정!$A$28,E648&amp;" "&amp;C648))),AND(설정!$A$29&lt;&gt;"",ISNUMBER(SEARCH(설정!$A$29,E648&amp;" "&amp;C648))),AND(설정!$A$30&lt;&gt;"",ISNUMBER(SEARCH(설정!$A$30,E648&amp;" "&amp;C648))),AND(설정!$A$31&lt;&gt;"",ISNUMBER(SEARCH(설정!$A$31,E648&amp;" "&amp;C648))),AND(설정!$A$32&lt;&gt;"",ISNUMBER(SEARCH(설정!$A$32,E648&amp;" "&amp;C648))),AND(설정!$A$33&lt;&gt;"",ISNUMBER(SEARCH(설정!$A$33,E648&amp;" "&amp;C648))),AND(설정!$A$34&lt;&gt;"",ISNUMBER(SEARCH(설정!$A$34,E648&amp;" "&amp;C648))),AND(설정!$A$35&lt;&gt;"",ISNUMBER(SEARCH(설정!$A$35,E648&amp;" "&amp;C648))),AND(설정!$A$36&lt;&gt;"",ISNUMBER(SEARCH(설정!$A$36,E648&amp;" "&amp;C648))),AND(설정!$A$37&lt;&gt;"",ISNUMBER(SEARCH(설정!$A$37,E648&amp;" "&amp;C648))))</f>
        <v/>
      </c>
      <c r="S648">
        <f>OR(D648="",D648&gt;=설정!$B$19)</f>
        <v/>
      </c>
      <c r="T648">
        <f>AND(Q648,R648,S648)</f>
        <v/>
      </c>
      <c r="U648">
        <f>IF(T648,IF(AND(설정!$A$41&lt;&gt;"",ISNUMBER(SEARCH(설정!$A$41,K648))),설정!$B$41,IF(AND(설정!$A$42&lt;&gt;"",ISNUMBER(SEARCH(설정!$A$42,K648))),설정!$B$42,IF(AND(설정!$A$43&lt;&gt;"",ISNUMBER(SEARCH(설정!$A$43,K648))),설정!$B$43,IF(AND(설정!$A$44&lt;&gt;"",ISNUMBER(SEARCH(설정!$A$44,K648))),설정!$B$44,IF(AND(설정!$A$45&lt;&gt;"",ISNUMBER(SEARCH(설정!$A$45,K648))),설정!$B$45,IF(AND(설정!$A$46&lt;&gt;"",ISNUMBER(SEARCH(설정!$A$46,K648))),설정!$B$46,IF(AND(설정!$A$47&lt;&gt;"",ISNUMBER(SEARCH(설정!$A$47,K648))),설정!$B$47,IF(AND(설정!$A$48&lt;&gt;"",ISNUMBER(SEARCH(설정!$A$48,K648))),설정!$B$48,IF(M648="","설계사","시공사"))))))))),"")</f>
        <v/>
      </c>
      <c r="V648">
        <f>SUBSTITUTE(SUBSTITUTE(SUBSTITUTE(SUBSTITUTE(G648,"(주)",""),"㈜",""),"주식회사","")," ","")</f>
        <v/>
      </c>
      <c r="W648">
        <f>IF(AND(T648,V648&lt;&gt;""),IF(COUNTIFS(V$2:V648,V648,T$2:T648,TRUE)=1,MAX(W$1:W647)+1,""),"")</f>
        <v/>
      </c>
      <c r="X648">
        <f>IFERROR(INDEX('1.산군_붙여넣기'!$A$1:$AZ$1001,ROW(),설정!$C$14)&amp;"","")</f>
        <v/>
      </c>
      <c r="Y648">
        <f>IFERROR(INDEX('1.산군_붙여넣기'!$A$1:$AZ$1001,ROW(),설정!$C$15)&amp;"","")</f>
        <v/>
      </c>
      <c r="Z648">
        <f>IF(T648,V648&amp;"|"&amp;U648,"")</f>
        <v/>
      </c>
    </row>
    <row r="649">
      <c r="A649">
        <f>ROW()</f>
        <v/>
      </c>
      <c r="B649">
        <f>IFERROR(INDEX('1.산군_붙여넣기'!$A$1:$AZ$1001,ROW(),설정!$C$4)&amp;"","")</f>
        <v/>
      </c>
      <c r="C649">
        <f>IFERROR(INDEX('1.산군_붙여넣기'!$A$1:$AZ$1001,ROW(),설정!$C$5)&amp;"","")</f>
        <v/>
      </c>
      <c r="D649" s="5">
        <f>IFERROR(VALUE(SUBSTITUTE(SUBSTITUTE(SUBSTITUTE(IFERROR(INDEX('1.산군_붙여넣기'!$A$1:$AZ$1001,ROW(),설정!$C$6)&amp;"",""),",",""),"㎡",""),"m2","")),"")</f>
        <v/>
      </c>
      <c r="E649">
        <f>IFERROR(INDEX('1.산군_붙여넣기'!$A$1:$AZ$1001,ROW(),설정!$C$7)&amp;"","")</f>
        <v/>
      </c>
      <c r="F649">
        <f>IFERROR(INDEX('1.산군_붙여넣기'!$A$1:$AZ$1001,ROW(),설정!$C$8)&amp;"","")</f>
        <v/>
      </c>
      <c r="G649">
        <f>IFERROR(INDEX('1.산군_붙여넣기'!$A$1:$AZ$1001,ROW(),설정!$C$9)&amp;"","")</f>
        <v/>
      </c>
      <c r="H649">
        <f>IFERROR(INDEX('1.산군_붙여넣기'!$A$1:$AZ$1001,ROW(),설정!$C$10)&amp;"","")</f>
        <v/>
      </c>
      <c r="I649">
        <f>IFERROR(INDEX('1.산군_붙여넣기'!$A$1:$AZ$1001,ROW(),설정!$C$11)&amp;"","")</f>
        <v/>
      </c>
      <c r="J649">
        <f>IFERROR(INDEX('1.산군_붙여넣기'!$A$1:$AZ$1001,ROW(),설정!$C$12)&amp;"","")</f>
        <v/>
      </c>
      <c r="K649">
        <f>IFERROR(INDEX('1.산군_붙여넣기'!$A$1:$AZ$1001,ROW(),설정!$C$13)&amp;"","")</f>
        <v/>
      </c>
      <c r="L649" s="6">
        <f>IF(X649="","",IF(AND(LEN(X649)=8,ISNUMBER(X649*1)),DATE(LEFT(X649,4),MID(X649,5,2),RIGHT(X649,2)),IFERROR(DATEVALUE(SUBSTITUTE(SUBSTITUTE(X649,".","-"),"/","-")),IFERROR(X649*1,""))))</f>
        <v/>
      </c>
      <c r="M649" s="6">
        <f>IF(Y649="","",IF(AND(LEN(Y649)=8,ISNUMBER(Y649*1)),DATE(LEFT(Y649,4),MID(Y649,5,2),RIGHT(Y649,2)),IFERROR(DATEVALUE(SUBSTITUTE(SUBSTITUTE(Y649,".","-"),"/","-")),IFERROR(Y649*1,""))))</f>
        <v/>
      </c>
      <c r="N649">
        <f>IFERROR(LEFT(B649,FIND(" ",B649)-1),B649)</f>
        <v/>
      </c>
      <c r="O649">
        <f>AND(B649&lt;&gt;"",B649&lt;&gt;설정!$B$4,C649&lt;&gt;설정!$B$5)</f>
        <v/>
      </c>
      <c r="P649">
        <f>IF(O649,B649&amp;"|"&amp;C649,"")</f>
        <v/>
      </c>
      <c r="Q649">
        <f>AND(O649,COUNTIF(P650:P$1002,P649)=0)</f>
        <v/>
      </c>
      <c r="R649">
        <f>OR(AND(설정!$A$28&lt;&gt;"",ISNUMBER(SEARCH(설정!$A$28,E649&amp;" "&amp;C649))),AND(설정!$A$29&lt;&gt;"",ISNUMBER(SEARCH(설정!$A$29,E649&amp;" "&amp;C649))),AND(설정!$A$30&lt;&gt;"",ISNUMBER(SEARCH(설정!$A$30,E649&amp;" "&amp;C649))),AND(설정!$A$31&lt;&gt;"",ISNUMBER(SEARCH(설정!$A$31,E649&amp;" "&amp;C649))),AND(설정!$A$32&lt;&gt;"",ISNUMBER(SEARCH(설정!$A$32,E649&amp;" "&amp;C649))),AND(설정!$A$33&lt;&gt;"",ISNUMBER(SEARCH(설정!$A$33,E649&amp;" "&amp;C649))),AND(설정!$A$34&lt;&gt;"",ISNUMBER(SEARCH(설정!$A$34,E649&amp;" "&amp;C649))),AND(설정!$A$35&lt;&gt;"",ISNUMBER(SEARCH(설정!$A$35,E649&amp;" "&amp;C649))),AND(설정!$A$36&lt;&gt;"",ISNUMBER(SEARCH(설정!$A$36,E649&amp;" "&amp;C649))),AND(설정!$A$37&lt;&gt;"",ISNUMBER(SEARCH(설정!$A$37,E649&amp;" "&amp;C649))))</f>
        <v/>
      </c>
      <c r="S649">
        <f>OR(D649="",D649&gt;=설정!$B$19)</f>
        <v/>
      </c>
      <c r="T649">
        <f>AND(Q649,R649,S649)</f>
        <v/>
      </c>
      <c r="U649">
        <f>IF(T649,IF(AND(설정!$A$41&lt;&gt;"",ISNUMBER(SEARCH(설정!$A$41,K649))),설정!$B$41,IF(AND(설정!$A$42&lt;&gt;"",ISNUMBER(SEARCH(설정!$A$42,K649))),설정!$B$42,IF(AND(설정!$A$43&lt;&gt;"",ISNUMBER(SEARCH(설정!$A$43,K649))),설정!$B$43,IF(AND(설정!$A$44&lt;&gt;"",ISNUMBER(SEARCH(설정!$A$44,K649))),설정!$B$44,IF(AND(설정!$A$45&lt;&gt;"",ISNUMBER(SEARCH(설정!$A$45,K649))),설정!$B$45,IF(AND(설정!$A$46&lt;&gt;"",ISNUMBER(SEARCH(설정!$A$46,K649))),설정!$B$46,IF(AND(설정!$A$47&lt;&gt;"",ISNUMBER(SEARCH(설정!$A$47,K649))),설정!$B$47,IF(AND(설정!$A$48&lt;&gt;"",ISNUMBER(SEARCH(설정!$A$48,K649))),설정!$B$48,IF(M649="","설계사","시공사"))))))))),"")</f>
        <v/>
      </c>
      <c r="V649">
        <f>SUBSTITUTE(SUBSTITUTE(SUBSTITUTE(SUBSTITUTE(G649,"(주)",""),"㈜",""),"주식회사","")," ","")</f>
        <v/>
      </c>
      <c r="W649">
        <f>IF(AND(T649,V649&lt;&gt;""),IF(COUNTIFS(V$2:V649,V649,T$2:T649,TRUE)=1,MAX(W$1:W648)+1,""),"")</f>
        <v/>
      </c>
      <c r="X649">
        <f>IFERROR(INDEX('1.산군_붙여넣기'!$A$1:$AZ$1001,ROW(),설정!$C$14)&amp;"","")</f>
        <v/>
      </c>
      <c r="Y649">
        <f>IFERROR(INDEX('1.산군_붙여넣기'!$A$1:$AZ$1001,ROW(),설정!$C$15)&amp;"","")</f>
        <v/>
      </c>
      <c r="Z649">
        <f>IF(T649,V649&amp;"|"&amp;U649,"")</f>
        <v/>
      </c>
    </row>
    <row r="650">
      <c r="A650">
        <f>ROW()</f>
        <v/>
      </c>
      <c r="B650">
        <f>IFERROR(INDEX('1.산군_붙여넣기'!$A$1:$AZ$1001,ROW(),설정!$C$4)&amp;"","")</f>
        <v/>
      </c>
      <c r="C650">
        <f>IFERROR(INDEX('1.산군_붙여넣기'!$A$1:$AZ$1001,ROW(),설정!$C$5)&amp;"","")</f>
        <v/>
      </c>
      <c r="D650" s="5">
        <f>IFERROR(VALUE(SUBSTITUTE(SUBSTITUTE(SUBSTITUTE(IFERROR(INDEX('1.산군_붙여넣기'!$A$1:$AZ$1001,ROW(),설정!$C$6)&amp;"",""),",",""),"㎡",""),"m2","")),"")</f>
        <v/>
      </c>
      <c r="E650">
        <f>IFERROR(INDEX('1.산군_붙여넣기'!$A$1:$AZ$1001,ROW(),설정!$C$7)&amp;"","")</f>
        <v/>
      </c>
      <c r="F650">
        <f>IFERROR(INDEX('1.산군_붙여넣기'!$A$1:$AZ$1001,ROW(),설정!$C$8)&amp;"","")</f>
        <v/>
      </c>
      <c r="G650">
        <f>IFERROR(INDEX('1.산군_붙여넣기'!$A$1:$AZ$1001,ROW(),설정!$C$9)&amp;"","")</f>
        <v/>
      </c>
      <c r="H650">
        <f>IFERROR(INDEX('1.산군_붙여넣기'!$A$1:$AZ$1001,ROW(),설정!$C$10)&amp;"","")</f>
        <v/>
      </c>
      <c r="I650">
        <f>IFERROR(INDEX('1.산군_붙여넣기'!$A$1:$AZ$1001,ROW(),설정!$C$11)&amp;"","")</f>
        <v/>
      </c>
      <c r="J650">
        <f>IFERROR(INDEX('1.산군_붙여넣기'!$A$1:$AZ$1001,ROW(),설정!$C$12)&amp;"","")</f>
        <v/>
      </c>
      <c r="K650">
        <f>IFERROR(INDEX('1.산군_붙여넣기'!$A$1:$AZ$1001,ROW(),설정!$C$13)&amp;"","")</f>
        <v/>
      </c>
      <c r="L650" s="6">
        <f>IF(X650="","",IF(AND(LEN(X650)=8,ISNUMBER(X650*1)),DATE(LEFT(X650,4),MID(X650,5,2),RIGHT(X650,2)),IFERROR(DATEVALUE(SUBSTITUTE(SUBSTITUTE(X650,".","-"),"/","-")),IFERROR(X650*1,""))))</f>
        <v/>
      </c>
      <c r="M650" s="6">
        <f>IF(Y650="","",IF(AND(LEN(Y650)=8,ISNUMBER(Y650*1)),DATE(LEFT(Y650,4),MID(Y650,5,2),RIGHT(Y650,2)),IFERROR(DATEVALUE(SUBSTITUTE(SUBSTITUTE(Y650,".","-"),"/","-")),IFERROR(Y650*1,""))))</f>
        <v/>
      </c>
      <c r="N650">
        <f>IFERROR(LEFT(B650,FIND(" ",B650)-1),B650)</f>
        <v/>
      </c>
      <c r="O650">
        <f>AND(B650&lt;&gt;"",B650&lt;&gt;설정!$B$4,C650&lt;&gt;설정!$B$5)</f>
        <v/>
      </c>
      <c r="P650">
        <f>IF(O650,B650&amp;"|"&amp;C650,"")</f>
        <v/>
      </c>
      <c r="Q650">
        <f>AND(O650,COUNTIF(P651:P$1002,P650)=0)</f>
        <v/>
      </c>
      <c r="R650">
        <f>OR(AND(설정!$A$28&lt;&gt;"",ISNUMBER(SEARCH(설정!$A$28,E650&amp;" "&amp;C650))),AND(설정!$A$29&lt;&gt;"",ISNUMBER(SEARCH(설정!$A$29,E650&amp;" "&amp;C650))),AND(설정!$A$30&lt;&gt;"",ISNUMBER(SEARCH(설정!$A$30,E650&amp;" "&amp;C650))),AND(설정!$A$31&lt;&gt;"",ISNUMBER(SEARCH(설정!$A$31,E650&amp;" "&amp;C650))),AND(설정!$A$32&lt;&gt;"",ISNUMBER(SEARCH(설정!$A$32,E650&amp;" "&amp;C650))),AND(설정!$A$33&lt;&gt;"",ISNUMBER(SEARCH(설정!$A$33,E650&amp;" "&amp;C650))),AND(설정!$A$34&lt;&gt;"",ISNUMBER(SEARCH(설정!$A$34,E650&amp;" "&amp;C650))),AND(설정!$A$35&lt;&gt;"",ISNUMBER(SEARCH(설정!$A$35,E650&amp;" "&amp;C650))),AND(설정!$A$36&lt;&gt;"",ISNUMBER(SEARCH(설정!$A$36,E650&amp;" "&amp;C650))),AND(설정!$A$37&lt;&gt;"",ISNUMBER(SEARCH(설정!$A$37,E650&amp;" "&amp;C650))))</f>
        <v/>
      </c>
      <c r="S650">
        <f>OR(D650="",D650&gt;=설정!$B$19)</f>
        <v/>
      </c>
      <c r="T650">
        <f>AND(Q650,R650,S650)</f>
        <v/>
      </c>
      <c r="U650">
        <f>IF(T650,IF(AND(설정!$A$41&lt;&gt;"",ISNUMBER(SEARCH(설정!$A$41,K650))),설정!$B$41,IF(AND(설정!$A$42&lt;&gt;"",ISNUMBER(SEARCH(설정!$A$42,K650))),설정!$B$42,IF(AND(설정!$A$43&lt;&gt;"",ISNUMBER(SEARCH(설정!$A$43,K650))),설정!$B$43,IF(AND(설정!$A$44&lt;&gt;"",ISNUMBER(SEARCH(설정!$A$44,K650))),설정!$B$44,IF(AND(설정!$A$45&lt;&gt;"",ISNUMBER(SEARCH(설정!$A$45,K650))),설정!$B$45,IF(AND(설정!$A$46&lt;&gt;"",ISNUMBER(SEARCH(설정!$A$46,K650))),설정!$B$46,IF(AND(설정!$A$47&lt;&gt;"",ISNUMBER(SEARCH(설정!$A$47,K650))),설정!$B$47,IF(AND(설정!$A$48&lt;&gt;"",ISNUMBER(SEARCH(설정!$A$48,K650))),설정!$B$48,IF(M650="","설계사","시공사"))))))))),"")</f>
        <v/>
      </c>
      <c r="V650">
        <f>SUBSTITUTE(SUBSTITUTE(SUBSTITUTE(SUBSTITUTE(G650,"(주)",""),"㈜",""),"주식회사","")," ","")</f>
        <v/>
      </c>
      <c r="W650">
        <f>IF(AND(T650,V650&lt;&gt;""),IF(COUNTIFS(V$2:V650,V650,T$2:T650,TRUE)=1,MAX(W$1:W649)+1,""),"")</f>
        <v/>
      </c>
      <c r="X650">
        <f>IFERROR(INDEX('1.산군_붙여넣기'!$A$1:$AZ$1001,ROW(),설정!$C$14)&amp;"","")</f>
        <v/>
      </c>
      <c r="Y650">
        <f>IFERROR(INDEX('1.산군_붙여넣기'!$A$1:$AZ$1001,ROW(),설정!$C$15)&amp;"","")</f>
        <v/>
      </c>
      <c r="Z650">
        <f>IF(T650,V650&amp;"|"&amp;U650,"")</f>
        <v/>
      </c>
    </row>
    <row r="651">
      <c r="A651">
        <f>ROW()</f>
        <v/>
      </c>
      <c r="B651">
        <f>IFERROR(INDEX('1.산군_붙여넣기'!$A$1:$AZ$1001,ROW(),설정!$C$4)&amp;"","")</f>
        <v/>
      </c>
      <c r="C651">
        <f>IFERROR(INDEX('1.산군_붙여넣기'!$A$1:$AZ$1001,ROW(),설정!$C$5)&amp;"","")</f>
        <v/>
      </c>
      <c r="D651" s="5">
        <f>IFERROR(VALUE(SUBSTITUTE(SUBSTITUTE(SUBSTITUTE(IFERROR(INDEX('1.산군_붙여넣기'!$A$1:$AZ$1001,ROW(),설정!$C$6)&amp;"",""),",",""),"㎡",""),"m2","")),"")</f>
        <v/>
      </c>
      <c r="E651">
        <f>IFERROR(INDEX('1.산군_붙여넣기'!$A$1:$AZ$1001,ROW(),설정!$C$7)&amp;"","")</f>
        <v/>
      </c>
      <c r="F651">
        <f>IFERROR(INDEX('1.산군_붙여넣기'!$A$1:$AZ$1001,ROW(),설정!$C$8)&amp;"","")</f>
        <v/>
      </c>
      <c r="G651">
        <f>IFERROR(INDEX('1.산군_붙여넣기'!$A$1:$AZ$1001,ROW(),설정!$C$9)&amp;"","")</f>
        <v/>
      </c>
      <c r="H651">
        <f>IFERROR(INDEX('1.산군_붙여넣기'!$A$1:$AZ$1001,ROW(),설정!$C$10)&amp;"","")</f>
        <v/>
      </c>
      <c r="I651">
        <f>IFERROR(INDEX('1.산군_붙여넣기'!$A$1:$AZ$1001,ROW(),설정!$C$11)&amp;"","")</f>
        <v/>
      </c>
      <c r="J651">
        <f>IFERROR(INDEX('1.산군_붙여넣기'!$A$1:$AZ$1001,ROW(),설정!$C$12)&amp;"","")</f>
        <v/>
      </c>
      <c r="K651">
        <f>IFERROR(INDEX('1.산군_붙여넣기'!$A$1:$AZ$1001,ROW(),설정!$C$13)&amp;"","")</f>
        <v/>
      </c>
      <c r="L651" s="6">
        <f>IF(X651="","",IF(AND(LEN(X651)=8,ISNUMBER(X651*1)),DATE(LEFT(X651,4),MID(X651,5,2),RIGHT(X651,2)),IFERROR(DATEVALUE(SUBSTITUTE(SUBSTITUTE(X651,".","-"),"/","-")),IFERROR(X651*1,""))))</f>
        <v/>
      </c>
      <c r="M651" s="6">
        <f>IF(Y651="","",IF(AND(LEN(Y651)=8,ISNUMBER(Y651*1)),DATE(LEFT(Y651,4),MID(Y651,5,2),RIGHT(Y651,2)),IFERROR(DATEVALUE(SUBSTITUTE(SUBSTITUTE(Y651,".","-"),"/","-")),IFERROR(Y651*1,""))))</f>
        <v/>
      </c>
      <c r="N651">
        <f>IFERROR(LEFT(B651,FIND(" ",B651)-1),B651)</f>
        <v/>
      </c>
      <c r="O651">
        <f>AND(B651&lt;&gt;"",B651&lt;&gt;설정!$B$4,C651&lt;&gt;설정!$B$5)</f>
        <v/>
      </c>
      <c r="P651">
        <f>IF(O651,B651&amp;"|"&amp;C651,"")</f>
        <v/>
      </c>
      <c r="Q651">
        <f>AND(O651,COUNTIF(P652:P$1002,P651)=0)</f>
        <v/>
      </c>
      <c r="R651">
        <f>OR(AND(설정!$A$28&lt;&gt;"",ISNUMBER(SEARCH(설정!$A$28,E651&amp;" "&amp;C651))),AND(설정!$A$29&lt;&gt;"",ISNUMBER(SEARCH(설정!$A$29,E651&amp;" "&amp;C651))),AND(설정!$A$30&lt;&gt;"",ISNUMBER(SEARCH(설정!$A$30,E651&amp;" "&amp;C651))),AND(설정!$A$31&lt;&gt;"",ISNUMBER(SEARCH(설정!$A$31,E651&amp;" "&amp;C651))),AND(설정!$A$32&lt;&gt;"",ISNUMBER(SEARCH(설정!$A$32,E651&amp;" "&amp;C651))),AND(설정!$A$33&lt;&gt;"",ISNUMBER(SEARCH(설정!$A$33,E651&amp;" "&amp;C651))),AND(설정!$A$34&lt;&gt;"",ISNUMBER(SEARCH(설정!$A$34,E651&amp;" "&amp;C651))),AND(설정!$A$35&lt;&gt;"",ISNUMBER(SEARCH(설정!$A$35,E651&amp;" "&amp;C651))),AND(설정!$A$36&lt;&gt;"",ISNUMBER(SEARCH(설정!$A$36,E651&amp;" "&amp;C651))),AND(설정!$A$37&lt;&gt;"",ISNUMBER(SEARCH(설정!$A$37,E651&amp;" "&amp;C651))))</f>
        <v/>
      </c>
      <c r="S651">
        <f>OR(D651="",D651&gt;=설정!$B$19)</f>
        <v/>
      </c>
      <c r="T651">
        <f>AND(Q651,R651,S651)</f>
        <v/>
      </c>
      <c r="U651">
        <f>IF(T651,IF(AND(설정!$A$41&lt;&gt;"",ISNUMBER(SEARCH(설정!$A$41,K651))),설정!$B$41,IF(AND(설정!$A$42&lt;&gt;"",ISNUMBER(SEARCH(설정!$A$42,K651))),설정!$B$42,IF(AND(설정!$A$43&lt;&gt;"",ISNUMBER(SEARCH(설정!$A$43,K651))),설정!$B$43,IF(AND(설정!$A$44&lt;&gt;"",ISNUMBER(SEARCH(설정!$A$44,K651))),설정!$B$44,IF(AND(설정!$A$45&lt;&gt;"",ISNUMBER(SEARCH(설정!$A$45,K651))),설정!$B$45,IF(AND(설정!$A$46&lt;&gt;"",ISNUMBER(SEARCH(설정!$A$46,K651))),설정!$B$46,IF(AND(설정!$A$47&lt;&gt;"",ISNUMBER(SEARCH(설정!$A$47,K651))),설정!$B$47,IF(AND(설정!$A$48&lt;&gt;"",ISNUMBER(SEARCH(설정!$A$48,K651))),설정!$B$48,IF(M651="","설계사","시공사"))))))))),"")</f>
        <v/>
      </c>
      <c r="V651">
        <f>SUBSTITUTE(SUBSTITUTE(SUBSTITUTE(SUBSTITUTE(G651,"(주)",""),"㈜",""),"주식회사","")," ","")</f>
        <v/>
      </c>
      <c r="W651">
        <f>IF(AND(T651,V651&lt;&gt;""),IF(COUNTIFS(V$2:V651,V651,T$2:T651,TRUE)=1,MAX(W$1:W650)+1,""),"")</f>
        <v/>
      </c>
      <c r="X651">
        <f>IFERROR(INDEX('1.산군_붙여넣기'!$A$1:$AZ$1001,ROW(),설정!$C$14)&amp;"","")</f>
        <v/>
      </c>
      <c r="Y651">
        <f>IFERROR(INDEX('1.산군_붙여넣기'!$A$1:$AZ$1001,ROW(),설정!$C$15)&amp;"","")</f>
        <v/>
      </c>
      <c r="Z651">
        <f>IF(T651,V651&amp;"|"&amp;U651,"")</f>
        <v/>
      </c>
    </row>
    <row r="652">
      <c r="A652">
        <f>ROW()</f>
        <v/>
      </c>
      <c r="B652">
        <f>IFERROR(INDEX('1.산군_붙여넣기'!$A$1:$AZ$1001,ROW(),설정!$C$4)&amp;"","")</f>
        <v/>
      </c>
      <c r="C652">
        <f>IFERROR(INDEX('1.산군_붙여넣기'!$A$1:$AZ$1001,ROW(),설정!$C$5)&amp;"","")</f>
        <v/>
      </c>
      <c r="D652" s="5">
        <f>IFERROR(VALUE(SUBSTITUTE(SUBSTITUTE(SUBSTITUTE(IFERROR(INDEX('1.산군_붙여넣기'!$A$1:$AZ$1001,ROW(),설정!$C$6)&amp;"",""),",",""),"㎡",""),"m2","")),"")</f>
        <v/>
      </c>
      <c r="E652">
        <f>IFERROR(INDEX('1.산군_붙여넣기'!$A$1:$AZ$1001,ROW(),설정!$C$7)&amp;"","")</f>
        <v/>
      </c>
      <c r="F652">
        <f>IFERROR(INDEX('1.산군_붙여넣기'!$A$1:$AZ$1001,ROW(),설정!$C$8)&amp;"","")</f>
        <v/>
      </c>
      <c r="G652">
        <f>IFERROR(INDEX('1.산군_붙여넣기'!$A$1:$AZ$1001,ROW(),설정!$C$9)&amp;"","")</f>
        <v/>
      </c>
      <c r="H652">
        <f>IFERROR(INDEX('1.산군_붙여넣기'!$A$1:$AZ$1001,ROW(),설정!$C$10)&amp;"","")</f>
        <v/>
      </c>
      <c r="I652">
        <f>IFERROR(INDEX('1.산군_붙여넣기'!$A$1:$AZ$1001,ROW(),설정!$C$11)&amp;"","")</f>
        <v/>
      </c>
      <c r="J652">
        <f>IFERROR(INDEX('1.산군_붙여넣기'!$A$1:$AZ$1001,ROW(),설정!$C$12)&amp;"","")</f>
        <v/>
      </c>
      <c r="K652">
        <f>IFERROR(INDEX('1.산군_붙여넣기'!$A$1:$AZ$1001,ROW(),설정!$C$13)&amp;"","")</f>
        <v/>
      </c>
      <c r="L652" s="6">
        <f>IF(X652="","",IF(AND(LEN(X652)=8,ISNUMBER(X652*1)),DATE(LEFT(X652,4),MID(X652,5,2),RIGHT(X652,2)),IFERROR(DATEVALUE(SUBSTITUTE(SUBSTITUTE(X652,".","-"),"/","-")),IFERROR(X652*1,""))))</f>
        <v/>
      </c>
      <c r="M652" s="6">
        <f>IF(Y652="","",IF(AND(LEN(Y652)=8,ISNUMBER(Y652*1)),DATE(LEFT(Y652,4),MID(Y652,5,2),RIGHT(Y652,2)),IFERROR(DATEVALUE(SUBSTITUTE(SUBSTITUTE(Y652,".","-"),"/","-")),IFERROR(Y652*1,""))))</f>
        <v/>
      </c>
      <c r="N652">
        <f>IFERROR(LEFT(B652,FIND(" ",B652)-1),B652)</f>
        <v/>
      </c>
      <c r="O652">
        <f>AND(B652&lt;&gt;"",B652&lt;&gt;설정!$B$4,C652&lt;&gt;설정!$B$5)</f>
        <v/>
      </c>
      <c r="P652">
        <f>IF(O652,B652&amp;"|"&amp;C652,"")</f>
        <v/>
      </c>
      <c r="Q652">
        <f>AND(O652,COUNTIF(P653:P$1002,P652)=0)</f>
        <v/>
      </c>
      <c r="R652">
        <f>OR(AND(설정!$A$28&lt;&gt;"",ISNUMBER(SEARCH(설정!$A$28,E652&amp;" "&amp;C652))),AND(설정!$A$29&lt;&gt;"",ISNUMBER(SEARCH(설정!$A$29,E652&amp;" "&amp;C652))),AND(설정!$A$30&lt;&gt;"",ISNUMBER(SEARCH(설정!$A$30,E652&amp;" "&amp;C652))),AND(설정!$A$31&lt;&gt;"",ISNUMBER(SEARCH(설정!$A$31,E652&amp;" "&amp;C652))),AND(설정!$A$32&lt;&gt;"",ISNUMBER(SEARCH(설정!$A$32,E652&amp;" "&amp;C652))),AND(설정!$A$33&lt;&gt;"",ISNUMBER(SEARCH(설정!$A$33,E652&amp;" "&amp;C652))),AND(설정!$A$34&lt;&gt;"",ISNUMBER(SEARCH(설정!$A$34,E652&amp;" "&amp;C652))),AND(설정!$A$35&lt;&gt;"",ISNUMBER(SEARCH(설정!$A$35,E652&amp;" "&amp;C652))),AND(설정!$A$36&lt;&gt;"",ISNUMBER(SEARCH(설정!$A$36,E652&amp;" "&amp;C652))),AND(설정!$A$37&lt;&gt;"",ISNUMBER(SEARCH(설정!$A$37,E652&amp;" "&amp;C652))))</f>
        <v/>
      </c>
      <c r="S652">
        <f>OR(D652="",D652&gt;=설정!$B$19)</f>
        <v/>
      </c>
      <c r="T652">
        <f>AND(Q652,R652,S652)</f>
        <v/>
      </c>
      <c r="U652">
        <f>IF(T652,IF(AND(설정!$A$41&lt;&gt;"",ISNUMBER(SEARCH(설정!$A$41,K652))),설정!$B$41,IF(AND(설정!$A$42&lt;&gt;"",ISNUMBER(SEARCH(설정!$A$42,K652))),설정!$B$42,IF(AND(설정!$A$43&lt;&gt;"",ISNUMBER(SEARCH(설정!$A$43,K652))),설정!$B$43,IF(AND(설정!$A$44&lt;&gt;"",ISNUMBER(SEARCH(설정!$A$44,K652))),설정!$B$44,IF(AND(설정!$A$45&lt;&gt;"",ISNUMBER(SEARCH(설정!$A$45,K652))),설정!$B$45,IF(AND(설정!$A$46&lt;&gt;"",ISNUMBER(SEARCH(설정!$A$46,K652))),설정!$B$46,IF(AND(설정!$A$47&lt;&gt;"",ISNUMBER(SEARCH(설정!$A$47,K652))),설정!$B$47,IF(AND(설정!$A$48&lt;&gt;"",ISNUMBER(SEARCH(설정!$A$48,K652))),설정!$B$48,IF(M652="","설계사","시공사"))))))))),"")</f>
        <v/>
      </c>
      <c r="V652">
        <f>SUBSTITUTE(SUBSTITUTE(SUBSTITUTE(SUBSTITUTE(G652,"(주)",""),"㈜",""),"주식회사","")," ","")</f>
        <v/>
      </c>
      <c r="W652">
        <f>IF(AND(T652,V652&lt;&gt;""),IF(COUNTIFS(V$2:V652,V652,T$2:T652,TRUE)=1,MAX(W$1:W651)+1,""),"")</f>
        <v/>
      </c>
      <c r="X652">
        <f>IFERROR(INDEX('1.산군_붙여넣기'!$A$1:$AZ$1001,ROW(),설정!$C$14)&amp;"","")</f>
        <v/>
      </c>
      <c r="Y652">
        <f>IFERROR(INDEX('1.산군_붙여넣기'!$A$1:$AZ$1001,ROW(),설정!$C$15)&amp;"","")</f>
        <v/>
      </c>
      <c r="Z652">
        <f>IF(T652,V652&amp;"|"&amp;U652,"")</f>
        <v/>
      </c>
    </row>
    <row r="653">
      <c r="A653">
        <f>ROW()</f>
        <v/>
      </c>
      <c r="B653">
        <f>IFERROR(INDEX('1.산군_붙여넣기'!$A$1:$AZ$1001,ROW(),설정!$C$4)&amp;"","")</f>
        <v/>
      </c>
      <c r="C653">
        <f>IFERROR(INDEX('1.산군_붙여넣기'!$A$1:$AZ$1001,ROW(),설정!$C$5)&amp;"","")</f>
        <v/>
      </c>
      <c r="D653" s="5">
        <f>IFERROR(VALUE(SUBSTITUTE(SUBSTITUTE(SUBSTITUTE(IFERROR(INDEX('1.산군_붙여넣기'!$A$1:$AZ$1001,ROW(),설정!$C$6)&amp;"",""),",",""),"㎡",""),"m2","")),"")</f>
        <v/>
      </c>
      <c r="E653">
        <f>IFERROR(INDEX('1.산군_붙여넣기'!$A$1:$AZ$1001,ROW(),설정!$C$7)&amp;"","")</f>
        <v/>
      </c>
      <c r="F653">
        <f>IFERROR(INDEX('1.산군_붙여넣기'!$A$1:$AZ$1001,ROW(),설정!$C$8)&amp;"","")</f>
        <v/>
      </c>
      <c r="G653">
        <f>IFERROR(INDEX('1.산군_붙여넣기'!$A$1:$AZ$1001,ROW(),설정!$C$9)&amp;"","")</f>
        <v/>
      </c>
      <c r="H653">
        <f>IFERROR(INDEX('1.산군_붙여넣기'!$A$1:$AZ$1001,ROW(),설정!$C$10)&amp;"","")</f>
        <v/>
      </c>
      <c r="I653">
        <f>IFERROR(INDEX('1.산군_붙여넣기'!$A$1:$AZ$1001,ROW(),설정!$C$11)&amp;"","")</f>
        <v/>
      </c>
      <c r="J653">
        <f>IFERROR(INDEX('1.산군_붙여넣기'!$A$1:$AZ$1001,ROW(),설정!$C$12)&amp;"","")</f>
        <v/>
      </c>
      <c r="K653">
        <f>IFERROR(INDEX('1.산군_붙여넣기'!$A$1:$AZ$1001,ROW(),설정!$C$13)&amp;"","")</f>
        <v/>
      </c>
      <c r="L653" s="6">
        <f>IF(X653="","",IF(AND(LEN(X653)=8,ISNUMBER(X653*1)),DATE(LEFT(X653,4),MID(X653,5,2),RIGHT(X653,2)),IFERROR(DATEVALUE(SUBSTITUTE(SUBSTITUTE(X653,".","-"),"/","-")),IFERROR(X653*1,""))))</f>
        <v/>
      </c>
      <c r="M653" s="6">
        <f>IF(Y653="","",IF(AND(LEN(Y653)=8,ISNUMBER(Y653*1)),DATE(LEFT(Y653,4),MID(Y653,5,2),RIGHT(Y653,2)),IFERROR(DATEVALUE(SUBSTITUTE(SUBSTITUTE(Y653,".","-"),"/","-")),IFERROR(Y653*1,""))))</f>
        <v/>
      </c>
      <c r="N653">
        <f>IFERROR(LEFT(B653,FIND(" ",B653)-1),B653)</f>
        <v/>
      </c>
      <c r="O653">
        <f>AND(B653&lt;&gt;"",B653&lt;&gt;설정!$B$4,C653&lt;&gt;설정!$B$5)</f>
        <v/>
      </c>
      <c r="P653">
        <f>IF(O653,B653&amp;"|"&amp;C653,"")</f>
        <v/>
      </c>
      <c r="Q653">
        <f>AND(O653,COUNTIF(P654:P$1002,P653)=0)</f>
        <v/>
      </c>
      <c r="R653">
        <f>OR(AND(설정!$A$28&lt;&gt;"",ISNUMBER(SEARCH(설정!$A$28,E653&amp;" "&amp;C653))),AND(설정!$A$29&lt;&gt;"",ISNUMBER(SEARCH(설정!$A$29,E653&amp;" "&amp;C653))),AND(설정!$A$30&lt;&gt;"",ISNUMBER(SEARCH(설정!$A$30,E653&amp;" "&amp;C653))),AND(설정!$A$31&lt;&gt;"",ISNUMBER(SEARCH(설정!$A$31,E653&amp;" "&amp;C653))),AND(설정!$A$32&lt;&gt;"",ISNUMBER(SEARCH(설정!$A$32,E653&amp;" "&amp;C653))),AND(설정!$A$33&lt;&gt;"",ISNUMBER(SEARCH(설정!$A$33,E653&amp;" "&amp;C653))),AND(설정!$A$34&lt;&gt;"",ISNUMBER(SEARCH(설정!$A$34,E653&amp;" "&amp;C653))),AND(설정!$A$35&lt;&gt;"",ISNUMBER(SEARCH(설정!$A$35,E653&amp;" "&amp;C653))),AND(설정!$A$36&lt;&gt;"",ISNUMBER(SEARCH(설정!$A$36,E653&amp;" "&amp;C653))),AND(설정!$A$37&lt;&gt;"",ISNUMBER(SEARCH(설정!$A$37,E653&amp;" "&amp;C653))))</f>
        <v/>
      </c>
      <c r="S653">
        <f>OR(D653="",D653&gt;=설정!$B$19)</f>
        <v/>
      </c>
      <c r="T653">
        <f>AND(Q653,R653,S653)</f>
        <v/>
      </c>
      <c r="U653">
        <f>IF(T653,IF(AND(설정!$A$41&lt;&gt;"",ISNUMBER(SEARCH(설정!$A$41,K653))),설정!$B$41,IF(AND(설정!$A$42&lt;&gt;"",ISNUMBER(SEARCH(설정!$A$42,K653))),설정!$B$42,IF(AND(설정!$A$43&lt;&gt;"",ISNUMBER(SEARCH(설정!$A$43,K653))),설정!$B$43,IF(AND(설정!$A$44&lt;&gt;"",ISNUMBER(SEARCH(설정!$A$44,K653))),설정!$B$44,IF(AND(설정!$A$45&lt;&gt;"",ISNUMBER(SEARCH(설정!$A$45,K653))),설정!$B$45,IF(AND(설정!$A$46&lt;&gt;"",ISNUMBER(SEARCH(설정!$A$46,K653))),설정!$B$46,IF(AND(설정!$A$47&lt;&gt;"",ISNUMBER(SEARCH(설정!$A$47,K653))),설정!$B$47,IF(AND(설정!$A$48&lt;&gt;"",ISNUMBER(SEARCH(설정!$A$48,K653))),설정!$B$48,IF(M653="","설계사","시공사"))))))))),"")</f>
        <v/>
      </c>
      <c r="V653">
        <f>SUBSTITUTE(SUBSTITUTE(SUBSTITUTE(SUBSTITUTE(G653,"(주)",""),"㈜",""),"주식회사","")," ","")</f>
        <v/>
      </c>
      <c r="W653">
        <f>IF(AND(T653,V653&lt;&gt;""),IF(COUNTIFS(V$2:V653,V653,T$2:T653,TRUE)=1,MAX(W$1:W652)+1,""),"")</f>
        <v/>
      </c>
      <c r="X653">
        <f>IFERROR(INDEX('1.산군_붙여넣기'!$A$1:$AZ$1001,ROW(),설정!$C$14)&amp;"","")</f>
        <v/>
      </c>
      <c r="Y653">
        <f>IFERROR(INDEX('1.산군_붙여넣기'!$A$1:$AZ$1001,ROW(),설정!$C$15)&amp;"","")</f>
        <v/>
      </c>
      <c r="Z653">
        <f>IF(T653,V653&amp;"|"&amp;U653,"")</f>
        <v/>
      </c>
    </row>
    <row r="654">
      <c r="A654">
        <f>ROW()</f>
        <v/>
      </c>
      <c r="B654">
        <f>IFERROR(INDEX('1.산군_붙여넣기'!$A$1:$AZ$1001,ROW(),설정!$C$4)&amp;"","")</f>
        <v/>
      </c>
      <c r="C654">
        <f>IFERROR(INDEX('1.산군_붙여넣기'!$A$1:$AZ$1001,ROW(),설정!$C$5)&amp;"","")</f>
        <v/>
      </c>
      <c r="D654" s="5">
        <f>IFERROR(VALUE(SUBSTITUTE(SUBSTITUTE(SUBSTITUTE(IFERROR(INDEX('1.산군_붙여넣기'!$A$1:$AZ$1001,ROW(),설정!$C$6)&amp;"",""),",",""),"㎡",""),"m2","")),"")</f>
        <v/>
      </c>
      <c r="E654">
        <f>IFERROR(INDEX('1.산군_붙여넣기'!$A$1:$AZ$1001,ROW(),설정!$C$7)&amp;"","")</f>
        <v/>
      </c>
      <c r="F654">
        <f>IFERROR(INDEX('1.산군_붙여넣기'!$A$1:$AZ$1001,ROW(),설정!$C$8)&amp;"","")</f>
        <v/>
      </c>
      <c r="G654">
        <f>IFERROR(INDEX('1.산군_붙여넣기'!$A$1:$AZ$1001,ROW(),설정!$C$9)&amp;"","")</f>
        <v/>
      </c>
      <c r="H654">
        <f>IFERROR(INDEX('1.산군_붙여넣기'!$A$1:$AZ$1001,ROW(),설정!$C$10)&amp;"","")</f>
        <v/>
      </c>
      <c r="I654">
        <f>IFERROR(INDEX('1.산군_붙여넣기'!$A$1:$AZ$1001,ROW(),설정!$C$11)&amp;"","")</f>
        <v/>
      </c>
      <c r="J654">
        <f>IFERROR(INDEX('1.산군_붙여넣기'!$A$1:$AZ$1001,ROW(),설정!$C$12)&amp;"","")</f>
        <v/>
      </c>
      <c r="K654">
        <f>IFERROR(INDEX('1.산군_붙여넣기'!$A$1:$AZ$1001,ROW(),설정!$C$13)&amp;"","")</f>
        <v/>
      </c>
      <c r="L654" s="6">
        <f>IF(X654="","",IF(AND(LEN(X654)=8,ISNUMBER(X654*1)),DATE(LEFT(X654,4),MID(X654,5,2),RIGHT(X654,2)),IFERROR(DATEVALUE(SUBSTITUTE(SUBSTITUTE(X654,".","-"),"/","-")),IFERROR(X654*1,""))))</f>
        <v/>
      </c>
      <c r="M654" s="6">
        <f>IF(Y654="","",IF(AND(LEN(Y654)=8,ISNUMBER(Y654*1)),DATE(LEFT(Y654,4),MID(Y654,5,2),RIGHT(Y654,2)),IFERROR(DATEVALUE(SUBSTITUTE(SUBSTITUTE(Y654,".","-"),"/","-")),IFERROR(Y654*1,""))))</f>
        <v/>
      </c>
      <c r="N654">
        <f>IFERROR(LEFT(B654,FIND(" ",B654)-1),B654)</f>
        <v/>
      </c>
      <c r="O654">
        <f>AND(B654&lt;&gt;"",B654&lt;&gt;설정!$B$4,C654&lt;&gt;설정!$B$5)</f>
        <v/>
      </c>
      <c r="P654">
        <f>IF(O654,B654&amp;"|"&amp;C654,"")</f>
        <v/>
      </c>
      <c r="Q654">
        <f>AND(O654,COUNTIF(P655:P$1002,P654)=0)</f>
        <v/>
      </c>
      <c r="R654">
        <f>OR(AND(설정!$A$28&lt;&gt;"",ISNUMBER(SEARCH(설정!$A$28,E654&amp;" "&amp;C654))),AND(설정!$A$29&lt;&gt;"",ISNUMBER(SEARCH(설정!$A$29,E654&amp;" "&amp;C654))),AND(설정!$A$30&lt;&gt;"",ISNUMBER(SEARCH(설정!$A$30,E654&amp;" "&amp;C654))),AND(설정!$A$31&lt;&gt;"",ISNUMBER(SEARCH(설정!$A$31,E654&amp;" "&amp;C654))),AND(설정!$A$32&lt;&gt;"",ISNUMBER(SEARCH(설정!$A$32,E654&amp;" "&amp;C654))),AND(설정!$A$33&lt;&gt;"",ISNUMBER(SEARCH(설정!$A$33,E654&amp;" "&amp;C654))),AND(설정!$A$34&lt;&gt;"",ISNUMBER(SEARCH(설정!$A$34,E654&amp;" "&amp;C654))),AND(설정!$A$35&lt;&gt;"",ISNUMBER(SEARCH(설정!$A$35,E654&amp;" "&amp;C654))),AND(설정!$A$36&lt;&gt;"",ISNUMBER(SEARCH(설정!$A$36,E654&amp;" "&amp;C654))),AND(설정!$A$37&lt;&gt;"",ISNUMBER(SEARCH(설정!$A$37,E654&amp;" "&amp;C654))))</f>
        <v/>
      </c>
      <c r="S654">
        <f>OR(D654="",D654&gt;=설정!$B$19)</f>
        <v/>
      </c>
      <c r="T654">
        <f>AND(Q654,R654,S654)</f>
        <v/>
      </c>
      <c r="U654">
        <f>IF(T654,IF(AND(설정!$A$41&lt;&gt;"",ISNUMBER(SEARCH(설정!$A$41,K654))),설정!$B$41,IF(AND(설정!$A$42&lt;&gt;"",ISNUMBER(SEARCH(설정!$A$42,K654))),설정!$B$42,IF(AND(설정!$A$43&lt;&gt;"",ISNUMBER(SEARCH(설정!$A$43,K654))),설정!$B$43,IF(AND(설정!$A$44&lt;&gt;"",ISNUMBER(SEARCH(설정!$A$44,K654))),설정!$B$44,IF(AND(설정!$A$45&lt;&gt;"",ISNUMBER(SEARCH(설정!$A$45,K654))),설정!$B$45,IF(AND(설정!$A$46&lt;&gt;"",ISNUMBER(SEARCH(설정!$A$46,K654))),설정!$B$46,IF(AND(설정!$A$47&lt;&gt;"",ISNUMBER(SEARCH(설정!$A$47,K654))),설정!$B$47,IF(AND(설정!$A$48&lt;&gt;"",ISNUMBER(SEARCH(설정!$A$48,K654))),설정!$B$48,IF(M654="","설계사","시공사"))))))))),"")</f>
        <v/>
      </c>
      <c r="V654">
        <f>SUBSTITUTE(SUBSTITUTE(SUBSTITUTE(SUBSTITUTE(G654,"(주)",""),"㈜",""),"주식회사","")," ","")</f>
        <v/>
      </c>
      <c r="W654">
        <f>IF(AND(T654,V654&lt;&gt;""),IF(COUNTIFS(V$2:V654,V654,T$2:T654,TRUE)=1,MAX(W$1:W653)+1,""),"")</f>
        <v/>
      </c>
      <c r="X654">
        <f>IFERROR(INDEX('1.산군_붙여넣기'!$A$1:$AZ$1001,ROW(),설정!$C$14)&amp;"","")</f>
        <v/>
      </c>
      <c r="Y654">
        <f>IFERROR(INDEX('1.산군_붙여넣기'!$A$1:$AZ$1001,ROW(),설정!$C$15)&amp;"","")</f>
        <v/>
      </c>
      <c r="Z654">
        <f>IF(T654,V654&amp;"|"&amp;U654,"")</f>
        <v/>
      </c>
    </row>
    <row r="655">
      <c r="A655">
        <f>ROW()</f>
        <v/>
      </c>
      <c r="B655">
        <f>IFERROR(INDEX('1.산군_붙여넣기'!$A$1:$AZ$1001,ROW(),설정!$C$4)&amp;"","")</f>
        <v/>
      </c>
      <c r="C655">
        <f>IFERROR(INDEX('1.산군_붙여넣기'!$A$1:$AZ$1001,ROW(),설정!$C$5)&amp;"","")</f>
        <v/>
      </c>
      <c r="D655" s="5">
        <f>IFERROR(VALUE(SUBSTITUTE(SUBSTITUTE(SUBSTITUTE(IFERROR(INDEX('1.산군_붙여넣기'!$A$1:$AZ$1001,ROW(),설정!$C$6)&amp;"",""),",",""),"㎡",""),"m2","")),"")</f>
        <v/>
      </c>
      <c r="E655">
        <f>IFERROR(INDEX('1.산군_붙여넣기'!$A$1:$AZ$1001,ROW(),설정!$C$7)&amp;"","")</f>
        <v/>
      </c>
      <c r="F655">
        <f>IFERROR(INDEX('1.산군_붙여넣기'!$A$1:$AZ$1001,ROW(),설정!$C$8)&amp;"","")</f>
        <v/>
      </c>
      <c r="G655">
        <f>IFERROR(INDEX('1.산군_붙여넣기'!$A$1:$AZ$1001,ROW(),설정!$C$9)&amp;"","")</f>
        <v/>
      </c>
      <c r="H655">
        <f>IFERROR(INDEX('1.산군_붙여넣기'!$A$1:$AZ$1001,ROW(),설정!$C$10)&amp;"","")</f>
        <v/>
      </c>
      <c r="I655">
        <f>IFERROR(INDEX('1.산군_붙여넣기'!$A$1:$AZ$1001,ROW(),설정!$C$11)&amp;"","")</f>
        <v/>
      </c>
      <c r="J655">
        <f>IFERROR(INDEX('1.산군_붙여넣기'!$A$1:$AZ$1001,ROW(),설정!$C$12)&amp;"","")</f>
        <v/>
      </c>
      <c r="K655">
        <f>IFERROR(INDEX('1.산군_붙여넣기'!$A$1:$AZ$1001,ROW(),설정!$C$13)&amp;"","")</f>
        <v/>
      </c>
      <c r="L655" s="6">
        <f>IF(X655="","",IF(AND(LEN(X655)=8,ISNUMBER(X655*1)),DATE(LEFT(X655,4),MID(X655,5,2),RIGHT(X655,2)),IFERROR(DATEVALUE(SUBSTITUTE(SUBSTITUTE(X655,".","-"),"/","-")),IFERROR(X655*1,""))))</f>
        <v/>
      </c>
      <c r="M655" s="6">
        <f>IF(Y655="","",IF(AND(LEN(Y655)=8,ISNUMBER(Y655*1)),DATE(LEFT(Y655,4),MID(Y655,5,2),RIGHT(Y655,2)),IFERROR(DATEVALUE(SUBSTITUTE(SUBSTITUTE(Y655,".","-"),"/","-")),IFERROR(Y655*1,""))))</f>
        <v/>
      </c>
      <c r="N655">
        <f>IFERROR(LEFT(B655,FIND(" ",B655)-1),B655)</f>
        <v/>
      </c>
      <c r="O655">
        <f>AND(B655&lt;&gt;"",B655&lt;&gt;설정!$B$4,C655&lt;&gt;설정!$B$5)</f>
        <v/>
      </c>
      <c r="P655">
        <f>IF(O655,B655&amp;"|"&amp;C655,"")</f>
        <v/>
      </c>
      <c r="Q655">
        <f>AND(O655,COUNTIF(P656:P$1002,P655)=0)</f>
        <v/>
      </c>
      <c r="R655">
        <f>OR(AND(설정!$A$28&lt;&gt;"",ISNUMBER(SEARCH(설정!$A$28,E655&amp;" "&amp;C655))),AND(설정!$A$29&lt;&gt;"",ISNUMBER(SEARCH(설정!$A$29,E655&amp;" "&amp;C655))),AND(설정!$A$30&lt;&gt;"",ISNUMBER(SEARCH(설정!$A$30,E655&amp;" "&amp;C655))),AND(설정!$A$31&lt;&gt;"",ISNUMBER(SEARCH(설정!$A$31,E655&amp;" "&amp;C655))),AND(설정!$A$32&lt;&gt;"",ISNUMBER(SEARCH(설정!$A$32,E655&amp;" "&amp;C655))),AND(설정!$A$33&lt;&gt;"",ISNUMBER(SEARCH(설정!$A$33,E655&amp;" "&amp;C655))),AND(설정!$A$34&lt;&gt;"",ISNUMBER(SEARCH(설정!$A$34,E655&amp;" "&amp;C655))),AND(설정!$A$35&lt;&gt;"",ISNUMBER(SEARCH(설정!$A$35,E655&amp;" "&amp;C655))),AND(설정!$A$36&lt;&gt;"",ISNUMBER(SEARCH(설정!$A$36,E655&amp;" "&amp;C655))),AND(설정!$A$37&lt;&gt;"",ISNUMBER(SEARCH(설정!$A$37,E655&amp;" "&amp;C655))))</f>
        <v/>
      </c>
      <c r="S655">
        <f>OR(D655="",D655&gt;=설정!$B$19)</f>
        <v/>
      </c>
      <c r="T655">
        <f>AND(Q655,R655,S655)</f>
        <v/>
      </c>
      <c r="U655">
        <f>IF(T655,IF(AND(설정!$A$41&lt;&gt;"",ISNUMBER(SEARCH(설정!$A$41,K655))),설정!$B$41,IF(AND(설정!$A$42&lt;&gt;"",ISNUMBER(SEARCH(설정!$A$42,K655))),설정!$B$42,IF(AND(설정!$A$43&lt;&gt;"",ISNUMBER(SEARCH(설정!$A$43,K655))),설정!$B$43,IF(AND(설정!$A$44&lt;&gt;"",ISNUMBER(SEARCH(설정!$A$44,K655))),설정!$B$44,IF(AND(설정!$A$45&lt;&gt;"",ISNUMBER(SEARCH(설정!$A$45,K655))),설정!$B$45,IF(AND(설정!$A$46&lt;&gt;"",ISNUMBER(SEARCH(설정!$A$46,K655))),설정!$B$46,IF(AND(설정!$A$47&lt;&gt;"",ISNUMBER(SEARCH(설정!$A$47,K655))),설정!$B$47,IF(AND(설정!$A$48&lt;&gt;"",ISNUMBER(SEARCH(설정!$A$48,K655))),설정!$B$48,IF(M655="","설계사","시공사"))))))))),"")</f>
        <v/>
      </c>
      <c r="V655">
        <f>SUBSTITUTE(SUBSTITUTE(SUBSTITUTE(SUBSTITUTE(G655,"(주)",""),"㈜",""),"주식회사","")," ","")</f>
        <v/>
      </c>
      <c r="W655">
        <f>IF(AND(T655,V655&lt;&gt;""),IF(COUNTIFS(V$2:V655,V655,T$2:T655,TRUE)=1,MAX(W$1:W654)+1,""),"")</f>
        <v/>
      </c>
      <c r="X655">
        <f>IFERROR(INDEX('1.산군_붙여넣기'!$A$1:$AZ$1001,ROW(),설정!$C$14)&amp;"","")</f>
        <v/>
      </c>
      <c r="Y655">
        <f>IFERROR(INDEX('1.산군_붙여넣기'!$A$1:$AZ$1001,ROW(),설정!$C$15)&amp;"","")</f>
        <v/>
      </c>
      <c r="Z655">
        <f>IF(T655,V655&amp;"|"&amp;U655,"")</f>
        <v/>
      </c>
    </row>
    <row r="656">
      <c r="A656">
        <f>ROW()</f>
        <v/>
      </c>
      <c r="B656">
        <f>IFERROR(INDEX('1.산군_붙여넣기'!$A$1:$AZ$1001,ROW(),설정!$C$4)&amp;"","")</f>
        <v/>
      </c>
      <c r="C656">
        <f>IFERROR(INDEX('1.산군_붙여넣기'!$A$1:$AZ$1001,ROW(),설정!$C$5)&amp;"","")</f>
        <v/>
      </c>
      <c r="D656" s="5">
        <f>IFERROR(VALUE(SUBSTITUTE(SUBSTITUTE(SUBSTITUTE(IFERROR(INDEX('1.산군_붙여넣기'!$A$1:$AZ$1001,ROW(),설정!$C$6)&amp;"",""),",",""),"㎡",""),"m2","")),"")</f>
        <v/>
      </c>
      <c r="E656">
        <f>IFERROR(INDEX('1.산군_붙여넣기'!$A$1:$AZ$1001,ROW(),설정!$C$7)&amp;"","")</f>
        <v/>
      </c>
      <c r="F656">
        <f>IFERROR(INDEX('1.산군_붙여넣기'!$A$1:$AZ$1001,ROW(),설정!$C$8)&amp;"","")</f>
        <v/>
      </c>
      <c r="G656">
        <f>IFERROR(INDEX('1.산군_붙여넣기'!$A$1:$AZ$1001,ROW(),설정!$C$9)&amp;"","")</f>
        <v/>
      </c>
      <c r="H656">
        <f>IFERROR(INDEX('1.산군_붙여넣기'!$A$1:$AZ$1001,ROW(),설정!$C$10)&amp;"","")</f>
        <v/>
      </c>
      <c r="I656">
        <f>IFERROR(INDEX('1.산군_붙여넣기'!$A$1:$AZ$1001,ROW(),설정!$C$11)&amp;"","")</f>
        <v/>
      </c>
      <c r="J656">
        <f>IFERROR(INDEX('1.산군_붙여넣기'!$A$1:$AZ$1001,ROW(),설정!$C$12)&amp;"","")</f>
        <v/>
      </c>
      <c r="K656">
        <f>IFERROR(INDEX('1.산군_붙여넣기'!$A$1:$AZ$1001,ROW(),설정!$C$13)&amp;"","")</f>
        <v/>
      </c>
      <c r="L656" s="6">
        <f>IF(X656="","",IF(AND(LEN(X656)=8,ISNUMBER(X656*1)),DATE(LEFT(X656,4),MID(X656,5,2),RIGHT(X656,2)),IFERROR(DATEVALUE(SUBSTITUTE(SUBSTITUTE(X656,".","-"),"/","-")),IFERROR(X656*1,""))))</f>
        <v/>
      </c>
      <c r="M656" s="6">
        <f>IF(Y656="","",IF(AND(LEN(Y656)=8,ISNUMBER(Y656*1)),DATE(LEFT(Y656,4),MID(Y656,5,2),RIGHT(Y656,2)),IFERROR(DATEVALUE(SUBSTITUTE(SUBSTITUTE(Y656,".","-"),"/","-")),IFERROR(Y656*1,""))))</f>
        <v/>
      </c>
      <c r="N656">
        <f>IFERROR(LEFT(B656,FIND(" ",B656)-1),B656)</f>
        <v/>
      </c>
      <c r="O656">
        <f>AND(B656&lt;&gt;"",B656&lt;&gt;설정!$B$4,C656&lt;&gt;설정!$B$5)</f>
        <v/>
      </c>
      <c r="P656">
        <f>IF(O656,B656&amp;"|"&amp;C656,"")</f>
        <v/>
      </c>
      <c r="Q656">
        <f>AND(O656,COUNTIF(P657:P$1002,P656)=0)</f>
        <v/>
      </c>
      <c r="R656">
        <f>OR(AND(설정!$A$28&lt;&gt;"",ISNUMBER(SEARCH(설정!$A$28,E656&amp;" "&amp;C656))),AND(설정!$A$29&lt;&gt;"",ISNUMBER(SEARCH(설정!$A$29,E656&amp;" "&amp;C656))),AND(설정!$A$30&lt;&gt;"",ISNUMBER(SEARCH(설정!$A$30,E656&amp;" "&amp;C656))),AND(설정!$A$31&lt;&gt;"",ISNUMBER(SEARCH(설정!$A$31,E656&amp;" "&amp;C656))),AND(설정!$A$32&lt;&gt;"",ISNUMBER(SEARCH(설정!$A$32,E656&amp;" "&amp;C656))),AND(설정!$A$33&lt;&gt;"",ISNUMBER(SEARCH(설정!$A$33,E656&amp;" "&amp;C656))),AND(설정!$A$34&lt;&gt;"",ISNUMBER(SEARCH(설정!$A$34,E656&amp;" "&amp;C656))),AND(설정!$A$35&lt;&gt;"",ISNUMBER(SEARCH(설정!$A$35,E656&amp;" "&amp;C656))),AND(설정!$A$36&lt;&gt;"",ISNUMBER(SEARCH(설정!$A$36,E656&amp;" "&amp;C656))),AND(설정!$A$37&lt;&gt;"",ISNUMBER(SEARCH(설정!$A$37,E656&amp;" "&amp;C656))))</f>
        <v/>
      </c>
      <c r="S656">
        <f>OR(D656="",D656&gt;=설정!$B$19)</f>
        <v/>
      </c>
      <c r="T656">
        <f>AND(Q656,R656,S656)</f>
        <v/>
      </c>
      <c r="U656">
        <f>IF(T656,IF(AND(설정!$A$41&lt;&gt;"",ISNUMBER(SEARCH(설정!$A$41,K656))),설정!$B$41,IF(AND(설정!$A$42&lt;&gt;"",ISNUMBER(SEARCH(설정!$A$42,K656))),설정!$B$42,IF(AND(설정!$A$43&lt;&gt;"",ISNUMBER(SEARCH(설정!$A$43,K656))),설정!$B$43,IF(AND(설정!$A$44&lt;&gt;"",ISNUMBER(SEARCH(설정!$A$44,K656))),설정!$B$44,IF(AND(설정!$A$45&lt;&gt;"",ISNUMBER(SEARCH(설정!$A$45,K656))),설정!$B$45,IF(AND(설정!$A$46&lt;&gt;"",ISNUMBER(SEARCH(설정!$A$46,K656))),설정!$B$46,IF(AND(설정!$A$47&lt;&gt;"",ISNUMBER(SEARCH(설정!$A$47,K656))),설정!$B$47,IF(AND(설정!$A$48&lt;&gt;"",ISNUMBER(SEARCH(설정!$A$48,K656))),설정!$B$48,IF(M656="","설계사","시공사"))))))))),"")</f>
        <v/>
      </c>
      <c r="V656">
        <f>SUBSTITUTE(SUBSTITUTE(SUBSTITUTE(SUBSTITUTE(G656,"(주)",""),"㈜",""),"주식회사","")," ","")</f>
        <v/>
      </c>
      <c r="W656">
        <f>IF(AND(T656,V656&lt;&gt;""),IF(COUNTIFS(V$2:V656,V656,T$2:T656,TRUE)=1,MAX(W$1:W655)+1,""),"")</f>
        <v/>
      </c>
      <c r="X656">
        <f>IFERROR(INDEX('1.산군_붙여넣기'!$A$1:$AZ$1001,ROW(),설정!$C$14)&amp;"","")</f>
        <v/>
      </c>
      <c r="Y656">
        <f>IFERROR(INDEX('1.산군_붙여넣기'!$A$1:$AZ$1001,ROW(),설정!$C$15)&amp;"","")</f>
        <v/>
      </c>
      <c r="Z656">
        <f>IF(T656,V656&amp;"|"&amp;U656,"")</f>
        <v/>
      </c>
    </row>
    <row r="657">
      <c r="A657">
        <f>ROW()</f>
        <v/>
      </c>
      <c r="B657">
        <f>IFERROR(INDEX('1.산군_붙여넣기'!$A$1:$AZ$1001,ROW(),설정!$C$4)&amp;"","")</f>
        <v/>
      </c>
      <c r="C657">
        <f>IFERROR(INDEX('1.산군_붙여넣기'!$A$1:$AZ$1001,ROW(),설정!$C$5)&amp;"","")</f>
        <v/>
      </c>
      <c r="D657" s="5">
        <f>IFERROR(VALUE(SUBSTITUTE(SUBSTITUTE(SUBSTITUTE(IFERROR(INDEX('1.산군_붙여넣기'!$A$1:$AZ$1001,ROW(),설정!$C$6)&amp;"",""),",",""),"㎡",""),"m2","")),"")</f>
        <v/>
      </c>
      <c r="E657">
        <f>IFERROR(INDEX('1.산군_붙여넣기'!$A$1:$AZ$1001,ROW(),설정!$C$7)&amp;"","")</f>
        <v/>
      </c>
      <c r="F657">
        <f>IFERROR(INDEX('1.산군_붙여넣기'!$A$1:$AZ$1001,ROW(),설정!$C$8)&amp;"","")</f>
        <v/>
      </c>
      <c r="G657">
        <f>IFERROR(INDEX('1.산군_붙여넣기'!$A$1:$AZ$1001,ROW(),설정!$C$9)&amp;"","")</f>
        <v/>
      </c>
      <c r="H657">
        <f>IFERROR(INDEX('1.산군_붙여넣기'!$A$1:$AZ$1001,ROW(),설정!$C$10)&amp;"","")</f>
        <v/>
      </c>
      <c r="I657">
        <f>IFERROR(INDEX('1.산군_붙여넣기'!$A$1:$AZ$1001,ROW(),설정!$C$11)&amp;"","")</f>
        <v/>
      </c>
      <c r="J657">
        <f>IFERROR(INDEX('1.산군_붙여넣기'!$A$1:$AZ$1001,ROW(),설정!$C$12)&amp;"","")</f>
        <v/>
      </c>
      <c r="K657">
        <f>IFERROR(INDEX('1.산군_붙여넣기'!$A$1:$AZ$1001,ROW(),설정!$C$13)&amp;"","")</f>
        <v/>
      </c>
      <c r="L657" s="6">
        <f>IF(X657="","",IF(AND(LEN(X657)=8,ISNUMBER(X657*1)),DATE(LEFT(X657,4),MID(X657,5,2),RIGHT(X657,2)),IFERROR(DATEVALUE(SUBSTITUTE(SUBSTITUTE(X657,".","-"),"/","-")),IFERROR(X657*1,""))))</f>
        <v/>
      </c>
      <c r="M657" s="6">
        <f>IF(Y657="","",IF(AND(LEN(Y657)=8,ISNUMBER(Y657*1)),DATE(LEFT(Y657,4),MID(Y657,5,2),RIGHT(Y657,2)),IFERROR(DATEVALUE(SUBSTITUTE(SUBSTITUTE(Y657,".","-"),"/","-")),IFERROR(Y657*1,""))))</f>
        <v/>
      </c>
      <c r="N657">
        <f>IFERROR(LEFT(B657,FIND(" ",B657)-1),B657)</f>
        <v/>
      </c>
      <c r="O657">
        <f>AND(B657&lt;&gt;"",B657&lt;&gt;설정!$B$4,C657&lt;&gt;설정!$B$5)</f>
        <v/>
      </c>
      <c r="P657">
        <f>IF(O657,B657&amp;"|"&amp;C657,"")</f>
        <v/>
      </c>
      <c r="Q657">
        <f>AND(O657,COUNTIF(P658:P$1002,P657)=0)</f>
        <v/>
      </c>
      <c r="R657">
        <f>OR(AND(설정!$A$28&lt;&gt;"",ISNUMBER(SEARCH(설정!$A$28,E657&amp;" "&amp;C657))),AND(설정!$A$29&lt;&gt;"",ISNUMBER(SEARCH(설정!$A$29,E657&amp;" "&amp;C657))),AND(설정!$A$30&lt;&gt;"",ISNUMBER(SEARCH(설정!$A$30,E657&amp;" "&amp;C657))),AND(설정!$A$31&lt;&gt;"",ISNUMBER(SEARCH(설정!$A$31,E657&amp;" "&amp;C657))),AND(설정!$A$32&lt;&gt;"",ISNUMBER(SEARCH(설정!$A$32,E657&amp;" "&amp;C657))),AND(설정!$A$33&lt;&gt;"",ISNUMBER(SEARCH(설정!$A$33,E657&amp;" "&amp;C657))),AND(설정!$A$34&lt;&gt;"",ISNUMBER(SEARCH(설정!$A$34,E657&amp;" "&amp;C657))),AND(설정!$A$35&lt;&gt;"",ISNUMBER(SEARCH(설정!$A$35,E657&amp;" "&amp;C657))),AND(설정!$A$36&lt;&gt;"",ISNUMBER(SEARCH(설정!$A$36,E657&amp;" "&amp;C657))),AND(설정!$A$37&lt;&gt;"",ISNUMBER(SEARCH(설정!$A$37,E657&amp;" "&amp;C657))))</f>
        <v/>
      </c>
      <c r="S657">
        <f>OR(D657="",D657&gt;=설정!$B$19)</f>
        <v/>
      </c>
      <c r="T657">
        <f>AND(Q657,R657,S657)</f>
        <v/>
      </c>
      <c r="U657">
        <f>IF(T657,IF(AND(설정!$A$41&lt;&gt;"",ISNUMBER(SEARCH(설정!$A$41,K657))),설정!$B$41,IF(AND(설정!$A$42&lt;&gt;"",ISNUMBER(SEARCH(설정!$A$42,K657))),설정!$B$42,IF(AND(설정!$A$43&lt;&gt;"",ISNUMBER(SEARCH(설정!$A$43,K657))),설정!$B$43,IF(AND(설정!$A$44&lt;&gt;"",ISNUMBER(SEARCH(설정!$A$44,K657))),설정!$B$44,IF(AND(설정!$A$45&lt;&gt;"",ISNUMBER(SEARCH(설정!$A$45,K657))),설정!$B$45,IF(AND(설정!$A$46&lt;&gt;"",ISNUMBER(SEARCH(설정!$A$46,K657))),설정!$B$46,IF(AND(설정!$A$47&lt;&gt;"",ISNUMBER(SEARCH(설정!$A$47,K657))),설정!$B$47,IF(AND(설정!$A$48&lt;&gt;"",ISNUMBER(SEARCH(설정!$A$48,K657))),설정!$B$48,IF(M657="","설계사","시공사"))))))))),"")</f>
        <v/>
      </c>
      <c r="V657">
        <f>SUBSTITUTE(SUBSTITUTE(SUBSTITUTE(SUBSTITUTE(G657,"(주)",""),"㈜",""),"주식회사","")," ","")</f>
        <v/>
      </c>
      <c r="W657">
        <f>IF(AND(T657,V657&lt;&gt;""),IF(COUNTIFS(V$2:V657,V657,T$2:T657,TRUE)=1,MAX(W$1:W656)+1,""),"")</f>
        <v/>
      </c>
      <c r="X657">
        <f>IFERROR(INDEX('1.산군_붙여넣기'!$A$1:$AZ$1001,ROW(),설정!$C$14)&amp;"","")</f>
        <v/>
      </c>
      <c r="Y657">
        <f>IFERROR(INDEX('1.산군_붙여넣기'!$A$1:$AZ$1001,ROW(),설정!$C$15)&amp;"","")</f>
        <v/>
      </c>
      <c r="Z657">
        <f>IF(T657,V657&amp;"|"&amp;U657,"")</f>
        <v/>
      </c>
    </row>
    <row r="658">
      <c r="A658">
        <f>ROW()</f>
        <v/>
      </c>
      <c r="B658">
        <f>IFERROR(INDEX('1.산군_붙여넣기'!$A$1:$AZ$1001,ROW(),설정!$C$4)&amp;"","")</f>
        <v/>
      </c>
      <c r="C658">
        <f>IFERROR(INDEX('1.산군_붙여넣기'!$A$1:$AZ$1001,ROW(),설정!$C$5)&amp;"","")</f>
        <v/>
      </c>
      <c r="D658" s="5">
        <f>IFERROR(VALUE(SUBSTITUTE(SUBSTITUTE(SUBSTITUTE(IFERROR(INDEX('1.산군_붙여넣기'!$A$1:$AZ$1001,ROW(),설정!$C$6)&amp;"",""),",",""),"㎡",""),"m2","")),"")</f>
        <v/>
      </c>
      <c r="E658">
        <f>IFERROR(INDEX('1.산군_붙여넣기'!$A$1:$AZ$1001,ROW(),설정!$C$7)&amp;"","")</f>
        <v/>
      </c>
      <c r="F658">
        <f>IFERROR(INDEX('1.산군_붙여넣기'!$A$1:$AZ$1001,ROW(),설정!$C$8)&amp;"","")</f>
        <v/>
      </c>
      <c r="G658">
        <f>IFERROR(INDEX('1.산군_붙여넣기'!$A$1:$AZ$1001,ROW(),설정!$C$9)&amp;"","")</f>
        <v/>
      </c>
      <c r="H658">
        <f>IFERROR(INDEX('1.산군_붙여넣기'!$A$1:$AZ$1001,ROW(),설정!$C$10)&amp;"","")</f>
        <v/>
      </c>
      <c r="I658">
        <f>IFERROR(INDEX('1.산군_붙여넣기'!$A$1:$AZ$1001,ROW(),설정!$C$11)&amp;"","")</f>
        <v/>
      </c>
      <c r="J658">
        <f>IFERROR(INDEX('1.산군_붙여넣기'!$A$1:$AZ$1001,ROW(),설정!$C$12)&amp;"","")</f>
        <v/>
      </c>
      <c r="K658">
        <f>IFERROR(INDEX('1.산군_붙여넣기'!$A$1:$AZ$1001,ROW(),설정!$C$13)&amp;"","")</f>
        <v/>
      </c>
      <c r="L658" s="6">
        <f>IF(X658="","",IF(AND(LEN(X658)=8,ISNUMBER(X658*1)),DATE(LEFT(X658,4),MID(X658,5,2),RIGHT(X658,2)),IFERROR(DATEVALUE(SUBSTITUTE(SUBSTITUTE(X658,".","-"),"/","-")),IFERROR(X658*1,""))))</f>
        <v/>
      </c>
      <c r="M658" s="6">
        <f>IF(Y658="","",IF(AND(LEN(Y658)=8,ISNUMBER(Y658*1)),DATE(LEFT(Y658,4),MID(Y658,5,2),RIGHT(Y658,2)),IFERROR(DATEVALUE(SUBSTITUTE(SUBSTITUTE(Y658,".","-"),"/","-")),IFERROR(Y658*1,""))))</f>
        <v/>
      </c>
      <c r="N658">
        <f>IFERROR(LEFT(B658,FIND(" ",B658)-1),B658)</f>
        <v/>
      </c>
      <c r="O658">
        <f>AND(B658&lt;&gt;"",B658&lt;&gt;설정!$B$4,C658&lt;&gt;설정!$B$5)</f>
        <v/>
      </c>
      <c r="P658">
        <f>IF(O658,B658&amp;"|"&amp;C658,"")</f>
        <v/>
      </c>
      <c r="Q658">
        <f>AND(O658,COUNTIF(P659:P$1002,P658)=0)</f>
        <v/>
      </c>
      <c r="R658">
        <f>OR(AND(설정!$A$28&lt;&gt;"",ISNUMBER(SEARCH(설정!$A$28,E658&amp;" "&amp;C658))),AND(설정!$A$29&lt;&gt;"",ISNUMBER(SEARCH(설정!$A$29,E658&amp;" "&amp;C658))),AND(설정!$A$30&lt;&gt;"",ISNUMBER(SEARCH(설정!$A$30,E658&amp;" "&amp;C658))),AND(설정!$A$31&lt;&gt;"",ISNUMBER(SEARCH(설정!$A$31,E658&amp;" "&amp;C658))),AND(설정!$A$32&lt;&gt;"",ISNUMBER(SEARCH(설정!$A$32,E658&amp;" "&amp;C658))),AND(설정!$A$33&lt;&gt;"",ISNUMBER(SEARCH(설정!$A$33,E658&amp;" "&amp;C658))),AND(설정!$A$34&lt;&gt;"",ISNUMBER(SEARCH(설정!$A$34,E658&amp;" "&amp;C658))),AND(설정!$A$35&lt;&gt;"",ISNUMBER(SEARCH(설정!$A$35,E658&amp;" "&amp;C658))),AND(설정!$A$36&lt;&gt;"",ISNUMBER(SEARCH(설정!$A$36,E658&amp;" "&amp;C658))),AND(설정!$A$37&lt;&gt;"",ISNUMBER(SEARCH(설정!$A$37,E658&amp;" "&amp;C658))))</f>
        <v/>
      </c>
      <c r="S658">
        <f>OR(D658="",D658&gt;=설정!$B$19)</f>
        <v/>
      </c>
      <c r="T658">
        <f>AND(Q658,R658,S658)</f>
        <v/>
      </c>
      <c r="U658">
        <f>IF(T658,IF(AND(설정!$A$41&lt;&gt;"",ISNUMBER(SEARCH(설정!$A$41,K658))),설정!$B$41,IF(AND(설정!$A$42&lt;&gt;"",ISNUMBER(SEARCH(설정!$A$42,K658))),설정!$B$42,IF(AND(설정!$A$43&lt;&gt;"",ISNUMBER(SEARCH(설정!$A$43,K658))),설정!$B$43,IF(AND(설정!$A$44&lt;&gt;"",ISNUMBER(SEARCH(설정!$A$44,K658))),설정!$B$44,IF(AND(설정!$A$45&lt;&gt;"",ISNUMBER(SEARCH(설정!$A$45,K658))),설정!$B$45,IF(AND(설정!$A$46&lt;&gt;"",ISNUMBER(SEARCH(설정!$A$46,K658))),설정!$B$46,IF(AND(설정!$A$47&lt;&gt;"",ISNUMBER(SEARCH(설정!$A$47,K658))),설정!$B$47,IF(AND(설정!$A$48&lt;&gt;"",ISNUMBER(SEARCH(설정!$A$48,K658))),설정!$B$48,IF(M658="","설계사","시공사"))))))))),"")</f>
        <v/>
      </c>
      <c r="V658">
        <f>SUBSTITUTE(SUBSTITUTE(SUBSTITUTE(SUBSTITUTE(G658,"(주)",""),"㈜",""),"주식회사","")," ","")</f>
        <v/>
      </c>
      <c r="W658">
        <f>IF(AND(T658,V658&lt;&gt;""),IF(COUNTIFS(V$2:V658,V658,T$2:T658,TRUE)=1,MAX(W$1:W657)+1,""),"")</f>
        <v/>
      </c>
      <c r="X658">
        <f>IFERROR(INDEX('1.산군_붙여넣기'!$A$1:$AZ$1001,ROW(),설정!$C$14)&amp;"","")</f>
        <v/>
      </c>
      <c r="Y658">
        <f>IFERROR(INDEX('1.산군_붙여넣기'!$A$1:$AZ$1001,ROW(),설정!$C$15)&amp;"","")</f>
        <v/>
      </c>
      <c r="Z658">
        <f>IF(T658,V658&amp;"|"&amp;U658,"")</f>
        <v/>
      </c>
    </row>
    <row r="659">
      <c r="A659">
        <f>ROW()</f>
        <v/>
      </c>
      <c r="B659">
        <f>IFERROR(INDEX('1.산군_붙여넣기'!$A$1:$AZ$1001,ROW(),설정!$C$4)&amp;"","")</f>
        <v/>
      </c>
      <c r="C659">
        <f>IFERROR(INDEX('1.산군_붙여넣기'!$A$1:$AZ$1001,ROW(),설정!$C$5)&amp;"","")</f>
        <v/>
      </c>
      <c r="D659" s="5">
        <f>IFERROR(VALUE(SUBSTITUTE(SUBSTITUTE(SUBSTITUTE(IFERROR(INDEX('1.산군_붙여넣기'!$A$1:$AZ$1001,ROW(),설정!$C$6)&amp;"",""),",",""),"㎡",""),"m2","")),"")</f>
        <v/>
      </c>
      <c r="E659">
        <f>IFERROR(INDEX('1.산군_붙여넣기'!$A$1:$AZ$1001,ROW(),설정!$C$7)&amp;"","")</f>
        <v/>
      </c>
      <c r="F659">
        <f>IFERROR(INDEX('1.산군_붙여넣기'!$A$1:$AZ$1001,ROW(),설정!$C$8)&amp;"","")</f>
        <v/>
      </c>
      <c r="G659">
        <f>IFERROR(INDEX('1.산군_붙여넣기'!$A$1:$AZ$1001,ROW(),설정!$C$9)&amp;"","")</f>
        <v/>
      </c>
      <c r="H659">
        <f>IFERROR(INDEX('1.산군_붙여넣기'!$A$1:$AZ$1001,ROW(),설정!$C$10)&amp;"","")</f>
        <v/>
      </c>
      <c r="I659">
        <f>IFERROR(INDEX('1.산군_붙여넣기'!$A$1:$AZ$1001,ROW(),설정!$C$11)&amp;"","")</f>
        <v/>
      </c>
      <c r="J659">
        <f>IFERROR(INDEX('1.산군_붙여넣기'!$A$1:$AZ$1001,ROW(),설정!$C$12)&amp;"","")</f>
        <v/>
      </c>
      <c r="K659">
        <f>IFERROR(INDEX('1.산군_붙여넣기'!$A$1:$AZ$1001,ROW(),설정!$C$13)&amp;"","")</f>
        <v/>
      </c>
      <c r="L659" s="6">
        <f>IF(X659="","",IF(AND(LEN(X659)=8,ISNUMBER(X659*1)),DATE(LEFT(X659,4),MID(X659,5,2),RIGHT(X659,2)),IFERROR(DATEVALUE(SUBSTITUTE(SUBSTITUTE(X659,".","-"),"/","-")),IFERROR(X659*1,""))))</f>
        <v/>
      </c>
      <c r="M659" s="6">
        <f>IF(Y659="","",IF(AND(LEN(Y659)=8,ISNUMBER(Y659*1)),DATE(LEFT(Y659,4),MID(Y659,5,2),RIGHT(Y659,2)),IFERROR(DATEVALUE(SUBSTITUTE(SUBSTITUTE(Y659,".","-"),"/","-")),IFERROR(Y659*1,""))))</f>
        <v/>
      </c>
      <c r="N659">
        <f>IFERROR(LEFT(B659,FIND(" ",B659)-1),B659)</f>
        <v/>
      </c>
      <c r="O659">
        <f>AND(B659&lt;&gt;"",B659&lt;&gt;설정!$B$4,C659&lt;&gt;설정!$B$5)</f>
        <v/>
      </c>
      <c r="P659">
        <f>IF(O659,B659&amp;"|"&amp;C659,"")</f>
        <v/>
      </c>
      <c r="Q659">
        <f>AND(O659,COUNTIF(P660:P$1002,P659)=0)</f>
        <v/>
      </c>
      <c r="R659">
        <f>OR(AND(설정!$A$28&lt;&gt;"",ISNUMBER(SEARCH(설정!$A$28,E659&amp;" "&amp;C659))),AND(설정!$A$29&lt;&gt;"",ISNUMBER(SEARCH(설정!$A$29,E659&amp;" "&amp;C659))),AND(설정!$A$30&lt;&gt;"",ISNUMBER(SEARCH(설정!$A$30,E659&amp;" "&amp;C659))),AND(설정!$A$31&lt;&gt;"",ISNUMBER(SEARCH(설정!$A$31,E659&amp;" "&amp;C659))),AND(설정!$A$32&lt;&gt;"",ISNUMBER(SEARCH(설정!$A$32,E659&amp;" "&amp;C659))),AND(설정!$A$33&lt;&gt;"",ISNUMBER(SEARCH(설정!$A$33,E659&amp;" "&amp;C659))),AND(설정!$A$34&lt;&gt;"",ISNUMBER(SEARCH(설정!$A$34,E659&amp;" "&amp;C659))),AND(설정!$A$35&lt;&gt;"",ISNUMBER(SEARCH(설정!$A$35,E659&amp;" "&amp;C659))),AND(설정!$A$36&lt;&gt;"",ISNUMBER(SEARCH(설정!$A$36,E659&amp;" "&amp;C659))),AND(설정!$A$37&lt;&gt;"",ISNUMBER(SEARCH(설정!$A$37,E659&amp;" "&amp;C659))))</f>
        <v/>
      </c>
      <c r="S659">
        <f>OR(D659="",D659&gt;=설정!$B$19)</f>
        <v/>
      </c>
      <c r="T659">
        <f>AND(Q659,R659,S659)</f>
        <v/>
      </c>
      <c r="U659">
        <f>IF(T659,IF(AND(설정!$A$41&lt;&gt;"",ISNUMBER(SEARCH(설정!$A$41,K659))),설정!$B$41,IF(AND(설정!$A$42&lt;&gt;"",ISNUMBER(SEARCH(설정!$A$42,K659))),설정!$B$42,IF(AND(설정!$A$43&lt;&gt;"",ISNUMBER(SEARCH(설정!$A$43,K659))),설정!$B$43,IF(AND(설정!$A$44&lt;&gt;"",ISNUMBER(SEARCH(설정!$A$44,K659))),설정!$B$44,IF(AND(설정!$A$45&lt;&gt;"",ISNUMBER(SEARCH(설정!$A$45,K659))),설정!$B$45,IF(AND(설정!$A$46&lt;&gt;"",ISNUMBER(SEARCH(설정!$A$46,K659))),설정!$B$46,IF(AND(설정!$A$47&lt;&gt;"",ISNUMBER(SEARCH(설정!$A$47,K659))),설정!$B$47,IF(AND(설정!$A$48&lt;&gt;"",ISNUMBER(SEARCH(설정!$A$48,K659))),설정!$B$48,IF(M659="","설계사","시공사"))))))))),"")</f>
        <v/>
      </c>
      <c r="V659">
        <f>SUBSTITUTE(SUBSTITUTE(SUBSTITUTE(SUBSTITUTE(G659,"(주)",""),"㈜",""),"주식회사","")," ","")</f>
        <v/>
      </c>
      <c r="W659">
        <f>IF(AND(T659,V659&lt;&gt;""),IF(COUNTIFS(V$2:V659,V659,T$2:T659,TRUE)=1,MAX(W$1:W658)+1,""),"")</f>
        <v/>
      </c>
      <c r="X659">
        <f>IFERROR(INDEX('1.산군_붙여넣기'!$A$1:$AZ$1001,ROW(),설정!$C$14)&amp;"","")</f>
        <v/>
      </c>
      <c r="Y659">
        <f>IFERROR(INDEX('1.산군_붙여넣기'!$A$1:$AZ$1001,ROW(),설정!$C$15)&amp;"","")</f>
        <v/>
      </c>
      <c r="Z659">
        <f>IF(T659,V659&amp;"|"&amp;U659,"")</f>
        <v/>
      </c>
    </row>
    <row r="660">
      <c r="A660">
        <f>ROW()</f>
        <v/>
      </c>
      <c r="B660">
        <f>IFERROR(INDEX('1.산군_붙여넣기'!$A$1:$AZ$1001,ROW(),설정!$C$4)&amp;"","")</f>
        <v/>
      </c>
      <c r="C660">
        <f>IFERROR(INDEX('1.산군_붙여넣기'!$A$1:$AZ$1001,ROW(),설정!$C$5)&amp;"","")</f>
        <v/>
      </c>
      <c r="D660" s="5">
        <f>IFERROR(VALUE(SUBSTITUTE(SUBSTITUTE(SUBSTITUTE(IFERROR(INDEX('1.산군_붙여넣기'!$A$1:$AZ$1001,ROW(),설정!$C$6)&amp;"",""),",",""),"㎡",""),"m2","")),"")</f>
        <v/>
      </c>
      <c r="E660">
        <f>IFERROR(INDEX('1.산군_붙여넣기'!$A$1:$AZ$1001,ROW(),설정!$C$7)&amp;"","")</f>
        <v/>
      </c>
      <c r="F660">
        <f>IFERROR(INDEX('1.산군_붙여넣기'!$A$1:$AZ$1001,ROW(),설정!$C$8)&amp;"","")</f>
        <v/>
      </c>
      <c r="G660">
        <f>IFERROR(INDEX('1.산군_붙여넣기'!$A$1:$AZ$1001,ROW(),설정!$C$9)&amp;"","")</f>
        <v/>
      </c>
      <c r="H660">
        <f>IFERROR(INDEX('1.산군_붙여넣기'!$A$1:$AZ$1001,ROW(),설정!$C$10)&amp;"","")</f>
        <v/>
      </c>
      <c r="I660">
        <f>IFERROR(INDEX('1.산군_붙여넣기'!$A$1:$AZ$1001,ROW(),설정!$C$11)&amp;"","")</f>
        <v/>
      </c>
      <c r="J660">
        <f>IFERROR(INDEX('1.산군_붙여넣기'!$A$1:$AZ$1001,ROW(),설정!$C$12)&amp;"","")</f>
        <v/>
      </c>
      <c r="K660">
        <f>IFERROR(INDEX('1.산군_붙여넣기'!$A$1:$AZ$1001,ROW(),설정!$C$13)&amp;"","")</f>
        <v/>
      </c>
      <c r="L660" s="6">
        <f>IF(X660="","",IF(AND(LEN(X660)=8,ISNUMBER(X660*1)),DATE(LEFT(X660,4),MID(X660,5,2),RIGHT(X660,2)),IFERROR(DATEVALUE(SUBSTITUTE(SUBSTITUTE(X660,".","-"),"/","-")),IFERROR(X660*1,""))))</f>
        <v/>
      </c>
      <c r="M660" s="6">
        <f>IF(Y660="","",IF(AND(LEN(Y660)=8,ISNUMBER(Y660*1)),DATE(LEFT(Y660,4),MID(Y660,5,2),RIGHT(Y660,2)),IFERROR(DATEVALUE(SUBSTITUTE(SUBSTITUTE(Y660,".","-"),"/","-")),IFERROR(Y660*1,""))))</f>
        <v/>
      </c>
      <c r="N660">
        <f>IFERROR(LEFT(B660,FIND(" ",B660)-1),B660)</f>
        <v/>
      </c>
      <c r="O660">
        <f>AND(B660&lt;&gt;"",B660&lt;&gt;설정!$B$4,C660&lt;&gt;설정!$B$5)</f>
        <v/>
      </c>
      <c r="P660">
        <f>IF(O660,B660&amp;"|"&amp;C660,"")</f>
        <v/>
      </c>
      <c r="Q660">
        <f>AND(O660,COUNTIF(P661:P$1002,P660)=0)</f>
        <v/>
      </c>
      <c r="R660">
        <f>OR(AND(설정!$A$28&lt;&gt;"",ISNUMBER(SEARCH(설정!$A$28,E660&amp;" "&amp;C660))),AND(설정!$A$29&lt;&gt;"",ISNUMBER(SEARCH(설정!$A$29,E660&amp;" "&amp;C660))),AND(설정!$A$30&lt;&gt;"",ISNUMBER(SEARCH(설정!$A$30,E660&amp;" "&amp;C660))),AND(설정!$A$31&lt;&gt;"",ISNUMBER(SEARCH(설정!$A$31,E660&amp;" "&amp;C660))),AND(설정!$A$32&lt;&gt;"",ISNUMBER(SEARCH(설정!$A$32,E660&amp;" "&amp;C660))),AND(설정!$A$33&lt;&gt;"",ISNUMBER(SEARCH(설정!$A$33,E660&amp;" "&amp;C660))),AND(설정!$A$34&lt;&gt;"",ISNUMBER(SEARCH(설정!$A$34,E660&amp;" "&amp;C660))),AND(설정!$A$35&lt;&gt;"",ISNUMBER(SEARCH(설정!$A$35,E660&amp;" "&amp;C660))),AND(설정!$A$36&lt;&gt;"",ISNUMBER(SEARCH(설정!$A$36,E660&amp;" "&amp;C660))),AND(설정!$A$37&lt;&gt;"",ISNUMBER(SEARCH(설정!$A$37,E660&amp;" "&amp;C660))))</f>
        <v/>
      </c>
      <c r="S660">
        <f>OR(D660="",D660&gt;=설정!$B$19)</f>
        <v/>
      </c>
      <c r="T660">
        <f>AND(Q660,R660,S660)</f>
        <v/>
      </c>
      <c r="U660">
        <f>IF(T660,IF(AND(설정!$A$41&lt;&gt;"",ISNUMBER(SEARCH(설정!$A$41,K660))),설정!$B$41,IF(AND(설정!$A$42&lt;&gt;"",ISNUMBER(SEARCH(설정!$A$42,K660))),설정!$B$42,IF(AND(설정!$A$43&lt;&gt;"",ISNUMBER(SEARCH(설정!$A$43,K660))),설정!$B$43,IF(AND(설정!$A$44&lt;&gt;"",ISNUMBER(SEARCH(설정!$A$44,K660))),설정!$B$44,IF(AND(설정!$A$45&lt;&gt;"",ISNUMBER(SEARCH(설정!$A$45,K660))),설정!$B$45,IF(AND(설정!$A$46&lt;&gt;"",ISNUMBER(SEARCH(설정!$A$46,K660))),설정!$B$46,IF(AND(설정!$A$47&lt;&gt;"",ISNUMBER(SEARCH(설정!$A$47,K660))),설정!$B$47,IF(AND(설정!$A$48&lt;&gt;"",ISNUMBER(SEARCH(설정!$A$48,K660))),설정!$B$48,IF(M660="","설계사","시공사"))))))))),"")</f>
        <v/>
      </c>
      <c r="V660">
        <f>SUBSTITUTE(SUBSTITUTE(SUBSTITUTE(SUBSTITUTE(G660,"(주)",""),"㈜",""),"주식회사","")," ","")</f>
        <v/>
      </c>
      <c r="W660">
        <f>IF(AND(T660,V660&lt;&gt;""),IF(COUNTIFS(V$2:V660,V660,T$2:T660,TRUE)=1,MAX(W$1:W659)+1,""),"")</f>
        <v/>
      </c>
      <c r="X660">
        <f>IFERROR(INDEX('1.산군_붙여넣기'!$A$1:$AZ$1001,ROW(),설정!$C$14)&amp;"","")</f>
        <v/>
      </c>
      <c r="Y660">
        <f>IFERROR(INDEX('1.산군_붙여넣기'!$A$1:$AZ$1001,ROW(),설정!$C$15)&amp;"","")</f>
        <v/>
      </c>
      <c r="Z660">
        <f>IF(T660,V660&amp;"|"&amp;U660,"")</f>
        <v/>
      </c>
    </row>
    <row r="661">
      <c r="A661">
        <f>ROW()</f>
        <v/>
      </c>
      <c r="B661">
        <f>IFERROR(INDEX('1.산군_붙여넣기'!$A$1:$AZ$1001,ROW(),설정!$C$4)&amp;"","")</f>
        <v/>
      </c>
      <c r="C661">
        <f>IFERROR(INDEX('1.산군_붙여넣기'!$A$1:$AZ$1001,ROW(),설정!$C$5)&amp;"","")</f>
        <v/>
      </c>
      <c r="D661" s="5">
        <f>IFERROR(VALUE(SUBSTITUTE(SUBSTITUTE(SUBSTITUTE(IFERROR(INDEX('1.산군_붙여넣기'!$A$1:$AZ$1001,ROW(),설정!$C$6)&amp;"",""),",",""),"㎡",""),"m2","")),"")</f>
        <v/>
      </c>
      <c r="E661">
        <f>IFERROR(INDEX('1.산군_붙여넣기'!$A$1:$AZ$1001,ROW(),설정!$C$7)&amp;"","")</f>
        <v/>
      </c>
      <c r="F661">
        <f>IFERROR(INDEX('1.산군_붙여넣기'!$A$1:$AZ$1001,ROW(),설정!$C$8)&amp;"","")</f>
        <v/>
      </c>
      <c r="G661">
        <f>IFERROR(INDEX('1.산군_붙여넣기'!$A$1:$AZ$1001,ROW(),설정!$C$9)&amp;"","")</f>
        <v/>
      </c>
      <c r="H661">
        <f>IFERROR(INDEX('1.산군_붙여넣기'!$A$1:$AZ$1001,ROW(),설정!$C$10)&amp;"","")</f>
        <v/>
      </c>
      <c r="I661">
        <f>IFERROR(INDEX('1.산군_붙여넣기'!$A$1:$AZ$1001,ROW(),설정!$C$11)&amp;"","")</f>
        <v/>
      </c>
      <c r="J661">
        <f>IFERROR(INDEX('1.산군_붙여넣기'!$A$1:$AZ$1001,ROW(),설정!$C$12)&amp;"","")</f>
        <v/>
      </c>
      <c r="K661">
        <f>IFERROR(INDEX('1.산군_붙여넣기'!$A$1:$AZ$1001,ROW(),설정!$C$13)&amp;"","")</f>
        <v/>
      </c>
      <c r="L661" s="6">
        <f>IF(X661="","",IF(AND(LEN(X661)=8,ISNUMBER(X661*1)),DATE(LEFT(X661,4),MID(X661,5,2),RIGHT(X661,2)),IFERROR(DATEVALUE(SUBSTITUTE(SUBSTITUTE(X661,".","-"),"/","-")),IFERROR(X661*1,""))))</f>
        <v/>
      </c>
      <c r="M661" s="6">
        <f>IF(Y661="","",IF(AND(LEN(Y661)=8,ISNUMBER(Y661*1)),DATE(LEFT(Y661,4),MID(Y661,5,2),RIGHT(Y661,2)),IFERROR(DATEVALUE(SUBSTITUTE(SUBSTITUTE(Y661,".","-"),"/","-")),IFERROR(Y661*1,""))))</f>
        <v/>
      </c>
      <c r="N661">
        <f>IFERROR(LEFT(B661,FIND(" ",B661)-1),B661)</f>
        <v/>
      </c>
      <c r="O661">
        <f>AND(B661&lt;&gt;"",B661&lt;&gt;설정!$B$4,C661&lt;&gt;설정!$B$5)</f>
        <v/>
      </c>
      <c r="P661">
        <f>IF(O661,B661&amp;"|"&amp;C661,"")</f>
        <v/>
      </c>
      <c r="Q661">
        <f>AND(O661,COUNTIF(P662:P$1002,P661)=0)</f>
        <v/>
      </c>
      <c r="R661">
        <f>OR(AND(설정!$A$28&lt;&gt;"",ISNUMBER(SEARCH(설정!$A$28,E661&amp;" "&amp;C661))),AND(설정!$A$29&lt;&gt;"",ISNUMBER(SEARCH(설정!$A$29,E661&amp;" "&amp;C661))),AND(설정!$A$30&lt;&gt;"",ISNUMBER(SEARCH(설정!$A$30,E661&amp;" "&amp;C661))),AND(설정!$A$31&lt;&gt;"",ISNUMBER(SEARCH(설정!$A$31,E661&amp;" "&amp;C661))),AND(설정!$A$32&lt;&gt;"",ISNUMBER(SEARCH(설정!$A$32,E661&amp;" "&amp;C661))),AND(설정!$A$33&lt;&gt;"",ISNUMBER(SEARCH(설정!$A$33,E661&amp;" "&amp;C661))),AND(설정!$A$34&lt;&gt;"",ISNUMBER(SEARCH(설정!$A$34,E661&amp;" "&amp;C661))),AND(설정!$A$35&lt;&gt;"",ISNUMBER(SEARCH(설정!$A$35,E661&amp;" "&amp;C661))),AND(설정!$A$36&lt;&gt;"",ISNUMBER(SEARCH(설정!$A$36,E661&amp;" "&amp;C661))),AND(설정!$A$37&lt;&gt;"",ISNUMBER(SEARCH(설정!$A$37,E661&amp;" "&amp;C661))))</f>
        <v/>
      </c>
      <c r="S661">
        <f>OR(D661="",D661&gt;=설정!$B$19)</f>
        <v/>
      </c>
      <c r="T661">
        <f>AND(Q661,R661,S661)</f>
        <v/>
      </c>
      <c r="U661">
        <f>IF(T661,IF(AND(설정!$A$41&lt;&gt;"",ISNUMBER(SEARCH(설정!$A$41,K661))),설정!$B$41,IF(AND(설정!$A$42&lt;&gt;"",ISNUMBER(SEARCH(설정!$A$42,K661))),설정!$B$42,IF(AND(설정!$A$43&lt;&gt;"",ISNUMBER(SEARCH(설정!$A$43,K661))),설정!$B$43,IF(AND(설정!$A$44&lt;&gt;"",ISNUMBER(SEARCH(설정!$A$44,K661))),설정!$B$44,IF(AND(설정!$A$45&lt;&gt;"",ISNUMBER(SEARCH(설정!$A$45,K661))),설정!$B$45,IF(AND(설정!$A$46&lt;&gt;"",ISNUMBER(SEARCH(설정!$A$46,K661))),설정!$B$46,IF(AND(설정!$A$47&lt;&gt;"",ISNUMBER(SEARCH(설정!$A$47,K661))),설정!$B$47,IF(AND(설정!$A$48&lt;&gt;"",ISNUMBER(SEARCH(설정!$A$48,K661))),설정!$B$48,IF(M661="","설계사","시공사"))))))))),"")</f>
        <v/>
      </c>
      <c r="V661">
        <f>SUBSTITUTE(SUBSTITUTE(SUBSTITUTE(SUBSTITUTE(G661,"(주)",""),"㈜",""),"주식회사","")," ","")</f>
        <v/>
      </c>
      <c r="W661">
        <f>IF(AND(T661,V661&lt;&gt;""),IF(COUNTIFS(V$2:V661,V661,T$2:T661,TRUE)=1,MAX(W$1:W660)+1,""),"")</f>
        <v/>
      </c>
      <c r="X661">
        <f>IFERROR(INDEX('1.산군_붙여넣기'!$A$1:$AZ$1001,ROW(),설정!$C$14)&amp;"","")</f>
        <v/>
      </c>
      <c r="Y661">
        <f>IFERROR(INDEX('1.산군_붙여넣기'!$A$1:$AZ$1001,ROW(),설정!$C$15)&amp;"","")</f>
        <v/>
      </c>
      <c r="Z661">
        <f>IF(T661,V661&amp;"|"&amp;U661,"")</f>
        <v/>
      </c>
    </row>
    <row r="662">
      <c r="A662">
        <f>ROW()</f>
        <v/>
      </c>
      <c r="B662">
        <f>IFERROR(INDEX('1.산군_붙여넣기'!$A$1:$AZ$1001,ROW(),설정!$C$4)&amp;"","")</f>
        <v/>
      </c>
      <c r="C662">
        <f>IFERROR(INDEX('1.산군_붙여넣기'!$A$1:$AZ$1001,ROW(),설정!$C$5)&amp;"","")</f>
        <v/>
      </c>
      <c r="D662" s="5">
        <f>IFERROR(VALUE(SUBSTITUTE(SUBSTITUTE(SUBSTITUTE(IFERROR(INDEX('1.산군_붙여넣기'!$A$1:$AZ$1001,ROW(),설정!$C$6)&amp;"",""),",",""),"㎡",""),"m2","")),"")</f>
        <v/>
      </c>
      <c r="E662">
        <f>IFERROR(INDEX('1.산군_붙여넣기'!$A$1:$AZ$1001,ROW(),설정!$C$7)&amp;"","")</f>
        <v/>
      </c>
      <c r="F662">
        <f>IFERROR(INDEX('1.산군_붙여넣기'!$A$1:$AZ$1001,ROW(),설정!$C$8)&amp;"","")</f>
        <v/>
      </c>
      <c r="G662">
        <f>IFERROR(INDEX('1.산군_붙여넣기'!$A$1:$AZ$1001,ROW(),설정!$C$9)&amp;"","")</f>
        <v/>
      </c>
      <c r="H662">
        <f>IFERROR(INDEX('1.산군_붙여넣기'!$A$1:$AZ$1001,ROW(),설정!$C$10)&amp;"","")</f>
        <v/>
      </c>
      <c r="I662">
        <f>IFERROR(INDEX('1.산군_붙여넣기'!$A$1:$AZ$1001,ROW(),설정!$C$11)&amp;"","")</f>
        <v/>
      </c>
      <c r="J662">
        <f>IFERROR(INDEX('1.산군_붙여넣기'!$A$1:$AZ$1001,ROW(),설정!$C$12)&amp;"","")</f>
        <v/>
      </c>
      <c r="K662">
        <f>IFERROR(INDEX('1.산군_붙여넣기'!$A$1:$AZ$1001,ROW(),설정!$C$13)&amp;"","")</f>
        <v/>
      </c>
      <c r="L662" s="6">
        <f>IF(X662="","",IF(AND(LEN(X662)=8,ISNUMBER(X662*1)),DATE(LEFT(X662,4),MID(X662,5,2),RIGHT(X662,2)),IFERROR(DATEVALUE(SUBSTITUTE(SUBSTITUTE(X662,".","-"),"/","-")),IFERROR(X662*1,""))))</f>
        <v/>
      </c>
      <c r="M662" s="6">
        <f>IF(Y662="","",IF(AND(LEN(Y662)=8,ISNUMBER(Y662*1)),DATE(LEFT(Y662,4),MID(Y662,5,2),RIGHT(Y662,2)),IFERROR(DATEVALUE(SUBSTITUTE(SUBSTITUTE(Y662,".","-"),"/","-")),IFERROR(Y662*1,""))))</f>
        <v/>
      </c>
      <c r="N662">
        <f>IFERROR(LEFT(B662,FIND(" ",B662)-1),B662)</f>
        <v/>
      </c>
      <c r="O662">
        <f>AND(B662&lt;&gt;"",B662&lt;&gt;설정!$B$4,C662&lt;&gt;설정!$B$5)</f>
        <v/>
      </c>
      <c r="P662">
        <f>IF(O662,B662&amp;"|"&amp;C662,"")</f>
        <v/>
      </c>
      <c r="Q662">
        <f>AND(O662,COUNTIF(P663:P$1002,P662)=0)</f>
        <v/>
      </c>
      <c r="R662">
        <f>OR(AND(설정!$A$28&lt;&gt;"",ISNUMBER(SEARCH(설정!$A$28,E662&amp;" "&amp;C662))),AND(설정!$A$29&lt;&gt;"",ISNUMBER(SEARCH(설정!$A$29,E662&amp;" "&amp;C662))),AND(설정!$A$30&lt;&gt;"",ISNUMBER(SEARCH(설정!$A$30,E662&amp;" "&amp;C662))),AND(설정!$A$31&lt;&gt;"",ISNUMBER(SEARCH(설정!$A$31,E662&amp;" "&amp;C662))),AND(설정!$A$32&lt;&gt;"",ISNUMBER(SEARCH(설정!$A$32,E662&amp;" "&amp;C662))),AND(설정!$A$33&lt;&gt;"",ISNUMBER(SEARCH(설정!$A$33,E662&amp;" "&amp;C662))),AND(설정!$A$34&lt;&gt;"",ISNUMBER(SEARCH(설정!$A$34,E662&amp;" "&amp;C662))),AND(설정!$A$35&lt;&gt;"",ISNUMBER(SEARCH(설정!$A$35,E662&amp;" "&amp;C662))),AND(설정!$A$36&lt;&gt;"",ISNUMBER(SEARCH(설정!$A$36,E662&amp;" "&amp;C662))),AND(설정!$A$37&lt;&gt;"",ISNUMBER(SEARCH(설정!$A$37,E662&amp;" "&amp;C662))))</f>
        <v/>
      </c>
      <c r="S662">
        <f>OR(D662="",D662&gt;=설정!$B$19)</f>
        <v/>
      </c>
      <c r="T662">
        <f>AND(Q662,R662,S662)</f>
        <v/>
      </c>
      <c r="U662">
        <f>IF(T662,IF(AND(설정!$A$41&lt;&gt;"",ISNUMBER(SEARCH(설정!$A$41,K662))),설정!$B$41,IF(AND(설정!$A$42&lt;&gt;"",ISNUMBER(SEARCH(설정!$A$42,K662))),설정!$B$42,IF(AND(설정!$A$43&lt;&gt;"",ISNUMBER(SEARCH(설정!$A$43,K662))),설정!$B$43,IF(AND(설정!$A$44&lt;&gt;"",ISNUMBER(SEARCH(설정!$A$44,K662))),설정!$B$44,IF(AND(설정!$A$45&lt;&gt;"",ISNUMBER(SEARCH(설정!$A$45,K662))),설정!$B$45,IF(AND(설정!$A$46&lt;&gt;"",ISNUMBER(SEARCH(설정!$A$46,K662))),설정!$B$46,IF(AND(설정!$A$47&lt;&gt;"",ISNUMBER(SEARCH(설정!$A$47,K662))),설정!$B$47,IF(AND(설정!$A$48&lt;&gt;"",ISNUMBER(SEARCH(설정!$A$48,K662))),설정!$B$48,IF(M662="","설계사","시공사"))))))))),"")</f>
        <v/>
      </c>
      <c r="V662">
        <f>SUBSTITUTE(SUBSTITUTE(SUBSTITUTE(SUBSTITUTE(G662,"(주)",""),"㈜",""),"주식회사","")," ","")</f>
        <v/>
      </c>
      <c r="W662">
        <f>IF(AND(T662,V662&lt;&gt;""),IF(COUNTIFS(V$2:V662,V662,T$2:T662,TRUE)=1,MAX(W$1:W661)+1,""),"")</f>
        <v/>
      </c>
      <c r="X662">
        <f>IFERROR(INDEX('1.산군_붙여넣기'!$A$1:$AZ$1001,ROW(),설정!$C$14)&amp;"","")</f>
        <v/>
      </c>
      <c r="Y662">
        <f>IFERROR(INDEX('1.산군_붙여넣기'!$A$1:$AZ$1001,ROW(),설정!$C$15)&amp;"","")</f>
        <v/>
      </c>
      <c r="Z662">
        <f>IF(T662,V662&amp;"|"&amp;U662,"")</f>
        <v/>
      </c>
    </row>
    <row r="663">
      <c r="A663">
        <f>ROW()</f>
        <v/>
      </c>
      <c r="B663">
        <f>IFERROR(INDEX('1.산군_붙여넣기'!$A$1:$AZ$1001,ROW(),설정!$C$4)&amp;"","")</f>
        <v/>
      </c>
      <c r="C663">
        <f>IFERROR(INDEX('1.산군_붙여넣기'!$A$1:$AZ$1001,ROW(),설정!$C$5)&amp;"","")</f>
        <v/>
      </c>
      <c r="D663" s="5">
        <f>IFERROR(VALUE(SUBSTITUTE(SUBSTITUTE(SUBSTITUTE(IFERROR(INDEX('1.산군_붙여넣기'!$A$1:$AZ$1001,ROW(),설정!$C$6)&amp;"",""),",",""),"㎡",""),"m2","")),"")</f>
        <v/>
      </c>
      <c r="E663">
        <f>IFERROR(INDEX('1.산군_붙여넣기'!$A$1:$AZ$1001,ROW(),설정!$C$7)&amp;"","")</f>
        <v/>
      </c>
      <c r="F663">
        <f>IFERROR(INDEX('1.산군_붙여넣기'!$A$1:$AZ$1001,ROW(),설정!$C$8)&amp;"","")</f>
        <v/>
      </c>
      <c r="G663">
        <f>IFERROR(INDEX('1.산군_붙여넣기'!$A$1:$AZ$1001,ROW(),설정!$C$9)&amp;"","")</f>
        <v/>
      </c>
      <c r="H663">
        <f>IFERROR(INDEX('1.산군_붙여넣기'!$A$1:$AZ$1001,ROW(),설정!$C$10)&amp;"","")</f>
        <v/>
      </c>
      <c r="I663">
        <f>IFERROR(INDEX('1.산군_붙여넣기'!$A$1:$AZ$1001,ROW(),설정!$C$11)&amp;"","")</f>
        <v/>
      </c>
      <c r="J663">
        <f>IFERROR(INDEX('1.산군_붙여넣기'!$A$1:$AZ$1001,ROW(),설정!$C$12)&amp;"","")</f>
        <v/>
      </c>
      <c r="K663">
        <f>IFERROR(INDEX('1.산군_붙여넣기'!$A$1:$AZ$1001,ROW(),설정!$C$13)&amp;"","")</f>
        <v/>
      </c>
      <c r="L663" s="6">
        <f>IF(X663="","",IF(AND(LEN(X663)=8,ISNUMBER(X663*1)),DATE(LEFT(X663,4),MID(X663,5,2),RIGHT(X663,2)),IFERROR(DATEVALUE(SUBSTITUTE(SUBSTITUTE(X663,".","-"),"/","-")),IFERROR(X663*1,""))))</f>
        <v/>
      </c>
      <c r="M663" s="6">
        <f>IF(Y663="","",IF(AND(LEN(Y663)=8,ISNUMBER(Y663*1)),DATE(LEFT(Y663,4),MID(Y663,5,2),RIGHT(Y663,2)),IFERROR(DATEVALUE(SUBSTITUTE(SUBSTITUTE(Y663,".","-"),"/","-")),IFERROR(Y663*1,""))))</f>
        <v/>
      </c>
      <c r="N663">
        <f>IFERROR(LEFT(B663,FIND(" ",B663)-1),B663)</f>
        <v/>
      </c>
      <c r="O663">
        <f>AND(B663&lt;&gt;"",B663&lt;&gt;설정!$B$4,C663&lt;&gt;설정!$B$5)</f>
        <v/>
      </c>
      <c r="P663">
        <f>IF(O663,B663&amp;"|"&amp;C663,"")</f>
        <v/>
      </c>
      <c r="Q663">
        <f>AND(O663,COUNTIF(P664:P$1002,P663)=0)</f>
        <v/>
      </c>
      <c r="R663">
        <f>OR(AND(설정!$A$28&lt;&gt;"",ISNUMBER(SEARCH(설정!$A$28,E663&amp;" "&amp;C663))),AND(설정!$A$29&lt;&gt;"",ISNUMBER(SEARCH(설정!$A$29,E663&amp;" "&amp;C663))),AND(설정!$A$30&lt;&gt;"",ISNUMBER(SEARCH(설정!$A$30,E663&amp;" "&amp;C663))),AND(설정!$A$31&lt;&gt;"",ISNUMBER(SEARCH(설정!$A$31,E663&amp;" "&amp;C663))),AND(설정!$A$32&lt;&gt;"",ISNUMBER(SEARCH(설정!$A$32,E663&amp;" "&amp;C663))),AND(설정!$A$33&lt;&gt;"",ISNUMBER(SEARCH(설정!$A$33,E663&amp;" "&amp;C663))),AND(설정!$A$34&lt;&gt;"",ISNUMBER(SEARCH(설정!$A$34,E663&amp;" "&amp;C663))),AND(설정!$A$35&lt;&gt;"",ISNUMBER(SEARCH(설정!$A$35,E663&amp;" "&amp;C663))),AND(설정!$A$36&lt;&gt;"",ISNUMBER(SEARCH(설정!$A$36,E663&amp;" "&amp;C663))),AND(설정!$A$37&lt;&gt;"",ISNUMBER(SEARCH(설정!$A$37,E663&amp;" "&amp;C663))))</f>
        <v/>
      </c>
      <c r="S663">
        <f>OR(D663="",D663&gt;=설정!$B$19)</f>
        <v/>
      </c>
      <c r="T663">
        <f>AND(Q663,R663,S663)</f>
        <v/>
      </c>
      <c r="U663">
        <f>IF(T663,IF(AND(설정!$A$41&lt;&gt;"",ISNUMBER(SEARCH(설정!$A$41,K663))),설정!$B$41,IF(AND(설정!$A$42&lt;&gt;"",ISNUMBER(SEARCH(설정!$A$42,K663))),설정!$B$42,IF(AND(설정!$A$43&lt;&gt;"",ISNUMBER(SEARCH(설정!$A$43,K663))),설정!$B$43,IF(AND(설정!$A$44&lt;&gt;"",ISNUMBER(SEARCH(설정!$A$44,K663))),설정!$B$44,IF(AND(설정!$A$45&lt;&gt;"",ISNUMBER(SEARCH(설정!$A$45,K663))),설정!$B$45,IF(AND(설정!$A$46&lt;&gt;"",ISNUMBER(SEARCH(설정!$A$46,K663))),설정!$B$46,IF(AND(설정!$A$47&lt;&gt;"",ISNUMBER(SEARCH(설정!$A$47,K663))),설정!$B$47,IF(AND(설정!$A$48&lt;&gt;"",ISNUMBER(SEARCH(설정!$A$48,K663))),설정!$B$48,IF(M663="","설계사","시공사"))))))))),"")</f>
        <v/>
      </c>
      <c r="V663">
        <f>SUBSTITUTE(SUBSTITUTE(SUBSTITUTE(SUBSTITUTE(G663,"(주)",""),"㈜",""),"주식회사","")," ","")</f>
        <v/>
      </c>
      <c r="W663">
        <f>IF(AND(T663,V663&lt;&gt;""),IF(COUNTIFS(V$2:V663,V663,T$2:T663,TRUE)=1,MAX(W$1:W662)+1,""),"")</f>
        <v/>
      </c>
      <c r="X663">
        <f>IFERROR(INDEX('1.산군_붙여넣기'!$A$1:$AZ$1001,ROW(),설정!$C$14)&amp;"","")</f>
        <v/>
      </c>
      <c r="Y663">
        <f>IFERROR(INDEX('1.산군_붙여넣기'!$A$1:$AZ$1001,ROW(),설정!$C$15)&amp;"","")</f>
        <v/>
      </c>
      <c r="Z663">
        <f>IF(T663,V663&amp;"|"&amp;U663,"")</f>
        <v/>
      </c>
    </row>
    <row r="664">
      <c r="A664">
        <f>ROW()</f>
        <v/>
      </c>
      <c r="B664">
        <f>IFERROR(INDEX('1.산군_붙여넣기'!$A$1:$AZ$1001,ROW(),설정!$C$4)&amp;"","")</f>
        <v/>
      </c>
      <c r="C664">
        <f>IFERROR(INDEX('1.산군_붙여넣기'!$A$1:$AZ$1001,ROW(),설정!$C$5)&amp;"","")</f>
        <v/>
      </c>
      <c r="D664" s="5">
        <f>IFERROR(VALUE(SUBSTITUTE(SUBSTITUTE(SUBSTITUTE(IFERROR(INDEX('1.산군_붙여넣기'!$A$1:$AZ$1001,ROW(),설정!$C$6)&amp;"",""),",",""),"㎡",""),"m2","")),"")</f>
        <v/>
      </c>
      <c r="E664">
        <f>IFERROR(INDEX('1.산군_붙여넣기'!$A$1:$AZ$1001,ROW(),설정!$C$7)&amp;"","")</f>
        <v/>
      </c>
      <c r="F664">
        <f>IFERROR(INDEX('1.산군_붙여넣기'!$A$1:$AZ$1001,ROW(),설정!$C$8)&amp;"","")</f>
        <v/>
      </c>
      <c r="G664">
        <f>IFERROR(INDEX('1.산군_붙여넣기'!$A$1:$AZ$1001,ROW(),설정!$C$9)&amp;"","")</f>
        <v/>
      </c>
      <c r="H664">
        <f>IFERROR(INDEX('1.산군_붙여넣기'!$A$1:$AZ$1001,ROW(),설정!$C$10)&amp;"","")</f>
        <v/>
      </c>
      <c r="I664">
        <f>IFERROR(INDEX('1.산군_붙여넣기'!$A$1:$AZ$1001,ROW(),설정!$C$11)&amp;"","")</f>
        <v/>
      </c>
      <c r="J664">
        <f>IFERROR(INDEX('1.산군_붙여넣기'!$A$1:$AZ$1001,ROW(),설정!$C$12)&amp;"","")</f>
        <v/>
      </c>
      <c r="K664">
        <f>IFERROR(INDEX('1.산군_붙여넣기'!$A$1:$AZ$1001,ROW(),설정!$C$13)&amp;"","")</f>
        <v/>
      </c>
      <c r="L664" s="6">
        <f>IF(X664="","",IF(AND(LEN(X664)=8,ISNUMBER(X664*1)),DATE(LEFT(X664,4),MID(X664,5,2),RIGHT(X664,2)),IFERROR(DATEVALUE(SUBSTITUTE(SUBSTITUTE(X664,".","-"),"/","-")),IFERROR(X664*1,""))))</f>
        <v/>
      </c>
      <c r="M664" s="6">
        <f>IF(Y664="","",IF(AND(LEN(Y664)=8,ISNUMBER(Y664*1)),DATE(LEFT(Y664,4),MID(Y664,5,2),RIGHT(Y664,2)),IFERROR(DATEVALUE(SUBSTITUTE(SUBSTITUTE(Y664,".","-"),"/","-")),IFERROR(Y664*1,""))))</f>
        <v/>
      </c>
      <c r="N664">
        <f>IFERROR(LEFT(B664,FIND(" ",B664)-1),B664)</f>
        <v/>
      </c>
      <c r="O664">
        <f>AND(B664&lt;&gt;"",B664&lt;&gt;설정!$B$4,C664&lt;&gt;설정!$B$5)</f>
        <v/>
      </c>
      <c r="P664">
        <f>IF(O664,B664&amp;"|"&amp;C664,"")</f>
        <v/>
      </c>
      <c r="Q664">
        <f>AND(O664,COUNTIF(P665:P$1002,P664)=0)</f>
        <v/>
      </c>
      <c r="R664">
        <f>OR(AND(설정!$A$28&lt;&gt;"",ISNUMBER(SEARCH(설정!$A$28,E664&amp;" "&amp;C664))),AND(설정!$A$29&lt;&gt;"",ISNUMBER(SEARCH(설정!$A$29,E664&amp;" "&amp;C664))),AND(설정!$A$30&lt;&gt;"",ISNUMBER(SEARCH(설정!$A$30,E664&amp;" "&amp;C664))),AND(설정!$A$31&lt;&gt;"",ISNUMBER(SEARCH(설정!$A$31,E664&amp;" "&amp;C664))),AND(설정!$A$32&lt;&gt;"",ISNUMBER(SEARCH(설정!$A$32,E664&amp;" "&amp;C664))),AND(설정!$A$33&lt;&gt;"",ISNUMBER(SEARCH(설정!$A$33,E664&amp;" "&amp;C664))),AND(설정!$A$34&lt;&gt;"",ISNUMBER(SEARCH(설정!$A$34,E664&amp;" "&amp;C664))),AND(설정!$A$35&lt;&gt;"",ISNUMBER(SEARCH(설정!$A$35,E664&amp;" "&amp;C664))),AND(설정!$A$36&lt;&gt;"",ISNUMBER(SEARCH(설정!$A$36,E664&amp;" "&amp;C664))),AND(설정!$A$37&lt;&gt;"",ISNUMBER(SEARCH(설정!$A$37,E664&amp;" "&amp;C664))))</f>
        <v/>
      </c>
      <c r="S664">
        <f>OR(D664="",D664&gt;=설정!$B$19)</f>
        <v/>
      </c>
      <c r="T664">
        <f>AND(Q664,R664,S664)</f>
        <v/>
      </c>
      <c r="U664">
        <f>IF(T664,IF(AND(설정!$A$41&lt;&gt;"",ISNUMBER(SEARCH(설정!$A$41,K664))),설정!$B$41,IF(AND(설정!$A$42&lt;&gt;"",ISNUMBER(SEARCH(설정!$A$42,K664))),설정!$B$42,IF(AND(설정!$A$43&lt;&gt;"",ISNUMBER(SEARCH(설정!$A$43,K664))),설정!$B$43,IF(AND(설정!$A$44&lt;&gt;"",ISNUMBER(SEARCH(설정!$A$44,K664))),설정!$B$44,IF(AND(설정!$A$45&lt;&gt;"",ISNUMBER(SEARCH(설정!$A$45,K664))),설정!$B$45,IF(AND(설정!$A$46&lt;&gt;"",ISNUMBER(SEARCH(설정!$A$46,K664))),설정!$B$46,IF(AND(설정!$A$47&lt;&gt;"",ISNUMBER(SEARCH(설정!$A$47,K664))),설정!$B$47,IF(AND(설정!$A$48&lt;&gt;"",ISNUMBER(SEARCH(설정!$A$48,K664))),설정!$B$48,IF(M664="","설계사","시공사"))))))))),"")</f>
        <v/>
      </c>
      <c r="V664">
        <f>SUBSTITUTE(SUBSTITUTE(SUBSTITUTE(SUBSTITUTE(G664,"(주)",""),"㈜",""),"주식회사","")," ","")</f>
        <v/>
      </c>
      <c r="W664">
        <f>IF(AND(T664,V664&lt;&gt;""),IF(COUNTIFS(V$2:V664,V664,T$2:T664,TRUE)=1,MAX(W$1:W663)+1,""),"")</f>
        <v/>
      </c>
      <c r="X664">
        <f>IFERROR(INDEX('1.산군_붙여넣기'!$A$1:$AZ$1001,ROW(),설정!$C$14)&amp;"","")</f>
        <v/>
      </c>
      <c r="Y664">
        <f>IFERROR(INDEX('1.산군_붙여넣기'!$A$1:$AZ$1001,ROW(),설정!$C$15)&amp;"","")</f>
        <v/>
      </c>
      <c r="Z664">
        <f>IF(T664,V664&amp;"|"&amp;U664,"")</f>
        <v/>
      </c>
    </row>
    <row r="665">
      <c r="A665">
        <f>ROW()</f>
        <v/>
      </c>
      <c r="B665">
        <f>IFERROR(INDEX('1.산군_붙여넣기'!$A$1:$AZ$1001,ROW(),설정!$C$4)&amp;"","")</f>
        <v/>
      </c>
      <c r="C665">
        <f>IFERROR(INDEX('1.산군_붙여넣기'!$A$1:$AZ$1001,ROW(),설정!$C$5)&amp;"","")</f>
        <v/>
      </c>
      <c r="D665" s="5">
        <f>IFERROR(VALUE(SUBSTITUTE(SUBSTITUTE(SUBSTITUTE(IFERROR(INDEX('1.산군_붙여넣기'!$A$1:$AZ$1001,ROW(),설정!$C$6)&amp;"",""),",",""),"㎡",""),"m2","")),"")</f>
        <v/>
      </c>
      <c r="E665">
        <f>IFERROR(INDEX('1.산군_붙여넣기'!$A$1:$AZ$1001,ROW(),설정!$C$7)&amp;"","")</f>
        <v/>
      </c>
      <c r="F665">
        <f>IFERROR(INDEX('1.산군_붙여넣기'!$A$1:$AZ$1001,ROW(),설정!$C$8)&amp;"","")</f>
        <v/>
      </c>
      <c r="G665">
        <f>IFERROR(INDEX('1.산군_붙여넣기'!$A$1:$AZ$1001,ROW(),설정!$C$9)&amp;"","")</f>
        <v/>
      </c>
      <c r="H665">
        <f>IFERROR(INDEX('1.산군_붙여넣기'!$A$1:$AZ$1001,ROW(),설정!$C$10)&amp;"","")</f>
        <v/>
      </c>
      <c r="I665">
        <f>IFERROR(INDEX('1.산군_붙여넣기'!$A$1:$AZ$1001,ROW(),설정!$C$11)&amp;"","")</f>
        <v/>
      </c>
      <c r="J665">
        <f>IFERROR(INDEX('1.산군_붙여넣기'!$A$1:$AZ$1001,ROW(),설정!$C$12)&amp;"","")</f>
        <v/>
      </c>
      <c r="K665">
        <f>IFERROR(INDEX('1.산군_붙여넣기'!$A$1:$AZ$1001,ROW(),설정!$C$13)&amp;"","")</f>
        <v/>
      </c>
      <c r="L665" s="6">
        <f>IF(X665="","",IF(AND(LEN(X665)=8,ISNUMBER(X665*1)),DATE(LEFT(X665,4),MID(X665,5,2),RIGHT(X665,2)),IFERROR(DATEVALUE(SUBSTITUTE(SUBSTITUTE(X665,".","-"),"/","-")),IFERROR(X665*1,""))))</f>
        <v/>
      </c>
      <c r="M665" s="6">
        <f>IF(Y665="","",IF(AND(LEN(Y665)=8,ISNUMBER(Y665*1)),DATE(LEFT(Y665,4),MID(Y665,5,2),RIGHT(Y665,2)),IFERROR(DATEVALUE(SUBSTITUTE(SUBSTITUTE(Y665,".","-"),"/","-")),IFERROR(Y665*1,""))))</f>
        <v/>
      </c>
      <c r="N665">
        <f>IFERROR(LEFT(B665,FIND(" ",B665)-1),B665)</f>
        <v/>
      </c>
      <c r="O665">
        <f>AND(B665&lt;&gt;"",B665&lt;&gt;설정!$B$4,C665&lt;&gt;설정!$B$5)</f>
        <v/>
      </c>
      <c r="P665">
        <f>IF(O665,B665&amp;"|"&amp;C665,"")</f>
        <v/>
      </c>
      <c r="Q665">
        <f>AND(O665,COUNTIF(P666:P$1002,P665)=0)</f>
        <v/>
      </c>
      <c r="R665">
        <f>OR(AND(설정!$A$28&lt;&gt;"",ISNUMBER(SEARCH(설정!$A$28,E665&amp;" "&amp;C665))),AND(설정!$A$29&lt;&gt;"",ISNUMBER(SEARCH(설정!$A$29,E665&amp;" "&amp;C665))),AND(설정!$A$30&lt;&gt;"",ISNUMBER(SEARCH(설정!$A$30,E665&amp;" "&amp;C665))),AND(설정!$A$31&lt;&gt;"",ISNUMBER(SEARCH(설정!$A$31,E665&amp;" "&amp;C665))),AND(설정!$A$32&lt;&gt;"",ISNUMBER(SEARCH(설정!$A$32,E665&amp;" "&amp;C665))),AND(설정!$A$33&lt;&gt;"",ISNUMBER(SEARCH(설정!$A$33,E665&amp;" "&amp;C665))),AND(설정!$A$34&lt;&gt;"",ISNUMBER(SEARCH(설정!$A$34,E665&amp;" "&amp;C665))),AND(설정!$A$35&lt;&gt;"",ISNUMBER(SEARCH(설정!$A$35,E665&amp;" "&amp;C665))),AND(설정!$A$36&lt;&gt;"",ISNUMBER(SEARCH(설정!$A$36,E665&amp;" "&amp;C665))),AND(설정!$A$37&lt;&gt;"",ISNUMBER(SEARCH(설정!$A$37,E665&amp;" "&amp;C665))))</f>
        <v/>
      </c>
      <c r="S665">
        <f>OR(D665="",D665&gt;=설정!$B$19)</f>
        <v/>
      </c>
      <c r="T665">
        <f>AND(Q665,R665,S665)</f>
        <v/>
      </c>
      <c r="U665">
        <f>IF(T665,IF(AND(설정!$A$41&lt;&gt;"",ISNUMBER(SEARCH(설정!$A$41,K665))),설정!$B$41,IF(AND(설정!$A$42&lt;&gt;"",ISNUMBER(SEARCH(설정!$A$42,K665))),설정!$B$42,IF(AND(설정!$A$43&lt;&gt;"",ISNUMBER(SEARCH(설정!$A$43,K665))),설정!$B$43,IF(AND(설정!$A$44&lt;&gt;"",ISNUMBER(SEARCH(설정!$A$44,K665))),설정!$B$44,IF(AND(설정!$A$45&lt;&gt;"",ISNUMBER(SEARCH(설정!$A$45,K665))),설정!$B$45,IF(AND(설정!$A$46&lt;&gt;"",ISNUMBER(SEARCH(설정!$A$46,K665))),설정!$B$46,IF(AND(설정!$A$47&lt;&gt;"",ISNUMBER(SEARCH(설정!$A$47,K665))),설정!$B$47,IF(AND(설정!$A$48&lt;&gt;"",ISNUMBER(SEARCH(설정!$A$48,K665))),설정!$B$48,IF(M665="","설계사","시공사"))))))))),"")</f>
        <v/>
      </c>
      <c r="V665">
        <f>SUBSTITUTE(SUBSTITUTE(SUBSTITUTE(SUBSTITUTE(G665,"(주)",""),"㈜",""),"주식회사","")," ","")</f>
        <v/>
      </c>
      <c r="W665">
        <f>IF(AND(T665,V665&lt;&gt;""),IF(COUNTIFS(V$2:V665,V665,T$2:T665,TRUE)=1,MAX(W$1:W664)+1,""),"")</f>
        <v/>
      </c>
      <c r="X665">
        <f>IFERROR(INDEX('1.산군_붙여넣기'!$A$1:$AZ$1001,ROW(),설정!$C$14)&amp;"","")</f>
        <v/>
      </c>
      <c r="Y665">
        <f>IFERROR(INDEX('1.산군_붙여넣기'!$A$1:$AZ$1001,ROW(),설정!$C$15)&amp;"","")</f>
        <v/>
      </c>
      <c r="Z665">
        <f>IF(T665,V665&amp;"|"&amp;U665,"")</f>
        <v/>
      </c>
    </row>
    <row r="666">
      <c r="A666">
        <f>ROW()</f>
        <v/>
      </c>
      <c r="B666">
        <f>IFERROR(INDEX('1.산군_붙여넣기'!$A$1:$AZ$1001,ROW(),설정!$C$4)&amp;"","")</f>
        <v/>
      </c>
      <c r="C666">
        <f>IFERROR(INDEX('1.산군_붙여넣기'!$A$1:$AZ$1001,ROW(),설정!$C$5)&amp;"","")</f>
        <v/>
      </c>
      <c r="D666" s="5">
        <f>IFERROR(VALUE(SUBSTITUTE(SUBSTITUTE(SUBSTITUTE(IFERROR(INDEX('1.산군_붙여넣기'!$A$1:$AZ$1001,ROW(),설정!$C$6)&amp;"",""),",",""),"㎡",""),"m2","")),"")</f>
        <v/>
      </c>
      <c r="E666">
        <f>IFERROR(INDEX('1.산군_붙여넣기'!$A$1:$AZ$1001,ROW(),설정!$C$7)&amp;"","")</f>
        <v/>
      </c>
      <c r="F666">
        <f>IFERROR(INDEX('1.산군_붙여넣기'!$A$1:$AZ$1001,ROW(),설정!$C$8)&amp;"","")</f>
        <v/>
      </c>
      <c r="G666">
        <f>IFERROR(INDEX('1.산군_붙여넣기'!$A$1:$AZ$1001,ROW(),설정!$C$9)&amp;"","")</f>
        <v/>
      </c>
      <c r="H666">
        <f>IFERROR(INDEX('1.산군_붙여넣기'!$A$1:$AZ$1001,ROW(),설정!$C$10)&amp;"","")</f>
        <v/>
      </c>
      <c r="I666">
        <f>IFERROR(INDEX('1.산군_붙여넣기'!$A$1:$AZ$1001,ROW(),설정!$C$11)&amp;"","")</f>
        <v/>
      </c>
      <c r="J666">
        <f>IFERROR(INDEX('1.산군_붙여넣기'!$A$1:$AZ$1001,ROW(),설정!$C$12)&amp;"","")</f>
        <v/>
      </c>
      <c r="K666">
        <f>IFERROR(INDEX('1.산군_붙여넣기'!$A$1:$AZ$1001,ROW(),설정!$C$13)&amp;"","")</f>
        <v/>
      </c>
      <c r="L666" s="6">
        <f>IF(X666="","",IF(AND(LEN(X666)=8,ISNUMBER(X666*1)),DATE(LEFT(X666,4),MID(X666,5,2),RIGHT(X666,2)),IFERROR(DATEVALUE(SUBSTITUTE(SUBSTITUTE(X666,".","-"),"/","-")),IFERROR(X666*1,""))))</f>
        <v/>
      </c>
      <c r="M666" s="6">
        <f>IF(Y666="","",IF(AND(LEN(Y666)=8,ISNUMBER(Y666*1)),DATE(LEFT(Y666,4),MID(Y666,5,2),RIGHT(Y666,2)),IFERROR(DATEVALUE(SUBSTITUTE(SUBSTITUTE(Y666,".","-"),"/","-")),IFERROR(Y666*1,""))))</f>
        <v/>
      </c>
      <c r="N666">
        <f>IFERROR(LEFT(B666,FIND(" ",B666)-1),B666)</f>
        <v/>
      </c>
      <c r="O666">
        <f>AND(B666&lt;&gt;"",B666&lt;&gt;설정!$B$4,C666&lt;&gt;설정!$B$5)</f>
        <v/>
      </c>
      <c r="P666">
        <f>IF(O666,B666&amp;"|"&amp;C666,"")</f>
        <v/>
      </c>
      <c r="Q666">
        <f>AND(O666,COUNTIF(P667:P$1002,P666)=0)</f>
        <v/>
      </c>
      <c r="R666">
        <f>OR(AND(설정!$A$28&lt;&gt;"",ISNUMBER(SEARCH(설정!$A$28,E666&amp;" "&amp;C666))),AND(설정!$A$29&lt;&gt;"",ISNUMBER(SEARCH(설정!$A$29,E666&amp;" "&amp;C666))),AND(설정!$A$30&lt;&gt;"",ISNUMBER(SEARCH(설정!$A$30,E666&amp;" "&amp;C666))),AND(설정!$A$31&lt;&gt;"",ISNUMBER(SEARCH(설정!$A$31,E666&amp;" "&amp;C666))),AND(설정!$A$32&lt;&gt;"",ISNUMBER(SEARCH(설정!$A$32,E666&amp;" "&amp;C666))),AND(설정!$A$33&lt;&gt;"",ISNUMBER(SEARCH(설정!$A$33,E666&amp;" "&amp;C666))),AND(설정!$A$34&lt;&gt;"",ISNUMBER(SEARCH(설정!$A$34,E666&amp;" "&amp;C666))),AND(설정!$A$35&lt;&gt;"",ISNUMBER(SEARCH(설정!$A$35,E666&amp;" "&amp;C666))),AND(설정!$A$36&lt;&gt;"",ISNUMBER(SEARCH(설정!$A$36,E666&amp;" "&amp;C666))),AND(설정!$A$37&lt;&gt;"",ISNUMBER(SEARCH(설정!$A$37,E666&amp;" "&amp;C666))))</f>
        <v/>
      </c>
      <c r="S666">
        <f>OR(D666="",D666&gt;=설정!$B$19)</f>
        <v/>
      </c>
      <c r="T666">
        <f>AND(Q666,R666,S666)</f>
        <v/>
      </c>
      <c r="U666">
        <f>IF(T666,IF(AND(설정!$A$41&lt;&gt;"",ISNUMBER(SEARCH(설정!$A$41,K666))),설정!$B$41,IF(AND(설정!$A$42&lt;&gt;"",ISNUMBER(SEARCH(설정!$A$42,K666))),설정!$B$42,IF(AND(설정!$A$43&lt;&gt;"",ISNUMBER(SEARCH(설정!$A$43,K666))),설정!$B$43,IF(AND(설정!$A$44&lt;&gt;"",ISNUMBER(SEARCH(설정!$A$44,K666))),설정!$B$44,IF(AND(설정!$A$45&lt;&gt;"",ISNUMBER(SEARCH(설정!$A$45,K666))),설정!$B$45,IF(AND(설정!$A$46&lt;&gt;"",ISNUMBER(SEARCH(설정!$A$46,K666))),설정!$B$46,IF(AND(설정!$A$47&lt;&gt;"",ISNUMBER(SEARCH(설정!$A$47,K666))),설정!$B$47,IF(AND(설정!$A$48&lt;&gt;"",ISNUMBER(SEARCH(설정!$A$48,K666))),설정!$B$48,IF(M666="","설계사","시공사"))))))))),"")</f>
        <v/>
      </c>
      <c r="V666">
        <f>SUBSTITUTE(SUBSTITUTE(SUBSTITUTE(SUBSTITUTE(G666,"(주)",""),"㈜",""),"주식회사","")," ","")</f>
        <v/>
      </c>
      <c r="W666">
        <f>IF(AND(T666,V666&lt;&gt;""),IF(COUNTIFS(V$2:V666,V666,T$2:T666,TRUE)=1,MAX(W$1:W665)+1,""),"")</f>
        <v/>
      </c>
      <c r="X666">
        <f>IFERROR(INDEX('1.산군_붙여넣기'!$A$1:$AZ$1001,ROW(),설정!$C$14)&amp;"","")</f>
        <v/>
      </c>
      <c r="Y666">
        <f>IFERROR(INDEX('1.산군_붙여넣기'!$A$1:$AZ$1001,ROW(),설정!$C$15)&amp;"","")</f>
        <v/>
      </c>
      <c r="Z666">
        <f>IF(T666,V666&amp;"|"&amp;U666,"")</f>
        <v/>
      </c>
    </row>
    <row r="667">
      <c r="A667">
        <f>ROW()</f>
        <v/>
      </c>
      <c r="B667">
        <f>IFERROR(INDEX('1.산군_붙여넣기'!$A$1:$AZ$1001,ROW(),설정!$C$4)&amp;"","")</f>
        <v/>
      </c>
      <c r="C667">
        <f>IFERROR(INDEX('1.산군_붙여넣기'!$A$1:$AZ$1001,ROW(),설정!$C$5)&amp;"","")</f>
        <v/>
      </c>
      <c r="D667" s="5">
        <f>IFERROR(VALUE(SUBSTITUTE(SUBSTITUTE(SUBSTITUTE(IFERROR(INDEX('1.산군_붙여넣기'!$A$1:$AZ$1001,ROW(),설정!$C$6)&amp;"",""),",",""),"㎡",""),"m2","")),"")</f>
        <v/>
      </c>
      <c r="E667">
        <f>IFERROR(INDEX('1.산군_붙여넣기'!$A$1:$AZ$1001,ROW(),설정!$C$7)&amp;"","")</f>
        <v/>
      </c>
      <c r="F667">
        <f>IFERROR(INDEX('1.산군_붙여넣기'!$A$1:$AZ$1001,ROW(),설정!$C$8)&amp;"","")</f>
        <v/>
      </c>
      <c r="G667">
        <f>IFERROR(INDEX('1.산군_붙여넣기'!$A$1:$AZ$1001,ROW(),설정!$C$9)&amp;"","")</f>
        <v/>
      </c>
      <c r="H667">
        <f>IFERROR(INDEX('1.산군_붙여넣기'!$A$1:$AZ$1001,ROW(),설정!$C$10)&amp;"","")</f>
        <v/>
      </c>
      <c r="I667">
        <f>IFERROR(INDEX('1.산군_붙여넣기'!$A$1:$AZ$1001,ROW(),설정!$C$11)&amp;"","")</f>
        <v/>
      </c>
      <c r="J667">
        <f>IFERROR(INDEX('1.산군_붙여넣기'!$A$1:$AZ$1001,ROW(),설정!$C$12)&amp;"","")</f>
        <v/>
      </c>
      <c r="K667">
        <f>IFERROR(INDEX('1.산군_붙여넣기'!$A$1:$AZ$1001,ROW(),설정!$C$13)&amp;"","")</f>
        <v/>
      </c>
      <c r="L667" s="6">
        <f>IF(X667="","",IF(AND(LEN(X667)=8,ISNUMBER(X667*1)),DATE(LEFT(X667,4),MID(X667,5,2),RIGHT(X667,2)),IFERROR(DATEVALUE(SUBSTITUTE(SUBSTITUTE(X667,".","-"),"/","-")),IFERROR(X667*1,""))))</f>
        <v/>
      </c>
      <c r="M667" s="6">
        <f>IF(Y667="","",IF(AND(LEN(Y667)=8,ISNUMBER(Y667*1)),DATE(LEFT(Y667,4),MID(Y667,5,2),RIGHT(Y667,2)),IFERROR(DATEVALUE(SUBSTITUTE(SUBSTITUTE(Y667,".","-"),"/","-")),IFERROR(Y667*1,""))))</f>
        <v/>
      </c>
      <c r="N667">
        <f>IFERROR(LEFT(B667,FIND(" ",B667)-1),B667)</f>
        <v/>
      </c>
      <c r="O667">
        <f>AND(B667&lt;&gt;"",B667&lt;&gt;설정!$B$4,C667&lt;&gt;설정!$B$5)</f>
        <v/>
      </c>
      <c r="P667">
        <f>IF(O667,B667&amp;"|"&amp;C667,"")</f>
        <v/>
      </c>
      <c r="Q667">
        <f>AND(O667,COUNTIF(P668:P$1002,P667)=0)</f>
        <v/>
      </c>
      <c r="R667">
        <f>OR(AND(설정!$A$28&lt;&gt;"",ISNUMBER(SEARCH(설정!$A$28,E667&amp;" "&amp;C667))),AND(설정!$A$29&lt;&gt;"",ISNUMBER(SEARCH(설정!$A$29,E667&amp;" "&amp;C667))),AND(설정!$A$30&lt;&gt;"",ISNUMBER(SEARCH(설정!$A$30,E667&amp;" "&amp;C667))),AND(설정!$A$31&lt;&gt;"",ISNUMBER(SEARCH(설정!$A$31,E667&amp;" "&amp;C667))),AND(설정!$A$32&lt;&gt;"",ISNUMBER(SEARCH(설정!$A$32,E667&amp;" "&amp;C667))),AND(설정!$A$33&lt;&gt;"",ISNUMBER(SEARCH(설정!$A$33,E667&amp;" "&amp;C667))),AND(설정!$A$34&lt;&gt;"",ISNUMBER(SEARCH(설정!$A$34,E667&amp;" "&amp;C667))),AND(설정!$A$35&lt;&gt;"",ISNUMBER(SEARCH(설정!$A$35,E667&amp;" "&amp;C667))),AND(설정!$A$36&lt;&gt;"",ISNUMBER(SEARCH(설정!$A$36,E667&amp;" "&amp;C667))),AND(설정!$A$37&lt;&gt;"",ISNUMBER(SEARCH(설정!$A$37,E667&amp;" "&amp;C667))))</f>
        <v/>
      </c>
      <c r="S667">
        <f>OR(D667="",D667&gt;=설정!$B$19)</f>
        <v/>
      </c>
      <c r="T667">
        <f>AND(Q667,R667,S667)</f>
        <v/>
      </c>
      <c r="U667">
        <f>IF(T667,IF(AND(설정!$A$41&lt;&gt;"",ISNUMBER(SEARCH(설정!$A$41,K667))),설정!$B$41,IF(AND(설정!$A$42&lt;&gt;"",ISNUMBER(SEARCH(설정!$A$42,K667))),설정!$B$42,IF(AND(설정!$A$43&lt;&gt;"",ISNUMBER(SEARCH(설정!$A$43,K667))),설정!$B$43,IF(AND(설정!$A$44&lt;&gt;"",ISNUMBER(SEARCH(설정!$A$44,K667))),설정!$B$44,IF(AND(설정!$A$45&lt;&gt;"",ISNUMBER(SEARCH(설정!$A$45,K667))),설정!$B$45,IF(AND(설정!$A$46&lt;&gt;"",ISNUMBER(SEARCH(설정!$A$46,K667))),설정!$B$46,IF(AND(설정!$A$47&lt;&gt;"",ISNUMBER(SEARCH(설정!$A$47,K667))),설정!$B$47,IF(AND(설정!$A$48&lt;&gt;"",ISNUMBER(SEARCH(설정!$A$48,K667))),설정!$B$48,IF(M667="","설계사","시공사"))))))))),"")</f>
        <v/>
      </c>
      <c r="V667">
        <f>SUBSTITUTE(SUBSTITUTE(SUBSTITUTE(SUBSTITUTE(G667,"(주)",""),"㈜",""),"주식회사","")," ","")</f>
        <v/>
      </c>
      <c r="W667">
        <f>IF(AND(T667,V667&lt;&gt;""),IF(COUNTIFS(V$2:V667,V667,T$2:T667,TRUE)=1,MAX(W$1:W666)+1,""),"")</f>
        <v/>
      </c>
      <c r="X667">
        <f>IFERROR(INDEX('1.산군_붙여넣기'!$A$1:$AZ$1001,ROW(),설정!$C$14)&amp;"","")</f>
        <v/>
      </c>
      <c r="Y667">
        <f>IFERROR(INDEX('1.산군_붙여넣기'!$A$1:$AZ$1001,ROW(),설정!$C$15)&amp;"","")</f>
        <v/>
      </c>
      <c r="Z667">
        <f>IF(T667,V667&amp;"|"&amp;U667,"")</f>
        <v/>
      </c>
    </row>
    <row r="668">
      <c r="A668">
        <f>ROW()</f>
        <v/>
      </c>
      <c r="B668">
        <f>IFERROR(INDEX('1.산군_붙여넣기'!$A$1:$AZ$1001,ROW(),설정!$C$4)&amp;"","")</f>
        <v/>
      </c>
      <c r="C668">
        <f>IFERROR(INDEX('1.산군_붙여넣기'!$A$1:$AZ$1001,ROW(),설정!$C$5)&amp;"","")</f>
        <v/>
      </c>
      <c r="D668" s="5">
        <f>IFERROR(VALUE(SUBSTITUTE(SUBSTITUTE(SUBSTITUTE(IFERROR(INDEX('1.산군_붙여넣기'!$A$1:$AZ$1001,ROW(),설정!$C$6)&amp;"",""),",",""),"㎡",""),"m2","")),"")</f>
        <v/>
      </c>
      <c r="E668">
        <f>IFERROR(INDEX('1.산군_붙여넣기'!$A$1:$AZ$1001,ROW(),설정!$C$7)&amp;"","")</f>
        <v/>
      </c>
      <c r="F668">
        <f>IFERROR(INDEX('1.산군_붙여넣기'!$A$1:$AZ$1001,ROW(),설정!$C$8)&amp;"","")</f>
        <v/>
      </c>
      <c r="G668">
        <f>IFERROR(INDEX('1.산군_붙여넣기'!$A$1:$AZ$1001,ROW(),설정!$C$9)&amp;"","")</f>
        <v/>
      </c>
      <c r="H668">
        <f>IFERROR(INDEX('1.산군_붙여넣기'!$A$1:$AZ$1001,ROW(),설정!$C$10)&amp;"","")</f>
        <v/>
      </c>
      <c r="I668">
        <f>IFERROR(INDEX('1.산군_붙여넣기'!$A$1:$AZ$1001,ROW(),설정!$C$11)&amp;"","")</f>
        <v/>
      </c>
      <c r="J668">
        <f>IFERROR(INDEX('1.산군_붙여넣기'!$A$1:$AZ$1001,ROW(),설정!$C$12)&amp;"","")</f>
        <v/>
      </c>
      <c r="K668">
        <f>IFERROR(INDEX('1.산군_붙여넣기'!$A$1:$AZ$1001,ROW(),설정!$C$13)&amp;"","")</f>
        <v/>
      </c>
      <c r="L668" s="6">
        <f>IF(X668="","",IF(AND(LEN(X668)=8,ISNUMBER(X668*1)),DATE(LEFT(X668,4),MID(X668,5,2),RIGHT(X668,2)),IFERROR(DATEVALUE(SUBSTITUTE(SUBSTITUTE(X668,".","-"),"/","-")),IFERROR(X668*1,""))))</f>
        <v/>
      </c>
      <c r="M668" s="6">
        <f>IF(Y668="","",IF(AND(LEN(Y668)=8,ISNUMBER(Y668*1)),DATE(LEFT(Y668,4),MID(Y668,5,2),RIGHT(Y668,2)),IFERROR(DATEVALUE(SUBSTITUTE(SUBSTITUTE(Y668,".","-"),"/","-")),IFERROR(Y668*1,""))))</f>
        <v/>
      </c>
      <c r="N668">
        <f>IFERROR(LEFT(B668,FIND(" ",B668)-1),B668)</f>
        <v/>
      </c>
      <c r="O668">
        <f>AND(B668&lt;&gt;"",B668&lt;&gt;설정!$B$4,C668&lt;&gt;설정!$B$5)</f>
        <v/>
      </c>
      <c r="P668">
        <f>IF(O668,B668&amp;"|"&amp;C668,"")</f>
        <v/>
      </c>
      <c r="Q668">
        <f>AND(O668,COUNTIF(P669:P$1002,P668)=0)</f>
        <v/>
      </c>
      <c r="R668">
        <f>OR(AND(설정!$A$28&lt;&gt;"",ISNUMBER(SEARCH(설정!$A$28,E668&amp;" "&amp;C668))),AND(설정!$A$29&lt;&gt;"",ISNUMBER(SEARCH(설정!$A$29,E668&amp;" "&amp;C668))),AND(설정!$A$30&lt;&gt;"",ISNUMBER(SEARCH(설정!$A$30,E668&amp;" "&amp;C668))),AND(설정!$A$31&lt;&gt;"",ISNUMBER(SEARCH(설정!$A$31,E668&amp;" "&amp;C668))),AND(설정!$A$32&lt;&gt;"",ISNUMBER(SEARCH(설정!$A$32,E668&amp;" "&amp;C668))),AND(설정!$A$33&lt;&gt;"",ISNUMBER(SEARCH(설정!$A$33,E668&amp;" "&amp;C668))),AND(설정!$A$34&lt;&gt;"",ISNUMBER(SEARCH(설정!$A$34,E668&amp;" "&amp;C668))),AND(설정!$A$35&lt;&gt;"",ISNUMBER(SEARCH(설정!$A$35,E668&amp;" "&amp;C668))),AND(설정!$A$36&lt;&gt;"",ISNUMBER(SEARCH(설정!$A$36,E668&amp;" "&amp;C668))),AND(설정!$A$37&lt;&gt;"",ISNUMBER(SEARCH(설정!$A$37,E668&amp;" "&amp;C668))))</f>
        <v/>
      </c>
      <c r="S668">
        <f>OR(D668="",D668&gt;=설정!$B$19)</f>
        <v/>
      </c>
      <c r="T668">
        <f>AND(Q668,R668,S668)</f>
        <v/>
      </c>
      <c r="U668">
        <f>IF(T668,IF(AND(설정!$A$41&lt;&gt;"",ISNUMBER(SEARCH(설정!$A$41,K668))),설정!$B$41,IF(AND(설정!$A$42&lt;&gt;"",ISNUMBER(SEARCH(설정!$A$42,K668))),설정!$B$42,IF(AND(설정!$A$43&lt;&gt;"",ISNUMBER(SEARCH(설정!$A$43,K668))),설정!$B$43,IF(AND(설정!$A$44&lt;&gt;"",ISNUMBER(SEARCH(설정!$A$44,K668))),설정!$B$44,IF(AND(설정!$A$45&lt;&gt;"",ISNUMBER(SEARCH(설정!$A$45,K668))),설정!$B$45,IF(AND(설정!$A$46&lt;&gt;"",ISNUMBER(SEARCH(설정!$A$46,K668))),설정!$B$46,IF(AND(설정!$A$47&lt;&gt;"",ISNUMBER(SEARCH(설정!$A$47,K668))),설정!$B$47,IF(AND(설정!$A$48&lt;&gt;"",ISNUMBER(SEARCH(설정!$A$48,K668))),설정!$B$48,IF(M668="","설계사","시공사"))))))))),"")</f>
        <v/>
      </c>
      <c r="V668">
        <f>SUBSTITUTE(SUBSTITUTE(SUBSTITUTE(SUBSTITUTE(G668,"(주)",""),"㈜",""),"주식회사","")," ","")</f>
        <v/>
      </c>
      <c r="W668">
        <f>IF(AND(T668,V668&lt;&gt;""),IF(COUNTIFS(V$2:V668,V668,T$2:T668,TRUE)=1,MAX(W$1:W667)+1,""),"")</f>
        <v/>
      </c>
      <c r="X668">
        <f>IFERROR(INDEX('1.산군_붙여넣기'!$A$1:$AZ$1001,ROW(),설정!$C$14)&amp;"","")</f>
        <v/>
      </c>
      <c r="Y668">
        <f>IFERROR(INDEX('1.산군_붙여넣기'!$A$1:$AZ$1001,ROW(),설정!$C$15)&amp;"","")</f>
        <v/>
      </c>
      <c r="Z668">
        <f>IF(T668,V668&amp;"|"&amp;U668,"")</f>
        <v/>
      </c>
    </row>
    <row r="669">
      <c r="A669">
        <f>ROW()</f>
        <v/>
      </c>
      <c r="B669">
        <f>IFERROR(INDEX('1.산군_붙여넣기'!$A$1:$AZ$1001,ROW(),설정!$C$4)&amp;"","")</f>
        <v/>
      </c>
      <c r="C669">
        <f>IFERROR(INDEX('1.산군_붙여넣기'!$A$1:$AZ$1001,ROW(),설정!$C$5)&amp;"","")</f>
        <v/>
      </c>
      <c r="D669" s="5">
        <f>IFERROR(VALUE(SUBSTITUTE(SUBSTITUTE(SUBSTITUTE(IFERROR(INDEX('1.산군_붙여넣기'!$A$1:$AZ$1001,ROW(),설정!$C$6)&amp;"",""),",",""),"㎡",""),"m2","")),"")</f>
        <v/>
      </c>
      <c r="E669">
        <f>IFERROR(INDEX('1.산군_붙여넣기'!$A$1:$AZ$1001,ROW(),설정!$C$7)&amp;"","")</f>
        <v/>
      </c>
      <c r="F669">
        <f>IFERROR(INDEX('1.산군_붙여넣기'!$A$1:$AZ$1001,ROW(),설정!$C$8)&amp;"","")</f>
        <v/>
      </c>
      <c r="G669">
        <f>IFERROR(INDEX('1.산군_붙여넣기'!$A$1:$AZ$1001,ROW(),설정!$C$9)&amp;"","")</f>
        <v/>
      </c>
      <c r="H669">
        <f>IFERROR(INDEX('1.산군_붙여넣기'!$A$1:$AZ$1001,ROW(),설정!$C$10)&amp;"","")</f>
        <v/>
      </c>
      <c r="I669">
        <f>IFERROR(INDEX('1.산군_붙여넣기'!$A$1:$AZ$1001,ROW(),설정!$C$11)&amp;"","")</f>
        <v/>
      </c>
      <c r="J669">
        <f>IFERROR(INDEX('1.산군_붙여넣기'!$A$1:$AZ$1001,ROW(),설정!$C$12)&amp;"","")</f>
        <v/>
      </c>
      <c r="K669">
        <f>IFERROR(INDEX('1.산군_붙여넣기'!$A$1:$AZ$1001,ROW(),설정!$C$13)&amp;"","")</f>
        <v/>
      </c>
      <c r="L669" s="6">
        <f>IF(X669="","",IF(AND(LEN(X669)=8,ISNUMBER(X669*1)),DATE(LEFT(X669,4),MID(X669,5,2),RIGHT(X669,2)),IFERROR(DATEVALUE(SUBSTITUTE(SUBSTITUTE(X669,".","-"),"/","-")),IFERROR(X669*1,""))))</f>
        <v/>
      </c>
      <c r="M669" s="6">
        <f>IF(Y669="","",IF(AND(LEN(Y669)=8,ISNUMBER(Y669*1)),DATE(LEFT(Y669,4),MID(Y669,5,2),RIGHT(Y669,2)),IFERROR(DATEVALUE(SUBSTITUTE(SUBSTITUTE(Y669,".","-"),"/","-")),IFERROR(Y669*1,""))))</f>
        <v/>
      </c>
      <c r="N669">
        <f>IFERROR(LEFT(B669,FIND(" ",B669)-1),B669)</f>
        <v/>
      </c>
      <c r="O669">
        <f>AND(B669&lt;&gt;"",B669&lt;&gt;설정!$B$4,C669&lt;&gt;설정!$B$5)</f>
        <v/>
      </c>
      <c r="P669">
        <f>IF(O669,B669&amp;"|"&amp;C669,"")</f>
        <v/>
      </c>
      <c r="Q669">
        <f>AND(O669,COUNTIF(P670:P$1002,P669)=0)</f>
        <v/>
      </c>
      <c r="R669">
        <f>OR(AND(설정!$A$28&lt;&gt;"",ISNUMBER(SEARCH(설정!$A$28,E669&amp;" "&amp;C669))),AND(설정!$A$29&lt;&gt;"",ISNUMBER(SEARCH(설정!$A$29,E669&amp;" "&amp;C669))),AND(설정!$A$30&lt;&gt;"",ISNUMBER(SEARCH(설정!$A$30,E669&amp;" "&amp;C669))),AND(설정!$A$31&lt;&gt;"",ISNUMBER(SEARCH(설정!$A$31,E669&amp;" "&amp;C669))),AND(설정!$A$32&lt;&gt;"",ISNUMBER(SEARCH(설정!$A$32,E669&amp;" "&amp;C669))),AND(설정!$A$33&lt;&gt;"",ISNUMBER(SEARCH(설정!$A$33,E669&amp;" "&amp;C669))),AND(설정!$A$34&lt;&gt;"",ISNUMBER(SEARCH(설정!$A$34,E669&amp;" "&amp;C669))),AND(설정!$A$35&lt;&gt;"",ISNUMBER(SEARCH(설정!$A$35,E669&amp;" "&amp;C669))),AND(설정!$A$36&lt;&gt;"",ISNUMBER(SEARCH(설정!$A$36,E669&amp;" "&amp;C669))),AND(설정!$A$37&lt;&gt;"",ISNUMBER(SEARCH(설정!$A$37,E669&amp;" "&amp;C669))))</f>
        <v/>
      </c>
      <c r="S669">
        <f>OR(D669="",D669&gt;=설정!$B$19)</f>
        <v/>
      </c>
      <c r="T669">
        <f>AND(Q669,R669,S669)</f>
        <v/>
      </c>
      <c r="U669">
        <f>IF(T669,IF(AND(설정!$A$41&lt;&gt;"",ISNUMBER(SEARCH(설정!$A$41,K669))),설정!$B$41,IF(AND(설정!$A$42&lt;&gt;"",ISNUMBER(SEARCH(설정!$A$42,K669))),설정!$B$42,IF(AND(설정!$A$43&lt;&gt;"",ISNUMBER(SEARCH(설정!$A$43,K669))),설정!$B$43,IF(AND(설정!$A$44&lt;&gt;"",ISNUMBER(SEARCH(설정!$A$44,K669))),설정!$B$44,IF(AND(설정!$A$45&lt;&gt;"",ISNUMBER(SEARCH(설정!$A$45,K669))),설정!$B$45,IF(AND(설정!$A$46&lt;&gt;"",ISNUMBER(SEARCH(설정!$A$46,K669))),설정!$B$46,IF(AND(설정!$A$47&lt;&gt;"",ISNUMBER(SEARCH(설정!$A$47,K669))),설정!$B$47,IF(AND(설정!$A$48&lt;&gt;"",ISNUMBER(SEARCH(설정!$A$48,K669))),설정!$B$48,IF(M669="","설계사","시공사"))))))))),"")</f>
        <v/>
      </c>
      <c r="V669">
        <f>SUBSTITUTE(SUBSTITUTE(SUBSTITUTE(SUBSTITUTE(G669,"(주)",""),"㈜",""),"주식회사","")," ","")</f>
        <v/>
      </c>
      <c r="W669">
        <f>IF(AND(T669,V669&lt;&gt;""),IF(COUNTIFS(V$2:V669,V669,T$2:T669,TRUE)=1,MAX(W$1:W668)+1,""),"")</f>
        <v/>
      </c>
      <c r="X669">
        <f>IFERROR(INDEX('1.산군_붙여넣기'!$A$1:$AZ$1001,ROW(),설정!$C$14)&amp;"","")</f>
        <v/>
      </c>
      <c r="Y669">
        <f>IFERROR(INDEX('1.산군_붙여넣기'!$A$1:$AZ$1001,ROW(),설정!$C$15)&amp;"","")</f>
        <v/>
      </c>
      <c r="Z669">
        <f>IF(T669,V669&amp;"|"&amp;U669,"")</f>
        <v/>
      </c>
    </row>
    <row r="670">
      <c r="A670">
        <f>ROW()</f>
        <v/>
      </c>
      <c r="B670">
        <f>IFERROR(INDEX('1.산군_붙여넣기'!$A$1:$AZ$1001,ROW(),설정!$C$4)&amp;"","")</f>
        <v/>
      </c>
      <c r="C670">
        <f>IFERROR(INDEX('1.산군_붙여넣기'!$A$1:$AZ$1001,ROW(),설정!$C$5)&amp;"","")</f>
        <v/>
      </c>
      <c r="D670" s="5">
        <f>IFERROR(VALUE(SUBSTITUTE(SUBSTITUTE(SUBSTITUTE(IFERROR(INDEX('1.산군_붙여넣기'!$A$1:$AZ$1001,ROW(),설정!$C$6)&amp;"",""),",",""),"㎡",""),"m2","")),"")</f>
        <v/>
      </c>
      <c r="E670">
        <f>IFERROR(INDEX('1.산군_붙여넣기'!$A$1:$AZ$1001,ROW(),설정!$C$7)&amp;"","")</f>
        <v/>
      </c>
      <c r="F670">
        <f>IFERROR(INDEX('1.산군_붙여넣기'!$A$1:$AZ$1001,ROW(),설정!$C$8)&amp;"","")</f>
        <v/>
      </c>
      <c r="G670">
        <f>IFERROR(INDEX('1.산군_붙여넣기'!$A$1:$AZ$1001,ROW(),설정!$C$9)&amp;"","")</f>
        <v/>
      </c>
      <c r="H670">
        <f>IFERROR(INDEX('1.산군_붙여넣기'!$A$1:$AZ$1001,ROW(),설정!$C$10)&amp;"","")</f>
        <v/>
      </c>
      <c r="I670">
        <f>IFERROR(INDEX('1.산군_붙여넣기'!$A$1:$AZ$1001,ROW(),설정!$C$11)&amp;"","")</f>
        <v/>
      </c>
      <c r="J670">
        <f>IFERROR(INDEX('1.산군_붙여넣기'!$A$1:$AZ$1001,ROW(),설정!$C$12)&amp;"","")</f>
        <v/>
      </c>
      <c r="K670">
        <f>IFERROR(INDEX('1.산군_붙여넣기'!$A$1:$AZ$1001,ROW(),설정!$C$13)&amp;"","")</f>
        <v/>
      </c>
      <c r="L670" s="6">
        <f>IF(X670="","",IF(AND(LEN(X670)=8,ISNUMBER(X670*1)),DATE(LEFT(X670,4),MID(X670,5,2),RIGHT(X670,2)),IFERROR(DATEVALUE(SUBSTITUTE(SUBSTITUTE(X670,".","-"),"/","-")),IFERROR(X670*1,""))))</f>
        <v/>
      </c>
      <c r="M670" s="6">
        <f>IF(Y670="","",IF(AND(LEN(Y670)=8,ISNUMBER(Y670*1)),DATE(LEFT(Y670,4),MID(Y670,5,2),RIGHT(Y670,2)),IFERROR(DATEVALUE(SUBSTITUTE(SUBSTITUTE(Y670,".","-"),"/","-")),IFERROR(Y670*1,""))))</f>
        <v/>
      </c>
      <c r="N670">
        <f>IFERROR(LEFT(B670,FIND(" ",B670)-1),B670)</f>
        <v/>
      </c>
      <c r="O670">
        <f>AND(B670&lt;&gt;"",B670&lt;&gt;설정!$B$4,C670&lt;&gt;설정!$B$5)</f>
        <v/>
      </c>
      <c r="P670">
        <f>IF(O670,B670&amp;"|"&amp;C670,"")</f>
        <v/>
      </c>
      <c r="Q670">
        <f>AND(O670,COUNTIF(P671:P$1002,P670)=0)</f>
        <v/>
      </c>
      <c r="R670">
        <f>OR(AND(설정!$A$28&lt;&gt;"",ISNUMBER(SEARCH(설정!$A$28,E670&amp;" "&amp;C670))),AND(설정!$A$29&lt;&gt;"",ISNUMBER(SEARCH(설정!$A$29,E670&amp;" "&amp;C670))),AND(설정!$A$30&lt;&gt;"",ISNUMBER(SEARCH(설정!$A$30,E670&amp;" "&amp;C670))),AND(설정!$A$31&lt;&gt;"",ISNUMBER(SEARCH(설정!$A$31,E670&amp;" "&amp;C670))),AND(설정!$A$32&lt;&gt;"",ISNUMBER(SEARCH(설정!$A$32,E670&amp;" "&amp;C670))),AND(설정!$A$33&lt;&gt;"",ISNUMBER(SEARCH(설정!$A$33,E670&amp;" "&amp;C670))),AND(설정!$A$34&lt;&gt;"",ISNUMBER(SEARCH(설정!$A$34,E670&amp;" "&amp;C670))),AND(설정!$A$35&lt;&gt;"",ISNUMBER(SEARCH(설정!$A$35,E670&amp;" "&amp;C670))),AND(설정!$A$36&lt;&gt;"",ISNUMBER(SEARCH(설정!$A$36,E670&amp;" "&amp;C670))),AND(설정!$A$37&lt;&gt;"",ISNUMBER(SEARCH(설정!$A$37,E670&amp;" "&amp;C670))))</f>
        <v/>
      </c>
      <c r="S670">
        <f>OR(D670="",D670&gt;=설정!$B$19)</f>
        <v/>
      </c>
      <c r="T670">
        <f>AND(Q670,R670,S670)</f>
        <v/>
      </c>
      <c r="U670">
        <f>IF(T670,IF(AND(설정!$A$41&lt;&gt;"",ISNUMBER(SEARCH(설정!$A$41,K670))),설정!$B$41,IF(AND(설정!$A$42&lt;&gt;"",ISNUMBER(SEARCH(설정!$A$42,K670))),설정!$B$42,IF(AND(설정!$A$43&lt;&gt;"",ISNUMBER(SEARCH(설정!$A$43,K670))),설정!$B$43,IF(AND(설정!$A$44&lt;&gt;"",ISNUMBER(SEARCH(설정!$A$44,K670))),설정!$B$44,IF(AND(설정!$A$45&lt;&gt;"",ISNUMBER(SEARCH(설정!$A$45,K670))),설정!$B$45,IF(AND(설정!$A$46&lt;&gt;"",ISNUMBER(SEARCH(설정!$A$46,K670))),설정!$B$46,IF(AND(설정!$A$47&lt;&gt;"",ISNUMBER(SEARCH(설정!$A$47,K670))),설정!$B$47,IF(AND(설정!$A$48&lt;&gt;"",ISNUMBER(SEARCH(설정!$A$48,K670))),설정!$B$48,IF(M670="","설계사","시공사"))))))))),"")</f>
        <v/>
      </c>
      <c r="V670">
        <f>SUBSTITUTE(SUBSTITUTE(SUBSTITUTE(SUBSTITUTE(G670,"(주)",""),"㈜",""),"주식회사","")," ","")</f>
        <v/>
      </c>
      <c r="W670">
        <f>IF(AND(T670,V670&lt;&gt;""),IF(COUNTIFS(V$2:V670,V670,T$2:T670,TRUE)=1,MAX(W$1:W669)+1,""),"")</f>
        <v/>
      </c>
      <c r="X670">
        <f>IFERROR(INDEX('1.산군_붙여넣기'!$A$1:$AZ$1001,ROW(),설정!$C$14)&amp;"","")</f>
        <v/>
      </c>
      <c r="Y670">
        <f>IFERROR(INDEX('1.산군_붙여넣기'!$A$1:$AZ$1001,ROW(),설정!$C$15)&amp;"","")</f>
        <v/>
      </c>
      <c r="Z670">
        <f>IF(T670,V670&amp;"|"&amp;U670,"")</f>
        <v/>
      </c>
    </row>
    <row r="671">
      <c r="A671">
        <f>ROW()</f>
        <v/>
      </c>
      <c r="B671">
        <f>IFERROR(INDEX('1.산군_붙여넣기'!$A$1:$AZ$1001,ROW(),설정!$C$4)&amp;"","")</f>
        <v/>
      </c>
      <c r="C671">
        <f>IFERROR(INDEX('1.산군_붙여넣기'!$A$1:$AZ$1001,ROW(),설정!$C$5)&amp;"","")</f>
        <v/>
      </c>
      <c r="D671" s="5">
        <f>IFERROR(VALUE(SUBSTITUTE(SUBSTITUTE(SUBSTITUTE(IFERROR(INDEX('1.산군_붙여넣기'!$A$1:$AZ$1001,ROW(),설정!$C$6)&amp;"",""),",",""),"㎡",""),"m2","")),"")</f>
        <v/>
      </c>
      <c r="E671">
        <f>IFERROR(INDEX('1.산군_붙여넣기'!$A$1:$AZ$1001,ROW(),설정!$C$7)&amp;"","")</f>
        <v/>
      </c>
      <c r="F671">
        <f>IFERROR(INDEX('1.산군_붙여넣기'!$A$1:$AZ$1001,ROW(),설정!$C$8)&amp;"","")</f>
        <v/>
      </c>
      <c r="G671">
        <f>IFERROR(INDEX('1.산군_붙여넣기'!$A$1:$AZ$1001,ROW(),설정!$C$9)&amp;"","")</f>
        <v/>
      </c>
      <c r="H671">
        <f>IFERROR(INDEX('1.산군_붙여넣기'!$A$1:$AZ$1001,ROW(),설정!$C$10)&amp;"","")</f>
        <v/>
      </c>
      <c r="I671">
        <f>IFERROR(INDEX('1.산군_붙여넣기'!$A$1:$AZ$1001,ROW(),설정!$C$11)&amp;"","")</f>
        <v/>
      </c>
      <c r="J671">
        <f>IFERROR(INDEX('1.산군_붙여넣기'!$A$1:$AZ$1001,ROW(),설정!$C$12)&amp;"","")</f>
        <v/>
      </c>
      <c r="K671">
        <f>IFERROR(INDEX('1.산군_붙여넣기'!$A$1:$AZ$1001,ROW(),설정!$C$13)&amp;"","")</f>
        <v/>
      </c>
      <c r="L671" s="6">
        <f>IF(X671="","",IF(AND(LEN(X671)=8,ISNUMBER(X671*1)),DATE(LEFT(X671,4),MID(X671,5,2),RIGHT(X671,2)),IFERROR(DATEVALUE(SUBSTITUTE(SUBSTITUTE(X671,".","-"),"/","-")),IFERROR(X671*1,""))))</f>
        <v/>
      </c>
      <c r="M671" s="6">
        <f>IF(Y671="","",IF(AND(LEN(Y671)=8,ISNUMBER(Y671*1)),DATE(LEFT(Y671,4),MID(Y671,5,2),RIGHT(Y671,2)),IFERROR(DATEVALUE(SUBSTITUTE(SUBSTITUTE(Y671,".","-"),"/","-")),IFERROR(Y671*1,""))))</f>
        <v/>
      </c>
      <c r="N671">
        <f>IFERROR(LEFT(B671,FIND(" ",B671)-1),B671)</f>
        <v/>
      </c>
      <c r="O671">
        <f>AND(B671&lt;&gt;"",B671&lt;&gt;설정!$B$4,C671&lt;&gt;설정!$B$5)</f>
        <v/>
      </c>
      <c r="P671">
        <f>IF(O671,B671&amp;"|"&amp;C671,"")</f>
        <v/>
      </c>
      <c r="Q671">
        <f>AND(O671,COUNTIF(P672:P$1002,P671)=0)</f>
        <v/>
      </c>
      <c r="R671">
        <f>OR(AND(설정!$A$28&lt;&gt;"",ISNUMBER(SEARCH(설정!$A$28,E671&amp;" "&amp;C671))),AND(설정!$A$29&lt;&gt;"",ISNUMBER(SEARCH(설정!$A$29,E671&amp;" "&amp;C671))),AND(설정!$A$30&lt;&gt;"",ISNUMBER(SEARCH(설정!$A$30,E671&amp;" "&amp;C671))),AND(설정!$A$31&lt;&gt;"",ISNUMBER(SEARCH(설정!$A$31,E671&amp;" "&amp;C671))),AND(설정!$A$32&lt;&gt;"",ISNUMBER(SEARCH(설정!$A$32,E671&amp;" "&amp;C671))),AND(설정!$A$33&lt;&gt;"",ISNUMBER(SEARCH(설정!$A$33,E671&amp;" "&amp;C671))),AND(설정!$A$34&lt;&gt;"",ISNUMBER(SEARCH(설정!$A$34,E671&amp;" "&amp;C671))),AND(설정!$A$35&lt;&gt;"",ISNUMBER(SEARCH(설정!$A$35,E671&amp;" "&amp;C671))),AND(설정!$A$36&lt;&gt;"",ISNUMBER(SEARCH(설정!$A$36,E671&amp;" "&amp;C671))),AND(설정!$A$37&lt;&gt;"",ISNUMBER(SEARCH(설정!$A$37,E671&amp;" "&amp;C671))))</f>
        <v/>
      </c>
      <c r="S671">
        <f>OR(D671="",D671&gt;=설정!$B$19)</f>
        <v/>
      </c>
      <c r="T671">
        <f>AND(Q671,R671,S671)</f>
        <v/>
      </c>
      <c r="U671">
        <f>IF(T671,IF(AND(설정!$A$41&lt;&gt;"",ISNUMBER(SEARCH(설정!$A$41,K671))),설정!$B$41,IF(AND(설정!$A$42&lt;&gt;"",ISNUMBER(SEARCH(설정!$A$42,K671))),설정!$B$42,IF(AND(설정!$A$43&lt;&gt;"",ISNUMBER(SEARCH(설정!$A$43,K671))),설정!$B$43,IF(AND(설정!$A$44&lt;&gt;"",ISNUMBER(SEARCH(설정!$A$44,K671))),설정!$B$44,IF(AND(설정!$A$45&lt;&gt;"",ISNUMBER(SEARCH(설정!$A$45,K671))),설정!$B$45,IF(AND(설정!$A$46&lt;&gt;"",ISNUMBER(SEARCH(설정!$A$46,K671))),설정!$B$46,IF(AND(설정!$A$47&lt;&gt;"",ISNUMBER(SEARCH(설정!$A$47,K671))),설정!$B$47,IF(AND(설정!$A$48&lt;&gt;"",ISNUMBER(SEARCH(설정!$A$48,K671))),설정!$B$48,IF(M671="","설계사","시공사"))))))))),"")</f>
        <v/>
      </c>
      <c r="V671">
        <f>SUBSTITUTE(SUBSTITUTE(SUBSTITUTE(SUBSTITUTE(G671,"(주)",""),"㈜",""),"주식회사","")," ","")</f>
        <v/>
      </c>
      <c r="W671">
        <f>IF(AND(T671,V671&lt;&gt;""),IF(COUNTIFS(V$2:V671,V671,T$2:T671,TRUE)=1,MAX(W$1:W670)+1,""),"")</f>
        <v/>
      </c>
      <c r="X671">
        <f>IFERROR(INDEX('1.산군_붙여넣기'!$A$1:$AZ$1001,ROW(),설정!$C$14)&amp;"","")</f>
        <v/>
      </c>
      <c r="Y671">
        <f>IFERROR(INDEX('1.산군_붙여넣기'!$A$1:$AZ$1001,ROW(),설정!$C$15)&amp;"","")</f>
        <v/>
      </c>
      <c r="Z671">
        <f>IF(T671,V671&amp;"|"&amp;U671,"")</f>
        <v/>
      </c>
    </row>
    <row r="672">
      <c r="A672">
        <f>ROW()</f>
        <v/>
      </c>
      <c r="B672">
        <f>IFERROR(INDEX('1.산군_붙여넣기'!$A$1:$AZ$1001,ROW(),설정!$C$4)&amp;"","")</f>
        <v/>
      </c>
      <c r="C672">
        <f>IFERROR(INDEX('1.산군_붙여넣기'!$A$1:$AZ$1001,ROW(),설정!$C$5)&amp;"","")</f>
        <v/>
      </c>
      <c r="D672" s="5">
        <f>IFERROR(VALUE(SUBSTITUTE(SUBSTITUTE(SUBSTITUTE(IFERROR(INDEX('1.산군_붙여넣기'!$A$1:$AZ$1001,ROW(),설정!$C$6)&amp;"",""),",",""),"㎡",""),"m2","")),"")</f>
        <v/>
      </c>
      <c r="E672">
        <f>IFERROR(INDEX('1.산군_붙여넣기'!$A$1:$AZ$1001,ROW(),설정!$C$7)&amp;"","")</f>
        <v/>
      </c>
      <c r="F672">
        <f>IFERROR(INDEX('1.산군_붙여넣기'!$A$1:$AZ$1001,ROW(),설정!$C$8)&amp;"","")</f>
        <v/>
      </c>
      <c r="G672">
        <f>IFERROR(INDEX('1.산군_붙여넣기'!$A$1:$AZ$1001,ROW(),설정!$C$9)&amp;"","")</f>
        <v/>
      </c>
      <c r="H672">
        <f>IFERROR(INDEX('1.산군_붙여넣기'!$A$1:$AZ$1001,ROW(),설정!$C$10)&amp;"","")</f>
        <v/>
      </c>
      <c r="I672">
        <f>IFERROR(INDEX('1.산군_붙여넣기'!$A$1:$AZ$1001,ROW(),설정!$C$11)&amp;"","")</f>
        <v/>
      </c>
      <c r="J672">
        <f>IFERROR(INDEX('1.산군_붙여넣기'!$A$1:$AZ$1001,ROW(),설정!$C$12)&amp;"","")</f>
        <v/>
      </c>
      <c r="K672">
        <f>IFERROR(INDEX('1.산군_붙여넣기'!$A$1:$AZ$1001,ROW(),설정!$C$13)&amp;"","")</f>
        <v/>
      </c>
      <c r="L672" s="6">
        <f>IF(X672="","",IF(AND(LEN(X672)=8,ISNUMBER(X672*1)),DATE(LEFT(X672,4),MID(X672,5,2),RIGHT(X672,2)),IFERROR(DATEVALUE(SUBSTITUTE(SUBSTITUTE(X672,".","-"),"/","-")),IFERROR(X672*1,""))))</f>
        <v/>
      </c>
      <c r="M672" s="6">
        <f>IF(Y672="","",IF(AND(LEN(Y672)=8,ISNUMBER(Y672*1)),DATE(LEFT(Y672,4),MID(Y672,5,2),RIGHT(Y672,2)),IFERROR(DATEVALUE(SUBSTITUTE(SUBSTITUTE(Y672,".","-"),"/","-")),IFERROR(Y672*1,""))))</f>
        <v/>
      </c>
      <c r="N672">
        <f>IFERROR(LEFT(B672,FIND(" ",B672)-1),B672)</f>
        <v/>
      </c>
      <c r="O672">
        <f>AND(B672&lt;&gt;"",B672&lt;&gt;설정!$B$4,C672&lt;&gt;설정!$B$5)</f>
        <v/>
      </c>
      <c r="P672">
        <f>IF(O672,B672&amp;"|"&amp;C672,"")</f>
        <v/>
      </c>
      <c r="Q672">
        <f>AND(O672,COUNTIF(P673:P$1002,P672)=0)</f>
        <v/>
      </c>
      <c r="R672">
        <f>OR(AND(설정!$A$28&lt;&gt;"",ISNUMBER(SEARCH(설정!$A$28,E672&amp;" "&amp;C672))),AND(설정!$A$29&lt;&gt;"",ISNUMBER(SEARCH(설정!$A$29,E672&amp;" "&amp;C672))),AND(설정!$A$30&lt;&gt;"",ISNUMBER(SEARCH(설정!$A$30,E672&amp;" "&amp;C672))),AND(설정!$A$31&lt;&gt;"",ISNUMBER(SEARCH(설정!$A$31,E672&amp;" "&amp;C672))),AND(설정!$A$32&lt;&gt;"",ISNUMBER(SEARCH(설정!$A$32,E672&amp;" "&amp;C672))),AND(설정!$A$33&lt;&gt;"",ISNUMBER(SEARCH(설정!$A$33,E672&amp;" "&amp;C672))),AND(설정!$A$34&lt;&gt;"",ISNUMBER(SEARCH(설정!$A$34,E672&amp;" "&amp;C672))),AND(설정!$A$35&lt;&gt;"",ISNUMBER(SEARCH(설정!$A$35,E672&amp;" "&amp;C672))),AND(설정!$A$36&lt;&gt;"",ISNUMBER(SEARCH(설정!$A$36,E672&amp;" "&amp;C672))),AND(설정!$A$37&lt;&gt;"",ISNUMBER(SEARCH(설정!$A$37,E672&amp;" "&amp;C672))))</f>
        <v/>
      </c>
      <c r="S672">
        <f>OR(D672="",D672&gt;=설정!$B$19)</f>
        <v/>
      </c>
      <c r="T672">
        <f>AND(Q672,R672,S672)</f>
        <v/>
      </c>
      <c r="U672">
        <f>IF(T672,IF(AND(설정!$A$41&lt;&gt;"",ISNUMBER(SEARCH(설정!$A$41,K672))),설정!$B$41,IF(AND(설정!$A$42&lt;&gt;"",ISNUMBER(SEARCH(설정!$A$42,K672))),설정!$B$42,IF(AND(설정!$A$43&lt;&gt;"",ISNUMBER(SEARCH(설정!$A$43,K672))),설정!$B$43,IF(AND(설정!$A$44&lt;&gt;"",ISNUMBER(SEARCH(설정!$A$44,K672))),설정!$B$44,IF(AND(설정!$A$45&lt;&gt;"",ISNUMBER(SEARCH(설정!$A$45,K672))),설정!$B$45,IF(AND(설정!$A$46&lt;&gt;"",ISNUMBER(SEARCH(설정!$A$46,K672))),설정!$B$46,IF(AND(설정!$A$47&lt;&gt;"",ISNUMBER(SEARCH(설정!$A$47,K672))),설정!$B$47,IF(AND(설정!$A$48&lt;&gt;"",ISNUMBER(SEARCH(설정!$A$48,K672))),설정!$B$48,IF(M672="","설계사","시공사"))))))))),"")</f>
        <v/>
      </c>
      <c r="V672">
        <f>SUBSTITUTE(SUBSTITUTE(SUBSTITUTE(SUBSTITUTE(G672,"(주)",""),"㈜",""),"주식회사","")," ","")</f>
        <v/>
      </c>
      <c r="W672">
        <f>IF(AND(T672,V672&lt;&gt;""),IF(COUNTIFS(V$2:V672,V672,T$2:T672,TRUE)=1,MAX(W$1:W671)+1,""),"")</f>
        <v/>
      </c>
      <c r="X672">
        <f>IFERROR(INDEX('1.산군_붙여넣기'!$A$1:$AZ$1001,ROW(),설정!$C$14)&amp;"","")</f>
        <v/>
      </c>
      <c r="Y672">
        <f>IFERROR(INDEX('1.산군_붙여넣기'!$A$1:$AZ$1001,ROW(),설정!$C$15)&amp;"","")</f>
        <v/>
      </c>
      <c r="Z672">
        <f>IF(T672,V672&amp;"|"&amp;U672,"")</f>
        <v/>
      </c>
    </row>
    <row r="673">
      <c r="A673">
        <f>ROW()</f>
        <v/>
      </c>
      <c r="B673">
        <f>IFERROR(INDEX('1.산군_붙여넣기'!$A$1:$AZ$1001,ROW(),설정!$C$4)&amp;"","")</f>
        <v/>
      </c>
      <c r="C673">
        <f>IFERROR(INDEX('1.산군_붙여넣기'!$A$1:$AZ$1001,ROW(),설정!$C$5)&amp;"","")</f>
        <v/>
      </c>
      <c r="D673" s="5">
        <f>IFERROR(VALUE(SUBSTITUTE(SUBSTITUTE(SUBSTITUTE(IFERROR(INDEX('1.산군_붙여넣기'!$A$1:$AZ$1001,ROW(),설정!$C$6)&amp;"",""),",",""),"㎡",""),"m2","")),"")</f>
        <v/>
      </c>
      <c r="E673">
        <f>IFERROR(INDEX('1.산군_붙여넣기'!$A$1:$AZ$1001,ROW(),설정!$C$7)&amp;"","")</f>
        <v/>
      </c>
      <c r="F673">
        <f>IFERROR(INDEX('1.산군_붙여넣기'!$A$1:$AZ$1001,ROW(),설정!$C$8)&amp;"","")</f>
        <v/>
      </c>
      <c r="G673">
        <f>IFERROR(INDEX('1.산군_붙여넣기'!$A$1:$AZ$1001,ROW(),설정!$C$9)&amp;"","")</f>
        <v/>
      </c>
      <c r="H673">
        <f>IFERROR(INDEX('1.산군_붙여넣기'!$A$1:$AZ$1001,ROW(),설정!$C$10)&amp;"","")</f>
        <v/>
      </c>
      <c r="I673">
        <f>IFERROR(INDEX('1.산군_붙여넣기'!$A$1:$AZ$1001,ROW(),설정!$C$11)&amp;"","")</f>
        <v/>
      </c>
      <c r="J673">
        <f>IFERROR(INDEX('1.산군_붙여넣기'!$A$1:$AZ$1001,ROW(),설정!$C$12)&amp;"","")</f>
        <v/>
      </c>
      <c r="K673">
        <f>IFERROR(INDEX('1.산군_붙여넣기'!$A$1:$AZ$1001,ROW(),설정!$C$13)&amp;"","")</f>
        <v/>
      </c>
      <c r="L673" s="6">
        <f>IF(X673="","",IF(AND(LEN(X673)=8,ISNUMBER(X673*1)),DATE(LEFT(X673,4),MID(X673,5,2),RIGHT(X673,2)),IFERROR(DATEVALUE(SUBSTITUTE(SUBSTITUTE(X673,".","-"),"/","-")),IFERROR(X673*1,""))))</f>
        <v/>
      </c>
      <c r="M673" s="6">
        <f>IF(Y673="","",IF(AND(LEN(Y673)=8,ISNUMBER(Y673*1)),DATE(LEFT(Y673,4),MID(Y673,5,2),RIGHT(Y673,2)),IFERROR(DATEVALUE(SUBSTITUTE(SUBSTITUTE(Y673,".","-"),"/","-")),IFERROR(Y673*1,""))))</f>
        <v/>
      </c>
      <c r="N673">
        <f>IFERROR(LEFT(B673,FIND(" ",B673)-1),B673)</f>
        <v/>
      </c>
      <c r="O673">
        <f>AND(B673&lt;&gt;"",B673&lt;&gt;설정!$B$4,C673&lt;&gt;설정!$B$5)</f>
        <v/>
      </c>
      <c r="P673">
        <f>IF(O673,B673&amp;"|"&amp;C673,"")</f>
        <v/>
      </c>
      <c r="Q673">
        <f>AND(O673,COUNTIF(P674:P$1002,P673)=0)</f>
        <v/>
      </c>
      <c r="R673">
        <f>OR(AND(설정!$A$28&lt;&gt;"",ISNUMBER(SEARCH(설정!$A$28,E673&amp;" "&amp;C673))),AND(설정!$A$29&lt;&gt;"",ISNUMBER(SEARCH(설정!$A$29,E673&amp;" "&amp;C673))),AND(설정!$A$30&lt;&gt;"",ISNUMBER(SEARCH(설정!$A$30,E673&amp;" "&amp;C673))),AND(설정!$A$31&lt;&gt;"",ISNUMBER(SEARCH(설정!$A$31,E673&amp;" "&amp;C673))),AND(설정!$A$32&lt;&gt;"",ISNUMBER(SEARCH(설정!$A$32,E673&amp;" "&amp;C673))),AND(설정!$A$33&lt;&gt;"",ISNUMBER(SEARCH(설정!$A$33,E673&amp;" "&amp;C673))),AND(설정!$A$34&lt;&gt;"",ISNUMBER(SEARCH(설정!$A$34,E673&amp;" "&amp;C673))),AND(설정!$A$35&lt;&gt;"",ISNUMBER(SEARCH(설정!$A$35,E673&amp;" "&amp;C673))),AND(설정!$A$36&lt;&gt;"",ISNUMBER(SEARCH(설정!$A$36,E673&amp;" "&amp;C673))),AND(설정!$A$37&lt;&gt;"",ISNUMBER(SEARCH(설정!$A$37,E673&amp;" "&amp;C673))))</f>
        <v/>
      </c>
      <c r="S673">
        <f>OR(D673="",D673&gt;=설정!$B$19)</f>
        <v/>
      </c>
      <c r="T673">
        <f>AND(Q673,R673,S673)</f>
        <v/>
      </c>
      <c r="U673">
        <f>IF(T673,IF(AND(설정!$A$41&lt;&gt;"",ISNUMBER(SEARCH(설정!$A$41,K673))),설정!$B$41,IF(AND(설정!$A$42&lt;&gt;"",ISNUMBER(SEARCH(설정!$A$42,K673))),설정!$B$42,IF(AND(설정!$A$43&lt;&gt;"",ISNUMBER(SEARCH(설정!$A$43,K673))),설정!$B$43,IF(AND(설정!$A$44&lt;&gt;"",ISNUMBER(SEARCH(설정!$A$44,K673))),설정!$B$44,IF(AND(설정!$A$45&lt;&gt;"",ISNUMBER(SEARCH(설정!$A$45,K673))),설정!$B$45,IF(AND(설정!$A$46&lt;&gt;"",ISNUMBER(SEARCH(설정!$A$46,K673))),설정!$B$46,IF(AND(설정!$A$47&lt;&gt;"",ISNUMBER(SEARCH(설정!$A$47,K673))),설정!$B$47,IF(AND(설정!$A$48&lt;&gt;"",ISNUMBER(SEARCH(설정!$A$48,K673))),설정!$B$48,IF(M673="","설계사","시공사"))))))))),"")</f>
        <v/>
      </c>
      <c r="V673">
        <f>SUBSTITUTE(SUBSTITUTE(SUBSTITUTE(SUBSTITUTE(G673,"(주)",""),"㈜",""),"주식회사","")," ","")</f>
        <v/>
      </c>
      <c r="W673">
        <f>IF(AND(T673,V673&lt;&gt;""),IF(COUNTIFS(V$2:V673,V673,T$2:T673,TRUE)=1,MAX(W$1:W672)+1,""),"")</f>
        <v/>
      </c>
      <c r="X673">
        <f>IFERROR(INDEX('1.산군_붙여넣기'!$A$1:$AZ$1001,ROW(),설정!$C$14)&amp;"","")</f>
        <v/>
      </c>
      <c r="Y673">
        <f>IFERROR(INDEX('1.산군_붙여넣기'!$A$1:$AZ$1001,ROW(),설정!$C$15)&amp;"","")</f>
        <v/>
      </c>
      <c r="Z673">
        <f>IF(T673,V673&amp;"|"&amp;U673,"")</f>
        <v/>
      </c>
    </row>
    <row r="674">
      <c r="A674">
        <f>ROW()</f>
        <v/>
      </c>
      <c r="B674">
        <f>IFERROR(INDEX('1.산군_붙여넣기'!$A$1:$AZ$1001,ROW(),설정!$C$4)&amp;"","")</f>
        <v/>
      </c>
      <c r="C674">
        <f>IFERROR(INDEX('1.산군_붙여넣기'!$A$1:$AZ$1001,ROW(),설정!$C$5)&amp;"","")</f>
        <v/>
      </c>
      <c r="D674" s="5">
        <f>IFERROR(VALUE(SUBSTITUTE(SUBSTITUTE(SUBSTITUTE(IFERROR(INDEX('1.산군_붙여넣기'!$A$1:$AZ$1001,ROW(),설정!$C$6)&amp;"",""),",",""),"㎡",""),"m2","")),"")</f>
        <v/>
      </c>
      <c r="E674">
        <f>IFERROR(INDEX('1.산군_붙여넣기'!$A$1:$AZ$1001,ROW(),설정!$C$7)&amp;"","")</f>
        <v/>
      </c>
      <c r="F674">
        <f>IFERROR(INDEX('1.산군_붙여넣기'!$A$1:$AZ$1001,ROW(),설정!$C$8)&amp;"","")</f>
        <v/>
      </c>
      <c r="G674">
        <f>IFERROR(INDEX('1.산군_붙여넣기'!$A$1:$AZ$1001,ROW(),설정!$C$9)&amp;"","")</f>
        <v/>
      </c>
      <c r="H674">
        <f>IFERROR(INDEX('1.산군_붙여넣기'!$A$1:$AZ$1001,ROW(),설정!$C$10)&amp;"","")</f>
        <v/>
      </c>
      <c r="I674">
        <f>IFERROR(INDEX('1.산군_붙여넣기'!$A$1:$AZ$1001,ROW(),설정!$C$11)&amp;"","")</f>
        <v/>
      </c>
      <c r="J674">
        <f>IFERROR(INDEX('1.산군_붙여넣기'!$A$1:$AZ$1001,ROW(),설정!$C$12)&amp;"","")</f>
        <v/>
      </c>
      <c r="K674">
        <f>IFERROR(INDEX('1.산군_붙여넣기'!$A$1:$AZ$1001,ROW(),설정!$C$13)&amp;"","")</f>
        <v/>
      </c>
      <c r="L674" s="6">
        <f>IF(X674="","",IF(AND(LEN(X674)=8,ISNUMBER(X674*1)),DATE(LEFT(X674,4),MID(X674,5,2),RIGHT(X674,2)),IFERROR(DATEVALUE(SUBSTITUTE(SUBSTITUTE(X674,".","-"),"/","-")),IFERROR(X674*1,""))))</f>
        <v/>
      </c>
      <c r="M674" s="6">
        <f>IF(Y674="","",IF(AND(LEN(Y674)=8,ISNUMBER(Y674*1)),DATE(LEFT(Y674,4),MID(Y674,5,2),RIGHT(Y674,2)),IFERROR(DATEVALUE(SUBSTITUTE(SUBSTITUTE(Y674,".","-"),"/","-")),IFERROR(Y674*1,""))))</f>
        <v/>
      </c>
      <c r="N674">
        <f>IFERROR(LEFT(B674,FIND(" ",B674)-1),B674)</f>
        <v/>
      </c>
      <c r="O674">
        <f>AND(B674&lt;&gt;"",B674&lt;&gt;설정!$B$4,C674&lt;&gt;설정!$B$5)</f>
        <v/>
      </c>
      <c r="P674">
        <f>IF(O674,B674&amp;"|"&amp;C674,"")</f>
        <v/>
      </c>
      <c r="Q674">
        <f>AND(O674,COUNTIF(P675:P$1002,P674)=0)</f>
        <v/>
      </c>
      <c r="R674">
        <f>OR(AND(설정!$A$28&lt;&gt;"",ISNUMBER(SEARCH(설정!$A$28,E674&amp;" "&amp;C674))),AND(설정!$A$29&lt;&gt;"",ISNUMBER(SEARCH(설정!$A$29,E674&amp;" "&amp;C674))),AND(설정!$A$30&lt;&gt;"",ISNUMBER(SEARCH(설정!$A$30,E674&amp;" "&amp;C674))),AND(설정!$A$31&lt;&gt;"",ISNUMBER(SEARCH(설정!$A$31,E674&amp;" "&amp;C674))),AND(설정!$A$32&lt;&gt;"",ISNUMBER(SEARCH(설정!$A$32,E674&amp;" "&amp;C674))),AND(설정!$A$33&lt;&gt;"",ISNUMBER(SEARCH(설정!$A$33,E674&amp;" "&amp;C674))),AND(설정!$A$34&lt;&gt;"",ISNUMBER(SEARCH(설정!$A$34,E674&amp;" "&amp;C674))),AND(설정!$A$35&lt;&gt;"",ISNUMBER(SEARCH(설정!$A$35,E674&amp;" "&amp;C674))),AND(설정!$A$36&lt;&gt;"",ISNUMBER(SEARCH(설정!$A$36,E674&amp;" "&amp;C674))),AND(설정!$A$37&lt;&gt;"",ISNUMBER(SEARCH(설정!$A$37,E674&amp;" "&amp;C674))))</f>
        <v/>
      </c>
      <c r="S674">
        <f>OR(D674="",D674&gt;=설정!$B$19)</f>
        <v/>
      </c>
      <c r="T674">
        <f>AND(Q674,R674,S674)</f>
        <v/>
      </c>
      <c r="U674">
        <f>IF(T674,IF(AND(설정!$A$41&lt;&gt;"",ISNUMBER(SEARCH(설정!$A$41,K674))),설정!$B$41,IF(AND(설정!$A$42&lt;&gt;"",ISNUMBER(SEARCH(설정!$A$42,K674))),설정!$B$42,IF(AND(설정!$A$43&lt;&gt;"",ISNUMBER(SEARCH(설정!$A$43,K674))),설정!$B$43,IF(AND(설정!$A$44&lt;&gt;"",ISNUMBER(SEARCH(설정!$A$44,K674))),설정!$B$44,IF(AND(설정!$A$45&lt;&gt;"",ISNUMBER(SEARCH(설정!$A$45,K674))),설정!$B$45,IF(AND(설정!$A$46&lt;&gt;"",ISNUMBER(SEARCH(설정!$A$46,K674))),설정!$B$46,IF(AND(설정!$A$47&lt;&gt;"",ISNUMBER(SEARCH(설정!$A$47,K674))),설정!$B$47,IF(AND(설정!$A$48&lt;&gt;"",ISNUMBER(SEARCH(설정!$A$48,K674))),설정!$B$48,IF(M674="","설계사","시공사"))))))))),"")</f>
        <v/>
      </c>
      <c r="V674">
        <f>SUBSTITUTE(SUBSTITUTE(SUBSTITUTE(SUBSTITUTE(G674,"(주)",""),"㈜",""),"주식회사","")," ","")</f>
        <v/>
      </c>
      <c r="W674">
        <f>IF(AND(T674,V674&lt;&gt;""),IF(COUNTIFS(V$2:V674,V674,T$2:T674,TRUE)=1,MAX(W$1:W673)+1,""),"")</f>
        <v/>
      </c>
      <c r="X674">
        <f>IFERROR(INDEX('1.산군_붙여넣기'!$A$1:$AZ$1001,ROW(),설정!$C$14)&amp;"","")</f>
        <v/>
      </c>
      <c r="Y674">
        <f>IFERROR(INDEX('1.산군_붙여넣기'!$A$1:$AZ$1001,ROW(),설정!$C$15)&amp;"","")</f>
        <v/>
      </c>
      <c r="Z674">
        <f>IF(T674,V674&amp;"|"&amp;U674,"")</f>
        <v/>
      </c>
    </row>
    <row r="675">
      <c r="A675">
        <f>ROW()</f>
        <v/>
      </c>
      <c r="B675">
        <f>IFERROR(INDEX('1.산군_붙여넣기'!$A$1:$AZ$1001,ROW(),설정!$C$4)&amp;"","")</f>
        <v/>
      </c>
      <c r="C675">
        <f>IFERROR(INDEX('1.산군_붙여넣기'!$A$1:$AZ$1001,ROW(),설정!$C$5)&amp;"","")</f>
        <v/>
      </c>
      <c r="D675" s="5">
        <f>IFERROR(VALUE(SUBSTITUTE(SUBSTITUTE(SUBSTITUTE(IFERROR(INDEX('1.산군_붙여넣기'!$A$1:$AZ$1001,ROW(),설정!$C$6)&amp;"",""),",",""),"㎡",""),"m2","")),"")</f>
        <v/>
      </c>
      <c r="E675">
        <f>IFERROR(INDEX('1.산군_붙여넣기'!$A$1:$AZ$1001,ROW(),설정!$C$7)&amp;"","")</f>
        <v/>
      </c>
      <c r="F675">
        <f>IFERROR(INDEX('1.산군_붙여넣기'!$A$1:$AZ$1001,ROW(),설정!$C$8)&amp;"","")</f>
        <v/>
      </c>
      <c r="G675">
        <f>IFERROR(INDEX('1.산군_붙여넣기'!$A$1:$AZ$1001,ROW(),설정!$C$9)&amp;"","")</f>
        <v/>
      </c>
      <c r="H675">
        <f>IFERROR(INDEX('1.산군_붙여넣기'!$A$1:$AZ$1001,ROW(),설정!$C$10)&amp;"","")</f>
        <v/>
      </c>
      <c r="I675">
        <f>IFERROR(INDEX('1.산군_붙여넣기'!$A$1:$AZ$1001,ROW(),설정!$C$11)&amp;"","")</f>
        <v/>
      </c>
      <c r="J675">
        <f>IFERROR(INDEX('1.산군_붙여넣기'!$A$1:$AZ$1001,ROW(),설정!$C$12)&amp;"","")</f>
        <v/>
      </c>
      <c r="K675">
        <f>IFERROR(INDEX('1.산군_붙여넣기'!$A$1:$AZ$1001,ROW(),설정!$C$13)&amp;"","")</f>
        <v/>
      </c>
      <c r="L675" s="6">
        <f>IF(X675="","",IF(AND(LEN(X675)=8,ISNUMBER(X675*1)),DATE(LEFT(X675,4),MID(X675,5,2),RIGHT(X675,2)),IFERROR(DATEVALUE(SUBSTITUTE(SUBSTITUTE(X675,".","-"),"/","-")),IFERROR(X675*1,""))))</f>
        <v/>
      </c>
      <c r="M675" s="6">
        <f>IF(Y675="","",IF(AND(LEN(Y675)=8,ISNUMBER(Y675*1)),DATE(LEFT(Y675,4),MID(Y675,5,2),RIGHT(Y675,2)),IFERROR(DATEVALUE(SUBSTITUTE(SUBSTITUTE(Y675,".","-"),"/","-")),IFERROR(Y675*1,""))))</f>
        <v/>
      </c>
      <c r="N675">
        <f>IFERROR(LEFT(B675,FIND(" ",B675)-1),B675)</f>
        <v/>
      </c>
      <c r="O675">
        <f>AND(B675&lt;&gt;"",B675&lt;&gt;설정!$B$4,C675&lt;&gt;설정!$B$5)</f>
        <v/>
      </c>
      <c r="P675">
        <f>IF(O675,B675&amp;"|"&amp;C675,"")</f>
        <v/>
      </c>
      <c r="Q675">
        <f>AND(O675,COUNTIF(P676:P$1002,P675)=0)</f>
        <v/>
      </c>
      <c r="R675">
        <f>OR(AND(설정!$A$28&lt;&gt;"",ISNUMBER(SEARCH(설정!$A$28,E675&amp;" "&amp;C675))),AND(설정!$A$29&lt;&gt;"",ISNUMBER(SEARCH(설정!$A$29,E675&amp;" "&amp;C675))),AND(설정!$A$30&lt;&gt;"",ISNUMBER(SEARCH(설정!$A$30,E675&amp;" "&amp;C675))),AND(설정!$A$31&lt;&gt;"",ISNUMBER(SEARCH(설정!$A$31,E675&amp;" "&amp;C675))),AND(설정!$A$32&lt;&gt;"",ISNUMBER(SEARCH(설정!$A$32,E675&amp;" "&amp;C675))),AND(설정!$A$33&lt;&gt;"",ISNUMBER(SEARCH(설정!$A$33,E675&amp;" "&amp;C675))),AND(설정!$A$34&lt;&gt;"",ISNUMBER(SEARCH(설정!$A$34,E675&amp;" "&amp;C675))),AND(설정!$A$35&lt;&gt;"",ISNUMBER(SEARCH(설정!$A$35,E675&amp;" "&amp;C675))),AND(설정!$A$36&lt;&gt;"",ISNUMBER(SEARCH(설정!$A$36,E675&amp;" "&amp;C675))),AND(설정!$A$37&lt;&gt;"",ISNUMBER(SEARCH(설정!$A$37,E675&amp;" "&amp;C675))))</f>
        <v/>
      </c>
      <c r="S675">
        <f>OR(D675="",D675&gt;=설정!$B$19)</f>
        <v/>
      </c>
      <c r="T675">
        <f>AND(Q675,R675,S675)</f>
        <v/>
      </c>
      <c r="U675">
        <f>IF(T675,IF(AND(설정!$A$41&lt;&gt;"",ISNUMBER(SEARCH(설정!$A$41,K675))),설정!$B$41,IF(AND(설정!$A$42&lt;&gt;"",ISNUMBER(SEARCH(설정!$A$42,K675))),설정!$B$42,IF(AND(설정!$A$43&lt;&gt;"",ISNUMBER(SEARCH(설정!$A$43,K675))),설정!$B$43,IF(AND(설정!$A$44&lt;&gt;"",ISNUMBER(SEARCH(설정!$A$44,K675))),설정!$B$44,IF(AND(설정!$A$45&lt;&gt;"",ISNUMBER(SEARCH(설정!$A$45,K675))),설정!$B$45,IF(AND(설정!$A$46&lt;&gt;"",ISNUMBER(SEARCH(설정!$A$46,K675))),설정!$B$46,IF(AND(설정!$A$47&lt;&gt;"",ISNUMBER(SEARCH(설정!$A$47,K675))),설정!$B$47,IF(AND(설정!$A$48&lt;&gt;"",ISNUMBER(SEARCH(설정!$A$48,K675))),설정!$B$48,IF(M675="","설계사","시공사"))))))))),"")</f>
        <v/>
      </c>
      <c r="V675">
        <f>SUBSTITUTE(SUBSTITUTE(SUBSTITUTE(SUBSTITUTE(G675,"(주)",""),"㈜",""),"주식회사","")," ","")</f>
        <v/>
      </c>
      <c r="W675">
        <f>IF(AND(T675,V675&lt;&gt;""),IF(COUNTIFS(V$2:V675,V675,T$2:T675,TRUE)=1,MAX(W$1:W674)+1,""),"")</f>
        <v/>
      </c>
      <c r="X675">
        <f>IFERROR(INDEX('1.산군_붙여넣기'!$A$1:$AZ$1001,ROW(),설정!$C$14)&amp;"","")</f>
        <v/>
      </c>
      <c r="Y675">
        <f>IFERROR(INDEX('1.산군_붙여넣기'!$A$1:$AZ$1001,ROW(),설정!$C$15)&amp;"","")</f>
        <v/>
      </c>
      <c r="Z675">
        <f>IF(T675,V675&amp;"|"&amp;U675,"")</f>
        <v/>
      </c>
    </row>
    <row r="676">
      <c r="A676">
        <f>ROW()</f>
        <v/>
      </c>
      <c r="B676">
        <f>IFERROR(INDEX('1.산군_붙여넣기'!$A$1:$AZ$1001,ROW(),설정!$C$4)&amp;"","")</f>
        <v/>
      </c>
      <c r="C676">
        <f>IFERROR(INDEX('1.산군_붙여넣기'!$A$1:$AZ$1001,ROW(),설정!$C$5)&amp;"","")</f>
        <v/>
      </c>
      <c r="D676" s="5">
        <f>IFERROR(VALUE(SUBSTITUTE(SUBSTITUTE(SUBSTITUTE(IFERROR(INDEX('1.산군_붙여넣기'!$A$1:$AZ$1001,ROW(),설정!$C$6)&amp;"",""),",",""),"㎡",""),"m2","")),"")</f>
        <v/>
      </c>
      <c r="E676">
        <f>IFERROR(INDEX('1.산군_붙여넣기'!$A$1:$AZ$1001,ROW(),설정!$C$7)&amp;"","")</f>
        <v/>
      </c>
      <c r="F676">
        <f>IFERROR(INDEX('1.산군_붙여넣기'!$A$1:$AZ$1001,ROW(),설정!$C$8)&amp;"","")</f>
        <v/>
      </c>
      <c r="G676">
        <f>IFERROR(INDEX('1.산군_붙여넣기'!$A$1:$AZ$1001,ROW(),설정!$C$9)&amp;"","")</f>
        <v/>
      </c>
      <c r="H676">
        <f>IFERROR(INDEX('1.산군_붙여넣기'!$A$1:$AZ$1001,ROW(),설정!$C$10)&amp;"","")</f>
        <v/>
      </c>
      <c r="I676">
        <f>IFERROR(INDEX('1.산군_붙여넣기'!$A$1:$AZ$1001,ROW(),설정!$C$11)&amp;"","")</f>
        <v/>
      </c>
      <c r="J676">
        <f>IFERROR(INDEX('1.산군_붙여넣기'!$A$1:$AZ$1001,ROW(),설정!$C$12)&amp;"","")</f>
        <v/>
      </c>
      <c r="K676">
        <f>IFERROR(INDEX('1.산군_붙여넣기'!$A$1:$AZ$1001,ROW(),설정!$C$13)&amp;"","")</f>
        <v/>
      </c>
      <c r="L676" s="6">
        <f>IF(X676="","",IF(AND(LEN(X676)=8,ISNUMBER(X676*1)),DATE(LEFT(X676,4),MID(X676,5,2),RIGHT(X676,2)),IFERROR(DATEVALUE(SUBSTITUTE(SUBSTITUTE(X676,".","-"),"/","-")),IFERROR(X676*1,""))))</f>
        <v/>
      </c>
      <c r="M676" s="6">
        <f>IF(Y676="","",IF(AND(LEN(Y676)=8,ISNUMBER(Y676*1)),DATE(LEFT(Y676,4),MID(Y676,5,2),RIGHT(Y676,2)),IFERROR(DATEVALUE(SUBSTITUTE(SUBSTITUTE(Y676,".","-"),"/","-")),IFERROR(Y676*1,""))))</f>
        <v/>
      </c>
      <c r="N676">
        <f>IFERROR(LEFT(B676,FIND(" ",B676)-1),B676)</f>
        <v/>
      </c>
      <c r="O676">
        <f>AND(B676&lt;&gt;"",B676&lt;&gt;설정!$B$4,C676&lt;&gt;설정!$B$5)</f>
        <v/>
      </c>
      <c r="P676">
        <f>IF(O676,B676&amp;"|"&amp;C676,"")</f>
        <v/>
      </c>
      <c r="Q676">
        <f>AND(O676,COUNTIF(P677:P$1002,P676)=0)</f>
        <v/>
      </c>
      <c r="R676">
        <f>OR(AND(설정!$A$28&lt;&gt;"",ISNUMBER(SEARCH(설정!$A$28,E676&amp;" "&amp;C676))),AND(설정!$A$29&lt;&gt;"",ISNUMBER(SEARCH(설정!$A$29,E676&amp;" "&amp;C676))),AND(설정!$A$30&lt;&gt;"",ISNUMBER(SEARCH(설정!$A$30,E676&amp;" "&amp;C676))),AND(설정!$A$31&lt;&gt;"",ISNUMBER(SEARCH(설정!$A$31,E676&amp;" "&amp;C676))),AND(설정!$A$32&lt;&gt;"",ISNUMBER(SEARCH(설정!$A$32,E676&amp;" "&amp;C676))),AND(설정!$A$33&lt;&gt;"",ISNUMBER(SEARCH(설정!$A$33,E676&amp;" "&amp;C676))),AND(설정!$A$34&lt;&gt;"",ISNUMBER(SEARCH(설정!$A$34,E676&amp;" "&amp;C676))),AND(설정!$A$35&lt;&gt;"",ISNUMBER(SEARCH(설정!$A$35,E676&amp;" "&amp;C676))),AND(설정!$A$36&lt;&gt;"",ISNUMBER(SEARCH(설정!$A$36,E676&amp;" "&amp;C676))),AND(설정!$A$37&lt;&gt;"",ISNUMBER(SEARCH(설정!$A$37,E676&amp;" "&amp;C676))))</f>
        <v/>
      </c>
      <c r="S676">
        <f>OR(D676="",D676&gt;=설정!$B$19)</f>
        <v/>
      </c>
      <c r="T676">
        <f>AND(Q676,R676,S676)</f>
        <v/>
      </c>
      <c r="U676">
        <f>IF(T676,IF(AND(설정!$A$41&lt;&gt;"",ISNUMBER(SEARCH(설정!$A$41,K676))),설정!$B$41,IF(AND(설정!$A$42&lt;&gt;"",ISNUMBER(SEARCH(설정!$A$42,K676))),설정!$B$42,IF(AND(설정!$A$43&lt;&gt;"",ISNUMBER(SEARCH(설정!$A$43,K676))),설정!$B$43,IF(AND(설정!$A$44&lt;&gt;"",ISNUMBER(SEARCH(설정!$A$44,K676))),설정!$B$44,IF(AND(설정!$A$45&lt;&gt;"",ISNUMBER(SEARCH(설정!$A$45,K676))),설정!$B$45,IF(AND(설정!$A$46&lt;&gt;"",ISNUMBER(SEARCH(설정!$A$46,K676))),설정!$B$46,IF(AND(설정!$A$47&lt;&gt;"",ISNUMBER(SEARCH(설정!$A$47,K676))),설정!$B$47,IF(AND(설정!$A$48&lt;&gt;"",ISNUMBER(SEARCH(설정!$A$48,K676))),설정!$B$48,IF(M676="","설계사","시공사"))))))))),"")</f>
        <v/>
      </c>
      <c r="V676">
        <f>SUBSTITUTE(SUBSTITUTE(SUBSTITUTE(SUBSTITUTE(G676,"(주)",""),"㈜",""),"주식회사","")," ","")</f>
        <v/>
      </c>
      <c r="W676">
        <f>IF(AND(T676,V676&lt;&gt;""),IF(COUNTIFS(V$2:V676,V676,T$2:T676,TRUE)=1,MAX(W$1:W675)+1,""),"")</f>
        <v/>
      </c>
      <c r="X676">
        <f>IFERROR(INDEX('1.산군_붙여넣기'!$A$1:$AZ$1001,ROW(),설정!$C$14)&amp;"","")</f>
        <v/>
      </c>
      <c r="Y676">
        <f>IFERROR(INDEX('1.산군_붙여넣기'!$A$1:$AZ$1001,ROW(),설정!$C$15)&amp;"","")</f>
        <v/>
      </c>
      <c r="Z676">
        <f>IF(T676,V676&amp;"|"&amp;U676,"")</f>
        <v/>
      </c>
    </row>
    <row r="677">
      <c r="A677">
        <f>ROW()</f>
        <v/>
      </c>
      <c r="B677">
        <f>IFERROR(INDEX('1.산군_붙여넣기'!$A$1:$AZ$1001,ROW(),설정!$C$4)&amp;"","")</f>
        <v/>
      </c>
      <c r="C677">
        <f>IFERROR(INDEX('1.산군_붙여넣기'!$A$1:$AZ$1001,ROW(),설정!$C$5)&amp;"","")</f>
        <v/>
      </c>
      <c r="D677" s="5">
        <f>IFERROR(VALUE(SUBSTITUTE(SUBSTITUTE(SUBSTITUTE(IFERROR(INDEX('1.산군_붙여넣기'!$A$1:$AZ$1001,ROW(),설정!$C$6)&amp;"",""),",",""),"㎡",""),"m2","")),"")</f>
        <v/>
      </c>
      <c r="E677">
        <f>IFERROR(INDEX('1.산군_붙여넣기'!$A$1:$AZ$1001,ROW(),설정!$C$7)&amp;"","")</f>
        <v/>
      </c>
      <c r="F677">
        <f>IFERROR(INDEX('1.산군_붙여넣기'!$A$1:$AZ$1001,ROW(),설정!$C$8)&amp;"","")</f>
        <v/>
      </c>
      <c r="G677">
        <f>IFERROR(INDEX('1.산군_붙여넣기'!$A$1:$AZ$1001,ROW(),설정!$C$9)&amp;"","")</f>
        <v/>
      </c>
      <c r="H677">
        <f>IFERROR(INDEX('1.산군_붙여넣기'!$A$1:$AZ$1001,ROW(),설정!$C$10)&amp;"","")</f>
        <v/>
      </c>
      <c r="I677">
        <f>IFERROR(INDEX('1.산군_붙여넣기'!$A$1:$AZ$1001,ROW(),설정!$C$11)&amp;"","")</f>
        <v/>
      </c>
      <c r="J677">
        <f>IFERROR(INDEX('1.산군_붙여넣기'!$A$1:$AZ$1001,ROW(),설정!$C$12)&amp;"","")</f>
        <v/>
      </c>
      <c r="K677">
        <f>IFERROR(INDEX('1.산군_붙여넣기'!$A$1:$AZ$1001,ROW(),설정!$C$13)&amp;"","")</f>
        <v/>
      </c>
      <c r="L677" s="6">
        <f>IF(X677="","",IF(AND(LEN(X677)=8,ISNUMBER(X677*1)),DATE(LEFT(X677,4),MID(X677,5,2),RIGHT(X677,2)),IFERROR(DATEVALUE(SUBSTITUTE(SUBSTITUTE(X677,".","-"),"/","-")),IFERROR(X677*1,""))))</f>
        <v/>
      </c>
      <c r="M677" s="6">
        <f>IF(Y677="","",IF(AND(LEN(Y677)=8,ISNUMBER(Y677*1)),DATE(LEFT(Y677,4),MID(Y677,5,2),RIGHT(Y677,2)),IFERROR(DATEVALUE(SUBSTITUTE(SUBSTITUTE(Y677,".","-"),"/","-")),IFERROR(Y677*1,""))))</f>
        <v/>
      </c>
      <c r="N677">
        <f>IFERROR(LEFT(B677,FIND(" ",B677)-1),B677)</f>
        <v/>
      </c>
      <c r="O677">
        <f>AND(B677&lt;&gt;"",B677&lt;&gt;설정!$B$4,C677&lt;&gt;설정!$B$5)</f>
        <v/>
      </c>
      <c r="P677">
        <f>IF(O677,B677&amp;"|"&amp;C677,"")</f>
        <v/>
      </c>
      <c r="Q677">
        <f>AND(O677,COUNTIF(P678:P$1002,P677)=0)</f>
        <v/>
      </c>
      <c r="R677">
        <f>OR(AND(설정!$A$28&lt;&gt;"",ISNUMBER(SEARCH(설정!$A$28,E677&amp;" "&amp;C677))),AND(설정!$A$29&lt;&gt;"",ISNUMBER(SEARCH(설정!$A$29,E677&amp;" "&amp;C677))),AND(설정!$A$30&lt;&gt;"",ISNUMBER(SEARCH(설정!$A$30,E677&amp;" "&amp;C677))),AND(설정!$A$31&lt;&gt;"",ISNUMBER(SEARCH(설정!$A$31,E677&amp;" "&amp;C677))),AND(설정!$A$32&lt;&gt;"",ISNUMBER(SEARCH(설정!$A$32,E677&amp;" "&amp;C677))),AND(설정!$A$33&lt;&gt;"",ISNUMBER(SEARCH(설정!$A$33,E677&amp;" "&amp;C677))),AND(설정!$A$34&lt;&gt;"",ISNUMBER(SEARCH(설정!$A$34,E677&amp;" "&amp;C677))),AND(설정!$A$35&lt;&gt;"",ISNUMBER(SEARCH(설정!$A$35,E677&amp;" "&amp;C677))),AND(설정!$A$36&lt;&gt;"",ISNUMBER(SEARCH(설정!$A$36,E677&amp;" "&amp;C677))),AND(설정!$A$37&lt;&gt;"",ISNUMBER(SEARCH(설정!$A$37,E677&amp;" "&amp;C677))))</f>
        <v/>
      </c>
      <c r="S677">
        <f>OR(D677="",D677&gt;=설정!$B$19)</f>
        <v/>
      </c>
      <c r="T677">
        <f>AND(Q677,R677,S677)</f>
        <v/>
      </c>
      <c r="U677">
        <f>IF(T677,IF(AND(설정!$A$41&lt;&gt;"",ISNUMBER(SEARCH(설정!$A$41,K677))),설정!$B$41,IF(AND(설정!$A$42&lt;&gt;"",ISNUMBER(SEARCH(설정!$A$42,K677))),설정!$B$42,IF(AND(설정!$A$43&lt;&gt;"",ISNUMBER(SEARCH(설정!$A$43,K677))),설정!$B$43,IF(AND(설정!$A$44&lt;&gt;"",ISNUMBER(SEARCH(설정!$A$44,K677))),설정!$B$44,IF(AND(설정!$A$45&lt;&gt;"",ISNUMBER(SEARCH(설정!$A$45,K677))),설정!$B$45,IF(AND(설정!$A$46&lt;&gt;"",ISNUMBER(SEARCH(설정!$A$46,K677))),설정!$B$46,IF(AND(설정!$A$47&lt;&gt;"",ISNUMBER(SEARCH(설정!$A$47,K677))),설정!$B$47,IF(AND(설정!$A$48&lt;&gt;"",ISNUMBER(SEARCH(설정!$A$48,K677))),설정!$B$48,IF(M677="","설계사","시공사"))))))))),"")</f>
        <v/>
      </c>
      <c r="V677">
        <f>SUBSTITUTE(SUBSTITUTE(SUBSTITUTE(SUBSTITUTE(G677,"(주)",""),"㈜",""),"주식회사","")," ","")</f>
        <v/>
      </c>
      <c r="W677">
        <f>IF(AND(T677,V677&lt;&gt;""),IF(COUNTIFS(V$2:V677,V677,T$2:T677,TRUE)=1,MAX(W$1:W676)+1,""),"")</f>
        <v/>
      </c>
      <c r="X677">
        <f>IFERROR(INDEX('1.산군_붙여넣기'!$A$1:$AZ$1001,ROW(),설정!$C$14)&amp;"","")</f>
        <v/>
      </c>
      <c r="Y677">
        <f>IFERROR(INDEX('1.산군_붙여넣기'!$A$1:$AZ$1001,ROW(),설정!$C$15)&amp;"","")</f>
        <v/>
      </c>
      <c r="Z677">
        <f>IF(T677,V677&amp;"|"&amp;U677,"")</f>
        <v/>
      </c>
    </row>
    <row r="678">
      <c r="A678">
        <f>ROW()</f>
        <v/>
      </c>
      <c r="B678">
        <f>IFERROR(INDEX('1.산군_붙여넣기'!$A$1:$AZ$1001,ROW(),설정!$C$4)&amp;"","")</f>
        <v/>
      </c>
      <c r="C678">
        <f>IFERROR(INDEX('1.산군_붙여넣기'!$A$1:$AZ$1001,ROW(),설정!$C$5)&amp;"","")</f>
        <v/>
      </c>
      <c r="D678" s="5">
        <f>IFERROR(VALUE(SUBSTITUTE(SUBSTITUTE(SUBSTITUTE(IFERROR(INDEX('1.산군_붙여넣기'!$A$1:$AZ$1001,ROW(),설정!$C$6)&amp;"",""),",",""),"㎡",""),"m2","")),"")</f>
        <v/>
      </c>
      <c r="E678">
        <f>IFERROR(INDEX('1.산군_붙여넣기'!$A$1:$AZ$1001,ROW(),설정!$C$7)&amp;"","")</f>
        <v/>
      </c>
      <c r="F678">
        <f>IFERROR(INDEX('1.산군_붙여넣기'!$A$1:$AZ$1001,ROW(),설정!$C$8)&amp;"","")</f>
        <v/>
      </c>
      <c r="G678">
        <f>IFERROR(INDEX('1.산군_붙여넣기'!$A$1:$AZ$1001,ROW(),설정!$C$9)&amp;"","")</f>
        <v/>
      </c>
      <c r="H678">
        <f>IFERROR(INDEX('1.산군_붙여넣기'!$A$1:$AZ$1001,ROW(),설정!$C$10)&amp;"","")</f>
        <v/>
      </c>
      <c r="I678">
        <f>IFERROR(INDEX('1.산군_붙여넣기'!$A$1:$AZ$1001,ROW(),설정!$C$11)&amp;"","")</f>
        <v/>
      </c>
      <c r="J678">
        <f>IFERROR(INDEX('1.산군_붙여넣기'!$A$1:$AZ$1001,ROW(),설정!$C$12)&amp;"","")</f>
        <v/>
      </c>
      <c r="K678">
        <f>IFERROR(INDEX('1.산군_붙여넣기'!$A$1:$AZ$1001,ROW(),설정!$C$13)&amp;"","")</f>
        <v/>
      </c>
      <c r="L678" s="6">
        <f>IF(X678="","",IF(AND(LEN(X678)=8,ISNUMBER(X678*1)),DATE(LEFT(X678,4),MID(X678,5,2),RIGHT(X678,2)),IFERROR(DATEVALUE(SUBSTITUTE(SUBSTITUTE(X678,".","-"),"/","-")),IFERROR(X678*1,""))))</f>
        <v/>
      </c>
      <c r="M678" s="6">
        <f>IF(Y678="","",IF(AND(LEN(Y678)=8,ISNUMBER(Y678*1)),DATE(LEFT(Y678,4),MID(Y678,5,2),RIGHT(Y678,2)),IFERROR(DATEVALUE(SUBSTITUTE(SUBSTITUTE(Y678,".","-"),"/","-")),IFERROR(Y678*1,""))))</f>
        <v/>
      </c>
      <c r="N678">
        <f>IFERROR(LEFT(B678,FIND(" ",B678)-1),B678)</f>
        <v/>
      </c>
      <c r="O678">
        <f>AND(B678&lt;&gt;"",B678&lt;&gt;설정!$B$4,C678&lt;&gt;설정!$B$5)</f>
        <v/>
      </c>
      <c r="P678">
        <f>IF(O678,B678&amp;"|"&amp;C678,"")</f>
        <v/>
      </c>
      <c r="Q678">
        <f>AND(O678,COUNTIF(P679:P$1002,P678)=0)</f>
        <v/>
      </c>
      <c r="R678">
        <f>OR(AND(설정!$A$28&lt;&gt;"",ISNUMBER(SEARCH(설정!$A$28,E678&amp;" "&amp;C678))),AND(설정!$A$29&lt;&gt;"",ISNUMBER(SEARCH(설정!$A$29,E678&amp;" "&amp;C678))),AND(설정!$A$30&lt;&gt;"",ISNUMBER(SEARCH(설정!$A$30,E678&amp;" "&amp;C678))),AND(설정!$A$31&lt;&gt;"",ISNUMBER(SEARCH(설정!$A$31,E678&amp;" "&amp;C678))),AND(설정!$A$32&lt;&gt;"",ISNUMBER(SEARCH(설정!$A$32,E678&amp;" "&amp;C678))),AND(설정!$A$33&lt;&gt;"",ISNUMBER(SEARCH(설정!$A$33,E678&amp;" "&amp;C678))),AND(설정!$A$34&lt;&gt;"",ISNUMBER(SEARCH(설정!$A$34,E678&amp;" "&amp;C678))),AND(설정!$A$35&lt;&gt;"",ISNUMBER(SEARCH(설정!$A$35,E678&amp;" "&amp;C678))),AND(설정!$A$36&lt;&gt;"",ISNUMBER(SEARCH(설정!$A$36,E678&amp;" "&amp;C678))),AND(설정!$A$37&lt;&gt;"",ISNUMBER(SEARCH(설정!$A$37,E678&amp;" "&amp;C678))))</f>
        <v/>
      </c>
      <c r="S678">
        <f>OR(D678="",D678&gt;=설정!$B$19)</f>
        <v/>
      </c>
      <c r="T678">
        <f>AND(Q678,R678,S678)</f>
        <v/>
      </c>
      <c r="U678">
        <f>IF(T678,IF(AND(설정!$A$41&lt;&gt;"",ISNUMBER(SEARCH(설정!$A$41,K678))),설정!$B$41,IF(AND(설정!$A$42&lt;&gt;"",ISNUMBER(SEARCH(설정!$A$42,K678))),설정!$B$42,IF(AND(설정!$A$43&lt;&gt;"",ISNUMBER(SEARCH(설정!$A$43,K678))),설정!$B$43,IF(AND(설정!$A$44&lt;&gt;"",ISNUMBER(SEARCH(설정!$A$44,K678))),설정!$B$44,IF(AND(설정!$A$45&lt;&gt;"",ISNUMBER(SEARCH(설정!$A$45,K678))),설정!$B$45,IF(AND(설정!$A$46&lt;&gt;"",ISNUMBER(SEARCH(설정!$A$46,K678))),설정!$B$46,IF(AND(설정!$A$47&lt;&gt;"",ISNUMBER(SEARCH(설정!$A$47,K678))),설정!$B$47,IF(AND(설정!$A$48&lt;&gt;"",ISNUMBER(SEARCH(설정!$A$48,K678))),설정!$B$48,IF(M678="","설계사","시공사"))))))))),"")</f>
        <v/>
      </c>
      <c r="V678">
        <f>SUBSTITUTE(SUBSTITUTE(SUBSTITUTE(SUBSTITUTE(G678,"(주)",""),"㈜",""),"주식회사","")," ","")</f>
        <v/>
      </c>
      <c r="W678">
        <f>IF(AND(T678,V678&lt;&gt;""),IF(COUNTIFS(V$2:V678,V678,T$2:T678,TRUE)=1,MAX(W$1:W677)+1,""),"")</f>
        <v/>
      </c>
      <c r="X678">
        <f>IFERROR(INDEX('1.산군_붙여넣기'!$A$1:$AZ$1001,ROW(),설정!$C$14)&amp;"","")</f>
        <v/>
      </c>
      <c r="Y678">
        <f>IFERROR(INDEX('1.산군_붙여넣기'!$A$1:$AZ$1001,ROW(),설정!$C$15)&amp;"","")</f>
        <v/>
      </c>
      <c r="Z678">
        <f>IF(T678,V678&amp;"|"&amp;U678,"")</f>
        <v/>
      </c>
    </row>
    <row r="679">
      <c r="A679">
        <f>ROW()</f>
        <v/>
      </c>
      <c r="B679">
        <f>IFERROR(INDEX('1.산군_붙여넣기'!$A$1:$AZ$1001,ROW(),설정!$C$4)&amp;"","")</f>
        <v/>
      </c>
      <c r="C679">
        <f>IFERROR(INDEX('1.산군_붙여넣기'!$A$1:$AZ$1001,ROW(),설정!$C$5)&amp;"","")</f>
        <v/>
      </c>
      <c r="D679" s="5">
        <f>IFERROR(VALUE(SUBSTITUTE(SUBSTITUTE(SUBSTITUTE(IFERROR(INDEX('1.산군_붙여넣기'!$A$1:$AZ$1001,ROW(),설정!$C$6)&amp;"",""),",",""),"㎡",""),"m2","")),"")</f>
        <v/>
      </c>
      <c r="E679">
        <f>IFERROR(INDEX('1.산군_붙여넣기'!$A$1:$AZ$1001,ROW(),설정!$C$7)&amp;"","")</f>
        <v/>
      </c>
      <c r="F679">
        <f>IFERROR(INDEX('1.산군_붙여넣기'!$A$1:$AZ$1001,ROW(),설정!$C$8)&amp;"","")</f>
        <v/>
      </c>
      <c r="G679">
        <f>IFERROR(INDEX('1.산군_붙여넣기'!$A$1:$AZ$1001,ROW(),설정!$C$9)&amp;"","")</f>
        <v/>
      </c>
      <c r="H679">
        <f>IFERROR(INDEX('1.산군_붙여넣기'!$A$1:$AZ$1001,ROW(),설정!$C$10)&amp;"","")</f>
        <v/>
      </c>
      <c r="I679">
        <f>IFERROR(INDEX('1.산군_붙여넣기'!$A$1:$AZ$1001,ROW(),설정!$C$11)&amp;"","")</f>
        <v/>
      </c>
      <c r="J679">
        <f>IFERROR(INDEX('1.산군_붙여넣기'!$A$1:$AZ$1001,ROW(),설정!$C$12)&amp;"","")</f>
        <v/>
      </c>
      <c r="K679">
        <f>IFERROR(INDEX('1.산군_붙여넣기'!$A$1:$AZ$1001,ROW(),설정!$C$13)&amp;"","")</f>
        <v/>
      </c>
      <c r="L679" s="6">
        <f>IF(X679="","",IF(AND(LEN(X679)=8,ISNUMBER(X679*1)),DATE(LEFT(X679,4),MID(X679,5,2),RIGHT(X679,2)),IFERROR(DATEVALUE(SUBSTITUTE(SUBSTITUTE(X679,".","-"),"/","-")),IFERROR(X679*1,""))))</f>
        <v/>
      </c>
      <c r="M679" s="6">
        <f>IF(Y679="","",IF(AND(LEN(Y679)=8,ISNUMBER(Y679*1)),DATE(LEFT(Y679,4),MID(Y679,5,2),RIGHT(Y679,2)),IFERROR(DATEVALUE(SUBSTITUTE(SUBSTITUTE(Y679,".","-"),"/","-")),IFERROR(Y679*1,""))))</f>
        <v/>
      </c>
      <c r="N679">
        <f>IFERROR(LEFT(B679,FIND(" ",B679)-1),B679)</f>
        <v/>
      </c>
      <c r="O679">
        <f>AND(B679&lt;&gt;"",B679&lt;&gt;설정!$B$4,C679&lt;&gt;설정!$B$5)</f>
        <v/>
      </c>
      <c r="P679">
        <f>IF(O679,B679&amp;"|"&amp;C679,"")</f>
        <v/>
      </c>
      <c r="Q679">
        <f>AND(O679,COUNTIF(P680:P$1002,P679)=0)</f>
        <v/>
      </c>
      <c r="R679">
        <f>OR(AND(설정!$A$28&lt;&gt;"",ISNUMBER(SEARCH(설정!$A$28,E679&amp;" "&amp;C679))),AND(설정!$A$29&lt;&gt;"",ISNUMBER(SEARCH(설정!$A$29,E679&amp;" "&amp;C679))),AND(설정!$A$30&lt;&gt;"",ISNUMBER(SEARCH(설정!$A$30,E679&amp;" "&amp;C679))),AND(설정!$A$31&lt;&gt;"",ISNUMBER(SEARCH(설정!$A$31,E679&amp;" "&amp;C679))),AND(설정!$A$32&lt;&gt;"",ISNUMBER(SEARCH(설정!$A$32,E679&amp;" "&amp;C679))),AND(설정!$A$33&lt;&gt;"",ISNUMBER(SEARCH(설정!$A$33,E679&amp;" "&amp;C679))),AND(설정!$A$34&lt;&gt;"",ISNUMBER(SEARCH(설정!$A$34,E679&amp;" "&amp;C679))),AND(설정!$A$35&lt;&gt;"",ISNUMBER(SEARCH(설정!$A$35,E679&amp;" "&amp;C679))),AND(설정!$A$36&lt;&gt;"",ISNUMBER(SEARCH(설정!$A$36,E679&amp;" "&amp;C679))),AND(설정!$A$37&lt;&gt;"",ISNUMBER(SEARCH(설정!$A$37,E679&amp;" "&amp;C679))))</f>
        <v/>
      </c>
      <c r="S679">
        <f>OR(D679="",D679&gt;=설정!$B$19)</f>
        <v/>
      </c>
      <c r="T679">
        <f>AND(Q679,R679,S679)</f>
        <v/>
      </c>
      <c r="U679">
        <f>IF(T679,IF(AND(설정!$A$41&lt;&gt;"",ISNUMBER(SEARCH(설정!$A$41,K679))),설정!$B$41,IF(AND(설정!$A$42&lt;&gt;"",ISNUMBER(SEARCH(설정!$A$42,K679))),설정!$B$42,IF(AND(설정!$A$43&lt;&gt;"",ISNUMBER(SEARCH(설정!$A$43,K679))),설정!$B$43,IF(AND(설정!$A$44&lt;&gt;"",ISNUMBER(SEARCH(설정!$A$44,K679))),설정!$B$44,IF(AND(설정!$A$45&lt;&gt;"",ISNUMBER(SEARCH(설정!$A$45,K679))),설정!$B$45,IF(AND(설정!$A$46&lt;&gt;"",ISNUMBER(SEARCH(설정!$A$46,K679))),설정!$B$46,IF(AND(설정!$A$47&lt;&gt;"",ISNUMBER(SEARCH(설정!$A$47,K679))),설정!$B$47,IF(AND(설정!$A$48&lt;&gt;"",ISNUMBER(SEARCH(설정!$A$48,K679))),설정!$B$48,IF(M679="","설계사","시공사"))))))))),"")</f>
        <v/>
      </c>
      <c r="V679">
        <f>SUBSTITUTE(SUBSTITUTE(SUBSTITUTE(SUBSTITUTE(G679,"(주)",""),"㈜",""),"주식회사","")," ","")</f>
        <v/>
      </c>
      <c r="W679">
        <f>IF(AND(T679,V679&lt;&gt;""),IF(COUNTIFS(V$2:V679,V679,T$2:T679,TRUE)=1,MAX(W$1:W678)+1,""),"")</f>
        <v/>
      </c>
      <c r="X679">
        <f>IFERROR(INDEX('1.산군_붙여넣기'!$A$1:$AZ$1001,ROW(),설정!$C$14)&amp;"","")</f>
        <v/>
      </c>
      <c r="Y679">
        <f>IFERROR(INDEX('1.산군_붙여넣기'!$A$1:$AZ$1001,ROW(),설정!$C$15)&amp;"","")</f>
        <v/>
      </c>
      <c r="Z679">
        <f>IF(T679,V679&amp;"|"&amp;U679,"")</f>
        <v/>
      </c>
    </row>
    <row r="680">
      <c r="A680">
        <f>ROW()</f>
        <v/>
      </c>
      <c r="B680">
        <f>IFERROR(INDEX('1.산군_붙여넣기'!$A$1:$AZ$1001,ROW(),설정!$C$4)&amp;"","")</f>
        <v/>
      </c>
      <c r="C680">
        <f>IFERROR(INDEX('1.산군_붙여넣기'!$A$1:$AZ$1001,ROW(),설정!$C$5)&amp;"","")</f>
        <v/>
      </c>
      <c r="D680" s="5">
        <f>IFERROR(VALUE(SUBSTITUTE(SUBSTITUTE(SUBSTITUTE(IFERROR(INDEX('1.산군_붙여넣기'!$A$1:$AZ$1001,ROW(),설정!$C$6)&amp;"",""),",",""),"㎡",""),"m2","")),"")</f>
        <v/>
      </c>
      <c r="E680">
        <f>IFERROR(INDEX('1.산군_붙여넣기'!$A$1:$AZ$1001,ROW(),설정!$C$7)&amp;"","")</f>
        <v/>
      </c>
      <c r="F680">
        <f>IFERROR(INDEX('1.산군_붙여넣기'!$A$1:$AZ$1001,ROW(),설정!$C$8)&amp;"","")</f>
        <v/>
      </c>
      <c r="G680">
        <f>IFERROR(INDEX('1.산군_붙여넣기'!$A$1:$AZ$1001,ROW(),설정!$C$9)&amp;"","")</f>
        <v/>
      </c>
      <c r="H680">
        <f>IFERROR(INDEX('1.산군_붙여넣기'!$A$1:$AZ$1001,ROW(),설정!$C$10)&amp;"","")</f>
        <v/>
      </c>
      <c r="I680">
        <f>IFERROR(INDEX('1.산군_붙여넣기'!$A$1:$AZ$1001,ROW(),설정!$C$11)&amp;"","")</f>
        <v/>
      </c>
      <c r="J680">
        <f>IFERROR(INDEX('1.산군_붙여넣기'!$A$1:$AZ$1001,ROW(),설정!$C$12)&amp;"","")</f>
        <v/>
      </c>
      <c r="K680">
        <f>IFERROR(INDEX('1.산군_붙여넣기'!$A$1:$AZ$1001,ROW(),설정!$C$13)&amp;"","")</f>
        <v/>
      </c>
      <c r="L680" s="6">
        <f>IF(X680="","",IF(AND(LEN(X680)=8,ISNUMBER(X680*1)),DATE(LEFT(X680,4),MID(X680,5,2),RIGHT(X680,2)),IFERROR(DATEVALUE(SUBSTITUTE(SUBSTITUTE(X680,".","-"),"/","-")),IFERROR(X680*1,""))))</f>
        <v/>
      </c>
      <c r="M680" s="6">
        <f>IF(Y680="","",IF(AND(LEN(Y680)=8,ISNUMBER(Y680*1)),DATE(LEFT(Y680,4),MID(Y680,5,2),RIGHT(Y680,2)),IFERROR(DATEVALUE(SUBSTITUTE(SUBSTITUTE(Y680,".","-"),"/","-")),IFERROR(Y680*1,""))))</f>
        <v/>
      </c>
      <c r="N680">
        <f>IFERROR(LEFT(B680,FIND(" ",B680)-1),B680)</f>
        <v/>
      </c>
      <c r="O680">
        <f>AND(B680&lt;&gt;"",B680&lt;&gt;설정!$B$4,C680&lt;&gt;설정!$B$5)</f>
        <v/>
      </c>
      <c r="P680">
        <f>IF(O680,B680&amp;"|"&amp;C680,"")</f>
        <v/>
      </c>
      <c r="Q680">
        <f>AND(O680,COUNTIF(P681:P$1002,P680)=0)</f>
        <v/>
      </c>
      <c r="R680">
        <f>OR(AND(설정!$A$28&lt;&gt;"",ISNUMBER(SEARCH(설정!$A$28,E680&amp;" "&amp;C680))),AND(설정!$A$29&lt;&gt;"",ISNUMBER(SEARCH(설정!$A$29,E680&amp;" "&amp;C680))),AND(설정!$A$30&lt;&gt;"",ISNUMBER(SEARCH(설정!$A$30,E680&amp;" "&amp;C680))),AND(설정!$A$31&lt;&gt;"",ISNUMBER(SEARCH(설정!$A$31,E680&amp;" "&amp;C680))),AND(설정!$A$32&lt;&gt;"",ISNUMBER(SEARCH(설정!$A$32,E680&amp;" "&amp;C680))),AND(설정!$A$33&lt;&gt;"",ISNUMBER(SEARCH(설정!$A$33,E680&amp;" "&amp;C680))),AND(설정!$A$34&lt;&gt;"",ISNUMBER(SEARCH(설정!$A$34,E680&amp;" "&amp;C680))),AND(설정!$A$35&lt;&gt;"",ISNUMBER(SEARCH(설정!$A$35,E680&amp;" "&amp;C680))),AND(설정!$A$36&lt;&gt;"",ISNUMBER(SEARCH(설정!$A$36,E680&amp;" "&amp;C680))),AND(설정!$A$37&lt;&gt;"",ISNUMBER(SEARCH(설정!$A$37,E680&amp;" "&amp;C680))))</f>
        <v/>
      </c>
      <c r="S680">
        <f>OR(D680="",D680&gt;=설정!$B$19)</f>
        <v/>
      </c>
      <c r="T680">
        <f>AND(Q680,R680,S680)</f>
        <v/>
      </c>
      <c r="U680">
        <f>IF(T680,IF(AND(설정!$A$41&lt;&gt;"",ISNUMBER(SEARCH(설정!$A$41,K680))),설정!$B$41,IF(AND(설정!$A$42&lt;&gt;"",ISNUMBER(SEARCH(설정!$A$42,K680))),설정!$B$42,IF(AND(설정!$A$43&lt;&gt;"",ISNUMBER(SEARCH(설정!$A$43,K680))),설정!$B$43,IF(AND(설정!$A$44&lt;&gt;"",ISNUMBER(SEARCH(설정!$A$44,K680))),설정!$B$44,IF(AND(설정!$A$45&lt;&gt;"",ISNUMBER(SEARCH(설정!$A$45,K680))),설정!$B$45,IF(AND(설정!$A$46&lt;&gt;"",ISNUMBER(SEARCH(설정!$A$46,K680))),설정!$B$46,IF(AND(설정!$A$47&lt;&gt;"",ISNUMBER(SEARCH(설정!$A$47,K680))),설정!$B$47,IF(AND(설정!$A$48&lt;&gt;"",ISNUMBER(SEARCH(설정!$A$48,K680))),설정!$B$48,IF(M680="","설계사","시공사"))))))))),"")</f>
        <v/>
      </c>
      <c r="V680">
        <f>SUBSTITUTE(SUBSTITUTE(SUBSTITUTE(SUBSTITUTE(G680,"(주)",""),"㈜",""),"주식회사","")," ","")</f>
        <v/>
      </c>
      <c r="W680">
        <f>IF(AND(T680,V680&lt;&gt;""),IF(COUNTIFS(V$2:V680,V680,T$2:T680,TRUE)=1,MAX(W$1:W679)+1,""),"")</f>
        <v/>
      </c>
      <c r="X680">
        <f>IFERROR(INDEX('1.산군_붙여넣기'!$A$1:$AZ$1001,ROW(),설정!$C$14)&amp;"","")</f>
        <v/>
      </c>
      <c r="Y680">
        <f>IFERROR(INDEX('1.산군_붙여넣기'!$A$1:$AZ$1001,ROW(),설정!$C$15)&amp;"","")</f>
        <v/>
      </c>
      <c r="Z680">
        <f>IF(T680,V680&amp;"|"&amp;U680,"")</f>
        <v/>
      </c>
    </row>
    <row r="681">
      <c r="A681">
        <f>ROW()</f>
        <v/>
      </c>
      <c r="B681">
        <f>IFERROR(INDEX('1.산군_붙여넣기'!$A$1:$AZ$1001,ROW(),설정!$C$4)&amp;"","")</f>
        <v/>
      </c>
      <c r="C681">
        <f>IFERROR(INDEX('1.산군_붙여넣기'!$A$1:$AZ$1001,ROW(),설정!$C$5)&amp;"","")</f>
        <v/>
      </c>
      <c r="D681" s="5">
        <f>IFERROR(VALUE(SUBSTITUTE(SUBSTITUTE(SUBSTITUTE(IFERROR(INDEX('1.산군_붙여넣기'!$A$1:$AZ$1001,ROW(),설정!$C$6)&amp;"",""),",",""),"㎡",""),"m2","")),"")</f>
        <v/>
      </c>
      <c r="E681">
        <f>IFERROR(INDEX('1.산군_붙여넣기'!$A$1:$AZ$1001,ROW(),설정!$C$7)&amp;"","")</f>
        <v/>
      </c>
      <c r="F681">
        <f>IFERROR(INDEX('1.산군_붙여넣기'!$A$1:$AZ$1001,ROW(),설정!$C$8)&amp;"","")</f>
        <v/>
      </c>
      <c r="G681">
        <f>IFERROR(INDEX('1.산군_붙여넣기'!$A$1:$AZ$1001,ROW(),설정!$C$9)&amp;"","")</f>
        <v/>
      </c>
      <c r="H681">
        <f>IFERROR(INDEX('1.산군_붙여넣기'!$A$1:$AZ$1001,ROW(),설정!$C$10)&amp;"","")</f>
        <v/>
      </c>
      <c r="I681">
        <f>IFERROR(INDEX('1.산군_붙여넣기'!$A$1:$AZ$1001,ROW(),설정!$C$11)&amp;"","")</f>
        <v/>
      </c>
      <c r="J681">
        <f>IFERROR(INDEX('1.산군_붙여넣기'!$A$1:$AZ$1001,ROW(),설정!$C$12)&amp;"","")</f>
        <v/>
      </c>
      <c r="K681">
        <f>IFERROR(INDEX('1.산군_붙여넣기'!$A$1:$AZ$1001,ROW(),설정!$C$13)&amp;"","")</f>
        <v/>
      </c>
      <c r="L681" s="6">
        <f>IF(X681="","",IF(AND(LEN(X681)=8,ISNUMBER(X681*1)),DATE(LEFT(X681,4),MID(X681,5,2),RIGHT(X681,2)),IFERROR(DATEVALUE(SUBSTITUTE(SUBSTITUTE(X681,".","-"),"/","-")),IFERROR(X681*1,""))))</f>
        <v/>
      </c>
      <c r="M681" s="6">
        <f>IF(Y681="","",IF(AND(LEN(Y681)=8,ISNUMBER(Y681*1)),DATE(LEFT(Y681,4),MID(Y681,5,2),RIGHT(Y681,2)),IFERROR(DATEVALUE(SUBSTITUTE(SUBSTITUTE(Y681,".","-"),"/","-")),IFERROR(Y681*1,""))))</f>
        <v/>
      </c>
      <c r="N681">
        <f>IFERROR(LEFT(B681,FIND(" ",B681)-1),B681)</f>
        <v/>
      </c>
      <c r="O681">
        <f>AND(B681&lt;&gt;"",B681&lt;&gt;설정!$B$4,C681&lt;&gt;설정!$B$5)</f>
        <v/>
      </c>
      <c r="P681">
        <f>IF(O681,B681&amp;"|"&amp;C681,"")</f>
        <v/>
      </c>
      <c r="Q681">
        <f>AND(O681,COUNTIF(P682:P$1002,P681)=0)</f>
        <v/>
      </c>
      <c r="R681">
        <f>OR(AND(설정!$A$28&lt;&gt;"",ISNUMBER(SEARCH(설정!$A$28,E681&amp;" "&amp;C681))),AND(설정!$A$29&lt;&gt;"",ISNUMBER(SEARCH(설정!$A$29,E681&amp;" "&amp;C681))),AND(설정!$A$30&lt;&gt;"",ISNUMBER(SEARCH(설정!$A$30,E681&amp;" "&amp;C681))),AND(설정!$A$31&lt;&gt;"",ISNUMBER(SEARCH(설정!$A$31,E681&amp;" "&amp;C681))),AND(설정!$A$32&lt;&gt;"",ISNUMBER(SEARCH(설정!$A$32,E681&amp;" "&amp;C681))),AND(설정!$A$33&lt;&gt;"",ISNUMBER(SEARCH(설정!$A$33,E681&amp;" "&amp;C681))),AND(설정!$A$34&lt;&gt;"",ISNUMBER(SEARCH(설정!$A$34,E681&amp;" "&amp;C681))),AND(설정!$A$35&lt;&gt;"",ISNUMBER(SEARCH(설정!$A$35,E681&amp;" "&amp;C681))),AND(설정!$A$36&lt;&gt;"",ISNUMBER(SEARCH(설정!$A$36,E681&amp;" "&amp;C681))),AND(설정!$A$37&lt;&gt;"",ISNUMBER(SEARCH(설정!$A$37,E681&amp;" "&amp;C681))))</f>
        <v/>
      </c>
      <c r="S681">
        <f>OR(D681="",D681&gt;=설정!$B$19)</f>
        <v/>
      </c>
      <c r="T681">
        <f>AND(Q681,R681,S681)</f>
        <v/>
      </c>
      <c r="U681">
        <f>IF(T681,IF(AND(설정!$A$41&lt;&gt;"",ISNUMBER(SEARCH(설정!$A$41,K681))),설정!$B$41,IF(AND(설정!$A$42&lt;&gt;"",ISNUMBER(SEARCH(설정!$A$42,K681))),설정!$B$42,IF(AND(설정!$A$43&lt;&gt;"",ISNUMBER(SEARCH(설정!$A$43,K681))),설정!$B$43,IF(AND(설정!$A$44&lt;&gt;"",ISNUMBER(SEARCH(설정!$A$44,K681))),설정!$B$44,IF(AND(설정!$A$45&lt;&gt;"",ISNUMBER(SEARCH(설정!$A$45,K681))),설정!$B$45,IF(AND(설정!$A$46&lt;&gt;"",ISNUMBER(SEARCH(설정!$A$46,K681))),설정!$B$46,IF(AND(설정!$A$47&lt;&gt;"",ISNUMBER(SEARCH(설정!$A$47,K681))),설정!$B$47,IF(AND(설정!$A$48&lt;&gt;"",ISNUMBER(SEARCH(설정!$A$48,K681))),설정!$B$48,IF(M681="","설계사","시공사"))))))))),"")</f>
        <v/>
      </c>
      <c r="V681">
        <f>SUBSTITUTE(SUBSTITUTE(SUBSTITUTE(SUBSTITUTE(G681,"(주)",""),"㈜",""),"주식회사","")," ","")</f>
        <v/>
      </c>
      <c r="W681">
        <f>IF(AND(T681,V681&lt;&gt;""),IF(COUNTIFS(V$2:V681,V681,T$2:T681,TRUE)=1,MAX(W$1:W680)+1,""),"")</f>
        <v/>
      </c>
      <c r="X681">
        <f>IFERROR(INDEX('1.산군_붙여넣기'!$A$1:$AZ$1001,ROW(),설정!$C$14)&amp;"","")</f>
        <v/>
      </c>
      <c r="Y681">
        <f>IFERROR(INDEX('1.산군_붙여넣기'!$A$1:$AZ$1001,ROW(),설정!$C$15)&amp;"","")</f>
        <v/>
      </c>
      <c r="Z681">
        <f>IF(T681,V681&amp;"|"&amp;U681,"")</f>
        <v/>
      </c>
    </row>
    <row r="682">
      <c r="A682">
        <f>ROW()</f>
        <v/>
      </c>
      <c r="B682">
        <f>IFERROR(INDEX('1.산군_붙여넣기'!$A$1:$AZ$1001,ROW(),설정!$C$4)&amp;"","")</f>
        <v/>
      </c>
      <c r="C682">
        <f>IFERROR(INDEX('1.산군_붙여넣기'!$A$1:$AZ$1001,ROW(),설정!$C$5)&amp;"","")</f>
        <v/>
      </c>
      <c r="D682" s="5">
        <f>IFERROR(VALUE(SUBSTITUTE(SUBSTITUTE(SUBSTITUTE(IFERROR(INDEX('1.산군_붙여넣기'!$A$1:$AZ$1001,ROW(),설정!$C$6)&amp;"",""),",",""),"㎡",""),"m2","")),"")</f>
        <v/>
      </c>
      <c r="E682">
        <f>IFERROR(INDEX('1.산군_붙여넣기'!$A$1:$AZ$1001,ROW(),설정!$C$7)&amp;"","")</f>
        <v/>
      </c>
      <c r="F682">
        <f>IFERROR(INDEX('1.산군_붙여넣기'!$A$1:$AZ$1001,ROW(),설정!$C$8)&amp;"","")</f>
        <v/>
      </c>
      <c r="G682">
        <f>IFERROR(INDEX('1.산군_붙여넣기'!$A$1:$AZ$1001,ROW(),설정!$C$9)&amp;"","")</f>
        <v/>
      </c>
      <c r="H682">
        <f>IFERROR(INDEX('1.산군_붙여넣기'!$A$1:$AZ$1001,ROW(),설정!$C$10)&amp;"","")</f>
        <v/>
      </c>
      <c r="I682">
        <f>IFERROR(INDEX('1.산군_붙여넣기'!$A$1:$AZ$1001,ROW(),설정!$C$11)&amp;"","")</f>
        <v/>
      </c>
      <c r="J682">
        <f>IFERROR(INDEX('1.산군_붙여넣기'!$A$1:$AZ$1001,ROW(),설정!$C$12)&amp;"","")</f>
        <v/>
      </c>
      <c r="K682">
        <f>IFERROR(INDEX('1.산군_붙여넣기'!$A$1:$AZ$1001,ROW(),설정!$C$13)&amp;"","")</f>
        <v/>
      </c>
      <c r="L682" s="6">
        <f>IF(X682="","",IF(AND(LEN(X682)=8,ISNUMBER(X682*1)),DATE(LEFT(X682,4),MID(X682,5,2),RIGHT(X682,2)),IFERROR(DATEVALUE(SUBSTITUTE(SUBSTITUTE(X682,".","-"),"/","-")),IFERROR(X682*1,""))))</f>
        <v/>
      </c>
      <c r="M682" s="6">
        <f>IF(Y682="","",IF(AND(LEN(Y682)=8,ISNUMBER(Y682*1)),DATE(LEFT(Y682,4),MID(Y682,5,2),RIGHT(Y682,2)),IFERROR(DATEVALUE(SUBSTITUTE(SUBSTITUTE(Y682,".","-"),"/","-")),IFERROR(Y682*1,""))))</f>
        <v/>
      </c>
      <c r="N682">
        <f>IFERROR(LEFT(B682,FIND(" ",B682)-1),B682)</f>
        <v/>
      </c>
      <c r="O682">
        <f>AND(B682&lt;&gt;"",B682&lt;&gt;설정!$B$4,C682&lt;&gt;설정!$B$5)</f>
        <v/>
      </c>
      <c r="P682">
        <f>IF(O682,B682&amp;"|"&amp;C682,"")</f>
        <v/>
      </c>
      <c r="Q682">
        <f>AND(O682,COUNTIF(P683:P$1002,P682)=0)</f>
        <v/>
      </c>
      <c r="R682">
        <f>OR(AND(설정!$A$28&lt;&gt;"",ISNUMBER(SEARCH(설정!$A$28,E682&amp;" "&amp;C682))),AND(설정!$A$29&lt;&gt;"",ISNUMBER(SEARCH(설정!$A$29,E682&amp;" "&amp;C682))),AND(설정!$A$30&lt;&gt;"",ISNUMBER(SEARCH(설정!$A$30,E682&amp;" "&amp;C682))),AND(설정!$A$31&lt;&gt;"",ISNUMBER(SEARCH(설정!$A$31,E682&amp;" "&amp;C682))),AND(설정!$A$32&lt;&gt;"",ISNUMBER(SEARCH(설정!$A$32,E682&amp;" "&amp;C682))),AND(설정!$A$33&lt;&gt;"",ISNUMBER(SEARCH(설정!$A$33,E682&amp;" "&amp;C682))),AND(설정!$A$34&lt;&gt;"",ISNUMBER(SEARCH(설정!$A$34,E682&amp;" "&amp;C682))),AND(설정!$A$35&lt;&gt;"",ISNUMBER(SEARCH(설정!$A$35,E682&amp;" "&amp;C682))),AND(설정!$A$36&lt;&gt;"",ISNUMBER(SEARCH(설정!$A$36,E682&amp;" "&amp;C682))),AND(설정!$A$37&lt;&gt;"",ISNUMBER(SEARCH(설정!$A$37,E682&amp;" "&amp;C682))))</f>
        <v/>
      </c>
      <c r="S682">
        <f>OR(D682="",D682&gt;=설정!$B$19)</f>
        <v/>
      </c>
      <c r="T682">
        <f>AND(Q682,R682,S682)</f>
        <v/>
      </c>
      <c r="U682">
        <f>IF(T682,IF(AND(설정!$A$41&lt;&gt;"",ISNUMBER(SEARCH(설정!$A$41,K682))),설정!$B$41,IF(AND(설정!$A$42&lt;&gt;"",ISNUMBER(SEARCH(설정!$A$42,K682))),설정!$B$42,IF(AND(설정!$A$43&lt;&gt;"",ISNUMBER(SEARCH(설정!$A$43,K682))),설정!$B$43,IF(AND(설정!$A$44&lt;&gt;"",ISNUMBER(SEARCH(설정!$A$44,K682))),설정!$B$44,IF(AND(설정!$A$45&lt;&gt;"",ISNUMBER(SEARCH(설정!$A$45,K682))),설정!$B$45,IF(AND(설정!$A$46&lt;&gt;"",ISNUMBER(SEARCH(설정!$A$46,K682))),설정!$B$46,IF(AND(설정!$A$47&lt;&gt;"",ISNUMBER(SEARCH(설정!$A$47,K682))),설정!$B$47,IF(AND(설정!$A$48&lt;&gt;"",ISNUMBER(SEARCH(설정!$A$48,K682))),설정!$B$48,IF(M682="","설계사","시공사"))))))))),"")</f>
        <v/>
      </c>
      <c r="V682">
        <f>SUBSTITUTE(SUBSTITUTE(SUBSTITUTE(SUBSTITUTE(G682,"(주)",""),"㈜",""),"주식회사","")," ","")</f>
        <v/>
      </c>
      <c r="W682">
        <f>IF(AND(T682,V682&lt;&gt;""),IF(COUNTIFS(V$2:V682,V682,T$2:T682,TRUE)=1,MAX(W$1:W681)+1,""),"")</f>
        <v/>
      </c>
      <c r="X682">
        <f>IFERROR(INDEX('1.산군_붙여넣기'!$A$1:$AZ$1001,ROW(),설정!$C$14)&amp;"","")</f>
        <v/>
      </c>
      <c r="Y682">
        <f>IFERROR(INDEX('1.산군_붙여넣기'!$A$1:$AZ$1001,ROW(),설정!$C$15)&amp;"","")</f>
        <v/>
      </c>
      <c r="Z682">
        <f>IF(T682,V682&amp;"|"&amp;U682,"")</f>
        <v/>
      </c>
    </row>
    <row r="683">
      <c r="A683">
        <f>ROW()</f>
        <v/>
      </c>
      <c r="B683">
        <f>IFERROR(INDEX('1.산군_붙여넣기'!$A$1:$AZ$1001,ROW(),설정!$C$4)&amp;"","")</f>
        <v/>
      </c>
      <c r="C683">
        <f>IFERROR(INDEX('1.산군_붙여넣기'!$A$1:$AZ$1001,ROW(),설정!$C$5)&amp;"","")</f>
        <v/>
      </c>
      <c r="D683" s="5">
        <f>IFERROR(VALUE(SUBSTITUTE(SUBSTITUTE(SUBSTITUTE(IFERROR(INDEX('1.산군_붙여넣기'!$A$1:$AZ$1001,ROW(),설정!$C$6)&amp;"",""),",",""),"㎡",""),"m2","")),"")</f>
        <v/>
      </c>
      <c r="E683">
        <f>IFERROR(INDEX('1.산군_붙여넣기'!$A$1:$AZ$1001,ROW(),설정!$C$7)&amp;"","")</f>
        <v/>
      </c>
      <c r="F683">
        <f>IFERROR(INDEX('1.산군_붙여넣기'!$A$1:$AZ$1001,ROW(),설정!$C$8)&amp;"","")</f>
        <v/>
      </c>
      <c r="G683">
        <f>IFERROR(INDEX('1.산군_붙여넣기'!$A$1:$AZ$1001,ROW(),설정!$C$9)&amp;"","")</f>
        <v/>
      </c>
      <c r="H683">
        <f>IFERROR(INDEX('1.산군_붙여넣기'!$A$1:$AZ$1001,ROW(),설정!$C$10)&amp;"","")</f>
        <v/>
      </c>
      <c r="I683">
        <f>IFERROR(INDEX('1.산군_붙여넣기'!$A$1:$AZ$1001,ROW(),설정!$C$11)&amp;"","")</f>
        <v/>
      </c>
      <c r="J683">
        <f>IFERROR(INDEX('1.산군_붙여넣기'!$A$1:$AZ$1001,ROW(),설정!$C$12)&amp;"","")</f>
        <v/>
      </c>
      <c r="K683">
        <f>IFERROR(INDEX('1.산군_붙여넣기'!$A$1:$AZ$1001,ROW(),설정!$C$13)&amp;"","")</f>
        <v/>
      </c>
      <c r="L683" s="6">
        <f>IF(X683="","",IF(AND(LEN(X683)=8,ISNUMBER(X683*1)),DATE(LEFT(X683,4),MID(X683,5,2),RIGHT(X683,2)),IFERROR(DATEVALUE(SUBSTITUTE(SUBSTITUTE(X683,".","-"),"/","-")),IFERROR(X683*1,""))))</f>
        <v/>
      </c>
      <c r="M683" s="6">
        <f>IF(Y683="","",IF(AND(LEN(Y683)=8,ISNUMBER(Y683*1)),DATE(LEFT(Y683,4),MID(Y683,5,2),RIGHT(Y683,2)),IFERROR(DATEVALUE(SUBSTITUTE(SUBSTITUTE(Y683,".","-"),"/","-")),IFERROR(Y683*1,""))))</f>
        <v/>
      </c>
      <c r="N683">
        <f>IFERROR(LEFT(B683,FIND(" ",B683)-1),B683)</f>
        <v/>
      </c>
      <c r="O683">
        <f>AND(B683&lt;&gt;"",B683&lt;&gt;설정!$B$4,C683&lt;&gt;설정!$B$5)</f>
        <v/>
      </c>
      <c r="P683">
        <f>IF(O683,B683&amp;"|"&amp;C683,"")</f>
        <v/>
      </c>
      <c r="Q683">
        <f>AND(O683,COUNTIF(P684:P$1002,P683)=0)</f>
        <v/>
      </c>
      <c r="R683">
        <f>OR(AND(설정!$A$28&lt;&gt;"",ISNUMBER(SEARCH(설정!$A$28,E683&amp;" "&amp;C683))),AND(설정!$A$29&lt;&gt;"",ISNUMBER(SEARCH(설정!$A$29,E683&amp;" "&amp;C683))),AND(설정!$A$30&lt;&gt;"",ISNUMBER(SEARCH(설정!$A$30,E683&amp;" "&amp;C683))),AND(설정!$A$31&lt;&gt;"",ISNUMBER(SEARCH(설정!$A$31,E683&amp;" "&amp;C683))),AND(설정!$A$32&lt;&gt;"",ISNUMBER(SEARCH(설정!$A$32,E683&amp;" "&amp;C683))),AND(설정!$A$33&lt;&gt;"",ISNUMBER(SEARCH(설정!$A$33,E683&amp;" "&amp;C683))),AND(설정!$A$34&lt;&gt;"",ISNUMBER(SEARCH(설정!$A$34,E683&amp;" "&amp;C683))),AND(설정!$A$35&lt;&gt;"",ISNUMBER(SEARCH(설정!$A$35,E683&amp;" "&amp;C683))),AND(설정!$A$36&lt;&gt;"",ISNUMBER(SEARCH(설정!$A$36,E683&amp;" "&amp;C683))),AND(설정!$A$37&lt;&gt;"",ISNUMBER(SEARCH(설정!$A$37,E683&amp;" "&amp;C683))))</f>
        <v/>
      </c>
      <c r="S683">
        <f>OR(D683="",D683&gt;=설정!$B$19)</f>
        <v/>
      </c>
      <c r="T683">
        <f>AND(Q683,R683,S683)</f>
        <v/>
      </c>
      <c r="U683">
        <f>IF(T683,IF(AND(설정!$A$41&lt;&gt;"",ISNUMBER(SEARCH(설정!$A$41,K683))),설정!$B$41,IF(AND(설정!$A$42&lt;&gt;"",ISNUMBER(SEARCH(설정!$A$42,K683))),설정!$B$42,IF(AND(설정!$A$43&lt;&gt;"",ISNUMBER(SEARCH(설정!$A$43,K683))),설정!$B$43,IF(AND(설정!$A$44&lt;&gt;"",ISNUMBER(SEARCH(설정!$A$44,K683))),설정!$B$44,IF(AND(설정!$A$45&lt;&gt;"",ISNUMBER(SEARCH(설정!$A$45,K683))),설정!$B$45,IF(AND(설정!$A$46&lt;&gt;"",ISNUMBER(SEARCH(설정!$A$46,K683))),설정!$B$46,IF(AND(설정!$A$47&lt;&gt;"",ISNUMBER(SEARCH(설정!$A$47,K683))),설정!$B$47,IF(AND(설정!$A$48&lt;&gt;"",ISNUMBER(SEARCH(설정!$A$48,K683))),설정!$B$48,IF(M683="","설계사","시공사"))))))))),"")</f>
        <v/>
      </c>
      <c r="V683">
        <f>SUBSTITUTE(SUBSTITUTE(SUBSTITUTE(SUBSTITUTE(G683,"(주)",""),"㈜",""),"주식회사","")," ","")</f>
        <v/>
      </c>
      <c r="W683">
        <f>IF(AND(T683,V683&lt;&gt;""),IF(COUNTIFS(V$2:V683,V683,T$2:T683,TRUE)=1,MAX(W$1:W682)+1,""),"")</f>
        <v/>
      </c>
      <c r="X683">
        <f>IFERROR(INDEX('1.산군_붙여넣기'!$A$1:$AZ$1001,ROW(),설정!$C$14)&amp;"","")</f>
        <v/>
      </c>
      <c r="Y683">
        <f>IFERROR(INDEX('1.산군_붙여넣기'!$A$1:$AZ$1001,ROW(),설정!$C$15)&amp;"","")</f>
        <v/>
      </c>
      <c r="Z683">
        <f>IF(T683,V683&amp;"|"&amp;U683,"")</f>
        <v/>
      </c>
    </row>
    <row r="684">
      <c r="A684">
        <f>ROW()</f>
        <v/>
      </c>
      <c r="B684">
        <f>IFERROR(INDEX('1.산군_붙여넣기'!$A$1:$AZ$1001,ROW(),설정!$C$4)&amp;"","")</f>
        <v/>
      </c>
      <c r="C684">
        <f>IFERROR(INDEX('1.산군_붙여넣기'!$A$1:$AZ$1001,ROW(),설정!$C$5)&amp;"","")</f>
        <v/>
      </c>
      <c r="D684" s="5">
        <f>IFERROR(VALUE(SUBSTITUTE(SUBSTITUTE(SUBSTITUTE(IFERROR(INDEX('1.산군_붙여넣기'!$A$1:$AZ$1001,ROW(),설정!$C$6)&amp;"",""),",",""),"㎡",""),"m2","")),"")</f>
        <v/>
      </c>
      <c r="E684">
        <f>IFERROR(INDEX('1.산군_붙여넣기'!$A$1:$AZ$1001,ROW(),설정!$C$7)&amp;"","")</f>
        <v/>
      </c>
      <c r="F684">
        <f>IFERROR(INDEX('1.산군_붙여넣기'!$A$1:$AZ$1001,ROW(),설정!$C$8)&amp;"","")</f>
        <v/>
      </c>
      <c r="G684">
        <f>IFERROR(INDEX('1.산군_붙여넣기'!$A$1:$AZ$1001,ROW(),설정!$C$9)&amp;"","")</f>
        <v/>
      </c>
      <c r="H684">
        <f>IFERROR(INDEX('1.산군_붙여넣기'!$A$1:$AZ$1001,ROW(),설정!$C$10)&amp;"","")</f>
        <v/>
      </c>
      <c r="I684">
        <f>IFERROR(INDEX('1.산군_붙여넣기'!$A$1:$AZ$1001,ROW(),설정!$C$11)&amp;"","")</f>
        <v/>
      </c>
      <c r="J684">
        <f>IFERROR(INDEX('1.산군_붙여넣기'!$A$1:$AZ$1001,ROW(),설정!$C$12)&amp;"","")</f>
        <v/>
      </c>
      <c r="K684">
        <f>IFERROR(INDEX('1.산군_붙여넣기'!$A$1:$AZ$1001,ROW(),설정!$C$13)&amp;"","")</f>
        <v/>
      </c>
      <c r="L684" s="6">
        <f>IF(X684="","",IF(AND(LEN(X684)=8,ISNUMBER(X684*1)),DATE(LEFT(X684,4),MID(X684,5,2),RIGHT(X684,2)),IFERROR(DATEVALUE(SUBSTITUTE(SUBSTITUTE(X684,".","-"),"/","-")),IFERROR(X684*1,""))))</f>
        <v/>
      </c>
      <c r="M684" s="6">
        <f>IF(Y684="","",IF(AND(LEN(Y684)=8,ISNUMBER(Y684*1)),DATE(LEFT(Y684,4),MID(Y684,5,2),RIGHT(Y684,2)),IFERROR(DATEVALUE(SUBSTITUTE(SUBSTITUTE(Y684,".","-"),"/","-")),IFERROR(Y684*1,""))))</f>
        <v/>
      </c>
      <c r="N684">
        <f>IFERROR(LEFT(B684,FIND(" ",B684)-1),B684)</f>
        <v/>
      </c>
      <c r="O684">
        <f>AND(B684&lt;&gt;"",B684&lt;&gt;설정!$B$4,C684&lt;&gt;설정!$B$5)</f>
        <v/>
      </c>
      <c r="P684">
        <f>IF(O684,B684&amp;"|"&amp;C684,"")</f>
        <v/>
      </c>
      <c r="Q684">
        <f>AND(O684,COUNTIF(P685:P$1002,P684)=0)</f>
        <v/>
      </c>
      <c r="R684">
        <f>OR(AND(설정!$A$28&lt;&gt;"",ISNUMBER(SEARCH(설정!$A$28,E684&amp;" "&amp;C684))),AND(설정!$A$29&lt;&gt;"",ISNUMBER(SEARCH(설정!$A$29,E684&amp;" "&amp;C684))),AND(설정!$A$30&lt;&gt;"",ISNUMBER(SEARCH(설정!$A$30,E684&amp;" "&amp;C684))),AND(설정!$A$31&lt;&gt;"",ISNUMBER(SEARCH(설정!$A$31,E684&amp;" "&amp;C684))),AND(설정!$A$32&lt;&gt;"",ISNUMBER(SEARCH(설정!$A$32,E684&amp;" "&amp;C684))),AND(설정!$A$33&lt;&gt;"",ISNUMBER(SEARCH(설정!$A$33,E684&amp;" "&amp;C684))),AND(설정!$A$34&lt;&gt;"",ISNUMBER(SEARCH(설정!$A$34,E684&amp;" "&amp;C684))),AND(설정!$A$35&lt;&gt;"",ISNUMBER(SEARCH(설정!$A$35,E684&amp;" "&amp;C684))),AND(설정!$A$36&lt;&gt;"",ISNUMBER(SEARCH(설정!$A$36,E684&amp;" "&amp;C684))),AND(설정!$A$37&lt;&gt;"",ISNUMBER(SEARCH(설정!$A$37,E684&amp;" "&amp;C684))))</f>
        <v/>
      </c>
      <c r="S684">
        <f>OR(D684="",D684&gt;=설정!$B$19)</f>
        <v/>
      </c>
      <c r="T684">
        <f>AND(Q684,R684,S684)</f>
        <v/>
      </c>
      <c r="U684">
        <f>IF(T684,IF(AND(설정!$A$41&lt;&gt;"",ISNUMBER(SEARCH(설정!$A$41,K684))),설정!$B$41,IF(AND(설정!$A$42&lt;&gt;"",ISNUMBER(SEARCH(설정!$A$42,K684))),설정!$B$42,IF(AND(설정!$A$43&lt;&gt;"",ISNUMBER(SEARCH(설정!$A$43,K684))),설정!$B$43,IF(AND(설정!$A$44&lt;&gt;"",ISNUMBER(SEARCH(설정!$A$44,K684))),설정!$B$44,IF(AND(설정!$A$45&lt;&gt;"",ISNUMBER(SEARCH(설정!$A$45,K684))),설정!$B$45,IF(AND(설정!$A$46&lt;&gt;"",ISNUMBER(SEARCH(설정!$A$46,K684))),설정!$B$46,IF(AND(설정!$A$47&lt;&gt;"",ISNUMBER(SEARCH(설정!$A$47,K684))),설정!$B$47,IF(AND(설정!$A$48&lt;&gt;"",ISNUMBER(SEARCH(설정!$A$48,K684))),설정!$B$48,IF(M684="","설계사","시공사"))))))))),"")</f>
        <v/>
      </c>
      <c r="V684">
        <f>SUBSTITUTE(SUBSTITUTE(SUBSTITUTE(SUBSTITUTE(G684,"(주)",""),"㈜",""),"주식회사","")," ","")</f>
        <v/>
      </c>
      <c r="W684">
        <f>IF(AND(T684,V684&lt;&gt;""),IF(COUNTIFS(V$2:V684,V684,T$2:T684,TRUE)=1,MAX(W$1:W683)+1,""),"")</f>
        <v/>
      </c>
      <c r="X684">
        <f>IFERROR(INDEX('1.산군_붙여넣기'!$A$1:$AZ$1001,ROW(),설정!$C$14)&amp;"","")</f>
        <v/>
      </c>
      <c r="Y684">
        <f>IFERROR(INDEX('1.산군_붙여넣기'!$A$1:$AZ$1001,ROW(),설정!$C$15)&amp;"","")</f>
        <v/>
      </c>
      <c r="Z684">
        <f>IF(T684,V684&amp;"|"&amp;U684,"")</f>
        <v/>
      </c>
    </row>
    <row r="685">
      <c r="A685">
        <f>ROW()</f>
        <v/>
      </c>
      <c r="B685">
        <f>IFERROR(INDEX('1.산군_붙여넣기'!$A$1:$AZ$1001,ROW(),설정!$C$4)&amp;"","")</f>
        <v/>
      </c>
      <c r="C685">
        <f>IFERROR(INDEX('1.산군_붙여넣기'!$A$1:$AZ$1001,ROW(),설정!$C$5)&amp;"","")</f>
        <v/>
      </c>
      <c r="D685" s="5">
        <f>IFERROR(VALUE(SUBSTITUTE(SUBSTITUTE(SUBSTITUTE(IFERROR(INDEX('1.산군_붙여넣기'!$A$1:$AZ$1001,ROW(),설정!$C$6)&amp;"",""),",",""),"㎡",""),"m2","")),"")</f>
        <v/>
      </c>
      <c r="E685">
        <f>IFERROR(INDEX('1.산군_붙여넣기'!$A$1:$AZ$1001,ROW(),설정!$C$7)&amp;"","")</f>
        <v/>
      </c>
      <c r="F685">
        <f>IFERROR(INDEX('1.산군_붙여넣기'!$A$1:$AZ$1001,ROW(),설정!$C$8)&amp;"","")</f>
        <v/>
      </c>
      <c r="G685">
        <f>IFERROR(INDEX('1.산군_붙여넣기'!$A$1:$AZ$1001,ROW(),설정!$C$9)&amp;"","")</f>
        <v/>
      </c>
      <c r="H685">
        <f>IFERROR(INDEX('1.산군_붙여넣기'!$A$1:$AZ$1001,ROW(),설정!$C$10)&amp;"","")</f>
        <v/>
      </c>
      <c r="I685">
        <f>IFERROR(INDEX('1.산군_붙여넣기'!$A$1:$AZ$1001,ROW(),설정!$C$11)&amp;"","")</f>
        <v/>
      </c>
      <c r="J685">
        <f>IFERROR(INDEX('1.산군_붙여넣기'!$A$1:$AZ$1001,ROW(),설정!$C$12)&amp;"","")</f>
        <v/>
      </c>
      <c r="K685">
        <f>IFERROR(INDEX('1.산군_붙여넣기'!$A$1:$AZ$1001,ROW(),설정!$C$13)&amp;"","")</f>
        <v/>
      </c>
      <c r="L685" s="6">
        <f>IF(X685="","",IF(AND(LEN(X685)=8,ISNUMBER(X685*1)),DATE(LEFT(X685,4),MID(X685,5,2),RIGHT(X685,2)),IFERROR(DATEVALUE(SUBSTITUTE(SUBSTITUTE(X685,".","-"),"/","-")),IFERROR(X685*1,""))))</f>
        <v/>
      </c>
      <c r="M685" s="6">
        <f>IF(Y685="","",IF(AND(LEN(Y685)=8,ISNUMBER(Y685*1)),DATE(LEFT(Y685,4),MID(Y685,5,2),RIGHT(Y685,2)),IFERROR(DATEVALUE(SUBSTITUTE(SUBSTITUTE(Y685,".","-"),"/","-")),IFERROR(Y685*1,""))))</f>
        <v/>
      </c>
      <c r="N685">
        <f>IFERROR(LEFT(B685,FIND(" ",B685)-1),B685)</f>
        <v/>
      </c>
      <c r="O685">
        <f>AND(B685&lt;&gt;"",B685&lt;&gt;설정!$B$4,C685&lt;&gt;설정!$B$5)</f>
        <v/>
      </c>
      <c r="P685">
        <f>IF(O685,B685&amp;"|"&amp;C685,"")</f>
        <v/>
      </c>
      <c r="Q685">
        <f>AND(O685,COUNTIF(P686:P$1002,P685)=0)</f>
        <v/>
      </c>
      <c r="R685">
        <f>OR(AND(설정!$A$28&lt;&gt;"",ISNUMBER(SEARCH(설정!$A$28,E685&amp;" "&amp;C685))),AND(설정!$A$29&lt;&gt;"",ISNUMBER(SEARCH(설정!$A$29,E685&amp;" "&amp;C685))),AND(설정!$A$30&lt;&gt;"",ISNUMBER(SEARCH(설정!$A$30,E685&amp;" "&amp;C685))),AND(설정!$A$31&lt;&gt;"",ISNUMBER(SEARCH(설정!$A$31,E685&amp;" "&amp;C685))),AND(설정!$A$32&lt;&gt;"",ISNUMBER(SEARCH(설정!$A$32,E685&amp;" "&amp;C685))),AND(설정!$A$33&lt;&gt;"",ISNUMBER(SEARCH(설정!$A$33,E685&amp;" "&amp;C685))),AND(설정!$A$34&lt;&gt;"",ISNUMBER(SEARCH(설정!$A$34,E685&amp;" "&amp;C685))),AND(설정!$A$35&lt;&gt;"",ISNUMBER(SEARCH(설정!$A$35,E685&amp;" "&amp;C685))),AND(설정!$A$36&lt;&gt;"",ISNUMBER(SEARCH(설정!$A$36,E685&amp;" "&amp;C685))),AND(설정!$A$37&lt;&gt;"",ISNUMBER(SEARCH(설정!$A$37,E685&amp;" "&amp;C685))))</f>
        <v/>
      </c>
      <c r="S685">
        <f>OR(D685="",D685&gt;=설정!$B$19)</f>
        <v/>
      </c>
      <c r="T685">
        <f>AND(Q685,R685,S685)</f>
        <v/>
      </c>
      <c r="U685">
        <f>IF(T685,IF(AND(설정!$A$41&lt;&gt;"",ISNUMBER(SEARCH(설정!$A$41,K685))),설정!$B$41,IF(AND(설정!$A$42&lt;&gt;"",ISNUMBER(SEARCH(설정!$A$42,K685))),설정!$B$42,IF(AND(설정!$A$43&lt;&gt;"",ISNUMBER(SEARCH(설정!$A$43,K685))),설정!$B$43,IF(AND(설정!$A$44&lt;&gt;"",ISNUMBER(SEARCH(설정!$A$44,K685))),설정!$B$44,IF(AND(설정!$A$45&lt;&gt;"",ISNUMBER(SEARCH(설정!$A$45,K685))),설정!$B$45,IF(AND(설정!$A$46&lt;&gt;"",ISNUMBER(SEARCH(설정!$A$46,K685))),설정!$B$46,IF(AND(설정!$A$47&lt;&gt;"",ISNUMBER(SEARCH(설정!$A$47,K685))),설정!$B$47,IF(AND(설정!$A$48&lt;&gt;"",ISNUMBER(SEARCH(설정!$A$48,K685))),설정!$B$48,IF(M685="","설계사","시공사"))))))))),"")</f>
        <v/>
      </c>
      <c r="V685">
        <f>SUBSTITUTE(SUBSTITUTE(SUBSTITUTE(SUBSTITUTE(G685,"(주)",""),"㈜",""),"주식회사","")," ","")</f>
        <v/>
      </c>
      <c r="W685">
        <f>IF(AND(T685,V685&lt;&gt;""),IF(COUNTIFS(V$2:V685,V685,T$2:T685,TRUE)=1,MAX(W$1:W684)+1,""),"")</f>
        <v/>
      </c>
      <c r="X685">
        <f>IFERROR(INDEX('1.산군_붙여넣기'!$A$1:$AZ$1001,ROW(),설정!$C$14)&amp;"","")</f>
        <v/>
      </c>
      <c r="Y685">
        <f>IFERROR(INDEX('1.산군_붙여넣기'!$A$1:$AZ$1001,ROW(),설정!$C$15)&amp;"","")</f>
        <v/>
      </c>
      <c r="Z685">
        <f>IF(T685,V685&amp;"|"&amp;U685,"")</f>
        <v/>
      </c>
    </row>
    <row r="686">
      <c r="A686">
        <f>ROW()</f>
        <v/>
      </c>
      <c r="B686">
        <f>IFERROR(INDEX('1.산군_붙여넣기'!$A$1:$AZ$1001,ROW(),설정!$C$4)&amp;"","")</f>
        <v/>
      </c>
      <c r="C686">
        <f>IFERROR(INDEX('1.산군_붙여넣기'!$A$1:$AZ$1001,ROW(),설정!$C$5)&amp;"","")</f>
        <v/>
      </c>
      <c r="D686" s="5">
        <f>IFERROR(VALUE(SUBSTITUTE(SUBSTITUTE(SUBSTITUTE(IFERROR(INDEX('1.산군_붙여넣기'!$A$1:$AZ$1001,ROW(),설정!$C$6)&amp;"",""),",",""),"㎡",""),"m2","")),"")</f>
        <v/>
      </c>
      <c r="E686">
        <f>IFERROR(INDEX('1.산군_붙여넣기'!$A$1:$AZ$1001,ROW(),설정!$C$7)&amp;"","")</f>
        <v/>
      </c>
      <c r="F686">
        <f>IFERROR(INDEX('1.산군_붙여넣기'!$A$1:$AZ$1001,ROW(),설정!$C$8)&amp;"","")</f>
        <v/>
      </c>
      <c r="G686">
        <f>IFERROR(INDEX('1.산군_붙여넣기'!$A$1:$AZ$1001,ROW(),설정!$C$9)&amp;"","")</f>
        <v/>
      </c>
      <c r="H686">
        <f>IFERROR(INDEX('1.산군_붙여넣기'!$A$1:$AZ$1001,ROW(),설정!$C$10)&amp;"","")</f>
        <v/>
      </c>
      <c r="I686">
        <f>IFERROR(INDEX('1.산군_붙여넣기'!$A$1:$AZ$1001,ROW(),설정!$C$11)&amp;"","")</f>
        <v/>
      </c>
      <c r="J686">
        <f>IFERROR(INDEX('1.산군_붙여넣기'!$A$1:$AZ$1001,ROW(),설정!$C$12)&amp;"","")</f>
        <v/>
      </c>
      <c r="K686">
        <f>IFERROR(INDEX('1.산군_붙여넣기'!$A$1:$AZ$1001,ROW(),설정!$C$13)&amp;"","")</f>
        <v/>
      </c>
      <c r="L686" s="6">
        <f>IF(X686="","",IF(AND(LEN(X686)=8,ISNUMBER(X686*1)),DATE(LEFT(X686,4),MID(X686,5,2),RIGHT(X686,2)),IFERROR(DATEVALUE(SUBSTITUTE(SUBSTITUTE(X686,".","-"),"/","-")),IFERROR(X686*1,""))))</f>
        <v/>
      </c>
      <c r="M686" s="6">
        <f>IF(Y686="","",IF(AND(LEN(Y686)=8,ISNUMBER(Y686*1)),DATE(LEFT(Y686,4),MID(Y686,5,2),RIGHT(Y686,2)),IFERROR(DATEVALUE(SUBSTITUTE(SUBSTITUTE(Y686,".","-"),"/","-")),IFERROR(Y686*1,""))))</f>
        <v/>
      </c>
      <c r="N686">
        <f>IFERROR(LEFT(B686,FIND(" ",B686)-1),B686)</f>
        <v/>
      </c>
      <c r="O686">
        <f>AND(B686&lt;&gt;"",B686&lt;&gt;설정!$B$4,C686&lt;&gt;설정!$B$5)</f>
        <v/>
      </c>
      <c r="P686">
        <f>IF(O686,B686&amp;"|"&amp;C686,"")</f>
        <v/>
      </c>
      <c r="Q686">
        <f>AND(O686,COUNTIF(P687:P$1002,P686)=0)</f>
        <v/>
      </c>
      <c r="R686">
        <f>OR(AND(설정!$A$28&lt;&gt;"",ISNUMBER(SEARCH(설정!$A$28,E686&amp;" "&amp;C686))),AND(설정!$A$29&lt;&gt;"",ISNUMBER(SEARCH(설정!$A$29,E686&amp;" "&amp;C686))),AND(설정!$A$30&lt;&gt;"",ISNUMBER(SEARCH(설정!$A$30,E686&amp;" "&amp;C686))),AND(설정!$A$31&lt;&gt;"",ISNUMBER(SEARCH(설정!$A$31,E686&amp;" "&amp;C686))),AND(설정!$A$32&lt;&gt;"",ISNUMBER(SEARCH(설정!$A$32,E686&amp;" "&amp;C686))),AND(설정!$A$33&lt;&gt;"",ISNUMBER(SEARCH(설정!$A$33,E686&amp;" "&amp;C686))),AND(설정!$A$34&lt;&gt;"",ISNUMBER(SEARCH(설정!$A$34,E686&amp;" "&amp;C686))),AND(설정!$A$35&lt;&gt;"",ISNUMBER(SEARCH(설정!$A$35,E686&amp;" "&amp;C686))),AND(설정!$A$36&lt;&gt;"",ISNUMBER(SEARCH(설정!$A$36,E686&amp;" "&amp;C686))),AND(설정!$A$37&lt;&gt;"",ISNUMBER(SEARCH(설정!$A$37,E686&amp;" "&amp;C686))))</f>
        <v/>
      </c>
      <c r="S686">
        <f>OR(D686="",D686&gt;=설정!$B$19)</f>
        <v/>
      </c>
      <c r="T686">
        <f>AND(Q686,R686,S686)</f>
        <v/>
      </c>
      <c r="U686">
        <f>IF(T686,IF(AND(설정!$A$41&lt;&gt;"",ISNUMBER(SEARCH(설정!$A$41,K686))),설정!$B$41,IF(AND(설정!$A$42&lt;&gt;"",ISNUMBER(SEARCH(설정!$A$42,K686))),설정!$B$42,IF(AND(설정!$A$43&lt;&gt;"",ISNUMBER(SEARCH(설정!$A$43,K686))),설정!$B$43,IF(AND(설정!$A$44&lt;&gt;"",ISNUMBER(SEARCH(설정!$A$44,K686))),설정!$B$44,IF(AND(설정!$A$45&lt;&gt;"",ISNUMBER(SEARCH(설정!$A$45,K686))),설정!$B$45,IF(AND(설정!$A$46&lt;&gt;"",ISNUMBER(SEARCH(설정!$A$46,K686))),설정!$B$46,IF(AND(설정!$A$47&lt;&gt;"",ISNUMBER(SEARCH(설정!$A$47,K686))),설정!$B$47,IF(AND(설정!$A$48&lt;&gt;"",ISNUMBER(SEARCH(설정!$A$48,K686))),설정!$B$48,IF(M686="","설계사","시공사"))))))))),"")</f>
        <v/>
      </c>
      <c r="V686">
        <f>SUBSTITUTE(SUBSTITUTE(SUBSTITUTE(SUBSTITUTE(G686,"(주)",""),"㈜",""),"주식회사","")," ","")</f>
        <v/>
      </c>
      <c r="W686">
        <f>IF(AND(T686,V686&lt;&gt;""),IF(COUNTIFS(V$2:V686,V686,T$2:T686,TRUE)=1,MAX(W$1:W685)+1,""),"")</f>
        <v/>
      </c>
      <c r="X686">
        <f>IFERROR(INDEX('1.산군_붙여넣기'!$A$1:$AZ$1001,ROW(),설정!$C$14)&amp;"","")</f>
        <v/>
      </c>
      <c r="Y686">
        <f>IFERROR(INDEX('1.산군_붙여넣기'!$A$1:$AZ$1001,ROW(),설정!$C$15)&amp;"","")</f>
        <v/>
      </c>
      <c r="Z686">
        <f>IF(T686,V686&amp;"|"&amp;U686,"")</f>
        <v/>
      </c>
    </row>
    <row r="687">
      <c r="A687">
        <f>ROW()</f>
        <v/>
      </c>
      <c r="B687">
        <f>IFERROR(INDEX('1.산군_붙여넣기'!$A$1:$AZ$1001,ROW(),설정!$C$4)&amp;"","")</f>
        <v/>
      </c>
      <c r="C687">
        <f>IFERROR(INDEX('1.산군_붙여넣기'!$A$1:$AZ$1001,ROW(),설정!$C$5)&amp;"","")</f>
        <v/>
      </c>
      <c r="D687" s="5">
        <f>IFERROR(VALUE(SUBSTITUTE(SUBSTITUTE(SUBSTITUTE(IFERROR(INDEX('1.산군_붙여넣기'!$A$1:$AZ$1001,ROW(),설정!$C$6)&amp;"",""),",",""),"㎡",""),"m2","")),"")</f>
        <v/>
      </c>
      <c r="E687">
        <f>IFERROR(INDEX('1.산군_붙여넣기'!$A$1:$AZ$1001,ROW(),설정!$C$7)&amp;"","")</f>
        <v/>
      </c>
      <c r="F687">
        <f>IFERROR(INDEX('1.산군_붙여넣기'!$A$1:$AZ$1001,ROW(),설정!$C$8)&amp;"","")</f>
        <v/>
      </c>
      <c r="G687">
        <f>IFERROR(INDEX('1.산군_붙여넣기'!$A$1:$AZ$1001,ROW(),설정!$C$9)&amp;"","")</f>
        <v/>
      </c>
      <c r="H687">
        <f>IFERROR(INDEX('1.산군_붙여넣기'!$A$1:$AZ$1001,ROW(),설정!$C$10)&amp;"","")</f>
        <v/>
      </c>
      <c r="I687">
        <f>IFERROR(INDEX('1.산군_붙여넣기'!$A$1:$AZ$1001,ROW(),설정!$C$11)&amp;"","")</f>
        <v/>
      </c>
      <c r="J687">
        <f>IFERROR(INDEX('1.산군_붙여넣기'!$A$1:$AZ$1001,ROW(),설정!$C$12)&amp;"","")</f>
        <v/>
      </c>
      <c r="K687">
        <f>IFERROR(INDEX('1.산군_붙여넣기'!$A$1:$AZ$1001,ROW(),설정!$C$13)&amp;"","")</f>
        <v/>
      </c>
      <c r="L687" s="6">
        <f>IF(X687="","",IF(AND(LEN(X687)=8,ISNUMBER(X687*1)),DATE(LEFT(X687,4),MID(X687,5,2),RIGHT(X687,2)),IFERROR(DATEVALUE(SUBSTITUTE(SUBSTITUTE(X687,".","-"),"/","-")),IFERROR(X687*1,""))))</f>
        <v/>
      </c>
      <c r="M687" s="6">
        <f>IF(Y687="","",IF(AND(LEN(Y687)=8,ISNUMBER(Y687*1)),DATE(LEFT(Y687,4),MID(Y687,5,2),RIGHT(Y687,2)),IFERROR(DATEVALUE(SUBSTITUTE(SUBSTITUTE(Y687,".","-"),"/","-")),IFERROR(Y687*1,""))))</f>
        <v/>
      </c>
      <c r="N687">
        <f>IFERROR(LEFT(B687,FIND(" ",B687)-1),B687)</f>
        <v/>
      </c>
      <c r="O687">
        <f>AND(B687&lt;&gt;"",B687&lt;&gt;설정!$B$4,C687&lt;&gt;설정!$B$5)</f>
        <v/>
      </c>
      <c r="P687">
        <f>IF(O687,B687&amp;"|"&amp;C687,"")</f>
        <v/>
      </c>
      <c r="Q687">
        <f>AND(O687,COUNTIF(P688:P$1002,P687)=0)</f>
        <v/>
      </c>
      <c r="R687">
        <f>OR(AND(설정!$A$28&lt;&gt;"",ISNUMBER(SEARCH(설정!$A$28,E687&amp;" "&amp;C687))),AND(설정!$A$29&lt;&gt;"",ISNUMBER(SEARCH(설정!$A$29,E687&amp;" "&amp;C687))),AND(설정!$A$30&lt;&gt;"",ISNUMBER(SEARCH(설정!$A$30,E687&amp;" "&amp;C687))),AND(설정!$A$31&lt;&gt;"",ISNUMBER(SEARCH(설정!$A$31,E687&amp;" "&amp;C687))),AND(설정!$A$32&lt;&gt;"",ISNUMBER(SEARCH(설정!$A$32,E687&amp;" "&amp;C687))),AND(설정!$A$33&lt;&gt;"",ISNUMBER(SEARCH(설정!$A$33,E687&amp;" "&amp;C687))),AND(설정!$A$34&lt;&gt;"",ISNUMBER(SEARCH(설정!$A$34,E687&amp;" "&amp;C687))),AND(설정!$A$35&lt;&gt;"",ISNUMBER(SEARCH(설정!$A$35,E687&amp;" "&amp;C687))),AND(설정!$A$36&lt;&gt;"",ISNUMBER(SEARCH(설정!$A$36,E687&amp;" "&amp;C687))),AND(설정!$A$37&lt;&gt;"",ISNUMBER(SEARCH(설정!$A$37,E687&amp;" "&amp;C687))))</f>
        <v/>
      </c>
      <c r="S687">
        <f>OR(D687="",D687&gt;=설정!$B$19)</f>
        <v/>
      </c>
      <c r="T687">
        <f>AND(Q687,R687,S687)</f>
        <v/>
      </c>
      <c r="U687">
        <f>IF(T687,IF(AND(설정!$A$41&lt;&gt;"",ISNUMBER(SEARCH(설정!$A$41,K687))),설정!$B$41,IF(AND(설정!$A$42&lt;&gt;"",ISNUMBER(SEARCH(설정!$A$42,K687))),설정!$B$42,IF(AND(설정!$A$43&lt;&gt;"",ISNUMBER(SEARCH(설정!$A$43,K687))),설정!$B$43,IF(AND(설정!$A$44&lt;&gt;"",ISNUMBER(SEARCH(설정!$A$44,K687))),설정!$B$44,IF(AND(설정!$A$45&lt;&gt;"",ISNUMBER(SEARCH(설정!$A$45,K687))),설정!$B$45,IF(AND(설정!$A$46&lt;&gt;"",ISNUMBER(SEARCH(설정!$A$46,K687))),설정!$B$46,IF(AND(설정!$A$47&lt;&gt;"",ISNUMBER(SEARCH(설정!$A$47,K687))),설정!$B$47,IF(AND(설정!$A$48&lt;&gt;"",ISNUMBER(SEARCH(설정!$A$48,K687))),설정!$B$48,IF(M687="","설계사","시공사"))))))))),"")</f>
        <v/>
      </c>
      <c r="V687">
        <f>SUBSTITUTE(SUBSTITUTE(SUBSTITUTE(SUBSTITUTE(G687,"(주)",""),"㈜",""),"주식회사","")," ","")</f>
        <v/>
      </c>
      <c r="W687">
        <f>IF(AND(T687,V687&lt;&gt;""),IF(COUNTIFS(V$2:V687,V687,T$2:T687,TRUE)=1,MAX(W$1:W686)+1,""),"")</f>
        <v/>
      </c>
      <c r="X687">
        <f>IFERROR(INDEX('1.산군_붙여넣기'!$A$1:$AZ$1001,ROW(),설정!$C$14)&amp;"","")</f>
        <v/>
      </c>
      <c r="Y687">
        <f>IFERROR(INDEX('1.산군_붙여넣기'!$A$1:$AZ$1001,ROW(),설정!$C$15)&amp;"","")</f>
        <v/>
      </c>
      <c r="Z687">
        <f>IF(T687,V687&amp;"|"&amp;U687,"")</f>
        <v/>
      </c>
    </row>
    <row r="688">
      <c r="A688">
        <f>ROW()</f>
        <v/>
      </c>
      <c r="B688">
        <f>IFERROR(INDEX('1.산군_붙여넣기'!$A$1:$AZ$1001,ROW(),설정!$C$4)&amp;"","")</f>
        <v/>
      </c>
      <c r="C688">
        <f>IFERROR(INDEX('1.산군_붙여넣기'!$A$1:$AZ$1001,ROW(),설정!$C$5)&amp;"","")</f>
        <v/>
      </c>
      <c r="D688" s="5">
        <f>IFERROR(VALUE(SUBSTITUTE(SUBSTITUTE(SUBSTITUTE(IFERROR(INDEX('1.산군_붙여넣기'!$A$1:$AZ$1001,ROW(),설정!$C$6)&amp;"",""),",",""),"㎡",""),"m2","")),"")</f>
        <v/>
      </c>
      <c r="E688">
        <f>IFERROR(INDEX('1.산군_붙여넣기'!$A$1:$AZ$1001,ROW(),설정!$C$7)&amp;"","")</f>
        <v/>
      </c>
      <c r="F688">
        <f>IFERROR(INDEX('1.산군_붙여넣기'!$A$1:$AZ$1001,ROW(),설정!$C$8)&amp;"","")</f>
        <v/>
      </c>
      <c r="G688">
        <f>IFERROR(INDEX('1.산군_붙여넣기'!$A$1:$AZ$1001,ROW(),설정!$C$9)&amp;"","")</f>
        <v/>
      </c>
      <c r="H688">
        <f>IFERROR(INDEX('1.산군_붙여넣기'!$A$1:$AZ$1001,ROW(),설정!$C$10)&amp;"","")</f>
        <v/>
      </c>
      <c r="I688">
        <f>IFERROR(INDEX('1.산군_붙여넣기'!$A$1:$AZ$1001,ROW(),설정!$C$11)&amp;"","")</f>
        <v/>
      </c>
      <c r="J688">
        <f>IFERROR(INDEX('1.산군_붙여넣기'!$A$1:$AZ$1001,ROW(),설정!$C$12)&amp;"","")</f>
        <v/>
      </c>
      <c r="K688">
        <f>IFERROR(INDEX('1.산군_붙여넣기'!$A$1:$AZ$1001,ROW(),설정!$C$13)&amp;"","")</f>
        <v/>
      </c>
      <c r="L688" s="6">
        <f>IF(X688="","",IF(AND(LEN(X688)=8,ISNUMBER(X688*1)),DATE(LEFT(X688,4),MID(X688,5,2),RIGHT(X688,2)),IFERROR(DATEVALUE(SUBSTITUTE(SUBSTITUTE(X688,".","-"),"/","-")),IFERROR(X688*1,""))))</f>
        <v/>
      </c>
      <c r="M688" s="6">
        <f>IF(Y688="","",IF(AND(LEN(Y688)=8,ISNUMBER(Y688*1)),DATE(LEFT(Y688,4),MID(Y688,5,2),RIGHT(Y688,2)),IFERROR(DATEVALUE(SUBSTITUTE(SUBSTITUTE(Y688,".","-"),"/","-")),IFERROR(Y688*1,""))))</f>
        <v/>
      </c>
      <c r="N688">
        <f>IFERROR(LEFT(B688,FIND(" ",B688)-1),B688)</f>
        <v/>
      </c>
      <c r="O688">
        <f>AND(B688&lt;&gt;"",B688&lt;&gt;설정!$B$4,C688&lt;&gt;설정!$B$5)</f>
        <v/>
      </c>
      <c r="P688">
        <f>IF(O688,B688&amp;"|"&amp;C688,"")</f>
        <v/>
      </c>
      <c r="Q688">
        <f>AND(O688,COUNTIF(P689:P$1002,P688)=0)</f>
        <v/>
      </c>
      <c r="R688">
        <f>OR(AND(설정!$A$28&lt;&gt;"",ISNUMBER(SEARCH(설정!$A$28,E688&amp;" "&amp;C688))),AND(설정!$A$29&lt;&gt;"",ISNUMBER(SEARCH(설정!$A$29,E688&amp;" "&amp;C688))),AND(설정!$A$30&lt;&gt;"",ISNUMBER(SEARCH(설정!$A$30,E688&amp;" "&amp;C688))),AND(설정!$A$31&lt;&gt;"",ISNUMBER(SEARCH(설정!$A$31,E688&amp;" "&amp;C688))),AND(설정!$A$32&lt;&gt;"",ISNUMBER(SEARCH(설정!$A$32,E688&amp;" "&amp;C688))),AND(설정!$A$33&lt;&gt;"",ISNUMBER(SEARCH(설정!$A$33,E688&amp;" "&amp;C688))),AND(설정!$A$34&lt;&gt;"",ISNUMBER(SEARCH(설정!$A$34,E688&amp;" "&amp;C688))),AND(설정!$A$35&lt;&gt;"",ISNUMBER(SEARCH(설정!$A$35,E688&amp;" "&amp;C688))),AND(설정!$A$36&lt;&gt;"",ISNUMBER(SEARCH(설정!$A$36,E688&amp;" "&amp;C688))),AND(설정!$A$37&lt;&gt;"",ISNUMBER(SEARCH(설정!$A$37,E688&amp;" "&amp;C688))))</f>
        <v/>
      </c>
      <c r="S688">
        <f>OR(D688="",D688&gt;=설정!$B$19)</f>
        <v/>
      </c>
      <c r="T688">
        <f>AND(Q688,R688,S688)</f>
        <v/>
      </c>
      <c r="U688">
        <f>IF(T688,IF(AND(설정!$A$41&lt;&gt;"",ISNUMBER(SEARCH(설정!$A$41,K688))),설정!$B$41,IF(AND(설정!$A$42&lt;&gt;"",ISNUMBER(SEARCH(설정!$A$42,K688))),설정!$B$42,IF(AND(설정!$A$43&lt;&gt;"",ISNUMBER(SEARCH(설정!$A$43,K688))),설정!$B$43,IF(AND(설정!$A$44&lt;&gt;"",ISNUMBER(SEARCH(설정!$A$44,K688))),설정!$B$44,IF(AND(설정!$A$45&lt;&gt;"",ISNUMBER(SEARCH(설정!$A$45,K688))),설정!$B$45,IF(AND(설정!$A$46&lt;&gt;"",ISNUMBER(SEARCH(설정!$A$46,K688))),설정!$B$46,IF(AND(설정!$A$47&lt;&gt;"",ISNUMBER(SEARCH(설정!$A$47,K688))),설정!$B$47,IF(AND(설정!$A$48&lt;&gt;"",ISNUMBER(SEARCH(설정!$A$48,K688))),설정!$B$48,IF(M688="","설계사","시공사"))))))))),"")</f>
        <v/>
      </c>
      <c r="V688">
        <f>SUBSTITUTE(SUBSTITUTE(SUBSTITUTE(SUBSTITUTE(G688,"(주)",""),"㈜",""),"주식회사","")," ","")</f>
        <v/>
      </c>
      <c r="W688">
        <f>IF(AND(T688,V688&lt;&gt;""),IF(COUNTIFS(V$2:V688,V688,T$2:T688,TRUE)=1,MAX(W$1:W687)+1,""),"")</f>
        <v/>
      </c>
      <c r="X688">
        <f>IFERROR(INDEX('1.산군_붙여넣기'!$A$1:$AZ$1001,ROW(),설정!$C$14)&amp;"","")</f>
        <v/>
      </c>
      <c r="Y688">
        <f>IFERROR(INDEX('1.산군_붙여넣기'!$A$1:$AZ$1001,ROW(),설정!$C$15)&amp;"","")</f>
        <v/>
      </c>
      <c r="Z688">
        <f>IF(T688,V688&amp;"|"&amp;U688,"")</f>
        <v/>
      </c>
    </row>
    <row r="689">
      <c r="A689">
        <f>ROW()</f>
        <v/>
      </c>
      <c r="B689">
        <f>IFERROR(INDEX('1.산군_붙여넣기'!$A$1:$AZ$1001,ROW(),설정!$C$4)&amp;"","")</f>
        <v/>
      </c>
      <c r="C689">
        <f>IFERROR(INDEX('1.산군_붙여넣기'!$A$1:$AZ$1001,ROW(),설정!$C$5)&amp;"","")</f>
        <v/>
      </c>
      <c r="D689" s="5">
        <f>IFERROR(VALUE(SUBSTITUTE(SUBSTITUTE(SUBSTITUTE(IFERROR(INDEX('1.산군_붙여넣기'!$A$1:$AZ$1001,ROW(),설정!$C$6)&amp;"",""),",",""),"㎡",""),"m2","")),"")</f>
        <v/>
      </c>
      <c r="E689">
        <f>IFERROR(INDEX('1.산군_붙여넣기'!$A$1:$AZ$1001,ROW(),설정!$C$7)&amp;"","")</f>
        <v/>
      </c>
      <c r="F689">
        <f>IFERROR(INDEX('1.산군_붙여넣기'!$A$1:$AZ$1001,ROW(),설정!$C$8)&amp;"","")</f>
        <v/>
      </c>
      <c r="G689">
        <f>IFERROR(INDEX('1.산군_붙여넣기'!$A$1:$AZ$1001,ROW(),설정!$C$9)&amp;"","")</f>
        <v/>
      </c>
      <c r="H689">
        <f>IFERROR(INDEX('1.산군_붙여넣기'!$A$1:$AZ$1001,ROW(),설정!$C$10)&amp;"","")</f>
        <v/>
      </c>
      <c r="I689">
        <f>IFERROR(INDEX('1.산군_붙여넣기'!$A$1:$AZ$1001,ROW(),설정!$C$11)&amp;"","")</f>
        <v/>
      </c>
      <c r="J689">
        <f>IFERROR(INDEX('1.산군_붙여넣기'!$A$1:$AZ$1001,ROW(),설정!$C$12)&amp;"","")</f>
        <v/>
      </c>
      <c r="K689">
        <f>IFERROR(INDEX('1.산군_붙여넣기'!$A$1:$AZ$1001,ROW(),설정!$C$13)&amp;"","")</f>
        <v/>
      </c>
      <c r="L689" s="6">
        <f>IF(X689="","",IF(AND(LEN(X689)=8,ISNUMBER(X689*1)),DATE(LEFT(X689,4),MID(X689,5,2),RIGHT(X689,2)),IFERROR(DATEVALUE(SUBSTITUTE(SUBSTITUTE(X689,".","-"),"/","-")),IFERROR(X689*1,""))))</f>
        <v/>
      </c>
      <c r="M689" s="6">
        <f>IF(Y689="","",IF(AND(LEN(Y689)=8,ISNUMBER(Y689*1)),DATE(LEFT(Y689,4),MID(Y689,5,2),RIGHT(Y689,2)),IFERROR(DATEVALUE(SUBSTITUTE(SUBSTITUTE(Y689,".","-"),"/","-")),IFERROR(Y689*1,""))))</f>
        <v/>
      </c>
      <c r="N689">
        <f>IFERROR(LEFT(B689,FIND(" ",B689)-1),B689)</f>
        <v/>
      </c>
      <c r="O689">
        <f>AND(B689&lt;&gt;"",B689&lt;&gt;설정!$B$4,C689&lt;&gt;설정!$B$5)</f>
        <v/>
      </c>
      <c r="P689">
        <f>IF(O689,B689&amp;"|"&amp;C689,"")</f>
        <v/>
      </c>
      <c r="Q689">
        <f>AND(O689,COUNTIF(P690:P$1002,P689)=0)</f>
        <v/>
      </c>
      <c r="R689">
        <f>OR(AND(설정!$A$28&lt;&gt;"",ISNUMBER(SEARCH(설정!$A$28,E689&amp;" "&amp;C689))),AND(설정!$A$29&lt;&gt;"",ISNUMBER(SEARCH(설정!$A$29,E689&amp;" "&amp;C689))),AND(설정!$A$30&lt;&gt;"",ISNUMBER(SEARCH(설정!$A$30,E689&amp;" "&amp;C689))),AND(설정!$A$31&lt;&gt;"",ISNUMBER(SEARCH(설정!$A$31,E689&amp;" "&amp;C689))),AND(설정!$A$32&lt;&gt;"",ISNUMBER(SEARCH(설정!$A$32,E689&amp;" "&amp;C689))),AND(설정!$A$33&lt;&gt;"",ISNUMBER(SEARCH(설정!$A$33,E689&amp;" "&amp;C689))),AND(설정!$A$34&lt;&gt;"",ISNUMBER(SEARCH(설정!$A$34,E689&amp;" "&amp;C689))),AND(설정!$A$35&lt;&gt;"",ISNUMBER(SEARCH(설정!$A$35,E689&amp;" "&amp;C689))),AND(설정!$A$36&lt;&gt;"",ISNUMBER(SEARCH(설정!$A$36,E689&amp;" "&amp;C689))),AND(설정!$A$37&lt;&gt;"",ISNUMBER(SEARCH(설정!$A$37,E689&amp;" "&amp;C689))))</f>
        <v/>
      </c>
      <c r="S689">
        <f>OR(D689="",D689&gt;=설정!$B$19)</f>
        <v/>
      </c>
      <c r="T689">
        <f>AND(Q689,R689,S689)</f>
        <v/>
      </c>
      <c r="U689">
        <f>IF(T689,IF(AND(설정!$A$41&lt;&gt;"",ISNUMBER(SEARCH(설정!$A$41,K689))),설정!$B$41,IF(AND(설정!$A$42&lt;&gt;"",ISNUMBER(SEARCH(설정!$A$42,K689))),설정!$B$42,IF(AND(설정!$A$43&lt;&gt;"",ISNUMBER(SEARCH(설정!$A$43,K689))),설정!$B$43,IF(AND(설정!$A$44&lt;&gt;"",ISNUMBER(SEARCH(설정!$A$44,K689))),설정!$B$44,IF(AND(설정!$A$45&lt;&gt;"",ISNUMBER(SEARCH(설정!$A$45,K689))),설정!$B$45,IF(AND(설정!$A$46&lt;&gt;"",ISNUMBER(SEARCH(설정!$A$46,K689))),설정!$B$46,IF(AND(설정!$A$47&lt;&gt;"",ISNUMBER(SEARCH(설정!$A$47,K689))),설정!$B$47,IF(AND(설정!$A$48&lt;&gt;"",ISNUMBER(SEARCH(설정!$A$48,K689))),설정!$B$48,IF(M689="","설계사","시공사"))))))))),"")</f>
        <v/>
      </c>
      <c r="V689">
        <f>SUBSTITUTE(SUBSTITUTE(SUBSTITUTE(SUBSTITUTE(G689,"(주)",""),"㈜",""),"주식회사","")," ","")</f>
        <v/>
      </c>
      <c r="W689">
        <f>IF(AND(T689,V689&lt;&gt;""),IF(COUNTIFS(V$2:V689,V689,T$2:T689,TRUE)=1,MAX(W$1:W688)+1,""),"")</f>
        <v/>
      </c>
      <c r="X689">
        <f>IFERROR(INDEX('1.산군_붙여넣기'!$A$1:$AZ$1001,ROW(),설정!$C$14)&amp;"","")</f>
        <v/>
      </c>
      <c r="Y689">
        <f>IFERROR(INDEX('1.산군_붙여넣기'!$A$1:$AZ$1001,ROW(),설정!$C$15)&amp;"","")</f>
        <v/>
      </c>
      <c r="Z689">
        <f>IF(T689,V689&amp;"|"&amp;U689,"")</f>
        <v/>
      </c>
    </row>
    <row r="690">
      <c r="A690">
        <f>ROW()</f>
        <v/>
      </c>
      <c r="B690">
        <f>IFERROR(INDEX('1.산군_붙여넣기'!$A$1:$AZ$1001,ROW(),설정!$C$4)&amp;"","")</f>
        <v/>
      </c>
      <c r="C690">
        <f>IFERROR(INDEX('1.산군_붙여넣기'!$A$1:$AZ$1001,ROW(),설정!$C$5)&amp;"","")</f>
        <v/>
      </c>
      <c r="D690" s="5">
        <f>IFERROR(VALUE(SUBSTITUTE(SUBSTITUTE(SUBSTITUTE(IFERROR(INDEX('1.산군_붙여넣기'!$A$1:$AZ$1001,ROW(),설정!$C$6)&amp;"",""),",",""),"㎡",""),"m2","")),"")</f>
        <v/>
      </c>
      <c r="E690">
        <f>IFERROR(INDEX('1.산군_붙여넣기'!$A$1:$AZ$1001,ROW(),설정!$C$7)&amp;"","")</f>
        <v/>
      </c>
      <c r="F690">
        <f>IFERROR(INDEX('1.산군_붙여넣기'!$A$1:$AZ$1001,ROW(),설정!$C$8)&amp;"","")</f>
        <v/>
      </c>
      <c r="G690">
        <f>IFERROR(INDEX('1.산군_붙여넣기'!$A$1:$AZ$1001,ROW(),설정!$C$9)&amp;"","")</f>
        <v/>
      </c>
      <c r="H690">
        <f>IFERROR(INDEX('1.산군_붙여넣기'!$A$1:$AZ$1001,ROW(),설정!$C$10)&amp;"","")</f>
        <v/>
      </c>
      <c r="I690">
        <f>IFERROR(INDEX('1.산군_붙여넣기'!$A$1:$AZ$1001,ROW(),설정!$C$11)&amp;"","")</f>
        <v/>
      </c>
      <c r="J690">
        <f>IFERROR(INDEX('1.산군_붙여넣기'!$A$1:$AZ$1001,ROW(),설정!$C$12)&amp;"","")</f>
        <v/>
      </c>
      <c r="K690">
        <f>IFERROR(INDEX('1.산군_붙여넣기'!$A$1:$AZ$1001,ROW(),설정!$C$13)&amp;"","")</f>
        <v/>
      </c>
      <c r="L690" s="6">
        <f>IF(X690="","",IF(AND(LEN(X690)=8,ISNUMBER(X690*1)),DATE(LEFT(X690,4),MID(X690,5,2),RIGHT(X690,2)),IFERROR(DATEVALUE(SUBSTITUTE(SUBSTITUTE(X690,".","-"),"/","-")),IFERROR(X690*1,""))))</f>
        <v/>
      </c>
      <c r="M690" s="6">
        <f>IF(Y690="","",IF(AND(LEN(Y690)=8,ISNUMBER(Y690*1)),DATE(LEFT(Y690,4),MID(Y690,5,2),RIGHT(Y690,2)),IFERROR(DATEVALUE(SUBSTITUTE(SUBSTITUTE(Y690,".","-"),"/","-")),IFERROR(Y690*1,""))))</f>
        <v/>
      </c>
      <c r="N690">
        <f>IFERROR(LEFT(B690,FIND(" ",B690)-1),B690)</f>
        <v/>
      </c>
      <c r="O690">
        <f>AND(B690&lt;&gt;"",B690&lt;&gt;설정!$B$4,C690&lt;&gt;설정!$B$5)</f>
        <v/>
      </c>
      <c r="P690">
        <f>IF(O690,B690&amp;"|"&amp;C690,"")</f>
        <v/>
      </c>
      <c r="Q690">
        <f>AND(O690,COUNTIF(P691:P$1002,P690)=0)</f>
        <v/>
      </c>
      <c r="R690">
        <f>OR(AND(설정!$A$28&lt;&gt;"",ISNUMBER(SEARCH(설정!$A$28,E690&amp;" "&amp;C690))),AND(설정!$A$29&lt;&gt;"",ISNUMBER(SEARCH(설정!$A$29,E690&amp;" "&amp;C690))),AND(설정!$A$30&lt;&gt;"",ISNUMBER(SEARCH(설정!$A$30,E690&amp;" "&amp;C690))),AND(설정!$A$31&lt;&gt;"",ISNUMBER(SEARCH(설정!$A$31,E690&amp;" "&amp;C690))),AND(설정!$A$32&lt;&gt;"",ISNUMBER(SEARCH(설정!$A$32,E690&amp;" "&amp;C690))),AND(설정!$A$33&lt;&gt;"",ISNUMBER(SEARCH(설정!$A$33,E690&amp;" "&amp;C690))),AND(설정!$A$34&lt;&gt;"",ISNUMBER(SEARCH(설정!$A$34,E690&amp;" "&amp;C690))),AND(설정!$A$35&lt;&gt;"",ISNUMBER(SEARCH(설정!$A$35,E690&amp;" "&amp;C690))),AND(설정!$A$36&lt;&gt;"",ISNUMBER(SEARCH(설정!$A$36,E690&amp;" "&amp;C690))),AND(설정!$A$37&lt;&gt;"",ISNUMBER(SEARCH(설정!$A$37,E690&amp;" "&amp;C690))))</f>
        <v/>
      </c>
      <c r="S690">
        <f>OR(D690="",D690&gt;=설정!$B$19)</f>
        <v/>
      </c>
      <c r="T690">
        <f>AND(Q690,R690,S690)</f>
        <v/>
      </c>
      <c r="U690">
        <f>IF(T690,IF(AND(설정!$A$41&lt;&gt;"",ISNUMBER(SEARCH(설정!$A$41,K690))),설정!$B$41,IF(AND(설정!$A$42&lt;&gt;"",ISNUMBER(SEARCH(설정!$A$42,K690))),설정!$B$42,IF(AND(설정!$A$43&lt;&gt;"",ISNUMBER(SEARCH(설정!$A$43,K690))),설정!$B$43,IF(AND(설정!$A$44&lt;&gt;"",ISNUMBER(SEARCH(설정!$A$44,K690))),설정!$B$44,IF(AND(설정!$A$45&lt;&gt;"",ISNUMBER(SEARCH(설정!$A$45,K690))),설정!$B$45,IF(AND(설정!$A$46&lt;&gt;"",ISNUMBER(SEARCH(설정!$A$46,K690))),설정!$B$46,IF(AND(설정!$A$47&lt;&gt;"",ISNUMBER(SEARCH(설정!$A$47,K690))),설정!$B$47,IF(AND(설정!$A$48&lt;&gt;"",ISNUMBER(SEARCH(설정!$A$48,K690))),설정!$B$48,IF(M690="","설계사","시공사"))))))))),"")</f>
        <v/>
      </c>
      <c r="V690">
        <f>SUBSTITUTE(SUBSTITUTE(SUBSTITUTE(SUBSTITUTE(G690,"(주)",""),"㈜",""),"주식회사","")," ","")</f>
        <v/>
      </c>
      <c r="W690">
        <f>IF(AND(T690,V690&lt;&gt;""),IF(COUNTIFS(V$2:V690,V690,T$2:T690,TRUE)=1,MAX(W$1:W689)+1,""),"")</f>
        <v/>
      </c>
      <c r="X690">
        <f>IFERROR(INDEX('1.산군_붙여넣기'!$A$1:$AZ$1001,ROW(),설정!$C$14)&amp;"","")</f>
        <v/>
      </c>
      <c r="Y690">
        <f>IFERROR(INDEX('1.산군_붙여넣기'!$A$1:$AZ$1001,ROW(),설정!$C$15)&amp;"","")</f>
        <v/>
      </c>
      <c r="Z690">
        <f>IF(T690,V690&amp;"|"&amp;U690,"")</f>
        <v/>
      </c>
    </row>
    <row r="691">
      <c r="A691">
        <f>ROW()</f>
        <v/>
      </c>
      <c r="B691">
        <f>IFERROR(INDEX('1.산군_붙여넣기'!$A$1:$AZ$1001,ROW(),설정!$C$4)&amp;"","")</f>
        <v/>
      </c>
      <c r="C691">
        <f>IFERROR(INDEX('1.산군_붙여넣기'!$A$1:$AZ$1001,ROW(),설정!$C$5)&amp;"","")</f>
        <v/>
      </c>
      <c r="D691" s="5">
        <f>IFERROR(VALUE(SUBSTITUTE(SUBSTITUTE(SUBSTITUTE(IFERROR(INDEX('1.산군_붙여넣기'!$A$1:$AZ$1001,ROW(),설정!$C$6)&amp;"",""),",",""),"㎡",""),"m2","")),"")</f>
        <v/>
      </c>
      <c r="E691">
        <f>IFERROR(INDEX('1.산군_붙여넣기'!$A$1:$AZ$1001,ROW(),설정!$C$7)&amp;"","")</f>
        <v/>
      </c>
      <c r="F691">
        <f>IFERROR(INDEX('1.산군_붙여넣기'!$A$1:$AZ$1001,ROW(),설정!$C$8)&amp;"","")</f>
        <v/>
      </c>
      <c r="G691">
        <f>IFERROR(INDEX('1.산군_붙여넣기'!$A$1:$AZ$1001,ROW(),설정!$C$9)&amp;"","")</f>
        <v/>
      </c>
      <c r="H691">
        <f>IFERROR(INDEX('1.산군_붙여넣기'!$A$1:$AZ$1001,ROW(),설정!$C$10)&amp;"","")</f>
        <v/>
      </c>
      <c r="I691">
        <f>IFERROR(INDEX('1.산군_붙여넣기'!$A$1:$AZ$1001,ROW(),설정!$C$11)&amp;"","")</f>
        <v/>
      </c>
      <c r="J691">
        <f>IFERROR(INDEX('1.산군_붙여넣기'!$A$1:$AZ$1001,ROW(),설정!$C$12)&amp;"","")</f>
        <v/>
      </c>
      <c r="K691">
        <f>IFERROR(INDEX('1.산군_붙여넣기'!$A$1:$AZ$1001,ROW(),설정!$C$13)&amp;"","")</f>
        <v/>
      </c>
      <c r="L691" s="6">
        <f>IF(X691="","",IF(AND(LEN(X691)=8,ISNUMBER(X691*1)),DATE(LEFT(X691,4),MID(X691,5,2),RIGHT(X691,2)),IFERROR(DATEVALUE(SUBSTITUTE(SUBSTITUTE(X691,".","-"),"/","-")),IFERROR(X691*1,""))))</f>
        <v/>
      </c>
      <c r="M691" s="6">
        <f>IF(Y691="","",IF(AND(LEN(Y691)=8,ISNUMBER(Y691*1)),DATE(LEFT(Y691,4),MID(Y691,5,2),RIGHT(Y691,2)),IFERROR(DATEVALUE(SUBSTITUTE(SUBSTITUTE(Y691,".","-"),"/","-")),IFERROR(Y691*1,""))))</f>
        <v/>
      </c>
      <c r="N691">
        <f>IFERROR(LEFT(B691,FIND(" ",B691)-1),B691)</f>
        <v/>
      </c>
      <c r="O691">
        <f>AND(B691&lt;&gt;"",B691&lt;&gt;설정!$B$4,C691&lt;&gt;설정!$B$5)</f>
        <v/>
      </c>
      <c r="P691">
        <f>IF(O691,B691&amp;"|"&amp;C691,"")</f>
        <v/>
      </c>
      <c r="Q691">
        <f>AND(O691,COUNTIF(P692:P$1002,P691)=0)</f>
        <v/>
      </c>
      <c r="R691">
        <f>OR(AND(설정!$A$28&lt;&gt;"",ISNUMBER(SEARCH(설정!$A$28,E691&amp;" "&amp;C691))),AND(설정!$A$29&lt;&gt;"",ISNUMBER(SEARCH(설정!$A$29,E691&amp;" "&amp;C691))),AND(설정!$A$30&lt;&gt;"",ISNUMBER(SEARCH(설정!$A$30,E691&amp;" "&amp;C691))),AND(설정!$A$31&lt;&gt;"",ISNUMBER(SEARCH(설정!$A$31,E691&amp;" "&amp;C691))),AND(설정!$A$32&lt;&gt;"",ISNUMBER(SEARCH(설정!$A$32,E691&amp;" "&amp;C691))),AND(설정!$A$33&lt;&gt;"",ISNUMBER(SEARCH(설정!$A$33,E691&amp;" "&amp;C691))),AND(설정!$A$34&lt;&gt;"",ISNUMBER(SEARCH(설정!$A$34,E691&amp;" "&amp;C691))),AND(설정!$A$35&lt;&gt;"",ISNUMBER(SEARCH(설정!$A$35,E691&amp;" "&amp;C691))),AND(설정!$A$36&lt;&gt;"",ISNUMBER(SEARCH(설정!$A$36,E691&amp;" "&amp;C691))),AND(설정!$A$37&lt;&gt;"",ISNUMBER(SEARCH(설정!$A$37,E691&amp;" "&amp;C691))))</f>
        <v/>
      </c>
      <c r="S691">
        <f>OR(D691="",D691&gt;=설정!$B$19)</f>
        <v/>
      </c>
      <c r="T691">
        <f>AND(Q691,R691,S691)</f>
        <v/>
      </c>
      <c r="U691">
        <f>IF(T691,IF(AND(설정!$A$41&lt;&gt;"",ISNUMBER(SEARCH(설정!$A$41,K691))),설정!$B$41,IF(AND(설정!$A$42&lt;&gt;"",ISNUMBER(SEARCH(설정!$A$42,K691))),설정!$B$42,IF(AND(설정!$A$43&lt;&gt;"",ISNUMBER(SEARCH(설정!$A$43,K691))),설정!$B$43,IF(AND(설정!$A$44&lt;&gt;"",ISNUMBER(SEARCH(설정!$A$44,K691))),설정!$B$44,IF(AND(설정!$A$45&lt;&gt;"",ISNUMBER(SEARCH(설정!$A$45,K691))),설정!$B$45,IF(AND(설정!$A$46&lt;&gt;"",ISNUMBER(SEARCH(설정!$A$46,K691))),설정!$B$46,IF(AND(설정!$A$47&lt;&gt;"",ISNUMBER(SEARCH(설정!$A$47,K691))),설정!$B$47,IF(AND(설정!$A$48&lt;&gt;"",ISNUMBER(SEARCH(설정!$A$48,K691))),설정!$B$48,IF(M691="","설계사","시공사"))))))))),"")</f>
        <v/>
      </c>
      <c r="V691">
        <f>SUBSTITUTE(SUBSTITUTE(SUBSTITUTE(SUBSTITUTE(G691,"(주)",""),"㈜",""),"주식회사","")," ","")</f>
        <v/>
      </c>
      <c r="W691">
        <f>IF(AND(T691,V691&lt;&gt;""),IF(COUNTIFS(V$2:V691,V691,T$2:T691,TRUE)=1,MAX(W$1:W690)+1,""),"")</f>
        <v/>
      </c>
      <c r="X691">
        <f>IFERROR(INDEX('1.산군_붙여넣기'!$A$1:$AZ$1001,ROW(),설정!$C$14)&amp;"","")</f>
        <v/>
      </c>
      <c r="Y691">
        <f>IFERROR(INDEX('1.산군_붙여넣기'!$A$1:$AZ$1001,ROW(),설정!$C$15)&amp;"","")</f>
        <v/>
      </c>
      <c r="Z691">
        <f>IF(T691,V691&amp;"|"&amp;U691,"")</f>
        <v/>
      </c>
    </row>
    <row r="692">
      <c r="A692">
        <f>ROW()</f>
        <v/>
      </c>
      <c r="B692">
        <f>IFERROR(INDEX('1.산군_붙여넣기'!$A$1:$AZ$1001,ROW(),설정!$C$4)&amp;"","")</f>
        <v/>
      </c>
      <c r="C692">
        <f>IFERROR(INDEX('1.산군_붙여넣기'!$A$1:$AZ$1001,ROW(),설정!$C$5)&amp;"","")</f>
        <v/>
      </c>
      <c r="D692" s="5">
        <f>IFERROR(VALUE(SUBSTITUTE(SUBSTITUTE(SUBSTITUTE(IFERROR(INDEX('1.산군_붙여넣기'!$A$1:$AZ$1001,ROW(),설정!$C$6)&amp;"",""),",",""),"㎡",""),"m2","")),"")</f>
        <v/>
      </c>
      <c r="E692">
        <f>IFERROR(INDEX('1.산군_붙여넣기'!$A$1:$AZ$1001,ROW(),설정!$C$7)&amp;"","")</f>
        <v/>
      </c>
      <c r="F692">
        <f>IFERROR(INDEX('1.산군_붙여넣기'!$A$1:$AZ$1001,ROW(),설정!$C$8)&amp;"","")</f>
        <v/>
      </c>
      <c r="G692">
        <f>IFERROR(INDEX('1.산군_붙여넣기'!$A$1:$AZ$1001,ROW(),설정!$C$9)&amp;"","")</f>
        <v/>
      </c>
      <c r="H692">
        <f>IFERROR(INDEX('1.산군_붙여넣기'!$A$1:$AZ$1001,ROW(),설정!$C$10)&amp;"","")</f>
        <v/>
      </c>
      <c r="I692">
        <f>IFERROR(INDEX('1.산군_붙여넣기'!$A$1:$AZ$1001,ROW(),설정!$C$11)&amp;"","")</f>
        <v/>
      </c>
      <c r="J692">
        <f>IFERROR(INDEX('1.산군_붙여넣기'!$A$1:$AZ$1001,ROW(),설정!$C$12)&amp;"","")</f>
        <v/>
      </c>
      <c r="K692">
        <f>IFERROR(INDEX('1.산군_붙여넣기'!$A$1:$AZ$1001,ROW(),설정!$C$13)&amp;"","")</f>
        <v/>
      </c>
      <c r="L692" s="6">
        <f>IF(X692="","",IF(AND(LEN(X692)=8,ISNUMBER(X692*1)),DATE(LEFT(X692,4),MID(X692,5,2),RIGHT(X692,2)),IFERROR(DATEVALUE(SUBSTITUTE(SUBSTITUTE(X692,".","-"),"/","-")),IFERROR(X692*1,""))))</f>
        <v/>
      </c>
      <c r="M692" s="6">
        <f>IF(Y692="","",IF(AND(LEN(Y692)=8,ISNUMBER(Y692*1)),DATE(LEFT(Y692,4),MID(Y692,5,2),RIGHT(Y692,2)),IFERROR(DATEVALUE(SUBSTITUTE(SUBSTITUTE(Y692,".","-"),"/","-")),IFERROR(Y692*1,""))))</f>
        <v/>
      </c>
      <c r="N692">
        <f>IFERROR(LEFT(B692,FIND(" ",B692)-1),B692)</f>
        <v/>
      </c>
      <c r="O692">
        <f>AND(B692&lt;&gt;"",B692&lt;&gt;설정!$B$4,C692&lt;&gt;설정!$B$5)</f>
        <v/>
      </c>
      <c r="P692">
        <f>IF(O692,B692&amp;"|"&amp;C692,"")</f>
        <v/>
      </c>
      <c r="Q692">
        <f>AND(O692,COUNTIF(P693:P$1002,P692)=0)</f>
        <v/>
      </c>
      <c r="R692">
        <f>OR(AND(설정!$A$28&lt;&gt;"",ISNUMBER(SEARCH(설정!$A$28,E692&amp;" "&amp;C692))),AND(설정!$A$29&lt;&gt;"",ISNUMBER(SEARCH(설정!$A$29,E692&amp;" "&amp;C692))),AND(설정!$A$30&lt;&gt;"",ISNUMBER(SEARCH(설정!$A$30,E692&amp;" "&amp;C692))),AND(설정!$A$31&lt;&gt;"",ISNUMBER(SEARCH(설정!$A$31,E692&amp;" "&amp;C692))),AND(설정!$A$32&lt;&gt;"",ISNUMBER(SEARCH(설정!$A$32,E692&amp;" "&amp;C692))),AND(설정!$A$33&lt;&gt;"",ISNUMBER(SEARCH(설정!$A$33,E692&amp;" "&amp;C692))),AND(설정!$A$34&lt;&gt;"",ISNUMBER(SEARCH(설정!$A$34,E692&amp;" "&amp;C692))),AND(설정!$A$35&lt;&gt;"",ISNUMBER(SEARCH(설정!$A$35,E692&amp;" "&amp;C692))),AND(설정!$A$36&lt;&gt;"",ISNUMBER(SEARCH(설정!$A$36,E692&amp;" "&amp;C692))),AND(설정!$A$37&lt;&gt;"",ISNUMBER(SEARCH(설정!$A$37,E692&amp;" "&amp;C692))))</f>
        <v/>
      </c>
      <c r="S692">
        <f>OR(D692="",D692&gt;=설정!$B$19)</f>
        <v/>
      </c>
      <c r="T692">
        <f>AND(Q692,R692,S692)</f>
        <v/>
      </c>
      <c r="U692">
        <f>IF(T692,IF(AND(설정!$A$41&lt;&gt;"",ISNUMBER(SEARCH(설정!$A$41,K692))),설정!$B$41,IF(AND(설정!$A$42&lt;&gt;"",ISNUMBER(SEARCH(설정!$A$42,K692))),설정!$B$42,IF(AND(설정!$A$43&lt;&gt;"",ISNUMBER(SEARCH(설정!$A$43,K692))),설정!$B$43,IF(AND(설정!$A$44&lt;&gt;"",ISNUMBER(SEARCH(설정!$A$44,K692))),설정!$B$44,IF(AND(설정!$A$45&lt;&gt;"",ISNUMBER(SEARCH(설정!$A$45,K692))),설정!$B$45,IF(AND(설정!$A$46&lt;&gt;"",ISNUMBER(SEARCH(설정!$A$46,K692))),설정!$B$46,IF(AND(설정!$A$47&lt;&gt;"",ISNUMBER(SEARCH(설정!$A$47,K692))),설정!$B$47,IF(AND(설정!$A$48&lt;&gt;"",ISNUMBER(SEARCH(설정!$A$48,K692))),설정!$B$48,IF(M692="","설계사","시공사"))))))))),"")</f>
        <v/>
      </c>
      <c r="V692">
        <f>SUBSTITUTE(SUBSTITUTE(SUBSTITUTE(SUBSTITUTE(G692,"(주)",""),"㈜",""),"주식회사","")," ","")</f>
        <v/>
      </c>
      <c r="W692">
        <f>IF(AND(T692,V692&lt;&gt;""),IF(COUNTIFS(V$2:V692,V692,T$2:T692,TRUE)=1,MAX(W$1:W691)+1,""),"")</f>
        <v/>
      </c>
      <c r="X692">
        <f>IFERROR(INDEX('1.산군_붙여넣기'!$A$1:$AZ$1001,ROW(),설정!$C$14)&amp;"","")</f>
        <v/>
      </c>
      <c r="Y692">
        <f>IFERROR(INDEX('1.산군_붙여넣기'!$A$1:$AZ$1001,ROW(),설정!$C$15)&amp;"","")</f>
        <v/>
      </c>
      <c r="Z692">
        <f>IF(T692,V692&amp;"|"&amp;U692,"")</f>
        <v/>
      </c>
    </row>
    <row r="693">
      <c r="A693">
        <f>ROW()</f>
        <v/>
      </c>
      <c r="B693">
        <f>IFERROR(INDEX('1.산군_붙여넣기'!$A$1:$AZ$1001,ROW(),설정!$C$4)&amp;"","")</f>
        <v/>
      </c>
      <c r="C693">
        <f>IFERROR(INDEX('1.산군_붙여넣기'!$A$1:$AZ$1001,ROW(),설정!$C$5)&amp;"","")</f>
        <v/>
      </c>
      <c r="D693" s="5">
        <f>IFERROR(VALUE(SUBSTITUTE(SUBSTITUTE(SUBSTITUTE(IFERROR(INDEX('1.산군_붙여넣기'!$A$1:$AZ$1001,ROW(),설정!$C$6)&amp;"",""),",",""),"㎡",""),"m2","")),"")</f>
        <v/>
      </c>
      <c r="E693">
        <f>IFERROR(INDEX('1.산군_붙여넣기'!$A$1:$AZ$1001,ROW(),설정!$C$7)&amp;"","")</f>
        <v/>
      </c>
      <c r="F693">
        <f>IFERROR(INDEX('1.산군_붙여넣기'!$A$1:$AZ$1001,ROW(),설정!$C$8)&amp;"","")</f>
        <v/>
      </c>
      <c r="G693">
        <f>IFERROR(INDEX('1.산군_붙여넣기'!$A$1:$AZ$1001,ROW(),설정!$C$9)&amp;"","")</f>
        <v/>
      </c>
      <c r="H693">
        <f>IFERROR(INDEX('1.산군_붙여넣기'!$A$1:$AZ$1001,ROW(),설정!$C$10)&amp;"","")</f>
        <v/>
      </c>
      <c r="I693">
        <f>IFERROR(INDEX('1.산군_붙여넣기'!$A$1:$AZ$1001,ROW(),설정!$C$11)&amp;"","")</f>
        <v/>
      </c>
      <c r="J693">
        <f>IFERROR(INDEX('1.산군_붙여넣기'!$A$1:$AZ$1001,ROW(),설정!$C$12)&amp;"","")</f>
        <v/>
      </c>
      <c r="K693">
        <f>IFERROR(INDEX('1.산군_붙여넣기'!$A$1:$AZ$1001,ROW(),설정!$C$13)&amp;"","")</f>
        <v/>
      </c>
      <c r="L693" s="6">
        <f>IF(X693="","",IF(AND(LEN(X693)=8,ISNUMBER(X693*1)),DATE(LEFT(X693,4),MID(X693,5,2),RIGHT(X693,2)),IFERROR(DATEVALUE(SUBSTITUTE(SUBSTITUTE(X693,".","-"),"/","-")),IFERROR(X693*1,""))))</f>
        <v/>
      </c>
      <c r="M693" s="6">
        <f>IF(Y693="","",IF(AND(LEN(Y693)=8,ISNUMBER(Y693*1)),DATE(LEFT(Y693,4),MID(Y693,5,2),RIGHT(Y693,2)),IFERROR(DATEVALUE(SUBSTITUTE(SUBSTITUTE(Y693,".","-"),"/","-")),IFERROR(Y693*1,""))))</f>
        <v/>
      </c>
      <c r="N693">
        <f>IFERROR(LEFT(B693,FIND(" ",B693)-1),B693)</f>
        <v/>
      </c>
      <c r="O693">
        <f>AND(B693&lt;&gt;"",B693&lt;&gt;설정!$B$4,C693&lt;&gt;설정!$B$5)</f>
        <v/>
      </c>
      <c r="P693">
        <f>IF(O693,B693&amp;"|"&amp;C693,"")</f>
        <v/>
      </c>
      <c r="Q693">
        <f>AND(O693,COUNTIF(P694:P$1002,P693)=0)</f>
        <v/>
      </c>
      <c r="R693">
        <f>OR(AND(설정!$A$28&lt;&gt;"",ISNUMBER(SEARCH(설정!$A$28,E693&amp;" "&amp;C693))),AND(설정!$A$29&lt;&gt;"",ISNUMBER(SEARCH(설정!$A$29,E693&amp;" "&amp;C693))),AND(설정!$A$30&lt;&gt;"",ISNUMBER(SEARCH(설정!$A$30,E693&amp;" "&amp;C693))),AND(설정!$A$31&lt;&gt;"",ISNUMBER(SEARCH(설정!$A$31,E693&amp;" "&amp;C693))),AND(설정!$A$32&lt;&gt;"",ISNUMBER(SEARCH(설정!$A$32,E693&amp;" "&amp;C693))),AND(설정!$A$33&lt;&gt;"",ISNUMBER(SEARCH(설정!$A$33,E693&amp;" "&amp;C693))),AND(설정!$A$34&lt;&gt;"",ISNUMBER(SEARCH(설정!$A$34,E693&amp;" "&amp;C693))),AND(설정!$A$35&lt;&gt;"",ISNUMBER(SEARCH(설정!$A$35,E693&amp;" "&amp;C693))),AND(설정!$A$36&lt;&gt;"",ISNUMBER(SEARCH(설정!$A$36,E693&amp;" "&amp;C693))),AND(설정!$A$37&lt;&gt;"",ISNUMBER(SEARCH(설정!$A$37,E693&amp;" "&amp;C693))))</f>
        <v/>
      </c>
      <c r="S693">
        <f>OR(D693="",D693&gt;=설정!$B$19)</f>
        <v/>
      </c>
      <c r="T693">
        <f>AND(Q693,R693,S693)</f>
        <v/>
      </c>
      <c r="U693">
        <f>IF(T693,IF(AND(설정!$A$41&lt;&gt;"",ISNUMBER(SEARCH(설정!$A$41,K693))),설정!$B$41,IF(AND(설정!$A$42&lt;&gt;"",ISNUMBER(SEARCH(설정!$A$42,K693))),설정!$B$42,IF(AND(설정!$A$43&lt;&gt;"",ISNUMBER(SEARCH(설정!$A$43,K693))),설정!$B$43,IF(AND(설정!$A$44&lt;&gt;"",ISNUMBER(SEARCH(설정!$A$44,K693))),설정!$B$44,IF(AND(설정!$A$45&lt;&gt;"",ISNUMBER(SEARCH(설정!$A$45,K693))),설정!$B$45,IF(AND(설정!$A$46&lt;&gt;"",ISNUMBER(SEARCH(설정!$A$46,K693))),설정!$B$46,IF(AND(설정!$A$47&lt;&gt;"",ISNUMBER(SEARCH(설정!$A$47,K693))),설정!$B$47,IF(AND(설정!$A$48&lt;&gt;"",ISNUMBER(SEARCH(설정!$A$48,K693))),설정!$B$48,IF(M693="","설계사","시공사"))))))))),"")</f>
        <v/>
      </c>
      <c r="V693">
        <f>SUBSTITUTE(SUBSTITUTE(SUBSTITUTE(SUBSTITUTE(G693,"(주)",""),"㈜",""),"주식회사","")," ","")</f>
        <v/>
      </c>
      <c r="W693">
        <f>IF(AND(T693,V693&lt;&gt;""),IF(COUNTIFS(V$2:V693,V693,T$2:T693,TRUE)=1,MAX(W$1:W692)+1,""),"")</f>
        <v/>
      </c>
      <c r="X693">
        <f>IFERROR(INDEX('1.산군_붙여넣기'!$A$1:$AZ$1001,ROW(),설정!$C$14)&amp;"","")</f>
        <v/>
      </c>
      <c r="Y693">
        <f>IFERROR(INDEX('1.산군_붙여넣기'!$A$1:$AZ$1001,ROW(),설정!$C$15)&amp;"","")</f>
        <v/>
      </c>
      <c r="Z693">
        <f>IF(T693,V693&amp;"|"&amp;U693,"")</f>
        <v/>
      </c>
    </row>
    <row r="694">
      <c r="A694">
        <f>ROW()</f>
        <v/>
      </c>
      <c r="B694">
        <f>IFERROR(INDEX('1.산군_붙여넣기'!$A$1:$AZ$1001,ROW(),설정!$C$4)&amp;"","")</f>
        <v/>
      </c>
      <c r="C694">
        <f>IFERROR(INDEX('1.산군_붙여넣기'!$A$1:$AZ$1001,ROW(),설정!$C$5)&amp;"","")</f>
        <v/>
      </c>
      <c r="D694" s="5">
        <f>IFERROR(VALUE(SUBSTITUTE(SUBSTITUTE(SUBSTITUTE(IFERROR(INDEX('1.산군_붙여넣기'!$A$1:$AZ$1001,ROW(),설정!$C$6)&amp;"",""),",",""),"㎡",""),"m2","")),"")</f>
        <v/>
      </c>
      <c r="E694">
        <f>IFERROR(INDEX('1.산군_붙여넣기'!$A$1:$AZ$1001,ROW(),설정!$C$7)&amp;"","")</f>
        <v/>
      </c>
      <c r="F694">
        <f>IFERROR(INDEX('1.산군_붙여넣기'!$A$1:$AZ$1001,ROW(),설정!$C$8)&amp;"","")</f>
        <v/>
      </c>
      <c r="G694">
        <f>IFERROR(INDEX('1.산군_붙여넣기'!$A$1:$AZ$1001,ROW(),설정!$C$9)&amp;"","")</f>
        <v/>
      </c>
      <c r="H694">
        <f>IFERROR(INDEX('1.산군_붙여넣기'!$A$1:$AZ$1001,ROW(),설정!$C$10)&amp;"","")</f>
        <v/>
      </c>
      <c r="I694">
        <f>IFERROR(INDEX('1.산군_붙여넣기'!$A$1:$AZ$1001,ROW(),설정!$C$11)&amp;"","")</f>
        <v/>
      </c>
      <c r="J694">
        <f>IFERROR(INDEX('1.산군_붙여넣기'!$A$1:$AZ$1001,ROW(),설정!$C$12)&amp;"","")</f>
        <v/>
      </c>
      <c r="K694">
        <f>IFERROR(INDEX('1.산군_붙여넣기'!$A$1:$AZ$1001,ROW(),설정!$C$13)&amp;"","")</f>
        <v/>
      </c>
      <c r="L694" s="6">
        <f>IF(X694="","",IF(AND(LEN(X694)=8,ISNUMBER(X694*1)),DATE(LEFT(X694,4),MID(X694,5,2),RIGHT(X694,2)),IFERROR(DATEVALUE(SUBSTITUTE(SUBSTITUTE(X694,".","-"),"/","-")),IFERROR(X694*1,""))))</f>
        <v/>
      </c>
      <c r="M694" s="6">
        <f>IF(Y694="","",IF(AND(LEN(Y694)=8,ISNUMBER(Y694*1)),DATE(LEFT(Y694,4),MID(Y694,5,2),RIGHT(Y694,2)),IFERROR(DATEVALUE(SUBSTITUTE(SUBSTITUTE(Y694,".","-"),"/","-")),IFERROR(Y694*1,""))))</f>
        <v/>
      </c>
      <c r="N694">
        <f>IFERROR(LEFT(B694,FIND(" ",B694)-1),B694)</f>
        <v/>
      </c>
      <c r="O694">
        <f>AND(B694&lt;&gt;"",B694&lt;&gt;설정!$B$4,C694&lt;&gt;설정!$B$5)</f>
        <v/>
      </c>
      <c r="P694">
        <f>IF(O694,B694&amp;"|"&amp;C694,"")</f>
        <v/>
      </c>
      <c r="Q694">
        <f>AND(O694,COUNTIF(P695:P$1002,P694)=0)</f>
        <v/>
      </c>
      <c r="R694">
        <f>OR(AND(설정!$A$28&lt;&gt;"",ISNUMBER(SEARCH(설정!$A$28,E694&amp;" "&amp;C694))),AND(설정!$A$29&lt;&gt;"",ISNUMBER(SEARCH(설정!$A$29,E694&amp;" "&amp;C694))),AND(설정!$A$30&lt;&gt;"",ISNUMBER(SEARCH(설정!$A$30,E694&amp;" "&amp;C694))),AND(설정!$A$31&lt;&gt;"",ISNUMBER(SEARCH(설정!$A$31,E694&amp;" "&amp;C694))),AND(설정!$A$32&lt;&gt;"",ISNUMBER(SEARCH(설정!$A$32,E694&amp;" "&amp;C694))),AND(설정!$A$33&lt;&gt;"",ISNUMBER(SEARCH(설정!$A$33,E694&amp;" "&amp;C694))),AND(설정!$A$34&lt;&gt;"",ISNUMBER(SEARCH(설정!$A$34,E694&amp;" "&amp;C694))),AND(설정!$A$35&lt;&gt;"",ISNUMBER(SEARCH(설정!$A$35,E694&amp;" "&amp;C694))),AND(설정!$A$36&lt;&gt;"",ISNUMBER(SEARCH(설정!$A$36,E694&amp;" "&amp;C694))),AND(설정!$A$37&lt;&gt;"",ISNUMBER(SEARCH(설정!$A$37,E694&amp;" "&amp;C694))))</f>
        <v/>
      </c>
      <c r="S694">
        <f>OR(D694="",D694&gt;=설정!$B$19)</f>
        <v/>
      </c>
      <c r="T694">
        <f>AND(Q694,R694,S694)</f>
        <v/>
      </c>
      <c r="U694">
        <f>IF(T694,IF(AND(설정!$A$41&lt;&gt;"",ISNUMBER(SEARCH(설정!$A$41,K694))),설정!$B$41,IF(AND(설정!$A$42&lt;&gt;"",ISNUMBER(SEARCH(설정!$A$42,K694))),설정!$B$42,IF(AND(설정!$A$43&lt;&gt;"",ISNUMBER(SEARCH(설정!$A$43,K694))),설정!$B$43,IF(AND(설정!$A$44&lt;&gt;"",ISNUMBER(SEARCH(설정!$A$44,K694))),설정!$B$44,IF(AND(설정!$A$45&lt;&gt;"",ISNUMBER(SEARCH(설정!$A$45,K694))),설정!$B$45,IF(AND(설정!$A$46&lt;&gt;"",ISNUMBER(SEARCH(설정!$A$46,K694))),설정!$B$46,IF(AND(설정!$A$47&lt;&gt;"",ISNUMBER(SEARCH(설정!$A$47,K694))),설정!$B$47,IF(AND(설정!$A$48&lt;&gt;"",ISNUMBER(SEARCH(설정!$A$48,K694))),설정!$B$48,IF(M694="","설계사","시공사"))))))))),"")</f>
        <v/>
      </c>
      <c r="V694">
        <f>SUBSTITUTE(SUBSTITUTE(SUBSTITUTE(SUBSTITUTE(G694,"(주)",""),"㈜",""),"주식회사","")," ","")</f>
        <v/>
      </c>
      <c r="W694">
        <f>IF(AND(T694,V694&lt;&gt;""),IF(COUNTIFS(V$2:V694,V694,T$2:T694,TRUE)=1,MAX(W$1:W693)+1,""),"")</f>
        <v/>
      </c>
      <c r="X694">
        <f>IFERROR(INDEX('1.산군_붙여넣기'!$A$1:$AZ$1001,ROW(),설정!$C$14)&amp;"","")</f>
        <v/>
      </c>
      <c r="Y694">
        <f>IFERROR(INDEX('1.산군_붙여넣기'!$A$1:$AZ$1001,ROW(),설정!$C$15)&amp;"","")</f>
        <v/>
      </c>
      <c r="Z694">
        <f>IF(T694,V694&amp;"|"&amp;U694,"")</f>
        <v/>
      </c>
    </row>
    <row r="695">
      <c r="A695">
        <f>ROW()</f>
        <v/>
      </c>
      <c r="B695">
        <f>IFERROR(INDEX('1.산군_붙여넣기'!$A$1:$AZ$1001,ROW(),설정!$C$4)&amp;"","")</f>
        <v/>
      </c>
      <c r="C695">
        <f>IFERROR(INDEX('1.산군_붙여넣기'!$A$1:$AZ$1001,ROW(),설정!$C$5)&amp;"","")</f>
        <v/>
      </c>
      <c r="D695" s="5">
        <f>IFERROR(VALUE(SUBSTITUTE(SUBSTITUTE(SUBSTITUTE(IFERROR(INDEX('1.산군_붙여넣기'!$A$1:$AZ$1001,ROW(),설정!$C$6)&amp;"",""),",",""),"㎡",""),"m2","")),"")</f>
        <v/>
      </c>
      <c r="E695">
        <f>IFERROR(INDEX('1.산군_붙여넣기'!$A$1:$AZ$1001,ROW(),설정!$C$7)&amp;"","")</f>
        <v/>
      </c>
      <c r="F695">
        <f>IFERROR(INDEX('1.산군_붙여넣기'!$A$1:$AZ$1001,ROW(),설정!$C$8)&amp;"","")</f>
        <v/>
      </c>
      <c r="G695">
        <f>IFERROR(INDEX('1.산군_붙여넣기'!$A$1:$AZ$1001,ROW(),설정!$C$9)&amp;"","")</f>
        <v/>
      </c>
      <c r="H695">
        <f>IFERROR(INDEX('1.산군_붙여넣기'!$A$1:$AZ$1001,ROW(),설정!$C$10)&amp;"","")</f>
        <v/>
      </c>
      <c r="I695">
        <f>IFERROR(INDEX('1.산군_붙여넣기'!$A$1:$AZ$1001,ROW(),설정!$C$11)&amp;"","")</f>
        <v/>
      </c>
      <c r="J695">
        <f>IFERROR(INDEX('1.산군_붙여넣기'!$A$1:$AZ$1001,ROW(),설정!$C$12)&amp;"","")</f>
        <v/>
      </c>
      <c r="K695">
        <f>IFERROR(INDEX('1.산군_붙여넣기'!$A$1:$AZ$1001,ROW(),설정!$C$13)&amp;"","")</f>
        <v/>
      </c>
      <c r="L695" s="6">
        <f>IF(X695="","",IF(AND(LEN(X695)=8,ISNUMBER(X695*1)),DATE(LEFT(X695,4),MID(X695,5,2),RIGHT(X695,2)),IFERROR(DATEVALUE(SUBSTITUTE(SUBSTITUTE(X695,".","-"),"/","-")),IFERROR(X695*1,""))))</f>
        <v/>
      </c>
      <c r="M695" s="6">
        <f>IF(Y695="","",IF(AND(LEN(Y695)=8,ISNUMBER(Y695*1)),DATE(LEFT(Y695,4),MID(Y695,5,2),RIGHT(Y695,2)),IFERROR(DATEVALUE(SUBSTITUTE(SUBSTITUTE(Y695,".","-"),"/","-")),IFERROR(Y695*1,""))))</f>
        <v/>
      </c>
      <c r="N695">
        <f>IFERROR(LEFT(B695,FIND(" ",B695)-1),B695)</f>
        <v/>
      </c>
      <c r="O695">
        <f>AND(B695&lt;&gt;"",B695&lt;&gt;설정!$B$4,C695&lt;&gt;설정!$B$5)</f>
        <v/>
      </c>
      <c r="P695">
        <f>IF(O695,B695&amp;"|"&amp;C695,"")</f>
        <v/>
      </c>
      <c r="Q695">
        <f>AND(O695,COUNTIF(P696:P$1002,P695)=0)</f>
        <v/>
      </c>
      <c r="R695">
        <f>OR(AND(설정!$A$28&lt;&gt;"",ISNUMBER(SEARCH(설정!$A$28,E695&amp;" "&amp;C695))),AND(설정!$A$29&lt;&gt;"",ISNUMBER(SEARCH(설정!$A$29,E695&amp;" "&amp;C695))),AND(설정!$A$30&lt;&gt;"",ISNUMBER(SEARCH(설정!$A$30,E695&amp;" "&amp;C695))),AND(설정!$A$31&lt;&gt;"",ISNUMBER(SEARCH(설정!$A$31,E695&amp;" "&amp;C695))),AND(설정!$A$32&lt;&gt;"",ISNUMBER(SEARCH(설정!$A$32,E695&amp;" "&amp;C695))),AND(설정!$A$33&lt;&gt;"",ISNUMBER(SEARCH(설정!$A$33,E695&amp;" "&amp;C695))),AND(설정!$A$34&lt;&gt;"",ISNUMBER(SEARCH(설정!$A$34,E695&amp;" "&amp;C695))),AND(설정!$A$35&lt;&gt;"",ISNUMBER(SEARCH(설정!$A$35,E695&amp;" "&amp;C695))),AND(설정!$A$36&lt;&gt;"",ISNUMBER(SEARCH(설정!$A$36,E695&amp;" "&amp;C695))),AND(설정!$A$37&lt;&gt;"",ISNUMBER(SEARCH(설정!$A$37,E695&amp;" "&amp;C695))))</f>
        <v/>
      </c>
      <c r="S695">
        <f>OR(D695="",D695&gt;=설정!$B$19)</f>
        <v/>
      </c>
      <c r="T695">
        <f>AND(Q695,R695,S695)</f>
        <v/>
      </c>
      <c r="U695">
        <f>IF(T695,IF(AND(설정!$A$41&lt;&gt;"",ISNUMBER(SEARCH(설정!$A$41,K695))),설정!$B$41,IF(AND(설정!$A$42&lt;&gt;"",ISNUMBER(SEARCH(설정!$A$42,K695))),설정!$B$42,IF(AND(설정!$A$43&lt;&gt;"",ISNUMBER(SEARCH(설정!$A$43,K695))),설정!$B$43,IF(AND(설정!$A$44&lt;&gt;"",ISNUMBER(SEARCH(설정!$A$44,K695))),설정!$B$44,IF(AND(설정!$A$45&lt;&gt;"",ISNUMBER(SEARCH(설정!$A$45,K695))),설정!$B$45,IF(AND(설정!$A$46&lt;&gt;"",ISNUMBER(SEARCH(설정!$A$46,K695))),설정!$B$46,IF(AND(설정!$A$47&lt;&gt;"",ISNUMBER(SEARCH(설정!$A$47,K695))),설정!$B$47,IF(AND(설정!$A$48&lt;&gt;"",ISNUMBER(SEARCH(설정!$A$48,K695))),설정!$B$48,IF(M695="","설계사","시공사"))))))))),"")</f>
        <v/>
      </c>
      <c r="V695">
        <f>SUBSTITUTE(SUBSTITUTE(SUBSTITUTE(SUBSTITUTE(G695,"(주)",""),"㈜",""),"주식회사","")," ","")</f>
        <v/>
      </c>
      <c r="W695">
        <f>IF(AND(T695,V695&lt;&gt;""),IF(COUNTIFS(V$2:V695,V695,T$2:T695,TRUE)=1,MAX(W$1:W694)+1,""),"")</f>
        <v/>
      </c>
      <c r="X695">
        <f>IFERROR(INDEX('1.산군_붙여넣기'!$A$1:$AZ$1001,ROW(),설정!$C$14)&amp;"","")</f>
        <v/>
      </c>
      <c r="Y695">
        <f>IFERROR(INDEX('1.산군_붙여넣기'!$A$1:$AZ$1001,ROW(),설정!$C$15)&amp;"","")</f>
        <v/>
      </c>
      <c r="Z695">
        <f>IF(T695,V695&amp;"|"&amp;U695,"")</f>
        <v/>
      </c>
    </row>
    <row r="696">
      <c r="A696">
        <f>ROW()</f>
        <v/>
      </c>
      <c r="B696">
        <f>IFERROR(INDEX('1.산군_붙여넣기'!$A$1:$AZ$1001,ROW(),설정!$C$4)&amp;"","")</f>
        <v/>
      </c>
      <c r="C696">
        <f>IFERROR(INDEX('1.산군_붙여넣기'!$A$1:$AZ$1001,ROW(),설정!$C$5)&amp;"","")</f>
        <v/>
      </c>
      <c r="D696" s="5">
        <f>IFERROR(VALUE(SUBSTITUTE(SUBSTITUTE(SUBSTITUTE(IFERROR(INDEX('1.산군_붙여넣기'!$A$1:$AZ$1001,ROW(),설정!$C$6)&amp;"",""),",",""),"㎡",""),"m2","")),"")</f>
        <v/>
      </c>
      <c r="E696">
        <f>IFERROR(INDEX('1.산군_붙여넣기'!$A$1:$AZ$1001,ROW(),설정!$C$7)&amp;"","")</f>
        <v/>
      </c>
      <c r="F696">
        <f>IFERROR(INDEX('1.산군_붙여넣기'!$A$1:$AZ$1001,ROW(),설정!$C$8)&amp;"","")</f>
        <v/>
      </c>
      <c r="G696">
        <f>IFERROR(INDEX('1.산군_붙여넣기'!$A$1:$AZ$1001,ROW(),설정!$C$9)&amp;"","")</f>
        <v/>
      </c>
      <c r="H696">
        <f>IFERROR(INDEX('1.산군_붙여넣기'!$A$1:$AZ$1001,ROW(),설정!$C$10)&amp;"","")</f>
        <v/>
      </c>
      <c r="I696">
        <f>IFERROR(INDEX('1.산군_붙여넣기'!$A$1:$AZ$1001,ROW(),설정!$C$11)&amp;"","")</f>
        <v/>
      </c>
      <c r="J696">
        <f>IFERROR(INDEX('1.산군_붙여넣기'!$A$1:$AZ$1001,ROW(),설정!$C$12)&amp;"","")</f>
        <v/>
      </c>
      <c r="K696">
        <f>IFERROR(INDEX('1.산군_붙여넣기'!$A$1:$AZ$1001,ROW(),설정!$C$13)&amp;"","")</f>
        <v/>
      </c>
      <c r="L696" s="6">
        <f>IF(X696="","",IF(AND(LEN(X696)=8,ISNUMBER(X696*1)),DATE(LEFT(X696,4),MID(X696,5,2),RIGHT(X696,2)),IFERROR(DATEVALUE(SUBSTITUTE(SUBSTITUTE(X696,".","-"),"/","-")),IFERROR(X696*1,""))))</f>
        <v/>
      </c>
      <c r="M696" s="6">
        <f>IF(Y696="","",IF(AND(LEN(Y696)=8,ISNUMBER(Y696*1)),DATE(LEFT(Y696,4),MID(Y696,5,2),RIGHT(Y696,2)),IFERROR(DATEVALUE(SUBSTITUTE(SUBSTITUTE(Y696,".","-"),"/","-")),IFERROR(Y696*1,""))))</f>
        <v/>
      </c>
      <c r="N696">
        <f>IFERROR(LEFT(B696,FIND(" ",B696)-1),B696)</f>
        <v/>
      </c>
      <c r="O696">
        <f>AND(B696&lt;&gt;"",B696&lt;&gt;설정!$B$4,C696&lt;&gt;설정!$B$5)</f>
        <v/>
      </c>
      <c r="P696">
        <f>IF(O696,B696&amp;"|"&amp;C696,"")</f>
        <v/>
      </c>
      <c r="Q696">
        <f>AND(O696,COUNTIF(P697:P$1002,P696)=0)</f>
        <v/>
      </c>
      <c r="R696">
        <f>OR(AND(설정!$A$28&lt;&gt;"",ISNUMBER(SEARCH(설정!$A$28,E696&amp;" "&amp;C696))),AND(설정!$A$29&lt;&gt;"",ISNUMBER(SEARCH(설정!$A$29,E696&amp;" "&amp;C696))),AND(설정!$A$30&lt;&gt;"",ISNUMBER(SEARCH(설정!$A$30,E696&amp;" "&amp;C696))),AND(설정!$A$31&lt;&gt;"",ISNUMBER(SEARCH(설정!$A$31,E696&amp;" "&amp;C696))),AND(설정!$A$32&lt;&gt;"",ISNUMBER(SEARCH(설정!$A$32,E696&amp;" "&amp;C696))),AND(설정!$A$33&lt;&gt;"",ISNUMBER(SEARCH(설정!$A$33,E696&amp;" "&amp;C696))),AND(설정!$A$34&lt;&gt;"",ISNUMBER(SEARCH(설정!$A$34,E696&amp;" "&amp;C696))),AND(설정!$A$35&lt;&gt;"",ISNUMBER(SEARCH(설정!$A$35,E696&amp;" "&amp;C696))),AND(설정!$A$36&lt;&gt;"",ISNUMBER(SEARCH(설정!$A$36,E696&amp;" "&amp;C696))),AND(설정!$A$37&lt;&gt;"",ISNUMBER(SEARCH(설정!$A$37,E696&amp;" "&amp;C696))))</f>
        <v/>
      </c>
      <c r="S696">
        <f>OR(D696="",D696&gt;=설정!$B$19)</f>
        <v/>
      </c>
      <c r="T696">
        <f>AND(Q696,R696,S696)</f>
        <v/>
      </c>
      <c r="U696">
        <f>IF(T696,IF(AND(설정!$A$41&lt;&gt;"",ISNUMBER(SEARCH(설정!$A$41,K696))),설정!$B$41,IF(AND(설정!$A$42&lt;&gt;"",ISNUMBER(SEARCH(설정!$A$42,K696))),설정!$B$42,IF(AND(설정!$A$43&lt;&gt;"",ISNUMBER(SEARCH(설정!$A$43,K696))),설정!$B$43,IF(AND(설정!$A$44&lt;&gt;"",ISNUMBER(SEARCH(설정!$A$44,K696))),설정!$B$44,IF(AND(설정!$A$45&lt;&gt;"",ISNUMBER(SEARCH(설정!$A$45,K696))),설정!$B$45,IF(AND(설정!$A$46&lt;&gt;"",ISNUMBER(SEARCH(설정!$A$46,K696))),설정!$B$46,IF(AND(설정!$A$47&lt;&gt;"",ISNUMBER(SEARCH(설정!$A$47,K696))),설정!$B$47,IF(AND(설정!$A$48&lt;&gt;"",ISNUMBER(SEARCH(설정!$A$48,K696))),설정!$B$48,IF(M696="","설계사","시공사"))))))))),"")</f>
        <v/>
      </c>
      <c r="V696">
        <f>SUBSTITUTE(SUBSTITUTE(SUBSTITUTE(SUBSTITUTE(G696,"(주)",""),"㈜",""),"주식회사","")," ","")</f>
        <v/>
      </c>
      <c r="W696">
        <f>IF(AND(T696,V696&lt;&gt;""),IF(COUNTIFS(V$2:V696,V696,T$2:T696,TRUE)=1,MAX(W$1:W695)+1,""),"")</f>
        <v/>
      </c>
      <c r="X696">
        <f>IFERROR(INDEX('1.산군_붙여넣기'!$A$1:$AZ$1001,ROW(),설정!$C$14)&amp;"","")</f>
        <v/>
      </c>
      <c r="Y696">
        <f>IFERROR(INDEX('1.산군_붙여넣기'!$A$1:$AZ$1001,ROW(),설정!$C$15)&amp;"","")</f>
        <v/>
      </c>
      <c r="Z696">
        <f>IF(T696,V696&amp;"|"&amp;U696,"")</f>
        <v/>
      </c>
    </row>
    <row r="697">
      <c r="A697">
        <f>ROW()</f>
        <v/>
      </c>
      <c r="B697">
        <f>IFERROR(INDEX('1.산군_붙여넣기'!$A$1:$AZ$1001,ROW(),설정!$C$4)&amp;"","")</f>
        <v/>
      </c>
      <c r="C697">
        <f>IFERROR(INDEX('1.산군_붙여넣기'!$A$1:$AZ$1001,ROW(),설정!$C$5)&amp;"","")</f>
        <v/>
      </c>
      <c r="D697" s="5">
        <f>IFERROR(VALUE(SUBSTITUTE(SUBSTITUTE(SUBSTITUTE(IFERROR(INDEX('1.산군_붙여넣기'!$A$1:$AZ$1001,ROW(),설정!$C$6)&amp;"",""),",",""),"㎡",""),"m2","")),"")</f>
        <v/>
      </c>
      <c r="E697">
        <f>IFERROR(INDEX('1.산군_붙여넣기'!$A$1:$AZ$1001,ROW(),설정!$C$7)&amp;"","")</f>
        <v/>
      </c>
      <c r="F697">
        <f>IFERROR(INDEX('1.산군_붙여넣기'!$A$1:$AZ$1001,ROW(),설정!$C$8)&amp;"","")</f>
        <v/>
      </c>
      <c r="G697">
        <f>IFERROR(INDEX('1.산군_붙여넣기'!$A$1:$AZ$1001,ROW(),설정!$C$9)&amp;"","")</f>
        <v/>
      </c>
      <c r="H697">
        <f>IFERROR(INDEX('1.산군_붙여넣기'!$A$1:$AZ$1001,ROW(),설정!$C$10)&amp;"","")</f>
        <v/>
      </c>
      <c r="I697">
        <f>IFERROR(INDEX('1.산군_붙여넣기'!$A$1:$AZ$1001,ROW(),설정!$C$11)&amp;"","")</f>
        <v/>
      </c>
      <c r="J697">
        <f>IFERROR(INDEX('1.산군_붙여넣기'!$A$1:$AZ$1001,ROW(),설정!$C$12)&amp;"","")</f>
        <v/>
      </c>
      <c r="K697">
        <f>IFERROR(INDEX('1.산군_붙여넣기'!$A$1:$AZ$1001,ROW(),설정!$C$13)&amp;"","")</f>
        <v/>
      </c>
      <c r="L697" s="6">
        <f>IF(X697="","",IF(AND(LEN(X697)=8,ISNUMBER(X697*1)),DATE(LEFT(X697,4),MID(X697,5,2),RIGHT(X697,2)),IFERROR(DATEVALUE(SUBSTITUTE(SUBSTITUTE(X697,".","-"),"/","-")),IFERROR(X697*1,""))))</f>
        <v/>
      </c>
      <c r="M697" s="6">
        <f>IF(Y697="","",IF(AND(LEN(Y697)=8,ISNUMBER(Y697*1)),DATE(LEFT(Y697,4),MID(Y697,5,2),RIGHT(Y697,2)),IFERROR(DATEVALUE(SUBSTITUTE(SUBSTITUTE(Y697,".","-"),"/","-")),IFERROR(Y697*1,""))))</f>
        <v/>
      </c>
      <c r="N697">
        <f>IFERROR(LEFT(B697,FIND(" ",B697)-1),B697)</f>
        <v/>
      </c>
      <c r="O697">
        <f>AND(B697&lt;&gt;"",B697&lt;&gt;설정!$B$4,C697&lt;&gt;설정!$B$5)</f>
        <v/>
      </c>
      <c r="P697">
        <f>IF(O697,B697&amp;"|"&amp;C697,"")</f>
        <v/>
      </c>
      <c r="Q697">
        <f>AND(O697,COUNTIF(P698:P$1002,P697)=0)</f>
        <v/>
      </c>
      <c r="R697">
        <f>OR(AND(설정!$A$28&lt;&gt;"",ISNUMBER(SEARCH(설정!$A$28,E697&amp;" "&amp;C697))),AND(설정!$A$29&lt;&gt;"",ISNUMBER(SEARCH(설정!$A$29,E697&amp;" "&amp;C697))),AND(설정!$A$30&lt;&gt;"",ISNUMBER(SEARCH(설정!$A$30,E697&amp;" "&amp;C697))),AND(설정!$A$31&lt;&gt;"",ISNUMBER(SEARCH(설정!$A$31,E697&amp;" "&amp;C697))),AND(설정!$A$32&lt;&gt;"",ISNUMBER(SEARCH(설정!$A$32,E697&amp;" "&amp;C697))),AND(설정!$A$33&lt;&gt;"",ISNUMBER(SEARCH(설정!$A$33,E697&amp;" "&amp;C697))),AND(설정!$A$34&lt;&gt;"",ISNUMBER(SEARCH(설정!$A$34,E697&amp;" "&amp;C697))),AND(설정!$A$35&lt;&gt;"",ISNUMBER(SEARCH(설정!$A$35,E697&amp;" "&amp;C697))),AND(설정!$A$36&lt;&gt;"",ISNUMBER(SEARCH(설정!$A$36,E697&amp;" "&amp;C697))),AND(설정!$A$37&lt;&gt;"",ISNUMBER(SEARCH(설정!$A$37,E697&amp;" "&amp;C697))))</f>
        <v/>
      </c>
      <c r="S697">
        <f>OR(D697="",D697&gt;=설정!$B$19)</f>
        <v/>
      </c>
      <c r="T697">
        <f>AND(Q697,R697,S697)</f>
        <v/>
      </c>
      <c r="U697">
        <f>IF(T697,IF(AND(설정!$A$41&lt;&gt;"",ISNUMBER(SEARCH(설정!$A$41,K697))),설정!$B$41,IF(AND(설정!$A$42&lt;&gt;"",ISNUMBER(SEARCH(설정!$A$42,K697))),설정!$B$42,IF(AND(설정!$A$43&lt;&gt;"",ISNUMBER(SEARCH(설정!$A$43,K697))),설정!$B$43,IF(AND(설정!$A$44&lt;&gt;"",ISNUMBER(SEARCH(설정!$A$44,K697))),설정!$B$44,IF(AND(설정!$A$45&lt;&gt;"",ISNUMBER(SEARCH(설정!$A$45,K697))),설정!$B$45,IF(AND(설정!$A$46&lt;&gt;"",ISNUMBER(SEARCH(설정!$A$46,K697))),설정!$B$46,IF(AND(설정!$A$47&lt;&gt;"",ISNUMBER(SEARCH(설정!$A$47,K697))),설정!$B$47,IF(AND(설정!$A$48&lt;&gt;"",ISNUMBER(SEARCH(설정!$A$48,K697))),설정!$B$48,IF(M697="","설계사","시공사"))))))))),"")</f>
        <v/>
      </c>
      <c r="V697">
        <f>SUBSTITUTE(SUBSTITUTE(SUBSTITUTE(SUBSTITUTE(G697,"(주)",""),"㈜",""),"주식회사","")," ","")</f>
        <v/>
      </c>
      <c r="W697">
        <f>IF(AND(T697,V697&lt;&gt;""),IF(COUNTIFS(V$2:V697,V697,T$2:T697,TRUE)=1,MAX(W$1:W696)+1,""),"")</f>
        <v/>
      </c>
      <c r="X697">
        <f>IFERROR(INDEX('1.산군_붙여넣기'!$A$1:$AZ$1001,ROW(),설정!$C$14)&amp;"","")</f>
        <v/>
      </c>
      <c r="Y697">
        <f>IFERROR(INDEX('1.산군_붙여넣기'!$A$1:$AZ$1001,ROW(),설정!$C$15)&amp;"","")</f>
        <v/>
      </c>
      <c r="Z697">
        <f>IF(T697,V697&amp;"|"&amp;U697,"")</f>
        <v/>
      </c>
    </row>
    <row r="698">
      <c r="A698">
        <f>ROW()</f>
        <v/>
      </c>
      <c r="B698">
        <f>IFERROR(INDEX('1.산군_붙여넣기'!$A$1:$AZ$1001,ROW(),설정!$C$4)&amp;"","")</f>
        <v/>
      </c>
      <c r="C698">
        <f>IFERROR(INDEX('1.산군_붙여넣기'!$A$1:$AZ$1001,ROW(),설정!$C$5)&amp;"","")</f>
        <v/>
      </c>
      <c r="D698" s="5">
        <f>IFERROR(VALUE(SUBSTITUTE(SUBSTITUTE(SUBSTITUTE(IFERROR(INDEX('1.산군_붙여넣기'!$A$1:$AZ$1001,ROW(),설정!$C$6)&amp;"",""),",",""),"㎡",""),"m2","")),"")</f>
        <v/>
      </c>
      <c r="E698">
        <f>IFERROR(INDEX('1.산군_붙여넣기'!$A$1:$AZ$1001,ROW(),설정!$C$7)&amp;"","")</f>
        <v/>
      </c>
      <c r="F698">
        <f>IFERROR(INDEX('1.산군_붙여넣기'!$A$1:$AZ$1001,ROW(),설정!$C$8)&amp;"","")</f>
        <v/>
      </c>
      <c r="G698">
        <f>IFERROR(INDEX('1.산군_붙여넣기'!$A$1:$AZ$1001,ROW(),설정!$C$9)&amp;"","")</f>
        <v/>
      </c>
      <c r="H698">
        <f>IFERROR(INDEX('1.산군_붙여넣기'!$A$1:$AZ$1001,ROW(),설정!$C$10)&amp;"","")</f>
        <v/>
      </c>
      <c r="I698">
        <f>IFERROR(INDEX('1.산군_붙여넣기'!$A$1:$AZ$1001,ROW(),설정!$C$11)&amp;"","")</f>
        <v/>
      </c>
      <c r="J698">
        <f>IFERROR(INDEX('1.산군_붙여넣기'!$A$1:$AZ$1001,ROW(),설정!$C$12)&amp;"","")</f>
        <v/>
      </c>
      <c r="K698">
        <f>IFERROR(INDEX('1.산군_붙여넣기'!$A$1:$AZ$1001,ROW(),설정!$C$13)&amp;"","")</f>
        <v/>
      </c>
      <c r="L698" s="6">
        <f>IF(X698="","",IF(AND(LEN(X698)=8,ISNUMBER(X698*1)),DATE(LEFT(X698,4),MID(X698,5,2),RIGHT(X698,2)),IFERROR(DATEVALUE(SUBSTITUTE(SUBSTITUTE(X698,".","-"),"/","-")),IFERROR(X698*1,""))))</f>
        <v/>
      </c>
      <c r="M698" s="6">
        <f>IF(Y698="","",IF(AND(LEN(Y698)=8,ISNUMBER(Y698*1)),DATE(LEFT(Y698,4),MID(Y698,5,2),RIGHT(Y698,2)),IFERROR(DATEVALUE(SUBSTITUTE(SUBSTITUTE(Y698,".","-"),"/","-")),IFERROR(Y698*1,""))))</f>
        <v/>
      </c>
      <c r="N698">
        <f>IFERROR(LEFT(B698,FIND(" ",B698)-1),B698)</f>
        <v/>
      </c>
      <c r="O698">
        <f>AND(B698&lt;&gt;"",B698&lt;&gt;설정!$B$4,C698&lt;&gt;설정!$B$5)</f>
        <v/>
      </c>
      <c r="P698">
        <f>IF(O698,B698&amp;"|"&amp;C698,"")</f>
        <v/>
      </c>
      <c r="Q698">
        <f>AND(O698,COUNTIF(P699:P$1002,P698)=0)</f>
        <v/>
      </c>
      <c r="R698">
        <f>OR(AND(설정!$A$28&lt;&gt;"",ISNUMBER(SEARCH(설정!$A$28,E698&amp;" "&amp;C698))),AND(설정!$A$29&lt;&gt;"",ISNUMBER(SEARCH(설정!$A$29,E698&amp;" "&amp;C698))),AND(설정!$A$30&lt;&gt;"",ISNUMBER(SEARCH(설정!$A$30,E698&amp;" "&amp;C698))),AND(설정!$A$31&lt;&gt;"",ISNUMBER(SEARCH(설정!$A$31,E698&amp;" "&amp;C698))),AND(설정!$A$32&lt;&gt;"",ISNUMBER(SEARCH(설정!$A$32,E698&amp;" "&amp;C698))),AND(설정!$A$33&lt;&gt;"",ISNUMBER(SEARCH(설정!$A$33,E698&amp;" "&amp;C698))),AND(설정!$A$34&lt;&gt;"",ISNUMBER(SEARCH(설정!$A$34,E698&amp;" "&amp;C698))),AND(설정!$A$35&lt;&gt;"",ISNUMBER(SEARCH(설정!$A$35,E698&amp;" "&amp;C698))),AND(설정!$A$36&lt;&gt;"",ISNUMBER(SEARCH(설정!$A$36,E698&amp;" "&amp;C698))),AND(설정!$A$37&lt;&gt;"",ISNUMBER(SEARCH(설정!$A$37,E698&amp;" "&amp;C698))))</f>
        <v/>
      </c>
      <c r="S698">
        <f>OR(D698="",D698&gt;=설정!$B$19)</f>
        <v/>
      </c>
      <c r="T698">
        <f>AND(Q698,R698,S698)</f>
        <v/>
      </c>
      <c r="U698">
        <f>IF(T698,IF(AND(설정!$A$41&lt;&gt;"",ISNUMBER(SEARCH(설정!$A$41,K698))),설정!$B$41,IF(AND(설정!$A$42&lt;&gt;"",ISNUMBER(SEARCH(설정!$A$42,K698))),설정!$B$42,IF(AND(설정!$A$43&lt;&gt;"",ISNUMBER(SEARCH(설정!$A$43,K698))),설정!$B$43,IF(AND(설정!$A$44&lt;&gt;"",ISNUMBER(SEARCH(설정!$A$44,K698))),설정!$B$44,IF(AND(설정!$A$45&lt;&gt;"",ISNUMBER(SEARCH(설정!$A$45,K698))),설정!$B$45,IF(AND(설정!$A$46&lt;&gt;"",ISNUMBER(SEARCH(설정!$A$46,K698))),설정!$B$46,IF(AND(설정!$A$47&lt;&gt;"",ISNUMBER(SEARCH(설정!$A$47,K698))),설정!$B$47,IF(AND(설정!$A$48&lt;&gt;"",ISNUMBER(SEARCH(설정!$A$48,K698))),설정!$B$48,IF(M698="","설계사","시공사"))))))))),"")</f>
        <v/>
      </c>
      <c r="V698">
        <f>SUBSTITUTE(SUBSTITUTE(SUBSTITUTE(SUBSTITUTE(G698,"(주)",""),"㈜",""),"주식회사","")," ","")</f>
        <v/>
      </c>
      <c r="W698">
        <f>IF(AND(T698,V698&lt;&gt;""),IF(COUNTIFS(V$2:V698,V698,T$2:T698,TRUE)=1,MAX(W$1:W697)+1,""),"")</f>
        <v/>
      </c>
      <c r="X698">
        <f>IFERROR(INDEX('1.산군_붙여넣기'!$A$1:$AZ$1001,ROW(),설정!$C$14)&amp;"","")</f>
        <v/>
      </c>
      <c r="Y698">
        <f>IFERROR(INDEX('1.산군_붙여넣기'!$A$1:$AZ$1001,ROW(),설정!$C$15)&amp;"","")</f>
        <v/>
      </c>
      <c r="Z698">
        <f>IF(T698,V698&amp;"|"&amp;U698,"")</f>
        <v/>
      </c>
    </row>
    <row r="699">
      <c r="A699">
        <f>ROW()</f>
        <v/>
      </c>
      <c r="B699">
        <f>IFERROR(INDEX('1.산군_붙여넣기'!$A$1:$AZ$1001,ROW(),설정!$C$4)&amp;"","")</f>
        <v/>
      </c>
      <c r="C699">
        <f>IFERROR(INDEX('1.산군_붙여넣기'!$A$1:$AZ$1001,ROW(),설정!$C$5)&amp;"","")</f>
        <v/>
      </c>
      <c r="D699" s="5">
        <f>IFERROR(VALUE(SUBSTITUTE(SUBSTITUTE(SUBSTITUTE(IFERROR(INDEX('1.산군_붙여넣기'!$A$1:$AZ$1001,ROW(),설정!$C$6)&amp;"",""),",",""),"㎡",""),"m2","")),"")</f>
        <v/>
      </c>
      <c r="E699">
        <f>IFERROR(INDEX('1.산군_붙여넣기'!$A$1:$AZ$1001,ROW(),설정!$C$7)&amp;"","")</f>
        <v/>
      </c>
      <c r="F699">
        <f>IFERROR(INDEX('1.산군_붙여넣기'!$A$1:$AZ$1001,ROW(),설정!$C$8)&amp;"","")</f>
        <v/>
      </c>
      <c r="G699">
        <f>IFERROR(INDEX('1.산군_붙여넣기'!$A$1:$AZ$1001,ROW(),설정!$C$9)&amp;"","")</f>
        <v/>
      </c>
      <c r="H699">
        <f>IFERROR(INDEX('1.산군_붙여넣기'!$A$1:$AZ$1001,ROW(),설정!$C$10)&amp;"","")</f>
        <v/>
      </c>
      <c r="I699">
        <f>IFERROR(INDEX('1.산군_붙여넣기'!$A$1:$AZ$1001,ROW(),설정!$C$11)&amp;"","")</f>
        <v/>
      </c>
      <c r="J699">
        <f>IFERROR(INDEX('1.산군_붙여넣기'!$A$1:$AZ$1001,ROW(),설정!$C$12)&amp;"","")</f>
        <v/>
      </c>
      <c r="K699">
        <f>IFERROR(INDEX('1.산군_붙여넣기'!$A$1:$AZ$1001,ROW(),설정!$C$13)&amp;"","")</f>
        <v/>
      </c>
      <c r="L699" s="6">
        <f>IF(X699="","",IF(AND(LEN(X699)=8,ISNUMBER(X699*1)),DATE(LEFT(X699,4),MID(X699,5,2),RIGHT(X699,2)),IFERROR(DATEVALUE(SUBSTITUTE(SUBSTITUTE(X699,".","-"),"/","-")),IFERROR(X699*1,""))))</f>
        <v/>
      </c>
      <c r="M699" s="6">
        <f>IF(Y699="","",IF(AND(LEN(Y699)=8,ISNUMBER(Y699*1)),DATE(LEFT(Y699,4),MID(Y699,5,2),RIGHT(Y699,2)),IFERROR(DATEVALUE(SUBSTITUTE(SUBSTITUTE(Y699,".","-"),"/","-")),IFERROR(Y699*1,""))))</f>
        <v/>
      </c>
      <c r="N699">
        <f>IFERROR(LEFT(B699,FIND(" ",B699)-1),B699)</f>
        <v/>
      </c>
      <c r="O699">
        <f>AND(B699&lt;&gt;"",B699&lt;&gt;설정!$B$4,C699&lt;&gt;설정!$B$5)</f>
        <v/>
      </c>
      <c r="P699">
        <f>IF(O699,B699&amp;"|"&amp;C699,"")</f>
        <v/>
      </c>
      <c r="Q699">
        <f>AND(O699,COUNTIF(P700:P$1002,P699)=0)</f>
        <v/>
      </c>
      <c r="R699">
        <f>OR(AND(설정!$A$28&lt;&gt;"",ISNUMBER(SEARCH(설정!$A$28,E699&amp;" "&amp;C699))),AND(설정!$A$29&lt;&gt;"",ISNUMBER(SEARCH(설정!$A$29,E699&amp;" "&amp;C699))),AND(설정!$A$30&lt;&gt;"",ISNUMBER(SEARCH(설정!$A$30,E699&amp;" "&amp;C699))),AND(설정!$A$31&lt;&gt;"",ISNUMBER(SEARCH(설정!$A$31,E699&amp;" "&amp;C699))),AND(설정!$A$32&lt;&gt;"",ISNUMBER(SEARCH(설정!$A$32,E699&amp;" "&amp;C699))),AND(설정!$A$33&lt;&gt;"",ISNUMBER(SEARCH(설정!$A$33,E699&amp;" "&amp;C699))),AND(설정!$A$34&lt;&gt;"",ISNUMBER(SEARCH(설정!$A$34,E699&amp;" "&amp;C699))),AND(설정!$A$35&lt;&gt;"",ISNUMBER(SEARCH(설정!$A$35,E699&amp;" "&amp;C699))),AND(설정!$A$36&lt;&gt;"",ISNUMBER(SEARCH(설정!$A$36,E699&amp;" "&amp;C699))),AND(설정!$A$37&lt;&gt;"",ISNUMBER(SEARCH(설정!$A$37,E699&amp;" "&amp;C699))))</f>
        <v/>
      </c>
      <c r="S699">
        <f>OR(D699="",D699&gt;=설정!$B$19)</f>
        <v/>
      </c>
      <c r="T699">
        <f>AND(Q699,R699,S699)</f>
        <v/>
      </c>
      <c r="U699">
        <f>IF(T699,IF(AND(설정!$A$41&lt;&gt;"",ISNUMBER(SEARCH(설정!$A$41,K699))),설정!$B$41,IF(AND(설정!$A$42&lt;&gt;"",ISNUMBER(SEARCH(설정!$A$42,K699))),설정!$B$42,IF(AND(설정!$A$43&lt;&gt;"",ISNUMBER(SEARCH(설정!$A$43,K699))),설정!$B$43,IF(AND(설정!$A$44&lt;&gt;"",ISNUMBER(SEARCH(설정!$A$44,K699))),설정!$B$44,IF(AND(설정!$A$45&lt;&gt;"",ISNUMBER(SEARCH(설정!$A$45,K699))),설정!$B$45,IF(AND(설정!$A$46&lt;&gt;"",ISNUMBER(SEARCH(설정!$A$46,K699))),설정!$B$46,IF(AND(설정!$A$47&lt;&gt;"",ISNUMBER(SEARCH(설정!$A$47,K699))),설정!$B$47,IF(AND(설정!$A$48&lt;&gt;"",ISNUMBER(SEARCH(설정!$A$48,K699))),설정!$B$48,IF(M699="","설계사","시공사"))))))))),"")</f>
        <v/>
      </c>
      <c r="V699">
        <f>SUBSTITUTE(SUBSTITUTE(SUBSTITUTE(SUBSTITUTE(G699,"(주)",""),"㈜",""),"주식회사","")," ","")</f>
        <v/>
      </c>
      <c r="W699">
        <f>IF(AND(T699,V699&lt;&gt;""),IF(COUNTIFS(V$2:V699,V699,T$2:T699,TRUE)=1,MAX(W$1:W698)+1,""),"")</f>
        <v/>
      </c>
      <c r="X699">
        <f>IFERROR(INDEX('1.산군_붙여넣기'!$A$1:$AZ$1001,ROW(),설정!$C$14)&amp;"","")</f>
        <v/>
      </c>
      <c r="Y699">
        <f>IFERROR(INDEX('1.산군_붙여넣기'!$A$1:$AZ$1001,ROW(),설정!$C$15)&amp;"","")</f>
        <v/>
      </c>
      <c r="Z699">
        <f>IF(T699,V699&amp;"|"&amp;U699,"")</f>
        <v/>
      </c>
    </row>
    <row r="700">
      <c r="A700">
        <f>ROW()</f>
        <v/>
      </c>
      <c r="B700">
        <f>IFERROR(INDEX('1.산군_붙여넣기'!$A$1:$AZ$1001,ROW(),설정!$C$4)&amp;"","")</f>
        <v/>
      </c>
      <c r="C700">
        <f>IFERROR(INDEX('1.산군_붙여넣기'!$A$1:$AZ$1001,ROW(),설정!$C$5)&amp;"","")</f>
        <v/>
      </c>
      <c r="D700" s="5">
        <f>IFERROR(VALUE(SUBSTITUTE(SUBSTITUTE(SUBSTITUTE(IFERROR(INDEX('1.산군_붙여넣기'!$A$1:$AZ$1001,ROW(),설정!$C$6)&amp;"",""),",",""),"㎡",""),"m2","")),"")</f>
        <v/>
      </c>
      <c r="E700">
        <f>IFERROR(INDEX('1.산군_붙여넣기'!$A$1:$AZ$1001,ROW(),설정!$C$7)&amp;"","")</f>
        <v/>
      </c>
      <c r="F700">
        <f>IFERROR(INDEX('1.산군_붙여넣기'!$A$1:$AZ$1001,ROW(),설정!$C$8)&amp;"","")</f>
        <v/>
      </c>
      <c r="G700">
        <f>IFERROR(INDEX('1.산군_붙여넣기'!$A$1:$AZ$1001,ROW(),설정!$C$9)&amp;"","")</f>
        <v/>
      </c>
      <c r="H700">
        <f>IFERROR(INDEX('1.산군_붙여넣기'!$A$1:$AZ$1001,ROW(),설정!$C$10)&amp;"","")</f>
        <v/>
      </c>
      <c r="I700">
        <f>IFERROR(INDEX('1.산군_붙여넣기'!$A$1:$AZ$1001,ROW(),설정!$C$11)&amp;"","")</f>
        <v/>
      </c>
      <c r="J700">
        <f>IFERROR(INDEX('1.산군_붙여넣기'!$A$1:$AZ$1001,ROW(),설정!$C$12)&amp;"","")</f>
        <v/>
      </c>
      <c r="K700">
        <f>IFERROR(INDEX('1.산군_붙여넣기'!$A$1:$AZ$1001,ROW(),설정!$C$13)&amp;"","")</f>
        <v/>
      </c>
      <c r="L700" s="6">
        <f>IF(X700="","",IF(AND(LEN(X700)=8,ISNUMBER(X700*1)),DATE(LEFT(X700,4),MID(X700,5,2),RIGHT(X700,2)),IFERROR(DATEVALUE(SUBSTITUTE(SUBSTITUTE(X700,".","-"),"/","-")),IFERROR(X700*1,""))))</f>
        <v/>
      </c>
      <c r="M700" s="6">
        <f>IF(Y700="","",IF(AND(LEN(Y700)=8,ISNUMBER(Y700*1)),DATE(LEFT(Y700,4),MID(Y700,5,2),RIGHT(Y700,2)),IFERROR(DATEVALUE(SUBSTITUTE(SUBSTITUTE(Y700,".","-"),"/","-")),IFERROR(Y700*1,""))))</f>
        <v/>
      </c>
      <c r="N700">
        <f>IFERROR(LEFT(B700,FIND(" ",B700)-1),B700)</f>
        <v/>
      </c>
      <c r="O700">
        <f>AND(B700&lt;&gt;"",B700&lt;&gt;설정!$B$4,C700&lt;&gt;설정!$B$5)</f>
        <v/>
      </c>
      <c r="P700">
        <f>IF(O700,B700&amp;"|"&amp;C700,"")</f>
        <v/>
      </c>
      <c r="Q700">
        <f>AND(O700,COUNTIF(P701:P$1002,P700)=0)</f>
        <v/>
      </c>
      <c r="R700">
        <f>OR(AND(설정!$A$28&lt;&gt;"",ISNUMBER(SEARCH(설정!$A$28,E700&amp;" "&amp;C700))),AND(설정!$A$29&lt;&gt;"",ISNUMBER(SEARCH(설정!$A$29,E700&amp;" "&amp;C700))),AND(설정!$A$30&lt;&gt;"",ISNUMBER(SEARCH(설정!$A$30,E700&amp;" "&amp;C700))),AND(설정!$A$31&lt;&gt;"",ISNUMBER(SEARCH(설정!$A$31,E700&amp;" "&amp;C700))),AND(설정!$A$32&lt;&gt;"",ISNUMBER(SEARCH(설정!$A$32,E700&amp;" "&amp;C700))),AND(설정!$A$33&lt;&gt;"",ISNUMBER(SEARCH(설정!$A$33,E700&amp;" "&amp;C700))),AND(설정!$A$34&lt;&gt;"",ISNUMBER(SEARCH(설정!$A$34,E700&amp;" "&amp;C700))),AND(설정!$A$35&lt;&gt;"",ISNUMBER(SEARCH(설정!$A$35,E700&amp;" "&amp;C700))),AND(설정!$A$36&lt;&gt;"",ISNUMBER(SEARCH(설정!$A$36,E700&amp;" "&amp;C700))),AND(설정!$A$37&lt;&gt;"",ISNUMBER(SEARCH(설정!$A$37,E700&amp;" "&amp;C700))))</f>
        <v/>
      </c>
      <c r="S700">
        <f>OR(D700="",D700&gt;=설정!$B$19)</f>
        <v/>
      </c>
      <c r="T700">
        <f>AND(Q700,R700,S700)</f>
        <v/>
      </c>
      <c r="U700">
        <f>IF(T700,IF(AND(설정!$A$41&lt;&gt;"",ISNUMBER(SEARCH(설정!$A$41,K700))),설정!$B$41,IF(AND(설정!$A$42&lt;&gt;"",ISNUMBER(SEARCH(설정!$A$42,K700))),설정!$B$42,IF(AND(설정!$A$43&lt;&gt;"",ISNUMBER(SEARCH(설정!$A$43,K700))),설정!$B$43,IF(AND(설정!$A$44&lt;&gt;"",ISNUMBER(SEARCH(설정!$A$44,K700))),설정!$B$44,IF(AND(설정!$A$45&lt;&gt;"",ISNUMBER(SEARCH(설정!$A$45,K700))),설정!$B$45,IF(AND(설정!$A$46&lt;&gt;"",ISNUMBER(SEARCH(설정!$A$46,K700))),설정!$B$46,IF(AND(설정!$A$47&lt;&gt;"",ISNUMBER(SEARCH(설정!$A$47,K700))),설정!$B$47,IF(AND(설정!$A$48&lt;&gt;"",ISNUMBER(SEARCH(설정!$A$48,K700))),설정!$B$48,IF(M700="","설계사","시공사"))))))))),"")</f>
        <v/>
      </c>
      <c r="V700">
        <f>SUBSTITUTE(SUBSTITUTE(SUBSTITUTE(SUBSTITUTE(G700,"(주)",""),"㈜",""),"주식회사","")," ","")</f>
        <v/>
      </c>
      <c r="W700">
        <f>IF(AND(T700,V700&lt;&gt;""),IF(COUNTIFS(V$2:V700,V700,T$2:T700,TRUE)=1,MAX(W$1:W699)+1,""),"")</f>
        <v/>
      </c>
      <c r="X700">
        <f>IFERROR(INDEX('1.산군_붙여넣기'!$A$1:$AZ$1001,ROW(),설정!$C$14)&amp;"","")</f>
        <v/>
      </c>
      <c r="Y700">
        <f>IFERROR(INDEX('1.산군_붙여넣기'!$A$1:$AZ$1001,ROW(),설정!$C$15)&amp;"","")</f>
        <v/>
      </c>
      <c r="Z700">
        <f>IF(T700,V700&amp;"|"&amp;U700,"")</f>
        <v/>
      </c>
    </row>
    <row r="701">
      <c r="A701">
        <f>ROW()</f>
        <v/>
      </c>
      <c r="B701">
        <f>IFERROR(INDEX('1.산군_붙여넣기'!$A$1:$AZ$1001,ROW(),설정!$C$4)&amp;"","")</f>
        <v/>
      </c>
      <c r="C701">
        <f>IFERROR(INDEX('1.산군_붙여넣기'!$A$1:$AZ$1001,ROW(),설정!$C$5)&amp;"","")</f>
        <v/>
      </c>
      <c r="D701" s="5">
        <f>IFERROR(VALUE(SUBSTITUTE(SUBSTITUTE(SUBSTITUTE(IFERROR(INDEX('1.산군_붙여넣기'!$A$1:$AZ$1001,ROW(),설정!$C$6)&amp;"",""),",",""),"㎡",""),"m2","")),"")</f>
        <v/>
      </c>
      <c r="E701">
        <f>IFERROR(INDEX('1.산군_붙여넣기'!$A$1:$AZ$1001,ROW(),설정!$C$7)&amp;"","")</f>
        <v/>
      </c>
      <c r="F701">
        <f>IFERROR(INDEX('1.산군_붙여넣기'!$A$1:$AZ$1001,ROW(),설정!$C$8)&amp;"","")</f>
        <v/>
      </c>
      <c r="G701">
        <f>IFERROR(INDEX('1.산군_붙여넣기'!$A$1:$AZ$1001,ROW(),설정!$C$9)&amp;"","")</f>
        <v/>
      </c>
      <c r="H701">
        <f>IFERROR(INDEX('1.산군_붙여넣기'!$A$1:$AZ$1001,ROW(),설정!$C$10)&amp;"","")</f>
        <v/>
      </c>
      <c r="I701">
        <f>IFERROR(INDEX('1.산군_붙여넣기'!$A$1:$AZ$1001,ROW(),설정!$C$11)&amp;"","")</f>
        <v/>
      </c>
      <c r="J701">
        <f>IFERROR(INDEX('1.산군_붙여넣기'!$A$1:$AZ$1001,ROW(),설정!$C$12)&amp;"","")</f>
        <v/>
      </c>
      <c r="K701">
        <f>IFERROR(INDEX('1.산군_붙여넣기'!$A$1:$AZ$1001,ROW(),설정!$C$13)&amp;"","")</f>
        <v/>
      </c>
      <c r="L701" s="6">
        <f>IF(X701="","",IF(AND(LEN(X701)=8,ISNUMBER(X701*1)),DATE(LEFT(X701,4),MID(X701,5,2),RIGHT(X701,2)),IFERROR(DATEVALUE(SUBSTITUTE(SUBSTITUTE(X701,".","-"),"/","-")),IFERROR(X701*1,""))))</f>
        <v/>
      </c>
      <c r="M701" s="6">
        <f>IF(Y701="","",IF(AND(LEN(Y701)=8,ISNUMBER(Y701*1)),DATE(LEFT(Y701,4),MID(Y701,5,2),RIGHT(Y701,2)),IFERROR(DATEVALUE(SUBSTITUTE(SUBSTITUTE(Y701,".","-"),"/","-")),IFERROR(Y701*1,""))))</f>
        <v/>
      </c>
      <c r="N701">
        <f>IFERROR(LEFT(B701,FIND(" ",B701)-1),B701)</f>
        <v/>
      </c>
      <c r="O701">
        <f>AND(B701&lt;&gt;"",B701&lt;&gt;설정!$B$4,C701&lt;&gt;설정!$B$5)</f>
        <v/>
      </c>
      <c r="P701">
        <f>IF(O701,B701&amp;"|"&amp;C701,"")</f>
        <v/>
      </c>
      <c r="Q701">
        <f>AND(O701,COUNTIF(P702:P$1002,P701)=0)</f>
        <v/>
      </c>
      <c r="R701">
        <f>OR(AND(설정!$A$28&lt;&gt;"",ISNUMBER(SEARCH(설정!$A$28,E701&amp;" "&amp;C701))),AND(설정!$A$29&lt;&gt;"",ISNUMBER(SEARCH(설정!$A$29,E701&amp;" "&amp;C701))),AND(설정!$A$30&lt;&gt;"",ISNUMBER(SEARCH(설정!$A$30,E701&amp;" "&amp;C701))),AND(설정!$A$31&lt;&gt;"",ISNUMBER(SEARCH(설정!$A$31,E701&amp;" "&amp;C701))),AND(설정!$A$32&lt;&gt;"",ISNUMBER(SEARCH(설정!$A$32,E701&amp;" "&amp;C701))),AND(설정!$A$33&lt;&gt;"",ISNUMBER(SEARCH(설정!$A$33,E701&amp;" "&amp;C701))),AND(설정!$A$34&lt;&gt;"",ISNUMBER(SEARCH(설정!$A$34,E701&amp;" "&amp;C701))),AND(설정!$A$35&lt;&gt;"",ISNUMBER(SEARCH(설정!$A$35,E701&amp;" "&amp;C701))),AND(설정!$A$36&lt;&gt;"",ISNUMBER(SEARCH(설정!$A$36,E701&amp;" "&amp;C701))),AND(설정!$A$37&lt;&gt;"",ISNUMBER(SEARCH(설정!$A$37,E701&amp;" "&amp;C701))))</f>
        <v/>
      </c>
      <c r="S701">
        <f>OR(D701="",D701&gt;=설정!$B$19)</f>
        <v/>
      </c>
      <c r="T701">
        <f>AND(Q701,R701,S701)</f>
        <v/>
      </c>
      <c r="U701">
        <f>IF(T701,IF(AND(설정!$A$41&lt;&gt;"",ISNUMBER(SEARCH(설정!$A$41,K701))),설정!$B$41,IF(AND(설정!$A$42&lt;&gt;"",ISNUMBER(SEARCH(설정!$A$42,K701))),설정!$B$42,IF(AND(설정!$A$43&lt;&gt;"",ISNUMBER(SEARCH(설정!$A$43,K701))),설정!$B$43,IF(AND(설정!$A$44&lt;&gt;"",ISNUMBER(SEARCH(설정!$A$44,K701))),설정!$B$44,IF(AND(설정!$A$45&lt;&gt;"",ISNUMBER(SEARCH(설정!$A$45,K701))),설정!$B$45,IF(AND(설정!$A$46&lt;&gt;"",ISNUMBER(SEARCH(설정!$A$46,K701))),설정!$B$46,IF(AND(설정!$A$47&lt;&gt;"",ISNUMBER(SEARCH(설정!$A$47,K701))),설정!$B$47,IF(AND(설정!$A$48&lt;&gt;"",ISNUMBER(SEARCH(설정!$A$48,K701))),설정!$B$48,IF(M701="","설계사","시공사"))))))))),"")</f>
        <v/>
      </c>
      <c r="V701">
        <f>SUBSTITUTE(SUBSTITUTE(SUBSTITUTE(SUBSTITUTE(G701,"(주)",""),"㈜",""),"주식회사","")," ","")</f>
        <v/>
      </c>
      <c r="W701">
        <f>IF(AND(T701,V701&lt;&gt;""),IF(COUNTIFS(V$2:V701,V701,T$2:T701,TRUE)=1,MAX(W$1:W700)+1,""),"")</f>
        <v/>
      </c>
      <c r="X701">
        <f>IFERROR(INDEX('1.산군_붙여넣기'!$A$1:$AZ$1001,ROW(),설정!$C$14)&amp;"","")</f>
        <v/>
      </c>
      <c r="Y701">
        <f>IFERROR(INDEX('1.산군_붙여넣기'!$A$1:$AZ$1001,ROW(),설정!$C$15)&amp;"","")</f>
        <v/>
      </c>
      <c r="Z701">
        <f>IF(T701,V701&amp;"|"&amp;U701,"")</f>
        <v/>
      </c>
    </row>
    <row r="702">
      <c r="A702">
        <f>ROW()</f>
        <v/>
      </c>
      <c r="B702">
        <f>IFERROR(INDEX('1.산군_붙여넣기'!$A$1:$AZ$1001,ROW(),설정!$C$4)&amp;"","")</f>
        <v/>
      </c>
      <c r="C702">
        <f>IFERROR(INDEX('1.산군_붙여넣기'!$A$1:$AZ$1001,ROW(),설정!$C$5)&amp;"","")</f>
        <v/>
      </c>
      <c r="D702" s="5">
        <f>IFERROR(VALUE(SUBSTITUTE(SUBSTITUTE(SUBSTITUTE(IFERROR(INDEX('1.산군_붙여넣기'!$A$1:$AZ$1001,ROW(),설정!$C$6)&amp;"",""),",",""),"㎡",""),"m2","")),"")</f>
        <v/>
      </c>
      <c r="E702">
        <f>IFERROR(INDEX('1.산군_붙여넣기'!$A$1:$AZ$1001,ROW(),설정!$C$7)&amp;"","")</f>
        <v/>
      </c>
      <c r="F702">
        <f>IFERROR(INDEX('1.산군_붙여넣기'!$A$1:$AZ$1001,ROW(),설정!$C$8)&amp;"","")</f>
        <v/>
      </c>
      <c r="G702">
        <f>IFERROR(INDEX('1.산군_붙여넣기'!$A$1:$AZ$1001,ROW(),설정!$C$9)&amp;"","")</f>
        <v/>
      </c>
      <c r="H702">
        <f>IFERROR(INDEX('1.산군_붙여넣기'!$A$1:$AZ$1001,ROW(),설정!$C$10)&amp;"","")</f>
        <v/>
      </c>
      <c r="I702">
        <f>IFERROR(INDEX('1.산군_붙여넣기'!$A$1:$AZ$1001,ROW(),설정!$C$11)&amp;"","")</f>
        <v/>
      </c>
      <c r="J702">
        <f>IFERROR(INDEX('1.산군_붙여넣기'!$A$1:$AZ$1001,ROW(),설정!$C$12)&amp;"","")</f>
        <v/>
      </c>
      <c r="K702">
        <f>IFERROR(INDEX('1.산군_붙여넣기'!$A$1:$AZ$1001,ROW(),설정!$C$13)&amp;"","")</f>
        <v/>
      </c>
      <c r="L702" s="6">
        <f>IF(X702="","",IF(AND(LEN(X702)=8,ISNUMBER(X702*1)),DATE(LEFT(X702,4),MID(X702,5,2),RIGHT(X702,2)),IFERROR(DATEVALUE(SUBSTITUTE(SUBSTITUTE(X702,".","-"),"/","-")),IFERROR(X702*1,""))))</f>
        <v/>
      </c>
      <c r="M702" s="6">
        <f>IF(Y702="","",IF(AND(LEN(Y702)=8,ISNUMBER(Y702*1)),DATE(LEFT(Y702,4),MID(Y702,5,2),RIGHT(Y702,2)),IFERROR(DATEVALUE(SUBSTITUTE(SUBSTITUTE(Y702,".","-"),"/","-")),IFERROR(Y702*1,""))))</f>
        <v/>
      </c>
      <c r="N702">
        <f>IFERROR(LEFT(B702,FIND(" ",B702)-1),B702)</f>
        <v/>
      </c>
      <c r="O702">
        <f>AND(B702&lt;&gt;"",B702&lt;&gt;설정!$B$4,C702&lt;&gt;설정!$B$5)</f>
        <v/>
      </c>
      <c r="P702">
        <f>IF(O702,B702&amp;"|"&amp;C702,"")</f>
        <v/>
      </c>
      <c r="Q702">
        <f>AND(O702,COUNTIF(P703:P$1002,P702)=0)</f>
        <v/>
      </c>
      <c r="R702">
        <f>OR(AND(설정!$A$28&lt;&gt;"",ISNUMBER(SEARCH(설정!$A$28,E702&amp;" "&amp;C702))),AND(설정!$A$29&lt;&gt;"",ISNUMBER(SEARCH(설정!$A$29,E702&amp;" "&amp;C702))),AND(설정!$A$30&lt;&gt;"",ISNUMBER(SEARCH(설정!$A$30,E702&amp;" "&amp;C702))),AND(설정!$A$31&lt;&gt;"",ISNUMBER(SEARCH(설정!$A$31,E702&amp;" "&amp;C702))),AND(설정!$A$32&lt;&gt;"",ISNUMBER(SEARCH(설정!$A$32,E702&amp;" "&amp;C702))),AND(설정!$A$33&lt;&gt;"",ISNUMBER(SEARCH(설정!$A$33,E702&amp;" "&amp;C702))),AND(설정!$A$34&lt;&gt;"",ISNUMBER(SEARCH(설정!$A$34,E702&amp;" "&amp;C702))),AND(설정!$A$35&lt;&gt;"",ISNUMBER(SEARCH(설정!$A$35,E702&amp;" "&amp;C702))),AND(설정!$A$36&lt;&gt;"",ISNUMBER(SEARCH(설정!$A$36,E702&amp;" "&amp;C702))),AND(설정!$A$37&lt;&gt;"",ISNUMBER(SEARCH(설정!$A$37,E702&amp;" "&amp;C702))))</f>
        <v/>
      </c>
      <c r="S702">
        <f>OR(D702="",D702&gt;=설정!$B$19)</f>
        <v/>
      </c>
      <c r="T702">
        <f>AND(Q702,R702,S702)</f>
        <v/>
      </c>
      <c r="U702">
        <f>IF(T702,IF(AND(설정!$A$41&lt;&gt;"",ISNUMBER(SEARCH(설정!$A$41,K702))),설정!$B$41,IF(AND(설정!$A$42&lt;&gt;"",ISNUMBER(SEARCH(설정!$A$42,K702))),설정!$B$42,IF(AND(설정!$A$43&lt;&gt;"",ISNUMBER(SEARCH(설정!$A$43,K702))),설정!$B$43,IF(AND(설정!$A$44&lt;&gt;"",ISNUMBER(SEARCH(설정!$A$44,K702))),설정!$B$44,IF(AND(설정!$A$45&lt;&gt;"",ISNUMBER(SEARCH(설정!$A$45,K702))),설정!$B$45,IF(AND(설정!$A$46&lt;&gt;"",ISNUMBER(SEARCH(설정!$A$46,K702))),설정!$B$46,IF(AND(설정!$A$47&lt;&gt;"",ISNUMBER(SEARCH(설정!$A$47,K702))),설정!$B$47,IF(AND(설정!$A$48&lt;&gt;"",ISNUMBER(SEARCH(설정!$A$48,K702))),설정!$B$48,IF(M702="","설계사","시공사"))))))))),"")</f>
        <v/>
      </c>
      <c r="V702">
        <f>SUBSTITUTE(SUBSTITUTE(SUBSTITUTE(SUBSTITUTE(G702,"(주)",""),"㈜",""),"주식회사","")," ","")</f>
        <v/>
      </c>
      <c r="W702">
        <f>IF(AND(T702,V702&lt;&gt;""),IF(COUNTIFS(V$2:V702,V702,T$2:T702,TRUE)=1,MAX(W$1:W701)+1,""),"")</f>
        <v/>
      </c>
      <c r="X702">
        <f>IFERROR(INDEX('1.산군_붙여넣기'!$A$1:$AZ$1001,ROW(),설정!$C$14)&amp;"","")</f>
        <v/>
      </c>
      <c r="Y702">
        <f>IFERROR(INDEX('1.산군_붙여넣기'!$A$1:$AZ$1001,ROW(),설정!$C$15)&amp;"","")</f>
        <v/>
      </c>
      <c r="Z702">
        <f>IF(T702,V702&amp;"|"&amp;U702,"")</f>
        <v/>
      </c>
    </row>
    <row r="703">
      <c r="A703">
        <f>ROW()</f>
        <v/>
      </c>
      <c r="B703">
        <f>IFERROR(INDEX('1.산군_붙여넣기'!$A$1:$AZ$1001,ROW(),설정!$C$4)&amp;"","")</f>
        <v/>
      </c>
      <c r="C703">
        <f>IFERROR(INDEX('1.산군_붙여넣기'!$A$1:$AZ$1001,ROW(),설정!$C$5)&amp;"","")</f>
        <v/>
      </c>
      <c r="D703" s="5">
        <f>IFERROR(VALUE(SUBSTITUTE(SUBSTITUTE(SUBSTITUTE(IFERROR(INDEX('1.산군_붙여넣기'!$A$1:$AZ$1001,ROW(),설정!$C$6)&amp;"",""),",",""),"㎡",""),"m2","")),"")</f>
        <v/>
      </c>
      <c r="E703">
        <f>IFERROR(INDEX('1.산군_붙여넣기'!$A$1:$AZ$1001,ROW(),설정!$C$7)&amp;"","")</f>
        <v/>
      </c>
      <c r="F703">
        <f>IFERROR(INDEX('1.산군_붙여넣기'!$A$1:$AZ$1001,ROW(),설정!$C$8)&amp;"","")</f>
        <v/>
      </c>
      <c r="G703">
        <f>IFERROR(INDEX('1.산군_붙여넣기'!$A$1:$AZ$1001,ROW(),설정!$C$9)&amp;"","")</f>
        <v/>
      </c>
      <c r="H703">
        <f>IFERROR(INDEX('1.산군_붙여넣기'!$A$1:$AZ$1001,ROW(),설정!$C$10)&amp;"","")</f>
        <v/>
      </c>
      <c r="I703">
        <f>IFERROR(INDEX('1.산군_붙여넣기'!$A$1:$AZ$1001,ROW(),설정!$C$11)&amp;"","")</f>
        <v/>
      </c>
      <c r="J703">
        <f>IFERROR(INDEX('1.산군_붙여넣기'!$A$1:$AZ$1001,ROW(),설정!$C$12)&amp;"","")</f>
        <v/>
      </c>
      <c r="K703">
        <f>IFERROR(INDEX('1.산군_붙여넣기'!$A$1:$AZ$1001,ROW(),설정!$C$13)&amp;"","")</f>
        <v/>
      </c>
      <c r="L703" s="6">
        <f>IF(X703="","",IF(AND(LEN(X703)=8,ISNUMBER(X703*1)),DATE(LEFT(X703,4),MID(X703,5,2),RIGHT(X703,2)),IFERROR(DATEVALUE(SUBSTITUTE(SUBSTITUTE(X703,".","-"),"/","-")),IFERROR(X703*1,""))))</f>
        <v/>
      </c>
      <c r="M703" s="6">
        <f>IF(Y703="","",IF(AND(LEN(Y703)=8,ISNUMBER(Y703*1)),DATE(LEFT(Y703,4),MID(Y703,5,2),RIGHT(Y703,2)),IFERROR(DATEVALUE(SUBSTITUTE(SUBSTITUTE(Y703,".","-"),"/","-")),IFERROR(Y703*1,""))))</f>
        <v/>
      </c>
      <c r="N703">
        <f>IFERROR(LEFT(B703,FIND(" ",B703)-1),B703)</f>
        <v/>
      </c>
      <c r="O703">
        <f>AND(B703&lt;&gt;"",B703&lt;&gt;설정!$B$4,C703&lt;&gt;설정!$B$5)</f>
        <v/>
      </c>
      <c r="P703">
        <f>IF(O703,B703&amp;"|"&amp;C703,"")</f>
        <v/>
      </c>
      <c r="Q703">
        <f>AND(O703,COUNTIF(P704:P$1002,P703)=0)</f>
        <v/>
      </c>
      <c r="R703">
        <f>OR(AND(설정!$A$28&lt;&gt;"",ISNUMBER(SEARCH(설정!$A$28,E703&amp;" "&amp;C703))),AND(설정!$A$29&lt;&gt;"",ISNUMBER(SEARCH(설정!$A$29,E703&amp;" "&amp;C703))),AND(설정!$A$30&lt;&gt;"",ISNUMBER(SEARCH(설정!$A$30,E703&amp;" "&amp;C703))),AND(설정!$A$31&lt;&gt;"",ISNUMBER(SEARCH(설정!$A$31,E703&amp;" "&amp;C703))),AND(설정!$A$32&lt;&gt;"",ISNUMBER(SEARCH(설정!$A$32,E703&amp;" "&amp;C703))),AND(설정!$A$33&lt;&gt;"",ISNUMBER(SEARCH(설정!$A$33,E703&amp;" "&amp;C703))),AND(설정!$A$34&lt;&gt;"",ISNUMBER(SEARCH(설정!$A$34,E703&amp;" "&amp;C703))),AND(설정!$A$35&lt;&gt;"",ISNUMBER(SEARCH(설정!$A$35,E703&amp;" "&amp;C703))),AND(설정!$A$36&lt;&gt;"",ISNUMBER(SEARCH(설정!$A$36,E703&amp;" "&amp;C703))),AND(설정!$A$37&lt;&gt;"",ISNUMBER(SEARCH(설정!$A$37,E703&amp;" "&amp;C703))))</f>
        <v/>
      </c>
      <c r="S703">
        <f>OR(D703="",D703&gt;=설정!$B$19)</f>
        <v/>
      </c>
      <c r="T703">
        <f>AND(Q703,R703,S703)</f>
        <v/>
      </c>
      <c r="U703">
        <f>IF(T703,IF(AND(설정!$A$41&lt;&gt;"",ISNUMBER(SEARCH(설정!$A$41,K703))),설정!$B$41,IF(AND(설정!$A$42&lt;&gt;"",ISNUMBER(SEARCH(설정!$A$42,K703))),설정!$B$42,IF(AND(설정!$A$43&lt;&gt;"",ISNUMBER(SEARCH(설정!$A$43,K703))),설정!$B$43,IF(AND(설정!$A$44&lt;&gt;"",ISNUMBER(SEARCH(설정!$A$44,K703))),설정!$B$44,IF(AND(설정!$A$45&lt;&gt;"",ISNUMBER(SEARCH(설정!$A$45,K703))),설정!$B$45,IF(AND(설정!$A$46&lt;&gt;"",ISNUMBER(SEARCH(설정!$A$46,K703))),설정!$B$46,IF(AND(설정!$A$47&lt;&gt;"",ISNUMBER(SEARCH(설정!$A$47,K703))),설정!$B$47,IF(AND(설정!$A$48&lt;&gt;"",ISNUMBER(SEARCH(설정!$A$48,K703))),설정!$B$48,IF(M703="","설계사","시공사"))))))))),"")</f>
        <v/>
      </c>
      <c r="V703">
        <f>SUBSTITUTE(SUBSTITUTE(SUBSTITUTE(SUBSTITUTE(G703,"(주)",""),"㈜",""),"주식회사","")," ","")</f>
        <v/>
      </c>
      <c r="W703">
        <f>IF(AND(T703,V703&lt;&gt;""),IF(COUNTIFS(V$2:V703,V703,T$2:T703,TRUE)=1,MAX(W$1:W702)+1,""),"")</f>
        <v/>
      </c>
      <c r="X703">
        <f>IFERROR(INDEX('1.산군_붙여넣기'!$A$1:$AZ$1001,ROW(),설정!$C$14)&amp;"","")</f>
        <v/>
      </c>
      <c r="Y703">
        <f>IFERROR(INDEX('1.산군_붙여넣기'!$A$1:$AZ$1001,ROW(),설정!$C$15)&amp;"","")</f>
        <v/>
      </c>
      <c r="Z703">
        <f>IF(T703,V703&amp;"|"&amp;U703,"")</f>
        <v/>
      </c>
    </row>
    <row r="704">
      <c r="A704">
        <f>ROW()</f>
        <v/>
      </c>
      <c r="B704">
        <f>IFERROR(INDEX('1.산군_붙여넣기'!$A$1:$AZ$1001,ROW(),설정!$C$4)&amp;"","")</f>
        <v/>
      </c>
      <c r="C704">
        <f>IFERROR(INDEX('1.산군_붙여넣기'!$A$1:$AZ$1001,ROW(),설정!$C$5)&amp;"","")</f>
        <v/>
      </c>
      <c r="D704" s="5">
        <f>IFERROR(VALUE(SUBSTITUTE(SUBSTITUTE(SUBSTITUTE(IFERROR(INDEX('1.산군_붙여넣기'!$A$1:$AZ$1001,ROW(),설정!$C$6)&amp;"",""),",",""),"㎡",""),"m2","")),"")</f>
        <v/>
      </c>
      <c r="E704">
        <f>IFERROR(INDEX('1.산군_붙여넣기'!$A$1:$AZ$1001,ROW(),설정!$C$7)&amp;"","")</f>
        <v/>
      </c>
      <c r="F704">
        <f>IFERROR(INDEX('1.산군_붙여넣기'!$A$1:$AZ$1001,ROW(),설정!$C$8)&amp;"","")</f>
        <v/>
      </c>
      <c r="G704">
        <f>IFERROR(INDEX('1.산군_붙여넣기'!$A$1:$AZ$1001,ROW(),설정!$C$9)&amp;"","")</f>
        <v/>
      </c>
      <c r="H704">
        <f>IFERROR(INDEX('1.산군_붙여넣기'!$A$1:$AZ$1001,ROW(),설정!$C$10)&amp;"","")</f>
        <v/>
      </c>
      <c r="I704">
        <f>IFERROR(INDEX('1.산군_붙여넣기'!$A$1:$AZ$1001,ROW(),설정!$C$11)&amp;"","")</f>
        <v/>
      </c>
      <c r="J704">
        <f>IFERROR(INDEX('1.산군_붙여넣기'!$A$1:$AZ$1001,ROW(),설정!$C$12)&amp;"","")</f>
        <v/>
      </c>
      <c r="K704">
        <f>IFERROR(INDEX('1.산군_붙여넣기'!$A$1:$AZ$1001,ROW(),설정!$C$13)&amp;"","")</f>
        <v/>
      </c>
      <c r="L704" s="6">
        <f>IF(X704="","",IF(AND(LEN(X704)=8,ISNUMBER(X704*1)),DATE(LEFT(X704,4),MID(X704,5,2),RIGHT(X704,2)),IFERROR(DATEVALUE(SUBSTITUTE(SUBSTITUTE(X704,".","-"),"/","-")),IFERROR(X704*1,""))))</f>
        <v/>
      </c>
      <c r="M704" s="6">
        <f>IF(Y704="","",IF(AND(LEN(Y704)=8,ISNUMBER(Y704*1)),DATE(LEFT(Y704,4),MID(Y704,5,2),RIGHT(Y704,2)),IFERROR(DATEVALUE(SUBSTITUTE(SUBSTITUTE(Y704,".","-"),"/","-")),IFERROR(Y704*1,""))))</f>
        <v/>
      </c>
      <c r="N704">
        <f>IFERROR(LEFT(B704,FIND(" ",B704)-1),B704)</f>
        <v/>
      </c>
      <c r="O704">
        <f>AND(B704&lt;&gt;"",B704&lt;&gt;설정!$B$4,C704&lt;&gt;설정!$B$5)</f>
        <v/>
      </c>
      <c r="P704">
        <f>IF(O704,B704&amp;"|"&amp;C704,"")</f>
        <v/>
      </c>
      <c r="Q704">
        <f>AND(O704,COUNTIF(P705:P$1002,P704)=0)</f>
        <v/>
      </c>
      <c r="R704">
        <f>OR(AND(설정!$A$28&lt;&gt;"",ISNUMBER(SEARCH(설정!$A$28,E704&amp;" "&amp;C704))),AND(설정!$A$29&lt;&gt;"",ISNUMBER(SEARCH(설정!$A$29,E704&amp;" "&amp;C704))),AND(설정!$A$30&lt;&gt;"",ISNUMBER(SEARCH(설정!$A$30,E704&amp;" "&amp;C704))),AND(설정!$A$31&lt;&gt;"",ISNUMBER(SEARCH(설정!$A$31,E704&amp;" "&amp;C704))),AND(설정!$A$32&lt;&gt;"",ISNUMBER(SEARCH(설정!$A$32,E704&amp;" "&amp;C704))),AND(설정!$A$33&lt;&gt;"",ISNUMBER(SEARCH(설정!$A$33,E704&amp;" "&amp;C704))),AND(설정!$A$34&lt;&gt;"",ISNUMBER(SEARCH(설정!$A$34,E704&amp;" "&amp;C704))),AND(설정!$A$35&lt;&gt;"",ISNUMBER(SEARCH(설정!$A$35,E704&amp;" "&amp;C704))),AND(설정!$A$36&lt;&gt;"",ISNUMBER(SEARCH(설정!$A$36,E704&amp;" "&amp;C704))),AND(설정!$A$37&lt;&gt;"",ISNUMBER(SEARCH(설정!$A$37,E704&amp;" "&amp;C704))))</f>
        <v/>
      </c>
      <c r="S704">
        <f>OR(D704="",D704&gt;=설정!$B$19)</f>
        <v/>
      </c>
      <c r="T704">
        <f>AND(Q704,R704,S704)</f>
        <v/>
      </c>
      <c r="U704">
        <f>IF(T704,IF(AND(설정!$A$41&lt;&gt;"",ISNUMBER(SEARCH(설정!$A$41,K704))),설정!$B$41,IF(AND(설정!$A$42&lt;&gt;"",ISNUMBER(SEARCH(설정!$A$42,K704))),설정!$B$42,IF(AND(설정!$A$43&lt;&gt;"",ISNUMBER(SEARCH(설정!$A$43,K704))),설정!$B$43,IF(AND(설정!$A$44&lt;&gt;"",ISNUMBER(SEARCH(설정!$A$44,K704))),설정!$B$44,IF(AND(설정!$A$45&lt;&gt;"",ISNUMBER(SEARCH(설정!$A$45,K704))),설정!$B$45,IF(AND(설정!$A$46&lt;&gt;"",ISNUMBER(SEARCH(설정!$A$46,K704))),설정!$B$46,IF(AND(설정!$A$47&lt;&gt;"",ISNUMBER(SEARCH(설정!$A$47,K704))),설정!$B$47,IF(AND(설정!$A$48&lt;&gt;"",ISNUMBER(SEARCH(설정!$A$48,K704))),설정!$B$48,IF(M704="","설계사","시공사"))))))))),"")</f>
        <v/>
      </c>
      <c r="V704">
        <f>SUBSTITUTE(SUBSTITUTE(SUBSTITUTE(SUBSTITUTE(G704,"(주)",""),"㈜",""),"주식회사","")," ","")</f>
        <v/>
      </c>
      <c r="W704">
        <f>IF(AND(T704,V704&lt;&gt;""),IF(COUNTIFS(V$2:V704,V704,T$2:T704,TRUE)=1,MAX(W$1:W703)+1,""),"")</f>
        <v/>
      </c>
      <c r="X704">
        <f>IFERROR(INDEX('1.산군_붙여넣기'!$A$1:$AZ$1001,ROW(),설정!$C$14)&amp;"","")</f>
        <v/>
      </c>
      <c r="Y704">
        <f>IFERROR(INDEX('1.산군_붙여넣기'!$A$1:$AZ$1001,ROW(),설정!$C$15)&amp;"","")</f>
        <v/>
      </c>
      <c r="Z704">
        <f>IF(T704,V704&amp;"|"&amp;U704,"")</f>
        <v/>
      </c>
    </row>
    <row r="705">
      <c r="A705">
        <f>ROW()</f>
        <v/>
      </c>
      <c r="B705">
        <f>IFERROR(INDEX('1.산군_붙여넣기'!$A$1:$AZ$1001,ROW(),설정!$C$4)&amp;"","")</f>
        <v/>
      </c>
      <c r="C705">
        <f>IFERROR(INDEX('1.산군_붙여넣기'!$A$1:$AZ$1001,ROW(),설정!$C$5)&amp;"","")</f>
        <v/>
      </c>
      <c r="D705" s="5">
        <f>IFERROR(VALUE(SUBSTITUTE(SUBSTITUTE(SUBSTITUTE(IFERROR(INDEX('1.산군_붙여넣기'!$A$1:$AZ$1001,ROW(),설정!$C$6)&amp;"",""),",",""),"㎡",""),"m2","")),"")</f>
        <v/>
      </c>
      <c r="E705">
        <f>IFERROR(INDEX('1.산군_붙여넣기'!$A$1:$AZ$1001,ROW(),설정!$C$7)&amp;"","")</f>
        <v/>
      </c>
      <c r="F705">
        <f>IFERROR(INDEX('1.산군_붙여넣기'!$A$1:$AZ$1001,ROW(),설정!$C$8)&amp;"","")</f>
        <v/>
      </c>
      <c r="G705">
        <f>IFERROR(INDEX('1.산군_붙여넣기'!$A$1:$AZ$1001,ROW(),설정!$C$9)&amp;"","")</f>
        <v/>
      </c>
      <c r="H705">
        <f>IFERROR(INDEX('1.산군_붙여넣기'!$A$1:$AZ$1001,ROW(),설정!$C$10)&amp;"","")</f>
        <v/>
      </c>
      <c r="I705">
        <f>IFERROR(INDEX('1.산군_붙여넣기'!$A$1:$AZ$1001,ROW(),설정!$C$11)&amp;"","")</f>
        <v/>
      </c>
      <c r="J705">
        <f>IFERROR(INDEX('1.산군_붙여넣기'!$A$1:$AZ$1001,ROW(),설정!$C$12)&amp;"","")</f>
        <v/>
      </c>
      <c r="K705">
        <f>IFERROR(INDEX('1.산군_붙여넣기'!$A$1:$AZ$1001,ROW(),설정!$C$13)&amp;"","")</f>
        <v/>
      </c>
      <c r="L705" s="6">
        <f>IF(X705="","",IF(AND(LEN(X705)=8,ISNUMBER(X705*1)),DATE(LEFT(X705,4),MID(X705,5,2),RIGHT(X705,2)),IFERROR(DATEVALUE(SUBSTITUTE(SUBSTITUTE(X705,".","-"),"/","-")),IFERROR(X705*1,""))))</f>
        <v/>
      </c>
      <c r="M705" s="6">
        <f>IF(Y705="","",IF(AND(LEN(Y705)=8,ISNUMBER(Y705*1)),DATE(LEFT(Y705,4),MID(Y705,5,2),RIGHT(Y705,2)),IFERROR(DATEVALUE(SUBSTITUTE(SUBSTITUTE(Y705,".","-"),"/","-")),IFERROR(Y705*1,""))))</f>
        <v/>
      </c>
      <c r="N705">
        <f>IFERROR(LEFT(B705,FIND(" ",B705)-1),B705)</f>
        <v/>
      </c>
      <c r="O705">
        <f>AND(B705&lt;&gt;"",B705&lt;&gt;설정!$B$4,C705&lt;&gt;설정!$B$5)</f>
        <v/>
      </c>
      <c r="P705">
        <f>IF(O705,B705&amp;"|"&amp;C705,"")</f>
        <v/>
      </c>
      <c r="Q705">
        <f>AND(O705,COUNTIF(P706:P$1002,P705)=0)</f>
        <v/>
      </c>
      <c r="R705">
        <f>OR(AND(설정!$A$28&lt;&gt;"",ISNUMBER(SEARCH(설정!$A$28,E705&amp;" "&amp;C705))),AND(설정!$A$29&lt;&gt;"",ISNUMBER(SEARCH(설정!$A$29,E705&amp;" "&amp;C705))),AND(설정!$A$30&lt;&gt;"",ISNUMBER(SEARCH(설정!$A$30,E705&amp;" "&amp;C705))),AND(설정!$A$31&lt;&gt;"",ISNUMBER(SEARCH(설정!$A$31,E705&amp;" "&amp;C705))),AND(설정!$A$32&lt;&gt;"",ISNUMBER(SEARCH(설정!$A$32,E705&amp;" "&amp;C705))),AND(설정!$A$33&lt;&gt;"",ISNUMBER(SEARCH(설정!$A$33,E705&amp;" "&amp;C705))),AND(설정!$A$34&lt;&gt;"",ISNUMBER(SEARCH(설정!$A$34,E705&amp;" "&amp;C705))),AND(설정!$A$35&lt;&gt;"",ISNUMBER(SEARCH(설정!$A$35,E705&amp;" "&amp;C705))),AND(설정!$A$36&lt;&gt;"",ISNUMBER(SEARCH(설정!$A$36,E705&amp;" "&amp;C705))),AND(설정!$A$37&lt;&gt;"",ISNUMBER(SEARCH(설정!$A$37,E705&amp;" "&amp;C705))))</f>
        <v/>
      </c>
      <c r="S705">
        <f>OR(D705="",D705&gt;=설정!$B$19)</f>
        <v/>
      </c>
      <c r="T705">
        <f>AND(Q705,R705,S705)</f>
        <v/>
      </c>
      <c r="U705">
        <f>IF(T705,IF(AND(설정!$A$41&lt;&gt;"",ISNUMBER(SEARCH(설정!$A$41,K705))),설정!$B$41,IF(AND(설정!$A$42&lt;&gt;"",ISNUMBER(SEARCH(설정!$A$42,K705))),설정!$B$42,IF(AND(설정!$A$43&lt;&gt;"",ISNUMBER(SEARCH(설정!$A$43,K705))),설정!$B$43,IF(AND(설정!$A$44&lt;&gt;"",ISNUMBER(SEARCH(설정!$A$44,K705))),설정!$B$44,IF(AND(설정!$A$45&lt;&gt;"",ISNUMBER(SEARCH(설정!$A$45,K705))),설정!$B$45,IF(AND(설정!$A$46&lt;&gt;"",ISNUMBER(SEARCH(설정!$A$46,K705))),설정!$B$46,IF(AND(설정!$A$47&lt;&gt;"",ISNUMBER(SEARCH(설정!$A$47,K705))),설정!$B$47,IF(AND(설정!$A$48&lt;&gt;"",ISNUMBER(SEARCH(설정!$A$48,K705))),설정!$B$48,IF(M705="","설계사","시공사"))))))))),"")</f>
        <v/>
      </c>
      <c r="V705">
        <f>SUBSTITUTE(SUBSTITUTE(SUBSTITUTE(SUBSTITUTE(G705,"(주)",""),"㈜",""),"주식회사","")," ","")</f>
        <v/>
      </c>
      <c r="W705">
        <f>IF(AND(T705,V705&lt;&gt;""),IF(COUNTIFS(V$2:V705,V705,T$2:T705,TRUE)=1,MAX(W$1:W704)+1,""),"")</f>
        <v/>
      </c>
      <c r="X705">
        <f>IFERROR(INDEX('1.산군_붙여넣기'!$A$1:$AZ$1001,ROW(),설정!$C$14)&amp;"","")</f>
        <v/>
      </c>
      <c r="Y705">
        <f>IFERROR(INDEX('1.산군_붙여넣기'!$A$1:$AZ$1001,ROW(),설정!$C$15)&amp;"","")</f>
        <v/>
      </c>
      <c r="Z705">
        <f>IF(T705,V705&amp;"|"&amp;U705,"")</f>
        <v/>
      </c>
    </row>
    <row r="706">
      <c r="A706">
        <f>ROW()</f>
        <v/>
      </c>
      <c r="B706">
        <f>IFERROR(INDEX('1.산군_붙여넣기'!$A$1:$AZ$1001,ROW(),설정!$C$4)&amp;"","")</f>
        <v/>
      </c>
      <c r="C706">
        <f>IFERROR(INDEX('1.산군_붙여넣기'!$A$1:$AZ$1001,ROW(),설정!$C$5)&amp;"","")</f>
        <v/>
      </c>
      <c r="D706" s="5">
        <f>IFERROR(VALUE(SUBSTITUTE(SUBSTITUTE(SUBSTITUTE(IFERROR(INDEX('1.산군_붙여넣기'!$A$1:$AZ$1001,ROW(),설정!$C$6)&amp;"",""),",",""),"㎡",""),"m2","")),"")</f>
        <v/>
      </c>
      <c r="E706">
        <f>IFERROR(INDEX('1.산군_붙여넣기'!$A$1:$AZ$1001,ROW(),설정!$C$7)&amp;"","")</f>
        <v/>
      </c>
      <c r="F706">
        <f>IFERROR(INDEX('1.산군_붙여넣기'!$A$1:$AZ$1001,ROW(),설정!$C$8)&amp;"","")</f>
        <v/>
      </c>
      <c r="G706">
        <f>IFERROR(INDEX('1.산군_붙여넣기'!$A$1:$AZ$1001,ROW(),설정!$C$9)&amp;"","")</f>
        <v/>
      </c>
      <c r="H706">
        <f>IFERROR(INDEX('1.산군_붙여넣기'!$A$1:$AZ$1001,ROW(),설정!$C$10)&amp;"","")</f>
        <v/>
      </c>
      <c r="I706">
        <f>IFERROR(INDEX('1.산군_붙여넣기'!$A$1:$AZ$1001,ROW(),설정!$C$11)&amp;"","")</f>
        <v/>
      </c>
      <c r="J706">
        <f>IFERROR(INDEX('1.산군_붙여넣기'!$A$1:$AZ$1001,ROW(),설정!$C$12)&amp;"","")</f>
        <v/>
      </c>
      <c r="K706">
        <f>IFERROR(INDEX('1.산군_붙여넣기'!$A$1:$AZ$1001,ROW(),설정!$C$13)&amp;"","")</f>
        <v/>
      </c>
      <c r="L706" s="6">
        <f>IF(X706="","",IF(AND(LEN(X706)=8,ISNUMBER(X706*1)),DATE(LEFT(X706,4),MID(X706,5,2),RIGHT(X706,2)),IFERROR(DATEVALUE(SUBSTITUTE(SUBSTITUTE(X706,".","-"),"/","-")),IFERROR(X706*1,""))))</f>
        <v/>
      </c>
      <c r="M706" s="6">
        <f>IF(Y706="","",IF(AND(LEN(Y706)=8,ISNUMBER(Y706*1)),DATE(LEFT(Y706,4),MID(Y706,5,2),RIGHT(Y706,2)),IFERROR(DATEVALUE(SUBSTITUTE(SUBSTITUTE(Y706,".","-"),"/","-")),IFERROR(Y706*1,""))))</f>
        <v/>
      </c>
      <c r="N706">
        <f>IFERROR(LEFT(B706,FIND(" ",B706)-1),B706)</f>
        <v/>
      </c>
      <c r="O706">
        <f>AND(B706&lt;&gt;"",B706&lt;&gt;설정!$B$4,C706&lt;&gt;설정!$B$5)</f>
        <v/>
      </c>
      <c r="P706">
        <f>IF(O706,B706&amp;"|"&amp;C706,"")</f>
        <v/>
      </c>
      <c r="Q706">
        <f>AND(O706,COUNTIF(P707:P$1002,P706)=0)</f>
        <v/>
      </c>
      <c r="R706">
        <f>OR(AND(설정!$A$28&lt;&gt;"",ISNUMBER(SEARCH(설정!$A$28,E706&amp;" "&amp;C706))),AND(설정!$A$29&lt;&gt;"",ISNUMBER(SEARCH(설정!$A$29,E706&amp;" "&amp;C706))),AND(설정!$A$30&lt;&gt;"",ISNUMBER(SEARCH(설정!$A$30,E706&amp;" "&amp;C706))),AND(설정!$A$31&lt;&gt;"",ISNUMBER(SEARCH(설정!$A$31,E706&amp;" "&amp;C706))),AND(설정!$A$32&lt;&gt;"",ISNUMBER(SEARCH(설정!$A$32,E706&amp;" "&amp;C706))),AND(설정!$A$33&lt;&gt;"",ISNUMBER(SEARCH(설정!$A$33,E706&amp;" "&amp;C706))),AND(설정!$A$34&lt;&gt;"",ISNUMBER(SEARCH(설정!$A$34,E706&amp;" "&amp;C706))),AND(설정!$A$35&lt;&gt;"",ISNUMBER(SEARCH(설정!$A$35,E706&amp;" "&amp;C706))),AND(설정!$A$36&lt;&gt;"",ISNUMBER(SEARCH(설정!$A$36,E706&amp;" "&amp;C706))),AND(설정!$A$37&lt;&gt;"",ISNUMBER(SEARCH(설정!$A$37,E706&amp;" "&amp;C706))))</f>
        <v/>
      </c>
      <c r="S706">
        <f>OR(D706="",D706&gt;=설정!$B$19)</f>
        <v/>
      </c>
      <c r="T706">
        <f>AND(Q706,R706,S706)</f>
        <v/>
      </c>
      <c r="U706">
        <f>IF(T706,IF(AND(설정!$A$41&lt;&gt;"",ISNUMBER(SEARCH(설정!$A$41,K706))),설정!$B$41,IF(AND(설정!$A$42&lt;&gt;"",ISNUMBER(SEARCH(설정!$A$42,K706))),설정!$B$42,IF(AND(설정!$A$43&lt;&gt;"",ISNUMBER(SEARCH(설정!$A$43,K706))),설정!$B$43,IF(AND(설정!$A$44&lt;&gt;"",ISNUMBER(SEARCH(설정!$A$44,K706))),설정!$B$44,IF(AND(설정!$A$45&lt;&gt;"",ISNUMBER(SEARCH(설정!$A$45,K706))),설정!$B$45,IF(AND(설정!$A$46&lt;&gt;"",ISNUMBER(SEARCH(설정!$A$46,K706))),설정!$B$46,IF(AND(설정!$A$47&lt;&gt;"",ISNUMBER(SEARCH(설정!$A$47,K706))),설정!$B$47,IF(AND(설정!$A$48&lt;&gt;"",ISNUMBER(SEARCH(설정!$A$48,K706))),설정!$B$48,IF(M706="","설계사","시공사"))))))))),"")</f>
        <v/>
      </c>
      <c r="V706">
        <f>SUBSTITUTE(SUBSTITUTE(SUBSTITUTE(SUBSTITUTE(G706,"(주)",""),"㈜",""),"주식회사","")," ","")</f>
        <v/>
      </c>
      <c r="W706">
        <f>IF(AND(T706,V706&lt;&gt;""),IF(COUNTIFS(V$2:V706,V706,T$2:T706,TRUE)=1,MAX(W$1:W705)+1,""),"")</f>
        <v/>
      </c>
      <c r="X706">
        <f>IFERROR(INDEX('1.산군_붙여넣기'!$A$1:$AZ$1001,ROW(),설정!$C$14)&amp;"","")</f>
        <v/>
      </c>
      <c r="Y706">
        <f>IFERROR(INDEX('1.산군_붙여넣기'!$A$1:$AZ$1001,ROW(),설정!$C$15)&amp;"","")</f>
        <v/>
      </c>
      <c r="Z706">
        <f>IF(T706,V706&amp;"|"&amp;U706,"")</f>
        <v/>
      </c>
    </row>
    <row r="707">
      <c r="A707">
        <f>ROW()</f>
        <v/>
      </c>
      <c r="B707">
        <f>IFERROR(INDEX('1.산군_붙여넣기'!$A$1:$AZ$1001,ROW(),설정!$C$4)&amp;"","")</f>
        <v/>
      </c>
      <c r="C707">
        <f>IFERROR(INDEX('1.산군_붙여넣기'!$A$1:$AZ$1001,ROW(),설정!$C$5)&amp;"","")</f>
        <v/>
      </c>
      <c r="D707" s="5">
        <f>IFERROR(VALUE(SUBSTITUTE(SUBSTITUTE(SUBSTITUTE(IFERROR(INDEX('1.산군_붙여넣기'!$A$1:$AZ$1001,ROW(),설정!$C$6)&amp;"",""),",",""),"㎡",""),"m2","")),"")</f>
        <v/>
      </c>
      <c r="E707">
        <f>IFERROR(INDEX('1.산군_붙여넣기'!$A$1:$AZ$1001,ROW(),설정!$C$7)&amp;"","")</f>
        <v/>
      </c>
      <c r="F707">
        <f>IFERROR(INDEX('1.산군_붙여넣기'!$A$1:$AZ$1001,ROW(),설정!$C$8)&amp;"","")</f>
        <v/>
      </c>
      <c r="G707">
        <f>IFERROR(INDEX('1.산군_붙여넣기'!$A$1:$AZ$1001,ROW(),설정!$C$9)&amp;"","")</f>
        <v/>
      </c>
      <c r="H707">
        <f>IFERROR(INDEX('1.산군_붙여넣기'!$A$1:$AZ$1001,ROW(),설정!$C$10)&amp;"","")</f>
        <v/>
      </c>
      <c r="I707">
        <f>IFERROR(INDEX('1.산군_붙여넣기'!$A$1:$AZ$1001,ROW(),설정!$C$11)&amp;"","")</f>
        <v/>
      </c>
      <c r="J707">
        <f>IFERROR(INDEX('1.산군_붙여넣기'!$A$1:$AZ$1001,ROW(),설정!$C$12)&amp;"","")</f>
        <v/>
      </c>
      <c r="K707">
        <f>IFERROR(INDEX('1.산군_붙여넣기'!$A$1:$AZ$1001,ROW(),설정!$C$13)&amp;"","")</f>
        <v/>
      </c>
      <c r="L707" s="6">
        <f>IF(X707="","",IF(AND(LEN(X707)=8,ISNUMBER(X707*1)),DATE(LEFT(X707,4),MID(X707,5,2),RIGHT(X707,2)),IFERROR(DATEVALUE(SUBSTITUTE(SUBSTITUTE(X707,".","-"),"/","-")),IFERROR(X707*1,""))))</f>
        <v/>
      </c>
      <c r="M707" s="6">
        <f>IF(Y707="","",IF(AND(LEN(Y707)=8,ISNUMBER(Y707*1)),DATE(LEFT(Y707,4),MID(Y707,5,2),RIGHT(Y707,2)),IFERROR(DATEVALUE(SUBSTITUTE(SUBSTITUTE(Y707,".","-"),"/","-")),IFERROR(Y707*1,""))))</f>
        <v/>
      </c>
      <c r="N707">
        <f>IFERROR(LEFT(B707,FIND(" ",B707)-1),B707)</f>
        <v/>
      </c>
      <c r="O707">
        <f>AND(B707&lt;&gt;"",B707&lt;&gt;설정!$B$4,C707&lt;&gt;설정!$B$5)</f>
        <v/>
      </c>
      <c r="P707">
        <f>IF(O707,B707&amp;"|"&amp;C707,"")</f>
        <v/>
      </c>
      <c r="Q707">
        <f>AND(O707,COUNTIF(P708:P$1002,P707)=0)</f>
        <v/>
      </c>
      <c r="R707">
        <f>OR(AND(설정!$A$28&lt;&gt;"",ISNUMBER(SEARCH(설정!$A$28,E707&amp;" "&amp;C707))),AND(설정!$A$29&lt;&gt;"",ISNUMBER(SEARCH(설정!$A$29,E707&amp;" "&amp;C707))),AND(설정!$A$30&lt;&gt;"",ISNUMBER(SEARCH(설정!$A$30,E707&amp;" "&amp;C707))),AND(설정!$A$31&lt;&gt;"",ISNUMBER(SEARCH(설정!$A$31,E707&amp;" "&amp;C707))),AND(설정!$A$32&lt;&gt;"",ISNUMBER(SEARCH(설정!$A$32,E707&amp;" "&amp;C707))),AND(설정!$A$33&lt;&gt;"",ISNUMBER(SEARCH(설정!$A$33,E707&amp;" "&amp;C707))),AND(설정!$A$34&lt;&gt;"",ISNUMBER(SEARCH(설정!$A$34,E707&amp;" "&amp;C707))),AND(설정!$A$35&lt;&gt;"",ISNUMBER(SEARCH(설정!$A$35,E707&amp;" "&amp;C707))),AND(설정!$A$36&lt;&gt;"",ISNUMBER(SEARCH(설정!$A$36,E707&amp;" "&amp;C707))),AND(설정!$A$37&lt;&gt;"",ISNUMBER(SEARCH(설정!$A$37,E707&amp;" "&amp;C707))))</f>
        <v/>
      </c>
      <c r="S707">
        <f>OR(D707="",D707&gt;=설정!$B$19)</f>
        <v/>
      </c>
      <c r="T707">
        <f>AND(Q707,R707,S707)</f>
        <v/>
      </c>
      <c r="U707">
        <f>IF(T707,IF(AND(설정!$A$41&lt;&gt;"",ISNUMBER(SEARCH(설정!$A$41,K707))),설정!$B$41,IF(AND(설정!$A$42&lt;&gt;"",ISNUMBER(SEARCH(설정!$A$42,K707))),설정!$B$42,IF(AND(설정!$A$43&lt;&gt;"",ISNUMBER(SEARCH(설정!$A$43,K707))),설정!$B$43,IF(AND(설정!$A$44&lt;&gt;"",ISNUMBER(SEARCH(설정!$A$44,K707))),설정!$B$44,IF(AND(설정!$A$45&lt;&gt;"",ISNUMBER(SEARCH(설정!$A$45,K707))),설정!$B$45,IF(AND(설정!$A$46&lt;&gt;"",ISNUMBER(SEARCH(설정!$A$46,K707))),설정!$B$46,IF(AND(설정!$A$47&lt;&gt;"",ISNUMBER(SEARCH(설정!$A$47,K707))),설정!$B$47,IF(AND(설정!$A$48&lt;&gt;"",ISNUMBER(SEARCH(설정!$A$48,K707))),설정!$B$48,IF(M707="","설계사","시공사"))))))))),"")</f>
        <v/>
      </c>
      <c r="V707">
        <f>SUBSTITUTE(SUBSTITUTE(SUBSTITUTE(SUBSTITUTE(G707,"(주)",""),"㈜",""),"주식회사","")," ","")</f>
        <v/>
      </c>
      <c r="W707">
        <f>IF(AND(T707,V707&lt;&gt;""),IF(COUNTIFS(V$2:V707,V707,T$2:T707,TRUE)=1,MAX(W$1:W706)+1,""),"")</f>
        <v/>
      </c>
      <c r="X707">
        <f>IFERROR(INDEX('1.산군_붙여넣기'!$A$1:$AZ$1001,ROW(),설정!$C$14)&amp;"","")</f>
        <v/>
      </c>
      <c r="Y707">
        <f>IFERROR(INDEX('1.산군_붙여넣기'!$A$1:$AZ$1001,ROW(),설정!$C$15)&amp;"","")</f>
        <v/>
      </c>
      <c r="Z707">
        <f>IF(T707,V707&amp;"|"&amp;U707,"")</f>
        <v/>
      </c>
    </row>
    <row r="708">
      <c r="A708">
        <f>ROW()</f>
        <v/>
      </c>
      <c r="B708">
        <f>IFERROR(INDEX('1.산군_붙여넣기'!$A$1:$AZ$1001,ROW(),설정!$C$4)&amp;"","")</f>
        <v/>
      </c>
      <c r="C708">
        <f>IFERROR(INDEX('1.산군_붙여넣기'!$A$1:$AZ$1001,ROW(),설정!$C$5)&amp;"","")</f>
        <v/>
      </c>
      <c r="D708" s="5">
        <f>IFERROR(VALUE(SUBSTITUTE(SUBSTITUTE(SUBSTITUTE(IFERROR(INDEX('1.산군_붙여넣기'!$A$1:$AZ$1001,ROW(),설정!$C$6)&amp;"",""),",",""),"㎡",""),"m2","")),"")</f>
        <v/>
      </c>
      <c r="E708">
        <f>IFERROR(INDEX('1.산군_붙여넣기'!$A$1:$AZ$1001,ROW(),설정!$C$7)&amp;"","")</f>
        <v/>
      </c>
      <c r="F708">
        <f>IFERROR(INDEX('1.산군_붙여넣기'!$A$1:$AZ$1001,ROW(),설정!$C$8)&amp;"","")</f>
        <v/>
      </c>
      <c r="G708">
        <f>IFERROR(INDEX('1.산군_붙여넣기'!$A$1:$AZ$1001,ROW(),설정!$C$9)&amp;"","")</f>
        <v/>
      </c>
      <c r="H708">
        <f>IFERROR(INDEX('1.산군_붙여넣기'!$A$1:$AZ$1001,ROW(),설정!$C$10)&amp;"","")</f>
        <v/>
      </c>
      <c r="I708">
        <f>IFERROR(INDEX('1.산군_붙여넣기'!$A$1:$AZ$1001,ROW(),설정!$C$11)&amp;"","")</f>
        <v/>
      </c>
      <c r="J708">
        <f>IFERROR(INDEX('1.산군_붙여넣기'!$A$1:$AZ$1001,ROW(),설정!$C$12)&amp;"","")</f>
        <v/>
      </c>
      <c r="K708">
        <f>IFERROR(INDEX('1.산군_붙여넣기'!$A$1:$AZ$1001,ROW(),설정!$C$13)&amp;"","")</f>
        <v/>
      </c>
      <c r="L708" s="6">
        <f>IF(X708="","",IF(AND(LEN(X708)=8,ISNUMBER(X708*1)),DATE(LEFT(X708,4),MID(X708,5,2),RIGHT(X708,2)),IFERROR(DATEVALUE(SUBSTITUTE(SUBSTITUTE(X708,".","-"),"/","-")),IFERROR(X708*1,""))))</f>
        <v/>
      </c>
      <c r="M708" s="6">
        <f>IF(Y708="","",IF(AND(LEN(Y708)=8,ISNUMBER(Y708*1)),DATE(LEFT(Y708,4),MID(Y708,5,2),RIGHT(Y708,2)),IFERROR(DATEVALUE(SUBSTITUTE(SUBSTITUTE(Y708,".","-"),"/","-")),IFERROR(Y708*1,""))))</f>
        <v/>
      </c>
      <c r="N708">
        <f>IFERROR(LEFT(B708,FIND(" ",B708)-1),B708)</f>
        <v/>
      </c>
      <c r="O708">
        <f>AND(B708&lt;&gt;"",B708&lt;&gt;설정!$B$4,C708&lt;&gt;설정!$B$5)</f>
        <v/>
      </c>
      <c r="P708">
        <f>IF(O708,B708&amp;"|"&amp;C708,"")</f>
        <v/>
      </c>
      <c r="Q708">
        <f>AND(O708,COUNTIF(P709:P$1002,P708)=0)</f>
        <v/>
      </c>
      <c r="R708">
        <f>OR(AND(설정!$A$28&lt;&gt;"",ISNUMBER(SEARCH(설정!$A$28,E708&amp;" "&amp;C708))),AND(설정!$A$29&lt;&gt;"",ISNUMBER(SEARCH(설정!$A$29,E708&amp;" "&amp;C708))),AND(설정!$A$30&lt;&gt;"",ISNUMBER(SEARCH(설정!$A$30,E708&amp;" "&amp;C708))),AND(설정!$A$31&lt;&gt;"",ISNUMBER(SEARCH(설정!$A$31,E708&amp;" "&amp;C708))),AND(설정!$A$32&lt;&gt;"",ISNUMBER(SEARCH(설정!$A$32,E708&amp;" "&amp;C708))),AND(설정!$A$33&lt;&gt;"",ISNUMBER(SEARCH(설정!$A$33,E708&amp;" "&amp;C708))),AND(설정!$A$34&lt;&gt;"",ISNUMBER(SEARCH(설정!$A$34,E708&amp;" "&amp;C708))),AND(설정!$A$35&lt;&gt;"",ISNUMBER(SEARCH(설정!$A$35,E708&amp;" "&amp;C708))),AND(설정!$A$36&lt;&gt;"",ISNUMBER(SEARCH(설정!$A$36,E708&amp;" "&amp;C708))),AND(설정!$A$37&lt;&gt;"",ISNUMBER(SEARCH(설정!$A$37,E708&amp;" "&amp;C708))))</f>
        <v/>
      </c>
      <c r="S708">
        <f>OR(D708="",D708&gt;=설정!$B$19)</f>
        <v/>
      </c>
      <c r="T708">
        <f>AND(Q708,R708,S708)</f>
        <v/>
      </c>
      <c r="U708">
        <f>IF(T708,IF(AND(설정!$A$41&lt;&gt;"",ISNUMBER(SEARCH(설정!$A$41,K708))),설정!$B$41,IF(AND(설정!$A$42&lt;&gt;"",ISNUMBER(SEARCH(설정!$A$42,K708))),설정!$B$42,IF(AND(설정!$A$43&lt;&gt;"",ISNUMBER(SEARCH(설정!$A$43,K708))),설정!$B$43,IF(AND(설정!$A$44&lt;&gt;"",ISNUMBER(SEARCH(설정!$A$44,K708))),설정!$B$44,IF(AND(설정!$A$45&lt;&gt;"",ISNUMBER(SEARCH(설정!$A$45,K708))),설정!$B$45,IF(AND(설정!$A$46&lt;&gt;"",ISNUMBER(SEARCH(설정!$A$46,K708))),설정!$B$46,IF(AND(설정!$A$47&lt;&gt;"",ISNUMBER(SEARCH(설정!$A$47,K708))),설정!$B$47,IF(AND(설정!$A$48&lt;&gt;"",ISNUMBER(SEARCH(설정!$A$48,K708))),설정!$B$48,IF(M708="","설계사","시공사"))))))))),"")</f>
        <v/>
      </c>
      <c r="V708">
        <f>SUBSTITUTE(SUBSTITUTE(SUBSTITUTE(SUBSTITUTE(G708,"(주)",""),"㈜",""),"주식회사","")," ","")</f>
        <v/>
      </c>
      <c r="W708">
        <f>IF(AND(T708,V708&lt;&gt;""),IF(COUNTIFS(V$2:V708,V708,T$2:T708,TRUE)=1,MAX(W$1:W707)+1,""),"")</f>
        <v/>
      </c>
      <c r="X708">
        <f>IFERROR(INDEX('1.산군_붙여넣기'!$A$1:$AZ$1001,ROW(),설정!$C$14)&amp;"","")</f>
        <v/>
      </c>
      <c r="Y708">
        <f>IFERROR(INDEX('1.산군_붙여넣기'!$A$1:$AZ$1001,ROW(),설정!$C$15)&amp;"","")</f>
        <v/>
      </c>
      <c r="Z708">
        <f>IF(T708,V708&amp;"|"&amp;U708,"")</f>
        <v/>
      </c>
    </row>
    <row r="709">
      <c r="A709">
        <f>ROW()</f>
        <v/>
      </c>
      <c r="B709">
        <f>IFERROR(INDEX('1.산군_붙여넣기'!$A$1:$AZ$1001,ROW(),설정!$C$4)&amp;"","")</f>
        <v/>
      </c>
      <c r="C709">
        <f>IFERROR(INDEX('1.산군_붙여넣기'!$A$1:$AZ$1001,ROW(),설정!$C$5)&amp;"","")</f>
        <v/>
      </c>
      <c r="D709" s="5">
        <f>IFERROR(VALUE(SUBSTITUTE(SUBSTITUTE(SUBSTITUTE(IFERROR(INDEX('1.산군_붙여넣기'!$A$1:$AZ$1001,ROW(),설정!$C$6)&amp;"",""),",",""),"㎡",""),"m2","")),"")</f>
        <v/>
      </c>
      <c r="E709">
        <f>IFERROR(INDEX('1.산군_붙여넣기'!$A$1:$AZ$1001,ROW(),설정!$C$7)&amp;"","")</f>
        <v/>
      </c>
      <c r="F709">
        <f>IFERROR(INDEX('1.산군_붙여넣기'!$A$1:$AZ$1001,ROW(),설정!$C$8)&amp;"","")</f>
        <v/>
      </c>
      <c r="G709">
        <f>IFERROR(INDEX('1.산군_붙여넣기'!$A$1:$AZ$1001,ROW(),설정!$C$9)&amp;"","")</f>
        <v/>
      </c>
      <c r="H709">
        <f>IFERROR(INDEX('1.산군_붙여넣기'!$A$1:$AZ$1001,ROW(),설정!$C$10)&amp;"","")</f>
        <v/>
      </c>
      <c r="I709">
        <f>IFERROR(INDEX('1.산군_붙여넣기'!$A$1:$AZ$1001,ROW(),설정!$C$11)&amp;"","")</f>
        <v/>
      </c>
      <c r="J709">
        <f>IFERROR(INDEX('1.산군_붙여넣기'!$A$1:$AZ$1001,ROW(),설정!$C$12)&amp;"","")</f>
        <v/>
      </c>
      <c r="K709">
        <f>IFERROR(INDEX('1.산군_붙여넣기'!$A$1:$AZ$1001,ROW(),설정!$C$13)&amp;"","")</f>
        <v/>
      </c>
      <c r="L709" s="6">
        <f>IF(X709="","",IF(AND(LEN(X709)=8,ISNUMBER(X709*1)),DATE(LEFT(X709,4),MID(X709,5,2),RIGHT(X709,2)),IFERROR(DATEVALUE(SUBSTITUTE(SUBSTITUTE(X709,".","-"),"/","-")),IFERROR(X709*1,""))))</f>
        <v/>
      </c>
      <c r="M709" s="6">
        <f>IF(Y709="","",IF(AND(LEN(Y709)=8,ISNUMBER(Y709*1)),DATE(LEFT(Y709,4),MID(Y709,5,2),RIGHT(Y709,2)),IFERROR(DATEVALUE(SUBSTITUTE(SUBSTITUTE(Y709,".","-"),"/","-")),IFERROR(Y709*1,""))))</f>
        <v/>
      </c>
      <c r="N709">
        <f>IFERROR(LEFT(B709,FIND(" ",B709)-1),B709)</f>
        <v/>
      </c>
      <c r="O709">
        <f>AND(B709&lt;&gt;"",B709&lt;&gt;설정!$B$4,C709&lt;&gt;설정!$B$5)</f>
        <v/>
      </c>
      <c r="P709">
        <f>IF(O709,B709&amp;"|"&amp;C709,"")</f>
        <v/>
      </c>
      <c r="Q709">
        <f>AND(O709,COUNTIF(P710:P$1002,P709)=0)</f>
        <v/>
      </c>
      <c r="R709">
        <f>OR(AND(설정!$A$28&lt;&gt;"",ISNUMBER(SEARCH(설정!$A$28,E709&amp;" "&amp;C709))),AND(설정!$A$29&lt;&gt;"",ISNUMBER(SEARCH(설정!$A$29,E709&amp;" "&amp;C709))),AND(설정!$A$30&lt;&gt;"",ISNUMBER(SEARCH(설정!$A$30,E709&amp;" "&amp;C709))),AND(설정!$A$31&lt;&gt;"",ISNUMBER(SEARCH(설정!$A$31,E709&amp;" "&amp;C709))),AND(설정!$A$32&lt;&gt;"",ISNUMBER(SEARCH(설정!$A$32,E709&amp;" "&amp;C709))),AND(설정!$A$33&lt;&gt;"",ISNUMBER(SEARCH(설정!$A$33,E709&amp;" "&amp;C709))),AND(설정!$A$34&lt;&gt;"",ISNUMBER(SEARCH(설정!$A$34,E709&amp;" "&amp;C709))),AND(설정!$A$35&lt;&gt;"",ISNUMBER(SEARCH(설정!$A$35,E709&amp;" "&amp;C709))),AND(설정!$A$36&lt;&gt;"",ISNUMBER(SEARCH(설정!$A$36,E709&amp;" "&amp;C709))),AND(설정!$A$37&lt;&gt;"",ISNUMBER(SEARCH(설정!$A$37,E709&amp;" "&amp;C709))))</f>
        <v/>
      </c>
      <c r="S709">
        <f>OR(D709="",D709&gt;=설정!$B$19)</f>
        <v/>
      </c>
      <c r="T709">
        <f>AND(Q709,R709,S709)</f>
        <v/>
      </c>
      <c r="U709">
        <f>IF(T709,IF(AND(설정!$A$41&lt;&gt;"",ISNUMBER(SEARCH(설정!$A$41,K709))),설정!$B$41,IF(AND(설정!$A$42&lt;&gt;"",ISNUMBER(SEARCH(설정!$A$42,K709))),설정!$B$42,IF(AND(설정!$A$43&lt;&gt;"",ISNUMBER(SEARCH(설정!$A$43,K709))),설정!$B$43,IF(AND(설정!$A$44&lt;&gt;"",ISNUMBER(SEARCH(설정!$A$44,K709))),설정!$B$44,IF(AND(설정!$A$45&lt;&gt;"",ISNUMBER(SEARCH(설정!$A$45,K709))),설정!$B$45,IF(AND(설정!$A$46&lt;&gt;"",ISNUMBER(SEARCH(설정!$A$46,K709))),설정!$B$46,IF(AND(설정!$A$47&lt;&gt;"",ISNUMBER(SEARCH(설정!$A$47,K709))),설정!$B$47,IF(AND(설정!$A$48&lt;&gt;"",ISNUMBER(SEARCH(설정!$A$48,K709))),설정!$B$48,IF(M709="","설계사","시공사"))))))))),"")</f>
        <v/>
      </c>
      <c r="V709">
        <f>SUBSTITUTE(SUBSTITUTE(SUBSTITUTE(SUBSTITUTE(G709,"(주)",""),"㈜",""),"주식회사","")," ","")</f>
        <v/>
      </c>
      <c r="W709">
        <f>IF(AND(T709,V709&lt;&gt;""),IF(COUNTIFS(V$2:V709,V709,T$2:T709,TRUE)=1,MAX(W$1:W708)+1,""),"")</f>
        <v/>
      </c>
      <c r="X709">
        <f>IFERROR(INDEX('1.산군_붙여넣기'!$A$1:$AZ$1001,ROW(),설정!$C$14)&amp;"","")</f>
        <v/>
      </c>
      <c r="Y709">
        <f>IFERROR(INDEX('1.산군_붙여넣기'!$A$1:$AZ$1001,ROW(),설정!$C$15)&amp;"","")</f>
        <v/>
      </c>
      <c r="Z709">
        <f>IF(T709,V709&amp;"|"&amp;U709,"")</f>
        <v/>
      </c>
    </row>
    <row r="710">
      <c r="A710">
        <f>ROW()</f>
        <v/>
      </c>
      <c r="B710">
        <f>IFERROR(INDEX('1.산군_붙여넣기'!$A$1:$AZ$1001,ROW(),설정!$C$4)&amp;"","")</f>
        <v/>
      </c>
      <c r="C710">
        <f>IFERROR(INDEX('1.산군_붙여넣기'!$A$1:$AZ$1001,ROW(),설정!$C$5)&amp;"","")</f>
        <v/>
      </c>
      <c r="D710" s="5">
        <f>IFERROR(VALUE(SUBSTITUTE(SUBSTITUTE(SUBSTITUTE(IFERROR(INDEX('1.산군_붙여넣기'!$A$1:$AZ$1001,ROW(),설정!$C$6)&amp;"",""),",",""),"㎡",""),"m2","")),"")</f>
        <v/>
      </c>
      <c r="E710">
        <f>IFERROR(INDEX('1.산군_붙여넣기'!$A$1:$AZ$1001,ROW(),설정!$C$7)&amp;"","")</f>
        <v/>
      </c>
      <c r="F710">
        <f>IFERROR(INDEX('1.산군_붙여넣기'!$A$1:$AZ$1001,ROW(),설정!$C$8)&amp;"","")</f>
        <v/>
      </c>
      <c r="G710">
        <f>IFERROR(INDEX('1.산군_붙여넣기'!$A$1:$AZ$1001,ROW(),설정!$C$9)&amp;"","")</f>
        <v/>
      </c>
      <c r="H710">
        <f>IFERROR(INDEX('1.산군_붙여넣기'!$A$1:$AZ$1001,ROW(),설정!$C$10)&amp;"","")</f>
        <v/>
      </c>
      <c r="I710">
        <f>IFERROR(INDEX('1.산군_붙여넣기'!$A$1:$AZ$1001,ROW(),설정!$C$11)&amp;"","")</f>
        <v/>
      </c>
      <c r="J710">
        <f>IFERROR(INDEX('1.산군_붙여넣기'!$A$1:$AZ$1001,ROW(),설정!$C$12)&amp;"","")</f>
        <v/>
      </c>
      <c r="K710">
        <f>IFERROR(INDEX('1.산군_붙여넣기'!$A$1:$AZ$1001,ROW(),설정!$C$13)&amp;"","")</f>
        <v/>
      </c>
      <c r="L710" s="6">
        <f>IF(X710="","",IF(AND(LEN(X710)=8,ISNUMBER(X710*1)),DATE(LEFT(X710,4),MID(X710,5,2),RIGHT(X710,2)),IFERROR(DATEVALUE(SUBSTITUTE(SUBSTITUTE(X710,".","-"),"/","-")),IFERROR(X710*1,""))))</f>
        <v/>
      </c>
      <c r="M710" s="6">
        <f>IF(Y710="","",IF(AND(LEN(Y710)=8,ISNUMBER(Y710*1)),DATE(LEFT(Y710,4),MID(Y710,5,2),RIGHT(Y710,2)),IFERROR(DATEVALUE(SUBSTITUTE(SUBSTITUTE(Y710,".","-"),"/","-")),IFERROR(Y710*1,""))))</f>
        <v/>
      </c>
      <c r="N710">
        <f>IFERROR(LEFT(B710,FIND(" ",B710)-1),B710)</f>
        <v/>
      </c>
      <c r="O710">
        <f>AND(B710&lt;&gt;"",B710&lt;&gt;설정!$B$4,C710&lt;&gt;설정!$B$5)</f>
        <v/>
      </c>
      <c r="P710">
        <f>IF(O710,B710&amp;"|"&amp;C710,"")</f>
        <v/>
      </c>
      <c r="Q710">
        <f>AND(O710,COUNTIF(P711:P$1002,P710)=0)</f>
        <v/>
      </c>
      <c r="R710">
        <f>OR(AND(설정!$A$28&lt;&gt;"",ISNUMBER(SEARCH(설정!$A$28,E710&amp;" "&amp;C710))),AND(설정!$A$29&lt;&gt;"",ISNUMBER(SEARCH(설정!$A$29,E710&amp;" "&amp;C710))),AND(설정!$A$30&lt;&gt;"",ISNUMBER(SEARCH(설정!$A$30,E710&amp;" "&amp;C710))),AND(설정!$A$31&lt;&gt;"",ISNUMBER(SEARCH(설정!$A$31,E710&amp;" "&amp;C710))),AND(설정!$A$32&lt;&gt;"",ISNUMBER(SEARCH(설정!$A$32,E710&amp;" "&amp;C710))),AND(설정!$A$33&lt;&gt;"",ISNUMBER(SEARCH(설정!$A$33,E710&amp;" "&amp;C710))),AND(설정!$A$34&lt;&gt;"",ISNUMBER(SEARCH(설정!$A$34,E710&amp;" "&amp;C710))),AND(설정!$A$35&lt;&gt;"",ISNUMBER(SEARCH(설정!$A$35,E710&amp;" "&amp;C710))),AND(설정!$A$36&lt;&gt;"",ISNUMBER(SEARCH(설정!$A$36,E710&amp;" "&amp;C710))),AND(설정!$A$37&lt;&gt;"",ISNUMBER(SEARCH(설정!$A$37,E710&amp;" "&amp;C710))))</f>
        <v/>
      </c>
      <c r="S710">
        <f>OR(D710="",D710&gt;=설정!$B$19)</f>
        <v/>
      </c>
      <c r="T710">
        <f>AND(Q710,R710,S710)</f>
        <v/>
      </c>
      <c r="U710">
        <f>IF(T710,IF(AND(설정!$A$41&lt;&gt;"",ISNUMBER(SEARCH(설정!$A$41,K710))),설정!$B$41,IF(AND(설정!$A$42&lt;&gt;"",ISNUMBER(SEARCH(설정!$A$42,K710))),설정!$B$42,IF(AND(설정!$A$43&lt;&gt;"",ISNUMBER(SEARCH(설정!$A$43,K710))),설정!$B$43,IF(AND(설정!$A$44&lt;&gt;"",ISNUMBER(SEARCH(설정!$A$44,K710))),설정!$B$44,IF(AND(설정!$A$45&lt;&gt;"",ISNUMBER(SEARCH(설정!$A$45,K710))),설정!$B$45,IF(AND(설정!$A$46&lt;&gt;"",ISNUMBER(SEARCH(설정!$A$46,K710))),설정!$B$46,IF(AND(설정!$A$47&lt;&gt;"",ISNUMBER(SEARCH(설정!$A$47,K710))),설정!$B$47,IF(AND(설정!$A$48&lt;&gt;"",ISNUMBER(SEARCH(설정!$A$48,K710))),설정!$B$48,IF(M710="","설계사","시공사"))))))))),"")</f>
        <v/>
      </c>
      <c r="V710">
        <f>SUBSTITUTE(SUBSTITUTE(SUBSTITUTE(SUBSTITUTE(G710,"(주)",""),"㈜",""),"주식회사","")," ","")</f>
        <v/>
      </c>
      <c r="W710">
        <f>IF(AND(T710,V710&lt;&gt;""),IF(COUNTIFS(V$2:V710,V710,T$2:T710,TRUE)=1,MAX(W$1:W709)+1,""),"")</f>
        <v/>
      </c>
      <c r="X710">
        <f>IFERROR(INDEX('1.산군_붙여넣기'!$A$1:$AZ$1001,ROW(),설정!$C$14)&amp;"","")</f>
        <v/>
      </c>
      <c r="Y710">
        <f>IFERROR(INDEX('1.산군_붙여넣기'!$A$1:$AZ$1001,ROW(),설정!$C$15)&amp;"","")</f>
        <v/>
      </c>
      <c r="Z710">
        <f>IF(T710,V710&amp;"|"&amp;U710,"")</f>
        <v/>
      </c>
    </row>
    <row r="711">
      <c r="A711">
        <f>ROW()</f>
        <v/>
      </c>
      <c r="B711">
        <f>IFERROR(INDEX('1.산군_붙여넣기'!$A$1:$AZ$1001,ROW(),설정!$C$4)&amp;"","")</f>
        <v/>
      </c>
      <c r="C711">
        <f>IFERROR(INDEX('1.산군_붙여넣기'!$A$1:$AZ$1001,ROW(),설정!$C$5)&amp;"","")</f>
        <v/>
      </c>
      <c r="D711" s="5">
        <f>IFERROR(VALUE(SUBSTITUTE(SUBSTITUTE(SUBSTITUTE(IFERROR(INDEX('1.산군_붙여넣기'!$A$1:$AZ$1001,ROW(),설정!$C$6)&amp;"",""),",",""),"㎡",""),"m2","")),"")</f>
        <v/>
      </c>
      <c r="E711">
        <f>IFERROR(INDEX('1.산군_붙여넣기'!$A$1:$AZ$1001,ROW(),설정!$C$7)&amp;"","")</f>
        <v/>
      </c>
      <c r="F711">
        <f>IFERROR(INDEX('1.산군_붙여넣기'!$A$1:$AZ$1001,ROW(),설정!$C$8)&amp;"","")</f>
        <v/>
      </c>
      <c r="G711">
        <f>IFERROR(INDEX('1.산군_붙여넣기'!$A$1:$AZ$1001,ROW(),설정!$C$9)&amp;"","")</f>
        <v/>
      </c>
      <c r="H711">
        <f>IFERROR(INDEX('1.산군_붙여넣기'!$A$1:$AZ$1001,ROW(),설정!$C$10)&amp;"","")</f>
        <v/>
      </c>
      <c r="I711">
        <f>IFERROR(INDEX('1.산군_붙여넣기'!$A$1:$AZ$1001,ROW(),설정!$C$11)&amp;"","")</f>
        <v/>
      </c>
      <c r="J711">
        <f>IFERROR(INDEX('1.산군_붙여넣기'!$A$1:$AZ$1001,ROW(),설정!$C$12)&amp;"","")</f>
        <v/>
      </c>
      <c r="K711">
        <f>IFERROR(INDEX('1.산군_붙여넣기'!$A$1:$AZ$1001,ROW(),설정!$C$13)&amp;"","")</f>
        <v/>
      </c>
      <c r="L711" s="6">
        <f>IF(X711="","",IF(AND(LEN(X711)=8,ISNUMBER(X711*1)),DATE(LEFT(X711,4),MID(X711,5,2),RIGHT(X711,2)),IFERROR(DATEVALUE(SUBSTITUTE(SUBSTITUTE(X711,".","-"),"/","-")),IFERROR(X711*1,""))))</f>
        <v/>
      </c>
      <c r="M711" s="6">
        <f>IF(Y711="","",IF(AND(LEN(Y711)=8,ISNUMBER(Y711*1)),DATE(LEFT(Y711,4),MID(Y711,5,2),RIGHT(Y711,2)),IFERROR(DATEVALUE(SUBSTITUTE(SUBSTITUTE(Y711,".","-"),"/","-")),IFERROR(Y711*1,""))))</f>
        <v/>
      </c>
      <c r="N711">
        <f>IFERROR(LEFT(B711,FIND(" ",B711)-1),B711)</f>
        <v/>
      </c>
      <c r="O711">
        <f>AND(B711&lt;&gt;"",B711&lt;&gt;설정!$B$4,C711&lt;&gt;설정!$B$5)</f>
        <v/>
      </c>
      <c r="P711">
        <f>IF(O711,B711&amp;"|"&amp;C711,"")</f>
        <v/>
      </c>
      <c r="Q711">
        <f>AND(O711,COUNTIF(P712:P$1002,P711)=0)</f>
        <v/>
      </c>
      <c r="R711">
        <f>OR(AND(설정!$A$28&lt;&gt;"",ISNUMBER(SEARCH(설정!$A$28,E711&amp;" "&amp;C711))),AND(설정!$A$29&lt;&gt;"",ISNUMBER(SEARCH(설정!$A$29,E711&amp;" "&amp;C711))),AND(설정!$A$30&lt;&gt;"",ISNUMBER(SEARCH(설정!$A$30,E711&amp;" "&amp;C711))),AND(설정!$A$31&lt;&gt;"",ISNUMBER(SEARCH(설정!$A$31,E711&amp;" "&amp;C711))),AND(설정!$A$32&lt;&gt;"",ISNUMBER(SEARCH(설정!$A$32,E711&amp;" "&amp;C711))),AND(설정!$A$33&lt;&gt;"",ISNUMBER(SEARCH(설정!$A$33,E711&amp;" "&amp;C711))),AND(설정!$A$34&lt;&gt;"",ISNUMBER(SEARCH(설정!$A$34,E711&amp;" "&amp;C711))),AND(설정!$A$35&lt;&gt;"",ISNUMBER(SEARCH(설정!$A$35,E711&amp;" "&amp;C711))),AND(설정!$A$36&lt;&gt;"",ISNUMBER(SEARCH(설정!$A$36,E711&amp;" "&amp;C711))),AND(설정!$A$37&lt;&gt;"",ISNUMBER(SEARCH(설정!$A$37,E711&amp;" "&amp;C711))))</f>
        <v/>
      </c>
      <c r="S711">
        <f>OR(D711="",D711&gt;=설정!$B$19)</f>
        <v/>
      </c>
      <c r="T711">
        <f>AND(Q711,R711,S711)</f>
        <v/>
      </c>
      <c r="U711">
        <f>IF(T711,IF(AND(설정!$A$41&lt;&gt;"",ISNUMBER(SEARCH(설정!$A$41,K711))),설정!$B$41,IF(AND(설정!$A$42&lt;&gt;"",ISNUMBER(SEARCH(설정!$A$42,K711))),설정!$B$42,IF(AND(설정!$A$43&lt;&gt;"",ISNUMBER(SEARCH(설정!$A$43,K711))),설정!$B$43,IF(AND(설정!$A$44&lt;&gt;"",ISNUMBER(SEARCH(설정!$A$44,K711))),설정!$B$44,IF(AND(설정!$A$45&lt;&gt;"",ISNUMBER(SEARCH(설정!$A$45,K711))),설정!$B$45,IF(AND(설정!$A$46&lt;&gt;"",ISNUMBER(SEARCH(설정!$A$46,K711))),설정!$B$46,IF(AND(설정!$A$47&lt;&gt;"",ISNUMBER(SEARCH(설정!$A$47,K711))),설정!$B$47,IF(AND(설정!$A$48&lt;&gt;"",ISNUMBER(SEARCH(설정!$A$48,K711))),설정!$B$48,IF(M711="","설계사","시공사"))))))))),"")</f>
        <v/>
      </c>
      <c r="V711">
        <f>SUBSTITUTE(SUBSTITUTE(SUBSTITUTE(SUBSTITUTE(G711,"(주)",""),"㈜",""),"주식회사","")," ","")</f>
        <v/>
      </c>
      <c r="W711">
        <f>IF(AND(T711,V711&lt;&gt;""),IF(COUNTIFS(V$2:V711,V711,T$2:T711,TRUE)=1,MAX(W$1:W710)+1,""),"")</f>
        <v/>
      </c>
      <c r="X711">
        <f>IFERROR(INDEX('1.산군_붙여넣기'!$A$1:$AZ$1001,ROW(),설정!$C$14)&amp;"","")</f>
        <v/>
      </c>
      <c r="Y711">
        <f>IFERROR(INDEX('1.산군_붙여넣기'!$A$1:$AZ$1001,ROW(),설정!$C$15)&amp;"","")</f>
        <v/>
      </c>
      <c r="Z711">
        <f>IF(T711,V711&amp;"|"&amp;U711,"")</f>
        <v/>
      </c>
    </row>
    <row r="712">
      <c r="A712">
        <f>ROW()</f>
        <v/>
      </c>
      <c r="B712">
        <f>IFERROR(INDEX('1.산군_붙여넣기'!$A$1:$AZ$1001,ROW(),설정!$C$4)&amp;"","")</f>
        <v/>
      </c>
      <c r="C712">
        <f>IFERROR(INDEX('1.산군_붙여넣기'!$A$1:$AZ$1001,ROW(),설정!$C$5)&amp;"","")</f>
        <v/>
      </c>
      <c r="D712" s="5">
        <f>IFERROR(VALUE(SUBSTITUTE(SUBSTITUTE(SUBSTITUTE(IFERROR(INDEX('1.산군_붙여넣기'!$A$1:$AZ$1001,ROW(),설정!$C$6)&amp;"",""),",",""),"㎡",""),"m2","")),"")</f>
        <v/>
      </c>
      <c r="E712">
        <f>IFERROR(INDEX('1.산군_붙여넣기'!$A$1:$AZ$1001,ROW(),설정!$C$7)&amp;"","")</f>
        <v/>
      </c>
      <c r="F712">
        <f>IFERROR(INDEX('1.산군_붙여넣기'!$A$1:$AZ$1001,ROW(),설정!$C$8)&amp;"","")</f>
        <v/>
      </c>
      <c r="G712">
        <f>IFERROR(INDEX('1.산군_붙여넣기'!$A$1:$AZ$1001,ROW(),설정!$C$9)&amp;"","")</f>
        <v/>
      </c>
      <c r="H712">
        <f>IFERROR(INDEX('1.산군_붙여넣기'!$A$1:$AZ$1001,ROW(),설정!$C$10)&amp;"","")</f>
        <v/>
      </c>
      <c r="I712">
        <f>IFERROR(INDEX('1.산군_붙여넣기'!$A$1:$AZ$1001,ROW(),설정!$C$11)&amp;"","")</f>
        <v/>
      </c>
      <c r="J712">
        <f>IFERROR(INDEX('1.산군_붙여넣기'!$A$1:$AZ$1001,ROW(),설정!$C$12)&amp;"","")</f>
        <v/>
      </c>
      <c r="K712">
        <f>IFERROR(INDEX('1.산군_붙여넣기'!$A$1:$AZ$1001,ROW(),설정!$C$13)&amp;"","")</f>
        <v/>
      </c>
      <c r="L712" s="6">
        <f>IF(X712="","",IF(AND(LEN(X712)=8,ISNUMBER(X712*1)),DATE(LEFT(X712,4),MID(X712,5,2),RIGHT(X712,2)),IFERROR(DATEVALUE(SUBSTITUTE(SUBSTITUTE(X712,".","-"),"/","-")),IFERROR(X712*1,""))))</f>
        <v/>
      </c>
      <c r="M712" s="6">
        <f>IF(Y712="","",IF(AND(LEN(Y712)=8,ISNUMBER(Y712*1)),DATE(LEFT(Y712,4),MID(Y712,5,2),RIGHT(Y712,2)),IFERROR(DATEVALUE(SUBSTITUTE(SUBSTITUTE(Y712,".","-"),"/","-")),IFERROR(Y712*1,""))))</f>
        <v/>
      </c>
      <c r="N712">
        <f>IFERROR(LEFT(B712,FIND(" ",B712)-1),B712)</f>
        <v/>
      </c>
      <c r="O712">
        <f>AND(B712&lt;&gt;"",B712&lt;&gt;설정!$B$4,C712&lt;&gt;설정!$B$5)</f>
        <v/>
      </c>
      <c r="P712">
        <f>IF(O712,B712&amp;"|"&amp;C712,"")</f>
        <v/>
      </c>
      <c r="Q712">
        <f>AND(O712,COUNTIF(P713:P$1002,P712)=0)</f>
        <v/>
      </c>
      <c r="R712">
        <f>OR(AND(설정!$A$28&lt;&gt;"",ISNUMBER(SEARCH(설정!$A$28,E712&amp;" "&amp;C712))),AND(설정!$A$29&lt;&gt;"",ISNUMBER(SEARCH(설정!$A$29,E712&amp;" "&amp;C712))),AND(설정!$A$30&lt;&gt;"",ISNUMBER(SEARCH(설정!$A$30,E712&amp;" "&amp;C712))),AND(설정!$A$31&lt;&gt;"",ISNUMBER(SEARCH(설정!$A$31,E712&amp;" "&amp;C712))),AND(설정!$A$32&lt;&gt;"",ISNUMBER(SEARCH(설정!$A$32,E712&amp;" "&amp;C712))),AND(설정!$A$33&lt;&gt;"",ISNUMBER(SEARCH(설정!$A$33,E712&amp;" "&amp;C712))),AND(설정!$A$34&lt;&gt;"",ISNUMBER(SEARCH(설정!$A$34,E712&amp;" "&amp;C712))),AND(설정!$A$35&lt;&gt;"",ISNUMBER(SEARCH(설정!$A$35,E712&amp;" "&amp;C712))),AND(설정!$A$36&lt;&gt;"",ISNUMBER(SEARCH(설정!$A$36,E712&amp;" "&amp;C712))),AND(설정!$A$37&lt;&gt;"",ISNUMBER(SEARCH(설정!$A$37,E712&amp;" "&amp;C712))))</f>
        <v/>
      </c>
      <c r="S712">
        <f>OR(D712="",D712&gt;=설정!$B$19)</f>
        <v/>
      </c>
      <c r="T712">
        <f>AND(Q712,R712,S712)</f>
        <v/>
      </c>
      <c r="U712">
        <f>IF(T712,IF(AND(설정!$A$41&lt;&gt;"",ISNUMBER(SEARCH(설정!$A$41,K712))),설정!$B$41,IF(AND(설정!$A$42&lt;&gt;"",ISNUMBER(SEARCH(설정!$A$42,K712))),설정!$B$42,IF(AND(설정!$A$43&lt;&gt;"",ISNUMBER(SEARCH(설정!$A$43,K712))),설정!$B$43,IF(AND(설정!$A$44&lt;&gt;"",ISNUMBER(SEARCH(설정!$A$44,K712))),설정!$B$44,IF(AND(설정!$A$45&lt;&gt;"",ISNUMBER(SEARCH(설정!$A$45,K712))),설정!$B$45,IF(AND(설정!$A$46&lt;&gt;"",ISNUMBER(SEARCH(설정!$A$46,K712))),설정!$B$46,IF(AND(설정!$A$47&lt;&gt;"",ISNUMBER(SEARCH(설정!$A$47,K712))),설정!$B$47,IF(AND(설정!$A$48&lt;&gt;"",ISNUMBER(SEARCH(설정!$A$48,K712))),설정!$B$48,IF(M712="","설계사","시공사"))))))))),"")</f>
        <v/>
      </c>
      <c r="V712">
        <f>SUBSTITUTE(SUBSTITUTE(SUBSTITUTE(SUBSTITUTE(G712,"(주)",""),"㈜",""),"주식회사","")," ","")</f>
        <v/>
      </c>
      <c r="W712">
        <f>IF(AND(T712,V712&lt;&gt;""),IF(COUNTIFS(V$2:V712,V712,T$2:T712,TRUE)=1,MAX(W$1:W711)+1,""),"")</f>
        <v/>
      </c>
      <c r="X712">
        <f>IFERROR(INDEX('1.산군_붙여넣기'!$A$1:$AZ$1001,ROW(),설정!$C$14)&amp;"","")</f>
        <v/>
      </c>
      <c r="Y712">
        <f>IFERROR(INDEX('1.산군_붙여넣기'!$A$1:$AZ$1001,ROW(),설정!$C$15)&amp;"","")</f>
        <v/>
      </c>
      <c r="Z712">
        <f>IF(T712,V712&amp;"|"&amp;U712,"")</f>
        <v/>
      </c>
    </row>
    <row r="713">
      <c r="A713">
        <f>ROW()</f>
        <v/>
      </c>
      <c r="B713">
        <f>IFERROR(INDEX('1.산군_붙여넣기'!$A$1:$AZ$1001,ROW(),설정!$C$4)&amp;"","")</f>
        <v/>
      </c>
      <c r="C713">
        <f>IFERROR(INDEX('1.산군_붙여넣기'!$A$1:$AZ$1001,ROW(),설정!$C$5)&amp;"","")</f>
        <v/>
      </c>
      <c r="D713" s="5">
        <f>IFERROR(VALUE(SUBSTITUTE(SUBSTITUTE(SUBSTITUTE(IFERROR(INDEX('1.산군_붙여넣기'!$A$1:$AZ$1001,ROW(),설정!$C$6)&amp;"",""),",",""),"㎡",""),"m2","")),"")</f>
        <v/>
      </c>
      <c r="E713">
        <f>IFERROR(INDEX('1.산군_붙여넣기'!$A$1:$AZ$1001,ROW(),설정!$C$7)&amp;"","")</f>
        <v/>
      </c>
      <c r="F713">
        <f>IFERROR(INDEX('1.산군_붙여넣기'!$A$1:$AZ$1001,ROW(),설정!$C$8)&amp;"","")</f>
        <v/>
      </c>
      <c r="G713">
        <f>IFERROR(INDEX('1.산군_붙여넣기'!$A$1:$AZ$1001,ROW(),설정!$C$9)&amp;"","")</f>
        <v/>
      </c>
      <c r="H713">
        <f>IFERROR(INDEX('1.산군_붙여넣기'!$A$1:$AZ$1001,ROW(),설정!$C$10)&amp;"","")</f>
        <v/>
      </c>
      <c r="I713">
        <f>IFERROR(INDEX('1.산군_붙여넣기'!$A$1:$AZ$1001,ROW(),설정!$C$11)&amp;"","")</f>
        <v/>
      </c>
      <c r="J713">
        <f>IFERROR(INDEX('1.산군_붙여넣기'!$A$1:$AZ$1001,ROW(),설정!$C$12)&amp;"","")</f>
        <v/>
      </c>
      <c r="K713">
        <f>IFERROR(INDEX('1.산군_붙여넣기'!$A$1:$AZ$1001,ROW(),설정!$C$13)&amp;"","")</f>
        <v/>
      </c>
      <c r="L713" s="6">
        <f>IF(X713="","",IF(AND(LEN(X713)=8,ISNUMBER(X713*1)),DATE(LEFT(X713,4),MID(X713,5,2),RIGHT(X713,2)),IFERROR(DATEVALUE(SUBSTITUTE(SUBSTITUTE(X713,".","-"),"/","-")),IFERROR(X713*1,""))))</f>
        <v/>
      </c>
      <c r="M713" s="6">
        <f>IF(Y713="","",IF(AND(LEN(Y713)=8,ISNUMBER(Y713*1)),DATE(LEFT(Y713,4),MID(Y713,5,2),RIGHT(Y713,2)),IFERROR(DATEVALUE(SUBSTITUTE(SUBSTITUTE(Y713,".","-"),"/","-")),IFERROR(Y713*1,""))))</f>
        <v/>
      </c>
      <c r="N713">
        <f>IFERROR(LEFT(B713,FIND(" ",B713)-1),B713)</f>
        <v/>
      </c>
      <c r="O713">
        <f>AND(B713&lt;&gt;"",B713&lt;&gt;설정!$B$4,C713&lt;&gt;설정!$B$5)</f>
        <v/>
      </c>
      <c r="P713">
        <f>IF(O713,B713&amp;"|"&amp;C713,"")</f>
        <v/>
      </c>
      <c r="Q713">
        <f>AND(O713,COUNTIF(P714:P$1002,P713)=0)</f>
        <v/>
      </c>
      <c r="R713">
        <f>OR(AND(설정!$A$28&lt;&gt;"",ISNUMBER(SEARCH(설정!$A$28,E713&amp;" "&amp;C713))),AND(설정!$A$29&lt;&gt;"",ISNUMBER(SEARCH(설정!$A$29,E713&amp;" "&amp;C713))),AND(설정!$A$30&lt;&gt;"",ISNUMBER(SEARCH(설정!$A$30,E713&amp;" "&amp;C713))),AND(설정!$A$31&lt;&gt;"",ISNUMBER(SEARCH(설정!$A$31,E713&amp;" "&amp;C713))),AND(설정!$A$32&lt;&gt;"",ISNUMBER(SEARCH(설정!$A$32,E713&amp;" "&amp;C713))),AND(설정!$A$33&lt;&gt;"",ISNUMBER(SEARCH(설정!$A$33,E713&amp;" "&amp;C713))),AND(설정!$A$34&lt;&gt;"",ISNUMBER(SEARCH(설정!$A$34,E713&amp;" "&amp;C713))),AND(설정!$A$35&lt;&gt;"",ISNUMBER(SEARCH(설정!$A$35,E713&amp;" "&amp;C713))),AND(설정!$A$36&lt;&gt;"",ISNUMBER(SEARCH(설정!$A$36,E713&amp;" "&amp;C713))),AND(설정!$A$37&lt;&gt;"",ISNUMBER(SEARCH(설정!$A$37,E713&amp;" "&amp;C713))))</f>
        <v/>
      </c>
      <c r="S713">
        <f>OR(D713="",D713&gt;=설정!$B$19)</f>
        <v/>
      </c>
      <c r="T713">
        <f>AND(Q713,R713,S713)</f>
        <v/>
      </c>
      <c r="U713">
        <f>IF(T713,IF(AND(설정!$A$41&lt;&gt;"",ISNUMBER(SEARCH(설정!$A$41,K713))),설정!$B$41,IF(AND(설정!$A$42&lt;&gt;"",ISNUMBER(SEARCH(설정!$A$42,K713))),설정!$B$42,IF(AND(설정!$A$43&lt;&gt;"",ISNUMBER(SEARCH(설정!$A$43,K713))),설정!$B$43,IF(AND(설정!$A$44&lt;&gt;"",ISNUMBER(SEARCH(설정!$A$44,K713))),설정!$B$44,IF(AND(설정!$A$45&lt;&gt;"",ISNUMBER(SEARCH(설정!$A$45,K713))),설정!$B$45,IF(AND(설정!$A$46&lt;&gt;"",ISNUMBER(SEARCH(설정!$A$46,K713))),설정!$B$46,IF(AND(설정!$A$47&lt;&gt;"",ISNUMBER(SEARCH(설정!$A$47,K713))),설정!$B$47,IF(AND(설정!$A$48&lt;&gt;"",ISNUMBER(SEARCH(설정!$A$48,K713))),설정!$B$48,IF(M713="","설계사","시공사"))))))))),"")</f>
        <v/>
      </c>
      <c r="V713">
        <f>SUBSTITUTE(SUBSTITUTE(SUBSTITUTE(SUBSTITUTE(G713,"(주)",""),"㈜",""),"주식회사","")," ","")</f>
        <v/>
      </c>
      <c r="W713">
        <f>IF(AND(T713,V713&lt;&gt;""),IF(COUNTIFS(V$2:V713,V713,T$2:T713,TRUE)=1,MAX(W$1:W712)+1,""),"")</f>
        <v/>
      </c>
      <c r="X713">
        <f>IFERROR(INDEX('1.산군_붙여넣기'!$A$1:$AZ$1001,ROW(),설정!$C$14)&amp;"","")</f>
        <v/>
      </c>
      <c r="Y713">
        <f>IFERROR(INDEX('1.산군_붙여넣기'!$A$1:$AZ$1001,ROW(),설정!$C$15)&amp;"","")</f>
        <v/>
      </c>
      <c r="Z713">
        <f>IF(T713,V713&amp;"|"&amp;U713,"")</f>
        <v/>
      </c>
    </row>
    <row r="714">
      <c r="A714">
        <f>ROW()</f>
        <v/>
      </c>
      <c r="B714">
        <f>IFERROR(INDEX('1.산군_붙여넣기'!$A$1:$AZ$1001,ROW(),설정!$C$4)&amp;"","")</f>
        <v/>
      </c>
      <c r="C714">
        <f>IFERROR(INDEX('1.산군_붙여넣기'!$A$1:$AZ$1001,ROW(),설정!$C$5)&amp;"","")</f>
        <v/>
      </c>
      <c r="D714" s="5">
        <f>IFERROR(VALUE(SUBSTITUTE(SUBSTITUTE(SUBSTITUTE(IFERROR(INDEX('1.산군_붙여넣기'!$A$1:$AZ$1001,ROW(),설정!$C$6)&amp;"",""),",",""),"㎡",""),"m2","")),"")</f>
        <v/>
      </c>
      <c r="E714">
        <f>IFERROR(INDEX('1.산군_붙여넣기'!$A$1:$AZ$1001,ROW(),설정!$C$7)&amp;"","")</f>
        <v/>
      </c>
      <c r="F714">
        <f>IFERROR(INDEX('1.산군_붙여넣기'!$A$1:$AZ$1001,ROW(),설정!$C$8)&amp;"","")</f>
        <v/>
      </c>
      <c r="G714">
        <f>IFERROR(INDEX('1.산군_붙여넣기'!$A$1:$AZ$1001,ROW(),설정!$C$9)&amp;"","")</f>
        <v/>
      </c>
      <c r="H714">
        <f>IFERROR(INDEX('1.산군_붙여넣기'!$A$1:$AZ$1001,ROW(),설정!$C$10)&amp;"","")</f>
        <v/>
      </c>
      <c r="I714">
        <f>IFERROR(INDEX('1.산군_붙여넣기'!$A$1:$AZ$1001,ROW(),설정!$C$11)&amp;"","")</f>
        <v/>
      </c>
      <c r="J714">
        <f>IFERROR(INDEX('1.산군_붙여넣기'!$A$1:$AZ$1001,ROW(),설정!$C$12)&amp;"","")</f>
        <v/>
      </c>
      <c r="K714">
        <f>IFERROR(INDEX('1.산군_붙여넣기'!$A$1:$AZ$1001,ROW(),설정!$C$13)&amp;"","")</f>
        <v/>
      </c>
      <c r="L714" s="6">
        <f>IF(X714="","",IF(AND(LEN(X714)=8,ISNUMBER(X714*1)),DATE(LEFT(X714,4),MID(X714,5,2),RIGHT(X714,2)),IFERROR(DATEVALUE(SUBSTITUTE(SUBSTITUTE(X714,".","-"),"/","-")),IFERROR(X714*1,""))))</f>
        <v/>
      </c>
      <c r="M714" s="6">
        <f>IF(Y714="","",IF(AND(LEN(Y714)=8,ISNUMBER(Y714*1)),DATE(LEFT(Y714,4),MID(Y714,5,2),RIGHT(Y714,2)),IFERROR(DATEVALUE(SUBSTITUTE(SUBSTITUTE(Y714,".","-"),"/","-")),IFERROR(Y714*1,""))))</f>
        <v/>
      </c>
      <c r="N714">
        <f>IFERROR(LEFT(B714,FIND(" ",B714)-1),B714)</f>
        <v/>
      </c>
      <c r="O714">
        <f>AND(B714&lt;&gt;"",B714&lt;&gt;설정!$B$4,C714&lt;&gt;설정!$B$5)</f>
        <v/>
      </c>
      <c r="P714">
        <f>IF(O714,B714&amp;"|"&amp;C714,"")</f>
        <v/>
      </c>
      <c r="Q714">
        <f>AND(O714,COUNTIF(P715:P$1002,P714)=0)</f>
        <v/>
      </c>
      <c r="R714">
        <f>OR(AND(설정!$A$28&lt;&gt;"",ISNUMBER(SEARCH(설정!$A$28,E714&amp;" "&amp;C714))),AND(설정!$A$29&lt;&gt;"",ISNUMBER(SEARCH(설정!$A$29,E714&amp;" "&amp;C714))),AND(설정!$A$30&lt;&gt;"",ISNUMBER(SEARCH(설정!$A$30,E714&amp;" "&amp;C714))),AND(설정!$A$31&lt;&gt;"",ISNUMBER(SEARCH(설정!$A$31,E714&amp;" "&amp;C714))),AND(설정!$A$32&lt;&gt;"",ISNUMBER(SEARCH(설정!$A$32,E714&amp;" "&amp;C714))),AND(설정!$A$33&lt;&gt;"",ISNUMBER(SEARCH(설정!$A$33,E714&amp;" "&amp;C714))),AND(설정!$A$34&lt;&gt;"",ISNUMBER(SEARCH(설정!$A$34,E714&amp;" "&amp;C714))),AND(설정!$A$35&lt;&gt;"",ISNUMBER(SEARCH(설정!$A$35,E714&amp;" "&amp;C714))),AND(설정!$A$36&lt;&gt;"",ISNUMBER(SEARCH(설정!$A$36,E714&amp;" "&amp;C714))),AND(설정!$A$37&lt;&gt;"",ISNUMBER(SEARCH(설정!$A$37,E714&amp;" "&amp;C714))))</f>
        <v/>
      </c>
      <c r="S714">
        <f>OR(D714="",D714&gt;=설정!$B$19)</f>
        <v/>
      </c>
      <c r="T714">
        <f>AND(Q714,R714,S714)</f>
        <v/>
      </c>
      <c r="U714">
        <f>IF(T714,IF(AND(설정!$A$41&lt;&gt;"",ISNUMBER(SEARCH(설정!$A$41,K714))),설정!$B$41,IF(AND(설정!$A$42&lt;&gt;"",ISNUMBER(SEARCH(설정!$A$42,K714))),설정!$B$42,IF(AND(설정!$A$43&lt;&gt;"",ISNUMBER(SEARCH(설정!$A$43,K714))),설정!$B$43,IF(AND(설정!$A$44&lt;&gt;"",ISNUMBER(SEARCH(설정!$A$44,K714))),설정!$B$44,IF(AND(설정!$A$45&lt;&gt;"",ISNUMBER(SEARCH(설정!$A$45,K714))),설정!$B$45,IF(AND(설정!$A$46&lt;&gt;"",ISNUMBER(SEARCH(설정!$A$46,K714))),설정!$B$46,IF(AND(설정!$A$47&lt;&gt;"",ISNUMBER(SEARCH(설정!$A$47,K714))),설정!$B$47,IF(AND(설정!$A$48&lt;&gt;"",ISNUMBER(SEARCH(설정!$A$48,K714))),설정!$B$48,IF(M714="","설계사","시공사"))))))))),"")</f>
        <v/>
      </c>
      <c r="V714">
        <f>SUBSTITUTE(SUBSTITUTE(SUBSTITUTE(SUBSTITUTE(G714,"(주)",""),"㈜",""),"주식회사","")," ","")</f>
        <v/>
      </c>
      <c r="W714">
        <f>IF(AND(T714,V714&lt;&gt;""),IF(COUNTIFS(V$2:V714,V714,T$2:T714,TRUE)=1,MAX(W$1:W713)+1,""),"")</f>
        <v/>
      </c>
      <c r="X714">
        <f>IFERROR(INDEX('1.산군_붙여넣기'!$A$1:$AZ$1001,ROW(),설정!$C$14)&amp;"","")</f>
        <v/>
      </c>
      <c r="Y714">
        <f>IFERROR(INDEX('1.산군_붙여넣기'!$A$1:$AZ$1001,ROW(),설정!$C$15)&amp;"","")</f>
        <v/>
      </c>
      <c r="Z714">
        <f>IF(T714,V714&amp;"|"&amp;U714,"")</f>
        <v/>
      </c>
    </row>
    <row r="715">
      <c r="A715">
        <f>ROW()</f>
        <v/>
      </c>
      <c r="B715">
        <f>IFERROR(INDEX('1.산군_붙여넣기'!$A$1:$AZ$1001,ROW(),설정!$C$4)&amp;"","")</f>
        <v/>
      </c>
      <c r="C715">
        <f>IFERROR(INDEX('1.산군_붙여넣기'!$A$1:$AZ$1001,ROW(),설정!$C$5)&amp;"","")</f>
        <v/>
      </c>
      <c r="D715" s="5">
        <f>IFERROR(VALUE(SUBSTITUTE(SUBSTITUTE(SUBSTITUTE(IFERROR(INDEX('1.산군_붙여넣기'!$A$1:$AZ$1001,ROW(),설정!$C$6)&amp;"",""),",",""),"㎡",""),"m2","")),"")</f>
        <v/>
      </c>
      <c r="E715">
        <f>IFERROR(INDEX('1.산군_붙여넣기'!$A$1:$AZ$1001,ROW(),설정!$C$7)&amp;"","")</f>
        <v/>
      </c>
      <c r="F715">
        <f>IFERROR(INDEX('1.산군_붙여넣기'!$A$1:$AZ$1001,ROW(),설정!$C$8)&amp;"","")</f>
        <v/>
      </c>
      <c r="G715">
        <f>IFERROR(INDEX('1.산군_붙여넣기'!$A$1:$AZ$1001,ROW(),설정!$C$9)&amp;"","")</f>
        <v/>
      </c>
      <c r="H715">
        <f>IFERROR(INDEX('1.산군_붙여넣기'!$A$1:$AZ$1001,ROW(),설정!$C$10)&amp;"","")</f>
        <v/>
      </c>
      <c r="I715">
        <f>IFERROR(INDEX('1.산군_붙여넣기'!$A$1:$AZ$1001,ROW(),설정!$C$11)&amp;"","")</f>
        <v/>
      </c>
      <c r="J715">
        <f>IFERROR(INDEX('1.산군_붙여넣기'!$A$1:$AZ$1001,ROW(),설정!$C$12)&amp;"","")</f>
        <v/>
      </c>
      <c r="K715">
        <f>IFERROR(INDEX('1.산군_붙여넣기'!$A$1:$AZ$1001,ROW(),설정!$C$13)&amp;"","")</f>
        <v/>
      </c>
      <c r="L715" s="6">
        <f>IF(X715="","",IF(AND(LEN(X715)=8,ISNUMBER(X715*1)),DATE(LEFT(X715,4),MID(X715,5,2),RIGHT(X715,2)),IFERROR(DATEVALUE(SUBSTITUTE(SUBSTITUTE(X715,".","-"),"/","-")),IFERROR(X715*1,""))))</f>
        <v/>
      </c>
      <c r="M715" s="6">
        <f>IF(Y715="","",IF(AND(LEN(Y715)=8,ISNUMBER(Y715*1)),DATE(LEFT(Y715,4),MID(Y715,5,2),RIGHT(Y715,2)),IFERROR(DATEVALUE(SUBSTITUTE(SUBSTITUTE(Y715,".","-"),"/","-")),IFERROR(Y715*1,""))))</f>
        <v/>
      </c>
      <c r="N715">
        <f>IFERROR(LEFT(B715,FIND(" ",B715)-1),B715)</f>
        <v/>
      </c>
      <c r="O715">
        <f>AND(B715&lt;&gt;"",B715&lt;&gt;설정!$B$4,C715&lt;&gt;설정!$B$5)</f>
        <v/>
      </c>
      <c r="P715">
        <f>IF(O715,B715&amp;"|"&amp;C715,"")</f>
        <v/>
      </c>
      <c r="Q715">
        <f>AND(O715,COUNTIF(P716:P$1002,P715)=0)</f>
        <v/>
      </c>
      <c r="R715">
        <f>OR(AND(설정!$A$28&lt;&gt;"",ISNUMBER(SEARCH(설정!$A$28,E715&amp;" "&amp;C715))),AND(설정!$A$29&lt;&gt;"",ISNUMBER(SEARCH(설정!$A$29,E715&amp;" "&amp;C715))),AND(설정!$A$30&lt;&gt;"",ISNUMBER(SEARCH(설정!$A$30,E715&amp;" "&amp;C715))),AND(설정!$A$31&lt;&gt;"",ISNUMBER(SEARCH(설정!$A$31,E715&amp;" "&amp;C715))),AND(설정!$A$32&lt;&gt;"",ISNUMBER(SEARCH(설정!$A$32,E715&amp;" "&amp;C715))),AND(설정!$A$33&lt;&gt;"",ISNUMBER(SEARCH(설정!$A$33,E715&amp;" "&amp;C715))),AND(설정!$A$34&lt;&gt;"",ISNUMBER(SEARCH(설정!$A$34,E715&amp;" "&amp;C715))),AND(설정!$A$35&lt;&gt;"",ISNUMBER(SEARCH(설정!$A$35,E715&amp;" "&amp;C715))),AND(설정!$A$36&lt;&gt;"",ISNUMBER(SEARCH(설정!$A$36,E715&amp;" "&amp;C715))),AND(설정!$A$37&lt;&gt;"",ISNUMBER(SEARCH(설정!$A$37,E715&amp;" "&amp;C715))))</f>
        <v/>
      </c>
      <c r="S715">
        <f>OR(D715="",D715&gt;=설정!$B$19)</f>
        <v/>
      </c>
      <c r="T715">
        <f>AND(Q715,R715,S715)</f>
        <v/>
      </c>
      <c r="U715">
        <f>IF(T715,IF(AND(설정!$A$41&lt;&gt;"",ISNUMBER(SEARCH(설정!$A$41,K715))),설정!$B$41,IF(AND(설정!$A$42&lt;&gt;"",ISNUMBER(SEARCH(설정!$A$42,K715))),설정!$B$42,IF(AND(설정!$A$43&lt;&gt;"",ISNUMBER(SEARCH(설정!$A$43,K715))),설정!$B$43,IF(AND(설정!$A$44&lt;&gt;"",ISNUMBER(SEARCH(설정!$A$44,K715))),설정!$B$44,IF(AND(설정!$A$45&lt;&gt;"",ISNUMBER(SEARCH(설정!$A$45,K715))),설정!$B$45,IF(AND(설정!$A$46&lt;&gt;"",ISNUMBER(SEARCH(설정!$A$46,K715))),설정!$B$46,IF(AND(설정!$A$47&lt;&gt;"",ISNUMBER(SEARCH(설정!$A$47,K715))),설정!$B$47,IF(AND(설정!$A$48&lt;&gt;"",ISNUMBER(SEARCH(설정!$A$48,K715))),설정!$B$48,IF(M715="","설계사","시공사"))))))))),"")</f>
        <v/>
      </c>
      <c r="V715">
        <f>SUBSTITUTE(SUBSTITUTE(SUBSTITUTE(SUBSTITUTE(G715,"(주)",""),"㈜",""),"주식회사","")," ","")</f>
        <v/>
      </c>
      <c r="W715">
        <f>IF(AND(T715,V715&lt;&gt;""),IF(COUNTIFS(V$2:V715,V715,T$2:T715,TRUE)=1,MAX(W$1:W714)+1,""),"")</f>
        <v/>
      </c>
      <c r="X715">
        <f>IFERROR(INDEX('1.산군_붙여넣기'!$A$1:$AZ$1001,ROW(),설정!$C$14)&amp;"","")</f>
        <v/>
      </c>
      <c r="Y715">
        <f>IFERROR(INDEX('1.산군_붙여넣기'!$A$1:$AZ$1001,ROW(),설정!$C$15)&amp;"","")</f>
        <v/>
      </c>
      <c r="Z715">
        <f>IF(T715,V715&amp;"|"&amp;U715,"")</f>
        <v/>
      </c>
    </row>
    <row r="716">
      <c r="A716">
        <f>ROW()</f>
        <v/>
      </c>
      <c r="B716">
        <f>IFERROR(INDEX('1.산군_붙여넣기'!$A$1:$AZ$1001,ROW(),설정!$C$4)&amp;"","")</f>
        <v/>
      </c>
      <c r="C716">
        <f>IFERROR(INDEX('1.산군_붙여넣기'!$A$1:$AZ$1001,ROW(),설정!$C$5)&amp;"","")</f>
        <v/>
      </c>
      <c r="D716" s="5">
        <f>IFERROR(VALUE(SUBSTITUTE(SUBSTITUTE(SUBSTITUTE(IFERROR(INDEX('1.산군_붙여넣기'!$A$1:$AZ$1001,ROW(),설정!$C$6)&amp;"",""),",",""),"㎡",""),"m2","")),"")</f>
        <v/>
      </c>
      <c r="E716">
        <f>IFERROR(INDEX('1.산군_붙여넣기'!$A$1:$AZ$1001,ROW(),설정!$C$7)&amp;"","")</f>
        <v/>
      </c>
      <c r="F716">
        <f>IFERROR(INDEX('1.산군_붙여넣기'!$A$1:$AZ$1001,ROW(),설정!$C$8)&amp;"","")</f>
        <v/>
      </c>
      <c r="G716">
        <f>IFERROR(INDEX('1.산군_붙여넣기'!$A$1:$AZ$1001,ROW(),설정!$C$9)&amp;"","")</f>
        <v/>
      </c>
      <c r="H716">
        <f>IFERROR(INDEX('1.산군_붙여넣기'!$A$1:$AZ$1001,ROW(),설정!$C$10)&amp;"","")</f>
        <v/>
      </c>
      <c r="I716">
        <f>IFERROR(INDEX('1.산군_붙여넣기'!$A$1:$AZ$1001,ROW(),설정!$C$11)&amp;"","")</f>
        <v/>
      </c>
      <c r="J716">
        <f>IFERROR(INDEX('1.산군_붙여넣기'!$A$1:$AZ$1001,ROW(),설정!$C$12)&amp;"","")</f>
        <v/>
      </c>
      <c r="K716">
        <f>IFERROR(INDEX('1.산군_붙여넣기'!$A$1:$AZ$1001,ROW(),설정!$C$13)&amp;"","")</f>
        <v/>
      </c>
      <c r="L716" s="6">
        <f>IF(X716="","",IF(AND(LEN(X716)=8,ISNUMBER(X716*1)),DATE(LEFT(X716,4),MID(X716,5,2),RIGHT(X716,2)),IFERROR(DATEVALUE(SUBSTITUTE(SUBSTITUTE(X716,".","-"),"/","-")),IFERROR(X716*1,""))))</f>
        <v/>
      </c>
      <c r="M716" s="6">
        <f>IF(Y716="","",IF(AND(LEN(Y716)=8,ISNUMBER(Y716*1)),DATE(LEFT(Y716,4),MID(Y716,5,2),RIGHT(Y716,2)),IFERROR(DATEVALUE(SUBSTITUTE(SUBSTITUTE(Y716,".","-"),"/","-")),IFERROR(Y716*1,""))))</f>
        <v/>
      </c>
      <c r="N716">
        <f>IFERROR(LEFT(B716,FIND(" ",B716)-1),B716)</f>
        <v/>
      </c>
      <c r="O716">
        <f>AND(B716&lt;&gt;"",B716&lt;&gt;설정!$B$4,C716&lt;&gt;설정!$B$5)</f>
        <v/>
      </c>
      <c r="P716">
        <f>IF(O716,B716&amp;"|"&amp;C716,"")</f>
        <v/>
      </c>
      <c r="Q716">
        <f>AND(O716,COUNTIF(P717:P$1002,P716)=0)</f>
        <v/>
      </c>
      <c r="R716">
        <f>OR(AND(설정!$A$28&lt;&gt;"",ISNUMBER(SEARCH(설정!$A$28,E716&amp;" "&amp;C716))),AND(설정!$A$29&lt;&gt;"",ISNUMBER(SEARCH(설정!$A$29,E716&amp;" "&amp;C716))),AND(설정!$A$30&lt;&gt;"",ISNUMBER(SEARCH(설정!$A$30,E716&amp;" "&amp;C716))),AND(설정!$A$31&lt;&gt;"",ISNUMBER(SEARCH(설정!$A$31,E716&amp;" "&amp;C716))),AND(설정!$A$32&lt;&gt;"",ISNUMBER(SEARCH(설정!$A$32,E716&amp;" "&amp;C716))),AND(설정!$A$33&lt;&gt;"",ISNUMBER(SEARCH(설정!$A$33,E716&amp;" "&amp;C716))),AND(설정!$A$34&lt;&gt;"",ISNUMBER(SEARCH(설정!$A$34,E716&amp;" "&amp;C716))),AND(설정!$A$35&lt;&gt;"",ISNUMBER(SEARCH(설정!$A$35,E716&amp;" "&amp;C716))),AND(설정!$A$36&lt;&gt;"",ISNUMBER(SEARCH(설정!$A$36,E716&amp;" "&amp;C716))),AND(설정!$A$37&lt;&gt;"",ISNUMBER(SEARCH(설정!$A$37,E716&amp;" "&amp;C716))))</f>
        <v/>
      </c>
      <c r="S716">
        <f>OR(D716="",D716&gt;=설정!$B$19)</f>
        <v/>
      </c>
      <c r="T716">
        <f>AND(Q716,R716,S716)</f>
        <v/>
      </c>
      <c r="U716">
        <f>IF(T716,IF(AND(설정!$A$41&lt;&gt;"",ISNUMBER(SEARCH(설정!$A$41,K716))),설정!$B$41,IF(AND(설정!$A$42&lt;&gt;"",ISNUMBER(SEARCH(설정!$A$42,K716))),설정!$B$42,IF(AND(설정!$A$43&lt;&gt;"",ISNUMBER(SEARCH(설정!$A$43,K716))),설정!$B$43,IF(AND(설정!$A$44&lt;&gt;"",ISNUMBER(SEARCH(설정!$A$44,K716))),설정!$B$44,IF(AND(설정!$A$45&lt;&gt;"",ISNUMBER(SEARCH(설정!$A$45,K716))),설정!$B$45,IF(AND(설정!$A$46&lt;&gt;"",ISNUMBER(SEARCH(설정!$A$46,K716))),설정!$B$46,IF(AND(설정!$A$47&lt;&gt;"",ISNUMBER(SEARCH(설정!$A$47,K716))),설정!$B$47,IF(AND(설정!$A$48&lt;&gt;"",ISNUMBER(SEARCH(설정!$A$48,K716))),설정!$B$48,IF(M716="","설계사","시공사"))))))))),"")</f>
        <v/>
      </c>
      <c r="V716">
        <f>SUBSTITUTE(SUBSTITUTE(SUBSTITUTE(SUBSTITUTE(G716,"(주)",""),"㈜",""),"주식회사","")," ","")</f>
        <v/>
      </c>
      <c r="W716">
        <f>IF(AND(T716,V716&lt;&gt;""),IF(COUNTIFS(V$2:V716,V716,T$2:T716,TRUE)=1,MAX(W$1:W715)+1,""),"")</f>
        <v/>
      </c>
      <c r="X716">
        <f>IFERROR(INDEX('1.산군_붙여넣기'!$A$1:$AZ$1001,ROW(),설정!$C$14)&amp;"","")</f>
        <v/>
      </c>
      <c r="Y716">
        <f>IFERROR(INDEX('1.산군_붙여넣기'!$A$1:$AZ$1001,ROW(),설정!$C$15)&amp;"","")</f>
        <v/>
      </c>
      <c r="Z716">
        <f>IF(T716,V716&amp;"|"&amp;U716,"")</f>
        <v/>
      </c>
    </row>
    <row r="717">
      <c r="A717">
        <f>ROW()</f>
        <v/>
      </c>
      <c r="B717">
        <f>IFERROR(INDEX('1.산군_붙여넣기'!$A$1:$AZ$1001,ROW(),설정!$C$4)&amp;"","")</f>
        <v/>
      </c>
      <c r="C717">
        <f>IFERROR(INDEX('1.산군_붙여넣기'!$A$1:$AZ$1001,ROW(),설정!$C$5)&amp;"","")</f>
        <v/>
      </c>
      <c r="D717" s="5">
        <f>IFERROR(VALUE(SUBSTITUTE(SUBSTITUTE(SUBSTITUTE(IFERROR(INDEX('1.산군_붙여넣기'!$A$1:$AZ$1001,ROW(),설정!$C$6)&amp;"",""),",",""),"㎡",""),"m2","")),"")</f>
        <v/>
      </c>
      <c r="E717">
        <f>IFERROR(INDEX('1.산군_붙여넣기'!$A$1:$AZ$1001,ROW(),설정!$C$7)&amp;"","")</f>
        <v/>
      </c>
      <c r="F717">
        <f>IFERROR(INDEX('1.산군_붙여넣기'!$A$1:$AZ$1001,ROW(),설정!$C$8)&amp;"","")</f>
        <v/>
      </c>
      <c r="G717">
        <f>IFERROR(INDEX('1.산군_붙여넣기'!$A$1:$AZ$1001,ROW(),설정!$C$9)&amp;"","")</f>
        <v/>
      </c>
      <c r="H717">
        <f>IFERROR(INDEX('1.산군_붙여넣기'!$A$1:$AZ$1001,ROW(),설정!$C$10)&amp;"","")</f>
        <v/>
      </c>
      <c r="I717">
        <f>IFERROR(INDEX('1.산군_붙여넣기'!$A$1:$AZ$1001,ROW(),설정!$C$11)&amp;"","")</f>
        <v/>
      </c>
      <c r="J717">
        <f>IFERROR(INDEX('1.산군_붙여넣기'!$A$1:$AZ$1001,ROW(),설정!$C$12)&amp;"","")</f>
        <v/>
      </c>
      <c r="K717">
        <f>IFERROR(INDEX('1.산군_붙여넣기'!$A$1:$AZ$1001,ROW(),설정!$C$13)&amp;"","")</f>
        <v/>
      </c>
      <c r="L717" s="6">
        <f>IF(X717="","",IF(AND(LEN(X717)=8,ISNUMBER(X717*1)),DATE(LEFT(X717,4),MID(X717,5,2),RIGHT(X717,2)),IFERROR(DATEVALUE(SUBSTITUTE(SUBSTITUTE(X717,".","-"),"/","-")),IFERROR(X717*1,""))))</f>
        <v/>
      </c>
      <c r="M717" s="6">
        <f>IF(Y717="","",IF(AND(LEN(Y717)=8,ISNUMBER(Y717*1)),DATE(LEFT(Y717,4),MID(Y717,5,2),RIGHT(Y717,2)),IFERROR(DATEVALUE(SUBSTITUTE(SUBSTITUTE(Y717,".","-"),"/","-")),IFERROR(Y717*1,""))))</f>
        <v/>
      </c>
      <c r="N717">
        <f>IFERROR(LEFT(B717,FIND(" ",B717)-1),B717)</f>
        <v/>
      </c>
      <c r="O717">
        <f>AND(B717&lt;&gt;"",B717&lt;&gt;설정!$B$4,C717&lt;&gt;설정!$B$5)</f>
        <v/>
      </c>
      <c r="P717">
        <f>IF(O717,B717&amp;"|"&amp;C717,"")</f>
        <v/>
      </c>
      <c r="Q717">
        <f>AND(O717,COUNTIF(P718:P$1002,P717)=0)</f>
        <v/>
      </c>
      <c r="R717">
        <f>OR(AND(설정!$A$28&lt;&gt;"",ISNUMBER(SEARCH(설정!$A$28,E717&amp;" "&amp;C717))),AND(설정!$A$29&lt;&gt;"",ISNUMBER(SEARCH(설정!$A$29,E717&amp;" "&amp;C717))),AND(설정!$A$30&lt;&gt;"",ISNUMBER(SEARCH(설정!$A$30,E717&amp;" "&amp;C717))),AND(설정!$A$31&lt;&gt;"",ISNUMBER(SEARCH(설정!$A$31,E717&amp;" "&amp;C717))),AND(설정!$A$32&lt;&gt;"",ISNUMBER(SEARCH(설정!$A$32,E717&amp;" "&amp;C717))),AND(설정!$A$33&lt;&gt;"",ISNUMBER(SEARCH(설정!$A$33,E717&amp;" "&amp;C717))),AND(설정!$A$34&lt;&gt;"",ISNUMBER(SEARCH(설정!$A$34,E717&amp;" "&amp;C717))),AND(설정!$A$35&lt;&gt;"",ISNUMBER(SEARCH(설정!$A$35,E717&amp;" "&amp;C717))),AND(설정!$A$36&lt;&gt;"",ISNUMBER(SEARCH(설정!$A$36,E717&amp;" "&amp;C717))),AND(설정!$A$37&lt;&gt;"",ISNUMBER(SEARCH(설정!$A$37,E717&amp;" "&amp;C717))))</f>
        <v/>
      </c>
      <c r="S717">
        <f>OR(D717="",D717&gt;=설정!$B$19)</f>
        <v/>
      </c>
      <c r="T717">
        <f>AND(Q717,R717,S717)</f>
        <v/>
      </c>
      <c r="U717">
        <f>IF(T717,IF(AND(설정!$A$41&lt;&gt;"",ISNUMBER(SEARCH(설정!$A$41,K717))),설정!$B$41,IF(AND(설정!$A$42&lt;&gt;"",ISNUMBER(SEARCH(설정!$A$42,K717))),설정!$B$42,IF(AND(설정!$A$43&lt;&gt;"",ISNUMBER(SEARCH(설정!$A$43,K717))),설정!$B$43,IF(AND(설정!$A$44&lt;&gt;"",ISNUMBER(SEARCH(설정!$A$44,K717))),설정!$B$44,IF(AND(설정!$A$45&lt;&gt;"",ISNUMBER(SEARCH(설정!$A$45,K717))),설정!$B$45,IF(AND(설정!$A$46&lt;&gt;"",ISNUMBER(SEARCH(설정!$A$46,K717))),설정!$B$46,IF(AND(설정!$A$47&lt;&gt;"",ISNUMBER(SEARCH(설정!$A$47,K717))),설정!$B$47,IF(AND(설정!$A$48&lt;&gt;"",ISNUMBER(SEARCH(설정!$A$48,K717))),설정!$B$48,IF(M717="","설계사","시공사"))))))))),"")</f>
        <v/>
      </c>
      <c r="V717">
        <f>SUBSTITUTE(SUBSTITUTE(SUBSTITUTE(SUBSTITUTE(G717,"(주)",""),"㈜",""),"주식회사","")," ","")</f>
        <v/>
      </c>
      <c r="W717">
        <f>IF(AND(T717,V717&lt;&gt;""),IF(COUNTIFS(V$2:V717,V717,T$2:T717,TRUE)=1,MAX(W$1:W716)+1,""),"")</f>
        <v/>
      </c>
      <c r="X717">
        <f>IFERROR(INDEX('1.산군_붙여넣기'!$A$1:$AZ$1001,ROW(),설정!$C$14)&amp;"","")</f>
        <v/>
      </c>
      <c r="Y717">
        <f>IFERROR(INDEX('1.산군_붙여넣기'!$A$1:$AZ$1001,ROW(),설정!$C$15)&amp;"","")</f>
        <v/>
      </c>
      <c r="Z717">
        <f>IF(T717,V717&amp;"|"&amp;U717,"")</f>
        <v/>
      </c>
    </row>
    <row r="718">
      <c r="A718">
        <f>ROW()</f>
        <v/>
      </c>
      <c r="B718">
        <f>IFERROR(INDEX('1.산군_붙여넣기'!$A$1:$AZ$1001,ROW(),설정!$C$4)&amp;"","")</f>
        <v/>
      </c>
      <c r="C718">
        <f>IFERROR(INDEX('1.산군_붙여넣기'!$A$1:$AZ$1001,ROW(),설정!$C$5)&amp;"","")</f>
        <v/>
      </c>
      <c r="D718" s="5">
        <f>IFERROR(VALUE(SUBSTITUTE(SUBSTITUTE(SUBSTITUTE(IFERROR(INDEX('1.산군_붙여넣기'!$A$1:$AZ$1001,ROW(),설정!$C$6)&amp;"",""),",",""),"㎡",""),"m2","")),"")</f>
        <v/>
      </c>
      <c r="E718">
        <f>IFERROR(INDEX('1.산군_붙여넣기'!$A$1:$AZ$1001,ROW(),설정!$C$7)&amp;"","")</f>
        <v/>
      </c>
      <c r="F718">
        <f>IFERROR(INDEX('1.산군_붙여넣기'!$A$1:$AZ$1001,ROW(),설정!$C$8)&amp;"","")</f>
        <v/>
      </c>
      <c r="G718">
        <f>IFERROR(INDEX('1.산군_붙여넣기'!$A$1:$AZ$1001,ROW(),설정!$C$9)&amp;"","")</f>
        <v/>
      </c>
      <c r="H718">
        <f>IFERROR(INDEX('1.산군_붙여넣기'!$A$1:$AZ$1001,ROW(),설정!$C$10)&amp;"","")</f>
        <v/>
      </c>
      <c r="I718">
        <f>IFERROR(INDEX('1.산군_붙여넣기'!$A$1:$AZ$1001,ROW(),설정!$C$11)&amp;"","")</f>
        <v/>
      </c>
      <c r="J718">
        <f>IFERROR(INDEX('1.산군_붙여넣기'!$A$1:$AZ$1001,ROW(),설정!$C$12)&amp;"","")</f>
        <v/>
      </c>
      <c r="K718">
        <f>IFERROR(INDEX('1.산군_붙여넣기'!$A$1:$AZ$1001,ROW(),설정!$C$13)&amp;"","")</f>
        <v/>
      </c>
      <c r="L718" s="6">
        <f>IF(X718="","",IF(AND(LEN(X718)=8,ISNUMBER(X718*1)),DATE(LEFT(X718,4),MID(X718,5,2),RIGHT(X718,2)),IFERROR(DATEVALUE(SUBSTITUTE(SUBSTITUTE(X718,".","-"),"/","-")),IFERROR(X718*1,""))))</f>
        <v/>
      </c>
      <c r="M718" s="6">
        <f>IF(Y718="","",IF(AND(LEN(Y718)=8,ISNUMBER(Y718*1)),DATE(LEFT(Y718,4),MID(Y718,5,2),RIGHT(Y718,2)),IFERROR(DATEVALUE(SUBSTITUTE(SUBSTITUTE(Y718,".","-"),"/","-")),IFERROR(Y718*1,""))))</f>
        <v/>
      </c>
      <c r="N718">
        <f>IFERROR(LEFT(B718,FIND(" ",B718)-1),B718)</f>
        <v/>
      </c>
      <c r="O718">
        <f>AND(B718&lt;&gt;"",B718&lt;&gt;설정!$B$4,C718&lt;&gt;설정!$B$5)</f>
        <v/>
      </c>
      <c r="P718">
        <f>IF(O718,B718&amp;"|"&amp;C718,"")</f>
        <v/>
      </c>
      <c r="Q718">
        <f>AND(O718,COUNTIF(P719:P$1002,P718)=0)</f>
        <v/>
      </c>
      <c r="R718">
        <f>OR(AND(설정!$A$28&lt;&gt;"",ISNUMBER(SEARCH(설정!$A$28,E718&amp;" "&amp;C718))),AND(설정!$A$29&lt;&gt;"",ISNUMBER(SEARCH(설정!$A$29,E718&amp;" "&amp;C718))),AND(설정!$A$30&lt;&gt;"",ISNUMBER(SEARCH(설정!$A$30,E718&amp;" "&amp;C718))),AND(설정!$A$31&lt;&gt;"",ISNUMBER(SEARCH(설정!$A$31,E718&amp;" "&amp;C718))),AND(설정!$A$32&lt;&gt;"",ISNUMBER(SEARCH(설정!$A$32,E718&amp;" "&amp;C718))),AND(설정!$A$33&lt;&gt;"",ISNUMBER(SEARCH(설정!$A$33,E718&amp;" "&amp;C718))),AND(설정!$A$34&lt;&gt;"",ISNUMBER(SEARCH(설정!$A$34,E718&amp;" "&amp;C718))),AND(설정!$A$35&lt;&gt;"",ISNUMBER(SEARCH(설정!$A$35,E718&amp;" "&amp;C718))),AND(설정!$A$36&lt;&gt;"",ISNUMBER(SEARCH(설정!$A$36,E718&amp;" "&amp;C718))),AND(설정!$A$37&lt;&gt;"",ISNUMBER(SEARCH(설정!$A$37,E718&amp;" "&amp;C718))))</f>
        <v/>
      </c>
      <c r="S718">
        <f>OR(D718="",D718&gt;=설정!$B$19)</f>
        <v/>
      </c>
      <c r="T718">
        <f>AND(Q718,R718,S718)</f>
        <v/>
      </c>
      <c r="U718">
        <f>IF(T718,IF(AND(설정!$A$41&lt;&gt;"",ISNUMBER(SEARCH(설정!$A$41,K718))),설정!$B$41,IF(AND(설정!$A$42&lt;&gt;"",ISNUMBER(SEARCH(설정!$A$42,K718))),설정!$B$42,IF(AND(설정!$A$43&lt;&gt;"",ISNUMBER(SEARCH(설정!$A$43,K718))),설정!$B$43,IF(AND(설정!$A$44&lt;&gt;"",ISNUMBER(SEARCH(설정!$A$44,K718))),설정!$B$44,IF(AND(설정!$A$45&lt;&gt;"",ISNUMBER(SEARCH(설정!$A$45,K718))),설정!$B$45,IF(AND(설정!$A$46&lt;&gt;"",ISNUMBER(SEARCH(설정!$A$46,K718))),설정!$B$46,IF(AND(설정!$A$47&lt;&gt;"",ISNUMBER(SEARCH(설정!$A$47,K718))),설정!$B$47,IF(AND(설정!$A$48&lt;&gt;"",ISNUMBER(SEARCH(설정!$A$48,K718))),설정!$B$48,IF(M718="","설계사","시공사"))))))))),"")</f>
        <v/>
      </c>
      <c r="V718">
        <f>SUBSTITUTE(SUBSTITUTE(SUBSTITUTE(SUBSTITUTE(G718,"(주)",""),"㈜",""),"주식회사","")," ","")</f>
        <v/>
      </c>
      <c r="W718">
        <f>IF(AND(T718,V718&lt;&gt;""),IF(COUNTIFS(V$2:V718,V718,T$2:T718,TRUE)=1,MAX(W$1:W717)+1,""),"")</f>
        <v/>
      </c>
      <c r="X718">
        <f>IFERROR(INDEX('1.산군_붙여넣기'!$A$1:$AZ$1001,ROW(),설정!$C$14)&amp;"","")</f>
        <v/>
      </c>
      <c r="Y718">
        <f>IFERROR(INDEX('1.산군_붙여넣기'!$A$1:$AZ$1001,ROW(),설정!$C$15)&amp;"","")</f>
        <v/>
      </c>
      <c r="Z718">
        <f>IF(T718,V718&amp;"|"&amp;U718,"")</f>
        <v/>
      </c>
    </row>
    <row r="719">
      <c r="A719">
        <f>ROW()</f>
        <v/>
      </c>
      <c r="B719">
        <f>IFERROR(INDEX('1.산군_붙여넣기'!$A$1:$AZ$1001,ROW(),설정!$C$4)&amp;"","")</f>
        <v/>
      </c>
      <c r="C719">
        <f>IFERROR(INDEX('1.산군_붙여넣기'!$A$1:$AZ$1001,ROW(),설정!$C$5)&amp;"","")</f>
        <v/>
      </c>
      <c r="D719" s="5">
        <f>IFERROR(VALUE(SUBSTITUTE(SUBSTITUTE(SUBSTITUTE(IFERROR(INDEX('1.산군_붙여넣기'!$A$1:$AZ$1001,ROW(),설정!$C$6)&amp;"",""),",",""),"㎡",""),"m2","")),"")</f>
        <v/>
      </c>
      <c r="E719">
        <f>IFERROR(INDEX('1.산군_붙여넣기'!$A$1:$AZ$1001,ROW(),설정!$C$7)&amp;"","")</f>
        <v/>
      </c>
      <c r="F719">
        <f>IFERROR(INDEX('1.산군_붙여넣기'!$A$1:$AZ$1001,ROW(),설정!$C$8)&amp;"","")</f>
        <v/>
      </c>
      <c r="G719">
        <f>IFERROR(INDEX('1.산군_붙여넣기'!$A$1:$AZ$1001,ROW(),설정!$C$9)&amp;"","")</f>
        <v/>
      </c>
      <c r="H719">
        <f>IFERROR(INDEX('1.산군_붙여넣기'!$A$1:$AZ$1001,ROW(),설정!$C$10)&amp;"","")</f>
        <v/>
      </c>
      <c r="I719">
        <f>IFERROR(INDEX('1.산군_붙여넣기'!$A$1:$AZ$1001,ROW(),설정!$C$11)&amp;"","")</f>
        <v/>
      </c>
      <c r="J719">
        <f>IFERROR(INDEX('1.산군_붙여넣기'!$A$1:$AZ$1001,ROW(),설정!$C$12)&amp;"","")</f>
        <v/>
      </c>
      <c r="K719">
        <f>IFERROR(INDEX('1.산군_붙여넣기'!$A$1:$AZ$1001,ROW(),설정!$C$13)&amp;"","")</f>
        <v/>
      </c>
      <c r="L719" s="6">
        <f>IF(X719="","",IF(AND(LEN(X719)=8,ISNUMBER(X719*1)),DATE(LEFT(X719,4),MID(X719,5,2),RIGHT(X719,2)),IFERROR(DATEVALUE(SUBSTITUTE(SUBSTITUTE(X719,".","-"),"/","-")),IFERROR(X719*1,""))))</f>
        <v/>
      </c>
      <c r="M719" s="6">
        <f>IF(Y719="","",IF(AND(LEN(Y719)=8,ISNUMBER(Y719*1)),DATE(LEFT(Y719,4),MID(Y719,5,2),RIGHT(Y719,2)),IFERROR(DATEVALUE(SUBSTITUTE(SUBSTITUTE(Y719,".","-"),"/","-")),IFERROR(Y719*1,""))))</f>
        <v/>
      </c>
      <c r="N719">
        <f>IFERROR(LEFT(B719,FIND(" ",B719)-1),B719)</f>
        <v/>
      </c>
      <c r="O719">
        <f>AND(B719&lt;&gt;"",B719&lt;&gt;설정!$B$4,C719&lt;&gt;설정!$B$5)</f>
        <v/>
      </c>
      <c r="P719">
        <f>IF(O719,B719&amp;"|"&amp;C719,"")</f>
        <v/>
      </c>
      <c r="Q719">
        <f>AND(O719,COUNTIF(P720:P$1002,P719)=0)</f>
        <v/>
      </c>
      <c r="R719">
        <f>OR(AND(설정!$A$28&lt;&gt;"",ISNUMBER(SEARCH(설정!$A$28,E719&amp;" "&amp;C719))),AND(설정!$A$29&lt;&gt;"",ISNUMBER(SEARCH(설정!$A$29,E719&amp;" "&amp;C719))),AND(설정!$A$30&lt;&gt;"",ISNUMBER(SEARCH(설정!$A$30,E719&amp;" "&amp;C719))),AND(설정!$A$31&lt;&gt;"",ISNUMBER(SEARCH(설정!$A$31,E719&amp;" "&amp;C719))),AND(설정!$A$32&lt;&gt;"",ISNUMBER(SEARCH(설정!$A$32,E719&amp;" "&amp;C719))),AND(설정!$A$33&lt;&gt;"",ISNUMBER(SEARCH(설정!$A$33,E719&amp;" "&amp;C719))),AND(설정!$A$34&lt;&gt;"",ISNUMBER(SEARCH(설정!$A$34,E719&amp;" "&amp;C719))),AND(설정!$A$35&lt;&gt;"",ISNUMBER(SEARCH(설정!$A$35,E719&amp;" "&amp;C719))),AND(설정!$A$36&lt;&gt;"",ISNUMBER(SEARCH(설정!$A$36,E719&amp;" "&amp;C719))),AND(설정!$A$37&lt;&gt;"",ISNUMBER(SEARCH(설정!$A$37,E719&amp;" "&amp;C719))))</f>
        <v/>
      </c>
      <c r="S719">
        <f>OR(D719="",D719&gt;=설정!$B$19)</f>
        <v/>
      </c>
      <c r="T719">
        <f>AND(Q719,R719,S719)</f>
        <v/>
      </c>
      <c r="U719">
        <f>IF(T719,IF(AND(설정!$A$41&lt;&gt;"",ISNUMBER(SEARCH(설정!$A$41,K719))),설정!$B$41,IF(AND(설정!$A$42&lt;&gt;"",ISNUMBER(SEARCH(설정!$A$42,K719))),설정!$B$42,IF(AND(설정!$A$43&lt;&gt;"",ISNUMBER(SEARCH(설정!$A$43,K719))),설정!$B$43,IF(AND(설정!$A$44&lt;&gt;"",ISNUMBER(SEARCH(설정!$A$44,K719))),설정!$B$44,IF(AND(설정!$A$45&lt;&gt;"",ISNUMBER(SEARCH(설정!$A$45,K719))),설정!$B$45,IF(AND(설정!$A$46&lt;&gt;"",ISNUMBER(SEARCH(설정!$A$46,K719))),설정!$B$46,IF(AND(설정!$A$47&lt;&gt;"",ISNUMBER(SEARCH(설정!$A$47,K719))),설정!$B$47,IF(AND(설정!$A$48&lt;&gt;"",ISNUMBER(SEARCH(설정!$A$48,K719))),설정!$B$48,IF(M719="","설계사","시공사"))))))))),"")</f>
        <v/>
      </c>
      <c r="V719">
        <f>SUBSTITUTE(SUBSTITUTE(SUBSTITUTE(SUBSTITUTE(G719,"(주)",""),"㈜",""),"주식회사","")," ","")</f>
        <v/>
      </c>
      <c r="W719">
        <f>IF(AND(T719,V719&lt;&gt;""),IF(COUNTIFS(V$2:V719,V719,T$2:T719,TRUE)=1,MAX(W$1:W718)+1,""),"")</f>
        <v/>
      </c>
      <c r="X719">
        <f>IFERROR(INDEX('1.산군_붙여넣기'!$A$1:$AZ$1001,ROW(),설정!$C$14)&amp;"","")</f>
        <v/>
      </c>
      <c r="Y719">
        <f>IFERROR(INDEX('1.산군_붙여넣기'!$A$1:$AZ$1001,ROW(),설정!$C$15)&amp;"","")</f>
        <v/>
      </c>
      <c r="Z719">
        <f>IF(T719,V719&amp;"|"&amp;U719,"")</f>
        <v/>
      </c>
    </row>
    <row r="720">
      <c r="A720">
        <f>ROW()</f>
        <v/>
      </c>
      <c r="B720">
        <f>IFERROR(INDEX('1.산군_붙여넣기'!$A$1:$AZ$1001,ROW(),설정!$C$4)&amp;"","")</f>
        <v/>
      </c>
      <c r="C720">
        <f>IFERROR(INDEX('1.산군_붙여넣기'!$A$1:$AZ$1001,ROW(),설정!$C$5)&amp;"","")</f>
        <v/>
      </c>
      <c r="D720" s="5">
        <f>IFERROR(VALUE(SUBSTITUTE(SUBSTITUTE(SUBSTITUTE(IFERROR(INDEX('1.산군_붙여넣기'!$A$1:$AZ$1001,ROW(),설정!$C$6)&amp;"",""),",",""),"㎡",""),"m2","")),"")</f>
        <v/>
      </c>
      <c r="E720">
        <f>IFERROR(INDEX('1.산군_붙여넣기'!$A$1:$AZ$1001,ROW(),설정!$C$7)&amp;"","")</f>
        <v/>
      </c>
      <c r="F720">
        <f>IFERROR(INDEX('1.산군_붙여넣기'!$A$1:$AZ$1001,ROW(),설정!$C$8)&amp;"","")</f>
        <v/>
      </c>
      <c r="G720">
        <f>IFERROR(INDEX('1.산군_붙여넣기'!$A$1:$AZ$1001,ROW(),설정!$C$9)&amp;"","")</f>
        <v/>
      </c>
      <c r="H720">
        <f>IFERROR(INDEX('1.산군_붙여넣기'!$A$1:$AZ$1001,ROW(),설정!$C$10)&amp;"","")</f>
        <v/>
      </c>
      <c r="I720">
        <f>IFERROR(INDEX('1.산군_붙여넣기'!$A$1:$AZ$1001,ROW(),설정!$C$11)&amp;"","")</f>
        <v/>
      </c>
      <c r="J720">
        <f>IFERROR(INDEX('1.산군_붙여넣기'!$A$1:$AZ$1001,ROW(),설정!$C$12)&amp;"","")</f>
        <v/>
      </c>
      <c r="K720">
        <f>IFERROR(INDEX('1.산군_붙여넣기'!$A$1:$AZ$1001,ROW(),설정!$C$13)&amp;"","")</f>
        <v/>
      </c>
      <c r="L720" s="6">
        <f>IF(X720="","",IF(AND(LEN(X720)=8,ISNUMBER(X720*1)),DATE(LEFT(X720,4),MID(X720,5,2),RIGHT(X720,2)),IFERROR(DATEVALUE(SUBSTITUTE(SUBSTITUTE(X720,".","-"),"/","-")),IFERROR(X720*1,""))))</f>
        <v/>
      </c>
      <c r="M720" s="6">
        <f>IF(Y720="","",IF(AND(LEN(Y720)=8,ISNUMBER(Y720*1)),DATE(LEFT(Y720,4),MID(Y720,5,2),RIGHT(Y720,2)),IFERROR(DATEVALUE(SUBSTITUTE(SUBSTITUTE(Y720,".","-"),"/","-")),IFERROR(Y720*1,""))))</f>
        <v/>
      </c>
      <c r="N720">
        <f>IFERROR(LEFT(B720,FIND(" ",B720)-1),B720)</f>
        <v/>
      </c>
      <c r="O720">
        <f>AND(B720&lt;&gt;"",B720&lt;&gt;설정!$B$4,C720&lt;&gt;설정!$B$5)</f>
        <v/>
      </c>
      <c r="P720">
        <f>IF(O720,B720&amp;"|"&amp;C720,"")</f>
        <v/>
      </c>
      <c r="Q720">
        <f>AND(O720,COUNTIF(P721:P$1002,P720)=0)</f>
        <v/>
      </c>
      <c r="R720">
        <f>OR(AND(설정!$A$28&lt;&gt;"",ISNUMBER(SEARCH(설정!$A$28,E720&amp;" "&amp;C720))),AND(설정!$A$29&lt;&gt;"",ISNUMBER(SEARCH(설정!$A$29,E720&amp;" "&amp;C720))),AND(설정!$A$30&lt;&gt;"",ISNUMBER(SEARCH(설정!$A$30,E720&amp;" "&amp;C720))),AND(설정!$A$31&lt;&gt;"",ISNUMBER(SEARCH(설정!$A$31,E720&amp;" "&amp;C720))),AND(설정!$A$32&lt;&gt;"",ISNUMBER(SEARCH(설정!$A$32,E720&amp;" "&amp;C720))),AND(설정!$A$33&lt;&gt;"",ISNUMBER(SEARCH(설정!$A$33,E720&amp;" "&amp;C720))),AND(설정!$A$34&lt;&gt;"",ISNUMBER(SEARCH(설정!$A$34,E720&amp;" "&amp;C720))),AND(설정!$A$35&lt;&gt;"",ISNUMBER(SEARCH(설정!$A$35,E720&amp;" "&amp;C720))),AND(설정!$A$36&lt;&gt;"",ISNUMBER(SEARCH(설정!$A$36,E720&amp;" "&amp;C720))),AND(설정!$A$37&lt;&gt;"",ISNUMBER(SEARCH(설정!$A$37,E720&amp;" "&amp;C720))))</f>
        <v/>
      </c>
      <c r="S720">
        <f>OR(D720="",D720&gt;=설정!$B$19)</f>
        <v/>
      </c>
      <c r="T720">
        <f>AND(Q720,R720,S720)</f>
        <v/>
      </c>
      <c r="U720">
        <f>IF(T720,IF(AND(설정!$A$41&lt;&gt;"",ISNUMBER(SEARCH(설정!$A$41,K720))),설정!$B$41,IF(AND(설정!$A$42&lt;&gt;"",ISNUMBER(SEARCH(설정!$A$42,K720))),설정!$B$42,IF(AND(설정!$A$43&lt;&gt;"",ISNUMBER(SEARCH(설정!$A$43,K720))),설정!$B$43,IF(AND(설정!$A$44&lt;&gt;"",ISNUMBER(SEARCH(설정!$A$44,K720))),설정!$B$44,IF(AND(설정!$A$45&lt;&gt;"",ISNUMBER(SEARCH(설정!$A$45,K720))),설정!$B$45,IF(AND(설정!$A$46&lt;&gt;"",ISNUMBER(SEARCH(설정!$A$46,K720))),설정!$B$46,IF(AND(설정!$A$47&lt;&gt;"",ISNUMBER(SEARCH(설정!$A$47,K720))),설정!$B$47,IF(AND(설정!$A$48&lt;&gt;"",ISNUMBER(SEARCH(설정!$A$48,K720))),설정!$B$48,IF(M720="","설계사","시공사"))))))))),"")</f>
        <v/>
      </c>
      <c r="V720">
        <f>SUBSTITUTE(SUBSTITUTE(SUBSTITUTE(SUBSTITUTE(G720,"(주)",""),"㈜",""),"주식회사","")," ","")</f>
        <v/>
      </c>
      <c r="W720">
        <f>IF(AND(T720,V720&lt;&gt;""),IF(COUNTIFS(V$2:V720,V720,T$2:T720,TRUE)=1,MAX(W$1:W719)+1,""),"")</f>
        <v/>
      </c>
      <c r="X720">
        <f>IFERROR(INDEX('1.산군_붙여넣기'!$A$1:$AZ$1001,ROW(),설정!$C$14)&amp;"","")</f>
        <v/>
      </c>
      <c r="Y720">
        <f>IFERROR(INDEX('1.산군_붙여넣기'!$A$1:$AZ$1001,ROW(),설정!$C$15)&amp;"","")</f>
        <v/>
      </c>
      <c r="Z720">
        <f>IF(T720,V720&amp;"|"&amp;U720,"")</f>
        <v/>
      </c>
    </row>
    <row r="721">
      <c r="A721">
        <f>ROW()</f>
        <v/>
      </c>
      <c r="B721">
        <f>IFERROR(INDEX('1.산군_붙여넣기'!$A$1:$AZ$1001,ROW(),설정!$C$4)&amp;"","")</f>
        <v/>
      </c>
      <c r="C721">
        <f>IFERROR(INDEX('1.산군_붙여넣기'!$A$1:$AZ$1001,ROW(),설정!$C$5)&amp;"","")</f>
        <v/>
      </c>
      <c r="D721" s="5">
        <f>IFERROR(VALUE(SUBSTITUTE(SUBSTITUTE(SUBSTITUTE(IFERROR(INDEX('1.산군_붙여넣기'!$A$1:$AZ$1001,ROW(),설정!$C$6)&amp;"",""),",",""),"㎡",""),"m2","")),"")</f>
        <v/>
      </c>
      <c r="E721">
        <f>IFERROR(INDEX('1.산군_붙여넣기'!$A$1:$AZ$1001,ROW(),설정!$C$7)&amp;"","")</f>
        <v/>
      </c>
      <c r="F721">
        <f>IFERROR(INDEX('1.산군_붙여넣기'!$A$1:$AZ$1001,ROW(),설정!$C$8)&amp;"","")</f>
        <v/>
      </c>
      <c r="G721">
        <f>IFERROR(INDEX('1.산군_붙여넣기'!$A$1:$AZ$1001,ROW(),설정!$C$9)&amp;"","")</f>
        <v/>
      </c>
      <c r="H721">
        <f>IFERROR(INDEX('1.산군_붙여넣기'!$A$1:$AZ$1001,ROW(),설정!$C$10)&amp;"","")</f>
        <v/>
      </c>
      <c r="I721">
        <f>IFERROR(INDEX('1.산군_붙여넣기'!$A$1:$AZ$1001,ROW(),설정!$C$11)&amp;"","")</f>
        <v/>
      </c>
      <c r="J721">
        <f>IFERROR(INDEX('1.산군_붙여넣기'!$A$1:$AZ$1001,ROW(),설정!$C$12)&amp;"","")</f>
        <v/>
      </c>
      <c r="K721">
        <f>IFERROR(INDEX('1.산군_붙여넣기'!$A$1:$AZ$1001,ROW(),설정!$C$13)&amp;"","")</f>
        <v/>
      </c>
      <c r="L721" s="6">
        <f>IF(X721="","",IF(AND(LEN(X721)=8,ISNUMBER(X721*1)),DATE(LEFT(X721,4),MID(X721,5,2),RIGHT(X721,2)),IFERROR(DATEVALUE(SUBSTITUTE(SUBSTITUTE(X721,".","-"),"/","-")),IFERROR(X721*1,""))))</f>
        <v/>
      </c>
      <c r="M721" s="6">
        <f>IF(Y721="","",IF(AND(LEN(Y721)=8,ISNUMBER(Y721*1)),DATE(LEFT(Y721,4),MID(Y721,5,2),RIGHT(Y721,2)),IFERROR(DATEVALUE(SUBSTITUTE(SUBSTITUTE(Y721,".","-"),"/","-")),IFERROR(Y721*1,""))))</f>
        <v/>
      </c>
      <c r="N721">
        <f>IFERROR(LEFT(B721,FIND(" ",B721)-1),B721)</f>
        <v/>
      </c>
      <c r="O721">
        <f>AND(B721&lt;&gt;"",B721&lt;&gt;설정!$B$4,C721&lt;&gt;설정!$B$5)</f>
        <v/>
      </c>
      <c r="P721">
        <f>IF(O721,B721&amp;"|"&amp;C721,"")</f>
        <v/>
      </c>
      <c r="Q721">
        <f>AND(O721,COUNTIF(P722:P$1002,P721)=0)</f>
        <v/>
      </c>
      <c r="R721">
        <f>OR(AND(설정!$A$28&lt;&gt;"",ISNUMBER(SEARCH(설정!$A$28,E721&amp;" "&amp;C721))),AND(설정!$A$29&lt;&gt;"",ISNUMBER(SEARCH(설정!$A$29,E721&amp;" "&amp;C721))),AND(설정!$A$30&lt;&gt;"",ISNUMBER(SEARCH(설정!$A$30,E721&amp;" "&amp;C721))),AND(설정!$A$31&lt;&gt;"",ISNUMBER(SEARCH(설정!$A$31,E721&amp;" "&amp;C721))),AND(설정!$A$32&lt;&gt;"",ISNUMBER(SEARCH(설정!$A$32,E721&amp;" "&amp;C721))),AND(설정!$A$33&lt;&gt;"",ISNUMBER(SEARCH(설정!$A$33,E721&amp;" "&amp;C721))),AND(설정!$A$34&lt;&gt;"",ISNUMBER(SEARCH(설정!$A$34,E721&amp;" "&amp;C721))),AND(설정!$A$35&lt;&gt;"",ISNUMBER(SEARCH(설정!$A$35,E721&amp;" "&amp;C721))),AND(설정!$A$36&lt;&gt;"",ISNUMBER(SEARCH(설정!$A$36,E721&amp;" "&amp;C721))),AND(설정!$A$37&lt;&gt;"",ISNUMBER(SEARCH(설정!$A$37,E721&amp;" "&amp;C721))))</f>
        <v/>
      </c>
      <c r="S721">
        <f>OR(D721="",D721&gt;=설정!$B$19)</f>
        <v/>
      </c>
      <c r="T721">
        <f>AND(Q721,R721,S721)</f>
        <v/>
      </c>
      <c r="U721">
        <f>IF(T721,IF(AND(설정!$A$41&lt;&gt;"",ISNUMBER(SEARCH(설정!$A$41,K721))),설정!$B$41,IF(AND(설정!$A$42&lt;&gt;"",ISNUMBER(SEARCH(설정!$A$42,K721))),설정!$B$42,IF(AND(설정!$A$43&lt;&gt;"",ISNUMBER(SEARCH(설정!$A$43,K721))),설정!$B$43,IF(AND(설정!$A$44&lt;&gt;"",ISNUMBER(SEARCH(설정!$A$44,K721))),설정!$B$44,IF(AND(설정!$A$45&lt;&gt;"",ISNUMBER(SEARCH(설정!$A$45,K721))),설정!$B$45,IF(AND(설정!$A$46&lt;&gt;"",ISNUMBER(SEARCH(설정!$A$46,K721))),설정!$B$46,IF(AND(설정!$A$47&lt;&gt;"",ISNUMBER(SEARCH(설정!$A$47,K721))),설정!$B$47,IF(AND(설정!$A$48&lt;&gt;"",ISNUMBER(SEARCH(설정!$A$48,K721))),설정!$B$48,IF(M721="","설계사","시공사"))))))))),"")</f>
        <v/>
      </c>
      <c r="V721">
        <f>SUBSTITUTE(SUBSTITUTE(SUBSTITUTE(SUBSTITUTE(G721,"(주)",""),"㈜",""),"주식회사","")," ","")</f>
        <v/>
      </c>
      <c r="W721">
        <f>IF(AND(T721,V721&lt;&gt;""),IF(COUNTIFS(V$2:V721,V721,T$2:T721,TRUE)=1,MAX(W$1:W720)+1,""),"")</f>
        <v/>
      </c>
      <c r="X721">
        <f>IFERROR(INDEX('1.산군_붙여넣기'!$A$1:$AZ$1001,ROW(),설정!$C$14)&amp;"","")</f>
        <v/>
      </c>
      <c r="Y721">
        <f>IFERROR(INDEX('1.산군_붙여넣기'!$A$1:$AZ$1001,ROW(),설정!$C$15)&amp;"","")</f>
        <v/>
      </c>
      <c r="Z721">
        <f>IF(T721,V721&amp;"|"&amp;U721,"")</f>
        <v/>
      </c>
    </row>
    <row r="722">
      <c r="A722">
        <f>ROW()</f>
        <v/>
      </c>
      <c r="B722">
        <f>IFERROR(INDEX('1.산군_붙여넣기'!$A$1:$AZ$1001,ROW(),설정!$C$4)&amp;"","")</f>
        <v/>
      </c>
      <c r="C722">
        <f>IFERROR(INDEX('1.산군_붙여넣기'!$A$1:$AZ$1001,ROW(),설정!$C$5)&amp;"","")</f>
        <v/>
      </c>
      <c r="D722" s="5">
        <f>IFERROR(VALUE(SUBSTITUTE(SUBSTITUTE(SUBSTITUTE(IFERROR(INDEX('1.산군_붙여넣기'!$A$1:$AZ$1001,ROW(),설정!$C$6)&amp;"",""),",",""),"㎡",""),"m2","")),"")</f>
        <v/>
      </c>
      <c r="E722">
        <f>IFERROR(INDEX('1.산군_붙여넣기'!$A$1:$AZ$1001,ROW(),설정!$C$7)&amp;"","")</f>
        <v/>
      </c>
      <c r="F722">
        <f>IFERROR(INDEX('1.산군_붙여넣기'!$A$1:$AZ$1001,ROW(),설정!$C$8)&amp;"","")</f>
        <v/>
      </c>
      <c r="G722">
        <f>IFERROR(INDEX('1.산군_붙여넣기'!$A$1:$AZ$1001,ROW(),설정!$C$9)&amp;"","")</f>
        <v/>
      </c>
      <c r="H722">
        <f>IFERROR(INDEX('1.산군_붙여넣기'!$A$1:$AZ$1001,ROW(),설정!$C$10)&amp;"","")</f>
        <v/>
      </c>
      <c r="I722">
        <f>IFERROR(INDEX('1.산군_붙여넣기'!$A$1:$AZ$1001,ROW(),설정!$C$11)&amp;"","")</f>
        <v/>
      </c>
      <c r="J722">
        <f>IFERROR(INDEX('1.산군_붙여넣기'!$A$1:$AZ$1001,ROW(),설정!$C$12)&amp;"","")</f>
        <v/>
      </c>
      <c r="K722">
        <f>IFERROR(INDEX('1.산군_붙여넣기'!$A$1:$AZ$1001,ROW(),설정!$C$13)&amp;"","")</f>
        <v/>
      </c>
      <c r="L722" s="6">
        <f>IF(X722="","",IF(AND(LEN(X722)=8,ISNUMBER(X722*1)),DATE(LEFT(X722,4),MID(X722,5,2),RIGHT(X722,2)),IFERROR(DATEVALUE(SUBSTITUTE(SUBSTITUTE(X722,".","-"),"/","-")),IFERROR(X722*1,""))))</f>
        <v/>
      </c>
      <c r="M722" s="6">
        <f>IF(Y722="","",IF(AND(LEN(Y722)=8,ISNUMBER(Y722*1)),DATE(LEFT(Y722,4),MID(Y722,5,2),RIGHT(Y722,2)),IFERROR(DATEVALUE(SUBSTITUTE(SUBSTITUTE(Y722,".","-"),"/","-")),IFERROR(Y722*1,""))))</f>
        <v/>
      </c>
      <c r="N722">
        <f>IFERROR(LEFT(B722,FIND(" ",B722)-1),B722)</f>
        <v/>
      </c>
      <c r="O722">
        <f>AND(B722&lt;&gt;"",B722&lt;&gt;설정!$B$4,C722&lt;&gt;설정!$B$5)</f>
        <v/>
      </c>
      <c r="P722">
        <f>IF(O722,B722&amp;"|"&amp;C722,"")</f>
        <v/>
      </c>
      <c r="Q722">
        <f>AND(O722,COUNTIF(P723:P$1002,P722)=0)</f>
        <v/>
      </c>
      <c r="R722">
        <f>OR(AND(설정!$A$28&lt;&gt;"",ISNUMBER(SEARCH(설정!$A$28,E722&amp;" "&amp;C722))),AND(설정!$A$29&lt;&gt;"",ISNUMBER(SEARCH(설정!$A$29,E722&amp;" "&amp;C722))),AND(설정!$A$30&lt;&gt;"",ISNUMBER(SEARCH(설정!$A$30,E722&amp;" "&amp;C722))),AND(설정!$A$31&lt;&gt;"",ISNUMBER(SEARCH(설정!$A$31,E722&amp;" "&amp;C722))),AND(설정!$A$32&lt;&gt;"",ISNUMBER(SEARCH(설정!$A$32,E722&amp;" "&amp;C722))),AND(설정!$A$33&lt;&gt;"",ISNUMBER(SEARCH(설정!$A$33,E722&amp;" "&amp;C722))),AND(설정!$A$34&lt;&gt;"",ISNUMBER(SEARCH(설정!$A$34,E722&amp;" "&amp;C722))),AND(설정!$A$35&lt;&gt;"",ISNUMBER(SEARCH(설정!$A$35,E722&amp;" "&amp;C722))),AND(설정!$A$36&lt;&gt;"",ISNUMBER(SEARCH(설정!$A$36,E722&amp;" "&amp;C722))),AND(설정!$A$37&lt;&gt;"",ISNUMBER(SEARCH(설정!$A$37,E722&amp;" "&amp;C722))))</f>
        <v/>
      </c>
      <c r="S722">
        <f>OR(D722="",D722&gt;=설정!$B$19)</f>
        <v/>
      </c>
      <c r="T722">
        <f>AND(Q722,R722,S722)</f>
        <v/>
      </c>
      <c r="U722">
        <f>IF(T722,IF(AND(설정!$A$41&lt;&gt;"",ISNUMBER(SEARCH(설정!$A$41,K722))),설정!$B$41,IF(AND(설정!$A$42&lt;&gt;"",ISNUMBER(SEARCH(설정!$A$42,K722))),설정!$B$42,IF(AND(설정!$A$43&lt;&gt;"",ISNUMBER(SEARCH(설정!$A$43,K722))),설정!$B$43,IF(AND(설정!$A$44&lt;&gt;"",ISNUMBER(SEARCH(설정!$A$44,K722))),설정!$B$44,IF(AND(설정!$A$45&lt;&gt;"",ISNUMBER(SEARCH(설정!$A$45,K722))),설정!$B$45,IF(AND(설정!$A$46&lt;&gt;"",ISNUMBER(SEARCH(설정!$A$46,K722))),설정!$B$46,IF(AND(설정!$A$47&lt;&gt;"",ISNUMBER(SEARCH(설정!$A$47,K722))),설정!$B$47,IF(AND(설정!$A$48&lt;&gt;"",ISNUMBER(SEARCH(설정!$A$48,K722))),설정!$B$48,IF(M722="","설계사","시공사"))))))))),"")</f>
        <v/>
      </c>
      <c r="V722">
        <f>SUBSTITUTE(SUBSTITUTE(SUBSTITUTE(SUBSTITUTE(G722,"(주)",""),"㈜",""),"주식회사","")," ","")</f>
        <v/>
      </c>
      <c r="W722">
        <f>IF(AND(T722,V722&lt;&gt;""),IF(COUNTIFS(V$2:V722,V722,T$2:T722,TRUE)=1,MAX(W$1:W721)+1,""),"")</f>
        <v/>
      </c>
      <c r="X722">
        <f>IFERROR(INDEX('1.산군_붙여넣기'!$A$1:$AZ$1001,ROW(),설정!$C$14)&amp;"","")</f>
        <v/>
      </c>
      <c r="Y722">
        <f>IFERROR(INDEX('1.산군_붙여넣기'!$A$1:$AZ$1001,ROW(),설정!$C$15)&amp;"","")</f>
        <v/>
      </c>
      <c r="Z722">
        <f>IF(T722,V722&amp;"|"&amp;U722,"")</f>
        <v/>
      </c>
    </row>
    <row r="723">
      <c r="A723">
        <f>ROW()</f>
        <v/>
      </c>
      <c r="B723">
        <f>IFERROR(INDEX('1.산군_붙여넣기'!$A$1:$AZ$1001,ROW(),설정!$C$4)&amp;"","")</f>
        <v/>
      </c>
      <c r="C723">
        <f>IFERROR(INDEX('1.산군_붙여넣기'!$A$1:$AZ$1001,ROW(),설정!$C$5)&amp;"","")</f>
        <v/>
      </c>
      <c r="D723" s="5">
        <f>IFERROR(VALUE(SUBSTITUTE(SUBSTITUTE(SUBSTITUTE(IFERROR(INDEX('1.산군_붙여넣기'!$A$1:$AZ$1001,ROW(),설정!$C$6)&amp;"",""),",",""),"㎡",""),"m2","")),"")</f>
        <v/>
      </c>
      <c r="E723">
        <f>IFERROR(INDEX('1.산군_붙여넣기'!$A$1:$AZ$1001,ROW(),설정!$C$7)&amp;"","")</f>
        <v/>
      </c>
      <c r="F723">
        <f>IFERROR(INDEX('1.산군_붙여넣기'!$A$1:$AZ$1001,ROW(),설정!$C$8)&amp;"","")</f>
        <v/>
      </c>
      <c r="G723">
        <f>IFERROR(INDEX('1.산군_붙여넣기'!$A$1:$AZ$1001,ROW(),설정!$C$9)&amp;"","")</f>
        <v/>
      </c>
      <c r="H723">
        <f>IFERROR(INDEX('1.산군_붙여넣기'!$A$1:$AZ$1001,ROW(),설정!$C$10)&amp;"","")</f>
        <v/>
      </c>
      <c r="I723">
        <f>IFERROR(INDEX('1.산군_붙여넣기'!$A$1:$AZ$1001,ROW(),설정!$C$11)&amp;"","")</f>
        <v/>
      </c>
      <c r="J723">
        <f>IFERROR(INDEX('1.산군_붙여넣기'!$A$1:$AZ$1001,ROW(),설정!$C$12)&amp;"","")</f>
        <v/>
      </c>
      <c r="K723">
        <f>IFERROR(INDEX('1.산군_붙여넣기'!$A$1:$AZ$1001,ROW(),설정!$C$13)&amp;"","")</f>
        <v/>
      </c>
      <c r="L723" s="6">
        <f>IF(X723="","",IF(AND(LEN(X723)=8,ISNUMBER(X723*1)),DATE(LEFT(X723,4),MID(X723,5,2),RIGHT(X723,2)),IFERROR(DATEVALUE(SUBSTITUTE(SUBSTITUTE(X723,".","-"),"/","-")),IFERROR(X723*1,""))))</f>
        <v/>
      </c>
      <c r="M723" s="6">
        <f>IF(Y723="","",IF(AND(LEN(Y723)=8,ISNUMBER(Y723*1)),DATE(LEFT(Y723,4),MID(Y723,5,2),RIGHT(Y723,2)),IFERROR(DATEVALUE(SUBSTITUTE(SUBSTITUTE(Y723,".","-"),"/","-")),IFERROR(Y723*1,""))))</f>
        <v/>
      </c>
      <c r="N723">
        <f>IFERROR(LEFT(B723,FIND(" ",B723)-1),B723)</f>
        <v/>
      </c>
      <c r="O723">
        <f>AND(B723&lt;&gt;"",B723&lt;&gt;설정!$B$4,C723&lt;&gt;설정!$B$5)</f>
        <v/>
      </c>
      <c r="P723">
        <f>IF(O723,B723&amp;"|"&amp;C723,"")</f>
        <v/>
      </c>
      <c r="Q723">
        <f>AND(O723,COUNTIF(P724:P$1002,P723)=0)</f>
        <v/>
      </c>
      <c r="R723">
        <f>OR(AND(설정!$A$28&lt;&gt;"",ISNUMBER(SEARCH(설정!$A$28,E723&amp;" "&amp;C723))),AND(설정!$A$29&lt;&gt;"",ISNUMBER(SEARCH(설정!$A$29,E723&amp;" "&amp;C723))),AND(설정!$A$30&lt;&gt;"",ISNUMBER(SEARCH(설정!$A$30,E723&amp;" "&amp;C723))),AND(설정!$A$31&lt;&gt;"",ISNUMBER(SEARCH(설정!$A$31,E723&amp;" "&amp;C723))),AND(설정!$A$32&lt;&gt;"",ISNUMBER(SEARCH(설정!$A$32,E723&amp;" "&amp;C723))),AND(설정!$A$33&lt;&gt;"",ISNUMBER(SEARCH(설정!$A$33,E723&amp;" "&amp;C723))),AND(설정!$A$34&lt;&gt;"",ISNUMBER(SEARCH(설정!$A$34,E723&amp;" "&amp;C723))),AND(설정!$A$35&lt;&gt;"",ISNUMBER(SEARCH(설정!$A$35,E723&amp;" "&amp;C723))),AND(설정!$A$36&lt;&gt;"",ISNUMBER(SEARCH(설정!$A$36,E723&amp;" "&amp;C723))),AND(설정!$A$37&lt;&gt;"",ISNUMBER(SEARCH(설정!$A$37,E723&amp;" "&amp;C723))))</f>
        <v/>
      </c>
      <c r="S723">
        <f>OR(D723="",D723&gt;=설정!$B$19)</f>
        <v/>
      </c>
      <c r="T723">
        <f>AND(Q723,R723,S723)</f>
        <v/>
      </c>
      <c r="U723">
        <f>IF(T723,IF(AND(설정!$A$41&lt;&gt;"",ISNUMBER(SEARCH(설정!$A$41,K723))),설정!$B$41,IF(AND(설정!$A$42&lt;&gt;"",ISNUMBER(SEARCH(설정!$A$42,K723))),설정!$B$42,IF(AND(설정!$A$43&lt;&gt;"",ISNUMBER(SEARCH(설정!$A$43,K723))),설정!$B$43,IF(AND(설정!$A$44&lt;&gt;"",ISNUMBER(SEARCH(설정!$A$44,K723))),설정!$B$44,IF(AND(설정!$A$45&lt;&gt;"",ISNUMBER(SEARCH(설정!$A$45,K723))),설정!$B$45,IF(AND(설정!$A$46&lt;&gt;"",ISNUMBER(SEARCH(설정!$A$46,K723))),설정!$B$46,IF(AND(설정!$A$47&lt;&gt;"",ISNUMBER(SEARCH(설정!$A$47,K723))),설정!$B$47,IF(AND(설정!$A$48&lt;&gt;"",ISNUMBER(SEARCH(설정!$A$48,K723))),설정!$B$48,IF(M723="","설계사","시공사"))))))))),"")</f>
        <v/>
      </c>
      <c r="V723">
        <f>SUBSTITUTE(SUBSTITUTE(SUBSTITUTE(SUBSTITUTE(G723,"(주)",""),"㈜",""),"주식회사","")," ","")</f>
        <v/>
      </c>
      <c r="W723">
        <f>IF(AND(T723,V723&lt;&gt;""),IF(COUNTIFS(V$2:V723,V723,T$2:T723,TRUE)=1,MAX(W$1:W722)+1,""),"")</f>
        <v/>
      </c>
      <c r="X723">
        <f>IFERROR(INDEX('1.산군_붙여넣기'!$A$1:$AZ$1001,ROW(),설정!$C$14)&amp;"","")</f>
        <v/>
      </c>
      <c r="Y723">
        <f>IFERROR(INDEX('1.산군_붙여넣기'!$A$1:$AZ$1001,ROW(),설정!$C$15)&amp;"","")</f>
        <v/>
      </c>
      <c r="Z723">
        <f>IF(T723,V723&amp;"|"&amp;U723,"")</f>
        <v/>
      </c>
    </row>
    <row r="724">
      <c r="A724">
        <f>ROW()</f>
        <v/>
      </c>
      <c r="B724">
        <f>IFERROR(INDEX('1.산군_붙여넣기'!$A$1:$AZ$1001,ROW(),설정!$C$4)&amp;"","")</f>
        <v/>
      </c>
      <c r="C724">
        <f>IFERROR(INDEX('1.산군_붙여넣기'!$A$1:$AZ$1001,ROW(),설정!$C$5)&amp;"","")</f>
        <v/>
      </c>
      <c r="D724" s="5">
        <f>IFERROR(VALUE(SUBSTITUTE(SUBSTITUTE(SUBSTITUTE(IFERROR(INDEX('1.산군_붙여넣기'!$A$1:$AZ$1001,ROW(),설정!$C$6)&amp;"",""),",",""),"㎡",""),"m2","")),"")</f>
        <v/>
      </c>
      <c r="E724">
        <f>IFERROR(INDEX('1.산군_붙여넣기'!$A$1:$AZ$1001,ROW(),설정!$C$7)&amp;"","")</f>
        <v/>
      </c>
      <c r="F724">
        <f>IFERROR(INDEX('1.산군_붙여넣기'!$A$1:$AZ$1001,ROW(),설정!$C$8)&amp;"","")</f>
        <v/>
      </c>
      <c r="G724">
        <f>IFERROR(INDEX('1.산군_붙여넣기'!$A$1:$AZ$1001,ROW(),설정!$C$9)&amp;"","")</f>
        <v/>
      </c>
      <c r="H724">
        <f>IFERROR(INDEX('1.산군_붙여넣기'!$A$1:$AZ$1001,ROW(),설정!$C$10)&amp;"","")</f>
        <v/>
      </c>
      <c r="I724">
        <f>IFERROR(INDEX('1.산군_붙여넣기'!$A$1:$AZ$1001,ROW(),설정!$C$11)&amp;"","")</f>
        <v/>
      </c>
      <c r="J724">
        <f>IFERROR(INDEX('1.산군_붙여넣기'!$A$1:$AZ$1001,ROW(),설정!$C$12)&amp;"","")</f>
        <v/>
      </c>
      <c r="K724">
        <f>IFERROR(INDEX('1.산군_붙여넣기'!$A$1:$AZ$1001,ROW(),설정!$C$13)&amp;"","")</f>
        <v/>
      </c>
      <c r="L724" s="6">
        <f>IF(X724="","",IF(AND(LEN(X724)=8,ISNUMBER(X724*1)),DATE(LEFT(X724,4),MID(X724,5,2),RIGHT(X724,2)),IFERROR(DATEVALUE(SUBSTITUTE(SUBSTITUTE(X724,".","-"),"/","-")),IFERROR(X724*1,""))))</f>
        <v/>
      </c>
      <c r="M724" s="6">
        <f>IF(Y724="","",IF(AND(LEN(Y724)=8,ISNUMBER(Y724*1)),DATE(LEFT(Y724,4),MID(Y724,5,2),RIGHT(Y724,2)),IFERROR(DATEVALUE(SUBSTITUTE(SUBSTITUTE(Y724,".","-"),"/","-")),IFERROR(Y724*1,""))))</f>
        <v/>
      </c>
      <c r="N724">
        <f>IFERROR(LEFT(B724,FIND(" ",B724)-1),B724)</f>
        <v/>
      </c>
      <c r="O724">
        <f>AND(B724&lt;&gt;"",B724&lt;&gt;설정!$B$4,C724&lt;&gt;설정!$B$5)</f>
        <v/>
      </c>
      <c r="P724">
        <f>IF(O724,B724&amp;"|"&amp;C724,"")</f>
        <v/>
      </c>
      <c r="Q724">
        <f>AND(O724,COUNTIF(P725:P$1002,P724)=0)</f>
        <v/>
      </c>
      <c r="R724">
        <f>OR(AND(설정!$A$28&lt;&gt;"",ISNUMBER(SEARCH(설정!$A$28,E724&amp;" "&amp;C724))),AND(설정!$A$29&lt;&gt;"",ISNUMBER(SEARCH(설정!$A$29,E724&amp;" "&amp;C724))),AND(설정!$A$30&lt;&gt;"",ISNUMBER(SEARCH(설정!$A$30,E724&amp;" "&amp;C724))),AND(설정!$A$31&lt;&gt;"",ISNUMBER(SEARCH(설정!$A$31,E724&amp;" "&amp;C724))),AND(설정!$A$32&lt;&gt;"",ISNUMBER(SEARCH(설정!$A$32,E724&amp;" "&amp;C724))),AND(설정!$A$33&lt;&gt;"",ISNUMBER(SEARCH(설정!$A$33,E724&amp;" "&amp;C724))),AND(설정!$A$34&lt;&gt;"",ISNUMBER(SEARCH(설정!$A$34,E724&amp;" "&amp;C724))),AND(설정!$A$35&lt;&gt;"",ISNUMBER(SEARCH(설정!$A$35,E724&amp;" "&amp;C724))),AND(설정!$A$36&lt;&gt;"",ISNUMBER(SEARCH(설정!$A$36,E724&amp;" "&amp;C724))),AND(설정!$A$37&lt;&gt;"",ISNUMBER(SEARCH(설정!$A$37,E724&amp;" "&amp;C724))))</f>
        <v/>
      </c>
      <c r="S724">
        <f>OR(D724="",D724&gt;=설정!$B$19)</f>
        <v/>
      </c>
      <c r="T724">
        <f>AND(Q724,R724,S724)</f>
        <v/>
      </c>
      <c r="U724">
        <f>IF(T724,IF(AND(설정!$A$41&lt;&gt;"",ISNUMBER(SEARCH(설정!$A$41,K724))),설정!$B$41,IF(AND(설정!$A$42&lt;&gt;"",ISNUMBER(SEARCH(설정!$A$42,K724))),설정!$B$42,IF(AND(설정!$A$43&lt;&gt;"",ISNUMBER(SEARCH(설정!$A$43,K724))),설정!$B$43,IF(AND(설정!$A$44&lt;&gt;"",ISNUMBER(SEARCH(설정!$A$44,K724))),설정!$B$44,IF(AND(설정!$A$45&lt;&gt;"",ISNUMBER(SEARCH(설정!$A$45,K724))),설정!$B$45,IF(AND(설정!$A$46&lt;&gt;"",ISNUMBER(SEARCH(설정!$A$46,K724))),설정!$B$46,IF(AND(설정!$A$47&lt;&gt;"",ISNUMBER(SEARCH(설정!$A$47,K724))),설정!$B$47,IF(AND(설정!$A$48&lt;&gt;"",ISNUMBER(SEARCH(설정!$A$48,K724))),설정!$B$48,IF(M724="","설계사","시공사"))))))))),"")</f>
        <v/>
      </c>
      <c r="V724">
        <f>SUBSTITUTE(SUBSTITUTE(SUBSTITUTE(SUBSTITUTE(G724,"(주)",""),"㈜",""),"주식회사","")," ","")</f>
        <v/>
      </c>
      <c r="W724">
        <f>IF(AND(T724,V724&lt;&gt;""),IF(COUNTIFS(V$2:V724,V724,T$2:T724,TRUE)=1,MAX(W$1:W723)+1,""),"")</f>
        <v/>
      </c>
      <c r="X724">
        <f>IFERROR(INDEX('1.산군_붙여넣기'!$A$1:$AZ$1001,ROW(),설정!$C$14)&amp;"","")</f>
        <v/>
      </c>
      <c r="Y724">
        <f>IFERROR(INDEX('1.산군_붙여넣기'!$A$1:$AZ$1001,ROW(),설정!$C$15)&amp;"","")</f>
        <v/>
      </c>
      <c r="Z724">
        <f>IF(T724,V724&amp;"|"&amp;U724,"")</f>
        <v/>
      </c>
    </row>
    <row r="725">
      <c r="A725">
        <f>ROW()</f>
        <v/>
      </c>
      <c r="B725">
        <f>IFERROR(INDEX('1.산군_붙여넣기'!$A$1:$AZ$1001,ROW(),설정!$C$4)&amp;"","")</f>
        <v/>
      </c>
      <c r="C725">
        <f>IFERROR(INDEX('1.산군_붙여넣기'!$A$1:$AZ$1001,ROW(),설정!$C$5)&amp;"","")</f>
        <v/>
      </c>
      <c r="D725" s="5">
        <f>IFERROR(VALUE(SUBSTITUTE(SUBSTITUTE(SUBSTITUTE(IFERROR(INDEX('1.산군_붙여넣기'!$A$1:$AZ$1001,ROW(),설정!$C$6)&amp;"",""),",",""),"㎡",""),"m2","")),"")</f>
        <v/>
      </c>
      <c r="E725">
        <f>IFERROR(INDEX('1.산군_붙여넣기'!$A$1:$AZ$1001,ROW(),설정!$C$7)&amp;"","")</f>
        <v/>
      </c>
      <c r="F725">
        <f>IFERROR(INDEX('1.산군_붙여넣기'!$A$1:$AZ$1001,ROW(),설정!$C$8)&amp;"","")</f>
        <v/>
      </c>
      <c r="G725">
        <f>IFERROR(INDEX('1.산군_붙여넣기'!$A$1:$AZ$1001,ROW(),설정!$C$9)&amp;"","")</f>
        <v/>
      </c>
      <c r="H725">
        <f>IFERROR(INDEX('1.산군_붙여넣기'!$A$1:$AZ$1001,ROW(),설정!$C$10)&amp;"","")</f>
        <v/>
      </c>
      <c r="I725">
        <f>IFERROR(INDEX('1.산군_붙여넣기'!$A$1:$AZ$1001,ROW(),설정!$C$11)&amp;"","")</f>
        <v/>
      </c>
      <c r="J725">
        <f>IFERROR(INDEX('1.산군_붙여넣기'!$A$1:$AZ$1001,ROW(),설정!$C$12)&amp;"","")</f>
        <v/>
      </c>
      <c r="K725">
        <f>IFERROR(INDEX('1.산군_붙여넣기'!$A$1:$AZ$1001,ROW(),설정!$C$13)&amp;"","")</f>
        <v/>
      </c>
      <c r="L725" s="6">
        <f>IF(X725="","",IF(AND(LEN(X725)=8,ISNUMBER(X725*1)),DATE(LEFT(X725,4),MID(X725,5,2),RIGHT(X725,2)),IFERROR(DATEVALUE(SUBSTITUTE(SUBSTITUTE(X725,".","-"),"/","-")),IFERROR(X725*1,""))))</f>
        <v/>
      </c>
      <c r="M725" s="6">
        <f>IF(Y725="","",IF(AND(LEN(Y725)=8,ISNUMBER(Y725*1)),DATE(LEFT(Y725,4),MID(Y725,5,2),RIGHT(Y725,2)),IFERROR(DATEVALUE(SUBSTITUTE(SUBSTITUTE(Y725,".","-"),"/","-")),IFERROR(Y725*1,""))))</f>
        <v/>
      </c>
      <c r="N725">
        <f>IFERROR(LEFT(B725,FIND(" ",B725)-1),B725)</f>
        <v/>
      </c>
      <c r="O725">
        <f>AND(B725&lt;&gt;"",B725&lt;&gt;설정!$B$4,C725&lt;&gt;설정!$B$5)</f>
        <v/>
      </c>
      <c r="P725">
        <f>IF(O725,B725&amp;"|"&amp;C725,"")</f>
        <v/>
      </c>
      <c r="Q725">
        <f>AND(O725,COUNTIF(P726:P$1002,P725)=0)</f>
        <v/>
      </c>
      <c r="R725">
        <f>OR(AND(설정!$A$28&lt;&gt;"",ISNUMBER(SEARCH(설정!$A$28,E725&amp;" "&amp;C725))),AND(설정!$A$29&lt;&gt;"",ISNUMBER(SEARCH(설정!$A$29,E725&amp;" "&amp;C725))),AND(설정!$A$30&lt;&gt;"",ISNUMBER(SEARCH(설정!$A$30,E725&amp;" "&amp;C725))),AND(설정!$A$31&lt;&gt;"",ISNUMBER(SEARCH(설정!$A$31,E725&amp;" "&amp;C725))),AND(설정!$A$32&lt;&gt;"",ISNUMBER(SEARCH(설정!$A$32,E725&amp;" "&amp;C725))),AND(설정!$A$33&lt;&gt;"",ISNUMBER(SEARCH(설정!$A$33,E725&amp;" "&amp;C725))),AND(설정!$A$34&lt;&gt;"",ISNUMBER(SEARCH(설정!$A$34,E725&amp;" "&amp;C725))),AND(설정!$A$35&lt;&gt;"",ISNUMBER(SEARCH(설정!$A$35,E725&amp;" "&amp;C725))),AND(설정!$A$36&lt;&gt;"",ISNUMBER(SEARCH(설정!$A$36,E725&amp;" "&amp;C725))),AND(설정!$A$37&lt;&gt;"",ISNUMBER(SEARCH(설정!$A$37,E725&amp;" "&amp;C725))))</f>
        <v/>
      </c>
      <c r="S725">
        <f>OR(D725="",D725&gt;=설정!$B$19)</f>
        <v/>
      </c>
      <c r="T725">
        <f>AND(Q725,R725,S725)</f>
        <v/>
      </c>
      <c r="U725">
        <f>IF(T725,IF(AND(설정!$A$41&lt;&gt;"",ISNUMBER(SEARCH(설정!$A$41,K725))),설정!$B$41,IF(AND(설정!$A$42&lt;&gt;"",ISNUMBER(SEARCH(설정!$A$42,K725))),설정!$B$42,IF(AND(설정!$A$43&lt;&gt;"",ISNUMBER(SEARCH(설정!$A$43,K725))),설정!$B$43,IF(AND(설정!$A$44&lt;&gt;"",ISNUMBER(SEARCH(설정!$A$44,K725))),설정!$B$44,IF(AND(설정!$A$45&lt;&gt;"",ISNUMBER(SEARCH(설정!$A$45,K725))),설정!$B$45,IF(AND(설정!$A$46&lt;&gt;"",ISNUMBER(SEARCH(설정!$A$46,K725))),설정!$B$46,IF(AND(설정!$A$47&lt;&gt;"",ISNUMBER(SEARCH(설정!$A$47,K725))),설정!$B$47,IF(AND(설정!$A$48&lt;&gt;"",ISNUMBER(SEARCH(설정!$A$48,K725))),설정!$B$48,IF(M725="","설계사","시공사"))))))))),"")</f>
        <v/>
      </c>
      <c r="V725">
        <f>SUBSTITUTE(SUBSTITUTE(SUBSTITUTE(SUBSTITUTE(G725,"(주)",""),"㈜",""),"주식회사","")," ","")</f>
        <v/>
      </c>
      <c r="W725">
        <f>IF(AND(T725,V725&lt;&gt;""),IF(COUNTIFS(V$2:V725,V725,T$2:T725,TRUE)=1,MAX(W$1:W724)+1,""),"")</f>
        <v/>
      </c>
      <c r="X725">
        <f>IFERROR(INDEX('1.산군_붙여넣기'!$A$1:$AZ$1001,ROW(),설정!$C$14)&amp;"","")</f>
        <v/>
      </c>
      <c r="Y725">
        <f>IFERROR(INDEX('1.산군_붙여넣기'!$A$1:$AZ$1001,ROW(),설정!$C$15)&amp;"","")</f>
        <v/>
      </c>
      <c r="Z725">
        <f>IF(T725,V725&amp;"|"&amp;U725,"")</f>
        <v/>
      </c>
    </row>
    <row r="726">
      <c r="A726">
        <f>ROW()</f>
        <v/>
      </c>
      <c r="B726">
        <f>IFERROR(INDEX('1.산군_붙여넣기'!$A$1:$AZ$1001,ROW(),설정!$C$4)&amp;"","")</f>
        <v/>
      </c>
      <c r="C726">
        <f>IFERROR(INDEX('1.산군_붙여넣기'!$A$1:$AZ$1001,ROW(),설정!$C$5)&amp;"","")</f>
        <v/>
      </c>
      <c r="D726" s="5">
        <f>IFERROR(VALUE(SUBSTITUTE(SUBSTITUTE(SUBSTITUTE(IFERROR(INDEX('1.산군_붙여넣기'!$A$1:$AZ$1001,ROW(),설정!$C$6)&amp;"",""),",",""),"㎡",""),"m2","")),"")</f>
        <v/>
      </c>
      <c r="E726">
        <f>IFERROR(INDEX('1.산군_붙여넣기'!$A$1:$AZ$1001,ROW(),설정!$C$7)&amp;"","")</f>
        <v/>
      </c>
      <c r="F726">
        <f>IFERROR(INDEX('1.산군_붙여넣기'!$A$1:$AZ$1001,ROW(),설정!$C$8)&amp;"","")</f>
        <v/>
      </c>
      <c r="G726">
        <f>IFERROR(INDEX('1.산군_붙여넣기'!$A$1:$AZ$1001,ROW(),설정!$C$9)&amp;"","")</f>
        <v/>
      </c>
      <c r="H726">
        <f>IFERROR(INDEX('1.산군_붙여넣기'!$A$1:$AZ$1001,ROW(),설정!$C$10)&amp;"","")</f>
        <v/>
      </c>
      <c r="I726">
        <f>IFERROR(INDEX('1.산군_붙여넣기'!$A$1:$AZ$1001,ROW(),설정!$C$11)&amp;"","")</f>
        <v/>
      </c>
      <c r="J726">
        <f>IFERROR(INDEX('1.산군_붙여넣기'!$A$1:$AZ$1001,ROW(),설정!$C$12)&amp;"","")</f>
        <v/>
      </c>
      <c r="K726">
        <f>IFERROR(INDEX('1.산군_붙여넣기'!$A$1:$AZ$1001,ROW(),설정!$C$13)&amp;"","")</f>
        <v/>
      </c>
      <c r="L726" s="6">
        <f>IF(X726="","",IF(AND(LEN(X726)=8,ISNUMBER(X726*1)),DATE(LEFT(X726,4),MID(X726,5,2),RIGHT(X726,2)),IFERROR(DATEVALUE(SUBSTITUTE(SUBSTITUTE(X726,".","-"),"/","-")),IFERROR(X726*1,""))))</f>
        <v/>
      </c>
      <c r="M726" s="6">
        <f>IF(Y726="","",IF(AND(LEN(Y726)=8,ISNUMBER(Y726*1)),DATE(LEFT(Y726,4),MID(Y726,5,2),RIGHT(Y726,2)),IFERROR(DATEVALUE(SUBSTITUTE(SUBSTITUTE(Y726,".","-"),"/","-")),IFERROR(Y726*1,""))))</f>
        <v/>
      </c>
      <c r="N726">
        <f>IFERROR(LEFT(B726,FIND(" ",B726)-1),B726)</f>
        <v/>
      </c>
      <c r="O726">
        <f>AND(B726&lt;&gt;"",B726&lt;&gt;설정!$B$4,C726&lt;&gt;설정!$B$5)</f>
        <v/>
      </c>
      <c r="P726">
        <f>IF(O726,B726&amp;"|"&amp;C726,"")</f>
        <v/>
      </c>
      <c r="Q726">
        <f>AND(O726,COUNTIF(P727:P$1002,P726)=0)</f>
        <v/>
      </c>
      <c r="R726">
        <f>OR(AND(설정!$A$28&lt;&gt;"",ISNUMBER(SEARCH(설정!$A$28,E726&amp;" "&amp;C726))),AND(설정!$A$29&lt;&gt;"",ISNUMBER(SEARCH(설정!$A$29,E726&amp;" "&amp;C726))),AND(설정!$A$30&lt;&gt;"",ISNUMBER(SEARCH(설정!$A$30,E726&amp;" "&amp;C726))),AND(설정!$A$31&lt;&gt;"",ISNUMBER(SEARCH(설정!$A$31,E726&amp;" "&amp;C726))),AND(설정!$A$32&lt;&gt;"",ISNUMBER(SEARCH(설정!$A$32,E726&amp;" "&amp;C726))),AND(설정!$A$33&lt;&gt;"",ISNUMBER(SEARCH(설정!$A$33,E726&amp;" "&amp;C726))),AND(설정!$A$34&lt;&gt;"",ISNUMBER(SEARCH(설정!$A$34,E726&amp;" "&amp;C726))),AND(설정!$A$35&lt;&gt;"",ISNUMBER(SEARCH(설정!$A$35,E726&amp;" "&amp;C726))),AND(설정!$A$36&lt;&gt;"",ISNUMBER(SEARCH(설정!$A$36,E726&amp;" "&amp;C726))),AND(설정!$A$37&lt;&gt;"",ISNUMBER(SEARCH(설정!$A$37,E726&amp;" "&amp;C726))))</f>
        <v/>
      </c>
      <c r="S726">
        <f>OR(D726="",D726&gt;=설정!$B$19)</f>
        <v/>
      </c>
      <c r="T726">
        <f>AND(Q726,R726,S726)</f>
        <v/>
      </c>
      <c r="U726">
        <f>IF(T726,IF(AND(설정!$A$41&lt;&gt;"",ISNUMBER(SEARCH(설정!$A$41,K726))),설정!$B$41,IF(AND(설정!$A$42&lt;&gt;"",ISNUMBER(SEARCH(설정!$A$42,K726))),설정!$B$42,IF(AND(설정!$A$43&lt;&gt;"",ISNUMBER(SEARCH(설정!$A$43,K726))),설정!$B$43,IF(AND(설정!$A$44&lt;&gt;"",ISNUMBER(SEARCH(설정!$A$44,K726))),설정!$B$44,IF(AND(설정!$A$45&lt;&gt;"",ISNUMBER(SEARCH(설정!$A$45,K726))),설정!$B$45,IF(AND(설정!$A$46&lt;&gt;"",ISNUMBER(SEARCH(설정!$A$46,K726))),설정!$B$46,IF(AND(설정!$A$47&lt;&gt;"",ISNUMBER(SEARCH(설정!$A$47,K726))),설정!$B$47,IF(AND(설정!$A$48&lt;&gt;"",ISNUMBER(SEARCH(설정!$A$48,K726))),설정!$B$48,IF(M726="","설계사","시공사"))))))))),"")</f>
        <v/>
      </c>
      <c r="V726">
        <f>SUBSTITUTE(SUBSTITUTE(SUBSTITUTE(SUBSTITUTE(G726,"(주)",""),"㈜",""),"주식회사","")," ","")</f>
        <v/>
      </c>
      <c r="W726">
        <f>IF(AND(T726,V726&lt;&gt;""),IF(COUNTIFS(V$2:V726,V726,T$2:T726,TRUE)=1,MAX(W$1:W725)+1,""),"")</f>
        <v/>
      </c>
      <c r="X726">
        <f>IFERROR(INDEX('1.산군_붙여넣기'!$A$1:$AZ$1001,ROW(),설정!$C$14)&amp;"","")</f>
        <v/>
      </c>
      <c r="Y726">
        <f>IFERROR(INDEX('1.산군_붙여넣기'!$A$1:$AZ$1001,ROW(),설정!$C$15)&amp;"","")</f>
        <v/>
      </c>
      <c r="Z726">
        <f>IF(T726,V726&amp;"|"&amp;U726,"")</f>
        <v/>
      </c>
    </row>
    <row r="727">
      <c r="A727">
        <f>ROW()</f>
        <v/>
      </c>
      <c r="B727">
        <f>IFERROR(INDEX('1.산군_붙여넣기'!$A$1:$AZ$1001,ROW(),설정!$C$4)&amp;"","")</f>
        <v/>
      </c>
      <c r="C727">
        <f>IFERROR(INDEX('1.산군_붙여넣기'!$A$1:$AZ$1001,ROW(),설정!$C$5)&amp;"","")</f>
        <v/>
      </c>
      <c r="D727" s="5">
        <f>IFERROR(VALUE(SUBSTITUTE(SUBSTITUTE(SUBSTITUTE(IFERROR(INDEX('1.산군_붙여넣기'!$A$1:$AZ$1001,ROW(),설정!$C$6)&amp;"",""),",",""),"㎡",""),"m2","")),"")</f>
        <v/>
      </c>
      <c r="E727">
        <f>IFERROR(INDEX('1.산군_붙여넣기'!$A$1:$AZ$1001,ROW(),설정!$C$7)&amp;"","")</f>
        <v/>
      </c>
      <c r="F727">
        <f>IFERROR(INDEX('1.산군_붙여넣기'!$A$1:$AZ$1001,ROW(),설정!$C$8)&amp;"","")</f>
        <v/>
      </c>
      <c r="G727">
        <f>IFERROR(INDEX('1.산군_붙여넣기'!$A$1:$AZ$1001,ROW(),설정!$C$9)&amp;"","")</f>
        <v/>
      </c>
      <c r="H727">
        <f>IFERROR(INDEX('1.산군_붙여넣기'!$A$1:$AZ$1001,ROW(),설정!$C$10)&amp;"","")</f>
        <v/>
      </c>
      <c r="I727">
        <f>IFERROR(INDEX('1.산군_붙여넣기'!$A$1:$AZ$1001,ROW(),설정!$C$11)&amp;"","")</f>
        <v/>
      </c>
      <c r="J727">
        <f>IFERROR(INDEX('1.산군_붙여넣기'!$A$1:$AZ$1001,ROW(),설정!$C$12)&amp;"","")</f>
        <v/>
      </c>
      <c r="K727">
        <f>IFERROR(INDEX('1.산군_붙여넣기'!$A$1:$AZ$1001,ROW(),설정!$C$13)&amp;"","")</f>
        <v/>
      </c>
      <c r="L727" s="6">
        <f>IF(X727="","",IF(AND(LEN(X727)=8,ISNUMBER(X727*1)),DATE(LEFT(X727,4),MID(X727,5,2),RIGHT(X727,2)),IFERROR(DATEVALUE(SUBSTITUTE(SUBSTITUTE(X727,".","-"),"/","-")),IFERROR(X727*1,""))))</f>
        <v/>
      </c>
      <c r="M727" s="6">
        <f>IF(Y727="","",IF(AND(LEN(Y727)=8,ISNUMBER(Y727*1)),DATE(LEFT(Y727,4),MID(Y727,5,2),RIGHT(Y727,2)),IFERROR(DATEVALUE(SUBSTITUTE(SUBSTITUTE(Y727,".","-"),"/","-")),IFERROR(Y727*1,""))))</f>
        <v/>
      </c>
      <c r="N727">
        <f>IFERROR(LEFT(B727,FIND(" ",B727)-1),B727)</f>
        <v/>
      </c>
      <c r="O727">
        <f>AND(B727&lt;&gt;"",B727&lt;&gt;설정!$B$4,C727&lt;&gt;설정!$B$5)</f>
        <v/>
      </c>
      <c r="P727">
        <f>IF(O727,B727&amp;"|"&amp;C727,"")</f>
        <v/>
      </c>
      <c r="Q727">
        <f>AND(O727,COUNTIF(P728:P$1002,P727)=0)</f>
        <v/>
      </c>
      <c r="R727">
        <f>OR(AND(설정!$A$28&lt;&gt;"",ISNUMBER(SEARCH(설정!$A$28,E727&amp;" "&amp;C727))),AND(설정!$A$29&lt;&gt;"",ISNUMBER(SEARCH(설정!$A$29,E727&amp;" "&amp;C727))),AND(설정!$A$30&lt;&gt;"",ISNUMBER(SEARCH(설정!$A$30,E727&amp;" "&amp;C727))),AND(설정!$A$31&lt;&gt;"",ISNUMBER(SEARCH(설정!$A$31,E727&amp;" "&amp;C727))),AND(설정!$A$32&lt;&gt;"",ISNUMBER(SEARCH(설정!$A$32,E727&amp;" "&amp;C727))),AND(설정!$A$33&lt;&gt;"",ISNUMBER(SEARCH(설정!$A$33,E727&amp;" "&amp;C727))),AND(설정!$A$34&lt;&gt;"",ISNUMBER(SEARCH(설정!$A$34,E727&amp;" "&amp;C727))),AND(설정!$A$35&lt;&gt;"",ISNUMBER(SEARCH(설정!$A$35,E727&amp;" "&amp;C727))),AND(설정!$A$36&lt;&gt;"",ISNUMBER(SEARCH(설정!$A$36,E727&amp;" "&amp;C727))),AND(설정!$A$37&lt;&gt;"",ISNUMBER(SEARCH(설정!$A$37,E727&amp;" "&amp;C727))))</f>
        <v/>
      </c>
      <c r="S727">
        <f>OR(D727="",D727&gt;=설정!$B$19)</f>
        <v/>
      </c>
      <c r="T727">
        <f>AND(Q727,R727,S727)</f>
        <v/>
      </c>
      <c r="U727">
        <f>IF(T727,IF(AND(설정!$A$41&lt;&gt;"",ISNUMBER(SEARCH(설정!$A$41,K727))),설정!$B$41,IF(AND(설정!$A$42&lt;&gt;"",ISNUMBER(SEARCH(설정!$A$42,K727))),설정!$B$42,IF(AND(설정!$A$43&lt;&gt;"",ISNUMBER(SEARCH(설정!$A$43,K727))),설정!$B$43,IF(AND(설정!$A$44&lt;&gt;"",ISNUMBER(SEARCH(설정!$A$44,K727))),설정!$B$44,IF(AND(설정!$A$45&lt;&gt;"",ISNUMBER(SEARCH(설정!$A$45,K727))),설정!$B$45,IF(AND(설정!$A$46&lt;&gt;"",ISNUMBER(SEARCH(설정!$A$46,K727))),설정!$B$46,IF(AND(설정!$A$47&lt;&gt;"",ISNUMBER(SEARCH(설정!$A$47,K727))),설정!$B$47,IF(AND(설정!$A$48&lt;&gt;"",ISNUMBER(SEARCH(설정!$A$48,K727))),설정!$B$48,IF(M727="","설계사","시공사"))))))))),"")</f>
        <v/>
      </c>
      <c r="V727">
        <f>SUBSTITUTE(SUBSTITUTE(SUBSTITUTE(SUBSTITUTE(G727,"(주)",""),"㈜",""),"주식회사","")," ","")</f>
        <v/>
      </c>
      <c r="W727">
        <f>IF(AND(T727,V727&lt;&gt;""),IF(COUNTIFS(V$2:V727,V727,T$2:T727,TRUE)=1,MAX(W$1:W726)+1,""),"")</f>
        <v/>
      </c>
      <c r="X727">
        <f>IFERROR(INDEX('1.산군_붙여넣기'!$A$1:$AZ$1001,ROW(),설정!$C$14)&amp;"","")</f>
        <v/>
      </c>
      <c r="Y727">
        <f>IFERROR(INDEX('1.산군_붙여넣기'!$A$1:$AZ$1001,ROW(),설정!$C$15)&amp;"","")</f>
        <v/>
      </c>
      <c r="Z727">
        <f>IF(T727,V727&amp;"|"&amp;U727,"")</f>
        <v/>
      </c>
    </row>
    <row r="728">
      <c r="A728">
        <f>ROW()</f>
        <v/>
      </c>
      <c r="B728">
        <f>IFERROR(INDEX('1.산군_붙여넣기'!$A$1:$AZ$1001,ROW(),설정!$C$4)&amp;"","")</f>
        <v/>
      </c>
      <c r="C728">
        <f>IFERROR(INDEX('1.산군_붙여넣기'!$A$1:$AZ$1001,ROW(),설정!$C$5)&amp;"","")</f>
        <v/>
      </c>
      <c r="D728" s="5">
        <f>IFERROR(VALUE(SUBSTITUTE(SUBSTITUTE(SUBSTITUTE(IFERROR(INDEX('1.산군_붙여넣기'!$A$1:$AZ$1001,ROW(),설정!$C$6)&amp;"",""),",",""),"㎡",""),"m2","")),"")</f>
        <v/>
      </c>
      <c r="E728">
        <f>IFERROR(INDEX('1.산군_붙여넣기'!$A$1:$AZ$1001,ROW(),설정!$C$7)&amp;"","")</f>
        <v/>
      </c>
      <c r="F728">
        <f>IFERROR(INDEX('1.산군_붙여넣기'!$A$1:$AZ$1001,ROW(),설정!$C$8)&amp;"","")</f>
        <v/>
      </c>
      <c r="G728">
        <f>IFERROR(INDEX('1.산군_붙여넣기'!$A$1:$AZ$1001,ROW(),설정!$C$9)&amp;"","")</f>
        <v/>
      </c>
      <c r="H728">
        <f>IFERROR(INDEX('1.산군_붙여넣기'!$A$1:$AZ$1001,ROW(),설정!$C$10)&amp;"","")</f>
        <v/>
      </c>
      <c r="I728">
        <f>IFERROR(INDEX('1.산군_붙여넣기'!$A$1:$AZ$1001,ROW(),설정!$C$11)&amp;"","")</f>
        <v/>
      </c>
      <c r="J728">
        <f>IFERROR(INDEX('1.산군_붙여넣기'!$A$1:$AZ$1001,ROW(),설정!$C$12)&amp;"","")</f>
        <v/>
      </c>
      <c r="K728">
        <f>IFERROR(INDEX('1.산군_붙여넣기'!$A$1:$AZ$1001,ROW(),설정!$C$13)&amp;"","")</f>
        <v/>
      </c>
      <c r="L728" s="6">
        <f>IF(X728="","",IF(AND(LEN(X728)=8,ISNUMBER(X728*1)),DATE(LEFT(X728,4),MID(X728,5,2),RIGHT(X728,2)),IFERROR(DATEVALUE(SUBSTITUTE(SUBSTITUTE(X728,".","-"),"/","-")),IFERROR(X728*1,""))))</f>
        <v/>
      </c>
      <c r="M728" s="6">
        <f>IF(Y728="","",IF(AND(LEN(Y728)=8,ISNUMBER(Y728*1)),DATE(LEFT(Y728,4),MID(Y728,5,2),RIGHT(Y728,2)),IFERROR(DATEVALUE(SUBSTITUTE(SUBSTITUTE(Y728,".","-"),"/","-")),IFERROR(Y728*1,""))))</f>
        <v/>
      </c>
      <c r="N728">
        <f>IFERROR(LEFT(B728,FIND(" ",B728)-1),B728)</f>
        <v/>
      </c>
      <c r="O728">
        <f>AND(B728&lt;&gt;"",B728&lt;&gt;설정!$B$4,C728&lt;&gt;설정!$B$5)</f>
        <v/>
      </c>
      <c r="P728">
        <f>IF(O728,B728&amp;"|"&amp;C728,"")</f>
        <v/>
      </c>
      <c r="Q728">
        <f>AND(O728,COUNTIF(P729:P$1002,P728)=0)</f>
        <v/>
      </c>
      <c r="R728">
        <f>OR(AND(설정!$A$28&lt;&gt;"",ISNUMBER(SEARCH(설정!$A$28,E728&amp;" "&amp;C728))),AND(설정!$A$29&lt;&gt;"",ISNUMBER(SEARCH(설정!$A$29,E728&amp;" "&amp;C728))),AND(설정!$A$30&lt;&gt;"",ISNUMBER(SEARCH(설정!$A$30,E728&amp;" "&amp;C728))),AND(설정!$A$31&lt;&gt;"",ISNUMBER(SEARCH(설정!$A$31,E728&amp;" "&amp;C728))),AND(설정!$A$32&lt;&gt;"",ISNUMBER(SEARCH(설정!$A$32,E728&amp;" "&amp;C728))),AND(설정!$A$33&lt;&gt;"",ISNUMBER(SEARCH(설정!$A$33,E728&amp;" "&amp;C728))),AND(설정!$A$34&lt;&gt;"",ISNUMBER(SEARCH(설정!$A$34,E728&amp;" "&amp;C728))),AND(설정!$A$35&lt;&gt;"",ISNUMBER(SEARCH(설정!$A$35,E728&amp;" "&amp;C728))),AND(설정!$A$36&lt;&gt;"",ISNUMBER(SEARCH(설정!$A$36,E728&amp;" "&amp;C728))),AND(설정!$A$37&lt;&gt;"",ISNUMBER(SEARCH(설정!$A$37,E728&amp;" "&amp;C728))))</f>
        <v/>
      </c>
      <c r="S728">
        <f>OR(D728="",D728&gt;=설정!$B$19)</f>
        <v/>
      </c>
      <c r="T728">
        <f>AND(Q728,R728,S728)</f>
        <v/>
      </c>
      <c r="U728">
        <f>IF(T728,IF(AND(설정!$A$41&lt;&gt;"",ISNUMBER(SEARCH(설정!$A$41,K728))),설정!$B$41,IF(AND(설정!$A$42&lt;&gt;"",ISNUMBER(SEARCH(설정!$A$42,K728))),설정!$B$42,IF(AND(설정!$A$43&lt;&gt;"",ISNUMBER(SEARCH(설정!$A$43,K728))),설정!$B$43,IF(AND(설정!$A$44&lt;&gt;"",ISNUMBER(SEARCH(설정!$A$44,K728))),설정!$B$44,IF(AND(설정!$A$45&lt;&gt;"",ISNUMBER(SEARCH(설정!$A$45,K728))),설정!$B$45,IF(AND(설정!$A$46&lt;&gt;"",ISNUMBER(SEARCH(설정!$A$46,K728))),설정!$B$46,IF(AND(설정!$A$47&lt;&gt;"",ISNUMBER(SEARCH(설정!$A$47,K728))),설정!$B$47,IF(AND(설정!$A$48&lt;&gt;"",ISNUMBER(SEARCH(설정!$A$48,K728))),설정!$B$48,IF(M728="","설계사","시공사"))))))))),"")</f>
        <v/>
      </c>
      <c r="V728">
        <f>SUBSTITUTE(SUBSTITUTE(SUBSTITUTE(SUBSTITUTE(G728,"(주)",""),"㈜",""),"주식회사","")," ","")</f>
        <v/>
      </c>
      <c r="W728">
        <f>IF(AND(T728,V728&lt;&gt;""),IF(COUNTIFS(V$2:V728,V728,T$2:T728,TRUE)=1,MAX(W$1:W727)+1,""),"")</f>
        <v/>
      </c>
      <c r="X728">
        <f>IFERROR(INDEX('1.산군_붙여넣기'!$A$1:$AZ$1001,ROW(),설정!$C$14)&amp;"","")</f>
        <v/>
      </c>
      <c r="Y728">
        <f>IFERROR(INDEX('1.산군_붙여넣기'!$A$1:$AZ$1001,ROW(),설정!$C$15)&amp;"","")</f>
        <v/>
      </c>
      <c r="Z728">
        <f>IF(T728,V728&amp;"|"&amp;U728,"")</f>
        <v/>
      </c>
    </row>
    <row r="729">
      <c r="A729">
        <f>ROW()</f>
        <v/>
      </c>
      <c r="B729">
        <f>IFERROR(INDEX('1.산군_붙여넣기'!$A$1:$AZ$1001,ROW(),설정!$C$4)&amp;"","")</f>
        <v/>
      </c>
      <c r="C729">
        <f>IFERROR(INDEX('1.산군_붙여넣기'!$A$1:$AZ$1001,ROW(),설정!$C$5)&amp;"","")</f>
        <v/>
      </c>
      <c r="D729" s="5">
        <f>IFERROR(VALUE(SUBSTITUTE(SUBSTITUTE(SUBSTITUTE(IFERROR(INDEX('1.산군_붙여넣기'!$A$1:$AZ$1001,ROW(),설정!$C$6)&amp;"",""),",",""),"㎡",""),"m2","")),"")</f>
        <v/>
      </c>
      <c r="E729">
        <f>IFERROR(INDEX('1.산군_붙여넣기'!$A$1:$AZ$1001,ROW(),설정!$C$7)&amp;"","")</f>
        <v/>
      </c>
      <c r="F729">
        <f>IFERROR(INDEX('1.산군_붙여넣기'!$A$1:$AZ$1001,ROW(),설정!$C$8)&amp;"","")</f>
        <v/>
      </c>
      <c r="G729">
        <f>IFERROR(INDEX('1.산군_붙여넣기'!$A$1:$AZ$1001,ROW(),설정!$C$9)&amp;"","")</f>
        <v/>
      </c>
      <c r="H729">
        <f>IFERROR(INDEX('1.산군_붙여넣기'!$A$1:$AZ$1001,ROW(),설정!$C$10)&amp;"","")</f>
        <v/>
      </c>
      <c r="I729">
        <f>IFERROR(INDEX('1.산군_붙여넣기'!$A$1:$AZ$1001,ROW(),설정!$C$11)&amp;"","")</f>
        <v/>
      </c>
      <c r="J729">
        <f>IFERROR(INDEX('1.산군_붙여넣기'!$A$1:$AZ$1001,ROW(),설정!$C$12)&amp;"","")</f>
        <v/>
      </c>
      <c r="K729">
        <f>IFERROR(INDEX('1.산군_붙여넣기'!$A$1:$AZ$1001,ROW(),설정!$C$13)&amp;"","")</f>
        <v/>
      </c>
      <c r="L729" s="6">
        <f>IF(X729="","",IF(AND(LEN(X729)=8,ISNUMBER(X729*1)),DATE(LEFT(X729,4),MID(X729,5,2),RIGHT(X729,2)),IFERROR(DATEVALUE(SUBSTITUTE(SUBSTITUTE(X729,".","-"),"/","-")),IFERROR(X729*1,""))))</f>
        <v/>
      </c>
      <c r="M729" s="6">
        <f>IF(Y729="","",IF(AND(LEN(Y729)=8,ISNUMBER(Y729*1)),DATE(LEFT(Y729,4),MID(Y729,5,2),RIGHT(Y729,2)),IFERROR(DATEVALUE(SUBSTITUTE(SUBSTITUTE(Y729,".","-"),"/","-")),IFERROR(Y729*1,""))))</f>
        <v/>
      </c>
      <c r="N729">
        <f>IFERROR(LEFT(B729,FIND(" ",B729)-1),B729)</f>
        <v/>
      </c>
      <c r="O729">
        <f>AND(B729&lt;&gt;"",B729&lt;&gt;설정!$B$4,C729&lt;&gt;설정!$B$5)</f>
        <v/>
      </c>
      <c r="P729">
        <f>IF(O729,B729&amp;"|"&amp;C729,"")</f>
        <v/>
      </c>
      <c r="Q729">
        <f>AND(O729,COUNTIF(P730:P$1002,P729)=0)</f>
        <v/>
      </c>
      <c r="R729">
        <f>OR(AND(설정!$A$28&lt;&gt;"",ISNUMBER(SEARCH(설정!$A$28,E729&amp;" "&amp;C729))),AND(설정!$A$29&lt;&gt;"",ISNUMBER(SEARCH(설정!$A$29,E729&amp;" "&amp;C729))),AND(설정!$A$30&lt;&gt;"",ISNUMBER(SEARCH(설정!$A$30,E729&amp;" "&amp;C729))),AND(설정!$A$31&lt;&gt;"",ISNUMBER(SEARCH(설정!$A$31,E729&amp;" "&amp;C729))),AND(설정!$A$32&lt;&gt;"",ISNUMBER(SEARCH(설정!$A$32,E729&amp;" "&amp;C729))),AND(설정!$A$33&lt;&gt;"",ISNUMBER(SEARCH(설정!$A$33,E729&amp;" "&amp;C729))),AND(설정!$A$34&lt;&gt;"",ISNUMBER(SEARCH(설정!$A$34,E729&amp;" "&amp;C729))),AND(설정!$A$35&lt;&gt;"",ISNUMBER(SEARCH(설정!$A$35,E729&amp;" "&amp;C729))),AND(설정!$A$36&lt;&gt;"",ISNUMBER(SEARCH(설정!$A$36,E729&amp;" "&amp;C729))),AND(설정!$A$37&lt;&gt;"",ISNUMBER(SEARCH(설정!$A$37,E729&amp;" "&amp;C729))))</f>
        <v/>
      </c>
      <c r="S729">
        <f>OR(D729="",D729&gt;=설정!$B$19)</f>
        <v/>
      </c>
      <c r="T729">
        <f>AND(Q729,R729,S729)</f>
        <v/>
      </c>
      <c r="U729">
        <f>IF(T729,IF(AND(설정!$A$41&lt;&gt;"",ISNUMBER(SEARCH(설정!$A$41,K729))),설정!$B$41,IF(AND(설정!$A$42&lt;&gt;"",ISNUMBER(SEARCH(설정!$A$42,K729))),설정!$B$42,IF(AND(설정!$A$43&lt;&gt;"",ISNUMBER(SEARCH(설정!$A$43,K729))),설정!$B$43,IF(AND(설정!$A$44&lt;&gt;"",ISNUMBER(SEARCH(설정!$A$44,K729))),설정!$B$44,IF(AND(설정!$A$45&lt;&gt;"",ISNUMBER(SEARCH(설정!$A$45,K729))),설정!$B$45,IF(AND(설정!$A$46&lt;&gt;"",ISNUMBER(SEARCH(설정!$A$46,K729))),설정!$B$46,IF(AND(설정!$A$47&lt;&gt;"",ISNUMBER(SEARCH(설정!$A$47,K729))),설정!$B$47,IF(AND(설정!$A$48&lt;&gt;"",ISNUMBER(SEARCH(설정!$A$48,K729))),설정!$B$48,IF(M729="","설계사","시공사"))))))))),"")</f>
        <v/>
      </c>
      <c r="V729">
        <f>SUBSTITUTE(SUBSTITUTE(SUBSTITUTE(SUBSTITUTE(G729,"(주)",""),"㈜",""),"주식회사","")," ","")</f>
        <v/>
      </c>
      <c r="W729">
        <f>IF(AND(T729,V729&lt;&gt;""),IF(COUNTIFS(V$2:V729,V729,T$2:T729,TRUE)=1,MAX(W$1:W728)+1,""),"")</f>
        <v/>
      </c>
      <c r="X729">
        <f>IFERROR(INDEX('1.산군_붙여넣기'!$A$1:$AZ$1001,ROW(),설정!$C$14)&amp;"","")</f>
        <v/>
      </c>
      <c r="Y729">
        <f>IFERROR(INDEX('1.산군_붙여넣기'!$A$1:$AZ$1001,ROW(),설정!$C$15)&amp;"","")</f>
        <v/>
      </c>
      <c r="Z729">
        <f>IF(T729,V729&amp;"|"&amp;U729,"")</f>
        <v/>
      </c>
    </row>
    <row r="730">
      <c r="A730">
        <f>ROW()</f>
        <v/>
      </c>
      <c r="B730">
        <f>IFERROR(INDEX('1.산군_붙여넣기'!$A$1:$AZ$1001,ROW(),설정!$C$4)&amp;"","")</f>
        <v/>
      </c>
      <c r="C730">
        <f>IFERROR(INDEX('1.산군_붙여넣기'!$A$1:$AZ$1001,ROW(),설정!$C$5)&amp;"","")</f>
        <v/>
      </c>
      <c r="D730" s="5">
        <f>IFERROR(VALUE(SUBSTITUTE(SUBSTITUTE(SUBSTITUTE(IFERROR(INDEX('1.산군_붙여넣기'!$A$1:$AZ$1001,ROW(),설정!$C$6)&amp;"",""),",",""),"㎡",""),"m2","")),"")</f>
        <v/>
      </c>
      <c r="E730">
        <f>IFERROR(INDEX('1.산군_붙여넣기'!$A$1:$AZ$1001,ROW(),설정!$C$7)&amp;"","")</f>
        <v/>
      </c>
      <c r="F730">
        <f>IFERROR(INDEX('1.산군_붙여넣기'!$A$1:$AZ$1001,ROW(),설정!$C$8)&amp;"","")</f>
        <v/>
      </c>
      <c r="G730">
        <f>IFERROR(INDEX('1.산군_붙여넣기'!$A$1:$AZ$1001,ROW(),설정!$C$9)&amp;"","")</f>
        <v/>
      </c>
      <c r="H730">
        <f>IFERROR(INDEX('1.산군_붙여넣기'!$A$1:$AZ$1001,ROW(),설정!$C$10)&amp;"","")</f>
        <v/>
      </c>
      <c r="I730">
        <f>IFERROR(INDEX('1.산군_붙여넣기'!$A$1:$AZ$1001,ROW(),설정!$C$11)&amp;"","")</f>
        <v/>
      </c>
      <c r="J730">
        <f>IFERROR(INDEX('1.산군_붙여넣기'!$A$1:$AZ$1001,ROW(),설정!$C$12)&amp;"","")</f>
        <v/>
      </c>
      <c r="K730">
        <f>IFERROR(INDEX('1.산군_붙여넣기'!$A$1:$AZ$1001,ROW(),설정!$C$13)&amp;"","")</f>
        <v/>
      </c>
      <c r="L730" s="6">
        <f>IF(X730="","",IF(AND(LEN(X730)=8,ISNUMBER(X730*1)),DATE(LEFT(X730,4),MID(X730,5,2),RIGHT(X730,2)),IFERROR(DATEVALUE(SUBSTITUTE(SUBSTITUTE(X730,".","-"),"/","-")),IFERROR(X730*1,""))))</f>
        <v/>
      </c>
      <c r="M730" s="6">
        <f>IF(Y730="","",IF(AND(LEN(Y730)=8,ISNUMBER(Y730*1)),DATE(LEFT(Y730,4),MID(Y730,5,2),RIGHT(Y730,2)),IFERROR(DATEVALUE(SUBSTITUTE(SUBSTITUTE(Y730,".","-"),"/","-")),IFERROR(Y730*1,""))))</f>
        <v/>
      </c>
      <c r="N730">
        <f>IFERROR(LEFT(B730,FIND(" ",B730)-1),B730)</f>
        <v/>
      </c>
      <c r="O730">
        <f>AND(B730&lt;&gt;"",B730&lt;&gt;설정!$B$4,C730&lt;&gt;설정!$B$5)</f>
        <v/>
      </c>
      <c r="P730">
        <f>IF(O730,B730&amp;"|"&amp;C730,"")</f>
        <v/>
      </c>
      <c r="Q730">
        <f>AND(O730,COUNTIF(P731:P$1002,P730)=0)</f>
        <v/>
      </c>
      <c r="R730">
        <f>OR(AND(설정!$A$28&lt;&gt;"",ISNUMBER(SEARCH(설정!$A$28,E730&amp;" "&amp;C730))),AND(설정!$A$29&lt;&gt;"",ISNUMBER(SEARCH(설정!$A$29,E730&amp;" "&amp;C730))),AND(설정!$A$30&lt;&gt;"",ISNUMBER(SEARCH(설정!$A$30,E730&amp;" "&amp;C730))),AND(설정!$A$31&lt;&gt;"",ISNUMBER(SEARCH(설정!$A$31,E730&amp;" "&amp;C730))),AND(설정!$A$32&lt;&gt;"",ISNUMBER(SEARCH(설정!$A$32,E730&amp;" "&amp;C730))),AND(설정!$A$33&lt;&gt;"",ISNUMBER(SEARCH(설정!$A$33,E730&amp;" "&amp;C730))),AND(설정!$A$34&lt;&gt;"",ISNUMBER(SEARCH(설정!$A$34,E730&amp;" "&amp;C730))),AND(설정!$A$35&lt;&gt;"",ISNUMBER(SEARCH(설정!$A$35,E730&amp;" "&amp;C730))),AND(설정!$A$36&lt;&gt;"",ISNUMBER(SEARCH(설정!$A$36,E730&amp;" "&amp;C730))),AND(설정!$A$37&lt;&gt;"",ISNUMBER(SEARCH(설정!$A$37,E730&amp;" "&amp;C730))))</f>
        <v/>
      </c>
      <c r="S730">
        <f>OR(D730="",D730&gt;=설정!$B$19)</f>
        <v/>
      </c>
      <c r="T730">
        <f>AND(Q730,R730,S730)</f>
        <v/>
      </c>
      <c r="U730">
        <f>IF(T730,IF(AND(설정!$A$41&lt;&gt;"",ISNUMBER(SEARCH(설정!$A$41,K730))),설정!$B$41,IF(AND(설정!$A$42&lt;&gt;"",ISNUMBER(SEARCH(설정!$A$42,K730))),설정!$B$42,IF(AND(설정!$A$43&lt;&gt;"",ISNUMBER(SEARCH(설정!$A$43,K730))),설정!$B$43,IF(AND(설정!$A$44&lt;&gt;"",ISNUMBER(SEARCH(설정!$A$44,K730))),설정!$B$44,IF(AND(설정!$A$45&lt;&gt;"",ISNUMBER(SEARCH(설정!$A$45,K730))),설정!$B$45,IF(AND(설정!$A$46&lt;&gt;"",ISNUMBER(SEARCH(설정!$A$46,K730))),설정!$B$46,IF(AND(설정!$A$47&lt;&gt;"",ISNUMBER(SEARCH(설정!$A$47,K730))),설정!$B$47,IF(AND(설정!$A$48&lt;&gt;"",ISNUMBER(SEARCH(설정!$A$48,K730))),설정!$B$48,IF(M730="","설계사","시공사"))))))))),"")</f>
        <v/>
      </c>
      <c r="V730">
        <f>SUBSTITUTE(SUBSTITUTE(SUBSTITUTE(SUBSTITUTE(G730,"(주)",""),"㈜",""),"주식회사","")," ","")</f>
        <v/>
      </c>
      <c r="W730">
        <f>IF(AND(T730,V730&lt;&gt;""),IF(COUNTIFS(V$2:V730,V730,T$2:T730,TRUE)=1,MAX(W$1:W729)+1,""),"")</f>
        <v/>
      </c>
      <c r="X730">
        <f>IFERROR(INDEX('1.산군_붙여넣기'!$A$1:$AZ$1001,ROW(),설정!$C$14)&amp;"","")</f>
        <v/>
      </c>
      <c r="Y730">
        <f>IFERROR(INDEX('1.산군_붙여넣기'!$A$1:$AZ$1001,ROW(),설정!$C$15)&amp;"","")</f>
        <v/>
      </c>
      <c r="Z730">
        <f>IF(T730,V730&amp;"|"&amp;U730,"")</f>
        <v/>
      </c>
    </row>
    <row r="731">
      <c r="A731">
        <f>ROW()</f>
        <v/>
      </c>
      <c r="B731">
        <f>IFERROR(INDEX('1.산군_붙여넣기'!$A$1:$AZ$1001,ROW(),설정!$C$4)&amp;"","")</f>
        <v/>
      </c>
      <c r="C731">
        <f>IFERROR(INDEX('1.산군_붙여넣기'!$A$1:$AZ$1001,ROW(),설정!$C$5)&amp;"","")</f>
        <v/>
      </c>
      <c r="D731" s="5">
        <f>IFERROR(VALUE(SUBSTITUTE(SUBSTITUTE(SUBSTITUTE(IFERROR(INDEX('1.산군_붙여넣기'!$A$1:$AZ$1001,ROW(),설정!$C$6)&amp;"",""),",",""),"㎡",""),"m2","")),"")</f>
        <v/>
      </c>
      <c r="E731">
        <f>IFERROR(INDEX('1.산군_붙여넣기'!$A$1:$AZ$1001,ROW(),설정!$C$7)&amp;"","")</f>
        <v/>
      </c>
      <c r="F731">
        <f>IFERROR(INDEX('1.산군_붙여넣기'!$A$1:$AZ$1001,ROW(),설정!$C$8)&amp;"","")</f>
        <v/>
      </c>
      <c r="G731">
        <f>IFERROR(INDEX('1.산군_붙여넣기'!$A$1:$AZ$1001,ROW(),설정!$C$9)&amp;"","")</f>
        <v/>
      </c>
      <c r="H731">
        <f>IFERROR(INDEX('1.산군_붙여넣기'!$A$1:$AZ$1001,ROW(),설정!$C$10)&amp;"","")</f>
        <v/>
      </c>
      <c r="I731">
        <f>IFERROR(INDEX('1.산군_붙여넣기'!$A$1:$AZ$1001,ROW(),설정!$C$11)&amp;"","")</f>
        <v/>
      </c>
      <c r="J731">
        <f>IFERROR(INDEX('1.산군_붙여넣기'!$A$1:$AZ$1001,ROW(),설정!$C$12)&amp;"","")</f>
        <v/>
      </c>
      <c r="K731">
        <f>IFERROR(INDEX('1.산군_붙여넣기'!$A$1:$AZ$1001,ROW(),설정!$C$13)&amp;"","")</f>
        <v/>
      </c>
      <c r="L731" s="6">
        <f>IF(X731="","",IF(AND(LEN(X731)=8,ISNUMBER(X731*1)),DATE(LEFT(X731,4),MID(X731,5,2),RIGHT(X731,2)),IFERROR(DATEVALUE(SUBSTITUTE(SUBSTITUTE(X731,".","-"),"/","-")),IFERROR(X731*1,""))))</f>
        <v/>
      </c>
      <c r="M731" s="6">
        <f>IF(Y731="","",IF(AND(LEN(Y731)=8,ISNUMBER(Y731*1)),DATE(LEFT(Y731,4),MID(Y731,5,2),RIGHT(Y731,2)),IFERROR(DATEVALUE(SUBSTITUTE(SUBSTITUTE(Y731,".","-"),"/","-")),IFERROR(Y731*1,""))))</f>
        <v/>
      </c>
      <c r="N731">
        <f>IFERROR(LEFT(B731,FIND(" ",B731)-1),B731)</f>
        <v/>
      </c>
      <c r="O731">
        <f>AND(B731&lt;&gt;"",B731&lt;&gt;설정!$B$4,C731&lt;&gt;설정!$B$5)</f>
        <v/>
      </c>
      <c r="P731">
        <f>IF(O731,B731&amp;"|"&amp;C731,"")</f>
        <v/>
      </c>
      <c r="Q731">
        <f>AND(O731,COUNTIF(P732:P$1002,P731)=0)</f>
        <v/>
      </c>
      <c r="R731">
        <f>OR(AND(설정!$A$28&lt;&gt;"",ISNUMBER(SEARCH(설정!$A$28,E731&amp;" "&amp;C731))),AND(설정!$A$29&lt;&gt;"",ISNUMBER(SEARCH(설정!$A$29,E731&amp;" "&amp;C731))),AND(설정!$A$30&lt;&gt;"",ISNUMBER(SEARCH(설정!$A$30,E731&amp;" "&amp;C731))),AND(설정!$A$31&lt;&gt;"",ISNUMBER(SEARCH(설정!$A$31,E731&amp;" "&amp;C731))),AND(설정!$A$32&lt;&gt;"",ISNUMBER(SEARCH(설정!$A$32,E731&amp;" "&amp;C731))),AND(설정!$A$33&lt;&gt;"",ISNUMBER(SEARCH(설정!$A$33,E731&amp;" "&amp;C731))),AND(설정!$A$34&lt;&gt;"",ISNUMBER(SEARCH(설정!$A$34,E731&amp;" "&amp;C731))),AND(설정!$A$35&lt;&gt;"",ISNUMBER(SEARCH(설정!$A$35,E731&amp;" "&amp;C731))),AND(설정!$A$36&lt;&gt;"",ISNUMBER(SEARCH(설정!$A$36,E731&amp;" "&amp;C731))),AND(설정!$A$37&lt;&gt;"",ISNUMBER(SEARCH(설정!$A$37,E731&amp;" "&amp;C731))))</f>
        <v/>
      </c>
      <c r="S731">
        <f>OR(D731="",D731&gt;=설정!$B$19)</f>
        <v/>
      </c>
      <c r="T731">
        <f>AND(Q731,R731,S731)</f>
        <v/>
      </c>
      <c r="U731">
        <f>IF(T731,IF(AND(설정!$A$41&lt;&gt;"",ISNUMBER(SEARCH(설정!$A$41,K731))),설정!$B$41,IF(AND(설정!$A$42&lt;&gt;"",ISNUMBER(SEARCH(설정!$A$42,K731))),설정!$B$42,IF(AND(설정!$A$43&lt;&gt;"",ISNUMBER(SEARCH(설정!$A$43,K731))),설정!$B$43,IF(AND(설정!$A$44&lt;&gt;"",ISNUMBER(SEARCH(설정!$A$44,K731))),설정!$B$44,IF(AND(설정!$A$45&lt;&gt;"",ISNUMBER(SEARCH(설정!$A$45,K731))),설정!$B$45,IF(AND(설정!$A$46&lt;&gt;"",ISNUMBER(SEARCH(설정!$A$46,K731))),설정!$B$46,IF(AND(설정!$A$47&lt;&gt;"",ISNUMBER(SEARCH(설정!$A$47,K731))),설정!$B$47,IF(AND(설정!$A$48&lt;&gt;"",ISNUMBER(SEARCH(설정!$A$48,K731))),설정!$B$48,IF(M731="","설계사","시공사"))))))))),"")</f>
        <v/>
      </c>
      <c r="V731">
        <f>SUBSTITUTE(SUBSTITUTE(SUBSTITUTE(SUBSTITUTE(G731,"(주)",""),"㈜",""),"주식회사","")," ","")</f>
        <v/>
      </c>
      <c r="W731">
        <f>IF(AND(T731,V731&lt;&gt;""),IF(COUNTIFS(V$2:V731,V731,T$2:T731,TRUE)=1,MAX(W$1:W730)+1,""),"")</f>
        <v/>
      </c>
      <c r="X731">
        <f>IFERROR(INDEX('1.산군_붙여넣기'!$A$1:$AZ$1001,ROW(),설정!$C$14)&amp;"","")</f>
        <v/>
      </c>
      <c r="Y731">
        <f>IFERROR(INDEX('1.산군_붙여넣기'!$A$1:$AZ$1001,ROW(),설정!$C$15)&amp;"","")</f>
        <v/>
      </c>
      <c r="Z731">
        <f>IF(T731,V731&amp;"|"&amp;U731,"")</f>
        <v/>
      </c>
    </row>
    <row r="732">
      <c r="A732">
        <f>ROW()</f>
        <v/>
      </c>
      <c r="B732">
        <f>IFERROR(INDEX('1.산군_붙여넣기'!$A$1:$AZ$1001,ROW(),설정!$C$4)&amp;"","")</f>
        <v/>
      </c>
      <c r="C732">
        <f>IFERROR(INDEX('1.산군_붙여넣기'!$A$1:$AZ$1001,ROW(),설정!$C$5)&amp;"","")</f>
        <v/>
      </c>
      <c r="D732" s="5">
        <f>IFERROR(VALUE(SUBSTITUTE(SUBSTITUTE(SUBSTITUTE(IFERROR(INDEX('1.산군_붙여넣기'!$A$1:$AZ$1001,ROW(),설정!$C$6)&amp;"",""),",",""),"㎡",""),"m2","")),"")</f>
        <v/>
      </c>
      <c r="E732">
        <f>IFERROR(INDEX('1.산군_붙여넣기'!$A$1:$AZ$1001,ROW(),설정!$C$7)&amp;"","")</f>
        <v/>
      </c>
      <c r="F732">
        <f>IFERROR(INDEX('1.산군_붙여넣기'!$A$1:$AZ$1001,ROW(),설정!$C$8)&amp;"","")</f>
        <v/>
      </c>
      <c r="G732">
        <f>IFERROR(INDEX('1.산군_붙여넣기'!$A$1:$AZ$1001,ROW(),설정!$C$9)&amp;"","")</f>
        <v/>
      </c>
      <c r="H732">
        <f>IFERROR(INDEX('1.산군_붙여넣기'!$A$1:$AZ$1001,ROW(),설정!$C$10)&amp;"","")</f>
        <v/>
      </c>
      <c r="I732">
        <f>IFERROR(INDEX('1.산군_붙여넣기'!$A$1:$AZ$1001,ROW(),설정!$C$11)&amp;"","")</f>
        <v/>
      </c>
      <c r="J732">
        <f>IFERROR(INDEX('1.산군_붙여넣기'!$A$1:$AZ$1001,ROW(),설정!$C$12)&amp;"","")</f>
        <v/>
      </c>
      <c r="K732">
        <f>IFERROR(INDEX('1.산군_붙여넣기'!$A$1:$AZ$1001,ROW(),설정!$C$13)&amp;"","")</f>
        <v/>
      </c>
      <c r="L732" s="6">
        <f>IF(X732="","",IF(AND(LEN(X732)=8,ISNUMBER(X732*1)),DATE(LEFT(X732,4),MID(X732,5,2),RIGHT(X732,2)),IFERROR(DATEVALUE(SUBSTITUTE(SUBSTITUTE(X732,".","-"),"/","-")),IFERROR(X732*1,""))))</f>
        <v/>
      </c>
      <c r="M732" s="6">
        <f>IF(Y732="","",IF(AND(LEN(Y732)=8,ISNUMBER(Y732*1)),DATE(LEFT(Y732,4),MID(Y732,5,2),RIGHT(Y732,2)),IFERROR(DATEVALUE(SUBSTITUTE(SUBSTITUTE(Y732,".","-"),"/","-")),IFERROR(Y732*1,""))))</f>
        <v/>
      </c>
      <c r="N732">
        <f>IFERROR(LEFT(B732,FIND(" ",B732)-1),B732)</f>
        <v/>
      </c>
      <c r="O732">
        <f>AND(B732&lt;&gt;"",B732&lt;&gt;설정!$B$4,C732&lt;&gt;설정!$B$5)</f>
        <v/>
      </c>
      <c r="P732">
        <f>IF(O732,B732&amp;"|"&amp;C732,"")</f>
        <v/>
      </c>
      <c r="Q732">
        <f>AND(O732,COUNTIF(P733:P$1002,P732)=0)</f>
        <v/>
      </c>
      <c r="R732">
        <f>OR(AND(설정!$A$28&lt;&gt;"",ISNUMBER(SEARCH(설정!$A$28,E732&amp;" "&amp;C732))),AND(설정!$A$29&lt;&gt;"",ISNUMBER(SEARCH(설정!$A$29,E732&amp;" "&amp;C732))),AND(설정!$A$30&lt;&gt;"",ISNUMBER(SEARCH(설정!$A$30,E732&amp;" "&amp;C732))),AND(설정!$A$31&lt;&gt;"",ISNUMBER(SEARCH(설정!$A$31,E732&amp;" "&amp;C732))),AND(설정!$A$32&lt;&gt;"",ISNUMBER(SEARCH(설정!$A$32,E732&amp;" "&amp;C732))),AND(설정!$A$33&lt;&gt;"",ISNUMBER(SEARCH(설정!$A$33,E732&amp;" "&amp;C732))),AND(설정!$A$34&lt;&gt;"",ISNUMBER(SEARCH(설정!$A$34,E732&amp;" "&amp;C732))),AND(설정!$A$35&lt;&gt;"",ISNUMBER(SEARCH(설정!$A$35,E732&amp;" "&amp;C732))),AND(설정!$A$36&lt;&gt;"",ISNUMBER(SEARCH(설정!$A$36,E732&amp;" "&amp;C732))),AND(설정!$A$37&lt;&gt;"",ISNUMBER(SEARCH(설정!$A$37,E732&amp;" "&amp;C732))))</f>
        <v/>
      </c>
      <c r="S732">
        <f>OR(D732="",D732&gt;=설정!$B$19)</f>
        <v/>
      </c>
      <c r="T732">
        <f>AND(Q732,R732,S732)</f>
        <v/>
      </c>
      <c r="U732">
        <f>IF(T732,IF(AND(설정!$A$41&lt;&gt;"",ISNUMBER(SEARCH(설정!$A$41,K732))),설정!$B$41,IF(AND(설정!$A$42&lt;&gt;"",ISNUMBER(SEARCH(설정!$A$42,K732))),설정!$B$42,IF(AND(설정!$A$43&lt;&gt;"",ISNUMBER(SEARCH(설정!$A$43,K732))),설정!$B$43,IF(AND(설정!$A$44&lt;&gt;"",ISNUMBER(SEARCH(설정!$A$44,K732))),설정!$B$44,IF(AND(설정!$A$45&lt;&gt;"",ISNUMBER(SEARCH(설정!$A$45,K732))),설정!$B$45,IF(AND(설정!$A$46&lt;&gt;"",ISNUMBER(SEARCH(설정!$A$46,K732))),설정!$B$46,IF(AND(설정!$A$47&lt;&gt;"",ISNUMBER(SEARCH(설정!$A$47,K732))),설정!$B$47,IF(AND(설정!$A$48&lt;&gt;"",ISNUMBER(SEARCH(설정!$A$48,K732))),설정!$B$48,IF(M732="","설계사","시공사"))))))))),"")</f>
        <v/>
      </c>
      <c r="V732">
        <f>SUBSTITUTE(SUBSTITUTE(SUBSTITUTE(SUBSTITUTE(G732,"(주)",""),"㈜",""),"주식회사","")," ","")</f>
        <v/>
      </c>
      <c r="W732">
        <f>IF(AND(T732,V732&lt;&gt;""),IF(COUNTIFS(V$2:V732,V732,T$2:T732,TRUE)=1,MAX(W$1:W731)+1,""),"")</f>
        <v/>
      </c>
      <c r="X732">
        <f>IFERROR(INDEX('1.산군_붙여넣기'!$A$1:$AZ$1001,ROW(),설정!$C$14)&amp;"","")</f>
        <v/>
      </c>
      <c r="Y732">
        <f>IFERROR(INDEX('1.산군_붙여넣기'!$A$1:$AZ$1001,ROW(),설정!$C$15)&amp;"","")</f>
        <v/>
      </c>
      <c r="Z732">
        <f>IF(T732,V732&amp;"|"&amp;U732,"")</f>
        <v/>
      </c>
    </row>
    <row r="733">
      <c r="A733">
        <f>ROW()</f>
        <v/>
      </c>
      <c r="B733">
        <f>IFERROR(INDEX('1.산군_붙여넣기'!$A$1:$AZ$1001,ROW(),설정!$C$4)&amp;"","")</f>
        <v/>
      </c>
      <c r="C733">
        <f>IFERROR(INDEX('1.산군_붙여넣기'!$A$1:$AZ$1001,ROW(),설정!$C$5)&amp;"","")</f>
        <v/>
      </c>
      <c r="D733" s="5">
        <f>IFERROR(VALUE(SUBSTITUTE(SUBSTITUTE(SUBSTITUTE(IFERROR(INDEX('1.산군_붙여넣기'!$A$1:$AZ$1001,ROW(),설정!$C$6)&amp;"",""),",",""),"㎡",""),"m2","")),"")</f>
        <v/>
      </c>
      <c r="E733">
        <f>IFERROR(INDEX('1.산군_붙여넣기'!$A$1:$AZ$1001,ROW(),설정!$C$7)&amp;"","")</f>
        <v/>
      </c>
      <c r="F733">
        <f>IFERROR(INDEX('1.산군_붙여넣기'!$A$1:$AZ$1001,ROW(),설정!$C$8)&amp;"","")</f>
        <v/>
      </c>
      <c r="G733">
        <f>IFERROR(INDEX('1.산군_붙여넣기'!$A$1:$AZ$1001,ROW(),설정!$C$9)&amp;"","")</f>
        <v/>
      </c>
      <c r="H733">
        <f>IFERROR(INDEX('1.산군_붙여넣기'!$A$1:$AZ$1001,ROW(),설정!$C$10)&amp;"","")</f>
        <v/>
      </c>
      <c r="I733">
        <f>IFERROR(INDEX('1.산군_붙여넣기'!$A$1:$AZ$1001,ROW(),설정!$C$11)&amp;"","")</f>
        <v/>
      </c>
      <c r="J733">
        <f>IFERROR(INDEX('1.산군_붙여넣기'!$A$1:$AZ$1001,ROW(),설정!$C$12)&amp;"","")</f>
        <v/>
      </c>
      <c r="K733">
        <f>IFERROR(INDEX('1.산군_붙여넣기'!$A$1:$AZ$1001,ROW(),설정!$C$13)&amp;"","")</f>
        <v/>
      </c>
      <c r="L733" s="6">
        <f>IF(X733="","",IF(AND(LEN(X733)=8,ISNUMBER(X733*1)),DATE(LEFT(X733,4),MID(X733,5,2),RIGHT(X733,2)),IFERROR(DATEVALUE(SUBSTITUTE(SUBSTITUTE(X733,".","-"),"/","-")),IFERROR(X733*1,""))))</f>
        <v/>
      </c>
      <c r="M733" s="6">
        <f>IF(Y733="","",IF(AND(LEN(Y733)=8,ISNUMBER(Y733*1)),DATE(LEFT(Y733,4),MID(Y733,5,2),RIGHT(Y733,2)),IFERROR(DATEVALUE(SUBSTITUTE(SUBSTITUTE(Y733,".","-"),"/","-")),IFERROR(Y733*1,""))))</f>
        <v/>
      </c>
      <c r="N733">
        <f>IFERROR(LEFT(B733,FIND(" ",B733)-1),B733)</f>
        <v/>
      </c>
      <c r="O733">
        <f>AND(B733&lt;&gt;"",B733&lt;&gt;설정!$B$4,C733&lt;&gt;설정!$B$5)</f>
        <v/>
      </c>
      <c r="P733">
        <f>IF(O733,B733&amp;"|"&amp;C733,"")</f>
        <v/>
      </c>
      <c r="Q733">
        <f>AND(O733,COUNTIF(P734:P$1002,P733)=0)</f>
        <v/>
      </c>
      <c r="R733">
        <f>OR(AND(설정!$A$28&lt;&gt;"",ISNUMBER(SEARCH(설정!$A$28,E733&amp;" "&amp;C733))),AND(설정!$A$29&lt;&gt;"",ISNUMBER(SEARCH(설정!$A$29,E733&amp;" "&amp;C733))),AND(설정!$A$30&lt;&gt;"",ISNUMBER(SEARCH(설정!$A$30,E733&amp;" "&amp;C733))),AND(설정!$A$31&lt;&gt;"",ISNUMBER(SEARCH(설정!$A$31,E733&amp;" "&amp;C733))),AND(설정!$A$32&lt;&gt;"",ISNUMBER(SEARCH(설정!$A$32,E733&amp;" "&amp;C733))),AND(설정!$A$33&lt;&gt;"",ISNUMBER(SEARCH(설정!$A$33,E733&amp;" "&amp;C733))),AND(설정!$A$34&lt;&gt;"",ISNUMBER(SEARCH(설정!$A$34,E733&amp;" "&amp;C733))),AND(설정!$A$35&lt;&gt;"",ISNUMBER(SEARCH(설정!$A$35,E733&amp;" "&amp;C733))),AND(설정!$A$36&lt;&gt;"",ISNUMBER(SEARCH(설정!$A$36,E733&amp;" "&amp;C733))),AND(설정!$A$37&lt;&gt;"",ISNUMBER(SEARCH(설정!$A$37,E733&amp;" "&amp;C733))))</f>
        <v/>
      </c>
      <c r="S733">
        <f>OR(D733="",D733&gt;=설정!$B$19)</f>
        <v/>
      </c>
      <c r="T733">
        <f>AND(Q733,R733,S733)</f>
        <v/>
      </c>
      <c r="U733">
        <f>IF(T733,IF(AND(설정!$A$41&lt;&gt;"",ISNUMBER(SEARCH(설정!$A$41,K733))),설정!$B$41,IF(AND(설정!$A$42&lt;&gt;"",ISNUMBER(SEARCH(설정!$A$42,K733))),설정!$B$42,IF(AND(설정!$A$43&lt;&gt;"",ISNUMBER(SEARCH(설정!$A$43,K733))),설정!$B$43,IF(AND(설정!$A$44&lt;&gt;"",ISNUMBER(SEARCH(설정!$A$44,K733))),설정!$B$44,IF(AND(설정!$A$45&lt;&gt;"",ISNUMBER(SEARCH(설정!$A$45,K733))),설정!$B$45,IF(AND(설정!$A$46&lt;&gt;"",ISNUMBER(SEARCH(설정!$A$46,K733))),설정!$B$46,IF(AND(설정!$A$47&lt;&gt;"",ISNUMBER(SEARCH(설정!$A$47,K733))),설정!$B$47,IF(AND(설정!$A$48&lt;&gt;"",ISNUMBER(SEARCH(설정!$A$48,K733))),설정!$B$48,IF(M733="","설계사","시공사"))))))))),"")</f>
        <v/>
      </c>
      <c r="V733">
        <f>SUBSTITUTE(SUBSTITUTE(SUBSTITUTE(SUBSTITUTE(G733,"(주)",""),"㈜",""),"주식회사","")," ","")</f>
        <v/>
      </c>
      <c r="W733">
        <f>IF(AND(T733,V733&lt;&gt;""),IF(COUNTIFS(V$2:V733,V733,T$2:T733,TRUE)=1,MAX(W$1:W732)+1,""),"")</f>
        <v/>
      </c>
      <c r="X733">
        <f>IFERROR(INDEX('1.산군_붙여넣기'!$A$1:$AZ$1001,ROW(),설정!$C$14)&amp;"","")</f>
        <v/>
      </c>
      <c r="Y733">
        <f>IFERROR(INDEX('1.산군_붙여넣기'!$A$1:$AZ$1001,ROW(),설정!$C$15)&amp;"","")</f>
        <v/>
      </c>
      <c r="Z733">
        <f>IF(T733,V733&amp;"|"&amp;U733,"")</f>
        <v/>
      </c>
    </row>
    <row r="734">
      <c r="A734">
        <f>ROW()</f>
        <v/>
      </c>
      <c r="B734">
        <f>IFERROR(INDEX('1.산군_붙여넣기'!$A$1:$AZ$1001,ROW(),설정!$C$4)&amp;"","")</f>
        <v/>
      </c>
      <c r="C734">
        <f>IFERROR(INDEX('1.산군_붙여넣기'!$A$1:$AZ$1001,ROW(),설정!$C$5)&amp;"","")</f>
        <v/>
      </c>
      <c r="D734" s="5">
        <f>IFERROR(VALUE(SUBSTITUTE(SUBSTITUTE(SUBSTITUTE(IFERROR(INDEX('1.산군_붙여넣기'!$A$1:$AZ$1001,ROW(),설정!$C$6)&amp;"",""),",",""),"㎡",""),"m2","")),"")</f>
        <v/>
      </c>
      <c r="E734">
        <f>IFERROR(INDEX('1.산군_붙여넣기'!$A$1:$AZ$1001,ROW(),설정!$C$7)&amp;"","")</f>
        <v/>
      </c>
      <c r="F734">
        <f>IFERROR(INDEX('1.산군_붙여넣기'!$A$1:$AZ$1001,ROW(),설정!$C$8)&amp;"","")</f>
        <v/>
      </c>
      <c r="G734">
        <f>IFERROR(INDEX('1.산군_붙여넣기'!$A$1:$AZ$1001,ROW(),설정!$C$9)&amp;"","")</f>
        <v/>
      </c>
      <c r="H734">
        <f>IFERROR(INDEX('1.산군_붙여넣기'!$A$1:$AZ$1001,ROW(),설정!$C$10)&amp;"","")</f>
        <v/>
      </c>
      <c r="I734">
        <f>IFERROR(INDEX('1.산군_붙여넣기'!$A$1:$AZ$1001,ROW(),설정!$C$11)&amp;"","")</f>
        <v/>
      </c>
      <c r="J734">
        <f>IFERROR(INDEX('1.산군_붙여넣기'!$A$1:$AZ$1001,ROW(),설정!$C$12)&amp;"","")</f>
        <v/>
      </c>
      <c r="K734">
        <f>IFERROR(INDEX('1.산군_붙여넣기'!$A$1:$AZ$1001,ROW(),설정!$C$13)&amp;"","")</f>
        <v/>
      </c>
      <c r="L734" s="6">
        <f>IF(X734="","",IF(AND(LEN(X734)=8,ISNUMBER(X734*1)),DATE(LEFT(X734,4),MID(X734,5,2),RIGHT(X734,2)),IFERROR(DATEVALUE(SUBSTITUTE(SUBSTITUTE(X734,".","-"),"/","-")),IFERROR(X734*1,""))))</f>
        <v/>
      </c>
      <c r="M734" s="6">
        <f>IF(Y734="","",IF(AND(LEN(Y734)=8,ISNUMBER(Y734*1)),DATE(LEFT(Y734,4),MID(Y734,5,2),RIGHT(Y734,2)),IFERROR(DATEVALUE(SUBSTITUTE(SUBSTITUTE(Y734,".","-"),"/","-")),IFERROR(Y734*1,""))))</f>
        <v/>
      </c>
      <c r="N734">
        <f>IFERROR(LEFT(B734,FIND(" ",B734)-1),B734)</f>
        <v/>
      </c>
      <c r="O734">
        <f>AND(B734&lt;&gt;"",B734&lt;&gt;설정!$B$4,C734&lt;&gt;설정!$B$5)</f>
        <v/>
      </c>
      <c r="P734">
        <f>IF(O734,B734&amp;"|"&amp;C734,"")</f>
        <v/>
      </c>
      <c r="Q734">
        <f>AND(O734,COUNTIF(P735:P$1002,P734)=0)</f>
        <v/>
      </c>
      <c r="R734">
        <f>OR(AND(설정!$A$28&lt;&gt;"",ISNUMBER(SEARCH(설정!$A$28,E734&amp;" "&amp;C734))),AND(설정!$A$29&lt;&gt;"",ISNUMBER(SEARCH(설정!$A$29,E734&amp;" "&amp;C734))),AND(설정!$A$30&lt;&gt;"",ISNUMBER(SEARCH(설정!$A$30,E734&amp;" "&amp;C734))),AND(설정!$A$31&lt;&gt;"",ISNUMBER(SEARCH(설정!$A$31,E734&amp;" "&amp;C734))),AND(설정!$A$32&lt;&gt;"",ISNUMBER(SEARCH(설정!$A$32,E734&amp;" "&amp;C734))),AND(설정!$A$33&lt;&gt;"",ISNUMBER(SEARCH(설정!$A$33,E734&amp;" "&amp;C734))),AND(설정!$A$34&lt;&gt;"",ISNUMBER(SEARCH(설정!$A$34,E734&amp;" "&amp;C734))),AND(설정!$A$35&lt;&gt;"",ISNUMBER(SEARCH(설정!$A$35,E734&amp;" "&amp;C734))),AND(설정!$A$36&lt;&gt;"",ISNUMBER(SEARCH(설정!$A$36,E734&amp;" "&amp;C734))),AND(설정!$A$37&lt;&gt;"",ISNUMBER(SEARCH(설정!$A$37,E734&amp;" "&amp;C734))))</f>
        <v/>
      </c>
      <c r="S734">
        <f>OR(D734="",D734&gt;=설정!$B$19)</f>
        <v/>
      </c>
      <c r="T734">
        <f>AND(Q734,R734,S734)</f>
        <v/>
      </c>
      <c r="U734">
        <f>IF(T734,IF(AND(설정!$A$41&lt;&gt;"",ISNUMBER(SEARCH(설정!$A$41,K734))),설정!$B$41,IF(AND(설정!$A$42&lt;&gt;"",ISNUMBER(SEARCH(설정!$A$42,K734))),설정!$B$42,IF(AND(설정!$A$43&lt;&gt;"",ISNUMBER(SEARCH(설정!$A$43,K734))),설정!$B$43,IF(AND(설정!$A$44&lt;&gt;"",ISNUMBER(SEARCH(설정!$A$44,K734))),설정!$B$44,IF(AND(설정!$A$45&lt;&gt;"",ISNUMBER(SEARCH(설정!$A$45,K734))),설정!$B$45,IF(AND(설정!$A$46&lt;&gt;"",ISNUMBER(SEARCH(설정!$A$46,K734))),설정!$B$46,IF(AND(설정!$A$47&lt;&gt;"",ISNUMBER(SEARCH(설정!$A$47,K734))),설정!$B$47,IF(AND(설정!$A$48&lt;&gt;"",ISNUMBER(SEARCH(설정!$A$48,K734))),설정!$B$48,IF(M734="","설계사","시공사"))))))))),"")</f>
        <v/>
      </c>
      <c r="V734">
        <f>SUBSTITUTE(SUBSTITUTE(SUBSTITUTE(SUBSTITUTE(G734,"(주)",""),"㈜",""),"주식회사","")," ","")</f>
        <v/>
      </c>
      <c r="W734">
        <f>IF(AND(T734,V734&lt;&gt;""),IF(COUNTIFS(V$2:V734,V734,T$2:T734,TRUE)=1,MAX(W$1:W733)+1,""),"")</f>
        <v/>
      </c>
      <c r="X734">
        <f>IFERROR(INDEX('1.산군_붙여넣기'!$A$1:$AZ$1001,ROW(),설정!$C$14)&amp;"","")</f>
        <v/>
      </c>
      <c r="Y734">
        <f>IFERROR(INDEX('1.산군_붙여넣기'!$A$1:$AZ$1001,ROW(),설정!$C$15)&amp;"","")</f>
        <v/>
      </c>
      <c r="Z734">
        <f>IF(T734,V734&amp;"|"&amp;U734,"")</f>
        <v/>
      </c>
    </row>
    <row r="735">
      <c r="A735">
        <f>ROW()</f>
        <v/>
      </c>
      <c r="B735">
        <f>IFERROR(INDEX('1.산군_붙여넣기'!$A$1:$AZ$1001,ROW(),설정!$C$4)&amp;"","")</f>
        <v/>
      </c>
      <c r="C735">
        <f>IFERROR(INDEX('1.산군_붙여넣기'!$A$1:$AZ$1001,ROW(),설정!$C$5)&amp;"","")</f>
        <v/>
      </c>
      <c r="D735" s="5">
        <f>IFERROR(VALUE(SUBSTITUTE(SUBSTITUTE(SUBSTITUTE(IFERROR(INDEX('1.산군_붙여넣기'!$A$1:$AZ$1001,ROW(),설정!$C$6)&amp;"",""),",",""),"㎡",""),"m2","")),"")</f>
        <v/>
      </c>
      <c r="E735">
        <f>IFERROR(INDEX('1.산군_붙여넣기'!$A$1:$AZ$1001,ROW(),설정!$C$7)&amp;"","")</f>
        <v/>
      </c>
      <c r="F735">
        <f>IFERROR(INDEX('1.산군_붙여넣기'!$A$1:$AZ$1001,ROW(),설정!$C$8)&amp;"","")</f>
        <v/>
      </c>
      <c r="G735">
        <f>IFERROR(INDEX('1.산군_붙여넣기'!$A$1:$AZ$1001,ROW(),설정!$C$9)&amp;"","")</f>
        <v/>
      </c>
      <c r="H735">
        <f>IFERROR(INDEX('1.산군_붙여넣기'!$A$1:$AZ$1001,ROW(),설정!$C$10)&amp;"","")</f>
        <v/>
      </c>
      <c r="I735">
        <f>IFERROR(INDEX('1.산군_붙여넣기'!$A$1:$AZ$1001,ROW(),설정!$C$11)&amp;"","")</f>
        <v/>
      </c>
      <c r="J735">
        <f>IFERROR(INDEX('1.산군_붙여넣기'!$A$1:$AZ$1001,ROW(),설정!$C$12)&amp;"","")</f>
        <v/>
      </c>
      <c r="K735">
        <f>IFERROR(INDEX('1.산군_붙여넣기'!$A$1:$AZ$1001,ROW(),설정!$C$13)&amp;"","")</f>
        <v/>
      </c>
      <c r="L735" s="6">
        <f>IF(X735="","",IF(AND(LEN(X735)=8,ISNUMBER(X735*1)),DATE(LEFT(X735,4),MID(X735,5,2),RIGHT(X735,2)),IFERROR(DATEVALUE(SUBSTITUTE(SUBSTITUTE(X735,".","-"),"/","-")),IFERROR(X735*1,""))))</f>
        <v/>
      </c>
      <c r="M735" s="6">
        <f>IF(Y735="","",IF(AND(LEN(Y735)=8,ISNUMBER(Y735*1)),DATE(LEFT(Y735,4),MID(Y735,5,2),RIGHT(Y735,2)),IFERROR(DATEVALUE(SUBSTITUTE(SUBSTITUTE(Y735,".","-"),"/","-")),IFERROR(Y735*1,""))))</f>
        <v/>
      </c>
      <c r="N735">
        <f>IFERROR(LEFT(B735,FIND(" ",B735)-1),B735)</f>
        <v/>
      </c>
      <c r="O735">
        <f>AND(B735&lt;&gt;"",B735&lt;&gt;설정!$B$4,C735&lt;&gt;설정!$B$5)</f>
        <v/>
      </c>
      <c r="P735">
        <f>IF(O735,B735&amp;"|"&amp;C735,"")</f>
        <v/>
      </c>
      <c r="Q735">
        <f>AND(O735,COUNTIF(P736:P$1002,P735)=0)</f>
        <v/>
      </c>
      <c r="R735">
        <f>OR(AND(설정!$A$28&lt;&gt;"",ISNUMBER(SEARCH(설정!$A$28,E735&amp;" "&amp;C735))),AND(설정!$A$29&lt;&gt;"",ISNUMBER(SEARCH(설정!$A$29,E735&amp;" "&amp;C735))),AND(설정!$A$30&lt;&gt;"",ISNUMBER(SEARCH(설정!$A$30,E735&amp;" "&amp;C735))),AND(설정!$A$31&lt;&gt;"",ISNUMBER(SEARCH(설정!$A$31,E735&amp;" "&amp;C735))),AND(설정!$A$32&lt;&gt;"",ISNUMBER(SEARCH(설정!$A$32,E735&amp;" "&amp;C735))),AND(설정!$A$33&lt;&gt;"",ISNUMBER(SEARCH(설정!$A$33,E735&amp;" "&amp;C735))),AND(설정!$A$34&lt;&gt;"",ISNUMBER(SEARCH(설정!$A$34,E735&amp;" "&amp;C735))),AND(설정!$A$35&lt;&gt;"",ISNUMBER(SEARCH(설정!$A$35,E735&amp;" "&amp;C735))),AND(설정!$A$36&lt;&gt;"",ISNUMBER(SEARCH(설정!$A$36,E735&amp;" "&amp;C735))),AND(설정!$A$37&lt;&gt;"",ISNUMBER(SEARCH(설정!$A$37,E735&amp;" "&amp;C735))))</f>
        <v/>
      </c>
      <c r="S735">
        <f>OR(D735="",D735&gt;=설정!$B$19)</f>
        <v/>
      </c>
      <c r="T735">
        <f>AND(Q735,R735,S735)</f>
        <v/>
      </c>
      <c r="U735">
        <f>IF(T735,IF(AND(설정!$A$41&lt;&gt;"",ISNUMBER(SEARCH(설정!$A$41,K735))),설정!$B$41,IF(AND(설정!$A$42&lt;&gt;"",ISNUMBER(SEARCH(설정!$A$42,K735))),설정!$B$42,IF(AND(설정!$A$43&lt;&gt;"",ISNUMBER(SEARCH(설정!$A$43,K735))),설정!$B$43,IF(AND(설정!$A$44&lt;&gt;"",ISNUMBER(SEARCH(설정!$A$44,K735))),설정!$B$44,IF(AND(설정!$A$45&lt;&gt;"",ISNUMBER(SEARCH(설정!$A$45,K735))),설정!$B$45,IF(AND(설정!$A$46&lt;&gt;"",ISNUMBER(SEARCH(설정!$A$46,K735))),설정!$B$46,IF(AND(설정!$A$47&lt;&gt;"",ISNUMBER(SEARCH(설정!$A$47,K735))),설정!$B$47,IF(AND(설정!$A$48&lt;&gt;"",ISNUMBER(SEARCH(설정!$A$48,K735))),설정!$B$48,IF(M735="","설계사","시공사"))))))))),"")</f>
        <v/>
      </c>
      <c r="V735">
        <f>SUBSTITUTE(SUBSTITUTE(SUBSTITUTE(SUBSTITUTE(G735,"(주)",""),"㈜",""),"주식회사","")," ","")</f>
        <v/>
      </c>
      <c r="W735">
        <f>IF(AND(T735,V735&lt;&gt;""),IF(COUNTIFS(V$2:V735,V735,T$2:T735,TRUE)=1,MAX(W$1:W734)+1,""),"")</f>
        <v/>
      </c>
      <c r="X735">
        <f>IFERROR(INDEX('1.산군_붙여넣기'!$A$1:$AZ$1001,ROW(),설정!$C$14)&amp;"","")</f>
        <v/>
      </c>
      <c r="Y735">
        <f>IFERROR(INDEX('1.산군_붙여넣기'!$A$1:$AZ$1001,ROW(),설정!$C$15)&amp;"","")</f>
        <v/>
      </c>
      <c r="Z735">
        <f>IF(T735,V735&amp;"|"&amp;U735,"")</f>
        <v/>
      </c>
    </row>
    <row r="736">
      <c r="A736">
        <f>ROW()</f>
        <v/>
      </c>
      <c r="B736">
        <f>IFERROR(INDEX('1.산군_붙여넣기'!$A$1:$AZ$1001,ROW(),설정!$C$4)&amp;"","")</f>
        <v/>
      </c>
      <c r="C736">
        <f>IFERROR(INDEX('1.산군_붙여넣기'!$A$1:$AZ$1001,ROW(),설정!$C$5)&amp;"","")</f>
        <v/>
      </c>
      <c r="D736" s="5">
        <f>IFERROR(VALUE(SUBSTITUTE(SUBSTITUTE(SUBSTITUTE(IFERROR(INDEX('1.산군_붙여넣기'!$A$1:$AZ$1001,ROW(),설정!$C$6)&amp;"",""),",",""),"㎡",""),"m2","")),"")</f>
        <v/>
      </c>
      <c r="E736">
        <f>IFERROR(INDEX('1.산군_붙여넣기'!$A$1:$AZ$1001,ROW(),설정!$C$7)&amp;"","")</f>
        <v/>
      </c>
      <c r="F736">
        <f>IFERROR(INDEX('1.산군_붙여넣기'!$A$1:$AZ$1001,ROW(),설정!$C$8)&amp;"","")</f>
        <v/>
      </c>
      <c r="G736">
        <f>IFERROR(INDEX('1.산군_붙여넣기'!$A$1:$AZ$1001,ROW(),설정!$C$9)&amp;"","")</f>
        <v/>
      </c>
      <c r="H736">
        <f>IFERROR(INDEX('1.산군_붙여넣기'!$A$1:$AZ$1001,ROW(),설정!$C$10)&amp;"","")</f>
        <v/>
      </c>
      <c r="I736">
        <f>IFERROR(INDEX('1.산군_붙여넣기'!$A$1:$AZ$1001,ROW(),설정!$C$11)&amp;"","")</f>
        <v/>
      </c>
      <c r="J736">
        <f>IFERROR(INDEX('1.산군_붙여넣기'!$A$1:$AZ$1001,ROW(),설정!$C$12)&amp;"","")</f>
        <v/>
      </c>
      <c r="K736">
        <f>IFERROR(INDEX('1.산군_붙여넣기'!$A$1:$AZ$1001,ROW(),설정!$C$13)&amp;"","")</f>
        <v/>
      </c>
      <c r="L736" s="6">
        <f>IF(X736="","",IF(AND(LEN(X736)=8,ISNUMBER(X736*1)),DATE(LEFT(X736,4),MID(X736,5,2),RIGHT(X736,2)),IFERROR(DATEVALUE(SUBSTITUTE(SUBSTITUTE(X736,".","-"),"/","-")),IFERROR(X736*1,""))))</f>
        <v/>
      </c>
      <c r="M736" s="6">
        <f>IF(Y736="","",IF(AND(LEN(Y736)=8,ISNUMBER(Y736*1)),DATE(LEFT(Y736,4),MID(Y736,5,2),RIGHT(Y736,2)),IFERROR(DATEVALUE(SUBSTITUTE(SUBSTITUTE(Y736,".","-"),"/","-")),IFERROR(Y736*1,""))))</f>
        <v/>
      </c>
      <c r="N736">
        <f>IFERROR(LEFT(B736,FIND(" ",B736)-1),B736)</f>
        <v/>
      </c>
      <c r="O736">
        <f>AND(B736&lt;&gt;"",B736&lt;&gt;설정!$B$4,C736&lt;&gt;설정!$B$5)</f>
        <v/>
      </c>
      <c r="P736">
        <f>IF(O736,B736&amp;"|"&amp;C736,"")</f>
        <v/>
      </c>
      <c r="Q736">
        <f>AND(O736,COUNTIF(P737:P$1002,P736)=0)</f>
        <v/>
      </c>
      <c r="R736">
        <f>OR(AND(설정!$A$28&lt;&gt;"",ISNUMBER(SEARCH(설정!$A$28,E736&amp;" "&amp;C736))),AND(설정!$A$29&lt;&gt;"",ISNUMBER(SEARCH(설정!$A$29,E736&amp;" "&amp;C736))),AND(설정!$A$30&lt;&gt;"",ISNUMBER(SEARCH(설정!$A$30,E736&amp;" "&amp;C736))),AND(설정!$A$31&lt;&gt;"",ISNUMBER(SEARCH(설정!$A$31,E736&amp;" "&amp;C736))),AND(설정!$A$32&lt;&gt;"",ISNUMBER(SEARCH(설정!$A$32,E736&amp;" "&amp;C736))),AND(설정!$A$33&lt;&gt;"",ISNUMBER(SEARCH(설정!$A$33,E736&amp;" "&amp;C736))),AND(설정!$A$34&lt;&gt;"",ISNUMBER(SEARCH(설정!$A$34,E736&amp;" "&amp;C736))),AND(설정!$A$35&lt;&gt;"",ISNUMBER(SEARCH(설정!$A$35,E736&amp;" "&amp;C736))),AND(설정!$A$36&lt;&gt;"",ISNUMBER(SEARCH(설정!$A$36,E736&amp;" "&amp;C736))),AND(설정!$A$37&lt;&gt;"",ISNUMBER(SEARCH(설정!$A$37,E736&amp;" "&amp;C736))))</f>
        <v/>
      </c>
      <c r="S736">
        <f>OR(D736="",D736&gt;=설정!$B$19)</f>
        <v/>
      </c>
      <c r="T736">
        <f>AND(Q736,R736,S736)</f>
        <v/>
      </c>
      <c r="U736">
        <f>IF(T736,IF(AND(설정!$A$41&lt;&gt;"",ISNUMBER(SEARCH(설정!$A$41,K736))),설정!$B$41,IF(AND(설정!$A$42&lt;&gt;"",ISNUMBER(SEARCH(설정!$A$42,K736))),설정!$B$42,IF(AND(설정!$A$43&lt;&gt;"",ISNUMBER(SEARCH(설정!$A$43,K736))),설정!$B$43,IF(AND(설정!$A$44&lt;&gt;"",ISNUMBER(SEARCH(설정!$A$44,K736))),설정!$B$44,IF(AND(설정!$A$45&lt;&gt;"",ISNUMBER(SEARCH(설정!$A$45,K736))),설정!$B$45,IF(AND(설정!$A$46&lt;&gt;"",ISNUMBER(SEARCH(설정!$A$46,K736))),설정!$B$46,IF(AND(설정!$A$47&lt;&gt;"",ISNUMBER(SEARCH(설정!$A$47,K736))),설정!$B$47,IF(AND(설정!$A$48&lt;&gt;"",ISNUMBER(SEARCH(설정!$A$48,K736))),설정!$B$48,IF(M736="","설계사","시공사"))))))))),"")</f>
        <v/>
      </c>
      <c r="V736">
        <f>SUBSTITUTE(SUBSTITUTE(SUBSTITUTE(SUBSTITUTE(G736,"(주)",""),"㈜",""),"주식회사","")," ","")</f>
        <v/>
      </c>
      <c r="W736">
        <f>IF(AND(T736,V736&lt;&gt;""),IF(COUNTIFS(V$2:V736,V736,T$2:T736,TRUE)=1,MAX(W$1:W735)+1,""),"")</f>
        <v/>
      </c>
      <c r="X736">
        <f>IFERROR(INDEX('1.산군_붙여넣기'!$A$1:$AZ$1001,ROW(),설정!$C$14)&amp;"","")</f>
        <v/>
      </c>
      <c r="Y736">
        <f>IFERROR(INDEX('1.산군_붙여넣기'!$A$1:$AZ$1001,ROW(),설정!$C$15)&amp;"","")</f>
        <v/>
      </c>
      <c r="Z736">
        <f>IF(T736,V736&amp;"|"&amp;U736,"")</f>
        <v/>
      </c>
    </row>
    <row r="737">
      <c r="A737">
        <f>ROW()</f>
        <v/>
      </c>
      <c r="B737">
        <f>IFERROR(INDEX('1.산군_붙여넣기'!$A$1:$AZ$1001,ROW(),설정!$C$4)&amp;"","")</f>
        <v/>
      </c>
      <c r="C737">
        <f>IFERROR(INDEX('1.산군_붙여넣기'!$A$1:$AZ$1001,ROW(),설정!$C$5)&amp;"","")</f>
        <v/>
      </c>
      <c r="D737" s="5">
        <f>IFERROR(VALUE(SUBSTITUTE(SUBSTITUTE(SUBSTITUTE(IFERROR(INDEX('1.산군_붙여넣기'!$A$1:$AZ$1001,ROW(),설정!$C$6)&amp;"",""),",",""),"㎡",""),"m2","")),"")</f>
        <v/>
      </c>
      <c r="E737">
        <f>IFERROR(INDEX('1.산군_붙여넣기'!$A$1:$AZ$1001,ROW(),설정!$C$7)&amp;"","")</f>
        <v/>
      </c>
      <c r="F737">
        <f>IFERROR(INDEX('1.산군_붙여넣기'!$A$1:$AZ$1001,ROW(),설정!$C$8)&amp;"","")</f>
        <v/>
      </c>
      <c r="G737">
        <f>IFERROR(INDEX('1.산군_붙여넣기'!$A$1:$AZ$1001,ROW(),설정!$C$9)&amp;"","")</f>
        <v/>
      </c>
      <c r="H737">
        <f>IFERROR(INDEX('1.산군_붙여넣기'!$A$1:$AZ$1001,ROW(),설정!$C$10)&amp;"","")</f>
        <v/>
      </c>
      <c r="I737">
        <f>IFERROR(INDEX('1.산군_붙여넣기'!$A$1:$AZ$1001,ROW(),설정!$C$11)&amp;"","")</f>
        <v/>
      </c>
      <c r="J737">
        <f>IFERROR(INDEX('1.산군_붙여넣기'!$A$1:$AZ$1001,ROW(),설정!$C$12)&amp;"","")</f>
        <v/>
      </c>
      <c r="K737">
        <f>IFERROR(INDEX('1.산군_붙여넣기'!$A$1:$AZ$1001,ROW(),설정!$C$13)&amp;"","")</f>
        <v/>
      </c>
      <c r="L737" s="6">
        <f>IF(X737="","",IF(AND(LEN(X737)=8,ISNUMBER(X737*1)),DATE(LEFT(X737,4),MID(X737,5,2),RIGHT(X737,2)),IFERROR(DATEVALUE(SUBSTITUTE(SUBSTITUTE(X737,".","-"),"/","-")),IFERROR(X737*1,""))))</f>
        <v/>
      </c>
      <c r="M737" s="6">
        <f>IF(Y737="","",IF(AND(LEN(Y737)=8,ISNUMBER(Y737*1)),DATE(LEFT(Y737,4),MID(Y737,5,2),RIGHT(Y737,2)),IFERROR(DATEVALUE(SUBSTITUTE(SUBSTITUTE(Y737,".","-"),"/","-")),IFERROR(Y737*1,""))))</f>
        <v/>
      </c>
      <c r="N737">
        <f>IFERROR(LEFT(B737,FIND(" ",B737)-1),B737)</f>
        <v/>
      </c>
      <c r="O737">
        <f>AND(B737&lt;&gt;"",B737&lt;&gt;설정!$B$4,C737&lt;&gt;설정!$B$5)</f>
        <v/>
      </c>
      <c r="P737">
        <f>IF(O737,B737&amp;"|"&amp;C737,"")</f>
        <v/>
      </c>
      <c r="Q737">
        <f>AND(O737,COUNTIF(P738:P$1002,P737)=0)</f>
        <v/>
      </c>
      <c r="R737">
        <f>OR(AND(설정!$A$28&lt;&gt;"",ISNUMBER(SEARCH(설정!$A$28,E737&amp;" "&amp;C737))),AND(설정!$A$29&lt;&gt;"",ISNUMBER(SEARCH(설정!$A$29,E737&amp;" "&amp;C737))),AND(설정!$A$30&lt;&gt;"",ISNUMBER(SEARCH(설정!$A$30,E737&amp;" "&amp;C737))),AND(설정!$A$31&lt;&gt;"",ISNUMBER(SEARCH(설정!$A$31,E737&amp;" "&amp;C737))),AND(설정!$A$32&lt;&gt;"",ISNUMBER(SEARCH(설정!$A$32,E737&amp;" "&amp;C737))),AND(설정!$A$33&lt;&gt;"",ISNUMBER(SEARCH(설정!$A$33,E737&amp;" "&amp;C737))),AND(설정!$A$34&lt;&gt;"",ISNUMBER(SEARCH(설정!$A$34,E737&amp;" "&amp;C737))),AND(설정!$A$35&lt;&gt;"",ISNUMBER(SEARCH(설정!$A$35,E737&amp;" "&amp;C737))),AND(설정!$A$36&lt;&gt;"",ISNUMBER(SEARCH(설정!$A$36,E737&amp;" "&amp;C737))),AND(설정!$A$37&lt;&gt;"",ISNUMBER(SEARCH(설정!$A$37,E737&amp;" "&amp;C737))))</f>
        <v/>
      </c>
      <c r="S737">
        <f>OR(D737="",D737&gt;=설정!$B$19)</f>
        <v/>
      </c>
      <c r="T737">
        <f>AND(Q737,R737,S737)</f>
        <v/>
      </c>
      <c r="U737">
        <f>IF(T737,IF(AND(설정!$A$41&lt;&gt;"",ISNUMBER(SEARCH(설정!$A$41,K737))),설정!$B$41,IF(AND(설정!$A$42&lt;&gt;"",ISNUMBER(SEARCH(설정!$A$42,K737))),설정!$B$42,IF(AND(설정!$A$43&lt;&gt;"",ISNUMBER(SEARCH(설정!$A$43,K737))),설정!$B$43,IF(AND(설정!$A$44&lt;&gt;"",ISNUMBER(SEARCH(설정!$A$44,K737))),설정!$B$44,IF(AND(설정!$A$45&lt;&gt;"",ISNUMBER(SEARCH(설정!$A$45,K737))),설정!$B$45,IF(AND(설정!$A$46&lt;&gt;"",ISNUMBER(SEARCH(설정!$A$46,K737))),설정!$B$46,IF(AND(설정!$A$47&lt;&gt;"",ISNUMBER(SEARCH(설정!$A$47,K737))),설정!$B$47,IF(AND(설정!$A$48&lt;&gt;"",ISNUMBER(SEARCH(설정!$A$48,K737))),설정!$B$48,IF(M737="","설계사","시공사"))))))))),"")</f>
        <v/>
      </c>
      <c r="V737">
        <f>SUBSTITUTE(SUBSTITUTE(SUBSTITUTE(SUBSTITUTE(G737,"(주)",""),"㈜",""),"주식회사","")," ","")</f>
        <v/>
      </c>
      <c r="W737">
        <f>IF(AND(T737,V737&lt;&gt;""),IF(COUNTIFS(V$2:V737,V737,T$2:T737,TRUE)=1,MAX(W$1:W736)+1,""),"")</f>
        <v/>
      </c>
      <c r="X737">
        <f>IFERROR(INDEX('1.산군_붙여넣기'!$A$1:$AZ$1001,ROW(),설정!$C$14)&amp;"","")</f>
        <v/>
      </c>
      <c r="Y737">
        <f>IFERROR(INDEX('1.산군_붙여넣기'!$A$1:$AZ$1001,ROW(),설정!$C$15)&amp;"","")</f>
        <v/>
      </c>
      <c r="Z737">
        <f>IF(T737,V737&amp;"|"&amp;U737,"")</f>
        <v/>
      </c>
    </row>
    <row r="738">
      <c r="A738">
        <f>ROW()</f>
        <v/>
      </c>
      <c r="B738">
        <f>IFERROR(INDEX('1.산군_붙여넣기'!$A$1:$AZ$1001,ROW(),설정!$C$4)&amp;"","")</f>
        <v/>
      </c>
      <c r="C738">
        <f>IFERROR(INDEX('1.산군_붙여넣기'!$A$1:$AZ$1001,ROW(),설정!$C$5)&amp;"","")</f>
        <v/>
      </c>
      <c r="D738" s="5">
        <f>IFERROR(VALUE(SUBSTITUTE(SUBSTITUTE(SUBSTITUTE(IFERROR(INDEX('1.산군_붙여넣기'!$A$1:$AZ$1001,ROW(),설정!$C$6)&amp;"",""),",",""),"㎡",""),"m2","")),"")</f>
        <v/>
      </c>
      <c r="E738">
        <f>IFERROR(INDEX('1.산군_붙여넣기'!$A$1:$AZ$1001,ROW(),설정!$C$7)&amp;"","")</f>
        <v/>
      </c>
      <c r="F738">
        <f>IFERROR(INDEX('1.산군_붙여넣기'!$A$1:$AZ$1001,ROW(),설정!$C$8)&amp;"","")</f>
        <v/>
      </c>
      <c r="G738">
        <f>IFERROR(INDEX('1.산군_붙여넣기'!$A$1:$AZ$1001,ROW(),설정!$C$9)&amp;"","")</f>
        <v/>
      </c>
      <c r="H738">
        <f>IFERROR(INDEX('1.산군_붙여넣기'!$A$1:$AZ$1001,ROW(),설정!$C$10)&amp;"","")</f>
        <v/>
      </c>
      <c r="I738">
        <f>IFERROR(INDEX('1.산군_붙여넣기'!$A$1:$AZ$1001,ROW(),설정!$C$11)&amp;"","")</f>
        <v/>
      </c>
      <c r="J738">
        <f>IFERROR(INDEX('1.산군_붙여넣기'!$A$1:$AZ$1001,ROW(),설정!$C$12)&amp;"","")</f>
        <v/>
      </c>
      <c r="K738">
        <f>IFERROR(INDEX('1.산군_붙여넣기'!$A$1:$AZ$1001,ROW(),설정!$C$13)&amp;"","")</f>
        <v/>
      </c>
      <c r="L738" s="6">
        <f>IF(X738="","",IF(AND(LEN(X738)=8,ISNUMBER(X738*1)),DATE(LEFT(X738,4),MID(X738,5,2),RIGHT(X738,2)),IFERROR(DATEVALUE(SUBSTITUTE(SUBSTITUTE(X738,".","-"),"/","-")),IFERROR(X738*1,""))))</f>
        <v/>
      </c>
      <c r="M738" s="6">
        <f>IF(Y738="","",IF(AND(LEN(Y738)=8,ISNUMBER(Y738*1)),DATE(LEFT(Y738,4),MID(Y738,5,2),RIGHT(Y738,2)),IFERROR(DATEVALUE(SUBSTITUTE(SUBSTITUTE(Y738,".","-"),"/","-")),IFERROR(Y738*1,""))))</f>
        <v/>
      </c>
      <c r="N738">
        <f>IFERROR(LEFT(B738,FIND(" ",B738)-1),B738)</f>
        <v/>
      </c>
      <c r="O738">
        <f>AND(B738&lt;&gt;"",B738&lt;&gt;설정!$B$4,C738&lt;&gt;설정!$B$5)</f>
        <v/>
      </c>
      <c r="P738">
        <f>IF(O738,B738&amp;"|"&amp;C738,"")</f>
        <v/>
      </c>
      <c r="Q738">
        <f>AND(O738,COUNTIF(P739:P$1002,P738)=0)</f>
        <v/>
      </c>
      <c r="R738">
        <f>OR(AND(설정!$A$28&lt;&gt;"",ISNUMBER(SEARCH(설정!$A$28,E738&amp;" "&amp;C738))),AND(설정!$A$29&lt;&gt;"",ISNUMBER(SEARCH(설정!$A$29,E738&amp;" "&amp;C738))),AND(설정!$A$30&lt;&gt;"",ISNUMBER(SEARCH(설정!$A$30,E738&amp;" "&amp;C738))),AND(설정!$A$31&lt;&gt;"",ISNUMBER(SEARCH(설정!$A$31,E738&amp;" "&amp;C738))),AND(설정!$A$32&lt;&gt;"",ISNUMBER(SEARCH(설정!$A$32,E738&amp;" "&amp;C738))),AND(설정!$A$33&lt;&gt;"",ISNUMBER(SEARCH(설정!$A$33,E738&amp;" "&amp;C738))),AND(설정!$A$34&lt;&gt;"",ISNUMBER(SEARCH(설정!$A$34,E738&amp;" "&amp;C738))),AND(설정!$A$35&lt;&gt;"",ISNUMBER(SEARCH(설정!$A$35,E738&amp;" "&amp;C738))),AND(설정!$A$36&lt;&gt;"",ISNUMBER(SEARCH(설정!$A$36,E738&amp;" "&amp;C738))),AND(설정!$A$37&lt;&gt;"",ISNUMBER(SEARCH(설정!$A$37,E738&amp;" "&amp;C738))))</f>
        <v/>
      </c>
      <c r="S738">
        <f>OR(D738="",D738&gt;=설정!$B$19)</f>
        <v/>
      </c>
      <c r="T738">
        <f>AND(Q738,R738,S738)</f>
        <v/>
      </c>
      <c r="U738">
        <f>IF(T738,IF(AND(설정!$A$41&lt;&gt;"",ISNUMBER(SEARCH(설정!$A$41,K738))),설정!$B$41,IF(AND(설정!$A$42&lt;&gt;"",ISNUMBER(SEARCH(설정!$A$42,K738))),설정!$B$42,IF(AND(설정!$A$43&lt;&gt;"",ISNUMBER(SEARCH(설정!$A$43,K738))),설정!$B$43,IF(AND(설정!$A$44&lt;&gt;"",ISNUMBER(SEARCH(설정!$A$44,K738))),설정!$B$44,IF(AND(설정!$A$45&lt;&gt;"",ISNUMBER(SEARCH(설정!$A$45,K738))),설정!$B$45,IF(AND(설정!$A$46&lt;&gt;"",ISNUMBER(SEARCH(설정!$A$46,K738))),설정!$B$46,IF(AND(설정!$A$47&lt;&gt;"",ISNUMBER(SEARCH(설정!$A$47,K738))),설정!$B$47,IF(AND(설정!$A$48&lt;&gt;"",ISNUMBER(SEARCH(설정!$A$48,K738))),설정!$B$48,IF(M738="","설계사","시공사"))))))))),"")</f>
        <v/>
      </c>
      <c r="V738">
        <f>SUBSTITUTE(SUBSTITUTE(SUBSTITUTE(SUBSTITUTE(G738,"(주)",""),"㈜",""),"주식회사","")," ","")</f>
        <v/>
      </c>
      <c r="W738">
        <f>IF(AND(T738,V738&lt;&gt;""),IF(COUNTIFS(V$2:V738,V738,T$2:T738,TRUE)=1,MAX(W$1:W737)+1,""),"")</f>
        <v/>
      </c>
      <c r="X738">
        <f>IFERROR(INDEX('1.산군_붙여넣기'!$A$1:$AZ$1001,ROW(),설정!$C$14)&amp;"","")</f>
        <v/>
      </c>
      <c r="Y738">
        <f>IFERROR(INDEX('1.산군_붙여넣기'!$A$1:$AZ$1001,ROW(),설정!$C$15)&amp;"","")</f>
        <v/>
      </c>
      <c r="Z738">
        <f>IF(T738,V738&amp;"|"&amp;U738,"")</f>
        <v/>
      </c>
    </row>
    <row r="739">
      <c r="A739">
        <f>ROW()</f>
        <v/>
      </c>
      <c r="B739">
        <f>IFERROR(INDEX('1.산군_붙여넣기'!$A$1:$AZ$1001,ROW(),설정!$C$4)&amp;"","")</f>
        <v/>
      </c>
      <c r="C739">
        <f>IFERROR(INDEX('1.산군_붙여넣기'!$A$1:$AZ$1001,ROW(),설정!$C$5)&amp;"","")</f>
        <v/>
      </c>
      <c r="D739" s="5">
        <f>IFERROR(VALUE(SUBSTITUTE(SUBSTITUTE(SUBSTITUTE(IFERROR(INDEX('1.산군_붙여넣기'!$A$1:$AZ$1001,ROW(),설정!$C$6)&amp;"",""),",",""),"㎡",""),"m2","")),"")</f>
        <v/>
      </c>
      <c r="E739">
        <f>IFERROR(INDEX('1.산군_붙여넣기'!$A$1:$AZ$1001,ROW(),설정!$C$7)&amp;"","")</f>
        <v/>
      </c>
      <c r="F739">
        <f>IFERROR(INDEX('1.산군_붙여넣기'!$A$1:$AZ$1001,ROW(),설정!$C$8)&amp;"","")</f>
        <v/>
      </c>
      <c r="G739">
        <f>IFERROR(INDEX('1.산군_붙여넣기'!$A$1:$AZ$1001,ROW(),설정!$C$9)&amp;"","")</f>
        <v/>
      </c>
      <c r="H739">
        <f>IFERROR(INDEX('1.산군_붙여넣기'!$A$1:$AZ$1001,ROW(),설정!$C$10)&amp;"","")</f>
        <v/>
      </c>
      <c r="I739">
        <f>IFERROR(INDEX('1.산군_붙여넣기'!$A$1:$AZ$1001,ROW(),설정!$C$11)&amp;"","")</f>
        <v/>
      </c>
      <c r="J739">
        <f>IFERROR(INDEX('1.산군_붙여넣기'!$A$1:$AZ$1001,ROW(),설정!$C$12)&amp;"","")</f>
        <v/>
      </c>
      <c r="K739">
        <f>IFERROR(INDEX('1.산군_붙여넣기'!$A$1:$AZ$1001,ROW(),설정!$C$13)&amp;"","")</f>
        <v/>
      </c>
      <c r="L739" s="6">
        <f>IF(X739="","",IF(AND(LEN(X739)=8,ISNUMBER(X739*1)),DATE(LEFT(X739,4),MID(X739,5,2),RIGHT(X739,2)),IFERROR(DATEVALUE(SUBSTITUTE(SUBSTITUTE(X739,".","-"),"/","-")),IFERROR(X739*1,""))))</f>
        <v/>
      </c>
      <c r="M739" s="6">
        <f>IF(Y739="","",IF(AND(LEN(Y739)=8,ISNUMBER(Y739*1)),DATE(LEFT(Y739,4),MID(Y739,5,2),RIGHT(Y739,2)),IFERROR(DATEVALUE(SUBSTITUTE(SUBSTITUTE(Y739,".","-"),"/","-")),IFERROR(Y739*1,""))))</f>
        <v/>
      </c>
      <c r="N739">
        <f>IFERROR(LEFT(B739,FIND(" ",B739)-1),B739)</f>
        <v/>
      </c>
      <c r="O739">
        <f>AND(B739&lt;&gt;"",B739&lt;&gt;설정!$B$4,C739&lt;&gt;설정!$B$5)</f>
        <v/>
      </c>
      <c r="P739">
        <f>IF(O739,B739&amp;"|"&amp;C739,"")</f>
        <v/>
      </c>
      <c r="Q739">
        <f>AND(O739,COUNTIF(P740:P$1002,P739)=0)</f>
        <v/>
      </c>
      <c r="R739">
        <f>OR(AND(설정!$A$28&lt;&gt;"",ISNUMBER(SEARCH(설정!$A$28,E739&amp;" "&amp;C739))),AND(설정!$A$29&lt;&gt;"",ISNUMBER(SEARCH(설정!$A$29,E739&amp;" "&amp;C739))),AND(설정!$A$30&lt;&gt;"",ISNUMBER(SEARCH(설정!$A$30,E739&amp;" "&amp;C739))),AND(설정!$A$31&lt;&gt;"",ISNUMBER(SEARCH(설정!$A$31,E739&amp;" "&amp;C739))),AND(설정!$A$32&lt;&gt;"",ISNUMBER(SEARCH(설정!$A$32,E739&amp;" "&amp;C739))),AND(설정!$A$33&lt;&gt;"",ISNUMBER(SEARCH(설정!$A$33,E739&amp;" "&amp;C739))),AND(설정!$A$34&lt;&gt;"",ISNUMBER(SEARCH(설정!$A$34,E739&amp;" "&amp;C739))),AND(설정!$A$35&lt;&gt;"",ISNUMBER(SEARCH(설정!$A$35,E739&amp;" "&amp;C739))),AND(설정!$A$36&lt;&gt;"",ISNUMBER(SEARCH(설정!$A$36,E739&amp;" "&amp;C739))),AND(설정!$A$37&lt;&gt;"",ISNUMBER(SEARCH(설정!$A$37,E739&amp;" "&amp;C739))))</f>
        <v/>
      </c>
      <c r="S739">
        <f>OR(D739="",D739&gt;=설정!$B$19)</f>
        <v/>
      </c>
      <c r="T739">
        <f>AND(Q739,R739,S739)</f>
        <v/>
      </c>
      <c r="U739">
        <f>IF(T739,IF(AND(설정!$A$41&lt;&gt;"",ISNUMBER(SEARCH(설정!$A$41,K739))),설정!$B$41,IF(AND(설정!$A$42&lt;&gt;"",ISNUMBER(SEARCH(설정!$A$42,K739))),설정!$B$42,IF(AND(설정!$A$43&lt;&gt;"",ISNUMBER(SEARCH(설정!$A$43,K739))),설정!$B$43,IF(AND(설정!$A$44&lt;&gt;"",ISNUMBER(SEARCH(설정!$A$44,K739))),설정!$B$44,IF(AND(설정!$A$45&lt;&gt;"",ISNUMBER(SEARCH(설정!$A$45,K739))),설정!$B$45,IF(AND(설정!$A$46&lt;&gt;"",ISNUMBER(SEARCH(설정!$A$46,K739))),설정!$B$46,IF(AND(설정!$A$47&lt;&gt;"",ISNUMBER(SEARCH(설정!$A$47,K739))),설정!$B$47,IF(AND(설정!$A$48&lt;&gt;"",ISNUMBER(SEARCH(설정!$A$48,K739))),설정!$B$48,IF(M739="","설계사","시공사"))))))))),"")</f>
        <v/>
      </c>
      <c r="V739">
        <f>SUBSTITUTE(SUBSTITUTE(SUBSTITUTE(SUBSTITUTE(G739,"(주)",""),"㈜",""),"주식회사","")," ","")</f>
        <v/>
      </c>
      <c r="W739">
        <f>IF(AND(T739,V739&lt;&gt;""),IF(COUNTIFS(V$2:V739,V739,T$2:T739,TRUE)=1,MAX(W$1:W738)+1,""),"")</f>
        <v/>
      </c>
      <c r="X739">
        <f>IFERROR(INDEX('1.산군_붙여넣기'!$A$1:$AZ$1001,ROW(),설정!$C$14)&amp;"","")</f>
        <v/>
      </c>
      <c r="Y739">
        <f>IFERROR(INDEX('1.산군_붙여넣기'!$A$1:$AZ$1001,ROW(),설정!$C$15)&amp;"","")</f>
        <v/>
      </c>
      <c r="Z739">
        <f>IF(T739,V739&amp;"|"&amp;U739,"")</f>
        <v/>
      </c>
    </row>
    <row r="740">
      <c r="A740">
        <f>ROW()</f>
        <v/>
      </c>
      <c r="B740">
        <f>IFERROR(INDEX('1.산군_붙여넣기'!$A$1:$AZ$1001,ROW(),설정!$C$4)&amp;"","")</f>
        <v/>
      </c>
      <c r="C740">
        <f>IFERROR(INDEX('1.산군_붙여넣기'!$A$1:$AZ$1001,ROW(),설정!$C$5)&amp;"","")</f>
        <v/>
      </c>
      <c r="D740" s="5">
        <f>IFERROR(VALUE(SUBSTITUTE(SUBSTITUTE(SUBSTITUTE(IFERROR(INDEX('1.산군_붙여넣기'!$A$1:$AZ$1001,ROW(),설정!$C$6)&amp;"",""),",",""),"㎡",""),"m2","")),"")</f>
        <v/>
      </c>
      <c r="E740">
        <f>IFERROR(INDEX('1.산군_붙여넣기'!$A$1:$AZ$1001,ROW(),설정!$C$7)&amp;"","")</f>
        <v/>
      </c>
      <c r="F740">
        <f>IFERROR(INDEX('1.산군_붙여넣기'!$A$1:$AZ$1001,ROW(),설정!$C$8)&amp;"","")</f>
        <v/>
      </c>
      <c r="G740">
        <f>IFERROR(INDEX('1.산군_붙여넣기'!$A$1:$AZ$1001,ROW(),설정!$C$9)&amp;"","")</f>
        <v/>
      </c>
      <c r="H740">
        <f>IFERROR(INDEX('1.산군_붙여넣기'!$A$1:$AZ$1001,ROW(),설정!$C$10)&amp;"","")</f>
        <v/>
      </c>
      <c r="I740">
        <f>IFERROR(INDEX('1.산군_붙여넣기'!$A$1:$AZ$1001,ROW(),설정!$C$11)&amp;"","")</f>
        <v/>
      </c>
      <c r="J740">
        <f>IFERROR(INDEX('1.산군_붙여넣기'!$A$1:$AZ$1001,ROW(),설정!$C$12)&amp;"","")</f>
        <v/>
      </c>
      <c r="K740">
        <f>IFERROR(INDEX('1.산군_붙여넣기'!$A$1:$AZ$1001,ROW(),설정!$C$13)&amp;"","")</f>
        <v/>
      </c>
      <c r="L740" s="6">
        <f>IF(X740="","",IF(AND(LEN(X740)=8,ISNUMBER(X740*1)),DATE(LEFT(X740,4),MID(X740,5,2),RIGHT(X740,2)),IFERROR(DATEVALUE(SUBSTITUTE(SUBSTITUTE(X740,".","-"),"/","-")),IFERROR(X740*1,""))))</f>
        <v/>
      </c>
      <c r="M740" s="6">
        <f>IF(Y740="","",IF(AND(LEN(Y740)=8,ISNUMBER(Y740*1)),DATE(LEFT(Y740,4),MID(Y740,5,2),RIGHT(Y740,2)),IFERROR(DATEVALUE(SUBSTITUTE(SUBSTITUTE(Y740,".","-"),"/","-")),IFERROR(Y740*1,""))))</f>
        <v/>
      </c>
      <c r="N740">
        <f>IFERROR(LEFT(B740,FIND(" ",B740)-1),B740)</f>
        <v/>
      </c>
      <c r="O740">
        <f>AND(B740&lt;&gt;"",B740&lt;&gt;설정!$B$4,C740&lt;&gt;설정!$B$5)</f>
        <v/>
      </c>
      <c r="P740">
        <f>IF(O740,B740&amp;"|"&amp;C740,"")</f>
        <v/>
      </c>
      <c r="Q740">
        <f>AND(O740,COUNTIF(P741:P$1002,P740)=0)</f>
        <v/>
      </c>
      <c r="R740">
        <f>OR(AND(설정!$A$28&lt;&gt;"",ISNUMBER(SEARCH(설정!$A$28,E740&amp;" "&amp;C740))),AND(설정!$A$29&lt;&gt;"",ISNUMBER(SEARCH(설정!$A$29,E740&amp;" "&amp;C740))),AND(설정!$A$30&lt;&gt;"",ISNUMBER(SEARCH(설정!$A$30,E740&amp;" "&amp;C740))),AND(설정!$A$31&lt;&gt;"",ISNUMBER(SEARCH(설정!$A$31,E740&amp;" "&amp;C740))),AND(설정!$A$32&lt;&gt;"",ISNUMBER(SEARCH(설정!$A$32,E740&amp;" "&amp;C740))),AND(설정!$A$33&lt;&gt;"",ISNUMBER(SEARCH(설정!$A$33,E740&amp;" "&amp;C740))),AND(설정!$A$34&lt;&gt;"",ISNUMBER(SEARCH(설정!$A$34,E740&amp;" "&amp;C740))),AND(설정!$A$35&lt;&gt;"",ISNUMBER(SEARCH(설정!$A$35,E740&amp;" "&amp;C740))),AND(설정!$A$36&lt;&gt;"",ISNUMBER(SEARCH(설정!$A$36,E740&amp;" "&amp;C740))),AND(설정!$A$37&lt;&gt;"",ISNUMBER(SEARCH(설정!$A$37,E740&amp;" "&amp;C740))))</f>
        <v/>
      </c>
      <c r="S740">
        <f>OR(D740="",D740&gt;=설정!$B$19)</f>
        <v/>
      </c>
      <c r="T740">
        <f>AND(Q740,R740,S740)</f>
        <v/>
      </c>
      <c r="U740">
        <f>IF(T740,IF(AND(설정!$A$41&lt;&gt;"",ISNUMBER(SEARCH(설정!$A$41,K740))),설정!$B$41,IF(AND(설정!$A$42&lt;&gt;"",ISNUMBER(SEARCH(설정!$A$42,K740))),설정!$B$42,IF(AND(설정!$A$43&lt;&gt;"",ISNUMBER(SEARCH(설정!$A$43,K740))),설정!$B$43,IF(AND(설정!$A$44&lt;&gt;"",ISNUMBER(SEARCH(설정!$A$44,K740))),설정!$B$44,IF(AND(설정!$A$45&lt;&gt;"",ISNUMBER(SEARCH(설정!$A$45,K740))),설정!$B$45,IF(AND(설정!$A$46&lt;&gt;"",ISNUMBER(SEARCH(설정!$A$46,K740))),설정!$B$46,IF(AND(설정!$A$47&lt;&gt;"",ISNUMBER(SEARCH(설정!$A$47,K740))),설정!$B$47,IF(AND(설정!$A$48&lt;&gt;"",ISNUMBER(SEARCH(설정!$A$48,K740))),설정!$B$48,IF(M740="","설계사","시공사"))))))))),"")</f>
        <v/>
      </c>
      <c r="V740">
        <f>SUBSTITUTE(SUBSTITUTE(SUBSTITUTE(SUBSTITUTE(G740,"(주)",""),"㈜",""),"주식회사","")," ","")</f>
        <v/>
      </c>
      <c r="W740">
        <f>IF(AND(T740,V740&lt;&gt;""),IF(COUNTIFS(V$2:V740,V740,T$2:T740,TRUE)=1,MAX(W$1:W739)+1,""),"")</f>
        <v/>
      </c>
      <c r="X740">
        <f>IFERROR(INDEX('1.산군_붙여넣기'!$A$1:$AZ$1001,ROW(),설정!$C$14)&amp;"","")</f>
        <v/>
      </c>
      <c r="Y740">
        <f>IFERROR(INDEX('1.산군_붙여넣기'!$A$1:$AZ$1001,ROW(),설정!$C$15)&amp;"","")</f>
        <v/>
      </c>
      <c r="Z740">
        <f>IF(T740,V740&amp;"|"&amp;U740,"")</f>
        <v/>
      </c>
    </row>
    <row r="741">
      <c r="A741">
        <f>ROW()</f>
        <v/>
      </c>
      <c r="B741">
        <f>IFERROR(INDEX('1.산군_붙여넣기'!$A$1:$AZ$1001,ROW(),설정!$C$4)&amp;"","")</f>
        <v/>
      </c>
      <c r="C741">
        <f>IFERROR(INDEX('1.산군_붙여넣기'!$A$1:$AZ$1001,ROW(),설정!$C$5)&amp;"","")</f>
        <v/>
      </c>
      <c r="D741" s="5">
        <f>IFERROR(VALUE(SUBSTITUTE(SUBSTITUTE(SUBSTITUTE(IFERROR(INDEX('1.산군_붙여넣기'!$A$1:$AZ$1001,ROW(),설정!$C$6)&amp;"",""),",",""),"㎡",""),"m2","")),"")</f>
        <v/>
      </c>
      <c r="E741">
        <f>IFERROR(INDEX('1.산군_붙여넣기'!$A$1:$AZ$1001,ROW(),설정!$C$7)&amp;"","")</f>
        <v/>
      </c>
      <c r="F741">
        <f>IFERROR(INDEX('1.산군_붙여넣기'!$A$1:$AZ$1001,ROW(),설정!$C$8)&amp;"","")</f>
        <v/>
      </c>
      <c r="G741">
        <f>IFERROR(INDEX('1.산군_붙여넣기'!$A$1:$AZ$1001,ROW(),설정!$C$9)&amp;"","")</f>
        <v/>
      </c>
      <c r="H741">
        <f>IFERROR(INDEX('1.산군_붙여넣기'!$A$1:$AZ$1001,ROW(),설정!$C$10)&amp;"","")</f>
        <v/>
      </c>
      <c r="I741">
        <f>IFERROR(INDEX('1.산군_붙여넣기'!$A$1:$AZ$1001,ROW(),설정!$C$11)&amp;"","")</f>
        <v/>
      </c>
      <c r="J741">
        <f>IFERROR(INDEX('1.산군_붙여넣기'!$A$1:$AZ$1001,ROW(),설정!$C$12)&amp;"","")</f>
        <v/>
      </c>
      <c r="K741">
        <f>IFERROR(INDEX('1.산군_붙여넣기'!$A$1:$AZ$1001,ROW(),설정!$C$13)&amp;"","")</f>
        <v/>
      </c>
      <c r="L741" s="6">
        <f>IF(X741="","",IF(AND(LEN(X741)=8,ISNUMBER(X741*1)),DATE(LEFT(X741,4),MID(X741,5,2),RIGHT(X741,2)),IFERROR(DATEVALUE(SUBSTITUTE(SUBSTITUTE(X741,".","-"),"/","-")),IFERROR(X741*1,""))))</f>
        <v/>
      </c>
      <c r="M741" s="6">
        <f>IF(Y741="","",IF(AND(LEN(Y741)=8,ISNUMBER(Y741*1)),DATE(LEFT(Y741,4),MID(Y741,5,2),RIGHT(Y741,2)),IFERROR(DATEVALUE(SUBSTITUTE(SUBSTITUTE(Y741,".","-"),"/","-")),IFERROR(Y741*1,""))))</f>
        <v/>
      </c>
      <c r="N741">
        <f>IFERROR(LEFT(B741,FIND(" ",B741)-1),B741)</f>
        <v/>
      </c>
      <c r="O741">
        <f>AND(B741&lt;&gt;"",B741&lt;&gt;설정!$B$4,C741&lt;&gt;설정!$B$5)</f>
        <v/>
      </c>
      <c r="P741">
        <f>IF(O741,B741&amp;"|"&amp;C741,"")</f>
        <v/>
      </c>
      <c r="Q741">
        <f>AND(O741,COUNTIF(P742:P$1002,P741)=0)</f>
        <v/>
      </c>
      <c r="R741">
        <f>OR(AND(설정!$A$28&lt;&gt;"",ISNUMBER(SEARCH(설정!$A$28,E741&amp;" "&amp;C741))),AND(설정!$A$29&lt;&gt;"",ISNUMBER(SEARCH(설정!$A$29,E741&amp;" "&amp;C741))),AND(설정!$A$30&lt;&gt;"",ISNUMBER(SEARCH(설정!$A$30,E741&amp;" "&amp;C741))),AND(설정!$A$31&lt;&gt;"",ISNUMBER(SEARCH(설정!$A$31,E741&amp;" "&amp;C741))),AND(설정!$A$32&lt;&gt;"",ISNUMBER(SEARCH(설정!$A$32,E741&amp;" "&amp;C741))),AND(설정!$A$33&lt;&gt;"",ISNUMBER(SEARCH(설정!$A$33,E741&amp;" "&amp;C741))),AND(설정!$A$34&lt;&gt;"",ISNUMBER(SEARCH(설정!$A$34,E741&amp;" "&amp;C741))),AND(설정!$A$35&lt;&gt;"",ISNUMBER(SEARCH(설정!$A$35,E741&amp;" "&amp;C741))),AND(설정!$A$36&lt;&gt;"",ISNUMBER(SEARCH(설정!$A$36,E741&amp;" "&amp;C741))),AND(설정!$A$37&lt;&gt;"",ISNUMBER(SEARCH(설정!$A$37,E741&amp;" "&amp;C741))))</f>
        <v/>
      </c>
      <c r="S741">
        <f>OR(D741="",D741&gt;=설정!$B$19)</f>
        <v/>
      </c>
      <c r="T741">
        <f>AND(Q741,R741,S741)</f>
        <v/>
      </c>
      <c r="U741">
        <f>IF(T741,IF(AND(설정!$A$41&lt;&gt;"",ISNUMBER(SEARCH(설정!$A$41,K741))),설정!$B$41,IF(AND(설정!$A$42&lt;&gt;"",ISNUMBER(SEARCH(설정!$A$42,K741))),설정!$B$42,IF(AND(설정!$A$43&lt;&gt;"",ISNUMBER(SEARCH(설정!$A$43,K741))),설정!$B$43,IF(AND(설정!$A$44&lt;&gt;"",ISNUMBER(SEARCH(설정!$A$44,K741))),설정!$B$44,IF(AND(설정!$A$45&lt;&gt;"",ISNUMBER(SEARCH(설정!$A$45,K741))),설정!$B$45,IF(AND(설정!$A$46&lt;&gt;"",ISNUMBER(SEARCH(설정!$A$46,K741))),설정!$B$46,IF(AND(설정!$A$47&lt;&gt;"",ISNUMBER(SEARCH(설정!$A$47,K741))),설정!$B$47,IF(AND(설정!$A$48&lt;&gt;"",ISNUMBER(SEARCH(설정!$A$48,K741))),설정!$B$48,IF(M741="","설계사","시공사"))))))))),"")</f>
        <v/>
      </c>
      <c r="V741">
        <f>SUBSTITUTE(SUBSTITUTE(SUBSTITUTE(SUBSTITUTE(G741,"(주)",""),"㈜",""),"주식회사","")," ","")</f>
        <v/>
      </c>
      <c r="W741">
        <f>IF(AND(T741,V741&lt;&gt;""),IF(COUNTIFS(V$2:V741,V741,T$2:T741,TRUE)=1,MAX(W$1:W740)+1,""),"")</f>
        <v/>
      </c>
      <c r="X741">
        <f>IFERROR(INDEX('1.산군_붙여넣기'!$A$1:$AZ$1001,ROW(),설정!$C$14)&amp;"","")</f>
        <v/>
      </c>
      <c r="Y741">
        <f>IFERROR(INDEX('1.산군_붙여넣기'!$A$1:$AZ$1001,ROW(),설정!$C$15)&amp;"","")</f>
        <v/>
      </c>
      <c r="Z741">
        <f>IF(T741,V741&amp;"|"&amp;U741,"")</f>
        <v/>
      </c>
    </row>
    <row r="742">
      <c r="A742">
        <f>ROW()</f>
        <v/>
      </c>
      <c r="B742">
        <f>IFERROR(INDEX('1.산군_붙여넣기'!$A$1:$AZ$1001,ROW(),설정!$C$4)&amp;"","")</f>
        <v/>
      </c>
      <c r="C742">
        <f>IFERROR(INDEX('1.산군_붙여넣기'!$A$1:$AZ$1001,ROW(),설정!$C$5)&amp;"","")</f>
        <v/>
      </c>
      <c r="D742" s="5">
        <f>IFERROR(VALUE(SUBSTITUTE(SUBSTITUTE(SUBSTITUTE(IFERROR(INDEX('1.산군_붙여넣기'!$A$1:$AZ$1001,ROW(),설정!$C$6)&amp;"",""),",",""),"㎡",""),"m2","")),"")</f>
        <v/>
      </c>
      <c r="E742">
        <f>IFERROR(INDEX('1.산군_붙여넣기'!$A$1:$AZ$1001,ROW(),설정!$C$7)&amp;"","")</f>
        <v/>
      </c>
      <c r="F742">
        <f>IFERROR(INDEX('1.산군_붙여넣기'!$A$1:$AZ$1001,ROW(),설정!$C$8)&amp;"","")</f>
        <v/>
      </c>
      <c r="G742">
        <f>IFERROR(INDEX('1.산군_붙여넣기'!$A$1:$AZ$1001,ROW(),설정!$C$9)&amp;"","")</f>
        <v/>
      </c>
      <c r="H742">
        <f>IFERROR(INDEX('1.산군_붙여넣기'!$A$1:$AZ$1001,ROW(),설정!$C$10)&amp;"","")</f>
        <v/>
      </c>
      <c r="I742">
        <f>IFERROR(INDEX('1.산군_붙여넣기'!$A$1:$AZ$1001,ROW(),설정!$C$11)&amp;"","")</f>
        <v/>
      </c>
      <c r="J742">
        <f>IFERROR(INDEX('1.산군_붙여넣기'!$A$1:$AZ$1001,ROW(),설정!$C$12)&amp;"","")</f>
        <v/>
      </c>
      <c r="K742">
        <f>IFERROR(INDEX('1.산군_붙여넣기'!$A$1:$AZ$1001,ROW(),설정!$C$13)&amp;"","")</f>
        <v/>
      </c>
      <c r="L742" s="6">
        <f>IF(X742="","",IF(AND(LEN(X742)=8,ISNUMBER(X742*1)),DATE(LEFT(X742,4),MID(X742,5,2),RIGHT(X742,2)),IFERROR(DATEVALUE(SUBSTITUTE(SUBSTITUTE(X742,".","-"),"/","-")),IFERROR(X742*1,""))))</f>
        <v/>
      </c>
      <c r="M742" s="6">
        <f>IF(Y742="","",IF(AND(LEN(Y742)=8,ISNUMBER(Y742*1)),DATE(LEFT(Y742,4),MID(Y742,5,2),RIGHT(Y742,2)),IFERROR(DATEVALUE(SUBSTITUTE(SUBSTITUTE(Y742,".","-"),"/","-")),IFERROR(Y742*1,""))))</f>
        <v/>
      </c>
      <c r="N742">
        <f>IFERROR(LEFT(B742,FIND(" ",B742)-1),B742)</f>
        <v/>
      </c>
      <c r="O742">
        <f>AND(B742&lt;&gt;"",B742&lt;&gt;설정!$B$4,C742&lt;&gt;설정!$B$5)</f>
        <v/>
      </c>
      <c r="P742">
        <f>IF(O742,B742&amp;"|"&amp;C742,"")</f>
        <v/>
      </c>
      <c r="Q742">
        <f>AND(O742,COUNTIF(P743:P$1002,P742)=0)</f>
        <v/>
      </c>
      <c r="R742">
        <f>OR(AND(설정!$A$28&lt;&gt;"",ISNUMBER(SEARCH(설정!$A$28,E742&amp;" "&amp;C742))),AND(설정!$A$29&lt;&gt;"",ISNUMBER(SEARCH(설정!$A$29,E742&amp;" "&amp;C742))),AND(설정!$A$30&lt;&gt;"",ISNUMBER(SEARCH(설정!$A$30,E742&amp;" "&amp;C742))),AND(설정!$A$31&lt;&gt;"",ISNUMBER(SEARCH(설정!$A$31,E742&amp;" "&amp;C742))),AND(설정!$A$32&lt;&gt;"",ISNUMBER(SEARCH(설정!$A$32,E742&amp;" "&amp;C742))),AND(설정!$A$33&lt;&gt;"",ISNUMBER(SEARCH(설정!$A$33,E742&amp;" "&amp;C742))),AND(설정!$A$34&lt;&gt;"",ISNUMBER(SEARCH(설정!$A$34,E742&amp;" "&amp;C742))),AND(설정!$A$35&lt;&gt;"",ISNUMBER(SEARCH(설정!$A$35,E742&amp;" "&amp;C742))),AND(설정!$A$36&lt;&gt;"",ISNUMBER(SEARCH(설정!$A$36,E742&amp;" "&amp;C742))),AND(설정!$A$37&lt;&gt;"",ISNUMBER(SEARCH(설정!$A$37,E742&amp;" "&amp;C742))))</f>
        <v/>
      </c>
      <c r="S742">
        <f>OR(D742="",D742&gt;=설정!$B$19)</f>
        <v/>
      </c>
      <c r="T742">
        <f>AND(Q742,R742,S742)</f>
        <v/>
      </c>
      <c r="U742">
        <f>IF(T742,IF(AND(설정!$A$41&lt;&gt;"",ISNUMBER(SEARCH(설정!$A$41,K742))),설정!$B$41,IF(AND(설정!$A$42&lt;&gt;"",ISNUMBER(SEARCH(설정!$A$42,K742))),설정!$B$42,IF(AND(설정!$A$43&lt;&gt;"",ISNUMBER(SEARCH(설정!$A$43,K742))),설정!$B$43,IF(AND(설정!$A$44&lt;&gt;"",ISNUMBER(SEARCH(설정!$A$44,K742))),설정!$B$44,IF(AND(설정!$A$45&lt;&gt;"",ISNUMBER(SEARCH(설정!$A$45,K742))),설정!$B$45,IF(AND(설정!$A$46&lt;&gt;"",ISNUMBER(SEARCH(설정!$A$46,K742))),설정!$B$46,IF(AND(설정!$A$47&lt;&gt;"",ISNUMBER(SEARCH(설정!$A$47,K742))),설정!$B$47,IF(AND(설정!$A$48&lt;&gt;"",ISNUMBER(SEARCH(설정!$A$48,K742))),설정!$B$48,IF(M742="","설계사","시공사"))))))))),"")</f>
        <v/>
      </c>
      <c r="V742">
        <f>SUBSTITUTE(SUBSTITUTE(SUBSTITUTE(SUBSTITUTE(G742,"(주)",""),"㈜",""),"주식회사","")," ","")</f>
        <v/>
      </c>
      <c r="W742">
        <f>IF(AND(T742,V742&lt;&gt;""),IF(COUNTIFS(V$2:V742,V742,T$2:T742,TRUE)=1,MAX(W$1:W741)+1,""),"")</f>
        <v/>
      </c>
      <c r="X742">
        <f>IFERROR(INDEX('1.산군_붙여넣기'!$A$1:$AZ$1001,ROW(),설정!$C$14)&amp;"","")</f>
        <v/>
      </c>
      <c r="Y742">
        <f>IFERROR(INDEX('1.산군_붙여넣기'!$A$1:$AZ$1001,ROW(),설정!$C$15)&amp;"","")</f>
        <v/>
      </c>
      <c r="Z742">
        <f>IF(T742,V742&amp;"|"&amp;U742,"")</f>
        <v/>
      </c>
    </row>
    <row r="743">
      <c r="A743">
        <f>ROW()</f>
        <v/>
      </c>
      <c r="B743">
        <f>IFERROR(INDEX('1.산군_붙여넣기'!$A$1:$AZ$1001,ROW(),설정!$C$4)&amp;"","")</f>
        <v/>
      </c>
      <c r="C743">
        <f>IFERROR(INDEX('1.산군_붙여넣기'!$A$1:$AZ$1001,ROW(),설정!$C$5)&amp;"","")</f>
        <v/>
      </c>
      <c r="D743" s="5">
        <f>IFERROR(VALUE(SUBSTITUTE(SUBSTITUTE(SUBSTITUTE(IFERROR(INDEX('1.산군_붙여넣기'!$A$1:$AZ$1001,ROW(),설정!$C$6)&amp;"",""),",",""),"㎡",""),"m2","")),"")</f>
        <v/>
      </c>
      <c r="E743">
        <f>IFERROR(INDEX('1.산군_붙여넣기'!$A$1:$AZ$1001,ROW(),설정!$C$7)&amp;"","")</f>
        <v/>
      </c>
      <c r="F743">
        <f>IFERROR(INDEX('1.산군_붙여넣기'!$A$1:$AZ$1001,ROW(),설정!$C$8)&amp;"","")</f>
        <v/>
      </c>
      <c r="G743">
        <f>IFERROR(INDEX('1.산군_붙여넣기'!$A$1:$AZ$1001,ROW(),설정!$C$9)&amp;"","")</f>
        <v/>
      </c>
      <c r="H743">
        <f>IFERROR(INDEX('1.산군_붙여넣기'!$A$1:$AZ$1001,ROW(),설정!$C$10)&amp;"","")</f>
        <v/>
      </c>
      <c r="I743">
        <f>IFERROR(INDEX('1.산군_붙여넣기'!$A$1:$AZ$1001,ROW(),설정!$C$11)&amp;"","")</f>
        <v/>
      </c>
      <c r="J743">
        <f>IFERROR(INDEX('1.산군_붙여넣기'!$A$1:$AZ$1001,ROW(),설정!$C$12)&amp;"","")</f>
        <v/>
      </c>
      <c r="K743">
        <f>IFERROR(INDEX('1.산군_붙여넣기'!$A$1:$AZ$1001,ROW(),설정!$C$13)&amp;"","")</f>
        <v/>
      </c>
      <c r="L743" s="6">
        <f>IF(X743="","",IF(AND(LEN(X743)=8,ISNUMBER(X743*1)),DATE(LEFT(X743,4),MID(X743,5,2),RIGHT(X743,2)),IFERROR(DATEVALUE(SUBSTITUTE(SUBSTITUTE(X743,".","-"),"/","-")),IFERROR(X743*1,""))))</f>
        <v/>
      </c>
      <c r="M743" s="6">
        <f>IF(Y743="","",IF(AND(LEN(Y743)=8,ISNUMBER(Y743*1)),DATE(LEFT(Y743,4),MID(Y743,5,2),RIGHT(Y743,2)),IFERROR(DATEVALUE(SUBSTITUTE(SUBSTITUTE(Y743,".","-"),"/","-")),IFERROR(Y743*1,""))))</f>
        <v/>
      </c>
      <c r="N743">
        <f>IFERROR(LEFT(B743,FIND(" ",B743)-1),B743)</f>
        <v/>
      </c>
      <c r="O743">
        <f>AND(B743&lt;&gt;"",B743&lt;&gt;설정!$B$4,C743&lt;&gt;설정!$B$5)</f>
        <v/>
      </c>
      <c r="P743">
        <f>IF(O743,B743&amp;"|"&amp;C743,"")</f>
        <v/>
      </c>
      <c r="Q743">
        <f>AND(O743,COUNTIF(P744:P$1002,P743)=0)</f>
        <v/>
      </c>
      <c r="R743">
        <f>OR(AND(설정!$A$28&lt;&gt;"",ISNUMBER(SEARCH(설정!$A$28,E743&amp;" "&amp;C743))),AND(설정!$A$29&lt;&gt;"",ISNUMBER(SEARCH(설정!$A$29,E743&amp;" "&amp;C743))),AND(설정!$A$30&lt;&gt;"",ISNUMBER(SEARCH(설정!$A$30,E743&amp;" "&amp;C743))),AND(설정!$A$31&lt;&gt;"",ISNUMBER(SEARCH(설정!$A$31,E743&amp;" "&amp;C743))),AND(설정!$A$32&lt;&gt;"",ISNUMBER(SEARCH(설정!$A$32,E743&amp;" "&amp;C743))),AND(설정!$A$33&lt;&gt;"",ISNUMBER(SEARCH(설정!$A$33,E743&amp;" "&amp;C743))),AND(설정!$A$34&lt;&gt;"",ISNUMBER(SEARCH(설정!$A$34,E743&amp;" "&amp;C743))),AND(설정!$A$35&lt;&gt;"",ISNUMBER(SEARCH(설정!$A$35,E743&amp;" "&amp;C743))),AND(설정!$A$36&lt;&gt;"",ISNUMBER(SEARCH(설정!$A$36,E743&amp;" "&amp;C743))),AND(설정!$A$37&lt;&gt;"",ISNUMBER(SEARCH(설정!$A$37,E743&amp;" "&amp;C743))))</f>
        <v/>
      </c>
      <c r="S743">
        <f>OR(D743="",D743&gt;=설정!$B$19)</f>
        <v/>
      </c>
      <c r="T743">
        <f>AND(Q743,R743,S743)</f>
        <v/>
      </c>
      <c r="U743">
        <f>IF(T743,IF(AND(설정!$A$41&lt;&gt;"",ISNUMBER(SEARCH(설정!$A$41,K743))),설정!$B$41,IF(AND(설정!$A$42&lt;&gt;"",ISNUMBER(SEARCH(설정!$A$42,K743))),설정!$B$42,IF(AND(설정!$A$43&lt;&gt;"",ISNUMBER(SEARCH(설정!$A$43,K743))),설정!$B$43,IF(AND(설정!$A$44&lt;&gt;"",ISNUMBER(SEARCH(설정!$A$44,K743))),설정!$B$44,IF(AND(설정!$A$45&lt;&gt;"",ISNUMBER(SEARCH(설정!$A$45,K743))),설정!$B$45,IF(AND(설정!$A$46&lt;&gt;"",ISNUMBER(SEARCH(설정!$A$46,K743))),설정!$B$46,IF(AND(설정!$A$47&lt;&gt;"",ISNUMBER(SEARCH(설정!$A$47,K743))),설정!$B$47,IF(AND(설정!$A$48&lt;&gt;"",ISNUMBER(SEARCH(설정!$A$48,K743))),설정!$B$48,IF(M743="","설계사","시공사"))))))))),"")</f>
        <v/>
      </c>
      <c r="V743">
        <f>SUBSTITUTE(SUBSTITUTE(SUBSTITUTE(SUBSTITUTE(G743,"(주)",""),"㈜",""),"주식회사","")," ","")</f>
        <v/>
      </c>
      <c r="W743">
        <f>IF(AND(T743,V743&lt;&gt;""),IF(COUNTIFS(V$2:V743,V743,T$2:T743,TRUE)=1,MAX(W$1:W742)+1,""),"")</f>
        <v/>
      </c>
      <c r="X743">
        <f>IFERROR(INDEX('1.산군_붙여넣기'!$A$1:$AZ$1001,ROW(),설정!$C$14)&amp;"","")</f>
        <v/>
      </c>
      <c r="Y743">
        <f>IFERROR(INDEX('1.산군_붙여넣기'!$A$1:$AZ$1001,ROW(),설정!$C$15)&amp;"","")</f>
        <v/>
      </c>
      <c r="Z743">
        <f>IF(T743,V743&amp;"|"&amp;U743,"")</f>
        <v/>
      </c>
    </row>
    <row r="744">
      <c r="A744">
        <f>ROW()</f>
        <v/>
      </c>
      <c r="B744">
        <f>IFERROR(INDEX('1.산군_붙여넣기'!$A$1:$AZ$1001,ROW(),설정!$C$4)&amp;"","")</f>
        <v/>
      </c>
      <c r="C744">
        <f>IFERROR(INDEX('1.산군_붙여넣기'!$A$1:$AZ$1001,ROW(),설정!$C$5)&amp;"","")</f>
        <v/>
      </c>
      <c r="D744" s="5">
        <f>IFERROR(VALUE(SUBSTITUTE(SUBSTITUTE(SUBSTITUTE(IFERROR(INDEX('1.산군_붙여넣기'!$A$1:$AZ$1001,ROW(),설정!$C$6)&amp;"",""),",",""),"㎡",""),"m2","")),"")</f>
        <v/>
      </c>
      <c r="E744">
        <f>IFERROR(INDEX('1.산군_붙여넣기'!$A$1:$AZ$1001,ROW(),설정!$C$7)&amp;"","")</f>
        <v/>
      </c>
      <c r="F744">
        <f>IFERROR(INDEX('1.산군_붙여넣기'!$A$1:$AZ$1001,ROW(),설정!$C$8)&amp;"","")</f>
        <v/>
      </c>
      <c r="G744">
        <f>IFERROR(INDEX('1.산군_붙여넣기'!$A$1:$AZ$1001,ROW(),설정!$C$9)&amp;"","")</f>
        <v/>
      </c>
      <c r="H744">
        <f>IFERROR(INDEX('1.산군_붙여넣기'!$A$1:$AZ$1001,ROW(),설정!$C$10)&amp;"","")</f>
        <v/>
      </c>
      <c r="I744">
        <f>IFERROR(INDEX('1.산군_붙여넣기'!$A$1:$AZ$1001,ROW(),설정!$C$11)&amp;"","")</f>
        <v/>
      </c>
      <c r="J744">
        <f>IFERROR(INDEX('1.산군_붙여넣기'!$A$1:$AZ$1001,ROW(),설정!$C$12)&amp;"","")</f>
        <v/>
      </c>
      <c r="K744">
        <f>IFERROR(INDEX('1.산군_붙여넣기'!$A$1:$AZ$1001,ROW(),설정!$C$13)&amp;"","")</f>
        <v/>
      </c>
      <c r="L744" s="6">
        <f>IF(X744="","",IF(AND(LEN(X744)=8,ISNUMBER(X744*1)),DATE(LEFT(X744,4),MID(X744,5,2),RIGHT(X744,2)),IFERROR(DATEVALUE(SUBSTITUTE(SUBSTITUTE(X744,".","-"),"/","-")),IFERROR(X744*1,""))))</f>
        <v/>
      </c>
      <c r="M744" s="6">
        <f>IF(Y744="","",IF(AND(LEN(Y744)=8,ISNUMBER(Y744*1)),DATE(LEFT(Y744,4),MID(Y744,5,2),RIGHT(Y744,2)),IFERROR(DATEVALUE(SUBSTITUTE(SUBSTITUTE(Y744,".","-"),"/","-")),IFERROR(Y744*1,""))))</f>
        <v/>
      </c>
      <c r="N744">
        <f>IFERROR(LEFT(B744,FIND(" ",B744)-1),B744)</f>
        <v/>
      </c>
      <c r="O744">
        <f>AND(B744&lt;&gt;"",B744&lt;&gt;설정!$B$4,C744&lt;&gt;설정!$B$5)</f>
        <v/>
      </c>
      <c r="P744">
        <f>IF(O744,B744&amp;"|"&amp;C744,"")</f>
        <v/>
      </c>
      <c r="Q744">
        <f>AND(O744,COUNTIF(P745:P$1002,P744)=0)</f>
        <v/>
      </c>
      <c r="R744">
        <f>OR(AND(설정!$A$28&lt;&gt;"",ISNUMBER(SEARCH(설정!$A$28,E744&amp;" "&amp;C744))),AND(설정!$A$29&lt;&gt;"",ISNUMBER(SEARCH(설정!$A$29,E744&amp;" "&amp;C744))),AND(설정!$A$30&lt;&gt;"",ISNUMBER(SEARCH(설정!$A$30,E744&amp;" "&amp;C744))),AND(설정!$A$31&lt;&gt;"",ISNUMBER(SEARCH(설정!$A$31,E744&amp;" "&amp;C744))),AND(설정!$A$32&lt;&gt;"",ISNUMBER(SEARCH(설정!$A$32,E744&amp;" "&amp;C744))),AND(설정!$A$33&lt;&gt;"",ISNUMBER(SEARCH(설정!$A$33,E744&amp;" "&amp;C744))),AND(설정!$A$34&lt;&gt;"",ISNUMBER(SEARCH(설정!$A$34,E744&amp;" "&amp;C744))),AND(설정!$A$35&lt;&gt;"",ISNUMBER(SEARCH(설정!$A$35,E744&amp;" "&amp;C744))),AND(설정!$A$36&lt;&gt;"",ISNUMBER(SEARCH(설정!$A$36,E744&amp;" "&amp;C744))),AND(설정!$A$37&lt;&gt;"",ISNUMBER(SEARCH(설정!$A$37,E744&amp;" "&amp;C744))))</f>
        <v/>
      </c>
      <c r="S744">
        <f>OR(D744="",D744&gt;=설정!$B$19)</f>
        <v/>
      </c>
      <c r="T744">
        <f>AND(Q744,R744,S744)</f>
        <v/>
      </c>
      <c r="U744">
        <f>IF(T744,IF(AND(설정!$A$41&lt;&gt;"",ISNUMBER(SEARCH(설정!$A$41,K744))),설정!$B$41,IF(AND(설정!$A$42&lt;&gt;"",ISNUMBER(SEARCH(설정!$A$42,K744))),설정!$B$42,IF(AND(설정!$A$43&lt;&gt;"",ISNUMBER(SEARCH(설정!$A$43,K744))),설정!$B$43,IF(AND(설정!$A$44&lt;&gt;"",ISNUMBER(SEARCH(설정!$A$44,K744))),설정!$B$44,IF(AND(설정!$A$45&lt;&gt;"",ISNUMBER(SEARCH(설정!$A$45,K744))),설정!$B$45,IF(AND(설정!$A$46&lt;&gt;"",ISNUMBER(SEARCH(설정!$A$46,K744))),설정!$B$46,IF(AND(설정!$A$47&lt;&gt;"",ISNUMBER(SEARCH(설정!$A$47,K744))),설정!$B$47,IF(AND(설정!$A$48&lt;&gt;"",ISNUMBER(SEARCH(설정!$A$48,K744))),설정!$B$48,IF(M744="","설계사","시공사"))))))))),"")</f>
        <v/>
      </c>
      <c r="V744">
        <f>SUBSTITUTE(SUBSTITUTE(SUBSTITUTE(SUBSTITUTE(G744,"(주)",""),"㈜",""),"주식회사","")," ","")</f>
        <v/>
      </c>
      <c r="W744">
        <f>IF(AND(T744,V744&lt;&gt;""),IF(COUNTIFS(V$2:V744,V744,T$2:T744,TRUE)=1,MAX(W$1:W743)+1,""),"")</f>
        <v/>
      </c>
      <c r="X744">
        <f>IFERROR(INDEX('1.산군_붙여넣기'!$A$1:$AZ$1001,ROW(),설정!$C$14)&amp;"","")</f>
        <v/>
      </c>
      <c r="Y744">
        <f>IFERROR(INDEX('1.산군_붙여넣기'!$A$1:$AZ$1001,ROW(),설정!$C$15)&amp;"","")</f>
        <v/>
      </c>
      <c r="Z744">
        <f>IF(T744,V744&amp;"|"&amp;U744,"")</f>
        <v/>
      </c>
    </row>
    <row r="745">
      <c r="A745">
        <f>ROW()</f>
        <v/>
      </c>
      <c r="B745">
        <f>IFERROR(INDEX('1.산군_붙여넣기'!$A$1:$AZ$1001,ROW(),설정!$C$4)&amp;"","")</f>
        <v/>
      </c>
      <c r="C745">
        <f>IFERROR(INDEX('1.산군_붙여넣기'!$A$1:$AZ$1001,ROW(),설정!$C$5)&amp;"","")</f>
        <v/>
      </c>
      <c r="D745" s="5">
        <f>IFERROR(VALUE(SUBSTITUTE(SUBSTITUTE(SUBSTITUTE(IFERROR(INDEX('1.산군_붙여넣기'!$A$1:$AZ$1001,ROW(),설정!$C$6)&amp;"",""),",",""),"㎡",""),"m2","")),"")</f>
        <v/>
      </c>
      <c r="E745">
        <f>IFERROR(INDEX('1.산군_붙여넣기'!$A$1:$AZ$1001,ROW(),설정!$C$7)&amp;"","")</f>
        <v/>
      </c>
      <c r="F745">
        <f>IFERROR(INDEX('1.산군_붙여넣기'!$A$1:$AZ$1001,ROW(),설정!$C$8)&amp;"","")</f>
        <v/>
      </c>
      <c r="G745">
        <f>IFERROR(INDEX('1.산군_붙여넣기'!$A$1:$AZ$1001,ROW(),설정!$C$9)&amp;"","")</f>
        <v/>
      </c>
      <c r="H745">
        <f>IFERROR(INDEX('1.산군_붙여넣기'!$A$1:$AZ$1001,ROW(),설정!$C$10)&amp;"","")</f>
        <v/>
      </c>
      <c r="I745">
        <f>IFERROR(INDEX('1.산군_붙여넣기'!$A$1:$AZ$1001,ROW(),설정!$C$11)&amp;"","")</f>
        <v/>
      </c>
      <c r="J745">
        <f>IFERROR(INDEX('1.산군_붙여넣기'!$A$1:$AZ$1001,ROW(),설정!$C$12)&amp;"","")</f>
        <v/>
      </c>
      <c r="K745">
        <f>IFERROR(INDEX('1.산군_붙여넣기'!$A$1:$AZ$1001,ROW(),설정!$C$13)&amp;"","")</f>
        <v/>
      </c>
      <c r="L745" s="6">
        <f>IF(X745="","",IF(AND(LEN(X745)=8,ISNUMBER(X745*1)),DATE(LEFT(X745,4),MID(X745,5,2),RIGHT(X745,2)),IFERROR(DATEVALUE(SUBSTITUTE(SUBSTITUTE(X745,".","-"),"/","-")),IFERROR(X745*1,""))))</f>
        <v/>
      </c>
      <c r="M745" s="6">
        <f>IF(Y745="","",IF(AND(LEN(Y745)=8,ISNUMBER(Y745*1)),DATE(LEFT(Y745,4),MID(Y745,5,2),RIGHT(Y745,2)),IFERROR(DATEVALUE(SUBSTITUTE(SUBSTITUTE(Y745,".","-"),"/","-")),IFERROR(Y745*1,""))))</f>
        <v/>
      </c>
      <c r="N745">
        <f>IFERROR(LEFT(B745,FIND(" ",B745)-1),B745)</f>
        <v/>
      </c>
      <c r="O745">
        <f>AND(B745&lt;&gt;"",B745&lt;&gt;설정!$B$4,C745&lt;&gt;설정!$B$5)</f>
        <v/>
      </c>
      <c r="P745">
        <f>IF(O745,B745&amp;"|"&amp;C745,"")</f>
        <v/>
      </c>
      <c r="Q745">
        <f>AND(O745,COUNTIF(P746:P$1002,P745)=0)</f>
        <v/>
      </c>
      <c r="R745">
        <f>OR(AND(설정!$A$28&lt;&gt;"",ISNUMBER(SEARCH(설정!$A$28,E745&amp;" "&amp;C745))),AND(설정!$A$29&lt;&gt;"",ISNUMBER(SEARCH(설정!$A$29,E745&amp;" "&amp;C745))),AND(설정!$A$30&lt;&gt;"",ISNUMBER(SEARCH(설정!$A$30,E745&amp;" "&amp;C745))),AND(설정!$A$31&lt;&gt;"",ISNUMBER(SEARCH(설정!$A$31,E745&amp;" "&amp;C745))),AND(설정!$A$32&lt;&gt;"",ISNUMBER(SEARCH(설정!$A$32,E745&amp;" "&amp;C745))),AND(설정!$A$33&lt;&gt;"",ISNUMBER(SEARCH(설정!$A$33,E745&amp;" "&amp;C745))),AND(설정!$A$34&lt;&gt;"",ISNUMBER(SEARCH(설정!$A$34,E745&amp;" "&amp;C745))),AND(설정!$A$35&lt;&gt;"",ISNUMBER(SEARCH(설정!$A$35,E745&amp;" "&amp;C745))),AND(설정!$A$36&lt;&gt;"",ISNUMBER(SEARCH(설정!$A$36,E745&amp;" "&amp;C745))),AND(설정!$A$37&lt;&gt;"",ISNUMBER(SEARCH(설정!$A$37,E745&amp;" "&amp;C745))))</f>
        <v/>
      </c>
      <c r="S745">
        <f>OR(D745="",D745&gt;=설정!$B$19)</f>
        <v/>
      </c>
      <c r="T745">
        <f>AND(Q745,R745,S745)</f>
        <v/>
      </c>
      <c r="U745">
        <f>IF(T745,IF(AND(설정!$A$41&lt;&gt;"",ISNUMBER(SEARCH(설정!$A$41,K745))),설정!$B$41,IF(AND(설정!$A$42&lt;&gt;"",ISNUMBER(SEARCH(설정!$A$42,K745))),설정!$B$42,IF(AND(설정!$A$43&lt;&gt;"",ISNUMBER(SEARCH(설정!$A$43,K745))),설정!$B$43,IF(AND(설정!$A$44&lt;&gt;"",ISNUMBER(SEARCH(설정!$A$44,K745))),설정!$B$44,IF(AND(설정!$A$45&lt;&gt;"",ISNUMBER(SEARCH(설정!$A$45,K745))),설정!$B$45,IF(AND(설정!$A$46&lt;&gt;"",ISNUMBER(SEARCH(설정!$A$46,K745))),설정!$B$46,IF(AND(설정!$A$47&lt;&gt;"",ISNUMBER(SEARCH(설정!$A$47,K745))),설정!$B$47,IF(AND(설정!$A$48&lt;&gt;"",ISNUMBER(SEARCH(설정!$A$48,K745))),설정!$B$48,IF(M745="","설계사","시공사"))))))))),"")</f>
        <v/>
      </c>
      <c r="V745">
        <f>SUBSTITUTE(SUBSTITUTE(SUBSTITUTE(SUBSTITUTE(G745,"(주)",""),"㈜",""),"주식회사","")," ","")</f>
        <v/>
      </c>
      <c r="W745">
        <f>IF(AND(T745,V745&lt;&gt;""),IF(COUNTIFS(V$2:V745,V745,T$2:T745,TRUE)=1,MAX(W$1:W744)+1,""),"")</f>
        <v/>
      </c>
      <c r="X745">
        <f>IFERROR(INDEX('1.산군_붙여넣기'!$A$1:$AZ$1001,ROW(),설정!$C$14)&amp;"","")</f>
        <v/>
      </c>
      <c r="Y745">
        <f>IFERROR(INDEX('1.산군_붙여넣기'!$A$1:$AZ$1001,ROW(),설정!$C$15)&amp;"","")</f>
        <v/>
      </c>
      <c r="Z745">
        <f>IF(T745,V745&amp;"|"&amp;U745,"")</f>
        <v/>
      </c>
    </row>
    <row r="746">
      <c r="A746">
        <f>ROW()</f>
        <v/>
      </c>
      <c r="B746">
        <f>IFERROR(INDEX('1.산군_붙여넣기'!$A$1:$AZ$1001,ROW(),설정!$C$4)&amp;"","")</f>
        <v/>
      </c>
      <c r="C746">
        <f>IFERROR(INDEX('1.산군_붙여넣기'!$A$1:$AZ$1001,ROW(),설정!$C$5)&amp;"","")</f>
        <v/>
      </c>
      <c r="D746" s="5">
        <f>IFERROR(VALUE(SUBSTITUTE(SUBSTITUTE(SUBSTITUTE(IFERROR(INDEX('1.산군_붙여넣기'!$A$1:$AZ$1001,ROW(),설정!$C$6)&amp;"",""),",",""),"㎡",""),"m2","")),"")</f>
        <v/>
      </c>
      <c r="E746">
        <f>IFERROR(INDEX('1.산군_붙여넣기'!$A$1:$AZ$1001,ROW(),설정!$C$7)&amp;"","")</f>
        <v/>
      </c>
      <c r="F746">
        <f>IFERROR(INDEX('1.산군_붙여넣기'!$A$1:$AZ$1001,ROW(),설정!$C$8)&amp;"","")</f>
        <v/>
      </c>
      <c r="G746">
        <f>IFERROR(INDEX('1.산군_붙여넣기'!$A$1:$AZ$1001,ROW(),설정!$C$9)&amp;"","")</f>
        <v/>
      </c>
      <c r="H746">
        <f>IFERROR(INDEX('1.산군_붙여넣기'!$A$1:$AZ$1001,ROW(),설정!$C$10)&amp;"","")</f>
        <v/>
      </c>
      <c r="I746">
        <f>IFERROR(INDEX('1.산군_붙여넣기'!$A$1:$AZ$1001,ROW(),설정!$C$11)&amp;"","")</f>
        <v/>
      </c>
      <c r="J746">
        <f>IFERROR(INDEX('1.산군_붙여넣기'!$A$1:$AZ$1001,ROW(),설정!$C$12)&amp;"","")</f>
        <v/>
      </c>
      <c r="K746">
        <f>IFERROR(INDEX('1.산군_붙여넣기'!$A$1:$AZ$1001,ROW(),설정!$C$13)&amp;"","")</f>
        <v/>
      </c>
      <c r="L746" s="6">
        <f>IF(X746="","",IF(AND(LEN(X746)=8,ISNUMBER(X746*1)),DATE(LEFT(X746,4),MID(X746,5,2),RIGHT(X746,2)),IFERROR(DATEVALUE(SUBSTITUTE(SUBSTITUTE(X746,".","-"),"/","-")),IFERROR(X746*1,""))))</f>
        <v/>
      </c>
      <c r="M746" s="6">
        <f>IF(Y746="","",IF(AND(LEN(Y746)=8,ISNUMBER(Y746*1)),DATE(LEFT(Y746,4),MID(Y746,5,2),RIGHT(Y746,2)),IFERROR(DATEVALUE(SUBSTITUTE(SUBSTITUTE(Y746,".","-"),"/","-")),IFERROR(Y746*1,""))))</f>
        <v/>
      </c>
      <c r="N746">
        <f>IFERROR(LEFT(B746,FIND(" ",B746)-1),B746)</f>
        <v/>
      </c>
      <c r="O746">
        <f>AND(B746&lt;&gt;"",B746&lt;&gt;설정!$B$4,C746&lt;&gt;설정!$B$5)</f>
        <v/>
      </c>
      <c r="P746">
        <f>IF(O746,B746&amp;"|"&amp;C746,"")</f>
        <v/>
      </c>
      <c r="Q746">
        <f>AND(O746,COUNTIF(P747:P$1002,P746)=0)</f>
        <v/>
      </c>
      <c r="R746">
        <f>OR(AND(설정!$A$28&lt;&gt;"",ISNUMBER(SEARCH(설정!$A$28,E746&amp;" "&amp;C746))),AND(설정!$A$29&lt;&gt;"",ISNUMBER(SEARCH(설정!$A$29,E746&amp;" "&amp;C746))),AND(설정!$A$30&lt;&gt;"",ISNUMBER(SEARCH(설정!$A$30,E746&amp;" "&amp;C746))),AND(설정!$A$31&lt;&gt;"",ISNUMBER(SEARCH(설정!$A$31,E746&amp;" "&amp;C746))),AND(설정!$A$32&lt;&gt;"",ISNUMBER(SEARCH(설정!$A$32,E746&amp;" "&amp;C746))),AND(설정!$A$33&lt;&gt;"",ISNUMBER(SEARCH(설정!$A$33,E746&amp;" "&amp;C746))),AND(설정!$A$34&lt;&gt;"",ISNUMBER(SEARCH(설정!$A$34,E746&amp;" "&amp;C746))),AND(설정!$A$35&lt;&gt;"",ISNUMBER(SEARCH(설정!$A$35,E746&amp;" "&amp;C746))),AND(설정!$A$36&lt;&gt;"",ISNUMBER(SEARCH(설정!$A$36,E746&amp;" "&amp;C746))),AND(설정!$A$37&lt;&gt;"",ISNUMBER(SEARCH(설정!$A$37,E746&amp;" "&amp;C746))))</f>
        <v/>
      </c>
      <c r="S746">
        <f>OR(D746="",D746&gt;=설정!$B$19)</f>
        <v/>
      </c>
      <c r="T746">
        <f>AND(Q746,R746,S746)</f>
        <v/>
      </c>
      <c r="U746">
        <f>IF(T746,IF(AND(설정!$A$41&lt;&gt;"",ISNUMBER(SEARCH(설정!$A$41,K746))),설정!$B$41,IF(AND(설정!$A$42&lt;&gt;"",ISNUMBER(SEARCH(설정!$A$42,K746))),설정!$B$42,IF(AND(설정!$A$43&lt;&gt;"",ISNUMBER(SEARCH(설정!$A$43,K746))),설정!$B$43,IF(AND(설정!$A$44&lt;&gt;"",ISNUMBER(SEARCH(설정!$A$44,K746))),설정!$B$44,IF(AND(설정!$A$45&lt;&gt;"",ISNUMBER(SEARCH(설정!$A$45,K746))),설정!$B$45,IF(AND(설정!$A$46&lt;&gt;"",ISNUMBER(SEARCH(설정!$A$46,K746))),설정!$B$46,IF(AND(설정!$A$47&lt;&gt;"",ISNUMBER(SEARCH(설정!$A$47,K746))),설정!$B$47,IF(AND(설정!$A$48&lt;&gt;"",ISNUMBER(SEARCH(설정!$A$48,K746))),설정!$B$48,IF(M746="","설계사","시공사"))))))))),"")</f>
        <v/>
      </c>
      <c r="V746">
        <f>SUBSTITUTE(SUBSTITUTE(SUBSTITUTE(SUBSTITUTE(G746,"(주)",""),"㈜",""),"주식회사","")," ","")</f>
        <v/>
      </c>
      <c r="W746">
        <f>IF(AND(T746,V746&lt;&gt;""),IF(COUNTIFS(V$2:V746,V746,T$2:T746,TRUE)=1,MAX(W$1:W745)+1,""),"")</f>
        <v/>
      </c>
      <c r="X746">
        <f>IFERROR(INDEX('1.산군_붙여넣기'!$A$1:$AZ$1001,ROW(),설정!$C$14)&amp;"","")</f>
        <v/>
      </c>
      <c r="Y746">
        <f>IFERROR(INDEX('1.산군_붙여넣기'!$A$1:$AZ$1001,ROW(),설정!$C$15)&amp;"","")</f>
        <v/>
      </c>
      <c r="Z746">
        <f>IF(T746,V746&amp;"|"&amp;U746,"")</f>
        <v/>
      </c>
    </row>
    <row r="747">
      <c r="A747">
        <f>ROW()</f>
        <v/>
      </c>
      <c r="B747">
        <f>IFERROR(INDEX('1.산군_붙여넣기'!$A$1:$AZ$1001,ROW(),설정!$C$4)&amp;"","")</f>
        <v/>
      </c>
      <c r="C747">
        <f>IFERROR(INDEX('1.산군_붙여넣기'!$A$1:$AZ$1001,ROW(),설정!$C$5)&amp;"","")</f>
        <v/>
      </c>
      <c r="D747" s="5">
        <f>IFERROR(VALUE(SUBSTITUTE(SUBSTITUTE(SUBSTITUTE(IFERROR(INDEX('1.산군_붙여넣기'!$A$1:$AZ$1001,ROW(),설정!$C$6)&amp;"",""),",",""),"㎡",""),"m2","")),"")</f>
        <v/>
      </c>
      <c r="E747">
        <f>IFERROR(INDEX('1.산군_붙여넣기'!$A$1:$AZ$1001,ROW(),설정!$C$7)&amp;"","")</f>
        <v/>
      </c>
      <c r="F747">
        <f>IFERROR(INDEX('1.산군_붙여넣기'!$A$1:$AZ$1001,ROW(),설정!$C$8)&amp;"","")</f>
        <v/>
      </c>
      <c r="G747">
        <f>IFERROR(INDEX('1.산군_붙여넣기'!$A$1:$AZ$1001,ROW(),설정!$C$9)&amp;"","")</f>
        <v/>
      </c>
      <c r="H747">
        <f>IFERROR(INDEX('1.산군_붙여넣기'!$A$1:$AZ$1001,ROW(),설정!$C$10)&amp;"","")</f>
        <v/>
      </c>
      <c r="I747">
        <f>IFERROR(INDEX('1.산군_붙여넣기'!$A$1:$AZ$1001,ROW(),설정!$C$11)&amp;"","")</f>
        <v/>
      </c>
      <c r="J747">
        <f>IFERROR(INDEX('1.산군_붙여넣기'!$A$1:$AZ$1001,ROW(),설정!$C$12)&amp;"","")</f>
        <v/>
      </c>
      <c r="K747">
        <f>IFERROR(INDEX('1.산군_붙여넣기'!$A$1:$AZ$1001,ROW(),설정!$C$13)&amp;"","")</f>
        <v/>
      </c>
      <c r="L747" s="6">
        <f>IF(X747="","",IF(AND(LEN(X747)=8,ISNUMBER(X747*1)),DATE(LEFT(X747,4),MID(X747,5,2),RIGHT(X747,2)),IFERROR(DATEVALUE(SUBSTITUTE(SUBSTITUTE(X747,".","-"),"/","-")),IFERROR(X747*1,""))))</f>
        <v/>
      </c>
      <c r="M747" s="6">
        <f>IF(Y747="","",IF(AND(LEN(Y747)=8,ISNUMBER(Y747*1)),DATE(LEFT(Y747,4),MID(Y747,5,2),RIGHT(Y747,2)),IFERROR(DATEVALUE(SUBSTITUTE(SUBSTITUTE(Y747,".","-"),"/","-")),IFERROR(Y747*1,""))))</f>
        <v/>
      </c>
      <c r="N747">
        <f>IFERROR(LEFT(B747,FIND(" ",B747)-1),B747)</f>
        <v/>
      </c>
      <c r="O747">
        <f>AND(B747&lt;&gt;"",B747&lt;&gt;설정!$B$4,C747&lt;&gt;설정!$B$5)</f>
        <v/>
      </c>
      <c r="P747">
        <f>IF(O747,B747&amp;"|"&amp;C747,"")</f>
        <v/>
      </c>
      <c r="Q747">
        <f>AND(O747,COUNTIF(P748:P$1002,P747)=0)</f>
        <v/>
      </c>
      <c r="R747">
        <f>OR(AND(설정!$A$28&lt;&gt;"",ISNUMBER(SEARCH(설정!$A$28,E747&amp;" "&amp;C747))),AND(설정!$A$29&lt;&gt;"",ISNUMBER(SEARCH(설정!$A$29,E747&amp;" "&amp;C747))),AND(설정!$A$30&lt;&gt;"",ISNUMBER(SEARCH(설정!$A$30,E747&amp;" "&amp;C747))),AND(설정!$A$31&lt;&gt;"",ISNUMBER(SEARCH(설정!$A$31,E747&amp;" "&amp;C747))),AND(설정!$A$32&lt;&gt;"",ISNUMBER(SEARCH(설정!$A$32,E747&amp;" "&amp;C747))),AND(설정!$A$33&lt;&gt;"",ISNUMBER(SEARCH(설정!$A$33,E747&amp;" "&amp;C747))),AND(설정!$A$34&lt;&gt;"",ISNUMBER(SEARCH(설정!$A$34,E747&amp;" "&amp;C747))),AND(설정!$A$35&lt;&gt;"",ISNUMBER(SEARCH(설정!$A$35,E747&amp;" "&amp;C747))),AND(설정!$A$36&lt;&gt;"",ISNUMBER(SEARCH(설정!$A$36,E747&amp;" "&amp;C747))),AND(설정!$A$37&lt;&gt;"",ISNUMBER(SEARCH(설정!$A$37,E747&amp;" "&amp;C747))))</f>
        <v/>
      </c>
      <c r="S747">
        <f>OR(D747="",D747&gt;=설정!$B$19)</f>
        <v/>
      </c>
      <c r="T747">
        <f>AND(Q747,R747,S747)</f>
        <v/>
      </c>
      <c r="U747">
        <f>IF(T747,IF(AND(설정!$A$41&lt;&gt;"",ISNUMBER(SEARCH(설정!$A$41,K747))),설정!$B$41,IF(AND(설정!$A$42&lt;&gt;"",ISNUMBER(SEARCH(설정!$A$42,K747))),설정!$B$42,IF(AND(설정!$A$43&lt;&gt;"",ISNUMBER(SEARCH(설정!$A$43,K747))),설정!$B$43,IF(AND(설정!$A$44&lt;&gt;"",ISNUMBER(SEARCH(설정!$A$44,K747))),설정!$B$44,IF(AND(설정!$A$45&lt;&gt;"",ISNUMBER(SEARCH(설정!$A$45,K747))),설정!$B$45,IF(AND(설정!$A$46&lt;&gt;"",ISNUMBER(SEARCH(설정!$A$46,K747))),설정!$B$46,IF(AND(설정!$A$47&lt;&gt;"",ISNUMBER(SEARCH(설정!$A$47,K747))),설정!$B$47,IF(AND(설정!$A$48&lt;&gt;"",ISNUMBER(SEARCH(설정!$A$48,K747))),설정!$B$48,IF(M747="","설계사","시공사"))))))))),"")</f>
        <v/>
      </c>
      <c r="V747">
        <f>SUBSTITUTE(SUBSTITUTE(SUBSTITUTE(SUBSTITUTE(G747,"(주)",""),"㈜",""),"주식회사","")," ","")</f>
        <v/>
      </c>
      <c r="W747">
        <f>IF(AND(T747,V747&lt;&gt;""),IF(COUNTIFS(V$2:V747,V747,T$2:T747,TRUE)=1,MAX(W$1:W746)+1,""),"")</f>
        <v/>
      </c>
      <c r="X747">
        <f>IFERROR(INDEX('1.산군_붙여넣기'!$A$1:$AZ$1001,ROW(),설정!$C$14)&amp;"","")</f>
        <v/>
      </c>
      <c r="Y747">
        <f>IFERROR(INDEX('1.산군_붙여넣기'!$A$1:$AZ$1001,ROW(),설정!$C$15)&amp;"","")</f>
        <v/>
      </c>
      <c r="Z747">
        <f>IF(T747,V747&amp;"|"&amp;U747,"")</f>
        <v/>
      </c>
    </row>
    <row r="748">
      <c r="A748">
        <f>ROW()</f>
        <v/>
      </c>
      <c r="B748">
        <f>IFERROR(INDEX('1.산군_붙여넣기'!$A$1:$AZ$1001,ROW(),설정!$C$4)&amp;"","")</f>
        <v/>
      </c>
      <c r="C748">
        <f>IFERROR(INDEX('1.산군_붙여넣기'!$A$1:$AZ$1001,ROW(),설정!$C$5)&amp;"","")</f>
        <v/>
      </c>
      <c r="D748" s="5">
        <f>IFERROR(VALUE(SUBSTITUTE(SUBSTITUTE(SUBSTITUTE(IFERROR(INDEX('1.산군_붙여넣기'!$A$1:$AZ$1001,ROW(),설정!$C$6)&amp;"",""),",",""),"㎡",""),"m2","")),"")</f>
        <v/>
      </c>
      <c r="E748">
        <f>IFERROR(INDEX('1.산군_붙여넣기'!$A$1:$AZ$1001,ROW(),설정!$C$7)&amp;"","")</f>
        <v/>
      </c>
      <c r="F748">
        <f>IFERROR(INDEX('1.산군_붙여넣기'!$A$1:$AZ$1001,ROW(),설정!$C$8)&amp;"","")</f>
        <v/>
      </c>
      <c r="G748">
        <f>IFERROR(INDEX('1.산군_붙여넣기'!$A$1:$AZ$1001,ROW(),설정!$C$9)&amp;"","")</f>
        <v/>
      </c>
      <c r="H748">
        <f>IFERROR(INDEX('1.산군_붙여넣기'!$A$1:$AZ$1001,ROW(),설정!$C$10)&amp;"","")</f>
        <v/>
      </c>
      <c r="I748">
        <f>IFERROR(INDEX('1.산군_붙여넣기'!$A$1:$AZ$1001,ROW(),설정!$C$11)&amp;"","")</f>
        <v/>
      </c>
      <c r="J748">
        <f>IFERROR(INDEX('1.산군_붙여넣기'!$A$1:$AZ$1001,ROW(),설정!$C$12)&amp;"","")</f>
        <v/>
      </c>
      <c r="K748">
        <f>IFERROR(INDEX('1.산군_붙여넣기'!$A$1:$AZ$1001,ROW(),설정!$C$13)&amp;"","")</f>
        <v/>
      </c>
      <c r="L748" s="6">
        <f>IF(X748="","",IF(AND(LEN(X748)=8,ISNUMBER(X748*1)),DATE(LEFT(X748,4),MID(X748,5,2),RIGHT(X748,2)),IFERROR(DATEVALUE(SUBSTITUTE(SUBSTITUTE(X748,".","-"),"/","-")),IFERROR(X748*1,""))))</f>
        <v/>
      </c>
      <c r="M748" s="6">
        <f>IF(Y748="","",IF(AND(LEN(Y748)=8,ISNUMBER(Y748*1)),DATE(LEFT(Y748,4),MID(Y748,5,2),RIGHT(Y748,2)),IFERROR(DATEVALUE(SUBSTITUTE(SUBSTITUTE(Y748,".","-"),"/","-")),IFERROR(Y748*1,""))))</f>
        <v/>
      </c>
      <c r="N748">
        <f>IFERROR(LEFT(B748,FIND(" ",B748)-1),B748)</f>
        <v/>
      </c>
      <c r="O748">
        <f>AND(B748&lt;&gt;"",B748&lt;&gt;설정!$B$4,C748&lt;&gt;설정!$B$5)</f>
        <v/>
      </c>
      <c r="P748">
        <f>IF(O748,B748&amp;"|"&amp;C748,"")</f>
        <v/>
      </c>
      <c r="Q748">
        <f>AND(O748,COUNTIF(P749:P$1002,P748)=0)</f>
        <v/>
      </c>
      <c r="R748">
        <f>OR(AND(설정!$A$28&lt;&gt;"",ISNUMBER(SEARCH(설정!$A$28,E748&amp;" "&amp;C748))),AND(설정!$A$29&lt;&gt;"",ISNUMBER(SEARCH(설정!$A$29,E748&amp;" "&amp;C748))),AND(설정!$A$30&lt;&gt;"",ISNUMBER(SEARCH(설정!$A$30,E748&amp;" "&amp;C748))),AND(설정!$A$31&lt;&gt;"",ISNUMBER(SEARCH(설정!$A$31,E748&amp;" "&amp;C748))),AND(설정!$A$32&lt;&gt;"",ISNUMBER(SEARCH(설정!$A$32,E748&amp;" "&amp;C748))),AND(설정!$A$33&lt;&gt;"",ISNUMBER(SEARCH(설정!$A$33,E748&amp;" "&amp;C748))),AND(설정!$A$34&lt;&gt;"",ISNUMBER(SEARCH(설정!$A$34,E748&amp;" "&amp;C748))),AND(설정!$A$35&lt;&gt;"",ISNUMBER(SEARCH(설정!$A$35,E748&amp;" "&amp;C748))),AND(설정!$A$36&lt;&gt;"",ISNUMBER(SEARCH(설정!$A$36,E748&amp;" "&amp;C748))),AND(설정!$A$37&lt;&gt;"",ISNUMBER(SEARCH(설정!$A$37,E748&amp;" "&amp;C748))))</f>
        <v/>
      </c>
      <c r="S748">
        <f>OR(D748="",D748&gt;=설정!$B$19)</f>
        <v/>
      </c>
      <c r="T748">
        <f>AND(Q748,R748,S748)</f>
        <v/>
      </c>
      <c r="U748">
        <f>IF(T748,IF(AND(설정!$A$41&lt;&gt;"",ISNUMBER(SEARCH(설정!$A$41,K748))),설정!$B$41,IF(AND(설정!$A$42&lt;&gt;"",ISNUMBER(SEARCH(설정!$A$42,K748))),설정!$B$42,IF(AND(설정!$A$43&lt;&gt;"",ISNUMBER(SEARCH(설정!$A$43,K748))),설정!$B$43,IF(AND(설정!$A$44&lt;&gt;"",ISNUMBER(SEARCH(설정!$A$44,K748))),설정!$B$44,IF(AND(설정!$A$45&lt;&gt;"",ISNUMBER(SEARCH(설정!$A$45,K748))),설정!$B$45,IF(AND(설정!$A$46&lt;&gt;"",ISNUMBER(SEARCH(설정!$A$46,K748))),설정!$B$46,IF(AND(설정!$A$47&lt;&gt;"",ISNUMBER(SEARCH(설정!$A$47,K748))),설정!$B$47,IF(AND(설정!$A$48&lt;&gt;"",ISNUMBER(SEARCH(설정!$A$48,K748))),설정!$B$48,IF(M748="","설계사","시공사"))))))))),"")</f>
        <v/>
      </c>
      <c r="V748">
        <f>SUBSTITUTE(SUBSTITUTE(SUBSTITUTE(SUBSTITUTE(G748,"(주)",""),"㈜",""),"주식회사","")," ","")</f>
        <v/>
      </c>
      <c r="W748">
        <f>IF(AND(T748,V748&lt;&gt;""),IF(COUNTIFS(V$2:V748,V748,T$2:T748,TRUE)=1,MAX(W$1:W747)+1,""),"")</f>
        <v/>
      </c>
      <c r="X748">
        <f>IFERROR(INDEX('1.산군_붙여넣기'!$A$1:$AZ$1001,ROW(),설정!$C$14)&amp;"","")</f>
        <v/>
      </c>
      <c r="Y748">
        <f>IFERROR(INDEX('1.산군_붙여넣기'!$A$1:$AZ$1001,ROW(),설정!$C$15)&amp;"","")</f>
        <v/>
      </c>
      <c r="Z748">
        <f>IF(T748,V748&amp;"|"&amp;U748,"")</f>
        <v/>
      </c>
    </row>
    <row r="749">
      <c r="A749">
        <f>ROW()</f>
        <v/>
      </c>
      <c r="B749">
        <f>IFERROR(INDEX('1.산군_붙여넣기'!$A$1:$AZ$1001,ROW(),설정!$C$4)&amp;"","")</f>
        <v/>
      </c>
      <c r="C749">
        <f>IFERROR(INDEX('1.산군_붙여넣기'!$A$1:$AZ$1001,ROW(),설정!$C$5)&amp;"","")</f>
        <v/>
      </c>
      <c r="D749" s="5">
        <f>IFERROR(VALUE(SUBSTITUTE(SUBSTITUTE(SUBSTITUTE(IFERROR(INDEX('1.산군_붙여넣기'!$A$1:$AZ$1001,ROW(),설정!$C$6)&amp;"",""),",",""),"㎡",""),"m2","")),"")</f>
        <v/>
      </c>
      <c r="E749">
        <f>IFERROR(INDEX('1.산군_붙여넣기'!$A$1:$AZ$1001,ROW(),설정!$C$7)&amp;"","")</f>
        <v/>
      </c>
      <c r="F749">
        <f>IFERROR(INDEX('1.산군_붙여넣기'!$A$1:$AZ$1001,ROW(),설정!$C$8)&amp;"","")</f>
        <v/>
      </c>
      <c r="G749">
        <f>IFERROR(INDEX('1.산군_붙여넣기'!$A$1:$AZ$1001,ROW(),설정!$C$9)&amp;"","")</f>
        <v/>
      </c>
      <c r="H749">
        <f>IFERROR(INDEX('1.산군_붙여넣기'!$A$1:$AZ$1001,ROW(),설정!$C$10)&amp;"","")</f>
        <v/>
      </c>
      <c r="I749">
        <f>IFERROR(INDEX('1.산군_붙여넣기'!$A$1:$AZ$1001,ROW(),설정!$C$11)&amp;"","")</f>
        <v/>
      </c>
      <c r="J749">
        <f>IFERROR(INDEX('1.산군_붙여넣기'!$A$1:$AZ$1001,ROW(),설정!$C$12)&amp;"","")</f>
        <v/>
      </c>
      <c r="K749">
        <f>IFERROR(INDEX('1.산군_붙여넣기'!$A$1:$AZ$1001,ROW(),설정!$C$13)&amp;"","")</f>
        <v/>
      </c>
      <c r="L749" s="6">
        <f>IF(X749="","",IF(AND(LEN(X749)=8,ISNUMBER(X749*1)),DATE(LEFT(X749,4),MID(X749,5,2),RIGHT(X749,2)),IFERROR(DATEVALUE(SUBSTITUTE(SUBSTITUTE(X749,".","-"),"/","-")),IFERROR(X749*1,""))))</f>
        <v/>
      </c>
      <c r="M749" s="6">
        <f>IF(Y749="","",IF(AND(LEN(Y749)=8,ISNUMBER(Y749*1)),DATE(LEFT(Y749,4),MID(Y749,5,2),RIGHT(Y749,2)),IFERROR(DATEVALUE(SUBSTITUTE(SUBSTITUTE(Y749,".","-"),"/","-")),IFERROR(Y749*1,""))))</f>
        <v/>
      </c>
      <c r="N749">
        <f>IFERROR(LEFT(B749,FIND(" ",B749)-1),B749)</f>
        <v/>
      </c>
      <c r="O749">
        <f>AND(B749&lt;&gt;"",B749&lt;&gt;설정!$B$4,C749&lt;&gt;설정!$B$5)</f>
        <v/>
      </c>
      <c r="P749">
        <f>IF(O749,B749&amp;"|"&amp;C749,"")</f>
        <v/>
      </c>
      <c r="Q749">
        <f>AND(O749,COUNTIF(P750:P$1002,P749)=0)</f>
        <v/>
      </c>
      <c r="R749">
        <f>OR(AND(설정!$A$28&lt;&gt;"",ISNUMBER(SEARCH(설정!$A$28,E749&amp;" "&amp;C749))),AND(설정!$A$29&lt;&gt;"",ISNUMBER(SEARCH(설정!$A$29,E749&amp;" "&amp;C749))),AND(설정!$A$30&lt;&gt;"",ISNUMBER(SEARCH(설정!$A$30,E749&amp;" "&amp;C749))),AND(설정!$A$31&lt;&gt;"",ISNUMBER(SEARCH(설정!$A$31,E749&amp;" "&amp;C749))),AND(설정!$A$32&lt;&gt;"",ISNUMBER(SEARCH(설정!$A$32,E749&amp;" "&amp;C749))),AND(설정!$A$33&lt;&gt;"",ISNUMBER(SEARCH(설정!$A$33,E749&amp;" "&amp;C749))),AND(설정!$A$34&lt;&gt;"",ISNUMBER(SEARCH(설정!$A$34,E749&amp;" "&amp;C749))),AND(설정!$A$35&lt;&gt;"",ISNUMBER(SEARCH(설정!$A$35,E749&amp;" "&amp;C749))),AND(설정!$A$36&lt;&gt;"",ISNUMBER(SEARCH(설정!$A$36,E749&amp;" "&amp;C749))),AND(설정!$A$37&lt;&gt;"",ISNUMBER(SEARCH(설정!$A$37,E749&amp;" "&amp;C749))))</f>
        <v/>
      </c>
      <c r="S749">
        <f>OR(D749="",D749&gt;=설정!$B$19)</f>
        <v/>
      </c>
      <c r="T749">
        <f>AND(Q749,R749,S749)</f>
        <v/>
      </c>
      <c r="U749">
        <f>IF(T749,IF(AND(설정!$A$41&lt;&gt;"",ISNUMBER(SEARCH(설정!$A$41,K749))),설정!$B$41,IF(AND(설정!$A$42&lt;&gt;"",ISNUMBER(SEARCH(설정!$A$42,K749))),설정!$B$42,IF(AND(설정!$A$43&lt;&gt;"",ISNUMBER(SEARCH(설정!$A$43,K749))),설정!$B$43,IF(AND(설정!$A$44&lt;&gt;"",ISNUMBER(SEARCH(설정!$A$44,K749))),설정!$B$44,IF(AND(설정!$A$45&lt;&gt;"",ISNUMBER(SEARCH(설정!$A$45,K749))),설정!$B$45,IF(AND(설정!$A$46&lt;&gt;"",ISNUMBER(SEARCH(설정!$A$46,K749))),설정!$B$46,IF(AND(설정!$A$47&lt;&gt;"",ISNUMBER(SEARCH(설정!$A$47,K749))),설정!$B$47,IF(AND(설정!$A$48&lt;&gt;"",ISNUMBER(SEARCH(설정!$A$48,K749))),설정!$B$48,IF(M749="","설계사","시공사"))))))))),"")</f>
        <v/>
      </c>
      <c r="V749">
        <f>SUBSTITUTE(SUBSTITUTE(SUBSTITUTE(SUBSTITUTE(G749,"(주)",""),"㈜",""),"주식회사","")," ","")</f>
        <v/>
      </c>
      <c r="W749">
        <f>IF(AND(T749,V749&lt;&gt;""),IF(COUNTIFS(V$2:V749,V749,T$2:T749,TRUE)=1,MAX(W$1:W748)+1,""),"")</f>
        <v/>
      </c>
      <c r="X749">
        <f>IFERROR(INDEX('1.산군_붙여넣기'!$A$1:$AZ$1001,ROW(),설정!$C$14)&amp;"","")</f>
        <v/>
      </c>
      <c r="Y749">
        <f>IFERROR(INDEX('1.산군_붙여넣기'!$A$1:$AZ$1001,ROW(),설정!$C$15)&amp;"","")</f>
        <v/>
      </c>
      <c r="Z749">
        <f>IF(T749,V749&amp;"|"&amp;U749,"")</f>
        <v/>
      </c>
    </row>
    <row r="750">
      <c r="A750">
        <f>ROW()</f>
        <v/>
      </c>
      <c r="B750">
        <f>IFERROR(INDEX('1.산군_붙여넣기'!$A$1:$AZ$1001,ROW(),설정!$C$4)&amp;"","")</f>
        <v/>
      </c>
      <c r="C750">
        <f>IFERROR(INDEX('1.산군_붙여넣기'!$A$1:$AZ$1001,ROW(),설정!$C$5)&amp;"","")</f>
        <v/>
      </c>
      <c r="D750" s="5">
        <f>IFERROR(VALUE(SUBSTITUTE(SUBSTITUTE(SUBSTITUTE(IFERROR(INDEX('1.산군_붙여넣기'!$A$1:$AZ$1001,ROW(),설정!$C$6)&amp;"",""),",",""),"㎡",""),"m2","")),"")</f>
        <v/>
      </c>
      <c r="E750">
        <f>IFERROR(INDEX('1.산군_붙여넣기'!$A$1:$AZ$1001,ROW(),설정!$C$7)&amp;"","")</f>
        <v/>
      </c>
      <c r="F750">
        <f>IFERROR(INDEX('1.산군_붙여넣기'!$A$1:$AZ$1001,ROW(),설정!$C$8)&amp;"","")</f>
        <v/>
      </c>
      <c r="G750">
        <f>IFERROR(INDEX('1.산군_붙여넣기'!$A$1:$AZ$1001,ROW(),설정!$C$9)&amp;"","")</f>
        <v/>
      </c>
      <c r="H750">
        <f>IFERROR(INDEX('1.산군_붙여넣기'!$A$1:$AZ$1001,ROW(),설정!$C$10)&amp;"","")</f>
        <v/>
      </c>
      <c r="I750">
        <f>IFERROR(INDEX('1.산군_붙여넣기'!$A$1:$AZ$1001,ROW(),설정!$C$11)&amp;"","")</f>
        <v/>
      </c>
      <c r="J750">
        <f>IFERROR(INDEX('1.산군_붙여넣기'!$A$1:$AZ$1001,ROW(),설정!$C$12)&amp;"","")</f>
        <v/>
      </c>
      <c r="K750">
        <f>IFERROR(INDEX('1.산군_붙여넣기'!$A$1:$AZ$1001,ROW(),설정!$C$13)&amp;"","")</f>
        <v/>
      </c>
      <c r="L750" s="6">
        <f>IF(X750="","",IF(AND(LEN(X750)=8,ISNUMBER(X750*1)),DATE(LEFT(X750,4),MID(X750,5,2),RIGHT(X750,2)),IFERROR(DATEVALUE(SUBSTITUTE(SUBSTITUTE(X750,".","-"),"/","-")),IFERROR(X750*1,""))))</f>
        <v/>
      </c>
      <c r="M750" s="6">
        <f>IF(Y750="","",IF(AND(LEN(Y750)=8,ISNUMBER(Y750*1)),DATE(LEFT(Y750,4),MID(Y750,5,2),RIGHT(Y750,2)),IFERROR(DATEVALUE(SUBSTITUTE(SUBSTITUTE(Y750,".","-"),"/","-")),IFERROR(Y750*1,""))))</f>
        <v/>
      </c>
      <c r="N750">
        <f>IFERROR(LEFT(B750,FIND(" ",B750)-1),B750)</f>
        <v/>
      </c>
      <c r="O750">
        <f>AND(B750&lt;&gt;"",B750&lt;&gt;설정!$B$4,C750&lt;&gt;설정!$B$5)</f>
        <v/>
      </c>
      <c r="P750">
        <f>IF(O750,B750&amp;"|"&amp;C750,"")</f>
        <v/>
      </c>
      <c r="Q750">
        <f>AND(O750,COUNTIF(P751:P$1002,P750)=0)</f>
        <v/>
      </c>
      <c r="R750">
        <f>OR(AND(설정!$A$28&lt;&gt;"",ISNUMBER(SEARCH(설정!$A$28,E750&amp;" "&amp;C750))),AND(설정!$A$29&lt;&gt;"",ISNUMBER(SEARCH(설정!$A$29,E750&amp;" "&amp;C750))),AND(설정!$A$30&lt;&gt;"",ISNUMBER(SEARCH(설정!$A$30,E750&amp;" "&amp;C750))),AND(설정!$A$31&lt;&gt;"",ISNUMBER(SEARCH(설정!$A$31,E750&amp;" "&amp;C750))),AND(설정!$A$32&lt;&gt;"",ISNUMBER(SEARCH(설정!$A$32,E750&amp;" "&amp;C750))),AND(설정!$A$33&lt;&gt;"",ISNUMBER(SEARCH(설정!$A$33,E750&amp;" "&amp;C750))),AND(설정!$A$34&lt;&gt;"",ISNUMBER(SEARCH(설정!$A$34,E750&amp;" "&amp;C750))),AND(설정!$A$35&lt;&gt;"",ISNUMBER(SEARCH(설정!$A$35,E750&amp;" "&amp;C750))),AND(설정!$A$36&lt;&gt;"",ISNUMBER(SEARCH(설정!$A$36,E750&amp;" "&amp;C750))),AND(설정!$A$37&lt;&gt;"",ISNUMBER(SEARCH(설정!$A$37,E750&amp;" "&amp;C750))))</f>
        <v/>
      </c>
      <c r="S750">
        <f>OR(D750="",D750&gt;=설정!$B$19)</f>
        <v/>
      </c>
      <c r="T750">
        <f>AND(Q750,R750,S750)</f>
        <v/>
      </c>
      <c r="U750">
        <f>IF(T750,IF(AND(설정!$A$41&lt;&gt;"",ISNUMBER(SEARCH(설정!$A$41,K750))),설정!$B$41,IF(AND(설정!$A$42&lt;&gt;"",ISNUMBER(SEARCH(설정!$A$42,K750))),설정!$B$42,IF(AND(설정!$A$43&lt;&gt;"",ISNUMBER(SEARCH(설정!$A$43,K750))),설정!$B$43,IF(AND(설정!$A$44&lt;&gt;"",ISNUMBER(SEARCH(설정!$A$44,K750))),설정!$B$44,IF(AND(설정!$A$45&lt;&gt;"",ISNUMBER(SEARCH(설정!$A$45,K750))),설정!$B$45,IF(AND(설정!$A$46&lt;&gt;"",ISNUMBER(SEARCH(설정!$A$46,K750))),설정!$B$46,IF(AND(설정!$A$47&lt;&gt;"",ISNUMBER(SEARCH(설정!$A$47,K750))),설정!$B$47,IF(AND(설정!$A$48&lt;&gt;"",ISNUMBER(SEARCH(설정!$A$48,K750))),설정!$B$48,IF(M750="","설계사","시공사"))))))))),"")</f>
        <v/>
      </c>
      <c r="V750">
        <f>SUBSTITUTE(SUBSTITUTE(SUBSTITUTE(SUBSTITUTE(G750,"(주)",""),"㈜",""),"주식회사","")," ","")</f>
        <v/>
      </c>
      <c r="W750">
        <f>IF(AND(T750,V750&lt;&gt;""),IF(COUNTIFS(V$2:V750,V750,T$2:T750,TRUE)=1,MAX(W$1:W749)+1,""),"")</f>
        <v/>
      </c>
      <c r="X750">
        <f>IFERROR(INDEX('1.산군_붙여넣기'!$A$1:$AZ$1001,ROW(),설정!$C$14)&amp;"","")</f>
        <v/>
      </c>
      <c r="Y750">
        <f>IFERROR(INDEX('1.산군_붙여넣기'!$A$1:$AZ$1001,ROW(),설정!$C$15)&amp;"","")</f>
        <v/>
      </c>
      <c r="Z750">
        <f>IF(T750,V750&amp;"|"&amp;U750,"")</f>
        <v/>
      </c>
    </row>
    <row r="751">
      <c r="A751">
        <f>ROW()</f>
        <v/>
      </c>
      <c r="B751">
        <f>IFERROR(INDEX('1.산군_붙여넣기'!$A$1:$AZ$1001,ROW(),설정!$C$4)&amp;"","")</f>
        <v/>
      </c>
      <c r="C751">
        <f>IFERROR(INDEX('1.산군_붙여넣기'!$A$1:$AZ$1001,ROW(),설정!$C$5)&amp;"","")</f>
        <v/>
      </c>
      <c r="D751" s="5">
        <f>IFERROR(VALUE(SUBSTITUTE(SUBSTITUTE(SUBSTITUTE(IFERROR(INDEX('1.산군_붙여넣기'!$A$1:$AZ$1001,ROW(),설정!$C$6)&amp;"",""),",",""),"㎡",""),"m2","")),"")</f>
        <v/>
      </c>
      <c r="E751">
        <f>IFERROR(INDEX('1.산군_붙여넣기'!$A$1:$AZ$1001,ROW(),설정!$C$7)&amp;"","")</f>
        <v/>
      </c>
      <c r="F751">
        <f>IFERROR(INDEX('1.산군_붙여넣기'!$A$1:$AZ$1001,ROW(),설정!$C$8)&amp;"","")</f>
        <v/>
      </c>
      <c r="G751">
        <f>IFERROR(INDEX('1.산군_붙여넣기'!$A$1:$AZ$1001,ROW(),설정!$C$9)&amp;"","")</f>
        <v/>
      </c>
      <c r="H751">
        <f>IFERROR(INDEX('1.산군_붙여넣기'!$A$1:$AZ$1001,ROW(),설정!$C$10)&amp;"","")</f>
        <v/>
      </c>
      <c r="I751">
        <f>IFERROR(INDEX('1.산군_붙여넣기'!$A$1:$AZ$1001,ROW(),설정!$C$11)&amp;"","")</f>
        <v/>
      </c>
      <c r="J751">
        <f>IFERROR(INDEX('1.산군_붙여넣기'!$A$1:$AZ$1001,ROW(),설정!$C$12)&amp;"","")</f>
        <v/>
      </c>
      <c r="K751">
        <f>IFERROR(INDEX('1.산군_붙여넣기'!$A$1:$AZ$1001,ROW(),설정!$C$13)&amp;"","")</f>
        <v/>
      </c>
      <c r="L751" s="6">
        <f>IF(X751="","",IF(AND(LEN(X751)=8,ISNUMBER(X751*1)),DATE(LEFT(X751,4),MID(X751,5,2),RIGHT(X751,2)),IFERROR(DATEVALUE(SUBSTITUTE(SUBSTITUTE(X751,".","-"),"/","-")),IFERROR(X751*1,""))))</f>
        <v/>
      </c>
      <c r="M751" s="6">
        <f>IF(Y751="","",IF(AND(LEN(Y751)=8,ISNUMBER(Y751*1)),DATE(LEFT(Y751,4),MID(Y751,5,2),RIGHT(Y751,2)),IFERROR(DATEVALUE(SUBSTITUTE(SUBSTITUTE(Y751,".","-"),"/","-")),IFERROR(Y751*1,""))))</f>
        <v/>
      </c>
      <c r="N751">
        <f>IFERROR(LEFT(B751,FIND(" ",B751)-1),B751)</f>
        <v/>
      </c>
      <c r="O751">
        <f>AND(B751&lt;&gt;"",B751&lt;&gt;설정!$B$4,C751&lt;&gt;설정!$B$5)</f>
        <v/>
      </c>
      <c r="P751">
        <f>IF(O751,B751&amp;"|"&amp;C751,"")</f>
        <v/>
      </c>
      <c r="Q751">
        <f>AND(O751,COUNTIF(P752:P$1002,P751)=0)</f>
        <v/>
      </c>
      <c r="R751">
        <f>OR(AND(설정!$A$28&lt;&gt;"",ISNUMBER(SEARCH(설정!$A$28,E751&amp;" "&amp;C751))),AND(설정!$A$29&lt;&gt;"",ISNUMBER(SEARCH(설정!$A$29,E751&amp;" "&amp;C751))),AND(설정!$A$30&lt;&gt;"",ISNUMBER(SEARCH(설정!$A$30,E751&amp;" "&amp;C751))),AND(설정!$A$31&lt;&gt;"",ISNUMBER(SEARCH(설정!$A$31,E751&amp;" "&amp;C751))),AND(설정!$A$32&lt;&gt;"",ISNUMBER(SEARCH(설정!$A$32,E751&amp;" "&amp;C751))),AND(설정!$A$33&lt;&gt;"",ISNUMBER(SEARCH(설정!$A$33,E751&amp;" "&amp;C751))),AND(설정!$A$34&lt;&gt;"",ISNUMBER(SEARCH(설정!$A$34,E751&amp;" "&amp;C751))),AND(설정!$A$35&lt;&gt;"",ISNUMBER(SEARCH(설정!$A$35,E751&amp;" "&amp;C751))),AND(설정!$A$36&lt;&gt;"",ISNUMBER(SEARCH(설정!$A$36,E751&amp;" "&amp;C751))),AND(설정!$A$37&lt;&gt;"",ISNUMBER(SEARCH(설정!$A$37,E751&amp;" "&amp;C751))))</f>
        <v/>
      </c>
      <c r="S751">
        <f>OR(D751="",D751&gt;=설정!$B$19)</f>
        <v/>
      </c>
      <c r="T751">
        <f>AND(Q751,R751,S751)</f>
        <v/>
      </c>
      <c r="U751">
        <f>IF(T751,IF(AND(설정!$A$41&lt;&gt;"",ISNUMBER(SEARCH(설정!$A$41,K751))),설정!$B$41,IF(AND(설정!$A$42&lt;&gt;"",ISNUMBER(SEARCH(설정!$A$42,K751))),설정!$B$42,IF(AND(설정!$A$43&lt;&gt;"",ISNUMBER(SEARCH(설정!$A$43,K751))),설정!$B$43,IF(AND(설정!$A$44&lt;&gt;"",ISNUMBER(SEARCH(설정!$A$44,K751))),설정!$B$44,IF(AND(설정!$A$45&lt;&gt;"",ISNUMBER(SEARCH(설정!$A$45,K751))),설정!$B$45,IF(AND(설정!$A$46&lt;&gt;"",ISNUMBER(SEARCH(설정!$A$46,K751))),설정!$B$46,IF(AND(설정!$A$47&lt;&gt;"",ISNUMBER(SEARCH(설정!$A$47,K751))),설정!$B$47,IF(AND(설정!$A$48&lt;&gt;"",ISNUMBER(SEARCH(설정!$A$48,K751))),설정!$B$48,IF(M751="","설계사","시공사"))))))))),"")</f>
        <v/>
      </c>
      <c r="V751">
        <f>SUBSTITUTE(SUBSTITUTE(SUBSTITUTE(SUBSTITUTE(G751,"(주)",""),"㈜",""),"주식회사","")," ","")</f>
        <v/>
      </c>
      <c r="W751">
        <f>IF(AND(T751,V751&lt;&gt;""),IF(COUNTIFS(V$2:V751,V751,T$2:T751,TRUE)=1,MAX(W$1:W750)+1,""),"")</f>
        <v/>
      </c>
      <c r="X751">
        <f>IFERROR(INDEX('1.산군_붙여넣기'!$A$1:$AZ$1001,ROW(),설정!$C$14)&amp;"","")</f>
        <v/>
      </c>
      <c r="Y751">
        <f>IFERROR(INDEX('1.산군_붙여넣기'!$A$1:$AZ$1001,ROW(),설정!$C$15)&amp;"","")</f>
        <v/>
      </c>
      <c r="Z751">
        <f>IF(T751,V751&amp;"|"&amp;U751,"")</f>
        <v/>
      </c>
    </row>
    <row r="752">
      <c r="A752">
        <f>ROW()</f>
        <v/>
      </c>
      <c r="B752">
        <f>IFERROR(INDEX('1.산군_붙여넣기'!$A$1:$AZ$1001,ROW(),설정!$C$4)&amp;"","")</f>
        <v/>
      </c>
      <c r="C752">
        <f>IFERROR(INDEX('1.산군_붙여넣기'!$A$1:$AZ$1001,ROW(),설정!$C$5)&amp;"","")</f>
        <v/>
      </c>
      <c r="D752" s="5">
        <f>IFERROR(VALUE(SUBSTITUTE(SUBSTITUTE(SUBSTITUTE(IFERROR(INDEX('1.산군_붙여넣기'!$A$1:$AZ$1001,ROW(),설정!$C$6)&amp;"",""),",",""),"㎡",""),"m2","")),"")</f>
        <v/>
      </c>
      <c r="E752">
        <f>IFERROR(INDEX('1.산군_붙여넣기'!$A$1:$AZ$1001,ROW(),설정!$C$7)&amp;"","")</f>
        <v/>
      </c>
      <c r="F752">
        <f>IFERROR(INDEX('1.산군_붙여넣기'!$A$1:$AZ$1001,ROW(),설정!$C$8)&amp;"","")</f>
        <v/>
      </c>
      <c r="G752">
        <f>IFERROR(INDEX('1.산군_붙여넣기'!$A$1:$AZ$1001,ROW(),설정!$C$9)&amp;"","")</f>
        <v/>
      </c>
      <c r="H752">
        <f>IFERROR(INDEX('1.산군_붙여넣기'!$A$1:$AZ$1001,ROW(),설정!$C$10)&amp;"","")</f>
        <v/>
      </c>
      <c r="I752">
        <f>IFERROR(INDEX('1.산군_붙여넣기'!$A$1:$AZ$1001,ROW(),설정!$C$11)&amp;"","")</f>
        <v/>
      </c>
      <c r="J752">
        <f>IFERROR(INDEX('1.산군_붙여넣기'!$A$1:$AZ$1001,ROW(),설정!$C$12)&amp;"","")</f>
        <v/>
      </c>
      <c r="K752">
        <f>IFERROR(INDEX('1.산군_붙여넣기'!$A$1:$AZ$1001,ROW(),설정!$C$13)&amp;"","")</f>
        <v/>
      </c>
      <c r="L752" s="6">
        <f>IF(X752="","",IF(AND(LEN(X752)=8,ISNUMBER(X752*1)),DATE(LEFT(X752,4),MID(X752,5,2),RIGHT(X752,2)),IFERROR(DATEVALUE(SUBSTITUTE(SUBSTITUTE(X752,".","-"),"/","-")),IFERROR(X752*1,""))))</f>
        <v/>
      </c>
      <c r="M752" s="6">
        <f>IF(Y752="","",IF(AND(LEN(Y752)=8,ISNUMBER(Y752*1)),DATE(LEFT(Y752,4),MID(Y752,5,2),RIGHT(Y752,2)),IFERROR(DATEVALUE(SUBSTITUTE(SUBSTITUTE(Y752,".","-"),"/","-")),IFERROR(Y752*1,""))))</f>
        <v/>
      </c>
      <c r="N752">
        <f>IFERROR(LEFT(B752,FIND(" ",B752)-1),B752)</f>
        <v/>
      </c>
      <c r="O752">
        <f>AND(B752&lt;&gt;"",B752&lt;&gt;설정!$B$4,C752&lt;&gt;설정!$B$5)</f>
        <v/>
      </c>
      <c r="P752">
        <f>IF(O752,B752&amp;"|"&amp;C752,"")</f>
        <v/>
      </c>
      <c r="Q752">
        <f>AND(O752,COUNTIF(P753:P$1002,P752)=0)</f>
        <v/>
      </c>
      <c r="R752">
        <f>OR(AND(설정!$A$28&lt;&gt;"",ISNUMBER(SEARCH(설정!$A$28,E752&amp;" "&amp;C752))),AND(설정!$A$29&lt;&gt;"",ISNUMBER(SEARCH(설정!$A$29,E752&amp;" "&amp;C752))),AND(설정!$A$30&lt;&gt;"",ISNUMBER(SEARCH(설정!$A$30,E752&amp;" "&amp;C752))),AND(설정!$A$31&lt;&gt;"",ISNUMBER(SEARCH(설정!$A$31,E752&amp;" "&amp;C752))),AND(설정!$A$32&lt;&gt;"",ISNUMBER(SEARCH(설정!$A$32,E752&amp;" "&amp;C752))),AND(설정!$A$33&lt;&gt;"",ISNUMBER(SEARCH(설정!$A$33,E752&amp;" "&amp;C752))),AND(설정!$A$34&lt;&gt;"",ISNUMBER(SEARCH(설정!$A$34,E752&amp;" "&amp;C752))),AND(설정!$A$35&lt;&gt;"",ISNUMBER(SEARCH(설정!$A$35,E752&amp;" "&amp;C752))),AND(설정!$A$36&lt;&gt;"",ISNUMBER(SEARCH(설정!$A$36,E752&amp;" "&amp;C752))),AND(설정!$A$37&lt;&gt;"",ISNUMBER(SEARCH(설정!$A$37,E752&amp;" "&amp;C752))))</f>
        <v/>
      </c>
      <c r="S752">
        <f>OR(D752="",D752&gt;=설정!$B$19)</f>
        <v/>
      </c>
      <c r="T752">
        <f>AND(Q752,R752,S752)</f>
        <v/>
      </c>
      <c r="U752">
        <f>IF(T752,IF(AND(설정!$A$41&lt;&gt;"",ISNUMBER(SEARCH(설정!$A$41,K752))),설정!$B$41,IF(AND(설정!$A$42&lt;&gt;"",ISNUMBER(SEARCH(설정!$A$42,K752))),설정!$B$42,IF(AND(설정!$A$43&lt;&gt;"",ISNUMBER(SEARCH(설정!$A$43,K752))),설정!$B$43,IF(AND(설정!$A$44&lt;&gt;"",ISNUMBER(SEARCH(설정!$A$44,K752))),설정!$B$44,IF(AND(설정!$A$45&lt;&gt;"",ISNUMBER(SEARCH(설정!$A$45,K752))),설정!$B$45,IF(AND(설정!$A$46&lt;&gt;"",ISNUMBER(SEARCH(설정!$A$46,K752))),설정!$B$46,IF(AND(설정!$A$47&lt;&gt;"",ISNUMBER(SEARCH(설정!$A$47,K752))),설정!$B$47,IF(AND(설정!$A$48&lt;&gt;"",ISNUMBER(SEARCH(설정!$A$48,K752))),설정!$B$48,IF(M752="","설계사","시공사"))))))))),"")</f>
        <v/>
      </c>
      <c r="V752">
        <f>SUBSTITUTE(SUBSTITUTE(SUBSTITUTE(SUBSTITUTE(G752,"(주)",""),"㈜",""),"주식회사","")," ","")</f>
        <v/>
      </c>
      <c r="W752">
        <f>IF(AND(T752,V752&lt;&gt;""),IF(COUNTIFS(V$2:V752,V752,T$2:T752,TRUE)=1,MAX(W$1:W751)+1,""),"")</f>
        <v/>
      </c>
      <c r="X752">
        <f>IFERROR(INDEX('1.산군_붙여넣기'!$A$1:$AZ$1001,ROW(),설정!$C$14)&amp;"","")</f>
        <v/>
      </c>
      <c r="Y752">
        <f>IFERROR(INDEX('1.산군_붙여넣기'!$A$1:$AZ$1001,ROW(),설정!$C$15)&amp;"","")</f>
        <v/>
      </c>
      <c r="Z752">
        <f>IF(T752,V752&amp;"|"&amp;U752,"")</f>
        <v/>
      </c>
    </row>
    <row r="753">
      <c r="A753">
        <f>ROW()</f>
        <v/>
      </c>
      <c r="B753">
        <f>IFERROR(INDEX('1.산군_붙여넣기'!$A$1:$AZ$1001,ROW(),설정!$C$4)&amp;"","")</f>
        <v/>
      </c>
      <c r="C753">
        <f>IFERROR(INDEX('1.산군_붙여넣기'!$A$1:$AZ$1001,ROW(),설정!$C$5)&amp;"","")</f>
        <v/>
      </c>
      <c r="D753" s="5">
        <f>IFERROR(VALUE(SUBSTITUTE(SUBSTITUTE(SUBSTITUTE(IFERROR(INDEX('1.산군_붙여넣기'!$A$1:$AZ$1001,ROW(),설정!$C$6)&amp;"",""),",",""),"㎡",""),"m2","")),"")</f>
        <v/>
      </c>
      <c r="E753">
        <f>IFERROR(INDEX('1.산군_붙여넣기'!$A$1:$AZ$1001,ROW(),설정!$C$7)&amp;"","")</f>
        <v/>
      </c>
      <c r="F753">
        <f>IFERROR(INDEX('1.산군_붙여넣기'!$A$1:$AZ$1001,ROW(),설정!$C$8)&amp;"","")</f>
        <v/>
      </c>
      <c r="G753">
        <f>IFERROR(INDEX('1.산군_붙여넣기'!$A$1:$AZ$1001,ROW(),설정!$C$9)&amp;"","")</f>
        <v/>
      </c>
      <c r="H753">
        <f>IFERROR(INDEX('1.산군_붙여넣기'!$A$1:$AZ$1001,ROW(),설정!$C$10)&amp;"","")</f>
        <v/>
      </c>
      <c r="I753">
        <f>IFERROR(INDEX('1.산군_붙여넣기'!$A$1:$AZ$1001,ROW(),설정!$C$11)&amp;"","")</f>
        <v/>
      </c>
      <c r="J753">
        <f>IFERROR(INDEX('1.산군_붙여넣기'!$A$1:$AZ$1001,ROW(),설정!$C$12)&amp;"","")</f>
        <v/>
      </c>
      <c r="K753">
        <f>IFERROR(INDEX('1.산군_붙여넣기'!$A$1:$AZ$1001,ROW(),설정!$C$13)&amp;"","")</f>
        <v/>
      </c>
      <c r="L753" s="6">
        <f>IF(X753="","",IF(AND(LEN(X753)=8,ISNUMBER(X753*1)),DATE(LEFT(X753,4),MID(X753,5,2),RIGHT(X753,2)),IFERROR(DATEVALUE(SUBSTITUTE(SUBSTITUTE(X753,".","-"),"/","-")),IFERROR(X753*1,""))))</f>
        <v/>
      </c>
      <c r="M753" s="6">
        <f>IF(Y753="","",IF(AND(LEN(Y753)=8,ISNUMBER(Y753*1)),DATE(LEFT(Y753,4),MID(Y753,5,2),RIGHT(Y753,2)),IFERROR(DATEVALUE(SUBSTITUTE(SUBSTITUTE(Y753,".","-"),"/","-")),IFERROR(Y753*1,""))))</f>
        <v/>
      </c>
      <c r="N753">
        <f>IFERROR(LEFT(B753,FIND(" ",B753)-1),B753)</f>
        <v/>
      </c>
      <c r="O753">
        <f>AND(B753&lt;&gt;"",B753&lt;&gt;설정!$B$4,C753&lt;&gt;설정!$B$5)</f>
        <v/>
      </c>
      <c r="P753">
        <f>IF(O753,B753&amp;"|"&amp;C753,"")</f>
        <v/>
      </c>
      <c r="Q753">
        <f>AND(O753,COUNTIF(P754:P$1002,P753)=0)</f>
        <v/>
      </c>
      <c r="R753">
        <f>OR(AND(설정!$A$28&lt;&gt;"",ISNUMBER(SEARCH(설정!$A$28,E753&amp;" "&amp;C753))),AND(설정!$A$29&lt;&gt;"",ISNUMBER(SEARCH(설정!$A$29,E753&amp;" "&amp;C753))),AND(설정!$A$30&lt;&gt;"",ISNUMBER(SEARCH(설정!$A$30,E753&amp;" "&amp;C753))),AND(설정!$A$31&lt;&gt;"",ISNUMBER(SEARCH(설정!$A$31,E753&amp;" "&amp;C753))),AND(설정!$A$32&lt;&gt;"",ISNUMBER(SEARCH(설정!$A$32,E753&amp;" "&amp;C753))),AND(설정!$A$33&lt;&gt;"",ISNUMBER(SEARCH(설정!$A$33,E753&amp;" "&amp;C753))),AND(설정!$A$34&lt;&gt;"",ISNUMBER(SEARCH(설정!$A$34,E753&amp;" "&amp;C753))),AND(설정!$A$35&lt;&gt;"",ISNUMBER(SEARCH(설정!$A$35,E753&amp;" "&amp;C753))),AND(설정!$A$36&lt;&gt;"",ISNUMBER(SEARCH(설정!$A$36,E753&amp;" "&amp;C753))),AND(설정!$A$37&lt;&gt;"",ISNUMBER(SEARCH(설정!$A$37,E753&amp;" "&amp;C753))))</f>
        <v/>
      </c>
      <c r="S753">
        <f>OR(D753="",D753&gt;=설정!$B$19)</f>
        <v/>
      </c>
      <c r="T753">
        <f>AND(Q753,R753,S753)</f>
        <v/>
      </c>
      <c r="U753">
        <f>IF(T753,IF(AND(설정!$A$41&lt;&gt;"",ISNUMBER(SEARCH(설정!$A$41,K753))),설정!$B$41,IF(AND(설정!$A$42&lt;&gt;"",ISNUMBER(SEARCH(설정!$A$42,K753))),설정!$B$42,IF(AND(설정!$A$43&lt;&gt;"",ISNUMBER(SEARCH(설정!$A$43,K753))),설정!$B$43,IF(AND(설정!$A$44&lt;&gt;"",ISNUMBER(SEARCH(설정!$A$44,K753))),설정!$B$44,IF(AND(설정!$A$45&lt;&gt;"",ISNUMBER(SEARCH(설정!$A$45,K753))),설정!$B$45,IF(AND(설정!$A$46&lt;&gt;"",ISNUMBER(SEARCH(설정!$A$46,K753))),설정!$B$46,IF(AND(설정!$A$47&lt;&gt;"",ISNUMBER(SEARCH(설정!$A$47,K753))),설정!$B$47,IF(AND(설정!$A$48&lt;&gt;"",ISNUMBER(SEARCH(설정!$A$48,K753))),설정!$B$48,IF(M753="","설계사","시공사"))))))))),"")</f>
        <v/>
      </c>
      <c r="V753">
        <f>SUBSTITUTE(SUBSTITUTE(SUBSTITUTE(SUBSTITUTE(G753,"(주)",""),"㈜",""),"주식회사","")," ","")</f>
        <v/>
      </c>
      <c r="W753">
        <f>IF(AND(T753,V753&lt;&gt;""),IF(COUNTIFS(V$2:V753,V753,T$2:T753,TRUE)=1,MAX(W$1:W752)+1,""),"")</f>
        <v/>
      </c>
      <c r="X753">
        <f>IFERROR(INDEX('1.산군_붙여넣기'!$A$1:$AZ$1001,ROW(),설정!$C$14)&amp;"","")</f>
        <v/>
      </c>
      <c r="Y753">
        <f>IFERROR(INDEX('1.산군_붙여넣기'!$A$1:$AZ$1001,ROW(),설정!$C$15)&amp;"","")</f>
        <v/>
      </c>
      <c r="Z753">
        <f>IF(T753,V753&amp;"|"&amp;U753,"")</f>
        <v/>
      </c>
    </row>
    <row r="754">
      <c r="A754">
        <f>ROW()</f>
        <v/>
      </c>
      <c r="B754">
        <f>IFERROR(INDEX('1.산군_붙여넣기'!$A$1:$AZ$1001,ROW(),설정!$C$4)&amp;"","")</f>
        <v/>
      </c>
      <c r="C754">
        <f>IFERROR(INDEX('1.산군_붙여넣기'!$A$1:$AZ$1001,ROW(),설정!$C$5)&amp;"","")</f>
        <v/>
      </c>
      <c r="D754" s="5">
        <f>IFERROR(VALUE(SUBSTITUTE(SUBSTITUTE(SUBSTITUTE(IFERROR(INDEX('1.산군_붙여넣기'!$A$1:$AZ$1001,ROW(),설정!$C$6)&amp;"",""),",",""),"㎡",""),"m2","")),"")</f>
        <v/>
      </c>
      <c r="E754">
        <f>IFERROR(INDEX('1.산군_붙여넣기'!$A$1:$AZ$1001,ROW(),설정!$C$7)&amp;"","")</f>
        <v/>
      </c>
      <c r="F754">
        <f>IFERROR(INDEX('1.산군_붙여넣기'!$A$1:$AZ$1001,ROW(),설정!$C$8)&amp;"","")</f>
        <v/>
      </c>
      <c r="G754">
        <f>IFERROR(INDEX('1.산군_붙여넣기'!$A$1:$AZ$1001,ROW(),설정!$C$9)&amp;"","")</f>
        <v/>
      </c>
      <c r="H754">
        <f>IFERROR(INDEX('1.산군_붙여넣기'!$A$1:$AZ$1001,ROW(),설정!$C$10)&amp;"","")</f>
        <v/>
      </c>
      <c r="I754">
        <f>IFERROR(INDEX('1.산군_붙여넣기'!$A$1:$AZ$1001,ROW(),설정!$C$11)&amp;"","")</f>
        <v/>
      </c>
      <c r="J754">
        <f>IFERROR(INDEX('1.산군_붙여넣기'!$A$1:$AZ$1001,ROW(),설정!$C$12)&amp;"","")</f>
        <v/>
      </c>
      <c r="K754">
        <f>IFERROR(INDEX('1.산군_붙여넣기'!$A$1:$AZ$1001,ROW(),설정!$C$13)&amp;"","")</f>
        <v/>
      </c>
      <c r="L754" s="6">
        <f>IF(X754="","",IF(AND(LEN(X754)=8,ISNUMBER(X754*1)),DATE(LEFT(X754,4),MID(X754,5,2),RIGHT(X754,2)),IFERROR(DATEVALUE(SUBSTITUTE(SUBSTITUTE(X754,".","-"),"/","-")),IFERROR(X754*1,""))))</f>
        <v/>
      </c>
      <c r="M754" s="6">
        <f>IF(Y754="","",IF(AND(LEN(Y754)=8,ISNUMBER(Y754*1)),DATE(LEFT(Y754,4),MID(Y754,5,2),RIGHT(Y754,2)),IFERROR(DATEVALUE(SUBSTITUTE(SUBSTITUTE(Y754,".","-"),"/","-")),IFERROR(Y754*1,""))))</f>
        <v/>
      </c>
      <c r="N754">
        <f>IFERROR(LEFT(B754,FIND(" ",B754)-1),B754)</f>
        <v/>
      </c>
      <c r="O754">
        <f>AND(B754&lt;&gt;"",B754&lt;&gt;설정!$B$4,C754&lt;&gt;설정!$B$5)</f>
        <v/>
      </c>
      <c r="P754">
        <f>IF(O754,B754&amp;"|"&amp;C754,"")</f>
        <v/>
      </c>
      <c r="Q754">
        <f>AND(O754,COUNTIF(P755:P$1002,P754)=0)</f>
        <v/>
      </c>
      <c r="R754">
        <f>OR(AND(설정!$A$28&lt;&gt;"",ISNUMBER(SEARCH(설정!$A$28,E754&amp;" "&amp;C754))),AND(설정!$A$29&lt;&gt;"",ISNUMBER(SEARCH(설정!$A$29,E754&amp;" "&amp;C754))),AND(설정!$A$30&lt;&gt;"",ISNUMBER(SEARCH(설정!$A$30,E754&amp;" "&amp;C754))),AND(설정!$A$31&lt;&gt;"",ISNUMBER(SEARCH(설정!$A$31,E754&amp;" "&amp;C754))),AND(설정!$A$32&lt;&gt;"",ISNUMBER(SEARCH(설정!$A$32,E754&amp;" "&amp;C754))),AND(설정!$A$33&lt;&gt;"",ISNUMBER(SEARCH(설정!$A$33,E754&amp;" "&amp;C754))),AND(설정!$A$34&lt;&gt;"",ISNUMBER(SEARCH(설정!$A$34,E754&amp;" "&amp;C754))),AND(설정!$A$35&lt;&gt;"",ISNUMBER(SEARCH(설정!$A$35,E754&amp;" "&amp;C754))),AND(설정!$A$36&lt;&gt;"",ISNUMBER(SEARCH(설정!$A$36,E754&amp;" "&amp;C754))),AND(설정!$A$37&lt;&gt;"",ISNUMBER(SEARCH(설정!$A$37,E754&amp;" "&amp;C754))))</f>
        <v/>
      </c>
      <c r="S754">
        <f>OR(D754="",D754&gt;=설정!$B$19)</f>
        <v/>
      </c>
      <c r="T754">
        <f>AND(Q754,R754,S754)</f>
        <v/>
      </c>
      <c r="U754">
        <f>IF(T754,IF(AND(설정!$A$41&lt;&gt;"",ISNUMBER(SEARCH(설정!$A$41,K754))),설정!$B$41,IF(AND(설정!$A$42&lt;&gt;"",ISNUMBER(SEARCH(설정!$A$42,K754))),설정!$B$42,IF(AND(설정!$A$43&lt;&gt;"",ISNUMBER(SEARCH(설정!$A$43,K754))),설정!$B$43,IF(AND(설정!$A$44&lt;&gt;"",ISNUMBER(SEARCH(설정!$A$44,K754))),설정!$B$44,IF(AND(설정!$A$45&lt;&gt;"",ISNUMBER(SEARCH(설정!$A$45,K754))),설정!$B$45,IF(AND(설정!$A$46&lt;&gt;"",ISNUMBER(SEARCH(설정!$A$46,K754))),설정!$B$46,IF(AND(설정!$A$47&lt;&gt;"",ISNUMBER(SEARCH(설정!$A$47,K754))),설정!$B$47,IF(AND(설정!$A$48&lt;&gt;"",ISNUMBER(SEARCH(설정!$A$48,K754))),설정!$B$48,IF(M754="","설계사","시공사"))))))))),"")</f>
        <v/>
      </c>
      <c r="V754">
        <f>SUBSTITUTE(SUBSTITUTE(SUBSTITUTE(SUBSTITUTE(G754,"(주)",""),"㈜",""),"주식회사","")," ","")</f>
        <v/>
      </c>
      <c r="W754">
        <f>IF(AND(T754,V754&lt;&gt;""),IF(COUNTIFS(V$2:V754,V754,T$2:T754,TRUE)=1,MAX(W$1:W753)+1,""),"")</f>
        <v/>
      </c>
      <c r="X754">
        <f>IFERROR(INDEX('1.산군_붙여넣기'!$A$1:$AZ$1001,ROW(),설정!$C$14)&amp;"","")</f>
        <v/>
      </c>
      <c r="Y754">
        <f>IFERROR(INDEX('1.산군_붙여넣기'!$A$1:$AZ$1001,ROW(),설정!$C$15)&amp;"","")</f>
        <v/>
      </c>
      <c r="Z754">
        <f>IF(T754,V754&amp;"|"&amp;U754,"")</f>
        <v/>
      </c>
    </row>
    <row r="755">
      <c r="A755">
        <f>ROW()</f>
        <v/>
      </c>
      <c r="B755">
        <f>IFERROR(INDEX('1.산군_붙여넣기'!$A$1:$AZ$1001,ROW(),설정!$C$4)&amp;"","")</f>
        <v/>
      </c>
      <c r="C755">
        <f>IFERROR(INDEX('1.산군_붙여넣기'!$A$1:$AZ$1001,ROW(),설정!$C$5)&amp;"","")</f>
        <v/>
      </c>
      <c r="D755" s="5">
        <f>IFERROR(VALUE(SUBSTITUTE(SUBSTITUTE(SUBSTITUTE(IFERROR(INDEX('1.산군_붙여넣기'!$A$1:$AZ$1001,ROW(),설정!$C$6)&amp;"",""),",",""),"㎡",""),"m2","")),"")</f>
        <v/>
      </c>
      <c r="E755">
        <f>IFERROR(INDEX('1.산군_붙여넣기'!$A$1:$AZ$1001,ROW(),설정!$C$7)&amp;"","")</f>
        <v/>
      </c>
      <c r="F755">
        <f>IFERROR(INDEX('1.산군_붙여넣기'!$A$1:$AZ$1001,ROW(),설정!$C$8)&amp;"","")</f>
        <v/>
      </c>
      <c r="G755">
        <f>IFERROR(INDEX('1.산군_붙여넣기'!$A$1:$AZ$1001,ROW(),설정!$C$9)&amp;"","")</f>
        <v/>
      </c>
      <c r="H755">
        <f>IFERROR(INDEX('1.산군_붙여넣기'!$A$1:$AZ$1001,ROW(),설정!$C$10)&amp;"","")</f>
        <v/>
      </c>
      <c r="I755">
        <f>IFERROR(INDEX('1.산군_붙여넣기'!$A$1:$AZ$1001,ROW(),설정!$C$11)&amp;"","")</f>
        <v/>
      </c>
      <c r="J755">
        <f>IFERROR(INDEX('1.산군_붙여넣기'!$A$1:$AZ$1001,ROW(),설정!$C$12)&amp;"","")</f>
        <v/>
      </c>
      <c r="K755">
        <f>IFERROR(INDEX('1.산군_붙여넣기'!$A$1:$AZ$1001,ROW(),설정!$C$13)&amp;"","")</f>
        <v/>
      </c>
      <c r="L755" s="6">
        <f>IF(X755="","",IF(AND(LEN(X755)=8,ISNUMBER(X755*1)),DATE(LEFT(X755,4),MID(X755,5,2),RIGHT(X755,2)),IFERROR(DATEVALUE(SUBSTITUTE(SUBSTITUTE(X755,".","-"),"/","-")),IFERROR(X755*1,""))))</f>
        <v/>
      </c>
      <c r="M755" s="6">
        <f>IF(Y755="","",IF(AND(LEN(Y755)=8,ISNUMBER(Y755*1)),DATE(LEFT(Y755,4),MID(Y755,5,2),RIGHT(Y755,2)),IFERROR(DATEVALUE(SUBSTITUTE(SUBSTITUTE(Y755,".","-"),"/","-")),IFERROR(Y755*1,""))))</f>
        <v/>
      </c>
      <c r="N755">
        <f>IFERROR(LEFT(B755,FIND(" ",B755)-1),B755)</f>
        <v/>
      </c>
      <c r="O755">
        <f>AND(B755&lt;&gt;"",B755&lt;&gt;설정!$B$4,C755&lt;&gt;설정!$B$5)</f>
        <v/>
      </c>
      <c r="P755">
        <f>IF(O755,B755&amp;"|"&amp;C755,"")</f>
        <v/>
      </c>
      <c r="Q755">
        <f>AND(O755,COUNTIF(P756:P$1002,P755)=0)</f>
        <v/>
      </c>
      <c r="R755">
        <f>OR(AND(설정!$A$28&lt;&gt;"",ISNUMBER(SEARCH(설정!$A$28,E755&amp;" "&amp;C755))),AND(설정!$A$29&lt;&gt;"",ISNUMBER(SEARCH(설정!$A$29,E755&amp;" "&amp;C755))),AND(설정!$A$30&lt;&gt;"",ISNUMBER(SEARCH(설정!$A$30,E755&amp;" "&amp;C755))),AND(설정!$A$31&lt;&gt;"",ISNUMBER(SEARCH(설정!$A$31,E755&amp;" "&amp;C755))),AND(설정!$A$32&lt;&gt;"",ISNUMBER(SEARCH(설정!$A$32,E755&amp;" "&amp;C755))),AND(설정!$A$33&lt;&gt;"",ISNUMBER(SEARCH(설정!$A$33,E755&amp;" "&amp;C755))),AND(설정!$A$34&lt;&gt;"",ISNUMBER(SEARCH(설정!$A$34,E755&amp;" "&amp;C755))),AND(설정!$A$35&lt;&gt;"",ISNUMBER(SEARCH(설정!$A$35,E755&amp;" "&amp;C755))),AND(설정!$A$36&lt;&gt;"",ISNUMBER(SEARCH(설정!$A$36,E755&amp;" "&amp;C755))),AND(설정!$A$37&lt;&gt;"",ISNUMBER(SEARCH(설정!$A$37,E755&amp;" "&amp;C755))))</f>
        <v/>
      </c>
      <c r="S755">
        <f>OR(D755="",D755&gt;=설정!$B$19)</f>
        <v/>
      </c>
      <c r="T755">
        <f>AND(Q755,R755,S755)</f>
        <v/>
      </c>
      <c r="U755">
        <f>IF(T755,IF(AND(설정!$A$41&lt;&gt;"",ISNUMBER(SEARCH(설정!$A$41,K755))),설정!$B$41,IF(AND(설정!$A$42&lt;&gt;"",ISNUMBER(SEARCH(설정!$A$42,K755))),설정!$B$42,IF(AND(설정!$A$43&lt;&gt;"",ISNUMBER(SEARCH(설정!$A$43,K755))),설정!$B$43,IF(AND(설정!$A$44&lt;&gt;"",ISNUMBER(SEARCH(설정!$A$44,K755))),설정!$B$44,IF(AND(설정!$A$45&lt;&gt;"",ISNUMBER(SEARCH(설정!$A$45,K755))),설정!$B$45,IF(AND(설정!$A$46&lt;&gt;"",ISNUMBER(SEARCH(설정!$A$46,K755))),설정!$B$46,IF(AND(설정!$A$47&lt;&gt;"",ISNUMBER(SEARCH(설정!$A$47,K755))),설정!$B$47,IF(AND(설정!$A$48&lt;&gt;"",ISNUMBER(SEARCH(설정!$A$48,K755))),설정!$B$48,IF(M755="","설계사","시공사"))))))))),"")</f>
        <v/>
      </c>
      <c r="V755">
        <f>SUBSTITUTE(SUBSTITUTE(SUBSTITUTE(SUBSTITUTE(G755,"(주)",""),"㈜",""),"주식회사","")," ","")</f>
        <v/>
      </c>
      <c r="W755">
        <f>IF(AND(T755,V755&lt;&gt;""),IF(COUNTIFS(V$2:V755,V755,T$2:T755,TRUE)=1,MAX(W$1:W754)+1,""),"")</f>
        <v/>
      </c>
      <c r="X755">
        <f>IFERROR(INDEX('1.산군_붙여넣기'!$A$1:$AZ$1001,ROW(),설정!$C$14)&amp;"","")</f>
        <v/>
      </c>
      <c r="Y755">
        <f>IFERROR(INDEX('1.산군_붙여넣기'!$A$1:$AZ$1001,ROW(),설정!$C$15)&amp;"","")</f>
        <v/>
      </c>
      <c r="Z755">
        <f>IF(T755,V755&amp;"|"&amp;U755,"")</f>
        <v/>
      </c>
    </row>
    <row r="756">
      <c r="A756">
        <f>ROW()</f>
        <v/>
      </c>
      <c r="B756">
        <f>IFERROR(INDEX('1.산군_붙여넣기'!$A$1:$AZ$1001,ROW(),설정!$C$4)&amp;"","")</f>
        <v/>
      </c>
      <c r="C756">
        <f>IFERROR(INDEX('1.산군_붙여넣기'!$A$1:$AZ$1001,ROW(),설정!$C$5)&amp;"","")</f>
        <v/>
      </c>
      <c r="D756" s="5">
        <f>IFERROR(VALUE(SUBSTITUTE(SUBSTITUTE(SUBSTITUTE(IFERROR(INDEX('1.산군_붙여넣기'!$A$1:$AZ$1001,ROW(),설정!$C$6)&amp;"",""),",",""),"㎡",""),"m2","")),"")</f>
        <v/>
      </c>
      <c r="E756">
        <f>IFERROR(INDEX('1.산군_붙여넣기'!$A$1:$AZ$1001,ROW(),설정!$C$7)&amp;"","")</f>
        <v/>
      </c>
      <c r="F756">
        <f>IFERROR(INDEX('1.산군_붙여넣기'!$A$1:$AZ$1001,ROW(),설정!$C$8)&amp;"","")</f>
        <v/>
      </c>
      <c r="G756">
        <f>IFERROR(INDEX('1.산군_붙여넣기'!$A$1:$AZ$1001,ROW(),설정!$C$9)&amp;"","")</f>
        <v/>
      </c>
      <c r="H756">
        <f>IFERROR(INDEX('1.산군_붙여넣기'!$A$1:$AZ$1001,ROW(),설정!$C$10)&amp;"","")</f>
        <v/>
      </c>
      <c r="I756">
        <f>IFERROR(INDEX('1.산군_붙여넣기'!$A$1:$AZ$1001,ROW(),설정!$C$11)&amp;"","")</f>
        <v/>
      </c>
      <c r="J756">
        <f>IFERROR(INDEX('1.산군_붙여넣기'!$A$1:$AZ$1001,ROW(),설정!$C$12)&amp;"","")</f>
        <v/>
      </c>
      <c r="K756">
        <f>IFERROR(INDEX('1.산군_붙여넣기'!$A$1:$AZ$1001,ROW(),설정!$C$13)&amp;"","")</f>
        <v/>
      </c>
      <c r="L756" s="6">
        <f>IF(X756="","",IF(AND(LEN(X756)=8,ISNUMBER(X756*1)),DATE(LEFT(X756,4),MID(X756,5,2),RIGHT(X756,2)),IFERROR(DATEVALUE(SUBSTITUTE(SUBSTITUTE(X756,".","-"),"/","-")),IFERROR(X756*1,""))))</f>
        <v/>
      </c>
      <c r="M756" s="6">
        <f>IF(Y756="","",IF(AND(LEN(Y756)=8,ISNUMBER(Y756*1)),DATE(LEFT(Y756,4),MID(Y756,5,2),RIGHT(Y756,2)),IFERROR(DATEVALUE(SUBSTITUTE(SUBSTITUTE(Y756,".","-"),"/","-")),IFERROR(Y756*1,""))))</f>
        <v/>
      </c>
      <c r="N756">
        <f>IFERROR(LEFT(B756,FIND(" ",B756)-1),B756)</f>
        <v/>
      </c>
      <c r="O756">
        <f>AND(B756&lt;&gt;"",B756&lt;&gt;설정!$B$4,C756&lt;&gt;설정!$B$5)</f>
        <v/>
      </c>
      <c r="P756">
        <f>IF(O756,B756&amp;"|"&amp;C756,"")</f>
        <v/>
      </c>
      <c r="Q756">
        <f>AND(O756,COUNTIF(P757:P$1002,P756)=0)</f>
        <v/>
      </c>
      <c r="R756">
        <f>OR(AND(설정!$A$28&lt;&gt;"",ISNUMBER(SEARCH(설정!$A$28,E756&amp;" "&amp;C756))),AND(설정!$A$29&lt;&gt;"",ISNUMBER(SEARCH(설정!$A$29,E756&amp;" "&amp;C756))),AND(설정!$A$30&lt;&gt;"",ISNUMBER(SEARCH(설정!$A$30,E756&amp;" "&amp;C756))),AND(설정!$A$31&lt;&gt;"",ISNUMBER(SEARCH(설정!$A$31,E756&amp;" "&amp;C756))),AND(설정!$A$32&lt;&gt;"",ISNUMBER(SEARCH(설정!$A$32,E756&amp;" "&amp;C756))),AND(설정!$A$33&lt;&gt;"",ISNUMBER(SEARCH(설정!$A$33,E756&amp;" "&amp;C756))),AND(설정!$A$34&lt;&gt;"",ISNUMBER(SEARCH(설정!$A$34,E756&amp;" "&amp;C756))),AND(설정!$A$35&lt;&gt;"",ISNUMBER(SEARCH(설정!$A$35,E756&amp;" "&amp;C756))),AND(설정!$A$36&lt;&gt;"",ISNUMBER(SEARCH(설정!$A$36,E756&amp;" "&amp;C756))),AND(설정!$A$37&lt;&gt;"",ISNUMBER(SEARCH(설정!$A$37,E756&amp;" "&amp;C756))))</f>
        <v/>
      </c>
      <c r="S756">
        <f>OR(D756="",D756&gt;=설정!$B$19)</f>
        <v/>
      </c>
      <c r="T756">
        <f>AND(Q756,R756,S756)</f>
        <v/>
      </c>
      <c r="U756">
        <f>IF(T756,IF(AND(설정!$A$41&lt;&gt;"",ISNUMBER(SEARCH(설정!$A$41,K756))),설정!$B$41,IF(AND(설정!$A$42&lt;&gt;"",ISNUMBER(SEARCH(설정!$A$42,K756))),설정!$B$42,IF(AND(설정!$A$43&lt;&gt;"",ISNUMBER(SEARCH(설정!$A$43,K756))),설정!$B$43,IF(AND(설정!$A$44&lt;&gt;"",ISNUMBER(SEARCH(설정!$A$44,K756))),설정!$B$44,IF(AND(설정!$A$45&lt;&gt;"",ISNUMBER(SEARCH(설정!$A$45,K756))),설정!$B$45,IF(AND(설정!$A$46&lt;&gt;"",ISNUMBER(SEARCH(설정!$A$46,K756))),설정!$B$46,IF(AND(설정!$A$47&lt;&gt;"",ISNUMBER(SEARCH(설정!$A$47,K756))),설정!$B$47,IF(AND(설정!$A$48&lt;&gt;"",ISNUMBER(SEARCH(설정!$A$48,K756))),설정!$B$48,IF(M756="","설계사","시공사"))))))))),"")</f>
        <v/>
      </c>
      <c r="V756">
        <f>SUBSTITUTE(SUBSTITUTE(SUBSTITUTE(SUBSTITUTE(G756,"(주)",""),"㈜",""),"주식회사","")," ","")</f>
        <v/>
      </c>
      <c r="W756">
        <f>IF(AND(T756,V756&lt;&gt;""),IF(COUNTIFS(V$2:V756,V756,T$2:T756,TRUE)=1,MAX(W$1:W755)+1,""),"")</f>
        <v/>
      </c>
      <c r="X756">
        <f>IFERROR(INDEX('1.산군_붙여넣기'!$A$1:$AZ$1001,ROW(),설정!$C$14)&amp;"","")</f>
        <v/>
      </c>
      <c r="Y756">
        <f>IFERROR(INDEX('1.산군_붙여넣기'!$A$1:$AZ$1001,ROW(),설정!$C$15)&amp;"","")</f>
        <v/>
      </c>
      <c r="Z756">
        <f>IF(T756,V756&amp;"|"&amp;U756,"")</f>
        <v/>
      </c>
    </row>
    <row r="757">
      <c r="A757">
        <f>ROW()</f>
        <v/>
      </c>
      <c r="B757">
        <f>IFERROR(INDEX('1.산군_붙여넣기'!$A$1:$AZ$1001,ROW(),설정!$C$4)&amp;"","")</f>
        <v/>
      </c>
      <c r="C757">
        <f>IFERROR(INDEX('1.산군_붙여넣기'!$A$1:$AZ$1001,ROW(),설정!$C$5)&amp;"","")</f>
        <v/>
      </c>
      <c r="D757" s="5">
        <f>IFERROR(VALUE(SUBSTITUTE(SUBSTITUTE(SUBSTITUTE(IFERROR(INDEX('1.산군_붙여넣기'!$A$1:$AZ$1001,ROW(),설정!$C$6)&amp;"",""),",",""),"㎡",""),"m2","")),"")</f>
        <v/>
      </c>
      <c r="E757">
        <f>IFERROR(INDEX('1.산군_붙여넣기'!$A$1:$AZ$1001,ROW(),설정!$C$7)&amp;"","")</f>
        <v/>
      </c>
      <c r="F757">
        <f>IFERROR(INDEX('1.산군_붙여넣기'!$A$1:$AZ$1001,ROW(),설정!$C$8)&amp;"","")</f>
        <v/>
      </c>
      <c r="G757">
        <f>IFERROR(INDEX('1.산군_붙여넣기'!$A$1:$AZ$1001,ROW(),설정!$C$9)&amp;"","")</f>
        <v/>
      </c>
      <c r="H757">
        <f>IFERROR(INDEX('1.산군_붙여넣기'!$A$1:$AZ$1001,ROW(),설정!$C$10)&amp;"","")</f>
        <v/>
      </c>
      <c r="I757">
        <f>IFERROR(INDEX('1.산군_붙여넣기'!$A$1:$AZ$1001,ROW(),설정!$C$11)&amp;"","")</f>
        <v/>
      </c>
      <c r="J757">
        <f>IFERROR(INDEX('1.산군_붙여넣기'!$A$1:$AZ$1001,ROW(),설정!$C$12)&amp;"","")</f>
        <v/>
      </c>
      <c r="K757">
        <f>IFERROR(INDEX('1.산군_붙여넣기'!$A$1:$AZ$1001,ROW(),설정!$C$13)&amp;"","")</f>
        <v/>
      </c>
      <c r="L757" s="6">
        <f>IF(X757="","",IF(AND(LEN(X757)=8,ISNUMBER(X757*1)),DATE(LEFT(X757,4),MID(X757,5,2),RIGHT(X757,2)),IFERROR(DATEVALUE(SUBSTITUTE(SUBSTITUTE(X757,".","-"),"/","-")),IFERROR(X757*1,""))))</f>
        <v/>
      </c>
      <c r="M757" s="6">
        <f>IF(Y757="","",IF(AND(LEN(Y757)=8,ISNUMBER(Y757*1)),DATE(LEFT(Y757,4),MID(Y757,5,2),RIGHT(Y757,2)),IFERROR(DATEVALUE(SUBSTITUTE(SUBSTITUTE(Y757,".","-"),"/","-")),IFERROR(Y757*1,""))))</f>
        <v/>
      </c>
      <c r="N757">
        <f>IFERROR(LEFT(B757,FIND(" ",B757)-1),B757)</f>
        <v/>
      </c>
      <c r="O757">
        <f>AND(B757&lt;&gt;"",B757&lt;&gt;설정!$B$4,C757&lt;&gt;설정!$B$5)</f>
        <v/>
      </c>
      <c r="P757">
        <f>IF(O757,B757&amp;"|"&amp;C757,"")</f>
        <v/>
      </c>
      <c r="Q757">
        <f>AND(O757,COUNTIF(P758:P$1002,P757)=0)</f>
        <v/>
      </c>
      <c r="R757">
        <f>OR(AND(설정!$A$28&lt;&gt;"",ISNUMBER(SEARCH(설정!$A$28,E757&amp;" "&amp;C757))),AND(설정!$A$29&lt;&gt;"",ISNUMBER(SEARCH(설정!$A$29,E757&amp;" "&amp;C757))),AND(설정!$A$30&lt;&gt;"",ISNUMBER(SEARCH(설정!$A$30,E757&amp;" "&amp;C757))),AND(설정!$A$31&lt;&gt;"",ISNUMBER(SEARCH(설정!$A$31,E757&amp;" "&amp;C757))),AND(설정!$A$32&lt;&gt;"",ISNUMBER(SEARCH(설정!$A$32,E757&amp;" "&amp;C757))),AND(설정!$A$33&lt;&gt;"",ISNUMBER(SEARCH(설정!$A$33,E757&amp;" "&amp;C757))),AND(설정!$A$34&lt;&gt;"",ISNUMBER(SEARCH(설정!$A$34,E757&amp;" "&amp;C757))),AND(설정!$A$35&lt;&gt;"",ISNUMBER(SEARCH(설정!$A$35,E757&amp;" "&amp;C757))),AND(설정!$A$36&lt;&gt;"",ISNUMBER(SEARCH(설정!$A$36,E757&amp;" "&amp;C757))),AND(설정!$A$37&lt;&gt;"",ISNUMBER(SEARCH(설정!$A$37,E757&amp;" "&amp;C757))))</f>
        <v/>
      </c>
      <c r="S757">
        <f>OR(D757="",D757&gt;=설정!$B$19)</f>
        <v/>
      </c>
      <c r="T757">
        <f>AND(Q757,R757,S757)</f>
        <v/>
      </c>
      <c r="U757">
        <f>IF(T757,IF(AND(설정!$A$41&lt;&gt;"",ISNUMBER(SEARCH(설정!$A$41,K757))),설정!$B$41,IF(AND(설정!$A$42&lt;&gt;"",ISNUMBER(SEARCH(설정!$A$42,K757))),설정!$B$42,IF(AND(설정!$A$43&lt;&gt;"",ISNUMBER(SEARCH(설정!$A$43,K757))),설정!$B$43,IF(AND(설정!$A$44&lt;&gt;"",ISNUMBER(SEARCH(설정!$A$44,K757))),설정!$B$44,IF(AND(설정!$A$45&lt;&gt;"",ISNUMBER(SEARCH(설정!$A$45,K757))),설정!$B$45,IF(AND(설정!$A$46&lt;&gt;"",ISNUMBER(SEARCH(설정!$A$46,K757))),설정!$B$46,IF(AND(설정!$A$47&lt;&gt;"",ISNUMBER(SEARCH(설정!$A$47,K757))),설정!$B$47,IF(AND(설정!$A$48&lt;&gt;"",ISNUMBER(SEARCH(설정!$A$48,K757))),설정!$B$48,IF(M757="","설계사","시공사"))))))))),"")</f>
        <v/>
      </c>
      <c r="V757">
        <f>SUBSTITUTE(SUBSTITUTE(SUBSTITUTE(SUBSTITUTE(G757,"(주)",""),"㈜",""),"주식회사","")," ","")</f>
        <v/>
      </c>
      <c r="W757">
        <f>IF(AND(T757,V757&lt;&gt;""),IF(COUNTIFS(V$2:V757,V757,T$2:T757,TRUE)=1,MAX(W$1:W756)+1,""),"")</f>
        <v/>
      </c>
      <c r="X757">
        <f>IFERROR(INDEX('1.산군_붙여넣기'!$A$1:$AZ$1001,ROW(),설정!$C$14)&amp;"","")</f>
        <v/>
      </c>
      <c r="Y757">
        <f>IFERROR(INDEX('1.산군_붙여넣기'!$A$1:$AZ$1001,ROW(),설정!$C$15)&amp;"","")</f>
        <v/>
      </c>
      <c r="Z757">
        <f>IF(T757,V757&amp;"|"&amp;U757,"")</f>
        <v/>
      </c>
    </row>
    <row r="758">
      <c r="A758">
        <f>ROW()</f>
        <v/>
      </c>
      <c r="B758">
        <f>IFERROR(INDEX('1.산군_붙여넣기'!$A$1:$AZ$1001,ROW(),설정!$C$4)&amp;"","")</f>
        <v/>
      </c>
      <c r="C758">
        <f>IFERROR(INDEX('1.산군_붙여넣기'!$A$1:$AZ$1001,ROW(),설정!$C$5)&amp;"","")</f>
        <v/>
      </c>
      <c r="D758" s="5">
        <f>IFERROR(VALUE(SUBSTITUTE(SUBSTITUTE(SUBSTITUTE(IFERROR(INDEX('1.산군_붙여넣기'!$A$1:$AZ$1001,ROW(),설정!$C$6)&amp;"",""),",",""),"㎡",""),"m2","")),"")</f>
        <v/>
      </c>
      <c r="E758">
        <f>IFERROR(INDEX('1.산군_붙여넣기'!$A$1:$AZ$1001,ROW(),설정!$C$7)&amp;"","")</f>
        <v/>
      </c>
      <c r="F758">
        <f>IFERROR(INDEX('1.산군_붙여넣기'!$A$1:$AZ$1001,ROW(),설정!$C$8)&amp;"","")</f>
        <v/>
      </c>
      <c r="G758">
        <f>IFERROR(INDEX('1.산군_붙여넣기'!$A$1:$AZ$1001,ROW(),설정!$C$9)&amp;"","")</f>
        <v/>
      </c>
      <c r="H758">
        <f>IFERROR(INDEX('1.산군_붙여넣기'!$A$1:$AZ$1001,ROW(),설정!$C$10)&amp;"","")</f>
        <v/>
      </c>
      <c r="I758">
        <f>IFERROR(INDEX('1.산군_붙여넣기'!$A$1:$AZ$1001,ROW(),설정!$C$11)&amp;"","")</f>
        <v/>
      </c>
      <c r="J758">
        <f>IFERROR(INDEX('1.산군_붙여넣기'!$A$1:$AZ$1001,ROW(),설정!$C$12)&amp;"","")</f>
        <v/>
      </c>
      <c r="K758">
        <f>IFERROR(INDEX('1.산군_붙여넣기'!$A$1:$AZ$1001,ROW(),설정!$C$13)&amp;"","")</f>
        <v/>
      </c>
      <c r="L758" s="6">
        <f>IF(X758="","",IF(AND(LEN(X758)=8,ISNUMBER(X758*1)),DATE(LEFT(X758,4),MID(X758,5,2),RIGHT(X758,2)),IFERROR(DATEVALUE(SUBSTITUTE(SUBSTITUTE(X758,".","-"),"/","-")),IFERROR(X758*1,""))))</f>
        <v/>
      </c>
      <c r="M758" s="6">
        <f>IF(Y758="","",IF(AND(LEN(Y758)=8,ISNUMBER(Y758*1)),DATE(LEFT(Y758,4),MID(Y758,5,2),RIGHT(Y758,2)),IFERROR(DATEVALUE(SUBSTITUTE(SUBSTITUTE(Y758,".","-"),"/","-")),IFERROR(Y758*1,""))))</f>
        <v/>
      </c>
      <c r="N758">
        <f>IFERROR(LEFT(B758,FIND(" ",B758)-1),B758)</f>
        <v/>
      </c>
      <c r="O758">
        <f>AND(B758&lt;&gt;"",B758&lt;&gt;설정!$B$4,C758&lt;&gt;설정!$B$5)</f>
        <v/>
      </c>
      <c r="P758">
        <f>IF(O758,B758&amp;"|"&amp;C758,"")</f>
        <v/>
      </c>
      <c r="Q758">
        <f>AND(O758,COUNTIF(P759:P$1002,P758)=0)</f>
        <v/>
      </c>
      <c r="R758">
        <f>OR(AND(설정!$A$28&lt;&gt;"",ISNUMBER(SEARCH(설정!$A$28,E758&amp;" "&amp;C758))),AND(설정!$A$29&lt;&gt;"",ISNUMBER(SEARCH(설정!$A$29,E758&amp;" "&amp;C758))),AND(설정!$A$30&lt;&gt;"",ISNUMBER(SEARCH(설정!$A$30,E758&amp;" "&amp;C758))),AND(설정!$A$31&lt;&gt;"",ISNUMBER(SEARCH(설정!$A$31,E758&amp;" "&amp;C758))),AND(설정!$A$32&lt;&gt;"",ISNUMBER(SEARCH(설정!$A$32,E758&amp;" "&amp;C758))),AND(설정!$A$33&lt;&gt;"",ISNUMBER(SEARCH(설정!$A$33,E758&amp;" "&amp;C758))),AND(설정!$A$34&lt;&gt;"",ISNUMBER(SEARCH(설정!$A$34,E758&amp;" "&amp;C758))),AND(설정!$A$35&lt;&gt;"",ISNUMBER(SEARCH(설정!$A$35,E758&amp;" "&amp;C758))),AND(설정!$A$36&lt;&gt;"",ISNUMBER(SEARCH(설정!$A$36,E758&amp;" "&amp;C758))),AND(설정!$A$37&lt;&gt;"",ISNUMBER(SEARCH(설정!$A$37,E758&amp;" "&amp;C758))))</f>
        <v/>
      </c>
      <c r="S758">
        <f>OR(D758="",D758&gt;=설정!$B$19)</f>
        <v/>
      </c>
      <c r="T758">
        <f>AND(Q758,R758,S758)</f>
        <v/>
      </c>
      <c r="U758">
        <f>IF(T758,IF(AND(설정!$A$41&lt;&gt;"",ISNUMBER(SEARCH(설정!$A$41,K758))),설정!$B$41,IF(AND(설정!$A$42&lt;&gt;"",ISNUMBER(SEARCH(설정!$A$42,K758))),설정!$B$42,IF(AND(설정!$A$43&lt;&gt;"",ISNUMBER(SEARCH(설정!$A$43,K758))),설정!$B$43,IF(AND(설정!$A$44&lt;&gt;"",ISNUMBER(SEARCH(설정!$A$44,K758))),설정!$B$44,IF(AND(설정!$A$45&lt;&gt;"",ISNUMBER(SEARCH(설정!$A$45,K758))),설정!$B$45,IF(AND(설정!$A$46&lt;&gt;"",ISNUMBER(SEARCH(설정!$A$46,K758))),설정!$B$46,IF(AND(설정!$A$47&lt;&gt;"",ISNUMBER(SEARCH(설정!$A$47,K758))),설정!$B$47,IF(AND(설정!$A$48&lt;&gt;"",ISNUMBER(SEARCH(설정!$A$48,K758))),설정!$B$48,IF(M758="","설계사","시공사"))))))))),"")</f>
        <v/>
      </c>
      <c r="V758">
        <f>SUBSTITUTE(SUBSTITUTE(SUBSTITUTE(SUBSTITUTE(G758,"(주)",""),"㈜",""),"주식회사","")," ","")</f>
        <v/>
      </c>
      <c r="W758">
        <f>IF(AND(T758,V758&lt;&gt;""),IF(COUNTIFS(V$2:V758,V758,T$2:T758,TRUE)=1,MAX(W$1:W757)+1,""),"")</f>
        <v/>
      </c>
      <c r="X758">
        <f>IFERROR(INDEX('1.산군_붙여넣기'!$A$1:$AZ$1001,ROW(),설정!$C$14)&amp;"","")</f>
        <v/>
      </c>
      <c r="Y758">
        <f>IFERROR(INDEX('1.산군_붙여넣기'!$A$1:$AZ$1001,ROW(),설정!$C$15)&amp;"","")</f>
        <v/>
      </c>
      <c r="Z758">
        <f>IF(T758,V758&amp;"|"&amp;U758,"")</f>
        <v/>
      </c>
    </row>
    <row r="759">
      <c r="A759">
        <f>ROW()</f>
        <v/>
      </c>
      <c r="B759">
        <f>IFERROR(INDEX('1.산군_붙여넣기'!$A$1:$AZ$1001,ROW(),설정!$C$4)&amp;"","")</f>
        <v/>
      </c>
      <c r="C759">
        <f>IFERROR(INDEX('1.산군_붙여넣기'!$A$1:$AZ$1001,ROW(),설정!$C$5)&amp;"","")</f>
        <v/>
      </c>
      <c r="D759" s="5">
        <f>IFERROR(VALUE(SUBSTITUTE(SUBSTITUTE(SUBSTITUTE(IFERROR(INDEX('1.산군_붙여넣기'!$A$1:$AZ$1001,ROW(),설정!$C$6)&amp;"",""),",",""),"㎡",""),"m2","")),"")</f>
        <v/>
      </c>
      <c r="E759">
        <f>IFERROR(INDEX('1.산군_붙여넣기'!$A$1:$AZ$1001,ROW(),설정!$C$7)&amp;"","")</f>
        <v/>
      </c>
      <c r="F759">
        <f>IFERROR(INDEX('1.산군_붙여넣기'!$A$1:$AZ$1001,ROW(),설정!$C$8)&amp;"","")</f>
        <v/>
      </c>
      <c r="G759">
        <f>IFERROR(INDEX('1.산군_붙여넣기'!$A$1:$AZ$1001,ROW(),설정!$C$9)&amp;"","")</f>
        <v/>
      </c>
      <c r="H759">
        <f>IFERROR(INDEX('1.산군_붙여넣기'!$A$1:$AZ$1001,ROW(),설정!$C$10)&amp;"","")</f>
        <v/>
      </c>
      <c r="I759">
        <f>IFERROR(INDEX('1.산군_붙여넣기'!$A$1:$AZ$1001,ROW(),설정!$C$11)&amp;"","")</f>
        <v/>
      </c>
      <c r="J759">
        <f>IFERROR(INDEX('1.산군_붙여넣기'!$A$1:$AZ$1001,ROW(),설정!$C$12)&amp;"","")</f>
        <v/>
      </c>
      <c r="K759">
        <f>IFERROR(INDEX('1.산군_붙여넣기'!$A$1:$AZ$1001,ROW(),설정!$C$13)&amp;"","")</f>
        <v/>
      </c>
      <c r="L759" s="6">
        <f>IF(X759="","",IF(AND(LEN(X759)=8,ISNUMBER(X759*1)),DATE(LEFT(X759,4),MID(X759,5,2),RIGHT(X759,2)),IFERROR(DATEVALUE(SUBSTITUTE(SUBSTITUTE(X759,".","-"),"/","-")),IFERROR(X759*1,""))))</f>
        <v/>
      </c>
      <c r="M759" s="6">
        <f>IF(Y759="","",IF(AND(LEN(Y759)=8,ISNUMBER(Y759*1)),DATE(LEFT(Y759,4),MID(Y759,5,2),RIGHT(Y759,2)),IFERROR(DATEVALUE(SUBSTITUTE(SUBSTITUTE(Y759,".","-"),"/","-")),IFERROR(Y759*1,""))))</f>
        <v/>
      </c>
      <c r="N759">
        <f>IFERROR(LEFT(B759,FIND(" ",B759)-1),B759)</f>
        <v/>
      </c>
      <c r="O759">
        <f>AND(B759&lt;&gt;"",B759&lt;&gt;설정!$B$4,C759&lt;&gt;설정!$B$5)</f>
        <v/>
      </c>
      <c r="P759">
        <f>IF(O759,B759&amp;"|"&amp;C759,"")</f>
        <v/>
      </c>
      <c r="Q759">
        <f>AND(O759,COUNTIF(P760:P$1002,P759)=0)</f>
        <v/>
      </c>
      <c r="R759">
        <f>OR(AND(설정!$A$28&lt;&gt;"",ISNUMBER(SEARCH(설정!$A$28,E759&amp;" "&amp;C759))),AND(설정!$A$29&lt;&gt;"",ISNUMBER(SEARCH(설정!$A$29,E759&amp;" "&amp;C759))),AND(설정!$A$30&lt;&gt;"",ISNUMBER(SEARCH(설정!$A$30,E759&amp;" "&amp;C759))),AND(설정!$A$31&lt;&gt;"",ISNUMBER(SEARCH(설정!$A$31,E759&amp;" "&amp;C759))),AND(설정!$A$32&lt;&gt;"",ISNUMBER(SEARCH(설정!$A$32,E759&amp;" "&amp;C759))),AND(설정!$A$33&lt;&gt;"",ISNUMBER(SEARCH(설정!$A$33,E759&amp;" "&amp;C759))),AND(설정!$A$34&lt;&gt;"",ISNUMBER(SEARCH(설정!$A$34,E759&amp;" "&amp;C759))),AND(설정!$A$35&lt;&gt;"",ISNUMBER(SEARCH(설정!$A$35,E759&amp;" "&amp;C759))),AND(설정!$A$36&lt;&gt;"",ISNUMBER(SEARCH(설정!$A$36,E759&amp;" "&amp;C759))),AND(설정!$A$37&lt;&gt;"",ISNUMBER(SEARCH(설정!$A$37,E759&amp;" "&amp;C759))))</f>
        <v/>
      </c>
      <c r="S759">
        <f>OR(D759="",D759&gt;=설정!$B$19)</f>
        <v/>
      </c>
      <c r="T759">
        <f>AND(Q759,R759,S759)</f>
        <v/>
      </c>
      <c r="U759">
        <f>IF(T759,IF(AND(설정!$A$41&lt;&gt;"",ISNUMBER(SEARCH(설정!$A$41,K759))),설정!$B$41,IF(AND(설정!$A$42&lt;&gt;"",ISNUMBER(SEARCH(설정!$A$42,K759))),설정!$B$42,IF(AND(설정!$A$43&lt;&gt;"",ISNUMBER(SEARCH(설정!$A$43,K759))),설정!$B$43,IF(AND(설정!$A$44&lt;&gt;"",ISNUMBER(SEARCH(설정!$A$44,K759))),설정!$B$44,IF(AND(설정!$A$45&lt;&gt;"",ISNUMBER(SEARCH(설정!$A$45,K759))),설정!$B$45,IF(AND(설정!$A$46&lt;&gt;"",ISNUMBER(SEARCH(설정!$A$46,K759))),설정!$B$46,IF(AND(설정!$A$47&lt;&gt;"",ISNUMBER(SEARCH(설정!$A$47,K759))),설정!$B$47,IF(AND(설정!$A$48&lt;&gt;"",ISNUMBER(SEARCH(설정!$A$48,K759))),설정!$B$48,IF(M759="","설계사","시공사"))))))))),"")</f>
        <v/>
      </c>
      <c r="V759">
        <f>SUBSTITUTE(SUBSTITUTE(SUBSTITUTE(SUBSTITUTE(G759,"(주)",""),"㈜",""),"주식회사","")," ","")</f>
        <v/>
      </c>
      <c r="W759">
        <f>IF(AND(T759,V759&lt;&gt;""),IF(COUNTIFS(V$2:V759,V759,T$2:T759,TRUE)=1,MAX(W$1:W758)+1,""),"")</f>
        <v/>
      </c>
      <c r="X759">
        <f>IFERROR(INDEX('1.산군_붙여넣기'!$A$1:$AZ$1001,ROW(),설정!$C$14)&amp;"","")</f>
        <v/>
      </c>
      <c r="Y759">
        <f>IFERROR(INDEX('1.산군_붙여넣기'!$A$1:$AZ$1001,ROW(),설정!$C$15)&amp;"","")</f>
        <v/>
      </c>
      <c r="Z759">
        <f>IF(T759,V759&amp;"|"&amp;U759,"")</f>
        <v/>
      </c>
    </row>
    <row r="760">
      <c r="A760">
        <f>ROW()</f>
        <v/>
      </c>
      <c r="B760">
        <f>IFERROR(INDEX('1.산군_붙여넣기'!$A$1:$AZ$1001,ROW(),설정!$C$4)&amp;"","")</f>
        <v/>
      </c>
      <c r="C760">
        <f>IFERROR(INDEX('1.산군_붙여넣기'!$A$1:$AZ$1001,ROW(),설정!$C$5)&amp;"","")</f>
        <v/>
      </c>
      <c r="D760" s="5">
        <f>IFERROR(VALUE(SUBSTITUTE(SUBSTITUTE(SUBSTITUTE(IFERROR(INDEX('1.산군_붙여넣기'!$A$1:$AZ$1001,ROW(),설정!$C$6)&amp;"",""),",",""),"㎡",""),"m2","")),"")</f>
        <v/>
      </c>
      <c r="E760">
        <f>IFERROR(INDEX('1.산군_붙여넣기'!$A$1:$AZ$1001,ROW(),설정!$C$7)&amp;"","")</f>
        <v/>
      </c>
      <c r="F760">
        <f>IFERROR(INDEX('1.산군_붙여넣기'!$A$1:$AZ$1001,ROW(),설정!$C$8)&amp;"","")</f>
        <v/>
      </c>
      <c r="G760">
        <f>IFERROR(INDEX('1.산군_붙여넣기'!$A$1:$AZ$1001,ROW(),설정!$C$9)&amp;"","")</f>
        <v/>
      </c>
      <c r="H760">
        <f>IFERROR(INDEX('1.산군_붙여넣기'!$A$1:$AZ$1001,ROW(),설정!$C$10)&amp;"","")</f>
        <v/>
      </c>
      <c r="I760">
        <f>IFERROR(INDEX('1.산군_붙여넣기'!$A$1:$AZ$1001,ROW(),설정!$C$11)&amp;"","")</f>
        <v/>
      </c>
      <c r="J760">
        <f>IFERROR(INDEX('1.산군_붙여넣기'!$A$1:$AZ$1001,ROW(),설정!$C$12)&amp;"","")</f>
        <v/>
      </c>
      <c r="K760">
        <f>IFERROR(INDEX('1.산군_붙여넣기'!$A$1:$AZ$1001,ROW(),설정!$C$13)&amp;"","")</f>
        <v/>
      </c>
      <c r="L760" s="6">
        <f>IF(X760="","",IF(AND(LEN(X760)=8,ISNUMBER(X760*1)),DATE(LEFT(X760,4),MID(X760,5,2),RIGHT(X760,2)),IFERROR(DATEVALUE(SUBSTITUTE(SUBSTITUTE(X760,".","-"),"/","-")),IFERROR(X760*1,""))))</f>
        <v/>
      </c>
      <c r="M760" s="6">
        <f>IF(Y760="","",IF(AND(LEN(Y760)=8,ISNUMBER(Y760*1)),DATE(LEFT(Y760,4),MID(Y760,5,2),RIGHT(Y760,2)),IFERROR(DATEVALUE(SUBSTITUTE(SUBSTITUTE(Y760,".","-"),"/","-")),IFERROR(Y760*1,""))))</f>
        <v/>
      </c>
      <c r="N760">
        <f>IFERROR(LEFT(B760,FIND(" ",B760)-1),B760)</f>
        <v/>
      </c>
      <c r="O760">
        <f>AND(B760&lt;&gt;"",B760&lt;&gt;설정!$B$4,C760&lt;&gt;설정!$B$5)</f>
        <v/>
      </c>
      <c r="P760">
        <f>IF(O760,B760&amp;"|"&amp;C760,"")</f>
        <v/>
      </c>
      <c r="Q760">
        <f>AND(O760,COUNTIF(P761:P$1002,P760)=0)</f>
        <v/>
      </c>
      <c r="R760">
        <f>OR(AND(설정!$A$28&lt;&gt;"",ISNUMBER(SEARCH(설정!$A$28,E760&amp;" "&amp;C760))),AND(설정!$A$29&lt;&gt;"",ISNUMBER(SEARCH(설정!$A$29,E760&amp;" "&amp;C760))),AND(설정!$A$30&lt;&gt;"",ISNUMBER(SEARCH(설정!$A$30,E760&amp;" "&amp;C760))),AND(설정!$A$31&lt;&gt;"",ISNUMBER(SEARCH(설정!$A$31,E760&amp;" "&amp;C760))),AND(설정!$A$32&lt;&gt;"",ISNUMBER(SEARCH(설정!$A$32,E760&amp;" "&amp;C760))),AND(설정!$A$33&lt;&gt;"",ISNUMBER(SEARCH(설정!$A$33,E760&amp;" "&amp;C760))),AND(설정!$A$34&lt;&gt;"",ISNUMBER(SEARCH(설정!$A$34,E760&amp;" "&amp;C760))),AND(설정!$A$35&lt;&gt;"",ISNUMBER(SEARCH(설정!$A$35,E760&amp;" "&amp;C760))),AND(설정!$A$36&lt;&gt;"",ISNUMBER(SEARCH(설정!$A$36,E760&amp;" "&amp;C760))),AND(설정!$A$37&lt;&gt;"",ISNUMBER(SEARCH(설정!$A$37,E760&amp;" "&amp;C760))))</f>
        <v/>
      </c>
      <c r="S760">
        <f>OR(D760="",D760&gt;=설정!$B$19)</f>
        <v/>
      </c>
      <c r="T760">
        <f>AND(Q760,R760,S760)</f>
        <v/>
      </c>
      <c r="U760">
        <f>IF(T760,IF(AND(설정!$A$41&lt;&gt;"",ISNUMBER(SEARCH(설정!$A$41,K760))),설정!$B$41,IF(AND(설정!$A$42&lt;&gt;"",ISNUMBER(SEARCH(설정!$A$42,K760))),설정!$B$42,IF(AND(설정!$A$43&lt;&gt;"",ISNUMBER(SEARCH(설정!$A$43,K760))),설정!$B$43,IF(AND(설정!$A$44&lt;&gt;"",ISNUMBER(SEARCH(설정!$A$44,K760))),설정!$B$44,IF(AND(설정!$A$45&lt;&gt;"",ISNUMBER(SEARCH(설정!$A$45,K760))),설정!$B$45,IF(AND(설정!$A$46&lt;&gt;"",ISNUMBER(SEARCH(설정!$A$46,K760))),설정!$B$46,IF(AND(설정!$A$47&lt;&gt;"",ISNUMBER(SEARCH(설정!$A$47,K760))),설정!$B$47,IF(AND(설정!$A$48&lt;&gt;"",ISNUMBER(SEARCH(설정!$A$48,K760))),설정!$B$48,IF(M760="","설계사","시공사"))))))))),"")</f>
        <v/>
      </c>
      <c r="V760">
        <f>SUBSTITUTE(SUBSTITUTE(SUBSTITUTE(SUBSTITUTE(G760,"(주)",""),"㈜",""),"주식회사","")," ","")</f>
        <v/>
      </c>
      <c r="W760">
        <f>IF(AND(T760,V760&lt;&gt;""),IF(COUNTIFS(V$2:V760,V760,T$2:T760,TRUE)=1,MAX(W$1:W759)+1,""),"")</f>
        <v/>
      </c>
      <c r="X760">
        <f>IFERROR(INDEX('1.산군_붙여넣기'!$A$1:$AZ$1001,ROW(),설정!$C$14)&amp;"","")</f>
        <v/>
      </c>
      <c r="Y760">
        <f>IFERROR(INDEX('1.산군_붙여넣기'!$A$1:$AZ$1001,ROW(),설정!$C$15)&amp;"","")</f>
        <v/>
      </c>
      <c r="Z760">
        <f>IF(T760,V760&amp;"|"&amp;U760,"")</f>
        <v/>
      </c>
    </row>
    <row r="761">
      <c r="A761">
        <f>ROW()</f>
        <v/>
      </c>
      <c r="B761">
        <f>IFERROR(INDEX('1.산군_붙여넣기'!$A$1:$AZ$1001,ROW(),설정!$C$4)&amp;"","")</f>
        <v/>
      </c>
      <c r="C761">
        <f>IFERROR(INDEX('1.산군_붙여넣기'!$A$1:$AZ$1001,ROW(),설정!$C$5)&amp;"","")</f>
        <v/>
      </c>
      <c r="D761" s="5">
        <f>IFERROR(VALUE(SUBSTITUTE(SUBSTITUTE(SUBSTITUTE(IFERROR(INDEX('1.산군_붙여넣기'!$A$1:$AZ$1001,ROW(),설정!$C$6)&amp;"",""),",",""),"㎡",""),"m2","")),"")</f>
        <v/>
      </c>
      <c r="E761">
        <f>IFERROR(INDEX('1.산군_붙여넣기'!$A$1:$AZ$1001,ROW(),설정!$C$7)&amp;"","")</f>
        <v/>
      </c>
      <c r="F761">
        <f>IFERROR(INDEX('1.산군_붙여넣기'!$A$1:$AZ$1001,ROW(),설정!$C$8)&amp;"","")</f>
        <v/>
      </c>
      <c r="G761">
        <f>IFERROR(INDEX('1.산군_붙여넣기'!$A$1:$AZ$1001,ROW(),설정!$C$9)&amp;"","")</f>
        <v/>
      </c>
      <c r="H761">
        <f>IFERROR(INDEX('1.산군_붙여넣기'!$A$1:$AZ$1001,ROW(),설정!$C$10)&amp;"","")</f>
        <v/>
      </c>
      <c r="I761">
        <f>IFERROR(INDEX('1.산군_붙여넣기'!$A$1:$AZ$1001,ROW(),설정!$C$11)&amp;"","")</f>
        <v/>
      </c>
      <c r="J761">
        <f>IFERROR(INDEX('1.산군_붙여넣기'!$A$1:$AZ$1001,ROW(),설정!$C$12)&amp;"","")</f>
        <v/>
      </c>
      <c r="K761">
        <f>IFERROR(INDEX('1.산군_붙여넣기'!$A$1:$AZ$1001,ROW(),설정!$C$13)&amp;"","")</f>
        <v/>
      </c>
      <c r="L761" s="6">
        <f>IF(X761="","",IF(AND(LEN(X761)=8,ISNUMBER(X761*1)),DATE(LEFT(X761,4),MID(X761,5,2),RIGHT(X761,2)),IFERROR(DATEVALUE(SUBSTITUTE(SUBSTITUTE(X761,".","-"),"/","-")),IFERROR(X761*1,""))))</f>
        <v/>
      </c>
      <c r="M761" s="6">
        <f>IF(Y761="","",IF(AND(LEN(Y761)=8,ISNUMBER(Y761*1)),DATE(LEFT(Y761,4),MID(Y761,5,2),RIGHT(Y761,2)),IFERROR(DATEVALUE(SUBSTITUTE(SUBSTITUTE(Y761,".","-"),"/","-")),IFERROR(Y761*1,""))))</f>
        <v/>
      </c>
      <c r="N761">
        <f>IFERROR(LEFT(B761,FIND(" ",B761)-1),B761)</f>
        <v/>
      </c>
      <c r="O761">
        <f>AND(B761&lt;&gt;"",B761&lt;&gt;설정!$B$4,C761&lt;&gt;설정!$B$5)</f>
        <v/>
      </c>
      <c r="P761">
        <f>IF(O761,B761&amp;"|"&amp;C761,"")</f>
        <v/>
      </c>
      <c r="Q761">
        <f>AND(O761,COUNTIF(P762:P$1002,P761)=0)</f>
        <v/>
      </c>
      <c r="R761">
        <f>OR(AND(설정!$A$28&lt;&gt;"",ISNUMBER(SEARCH(설정!$A$28,E761&amp;" "&amp;C761))),AND(설정!$A$29&lt;&gt;"",ISNUMBER(SEARCH(설정!$A$29,E761&amp;" "&amp;C761))),AND(설정!$A$30&lt;&gt;"",ISNUMBER(SEARCH(설정!$A$30,E761&amp;" "&amp;C761))),AND(설정!$A$31&lt;&gt;"",ISNUMBER(SEARCH(설정!$A$31,E761&amp;" "&amp;C761))),AND(설정!$A$32&lt;&gt;"",ISNUMBER(SEARCH(설정!$A$32,E761&amp;" "&amp;C761))),AND(설정!$A$33&lt;&gt;"",ISNUMBER(SEARCH(설정!$A$33,E761&amp;" "&amp;C761))),AND(설정!$A$34&lt;&gt;"",ISNUMBER(SEARCH(설정!$A$34,E761&amp;" "&amp;C761))),AND(설정!$A$35&lt;&gt;"",ISNUMBER(SEARCH(설정!$A$35,E761&amp;" "&amp;C761))),AND(설정!$A$36&lt;&gt;"",ISNUMBER(SEARCH(설정!$A$36,E761&amp;" "&amp;C761))),AND(설정!$A$37&lt;&gt;"",ISNUMBER(SEARCH(설정!$A$37,E761&amp;" "&amp;C761))))</f>
        <v/>
      </c>
      <c r="S761">
        <f>OR(D761="",D761&gt;=설정!$B$19)</f>
        <v/>
      </c>
      <c r="T761">
        <f>AND(Q761,R761,S761)</f>
        <v/>
      </c>
      <c r="U761">
        <f>IF(T761,IF(AND(설정!$A$41&lt;&gt;"",ISNUMBER(SEARCH(설정!$A$41,K761))),설정!$B$41,IF(AND(설정!$A$42&lt;&gt;"",ISNUMBER(SEARCH(설정!$A$42,K761))),설정!$B$42,IF(AND(설정!$A$43&lt;&gt;"",ISNUMBER(SEARCH(설정!$A$43,K761))),설정!$B$43,IF(AND(설정!$A$44&lt;&gt;"",ISNUMBER(SEARCH(설정!$A$44,K761))),설정!$B$44,IF(AND(설정!$A$45&lt;&gt;"",ISNUMBER(SEARCH(설정!$A$45,K761))),설정!$B$45,IF(AND(설정!$A$46&lt;&gt;"",ISNUMBER(SEARCH(설정!$A$46,K761))),설정!$B$46,IF(AND(설정!$A$47&lt;&gt;"",ISNUMBER(SEARCH(설정!$A$47,K761))),설정!$B$47,IF(AND(설정!$A$48&lt;&gt;"",ISNUMBER(SEARCH(설정!$A$48,K761))),설정!$B$48,IF(M761="","설계사","시공사"))))))))),"")</f>
        <v/>
      </c>
      <c r="V761">
        <f>SUBSTITUTE(SUBSTITUTE(SUBSTITUTE(SUBSTITUTE(G761,"(주)",""),"㈜",""),"주식회사","")," ","")</f>
        <v/>
      </c>
      <c r="W761">
        <f>IF(AND(T761,V761&lt;&gt;""),IF(COUNTIFS(V$2:V761,V761,T$2:T761,TRUE)=1,MAX(W$1:W760)+1,""),"")</f>
        <v/>
      </c>
      <c r="X761">
        <f>IFERROR(INDEX('1.산군_붙여넣기'!$A$1:$AZ$1001,ROW(),설정!$C$14)&amp;"","")</f>
        <v/>
      </c>
      <c r="Y761">
        <f>IFERROR(INDEX('1.산군_붙여넣기'!$A$1:$AZ$1001,ROW(),설정!$C$15)&amp;"","")</f>
        <v/>
      </c>
      <c r="Z761">
        <f>IF(T761,V761&amp;"|"&amp;U761,"")</f>
        <v/>
      </c>
    </row>
    <row r="762">
      <c r="A762">
        <f>ROW()</f>
        <v/>
      </c>
      <c r="B762">
        <f>IFERROR(INDEX('1.산군_붙여넣기'!$A$1:$AZ$1001,ROW(),설정!$C$4)&amp;"","")</f>
        <v/>
      </c>
      <c r="C762">
        <f>IFERROR(INDEX('1.산군_붙여넣기'!$A$1:$AZ$1001,ROW(),설정!$C$5)&amp;"","")</f>
        <v/>
      </c>
      <c r="D762" s="5">
        <f>IFERROR(VALUE(SUBSTITUTE(SUBSTITUTE(SUBSTITUTE(IFERROR(INDEX('1.산군_붙여넣기'!$A$1:$AZ$1001,ROW(),설정!$C$6)&amp;"",""),",",""),"㎡",""),"m2","")),"")</f>
        <v/>
      </c>
      <c r="E762">
        <f>IFERROR(INDEX('1.산군_붙여넣기'!$A$1:$AZ$1001,ROW(),설정!$C$7)&amp;"","")</f>
        <v/>
      </c>
      <c r="F762">
        <f>IFERROR(INDEX('1.산군_붙여넣기'!$A$1:$AZ$1001,ROW(),설정!$C$8)&amp;"","")</f>
        <v/>
      </c>
      <c r="G762">
        <f>IFERROR(INDEX('1.산군_붙여넣기'!$A$1:$AZ$1001,ROW(),설정!$C$9)&amp;"","")</f>
        <v/>
      </c>
      <c r="H762">
        <f>IFERROR(INDEX('1.산군_붙여넣기'!$A$1:$AZ$1001,ROW(),설정!$C$10)&amp;"","")</f>
        <v/>
      </c>
      <c r="I762">
        <f>IFERROR(INDEX('1.산군_붙여넣기'!$A$1:$AZ$1001,ROW(),설정!$C$11)&amp;"","")</f>
        <v/>
      </c>
      <c r="J762">
        <f>IFERROR(INDEX('1.산군_붙여넣기'!$A$1:$AZ$1001,ROW(),설정!$C$12)&amp;"","")</f>
        <v/>
      </c>
      <c r="K762">
        <f>IFERROR(INDEX('1.산군_붙여넣기'!$A$1:$AZ$1001,ROW(),설정!$C$13)&amp;"","")</f>
        <v/>
      </c>
      <c r="L762" s="6">
        <f>IF(X762="","",IF(AND(LEN(X762)=8,ISNUMBER(X762*1)),DATE(LEFT(X762,4),MID(X762,5,2),RIGHT(X762,2)),IFERROR(DATEVALUE(SUBSTITUTE(SUBSTITUTE(X762,".","-"),"/","-")),IFERROR(X762*1,""))))</f>
        <v/>
      </c>
      <c r="M762" s="6">
        <f>IF(Y762="","",IF(AND(LEN(Y762)=8,ISNUMBER(Y762*1)),DATE(LEFT(Y762,4),MID(Y762,5,2),RIGHT(Y762,2)),IFERROR(DATEVALUE(SUBSTITUTE(SUBSTITUTE(Y762,".","-"),"/","-")),IFERROR(Y762*1,""))))</f>
        <v/>
      </c>
      <c r="N762">
        <f>IFERROR(LEFT(B762,FIND(" ",B762)-1),B762)</f>
        <v/>
      </c>
      <c r="O762">
        <f>AND(B762&lt;&gt;"",B762&lt;&gt;설정!$B$4,C762&lt;&gt;설정!$B$5)</f>
        <v/>
      </c>
      <c r="P762">
        <f>IF(O762,B762&amp;"|"&amp;C762,"")</f>
        <v/>
      </c>
      <c r="Q762">
        <f>AND(O762,COUNTIF(P763:P$1002,P762)=0)</f>
        <v/>
      </c>
      <c r="R762">
        <f>OR(AND(설정!$A$28&lt;&gt;"",ISNUMBER(SEARCH(설정!$A$28,E762&amp;" "&amp;C762))),AND(설정!$A$29&lt;&gt;"",ISNUMBER(SEARCH(설정!$A$29,E762&amp;" "&amp;C762))),AND(설정!$A$30&lt;&gt;"",ISNUMBER(SEARCH(설정!$A$30,E762&amp;" "&amp;C762))),AND(설정!$A$31&lt;&gt;"",ISNUMBER(SEARCH(설정!$A$31,E762&amp;" "&amp;C762))),AND(설정!$A$32&lt;&gt;"",ISNUMBER(SEARCH(설정!$A$32,E762&amp;" "&amp;C762))),AND(설정!$A$33&lt;&gt;"",ISNUMBER(SEARCH(설정!$A$33,E762&amp;" "&amp;C762))),AND(설정!$A$34&lt;&gt;"",ISNUMBER(SEARCH(설정!$A$34,E762&amp;" "&amp;C762))),AND(설정!$A$35&lt;&gt;"",ISNUMBER(SEARCH(설정!$A$35,E762&amp;" "&amp;C762))),AND(설정!$A$36&lt;&gt;"",ISNUMBER(SEARCH(설정!$A$36,E762&amp;" "&amp;C762))),AND(설정!$A$37&lt;&gt;"",ISNUMBER(SEARCH(설정!$A$37,E762&amp;" "&amp;C762))))</f>
        <v/>
      </c>
      <c r="S762">
        <f>OR(D762="",D762&gt;=설정!$B$19)</f>
        <v/>
      </c>
      <c r="T762">
        <f>AND(Q762,R762,S762)</f>
        <v/>
      </c>
      <c r="U762">
        <f>IF(T762,IF(AND(설정!$A$41&lt;&gt;"",ISNUMBER(SEARCH(설정!$A$41,K762))),설정!$B$41,IF(AND(설정!$A$42&lt;&gt;"",ISNUMBER(SEARCH(설정!$A$42,K762))),설정!$B$42,IF(AND(설정!$A$43&lt;&gt;"",ISNUMBER(SEARCH(설정!$A$43,K762))),설정!$B$43,IF(AND(설정!$A$44&lt;&gt;"",ISNUMBER(SEARCH(설정!$A$44,K762))),설정!$B$44,IF(AND(설정!$A$45&lt;&gt;"",ISNUMBER(SEARCH(설정!$A$45,K762))),설정!$B$45,IF(AND(설정!$A$46&lt;&gt;"",ISNUMBER(SEARCH(설정!$A$46,K762))),설정!$B$46,IF(AND(설정!$A$47&lt;&gt;"",ISNUMBER(SEARCH(설정!$A$47,K762))),설정!$B$47,IF(AND(설정!$A$48&lt;&gt;"",ISNUMBER(SEARCH(설정!$A$48,K762))),설정!$B$48,IF(M762="","설계사","시공사"))))))))),"")</f>
        <v/>
      </c>
      <c r="V762">
        <f>SUBSTITUTE(SUBSTITUTE(SUBSTITUTE(SUBSTITUTE(G762,"(주)",""),"㈜",""),"주식회사","")," ","")</f>
        <v/>
      </c>
      <c r="W762">
        <f>IF(AND(T762,V762&lt;&gt;""),IF(COUNTIFS(V$2:V762,V762,T$2:T762,TRUE)=1,MAX(W$1:W761)+1,""),"")</f>
        <v/>
      </c>
      <c r="X762">
        <f>IFERROR(INDEX('1.산군_붙여넣기'!$A$1:$AZ$1001,ROW(),설정!$C$14)&amp;"","")</f>
        <v/>
      </c>
      <c r="Y762">
        <f>IFERROR(INDEX('1.산군_붙여넣기'!$A$1:$AZ$1001,ROW(),설정!$C$15)&amp;"","")</f>
        <v/>
      </c>
      <c r="Z762">
        <f>IF(T762,V762&amp;"|"&amp;U762,"")</f>
        <v/>
      </c>
    </row>
    <row r="763">
      <c r="A763">
        <f>ROW()</f>
        <v/>
      </c>
      <c r="B763">
        <f>IFERROR(INDEX('1.산군_붙여넣기'!$A$1:$AZ$1001,ROW(),설정!$C$4)&amp;"","")</f>
        <v/>
      </c>
      <c r="C763">
        <f>IFERROR(INDEX('1.산군_붙여넣기'!$A$1:$AZ$1001,ROW(),설정!$C$5)&amp;"","")</f>
        <v/>
      </c>
      <c r="D763" s="5">
        <f>IFERROR(VALUE(SUBSTITUTE(SUBSTITUTE(SUBSTITUTE(IFERROR(INDEX('1.산군_붙여넣기'!$A$1:$AZ$1001,ROW(),설정!$C$6)&amp;"",""),",",""),"㎡",""),"m2","")),"")</f>
        <v/>
      </c>
      <c r="E763">
        <f>IFERROR(INDEX('1.산군_붙여넣기'!$A$1:$AZ$1001,ROW(),설정!$C$7)&amp;"","")</f>
        <v/>
      </c>
      <c r="F763">
        <f>IFERROR(INDEX('1.산군_붙여넣기'!$A$1:$AZ$1001,ROW(),설정!$C$8)&amp;"","")</f>
        <v/>
      </c>
      <c r="G763">
        <f>IFERROR(INDEX('1.산군_붙여넣기'!$A$1:$AZ$1001,ROW(),설정!$C$9)&amp;"","")</f>
        <v/>
      </c>
      <c r="H763">
        <f>IFERROR(INDEX('1.산군_붙여넣기'!$A$1:$AZ$1001,ROW(),설정!$C$10)&amp;"","")</f>
        <v/>
      </c>
      <c r="I763">
        <f>IFERROR(INDEX('1.산군_붙여넣기'!$A$1:$AZ$1001,ROW(),설정!$C$11)&amp;"","")</f>
        <v/>
      </c>
      <c r="J763">
        <f>IFERROR(INDEX('1.산군_붙여넣기'!$A$1:$AZ$1001,ROW(),설정!$C$12)&amp;"","")</f>
        <v/>
      </c>
      <c r="K763">
        <f>IFERROR(INDEX('1.산군_붙여넣기'!$A$1:$AZ$1001,ROW(),설정!$C$13)&amp;"","")</f>
        <v/>
      </c>
      <c r="L763" s="6">
        <f>IF(X763="","",IF(AND(LEN(X763)=8,ISNUMBER(X763*1)),DATE(LEFT(X763,4),MID(X763,5,2),RIGHT(X763,2)),IFERROR(DATEVALUE(SUBSTITUTE(SUBSTITUTE(X763,".","-"),"/","-")),IFERROR(X763*1,""))))</f>
        <v/>
      </c>
      <c r="M763" s="6">
        <f>IF(Y763="","",IF(AND(LEN(Y763)=8,ISNUMBER(Y763*1)),DATE(LEFT(Y763,4),MID(Y763,5,2),RIGHT(Y763,2)),IFERROR(DATEVALUE(SUBSTITUTE(SUBSTITUTE(Y763,".","-"),"/","-")),IFERROR(Y763*1,""))))</f>
        <v/>
      </c>
      <c r="N763">
        <f>IFERROR(LEFT(B763,FIND(" ",B763)-1),B763)</f>
        <v/>
      </c>
      <c r="O763">
        <f>AND(B763&lt;&gt;"",B763&lt;&gt;설정!$B$4,C763&lt;&gt;설정!$B$5)</f>
        <v/>
      </c>
      <c r="P763">
        <f>IF(O763,B763&amp;"|"&amp;C763,"")</f>
        <v/>
      </c>
      <c r="Q763">
        <f>AND(O763,COUNTIF(P764:P$1002,P763)=0)</f>
        <v/>
      </c>
      <c r="R763">
        <f>OR(AND(설정!$A$28&lt;&gt;"",ISNUMBER(SEARCH(설정!$A$28,E763&amp;" "&amp;C763))),AND(설정!$A$29&lt;&gt;"",ISNUMBER(SEARCH(설정!$A$29,E763&amp;" "&amp;C763))),AND(설정!$A$30&lt;&gt;"",ISNUMBER(SEARCH(설정!$A$30,E763&amp;" "&amp;C763))),AND(설정!$A$31&lt;&gt;"",ISNUMBER(SEARCH(설정!$A$31,E763&amp;" "&amp;C763))),AND(설정!$A$32&lt;&gt;"",ISNUMBER(SEARCH(설정!$A$32,E763&amp;" "&amp;C763))),AND(설정!$A$33&lt;&gt;"",ISNUMBER(SEARCH(설정!$A$33,E763&amp;" "&amp;C763))),AND(설정!$A$34&lt;&gt;"",ISNUMBER(SEARCH(설정!$A$34,E763&amp;" "&amp;C763))),AND(설정!$A$35&lt;&gt;"",ISNUMBER(SEARCH(설정!$A$35,E763&amp;" "&amp;C763))),AND(설정!$A$36&lt;&gt;"",ISNUMBER(SEARCH(설정!$A$36,E763&amp;" "&amp;C763))),AND(설정!$A$37&lt;&gt;"",ISNUMBER(SEARCH(설정!$A$37,E763&amp;" "&amp;C763))))</f>
        <v/>
      </c>
      <c r="S763">
        <f>OR(D763="",D763&gt;=설정!$B$19)</f>
        <v/>
      </c>
      <c r="T763">
        <f>AND(Q763,R763,S763)</f>
        <v/>
      </c>
      <c r="U763">
        <f>IF(T763,IF(AND(설정!$A$41&lt;&gt;"",ISNUMBER(SEARCH(설정!$A$41,K763))),설정!$B$41,IF(AND(설정!$A$42&lt;&gt;"",ISNUMBER(SEARCH(설정!$A$42,K763))),설정!$B$42,IF(AND(설정!$A$43&lt;&gt;"",ISNUMBER(SEARCH(설정!$A$43,K763))),설정!$B$43,IF(AND(설정!$A$44&lt;&gt;"",ISNUMBER(SEARCH(설정!$A$44,K763))),설정!$B$44,IF(AND(설정!$A$45&lt;&gt;"",ISNUMBER(SEARCH(설정!$A$45,K763))),설정!$B$45,IF(AND(설정!$A$46&lt;&gt;"",ISNUMBER(SEARCH(설정!$A$46,K763))),설정!$B$46,IF(AND(설정!$A$47&lt;&gt;"",ISNUMBER(SEARCH(설정!$A$47,K763))),설정!$B$47,IF(AND(설정!$A$48&lt;&gt;"",ISNUMBER(SEARCH(설정!$A$48,K763))),설정!$B$48,IF(M763="","설계사","시공사"))))))))),"")</f>
        <v/>
      </c>
      <c r="V763">
        <f>SUBSTITUTE(SUBSTITUTE(SUBSTITUTE(SUBSTITUTE(G763,"(주)",""),"㈜",""),"주식회사","")," ","")</f>
        <v/>
      </c>
      <c r="W763">
        <f>IF(AND(T763,V763&lt;&gt;""),IF(COUNTIFS(V$2:V763,V763,T$2:T763,TRUE)=1,MAX(W$1:W762)+1,""),"")</f>
        <v/>
      </c>
      <c r="X763">
        <f>IFERROR(INDEX('1.산군_붙여넣기'!$A$1:$AZ$1001,ROW(),설정!$C$14)&amp;"","")</f>
        <v/>
      </c>
      <c r="Y763">
        <f>IFERROR(INDEX('1.산군_붙여넣기'!$A$1:$AZ$1001,ROW(),설정!$C$15)&amp;"","")</f>
        <v/>
      </c>
      <c r="Z763">
        <f>IF(T763,V763&amp;"|"&amp;U763,"")</f>
        <v/>
      </c>
    </row>
    <row r="764">
      <c r="A764">
        <f>ROW()</f>
        <v/>
      </c>
      <c r="B764">
        <f>IFERROR(INDEX('1.산군_붙여넣기'!$A$1:$AZ$1001,ROW(),설정!$C$4)&amp;"","")</f>
        <v/>
      </c>
      <c r="C764">
        <f>IFERROR(INDEX('1.산군_붙여넣기'!$A$1:$AZ$1001,ROW(),설정!$C$5)&amp;"","")</f>
        <v/>
      </c>
      <c r="D764" s="5">
        <f>IFERROR(VALUE(SUBSTITUTE(SUBSTITUTE(SUBSTITUTE(IFERROR(INDEX('1.산군_붙여넣기'!$A$1:$AZ$1001,ROW(),설정!$C$6)&amp;"",""),",",""),"㎡",""),"m2","")),"")</f>
        <v/>
      </c>
      <c r="E764">
        <f>IFERROR(INDEX('1.산군_붙여넣기'!$A$1:$AZ$1001,ROW(),설정!$C$7)&amp;"","")</f>
        <v/>
      </c>
      <c r="F764">
        <f>IFERROR(INDEX('1.산군_붙여넣기'!$A$1:$AZ$1001,ROW(),설정!$C$8)&amp;"","")</f>
        <v/>
      </c>
      <c r="G764">
        <f>IFERROR(INDEX('1.산군_붙여넣기'!$A$1:$AZ$1001,ROW(),설정!$C$9)&amp;"","")</f>
        <v/>
      </c>
      <c r="H764">
        <f>IFERROR(INDEX('1.산군_붙여넣기'!$A$1:$AZ$1001,ROW(),설정!$C$10)&amp;"","")</f>
        <v/>
      </c>
      <c r="I764">
        <f>IFERROR(INDEX('1.산군_붙여넣기'!$A$1:$AZ$1001,ROW(),설정!$C$11)&amp;"","")</f>
        <v/>
      </c>
      <c r="J764">
        <f>IFERROR(INDEX('1.산군_붙여넣기'!$A$1:$AZ$1001,ROW(),설정!$C$12)&amp;"","")</f>
        <v/>
      </c>
      <c r="K764">
        <f>IFERROR(INDEX('1.산군_붙여넣기'!$A$1:$AZ$1001,ROW(),설정!$C$13)&amp;"","")</f>
        <v/>
      </c>
      <c r="L764" s="6">
        <f>IF(X764="","",IF(AND(LEN(X764)=8,ISNUMBER(X764*1)),DATE(LEFT(X764,4),MID(X764,5,2),RIGHT(X764,2)),IFERROR(DATEVALUE(SUBSTITUTE(SUBSTITUTE(X764,".","-"),"/","-")),IFERROR(X764*1,""))))</f>
        <v/>
      </c>
      <c r="M764" s="6">
        <f>IF(Y764="","",IF(AND(LEN(Y764)=8,ISNUMBER(Y764*1)),DATE(LEFT(Y764,4),MID(Y764,5,2),RIGHT(Y764,2)),IFERROR(DATEVALUE(SUBSTITUTE(SUBSTITUTE(Y764,".","-"),"/","-")),IFERROR(Y764*1,""))))</f>
        <v/>
      </c>
      <c r="N764">
        <f>IFERROR(LEFT(B764,FIND(" ",B764)-1),B764)</f>
        <v/>
      </c>
      <c r="O764">
        <f>AND(B764&lt;&gt;"",B764&lt;&gt;설정!$B$4,C764&lt;&gt;설정!$B$5)</f>
        <v/>
      </c>
      <c r="P764">
        <f>IF(O764,B764&amp;"|"&amp;C764,"")</f>
        <v/>
      </c>
      <c r="Q764">
        <f>AND(O764,COUNTIF(P765:P$1002,P764)=0)</f>
        <v/>
      </c>
      <c r="R764">
        <f>OR(AND(설정!$A$28&lt;&gt;"",ISNUMBER(SEARCH(설정!$A$28,E764&amp;" "&amp;C764))),AND(설정!$A$29&lt;&gt;"",ISNUMBER(SEARCH(설정!$A$29,E764&amp;" "&amp;C764))),AND(설정!$A$30&lt;&gt;"",ISNUMBER(SEARCH(설정!$A$30,E764&amp;" "&amp;C764))),AND(설정!$A$31&lt;&gt;"",ISNUMBER(SEARCH(설정!$A$31,E764&amp;" "&amp;C764))),AND(설정!$A$32&lt;&gt;"",ISNUMBER(SEARCH(설정!$A$32,E764&amp;" "&amp;C764))),AND(설정!$A$33&lt;&gt;"",ISNUMBER(SEARCH(설정!$A$33,E764&amp;" "&amp;C764))),AND(설정!$A$34&lt;&gt;"",ISNUMBER(SEARCH(설정!$A$34,E764&amp;" "&amp;C764))),AND(설정!$A$35&lt;&gt;"",ISNUMBER(SEARCH(설정!$A$35,E764&amp;" "&amp;C764))),AND(설정!$A$36&lt;&gt;"",ISNUMBER(SEARCH(설정!$A$36,E764&amp;" "&amp;C764))),AND(설정!$A$37&lt;&gt;"",ISNUMBER(SEARCH(설정!$A$37,E764&amp;" "&amp;C764))))</f>
        <v/>
      </c>
      <c r="S764">
        <f>OR(D764="",D764&gt;=설정!$B$19)</f>
        <v/>
      </c>
      <c r="T764">
        <f>AND(Q764,R764,S764)</f>
        <v/>
      </c>
      <c r="U764">
        <f>IF(T764,IF(AND(설정!$A$41&lt;&gt;"",ISNUMBER(SEARCH(설정!$A$41,K764))),설정!$B$41,IF(AND(설정!$A$42&lt;&gt;"",ISNUMBER(SEARCH(설정!$A$42,K764))),설정!$B$42,IF(AND(설정!$A$43&lt;&gt;"",ISNUMBER(SEARCH(설정!$A$43,K764))),설정!$B$43,IF(AND(설정!$A$44&lt;&gt;"",ISNUMBER(SEARCH(설정!$A$44,K764))),설정!$B$44,IF(AND(설정!$A$45&lt;&gt;"",ISNUMBER(SEARCH(설정!$A$45,K764))),설정!$B$45,IF(AND(설정!$A$46&lt;&gt;"",ISNUMBER(SEARCH(설정!$A$46,K764))),설정!$B$46,IF(AND(설정!$A$47&lt;&gt;"",ISNUMBER(SEARCH(설정!$A$47,K764))),설정!$B$47,IF(AND(설정!$A$48&lt;&gt;"",ISNUMBER(SEARCH(설정!$A$48,K764))),설정!$B$48,IF(M764="","설계사","시공사"))))))))),"")</f>
        <v/>
      </c>
      <c r="V764">
        <f>SUBSTITUTE(SUBSTITUTE(SUBSTITUTE(SUBSTITUTE(G764,"(주)",""),"㈜",""),"주식회사","")," ","")</f>
        <v/>
      </c>
      <c r="W764">
        <f>IF(AND(T764,V764&lt;&gt;""),IF(COUNTIFS(V$2:V764,V764,T$2:T764,TRUE)=1,MAX(W$1:W763)+1,""),"")</f>
        <v/>
      </c>
      <c r="X764">
        <f>IFERROR(INDEX('1.산군_붙여넣기'!$A$1:$AZ$1001,ROW(),설정!$C$14)&amp;"","")</f>
        <v/>
      </c>
      <c r="Y764">
        <f>IFERROR(INDEX('1.산군_붙여넣기'!$A$1:$AZ$1001,ROW(),설정!$C$15)&amp;"","")</f>
        <v/>
      </c>
      <c r="Z764">
        <f>IF(T764,V764&amp;"|"&amp;U764,"")</f>
        <v/>
      </c>
    </row>
    <row r="765">
      <c r="A765">
        <f>ROW()</f>
        <v/>
      </c>
      <c r="B765">
        <f>IFERROR(INDEX('1.산군_붙여넣기'!$A$1:$AZ$1001,ROW(),설정!$C$4)&amp;"","")</f>
        <v/>
      </c>
      <c r="C765">
        <f>IFERROR(INDEX('1.산군_붙여넣기'!$A$1:$AZ$1001,ROW(),설정!$C$5)&amp;"","")</f>
        <v/>
      </c>
      <c r="D765" s="5">
        <f>IFERROR(VALUE(SUBSTITUTE(SUBSTITUTE(SUBSTITUTE(IFERROR(INDEX('1.산군_붙여넣기'!$A$1:$AZ$1001,ROW(),설정!$C$6)&amp;"",""),",",""),"㎡",""),"m2","")),"")</f>
        <v/>
      </c>
      <c r="E765">
        <f>IFERROR(INDEX('1.산군_붙여넣기'!$A$1:$AZ$1001,ROW(),설정!$C$7)&amp;"","")</f>
        <v/>
      </c>
      <c r="F765">
        <f>IFERROR(INDEX('1.산군_붙여넣기'!$A$1:$AZ$1001,ROW(),설정!$C$8)&amp;"","")</f>
        <v/>
      </c>
      <c r="G765">
        <f>IFERROR(INDEX('1.산군_붙여넣기'!$A$1:$AZ$1001,ROW(),설정!$C$9)&amp;"","")</f>
        <v/>
      </c>
      <c r="H765">
        <f>IFERROR(INDEX('1.산군_붙여넣기'!$A$1:$AZ$1001,ROW(),설정!$C$10)&amp;"","")</f>
        <v/>
      </c>
      <c r="I765">
        <f>IFERROR(INDEX('1.산군_붙여넣기'!$A$1:$AZ$1001,ROW(),설정!$C$11)&amp;"","")</f>
        <v/>
      </c>
      <c r="J765">
        <f>IFERROR(INDEX('1.산군_붙여넣기'!$A$1:$AZ$1001,ROW(),설정!$C$12)&amp;"","")</f>
        <v/>
      </c>
      <c r="K765">
        <f>IFERROR(INDEX('1.산군_붙여넣기'!$A$1:$AZ$1001,ROW(),설정!$C$13)&amp;"","")</f>
        <v/>
      </c>
      <c r="L765" s="6">
        <f>IF(X765="","",IF(AND(LEN(X765)=8,ISNUMBER(X765*1)),DATE(LEFT(X765,4),MID(X765,5,2),RIGHT(X765,2)),IFERROR(DATEVALUE(SUBSTITUTE(SUBSTITUTE(X765,".","-"),"/","-")),IFERROR(X765*1,""))))</f>
        <v/>
      </c>
      <c r="M765" s="6">
        <f>IF(Y765="","",IF(AND(LEN(Y765)=8,ISNUMBER(Y765*1)),DATE(LEFT(Y765,4),MID(Y765,5,2),RIGHT(Y765,2)),IFERROR(DATEVALUE(SUBSTITUTE(SUBSTITUTE(Y765,".","-"),"/","-")),IFERROR(Y765*1,""))))</f>
        <v/>
      </c>
      <c r="N765">
        <f>IFERROR(LEFT(B765,FIND(" ",B765)-1),B765)</f>
        <v/>
      </c>
      <c r="O765">
        <f>AND(B765&lt;&gt;"",B765&lt;&gt;설정!$B$4,C765&lt;&gt;설정!$B$5)</f>
        <v/>
      </c>
      <c r="P765">
        <f>IF(O765,B765&amp;"|"&amp;C765,"")</f>
        <v/>
      </c>
      <c r="Q765">
        <f>AND(O765,COUNTIF(P766:P$1002,P765)=0)</f>
        <v/>
      </c>
      <c r="R765">
        <f>OR(AND(설정!$A$28&lt;&gt;"",ISNUMBER(SEARCH(설정!$A$28,E765&amp;" "&amp;C765))),AND(설정!$A$29&lt;&gt;"",ISNUMBER(SEARCH(설정!$A$29,E765&amp;" "&amp;C765))),AND(설정!$A$30&lt;&gt;"",ISNUMBER(SEARCH(설정!$A$30,E765&amp;" "&amp;C765))),AND(설정!$A$31&lt;&gt;"",ISNUMBER(SEARCH(설정!$A$31,E765&amp;" "&amp;C765))),AND(설정!$A$32&lt;&gt;"",ISNUMBER(SEARCH(설정!$A$32,E765&amp;" "&amp;C765))),AND(설정!$A$33&lt;&gt;"",ISNUMBER(SEARCH(설정!$A$33,E765&amp;" "&amp;C765))),AND(설정!$A$34&lt;&gt;"",ISNUMBER(SEARCH(설정!$A$34,E765&amp;" "&amp;C765))),AND(설정!$A$35&lt;&gt;"",ISNUMBER(SEARCH(설정!$A$35,E765&amp;" "&amp;C765))),AND(설정!$A$36&lt;&gt;"",ISNUMBER(SEARCH(설정!$A$36,E765&amp;" "&amp;C765))),AND(설정!$A$37&lt;&gt;"",ISNUMBER(SEARCH(설정!$A$37,E765&amp;" "&amp;C765))))</f>
        <v/>
      </c>
      <c r="S765">
        <f>OR(D765="",D765&gt;=설정!$B$19)</f>
        <v/>
      </c>
      <c r="T765">
        <f>AND(Q765,R765,S765)</f>
        <v/>
      </c>
      <c r="U765">
        <f>IF(T765,IF(AND(설정!$A$41&lt;&gt;"",ISNUMBER(SEARCH(설정!$A$41,K765))),설정!$B$41,IF(AND(설정!$A$42&lt;&gt;"",ISNUMBER(SEARCH(설정!$A$42,K765))),설정!$B$42,IF(AND(설정!$A$43&lt;&gt;"",ISNUMBER(SEARCH(설정!$A$43,K765))),설정!$B$43,IF(AND(설정!$A$44&lt;&gt;"",ISNUMBER(SEARCH(설정!$A$44,K765))),설정!$B$44,IF(AND(설정!$A$45&lt;&gt;"",ISNUMBER(SEARCH(설정!$A$45,K765))),설정!$B$45,IF(AND(설정!$A$46&lt;&gt;"",ISNUMBER(SEARCH(설정!$A$46,K765))),설정!$B$46,IF(AND(설정!$A$47&lt;&gt;"",ISNUMBER(SEARCH(설정!$A$47,K765))),설정!$B$47,IF(AND(설정!$A$48&lt;&gt;"",ISNUMBER(SEARCH(설정!$A$48,K765))),설정!$B$48,IF(M765="","설계사","시공사"))))))))),"")</f>
        <v/>
      </c>
      <c r="V765">
        <f>SUBSTITUTE(SUBSTITUTE(SUBSTITUTE(SUBSTITUTE(G765,"(주)",""),"㈜",""),"주식회사","")," ","")</f>
        <v/>
      </c>
      <c r="W765">
        <f>IF(AND(T765,V765&lt;&gt;""),IF(COUNTIFS(V$2:V765,V765,T$2:T765,TRUE)=1,MAX(W$1:W764)+1,""),"")</f>
        <v/>
      </c>
      <c r="X765">
        <f>IFERROR(INDEX('1.산군_붙여넣기'!$A$1:$AZ$1001,ROW(),설정!$C$14)&amp;"","")</f>
        <v/>
      </c>
      <c r="Y765">
        <f>IFERROR(INDEX('1.산군_붙여넣기'!$A$1:$AZ$1001,ROW(),설정!$C$15)&amp;"","")</f>
        <v/>
      </c>
      <c r="Z765">
        <f>IF(T765,V765&amp;"|"&amp;U765,"")</f>
        <v/>
      </c>
    </row>
    <row r="766">
      <c r="A766">
        <f>ROW()</f>
        <v/>
      </c>
      <c r="B766">
        <f>IFERROR(INDEX('1.산군_붙여넣기'!$A$1:$AZ$1001,ROW(),설정!$C$4)&amp;"","")</f>
        <v/>
      </c>
      <c r="C766">
        <f>IFERROR(INDEX('1.산군_붙여넣기'!$A$1:$AZ$1001,ROW(),설정!$C$5)&amp;"","")</f>
        <v/>
      </c>
      <c r="D766" s="5">
        <f>IFERROR(VALUE(SUBSTITUTE(SUBSTITUTE(SUBSTITUTE(IFERROR(INDEX('1.산군_붙여넣기'!$A$1:$AZ$1001,ROW(),설정!$C$6)&amp;"",""),",",""),"㎡",""),"m2","")),"")</f>
        <v/>
      </c>
      <c r="E766">
        <f>IFERROR(INDEX('1.산군_붙여넣기'!$A$1:$AZ$1001,ROW(),설정!$C$7)&amp;"","")</f>
        <v/>
      </c>
      <c r="F766">
        <f>IFERROR(INDEX('1.산군_붙여넣기'!$A$1:$AZ$1001,ROW(),설정!$C$8)&amp;"","")</f>
        <v/>
      </c>
      <c r="G766">
        <f>IFERROR(INDEX('1.산군_붙여넣기'!$A$1:$AZ$1001,ROW(),설정!$C$9)&amp;"","")</f>
        <v/>
      </c>
      <c r="H766">
        <f>IFERROR(INDEX('1.산군_붙여넣기'!$A$1:$AZ$1001,ROW(),설정!$C$10)&amp;"","")</f>
        <v/>
      </c>
      <c r="I766">
        <f>IFERROR(INDEX('1.산군_붙여넣기'!$A$1:$AZ$1001,ROW(),설정!$C$11)&amp;"","")</f>
        <v/>
      </c>
      <c r="J766">
        <f>IFERROR(INDEX('1.산군_붙여넣기'!$A$1:$AZ$1001,ROW(),설정!$C$12)&amp;"","")</f>
        <v/>
      </c>
      <c r="K766">
        <f>IFERROR(INDEX('1.산군_붙여넣기'!$A$1:$AZ$1001,ROW(),설정!$C$13)&amp;"","")</f>
        <v/>
      </c>
      <c r="L766" s="6">
        <f>IF(X766="","",IF(AND(LEN(X766)=8,ISNUMBER(X766*1)),DATE(LEFT(X766,4),MID(X766,5,2),RIGHT(X766,2)),IFERROR(DATEVALUE(SUBSTITUTE(SUBSTITUTE(X766,".","-"),"/","-")),IFERROR(X766*1,""))))</f>
        <v/>
      </c>
      <c r="M766" s="6">
        <f>IF(Y766="","",IF(AND(LEN(Y766)=8,ISNUMBER(Y766*1)),DATE(LEFT(Y766,4),MID(Y766,5,2),RIGHT(Y766,2)),IFERROR(DATEVALUE(SUBSTITUTE(SUBSTITUTE(Y766,".","-"),"/","-")),IFERROR(Y766*1,""))))</f>
        <v/>
      </c>
      <c r="N766">
        <f>IFERROR(LEFT(B766,FIND(" ",B766)-1),B766)</f>
        <v/>
      </c>
      <c r="O766">
        <f>AND(B766&lt;&gt;"",B766&lt;&gt;설정!$B$4,C766&lt;&gt;설정!$B$5)</f>
        <v/>
      </c>
      <c r="P766">
        <f>IF(O766,B766&amp;"|"&amp;C766,"")</f>
        <v/>
      </c>
      <c r="Q766">
        <f>AND(O766,COUNTIF(P767:P$1002,P766)=0)</f>
        <v/>
      </c>
      <c r="R766">
        <f>OR(AND(설정!$A$28&lt;&gt;"",ISNUMBER(SEARCH(설정!$A$28,E766&amp;" "&amp;C766))),AND(설정!$A$29&lt;&gt;"",ISNUMBER(SEARCH(설정!$A$29,E766&amp;" "&amp;C766))),AND(설정!$A$30&lt;&gt;"",ISNUMBER(SEARCH(설정!$A$30,E766&amp;" "&amp;C766))),AND(설정!$A$31&lt;&gt;"",ISNUMBER(SEARCH(설정!$A$31,E766&amp;" "&amp;C766))),AND(설정!$A$32&lt;&gt;"",ISNUMBER(SEARCH(설정!$A$32,E766&amp;" "&amp;C766))),AND(설정!$A$33&lt;&gt;"",ISNUMBER(SEARCH(설정!$A$33,E766&amp;" "&amp;C766))),AND(설정!$A$34&lt;&gt;"",ISNUMBER(SEARCH(설정!$A$34,E766&amp;" "&amp;C766))),AND(설정!$A$35&lt;&gt;"",ISNUMBER(SEARCH(설정!$A$35,E766&amp;" "&amp;C766))),AND(설정!$A$36&lt;&gt;"",ISNUMBER(SEARCH(설정!$A$36,E766&amp;" "&amp;C766))),AND(설정!$A$37&lt;&gt;"",ISNUMBER(SEARCH(설정!$A$37,E766&amp;" "&amp;C766))))</f>
        <v/>
      </c>
      <c r="S766">
        <f>OR(D766="",D766&gt;=설정!$B$19)</f>
        <v/>
      </c>
      <c r="T766">
        <f>AND(Q766,R766,S766)</f>
        <v/>
      </c>
      <c r="U766">
        <f>IF(T766,IF(AND(설정!$A$41&lt;&gt;"",ISNUMBER(SEARCH(설정!$A$41,K766))),설정!$B$41,IF(AND(설정!$A$42&lt;&gt;"",ISNUMBER(SEARCH(설정!$A$42,K766))),설정!$B$42,IF(AND(설정!$A$43&lt;&gt;"",ISNUMBER(SEARCH(설정!$A$43,K766))),설정!$B$43,IF(AND(설정!$A$44&lt;&gt;"",ISNUMBER(SEARCH(설정!$A$44,K766))),설정!$B$44,IF(AND(설정!$A$45&lt;&gt;"",ISNUMBER(SEARCH(설정!$A$45,K766))),설정!$B$45,IF(AND(설정!$A$46&lt;&gt;"",ISNUMBER(SEARCH(설정!$A$46,K766))),설정!$B$46,IF(AND(설정!$A$47&lt;&gt;"",ISNUMBER(SEARCH(설정!$A$47,K766))),설정!$B$47,IF(AND(설정!$A$48&lt;&gt;"",ISNUMBER(SEARCH(설정!$A$48,K766))),설정!$B$48,IF(M766="","설계사","시공사"))))))))),"")</f>
        <v/>
      </c>
      <c r="V766">
        <f>SUBSTITUTE(SUBSTITUTE(SUBSTITUTE(SUBSTITUTE(G766,"(주)",""),"㈜",""),"주식회사","")," ","")</f>
        <v/>
      </c>
      <c r="W766">
        <f>IF(AND(T766,V766&lt;&gt;""),IF(COUNTIFS(V$2:V766,V766,T$2:T766,TRUE)=1,MAX(W$1:W765)+1,""),"")</f>
        <v/>
      </c>
      <c r="X766">
        <f>IFERROR(INDEX('1.산군_붙여넣기'!$A$1:$AZ$1001,ROW(),설정!$C$14)&amp;"","")</f>
        <v/>
      </c>
      <c r="Y766">
        <f>IFERROR(INDEX('1.산군_붙여넣기'!$A$1:$AZ$1001,ROW(),설정!$C$15)&amp;"","")</f>
        <v/>
      </c>
      <c r="Z766">
        <f>IF(T766,V766&amp;"|"&amp;U766,"")</f>
        <v/>
      </c>
    </row>
    <row r="767">
      <c r="A767">
        <f>ROW()</f>
        <v/>
      </c>
      <c r="B767">
        <f>IFERROR(INDEX('1.산군_붙여넣기'!$A$1:$AZ$1001,ROW(),설정!$C$4)&amp;"","")</f>
        <v/>
      </c>
      <c r="C767">
        <f>IFERROR(INDEX('1.산군_붙여넣기'!$A$1:$AZ$1001,ROW(),설정!$C$5)&amp;"","")</f>
        <v/>
      </c>
      <c r="D767" s="5">
        <f>IFERROR(VALUE(SUBSTITUTE(SUBSTITUTE(SUBSTITUTE(IFERROR(INDEX('1.산군_붙여넣기'!$A$1:$AZ$1001,ROW(),설정!$C$6)&amp;"",""),",",""),"㎡",""),"m2","")),"")</f>
        <v/>
      </c>
      <c r="E767">
        <f>IFERROR(INDEX('1.산군_붙여넣기'!$A$1:$AZ$1001,ROW(),설정!$C$7)&amp;"","")</f>
        <v/>
      </c>
      <c r="F767">
        <f>IFERROR(INDEX('1.산군_붙여넣기'!$A$1:$AZ$1001,ROW(),설정!$C$8)&amp;"","")</f>
        <v/>
      </c>
      <c r="G767">
        <f>IFERROR(INDEX('1.산군_붙여넣기'!$A$1:$AZ$1001,ROW(),설정!$C$9)&amp;"","")</f>
        <v/>
      </c>
      <c r="H767">
        <f>IFERROR(INDEX('1.산군_붙여넣기'!$A$1:$AZ$1001,ROW(),설정!$C$10)&amp;"","")</f>
        <v/>
      </c>
      <c r="I767">
        <f>IFERROR(INDEX('1.산군_붙여넣기'!$A$1:$AZ$1001,ROW(),설정!$C$11)&amp;"","")</f>
        <v/>
      </c>
      <c r="J767">
        <f>IFERROR(INDEX('1.산군_붙여넣기'!$A$1:$AZ$1001,ROW(),설정!$C$12)&amp;"","")</f>
        <v/>
      </c>
      <c r="K767">
        <f>IFERROR(INDEX('1.산군_붙여넣기'!$A$1:$AZ$1001,ROW(),설정!$C$13)&amp;"","")</f>
        <v/>
      </c>
      <c r="L767" s="6">
        <f>IF(X767="","",IF(AND(LEN(X767)=8,ISNUMBER(X767*1)),DATE(LEFT(X767,4),MID(X767,5,2),RIGHT(X767,2)),IFERROR(DATEVALUE(SUBSTITUTE(SUBSTITUTE(X767,".","-"),"/","-")),IFERROR(X767*1,""))))</f>
        <v/>
      </c>
      <c r="M767" s="6">
        <f>IF(Y767="","",IF(AND(LEN(Y767)=8,ISNUMBER(Y767*1)),DATE(LEFT(Y767,4),MID(Y767,5,2),RIGHT(Y767,2)),IFERROR(DATEVALUE(SUBSTITUTE(SUBSTITUTE(Y767,".","-"),"/","-")),IFERROR(Y767*1,""))))</f>
        <v/>
      </c>
      <c r="N767">
        <f>IFERROR(LEFT(B767,FIND(" ",B767)-1),B767)</f>
        <v/>
      </c>
      <c r="O767">
        <f>AND(B767&lt;&gt;"",B767&lt;&gt;설정!$B$4,C767&lt;&gt;설정!$B$5)</f>
        <v/>
      </c>
      <c r="P767">
        <f>IF(O767,B767&amp;"|"&amp;C767,"")</f>
        <v/>
      </c>
      <c r="Q767">
        <f>AND(O767,COUNTIF(P768:P$1002,P767)=0)</f>
        <v/>
      </c>
      <c r="R767">
        <f>OR(AND(설정!$A$28&lt;&gt;"",ISNUMBER(SEARCH(설정!$A$28,E767&amp;" "&amp;C767))),AND(설정!$A$29&lt;&gt;"",ISNUMBER(SEARCH(설정!$A$29,E767&amp;" "&amp;C767))),AND(설정!$A$30&lt;&gt;"",ISNUMBER(SEARCH(설정!$A$30,E767&amp;" "&amp;C767))),AND(설정!$A$31&lt;&gt;"",ISNUMBER(SEARCH(설정!$A$31,E767&amp;" "&amp;C767))),AND(설정!$A$32&lt;&gt;"",ISNUMBER(SEARCH(설정!$A$32,E767&amp;" "&amp;C767))),AND(설정!$A$33&lt;&gt;"",ISNUMBER(SEARCH(설정!$A$33,E767&amp;" "&amp;C767))),AND(설정!$A$34&lt;&gt;"",ISNUMBER(SEARCH(설정!$A$34,E767&amp;" "&amp;C767))),AND(설정!$A$35&lt;&gt;"",ISNUMBER(SEARCH(설정!$A$35,E767&amp;" "&amp;C767))),AND(설정!$A$36&lt;&gt;"",ISNUMBER(SEARCH(설정!$A$36,E767&amp;" "&amp;C767))),AND(설정!$A$37&lt;&gt;"",ISNUMBER(SEARCH(설정!$A$37,E767&amp;" "&amp;C767))))</f>
        <v/>
      </c>
      <c r="S767">
        <f>OR(D767="",D767&gt;=설정!$B$19)</f>
        <v/>
      </c>
      <c r="T767">
        <f>AND(Q767,R767,S767)</f>
        <v/>
      </c>
      <c r="U767">
        <f>IF(T767,IF(AND(설정!$A$41&lt;&gt;"",ISNUMBER(SEARCH(설정!$A$41,K767))),설정!$B$41,IF(AND(설정!$A$42&lt;&gt;"",ISNUMBER(SEARCH(설정!$A$42,K767))),설정!$B$42,IF(AND(설정!$A$43&lt;&gt;"",ISNUMBER(SEARCH(설정!$A$43,K767))),설정!$B$43,IF(AND(설정!$A$44&lt;&gt;"",ISNUMBER(SEARCH(설정!$A$44,K767))),설정!$B$44,IF(AND(설정!$A$45&lt;&gt;"",ISNUMBER(SEARCH(설정!$A$45,K767))),설정!$B$45,IF(AND(설정!$A$46&lt;&gt;"",ISNUMBER(SEARCH(설정!$A$46,K767))),설정!$B$46,IF(AND(설정!$A$47&lt;&gt;"",ISNUMBER(SEARCH(설정!$A$47,K767))),설정!$B$47,IF(AND(설정!$A$48&lt;&gt;"",ISNUMBER(SEARCH(설정!$A$48,K767))),설정!$B$48,IF(M767="","설계사","시공사"))))))))),"")</f>
        <v/>
      </c>
      <c r="V767">
        <f>SUBSTITUTE(SUBSTITUTE(SUBSTITUTE(SUBSTITUTE(G767,"(주)",""),"㈜",""),"주식회사","")," ","")</f>
        <v/>
      </c>
      <c r="W767">
        <f>IF(AND(T767,V767&lt;&gt;""),IF(COUNTIFS(V$2:V767,V767,T$2:T767,TRUE)=1,MAX(W$1:W766)+1,""),"")</f>
        <v/>
      </c>
      <c r="X767">
        <f>IFERROR(INDEX('1.산군_붙여넣기'!$A$1:$AZ$1001,ROW(),설정!$C$14)&amp;"","")</f>
        <v/>
      </c>
      <c r="Y767">
        <f>IFERROR(INDEX('1.산군_붙여넣기'!$A$1:$AZ$1001,ROW(),설정!$C$15)&amp;"","")</f>
        <v/>
      </c>
      <c r="Z767">
        <f>IF(T767,V767&amp;"|"&amp;U767,"")</f>
        <v/>
      </c>
    </row>
    <row r="768">
      <c r="A768">
        <f>ROW()</f>
        <v/>
      </c>
      <c r="B768">
        <f>IFERROR(INDEX('1.산군_붙여넣기'!$A$1:$AZ$1001,ROW(),설정!$C$4)&amp;"","")</f>
        <v/>
      </c>
      <c r="C768">
        <f>IFERROR(INDEX('1.산군_붙여넣기'!$A$1:$AZ$1001,ROW(),설정!$C$5)&amp;"","")</f>
        <v/>
      </c>
      <c r="D768" s="5">
        <f>IFERROR(VALUE(SUBSTITUTE(SUBSTITUTE(SUBSTITUTE(IFERROR(INDEX('1.산군_붙여넣기'!$A$1:$AZ$1001,ROW(),설정!$C$6)&amp;"",""),",",""),"㎡",""),"m2","")),"")</f>
        <v/>
      </c>
      <c r="E768">
        <f>IFERROR(INDEX('1.산군_붙여넣기'!$A$1:$AZ$1001,ROW(),설정!$C$7)&amp;"","")</f>
        <v/>
      </c>
      <c r="F768">
        <f>IFERROR(INDEX('1.산군_붙여넣기'!$A$1:$AZ$1001,ROW(),설정!$C$8)&amp;"","")</f>
        <v/>
      </c>
      <c r="G768">
        <f>IFERROR(INDEX('1.산군_붙여넣기'!$A$1:$AZ$1001,ROW(),설정!$C$9)&amp;"","")</f>
        <v/>
      </c>
      <c r="H768">
        <f>IFERROR(INDEX('1.산군_붙여넣기'!$A$1:$AZ$1001,ROW(),설정!$C$10)&amp;"","")</f>
        <v/>
      </c>
      <c r="I768">
        <f>IFERROR(INDEX('1.산군_붙여넣기'!$A$1:$AZ$1001,ROW(),설정!$C$11)&amp;"","")</f>
        <v/>
      </c>
      <c r="J768">
        <f>IFERROR(INDEX('1.산군_붙여넣기'!$A$1:$AZ$1001,ROW(),설정!$C$12)&amp;"","")</f>
        <v/>
      </c>
      <c r="K768">
        <f>IFERROR(INDEX('1.산군_붙여넣기'!$A$1:$AZ$1001,ROW(),설정!$C$13)&amp;"","")</f>
        <v/>
      </c>
      <c r="L768" s="6">
        <f>IF(X768="","",IF(AND(LEN(X768)=8,ISNUMBER(X768*1)),DATE(LEFT(X768,4),MID(X768,5,2),RIGHT(X768,2)),IFERROR(DATEVALUE(SUBSTITUTE(SUBSTITUTE(X768,".","-"),"/","-")),IFERROR(X768*1,""))))</f>
        <v/>
      </c>
      <c r="M768" s="6">
        <f>IF(Y768="","",IF(AND(LEN(Y768)=8,ISNUMBER(Y768*1)),DATE(LEFT(Y768,4),MID(Y768,5,2),RIGHT(Y768,2)),IFERROR(DATEVALUE(SUBSTITUTE(SUBSTITUTE(Y768,".","-"),"/","-")),IFERROR(Y768*1,""))))</f>
        <v/>
      </c>
      <c r="N768">
        <f>IFERROR(LEFT(B768,FIND(" ",B768)-1),B768)</f>
        <v/>
      </c>
      <c r="O768">
        <f>AND(B768&lt;&gt;"",B768&lt;&gt;설정!$B$4,C768&lt;&gt;설정!$B$5)</f>
        <v/>
      </c>
      <c r="P768">
        <f>IF(O768,B768&amp;"|"&amp;C768,"")</f>
        <v/>
      </c>
      <c r="Q768">
        <f>AND(O768,COUNTIF(P769:P$1002,P768)=0)</f>
        <v/>
      </c>
      <c r="R768">
        <f>OR(AND(설정!$A$28&lt;&gt;"",ISNUMBER(SEARCH(설정!$A$28,E768&amp;" "&amp;C768))),AND(설정!$A$29&lt;&gt;"",ISNUMBER(SEARCH(설정!$A$29,E768&amp;" "&amp;C768))),AND(설정!$A$30&lt;&gt;"",ISNUMBER(SEARCH(설정!$A$30,E768&amp;" "&amp;C768))),AND(설정!$A$31&lt;&gt;"",ISNUMBER(SEARCH(설정!$A$31,E768&amp;" "&amp;C768))),AND(설정!$A$32&lt;&gt;"",ISNUMBER(SEARCH(설정!$A$32,E768&amp;" "&amp;C768))),AND(설정!$A$33&lt;&gt;"",ISNUMBER(SEARCH(설정!$A$33,E768&amp;" "&amp;C768))),AND(설정!$A$34&lt;&gt;"",ISNUMBER(SEARCH(설정!$A$34,E768&amp;" "&amp;C768))),AND(설정!$A$35&lt;&gt;"",ISNUMBER(SEARCH(설정!$A$35,E768&amp;" "&amp;C768))),AND(설정!$A$36&lt;&gt;"",ISNUMBER(SEARCH(설정!$A$36,E768&amp;" "&amp;C768))),AND(설정!$A$37&lt;&gt;"",ISNUMBER(SEARCH(설정!$A$37,E768&amp;" "&amp;C768))))</f>
        <v/>
      </c>
      <c r="S768">
        <f>OR(D768="",D768&gt;=설정!$B$19)</f>
        <v/>
      </c>
      <c r="T768">
        <f>AND(Q768,R768,S768)</f>
        <v/>
      </c>
      <c r="U768">
        <f>IF(T768,IF(AND(설정!$A$41&lt;&gt;"",ISNUMBER(SEARCH(설정!$A$41,K768))),설정!$B$41,IF(AND(설정!$A$42&lt;&gt;"",ISNUMBER(SEARCH(설정!$A$42,K768))),설정!$B$42,IF(AND(설정!$A$43&lt;&gt;"",ISNUMBER(SEARCH(설정!$A$43,K768))),설정!$B$43,IF(AND(설정!$A$44&lt;&gt;"",ISNUMBER(SEARCH(설정!$A$44,K768))),설정!$B$44,IF(AND(설정!$A$45&lt;&gt;"",ISNUMBER(SEARCH(설정!$A$45,K768))),설정!$B$45,IF(AND(설정!$A$46&lt;&gt;"",ISNUMBER(SEARCH(설정!$A$46,K768))),설정!$B$46,IF(AND(설정!$A$47&lt;&gt;"",ISNUMBER(SEARCH(설정!$A$47,K768))),설정!$B$47,IF(AND(설정!$A$48&lt;&gt;"",ISNUMBER(SEARCH(설정!$A$48,K768))),설정!$B$48,IF(M768="","설계사","시공사"))))))))),"")</f>
        <v/>
      </c>
      <c r="V768">
        <f>SUBSTITUTE(SUBSTITUTE(SUBSTITUTE(SUBSTITUTE(G768,"(주)",""),"㈜",""),"주식회사","")," ","")</f>
        <v/>
      </c>
      <c r="W768">
        <f>IF(AND(T768,V768&lt;&gt;""),IF(COUNTIFS(V$2:V768,V768,T$2:T768,TRUE)=1,MAX(W$1:W767)+1,""),"")</f>
        <v/>
      </c>
      <c r="X768">
        <f>IFERROR(INDEX('1.산군_붙여넣기'!$A$1:$AZ$1001,ROW(),설정!$C$14)&amp;"","")</f>
        <v/>
      </c>
      <c r="Y768">
        <f>IFERROR(INDEX('1.산군_붙여넣기'!$A$1:$AZ$1001,ROW(),설정!$C$15)&amp;"","")</f>
        <v/>
      </c>
      <c r="Z768">
        <f>IF(T768,V768&amp;"|"&amp;U768,"")</f>
        <v/>
      </c>
    </row>
    <row r="769">
      <c r="A769">
        <f>ROW()</f>
        <v/>
      </c>
      <c r="B769">
        <f>IFERROR(INDEX('1.산군_붙여넣기'!$A$1:$AZ$1001,ROW(),설정!$C$4)&amp;"","")</f>
        <v/>
      </c>
      <c r="C769">
        <f>IFERROR(INDEX('1.산군_붙여넣기'!$A$1:$AZ$1001,ROW(),설정!$C$5)&amp;"","")</f>
        <v/>
      </c>
      <c r="D769" s="5">
        <f>IFERROR(VALUE(SUBSTITUTE(SUBSTITUTE(SUBSTITUTE(IFERROR(INDEX('1.산군_붙여넣기'!$A$1:$AZ$1001,ROW(),설정!$C$6)&amp;"",""),",",""),"㎡",""),"m2","")),"")</f>
        <v/>
      </c>
      <c r="E769">
        <f>IFERROR(INDEX('1.산군_붙여넣기'!$A$1:$AZ$1001,ROW(),설정!$C$7)&amp;"","")</f>
        <v/>
      </c>
      <c r="F769">
        <f>IFERROR(INDEX('1.산군_붙여넣기'!$A$1:$AZ$1001,ROW(),설정!$C$8)&amp;"","")</f>
        <v/>
      </c>
      <c r="G769">
        <f>IFERROR(INDEX('1.산군_붙여넣기'!$A$1:$AZ$1001,ROW(),설정!$C$9)&amp;"","")</f>
        <v/>
      </c>
      <c r="H769">
        <f>IFERROR(INDEX('1.산군_붙여넣기'!$A$1:$AZ$1001,ROW(),설정!$C$10)&amp;"","")</f>
        <v/>
      </c>
      <c r="I769">
        <f>IFERROR(INDEX('1.산군_붙여넣기'!$A$1:$AZ$1001,ROW(),설정!$C$11)&amp;"","")</f>
        <v/>
      </c>
      <c r="J769">
        <f>IFERROR(INDEX('1.산군_붙여넣기'!$A$1:$AZ$1001,ROW(),설정!$C$12)&amp;"","")</f>
        <v/>
      </c>
      <c r="K769">
        <f>IFERROR(INDEX('1.산군_붙여넣기'!$A$1:$AZ$1001,ROW(),설정!$C$13)&amp;"","")</f>
        <v/>
      </c>
      <c r="L769" s="6">
        <f>IF(X769="","",IF(AND(LEN(X769)=8,ISNUMBER(X769*1)),DATE(LEFT(X769,4),MID(X769,5,2),RIGHT(X769,2)),IFERROR(DATEVALUE(SUBSTITUTE(SUBSTITUTE(X769,".","-"),"/","-")),IFERROR(X769*1,""))))</f>
        <v/>
      </c>
      <c r="M769" s="6">
        <f>IF(Y769="","",IF(AND(LEN(Y769)=8,ISNUMBER(Y769*1)),DATE(LEFT(Y769,4),MID(Y769,5,2),RIGHT(Y769,2)),IFERROR(DATEVALUE(SUBSTITUTE(SUBSTITUTE(Y769,".","-"),"/","-")),IFERROR(Y769*1,""))))</f>
        <v/>
      </c>
      <c r="N769">
        <f>IFERROR(LEFT(B769,FIND(" ",B769)-1),B769)</f>
        <v/>
      </c>
      <c r="O769">
        <f>AND(B769&lt;&gt;"",B769&lt;&gt;설정!$B$4,C769&lt;&gt;설정!$B$5)</f>
        <v/>
      </c>
      <c r="P769">
        <f>IF(O769,B769&amp;"|"&amp;C769,"")</f>
        <v/>
      </c>
      <c r="Q769">
        <f>AND(O769,COUNTIF(P770:P$1002,P769)=0)</f>
        <v/>
      </c>
      <c r="R769">
        <f>OR(AND(설정!$A$28&lt;&gt;"",ISNUMBER(SEARCH(설정!$A$28,E769&amp;" "&amp;C769))),AND(설정!$A$29&lt;&gt;"",ISNUMBER(SEARCH(설정!$A$29,E769&amp;" "&amp;C769))),AND(설정!$A$30&lt;&gt;"",ISNUMBER(SEARCH(설정!$A$30,E769&amp;" "&amp;C769))),AND(설정!$A$31&lt;&gt;"",ISNUMBER(SEARCH(설정!$A$31,E769&amp;" "&amp;C769))),AND(설정!$A$32&lt;&gt;"",ISNUMBER(SEARCH(설정!$A$32,E769&amp;" "&amp;C769))),AND(설정!$A$33&lt;&gt;"",ISNUMBER(SEARCH(설정!$A$33,E769&amp;" "&amp;C769))),AND(설정!$A$34&lt;&gt;"",ISNUMBER(SEARCH(설정!$A$34,E769&amp;" "&amp;C769))),AND(설정!$A$35&lt;&gt;"",ISNUMBER(SEARCH(설정!$A$35,E769&amp;" "&amp;C769))),AND(설정!$A$36&lt;&gt;"",ISNUMBER(SEARCH(설정!$A$36,E769&amp;" "&amp;C769))),AND(설정!$A$37&lt;&gt;"",ISNUMBER(SEARCH(설정!$A$37,E769&amp;" "&amp;C769))))</f>
        <v/>
      </c>
      <c r="S769">
        <f>OR(D769="",D769&gt;=설정!$B$19)</f>
        <v/>
      </c>
      <c r="T769">
        <f>AND(Q769,R769,S769)</f>
        <v/>
      </c>
      <c r="U769">
        <f>IF(T769,IF(AND(설정!$A$41&lt;&gt;"",ISNUMBER(SEARCH(설정!$A$41,K769))),설정!$B$41,IF(AND(설정!$A$42&lt;&gt;"",ISNUMBER(SEARCH(설정!$A$42,K769))),설정!$B$42,IF(AND(설정!$A$43&lt;&gt;"",ISNUMBER(SEARCH(설정!$A$43,K769))),설정!$B$43,IF(AND(설정!$A$44&lt;&gt;"",ISNUMBER(SEARCH(설정!$A$44,K769))),설정!$B$44,IF(AND(설정!$A$45&lt;&gt;"",ISNUMBER(SEARCH(설정!$A$45,K769))),설정!$B$45,IF(AND(설정!$A$46&lt;&gt;"",ISNUMBER(SEARCH(설정!$A$46,K769))),설정!$B$46,IF(AND(설정!$A$47&lt;&gt;"",ISNUMBER(SEARCH(설정!$A$47,K769))),설정!$B$47,IF(AND(설정!$A$48&lt;&gt;"",ISNUMBER(SEARCH(설정!$A$48,K769))),설정!$B$48,IF(M769="","설계사","시공사"))))))))),"")</f>
        <v/>
      </c>
      <c r="V769">
        <f>SUBSTITUTE(SUBSTITUTE(SUBSTITUTE(SUBSTITUTE(G769,"(주)",""),"㈜",""),"주식회사","")," ","")</f>
        <v/>
      </c>
      <c r="W769">
        <f>IF(AND(T769,V769&lt;&gt;""),IF(COUNTIFS(V$2:V769,V769,T$2:T769,TRUE)=1,MAX(W$1:W768)+1,""),"")</f>
        <v/>
      </c>
      <c r="X769">
        <f>IFERROR(INDEX('1.산군_붙여넣기'!$A$1:$AZ$1001,ROW(),설정!$C$14)&amp;"","")</f>
        <v/>
      </c>
      <c r="Y769">
        <f>IFERROR(INDEX('1.산군_붙여넣기'!$A$1:$AZ$1001,ROW(),설정!$C$15)&amp;"","")</f>
        <v/>
      </c>
      <c r="Z769">
        <f>IF(T769,V769&amp;"|"&amp;U769,"")</f>
        <v/>
      </c>
    </row>
    <row r="770">
      <c r="A770">
        <f>ROW()</f>
        <v/>
      </c>
      <c r="B770">
        <f>IFERROR(INDEX('1.산군_붙여넣기'!$A$1:$AZ$1001,ROW(),설정!$C$4)&amp;"","")</f>
        <v/>
      </c>
      <c r="C770">
        <f>IFERROR(INDEX('1.산군_붙여넣기'!$A$1:$AZ$1001,ROW(),설정!$C$5)&amp;"","")</f>
        <v/>
      </c>
      <c r="D770" s="5">
        <f>IFERROR(VALUE(SUBSTITUTE(SUBSTITUTE(SUBSTITUTE(IFERROR(INDEX('1.산군_붙여넣기'!$A$1:$AZ$1001,ROW(),설정!$C$6)&amp;"",""),",",""),"㎡",""),"m2","")),"")</f>
        <v/>
      </c>
      <c r="E770">
        <f>IFERROR(INDEX('1.산군_붙여넣기'!$A$1:$AZ$1001,ROW(),설정!$C$7)&amp;"","")</f>
        <v/>
      </c>
      <c r="F770">
        <f>IFERROR(INDEX('1.산군_붙여넣기'!$A$1:$AZ$1001,ROW(),설정!$C$8)&amp;"","")</f>
        <v/>
      </c>
      <c r="G770">
        <f>IFERROR(INDEX('1.산군_붙여넣기'!$A$1:$AZ$1001,ROW(),설정!$C$9)&amp;"","")</f>
        <v/>
      </c>
      <c r="H770">
        <f>IFERROR(INDEX('1.산군_붙여넣기'!$A$1:$AZ$1001,ROW(),설정!$C$10)&amp;"","")</f>
        <v/>
      </c>
      <c r="I770">
        <f>IFERROR(INDEX('1.산군_붙여넣기'!$A$1:$AZ$1001,ROW(),설정!$C$11)&amp;"","")</f>
        <v/>
      </c>
      <c r="J770">
        <f>IFERROR(INDEX('1.산군_붙여넣기'!$A$1:$AZ$1001,ROW(),설정!$C$12)&amp;"","")</f>
        <v/>
      </c>
      <c r="K770">
        <f>IFERROR(INDEX('1.산군_붙여넣기'!$A$1:$AZ$1001,ROW(),설정!$C$13)&amp;"","")</f>
        <v/>
      </c>
      <c r="L770" s="6">
        <f>IF(X770="","",IF(AND(LEN(X770)=8,ISNUMBER(X770*1)),DATE(LEFT(X770,4),MID(X770,5,2),RIGHT(X770,2)),IFERROR(DATEVALUE(SUBSTITUTE(SUBSTITUTE(X770,".","-"),"/","-")),IFERROR(X770*1,""))))</f>
        <v/>
      </c>
      <c r="M770" s="6">
        <f>IF(Y770="","",IF(AND(LEN(Y770)=8,ISNUMBER(Y770*1)),DATE(LEFT(Y770,4),MID(Y770,5,2),RIGHT(Y770,2)),IFERROR(DATEVALUE(SUBSTITUTE(SUBSTITUTE(Y770,".","-"),"/","-")),IFERROR(Y770*1,""))))</f>
        <v/>
      </c>
      <c r="N770">
        <f>IFERROR(LEFT(B770,FIND(" ",B770)-1),B770)</f>
        <v/>
      </c>
      <c r="O770">
        <f>AND(B770&lt;&gt;"",B770&lt;&gt;설정!$B$4,C770&lt;&gt;설정!$B$5)</f>
        <v/>
      </c>
      <c r="P770">
        <f>IF(O770,B770&amp;"|"&amp;C770,"")</f>
        <v/>
      </c>
      <c r="Q770">
        <f>AND(O770,COUNTIF(P771:P$1002,P770)=0)</f>
        <v/>
      </c>
      <c r="R770">
        <f>OR(AND(설정!$A$28&lt;&gt;"",ISNUMBER(SEARCH(설정!$A$28,E770&amp;" "&amp;C770))),AND(설정!$A$29&lt;&gt;"",ISNUMBER(SEARCH(설정!$A$29,E770&amp;" "&amp;C770))),AND(설정!$A$30&lt;&gt;"",ISNUMBER(SEARCH(설정!$A$30,E770&amp;" "&amp;C770))),AND(설정!$A$31&lt;&gt;"",ISNUMBER(SEARCH(설정!$A$31,E770&amp;" "&amp;C770))),AND(설정!$A$32&lt;&gt;"",ISNUMBER(SEARCH(설정!$A$32,E770&amp;" "&amp;C770))),AND(설정!$A$33&lt;&gt;"",ISNUMBER(SEARCH(설정!$A$33,E770&amp;" "&amp;C770))),AND(설정!$A$34&lt;&gt;"",ISNUMBER(SEARCH(설정!$A$34,E770&amp;" "&amp;C770))),AND(설정!$A$35&lt;&gt;"",ISNUMBER(SEARCH(설정!$A$35,E770&amp;" "&amp;C770))),AND(설정!$A$36&lt;&gt;"",ISNUMBER(SEARCH(설정!$A$36,E770&amp;" "&amp;C770))),AND(설정!$A$37&lt;&gt;"",ISNUMBER(SEARCH(설정!$A$37,E770&amp;" "&amp;C770))))</f>
        <v/>
      </c>
      <c r="S770">
        <f>OR(D770="",D770&gt;=설정!$B$19)</f>
        <v/>
      </c>
      <c r="T770">
        <f>AND(Q770,R770,S770)</f>
        <v/>
      </c>
      <c r="U770">
        <f>IF(T770,IF(AND(설정!$A$41&lt;&gt;"",ISNUMBER(SEARCH(설정!$A$41,K770))),설정!$B$41,IF(AND(설정!$A$42&lt;&gt;"",ISNUMBER(SEARCH(설정!$A$42,K770))),설정!$B$42,IF(AND(설정!$A$43&lt;&gt;"",ISNUMBER(SEARCH(설정!$A$43,K770))),설정!$B$43,IF(AND(설정!$A$44&lt;&gt;"",ISNUMBER(SEARCH(설정!$A$44,K770))),설정!$B$44,IF(AND(설정!$A$45&lt;&gt;"",ISNUMBER(SEARCH(설정!$A$45,K770))),설정!$B$45,IF(AND(설정!$A$46&lt;&gt;"",ISNUMBER(SEARCH(설정!$A$46,K770))),설정!$B$46,IF(AND(설정!$A$47&lt;&gt;"",ISNUMBER(SEARCH(설정!$A$47,K770))),설정!$B$47,IF(AND(설정!$A$48&lt;&gt;"",ISNUMBER(SEARCH(설정!$A$48,K770))),설정!$B$48,IF(M770="","설계사","시공사"))))))))),"")</f>
        <v/>
      </c>
      <c r="V770">
        <f>SUBSTITUTE(SUBSTITUTE(SUBSTITUTE(SUBSTITUTE(G770,"(주)",""),"㈜",""),"주식회사","")," ","")</f>
        <v/>
      </c>
      <c r="W770">
        <f>IF(AND(T770,V770&lt;&gt;""),IF(COUNTIFS(V$2:V770,V770,T$2:T770,TRUE)=1,MAX(W$1:W769)+1,""),"")</f>
        <v/>
      </c>
      <c r="X770">
        <f>IFERROR(INDEX('1.산군_붙여넣기'!$A$1:$AZ$1001,ROW(),설정!$C$14)&amp;"","")</f>
        <v/>
      </c>
      <c r="Y770">
        <f>IFERROR(INDEX('1.산군_붙여넣기'!$A$1:$AZ$1001,ROW(),설정!$C$15)&amp;"","")</f>
        <v/>
      </c>
      <c r="Z770">
        <f>IF(T770,V770&amp;"|"&amp;U770,"")</f>
        <v/>
      </c>
    </row>
    <row r="771">
      <c r="A771">
        <f>ROW()</f>
        <v/>
      </c>
      <c r="B771">
        <f>IFERROR(INDEX('1.산군_붙여넣기'!$A$1:$AZ$1001,ROW(),설정!$C$4)&amp;"","")</f>
        <v/>
      </c>
      <c r="C771">
        <f>IFERROR(INDEX('1.산군_붙여넣기'!$A$1:$AZ$1001,ROW(),설정!$C$5)&amp;"","")</f>
        <v/>
      </c>
      <c r="D771" s="5">
        <f>IFERROR(VALUE(SUBSTITUTE(SUBSTITUTE(SUBSTITUTE(IFERROR(INDEX('1.산군_붙여넣기'!$A$1:$AZ$1001,ROW(),설정!$C$6)&amp;"",""),",",""),"㎡",""),"m2","")),"")</f>
        <v/>
      </c>
      <c r="E771">
        <f>IFERROR(INDEX('1.산군_붙여넣기'!$A$1:$AZ$1001,ROW(),설정!$C$7)&amp;"","")</f>
        <v/>
      </c>
      <c r="F771">
        <f>IFERROR(INDEX('1.산군_붙여넣기'!$A$1:$AZ$1001,ROW(),설정!$C$8)&amp;"","")</f>
        <v/>
      </c>
      <c r="G771">
        <f>IFERROR(INDEX('1.산군_붙여넣기'!$A$1:$AZ$1001,ROW(),설정!$C$9)&amp;"","")</f>
        <v/>
      </c>
      <c r="H771">
        <f>IFERROR(INDEX('1.산군_붙여넣기'!$A$1:$AZ$1001,ROW(),설정!$C$10)&amp;"","")</f>
        <v/>
      </c>
      <c r="I771">
        <f>IFERROR(INDEX('1.산군_붙여넣기'!$A$1:$AZ$1001,ROW(),설정!$C$11)&amp;"","")</f>
        <v/>
      </c>
      <c r="J771">
        <f>IFERROR(INDEX('1.산군_붙여넣기'!$A$1:$AZ$1001,ROW(),설정!$C$12)&amp;"","")</f>
        <v/>
      </c>
      <c r="K771">
        <f>IFERROR(INDEX('1.산군_붙여넣기'!$A$1:$AZ$1001,ROW(),설정!$C$13)&amp;"","")</f>
        <v/>
      </c>
      <c r="L771" s="6">
        <f>IF(X771="","",IF(AND(LEN(X771)=8,ISNUMBER(X771*1)),DATE(LEFT(X771,4),MID(X771,5,2),RIGHT(X771,2)),IFERROR(DATEVALUE(SUBSTITUTE(SUBSTITUTE(X771,".","-"),"/","-")),IFERROR(X771*1,""))))</f>
        <v/>
      </c>
      <c r="M771" s="6">
        <f>IF(Y771="","",IF(AND(LEN(Y771)=8,ISNUMBER(Y771*1)),DATE(LEFT(Y771,4),MID(Y771,5,2),RIGHT(Y771,2)),IFERROR(DATEVALUE(SUBSTITUTE(SUBSTITUTE(Y771,".","-"),"/","-")),IFERROR(Y771*1,""))))</f>
        <v/>
      </c>
      <c r="N771">
        <f>IFERROR(LEFT(B771,FIND(" ",B771)-1),B771)</f>
        <v/>
      </c>
      <c r="O771">
        <f>AND(B771&lt;&gt;"",B771&lt;&gt;설정!$B$4,C771&lt;&gt;설정!$B$5)</f>
        <v/>
      </c>
      <c r="P771">
        <f>IF(O771,B771&amp;"|"&amp;C771,"")</f>
        <v/>
      </c>
      <c r="Q771">
        <f>AND(O771,COUNTIF(P772:P$1002,P771)=0)</f>
        <v/>
      </c>
      <c r="R771">
        <f>OR(AND(설정!$A$28&lt;&gt;"",ISNUMBER(SEARCH(설정!$A$28,E771&amp;" "&amp;C771))),AND(설정!$A$29&lt;&gt;"",ISNUMBER(SEARCH(설정!$A$29,E771&amp;" "&amp;C771))),AND(설정!$A$30&lt;&gt;"",ISNUMBER(SEARCH(설정!$A$30,E771&amp;" "&amp;C771))),AND(설정!$A$31&lt;&gt;"",ISNUMBER(SEARCH(설정!$A$31,E771&amp;" "&amp;C771))),AND(설정!$A$32&lt;&gt;"",ISNUMBER(SEARCH(설정!$A$32,E771&amp;" "&amp;C771))),AND(설정!$A$33&lt;&gt;"",ISNUMBER(SEARCH(설정!$A$33,E771&amp;" "&amp;C771))),AND(설정!$A$34&lt;&gt;"",ISNUMBER(SEARCH(설정!$A$34,E771&amp;" "&amp;C771))),AND(설정!$A$35&lt;&gt;"",ISNUMBER(SEARCH(설정!$A$35,E771&amp;" "&amp;C771))),AND(설정!$A$36&lt;&gt;"",ISNUMBER(SEARCH(설정!$A$36,E771&amp;" "&amp;C771))),AND(설정!$A$37&lt;&gt;"",ISNUMBER(SEARCH(설정!$A$37,E771&amp;" "&amp;C771))))</f>
        <v/>
      </c>
      <c r="S771">
        <f>OR(D771="",D771&gt;=설정!$B$19)</f>
        <v/>
      </c>
      <c r="T771">
        <f>AND(Q771,R771,S771)</f>
        <v/>
      </c>
      <c r="U771">
        <f>IF(T771,IF(AND(설정!$A$41&lt;&gt;"",ISNUMBER(SEARCH(설정!$A$41,K771))),설정!$B$41,IF(AND(설정!$A$42&lt;&gt;"",ISNUMBER(SEARCH(설정!$A$42,K771))),설정!$B$42,IF(AND(설정!$A$43&lt;&gt;"",ISNUMBER(SEARCH(설정!$A$43,K771))),설정!$B$43,IF(AND(설정!$A$44&lt;&gt;"",ISNUMBER(SEARCH(설정!$A$44,K771))),설정!$B$44,IF(AND(설정!$A$45&lt;&gt;"",ISNUMBER(SEARCH(설정!$A$45,K771))),설정!$B$45,IF(AND(설정!$A$46&lt;&gt;"",ISNUMBER(SEARCH(설정!$A$46,K771))),설정!$B$46,IF(AND(설정!$A$47&lt;&gt;"",ISNUMBER(SEARCH(설정!$A$47,K771))),설정!$B$47,IF(AND(설정!$A$48&lt;&gt;"",ISNUMBER(SEARCH(설정!$A$48,K771))),설정!$B$48,IF(M771="","설계사","시공사"))))))))),"")</f>
        <v/>
      </c>
      <c r="V771">
        <f>SUBSTITUTE(SUBSTITUTE(SUBSTITUTE(SUBSTITUTE(G771,"(주)",""),"㈜",""),"주식회사","")," ","")</f>
        <v/>
      </c>
      <c r="W771">
        <f>IF(AND(T771,V771&lt;&gt;""),IF(COUNTIFS(V$2:V771,V771,T$2:T771,TRUE)=1,MAX(W$1:W770)+1,""),"")</f>
        <v/>
      </c>
      <c r="X771">
        <f>IFERROR(INDEX('1.산군_붙여넣기'!$A$1:$AZ$1001,ROW(),설정!$C$14)&amp;"","")</f>
        <v/>
      </c>
      <c r="Y771">
        <f>IFERROR(INDEX('1.산군_붙여넣기'!$A$1:$AZ$1001,ROW(),설정!$C$15)&amp;"","")</f>
        <v/>
      </c>
      <c r="Z771">
        <f>IF(T771,V771&amp;"|"&amp;U771,"")</f>
        <v/>
      </c>
    </row>
    <row r="772">
      <c r="A772">
        <f>ROW()</f>
        <v/>
      </c>
      <c r="B772">
        <f>IFERROR(INDEX('1.산군_붙여넣기'!$A$1:$AZ$1001,ROW(),설정!$C$4)&amp;"","")</f>
        <v/>
      </c>
      <c r="C772">
        <f>IFERROR(INDEX('1.산군_붙여넣기'!$A$1:$AZ$1001,ROW(),설정!$C$5)&amp;"","")</f>
        <v/>
      </c>
      <c r="D772" s="5">
        <f>IFERROR(VALUE(SUBSTITUTE(SUBSTITUTE(SUBSTITUTE(IFERROR(INDEX('1.산군_붙여넣기'!$A$1:$AZ$1001,ROW(),설정!$C$6)&amp;"",""),",",""),"㎡",""),"m2","")),"")</f>
        <v/>
      </c>
      <c r="E772">
        <f>IFERROR(INDEX('1.산군_붙여넣기'!$A$1:$AZ$1001,ROW(),설정!$C$7)&amp;"","")</f>
        <v/>
      </c>
      <c r="F772">
        <f>IFERROR(INDEX('1.산군_붙여넣기'!$A$1:$AZ$1001,ROW(),설정!$C$8)&amp;"","")</f>
        <v/>
      </c>
      <c r="G772">
        <f>IFERROR(INDEX('1.산군_붙여넣기'!$A$1:$AZ$1001,ROW(),설정!$C$9)&amp;"","")</f>
        <v/>
      </c>
      <c r="H772">
        <f>IFERROR(INDEX('1.산군_붙여넣기'!$A$1:$AZ$1001,ROW(),설정!$C$10)&amp;"","")</f>
        <v/>
      </c>
      <c r="I772">
        <f>IFERROR(INDEX('1.산군_붙여넣기'!$A$1:$AZ$1001,ROW(),설정!$C$11)&amp;"","")</f>
        <v/>
      </c>
      <c r="J772">
        <f>IFERROR(INDEX('1.산군_붙여넣기'!$A$1:$AZ$1001,ROW(),설정!$C$12)&amp;"","")</f>
        <v/>
      </c>
      <c r="K772">
        <f>IFERROR(INDEX('1.산군_붙여넣기'!$A$1:$AZ$1001,ROW(),설정!$C$13)&amp;"","")</f>
        <v/>
      </c>
      <c r="L772" s="6">
        <f>IF(X772="","",IF(AND(LEN(X772)=8,ISNUMBER(X772*1)),DATE(LEFT(X772,4),MID(X772,5,2),RIGHT(X772,2)),IFERROR(DATEVALUE(SUBSTITUTE(SUBSTITUTE(X772,".","-"),"/","-")),IFERROR(X772*1,""))))</f>
        <v/>
      </c>
      <c r="M772" s="6">
        <f>IF(Y772="","",IF(AND(LEN(Y772)=8,ISNUMBER(Y772*1)),DATE(LEFT(Y772,4),MID(Y772,5,2),RIGHT(Y772,2)),IFERROR(DATEVALUE(SUBSTITUTE(SUBSTITUTE(Y772,".","-"),"/","-")),IFERROR(Y772*1,""))))</f>
        <v/>
      </c>
      <c r="N772">
        <f>IFERROR(LEFT(B772,FIND(" ",B772)-1),B772)</f>
        <v/>
      </c>
      <c r="O772">
        <f>AND(B772&lt;&gt;"",B772&lt;&gt;설정!$B$4,C772&lt;&gt;설정!$B$5)</f>
        <v/>
      </c>
      <c r="P772">
        <f>IF(O772,B772&amp;"|"&amp;C772,"")</f>
        <v/>
      </c>
      <c r="Q772">
        <f>AND(O772,COUNTIF(P773:P$1002,P772)=0)</f>
        <v/>
      </c>
      <c r="R772">
        <f>OR(AND(설정!$A$28&lt;&gt;"",ISNUMBER(SEARCH(설정!$A$28,E772&amp;" "&amp;C772))),AND(설정!$A$29&lt;&gt;"",ISNUMBER(SEARCH(설정!$A$29,E772&amp;" "&amp;C772))),AND(설정!$A$30&lt;&gt;"",ISNUMBER(SEARCH(설정!$A$30,E772&amp;" "&amp;C772))),AND(설정!$A$31&lt;&gt;"",ISNUMBER(SEARCH(설정!$A$31,E772&amp;" "&amp;C772))),AND(설정!$A$32&lt;&gt;"",ISNUMBER(SEARCH(설정!$A$32,E772&amp;" "&amp;C772))),AND(설정!$A$33&lt;&gt;"",ISNUMBER(SEARCH(설정!$A$33,E772&amp;" "&amp;C772))),AND(설정!$A$34&lt;&gt;"",ISNUMBER(SEARCH(설정!$A$34,E772&amp;" "&amp;C772))),AND(설정!$A$35&lt;&gt;"",ISNUMBER(SEARCH(설정!$A$35,E772&amp;" "&amp;C772))),AND(설정!$A$36&lt;&gt;"",ISNUMBER(SEARCH(설정!$A$36,E772&amp;" "&amp;C772))),AND(설정!$A$37&lt;&gt;"",ISNUMBER(SEARCH(설정!$A$37,E772&amp;" "&amp;C772))))</f>
        <v/>
      </c>
      <c r="S772">
        <f>OR(D772="",D772&gt;=설정!$B$19)</f>
        <v/>
      </c>
      <c r="T772">
        <f>AND(Q772,R772,S772)</f>
        <v/>
      </c>
      <c r="U772">
        <f>IF(T772,IF(AND(설정!$A$41&lt;&gt;"",ISNUMBER(SEARCH(설정!$A$41,K772))),설정!$B$41,IF(AND(설정!$A$42&lt;&gt;"",ISNUMBER(SEARCH(설정!$A$42,K772))),설정!$B$42,IF(AND(설정!$A$43&lt;&gt;"",ISNUMBER(SEARCH(설정!$A$43,K772))),설정!$B$43,IF(AND(설정!$A$44&lt;&gt;"",ISNUMBER(SEARCH(설정!$A$44,K772))),설정!$B$44,IF(AND(설정!$A$45&lt;&gt;"",ISNUMBER(SEARCH(설정!$A$45,K772))),설정!$B$45,IF(AND(설정!$A$46&lt;&gt;"",ISNUMBER(SEARCH(설정!$A$46,K772))),설정!$B$46,IF(AND(설정!$A$47&lt;&gt;"",ISNUMBER(SEARCH(설정!$A$47,K772))),설정!$B$47,IF(AND(설정!$A$48&lt;&gt;"",ISNUMBER(SEARCH(설정!$A$48,K772))),설정!$B$48,IF(M772="","설계사","시공사"))))))))),"")</f>
        <v/>
      </c>
      <c r="V772">
        <f>SUBSTITUTE(SUBSTITUTE(SUBSTITUTE(SUBSTITUTE(G772,"(주)",""),"㈜",""),"주식회사","")," ","")</f>
        <v/>
      </c>
      <c r="W772">
        <f>IF(AND(T772,V772&lt;&gt;""),IF(COUNTIFS(V$2:V772,V772,T$2:T772,TRUE)=1,MAX(W$1:W771)+1,""),"")</f>
        <v/>
      </c>
      <c r="X772">
        <f>IFERROR(INDEX('1.산군_붙여넣기'!$A$1:$AZ$1001,ROW(),설정!$C$14)&amp;"","")</f>
        <v/>
      </c>
      <c r="Y772">
        <f>IFERROR(INDEX('1.산군_붙여넣기'!$A$1:$AZ$1001,ROW(),설정!$C$15)&amp;"","")</f>
        <v/>
      </c>
      <c r="Z772">
        <f>IF(T772,V772&amp;"|"&amp;U772,"")</f>
        <v/>
      </c>
    </row>
    <row r="773">
      <c r="A773">
        <f>ROW()</f>
        <v/>
      </c>
      <c r="B773">
        <f>IFERROR(INDEX('1.산군_붙여넣기'!$A$1:$AZ$1001,ROW(),설정!$C$4)&amp;"","")</f>
        <v/>
      </c>
      <c r="C773">
        <f>IFERROR(INDEX('1.산군_붙여넣기'!$A$1:$AZ$1001,ROW(),설정!$C$5)&amp;"","")</f>
        <v/>
      </c>
      <c r="D773" s="5">
        <f>IFERROR(VALUE(SUBSTITUTE(SUBSTITUTE(SUBSTITUTE(IFERROR(INDEX('1.산군_붙여넣기'!$A$1:$AZ$1001,ROW(),설정!$C$6)&amp;"",""),",",""),"㎡",""),"m2","")),"")</f>
        <v/>
      </c>
      <c r="E773">
        <f>IFERROR(INDEX('1.산군_붙여넣기'!$A$1:$AZ$1001,ROW(),설정!$C$7)&amp;"","")</f>
        <v/>
      </c>
      <c r="F773">
        <f>IFERROR(INDEX('1.산군_붙여넣기'!$A$1:$AZ$1001,ROW(),설정!$C$8)&amp;"","")</f>
        <v/>
      </c>
      <c r="G773">
        <f>IFERROR(INDEX('1.산군_붙여넣기'!$A$1:$AZ$1001,ROW(),설정!$C$9)&amp;"","")</f>
        <v/>
      </c>
      <c r="H773">
        <f>IFERROR(INDEX('1.산군_붙여넣기'!$A$1:$AZ$1001,ROW(),설정!$C$10)&amp;"","")</f>
        <v/>
      </c>
      <c r="I773">
        <f>IFERROR(INDEX('1.산군_붙여넣기'!$A$1:$AZ$1001,ROW(),설정!$C$11)&amp;"","")</f>
        <v/>
      </c>
      <c r="J773">
        <f>IFERROR(INDEX('1.산군_붙여넣기'!$A$1:$AZ$1001,ROW(),설정!$C$12)&amp;"","")</f>
        <v/>
      </c>
      <c r="K773">
        <f>IFERROR(INDEX('1.산군_붙여넣기'!$A$1:$AZ$1001,ROW(),설정!$C$13)&amp;"","")</f>
        <v/>
      </c>
      <c r="L773" s="6">
        <f>IF(X773="","",IF(AND(LEN(X773)=8,ISNUMBER(X773*1)),DATE(LEFT(X773,4),MID(X773,5,2),RIGHT(X773,2)),IFERROR(DATEVALUE(SUBSTITUTE(SUBSTITUTE(X773,".","-"),"/","-")),IFERROR(X773*1,""))))</f>
        <v/>
      </c>
      <c r="M773" s="6">
        <f>IF(Y773="","",IF(AND(LEN(Y773)=8,ISNUMBER(Y773*1)),DATE(LEFT(Y773,4),MID(Y773,5,2),RIGHT(Y773,2)),IFERROR(DATEVALUE(SUBSTITUTE(SUBSTITUTE(Y773,".","-"),"/","-")),IFERROR(Y773*1,""))))</f>
        <v/>
      </c>
      <c r="N773">
        <f>IFERROR(LEFT(B773,FIND(" ",B773)-1),B773)</f>
        <v/>
      </c>
      <c r="O773">
        <f>AND(B773&lt;&gt;"",B773&lt;&gt;설정!$B$4,C773&lt;&gt;설정!$B$5)</f>
        <v/>
      </c>
      <c r="P773">
        <f>IF(O773,B773&amp;"|"&amp;C773,"")</f>
        <v/>
      </c>
      <c r="Q773">
        <f>AND(O773,COUNTIF(P774:P$1002,P773)=0)</f>
        <v/>
      </c>
      <c r="R773">
        <f>OR(AND(설정!$A$28&lt;&gt;"",ISNUMBER(SEARCH(설정!$A$28,E773&amp;" "&amp;C773))),AND(설정!$A$29&lt;&gt;"",ISNUMBER(SEARCH(설정!$A$29,E773&amp;" "&amp;C773))),AND(설정!$A$30&lt;&gt;"",ISNUMBER(SEARCH(설정!$A$30,E773&amp;" "&amp;C773))),AND(설정!$A$31&lt;&gt;"",ISNUMBER(SEARCH(설정!$A$31,E773&amp;" "&amp;C773))),AND(설정!$A$32&lt;&gt;"",ISNUMBER(SEARCH(설정!$A$32,E773&amp;" "&amp;C773))),AND(설정!$A$33&lt;&gt;"",ISNUMBER(SEARCH(설정!$A$33,E773&amp;" "&amp;C773))),AND(설정!$A$34&lt;&gt;"",ISNUMBER(SEARCH(설정!$A$34,E773&amp;" "&amp;C773))),AND(설정!$A$35&lt;&gt;"",ISNUMBER(SEARCH(설정!$A$35,E773&amp;" "&amp;C773))),AND(설정!$A$36&lt;&gt;"",ISNUMBER(SEARCH(설정!$A$36,E773&amp;" "&amp;C773))),AND(설정!$A$37&lt;&gt;"",ISNUMBER(SEARCH(설정!$A$37,E773&amp;" "&amp;C773))))</f>
        <v/>
      </c>
      <c r="S773">
        <f>OR(D773="",D773&gt;=설정!$B$19)</f>
        <v/>
      </c>
      <c r="T773">
        <f>AND(Q773,R773,S773)</f>
        <v/>
      </c>
      <c r="U773">
        <f>IF(T773,IF(AND(설정!$A$41&lt;&gt;"",ISNUMBER(SEARCH(설정!$A$41,K773))),설정!$B$41,IF(AND(설정!$A$42&lt;&gt;"",ISNUMBER(SEARCH(설정!$A$42,K773))),설정!$B$42,IF(AND(설정!$A$43&lt;&gt;"",ISNUMBER(SEARCH(설정!$A$43,K773))),설정!$B$43,IF(AND(설정!$A$44&lt;&gt;"",ISNUMBER(SEARCH(설정!$A$44,K773))),설정!$B$44,IF(AND(설정!$A$45&lt;&gt;"",ISNUMBER(SEARCH(설정!$A$45,K773))),설정!$B$45,IF(AND(설정!$A$46&lt;&gt;"",ISNUMBER(SEARCH(설정!$A$46,K773))),설정!$B$46,IF(AND(설정!$A$47&lt;&gt;"",ISNUMBER(SEARCH(설정!$A$47,K773))),설정!$B$47,IF(AND(설정!$A$48&lt;&gt;"",ISNUMBER(SEARCH(설정!$A$48,K773))),설정!$B$48,IF(M773="","설계사","시공사"))))))))),"")</f>
        <v/>
      </c>
      <c r="V773">
        <f>SUBSTITUTE(SUBSTITUTE(SUBSTITUTE(SUBSTITUTE(G773,"(주)",""),"㈜",""),"주식회사","")," ","")</f>
        <v/>
      </c>
      <c r="W773">
        <f>IF(AND(T773,V773&lt;&gt;""),IF(COUNTIFS(V$2:V773,V773,T$2:T773,TRUE)=1,MAX(W$1:W772)+1,""),"")</f>
        <v/>
      </c>
      <c r="X773">
        <f>IFERROR(INDEX('1.산군_붙여넣기'!$A$1:$AZ$1001,ROW(),설정!$C$14)&amp;"","")</f>
        <v/>
      </c>
      <c r="Y773">
        <f>IFERROR(INDEX('1.산군_붙여넣기'!$A$1:$AZ$1001,ROW(),설정!$C$15)&amp;"","")</f>
        <v/>
      </c>
      <c r="Z773">
        <f>IF(T773,V773&amp;"|"&amp;U773,"")</f>
        <v/>
      </c>
    </row>
    <row r="774">
      <c r="A774">
        <f>ROW()</f>
        <v/>
      </c>
      <c r="B774">
        <f>IFERROR(INDEX('1.산군_붙여넣기'!$A$1:$AZ$1001,ROW(),설정!$C$4)&amp;"","")</f>
        <v/>
      </c>
      <c r="C774">
        <f>IFERROR(INDEX('1.산군_붙여넣기'!$A$1:$AZ$1001,ROW(),설정!$C$5)&amp;"","")</f>
        <v/>
      </c>
      <c r="D774" s="5">
        <f>IFERROR(VALUE(SUBSTITUTE(SUBSTITUTE(SUBSTITUTE(IFERROR(INDEX('1.산군_붙여넣기'!$A$1:$AZ$1001,ROW(),설정!$C$6)&amp;"",""),",",""),"㎡",""),"m2","")),"")</f>
        <v/>
      </c>
      <c r="E774">
        <f>IFERROR(INDEX('1.산군_붙여넣기'!$A$1:$AZ$1001,ROW(),설정!$C$7)&amp;"","")</f>
        <v/>
      </c>
      <c r="F774">
        <f>IFERROR(INDEX('1.산군_붙여넣기'!$A$1:$AZ$1001,ROW(),설정!$C$8)&amp;"","")</f>
        <v/>
      </c>
      <c r="G774">
        <f>IFERROR(INDEX('1.산군_붙여넣기'!$A$1:$AZ$1001,ROW(),설정!$C$9)&amp;"","")</f>
        <v/>
      </c>
      <c r="H774">
        <f>IFERROR(INDEX('1.산군_붙여넣기'!$A$1:$AZ$1001,ROW(),설정!$C$10)&amp;"","")</f>
        <v/>
      </c>
      <c r="I774">
        <f>IFERROR(INDEX('1.산군_붙여넣기'!$A$1:$AZ$1001,ROW(),설정!$C$11)&amp;"","")</f>
        <v/>
      </c>
      <c r="J774">
        <f>IFERROR(INDEX('1.산군_붙여넣기'!$A$1:$AZ$1001,ROW(),설정!$C$12)&amp;"","")</f>
        <v/>
      </c>
      <c r="K774">
        <f>IFERROR(INDEX('1.산군_붙여넣기'!$A$1:$AZ$1001,ROW(),설정!$C$13)&amp;"","")</f>
        <v/>
      </c>
      <c r="L774" s="6">
        <f>IF(X774="","",IF(AND(LEN(X774)=8,ISNUMBER(X774*1)),DATE(LEFT(X774,4),MID(X774,5,2),RIGHT(X774,2)),IFERROR(DATEVALUE(SUBSTITUTE(SUBSTITUTE(X774,".","-"),"/","-")),IFERROR(X774*1,""))))</f>
        <v/>
      </c>
      <c r="M774" s="6">
        <f>IF(Y774="","",IF(AND(LEN(Y774)=8,ISNUMBER(Y774*1)),DATE(LEFT(Y774,4),MID(Y774,5,2),RIGHT(Y774,2)),IFERROR(DATEVALUE(SUBSTITUTE(SUBSTITUTE(Y774,".","-"),"/","-")),IFERROR(Y774*1,""))))</f>
        <v/>
      </c>
      <c r="N774">
        <f>IFERROR(LEFT(B774,FIND(" ",B774)-1),B774)</f>
        <v/>
      </c>
      <c r="O774">
        <f>AND(B774&lt;&gt;"",B774&lt;&gt;설정!$B$4,C774&lt;&gt;설정!$B$5)</f>
        <v/>
      </c>
      <c r="P774">
        <f>IF(O774,B774&amp;"|"&amp;C774,"")</f>
        <v/>
      </c>
      <c r="Q774">
        <f>AND(O774,COUNTIF(P775:P$1002,P774)=0)</f>
        <v/>
      </c>
      <c r="R774">
        <f>OR(AND(설정!$A$28&lt;&gt;"",ISNUMBER(SEARCH(설정!$A$28,E774&amp;" "&amp;C774))),AND(설정!$A$29&lt;&gt;"",ISNUMBER(SEARCH(설정!$A$29,E774&amp;" "&amp;C774))),AND(설정!$A$30&lt;&gt;"",ISNUMBER(SEARCH(설정!$A$30,E774&amp;" "&amp;C774))),AND(설정!$A$31&lt;&gt;"",ISNUMBER(SEARCH(설정!$A$31,E774&amp;" "&amp;C774))),AND(설정!$A$32&lt;&gt;"",ISNUMBER(SEARCH(설정!$A$32,E774&amp;" "&amp;C774))),AND(설정!$A$33&lt;&gt;"",ISNUMBER(SEARCH(설정!$A$33,E774&amp;" "&amp;C774))),AND(설정!$A$34&lt;&gt;"",ISNUMBER(SEARCH(설정!$A$34,E774&amp;" "&amp;C774))),AND(설정!$A$35&lt;&gt;"",ISNUMBER(SEARCH(설정!$A$35,E774&amp;" "&amp;C774))),AND(설정!$A$36&lt;&gt;"",ISNUMBER(SEARCH(설정!$A$36,E774&amp;" "&amp;C774))),AND(설정!$A$37&lt;&gt;"",ISNUMBER(SEARCH(설정!$A$37,E774&amp;" "&amp;C774))))</f>
        <v/>
      </c>
      <c r="S774">
        <f>OR(D774="",D774&gt;=설정!$B$19)</f>
        <v/>
      </c>
      <c r="T774">
        <f>AND(Q774,R774,S774)</f>
        <v/>
      </c>
      <c r="U774">
        <f>IF(T774,IF(AND(설정!$A$41&lt;&gt;"",ISNUMBER(SEARCH(설정!$A$41,K774))),설정!$B$41,IF(AND(설정!$A$42&lt;&gt;"",ISNUMBER(SEARCH(설정!$A$42,K774))),설정!$B$42,IF(AND(설정!$A$43&lt;&gt;"",ISNUMBER(SEARCH(설정!$A$43,K774))),설정!$B$43,IF(AND(설정!$A$44&lt;&gt;"",ISNUMBER(SEARCH(설정!$A$44,K774))),설정!$B$44,IF(AND(설정!$A$45&lt;&gt;"",ISNUMBER(SEARCH(설정!$A$45,K774))),설정!$B$45,IF(AND(설정!$A$46&lt;&gt;"",ISNUMBER(SEARCH(설정!$A$46,K774))),설정!$B$46,IF(AND(설정!$A$47&lt;&gt;"",ISNUMBER(SEARCH(설정!$A$47,K774))),설정!$B$47,IF(AND(설정!$A$48&lt;&gt;"",ISNUMBER(SEARCH(설정!$A$48,K774))),설정!$B$48,IF(M774="","설계사","시공사"))))))))),"")</f>
        <v/>
      </c>
      <c r="V774">
        <f>SUBSTITUTE(SUBSTITUTE(SUBSTITUTE(SUBSTITUTE(G774,"(주)",""),"㈜",""),"주식회사","")," ","")</f>
        <v/>
      </c>
      <c r="W774">
        <f>IF(AND(T774,V774&lt;&gt;""),IF(COUNTIFS(V$2:V774,V774,T$2:T774,TRUE)=1,MAX(W$1:W773)+1,""),"")</f>
        <v/>
      </c>
      <c r="X774">
        <f>IFERROR(INDEX('1.산군_붙여넣기'!$A$1:$AZ$1001,ROW(),설정!$C$14)&amp;"","")</f>
        <v/>
      </c>
      <c r="Y774">
        <f>IFERROR(INDEX('1.산군_붙여넣기'!$A$1:$AZ$1001,ROW(),설정!$C$15)&amp;"","")</f>
        <v/>
      </c>
      <c r="Z774">
        <f>IF(T774,V774&amp;"|"&amp;U774,"")</f>
        <v/>
      </c>
    </row>
    <row r="775">
      <c r="A775">
        <f>ROW()</f>
        <v/>
      </c>
      <c r="B775">
        <f>IFERROR(INDEX('1.산군_붙여넣기'!$A$1:$AZ$1001,ROW(),설정!$C$4)&amp;"","")</f>
        <v/>
      </c>
      <c r="C775">
        <f>IFERROR(INDEX('1.산군_붙여넣기'!$A$1:$AZ$1001,ROW(),설정!$C$5)&amp;"","")</f>
        <v/>
      </c>
      <c r="D775" s="5">
        <f>IFERROR(VALUE(SUBSTITUTE(SUBSTITUTE(SUBSTITUTE(IFERROR(INDEX('1.산군_붙여넣기'!$A$1:$AZ$1001,ROW(),설정!$C$6)&amp;"",""),",",""),"㎡",""),"m2","")),"")</f>
        <v/>
      </c>
      <c r="E775">
        <f>IFERROR(INDEX('1.산군_붙여넣기'!$A$1:$AZ$1001,ROW(),설정!$C$7)&amp;"","")</f>
        <v/>
      </c>
      <c r="F775">
        <f>IFERROR(INDEX('1.산군_붙여넣기'!$A$1:$AZ$1001,ROW(),설정!$C$8)&amp;"","")</f>
        <v/>
      </c>
      <c r="G775">
        <f>IFERROR(INDEX('1.산군_붙여넣기'!$A$1:$AZ$1001,ROW(),설정!$C$9)&amp;"","")</f>
        <v/>
      </c>
      <c r="H775">
        <f>IFERROR(INDEX('1.산군_붙여넣기'!$A$1:$AZ$1001,ROW(),설정!$C$10)&amp;"","")</f>
        <v/>
      </c>
      <c r="I775">
        <f>IFERROR(INDEX('1.산군_붙여넣기'!$A$1:$AZ$1001,ROW(),설정!$C$11)&amp;"","")</f>
        <v/>
      </c>
      <c r="J775">
        <f>IFERROR(INDEX('1.산군_붙여넣기'!$A$1:$AZ$1001,ROW(),설정!$C$12)&amp;"","")</f>
        <v/>
      </c>
      <c r="K775">
        <f>IFERROR(INDEX('1.산군_붙여넣기'!$A$1:$AZ$1001,ROW(),설정!$C$13)&amp;"","")</f>
        <v/>
      </c>
      <c r="L775" s="6">
        <f>IF(X775="","",IF(AND(LEN(X775)=8,ISNUMBER(X775*1)),DATE(LEFT(X775,4),MID(X775,5,2),RIGHT(X775,2)),IFERROR(DATEVALUE(SUBSTITUTE(SUBSTITUTE(X775,".","-"),"/","-")),IFERROR(X775*1,""))))</f>
        <v/>
      </c>
      <c r="M775" s="6">
        <f>IF(Y775="","",IF(AND(LEN(Y775)=8,ISNUMBER(Y775*1)),DATE(LEFT(Y775,4),MID(Y775,5,2),RIGHT(Y775,2)),IFERROR(DATEVALUE(SUBSTITUTE(SUBSTITUTE(Y775,".","-"),"/","-")),IFERROR(Y775*1,""))))</f>
        <v/>
      </c>
      <c r="N775">
        <f>IFERROR(LEFT(B775,FIND(" ",B775)-1),B775)</f>
        <v/>
      </c>
      <c r="O775">
        <f>AND(B775&lt;&gt;"",B775&lt;&gt;설정!$B$4,C775&lt;&gt;설정!$B$5)</f>
        <v/>
      </c>
      <c r="P775">
        <f>IF(O775,B775&amp;"|"&amp;C775,"")</f>
        <v/>
      </c>
      <c r="Q775">
        <f>AND(O775,COUNTIF(P776:P$1002,P775)=0)</f>
        <v/>
      </c>
      <c r="R775">
        <f>OR(AND(설정!$A$28&lt;&gt;"",ISNUMBER(SEARCH(설정!$A$28,E775&amp;" "&amp;C775))),AND(설정!$A$29&lt;&gt;"",ISNUMBER(SEARCH(설정!$A$29,E775&amp;" "&amp;C775))),AND(설정!$A$30&lt;&gt;"",ISNUMBER(SEARCH(설정!$A$30,E775&amp;" "&amp;C775))),AND(설정!$A$31&lt;&gt;"",ISNUMBER(SEARCH(설정!$A$31,E775&amp;" "&amp;C775))),AND(설정!$A$32&lt;&gt;"",ISNUMBER(SEARCH(설정!$A$32,E775&amp;" "&amp;C775))),AND(설정!$A$33&lt;&gt;"",ISNUMBER(SEARCH(설정!$A$33,E775&amp;" "&amp;C775))),AND(설정!$A$34&lt;&gt;"",ISNUMBER(SEARCH(설정!$A$34,E775&amp;" "&amp;C775))),AND(설정!$A$35&lt;&gt;"",ISNUMBER(SEARCH(설정!$A$35,E775&amp;" "&amp;C775))),AND(설정!$A$36&lt;&gt;"",ISNUMBER(SEARCH(설정!$A$36,E775&amp;" "&amp;C775))),AND(설정!$A$37&lt;&gt;"",ISNUMBER(SEARCH(설정!$A$37,E775&amp;" "&amp;C775))))</f>
        <v/>
      </c>
      <c r="S775">
        <f>OR(D775="",D775&gt;=설정!$B$19)</f>
        <v/>
      </c>
      <c r="T775">
        <f>AND(Q775,R775,S775)</f>
        <v/>
      </c>
      <c r="U775">
        <f>IF(T775,IF(AND(설정!$A$41&lt;&gt;"",ISNUMBER(SEARCH(설정!$A$41,K775))),설정!$B$41,IF(AND(설정!$A$42&lt;&gt;"",ISNUMBER(SEARCH(설정!$A$42,K775))),설정!$B$42,IF(AND(설정!$A$43&lt;&gt;"",ISNUMBER(SEARCH(설정!$A$43,K775))),설정!$B$43,IF(AND(설정!$A$44&lt;&gt;"",ISNUMBER(SEARCH(설정!$A$44,K775))),설정!$B$44,IF(AND(설정!$A$45&lt;&gt;"",ISNUMBER(SEARCH(설정!$A$45,K775))),설정!$B$45,IF(AND(설정!$A$46&lt;&gt;"",ISNUMBER(SEARCH(설정!$A$46,K775))),설정!$B$46,IF(AND(설정!$A$47&lt;&gt;"",ISNUMBER(SEARCH(설정!$A$47,K775))),설정!$B$47,IF(AND(설정!$A$48&lt;&gt;"",ISNUMBER(SEARCH(설정!$A$48,K775))),설정!$B$48,IF(M775="","설계사","시공사"))))))))),"")</f>
        <v/>
      </c>
      <c r="V775">
        <f>SUBSTITUTE(SUBSTITUTE(SUBSTITUTE(SUBSTITUTE(G775,"(주)",""),"㈜",""),"주식회사","")," ","")</f>
        <v/>
      </c>
      <c r="W775">
        <f>IF(AND(T775,V775&lt;&gt;""),IF(COUNTIFS(V$2:V775,V775,T$2:T775,TRUE)=1,MAX(W$1:W774)+1,""),"")</f>
        <v/>
      </c>
      <c r="X775">
        <f>IFERROR(INDEX('1.산군_붙여넣기'!$A$1:$AZ$1001,ROW(),설정!$C$14)&amp;"","")</f>
        <v/>
      </c>
      <c r="Y775">
        <f>IFERROR(INDEX('1.산군_붙여넣기'!$A$1:$AZ$1001,ROW(),설정!$C$15)&amp;"","")</f>
        <v/>
      </c>
      <c r="Z775">
        <f>IF(T775,V775&amp;"|"&amp;U775,"")</f>
        <v/>
      </c>
    </row>
    <row r="776">
      <c r="A776">
        <f>ROW()</f>
        <v/>
      </c>
      <c r="B776">
        <f>IFERROR(INDEX('1.산군_붙여넣기'!$A$1:$AZ$1001,ROW(),설정!$C$4)&amp;"","")</f>
        <v/>
      </c>
      <c r="C776">
        <f>IFERROR(INDEX('1.산군_붙여넣기'!$A$1:$AZ$1001,ROW(),설정!$C$5)&amp;"","")</f>
        <v/>
      </c>
      <c r="D776" s="5">
        <f>IFERROR(VALUE(SUBSTITUTE(SUBSTITUTE(SUBSTITUTE(IFERROR(INDEX('1.산군_붙여넣기'!$A$1:$AZ$1001,ROW(),설정!$C$6)&amp;"",""),",",""),"㎡",""),"m2","")),"")</f>
        <v/>
      </c>
      <c r="E776">
        <f>IFERROR(INDEX('1.산군_붙여넣기'!$A$1:$AZ$1001,ROW(),설정!$C$7)&amp;"","")</f>
        <v/>
      </c>
      <c r="F776">
        <f>IFERROR(INDEX('1.산군_붙여넣기'!$A$1:$AZ$1001,ROW(),설정!$C$8)&amp;"","")</f>
        <v/>
      </c>
      <c r="G776">
        <f>IFERROR(INDEX('1.산군_붙여넣기'!$A$1:$AZ$1001,ROW(),설정!$C$9)&amp;"","")</f>
        <v/>
      </c>
      <c r="H776">
        <f>IFERROR(INDEX('1.산군_붙여넣기'!$A$1:$AZ$1001,ROW(),설정!$C$10)&amp;"","")</f>
        <v/>
      </c>
      <c r="I776">
        <f>IFERROR(INDEX('1.산군_붙여넣기'!$A$1:$AZ$1001,ROW(),설정!$C$11)&amp;"","")</f>
        <v/>
      </c>
      <c r="J776">
        <f>IFERROR(INDEX('1.산군_붙여넣기'!$A$1:$AZ$1001,ROW(),설정!$C$12)&amp;"","")</f>
        <v/>
      </c>
      <c r="K776">
        <f>IFERROR(INDEX('1.산군_붙여넣기'!$A$1:$AZ$1001,ROW(),설정!$C$13)&amp;"","")</f>
        <v/>
      </c>
      <c r="L776" s="6">
        <f>IF(X776="","",IF(AND(LEN(X776)=8,ISNUMBER(X776*1)),DATE(LEFT(X776,4),MID(X776,5,2),RIGHT(X776,2)),IFERROR(DATEVALUE(SUBSTITUTE(SUBSTITUTE(X776,".","-"),"/","-")),IFERROR(X776*1,""))))</f>
        <v/>
      </c>
      <c r="M776" s="6">
        <f>IF(Y776="","",IF(AND(LEN(Y776)=8,ISNUMBER(Y776*1)),DATE(LEFT(Y776,4),MID(Y776,5,2),RIGHT(Y776,2)),IFERROR(DATEVALUE(SUBSTITUTE(SUBSTITUTE(Y776,".","-"),"/","-")),IFERROR(Y776*1,""))))</f>
        <v/>
      </c>
      <c r="N776">
        <f>IFERROR(LEFT(B776,FIND(" ",B776)-1),B776)</f>
        <v/>
      </c>
      <c r="O776">
        <f>AND(B776&lt;&gt;"",B776&lt;&gt;설정!$B$4,C776&lt;&gt;설정!$B$5)</f>
        <v/>
      </c>
      <c r="P776">
        <f>IF(O776,B776&amp;"|"&amp;C776,"")</f>
        <v/>
      </c>
      <c r="Q776">
        <f>AND(O776,COUNTIF(P777:P$1002,P776)=0)</f>
        <v/>
      </c>
      <c r="R776">
        <f>OR(AND(설정!$A$28&lt;&gt;"",ISNUMBER(SEARCH(설정!$A$28,E776&amp;" "&amp;C776))),AND(설정!$A$29&lt;&gt;"",ISNUMBER(SEARCH(설정!$A$29,E776&amp;" "&amp;C776))),AND(설정!$A$30&lt;&gt;"",ISNUMBER(SEARCH(설정!$A$30,E776&amp;" "&amp;C776))),AND(설정!$A$31&lt;&gt;"",ISNUMBER(SEARCH(설정!$A$31,E776&amp;" "&amp;C776))),AND(설정!$A$32&lt;&gt;"",ISNUMBER(SEARCH(설정!$A$32,E776&amp;" "&amp;C776))),AND(설정!$A$33&lt;&gt;"",ISNUMBER(SEARCH(설정!$A$33,E776&amp;" "&amp;C776))),AND(설정!$A$34&lt;&gt;"",ISNUMBER(SEARCH(설정!$A$34,E776&amp;" "&amp;C776))),AND(설정!$A$35&lt;&gt;"",ISNUMBER(SEARCH(설정!$A$35,E776&amp;" "&amp;C776))),AND(설정!$A$36&lt;&gt;"",ISNUMBER(SEARCH(설정!$A$36,E776&amp;" "&amp;C776))),AND(설정!$A$37&lt;&gt;"",ISNUMBER(SEARCH(설정!$A$37,E776&amp;" "&amp;C776))))</f>
        <v/>
      </c>
      <c r="S776">
        <f>OR(D776="",D776&gt;=설정!$B$19)</f>
        <v/>
      </c>
      <c r="T776">
        <f>AND(Q776,R776,S776)</f>
        <v/>
      </c>
      <c r="U776">
        <f>IF(T776,IF(AND(설정!$A$41&lt;&gt;"",ISNUMBER(SEARCH(설정!$A$41,K776))),설정!$B$41,IF(AND(설정!$A$42&lt;&gt;"",ISNUMBER(SEARCH(설정!$A$42,K776))),설정!$B$42,IF(AND(설정!$A$43&lt;&gt;"",ISNUMBER(SEARCH(설정!$A$43,K776))),설정!$B$43,IF(AND(설정!$A$44&lt;&gt;"",ISNUMBER(SEARCH(설정!$A$44,K776))),설정!$B$44,IF(AND(설정!$A$45&lt;&gt;"",ISNUMBER(SEARCH(설정!$A$45,K776))),설정!$B$45,IF(AND(설정!$A$46&lt;&gt;"",ISNUMBER(SEARCH(설정!$A$46,K776))),설정!$B$46,IF(AND(설정!$A$47&lt;&gt;"",ISNUMBER(SEARCH(설정!$A$47,K776))),설정!$B$47,IF(AND(설정!$A$48&lt;&gt;"",ISNUMBER(SEARCH(설정!$A$48,K776))),설정!$B$48,IF(M776="","설계사","시공사"))))))))),"")</f>
        <v/>
      </c>
      <c r="V776">
        <f>SUBSTITUTE(SUBSTITUTE(SUBSTITUTE(SUBSTITUTE(G776,"(주)",""),"㈜",""),"주식회사","")," ","")</f>
        <v/>
      </c>
      <c r="W776">
        <f>IF(AND(T776,V776&lt;&gt;""),IF(COUNTIFS(V$2:V776,V776,T$2:T776,TRUE)=1,MAX(W$1:W775)+1,""),"")</f>
        <v/>
      </c>
      <c r="X776">
        <f>IFERROR(INDEX('1.산군_붙여넣기'!$A$1:$AZ$1001,ROW(),설정!$C$14)&amp;"","")</f>
        <v/>
      </c>
      <c r="Y776">
        <f>IFERROR(INDEX('1.산군_붙여넣기'!$A$1:$AZ$1001,ROW(),설정!$C$15)&amp;"","")</f>
        <v/>
      </c>
      <c r="Z776">
        <f>IF(T776,V776&amp;"|"&amp;U776,"")</f>
        <v/>
      </c>
    </row>
    <row r="777">
      <c r="A777">
        <f>ROW()</f>
        <v/>
      </c>
      <c r="B777">
        <f>IFERROR(INDEX('1.산군_붙여넣기'!$A$1:$AZ$1001,ROW(),설정!$C$4)&amp;"","")</f>
        <v/>
      </c>
      <c r="C777">
        <f>IFERROR(INDEX('1.산군_붙여넣기'!$A$1:$AZ$1001,ROW(),설정!$C$5)&amp;"","")</f>
        <v/>
      </c>
      <c r="D777" s="5">
        <f>IFERROR(VALUE(SUBSTITUTE(SUBSTITUTE(SUBSTITUTE(IFERROR(INDEX('1.산군_붙여넣기'!$A$1:$AZ$1001,ROW(),설정!$C$6)&amp;"",""),",",""),"㎡",""),"m2","")),"")</f>
        <v/>
      </c>
      <c r="E777">
        <f>IFERROR(INDEX('1.산군_붙여넣기'!$A$1:$AZ$1001,ROW(),설정!$C$7)&amp;"","")</f>
        <v/>
      </c>
      <c r="F777">
        <f>IFERROR(INDEX('1.산군_붙여넣기'!$A$1:$AZ$1001,ROW(),설정!$C$8)&amp;"","")</f>
        <v/>
      </c>
      <c r="G777">
        <f>IFERROR(INDEX('1.산군_붙여넣기'!$A$1:$AZ$1001,ROW(),설정!$C$9)&amp;"","")</f>
        <v/>
      </c>
      <c r="H777">
        <f>IFERROR(INDEX('1.산군_붙여넣기'!$A$1:$AZ$1001,ROW(),설정!$C$10)&amp;"","")</f>
        <v/>
      </c>
      <c r="I777">
        <f>IFERROR(INDEX('1.산군_붙여넣기'!$A$1:$AZ$1001,ROW(),설정!$C$11)&amp;"","")</f>
        <v/>
      </c>
      <c r="J777">
        <f>IFERROR(INDEX('1.산군_붙여넣기'!$A$1:$AZ$1001,ROW(),설정!$C$12)&amp;"","")</f>
        <v/>
      </c>
      <c r="K777">
        <f>IFERROR(INDEX('1.산군_붙여넣기'!$A$1:$AZ$1001,ROW(),설정!$C$13)&amp;"","")</f>
        <v/>
      </c>
      <c r="L777" s="6">
        <f>IF(X777="","",IF(AND(LEN(X777)=8,ISNUMBER(X777*1)),DATE(LEFT(X777,4),MID(X777,5,2),RIGHT(X777,2)),IFERROR(DATEVALUE(SUBSTITUTE(SUBSTITUTE(X777,".","-"),"/","-")),IFERROR(X777*1,""))))</f>
        <v/>
      </c>
      <c r="M777" s="6">
        <f>IF(Y777="","",IF(AND(LEN(Y777)=8,ISNUMBER(Y777*1)),DATE(LEFT(Y777,4),MID(Y777,5,2),RIGHT(Y777,2)),IFERROR(DATEVALUE(SUBSTITUTE(SUBSTITUTE(Y777,".","-"),"/","-")),IFERROR(Y777*1,""))))</f>
        <v/>
      </c>
      <c r="N777">
        <f>IFERROR(LEFT(B777,FIND(" ",B777)-1),B777)</f>
        <v/>
      </c>
      <c r="O777">
        <f>AND(B777&lt;&gt;"",B777&lt;&gt;설정!$B$4,C777&lt;&gt;설정!$B$5)</f>
        <v/>
      </c>
      <c r="P777">
        <f>IF(O777,B777&amp;"|"&amp;C777,"")</f>
        <v/>
      </c>
      <c r="Q777">
        <f>AND(O777,COUNTIF(P778:P$1002,P777)=0)</f>
        <v/>
      </c>
      <c r="R777">
        <f>OR(AND(설정!$A$28&lt;&gt;"",ISNUMBER(SEARCH(설정!$A$28,E777&amp;" "&amp;C777))),AND(설정!$A$29&lt;&gt;"",ISNUMBER(SEARCH(설정!$A$29,E777&amp;" "&amp;C777))),AND(설정!$A$30&lt;&gt;"",ISNUMBER(SEARCH(설정!$A$30,E777&amp;" "&amp;C777))),AND(설정!$A$31&lt;&gt;"",ISNUMBER(SEARCH(설정!$A$31,E777&amp;" "&amp;C777))),AND(설정!$A$32&lt;&gt;"",ISNUMBER(SEARCH(설정!$A$32,E777&amp;" "&amp;C777))),AND(설정!$A$33&lt;&gt;"",ISNUMBER(SEARCH(설정!$A$33,E777&amp;" "&amp;C777))),AND(설정!$A$34&lt;&gt;"",ISNUMBER(SEARCH(설정!$A$34,E777&amp;" "&amp;C777))),AND(설정!$A$35&lt;&gt;"",ISNUMBER(SEARCH(설정!$A$35,E777&amp;" "&amp;C777))),AND(설정!$A$36&lt;&gt;"",ISNUMBER(SEARCH(설정!$A$36,E777&amp;" "&amp;C777))),AND(설정!$A$37&lt;&gt;"",ISNUMBER(SEARCH(설정!$A$37,E777&amp;" "&amp;C777))))</f>
        <v/>
      </c>
      <c r="S777">
        <f>OR(D777="",D777&gt;=설정!$B$19)</f>
        <v/>
      </c>
      <c r="T777">
        <f>AND(Q777,R777,S777)</f>
        <v/>
      </c>
      <c r="U777">
        <f>IF(T777,IF(AND(설정!$A$41&lt;&gt;"",ISNUMBER(SEARCH(설정!$A$41,K777))),설정!$B$41,IF(AND(설정!$A$42&lt;&gt;"",ISNUMBER(SEARCH(설정!$A$42,K777))),설정!$B$42,IF(AND(설정!$A$43&lt;&gt;"",ISNUMBER(SEARCH(설정!$A$43,K777))),설정!$B$43,IF(AND(설정!$A$44&lt;&gt;"",ISNUMBER(SEARCH(설정!$A$44,K777))),설정!$B$44,IF(AND(설정!$A$45&lt;&gt;"",ISNUMBER(SEARCH(설정!$A$45,K777))),설정!$B$45,IF(AND(설정!$A$46&lt;&gt;"",ISNUMBER(SEARCH(설정!$A$46,K777))),설정!$B$46,IF(AND(설정!$A$47&lt;&gt;"",ISNUMBER(SEARCH(설정!$A$47,K777))),설정!$B$47,IF(AND(설정!$A$48&lt;&gt;"",ISNUMBER(SEARCH(설정!$A$48,K777))),설정!$B$48,IF(M777="","설계사","시공사"))))))))),"")</f>
        <v/>
      </c>
      <c r="V777">
        <f>SUBSTITUTE(SUBSTITUTE(SUBSTITUTE(SUBSTITUTE(G777,"(주)",""),"㈜",""),"주식회사","")," ","")</f>
        <v/>
      </c>
      <c r="W777">
        <f>IF(AND(T777,V777&lt;&gt;""),IF(COUNTIFS(V$2:V777,V777,T$2:T777,TRUE)=1,MAX(W$1:W776)+1,""),"")</f>
        <v/>
      </c>
      <c r="X777">
        <f>IFERROR(INDEX('1.산군_붙여넣기'!$A$1:$AZ$1001,ROW(),설정!$C$14)&amp;"","")</f>
        <v/>
      </c>
      <c r="Y777">
        <f>IFERROR(INDEX('1.산군_붙여넣기'!$A$1:$AZ$1001,ROW(),설정!$C$15)&amp;"","")</f>
        <v/>
      </c>
      <c r="Z777">
        <f>IF(T777,V777&amp;"|"&amp;U777,"")</f>
        <v/>
      </c>
    </row>
    <row r="778">
      <c r="A778">
        <f>ROW()</f>
        <v/>
      </c>
      <c r="B778">
        <f>IFERROR(INDEX('1.산군_붙여넣기'!$A$1:$AZ$1001,ROW(),설정!$C$4)&amp;"","")</f>
        <v/>
      </c>
      <c r="C778">
        <f>IFERROR(INDEX('1.산군_붙여넣기'!$A$1:$AZ$1001,ROW(),설정!$C$5)&amp;"","")</f>
        <v/>
      </c>
      <c r="D778" s="5">
        <f>IFERROR(VALUE(SUBSTITUTE(SUBSTITUTE(SUBSTITUTE(IFERROR(INDEX('1.산군_붙여넣기'!$A$1:$AZ$1001,ROW(),설정!$C$6)&amp;"",""),",",""),"㎡",""),"m2","")),"")</f>
        <v/>
      </c>
      <c r="E778">
        <f>IFERROR(INDEX('1.산군_붙여넣기'!$A$1:$AZ$1001,ROW(),설정!$C$7)&amp;"","")</f>
        <v/>
      </c>
      <c r="F778">
        <f>IFERROR(INDEX('1.산군_붙여넣기'!$A$1:$AZ$1001,ROW(),설정!$C$8)&amp;"","")</f>
        <v/>
      </c>
      <c r="G778">
        <f>IFERROR(INDEX('1.산군_붙여넣기'!$A$1:$AZ$1001,ROW(),설정!$C$9)&amp;"","")</f>
        <v/>
      </c>
      <c r="H778">
        <f>IFERROR(INDEX('1.산군_붙여넣기'!$A$1:$AZ$1001,ROW(),설정!$C$10)&amp;"","")</f>
        <v/>
      </c>
      <c r="I778">
        <f>IFERROR(INDEX('1.산군_붙여넣기'!$A$1:$AZ$1001,ROW(),설정!$C$11)&amp;"","")</f>
        <v/>
      </c>
      <c r="J778">
        <f>IFERROR(INDEX('1.산군_붙여넣기'!$A$1:$AZ$1001,ROW(),설정!$C$12)&amp;"","")</f>
        <v/>
      </c>
      <c r="K778">
        <f>IFERROR(INDEX('1.산군_붙여넣기'!$A$1:$AZ$1001,ROW(),설정!$C$13)&amp;"","")</f>
        <v/>
      </c>
      <c r="L778" s="6">
        <f>IF(X778="","",IF(AND(LEN(X778)=8,ISNUMBER(X778*1)),DATE(LEFT(X778,4),MID(X778,5,2),RIGHT(X778,2)),IFERROR(DATEVALUE(SUBSTITUTE(SUBSTITUTE(X778,".","-"),"/","-")),IFERROR(X778*1,""))))</f>
        <v/>
      </c>
      <c r="M778" s="6">
        <f>IF(Y778="","",IF(AND(LEN(Y778)=8,ISNUMBER(Y778*1)),DATE(LEFT(Y778,4),MID(Y778,5,2),RIGHT(Y778,2)),IFERROR(DATEVALUE(SUBSTITUTE(SUBSTITUTE(Y778,".","-"),"/","-")),IFERROR(Y778*1,""))))</f>
        <v/>
      </c>
      <c r="N778">
        <f>IFERROR(LEFT(B778,FIND(" ",B778)-1),B778)</f>
        <v/>
      </c>
      <c r="O778">
        <f>AND(B778&lt;&gt;"",B778&lt;&gt;설정!$B$4,C778&lt;&gt;설정!$B$5)</f>
        <v/>
      </c>
      <c r="P778">
        <f>IF(O778,B778&amp;"|"&amp;C778,"")</f>
        <v/>
      </c>
      <c r="Q778">
        <f>AND(O778,COUNTIF(P779:P$1002,P778)=0)</f>
        <v/>
      </c>
      <c r="R778">
        <f>OR(AND(설정!$A$28&lt;&gt;"",ISNUMBER(SEARCH(설정!$A$28,E778&amp;" "&amp;C778))),AND(설정!$A$29&lt;&gt;"",ISNUMBER(SEARCH(설정!$A$29,E778&amp;" "&amp;C778))),AND(설정!$A$30&lt;&gt;"",ISNUMBER(SEARCH(설정!$A$30,E778&amp;" "&amp;C778))),AND(설정!$A$31&lt;&gt;"",ISNUMBER(SEARCH(설정!$A$31,E778&amp;" "&amp;C778))),AND(설정!$A$32&lt;&gt;"",ISNUMBER(SEARCH(설정!$A$32,E778&amp;" "&amp;C778))),AND(설정!$A$33&lt;&gt;"",ISNUMBER(SEARCH(설정!$A$33,E778&amp;" "&amp;C778))),AND(설정!$A$34&lt;&gt;"",ISNUMBER(SEARCH(설정!$A$34,E778&amp;" "&amp;C778))),AND(설정!$A$35&lt;&gt;"",ISNUMBER(SEARCH(설정!$A$35,E778&amp;" "&amp;C778))),AND(설정!$A$36&lt;&gt;"",ISNUMBER(SEARCH(설정!$A$36,E778&amp;" "&amp;C778))),AND(설정!$A$37&lt;&gt;"",ISNUMBER(SEARCH(설정!$A$37,E778&amp;" "&amp;C778))))</f>
        <v/>
      </c>
      <c r="S778">
        <f>OR(D778="",D778&gt;=설정!$B$19)</f>
        <v/>
      </c>
      <c r="T778">
        <f>AND(Q778,R778,S778)</f>
        <v/>
      </c>
      <c r="U778">
        <f>IF(T778,IF(AND(설정!$A$41&lt;&gt;"",ISNUMBER(SEARCH(설정!$A$41,K778))),설정!$B$41,IF(AND(설정!$A$42&lt;&gt;"",ISNUMBER(SEARCH(설정!$A$42,K778))),설정!$B$42,IF(AND(설정!$A$43&lt;&gt;"",ISNUMBER(SEARCH(설정!$A$43,K778))),설정!$B$43,IF(AND(설정!$A$44&lt;&gt;"",ISNUMBER(SEARCH(설정!$A$44,K778))),설정!$B$44,IF(AND(설정!$A$45&lt;&gt;"",ISNUMBER(SEARCH(설정!$A$45,K778))),설정!$B$45,IF(AND(설정!$A$46&lt;&gt;"",ISNUMBER(SEARCH(설정!$A$46,K778))),설정!$B$46,IF(AND(설정!$A$47&lt;&gt;"",ISNUMBER(SEARCH(설정!$A$47,K778))),설정!$B$47,IF(AND(설정!$A$48&lt;&gt;"",ISNUMBER(SEARCH(설정!$A$48,K778))),설정!$B$48,IF(M778="","설계사","시공사"))))))))),"")</f>
        <v/>
      </c>
      <c r="V778">
        <f>SUBSTITUTE(SUBSTITUTE(SUBSTITUTE(SUBSTITUTE(G778,"(주)",""),"㈜",""),"주식회사","")," ","")</f>
        <v/>
      </c>
      <c r="W778">
        <f>IF(AND(T778,V778&lt;&gt;""),IF(COUNTIFS(V$2:V778,V778,T$2:T778,TRUE)=1,MAX(W$1:W777)+1,""),"")</f>
        <v/>
      </c>
      <c r="X778">
        <f>IFERROR(INDEX('1.산군_붙여넣기'!$A$1:$AZ$1001,ROW(),설정!$C$14)&amp;"","")</f>
        <v/>
      </c>
      <c r="Y778">
        <f>IFERROR(INDEX('1.산군_붙여넣기'!$A$1:$AZ$1001,ROW(),설정!$C$15)&amp;"","")</f>
        <v/>
      </c>
      <c r="Z778">
        <f>IF(T778,V778&amp;"|"&amp;U778,"")</f>
        <v/>
      </c>
    </row>
    <row r="779">
      <c r="A779">
        <f>ROW()</f>
        <v/>
      </c>
      <c r="B779">
        <f>IFERROR(INDEX('1.산군_붙여넣기'!$A$1:$AZ$1001,ROW(),설정!$C$4)&amp;"","")</f>
        <v/>
      </c>
      <c r="C779">
        <f>IFERROR(INDEX('1.산군_붙여넣기'!$A$1:$AZ$1001,ROW(),설정!$C$5)&amp;"","")</f>
        <v/>
      </c>
      <c r="D779" s="5">
        <f>IFERROR(VALUE(SUBSTITUTE(SUBSTITUTE(SUBSTITUTE(IFERROR(INDEX('1.산군_붙여넣기'!$A$1:$AZ$1001,ROW(),설정!$C$6)&amp;"",""),",",""),"㎡",""),"m2","")),"")</f>
        <v/>
      </c>
      <c r="E779">
        <f>IFERROR(INDEX('1.산군_붙여넣기'!$A$1:$AZ$1001,ROW(),설정!$C$7)&amp;"","")</f>
        <v/>
      </c>
      <c r="F779">
        <f>IFERROR(INDEX('1.산군_붙여넣기'!$A$1:$AZ$1001,ROW(),설정!$C$8)&amp;"","")</f>
        <v/>
      </c>
      <c r="G779">
        <f>IFERROR(INDEX('1.산군_붙여넣기'!$A$1:$AZ$1001,ROW(),설정!$C$9)&amp;"","")</f>
        <v/>
      </c>
      <c r="H779">
        <f>IFERROR(INDEX('1.산군_붙여넣기'!$A$1:$AZ$1001,ROW(),설정!$C$10)&amp;"","")</f>
        <v/>
      </c>
      <c r="I779">
        <f>IFERROR(INDEX('1.산군_붙여넣기'!$A$1:$AZ$1001,ROW(),설정!$C$11)&amp;"","")</f>
        <v/>
      </c>
      <c r="J779">
        <f>IFERROR(INDEX('1.산군_붙여넣기'!$A$1:$AZ$1001,ROW(),설정!$C$12)&amp;"","")</f>
        <v/>
      </c>
      <c r="K779">
        <f>IFERROR(INDEX('1.산군_붙여넣기'!$A$1:$AZ$1001,ROW(),설정!$C$13)&amp;"","")</f>
        <v/>
      </c>
      <c r="L779" s="6">
        <f>IF(X779="","",IF(AND(LEN(X779)=8,ISNUMBER(X779*1)),DATE(LEFT(X779,4),MID(X779,5,2),RIGHT(X779,2)),IFERROR(DATEVALUE(SUBSTITUTE(SUBSTITUTE(X779,".","-"),"/","-")),IFERROR(X779*1,""))))</f>
        <v/>
      </c>
      <c r="M779" s="6">
        <f>IF(Y779="","",IF(AND(LEN(Y779)=8,ISNUMBER(Y779*1)),DATE(LEFT(Y779,4),MID(Y779,5,2),RIGHT(Y779,2)),IFERROR(DATEVALUE(SUBSTITUTE(SUBSTITUTE(Y779,".","-"),"/","-")),IFERROR(Y779*1,""))))</f>
        <v/>
      </c>
      <c r="N779">
        <f>IFERROR(LEFT(B779,FIND(" ",B779)-1),B779)</f>
        <v/>
      </c>
      <c r="O779">
        <f>AND(B779&lt;&gt;"",B779&lt;&gt;설정!$B$4,C779&lt;&gt;설정!$B$5)</f>
        <v/>
      </c>
      <c r="P779">
        <f>IF(O779,B779&amp;"|"&amp;C779,"")</f>
        <v/>
      </c>
      <c r="Q779">
        <f>AND(O779,COUNTIF(P780:P$1002,P779)=0)</f>
        <v/>
      </c>
      <c r="R779">
        <f>OR(AND(설정!$A$28&lt;&gt;"",ISNUMBER(SEARCH(설정!$A$28,E779&amp;" "&amp;C779))),AND(설정!$A$29&lt;&gt;"",ISNUMBER(SEARCH(설정!$A$29,E779&amp;" "&amp;C779))),AND(설정!$A$30&lt;&gt;"",ISNUMBER(SEARCH(설정!$A$30,E779&amp;" "&amp;C779))),AND(설정!$A$31&lt;&gt;"",ISNUMBER(SEARCH(설정!$A$31,E779&amp;" "&amp;C779))),AND(설정!$A$32&lt;&gt;"",ISNUMBER(SEARCH(설정!$A$32,E779&amp;" "&amp;C779))),AND(설정!$A$33&lt;&gt;"",ISNUMBER(SEARCH(설정!$A$33,E779&amp;" "&amp;C779))),AND(설정!$A$34&lt;&gt;"",ISNUMBER(SEARCH(설정!$A$34,E779&amp;" "&amp;C779))),AND(설정!$A$35&lt;&gt;"",ISNUMBER(SEARCH(설정!$A$35,E779&amp;" "&amp;C779))),AND(설정!$A$36&lt;&gt;"",ISNUMBER(SEARCH(설정!$A$36,E779&amp;" "&amp;C779))),AND(설정!$A$37&lt;&gt;"",ISNUMBER(SEARCH(설정!$A$37,E779&amp;" "&amp;C779))))</f>
        <v/>
      </c>
      <c r="S779">
        <f>OR(D779="",D779&gt;=설정!$B$19)</f>
        <v/>
      </c>
      <c r="T779">
        <f>AND(Q779,R779,S779)</f>
        <v/>
      </c>
      <c r="U779">
        <f>IF(T779,IF(AND(설정!$A$41&lt;&gt;"",ISNUMBER(SEARCH(설정!$A$41,K779))),설정!$B$41,IF(AND(설정!$A$42&lt;&gt;"",ISNUMBER(SEARCH(설정!$A$42,K779))),설정!$B$42,IF(AND(설정!$A$43&lt;&gt;"",ISNUMBER(SEARCH(설정!$A$43,K779))),설정!$B$43,IF(AND(설정!$A$44&lt;&gt;"",ISNUMBER(SEARCH(설정!$A$44,K779))),설정!$B$44,IF(AND(설정!$A$45&lt;&gt;"",ISNUMBER(SEARCH(설정!$A$45,K779))),설정!$B$45,IF(AND(설정!$A$46&lt;&gt;"",ISNUMBER(SEARCH(설정!$A$46,K779))),설정!$B$46,IF(AND(설정!$A$47&lt;&gt;"",ISNUMBER(SEARCH(설정!$A$47,K779))),설정!$B$47,IF(AND(설정!$A$48&lt;&gt;"",ISNUMBER(SEARCH(설정!$A$48,K779))),설정!$B$48,IF(M779="","설계사","시공사"))))))))),"")</f>
        <v/>
      </c>
      <c r="V779">
        <f>SUBSTITUTE(SUBSTITUTE(SUBSTITUTE(SUBSTITUTE(G779,"(주)",""),"㈜",""),"주식회사","")," ","")</f>
        <v/>
      </c>
      <c r="W779">
        <f>IF(AND(T779,V779&lt;&gt;""),IF(COUNTIFS(V$2:V779,V779,T$2:T779,TRUE)=1,MAX(W$1:W778)+1,""),"")</f>
        <v/>
      </c>
      <c r="X779">
        <f>IFERROR(INDEX('1.산군_붙여넣기'!$A$1:$AZ$1001,ROW(),설정!$C$14)&amp;"","")</f>
        <v/>
      </c>
      <c r="Y779">
        <f>IFERROR(INDEX('1.산군_붙여넣기'!$A$1:$AZ$1001,ROW(),설정!$C$15)&amp;"","")</f>
        <v/>
      </c>
      <c r="Z779">
        <f>IF(T779,V779&amp;"|"&amp;U779,"")</f>
        <v/>
      </c>
    </row>
    <row r="780">
      <c r="A780">
        <f>ROW()</f>
        <v/>
      </c>
      <c r="B780">
        <f>IFERROR(INDEX('1.산군_붙여넣기'!$A$1:$AZ$1001,ROW(),설정!$C$4)&amp;"","")</f>
        <v/>
      </c>
      <c r="C780">
        <f>IFERROR(INDEX('1.산군_붙여넣기'!$A$1:$AZ$1001,ROW(),설정!$C$5)&amp;"","")</f>
        <v/>
      </c>
      <c r="D780" s="5">
        <f>IFERROR(VALUE(SUBSTITUTE(SUBSTITUTE(SUBSTITUTE(IFERROR(INDEX('1.산군_붙여넣기'!$A$1:$AZ$1001,ROW(),설정!$C$6)&amp;"",""),",",""),"㎡",""),"m2","")),"")</f>
        <v/>
      </c>
      <c r="E780">
        <f>IFERROR(INDEX('1.산군_붙여넣기'!$A$1:$AZ$1001,ROW(),설정!$C$7)&amp;"","")</f>
        <v/>
      </c>
      <c r="F780">
        <f>IFERROR(INDEX('1.산군_붙여넣기'!$A$1:$AZ$1001,ROW(),설정!$C$8)&amp;"","")</f>
        <v/>
      </c>
      <c r="G780">
        <f>IFERROR(INDEX('1.산군_붙여넣기'!$A$1:$AZ$1001,ROW(),설정!$C$9)&amp;"","")</f>
        <v/>
      </c>
      <c r="H780">
        <f>IFERROR(INDEX('1.산군_붙여넣기'!$A$1:$AZ$1001,ROW(),설정!$C$10)&amp;"","")</f>
        <v/>
      </c>
      <c r="I780">
        <f>IFERROR(INDEX('1.산군_붙여넣기'!$A$1:$AZ$1001,ROW(),설정!$C$11)&amp;"","")</f>
        <v/>
      </c>
      <c r="J780">
        <f>IFERROR(INDEX('1.산군_붙여넣기'!$A$1:$AZ$1001,ROW(),설정!$C$12)&amp;"","")</f>
        <v/>
      </c>
      <c r="K780">
        <f>IFERROR(INDEX('1.산군_붙여넣기'!$A$1:$AZ$1001,ROW(),설정!$C$13)&amp;"","")</f>
        <v/>
      </c>
      <c r="L780" s="6">
        <f>IF(X780="","",IF(AND(LEN(X780)=8,ISNUMBER(X780*1)),DATE(LEFT(X780,4),MID(X780,5,2),RIGHT(X780,2)),IFERROR(DATEVALUE(SUBSTITUTE(SUBSTITUTE(X780,".","-"),"/","-")),IFERROR(X780*1,""))))</f>
        <v/>
      </c>
      <c r="M780" s="6">
        <f>IF(Y780="","",IF(AND(LEN(Y780)=8,ISNUMBER(Y780*1)),DATE(LEFT(Y780,4),MID(Y780,5,2),RIGHT(Y780,2)),IFERROR(DATEVALUE(SUBSTITUTE(SUBSTITUTE(Y780,".","-"),"/","-")),IFERROR(Y780*1,""))))</f>
        <v/>
      </c>
      <c r="N780">
        <f>IFERROR(LEFT(B780,FIND(" ",B780)-1),B780)</f>
        <v/>
      </c>
      <c r="O780">
        <f>AND(B780&lt;&gt;"",B780&lt;&gt;설정!$B$4,C780&lt;&gt;설정!$B$5)</f>
        <v/>
      </c>
      <c r="P780">
        <f>IF(O780,B780&amp;"|"&amp;C780,"")</f>
        <v/>
      </c>
      <c r="Q780">
        <f>AND(O780,COUNTIF(P781:P$1002,P780)=0)</f>
        <v/>
      </c>
      <c r="R780">
        <f>OR(AND(설정!$A$28&lt;&gt;"",ISNUMBER(SEARCH(설정!$A$28,E780&amp;" "&amp;C780))),AND(설정!$A$29&lt;&gt;"",ISNUMBER(SEARCH(설정!$A$29,E780&amp;" "&amp;C780))),AND(설정!$A$30&lt;&gt;"",ISNUMBER(SEARCH(설정!$A$30,E780&amp;" "&amp;C780))),AND(설정!$A$31&lt;&gt;"",ISNUMBER(SEARCH(설정!$A$31,E780&amp;" "&amp;C780))),AND(설정!$A$32&lt;&gt;"",ISNUMBER(SEARCH(설정!$A$32,E780&amp;" "&amp;C780))),AND(설정!$A$33&lt;&gt;"",ISNUMBER(SEARCH(설정!$A$33,E780&amp;" "&amp;C780))),AND(설정!$A$34&lt;&gt;"",ISNUMBER(SEARCH(설정!$A$34,E780&amp;" "&amp;C780))),AND(설정!$A$35&lt;&gt;"",ISNUMBER(SEARCH(설정!$A$35,E780&amp;" "&amp;C780))),AND(설정!$A$36&lt;&gt;"",ISNUMBER(SEARCH(설정!$A$36,E780&amp;" "&amp;C780))),AND(설정!$A$37&lt;&gt;"",ISNUMBER(SEARCH(설정!$A$37,E780&amp;" "&amp;C780))))</f>
        <v/>
      </c>
      <c r="S780">
        <f>OR(D780="",D780&gt;=설정!$B$19)</f>
        <v/>
      </c>
      <c r="T780">
        <f>AND(Q780,R780,S780)</f>
        <v/>
      </c>
      <c r="U780">
        <f>IF(T780,IF(AND(설정!$A$41&lt;&gt;"",ISNUMBER(SEARCH(설정!$A$41,K780))),설정!$B$41,IF(AND(설정!$A$42&lt;&gt;"",ISNUMBER(SEARCH(설정!$A$42,K780))),설정!$B$42,IF(AND(설정!$A$43&lt;&gt;"",ISNUMBER(SEARCH(설정!$A$43,K780))),설정!$B$43,IF(AND(설정!$A$44&lt;&gt;"",ISNUMBER(SEARCH(설정!$A$44,K780))),설정!$B$44,IF(AND(설정!$A$45&lt;&gt;"",ISNUMBER(SEARCH(설정!$A$45,K780))),설정!$B$45,IF(AND(설정!$A$46&lt;&gt;"",ISNUMBER(SEARCH(설정!$A$46,K780))),설정!$B$46,IF(AND(설정!$A$47&lt;&gt;"",ISNUMBER(SEARCH(설정!$A$47,K780))),설정!$B$47,IF(AND(설정!$A$48&lt;&gt;"",ISNUMBER(SEARCH(설정!$A$48,K780))),설정!$B$48,IF(M780="","설계사","시공사"))))))))),"")</f>
        <v/>
      </c>
      <c r="V780">
        <f>SUBSTITUTE(SUBSTITUTE(SUBSTITUTE(SUBSTITUTE(G780,"(주)",""),"㈜",""),"주식회사","")," ","")</f>
        <v/>
      </c>
      <c r="W780">
        <f>IF(AND(T780,V780&lt;&gt;""),IF(COUNTIFS(V$2:V780,V780,T$2:T780,TRUE)=1,MAX(W$1:W779)+1,""),"")</f>
        <v/>
      </c>
      <c r="X780">
        <f>IFERROR(INDEX('1.산군_붙여넣기'!$A$1:$AZ$1001,ROW(),설정!$C$14)&amp;"","")</f>
        <v/>
      </c>
      <c r="Y780">
        <f>IFERROR(INDEX('1.산군_붙여넣기'!$A$1:$AZ$1001,ROW(),설정!$C$15)&amp;"","")</f>
        <v/>
      </c>
      <c r="Z780">
        <f>IF(T780,V780&amp;"|"&amp;U780,"")</f>
        <v/>
      </c>
    </row>
    <row r="781">
      <c r="A781">
        <f>ROW()</f>
        <v/>
      </c>
      <c r="B781">
        <f>IFERROR(INDEX('1.산군_붙여넣기'!$A$1:$AZ$1001,ROW(),설정!$C$4)&amp;"","")</f>
        <v/>
      </c>
      <c r="C781">
        <f>IFERROR(INDEX('1.산군_붙여넣기'!$A$1:$AZ$1001,ROW(),설정!$C$5)&amp;"","")</f>
        <v/>
      </c>
      <c r="D781" s="5">
        <f>IFERROR(VALUE(SUBSTITUTE(SUBSTITUTE(SUBSTITUTE(IFERROR(INDEX('1.산군_붙여넣기'!$A$1:$AZ$1001,ROW(),설정!$C$6)&amp;"",""),",",""),"㎡",""),"m2","")),"")</f>
        <v/>
      </c>
      <c r="E781">
        <f>IFERROR(INDEX('1.산군_붙여넣기'!$A$1:$AZ$1001,ROW(),설정!$C$7)&amp;"","")</f>
        <v/>
      </c>
      <c r="F781">
        <f>IFERROR(INDEX('1.산군_붙여넣기'!$A$1:$AZ$1001,ROW(),설정!$C$8)&amp;"","")</f>
        <v/>
      </c>
      <c r="G781">
        <f>IFERROR(INDEX('1.산군_붙여넣기'!$A$1:$AZ$1001,ROW(),설정!$C$9)&amp;"","")</f>
        <v/>
      </c>
      <c r="H781">
        <f>IFERROR(INDEX('1.산군_붙여넣기'!$A$1:$AZ$1001,ROW(),설정!$C$10)&amp;"","")</f>
        <v/>
      </c>
      <c r="I781">
        <f>IFERROR(INDEX('1.산군_붙여넣기'!$A$1:$AZ$1001,ROW(),설정!$C$11)&amp;"","")</f>
        <v/>
      </c>
      <c r="J781">
        <f>IFERROR(INDEX('1.산군_붙여넣기'!$A$1:$AZ$1001,ROW(),설정!$C$12)&amp;"","")</f>
        <v/>
      </c>
      <c r="K781">
        <f>IFERROR(INDEX('1.산군_붙여넣기'!$A$1:$AZ$1001,ROW(),설정!$C$13)&amp;"","")</f>
        <v/>
      </c>
      <c r="L781" s="6">
        <f>IF(X781="","",IF(AND(LEN(X781)=8,ISNUMBER(X781*1)),DATE(LEFT(X781,4),MID(X781,5,2),RIGHT(X781,2)),IFERROR(DATEVALUE(SUBSTITUTE(SUBSTITUTE(X781,".","-"),"/","-")),IFERROR(X781*1,""))))</f>
        <v/>
      </c>
      <c r="M781" s="6">
        <f>IF(Y781="","",IF(AND(LEN(Y781)=8,ISNUMBER(Y781*1)),DATE(LEFT(Y781,4),MID(Y781,5,2),RIGHT(Y781,2)),IFERROR(DATEVALUE(SUBSTITUTE(SUBSTITUTE(Y781,".","-"),"/","-")),IFERROR(Y781*1,""))))</f>
        <v/>
      </c>
      <c r="N781">
        <f>IFERROR(LEFT(B781,FIND(" ",B781)-1),B781)</f>
        <v/>
      </c>
      <c r="O781">
        <f>AND(B781&lt;&gt;"",B781&lt;&gt;설정!$B$4,C781&lt;&gt;설정!$B$5)</f>
        <v/>
      </c>
      <c r="P781">
        <f>IF(O781,B781&amp;"|"&amp;C781,"")</f>
        <v/>
      </c>
      <c r="Q781">
        <f>AND(O781,COUNTIF(P782:P$1002,P781)=0)</f>
        <v/>
      </c>
      <c r="R781">
        <f>OR(AND(설정!$A$28&lt;&gt;"",ISNUMBER(SEARCH(설정!$A$28,E781&amp;" "&amp;C781))),AND(설정!$A$29&lt;&gt;"",ISNUMBER(SEARCH(설정!$A$29,E781&amp;" "&amp;C781))),AND(설정!$A$30&lt;&gt;"",ISNUMBER(SEARCH(설정!$A$30,E781&amp;" "&amp;C781))),AND(설정!$A$31&lt;&gt;"",ISNUMBER(SEARCH(설정!$A$31,E781&amp;" "&amp;C781))),AND(설정!$A$32&lt;&gt;"",ISNUMBER(SEARCH(설정!$A$32,E781&amp;" "&amp;C781))),AND(설정!$A$33&lt;&gt;"",ISNUMBER(SEARCH(설정!$A$33,E781&amp;" "&amp;C781))),AND(설정!$A$34&lt;&gt;"",ISNUMBER(SEARCH(설정!$A$34,E781&amp;" "&amp;C781))),AND(설정!$A$35&lt;&gt;"",ISNUMBER(SEARCH(설정!$A$35,E781&amp;" "&amp;C781))),AND(설정!$A$36&lt;&gt;"",ISNUMBER(SEARCH(설정!$A$36,E781&amp;" "&amp;C781))),AND(설정!$A$37&lt;&gt;"",ISNUMBER(SEARCH(설정!$A$37,E781&amp;" "&amp;C781))))</f>
        <v/>
      </c>
      <c r="S781">
        <f>OR(D781="",D781&gt;=설정!$B$19)</f>
        <v/>
      </c>
      <c r="T781">
        <f>AND(Q781,R781,S781)</f>
        <v/>
      </c>
      <c r="U781">
        <f>IF(T781,IF(AND(설정!$A$41&lt;&gt;"",ISNUMBER(SEARCH(설정!$A$41,K781))),설정!$B$41,IF(AND(설정!$A$42&lt;&gt;"",ISNUMBER(SEARCH(설정!$A$42,K781))),설정!$B$42,IF(AND(설정!$A$43&lt;&gt;"",ISNUMBER(SEARCH(설정!$A$43,K781))),설정!$B$43,IF(AND(설정!$A$44&lt;&gt;"",ISNUMBER(SEARCH(설정!$A$44,K781))),설정!$B$44,IF(AND(설정!$A$45&lt;&gt;"",ISNUMBER(SEARCH(설정!$A$45,K781))),설정!$B$45,IF(AND(설정!$A$46&lt;&gt;"",ISNUMBER(SEARCH(설정!$A$46,K781))),설정!$B$46,IF(AND(설정!$A$47&lt;&gt;"",ISNUMBER(SEARCH(설정!$A$47,K781))),설정!$B$47,IF(AND(설정!$A$48&lt;&gt;"",ISNUMBER(SEARCH(설정!$A$48,K781))),설정!$B$48,IF(M781="","설계사","시공사"))))))))),"")</f>
        <v/>
      </c>
      <c r="V781">
        <f>SUBSTITUTE(SUBSTITUTE(SUBSTITUTE(SUBSTITUTE(G781,"(주)",""),"㈜",""),"주식회사","")," ","")</f>
        <v/>
      </c>
      <c r="W781">
        <f>IF(AND(T781,V781&lt;&gt;""),IF(COUNTIFS(V$2:V781,V781,T$2:T781,TRUE)=1,MAX(W$1:W780)+1,""),"")</f>
        <v/>
      </c>
      <c r="X781">
        <f>IFERROR(INDEX('1.산군_붙여넣기'!$A$1:$AZ$1001,ROW(),설정!$C$14)&amp;"","")</f>
        <v/>
      </c>
      <c r="Y781">
        <f>IFERROR(INDEX('1.산군_붙여넣기'!$A$1:$AZ$1001,ROW(),설정!$C$15)&amp;"","")</f>
        <v/>
      </c>
      <c r="Z781">
        <f>IF(T781,V781&amp;"|"&amp;U781,"")</f>
        <v/>
      </c>
    </row>
    <row r="782">
      <c r="A782">
        <f>ROW()</f>
        <v/>
      </c>
      <c r="B782">
        <f>IFERROR(INDEX('1.산군_붙여넣기'!$A$1:$AZ$1001,ROW(),설정!$C$4)&amp;"","")</f>
        <v/>
      </c>
      <c r="C782">
        <f>IFERROR(INDEX('1.산군_붙여넣기'!$A$1:$AZ$1001,ROW(),설정!$C$5)&amp;"","")</f>
        <v/>
      </c>
      <c r="D782" s="5">
        <f>IFERROR(VALUE(SUBSTITUTE(SUBSTITUTE(SUBSTITUTE(IFERROR(INDEX('1.산군_붙여넣기'!$A$1:$AZ$1001,ROW(),설정!$C$6)&amp;"",""),",",""),"㎡",""),"m2","")),"")</f>
        <v/>
      </c>
      <c r="E782">
        <f>IFERROR(INDEX('1.산군_붙여넣기'!$A$1:$AZ$1001,ROW(),설정!$C$7)&amp;"","")</f>
        <v/>
      </c>
      <c r="F782">
        <f>IFERROR(INDEX('1.산군_붙여넣기'!$A$1:$AZ$1001,ROW(),설정!$C$8)&amp;"","")</f>
        <v/>
      </c>
      <c r="G782">
        <f>IFERROR(INDEX('1.산군_붙여넣기'!$A$1:$AZ$1001,ROW(),설정!$C$9)&amp;"","")</f>
        <v/>
      </c>
      <c r="H782">
        <f>IFERROR(INDEX('1.산군_붙여넣기'!$A$1:$AZ$1001,ROW(),설정!$C$10)&amp;"","")</f>
        <v/>
      </c>
      <c r="I782">
        <f>IFERROR(INDEX('1.산군_붙여넣기'!$A$1:$AZ$1001,ROW(),설정!$C$11)&amp;"","")</f>
        <v/>
      </c>
      <c r="J782">
        <f>IFERROR(INDEX('1.산군_붙여넣기'!$A$1:$AZ$1001,ROW(),설정!$C$12)&amp;"","")</f>
        <v/>
      </c>
      <c r="K782">
        <f>IFERROR(INDEX('1.산군_붙여넣기'!$A$1:$AZ$1001,ROW(),설정!$C$13)&amp;"","")</f>
        <v/>
      </c>
      <c r="L782" s="6">
        <f>IF(X782="","",IF(AND(LEN(X782)=8,ISNUMBER(X782*1)),DATE(LEFT(X782,4),MID(X782,5,2),RIGHT(X782,2)),IFERROR(DATEVALUE(SUBSTITUTE(SUBSTITUTE(X782,".","-"),"/","-")),IFERROR(X782*1,""))))</f>
        <v/>
      </c>
      <c r="M782" s="6">
        <f>IF(Y782="","",IF(AND(LEN(Y782)=8,ISNUMBER(Y782*1)),DATE(LEFT(Y782,4),MID(Y782,5,2),RIGHT(Y782,2)),IFERROR(DATEVALUE(SUBSTITUTE(SUBSTITUTE(Y782,".","-"),"/","-")),IFERROR(Y782*1,""))))</f>
        <v/>
      </c>
      <c r="N782">
        <f>IFERROR(LEFT(B782,FIND(" ",B782)-1),B782)</f>
        <v/>
      </c>
      <c r="O782">
        <f>AND(B782&lt;&gt;"",B782&lt;&gt;설정!$B$4,C782&lt;&gt;설정!$B$5)</f>
        <v/>
      </c>
      <c r="P782">
        <f>IF(O782,B782&amp;"|"&amp;C782,"")</f>
        <v/>
      </c>
      <c r="Q782">
        <f>AND(O782,COUNTIF(P783:P$1002,P782)=0)</f>
        <v/>
      </c>
      <c r="R782">
        <f>OR(AND(설정!$A$28&lt;&gt;"",ISNUMBER(SEARCH(설정!$A$28,E782&amp;" "&amp;C782))),AND(설정!$A$29&lt;&gt;"",ISNUMBER(SEARCH(설정!$A$29,E782&amp;" "&amp;C782))),AND(설정!$A$30&lt;&gt;"",ISNUMBER(SEARCH(설정!$A$30,E782&amp;" "&amp;C782))),AND(설정!$A$31&lt;&gt;"",ISNUMBER(SEARCH(설정!$A$31,E782&amp;" "&amp;C782))),AND(설정!$A$32&lt;&gt;"",ISNUMBER(SEARCH(설정!$A$32,E782&amp;" "&amp;C782))),AND(설정!$A$33&lt;&gt;"",ISNUMBER(SEARCH(설정!$A$33,E782&amp;" "&amp;C782))),AND(설정!$A$34&lt;&gt;"",ISNUMBER(SEARCH(설정!$A$34,E782&amp;" "&amp;C782))),AND(설정!$A$35&lt;&gt;"",ISNUMBER(SEARCH(설정!$A$35,E782&amp;" "&amp;C782))),AND(설정!$A$36&lt;&gt;"",ISNUMBER(SEARCH(설정!$A$36,E782&amp;" "&amp;C782))),AND(설정!$A$37&lt;&gt;"",ISNUMBER(SEARCH(설정!$A$37,E782&amp;" "&amp;C782))))</f>
        <v/>
      </c>
      <c r="S782">
        <f>OR(D782="",D782&gt;=설정!$B$19)</f>
        <v/>
      </c>
      <c r="T782">
        <f>AND(Q782,R782,S782)</f>
        <v/>
      </c>
      <c r="U782">
        <f>IF(T782,IF(AND(설정!$A$41&lt;&gt;"",ISNUMBER(SEARCH(설정!$A$41,K782))),설정!$B$41,IF(AND(설정!$A$42&lt;&gt;"",ISNUMBER(SEARCH(설정!$A$42,K782))),설정!$B$42,IF(AND(설정!$A$43&lt;&gt;"",ISNUMBER(SEARCH(설정!$A$43,K782))),설정!$B$43,IF(AND(설정!$A$44&lt;&gt;"",ISNUMBER(SEARCH(설정!$A$44,K782))),설정!$B$44,IF(AND(설정!$A$45&lt;&gt;"",ISNUMBER(SEARCH(설정!$A$45,K782))),설정!$B$45,IF(AND(설정!$A$46&lt;&gt;"",ISNUMBER(SEARCH(설정!$A$46,K782))),설정!$B$46,IF(AND(설정!$A$47&lt;&gt;"",ISNUMBER(SEARCH(설정!$A$47,K782))),설정!$B$47,IF(AND(설정!$A$48&lt;&gt;"",ISNUMBER(SEARCH(설정!$A$48,K782))),설정!$B$48,IF(M782="","설계사","시공사"))))))))),"")</f>
        <v/>
      </c>
      <c r="V782">
        <f>SUBSTITUTE(SUBSTITUTE(SUBSTITUTE(SUBSTITUTE(G782,"(주)",""),"㈜",""),"주식회사","")," ","")</f>
        <v/>
      </c>
      <c r="W782">
        <f>IF(AND(T782,V782&lt;&gt;""),IF(COUNTIFS(V$2:V782,V782,T$2:T782,TRUE)=1,MAX(W$1:W781)+1,""),"")</f>
        <v/>
      </c>
      <c r="X782">
        <f>IFERROR(INDEX('1.산군_붙여넣기'!$A$1:$AZ$1001,ROW(),설정!$C$14)&amp;"","")</f>
        <v/>
      </c>
      <c r="Y782">
        <f>IFERROR(INDEX('1.산군_붙여넣기'!$A$1:$AZ$1001,ROW(),설정!$C$15)&amp;"","")</f>
        <v/>
      </c>
      <c r="Z782">
        <f>IF(T782,V782&amp;"|"&amp;U782,"")</f>
        <v/>
      </c>
    </row>
    <row r="783">
      <c r="A783">
        <f>ROW()</f>
        <v/>
      </c>
      <c r="B783">
        <f>IFERROR(INDEX('1.산군_붙여넣기'!$A$1:$AZ$1001,ROW(),설정!$C$4)&amp;"","")</f>
        <v/>
      </c>
      <c r="C783">
        <f>IFERROR(INDEX('1.산군_붙여넣기'!$A$1:$AZ$1001,ROW(),설정!$C$5)&amp;"","")</f>
        <v/>
      </c>
      <c r="D783" s="5">
        <f>IFERROR(VALUE(SUBSTITUTE(SUBSTITUTE(SUBSTITUTE(IFERROR(INDEX('1.산군_붙여넣기'!$A$1:$AZ$1001,ROW(),설정!$C$6)&amp;"",""),",",""),"㎡",""),"m2","")),"")</f>
        <v/>
      </c>
      <c r="E783">
        <f>IFERROR(INDEX('1.산군_붙여넣기'!$A$1:$AZ$1001,ROW(),설정!$C$7)&amp;"","")</f>
        <v/>
      </c>
      <c r="F783">
        <f>IFERROR(INDEX('1.산군_붙여넣기'!$A$1:$AZ$1001,ROW(),설정!$C$8)&amp;"","")</f>
        <v/>
      </c>
      <c r="G783">
        <f>IFERROR(INDEX('1.산군_붙여넣기'!$A$1:$AZ$1001,ROW(),설정!$C$9)&amp;"","")</f>
        <v/>
      </c>
      <c r="H783">
        <f>IFERROR(INDEX('1.산군_붙여넣기'!$A$1:$AZ$1001,ROW(),설정!$C$10)&amp;"","")</f>
        <v/>
      </c>
      <c r="I783">
        <f>IFERROR(INDEX('1.산군_붙여넣기'!$A$1:$AZ$1001,ROW(),설정!$C$11)&amp;"","")</f>
        <v/>
      </c>
      <c r="J783">
        <f>IFERROR(INDEX('1.산군_붙여넣기'!$A$1:$AZ$1001,ROW(),설정!$C$12)&amp;"","")</f>
        <v/>
      </c>
      <c r="K783">
        <f>IFERROR(INDEX('1.산군_붙여넣기'!$A$1:$AZ$1001,ROW(),설정!$C$13)&amp;"","")</f>
        <v/>
      </c>
      <c r="L783" s="6">
        <f>IF(X783="","",IF(AND(LEN(X783)=8,ISNUMBER(X783*1)),DATE(LEFT(X783,4),MID(X783,5,2),RIGHT(X783,2)),IFERROR(DATEVALUE(SUBSTITUTE(SUBSTITUTE(X783,".","-"),"/","-")),IFERROR(X783*1,""))))</f>
        <v/>
      </c>
      <c r="M783" s="6">
        <f>IF(Y783="","",IF(AND(LEN(Y783)=8,ISNUMBER(Y783*1)),DATE(LEFT(Y783,4),MID(Y783,5,2),RIGHT(Y783,2)),IFERROR(DATEVALUE(SUBSTITUTE(SUBSTITUTE(Y783,".","-"),"/","-")),IFERROR(Y783*1,""))))</f>
        <v/>
      </c>
      <c r="N783">
        <f>IFERROR(LEFT(B783,FIND(" ",B783)-1),B783)</f>
        <v/>
      </c>
      <c r="O783">
        <f>AND(B783&lt;&gt;"",B783&lt;&gt;설정!$B$4,C783&lt;&gt;설정!$B$5)</f>
        <v/>
      </c>
      <c r="P783">
        <f>IF(O783,B783&amp;"|"&amp;C783,"")</f>
        <v/>
      </c>
      <c r="Q783">
        <f>AND(O783,COUNTIF(P784:P$1002,P783)=0)</f>
        <v/>
      </c>
      <c r="R783">
        <f>OR(AND(설정!$A$28&lt;&gt;"",ISNUMBER(SEARCH(설정!$A$28,E783&amp;" "&amp;C783))),AND(설정!$A$29&lt;&gt;"",ISNUMBER(SEARCH(설정!$A$29,E783&amp;" "&amp;C783))),AND(설정!$A$30&lt;&gt;"",ISNUMBER(SEARCH(설정!$A$30,E783&amp;" "&amp;C783))),AND(설정!$A$31&lt;&gt;"",ISNUMBER(SEARCH(설정!$A$31,E783&amp;" "&amp;C783))),AND(설정!$A$32&lt;&gt;"",ISNUMBER(SEARCH(설정!$A$32,E783&amp;" "&amp;C783))),AND(설정!$A$33&lt;&gt;"",ISNUMBER(SEARCH(설정!$A$33,E783&amp;" "&amp;C783))),AND(설정!$A$34&lt;&gt;"",ISNUMBER(SEARCH(설정!$A$34,E783&amp;" "&amp;C783))),AND(설정!$A$35&lt;&gt;"",ISNUMBER(SEARCH(설정!$A$35,E783&amp;" "&amp;C783))),AND(설정!$A$36&lt;&gt;"",ISNUMBER(SEARCH(설정!$A$36,E783&amp;" "&amp;C783))),AND(설정!$A$37&lt;&gt;"",ISNUMBER(SEARCH(설정!$A$37,E783&amp;" "&amp;C783))))</f>
        <v/>
      </c>
      <c r="S783">
        <f>OR(D783="",D783&gt;=설정!$B$19)</f>
        <v/>
      </c>
      <c r="T783">
        <f>AND(Q783,R783,S783)</f>
        <v/>
      </c>
      <c r="U783">
        <f>IF(T783,IF(AND(설정!$A$41&lt;&gt;"",ISNUMBER(SEARCH(설정!$A$41,K783))),설정!$B$41,IF(AND(설정!$A$42&lt;&gt;"",ISNUMBER(SEARCH(설정!$A$42,K783))),설정!$B$42,IF(AND(설정!$A$43&lt;&gt;"",ISNUMBER(SEARCH(설정!$A$43,K783))),설정!$B$43,IF(AND(설정!$A$44&lt;&gt;"",ISNUMBER(SEARCH(설정!$A$44,K783))),설정!$B$44,IF(AND(설정!$A$45&lt;&gt;"",ISNUMBER(SEARCH(설정!$A$45,K783))),설정!$B$45,IF(AND(설정!$A$46&lt;&gt;"",ISNUMBER(SEARCH(설정!$A$46,K783))),설정!$B$46,IF(AND(설정!$A$47&lt;&gt;"",ISNUMBER(SEARCH(설정!$A$47,K783))),설정!$B$47,IF(AND(설정!$A$48&lt;&gt;"",ISNUMBER(SEARCH(설정!$A$48,K783))),설정!$B$48,IF(M783="","설계사","시공사"))))))))),"")</f>
        <v/>
      </c>
      <c r="V783">
        <f>SUBSTITUTE(SUBSTITUTE(SUBSTITUTE(SUBSTITUTE(G783,"(주)",""),"㈜",""),"주식회사","")," ","")</f>
        <v/>
      </c>
      <c r="W783">
        <f>IF(AND(T783,V783&lt;&gt;""),IF(COUNTIFS(V$2:V783,V783,T$2:T783,TRUE)=1,MAX(W$1:W782)+1,""),"")</f>
        <v/>
      </c>
      <c r="X783">
        <f>IFERROR(INDEX('1.산군_붙여넣기'!$A$1:$AZ$1001,ROW(),설정!$C$14)&amp;"","")</f>
        <v/>
      </c>
      <c r="Y783">
        <f>IFERROR(INDEX('1.산군_붙여넣기'!$A$1:$AZ$1001,ROW(),설정!$C$15)&amp;"","")</f>
        <v/>
      </c>
      <c r="Z783">
        <f>IF(T783,V783&amp;"|"&amp;U783,"")</f>
        <v/>
      </c>
    </row>
    <row r="784">
      <c r="A784">
        <f>ROW()</f>
        <v/>
      </c>
      <c r="B784">
        <f>IFERROR(INDEX('1.산군_붙여넣기'!$A$1:$AZ$1001,ROW(),설정!$C$4)&amp;"","")</f>
        <v/>
      </c>
      <c r="C784">
        <f>IFERROR(INDEX('1.산군_붙여넣기'!$A$1:$AZ$1001,ROW(),설정!$C$5)&amp;"","")</f>
        <v/>
      </c>
      <c r="D784" s="5">
        <f>IFERROR(VALUE(SUBSTITUTE(SUBSTITUTE(SUBSTITUTE(IFERROR(INDEX('1.산군_붙여넣기'!$A$1:$AZ$1001,ROW(),설정!$C$6)&amp;"",""),",",""),"㎡",""),"m2","")),"")</f>
        <v/>
      </c>
      <c r="E784">
        <f>IFERROR(INDEX('1.산군_붙여넣기'!$A$1:$AZ$1001,ROW(),설정!$C$7)&amp;"","")</f>
        <v/>
      </c>
      <c r="F784">
        <f>IFERROR(INDEX('1.산군_붙여넣기'!$A$1:$AZ$1001,ROW(),설정!$C$8)&amp;"","")</f>
        <v/>
      </c>
      <c r="G784">
        <f>IFERROR(INDEX('1.산군_붙여넣기'!$A$1:$AZ$1001,ROW(),설정!$C$9)&amp;"","")</f>
        <v/>
      </c>
      <c r="H784">
        <f>IFERROR(INDEX('1.산군_붙여넣기'!$A$1:$AZ$1001,ROW(),설정!$C$10)&amp;"","")</f>
        <v/>
      </c>
      <c r="I784">
        <f>IFERROR(INDEX('1.산군_붙여넣기'!$A$1:$AZ$1001,ROW(),설정!$C$11)&amp;"","")</f>
        <v/>
      </c>
      <c r="J784">
        <f>IFERROR(INDEX('1.산군_붙여넣기'!$A$1:$AZ$1001,ROW(),설정!$C$12)&amp;"","")</f>
        <v/>
      </c>
      <c r="K784">
        <f>IFERROR(INDEX('1.산군_붙여넣기'!$A$1:$AZ$1001,ROW(),설정!$C$13)&amp;"","")</f>
        <v/>
      </c>
      <c r="L784" s="6">
        <f>IF(X784="","",IF(AND(LEN(X784)=8,ISNUMBER(X784*1)),DATE(LEFT(X784,4),MID(X784,5,2),RIGHT(X784,2)),IFERROR(DATEVALUE(SUBSTITUTE(SUBSTITUTE(X784,".","-"),"/","-")),IFERROR(X784*1,""))))</f>
        <v/>
      </c>
      <c r="M784" s="6">
        <f>IF(Y784="","",IF(AND(LEN(Y784)=8,ISNUMBER(Y784*1)),DATE(LEFT(Y784,4),MID(Y784,5,2),RIGHT(Y784,2)),IFERROR(DATEVALUE(SUBSTITUTE(SUBSTITUTE(Y784,".","-"),"/","-")),IFERROR(Y784*1,""))))</f>
        <v/>
      </c>
      <c r="N784">
        <f>IFERROR(LEFT(B784,FIND(" ",B784)-1),B784)</f>
        <v/>
      </c>
      <c r="O784">
        <f>AND(B784&lt;&gt;"",B784&lt;&gt;설정!$B$4,C784&lt;&gt;설정!$B$5)</f>
        <v/>
      </c>
      <c r="P784">
        <f>IF(O784,B784&amp;"|"&amp;C784,"")</f>
        <v/>
      </c>
      <c r="Q784">
        <f>AND(O784,COUNTIF(P785:P$1002,P784)=0)</f>
        <v/>
      </c>
      <c r="R784">
        <f>OR(AND(설정!$A$28&lt;&gt;"",ISNUMBER(SEARCH(설정!$A$28,E784&amp;" "&amp;C784))),AND(설정!$A$29&lt;&gt;"",ISNUMBER(SEARCH(설정!$A$29,E784&amp;" "&amp;C784))),AND(설정!$A$30&lt;&gt;"",ISNUMBER(SEARCH(설정!$A$30,E784&amp;" "&amp;C784))),AND(설정!$A$31&lt;&gt;"",ISNUMBER(SEARCH(설정!$A$31,E784&amp;" "&amp;C784))),AND(설정!$A$32&lt;&gt;"",ISNUMBER(SEARCH(설정!$A$32,E784&amp;" "&amp;C784))),AND(설정!$A$33&lt;&gt;"",ISNUMBER(SEARCH(설정!$A$33,E784&amp;" "&amp;C784))),AND(설정!$A$34&lt;&gt;"",ISNUMBER(SEARCH(설정!$A$34,E784&amp;" "&amp;C784))),AND(설정!$A$35&lt;&gt;"",ISNUMBER(SEARCH(설정!$A$35,E784&amp;" "&amp;C784))),AND(설정!$A$36&lt;&gt;"",ISNUMBER(SEARCH(설정!$A$36,E784&amp;" "&amp;C784))),AND(설정!$A$37&lt;&gt;"",ISNUMBER(SEARCH(설정!$A$37,E784&amp;" "&amp;C784))))</f>
        <v/>
      </c>
      <c r="S784">
        <f>OR(D784="",D784&gt;=설정!$B$19)</f>
        <v/>
      </c>
      <c r="T784">
        <f>AND(Q784,R784,S784)</f>
        <v/>
      </c>
      <c r="U784">
        <f>IF(T784,IF(AND(설정!$A$41&lt;&gt;"",ISNUMBER(SEARCH(설정!$A$41,K784))),설정!$B$41,IF(AND(설정!$A$42&lt;&gt;"",ISNUMBER(SEARCH(설정!$A$42,K784))),설정!$B$42,IF(AND(설정!$A$43&lt;&gt;"",ISNUMBER(SEARCH(설정!$A$43,K784))),설정!$B$43,IF(AND(설정!$A$44&lt;&gt;"",ISNUMBER(SEARCH(설정!$A$44,K784))),설정!$B$44,IF(AND(설정!$A$45&lt;&gt;"",ISNUMBER(SEARCH(설정!$A$45,K784))),설정!$B$45,IF(AND(설정!$A$46&lt;&gt;"",ISNUMBER(SEARCH(설정!$A$46,K784))),설정!$B$46,IF(AND(설정!$A$47&lt;&gt;"",ISNUMBER(SEARCH(설정!$A$47,K784))),설정!$B$47,IF(AND(설정!$A$48&lt;&gt;"",ISNUMBER(SEARCH(설정!$A$48,K784))),설정!$B$48,IF(M784="","설계사","시공사"))))))))),"")</f>
        <v/>
      </c>
      <c r="V784">
        <f>SUBSTITUTE(SUBSTITUTE(SUBSTITUTE(SUBSTITUTE(G784,"(주)",""),"㈜",""),"주식회사","")," ","")</f>
        <v/>
      </c>
      <c r="W784">
        <f>IF(AND(T784,V784&lt;&gt;""),IF(COUNTIFS(V$2:V784,V784,T$2:T784,TRUE)=1,MAX(W$1:W783)+1,""),"")</f>
        <v/>
      </c>
      <c r="X784">
        <f>IFERROR(INDEX('1.산군_붙여넣기'!$A$1:$AZ$1001,ROW(),설정!$C$14)&amp;"","")</f>
        <v/>
      </c>
      <c r="Y784">
        <f>IFERROR(INDEX('1.산군_붙여넣기'!$A$1:$AZ$1001,ROW(),설정!$C$15)&amp;"","")</f>
        <v/>
      </c>
      <c r="Z784">
        <f>IF(T784,V784&amp;"|"&amp;U784,"")</f>
        <v/>
      </c>
    </row>
    <row r="785">
      <c r="A785">
        <f>ROW()</f>
        <v/>
      </c>
      <c r="B785">
        <f>IFERROR(INDEX('1.산군_붙여넣기'!$A$1:$AZ$1001,ROW(),설정!$C$4)&amp;"","")</f>
        <v/>
      </c>
      <c r="C785">
        <f>IFERROR(INDEX('1.산군_붙여넣기'!$A$1:$AZ$1001,ROW(),설정!$C$5)&amp;"","")</f>
        <v/>
      </c>
      <c r="D785" s="5">
        <f>IFERROR(VALUE(SUBSTITUTE(SUBSTITUTE(SUBSTITUTE(IFERROR(INDEX('1.산군_붙여넣기'!$A$1:$AZ$1001,ROW(),설정!$C$6)&amp;"",""),",",""),"㎡",""),"m2","")),"")</f>
        <v/>
      </c>
      <c r="E785">
        <f>IFERROR(INDEX('1.산군_붙여넣기'!$A$1:$AZ$1001,ROW(),설정!$C$7)&amp;"","")</f>
        <v/>
      </c>
      <c r="F785">
        <f>IFERROR(INDEX('1.산군_붙여넣기'!$A$1:$AZ$1001,ROW(),설정!$C$8)&amp;"","")</f>
        <v/>
      </c>
      <c r="G785">
        <f>IFERROR(INDEX('1.산군_붙여넣기'!$A$1:$AZ$1001,ROW(),설정!$C$9)&amp;"","")</f>
        <v/>
      </c>
      <c r="H785">
        <f>IFERROR(INDEX('1.산군_붙여넣기'!$A$1:$AZ$1001,ROW(),설정!$C$10)&amp;"","")</f>
        <v/>
      </c>
      <c r="I785">
        <f>IFERROR(INDEX('1.산군_붙여넣기'!$A$1:$AZ$1001,ROW(),설정!$C$11)&amp;"","")</f>
        <v/>
      </c>
      <c r="J785">
        <f>IFERROR(INDEX('1.산군_붙여넣기'!$A$1:$AZ$1001,ROW(),설정!$C$12)&amp;"","")</f>
        <v/>
      </c>
      <c r="K785">
        <f>IFERROR(INDEX('1.산군_붙여넣기'!$A$1:$AZ$1001,ROW(),설정!$C$13)&amp;"","")</f>
        <v/>
      </c>
      <c r="L785" s="6">
        <f>IF(X785="","",IF(AND(LEN(X785)=8,ISNUMBER(X785*1)),DATE(LEFT(X785,4),MID(X785,5,2),RIGHT(X785,2)),IFERROR(DATEVALUE(SUBSTITUTE(SUBSTITUTE(X785,".","-"),"/","-")),IFERROR(X785*1,""))))</f>
        <v/>
      </c>
      <c r="M785" s="6">
        <f>IF(Y785="","",IF(AND(LEN(Y785)=8,ISNUMBER(Y785*1)),DATE(LEFT(Y785,4),MID(Y785,5,2),RIGHT(Y785,2)),IFERROR(DATEVALUE(SUBSTITUTE(SUBSTITUTE(Y785,".","-"),"/","-")),IFERROR(Y785*1,""))))</f>
        <v/>
      </c>
      <c r="N785">
        <f>IFERROR(LEFT(B785,FIND(" ",B785)-1),B785)</f>
        <v/>
      </c>
      <c r="O785">
        <f>AND(B785&lt;&gt;"",B785&lt;&gt;설정!$B$4,C785&lt;&gt;설정!$B$5)</f>
        <v/>
      </c>
      <c r="P785">
        <f>IF(O785,B785&amp;"|"&amp;C785,"")</f>
        <v/>
      </c>
      <c r="Q785">
        <f>AND(O785,COUNTIF(P786:P$1002,P785)=0)</f>
        <v/>
      </c>
      <c r="R785">
        <f>OR(AND(설정!$A$28&lt;&gt;"",ISNUMBER(SEARCH(설정!$A$28,E785&amp;" "&amp;C785))),AND(설정!$A$29&lt;&gt;"",ISNUMBER(SEARCH(설정!$A$29,E785&amp;" "&amp;C785))),AND(설정!$A$30&lt;&gt;"",ISNUMBER(SEARCH(설정!$A$30,E785&amp;" "&amp;C785))),AND(설정!$A$31&lt;&gt;"",ISNUMBER(SEARCH(설정!$A$31,E785&amp;" "&amp;C785))),AND(설정!$A$32&lt;&gt;"",ISNUMBER(SEARCH(설정!$A$32,E785&amp;" "&amp;C785))),AND(설정!$A$33&lt;&gt;"",ISNUMBER(SEARCH(설정!$A$33,E785&amp;" "&amp;C785))),AND(설정!$A$34&lt;&gt;"",ISNUMBER(SEARCH(설정!$A$34,E785&amp;" "&amp;C785))),AND(설정!$A$35&lt;&gt;"",ISNUMBER(SEARCH(설정!$A$35,E785&amp;" "&amp;C785))),AND(설정!$A$36&lt;&gt;"",ISNUMBER(SEARCH(설정!$A$36,E785&amp;" "&amp;C785))),AND(설정!$A$37&lt;&gt;"",ISNUMBER(SEARCH(설정!$A$37,E785&amp;" "&amp;C785))))</f>
        <v/>
      </c>
      <c r="S785">
        <f>OR(D785="",D785&gt;=설정!$B$19)</f>
        <v/>
      </c>
      <c r="T785">
        <f>AND(Q785,R785,S785)</f>
        <v/>
      </c>
      <c r="U785">
        <f>IF(T785,IF(AND(설정!$A$41&lt;&gt;"",ISNUMBER(SEARCH(설정!$A$41,K785))),설정!$B$41,IF(AND(설정!$A$42&lt;&gt;"",ISNUMBER(SEARCH(설정!$A$42,K785))),설정!$B$42,IF(AND(설정!$A$43&lt;&gt;"",ISNUMBER(SEARCH(설정!$A$43,K785))),설정!$B$43,IF(AND(설정!$A$44&lt;&gt;"",ISNUMBER(SEARCH(설정!$A$44,K785))),설정!$B$44,IF(AND(설정!$A$45&lt;&gt;"",ISNUMBER(SEARCH(설정!$A$45,K785))),설정!$B$45,IF(AND(설정!$A$46&lt;&gt;"",ISNUMBER(SEARCH(설정!$A$46,K785))),설정!$B$46,IF(AND(설정!$A$47&lt;&gt;"",ISNUMBER(SEARCH(설정!$A$47,K785))),설정!$B$47,IF(AND(설정!$A$48&lt;&gt;"",ISNUMBER(SEARCH(설정!$A$48,K785))),설정!$B$48,IF(M785="","설계사","시공사"))))))))),"")</f>
        <v/>
      </c>
      <c r="V785">
        <f>SUBSTITUTE(SUBSTITUTE(SUBSTITUTE(SUBSTITUTE(G785,"(주)",""),"㈜",""),"주식회사","")," ","")</f>
        <v/>
      </c>
      <c r="W785">
        <f>IF(AND(T785,V785&lt;&gt;""),IF(COUNTIFS(V$2:V785,V785,T$2:T785,TRUE)=1,MAX(W$1:W784)+1,""),"")</f>
        <v/>
      </c>
      <c r="X785">
        <f>IFERROR(INDEX('1.산군_붙여넣기'!$A$1:$AZ$1001,ROW(),설정!$C$14)&amp;"","")</f>
        <v/>
      </c>
      <c r="Y785">
        <f>IFERROR(INDEX('1.산군_붙여넣기'!$A$1:$AZ$1001,ROW(),설정!$C$15)&amp;"","")</f>
        <v/>
      </c>
      <c r="Z785">
        <f>IF(T785,V785&amp;"|"&amp;U785,"")</f>
        <v/>
      </c>
    </row>
    <row r="786">
      <c r="A786">
        <f>ROW()</f>
        <v/>
      </c>
      <c r="B786">
        <f>IFERROR(INDEX('1.산군_붙여넣기'!$A$1:$AZ$1001,ROW(),설정!$C$4)&amp;"","")</f>
        <v/>
      </c>
      <c r="C786">
        <f>IFERROR(INDEX('1.산군_붙여넣기'!$A$1:$AZ$1001,ROW(),설정!$C$5)&amp;"","")</f>
        <v/>
      </c>
      <c r="D786" s="5">
        <f>IFERROR(VALUE(SUBSTITUTE(SUBSTITUTE(SUBSTITUTE(IFERROR(INDEX('1.산군_붙여넣기'!$A$1:$AZ$1001,ROW(),설정!$C$6)&amp;"",""),",",""),"㎡",""),"m2","")),"")</f>
        <v/>
      </c>
      <c r="E786">
        <f>IFERROR(INDEX('1.산군_붙여넣기'!$A$1:$AZ$1001,ROW(),설정!$C$7)&amp;"","")</f>
        <v/>
      </c>
      <c r="F786">
        <f>IFERROR(INDEX('1.산군_붙여넣기'!$A$1:$AZ$1001,ROW(),설정!$C$8)&amp;"","")</f>
        <v/>
      </c>
      <c r="G786">
        <f>IFERROR(INDEX('1.산군_붙여넣기'!$A$1:$AZ$1001,ROW(),설정!$C$9)&amp;"","")</f>
        <v/>
      </c>
      <c r="H786">
        <f>IFERROR(INDEX('1.산군_붙여넣기'!$A$1:$AZ$1001,ROW(),설정!$C$10)&amp;"","")</f>
        <v/>
      </c>
      <c r="I786">
        <f>IFERROR(INDEX('1.산군_붙여넣기'!$A$1:$AZ$1001,ROW(),설정!$C$11)&amp;"","")</f>
        <v/>
      </c>
      <c r="J786">
        <f>IFERROR(INDEX('1.산군_붙여넣기'!$A$1:$AZ$1001,ROW(),설정!$C$12)&amp;"","")</f>
        <v/>
      </c>
      <c r="K786">
        <f>IFERROR(INDEX('1.산군_붙여넣기'!$A$1:$AZ$1001,ROW(),설정!$C$13)&amp;"","")</f>
        <v/>
      </c>
      <c r="L786" s="6">
        <f>IF(X786="","",IF(AND(LEN(X786)=8,ISNUMBER(X786*1)),DATE(LEFT(X786,4),MID(X786,5,2),RIGHT(X786,2)),IFERROR(DATEVALUE(SUBSTITUTE(SUBSTITUTE(X786,".","-"),"/","-")),IFERROR(X786*1,""))))</f>
        <v/>
      </c>
      <c r="M786" s="6">
        <f>IF(Y786="","",IF(AND(LEN(Y786)=8,ISNUMBER(Y786*1)),DATE(LEFT(Y786,4),MID(Y786,5,2),RIGHT(Y786,2)),IFERROR(DATEVALUE(SUBSTITUTE(SUBSTITUTE(Y786,".","-"),"/","-")),IFERROR(Y786*1,""))))</f>
        <v/>
      </c>
      <c r="N786">
        <f>IFERROR(LEFT(B786,FIND(" ",B786)-1),B786)</f>
        <v/>
      </c>
      <c r="O786">
        <f>AND(B786&lt;&gt;"",B786&lt;&gt;설정!$B$4,C786&lt;&gt;설정!$B$5)</f>
        <v/>
      </c>
      <c r="P786">
        <f>IF(O786,B786&amp;"|"&amp;C786,"")</f>
        <v/>
      </c>
      <c r="Q786">
        <f>AND(O786,COUNTIF(P787:P$1002,P786)=0)</f>
        <v/>
      </c>
      <c r="R786">
        <f>OR(AND(설정!$A$28&lt;&gt;"",ISNUMBER(SEARCH(설정!$A$28,E786&amp;" "&amp;C786))),AND(설정!$A$29&lt;&gt;"",ISNUMBER(SEARCH(설정!$A$29,E786&amp;" "&amp;C786))),AND(설정!$A$30&lt;&gt;"",ISNUMBER(SEARCH(설정!$A$30,E786&amp;" "&amp;C786))),AND(설정!$A$31&lt;&gt;"",ISNUMBER(SEARCH(설정!$A$31,E786&amp;" "&amp;C786))),AND(설정!$A$32&lt;&gt;"",ISNUMBER(SEARCH(설정!$A$32,E786&amp;" "&amp;C786))),AND(설정!$A$33&lt;&gt;"",ISNUMBER(SEARCH(설정!$A$33,E786&amp;" "&amp;C786))),AND(설정!$A$34&lt;&gt;"",ISNUMBER(SEARCH(설정!$A$34,E786&amp;" "&amp;C786))),AND(설정!$A$35&lt;&gt;"",ISNUMBER(SEARCH(설정!$A$35,E786&amp;" "&amp;C786))),AND(설정!$A$36&lt;&gt;"",ISNUMBER(SEARCH(설정!$A$36,E786&amp;" "&amp;C786))),AND(설정!$A$37&lt;&gt;"",ISNUMBER(SEARCH(설정!$A$37,E786&amp;" "&amp;C786))))</f>
        <v/>
      </c>
      <c r="S786">
        <f>OR(D786="",D786&gt;=설정!$B$19)</f>
        <v/>
      </c>
      <c r="T786">
        <f>AND(Q786,R786,S786)</f>
        <v/>
      </c>
      <c r="U786">
        <f>IF(T786,IF(AND(설정!$A$41&lt;&gt;"",ISNUMBER(SEARCH(설정!$A$41,K786))),설정!$B$41,IF(AND(설정!$A$42&lt;&gt;"",ISNUMBER(SEARCH(설정!$A$42,K786))),설정!$B$42,IF(AND(설정!$A$43&lt;&gt;"",ISNUMBER(SEARCH(설정!$A$43,K786))),설정!$B$43,IF(AND(설정!$A$44&lt;&gt;"",ISNUMBER(SEARCH(설정!$A$44,K786))),설정!$B$44,IF(AND(설정!$A$45&lt;&gt;"",ISNUMBER(SEARCH(설정!$A$45,K786))),설정!$B$45,IF(AND(설정!$A$46&lt;&gt;"",ISNUMBER(SEARCH(설정!$A$46,K786))),설정!$B$46,IF(AND(설정!$A$47&lt;&gt;"",ISNUMBER(SEARCH(설정!$A$47,K786))),설정!$B$47,IF(AND(설정!$A$48&lt;&gt;"",ISNUMBER(SEARCH(설정!$A$48,K786))),설정!$B$48,IF(M786="","설계사","시공사"))))))))),"")</f>
        <v/>
      </c>
      <c r="V786">
        <f>SUBSTITUTE(SUBSTITUTE(SUBSTITUTE(SUBSTITUTE(G786,"(주)",""),"㈜",""),"주식회사","")," ","")</f>
        <v/>
      </c>
      <c r="W786">
        <f>IF(AND(T786,V786&lt;&gt;""),IF(COUNTIFS(V$2:V786,V786,T$2:T786,TRUE)=1,MAX(W$1:W785)+1,""),"")</f>
        <v/>
      </c>
      <c r="X786">
        <f>IFERROR(INDEX('1.산군_붙여넣기'!$A$1:$AZ$1001,ROW(),설정!$C$14)&amp;"","")</f>
        <v/>
      </c>
      <c r="Y786">
        <f>IFERROR(INDEX('1.산군_붙여넣기'!$A$1:$AZ$1001,ROW(),설정!$C$15)&amp;"","")</f>
        <v/>
      </c>
      <c r="Z786">
        <f>IF(T786,V786&amp;"|"&amp;U786,"")</f>
        <v/>
      </c>
    </row>
    <row r="787">
      <c r="A787">
        <f>ROW()</f>
        <v/>
      </c>
      <c r="B787">
        <f>IFERROR(INDEX('1.산군_붙여넣기'!$A$1:$AZ$1001,ROW(),설정!$C$4)&amp;"","")</f>
        <v/>
      </c>
      <c r="C787">
        <f>IFERROR(INDEX('1.산군_붙여넣기'!$A$1:$AZ$1001,ROW(),설정!$C$5)&amp;"","")</f>
        <v/>
      </c>
      <c r="D787" s="5">
        <f>IFERROR(VALUE(SUBSTITUTE(SUBSTITUTE(SUBSTITUTE(IFERROR(INDEX('1.산군_붙여넣기'!$A$1:$AZ$1001,ROW(),설정!$C$6)&amp;"",""),",",""),"㎡",""),"m2","")),"")</f>
        <v/>
      </c>
      <c r="E787">
        <f>IFERROR(INDEX('1.산군_붙여넣기'!$A$1:$AZ$1001,ROW(),설정!$C$7)&amp;"","")</f>
        <v/>
      </c>
      <c r="F787">
        <f>IFERROR(INDEX('1.산군_붙여넣기'!$A$1:$AZ$1001,ROW(),설정!$C$8)&amp;"","")</f>
        <v/>
      </c>
      <c r="G787">
        <f>IFERROR(INDEX('1.산군_붙여넣기'!$A$1:$AZ$1001,ROW(),설정!$C$9)&amp;"","")</f>
        <v/>
      </c>
      <c r="H787">
        <f>IFERROR(INDEX('1.산군_붙여넣기'!$A$1:$AZ$1001,ROW(),설정!$C$10)&amp;"","")</f>
        <v/>
      </c>
      <c r="I787">
        <f>IFERROR(INDEX('1.산군_붙여넣기'!$A$1:$AZ$1001,ROW(),설정!$C$11)&amp;"","")</f>
        <v/>
      </c>
      <c r="J787">
        <f>IFERROR(INDEX('1.산군_붙여넣기'!$A$1:$AZ$1001,ROW(),설정!$C$12)&amp;"","")</f>
        <v/>
      </c>
      <c r="K787">
        <f>IFERROR(INDEX('1.산군_붙여넣기'!$A$1:$AZ$1001,ROW(),설정!$C$13)&amp;"","")</f>
        <v/>
      </c>
      <c r="L787" s="6">
        <f>IF(X787="","",IF(AND(LEN(X787)=8,ISNUMBER(X787*1)),DATE(LEFT(X787,4),MID(X787,5,2),RIGHT(X787,2)),IFERROR(DATEVALUE(SUBSTITUTE(SUBSTITUTE(X787,".","-"),"/","-")),IFERROR(X787*1,""))))</f>
        <v/>
      </c>
      <c r="M787" s="6">
        <f>IF(Y787="","",IF(AND(LEN(Y787)=8,ISNUMBER(Y787*1)),DATE(LEFT(Y787,4),MID(Y787,5,2),RIGHT(Y787,2)),IFERROR(DATEVALUE(SUBSTITUTE(SUBSTITUTE(Y787,".","-"),"/","-")),IFERROR(Y787*1,""))))</f>
        <v/>
      </c>
      <c r="N787">
        <f>IFERROR(LEFT(B787,FIND(" ",B787)-1),B787)</f>
        <v/>
      </c>
      <c r="O787">
        <f>AND(B787&lt;&gt;"",B787&lt;&gt;설정!$B$4,C787&lt;&gt;설정!$B$5)</f>
        <v/>
      </c>
      <c r="P787">
        <f>IF(O787,B787&amp;"|"&amp;C787,"")</f>
        <v/>
      </c>
      <c r="Q787">
        <f>AND(O787,COUNTIF(P788:P$1002,P787)=0)</f>
        <v/>
      </c>
      <c r="R787">
        <f>OR(AND(설정!$A$28&lt;&gt;"",ISNUMBER(SEARCH(설정!$A$28,E787&amp;" "&amp;C787))),AND(설정!$A$29&lt;&gt;"",ISNUMBER(SEARCH(설정!$A$29,E787&amp;" "&amp;C787))),AND(설정!$A$30&lt;&gt;"",ISNUMBER(SEARCH(설정!$A$30,E787&amp;" "&amp;C787))),AND(설정!$A$31&lt;&gt;"",ISNUMBER(SEARCH(설정!$A$31,E787&amp;" "&amp;C787))),AND(설정!$A$32&lt;&gt;"",ISNUMBER(SEARCH(설정!$A$32,E787&amp;" "&amp;C787))),AND(설정!$A$33&lt;&gt;"",ISNUMBER(SEARCH(설정!$A$33,E787&amp;" "&amp;C787))),AND(설정!$A$34&lt;&gt;"",ISNUMBER(SEARCH(설정!$A$34,E787&amp;" "&amp;C787))),AND(설정!$A$35&lt;&gt;"",ISNUMBER(SEARCH(설정!$A$35,E787&amp;" "&amp;C787))),AND(설정!$A$36&lt;&gt;"",ISNUMBER(SEARCH(설정!$A$36,E787&amp;" "&amp;C787))),AND(설정!$A$37&lt;&gt;"",ISNUMBER(SEARCH(설정!$A$37,E787&amp;" "&amp;C787))))</f>
        <v/>
      </c>
      <c r="S787">
        <f>OR(D787="",D787&gt;=설정!$B$19)</f>
        <v/>
      </c>
      <c r="T787">
        <f>AND(Q787,R787,S787)</f>
        <v/>
      </c>
      <c r="U787">
        <f>IF(T787,IF(AND(설정!$A$41&lt;&gt;"",ISNUMBER(SEARCH(설정!$A$41,K787))),설정!$B$41,IF(AND(설정!$A$42&lt;&gt;"",ISNUMBER(SEARCH(설정!$A$42,K787))),설정!$B$42,IF(AND(설정!$A$43&lt;&gt;"",ISNUMBER(SEARCH(설정!$A$43,K787))),설정!$B$43,IF(AND(설정!$A$44&lt;&gt;"",ISNUMBER(SEARCH(설정!$A$44,K787))),설정!$B$44,IF(AND(설정!$A$45&lt;&gt;"",ISNUMBER(SEARCH(설정!$A$45,K787))),설정!$B$45,IF(AND(설정!$A$46&lt;&gt;"",ISNUMBER(SEARCH(설정!$A$46,K787))),설정!$B$46,IF(AND(설정!$A$47&lt;&gt;"",ISNUMBER(SEARCH(설정!$A$47,K787))),설정!$B$47,IF(AND(설정!$A$48&lt;&gt;"",ISNUMBER(SEARCH(설정!$A$48,K787))),설정!$B$48,IF(M787="","설계사","시공사"))))))))),"")</f>
        <v/>
      </c>
      <c r="V787">
        <f>SUBSTITUTE(SUBSTITUTE(SUBSTITUTE(SUBSTITUTE(G787,"(주)",""),"㈜",""),"주식회사","")," ","")</f>
        <v/>
      </c>
      <c r="W787">
        <f>IF(AND(T787,V787&lt;&gt;""),IF(COUNTIFS(V$2:V787,V787,T$2:T787,TRUE)=1,MAX(W$1:W786)+1,""),"")</f>
        <v/>
      </c>
      <c r="X787">
        <f>IFERROR(INDEX('1.산군_붙여넣기'!$A$1:$AZ$1001,ROW(),설정!$C$14)&amp;"","")</f>
        <v/>
      </c>
      <c r="Y787">
        <f>IFERROR(INDEX('1.산군_붙여넣기'!$A$1:$AZ$1001,ROW(),설정!$C$15)&amp;"","")</f>
        <v/>
      </c>
      <c r="Z787">
        <f>IF(T787,V787&amp;"|"&amp;U787,"")</f>
        <v/>
      </c>
    </row>
    <row r="788">
      <c r="A788">
        <f>ROW()</f>
        <v/>
      </c>
      <c r="B788">
        <f>IFERROR(INDEX('1.산군_붙여넣기'!$A$1:$AZ$1001,ROW(),설정!$C$4)&amp;"","")</f>
        <v/>
      </c>
      <c r="C788">
        <f>IFERROR(INDEX('1.산군_붙여넣기'!$A$1:$AZ$1001,ROW(),설정!$C$5)&amp;"","")</f>
        <v/>
      </c>
      <c r="D788" s="5">
        <f>IFERROR(VALUE(SUBSTITUTE(SUBSTITUTE(SUBSTITUTE(IFERROR(INDEX('1.산군_붙여넣기'!$A$1:$AZ$1001,ROW(),설정!$C$6)&amp;"",""),",",""),"㎡",""),"m2","")),"")</f>
        <v/>
      </c>
      <c r="E788">
        <f>IFERROR(INDEX('1.산군_붙여넣기'!$A$1:$AZ$1001,ROW(),설정!$C$7)&amp;"","")</f>
        <v/>
      </c>
      <c r="F788">
        <f>IFERROR(INDEX('1.산군_붙여넣기'!$A$1:$AZ$1001,ROW(),설정!$C$8)&amp;"","")</f>
        <v/>
      </c>
      <c r="G788">
        <f>IFERROR(INDEX('1.산군_붙여넣기'!$A$1:$AZ$1001,ROW(),설정!$C$9)&amp;"","")</f>
        <v/>
      </c>
      <c r="H788">
        <f>IFERROR(INDEX('1.산군_붙여넣기'!$A$1:$AZ$1001,ROW(),설정!$C$10)&amp;"","")</f>
        <v/>
      </c>
      <c r="I788">
        <f>IFERROR(INDEX('1.산군_붙여넣기'!$A$1:$AZ$1001,ROW(),설정!$C$11)&amp;"","")</f>
        <v/>
      </c>
      <c r="J788">
        <f>IFERROR(INDEX('1.산군_붙여넣기'!$A$1:$AZ$1001,ROW(),설정!$C$12)&amp;"","")</f>
        <v/>
      </c>
      <c r="K788">
        <f>IFERROR(INDEX('1.산군_붙여넣기'!$A$1:$AZ$1001,ROW(),설정!$C$13)&amp;"","")</f>
        <v/>
      </c>
      <c r="L788" s="6">
        <f>IF(X788="","",IF(AND(LEN(X788)=8,ISNUMBER(X788*1)),DATE(LEFT(X788,4),MID(X788,5,2),RIGHT(X788,2)),IFERROR(DATEVALUE(SUBSTITUTE(SUBSTITUTE(X788,".","-"),"/","-")),IFERROR(X788*1,""))))</f>
        <v/>
      </c>
      <c r="M788" s="6">
        <f>IF(Y788="","",IF(AND(LEN(Y788)=8,ISNUMBER(Y788*1)),DATE(LEFT(Y788,4),MID(Y788,5,2),RIGHT(Y788,2)),IFERROR(DATEVALUE(SUBSTITUTE(SUBSTITUTE(Y788,".","-"),"/","-")),IFERROR(Y788*1,""))))</f>
        <v/>
      </c>
      <c r="N788">
        <f>IFERROR(LEFT(B788,FIND(" ",B788)-1),B788)</f>
        <v/>
      </c>
      <c r="O788">
        <f>AND(B788&lt;&gt;"",B788&lt;&gt;설정!$B$4,C788&lt;&gt;설정!$B$5)</f>
        <v/>
      </c>
      <c r="P788">
        <f>IF(O788,B788&amp;"|"&amp;C788,"")</f>
        <v/>
      </c>
      <c r="Q788">
        <f>AND(O788,COUNTIF(P789:P$1002,P788)=0)</f>
        <v/>
      </c>
      <c r="R788">
        <f>OR(AND(설정!$A$28&lt;&gt;"",ISNUMBER(SEARCH(설정!$A$28,E788&amp;" "&amp;C788))),AND(설정!$A$29&lt;&gt;"",ISNUMBER(SEARCH(설정!$A$29,E788&amp;" "&amp;C788))),AND(설정!$A$30&lt;&gt;"",ISNUMBER(SEARCH(설정!$A$30,E788&amp;" "&amp;C788))),AND(설정!$A$31&lt;&gt;"",ISNUMBER(SEARCH(설정!$A$31,E788&amp;" "&amp;C788))),AND(설정!$A$32&lt;&gt;"",ISNUMBER(SEARCH(설정!$A$32,E788&amp;" "&amp;C788))),AND(설정!$A$33&lt;&gt;"",ISNUMBER(SEARCH(설정!$A$33,E788&amp;" "&amp;C788))),AND(설정!$A$34&lt;&gt;"",ISNUMBER(SEARCH(설정!$A$34,E788&amp;" "&amp;C788))),AND(설정!$A$35&lt;&gt;"",ISNUMBER(SEARCH(설정!$A$35,E788&amp;" "&amp;C788))),AND(설정!$A$36&lt;&gt;"",ISNUMBER(SEARCH(설정!$A$36,E788&amp;" "&amp;C788))),AND(설정!$A$37&lt;&gt;"",ISNUMBER(SEARCH(설정!$A$37,E788&amp;" "&amp;C788))))</f>
        <v/>
      </c>
      <c r="S788">
        <f>OR(D788="",D788&gt;=설정!$B$19)</f>
        <v/>
      </c>
      <c r="T788">
        <f>AND(Q788,R788,S788)</f>
        <v/>
      </c>
      <c r="U788">
        <f>IF(T788,IF(AND(설정!$A$41&lt;&gt;"",ISNUMBER(SEARCH(설정!$A$41,K788))),설정!$B$41,IF(AND(설정!$A$42&lt;&gt;"",ISNUMBER(SEARCH(설정!$A$42,K788))),설정!$B$42,IF(AND(설정!$A$43&lt;&gt;"",ISNUMBER(SEARCH(설정!$A$43,K788))),설정!$B$43,IF(AND(설정!$A$44&lt;&gt;"",ISNUMBER(SEARCH(설정!$A$44,K788))),설정!$B$44,IF(AND(설정!$A$45&lt;&gt;"",ISNUMBER(SEARCH(설정!$A$45,K788))),설정!$B$45,IF(AND(설정!$A$46&lt;&gt;"",ISNUMBER(SEARCH(설정!$A$46,K788))),설정!$B$46,IF(AND(설정!$A$47&lt;&gt;"",ISNUMBER(SEARCH(설정!$A$47,K788))),설정!$B$47,IF(AND(설정!$A$48&lt;&gt;"",ISNUMBER(SEARCH(설정!$A$48,K788))),설정!$B$48,IF(M788="","설계사","시공사"))))))))),"")</f>
        <v/>
      </c>
      <c r="V788">
        <f>SUBSTITUTE(SUBSTITUTE(SUBSTITUTE(SUBSTITUTE(G788,"(주)",""),"㈜",""),"주식회사","")," ","")</f>
        <v/>
      </c>
      <c r="W788">
        <f>IF(AND(T788,V788&lt;&gt;""),IF(COUNTIFS(V$2:V788,V788,T$2:T788,TRUE)=1,MAX(W$1:W787)+1,""),"")</f>
        <v/>
      </c>
      <c r="X788">
        <f>IFERROR(INDEX('1.산군_붙여넣기'!$A$1:$AZ$1001,ROW(),설정!$C$14)&amp;"","")</f>
        <v/>
      </c>
      <c r="Y788">
        <f>IFERROR(INDEX('1.산군_붙여넣기'!$A$1:$AZ$1001,ROW(),설정!$C$15)&amp;"","")</f>
        <v/>
      </c>
      <c r="Z788">
        <f>IF(T788,V788&amp;"|"&amp;U788,"")</f>
        <v/>
      </c>
    </row>
    <row r="789">
      <c r="A789">
        <f>ROW()</f>
        <v/>
      </c>
      <c r="B789">
        <f>IFERROR(INDEX('1.산군_붙여넣기'!$A$1:$AZ$1001,ROW(),설정!$C$4)&amp;"","")</f>
        <v/>
      </c>
      <c r="C789">
        <f>IFERROR(INDEX('1.산군_붙여넣기'!$A$1:$AZ$1001,ROW(),설정!$C$5)&amp;"","")</f>
        <v/>
      </c>
      <c r="D789" s="5">
        <f>IFERROR(VALUE(SUBSTITUTE(SUBSTITUTE(SUBSTITUTE(IFERROR(INDEX('1.산군_붙여넣기'!$A$1:$AZ$1001,ROW(),설정!$C$6)&amp;"",""),",",""),"㎡",""),"m2","")),"")</f>
        <v/>
      </c>
      <c r="E789">
        <f>IFERROR(INDEX('1.산군_붙여넣기'!$A$1:$AZ$1001,ROW(),설정!$C$7)&amp;"","")</f>
        <v/>
      </c>
      <c r="F789">
        <f>IFERROR(INDEX('1.산군_붙여넣기'!$A$1:$AZ$1001,ROW(),설정!$C$8)&amp;"","")</f>
        <v/>
      </c>
      <c r="G789">
        <f>IFERROR(INDEX('1.산군_붙여넣기'!$A$1:$AZ$1001,ROW(),설정!$C$9)&amp;"","")</f>
        <v/>
      </c>
      <c r="H789">
        <f>IFERROR(INDEX('1.산군_붙여넣기'!$A$1:$AZ$1001,ROW(),설정!$C$10)&amp;"","")</f>
        <v/>
      </c>
      <c r="I789">
        <f>IFERROR(INDEX('1.산군_붙여넣기'!$A$1:$AZ$1001,ROW(),설정!$C$11)&amp;"","")</f>
        <v/>
      </c>
      <c r="J789">
        <f>IFERROR(INDEX('1.산군_붙여넣기'!$A$1:$AZ$1001,ROW(),설정!$C$12)&amp;"","")</f>
        <v/>
      </c>
      <c r="K789">
        <f>IFERROR(INDEX('1.산군_붙여넣기'!$A$1:$AZ$1001,ROW(),설정!$C$13)&amp;"","")</f>
        <v/>
      </c>
      <c r="L789" s="6">
        <f>IF(X789="","",IF(AND(LEN(X789)=8,ISNUMBER(X789*1)),DATE(LEFT(X789,4),MID(X789,5,2),RIGHT(X789,2)),IFERROR(DATEVALUE(SUBSTITUTE(SUBSTITUTE(X789,".","-"),"/","-")),IFERROR(X789*1,""))))</f>
        <v/>
      </c>
      <c r="M789" s="6">
        <f>IF(Y789="","",IF(AND(LEN(Y789)=8,ISNUMBER(Y789*1)),DATE(LEFT(Y789,4),MID(Y789,5,2),RIGHT(Y789,2)),IFERROR(DATEVALUE(SUBSTITUTE(SUBSTITUTE(Y789,".","-"),"/","-")),IFERROR(Y789*1,""))))</f>
        <v/>
      </c>
      <c r="N789">
        <f>IFERROR(LEFT(B789,FIND(" ",B789)-1),B789)</f>
        <v/>
      </c>
      <c r="O789">
        <f>AND(B789&lt;&gt;"",B789&lt;&gt;설정!$B$4,C789&lt;&gt;설정!$B$5)</f>
        <v/>
      </c>
      <c r="P789">
        <f>IF(O789,B789&amp;"|"&amp;C789,"")</f>
        <v/>
      </c>
      <c r="Q789">
        <f>AND(O789,COUNTIF(P790:P$1002,P789)=0)</f>
        <v/>
      </c>
      <c r="R789">
        <f>OR(AND(설정!$A$28&lt;&gt;"",ISNUMBER(SEARCH(설정!$A$28,E789&amp;" "&amp;C789))),AND(설정!$A$29&lt;&gt;"",ISNUMBER(SEARCH(설정!$A$29,E789&amp;" "&amp;C789))),AND(설정!$A$30&lt;&gt;"",ISNUMBER(SEARCH(설정!$A$30,E789&amp;" "&amp;C789))),AND(설정!$A$31&lt;&gt;"",ISNUMBER(SEARCH(설정!$A$31,E789&amp;" "&amp;C789))),AND(설정!$A$32&lt;&gt;"",ISNUMBER(SEARCH(설정!$A$32,E789&amp;" "&amp;C789))),AND(설정!$A$33&lt;&gt;"",ISNUMBER(SEARCH(설정!$A$33,E789&amp;" "&amp;C789))),AND(설정!$A$34&lt;&gt;"",ISNUMBER(SEARCH(설정!$A$34,E789&amp;" "&amp;C789))),AND(설정!$A$35&lt;&gt;"",ISNUMBER(SEARCH(설정!$A$35,E789&amp;" "&amp;C789))),AND(설정!$A$36&lt;&gt;"",ISNUMBER(SEARCH(설정!$A$36,E789&amp;" "&amp;C789))),AND(설정!$A$37&lt;&gt;"",ISNUMBER(SEARCH(설정!$A$37,E789&amp;" "&amp;C789))))</f>
        <v/>
      </c>
      <c r="S789">
        <f>OR(D789="",D789&gt;=설정!$B$19)</f>
        <v/>
      </c>
      <c r="T789">
        <f>AND(Q789,R789,S789)</f>
        <v/>
      </c>
      <c r="U789">
        <f>IF(T789,IF(AND(설정!$A$41&lt;&gt;"",ISNUMBER(SEARCH(설정!$A$41,K789))),설정!$B$41,IF(AND(설정!$A$42&lt;&gt;"",ISNUMBER(SEARCH(설정!$A$42,K789))),설정!$B$42,IF(AND(설정!$A$43&lt;&gt;"",ISNUMBER(SEARCH(설정!$A$43,K789))),설정!$B$43,IF(AND(설정!$A$44&lt;&gt;"",ISNUMBER(SEARCH(설정!$A$44,K789))),설정!$B$44,IF(AND(설정!$A$45&lt;&gt;"",ISNUMBER(SEARCH(설정!$A$45,K789))),설정!$B$45,IF(AND(설정!$A$46&lt;&gt;"",ISNUMBER(SEARCH(설정!$A$46,K789))),설정!$B$46,IF(AND(설정!$A$47&lt;&gt;"",ISNUMBER(SEARCH(설정!$A$47,K789))),설정!$B$47,IF(AND(설정!$A$48&lt;&gt;"",ISNUMBER(SEARCH(설정!$A$48,K789))),설정!$B$48,IF(M789="","설계사","시공사"))))))))),"")</f>
        <v/>
      </c>
      <c r="V789">
        <f>SUBSTITUTE(SUBSTITUTE(SUBSTITUTE(SUBSTITUTE(G789,"(주)",""),"㈜",""),"주식회사","")," ","")</f>
        <v/>
      </c>
      <c r="W789">
        <f>IF(AND(T789,V789&lt;&gt;""),IF(COUNTIFS(V$2:V789,V789,T$2:T789,TRUE)=1,MAX(W$1:W788)+1,""),"")</f>
        <v/>
      </c>
      <c r="X789">
        <f>IFERROR(INDEX('1.산군_붙여넣기'!$A$1:$AZ$1001,ROW(),설정!$C$14)&amp;"","")</f>
        <v/>
      </c>
      <c r="Y789">
        <f>IFERROR(INDEX('1.산군_붙여넣기'!$A$1:$AZ$1001,ROW(),설정!$C$15)&amp;"","")</f>
        <v/>
      </c>
      <c r="Z789">
        <f>IF(T789,V789&amp;"|"&amp;U789,"")</f>
        <v/>
      </c>
    </row>
    <row r="790">
      <c r="A790">
        <f>ROW()</f>
        <v/>
      </c>
      <c r="B790">
        <f>IFERROR(INDEX('1.산군_붙여넣기'!$A$1:$AZ$1001,ROW(),설정!$C$4)&amp;"","")</f>
        <v/>
      </c>
      <c r="C790">
        <f>IFERROR(INDEX('1.산군_붙여넣기'!$A$1:$AZ$1001,ROW(),설정!$C$5)&amp;"","")</f>
        <v/>
      </c>
      <c r="D790" s="5">
        <f>IFERROR(VALUE(SUBSTITUTE(SUBSTITUTE(SUBSTITUTE(IFERROR(INDEX('1.산군_붙여넣기'!$A$1:$AZ$1001,ROW(),설정!$C$6)&amp;"",""),",",""),"㎡",""),"m2","")),"")</f>
        <v/>
      </c>
      <c r="E790">
        <f>IFERROR(INDEX('1.산군_붙여넣기'!$A$1:$AZ$1001,ROW(),설정!$C$7)&amp;"","")</f>
        <v/>
      </c>
      <c r="F790">
        <f>IFERROR(INDEX('1.산군_붙여넣기'!$A$1:$AZ$1001,ROW(),설정!$C$8)&amp;"","")</f>
        <v/>
      </c>
      <c r="G790">
        <f>IFERROR(INDEX('1.산군_붙여넣기'!$A$1:$AZ$1001,ROW(),설정!$C$9)&amp;"","")</f>
        <v/>
      </c>
      <c r="H790">
        <f>IFERROR(INDEX('1.산군_붙여넣기'!$A$1:$AZ$1001,ROW(),설정!$C$10)&amp;"","")</f>
        <v/>
      </c>
      <c r="I790">
        <f>IFERROR(INDEX('1.산군_붙여넣기'!$A$1:$AZ$1001,ROW(),설정!$C$11)&amp;"","")</f>
        <v/>
      </c>
      <c r="J790">
        <f>IFERROR(INDEX('1.산군_붙여넣기'!$A$1:$AZ$1001,ROW(),설정!$C$12)&amp;"","")</f>
        <v/>
      </c>
      <c r="K790">
        <f>IFERROR(INDEX('1.산군_붙여넣기'!$A$1:$AZ$1001,ROW(),설정!$C$13)&amp;"","")</f>
        <v/>
      </c>
      <c r="L790" s="6">
        <f>IF(X790="","",IF(AND(LEN(X790)=8,ISNUMBER(X790*1)),DATE(LEFT(X790,4),MID(X790,5,2),RIGHT(X790,2)),IFERROR(DATEVALUE(SUBSTITUTE(SUBSTITUTE(X790,".","-"),"/","-")),IFERROR(X790*1,""))))</f>
        <v/>
      </c>
      <c r="M790" s="6">
        <f>IF(Y790="","",IF(AND(LEN(Y790)=8,ISNUMBER(Y790*1)),DATE(LEFT(Y790,4),MID(Y790,5,2),RIGHT(Y790,2)),IFERROR(DATEVALUE(SUBSTITUTE(SUBSTITUTE(Y790,".","-"),"/","-")),IFERROR(Y790*1,""))))</f>
        <v/>
      </c>
      <c r="N790">
        <f>IFERROR(LEFT(B790,FIND(" ",B790)-1),B790)</f>
        <v/>
      </c>
      <c r="O790">
        <f>AND(B790&lt;&gt;"",B790&lt;&gt;설정!$B$4,C790&lt;&gt;설정!$B$5)</f>
        <v/>
      </c>
      <c r="P790">
        <f>IF(O790,B790&amp;"|"&amp;C790,"")</f>
        <v/>
      </c>
      <c r="Q790">
        <f>AND(O790,COUNTIF(P791:P$1002,P790)=0)</f>
        <v/>
      </c>
      <c r="R790">
        <f>OR(AND(설정!$A$28&lt;&gt;"",ISNUMBER(SEARCH(설정!$A$28,E790&amp;" "&amp;C790))),AND(설정!$A$29&lt;&gt;"",ISNUMBER(SEARCH(설정!$A$29,E790&amp;" "&amp;C790))),AND(설정!$A$30&lt;&gt;"",ISNUMBER(SEARCH(설정!$A$30,E790&amp;" "&amp;C790))),AND(설정!$A$31&lt;&gt;"",ISNUMBER(SEARCH(설정!$A$31,E790&amp;" "&amp;C790))),AND(설정!$A$32&lt;&gt;"",ISNUMBER(SEARCH(설정!$A$32,E790&amp;" "&amp;C790))),AND(설정!$A$33&lt;&gt;"",ISNUMBER(SEARCH(설정!$A$33,E790&amp;" "&amp;C790))),AND(설정!$A$34&lt;&gt;"",ISNUMBER(SEARCH(설정!$A$34,E790&amp;" "&amp;C790))),AND(설정!$A$35&lt;&gt;"",ISNUMBER(SEARCH(설정!$A$35,E790&amp;" "&amp;C790))),AND(설정!$A$36&lt;&gt;"",ISNUMBER(SEARCH(설정!$A$36,E790&amp;" "&amp;C790))),AND(설정!$A$37&lt;&gt;"",ISNUMBER(SEARCH(설정!$A$37,E790&amp;" "&amp;C790))))</f>
        <v/>
      </c>
      <c r="S790">
        <f>OR(D790="",D790&gt;=설정!$B$19)</f>
        <v/>
      </c>
      <c r="T790">
        <f>AND(Q790,R790,S790)</f>
        <v/>
      </c>
      <c r="U790">
        <f>IF(T790,IF(AND(설정!$A$41&lt;&gt;"",ISNUMBER(SEARCH(설정!$A$41,K790))),설정!$B$41,IF(AND(설정!$A$42&lt;&gt;"",ISNUMBER(SEARCH(설정!$A$42,K790))),설정!$B$42,IF(AND(설정!$A$43&lt;&gt;"",ISNUMBER(SEARCH(설정!$A$43,K790))),설정!$B$43,IF(AND(설정!$A$44&lt;&gt;"",ISNUMBER(SEARCH(설정!$A$44,K790))),설정!$B$44,IF(AND(설정!$A$45&lt;&gt;"",ISNUMBER(SEARCH(설정!$A$45,K790))),설정!$B$45,IF(AND(설정!$A$46&lt;&gt;"",ISNUMBER(SEARCH(설정!$A$46,K790))),설정!$B$46,IF(AND(설정!$A$47&lt;&gt;"",ISNUMBER(SEARCH(설정!$A$47,K790))),설정!$B$47,IF(AND(설정!$A$48&lt;&gt;"",ISNUMBER(SEARCH(설정!$A$48,K790))),설정!$B$48,IF(M790="","설계사","시공사"))))))))),"")</f>
        <v/>
      </c>
      <c r="V790">
        <f>SUBSTITUTE(SUBSTITUTE(SUBSTITUTE(SUBSTITUTE(G790,"(주)",""),"㈜",""),"주식회사","")," ","")</f>
        <v/>
      </c>
      <c r="W790">
        <f>IF(AND(T790,V790&lt;&gt;""),IF(COUNTIFS(V$2:V790,V790,T$2:T790,TRUE)=1,MAX(W$1:W789)+1,""),"")</f>
        <v/>
      </c>
      <c r="X790">
        <f>IFERROR(INDEX('1.산군_붙여넣기'!$A$1:$AZ$1001,ROW(),설정!$C$14)&amp;"","")</f>
        <v/>
      </c>
      <c r="Y790">
        <f>IFERROR(INDEX('1.산군_붙여넣기'!$A$1:$AZ$1001,ROW(),설정!$C$15)&amp;"","")</f>
        <v/>
      </c>
      <c r="Z790">
        <f>IF(T790,V790&amp;"|"&amp;U790,"")</f>
        <v/>
      </c>
    </row>
    <row r="791">
      <c r="A791">
        <f>ROW()</f>
        <v/>
      </c>
      <c r="B791">
        <f>IFERROR(INDEX('1.산군_붙여넣기'!$A$1:$AZ$1001,ROW(),설정!$C$4)&amp;"","")</f>
        <v/>
      </c>
      <c r="C791">
        <f>IFERROR(INDEX('1.산군_붙여넣기'!$A$1:$AZ$1001,ROW(),설정!$C$5)&amp;"","")</f>
        <v/>
      </c>
      <c r="D791" s="5">
        <f>IFERROR(VALUE(SUBSTITUTE(SUBSTITUTE(SUBSTITUTE(IFERROR(INDEX('1.산군_붙여넣기'!$A$1:$AZ$1001,ROW(),설정!$C$6)&amp;"",""),",",""),"㎡",""),"m2","")),"")</f>
        <v/>
      </c>
      <c r="E791">
        <f>IFERROR(INDEX('1.산군_붙여넣기'!$A$1:$AZ$1001,ROW(),설정!$C$7)&amp;"","")</f>
        <v/>
      </c>
      <c r="F791">
        <f>IFERROR(INDEX('1.산군_붙여넣기'!$A$1:$AZ$1001,ROW(),설정!$C$8)&amp;"","")</f>
        <v/>
      </c>
      <c r="G791">
        <f>IFERROR(INDEX('1.산군_붙여넣기'!$A$1:$AZ$1001,ROW(),설정!$C$9)&amp;"","")</f>
        <v/>
      </c>
      <c r="H791">
        <f>IFERROR(INDEX('1.산군_붙여넣기'!$A$1:$AZ$1001,ROW(),설정!$C$10)&amp;"","")</f>
        <v/>
      </c>
      <c r="I791">
        <f>IFERROR(INDEX('1.산군_붙여넣기'!$A$1:$AZ$1001,ROW(),설정!$C$11)&amp;"","")</f>
        <v/>
      </c>
      <c r="J791">
        <f>IFERROR(INDEX('1.산군_붙여넣기'!$A$1:$AZ$1001,ROW(),설정!$C$12)&amp;"","")</f>
        <v/>
      </c>
      <c r="K791">
        <f>IFERROR(INDEX('1.산군_붙여넣기'!$A$1:$AZ$1001,ROW(),설정!$C$13)&amp;"","")</f>
        <v/>
      </c>
      <c r="L791" s="6">
        <f>IF(X791="","",IF(AND(LEN(X791)=8,ISNUMBER(X791*1)),DATE(LEFT(X791,4),MID(X791,5,2),RIGHT(X791,2)),IFERROR(DATEVALUE(SUBSTITUTE(SUBSTITUTE(X791,".","-"),"/","-")),IFERROR(X791*1,""))))</f>
        <v/>
      </c>
      <c r="M791" s="6">
        <f>IF(Y791="","",IF(AND(LEN(Y791)=8,ISNUMBER(Y791*1)),DATE(LEFT(Y791,4),MID(Y791,5,2),RIGHT(Y791,2)),IFERROR(DATEVALUE(SUBSTITUTE(SUBSTITUTE(Y791,".","-"),"/","-")),IFERROR(Y791*1,""))))</f>
        <v/>
      </c>
      <c r="N791">
        <f>IFERROR(LEFT(B791,FIND(" ",B791)-1),B791)</f>
        <v/>
      </c>
      <c r="O791">
        <f>AND(B791&lt;&gt;"",B791&lt;&gt;설정!$B$4,C791&lt;&gt;설정!$B$5)</f>
        <v/>
      </c>
      <c r="P791">
        <f>IF(O791,B791&amp;"|"&amp;C791,"")</f>
        <v/>
      </c>
      <c r="Q791">
        <f>AND(O791,COUNTIF(P792:P$1002,P791)=0)</f>
        <v/>
      </c>
      <c r="R791">
        <f>OR(AND(설정!$A$28&lt;&gt;"",ISNUMBER(SEARCH(설정!$A$28,E791&amp;" "&amp;C791))),AND(설정!$A$29&lt;&gt;"",ISNUMBER(SEARCH(설정!$A$29,E791&amp;" "&amp;C791))),AND(설정!$A$30&lt;&gt;"",ISNUMBER(SEARCH(설정!$A$30,E791&amp;" "&amp;C791))),AND(설정!$A$31&lt;&gt;"",ISNUMBER(SEARCH(설정!$A$31,E791&amp;" "&amp;C791))),AND(설정!$A$32&lt;&gt;"",ISNUMBER(SEARCH(설정!$A$32,E791&amp;" "&amp;C791))),AND(설정!$A$33&lt;&gt;"",ISNUMBER(SEARCH(설정!$A$33,E791&amp;" "&amp;C791))),AND(설정!$A$34&lt;&gt;"",ISNUMBER(SEARCH(설정!$A$34,E791&amp;" "&amp;C791))),AND(설정!$A$35&lt;&gt;"",ISNUMBER(SEARCH(설정!$A$35,E791&amp;" "&amp;C791))),AND(설정!$A$36&lt;&gt;"",ISNUMBER(SEARCH(설정!$A$36,E791&amp;" "&amp;C791))),AND(설정!$A$37&lt;&gt;"",ISNUMBER(SEARCH(설정!$A$37,E791&amp;" "&amp;C791))))</f>
        <v/>
      </c>
      <c r="S791">
        <f>OR(D791="",D791&gt;=설정!$B$19)</f>
        <v/>
      </c>
      <c r="T791">
        <f>AND(Q791,R791,S791)</f>
        <v/>
      </c>
      <c r="U791">
        <f>IF(T791,IF(AND(설정!$A$41&lt;&gt;"",ISNUMBER(SEARCH(설정!$A$41,K791))),설정!$B$41,IF(AND(설정!$A$42&lt;&gt;"",ISNUMBER(SEARCH(설정!$A$42,K791))),설정!$B$42,IF(AND(설정!$A$43&lt;&gt;"",ISNUMBER(SEARCH(설정!$A$43,K791))),설정!$B$43,IF(AND(설정!$A$44&lt;&gt;"",ISNUMBER(SEARCH(설정!$A$44,K791))),설정!$B$44,IF(AND(설정!$A$45&lt;&gt;"",ISNUMBER(SEARCH(설정!$A$45,K791))),설정!$B$45,IF(AND(설정!$A$46&lt;&gt;"",ISNUMBER(SEARCH(설정!$A$46,K791))),설정!$B$46,IF(AND(설정!$A$47&lt;&gt;"",ISNUMBER(SEARCH(설정!$A$47,K791))),설정!$B$47,IF(AND(설정!$A$48&lt;&gt;"",ISNUMBER(SEARCH(설정!$A$48,K791))),설정!$B$48,IF(M791="","설계사","시공사"))))))))),"")</f>
        <v/>
      </c>
      <c r="V791">
        <f>SUBSTITUTE(SUBSTITUTE(SUBSTITUTE(SUBSTITUTE(G791,"(주)",""),"㈜",""),"주식회사","")," ","")</f>
        <v/>
      </c>
      <c r="W791">
        <f>IF(AND(T791,V791&lt;&gt;""),IF(COUNTIFS(V$2:V791,V791,T$2:T791,TRUE)=1,MAX(W$1:W790)+1,""),"")</f>
        <v/>
      </c>
      <c r="X791">
        <f>IFERROR(INDEX('1.산군_붙여넣기'!$A$1:$AZ$1001,ROW(),설정!$C$14)&amp;"","")</f>
        <v/>
      </c>
      <c r="Y791">
        <f>IFERROR(INDEX('1.산군_붙여넣기'!$A$1:$AZ$1001,ROW(),설정!$C$15)&amp;"","")</f>
        <v/>
      </c>
      <c r="Z791">
        <f>IF(T791,V791&amp;"|"&amp;U791,"")</f>
        <v/>
      </c>
    </row>
    <row r="792">
      <c r="A792">
        <f>ROW()</f>
        <v/>
      </c>
      <c r="B792">
        <f>IFERROR(INDEX('1.산군_붙여넣기'!$A$1:$AZ$1001,ROW(),설정!$C$4)&amp;"","")</f>
        <v/>
      </c>
      <c r="C792">
        <f>IFERROR(INDEX('1.산군_붙여넣기'!$A$1:$AZ$1001,ROW(),설정!$C$5)&amp;"","")</f>
        <v/>
      </c>
      <c r="D792" s="5">
        <f>IFERROR(VALUE(SUBSTITUTE(SUBSTITUTE(SUBSTITUTE(IFERROR(INDEX('1.산군_붙여넣기'!$A$1:$AZ$1001,ROW(),설정!$C$6)&amp;"",""),",",""),"㎡",""),"m2","")),"")</f>
        <v/>
      </c>
      <c r="E792">
        <f>IFERROR(INDEX('1.산군_붙여넣기'!$A$1:$AZ$1001,ROW(),설정!$C$7)&amp;"","")</f>
        <v/>
      </c>
      <c r="F792">
        <f>IFERROR(INDEX('1.산군_붙여넣기'!$A$1:$AZ$1001,ROW(),설정!$C$8)&amp;"","")</f>
        <v/>
      </c>
      <c r="G792">
        <f>IFERROR(INDEX('1.산군_붙여넣기'!$A$1:$AZ$1001,ROW(),설정!$C$9)&amp;"","")</f>
        <v/>
      </c>
      <c r="H792">
        <f>IFERROR(INDEX('1.산군_붙여넣기'!$A$1:$AZ$1001,ROW(),설정!$C$10)&amp;"","")</f>
        <v/>
      </c>
      <c r="I792">
        <f>IFERROR(INDEX('1.산군_붙여넣기'!$A$1:$AZ$1001,ROW(),설정!$C$11)&amp;"","")</f>
        <v/>
      </c>
      <c r="J792">
        <f>IFERROR(INDEX('1.산군_붙여넣기'!$A$1:$AZ$1001,ROW(),설정!$C$12)&amp;"","")</f>
        <v/>
      </c>
      <c r="K792">
        <f>IFERROR(INDEX('1.산군_붙여넣기'!$A$1:$AZ$1001,ROW(),설정!$C$13)&amp;"","")</f>
        <v/>
      </c>
      <c r="L792" s="6">
        <f>IF(X792="","",IF(AND(LEN(X792)=8,ISNUMBER(X792*1)),DATE(LEFT(X792,4),MID(X792,5,2),RIGHT(X792,2)),IFERROR(DATEVALUE(SUBSTITUTE(SUBSTITUTE(X792,".","-"),"/","-")),IFERROR(X792*1,""))))</f>
        <v/>
      </c>
      <c r="M792" s="6">
        <f>IF(Y792="","",IF(AND(LEN(Y792)=8,ISNUMBER(Y792*1)),DATE(LEFT(Y792,4),MID(Y792,5,2),RIGHT(Y792,2)),IFERROR(DATEVALUE(SUBSTITUTE(SUBSTITUTE(Y792,".","-"),"/","-")),IFERROR(Y792*1,""))))</f>
        <v/>
      </c>
      <c r="N792">
        <f>IFERROR(LEFT(B792,FIND(" ",B792)-1),B792)</f>
        <v/>
      </c>
      <c r="O792">
        <f>AND(B792&lt;&gt;"",B792&lt;&gt;설정!$B$4,C792&lt;&gt;설정!$B$5)</f>
        <v/>
      </c>
      <c r="P792">
        <f>IF(O792,B792&amp;"|"&amp;C792,"")</f>
        <v/>
      </c>
      <c r="Q792">
        <f>AND(O792,COUNTIF(P793:P$1002,P792)=0)</f>
        <v/>
      </c>
      <c r="R792">
        <f>OR(AND(설정!$A$28&lt;&gt;"",ISNUMBER(SEARCH(설정!$A$28,E792&amp;" "&amp;C792))),AND(설정!$A$29&lt;&gt;"",ISNUMBER(SEARCH(설정!$A$29,E792&amp;" "&amp;C792))),AND(설정!$A$30&lt;&gt;"",ISNUMBER(SEARCH(설정!$A$30,E792&amp;" "&amp;C792))),AND(설정!$A$31&lt;&gt;"",ISNUMBER(SEARCH(설정!$A$31,E792&amp;" "&amp;C792))),AND(설정!$A$32&lt;&gt;"",ISNUMBER(SEARCH(설정!$A$32,E792&amp;" "&amp;C792))),AND(설정!$A$33&lt;&gt;"",ISNUMBER(SEARCH(설정!$A$33,E792&amp;" "&amp;C792))),AND(설정!$A$34&lt;&gt;"",ISNUMBER(SEARCH(설정!$A$34,E792&amp;" "&amp;C792))),AND(설정!$A$35&lt;&gt;"",ISNUMBER(SEARCH(설정!$A$35,E792&amp;" "&amp;C792))),AND(설정!$A$36&lt;&gt;"",ISNUMBER(SEARCH(설정!$A$36,E792&amp;" "&amp;C792))),AND(설정!$A$37&lt;&gt;"",ISNUMBER(SEARCH(설정!$A$37,E792&amp;" "&amp;C792))))</f>
        <v/>
      </c>
      <c r="S792">
        <f>OR(D792="",D792&gt;=설정!$B$19)</f>
        <v/>
      </c>
      <c r="T792">
        <f>AND(Q792,R792,S792)</f>
        <v/>
      </c>
      <c r="U792">
        <f>IF(T792,IF(AND(설정!$A$41&lt;&gt;"",ISNUMBER(SEARCH(설정!$A$41,K792))),설정!$B$41,IF(AND(설정!$A$42&lt;&gt;"",ISNUMBER(SEARCH(설정!$A$42,K792))),설정!$B$42,IF(AND(설정!$A$43&lt;&gt;"",ISNUMBER(SEARCH(설정!$A$43,K792))),설정!$B$43,IF(AND(설정!$A$44&lt;&gt;"",ISNUMBER(SEARCH(설정!$A$44,K792))),설정!$B$44,IF(AND(설정!$A$45&lt;&gt;"",ISNUMBER(SEARCH(설정!$A$45,K792))),설정!$B$45,IF(AND(설정!$A$46&lt;&gt;"",ISNUMBER(SEARCH(설정!$A$46,K792))),설정!$B$46,IF(AND(설정!$A$47&lt;&gt;"",ISNUMBER(SEARCH(설정!$A$47,K792))),설정!$B$47,IF(AND(설정!$A$48&lt;&gt;"",ISNUMBER(SEARCH(설정!$A$48,K792))),설정!$B$48,IF(M792="","설계사","시공사"))))))))),"")</f>
        <v/>
      </c>
      <c r="V792">
        <f>SUBSTITUTE(SUBSTITUTE(SUBSTITUTE(SUBSTITUTE(G792,"(주)",""),"㈜",""),"주식회사","")," ","")</f>
        <v/>
      </c>
      <c r="W792">
        <f>IF(AND(T792,V792&lt;&gt;""),IF(COUNTIFS(V$2:V792,V792,T$2:T792,TRUE)=1,MAX(W$1:W791)+1,""),"")</f>
        <v/>
      </c>
      <c r="X792">
        <f>IFERROR(INDEX('1.산군_붙여넣기'!$A$1:$AZ$1001,ROW(),설정!$C$14)&amp;"","")</f>
        <v/>
      </c>
      <c r="Y792">
        <f>IFERROR(INDEX('1.산군_붙여넣기'!$A$1:$AZ$1001,ROW(),설정!$C$15)&amp;"","")</f>
        <v/>
      </c>
      <c r="Z792">
        <f>IF(T792,V792&amp;"|"&amp;U792,"")</f>
        <v/>
      </c>
    </row>
    <row r="793">
      <c r="A793">
        <f>ROW()</f>
        <v/>
      </c>
      <c r="B793">
        <f>IFERROR(INDEX('1.산군_붙여넣기'!$A$1:$AZ$1001,ROW(),설정!$C$4)&amp;"","")</f>
        <v/>
      </c>
      <c r="C793">
        <f>IFERROR(INDEX('1.산군_붙여넣기'!$A$1:$AZ$1001,ROW(),설정!$C$5)&amp;"","")</f>
        <v/>
      </c>
      <c r="D793" s="5">
        <f>IFERROR(VALUE(SUBSTITUTE(SUBSTITUTE(SUBSTITUTE(IFERROR(INDEX('1.산군_붙여넣기'!$A$1:$AZ$1001,ROW(),설정!$C$6)&amp;"",""),",",""),"㎡",""),"m2","")),"")</f>
        <v/>
      </c>
      <c r="E793">
        <f>IFERROR(INDEX('1.산군_붙여넣기'!$A$1:$AZ$1001,ROW(),설정!$C$7)&amp;"","")</f>
        <v/>
      </c>
      <c r="F793">
        <f>IFERROR(INDEX('1.산군_붙여넣기'!$A$1:$AZ$1001,ROW(),설정!$C$8)&amp;"","")</f>
        <v/>
      </c>
      <c r="G793">
        <f>IFERROR(INDEX('1.산군_붙여넣기'!$A$1:$AZ$1001,ROW(),설정!$C$9)&amp;"","")</f>
        <v/>
      </c>
      <c r="H793">
        <f>IFERROR(INDEX('1.산군_붙여넣기'!$A$1:$AZ$1001,ROW(),설정!$C$10)&amp;"","")</f>
        <v/>
      </c>
      <c r="I793">
        <f>IFERROR(INDEX('1.산군_붙여넣기'!$A$1:$AZ$1001,ROW(),설정!$C$11)&amp;"","")</f>
        <v/>
      </c>
      <c r="J793">
        <f>IFERROR(INDEX('1.산군_붙여넣기'!$A$1:$AZ$1001,ROW(),설정!$C$12)&amp;"","")</f>
        <v/>
      </c>
      <c r="K793">
        <f>IFERROR(INDEX('1.산군_붙여넣기'!$A$1:$AZ$1001,ROW(),설정!$C$13)&amp;"","")</f>
        <v/>
      </c>
      <c r="L793" s="6">
        <f>IF(X793="","",IF(AND(LEN(X793)=8,ISNUMBER(X793*1)),DATE(LEFT(X793,4),MID(X793,5,2),RIGHT(X793,2)),IFERROR(DATEVALUE(SUBSTITUTE(SUBSTITUTE(X793,".","-"),"/","-")),IFERROR(X793*1,""))))</f>
        <v/>
      </c>
      <c r="M793" s="6">
        <f>IF(Y793="","",IF(AND(LEN(Y793)=8,ISNUMBER(Y793*1)),DATE(LEFT(Y793,4),MID(Y793,5,2),RIGHT(Y793,2)),IFERROR(DATEVALUE(SUBSTITUTE(SUBSTITUTE(Y793,".","-"),"/","-")),IFERROR(Y793*1,""))))</f>
        <v/>
      </c>
      <c r="N793">
        <f>IFERROR(LEFT(B793,FIND(" ",B793)-1),B793)</f>
        <v/>
      </c>
      <c r="O793">
        <f>AND(B793&lt;&gt;"",B793&lt;&gt;설정!$B$4,C793&lt;&gt;설정!$B$5)</f>
        <v/>
      </c>
      <c r="P793">
        <f>IF(O793,B793&amp;"|"&amp;C793,"")</f>
        <v/>
      </c>
      <c r="Q793">
        <f>AND(O793,COUNTIF(P794:P$1002,P793)=0)</f>
        <v/>
      </c>
      <c r="R793">
        <f>OR(AND(설정!$A$28&lt;&gt;"",ISNUMBER(SEARCH(설정!$A$28,E793&amp;" "&amp;C793))),AND(설정!$A$29&lt;&gt;"",ISNUMBER(SEARCH(설정!$A$29,E793&amp;" "&amp;C793))),AND(설정!$A$30&lt;&gt;"",ISNUMBER(SEARCH(설정!$A$30,E793&amp;" "&amp;C793))),AND(설정!$A$31&lt;&gt;"",ISNUMBER(SEARCH(설정!$A$31,E793&amp;" "&amp;C793))),AND(설정!$A$32&lt;&gt;"",ISNUMBER(SEARCH(설정!$A$32,E793&amp;" "&amp;C793))),AND(설정!$A$33&lt;&gt;"",ISNUMBER(SEARCH(설정!$A$33,E793&amp;" "&amp;C793))),AND(설정!$A$34&lt;&gt;"",ISNUMBER(SEARCH(설정!$A$34,E793&amp;" "&amp;C793))),AND(설정!$A$35&lt;&gt;"",ISNUMBER(SEARCH(설정!$A$35,E793&amp;" "&amp;C793))),AND(설정!$A$36&lt;&gt;"",ISNUMBER(SEARCH(설정!$A$36,E793&amp;" "&amp;C793))),AND(설정!$A$37&lt;&gt;"",ISNUMBER(SEARCH(설정!$A$37,E793&amp;" "&amp;C793))))</f>
        <v/>
      </c>
      <c r="S793">
        <f>OR(D793="",D793&gt;=설정!$B$19)</f>
        <v/>
      </c>
      <c r="T793">
        <f>AND(Q793,R793,S793)</f>
        <v/>
      </c>
      <c r="U793">
        <f>IF(T793,IF(AND(설정!$A$41&lt;&gt;"",ISNUMBER(SEARCH(설정!$A$41,K793))),설정!$B$41,IF(AND(설정!$A$42&lt;&gt;"",ISNUMBER(SEARCH(설정!$A$42,K793))),설정!$B$42,IF(AND(설정!$A$43&lt;&gt;"",ISNUMBER(SEARCH(설정!$A$43,K793))),설정!$B$43,IF(AND(설정!$A$44&lt;&gt;"",ISNUMBER(SEARCH(설정!$A$44,K793))),설정!$B$44,IF(AND(설정!$A$45&lt;&gt;"",ISNUMBER(SEARCH(설정!$A$45,K793))),설정!$B$45,IF(AND(설정!$A$46&lt;&gt;"",ISNUMBER(SEARCH(설정!$A$46,K793))),설정!$B$46,IF(AND(설정!$A$47&lt;&gt;"",ISNUMBER(SEARCH(설정!$A$47,K793))),설정!$B$47,IF(AND(설정!$A$48&lt;&gt;"",ISNUMBER(SEARCH(설정!$A$48,K793))),설정!$B$48,IF(M793="","설계사","시공사"))))))))),"")</f>
        <v/>
      </c>
      <c r="V793">
        <f>SUBSTITUTE(SUBSTITUTE(SUBSTITUTE(SUBSTITUTE(G793,"(주)",""),"㈜",""),"주식회사","")," ","")</f>
        <v/>
      </c>
      <c r="W793">
        <f>IF(AND(T793,V793&lt;&gt;""),IF(COUNTIFS(V$2:V793,V793,T$2:T793,TRUE)=1,MAX(W$1:W792)+1,""),"")</f>
        <v/>
      </c>
      <c r="X793">
        <f>IFERROR(INDEX('1.산군_붙여넣기'!$A$1:$AZ$1001,ROW(),설정!$C$14)&amp;"","")</f>
        <v/>
      </c>
      <c r="Y793">
        <f>IFERROR(INDEX('1.산군_붙여넣기'!$A$1:$AZ$1001,ROW(),설정!$C$15)&amp;"","")</f>
        <v/>
      </c>
      <c r="Z793">
        <f>IF(T793,V793&amp;"|"&amp;U793,"")</f>
        <v/>
      </c>
    </row>
    <row r="794">
      <c r="A794">
        <f>ROW()</f>
        <v/>
      </c>
      <c r="B794">
        <f>IFERROR(INDEX('1.산군_붙여넣기'!$A$1:$AZ$1001,ROW(),설정!$C$4)&amp;"","")</f>
        <v/>
      </c>
      <c r="C794">
        <f>IFERROR(INDEX('1.산군_붙여넣기'!$A$1:$AZ$1001,ROW(),설정!$C$5)&amp;"","")</f>
        <v/>
      </c>
      <c r="D794" s="5">
        <f>IFERROR(VALUE(SUBSTITUTE(SUBSTITUTE(SUBSTITUTE(IFERROR(INDEX('1.산군_붙여넣기'!$A$1:$AZ$1001,ROW(),설정!$C$6)&amp;"",""),",",""),"㎡",""),"m2","")),"")</f>
        <v/>
      </c>
      <c r="E794">
        <f>IFERROR(INDEX('1.산군_붙여넣기'!$A$1:$AZ$1001,ROW(),설정!$C$7)&amp;"","")</f>
        <v/>
      </c>
      <c r="F794">
        <f>IFERROR(INDEX('1.산군_붙여넣기'!$A$1:$AZ$1001,ROW(),설정!$C$8)&amp;"","")</f>
        <v/>
      </c>
      <c r="G794">
        <f>IFERROR(INDEX('1.산군_붙여넣기'!$A$1:$AZ$1001,ROW(),설정!$C$9)&amp;"","")</f>
        <v/>
      </c>
      <c r="H794">
        <f>IFERROR(INDEX('1.산군_붙여넣기'!$A$1:$AZ$1001,ROW(),설정!$C$10)&amp;"","")</f>
        <v/>
      </c>
      <c r="I794">
        <f>IFERROR(INDEX('1.산군_붙여넣기'!$A$1:$AZ$1001,ROW(),설정!$C$11)&amp;"","")</f>
        <v/>
      </c>
      <c r="J794">
        <f>IFERROR(INDEX('1.산군_붙여넣기'!$A$1:$AZ$1001,ROW(),설정!$C$12)&amp;"","")</f>
        <v/>
      </c>
      <c r="K794">
        <f>IFERROR(INDEX('1.산군_붙여넣기'!$A$1:$AZ$1001,ROW(),설정!$C$13)&amp;"","")</f>
        <v/>
      </c>
      <c r="L794" s="6">
        <f>IF(X794="","",IF(AND(LEN(X794)=8,ISNUMBER(X794*1)),DATE(LEFT(X794,4),MID(X794,5,2),RIGHT(X794,2)),IFERROR(DATEVALUE(SUBSTITUTE(SUBSTITUTE(X794,".","-"),"/","-")),IFERROR(X794*1,""))))</f>
        <v/>
      </c>
      <c r="M794" s="6">
        <f>IF(Y794="","",IF(AND(LEN(Y794)=8,ISNUMBER(Y794*1)),DATE(LEFT(Y794,4),MID(Y794,5,2),RIGHT(Y794,2)),IFERROR(DATEVALUE(SUBSTITUTE(SUBSTITUTE(Y794,".","-"),"/","-")),IFERROR(Y794*1,""))))</f>
        <v/>
      </c>
      <c r="N794">
        <f>IFERROR(LEFT(B794,FIND(" ",B794)-1),B794)</f>
        <v/>
      </c>
      <c r="O794">
        <f>AND(B794&lt;&gt;"",B794&lt;&gt;설정!$B$4,C794&lt;&gt;설정!$B$5)</f>
        <v/>
      </c>
      <c r="P794">
        <f>IF(O794,B794&amp;"|"&amp;C794,"")</f>
        <v/>
      </c>
      <c r="Q794">
        <f>AND(O794,COUNTIF(P795:P$1002,P794)=0)</f>
        <v/>
      </c>
      <c r="R794">
        <f>OR(AND(설정!$A$28&lt;&gt;"",ISNUMBER(SEARCH(설정!$A$28,E794&amp;" "&amp;C794))),AND(설정!$A$29&lt;&gt;"",ISNUMBER(SEARCH(설정!$A$29,E794&amp;" "&amp;C794))),AND(설정!$A$30&lt;&gt;"",ISNUMBER(SEARCH(설정!$A$30,E794&amp;" "&amp;C794))),AND(설정!$A$31&lt;&gt;"",ISNUMBER(SEARCH(설정!$A$31,E794&amp;" "&amp;C794))),AND(설정!$A$32&lt;&gt;"",ISNUMBER(SEARCH(설정!$A$32,E794&amp;" "&amp;C794))),AND(설정!$A$33&lt;&gt;"",ISNUMBER(SEARCH(설정!$A$33,E794&amp;" "&amp;C794))),AND(설정!$A$34&lt;&gt;"",ISNUMBER(SEARCH(설정!$A$34,E794&amp;" "&amp;C794))),AND(설정!$A$35&lt;&gt;"",ISNUMBER(SEARCH(설정!$A$35,E794&amp;" "&amp;C794))),AND(설정!$A$36&lt;&gt;"",ISNUMBER(SEARCH(설정!$A$36,E794&amp;" "&amp;C794))),AND(설정!$A$37&lt;&gt;"",ISNUMBER(SEARCH(설정!$A$37,E794&amp;" "&amp;C794))))</f>
        <v/>
      </c>
      <c r="S794">
        <f>OR(D794="",D794&gt;=설정!$B$19)</f>
        <v/>
      </c>
      <c r="T794">
        <f>AND(Q794,R794,S794)</f>
        <v/>
      </c>
      <c r="U794">
        <f>IF(T794,IF(AND(설정!$A$41&lt;&gt;"",ISNUMBER(SEARCH(설정!$A$41,K794))),설정!$B$41,IF(AND(설정!$A$42&lt;&gt;"",ISNUMBER(SEARCH(설정!$A$42,K794))),설정!$B$42,IF(AND(설정!$A$43&lt;&gt;"",ISNUMBER(SEARCH(설정!$A$43,K794))),설정!$B$43,IF(AND(설정!$A$44&lt;&gt;"",ISNUMBER(SEARCH(설정!$A$44,K794))),설정!$B$44,IF(AND(설정!$A$45&lt;&gt;"",ISNUMBER(SEARCH(설정!$A$45,K794))),설정!$B$45,IF(AND(설정!$A$46&lt;&gt;"",ISNUMBER(SEARCH(설정!$A$46,K794))),설정!$B$46,IF(AND(설정!$A$47&lt;&gt;"",ISNUMBER(SEARCH(설정!$A$47,K794))),설정!$B$47,IF(AND(설정!$A$48&lt;&gt;"",ISNUMBER(SEARCH(설정!$A$48,K794))),설정!$B$48,IF(M794="","설계사","시공사"))))))))),"")</f>
        <v/>
      </c>
      <c r="V794">
        <f>SUBSTITUTE(SUBSTITUTE(SUBSTITUTE(SUBSTITUTE(G794,"(주)",""),"㈜",""),"주식회사","")," ","")</f>
        <v/>
      </c>
      <c r="W794">
        <f>IF(AND(T794,V794&lt;&gt;""),IF(COUNTIFS(V$2:V794,V794,T$2:T794,TRUE)=1,MAX(W$1:W793)+1,""),"")</f>
        <v/>
      </c>
      <c r="X794">
        <f>IFERROR(INDEX('1.산군_붙여넣기'!$A$1:$AZ$1001,ROW(),설정!$C$14)&amp;"","")</f>
        <v/>
      </c>
      <c r="Y794">
        <f>IFERROR(INDEX('1.산군_붙여넣기'!$A$1:$AZ$1001,ROW(),설정!$C$15)&amp;"","")</f>
        <v/>
      </c>
      <c r="Z794">
        <f>IF(T794,V794&amp;"|"&amp;U794,"")</f>
        <v/>
      </c>
    </row>
    <row r="795">
      <c r="A795">
        <f>ROW()</f>
        <v/>
      </c>
      <c r="B795">
        <f>IFERROR(INDEX('1.산군_붙여넣기'!$A$1:$AZ$1001,ROW(),설정!$C$4)&amp;"","")</f>
        <v/>
      </c>
      <c r="C795">
        <f>IFERROR(INDEX('1.산군_붙여넣기'!$A$1:$AZ$1001,ROW(),설정!$C$5)&amp;"","")</f>
        <v/>
      </c>
      <c r="D795" s="5">
        <f>IFERROR(VALUE(SUBSTITUTE(SUBSTITUTE(SUBSTITUTE(IFERROR(INDEX('1.산군_붙여넣기'!$A$1:$AZ$1001,ROW(),설정!$C$6)&amp;"",""),",",""),"㎡",""),"m2","")),"")</f>
        <v/>
      </c>
      <c r="E795">
        <f>IFERROR(INDEX('1.산군_붙여넣기'!$A$1:$AZ$1001,ROW(),설정!$C$7)&amp;"","")</f>
        <v/>
      </c>
      <c r="F795">
        <f>IFERROR(INDEX('1.산군_붙여넣기'!$A$1:$AZ$1001,ROW(),설정!$C$8)&amp;"","")</f>
        <v/>
      </c>
      <c r="G795">
        <f>IFERROR(INDEX('1.산군_붙여넣기'!$A$1:$AZ$1001,ROW(),설정!$C$9)&amp;"","")</f>
        <v/>
      </c>
      <c r="H795">
        <f>IFERROR(INDEX('1.산군_붙여넣기'!$A$1:$AZ$1001,ROW(),설정!$C$10)&amp;"","")</f>
        <v/>
      </c>
      <c r="I795">
        <f>IFERROR(INDEX('1.산군_붙여넣기'!$A$1:$AZ$1001,ROW(),설정!$C$11)&amp;"","")</f>
        <v/>
      </c>
      <c r="J795">
        <f>IFERROR(INDEX('1.산군_붙여넣기'!$A$1:$AZ$1001,ROW(),설정!$C$12)&amp;"","")</f>
        <v/>
      </c>
      <c r="K795">
        <f>IFERROR(INDEX('1.산군_붙여넣기'!$A$1:$AZ$1001,ROW(),설정!$C$13)&amp;"","")</f>
        <v/>
      </c>
      <c r="L795" s="6">
        <f>IF(X795="","",IF(AND(LEN(X795)=8,ISNUMBER(X795*1)),DATE(LEFT(X795,4),MID(X795,5,2),RIGHT(X795,2)),IFERROR(DATEVALUE(SUBSTITUTE(SUBSTITUTE(X795,".","-"),"/","-")),IFERROR(X795*1,""))))</f>
        <v/>
      </c>
      <c r="M795" s="6">
        <f>IF(Y795="","",IF(AND(LEN(Y795)=8,ISNUMBER(Y795*1)),DATE(LEFT(Y795,4),MID(Y795,5,2),RIGHT(Y795,2)),IFERROR(DATEVALUE(SUBSTITUTE(SUBSTITUTE(Y795,".","-"),"/","-")),IFERROR(Y795*1,""))))</f>
        <v/>
      </c>
      <c r="N795">
        <f>IFERROR(LEFT(B795,FIND(" ",B795)-1),B795)</f>
        <v/>
      </c>
      <c r="O795">
        <f>AND(B795&lt;&gt;"",B795&lt;&gt;설정!$B$4,C795&lt;&gt;설정!$B$5)</f>
        <v/>
      </c>
      <c r="P795">
        <f>IF(O795,B795&amp;"|"&amp;C795,"")</f>
        <v/>
      </c>
      <c r="Q795">
        <f>AND(O795,COUNTIF(P796:P$1002,P795)=0)</f>
        <v/>
      </c>
      <c r="R795">
        <f>OR(AND(설정!$A$28&lt;&gt;"",ISNUMBER(SEARCH(설정!$A$28,E795&amp;" "&amp;C795))),AND(설정!$A$29&lt;&gt;"",ISNUMBER(SEARCH(설정!$A$29,E795&amp;" "&amp;C795))),AND(설정!$A$30&lt;&gt;"",ISNUMBER(SEARCH(설정!$A$30,E795&amp;" "&amp;C795))),AND(설정!$A$31&lt;&gt;"",ISNUMBER(SEARCH(설정!$A$31,E795&amp;" "&amp;C795))),AND(설정!$A$32&lt;&gt;"",ISNUMBER(SEARCH(설정!$A$32,E795&amp;" "&amp;C795))),AND(설정!$A$33&lt;&gt;"",ISNUMBER(SEARCH(설정!$A$33,E795&amp;" "&amp;C795))),AND(설정!$A$34&lt;&gt;"",ISNUMBER(SEARCH(설정!$A$34,E795&amp;" "&amp;C795))),AND(설정!$A$35&lt;&gt;"",ISNUMBER(SEARCH(설정!$A$35,E795&amp;" "&amp;C795))),AND(설정!$A$36&lt;&gt;"",ISNUMBER(SEARCH(설정!$A$36,E795&amp;" "&amp;C795))),AND(설정!$A$37&lt;&gt;"",ISNUMBER(SEARCH(설정!$A$37,E795&amp;" "&amp;C795))))</f>
        <v/>
      </c>
      <c r="S795">
        <f>OR(D795="",D795&gt;=설정!$B$19)</f>
        <v/>
      </c>
      <c r="T795">
        <f>AND(Q795,R795,S795)</f>
        <v/>
      </c>
      <c r="U795">
        <f>IF(T795,IF(AND(설정!$A$41&lt;&gt;"",ISNUMBER(SEARCH(설정!$A$41,K795))),설정!$B$41,IF(AND(설정!$A$42&lt;&gt;"",ISNUMBER(SEARCH(설정!$A$42,K795))),설정!$B$42,IF(AND(설정!$A$43&lt;&gt;"",ISNUMBER(SEARCH(설정!$A$43,K795))),설정!$B$43,IF(AND(설정!$A$44&lt;&gt;"",ISNUMBER(SEARCH(설정!$A$44,K795))),설정!$B$44,IF(AND(설정!$A$45&lt;&gt;"",ISNUMBER(SEARCH(설정!$A$45,K795))),설정!$B$45,IF(AND(설정!$A$46&lt;&gt;"",ISNUMBER(SEARCH(설정!$A$46,K795))),설정!$B$46,IF(AND(설정!$A$47&lt;&gt;"",ISNUMBER(SEARCH(설정!$A$47,K795))),설정!$B$47,IF(AND(설정!$A$48&lt;&gt;"",ISNUMBER(SEARCH(설정!$A$48,K795))),설정!$B$48,IF(M795="","설계사","시공사"))))))))),"")</f>
        <v/>
      </c>
      <c r="V795">
        <f>SUBSTITUTE(SUBSTITUTE(SUBSTITUTE(SUBSTITUTE(G795,"(주)",""),"㈜",""),"주식회사","")," ","")</f>
        <v/>
      </c>
      <c r="W795">
        <f>IF(AND(T795,V795&lt;&gt;""),IF(COUNTIFS(V$2:V795,V795,T$2:T795,TRUE)=1,MAX(W$1:W794)+1,""),"")</f>
        <v/>
      </c>
      <c r="X795">
        <f>IFERROR(INDEX('1.산군_붙여넣기'!$A$1:$AZ$1001,ROW(),설정!$C$14)&amp;"","")</f>
        <v/>
      </c>
      <c r="Y795">
        <f>IFERROR(INDEX('1.산군_붙여넣기'!$A$1:$AZ$1001,ROW(),설정!$C$15)&amp;"","")</f>
        <v/>
      </c>
      <c r="Z795">
        <f>IF(T795,V795&amp;"|"&amp;U795,"")</f>
        <v/>
      </c>
    </row>
    <row r="796">
      <c r="A796">
        <f>ROW()</f>
        <v/>
      </c>
      <c r="B796">
        <f>IFERROR(INDEX('1.산군_붙여넣기'!$A$1:$AZ$1001,ROW(),설정!$C$4)&amp;"","")</f>
        <v/>
      </c>
      <c r="C796">
        <f>IFERROR(INDEX('1.산군_붙여넣기'!$A$1:$AZ$1001,ROW(),설정!$C$5)&amp;"","")</f>
        <v/>
      </c>
      <c r="D796" s="5">
        <f>IFERROR(VALUE(SUBSTITUTE(SUBSTITUTE(SUBSTITUTE(IFERROR(INDEX('1.산군_붙여넣기'!$A$1:$AZ$1001,ROW(),설정!$C$6)&amp;"",""),",",""),"㎡",""),"m2","")),"")</f>
        <v/>
      </c>
      <c r="E796">
        <f>IFERROR(INDEX('1.산군_붙여넣기'!$A$1:$AZ$1001,ROW(),설정!$C$7)&amp;"","")</f>
        <v/>
      </c>
      <c r="F796">
        <f>IFERROR(INDEX('1.산군_붙여넣기'!$A$1:$AZ$1001,ROW(),설정!$C$8)&amp;"","")</f>
        <v/>
      </c>
      <c r="G796">
        <f>IFERROR(INDEX('1.산군_붙여넣기'!$A$1:$AZ$1001,ROW(),설정!$C$9)&amp;"","")</f>
        <v/>
      </c>
      <c r="H796">
        <f>IFERROR(INDEX('1.산군_붙여넣기'!$A$1:$AZ$1001,ROW(),설정!$C$10)&amp;"","")</f>
        <v/>
      </c>
      <c r="I796">
        <f>IFERROR(INDEX('1.산군_붙여넣기'!$A$1:$AZ$1001,ROW(),설정!$C$11)&amp;"","")</f>
        <v/>
      </c>
      <c r="J796">
        <f>IFERROR(INDEX('1.산군_붙여넣기'!$A$1:$AZ$1001,ROW(),설정!$C$12)&amp;"","")</f>
        <v/>
      </c>
      <c r="K796">
        <f>IFERROR(INDEX('1.산군_붙여넣기'!$A$1:$AZ$1001,ROW(),설정!$C$13)&amp;"","")</f>
        <v/>
      </c>
      <c r="L796" s="6">
        <f>IF(X796="","",IF(AND(LEN(X796)=8,ISNUMBER(X796*1)),DATE(LEFT(X796,4),MID(X796,5,2),RIGHT(X796,2)),IFERROR(DATEVALUE(SUBSTITUTE(SUBSTITUTE(X796,".","-"),"/","-")),IFERROR(X796*1,""))))</f>
        <v/>
      </c>
      <c r="M796" s="6">
        <f>IF(Y796="","",IF(AND(LEN(Y796)=8,ISNUMBER(Y796*1)),DATE(LEFT(Y796,4),MID(Y796,5,2),RIGHT(Y796,2)),IFERROR(DATEVALUE(SUBSTITUTE(SUBSTITUTE(Y796,".","-"),"/","-")),IFERROR(Y796*1,""))))</f>
        <v/>
      </c>
      <c r="N796">
        <f>IFERROR(LEFT(B796,FIND(" ",B796)-1),B796)</f>
        <v/>
      </c>
      <c r="O796">
        <f>AND(B796&lt;&gt;"",B796&lt;&gt;설정!$B$4,C796&lt;&gt;설정!$B$5)</f>
        <v/>
      </c>
      <c r="P796">
        <f>IF(O796,B796&amp;"|"&amp;C796,"")</f>
        <v/>
      </c>
      <c r="Q796">
        <f>AND(O796,COUNTIF(P797:P$1002,P796)=0)</f>
        <v/>
      </c>
      <c r="R796">
        <f>OR(AND(설정!$A$28&lt;&gt;"",ISNUMBER(SEARCH(설정!$A$28,E796&amp;" "&amp;C796))),AND(설정!$A$29&lt;&gt;"",ISNUMBER(SEARCH(설정!$A$29,E796&amp;" "&amp;C796))),AND(설정!$A$30&lt;&gt;"",ISNUMBER(SEARCH(설정!$A$30,E796&amp;" "&amp;C796))),AND(설정!$A$31&lt;&gt;"",ISNUMBER(SEARCH(설정!$A$31,E796&amp;" "&amp;C796))),AND(설정!$A$32&lt;&gt;"",ISNUMBER(SEARCH(설정!$A$32,E796&amp;" "&amp;C796))),AND(설정!$A$33&lt;&gt;"",ISNUMBER(SEARCH(설정!$A$33,E796&amp;" "&amp;C796))),AND(설정!$A$34&lt;&gt;"",ISNUMBER(SEARCH(설정!$A$34,E796&amp;" "&amp;C796))),AND(설정!$A$35&lt;&gt;"",ISNUMBER(SEARCH(설정!$A$35,E796&amp;" "&amp;C796))),AND(설정!$A$36&lt;&gt;"",ISNUMBER(SEARCH(설정!$A$36,E796&amp;" "&amp;C796))),AND(설정!$A$37&lt;&gt;"",ISNUMBER(SEARCH(설정!$A$37,E796&amp;" "&amp;C796))))</f>
        <v/>
      </c>
      <c r="S796">
        <f>OR(D796="",D796&gt;=설정!$B$19)</f>
        <v/>
      </c>
      <c r="T796">
        <f>AND(Q796,R796,S796)</f>
        <v/>
      </c>
      <c r="U796">
        <f>IF(T796,IF(AND(설정!$A$41&lt;&gt;"",ISNUMBER(SEARCH(설정!$A$41,K796))),설정!$B$41,IF(AND(설정!$A$42&lt;&gt;"",ISNUMBER(SEARCH(설정!$A$42,K796))),설정!$B$42,IF(AND(설정!$A$43&lt;&gt;"",ISNUMBER(SEARCH(설정!$A$43,K796))),설정!$B$43,IF(AND(설정!$A$44&lt;&gt;"",ISNUMBER(SEARCH(설정!$A$44,K796))),설정!$B$44,IF(AND(설정!$A$45&lt;&gt;"",ISNUMBER(SEARCH(설정!$A$45,K796))),설정!$B$45,IF(AND(설정!$A$46&lt;&gt;"",ISNUMBER(SEARCH(설정!$A$46,K796))),설정!$B$46,IF(AND(설정!$A$47&lt;&gt;"",ISNUMBER(SEARCH(설정!$A$47,K796))),설정!$B$47,IF(AND(설정!$A$48&lt;&gt;"",ISNUMBER(SEARCH(설정!$A$48,K796))),설정!$B$48,IF(M796="","설계사","시공사"))))))))),"")</f>
        <v/>
      </c>
      <c r="V796">
        <f>SUBSTITUTE(SUBSTITUTE(SUBSTITUTE(SUBSTITUTE(G796,"(주)",""),"㈜",""),"주식회사","")," ","")</f>
        <v/>
      </c>
      <c r="W796">
        <f>IF(AND(T796,V796&lt;&gt;""),IF(COUNTIFS(V$2:V796,V796,T$2:T796,TRUE)=1,MAX(W$1:W795)+1,""),"")</f>
        <v/>
      </c>
      <c r="X796">
        <f>IFERROR(INDEX('1.산군_붙여넣기'!$A$1:$AZ$1001,ROW(),설정!$C$14)&amp;"","")</f>
        <v/>
      </c>
      <c r="Y796">
        <f>IFERROR(INDEX('1.산군_붙여넣기'!$A$1:$AZ$1001,ROW(),설정!$C$15)&amp;"","")</f>
        <v/>
      </c>
      <c r="Z796">
        <f>IF(T796,V796&amp;"|"&amp;U796,"")</f>
        <v/>
      </c>
    </row>
    <row r="797">
      <c r="A797">
        <f>ROW()</f>
        <v/>
      </c>
      <c r="B797">
        <f>IFERROR(INDEX('1.산군_붙여넣기'!$A$1:$AZ$1001,ROW(),설정!$C$4)&amp;"","")</f>
        <v/>
      </c>
      <c r="C797">
        <f>IFERROR(INDEX('1.산군_붙여넣기'!$A$1:$AZ$1001,ROW(),설정!$C$5)&amp;"","")</f>
        <v/>
      </c>
      <c r="D797" s="5">
        <f>IFERROR(VALUE(SUBSTITUTE(SUBSTITUTE(SUBSTITUTE(IFERROR(INDEX('1.산군_붙여넣기'!$A$1:$AZ$1001,ROW(),설정!$C$6)&amp;"",""),",",""),"㎡",""),"m2","")),"")</f>
        <v/>
      </c>
      <c r="E797">
        <f>IFERROR(INDEX('1.산군_붙여넣기'!$A$1:$AZ$1001,ROW(),설정!$C$7)&amp;"","")</f>
        <v/>
      </c>
      <c r="F797">
        <f>IFERROR(INDEX('1.산군_붙여넣기'!$A$1:$AZ$1001,ROW(),설정!$C$8)&amp;"","")</f>
        <v/>
      </c>
      <c r="G797">
        <f>IFERROR(INDEX('1.산군_붙여넣기'!$A$1:$AZ$1001,ROW(),설정!$C$9)&amp;"","")</f>
        <v/>
      </c>
      <c r="H797">
        <f>IFERROR(INDEX('1.산군_붙여넣기'!$A$1:$AZ$1001,ROW(),설정!$C$10)&amp;"","")</f>
        <v/>
      </c>
      <c r="I797">
        <f>IFERROR(INDEX('1.산군_붙여넣기'!$A$1:$AZ$1001,ROW(),설정!$C$11)&amp;"","")</f>
        <v/>
      </c>
      <c r="J797">
        <f>IFERROR(INDEX('1.산군_붙여넣기'!$A$1:$AZ$1001,ROW(),설정!$C$12)&amp;"","")</f>
        <v/>
      </c>
      <c r="K797">
        <f>IFERROR(INDEX('1.산군_붙여넣기'!$A$1:$AZ$1001,ROW(),설정!$C$13)&amp;"","")</f>
        <v/>
      </c>
      <c r="L797" s="6">
        <f>IF(X797="","",IF(AND(LEN(X797)=8,ISNUMBER(X797*1)),DATE(LEFT(X797,4),MID(X797,5,2),RIGHT(X797,2)),IFERROR(DATEVALUE(SUBSTITUTE(SUBSTITUTE(X797,".","-"),"/","-")),IFERROR(X797*1,""))))</f>
        <v/>
      </c>
      <c r="M797" s="6">
        <f>IF(Y797="","",IF(AND(LEN(Y797)=8,ISNUMBER(Y797*1)),DATE(LEFT(Y797,4),MID(Y797,5,2),RIGHT(Y797,2)),IFERROR(DATEVALUE(SUBSTITUTE(SUBSTITUTE(Y797,".","-"),"/","-")),IFERROR(Y797*1,""))))</f>
        <v/>
      </c>
      <c r="N797">
        <f>IFERROR(LEFT(B797,FIND(" ",B797)-1),B797)</f>
        <v/>
      </c>
      <c r="O797">
        <f>AND(B797&lt;&gt;"",B797&lt;&gt;설정!$B$4,C797&lt;&gt;설정!$B$5)</f>
        <v/>
      </c>
      <c r="P797">
        <f>IF(O797,B797&amp;"|"&amp;C797,"")</f>
        <v/>
      </c>
      <c r="Q797">
        <f>AND(O797,COUNTIF(P798:P$1002,P797)=0)</f>
        <v/>
      </c>
      <c r="R797">
        <f>OR(AND(설정!$A$28&lt;&gt;"",ISNUMBER(SEARCH(설정!$A$28,E797&amp;" "&amp;C797))),AND(설정!$A$29&lt;&gt;"",ISNUMBER(SEARCH(설정!$A$29,E797&amp;" "&amp;C797))),AND(설정!$A$30&lt;&gt;"",ISNUMBER(SEARCH(설정!$A$30,E797&amp;" "&amp;C797))),AND(설정!$A$31&lt;&gt;"",ISNUMBER(SEARCH(설정!$A$31,E797&amp;" "&amp;C797))),AND(설정!$A$32&lt;&gt;"",ISNUMBER(SEARCH(설정!$A$32,E797&amp;" "&amp;C797))),AND(설정!$A$33&lt;&gt;"",ISNUMBER(SEARCH(설정!$A$33,E797&amp;" "&amp;C797))),AND(설정!$A$34&lt;&gt;"",ISNUMBER(SEARCH(설정!$A$34,E797&amp;" "&amp;C797))),AND(설정!$A$35&lt;&gt;"",ISNUMBER(SEARCH(설정!$A$35,E797&amp;" "&amp;C797))),AND(설정!$A$36&lt;&gt;"",ISNUMBER(SEARCH(설정!$A$36,E797&amp;" "&amp;C797))),AND(설정!$A$37&lt;&gt;"",ISNUMBER(SEARCH(설정!$A$37,E797&amp;" "&amp;C797))))</f>
        <v/>
      </c>
      <c r="S797">
        <f>OR(D797="",D797&gt;=설정!$B$19)</f>
        <v/>
      </c>
      <c r="T797">
        <f>AND(Q797,R797,S797)</f>
        <v/>
      </c>
      <c r="U797">
        <f>IF(T797,IF(AND(설정!$A$41&lt;&gt;"",ISNUMBER(SEARCH(설정!$A$41,K797))),설정!$B$41,IF(AND(설정!$A$42&lt;&gt;"",ISNUMBER(SEARCH(설정!$A$42,K797))),설정!$B$42,IF(AND(설정!$A$43&lt;&gt;"",ISNUMBER(SEARCH(설정!$A$43,K797))),설정!$B$43,IF(AND(설정!$A$44&lt;&gt;"",ISNUMBER(SEARCH(설정!$A$44,K797))),설정!$B$44,IF(AND(설정!$A$45&lt;&gt;"",ISNUMBER(SEARCH(설정!$A$45,K797))),설정!$B$45,IF(AND(설정!$A$46&lt;&gt;"",ISNUMBER(SEARCH(설정!$A$46,K797))),설정!$B$46,IF(AND(설정!$A$47&lt;&gt;"",ISNUMBER(SEARCH(설정!$A$47,K797))),설정!$B$47,IF(AND(설정!$A$48&lt;&gt;"",ISNUMBER(SEARCH(설정!$A$48,K797))),설정!$B$48,IF(M797="","설계사","시공사"))))))))),"")</f>
        <v/>
      </c>
      <c r="V797">
        <f>SUBSTITUTE(SUBSTITUTE(SUBSTITUTE(SUBSTITUTE(G797,"(주)",""),"㈜",""),"주식회사","")," ","")</f>
        <v/>
      </c>
      <c r="W797">
        <f>IF(AND(T797,V797&lt;&gt;""),IF(COUNTIFS(V$2:V797,V797,T$2:T797,TRUE)=1,MAX(W$1:W796)+1,""),"")</f>
        <v/>
      </c>
      <c r="X797">
        <f>IFERROR(INDEX('1.산군_붙여넣기'!$A$1:$AZ$1001,ROW(),설정!$C$14)&amp;"","")</f>
        <v/>
      </c>
      <c r="Y797">
        <f>IFERROR(INDEX('1.산군_붙여넣기'!$A$1:$AZ$1001,ROW(),설정!$C$15)&amp;"","")</f>
        <v/>
      </c>
      <c r="Z797">
        <f>IF(T797,V797&amp;"|"&amp;U797,"")</f>
        <v/>
      </c>
    </row>
    <row r="798">
      <c r="A798">
        <f>ROW()</f>
        <v/>
      </c>
      <c r="B798">
        <f>IFERROR(INDEX('1.산군_붙여넣기'!$A$1:$AZ$1001,ROW(),설정!$C$4)&amp;"","")</f>
        <v/>
      </c>
      <c r="C798">
        <f>IFERROR(INDEX('1.산군_붙여넣기'!$A$1:$AZ$1001,ROW(),설정!$C$5)&amp;"","")</f>
        <v/>
      </c>
      <c r="D798" s="5">
        <f>IFERROR(VALUE(SUBSTITUTE(SUBSTITUTE(SUBSTITUTE(IFERROR(INDEX('1.산군_붙여넣기'!$A$1:$AZ$1001,ROW(),설정!$C$6)&amp;"",""),",",""),"㎡",""),"m2","")),"")</f>
        <v/>
      </c>
      <c r="E798">
        <f>IFERROR(INDEX('1.산군_붙여넣기'!$A$1:$AZ$1001,ROW(),설정!$C$7)&amp;"","")</f>
        <v/>
      </c>
      <c r="F798">
        <f>IFERROR(INDEX('1.산군_붙여넣기'!$A$1:$AZ$1001,ROW(),설정!$C$8)&amp;"","")</f>
        <v/>
      </c>
      <c r="G798">
        <f>IFERROR(INDEX('1.산군_붙여넣기'!$A$1:$AZ$1001,ROW(),설정!$C$9)&amp;"","")</f>
        <v/>
      </c>
      <c r="H798">
        <f>IFERROR(INDEX('1.산군_붙여넣기'!$A$1:$AZ$1001,ROW(),설정!$C$10)&amp;"","")</f>
        <v/>
      </c>
      <c r="I798">
        <f>IFERROR(INDEX('1.산군_붙여넣기'!$A$1:$AZ$1001,ROW(),설정!$C$11)&amp;"","")</f>
        <v/>
      </c>
      <c r="J798">
        <f>IFERROR(INDEX('1.산군_붙여넣기'!$A$1:$AZ$1001,ROW(),설정!$C$12)&amp;"","")</f>
        <v/>
      </c>
      <c r="K798">
        <f>IFERROR(INDEX('1.산군_붙여넣기'!$A$1:$AZ$1001,ROW(),설정!$C$13)&amp;"","")</f>
        <v/>
      </c>
      <c r="L798" s="6">
        <f>IF(X798="","",IF(AND(LEN(X798)=8,ISNUMBER(X798*1)),DATE(LEFT(X798,4),MID(X798,5,2),RIGHT(X798,2)),IFERROR(DATEVALUE(SUBSTITUTE(SUBSTITUTE(X798,".","-"),"/","-")),IFERROR(X798*1,""))))</f>
        <v/>
      </c>
      <c r="M798" s="6">
        <f>IF(Y798="","",IF(AND(LEN(Y798)=8,ISNUMBER(Y798*1)),DATE(LEFT(Y798,4),MID(Y798,5,2),RIGHT(Y798,2)),IFERROR(DATEVALUE(SUBSTITUTE(SUBSTITUTE(Y798,".","-"),"/","-")),IFERROR(Y798*1,""))))</f>
        <v/>
      </c>
      <c r="N798">
        <f>IFERROR(LEFT(B798,FIND(" ",B798)-1),B798)</f>
        <v/>
      </c>
      <c r="O798">
        <f>AND(B798&lt;&gt;"",B798&lt;&gt;설정!$B$4,C798&lt;&gt;설정!$B$5)</f>
        <v/>
      </c>
      <c r="P798">
        <f>IF(O798,B798&amp;"|"&amp;C798,"")</f>
        <v/>
      </c>
      <c r="Q798">
        <f>AND(O798,COUNTIF(P799:P$1002,P798)=0)</f>
        <v/>
      </c>
      <c r="R798">
        <f>OR(AND(설정!$A$28&lt;&gt;"",ISNUMBER(SEARCH(설정!$A$28,E798&amp;" "&amp;C798))),AND(설정!$A$29&lt;&gt;"",ISNUMBER(SEARCH(설정!$A$29,E798&amp;" "&amp;C798))),AND(설정!$A$30&lt;&gt;"",ISNUMBER(SEARCH(설정!$A$30,E798&amp;" "&amp;C798))),AND(설정!$A$31&lt;&gt;"",ISNUMBER(SEARCH(설정!$A$31,E798&amp;" "&amp;C798))),AND(설정!$A$32&lt;&gt;"",ISNUMBER(SEARCH(설정!$A$32,E798&amp;" "&amp;C798))),AND(설정!$A$33&lt;&gt;"",ISNUMBER(SEARCH(설정!$A$33,E798&amp;" "&amp;C798))),AND(설정!$A$34&lt;&gt;"",ISNUMBER(SEARCH(설정!$A$34,E798&amp;" "&amp;C798))),AND(설정!$A$35&lt;&gt;"",ISNUMBER(SEARCH(설정!$A$35,E798&amp;" "&amp;C798))),AND(설정!$A$36&lt;&gt;"",ISNUMBER(SEARCH(설정!$A$36,E798&amp;" "&amp;C798))),AND(설정!$A$37&lt;&gt;"",ISNUMBER(SEARCH(설정!$A$37,E798&amp;" "&amp;C798))))</f>
        <v/>
      </c>
      <c r="S798">
        <f>OR(D798="",D798&gt;=설정!$B$19)</f>
        <v/>
      </c>
      <c r="T798">
        <f>AND(Q798,R798,S798)</f>
        <v/>
      </c>
      <c r="U798">
        <f>IF(T798,IF(AND(설정!$A$41&lt;&gt;"",ISNUMBER(SEARCH(설정!$A$41,K798))),설정!$B$41,IF(AND(설정!$A$42&lt;&gt;"",ISNUMBER(SEARCH(설정!$A$42,K798))),설정!$B$42,IF(AND(설정!$A$43&lt;&gt;"",ISNUMBER(SEARCH(설정!$A$43,K798))),설정!$B$43,IF(AND(설정!$A$44&lt;&gt;"",ISNUMBER(SEARCH(설정!$A$44,K798))),설정!$B$44,IF(AND(설정!$A$45&lt;&gt;"",ISNUMBER(SEARCH(설정!$A$45,K798))),설정!$B$45,IF(AND(설정!$A$46&lt;&gt;"",ISNUMBER(SEARCH(설정!$A$46,K798))),설정!$B$46,IF(AND(설정!$A$47&lt;&gt;"",ISNUMBER(SEARCH(설정!$A$47,K798))),설정!$B$47,IF(AND(설정!$A$48&lt;&gt;"",ISNUMBER(SEARCH(설정!$A$48,K798))),설정!$B$48,IF(M798="","설계사","시공사"))))))))),"")</f>
        <v/>
      </c>
      <c r="V798">
        <f>SUBSTITUTE(SUBSTITUTE(SUBSTITUTE(SUBSTITUTE(G798,"(주)",""),"㈜",""),"주식회사","")," ","")</f>
        <v/>
      </c>
      <c r="W798">
        <f>IF(AND(T798,V798&lt;&gt;""),IF(COUNTIFS(V$2:V798,V798,T$2:T798,TRUE)=1,MAX(W$1:W797)+1,""),"")</f>
        <v/>
      </c>
      <c r="X798">
        <f>IFERROR(INDEX('1.산군_붙여넣기'!$A$1:$AZ$1001,ROW(),설정!$C$14)&amp;"","")</f>
        <v/>
      </c>
      <c r="Y798">
        <f>IFERROR(INDEX('1.산군_붙여넣기'!$A$1:$AZ$1001,ROW(),설정!$C$15)&amp;"","")</f>
        <v/>
      </c>
      <c r="Z798">
        <f>IF(T798,V798&amp;"|"&amp;U798,"")</f>
        <v/>
      </c>
    </row>
    <row r="799">
      <c r="A799">
        <f>ROW()</f>
        <v/>
      </c>
      <c r="B799">
        <f>IFERROR(INDEX('1.산군_붙여넣기'!$A$1:$AZ$1001,ROW(),설정!$C$4)&amp;"","")</f>
        <v/>
      </c>
      <c r="C799">
        <f>IFERROR(INDEX('1.산군_붙여넣기'!$A$1:$AZ$1001,ROW(),설정!$C$5)&amp;"","")</f>
        <v/>
      </c>
      <c r="D799" s="5">
        <f>IFERROR(VALUE(SUBSTITUTE(SUBSTITUTE(SUBSTITUTE(IFERROR(INDEX('1.산군_붙여넣기'!$A$1:$AZ$1001,ROW(),설정!$C$6)&amp;"",""),",",""),"㎡",""),"m2","")),"")</f>
        <v/>
      </c>
      <c r="E799">
        <f>IFERROR(INDEX('1.산군_붙여넣기'!$A$1:$AZ$1001,ROW(),설정!$C$7)&amp;"","")</f>
        <v/>
      </c>
      <c r="F799">
        <f>IFERROR(INDEX('1.산군_붙여넣기'!$A$1:$AZ$1001,ROW(),설정!$C$8)&amp;"","")</f>
        <v/>
      </c>
      <c r="G799">
        <f>IFERROR(INDEX('1.산군_붙여넣기'!$A$1:$AZ$1001,ROW(),설정!$C$9)&amp;"","")</f>
        <v/>
      </c>
      <c r="H799">
        <f>IFERROR(INDEX('1.산군_붙여넣기'!$A$1:$AZ$1001,ROW(),설정!$C$10)&amp;"","")</f>
        <v/>
      </c>
      <c r="I799">
        <f>IFERROR(INDEX('1.산군_붙여넣기'!$A$1:$AZ$1001,ROW(),설정!$C$11)&amp;"","")</f>
        <v/>
      </c>
      <c r="J799">
        <f>IFERROR(INDEX('1.산군_붙여넣기'!$A$1:$AZ$1001,ROW(),설정!$C$12)&amp;"","")</f>
        <v/>
      </c>
      <c r="K799">
        <f>IFERROR(INDEX('1.산군_붙여넣기'!$A$1:$AZ$1001,ROW(),설정!$C$13)&amp;"","")</f>
        <v/>
      </c>
      <c r="L799" s="6">
        <f>IF(X799="","",IF(AND(LEN(X799)=8,ISNUMBER(X799*1)),DATE(LEFT(X799,4),MID(X799,5,2),RIGHT(X799,2)),IFERROR(DATEVALUE(SUBSTITUTE(SUBSTITUTE(X799,".","-"),"/","-")),IFERROR(X799*1,""))))</f>
        <v/>
      </c>
      <c r="M799" s="6">
        <f>IF(Y799="","",IF(AND(LEN(Y799)=8,ISNUMBER(Y799*1)),DATE(LEFT(Y799,4),MID(Y799,5,2),RIGHT(Y799,2)),IFERROR(DATEVALUE(SUBSTITUTE(SUBSTITUTE(Y799,".","-"),"/","-")),IFERROR(Y799*1,""))))</f>
        <v/>
      </c>
      <c r="N799">
        <f>IFERROR(LEFT(B799,FIND(" ",B799)-1),B799)</f>
        <v/>
      </c>
      <c r="O799">
        <f>AND(B799&lt;&gt;"",B799&lt;&gt;설정!$B$4,C799&lt;&gt;설정!$B$5)</f>
        <v/>
      </c>
      <c r="P799">
        <f>IF(O799,B799&amp;"|"&amp;C799,"")</f>
        <v/>
      </c>
      <c r="Q799">
        <f>AND(O799,COUNTIF(P800:P$1002,P799)=0)</f>
        <v/>
      </c>
      <c r="R799">
        <f>OR(AND(설정!$A$28&lt;&gt;"",ISNUMBER(SEARCH(설정!$A$28,E799&amp;" "&amp;C799))),AND(설정!$A$29&lt;&gt;"",ISNUMBER(SEARCH(설정!$A$29,E799&amp;" "&amp;C799))),AND(설정!$A$30&lt;&gt;"",ISNUMBER(SEARCH(설정!$A$30,E799&amp;" "&amp;C799))),AND(설정!$A$31&lt;&gt;"",ISNUMBER(SEARCH(설정!$A$31,E799&amp;" "&amp;C799))),AND(설정!$A$32&lt;&gt;"",ISNUMBER(SEARCH(설정!$A$32,E799&amp;" "&amp;C799))),AND(설정!$A$33&lt;&gt;"",ISNUMBER(SEARCH(설정!$A$33,E799&amp;" "&amp;C799))),AND(설정!$A$34&lt;&gt;"",ISNUMBER(SEARCH(설정!$A$34,E799&amp;" "&amp;C799))),AND(설정!$A$35&lt;&gt;"",ISNUMBER(SEARCH(설정!$A$35,E799&amp;" "&amp;C799))),AND(설정!$A$36&lt;&gt;"",ISNUMBER(SEARCH(설정!$A$36,E799&amp;" "&amp;C799))),AND(설정!$A$37&lt;&gt;"",ISNUMBER(SEARCH(설정!$A$37,E799&amp;" "&amp;C799))))</f>
        <v/>
      </c>
      <c r="S799">
        <f>OR(D799="",D799&gt;=설정!$B$19)</f>
        <v/>
      </c>
      <c r="T799">
        <f>AND(Q799,R799,S799)</f>
        <v/>
      </c>
      <c r="U799">
        <f>IF(T799,IF(AND(설정!$A$41&lt;&gt;"",ISNUMBER(SEARCH(설정!$A$41,K799))),설정!$B$41,IF(AND(설정!$A$42&lt;&gt;"",ISNUMBER(SEARCH(설정!$A$42,K799))),설정!$B$42,IF(AND(설정!$A$43&lt;&gt;"",ISNUMBER(SEARCH(설정!$A$43,K799))),설정!$B$43,IF(AND(설정!$A$44&lt;&gt;"",ISNUMBER(SEARCH(설정!$A$44,K799))),설정!$B$44,IF(AND(설정!$A$45&lt;&gt;"",ISNUMBER(SEARCH(설정!$A$45,K799))),설정!$B$45,IF(AND(설정!$A$46&lt;&gt;"",ISNUMBER(SEARCH(설정!$A$46,K799))),설정!$B$46,IF(AND(설정!$A$47&lt;&gt;"",ISNUMBER(SEARCH(설정!$A$47,K799))),설정!$B$47,IF(AND(설정!$A$48&lt;&gt;"",ISNUMBER(SEARCH(설정!$A$48,K799))),설정!$B$48,IF(M799="","설계사","시공사"))))))))),"")</f>
        <v/>
      </c>
      <c r="V799">
        <f>SUBSTITUTE(SUBSTITUTE(SUBSTITUTE(SUBSTITUTE(G799,"(주)",""),"㈜",""),"주식회사","")," ","")</f>
        <v/>
      </c>
      <c r="W799">
        <f>IF(AND(T799,V799&lt;&gt;""),IF(COUNTIFS(V$2:V799,V799,T$2:T799,TRUE)=1,MAX(W$1:W798)+1,""),"")</f>
        <v/>
      </c>
      <c r="X799">
        <f>IFERROR(INDEX('1.산군_붙여넣기'!$A$1:$AZ$1001,ROW(),설정!$C$14)&amp;"","")</f>
        <v/>
      </c>
      <c r="Y799">
        <f>IFERROR(INDEX('1.산군_붙여넣기'!$A$1:$AZ$1001,ROW(),설정!$C$15)&amp;"","")</f>
        <v/>
      </c>
      <c r="Z799">
        <f>IF(T799,V799&amp;"|"&amp;U799,"")</f>
        <v/>
      </c>
    </row>
    <row r="800">
      <c r="A800">
        <f>ROW()</f>
        <v/>
      </c>
      <c r="B800">
        <f>IFERROR(INDEX('1.산군_붙여넣기'!$A$1:$AZ$1001,ROW(),설정!$C$4)&amp;"","")</f>
        <v/>
      </c>
      <c r="C800">
        <f>IFERROR(INDEX('1.산군_붙여넣기'!$A$1:$AZ$1001,ROW(),설정!$C$5)&amp;"","")</f>
        <v/>
      </c>
      <c r="D800" s="5">
        <f>IFERROR(VALUE(SUBSTITUTE(SUBSTITUTE(SUBSTITUTE(IFERROR(INDEX('1.산군_붙여넣기'!$A$1:$AZ$1001,ROW(),설정!$C$6)&amp;"",""),",",""),"㎡",""),"m2","")),"")</f>
        <v/>
      </c>
      <c r="E800">
        <f>IFERROR(INDEX('1.산군_붙여넣기'!$A$1:$AZ$1001,ROW(),설정!$C$7)&amp;"","")</f>
        <v/>
      </c>
      <c r="F800">
        <f>IFERROR(INDEX('1.산군_붙여넣기'!$A$1:$AZ$1001,ROW(),설정!$C$8)&amp;"","")</f>
        <v/>
      </c>
      <c r="G800">
        <f>IFERROR(INDEX('1.산군_붙여넣기'!$A$1:$AZ$1001,ROW(),설정!$C$9)&amp;"","")</f>
        <v/>
      </c>
      <c r="H800">
        <f>IFERROR(INDEX('1.산군_붙여넣기'!$A$1:$AZ$1001,ROW(),설정!$C$10)&amp;"","")</f>
        <v/>
      </c>
      <c r="I800">
        <f>IFERROR(INDEX('1.산군_붙여넣기'!$A$1:$AZ$1001,ROW(),설정!$C$11)&amp;"","")</f>
        <v/>
      </c>
      <c r="J800">
        <f>IFERROR(INDEX('1.산군_붙여넣기'!$A$1:$AZ$1001,ROW(),설정!$C$12)&amp;"","")</f>
        <v/>
      </c>
      <c r="K800">
        <f>IFERROR(INDEX('1.산군_붙여넣기'!$A$1:$AZ$1001,ROW(),설정!$C$13)&amp;"","")</f>
        <v/>
      </c>
      <c r="L800" s="6">
        <f>IF(X800="","",IF(AND(LEN(X800)=8,ISNUMBER(X800*1)),DATE(LEFT(X800,4),MID(X800,5,2),RIGHT(X800,2)),IFERROR(DATEVALUE(SUBSTITUTE(SUBSTITUTE(X800,".","-"),"/","-")),IFERROR(X800*1,""))))</f>
        <v/>
      </c>
      <c r="M800" s="6">
        <f>IF(Y800="","",IF(AND(LEN(Y800)=8,ISNUMBER(Y800*1)),DATE(LEFT(Y800,4),MID(Y800,5,2),RIGHT(Y800,2)),IFERROR(DATEVALUE(SUBSTITUTE(SUBSTITUTE(Y800,".","-"),"/","-")),IFERROR(Y800*1,""))))</f>
        <v/>
      </c>
      <c r="N800">
        <f>IFERROR(LEFT(B800,FIND(" ",B800)-1),B800)</f>
        <v/>
      </c>
      <c r="O800">
        <f>AND(B800&lt;&gt;"",B800&lt;&gt;설정!$B$4,C800&lt;&gt;설정!$B$5)</f>
        <v/>
      </c>
      <c r="P800">
        <f>IF(O800,B800&amp;"|"&amp;C800,"")</f>
        <v/>
      </c>
      <c r="Q800">
        <f>AND(O800,COUNTIF(P801:P$1002,P800)=0)</f>
        <v/>
      </c>
      <c r="R800">
        <f>OR(AND(설정!$A$28&lt;&gt;"",ISNUMBER(SEARCH(설정!$A$28,E800&amp;" "&amp;C800))),AND(설정!$A$29&lt;&gt;"",ISNUMBER(SEARCH(설정!$A$29,E800&amp;" "&amp;C800))),AND(설정!$A$30&lt;&gt;"",ISNUMBER(SEARCH(설정!$A$30,E800&amp;" "&amp;C800))),AND(설정!$A$31&lt;&gt;"",ISNUMBER(SEARCH(설정!$A$31,E800&amp;" "&amp;C800))),AND(설정!$A$32&lt;&gt;"",ISNUMBER(SEARCH(설정!$A$32,E800&amp;" "&amp;C800))),AND(설정!$A$33&lt;&gt;"",ISNUMBER(SEARCH(설정!$A$33,E800&amp;" "&amp;C800))),AND(설정!$A$34&lt;&gt;"",ISNUMBER(SEARCH(설정!$A$34,E800&amp;" "&amp;C800))),AND(설정!$A$35&lt;&gt;"",ISNUMBER(SEARCH(설정!$A$35,E800&amp;" "&amp;C800))),AND(설정!$A$36&lt;&gt;"",ISNUMBER(SEARCH(설정!$A$36,E800&amp;" "&amp;C800))),AND(설정!$A$37&lt;&gt;"",ISNUMBER(SEARCH(설정!$A$37,E800&amp;" "&amp;C800))))</f>
        <v/>
      </c>
      <c r="S800">
        <f>OR(D800="",D800&gt;=설정!$B$19)</f>
        <v/>
      </c>
      <c r="T800">
        <f>AND(Q800,R800,S800)</f>
        <v/>
      </c>
      <c r="U800">
        <f>IF(T800,IF(AND(설정!$A$41&lt;&gt;"",ISNUMBER(SEARCH(설정!$A$41,K800))),설정!$B$41,IF(AND(설정!$A$42&lt;&gt;"",ISNUMBER(SEARCH(설정!$A$42,K800))),설정!$B$42,IF(AND(설정!$A$43&lt;&gt;"",ISNUMBER(SEARCH(설정!$A$43,K800))),설정!$B$43,IF(AND(설정!$A$44&lt;&gt;"",ISNUMBER(SEARCH(설정!$A$44,K800))),설정!$B$44,IF(AND(설정!$A$45&lt;&gt;"",ISNUMBER(SEARCH(설정!$A$45,K800))),설정!$B$45,IF(AND(설정!$A$46&lt;&gt;"",ISNUMBER(SEARCH(설정!$A$46,K800))),설정!$B$46,IF(AND(설정!$A$47&lt;&gt;"",ISNUMBER(SEARCH(설정!$A$47,K800))),설정!$B$47,IF(AND(설정!$A$48&lt;&gt;"",ISNUMBER(SEARCH(설정!$A$48,K800))),설정!$B$48,IF(M800="","설계사","시공사"))))))))),"")</f>
        <v/>
      </c>
      <c r="V800">
        <f>SUBSTITUTE(SUBSTITUTE(SUBSTITUTE(SUBSTITUTE(G800,"(주)",""),"㈜",""),"주식회사","")," ","")</f>
        <v/>
      </c>
      <c r="W800">
        <f>IF(AND(T800,V800&lt;&gt;""),IF(COUNTIFS(V$2:V800,V800,T$2:T800,TRUE)=1,MAX(W$1:W799)+1,""),"")</f>
        <v/>
      </c>
      <c r="X800">
        <f>IFERROR(INDEX('1.산군_붙여넣기'!$A$1:$AZ$1001,ROW(),설정!$C$14)&amp;"","")</f>
        <v/>
      </c>
      <c r="Y800">
        <f>IFERROR(INDEX('1.산군_붙여넣기'!$A$1:$AZ$1001,ROW(),설정!$C$15)&amp;"","")</f>
        <v/>
      </c>
      <c r="Z800">
        <f>IF(T800,V800&amp;"|"&amp;U800,"")</f>
        <v/>
      </c>
    </row>
    <row r="801">
      <c r="A801">
        <f>ROW()</f>
        <v/>
      </c>
      <c r="B801">
        <f>IFERROR(INDEX('1.산군_붙여넣기'!$A$1:$AZ$1001,ROW(),설정!$C$4)&amp;"","")</f>
        <v/>
      </c>
      <c r="C801">
        <f>IFERROR(INDEX('1.산군_붙여넣기'!$A$1:$AZ$1001,ROW(),설정!$C$5)&amp;"","")</f>
        <v/>
      </c>
      <c r="D801" s="5">
        <f>IFERROR(VALUE(SUBSTITUTE(SUBSTITUTE(SUBSTITUTE(IFERROR(INDEX('1.산군_붙여넣기'!$A$1:$AZ$1001,ROW(),설정!$C$6)&amp;"",""),",",""),"㎡",""),"m2","")),"")</f>
        <v/>
      </c>
      <c r="E801">
        <f>IFERROR(INDEX('1.산군_붙여넣기'!$A$1:$AZ$1001,ROW(),설정!$C$7)&amp;"","")</f>
        <v/>
      </c>
      <c r="F801">
        <f>IFERROR(INDEX('1.산군_붙여넣기'!$A$1:$AZ$1001,ROW(),설정!$C$8)&amp;"","")</f>
        <v/>
      </c>
      <c r="G801">
        <f>IFERROR(INDEX('1.산군_붙여넣기'!$A$1:$AZ$1001,ROW(),설정!$C$9)&amp;"","")</f>
        <v/>
      </c>
      <c r="H801">
        <f>IFERROR(INDEX('1.산군_붙여넣기'!$A$1:$AZ$1001,ROW(),설정!$C$10)&amp;"","")</f>
        <v/>
      </c>
      <c r="I801">
        <f>IFERROR(INDEX('1.산군_붙여넣기'!$A$1:$AZ$1001,ROW(),설정!$C$11)&amp;"","")</f>
        <v/>
      </c>
      <c r="J801">
        <f>IFERROR(INDEX('1.산군_붙여넣기'!$A$1:$AZ$1001,ROW(),설정!$C$12)&amp;"","")</f>
        <v/>
      </c>
      <c r="K801">
        <f>IFERROR(INDEX('1.산군_붙여넣기'!$A$1:$AZ$1001,ROW(),설정!$C$13)&amp;"","")</f>
        <v/>
      </c>
      <c r="L801" s="6">
        <f>IF(X801="","",IF(AND(LEN(X801)=8,ISNUMBER(X801*1)),DATE(LEFT(X801,4),MID(X801,5,2),RIGHT(X801,2)),IFERROR(DATEVALUE(SUBSTITUTE(SUBSTITUTE(X801,".","-"),"/","-")),IFERROR(X801*1,""))))</f>
        <v/>
      </c>
      <c r="M801" s="6">
        <f>IF(Y801="","",IF(AND(LEN(Y801)=8,ISNUMBER(Y801*1)),DATE(LEFT(Y801,4),MID(Y801,5,2),RIGHT(Y801,2)),IFERROR(DATEVALUE(SUBSTITUTE(SUBSTITUTE(Y801,".","-"),"/","-")),IFERROR(Y801*1,""))))</f>
        <v/>
      </c>
      <c r="N801">
        <f>IFERROR(LEFT(B801,FIND(" ",B801)-1),B801)</f>
        <v/>
      </c>
      <c r="O801">
        <f>AND(B801&lt;&gt;"",B801&lt;&gt;설정!$B$4,C801&lt;&gt;설정!$B$5)</f>
        <v/>
      </c>
      <c r="P801">
        <f>IF(O801,B801&amp;"|"&amp;C801,"")</f>
        <v/>
      </c>
      <c r="Q801">
        <f>AND(O801,COUNTIF(P802:P$1002,P801)=0)</f>
        <v/>
      </c>
      <c r="R801">
        <f>OR(AND(설정!$A$28&lt;&gt;"",ISNUMBER(SEARCH(설정!$A$28,E801&amp;" "&amp;C801))),AND(설정!$A$29&lt;&gt;"",ISNUMBER(SEARCH(설정!$A$29,E801&amp;" "&amp;C801))),AND(설정!$A$30&lt;&gt;"",ISNUMBER(SEARCH(설정!$A$30,E801&amp;" "&amp;C801))),AND(설정!$A$31&lt;&gt;"",ISNUMBER(SEARCH(설정!$A$31,E801&amp;" "&amp;C801))),AND(설정!$A$32&lt;&gt;"",ISNUMBER(SEARCH(설정!$A$32,E801&amp;" "&amp;C801))),AND(설정!$A$33&lt;&gt;"",ISNUMBER(SEARCH(설정!$A$33,E801&amp;" "&amp;C801))),AND(설정!$A$34&lt;&gt;"",ISNUMBER(SEARCH(설정!$A$34,E801&amp;" "&amp;C801))),AND(설정!$A$35&lt;&gt;"",ISNUMBER(SEARCH(설정!$A$35,E801&amp;" "&amp;C801))),AND(설정!$A$36&lt;&gt;"",ISNUMBER(SEARCH(설정!$A$36,E801&amp;" "&amp;C801))),AND(설정!$A$37&lt;&gt;"",ISNUMBER(SEARCH(설정!$A$37,E801&amp;" "&amp;C801))))</f>
        <v/>
      </c>
      <c r="S801">
        <f>OR(D801="",D801&gt;=설정!$B$19)</f>
        <v/>
      </c>
      <c r="T801">
        <f>AND(Q801,R801,S801)</f>
        <v/>
      </c>
      <c r="U801">
        <f>IF(T801,IF(AND(설정!$A$41&lt;&gt;"",ISNUMBER(SEARCH(설정!$A$41,K801))),설정!$B$41,IF(AND(설정!$A$42&lt;&gt;"",ISNUMBER(SEARCH(설정!$A$42,K801))),설정!$B$42,IF(AND(설정!$A$43&lt;&gt;"",ISNUMBER(SEARCH(설정!$A$43,K801))),설정!$B$43,IF(AND(설정!$A$44&lt;&gt;"",ISNUMBER(SEARCH(설정!$A$44,K801))),설정!$B$44,IF(AND(설정!$A$45&lt;&gt;"",ISNUMBER(SEARCH(설정!$A$45,K801))),설정!$B$45,IF(AND(설정!$A$46&lt;&gt;"",ISNUMBER(SEARCH(설정!$A$46,K801))),설정!$B$46,IF(AND(설정!$A$47&lt;&gt;"",ISNUMBER(SEARCH(설정!$A$47,K801))),설정!$B$47,IF(AND(설정!$A$48&lt;&gt;"",ISNUMBER(SEARCH(설정!$A$48,K801))),설정!$B$48,IF(M801="","설계사","시공사"))))))))),"")</f>
        <v/>
      </c>
      <c r="V801">
        <f>SUBSTITUTE(SUBSTITUTE(SUBSTITUTE(SUBSTITUTE(G801,"(주)",""),"㈜",""),"주식회사","")," ","")</f>
        <v/>
      </c>
      <c r="W801">
        <f>IF(AND(T801,V801&lt;&gt;""),IF(COUNTIFS(V$2:V801,V801,T$2:T801,TRUE)=1,MAX(W$1:W800)+1,""),"")</f>
        <v/>
      </c>
      <c r="X801">
        <f>IFERROR(INDEX('1.산군_붙여넣기'!$A$1:$AZ$1001,ROW(),설정!$C$14)&amp;"","")</f>
        <v/>
      </c>
      <c r="Y801">
        <f>IFERROR(INDEX('1.산군_붙여넣기'!$A$1:$AZ$1001,ROW(),설정!$C$15)&amp;"","")</f>
        <v/>
      </c>
      <c r="Z801">
        <f>IF(T801,V801&amp;"|"&amp;U801,"")</f>
        <v/>
      </c>
    </row>
    <row r="802">
      <c r="A802">
        <f>ROW()</f>
        <v/>
      </c>
      <c r="B802">
        <f>IFERROR(INDEX('1.산군_붙여넣기'!$A$1:$AZ$1001,ROW(),설정!$C$4)&amp;"","")</f>
        <v/>
      </c>
      <c r="C802">
        <f>IFERROR(INDEX('1.산군_붙여넣기'!$A$1:$AZ$1001,ROW(),설정!$C$5)&amp;"","")</f>
        <v/>
      </c>
      <c r="D802" s="5">
        <f>IFERROR(VALUE(SUBSTITUTE(SUBSTITUTE(SUBSTITUTE(IFERROR(INDEX('1.산군_붙여넣기'!$A$1:$AZ$1001,ROW(),설정!$C$6)&amp;"",""),",",""),"㎡",""),"m2","")),"")</f>
        <v/>
      </c>
      <c r="E802">
        <f>IFERROR(INDEX('1.산군_붙여넣기'!$A$1:$AZ$1001,ROW(),설정!$C$7)&amp;"","")</f>
        <v/>
      </c>
      <c r="F802">
        <f>IFERROR(INDEX('1.산군_붙여넣기'!$A$1:$AZ$1001,ROW(),설정!$C$8)&amp;"","")</f>
        <v/>
      </c>
      <c r="G802">
        <f>IFERROR(INDEX('1.산군_붙여넣기'!$A$1:$AZ$1001,ROW(),설정!$C$9)&amp;"","")</f>
        <v/>
      </c>
      <c r="H802">
        <f>IFERROR(INDEX('1.산군_붙여넣기'!$A$1:$AZ$1001,ROW(),설정!$C$10)&amp;"","")</f>
        <v/>
      </c>
      <c r="I802">
        <f>IFERROR(INDEX('1.산군_붙여넣기'!$A$1:$AZ$1001,ROW(),설정!$C$11)&amp;"","")</f>
        <v/>
      </c>
      <c r="J802">
        <f>IFERROR(INDEX('1.산군_붙여넣기'!$A$1:$AZ$1001,ROW(),설정!$C$12)&amp;"","")</f>
        <v/>
      </c>
      <c r="K802">
        <f>IFERROR(INDEX('1.산군_붙여넣기'!$A$1:$AZ$1001,ROW(),설정!$C$13)&amp;"","")</f>
        <v/>
      </c>
      <c r="L802" s="6">
        <f>IF(X802="","",IF(AND(LEN(X802)=8,ISNUMBER(X802*1)),DATE(LEFT(X802,4),MID(X802,5,2),RIGHT(X802,2)),IFERROR(DATEVALUE(SUBSTITUTE(SUBSTITUTE(X802,".","-"),"/","-")),IFERROR(X802*1,""))))</f>
        <v/>
      </c>
      <c r="M802" s="6">
        <f>IF(Y802="","",IF(AND(LEN(Y802)=8,ISNUMBER(Y802*1)),DATE(LEFT(Y802,4),MID(Y802,5,2),RIGHT(Y802,2)),IFERROR(DATEVALUE(SUBSTITUTE(SUBSTITUTE(Y802,".","-"),"/","-")),IFERROR(Y802*1,""))))</f>
        <v/>
      </c>
      <c r="N802">
        <f>IFERROR(LEFT(B802,FIND(" ",B802)-1),B802)</f>
        <v/>
      </c>
      <c r="O802">
        <f>AND(B802&lt;&gt;"",B802&lt;&gt;설정!$B$4,C802&lt;&gt;설정!$B$5)</f>
        <v/>
      </c>
      <c r="P802">
        <f>IF(O802,B802&amp;"|"&amp;C802,"")</f>
        <v/>
      </c>
      <c r="Q802">
        <f>AND(O802,COUNTIF(P803:P$1002,P802)=0)</f>
        <v/>
      </c>
      <c r="R802">
        <f>OR(AND(설정!$A$28&lt;&gt;"",ISNUMBER(SEARCH(설정!$A$28,E802&amp;" "&amp;C802))),AND(설정!$A$29&lt;&gt;"",ISNUMBER(SEARCH(설정!$A$29,E802&amp;" "&amp;C802))),AND(설정!$A$30&lt;&gt;"",ISNUMBER(SEARCH(설정!$A$30,E802&amp;" "&amp;C802))),AND(설정!$A$31&lt;&gt;"",ISNUMBER(SEARCH(설정!$A$31,E802&amp;" "&amp;C802))),AND(설정!$A$32&lt;&gt;"",ISNUMBER(SEARCH(설정!$A$32,E802&amp;" "&amp;C802))),AND(설정!$A$33&lt;&gt;"",ISNUMBER(SEARCH(설정!$A$33,E802&amp;" "&amp;C802))),AND(설정!$A$34&lt;&gt;"",ISNUMBER(SEARCH(설정!$A$34,E802&amp;" "&amp;C802))),AND(설정!$A$35&lt;&gt;"",ISNUMBER(SEARCH(설정!$A$35,E802&amp;" "&amp;C802))),AND(설정!$A$36&lt;&gt;"",ISNUMBER(SEARCH(설정!$A$36,E802&amp;" "&amp;C802))),AND(설정!$A$37&lt;&gt;"",ISNUMBER(SEARCH(설정!$A$37,E802&amp;" "&amp;C802))))</f>
        <v/>
      </c>
      <c r="S802">
        <f>OR(D802="",D802&gt;=설정!$B$19)</f>
        <v/>
      </c>
      <c r="T802">
        <f>AND(Q802,R802,S802)</f>
        <v/>
      </c>
      <c r="U802">
        <f>IF(T802,IF(AND(설정!$A$41&lt;&gt;"",ISNUMBER(SEARCH(설정!$A$41,K802))),설정!$B$41,IF(AND(설정!$A$42&lt;&gt;"",ISNUMBER(SEARCH(설정!$A$42,K802))),설정!$B$42,IF(AND(설정!$A$43&lt;&gt;"",ISNUMBER(SEARCH(설정!$A$43,K802))),설정!$B$43,IF(AND(설정!$A$44&lt;&gt;"",ISNUMBER(SEARCH(설정!$A$44,K802))),설정!$B$44,IF(AND(설정!$A$45&lt;&gt;"",ISNUMBER(SEARCH(설정!$A$45,K802))),설정!$B$45,IF(AND(설정!$A$46&lt;&gt;"",ISNUMBER(SEARCH(설정!$A$46,K802))),설정!$B$46,IF(AND(설정!$A$47&lt;&gt;"",ISNUMBER(SEARCH(설정!$A$47,K802))),설정!$B$47,IF(AND(설정!$A$48&lt;&gt;"",ISNUMBER(SEARCH(설정!$A$48,K802))),설정!$B$48,IF(M802="","설계사","시공사"))))))))),"")</f>
        <v/>
      </c>
      <c r="V802">
        <f>SUBSTITUTE(SUBSTITUTE(SUBSTITUTE(SUBSTITUTE(G802,"(주)",""),"㈜",""),"주식회사","")," ","")</f>
        <v/>
      </c>
      <c r="W802">
        <f>IF(AND(T802,V802&lt;&gt;""),IF(COUNTIFS(V$2:V802,V802,T$2:T802,TRUE)=1,MAX(W$1:W801)+1,""),"")</f>
        <v/>
      </c>
      <c r="X802">
        <f>IFERROR(INDEX('1.산군_붙여넣기'!$A$1:$AZ$1001,ROW(),설정!$C$14)&amp;"","")</f>
        <v/>
      </c>
      <c r="Y802">
        <f>IFERROR(INDEX('1.산군_붙여넣기'!$A$1:$AZ$1001,ROW(),설정!$C$15)&amp;"","")</f>
        <v/>
      </c>
      <c r="Z802">
        <f>IF(T802,V802&amp;"|"&amp;U802,"")</f>
        <v/>
      </c>
    </row>
    <row r="803">
      <c r="A803">
        <f>ROW()</f>
        <v/>
      </c>
      <c r="B803">
        <f>IFERROR(INDEX('1.산군_붙여넣기'!$A$1:$AZ$1001,ROW(),설정!$C$4)&amp;"","")</f>
        <v/>
      </c>
      <c r="C803">
        <f>IFERROR(INDEX('1.산군_붙여넣기'!$A$1:$AZ$1001,ROW(),설정!$C$5)&amp;"","")</f>
        <v/>
      </c>
      <c r="D803" s="5">
        <f>IFERROR(VALUE(SUBSTITUTE(SUBSTITUTE(SUBSTITUTE(IFERROR(INDEX('1.산군_붙여넣기'!$A$1:$AZ$1001,ROW(),설정!$C$6)&amp;"",""),",",""),"㎡",""),"m2","")),"")</f>
        <v/>
      </c>
      <c r="E803">
        <f>IFERROR(INDEX('1.산군_붙여넣기'!$A$1:$AZ$1001,ROW(),설정!$C$7)&amp;"","")</f>
        <v/>
      </c>
      <c r="F803">
        <f>IFERROR(INDEX('1.산군_붙여넣기'!$A$1:$AZ$1001,ROW(),설정!$C$8)&amp;"","")</f>
        <v/>
      </c>
      <c r="G803">
        <f>IFERROR(INDEX('1.산군_붙여넣기'!$A$1:$AZ$1001,ROW(),설정!$C$9)&amp;"","")</f>
        <v/>
      </c>
      <c r="H803">
        <f>IFERROR(INDEX('1.산군_붙여넣기'!$A$1:$AZ$1001,ROW(),설정!$C$10)&amp;"","")</f>
        <v/>
      </c>
      <c r="I803">
        <f>IFERROR(INDEX('1.산군_붙여넣기'!$A$1:$AZ$1001,ROW(),설정!$C$11)&amp;"","")</f>
        <v/>
      </c>
      <c r="J803">
        <f>IFERROR(INDEX('1.산군_붙여넣기'!$A$1:$AZ$1001,ROW(),설정!$C$12)&amp;"","")</f>
        <v/>
      </c>
      <c r="K803">
        <f>IFERROR(INDEX('1.산군_붙여넣기'!$A$1:$AZ$1001,ROW(),설정!$C$13)&amp;"","")</f>
        <v/>
      </c>
      <c r="L803" s="6">
        <f>IF(X803="","",IF(AND(LEN(X803)=8,ISNUMBER(X803*1)),DATE(LEFT(X803,4),MID(X803,5,2),RIGHT(X803,2)),IFERROR(DATEVALUE(SUBSTITUTE(SUBSTITUTE(X803,".","-"),"/","-")),IFERROR(X803*1,""))))</f>
        <v/>
      </c>
      <c r="M803" s="6">
        <f>IF(Y803="","",IF(AND(LEN(Y803)=8,ISNUMBER(Y803*1)),DATE(LEFT(Y803,4),MID(Y803,5,2),RIGHT(Y803,2)),IFERROR(DATEVALUE(SUBSTITUTE(SUBSTITUTE(Y803,".","-"),"/","-")),IFERROR(Y803*1,""))))</f>
        <v/>
      </c>
      <c r="N803">
        <f>IFERROR(LEFT(B803,FIND(" ",B803)-1),B803)</f>
        <v/>
      </c>
      <c r="O803">
        <f>AND(B803&lt;&gt;"",B803&lt;&gt;설정!$B$4,C803&lt;&gt;설정!$B$5)</f>
        <v/>
      </c>
      <c r="P803">
        <f>IF(O803,B803&amp;"|"&amp;C803,"")</f>
        <v/>
      </c>
      <c r="Q803">
        <f>AND(O803,COUNTIF(P804:P$1002,P803)=0)</f>
        <v/>
      </c>
      <c r="R803">
        <f>OR(AND(설정!$A$28&lt;&gt;"",ISNUMBER(SEARCH(설정!$A$28,E803&amp;" "&amp;C803))),AND(설정!$A$29&lt;&gt;"",ISNUMBER(SEARCH(설정!$A$29,E803&amp;" "&amp;C803))),AND(설정!$A$30&lt;&gt;"",ISNUMBER(SEARCH(설정!$A$30,E803&amp;" "&amp;C803))),AND(설정!$A$31&lt;&gt;"",ISNUMBER(SEARCH(설정!$A$31,E803&amp;" "&amp;C803))),AND(설정!$A$32&lt;&gt;"",ISNUMBER(SEARCH(설정!$A$32,E803&amp;" "&amp;C803))),AND(설정!$A$33&lt;&gt;"",ISNUMBER(SEARCH(설정!$A$33,E803&amp;" "&amp;C803))),AND(설정!$A$34&lt;&gt;"",ISNUMBER(SEARCH(설정!$A$34,E803&amp;" "&amp;C803))),AND(설정!$A$35&lt;&gt;"",ISNUMBER(SEARCH(설정!$A$35,E803&amp;" "&amp;C803))),AND(설정!$A$36&lt;&gt;"",ISNUMBER(SEARCH(설정!$A$36,E803&amp;" "&amp;C803))),AND(설정!$A$37&lt;&gt;"",ISNUMBER(SEARCH(설정!$A$37,E803&amp;" "&amp;C803))))</f>
        <v/>
      </c>
      <c r="S803">
        <f>OR(D803="",D803&gt;=설정!$B$19)</f>
        <v/>
      </c>
      <c r="T803">
        <f>AND(Q803,R803,S803)</f>
        <v/>
      </c>
      <c r="U803">
        <f>IF(T803,IF(AND(설정!$A$41&lt;&gt;"",ISNUMBER(SEARCH(설정!$A$41,K803))),설정!$B$41,IF(AND(설정!$A$42&lt;&gt;"",ISNUMBER(SEARCH(설정!$A$42,K803))),설정!$B$42,IF(AND(설정!$A$43&lt;&gt;"",ISNUMBER(SEARCH(설정!$A$43,K803))),설정!$B$43,IF(AND(설정!$A$44&lt;&gt;"",ISNUMBER(SEARCH(설정!$A$44,K803))),설정!$B$44,IF(AND(설정!$A$45&lt;&gt;"",ISNUMBER(SEARCH(설정!$A$45,K803))),설정!$B$45,IF(AND(설정!$A$46&lt;&gt;"",ISNUMBER(SEARCH(설정!$A$46,K803))),설정!$B$46,IF(AND(설정!$A$47&lt;&gt;"",ISNUMBER(SEARCH(설정!$A$47,K803))),설정!$B$47,IF(AND(설정!$A$48&lt;&gt;"",ISNUMBER(SEARCH(설정!$A$48,K803))),설정!$B$48,IF(M803="","설계사","시공사"))))))))),"")</f>
        <v/>
      </c>
      <c r="V803">
        <f>SUBSTITUTE(SUBSTITUTE(SUBSTITUTE(SUBSTITUTE(G803,"(주)",""),"㈜",""),"주식회사","")," ","")</f>
        <v/>
      </c>
      <c r="W803">
        <f>IF(AND(T803,V803&lt;&gt;""),IF(COUNTIFS(V$2:V803,V803,T$2:T803,TRUE)=1,MAX(W$1:W802)+1,""),"")</f>
        <v/>
      </c>
      <c r="X803">
        <f>IFERROR(INDEX('1.산군_붙여넣기'!$A$1:$AZ$1001,ROW(),설정!$C$14)&amp;"","")</f>
        <v/>
      </c>
      <c r="Y803">
        <f>IFERROR(INDEX('1.산군_붙여넣기'!$A$1:$AZ$1001,ROW(),설정!$C$15)&amp;"","")</f>
        <v/>
      </c>
      <c r="Z803">
        <f>IF(T803,V803&amp;"|"&amp;U803,"")</f>
        <v/>
      </c>
    </row>
    <row r="804">
      <c r="A804">
        <f>ROW()</f>
        <v/>
      </c>
      <c r="B804">
        <f>IFERROR(INDEX('1.산군_붙여넣기'!$A$1:$AZ$1001,ROW(),설정!$C$4)&amp;"","")</f>
        <v/>
      </c>
      <c r="C804">
        <f>IFERROR(INDEX('1.산군_붙여넣기'!$A$1:$AZ$1001,ROW(),설정!$C$5)&amp;"","")</f>
        <v/>
      </c>
      <c r="D804" s="5">
        <f>IFERROR(VALUE(SUBSTITUTE(SUBSTITUTE(SUBSTITUTE(IFERROR(INDEX('1.산군_붙여넣기'!$A$1:$AZ$1001,ROW(),설정!$C$6)&amp;"",""),",",""),"㎡",""),"m2","")),"")</f>
        <v/>
      </c>
      <c r="E804">
        <f>IFERROR(INDEX('1.산군_붙여넣기'!$A$1:$AZ$1001,ROW(),설정!$C$7)&amp;"","")</f>
        <v/>
      </c>
      <c r="F804">
        <f>IFERROR(INDEX('1.산군_붙여넣기'!$A$1:$AZ$1001,ROW(),설정!$C$8)&amp;"","")</f>
        <v/>
      </c>
      <c r="G804">
        <f>IFERROR(INDEX('1.산군_붙여넣기'!$A$1:$AZ$1001,ROW(),설정!$C$9)&amp;"","")</f>
        <v/>
      </c>
      <c r="H804">
        <f>IFERROR(INDEX('1.산군_붙여넣기'!$A$1:$AZ$1001,ROW(),설정!$C$10)&amp;"","")</f>
        <v/>
      </c>
      <c r="I804">
        <f>IFERROR(INDEX('1.산군_붙여넣기'!$A$1:$AZ$1001,ROW(),설정!$C$11)&amp;"","")</f>
        <v/>
      </c>
      <c r="J804">
        <f>IFERROR(INDEX('1.산군_붙여넣기'!$A$1:$AZ$1001,ROW(),설정!$C$12)&amp;"","")</f>
        <v/>
      </c>
      <c r="K804">
        <f>IFERROR(INDEX('1.산군_붙여넣기'!$A$1:$AZ$1001,ROW(),설정!$C$13)&amp;"","")</f>
        <v/>
      </c>
      <c r="L804" s="6">
        <f>IF(X804="","",IF(AND(LEN(X804)=8,ISNUMBER(X804*1)),DATE(LEFT(X804,4),MID(X804,5,2),RIGHT(X804,2)),IFERROR(DATEVALUE(SUBSTITUTE(SUBSTITUTE(X804,".","-"),"/","-")),IFERROR(X804*1,""))))</f>
        <v/>
      </c>
      <c r="M804" s="6">
        <f>IF(Y804="","",IF(AND(LEN(Y804)=8,ISNUMBER(Y804*1)),DATE(LEFT(Y804,4),MID(Y804,5,2),RIGHT(Y804,2)),IFERROR(DATEVALUE(SUBSTITUTE(SUBSTITUTE(Y804,".","-"),"/","-")),IFERROR(Y804*1,""))))</f>
        <v/>
      </c>
      <c r="N804">
        <f>IFERROR(LEFT(B804,FIND(" ",B804)-1),B804)</f>
        <v/>
      </c>
      <c r="O804">
        <f>AND(B804&lt;&gt;"",B804&lt;&gt;설정!$B$4,C804&lt;&gt;설정!$B$5)</f>
        <v/>
      </c>
      <c r="P804">
        <f>IF(O804,B804&amp;"|"&amp;C804,"")</f>
        <v/>
      </c>
      <c r="Q804">
        <f>AND(O804,COUNTIF(P805:P$1002,P804)=0)</f>
        <v/>
      </c>
      <c r="R804">
        <f>OR(AND(설정!$A$28&lt;&gt;"",ISNUMBER(SEARCH(설정!$A$28,E804&amp;" "&amp;C804))),AND(설정!$A$29&lt;&gt;"",ISNUMBER(SEARCH(설정!$A$29,E804&amp;" "&amp;C804))),AND(설정!$A$30&lt;&gt;"",ISNUMBER(SEARCH(설정!$A$30,E804&amp;" "&amp;C804))),AND(설정!$A$31&lt;&gt;"",ISNUMBER(SEARCH(설정!$A$31,E804&amp;" "&amp;C804))),AND(설정!$A$32&lt;&gt;"",ISNUMBER(SEARCH(설정!$A$32,E804&amp;" "&amp;C804))),AND(설정!$A$33&lt;&gt;"",ISNUMBER(SEARCH(설정!$A$33,E804&amp;" "&amp;C804))),AND(설정!$A$34&lt;&gt;"",ISNUMBER(SEARCH(설정!$A$34,E804&amp;" "&amp;C804))),AND(설정!$A$35&lt;&gt;"",ISNUMBER(SEARCH(설정!$A$35,E804&amp;" "&amp;C804))),AND(설정!$A$36&lt;&gt;"",ISNUMBER(SEARCH(설정!$A$36,E804&amp;" "&amp;C804))),AND(설정!$A$37&lt;&gt;"",ISNUMBER(SEARCH(설정!$A$37,E804&amp;" "&amp;C804))))</f>
        <v/>
      </c>
      <c r="S804">
        <f>OR(D804="",D804&gt;=설정!$B$19)</f>
        <v/>
      </c>
      <c r="T804">
        <f>AND(Q804,R804,S804)</f>
        <v/>
      </c>
      <c r="U804">
        <f>IF(T804,IF(AND(설정!$A$41&lt;&gt;"",ISNUMBER(SEARCH(설정!$A$41,K804))),설정!$B$41,IF(AND(설정!$A$42&lt;&gt;"",ISNUMBER(SEARCH(설정!$A$42,K804))),설정!$B$42,IF(AND(설정!$A$43&lt;&gt;"",ISNUMBER(SEARCH(설정!$A$43,K804))),설정!$B$43,IF(AND(설정!$A$44&lt;&gt;"",ISNUMBER(SEARCH(설정!$A$44,K804))),설정!$B$44,IF(AND(설정!$A$45&lt;&gt;"",ISNUMBER(SEARCH(설정!$A$45,K804))),설정!$B$45,IF(AND(설정!$A$46&lt;&gt;"",ISNUMBER(SEARCH(설정!$A$46,K804))),설정!$B$46,IF(AND(설정!$A$47&lt;&gt;"",ISNUMBER(SEARCH(설정!$A$47,K804))),설정!$B$47,IF(AND(설정!$A$48&lt;&gt;"",ISNUMBER(SEARCH(설정!$A$48,K804))),설정!$B$48,IF(M804="","설계사","시공사"))))))))),"")</f>
        <v/>
      </c>
      <c r="V804">
        <f>SUBSTITUTE(SUBSTITUTE(SUBSTITUTE(SUBSTITUTE(G804,"(주)",""),"㈜",""),"주식회사","")," ","")</f>
        <v/>
      </c>
      <c r="W804">
        <f>IF(AND(T804,V804&lt;&gt;""),IF(COUNTIFS(V$2:V804,V804,T$2:T804,TRUE)=1,MAX(W$1:W803)+1,""),"")</f>
        <v/>
      </c>
      <c r="X804">
        <f>IFERROR(INDEX('1.산군_붙여넣기'!$A$1:$AZ$1001,ROW(),설정!$C$14)&amp;"","")</f>
        <v/>
      </c>
      <c r="Y804">
        <f>IFERROR(INDEX('1.산군_붙여넣기'!$A$1:$AZ$1001,ROW(),설정!$C$15)&amp;"","")</f>
        <v/>
      </c>
      <c r="Z804">
        <f>IF(T804,V804&amp;"|"&amp;U804,"")</f>
        <v/>
      </c>
    </row>
    <row r="805">
      <c r="A805">
        <f>ROW()</f>
        <v/>
      </c>
      <c r="B805">
        <f>IFERROR(INDEX('1.산군_붙여넣기'!$A$1:$AZ$1001,ROW(),설정!$C$4)&amp;"","")</f>
        <v/>
      </c>
      <c r="C805">
        <f>IFERROR(INDEX('1.산군_붙여넣기'!$A$1:$AZ$1001,ROW(),설정!$C$5)&amp;"","")</f>
        <v/>
      </c>
      <c r="D805" s="5">
        <f>IFERROR(VALUE(SUBSTITUTE(SUBSTITUTE(SUBSTITUTE(IFERROR(INDEX('1.산군_붙여넣기'!$A$1:$AZ$1001,ROW(),설정!$C$6)&amp;"",""),",",""),"㎡",""),"m2","")),"")</f>
        <v/>
      </c>
      <c r="E805">
        <f>IFERROR(INDEX('1.산군_붙여넣기'!$A$1:$AZ$1001,ROW(),설정!$C$7)&amp;"","")</f>
        <v/>
      </c>
      <c r="F805">
        <f>IFERROR(INDEX('1.산군_붙여넣기'!$A$1:$AZ$1001,ROW(),설정!$C$8)&amp;"","")</f>
        <v/>
      </c>
      <c r="G805">
        <f>IFERROR(INDEX('1.산군_붙여넣기'!$A$1:$AZ$1001,ROW(),설정!$C$9)&amp;"","")</f>
        <v/>
      </c>
      <c r="H805">
        <f>IFERROR(INDEX('1.산군_붙여넣기'!$A$1:$AZ$1001,ROW(),설정!$C$10)&amp;"","")</f>
        <v/>
      </c>
      <c r="I805">
        <f>IFERROR(INDEX('1.산군_붙여넣기'!$A$1:$AZ$1001,ROW(),설정!$C$11)&amp;"","")</f>
        <v/>
      </c>
      <c r="J805">
        <f>IFERROR(INDEX('1.산군_붙여넣기'!$A$1:$AZ$1001,ROW(),설정!$C$12)&amp;"","")</f>
        <v/>
      </c>
      <c r="K805">
        <f>IFERROR(INDEX('1.산군_붙여넣기'!$A$1:$AZ$1001,ROW(),설정!$C$13)&amp;"","")</f>
        <v/>
      </c>
      <c r="L805" s="6">
        <f>IF(X805="","",IF(AND(LEN(X805)=8,ISNUMBER(X805*1)),DATE(LEFT(X805,4),MID(X805,5,2),RIGHT(X805,2)),IFERROR(DATEVALUE(SUBSTITUTE(SUBSTITUTE(X805,".","-"),"/","-")),IFERROR(X805*1,""))))</f>
        <v/>
      </c>
      <c r="M805" s="6">
        <f>IF(Y805="","",IF(AND(LEN(Y805)=8,ISNUMBER(Y805*1)),DATE(LEFT(Y805,4),MID(Y805,5,2),RIGHT(Y805,2)),IFERROR(DATEVALUE(SUBSTITUTE(SUBSTITUTE(Y805,".","-"),"/","-")),IFERROR(Y805*1,""))))</f>
        <v/>
      </c>
      <c r="N805">
        <f>IFERROR(LEFT(B805,FIND(" ",B805)-1),B805)</f>
        <v/>
      </c>
      <c r="O805">
        <f>AND(B805&lt;&gt;"",B805&lt;&gt;설정!$B$4,C805&lt;&gt;설정!$B$5)</f>
        <v/>
      </c>
      <c r="P805">
        <f>IF(O805,B805&amp;"|"&amp;C805,"")</f>
        <v/>
      </c>
      <c r="Q805">
        <f>AND(O805,COUNTIF(P806:P$1002,P805)=0)</f>
        <v/>
      </c>
      <c r="R805">
        <f>OR(AND(설정!$A$28&lt;&gt;"",ISNUMBER(SEARCH(설정!$A$28,E805&amp;" "&amp;C805))),AND(설정!$A$29&lt;&gt;"",ISNUMBER(SEARCH(설정!$A$29,E805&amp;" "&amp;C805))),AND(설정!$A$30&lt;&gt;"",ISNUMBER(SEARCH(설정!$A$30,E805&amp;" "&amp;C805))),AND(설정!$A$31&lt;&gt;"",ISNUMBER(SEARCH(설정!$A$31,E805&amp;" "&amp;C805))),AND(설정!$A$32&lt;&gt;"",ISNUMBER(SEARCH(설정!$A$32,E805&amp;" "&amp;C805))),AND(설정!$A$33&lt;&gt;"",ISNUMBER(SEARCH(설정!$A$33,E805&amp;" "&amp;C805))),AND(설정!$A$34&lt;&gt;"",ISNUMBER(SEARCH(설정!$A$34,E805&amp;" "&amp;C805))),AND(설정!$A$35&lt;&gt;"",ISNUMBER(SEARCH(설정!$A$35,E805&amp;" "&amp;C805))),AND(설정!$A$36&lt;&gt;"",ISNUMBER(SEARCH(설정!$A$36,E805&amp;" "&amp;C805))),AND(설정!$A$37&lt;&gt;"",ISNUMBER(SEARCH(설정!$A$37,E805&amp;" "&amp;C805))))</f>
        <v/>
      </c>
      <c r="S805">
        <f>OR(D805="",D805&gt;=설정!$B$19)</f>
        <v/>
      </c>
      <c r="T805">
        <f>AND(Q805,R805,S805)</f>
        <v/>
      </c>
      <c r="U805">
        <f>IF(T805,IF(AND(설정!$A$41&lt;&gt;"",ISNUMBER(SEARCH(설정!$A$41,K805))),설정!$B$41,IF(AND(설정!$A$42&lt;&gt;"",ISNUMBER(SEARCH(설정!$A$42,K805))),설정!$B$42,IF(AND(설정!$A$43&lt;&gt;"",ISNUMBER(SEARCH(설정!$A$43,K805))),설정!$B$43,IF(AND(설정!$A$44&lt;&gt;"",ISNUMBER(SEARCH(설정!$A$44,K805))),설정!$B$44,IF(AND(설정!$A$45&lt;&gt;"",ISNUMBER(SEARCH(설정!$A$45,K805))),설정!$B$45,IF(AND(설정!$A$46&lt;&gt;"",ISNUMBER(SEARCH(설정!$A$46,K805))),설정!$B$46,IF(AND(설정!$A$47&lt;&gt;"",ISNUMBER(SEARCH(설정!$A$47,K805))),설정!$B$47,IF(AND(설정!$A$48&lt;&gt;"",ISNUMBER(SEARCH(설정!$A$48,K805))),설정!$B$48,IF(M805="","설계사","시공사"))))))))),"")</f>
        <v/>
      </c>
      <c r="V805">
        <f>SUBSTITUTE(SUBSTITUTE(SUBSTITUTE(SUBSTITUTE(G805,"(주)",""),"㈜",""),"주식회사","")," ","")</f>
        <v/>
      </c>
      <c r="W805">
        <f>IF(AND(T805,V805&lt;&gt;""),IF(COUNTIFS(V$2:V805,V805,T$2:T805,TRUE)=1,MAX(W$1:W804)+1,""),"")</f>
        <v/>
      </c>
      <c r="X805">
        <f>IFERROR(INDEX('1.산군_붙여넣기'!$A$1:$AZ$1001,ROW(),설정!$C$14)&amp;"","")</f>
        <v/>
      </c>
      <c r="Y805">
        <f>IFERROR(INDEX('1.산군_붙여넣기'!$A$1:$AZ$1001,ROW(),설정!$C$15)&amp;"","")</f>
        <v/>
      </c>
      <c r="Z805">
        <f>IF(T805,V805&amp;"|"&amp;U805,"")</f>
        <v/>
      </c>
    </row>
    <row r="806">
      <c r="A806">
        <f>ROW()</f>
        <v/>
      </c>
      <c r="B806">
        <f>IFERROR(INDEX('1.산군_붙여넣기'!$A$1:$AZ$1001,ROW(),설정!$C$4)&amp;"","")</f>
        <v/>
      </c>
      <c r="C806">
        <f>IFERROR(INDEX('1.산군_붙여넣기'!$A$1:$AZ$1001,ROW(),설정!$C$5)&amp;"","")</f>
        <v/>
      </c>
      <c r="D806" s="5">
        <f>IFERROR(VALUE(SUBSTITUTE(SUBSTITUTE(SUBSTITUTE(IFERROR(INDEX('1.산군_붙여넣기'!$A$1:$AZ$1001,ROW(),설정!$C$6)&amp;"",""),",",""),"㎡",""),"m2","")),"")</f>
        <v/>
      </c>
      <c r="E806">
        <f>IFERROR(INDEX('1.산군_붙여넣기'!$A$1:$AZ$1001,ROW(),설정!$C$7)&amp;"","")</f>
        <v/>
      </c>
      <c r="F806">
        <f>IFERROR(INDEX('1.산군_붙여넣기'!$A$1:$AZ$1001,ROW(),설정!$C$8)&amp;"","")</f>
        <v/>
      </c>
      <c r="G806">
        <f>IFERROR(INDEX('1.산군_붙여넣기'!$A$1:$AZ$1001,ROW(),설정!$C$9)&amp;"","")</f>
        <v/>
      </c>
      <c r="H806">
        <f>IFERROR(INDEX('1.산군_붙여넣기'!$A$1:$AZ$1001,ROW(),설정!$C$10)&amp;"","")</f>
        <v/>
      </c>
      <c r="I806">
        <f>IFERROR(INDEX('1.산군_붙여넣기'!$A$1:$AZ$1001,ROW(),설정!$C$11)&amp;"","")</f>
        <v/>
      </c>
      <c r="J806">
        <f>IFERROR(INDEX('1.산군_붙여넣기'!$A$1:$AZ$1001,ROW(),설정!$C$12)&amp;"","")</f>
        <v/>
      </c>
      <c r="K806">
        <f>IFERROR(INDEX('1.산군_붙여넣기'!$A$1:$AZ$1001,ROW(),설정!$C$13)&amp;"","")</f>
        <v/>
      </c>
      <c r="L806" s="6">
        <f>IF(X806="","",IF(AND(LEN(X806)=8,ISNUMBER(X806*1)),DATE(LEFT(X806,4),MID(X806,5,2),RIGHT(X806,2)),IFERROR(DATEVALUE(SUBSTITUTE(SUBSTITUTE(X806,".","-"),"/","-")),IFERROR(X806*1,""))))</f>
        <v/>
      </c>
      <c r="M806" s="6">
        <f>IF(Y806="","",IF(AND(LEN(Y806)=8,ISNUMBER(Y806*1)),DATE(LEFT(Y806,4),MID(Y806,5,2),RIGHT(Y806,2)),IFERROR(DATEVALUE(SUBSTITUTE(SUBSTITUTE(Y806,".","-"),"/","-")),IFERROR(Y806*1,""))))</f>
        <v/>
      </c>
      <c r="N806">
        <f>IFERROR(LEFT(B806,FIND(" ",B806)-1),B806)</f>
        <v/>
      </c>
      <c r="O806">
        <f>AND(B806&lt;&gt;"",B806&lt;&gt;설정!$B$4,C806&lt;&gt;설정!$B$5)</f>
        <v/>
      </c>
      <c r="P806">
        <f>IF(O806,B806&amp;"|"&amp;C806,"")</f>
        <v/>
      </c>
      <c r="Q806">
        <f>AND(O806,COUNTIF(P807:P$1002,P806)=0)</f>
        <v/>
      </c>
      <c r="R806">
        <f>OR(AND(설정!$A$28&lt;&gt;"",ISNUMBER(SEARCH(설정!$A$28,E806&amp;" "&amp;C806))),AND(설정!$A$29&lt;&gt;"",ISNUMBER(SEARCH(설정!$A$29,E806&amp;" "&amp;C806))),AND(설정!$A$30&lt;&gt;"",ISNUMBER(SEARCH(설정!$A$30,E806&amp;" "&amp;C806))),AND(설정!$A$31&lt;&gt;"",ISNUMBER(SEARCH(설정!$A$31,E806&amp;" "&amp;C806))),AND(설정!$A$32&lt;&gt;"",ISNUMBER(SEARCH(설정!$A$32,E806&amp;" "&amp;C806))),AND(설정!$A$33&lt;&gt;"",ISNUMBER(SEARCH(설정!$A$33,E806&amp;" "&amp;C806))),AND(설정!$A$34&lt;&gt;"",ISNUMBER(SEARCH(설정!$A$34,E806&amp;" "&amp;C806))),AND(설정!$A$35&lt;&gt;"",ISNUMBER(SEARCH(설정!$A$35,E806&amp;" "&amp;C806))),AND(설정!$A$36&lt;&gt;"",ISNUMBER(SEARCH(설정!$A$36,E806&amp;" "&amp;C806))),AND(설정!$A$37&lt;&gt;"",ISNUMBER(SEARCH(설정!$A$37,E806&amp;" "&amp;C806))))</f>
        <v/>
      </c>
      <c r="S806">
        <f>OR(D806="",D806&gt;=설정!$B$19)</f>
        <v/>
      </c>
      <c r="T806">
        <f>AND(Q806,R806,S806)</f>
        <v/>
      </c>
      <c r="U806">
        <f>IF(T806,IF(AND(설정!$A$41&lt;&gt;"",ISNUMBER(SEARCH(설정!$A$41,K806))),설정!$B$41,IF(AND(설정!$A$42&lt;&gt;"",ISNUMBER(SEARCH(설정!$A$42,K806))),설정!$B$42,IF(AND(설정!$A$43&lt;&gt;"",ISNUMBER(SEARCH(설정!$A$43,K806))),설정!$B$43,IF(AND(설정!$A$44&lt;&gt;"",ISNUMBER(SEARCH(설정!$A$44,K806))),설정!$B$44,IF(AND(설정!$A$45&lt;&gt;"",ISNUMBER(SEARCH(설정!$A$45,K806))),설정!$B$45,IF(AND(설정!$A$46&lt;&gt;"",ISNUMBER(SEARCH(설정!$A$46,K806))),설정!$B$46,IF(AND(설정!$A$47&lt;&gt;"",ISNUMBER(SEARCH(설정!$A$47,K806))),설정!$B$47,IF(AND(설정!$A$48&lt;&gt;"",ISNUMBER(SEARCH(설정!$A$48,K806))),설정!$B$48,IF(M806="","설계사","시공사"))))))))),"")</f>
        <v/>
      </c>
      <c r="V806">
        <f>SUBSTITUTE(SUBSTITUTE(SUBSTITUTE(SUBSTITUTE(G806,"(주)",""),"㈜",""),"주식회사","")," ","")</f>
        <v/>
      </c>
      <c r="W806">
        <f>IF(AND(T806,V806&lt;&gt;""),IF(COUNTIFS(V$2:V806,V806,T$2:T806,TRUE)=1,MAX(W$1:W805)+1,""),"")</f>
        <v/>
      </c>
      <c r="X806">
        <f>IFERROR(INDEX('1.산군_붙여넣기'!$A$1:$AZ$1001,ROW(),설정!$C$14)&amp;"","")</f>
        <v/>
      </c>
      <c r="Y806">
        <f>IFERROR(INDEX('1.산군_붙여넣기'!$A$1:$AZ$1001,ROW(),설정!$C$15)&amp;"","")</f>
        <v/>
      </c>
      <c r="Z806">
        <f>IF(T806,V806&amp;"|"&amp;U806,"")</f>
        <v/>
      </c>
    </row>
    <row r="807">
      <c r="A807">
        <f>ROW()</f>
        <v/>
      </c>
      <c r="B807">
        <f>IFERROR(INDEX('1.산군_붙여넣기'!$A$1:$AZ$1001,ROW(),설정!$C$4)&amp;"","")</f>
        <v/>
      </c>
      <c r="C807">
        <f>IFERROR(INDEX('1.산군_붙여넣기'!$A$1:$AZ$1001,ROW(),설정!$C$5)&amp;"","")</f>
        <v/>
      </c>
      <c r="D807" s="5">
        <f>IFERROR(VALUE(SUBSTITUTE(SUBSTITUTE(SUBSTITUTE(IFERROR(INDEX('1.산군_붙여넣기'!$A$1:$AZ$1001,ROW(),설정!$C$6)&amp;"",""),",",""),"㎡",""),"m2","")),"")</f>
        <v/>
      </c>
      <c r="E807">
        <f>IFERROR(INDEX('1.산군_붙여넣기'!$A$1:$AZ$1001,ROW(),설정!$C$7)&amp;"","")</f>
        <v/>
      </c>
      <c r="F807">
        <f>IFERROR(INDEX('1.산군_붙여넣기'!$A$1:$AZ$1001,ROW(),설정!$C$8)&amp;"","")</f>
        <v/>
      </c>
      <c r="G807">
        <f>IFERROR(INDEX('1.산군_붙여넣기'!$A$1:$AZ$1001,ROW(),설정!$C$9)&amp;"","")</f>
        <v/>
      </c>
      <c r="H807">
        <f>IFERROR(INDEX('1.산군_붙여넣기'!$A$1:$AZ$1001,ROW(),설정!$C$10)&amp;"","")</f>
        <v/>
      </c>
      <c r="I807">
        <f>IFERROR(INDEX('1.산군_붙여넣기'!$A$1:$AZ$1001,ROW(),설정!$C$11)&amp;"","")</f>
        <v/>
      </c>
      <c r="J807">
        <f>IFERROR(INDEX('1.산군_붙여넣기'!$A$1:$AZ$1001,ROW(),설정!$C$12)&amp;"","")</f>
        <v/>
      </c>
      <c r="K807">
        <f>IFERROR(INDEX('1.산군_붙여넣기'!$A$1:$AZ$1001,ROW(),설정!$C$13)&amp;"","")</f>
        <v/>
      </c>
      <c r="L807" s="6">
        <f>IF(X807="","",IF(AND(LEN(X807)=8,ISNUMBER(X807*1)),DATE(LEFT(X807,4),MID(X807,5,2),RIGHT(X807,2)),IFERROR(DATEVALUE(SUBSTITUTE(SUBSTITUTE(X807,".","-"),"/","-")),IFERROR(X807*1,""))))</f>
        <v/>
      </c>
      <c r="M807" s="6">
        <f>IF(Y807="","",IF(AND(LEN(Y807)=8,ISNUMBER(Y807*1)),DATE(LEFT(Y807,4),MID(Y807,5,2),RIGHT(Y807,2)),IFERROR(DATEVALUE(SUBSTITUTE(SUBSTITUTE(Y807,".","-"),"/","-")),IFERROR(Y807*1,""))))</f>
        <v/>
      </c>
      <c r="N807">
        <f>IFERROR(LEFT(B807,FIND(" ",B807)-1),B807)</f>
        <v/>
      </c>
      <c r="O807">
        <f>AND(B807&lt;&gt;"",B807&lt;&gt;설정!$B$4,C807&lt;&gt;설정!$B$5)</f>
        <v/>
      </c>
      <c r="P807">
        <f>IF(O807,B807&amp;"|"&amp;C807,"")</f>
        <v/>
      </c>
      <c r="Q807">
        <f>AND(O807,COUNTIF(P808:P$1002,P807)=0)</f>
        <v/>
      </c>
      <c r="R807">
        <f>OR(AND(설정!$A$28&lt;&gt;"",ISNUMBER(SEARCH(설정!$A$28,E807&amp;" "&amp;C807))),AND(설정!$A$29&lt;&gt;"",ISNUMBER(SEARCH(설정!$A$29,E807&amp;" "&amp;C807))),AND(설정!$A$30&lt;&gt;"",ISNUMBER(SEARCH(설정!$A$30,E807&amp;" "&amp;C807))),AND(설정!$A$31&lt;&gt;"",ISNUMBER(SEARCH(설정!$A$31,E807&amp;" "&amp;C807))),AND(설정!$A$32&lt;&gt;"",ISNUMBER(SEARCH(설정!$A$32,E807&amp;" "&amp;C807))),AND(설정!$A$33&lt;&gt;"",ISNUMBER(SEARCH(설정!$A$33,E807&amp;" "&amp;C807))),AND(설정!$A$34&lt;&gt;"",ISNUMBER(SEARCH(설정!$A$34,E807&amp;" "&amp;C807))),AND(설정!$A$35&lt;&gt;"",ISNUMBER(SEARCH(설정!$A$35,E807&amp;" "&amp;C807))),AND(설정!$A$36&lt;&gt;"",ISNUMBER(SEARCH(설정!$A$36,E807&amp;" "&amp;C807))),AND(설정!$A$37&lt;&gt;"",ISNUMBER(SEARCH(설정!$A$37,E807&amp;" "&amp;C807))))</f>
        <v/>
      </c>
      <c r="S807">
        <f>OR(D807="",D807&gt;=설정!$B$19)</f>
        <v/>
      </c>
      <c r="T807">
        <f>AND(Q807,R807,S807)</f>
        <v/>
      </c>
      <c r="U807">
        <f>IF(T807,IF(AND(설정!$A$41&lt;&gt;"",ISNUMBER(SEARCH(설정!$A$41,K807))),설정!$B$41,IF(AND(설정!$A$42&lt;&gt;"",ISNUMBER(SEARCH(설정!$A$42,K807))),설정!$B$42,IF(AND(설정!$A$43&lt;&gt;"",ISNUMBER(SEARCH(설정!$A$43,K807))),설정!$B$43,IF(AND(설정!$A$44&lt;&gt;"",ISNUMBER(SEARCH(설정!$A$44,K807))),설정!$B$44,IF(AND(설정!$A$45&lt;&gt;"",ISNUMBER(SEARCH(설정!$A$45,K807))),설정!$B$45,IF(AND(설정!$A$46&lt;&gt;"",ISNUMBER(SEARCH(설정!$A$46,K807))),설정!$B$46,IF(AND(설정!$A$47&lt;&gt;"",ISNUMBER(SEARCH(설정!$A$47,K807))),설정!$B$47,IF(AND(설정!$A$48&lt;&gt;"",ISNUMBER(SEARCH(설정!$A$48,K807))),설정!$B$48,IF(M807="","설계사","시공사"))))))))),"")</f>
        <v/>
      </c>
      <c r="V807">
        <f>SUBSTITUTE(SUBSTITUTE(SUBSTITUTE(SUBSTITUTE(G807,"(주)",""),"㈜",""),"주식회사","")," ","")</f>
        <v/>
      </c>
      <c r="W807">
        <f>IF(AND(T807,V807&lt;&gt;""),IF(COUNTIFS(V$2:V807,V807,T$2:T807,TRUE)=1,MAX(W$1:W806)+1,""),"")</f>
        <v/>
      </c>
      <c r="X807">
        <f>IFERROR(INDEX('1.산군_붙여넣기'!$A$1:$AZ$1001,ROW(),설정!$C$14)&amp;"","")</f>
        <v/>
      </c>
      <c r="Y807">
        <f>IFERROR(INDEX('1.산군_붙여넣기'!$A$1:$AZ$1001,ROW(),설정!$C$15)&amp;"","")</f>
        <v/>
      </c>
      <c r="Z807">
        <f>IF(T807,V807&amp;"|"&amp;U807,"")</f>
        <v/>
      </c>
    </row>
    <row r="808">
      <c r="A808">
        <f>ROW()</f>
        <v/>
      </c>
      <c r="B808">
        <f>IFERROR(INDEX('1.산군_붙여넣기'!$A$1:$AZ$1001,ROW(),설정!$C$4)&amp;"","")</f>
        <v/>
      </c>
      <c r="C808">
        <f>IFERROR(INDEX('1.산군_붙여넣기'!$A$1:$AZ$1001,ROW(),설정!$C$5)&amp;"","")</f>
        <v/>
      </c>
      <c r="D808" s="5">
        <f>IFERROR(VALUE(SUBSTITUTE(SUBSTITUTE(SUBSTITUTE(IFERROR(INDEX('1.산군_붙여넣기'!$A$1:$AZ$1001,ROW(),설정!$C$6)&amp;"",""),",",""),"㎡",""),"m2","")),"")</f>
        <v/>
      </c>
      <c r="E808">
        <f>IFERROR(INDEX('1.산군_붙여넣기'!$A$1:$AZ$1001,ROW(),설정!$C$7)&amp;"","")</f>
        <v/>
      </c>
      <c r="F808">
        <f>IFERROR(INDEX('1.산군_붙여넣기'!$A$1:$AZ$1001,ROW(),설정!$C$8)&amp;"","")</f>
        <v/>
      </c>
      <c r="G808">
        <f>IFERROR(INDEX('1.산군_붙여넣기'!$A$1:$AZ$1001,ROW(),설정!$C$9)&amp;"","")</f>
        <v/>
      </c>
      <c r="H808">
        <f>IFERROR(INDEX('1.산군_붙여넣기'!$A$1:$AZ$1001,ROW(),설정!$C$10)&amp;"","")</f>
        <v/>
      </c>
      <c r="I808">
        <f>IFERROR(INDEX('1.산군_붙여넣기'!$A$1:$AZ$1001,ROW(),설정!$C$11)&amp;"","")</f>
        <v/>
      </c>
      <c r="J808">
        <f>IFERROR(INDEX('1.산군_붙여넣기'!$A$1:$AZ$1001,ROW(),설정!$C$12)&amp;"","")</f>
        <v/>
      </c>
      <c r="K808">
        <f>IFERROR(INDEX('1.산군_붙여넣기'!$A$1:$AZ$1001,ROW(),설정!$C$13)&amp;"","")</f>
        <v/>
      </c>
      <c r="L808" s="6">
        <f>IF(X808="","",IF(AND(LEN(X808)=8,ISNUMBER(X808*1)),DATE(LEFT(X808,4),MID(X808,5,2),RIGHT(X808,2)),IFERROR(DATEVALUE(SUBSTITUTE(SUBSTITUTE(X808,".","-"),"/","-")),IFERROR(X808*1,""))))</f>
        <v/>
      </c>
      <c r="M808" s="6">
        <f>IF(Y808="","",IF(AND(LEN(Y808)=8,ISNUMBER(Y808*1)),DATE(LEFT(Y808,4),MID(Y808,5,2),RIGHT(Y808,2)),IFERROR(DATEVALUE(SUBSTITUTE(SUBSTITUTE(Y808,".","-"),"/","-")),IFERROR(Y808*1,""))))</f>
        <v/>
      </c>
      <c r="N808">
        <f>IFERROR(LEFT(B808,FIND(" ",B808)-1),B808)</f>
        <v/>
      </c>
      <c r="O808">
        <f>AND(B808&lt;&gt;"",B808&lt;&gt;설정!$B$4,C808&lt;&gt;설정!$B$5)</f>
        <v/>
      </c>
      <c r="P808">
        <f>IF(O808,B808&amp;"|"&amp;C808,"")</f>
        <v/>
      </c>
      <c r="Q808">
        <f>AND(O808,COUNTIF(P809:P$1002,P808)=0)</f>
        <v/>
      </c>
      <c r="R808">
        <f>OR(AND(설정!$A$28&lt;&gt;"",ISNUMBER(SEARCH(설정!$A$28,E808&amp;" "&amp;C808))),AND(설정!$A$29&lt;&gt;"",ISNUMBER(SEARCH(설정!$A$29,E808&amp;" "&amp;C808))),AND(설정!$A$30&lt;&gt;"",ISNUMBER(SEARCH(설정!$A$30,E808&amp;" "&amp;C808))),AND(설정!$A$31&lt;&gt;"",ISNUMBER(SEARCH(설정!$A$31,E808&amp;" "&amp;C808))),AND(설정!$A$32&lt;&gt;"",ISNUMBER(SEARCH(설정!$A$32,E808&amp;" "&amp;C808))),AND(설정!$A$33&lt;&gt;"",ISNUMBER(SEARCH(설정!$A$33,E808&amp;" "&amp;C808))),AND(설정!$A$34&lt;&gt;"",ISNUMBER(SEARCH(설정!$A$34,E808&amp;" "&amp;C808))),AND(설정!$A$35&lt;&gt;"",ISNUMBER(SEARCH(설정!$A$35,E808&amp;" "&amp;C808))),AND(설정!$A$36&lt;&gt;"",ISNUMBER(SEARCH(설정!$A$36,E808&amp;" "&amp;C808))),AND(설정!$A$37&lt;&gt;"",ISNUMBER(SEARCH(설정!$A$37,E808&amp;" "&amp;C808))))</f>
        <v/>
      </c>
      <c r="S808">
        <f>OR(D808="",D808&gt;=설정!$B$19)</f>
        <v/>
      </c>
      <c r="T808">
        <f>AND(Q808,R808,S808)</f>
        <v/>
      </c>
      <c r="U808">
        <f>IF(T808,IF(AND(설정!$A$41&lt;&gt;"",ISNUMBER(SEARCH(설정!$A$41,K808))),설정!$B$41,IF(AND(설정!$A$42&lt;&gt;"",ISNUMBER(SEARCH(설정!$A$42,K808))),설정!$B$42,IF(AND(설정!$A$43&lt;&gt;"",ISNUMBER(SEARCH(설정!$A$43,K808))),설정!$B$43,IF(AND(설정!$A$44&lt;&gt;"",ISNUMBER(SEARCH(설정!$A$44,K808))),설정!$B$44,IF(AND(설정!$A$45&lt;&gt;"",ISNUMBER(SEARCH(설정!$A$45,K808))),설정!$B$45,IF(AND(설정!$A$46&lt;&gt;"",ISNUMBER(SEARCH(설정!$A$46,K808))),설정!$B$46,IF(AND(설정!$A$47&lt;&gt;"",ISNUMBER(SEARCH(설정!$A$47,K808))),설정!$B$47,IF(AND(설정!$A$48&lt;&gt;"",ISNUMBER(SEARCH(설정!$A$48,K808))),설정!$B$48,IF(M808="","설계사","시공사"))))))))),"")</f>
        <v/>
      </c>
      <c r="V808">
        <f>SUBSTITUTE(SUBSTITUTE(SUBSTITUTE(SUBSTITUTE(G808,"(주)",""),"㈜",""),"주식회사","")," ","")</f>
        <v/>
      </c>
      <c r="W808">
        <f>IF(AND(T808,V808&lt;&gt;""),IF(COUNTIFS(V$2:V808,V808,T$2:T808,TRUE)=1,MAX(W$1:W807)+1,""),"")</f>
        <v/>
      </c>
      <c r="X808">
        <f>IFERROR(INDEX('1.산군_붙여넣기'!$A$1:$AZ$1001,ROW(),설정!$C$14)&amp;"","")</f>
        <v/>
      </c>
      <c r="Y808">
        <f>IFERROR(INDEX('1.산군_붙여넣기'!$A$1:$AZ$1001,ROW(),설정!$C$15)&amp;"","")</f>
        <v/>
      </c>
      <c r="Z808">
        <f>IF(T808,V808&amp;"|"&amp;U808,"")</f>
        <v/>
      </c>
    </row>
    <row r="809">
      <c r="A809">
        <f>ROW()</f>
        <v/>
      </c>
      <c r="B809">
        <f>IFERROR(INDEX('1.산군_붙여넣기'!$A$1:$AZ$1001,ROW(),설정!$C$4)&amp;"","")</f>
        <v/>
      </c>
      <c r="C809">
        <f>IFERROR(INDEX('1.산군_붙여넣기'!$A$1:$AZ$1001,ROW(),설정!$C$5)&amp;"","")</f>
        <v/>
      </c>
      <c r="D809" s="5">
        <f>IFERROR(VALUE(SUBSTITUTE(SUBSTITUTE(SUBSTITUTE(IFERROR(INDEX('1.산군_붙여넣기'!$A$1:$AZ$1001,ROW(),설정!$C$6)&amp;"",""),",",""),"㎡",""),"m2","")),"")</f>
        <v/>
      </c>
      <c r="E809">
        <f>IFERROR(INDEX('1.산군_붙여넣기'!$A$1:$AZ$1001,ROW(),설정!$C$7)&amp;"","")</f>
        <v/>
      </c>
      <c r="F809">
        <f>IFERROR(INDEX('1.산군_붙여넣기'!$A$1:$AZ$1001,ROW(),설정!$C$8)&amp;"","")</f>
        <v/>
      </c>
      <c r="G809">
        <f>IFERROR(INDEX('1.산군_붙여넣기'!$A$1:$AZ$1001,ROW(),설정!$C$9)&amp;"","")</f>
        <v/>
      </c>
      <c r="H809">
        <f>IFERROR(INDEX('1.산군_붙여넣기'!$A$1:$AZ$1001,ROW(),설정!$C$10)&amp;"","")</f>
        <v/>
      </c>
      <c r="I809">
        <f>IFERROR(INDEX('1.산군_붙여넣기'!$A$1:$AZ$1001,ROW(),설정!$C$11)&amp;"","")</f>
        <v/>
      </c>
      <c r="J809">
        <f>IFERROR(INDEX('1.산군_붙여넣기'!$A$1:$AZ$1001,ROW(),설정!$C$12)&amp;"","")</f>
        <v/>
      </c>
      <c r="K809">
        <f>IFERROR(INDEX('1.산군_붙여넣기'!$A$1:$AZ$1001,ROW(),설정!$C$13)&amp;"","")</f>
        <v/>
      </c>
      <c r="L809" s="6">
        <f>IF(X809="","",IF(AND(LEN(X809)=8,ISNUMBER(X809*1)),DATE(LEFT(X809,4),MID(X809,5,2),RIGHT(X809,2)),IFERROR(DATEVALUE(SUBSTITUTE(SUBSTITUTE(X809,".","-"),"/","-")),IFERROR(X809*1,""))))</f>
        <v/>
      </c>
      <c r="M809" s="6">
        <f>IF(Y809="","",IF(AND(LEN(Y809)=8,ISNUMBER(Y809*1)),DATE(LEFT(Y809,4),MID(Y809,5,2),RIGHT(Y809,2)),IFERROR(DATEVALUE(SUBSTITUTE(SUBSTITUTE(Y809,".","-"),"/","-")),IFERROR(Y809*1,""))))</f>
        <v/>
      </c>
      <c r="N809">
        <f>IFERROR(LEFT(B809,FIND(" ",B809)-1),B809)</f>
        <v/>
      </c>
      <c r="O809">
        <f>AND(B809&lt;&gt;"",B809&lt;&gt;설정!$B$4,C809&lt;&gt;설정!$B$5)</f>
        <v/>
      </c>
      <c r="P809">
        <f>IF(O809,B809&amp;"|"&amp;C809,"")</f>
        <v/>
      </c>
      <c r="Q809">
        <f>AND(O809,COUNTIF(P810:P$1002,P809)=0)</f>
        <v/>
      </c>
      <c r="R809">
        <f>OR(AND(설정!$A$28&lt;&gt;"",ISNUMBER(SEARCH(설정!$A$28,E809&amp;" "&amp;C809))),AND(설정!$A$29&lt;&gt;"",ISNUMBER(SEARCH(설정!$A$29,E809&amp;" "&amp;C809))),AND(설정!$A$30&lt;&gt;"",ISNUMBER(SEARCH(설정!$A$30,E809&amp;" "&amp;C809))),AND(설정!$A$31&lt;&gt;"",ISNUMBER(SEARCH(설정!$A$31,E809&amp;" "&amp;C809))),AND(설정!$A$32&lt;&gt;"",ISNUMBER(SEARCH(설정!$A$32,E809&amp;" "&amp;C809))),AND(설정!$A$33&lt;&gt;"",ISNUMBER(SEARCH(설정!$A$33,E809&amp;" "&amp;C809))),AND(설정!$A$34&lt;&gt;"",ISNUMBER(SEARCH(설정!$A$34,E809&amp;" "&amp;C809))),AND(설정!$A$35&lt;&gt;"",ISNUMBER(SEARCH(설정!$A$35,E809&amp;" "&amp;C809))),AND(설정!$A$36&lt;&gt;"",ISNUMBER(SEARCH(설정!$A$36,E809&amp;" "&amp;C809))),AND(설정!$A$37&lt;&gt;"",ISNUMBER(SEARCH(설정!$A$37,E809&amp;" "&amp;C809))))</f>
        <v/>
      </c>
      <c r="S809">
        <f>OR(D809="",D809&gt;=설정!$B$19)</f>
        <v/>
      </c>
      <c r="T809">
        <f>AND(Q809,R809,S809)</f>
        <v/>
      </c>
      <c r="U809">
        <f>IF(T809,IF(AND(설정!$A$41&lt;&gt;"",ISNUMBER(SEARCH(설정!$A$41,K809))),설정!$B$41,IF(AND(설정!$A$42&lt;&gt;"",ISNUMBER(SEARCH(설정!$A$42,K809))),설정!$B$42,IF(AND(설정!$A$43&lt;&gt;"",ISNUMBER(SEARCH(설정!$A$43,K809))),설정!$B$43,IF(AND(설정!$A$44&lt;&gt;"",ISNUMBER(SEARCH(설정!$A$44,K809))),설정!$B$44,IF(AND(설정!$A$45&lt;&gt;"",ISNUMBER(SEARCH(설정!$A$45,K809))),설정!$B$45,IF(AND(설정!$A$46&lt;&gt;"",ISNUMBER(SEARCH(설정!$A$46,K809))),설정!$B$46,IF(AND(설정!$A$47&lt;&gt;"",ISNUMBER(SEARCH(설정!$A$47,K809))),설정!$B$47,IF(AND(설정!$A$48&lt;&gt;"",ISNUMBER(SEARCH(설정!$A$48,K809))),설정!$B$48,IF(M809="","설계사","시공사"))))))))),"")</f>
        <v/>
      </c>
      <c r="V809">
        <f>SUBSTITUTE(SUBSTITUTE(SUBSTITUTE(SUBSTITUTE(G809,"(주)",""),"㈜",""),"주식회사","")," ","")</f>
        <v/>
      </c>
      <c r="W809">
        <f>IF(AND(T809,V809&lt;&gt;""),IF(COUNTIFS(V$2:V809,V809,T$2:T809,TRUE)=1,MAX(W$1:W808)+1,""),"")</f>
        <v/>
      </c>
      <c r="X809">
        <f>IFERROR(INDEX('1.산군_붙여넣기'!$A$1:$AZ$1001,ROW(),설정!$C$14)&amp;"","")</f>
        <v/>
      </c>
      <c r="Y809">
        <f>IFERROR(INDEX('1.산군_붙여넣기'!$A$1:$AZ$1001,ROW(),설정!$C$15)&amp;"","")</f>
        <v/>
      </c>
      <c r="Z809">
        <f>IF(T809,V809&amp;"|"&amp;U809,"")</f>
        <v/>
      </c>
    </row>
    <row r="810">
      <c r="A810">
        <f>ROW()</f>
        <v/>
      </c>
      <c r="B810">
        <f>IFERROR(INDEX('1.산군_붙여넣기'!$A$1:$AZ$1001,ROW(),설정!$C$4)&amp;"","")</f>
        <v/>
      </c>
      <c r="C810">
        <f>IFERROR(INDEX('1.산군_붙여넣기'!$A$1:$AZ$1001,ROW(),설정!$C$5)&amp;"","")</f>
        <v/>
      </c>
      <c r="D810" s="5">
        <f>IFERROR(VALUE(SUBSTITUTE(SUBSTITUTE(SUBSTITUTE(IFERROR(INDEX('1.산군_붙여넣기'!$A$1:$AZ$1001,ROW(),설정!$C$6)&amp;"",""),",",""),"㎡",""),"m2","")),"")</f>
        <v/>
      </c>
      <c r="E810">
        <f>IFERROR(INDEX('1.산군_붙여넣기'!$A$1:$AZ$1001,ROW(),설정!$C$7)&amp;"","")</f>
        <v/>
      </c>
      <c r="F810">
        <f>IFERROR(INDEX('1.산군_붙여넣기'!$A$1:$AZ$1001,ROW(),설정!$C$8)&amp;"","")</f>
        <v/>
      </c>
      <c r="G810">
        <f>IFERROR(INDEX('1.산군_붙여넣기'!$A$1:$AZ$1001,ROW(),설정!$C$9)&amp;"","")</f>
        <v/>
      </c>
      <c r="H810">
        <f>IFERROR(INDEX('1.산군_붙여넣기'!$A$1:$AZ$1001,ROW(),설정!$C$10)&amp;"","")</f>
        <v/>
      </c>
      <c r="I810">
        <f>IFERROR(INDEX('1.산군_붙여넣기'!$A$1:$AZ$1001,ROW(),설정!$C$11)&amp;"","")</f>
        <v/>
      </c>
      <c r="J810">
        <f>IFERROR(INDEX('1.산군_붙여넣기'!$A$1:$AZ$1001,ROW(),설정!$C$12)&amp;"","")</f>
        <v/>
      </c>
      <c r="K810">
        <f>IFERROR(INDEX('1.산군_붙여넣기'!$A$1:$AZ$1001,ROW(),설정!$C$13)&amp;"","")</f>
        <v/>
      </c>
      <c r="L810" s="6">
        <f>IF(X810="","",IF(AND(LEN(X810)=8,ISNUMBER(X810*1)),DATE(LEFT(X810,4),MID(X810,5,2),RIGHT(X810,2)),IFERROR(DATEVALUE(SUBSTITUTE(SUBSTITUTE(X810,".","-"),"/","-")),IFERROR(X810*1,""))))</f>
        <v/>
      </c>
      <c r="M810" s="6">
        <f>IF(Y810="","",IF(AND(LEN(Y810)=8,ISNUMBER(Y810*1)),DATE(LEFT(Y810,4),MID(Y810,5,2),RIGHT(Y810,2)),IFERROR(DATEVALUE(SUBSTITUTE(SUBSTITUTE(Y810,".","-"),"/","-")),IFERROR(Y810*1,""))))</f>
        <v/>
      </c>
      <c r="N810">
        <f>IFERROR(LEFT(B810,FIND(" ",B810)-1),B810)</f>
        <v/>
      </c>
      <c r="O810">
        <f>AND(B810&lt;&gt;"",B810&lt;&gt;설정!$B$4,C810&lt;&gt;설정!$B$5)</f>
        <v/>
      </c>
      <c r="P810">
        <f>IF(O810,B810&amp;"|"&amp;C810,"")</f>
        <v/>
      </c>
      <c r="Q810">
        <f>AND(O810,COUNTIF(P811:P$1002,P810)=0)</f>
        <v/>
      </c>
      <c r="R810">
        <f>OR(AND(설정!$A$28&lt;&gt;"",ISNUMBER(SEARCH(설정!$A$28,E810&amp;" "&amp;C810))),AND(설정!$A$29&lt;&gt;"",ISNUMBER(SEARCH(설정!$A$29,E810&amp;" "&amp;C810))),AND(설정!$A$30&lt;&gt;"",ISNUMBER(SEARCH(설정!$A$30,E810&amp;" "&amp;C810))),AND(설정!$A$31&lt;&gt;"",ISNUMBER(SEARCH(설정!$A$31,E810&amp;" "&amp;C810))),AND(설정!$A$32&lt;&gt;"",ISNUMBER(SEARCH(설정!$A$32,E810&amp;" "&amp;C810))),AND(설정!$A$33&lt;&gt;"",ISNUMBER(SEARCH(설정!$A$33,E810&amp;" "&amp;C810))),AND(설정!$A$34&lt;&gt;"",ISNUMBER(SEARCH(설정!$A$34,E810&amp;" "&amp;C810))),AND(설정!$A$35&lt;&gt;"",ISNUMBER(SEARCH(설정!$A$35,E810&amp;" "&amp;C810))),AND(설정!$A$36&lt;&gt;"",ISNUMBER(SEARCH(설정!$A$36,E810&amp;" "&amp;C810))),AND(설정!$A$37&lt;&gt;"",ISNUMBER(SEARCH(설정!$A$37,E810&amp;" "&amp;C810))))</f>
        <v/>
      </c>
      <c r="S810">
        <f>OR(D810="",D810&gt;=설정!$B$19)</f>
        <v/>
      </c>
      <c r="T810">
        <f>AND(Q810,R810,S810)</f>
        <v/>
      </c>
      <c r="U810">
        <f>IF(T810,IF(AND(설정!$A$41&lt;&gt;"",ISNUMBER(SEARCH(설정!$A$41,K810))),설정!$B$41,IF(AND(설정!$A$42&lt;&gt;"",ISNUMBER(SEARCH(설정!$A$42,K810))),설정!$B$42,IF(AND(설정!$A$43&lt;&gt;"",ISNUMBER(SEARCH(설정!$A$43,K810))),설정!$B$43,IF(AND(설정!$A$44&lt;&gt;"",ISNUMBER(SEARCH(설정!$A$44,K810))),설정!$B$44,IF(AND(설정!$A$45&lt;&gt;"",ISNUMBER(SEARCH(설정!$A$45,K810))),설정!$B$45,IF(AND(설정!$A$46&lt;&gt;"",ISNUMBER(SEARCH(설정!$A$46,K810))),설정!$B$46,IF(AND(설정!$A$47&lt;&gt;"",ISNUMBER(SEARCH(설정!$A$47,K810))),설정!$B$47,IF(AND(설정!$A$48&lt;&gt;"",ISNUMBER(SEARCH(설정!$A$48,K810))),설정!$B$48,IF(M810="","설계사","시공사"))))))))),"")</f>
        <v/>
      </c>
      <c r="V810">
        <f>SUBSTITUTE(SUBSTITUTE(SUBSTITUTE(SUBSTITUTE(G810,"(주)",""),"㈜",""),"주식회사","")," ","")</f>
        <v/>
      </c>
      <c r="W810">
        <f>IF(AND(T810,V810&lt;&gt;""),IF(COUNTIFS(V$2:V810,V810,T$2:T810,TRUE)=1,MAX(W$1:W809)+1,""),"")</f>
        <v/>
      </c>
      <c r="X810">
        <f>IFERROR(INDEX('1.산군_붙여넣기'!$A$1:$AZ$1001,ROW(),설정!$C$14)&amp;"","")</f>
        <v/>
      </c>
      <c r="Y810">
        <f>IFERROR(INDEX('1.산군_붙여넣기'!$A$1:$AZ$1001,ROW(),설정!$C$15)&amp;"","")</f>
        <v/>
      </c>
      <c r="Z810">
        <f>IF(T810,V810&amp;"|"&amp;U810,"")</f>
        <v/>
      </c>
    </row>
    <row r="811">
      <c r="A811">
        <f>ROW()</f>
        <v/>
      </c>
      <c r="B811">
        <f>IFERROR(INDEX('1.산군_붙여넣기'!$A$1:$AZ$1001,ROW(),설정!$C$4)&amp;"","")</f>
        <v/>
      </c>
      <c r="C811">
        <f>IFERROR(INDEX('1.산군_붙여넣기'!$A$1:$AZ$1001,ROW(),설정!$C$5)&amp;"","")</f>
        <v/>
      </c>
      <c r="D811" s="5">
        <f>IFERROR(VALUE(SUBSTITUTE(SUBSTITUTE(SUBSTITUTE(IFERROR(INDEX('1.산군_붙여넣기'!$A$1:$AZ$1001,ROW(),설정!$C$6)&amp;"",""),",",""),"㎡",""),"m2","")),"")</f>
        <v/>
      </c>
      <c r="E811">
        <f>IFERROR(INDEX('1.산군_붙여넣기'!$A$1:$AZ$1001,ROW(),설정!$C$7)&amp;"","")</f>
        <v/>
      </c>
      <c r="F811">
        <f>IFERROR(INDEX('1.산군_붙여넣기'!$A$1:$AZ$1001,ROW(),설정!$C$8)&amp;"","")</f>
        <v/>
      </c>
      <c r="G811">
        <f>IFERROR(INDEX('1.산군_붙여넣기'!$A$1:$AZ$1001,ROW(),설정!$C$9)&amp;"","")</f>
        <v/>
      </c>
      <c r="H811">
        <f>IFERROR(INDEX('1.산군_붙여넣기'!$A$1:$AZ$1001,ROW(),설정!$C$10)&amp;"","")</f>
        <v/>
      </c>
      <c r="I811">
        <f>IFERROR(INDEX('1.산군_붙여넣기'!$A$1:$AZ$1001,ROW(),설정!$C$11)&amp;"","")</f>
        <v/>
      </c>
      <c r="J811">
        <f>IFERROR(INDEX('1.산군_붙여넣기'!$A$1:$AZ$1001,ROW(),설정!$C$12)&amp;"","")</f>
        <v/>
      </c>
      <c r="K811">
        <f>IFERROR(INDEX('1.산군_붙여넣기'!$A$1:$AZ$1001,ROW(),설정!$C$13)&amp;"","")</f>
        <v/>
      </c>
      <c r="L811" s="6">
        <f>IF(X811="","",IF(AND(LEN(X811)=8,ISNUMBER(X811*1)),DATE(LEFT(X811,4),MID(X811,5,2),RIGHT(X811,2)),IFERROR(DATEVALUE(SUBSTITUTE(SUBSTITUTE(X811,".","-"),"/","-")),IFERROR(X811*1,""))))</f>
        <v/>
      </c>
      <c r="M811" s="6">
        <f>IF(Y811="","",IF(AND(LEN(Y811)=8,ISNUMBER(Y811*1)),DATE(LEFT(Y811,4),MID(Y811,5,2),RIGHT(Y811,2)),IFERROR(DATEVALUE(SUBSTITUTE(SUBSTITUTE(Y811,".","-"),"/","-")),IFERROR(Y811*1,""))))</f>
        <v/>
      </c>
      <c r="N811">
        <f>IFERROR(LEFT(B811,FIND(" ",B811)-1),B811)</f>
        <v/>
      </c>
      <c r="O811">
        <f>AND(B811&lt;&gt;"",B811&lt;&gt;설정!$B$4,C811&lt;&gt;설정!$B$5)</f>
        <v/>
      </c>
      <c r="P811">
        <f>IF(O811,B811&amp;"|"&amp;C811,"")</f>
        <v/>
      </c>
      <c r="Q811">
        <f>AND(O811,COUNTIF(P812:P$1002,P811)=0)</f>
        <v/>
      </c>
      <c r="R811">
        <f>OR(AND(설정!$A$28&lt;&gt;"",ISNUMBER(SEARCH(설정!$A$28,E811&amp;" "&amp;C811))),AND(설정!$A$29&lt;&gt;"",ISNUMBER(SEARCH(설정!$A$29,E811&amp;" "&amp;C811))),AND(설정!$A$30&lt;&gt;"",ISNUMBER(SEARCH(설정!$A$30,E811&amp;" "&amp;C811))),AND(설정!$A$31&lt;&gt;"",ISNUMBER(SEARCH(설정!$A$31,E811&amp;" "&amp;C811))),AND(설정!$A$32&lt;&gt;"",ISNUMBER(SEARCH(설정!$A$32,E811&amp;" "&amp;C811))),AND(설정!$A$33&lt;&gt;"",ISNUMBER(SEARCH(설정!$A$33,E811&amp;" "&amp;C811))),AND(설정!$A$34&lt;&gt;"",ISNUMBER(SEARCH(설정!$A$34,E811&amp;" "&amp;C811))),AND(설정!$A$35&lt;&gt;"",ISNUMBER(SEARCH(설정!$A$35,E811&amp;" "&amp;C811))),AND(설정!$A$36&lt;&gt;"",ISNUMBER(SEARCH(설정!$A$36,E811&amp;" "&amp;C811))),AND(설정!$A$37&lt;&gt;"",ISNUMBER(SEARCH(설정!$A$37,E811&amp;" "&amp;C811))))</f>
        <v/>
      </c>
      <c r="S811">
        <f>OR(D811="",D811&gt;=설정!$B$19)</f>
        <v/>
      </c>
      <c r="T811">
        <f>AND(Q811,R811,S811)</f>
        <v/>
      </c>
      <c r="U811">
        <f>IF(T811,IF(AND(설정!$A$41&lt;&gt;"",ISNUMBER(SEARCH(설정!$A$41,K811))),설정!$B$41,IF(AND(설정!$A$42&lt;&gt;"",ISNUMBER(SEARCH(설정!$A$42,K811))),설정!$B$42,IF(AND(설정!$A$43&lt;&gt;"",ISNUMBER(SEARCH(설정!$A$43,K811))),설정!$B$43,IF(AND(설정!$A$44&lt;&gt;"",ISNUMBER(SEARCH(설정!$A$44,K811))),설정!$B$44,IF(AND(설정!$A$45&lt;&gt;"",ISNUMBER(SEARCH(설정!$A$45,K811))),설정!$B$45,IF(AND(설정!$A$46&lt;&gt;"",ISNUMBER(SEARCH(설정!$A$46,K811))),설정!$B$46,IF(AND(설정!$A$47&lt;&gt;"",ISNUMBER(SEARCH(설정!$A$47,K811))),설정!$B$47,IF(AND(설정!$A$48&lt;&gt;"",ISNUMBER(SEARCH(설정!$A$48,K811))),설정!$B$48,IF(M811="","설계사","시공사"))))))))),"")</f>
        <v/>
      </c>
      <c r="V811">
        <f>SUBSTITUTE(SUBSTITUTE(SUBSTITUTE(SUBSTITUTE(G811,"(주)",""),"㈜",""),"주식회사","")," ","")</f>
        <v/>
      </c>
      <c r="W811">
        <f>IF(AND(T811,V811&lt;&gt;""),IF(COUNTIFS(V$2:V811,V811,T$2:T811,TRUE)=1,MAX(W$1:W810)+1,""),"")</f>
        <v/>
      </c>
      <c r="X811">
        <f>IFERROR(INDEX('1.산군_붙여넣기'!$A$1:$AZ$1001,ROW(),설정!$C$14)&amp;"","")</f>
        <v/>
      </c>
      <c r="Y811">
        <f>IFERROR(INDEX('1.산군_붙여넣기'!$A$1:$AZ$1001,ROW(),설정!$C$15)&amp;"","")</f>
        <v/>
      </c>
      <c r="Z811">
        <f>IF(T811,V811&amp;"|"&amp;U811,"")</f>
        <v/>
      </c>
    </row>
    <row r="812">
      <c r="A812">
        <f>ROW()</f>
        <v/>
      </c>
      <c r="B812">
        <f>IFERROR(INDEX('1.산군_붙여넣기'!$A$1:$AZ$1001,ROW(),설정!$C$4)&amp;"","")</f>
        <v/>
      </c>
      <c r="C812">
        <f>IFERROR(INDEX('1.산군_붙여넣기'!$A$1:$AZ$1001,ROW(),설정!$C$5)&amp;"","")</f>
        <v/>
      </c>
      <c r="D812" s="5">
        <f>IFERROR(VALUE(SUBSTITUTE(SUBSTITUTE(SUBSTITUTE(IFERROR(INDEX('1.산군_붙여넣기'!$A$1:$AZ$1001,ROW(),설정!$C$6)&amp;"",""),",",""),"㎡",""),"m2","")),"")</f>
        <v/>
      </c>
      <c r="E812">
        <f>IFERROR(INDEX('1.산군_붙여넣기'!$A$1:$AZ$1001,ROW(),설정!$C$7)&amp;"","")</f>
        <v/>
      </c>
      <c r="F812">
        <f>IFERROR(INDEX('1.산군_붙여넣기'!$A$1:$AZ$1001,ROW(),설정!$C$8)&amp;"","")</f>
        <v/>
      </c>
      <c r="G812">
        <f>IFERROR(INDEX('1.산군_붙여넣기'!$A$1:$AZ$1001,ROW(),설정!$C$9)&amp;"","")</f>
        <v/>
      </c>
      <c r="H812">
        <f>IFERROR(INDEX('1.산군_붙여넣기'!$A$1:$AZ$1001,ROW(),설정!$C$10)&amp;"","")</f>
        <v/>
      </c>
      <c r="I812">
        <f>IFERROR(INDEX('1.산군_붙여넣기'!$A$1:$AZ$1001,ROW(),설정!$C$11)&amp;"","")</f>
        <v/>
      </c>
      <c r="J812">
        <f>IFERROR(INDEX('1.산군_붙여넣기'!$A$1:$AZ$1001,ROW(),설정!$C$12)&amp;"","")</f>
        <v/>
      </c>
      <c r="K812">
        <f>IFERROR(INDEX('1.산군_붙여넣기'!$A$1:$AZ$1001,ROW(),설정!$C$13)&amp;"","")</f>
        <v/>
      </c>
      <c r="L812" s="6">
        <f>IF(X812="","",IF(AND(LEN(X812)=8,ISNUMBER(X812*1)),DATE(LEFT(X812,4),MID(X812,5,2),RIGHT(X812,2)),IFERROR(DATEVALUE(SUBSTITUTE(SUBSTITUTE(X812,".","-"),"/","-")),IFERROR(X812*1,""))))</f>
        <v/>
      </c>
      <c r="M812" s="6">
        <f>IF(Y812="","",IF(AND(LEN(Y812)=8,ISNUMBER(Y812*1)),DATE(LEFT(Y812,4),MID(Y812,5,2),RIGHT(Y812,2)),IFERROR(DATEVALUE(SUBSTITUTE(SUBSTITUTE(Y812,".","-"),"/","-")),IFERROR(Y812*1,""))))</f>
        <v/>
      </c>
      <c r="N812">
        <f>IFERROR(LEFT(B812,FIND(" ",B812)-1),B812)</f>
        <v/>
      </c>
      <c r="O812">
        <f>AND(B812&lt;&gt;"",B812&lt;&gt;설정!$B$4,C812&lt;&gt;설정!$B$5)</f>
        <v/>
      </c>
      <c r="P812">
        <f>IF(O812,B812&amp;"|"&amp;C812,"")</f>
        <v/>
      </c>
      <c r="Q812">
        <f>AND(O812,COUNTIF(P813:P$1002,P812)=0)</f>
        <v/>
      </c>
      <c r="R812">
        <f>OR(AND(설정!$A$28&lt;&gt;"",ISNUMBER(SEARCH(설정!$A$28,E812&amp;" "&amp;C812))),AND(설정!$A$29&lt;&gt;"",ISNUMBER(SEARCH(설정!$A$29,E812&amp;" "&amp;C812))),AND(설정!$A$30&lt;&gt;"",ISNUMBER(SEARCH(설정!$A$30,E812&amp;" "&amp;C812))),AND(설정!$A$31&lt;&gt;"",ISNUMBER(SEARCH(설정!$A$31,E812&amp;" "&amp;C812))),AND(설정!$A$32&lt;&gt;"",ISNUMBER(SEARCH(설정!$A$32,E812&amp;" "&amp;C812))),AND(설정!$A$33&lt;&gt;"",ISNUMBER(SEARCH(설정!$A$33,E812&amp;" "&amp;C812))),AND(설정!$A$34&lt;&gt;"",ISNUMBER(SEARCH(설정!$A$34,E812&amp;" "&amp;C812))),AND(설정!$A$35&lt;&gt;"",ISNUMBER(SEARCH(설정!$A$35,E812&amp;" "&amp;C812))),AND(설정!$A$36&lt;&gt;"",ISNUMBER(SEARCH(설정!$A$36,E812&amp;" "&amp;C812))),AND(설정!$A$37&lt;&gt;"",ISNUMBER(SEARCH(설정!$A$37,E812&amp;" "&amp;C812))))</f>
        <v/>
      </c>
      <c r="S812">
        <f>OR(D812="",D812&gt;=설정!$B$19)</f>
        <v/>
      </c>
      <c r="T812">
        <f>AND(Q812,R812,S812)</f>
        <v/>
      </c>
      <c r="U812">
        <f>IF(T812,IF(AND(설정!$A$41&lt;&gt;"",ISNUMBER(SEARCH(설정!$A$41,K812))),설정!$B$41,IF(AND(설정!$A$42&lt;&gt;"",ISNUMBER(SEARCH(설정!$A$42,K812))),설정!$B$42,IF(AND(설정!$A$43&lt;&gt;"",ISNUMBER(SEARCH(설정!$A$43,K812))),설정!$B$43,IF(AND(설정!$A$44&lt;&gt;"",ISNUMBER(SEARCH(설정!$A$44,K812))),설정!$B$44,IF(AND(설정!$A$45&lt;&gt;"",ISNUMBER(SEARCH(설정!$A$45,K812))),설정!$B$45,IF(AND(설정!$A$46&lt;&gt;"",ISNUMBER(SEARCH(설정!$A$46,K812))),설정!$B$46,IF(AND(설정!$A$47&lt;&gt;"",ISNUMBER(SEARCH(설정!$A$47,K812))),설정!$B$47,IF(AND(설정!$A$48&lt;&gt;"",ISNUMBER(SEARCH(설정!$A$48,K812))),설정!$B$48,IF(M812="","설계사","시공사"))))))))),"")</f>
        <v/>
      </c>
      <c r="V812">
        <f>SUBSTITUTE(SUBSTITUTE(SUBSTITUTE(SUBSTITUTE(G812,"(주)",""),"㈜",""),"주식회사","")," ","")</f>
        <v/>
      </c>
      <c r="W812">
        <f>IF(AND(T812,V812&lt;&gt;""),IF(COUNTIFS(V$2:V812,V812,T$2:T812,TRUE)=1,MAX(W$1:W811)+1,""),"")</f>
        <v/>
      </c>
      <c r="X812">
        <f>IFERROR(INDEX('1.산군_붙여넣기'!$A$1:$AZ$1001,ROW(),설정!$C$14)&amp;"","")</f>
        <v/>
      </c>
      <c r="Y812">
        <f>IFERROR(INDEX('1.산군_붙여넣기'!$A$1:$AZ$1001,ROW(),설정!$C$15)&amp;"","")</f>
        <v/>
      </c>
      <c r="Z812">
        <f>IF(T812,V812&amp;"|"&amp;U812,"")</f>
        <v/>
      </c>
    </row>
    <row r="813">
      <c r="A813">
        <f>ROW()</f>
        <v/>
      </c>
      <c r="B813">
        <f>IFERROR(INDEX('1.산군_붙여넣기'!$A$1:$AZ$1001,ROW(),설정!$C$4)&amp;"","")</f>
        <v/>
      </c>
      <c r="C813">
        <f>IFERROR(INDEX('1.산군_붙여넣기'!$A$1:$AZ$1001,ROW(),설정!$C$5)&amp;"","")</f>
        <v/>
      </c>
      <c r="D813" s="5">
        <f>IFERROR(VALUE(SUBSTITUTE(SUBSTITUTE(SUBSTITUTE(IFERROR(INDEX('1.산군_붙여넣기'!$A$1:$AZ$1001,ROW(),설정!$C$6)&amp;"",""),",",""),"㎡",""),"m2","")),"")</f>
        <v/>
      </c>
      <c r="E813">
        <f>IFERROR(INDEX('1.산군_붙여넣기'!$A$1:$AZ$1001,ROW(),설정!$C$7)&amp;"","")</f>
        <v/>
      </c>
      <c r="F813">
        <f>IFERROR(INDEX('1.산군_붙여넣기'!$A$1:$AZ$1001,ROW(),설정!$C$8)&amp;"","")</f>
        <v/>
      </c>
      <c r="G813">
        <f>IFERROR(INDEX('1.산군_붙여넣기'!$A$1:$AZ$1001,ROW(),설정!$C$9)&amp;"","")</f>
        <v/>
      </c>
      <c r="H813">
        <f>IFERROR(INDEX('1.산군_붙여넣기'!$A$1:$AZ$1001,ROW(),설정!$C$10)&amp;"","")</f>
        <v/>
      </c>
      <c r="I813">
        <f>IFERROR(INDEX('1.산군_붙여넣기'!$A$1:$AZ$1001,ROW(),설정!$C$11)&amp;"","")</f>
        <v/>
      </c>
      <c r="J813">
        <f>IFERROR(INDEX('1.산군_붙여넣기'!$A$1:$AZ$1001,ROW(),설정!$C$12)&amp;"","")</f>
        <v/>
      </c>
      <c r="K813">
        <f>IFERROR(INDEX('1.산군_붙여넣기'!$A$1:$AZ$1001,ROW(),설정!$C$13)&amp;"","")</f>
        <v/>
      </c>
      <c r="L813" s="6">
        <f>IF(X813="","",IF(AND(LEN(X813)=8,ISNUMBER(X813*1)),DATE(LEFT(X813,4),MID(X813,5,2),RIGHT(X813,2)),IFERROR(DATEVALUE(SUBSTITUTE(SUBSTITUTE(X813,".","-"),"/","-")),IFERROR(X813*1,""))))</f>
        <v/>
      </c>
      <c r="M813" s="6">
        <f>IF(Y813="","",IF(AND(LEN(Y813)=8,ISNUMBER(Y813*1)),DATE(LEFT(Y813,4),MID(Y813,5,2),RIGHT(Y813,2)),IFERROR(DATEVALUE(SUBSTITUTE(SUBSTITUTE(Y813,".","-"),"/","-")),IFERROR(Y813*1,""))))</f>
        <v/>
      </c>
      <c r="N813">
        <f>IFERROR(LEFT(B813,FIND(" ",B813)-1),B813)</f>
        <v/>
      </c>
      <c r="O813">
        <f>AND(B813&lt;&gt;"",B813&lt;&gt;설정!$B$4,C813&lt;&gt;설정!$B$5)</f>
        <v/>
      </c>
      <c r="P813">
        <f>IF(O813,B813&amp;"|"&amp;C813,"")</f>
        <v/>
      </c>
      <c r="Q813">
        <f>AND(O813,COUNTIF(P814:P$1002,P813)=0)</f>
        <v/>
      </c>
      <c r="R813">
        <f>OR(AND(설정!$A$28&lt;&gt;"",ISNUMBER(SEARCH(설정!$A$28,E813&amp;" "&amp;C813))),AND(설정!$A$29&lt;&gt;"",ISNUMBER(SEARCH(설정!$A$29,E813&amp;" "&amp;C813))),AND(설정!$A$30&lt;&gt;"",ISNUMBER(SEARCH(설정!$A$30,E813&amp;" "&amp;C813))),AND(설정!$A$31&lt;&gt;"",ISNUMBER(SEARCH(설정!$A$31,E813&amp;" "&amp;C813))),AND(설정!$A$32&lt;&gt;"",ISNUMBER(SEARCH(설정!$A$32,E813&amp;" "&amp;C813))),AND(설정!$A$33&lt;&gt;"",ISNUMBER(SEARCH(설정!$A$33,E813&amp;" "&amp;C813))),AND(설정!$A$34&lt;&gt;"",ISNUMBER(SEARCH(설정!$A$34,E813&amp;" "&amp;C813))),AND(설정!$A$35&lt;&gt;"",ISNUMBER(SEARCH(설정!$A$35,E813&amp;" "&amp;C813))),AND(설정!$A$36&lt;&gt;"",ISNUMBER(SEARCH(설정!$A$36,E813&amp;" "&amp;C813))),AND(설정!$A$37&lt;&gt;"",ISNUMBER(SEARCH(설정!$A$37,E813&amp;" "&amp;C813))))</f>
        <v/>
      </c>
      <c r="S813">
        <f>OR(D813="",D813&gt;=설정!$B$19)</f>
        <v/>
      </c>
      <c r="T813">
        <f>AND(Q813,R813,S813)</f>
        <v/>
      </c>
      <c r="U813">
        <f>IF(T813,IF(AND(설정!$A$41&lt;&gt;"",ISNUMBER(SEARCH(설정!$A$41,K813))),설정!$B$41,IF(AND(설정!$A$42&lt;&gt;"",ISNUMBER(SEARCH(설정!$A$42,K813))),설정!$B$42,IF(AND(설정!$A$43&lt;&gt;"",ISNUMBER(SEARCH(설정!$A$43,K813))),설정!$B$43,IF(AND(설정!$A$44&lt;&gt;"",ISNUMBER(SEARCH(설정!$A$44,K813))),설정!$B$44,IF(AND(설정!$A$45&lt;&gt;"",ISNUMBER(SEARCH(설정!$A$45,K813))),설정!$B$45,IF(AND(설정!$A$46&lt;&gt;"",ISNUMBER(SEARCH(설정!$A$46,K813))),설정!$B$46,IF(AND(설정!$A$47&lt;&gt;"",ISNUMBER(SEARCH(설정!$A$47,K813))),설정!$B$47,IF(AND(설정!$A$48&lt;&gt;"",ISNUMBER(SEARCH(설정!$A$48,K813))),설정!$B$48,IF(M813="","설계사","시공사"))))))))),"")</f>
        <v/>
      </c>
      <c r="V813">
        <f>SUBSTITUTE(SUBSTITUTE(SUBSTITUTE(SUBSTITUTE(G813,"(주)",""),"㈜",""),"주식회사","")," ","")</f>
        <v/>
      </c>
      <c r="W813">
        <f>IF(AND(T813,V813&lt;&gt;""),IF(COUNTIFS(V$2:V813,V813,T$2:T813,TRUE)=1,MAX(W$1:W812)+1,""),"")</f>
        <v/>
      </c>
      <c r="X813">
        <f>IFERROR(INDEX('1.산군_붙여넣기'!$A$1:$AZ$1001,ROW(),설정!$C$14)&amp;"","")</f>
        <v/>
      </c>
      <c r="Y813">
        <f>IFERROR(INDEX('1.산군_붙여넣기'!$A$1:$AZ$1001,ROW(),설정!$C$15)&amp;"","")</f>
        <v/>
      </c>
      <c r="Z813">
        <f>IF(T813,V813&amp;"|"&amp;U813,"")</f>
        <v/>
      </c>
    </row>
    <row r="814">
      <c r="A814">
        <f>ROW()</f>
        <v/>
      </c>
      <c r="B814">
        <f>IFERROR(INDEX('1.산군_붙여넣기'!$A$1:$AZ$1001,ROW(),설정!$C$4)&amp;"","")</f>
        <v/>
      </c>
      <c r="C814">
        <f>IFERROR(INDEX('1.산군_붙여넣기'!$A$1:$AZ$1001,ROW(),설정!$C$5)&amp;"","")</f>
        <v/>
      </c>
      <c r="D814" s="5">
        <f>IFERROR(VALUE(SUBSTITUTE(SUBSTITUTE(SUBSTITUTE(IFERROR(INDEX('1.산군_붙여넣기'!$A$1:$AZ$1001,ROW(),설정!$C$6)&amp;"",""),",",""),"㎡",""),"m2","")),"")</f>
        <v/>
      </c>
      <c r="E814">
        <f>IFERROR(INDEX('1.산군_붙여넣기'!$A$1:$AZ$1001,ROW(),설정!$C$7)&amp;"","")</f>
        <v/>
      </c>
      <c r="F814">
        <f>IFERROR(INDEX('1.산군_붙여넣기'!$A$1:$AZ$1001,ROW(),설정!$C$8)&amp;"","")</f>
        <v/>
      </c>
      <c r="G814">
        <f>IFERROR(INDEX('1.산군_붙여넣기'!$A$1:$AZ$1001,ROW(),설정!$C$9)&amp;"","")</f>
        <v/>
      </c>
      <c r="H814">
        <f>IFERROR(INDEX('1.산군_붙여넣기'!$A$1:$AZ$1001,ROW(),설정!$C$10)&amp;"","")</f>
        <v/>
      </c>
      <c r="I814">
        <f>IFERROR(INDEX('1.산군_붙여넣기'!$A$1:$AZ$1001,ROW(),설정!$C$11)&amp;"","")</f>
        <v/>
      </c>
      <c r="J814">
        <f>IFERROR(INDEX('1.산군_붙여넣기'!$A$1:$AZ$1001,ROW(),설정!$C$12)&amp;"","")</f>
        <v/>
      </c>
      <c r="K814">
        <f>IFERROR(INDEX('1.산군_붙여넣기'!$A$1:$AZ$1001,ROW(),설정!$C$13)&amp;"","")</f>
        <v/>
      </c>
      <c r="L814" s="6">
        <f>IF(X814="","",IF(AND(LEN(X814)=8,ISNUMBER(X814*1)),DATE(LEFT(X814,4),MID(X814,5,2),RIGHT(X814,2)),IFERROR(DATEVALUE(SUBSTITUTE(SUBSTITUTE(X814,".","-"),"/","-")),IFERROR(X814*1,""))))</f>
        <v/>
      </c>
      <c r="M814" s="6">
        <f>IF(Y814="","",IF(AND(LEN(Y814)=8,ISNUMBER(Y814*1)),DATE(LEFT(Y814,4),MID(Y814,5,2),RIGHT(Y814,2)),IFERROR(DATEVALUE(SUBSTITUTE(SUBSTITUTE(Y814,".","-"),"/","-")),IFERROR(Y814*1,""))))</f>
        <v/>
      </c>
      <c r="N814">
        <f>IFERROR(LEFT(B814,FIND(" ",B814)-1),B814)</f>
        <v/>
      </c>
      <c r="O814">
        <f>AND(B814&lt;&gt;"",B814&lt;&gt;설정!$B$4,C814&lt;&gt;설정!$B$5)</f>
        <v/>
      </c>
      <c r="P814">
        <f>IF(O814,B814&amp;"|"&amp;C814,"")</f>
        <v/>
      </c>
      <c r="Q814">
        <f>AND(O814,COUNTIF(P815:P$1002,P814)=0)</f>
        <v/>
      </c>
      <c r="R814">
        <f>OR(AND(설정!$A$28&lt;&gt;"",ISNUMBER(SEARCH(설정!$A$28,E814&amp;" "&amp;C814))),AND(설정!$A$29&lt;&gt;"",ISNUMBER(SEARCH(설정!$A$29,E814&amp;" "&amp;C814))),AND(설정!$A$30&lt;&gt;"",ISNUMBER(SEARCH(설정!$A$30,E814&amp;" "&amp;C814))),AND(설정!$A$31&lt;&gt;"",ISNUMBER(SEARCH(설정!$A$31,E814&amp;" "&amp;C814))),AND(설정!$A$32&lt;&gt;"",ISNUMBER(SEARCH(설정!$A$32,E814&amp;" "&amp;C814))),AND(설정!$A$33&lt;&gt;"",ISNUMBER(SEARCH(설정!$A$33,E814&amp;" "&amp;C814))),AND(설정!$A$34&lt;&gt;"",ISNUMBER(SEARCH(설정!$A$34,E814&amp;" "&amp;C814))),AND(설정!$A$35&lt;&gt;"",ISNUMBER(SEARCH(설정!$A$35,E814&amp;" "&amp;C814))),AND(설정!$A$36&lt;&gt;"",ISNUMBER(SEARCH(설정!$A$36,E814&amp;" "&amp;C814))),AND(설정!$A$37&lt;&gt;"",ISNUMBER(SEARCH(설정!$A$37,E814&amp;" "&amp;C814))))</f>
        <v/>
      </c>
      <c r="S814">
        <f>OR(D814="",D814&gt;=설정!$B$19)</f>
        <v/>
      </c>
      <c r="T814">
        <f>AND(Q814,R814,S814)</f>
        <v/>
      </c>
      <c r="U814">
        <f>IF(T814,IF(AND(설정!$A$41&lt;&gt;"",ISNUMBER(SEARCH(설정!$A$41,K814))),설정!$B$41,IF(AND(설정!$A$42&lt;&gt;"",ISNUMBER(SEARCH(설정!$A$42,K814))),설정!$B$42,IF(AND(설정!$A$43&lt;&gt;"",ISNUMBER(SEARCH(설정!$A$43,K814))),설정!$B$43,IF(AND(설정!$A$44&lt;&gt;"",ISNUMBER(SEARCH(설정!$A$44,K814))),설정!$B$44,IF(AND(설정!$A$45&lt;&gt;"",ISNUMBER(SEARCH(설정!$A$45,K814))),설정!$B$45,IF(AND(설정!$A$46&lt;&gt;"",ISNUMBER(SEARCH(설정!$A$46,K814))),설정!$B$46,IF(AND(설정!$A$47&lt;&gt;"",ISNUMBER(SEARCH(설정!$A$47,K814))),설정!$B$47,IF(AND(설정!$A$48&lt;&gt;"",ISNUMBER(SEARCH(설정!$A$48,K814))),설정!$B$48,IF(M814="","설계사","시공사"))))))))),"")</f>
        <v/>
      </c>
      <c r="V814">
        <f>SUBSTITUTE(SUBSTITUTE(SUBSTITUTE(SUBSTITUTE(G814,"(주)",""),"㈜",""),"주식회사","")," ","")</f>
        <v/>
      </c>
      <c r="W814">
        <f>IF(AND(T814,V814&lt;&gt;""),IF(COUNTIFS(V$2:V814,V814,T$2:T814,TRUE)=1,MAX(W$1:W813)+1,""),"")</f>
        <v/>
      </c>
      <c r="X814">
        <f>IFERROR(INDEX('1.산군_붙여넣기'!$A$1:$AZ$1001,ROW(),설정!$C$14)&amp;"","")</f>
        <v/>
      </c>
      <c r="Y814">
        <f>IFERROR(INDEX('1.산군_붙여넣기'!$A$1:$AZ$1001,ROW(),설정!$C$15)&amp;"","")</f>
        <v/>
      </c>
      <c r="Z814">
        <f>IF(T814,V814&amp;"|"&amp;U814,"")</f>
        <v/>
      </c>
    </row>
    <row r="815">
      <c r="A815">
        <f>ROW()</f>
        <v/>
      </c>
      <c r="B815">
        <f>IFERROR(INDEX('1.산군_붙여넣기'!$A$1:$AZ$1001,ROW(),설정!$C$4)&amp;"","")</f>
        <v/>
      </c>
      <c r="C815">
        <f>IFERROR(INDEX('1.산군_붙여넣기'!$A$1:$AZ$1001,ROW(),설정!$C$5)&amp;"","")</f>
        <v/>
      </c>
      <c r="D815" s="5">
        <f>IFERROR(VALUE(SUBSTITUTE(SUBSTITUTE(SUBSTITUTE(IFERROR(INDEX('1.산군_붙여넣기'!$A$1:$AZ$1001,ROW(),설정!$C$6)&amp;"",""),",",""),"㎡",""),"m2","")),"")</f>
        <v/>
      </c>
      <c r="E815">
        <f>IFERROR(INDEX('1.산군_붙여넣기'!$A$1:$AZ$1001,ROW(),설정!$C$7)&amp;"","")</f>
        <v/>
      </c>
      <c r="F815">
        <f>IFERROR(INDEX('1.산군_붙여넣기'!$A$1:$AZ$1001,ROW(),설정!$C$8)&amp;"","")</f>
        <v/>
      </c>
      <c r="G815">
        <f>IFERROR(INDEX('1.산군_붙여넣기'!$A$1:$AZ$1001,ROW(),설정!$C$9)&amp;"","")</f>
        <v/>
      </c>
      <c r="H815">
        <f>IFERROR(INDEX('1.산군_붙여넣기'!$A$1:$AZ$1001,ROW(),설정!$C$10)&amp;"","")</f>
        <v/>
      </c>
      <c r="I815">
        <f>IFERROR(INDEX('1.산군_붙여넣기'!$A$1:$AZ$1001,ROW(),설정!$C$11)&amp;"","")</f>
        <v/>
      </c>
      <c r="J815">
        <f>IFERROR(INDEX('1.산군_붙여넣기'!$A$1:$AZ$1001,ROW(),설정!$C$12)&amp;"","")</f>
        <v/>
      </c>
      <c r="K815">
        <f>IFERROR(INDEX('1.산군_붙여넣기'!$A$1:$AZ$1001,ROW(),설정!$C$13)&amp;"","")</f>
        <v/>
      </c>
      <c r="L815" s="6">
        <f>IF(X815="","",IF(AND(LEN(X815)=8,ISNUMBER(X815*1)),DATE(LEFT(X815,4),MID(X815,5,2),RIGHT(X815,2)),IFERROR(DATEVALUE(SUBSTITUTE(SUBSTITUTE(X815,".","-"),"/","-")),IFERROR(X815*1,""))))</f>
        <v/>
      </c>
      <c r="M815" s="6">
        <f>IF(Y815="","",IF(AND(LEN(Y815)=8,ISNUMBER(Y815*1)),DATE(LEFT(Y815,4),MID(Y815,5,2),RIGHT(Y815,2)),IFERROR(DATEVALUE(SUBSTITUTE(SUBSTITUTE(Y815,".","-"),"/","-")),IFERROR(Y815*1,""))))</f>
        <v/>
      </c>
      <c r="N815">
        <f>IFERROR(LEFT(B815,FIND(" ",B815)-1),B815)</f>
        <v/>
      </c>
      <c r="O815">
        <f>AND(B815&lt;&gt;"",B815&lt;&gt;설정!$B$4,C815&lt;&gt;설정!$B$5)</f>
        <v/>
      </c>
      <c r="P815">
        <f>IF(O815,B815&amp;"|"&amp;C815,"")</f>
        <v/>
      </c>
      <c r="Q815">
        <f>AND(O815,COUNTIF(P816:P$1002,P815)=0)</f>
        <v/>
      </c>
      <c r="R815">
        <f>OR(AND(설정!$A$28&lt;&gt;"",ISNUMBER(SEARCH(설정!$A$28,E815&amp;" "&amp;C815))),AND(설정!$A$29&lt;&gt;"",ISNUMBER(SEARCH(설정!$A$29,E815&amp;" "&amp;C815))),AND(설정!$A$30&lt;&gt;"",ISNUMBER(SEARCH(설정!$A$30,E815&amp;" "&amp;C815))),AND(설정!$A$31&lt;&gt;"",ISNUMBER(SEARCH(설정!$A$31,E815&amp;" "&amp;C815))),AND(설정!$A$32&lt;&gt;"",ISNUMBER(SEARCH(설정!$A$32,E815&amp;" "&amp;C815))),AND(설정!$A$33&lt;&gt;"",ISNUMBER(SEARCH(설정!$A$33,E815&amp;" "&amp;C815))),AND(설정!$A$34&lt;&gt;"",ISNUMBER(SEARCH(설정!$A$34,E815&amp;" "&amp;C815))),AND(설정!$A$35&lt;&gt;"",ISNUMBER(SEARCH(설정!$A$35,E815&amp;" "&amp;C815))),AND(설정!$A$36&lt;&gt;"",ISNUMBER(SEARCH(설정!$A$36,E815&amp;" "&amp;C815))),AND(설정!$A$37&lt;&gt;"",ISNUMBER(SEARCH(설정!$A$37,E815&amp;" "&amp;C815))))</f>
        <v/>
      </c>
      <c r="S815">
        <f>OR(D815="",D815&gt;=설정!$B$19)</f>
        <v/>
      </c>
      <c r="T815">
        <f>AND(Q815,R815,S815)</f>
        <v/>
      </c>
      <c r="U815">
        <f>IF(T815,IF(AND(설정!$A$41&lt;&gt;"",ISNUMBER(SEARCH(설정!$A$41,K815))),설정!$B$41,IF(AND(설정!$A$42&lt;&gt;"",ISNUMBER(SEARCH(설정!$A$42,K815))),설정!$B$42,IF(AND(설정!$A$43&lt;&gt;"",ISNUMBER(SEARCH(설정!$A$43,K815))),설정!$B$43,IF(AND(설정!$A$44&lt;&gt;"",ISNUMBER(SEARCH(설정!$A$44,K815))),설정!$B$44,IF(AND(설정!$A$45&lt;&gt;"",ISNUMBER(SEARCH(설정!$A$45,K815))),설정!$B$45,IF(AND(설정!$A$46&lt;&gt;"",ISNUMBER(SEARCH(설정!$A$46,K815))),설정!$B$46,IF(AND(설정!$A$47&lt;&gt;"",ISNUMBER(SEARCH(설정!$A$47,K815))),설정!$B$47,IF(AND(설정!$A$48&lt;&gt;"",ISNUMBER(SEARCH(설정!$A$48,K815))),설정!$B$48,IF(M815="","설계사","시공사"))))))))),"")</f>
        <v/>
      </c>
      <c r="V815">
        <f>SUBSTITUTE(SUBSTITUTE(SUBSTITUTE(SUBSTITUTE(G815,"(주)",""),"㈜",""),"주식회사","")," ","")</f>
        <v/>
      </c>
      <c r="W815">
        <f>IF(AND(T815,V815&lt;&gt;""),IF(COUNTIFS(V$2:V815,V815,T$2:T815,TRUE)=1,MAX(W$1:W814)+1,""),"")</f>
        <v/>
      </c>
      <c r="X815">
        <f>IFERROR(INDEX('1.산군_붙여넣기'!$A$1:$AZ$1001,ROW(),설정!$C$14)&amp;"","")</f>
        <v/>
      </c>
      <c r="Y815">
        <f>IFERROR(INDEX('1.산군_붙여넣기'!$A$1:$AZ$1001,ROW(),설정!$C$15)&amp;"","")</f>
        <v/>
      </c>
      <c r="Z815">
        <f>IF(T815,V815&amp;"|"&amp;U815,"")</f>
        <v/>
      </c>
    </row>
    <row r="816">
      <c r="A816">
        <f>ROW()</f>
        <v/>
      </c>
      <c r="B816">
        <f>IFERROR(INDEX('1.산군_붙여넣기'!$A$1:$AZ$1001,ROW(),설정!$C$4)&amp;"","")</f>
        <v/>
      </c>
      <c r="C816">
        <f>IFERROR(INDEX('1.산군_붙여넣기'!$A$1:$AZ$1001,ROW(),설정!$C$5)&amp;"","")</f>
        <v/>
      </c>
      <c r="D816" s="5">
        <f>IFERROR(VALUE(SUBSTITUTE(SUBSTITUTE(SUBSTITUTE(IFERROR(INDEX('1.산군_붙여넣기'!$A$1:$AZ$1001,ROW(),설정!$C$6)&amp;"",""),",",""),"㎡",""),"m2","")),"")</f>
        <v/>
      </c>
      <c r="E816">
        <f>IFERROR(INDEX('1.산군_붙여넣기'!$A$1:$AZ$1001,ROW(),설정!$C$7)&amp;"","")</f>
        <v/>
      </c>
      <c r="F816">
        <f>IFERROR(INDEX('1.산군_붙여넣기'!$A$1:$AZ$1001,ROW(),설정!$C$8)&amp;"","")</f>
        <v/>
      </c>
      <c r="G816">
        <f>IFERROR(INDEX('1.산군_붙여넣기'!$A$1:$AZ$1001,ROW(),설정!$C$9)&amp;"","")</f>
        <v/>
      </c>
      <c r="H816">
        <f>IFERROR(INDEX('1.산군_붙여넣기'!$A$1:$AZ$1001,ROW(),설정!$C$10)&amp;"","")</f>
        <v/>
      </c>
      <c r="I816">
        <f>IFERROR(INDEX('1.산군_붙여넣기'!$A$1:$AZ$1001,ROW(),설정!$C$11)&amp;"","")</f>
        <v/>
      </c>
      <c r="J816">
        <f>IFERROR(INDEX('1.산군_붙여넣기'!$A$1:$AZ$1001,ROW(),설정!$C$12)&amp;"","")</f>
        <v/>
      </c>
      <c r="K816">
        <f>IFERROR(INDEX('1.산군_붙여넣기'!$A$1:$AZ$1001,ROW(),설정!$C$13)&amp;"","")</f>
        <v/>
      </c>
      <c r="L816" s="6">
        <f>IF(X816="","",IF(AND(LEN(X816)=8,ISNUMBER(X816*1)),DATE(LEFT(X816,4),MID(X816,5,2),RIGHT(X816,2)),IFERROR(DATEVALUE(SUBSTITUTE(SUBSTITUTE(X816,".","-"),"/","-")),IFERROR(X816*1,""))))</f>
        <v/>
      </c>
      <c r="M816" s="6">
        <f>IF(Y816="","",IF(AND(LEN(Y816)=8,ISNUMBER(Y816*1)),DATE(LEFT(Y816,4),MID(Y816,5,2),RIGHT(Y816,2)),IFERROR(DATEVALUE(SUBSTITUTE(SUBSTITUTE(Y816,".","-"),"/","-")),IFERROR(Y816*1,""))))</f>
        <v/>
      </c>
      <c r="N816">
        <f>IFERROR(LEFT(B816,FIND(" ",B816)-1),B816)</f>
        <v/>
      </c>
      <c r="O816">
        <f>AND(B816&lt;&gt;"",B816&lt;&gt;설정!$B$4,C816&lt;&gt;설정!$B$5)</f>
        <v/>
      </c>
      <c r="P816">
        <f>IF(O816,B816&amp;"|"&amp;C816,"")</f>
        <v/>
      </c>
      <c r="Q816">
        <f>AND(O816,COUNTIF(P817:P$1002,P816)=0)</f>
        <v/>
      </c>
      <c r="R816">
        <f>OR(AND(설정!$A$28&lt;&gt;"",ISNUMBER(SEARCH(설정!$A$28,E816&amp;" "&amp;C816))),AND(설정!$A$29&lt;&gt;"",ISNUMBER(SEARCH(설정!$A$29,E816&amp;" "&amp;C816))),AND(설정!$A$30&lt;&gt;"",ISNUMBER(SEARCH(설정!$A$30,E816&amp;" "&amp;C816))),AND(설정!$A$31&lt;&gt;"",ISNUMBER(SEARCH(설정!$A$31,E816&amp;" "&amp;C816))),AND(설정!$A$32&lt;&gt;"",ISNUMBER(SEARCH(설정!$A$32,E816&amp;" "&amp;C816))),AND(설정!$A$33&lt;&gt;"",ISNUMBER(SEARCH(설정!$A$33,E816&amp;" "&amp;C816))),AND(설정!$A$34&lt;&gt;"",ISNUMBER(SEARCH(설정!$A$34,E816&amp;" "&amp;C816))),AND(설정!$A$35&lt;&gt;"",ISNUMBER(SEARCH(설정!$A$35,E816&amp;" "&amp;C816))),AND(설정!$A$36&lt;&gt;"",ISNUMBER(SEARCH(설정!$A$36,E816&amp;" "&amp;C816))),AND(설정!$A$37&lt;&gt;"",ISNUMBER(SEARCH(설정!$A$37,E816&amp;" "&amp;C816))))</f>
        <v/>
      </c>
      <c r="S816">
        <f>OR(D816="",D816&gt;=설정!$B$19)</f>
        <v/>
      </c>
      <c r="T816">
        <f>AND(Q816,R816,S816)</f>
        <v/>
      </c>
      <c r="U816">
        <f>IF(T816,IF(AND(설정!$A$41&lt;&gt;"",ISNUMBER(SEARCH(설정!$A$41,K816))),설정!$B$41,IF(AND(설정!$A$42&lt;&gt;"",ISNUMBER(SEARCH(설정!$A$42,K816))),설정!$B$42,IF(AND(설정!$A$43&lt;&gt;"",ISNUMBER(SEARCH(설정!$A$43,K816))),설정!$B$43,IF(AND(설정!$A$44&lt;&gt;"",ISNUMBER(SEARCH(설정!$A$44,K816))),설정!$B$44,IF(AND(설정!$A$45&lt;&gt;"",ISNUMBER(SEARCH(설정!$A$45,K816))),설정!$B$45,IF(AND(설정!$A$46&lt;&gt;"",ISNUMBER(SEARCH(설정!$A$46,K816))),설정!$B$46,IF(AND(설정!$A$47&lt;&gt;"",ISNUMBER(SEARCH(설정!$A$47,K816))),설정!$B$47,IF(AND(설정!$A$48&lt;&gt;"",ISNUMBER(SEARCH(설정!$A$48,K816))),설정!$B$48,IF(M816="","설계사","시공사"))))))))),"")</f>
        <v/>
      </c>
      <c r="V816">
        <f>SUBSTITUTE(SUBSTITUTE(SUBSTITUTE(SUBSTITUTE(G816,"(주)",""),"㈜",""),"주식회사","")," ","")</f>
        <v/>
      </c>
      <c r="W816">
        <f>IF(AND(T816,V816&lt;&gt;""),IF(COUNTIFS(V$2:V816,V816,T$2:T816,TRUE)=1,MAX(W$1:W815)+1,""),"")</f>
        <v/>
      </c>
      <c r="X816">
        <f>IFERROR(INDEX('1.산군_붙여넣기'!$A$1:$AZ$1001,ROW(),설정!$C$14)&amp;"","")</f>
        <v/>
      </c>
      <c r="Y816">
        <f>IFERROR(INDEX('1.산군_붙여넣기'!$A$1:$AZ$1001,ROW(),설정!$C$15)&amp;"","")</f>
        <v/>
      </c>
      <c r="Z816">
        <f>IF(T816,V816&amp;"|"&amp;U816,"")</f>
        <v/>
      </c>
    </row>
    <row r="817">
      <c r="A817">
        <f>ROW()</f>
        <v/>
      </c>
      <c r="B817">
        <f>IFERROR(INDEX('1.산군_붙여넣기'!$A$1:$AZ$1001,ROW(),설정!$C$4)&amp;"","")</f>
        <v/>
      </c>
      <c r="C817">
        <f>IFERROR(INDEX('1.산군_붙여넣기'!$A$1:$AZ$1001,ROW(),설정!$C$5)&amp;"","")</f>
        <v/>
      </c>
      <c r="D817" s="5">
        <f>IFERROR(VALUE(SUBSTITUTE(SUBSTITUTE(SUBSTITUTE(IFERROR(INDEX('1.산군_붙여넣기'!$A$1:$AZ$1001,ROW(),설정!$C$6)&amp;"",""),",",""),"㎡",""),"m2","")),"")</f>
        <v/>
      </c>
      <c r="E817">
        <f>IFERROR(INDEX('1.산군_붙여넣기'!$A$1:$AZ$1001,ROW(),설정!$C$7)&amp;"","")</f>
        <v/>
      </c>
      <c r="F817">
        <f>IFERROR(INDEX('1.산군_붙여넣기'!$A$1:$AZ$1001,ROW(),설정!$C$8)&amp;"","")</f>
        <v/>
      </c>
      <c r="G817">
        <f>IFERROR(INDEX('1.산군_붙여넣기'!$A$1:$AZ$1001,ROW(),설정!$C$9)&amp;"","")</f>
        <v/>
      </c>
      <c r="H817">
        <f>IFERROR(INDEX('1.산군_붙여넣기'!$A$1:$AZ$1001,ROW(),설정!$C$10)&amp;"","")</f>
        <v/>
      </c>
      <c r="I817">
        <f>IFERROR(INDEX('1.산군_붙여넣기'!$A$1:$AZ$1001,ROW(),설정!$C$11)&amp;"","")</f>
        <v/>
      </c>
      <c r="J817">
        <f>IFERROR(INDEX('1.산군_붙여넣기'!$A$1:$AZ$1001,ROW(),설정!$C$12)&amp;"","")</f>
        <v/>
      </c>
      <c r="K817">
        <f>IFERROR(INDEX('1.산군_붙여넣기'!$A$1:$AZ$1001,ROW(),설정!$C$13)&amp;"","")</f>
        <v/>
      </c>
      <c r="L817" s="6">
        <f>IF(X817="","",IF(AND(LEN(X817)=8,ISNUMBER(X817*1)),DATE(LEFT(X817,4),MID(X817,5,2),RIGHT(X817,2)),IFERROR(DATEVALUE(SUBSTITUTE(SUBSTITUTE(X817,".","-"),"/","-")),IFERROR(X817*1,""))))</f>
        <v/>
      </c>
      <c r="M817" s="6">
        <f>IF(Y817="","",IF(AND(LEN(Y817)=8,ISNUMBER(Y817*1)),DATE(LEFT(Y817,4),MID(Y817,5,2),RIGHT(Y817,2)),IFERROR(DATEVALUE(SUBSTITUTE(SUBSTITUTE(Y817,".","-"),"/","-")),IFERROR(Y817*1,""))))</f>
        <v/>
      </c>
      <c r="N817">
        <f>IFERROR(LEFT(B817,FIND(" ",B817)-1),B817)</f>
        <v/>
      </c>
      <c r="O817">
        <f>AND(B817&lt;&gt;"",B817&lt;&gt;설정!$B$4,C817&lt;&gt;설정!$B$5)</f>
        <v/>
      </c>
      <c r="P817">
        <f>IF(O817,B817&amp;"|"&amp;C817,"")</f>
        <v/>
      </c>
      <c r="Q817">
        <f>AND(O817,COUNTIF(P818:P$1002,P817)=0)</f>
        <v/>
      </c>
      <c r="R817">
        <f>OR(AND(설정!$A$28&lt;&gt;"",ISNUMBER(SEARCH(설정!$A$28,E817&amp;" "&amp;C817))),AND(설정!$A$29&lt;&gt;"",ISNUMBER(SEARCH(설정!$A$29,E817&amp;" "&amp;C817))),AND(설정!$A$30&lt;&gt;"",ISNUMBER(SEARCH(설정!$A$30,E817&amp;" "&amp;C817))),AND(설정!$A$31&lt;&gt;"",ISNUMBER(SEARCH(설정!$A$31,E817&amp;" "&amp;C817))),AND(설정!$A$32&lt;&gt;"",ISNUMBER(SEARCH(설정!$A$32,E817&amp;" "&amp;C817))),AND(설정!$A$33&lt;&gt;"",ISNUMBER(SEARCH(설정!$A$33,E817&amp;" "&amp;C817))),AND(설정!$A$34&lt;&gt;"",ISNUMBER(SEARCH(설정!$A$34,E817&amp;" "&amp;C817))),AND(설정!$A$35&lt;&gt;"",ISNUMBER(SEARCH(설정!$A$35,E817&amp;" "&amp;C817))),AND(설정!$A$36&lt;&gt;"",ISNUMBER(SEARCH(설정!$A$36,E817&amp;" "&amp;C817))),AND(설정!$A$37&lt;&gt;"",ISNUMBER(SEARCH(설정!$A$37,E817&amp;" "&amp;C817))))</f>
        <v/>
      </c>
      <c r="S817">
        <f>OR(D817="",D817&gt;=설정!$B$19)</f>
        <v/>
      </c>
      <c r="T817">
        <f>AND(Q817,R817,S817)</f>
        <v/>
      </c>
      <c r="U817">
        <f>IF(T817,IF(AND(설정!$A$41&lt;&gt;"",ISNUMBER(SEARCH(설정!$A$41,K817))),설정!$B$41,IF(AND(설정!$A$42&lt;&gt;"",ISNUMBER(SEARCH(설정!$A$42,K817))),설정!$B$42,IF(AND(설정!$A$43&lt;&gt;"",ISNUMBER(SEARCH(설정!$A$43,K817))),설정!$B$43,IF(AND(설정!$A$44&lt;&gt;"",ISNUMBER(SEARCH(설정!$A$44,K817))),설정!$B$44,IF(AND(설정!$A$45&lt;&gt;"",ISNUMBER(SEARCH(설정!$A$45,K817))),설정!$B$45,IF(AND(설정!$A$46&lt;&gt;"",ISNUMBER(SEARCH(설정!$A$46,K817))),설정!$B$46,IF(AND(설정!$A$47&lt;&gt;"",ISNUMBER(SEARCH(설정!$A$47,K817))),설정!$B$47,IF(AND(설정!$A$48&lt;&gt;"",ISNUMBER(SEARCH(설정!$A$48,K817))),설정!$B$48,IF(M817="","설계사","시공사"))))))))),"")</f>
        <v/>
      </c>
      <c r="V817">
        <f>SUBSTITUTE(SUBSTITUTE(SUBSTITUTE(SUBSTITUTE(G817,"(주)",""),"㈜",""),"주식회사","")," ","")</f>
        <v/>
      </c>
      <c r="W817">
        <f>IF(AND(T817,V817&lt;&gt;""),IF(COUNTIFS(V$2:V817,V817,T$2:T817,TRUE)=1,MAX(W$1:W816)+1,""),"")</f>
        <v/>
      </c>
      <c r="X817">
        <f>IFERROR(INDEX('1.산군_붙여넣기'!$A$1:$AZ$1001,ROW(),설정!$C$14)&amp;"","")</f>
        <v/>
      </c>
      <c r="Y817">
        <f>IFERROR(INDEX('1.산군_붙여넣기'!$A$1:$AZ$1001,ROW(),설정!$C$15)&amp;"","")</f>
        <v/>
      </c>
      <c r="Z817">
        <f>IF(T817,V817&amp;"|"&amp;U817,"")</f>
        <v/>
      </c>
    </row>
    <row r="818">
      <c r="A818">
        <f>ROW()</f>
        <v/>
      </c>
      <c r="B818">
        <f>IFERROR(INDEX('1.산군_붙여넣기'!$A$1:$AZ$1001,ROW(),설정!$C$4)&amp;"","")</f>
        <v/>
      </c>
      <c r="C818">
        <f>IFERROR(INDEX('1.산군_붙여넣기'!$A$1:$AZ$1001,ROW(),설정!$C$5)&amp;"","")</f>
        <v/>
      </c>
      <c r="D818" s="5">
        <f>IFERROR(VALUE(SUBSTITUTE(SUBSTITUTE(SUBSTITUTE(IFERROR(INDEX('1.산군_붙여넣기'!$A$1:$AZ$1001,ROW(),설정!$C$6)&amp;"",""),",",""),"㎡",""),"m2","")),"")</f>
        <v/>
      </c>
      <c r="E818">
        <f>IFERROR(INDEX('1.산군_붙여넣기'!$A$1:$AZ$1001,ROW(),설정!$C$7)&amp;"","")</f>
        <v/>
      </c>
      <c r="F818">
        <f>IFERROR(INDEX('1.산군_붙여넣기'!$A$1:$AZ$1001,ROW(),설정!$C$8)&amp;"","")</f>
        <v/>
      </c>
      <c r="G818">
        <f>IFERROR(INDEX('1.산군_붙여넣기'!$A$1:$AZ$1001,ROW(),설정!$C$9)&amp;"","")</f>
        <v/>
      </c>
      <c r="H818">
        <f>IFERROR(INDEX('1.산군_붙여넣기'!$A$1:$AZ$1001,ROW(),설정!$C$10)&amp;"","")</f>
        <v/>
      </c>
      <c r="I818">
        <f>IFERROR(INDEX('1.산군_붙여넣기'!$A$1:$AZ$1001,ROW(),설정!$C$11)&amp;"","")</f>
        <v/>
      </c>
      <c r="J818">
        <f>IFERROR(INDEX('1.산군_붙여넣기'!$A$1:$AZ$1001,ROW(),설정!$C$12)&amp;"","")</f>
        <v/>
      </c>
      <c r="K818">
        <f>IFERROR(INDEX('1.산군_붙여넣기'!$A$1:$AZ$1001,ROW(),설정!$C$13)&amp;"","")</f>
        <v/>
      </c>
      <c r="L818" s="6">
        <f>IF(X818="","",IF(AND(LEN(X818)=8,ISNUMBER(X818*1)),DATE(LEFT(X818,4),MID(X818,5,2),RIGHT(X818,2)),IFERROR(DATEVALUE(SUBSTITUTE(SUBSTITUTE(X818,".","-"),"/","-")),IFERROR(X818*1,""))))</f>
        <v/>
      </c>
      <c r="M818" s="6">
        <f>IF(Y818="","",IF(AND(LEN(Y818)=8,ISNUMBER(Y818*1)),DATE(LEFT(Y818,4),MID(Y818,5,2),RIGHT(Y818,2)),IFERROR(DATEVALUE(SUBSTITUTE(SUBSTITUTE(Y818,".","-"),"/","-")),IFERROR(Y818*1,""))))</f>
        <v/>
      </c>
      <c r="N818">
        <f>IFERROR(LEFT(B818,FIND(" ",B818)-1),B818)</f>
        <v/>
      </c>
      <c r="O818">
        <f>AND(B818&lt;&gt;"",B818&lt;&gt;설정!$B$4,C818&lt;&gt;설정!$B$5)</f>
        <v/>
      </c>
      <c r="P818">
        <f>IF(O818,B818&amp;"|"&amp;C818,"")</f>
        <v/>
      </c>
      <c r="Q818">
        <f>AND(O818,COUNTIF(P819:P$1002,P818)=0)</f>
        <v/>
      </c>
      <c r="R818">
        <f>OR(AND(설정!$A$28&lt;&gt;"",ISNUMBER(SEARCH(설정!$A$28,E818&amp;" "&amp;C818))),AND(설정!$A$29&lt;&gt;"",ISNUMBER(SEARCH(설정!$A$29,E818&amp;" "&amp;C818))),AND(설정!$A$30&lt;&gt;"",ISNUMBER(SEARCH(설정!$A$30,E818&amp;" "&amp;C818))),AND(설정!$A$31&lt;&gt;"",ISNUMBER(SEARCH(설정!$A$31,E818&amp;" "&amp;C818))),AND(설정!$A$32&lt;&gt;"",ISNUMBER(SEARCH(설정!$A$32,E818&amp;" "&amp;C818))),AND(설정!$A$33&lt;&gt;"",ISNUMBER(SEARCH(설정!$A$33,E818&amp;" "&amp;C818))),AND(설정!$A$34&lt;&gt;"",ISNUMBER(SEARCH(설정!$A$34,E818&amp;" "&amp;C818))),AND(설정!$A$35&lt;&gt;"",ISNUMBER(SEARCH(설정!$A$35,E818&amp;" "&amp;C818))),AND(설정!$A$36&lt;&gt;"",ISNUMBER(SEARCH(설정!$A$36,E818&amp;" "&amp;C818))),AND(설정!$A$37&lt;&gt;"",ISNUMBER(SEARCH(설정!$A$37,E818&amp;" "&amp;C818))))</f>
        <v/>
      </c>
      <c r="S818">
        <f>OR(D818="",D818&gt;=설정!$B$19)</f>
        <v/>
      </c>
      <c r="T818">
        <f>AND(Q818,R818,S818)</f>
        <v/>
      </c>
      <c r="U818">
        <f>IF(T818,IF(AND(설정!$A$41&lt;&gt;"",ISNUMBER(SEARCH(설정!$A$41,K818))),설정!$B$41,IF(AND(설정!$A$42&lt;&gt;"",ISNUMBER(SEARCH(설정!$A$42,K818))),설정!$B$42,IF(AND(설정!$A$43&lt;&gt;"",ISNUMBER(SEARCH(설정!$A$43,K818))),설정!$B$43,IF(AND(설정!$A$44&lt;&gt;"",ISNUMBER(SEARCH(설정!$A$44,K818))),설정!$B$44,IF(AND(설정!$A$45&lt;&gt;"",ISNUMBER(SEARCH(설정!$A$45,K818))),설정!$B$45,IF(AND(설정!$A$46&lt;&gt;"",ISNUMBER(SEARCH(설정!$A$46,K818))),설정!$B$46,IF(AND(설정!$A$47&lt;&gt;"",ISNUMBER(SEARCH(설정!$A$47,K818))),설정!$B$47,IF(AND(설정!$A$48&lt;&gt;"",ISNUMBER(SEARCH(설정!$A$48,K818))),설정!$B$48,IF(M818="","설계사","시공사"))))))))),"")</f>
        <v/>
      </c>
      <c r="V818">
        <f>SUBSTITUTE(SUBSTITUTE(SUBSTITUTE(SUBSTITUTE(G818,"(주)",""),"㈜",""),"주식회사","")," ","")</f>
        <v/>
      </c>
      <c r="W818">
        <f>IF(AND(T818,V818&lt;&gt;""),IF(COUNTIFS(V$2:V818,V818,T$2:T818,TRUE)=1,MAX(W$1:W817)+1,""),"")</f>
        <v/>
      </c>
      <c r="X818">
        <f>IFERROR(INDEX('1.산군_붙여넣기'!$A$1:$AZ$1001,ROW(),설정!$C$14)&amp;"","")</f>
        <v/>
      </c>
      <c r="Y818">
        <f>IFERROR(INDEX('1.산군_붙여넣기'!$A$1:$AZ$1001,ROW(),설정!$C$15)&amp;"","")</f>
        <v/>
      </c>
      <c r="Z818">
        <f>IF(T818,V818&amp;"|"&amp;U818,"")</f>
        <v/>
      </c>
    </row>
    <row r="819">
      <c r="A819">
        <f>ROW()</f>
        <v/>
      </c>
      <c r="B819">
        <f>IFERROR(INDEX('1.산군_붙여넣기'!$A$1:$AZ$1001,ROW(),설정!$C$4)&amp;"","")</f>
        <v/>
      </c>
      <c r="C819">
        <f>IFERROR(INDEX('1.산군_붙여넣기'!$A$1:$AZ$1001,ROW(),설정!$C$5)&amp;"","")</f>
        <v/>
      </c>
      <c r="D819" s="5">
        <f>IFERROR(VALUE(SUBSTITUTE(SUBSTITUTE(SUBSTITUTE(IFERROR(INDEX('1.산군_붙여넣기'!$A$1:$AZ$1001,ROW(),설정!$C$6)&amp;"",""),",",""),"㎡",""),"m2","")),"")</f>
        <v/>
      </c>
      <c r="E819">
        <f>IFERROR(INDEX('1.산군_붙여넣기'!$A$1:$AZ$1001,ROW(),설정!$C$7)&amp;"","")</f>
        <v/>
      </c>
      <c r="F819">
        <f>IFERROR(INDEX('1.산군_붙여넣기'!$A$1:$AZ$1001,ROW(),설정!$C$8)&amp;"","")</f>
        <v/>
      </c>
      <c r="G819">
        <f>IFERROR(INDEX('1.산군_붙여넣기'!$A$1:$AZ$1001,ROW(),설정!$C$9)&amp;"","")</f>
        <v/>
      </c>
      <c r="H819">
        <f>IFERROR(INDEX('1.산군_붙여넣기'!$A$1:$AZ$1001,ROW(),설정!$C$10)&amp;"","")</f>
        <v/>
      </c>
      <c r="I819">
        <f>IFERROR(INDEX('1.산군_붙여넣기'!$A$1:$AZ$1001,ROW(),설정!$C$11)&amp;"","")</f>
        <v/>
      </c>
      <c r="J819">
        <f>IFERROR(INDEX('1.산군_붙여넣기'!$A$1:$AZ$1001,ROW(),설정!$C$12)&amp;"","")</f>
        <v/>
      </c>
      <c r="K819">
        <f>IFERROR(INDEX('1.산군_붙여넣기'!$A$1:$AZ$1001,ROW(),설정!$C$13)&amp;"","")</f>
        <v/>
      </c>
      <c r="L819" s="6">
        <f>IF(X819="","",IF(AND(LEN(X819)=8,ISNUMBER(X819*1)),DATE(LEFT(X819,4),MID(X819,5,2),RIGHT(X819,2)),IFERROR(DATEVALUE(SUBSTITUTE(SUBSTITUTE(X819,".","-"),"/","-")),IFERROR(X819*1,""))))</f>
        <v/>
      </c>
      <c r="M819" s="6">
        <f>IF(Y819="","",IF(AND(LEN(Y819)=8,ISNUMBER(Y819*1)),DATE(LEFT(Y819,4),MID(Y819,5,2),RIGHT(Y819,2)),IFERROR(DATEVALUE(SUBSTITUTE(SUBSTITUTE(Y819,".","-"),"/","-")),IFERROR(Y819*1,""))))</f>
        <v/>
      </c>
      <c r="N819">
        <f>IFERROR(LEFT(B819,FIND(" ",B819)-1),B819)</f>
        <v/>
      </c>
      <c r="O819">
        <f>AND(B819&lt;&gt;"",B819&lt;&gt;설정!$B$4,C819&lt;&gt;설정!$B$5)</f>
        <v/>
      </c>
      <c r="P819">
        <f>IF(O819,B819&amp;"|"&amp;C819,"")</f>
        <v/>
      </c>
      <c r="Q819">
        <f>AND(O819,COUNTIF(P820:P$1002,P819)=0)</f>
        <v/>
      </c>
      <c r="R819">
        <f>OR(AND(설정!$A$28&lt;&gt;"",ISNUMBER(SEARCH(설정!$A$28,E819&amp;" "&amp;C819))),AND(설정!$A$29&lt;&gt;"",ISNUMBER(SEARCH(설정!$A$29,E819&amp;" "&amp;C819))),AND(설정!$A$30&lt;&gt;"",ISNUMBER(SEARCH(설정!$A$30,E819&amp;" "&amp;C819))),AND(설정!$A$31&lt;&gt;"",ISNUMBER(SEARCH(설정!$A$31,E819&amp;" "&amp;C819))),AND(설정!$A$32&lt;&gt;"",ISNUMBER(SEARCH(설정!$A$32,E819&amp;" "&amp;C819))),AND(설정!$A$33&lt;&gt;"",ISNUMBER(SEARCH(설정!$A$33,E819&amp;" "&amp;C819))),AND(설정!$A$34&lt;&gt;"",ISNUMBER(SEARCH(설정!$A$34,E819&amp;" "&amp;C819))),AND(설정!$A$35&lt;&gt;"",ISNUMBER(SEARCH(설정!$A$35,E819&amp;" "&amp;C819))),AND(설정!$A$36&lt;&gt;"",ISNUMBER(SEARCH(설정!$A$36,E819&amp;" "&amp;C819))),AND(설정!$A$37&lt;&gt;"",ISNUMBER(SEARCH(설정!$A$37,E819&amp;" "&amp;C819))))</f>
        <v/>
      </c>
      <c r="S819">
        <f>OR(D819="",D819&gt;=설정!$B$19)</f>
        <v/>
      </c>
      <c r="T819">
        <f>AND(Q819,R819,S819)</f>
        <v/>
      </c>
      <c r="U819">
        <f>IF(T819,IF(AND(설정!$A$41&lt;&gt;"",ISNUMBER(SEARCH(설정!$A$41,K819))),설정!$B$41,IF(AND(설정!$A$42&lt;&gt;"",ISNUMBER(SEARCH(설정!$A$42,K819))),설정!$B$42,IF(AND(설정!$A$43&lt;&gt;"",ISNUMBER(SEARCH(설정!$A$43,K819))),설정!$B$43,IF(AND(설정!$A$44&lt;&gt;"",ISNUMBER(SEARCH(설정!$A$44,K819))),설정!$B$44,IF(AND(설정!$A$45&lt;&gt;"",ISNUMBER(SEARCH(설정!$A$45,K819))),설정!$B$45,IF(AND(설정!$A$46&lt;&gt;"",ISNUMBER(SEARCH(설정!$A$46,K819))),설정!$B$46,IF(AND(설정!$A$47&lt;&gt;"",ISNUMBER(SEARCH(설정!$A$47,K819))),설정!$B$47,IF(AND(설정!$A$48&lt;&gt;"",ISNUMBER(SEARCH(설정!$A$48,K819))),설정!$B$48,IF(M819="","설계사","시공사"))))))))),"")</f>
        <v/>
      </c>
      <c r="V819">
        <f>SUBSTITUTE(SUBSTITUTE(SUBSTITUTE(SUBSTITUTE(G819,"(주)",""),"㈜",""),"주식회사","")," ","")</f>
        <v/>
      </c>
      <c r="W819">
        <f>IF(AND(T819,V819&lt;&gt;""),IF(COUNTIFS(V$2:V819,V819,T$2:T819,TRUE)=1,MAX(W$1:W818)+1,""),"")</f>
        <v/>
      </c>
      <c r="X819">
        <f>IFERROR(INDEX('1.산군_붙여넣기'!$A$1:$AZ$1001,ROW(),설정!$C$14)&amp;"","")</f>
        <v/>
      </c>
      <c r="Y819">
        <f>IFERROR(INDEX('1.산군_붙여넣기'!$A$1:$AZ$1001,ROW(),설정!$C$15)&amp;"","")</f>
        <v/>
      </c>
      <c r="Z819">
        <f>IF(T819,V819&amp;"|"&amp;U819,"")</f>
        <v/>
      </c>
    </row>
    <row r="820">
      <c r="A820">
        <f>ROW()</f>
        <v/>
      </c>
      <c r="B820">
        <f>IFERROR(INDEX('1.산군_붙여넣기'!$A$1:$AZ$1001,ROW(),설정!$C$4)&amp;"","")</f>
        <v/>
      </c>
      <c r="C820">
        <f>IFERROR(INDEX('1.산군_붙여넣기'!$A$1:$AZ$1001,ROW(),설정!$C$5)&amp;"","")</f>
        <v/>
      </c>
      <c r="D820" s="5">
        <f>IFERROR(VALUE(SUBSTITUTE(SUBSTITUTE(SUBSTITUTE(IFERROR(INDEX('1.산군_붙여넣기'!$A$1:$AZ$1001,ROW(),설정!$C$6)&amp;"",""),",",""),"㎡",""),"m2","")),"")</f>
        <v/>
      </c>
      <c r="E820">
        <f>IFERROR(INDEX('1.산군_붙여넣기'!$A$1:$AZ$1001,ROW(),설정!$C$7)&amp;"","")</f>
        <v/>
      </c>
      <c r="F820">
        <f>IFERROR(INDEX('1.산군_붙여넣기'!$A$1:$AZ$1001,ROW(),설정!$C$8)&amp;"","")</f>
        <v/>
      </c>
      <c r="G820">
        <f>IFERROR(INDEX('1.산군_붙여넣기'!$A$1:$AZ$1001,ROW(),설정!$C$9)&amp;"","")</f>
        <v/>
      </c>
      <c r="H820">
        <f>IFERROR(INDEX('1.산군_붙여넣기'!$A$1:$AZ$1001,ROW(),설정!$C$10)&amp;"","")</f>
        <v/>
      </c>
      <c r="I820">
        <f>IFERROR(INDEX('1.산군_붙여넣기'!$A$1:$AZ$1001,ROW(),설정!$C$11)&amp;"","")</f>
        <v/>
      </c>
      <c r="J820">
        <f>IFERROR(INDEX('1.산군_붙여넣기'!$A$1:$AZ$1001,ROW(),설정!$C$12)&amp;"","")</f>
        <v/>
      </c>
      <c r="K820">
        <f>IFERROR(INDEX('1.산군_붙여넣기'!$A$1:$AZ$1001,ROW(),설정!$C$13)&amp;"","")</f>
        <v/>
      </c>
      <c r="L820" s="6">
        <f>IF(X820="","",IF(AND(LEN(X820)=8,ISNUMBER(X820*1)),DATE(LEFT(X820,4),MID(X820,5,2),RIGHT(X820,2)),IFERROR(DATEVALUE(SUBSTITUTE(SUBSTITUTE(X820,".","-"),"/","-")),IFERROR(X820*1,""))))</f>
        <v/>
      </c>
      <c r="M820" s="6">
        <f>IF(Y820="","",IF(AND(LEN(Y820)=8,ISNUMBER(Y820*1)),DATE(LEFT(Y820,4),MID(Y820,5,2),RIGHT(Y820,2)),IFERROR(DATEVALUE(SUBSTITUTE(SUBSTITUTE(Y820,".","-"),"/","-")),IFERROR(Y820*1,""))))</f>
        <v/>
      </c>
      <c r="N820">
        <f>IFERROR(LEFT(B820,FIND(" ",B820)-1),B820)</f>
        <v/>
      </c>
      <c r="O820">
        <f>AND(B820&lt;&gt;"",B820&lt;&gt;설정!$B$4,C820&lt;&gt;설정!$B$5)</f>
        <v/>
      </c>
      <c r="P820">
        <f>IF(O820,B820&amp;"|"&amp;C820,"")</f>
        <v/>
      </c>
      <c r="Q820">
        <f>AND(O820,COUNTIF(P821:P$1002,P820)=0)</f>
        <v/>
      </c>
      <c r="R820">
        <f>OR(AND(설정!$A$28&lt;&gt;"",ISNUMBER(SEARCH(설정!$A$28,E820&amp;" "&amp;C820))),AND(설정!$A$29&lt;&gt;"",ISNUMBER(SEARCH(설정!$A$29,E820&amp;" "&amp;C820))),AND(설정!$A$30&lt;&gt;"",ISNUMBER(SEARCH(설정!$A$30,E820&amp;" "&amp;C820))),AND(설정!$A$31&lt;&gt;"",ISNUMBER(SEARCH(설정!$A$31,E820&amp;" "&amp;C820))),AND(설정!$A$32&lt;&gt;"",ISNUMBER(SEARCH(설정!$A$32,E820&amp;" "&amp;C820))),AND(설정!$A$33&lt;&gt;"",ISNUMBER(SEARCH(설정!$A$33,E820&amp;" "&amp;C820))),AND(설정!$A$34&lt;&gt;"",ISNUMBER(SEARCH(설정!$A$34,E820&amp;" "&amp;C820))),AND(설정!$A$35&lt;&gt;"",ISNUMBER(SEARCH(설정!$A$35,E820&amp;" "&amp;C820))),AND(설정!$A$36&lt;&gt;"",ISNUMBER(SEARCH(설정!$A$36,E820&amp;" "&amp;C820))),AND(설정!$A$37&lt;&gt;"",ISNUMBER(SEARCH(설정!$A$37,E820&amp;" "&amp;C820))))</f>
        <v/>
      </c>
      <c r="S820">
        <f>OR(D820="",D820&gt;=설정!$B$19)</f>
        <v/>
      </c>
      <c r="T820">
        <f>AND(Q820,R820,S820)</f>
        <v/>
      </c>
      <c r="U820">
        <f>IF(T820,IF(AND(설정!$A$41&lt;&gt;"",ISNUMBER(SEARCH(설정!$A$41,K820))),설정!$B$41,IF(AND(설정!$A$42&lt;&gt;"",ISNUMBER(SEARCH(설정!$A$42,K820))),설정!$B$42,IF(AND(설정!$A$43&lt;&gt;"",ISNUMBER(SEARCH(설정!$A$43,K820))),설정!$B$43,IF(AND(설정!$A$44&lt;&gt;"",ISNUMBER(SEARCH(설정!$A$44,K820))),설정!$B$44,IF(AND(설정!$A$45&lt;&gt;"",ISNUMBER(SEARCH(설정!$A$45,K820))),설정!$B$45,IF(AND(설정!$A$46&lt;&gt;"",ISNUMBER(SEARCH(설정!$A$46,K820))),설정!$B$46,IF(AND(설정!$A$47&lt;&gt;"",ISNUMBER(SEARCH(설정!$A$47,K820))),설정!$B$47,IF(AND(설정!$A$48&lt;&gt;"",ISNUMBER(SEARCH(설정!$A$48,K820))),설정!$B$48,IF(M820="","설계사","시공사"))))))))),"")</f>
        <v/>
      </c>
      <c r="V820">
        <f>SUBSTITUTE(SUBSTITUTE(SUBSTITUTE(SUBSTITUTE(G820,"(주)",""),"㈜",""),"주식회사","")," ","")</f>
        <v/>
      </c>
      <c r="W820">
        <f>IF(AND(T820,V820&lt;&gt;""),IF(COUNTIFS(V$2:V820,V820,T$2:T820,TRUE)=1,MAX(W$1:W819)+1,""),"")</f>
        <v/>
      </c>
      <c r="X820">
        <f>IFERROR(INDEX('1.산군_붙여넣기'!$A$1:$AZ$1001,ROW(),설정!$C$14)&amp;"","")</f>
        <v/>
      </c>
      <c r="Y820">
        <f>IFERROR(INDEX('1.산군_붙여넣기'!$A$1:$AZ$1001,ROW(),설정!$C$15)&amp;"","")</f>
        <v/>
      </c>
      <c r="Z820">
        <f>IF(T820,V820&amp;"|"&amp;U820,"")</f>
        <v/>
      </c>
    </row>
    <row r="821">
      <c r="A821">
        <f>ROW()</f>
        <v/>
      </c>
      <c r="B821">
        <f>IFERROR(INDEX('1.산군_붙여넣기'!$A$1:$AZ$1001,ROW(),설정!$C$4)&amp;"","")</f>
        <v/>
      </c>
      <c r="C821">
        <f>IFERROR(INDEX('1.산군_붙여넣기'!$A$1:$AZ$1001,ROW(),설정!$C$5)&amp;"","")</f>
        <v/>
      </c>
      <c r="D821" s="5">
        <f>IFERROR(VALUE(SUBSTITUTE(SUBSTITUTE(SUBSTITUTE(IFERROR(INDEX('1.산군_붙여넣기'!$A$1:$AZ$1001,ROW(),설정!$C$6)&amp;"",""),",",""),"㎡",""),"m2","")),"")</f>
        <v/>
      </c>
      <c r="E821">
        <f>IFERROR(INDEX('1.산군_붙여넣기'!$A$1:$AZ$1001,ROW(),설정!$C$7)&amp;"","")</f>
        <v/>
      </c>
      <c r="F821">
        <f>IFERROR(INDEX('1.산군_붙여넣기'!$A$1:$AZ$1001,ROW(),설정!$C$8)&amp;"","")</f>
        <v/>
      </c>
      <c r="G821">
        <f>IFERROR(INDEX('1.산군_붙여넣기'!$A$1:$AZ$1001,ROW(),설정!$C$9)&amp;"","")</f>
        <v/>
      </c>
      <c r="H821">
        <f>IFERROR(INDEX('1.산군_붙여넣기'!$A$1:$AZ$1001,ROW(),설정!$C$10)&amp;"","")</f>
        <v/>
      </c>
      <c r="I821">
        <f>IFERROR(INDEX('1.산군_붙여넣기'!$A$1:$AZ$1001,ROW(),설정!$C$11)&amp;"","")</f>
        <v/>
      </c>
      <c r="J821">
        <f>IFERROR(INDEX('1.산군_붙여넣기'!$A$1:$AZ$1001,ROW(),설정!$C$12)&amp;"","")</f>
        <v/>
      </c>
      <c r="K821">
        <f>IFERROR(INDEX('1.산군_붙여넣기'!$A$1:$AZ$1001,ROW(),설정!$C$13)&amp;"","")</f>
        <v/>
      </c>
      <c r="L821" s="6">
        <f>IF(X821="","",IF(AND(LEN(X821)=8,ISNUMBER(X821*1)),DATE(LEFT(X821,4),MID(X821,5,2),RIGHT(X821,2)),IFERROR(DATEVALUE(SUBSTITUTE(SUBSTITUTE(X821,".","-"),"/","-")),IFERROR(X821*1,""))))</f>
        <v/>
      </c>
      <c r="M821" s="6">
        <f>IF(Y821="","",IF(AND(LEN(Y821)=8,ISNUMBER(Y821*1)),DATE(LEFT(Y821,4),MID(Y821,5,2),RIGHT(Y821,2)),IFERROR(DATEVALUE(SUBSTITUTE(SUBSTITUTE(Y821,".","-"),"/","-")),IFERROR(Y821*1,""))))</f>
        <v/>
      </c>
      <c r="N821">
        <f>IFERROR(LEFT(B821,FIND(" ",B821)-1),B821)</f>
        <v/>
      </c>
      <c r="O821">
        <f>AND(B821&lt;&gt;"",B821&lt;&gt;설정!$B$4,C821&lt;&gt;설정!$B$5)</f>
        <v/>
      </c>
      <c r="P821">
        <f>IF(O821,B821&amp;"|"&amp;C821,"")</f>
        <v/>
      </c>
      <c r="Q821">
        <f>AND(O821,COUNTIF(P822:P$1002,P821)=0)</f>
        <v/>
      </c>
      <c r="R821">
        <f>OR(AND(설정!$A$28&lt;&gt;"",ISNUMBER(SEARCH(설정!$A$28,E821&amp;" "&amp;C821))),AND(설정!$A$29&lt;&gt;"",ISNUMBER(SEARCH(설정!$A$29,E821&amp;" "&amp;C821))),AND(설정!$A$30&lt;&gt;"",ISNUMBER(SEARCH(설정!$A$30,E821&amp;" "&amp;C821))),AND(설정!$A$31&lt;&gt;"",ISNUMBER(SEARCH(설정!$A$31,E821&amp;" "&amp;C821))),AND(설정!$A$32&lt;&gt;"",ISNUMBER(SEARCH(설정!$A$32,E821&amp;" "&amp;C821))),AND(설정!$A$33&lt;&gt;"",ISNUMBER(SEARCH(설정!$A$33,E821&amp;" "&amp;C821))),AND(설정!$A$34&lt;&gt;"",ISNUMBER(SEARCH(설정!$A$34,E821&amp;" "&amp;C821))),AND(설정!$A$35&lt;&gt;"",ISNUMBER(SEARCH(설정!$A$35,E821&amp;" "&amp;C821))),AND(설정!$A$36&lt;&gt;"",ISNUMBER(SEARCH(설정!$A$36,E821&amp;" "&amp;C821))),AND(설정!$A$37&lt;&gt;"",ISNUMBER(SEARCH(설정!$A$37,E821&amp;" "&amp;C821))))</f>
        <v/>
      </c>
      <c r="S821">
        <f>OR(D821="",D821&gt;=설정!$B$19)</f>
        <v/>
      </c>
      <c r="T821">
        <f>AND(Q821,R821,S821)</f>
        <v/>
      </c>
      <c r="U821">
        <f>IF(T821,IF(AND(설정!$A$41&lt;&gt;"",ISNUMBER(SEARCH(설정!$A$41,K821))),설정!$B$41,IF(AND(설정!$A$42&lt;&gt;"",ISNUMBER(SEARCH(설정!$A$42,K821))),설정!$B$42,IF(AND(설정!$A$43&lt;&gt;"",ISNUMBER(SEARCH(설정!$A$43,K821))),설정!$B$43,IF(AND(설정!$A$44&lt;&gt;"",ISNUMBER(SEARCH(설정!$A$44,K821))),설정!$B$44,IF(AND(설정!$A$45&lt;&gt;"",ISNUMBER(SEARCH(설정!$A$45,K821))),설정!$B$45,IF(AND(설정!$A$46&lt;&gt;"",ISNUMBER(SEARCH(설정!$A$46,K821))),설정!$B$46,IF(AND(설정!$A$47&lt;&gt;"",ISNUMBER(SEARCH(설정!$A$47,K821))),설정!$B$47,IF(AND(설정!$A$48&lt;&gt;"",ISNUMBER(SEARCH(설정!$A$48,K821))),설정!$B$48,IF(M821="","설계사","시공사"))))))))),"")</f>
        <v/>
      </c>
      <c r="V821">
        <f>SUBSTITUTE(SUBSTITUTE(SUBSTITUTE(SUBSTITUTE(G821,"(주)",""),"㈜",""),"주식회사","")," ","")</f>
        <v/>
      </c>
      <c r="W821">
        <f>IF(AND(T821,V821&lt;&gt;""),IF(COUNTIFS(V$2:V821,V821,T$2:T821,TRUE)=1,MAX(W$1:W820)+1,""),"")</f>
        <v/>
      </c>
      <c r="X821">
        <f>IFERROR(INDEX('1.산군_붙여넣기'!$A$1:$AZ$1001,ROW(),설정!$C$14)&amp;"","")</f>
        <v/>
      </c>
      <c r="Y821">
        <f>IFERROR(INDEX('1.산군_붙여넣기'!$A$1:$AZ$1001,ROW(),설정!$C$15)&amp;"","")</f>
        <v/>
      </c>
      <c r="Z821">
        <f>IF(T821,V821&amp;"|"&amp;U821,"")</f>
        <v/>
      </c>
    </row>
    <row r="822">
      <c r="A822">
        <f>ROW()</f>
        <v/>
      </c>
      <c r="B822">
        <f>IFERROR(INDEX('1.산군_붙여넣기'!$A$1:$AZ$1001,ROW(),설정!$C$4)&amp;"","")</f>
        <v/>
      </c>
      <c r="C822">
        <f>IFERROR(INDEX('1.산군_붙여넣기'!$A$1:$AZ$1001,ROW(),설정!$C$5)&amp;"","")</f>
        <v/>
      </c>
      <c r="D822" s="5">
        <f>IFERROR(VALUE(SUBSTITUTE(SUBSTITUTE(SUBSTITUTE(IFERROR(INDEX('1.산군_붙여넣기'!$A$1:$AZ$1001,ROW(),설정!$C$6)&amp;"",""),",",""),"㎡",""),"m2","")),"")</f>
        <v/>
      </c>
      <c r="E822">
        <f>IFERROR(INDEX('1.산군_붙여넣기'!$A$1:$AZ$1001,ROW(),설정!$C$7)&amp;"","")</f>
        <v/>
      </c>
      <c r="F822">
        <f>IFERROR(INDEX('1.산군_붙여넣기'!$A$1:$AZ$1001,ROW(),설정!$C$8)&amp;"","")</f>
        <v/>
      </c>
      <c r="G822">
        <f>IFERROR(INDEX('1.산군_붙여넣기'!$A$1:$AZ$1001,ROW(),설정!$C$9)&amp;"","")</f>
        <v/>
      </c>
      <c r="H822">
        <f>IFERROR(INDEX('1.산군_붙여넣기'!$A$1:$AZ$1001,ROW(),설정!$C$10)&amp;"","")</f>
        <v/>
      </c>
      <c r="I822">
        <f>IFERROR(INDEX('1.산군_붙여넣기'!$A$1:$AZ$1001,ROW(),설정!$C$11)&amp;"","")</f>
        <v/>
      </c>
      <c r="J822">
        <f>IFERROR(INDEX('1.산군_붙여넣기'!$A$1:$AZ$1001,ROW(),설정!$C$12)&amp;"","")</f>
        <v/>
      </c>
      <c r="K822">
        <f>IFERROR(INDEX('1.산군_붙여넣기'!$A$1:$AZ$1001,ROW(),설정!$C$13)&amp;"","")</f>
        <v/>
      </c>
      <c r="L822" s="6">
        <f>IF(X822="","",IF(AND(LEN(X822)=8,ISNUMBER(X822*1)),DATE(LEFT(X822,4),MID(X822,5,2),RIGHT(X822,2)),IFERROR(DATEVALUE(SUBSTITUTE(SUBSTITUTE(X822,".","-"),"/","-")),IFERROR(X822*1,""))))</f>
        <v/>
      </c>
      <c r="M822" s="6">
        <f>IF(Y822="","",IF(AND(LEN(Y822)=8,ISNUMBER(Y822*1)),DATE(LEFT(Y822,4),MID(Y822,5,2),RIGHT(Y822,2)),IFERROR(DATEVALUE(SUBSTITUTE(SUBSTITUTE(Y822,".","-"),"/","-")),IFERROR(Y822*1,""))))</f>
        <v/>
      </c>
      <c r="N822">
        <f>IFERROR(LEFT(B822,FIND(" ",B822)-1),B822)</f>
        <v/>
      </c>
      <c r="O822">
        <f>AND(B822&lt;&gt;"",B822&lt;&gt;설정!$B$4,C822&lt;&gt;설정!$B$5)</f>
        <v/>
      </c>
      <c r="P822">
        <f>IF(O822,B822&amp;"|"&amp;C822,"")</f>
        <v/>
      </c>
      <c r="Q822">
        <f>AND(O822,COUNTIF(P823:P$1002,P822)=0)</f>
        <v/>
      </c>
      <c r="R822">
        <f>OR(AND(설정!$A$28&lt;&gt;"",ISNUMBER(SEARCH(설정!$A$28,E822&amp;" "&amp;C822))),AND(설정!$A$29&lt;&gt;"",ISNUMBER(SEARCH(설정!$A$29,E822&amp;" "&amp;C822))),AND(설정!$A$30&lt;&gt;"",ISNUMBER(SEARCH(설정!$A$30,E822&amp;" "&amp;C822))),AND(설정!$A$31&lt;&gt;"",ISNUMBER(SEARCH(설정!$A$31,E822&amp;" "&amp;C822))),AND(설정!$A$32&lt;&gt;"",ISNUMBER(SEARCH(설정!$A$32,E822&amp;" "&amp;C822))),AND(설정!$A$33&lt;&gt;"",ISNUMBER(SEARCH(설정!$A$33,E822&amp;" "&amp;C822))),AND(설정!$A$34&lt;&gt;"",ISNUMBER(SEARCH(설정!$A$34,E822&amp;" "&amp;C822))),AND(설정!$A$35&lt;&gt;"",ISNUMBER(SEARCH(설정!$A$35,E822&amp;" "&amp;C822))),AND(설정!$A$36&lt;&gt;"",ISNUMBER(SEARCH(설정!$A$36,E822&amp;" "&amp;C822))),AND(설정!$A$37&lt;&gt;"",ISNUMBER(SEARCH(설정!$A$37,E822&amp;" "&amp;C822))))</f>
        <v/>
      </c>
      <c r="S822">
        <f>OR(D822="",D822&gt;=설정!$B$19)</f>
        <v/>
      </c>
      <c r="T822">
        <f>AND(Q822,R822,S822)</f>
        <v/>
      </c>
      <c r="U822">
        <f>IF(T822,IF(AND(설정!$A$41&lt;&gt;"",ISNUMBER(SEARCH(설정!$A$41,K822))),설정!$B$41,IF(AND(설정!$A$42&lt;&gt;"",ISNUMBER(SEARCH(설정!$A$42,K822))),설정!$B$42,IF(AND(설정!$A$43&lt;&gt;"",ISNUMBER(SEARCH(설정!$A$43,K822))),설정!$B$43,IF(AND(설정!$A$44&lt;&gt;"",ISNUMBER(SEARCH(설정!$A$44,K822))),설정!$B$44,IF(AND(설정!$A$45&lt;&gt;"",ISNUMBER(SEARCH(설정!$A$45,K822))),설정!$B$45,IF(AND(설정!$A$46&lt;&gt;"",ISNUMBER(SEARCH(설정!$A$46,K822))),설정!$B$46,IF(AND(설정!$A$47&lt;&gt;"",ISNUMBER(SEARCH(설정!$A$47,K822))),설정!$B$47,IF(AND(설정!$A$48&lt;&gt;"",ISNUMBER(SEARCH(설정!$A$48,K822))),설정!$B$48,IF(M822="","설계사","시공사"))))))))),"")</f>
        <v/>
      </c>
      <c r="V822">
        <f>SUBSTITUTE(SUBSTITUTE(SUBSTITUTE(SUBSTITUTE(G822,"(주)",""),"㈜",""),"주식회사","")," ","")</f>
        <v/>
      </c>
      <c r="W822">
        <f>IF(AND(T822,V822&lt;&gt;""),IF(COUNTIFS(V$2:V822,V822,T$2:T822,TRUE)=1,MAX(W$1:W821)+1,""),"")</f>
        <v/>
      </c>
      <c r="X822">
        <f>IFERROR(INDEX('1.산군_붙여넣기'!$A$1:$AZ$1001,ROW(),설정!$C$14)&amp;"","")</f>
        <v/>
      </c>
      <c r="Y822">
        <f>IFERROR(INDEX('1.산군_붙여넣기'!$A$1:$AZ$1001,ROW(),설정!$C$15)&amp;"","")</f>
        <v/>
      </c>
      <c r="Z822">
        <f>IF(T822,V822&amp;"|"&amp;U822,"")</f>
        <v/>
      </c>
    </row>
    <row r="823">
      <c r="A823">
        <f>ROW()</f>
        <v/>
      </c>
      <c r="B823">
        <f>IFERROR(INDEX('1.산군_붙여넣기'!$A$1:$AZ$1001,ROW(),설정!$C$4)&amp;"","")</f>
        <v/>
      </c>
      <c r="C823">
        <f>IFERROR(INDEX('1.산군_붙여넣기'!$A$1:$AZ$1001,ROW(),설정!$C$5)&amp;"","")</f>
        <v/>
      </c>
      <c r="D823" s="5">
        <f>IFERROR(VALUE(SUBSTITUTE(SUBSTITUTE(SUBSTITUTE(IFERROR(INDEX('1.산군_붙여넣기'!$A$1:$AZ$1001,ROW(),설정!$C$6)&amp;"",""),",",""),"㎡",""),"m2","")),"")</f>
        <v/>
      </c>
      <c r="E823">
        <f>IFERROR(INDEX('1.산군_붙여넣기'!$A$1:$AZ$1001,ROW(),설정!$C$7)&amp;"","")</f>
        <v/>
      </c>
      <c r="F823">
        <f>IFERROR(INDEX('1.산군_붙여넣기'!$A$1:$AZ$1001,ROW(),설정!$C$8)&amp;"","")</f>
        <v/>
      </c>
      <c r="G823">
        <f>IFERROR(INDEX('1.산군_붙여넣기'!$A$1:$AZ$1001,ROW(),설정!$C$9)&amp;"","")</f>
        <v/>
      </c>
      <c r="H823">
        <f>IFERROR(INDEX('1.산군_붙여넣기'!$A$1:$AZ$1001,ROW(),설정!$C$10)&amp;"","")</f>
        <v/>
      </c>
      <c r="I823">
        <f>IFERROR(INDEX('1.산군_붙여넣기'!$A$1:$AZ$1001,ROW(),설정!$C$11)&amp;"","")</f>
        <v/>
      </c>
      <c r="J823">
        <f>IFERROR(INDEX('1.산군_붙여넣기'!$A$1:$AZ$1001,ROW(),설정!$C$12)&amp;"","")</f>
        <v/>
      </c>
      <c r="K823">
        <f>IFERROR(INDEX('1.산군_붙여넣기'!$A$1:$AZ$1001,ROW(),설정!$C$13)&amp;"","")</f>
        <v/>
      </c>
      <c r="L823" s="6">
        <f>IF(X823="","",IF(AND(LEN(X823)=8,ISNUMBER(X823*1)),DATE(LEFT(X823,4),MID(X823,5,2),RIGHT(X823,2)),IFERROR(DATEVALUE(SUBSTITUTE(SUBSTITUTE(X823,".","-"),"/","-")),IFERROR(X823*1,""))))</f>
        <v/>
      </c>
      <c r="M823" s="6">
        <f>IF(Y823="","",IF(AND(LEN(Y823)=8,ISNUMBER(Y823*1)),DATE(LEFT(Y823,4),MID(Y823,5,2),RIGHT(Y823,2)),IFERROR(DATEVALUE(SUBSTITUTE(SUBSTITUTE(Y823,".","-"),"/","-")),IFERROR(Y823*1,""))))</f>
        <v/>
      </c>
      <c r="N823">
        <f>IFERROR(LEFT(B823,FIND(" ",B823)-1),B823)</f>
        <v/>
      </c>
      <c r="O823">
        <f>AND(B823&lt;&gt;"",B823&lt;&gt;설정!$B$4,C823&lt;&gt;설정!$B$5)</f>
        <v/>
      </c>
      <c r="P823">
        <f>IF(O823,B823&amp;"|"&amp;C823,"")</f>
        <v/>
      </c>
      <c r="Q823">
        <f>AND(O823,COUNTIF(P824:P$1002,P823)=0)</f>
        <v/>
      </c>
      <c r="R823">
        <f>OR(AND(설정!$A$28&lt;&gt;"",ISNUMBER(SEARCH(설정!$A$28,E823&amp;" "&amp;C823))),AND(설정!$A$29&lt;&gt;"",ISNUMBER(SEARCH(설정!$A$29,E823&amp;" "&amp;C823))),AND(설정!$A$30&lt;&gt;"",ISNUMBER(SEARCH(설정!$A$30,E823&amp;" "&amp;C823))),AND(설정!$A$31&lt;&gt;"",ISNUMBER(SEARCH(설정!$A$31,E823&amp;" "&amp;C823))),AND(설정!$A$32&lt;&gt;"",ISNUMBER(SEARCH(설정!$A$32,E823&amp;" "&amp;C823))),AND(설정!$A$33&lt;&gt;"",ISNUMBER(SEARCH(설정!$A$33,E823&amp;" "&amp;C823))),AND(설정!$A$34&lt;&gt;"",ISNUMBER(SEARCH(설정!$A$34,E823&amp;" "&amp;C823))),AND(설정!$A$35&lt;&gt;"",ISNUMBER(SEARCH(설정!$A$35,E823&amp;" "&amp;C823))),AND(설정!$A$36&lt;&gt;"",ISNUMBER(SEARCH(설정!$A$36,E823&amp;" "&amp;C823))),AND(설정!$A$37&lt;&gt;"",ISNUMBER(SEARCH(설정!$A$37,E823&amp;" "&amp;C823))))</f>
        <v/>
      </c>
      <c r="S823">
        <f>OR(D823="",D823&gt;=설정!$B$19)</f>
        <v/>
      </c>
      <c r="T823">
        <f>AND(Q823,R823,S823)</f>
        <v/>
      </c>
      <c r="U823">
        <f>IF(T823,IF(AND(설정!$A$41&lt;&gt;"",ISNUMBER(SEARCH(설정!$A$41,K823))),설정!$B$41,IF(AND(설정!$A$42&lt;&gt;"",ISNUMBER(SEARCH(설정!$A$42,K823))),설정!$B$42,IF(AND(설정!$A$43&lt;&gt;"",ISNUMBER(SEARCH(설정!$A$43,K823))),설정!$B$43,IF(AND(설정!$A$44&lt;&gt;"",ISNUMBER(SEARCH(설정!$A$44,K823))),설정!$B$44,IF(AND(설정!$A$45&lt;&gt;"",ISNUMBER(SEARCH(설정!$A$45,K823))),설정!$B$45,IF(AND(설정!$A$46&lt;&gt;"",ISNUMBER(SEARCH(설정!$A$46,K823))),설정!$B$46,IF(AND(설정!$A$47&lt;&gt;"",ISNUMBER(SEARCH(설정!$A$47,K823))),설정!$B$47,IF(AND(설정!$A$48&lt;&gt;"",ISNUMBER(SEARCH(설정!$A$48,K823))),설정!$B$48,IF(M823="","설계사","시공사"))))))))),"")</f>
        <v/>
      </c>
      <c r="V823">
        <f>SUBSTITUTE(SUBSTITUTE(SUBSTITUTE(SUBSTITUTE(G823,"(주)",""),"㈜",""),"주식회사","")," ","")</f>
        <v/>
      </c>
      <c r="W823">
        <f>IF(AND(T823,V823&lt;&gt;""),IF(COUNTIFS(V$2:V823,V823,T$2:T823,TRUE)=1,MAX(W$1:W822)+1,""),"")</f>
        <v/>
      </c>
      <c r="X823">
        <f>IFERROR(INDEX('1.산군_붙여넣기'!$A$1:$AZ$1001,ROW(),설정!$C$14)&amp;"","")</f>
        <v/>
      </c>
      <c r="Y823">
        <f>IFERROR(INDEX('1.산군_붙여넣기'!$A$1:$AZ$1001,ROW(),설정!$C$15)&amp;"","")</f>
        <v/>
      </c>
      <c r="Z823">
        <f>IF(T823,V823&amp;"|"&amp;U823,"")</f>
        <v/>
      </c>
    </row>
    <row r="824">
      <c r="A824">
        <f>ROW()</f>
        <v/>
      </c>
      <c r="B824">
        <f>IFERROR(INDEX('1.산군_붙여넣기'!$A$1:$AZ$1001,ROW(),설정!$C$4)&amp;"","")</f>
        <v/>
      </c>
      <c r="C824">
        <f>IFERROR(INDEX('1.산군_붙여넣기'!$A$1:$AZ$1001,ROW(),설정!$C$5)&amp;"","")</f>
        <v/>
      </c>
      <c r="D824" s="5">
        <f>IFERROR(VALUE(SUBSTITUTE(SUBSTITUTE(SUBSTITUTE(IFERROR(INDEX('1.산군_붙여넣기'!$A$1:$AZ$1001,ROW(),설정!$C$6)&amp;"",""),",",""),"㎡",""),"m2","")),"")</f>
        <v/>
      </c>
      <c r="E824">
        <f>IFERROR(INDEX('1.산군_붙여넣기'!$A$1:$AZ$1001,ROW(),설정!$C$7)&amp;"","")</f>
        <v/>
      </c>
      <c r="F824">
        <f>IFERROR(INDEX('1.산군_붙여넣기'!$A$1:$AZ$1001,ROW(),설정!$C$8)&amp;"","")</f>
        <v/>
      </c>
      <c r="G824">
        <f>IFERROR(INDEX('1.산군_붙여넣기'!$A$1:$AZ$1001,ROW(),설정!$C$9)&amp;"","")</f>
        <v/>
      </c>
      <c r="H824">
        <f>IFERROR(INDEX('1.산군_붙여넣기'!$A$1:$AZ$1001,ROW(),설정!$C$10)&amp;"","")</f>
        <v/>
      </c>
      <c r="I824">
        <f>IFERROR(INDEX('1.산군_붙여넣기'!$A$1:$AZ$1001,ROW(),설정!$C$11)&amp;"","")</f>
        <v/>
      </c>
      <c r="J824">
        <f>IFERROR(INDEX('1.산군_붙여넣기'!$A$1:$AZ$1001,ROW(),설정!$C$12)&amp;"","")</f>
        <v/>
      </c>
      <c r="K824">
        <f>IFERROR(INDEX('1.산군_붙여넣기'!$A$1:$AZ$1001,ROW(),설정!$C$13)&amp;"","")</f>
        <v/>
      </c>
      <c r="L824" s="6">
        <f>IF(X824="","",IF(AND(LEN(X824)=8,ISNUMBER(X824*1)),DATE(LEFT(X824,4),MID(X824,5,2),RIGHT(X824,2)),IFERROR(DATEVALUE(SUBSTITUTE(SUBSTITUTE(X824,".","-"),"/","-")),IFERROR(X824*1,""))))</f>
        <v/>
      </c>
      <c r="M824" s="6">
        <f>IF(Y824="","",IF(AND(LEN(Y824)=8,ISNUMBER(Y824*1)),DATE(LEFT(Y824,4),MID(Y824,5,2),RIGHT(Y824,2)),IFERROR(DATEVALUE(SUBSTITUTE(SUBSTITUTE(Y824,".","-"),"/","-")),IFERROR(Y824*1,""))))</f>
        <v/>
      </c>
      <c r="N824">
        <f>IFERROR(LEFT(B824,FIND(" ",B824)-1),B824)</f>
        <v/>
      </c>
      <c r="O824">
        <f>AND(B824&lt;&gt;"",B824&lt;&gt;설정!$B$4,C824&lt;&gt;설정!$B$5)</f>
        <v/>
      </c>
      <c r="P824">
        <f>IF(O824,B824&amp;"|"&amp;C824,"")</f>
        <v/>
      </c>
      <c r="Q824">
        <f>AND(O824,COUNTIF(P825:P$1002,P824)=0)</f>
        <v/>
      </c>
      <c r="R824">
        <f>OR(AND(설정!$A$28&lt;&gt;"",ISNUMBER(SEARCH(설정!$A$28,E824&amp;" "&amp;C824))),AND(설정!$A$29&lt;&gt;"",ISNUMBER(SEARCH(설정!$A$29,E824&amp;" "&amp;C824))),AND(설정!$A$30&lt;&gt;"",ISNUMBER(SEARCH(설정!$A$30,E824&amp;" "&amp;C824))),AND(설정!$A$31&lt;&gt;"",ISNUMBER(SEARCH(설정!$A$31,E824&amp;" "&amp;C824))),AND(설정!$A$32&lt;&gt;"",ISNUMBER(SEARCH(설정!$A$32,E824&amp;" "&amp;C824))),AND(설정!$A$33&lt;&gt;"",ISNUMBER(SEARCH(설정!$A$33,E824&amp;" "&amp;C824))),AND(설정!$A$34&lt;&gt;"",ISNUMBER(SEARCH(설정!$A$34,E824&amp;" "&amp;C824))),AND(설정!$A$35&lt;&gt;"",ISNUMBER(SEARCH(설정!$A$35,E824&amp;" "&amp;C824))),AND(설정!$A$36&lt;&gt;"",ISNUMBER(SEARCH(설정!$A$36,E824&amp;" "&amp;C824))),AND(설정!$A$37&lt;&gt;"",ISNUMBER(SEARCH(설정!$A$37,E824&amp;" "&amp;C824))))</f>
        <v/>
      </c>
      <c r="S824">
        <f>OR(D824="",D824&gt;=설정!$B$19)</f>
        <v/>
      </c>
      <c r="T824">
        <f>AND(Q824,R824,S824)</f>
        <v/>
      </c>
      <c r="U824">
        <f>IF(T824,IF(AND(설정!$A$41&lt;&gt;"",ISNUMBER(SEARCH(설정!$A$41,K824))),설정!$B$41,IF(AND(설정!$A$42&lt;&gt;"",ISNUMBER(SEARCH(설정!$A$42,K824))),설정!$B$42,IF(AND(설정!$A$43&lt;&gt;"",ISNUMBER(SEARCH(설정!$A$43,K824))),설정!$B$43,IF(AND(설정!$A$44&lt;&gt;"",ISNUMBER(SEARCH(설정!$A$44,K824))),설정!$B$44,IF(AND(설정!$A$45&lt;&gt;"",ISNUMBER(SEARCH(설정!$A$45,K824))),설정!$B$45,IF(AND(설정!$A$46&lt;&gt;"",ISNUMBER(SEARCH(설정!$A$46,K824))),설정!$B$46,IF(AND(설정!$A$47&lt;&gt;"",ISNUMBER(SEARCH(설정!$A$47,K824))),설정!$B$47,IF(AND(설정!$A$48&lt;&gt;"",ISNUMBER(SEARCH(설정!$A$48,K824))),설정!$B$48,IF(M824="","설계사","시공사"))))))))),"")</f>
        <v/>
      </c>
      <c r="V824">
        <f>SUBSTITUTE(SUBSTITUTE(SUBSTITUTE(SUBSTITUTE(G824,"(주)",""),"㈜",""),"주식회사","")," ","")</f>
        <v/>
      </c>
      <c r="W824">
        <f>IF(AND(T824,V824&lt;&gt;""),IF(COUNTIFS(V$2:V824,V824,T$2:T824,TRUE)=1,MAX(W$1:W823)+1,""),"")</f>
        <v/>
      </c>
      <c r="X824">
        <f>IFERROR(INDEX('1.산군_붙여넣기'!$A$1:$AZ$1001,ROW(),설정!$C$14)&amp;"","")</f>
        <v/>
      </c>
      <c r="Y824">
        <f>IFERROR(INDEX('1.산군_붙여넣기'!$A$1:$AZ$1001,ROW(),설정!$C$15)&amp;"","")</f>
        <v/>
      </c>
      <c r="Z824">
        <f>IF(T824,V824&amp;"|"&amp;U824,"")</f>
        <v/>
      </c>
    </row>
    <row r="825">
      <c r="A825">
        <f>ROW()</f>
        <v/>
      </c>
      <c r="B825">
        <f>IFERROR(INDEX('1.산군_붙여넣기'!$A$1:$AZ$1001,ROW(),설정!$C$4)&amp;"","")</f>
        <v/>
      </c>
      <c r="C825">
        <f>IFERROR(INDEX('1.산군_붙여넣기'!$A$1:$AZ$1001,ROW(),설정!$C$5)&amp;"","")</f>
        <v/>
      </c>
      <c r="D825" s="5">
        <f>IFERROR(VALUE(SUBSTITUTE(SUBSTITUTE(SUBSTITUTE(IFERROR(INDEX('1.산군_붙여넣기'!$A$1:$AZ$1001,ROW(),설정!$C$6)&amp;"",""),",",""),"㎡",""),"m2","")),"")</f>
        <v/>
      </c>
      <c r="E825">
        <f>IFERROR(INDEX('1.산군_붙여넣기'!$A$1:$AZ$1001,ROW(),설정!$C$7)&amp;"","")</f>
        <v/>
      </c>
      <c r="F825">
        <f>IFERROR(INDEX('1.산군_붙여넣기'!$A$1:$AZ$1001,ROW(),설정!$C$8)&amp;"","")</f>
        <v/>
      </c>
      <c r="G825">
        <f>IFERROR(INDEX('1.산군_붙여넣기'!$A$1:$AZ$1001,ROW(),설정!$C$9)&amp;"","")</f>
        <v/>
      </c>
      <c r="H825">
        <f>IFERROR(INDEX('1.산군_붙여넣기'!$A$1:$AZ$1001,ROW(),설정!$C$10)&amp;"","")</f>
        <v/>
      </c>
      <c r="I825">
        <f>IFERROR(INDEX('1.산군_붙여넣기'!$A$1:$AZ$1001,ROW(),설정!$C$11)&amp;"","")</f>
        <v/>
      </c>
      <c r="J825">
        <f>IFERROR(INDEX('1.산군_붙여넣기'!$A$1:$AZ$1001,ROW(),설정!$C$12)&amp;"","")</f>
        <v/>
      </c>
      <c r="K825">
        <f>IFERROR(INDEX('1.산군_붙여넣기'!$A$1:$AZ$1001,ROW(),설정!$C$13)&amp;"","")</f>
        <v/>
      </c>
      <c r="L825" s="6">
        <f>IF(X825="","",IF(AND(LEN(X825)=8,ISNUMBER(X825*1)),DATE(LEFT(X825,4),MID(X825,5,2),RIGHT(X825,2)),IFERROR(DATEVALUE(SUBSTITUTE(SUBSTITUTE(X825,".","-"),"/","-")),IFERROR(X825*1,""))))</f>
        <v/>
      </c>
      <c r="M825" s="6">
        <f>IF(Y825="","",IF(AND(LEN(Y825)=8,ISNUMBER(Y825*1)),DATE(LEFT(Y825,4),MID(Y825,5,2),RIGHT(Y825,2)),IFERROR(DATEVALUE(SUBSTITUTE(SUBSTITUTE(Y825,".","-"),"/","-")),IFERROR(Y825*1,""))))</f>
        <v/>
      </c>
      <c r="N825">
        <f>IFERROR(LEFT(B825,FIND(" ",B825)-1),B825)</f>
        <v/>
      </c>
      <c r="O825">
        <f>AND(B825&lt;&gt;"",B825&lt;&gt;설정!$B$4,C825&lt;&gt;설정!$B$5)</f>
        <v/>
      </c>
      <c r="P825">
        <f>IF(O825,B825&amp;"|"&amp;C825,"")</f>
        <v/>
      </c>
      <c r="Q825">
        <f>AND(O825,COUNTIF(P826:P$1002,P825)=0)</f>
        <v/>
      </c>
      <c r="R825">
        <f>OR(AND(설정!$A$28&lt;&gt;"",ISNUMBER(SEARCH(설정!$A$28,E825&amp;" "&amp;C825))),AND(설정!$A$29&lt;&gt;"",ISNUMBER(SEARCH(설정!$A$29,E825&amp;" "&amp;C825))),AND(설정!$A$30&lt;&gt;"",ISNUMBER(SEARCH(설정!$A$30,E825&amp;" "&amp;C825))),AND(설정!$A$31&lt;&gt;"",ISNUMBER(SEARCH(설정!$A$31,E825&amp;" "&amp;C825))),AND(설정!$A$32&lt;&gt;"",ISNUMBER(SEARCH(설정!$A$32,E825&amp;" "&amp;C825))),AND(설정!$A$33&lt;&gt;"",ISNUMBER(SEARCH(설정!$A$33,E825&amp;" "&amp;C825))),AND(설정!$A$34&lt;&gt;"",ISNUMBER(SEARCH(설정!$A$34,E825&amp;" "&amp;C825))),AND(설정!$A$35&lt;&gt;"",ISNUMBER(SEARCH(설정!$A$35,E825&amp;" "&amp;C825))),AND(설정!$A$36&lt;&gt;"",ISNUMBER(SEARCH(설정!$A$36,E825&amp;" "&amp;C825))),AND(설정!$A$37&lt;&gt;"",ISNUMBER(SEARCH(설정!$A$37,E825&amp;" "&amp;C825))))</f>
        <v/>
      </c>
      <c r="S825">
        <f>OR(D825="",D825&gt;=설정!$B$19)</f>
        <v/>
      </c>
      <c r="T825">
        <f>AND(Q825,R825,S825)</f>
        <v/>
      </c>
      <c r="U825">
        <f>IF(T825,IF(AND(설정!$A$41&lt;&gt;"",ISNUMBER(SEARCH(설정!$A$41,K825))),설정!$B$41,IF(AND(설정!$A$42&lt;&gt;"",ISNUMBER(SEARCH(설정!$A$42,K825))),설정!$B$42,IF(AND(설정!$A$43&lt;&gt;"",ISNUMBER(SEARCH(설정!$A$43,K825))),설정!$B$43,IF(AND(설정!$A$44&lt;&gt;"",ISNUMBER(SEARCH(설정!$A$44,K825))),설정!$B$44,IF(AND(설정!$A$45&lt;&gt;"",ISNUMBER(SEARCH(설정!$A$45,K825))),설정!$B$45,IF(AND(설정!$A$46&lt;&gt;"",ISNUMBER(SEARCH(설정!$A$46,K825))),설정!$B$46,IF(AND(설정!$A$47&lt;&gt;"",ISNUMBER(SEARCH(설정!$A$47,K825))),설정!$B$47,IF(AND(설정!$A$48&lt;&gt;"",ISNUMBER(SEARCH(설정!$A$48,K825))),설정!$B$48,IF(M825="","설계사","시공사"))))))))),"")</f>
        <v/>
      </c>
      <c r="V825">
        <f>SUBSTITUTE(SUBSTITUTE(SUBSTITUTE(SUBSTITUTE(G825,"(주)",""),"㈜",""),"주식회사","")," ","")</f>
        <v/>
      </c>
      <c r="W825">
        <f>IF(AND(T825,V825&lt;&gt;""),IF(COUNTIFS(V$2:V825,V825,T$2:T825,TRUE)=1,MAX(W$1:W824)+1,""),"")</f>
        <v/>
      </c>
      <c r="X825">
        <f>IFERROR(INDEX('1.산군_붙여넣기'!$A$1:$AZ$1001,ROW(),설정!$C$14)&amp;"","")</f>
        <v/>
      </c>
      <c r="Y825">
        <f>IFERROR(INDEX('1.산군_붙여넣기'!$A$1:$AZ$1001,ROW(),설정!$C$15)&amp;"","")</f>
        <v/>
      </c>
      <c r="Z825">
        <f>IF(T825,V825&amp;"|"&amp;U825,"")</f>
        <v/>
      </c>
    </row>
    <row r="826">
      <c r="A826">
        <f>ROW()</f>
        <v/>
      </c>
      <c r="B826">
        <f>IFERROR(INDEX('1.산군_붙여넣기'!$A$1:$AZ$1001,ROW(),설정!$C$4)&amp;"","")</f>
        <v/>
      </c>
      <c r="C826">
        <f>IFERROR(INDEX('1.산군_붙여넣기'!$A$1:$AZ$1001,ROW(),설정!$C$5)&amp;"","")</f>
        <v/>
      </c>
      <c r="D826" s="5">
        <f>IFERROR(VALUE(SUBSTITUTE(SUBSTITUTE(SUBSTITUTE(IFERROR(INDEX('1.산군_붙여넣기'!$A$1:$AZ$1001,ROW(),설정!$C$6)&amp;"",""),",",""),"㎡",""),"m2","")),"")</f>
        <v/>
      </c>
      <c r="E826">
        <f>IFERROR(INDEX('1.산군_붙여넣기'!$A$1:$AZ$1001,ROW(),설정!$C$7)&amp;"","")</f>
        <v/>
      </c>
      <c r="F826">
        <f>IFERROR(INDEX('1.산군_붙여넣기'!$A$1:$AZ$1001,ROW(),설정!$C$8)&amp;"","")</f>
        <v/>
      </c>
      <c r="G826">
        <f>IFERROR(INDEX('1.산군_붙여넣기'!$A$1:$AZ$1001,ROW(),설정!$C$9)&amp;"","")</f>
        <v/>
      </c>
      <c r="H826">
        <f>IFERROR(INDEX('1.산군_붙여넣기'!$A$1:$AZ$1001,ROW(),설정!$C$10)&amp;"","")</f>
        <v/>
      </c>
      <c r="I826">
        <f>IFERROR(INDEX('1.산군_붙여넣기'!$A$1:$AZ$1001,ROW(),설정!$C$11)&amp;"","")</f>
        <v/>
      </c>
      <c r="J826">
        <f>IFERROR(INDEX('1.산군_붙여넣기'!$A$1:$AZ$1001,ROW(),설정!$C$12)&amp;"","")</f>
        <v/>
      </c>
      <c r="K826">
        <f>IFERROR(INDEX('1.산군_붙여넣기'!$A$1:$AZ$1001,ROW(),설정!$C$13)&amp;"","")</f>
        <v/>
      </c>
      <c r="L826" s="6">
        <f>IF(X826="","",IF(AND(LEN(X826)=8,ISNUMBER(X826*1)),DATE(LEFT(X826,4),MID(X826,5,2),RIGHT(X826,2)),IFERROR(DATEVALUE(SUBSTITUTE(SUBSTITUTE(X826,".","-"),"/","-")),IFERROR(X826*1,""))))</f>
        <v/>
      </c>
      <c r="M826" s="6">
        <f>IF(Y826="","",IF(AND(LEN(Y826)=8,ISNUMBER(Y826*1)),DATE(LEFT(Y826,4),MID(Y826,5,2),RIGHT(Y826,2)),IFERROR(DATEVALUE(SUBSTITUTE(SUBSTITUTE(Y826,".","-"),"/","-")),IFERROR(Y826*1,""))))</f>
        <v/>
      </c>
      <c r="N826">
        <f>IFERROR(LEFT(B826,FIND(" ",B826)-1),B826)</f>
        <v/>
      </c>
      <c r="O826">
        <f>AND(B826&lt;&gt;"",B826&lt;&gt;설정!$B$4,C826&lt;&gt;설정!$B$5)</f>
        <v/>
      </c>
      <c r="P826">
        <f>IF(O826,B826&amp;"|"&amp;C826,"")</f>
        <v/>
      </c>
      <c r="Q826">
        <f>AND(O826,COUNTIF(P827:P$1002,P826)=0)</f>
        <v/>
      </c>
      <c r="R826">
        <f>OR(AND(설정!$A$28&lt;&gt;"",ISNUMBER(SEARCH(설정!$A$28,E826&amp;" "&amp;C826))),AND(설정!$A$29&lt;&gt;"",ISNUMBER(SEARCH(설정!$A$29,E826&amp;" "&amp;C826))),AND(설정!$A$30&lt;&gt;"",ISNUMBER(SEARCH(설정!$A$30,E826&amp;" "&amp;C826))),AND(설정!$A$31&lt;&gt;"",ISNUMBER(SEARCH(설정!$A$31,E826&amp;" "&amp;C826))),AND(설정!$A$32&lt;&gt;"",ISNUMBER(SEARCH(설정!$A$32,E826&amp;" "&amp;C826))),AND(설정!$A$33&lt;&gt;"",ISNUMBER(SEARCH(설정!$A$33,E826&amp;" "&amp;C826))),AND(설정!$A$34&lt;&gt;"",ISNUMBER(SEARCH(설정!$A$34,E826&amp;" "&amp;C826))),AND(설정!$A$35&lt;&gt;"",ISNUMBER(SEARCH(설정!$A$35,E826&amp;" "&amp;C826))),AND(설정!$A$36&lt;&gt;"",ISNUMBER(SEARCH(설정!$A$36,E826&amp;" "&amp;C826))),AND(설정!$A$37&lt;&gt;"",ISNUMBER(SEARCH(설정!$A$37,E826&amp;" "&amp;C826))))</f>
        <v/>
      </c>
      <c r="S826">
        <f>OR(D826="",D826&gt;=설정!$B$19)</f>
        <v/>
      </c>
      <c r="T826">
        <f>AND(Q826,R826,S826)</f>
        <v/>
      </c>
      <c r="U826">
        <f>IF(T826,IF(AND(설정!$A$41&lt;&gt;"",ISNUMBER(SEARCH(설정!$A$41,K826))),설정!$B$41,IF(AND(설정!$A$42&lt;&gt;"",ISNUMBER(SEARCH(설정!$A$42,K826))),설정!$B$42,IF(AND(설정!$A$43&lt;&gt;"",ISNUMBER(SEARCH(설정!$A$43,K826))),설정!$B$43,IF(AND(설정!$A$44&lt;&gt;"",ISNUMBER(SEARCH(설정!$A$44,K826))),설정!$B$44,IF(AND(설정!$A$45&lt;&gt;"",ISNUMBER(SEARCH(설정!$A$45,K826))),설정!$B$45,IF(AND(설정!$A$46&lt;&gt;"",ISNUMBER(SEARCH(설정!$A$46,K826))),설정!$B$46,IF(AND(설정!$A$47&lt;&gt;"",ISNUMBER(SEARCH(설정!$A$47,K826))),설정!$B$47,IF(AND(설정!$A$48&lt;&gt;"",ISNUMBER(SEARCH(설정!$A$48,K826))),설정!$B$48,IF(M826="","설계사","시공사"))))))))),"")</f>
        <v/>
      </c>
      <c r="V826">
        <f>SUBSTITUTE(SUBSTITUTE(SUBSTITUTE(SUBSTITUTE(G826,"(주)",""),"㈜",""),"주식회사","")," ","")</f>
        <v/>
      </c>
      <c r="W826">
        <f>IF(AND(T826,V826&lt;&gt;""),IF(COUNTIFS(V$2:V826,V826,T$2:T826,TRUE)=1,MAX(W$1:W825)+1,""),"")</f>
        <v/>
      </c>
      <c r="X826">
        <f>IFERROR(INDEX('1.산군_붙여넣기'!$A$1:$AZ$1001,ROW(),설정!$C$14)&amp;"","")</f>
        <v/>
      </c>
      <c r="Y826">
        <f>IFERROR(INDEX('1.산군_붙여넣기'!$A$1:$AZ$1001,ROW(),설정!$C$15)&amp;"","")</f>
        <v/>
      </c>
      <c r="Z826">
        <f>IF(T826,V826&amp;"|"&amp;U826,"")</f>
        <v/>
      </c>
    </row>
    <row r="827">
      <c r="A827">
        <f>ROW()</f>
        <v/>
      </c>
      <c r="B827">
        <f>IFERROR(INDEX('1.산군_붙여넣기'!$A$1:$AZ$1001,ROW(),설정!$C$4)&amp;"","")</f>
        <v/>
      </c>
      <c r="C827">
        <f>IFERROR(INDEX('1.산군_붙여넣기'!$A$1:$AZ$1001,ROW(),설정!$C$5)&amp;"","")</f>
        <v/>
      </c>
      <c r="D827" s="5">
        <f>IFERROR(VALUE(SUBSTITUTE(SUBSTITUTE(SUBSTITUTE(IFERROR(INDEX('1.산군_붙여넣기'!$A$1:$AZ$1001,ROW(),설정!$C$6)&amp;"",""),",",""),"㎡",""),"m2","")),"")</f>
        <v/>
      </c>
      <c r="E827">
        <f>IFERROR(INDEX('1.산군_붙여넣기'!$A$1:$AZ$1001,ROW(),설정!$C$7)&amp;"","")</f>
        <v/>
      </c>
      <c r="F827">
        <f>IFERROR(INDEX('1.산군_붙여넣기'!$A$1:$AZ$1001,ROW(),설정!$C$8)&amp;"","")</f>
        <v/>
      </c>
      <c r="G827">
        <f>IFERROR(INDEX('1.산군_붙여넣기'!$A$1:$AZ$1001,ROW(),설정!$C$9)&amp;"","")</f>
        <v/>
      </c>
      <c r="H827">
        <f>IFERROR(INDEX('1.산군_붙여넣기'!$A$1:$AZ$1001,ROW(),설정!$C$10)&amp;"","")</f>
        <v/>
      </c>
      <c r="I827">
        <f>IFERROR(INDEX('1.산군_붙여넣기'!$A$1:$AZ$1001,ROW(),설정!$C$11)&amp;"","")</f>
        <v/>
      </c>
      <c r="J827">
        <f>IFERROR(INDEX('1.산군_붙여넣기'!$A$1:$AZ$1001,ROW(),설정!$C$12)&amp;"","")</f>
        <v/>
      </c>
      <c r="K827">
        <f>IFERROR(INDEX('1.산군_붙여넣기'!$A$1:$AZ$1001,ROW(),설정!$C$13)&amp;"","")</f>
        <v/>
      </c>
      <c r="L827" s="6">
        <f>IF(X827="","",IF(AND(LEN(X827)=8,ISNUMBER(X827*1)),DATE(LEFT(X827,4),MID(X827,5,2),RIGHT(X827,2)),IFERROR(DATEVALUE(SUBSTITUTE(SUBSTITUTE(X827,".","-"),"/","-")),IFERROR(X827*1,""))))</f>
        <v/>
      </c>
      <c r="M827" s="6">
        <f>IF(Y827="","",IF(AND(LEN(Y827)=8,ISNUMBER(Y827*1)),DATE(LEFT(Y827,4),MID(Y827,5,2),RIGHT(Y827,2)),IFERROR(DATEVALUE(SUBSTITUTE(SUBSTITUTE(Y827,".","-"),"/","-")),IFERROR(Y827*1,""))))</f>
        <v/>
      </c>
      <c r="N827">
        <f>IFERROR(LEFT(B827,FIND(" ",B827)-1),B827)</f>
        <v/>
      </c>
      <c r="O827">
        <f>AND(B827&lt;&gt;"",B827&lt;&gt;설정!$B$4,C827&lt;&gt;설정!$B$5)</f>
        <v/>
      </c>
      <c r="P827">
        <f>IF(O827,B827&amp;"|"&amp;C827,"")</f>
        <v/>
      </c>
      <c r="Q827">
        <f>AND(O827,COUNTIF(P828:P$1002,P827)=0)</f>
        <v/>
      </c>
      <c r="R827">
        <f>OR(AND(설정!$A$28&lt;&gt;"",ISNUMBER(SEARCH(설정!$A$28,E827&amp;" "&amp;C827))),AND(설정!$A$29&lt;&gt;"",ISNUMBER(SEARCH(설정!$A$29,E827&amp;" "&amp;C827))),AND(설정!$A$30&lt;&gt;"",ISNUMBER(SEARCH(설정!$A$30,E827&amp;" "&amp;C827))),AND(설정!$A$31&lt;&gt;"",ISNUMBER(SEARCH(설정!$A$31,E827&amp;" "&amp;C827))),AND(설정!$A$32&lt;&gt;"",ISNUMBER(SEARCH(설정!$A$32,E827&amp;" "&amp;C827))),AND(설정!$A$33&lt;&gt;"",ISNUMBER(SEARCH(설정!$A$33,E827&amp;" "&amp;C827))),AND(설정!$A$34&lt;&gt;"",ISNUMBER(SEARCH(설정!$A$34,E827&amp;" "&amp;C827))),AND(설정!$A$35&lt;&gt;"",ISNUMBER(SEARCH(설정!$A$35,E827&amp;" "&amp;C827))),AND(설정!$A$36&lt;&gt;"",ISNUMBER(SEARCH(설정!$A$36,E827&amp;" "&amp;C827))),AND(설정!$A$37&lt;&gt;"",ISNUMBER(SEARCH(설정!$A$37,E827&amp;" "&amp;C827))))</f>
        <v/>
      </c>
      <c r="S827">
        <f>OR(D827="",D827&gt;=설정!$B$19)</f>
        <v/>
      </c>
      <c r="T827">
        <f>AND(Q827,R827,S827)</f>
        <v/>
      </c>
      <c r="U827">
        <f>IF(T827,IF(AND(설정!$A$41&lt;&gt;"",ISNUMBER(SEARCH(설정!$A$41,K827))),설정!$B$41,IF(AND(설정!$A$42&lt;&gt;"",ISNUMBER(SEARCH(설정!$A$42,K827))),설정!$B$42,IF(AND(설정!$A$43&lt;&gt;"",ISNUMBER(SEARCH(설정!$A$43,K827))),설정!$B$43,IF(AND(설정!$A$44&lt;&gt;"",ISNUMBER(SEARCH(설정!$A$44,K827))),설정!$B$44,IF(AND(설정!$A$45&lt;&gt;"",ISNUMBER(SEARCH(설정!$A$45,K827))),설정!$B$45,IF(AND(설정!$A$46&lt;&gt;"",ISNUMBER(SEARCH(설정!$A$46,K827))),설정!$B$46,IF(AND(설정!$A$47&lt;&gt;"",ISNUMBER(SEARCH(설정!$A$47,K827))),설정!$B$47,IF(AND(설정!$A$48&lt;&gt;"",ISNUMBER(SEARCH(설정!$A$48,K827))),설정!$B$48,IF(M827="","설계사","시공사"))))))))),"")</f>
        <v/>
      </c>
      <c r="V827">
        <f>SUBSTITUTE(SUBSTITUTE(SUBSTITUTE(SUBSTITUTE(G827,"(주)",""),"㈜",""),"주식회사","")," ","")</f>
        <v/>
      </c>
      <c r="W827">
        <f>IF(AND(T827,V827&lt;&gt;""),IF(COUNTIFS(V$2:V827,V827,T$2:T827,TRUE)=1,MAX(W$1:W826)+1,""),"")</f>
        <v/>
      </c>
      <c r="X827">
        <f>IFERROR(INDEX('1.산군_붙여넣기'!$A$1:$AZ$1001,ROW(),설정!$C$14)&amp;"","")</f>
        <v/>
      </c>
      <c r="Y827">
        <f>IFERROR(INDEX('1.산군_붙여넣기'!$A$1:$AZ$1001,ROW(),설정!$C$15)&amp;"","")</f>
        <v/>
      </c>
      <c r="Z827">
        <f>IF(T827,V827&amp;"|"&amp;U827,"")</f>
        <v/>
      </c>
    </row>
    <row r="828">
      <c r="A828">
        <f>ROW()</f>
        <v/>
      </c>
      <c r="B828">
        <f>IFERROR(INDEX('1.산군_붙여넣기'!$A$1:$AZ$1001,ROW(),설정!$C$4)&amp;"","")</f>
        <v/>
      </c>
      <c r="C828">
        <f>IFERROR(INDEX('1.산군_붙여넣기'!$A$1:$AZ$1001,ROW(),설정!$C$5)&amp;"","")</f>
        <v/>
      </c>
      <c r="D828" s="5">
        <f>IFERROR(VALUE(SUBSTITUTE(SUBSTITUTE(SUBSTITUTE(IFERROR(INDEX('1.산군_붙여넣기'!$A$1:$AZ$1001,ROW(),설정!$C$6)&amp;"",""),",",""),"㎡",""),"m2","")),"")</f>
        <v/>
      </c>
      <c r="E828">
        <f>IFERROR(INDEX('1.산군_붙여넣기'!$A$1:$AZ$1001,ROW(),설정!$C$7)&amp;"","")</f>
        <v/>
      </c>
      <c r="F828">
        <f>IFERROR(INDEX('1.산군_붙여넣기'!$A$1:$AZ$1001,ROW(),설정!$C$8)&amp;"","")</f>
        <v/>
      </c>
      <c r="G828">
        <f>IFERROR(INDEX('1.산군_붙여넣기'!$A$1:$AZ$1001,ROW(),설정!$C$9)&amp;"","")</f>
        <v/>
      </c>
      <c r="H828">
        <f>IFERROR(INDEX('1.산군_붙여넣기'!$A$1:$AZ$1001,ROW(),설정!$C$10)&amp;"","")</f>
        <v/>
      </c>
      <c r="I828">
        <f>IFERROR(INDEX('1.산군_붙여넣기'!$A$1:$AZ$1001,ROW(),설정!$C$11)&amp;"","")</f>
        <v/>
      </c>
      <c r="J828">
        <f>IFERROR(INDEX('1.산군_붙여넣기'!$A$1:$AZ$1001,ROW(),설정!$C$12)&amp;"","")</f>
        <v/>
      </c>
      <c r="K828">
        <f>IFERROR(INDEX('1.산군_붙여넣기'!$A$1:$AZ$1001,ROW(),설정!$C$13)&amp;"","")</f>
        <v/>
      </c>
      <c r="L828" s="6">
        <f>IF(X828="","",IF(AND(LEN(X828)=8,ISNUMBER(X828*1)),DATE(LEFT(X828,4),MID(X828,5,2),RIGHT(X828,2)),IFERROR(DATEVALUE(SUBSTITUTE(SUBSTITUTE(X828,".","-"),"/","-")),IFERROR(X828*1,""))))</f>
        <v/>
      </c>
      <c r="M828" s="6">
        <f>IF(Y828="","",IF(AND(LEN(Y828)=8,ISNUMBER(Y828*1)),DATE(LEFT(Y828,4),MID(Y828,5,2),RIGHT(Y828,2)),IFERROR(DATEVALUE(SUBSTITUTE(SUBSTITUTE(Y828,".","-"),"/","-")),IFERROR(Y828*1,""))))</f>
        <v/>
      </c>
      <c r="N828">
        <f>IFERROR(LEFT(B828,FIND(" ",B828)-1),B828)</f>
        <v/>
      </c>
      <c r="O828">
        <f>AND(B828&lt;&gt;"",B828&lt;&gt;설정!$B$4,C828&lt;&gt;설정!$B$5)</f>
        <v/>
      </c>
      <c r="P828">
        <f>IF(O828,B828&amp;"|"&amp;C828,"")</f>
        <v/>
      </c>
      <c r="Q828">
        <f>AND(O828,COUNTIF(P829:P$1002,P828)=0)</f>
        <v/>
      </c>
      <c r="R828">
        <f>OR(AND(설정!$A$28&lt;&gt;"",ISNUMBER(SEARCH(설정!$A$28,E828&amp;" "&amp;C828))),AND(설정!$A$29&lt;&gt;"",ISNUMBER(SEARCH(설정!$A$29,E828&amp;" "&amp;C828))),AND(설정!$A$30&lt;&gt;"",ISNUMBER(SEARCH(설정!$A$30,E828&amp;" "&amp;C828))),AND(설정!$A$31&lt;&gt;"",ISNUMBER(SEARCH(설정!$A$31,E828&amp;" "&amp;C828))),AND(설정!$A$32&lt;&gt;"",ISNUMBER(SEARCH(설정!$A$32,E828&amp;" "&amp;C828))),AND(설정!$A$33&lt;&gt;"",ISNUMBER(SEARCH(설정!$A$33,E828&amp;" "&amp;C828))),AND(설정!$A$34&lt;&gt;"",ISNUMBER(SEARCH(설정!$A$34,E828&amp;" "&amp;C828))),AND(설정!$A$35&lt;&gt;"",ISNUMBER(SEARCH(설정!$A$35,E828&amp;" "&amp;C828))),AND(설정!$A$36&lt;&gt;"",ISNUMBER(SEARCH(설정!$A$36,E828&amp;" "&amp;C828))),AND(설정!$A$37&lt;&gt;"",ISNUMBER(SEARCH(설정!$A$37,E828&amp;" "&amp;C828))))</f>
        <v/>
      </c>
      <c r="S828">
        <f>OR(D828="",D828&gt;=설정!$B$19)</f>
        <v/>
      </c>
      <c r="T828">
        <f>AND(Q828,R828,S828)</f>
        <v/>
      </c>
      <c r="U828">
        <f>IF(T828,IF(AND(설정!$A$41&lt;&gt;"",ISNUMBER(SEARCH(설정!$A$41,K828))),설정!$B$41,IF(AND(설정!$A$42&lt;&gt;"",ISNUMBER(SEARCH(설정!$A$42,K828))),설정!$B$42,IF(AND(설정!$A$43&lt;&gt;"",ISNUMBER(SEARCH(설정!$A$43,K828))),설정!$B$43,IF(AND(설정!$A$44&lt;&gt;"",ISNUMBER(SEARCH(설정!$A$44,K828))),설정!$B$44,IF(AND(설정!$A$45&lt;&gt;"",ISNUMBER(SEARCH(설정!$A$45,K828))),설정!$B$45,IF(AND(설정!$A$46&lt;&gt;"",ISNUMBER(SEARCH(설정!$A$46,K828))),설정!$B$46,IF(AND(설정!$A$47&lt;&gt;"",ISNUMBER(SEARCH(설정!$A$47,K828))),설정!$B$47,IF(AND(설정!$A$48&lt;&gt;"",ISNUMBER(SEARCH(설정!$A$48,K828))),설정!$B$48,IF(M828="","설계사","시공사"))))))))),"")</f>
        <v/>
      </c>
      <c r="V828">
        <f>SUBSTITUTE(SUBSTITUTE(SUBSTITUTE(SUBSTITUTE(G828,"(주)",""),"㈜",""),"주식회사","")," ","")</f>
        <v/>
      </c>
      <c r="W828">
        <f>IF(AND(T828,V828&lt;&gt;""),IF(COUNTIFS(V$2:V828,V828,T$2:T828,TRUE)=1,MAX(W$1:W827)+1,""),"")</f>
        <v/>
      </c>
      <c r="X828">
        <f>IFERROR(INDEX('1.산군_붙여넣기'!$A$1:$AZ$1001,ROW(),설정!$C$14)&amp;"","")</f>
        <v/>
      </c>
      <c r="Y828">
        <f>IFERROR(INDEX('1.산군_붙여넣기'!$A$1:$AZ$1001,ROW(),설정!$C$15)&amp;"","")</f>
        <v/>
      </c>
      <c r="Z828">
        <f>IF(T828,V828&amp;"|"&amp;U828,"")</f>
        <v/>
      </c>
    </row>
    <row r="829">
      <c r="A829">
        <f>ROW()</f>
        <v/>
      </c>
      <c r="B829">
        <f>IFERROR(INDEX('1.산군_붙여넣기'!$A$1:$AZ$1001,ROW(),설정!$C$4)&amp;"","")</f>
        <v/>
      </c>
      <c r="C829">
        <f>IFERROR(INDEX('1.산군_붙여넣기'!$A$1:$AZ$1001,ROW(),설정!$C$5)&amp;"","")</f>
        <v/>
      </c>
      <c r="D829" s="5">
        <f>IFERROR(VALUE(SUBSTITUTE(SUBSTITUTE(SUBSTITUTE(IFERROR(INDEX('1.산군_붙여넣기'!$A$1:$AZ$1001,ROW(),설정!$C$6)&amp;"",""),",",""),"㎡",""),"m2","")),"")</f>
        <v/>
      </c>
      <c r="E829">
        <f>IFERROR(INDEX('1.산군_붙여넣기'!$A$1:$AZ$1001,ROW(),설정!$C$7)&amp;"","")</f>
        <v/>
      </c>
      <c r="F829">
        <f>IFERROR(INDEX('1.산군_붙여넣기'!$A$1:$AZ$1001,ROW(),설정!$C$8)&amp;"","")</f>
        <v/>
      </c>
      <c r="G829">
        <f>IFERROR(INDEX('1.산군_붙여넣기'!$A$1:$AZ$1001,ROW(),설정!$C$9)&amp;"","")</f>
        <v/>
      </c>
      <c r="H829">
        <f>IFERROR(INDEX('1.산군_붙여넣기'!$A$1:$AZ$1001,ROW(),설정!$C$10)&amp;"","")</f>
        <v/>
      </c>
      <c r="I829">
        <f>IFERROR(INDEX('1.산군_붙여넣기'!$A$1:$AZ$1001,ROW(),설정!$C$11)&amp;"","")</f>
        <v/>
      </c>
      <c r="J829">
        <f>IFERROR(INDEX('1.산군_붙여넣기'!$A$1:$AZ$1001,ROW(),설정!$C$12)&amp;"","")</f>
        <v/>
      </c>
      <c r="K829">
        <f>IFERROR(INDEX('1.산군_붙여넣기'!$A$1:$AZ$1001,ROW(),설정!$C$13)&amp;"","")</f>
        <v/>
      </c>
      <c r="L829" s="6">
        <f>IF(X829="","",IF(AND(LEN(X829)=8,ISNUMBER(X829*1)),DATE(LEFT(X829,4),MID(X829,5,2),RIGHT(X829,2)),IFERROR(DATEVALUE(SUBSTITUTE(SUBSTITUTE(X829,".","-"),"/","-")),IFERROR(X829*1,""))))</f>
        <v/>
      </c>
      <c r="M829" s="6">
        <f>IF(Y829="","",IF(AND(LEN(Y829)=8,ISNUMBER(Y829*1)),DATE(LEFT(Y829,4),MID(Y829,5,2),RIGHT(Y829,2)),IFERROR(DATEVALUE(SUBSTITUTE(SUBSTITUTE(Y829,".","-"),"/","-")),IFERROR(Y829*1,""))))</f>
        <v/>
      </c>
      <c r="N829">
        <f>IFERROR(LEFT(B829,FIND(" ",B829)-1),B829)</f>
        <v/>
      </c>
      <c r="O829">
        <f>AND(B829&lt;&gt;"",B829&lt;&gt;설정!$B$4,C829&lt;&gt;설정!$B$5)</f>
        <v/>
      </c>
      <c r="P829">
        <f>IF(O829,B829&amp;"|"&amp;C829,"")</f>
        <v/>
      </c>
      <c r="Q829">
        <f>AND(O829,COUNTIF(P830:P$1002,P829)=0)</f>
        <v/>
      </c>
      <c r="R829">
        <f>OR(AND(설정!$A$28&lt;&gt;"",ISNUMBER(SEARCH(설정!$A$28,E829&amp;" "&amp;C829))),AND(설정!$A$29&lt;&gt;"",ISNUMBER(SEARCH(설정!$A$29,E829&amp;" "&amp;C829))),AND(설정!$A$30&lt;&gt;"",ISNUMBER(SEARCH(설정!$A$30,E829&amp;" "&amp;C829))),AND(설정!$A$31&lt;&gt;"",ISNUMBER(SEARCH(설정!$A$31,E829&amp;" "&amp;C829))),AND(설정!$A$32&lt;&gt;"",ISNUMBER(SEARCH(설정!$A$32,E829&amp;" "&amp;C829))),AND(설정!$A$33&lt;&gt;"",ISNUMBER(SEARCH(설정!$A$33,E829&amp;" "&amp;C829))),AND(설정!$A$34&lt;&gt;"",ISNUMBER(SEARCH(설정!$A$34,E829&amp;" "&amp;C829))),AND(설정!$A$35&lt;&gt;"",ISNUMBER(SEARCH(설정!$A$35,E829&amp;" "&amp;C829))),AND(설정!$A$36&lt;&gt;"",ISNUMBER(SEARCH(설정!$A$36,E829&amp;" "&amp;C829))),AND(설정!$A$37&lt;&gt;"",ISNUMBER(SEARCH(설정!$A$37,E829&amp;" "&amp;C829))))</f>
        <v/>
      </c>
      <c r="S829">
        <f>OR(D829="",D829&gt;=설정!$B$19)</f>
        <v/>
      </c>
      <c r="T829">
        <f>AND(Q829,R829,S829)</f>
        <v/>
      </c>
      <c r="U829">
        <f>IF(T829,IF(AND(설정!$A$41&lt;&gt;"",ISNUMBER(SEARCH(설정!$A$41,K829))),설정!$B$41,IF(AND(설정!$A$42&lt;&gt;"",ISNUMBER(SEARCH(설정!$A$42,K829))),설정!$B$42,IF(AND(설정!$A$43&lt;&gt;"",ISNUMBER(SEARCH(설정!$A$43,K829))),설정!$B$43,IF(AND(설정!$A$44&lt;&gt;"",ISNUMBER(SEARCH(설정!$A$44,K829))),설정!$B$44,IF(AND(설정!$A$45&lt;&gt;"",ISNUMBER(SEARCH(설정!$A$45,K829))),설정!$B$45,IF(AND(설정!$A$46&lt;&gt;"",ISNUMBER(SEARCH(설정!$A$46,K829))),설정!$B$46,IF(AND(설정!$A$47&lt;&gt;"",ISNUMBER(SEARCH(설정!$A$47,K829))),설정!$B$47,IF(AND(설정!$A$48&lt;&gt;"",ISNUMBER(SEARCH(설정!$A$48,K829))),설정!$B$48,IF(M829="","설계사","시공사"))))))))),"")</f>
        <v/>
      </c>
      <c r="V829">
        <f>SUBSTITUTE(SUBSTITUTE(SUBSTITUTE(SUBSTITUTE(G829,"(주)",""),"㈜",""),"주식회사","")," ","")</f>
        <v/>
      </c>
      <c r="W829">
        <f>IF(AND(T829,V829&lt;&gt;""),IF(COUNTIFS(V$2:V829,V829,T$2:T829,TRUE)=1,MAX(W$1:W828)+1,""),"")</f>
        <v/>
      </c>
      <c r="X829">
        <f>IFERROR(INDEX('1.산군_붙여넣기'!$A$1:$AZ$1001,ROW(),설정!$C$14)&amp;"","")</f>
        <v/>
      </c>
      <c r="Y829">
        <f>IFERROR(INDEX('1.산군_붙여넣기'!$A$1:$AZ$1001,ROW(),설정!$C$15)&amp;"","")</f>
        <v/>
      </c>
      <c r="Z829">
        <f>IF(T829,V829&amp;"|"&amp;U829,"")</f>
        <v/>
      </c>
    </row>
    <row r="830">
      <c r="A830">
        <f>ROW()</f>
        <v/>
      </c>
      <c r="B830">
        <f>IFERROR(INDEX('1.산군_붙여넣기'!$A$1:$AZ$1001,ROW(),설정!$C$4)&amp;"","")</f>
        <v/>
      </c>
      <c r="C830">
        <f>IFERROR(INDEX('1.산군_붙여넣기'!$A$1:$AZ$1001,ROW(),설정!$C$5)&amp;"","")</f>
        <v/>
      </c>
      <c r="D830" s="5">
        <f>IFERROR(VALUE(SUBSTITUTE(SUBSTITUTE(SUBSTITUTE(IFERROR(INDEX('1.산군_붙여넣기'!$A$1:$AZ$1001,ROW(),설정!$C$6)&amp;"",""),",",""),"㎡",""),"m2","")),"")</f>
        <v/>
      </c>
      <c r="E830">
        <f>IFERROR(INDEX('1.산군_붙여넣기'!$A$1:$AZ$1001,ROW(),설정!$C$7)&amp;"","")</f>
        <v/>
      </c>
      <c r="F830">
        <f>IFERROR(INDEX('1.산군_붙여넣기'!$A$1:$AZ$1001,ROW(),설정!$C$8)&amp;"","")</f>
        <v/>
      </c>
      <c r="G830">
        <f>IFERROR(INDEX('1.산군_붙여넣기'!$A$1:$AZ$1001,ROW(),설정!$C$9)&amp;"","")</f>
        <v/>
      </c>
      <c r="H830">
        <f>IFERROR(INDEX('1.산군_붙여넣기'!$A$1:$AZ$1001,ROW(),설정!$C$10)&amp;"","")</f>
        <v/>
      </c>
      <c r="I830">
        <f>IFERROR(INDEX('1.산군_붙여넣기'!$A$1:$AZ$1001,ROW(),설정!$C$11)&amp;"","")</f>
        <v/>
      </c>
      <c r="J830">
        <f>IFERROR(INDEX('1.산군_붙여넣기'!$A$1:$AZ$1001,ROW(),설정!$C$12)&amp;"","")</f>
        <v/>
      </c>
      <c r="K830">
        <f>IFERROR(INDEX('1.산군_붙여넣기'!$A$1:$AZ$1001,ROW(),설정!$C$13)&amp;"","")</f>
        <v/>
      </c>
      <c r="L830" s="6">
        <f>IF(X830="","",IF(AND(LEN(X830)=8,ISNUMBER(X830*1)),DATE(LEFT(X830,4),MID(X830,5,2),RIGHT(X830,2)),IFERROR(DATEVALUE(SUBSTITUTE(SUBSTITUTE(X830,".","-"),"/","-")),IFERROR(X830*1,""))))</f>
        <v/>
      </c>
      <c r="M830" s="6">
        <f>IF(Y830="","",IF(AND(LEN(Y830)=8,ISNUMBER(Y830*1)),DATE(LEFT(Y830,4),MID(Y830,5,2),RIGHT(Y830,2)),IFERROR(DATEVALUE(SUBSTITUTE(SUBSTITUTE(Y830,".","-"),"/","-")),IFERROR(Y830*1,""))))</f>
        <v/>
      </c>
      <c r="N830">
        <f>IFERROR(LEFT(B830,FIND(" ",B830)-1),B830)</f>
        <v/>
      </c>
      <c r="O830">
        <f>AND(B830&lt;&gt;"",B830&lt;&gt;설정!$B$4,C830&lt;&gt;설정!$B$5)</f>
        <v/>
      </c>
      <c r="P830">
        <f>IF(O830,B830&amp;"|"&amp;C830,"")</f>
        <v/>
      </c>
      <c r="Q830">
        <f>AND(O830,COUNTIF(P831:P$1002,P830)=0)</f>
        <v/>
      </c>
      <c r="R830">
        <f>OR(AND(설정!$A$28&lt;&gt;"",ISNUMBER(SEARCH(설정!$A$28,E830&amp;" "&amp;C830))),AND(설정!$A$29&lt;&gt;"",ISNUMBER(SEARCH(설정!$A$29,E830&amp;" "&amp;C830))),AND(설정!$A$30&lt;&gt;"",ISNUMBER(SEARCH(설정!$A$30,E830&amp;" "&amp;C830))),AND(설정!$A$31&lt;&gt;"",ISNUMBER(SEARCH(설정!$A$31,E830&amp;" "&amp;C830))),AND(설정!$A$32&lt;&gt;"",ISNUMBER(SEARCH(설정!$A$32,E830&amp;" "&amp;C830))),AND(설정!$A$33&lt;&gt;"",ISNUMBER(SEARCH(설정!$A$33,E830&amp;" "&amp;C830))),AND(설정!$A$34&lt;&gt;"",ISNUMBER(SEARCH(설정!$A$34,E830&amp;" "&amp;C830))),AND(설정!$A$35&lt;&gt;"",ISNUMBER(SEARCH(설정!$A$35,E830&amp;" "&amp;C830))),AND(설정!$A$36&lt;&gt;"",ISNUMBER(SEARCH(설정!$A$36,E830&amp;" "&amp;C830))),AND(설정!$A$37&lt;&gt;"",ISNUMBER(SEARCH(설정!$A$37,E830&amp;" "&amp;C830))))</f>
        <v/>
      </c>
      <c r="S830">
        <f>OR(D830="",D830&gt;=설정!$B$19)</f>
        <v/>
      </c>
      <c r="T830">
        <f>AND(Q830,R830,S830)</f>
        <v/>
      </c>
      <c r="U830">
        <f>IF(T830,IF(AND(설정!$A$41&lt;&gt;"",ISNUMBER(SEARCH(설정!$A$41,K830))),설정!$B$41,IF(AND(설정!$A$42&lt;&gt;"",ISNUMBER(SEARCH(설정!$A$42,K830))),설정!$B$42,IF(AND(설정!$A$43&lt;&gt;"",ISNUMBER(SEARCH(설정!$A$43,K830))),설정!$B$43,IF(AND(설정!$A$44&lt;&gt;"",ISNUMBER(SEARCH(설정!$A$44,K830))),설정!$B$44,IF(AND(설정!$A$45&lt;&gt;"",ISNUMBER(SEARCH(설정!$A$45,K830))),설정!$B$45,IF(AND(설정!$A$46&lt;&gt;"",ISNUMBER(SEARCH(설정!$A$46,K830))),설정!$B$46,IF(AND(설정!$A$47&lt;&gt;"",ISNUMBER(SEARCH(설정!$A$47,K830))),설정!$B$47,IF(AND(설정!$A$48&lt;&gt;"",ISNUMBER(SEARCH(설정!$A$48,K830))),설정!$B$48,IF(M830="","설계사","시공사"))))))))),"")</f>
        <v/>
      </c>
      <c r="V830">
        <f>SUBSTITUTE(SUBSTITUTE(SUBSTITUTE(SUBSTITUTE(G830,"(주)",""),"㈜",""),"주식회사","")," ","")</f>
        <v/>
      </c>
      <c r="W830">
        <f>IF(AND(T830,V830&lt;&gt;""),IF(COUNTIFS(V$2:V830,V830,T$2:T830,TRUE)=1,MAX(W$1:W829)+1,""),"")</f>
        <v/>
      </c>
      <c r="X830">
        <f>IFERROR(INDEX('1.산군_붙여넣기'!$A$1:$AZ$1001,ROW(),설정!$C$14)&amp;"","")</f>
        <v/>
      </c>
      <c r="Y830">
        <f>IFERROR(INDEX('1.산군_붙여넣기'!$A$1:$AZ$1001,ROW(),설정!$C$15)&amp;"","")</f>
        <v/>
      </c>
      <c r="Z830">
        <f>IF(T830,V830&amp;"|"&amp;U830,"")</f>
        <v/>
      </c>
    </row>
    <row r="831">
      <c r="A831">
        <f>ROW()</f>
        <v/>
      </c>
      <c r="B831">
        <f>IFERROR(INDEX('1.산군_붙여넣기'!$A$1:$AZ$1001,ROW(),설정!$C$4)&amp;"","")</f>
        <v/>
      </c>
      <c r="C831">
        <f>IFERROR(INDEX('1.산군_붙여넣기'!$A$1:$AZ$1001,ROW(),설정!$C$5)&amp;"","")</f>
        <v/>
      </c>
      <c r="D831" s="5">
        <f>IFERROR(VALUE(SUBSTITUTE(SUBSTITUTE(SUBSTITUTE(IFERROR(INDEX('1.산군_붙여넣기'!$A$1:$AZ$1001,ROW(),설정!$C$6)&amp;"",""),",",""),"㎡",""),"m2","")),"")</f>
        <v/>
      </c>
      <c r="E831">
        <f>IFERROR(INDEX('1.산군_붙여넣기'!$A$1:$AZ$1001,ROW(),설정!$C$7)&amp;"","")</f>
        <v/>
      </c>
      <c r="F831">
        <f>IFERROR(INDEX('1.산군_붙여넣기'!$A$1:$AZ$1001,ROW(),설정!$C$8)&amp;"","")</f>
        <v/>
      </c>
      <c r="G831">
        <f>IFERROR(INDEX('1.산군_붙여넣기'!$A$1:$AZ$1001,ROW(),설정!$C$9)&amp;"","")</f>
        <v/>
      </c>
      <c r="H831">
        <f>IFERROR(INDEX('1.산군_붙여넣기'!$A$1:$AZ$1001,ROW(),설정!$C$10)&amp;"","")</f>
        <v/>
      </c>
      <c r="I831">
        <f>IFERROR(INDEX('1.산군_붙여넣기'!$A$1:$AZ$1001,ROW(),설정!$C$11)&amp;"","")</f>
        <v/>
      </c>
      <c r="J831">
        <f>IFERROR(INDEX('1.산군_붙여넣기'!$A$1:$AZ$1001,ROW(),설정!$C$12)&amp;"","")</f>
        <v/>
      </c>
      <c r="K831">
        <f>IFERROR(INDEX('1.산군_붙여넣기'!$A$1:$AZ$1001,ROW(),설정!$C$13)&amp;"","")</f>
        <v/>
      </c>
      <c r="L831" s="6">
        <f>IF(X831="","",IF(AND(LEN(X831)=8,ISNUMBER(X831*1)),DATE(LEFT(X831,4),MID(X831,5,2),RIGHT(X831,2)),IFERROR(DATEVALUE(SUBSTITUTE(SUBSTITUTE(X831,".","-"),"/","-")),IFERROR(X831*1,""))))</f>
        <v/>
      </c>
      <c r="M831" s="6">
        <f>IF(Y831="","",IF(AND(LEN(Y831)=8,ISNUMBER(Y831*1)),DATE(LEFT(Y831,4),MID(Y831,5,2),RIGHT(Y831,2)),IFERROR(DATEVALUE(SUBSTITUTE(SUBSTITUTE(Y831,".","-"),"/","-")),IFERROR(Y831*1,""))))</f>
        <v/>
      </c>
      <c r="N831">
        <f>IFERROR(LEFT(B831,FIND(" ",B831)-1),B831)</f>
        <v/>
      </c>
      <c r="O831">
        <f>AND(B831&lt;&gt;"",B831&lt;&gt;설정!$B$4,C831&lt;&gt;설정!$B$5)</f>
        <v/>
      </c>
      <c r="P831">
        <f>IF(O831,B831&amp;"|"&amp;C831,"")</f>
        <v/>
      </c>
      <c r="Q831">
        <f>AND(O831,COUNTIF(P832:P$1002,P831)=0)</f>
        <v/>
      </c>
      <c r="R831">
        <f>OR(AND(설정!$A$28&lt;&gt;"",ISNUMBER(SEARCH(설정!$A$28,E831&amp;" "&amp;C831))),AND(설정!$A$29&lt;&gt;"",ISNUMBER(SEARCH(설정!$A$29,E831&amp;" "&amp;C831))),AND(설정!$A$30&lt;&gt;"",ISNUMBER(SEARCH(설정!$A$30,E831&amp;" "&amp;C831))),AND(설정!$A$31&lt;&gt;"",ISNUMBER(SEARCH(설정!$A$31,E831&amp;" "&amp;C831))),AND(설정!$A$32&lt;&gt;"",ISNUMBER(SEARCH(설정!$A$32,E831&amp;" "&amp;C831))),AND(설정!$A$33&lt;&gt;"",ISNUMBER(SEARCH(설정!$A$33,E831&amp;" "&amp;C831))),AND(설정!$A$34&lt;&gt;"",ISNUMBER(SEARCH(설정!$A$34,E831&amp;" "&amp;C831))),AND(설정!$A$35&lt;&gt;"",ISNUMBER(SEARCH(설정!$A$35,E831&amp;" "&amp;C831))),AND(설정!$A$36&lt;&gt;"",ISNUMBER(SEARCH(설정!$A$36,E831&amp;" "&amp;C831))),AND(설정!$A$37&lt;&gt;"",ISNUMBER(SEARCH(설정!$A$37,E831&amp;" "&amp;C831))))</f>
        <v/>
      </c>
      <c r="S831">
        <f>OR(D831="",D831&gt;=설정!$B$19)</f>
        <v/>
      </c>
      <c r="T831">
        <f>AND(Q831,R831,S831)</f>
        <v/>
      </c>
      <c r="U831">
        <f>IF(T831,IF(AND(설정!$A$41&lt;&gt;"",ISNUMBER(SEARCH(설정!$A$41,K831))),설정!$B$41,IF(AND(설정!$A$42&lt;&gt;"",ISNUMBER(SEARCH(설정!$A$42,K831))),설정!$B$42,IF(AND(설정!$A$43&lt;&gt;"",ISNUMBER(SEARCH(설정!$A$43,K831))),설정!$B$43,IF(AND(설정!$A$44&lt;&gt;"",ISNUMBER(SEARCH(설정!$A$44,K831))),설정!$B$44,IF(AND(설정!$A$45&lt;&gt;"",ISNUMBER(SEARCH(설정!$A$45,K831))),설정!$B$45,IF(AND(설정!$A$46&lt;&gt;"",ISNUMBER(SEARCH(설정!$A$46,K831))),설정!$B$46,IF(AND(설정!$A$47&lt;&gt;"",ISNUMBER(SEARCH(설정!$A$47,K831))),설정!$B$47,IF(AND(설정!$A$48&lt;&gt;"",ISNUMBER(SEARCH(설정!$A$48,K831))),설정!$B$48,IF(M831="","설계사","시공사"))))))))),"")</f>
        <v/>
      </c>
      <c r="V831">
        <f>SUBSTITUTE(SUBSTITUTE(SUBSTITUTE(SUBSTITUTE(G831,"(주)",""),"㈜",""),"주식회사","")," ","")</f>
        <v/>
      </c>
      <c r="W831">
        <f>IF(AND(T831,V831&lt;&gt;""),IF(COUNTIFS(V$2:V831,V831,T$2:T831,TRUE)=1,MAX(W$1:W830)+1,""),"")</f>
        <v/>
      </c>
      <c r="X831">
        <f>IFERROR(INDEX('1.산군_붙여넣기'!$A$1:$AZ$1001,ROW(),설정!$C$14)&amp;"","")</f>
        <v/>
      </c>
      <c r="Y831">
        <f>IFERROR(INDEX('1.산군_붙여넣기'!$A$1:$AZ$1001,ROW(),설정!$C$15)&amp;"","")</f>
        <v/>
      </c>
      <c r="Z831">
        <f>IF(T831,V831&amp;"|"&amp;U831,"")</f>
        <v/>
      </c>
    </row>
    <row r="832">
      <c r="A832">
        <f>ROW()</f>
        <v/>
      </c>
      <c r="B832">
        <f>IFERROR(INDEX('1.산군_붙여넣기'!$A$1:$AZ$1001,ROW(),설정!$C$4)&amp;"","")</f>
        <v/>
      </c>
      <c r="C832">
        <f>IFERROR(INDEX('1.산군_붙여넣기'!$A$1:$AZ$1001,ROW(),설정!$C$5)&amp;"","")</f>
        <v/>
      </c>
      <c r="D832" s="5">
        <f>IFERROR(VALUE(SUBSTITUTE(SUBSTITUTE(SUBSTITUTE(IFERROR(INDEX('1.산군_붙여넣기'!$A$1:$AZ$1001,ROW(),설정!$C$6)&amp;"",""),",",""),"㎡",""),"m2","")),"")</f>
        <v/>
      </c>
      <c r="E832">
        <f>IFERROR(INDEX('1.산군_붙여넣기'!$A$1:$AZ$1001,ROW(),설정!$C$7)&amp;"","")</f>
        <v/>
      </c>
      <c r="F832">
        <f>IFERROR(INDEX('1.산군_붙여넣기'!$A$1:$AZ$1001,ROW(),설정!$C$8)&amp;"","")</f>
        <v/>
      </c>
      <c r="G832">
        <f>IFERROR(INDEX('1.산군_붙여넣기'!$A$1:$AZ$1001,ROW(),설정!$C$9)&amp;"","")</f>
        <v/>
      </c>
      <c r="H832">
        <f>IFERROR(INDEX('1.산군_붙여넣기'!$A$1:$AZ$1001,ROW(),설정!$C$10)&amp;"","")</f>
        <v/>
      </c>
      <c r="I832">
        <f>IFERROR(INDEX('1.산군_붙여넣기'!$A$1:$AZ$1001,ROW(),설정!$C$11)&amp;"","")</f>
        <v/>
      </c>
      <c r="J832">
        <f>IFERROR(INDEX('1.산군_붙여넣기'!$A$1:$AZ$1001,ROW(),설정!$C$12)&amp;"","")</f>
        <v/>
      </c>
      <c r="K832">
        <f>IFERROR(INDEX('1.산군_붙여넣기'!$A$1:$AZ$1001,ROW(),설정!$C$13)&amp;"","")</f>
        <v/>
      </c>
      <c r="L832" s="6">
        <f>IF(X832="","",IF(AND(LEN(X832)=8,ISNUMBER(X832*1)),DATE(LEFT(X832,4),MID(X832,5,2),RIGHT(X832,2)),IFERROR(DATEVALUE(SUBSTITUTE(SUBSTITUTE(X832,".","-"),"/","-")),IFERROR(X832*1,""))))</f>
        <v/>
      </c>
      <c r="M832" s="6">
        <f>IF(Y832="","",IF(AND(LEN(Y832)=8,ISNUMBER(Y832*1)),DATE(LEFT(Y832,4),MID(Y832,5,2),RIGHT(Y832,2)),IFERROR(DATEVALUE(SUBSTITUTE(SUBSTITUTE(Y832,".","-"),"/","-")),IFERROR(Y832*1,""))))</f>
        <v/>
      </c>
      <c r="N832">
        <f>IFERROR(LEFT(B832,FIND(" ",B832)-1),B832)</f>
        <v/>
      </c>
      <c r="O832">
        <f>AND(B832&lt;&gt;"",B832&lt;&gt;설정!$B$4,C832&lt;&gt;설정!$B$5)</f>
        <v/>
      </c>
      <c r="P832">
        <f>IF(O832,B832&amp;"|"&amp;C832,"")</f>
        <v/>
      </c>
      <c r="Q832">
        <f>AND(O832,COUNTIF(P833:P$1002,P832)=0)</f>
        <v/>
      </c>
      <c r="R832">
        <f>OR(AND(설정!$A$28&lt;&gt;"",ISNUMBER(SEARCH(설정!$A$28,E832&amp;" "&amp;C832))),AND(설정!$A$29&lt;&gt;"",ISNUMBER(SEARCH(설정!$A$29,E832&amp;" "&amp;C832))),AND(설정!$A$30&lt;&gt;"",ISNUMBER(SEARCH(설정!$A$30,E832&amp;" "&amp;C832))),AND(설정!$A$31&lt;&gt;"",ISNUMBER(SEARCH(설정!$A$31,E832&amp;" "&amp;C832))),AND(설정!$A$32&lt;&gt;"",ISNUMBER(SEARCH(설정!$A$32,E832&amp;" "&amp;C832))),AND(설정!$A$33&lt;&gt;"",ISNUMBER(SEARCH(설정!$A$33,E832&amp;" "&amp;C832))),AND(설정!$A$34&lt;&gt;"",ISNUMBER(SEARCH(설정!$A$34,E832&amp;" "&amp;C832))),AND(설정!$A$35&lt;&gt;"",ISNUMBER(SEARCH(설정!$A$35,E832&amp;" "&amp;C832))),AND(설정!$A$36&lt;&gt;"",ISNUMBER(SEARCH(설정!$A$36,E832&amp;" "&amp;C832))),AND(설정!$A$37&lt;&gt;"",ISNUMBER(SEARCH(설정!$A$37,E832&amp;" "&amp;C832))))</f>
        <v/>
      </c>
      <c r="S832">
        <f>OR(D832="",D832&gt;=설정!$B$19)</f>
        <v/>
      </c>
      <c r="T832">
        <f>AND(Q832,R832,S832)</f>
        <v/>
      </c>
      <c r="U832">
        <f>IF(T832,IF(AND(설정!$A$41&lt;&gt;"",ISNUMBER(SEARCH(설정!$A$41,K832))),설정!$B$41,IF(AND(설정!$A$42&lt;&gt;"",ISNUMBER(SEARCH(설정!$A$42,K832))),설정!$B$42,IF(AND(설정!$A$43&lt;&gt;"",ISNUMBER(SEARCH(설정!$A$43,K832))),설정!$B$43,IF(AND(설정!$A$44&lt;&gt;"",ISNUMBER(SEARCH(설정!$A$44,K832))),설정!$B$44,IF(AND(설정!$A$45&lt;&gt;"",ISNUMBER(SEARCH(설정!$A$45,K832))),설정!$B$45,IF(AND(설정!$A$46&lt;&gt;"",ISNUMBER(SEARCH(설정!$A$46,K832))),설정!$B$46,IF(AND(설정!$A$47&lt;&gt;"",ISNUMBER(SEARCH(설정!$A$47,K832))),설정!$B$47,IF(AND(설정!$A$48&lt;&gt;"",ISNUMBER(SEARCH(설정!$A$48,K832))),설정!$B$48,IF(M832="","설계사","시공사"))))))))),"")</f>
        <v/>
      </c>
      <c r="V832">
        <f>SUBSTITUTE(SUBSTITUTE(SUBSTITUTE(SUBSTITUTE(G832,"(주)",""),"㈜",""),"주식회사","")," ","")</f>
        <v/>
      </c>
      <c r="W832">
        <f>IF(AND(T832,V832&lt;&gt;""),IF(COUNTIFS(V$2:V832,V832,T$2:T832,TRUE)=1,MAX(W$1:W831)+1,""),"")</f>
        <v/>
      </c>
      <c r="X832">
        <f>IFERROR(INDEX('1.산군_붙여넣기'!$A$1:$AZ$1001,ROW(),설정!$C$14)&amp;"","")</f>
        <v/>
      </c>
      <c r="Y832">
        <f>IFERROR(INDEX('1.산군_붙여넣기'!$A$1:$AZ$1001,ROW(),설정!$C$15)&amp;"","")</f>
        <v/>
      </c>
      <c r="Z832">
        <f>IF(T832,V832&amp;"|"&amp;U832,"")</f>
        <v/>
      </c>
    </row>
    <row r="833">
      <c r="A833">
        <f>ROW()</f>
        <v/>
      </c>
      <c r="B833">
        <f>IFERROR(INDEX('1.산군_붙여넣기'!$A$1:$AZ$1001,ROW(),설정!$C$4)&amp;"","")</f>
        <v/>
      </c>
      <c r="C833">
        <f>IFERROR(INDEX('1.산군_붙여넣기'!$A$1:$AZ$1001,ROW(),설정!$C$5)&amp;"","")</f>
        <v/>
      </c>
      <c r="D833" s="5">
        <f>IFERROR(VALUE(SUBSTITUTE(SUBSTITUTE(SUBSTITUTE(IFERROR(INDEX('1.산군_붙여넣기'!$A$1:$AZ$1001,ROW(),설정!$C$6)&amp;"",""),",",""),"㎡",""),"m2","")),"")</f>
        <v/>
      </c>
      <c r="E833">
        <f>IFERROR(INDEX('1.산군_붙여넣기'!$A$1:$AZ$1001,ROW(),설정!$C$7)&amp;"","")</f>
        <v/>
      </c>
      <c r="F833">
        <f>IFERROR(INDEX('1.산군_붙여넣기'!$A$1:$AZ$1001,ROW(),설정!$C$8)&amp;"","")</f>
        <v/>
      </c>
      <c r="G833">
        <f>IFERROR(INDEX('1.산군_붙여넣기'!$A$1:$AZ$1001,ROW(),설정!$C$9)&amp;"","")</f>
        <v/>
      </c>
      <c r="H833">
        <f>IFERROR(INDEX('1.산군_붙여넣기'!$A$1:$AZ$1001,ROW(),설정!$C$10)&amp;"","")</f>
        <v/>
      </c>
      <c r="I833">
        <f>IFERROR(INDEX('1.산군_붙여넣기'!$A$1:$AZ$1001,ROW(),설정!$C$11)&amp;"","")</f>
        <v/>
      </c>
      <c r="J833">
        <f>IFERROR(INDEX('1.산군_붙여넣기'!$A$1:$AZ$1001,ROW(),설정!$C$12)&amp;"","")</f>
        <v/>
      </c>
      <c r="K833">
        <f>IFERROR(INDEX('1.산군_붙여넣기'!$A$1:$AZ$1001,ROW(),설정!$C$13)&amp;"","")</f>
        <v/>
      </c>
      <c r="L833" s="6">
        <f>IF(X833="","",IF(AND(LEN(X833)=8,ISNUMBER(X833*1)),DATE(LEFT(X833,4),MID(X833,5,2),RIGHT(X833,2)),IFERROR(DATEVALUE(SUBSTITUTE(SUBSTITUTE(X833,".","-"),"/","-")),IFERROR(X833*1,""))))</f>
        <v/>
      </c>
      <c r="M833" s="6">
        <f>IF(Y833="","",IF(AND(LEN(Y833)=8,ISNUMBER(Y833*1)),DATE(LEFT(Y833,4),MID(Y833,5,2),RIGHT(Y833,2)),IFERROR(DATEVALUE(SUBSTITUTE(SUBSTITUTE(Y833,".","-"),"/","-")),IFERROR(Y833*1,""))))</f>
        <v/>
      </c>
      <c r="N833">
        <f>IFERROR(LEFT(B833,FIND(" ",B833)-1),B833)</f>
        <v/>
      </c>
      <c r="O833">
        <f>AND(B833&lt;&gt;"",B833&lt;&gt;설정!$B$4,C833&lt;&gt;설정!$B$5)</f>
        <v/>
      </c>
      <c r="P833">
        <f>IF(O833,B833&amp;"|"&amp;C833,"")</f>
        <v/>
      </c>
      <c r="Q833">
        <f>AND(O833,COUNTIF(P834:P$1002,P833)=0)</f>
        <v/>
      </c>
      <c r="R833">
        <f>OR(AND(설정!$A$28&lt;&gt;"",ISNUMBER(SEARCH(설정!$A$28,E833&amp;" "&amp;C833))),AND(설정!$A$29&lt;&gt;"",ISNUMBER(SEARCH(설정!$A$29,E833&amp;" "&amp;C833))),AND(설정!$A$30&lt;&gt;"",ISNUMBER(SEARCH(설정!$A$30,E833&amp;" "&amp;C833))),AND(설정!$A$31&lt;&gt;"",ISNUMBER(SEARCH(설정!$A$31,E833&amp;" "&amp;C833))),AND(설정!$A$32&lt;&gt;"",ISNUMBER(SEARCH(설정!$A$32,E833&amp;" "&amp;C833))),AND(설정!$A$33&lt;&gt;"",ISNUMBER(SEARCH(설정!$A$33,E833&amp;" "&amp;C833))),AND(설정!$A$34&lt;&gt;"",ISNUMBER(SEARCH(설정!$A$34,E833&amp;" "&amp;C833))),AND(설정!$A$35&lt;&gt;"",ISNUMBER(SEARCH(설정!$A$35,E833&amp;" "&amp;C833))),AND(설정!$A$36&lt;&gt;"",ISNUMBER(SEARCH(설정!$A$36,E833&amp;" "&amp;C833))),AND(설정!$A$37&lt;&gt;"",ISNUMBER(SEARCH(설정!$A$37,E833&amp;" "&amp;C833))))</f>
        <v/>
      </c>
      <c r="S833">
        <f>OR(D833="",D833&gt;=설정!$B$19)</f>
        <v/>
      </c>
      <c r="T833">
        <f>AND(Q833,R833,S833)</f>
        <v/>
      </c>
      <c r="U833">
        <f>IF(T833,IF(AND(설정!$A$41&lt;&gt;"",ISNUMBER(SEARCH(설정!$A$41,K833))),설정!$B$41,IF(AND(설정!$A$42&lt;&gt;"",ISNUMBER(SEARCH(설정!$A$42,K833))),설정!$B$42,IF(AND(설정!$A$43&lt;&gt;"",ISNUMBER(SEARCH(설정!$A$43,K833))),설정!$B$43,IF(AND(설정!$A$44&lt;&gt;"",ISNUMBER(SEARCH(설정!$A$44,K833))),설정!$B$44,IF(AND(설정!$A$45&lt;&gt;"",ISNUMBER(SEARCH(설정!$A$45,K833))),설정!$B$45,IF(AND(설정!$A$46&lt;&gt;"",ISNUMBER(SEARCH(설정!$A$46,K833))),설정!$B$46,IF(AND(설정!$A$47&lt;&gt;"",ISNUMBER(SEARCH(설정!$A$47,K833))),설정!$B$47,IF(AND(설정!$A$48&lt;&gt;"",ISNUMBER(SEARCH(설정!$A$48,K833))),설정!$B$48,IF(M833="","설계사","시공사"))))))))),"")</f>
        <v/>
      </c>
      <c r="V833">
        <f>SUBSTITUTE(SUBSTITUTE(SUBSTITUTE(SUBSTITUTE(G833,"(주)",""),"㈜",""),"주식회사","")," ","")</f>
        <v/>
      </c>
      <c r="W833">
        <f>IF(AND(T833,V833&lt;&gt;""),IF(COUNTIFS(V$2:V833,V833,T$2:T833,TRUE)=1,MAX(W$1:W832)+1,""),"")</f>
        <v/>
      </c>
      <c r="X833">
        <f>IFERROR(INDEX('1.산군_붙여넣기'!$A$1:$AZ$1001,ROW(),설정!$C$14)&amp;"","")</f>
        <v/>
      </c>
      <c r="Y833">
        <f>IFERROR(INDEX('1.산군_붙여넣기'!$A$1:$AZ$1001,ROW(),설정!$C$15)&amp;"","")</f>
        <v/>
      </c>
      <c r="Z833">
        <f>IF(T833,V833&amp;"|"&amp;U833,"")</f>
        <v/>
      </c>
    </row>
    <row r="834">
      <c r="A834">
        <f>ROW()</f>
        <v/>
      </c>
      <c r="B834">
        <f>IFERROR(INDEX('1.산군_붙여넣기'!$A$1:$AZ$1001,ROW(),설정!$C$4)&amp;"","")</f>
        <v/>
      </c>
      <c r="C834">
        <f>IFERROR(INDEX('1.산군_붙여넣기'!$A$1:$AZ$1001,ROW(),설정!$C$5)&amp;"","")</f>
        <v/>
      </c>
      <c r="D834" s="5">
        <f>IFERROR(VALUE(SUBSTITUTE(SUBSTITUTE(SUBSTITUTE(IFERROR(INDEX('1.산군_붙여넣기'!$A$1:$AZ$1001,ROW(),설정!$C$6)&amp;"",""),",",""),"㎡",""),"m2","")),"")</f>
        <v/>
      </c>
      <c r="E834">
        <f>IFERROR(INDEX('1.산군_붙여넣기'!$A$1:$AZ$1001,ROW(),설정!$C$7)&amp;"","")</f>
        <v/>
      </c>
      <c r="F834">
        <f>IFERROR(INDEX('1.산군_붙여넣기'!$A$1:$AZ$1001,ROW(),설정!$C$8)&amp;"","")</f>
        <v/>
      </c>
      <c r="G834">
        <f>IFERROR(INDEX('1.산군_붙여넣기'!$A$1:$AZ$1001,ROW(),설정!$C$9)&amp;"","")</f>
        <v/>
      </c>
      <c r="H834">
        <f>IFERROR(INDEX('1.산군_붙여넣기'!$A$1:$AZ$1001,ROW(),설정!$C$10)&amp;"","")</f>
        <v/>
      </c>
      <c r="I834">
        <f>IFERROR(INDEX('1.산군_붙여넣기'!$A$1:$AZ$1001,ROW(),설정!$C$11)&amp;"","")</f>
        <v/>
      </c>
      <c r="J834">
        <f>IFERROR(INDEX('1.산군_붙여넣기'!$A$1:$AZ$1001,ROW(),설정!$C$12)&amp;"","")</f>
        <v/>
      </c>
      <c r="K834">
        <f>IFERROR(INDEX('1.산군_붙여넣기'!$A$1:$AZ$1001,ROW(),설정!$C$13)&amp;"","")</f>
        <v/>
      </c>
      <c r="L834" s="6">
        <f>IF(X834="","",IF(AND(LEN(X834)=8,ISNUMBER(X834*1)),DATE(LEFT(X834,4),MID(X834,5,2),RIGHT(X834,2)),IFERROR(DATEVALUE(SUBSTITUTE(SUBSTITUTE(X834,".","-"),"/","-")),IFERROR(X834*1,""))))</f>
        <v/>
      </c>
      <c r="M834" s="6">
        <f>IF(Y834="","",IF(AND(LEN(Y834)=8,ISNUMBER(Y834*1)),DATE(LEFT(Y834,4),MID(Y834,5,2),RIGHT(Y834,2)),IFERROR(DATEVALUE(SUBSTITUTE(SUBSTITUTE(Y834,".","-"),"/","-")),IFERROR(Y834*1,""))))</f>
        <v/>
      </c>
      <c r="N834">
        <f>IFERROR(LEFT(B834,FIND(" ",B834)-1),B834)</f>
        <v/>
      </c>
      <c r="O834">
        <f>AND(B834&lt;&gt;"",B834&lt;&gt;설정!$B$4,C834&lt;&gt;설정!$B$5)</f>
        <v/>
      </c>
      <c r="P834">
        <f>IF(O834,B834&amp;"|"&amp;C834,"")</f>
        <v/>
      </c>
      <c r="Q834">
        <f>AND(O834,COUNTIF(P835:P$1002,P834)=0)</f>
        <v/>
      </c>
      <c r="R834">
        <f>OR(AND(설정!$A$28&lt;&gt;"",ISNUMBER(SEARCH(설정!$A$28,E834&amp;" "&amp;C834))),AND(설정!$A$29&lt;&gt;"",ISNUMBER(SEARCH(설정!$A$29,E834&amp;" "&amp;C834))),AND(설정!$A$30&lt;&gt;"",ISNUMBER(SEARCH(설정!$A$30,E834&amp;" "&amp;C834))),AND(설정!$A$31&lt;&gt;"",ISNUMBER(SEARCH(설정!$A$31,E834&amp;" "&amp;C834))),AND(설정!$A$32&lt;&gt;"",ISNUMBER(SEARCH(설정!$A$32,E834&amp;" "&amp;C834))),AND(설정!$A$33&lt;&gt;"",ISNUMBER(SEARCH(설정!$A$33,E834&amp;" "&amp;C834))),AND(설정!$A$34&lt;&gt;"",ISNUMBER(SEARCH(설정!$A$34,E834&amp;" "&amp;C834))),AND(설정!$A$35&lt;&gt;"",ISNUMBER(SEARCH(설정!$A$35,E834&amp;" "&amp;C834))),AND(설정!$A$36&lt;&gt;"",ISNUMBER(SEARCH(설정!$A$36,E834&amp;" "&amp;C834))),AND(설정!$A$37&lt;&gt;"",ISNUMBER(SEARCH(설정!$A$37,E834&amp;" "&amp;C834))))</f>
        <v/>
      </c>
      <c r="S834">
        <f>OR(D834="",D834&gt;=설정!$B$19)</f>
        <v/>
      </c>
      <c r="T834">
        <f>AND(Q834,R834,S834)</f>
        <v/>
      </c>
      <c r="U834">
        <f>IF(T834,IF(AND(설정!$A$41&lt;&gt;"",ISNUMBER(SEARCH(설정!$A$41,K834))),설정!$B$41,IF(AND(설정!$A$42&lt;&gt;"",ISNUMBER(SEARCH(설정!$A$42,K834))),설정!$B$42,IF(AND(설정!$A$43&lt;&gt;"",ISNUMBER(SEARCH(설정!$A$43,K834))),설정!$B$43,IF(AND(설정!$A$44&lt;&gt;"",ISNUMBER(SEARCH(설정!$A$44,K834))),설정!$B$44,IF(AND(설정!$A$45&lt;&gt;"",ISNUMBER(SEARCH(설정!$A$45,K834))),설정!$B$45,IF(AND(설정!$A$46&lt;&gt;"",ISNUMBER(SEARCH(설정!$A$46,K834))),설정!$B$46,IF(AND(설정!$A$47&lt;&gt;"",ISNUMBER(SEARCH(설정!$A$47,K834))),설정!$B$47,IF(AND(설정!$A$48&lt;&gt;"",ISNUMBER(SEARCH(설정!$A$48,K834))),설정!$B$48,IF(M834="","설계사","시공사"))))))))),"")</f>
        <v/>
      </c>
      <c r="V834">
        <f>SUBSTITUTE(SUBSTITUTE(SUBSTITUTE(SUBSTITUTE(G834,"(주)",""),"㈜",""),"주식회사","")," ","")</f>
        <v/>
      </c>
      <c r="W834">
        <f>IF(AND(T834,V834&lt;&gt;""),IF(COUNTIFS(V$2:V834,V834,T$2:T834,TRUE)=1,MAX(W$1:W833)+1,""),"")</f>
        <v/>
      </c>
      <c r="X834">
        <f>IFERROR(INDEX('1.산군_붙여넣기'!$A$1:$AZ$1001,ROW(),설정!$C$14)&amp;"","")</f>
        <v/>
      </c>
      <c r="Y834">
        <f>IFERROR(INDEX('1.산군_붙여넣기'!$A$1:$AZ$1001,ROW(),설정!$C$15)&amp;"","")</f>
        <v/>
      </c>
      <c r="Z834">
        <f>IF(T834,V834&amp;"|"&amp;U834,"")</f>
        <v/>
      </c>
    </row>
    <row r="835">
      <c r="A835">
        <f>ROW()</f>
        <v/>
      </c>
      <c r="B835">
        <f>IFERROR(INDEX('1.산군_붙여넣기'!$A$1:$AZ$1001,ROW(),설정!$C$4)&amp;"","")</f>
        <v/>
      </c>
      <c r="C835">
        <f>IFERROR(INDEX('1.산군_붙여넣기'!$A$1:$AZ$1001,ROW(),설정!$C$5)&amp;"","")</f>
        <v/>
      </c>
      <c r="D835" s="5">
        <f>IFERROR(VALUE(SUBSTITUTE(SUBSTITUTE(SUBSTITUTE(IFERROR(INDEX('1.산군_붙여넣기'!$A$1:$AZ$1001,ROW(),설정!$C$6)&amp;"",""),",",""),"㎡",""),"m2","")),"")</f>
        <v/>
      </c>
      <c r="E835">
        <f>IFERROR(INDEX('1.산군_붙여넣기'!$A$1:$AZ$1001,ROW(),설정!$C$7)&amp;"","")</f>
        <v/>
      </c>
      <c r="F835">
        <f>IFERROR(INDEX('1.산군_붙여넣기'!$A$1:$AZ$1001,ROW(),설정!$C$8)&amp;"","")</f>
        <v/>
      </c>
      <c r="G835">
        <f>IFERROR(INDEX('1.산군_붙여넣기'!$A$1:$AZ$1001,ROW(),설정!$C$9)&amp;"","")</f>
        <v/>
      </c>
      <c r="H835">
        <f>IFERROR(INDEX('1.산군_붙여넣기'!$A$1:$AZ$1001,ROW(),설정!$C$10)&amp;"","")</f>
        <v/>
      </c>
      <c r="I835">
        <f>IFERROR(INDEX('1.산군_붙여넣기'!$A$1:$AZ$1001,ROW(),설정!$C$11)&amp;"","")</f>
        <v/>
      </c>
      <c r="J835">
        <f>IFERROR(INDEX('1.산군_붙여넣기'!$A$1:$AZ$1001,ROW(),설정!$C$12)&amp;"","")</f>
        <v/>
      </c>
      <c r="K835">
        <f>IFERROR(INDEX('1.산군_붙여넣기'!$A$1:$AZ$1001,ROW(),설정!$C$13)&amp;"","")</f>
        <v/>
      </c>
      <c r="L835" s="6">
        <f>IF(X835="","",IF(AND(LEN(X835)=8,ISNUMBER(X835*1)),DATE(LEFT(X835,4),MID(X835,5,2),RIGHT(X835,2)),IFERROR(DATEVALUE(SUBSTITUTE(SUBSTITUTE(X835,".","-"),"/","-")),IFERROR(X835*1,""))))</f>
        <v/>
      </c>
      <c r="M835" s="6">
        <f>IF(Y835="","",IF(AND(LEN(Y835)=8,ISNUMBER(Y835*1)),DATE(LEFT(Y835,4),MID(Y835,5,2),RIGHT(Y835,2)),IFERROR(DATEVALUE(SUBSTITUTE(SUBSTITUTE(Y835,".","-"),"/","-")),IFERROR(Y835*1,""))))</f>
        <v/>
      </c>
      <c r="N835">
        <f>IFERROR(LEFT(B835,FIND(" ",B835)-1),B835)</f>
        <v/>
      </c>
      <c r="O835">
        <f>AND(B835&lt;&gt;"",B835&lt;&gt;설정!$B$4,C835&lt;&gt;설정!$B$5)</f>
        <v/>
      </c>
      <c r="P835">
        <f>IF(O835,B835&amp;"|"&amp;C835,"")</f>
        <v/>
      </c>
      <c r="Q835">
        <f>AND(O835,COUNTIF(P836:P$1002,P835)=0)</f>
        <v/>
      </c>
      <c r="R835">
        <f>OR(AND(설정!$A$28&lt;&gt;"",ISNUMBER(SEARCH(설정!$A$28,E835&amp;" "&amp;C835))),AND(설정!$A$29&lt;&gt;"",ISNUMBER(SEARCH(설정!$A$29,E835&amp;" "&amp;C835))),AND(설정!$A$30&lt;&gt;"",ISNUMBER(SEARCH(설정!$A$30,E835&amp;" "&amp;C835))),AND(설정!$A$31&lt;&gt;"",ISNUMBER(SEARCH(설정!$A$31,E835&amp;" "&amp;C835))),AND(설정!$A$32&lt;&gt;"",ISNUMBER(SEARCH(설정!$A$32,E835&amp;" "&amp;C835))),AND(설정!$A$33&lt;&gt;"",ISNUMBER(SEARCH(설정!$A$33,E835&amp;" "&amp;C835))),AND(설정!$A$34&lt;&gt;"",ISNUMBER(SEARCH(설정!$A$34,E835&amp;" "&amp;C835))),AND(설정!$A$35&lt;&gt;"",ISNUMBER(SEARCH(설정!$A$35,E835&amp;" "&amp;C835))),AND(설정!$A$36&lt;&gt;"",ISNUMBER(SEARCH(설정!$A$36,E835&amp;" "&amp;C835))),AND(설정!$A$37&lt;&gt;"",ISNUMBER(SEARCH(설정!$A$37,E835&amp;" "&amp;C835))))</f>
        <v/>
      </c>
      <c r="S835">
        <f>OR(D835="",D835&gt;=설정!$B$19)</f>
        <v/>
      </c>
      <c r="T835">
        <f>AND(Q835,R835,S835)</f>
        <v/>
      </c>
      <c r="U835">
        <f>IF(T835,IF(AND(설정!$A$41&lt;&gt;"",ISNUMBER(SEARCH(설정!$A$41,K835))),설정!$B$41,IF(AND(설정!$A$42&lt;&gt;"",ISNUMBER(SEARCH(설정!$A$42,K835))),설정!$B$42,IF(AND(설정!$A$43&lt;&gt;"",ISNUMBER(SEARCH(설정!$A$43,K835))),설정!$B$43,IF(AND(설정!$A$44&lt;&gt;"",ISNUMBER(SEARCH(설정!$A$44,K835))),설정!$B$44,IF(AND(설정!$A$45&lt;&gt;"",ISNUMBER(SEARCH(설정!$A$45,K835))),설정!$B$45,IF(AND(설정!$A$46&lt;&gt;"",ISNUMBER(SEARCH(설정!$A$46,K835))),설정!$B$46,IF(AND(설정!$A$47&lt;&gt;"",ISNUMBER(SEARCH(설정!$A$47,K835))),설정!$B$47,IF(AND(설정!$A$48&lt;&gt;"",ISNUMBER(SEARCH(설정!$A$48,K835))),설정!$B$48,IF(M835="","설계사","시공사"))))))))),"")</f>
        <v/>
      </c>
      <c r="V835">
        <f>SUBSTITUTE(SUBSTITUTE(SUBSTITUTE(SUBSTITUTE(G835,"(주)",""),"㈜",""),"주식회사","")," ","")</f>
        <v/>
      </c>
      <c r="W835">
        <f>IF(AND(T835,V835&lt;&gt;""),IF(COUNTIFS(V$2:V835,V835,T$2:T835,TRUE)=1,MAX(W$1:W834)+1,""),"")</f>
        <v/>
      </c>
      <c r="X835">
        <f>IFERROR(INDEX('1.산군_붙여넣기'!$A$1:$AZ$1001,ROW(),설정!$C$14)&amp;"","")</f>
        <v/>
      </c>
      <c r="Y835">
        <f>IFERROR(INDEX('1.산군_붙여넣기'!$A$1:$AZ$1001,ROW(),설정!$C$15)&amp;"","")</f>
        <v/>
      </c>
      <c r="Z835">
        <f>IF(T835,V835&amp;"|"&amp;U835,"")</f>
        <v/>
      </c>
    </row>
    <row r="836">
      <c r="A836">
        <f>ROW()</f>
        <v/>
      </c>
      <c r="B836">
        <f>IFERROR(INDEX('1.산군_붙여넣기'!$A$1:$AZ$1001,ROW(),설정!$C$4)&amp;"","")</f>
        <v/>
      </c>
      <c r="C836">
        <f>IFERROR(INDEX('1.산군_붙여넣기'!$A$1:$AZ$1001,ROW(),설정!$C$5)&amp;"","")</f>
        <v/>
      </c>
      <c r="D836" s="5">
        <f>IFERROR(VALUE(SUBSTITUTE(SUBSTITUTE(SUBSTITUTE(IFERROR(INDEX('1.산군_붙여넣기'!$A$1:$AZ$1001,ROW(),설정!$C$6)&amp;"",""),",",""),"㎡",""),"m2","")),"")</f>
        <v/>
      </c>
      <c r="E836">
        <f>IFERROR(INDEX('1.산군_붙여넣기'!$A$1:$AZ$1001,ROW(),설정!$C$7)&amp;"","")</f>
        <v/>
      </c>
      <c r="F836">
        <f>IFERROR(INDEX('1.산군_붙여넣기'!$A$1:$AZ$1001,ROW(),설정!$C$8)&amp;"","")</f>
        <v/>
      </c>
      <c r="G836">
        <f>IFERROR(INDEX('1.산군_붙여넣기'!$A$1:$AZ$1001,ROW(),설정!$C$9)&amp;"","")</f>
        <v/>
      </c>
      <c r="H836">
        <f>IFERROR(INDEX('1.산군_붙여넣기'!$A$1:$AZ$1001,ROW(),설정!$C$10)&amp;"","")</f>
        <v/>
      </c>
      <c r="I836">
        <f>IFERROR(INDEX('1.산군_붙여넣기'!$A$1:$AZ$1001,ROW(),설정!$C$11)&amp;"","")</f>
        <v/>
      </c>
      <c r="J836">
        <f>IFERROR(INDEX('1.산군_붙여넣기'!$A$1:$AZ$1001,ROW(),설정!$C$12)&amp;"","")</f>
        <v/>
      </c>
      <c r="K836">
        <f>IFERROR(INDEX('1.산군_붙여넣기'!$A$1:$AZ$1001,ROW(),설정!$C$13)&amp;"","")</f>
        <v/>
      </c>
      <c r="L836" s="6">
        <f>IF(X836="","",IF(AND(LEN(X836)=8,ISNUMBER(X836*1)),DATE(LEFT(X836,4),MID(X836,5,2),RIGHT(X836,2)),IFERROR(DATEVALUE(SUBSTITUTE(SUBSTITUTE(X836,".","-"),"/","-")),IFERROR(X836*1,""))))</f>
        <v/>
      </c>
      <c r="M836" s="6">
        <f>IF(Y836="","",IF(AND(LEN(Y836)=8,ISNUMBER(Y836*1)),DATE(LEFT(Y836,4),MID(Y836,5,2),RIGHT(Y836,2)),IFERROR(DATEVALUE(SUBSTITUTE(SUBSTITUTE(Y836,".","-"),"/","-")),IFERROR(Y836*1,""))))</f>
        <v/>
      </c>
      <c r="N836">
        <f>IFERROR(LEFT(B836,FIND(" ",B836)-1),B836)</f>
        <v/>
      </c>
      <c r="O836">
        <f>AND(B836&lt;&gt;"",B836&lt;&gt;설정!$B$4,C836&lt;&gt;설정!$B$5)</f>
        <v/>
      </c>
      <c r="P836">
        <f>IF(O836,B836&amp;"|"&amp;C836,"")</f>
        <v/>
      </c>
      <c r="Q836">
        <f>AND(O836,COUNTIF(P837:P$1002,P836)=0)</f>
        <v/>
      </c>
      <c r="R836">
        <f>OR(AND(설정!$A$28&lt;&gt;"",ISNUMBER(SEARCH(설정!$A$28,E836&amp;" "&amp;C836))),AND(설정!$A$29&lt;&gt;"",ISNUMBER(SEARCH(설정!$A$29,E836&amp;" "&amp;C836))),AND(설정!$A$30&lt;&gt;"",ISNUMBER(SEARCH(설정!$A$30,E836&amp;" "&amp;C836))),AND(설정!$A$31&lt;&gt;"",ISNUMBER(SEARCH(설정!$A$31,E836&amp;" "&amp;C836))),AND(설정!$A$32&lt;&gt;"",ISNUMBER(SEARCH(설정!$A$32,E836&amp;" "&amp;C836))),AND(설정!$A$33&lt;&gt;"",ISNUMBER(SEARCH(설정!$A$33,E836&amp;" "&amp;C836))),AND(설정!$A$34&lt;&gt;"",ISNUMBER(SEARCH(설정!$A$34,E836&amp;" "&amp;C836))),AND(설정!$A$35&lt;&gt;"",ISNUMBER(SEARCH(설정!$A$35,E836&amp;" "&amp;C836))),AND(설정!$A$36&lt;&gt;"",ISNUMBER(SEARCH(설정!$A$36,E836&amp;" "&amp;C836))),AND(설정!$A$37&lt;&gt;"",ISNUMBER(SEARCH(설정!$A$37,E836&amp;" "&amp;C836))))</f>
        <v/>
      </c>
      <c r="S836">
        <f>OR(D836="",D836&gt;=설정!$B$19)</f>
        <v/>
      </c>
      <c r="T836">
        <f>AND(Q836,R836,S836)</f>
        <v/>
      </c>
      <c r="U836">
        <f>IF(T836,IF(AND(설정!$A$41&lt;&gt;"",ISNUMBER(SEARCH(설정!$A$41,K836))),설정!$B$41,IF(AND(설정!$A$42&lt;&gt;"",ISNUMBER(SEARCH(설정!$A$42,K836))),설정!$B$42,IF(AND(설정!$A$43&lt;&gt;"",ISNUMBER(SEARCH(설정!$A$43,K836))),설정!$B$43,IF(AND(설정!$A$44&lt;&gt;"",ISNUMBER(SEARCH(설정!$A$44,K836))),설정!$B$44,IF(AND(설정!$A$45&lt;&gt;"",ISNUMBER(SEARCH(설정!$A$45,K836))),설정!$B$45,IF(AND(설정!$A$46&lt;&gt;"",ISNUMBER(SEARCH(설정!$A$46,K836))),설정!$B$46,IF(AND(설정!$A$47&lt;&gt;"",ISNUMBER(SEARCH(설정!$A$47,K836))),설정!$B$47,IF(AND(설정!$A$48&lt;&gt;"",ISNUMBER(SEARCH(설정!$A$48,K836))),설정!$B$48,IF(M836="","설계사","시공사"))))))))),"")</f>
        <v/>
      </c>
      <c r="V836">
        <f>SUBSTITUTE(SUBSTITUTE(SUBSTITUTE(SUBSTITUTE(G836,"(주)",""),"㈜",""),"주식회사","")," ","")</f>
        <v/>
      </c>
      <c r="W836">
        <f>IF(AND(T836,V836&lt;&gt;""),IF(COUNTIFS(V$2:V836,V836,T$2:T836,TRUE)=1,MAX(W$1:W835)+1,""),"")</f>
        <v/>
      </c>
      <c r="X836">
        <f>IFERROR(INDEX('1.산군_붙여넣기'!$A$1:$AZ$1001,ROW(),설정!$C$14)&amp;"","")</f>
        <v/>
      </c>
      <c r="Y836">
        <f>IFERROR(INDEX('1.산군_붙여넣기'!$A$1:$AZ$1001,ROW(),설정!$C$15)&amp;"","")</f>
        <v/>
      </c>
      <c r="Z836">
        <f>IF(T836,V836&amp;"|"&amp;U836,"")</f>
        <v/>
      </c>
    </row>
    <row r="837">
      <c r="A837">
        <f>ROW()</f>
        <v/>
      </c>
      <c r="B837">
        <f>IFERROR(INDEX('1.산군_붙여넣기'!$A$1:$AZ$1001,ROW(),설정!$C$4)&amp;"","")</f>
        <v/>
      </c>
      <c r="C837">
        <f>IFERROR(INDEX('1.산군_붙여넣기'!$A$1:$AZ$1001,ROW(),설정!$C$5)&amp;"","")</f>
        <v/>
      </c>
      <c r="D837" s="5">
        <f>IFERROR(VALUE(SUBSTITUTE(SUBSTITUTE(SUBSTITUTE(IFERROR(INDEX('1.산군_붙여넣기'!$A$1:$AZ$1001,ROW(),설정!$C$6)&amp;"",""),",",""),"㎡",""),"m2","")),"")</f>
        <v/>
      </c>
      <c r="E837">
        <f>IFERROR(INDEX('1.산군_붙여넣기'!$A$1:$AZ$1001,ROW(),설정!$C$7)&amp;"","")</f>
        <v/>
      </c>
      <c r="F837">
        <f>IFERROR(INDEX('1.산군_붙여넣기'!$A$1:$AZ$1001,ROW(),설정!$C$8)&amp;"","")</f>
        <v/>
      </c>
      <c r="G837">
        <f>IFERROR(INDEX('1.산군_붙여넣기'!$A$1:$AZ$1001,ROW(),설정!$C$9)&amp;"","")</f>
        <v/>
      </c>
      <c r="H837">
        <f>IFERROR(INDEX('1.산군_붙여넣기'!$A$1:$AZ$1001,ROW(),설정!$C$10)&amp;"","")</f>
        <v/>
      </c>
      <c r="I837">
        <f>IFERROR(INDEX('1.산군_붙여넣기'!$A$1:$AZ$1001,ROW(),설정!$C$11)&amp;"","")</f>
        <v/>
      </c>
      <c r="J837">
        <f>IFERROR(INDEX('1.산군_붙여넣기'!$A$1:$AZ$1001,ROW(),설정!$C$12)&amp;"","")</f>
        <v/>
      </c>
      <c r="K837">
        <f>IFERROR(INDEX('1.산군_붙여넣기'!$A$1:$AZ$1001,ROW(),설정!$C$13)&amp;"","")</f>
        <v/>
      </c>
      <c r="L837" s="6">
        <f>IF(X837="","",IF(AND(LEN(X837)=8,ISNUMBER(X837*1)),DATE(LEFT(X837,4),MID(X837,5,2),RIGHT(X837,2)),IFERROR(DATEVALUE(SUBSTITUTE(SUBSTITUTE(X837,".","-"),"/","-")),IFERROR(X837*1,""))))</f>
        <v/>
      </c>
      <c r="M837" s="6">
        <f>IF(Y837="","",IF(AND(LEN(Y837)=8,ISNUMBER(Y837*1)),DATE(LEFT(Y837,4),MID(Y837,5,2),RIGHT(Y837,2)),IFERROR(DATEVALUE(SUBSTITUTE(SUBSTITUTE(Y837,".","-"),"/","-")),IFERROR(Y837*1,""))))</f>
        <v/>
      </c>
      <c r="N837">
        <f>IFERROR(LEFT(B837,FIND(" ",B837)-1),B837)</f>
        <v/>
      </c>
      <c r="O837">
        <f>AND(B837&lt;&gt;"",B837&lt;&gt;설정!$B$4,C837&lt;&gt;설정!$B$5)</f>
        <v/>
      </c>
      <c r="P837">
        <f>IF(O837,B837&amp;"|"&amp;C837,"")</f>
        <v/>
      </c>
      <c r="Q837">
        <f>AND(O837,COUNTIF(P838:P$1002,P837)=0)</f>
        <v/>
      </c>
      <c r="R837">
        <f>OR(AND(설정!$A$28&lt;&gt;"",ISNUMBER(SEARCH(설정!$A$28,E837&amp;" "&amp;C837))),AND(설정!$A$29&lt;&gt;"",ISNUMBER(SEARCH(설정!$A$29,E837&amp;" "&amp;C837))),AND(설정!$A$30&lt;&gt;"",ISNUMBER(SEARCH(설정!$A$30,E837&amp;" "&amp;C837))),AND(설정!$A$31&lt;&gt;"",ISNUMBER(SEARCH(설정!$A$31,E837&amp;" "&amp;C837))),AND(설정!$A$32&lt;&gt;"",ISNUMBER(SEARCH(설정!$A$32,E837&amp;" "&amp;C837))),AND(설정!$A$33&lt;&gt;"",ISNUMBER(SEARCH(설정!$A$33,E837&amp;" "&amp;C837))),AND(설정!$A$34&lt;&gt;"",ISNUMBER(SEARCH(설정!$A$34,E837&amp;" "&amp;C837))),AND(설정!$A$35&lt;&gt;"",ISNUMBER(SEARCH(설정!$A$35,E837&amp;" "&amp;C837))),AND(설정!$A$36&lt;&gt;"",ISNUMBER(SEARCH(설정!$A$36,E837&amp;" "&amp;C837))),AND(설정!$A$37&lt;&gt;"",ISNUMBER(SEARCH(설정!$A$37,E837&amp;" "&amp;C837))))</f>
        <v/>
      </c>
      <c r="S837">
        <f>OR(D837="",D837&gt;=설정!$B$19)</f>
        <v/>
      </c>
      <c r="T837">
        <f>AND(Q837,R837,S837)</f>
        <v/>
      </c>
      <c r="U837">
        <f>IF(T837,IF(AND(설정!$A$41&lt;&gt;"",ISNUMBER(SEARCH(설정!$A$41,K837))),설정!$B$41,IF(AND(설정!$A$42&lt;&gt;"",ISNUMBER(SEARCH(설정!$A$42,K837))),설정!$B$42,IF(AND(설정!$A$43&lt;&gt;"",ISNUMBER(SEARCH(설정!$A$43,K837))),설정!$B$43,IF(AND(설정!$A$44&lt;&gt;"",ISNUMBER(SEARCH(설정!$A$44,K837))),설정!$B$44,IF(AND(설정!$A$45&lt;&gt;"",ISNUMBER(SEARCH(설정!$A$45,K837))),설정!$B$45,IF(AND(설정!$A$46&lt;&gt;"",ISNUMBER(SEARCH(설정!$A$46,K837))),설정!$B$46,IF(AND(설정!$A$47&lt;&gt;"",ISNUMBER(SEARCH(설정!$A$47,K837))),설정!$B$47,IF(AND(설정!$A$48&lt;&gt;"",ISNUMBER(SEARCH(설정!$A$48,K837))),설정!$B$48,IF(M837="","설계사","시공사"))))))))),"")</f>
        <v/>
      </c>
      <c r="V837">
        <f>SUBSTITUTE(SUBSTITUTE(SUBSTITUTE(SUBSTITUTE(G837,"(주)",""),"㈜",""),"주식회사","")," ","")</f>
        <v/>
      </c>
      <c r="W837">
        <f>IF(AND(T837,V837&lt;&gt;""),IF(COUNTIFS(V$2:V837,V837,T$2:T837,TRUE)=1,MAX(W$1:W836)+1,""),"")</f>
        <v/>
      </c>
      <c r="X837">
        <f>IFERROR(INDEX('1.산군_붙여넣기'!$A$1:$AZ$1001,ROW(),설정!$C$14)&amp;"","")</f>
        <v/>
      </c>
      <c r="Y837">
        <f>IFERROR(INDEX('1.산군_붙여넣기'!$A$1:$AZ$1001,ROW(),설정!$C$15)&amp;"","")</f>
        <v/>
      </c>
      <c r="Z837">
        <f>IF(T837,V837&amp;"|"&amp;U837,"")</f>
        <v/>
      </c>
    </row>
    <row r="838">
      <c r="A838">
        <f>ROW()</f>
        <v/>
      </c>
      <c r="B838">
        <f>IFERROR(INDEX('1.산군_붙여넣기'!$A$1:$AZ$1001,ROW(),설정!$C$4)&amp;"","")</f>
        <v/>
      </c>
      <c r="C838">
        <f>IFERROR(INDEX('1.산군_붙여넣기'!$A$1:$AZ$1001,ROW(),설정!$C$5)&amp;"","")</f>
        <v/>
      </c>
      <c r="D838" s="5">
        <f>IFERROR(VALUE(SUBSTITUTE(SUBSTITUTE(SUBSTITUTE(IFERROR(INDEX('1.산군_붙여넣기'!$A$1:$AZ$1001,ROW(),설정!$C$6)&amp;"",""),",",""),"㎡",""),"m2","")),"")</f>
        <v/>
      </c>
      <c r="E838">
        <f>IFERROR(INDEX('1.산군_붙여넣기'!$A$1:$AZ$1001,ROW(),설정!$C$7)&amp;"","")</f>
        <v/>
      </c>
      <c r="F838">
        <f>IFERROR(INDEX('1.산군_붙여넣기'!$A$1:$AZ$1001,ROW(),설정!$C$8)&amp;"","")</f>
        <v/>
      </c>
      <c r="G838">
        <f>IFERROR(INDEX('1.산군_붙여넣기'!$A$1:$AZ$1001,ROW(),설정!$C$9)&amp;"","")</f>
        <v/>
      </c>
      <c r="H838">
        <f>IFERROR(INDEX('1.산군_붙여넣기'!$A$1:$AZ$1001,ROW(),설정!$C$10)&amp;"","")</f>
        <v/>
      </c>
      <c r="I838">
        <f>IFERROR(INDEX('1.산군_붙여넣기'!$A$1:$AZ$1001,ROW(),설정!$C$11)&amp;"","")</f>
        <v/>
      </c>
      <c r="J838">
        <f>IFERROR(INDEX('1.산군_붙여넣기'!$A$1:$AZ$1001,ROW(),설정!$C$12)&amp;"","")</f>
        <v/>
      </c>
      <c r="K838">
        <f>IFERROR(INDEX('1.산군_붙여넣기'!$A$1:$AZ$1001,ROW(),설정!$C$13)&amp;"","")</f>
        <v/>
      </c>
      <c r="L838" s="6">
        <f>IF(X838="","",IF(AND(LEN(X838)=8,ISNUMBER(X838*1)),DATE(LEFT(X838,4),MID(X838,5,2),RIGHT(X838,2)),IFERROR(DATEVALUE(SUBSTITUTE(SUBSTITUTE(X838,".","-"),"/","-")),IFERROR(X838*1,""))))</f>
        <v/>
      </c>
      <c r="M838" s="6">
        <f>IF(Y838="","",IF(AND(LEN(Y838)=8,ISNUMBER(Y838*1)),DATE(LEFT(Y838,4),MID(Y838,5,2),RIGHT(Y838,2)),IFERROR(DATEVALUE(SUBSTITUTE(SUBSTITUTE(Y838,".","-"),"/","-")),IFERROR(Y838*1,""))))</f>
        <v/>
      </c>
      <c r="N838">
        <f>IFERROR(LEFT(B838,FIND(" ",B838)-1),B838)</f>
        <v/>
      </c>
      <c r="O838">
        <f>AND(B838&lt;&gt;"",B838&lt;&gt;설정!$B$4,C838&lt;&gt;설정!$B$5)</f>
        <v/>
      </c>
      <c r="P838">
        <f>IF(O838,B838&amp;"|"&amp;C838,"")</f>
        <v/>
      </c>
      <c r="Q838">
        <f>AND(O838,COUNTIF(P839:P$1002,P838)=0)</f>
        <v/>
      </c>
      <c r="R838">
        <f>OR(AND(설정!$A$28&lt;&gt;"",ISNUMBER(SEARCH(설정!$A$28,E838&amp;" "&amp;C838))),AND(설정!$A$29&lt;&gt;"",ISNUMBER(SEARCH(설정!$A$29,E838&amp;" "&amp;C838))),AND(설정!$A$30&lt;&gt;"",ISNUMBER(SEARCH(설정!$A$30,E838&amp;" "&amp;C838))),AND(설정!$A$31&lt;&gt;"",ISNUMBER(SEARCH(설정!$A$31,E838&amp;" "&amp;C838))),AND(설정!$A$32&lt;&gt;"",ISNUMBER(SEARCH(설정!$A$32,E838&amp;" "&amp;C838))),AND(설정!$A$33&lt;&gt;"",ISNUMBER(SEARCH(설정!$A$33,E838&amp;" "&amp;C838))),AND(설정!$A$34&lt;&gt;"",ISNUMBER(SEARCH(설정!$A$34,E838&amp;" "&amp;C838))),AND(설정!$A$35&lt;&gt;"",ISNUMBER(SEARCH(설정!$A$35,E838&amp;" "&amp;C838))),AND(설정!$A$36&lt;&gt;"",ISNUMBER(SEARCH(설정!$A$36,E838&amp;" "&amp;C838))),AND(설정!$A$37&lt;&gt;"",ISNUMBER(SEARCH(설정!$A$37,E838&amp;" "&amp;C838))))</f>
        <v/>
      </c>
      <c r="S838">
        <f>OR(D838="",D838&gt;=설정!$B$19)</f>
        <v/>
      </c>
      <c r="T838">
        <f>AND(Q838,R838,S838)</f>
        <v/>
      </c>
      <c r="U838">
        <f>IF(T838,IF(AND(설정!$A$41&lt;&gt;"",ISNUMBER(SEARCH(설정!$A$41,K838))),설정!$B$41,IF(AND(설정!$A$42&lt;&gt;"",ISNUMBER(SEARCH(설정!$A$42,K838))),설정!$B$42,IF(AND(설정!$A$43&lt;&gt;"",ISNUMBER(SEARCH(설정!$A$43,K838))),설정!$B$43,IF(AND(설정!$A$44&lt;&gt;"",ISNUMBER(SEARCH(설정!$A$44,K838))),설정!$B$44,IF(AND(설정!$A$45&lt;&gt;"",ISNUMBER(SEARCH(설정!$A$45,K838))),설정!$B$45,IF(AND(설정!$A$46&lt;&gt;"",ISNUMBER(SEARCH(설정!$A$46,K838))),설정!$B$46,IF(AND(설정!$A$47&lt;&gt;"",ISNUMBER(SEARCH(설정!$A$47,K838))),설정!$B$47,IF(AND(설정!$A$48&lt;&gt;"",ISNUMBER(SEARCH(설정!$A$48,K838))),설정!$B$48,IF(M838="","설계사","시공사"))))))))),"")</f>
        <v/>
      </c>
      <c r="V838">
        <f>SUBSTITUTE(SUBSTITUTE(SUBSTITUTE(SUBSTITUTE(G838,"(주)",""),"㈜",""),"주식회사","")," ","")</f>
        <v/>
      </c>
      <c r="W838">
        <f>IF(AND(T838,V838&lt;&gt;""),IF(COUNTIFS(V$2:V838,V838,T$2:T838,TRUE)=1,MAX(W$1:W837)+1,""),"")</f>
        <v/>
      </c>
      <c r="X838">
        <f>IFERROR(INDEX('1.산군_붙여넣기'!$A$1:$AZ$1001,ROW(),설정!$C$14)&amp;"","")</f>
        <v/>
      </c>
      <c r="Y838">
        <f>IFERROR(INDEX('1.산군_붙여넣기'!$A$1:$AZ$1001,ROW(),설정!$C$15)&amp;"","")</f>
        <v/>
      </c>
      <c r="Z838">
        <f>IF(T838,V838&amp;"|"&amp;U838,"")</f>
        <v/>
      </c>
    </row>
    <row r="839">
      <c r="A839">
        <f>ROW()</f>
        <v/>
      </c>
      <c r="B839">
        <f>IFERROR(INDEX('1.산군_붙여넣기'!$A$1:$AZ$1001,ROW(),설정!$C$4)&amp;"","")</f>
        <v/>
      </c>
      <c r="C839">
        <f>IFERROR(INDEX('1.산군_붙여넣기'!$A$1:$AZ$1001,ROW(),설정!$C$5)&amp;"","")</f>
        <v/>
      </c>
      <c r="D839" s="5">
        <f>IFERROR(VALUE(SUBSTITUTE(SUBSTITUTE(SUBSTITUTE(IFERROR(INDEX('1.산군_붙여넣기'!$A$1:$AZ$1001,ROW(),설정!$C$6)&amp;"",""),",",""),"㎡",""),"m2","")),"")</f>
        <v/>
      </c>
      <c r="E839">
        <f>IFERROR(INDEX('1.산군_붙여넣기'!$A$1:$AZ$1001,ROW(),설정!$C$7)&amp;"","")</f>
        <v/>
      </c>
      <c r="F839">
        <f>IFERROR(INDEX('1.산군_붙여넣기'!$A$1:$AZ$1001,ROW(),설정!$C$8)&amp;"","")</f>
        <v/>
      </c>
      <c r="G839">
        <f>IFERROR(INDEX('1.산군_붙여넣기'!$A$1:$AZ$1001,ROW(),설정!$C$9)&amp;"","")</f>
        <v/>
      </c>
      <c r="H839">
        <f>IFERROR(INDEX('1.산군_붙여넣기'!$A$1:$AZ$1001,ROW(),설정!$C$10)&amp;"","")</f>
        <v/>
      </c>
      <c r="I839">
        <f>IFERROR(INDEX('1.산군_붙여넣기'!$A$1:$AZ$1001,ROW(),설정!$C$11)&amp;"","")</f>
        <v/>
      </c>
      <c r="J839">
        <f>IFERROR(INDEX('1.산군_붙여넣기'!$A$1:$AZ$1001,ROW(),설정!$C$12)&amp;"","")</f>
        <v/>
      </c>
      <c r="K839">
        <f>IFERROR(INDEX('1.산군_붙여넣기'!$A$1:$AZ$1001,ROW(),설정!$C$13)&amp;"","")</f>
        <v/>
      </c>
      <c r="L839" s="6">
        <f>IF(X839="","",IF(AND(LEN(X839)=8,ISNUMBER(X839*1)),DATE(LEFT(X839,4),MID(X839,5,2),RIGHT(X839,2)),IFERROR(DATEVALUE(SUBSTITUTE(SUBSTITUTE(X839,".","-"),"/","-")),IFERROR(X839*1,""))))</f>
        <v/>
      </c>
      <c r="M839" s="6">
        <f>IF(Y839="","",IF(AND(LEN(Y839)=8,ISNUMBER(Y839*1)),DATE(LEFT(Y839,4),MID(Y839,5,2),RIGHT(Y839,2)),IFERROR(DATEVALUE(SUBSTITUTE(SUBSTITUTE(Y839,".","-"),"/","-")),IFERROR(Y839*1,""))))</f>
        <v/>
      </c>
      <c r="N839">
        <f>IFERROR(LEFT(B839,FIND(" ",B839)-1),B839)</f>
        <v/>
      </c>
      <c r="O839">
        <f>AND(B839&lt;&gt;"",B839&lt;&gt;설정!$B$4,C839&lt;&gt;설정!$B$5)</f>
        <v/>
      </c>
      <c r="P839">
        <f>IF(O839,B839&amp;"|"&amp;C839,"")</f>
        <v/>
      </c>
      <c r="Q839">
        <f>AND(O839,COUNTIF(P840:P$1002,P839)=0)</f>
        <v/>
      </c>
      <c r="R839">
        <f>OR(AND(설정!$A$28&lt;&gt;"",ISNUMBER(SEARCH(설정!$A$28,E839&amp;" "&amp;C839))),AND(설정!$A$29&lt;&gt;"",ISNUMBER(SEARCH(설정!$A$29,E839&amp;" "&amp;C839))),AND(설정!$A$30&lt;&gt;"",ISNUMBER(SEARCH(설정!$A$30,E839&amp;" "&amp;C839))),AND(설정!$A$31&lt;&gt;"",ISNUMBER(SEARCH(설정!$A$31,E839&amp;" "&amp;C839))),AND(설정!$A$32&lt;&gt;"",ISNUMBER(SEARCH(설정!$A$32,E839&amp;" "&amp;C839))),AND(설정!$A$33&lt;&gt;"",ISNUMBER(SEARCH(설정!$A$33,E839&amp;" "&amp;C839))),AND(설정!$A$34&lt;&gt;"",ISNUMBER(SEARCH(설정!$A$34,E839&amp;" "&amp;C839))),AND(설정!$A$35&lt;&gt;"",ISNUMBER(SEARCH(설정!$A$35,E839&amp;" "&amp;C839))),AND(설정!$A$36&lt;&gt;"",ISNUMBER(SEARCH(설정!$A$36,E839&amp;" "&amp;C839))),AND(설정!$A$37&lt;&gt;"",ISNUMBER(SEARCH(설정!$A$37,E839&amp;" "&amp;C839))))</f>
        <v/>
      </c>
      <c r="S839">
        <f>OR(D839="",D839&gt;=설정!$B$19)</f>
        <v/>
      </c>
      <c r="T839">
        <f>AND(Q839,R839,S839)</f>
        <v/>
      </c>
      <c r="U839">
        <f>IF(T839,IF(AND(설정!$A$41&lt;&gt;"",ISNUMBER(SEARCH(설정!$A$41,K839))),설정!$B$41,IF(AND(설정!$A$42&lt;&gt;"",ISNUMBER(SEARCH(설정!$A$42,K839))),설정!$B$42,IF(AND(설정!$A$43&lt;&gt;"",ISNUMBER(SEARCH(설정!$A$43,K839))),설정!$B$43,IF(AND(설정!$A$44&lt;&gt;"",ISNUMBER(SEARCH(설정!$A$44,K839))),설정!$B$44,IF(AND(설정!$A$45&lt;&gt;"",ISNUMBER(SEARCH(설정!$A$45,K839))),설정!$B$45,IF(AND(설정!$A$46&lt;&gt;"",ISNUMBER(SEARCH(설정!$A$46,K839))),설정!$B$46,IF(AND(설정!$A$47&lt;&gt;"",ISNUMBER(SEARCH(설정!$A$47,K839))),설정!$B$47,IF(AND(설정!$A$48&lt;&gt;"",ISNUMBER(SEARCH(설정!$A$48,K839))),설정!$B$48,IF(M839="","설계사","시공사"))))))))),"")</f>
        <v/>
      </c>
      <c r="V839">
        <f>SUBSTITUTE(SUBSTITUTE(SUBSTITUTE(SUBSTITUTE(G839,"(주)",""),"㈜",""),"주식회사","")," ","")</f>
        <v/>
      </c>
      <c r="W839">
        <f>IF(AND(T839,V839&lt;&gt;""),IF(COUNTIFS(V$2:V839,V839,T$2:T839,TRUE)=1,MAX(W$1:W838)+1,""),"")</f>
        <v/>
      </c>
      <c r="X839">
        <f>IFERROR(INDEX('1.산군_붙여넣기'!$A$1:$AZ$1001,ROW(),설정!$C$14)&amp;"","")</f>
        <v/>
      </c>
      <c r="Y839">
        <f>IFERROR(INDEX('1.산군_붙여넣기'!$A$1:$AZ$1001,ROW(),설정!$C$15)&amp;"","")</f>
        <v/>
      </c>
      <c r="Z839">
        <f>IF(T839,V839&amp;"|"&amp;U839,"")</f>
        <v/>
      </c>
    </row>
    <row r="840">
      <c r="A840">
        <f>ROW()</f>
        <v/>
      </c>
      <c r="B840">
        <f>IFERROR(INDEX('1.산군_붙여넣기'!$A$1:$AZ$1001,ROW(),설정!$C$4)&amp;"","")</f>
        <v/>
      </c>
      <c r="C840">
        <f>IFERROR(INDEX('1.산군_붙여넣기'!$A$1:$AZ$1001,ROW(),설정!$C$5)&amp;"","")</f>
        <v/>
      </c>
      <c r="D840" s="5">
        <f>IFERROR(VALUE(SUBSTITUTE(SUBSTITUTE(SUBSTITUTE(IFERROR(INDEX('1.산군_붙여넣기'!$A$1:$AZ$1001,ROW(),설정!$C$6)&amp;"",""),",",""),"㎡",""),"m2","")),"")</f>
        <v/>
      </c>
      <c r="E840">
        <f>IFERROR(INDEX('1.산군_붙여넣기'!$A$1:$AZ$1001,ROW(),설정!$C$7)&amp;"","")</f>
        <v/>
      </c>
      <c r="F840">
        <f>IFERROR(INDEX('1.산군_붙여넣기'!$A$1:$AZ$1001,ROW(),설정!$C$8)&amp;"","")</f>
        <v/>
      </c>
      <c r="G840">
        <f>IFERROR(INDEX('1.산군_붙여넣기'!$A$1:$AZ$1001,ROW(),설정!$C$9)&amp;"","")</f>
        <v/>
      </c>
      <c r="H840">
        <f>IFERROR(INDEX('1.산군_붙여넣기'!$A$1:$AZ$1001,ROW(),설정!$C$10)&amp;"","")</f>
        <v/>
      </c>
      <c r="I840">
        <f>IFERROR(INDEX('1.산군_붙여넣기'!$A$1:$AZ$1001,ROW(),설정!$C$11)&amp;"","")</f>
        <v/>
      </c>
      <c r="J840">
        <f>IFERROR(INDEX('1.산군_붙여넣기'!$A$1:$AZ$1001,ROW(),설정!$C$12)&amp;"","")</f>
        <v/>
      </c>
      <c r="K840">
        <f>IFERROR(INDEX('1.산군_붙여넣기'!$A$1:$AZ$1001,ROW(),설정!$C$13)&amp;"","")</f>
        <v/>
      </c>
      <c r="L840" s="6">
        <f>IF(X840="","",IF(AND(LEN(X840)=8,ISNUMBER(X840*1)),DATE(LEFT(X840,4),MID(X840,5,2),RIGHT(X840,2)),IFERROR(DATEVALUE(SUBSTITUTE(SUBSTITUTE(X840,".","-"),"/","-")),IFERROR(X840*1,""))))</f>
        <v/>
      </c>
      <c r="M840" s="6">
        <f>IF(Y840="","",IF(AND(LEN(Y840)=8,ISNUMBER(Y840*1)),DATE(LEFT(Y840,4),MID(Y840,5,2),RIGHT(Y840,2)),IFERROR(DATEVALUE(SUBSTITUTE(SUBSTITUTE(Y840,".","-"),"/","-")),IFERROR(Y840*1,""))))</f>
        <v/>
      </c>
      <c r="N840">
        <f>IFERROR(LEFT(B840,FIND(" ",B840)-1),B840)</f>
        <v/>
      </c>
      <c r="O840">
        <f>AND(B840&lt;&gt;"",B840&lt;&gt;설정!$B$4,C840&lt;&gt;설정!$B$5)</f>
        <v/>
      </c>
      <c r="P840">
        <f>IF(O840,B840&amp;"|"&amp;C840,"")</f>
        <v/>
      </c>
      <c r="Q840">
        <f>AND(O840,COUNTIF(P841:P$1002,P840)=0)</f>
        <v/>
      </c>
      <c r="R840">
        <f>OR(AND(설정!$A$28&lt;&gt;"",ISNUMBER(SEARCH(설정!$A$28,E840&amp;" "&amp;C840))),AND(설정!$A$29&lt;&gt;"",ISNUMBER(SEARCH(설정!$A$29,E840&amp;" "&amp;C840))),AND(설정!$A$30&lt;&gt;"",ISNUMBER(SEARCH(설정!$A$30,E840&amp;" "&amp;C840))),AND(설정!$A$31&lt;&gt;"",ISNUMBER(SEARCH(설정!$A$31,E840&amp;" "&amp;C840))),AND(설정!$A$32&lt;&gt;"",ISNUMBER(SEARCH(설정!$A$32,E840&amp;" "&amp;C840))),AND(설정!$A$33&lt;&gt;"",ISNUMBER(SEARCH(설정!$A$33,E840&amp;" "&amp;C840))),AND(설정!$A$34&lt;&gt;"",ISNUMBER(SEARCH(설정!$A$34,E840&amp;" "&amp;C840))),AND(설정!$A$35&lt;&gt;"",ISNUMBER(SEARCH(설정!$A$35,E840&amp;" "&amp;C840))),AND(설정!$A$36&lt;&gt;"",ISNUMBER(SEARCH(설정!$A$36,E840&amp;" "&amp;C840))),AND(설정!$A$37&lt;&gt;"",ISNUMBER(SEARCH(설정!$A$37,E840&amp;" "&amp;C840))))</f>
        <v/>
      </c>
      <c r="S840">
        <f>OR(D840="",D840&gt;=설정!$B$19)</f>
        <v/>
      </c>
      <c r="T840">
        <f>AND(Q840,R840,S840)</f>
        <v/>
      </c>
      <c r="U840">
        <f>IF(T840,IF(AND(설정!$A$41&lt;&gt;"",ISNUMBER(SEARCH(설정!$A$41,K840))),설정!$B$41,IF(AND(설정!$A$42&lt;&gt;"",ISNUMBER(SEARCH(설정!$A$42,K840))),설정!$B$42,IF(AND(설정!$A$43&lt;&gt;"",ISNUMBER(SEARCH(설정!$A$43,K840))),설정!$B$43,IF(AND(설정!$A$44&lt;&gt;"",ISNUMBER(SEARCH(설정!$A$44,K840))),설정!$B$44,IF(AND(설정!$A$45&lt;&gt;"",ISNUMBER(SEARCH(설정!$A$45,K840))),설정!$B$45,IF(AND(설정!$A$46&lt;&gt;"",ISNUMBER(SEARCH(설정!$A$46,K840))),설정!$B$46,IF(AND(설정!$A$47&lt;&gt;"",ISNUMBER(SEARCH(설정!$A$47,K840))),설정!$B$47,IF(AND(설정!$A$48&lt;&gt;"",ISNUMBER(SEARCH(설정!$A$48,K840))),설정!$B$48,IF(M840="","설계사","시공사"))))))))),"")</f>
        <v/>
      </c>
      <c r="V840">
        <f>SUBSTITUTE(SUBSTITUTE(SUBSTITUTE(SUBSTITUTE(G840,"(주)",""),"㈜",""),"주식회사","")," ","")</f>
        <v/>
      </c>
      <c r="W840">
        <f>IF(AND(T840,V840&lt;&gt;""),IF(COUNTIFS(V$2:V840,V840,T$2:T840,TRUE)=1,MAX(W$1:W839)+1,""),"")</f>
        <v/>
      </c>
      <c r="X840">
        <f>IFERROR(INDEX('1.산군_붙여넣기'!$A$1:$AZ$1001,ROW(),설정!$C$14)&amp;"","")</f>
        <v/>
      </c>
      <c r="Y840">
        <f>IFERROR(INDEX('1.산군_붙여넣기'!$A$1:$AZ$1001,ROW(),설정!$C$15)&amp;"","")</f>
        <v/>
      </c>
      <c r="Z840">
        <f>IF(T840,V840&amp;"|"&amp;U840,"")</f>
        <v/>
      </c>
    </row>
    <row r="841">
      <c r="A841">
        <f>ROW()</f>
        <v/>
      </c>
      <c r="B841">
        <f>IFERROR(INDEX('1.산군_붙여넣기'!$A$1:$AZ$1001,ROW(),설정!$C$4)&amp;"","")</f>
        <v/>
      </c>
      <c r="C841">
        <f>IFERROR(INDEX('1.산군_붙여넣기'!$A$1:$AZ$1001,ROW(),설정!$C$5)&amp;"","")</f>
        <v/>
      </c>
      <c r="D841" s="5">
        <f>IFERROR(VALUE(SUBSTITUTE(SUBSTITUTE(SUBSTITUTE(IFERROR(INDEX('1.산군_붙여넣기'!$A$1:$AZ$1001,ROW(),설정!$C$6)&amp;"",""),",",""),"㎡",""),"m2","")),"")</f>
        <v/>
      </c>
      <c r="E841">
        <f>IFERROR(INDEX('1.산군_붙여넣기'!$A$1:$AZ$1001,ROW(),설정!$C$7)&amp;"","")</f>
        <v/>
      </c>
      <c r="F841">
        <f>IFERROR(INDEX('1.산군_붙여넣기'!$A$1:$AZ$1001,ROW(),설정!$C$8)&amp;"","")</f>
        <v/>
      </c>
      <c r="G841">
        <f>IFERROR(INDEX('1.산군_붙여넣기'!$A$1:$AZ$1001,ROW(),설정!$C$9)&amp;"","")</f>
        <v/>
      </c>
      <c r="H841">
        <f>IFERROR(INDEX('1.산군_붙여넣기'!$A$1:$AZ$1001,ROW(),설정!$C$10)&amp;"","")</f>
        <v/>
      </c>
      <c r="I841">
        <f>IFERROR(INDEX('1.산군_붙여넣기'!$A$1:$AZ$1001,ROW(),설정!$C$11)&amp;"","")</f>
        <v/>
      </c>
      <c r="J841">
        <f>IFERROR(INDEX('1.산군_붙여넣기'!$A$1:$AZ$1001,ROW(),설정!$C$12)&amp;"","")</f>
        <v/>
      </c>
      <c r="K841">
        <f>IFERROR(INDEX('1.산군_붙여넣기'!$A$1:$AZ$1001,ROW(),설정!$C$13)&amp;"","")</f>
        <v/>
      </c>
      <c r="L841" s="6">
        <f>IF(X841="","",IF(AND(LEN(X841)=8,ISNUMBER(X841*1)),DATE(LEFT(X841,4),MID(X841,5,2),RIGHT(X841,2)),IFERROR(DATEVALUE(SUBSTITUTE(SUBSTITUTE(X841,".","-"),"/","-")),IFERROR(X841*1,""))))</f>
        <v/>
      </c>
      <c r="M841" s="6">
        <f>IF(Y841="","",IF(AND(LEN(Y841)=8,ISNUMBER(Y841*1)),DATE(LEFT(Y841,4),MID(Y841,5,2),RIGHT(Y841,2)),IFERROR(DATEVALUE(SUBSTITUTE(SUBSTITUTE(Y841,".","-"),"/","-")),IFERROR(Y841*1,""))))</f>
        <v/>
      </c>
      <c r="N841">
        <f>IFERROR(LEFT(B841,FIND(" ",B841)-1),B841)</f>
        <v/>
      </c>
      <c r="O841">
        <f>AND(B841&lt;&gt;"",B841&lt;&gt;설정!$B$4,C841&lt;&gt;설정!$B$5)</f>
        <v/>
      </c>
      <c r="P841">
        <f>IF(O841,B841&amp;"|"&amp;C841,"")</f>
        <v/>
      </c>
      <c r="Q841">
        <f>AND(O841,COUNTIF(P842:P$1002,P841)=0)</f>
        <v/>
      </c>
      <c r="R841">
        <f>OR(AND(설정!$A$28&lt;&gt;"",ISNUMBER(SEARCH(설정!$A$28,E841&amp;" "&amp;C841))),AND(설정!$A$29&lt;&gt;"",ISNUMBER(SEARCH(설정!$A$29,E841&amp;" "&amp;C841))),AND(설정!$A$30&lt;&gt;"",ISNUMBER(SEARCH(설정!$A$30,E841&amp;" "&amp;C841))),AND(설정!$A$31&lt;&gt;"",ISNUMBER(SEARCH(설정!$A$31,E841&amp;" "&amp;C841))),AND(설정!$A$32&lt;&gt;"",ISNUMBER(SEARCH(설정!$A$32,E841&amp;" "&amp;C841))),AND(설정!$A$33&lt;&gt;"",ISNUMBER(SEARCH(설정!$A$33,E841&amp;" "&amp;C841))),AND(설정!$A$34&lt;&gt;"",ISNUMBER(SEARCH(설정!$A$34,E841&amp;" "&amp;C841))),AND(설정!$A$35&lt;&gt;"",ISNUMBER(SEARCH(설정!$A$35,E841&amp;" "&amp;C841))),AND(설정!$A$36&lt;&gt;"",ISNUMBER(SEARCH(설정!$A$36,E841&amp;" "&amp;C841))),AND(설정!$A$37&lt;&gt;"",ISNUMBER(SEARCH(설정!$A$37,E841&amp;" "&amp;C841))))</f>
        <v/>
      </c>
      <c r="S841">
        <f>OR(D841="",D841&gt;=설정!$B$19)</f>
        <v/>
      </c>
      <c r="T841">
        <f>AND(Q841,R841,S841)</f>
        <v/>
      </c>
      <c r="U841">
        <f>IF(T841,IF(AND(설정!$A$41&lt;&gt;"",ISNUMBER(SEARCH(설정!$A$41,K841))),설정!$B$41,IF(AND(설정!$A$42&lt;&gt;"",ISNUMBER(SEARCH(설정!$A$42,K841))),설정!$B$42,IF(AND(설정!$A$43&lt;&gt;"",ISNUMBER(SEARCH(설정!$A$43,K841))),설정!$B$43,IF(AND(설정!$A$44&lt;&gt;"",ISNUMBER(SEARCH(설정!$A$44,K841))),설정!$B$44,IF(AND(설정!$A$45&lt;&gt;"",ISNUMBER(SEARCH(설정!$A$45,K841))),설정!$B$45,IF(AND(설정!$A$46&lt;&gt;"",ISNUMBER(SEARCH(설정!$A$46,K841))),설정!$B$46,IF(AND(설정!$A$47&lt;&gt;"",ISNUMBER(SEARCH(설정!$A$47,K841))),설정!$B$47,IF(AND(설정!$A$48&lt;&gt;"",ISNUMBER(SEARCH(설정!$A$48,K841))),설정!$B$48,IF(M841="","설계사","시공사"))))))))),"")</f>
        <v/>
      </c>
      <c r="V841">
        <f>SUBSTITUTE(SUBSTITUTE(SUBSTITUTE(SUBSTITUTE(G841,"(주)",""),"㈜",""),"주식회사","")," ","")</f>
        <v/>
      </c>
      <c r="W841">
        <f>IF(AND(T841,V841&lt;&gt;""),IF(COUNTIFS(V$2:V841,V841,T$2:T841,TRUE)=1,MAX(W$1:W840)+1,""),"")</f>
        <v/>
      </c>
      <c r="X841">
        <f>IFERROR(INDEX('1.산군_붙여넣기'!$A$1:$AZ$1001,ROW(),설정!$C$14)&amp;"","")</f>
        <v/>
      </c>
      <c r="Y841">
        <f>IFERROR(INDEX('1.산군_붙여넣기'!$A$1:$AZ$1001,ROW(),설정!$C$15)&amp;"","")</f>
        <v/>
      </c>
      <c r="Z841">
        <f>IF(T841,V841&amp;"|"&amp;U841,"")</f>
        <v/>
      </c>
    </row>
    <row r="842">
      <c r="A842">
        <f>ROW()</f>
        <v/>
      </c>
      <c r="B842">
        <f>IFERROR(INDEX('1.산군_붙여넣기'!$A$1:$AZ$1001,ROW(),설정!$C$4)&amp;"","")</f>
        <v/>
      </c>
      <c r="C842">
        <f>IFERROR(INDEX('1.산군_붙여넣기'!$A$1:$AZ$1001,ROW(),설정!$C$5)&amp;"","")</f>
        <v/>
      </c>
      <c r="D842" s="5">
        <f>IFERROR(VALUE(SUBSTITUTE(SUBSTITUTE(SUBSTITUTE(IFERROR(INDEX('1.산군_붙여넣기'!$A$1:$AZ$1001,ROW(),설정!$C$6)&amp;"",""),",",""),"㎡",""),"m2","")),"")</f>
        <v/>
      </c>
      <c r="E842">
        <f>IFERROR(INDEX('1.산군_붙여넣기'!$A$1:$AZ$1001,ROW(),설정!$C$7)&amp;"","")</f>
        <v/>
      </c>
      <c r="F842">
        <f>IFERROR(INDEX('1.산군_붙여넣기'!$A$1:$AZ$1001,ROW(),설정!$C$8)&amp;"","")</f>
        <v/>
      </c>
      <c r="G842">
        <f>IFERROR(INDEX('1.산군_붙여넣기'!$A$1:$AZ$1001,ROW(),설정!$C$9)&amp;"","")</f>
        <v/>
      </c>
      <c r="H842">
        <f>IFERROR(INDEX('1.산군_붙여넣기'!$A$1:$AZ$1001,ROW(),설정!$C$10)&amp;"","")</f>
        <v/>
      </c>
      <c r="I842">
        <f>IFERROR(INDEX('1.산군_붙여넣기'!$A$1:$AZ$1001,ROW(),설정!$C$11)&amp;"","")</f>
        <v/>
      </c>
      <c r="J842">
        <f>IFERROR(INDEX('1.산군_붙여넣기'!$A$1:$AZ$1001,ROW(),설정!$C$12)&amp;"","")</f>
        <v/>
      </c>
      <c r="K842">
        <f>IFERROR(INDEX('1.산군_붙여넣기'!$A$1:$AZ$1001,ROW(),설정!$C$13)&amp;"","")</f>
        <v/>
      </c>
      <c r="L842" s="6">
        <f>IF(X842="","",IF(AND(LEN(X842)=8,ISNUMBER(X842*1)),DATE(LEFT(X842,4),MID(X842,5,2),RIGHT(X842,2)),IFERROR(DATEVALUE(SUBSTITUTE(SUBSTITUTE(X842,".","-"),"/","-")),IFERROR(X842*1,""))))</f>
        <v/>
      </c>
      <c r="M842" s="6">
        <f>IF(Y842="","",IF(AND(LEN(Y842)=8,ISNUMBER(Y842*1)),DATE(LEFT(Y842,4),MID(Y842,5,2),RIGHT(Y842,2)),IFERROR(DATEVALUE(SUBSTITUTE(SUBSTITUTE(Y842,".","-"),"/","-")),IFERROR(Y842*1,""))))</f>
        <v/>
      </c>
      <c r="N842">
        <f>IFERROR(LEFT(B842,FIND(" ",B842)-1),B842)</f>
        <v/>
      </c>
      <c r="O842">
        <f>AND(B842&lt;&gt;"",B842&lt;&gt;설정!$B$4,C842&lt;&gt;설정!$B$5)</f>
        <v/>
      </c>
      <c r="P842">
        <f>IF(O842,B842&amp;"|"&amp;C842,"")</f>
        <v/>
      </c>
      <c r="Q842">
        <f>AND(O842,COUNTIF(P843:P$1002,P842)=0)</f>
        <v/>
      </c>
      <c r="R842">
        <f>OR(AND(설정!$A$28&lt;&gt;"",ISNUMBER(SEARCH(설정!$A$28,E842&amp;" "&amp;C842))),AND(설정!$A$29&lt;&gt;"",ISNUMBER(SEARCH(설정!$A$29,E842&amp;" "&amp;C842))),AND(설정!$A$30&lt;&gt;"",ISNUMBER(SEARCH(설정!$A$30,E842&amp;" "&amp;C842))),AND(설정!$A$31&lt;&gt;"",ISNUMBER(SEARCH(설정!$A$31,E842&amp;" "&amp;C842))),AND(설정!$A$32&lt;&gt;"",ISNUMBER(SEARCH(설정!$A$32,E842&amp;" "&amp;C842))),AND(설정!$A$33&lt;&gt;"",ISNUMBER(SEARCH(설정!$A$33,E842&amp;" "&amp;C842))),AND(설정!$A$34&lt;&gt;"",ISNUMBER(SEARCH(설정!$A$34,E842&amp;" "&amp;C842))),AND(설정!$A$35&lt;&gt;"",ISNUMBER(SEARCH(설정!$A$35,E842&amp;" "&amp;C842))),AND(설정!$A$36&lt;&gt;"",ISNUMBER(SEARCH(설정!$A$36,E842&amp;" "&amp;C842))),AND(설정!$A$37&lt;&gt;"",ISNUMBER(SEARCH(설정!$A$37,E842&amp;" "&amp;C842))))</f>
        <v/>
      </c>
      <c r="S842">
        <f>OR(D842="",D842&gt;=설정!$B$19)</f>
        <v/>
      </c>
      <c r="T842">
        <f>AND(Q842,R842,S842)</f>
        <v/>
      </c>
      <c r="U842">
        <f>IF(T842,IF(AND(설정!$A$41&lt;&gt;"",ISNUMBER(SEARCH(설정!$A$41,K842))),설정!$B$41,IF(AND(설정!$A$42&lt;&gt;"",ISNUMBER(SEARCH(설정!$A$42,K842))),설정!$B$42,IF(AND(설정!$A$43&lt;&gt;"",ISNUMBER(SEARCH(설정!$A$43,K842))),설정!$B$43,IF(AND(설정!$A$44&lt;&gt;"",ISNUMBER(SEARCH(설정!$A$44,K842))),설정!$B$44,IF(AND(설정!$A$45&lt;&gt;"",ISNUMBER(SEARCH(설정!$A$45,K842))),설정!$B$45,IF(AND(설정!$A$46&lt;&gt;"",ISNUMBER(SEARCH(설정!$A$46,K842))),설정!$B$46,IF(AND(설정!$A$47&lt;&gt;"",ISNUMBER(SEARCH(설정!$A$47,K842))),설정!$B$47,IF(AND(설정!$A$48&lt;&gt;"",ISNUMBER(SEARCH(설정!$A$48,K842))),설정!$B$48,IF(M842="","설계사","시공사"))))))))),"")</f>
        <v/>
      </c>
      <c r="V842">
        <f>SUBSTITUTE(SUBSTITUTE(SUBSTITUTE(SUBSTITUTE(G842,"(주)",""),"㈜",""),"주식회사","")," ","")</f>
        <v/>
      </c>
      <c r="W842">
        <f>IF(AND(T842,V842&lt;&gt;""),IF(COUNTIFS(V$2:V842,V842,T$2:T842,TRUE)=1,MAX(W$1:W841)+1,""),"")</f>
        <v/>
      </c>
      <c r="X842">
        <f>IFERROR(INDEX('1.산군_붙여넣기'!$A$1:$AZ$1001,ROW(),설정!$C$14)&amp;"","")</f>
        <v/>
      </c>
      <c r="Y842">
        <f>IFERROR(INDEX('1.산군_붙여넣기'!$A$1:$AZ$1001,ROW(),설정!$C$15)&amp;"","")</f>
        <v/>
      </c>
      <c r="Z842">
        <f>IF(T842,V842&amp;"|"&amp;U842,"")</f>
        <v/>
      </c>
    </row>
    <row r="843">
      <c r="A843">
        <f>ROW()</f>
        <v/>
      </c>
      <c r="B843">
        <f>IFERROR(INDEX('1.산군_붙여넣기'!$A$1:$AZ$1001,ROW(),설정!$C$4)&amp;"","")</f>
        <v/>
      </c>
      <c r="C843">
        <f>IFERROR(INDEX('1.산군_붙여넣기'!$A$1:$AZ$1001,ROW(),설정!$C$5)&amp;"","")</f>
        <v/>
      </c>
      <c r="D843" s="5">
        <f>IFERROR(VALUE(SUBSTITUTE(SUBSTITUTE(SUBSTITUTE(IFERROR(INDEX('1.산군_붙여넣기'!$A$1:$AZ$1001,ROW(),설정!$C$6)&amp;"",""),",",""),"㎡",""),"m2","")),"")</f>
        <v/>
      </c>
      <c r="E843">
        <f>IFERROR(INDEX('1.산군_붙여넣기'!$A$1:$AZ$1001,ROW(),설정!$C$7)&amp;"","")</f>
        <v/>
      </c>
      <c r="F843">
        <f>IFERROR(INDEX('1.산군_붙여넣기'!$A$1:$AZ$1001,ROW(),설정!$C$8)&amp;"","")</f>
        <v/>
      </c>
      <c r="G843">
        <f>IFERROR(INDEX('1.산군_붙여넣기'!$A$1:$AZ$1001,ROW(),설정!$C$9)&amp;"","")</f>
        <v/>
      </c>
      <c r="H843">
        <f>IFERROR(INDEX('1.산군_붙여넣기'!$A$1:$AZ$1001,ROW(),설정!$C$10)&amp;"","")</f>
        <v/>
      </c>
      <c r="I843">
        <f>IFERROR(INDEX('1.산군_붙여넣기'!$A$1:$AZ$1001,ROW(),설정!$C$11)&amp;"","")</f>
        <v/>
      </c>
      <c r="J843">
        <f>IFERROR(INDEX('1.산군_붙여넣기'!$A$1:$AZ$1001,ROW(),설정!$C$12)&amp;"","")</f>
        <v/>
      </c>
      <c r="K843">
        <f>IFERROR(INDEX('1.산군_붙여넣기'!$A$1:$AZ$1001,ROW(),설정!$C$13)&amp;"","")</f>
        <v/>
      </c>
      <c r="L843" s="6">
        <f>IF(X843="","",IF(AND(LEN(X843)=8,ISNUMBER(X843*1)),DATE(LEFT(X843,4),MID(X843,5,2),RIGHT(X843,2)),IFERROR(DATEVALUE(SUBSTITUTE(SUBSTITUTE(X843,".","-"),"/","-")),IFERROR(X843*1,""))))</f>
        <v/>
      </c>
      <c r="M843" s="6">
        <f>IF(Y843="","",IF(AND(LEN(Y843)=8,ISNUMBER(Y843*1)),DATE(LEFT(Y843,4),MID(Y843,5,2),RIGHT(Y843,2)),IFERROR(DATEVALUE(SUBSTITUTE(SUBSTITUTE(Y843,".","-"),"/","-")),IFERROR(Y843*1,""))))</f>
        <v/>
      </c>
      <c r="N843">
        <f>IFERROR(LEFT(B843,FIND(" ",B843)-1),B843)</f>
        <v/>
      </c>
      <c r="O843">
        <f>AND(B843&lt;&gt;"",B843&lt;&gt;설정!$B$4,C843&lt;&gt;설정!$B$5)</f>
        <v/>
      </c>
      <c r="P843">
        <f>IF(O843,B843&amp;"|"&amp;C843,"")</f>
        <v/>
      </c>
      <c r="Q843">
        <f>AND(O843,COUNTIF(P844:P$1002,P843)=0)</f>
        <v/>
      </c>
      <c r="R843">
        <f>OR(AND(설정!$A$28&lt;&gt;"",ISNUMBER(SEARCH(설정!$A$28,E843&amp;" "&amp;C843))),AND(설정!$A$29&lt;&gt;"",ISNUMBER(SEARCH(설정!$A$29,E843&amp;" "&amp;C843))),AND(설정!$A$30&lt;&gt;"",ISNUMBER(SEARCH(설정!$A$30,E843&amp;" "&amp;C843))),AND(설정!$A$31&lt;&gt;"",ISNUMBER(SEARCH(설정!$A$31,E843&amp;" "&amp;C843))),AND(설정!$A$32&lt;&gt;"",ISNUMBER(SEARCH(설정!$A$32,E843&amp;" "&amp;C843))),AND(설정!$A$33&lt;&gt;"",ISNUMBER(SEARCH(설정!$A$33,E843&amp;" "&amp;C843))),AND(설정!$A$34&lt;&gt;"",ISNUMBER(SEARCH(설정!$A$34,E843&amp;" "&amp;C843))),AND(설정!$A$35&lt;&gt;"",ISNUMBER(SEARCH(설정!$A$35,E843&amp;" "&amp;C843))),AND(설정!$A$36&lt;&gt;"",ISNUMBER(SEARCH(설정!$A$36,E843&amp;" "&amp;C843))),AND(설정!$A$37&lt;&gt;"",ISNUMBER(SEARCH(설정!$A$37,E843&amp;" "&amp;C843))))</f>
        <v/>
      </c>
      <c r="S843">
        <f>OR(D843="",D843&gt;=설정!$B$19)</f>
        <v/>
      </c>
      <c r="T843">
        <f>AND(Q843,R843,S843)</f>
        <v/>
      </c>
      <c r="U843">
        <f>IF(T843,IF(AND(설정!$A$41&lt;&gt;"",ISNUMBER(SEARCH(설정!$A$41,K843))),설정!$B$41,IF(AND(설정!$A$42&lt;&gt;"",ISNUMBER(SEARCH(설정!$A$42,K843))),설정!$B$42,IF(AND(설정!$A$43&lt;&gt;"",ISNUMBER(SEARCH(설정!$A$43,K843))),설정!$B$43,IF(AND(설정!$A$44&lt;&gt;"",ISNUMBER(SEARCH(설정!$A$44,K843))),설정!$B$44,IF(AND(설정!$A$45&lt;&gt;"",ISNUMBER(SEARCH(설정!$A$45,K843))),설정!$B$45,IF(AND(설정!$A$46&lt;&gt;"",ISNUMBER(SEARCH(설정!$A$46,K843))),설정!$B$46,IF(AND(설정!$A$47&lt;&gt;"",ISNUMBER(SEARCH(설정!$A$47,K843))),설정!$B$47,IF(AND(설정!$A$48&lt;&gt;"",ISNUMBER(SEARCH(설정!$A$48,K843))),설정!$B$48,IF(M843="","설계사","시공사"))))))))),"")</f>
        <v/>
      </c>
      <c r="V843">
        <f>SUBSTITUTE(SUBSTITUTE(SUBSTITUTE(SUBSTITUTE(G843,"(주)",""),"㈜",""),"주식회사","")," ","")</f>
        <v/>
      </c>
      <c r="W843">
        <f>IF(AND(T843,V843&lt;&gt;""),IF(COUNTIFS(V$2:V843,V843,T$2:T843,TRUE)=1,MAX(W$1:W842)+1,""),"")</f>
        <v/>
      </c>
      <c r="X843">
        <f>IFERROR(INDEX('1.산군_붙여넣기'!$A$1:$AZ$1001,ROW(),설정!$C$14)&amp;"","")</f>
        <v/>
      </c>
      <c r="Y843">
        <f>IFERROR(INDEX('1.산군_붙여넣기'!$A$1:$AZ$1001,ROW(),설정!$C$15)&amp;"","")</f>
        <v/>
      </c>
      <c r="Z843">
        <f>IF(T843,V843&amp;"|"&amp;U843,"")</f>
        <v/>
      </c>
    </row>
    <row r="844">
      <c r="A844">
        <f>ROW()</f>
        <v/>
      </c>
      <c r="B844">
        <f>IFERROR(INDEX('1.산군_붙여넣기'!$A$1:$AZ$1001,ROW(),설정!$C$4)&amp;"","")</f>
        <v/>
      </c>
      <c r="C844">
        <f>IFERROR(INDEX('1.산군_붙여넣기'!$A$1:$AZ$1001,ROW(),설정!$C$5)&amp;"","")</f>
        <v/>
      </c>
      <c r="D844" s="5">
        <f>IFERROR(VALUE(SUBSTITUTE(SUBSTITUTE(SUBSTITUTE(IFERROR(INDEX('1.산군_붙여넣기'!$A$1:$AZ$1001,ROW(),설정!$C$6)&amp;"",""),",",""),"㎡",""),"m2","")),"")</f>
        <v/>
      </c>
      <c r="E844">
        <f>IFERROR(INDEX('1.산군_붙여넣기'!$A$1:$AZ$1001,ROW(),설정!$C$7)&amp;"","")</f>
        <v/>
      </c>
      <c r="F844">
        <f>IFERROR(INDEX('1.산군_붙여넣기'!$A$1:$AZ$1001,ROW(),설정!$C$8)&amp;"","")</f>
        <v/>
      </c>
      <c r="G844">
        <f>IFERROR(INDEX('1.산군_붙여넣기'!$A$1:$AZ$1001,ROW(),설정!$C$9)&amp;"","")</f>
        <v/>
      </c>
      <c r="H844">
        <f>IFERROR(INDEX('1.산군_붙여넣기'!$A$1:$AZ$1001,ROW(),설정!$C$10)&amp;"","")</f>
        <v/>
      </c>
      <c r="I844">
        <f>IFERROR(INDEX('1.산군_붙여넣기'!$A$1:$AZ$1001,ROW(),설정!$C$11)&amp;"","")</f>
        <v/>
      </c>
      <c r="J844">
        <f>IFERROR(INDEX('1.산군_붙여넣기'!$A$1:$AZ$1001,ROW(),설정!$C$12)&amp;"","")</f>
        <v/>
      </c>
      <c r="K844">
        <f>IFERROR(INDEX('1.산군_붙여넣기'!$A$1:$AZ$1001,ROW(),설정!$C$13)&amp;"","")</f>
        <v/>
      </c>
      <c r="L844" s="6">
        <f>IF(X844="","",IF(AND(LEN(X844)=8,ISNUMBER(X844*1)),DATE(LEFT(X844,4),MID(X844,5,2),RIGHT(X844,2)),IFERROR(DATEVALUE(SUBSTITUTE(SUBSTITUTE(X844,".","-"),"/","-")),IFERROR(X844*1,""))))</f>
        <v/>
      </c>
      <c r="M844" s="6">
        <f>IF(Y844="","",IF(AND(LEN(Y844)=8,ISNUMBER(Y844*1)),DATE(LEFT(Y844,4),MID(Y844,5,2),RIGHT(Y844,2)),IFERROR(DATEVALUE(SUBSTITUTE(SUBSTITUTE(Y844,".","-"),"/","-")),IFERROR(Y844*1,""))))</f>
        <v/>
      </c>
      <c r="N844">
        <f>IFERROR(LEFT(B844,FIND(" ",B844)-1),B844)</f>
        <v/>
      </c>
      <c r="O844">
        <f>AND(B844&lt;&gt;"",B844&lt;&gt;설정!$B$4,C844&lt;&gt;설정!$B$5)</f>
        <v/>
      </c>
      <c r="P844">
        <f>IF(O844,B844&amp;"|"&amp;C844,"")</f>
        <v/>
      </c>
      <c r="Q844">
        <f>AND(O844,COUNTIF(P845:P$1002,P844)=0)</f>
        <v/>
      </c>
      <c r="R844">
        <f>OR(AND(설정!$A$28&lt;&gt;"",ISNUMBER(SEARCH(설정!$A$28,E844&amp;" "&amp;C844))),AND(설정!$A$29&lt;&gt;"",ISNUMBER(SEARCH(설정!$A$29,E844&amp;" "&amp;C844))),AND(설정!$A$30&lt;&gt;"",ISNUMBER(SEARCH(설정!$A$30,E844&amp;" "&amp;C844))),AND(설정!$A$31&lt;&gt;"",ISNUMBER(SEARCH(설정!$A$31,E844&amp;" "&amp;C844))),AND(설정!$A$32&lt;&gt;"",ISNUMBER(SEARCH(설정!$A$32,E844&amp;" "&amp;C844))),AND(설정!$A$33&lt;&gt;"",ISNUMBER(SEARCH(설정!$A$33,E844&amp;" "&amp;C844))),AND(설정!$A$34&lt;&gt;"",ISNUMBER(SEARCH(설정!$A$34,E844&amp;" "&amp;C844))),AND(설정!$A$35&lt;&gt;"",ISNUMBER(SEARCH(설정!$A$35,E844&amp;" "&amp;C844))),AND(설정!$A$36&lt;&gt;"",ISNUMBER(SEARCH(설정!$A$36,E844&amp;" "&amp;C844))),AND(설정!$A$37&lt;&gt;"",ISNUMBER(SEARCH(설정!$A$37,E844&amp;" "&amp;C844))))</f>
        <v/>
      </c>
      <c r="S844">
        <f>OR(D844="",D844&gt;=설정!$B$19)</f>
        <v/>
      </c>
      <c r="T844">
        <f>AND(Q844,R844,S844)</f>
        <v/>
      </c>
      <c r="U844">
        <f>IF(T844,IF(AND(설정!$A$41&lt;&gt;"",ISNUMBER(SEARCH(설정!$A$41,K844))),설정!$B$41,IF(AND(설정!$A$42&lt;&gt;"",ISNUMBER(SEARCH(설정!$A$42,K844))),설정!$B$42,IF(AND(설정!$A$43&lt;&gt;"",ISNUMBER(SEARCH(설정!$A$43,K844))),설정!$B$43,IF(AND(설정!$A$44&lt;&gt;"",ISNUMBER(SEARCH(설정!$A$44,K844))),설정!$B$44,IF(AND(설정!$A$45&lt;&gt;"",ISNUMBER(SEARCH(설정!$A$45,K844))),설정!$B$45,IF(AND(설정!$A$46&lt;&gt;"",ISNUMBER(SEARCH(설정!$A$46,K844))),설정!$B$46,IF(AND(설정!$A$47&lt;&gt;"",ISNUMBER(SEARCH(설정!$A$47,K844))),설정!$B$47,IF(AND(설정!$A$48&lt;&gt;"",ISNUMBER(SEARCH(설정!$A$48,K844))),설정!$B$48,IF(M844="","설계사","시공사"))))))))),"")</f>
        <v/>
      </c>
      <c r="V844">
        <f>SUBSTITUTE(SUBSTITUTE(SUBSTITUTE(SUBSTITUTE(G844,"(주)",""),"㈜",""),"주식회사","")," ","")</f>
        <v/>
      </c>
      <c r="W844">
        <f>IF(AND(T844,V844&lt;&gt;""),IF(COUNTIFS(V$2:V844,V844,T$2:T844,TRUE)=1,MAX(W$1:W843)+1,""),"")</f>
        <v/>
      </c>
      <c r="X844">
        <f>IFERROR(INDEX('1.산군_붙여넣기'!$A$1:$AZ$1001,ROW(),설정!$C$14)&amp;"","")</f>
        <v/>
      </c>
      <c r="Y844">
        <f>IFERROR(INDEX('1.산군_붙여넣기'!$A$1:$AZ$1001,ROW(),설정!$C$15)&amp;"","")</f>
        <v/>
      </c>
      <c r="Z844">
        <f>IF(T844,V844&amp;"|"&amp;U844,"")</f>
        <v/>
      </c>
    </row>
    <row r="845">
      <c r="A845">
        <f>ROW()</f>
        <v/>
      </c>
      <c r="B845">
        <f>IFERROR(INDEX('1.산군_붙여넣기'!$A$1:$AZ$1001,ROW(),설정!$C$4)&amp;"","")</f>
        <v/>
      </c>
      <c r="C845">
        <f>IFERROR(INDEX('1.산군_붙여넣기'!$A$1:$AZ$1001,ROW(),설정!$C$5)&amp;"","")</f>
        <v/>
      </c>
      <c r="D845" s="5">
        <f>IFERROR(VALUE(SUBSTITUTE(SUBSTITUTE(SUBSTITUTE(IFERROR(INDEX('1.산군_붙여넣기'!$A$1:$AZ$1001,ROW(),설정!$C$6)&amp;"",""),",",""),"㎡",""),"m2","")),"")</f>
        <v/>
      </c>
      <c r="E845">
        <f>IFERROR(INDEX('1.산군_붙여넣기'!$A$1:$AZ$1001,ROW(),설정!$C$7)&amp;"","")</f>
        <v/>
      </c>
      <c r="F845">
        <f>IFERROR(INDEX('1.산군_붙여넣기'!$A$1:$AZ$1001,ROW(),설정!$C$8)&amp;"","")</f>
        <v/>
      </c>
      <c r="G845">
        <f>IFERROR(INDEX('1.산군_붙여넣기'!$A$1:$AZ$1001,ROW(),설정!$C$9)&amp;"","")</f>
        <v/>
      </c>
      <c r="H845">
        <f>IFERROR(INDEX('1.산군_붙여넣기'!$A$1:$AZ$1001,ROW(),설정!$C$10)&amp;"","")</f>
        <v/>
      </c>
      <c r="I845">
        <f>IFERROR(INDEX('1.산군_붙여넣기'!$A$1:$AZ$1001,ROW(),설정!$C$11)&amp;"","")</f>
        <v/>
      </c>
      <c r="J845">
        <f>IFERROR(INDEX('1.산군_붙여넣기'!$A$1:$AZ$1001,ROW(),설정!$C$12)&amp;"","")</f>
        <v/>
      </c>
      <c r="K845">
        <f>IFERROR(INDEX('1.산군_붙여넣기'!$A$1:$AZ$1001,ROW(),설정!$C$13)&amp;"","")</f>
        <v/>
      </c>
      <c r="L845" s="6">
        <f>IF(X845="","",IF(AND(LEN(X845)=8,ISNUMBER(X845*1)),DATE(LEFT(X845,4),MID(X845,5,2),RIGHT(X845,2)),IFERROR(DATEVALUE(SUBSTITUTE(SUBSTITUTE(X845,".","-"),"/","-")),IFERROR(X845*1,""))))</f>
        <v/>
      </c>
      <c r="M845" s="6">
        <f>IF(Y845="","",IF(AND(LEN(Y845)=8,ISNUMBER(Y845*1)),DATE(LEFT(Y845,4),MID(Y845,5,2),RIGHT(Y845,2)),IFERROR(DATEVALUE(SUBSTITUTE(SUBSTITUTE(Y845,".","-"),"/","-")),IFERROR(Y845*1,""))))</f>
        <v/>
      </c>
      <c r="N845">
        <f>IFERROR(LEFT(B845,FIND(" ",B845)-1),B845)</f>
        <v/>
      </c>
      <c r="O845">
        <f>AND(B845&lt;&gt;"",B845&lt;&gt;설정!$B$4,C845&lt;&gt;설정!$B$5)</f>
        <v/>
      </c>
      <c r="P845">
        <f>IF(O845,B845&amp;"|"&amp;C845,"")</f>
        <v/>
      </c>
      <c r="Q845">
        <f>AND(O845,COUNTIF(P846:P$1002,P845)=0)</f>
        <v/>
      </c>
      <c r="R845">
        <f>OR(AND(설정!$A$28&lt;&gt;"",ISNUMBER(SEARCH(설정!$A$28,E845&amp;" "&amp;C845))),AND(설정!$A$29&lt;&gt;"",ISNUMBER(SEARCH(설정!$A$29,E845&amp;" "&amp;C845))),AND(설정!$A$30&lt;&gt;"",ISNUMBER(SEARCH(설정!$A$30,E845&amp;" "&amp;C845))),AND(설정!$A$31&lt;&gt;"",ISNUMBER(SEARCH(설정!$A$31,E845&amp;" "&amp;C845))),AND(설정!$A$32&lt;&gt;"",ISNUMBER(SEARCH(설정!$A$32,E845&amp;" "&amp;C845))),AND(설정!$A$33&lt;&gt;"",ISNUMBER(SEARCH(설정!$A$33,E845&amp;" "&amp;C845))),AND(설정!$A$34&lt;&gt;"",ISNUMBER(SEARCH(설정!$A$34,E845&amp;" "&amp;C845))),AND(설정!$A$35&lt;&gt;"",ISNUMBER(SEARCH(설정!$A$35,E845&amp;" "&amp;C845))),AND(설정!$A$36&lt;&gt;"",ISNUMBER(SEARCH(설정!$A$36,E845&amp;" "&amp;C845))),AND(설정!$A$37&lt;&gt;"",ISNUMBER(SEARCH(설정!$A$37,E845&amp;" "&amp;C845))))</f>
        <v/>
      </c>
      <c r="S845">
        <f>OR(D845="",D845&gt;=설정!$B$19)</f>
        <v/>
      </c>
      <c r="T845">
        <f>AND(Q845,R845,S845)</f>
        <v/>
      </c>
      <c r="U845">
        <f>IF(T845,IF(AND(설정!$A$41&lt;&gt;"",ISNUMBER(SEARCH(설정!$A$41,K845))),설정!$B$41,IF(AND(설정!$A$42&lt;&gt;"",ISNUMBER(SEARCH(설정!$A$42,K845))),설정!$B$42,IF(AND(설정!$A$43&lt;&gt;"",ISNUMBER(SEARCH(설정!$A$43,K845))),설정!$B$43,IF(AND(설정!$A$44&lt;&gt;"",ISNUMBER(SEARCH(설정!$A$44,K845))),설정!$B$44,IF(AND(설정!$A$45&lt;&gt;"",ISNUMBER(SEARCH(설정!$A$45,K845))),설정!$B$45,IF(AND(설정!$A$46&lt;&gt;"",ISNUMBER(SEARCH(설정!$A$46,K845))),설정!$B$46,IF(AND(설정!$A$47&lt;&gt;"",ISNUMBER(SEARCH(설정!$A$47,K845))),설정!$B$47,IF(AND(설정!$A$48&lt;&gt;"",ISNUMBER(SEARCH(설정!$A$48,K845))),설정!$B$48,IF(M845="","설계사","시공사"))))))))),"")</f>
        <v/>
      </c>
      <c r="V845">
        <f>SUBSTITUTE(SUBSTITUTE(SUBSTITUTE(SUBSTITUTE(G845,"(주)",""),"㈜",""),"주식회사","")," ","")</f>
        <v/>
      </c>
      <c r="W845">
        <f>IF(AND(T845,V845&lt;&gt;""),IF(COUNTIFS(V$2:V845,V845,T$2:T845,TRUE)=1,MAX(W$1:W844)+1,""),"")</f>
        <v/>
      </c>
      <c r="X845">
        <f>IFERROR(INDEX('1.산군_붙여넣기'!$A$1:$AZ$1001,ROW(),설정!$C$14)&amp;"","")</f>
        <v/>
      </c>
      <c r="Y845">
        <f>IFERROR(INDEX('1.산군_붙여넣기'!$A$1:$AZ$1001,ROW(),설정!$C$15)&amp;"","")</f>
        <v/>
      </c>
      <c r="Z845">
        <f>IF(T845,V845&amp;"|"&amp;U845,"")</f>
        <v/>
      </c>
    </row>
    <row r="846">
      <c r="A846">
        <f>ROW()</f>
        <v/>
      </c>
      <c r="B846">
        <f>IFERROR(INDEX('1.산군_붙여넣기'!$A$1:$AZ$1001,ROW(),설정!$C$4)&amp;"","")</f>
        <v/>
      </c>
      <c r="C846">
        <f>IFERROR(INDEX('1.산군_붙여넣기'!$A$1:$AZ$1001,ROW(),설정!$C$5)&amp;"","")</f>
        <v/>
      </c>
      <c r="D846" s="5">
        <f>IFERROR(VALUE(SUBSTITUTE(SUBSTITUTE(SUBSTITUTE(IFERROR(INDEX('1.산군_붙여넣기'!$A$1:$AZ$1001,ROW(),설정!$C$6)&amp;"",""),",",""),"㎡",""),"m2","")),"")</f>
        <v/>
      </c>
      <c r="E846">
        <f>IFERROR(INDEX('1.산군_붙여넣기'!$A$1:$AZ$1001,ROW(),설정!$C$7)&amp;"","")</f>
        <v/>
      </c>
      <c r="F846">
        <f>IFERROR(INDEX('1.산군_붙여넣기'!$A$1:$AZ$1001,ROW(),설정!$C$8)&amp;"","")</f>
        <v/>
      </c>
      <c r="G846">
        <f>IFERROR(INDEX('1.산군_붙여넣기'!$A$1:$AZ$1001,ROW(),설정!$C$9)&amp;"","")</f>
        <v/>
      </c>
      <c r="H846">
        <f>IFERROR(INDEX('1.산군_붙여넣기'!$A$1:$AZ$1001,ROW(),설정!$C$10)&amp;"","")</f>
        <v/>
      </c>
      <c r="I846">
        <f>IFERROR(INDEX('1.산군_붙여넣기'!$A$1:$AZ$1001,ROW(),설정!$C$11)&amp;"","")</f>
        <v/>
      </c>
      <c r="J846">
        <f>IFERROR(INDEX('1.산군_붙여넣기'!$A$1:$AZ$1001,ROW(),설정!$C$12)&amp;"","")</f>
        <v/>
      </c>
      <c r="K846">
        <f>IFERROR(INDEX('1.산군_붙여넣기'!$A$1:$AZ$1001,ROW(),설정!$C$13)&amp;"","")</f>
        <v/>
      </c>
      <c r="L846" s="6">
        <f>IF(X846="","",IF(AND(LEN(X846)=8,ISNUMBER(X846*1)),DATE(LEFT(X846,4),MID(X846,5,2),RIGHT(X846,2)),IFERROR(DATEVALUE(SUBSTITUTE(SUBSTITUTE(X846,".","-"),"/","-")),IFERROR(X846*1,""))))</f>
        <v/>
      </c>
      <c r="M846" s="6">
        <f>IF(Y846="","",IF(AND(LEN(Y846)=8,ISNUMBER(Y846*1)),DATE(LEFT(Y846,4),MID(Y846,5,2),RIGHT(Y846,2)),IFERROR(DATEVALUE(SUBSTITUTE(SUBSTITUTE(Y846,".","-"),"/","-")),IFERROR(Y846*1,""))))</f>
        <v/>
      </c>
      <c r="N846">
        <f>IFERROR(LEFT(B846,FIND(" ",B846)-1),B846)</f>
        <v/>
      </c>
      <c r="O846">
        <f>AND(B846&lt;&gt;"",B846&lt;&gt;설정!$B$4,C846&lt;&gt;설정!$B$5)</f>
        <v/>
      </c>
      <c r="P846">
        <f>IF(O846,B846&amp;"|"&amp;C846,"")</f>
        <v/>
      </c>
      <c r="Q846">
        <f>AND(O846,COUNTIF(P847:P$1002,P846)=0)</f>
        <v/>
      </c>
      <c r="R846">
        <f>OR(AND(설정!$A$28&lt;&gt;"",ISNUMBER(SEARCH(설정!$A$28,E846&amp;" "&amp;C846))),AND(설정!$A$29&lt;&gt;"",ISNUMBER(SEARCH(설정!$A$29,E846&amp;" "&amp;C846))),AND(설정!$A$30&lt;&gt;"",ISNUMBER(SEARCH(설정!$A$30,E846&amp;" "&amp;C846))),AND(설정!$A$31&lt;&gt;"",ISNUMBER(SEARCH(설정!$A$31,E846&amp;" "&amp;C846))),AND(설정!$A$32&lt;&gt;"",ISNUMBER(SEARCH(설정!$A$32,E846&amp;" "&amp;C846))),AND(설정!$A$33&lt;&gt;"",ISNUMBER(SEARCH(설정!$A$33,E846&amp;" "&amp;C846))),AND(설정!$A$34&lt;&gt;"",ISNUMBER(SEARCH(설정!$A$34,E846&amp;" "&amp;C846))),AND(설정!$A$35&lt;&gt;"",ISNUMBER(SEARCH(설정!$A$35,E846&amp;" "&amp;C846))),AND(설정!$A$36&lt;&gt;"",ISNUMBER(SEARCH(설정!$A$36,E846&amp;" "&amp;C846))),AND(설정!$A$37&lt;&gt;"",ISNUMBER(SEARCH(설정!$A$37,E846&amp;" "&amp;C846))))</f>
        <v/>
      </c>
      <c r="S846">
        <f>OR(D846="",D846&gt;=설정!$B$19)</f>
        <v/>
      </c>
      <c r="T846">
        <f>AND(Q846,R846,S846)</f>
        <v/>
      </c>
      <c r="U846">
        <f>IF(T846,IF(AND(설정!$A$41&lt;&gt;"",ISNUMBER(SEARCH(설정!$A$41,K846))),설정!$B$41,IF(AND(설정!$A$42&lt;&gt;"",ISNUMBER(SEARCH(설정!$A$42,K846))),설정!$B$42,IF(AND(설정!$A$43&lt;&gt;"",ISNUMBER(SEARCH(설정!$A$43,K846))),설정!$B$43,IF(AND(설정!$A$44&lt;&gt;"",ISNUMBER(SEARCH(설정!$A$44,K846))),설정!$B$44,IF(AND(설정!$A$45&lt;&gt;"",ISNUMBER(SEARCH(설정!$A$45,K846))),설정!$B$45,IF(AND(설정!$A$46&lt;&gt;"",ISNUMBER(SEARCH(설정!$A$46,K846))),설정!$B$46,IF(AND(설정!$A$47&lt;&gt;"",ISNUMBER(SEARCH(설정!$A$47,K846))),설정!$B$47,IF(AND(설정!$A$48&lt;&gt;"",ISNUMBER(SEARCH(설정!$A$48,K846))),설정!$B$48,IF(M846="","설계사","시공사"))))))))),"")</f>
        <v/>
      </c>
      <c r="V846">
        <f>SUBSTITUTE(SUBSTITUTE(SUBSTITUTE(SUBSTITUTE(G846,"(주)",""),"㈜",""),"주식회사","")," ","")</f>
        <v/>
      </c>
      <c r="W846">
        <f>IF(AND(T846,V846&lt;&gt;""),IF(COUNTIFS(V$2:V846,V846,T$2:T846,TRUE)=1,MAX(W$1:W845)+1,""),"")</f>
        <v/>
      </c>
      <c r="X846">
        <f>IFERROR(INDEX('1.산군_붙여넣기'!$A$1:$AZ$1001,ROW(),설정!$C$14)&amp;"","")</f>
        <v/>
      </c>
      <c r="Y846">
        <f>IFERROR(INDEX('1.산군_붙여넣기'!$A$1:$AZ$1001,ROW(),설정!$C$15)&amp;"","")</f>
        <v/>
      </c>
      <c r="Z846">
        <f>IF(T846,V846&amp;"|"&amp;U846,"")</f>
        <v/>
      </c>
    </row>
    <row r="847">
      <c r="A847">
        <f>ROW()</f>
        <v/>
      </c>
      <c r="B847">
        <f>IFERROR(INDEX('1.산군_붙여넣기'!$A$1:$AZ$1001,ROW(),설정!$C$4)&amp;"","")</f>
        <v/>
      </c>
      <c r="C847">
        <f>IFERROR(INDEX('1.산군_붙여넣기'!$A$1:$AZ$1001,ROW(),설정!$C$5)&amp;"","")</f>
        <v/>
      </c>
      <c r="D847" s="5">
        <f>IFERROR(VALUE(SUBSTITUTE(SUBSTITUTE(SUBSTITUTE(IFERROR(INDEX('1.산군_붙여넣기'!$A$1:$AZ$1001,ROW(),설정!$C$6)&amp;"",""),",",""),"㎡",""),"m2","")),"")</f>
        <v/>
      </c>
      <c r="E847">
        <f>IFERROR(INDEX('1.산군_붙여넣기'!$A$1:$AZ$1001,ROW(),설정!$C$7)&amp;"","")</f>
        <v/>
      </c>
      <c r="F847">
        <f>IFERROR(INDEX('1.산군_붙여넣기'!$A$1:$AZ$1001,ROW(),설정!$C$8)&amp;"","")</f>
        <v/>
      </c>
      <c r="G847">
        <f>IFERROR(INDEX('1.산군_붙여넣기'!$A$1:$AZ$1001,ROW(),설정!$C$9)&amp;"","")</f>
        <v/>
      </c>
      <c r="H847">
        <f>IFERROR(INDEX('1.산군_붙여넣기'!$A$1:$AZ$1001,ROW(),설정!$C$10)&amp;"","")</f>
        <v/>
      </c>
      <c r="I847">
        <f>IFERROR(INDEX('1.산군_붙여넣기'!$A$1:$AZ$1001,ROW(),설정!$C$11)&amp;"","")</f>
        <v/>
      </c>
      <c r="J847">
        <f>IFERROR(INDEX('1.산군_붙여넣기'!$A$1:$AZ$1001,ROW(),설정!$C$12)&amp;"","")</f>
        <v/>
      </c>
      <c r="K847">
        <f>IFERROR(INDEX('1.산군_붙여넣기'!$A$1:$AZ$1001,ROW(),설정!$C$13)&amp;"","")</f>
        <v/>
      </c>
      <c r="L847" s="6">
        <f>IF(X847="","",IF(AND(LEN(X847)=8,ISNUMBER(X847*1)),DATE(LEFT(X847,4),MID(X847,5,2),RIGHT(X847,2)),IFERROR(DATEVALUE(SUBSTITUTE(SUBSTITUTE(X847,".","-"),"/","-")),IFERROR(X847*1,""))))</f>
        <v/>
      </c>
      <c r="M847" s="6">
        <f>IF(Y847="","",IF(AND(LEN(Y847)=8,ISNUMBER(Y847*1)),DATE(LEFT(Y847,4),MID(Y847,5,2),RIGHT(Y847,2)),IFERROR(DATEVALUE(SUBSTITUTE(SUBSTITUTE(Y847,".","-"),"/","-")),IFERROR(Y847*1,""))))</f>
        <v/>
      </c>
      <c r="N847">
        <f>IFERROR(LEFT(B847,FIND(" ",B847)-1),B847)</f>
        <v/>
      </c>
      <c r="O847">
        <f>AND(B847&lt;&gt;"",B847&lt;&gt;설정!$B$4,C847&lt;&gt;설정!$B$5)</f>
        <v/>
      </c>
      <c r="P847">
        <f>IF(O847,B847&amp;"|"&amp;C847,"")</f>
        <v/>
      </c>
      <c r="Q847">
        <f>AND(O847,COUNTIF(P848:P$1002,P847)=0)</f>
        <v/>
      </c>
      <c r="R847">
        <f>OR(AND(설정!$A$28&lt;&gt;"",ISNUMBER(SEARCH(설정!$A$28,E847&amp;" "&amp;C847))),AND(설정!$A$29&lt;&gt;"",ISNUMBER(SEARCH(설정!$A$29,E847&amp;" "&amp;C847))),AND(설정!$A$30&lt;&gt;"",ISNUMBER(SEARCH(설정!$A$30,E847&amp;" "&amp;C847))),AND(설정!$A$31&lt;&gt;"",ISNUMBER(SEARCH(설정!$A$31,E847&amp;" "&amp;C847))),AND(설정!$A$32&lt;&gt;"",ISNUMBER(SEARCH(설정!$A$32,E847&amp;" "&amp;C847))),AND(설정!$A$33&lt;&gt;"",ISNUMBER(SEARCH(설정!$A$33,E847&amp;" "&amp;C847))),AND(설정!$A$34&lt;&gt;"",ISNUMBER(SEARCH(설정!$A$34,E847&amp;" "&amp;C847))),AND(설정!$A$35&lt;&gt;"",ISNUMBER(SEARCH(설정!$A$35,E847&amp;" "&amp;C847))),AND(설정!$A$36&lt;&gt;"",ISNUMBER(SEARCH(설정!$A$36,E847&amp;" "&amp;C847))),AND(설정!$A$37&lt;&gt;"",ISNUMBER(SEARCH(설정!$A$37,E847&amp;" "&amp;C847))))</f>
        <v/>
      </c>
      <c r="S847">
        <f>OR(D847="",D847&gt;=설정!$B$19)</f>
        <v/>
      </c>
      <c r="T847">
        <f>AND(Q847,R847,S847)</f>
        <v/>
      </c>
      <c r="U847">
        <f>IF(T847,IF(AND(설정!$A$41&lt;&gt;"",ISNUMBER(SEARCH(설정!$A$41,K847))),설정!$B$41,IF(AND(설정!$A$42&lt;&gt;"",ISNUMBER(SEARCH(설정!$A$42,K847))),설정!$B$42,IF(AND(설정!$A$43&lt;&gt;"",ISNUMBER(SEARCH(설정!$A$43,K847))),설정!$B$43,IF(AND(설정!$A$44&lt;&gt;"",ISNUMBER(SEARCH(설정!$A$44,K847))),설정!$B$44,IF(AND(설정!$A$45&lt;&gt;"",ISNUMBER(SEARCH(설정!$A$45,K847))),설정!$B$45,IF(AND(설정!$A$46&lt;&gt;"",ISNUMBER(SEARCH(설정!$A$46,K847))),설정!$B$46,IF(AND(설정!$A$47&lt;&gt;"",ISNUMBER(SEARCH(설정!$A$47,K847))),설정!$B$47,IF(AND(설정!$A$48&lt;&gt;"",ISNUMBER(SEARCH(설정!$A$48,K847))),설정!$B$48,IF(M847="","설계사","시공사"))))))))),"")</f>
        <v/>
      </c>
      <c r="V847">
        <f>SUBSTITUTE(SUBSTITUTE(SUBSTITUTE(SUBSTITUTE(G847,"(주)",""),"㈜",""),"주식회사","")," ","")</f>
        <v/>
      </c>
      <c r="W847">
        <f>IF(AND(T847,V847&lt;&gt;""),IF(COUNTIFS(V$2:V847,V847,T$2:T847,TRUE)=1,MAX(W$1:W846)+1,""),"")</f>
        <v/>
      </c>
      <c r="X847">
        <f>IFERROR(INDEX('1.산군_붙여넣기'!$A$1:$AZ$1001,ROW(),설정!$C$14)&amp;"","")</f>
        <v/>
      </c>
      <c r="Y847">
        <f>IFERROR(INDEX('1.산군_붙여넣기'!$A$1:$AZ$1001,ROW(),설정!$C$15)&amp;"","")</f>
        <v/>
      </c>
      <c r="Z847">
        <f>IF(T847,V847&amp;"|"&amp;U847,"")</f>
        <v/>
      </c>
    </row>
    <row r="848">
      <c r="A848">
        <f>ROW()</f>
        <v/>
      </c>
      <c r="B848">
        <f>IFERROR(INDEX('1.산군_붙여넣기'!$A$1:$AZ$1001,ROW(),설정!$C$4)&amp;"","")</f>
        <v/>
      </c>
      <c r="C848">
        <f>IFERROR(INDEX('1.산군_붙여넣기'!$A$1:$AZ$1001,ROW(),설정!$C$5)&amp;"","")</f>
        <v/>
      </c>
      <c r="D848" s="5">
        <f>IFERROR(VALUE(SUBSTITUTE(SUBSTITUTE(SUBSTITUTE(IFERROR(INDEX('1.산군_붙여넣기'!$A$1:$AZ$1001,ROW(),설정!$C$6)&amp;"",""),",",""),"㎡",""),"m2","")),"")</f>
        <v/>
      </c>
      <c r="E848">
        <f>IFERROR(INDEX('1.산군_붙여넣기'!$A$1:$AZ$1001,ROW(),설정!$C$7)&amp;"","")</f>
        <v/>
      </c>
      <c r="F848">
        <f>IFERROR(INDEX('1.산군_붙여넣기'!$A$1:$AZ$1001,ROW(),설정!$C$8)&amp;"","")</f>
        <v/>
      </c>
      <c r="G848">
        <f>IFERROR(INDEX('1.산군_붙여넣기'!$A$1:$AZ$1001,ROW(),설정!$C$9)&amp;"","")</f>
        <v/>
      </c>
      <c r="H848">
        <f>IFERROR(INDEX('1.산군_붙여넣기'!$A$1:$AZ$1001,ROW(),설정!$C$10)&amp;"","")</f>
        <v/>
      </c>
      <c r="I848">
        <f>IFERROR(INDEX('1.산군_붙여넣기'!$A$1:$AZ$1001,ROW(),설정!$C$11)&amp;"","")</f>
        <v/>
      </c>
      <c r="J848">
        <f>IFERROR(INDEX('1.산군_붙여넣기'!$A$1:$AZ$1001,ROW(),설정!$C$12)&amp;"","")</f>
        <v/>
      </c>
      <c r="K848">
        <f>IFERROR(INDEX('1.산군_붙여넣기'!$A$1:$AZ$1001,ROW(),설정!$C$13)&amp;"","")</f>
        <v/>
      </c>
      <c r="L848" s="6">
        <f>IF(X848="","",IF(AND(LEN(X848)=8,ISNUMBER(X848*1)),DATE(LEFT(X848,4),MID(X848,5,2),RIGHT(X848,2)),IFERROR(DATEVALUE(SUBSTITUTE(SUBSTITUTE(X848,".","-"),"/","-")),IFERROR(X848*1,""))))</f>
        <v/>
      </c>
      <c r="M848" s="6">
        <f>IF(Y848="","",IF(AND(LEN(Y848)=8,ISNUMBER(Y848*1)),DATE(LEFT(Y848,4),MID(Y848,5,2),RIGHT(Y848,2)),IFERROR(DATEVALUE(SUBSTITUTE(SUBSTITUTE(Y848,".","-"),"/","-")),IFERROR(Y848*1,""))))</f>
        <v/>
      </c>
      <c r="N848">
        <f>IFERROR(LEFT(B848,FIND(" ",B848)-1),B848)</f>
        <v/>
      </c>
      <c r="O848">
        <f>AND(B848&lt;&gt;"",B848&lt;&gt;설정!$B$4,C848&lt;&gt;설정!$B$5)</f>
        <v/>
      </c>
      <c r="P848">
        <f>IF(O848,B848&amp;"|"&amp;C848,"")</f>
        <v/>
      </c>
      <c r="Q848">
        <f>AND(O848,COUNTIF(P849:P$1002,P848)=0)</f>
        <v/>
      </c>
      <c r="R848">
        <f>OR(AND(설정!$A$28&lt;&gt;"",ISNUMBER(SEARCH(설정!$A$28,E848&amp;" "&amp;C848))),AND(설정!$A$29&lt;&gt;"",ISNUMBER(SEARCH(설정!$A$29,E848&amp;" "&amp;C848))),AND(설정!$A$30&lt;&gt;"",ISNUMBER(SEARCH(설정!$A$30,E848&amp;" "&amp;C848))),AND(설정!$A$31&lt;&gt;"",ISNUMBER(SEARCH(설정!$A$31,E848&amp;" "&amp;C848))),AND(설정!$A$32&lt;&gt;"",ISNUMBER(SEARCH(설정!$A$32,E848&amp;" "&amp;C848))),AND(설정!$A$33&lt;&gt;"",ISNUMBER(SEARCH(설정!$A$33,E848&amp;" "&amp;C848))),AND(설정!$A$34&lt;&gt;"",ISNUMBER(SEARCH(설정!$A$34,E848&amp;" "&amp;C848))),AND(설정!$A$35&lt;&gt;"",ISNUMBER(SEARCH(설정!$A$35,E848&amp;" "&amp;C848))),AND(설정!$A$36&lt;&gt;"",ISNUMBER(SEARCH(설정!$A$36,E848&amp;" "&amp;C848))),AND(설정!$A$37&lt;&gt;"",ISNUMBER(SEARCH(설정!$A$37,E848&amp;" "&amp;C848))))</f>
        <v/>
      </c>
      <c r="S848">
        <f>OR(D848="",D848&gt;=설정!$B$19)</f>
        <v/>
      </c>
      <c r="T848">
        <f>AND(Q848,R848,S848)</f>
        <v/>
      </c>
      <c r="U848">
        <f>IF(T848,IF(AND(설정!$A$41&lt;&gt;"",ISNUMBER(SEARCH(설정!$A$41,K848))),설정!$B$41,IF(AND(설정!$A$42&lt;&gt;"",ISNUMBER(SEARCH(설정!$A$42,K848))),설정!$B$42,IF(AND(설정!$A$43&lt;&gt;"",ISNUMBER(SEARCH(설정!$A$43,K848))),설정!$B$43,IF(AND(설정!$A$44&lt;&gt;"",ISNUMBER(SEARCH(설정!$A$44,K848))),설정!$B$44,IF(AND(설정!$A$45&lt;&gt;"",ISNUMBER(SEARCH(설정!$A$45,K848))),설정!$B$45,IF(AND(설정!$A$46&lt;&gt;"",ISNUMBER(SEARCH(설정!$A$46,K848))),설정!$B$46,IF(AND(설정!$A$47&lt;&gt;"",ISNUMBER(SEARCH(설정!$A$47,K848))),설정!$B$47,IF(AND(설정!$A$48&lt;&gt;"",ISNUMBER(SEARCH(설정!$A$48,K848))),설정!$B$48,IF(M848="","설계사","시공사"))))))))),"")</f>
        <v/>
      </c>
      <c r="V848">
        <f>SUBSTITUTE(SUBSTITUTE(SUBSTITUTE(SUBSTITUTE(G848,"(주)",""),"㈜",""),"주식회사","")," ","")</f>
        <v/>
      </c>
      <c r="W848">
        <f>IF(AND(T848,V848&lt;&gt;""),IF(COUNTIFS(V$2:V848,V848,T$2:T848,TRUE)=1,MAX(W$1:W847)+1,""),"")</f>
        <v/>
      </c>
      <c r="X848">
        <f>IFERROR(INDEX('1.산군_붙여넣기'!$A$1:$AZ$1001,ROW(),설정!$C$14)&amp;"","")</f>
        <v/>
      </c>
      <c r="Y848">
        <f>IFERROR(INDEX('1.산군_붙여넣기'!$A$1:$AZ$1001,ROW(),설정!$C$15)&amp;"","")</f>
        <v/>
      </c>
      <c r="Z848">
        <f>IF(T848,V848&amp;"|"&amp;U848,"")</f>
        <v/>
      </c>
    </row>
    <row r="849">
      <c r="A849">
        <f>ROW()</f>
        <v/>
      </c>
      <c r="B849">
        <f>IFERROR(INDEX('1.산군_붙여넣기'!$A$1:$AZ$1001,ROW(),설정!$C$4)&amp;"","")</f>
        <v/>
      </c>
      <c r="C849">
        <f>IFERROR(INDEX('1.산군_붙여넣기'!$A$1:$AZ$1001,ROW(),설정!$C$5)&amp;"","")</f>
        <v/>
      </c>
      <c r="D849" s="5">
        <f>IFERROR(VALUE(SUBSTITUTE(SUBSTITUTE(SUBSTITUTE(IFERROR(INDEX('1.산군_붙여넣기'!$A$1:$AZ$1001,ROW(),설정!$C$6)&amp;"",""),",",""),"㎡",""),"m2","")),"")</f>
        <v/>
      </c>
      <c r="E849">
        <f>IFERROR(INDEX('1.산군_붙여넣기'!$A$1:$AZ$1001,ROW(),설정!$C$7)&amp;"","")</f>
        <v/>
      </c>
      <c r="F849">
        <f>IFERROR(INDEX('1.산군_붙여넣기'!$A$1:$AZ$1001,ROW(),설정!$C$8)&amp;"","")</f>
        <v/>
      </c>
      <c r="G849">
        <f>IFERROR(INDEX('1.산군_붙여넣기'!$A$1:$AZ$1001,ROW(),설정!$C$9)&amp;"","")</f>
        <v/>
      </c>
      <c r="H849">
        <f>IFERROR(INDEX('1.산군_붙여넣기'!$A$1:$AZ$1001,ROW(),설정!$C$10)&amp;"","")</f>
        <v/>
      </c>
      <c r="I849">
        <f>IFERROR(INDEX('1.산군_붙여넣기'!$A$1:$AZ$1001,ROW(),설정!$C$11)&amp;"","")</f>
        <v/>
      </c>
      <c r="J849">
        <f>IFERROR(INDEX('1.산군_붙여넣기'!$A$1:$AZ$1001,ROW(),설정!$C$12)&amp;"","")</f>
        <v/>
      </c>
      <c r="K849">
        <f>IFERROR(INDEX('1.산군_붙여넣기'!$A$1:$AZ$1001,ROW(),설정!$C$13)&amp;"","")</f>
        <v/>
      </c>
      <c r="L849" s="6">
        <f>IF(X849="","",IF(AND(LEN(X849)=8,ISNUMBER(X849*1)),DATE(LEFT(X849,4),MID(X849,5,2),RIGHT(X849,2)),IFERROR(DATEVALUE(SUBSTITUTE(SUBSTITUTE(X849,".","-"),"/","-")),IFERROR(X849*1,""))))</f>
        <v/>
      </c>
      <c r="M849" s="6">
        <f>IF(Y849="","",IF(AND(LEN(Y849)=8,ISNUMBER(Y849*1)),DATE(LEFT(Y849,4),MID(Y849,5,2),RIGHT(Y849,2)),IFERROR(DATEVALUE(SUBSTITUTE(SUBSTITUTE(Y849,".","-"),"/","-")),IFERROR(Y849*1,""))))</f>
        <v/>
      </c>
      <c r="N849">
        <f>IFERROR(LEFT(B849,FIND(" ",B849)-1),B849)</f>
        <v/>
      </c>
      <c r="O849">
        <f>AND(B849&lt;&gt;"",B849&lt;&gt;설정!$B$4,C849&lt;&gt;설정!$B$5)</f>
        <v/>
      </c>
      <c r="P849">
        <f>IF(O849,B849&amp;"|"&amp;C849,"")</f>
        <v/>
      </c>
      <c r="Q849">
        <f>AND(O849,COUNTIF(P850:P$1002,P849)=0)</f>
        <v/>
      </c>
      <c r="R849">
        <f>OR(AND(설정!$A$28&lt;&gt;"",ISNUMBER(SEARCH(설정!$A$28,E849&amp;" "&amp;C849))),AND(설정!$A$29&lt;&gt;"",ISNUMBER(SEARCH(설정!$A$29,E849&amp;" "&amp;C849))),AND(설정!$A$30&lt;&gt;"",ISNUMBER(SEARCH(설정!$A$30,E849&amp;" "&amp;C849))),AND(설정!$A$31&lt;&gt;"",ISNUMBER(SEARCH(설정!$A$31,E849&amp;" "&amp;C849))),AND(설정!$A$32&lt;&gt;"",ISNUMBER(SEARCH(설정!$A$32,E849&amp;" "&amp;C849))),AND(설정!$A$33&lt;&gt;"",ISNUMBER(SEARCH(설정!$A$33,E849&amp;" "&amp;C849))),AND(설정!$A$34&lt;&gt;"",ISNUMBER(SEARCH(설정!$A$34,E849&amp;" "&amp;C849))),AND(설정!$A$35&lt;&gt;"",ISNUMBER(SEARCH(설정!$A$35,E849&amp;" "&amp;C849))),AND(설정!$A$36&lt;&gt;"",ISNUMBER(SEARCH(설정!$A$36,E849&amp;" "&amp;C849))),AND(설정!$A$37&lt;&gt;"",ISNUMBER(SEARCH(설정!$A$37,E849&amp;" "&amp;C849))))</f>
        <v/>
      </c>
      <c r="S849">
        <f>OR(D849="",D849&gt;=설정!$B$19)</f>
        <v/>
      </c>
      <c r="T849">
        <f>AND(Q849,R849,S849)</f>
        <v/>
      </c>
      <c r="U849">
        <f>IF(T849,IF(AND(설정!$A$41&lt;&gt;"",ISNUMBER(SEARCH(설정!$A$41,K849))),설정!$B$41,IF(AND(설정!$A$42&lt;&gt;"",ISNUMBER(SEARCH(설정!$A$42,K849))),설정!$B$42,IF(AND(설정!$A$43&lt;&gt;"",ISNUMBER(SEARCH(설정!$A$43,K849))),설정!$B$43,IF(AND(설정!$A$44&lt;&gt;"",ISNUMBER(SEARCH(설정!$A$44,K849))),설정!$B$44,IF(AND(설정!$A$45&lt;&gt;"",ISNUMBER(SEARCH(설정!$A$45,K849))),설정!$B$45,IF(AND(설정!$A$46&lt;&gt;"",ISNUMBER(SEARCH(설정!$A$46,K849))),설정!$B$46,IF(AND(설정!$A$47&lt;&gt;"",ISNUMBER(SEARCH(설정!$A$47,K849))),설정!$B$47,IF(AND(설정!$A$48&lt;&gt;"",ISNUMBER(SEARCH(설정!$A$48,K849))),설정!$B$48,IF(M849="","설계사","시공사"))))))))),"")</f>
        <v/>
      </c>
      <c r="V849">
        <f>SUBSTITUTE(SUBSTITUTE(SUBSTITUTE(SUBSTITUTE(G849,"(주)",""),"㈜",""),"주식회사","")," ","")</f>
        <v/>
      </c>
      <c r="W849">
        <f>IF(AND(T849,V849&lt;&gt;""),IF(COUNTIFS(V$2:V849,V849,T$2:T849,TRUE)=1,MAX(W$1:W848)+1,""),"")</f>
        <v/>
      </c>
      <c r="X849">
        <f>IFERROR(INDEX('1.산군_붙여넣기'!$A$1:$AZ$1001,ROW(),설정!$C$14)&amp;"","")</f>
        <v/>
      </c>
      <c r="Y849">
        <f>IFERROR(INDEX('1.산군_붙여넣기'!$A$1:$AZ$1001,ROW(),설정!$C$15)&amp;"","")</f>
        <v/>
      </c>
      <c r="Z849">
        <f>IF(T849,V849&amp;"|"&amp;U849,"")</f>
        <v/>
      </c>
    </row>
    <row r="850">
      <c r="A850">
        <f>ROW()</f>
        <v/>
      </c>
      <c r="B850">
        <f>IFERROR(INDEX('1.산군_붙여넣기'!$A$1:$AZ$1001,ROW(),설정!$C$4)&amp;"","")</f>
        <v/>
      </c>
      <c r="C850">
        <f>IFERROR(INDEX('1.산군_붙여넣기'!$A$1:$AZ$1001,ROW(),설정!$C$5)&amp;"","")</f>
        <v/>
      </c>
      <c r="D850" s="5">
        <f>IFERROR(VALUE(SUBSTITUTE(SUBSTITUTE(SUBSTITUTE(IFERROR(INDEX('1.산군_붙여넣기'!$A$1:$AZ$1001,ROW(),설정!$C$6)&amp;"",""),",",""),"㎡",""),"m2","")),"")</f>
        <v/>
      </c>
      <c r="E850">
        <f>IFERROR(INDEX('1.산군_붙여넣기'!$A$1:$AZ$1001,ROW(),설정!$C$7)&amp;"","")</f>
        <v/>
      </c>
      <c r="F850">
        <f>IFERROR(INDEX('1.산군_붙여넣기'!$A$1:$AZ$1001,ROW(),설정!$C$8)&amp;"","")</f>
        <v/>
      </c>
      <c r="G850">
        <f>IFERROR(INDEX('1.산군_붙여넣기'!$A$1:$AZ$1001,ROW(),설정!$C$9)&amp;"","")</f>
        <v/>
      </c>
      <c r="H850">
        <f>IFERROR(INDEX('1.산군_붙여넣기'!$A$1:$AZ$1001,ROW(),설정!$C$10)&amp;"","")</f>
        <v/>
      </c>
      <c r="I850">
        <f>IFERROR(INDEX('1.산군_붙여넣기'!$A$1:$AZ$1001,ROW(),설정!$C$11)&amp;"","")</f>
        <v/>
      </c>
      <c r="J850">
        <f>IFERROR(INDEX('1.산군_붙여넣기'!$A$1:$AZ$1001,ROW(),설정!$C$12)&amp;"","")</f>
        <v/>
      </c>
      <c r="K850">
        <f>IFERROR(INDEX('1.산군_붙여넣기'!$A$1:$AZ$1001,ROW(),설정!$C$13)&amp;"","")</f>
        <v/>
      </c>
      <c r="L850" s="6">
        <f>IF(X850="","",IF(AND(LEN(X850)=8,ISNUMBER(X850*1)),DATE(LEFT(X850,4),MID(X850,5,2),RIGHT(X850,2)),IFERROR(DATEVALUE(SUBSTITUTE(SUBSTITUTE(X850,".","-"),"/","-")),IFERROR(X850*1,""))))</f>
        <v/>
      </c>
      <c r="M850" s="6">
        <f>IF(Y850="","",IF(AND(LEN(Y850)=8,ISNUMBER(Y850*1)),DATE(LEFT(Y850,4),MID(Y850,5,2),RIGHT(Y850,2)),IFERROR(DATEVALUE(SUBSTITUTE(SUBSTITUTE(Y850,".","-"),"/","-")),IFERROR(Y850*1,""))))</f>
        <v/>
      </c>
      <c r="N850">
        <f>IFERROR(LEFT(B850,FIND(" ",B850)-1),B850)</f>
        <v/>
      </c>
      <c r="O850">
        <f>AND(B850&lt;&gt;"",B850&lt;&gt;설정!$B$4,C850&lt;&gt;설정!$B$5)</f>
        <v/>
      </c>
      <c r="P850">
        <f>IF(O850,B850&amp;"|"&amp;C850,"")</f>
        <v/>
      </c>
      <c r="Q850">
        <f>AND(O850,COUNTIF(P851:P$1002,P850)=0)</f>
        <v/>
      </c>
      <c r="R850">
        <f>OR(AND(설정!$A$28&lt;&gt;"",ISNUMBER(SEARCH(설정!$A$28,E850&amp;" "&amp;C850))),AND(설정!$A$29&lt;&gt;"",ISNUMBER(SEARCH(설정!$A$29,E850&amp;" "&amp;C850))),AND(설정!$A$30&lt;&gt;"",ISNUMBER(SEARCH(설정!$A$30,E850&amp;" "&amp;C850))),AND(설정!$A$31&lt;&gt;"",ISNUMBER(SEARCH(설정!$A$31,E850&amp;" "&amp;C850))),AND(설정!$A$32&lt;&gt;"",ISNUMBER(SEARCH(설정!$A$32,E850&amp;" "&amp;C850))),AND(설정!$A$33&lt;&gt;"",ISNUMBER(SEARCH(설정!$A$33,E850&amp;" "&amp;C850))),AND(설정!$A$34&lt;&gt;"",ISNUMBER(SEARCH(설정!$A$34,E850&amp;" "&amp;C850))),AND(설정!$A$35&lt;&gt;"",ISNUMBER(SEARCH(설정!$A$35,E850&amp;" "&amp;C850))),AND(설정!$A$36&lt;&gt;"",ISNUMBER(SEARCH(설정!$A$36,E850&amp;" "&amp;C850))),AND(설정!$A$37&lt;&gt;"",ISNUMBER(SEARCH(설정!$A$37,E850&amp;" "&amp;C850))))</f>
        <v/>
      </c>
      <c r="S850">
        <f>OR(D850="",D850&gt;=설정!$B$19)</f>
        <v/>
      </c>
      <c r="T850">
        <f>AND(Q850,R850,S850)</f>
        <v/>
      </c>
      <c r="U850">
        <f>IF(T850,IF(AND(설정!$A$41&lt;&gt;"",ISNUMBER(SEARCH(설정!$A$41,K850))),설정!$B$41,IF(AND(설정!$A$42&lt;&gt;"",ISNUMBER(SEARCH(설정!$A$42,K850))),설정!$B$42,IF(AND(설정!$A$43&lt;&gt;"",ISNUMBER(SEARCH(설정!$A$43,K850))),설정!$B$43,IF(AND(설정!$A$44&lt;&gt;"",ISNUMBER(SEARCH(설정!$A$44,K850))),설정!$B$44,IF(AND(설정!$A$45&lt;&gt;"",ISNUMBER(SEARCH(설정!$A$45,K850))),설정!$B$45,IF(AND(설정!$A$46&lt;&gt;"",ISNUMBER(SEARCH(설정!$A$46,K850))),설정!$B$46,IF(AND(설정!$A$47&lt;&gt;"",ISNUMBER(SEARCH(설정!$A$47,K850))),설정!$B$47,IF(AND(설정!$A$48&lt;&gt;"",ISNUMBER(SEARCH(설정!$A$48,K850))),설정!$B$48,IF(M850="","설계사","시공사"))))))))),"")</f>
        <v/>
      </c>
      <c r="V850">
        <f>SUBSTITUTE(SUBSTITUTE(SUBSTITUTE(SUBSTITUTE(G850,"(주)",""),"㈜",""),"주식회사","")," ","")</f>
        <v/>
      </c>
      <c r="W850">
        <f>IF(AND(T850,V850&lt;&gt;""),IF(COUNTIFS(V$2:V850,V850,T$2:T850,TRUE)=1,MAX(W$1:W849)+1,""),"")</f>
        <v/>
      </c>
      <c r="X850">
        <f>IFERROR(INDEX('1.산군_붙여넣기'!$A$1:$AZ$1001,ROW(),설정!$C$14)&amp;"","")</f>
        <v/>
      </c>
      <c r="Y850">
        <f>IFERROR(INDEX('1.산군_붙여넣기'!$A$1:$AZ$1001,ROW(),설정!$C$15)&amp;"","")</f>
        <v/>
      </c>
      <c r="Z850">
        <f>IF(T850,V850&amp;"|"&amp;U850,"")</f>
        <v/>
      </c>
    </row>
    <row r="851">
      <c r="A851">
        <f>ROW()</f>
        <v/>
      </c>
      <c r="B851">
        <f>IFERROR(INDEX('1.산군_붙여넣기'!$A$1:$AZ$1001,ROW(),설정!$C$4)&amp;"","")</f>
        <v/>
      </c>
      <c r="C851">
        <f>IFERROR(INDEX('1.산군_붙여넣기'!$A$1:$AZ$1001,ROW(),설정!$C$5)&amp;"","")</f>
        <v/>
      </c>
      <c r="D851" s="5">
        <f>IFERROR(VALUE(SUBSTITUTE(SUBSTITUTE(SUBSTITUTE(IFERROR(INDEX('1.산군_붙여넣기'!$A$1:$AZ$1001,ROW(),설정!$C$6)&amp;"",""),",",""),"㎡",""),"m2","")),"")</f>
        <v/>
      </c>
      <c r="E851">
        <f>IFERROR(INDEX('1.산군_붙여넣기'!$A$1:$AZ$1001,ROW(),설정!$C$7)&amp;"","")</f>
        <v/>
      </c>
      <c r="F851">
        <f>IFERROR(INDEX('1.산군_붙여넣기'!$A$1:$AZ$1001,ROW(),설정!$C$8)&amp;"","")</f>
        <v/>
      </c>
      <c r="G851">
        <f>IFERROR(INDEX('1.산군_붙여넣기'!$A$1:$AZ$1001,ROW(),설정!$C$9)&amp;"","")</f>
        <v/>
      </c>
      <c r="H851">
        <f>IFERROR(INDEX('1.산군_붙여넣기'!$A$1:$AZ$1001,ROW(),설정!$C$10)&amp;"","")</f>
        <v/>
      </c>
      <c r="I851">
        <f>IFERROR(INDEX('1.산군_붙여넣기'!$A$1:$AZ$1001,ROW(),설정!$C$11)&amp;"","")</f>
        <v/>
      </c>
      <c r="J851">
        <f>IFERROR(INDEX('1.산군_붙여넣기'!$A$1:$AZ$1001,ROW(),설정!$C$12)&amp;"","")</f>
        <v/>
      </c>
      <c r="K851">
        <f>IFERROR(INDEX('1.산군_붙여넣기'!$A$1:$AZ$1001,ROW(),설정!$C$13)&amp;"","")</f>
        <v/>
      </c>
      <c r="L851" s="6">
        <f>IF(X851="","",IF(AND(LEN(X851)=8,ISNUMBER(X851*1)),DATE(LEFT(X851,4),MID(X851,5,2),RIGHT(X851,2)),IFERROR(DATEVALUE(SUBSTITUTE(SUBSTITUTE(X851,".","-"),"/","-")),IFERROR(X851*1,""))))</f>
        <v/>
      </c>
      <c r="M851" s="6">
        <f>IF(Y851="","",IF(AND(LEN(Y851)=8,ISNUMBER(Y851*1)),DATE(LEFT(Y851,4),MID(Y851,5,2),RIGHT(Y851,2)),IFERROR(DATEVALUE(SUBSTITUTE(SUBSTITUTE(Y851,".","-"),"/","-")),IFERROR(Y851*1,""))))</f>
        <v/>
      </c>
      <c r="N851">
        <f>IFERROR(LEFT(B851,FIND(" ",B851)-1),B851)</f>
        <v/>
      </c>
      <c r="O851">
        <f>AND(B851&lt;&gt;"",B851&lt;&gt;설정!$B$4,C851&lt;&gt;설정!$B$5)</f>
        <v/>
      </c>
      <c r="P851">
        <f>IF(O851,B851&amp;"|"&amp;C851,"")</f>
        <v/>
      </c>
      <c r="Q851">
        <f>AND(O851,COUNTIF(P852:P$1002,P851)=0)</f>
        <v/>
      </c>
      <c r="R851">
        <f>OR(AND(설정!$A$28&lt;&gt;"",ISNUMBER(SEARCH(설정!$A$28,E851&amp;" "&amp;C851))),AND(설정!$A$29&lt;&gt;"",ISNUMBER(SEARCH(설정!$A$29,E851&amp;" "&amp;C851))),AND(설정!$A$30&lt;&gt;"",ISNUMBER(SEARCH(설정!$A$30,E851&amp;" "&amp;C851))),AND(설정!$A$31&lt;&gt;"",ISNUMBER(SEARCH(설정!$A$31,E851&amp;" "&amp;C851))),AND(설정!$A$32&lt;&gt;"",ISNUMBER(SEARCH(설정!$A$32,E851&amp;" "&amp;C851))),AND(설정!$A$33&lt;&gt;"",ISNUMBER(SEARCH(설정!$A$33,E851&amp;" "&amp;C851))),AND(설정!$A$34&lt;&gt;"",ISNUMBER(SEARCH(설정!$A$34,E851&amp;" "&amp;C851))),AND(설정!$A$35&lt;&gt;"",ISNUMBER(SEARCH(설정!$A$35,E851&amp;" "&amp;C851))),AND(설정!$A$36&lt;&gt;"",ISNUMBER(SEARCH(설정!$A$36,E851&amp;" "&amp;C851))),AND(설정!$A$37&lt;&gt;"",ISNUMBER(SEARCH(설정!$A$37,E851&amp;" "&amp;C851))))</f>
        <v/>
      </c>
      <c r="S851">
        <f>OR(D851="",D851&gt;=설정!$B$19)</f>
        <v/>
      </c>
      <c r="T851">
        <f>AND(Q851,R851,S851)</f>
        <v/>
      </c>
      <c r="U851">
        <f>IF(T851,IF(AND(설정!$A$41&lt;&gt;"",ISNUMBER(SEARCH(설정!$A$41,K851))),설정!$B$41,IF(AND(설정!$A$42&lt;&gt;"",ISNUMBER(SEARCH(설정!$A$42,K851))),설정!$B$42,IF(AND(설정!$A$43&lt;&gt;"",ISNUMBER(SEARCH(설정!$A$43,K851))),설정!$B$43,IF(AND(설정!$A$44&lt;&gt;"",ISNUMBER(SEARCH(설정!$A$44,K851))),설정!$B$44,IF(AND(설정!$A$45&lt;&gt;"",ISNUMBER(SEARCH(설정!$A$45,K851))),설정!$B$45,IF(AND(설정!$A$46&lt;&gt;"",ISNUMBER(SEARCH(설정!$A$46,K851))),설정!$B$46,IF(AND(설정!$A$47&lt;&gt;"",ISNUMBER(SEARCH(설정!$A$47,K851))),설정!$B$47,IF(AND(설정!$A$48&lt;&gt;"",ISNUMBER(SEARCH(설정!$A$48,K851))),설정!$B$48,IF(M851="","설계사","시공사"))))))))),"")</f>
        <v/>
      </c>
      <c r="V851">
        <f>SUBSTITUTE(SUBSTITUTE(SUBSTITUTE(SUBSTITUTE(G851,"(주)",""),"㈜",""),"주식회사","")," ","")</f>
        <v/>
      </c>
      <c r="W851">
        <f>IF(AND(T851,V851&lt;&gt;""),IF(COUNTIFS(V$2:V851,V851,T$2:T851,TRUE)=1,MAX(W$1:W850)+1,""),"")</f>
        <v/>
      </c>
      <c r="X851">
        <f>IFERROR(INDEX('1.산군_붙여넣기'!$A$1:$AZ$1001,ROW(),설정!$C$14)&amp;"","")</f>
        <v/>
      </c>
      <c r="Y851">
        <f>IFERROR(INDEX('1.산군_붙여넣기'!$A$1:$AZ$1001,ROW(),설정!$C$15)&amp;"","")</f>
        <v/>
      </c>
      <c r="Z851">
        <f>IF(T851,V851&amp;"|"&amp;U851,"")</f>
        <v/>
      </c>
    </row>
    <row r="852">
      <c r="A852">
        <f>ROW()</f>
        <v/>
      </c>
      <c r="B852">
        <f>IFERROR(INDEX('1.산군_붙여넣기'!$A$1:$AZ$1001,ROW(),설정!$C$4)&amp;"","")</f>
        <v/>
      </c>
      <c r="C852">
        <f>IFERROR(INDEX('1.산군_붙여넣기'!$A$1:$AZ$1001,ROW(),설정!$C$5)&amp;"","")</f>
        <v/>
      </c>
      <c r="D852" s="5">
        <f>IFERROR(VALUE(SUBSTITUTE(SUBSTITUTE(SUBSTITUTE(IFERROR(INDEX('1.산군_붙여넣기'!$A$1:$AZ$1001,ROW(),설정!$C$6)&amp;"",""),",",""),"㎡",""),"m2","")),"")</f>
        <v/>
      </c>
      <c r="E852">
        <f>IFERROR(INDEX('1.산군_붙여넣기'!$A$1:$AZ$1001,ROW(),설정!$C$7)&amp;"","")</f>
        <v/>
      </c>
      <c r="F852">
        <f>IFERROR(INDEX('1.산군_붙여넣기'!$A$1:$AZ$1001,ROW(),설정!$C$8)&amp;"","")</f>
        <v/>
      </c>
      <c r="G852">
        <f>IFERROR(INDEX('1.산군_붙여넣기'!$A$1:$AZ$1001,ROW(),설정!$C$9)&amp;"","")</f>
        <v/>
      </c>
      <c r="H852">
        <f>IFERROR(INDEX('1.산군_붙여넣기'!$A$1:$AZ$1001,ROW(),설정!$C$10)&amp;"","")</f>
        <v/>
      </c>
      <c r="I852">
        <f>IFERROR(INDEX('1.산군_붙여넣기'!$A$1:$AZ$1001,ROW(),설정!$C$11)&amp;"","")</f>
        <v/>
      </c>
      <c r="J852">
        <f>IFERROR(INDEX('1.산군_붙여넣기'!$A$1:$AZ$1001,ROW(),설정!$C$12)&amp;"","")</f>
        <v/>
      </c>
      <c r="K852">
        <f>IFERROR(INDEX('1.산군_붙여넣기'!$A$1:$AZ$1001,ROW(),설정!$C$13)&amp;"","")</f>
        <v/>
      </c>
      <c r="L852" s="6">
        <f>IF(X852="","",IF(AND(LEN(X852)=8,ISNUMBER(X852*1)),DATE(LEFT(X852,4),MID(X852,5,2),RIGHT(X852,2)),IFERROR(DATEVALUE(SUBSTITUTE(SUBSTITUTE(X852,".","-"),"/","-")),IFERROR(X852*1,""))))</f>
        <v/>
      </c>
      <c r="M852" s="6">
        <f>IF(Y852="","",IF(AND(LEN(Y852)=8,ISNUMBER(Y852*1)),DATE(LEFT(Y852,4),MID(Y852,5,2),RIGHT(Y852,2)),IFERROR(DATEVALUE(SUBSTITUTE(SUBSTITUTE(Y852,".","-"),"/","-")),IFERROR(Y852*1,""))))</f>
        <v/>
      </c>
      <c r="N852">
        <f>IFERROR(LEFT(B852,FIND(" ",B852)-1),B852)</f>
        <v/>
      </c>
      <c r="O852">
        <f>AND(B852&lt;&gt;"",B852&lt;&gt;설정!$B$4,C852&lt;&gt;설정!$B$5)</f>
        <v/>
      </c>
      <c r="P852">
        <f>IF(O852,B852&amp;"|"&amp;C852,"")</f>
        <v/>
      </c>
      <c r="Q852">
        <f>AND(O852,COUNTIF(P853:P$1002,P852)=0)</f>
        <v/>
      </c>
      <c r="R852">
        <f>OR(AND(설정!$A$28&lt;&gt;"",ISNUMBER(SEARCH(설정!$A$28,E852&amp;" "&amp;C852))),AND(설정!$A$29&lt;&gt;"",ISNUMBER(SEARCH(설정!$A$29,E852&amp;" "&amp;C852))),AND(설정!$A$30&lt;&gt;"",ISNUMBER(SEARCH(설정!$A$30,E852&amp;" "&amp;C852))),AND(설정!$A$31&lt;&gt;"",ISNUMBER(SEARCH(설정!$A$31,E852&amp;" "&amp;C852))),AND(설정!$A$32&lt;&gt;"",ISNUMBER(SEARCH(설정!$A$32,E852&amp;" "&amp;C852))),AND(설정!$A$33&lt;&gt;"",ISNUMBER(SEARCH(설정!$A$33,E852&amp;" "&amp;C852))),AND(설정!$A$34&lt;&gt;"",ISNUMBER(SEARCH(설정!$A$34,E852&amp;" "&amp;C852))),AND(설정!$A$35&lt;&gt;"",ISNUMBER(SEARCH(설정!$A$35,E852&amp;" "&amp;C852))),AND(설정!$A$36&lt;&gt;"",ISNUMBER(SEARCH(설정!$A$36,E852&amp;" "&amp;C852))),AND(설정!$A$37&lt;&gt;"",ISNUMBER(SEARCH(설정!$A$37,E852&amp;" "&amp;C852))))</f>
        <v/>
      </c>
      <c r="S852">
        <f>OR(D852="",D852&gt;=설정!$B$19)</f>
        <v/>
      </c>
      <c r="T852">
        <f>AND(Q852,R852,S852)</f>
        <v/>
      </c>
      <c r="U852">
        <f>IF(T852,IF(AND(설정!$A$41&lt;&gt;"",ISNUMBER(SEARCH(설정!$A$41,K852))),설정!$B$41,IF(AND(설정!$A$42&lt;&gt;"",ISNUMBER(SEARCH(설정!$A$42,K852))),설정!$B$42,IF(AND(설정!$A$43&lt;&gt;"",ISNUMBER(SEARCH(설정!$A$43,K852))),설정!$B$43,IF(AND(설정!$A$44&lt;&gt;"",ISNUMBER(SEARCH(설정!$A$44,K852))),설정!$B$44,IF(AND(설정!$A$45&lt;&gt;"",ISNUMBER(SEARCH(설정!$A$45,K852))),설정!$B$45,IF(AND(설정!$A$46&lt;&gt;"",ISNUMBER(SEARCH(설정!$A$46,K852))),설정!$B$46,IF(AND(설정!$A$47&lt;&gt;"",ISNUMBER(SEARCH(설정!$A$47,K852))),설정!$B$47,IF(AND(설정!$A$48&lt;&gt;"",ISNUMBER(SEARCH(설정!$A$48,K852))),설정!$B$48,IF(M852="","설계사","시공사"))))))))),"")</f>
        <v/>
      </c>
      <c r="V852">
        <f>SUBSTITUTE(SUBSTITUTE(SUBSTITUTE(SUBSTITUTE(G852,"(주)",""),"㈜",""),"주식회사","")," ","")</f>
        <v/>
      </c>
      <c r="W852">
        <f>IF(AND(T852,V852&lt;&gt;""),IF(COUNTIFS(V$2:V852,V852,T$2:T852,TRUE)=1,MAX(W$1:W851)+1,""),"")</f>
        <v/>
      </c>
      <c r="X852">
        <f>IFERROR(INDEX('1.산군_붙여넣기'!$A$1:$AZ$1001,ROW(),설정!$C$14)&amp;"","")</f>
        <v/>
      </c>
      <c r="Y852">
        <f>IFERROR(INDEX('1.산군_붙여넣기'!$A$1:$AZ$1001,ROW(),설정!$C$15)&amp;"","")</f>
        <v/>
      </c>
      <c r="Z852">
        <f>IF(T852,V852&amp;"|"&amp;U852,"")</f>
        <v/>
      </c>
    </row>
    <row r="853">
      <c r="A853">
        <f>ROW()</f>
        <v/>
      </c>
      <c r="B853">
        <f>IFERROR(INDEX('1.산군_붙여넣기'!$A$1:$AZ$1001,ROW(),설정!$C$4)&amp;"","")</f>
        <v/>
      </c>
      <c r="C853">
        <f>IFERROR(INDEX('1.산군_붙여넣기'!$A$1:$AZ$1001,ROW(),설정!$C$5)&amp;"","")</f>
        <v/>
      </c>
      <c r="D853" s="5">
        <f>IFERROR(VALUE(SUBSTITUTE(SUBSTITUTE(SUBSTITUTE(IFERROR(INDEX('1.산군_붙여넣기'!$A$1:$AZ$1001,ROW(),설정!$C$6)&amp;"",""),",",""),"㎡",""),"m2","")),"")</f>
        <v/>
      </c>
      <c r="E853">
        <f>IFERROR(INDEX('1.산군_붙여넣기'!$A$1:$AZ$1001,ROW(),설정!$C$7)&amp;"","")</f>
        <v/>
      </c>
      <c r="F853">
        <f>IFERROR(INDEX('1.산군_붙여넣기'!$A$1:$AZ$1001,ROW(),설정!$C$8)&amp;"","")</f>
        <v/>
      </c>
      <c r="G853">
        <f>IFERROR(INDEX('1.산군_붙여넣기'!$A$1:$AZ$1001,ROW(),설정!$C$9)&amp;"","")</f>
        <v/>
      </c>
      <c r="H853">
        <f>IFERROR(INDEX('1.산군_붙여넣기'!$A$1:$AZ$1001,ROW(),설정!$C$10)&amp;"","")</f>
        <v/>
      </c>
      <c r="I853">
        <f>IFERROR(INDEX('1.산군_붙여넣기'!$A$1:$AZ$1001,ROW(),설정!$C$11)&amp;"","")</f>
        <v/>
      </c>
      <c r="J853">
        <f>IFERROR(INDEX('1.산군_붙여넣기'!$A$1:$AZ$1001,ROW(),설정!$C$12)&amp;"","")</f>
        <v/>
      </c>
      <c r="K853">
        <f>IFERROR(INDEX('1.산군_붙여넣기'!$A$1:$AZ$1001,ROW(),설정!$C$13)&amp;"","")</f>
        <v/>
      </c>
      <c r="L853" s="6">
        <f>IF(X853="","",IF(AND(LEN(X853)=8,ISNUMBER(X853*1)),DATE(LEFT(X853,4),MID(X853,5,2),RIGHT(X853,2)),IFERROR(DATEVALUE(SUBSTITUTE(SUBSTITUTE(X853,".","-"),"/","-")),IFERROR(X853*1,""))))</f>
        <v/>
      </c>
      <c r="M853" s="6">
        <f>IF(Y853="","",IF(AND(LEN(Y853)=8,ISNUMBER(Y853*1)),DATE(LEFT(Y853,4),MID(Y853,5,2),RIGHT(Y853,2)),IFERROR(DATEVALUE(SUBSTITUTE(SUBSTITUTE(Y853,".","-"),"/","-")),IFERROR(Y853*1,""))))</f>
        <v/>
      </c>
      <c r="N853">
        <f>IFERROR(LEFT(B853,FIND(" ",B853)-1),B853)</f>
        <v/>
      </c>
      <c r="O853">
        <f>AND(B853&lt;&gt;"",B853&lt;&gt;설정!$B$4,C853&lt;&gt;설정!$B$5)</f>
        <v/>
      </c>
      <c r="P853">
        <f>IF(O853,B853&amp;"|"&amp;C853,"")</f>
        <v/>
      </c>
      <c r="Q853">
        <f>AND(O853,COUNTIF(P854:P$1002,P853)=0)</f>
        <v/>
      </c>
      <c r="R853">
        <f>OR(AND(설정!$A$28&lt;&gt;"",ISNUMBER(SEARCH(설정!$A$28,E853&amp;" "&amp;C853))),AND(설정!$A$29&lt;&gt;"",ISNUMBER(SEARCH(설정!$A$29,E853&amp;" "&amp;C853))),AND(설정!$A$30&lt;&gt;"",ISNUMBER(SEARCH(설정!$A$30,E853&amp;" "&amp;C853))),AND(설정!$A$31&lt;&gt;"",ISNUMBER(SEARCH(설정!$A$31,E853&amp;" "&amp;C853))),AND(설정!$A$32&lt;&gt;"",ISNUMBER(SEARCH(설정!$A$32,E853&amp;" "&amp;C853))),AND(설정!$A$33&lt;&gt;"",ISNUMBER(SEARCH(설정!$A$33,E853&amp;" "&amp;C853))),AND(설정!$A$34&lt;&gt;"",ISNUMBER(SEARCH(설정!$A$34,E853&amp;" "&amp;C853))),AND(설정!$A$35&lt;&gt;"",ISNUMBER(SEARCH(설정!$A$35,E853&amp;" "&amp;C853))),AND(설정!$A$36&lt;&gt;"",ISNUMBER(SEARCH(설정!$A$36,E853&amp;" "&amp;C853))),AND(설정!$A$37&lt;&gt;"",ISNUMBER(SEARCH(설정!$A$37,E853&amp;" "&amp;C853))))</f>
        <v/>
      </c>
      <c r="S853">
        <f>OR(D853="",D853&gt;=설정!$B$19)</f>
        <v/>
      </c>
      <c r="T853">
        <f>AND(Q853,R853,S853)</f>
        <v/>
      </c>
      <c r="U853">
        <f>IF(T853,IF(AND(설정!$A$41&lt;&gt;"",ISNUMBER(SEARCH(설정!$A$41,K853))),설정!$B$41,IF(AND(설정!$A$42&lt;&gt;"",ISNUMBER(SEARCH(설정!$A$42,K853))),설정!$B$42,IF(AND(설정!$A$43&lt;&gt;"",ISNUMBER(SEARCH(설정!$A$43,K853))),설정!$B$43,IF(AND(설정!$A$44&lt;&gt;"",ISNUMBER(SEARCH(설정!$A$44,K853))),설정!$B$44,IF(AND(설정!$A$45&lt;&gt;"",ISNUMBER(SEARCH(설정!$A$45,K853))),설정!$B$45,IF(AND(설정!$A$46&lt;&gt;"",ISNUMBER(SEARCH(설정!$A$46,K853))),설정!$B$46,IF(AND(설정!$A$47&lt;&gt;"",ISNUMBER(SEARCH(설정!$A$47,K853))),설정!$B$47,IF(AND(설정!$A$48&lt;&gt;"",ISNUMBER(SEARCH(설정!$A$48,K853))),설정!$B$48,IF(M853="","설계사","시공사"))))))))),"")</f>
        <v/>
      </c>
      <c r="V853">
        <f>SUBSTITUTE(SUBSTITUTE(SUBSTITUTE(SUBSTITUTE(G853,"(주)",""),"㈜",""),"주식회사","")," ","")</f>
        <v/>
      </c>
      <c r="W853">
        <f>IF(AND(T853,V853&lt;&gt;""),IF(COUNTIFS(V$2:V853,V853,T$2:T853,TRUE)=1,MAX(W$1:W852)+1,""),"")</f>
        <v/>
      </c>
      <c r="X853">
        <f>IFERROR(INDEX('1.산군_붙여넣기'!$A$1:$AZ$1001,ROW(),설정!$C$14)&amp;"","")</f>
        <v/>
      </c>
      <c r="Y853">
        <f>IFERROR(INDEX('1.산군_붙여넣기'!$A$1:$AZ$1001,ROW(),설정!$C$15)&amp;"","")</f>
        <v/>
      </c>
      <c r="Z853">
        <f>IF(T853,V853&amp;"|"&amp;U853,"")</f>
        <v/>
      </c>
    </row>
    <row r="854">
      <c r="A854">
        <f>ROW()</f>
        <v/>
      </c>
      <c r="B854">
        <f>IFERROR(INDEX('1.산군_붙여넣기'!$A$1:$AZ$1001,ROW(),설정!$C$4)&amp;"","")</f>
        <v/>
      </c>
      <c r="C854">
        <f>IFERROR(INDEX('1.산군_붙여넣기'!$A$1:$AZ$1001,ROW(),설정!$C$5)&amp;"","")</f>
        <v/>
      </c>
      <c r="D854" s="5">
        <f>IFERROR(VALUE(SUBSTITUTE(SUBSTITUTE(SUBSTITUTE(IFERROR(INDEX('1.산군_붙여넣기'!$A$1:$AZ$1001,ROW(),설정!$C$6)&amp;"",""),",",""),"㎡",""),"m2","")),"")</f>
        <v/>
      </c>
      <c r="E854">
        <f>IFERROR(INDEX('1.산군_붙여넣기'!$A$1:$AZ$1001,ROW(),설정!$C$7)&amp;"","")</f>
        <v/>
      </c>
      <c r="F854">
        <f>IFERROR(INDEX('1.산군_붙여넣기'!$A$1:$AZ$1001,ROW(),설정!$C$8)&amp;"","")</f>
        <v/>
      </c>
      <c r="G854">
        <f>IFERROR(INDEX('1.산군_붙여넣기'!$A$1:$AZ$1001,ROW(),설정!$C$9)&amp;"","")</f>
        <v/>
      </c>
      <c r="H854">
        <f>IFERROR(INDEX('1.산군_붙여넣기'!$A$1:$AZ$1001,ROW(),설정!$C$10)&amp;"","")</f>
        <v/>
      </c>
      <c r="I854">
        <f>IFERROR(INDEX('1.산군_붙여넣기'!$A$1:$AZ$1001,ROW(),설정!$C$11)&amp;"","")</f>
        <v/>
      </c>
      <c r="J854">
        <f>IFERROR(INDEX('1.산군_붙여넣기'!$A$1:$AZ$1001,ROW(),설정!$C$12)&amp;"","")</f>
        <v/>
      </c>
      <c r="K854">
        <f>IFERROR(INDEX('1.산군_붙여넣기'!$A$1:$AZ$1001,ROW(),설정!$C$13)&amp;"","")</f>
        <v/>
      </c>
      <c r="L854" s="6">
        <f>IF(X854="","",IF(AND(LEN(X854)=8,ISNUMBER(X854*1)),DATE(LEFT(X854,4),MID(X854,5,2),RIGHT(X854,2)),IFERROR(DATEVALUE(SUBSTITUTE(SUBSTITUTE(X854,".","-"),"/","-")),IFERROR(X854*1,""))))</f>
        <v/>
      </c>
      <c r="M854" s="6">
        <f>IF(Y854="","",IF(AND(LEN(Y854)=8,ISNUMBER(Y854*1)),DATE(LEFT(Y854,4),MID(Y854,5,2),RIGHT(Y854,2)),IFERROR(DATEVALUE(SUBSTITUTE(SUBSTITUTE(Y854,".","-"),"/","-")),IFERROR(Y854*1,""))))</f>
        <v/>
      </c>
      <c r="N854">
        <f>IFERROR(LEFT(B854,FIND(" ",B854)-1),B854)</f>
        <v/>
      </c>
      <c r="O854">
        <f>AND(B854&lt;&gt;"",B854&lt;&gt;설정!$B$4,C854&lt;&gt;설정!$B$5)</f>
        <v/>
      </c>
      <c r="P854">
        <f>IF(O854,B854&amp;"|"&amp;C854,"")</f>
        <v/>
      </c>
      <c r="Q854">
        <f>AND(O854,COUNTIF(P855:P$1002,P854)=0)</f>
        <v/>
      </c>
      <c r="R854">
        <f>OR(AND(설정!$A$28&lt;&gt;"",ISNUMBER(SEARCH(설정!$A$28,E854&amp;" "&amp;C854))),AND(설정!$A$29&lt;&gt;"",ISNUMBER(SEARCH(설정!$A$29,E854&amp;" "&amp;C854))),AND(설정!$A$30&lt;&gt;"",ISNUMBER(SEARCH(설정!$A$30,E854&amp;" "&amp;C854))),AND(설정!$A$31&lt;&gt;"",ISNUMBER(SEARCH(설정!$A$31,E854&amp;" "&amp;C854))),AND(설정!$A$32&lt;&gt;"",ISNUMBER(SEARCH(설정!$A$32,E854&amp;" "&amp;C854))),AND(설정!$A$33&lt;&gt;"",ISNUMBER(SEARCH(설정!$A$33,E854&amp;" "&amp;C854))),AND(설정!$A$34&lt;&gt;"",ISNUMBER(SEARCH(설정!$A$34,E854&amp;" "&amp;C854))),AND(설정!$A$35&lt;&gt;"",ISNUMBER(SEARCH(설정!$A$35,E854&amp;" "&amp;C854))),AND(설정!$A$36&lt;&gt;"",ISNUMBER(SEARCH(설정!$A$36,E854&amp;" "&amp;C854))),AND(설정!$A$37&lt;&gt;"",ISNUMBER(SEARCH(설정!$A$37,E854&amp;" "&amp;C854))))</f>
        <v/>
      </c>
      <c r="S854">
        <f>OR(D854="",D854&gt;=설정!$B$19)</f>
        <v/>
      </c>
      <c r="T854">
        <f>AND(Q854,R854,S854)</f>
        <v/>
      </c>
      <c r="U854">
        <f>IF(T854,IF(AND(설정!$A$41&lt;&gt;"",ISNUMBER(SEARCH(설정!$A$41,K854))),설정!$B$41,IF(AND(설정!$A$42&lt;&gt;"",ISNUMBER(SEARCH(설정!$A$42,K854))),설정!$B$42,IF(AND(설정!$A$43&lt;&gt;"",ISNUMBER(SEARCH(설정!$A$43,K854))),설정!$B$43,IF(AND(설정!$A$44&lt;&gt;"",ISNUMBER(SEARCH(설정!$A$44,K854))),설정!$B$44,IF(AND(설정!$A$45&lt;&gt;"",ISNUMBER(SEARCH(설정!$A$45,K854))),설정!$B$45,IF(AND(설정!$A$46&lt;&gt;"",ISNUMBER(SEARCH(설정!$A$46,K854))),설정!$B$46,IF(AND(설정!$A$47&lt;&gt;"",ISNUMBER(SEARCH(설정!$A$47,K854))),설정!$B$47,IF(AND(설정!$A$48&lt;&gt;"",ISNUMBER(SEARCH(설정!$A$48,K854))),설정!$B$48,IF(M854="","설계사","시공사"))))))))),"")</f>
        <v/>
      </c>
      <c r="V854">
        <f>SUBSTITUTE(SUBSTITUTE(SUBSTITUTE(SUBSTITUTE(G854,"(주)",""),"㈜",""),"주식회사","")," ","")</f>
        <v/>
      </c>
      <c r="W854">
        <f>IF(AND(T854,V854&lt;&gt;""),IF(COUNTIFS(V$2:V854,V854,T$2:T854,TRUE)=1,MAX(W$1:W853)+1,""),"")</f>
        <v/>
      </c>
      <c r="X854">
        <f>IFERROR(INDEX('1.산군_붙여넣기'!$A$1:$AZ$1001,ROW(),설정!$C$14)&amp;"","")</f>
        <v/>
      </c>
      <c r="Y854">
        <f>IFERROR(INDEX('1.산군_붙여넣기'!$A$1:$AZ$1001,ROW(),설정!$C$15)&amp;"","")</f>
        <v/>
      </c>
      <c r="Z854">
        <f>IF(T854,V854&amp;"|"&amp;U854,"")</f>
        <v/>
      </c>
    </row>
    <row r="855">
      <c r="A855">
        <f>ROW()</f>
        <v/>
      </c>
      <c r="B855">
        <f>IFERROR(INDEX('1.산군_붙여넣기'!$A$1:$AZ$1001,ROW(),설정!$C$4)&amp;"","")</f>
        <v/>
      </c>
      <c r="C855">
        <f>IFERROR(INDEX('1.산군_붙여넣기'!$A$1:$AZ$1001,ROW(),설정!$C$5)&amp;"","")</f>
        <v/>
      </c>
      <c r="D855" s="5">
        <f>IFERROR(VALUE(SUBSTITUTE(SUBSTITUTE(SUBSTITUTE(IFERROR(INDEX('1.산군_붙여넣기'!$A$1:$AZ$1001,ROW(),설정!$C$6)&amp;"",""),",",""),"㎡",""),"m2","")),"")</f>
        <v/>
      </c>
      <c r="E855">
        <f>IFERROR(INDEX('1.산군_붙여넣기'!$A$1:$AZ$1001,ROW(),설정!$C$7)&amp;"","")</f>
        <v/>
      </c>
      <c r="F855">
        <f>IFERROR(INDEX('1.산군_붙여넣기'!$A$1:$AZ$1001,ROW(),설정!$C$8)&amp;"","")</f>
        <v/>
      </c>
      <c r="G855">
        <f>IFERROR(INDEX('1.산군_붙여넣기'!$A$1:$AZ$1001,ROW(),설정!$C$9)&amp;"","")</f>
        <v/>
      </c>
      <c r="H855">
        <f>IFERROR(INDEX('1.산군_붙여넣기'!$A$1:$AZ$1001,ROW(),설정!$C$10)&amp;"","")</f>
        <v/>
      </c>
      <c r="I855">
        <f>IFERROR(INDEX('1.산군_붙여넣기'!$A$1:$AZ$1001,ROW(),설정!$C$11)&amp;"","")</f>
        <v/>
      </c>
      <c r="J855">
        <f>IFERROR(INDEX('1.산군_붙여넣기'!$A$1:$AZ$1001,ROW(),설정!$C$12)&amp;"","")</f>
        <v/>
      </c>
      <c r="K855">
        <f>IFERROR(INDEX('1.산군_붙여넣기'!$A$1:$AZ$1001,ROW(),설정!$C$13)&amp;"","")</f>
        <v/>
      </c>
      <c r="L855" s="6">
        <f>IF(X855="","",IF(AND(LEN(X855)=8,ISNUMBER(X855*1)),DATE(LEFT(X855,4),MID(X855,5,2),RIGHT(X855,2)),IFERROR(DATEVALUE(SUBSTITUTE(SUBSTITUTE(X855,".","-"),"/","-")),IFERROR(X855*1,""))))</f>
        <v/>
      </c>
      <c r="M855" s="6">
        <f>IF(Y855="","",IF(AND(LEN(Y855)=8,ISNUMBER(Y855*1)),DATE(LEFT(Y855,4),MID(Y855,5,2),RIGHT(Y855,2)),IFERROR(DATEVALUE(SUBSTITUTE(SUBSTITUTE(Y855,".","-"),"/","-")),IFERROR(Y855*1,""))))</f>
        <v/>
      </c>
      <c r="N855">
        <f>IFERROR(LEFT(B855,FIND(" ",B855)-1),B855)</f>
        <v/>
      </c>
      <c r="O855">
        <f>AND(B855&lt;&gt;"",B855&lt;&gt;설정!$B$4,C855&lt;&gt;설정!$B$5)</f>
        <v/>
      </c>
      <c r="P855">
        <f>IF(O855,B855&amp;"|"&amp;C855,"")</f>
        <v/>
      </c>
      <c r="Q855">
        <f>AND(O855,COUNTIF(P856:P$1002,P855)=0)</f>
        <v/>
      </c>
      <c r="R855">
        <f>OR(AND(설정!$A$28&lt;&gt;"",ISNUMBER(SEARCH(설정!$A$28,E855&amp;" "&amp;C855))),AND(설정!$A$29&lt;&gt;"",ISNUMBER(SEARCH(설정!$A$29,E855&amp;" "&amp;C855))),AND(설정!$A$30&lt;&gt;"",ISNUMBER(SEARCH(설정!$A$30,E855&amp;" "&amp;C855))),AND(설정!$A$31&lt;&gt;"",ISNUMBER(SEARCH(설정!$A$31,E855&amp;" "&amp;C855))),AND(설정!$A$32&lt;&gt;"",ISNUMBER(SEARCH(설정!$A$32,E855&amp;" "&amp;C855))),AND(설정!$A$33&lt;&gt;"",ISNUMBER(SEARCH(설정!$A$33,E855&amp;" "&amp;C855))),AND(설정!$A$34&lt;&gt;"",ISNUMBER(SEARCH(설정!$A$34,E855&amp;" "&amp;C855))),AND(설정!$A$35&lt;&gt;"",ISNUMBER(SEARCH(설정!$A$35,E855&amp;" "&amp;C855))),AND(설정!$A$36&lt;&gt;"",ISNUMBER(SEARCH(설정!$A$36,E855&amp;" "&amp;C855))),AND(설정!$A$37&lt;&gt;"",ISNUMBER(SEARCH(설정!$A$37,E855&amp;" "&amp;C855))))</f>
        <v/>
      </c>
      <c r="S855">
        <f>OR(D855="",D855&gt;=설정!$B$19)</f>
        <v/>
      </c>
      <c r="T855">
        <f>AND(Q855,R855,S855)</f>
        <v/>
      </c>
      <c r="U855">
        <f>IF(T855,IF(AND(설정!$A$41&lt;&gt;"",ISNUMBER(SEARCH(설정!$A$41,K855))),설정!$B$41,IF(AND(설정!$A$42&lt;&gt;"",ISNUMBER(SEARCH(설정!$A$42,K855))),설정!$B$42,IF(AND(설정!$A$43&lt;&gt;"",ISNUMBER(SEARCH(설정!$A$43,K855))),설정!$B$43,IF(AND(설정!$A$44&lt;&gt;"",ISNUMBER(SEARCH(설정!$A$44,K855))),설정!$B$44,IF(AND(설정!$A$45&lt;&gt;"",ISNUMBER(SEARCH(설정!$A$45,K855))),설정!$B$45,IF(AND(설정!$A$46&lt;&gt;"",ISNUMBER(SEARCH(설정!$A$46,K855))),설정!$B$46,IF(AND(설정!$A$47&lt;&gt;"",ISNUMBER(SEARCH(설정!$A$47,K855))),설정!$B$47,IF(AND(설정!$A$48&lt;&gt;"",ISNUMBER(SEARCH(설정!$A$48,K855))),설정!$B$48,IF(M855="","설계사","시공사"))))))))),"")</f>
        <v/>
      </c>
      <c r="V855">
        <f>SUBSTITUTE(SUBSTITUTE(SUBSTITUTE(SUBSTITUTE(G855,"(주)",""),"㈜",""),"주식회사","")," ","")</f>
        <v/>
      </c>
      <c r="W855">
        <f>IF(AND(T855,V855&lt;&gt;""),IF(COUNTIFS(V$2:V855,V855,T$2:T855,TRUE)=1,MAX(W$1:W854)+1,""),"")</f>
        <v/>
      </c>
      <c r="X855">
        <f>IFERROR(INDEX('1.산군_붙여넣기'!$A$1:$AZ$1001,ROW(),설정!$C$14)&amp;"","")</f>
        <v/>
      </c>
      <c r="Y855">
        <f>IFERROR(INDEX('1.산군_붙여넣기'!$A$1:$AZ$1001,ROW(),설정!$C$15)&amp;"","")</f>
        <v/>
      </c>
      <c r="Z855">
        <f>IF(T855,V855&amp;"|"&amp;U855,"")</f>
        <v/>
      </c>
    </row>
    <row r="856">
      <c r="A856">
        <f>ROW()</f>
        <v/>
      </c>
      <c r="B856">
        <f>IFERROR(INDEX('1.산군_붙여넣기'!$A$1:$AZ$1001,ROW(),설정!$C$4)&amp;"","")</f>
        <v/>
      </c>
      <c r="C856">
        <f>IFERROR(INDEX('1.산군_붙여넣기'!$A$1:$AZ$1001,ROW(),설정!$C$5)&amp;"","")</f>
        <v/>
      </c>
      <c r="D856" s="5">
        <f>IFERROR(VALUE(SUBSTITUTE(SUBSTITUTE(SUBSTITUTE(IFERROR(INDEX('1.산군_붙여넣기'!$A$1:$AZ$1001,ROW(),설정!$C$6)&amp;"",""),",",""),"㎡",""),"m2","")),"")</f>
        <v/>
      </c>
      <c r="E856">
        <f>IFERROR(INDEX('1.산군_붙여넣기'!$A$1:$AZ$1001,ROW(),설정!$C$7)&amp;"","")</f>
        <v/>
      </c>
      <c r="F856">
        <f>IFERROR(INDEX('1.산군_붙여넣기'!$A$1:$AZ$1001,ROW(),설정!$C$8)&amp;"","")</f>
        <v/>
      </c>
      <c r="G856">
        <f>IFERROR(INDEX('1.산군_붙여넣기'!$A$1:$AZ$1001,ROW(),설정!$C$9)&amp;"","")</f>
        <v/>
      </c>
      <c r="H856">
        <f>IFERROR(INDEX('1.산군_붙여넣기'!$A$1:$AZ$1001,ROW(),설정!$C$10)&amp;"","")</f>
        <v/>
      </c>
      <c r="I856">
        <f>IFERROR(INDEX('1.산군_붙여넣기'!$A$1:$AZ$1001,ROW(),설정!$C$11)&amp;"","")</f>
        <v/>
      </c>
      <c r="J856">
        <f>IFERROR(INDEX('1.산군_붙여넣기'!$A$1:$AZ$1001,ROW(),설정!$C$12)&amp;"","")</f>
        <v/>
      </c>
      <c r="K856">
        <f>IFERROR(INDEX('1.산군_붙여넣기'!$A$1:$AZ$1001,ROW(),설정!$C$13)&amp;"","")</f>
        <v/>
      </c>
      <c r="L856" s="6">
        <f>IF(X856="","",IF(AND(LEN(X856)=8,ISNUMBER(X856*1)),DATE(LEFT(X856,4),MID(X856,5,2),RIGHT(X856,2)),IFERROR(DATEVALUE(SUBSTITUTE(SUBSTITUTE(X856,".","-"),"/","-")),IFERROR(X856*1,""))))</f>
        <v/>
      </c>
      <c r="M856" s="6">
        <f>IF(Y856="","",IF(AND(LEN(Y856)=8,ISNUMBER(Y856*1)),DATE(LEFT(Y856,4),MID(Y856,5,2),RIGHT(Y856,2)),IFERROR(DATEVALUE(SUBSTITUTE(SUBSTITUTE(Y856,".","-"),"/","-")),IFERROR(Y856*1,""))))</f>
        <v/>
      </c>
      <c r="N856">
        <f>IFERROR(LEFT(B856,FIND(" ",B856)-1),B856)</f>
        <v/>
      </c>
      <c r="O856">
        <f>AND(B856&lt;&gt;"",B856&lt;&gt;설정!$B$4,C856&lt;&gt;설정!$B$5)</f>
        <v/>
      </c>
      <c r="P856">
        <f>IF(O856,B856&amp;"|"&amp;C856,"")</f>
        <v/>
      </c>
      <c r="Q856">
        <f>AND(O856,COUNTIF(P857:P$1002,P856)=0)</f>
        <v/>
      </c>
      <c r="R856">
        <f>OR(AND(설정!$A$28&lt;&gt;"",ISNUMBER(SEARCH(설정!$A$28,E856&amp;" "&amp;C856))),AND(설정!$A$29&lt;&gt;"",ISNUMBER(SEARCH(설정!$A$29,E856&amp;" "&amp;C856))),AND(설정!$A$30&lt;&gt;"",ISNUMBER(SEARCH(설정!$A$30,E856&amp;" "&amp;C856))),AND(설정!$A$31&lt;&gt;"",ISNUMBER(SEARCH(설정!$A$31,E856&amp;" "&amp;C856))),AND(설정!$A$32&lt;&gt;"",ISNUMBER(SEARCH(설정!$A$32,E856&amp;" "&amp;C856))),AND(설정!$A$33&lt;&gt;"",ISNUMBER(SEARCH(설정!$A$33,E856&amp;" "&amp;C856))),AND(설정!$A$34&lt;&gt;"",ISNUMBER(SEARCH(설정!$A$34,E856&amp;" "&amp;C856))),AND(설정!$A$35&lt;&gt;"",ISNUMBER(SEARCH(설정!$A$35,E856&amp;" "&amp;C856))),AND(설정!$A$36&lt;&gt;"",ISNUMBER(SEARCH(설정!$A$36,E856&amp;" "&amp;C856))),AND(설정!$A$37&lt;&gt;"",ISNUMBER(SEARCH(설정!$A$37,E856&amp;" "&amp;C856))))</f>
        <v/>
      </c>
      <c r="S856">
        <f>OR(D856="",D856&gt;=설정!$B$19)</f>
        <v/>
      </c>
      <c r="T856">
        <f>AND(Q856,R856,S856)</f>
        <v/>
      </c>
      <c r="U856">
        <f>IF(T856,IF(AND(설정!$A$41&lt;&gt;"",ISNUMBER(SEARCH(설정!$A$41,K856))),설정!$B$41,IF(AND(설정!$A$42&lt;&gt;"",ISNUMBER(SEARCH(설정!$A$42,K856))),설정!$B$42,IF(AND(설정!$A$43&lt;&gt;"",ISNUMBER(SEARCH(설정!$A$43,K856))),설정!$B$43,IF(AND(설정!$A$44&lt;&gt;"",ISNUMBER(SEARCH(설정!$A$44,K856))),설정!$B$44,IF(AND(설정!$A$45&lt;&gt;"",ISNUMBER(SEARCH(설정!$A$45,K856))),설정!$B$45,IF(AND(설정!$A$46&lt;&gt;"",ISNUMBER(SEARCH(설정!$A$46,K856))),설정!$B$46,IF(AND(설정!$A$47&lt;&gt;"",ISNUMBER(SEARCH(설정!$A$47,K856))),설정!$B$47,IF(AND(설정!$A$48&lt;&gt;"",ISNUMBER(SEARCH(설정!$A$48,K856))),설정!$B$48,IF(M856="","설계사","시공사"))))))))),"")</f>
        <v/>
      </c>
      <c r="V856">
        <f>SUBSTITUTE(SUBSTITUTE(SUBSTITUTE(SUBSTITUTE(G856,"(주)",""),"㈜",""),"주식회사","")," ","")</f>
        <v/>
      </c>
      <c r="W856">
        <f>IF(AND(T856,V856&lt;&gt;""),IF(COUNTIFS(V$2:V856,V856,T$2:T856,TRUE)=1,MAX(W$1:W855)+1,""),"")</f>
        <v/>
      </c>
      <c r="X856">
        <f>IFERROR(INDEX('1.산군_붙여넣기'!$A$1:$AZ$1001,ROW(),설정!$C$14)&amp;"","")</f>
        <v/>
      </c>
      <c r="Y856">
        <f>IFERROR(INDEX('1.산군_붙여넣기'!$A$1:$AZ$1001,ROW(),설정!$C$15)&amp;"","")</f>
        <v/>
      </c>
      <c r="Z856">
        <f>IF(T856,V856&amp;"|"&amp;U856,"")</f>
        <v/>
      </c>
    </row>
    <row r="857">
      <c r="A857">
        <f>ROW()</f>
        <v/>
      </c>
      <c r="B857">
        <f>IFERROR(INDEX('1.산군_붙여넣기'!$A$1:$AZ$1001,ROW(),설정!$C$4)&amp;"","")</f>
        <v/>
      </c>
      <c r="C857">
        <f>IFERROR(INDEX('1.산군_붙여넣기'!$A$1:$AZ$1001,ROW(),설정!$C$5)&amp;"","")</f>
        <v/>
      </c>
      <c r="D857" s="5">
        <f>IFERROR(VALUE(SUBSTITUTE(SUBSTITUTE(SUBSTITUTE(IFERROR(INDEX('1.산군_붙여넣기'!$A$1:$AZ$1001,ROW(),설정!$C$6)&amp;"",""),",",""),"㎡",""),"m2","")),"")</f>
        <v/>
      </c>
      <c r="E857">
        <f>IFERROR(INDEX('1.산군_붙여넣기'!$A$1:$AZ$1001,ROW(),설정!$C$7)&amp;"","")</f>
        <v/>
      </c>
      <c r="F857">
        <f>IFERROR(INDEX('1.산군_붙여넣기'!$A$1:$AZ$1001,ROW(),설정!$C$8)&amp;"","")</f>
        <v/>
      </c>
      <c r="G857">
        <f>IFERROR(INDEX('1.산군_붙여넣기'!$A$1:$AZ$1001,ROW(),설정!$C$9)&amp;"","")</f>
        <v/>
      </c>
      <c r="H857">
        <f>IFERROR(INDEX('1.산군_붙여넣기'!$A$1:$AZ$1001,ROW(),설정!$C$10)&amp;"","")</f>
        <v/>
      </c>
      <c r="I857">
        <f>IFERROR(INDEX('1.산군_붙여넣기'!$A$1:$AZ$1001,ROW(),설정!$C$11)&amp;"","")</f>
        <v/>
      </c>
      <c r="J857">
        <f>IFERROR(INDEX('1.산군_붙여넣기'!$A$1:$AZ$1001,ROW(),설정!$C$12)&amp;"","")</f>
        <v/>
      </c>
      <c r="K857">
        <f>IFERROR(INDEX('1.산군_붙여넣기'!$A$1:$AZ$1001,ROW(),설정!$C$13)&amp;"","")</f>
        <v/>
      </c>
      <c r="L857" s="6">
        <f>IF(X857="","",IF(AND(LEN(X857)=8,ISNUMBER(X857*1)),DATE(LEFT(X857,4),MID(X857,5,2),RIGHT(X857,2)),IFERROR(DATEVALUE(SUBSTITUTE(SUBSTITUTE(X857,".","-"),"/","-")),IFERROR(X857*1,""))))</f>
        <v/>
      </c>
      <c r="M857" s="6">
        <f>IF(Y857="","",IF(AND(LEN(Y857)=8,ISNUMBER(Y857*1)),DATE(LEFT(Y857,4),MID(Y857,5,2),RIGHT(Y857,2)),IFERROR(DATEVALUE(SUBSTITUTE(SUBSTITUTE(Y857,".","-"),"/","-")),IFERROR(Y857*1,""))))</f>
        <v/>
      </c>
      <c r="N857">
        <f>IFERROR(LEFT(B857,FIND(" ",B857)-1),B857)</f>
        <v/>
      </c>
      <c r="O857">
        <f>AND(B857&lt;&gt;"",B857&lt;&gt;설정!$B$4,C857&lt;&gt;설정!$B$5)</f>
        <v/>
      </c>
      <c r="P857">
        <f>IF(O857,B857&amp;"|"&amp;C857,"")</f>
        <v/>
      </c>
      <c r="Q857">
        <f>AND(O857,COUNTIF(P858:P$1002,P857)=0)</f>
        <v/>
      </c>
      <c r="R857">
        <f>OR(AND(설정!$A$28&lt;&gt;"",ISNUMBER(SEARCH(설정!$A$28,E857&amp;" "&amp;C857))),AND(설정!$A$29&lt;&gt;"",ISNUMBER(SEARCH(설정!$A$29,E857&amp;" "&amp;C857))),AND(설정!$A$30&lt;&gt;"",ISNUMBER(SEARCH(설정!$A$30,E857&amp;" "&amp;C857))),AND(설정!$A$31&lt;&gt;"",ISNUMBER(SEARCH(설정!$A$31,E857&amp;" "&amp;C857))),AND(설정!$A$32&lt;&gt;"",ISNUMBER(SEARCH(설정!$A$32,E857&amp;" "&amp;C857))),AND(설정!$A$33&lt;&gt;"",ISNUMBER(SEARCH(설정!$A$33,E857&amp;" "&amp;C857))),AND(설정!$A$34&lt;&gt;"",ISNUMBER(SEARCH(설정!$A$34,E857&amp;" "&amp;C857))),AND(설정!$A$35&lt;&gt;"",ISNUMBER(SEARCH(설정!$A$35,E857&amp;" "&amp;C857))),AND(설정!$A$36&lt;&gt;"",ISNUMBER(SEARCH(설정!$A$36,E857&amp;" "&amp;C857))),AND(설정!$A$37&lt;&gt;"",ISNUMBER(SEARCH(설정!$A$37,E857&amp;" "&amp;C857))))</f>
        <v/>
      </c>
      <c r="S857">
        <f>OR(D857="",D857&gt;=설정!$B$19)</f>
        <v/>
      </c>
      <c r="T857">
        <f>AND(Q857,R857,S857)</f>
        <v/>
      </c>
      <c r="U857">
        <f>IF(T857,IF(AND(설정!$A$41&lt;&gt;"",ISNUMBER(SEARCH(설정!$A$41,K857))),설정!$B$41,IF(AND(설정!$A$42&lt;&gt;"",ISNUMBER(SEARCH(설정!$A$42,K857))),설정!$B$42,IF(AND(설정!$A$43&lt;&gt;"",ISNUMBER(SEARCH(설정!$A$43,K857))),설정!$B$43,IF(AND(설정!$A$44&lt;&gt;"",ISNUMBER(SEARCH(설정!$A$44,K857))),설정!$B$44,IF(AND(설정!$A$45&lt;&gt;"",ISNUMBER(SEARCH(설정!$A$45,K857))),설정!$B$45,IF(AND(설정!$A$46&lt;&gt;"",ISNUMBER(SEARCH(설정!$A$46,K857))),설정!$B$46,IF(AND(설정!$A$47&lt;&gt;"",ISNUMBER(SEARCH(설정!$A$47,K857))),설정!$B$47,IF(AND(설정!$A$48&lt;&gt;"",ISNUMBER(SEARCH(설정!$A$48,K857))),설정!$B$48,IF(M857="","설계사","시공사"))))))))),"")</f>
        <v/>
      </c>
      <c r="V857">
        <f>SUBSTITUTE(SUBSTITUTE(SUBSTITUTE(SUBSTITUTE(G857,"(주)",""),"㈜",""),"주식회사","")," ","")</f>
        <v/>
      </c>
      <c r="W857">
        <f>IF(AND(T857,V857&lt;&gt;""),IF(COUNTIFS(V$2:V857,V857,T$2:T857,TRUE)=1,MAX(W$1:W856)+1,""),"")</f>
        <v/>
      </c>
      <c r="X857">
        <f>IFERROR(INDEX('1.산군_붙여넣기'!$A$1:$AZ$1001,ROW(),설정!$C$14)&amp;"","")</f>
        <v/>
      </c>
      <c r="Y857">
        <f>IFERROR(INDEX('1.산군_붙여넣기'!$A$1:$AZ$1001,ROW(),설정!$C$15)&amp;"","")</f>
        <v/>
      </c>
      <c r="Z857">
        <f>IF(T857,V857&amp;"|"&amp;U857,"")</f>
        <v/>
      </c>
    </row>
    <row r="858">
      <c r="A858">
        <f>ROW()</f>
        <v/>
      </c>
      <c r="B858">
        <f>IFERROR(INDEX('1.산군_붙여넣기'!$A$1:$AZ$1001,ROW(),설정!$C$4)&amp;"","")</f>
        <v/>
      </c>
      <c r="C858">
        <f>IFERROR(INDEX('1.산군_붙여넣기'!$A$1:$AZ$1001,ROW(),설정!$C$5)&amp;"","")</f>
        <v/>
      </c>
      <c r="D858" s="5">
        <f>IFERROR(VALUE(SUBSTITUTE(SUBSTITUTE(SUBSTITUTE(IFERROR(INDEX('1.산군_붙여넣기'!$A$1:$AZ$1001,ROW(),설정!$C$6)&amp;"",""),",",""),"㎡",""),"m2","")),"")</f>
        <v/>
      </c>
      <c r="E858">
        <f>IFERROR(INDEX('1.산군_붙여넣기'!$A$1:$AZ$1001,ROW(),설정!$C$7)&amp;"","")</f>
        <v/>
      </c>
      <c r="F858">
        <f>IFERROR(INDEX('1.산군_붙여넣기'!$A$1:$AZ$1001,ROW(),설정!$C$8)&amp;"","")</f>
        <v/>
      </c>
      <c r="G858">
        <f>IFERROR(INDEX('1.산군_붙여넣기'!$A$1:$AZ$1001,ROW(),설정!$C$9)&amp;"","")</f>
        <v/>
      </c>
      <c r="H858">
        <f>IFERROR(INDEX('1.산군_붙여넣기'!$A$1:$AZ$1001,ROW(),설정!$C$10)&amp;"","")</f>
        <v/>
      </c>
      <c r="I858">
        <f>IFERROR(INDEX('1.산군_붙여넣기'!$A$1:$AZ$1001,ROW(),설정!$C$11)&amp;"","")</f>
        <v/>
      </c>
      <c r="J858">
        <f>IFERROR(INDEX('1.산군_붙여넣기'!$A$1:$AZ$1001,ROW(),설정!$C$12)&amp;"","")</f>
        <v/>
      </c>
      <c r="K858">
        <f>IFERROR(INDEX('1.산군_붙여넣기'!$A$1:$AZ$1001,ROW(),설정!$C$13)&amp;"","")</f>
        <v/>
      </c>
      <c r="L858" s="6">
        <f>IF(X858="","",IF(AND(LEN(X858)=8,ISNUMBER(X858*1)),DATE(LEFT(X858,4),MID(X858,5,2),RIGHT(X858,2)),IFERROR(DATEVALUE(SUBSTITUTE(SUBSTITUTE(X858,".","-"),"/","-")),IFERROR(X858*1,""))))</f>
        <v/>
      </c>
      <c r="M858" s="6">
        <f>IF(Y858="","",IF(AND(LEN(Y858)=8,ISNUMBER(Y858*1)),DATE(LEFT(Y858,4),MID(Y858,5,2),RIGHT(Y858,2)),IFERROR(DATEVALUE(SUBSTITUTE(SUBSTITUTE(Y858,".","-"),"/","-")),IFERROR(Y858*1,""))))</f>
        <v/>
      </c>
      <c r="N858">
        <f>IFERROR(LEFT(B858,FIND(" ",B858)-1),B858)</f>
        <v/>
      </c>
      <c r="O858">
        <f>AND(B858&lt;&gt;"",B858&lt;&gt;설정!$B$4,C858&lt;&gt;설정!$B$5)</f>
        <v/>
      </c>
      <c r="P858">
        <f>IF(O858,B858&amp;"|"&amp;C858,"")</f>
        <v/>
      </c>
      <c r="Q858">
        <f>AND(O858,COUNTIF(P859:P$1002,P858)=0)</f>
        <v/>
      </c>
      <c r="R858">
        <f>OR(AND(설정!$A$28&lt;&gt;"",ISNUMBER(SEARCH(설정!$A$28,E858&amp;" "&amp;C858))),AND(설정!$A$29&lt;&gt;"",ISNUMBER(SEARCH(설정!$A$29,E858&amp;" "&amp;C858))),AND(설정!$A$30&lt;&gt;"",ISNUMBER(SEARCH(설정!$A$30,E858&amp;" "&amp;C858))),AND(설정!$A$31&lt;&gt;"",ISNUMBER(SEARCH(설정!$A$31,E858&amp;" "&amp;C858))),AND(설정!$A$32&lt;&gt;"",ISNUMBER(SEARCH(설정!$A$32,E858&amp;" "&amp;C858))),AND(설정!$A$33&lt;&gt;"",ISNUMBER(SEARCH(설정!$A$33,E858&amp;" "&amp;C858))),AND(설정!$A$34&lt;&gt;"",ISNUMBER(SEARCH(설정!$A$34,E858&amp;" "&amp;C858))),AND(설정!$A$35&lt;&gt;"",ISNUMBER(SEARCH(설정!$A$35,E858&amp;" "&amp;C858))),AND(설정!$A$36&lt;&gt;"",ISNUMBER(SEARCH(설정!$A$36,E858&amp;" "&amp;C858))),AND(설정!$A$37&lt;&gt;"",ISNUMBER(SEARCH(설정!$A$37,E858&amp;" "&amp;C858))))</f>
        <v/>
      </c>
      <c r="S858">
        <f>OR(D858="",D858&gt;=설정!$B$19)</f>
        <v/>
      </c>
      <c r="T858">
        <f>AND(Q858,R858,S858)</f>
        <v/>
      </c>
      <c r="U858">
        <f>IF(T858,IF(AND(설정!$A$41&lt;&gt;"",ISNUMBER(SEARCH(설정!$A$41,K858))),설정!$B$41,IF(AND(설정!$A$42&lt;&gt;"",ISNUMBER(SEARCH(설정!$A$42,K858))),설정!$B$42,IF(AND(설정!$A$43&lt;&gt;"",ISNUMBER(SEARCH(설정!$A$43,K858))),설정!$B$43,IF(AND(설정!$A$44&lt;&gt;"",ISNUMBER(SEARCH(설정!$A$44,K858))),설정!$B$44,IF(AND(설정!$A$45&lt;&gt;"",ISNUMBER(SEARCH(설정!$A$45,K858))),설정!$B$45,IF(AND(설정!$A$46&lt;&gt;"",ISNUMBER(SEARCH(설정!$A$46,K858))),설정!$B$46,IF(AND(설정!$A$47&lt;&gt;"",ISNUMBER(SEARCH(설정!$A$47,K858))),설정!$B$47,IF(AND(설정!$A$48&lt;&gt;"",ISNUMBER(SEARCH(설정!$A$48,K858))),설정!$B$48,IF(M858="","설계사","시공사"))))))))),"")</f>
        <v/>
      </c>
      <c r="V858">
        <f>SUBSTITUTE(SUBSTITUTE(SUBSTITUTE(SUBSTITUTE(G858,"(주)",""),"㈜",""),"주식회사","")," ","")</f>
        <v/>
      </c>
      <c r="W858">
        <f>IF(AND(T858,V858&lt;&gt;""),IF(COUNTIFS(V$2:V858,V858,T$2:T858,TRUE)=1,MAX(W$1:W857)+1,""),"")</f>
        <v/>
      </c>
      <c r="X858">
        <f>IFERROR(INDEX('1.산군_붙여넣기'!$A$1:$AZ$1001,ROW(),설정!$C$14)&amp;"","")</f>
        <v/>
      </c>
      <c r="Y858">
        <f>IFERROR(INDEX('1.산군_붙여넣기'!$A$1:$AZ$1001,ROW(),설정!$C$15)&amp;"","")</f>
        <v/>
      </c>
      <c r="Z858">
        <f>IF(T858,V858&amp;"|"&amp;U858,"")</f>
        <v/>
      </c>
    </row>
    <row r="859">
      <c r="A859">
        <f>ROW()</f>
        <v/>
      </c>
      <c r="B859">
        <f>IFERROR(INDEX('1.산군_붙여넣기'!$A$1:$AZ$1001,ROW(),설정!$C$4)&amp;"","")</f>
        <v/>
      </c>
      <c r="C859">
        <f>IFERROR(INDEX('1.산군_붙여넣기'!$A$1:$AZ$1001,ROW(),설정!$C$5)&amp;"","")</f>
        <v/>
      </c>
      <c r="D859" s="5">
        <f>IFERROR(VALUE(SUBSTITUTE(SUBSTITUTE(SUBSTITUTE(IFERROR(INDEX('1.산군_붙여넣기'!$A$1:$AZ$1001,ROW(),설정!$C$6)&amp;"",""),",",""),"㎡",""),"m2","")),"")</f>
        <v/>
      </c>
      <c r="E859">
        <f>IFERROR(INDEX('1.산군_붙여넣기'!$A$1:$AZ$1001,ROW(),설정!$C$7)&amp;"","")</f>
        <v/>
      </c>
      <c r="F859">
        <f>IFERROR(INDEX('1.산군_붙여넣기'!$A$1:$AZ$1001,ROW(),설정!$C$8)&amp;"","")</f>
        <v/>
      </c>
      <c r="G859">
        <f>IFERROR(INDEX('1.산군_붙여넣기'!$A$1:$AZ$1001,ROW(),설정!$C$9)&amp;"","")</f>
        <v/>
      </c>
      <c r="H859">
        <f>IFERROR(INDEX('1.산군_붙여넣기'!$A$1:$AZ$1001,ROW(),설정!$C$10)&amp;"","")</f>
        <v/>
      </c>
      <c r="I859">
        <f>IFERROR(INDEX('1.산군_붙여넣기'!$A$1:$AZ$1001,ROW(),설정!$C$11)&amp;"","")</f>
        <v/>
      </c>
      <c r="J859">
        <f>IFERROR(INDEX('1.산군_붙여넣기'!$A$1:$AZ$1001,ROW(),설정!$C$12)&amp;"","")</f>
        <v/>
      </c>
      <c r="K859">
        <f>IFERROR(INDEX('1.산군_붙여넣기'!$A$1:$AZ$1001,ROW(),설정!$C$13)&amp;"","")</f>
        <v/>
      </c>
      <c r="L859" s="6">
        <f>IF(X859="","",IF(AND(LEN(X859)=8,ISNUMBER(X859*1)),DATE(LEFT(X859,4),MID(X859,5,2),RIGHT(X859,2)),IFERROR(DATEVALUE(SUBSTITUTE(SUBSTITUTE(X859,".","-"),"/","-")),IFERROR(X859*1,""))))</f>
        <v/>
      </c>
      <c r="M859" s="6">
        <f>IF(Y859="","",IF(AND(LEN(Y859)=8,ISNUMBER(Y859*1)),DATE(LEFT(Y859,4),MID(Y859,5,2),RIGHT(Y859,2)),IFERROR(DATEVALUE(SUBSTITUTE(SUBSTITUTE(Y859,".","-"),"/","-")),IFERROR(Y859*1,""))))</f>
        <v/>
      </c>
      <c r="N859">
        <f>IFERROR(LEFT(B859,FIND(" ",B859)-1),B859)</f>
        <v/>
      </c>
      <c r="O859">
        <f>AND(B859&lt;&gt;"",B859&lt;&gt;설정!$B$4,C859&lt;&gt;설정!$B$5)</f>
        <v/>
      </c>
      <c r="P859">
        <f>IF(O859,B859&amp;"|"&amp;C859,"")</f>
        <v/>
      </c>
      <c r="Q859">
        <f>AND(O859,COUNTIF(P860:P$1002,P859)=0)</f>
        <v/>
      </c>
      <c r="R859">
        <f>OR(AND(설정!$A$28&lt;&gt;"",ISNUMBER(SEARCH(설정!$A$28,E859&amp;" "&amp;C859))),AND(설정!$A$29&lt;&gt;"",ISNUMBER(SEARCH(설정!$A$29,E859&amp;" "&amp;C859))),AND(설정!$A$30&lt;&gt;"",ISNUMBER(SEARCH(설정!$A$30,E859&amp;" "&amp;C859))),AND(설정!$A$31&lt;&gt;"",ISNUMBER(SEARCH(설정!$A$31,E859&amp;" "&amp;C859))),AND(설정!$A$32&lt;&gt;"",ISNUMBER(SEARCH(설정!$A$32,E859&amp;" "&amp;C859))),AND(설정!$A$33&lt;&gt;"",ISNUMBER(SEARCH(설정!$A$33,E859&amp;" "&amp;C859))),AND(설정!$A$34&lt;&gt;"",ISNUMBER(SEARCH(설정!$A$34,E859&amp;" "&amp;C859))),AND(설정!$A$35&lt;&gt;"",ISNUMBER(SEARCH(설정!$A$35,E859&amp;" "&amp;C859))),AND(설정!$A$36&lt;&gt;"",ISNUMBER(SEARCH(설정!$A$36,E859&amp;" "&amp;C859))),AND(설정!$A$37&lt;&gt;"",ISNUMBER(SEARCH(설정!$A$37,E859&amp;" "&amp;C859))))</f>
        <v/>
      </c>
      <c r="S859">
        <f>OR(D859="",D859&gt;=설정!$B$19)</f>
        <v/>
      </c>
      <c r="T859">
        <f>AND(Q859,R859,S859)</f>
        <v/>
      </c>
      <c r="U859">
        <f>IF(T859,IF(AND(설정!$A$41&lt;&gt;"",ISNUMBER(SEARCH(설정!$A$41,K859))),설정!$B$41,IF(AND(설정!$A$42&lt;&gt;"",ISNUMBER(SEARCH(설정!$A$42,K859))),설정!$B$42,IF(AND(설정!$A$43&lt;&gt;"",ISNUMBER(SEARCH(설정!$A$43,K859))),설정!$B$43,IF(AND(설정!$A$44&lt;&gt;"",ISNUMBER(SEARCH(설정!$A$44,K859))),설정!$B$44,IF(AND(설정!$A$45&lt;&gt;"",ISNUMBER(SEARCH(설정!$A$45,K859))),설정!$B$45,IF(AND(설정!$A$46&lt;&gt;"",ISNUMBER(SEARCH(설정!$A$46,K859))),설정!$B$46,IF(AND(설정!$A$47&lt;&gt;"",ISNUMBER(SEARCH(설정!$A$47,K859))),설정!$B$47,IF(AND(설정!$A$48&lt;&gt;"",ISNUMBER(SEARCH(설정!$A$48,K859))),설정!$B$48,IF(M859="","설계사","시공사"))))))))),"")</f>
        <v/>
      </c>
      <c r="V859">
        <f>SUBSTITUTE(SUBSTITUTE(SUBSTITUTE(SUBSTITUTE(G859,"(주)",""),"㈜",""),"주식회사","")," ","")</f>
        <v/>
      </c>
      <c r="W859">
        <f>IF(AND(T859,V859&lt;&gt;""),IF(COUNTIFS(V$2:V859,V859,T$2:T859,TRUE)=1,MAX(W$1:W858)+1,""),"")</f>
        <v/>
      </c>
      <c r="X859">
        <f>IFERROR(INDEX('1.산군_붙여넣기'!$A$1:$AZ$1001,ROW(),설정!$C$14)&amp;"","")</f>
        <v/>
      </c>
      <c r="Y859">
        <f>IFERROR(INDEX('1.산군_붙여넣기'!$A$1:$AZ$1001,ROW(),설정!$C$15)&amp;"","")</f>
        <v/>
      </c>
      <c r="Z859">
        <f>IF(T859,V859&amp;"|"&amp;U859,"")</f>
        <v/>
      </c>
    </row>
    <row r="860">
      <c r="A860">
        <f>ROW()</f>
        <v/>
      </c>
      <c r="B860">
        <f>IFERROR(INDEX('1.산군_붙여넣기'!$A$1:$AZ$1001,ROW(),설정!$C$4)&amp;"","")</f>
        <v/>
      </c>
      <c r="C860">
        <f>IFERROR(INDEX('1.산군_붙여넣기'!$A$1:$AZ$1001,ROW(),설정!$C$5)&amp;"","")</f>
        <v/>
      </c>
      <c r="D860" s="5">
        <f>IFERROR(VALUE(SUBSTITUTE(SUBSTITUTE(SUBSTITUTE(IFERROR(INDEX('1.산군_붙여넣기'!$A$1:$AZ$1001,ROW(),설정!$C$6)&amp;"",""),",",""),"㎡",""),"m2","")),"")</f>
        <v/>
      </c>
      <c r="E860">
        <f>IFERROR(INDEX('1.산군_붙여넣기'!$A$1:$AZ$1001,ROW(),설정!$C$7)&amp;"","")</f>
        <v/>
      </c>
      <c r="F860">
        <f>IFERROR(INDEX('1.산군_붙여넣기'!$A$1:$AZ$1001,ROW(),설정!$C$8)&amp;"","")</f>
        <v/>
      </c>
      <c r="G860">
        <f>IFERROR(INDEX('1.산군_붙여넣기'!$A$1:$AZ$1001,ROW(),설정!$C$9)&amp;"","")</f>
        <v/>
      </c>
      <c r="H860">
        <f>IFERROR(INDEX('1.산군_붙여넣기'!$A$1:$AZ$1001,ROW(),설정!$C$10)&amp;"","")</f>
        <v/>
      </c>
      <c r="I860">
        <f>IFERROR(INDEX('1.산군_붙여넣기'!$A$1:$AZ$1001,ROW(),설정!$C$11)&amp;"","")</f>
        <v/>
      </c>
      <c r="J860">
        <f>IFERROR(INDEX('1.산군_붙여넣기'!$A$1:$AZ$1001,ROW(),설정!$C$12)&amp;"","")</f>
        <v/>
      </c>
      <c r="K860">
        <f>IFERROR(INDEX('1.산군_붙여넣기'!$A$1:$AZ$1001,ROW(),설정!$C$13)&amp;"","")</f>
        <v/>
      </c>
      <c r="L860" s="6">
        <f>IF(X860="","",IF(AND(LEN(X860)=8,ISNUMBER(X860*1)),DATE(LEFT(X860,4),MID(X860,5,2),RIGHT(X860,2)),IFERROR(DATEVALUE(SUBSTITUTE(SUBSTITUTE(X860,".","-"),"/","-")),IFERROR(X860*1,""))))</f>
        <v/>
      </c>
      <c r="M860" s="6">
        <f>IF(Y860="","",IF(AND(LEN(Y860)=8,ISNUMBER(Y860*1)),DATE(LEFT(Y860,4),MID(Y860,5,2),RIGHT(Y860,2)),IFERROR(DATEVALUE(SUBSTITUTE(SUBSTITUTE(Y860,".","-"),"/","-")),IFERROR(Y860*1,""))))</f>
        <v/>
      </c>
      <c r="N860">
        <f>IFERROR(LEFT(B860,FIND(" ",B860)-1),B860)</f>
        <v/>
      </c>
      <c r="O860">
        <f>AND(B860&lt;&gt;"",B860&lt;&gt;설정!$B$4,C860&lt;&gt;설정!$B$5)</f>
        <v/>
      </c>
      <c r="P860">
        <f>IF(O860,B860&amp;"|"&amp;C860,"")</f>
        <v/>
      </c>
      <c r="Q860">
        <f>AND(O860,COUNTIF(P861:P$1002,P860)=0)</f>
        <v/>
      </c>
      <c r="R860">
        <f>OR(AND(설정!$A$28&lt;&gt;"",ISNUMBER(SEARCH(설정!$A$28,E860&amp;" "&amp;C860))),AND(설정!$A$29&lt;&gt;"",ISNUMBER(SEARCH(설정!$A$29,E860&amp;" "&amp;C860))),AND(설정!$A$30&lt;&gt;"",ISNUMBER(SEARCH(설정!$A$30,E860&amp;" "&amp;C860))),AND(설정!$A$31&lt;&gt;"",ISNUMBER(SEARCH(설정!$A$31,E860&amp;" "&amp;C860))),AND(설정!$A$32&lt;&gt;"",ISNUMBER(SEARCH(설정!$A$32,E860&amp;" "&amp;C860))),AND(설정!$A$33&lt;&gt;"",ISNUMBER(SEARCH(설정!$A$33,E860&amp;" "&amp;C860))),AND(설정!$A$34&lt;&gt;"",ISNUMBER(SEARCH(설정!$A$34,E860&amp;" "&amp;C860))),AND(설정!$A$35&lt;&gt;"",ISNUMBER(SEARCH(설정!$A$35,E860&amp;" "&amp;C860))),AND(설정!$A$36&lt;&gt;"",ISNUMBER(SEARCH(설정!$A$36,E860&amp;" "&amp;C860))),AND(설정!$A$37&lt;&gt;"",ISNUMBER(SEARCH(설정!$A$37,E860&amp;" "&amp;C860))))</f>
        <v/>
      </c>
      <c r="S860">
        <f>OR(D860="",D860&gt;=설정!$B$19)</f>
        <v/>
      </c>
      <c r="T860">
        <f>AND(Q860,R860,S860)</f>
        <v/>
      </c>
      <c r="U860">
        <f>IF(T860,IF(AND(설정!$A$41&lt;&gt;"",ISNUMBER(SEARCH(설정!$A$41,K860))),설정!$B$41,IF(AND(설정!$A$42&lt;&gt;"",ISNUMBER(SEARCH(설정!$A$42,K860))),설정!$B$42,IF(AND(설정!$A$43&lt;&gt;"",ISNUMBER(SEARCH(설정!$A$43,K860))),설정!$B$43,IF(AND(설정!$A$44&lt;&gt;"",ISNUMBER(SEARCH(설정!$A$44,K860))),설정!$B$44,IF(AND(설정!$A$45&lt;&gt;"",ISNUMBER(SEARCH(설정!$A$45,K860))),설정!$B$45,IF(AND(설정!$A$46&lt;&gt;"",ISNUMBER(SEARCH(설정!$A$46,K860))),설정!$B$46,IF(AND(설정!$A$47&lt;&gt;"",ISNUMBER(SEARCH(설정!$A$47,K860))),설정!$B$47,IF(AND(설정!$A$48&lt;&gt;"",ISNUMBER(SEARCH(설정!$A$48,K860))),설정!$B$48,IF(M860="","설계사","시공사"))))))))),"")</f>
        <v/>
      </c>
      <c r="V860">
        <f>SUBSTITUTE(SUBSTITUTE(SUBSTITUTE(SUBSTITUTE(G860,"(주)",""),"㈜",""),"주식회사","")," ","")</f>
        <v/>
      </c>
      <c r="W860">
        <f>IF(AND(T860,V860&lt;&gt;""),IF(COUNTIFS(V$2:V860,V860,T$2:T860,TRUE)=1,MAX(W$1:W859)+1,""),"")</f>
        <v/>
      </c>
      <c r="X860">
        <f>IFERROR(INDEX('1.산군_붙여넣기'!$A$1:$AZ$1001,ROW(),설정!$C$14)&amp;"","")</f>
        <v/>
      </c>
      <c r="Y860">
        <f>IFERROR(INDEX('1.산군_붙여넣기'!$A$1:$AZ$1001,ROW(),설정!$C$15)&amp;"","")</f>
        <v/>
      </c>
      <c r="Z860">
        <f>IF(T860,V860&amp;"|"&amp;U860,"")</f>
        <v/>
      </c>
    </row>
    <row r="861">
      <c r="A861">
        <f>ROW()</f>
        <v/>
      </c>
      <c r="B861">
        <f>IFERROR(INDEX('1.산군_붙여넣기'!$A$1:$AZ$1001,ROW(),설정!$C$4)&amp;"","")</f>
        <v/>
      </c>
      <c r="C861">
        <f>IFERROR(INDEX('1.산군_붙여넣기'!$A$1:$AZ$1001,ROW(),설정!$C$5)&amp;"","")</f>
        <v/>
      </c>
      <c r="D861" s="5">
        <f>IFERROR(VALUE(SUBSTITUTE(SUBSTITUTE(SUBSTITUTE(IFERROR(INDEX('1.산군_붙여넣기'!$A$1:$AZ$1001,ROW(),설정!$C$6)&amp;"",""),",",""),"㎡",""),"m2","")),"")</f>
        <v/>
      </c>
      <c r="E861">
        <f>IFERROR(INDEX('1.산군_붙여넣기'!$A$1:$AZ$1001,ROW(),설정!$C$7)&amp;"","")</f>
        <v/>
      </c>
      <c r="F861">
        <f>IFERROR(INDEX('1.산군_붙여넣기'!$A$1:$AZ$1001,ROW(),설정!$C$8)&amp;"","")</f>
        <v/>
      </c>
      <c r="G861">
        <f>IFERROR(INDEX('1.산군_붙여넣기'!$A$1:$AZ$1001,ROW(),설정!$C$9)&amp;"","")</f>
        <v/>
      </c>
      <c r="H861">
        <f>IFERROR(INDEX('1.산군_붙여넣기'!$A$1:$AZ$1001,ROW(),설정!$C$10)&amp;"","")</f>
        <v/>
      </c>
      <c r="I861">
        <f>IFERROR(INDEX('1.산군_붙여넣기'!$A$1:$AZ$1001,ROW(),설정!$C$11)&amp;"","")</f>
        <v/>
      </c>
      <c r="J861">
        <f>IFERROR(INDEX('1.산군_붙여넣기'!$A$1:$AZ$1001,ROW(),설정!$C$12)&amp;"","")</f>
        <v/>
      </c>
      <c r="K861">
        <f>IFERROR(INDEX('1.산군_붙여넣기'!$A$1:$AZ$1001,ROW(),설정!$C$13)&amp;"","")</f>
        <v/>
      </c>
      <c r="L861" s="6">
        <f>IF(X861="","",IF(AND(LEN(X861)=8,ISNUMBER(X861*1)),DATE(LEFT(X861,4),MID(X861,5,2),RIGHT(X861,2)),IFERROR(DATEVALUE(SUBSTITUTE(SUBSTITUTE(X861,".","-"),"/","-")),IFERROR(X861*1,""))))</f>
        <v/>
      </c>
      <c r="M861" s="6">
        <f>IF(Y861="","",IF(AND(LEN(Y861)=8,ISNUMBER(Y861*1)),DATE(LEFT(Y861,4),MID(Y861,5,2),RIGHT(Y861,2)),IFERROR(DATEVALUE(SUBSTITUTE(SUBSTITUTE(Y861,".","-"),"/","-")),IFERROR(Y861*1,""))))</f>
        <v/>
      </c>
      <c r="N861">
        <f>IFERROR(LEFT(B861,FIND(" ",B861)-1),B861)</f>
        <v/>
      </c>
      <c r="O861">
        <f>AND(B861&lt;&gt;"",B861&lt;&gt;설정!$B$4,C861&lt;&gt;설정!$B$5)</f>
        <v/>
      </c>
      <c r="P861">
        <f>IF(O861,B861&amp;"|"&amp;C861,"")</f>
        <v/>
      </c>
      <c r="Q861">
        <f>AND(O861,COUNTIF(P862:P$1002,P861)=0)</f>
        <v/>
      </c>
      <c r="R861">
        <f>OR(AND(설정!$A$28&lt;&gt;"",ISNUMBER(SEARCH(설정!$A$28,E861&amp;" "&amp;C861))),AND(설정!$A$29&lt;&gt;"",ISNUMBER(SEARCH(설정!$A$29,E861&amp;" "&amp;C861))),AND(설정!$A$30&lt;&gt;"",ISNUMBER(SEARCH(설정!$A$30,E861&amp;" "&amp;C861))),AND(설정!$A$31&lt;&gt;"",ISNUMBER(SEARCH(설정!$A$31,E861&amp;" "&amp;C861))),AND(설정!$A$32&lt;&gt;"",ISNUMBER(SEARCH(설정!$A$32,E861&amp;" "&amp;C861))),AND(설정!$A$33&lt;&gt;"",ISNUMBER(SEARCH(설정!$A$33,E861&amp;" "&amp;C861))),AND(설정!$A$34&lt;&gt;"",ISNUMBER(SEARCH(설정!$A$34,E861&amp;" "&amp;C861))),AND(설정!$A$35&lt;&gt;"",ISNUMBER(SEARCH(설정!$A$35,E861&amp;" "&amp;C861))),AND(설정!$A$36&lt;&gt;"",ISNUMBER(SEARCH(설정!$A$36,E861&amp;" "&amp;C861))),AND(설정!$A$37&lt;&gt;"",ISNUMBER(SEARCH(설정!$A$37,E861&amp;" "&amp;C861))))</f>
        <v/>
      </c>
      <c r="S861">
        <f>OR(D861="",D861&gt;=설정!$B$19)</f>
        <v/>
      </c>
      <c r="T861">
        <f>AND(Q861,R861,S861)</f>
        <v/>
      </c>
      <c r="U861">
        <f>IF(T861,IF(AND(설정!$A$41&lt;&gt;"",ISNUMBER(SEARCH(설정!$A$41,K861))),설정!$B$41,IF(AND(설정!$A$42&lt;&gt;"",ISNUMBER(SEARCH(설정!$A$42,K861))),설정!$B$42,IF(AND(설정!$A$43&lt;&gt;"",ISNUMBER(SEARCH(설정!$A$43,K861))),설정!$B$43,IF(AND(설정!$A$44&lt;&gt;"",ISNUMBER(SEARCH(설정!$A$44,K861))),설정!$B$44,IF(AND(설정!$A$45&lt;&gt;"",ISNUMBER(SEARCH(설정!$A$45,K861))),설정!$B$45,IF(AND(설정!$A$46&lt;&gt;"",ISNUMBER(SEARCH(설정!$A$46,K861))),설정!$B$46,IF(AND(설정!$A$47&lt;&gt;"",ISNUMBER(SEARCH(설정!$A$47,K861))),설정!$B$47,IF(AND(설정!$A$48&lt;&gt;"",ISNUMBER(SEARCH(설정!$A$48,K861))),설정!$B$48,IF(M861="","설계사","시공사"))))))))),"")</f>
        <v/>
      </c>
      <c r="V861">
        <f>SUBSTITUTE(SUBSTITUTE(SUBSTITUTE(SUBSTITUTE(G861,"(주)",""),"㈜",""),"주식회사","")," ","")</f>
        <v/>
      </c>
      <c r="W861">
        <f>IF(AND(T861,V861&lt;&gt;""),IF(COUNTIFS(V$2:V861,V861,T$2:T861,TRUE)=1,MAX(W$1:W860)+1,""),"")</f>
        <v/>
      </c>
      <c r="X861">
        <f>IFERROR(INDEX('1.산군_붙여넣기'!$A$1:$AZ$1001,ROW(),설정!$C$14)&amp;"","")</f>
        <v/>
      </c>
      <c r="Y861">
        <f>IFERROR(INDEX('1.산군_붙여넣기'!$A$1:$AZ$1001,ROW(),설정!$C$15)&amp;"","")</f>
        <v/>
      </c>
      <c r="Z861">
        <f>IF(T861,V861&amp;"|"&amp;U861,"")</f>
        <v/>
      </c>
    </row>
    <row r="862">
      <c r="A862">
        <f>ROW()</f>
        <v/>
      </c>
      <c r="B862">
        <f>IFERROR(INDEX('1.산군_붙여넣기'!$A$1:$AZ$1001,ROW(),설정!$C$4)&amp;"","")</f>
        <v/>
      </c>
      <c r="C862">
        <f>IFERROR(INDEX('1.산군_붙여넣기'!$A$1:$AZ$1001,ROW(),설정!$C$5)&amp;"","")</f>
        <v/>
      </c>
      <c r="D862" s="5">
        <f>IFERROR(VALUE(SUBSTITUTE(SUBSTITUTE(SUBSTITUTE(IFERROR(INDEX('1.산군_붙여넣기'!$A$1:$AZ$1001,ROW(),설정!$C$6)&amp;"",""),",",""),"㎡",""),"m2","")),"")</f>
        <v/>
      </c>
      <c r="E862">
        <f>IFERROR(INDEX('1.산군_붙여넣기'!$A$1:$AZ$1001,ROW(),설정!$C$7)&amp;"","")</f>
        <v/>
      </c>
      <c r="F862">
        <f>IFERROR(INDEX('1.산군_붙여넣기'!$A$1:$AZ$1001,ROW(),설정!$C$8)&amp;"","")</f>
        <v/>
      </c>
      <c r="G862">
        <f>IFERROR(INDEX('1.산군_붙여넣기'!$A$1:$AZ$1001,ROW(),설정!$C$9)&amp;"","")</f>
        <v/>
      </c>
      <c r="H862">
        <f>IFERROR(INDEX('1.산군_붙여넣기'!$A$1:$AZ$1001,ROW(),설정!$C$10)&amp;"","")</f>
        <v/>
      </c>
      <c r="I862">
        <f>IFERROR(INDEX('1.산군_붙여넣기'!$A$1:$AZ$1001,ROW(),설정!$C$11)&amp;"","")</f>
        <v/>
      </c>
      <c r="J862">
        <f>IFERROR(INDEX('1.산군_붙여넣기'!$A$1:$AZ$1001,ROW(),설정!$C$12)&amp;"","")</f>
        <v/>
      </c>
      <c r="K862">
        <f>IFERROR(INDEX('1.산군_붙여넣기'!$A$1:$AZ$1001,ROW(),설정!$C$13)&amp;"","")</f>
        <v/>
      </c>
      <c r="L862" s="6">
        <f>IF(X862="","",IF(AND(LEN(X862)=8,ISNUMBER(X862*1)),DATE(LEFT(X862,4),MID(X862,5,2),RIGHT(X862,2)),IFERROR(DATEVALUE(SUBSTITUTE(SUBSTITUTE(X862,".","-"),"/","-")),IFERROR(X862*1,""))))</f>
        <v/>
      </c>
      <c r="M862" s="6">
        <f>IF(Y862="","",IF(AND(LEN(Y862)=8,ISNUMBER(Y862*1)),DATE(LEFT(Y862,4),MID(Y862,5,2),RIGHT(Y862,2)),IFERROR(DATEVALUE(SUBSTITUTE(SUBSTITUTE(Y862,".","-"),"/","-")),IFERROR(Y862*1,""))))</f>
        <v/>
      </c>
      <c r="N862">
        <f>IFERROR(LEFT(B862,FIND(" ",B862)-1),B862)</f>
        <v/>
      </c>
      <c r="O862">
        <f>AND(B862&lt;&gt;"",B862&lt;&gt;설정!$B$4,C862&lt;&gt;설정!$B$5)</f>
        <v/>
      </c>
      <c r="P862">
        <f>IF(O862,B862&amp;"|"&amp;C862,"")</f>
        <v/>
      </c>
      <c r="Q862">
        <f>AND(O862,COUNTIF(P863:P$1002,P862)=0)</f>
        <v/>
      </c>
      <c r="R862">
        <f>OR(AND(설정!$A$28&lt;&gt;"",ISNUMBER(SEARCH(설정!$A$28,E862&amp;" "&amp;C862))),AND(설정!$A$29&lt;&gt;"",ISNUMBER(SEARCH(설정!$A$29,E862&amp;" "&amp;C862))),AND(설정!$A$30&lt;&gt;"",ISNUMBER(SEARCH(설정!$A$30,E862&amp;" "&amp;C862))),AND(설정!$A$31&lt;&gt;"",ISNUMBER(SEARCH(설정!$A$31,E862&amp;" "&amp;C862))),AND(설정!$A$32&lt;&gt;"",ISNUMBER(SEARCH(설정!$A$32,E862&amp;" "&amp;C862))),AND(설정!$A$33&lt;&gt;"",ISNUMBER(SEARCH(설정!$A$33,E862&amp;" "&amp;C862))),AND(설정!$A$34&lt;&gt;"",ISNUMBER(SEARCH(설정!$A$34,E862&amp;" "&amp;C862))),AND(설정!$A$35&lt;&gt;"",ISNUMBER(SEARCH(설정!$A$35,E862&amp;" "&amp;C862))),AND(설정!$A$36&lt;&gt;"",ISNUMBER(SEARCH(설정!$A$36,E862&amp;" "&amp;C862))),AND(설정!$A$37&lt;&gt;"",ISNUMBER(SEARCH(설정!$A$37,E862&amp;" "&amp;C862))))</f>
        <v/>
      </c>
      <c r="S862">
        <f>OR(D862="",D862&gt;=설정!$B$19)</f>
        <v/>
      </c>
      <c r="T862">
        <f>AND(Q862,R862,S862)</f>
        <v/>
      </c>
      <c r="U862">
        <f>IF(T862,IF(AND(설정!$A$41&lt;&gt;"",ISNUMBER(SEARCH(설정!$A$41,K862))),설정!$B$41,IF(AND(설정!$A$42&lt;&gt;"",ISNUMBER(SEARCH(설정!$A$42,K862))),설정!$B$42,IF(AND(설정!$A$43&lt;&gt;"",ISNUMBER(SEARCH(설정!$A$43,K862))),설정!$B$43,IF(AND(설정!$A$44&lt;&gt;"",ISNUMBER(SEARCH(설정!$A$44,K862))),설정!$B$44,IF(AND(설정!$A$45&lt;&gt;"",ISNUMBER(SEARCH(설정!$A$45,K862))),설정!$B$45,IF(AND(설정!$A$46&lt;&gt;"",ISNUMBER(SEARCH(설정!$A$46,K862))),설정!$B$46,IF(AND(설정!$A$47&lt;&gt;"",ISNUMBER(SEARCH(설정!$A$47,K862))),설정!$B$47,IF(AND(설정!$A$48&lt;&gt;"",ISNUMBER(SEARCH(설정!$A$48,K862))),설정!$B$48,IF(M862="","설계사","시공사"))))))))),"")</f>
        <v/>
      </c>
      <c r="V862">
        <f>SUBSTITUTE(SUBSTITUTE(SUBSTITUTE(SUBSTITUTE(G862,"(주)",""),"㈜",""),"주식회사","")," ","")</f>
        <v/>
      </c>
      <c r="W862">
        <f>IF(AND(T862,V862&lt;&gt;""),IF(COUNTIFS(V$2:V862,V862,T$2:T862,TRUE)=1,MAX(W$1:W861)+1,""),"")</f>
        <v/>
      </c>
      <c r="X862">
        <f>IFERROR(INDEX('1.산군_붙여넣기'!$A$1:$AZ$1001,ROW(),설정!$C$14)&amp;"","")</f>
        <v/>
      </c>
      <c r="Y862">
        <f>IFERROR(INDEX('1.산군_붙여넣기'!$A$1:$AZ$1001,ROW(),설정!$C$15)&amp;"","")</f>
        <v/>
      </c>
      <c r="Z862">
        <f>IF(T862,V862&amp;"|"&amp;U862,"")</f>
        <v/>
      </c>
    </row>
    <row r="863">
      <c r="A863">
        <f>ROW()</f>
        <v/>
      </c>
      <c r="B863">
        <f>IFERROR(INDEX('1.산군_붙여넣기'!$A$1:$AZ$1001,ROW(),설정!$C$4)&amp;"","")</f>
        <v/>
      </c>
      <c r="C863">
        <f>IFERROR(INDEX('1.산군_붙여넣기'!$A$1:$AZ$1001,ROW(),설정!$C$5)&amp;"","")</f>
        <v/>
      </c>
      <c r="D863" s="5">
        <f>IFERROR(VALUE(SUBSTITUTE(SUBSTITUTE(SUBSTITUTE(IFERROR(INDEX('1.산군_붙여넣기'!$A$1:$AZ$1001,ROW(),설정!$C$6)&amp;"",""),",",""),"㎡",""),"m2","")),"")</f>
        <v/>
      </c>
      <c r="E863">
        <f>IFERROR(INDEX('1.산군_붙여넣기'!$A$1:$AZ$1001,ROW(),설정!$C$7)&amp;"","")</f>
        <v/>
      </c>
      <c r="F863">
        <f>IFERROR(INDEX('1.산군_붙여넣기'!$A$1:$AZ$1001,ROW(),설정!$C$8)&amp;"","")</f>
        <v/>
      </c>
      <c r="G863">
        <f>IFERROR(INDEX('1.산군_붙여넣기'!$A$1:$AZ$1001,ROW(),설정!$C$9)&amp;"","")</f>
        <v/>
      </c>
      <c r="H863">
        <f>IFERROR(INDEX('1.산군_붙여넣기'!$A$1:$AZ$1001,ROW(),설정!$C$10)&amp;"","")</f>
        <v/>
      </c>
      <c r="I863">
        <f>IFERROR(INDEX('1.산군_붙여넣기'!$A$1:$AZ$1001,ROW(),설정!$C$11)&amp;"","")</f>
        <v/>
      </c>
      <c r="J863">
        <f>IFERROR(INDEX('1.산군_붙여넣기'!$A$1:$AZ$1001,ROW(),설정!$C$12)&amp;"","")</f>
        <v/>
      </c>
      <c r="K863">
        <f>IFERROR(INDEX('1.산군_붙여넣기'!$A$1:$AZ$1001,ROW(),설정!$C$13)&amp;"","")</f>
        <v/>
      </c>
      <c r="L863" s="6">
        <f>IF(X863="","",IF(AND(LEN(X863)=8,ISNUMBER(X863*1)),DATE(LEFT(X863,4),MID(X863,5,2),RIGHT(X863,2)),IFERROR(DATEVALUE(SUBSTITUTE(SUBSTITUTE(X863,".","-"),"/","-")),IFERROR(X863*1,""))))</f>
        <v/>
      </c>
      <c r="M863" s="6">
        <f>IF(Y863="","",IF(AND(LEN(Y863)=8,ISNUMBER(Y863*1)),DATE(LEFT(Y863,4),MID(Y863,5,2),RIGHT(Y863,2)),IFERROR(DATEVALUE(SUBSTITUTE(SUBSTITUTE(Y863,".","-"),"/","-")),IFERROR(Y863*1,""))))</f>
        <v/>
      </c>
      <c r="N863">
        <f>IFERROR(LEFT(B863,FIND(" ",B863)-1),B863)</f>
        <v/>
      </c>
      <c r="O863">
        <f>AND(B863&lt;&gt;"",B863&lt;&gt;설정!$B$4,C863&lt;&gt;설정!$B$5)</f>
        <v/>
      </c>
      <c r="P863">
        <f>IF(O863,B863&amp;"|"&amp;C863,"")</f>
        <v/>
      </c>
      <c r="Q863">
        <f>AND(O863,COUNTIF(P864:P$1002,P863)=0)</f>
        <v/>
      </c>
      <c r="R863">
        <f>OR(AND(설정!$A$28&lt;&gt;"",ISNUMBER(SEARCH(설정!$A$28,E863&amp;" "&amp;C863))),AND(설정!$A$29&lt;&gt;"",ISNUMBER(SEARCH(설정!$A$29,E863&amp;" "&amp;C863))),AND(설정!$A$30&lt;&gt;"",ISNUMBER(SEARCH(설정!$A$30,E863&amp;" "&amp;C863))),AND(설정!$A$31&lt;&gt;"",ISNUMBER(SEARCH(설정!$A$31,E863&amp;" "&amp;C863))),AND(설정!$A$32&lt;&gt;"",ISNUMBER(SEARCH(설정!$A$32,E863&amp;" "&amp;C863))),AND(설정!$A$33&lt;&gt;"",ISNUMBER(SEARCH(설정!$A$33,E863&amp;" "&amp;C863))),AND(설정!$A$34&lt;&gt;"",ISNUMBER(SEARCH(설정!$A$34,E863&amp;" "&amp;C863))),AND(설정!$A$35&lt;&gt;"",ISNUMBER(SEARCH(설정!$A$35,E863&amp;" "&amp;C863))),AND(설정!$A$36&lt;&gt;"",ISNUMBER(SEARCH(설정!$A$36,E863&amp;" "&amp;C863))),AND(설정!$A$37&lt;&gt;"",ISNUMBER(SEARCH(설정!$A$37,E863&amp;" "&amp;C863))))</f>
        <v/>
      </c>
      <c r="S863">
        <f>OR(D863="",D863&gt;=설정!$B$19)</f>
        <v/>
      </c>
      <c r="T863">
        <f>AND(Q863,R863,S863)</f>
        <v/>
      </c>
      <c r="U863">
        <f>IF(T863,IF(AND(설정!$A$41&lt;&gt;"",ISNUMBER(SEARCH(설정!$A$41,K863))),설정!$B$41,IF(AND(설정!$A$42&lt;&gt;"",ISNUMBER(SEARCH(설정!$A$42,K863))),설정!$B$42,IF(AND(설정!$A$43&lt;&gt;"",ISNUMBER(SEARCH(설정!$A$43,K863))),설정!$B$43,IF(AND(설정!$A$44&lt;&gt;"",ISNUMBER(SEARCH(설정!$A$44,K863))),설정!$B$44,IF(AND(설정!$A$45&lt;&gt;"",ISNUMBER(SEARCH(설정!$A$45,K863))),설정!$B$45,IF(AND(설정!$A$46&lt;&gt;"",ISNUMBER(SEARCH(설정!$A$46,K863))),설정!$B$46,IF(AND(설정!$A$47&lt;&gt;"",ISNUMBER(SEARCH(설정!$A$47,K863))),설정!$B$47,IF(AND(설정!$A$48&lt;&gt;"",ISNUMBER(SEARCH(설정!$A$48,K863))),설정!$B$48,IF(M863="","설계사","시공사"))))))))),"")</f>
        <v/>
      </c>
      <c r="V863">
        <f>SUBSTITUTE(SUBSTITUTE(SUBSTITUTE(SUBSTITUTE(G863,"(주)",""),"㈜",""),"주식회사","")," ","")</f>
        <v/>
      </c>
      <c r="W863">
        <f>IF(AND(T863,V863&lt;&gt;""),IF(COUNTIFS(V$2:V863,V863,T$2:T863,TRUE)=1,MAX(W$1:W862)+1,""),"")</f>
        <v/>
      </c>
      <c r="X863">
        <f>IFERROR(INDEX('1.산군_붙여넣기'!$A$1:$AZ$1001,ROW(),설정!$C$14)&amp;"","")</f>
        <v/>
      </c>
      <c r="Y863">
        <f>IFERROR(INDEX('1.산군_붙여넣기'!$A$1:$AZ$1001,ROW(),설정!$C$15)&amp;"","")</f>
        <v/>
      </c>
      <c r="Z863">
        <f>IF(T863,V863&amp;"|"&amp;U863,"")</f>
        <v/>
      </c>
    </row>
    <row r="864">
      <c r="A864">
        <f>ROW()</f>
        <v/>
      </c>
      <c r="B864">
        <f>IFERROR(INDEX('1.산군_붙여넣기'!$A$1:$AZ$1001,ROW(),설정!$C$4)&amp;"","")</f>
        <v/>
      </c>
      <c r="C864">
        <f>IFERROR(INDEX('1.산군_붙여넣기'!$A$1:$AZ$1001,ROW(),설정!$C$5)&amp;"","")</f>
        <v/>
      </c>
      <c r="D864" s="5">
        <f>IFERROR(VALUE(SUBSTITUTE(SUBSTITUTE(SUBSTITUTE(IFERROR(INDEX('1.산군_붙여넣기'!$A$1:$AZ$1001,ROW(),설정!$C$6)&amp;"",""),",",""),"㎡",""),"m2","")),"")</f>
        <v/>
      </c>
      <c r="E864">
        <f>IFERROR(INDEX('1.산군_붙여넣기'!$A$1:$AZ$1001,ROW(),설정!$C$7)&amp;"","")</f>
        <v/>
      </c>
      <c r="F864">
        <f>IFERROR(INDEX('1.산군_붙여넣기'!$A$1:$AZ$1001,ROW(),설정!$C$8)&amp;"","")</f>
        <v/>
      </c>
      <c r="G864">
        <f>IFERROR(INDEX('1.산군_붙여넣기'!$A$1:$AZ$1001,ROW(),설정!$C$9)&amp;"","")</f>
        <v/>
      </c>
      <c r="H864">
        <f>IFERROR(INDEX('1.산군_붙여넣기'!$A$1:$AZ$1001,ROW(),설정!$C$10)&amp;"","")</f>
        <v/>
      </c>
      <c r="I864">
        <f>IFERROR(INDEX('1.산군_붙여넣기'!$A$1:$AZ$1001,ROW(),설정!$C$11)&amp;"","")</f>
        <v/>
      </c>
      <c r="J864">
        <f>IFERROR(INDEX('1.산군_붙여넣기'!$A$1:$AZ$1001,ROW(),설정!$C$12)&amp;"","")</f>
        <v/>
      </c>
      <c r="K864">
        <f>IFERROR(INDEX('1.산군_붙여넣기'!$A$1:$AZ$1001,ROW(),설정!$C$13)&amp;"","")</f>
        <v/>
      </c>
      <c r="L864" s="6">
        <f>IF(X864="","",IF(AND(LEN(X864)=8,ISNUMBER(X864*1)),DATE(LEFT(X864,4),MID(X864,5,2),RIGHT(X864,2)),IFERROR(DATEVALUE(SUBSTITUTE(SUBSTITUTE(X864,".","-"),"/","-")),IFERROR(X864*1,""))))</f>
        <v/>
      </c>
      <c r="M864" s="6">
        <f>IF(Y864="","",IF(AND(LEN(Y864)=8,ISNUMBER(Y864*1)),DATE(LEFT(Y864,4),MID(Y864,5,2),RIGHT(Y864,2)),IFERROR(DATEVALUE(SUBSTITUTE(SUBSTITUTE(Y864,".","-"),"/","-")),IFERROR(Y864*1,""))))</f>
        <v/>
      </c>
      <c r="N864">
        <f>IFERROR(LEFT(B864,FIND(" ",B864)-1),B864)</f>
        <v/>
      </c>
      <c r="O864">
        <f>AND(B864&lt;&gt;"",B864&lt;&gt;설정!$B$4,C864&lt;&gt;설정!$B$5)</f>
        <v/>
      </c>
      <c r="P864">
        <f>IF(O864,B864&amp;"|"&amp;C864,"")</f>
        <v/>
      </c>
      <c r="Q864">
        <f>AND(O864,COUNTIF(P865:P$1002,P864)=0)</f>
        <v/>
      </c>
      <c r="R864">
        <f>OR(AND(설정!$A$28&lt;&gt;"",ISNUMBER(SEARCH(설정!$A$28,E864&amp;" "&amp;C864))),AND(설정!$A$29&lt;&gt;"",ISNUMBER(SEARCH(설정!$A$29,E864&amp;" "&amp;C864))),AND(설정!$A$30&lt;&gt;"",ISNUMBER(SEARCH(설정!$A$30,E864&amp;" "&amp;C864))),AND(설정!$A$31&lt;&gt;"",ISNUMBER(SEARCH(설정!$A$31,E864&amp;" "&amp;C864))),AND(설정!$A$32&lt;&gt;"",ISNUMBER(SEARCH(설정!$A$32,E864&amp;" "&amp;C864))),AND(설정!$A$33&lt;&gt;"",ISNUMBER(SEARCH(설정!$A$33,E864&amp;" "&amp;C864))),AND(설정!$A$34&lt;&gt;"",ISNUMBER(SEARCH(설정!$A$34,E864&amp;" "&amp;C864))),AND(설정!$A$35&lt;&gt;"",ISNUMBER(SEARCH(설정!$A$35,E864&amp;" "&amp;C864))),AND(설정!$A$36&lt;&gt;"",ISNUMBER(SEARCH(설정!$A$36,E864&amp;" "&amp;C864))),AND(설정!$A$37&lt;&gt;"",ISNUMBER(SEARCH(설정!$A$37,E864&amp;" "&amp;C864))))</f>
        <v/>
      </c>
      <c r="S864">
        <f>OR(D864="",D864&gt;=설정!$B$19)</f>
        <v/>
      </c>
      <c r="T864">
        <f>AND(Q864,R864,S864)</f>
        <v/>
      </c>
      <c r="U864">
        <f>IF(T864,IF(AND(설정!$A$41&lt;&gt;"",ISNUMBER(SEARCH(설정!$A$41,K864))),설정!$B$41,IF(AND(설정!$A$42&lt;&gt;"",ISNUMBER(SEARCH(설정!$A$42,K864))),설정!$B$42,IF(AND(설정!$A$43&lt;&gt;"",ISNUMBER(SEARCH(설정!$A$43,K864))),설정!$B$43,IF(AND(설정!$A$44&lt;&gt;"",ISNUMBER(SEARCH(설정!$A$44,K864))),설정!$B$44,IF(AND(설정!$A$45&lt;&gt;"",ISNUMBER(SEARCH(설정!$A$45,K864))),설정!$B$45,IF(AND(설정!$A$46&lt;&gt;"",ISNUMBER(SEARCH(설정!$A$46,K864))),설정!$B$46,IF(AND(설정!$A$47&lt;&gt;"",ISNUMBER(SEARCH(설정!$A$47,K864))),설정!$B$47,IF(AND(설정!$A$48&lt;&gt;"",ISNUMBER(SEARCH(설정!$A$48,K864))),설정!$B$48,IF(M864="","설계사","시공사"))))))))),"")</f>
        <v/>
      </c>
      <c r="V864">
        <f>SUBSTITUTE(SUBSTITUTE(SUBSTITUTE(SUBSTITUTE(G864,"(주)",""),"㈜",""),"주식회사","")," ","")</f>
        <v/>
      </c>
      <c r="W864">
        <f>IF(AND(T864,V864&lt;&gt;""),IF(COUNTIFS(V$2:V864,V864,T$2:T864,TRUE)=1,MAX(W$1:W863)+1,""),"")</f>
        <v/>
      </c>
      <c r="X864">
        <f>IFERROR(INDEX('1.산군_붙여넣기'!$A$1:$AZ$1001,ROW(),설정!$C$14)&amp;"","")</f>
        <v/>
      </c>
      <c r="Y864">
        <f>IFERROR(INDEX('1.산군_붙여넣기'!$A$1:$AZ$1001,ROW(),설정!$C$15)&amp;"","")</f>
        <v/>
      </c>
      <c r="Z864">
        <f>IF(T864,V864&amp;"|"&amp;U864,"")</f>
        <v/>
      </c>
    </row>
    <row r="865">
      <c r="A865">
        <f>ROW()</f>
        <v/>
      </c>
      <c r="B865">
        <f>IFERROR(INDEX('1.산군_붙여넣기'!$A$1:$AZ$1001,ROW(),설정!$C$4)&amp;"","")</f>
        <v/>
      </c>
      <c r="C865">
        <f>IFERROR(INDEX('1.산군_붙여넣기'!$A$1:$AZ$1001,ROW(),설정!$C$5)&amp;"","")</f>
        <v/>
      </c>
      <c r="D865" s="5">
        <f>IFERROR(VALUE(SUBSTITUTE(SUBSTITUTE(SUBSTITUTE(IFERROR(INDEX('1.산군_붙여넣기'!$A$1:$AZ$1001,ROW(),설정!$C$6)&amp;"",""),",",""),"㎡",""),"m2","")),"")</f>
        <v/>
      </c>
      <c r="E865">
        <f>IFERROR(INDEX('1.산군_붙여넣기'!$A$1:$AZ$1001,ROW(),설정!$C$7)&amp;"","")</f>
        <v/>
      </c>
      <c r="F865">
        <f>IFERROR(INDEX('1.산군_붙여넣기'!$A$1:$AZ$1001,ROW(),설정!$C$8)&amp;"","")</f>
        <v/>
      </c>
      <c r="G865">
        <f>IFERROR(INDEX('1.산군_붙여넣기'!$A$1:$AZ$1001,ROW(),설정!$C$9)&amp;"","")</f>
        <v/>
      </c>
      <c r="H865">
        <f>IFERROR(INDEX('1.산군_붙여넣기'!$A$1:$AZ$1001,ROW(),설정!$C$10)&amp;"","")</f>
        <v/>
      </c>
      <c r="I865">
        <f>IFERROR(INDEX('1.산군_붙여넣기'!$A$1:$AZ$1001,ROW(),설정!$C$11)&amp;"","")</f>
        <v/>
      </c>
      <c r="J865">
        <f>IFERROR(INDEX('1.산군_붙여넣기'!$A$1:$AZ$1001,ROW(),설정!$C$12)&amp;"","")</f>
        <v/>
      </c>
      <c r="K865">
        <f>IFERROR(INDEX('1.산군_붙여넣기'!$A$1:$AZ$1001,ROW(),설정!$C$13)&amp;"","")</f>
        <v/>
      </c>
      <c r="L865" s="6">
        <f>IF(X865="","",IF(AND(LEN(X865)=8,ISNUMBER(X865*1)),DATE(LEFT(X865,4),MID(X865,5,2),RIGHT(X865,2)),IFERROR(DATEVALUE(SUBSTITUTE(SUBSTITUTE(X865,".","-"),"/","-")),IFERROR(X865*1,""))))</f>
        <v/>
      </c>
      <c r="M865" s="6">
        <f>IF(Y865="","",IF(AND(LEN(Y865)=8,ISNUMBER(Y865*1)),DATE(LEFT(Y865,4),MID(Y865,5,2),RIGHT(Y865,2)),IFERROR(DATEVALUE(SUBSTITUTE(SUBSTITUTE(Y865,".","-"),"/","-")),IFERROR(Y865*1,""))))</f>
        <v/>
      </c>
      <c r="N865">
        <f>IFERROR(LEFT(B865,FIND(" ",B865)-1),B865)</f>
        <v/>
      </c>
      <c r="O865">
        <f>AND(B865&lt;&gt;"",B865&lt;&gt;설정!$B$4,C865&lt;&gt;설정!$B$5)</f>
        <v/>
      </c>
      <c r="P865">
        <f>IF(O865,B865&amp;"|"&amp;C865,"")</f>
        <v/>
      </c>
      <c r="Q865">
        <f>AND(O865,COUNTIF(P866:P$1002,P865)=0)</f>
        <v/>
      </c>
      <c r="R865">
        <f>OR(AND(설정!$A$28&lt;&gt;"",ISNUMBER(SEARCH(설정!$A$28,E865&amp;" "&amp;C865))),AND(설정!$A$29&lt;&gt;"",ISNUMBER(SEARCH(설정!$A$29,E865&amp;" "&amp;C865))),AND(설정!$A$30&lt;&gt;"",ISNUMBER(SEARCH(설정!$A$30,E865&amp;" "&amp;C865))),AND(설정!$A$31&lt;&gt;"",ISNUMBER(SEARCH(설정!$A$31,E865&amp;" "&amp;C865))),AND(설정!$A$32&lt;&gt;"",ISNUMBER(SEARCH(설정!$A$32,E865&amp;" "&amp;C865))),AND(설정!$A$33&lt;&gt;"",ISNUMBER(SEARCH(설정!$A$33,E865&amp;" "&amp;C865))),AND(설정!$A$34&lt;&gt;"",ISNUMBER(SEARCH(설정!$A$34,E865&amp;" "&amp;C865))),AND(설정!$A$35&lt;&gt;"",ISNUMBER(SEARCH(설정!$A$35,E865&amp;" "&amp;C865))),AND(설정!$A$36&lt;&gt;"",ISNUMBER(SEARCH(설정!$A$36,E865&amp;" "&amp;C865))),AND(설정!$A$37&lt;&gt;"",ISNUMBER(SEARCH(설정!$A$37,E865&amp;" "&amp;C865))))</f>
        <v/>
      </c>
      <c r="S865">
        <f>OR(D865="",D865&gt;=설정!$B$19)</f>
        <v/>
      </c>
      <c r="T865">
        <f>AND(Q865,R865,S865)</f>
        <v/>
      </c>
      <c r="U865">
        <f>IF(T865,IF(AND(설정!$A$41&lt;&gt;"",ISNUMBER(SEARCH(설정!$A$41,K865))),설정!$B$41,IF(AND(설정!$A$42&lt;&gt;"",ISNUMBER(SEARCH(설정!$A$42,K865))),설정!$B$42,IF(AND(설정!$A$43&lt;&gt;"",ISNUMBER(SEARCH(설정!$A$43,K865))),설정!$B$43,IF(AND(설정!$A$44&lt;&gt;"",ISNUMBER(SEARCH(설정!$A$44,K865))),설정!$B$44,IF(AND(설정!$A$45&lt;&gt;"",ISNUMBER(SEARCH(설정!$A$45,K865))),설정!$B$45,IF(AND(설정!$A$46&lt;&gt;"",ISNUMBER(SEARCH(설정!$A$46,K865))),설정!$B$46,IF(AND(설정!$A$47&lt;&gt;"",ISNUMBER(SEARCH(설정!$A$47,K865))),설정!$B$47,IF(AND(설정!$A$48&lt;&gt;"",ISNUMBER(SEARCH(설정!$A$48,K865))),설정!$B$48,IF(M865="","설계사","시공사"))))))))),"")</f>
        <v/>
      </c>
      <c r="V865">
        <f>SUBSTITUTE(SUBSTITUTE(SUBSTITUTE(SUBSTITUTE(G865,"(주)",""),"㈜",""),"주식회사","")," ","")</f>
        <v/>
      </c>
      <c r="W865">
        <f>IF(AND(T865,V865&lt;&gt;""),IF(COUNTIFS(V$2:V865,V865,T$2:T865,TRUE)=1,MAX(W$1:W864)+1,""),"")</f>
        <v/>
      </c>
      <c r="X865">
        <f>IFERROR(INDEX('1.산군_붙여넣기'!$A$1:$AZ$1001,ROW(),설정!$C$14)&amp;"","")</f>
        <v/>
      </c>
      <c r="Y865">
        <f>IFERROR(INDEX('1.산군_붙여넣기'!$A$1:$AZ$1001,ROW(),설정!$C$15)&amp;"","")</f>
        <v/>
      </c>
      <c r="Z865">
        <f>IF(T865,V865&amp;"|"&amp;U865,"")</f>
        <v/>
      </c>
    </row>
    <row r="866">
      <c r="A866">
        <f>ROW()</f>
        <v/>
      </c>
      <c r="B866">
        <f>IFERROR(INDEX('1.산군_붙여넣기'!$A$1:$AZ$1001,ROW(),설정!$C$4)&amp;"","")</f>
        <v/>
      </c>
      <c r="C866">
        <f>IFERROR(INDEX('1.산군_붙여넣기'!$A$1:$AZ$1001,ROW(),설정!$C$5)&amp;"","")</f>
        <v/>
      </c>
      <c r="D866" s="5">
        <f>IFERROR(VALUE(SUBSTITUTE(SUBSTITUTE(SUBSTITUTE(IFERROR(INDEX('1.산군_붙여넣기'!$A$1:$AZ$1001,ROW(),설정!$C$6)&amp;"",""),",",""),"㎡",""),"m2","")),"")</f>
        <v/>
      </c>
      <c r="E866">
        <f>IFERROR(INDEX('1.산군_붙여넣기'!$A$1:$AZ$1001,ROW(),설정!$C$7)&amp;"","")</f>
        <v/>
      </c>
      <c r="F866">
        <f>IFERROR(INDEX('1.산군_붙여넣기'!$A$1:$AZ$1001,ROW(),설정!$C$8)&amp;"","")</f>
        <v/>
      </c>
      <c r="G866">
        <f>IFERROR(INDEX('1.산군_붙여넣기'!$A$1:$AZ$1001,ROW(),설정!$C$9)&amp;"","")</f>
        <v/>
      </c>
      <c r="H866">
        <f>IFERROR(INDEX('1.산군_붙여넣기'!$A$1:$AZ$1001,ROW(),설정!$C$10)&amp;"","")</f>
        <v/>
      </c>
      <c r="I866">
        <f>IFERROR(INDEX('1.산군_붙여넣기'!$A$1:$AZ$1001,ROW(),설정!$C$11)&amp;"","")</f>
        <v/>
      </c>
      <c r="J866">
        <f>IFERROR(INDEX('1.산군_붙여넣기'!$A$1:$AZ$1001,ROW(),설정!$C$12)&amp;"","")</f>
        <v/>
      </c>
      <c r="K866">
        <f>IFERROR(INDEX('1.산군_붙여넣기'!$A$1:$AZ$1001,ROW(),설정!$C$13)&amp;"","")</f>
        <v/>
      </c>
      <c r="L866" s="6">
        <f>IF(X866="","",IF(AND(LEN(X866)=8,ISNUMBER(X866*1)),DATE(LEFT(X866,4),MID(X866,5,2),RIGHT(X866,2)),IFERROR(DATEVALUE(SUBSTITUTE(SUBSTITUTE(X866,".","-"),"/","-")),IFERROR(X866*1,""))))</f>
        <v/>
      </c>
      <c r="M866" s="6">
        <f>IF(Y866="","",IF(AND(LEN(Y866)=8,ISNUMBER(Y866*1)),DATE(LEFT(Y866,4),MID(Y866,5,2),RIGHT(Y866,2)),IFERROR(DATEVALUE(SUBSTITUTE(SUBSTITUTE(Y866,".","-"),"/","-")),IFERROR(Y866*1,""))))</f>
        <v/>
      </c>
      <c r="N866">
        <f>IFERROR(LEFT(B866,FIND(" ",B866)-1),B866)</f>
        <v/>
      </c>
      <c r="O866">
        <f>AND(B866&lt;&gt;"",B866&lt;&gt;설정!$B$4,C866&lt;&gt;설정!$B$5)</f>
        <v/>
      </c>
      <c r="P866">
        <f>IF(O866,B866&amp;"|"&amp;C866,"")</f>
        <v/>
      </c>
      <c r="Q866">
        <f>AND(O866,COUNTIF(P867:P$1002,P866)=0)</f>
        <v/>
      </c>
      <c r="R866">
        <f>OR(AND(설정!$A$28&lt;&gt;"",ISNUMBER(SEARCH(설정!$A$28,E866&amp;" "&amp;C866))),AND(설정!$A$29&lt;&gt;"",ISNUMBER(SEARCH(설정!$A$29,E866&amp;" "&amp;C866))),AND(설정!$A$30&lt;&gt;"",ISNUMBER(SEARCH(설정!$A$30,E866&amp;" "&amp;C866))),AND(설정!$A$31&lt;&gt;"",ISNUMBER(SEARCH(설정!$A$31,E866&amp;" "&amp;C866))),AND(설정!$A$32&lt;&gt;"",ISNUMBER(SEARCH(설정!$A$32,E866&amp;" "&amp;C866))),AND(설정!$A$33&lt;&gt;"",ISNUMBER(SEARCH(설정!$A$33,E866&amp;" "&amp;C866))),AND(설정!$A$34&lt;&gt;"",ISNUMBER(SEARCH(설정!$A$34,E866&amp;" "&amp;C866))),AND(설정!$A$35&lt;&gt;"",ISNUMBER(SEARCH(설정!$A$35,E866&amp;" "&amp;C866))),AND(설정!$A$36&lt;&gt;"",ISNUMBER(SEARCH(설정!$A$36,E866&amp;" "&amp;C866))),AND(설정!$A$37&lt;&gt;"",ISNUMBER(SEARCH(설정!$A$37,E866&amp;" "&amp;C866))))</f>
        <v/>
      </c>
      <c r="S866">
        <f>OR(D866="",D866&gt;=설정!$B$19)</f>
        <v/>
      </c>
      <c r="T866">
        <f>AND(Q866,R866,S866)</f>
        <v/>
      </c>
      <c r="U866">
        <f>IF(T866,IF(AND(설정!$A$41&lt;&gt;"",ISNUMBER(SEARCH(설정!$A$41,K866))),설정!$B$41,IF(AND(설정!$A$42&lt;&gt;"",ISNUMBER(SEARCH(설정!$A$42,K866))),설정!$B$42,IF(AND(설정!$A$43&lt;&gt;"",ISNUMBER(SEARCH(설정!$A$43,K866))),설정!$B$43,IF(AND(설정!$A$44&lt;&gt;"",ISNUMBER(SEARCH(설정!$A$44,K866))),설정!$B$44,IF(AND(설정!$A$45&lt;&gt;"",ISNUMBER(SEARCH(설정!$A$45,K866))),설정!$B$45,IF(AND(설정!$A$46&lt;&gt;"",ISNUMBER(SEARCH(설정!$A$46,K866))),설정!$B$46,IF(AND(설정!$A$47&lt;&gt;"",ISNUMBER(SEARCH(설정!$A$47,K866))),설정!$B$47,IF(AND(설정!$A$48&lt;&gt;"",ISNUMBER(SEARCH(설정!$A$48,K866))),설정!$B$48,IF(M866="","설계사","시공사"))))))))),"")</f>
        <v/>
      </c>
      <c r="V866">
        <f>SUBSTITUTE(SUBSTITUTE(SUBSTITUTE(SUBSTITUTE(G866,"(주)",""),"㈜",""),"주식회사","")," ","")</f>
        <v/>
      </c>
      <c r="W866">
        <f>IF(AND(T866,V866&lt;&gt;""),IF(COUNTIFS(V$2:V866,V866,T$2:T866,TRUE)=1,MAX(W$1:W865)+1,""),"")</f>
        <v/>
      </c>
      <c r="X866">
        <f>IFERROR(INDEX('1.산군_붙여넣기'!$A$1:$AZ$1001,ROW(),설정!$C$14)&amp;"","")</f>
        <v/>
      </c>
      <c r="Y866">
        <f>IFERROR(INDEX('1.산군_붙여넣기'!$A$1:$AZ$1001,ROW(),설정!$C$15)&amp;"","")</f>
        <v/>
      </c>
      <c r="Z866">
        <f>IF(T866,V866&amp;"|"&amp;U866,"")</f>
        <v/>
      </c>
    </row>
    <row r="867">
      <c r="A867">
        <f>ROW()</f>
        <v/>
      </c>
      <c r="B867">
        <f>IFERROR(INDEX('1.산군_붙여넣기'!$A$1:$AZ$1001,ROW(),설정!$C$4)&amp;"","")</f>
        <v/>
      </c>
      <c r="C867">
        <f>IFERROR(INDEX('1.산군_붙여넣기'!$A$1:$AZ$1001,ROW(),설정!$C$5)&amp;"","")</f>
        <v/>
      </c>
      <c r="D867" s="5">
        <f>IFERROR(VALUE(SUBSTITUTE(SUBSTITUTE(SUBSTITUTE(IFERROR(INDEX('1.산군_붙여넣기'!$A$1:$AZ$1001,ROW(),설정!$C$6)&amp;"",""),",",""),"㎡",""),"m2","")),"")</f>
        <v/>
      </c>
      <c r="E867">
        <f>IFERROR(INDEX('1.산군_붙여넣기'!$A$1:$AZ$1001,ROW(),설정!$C$7)&amp;"","")</f>
        <v/>
      </c>
      <c r="F867">
        <f>IFERROR(INDEX('1.산군_붙여넣기'!$A$1:$AZ$1001,ROW(),설정!$C$8)&amp;"","")</f>
        <v/>
      </c>
      <c r="G867">
        <f>IFERROR(INDEX('1.산군_붙여넣기'!$A$1:$AZ$1001,ROW(),설정!$C$9)&amp;"","")</f>
        <v/>
      </c>
      <c r="H867">
        <f>IFERROR(INDEX('1.산군_붙여넣기'!$A$1:$AZ$1001,ROW(),설정!$C$10)&amp;"","")</f>
        <v/>
      </c>
      <c r="I867">
        <f>IFERROR(INDEX('1.산군_붙여넣기'!$A$1:$AZ$1001,ROW(),설정!$C$11)&amp;"","")</f>
        <v/>
      </c>
      <c r="J867">
        <f>IFERROR(INDEX('1.산군_붙여넣기'!$A$1:$AZ$1001,ROW(),설정!$C$12)&amp;"","")</f>
        <v/>
      </c>
      <c r="K867">
        <f>IFERROR(INDEX('1.산군_붙여넣기'!$A$1:$AZ$1001,ROW(),설정!$C$13)&amp;"","")</f>
        <v/>
      </c>
      <c r="L867" s="6">
        <f>IF(X867="","",IF(AND(LEN(X867)=8,ISNUMBER(X867*1)),DATE(LEFT(X867,4),MID(X867,5,2),RIGHT(X867,2)),IFERROR(DATEVALUE(SUBSTITUTE(SUBSTITUTE(X867,".","-"),"/","-")),IFERROR(X867*1,""))))</f>
        <v/>
      </c>
      <c r="M867" s="6">
        <f>IF(Y867="","",IF(AND(LEN(Y867)=8,ISNUMBER(Y867*1)),DATE(LEFT(Y867,4),MID(Y867,5,2),RIGHT(Y867,2)),IFERROR(DATEVALUE(SUBSTITUTE(SUBSTITUTE(Y867,".","-"),"/","-")),IFERROR(Y867*1,""))))</f>
        <v/>
      </c>
      <c r="N867">
        <f>IFERROR(LEFT(B867,FIND(" ",B867)-1),B867)</f>
        <v/>
      </c>
      <c r="O867">
        <f>AND(B867&lt;&gt;"",B867&lt;&gt;설정!$B$4,C867&lt;&gt;설정!$B$5)</f>
        <v/>
      </c>
      <c r="P867">
        <f>IF(O867,B867&amp;"|"&amp;C867,"")</f>
        <v/>
      </c>
      <c r="Q867">
        <f>AND(O867,COUNTIF(P868:P$1002,P867)=0)</f>
        <v/>
      </c>
      <c r="R867">
        <f>OR(AND(설정!$A$28&lt;&gt;"",ISNUMBER(SEARCH(설정!$A$28,E867&amp;" "&amp;C867))),AND(설정!$A$29&lt;&gt;"",ISNUMBER(SEARCH(설정!$A$29,E867&amp;" "&amp;C867))),AND(설정!$A$30&lt;&gt;"",ISNUMBER(SEARCH(설정!$A$30,E867&amp;" "&amp;C867))),AND(설정!$A$31&lt;&gt;"",ISNUMBER(SEARCH(설정!$A$31,E867&amp;" "&amp;C867))),AND(설정!$A$32&lt;&gt;"",ISNUMBER(SEARCH(설정!$A$32,E867&amp;" "&amp;C867))),AND(설정!$A$33&lt;&gt;"",ISNUMBER(SEARCH(설정!$A$33,E867&amp;" "&amp;C867))),AND(설정!$A$34&lt;&gt;"",ISNUMBER(SEARCH(설정!$A$34,E867&amp;" "&amp;C867))),AND(설정!$A$35&lt;&gt;"",ISNUMBER(SEARCH(설정!$A$35,E867&amp;" "&amp;C867))),AND(설정!$A$36&lt;&gt;"",ISNUMBER(SEARCH(설정!$A$36,E867&amp;" "&amp;C867))),AND(설정!$A$37&lt;&gt;"",ISNUMBER(SEARCH(설정!$A$37,E867&amp;" "&amp;C867))))</f>
        <v/>
      </c>
      <c r="S867">
        <f>OR(D867="",D867&gt;=설정!$B$19)</f>
        <v/>
      </c>
      <c r="T867">
        <f>AND(Q867,R867,S867)</f>
        <v/>
      </c>
      <c r="U867">
        <f>IF(T867,IF(AND(설정!$A$41&lt;&gt;"",ISNUMBER(SEARCH(설정!$A$41,K867))),설정!$B$41,IF(AND(설정!$A$42&lt;&gt;"",ISNUMBER(SEARCH(설정!$A$42,K867))),설정!$B$42,IF(AND(설정!$A$43&lt;&gt;"",ISNUMBER(SEARCH(설정!$A$43,K867))),설정!$B$43,IF(AND(설정!$A$44&lt;&gt;"",ISNUMBER(SEARCH(설정!$A$44,K867))),설정!$B$44,IF(AND(설정!$A$45&lt;&gt;"",ISNUMBER(SEARCH(설정!$A$45,K867))),설정!$B$45,IF(AND(설정!$A$46&lt;&gt;"",ISNUMBER(SEARCH(설정!$A$46,K867))),설정!$B$46,IF(AND(설정!$A$47&lt;&gt;"",ISNUMBER(SEARCH(설정!$A$47,K867))),설정!$B$47,IF(AND(설정!$A$48&lt;&gt;"",ISNUMBER(SEARCH(설정!$A$48,K867))),설정!$B$48,IF(M867="","설계사","시공사"))))))))),"")</f>
        <v/>
      </c>
      <c r="V867">
        <f>SUBSTITUTE(SUBSTITUTE(SUBSTITUTE(SUBSTITUTE(G867,"(주)",""),"㈜",""),"주식회사","")," ","")</f>
        <v/>
      </c>
      <c r="W867">
        <f>IF(AND(T867,V867&lt;&gt;""),IF(COUNTIFS(V$2:V867,V867,T$2:T867,TRUE)=1,MAX(W$1:W866)+1,""),"")</f>
        <v/>
      </c>
      <c r="X867">
        <f>IFERROR(INDEX('1.산군_붙여넣기'!$A$1:$AZ$1001,ROW(),설정!$C$14)&amp;"","")</f>
        <v/>
      </c>
      <c r="Y867">
        <f>IFERROR(INDEX('1.산군_붙여넣기'!$A$1:$AZ$1001,ROW(),설정!$C$15)&amp;"","")</f>
        <v/>
      </c>
      <c r="Z867">
        <f>IF(T867,V867&amp;"|"&amp;U867,"")</f>
        <v/>
      </c>
    </row>
    <row r="868">
      <c r="A868">
        <f>ROW()</f>
        <v/>
      </c>
      <c r="B868">
        <f>IFERROR(INDEX('1.산군_붙여넣기'!$A$1:$AZ$1001,ROW(),설정!$C$4)&amp;"","")</f>
        <v/>
      </c>
      <c r="C868">
        <f>IFERROR(INDEX('1.산군_붙여넣기'!$A$1:$AZ$1001,ROW(),설정!$C$5)&amp;"","")</f>
        <v/>
      </c>
      <c r="D868" s="5">
        <f>IFERROR(VALUE(SUBSTITUTE(SUBSTITUTE(SUBSTITUTE(IFERROR(INDEX('1.산군_붙여넣기'!$A$1:$AZ$1001,ROW(),설정!$C$6)&amp;"",""),",",""),"㎡",""),"m2","")),"")</f>
        <v/>
      </c>
      <c r="E868">
        <f>IFERROR(INDEX('1.산군_붙여넣기'!$A$1:$AZ$1001,ROW(),설정!$C$7)&amp;"","")</f>
        <v/>
      </c>
      <c r="F868">
        <f>IFERROR(INDEX('1.산군_붙여넣기'!$A$1:$AZ$1001,ROW(),설정!$C$8)&amp;"","")</f>
        <v/>
      </c>
      <c r="G868">
        <f>IFERROR(INDEX('1.산군_붙여넣기'!$A$1:$AZ$1001,ROW(),설정!$C$9)&amp;"","")</f>
        <v/>
      </c>
      <c r="H868">
        <f>IFERROR(INDEX('1.산군_붙여넣기'!$A$1:$AZ$1001,ROW(),설정!$C$10)&amp;"","")</f>
        <v/>
      </c>
      <c r="I868">
        <f>IFERROR(INDEX('1.산군_붙여넣기'!$A$1:$AZ$1001,ROW(),설정!$C$11)&amp;"","")</f>
        <v/>
      </c>
      <c r="J868">
        <f>IFERROR(INDEX('1.산군_붙여넣기'!$A$1:$AZ$1001,ROW(),설정!$C$12)&amp;"","")</f>
        <v/>
      </c>
      <c r="K868">
        <f>IFERROR(INDEX('1.산군_붙여넣기'!$A$1:$AZ$1001,ROW(),설정!$C$13)&amp;"","")</f>
        <v/>
      </c>
      <c r="L868" s="6">
        <f>IF(X868="","",IF(AND(LEN(X868)=8,ISNUMBER(X868*1)),DATE(LEFT(X868,4),MID(X868,5,2),RIGHT(X868,2)),IFERROR(DATEVALUE(SUBSTITUTE(SUBSTITUTE(X868,".","-"),"/","-")),IFERROR(X868*1,""))))</f>
        <v/>
      </c>
      <c r="M868" s="6">
        <f>IF(Y868="","",IF(AND(LEN(Y868)=8,ISNUMBER(Y868*1)),DATE(LEFT(Y868,4),MID(Y868,5,2),RIGHT(Y868,2)),IFERROR(DATEVALUE(SUBSTITUTE(SUBSTITUTE(Y868,".","-"),"/","-")),IFERROR(Y868*1,""))))</f>
        <v/>
      </c>
      <c r="N868">
        <f>IFERROR(LEFT(B868,FIND(" ",B868)-1),B868)</f>
        <v/>
      </c>
      <c r="O868">
        <f>AND(B868&lt;&gt;"",B868&lt;&gt;설정!$B$4,C868&lt;&gt;설정!$B$5)</f>
        <v/>
      </c>
      <c r="P868">
        <f>IF(O868,B868&amp;"|"&amp;C868,"")</f>
        <v/>
      </c>
      <c r="Q868">
        <f>AND(O868,COUNTIF(P869:P$1002,P868)=0)</f>
        <v/>
      </c>
      <c r="R868">
        <f>OR(AND(설정!$A$28&lt;&gt;"",ISNUMBER(SEARCH(설정!$A$28,E868&amp;" "&amp;C868))),AND(설정!$A$29&lt;&gt;"",ISNUMBER(SEARCH(설정!$A$29,E868&amp;" "&amp;C868))),AND(설정!$A$30&lt;&gt;"",ISNUMBER(SEARCH(설정!$A$30,E868&amp;" "&amp;C868))),AND(설정!$A$31&lt;&gt;"",ISNUMBER(SEARCH(설정!$A$31,E868&amp;" "&amp;C868))),AND(설정!$A$32&lt;&gt;"",ISNUMBER(SEARCH(설정!$A$32,E868&amp;" "&amp;C868))),AND(설정!$A$33&lt;&gt;"",ISNUMBER(SEARCH(설정!$A$33,E868&amp;" "&amp;C868))),AND(설정!$A$34&lt;&gt;"",ISNUMBER(SEARCH(설정!$A$34,E868&amp;" "&amp;C868))),AND(설정!$A$35&lt;&gt;"",ISNUMBER(SEARCH(설정!$A$35,E868&amp;" "&amp;C868))),AND(설정!$A$36&lt;&gt;"",ISNUMBER(SEARCH(설정!$A$36,E868&amp;" "&amp;C868))),AND(설정!$A$37&lt;&gt;"",ISNUMBER(SEARCH(설정!$A$37,E868&amp;" "&amp;C868))))</f>
        <v/>
      </c>
      <c r="S868">
        <f>OR(D868="",D868&gt;=설정!$B$19)</f>
        <v/>
      </c>
      <c r="T868">
        <f>AND(Q868,R868,S868)</f>
        <v/>
      </c>
      <c r="U868">
        <f>IF(T868,IF(AND(설정!$A$41&lt;&gt;"",ISNUMBER(SEARCH(설정!$A$41,K868))),설정!$B$41,IF(AND(설정!$A$42&lt;&gt;"",ISNUMBER(SEARCH(설정!$A$42,K868))),설정!$B$42,IF(AND(설정!$A$43&lt;&gt;"",ISNUMBER(SEARCH(설정!$A$43,K868))),설정!$B$43,IF(AND(설정!$A$44&lt;&gt;"",ISNUMBER(SEARCH(설정!$A$44,K868))),설정!$B$44,IF(AND(설정!$A$45&lt;&gt;"",ISNUMBER(SEARCH(설정!$A$45,K868))),설정!$B$45,IF(AND(설정!$A$46&lt;&gt;"",ISNUMBER(SEARCH(설정!$A$46,K868))),설정!$B$46,IF(AND(설정!$A$47&lt;&gt;"",ISNUMBER(SEARCH(설정!$A$47,K868))),설정!$B$47,IF(AND(설정!$A$48&lt;&gt;"",ISNUMBER(SEARCH(설정!$A$48,K868))),설정!$B$48,IF(M868="","설계사","시공사"))))))))),"")</f>
        <v/>
      </c>
      <c r="V868">
        <f>SUBSTITUTE(SUBSTITUTE(SUBSTITUTE(SUBSTITUTE(G868,"(주)",""),"㈜",""),"주식회사","")," ","")</f>
        <v/>
      </c>
      <c r="W868">
        <f>IF(AND(T868,V868&lt;&gt;""),IF(COUNTIFS(V$2:V868,V868,T$2:T868,TRUE)=1,MAX(W$1:W867)+1,""),"")</f>
        <v/>
      </c>
      <c r="X868">
        <f>IFERROR(INDEX('1.산군_붙여넣기'!$A$1:$AZ$1001,ROW(),설정!$C$14)&amp;"","")</f>
        <v/>
      </c>
      <c r="Y868">
        <f>IFERROR(INDEX('1.산군_붙여넣기'!$A$1:$AZ$1001,ROW(),설정!$C$15)&amp;"","")</f>
        <v/>
      </c>
      <c r="Z868">
        <f>IF(T868,V868&amp;"|"&amp;U868,"")</f>
        <v/>
      </c>
    </row>
    <row r="869">
      <c r="A869">
        <f>ROW()</f>
        <v/>
      </c>
      <c r="B869">
        <f>IFERROR(INDEX('1.산군_붙여넣기'!$A$1:$AZ$1001,ROW(),설정!$C$4)&amp;"","")</f>
        <v/>
      </c>
      <c r="C869">
        <f>IFERROR(INDEX('1.산군_붙여넣기'!$A$1:$AZ$1001,ROW(),설정!$C$5)&amp;"","")</f>
        <v/>
      </c>
      <c r="D869" s="5">
        <f>IFERROR(VALUE(SUBSTITUTE(SUBSTITUTE(SUBSTITUTE(IFERROR(INDEX('1.산군_붙여넣기'!$A$1:$AZ$1001,ROW(),설정!$C$6)&amp;"",""),",",""),"㎡",""),"m2","")),"")</f>
        <v/>
      </c>
      <c r="E869">
        <f>IFERROR(INDEX('1.산군_붙여넣기'!$A$1:$AZ$1001,ROW(),설정!$C$7)&amp;"","")</f>
        <v/>
      </c>
      <c r="F869">
        <f>IFERROR(INDEX('1.산군_붙여넣기'!$A$1:$AZ$1001,ROW(),설정!$C$8)&amp;"","")</f>
        <v/>
      </c>
      <c r="G869">
        <f>IFERROR(INDEX('1.산군_붙여넣기'!$A$1:$AZ$1001,ROW(),설정!$C$9)&amp;"","")</f>
        <v/>
      </c>
      <c r="H869">
        <f>IFERROR(INDEX('1.산군_붙여넣기'!$A$1:$AZ$1001,ROW(),설정!$C$10)&amp;"","")</f>
        <v/>
      </c>
      <c r="I869">
        <f>IFERROR(INDEX('1.산군_붙여넣기'!$A$1:$AZ$1001,ROW(),설정!$C$11)&amp;"","")</f>
        <v/>
      </c>
      <c r="J869">
        <f>IFERROR(INDEX('1.산군_붙여넣기'!$A$1:$AZ$1001,ROW(),설정!$C$12)&amp;"","")</f>
        <v/>
      </c>
      <c r="K869">
        <f>IFERROR(INDEX('1.산군_붙여넣기'!$A$1:$AZ$1001,ROW(),설정!$C$13)&amp;"","")</f>
        <v/>
      </c>
      <c r="L869" s="6">
        <f>IF(X869="","",IF(AND(LEN(X869)=8,ISNUMBER(X869*1)),DATE(LEFT(X869,4),MID(X869,5,2),RIGHT(X869,2)),IFERROR(DATEVALUE(SUBSTITUTE(SUBSTITUTE(X869,".","-"),"/","-")),IFERROR(X869*1,""))))</f>
        <v/>
      </c>
      <c r="M869" s="6">
        <f>IF(Y869="","",IF(AND(LEN(Y869)=8,ISNUMBER(Y869*1)),DATE(LEFT(Y869,4),MID(Y869,5,2),RIGHT(Y869,2)),IFERROR(DATEVALUE(SUBSTITUTE(SUBSTITUTE(Y869,".","-"),"/","-")),IFERROR(Y869*1,""))))</f>
        <v/>
      </c>
      <c r="N869">
        <f>IFERROR(LEFT(B869,FIND(" ",B869)-1),B869)</f>
        <v/>
      </c>
      <c r="O869">
        <f>AND(B869&lt;&gt;"",B869&lt;&gt;설정!$B$4,C869&lt;&gt;설정!$B$5)</f>
        <v/>
      </c>
      <c r="P869">
        <f>IF(O869,B869&amp;"|"&amp;C869,"")</f>
        <v/>
      </c>
      <c r="Q869">
        <f>AND(O869,COUNTIF(P870:P$1002,P869)=0)</f>
        <v/>
      </c>
      <c r="R869">
        <f>OR(AND(설정!$A$28&lt;&gt;"",ISNUMBER(SEARCH(설정!$A$28,E869&amp;" "&amp;C869))),AND(설정!$A$29&lt;&gt;"",ISNUMBER(SEARCH(설정!$A$29,E869&amp;" "&amp;C869))),AND(설정!$A$30&lt;&gt;"",ISNUMBER(SEARCH(설정!$A$30,E869&amp;" "&amp;C869))),AND(설정!$A$31&lt;&gt;"",ISNUMBER(SEARCH(설정!$A$31,E869&amp;" "&amp;C869))),AND(설정!$A$32&lt;&gt;"",ISNUMBER(SEARCH(설정!$A$32,E869&amp;" "&amp;C869))),AND(설정!$A$33&lt;&gt;"",ISNUMBER(SEARCH(설정!$A$33,E869&amp;" "&amp;C869))),AND(설정!$A$34&lt;&gt;"",ISNUMBER(SEARCH(설정!$A$34,E869&amp;" "&amp;C869))),AND(설정!$A$35&lt;&gt;"",ISNUMBER(SEARCH(설정!$A$35,E869&amp;" "&amp;C869))),AND(설정!$A$36&lt;&gt;"",ISNUMBER(SEARCH(설정!$A$36,E869&amp;" "&amp;C869))),AND(설정!$A$37&lt;&gt;"",ISNUMBER(SEARCH(설정!$A$37,E869&amp;" "&amp;C869))))</f>
        <v/>
      </c>
      <c r="S869">
        <f>OR(D869="",D869&gt;=설정!$B$19)</f>
        <v/>
      </c>
      <c r="T869">
        <f>AND(Q869,R869,S869)</f>
        <v/>
      </c>
      <c r="U869">
        <f>IF(T869,IF(AND(설정!$A$41&lt;&gt;"",ISNUMBER(SEARCH(설정!$A$41,K869))),설정!$B$41,IF(AND(설정!$A$42&lt;&gt;"",ISNUMBER(SEARCH(설정!$A$42,K869))),설정!$B$42,IF(AND(설정!$A$43&lt;&gt;"",ISNUMBER(SEARCH(설정!$A$43,K869))),설정!$B$43,IF(AND(설정!$A$44&lt;&gt;"",ISNUMBER(SEARCH(설정!$A$44,K869))),설정!$B$44,IF(AND(설정!$A$45&lt;&gt;"",ISNUMBER(SEARCH(설정!$A$45,K869))),설정!$B$45,IF(AND(설정!$A$46&lt;&gt;"",ISNUMBER(SEARCH(설정!$A$46,K869))),설정!$B$46,IF(AND(설정!$A$47&lt;&gt;"",ISNUMBER(SEARCH(설정!$A$47,K869))),설정!$B$47,IF(AND(설정!$A$48&lt;&gt;"",ISNUMBER(SEARCH(설정!$A$48,K869))),설정!$B$48,IF(M869="","설계사","시공사"))))))))),"")</f>
        <v/>
      </c>
      <c r="V869">
        <f>SUBSTITUTE(SUBSTITUTE(SUBSTITUTE(SUBSTITUTE(G869,"(주)",""),"㈜",""),"주식회사","")," ","")</f>
        <v/>
      </c>
      <c r="W869">
        <f>IF(AND(T869,V869&lt;&gt;""),IF(COUNTIFS(V$2:V869,V869,T$2:T869,TRUE)=1,MAX(W$1:W868)+1,""),"")</f>
        <v/>
      </c>
      <c r="X869">
        <f>IFERROR(INDEX('1.산군_붙여넣기'!$A$1:$AZ$1001,ROW(),설정!$C$14)&amp;"","")</f>
        <v/>
      </c>
      <c r="Y869">
        <f>IFERROR(INDEX('1.산군_붙여넣기'!$A$1:$AZ$1001,ROW(),설정!$C$15)&amp;"","")</f>
        <v/>
      </c>
      <c r="Z869">
        <f>IF(T869,V869&amp;"|"&amp;U869,"")</f>
        <v/>
      </c>
    </row>
    <row r="870">
      <c r="A870">
        <f>ROW()</f>
        <v/>
      </c>
      <c r="B870">
        <f>IFERROR(INDEX('1.산군_붙여넣기'!$A$1:$AZ$1001,ROW(),설정!$C$4)&amp;"","")</f>
        <v/>
      </c>
      <c r="C870">
        <f>IFERROR(INDEX('1.산군_붙여넣기'!$A$1:$AZ$1001,ROW(),설정!$C$5)&amp;"","")</f>
        <v/>
      </c>
      <c r="D870" s="5">
        <f>IFERROR(VALUE(SUBSTITUTE(SUBSTITUTE(SUBSTITUTE(IFERROR(INDEX('1.산군_붙여넣기'!$A$1:$AZ$1001,ROW(),설정!$C$6)&amp;"",""),",",""),"㎡",""),"m2","")),"")</f>
        <v/>
      </c>
      <c r="E870">
        <f>IFERROR(INDEX('1.산군_붙여넣기'!$A$1:$AZ$1001,ROW(),설정!$C$7)&amp;"","")</f>
        <v/>
      </c>
      <c r="F870">
        <f>IFERROR(INDEX('1.산군_붙여넣기'!$A$1:$AZ$1001,ROW(),설정!$C$8)&amp;"","")</f>
        <v/>
      </c>
      <c r="G870">
        <f>IFERROR(INDEX('1.산군_붙여넣기'!$A$1:$AZ$1001,ROW(),설정!$C$9)&amp;"","")</f>
        <v/>
      </c>
      <c r="H870">
        <f>IFERROR(INDEX('1.산군_붙여넣기'!$A$1:$AZ$1001,ROW(),설정!$C$10)&amp;"","")</f>
        <v/>
      </c>
      <c r="I870">
        <f>IFERROR(INDEX('1.산군_붙여넣기'!$A$1:$AZ$1001,ROW(),설정!$C$11)&amp;"","")</f>
        <v/>
      </c>
      <c r="J870">
        <f>IFERROR(INDEX('1.산군_붙여넣기'!$A$1:$AZ$1001,ROW(),설정!$C$12)&amp;"","")</f>
        <v/>
      </c>
      <c r="K870">
        <f>IFERROR(INDEX('1.산군_붙여넣기'!$A$1:$AZ$1001,ROW(),설정!$C$13)&amp;"","")</f>
        <v/>
      </c>
      <c r="L870" s="6">
        <f>IF(X870="","",IF(AND(LEN(X870)=8,ISNUMBER(X870*1)),DATE(LEFT(X870,4),MID(X870,5,2),RIGHT(X870,2)),IFERROR(DATEVALUE(SUBSTITUTE(SUBSTITUTE(X870,".","-"),"/","-")),IFERROR(X870*1,""))))</f>
        <v/>
      </c>
      <c r="M870" s="6">
        <f>IF(Y870="","",IF(AND(LEN(Y870)=8,ISNUMBER(Y870*1)),DATE(LEFT(Y870,4),MID(Y870,5,2),RIGHT(Y870,2)),IFERROR(DATEVALUE(SUBSTITUTE(SUBSTITUTE(Y870,".","-"),"/","-")),IFERROR(Y870*1,""))))</f>
        <v/>
      </c>
      <c r="N870">
        <f>IFERROR(LEFT(B870,FIND(" ",B870)-1),B870)</f>
        <v/>
      </c>
      <c r="O870">
        <f>AND(B870&lt;&gt;"",B870&lt;&gt;설정!$B$4,C870&lt;&gt;설정!$B$5)</f>
        <v/>
      </c>
      <c r="P870">
        <f>IF(O870,B870&amp;"|"&amp;C870,"")</f>
        <v/>
      </c>
      <c r="Q870">
        <f>AND(O870,COUNTIF(P871:P$1002,P870)=0)</f>
        <v/>
      </c>
      <c r="R870">
        <f>OR(AND(설정!$A$28&lt;&gt;"",ISNUMBER(SEARCH(설정!$A$28,E870&amp;" "&amp;C870))),AND(설정!$A$29&lt;&gt;"",ISNUMBER(SEARCH(설정!$A$29,E870&amp;" "&amp;C870))),AND(설정!$A$30&lt;&gt;"",ISNUMBER(SEARCH(설정!$A$30,E870&amp;" "&amp;C870))),AND(설정!$A$31&lt;&gt;"",ISNUMBER(SEARCH(설정!$A$31,E870&amp;" "&amp;C870))),AND(설정!$A$32&lt;&gt;"",ISNUMBER(SEARCH(설정!$A$32,E870&amp;" "&amp;C870))),AND(설정!$A$33&lt;&gt;"",ISNUMBER(SEARCH(설정!$A$33,E870&amp;" "&amp;C870))),AND(설정!$A$34&lt;&gt;"",ISNUMBER(SEARCH(설정!$A$34,E870&amp;" "&amp;C870))),AND(설정!$A$35&lt;&gt;"",ISNUMBER(SEARCH(설정!$A$35,E870&amp;" "&amp;C870))),AND(설정!$A$36&lt;&gt;"",ISNUMBER(SEARCH(설정!$A$36,E870&amp;" "&amp;C870))),AND(설정!$A$37&lt;&gt;"",ISNUMBER(SEARCH(설정!$A$37,E870&amp;" "&amp;C870))))</f>
        <v/>
      </c>
      <c r="S870">
        <f>OR(D870="",D870&gt;=설정!$B$19)</f>
        <v/>
      </c>
      <c r="T870">
        <f>AND(Q870,R870,S870)</f>
        <v/>
      </c>
      <c r="U870">
        <f>IF(T870,IF(AND(설정!$A$41&lt;&gt;"",ISNUMBER(SEARCH(설정!$A$41,K870))),설정!$B$41,IF(AND(설정!$A$42&lt;&gt;"",ISNUMBER(SEARCH(설정!$A$42,K870))),설정!$B$42,IF(AND(설정!$A$43&lt;&gt;"",ISNUMBER(SEARCH(설정!$A$43,K870))),설정!$B$43,IF(AND(설정!$A$44&lt;&gt;"",ISNUMBER(SEARCH(설정!$A$44,K870))),설정!$B$44,IF(AND(설정!$A$45&lt;&gt;"",ISNUMBER(SEARCH(설정!$A$45,K870))),설정!$B$45,IF(AND(설정!$A$46&lt;&gt;"",ISNUMBER(SEARCH(설정!$A$46,K870))),설정!$B$46,IF(AND(설정!$A$47&lt;&gt;"",ISNUMBER(SEARCH(설정!$A$47,K870))),설정!$B$47,IF(AND(설정!$A$48&lt;&gt;"",ISNUMBER(SEARCH(설정!$A$48,K870))),설정!$B$48,IF(M870="","설계사","시공사"))))))))),"")</f>
        <v/>
      </c>
      <c r="V870">
        <f>SUBSTITUTE(SUBSTITUTE(SUBSTITUTE(SUBSTITUTE(G870,"(주)",""),"㈜",""),"주식회사","")," ","")</f>
        <v/>
      </c>
      <c r="W870">
        <f>IF(AND(T870,V870&lt;&gt;""),IF(COUNTIFS(V$2:V870,V870,T$2:T870,TRUE)=1,MAX(W$1:W869)+1,""),"")</f>
        <v/>
      </c>
      <c r="X870">
        <f>IFERROR(INDEX('1.산군_붙여넣기'!$A$1:$AZ$1001,ROW(),설정!$C$14)&amp;"","")</f>
        <v/>
      </c>
      <c r="Y870">
        <f>IFERROR(INDEX('1.산군_붙여넣기'!$A$1:$AZ$1001,ROW(),설정!$C$15)&amp;"","")</f>
        <v/>
      </c>
      <c r="Z870">
        <f>IF(T870,V870&amp;"|"&amp;U870,"")</f>
        <v/>
      </c>
    </row>
    <row r="871">
      <c r="A871">
        <f>ROW()</f>
        <v/>
      </c>
      <c r="B871">
        <f>IFERROR(INDEX('1.산군_붙여넣기'!$A$1:$AZ$1001,ROW(),설정!$C$4)&amp;"","")</f>
        <v/>
      </c>
      <c r="C871">
        <f>IFERROR(INDEX('1.산군_붙여넣기'!$A$1:$AZ$1001,ROW(),설정!$C$5)&amp;"","")</f>
        <v/>
      </c>
      <c r="D871" s="5">
        <f>IFERROR(VALUE(SUBSTITUTE(SUBSTITUTE(SUBSTITUTE(IFERROR(INDEX('1.산군_붙여넣기'!$A$1:$AZ$1001,ROW(),설정!$C$6)&amp;"",""),",",""),"㎡",""),"m2","")),"")</f>
        <v/>
      </c>
      <c r="E871">
        <f>IFERROR(INDEX('1.산군_붙여넣기'!$A$1:$AZ$1001,ROW(),설정!$C$7)&amp;"","")</f>
        <v/>
      </c>
      <c r="F871">
        <f>IFERROR(INDEX('1.산군_붙여넣기'!$A$1:$AZ$1001,ROW(),설정!$C$8)&amp;"","")</f>
        <v/>
      </c>
      <c r="G871">
        <f>IFERROR(INDEX('1.산군_붙여넣기'!$A$1:$AZ$1001,ROW(),설정!$C$9)&amp;"","")</f>
        <v/>
      </c>
      <c r="H871">
        <f>IFERROR(INDEX('1.산군_붙여넣기'!$A$1:$AZ$1001,ROW(),설정!$C$10)&amp;"","")</f>
        <v/>
      </c>
      <c r="I871">
        <f>IFERROR(INDEX('1.산군_붙여넣기'!$A$1:$AZ$1001,ROW(),설정!$C$11)&amp;"","")</f>
        <v/>
      </c>
      <c r="J871">
        <f>IFERROR(INDEX('1.산군_붙여넣기'!$A$1:$AZ$1001,ROW(),설정!$C$12)&amp;"","")</f>
        <v/>
      </c>
      <c r="K871">
        <f>IFERROR(INDEX('1.산군_붙여넣기'!$A$1:$AZ$1001,ROW(),설정!$C$13)&amp;"","")</f>
        <v/>
      </c>
      <c r="L871" s="6">
        <f>IF(X871="","",IF(AND(LEN(X871)=8,ISNUMBER(X871*1)),DATE(LEFT(X871,4),MID(X871,5,2),RIGHT(X871,2)),IFERROR(DATEVALUE(SUBSTITUTE(SUBSTITUTE(X871,".","-"),"/","-")),IFERROR(X871*1,""))))</f>
        <v/>
      </c>
      <c r="M871" s="6">
        <f>IF(Y871="","",IF(AND(LEN(Y871)=8,ISNUMBER(Y871*1)),DATE(LEFT(Y871,4),MID(Y871,5,2),RIGHT(Y871,2)),IFERROR(DATEVALUE(SUBSTITUTE(SUBSTITUTE(Y871,".","-"),"/","-")),IFERROR(Y871*1,""))))</f>
        <v/>
      </c>
      <c r="N871">
        <f>IFERROR(LEFT(B871,FIND(" ",B871)-1),B871)</f>
        <v/>
      </c>
      <c r="O871">
        <f>AND(B871&lt;&gt;"",B871&lt;&gt;설정!$B$4,C871&lt;&gt;설정!$B$5)</f>
        <v/>
      </c>
      <c r="P871">
        <f>IF(O871,B871&amp;"|"&amp;C871,"")</f>
        <v/>
      </c>
      <c r="Q871">
        <f>AND(O871,COUNTIF(P872:P$1002,P871)=0)</f>
        <v/>
      </c>
      <c r="R871">
        <f>OR(AND(설정!$A$28&lt;&gt;"",ISNUMBER(SEARCH(설정!$A$28,E871&amp;" "&amp;C871))),AND(설정!$A$29&lt;&gt;"",ISNUMBER(SEARCH(설정!$A$29,E871&amp;" "&amp;C871))),AND(설정!$A$30&lt;&gt;"",ISNUMBER(SEARCH(설정!$A$30,E871&amp;" "&amp;C871))),AND(설정!$A$31&lt;&gt;"",ISNUMBER(SEARCH(설정!$A$31,E871&amp;" "&amp;C871))),AND(설정!$A$32&lt;&gt;"",ISNUMBER(SEARCH(설정!$A$32,E871&amp;" "&amp;C871))),AND(설정!$A$33&lt;&gt;"",ISNUMBER(SEARCH(설정!$A$33,E871&amp;" "&amp;C871))),AND(설정!$A$34&lt;&gt;"",ISNUMBER(SEARCH(설정!$A$34,E871&amp;" "&amp;C871))),AND(설정!$A$35&lt;&gt;"",ISNUMBER(SEARCH(설정!$A$35,E871&amp;" "&amp;C871))),AND(설정!$A$36&lt;&gt;"",ISNUMBER(SEARCH(설정!$A$36,E871&amp;" "&amp;C871))),AND(설정!$A$37&lt;&gt;"",ISNUMBER(SEARCH(설정!$A$37,E871&amp;" "&amp;C871))))</f>
        <v/>
      </c>
      <c r="S871">
        <f>OR(D871="",D871&gt;=설정!$B$19)</f>
        <v/>
      </c>
      <c r="T871">
        <f>AND(Q871,R871,S871)</f>
        <v/>
      </c>
      <c r="U871">
        <f>IF(T871,IF(AND(설정!$A$41&lt;&gt;"",ISNUMBER(SEARCH(설정!$A$41,K871))),설정!$B$41,IF(AND(설정!$A$42&lt;&gt;"",ISNUMBER(SEARCH(설정!$A$42,K871))),설정!$B$42,IF(AND(설정!$A$43&lt;&gt;"",ISNUMBER(SEARCH(설정!$A$43,K871))),설정!$B$43,IF(AND(설정!$A$44&lt;&gt;"",ISNUMBER(SEARCH(설정!$A$44,K871))),설정!$B$44,IF(AND(설정!$A$45&lt;&gt;"",ISNUMBER(SEARCH(설정!$A$45,K871))),설정!$B$45,IF(AND(설정!$A$46&lt;&gt;"",ISNUMBER(SEARCH(설정!$A$46,K871))),설정!$B$46,IF(AND(설정!$A$47&lt;&gt;"",ISNUMBER(SEARCH(설정!$A$47,K871))),설정!$B$47,IF(AND(설정!$A$48&lt;&gt;"",ISNUMBER(SEARCH(설정!$A$48,K871))),설정!$B$48,IF(M871="","설계사","시공사"))))))))),"")</f>
        <v/>
      </c>
      <c r="V871">
        <f>SUBSTITUTE(SUBSTITUTE(SUBSTITUTE(SUBSTITUTE(G871,"(주)",""),"㈜",""),"주식회사","")," ","")</f>
        <v/>
      </c>
      <c r="W871">
        <f>IF(AND(T871,V871&lt;&gt;""),IF(COUNTIFS(V$2:V871,V871,T$2:T871,TRUE)=1,MAX(W$1:W870)+1,""),"")</f>
        <v/>
      </c>
      <c r="X871">
        <f>IFERROR(INDEX('1.산군_붙여넣기'!$A$1:$AZ$1001,ROW(),설정!$C$14)&amp;"","")</f>
        <v/>
      </c>
      <c r="Y871">
        <f>IFERROR(INDEX('1.산군_붙여넣기'!$A$1:$AZ$1001,ROW(),설정!$C$15)&amp;"","")</f>
        <v/>
      </c>
      <c r="Z871">
        <f>IF(T871,V871&amp;"|"&amp;U871,"")</f>
        <v/>
      </c>
    </row>
    <row r="872">
      <c r="A872">
        <f>ROW()</f>
        <v/>
      </c>
      <c r="B872">
        <f>IFERROR(INDEX('1.산군_붙여넣기'!$A$1:$AZ$1001,ROW(),설정!$C$4)&amp;"","")</f>
        <v/>
      </c>
      <c r="C872">
        <f>IFERROR(INDEX('1.산군_붙여넣기'!$A$1:$AZ$1001,ROW(),설정!$C$5)&amp;"","")</f>
        <v/>
      </c>
      <c r="D872" s="5">
        <f>IFERROR(VALUE(SUBSTITUTE(SUBSTITUTE(SUBSTITUTE(IFERROR(INDEX('1.산군_붙여넣기'!$A$1:$AZ$1001,ROW(),설정!$C$6)&amp;"",""),",",""),"㎡",""),"m2","")),"")</f>
        <v/>
      </c>
      <c r="E872">
        <f>IFERROR(INDEX('1.산군_붙여넣기'!$A$1:$AZ$1001,ROW(),설정!$C$7)&amp;"","")</f>
        <v/>
      </c>
      <c r="F872">
        <f>IFERROR(INDEX('1.산군_붙여넣기'!$A$1:$AZ$1001,ROW(),설정!$C$8)&amp;"","")</f>
        <v/>
      </c>
      <c r="G872">
        <f>IFERROR(INDEX('1.산군_붙여넣기'!$A$1:$AZ$1001,ROW(),설정!$C$9)&amp;"","")</f>
        <v/>
      </c>
      <c r="H872">
        <f>IFERROR(INDEX('1.산군_붙여넣기'!$A$1:$AZ$1001,ROW(),설정!$C$10)&amp;"","")</f>
        <v/>
      </c>
      <c r="I872">
        <f>IFERROR(INDEX('1.산군_붙여넣기'!$A$1:$AZ$1001,ROW(),설정!$C$11)&amp;"","")</f>
        <v/>
      </c>
      <c r="J872">
        <f>IFERROR(INDEX('1.산군_붙여넣기'!$A$1:$AZ$1001,ROW(),설정!$C$12)&amp;"","")</f>
        <v/>
      </c>
      <c r="K872">
        <f>IFERROR(INDEX('1.산군_붙여넣기'!$A$1:$AZ$1001,ROW(),설정!$C$13)&amp;"","")</f>
        <v/>
      </c>
      <c r="L872" s="6">
        <f>IF(X872="","",IF(AND(LEN(X872)=8,ISNUMBER(X872*1)),DATE(LEFT(X872,4),MID(X872,5,2),RIGHT(X872,2)),IFERROR(DATEVALUE(SUBSTITUTE(SUBSTITUTE(X872,".","-"),"/","-")),IFERROR(X872*1,""))))</f>
        <v/>
      </c>
      <c r="M872" s="6">
        <f>IF(Y872="","",IF(AND(LEN(Y872)=8,ISNUMBER(Y872*1)),DATE(LEFT(Y872,4),MID(Y872,5,2),RIGHT(Y872,2)),IFERROR(DATEVALUE(SUBSTITUTE(SUBSTITUTE(Y872,".","-"),"/","-")),IFERROR(Y872*1,""))))</f>
        <v/>
      </c>
      <c r="N872">
        <f>IFERROR(LEFT(B872,FIND(" ",B872)-1),B872)</f>
        <v/>
      </c>
      <c r="O872">
        <f>AND(B872&lt;&gt;"",B872&lt;&gt;설정!$B$4,C872&lt;&gt;설정!$B$5)</f>
        <v/>
      </c>
      <c r="P872">
        <f>IF(O872,B872&amp;"|"&amp;C872,"")</f>
        <v/>
      </c>
      <c r="Q872">
        <f>AND(O872,COUNTIF(P873:P$1002,P872)=0)</f>
        <v/>
      </c>
      <c r="R872">
        <f>OR(AND(설정!$A$28&lt;&gt;"",ISNUMBER(SEARCH(설정!$A$28,E872&amp;" "&amp;C872))),AND(설정!$A$29&lt;&gt;"",ISNUMBER(SEARCH(설정!$A$29,E872&amp;" "&amp;C872))),AND(설정!$A$30&lt;&gt;"",ISNUMBER(SEARCH(설정!$A$30,E872&amp;" "&amp;C872))),AND(설정!$A$31&lt;&gt;"",ISNUMBER(SEARCH(설정!$A$31,E872&amp;" "&amp;C872))),AND(설정!$A$32&lt;&gt;"",ISNUMBER(SEARCH(설정!$A$32,E872&amp;" "&amp;C872))),AND(설정!$A$33&lt;&gt;"",ISNUMBER(SEARCH(설정!$A$33,E872&amp;" "&amp;C872))),AND(설정!$A$34&lt;&gt;"",ISNUMBER(SEARCH(설정!$A$34,E872&amp;" "&amp;C872))),AND(설정!$A$35&lt;&gt;"",ISNUMBER(SEARCH(설정!$A$35,E872&amp;" "&amp;C872))),AND(설정!$A$36&lt;&gt;"",ISNUMBER(SEARCH(설정!$A$36,E872&amp;" "&amp;C872))),AND(설정!$A$37&lt;&gt;"",ISNUMBER(SEARCH(설정!$A$37,E872&amp;" "&amp;C872))))</f>
        <v/>
      </c>
      <c r="S872">
        <f>OR(D872="",D872&gt;=설정!$B$19)</f>
        <v/>
      </c>
      <c r="T872">
        <f>AND(Q872,R872,S872)</f>
        <v/>
      </c>
      <c r="U872">
        <f>IF(T872,IF(AND(설정!$A$41&lt;&gt;"",ISNUMBER(SEARCH(설정!$A$41,K872))),설정!$B$41,IF(AND(설정!$A$42&lt;&gt;"",ISNUMBER(SEARCH(설정!$A$42,K872))),설정!$B$42,IF(AND(설정!$A$43&lt;&gt;"",ISNUMBER(SEARCH(설정!$A$43,K872))),설정!$B$43,IF(AND(설정!$A$44&lt;&gt;"",ISNUMBER(SEARCH(설정!$A$44,K872))),설정!$B$44,IF(AND(설정!$A$45&lt;&gt;"",ISNUMBER(SEARCH(설정!$A$45,K872))),설정!$B$45,IF(AND(설정!$A$46&lt;&gt;"",ISNUMBER(SEARCH(설정!$A$46,K872))),설정!$B$46,IF(AND(설정!$A$47&lt;&gt;"",ISNUMBER(SEARCH(설정!$A$47,K872))),설정!$B$47,IF(AND(설정!$A$48&lt;&gt;"",ISNUMBER(SEARCH(설정!$A$48,K872))),설정!$B$48,IF(M872="","설계사","시공사"))))))))),"")</f>
        <v/>
      </c>
      <c r="V872">
        <f>SUBSTITUTE(SUBSTITUTE(SUBSTITUTE(SUBSTITUTE(G872,"(주)",""),"㈜",""),"주식회사","")," ","")</f>
        <v/>
      </c>
      <c r="W872">
        <f>IF(AND(T872,V872&lt;&gt;""),IF(COUNTIFS(V$2:V872,V872,T$2:T872,TRUE)=1,MAX(W$1:W871)+1,""),"")</f>
        <v/>
      </c>
      <c r="X872">
        <f>IFERROR(INDEX('1.산군_붙여넣기'!$A$1:$AZ$1001,ROW(),설정!$C$14)&amp;"","")</f>
        <v/>
      </c>
      <c r="Y872">
        <f>IFERROR(INDEX('1.산군_붙여넣기'!$A$1:$AZ$1001,ROW(),설정!$C$15)&amp;"","")</f>
        <v/>
      </c>
      <c r="Z872">
        <f>IF(T872,V872&amp;"|"&amp;U872,"")</f>
        <v/>
      </c>
    </row>
    <row r="873">
      <c r="A873">
        <f>ROW()</f>
        <v/>
      </c>
      <c r="B873">
        <f>IFERROR(INDEX('1.산군_붙여넣기'!$A$1:$AZ$1001,ROW(),설정!$C$4)&amp;"","")</f>
        <v/>
      </c>
      <c r="C873">
        <f>IFERROR(INDEX('1.산군_붙여넣기'!$A$1:$AZ$1001,ROW(),설정!$C$5)&amp;"","")</f>
        <v/>
      </c>
      <c r="D873" s="5">
        <f>IFERROR(VALUE(SUBSTITUTE(SUBSTITUTE(SUBSTITUTE(IFERROR(INDEX('1.산군_붙여넣기'!$A$1:$AZ$1001,ROW(),설정!$C$6)&amp;"",""),",",""),"㎡",""),"m2","")),"")</f>
        <v/>
      </c>
      <c r="E873">
        <f>IFERROR(INDEX('1.산군_붙여넣기'!$A$1:$AZ$1001,ROW(),설정!$C$7)&amp;"","")</f>
        <v/>
      </c>
      <c r="F873">
        <f>IFERROR(INDEX('1.산군_붙여넣기'!$A$1:$AZ$1001,ROW(),설정!$C$8)&amp;"","")</f>
        <v/>
      </c>
      <c r="G873">
        <f>IFERROR(INDEX('1.산군_붙여넣기'!$A$1:$AZ$1001,ROW(),설정!$C$9)&amp;"","")</f>
        <v/>
      </c>
      <c r="H873">
        <f>IFERROR(INDEX('1.산군_붙여넣기'!$A$1:$AZ$1001,ROW(),설정!$C$10)&amp;"","")</f>
        <v/>
      </c>
      <c r="I873">
        <f>IFERROR(INDEX('1.산군_붙여넣기'!$A$1:$AZ$1001,ROW(),설정!$C$11)&amp;"","")</f>
        <v/>
      </c>
      <c r="J873">
        <f>IFERROR(INDEX('1.산군_붙여넣기'!$A$1:$AZ$1001,ROW(),설정!$C$12)&amp;"","")</f>
        <v/>
      </c>
      <c r="K873">
        <f>IFERROR(INDEX('1.산군_붙여넣기'!$A$1:$AZ$1001,ROW(),설정!$C$13)&amp;"","")</f>
        <v/>
      </c>
      <c r="L873" s="6">
        <f>IF(X873="","",IF(AND(LEN(X873)=8,ISNUMBER(X873*1)),DATE(LEFT(X873,4),MID(X873,5,2),RIGHT(X873,2)),IFERROR(DATEVALUE(SUBSTITUTE(SUBSTITUTE(X873,".","-"),"/","-")),IFERROR(X873*1,""))))</f>
        <v/>
      </c>
      <c r="M873" s="6">
        <f>IF(Y873="","",IF(AND(LEN(Y873)=8,ISNUMBER(Y873*1)),DATE(LEFT(Y873,4),MID(Y873,5,2),RIGHT(Y873,2)),IFERROR(DATEVALUE(SUBSTITUTE(SUBSTITUTE(Y873,".","-"),"/","-")),IFERROR(Y873*1,""))))</f>
        <v/>
      </c>
      <c r="N873">
        <f>IFERROR(LEFT(B873,FIND(" ",B873)-1),B873)</f>
        <v/>
      </c>
      <c r="O873">
        <f>AND(B873&lt;&gt;"",B873&lt;&gt;설정!$B$4,C873&lt;&gt;설정!$B$5)</f>
        <v/>
      </c>
      <c r="P873">
        <f>IF(O873,B873&amp;"|"&amp;C873,"")</f>
        <v/>
      </c>
      <c r="Q873">
        <f>AND(O873,COUNTIF(P874:P$1002,P873)=0)</f>
        <v/>
      </c>
      <c r="R873">
        <f>OR(AND(설정!$A$28&lt;&gt;"",ISNUMBER(SEARCH(설정!$A$28,E873&amp;" "&amp;C873))),AND(설정!$A$29&lt;&gt;"",ISNUMBER(SEARCH(설정!$A$29,E873&amp;" "&amp;C873))),AND(설정!$A$30&lt;&gt;"",ISNUMBER(SEARCH(설정!$A$30,E873&amp;" "&amp;C873))),AND(설정!$A$31&lt;&gt;"",ISNUMBER(SEARCH(설정!$A$31,E873&amp;" "&amp;C873))),AND(설정!$A$32&lt;&gt;"",ISNUMBER(SEARCH(설정!$A$32,E873&amp;" "&amp;C873))),AND(설정!$A$33&lt;&gt;"",ISNUMBER(SEARCH(설정!$A$33,E873&amp;" "&amp;C873))),AND(설정!$A$34&lt;&gt;"",ISNUMBER(SEARCH(설정!$A$34,E873&amp;" "&amp;C873))),AND(설정!$A$35&lt;&gt;"",ISNUMBER(SEARCH(설정!$A$35,E873&amp;" "&amp;C873))),AND(설정!$A$36&lt;&gt;"",ISNUMBER(SEARCH(설정!$A$36,E873&amp;" "&amp;C873))),AND(설정!$A$37&lt;&gt;"",ISNUMBER(SEARCH(설정!$A$37,E873&amp;" "&amp;C873))))</f>
        <v/>
      </c>
      <c r="S873">
        <f>OR(D873="",D873&gt;=설정!$B$19)</f>
        <v/>
      </c>
      <c r="T873">
        <f>AND(Q873,R873,S873)</f>
        <v/>
      </c>
      <c r="U873">
        <f>IF(T873,IF(AND(설정!$A$41&lt;&gt;"",ISNUMBER(SEARCH(설정!$A$41,K873))),설정!$B$41,IF(AND(설정!$A$42&lt;&gt;"",ISNUMBER(SEARCH(설정!$A$42,K873))),설정!$B$42,IF(AND(설정!$A$43&lt;&gt;"",ISNUMBER(SEARCH(설정!$A$43,K873))),설정!$B$43,IF(AND(설정!$A$44&lt;&gt;"",ISNUMBER(SEARCH(설정!$A$44,K873))),설정!$B$44,IF(AND(설정!$A$45&lt;&gt;"",ISNUMBER(SEARCH(설정!$A$45,K873))),설정!$B$45,IF(AND(설정!$A$46&lt;&gt;"",ISNUMBER(SEARCH(설정!$A$46,K873))),설정!$B$46,IF(AND(설정!$A$47&lt;&gt;"",ISNUMBER(SEARCH(설정!$A$47,K873))),설정!$B$47,IF(AND(설정!$A$48&lt;&gt;"",ISNUMBER(SEARCH(설정!$A$48,K873))),설정!$B$48,IF(M873="","설계사","시공사"))))))))),"")</f>
        <v/>
      </c>
      <c r="V873">
        <f>SUBSTITUTE(SUBSTITUTE(SUBSTITUTE(SUBSTITUTE(G873,"(주)",""),"㈜",""),"주식회사","")," ","")</f>
        <v/>
      </c>
      <c r="W873">
        <f>IF(AND(T873,V873&lt;&gt;""),IF(COUNTIFS(V$2:V873,V873,T$2:T873,TRUE)=1,MAX(W$1:W872)+1,""),"")</f>
        <v/>
      </c>
      <c r="X873">
        <f>IFERROR(INDEX('1.산군_붙여넣기'!$A$1:$AZ$1001,ROW(),설정!$C$14)&amp;"","")</f>
        <v/>
      </c>
      <c r="Y873">
        <f>IFERROR(INDEX('1.산군_붙여넣기'!$A$1:$AZ$1001,ROW(),설정!$C$15)&amp;"","")</f>
        <v/>
      </c>
      <c r="Z873">
        <f>IF(T873,V873&amp;"|"&amp;U873,"")</f>
        <v/>
      </c>
    </row>
    <row r="874">
      <c r="A874">
        <f>ROW()</f>
        <v/>
      </c>
      <c r="B874">
        <f>IFERROR(INDEX('1.산군_붙여넣기'!$A$1:$AZ$1001,ROW(),설정!$C$4)&amp;"","")</f>
        <v/>
      </c>
      <c r="C874">
        <f>IFERROR(INDEX('1.산군_붙여넣기'!$A$1:$AZ$1001,ROW(),설정!$C$5)&amp;"","")</f>
        <v/>
      </c>
      <c r="D874" s="5">
        <f>IFERROR(VALUE(SUBSTITUTE(SUBSTITUTE(SUBSTITUTE(IFERROR(INDEX('1.산군_붙여넣기'!$A$1:$AZ$1001,ROW(),설정!$C$6)&amp;"",""),",",""),"㎡",""),"m2","")),"")</f>
        <v/>
      </c>
      <c r="E874">
        <f>IFERROR(INDEX('1.산군_붙여넣기'!$A$1:$AZ$1001,ROW(),설정!$C$7)&amp;"","")</f>
        <v/>
      </c>
      <c r="F874">
        <f>IFERROR(INDEX('1.산군_붙여넣기'!$A$1:$AZ$1001,ROW(),설정!$C$8)&amp;"","")</f>
        <v/>
      </c>
      <c r="G874">
        <f>IFERROR(INDEX('1.산군_붙여넣기'!$A$1:$AZ$1001,ROW(),설정!$C$9)&amp;"","")</f>
        <v/>
      </c>
      <c r="H874">
        <f>IFERROR(INDEX('1.산군_붙여넣기'!$A$1:$AZ$1001,ROW(),설정!$C$10)&amp;"","")</f>
        <v/>
      </c>
      <c r="I874">
        <f>IFERROR(INDEX('1.산군_붙여넣기'!$A$1:$AZ$1001,ROW(),설정!$C$11)&amp;"","")</f>
        <v/>
      </c>
      <c r="J874">
        <f>IFERROR(INDEX('1.산군_붙여넣기'!$A$1:$AZ$1001,ROW(),설정!$C$12)&amp;"","")</f>
        <v/>
      </c>
      <c r="K874">
        <f>IFERROR(INDEX('1.산군_붙여넣기'!$A$1:$AZ$1001,ROW(),설정!$C$13)&amp;"","")</f>
        <v/>
      </c>
      <c r="L874" s="6">
        <f>IF(X874="","",IF(AND(LEN(X874)=8,ISNUMBER(X874*1)),DATE(LEFT(X874,4),MID(X874,5,2),RIGHT(X874,2)),IFERROR(DATEVALUE(SUBSTITUTE(SUBSTITUTE(X874,".","-"),"/","-")),IFERROR(X874*1,""))))</f>
        <v/>
      </c>
      <c r="M874" s="6">
        <f>IF(Y874="","",IF(AND(LEN(Y874)=8,ISNUMBER(Y874*1)),DATE(LEFT(Y874,4),MID(Y874,5,2),RIGHT(Y874,2)),IFERROR(DATEVALUE(SUBSTITUTE(SUBSTITUTE(Y874,".","-"),"/","-")),IFERROR(Y874*1,""))))</f>
        <v/>
      </c>
      <c r="N874">
        <f>IFERROR(LEFT(B874,FIND(" ",B874)-1),B874)</f>
        <v/>
      </c>
      <c r="O874">
        <f>AND(B874&lt;&gt;"",B874&lt;&gt;설정!$B$4,C874&lt;&gt;설정!$B$5)</f>
        <v/>
      </c>
      <c r="P874">
        <f>IF(O874,B874&amp;"|"&amp;C874,"")</f>
        <v/>
      </c>
      <c r="Q874">
        <f>AND(O874,COUNTIF(P875:P$1002,P874)=0)</f>
        <v/>
      </c>
      <c r="R874">
        <f>OR(AND(설정!$A$28&lt;&gt;"",ISNUMBER(SEARCH(설정!$A$28,E874&amp;" "&amp;C874))),AND(설정!$A$29&lt;&gt;"",ISNUMBER(SEARCH(설정!$A$29,E874&amp;" "&amp;C874))),AND(설정!$A$30&lt;&gt;"",ISNUMBER(SEARCH(설정!$A$30,E874&amp;" "&amp;C874))),AND(설정!$A$31&lt;&gt;"",ISNUMBER(SEARCH(설정!$A$31,E874&amp;" "&amp;C874))),AND(설정!$A$32&lt;&gt;"",ISNUMBER(SEARCH(설정!$A$32,E874&amp;" "&amp;C874))),AND(설정!$A$33&lt;&gt;"",ISNUMBER(SEARCH(설정!$A$33,E874&amp;" "&amp;C874))),AND(설정!$A$34&lt;&gt;"",ISNUMBER(SEARCH(설정!$A$34,E874&amp;" "&amp;C874))),AND(설정!$A$35&lt;&gt;"",ISNUMBER(SEARCH(설정!$A$35,E874&amp;" "&amp;C874))),AND(설정!$A$36&lt;&gt;"",ISNUMBER(SEARCH(설정!$A$36,E874&amp;" "&amp;C874))),AND(설정!$A$37&lt;&gt;"",ISNUMBER(SEARCH(설정!$A$37,E874&amp;" "&amp;C874))))</f>
        <v/>
      </c>
      <c r="S874">
        <f>OR(D874="",D874&gt;=설정!$B$19)</f>
        <v/>
      </c>
      <c r="T874">
        <f>AND(Q874,R874,S874)</f>
        <v/>
      </c>
      <c r="U874">
        <f>IF(T874,IF(AND(설정!$A$41&lt;&gt;"",ISNUMBER(SEARCH(설정!$A$41,K874))),설정!$B$41,IF(AND(설정!$A$42&lt;&gt;"",ISNUMBER(SEARCH(설정!$A$42,K874))),설정!$B$42,IF(AND(설정!$A$43&lt;&gt;"",ISNUMBER(SEARCH(설정!$A$43,K874))),설정!$B$43,IF(AND(설정!$A$44&lt;&gt;"",ISNUMBER(SEARCH(설정!$A$44,K874))),설정!$B$44,IF(AND(설정!$A$45&lt;&gt;"",ISNUMBER(SEARCH(설정!$A$45,K874))),설정!$B$45,IF(AND(설정!$A$46&lt;&gt;"",ISNUMBER(SEARCH(설정!$A$46,K874))),설정!$B$46,IF(AND(설정!$A$47&lt;&gt;"",ISNUMBER(SEARCH(설정!$A$47,K874))),설정!$B$47,IF(AND(설정!$A$48&lt;&gt;"",ISNUMBER(SEARCH(설정!$A$48,K874))),설정!$B$48,IF(M874="","설계사","시공사"))))))))),"")</f>
        <v/>
      </c>
      <c r="V874">
        <f>SUBSTITUTE(SUBSTITUTE(SUBSTITUTE(SUBSTITUTE(G874,"(주)",""),"㈜",""),"주식회사","")," ","")</f>
        <v/>
      </c>
      <c r="W874">
        <f>IF(AND(T874,V874&lt;&gt;""),IF(COUNTIFS(V$2:V874,V874,T$2:T874,TRUE)=1,MAX(W$1:W873)+1,""),"")</f>
        <v/>
      </c>
      <c r="X874">
        <f>IFERROR(INDEX('1.산군_붙여넣기'!$A$1:$AZ$1001,ROW(),설정!$C$14)&amp;"","")</f>
        <v/>
      </c>
      <c r="Y874">
        <f>IFERROR(INDEX('1.산군_붙여넣기'!$A$1:$AZ$1001,ROW(),설정!$C$15)&amp;"","")</f>
        <v/>
      </c>
      <c r="Z874">
        <f>IF(T874,V874&amp;"|"&amp;U874,"")</f>
        <v/>
      </c>
    </row>
    <row r="875">
      <c r="A875">
        <f>ROW()</f>
        <v/>
      </c>
      <c r="B875">
        <f>IFERROR(INDEX('1.산군_붙여넣기'!$A$1:$AZ$1001,ROW(),설정!$C$4)&amp;"","")</f>
        <v/>
      </c>
      <c r="C875">
        <f>IFERROR(INDEX('1.산군_붙여넣기'!$A$1:$AZ$1001,ROW(),설정!$C$5)&amp;"","")</f>
        <v/>
      </c>
      <c r="D875" s="5">
        <f>IFERROR(VALUE(SUBSTITUTE(SUBSTITUTE(SUBSTITUTE(IFERROR(INDEX('1.산군_붙여넣기'!$A$1:$AZ$1001,ROW(),설정!$C$6)&amp;"",""),",",""),"㎡",""),"m2","")),"")</f>
        <v/>
      </c>
      <c r="E875">
        <f>IFERROR(INDEX('1.산군_붙여넣기'!$A$1:$AZ$1001,ROW(),설정!$C$7)&amp;"","")</f>
        <v/>
      </c>
      <c r="F875">
        <f>IFERROR(INDEX('1.산군_붙여넣기'!$A$1:$AZ$1001,ROW(),설정!$C$8)&amp;"","")</f>
        <v/>
      </c>
      <c r="G875">
        <f>IFERROR(INDEX('1.산군_붙여넣기'!$A$1:$AZ$1001,ROW(),설정!$C$9)&amp;"","")</f>
        <v/>
      </c>
      <c r="H875">
        <f>IFERROR(INDEX('1.산군_붙여넣기'!$A$1:$AZ$1001,ROW(),설정!$C$10)&amp;"","")</f>
        <v/>
      </c>
      <c r="I875">
        <f>IFERROR(INDEX('1.산군_붙여넣기'!$A$1:$AZ$1001,ROW(),설정!$C$11)&amp;"","")</f>
        <v/>
      </c>
      <c r="J875">
        <f>IFERROR(INDEX('1.산군_붙여넣기'!$A$1:$AZ$1001,ROW(),설정!$C$12)&amp;"","")</f>
        <v/>
      </c>
      <c r="K875">
        <f>IFERROR(INDEX('1.산군_붙여넣기'!$A$1:$AZ$1001,ROW(),설정!$C$13)&amp;"","")</f>
        <v/>
      </c>
      <c r="L875" s="6">
        <f>IF(X875="","",IF(AND(LEN(X875)=8,ISNUMBER(X875*1)),DATE(LEFT(X875,4),MID(X875,5,2),RIGHT(X875,2)),IFERROR(DATEVALUE(SUBSTITUTE(SUBSTITUTE(X875,".","-"),"/","-")),IFERROR(X875*1,""))))</f>
        <v/>
      </c>
      <c r="M875" s="6">
        <f>IF(Y875="","",IF(AND(LEN(Y875)=8,ISNUMBER(Y875*1)),DATE(LEFT(Y875,4),MID(Y875,5,2),RIGHT(Y875,2)),IFERROR(DATEVALUE(SUBSTITUTE(SUBSTITUTE(Y875,".","-"),"/","-")),IFERROR(Y875*1,""))))</f>
        <v/>
      </c>
      <c r="N875">
        <f>IFERROR(LEFT(B875,FIND(" ",B875)-1),B875)</f>
        <v/>
      </c>
      <c r="O875">
        <f>AND(B875&lt;&gt;"",B875&lt;&gt;설정!$B$4,C875&lt;&gt;설정!$B$5)</f>
        <v/>
      </c>
      <c r="P875">
        <f>IF(O875,B875&amp;"|"&amp;C875,"")</f>
        <v/>
      </c>
      <c r="Q875">
        <f>AND(O875,COUNTIF(P876:P$1002,P875)=0)</f>
        <v/>
      </c>
      <c r="R875">
        <f>OR(AND(설정!$A$28&lt;&gt;"",ISNUMBER(SEARCH(설정!$A$28,E875&amp;" "&amp;C875))),AND(설정!$A$29&lt;&gt;"",ISNUMBER(SEARCH(설정!$A$29,E875&amp;" "&amp;C875))),AND(설정!$A$30&lt;&gt;"",ISNUMBER(SEARCH(설정!$A$30,E875&amp;" "&amp;C875))),AND(설정!$A$31&lt;&gt;"",ISNUMBER(SEARCH(설정!$A$31,E875&amp;" "&amp;C875))),AND(설정!$A$32&lt;&gt;"",ISNUMBER(SEARCH(설정!$A$32,E875&amp;" "&amp;C875))),AND(설정!$A$33&lt;&gt;"",ISNUMBER(SEARCH(설정!$A$33,E875&amp;" "&amp;C875))),AND(설정!$A$34&lt;&gt;"",ISNUMBER(SEARCH(설정!$A$34,E875&amp;" "&amp;C875))),AND(설정!$A$35&lt;&gt;"",ISNUMBER(SEARCH(설정!$A$35,E875&amp;" "&amp;C875))),AND(설정!$A$36&lt;&gt;"",ISNUMBER(SEARCH(설정!$A$36,E875&amp;" "&amp;C875))),AND(설정!$A$37&lt;&gt;"",ISNUMBER(SEARCH(설정!$A$37,E875&amp;" "&amp;C875))))</f>
        <v/>
      </c>
      <c r="S875">
        <f>OR(D875="",D875&gt;=설정!$B$19)</f>
        <v/>
      </c>
      <c r="T875">
        <f>AND(Q875,R875,S875)</f>
        <v/>
      </c>
      <c r="U875">
        <f>IF(T875,IF(AND(설정!$A$41&lt;&gt;"",ISNUMBER(SEARCH(설정!$A$41,K875))),설정!$B$41,IF(AND(설정!$A$42&lt;&gt;"",ISNUMBER(SEARCH(설정!$A$42,K875))),설정!$B$42,IF(AND(설정!$A$43&lt;&gt;"",ISNUMBER(SEARCH(설정!$A$43,K875))),설정!$B$43,IF(AND(설정!$A$44&lt;&gt;"",ISNUMBER(SEARCH(설정!$A$44,K875))),설정!$B$44,IF(AND(설정!$A$45&lt;&gt;"",ISNUMBER(SEARCH(설정!$A$45,K875))),설정!$B$45,IF(AND(설정!$A$46&lt;&gt;"",ISNUMBER(SEARCH(설정!$A$46,K875))),설정!$B$46,IF(AND(설정!$A$47&lt;&gt;"",ISNUMBER(SEARCH(설정!$A$47,K875))),설정!$B$47,IF(AND(설정!$A$48&lt;&gt;"",ISNUMBER(SEARCH(설정!$A$48,K875))),설정!$B$48,IF(M875="","설계사","시공사"))))))))),"")</f>
        <v/>
      </c>
      <c r="V875">
        <f>SUBSTITUTE(SUBSTITUTE(SUBSTITUTE(SUBSTITUTE(G875,"(주)",""),"㈜",""),"주식회사","")," ","")</f>
        <v/>
      </c>
      <c r="W875">
        <f>IF(AND(T875,V875&lt;&gt;""),IF(COUNTIFS(V$2:V875,V875,T$2:T875,TRUE)=1,MAX(W$1:W874)+1,""),"")</f>
        <v/>
      </c>
      <c r="X875">
        <f>IFERROR(INDEX('1.산군_붙여넣기'!$A$1:$AZ$1001,ROW(),설정!$C$14)&amp;"","")</f>
        <v/>
      </c>
      <c r="Y875">
        <f>IFERROR(INDEX('1.산군_붙여넣기'!$A$1:$AZ$1001,ROW(),설정!$C$15)&amp;"","")</f>
        <v/>
      </c>
      <c r="Z875">
        <f>IF(T875,V875&amp;"|"&amp;U875,"")</f>
        <v/>
      </c>
    </row>
    <row r="876">
      <c r="A876">
        <f>ROW()</f>
        <v/>
      </c>
      <c r="B876">
        <f>IFERROR(INDEX('1.산군_붙여넣기'!$A$1:$AZ$1001,ROW(),설정!$C$4)&amp;"","")</f>
        <v/>
      </c>
      <c r="C876">
        <f>IFERROR(INDEX('1.산군_붙여넣기'!$A$1:$AZ$1001,ROW(),설정!$C$5)&amp;"","")</f>
        <v/>
      </c>
      <c r="D876" s="5">
        <f>IFERROR(VALUE(SUBSTITUTE(SUBSTITUTE(SUBSTITUTE(IFERROR(INDEX('1.산군_붙여넣기'!$A$1:$AZ$1001,ROW(),설정!$C$6)&amp;"",""),",",""),"㎡",""),"m2","")),"")</f>
        <v/>
      </c>
      <c r="E876">
        <f>IFERROR(INDEX('1.산군_붙여넣기'!$A$1:$AZ$1001,ROW(),설정!$C$7)&amp;"","")</f>
        <v/>
      </c>
      <c r="F876">
        <f>IFERROR(INDEX('1.산군_붙여넣기'!$A$1:$AZ$1001,ROW(),설정!$C$8)&amp;"","")</f>
        <v/>
      </c>
      <c r="G876">
        <f>IFERROR(INDEX('1.산군_붙여넣기'!$A$1:$AZ$1001,ROW(),설정!$C$9)&amp;"","")</f>
        <v/>
      </c>
      <c r="H876">
        <f>IFERROR(INDEX('1.산군_붙여넣기'!$A$1:$AZ$1001,ROW(),설정!$C$10)&amp;"","")</f>
        <v/>
      </c>
      <c r="I876">
        <f>IFERROR(INDEX('1.산군_붙여넣기'!$A$1:$AZ$1001,ROW(),설정!$C$11)&amp;"","")</f>
        <v/>
      </c>
      <c r="J876">
        <f>IFERROR(INDEX('1.산군_붙여넣기'!$A$1:$AZ$1001,ROW(),설정!$C$12)&amp;"","")</f>
        <v/>
      </c>
      <c r="K876">
        <f>IFERROR(INDEX('1.산군_붙여넣기'!$A$1:$AZ$1001,ROW(),설정!$C$13)&amp;"","")</f>
        <v/>
      </c>
      <c r="L876" s="6">
        <f>IF(X876="","",IF(AND(LEN(X876)=8,ISNUMBER(X876*1)),DATE(LEFT(X876,4),MID(X876,5,2),RIGHT(X876,2)),IFERROR(DATEVALUE(SUBSTITUTE(SUBSTITUTE(X876,".","-"),"/","-")),IFERROR(X876*1,""))))</f>
        <v/>
      </c>
      <c r="M876" s="6">
        <f>IF(Y876="","",IF(AND(LEN(Y876)=8,ISNUMBER(Y876*1)),DATE(LEFT(Y876,4),MID(Y876,5,2),RIGHT(Y876,2)),IFERROR(DATEVALUE(SUBSTITUTE(SUBSTITUTE(Y876,".","-"),"/","-")),IFERROR(Y876*1,""))))</f>
        <v/>
      </c>
      <c r="N876">
        <f>IFERROR(LEFT(B876,FIND(" ",B876)-1),B876)</f>
        <v/>
      </c>
      <c r="O876">
        <f>AND(B876&lt;&gt;"",B876&lt;&gt;설정!$B$4,C876&lt;&gt;설정!$B$5)</f>
        <v/>
      </c>
      <c r="P876">
        <f>IF(O876,B876&amp;"|"&amp;C876,"")</f>
        <v/>
      </c>
      <c r="Q876">
        <f>AND(O876,COUNTIF(P877:P$1002,P876)=0)</f>
        <v/>
      </c>
      <c r="R876">
        <f>OR(AND(설정!$A$28&lt;&gt;"",ISNUMBER(SEARCH(설정!$A$28,E876&amp;" "&amp;C876))),AND(설정!$A$29&lt;&gt;"",ISNUMBER(SEARCH(설정!$A$29,E876&amp;" "&amp;C876))),AND(설정!$A$30&lt;&gt;"",ISNUMBER(SEARCH(설정!$A$30,E876&amp;" "&amp;C876))),AND(설정!$A$31&lt;&gt;"",ISNUMBER(SEARCH(설정!$A$31,E876&amp;" "&amp;C876))),AND(설정!$A$32&lt;&gt;"",ISNUMBER(SEARCH(설정!$A$32,E876&amp;" "&amp;C876))),AND(설정!$A$33&lt;&gt;"",ISNUMBER(SEARCH(설정!$A$33,E876&amp;" "&amp;C876))),AND(설정!$A$34&lt;&gt;"",ISNUMBER(SEARCH(설정!$A$34,E876&amp;" "&amp;C876))),AND(설정!$A$35&lt;&gt;"",ISNUMBER(SEARCH(설정!$A$35,E876&amp;" "&amp;C876))),AND(설정!$A$36&lt;&gt;"",ISNUMBER(SEARCH(설정!$A$36,E876&amp;" "&amp;C876))),AND(설정!$A$37&lt;&gt;"",ISNUMBER(SEARCH(설정!$A$37,E876&amp;" "&amp;C876))))</f>
        <v/>
      </c>
      <c r="S876">
        <f>OR(D876="",D876&gt;=설정!$B$19)</f>
        <v/>
      </c>
      <c r="T876">
        <f>AND(Q876,R876,S876)</f>
        <v/>
      </c>
      <c r="U876">
        <f>IF(T876,IF(AND(설정!$A$41&lt;&gt;"",ISNUMBER(SEARCH(설정!$A$41,K876))),설정!$B$41,IF(AND(설정!$A$42&lt;&gt;"",ISNUMBER(SEARCH(설정!$A$42,K876))),설정!$B$42,IF(AND(설정!$A$43&lt;&gt;"",ISNUMBER(SEARCH(설정!$A$43,K876))),설정!$B$43,IF(AND(설정!$A$44&lt;&gt;"",ISNUMBER(SEARCH(설정!$A$44,K876))),설정!$B$44,IF(AND(설정!$A$45&lt;&gt;"",ISNUMBER(SEARCH(설정!$A$45,K876))),설정!$B$45,IF(AND(설정!$A$46&lt;&gt;"",ISNUMBER(SEARCH(설정!$A$46,K876))),설정!$B$46,IF(AND(설정!$A$47&lt;&gt;"",ISNUMBER(SEARCH(설정!$A$47,K876))),설정!$B$47,IF(AND(설정!$A$48&lt;&gt;"",ISNUMBER(SEARCH(설정!$A$48,K876))),설정!$B$48,IF(M876="","설계사","시공사"))))))))),"")</f>
        <v/>
      </c>
      <c r="V876">
        <f>SUBSTITUTE(SUBSTITUTE(SUBSTITUTE(SUBSTITUTE(G876,"(주)",""),"㈜",""),"주식회사","")," ","")</f>
        <v/>
      </c>
      <c r="W876">
        <f>IF(AND(T876,V876&lt;&gt;""),IF(COUNTIFS(V$2:V876,V876,T$2:T876,TRUE)=1,MAX(W$1:W875)+1,""),"")</f>
        <v/>
      </c>
      <c r="X876">
        <f>IFERROR(INDEX('1.산군_붙여넣기'!$A$1:$AZ$1001,ROW(),설정!$C$14)&amp;"","")</f>
        <v/>
      </c>
      <c r="Y876">
        <f>IFERROR(INDEX('1.산군_붙여넣기'!$A$1:$AZ$1001,ROW(),설정!$C$15)&amp;"","")</f>
        <v/>
      </c>
      <c r="Z876">
        <f>IF(T876,V876&amp;"|"&amp;U876,"")</f>
        <v/>
      </c>
    </row>
    <row r="877">
      <c r="A877">
        <f>ROW()</f>
        <v/>
      </c>
      <c r="B877">
        <f>IFERROR(INDEX('1.산군_붙여넣기'!$A$1:$AZ$1001,ROW(),설정!$C$4)&amp;"","")</f>
        <v/>
      </c>
      <c r="C877">
        <f>IFERROR(INDEX('1.산군_붙여넣기'!$A$1:$AZ$1001,ROW(),설정!$C$5)&amp;"","")</f>
        <v/>
      </c>
      <c r="D877" s="5">
        <f>IFERROR(VALUE(SUBSTITUTE(SUBSTITUTE(SUBSTITUTE(IFERROR(INDEX('1.산군_붙여넣기'!$A$1:$AZ$1001,ROW(),설정!$C$6)&amp;"",""),",",""),"㎡",""),"m2","")),"")</f>
        <v/>
      </c>
      <c r="E877">
        <f>IFERROR(INDEX('1.산군_붙여넣기'!$A$1:$AZ$1001,ROW(),설정!$C$7)&amp;"","")</f>
        <v/>
      </c>
      <c r="F877">
        <f>IFERROR(INDEX('1.산군_붙여넣기'!$A$1:$AZ$1001,ROW(),설정!$C$8)&amp;"","")</f>
        <v/>
      </c>
      <c r="G877">
        <f>IFERROR(INDEX('1.산군_붙여넣기'!$A$1:$AZ$1001,ROW(),설정!$C$9)&amp;"","")</f>
        <v/>
      </c>
      <c r="H877">
        <f>IFERROR(INDEX('1.산군_붙여넣기'!$A$1:$AZ$1001,ROW(),설정!$C$10)&amp;"","")</f>
        <v/>
      </c>
      <c r="I877">
        <f>IFERROR(INDEX('1.산군_붙여넣기'!$A$1:$AZ$1001,ROW(),설정!$C$11)&amp;"","")</f>
        <v/>
      </c>
      <c r="J877">
        <f>IFERROR(INDEX('1.산군_붙여넣기'!$A$1:$AZ$1001,ROW(),설정!$C$12)&amp;"","")</f>
        <v/>
      </c>
      <c r="K877">
        <f>IFERROR(INDEX('1.산군_붙여넣기'!$A$1:$AZ$1001,ROW(),설정!$C$13)&amp;"","")</f>
        <v/>
      </c>
      <c r="L877" s="6">
        <f>IF(X877="","",IF(AND(LEN(X877)=8,ISNUMBER(X877*1)),DATE(LEFT(X877,4),MID(X877,5,2),RIGHT(X877,2)),IFERROR(DATEVALUE(SUBSTITUTE(SUBSTITUTE(X877,".","-"),"/","-")),IFERROR(X877*1,""))))</f>
        <v/>
      </c>
      <c r="M877" s="6">
        <f>IF(Y877="","",IF(AND(LEN(Y877)=8,ISNUMBER(Y877*1)),DATE(LEFT(Y877,4),MID(Y877,5,2),RIGHT(Y877,2)),IFERROR(DATEVALUE(SUBSTITUTE(SUBSTITUTE(Y877,".","-"),"/","-")),IFERROR(Y877*1,""))))</f>
        <v/>
      </c>
      <c r="N877">
        <f>IFERROR(LEFT(B877,FIND(" ",B877)-1),B877)</f>
        <v/>
      </c>
      <c r="O877">
        <f>AND(B877&lt;&gt;"",B877&lt;&gt;설정!$B$4,C877&lt;&gt;설정!$B$5)</f>
        <v/>
      </c>
      <c r="P877">
        <f>IF(O877,B877&amp;"|"&amp;C877,"")</f>
        <v/>
      </c>
      <c r="Q877">
        <f>AND(O877,COUNTIF(P878:P$1002,P877)=0)</f>
        <v/>
      </c>
      <c r="R877">
        <f>OR(AND(설정!$A$28&lt;&gt;"",ISNUMBER(SEARCH(설정!$A$28,E877&amp;" "&amp;C877))),AND(설정!$A$29&lt;&gt;"",ISNUMBER(SEARCH(설정!$A$29,E877&amp;" "&amp;C877))),AND(설정!$A$30&lt;&gt;"",ISNUMBER(SEARCH(설정!$A$30,E877&amp;" "&amp;C877))),AND(설정!$A$31&lt;&gt;"",ISNUMBER(SEARCH(설정!$A$31,E877&amp;" "&amp;C877))),AND(설정!$A$32&lt;&gt;"",ISNUMBER(SEARCH(설정!$A$32,E877&amp;" "&amp;C877))),AND(설정!$A$33&lt;&gt;"",ISNUMBER(SEARCH(설정!$A$33,E877&amp;" "&amp;C877))),AND(설정!$A$34&lt;&gt;"",ISNUMBER(SEARCH(설정!$A$34,E877&amp;" "&amp;C877))),AND(설정!$A$35&lt;&gt;"",ISNUMBER(SEARCH(설정!$A$35,E877&amp;" "&amp;C877))),AND(설정!$A$36&lt;&gt;"",ISNUMBER(SEARCH(설정!$A$36,E877&amp;" "&amp;C877))),AND(설정!$A$37&lt;&gt;"",ISNUMBER(SEARCH(설정!$A$37,E877&amp;" "&amp;C877))))</f>
        <v/>
      </c>
      <c r="S877">
        <f>OR(D877="",D877&gt;=설정!$B$19)</f>
        <v/>
      </c>
      <c r="T877">
        <f>AND(Q877,R877,S877)</f>
        <v/>
      </c>
      <c r="U877">
        <f>IF(T877,IF(AND(설정!$A$41&lt;&gt;"",ISNUMBER(SEARCH(설정!$A$41,K877))),설정!$B$41,IF(AND(설정!$A$42&lt;&gt;"",ISNUMBER(SEARCH(설정!$A$42,K877))),설정!$B$42,IF(AND(설정!$A$43&lt;&gt;"",ISNUMBER(SEARCH(설정!$A$43,K877))),설정!$B$43,IF(AND(설정!$A$44&lt;&gt;"",ISNUMBER(SEARCH(설정!$A$44,K877))),설정!$B$44,IF(AND(설정!$A$45&lt;&gt;"",ISNUMBER(SEARCH(설정!$A$45,K877))),설정!$B$45,IF(AND(설정!$A$46&lt;&gt;"",ISNUMBER(SEARCH(설정!$A$46,K877))),설정!$B$46,IF(AND(설정!$A$47&lt;&gt;"",ISNUMBER(SEARCH(설정!$A$47,K877))),설정!$B$47,IF(AND(설정!$A$48&lt;&gt;"",ISNUMBER(SEARCH(설정!$A$48,K877))),설정!$B$48,IF(M877="","설계사","시공사"))))))))),"")</f>
        <v/>
      </c>
      <c r="V877">
        <f>SUBSTITUTE(SUBSTITUTE(SUBSTITUTE(SUBSTITUTE(G877,"(주)",""),"㈜",""),"주식회사","")," ","")</f>
        <v/>
      </c>
      <c r="W877">
        <f>IF(AND(T877,V877&lt;&gt;""),IF(COUNTIFS(V$2:V877,V877,T$2:T877,TRUE)=1,MAX(W$1:W876)+1,""),"")</f>
        <v/>
      </c>
      <c r="X877">
        <f>IFERROR(INDEX('1.산군_붙여넣기'!$A$1:$AZ$1001,ROW(),설정!$C$14)&amp;"","")</f>
        <v/>
      </c>
      <c r="Y877">
        <f>IFERROR(INDEX('1.산군_붙여넣기'!$A$1:$AZ$1001,ROW(),설정!$C$15)&amp;"","")</f>
        <v/>
      </c>
      <c r="Z877">
        <f>IF(T877,V877&amp;"|"&amp;U877,"")</f>
        <v/>
      </c>
    </row>
    <row r="878">
      <c r="A878">
        <f>ROW()</f>
        <v/>
      </c>
      <c r="B878">
        <f>IFERROR(INDEX('1.산군_붙여넣기'!$A$1:$AZ$1001,ROW(),설정!$C$4)&amp;"","")</f>
        <v/>
      </c>
      <c r="C878">
        <f>IFERROR(INDEX('1.산군_붙여넣기'!$A$1:$AZ$1001,ROW(),설정!$C$5)&amp;"","")</f>
        <v/>
      </c>
      <c r="D878" s="5">
        <f>IFERROR(VALUE(SUBSTITUTE(SUBSTITUTE(SUBSTITUTE(IFERROR(INDEX('1.산군_붙여넣기'!$A$1:$AZ$1001,ROW(),설정!$C$6)&amp;"",""),",",""),"㎡",""),"m2","")),"")</f>
        <v/>
      </c>
      <c r="E878">
        <f>IFERROR(INDEX('1.산군_붙여넣기'!$A$1:$AZ$1001,ROW(),설정!$C$7)&amp;"","")</f>
        <v/>
      </c>
      <c r="F878">
        <f>IFERROR(INDEX('1.산군_붙여넣기'!$A$1:$AZ$1001,ROW(),설정!$C$8)&amp;"","")</f>
        <v/>
      </c>
      <c r="G878">
        <f>IFERROR(INDEX('1.산군_붙여넣기'!$A$1:$AZ$1001,ROW(),설정!$C$9)&amp;"","")</f>
        <v/>
      </c>
      <c r="H878">
        <f>IFERROR(INDEX('1.산군_붙여넣기'!$A$1:$AZ$1001,ROW(),설정!$C$10)&amp;"","")</f>
        <v/>
      </c>
      <c r="I878">
        <f>IFERROR(INDEX('1.산군_붙여넣기'!$A$1:$AZ$1001,ROW(),설정!$C$11)&amp;"","")</f>
        <v/>
      </c>
      <c r="J878">
        <f>IFERROR(INDEX('1.산군_붙여넣기'!$A$1:$AZ$1001,ROW(),설정!$C$12)&amp;"","")</f>
        <v/>
      </c>
      <c r="K878">
        <f>IFERROR(INDEX('1.산군_붙여넣기'!$A$1:$AZ$1001,ROW(),설정!$C$13)&amp;"","")</f>
        <v/>
      </c>
      <c r="L878" s="6">
        <f>IF(X878="","",IF(AND(LEN(X878)=8,ISNUMBER(X878*1)),DATE(LEFT(X878,4),MID(X878,5,2),RIGHT(X878,2)),IFERROR(DATEVALUE(SUBSTITUTE(SUBSTITUTE(X878,".","-"),"/","-")),IFERROR(X878*1,""))))</f>
        <v/>
      </c>
      <c r="M878" s="6">
        <f>IF(Y878="","",IF(AND(LEN(Y878)=8,ISNUMBER(Y878*1)),DATE(LEFT(Y878,4),MID(Y878,5,2),RIGHT(Y878,2)),IFERROR(DATEVALUE(SUBSTITUTE(SUBSTITUTE(Y878,".","-"),"/","-")),IFERROR(Y878*1,""))))</f>
        <v/>
      </c>
      <c r="N878">
        <f>IFERROR(LEFT(B878,FIND(" ",B878)-1),B878)</f>
        <v/>
      </c>
      <c r="O878">
        <f>AND(B878&lt;&gt;"",B878&lt;&gt;설정!$B$4,C878&lt;&gt;설정!$B$5)</f>
        <v/>
      </c>
      <c r="P878">
        <f>IF(O878,B878&amp;"|"&amp;C878,"")</f>
        <v/>
      </c>
      <c r="Q878">
        <f>AND(O878,COUNTIF(P879:P$1002,P878)=0)</f>
        <v/>
      </c>
      <c r="R878">
        <f>OR(AND(설정!$A$28&lt;&gt;"",ISNUMBER(SEARCH(설정!$A$28,E878&amp;" "&amp;C878))),AND(설정!$A$29&lt;&gt;"",ISNUMBER(SEARCH(설정!$A$29,E878&amp;" "&amp;C878))),AND(설정!$A$30&lt;&gt;"",ISNUMBER(SEARCH(설정!$A$30,E878&amp;" "&amp;C878))),AND(설정!$A$31&lt;&gt;"",ISNUMBER(SEARCH(설정!$A$31,E878&amp;" "&amp;C878))),AND(설정!$A$32&lt;&gt;"",ISNUMBER(SEARCH(설정!$A$32,E878&amp;" "&amp;C878))),AND(설정!$A$33&lt;&gt;"",ISNUMBER(SEARCH(설정!$A$33,E878&amp;" "&amp;C878))),AND(설정!$A$34&lt;&gt;"",ISNUMBER(SEARCH(설정!$A$34,E878&amp;" "&amp;C878))),AND(설정!$A$35&lt;&gt;"",ISNUMBER(SEARCH(설정!$A$35,E878&amp;" "&amp;C878))),AND(설정!$A$36&lt;&gt;"",ISNUMBER(SEARCH(설정!$A$36,E878&amp;" "&amp;C878))),AND(설정!$A$37&lt;&gt;"",ISNUMBER(SEARCH(설정!$A$37,E878&amp;" "&amp;C878))))</f>
        <v/>
      </c>
      <c r="S878">
        <f>OR(D878="",D878&gt;=설정!$B$19)</f>
        <v/>
      </c>
      <c r="T878">
        <f>AND(Q878,R878,S878)</f>
        <v/>
      </c>
      <c r="U878">
        <f>IF(T878,IF(AND(설정!$A$41&lt;&gt;"",ISNUMBER(SEARCH(설정!$A$41,K878))),설정!$B$41,IF(AND(설정!$A$42&lt;&gt;"",ISNUMBER(SEARCH(설정!$A$42,K878))),설정!$B$42,IF(AND(설정!$A$43&lt;&gt;"",ISNUMBER(SEARCH(설정!$A$43,K878))),설정!$B$43,IF(AND(설정!$A$44&lt;&gt;"",ISNUMBER(SEARCH(설정!$A$44,K878))),설정!$B$44,IF(AND(설정!$A$45&lt;&gt;"",ISNUMBER(SEARCH(설정!$A$45,K878))),설정!$B$45,IF(AND(설정!$A$46&lt;&gt;"",ISNUMBER(SEARCH(설정!$A$46,K878))),설정!$B$46,IF(AND(설정!$A$47&lt;&gt;"",ISNUMBER(SEARCH(설정!$A$47,K878))),설정!$B$47,IF(AND(설정!$A$48&lt;&gt;"",ISNUMBER(SEARCH(설정!$A$48,K878))),설정!$B$48,IF(M878="","설계사","시공사"))))))))),"")</f>
        <v/>
      </c>
      <c r="V878">
        <f>SUBSTITUTE(SUBSTITUTE(SUBSTITUTE(SUBSTITUTE(G878,"(주)",""),"㈜",""),"주식회사","")," ","")</f>
        <v/>
      </c>
      <c r="W878">
        <f>IF(AND(T878,V878&lt;&gt;""),IF(COUNTIFS(V$2:V878,V878,T$2:T878,TRUE)=1,MAX(W$1:W877)+1,""),"")</f>
        <v/>
      </c>
      <c r="X878">
        <f>IFERROR(INDEX('1.산군_붙여넣기'!$A$1:$AZ$1001,ROW(),설정!$C$14)&amp;"","")</f>
        <v/>
      </c>
      <c r="Y878">
        <f>IFERROR(INDEX('1.산군_붙여넣기'!$A$1:$AZ$1001,ROW(),설정!$C$15)&amp;"","")</f>
        <v/>
      </c>
      <c r="Z878">
        <f>IF(T878,V878&amp;"|"&amp;U878,"")</f>
        <v/>
      </c>
    </row>
    <row r="879">
      <c r="A879">
        <f>ROW()</f>
        <v/>
      </c>
      <c r="B879">
        <f>IFERROR(INDEX('1.산군_붙여넣기'!$A$1:$AZ$1001,ROW(),설정!$C$4)&amp;"","")</f>
        <v/>
      </c>
      <c r="C879">
        <f>IFERROR(INDEX('1.산군_붙여넣기'!$A$1:$AZ$1001,ROW(),설정!$C$5)&amp;"","")</f>
        <v/>
      </c>
      <c r="D879" s="5">
        <f>IFERROR(VALUE(SUBSTITUTE(SUBSTITUTE(SUBSTITUTE(IFERROR(INDEX('1.산군_붙여넣기'!$A$1:$AZ$1001,ROW(),설정!$C$6)&amp;"",""),",",""),"㎡",""),"m2","")),"")</f>
        <v/>
      </c>
      <c r="E879">
        <f>IFERROR(INDEX('1.산군_붙여넣기'!$A$1:$AZ$1001,ROW(),설정!$C$7)&amp;"","")</f>
        <v/>
      </c>
      <c r="F879">
        <f>IFERROR(INDEX('1.산군_붙여넣기'!$A$1:$AZ$1001,ROW(),설정!$C$8)&amp;"","")</f>
        <v/>
      </c>
      <c r="G879">
        <f>IFERROR(INDEX('1.산군_붙여넣기'!$A$1:$AZ$1001,ROW(),설정!$C$9)&amp;"","")</f>
        <v/>
      </c>
      <c r="H879">
        <f>IFERROR(INDEX('1.산군_붙여넣기'!$A$1:$AZ$1001,ROW(),설정!$C$10)&amp;"","")</f>
        <v/>
      </c>
      <c r="I879">
        <f>IFERROR(INDEX('1.산군_붙여넣기'!$A$1:$AZ$1001,ROW(),설정!$C$11)&amp;"","")</f>
        <v/>
      </c>
      <c r="J879">
        <f>IFERROR(INDEX('1.산군_붙여넣기'!$A$1:$AZ$1001,ROW(),설정!$C$12)&amp;"","")</f>
        <v/>
      </c>
      <c r="K879">
        <f>IFERROR(INDEX('1.산군_붙여넣기'!$A$1:$AZ$1001,ROW(),설정!$C$13)&amp;"","")</f>
        <v/>
      </c>
      <c r="L879" s="6">
        <f>IF(X879="","",IF(AND(LEN(X879)=8,ISNUMBER(X879*1)),DATE(LEFT(X879,4),MID(X879,5,2),RIGHT(X879,2)),IFERROR(DATEVALUE(SUBSTITUTE(SUBSTITUTE(X879,".","-"),"/","-")),IFERROR(X879*1,""))))</f>
        <v/>
      </c>
      <c r="M879" s="6">
        <f>IF(Y879="","",IF(AND(LEN(Y879)=8,ISNUMBER(Y879*1)),DATE(LEFT(Y879,4),MID(Y879,5,2),RIGHT(Y879,2)),IFERROR(DATEVALUE(SUBSTITUTE(SUBSTITUTE(Y879,".","-"),"/","-")),IFERROR(Y879*1,""))))</f>
        <v/>
      </c>
      <c r="N879">
        <f>IFERROR(LEFT(B879,FIND(" ",B879)-1),B879)</f>
        <v/>
      </c>
      <c r="O879">
        <f>AND(B879&lt;&gt;"",B879&lt;&gt;설정!$B$4,C879&lt;&gt;설정!$B$5)</f>
        <v/>
      </c>
      <c r="P879">
        <f>IF(O879,B879&amp;"|"&amp;C879,"")</f>
        <v/>
      </c>
      <c r="Q879">
        <f>AND(O879,COUNTIF(P880:P$1002,P879)=0)</f>
        <v/>
      </c>
      <c r="R879">
        <f>OR(AND(설정!$A$28&lt;&gt;"",ISNUMBER(SEARCH(설정!$A$28,E879&amp;" "&amp;C879))),AND(설정!$A$29&lt;&gt;"",ISNUMBER(SEARCH(설정!$A$29,E879&amp;" "&amp;C879))),AND(설정!$A$30&lt;&gt;"",ISNUMBER(SEARCH(설정!$A$30,E879&amp;" "&amp;C879))),AND(설정!$A$31&lt;&gt;"",ISNUMBER(SEARCH(설정!$A$31,E879&amp;" "&amp;C879))),AND(설정!$A$32&lt;&gt;"",ISNUMBER(SEARCH(설정!$A$32,E879&amp;" "&amp;C879))),AND(설정!$A$33&lt;&gt;"",ISNUMBER(SEARCH(설정!$A$33,E879&amp;" "&amp;C879))),AND(설정!$A$34&lt;&gt;"",ISNUMBER(SEARCH(설정!$A$34,E879&amp;" "&amp;C879))),AND(설정!$A$35&lt;&gt;"",ISNUMBER(SEARCH(설정!$A$35,E879&amp;" "&amp;C879))),AND(설정!$A$36&lt;&gt;"",ISNUMBER(SEARCH(설정!$A$36,E879&amp;" "&amp;C879))),AND(설정!$A$37&lt;&gt;"",ISNUMBER(SEARCH(설정!$A$37,E879&amp;" "&amp;C879))))</f>
        <v/>
      </c>
      <c r="S879">
        <f>OR(D879="",D879&gt;=설정!$B$19)</f>
        <v/>
      </c>
      <c r="T879">
        <f>AND(Q879,R879,S879)</f>
        <v/>
      </c>
      <c r="U879">
        <f>IF(T879,IF(AND(설정!$A$41&lt;&gt;"",ISNUMBER(SEARCH(설정!$A$41,K879))),설정!$B$41,IF(AND(설정!$A$42&lt;&gt;"",ISNUMBER(SEARCH(설정!$A$42,K879))),설정!$B$42,IF(AND(설정!$A$43&lt;&gt;"",ISNUMBER(SEARCH(설정!$A$43,K879))),설정!$B$43,IF(AND(설정!$A$44&lt;&gt;"",ISNUMBER(SEARCH(설정!$A$44,K879))),설정!$B$44,IF(AND(설정!$A$45&lt;&gt;"",ISNUMBER(SEARCH(설정!$A$45,K879))),설정!$B$45,IF(AND(설정!$A$46&lt;&gt;"",ISNUMBER(SEARCH(설정!$A$46,K879))),설정!$B$46,IF(AND(설정!$A$47&lt;&gt;"",ISNUMBER(SEARCH(설정!$A$47,K879))),설정!$B$47,IF(AND(설정!$A$48&lt;&gt;"",ISNUMBER(SEARCH(설정!$A$48,K879))),설정!$B$48,IF(M879="","설계사","시공사"))))))))),"")</f>
        <v/>
      </c>
      <c r="V879">
        <f>SUBSTITUTE(SUBSTITUTE(SUBSTITUTE(SUBSTITUTE(G879,"(주)",""),"㈜",""),"주식회사","")," ","")</f>
        <v/>
      </c>
      <c r="W879">
        <f>IF(AND(T879,V879&lt;&gt;""),IF(COUNTIFS(V$2:V879,V879,T$2:T879,TRUE)=1,MAX(W$1:W878)+1,""),"")</f>
        <v/>
      </c>
      <c r="X879">
        <f>IFERROR(INDEX('1.산군_붙여넣기'!$A$1:$AZ$1001,ROW(),설정!$C$14)&amp;"","")</f>
        <v/>
      </c>
      <c r="Y879">
        <f>IFERROR(INDEX('1.산군_붙여넣기'!$A$1:$AZ$1001,ROW(),설정!$C$15)&amp;"","")</f>
        <v/>
      </c>
      <c r="Z879">
        <f>IF(T879,V879&amp;"|"&amp;U879,"")</f>
        <v/>
      </c>
    </row>
    <row r="880">
      <c r="A880">
        <f>ROW()</f>
        <v/>
      </c>
      <c r="B880">
        <f>IFERROR(INDEX('1.산군_붙여넣기'!$A$1:$AZ$1001,ROW(),설정!$C$4)&amp;"","")</f>
        <v/>
      </c>
      <c r="C880">
        <f>IFERROR(INDEX('1.산군_붙여넣기'!$A$1:$AZ$1001,ROW(),설정!$C$5)&amp;"","")</f>
        <v/>
      </c>
      <c r="D880" s="5">
        <f>IFERROR(VALUE(SUBSTITUTE(SUBSTITUTE(SUBSTITUTE(IFERROR(INDEX('1.산군_붙여넣기'!$A$1:$AZ$1001,ROW(),설정!$C$6)&amp;"",""),",",""),"㎡",""),"m2","")),"")</f>
        <v/>
      </c>
      <c r="E880">
        <f>IFERROR(INDEX('1.산군_붙여넣기'!$A$1:$AZ$1001,ROW(),설정!$C$7)&amp;"","")</f>
        <v/>
      </c>
      <c r="F880">
        <f>IFERROR(INDEX('1.산군_붙여넣기'!$A$1:$AZ$1001,ROW(),설정!$C$8)&amp;"","")</f>
        <v/>
      </c>
      <c r="G880">
        <f>IFERROR(INDEX('1.산군_붙여넣기'!$A$1:$AZ$1001,ROW(),설정!$C$9)&amp;"","")</f>
        <v/>
      </c>
      <c r="H880">
        <f>IFERROR(INDEX('1.산군_붙여넣기'!$A$1:$AZ$1001,ROW(),설정!$C$10)&amp;"","")</f>
        <v/>
      </c>
      <c r="I880">
        <f>IFERROR(INDEX('1.산군_붙여넣기'!$A$1:$AZ$1001,ROW(),설정!$C$11)&amp;"","")</f>
        <v/>
      </c>
      <c r="J880">
        <f>IFERROR(INDEX('1.산군_붙여넣기'!$A$1:$AZ$1001,ROW(),설정!$C$12)&amp;"","")</f>
        <v/>
      </c>
      <c r="K880">
        <f>IFERROR(INDEX('1.산군_붙여넣기'!$A$1:$AZ$1001,ROW(),설정!$C$13)&amp;"","")</f>
        <v/>
      </c>
      <c r="L880" s="6">
        <f>IF(X880="","",IF(AND(LEN(X880)=8,ISNUMBER(X880*1)),DATE(LEFT(X880,4),MID(X880,5,2),RIGHT(X880,2)),IFERROR(DATEVALUE(SUBSTITUTE(SUBSTITUTE(X880,".","-"),"/","-")),IFERROR(X880*1,""))))</f>
        <v/>
      </c>
      <c r="M880" s="6">
        <f>IF(Y880="","",IF(AND(LEN(Y880)=8,ISNUMBER(Y880*1)),DATE(LEFT(Y880,4),MID(Y880,5,2),RIGHT(Y880,2)),IFERROR(DATEVALUE(SUBSTITUTE(SUBSTITUTE(Y880,".","-"),"/","-")),IFERROR(Y880*1,""))))</f>
        <v/>
      </c>
      <c r="N880">
        <f>IFERROR(LEFT(B880,FIND(" ",B880)-1),B880)</f>
        <v/>
      </c>
      <c r="O880">
        <f>AND(B880&lt;&gt;"",B880&lt;&gt;설정!$B$4,C880&lt;&gt;설정!$B$5)</f>
        <v/>
      </c>
      <c r="P880">
        <f>IF(O880,B880&amp;"|"&amp;C880,"")</f>
        <v/>
      </c>
      <c r="Q880">
        <f>AND(O880,COUNTIF(P881:P$1002,P880)=0)</f>
        <v/>
      </c>
      <c r="R880">
        <f>OR(AND(설정!$A$28&lt;&gt;"",ISNUMBER(SEARCH(설정!$A$28,E880&amp;" "&amp;C880))),AND(설정!$A$29&lt;&gt;"",ISNUMBER(SEARCH(설정!$A$29,E880&amp;" "&amp;C880))),AND(설정!$A$30&lt;&gt;"",ISNUMBER(SEARCH(설정!$A$30,E880&amp;" "&amp;C880))),AND(설정!$A$31&lt;&gt;"",ISNUMBER(SEARCH(설정!$A$31,E880&amp;" "&amp;C880))),AND(설정!$A$32&lt;&gt;"",ISNUMBER(SEARCH(설정!$A$32,E880&amp;" "&amp;C880))),AND(설정!$A$33&lt;&gt;"",ISNUMBER(SEARCH(설정!$A$33,E880&amp;" "&amp;C880))),AND(설정!$A$34&lt;&gt;"",ISNUMBER(SEARCH(설정!$A$34,E880&amp;" "&amp;C880))),AND(설정!$A$35&lt;&gt;"",ISNUMBER(SEARCH(설정!$A$35,E880&amp;" "&amp;C880))),AND(설정!$A$36&lt;&gt;"",ISNUMBER(SEARCH(설정!$A$36,E880&amp;" "&amp;C880))),AND(설정!$A$37&lt;&gt;"",ISNUMBER(SEARCH(설정!$A$37,E880&amp;" "&amp;C880))))</f>
        <v/>
      </c>
      <c r="S880">
        <f>OR(D880="",D880&gt;=설정!$B$19)</f>
        <v/>
      </c>
      <c r="T880">
        <f>AND(Q880,R880,S880)</f>
        <v/>
      </c>
      <c r="U880">
        <f>IF(T880,IF(AND(설정!$A$41&lt;&gt;"",ISNUMBER(SEARCH(설정!$A$41,K880))),설정!$B$41,IF(AND(설정!$A$42&lt;&gt;"",ISNUMBER(SEARCH(설정!$A$42,K880))),설정!$B$42,IF(AND(설정!$A$43&lt;&gt;"",ISNUMBER(SEARCH(설정!$A$43,K880))),설정!$B$43,IF(AND(설정!$A$44&lt;&gt;"",ISNUMBER(SEARCH(설정!$A$44,K880))),설정!$B$44,IF(AND(설정!$A$45&lt;&gt;"",ISNUMBER(SEARCH(설정!$A$45,K880))),설정!$B$45,IF(AND(설정!$A$46&lt;&gt;"",ISNUMBER(SEARCH(설정!$A$46,K880))),설정!$B$46,IF(AND(설정!$A$47&lt;&gt;"",ISNUMBER(SEARCH(설정!$A$47,K880))),설정!$B$47,IF(AND(설정!$A$48&lt;&gt;"",ISNUMBER(SEARCH(설정!$A$48,K880))),설정!$B$48,IF(M880="","설계사","시공사"))))))))),"")</f>
        <v/>
      </c>
      <c r="V880">
        <f>SUBSTITUTE(SUBSTITUTE(SUBSTITUTE(SUBSTITUTE(G880,"(주)",""),"㈜",""),"주식회사","")," ","")</f>
        <v/>
      </c>
      <c r="W880">
        <f>IF(AND(T880,V880&lt;&gt;""),IF(COUNTIFS(V$2:V880,V880,T$2:T880,TRUE)=1,MAX(W$1:W879)+1,""),"")</f>
        <v/>
      </c>
      <c r="X880">
        <f>IFERROR(INDEX('1.산군_붙여넣기'!$A$1:$AZ$1001,ROW(),설정!$C$14)&amp;"","")</f>
        <v/>
      </c>
      <c r="Y880">
        <f>IFERROR(INDEX('1.산군_붙여넣기'!$A$1:$AZ$1001,ROW(),설정!$C$15)&amp;"","")</f>
        <v/>
      </c>
      <c r="Z880">
        <f>IF(T880,V880&amp;"|"&amp;U880,"")</f>
        <v/>
      </c>
    </row>
    <row r="881">
      <c r="A881">
        <f>ROW()</f>
        <v/>
      </c>
      <c r="B881">
        <f>IFERROR(INDEX('1.산군_붙여넣기'!$A$1:$AZ$1001,ROW(),설정!$C$4)&amp;"","")</f>
        <v/>
      </c>
      <c r="C881">
        <f>IFERROR(INDEX('1.산군_붙여넣기'!$A$1:$AZ$1001,ROW(),설정!$C$5)&amp;"","")</f>
        <v/>
      </c>
      <c r="D881" s="5">
        <f>IFERROR(VALUE(SUBSTITUTE(SUBSTITUTE(SUBSTITUTE(IFERROR(INDEX('1.산군_붙여넣기'!$A$1:$AZ$1001,ROW(),설정!$C$6)&amp;"",""),",",""),"㎡",""),"m2","")),"")</f>
        <v/>
      </c>
      <c r="E881">
        <f>IFERROR(INDEX('1.산군_붙여넣기'!$A$1:$AZ$1001,ROW(),설정!$C$7)&amp;"","")</f>
        <v/>
      </c>
      <c r="F881">
        <f>IFERROR(INDEX('1.산군_붙여넣기'!$A$1:$AZ$1001,ROW(),설정!$C$8)&amp;"","")</f>
        <v/>
      </c>
      <c r="G881">
        <f>IFERROR(INDEX('1.산군_붙여넣기'!$A$1:$AZ$1001,ROW(),설정!$C$9)&amp;"","")</f>
        <v/>
      </c>
      <c r="H881">
        <f>IFERROR(INDEX('1.산군_붙여넣기'!$A$1:$AZ$1001,ROW(),설정!$C$10)&amp;"","")</f>
        <v/>
      </c>
      <c r="I881">
        <f>IFERROR(INDEX('1.산군_붙여넣기'!$A$1:$AZ$1001,ROW(),설정!$C$11)&amp;"","")</f>
        <v/>
      </c>
      <c r="J881">
        <f>IFERROR(INDEX('1.산군_붙여넣기'!$A$1:$AZ$1001,ROW(),설정!$C$12)&amp;"","")</f>
        <v/>
      </c>
      <c r="K881">
        <f>IFERROR(INDEX('1.산군_붙여넣기'!$A$1:$AZ$1001,ROW(),설정!$C$13)&amp;"","")</f>
        <v/>
      </c>
      <c r="L881" s="6">
        <f>IF(X881="","",IF(AND(LEN(X881)=8,ISNUMBER(X881*1)),DATE(LEFT(X881,4),MID(X881,5,2),RIGHT(X881,2)),IFERROR(DATEVALUE(SUBSTITUTE(SUBSTITUTE(X881,".","-"),"/","-")),IFERROR(X881*1,""))))</f>
        <v/>
      </c>
      <c r="M881" s="6">
        <f>IF(Y881="","",IF(AND(LEN(Y881)=8,ISNUMBER(Y881*1)),DATE(LEFT(Y881,4),MID(Y881,5,2),RIGHT(Y881,2)),IFERROR(DATEVALUE(SUBSTITUTE(SUBSTITUTE(Y881,".","-"),"/","-")),IFERROR(Y881*1,""))))</f>
        <v/>
      </c>
      <c r="N881">
        <f>IFERROR(LEFT(B881,FIND(" ",B881)-1),B881)</f>
        <v/>
      </c>
      <c r="O881">
        <f>AND(B881&lt;&gt;"",B881&lt;&gt;설정!$B$4,C881&lt;&gt;설정!$B$5)</f>
        <v/>
      </c>
      <c r="P881">
        <f>IF(O881,B881&amp;"|"&amp;C881,"")</f>
        <v/>
      </c>
      <c r="Q881">
        <f>AND(O881,COUNTIF(P882:P$1002,P881)=0)</f>
        <v/>
      </c>
      <c r="R881">
        <f>OR(AND(설정!$A$28&lt;&gt;"",ISNUMBER(SEARCH(설정!$A$28,E881&amp;" "&amp;C881))),AND(설정!$A$29&lt;&gt;"",ISNUMBER(SEARCH(설정!$A$29,E881&amp;" "&amp;C881))),AND(설정!$A$30&lt;&gt;"",ISNUMBER(SEARCH(설정!$A$30,E881&amp;" "&amp;C881))),AND(설정!$A$31&lt;&gt;"",ISNUMBER(SEARCH(설정!$A$31,E881&amp;" "&amp;C881))),AND(설정!$A$32&lt;&gt;"",ISNUMBER(SEARCH(설정!$A$32,E881&amp;" "&amp;C881))),AND(설정!$A$33&lt;&gt;"",ISNUMBER(SEARCH(설정!$A$33,E881&amp;" "&amp;C881))),AND(설정!$A$34&lt;&gt;"",ISNUMBER(SEARCH(설정!$A$34,E881&amp;" "&amp;C881))),AND(설정!$A$35&lt;&gt;"",ISNUMBER(SEARCH(설정!$A$35,E881&amp;" "&amp;C881))),AND(설정!$A$36&lt;&gt;"",ISNUMBER(SEARCH(설정!$A$36,E881&amp;" "&amp;C881))),AND(설정!$A$37&lt;&gt;"",ISNUMBER(SEARCH(설정!$A$37,E881&amp;" "&amp;C881))))</f>
        <v/>
      </c>
      <c r="S881">
        <f>OR(D881="",D881&gt;=설정!$B$19)</f>
        <v/>
      </c>
      <c r="T881">
        <f>AND(Q881,R881,S881)</f>
        <v/>
      </c>
      <c r="U881">
        <f>IF(T881,IF(AND(설정!$A$41&lt;&gt;"",ISNUMBER(SEARCH(설정!$A$41,K881))),설정!$B$41,IF(AND(설정!$A$42&lt;&gt;"",ISNUMBER(SEARCH(설정!$A$42,K881))),설정!$B$42,IF(AND(설정!$A$43&lt;&gt;"",ISNUMBER(SEARCH(설정!$A$43,K881))),설정!$B$43,IF(AND(설정!$A$44&lt;&gt;"",ISNUMBER(SEARCH(설정!$A$44,K881))),설정!$B$44,IF(AND(설정!$A$45&lt;&gt;"",ISNUMBER(SEARCH(설정!$A$45,K881))),설정!$B$45,IF(AND(설정!$A$46&lt;&gt;"",ISNUMBER(SEARCH(설정!$A$46,K881))),설정!$B$46,IF(AND(설정!$A$47&lt;&gt;"",ISNUMBER(SEARCH(설정!$A$47,K881))),설정!$B$47,IF(AND(설정!$A$48&lt;&gt;"",ISNUMBER(SEARCH(설정!$A$48,K881))),설정!$B$48,IF(M881="","설계사","시공사"))))))))),"")</f>
        <v/>
      </c>
      <c r="V881">
        <f>SUBSTITUTE(SUBSTITUTE(SUBSTITUTE(SUBSTITUTE(G881,"(주)",""),"㈜",""),"주식회사","")," ","")</f>
        <v/>
      </c>
      <c r="W881">
        <f>IF(AND(T881,V881&lt;&gt;""),IF(COUNTIFS(V$2:V881,V881,T$2:T881,TRUE)=1,MAX(W$1:W880)+1,""),"")</f>
        <v/>
      </c>
      <c r="X881">
        <f>IFERROR(INDEX('1.산군_붙여넣기'!$A$1:$AZ$1001,ROW(),설정!$C$14)&amp;"","")</f>
        <v/>
      </c>
      <c r="Y881">
        <f>IFERROR(INDEX('1.산군_붙여넣기'!$A$1:$AZ$1001,ROW(),설정!$C$15)&amp;"","")</f>
        <v/>
      </c>
      <c r="Z881">
        <f>IF(T881,V881&amp;"|"&amp;U881,"")</f>
        <v/>
      </c>
    </row>
    <row r="882">
      <c r="A882">
        <f>ROW()</f>
        <v/>
      </c>
      <c r="B882">
        <f>IFERROR(INDEX('1.산군_붙여넣기'!$A$1:$AZ$1001,ROW(),설정!$C$4)&amp;"","")</f>
        <v/>
      </c>
      <c r="C882">
        <f>IFERROR(INDEX('1.산군_붙여넣기'!$A$1:$AZ$1001,ROW(),설정!$C$5)&amp;"","")</f>
        <v/>
      </c>
      <c r="D882" s="5">
        <f>IFERROR(VALUE(SUBSTITUTE(SUBSTITUTE(SUBSTITUTE(IFERROR(INDEX('1.산군_붙여넣기'!$A$1:$AZ$1001,ROW(),설정!$C$6)&amp;"",""),",",""),"㎡",""),"m2","")),"")</f>
        <v/>
      </c>
      <c r="E882">
        <f>IFERROR(INDEX('1.산군_붙여넣기'!$A$1:$AZ$1001,ROW(),설정!$C$7)&amp;"","")</f>
        <v/>
      </c>
      <c r="F882">
        <f>IFERROR(INDEX('1.산군_붙여넣기'!$A$1:$AZ$1001,ROW(),설정!$C$8)&amp;"","")</f>
        <v/>
      </c>
      <c r="G882">
        <f>IFERROR(INDEX('1.산군_붙여넣기'!$A$1:$AZ$1001,ROW(),설정!$C$9)&amp;"","")</f>
        <v/>
      </c>
      <c r="H882">
        <f>IFERROR(INDEX('1.산군_붙여넣기'!$A$1:$AZ$1001,ROW(),설정!$C$10)&amp;"","")</f>
        <v/>
      </c>
      <c r="I882">
        <f>IFERROR(INDEX('1.산군_붙여넣기'!$A$1:$AZ$1001,ROW(),설정!$C$11)&amp;"","")</f>
        <v/>
      </c>
      <c r="J882">
        <f>IFERROR(INDEX('1.산군_붙여넣기'!$A$1:$AZ$1001,ROW(),설정!$C$12)&amp;"","")</f>
        <v/>
      </c>
      <c r="K882">
        <f>IFERROR(INDEX('1.산군_붙여넣기'!$A$1:$AZ$1001,ROW(),설정!$C$13)&amp;"","")</f>
        <v/>
      </c>
      <c r="L882" s="6">
        <f>IF(X882="","",IF(AND(LEN(X882)=8,ISNUMBER(X882*1)),DATE(LEFT(X882,4),MID(X882,5,2),RIGHT(X882,2)),IFERROR(DATEVALUE(SUBSTITUTE(SUBSTITUTE(X882,".","-"),"/","-")),IFERROR(X882*1,""))))</f>
        <v/>
      </c>
      <c r="M882" s="6">
        <f>IF(Y882="","",IF(AND(LEN(Y882)=8,ISNUMBER(Y882*1)),DATE(LEFT(Y882,4),MID(Y882,5,2),RIGHT(Y882,2)),IFERROR(DATEVALUE(SUBSTITUTE(SUBSTITUTE(Y882,".","-"),"/","-")),IFERROR(Y882*1,""))))</f>
        <v/>
      </c>
      <c r="N882">
        <f>IFERROR(LEFT(B882,FIND(" ",B882)-1),B882)</f>
        <v/>
      </c>
      <c r="O882">
        <f>AND(B882&lt;&gt;"",B882&lt;&gt;설정!$B$4,C882&lt;&gt;설정!$B$5)</f>
        <v/>
      </c>
      <c r="P882">
        <f>IF(O882,B882&amp;"|"&amp;C882,"")</f>
        <v/>
      </c>
      <c r="Q882">
        <f>AND(O882,COUNTIF(P883:P$1002,P882)=0)</f>
        <v/>
      </c>
      <c r="R882">
        <f>OR(AND(설정!$A$28&lt;&gt;"",ISNUMBER(SEARCH(설정!$A$28,E882&amp;" "&amp;C882))),AND(설정!$A$29&lt;&gt;"",ISNUMBER(SEARCH(설정!$A$29,E882&amp;" "&amp;C882))),AND(설정!$A$30&lt;&gt;"",ISNUMBER(SEARCH(설정!$A$30,E882&amp;" "&amp;C882))),AND(설정!$A$31&lt;&gt;"",ISNUMBER(SEARCH(설정!$A$31,E882&amp;" "&amp;C882))),AND(설정!$A$32&lt;&gt;"",ISNUMBER(SEARCH(설정!$A$32,E882&amp;" "&amp;C882))),AND(설정!$A$33&lt;&gt;"",ISNUMBER(SEARCH(설정!$A$33,E882&amp;" "&amp;C882))),AND(설정!$A$34&lt;&gt;"",ISNUMBER(SEARCH(설정!$A$34,E882&amp;" "&amp;C882))),AND(설정!$A$35&lt;&gt;"",ISNUMBER(SEARCH(설정!$A$35,E882&amp;" "&amp;C882))),AND(설정!$A$36&lt;&gt;"",ISNUMBER(SEARCH(설정!$A$36,E882&amp;" "&amp;C882))),AND(설정!$A$37&lt;&gt;"",ISNUMBER(SEARCH(설정!$A$37,E882&amp;" "&amp;C882))))</f>
        <v/>
      </c>
      <c r="S882">
        <f>OR(D882="",D882&gt;=설정!$B$19)</f>
        <v/>
      </c>
      <c r="T882">
        <f>AND(Q882,R882,S882)</f>
        <v/>
      </c>
      <c r="U882">
        <f>IF(T882,IF(AND(설정!$A$41&lt;&gt;"",ISNUMBER(SEARCH(설정!$A$41,K882))),설정!$B$41,IF(AND(설정!$A$42&lt;&gt;"",ISNUMBER(SEARCH(설정!$A$42,K882))),설정!$B$42,IF(AND(설정!$A$43&lt;&gt;"",ISNUMBER(SEARCH(설정!$A$43,K882))),설정!$B$43,IF(AND(설정!$A$44&lt;&gt;"",ISNUMBER(SEARCH(설정!$A$44,K882))),설정!$B$44,IF(AND(설정!$A$45&lt;&gt;"",ISNUMBER(SEARCH(설정!$A$45,K882))),설정!$B$45,IF(AND(설정!$A$46&lt;&gt;"",ISNUMBER(SEARCH(설정!$A$46,K882))),설정!$B$46,IF(AND(설정!$A$47&lt;&gt;"",ISNUMBER(SEARCH(설정!$A$47,K882))),설정!$B$47,IF(AND(설정!$A$48&lt;&gt;"",ISNUMBER(SEARCH(설정!$A$48,K882))),설정!$B$48,IF(M882="","설계사","시공사"))))))))),"")</f>
        <v/>
      </c>
      <c r="V882">
        <f>SUBSTITUTE(SUBSTITUTE(SUBSTITUTE(SUBSTITUTE(G882,"(주)",""),"㈜",""),"주식회사","")," ","")</f>
        <v/>
      </c>
      <c r="W882">
        <f>IF(AND(T882,V882&lt;&gt;""),IF(COUNTIFS(V$2:V882,V882,T$2:T882,TRUE)=1,MAX(W$1:W881)+1,""),"")</f>
        <v/>
      </c>
      <c r="X882">
        <f>IFERROR(INDEX('1.산군_붙여넣기'!$A$1:$AZ$1001,ROW(),설정!$C$14)&amp;"","")</f>
        <v/>
      </c>
      <c r="Y882">
        <f>IFERROR(INDEX('1.산군_붙여넣기'!$A$1:$AZ$1001,ROW(),설정!$C$15)&amp;"","")</f>
        <v/>
      </c>
      <c r="Z882">
        <f>IF(T882,V882&amp;"|"&amp;U882,"")</f>
        <v/>
      </c>
    </row>
    <row r="883">
      <c r="A883">
        <f>ROW()</f>
        <v/>
      </c>
      <c r="B883">
        <f>IFERROR(INDEX('1.산군_붙여넣기'!$A$1:$AZ$1001,ROW(),설정!$C$4)&amp;"","")</f>
        <v/>
      </c>
      <c r="C883">
        <f>IFERROR(INDEX('1.산군_붙여넣기'!$A$1:$AZ$1001,ROW(),설정!$C$5)&amp;"","")</f>
        <v/>
      </c>
      <c r="D883" s="5">
        <f>IFERROR(VALUE(SUBSTITUTE(SUBSTITUTE(SUBSTITUTE(IFERROR(INDEX('1.산군_붙여넣기'!$A$1:$AZ$1001,ROW(),설정!$C$6)&amp;"",""),",",""),"㎡",""),"m2","")),"")</f>
        <v/>
      </c>
      <c r="E883">
        <f>IFERROR(INDEX('1.산군_붙여넣기'!$A$1:$AZ$1001,ROW(),설정!$C$7)&amp;"","")</f>
        <v/>
      </c>
      <c r="F883">
        <f>IFERROR(INDEX('1.산군_붙여넣기'!$A$1:$AZ$1001,ROW(),설정!$C$8)&amp;"","")</f>
        <v/>
      </c>
      <c r="G883">
        <f>IFERROR(INDEX('1.산군_붙여넣기'!$A$1:$AZ$1001,ROW(),설정!$C$9)&amp;"","")</f>
        <v/>
      </c>
      <c r="H883">
        <f>IFERROR(INDEX('1.산군_붙여넣기'!$A$1:$AZ$1001,ROW(),설정!$C$10)&amp;"","")</f>
        <v/>
      </c>
      <c r="I883">
        <f>IFERROR(INDEX('1.산군_붙여넣기'!$A$1:$AZ$1001,ROW(),설정!$C$11)&amp;"","")</f>
        <v/>
      </c>
      <c r="J883">
        <f>IFERROR(INDEX('1.산군_붙여넣기'!$A$1:$AZ$1001,ROW(),설정!$C$12)&amp;"","")</f>
        <v/>
      </c>
      <c r="K883">
        <f>IFERROR(INDEX('1.산군_붙여넣기'!$A$1:$AZ$1001,ROW(),설정!$C$13)&amp;"","")</f>
        <v/>
      </c>
      <c r="L883" s="6">
        <f>IF(X883="","",IF(AND(LEN(X883)=8,ISNUMBER(X883*1)),DATE(LEFT(X883,4),MID(X883,5,2),RIGHT(X883,2)),IFERROR(DATEVALUE(SUBSTITUTE(SUBSTITUTE(X883,".","-"),"/","-")),IFERROR(X883*1,""))))</f>
        <v/>
      </c>
      <c r="M883" s="6">
        <f>IF(Y883="","",IF(AND(LEN(Y883)=8,ISNUMBER(Y883*1)),DATE(LEFT(Y883,4),MID(Y883,5,2),RIGHT(Y883,2)),IFERROR(DATEVALUE(SUBSTITUTE(SUBSTITUTE(Y883,".","-"),"/","-")),IFERROR(Y883*1,""))))</f>
        <v/>
      </c>
      <c r="N883">
        <f>IFERROR(LEFT(B883,FIND(" ",B883)-1),B883)</f>
        <v/>
      </c>
      <c r="O883">
        <f>AND(B883&lt;&gt;"",B883&lt;&gt;설정!$B$4,C883&lt;&gt;설정!$B$5)</f>
        <v/>
      </c>
      <c r="P883">
        <f>IF(O883,B883&amp;"|"&amp;C883,"")</f>
        <v/>
      </c>
      <c r="Q883">
        <f>AND(O883,COUNTIF(P884:P$1002,P883)=0)</f>
        <v/>
      </c>
      <c r="R883">
        <f>OR(AND(설정!$A$28&lt;&gt;"",ISNUMBER(SEARCH(설정!$A$28,E883&amp;" "&amp;C883))),AND(설정!$A$29&lt;&gt;"",ISNUMBER(SEARCH(설정!$A$29,E883&amp;" "&amp;C883))),AND(설정!$A$30&lt;&gt;"",ISNUMBER(SEARCH(설정!$A$30,E883&amp;" "&amp;C883))),AND(설정!$A$31&lt;&gt;"",ISNUMBER(SEARCH(설정!$A$31,E883&amp;" "&amp;C883))),AND(설정!$A$32&lt;&gt;"",ISNUMBER(SEARCH(설정!$A$32,E883&amp;" "&amp;C883))),AND(설정!$A$33&lt;&gt;"",ISNUMBER(SEARCH(설정!$A$33,E883&amp;" "&amp;C883))),AND(설정!$A$34&lt;&gt;"",ISNUMBER(SEARCH(설정!$A$34,E883&amp;" "&amp;C883))),AND(설정!$A$35&lt;&gt;"",ISNUMBER(SEARCH(설정!$A$35,E883&amp;" "&amp;C883))),AND(설정!$A$36&lt;&gt;"",ISNUMBER(SEARCH(설정!$A$36,E883&amp;" "&amp;C883))),AND(설정!$A$37&lt;&gt;"",ISNUMBER(SEARCH(설정!$A$37,E883&amp;" "&amp;C883))))</f>
        <v/>
      </c>
      <c r="S883">
        <f>OR(D883="",D883&gt;=설정!$B$19)</f>
        <v/>
      </c>
      <c r="T883">
        <f>AND(Q883,R883,S883)</f>
        <v/>
      </c>
      <c r="U883">
        <f>IF(T883,IF(AND(설정!$A$41&lt;&gt;"",ISNUMBER(SEARCH(설정!$A$41,K883))),설정!$B$41,IF(AND(설정!$A$42&lt;&gt;"",ISNUMBER(SEARCH(설정!$A$42,K883))),설정!$B$42,IF(AND(설정!$A$43&lt;&gt;"",ISNUMBER(SEARCH(설정!$A$43,K883))),설정!$B$43,IF(AND(설정!$A$44&lt;&gt;"",ISNUMBER(SEARCH(설정!$A$44,K883))),설정!$B$44,IF(AND(설정!$A$45&lt;&gt;"",ISNUMBER(SEARCH(설정!$A$45,K883))),설정!$B$45,IF(AND(설정!$A$46&lt;&gt;"",ISNUMBER(SEARCH(설정!$A$46,K883))),설정!$B$46,IF(AND(설정!$A$47&lt;&gt;"",ISNUMBER(SEARCH(설정!$A$47,K883))),설정!$B$47,IF(AND(설정!$A$48&lt;&gt;"",ISNUMBER(SEARCH(설정!$A$48,K883))),설정!$B$48,IF(M883="","설계사","시공사"))))))))),"")</f>
        <v/>
      </c>
      <c r="V883">
        <f>SUBSTITUTE(SUBSTITUTE(SUBSTITUTE(SUBSTITUTE(G883,"(주)",""),"㈜",""),"주식회사","")," ","")</f>
        <v/>
      </c>
      <c r="W883">
        <f>IF(AND(T883,V883&lt;&gt;""),IF(COUNTIFS(V$2:V883,V883,T$2:T883,TRUE)=1,MAX(W$1:W882)+1,""),"")</f>
        <v/>
      </c>
      <c r="X883">
        <f>IFERROR(INDEX('1.산군_붙여넣기'!$A$1:$AZ$1001,ROW(),설정!$C$14)&amp;"","")</f>
        <v/>
      </c>
      <c r="Y883">
        <f>IFERROR(INDEX('1.산군_붙여넣기'!$A$1:$AZ$1001,ROW(),설정!$C$15)&amp;"","")</f>
        <v/>
      </c>
      <c r="Z883">
        <f>IF(T883,V883&amp;"|"&amp;U883,"")</f>
        <v/>
      </c>
    </row>
    <row r="884">
      <c r="A884">
        <f>ROW()</f>
        <v/>
      </c>
      <c r="B884">
        <f>IFERROR(INDEX('1.산군_붙여넣기'!$A$1:$AZ$1001,ROW(),설정!$C$4)&amp;"","")</f>
        <v/>
      </c>
      <c r="C884">
        <f>IFERROR(INDEX('1.산군_붙여넣기'!$A$1:$AZ$1001,ROW(),설정!$C$5)&amp;"","")</f>
        <v/>
      </c>
      <c r="D884" s="5">
        <f>IFERROR(VALUE(SUBSTITUTE(SUBSTITUTE(SUBSTITUTE(IFERROR(INDEX('1.산군_붙여넣기'!$A$1:$AZ$1001,ROW(),설정!$C$6)&amp;"",""),",",""),"㎡",""),"m2","")),"")</f>
        <v/>
      </c>
      <c r="E884">
        <f>IFERROR(INDEX('1.산군_붙여넣기'!$A$1:$AZ$1001,ROW(),설정!$C$7)&amp;"","")</f>
        <v/>
      </c>
      <c r="F884">
        <f>IFERROR(INDEX('1.산군_붙여넣기'!$A$1:$AZ$1001,ROW(),설정!$C$8)&amp;"","")</f>
        <v/>
      </c>
      <c r="G884">
        <f>IFERROR(INDEX('1.산군_붙여넣기'!$A$1:$AZ$1001,ROW(),설정!$C$9)&amp;"","")</f>
        <v/>
      </c>
      <c r="H884">
        <f>IFERROR(INDEX('1.산군_붙여넣기'!$A$1:$AZ$1001,ROW(),설정!$C$10)&amp;"","")</f>
        <v/>
      </c>
      <c r="I884">
        <f>IFERROR(INDEX('1.산군_붙여넣기'!$A$1:$AZ$1001,ROW(),설정!$C$11)&amp;"","")</f>
        <v/>
      </c>
      <c r="J884">
        <f>IFERROR(INDEX('1.산군_붙여넣기'!$A$1:$AZ$1001,ROW(),설정!$C$12)&amp;"","")</f>
        <v/>
      </c>
      <c r="K884">
        <f>IFERROR(INDEX('1.산군_붙여넣기'!$A$1:$AZ$1001,ROW(),설정!$C$13)&amp;"","")</f>
        <v/>
      </c>
      <c r="L884" s="6">
        <f>IF(X884="","",IF(AND(LEN(X884)=8,ISNUMBER(X884*1)),DATE(LEFT(X884,4),MID(X884,5,2),RIGHT(X884,2)),IFERROR(DATEVALUE(SUBSTITUTE(SUBSTITUTE(X884,".","-"),"/","-")),IFERROR(X884*1,""))))</f>
        <v/>
      </c>
      <c r="M884" s="6">
        <f>IF(Y884="","",IF(AND(LEN(Y884)=8,ISNUMBER(Y884*1)),DATE(LEFT(Y884,4),MID(Y884,5,2),RIGHT(Y884,2)),IFERROR(DATEVALUE(SUBSTITUTE(SUBSTITUTE(Y884,".","-"),"/","-")),IFERROR(Y884*1,""))))</f>
        <v/>
      </c>
      <c r="N884">
        <f>IFERROR(LEFT(B884,FIND(" ",B884)-1),B884)</f>
        <v/>
      </c>
      <c r="O884">
        <f>AND(B884&lt;&gt;"",B884&lt;&gt;설정!$B$4,C884&lt;&gt;설정!$B$5)</f>
        <v/>
      </c>
      <c r="P884">
        <f>IF(O884,B884&amp;"|"&amp;C884,"")</f>
        <v/>
      </c>
      <c r="Q884">
        <f>AND(O884,COUNTIF(P885:P$1002,P884)=0)</f>
        <v/>
      </c>
      <c r="R884">
        <f>OR(AND(설정!$A$28&lt;&gt;"",ISNUMBER(SEARCH(설정!$A$28,E884&amp;" "&amp;C884))),AND(설정!$A$29&lt;&gt;"",ISNUMBER(SEARCH(설정!$A$29,E884&amp;" "&amp;C884))),AND(설정!$A$30&lt;&gt;"",ISNUMBER(SEARCH(설정!$A$30,E884&amp;" "&amp;C884))),AND(설정!$A$31&lt;&gt;"",ISNUMBER(SEARCH(설정!$A$31,E884&amp;" "&amp;C884))),AND(설정!$A$32&lt;&gt;"",ISNUMBER(SEARCH(설정!$A$32,E884&amp;" "&amp;C884))),AND(설정!$A$33&lt;&gt;"",ISNUMBER(SEARCH(설정!$A$33,E884&amp;" "&amp;C884))),AND(설정!$A$34&lt;&gt;"",ISNUMBER(SEARCH(설정!$A$34,E884&amp;" "&amp;C884))),AND(설정!$A$35&lt;&gt;"",ISNUMBER(SEARCH(설정!$A$35,E884&amp;" "&amp;C884))),AND(설정!$A$36&lt;&gt;"",ISNUMBER(SEARCH(설정!$A$36,E884&amp;" "&amp;C884))),AND(설정!$A$37&lt;&gt;"",ISNUMBER(SEARCH(설정!$A$37,E884&amp;" "&amp;C884))))</f>
        <v/>
      </c>
      <c r="S884">
        <f>OR(D884="",D884&gt;=설정!$B$19)</f>
        <v/>
      </c>
      <c r="T884">
        <f>AND(Q884,R884,S884)</f>
        <v/>
      </c>
      <c r="U884">
        <f>IF(T884,IF(AND(설정!$A$41&lt;&gt;"",ISNUMBER(SEARCH(설정!$A$41,K884))),설정!$B$41,IF(AND(설정!$A$42&lt;&gt;"",ISNUMBER(SEARCH(설정!$A$42,K884))),설정!$B$42,IF(AND(설정!$A$43&lt;&gt;"",ISNUMBER(SEARCH(설정!$A$43,K884))),설정!$B$43,IF(AND(설정!$A$44&lt;&gt;"",ISNUMBER(SEARCH(설정!$A$44,K884))),설정!$B$44,IF(AND(설정!$A$45&lt;&gt;"",ISNUMBER(SEARCH(설정!$A$45,K884))),설정!$B$45,IF(AND(설정!$A$46&lt;&gt;"",ISNUMBER(SEARCH(설정!$A$46,K884))),설정!$B$46,IF(AND(설정!$A$47&lt;&gt;"",ISNUMBER(SEARCH(설정!$A$47,K884))),설정!$B$47,IF(AND(설정!$A$48&lt;&gt;"",ISNUMBER(SEARCH(설정!$A$48,K884))),설정!$B$48,IF(M884="","설계사","시공사"))))))))),"")</f>
        <v/>
      </c>
      <c r="V884">
        <f>SUBSTITUTE(SUBSTITUTE(SUBSTITUTE(SUBSTITUTE(G884,"(주)",""),"㈜",""),"주식회사","")," ","")</f>
        <v/>
      </c>
      <c r="W884">
        <f>IF(AND(T884,V884&lt;&gt;""),IF(COUNTIFS(V$2:V884,V884,T$2:T884,TRUE)=1,MAX(W$1:W883)+1,""),"")</f>
        <v/>
      </c>
      <c r="X884">
        <f>IFERROR(INDEX('1.산군_붙여넣기'!$A$1:$AZ$1001,ROW(),설정!$C$14)&amp;"","")</f>
        <v/>
      </c>
      <c r="Y884">
        <f>IFERROR(INDEX('1.산군_붙여넣기'!$A$1:$AZ$1001,ROW(),설정!$C$15)&amp;"","")</f>
        <v/>
      </c>
      <c r="Z884">
        <f>IF(T884,V884&amp;"|"&amp;U884,"")</f>
        <v/>
      </c>
    </row>
    <row r="885">
      <c r="A885">
        <f>ROW()</f>
        <v/>
      </c>
      <c r="B885">
        <f>IFERROR(INDEX('1.산군_붙여넣기'!$A$1:$AZ$1001,ROW(),설정!$C$4)&amp;"","")</f>
        <v/>
      </c>
      <c r="C885">
        <f>IFERROR(INDEX('1.산군_붙여넣기'!$A$1:$AZ$1001,ROW(),설정!$C$5)&amp;"","")</f>
        <v/>
      </c>
      <c r="D885" s="5">
        <f>IFERROR(VALUE(SUBSTITUTE(SUBSTITUTE(SUBSTITUTE(IFERROR(INDEX('1.산군_붙여넣기'!$A$1:$AZ$1001,ROW(),설정!$C$6)&amp;"",""),",",""),"㎡",""),"m2","")),"")</f>
        <v/>
      </c>
      <c r="E885">
        <f>IFERROR(INDEX('1.산군_붙여넣기'!$A$1:$AZ$1001,ROW(),설정!$C$7)&amp;"","")</f>
        <v/>
      </c>
      <c r="F885">
        <f>IFERROR(INDEX('1.산군_붙여넣기'!$A$1:$AZ$1001,ROW(),설정!$C$8)&amp;"","")</f>
        <v/>
      </c>
      <c r="G885">
        <f>IFERROR(INDEX('1.산군_붙여넣기'!$A$1:$AZ$1001,ROW(),설정!$C$9)&amp;"","")</f>
        <v/>
      </c>
      <c r="H885">
        <f>IFERROR(INDEX('1.산군_붙여넣기'!$A$1:$AZ$1001,ROW(),설정!$C$10)&amp;"","")</f>
        <v/>
      </c>
      <c r="I885">
        <f>IFERROR(INDEX('1.산군_붙여넣기'!$A$1:$AZ$1001,ROW(),설정!$C$11)&amp;"","")</f>
        <v/>
      </c>
      <c r="J885">
        <f>IFERROR(INDEX('1.산군_붙여넣기'!$A$1:$AZ$1001,ROW(),설정!$C$12)&amp;"","")</f>
        <v/>
      </c>
      <c r="K885">
        <f>IFERROR(INDEX('1.산군_붙여넣기'!$A$1:$AZ$1001,ROW(),설정!$C$13)&amp;"","")</f>
        <v/>
      </c>
      <c r="L885" s="6">
        <f>IF(X885="","",IF(AND(LEN(X885)=8,ISNUMBER(X885*1)),DATE(LEFT(X885,4),MID(X885,5,2),RIGHT(X885,2)),IFERROR(DATEVALUE(SUBSTITUTE(SUBSTITUTE(X885,".","-"),"/","-")),IFERROR(X885*1,""))))</f>
        <v/>
      </c>
      <c r="M885" s="6">
        <f>IF(Y885="","",IF(AND(LEN(Y885)=8,ISNUMBER(Y885*1)),DATE(LEFT(Y885,4),MID(Y885,5,2),RIGHT(Y885,2)),IFERROR(DATEVALUE(SUBSTITUTE(SUBSTITUTE(Y885,".","-"),"/","-")),IFERROR(Y885*1,""))))</f>
        <v/>
      </c>
      <c r="N885">
        <f>IFERROR(LEFT(B885,FIND(" ",B885)-1),B885)</f>
        <v/>
      </c>
      <c r="O885">
        <f>AND(B885&lt;&gt;"",B885&lt;&gt;설정!$B$4,C885&lt;&gt;설정!$B$5)</f>
        <v/>
      </c>
      <c r="P885">
        <f>IF(O885,B885&amp;"|"&amp;C885,"")</f>
        <v/>
      </c>
      <c r="Q885">
        <f>AND(O885,COUNTIF(P886:P$1002,P885)=0)</f>
        <v/>
      </c>
      <c r="R885">
        <f>OR(AND(설정!$A$28&lt;&gt;"",ISNUMBER(SEARCH(설정!$A$28,E885&amp;" "&amp;C885))),AND(설정!$A$29&lt;&gt;"",ISNUMBER(SEARCH(설정!$A$29,E885&amp;" "&amp;C885))),AND(설정!$A$30&lt;&gt;"",ISNUMBER(SEARCH(설정!$A$30,E885&amp;" "&amp;C885))),AND(설정!$A$31&lt;&gt;"",ISNUMBER(SEARCH(설정!$A$31,E885&amp;" "&amp;C885))),AND(설정!$A$32&lt;&gt;"",ISNUMBER(SEARCH(설정!$A$32,E885&amp;" "&amp;C885))),AND(설정!$A$33&lt;&gt;"",ISNUMBER(SEARCH(설정!$A$33,E885&amp;" "&amp;C885))),AND(설정!$A$34&lt;&gt;"",ISNUMBER(SEARCH(설정!$A$34,E885&amp;" "&amp;C885))),AND(설정!$A$35&lt;&gt;"",ISNUMBER(SEARCH(설정!$A$35,E885&amp;" "&amp;C885))),AND(설정!$A$36&lt;&gt;"",ISNUMBER(SEARCH(설정!$A$36,E885&amp;" "&amp;C885))),AND(설정!$A$37&lt;&gt;"",ISNUMBER(SEARCH(설정!$A$37,E885&amp;" "&amp;C885))))</f>
        <v/>
      </c>
      <c r="S885">
        <f>OR(D885="",D885&gt;=설정!$B$19)</f>
        <v/>
      </c>
      <c r="T885">
        <f>AND(Q885,R885,S885)</f>
        <v/>
      </c>
      <c r="U885">
        <f>IF(T885,IF(AND(설정!$A$41&lt;&gt;"",ISNUMBER(SEARCH(설정!$A$41,K885))),설정!$B$41,IF(AND(설정!$A$42&lt;&gt;"",ISNUMBER(SEARCH(설정!$A$42,K885))),설정!$B$42,IF(AND(설정!$A$43&lt;&gt;"",ISNUMBER(SEARCH(설정!$A$43,K885))),설정!$B$43,IF(AND(설정!$A$44&lt;&gt;"",ISNUMBER(SEARCH(설정!$A$44,K885))),설정!$B$44,IF(AND(설정!$A$45&lt;&gt;"",ISNUMBER(SEARCH(설정!$A$45,K885))),설정!$B$45,IF(AND(설정!$A$46&lt;&gt;"",ISNUMBER(SEARCH(설정!$A$46,K885))),설정!$B$46,IF(AND(설정!$A$47&lt;&gt;"",ISNUMBER(SEARCH(설정!$A$47,K885))),설정!$B$47,IF(AND(설정!$A$48&lt;&gt;"",ISNUMBER(SEARCH(설정!$A$48,K885))),설정!$B$48,IF(M885="","설계사","시공사"))))))))),"")</f>
        <v/>
      </c>
      <c r="V885">
        <f>SUBSTITUTE(SUBSTITUTE(SUBSTITUTE(SUBSTITUTE(G885,"(주)",""),"㈜",""),"주식회사","")," ","")</f>
        <v/>
      </c>
      <c r="W885">
        <f>IF(AND(T885,V885&lt;&gt;""),IF(COUNTIFS(V$2:V885,V885,T$2:T885,TRUE)=1,MAX(W$1:W884)+1,""),"")</f>
        <v/>
      </c>
      <c r="X885">
        <f>IFERROR(INDEX('1.산군_붙여넣기'!$A$1:$AZ$1001,ROW(),설정!$C$14)&amp;"","")</f>
        <v/>
      </c>
      <c r="Y885">
        <f>IFERROR(INDEX('1.산군_붙여넣기'!$A$1:$AZ$1001,ROW(),설정!$C$15)&amp;"","")</f>
        <v/>
      </c>
      <c r="Z885">
        <f>IF(T885,V885&amp;"|"&amp;U885,"")</f>
        <v/>
      </c>
    </row>
    <row r="886">
      <c r="A886">
        <f>ROW()</f>
        <v/>
      </c>
      <c r="B886">
        <f>IFERROR(INDEX('1.산군_붙여넣기'!$A$1:$AZ$1001,ROW(),설정!$C$4)&amp;"","")</f>
        <v/>
      </c>
      <c r="C886">
        <f>IFERROR(INDEX('1.산군_붙여넣기'!$A$1:$AZ$1001,ROW(),설정!$C$5)&amp;"","")</f>
        <v/>
      </c>
      <c r="D886" s="5">
        <f>IFERROR(VALUE(SUBSTITUTE(SUBSTITUTE(SUBSTITUTE(IFERROR(INDEX('1.산군_붙여넣기'!$A$1:$AZ$1001,ROW(),설정!$C$6)&amp;"",""),",",""),"㎡",""),"m2","")),"")</f>
        <v/>
      </c>
      <c r="E886">
        <f>IFERROR(INDEX('1.산군_붙여넣기'!$A$1:$AZ$1001,ROW(),설정!$C$7)&amp;"","")</f>
        <v/>
      </c>
      <c r="F886">
        <f>IFERROR(INDEX('1.산군_붙여넣기'!$A$1:$AZ$1001,ROW(),설정!$C$8)&amp;"","")</f>
        <v/>
      </c>
      <c r="G886">
        <f>IFERROR(INDEX('1.산군_붙여넣기'!$A$1:$AZ$1001,ROW(),설정!$C$9)&amp;"","")</f>
        <v/>
      </c>
      <c r="H886">
        <f>IFERROR(INDEX('1.산군_붙여넣기'!$A$1:$AZ$1001,ROW(),설정!$C$10)&amp;"","")</f>
        <v/>
      </c>
      <c r="I886">
        <f>IFERROR(INDEX('1.산군_붙여넣기'!$A$1:$AZ$1001,ROW(),설정!$C$11)&amp;"","")</f>
        <v/>
      </c>
      <c r="J886">
        <f>IFERROR(INDEX('1.산군_붙여넣기'!$A$1:$AZ$1001,ROW(),설정!$C$12)&amp;"","")</f>
        <v/>
      </c>
      <c r="K886">
        <f>IFERROR(INDEX('1.산군_붙여넣기'!$A$1:$AZ$1001,ROW(),설정!$C$13)&amp;"","")</f>
        <v/>
      </c>
      <c r="L886" s="6">
        <f>IF(X886="","",IF(AND(LEN(X886)=8,ISNUMBER(X886*1)),DATE(LEFT(X886,4),MID(X886,5,2),RIGHT(X886,2)),IFERROR(DATEVALUE(SUBSTITUTE(SUBSTITUTE(X886,".","-"),"/","-")),IFERROR(X886*1,""))))</f>
        <v/>
      </c>
      <c r="M886" s="6">
        <f>IF(Y886="","",IF(AND(LEN(Y886)=8,ISNUMBER(Y886*1)),DATE(LEFT(Y886,4),MID(Y886,5,2),RIGHT(Y886,2)),IFERROR(DATEVALUE(SUBSTITUTE(SUBSTITUTE(Y886,".","-"),"/","-")),IFERROR(Y886*1,""))))</f>
        <v/>
      </c>
      <c r="N886">
        <f>IFERROR(LEFT(B886,FIND(" ",B886)-1),B886)</f>
        <v/>
      </c>
      <c r="O886">
        <f>AND(B886&lt;&gt;"",B886&lt;&gt;설정!$B$4,C886&lt;&gt;설정!$B$5)</f>
        <v/>
      </c>
      <c r="P886">
        <f>IF(O886,B886&amp;"|"&amp;C886,"")</f>
        <v/>
      </c>
      <c r="Q886">
        <f>AND(O886,COUNTIF(P887:P$1002,P886)=0)</f>
        <v/>
      </c>
      <c r="R886">
        <f>OR(AND(설정!$A$28&lt;&gt;"",ISNUMBER(SEARCH(설정!$A$28,E886&amp;" "&amp;C886))),AND(설정!$A$29&lt;&gt;"",ISNUMBER(SEARCH(설정!$A$29,E886&amp;" "&amp;C886))),AND(설정!$A$30&lt;&gt;"",ISNUMBER(SEARCH(설정!$A$30,E886&amp;" "&amp;C886))),AND(설정!$A$31&lt;&gt;"",ISNUMBER(SEARCH(설정!$A$31,E886&amp;" "&amp;C886))),AND(설정!$A$32&lt;&gt;"",ISNUMBER(SEARCH(설정!$A$32,E886&amp;" "&amp;C886))),AND(설정!$A$33&lt;&gt;"",ISNUMBER(SEARCH(설정!$A$33,E886&amp;" "&amp;C886))),AND(설정!$A$34&lt;&gt;"",ISNUMBER(SEARCH(설정!$A$34,E886&amp;" "&amp;C886))),AND(설정!$A$35&lt;&gt;"",ISNUMBER(SEARCH(설정!$A$35,E886&amp;" "&amp;C886))),AND(설정!$A$36&lt;&gt;"",ISNUMBER(SEARCH(설정!$A$36,E886&amp;" "&amp;C886))),AND(설정!$A$37&lt;&gt;"",ISNUMBER(SEARCH(설정!$A$37,E886&amp;" "&amp;C886))))</f>
        <v/>
      </c>
      <c r="S886">
        <f>OR(D886="",D886&gt;=설정!$B$19)</f>
        <v/>
      </c>
      <c r="T886">
        <f>AND(Q886,R886,S886)</f>
        <v/>
      </c>
      <c r="U886">
        <f>IF(T886,IF(AND(설정!$A$41&lt;&gt;"",ISNUMBER(SEARCH(설정!$A$41,K886))),설정!$B$41,IF(AND(설정!$A$42&lt;&gt;"",ISNUMBER(SEARCH(설정!$A$42,K886))),설정!$B$42,IF(AND(설정!$A$43&lt;&gt;"",ISNUMBER(SEARCH(설정!$A$43,K886))),설정!$B$43,IF(AND(설정!$A$44&lt;&gt;"",ISNUMBER(SEARCH(설정!$A$44,K886))),설정!$B$44,IF(AND(설정!$A$45&lt;&gt;"",ISNUMBER(SEARCH(설정!$A$45,K886))),설정!$B$45,IF(AND(설정!$A$46&lt;&gt;"",ISNUMBER(SEARCH(설정!$A$46,K886))),설정!$B$46,IF(AND(설정!$A$47&lt;&gt;"",ISNUMBER(SEARCH(설정!$A$47,K886))),설정!$B$47,IF(AND(설정!$A$48&lt;&gt;"",ISNUMBER(SEARCH(설정!$A$48,K886))),설정!$B$48,IF(M886="","설계사","시공사"))))))))),"")</f>
        <v/>
      </c>
      <c r="V886">
        <f>SUBSTITUTE(SUBSTITUTE(SUBSTITUTE(SUBSTITUTE(G886,"(주)",""),"㈜",""),"주식회사","")," ","")</f>
        <v/>
      </c>
      <c r="W886">
        <f>IF(AND(T886,V886&lt;&gt;""),IF(COUNTIFS(V$2:V886,V886,T$2:T886,TRUE)=1,MAX(W$1:W885)+1,""),"")</f>
        <v/>
      </c>
      <c r="X886">
        <f>IFERROR(INDEX('1.산군_붙여넣기'!$A$1:$AZ$1001,ROW(),설정!$C$14)&amp;"","")</f>
        <v/>
      </c>
      <c r="Y886">
        <f>IFERROR(INDEX('1.산군_붙여넣기'!$A$1:$AZ$1001,ROW(),설정!$C$15)&amp;"","")</f>
        <v/>
      </c>
      <c r="Z886">
        <f>IF(T886,V886&amp;"|"&amp;U886,"")</f>
        <v/>
      </c>
    </row>
    <row r="887">
      <c r="A887">
        <f>ROW()</f>
        <v/>
      </c>
      <c r="B887">
        <f>IFERROR(INDEX('1.산군_붙여넣기'!$A$1:$AZ$1001,ROW(),설정!$C$4)&amp;"","")</f>
        <v/>
      </c>
      <c r="C887">
        <f>IFERROR(INDEX('1.산군_붙여넣기'!$A$1:$AZ$1001,ROW(),설정!$C$5)&amp;"","")</f>
        <v/>
      </c>
      <c r="D887" s="5">
        <f>IFERROR(VALUE(SUBSTITUTE(SUBSTITUTE(SUBSTITUTE(IFERROR(INDEX('1.산군_붙여넣기'!$A$1:$AZ$1001,ROW(),설정!$C$6)&amp;"",""),",",""),"㎡",""),"m2","")),"")</f>
        <v/>
      </c>
      <c r="E887">
        <f>IFERROR(INDEX('1.산군_붙여넣기'!$A$1:$AZ$1001,ROW(),설정!$C$7)&amp;"","")</f>
        <v/>
      </c>
      <c r="F887">
        <f>IFERROR(INDEX('1.산군_붙여넣기'!$A$1:$AZ$1001,ROW(),설정!$C$8)&amp;"","")</f>
        <v/>
      </c>
      <c r="G887">
        <f>IFERROR(INDEX('1.산군_붙여넣기'!$A$1:$AZ$1001,ROW(),설정!$C$9)&amp;"","")</f>
        <v/>
      </c>
      <c r="H887">
        <f>IFERROR(INDEX('1.산군_붙여넣기'!$A$1:$AZ$1001,ROW(),설정!$C$10)&amp;"","")</f>
        <v/>
      </c>
      <c r="I887">
        <f>IFERROR(INDEX('1.산군_붙여넣기'!$A$1:$AZ$1001,ROW(),설정!$C$11)&amp;"","")</f>
        <v/>
      </c>
      <c r="J887">
        <f>IFERROR(INDEX('1.산군_붙여넣기'!$A$1:$AZ$1001,ROW(),설정!$C$12)&amp;"","")</f>
        <v/>
      </c>
      <c r="K887">
        <f>IFERROR(INDEX('1.산군_붙여넣기'!$A$1:$AZ$1001,ROW(),설정!$C$13)&amp;"","")</f>
        <v/>
      </c>
      <c r="L887" s="6">
        <f>IF(X887="","",IF(AND(LEN(X887)=8,ISNUMBER(X887*1)),DATE(LEFT(X887,4),MID(X887,5,2),RIGHT(X887,2)),IFERROR(DATEVALUE(SUBSTITUTE(SUBSTITUTE(X887,".","-"),"/","-")),IFERROR(X887*1,""))))</f>
        <v/>
      </c>
      <c r="M887" s="6">
        <f>IF(Y887="","",IF(AND(LEN(Y887)=8,ISNUMBER(Y887*1)),DATE(LEFT(Y887,4),MID(Y887,5,2),RIGHT(Y887,2)),IFERROR(DATEVALUE(SUBSTITUTE(SUBSTITUTE(Y887,".","-"),"/","-")),IFERROR(Y887*1,""))))</f>
        <v/>
      </c>
      <c r="N887">
        <f>IFERROR(LEFT(B887,FIND(" ",B887)-1),B887)</f>
        <v/>
      </c>
      <c r="O887">
        <f>AND(B887&lt;&gt;"",B887&lt;&gt;설정!$B$4,C887&lt;&gt;설정!$B$5)</f>
        <v/>
      </c>
      <c r="P887">
        <f>IF(O887,B887&amp;"|"&amp;C887,"")</f>
        <v/>
      </c>
      <c r="Q887">
        <f>AND(O887,COUNTIF(P888:P$1002,P887)=0)</f>
        <v/>
      </c>
      <c r="R887">
        <f>OR(AND(설정!$A$28&lt;&gt;"",ISNUMBER(SEARCH(설정!$A$28,E887&amp;" "&amp;C887))),AND(설정!$A$29&lt;&gt;"",ISNUMBER(SEARCH(설정!$A$29,E887&amp;" "&amp;C887))),AND(설정!$A$30&lt;&gt;"",ISNUMBER(SEARCH(설정!$A$30,E887&amp;" "&amp;C887))),AND(설정!$A$31&lt;&gt;"",ISNUMBER(SEARCH(설정!$A$31,E887&amp;" "&amp;C887))),AND(설정!$A$32&lt;&gt;"",ISNUMBER(SEARCH(설정!$A$32,E887&amp;" "&amp;C887))),AND(설정!$A$33&lt;&gt;"",ISNUMBER(SEARCH(설정!$A$33,E887&amp;" "&amp;C887))),AND(설정!$A$34&lt;&gt;"",ISNUMBER(SEARCH(설정!$A$34,E887&amp;" "&amp;C887))),AND(설정!$A$35&lt;&gt;"",ISNUMBER(SEARCH(설정!$A$35,E887&amp;" "&amp;C887))),AND(설정!$A$36&lt;&gt;"",ISNUMBER(SEARCH(설정!$A$36,E887&amp;" "&amp;C887))),AND(설정!$A$37&lt;&gt;"",ISNUMBER(SEARCH(설정!$A$37,E887&amp;" "&amp;C887))))</f>
        <v/>
      </c>
      <c r="S887">
        <f>OR(D887="",D887&gt;=설정!$B$19)</f>
        <v/>
      </c>
      <c r="T887">
        <f>AND(Q887,R887,S887)</f>
        <v/>
      </c>
      <c r="U887">
        <f>IF(T887,IF(AND(설정!$A$41&lt;&gt;"",ISNUMBER(SEARCH(설정!$A$41,K887))),설정!$B$41,IF(AND(설정!$A$42&lt;&gt;"",ISNUMBER(SEARCH(설정!$A$42,K887))),설정!$B$42,IF(AND(설정!$A$43&lt;&gt;"",ISNUMBER(SEARCH(설정!$A$43,K887))),설정!$B$43,IF(AND(설정!$A$44&lt;&gt;"",ISNUMBER(SEARCH(설정!$A$44,K887))),설정!$B$44,IF(AND(설정!$A$45&lt;&gt;"",ISNUMBER(SEARCH(설정!$A$45,K887))),설정!$B$45,IF(AND(설정!$A$46&lt;&gt;"",ISNUMBER(SEARCH(설정!$A$46,K887))),설정!$B$46,IF(AND(설정!$A$47&lt;&gt;"",ISNUMBER(SEARCH(설정!$A$47,K887))),설정!$B$47,IF(AND(설정!$A$48&lt;&gt;"",ISNUMBER(SEARCH(설정!$A$48,K887))),설정!$B$48,IF(M887="","설계사","시공사"))))))))),"")</f>
        <v/>
      </c>
      <c r="V887">
        <f>SUBSTITUTE(SUBSTITUTE(SUBSTITUTE(SUBSTITUTE(G887,"(주)",""),"㈜",""),"주식회사","")," ","")</f>
        <v/>
      </c>
      <c r="W887">
        <f>IF(AND(T887,V887&lt;&gt;""),IF(COUNTIFS(V$2:V887,V887,T$2:T887,TRUE)=1,MAX(W$1:W886)+1,""),"")</f>
        <v/>
      </c>
      <c r="X887">
        <f>IFERROR(INDEX('1.산군_붙여넣기'!$A$1:$AZ$1001,ROW(),설정!$C$14)&amp;"","")</f>
        <v/>
      </c>
      <c r="Y887">
        <f>IFERROR(INDEX('1.산군_붙여넣기'!$A$1:$AZ$1001,ROW(),설정!$C$15)&amp;"","")</f>
        <v/>
      </c>
      <c r="Z887">
        <f>IF(T887,V887&amp;"|"&amp;U887,"")</f>
        <v/>
      </c>
    </row>
    <row r="888">
      <c r="A888">
        <f>ROW()</f>
        <v/>
      </c>
      <c r="B888">
        <f>IFERROR(INDEX('1.산군_붙여넣기'!$A$1:$AZ$1001,ROW(),설정!$C$4)&amp;"","")</f>
        <v/>
      </c>
      <c r="C888">
        <f>IFERROR(INDEX('1.산군_붙여넣기'!$A$1:$AZ$1001,ROW(),설정!$C$5)&amp;"","")</f>
        <v/>
      </c>
      <c r="D888" s="5">
        <f>IFERROR(VALUE(SUBSTITUTE(SUBSTITUTE(SUBSTITUTE(IFERROR(INDEX('1.산군_붙여넣기'!$A$1:$AZ$1001,ROW(),설정!$C$6)&amp;"",""),",",""),"㎡",""),"m2","")),"")</f>
        <v/>
      </c>
      <c r="E888">
        <f>IFERROR(INDEX('1.산군_붙여넣기'!$A$1:$AZ$1001,ROW(),설정!$C$7)&amp;"","")</f>
        <v/>
      </c>
      <c r="F888">
        <f>IFERROR(INDEX('1.산군_붙여넣기'!$A$1:$AZ$1001,ROW(),설정!$C$8)&amp;"","")</f>
        <v/>
      </c>
      <c r="G888">
        <f>IFERROR(INDEX('1.산군_붙여넣기'!$A$1:$AZ$1001,ROW(),설정!$C$9)&amp;"","")</f>
        <v/>
      </c>
      <c r="H888">
        <f>IFERROR(INDEX('1.산군_붙여넣기'!$A$1:$AZ$1001,ROW(),설정!$C$10)&amp;"","")</f>
        <v/>
      </c>
      <c r="I888">
        <f>IFERROR(INDEX('1.산군_붙여넣기'!$A$1:$AZ$1001,ROW(),설정!$C$11)&amp;"","")</f>
        <v/>
      </c>
      <c r="J888">
        <f>IFERROR(INDEX('1.산군_붙여넣기'!$A$1:$AZ$1001,ROW(),설정!$C$12)&amp;"","")</f>
        <v/>
      </c>
      <c r="K888">
        <f>IFERROR(INDEX('1.산군_붙여넣기'!$A$1:$AZ$1001,ROW(),설정!$C$13)&amp;"","")</f>
        <v/>
      </c>
      <c r="L888" s="6">
        <f>IF(X888="","",IF(AND(LEN(X888)=8,ISNUMBER(X888*1)),DATE(LEFT(X888,4),MID(X888,5,2),RIGHT(X888,2)),IFERROR(DATEVALUE(SUBSTITUTE(SUBSTITUTE(X888,".","-"),"/","-")),IFERROR(X888*1,""))))</f>
        <v/>
      </c>
      <c r="M888" s="6">
        <f>IF(Y888="","",IF(AND(LEN(Y888)=8,ISNUMBER(Y888*1)),DATE(LEFT(Y888,4),MID(Y888,5,2),RIGHT(Y888,2)),IFERROR(DATEVALUE(SUBSTITUTE(SUBSTITUTE(Y888,".","-"),"/","-")),IFERROR(Y888*1,""))))</f>
        <v/>
      </c>
      <c r="N888">
        <f>IFERROR(LEFT(B888,FIND(" ",B888)-1),B888)</f>
        <v/>
      </c>
      <c r="O888">
        <f>AND(B888&lt;&gt;"",B888&lt;&gt;설정!$B$4,C888&lt;&gt;설정!$B$5)</f>
        <v/>
      </c>
      <c r="P888">
        <f>IF(O888,B888&amp;"|"&amp;C888,"")</f>
        <v/>
      </c>
      <c r="Q888">
        <f>AND(O888,COUNTIF(P889:P$1002,P888)=0)</f>
        <v/>
      </c>
      <c r="R888">
        <f>OR(AND(설정!$A$28&lt;&gt;"",ISNUMBER(SEARCH(설정!$A$28,E888&amp;" "&amp;C888))),AND(설정!$A$29&lt;&gt;"",ISNUMBER(SEARCH(설정!$A$29,E888&amp;" "&amp;C888))),AND(설정!$A$30&lt;&gt;"",ISNUMBER(SEARCH(설정!$A$30,E888&amp;" "&amp;C888))),AND(설정!$A$31&lt;&gt;"",ISNUMBER(SEARCH(설정!$A$31,E888&amp;" "&amp;C888))),AND(설정!$A$32&lt;&gt;"",ISNUMBER(SEARCH(설정!$A$32,E888&amp;" "&amp;C888))),AND(설정!$A$33&lt;&gt;"",ISNUMBER(SEARCH(설정!$A$33,E888&amp;" "&amp;C888))),AND(설정!$A$34&lt;&gt;"",ISNUMBER(SEARCH(설정!$A$34,E888&amp;" "&amp;C888))),AND(설정!$A$35&lt;&gt;"",ISNUMBER(SEARCH(설정!$A$35,E888&amp;" "&amp;C888))),AND(설정!$A$36&lt;&gt;"",ISNUMBER(SEARCH(설정!$A$36,E888&amp;" "&amp;C888))),AND(설정!$A$37&lt;&gt;"",ISNUMBER(SEARCH(설정!$A$37,E888&amp;" "&amp;C888))))</f>
        <v/>
      </c>
      <c r="S888">
        <f>OR(D888="",D888&gt;=설정!$B$19)</f>
        <v/>
      </c>
      <c r="T888">
        <f>AND(Q888,R888,S888)</f>
        <v/>
      </c>
      <c r="U888">
        <f>IF(T888,IF(AND(설정!$A$41&lt;&gt;"",ISNUMBER(SEARCH(설정!$A$41,K888))),설정!$B$41,IF(AND(설정!$A$42&lt;&gt;"",ISNUMBER(SEARCH(설정!$A$42,K888))),설정!$B$42,IF(AND(설정!$A$43&lt;&gt;"",ISNUMBER(SEARCH(설정!$A$43,K888))),설정!$B$43,IF(AND(설정!$A$44&lt;&gt;"",ISNUMBER(SEARCH(설정!$A$44,K888))),설정!$B$44,IF(AND(설정!$A$45&lt;&gt;"",ISNUMBER(SEARCH(설정!$A$45,K888))),설정!$B$45,IF(AND(설정!$A$46&lt;&gt;"",ISNUMBER(SEARCH(설정!$A$46,K888))),설정!$B$46,IF(AND(설정!$A$47&lt;&gt;"",ISNUMBER(SEARCH(설정!$A$47,K888))),설정!$B$47,IF(AND(설정!$A$48&lt;&gt;"",ISNUMBER(SEARCH(설정!$A$48,K888))),설정!$B$48,IF(M888="","설계사","시공사"))))))))),"")</f>
        <v/>
      </c>
      <c r="V888">
        <f>SUBSTITUTE(SUBSTITUTE(SUBSTITUTE(SUBSTITUTE(G888,"(주)",""),"㈜",""),"주식회사","")," ","")</f>
        <v/>
      </c>
      <c r="W888">
        <f>IF(AND(T888,V888&lt;&gt;""),IF(COUNTIFS(V$2:V888,V888,T$2:T888,TRUE)=1,MAX(W$1:W887)+1,""),"")</f>
        <v/>
      </c>
      <c r="X888">
        <f>IFERROR(INDEX('1.산군_붙여넣기'!$A$1:$AZ$1001,ROW(),설정!$C$14)&amp;"","")</f>
        <v/>
      </c>
      <c r="Y888">
        <f>IFERROR(INDEX('1.산군_붙여넣기'!$A$1:$AZ$1001,ROW(),설정!$C$15)&amp;"","")</f>
        <v/>
      </c>
      <c r="Z888">
        <f>IF(T888,V888&amp;"|"&amp;U888,"")</f>
        <v/>
      </c>
    </row>
    <row r="889">
      <c r="A889">
        <f>ROW()</f>
        <v/>
      </c>
      <c r="B889">
        <f>IFERROR(INDEX('1.산군_붙여넣기'!$A$1:$AZ$1001,ROW(),설정!$C$4)&amp;"","")</f>
        <v/>
      </c>
      <c r="C889">
        <f>IFERROR(INDEX('1.산군_붙여넣기'!$A$1:$AZ$1001,ROW(),설정!$C$5)&amp;"","")</f>
        <v/>
      </c>
      <c r="D889" s="5">
        <f>IFERROR(VALUE(SUBSTITUTE(SUBSTITUTE(SUBSTITUTE(IFERROR(INDEX('1.산군_붙여넣기'!$A$1:$AZ$1001,ROW(),설정!$C$6)&amp;"",""),",",""),"㎡",""),"m2","")),"")</f>
        <v/>
      </c>
      <c r="E889">
        <f>IFERROR(INDEX('1.산군_붙여넣기'!$A$1:$AZ$1001,ROW(),설정!$C$7)&amp;"","")</f>
        <v/>
      </c>
      <c r="F889">
        <f>IFERROR(INDEX('1.산군_붙여넣기'!$A$1:$AZ$1001,ROW(),설정!$C$8)&amp;"","")</f>
        <v/>
      </c>
      <c r="G889">
        <f>IFERROR(INDEX('1.산군_붙여넣기'!$A$1:$AZ$1001,ROW(),설정!$C$9)&amp;"","")</f>
        <v/>
      </c>
      <c r="H889">
        <f>IFERROR(INDEX('1.산군_붙여넣기'!$A$1:$AZ$1001,ROW(),설정!$C$10)&amp;"","")</f>
        <v/>
      </c>
      <c r="I889">
        <f>IFERROR(INDEX('1.산군_붙여넣기'!$A$1:$AZ$1001,ROW(),설정!$C$11)&amp;"","")</f>
        <v/>
      </c>
      <c r="J889">
        <f>IFERROR(INDEX('1.산군_붙여넣기'!$A$1:$AZ$1001,ROW(),설정!$C$12)&amp;"","")</f>
        <v/>
      </c>
      <c r="K889">
        <f>IFERROR(INDEX('1.산군_붙여넣기'!$A$1:$AZ$1001,ROW(),설정!$C$13)&amp;"","")</f>
        <v/>
      </c>
      <c r="L889" s="6">
        <f>IF(X889="","",IF(AND(LEN(X889)=8,ISNUMBER(X889*1)),DATE(LEFT(X889,4),MID(X889,5,2),RIGHT(X889,2)),IFERROR(DATEVALUE(SUBSTITUTE(SUBSTITUTE(X889,".","-"),"/","-")),IFERROR(X889*1,""))))</f>
        <v/>
      </c>
      <c r="M889" s="6">
        <f>IF(Y889="","",IF(AND(LEN(Y889)=8,ISNUMBER(Y889*1)),DATE(LEFT(Y889,4),MID(Y889,5,2),RIGHT(Y889,2)),IFERROR(DATEVALUE(SUBSTITUTE(SUBSTITUTE(Y889,".","-"),"/","-")),IFERROR(Y889*1,""))))</f>
        <v/>
      </c>
      <c r="N889">
        <f>IFERROR(LEFT(B889,FIND(" ",B889)-1),B889)</f>
        <v/>
      </c>
      <c r="O889">
        <f>AND(B889&lt;&gt;"",B889&lt;&gt;설정!$B$4,C889&lt;&gt;설정!$B$5)</f>
        <v/>
      </c>
      <c r="P889">
        <f>IF(O889,B889&amp;"|"&amp;C889,"")</f>
        <v/>
      </c>
      <c r="Q889">
        <f>AND(O889,COUNTIF(P890:P$1002,P889)=0)</f>
        <v/>
      </c>
      <c r="R889">
        <f>OR(AND(설정!$A$28&lt;&gt;"",ISNUMBER(SEARCH(설정!$A$28,E889&amp;" "&amp;C889))),AND(설정!$A$29&lt;&gt;"",ISNUMBER(SEARCH(설정!$A$29,E889&amp;" "&amp;C889))),AND(설정!$A$30&lt;&gt;"",ISNUMBER(SEARCH(설정!$A$30,E889&amp;" "&amp;C889))),AND(설정!$A$31&lt;&gt;"",ISNUMBER(SEARCH(설정!$A$31,E889&amp;" "&amp;C889))),AND(설정!$A$32&lt;&gt;"",ISNUMBER(SEARCH(설정!$A$32,E889&amp;" "&amp;C889))),AND(설정!$A$33&lt;&gt;"",ISNUMBER(SEARCH(설정!$A$33,E889&amp;" "&amp;C889))),AND(설정!$A$34&lt;&gt;"",ISNUMBER(SEARCH(설정!$A$34,E889&amp;" "&amp;C889))),AND(설정!$A$35&lt;&gt;"",ISNUMBER(SEARCH(설정!$A$35,E889&amp;" "&amp;C889))),AND(설정!$A$36&lt;&gt;"",ISNUMBER(SEARCH(설정!$A$36,E889&amp;" "&amp;C889))),AND(설정!$A$37&lt;&gt;"",ISNUMBER(SEARCH(설정!$A$37,E889&amp;" "&amp;C889))))</f>
        <v/>
      </c>
      <c r="S889">
        <f>OR(D889="",D889&gt;=설정!$B$19)</f>
        <v/>
      </c>
      <c r="T889">
        <f>AND(Q889,R889,S889)</f>
        <v/>
      </c>
      <c r="U889">
        <f>IF(T889,IF(AND(설정!$A$41&lt;&gt;"",ISNUMBER(SEARCH(설정!$A$41,K889))),설정!$B$41,IF(AND(설정!$A$42&lt;&gt;"",ISNUMBER(SEARCH(설정!$A$42,K889))),설정!$B$42,IF(AND(설정!$A$43&lt;&gt;"",ISNUMBER(SEARCH(설정!$A$43,K889))),설정!$B$43,IF(AND(설정!$A$44&lt;&gt;"",ISNUMBER(SEARCH(설정!$A$44,K889))),설정!$B$44,IF(AND(설정!$A$45&lt;&gt;"",ISNUMBER(SEARCH(설정!$A$45,K889))),설정!$B$45,IF(AND(설정!$A$46&lt;&gt;"",ISNUMBER(SEARCH(설정!$A$46,K889))),설정!$B$46,IF(AND(설정!$A$47&lt;&gt;"",ISNUMBER(SEARCH(설정!$A$47,K889))),설정!$B$47,IF(AND(설정!$A$48&lt;&gt;"",ISNUMBER(SEARCH(설정!$A$48,K889))),설정!$B$48,IF(M889="","설계사","시공사"))))))))),"")</f>
        <v/>
      </c>
      <c r="V889">
        <f>SUBSTITUTE(SUBSTITUTE(SUBSTITUTE(SUBSTITUTE(G889,"(주)",""),"㈜",""),"주식회사","")," ","")</f>
        <v/>
      </c>
      <c r="W889">
        <f>IF(AND(T889,V889&lt;&gt;""),IF(COUNTIFS(V$2:V889,V889,T$2:T889,TRUE)=1,MAX(W$1:W888)+1,""),"")</f>
        <v/>
      </c>
      <c r="X889">
        <f>IFERROR(INDEX('1.산군_붙여넣기'!$A$1:$AZ$1001,ROW(),설정!$C$14)&amp;"","")</f>
        <v/>
      </c>
      <c r="Y889">
        <f>IFERROR(INDEX('1.산군_붙여넣기'!$A$1:$AZ$1001,ROW(),설정!$C$15)&amp;"","")</f>
        <v/>
      </c>
      <c r="Z889">
        <f>IF(T889,V889&amp;"|"&amp;U889,"")</f>
        <v/>
      </c>
    </row>
    <row r="890">
      <c r="A890">
        <f>ROW()</f>
        <v/>
      </c>
      <c r="B890">
        <f>IFERROR(INDEX('1.산군_붙여넣기'!$A$1:$AZ$1001,ROW(),설정!$C$4)&amp;"","")</f>
        <v/>
      </c>
      <c r="C890">
        <f>IFERROR(INDEX('1.산군_붙여넣기'!$A$1:$AZ$1001,ROW(),설정!$C$5)&amp;"","")</f>
        <v/>
      </c>
      <c r="D890" s="5">
        <f>IFERROR(VALUE(SUBSTITUTE(SUBSTITUTE(SUBSTITUTE(IFERROR(INDEX('1.산군_붙여넣기'!$A$1:$AZ$1001,ROW(),설정!$C$6)&amp;"",""),",",""),"㎡",""),"m2","")),"")</f>
        <v/>
      </c>
      <c r="E890">
        <f>IFERROR(INDEX('1.산군_붙여넣기'!$A$1:$AZ$1001,ROW(),설정!$C$7)&amp;"","")</f>
        <v/>
      </c>
      <c r="F890">
        <f>IFERROR(INDEX('1.산군_붙여넣기'!$A$1:$AZ$1001,ROW(),설정!$C$8)&amp;"","")</f>
        <v/>
      </c>
      <c r="G890">
        <f>IFERROR(INDEX('1.산군_붙여넣기'!$A$1:$AZ$1001,ROW(),설정!$C$9)&amp;"","")</f>
        <v/>
      </c>
      <c r="H890">
        <f>IFERROR(INDEX('1.산군_붙여넣기'!$A$1:$AZ$1001,ROW(),설정!$C$10)&amp;"","")</f>
        <v/>
      </c>
      <c r="I890">
        <f>IFERROR(INDEX('1.산군_붙여넣기'!$A$1:$AZ$1001,ROW(),설정!$C$11)&amp;"","")</f>
        <v/>
      </c>
      <c r="J890">
        <f>IFERROR(INDEX('1.산군_붙여넣기'!$A$1:$AZ$1001,ROW(),설정!$C$12)&amp;"","")</f>
        <v/>
      </c>
      <c r="K890">
        <f>IFERROR(INDEX('1.산군_붙여넣기'!$A$1:$AZ$1001,ROW(),설정!$C$13)&amp;"","")</f>
        <v/>
      </c>
      <c r="L890" s="6">
        <f>IF(X890="","",IF(AND(LEN(X890)=8,ISNUMBER(X890*1)),DATE(LEFT(X890,4),MID(X890,5,2),RIGHT(X890,2)),IFERROR(DATEVALUE(SUBSTITUTE(SUBSTITUTE(X890,".","-"),"/","-")),IFERROR(X890*1,""))))</f>
        <v/>
      </c>
      <c r="M890" s="6">
        <f>IF(Y890="","",IF(AND(LEN(Y890)=8,ISNUMBER(Y890*1)),DATE(LEFT(Y890,4),MID(Y890,5,2),RIGHT(Y890,2)),IFERROR(DATEVALUE(SUBSTITUTE(SUBSTITUTE(Y890,".","-"),"/","-")),IFERROR(Y890*1,""))))</f>
        <v/>
      </c>
      <c r="N890">
        <f>IFERROR(LEFT(B890,FIND(" ",B890)-1),B890)</f>
        <v/>
      </c>
      <c r="O890">
        <f>AND(B890&lt;&gt;"",B890&lt;&gt;설정!$B$4,C890&lt;&gt;설정!$B$5)</f>
        <v/>
      </c>
      <c r="P890">
        <f>IF(O890,B890&amp;"|"&amp;C890,"")</f>
        <v/>
      </c>
      <c r="Q890">
        <f>AND(O890,COUNTIF(P891:P$1002,P890)=0)</f>
        <v/>
      </c>
      <c r="R890">
        <f>OR(AND(설정!$A$28&lt;&gt;"",ISNUMBER(SEARCH(설정!$A$28,E890&amp;" "&amp;C890))),AND(설정!$A$29&lt;&gt;"",ISNUMBER(SEARCH(설정!$A$29,E890&amp;" "&amp;C890))),AND(설정!$A$30&lt;&gt;"",ISNUMBER(SEARCH(설정!$A$30,E890&amp;" "&amp;C890))),AND(설정!$A$31&lt;&gt;"",ISNUMBER(SEARCH(설정!$A$31,E890&amp;" "&amp;C890))),AND(설정!$A$32&lt;&gt;"",ISNUMBER(SEARCH(설정!$A$32,E890&amp;" "&amp;C890))),AND(설정!$A$33&lt;&gt;"",ISNUMBER(SEARCH(설정!$A$33,E890&amp;" "&amp;C890))),AND(설정!$A$34&lt;&gt;"",ISNUMBER(SEARCH(설정!$A$34,E890&amp;" "&amp;C890))),AND(설정!$A$35&lt;&gt;"",ISNUMBER(SEARCH(설정!$A$35,E890&amp;" "&amp;C890))),AND(설정!$A$36&lt;&gt;"",ISNUMBER(SEARCH(설정!$A$36,E890&amp;" "&amp;C890))),AND(설정!$A$37&lt;&gt;"",ISNUMBER(SEARCH(설정!$A$37,E890&amp;" "&amp;C890))))</f>
        <v/>
      </c>
      <c r="S890">
        <f>OR(D890="",D890&gt;=설정!$B$19)</f>
        <v/>
      </c>
      <c r="T890">
        <f>AND(Q890,R890,S890)</f>
        <v/>
      </c>
      <c r="U890">
        <f>IF(T890,IF(AND(설정!$A$41&lt;&gt;"",ISNUMBER(SEARCH(설정!$A$41,K890))),설정!$B$41,IF(AND(설정!$A$42&lt;&gt;"",ISNUMBER(SEARCH(설정!$A$42,K890))),설정!$B$42,IF(AND(설정!$A$43&lt;&gt;"",ISNUMBER(SEARCH(설정!$A$43,K890))),설정!$B$43,IF(AND(설정!$A$44&lt;&gt;"",ISNUMBER(SEARCH(설정!$A$44,K890))),설정!$B$44,IF(AND(설정!$A$45&lt;&gt;"",ISNUMBER(SEARCH(설정!$A$45,K890))),설정!$B$45,IF(AND(설정!$A$46&lt;&gt;"",ISNUMBER(SEARCH(설정!$A$46,K890))),설정!$B$46,IF(AND(설정!$A$47&lt;&gt;"",ISNUMBER(SEARCH(설정!$A$47,K890))),설정!$B$47,IF(AND(설정!$A$48&lt;&gt;"",ISNUMBER(SEARCH(설정!$A$48,K890))),설정!$B$48,IF(M890="","설계사","시공사"))))))))),"")</f>
        <v/>
      </c>
      <c r="V890">
        <f>SUBSTITUTE(SUBSTITUTE(SUBSTITUTE(SUBSTITUTE(G890,"(주)",""),"㈜",""),"주식회사","")," ","")</f>
        <v/>
      </c>
      <c r="W890">
        <f>IF(AND(T890,V890&lt;&gt;""),IF(COUNTIFS(V$2:V890,V890,T$2:T890,TRUE)=1,MAX(W$1:W889)+1,""),"")</f>
        <v/>
      </c>
      <c r="X890">
        <f>IFERROR(INDEX('1.산군_붙여넣기'!$A$1:$AZ$1001,ROW(),설정!$C$14)&amp;"","")</f>
        <v/>
      </c>
      <c r="Y890">
        <f>IFERROR(INDEX('1.산군_붙여넣기'!$A$1:$AZ$1001,ROW(),설정!$C$15)&amp;"","")</f>
        <v/>
      </c>
      <c r="Z890">
        <f>IF(T890,V890&amp;"|"&amp;U890,"")</f>
        <v/>
      </c>
    </row>
    <row r="891">
      <c r="A891">
        <f>ROW()</f>
        <v/>
      </c>
      <c r="B891">
        <f>IFERROR(INDEX('1.산군_붙여넣기'!$A$1:$AZ$1001,ROW(),설정!$C$4)&amp;"","")</f>
        <v/>
      </c>
      <c r="C891">
        <f>IFERROR(INDEX('1.산군_붙여넣기'!$A$1:$AZ$1001,ROW(),설정!$C$5)&amp;"","")</f>
        <v/>
      </c>
      <c r="D891" s="5">
        <f>IFERROR(VALUE(SUBSTITUTE(SUBSTITUTE(SUBSTITUTE(IFERROR(INDEX('1.산군_붙여넣기'!$A$1:$AZ$1001,ROW(),설정!$C$6)&amp;"",""),",",""),"㎡",""),"m2","")),"")</f>
        <v/>
      </c>
      <c r="E891">
        <f>IFERROR(INDEX('1.산군_붙여넣기'!$A$1:$AZ$1001,ROW(),설정!$C$7)&amp;"","")</f>
        <v/>
      </c>
      <c r="F891">
        <f>IFERROR(INDEX('1.산군_붙여넣기'!$A$1:$AZ$1001,ROW(),설정!$C$8)&amp;"","")</f>
        <v/>
      </c>
      <c r="G891">
        <f>IFERROR(INDEX('1.산군_붙여넣기'!$A$1:$AZ$1001,ROW(),설정!$C$9)&amp;"","")</f>
        <v/>
      </c>
      <c r="H891">
        <f>IFERROR(INDEX('1.산군_붙여넣기'!$A$1:$AZ$1001,ROW(),설정!$C$10)&amp;"","")</f>
        <v/>
      </c>
      <c r="I891">
        <f>IFERROR(INDEX('1.산군_붙여넣기'!$A$1:$AZ$1001,ROW(),설정!$C$11)&amp;"","")</f>
        <v/>
      </c>
      <c r="J891">
        <f>IFERROR(INDEX('1.산군_붙여넣기'!$A$1:$AZ$1001,ROW(),설정!$C$12)&amp;"","")</f>
        <v/>
      </c>
      <c r="K891">
        <f>IFERROR(INDEX('1.산군_붙여넣기'!$A$1:$AZ$1001,ROW(),설정!$C$13)&amp;"","")</f>
        <v/>
      </c>
      <c r="L891" s="6">
        <f>IF(X891="","",IF(AND(LEN(X891)=8,ISNUMBER(X891*1)),DATE(LEFT(X891,4),MID(X891,5,2),RIGHT(X891,2)),IFERROR(DATEVALUE(SUBSTITUTE(SUBSTITUTE(X891,".","-"),"/","-")),IFERROR(X891*1,""))))</f>
        <v/>
      </c>
      <c r="M891" s="6">
        <f>IF(Y891="","",IF(AND(LEN(Y891)=8,ISNUMBER(Y891*1)),DATE(LEFT(Y891,4),MID(Y891,5,2),RIGHT(Y891,2)),IFERROR(DATEVALUE(SUBSTITUTE(SUBSTITUTE(Y891,".","-"),"/","-")),IFERROR(Y891*1,""))))</f>
        <v/>
      </c>
      <c r="N891">
        <f>IFERROR(LEFT(B891,FIND(" ",B891)-1),B891)</f>
        <v/>
      </c>
      <c r="O891">
        <f>AND(B891&lt;&gt;"",B891&lt;&gt;설정!$B$4,C891&lt;&gt;설정!$B$5)</f>
        <v/>
      </c>
      <c r="P891">
        <f>IF(O891,B891&amp;"|"&amp;C891,"")</f>
        <v/>
      </c>
      <c r="Q891">
        <f>AND(O891,COUNTIF(P892:P$1002,P891)=0)</f>
        <v/>
      </c>
      <c r="R891">
        <f>OR(AND(설정!$A$28&lt;&gt;"",ISNUMBER(SEARCH(설정!$A$28,E891&amp;" "&amp;C891))),AND(설정!$A$29&lt;&gt;"",ISNUMBER(SEARCH(설정!$A$29,E891&amp;" "&amp;C891))),AND(설정!$A$30&lt;&gt;"",ISNUMBER(SEARCH(설정!$A$30,E891&amp;" "&amp;C891))),AND(설정!$A$31&lt;&gt;"",ISNUMBER(SEARCH(설정!$A$31,E891&amp;" "&amp;C891))),AND(설정!$A$32&lt;&gt;"",ISNUMBER(SEARCH(설정!$A$32,E891&amp;" "&amp;C891))),AND(설정!$A$33&lt;&gt;"",ISNUMBER(SEARCH(설정!$A$33,E891&amp;" "&amp;C891))),AND(설정!$A$34&lt;&gt;"",ISNUMBER(SEARCH(설정!$A$34,E891&amp;" "&amp;C891))),AND(설정!$A$35&lt;&gt;"",ISNUMBER(SEARCH(설정!$A$35,E891&amp;" "&amp;C891))),AND(설정!$A$36&lt;&gt;"",ISNUMBER(SEARCH(설정!$A$36,E891&amp;" "&amp;C891))),AND(설정!$A$37&lt;&gt;"",ISNUMBER(SEARCH(설정!$A$37,E891&amp;" "&amp;C891))))</f>
        <v/>
      </c>
      <c r="S891">
        <f>OR(D891="",D891&gt;=설정!$B$19)</f>
        <v/>
      </c>
      <c r="T891">
        <f>AND(Q891,R891,S891)</f>
        <v/>
      </c>
      <c r="U891">
        <f>IF(T891,IF(AND(설정!$A$41&lt;&gt;"",ISNUMBER(SEARCH(설정!$A$41,K891))),설정!$B$41,IF(AND(설정!$A$42&lt;&gt;"",ISNUMBER(SEARCH(설정!$A$42,K891))),설정!$B$42,IF(AND(설정!$A$43&lt;&gt;"",ISNUMBER(SEARCH(설정!$A$43,K891))),설정!$B$43,IF(AND(설정!$A$44&lt;&gt;"",ISNUMBER(SEARCH(설정!$A$44,K891))),설정!$B$44,IF(AND(설정!$A$45&lt;&gt;"",ISNUMBER(SEARCH(설정!$A$45,K891))),설정!$B$45,IF(AND(설정!$A$46&lt;&gt;"",ISNUMBER(SEARCH(설정!$A$46,K891))),설정!$B$46,IF(AND(설정!$A$47&lt;&gt;"",ISNUMBER(SEARCH(설정!$A$47,K891))),설정!$B$47,IF(AND(설정!$A$48&lt;&gt;"",ISNUMBER(SEARCH(설정!$A$48,K891))),설정!$B$48,IF(M891="","설계사","시공사"))))))))),"")</f>
        <v/>
      </c>
      <c r="V891">
        <f>SUBSTITUTE(SUBSTITUTE(SUBSTITUTE(SUBSTITUTE(G891,"(주)",""),"㈜",""),"주식회사","")," ","")</f>
        <v/>
      </c>
      <c r="W891">
        <f>IF(AND(T891,V891&lt;&gt;""),IF(COUNTIFS(V$2:V891,V891,T$2:T891,TRUE)=1,MAX(W$1:W890)+1,""),"")</f>
        <v/>
      </c>
      <c r="X891">
        <f>IFERROR(INDEX('1.산군_붙여넣기'!$A$1:$AZ$1001,ROW(),설정!$C$14)&amp;"","")</f>
        <v/>
      </c>
      <c r="Y891">
        <f>IFERROR(INDEX('1.산군_붙여넣기'!$A$1:$AZ$1001,ROW(),설정!$C$15)&amp;"","")</f>
        <v/>
      </c>
      <c r="Z891">
        <f>IF(T891,V891&amp;"|"&amp;U891,"")</f>
        <v/>
      </c>
    </row>
    <row r="892">
      <c r="A892">
        <f>ROW()</f>
        <v/>
      </c>
      <c r="B892">
        <f>IFERROR(INDEX('1.산군_붙여넣기'!$A$1:$AZ$1001,ROW(),설정!$C$4)&amp;"","")</f>
        <v/>
      </c>
      <c r="C892">
        <f>IFERROR(INDEX('1.산군_붙여넣기'!$A$1:$AZ$1001,ROW(),설정!$C$5)&amp;"","")</f>
        <v/>
      </c>
      <c r="D892" s="5">
        <f>IFERROR(VALUE(SUBSTITUTE(SUBSTITUTE(SUBSTITUTE(IFERROR(INDEX('1.산군_붙여넣기'!$A$1:$AZ$1001,ROW(),설정!$C$6)&amp;"",""),",",""),"㎡",""),"m2","")),"")</f>
        <v/>
      </c>
      <c r="E892">
        <f>IFERROR(INDEX('1.산군_붙여넣기'!$A$1:$AZ$1001,ROW(),설정!$C$7)&amp;"","")</f>
        <v/>
      </c>
      <c r="F892">
        <f>IFERROR(INDEX('1.산군_붙여넣기'!$A$1:$AZ$1001,ROW(),설정!$C$8)&amp;"","")</f>
        <v/>
      </c>
      <c r="G892">
        <f>IFERROR(INDEX('1.산군_붙여넣기'!$A$1:$AZ$1001,ROW(),설정!$C$9)&amp;"","")</f>
        <v/>
      </c>
      <c r="H892">
        <f>IFERROR(INDEX('1.산군_붙여넣기'!$A$1:$AZ$1001,ROW(),설정!$C$10)&amp;"","")</f>
        <v/>
      </c>
      <c r="I892">
        <f>IFERROR(INDEX('1.산군_붙여넣기'!$A$1:$AZ$1001,ROW(),설정!$C$11)&amp;"","")</f>
        <v/>
      </c>
      <c r="J892">
        <f>IFERROR(INDEX('1.산군_붙여넣기'!$A$1:$AZ$1001,ROW(),설정!$C$12)&amp;"","")</f>
        <v/>
      </c>
      <c r="K892">
        <f>IFERROR(INDEX('1.산군_붙여넣기'!$A$1:$AZ$1001,ROW(),설정!$C$13)&amp;"","")</f>
        <v/>
      </c>
      <c r="L892" s="6">
        <f>IF(X892="","",IF(AND(LEN(X892)=8,ISNUMBER(X892*1)),DATE(LEFT(X892,4),MID(X892,5,2),RIGHT(X892,2)),IFERROR(DATEVALUE(SUBSTITUTE(SUBSTITUTE(X892,".","-"),"/","-")),IFERROR(X892*1,""))))</f>
        <v/>
      </c>
      <c r="M892" s="6">
        <f>IF(Y892="","",IF(AND(LEN(Y892)=8,ISNUMBER(Y892*1)),DATE(LEFT(Y892,4),MID(Y892,5,2),RIGHT(Y892,2)),IFERROR(DATEVALUE(SUBSTITUTE(SUBSTITUTE(Y892,".","-"),"/","-")),IFERROR(Y892*1,""))))</f>
        <v/>
      </c>
      <c r="N892">
        <f>IFERROR(LEFT(B892,FIND(" ",B892)-1),B892)</f>
        <v/>
      </c>
      <c r="O892">
        <f>AND(B892&lt;&gt;"",B892&lt;&gt;설정!$B$4,C892&lt;&gt;설정!$B$5)</f>
        <v/>
      </c>
      <c r="P892">
        <f>IF(O892,B892&amp;"|"&amp;C892,"")</f>
        <v/>
      </c>
      <c r="Q892">
        <f>AND(O892,COUNTIF(P893:P$1002,P892)=0)</f>
        <v/>
      </c>
      <c r="R892">
        <f>OR(AND(설정!$A$28&lt;&gt;"",ISNUMBER(SEARCH(설정!$A$28,E892&amp;" "&amp;C892))),AND(설정!$A$29&lt;&gt;"",ISNUMBER(SEARCH(설정!$A$29,E892&amp;" "&amp;C892))),AND(설정!$A$30&lt;&gt;"",ISNUMBER(SEARCH(설정!$A$30,E892&amp;" "&amp;C892))),AND(설정!$A$31&lt;&gt;"",ISNUMBER(SEARCH(설정!$A$31,E892&amp;" "&amp;C892))),AND(설정!$A$32&lt;&gt;"",ISNUMBER(SEARCH(설정!$A$32,E892&amp;" "&amp;C892))),AND(설정!$A$33&lt;&gt;"",ISNUMBER(SEARCH(설정!$A$33,E892&amp;" "&amp;C892))),AND(설정!$A$34&lt;&gt;"",ISNUMBER(SEARCH(설정!$A$34,E892&amp;" "&amp;C892))),AND(설정!$A$35&lt;&gt;"",ISNUMBER(SEARCH(설정!$A$35,E892&amp;" "&amp;C892))),AND(설정!$A$36&lt;&gt;"",ISNUMBER(SEARCH(설정!$A$36,E892&amp;" "&amp;C892))),AND(설정!$A$37&lt;&gt;"",ISNUMBER(SEARCH(설정!$A$37,E892&amp;" "&amp;C892))))</f>
        <v/>
      </c>
      <c r="S892">
        <f>OR(D892="",D892&gt;=설정!$B$19)</f>
        <v/>
      </c>
      <c r="T892">
        <f>AND(Q892,R892,S892)</f>
        <v/>
      </c>
      <c r="U892">
        <f>IF(T892,IF(AND(설정!$A$41&lt;&gt;"",ISNUMBER(SEARCH(설정!$A$41,K892))),설정!$B$41,IF(AND(설정!$A$42&lt;&gt;"",ISNUMBER(SEARCH(설정!$A$42,K892))),설정!$B$42,IF(AND(설정!$A$43&lt;&gt;"",ISNUMBER(SEARCH(설정!$A$43,K892))),설정!$B$43,IF(AND(설정!$A$44&lt;&gt;"",ISNUMBER(SEARCH(설정!$A$44,K892))),설정!$B$44,IF(AND(설정!$A$45&lt;&gt;"",ISNUMBER(SEARCH(설정!$A$45,K892))),설정!$B$45,IF(AND(설정!$A$46&lt;&gt;"",ISNUMBER(SEARCH(설정!$A$46,K892))),설정!$B$46,IF(AND(설정!$A$47&lt;&gt;"",ISNUMBER(SEARCH(설정!$A$47,K892))),설정!$B$47,IF(AND(설정!$A$48&lt;&gt;"",ISNUMBER(SEARCH(설정!$A$48,K892))),설정!$B$48,IF(M892="","설계사","시공사"))))))))),"")</f>
        <v/>
      </c>
      <c r="V892">
        <f>SUBSTITUTE(SUBSTITUTE(SUBSTITUTE(SUBSTITUTE(G892,"(주)",""),"㈜",""),"주식회사","")," ","")</f>
        <v/>
      </c>
      <c r="W892">
        <f>IF(AND(T892,V892&lt;&gt;""),IF(COUNTIFS(V$2:V892,V892,T$2:T892,TRUE)=1,MAX(W$1:W891)+1,""),"")</f>
        <v/>
      </c>
      <c r="X892">
        <f>IFERROR(INDEX('1.산군_붙여넣기'!$A$1:$AZ$1001,ROW(),설정!$C$14)&amp;"","")</f>
        <v/>
      </c>
      <c r="Y892">
        <f>IFERROR(INDEX('1.산군_붙여넣기'!$A$1:$AZ$1001,ROW(),설정!$C$15)&amp;"","")</f>
        <v/>
      </c>
      <c r="Z892">
        <f>IF(T892,V892&amp;"|"&amp;U892,"")</f>
        <v/>
      </c>
    </row>
    <row r="893">
      <c r="A893">
        <f>ROW()</f>
        <v/>
      </c>
      <c r="B893">
        <f>IFERROR(INDEX('1.산군_붙여넣기'!$A$1:$AZ$1001,ROW(),설정!$C$4)&amp;"","")</f>
        <v/>
      </c>
      <c r="C893">
        <f>IFERROR(INDEX('1.산군_붙여넣기'!$A$1:$AZ$1001,ROW(),설정!$C$5)&amp;"","")</f>
        <v/>
      </c>
      <c r="D893" s="5">
        <f>IFERROR(VALUE(SUBSTITUTE(SUBSTITUTE(SUBSTITUTE(IFERROR(INDEX('1.산군_붙여넣기'!$A$1:$AZ$1001,ROW(),설정!$C$6)&amp;"",""),",",""),"㎡",""),"m2","")),"")</f>
        <v/>
      </c>
      <c r="E893">
        <f>IFERROR(INDEX('1.산군_붙여넣기'!$A$1:$AZ$1001,ROW(),설정!$C$7)&amp;"","")</f>
        <v/>
      </c>
      <c r="F893">
        <f>IFERROR(INDEX('1.산군_붙여넣기'!$A$1:$AZ$1001,ROW(),설정!$C$8)&amp;"","")</f>
        <v/>
      </c>
      <c r="G893">
        <f>IFERROR(INDEX('1.산군_붙여넣기'!$A$1:$AZ$1001,ROW(),설정!$C$9)&amp;"","")</f>
        <v/>
      </c>
      <c r="H893">
        <f>IFERROR(INDEX('1.산군_붙여넣기'!$A$1:$AZ$1001,ROW(),설정!$C$10)&amp;"","")</f>
        <v/>
      </c>
      <c r="I893">
        <f>IFERROR(INDEX('1.산군_붙여넣기'!$A$1:$AZ$1001,ROW(),설정!$C$11)&amp;"","")</f>
        <v/>
      </c>
      <c r="J893">
        <f>IFERROR(INDEX('1.산군_붙여넣기'!$A$1:$AZ$1001,ROW(),설정!$C$12)&amp;"","")</f>
        <v/>
      </c>
      <c r="K893">
        <f>IFERROR(INDEX('1.산군_붙여넣기'!$A$1:$AZ$1001,ROW(),설정!$C$13)&amp;"","")</f>
        <v/>
      </c>
      <c r="L893" s="6">
        <f>IF(X893="","",IF(AND(LEN(X893)=8,ISNUMBER(X893*1)),DATE(LEFT(X893,4),MID(X893,5,2),RIGHT(X893,2)),IFERROR(DATEVALUE(SUBSTITUTE(SUBSTITUTE(X893,".","-"),"/","-")),IFERROR(X893*1,""))))</f>
        <v/>
      </c>
      <c r="M893" s="6">
        <f>IF(Y893="","",IF(AND(LEN(Y893)=8,ISNUMBER(Y893*1)),DATE(LEFT(Y893,4),MID(Y893,5,2),RIGHT(Y893,2)),IFERROR(DATEVALUE(SUBSTITUTE(SUBSTITUTE(Y893,".","-"),"/","-")),IFERROR(Y893*1,""))))</f>
        <v/>
      </c>
      <c r="N893">
        <f>IFERROR(LEFT(B893,FIND(" ",B893)-1),B893)</f>
        <v/>
      </c>
      <c r="O893">
        <f>AND(B893&lt;&gt;"",B893&lt;&gt;설정!$B$4,C893&lt;&gt;설정!$B$5)</f>
        <v/>
      </c>
      <c r="P893">
        <f>IF(O893,B893&amp;"|"&amp;C893,"")</f>
        <v/>
      </c>
      <c r="Q893">
        <f>AND(O893,COUNTIF(P894:P$1002,P893)=0)</f>
        <v/>
      </c>
      <c r="R893">
        <f>OR(AND(설정!$A$28&lt;&gt;"",ISNUMBER(SEARCH(설정!$A$28,E893&amp;" "&amp;C893))),AND(설정!$A$29&lt;&gt;"",ISNUMBER(SEARCH(설정!$A$29,E893&amp;" "&amp;C893))),AND(설정!$A$30&lt;&gt;"",ISNUMBER(SEARCH(설정!$A$30,E893&amp;" "&amp;C893))),AND(설정!$A$31&lt;&gt;"",ISNUMBER(SEARCH(설정!$A$31,E893&amp;" "&amp;C893))),AND(설정!$A$32&lt;&gt;"",ISNUMBER(SEARCH(설정!$A$32,E893&amp;" "&amp;C893))),AND(설정!$A$33&lt;&gt;"",ISNUMBER(SEARCH(설정!$A$33,E893&amp;" "&amp;C893))),AND(설정!$A$34&lt;&gt;"",ISNUMBER(SEARCH(설정!$A$34,E893&amp;" "&amp;C893))),AND(설정!$A$35&lt;&gt;"",ISNUMBER(SEARCH(설정!$A$35,E893&amp;" "&amp;C893))),AND(설정!$A$36&lt;&gt;"",ISNUMBER(SEARCH(설정!$A$36,E893&amp;" "&amp;C893))),AND(설정!$A$37&lt;&gt;"",ISNUMBER(SEARCH(설정!$A$37,E893&amp;" "&amp;C893))))</f>
        <v/>
      </c>
      <c r="S893">
        <f>OR(D893="",D893&gt;=설정!$B$19)</f>
        <v/>
      </c>
      <c r="T893">
        <f>AND(Q893,R893,S893)</f>
        <v/>
      </c>
      <c r="U893">
        <f>IF(T893,IF(AND(설정!$A$41&lt;&gt;"",ISNUMBER(SEARCH(설정!$A$41,K893))),설정!$B$41,IF(AND(설정!$A$42&lt;&gt;"",ISNUMBER(SEARCH(설정!$A$42,K893))),설정!$B$42,IF(AND(설정!$A$43&lt;&gt;"",ISNUMBER(SEARCH(설정!$A$43,K893))),설정!$B$43,IF(AND(설정!$A$44&lt;&gt;"",ISNUMBER(SEARCH(설정!$A$44,K893))),설정!$B$44,IF(AND(설정!$A$45&lt;&gt;"",ISNUMBER(SEARCH(설정!$A$45,K893))),설정!$B$45,IF(AND(설정!$A$46&lt;&gt;"",ISNUMBER(SEARCH(설정!$A$46,K893))),설정!$B$46,IF(AND(설정!$A$47&lt;&gt;"",ISNUMBER(SEARCH(설정!$A$47,K893))),설정!$B$47,IF(AND(설정!$A$48&lt;&gt;"",ISNUMBER(SEARCH(설정!$A$48,K893))),설정!$B$48,IF(M893="","설계사","시공사"))))))))),"")</f>
        <v/>
      </c>
      <c r="V893">
        <f>SUBSTITUTE(SUBSTITUTE(SUBSTITUTE(SUBSTITUTE(G893,"(주)",""),"㈜",""),"주식회사","")," ","")</f>
        <v/>
      </c>
      <c r="W893">
        <f>IF(AND(T893,V893&lt;&gt;""),IF(COUNTIFS(V$2:V893,V893,T$2:T893,TRUE)=1,MAX(W$1:W892)+1,""),"")</f>
        <v/>
      </c>
      <c r="X893">
        <f>IFERROR(INDEX('1.산군_붙여넣기'!$A$1:$AZ$1001,ROW(),설정!$C$14)&amp;"","")</f>
        <v/>
      </c>
      <c r="Y893">
        <f>IFERROR(INDEX('1.산군_붙여넣기'!$A$1:$AZ$1001,ROW(),설정!$C$15)&amp;"","")</f>
        <v/>
      </c>
      <c r="Z893">
        <f>IF(T893,V893&amp;"|"&amp;U893,"")</f>
        <v/>
      </c>
    </row>
    <row r="894">
      <c r="A894">
        <f>ROW()</f>
        <v/>
      </c>
      <c r="B894">
        <f>IFERROR(INDEX('1.산군_붙여넣기'!$A$1:$AZ$1001,ROW(),설정!$C$4)&amp;"","")</f>
        <v/>
      </c>
      <c r="C894">
        <f>IFERROR(INDEX('1.산군_붙여넣기'!$A$1:$AZ$1001,ROW(),설정!$C$5)&amp;"","")</f>
        <v/>
      </c>
      <c r="D894" s="5">
        <f>IFERROR(VALUE(SUBSTITUTE(SUBSTITUTE(SUBSTITUTE(IFERROR(INDEX('1.산군_붙여넣기'!$A$1:$AZ$1001,ROW(),설정!$C$6)&amp;"",""),",",""),"㎡",""),"m2","")),"")</f>
        <v/>
      </c>
      <c r="E894">
        <f>IFERROR(INDEX('1.산군_붙여넣기'!$A$1:$AZ$1001,ROW(),설정!$C$7)&amp;"","")</f>
        <v/>
      </c>
      <c r="F894">
        <f>IFERROR(INDEX('1.산군_붙여넣기'!$A$1:$AZ$1001,ROW(),설정!$C$8)&amp;"","")</f>
        <v/>
      </c>
      <c r="G894">
        <f>IFERROR(INDEX('1.산군_붙여넣기'!$A$1:$AZ$1001,ROW(),설정!$C$9)&amp;"","")</f>
        <v/>
      </c>
      <c r="H894">
        <f>IFERROR(INDEX('1.산군_붙여넣기'!$A$1:$AZ$1001,ROW(),설정!$C$10)&amp;"","")</f>
        <v/>
      </c>
      <c r="I894">
        <f>IFERROR(INDEX('1.산군_붙여넣기'!$A$1:$AZ$1001,ROW(),설정!$C$11)&amp;"","")</f>
        <v/>
      </c>
      <c r="J894">
        <f>IFERROR(INDEX('1.산군_붙여넣기'!$A$1:$AZ$1001,ROW(),설정!$C$12)&amp;"","")</f>
        <v/>
      </c>
      <c r="K894">
        <f>IFERROR(INDEX('1.산군_붙여넣기'!$A$1:$AZ$1001,ROW(),설정!$C$13)&amp;"","")</f>
        <v/>
      </c>
      <c r="L894" s="6">
        <f>IF(X894="","",IF(AND(LEN(X894)=8,ISNUMBER(X894*1)),DATE(LEFT(X894,4),MID(X894,5,2),RIGHT(X894,2)),IFERROR(DATEVALUE(SUBSTITUTE(SUBSTITUTE(X894,".","-"),"/","-")),IFERROR(X894*1,""))))</f>
        <v/>
      </c>
      <c r="M894" s="6">
        <f>IF(Y894="","",IF(AND(LEN(Y894)=8,ISNUMBER(Y894*1)),DATE(LEFT(Y894,4),MID(Y894,5,2),RIGHT(Y894,2)),IFERROR(DATEVALUE(SUBSTITUTE(SUBSTITUTE(Y894,".","-"),"/","-")),IFERROR(Y894*1,""))))</f>
        <v/>
      </c>
      <c r="N894">
        <f>IFERROR(LEFT(B894,FIND(" ",B894)-1),B894)</f>
        <v/>
      </c>
      <c r="O894">
        <f>AND(B894&lt;&gt;"",B894&lt;&gt;설정!$B$4,C894&lt;&gt;설정!$B$5)</f>
        <v/>
      </c>
      <c r="P894">
        <f>IF(O894,B894&amp;"|"&amp;C894,"")</f>
        <v/>
      </c>
      <c r="Q894">
        <f>AND(O894,COUNTIF(P895:P$1002,P894)=0)</f>
        <v/>
      </c>
      <c r="R894">
        <f>OR(AND(설정!$A$28&lt;&gt;"",ISNUMBER(SEARCH(설정!$A$28,E894&amp;" "&amp;C894))),AND(설정!$A$29&lt;&gt;"",ISNUMBER(SEARCH(설정!$A$29,E894&amp;" "&amp;C894))),AND(설정!$A$30&lt;&gt;"",ISNUMBER(SEARCH(설정!$A$30,E894&amp;" "&amp;C894))),AND(설정!$A$31&lt;&gt;"",ISNUMBER(SEARCH(설정!$A$31,E894&amp;" "&amp;C894))),AND(설정!$A$32&lt;&gt;"",ISNUMBER(SEARCH(설정!$A$32,E894&amp;" "&amp;C894))),AND(설정!$A$33&lt;&gt;"",ISNUMBER(SEARCH(설정!$A$33,E894&amp;" "&amp;C894))),AND(설정!$A$34&lt;&gt;"",ISNUMBER(SEARCH(설정!$A$34,E894&amp;" "&amp;C894))),AND(설정!$A$35&lt;&gt;"",ISNUMBER(SEARCH(설정!$A$35,E894&amp;" "&amp;C894))),AND(설정!$A$36&lt;&gt;"",ISNUMBER(SEARCH(설정!$A$36,E894&amp;" "&amp;C894))),AND(설정!$A$37&lt;&gt;"",ISNUMBER(SEARCH(설정!$A$37,E894&amp;" "&amp;C894))))</f>
        <v/>
      </c>
      <c r="S894">
        <f>OR(D894="",D894&gt;=설정!$B$19)</f>
        <v/>
      </c>
      <c r="T894">
        <f>AND(Q894,R894,S894)</f>
        <v/>
      </c>
      <c r="U894">
        <f>IF(T894,IF(AND(설정!$A$41&lt;&gt;"",ISNUMBER(SEARCH(설정!$A$41,K894))),설정!$B$41,IF(AND(설정!$A$42&lt;&gt;"",ISNUMBER(SEARCH(설정!$A$42,K894))),설정!$B$42,IF(AND(설정!$A$43&lt;&gt;"",ISNUMBER(SEARCH(설정!$A$43,K894))),설정!$B$43,IF(AND(설정!$A$44&lt;&gt;"",ISNUMBER(SEARCH(설정!$A$44,K894))),설정!$B$44,IF(AND(설정!$A$45&lt;&gt;"",ISNUMBER(SEARCH(설정!$A$45,K894))),설정!$B$45,IF(AND(설정!$A$46&lt;&gt;"",ISNUMBER(SEARCH(설정!$A$46,K894))),설정!$B$46,IF(AND(설정!$A$47&lt;&gt;"",ISNUMBER(SEARCH(설정!$A$47,K894))),설정!$B$47,IF(AND(설정!$A$48&lt;&gt;"",ISNUMBER(SEARCH(설정!$A$48,K894))),설정!$B$48,IF(M894="","설계사","시공사"))))))))),"")</f>
        <v/>
      </c>
      <c r="V894">
        <f>SUBSTITUTE(SUBSTITUTE(SUBSTITUTE(SUBSTITUTE(G894,"(주)",""),"㈜",""),"주식회사","")," ","")</f>
        <v/>
      </c>
      <c r="W894">
        <f>IF(AND(T894,V894&lt;&gt;""),IF(COUNTIFS(V$2:V894,V894,T$2:T894,TRUE)=1,MAX(W$1:W893)+1,""),"")</f>
        <v/>
      </c>
      <c r="X894">
        <f>IFERROR(INDEX('1.산군_붙여넣기'!$A$1:$AZ$1001,ROW(),설정!$C$14)&amp;"","")</f>
        <v/>
      </c>
      <c r="Y894">
        <f>IFERROR(INDEX('1.산군_붙여넣기'!$A$1:$AZ$1001,ROW(),설정!$C$15)&amp;"","")</f>
        <v/>
      </c>
      <c r="Z894">
        <f>IF(T894,V894&amp;"|"&amp;U894,"")</f>
        <v/>
      </c>
    </row>
    <row r="895">
      <c r="A895">
        <f>ROW()</f>
        <v/>
      </c>
      <c r="B895">
        <f>IFERROR(INDEX('1.산군_붙여넣기'!$A$1:$AZ$1001,ROW(),설정!$C$4)&amp;"","")</f>
        <v/>
      </c>
      <c r="C895">
        <f>IFERROR(INDEX('1.산군_붙여넣기'!$A$1:$AZ$1001,ROW(),설정!$C$5)&amp;"","")</f>
        <v/>
      </c>
      <c r="D895" s="5">
        <f>IFERROR(VALUE(SUBSTITUTE(SUBSTITUTE(SUBSTITUTE(IFERROR(INDEX('1.산군_붙여넣기'!$A$1:$AZ$1001,ROW(),설정!$C$6)&amp;"",""),",",""),"㎡",""),"m2","")),"")</f>
        <v/>
      </c>
      <c r="E895">
        <f>IFERROR(INDEX('1.산군_붙여넣기'!$A$1:$AZ$1001,ROW(),설정!$C$7)&amp;"","")</f>
        <v/>
      </c>
      <c r="F895">
        <f>IFERROR(INDEX('1.산군_붙여넣기'!$A$1:$AZ$1001,ROW(),설정!$C$8)&amp;"","")</f>
        <v/>
      </c>
      <c r="G895">
        <f>IFERROR(INDEX('1.산군_붙여넣기'!$A$1:$AZ$1001,ROW(),설정!$C$9)&amp;"","")</f>
        <v/>
      </c>
      <c r="H895">
        <f>IFERROR(INDEX('1.산군_붙여넣기'!$A$1:$AZ$1001,ROW(),설정!$C$10)&amp;"","")</f>
        <v/>
      </c>
      <c r="I895">
        <f>IFERROR(INDEX('1.산군_붙여넣기'!$A$1:$AZ$1001,ROW(),설정!$C$11)&amp;"","")</f>
        <v/>
      </c>
      <c r="J895">
        <f>IFERROR(INDEX('1.산군_붙여넣기'!$A$1:$AZ$1001,ROW(),설정!$C$12)&amp;"","")</f>
        <v/>
      </c>
      <c r="K895">
        <f>IFERROR(INDEX('1.산군_붙여넣기'!$A$1:$AZ$1001,ROW(),설정!$C$13)&amp;"","")</f>
        <v/>
      </c>
      <c r="L895" s="6">
        <f>IF(X895="","",IF(AND(LEN(X895)=8,ISNUMBER(X895*1)),DATE(LEFT(X895,4),MID(X895,5,2),RIGHT(X895,2)),IFERROR(DATEVALUE(SUBSTITUTE(SUBSTITUTE(X895,".","-"),"/","-")),IFERROR(X895*1,""))))</f>
        <v/>
      </c>
      <c r="M895" s="6">
        <f>IF(Y895="","",IF(AND(LEN(Y895)=8,ISNUMBER(Y895*1)),DATE(LEFT(Y895,4),MID(Y895,5,2),RIGHT(Y895,2)),IFERROR(DATEVALUE(SUBSTITUTE(SUBSTITUTE(Y895,".","-"),"/","-")),IFERROR(Y895*1,""))))</f>
        <v/>
      </c>
      <c r="N895">
        <f>IFERROR(LEFT(B895,FIND(" ",B895)-1),B895)</f>
        <v/>
      </c>
      <c r="O895">
        <f>AND(B895&lt;&gt;"",B895&lt;&gt;설정!$B$4,C895&lt;&gt;설정!$B$5)</f>
        <v/>
      </c>
      <c r="P895">
        <f>IF(O895,B895&amp;"|"&amp;C895,"")</f>
        <v/>
      </c>
      <c r="Q895">
        <f>AND(O895,COUNTIF(P896:P$1002,P895)=0)</f>
        <v/>
      </c>
      <c r="R895">
        <f>OR(AND(설정!$A$28&lt;&gt;"",ISNUMBER(SEARCH(설정!$A$28,E895&amp;" "&amp;C895))),AND(설정!$A$29&lt;&gt;"",ISNUMBER(SEARCH(설정!$A$29,E895&amp;" "&amp;C895))),AND(설정!$A$30&lt;&gt;"",ISNUMBER(SEARCH(설정!$A$30,E895&amp;" "&amp;C895))),AND(설정!$A$31&lt;&gt;"",ISNUMBER(SEARCH(설정!$A$31,E895&amp;" "&amp;C895))),AND(설정!$A$32&lt;&gt;"",ISNUMBER(SEARCH(설정!$A$32,E895&amp;" "&amp;C895))),AND(설정!$A$33&lt;&gt;"",ISNUMBER(SEARCH(설정!$A$33,E895&amp;" "&amp;C895))),AND(설정!$A$34&lt;&gt;"",ISNUMBER(SEARCH(설정!$A$34,E895&amp;" "&amp;C895))),AND(설정!$A$35&lt;&gt;"",ISNUMBER(SEARCH(설정!$A$35,E895&amp;" "&amp;C895))),AND(설정!$A$36&lt;&gt;"",ISNUMBER(SEARCH(설정!$A$36,E895&amp;" "&amp;C895))),AND(설정!$A$37&lt;&gt;"",ISNUMBER(SEARCH(설정!$A$37,E895&amp;" "&amp;C895))))</f>
        <v/>
      </c>
      <c r="S895">
        <f>OR(D895="",D895&gt;=설정!$B$19)</f>
        <v/>
      </c>
      <c r="T895">
        <f>AND(Q895,R895,S895)</f>
        <v/>
      </c>
      <c r="U895">
        <f>IF(T895,IF(AND(설정!$A$41&lt;&gt;"",ISNUMBER(SEARCH(설정!$A$41,K895))),설정!$B$41,IF(AND(설정!$A$42&lt;&gt;"",ISNUMBER(SEARCH(설정!$A$42,K895))),설정!$B$42,IF(AND(설정!$A$43&lt;&gt;"",ISNUMBER(SEARCH(설정!$A$43,K895))),설정!$B$43,IF(AND(설정!$A$44&lt;&gt;"",ISNUMBER(SEARCH(설정!$A$44,K895))),설정!$B$44,IF(AND(설정!$A$45&lt;&gt;"",ISNUMBER(SEARCH(설정!$A$45,K895))),설정!$B$45,IF(AND(설정!$A$46&lt;&gt;"",ISNUMBER(SEARCH(설정!$A$46,K895))),설정!$B$46,IF(AND(설정!$A$47&lt;&gt;"",ISNUMBER(SEARCH(설정!$A$47,K895))),설정!$B$47,IF(AND(설정!$A$48&lt;&gt;"",ISNUMBER(SEARCH(설정!$A$48,K895))),설정!$B$48,IF(M895="","설계사","시공사"))))))))),"")</f>
        <v/>
      </c>
      <c r="V895">
        <f>SUBSTITUTE(SUBSTITUTE(SUBSTITUTE(SUBSTITUTE(G895,"(주)",""),"㈜",""),"주식회사","")," ","")</f>
        <v/>
      </c>
      <c r="W895">
        <f>IF(AND(T895,V895&lt;&gt;""),IF(COUNTIFS(V$2:V895,V895,T$2:T895,TRUE)=1,MAX(W$1:W894)+1,""),"")</f>
        <v/>
      </c>
      <c r="X895">
        <f>IFERROR(INDEX('1.산군_붙여넣기'!$A$1:$AZ$1001,ROW(),설정!$C$14)&amp;"","")</f>
        <v/>
      </c>
      <c r="Y895">
        <f>IFERROR(INDEX('1.산군_붙여넣기'!$A$1:$AZ$1001,ROW(),설정!$C$15)&amp;"","")</f>
        <v/>
      </c>
      <c r="Z895">
        <f>IF(T895,V895&amp;"|"&amp;U895,"")</f>
        <v/>
      </c>
    </row>
    <row r="896">
      <c r="A896">
        <f>ROW()</f>
        <v/>
      </c>
      <c r="B896">
        <f>IFERROR(INDEX('1.산군_붙여넣기'!$A$1:$AZ$1001,ROW(),설정!$C$4)&amp;"","")</f>
        <v/>
      </c>
      <c r="C896">
        <f>IFERROR(INDEX('1.산군_붙여넣기'!$A$1:$AZ$1001,ROW(),설정!$C$5)&amp;"","")</f>
        <v/>
      </c>
      <c r="D896" s="5">
        <f>IFERROR(VALUE(SUBSTITUTE(SUBSTITUTE(SUBSTITUTE(IFERROR(INDEX('1.산군_붙여넣기'!$A$1:$AZ$1001,ROW(),설정!$C$6)&amp;"",""),",",""),"㎡",""),"m2","")),"")</f>
        <v/>
      </c>
      <c r="E896">
        <f>IFERROR(INDEX('1.산군_붙여넣기'!$A$1:$AZ$1001,ROW(),설정!$C$7)&amp;"","")</f>
        <v/>
      </c>
      <c r="F896">
        <f>IFERROR(INDEX('1.산군_붙여넣기'!$A$1:$AZ$1001,ROW(),설정!$C$8)&amp;"","")</f>
        <v/>
      </c>
      <c r="G896">
        <f>IFERROR(INDEX('1.산군_붙여넣기'!$A$1:$AZ$1001,ROW(),설정!$C$9)&amp;"","")</f>
        <v/>
      </c>
      <c r="H896">
        <f>IFERROR(INDEX('1.산군_붙여넣기'!$A$1:$AZ$1001,ROW(),설정!$C$10)&amp;"","")</f>
        <v/>
      </c>
      <c r="I896">
        <f>IFERROR(INDEX('1.산군_붙여넣기'!$A$1:$AZ$1001,ROW(),설정!$C$11)&amp;"","")</f>
        <v/>
      </c>
      <c r="J896">
        <f>IFERROR(INDEX('1.산군_붙여넣기'!$A$1:$AZ$1001,ROW(),설정!$C$12)&amp;"","")</f>
        <v/>
      </c>
      <c r="K896">
        <f>IFERROR(INDEX('1.산군_붙여넣기'!$A$1:$AZ$1001,ROW(),설정!$C$13)&amp;"","")</f>
        <v/>
      </c>
      <c r="L896" s="6">
        <f>IF(X896="","",IF(AND(LEN(X896)=8,ISNUMBER(X896*1)),DATE(LEFT(X896,4),MID(X896,5,2),RIGHT(X896,2)),IFERROR(DATEVALUE(SUBSTITUTE(SUBSTITUTE(X896,".","-"),"/","-")),IFERROR(X896*1,""))))</f>
        <v/>
      </c>
      <c r="M896" s="6">
        <f>IF(Y896="","",IF(AND(LEN(Y896)=8,ISNUMBER(Y896*1)),DATE(LEFT(Y896,4),MID(Y896,5,2),RIGHT(Y896,2)),IFERROR(DATEVALUE(SUBSTITUTE(SUBSTITUTE(Y896,".","-"),"/","-")),IFERROR(Y896*1,""))))</f>
        <v/>
      </c>
      <c r="N896">
        <f>IFERROR(LEFT(B896,FIND(" ",B896)-1),B896)</f>
        <v/>
      </c>
      <c r="O896">
        <f>AND(B896&lt;&gt;"",B896&lt;&gt;설정!$B$4,C896&lt;&gt;설정!$B$5)</f>
        <v/>
      </c>
      <c r="P896">
        <f>IF(O896,B896&amp;"|"&amp;C896,"")</f>
        <v/>
      </c>
      <c r="Q896">
        <f>AND(O896,COUNTIF(P897:P$1002,P896)=0)</f>
        <v/>
      </c>
      <c r="R896">
        <f>OR(AND(설정!$A$28&lt;&gt;"",ISNUMBER(SEARCH(설정!$A$28,E896&amp;" "&amp;C896))),AND(설정!$A$29&lt;&gt;"",ISNUMBER(SEARCH(설정!$A$29,E896&amp;" "&amp;C896))),AND(설정!$A$30&lt;&gt;"",ISNUMBER(SEARCH(설정!$A$30,E896&amp;" "&amp;C896))),AND(설정!$A$31&lt;&gt;"",ISNUMBER(SEARCH(설정!$A$31,E896&amp;" "&amp;C896))),AND(설정!$A$32&lt;&gt;"",ISNUMBER(SEARCH(설정!$A$32,E896&amp;" "&amp;C896))),AND(설정!$A$33&lt;&gt;"",ISNUMBER(SEARCH(설정!$A$33,E896&amp;" "&amp;C896))),AND(설정!$A$34&lt;&gt;"",ISNUMBER(SEARCH(설정!$A$34,E896&amp;" "&amp;C896))),AND(설정!$A$35&lt;&gt;"",ISNUMBER(SEARCH(설정!$A$35,E896&amp;" "&amp;C896))),AND(설정!$A$36&lt;&gt;"",ISNUMBER(SEARCH(설정!$A$36,E896&amp;" "&amp;C896))),AND(설정!$A$37&lt;&gt;"",ISNUMBER(SEARCH(설정!$A$37,E896&amp;" "&amp;C896))))</f>
        <v/>
      </c>
      <c r="S896">
        <f>OR(D896="",D896&gt;=설정!$B$19)</f>
        <v/>
      </c>
      <c r="T896">
        <f>AND(Q896,R896,S896)</f>
        <v/>
      </c>
      <c r="U896">
        <f>IF(T896,IF(AND(설정!$A$41&lt;&gt;"",ISNUMBER(SEARCH(설정!$A$41,K896))),설정!$B$41,IF(AND(설정!$A$42&lt;&gt;"",ISNUMBER(SEARCH(설정!$A$42,K896))),설정!$B$42,IF(AND(설정!$A$43&lt;&gt;"",ISNUMBER(SEARCH(설정!$A$43,K896))),설정!$B$43,IF(AND(설정!$A$44&lt;&gt;"",ISNUMBER(SEARCH(설정!$A$44,K896))),설정!$B$44,IF(AND(설정!$A$45&lt;&gt;"",ISNUMBER(SEARCH(설정!$A$45,K896))),설정!$B$45,IF(AND(설정!$A$46&lt;&gt;"",ISNUMBER(SEARCH(설정!$A$46,K896))),설정!$B$46,IF(AND(설정!$A$47&lt;&gt;"",ISNUMBER(SEARCH(설정!$A$47,K896))),설정!$B$47,IF(AND(설정!$A$48&lt;&gt;"",ISNUMBER(SEARCH(설정!$A$48,K896))),설정!$B$48,IF(M896="","설계사","시공사"))))))))),"")</f>
        <v/>
      </c>
      <c r="V896">
        <f>SUBSTITUTE(SUBSTITUTE(SUBSTITUTE(SUBSTITUTE(G896,"(주)",""),"㈜",""),"주식회사","")," ","")</f>
        <v/>
      </c>
      <c r="W896">
        <f>IF(AND(T896,V896&lt;&gt;""),IF(COUNTIFS(V$2:V896,V896,T$2:T896,TRUE)=1,MAX(W$1:W895)+1,""),"")</f>
        <v/>
      </c>
      <c r="X896">
        <f>IFERROR(INDEX('1.산군_붙여넣기'!$A$1:$AZ$1001,ROW(),설정!$C$14)&amp;"","")</f>
        <v/>
      </c>
      <c r="Y896">
        <f>IFERROR(INDEX('1.산군_붙여넣기'!$A$1:$AZ$1001,ROW(),설정!$C$15)&amp;"","")</f>
        <v/>
      </c>
      <c r="Z896">
        <f>IF(T896,V896&amp;"|"&amp;U896,"")</f>
        <v/>
      </c>
    </row>
    <row r="897">
      <c r="A897">
        <f>ROW()</f>
        <v/>
      </c>
      <c r="B897">
        <f>IFERROR(INDEX('1.산군_붙여넣기'!$A$1:$AZ$1001,ROW(),설정!$C$4)&amp;"","")</f>
        <v/>
      </c>
      <c r="C897">
        <f>IFERROR(INDEX('1.산군_붙여넣기'!$A$1:$AZ$1001,ROW(),설정!$C$5)&amp;"","")</f>
        <v/>
      </c>
      <c r="D897" s="5">
        <f>IFERROR(VALUE(SUBSTITUTE(SUBSTITUTE(SUBSTITUTE(IFERROR(INDEX('1.산군_붙여넣기'!$A$1:$AZ$1001,ROW(),설정!$C$6)&amp;"",""),",",""),"㎡",""),"m2","")),"")</f>
        <v/>
      </c>
      <c r="E897">
        <f>IFERROR(INDEX('1.산군_붙여넣기'!$A$1:$AZ$1001,ROW(),설정!$C$7)&amp;"","")</f>
        <v/>
      </c>
      <c r="F897">
        <f>IFERROR(INDEX('1.산군_붙여넣기'!$A$1:$AZ$1001,ROW(),설정!$C$8)&amp;"","")</f>
        <v/>
      </c>
      <c r="G897">
        <f>IFERROR(INDEX('1.산군_붙여넣기'!$A$1:$AZ$1001,ROW(),설정!$C$9)&amp;"","")</f>
        <v/>
      </c>
      <c r="H897">
        <f>IFERROR(INDEX('1.산군_붙여넣기'!$A$1:$AZ$1001,ROW(),설정!$C$10)&amp;"","")</f>
        <v/>
      </c>
      <c r="I897">
        <f>IFERROR(INDEX('1.산군_붙여넣기'!$A$1:$AZ$1001,ROW(),설정!$C$11)&amp;"","")</f>
        <v/>
      </c>
      <c r="J897">
        <f>IFERROR(INDEX('1.산군_붙여넣기'!$A$1:$AZ$1001,ROW(),설정!$C$12)&amp;"","")</f>
        <v/>
      </c>
      <c r="K897">
        <f>IFERROR(INDEX('1.산군_붙여넣기'!$A$1:$AZ$1001,ROW(),설정!$C$13)&amp;"","")</f>
        <v/>
      </c>
      <c r="L897" s="6">
        <f>IF(X897="","",IF(AND(LEN(X897)=8,ISNUMBER(X897*1)),DATE(LEFT(X897,4),MID(X897,5,2),RIGHT(X897,2)),IFERROR(DATEVALUE(SUBSTITUTE(SUBSTITUTE(X897,".","-"),"/","-")),IFERROR(X897*1,""))))</f>
        <v/>
      </c>
      <c r="M897" s="6">
        <f>IF(Y897="","",IF(AND(LEN(Y897)=8,ISNUMBER(Y897*1)),DATE(LEFT(Y897,4),MID(Y897,5,2),RIGHT(Y897,2)),IFERROR(DATEVALUE(SUBSTITUTE(SUBSTITUTE(Y897,".","-"),"/","-")),IFERROR(Y897*1,""))))</f>
        <v/>
      </c>
      <c r="N897">
        <f>IFERROR(LEFT(B897,FIND(" ",B897)-1),B897)</f>
        <v/>
      </c>
      <c r="O897">
        <f>AND(B897&lt;&gt;"",B897&lt;&gt;설정!$B$4,C897&lt;&gt;설정!$B$5)</f>
        <v/>
      </c>
      <c r="P897">
        <f>IF(O897,B897&amp;"|"&amp;C897,"")</f>
        <v/>
      </c>
      <c r="Q897">
        <f>AND(O897,COUNTIF(P898:P$1002,P897)=0)</f>
        <v/>
      </c>
      <c r="R897">
        <f>OR(AND(설정!$A$28&lt;&gt;"",ISNUMBER(SEARCH(설정!$A$28,E897&amp;" "&amp;C897))),AND(설정!$A$29&lt;&gt;"",ISNUMBER(SEARCH(설정!$A$29,E897&amp;" "&amp;C897))),AND(설정!$A$30&lt;&gt;"",ISNUMBER(SEARCH(설정!$A$30,E897&amp;" "&amp;C897))),AND(설정!$A$31&lt;&gt;"",ISNUMBER(SEARCH(설정!$A$31,E897&amp;" "&amp;C897))),AND(설정!$A$32&lt;&gt;"",ISNUMBER(SEARCH(설정!$A$32,E897&amp;" "&amp;C897))),AND(설정!$A$33&lt;&gt;"",ISNUMBER(SEARCH(설정!$A$33,E897&amp;" "&amp;C897))),AND(설정!$A$34&lt;&gt;"",ISNUMBER(SEARCH(설정!$A$34,E897&amp;" "&amp;C897))),AND(설정!$A$35&lt;&gt;"",ISNUMBER(SEARCH(설정!$A$35,E897&amp;" "&amp;C897))),AND(설정!$A$36&lt;&gt;"",ISNUMBER(SEARCH(설정!$A$36,E897&amp;" "&amp;C897))),AND(설정!$A$37&lt;&gt;"",ISNUMBER(SEARCH(설정!$A$37,E897&amp;" "&amp;C897))))</f>
        <v/>
      </c>
      <c r="S897">
        <f>OR(D897="",D897&gt;=설정!$B$19)</f>
        <v/>
      </c>
      <c r="T897">
        <f>AND(Q897,R897,S897)</f>
        <v/>
      </c>
      <c r="U897">
        <f>IF(T897,IF(AND(설정!$A$41&lt;&gt;"",ISNUMBER(SEARCH(설정!$A$41,K897))),설정!$B$41,IF(AND(설정!$A$42&lt;&gt;"",ISNUMBER(SEARCH(설정!$A$42,K897))),설정!$B$42,IF(AND(설정!$A$43&lt;&gt;"",ISNUMBER(SEARCH(설정!$A$43,K897))),설정!$B$43,IF(AND(설정!$A$44&lt;&gt;"",ISNUMBER(SEARCH(설정!$A$44,K897))),설정!$B$44,IF(AND(설정!$A$45&lt;&gt;"",ISNUMBER(SEARCH(설정!$A$45,K897))),설정!$B$45,IF(AND(설정!$A$46&lt;&gt;"",ISNUMBER(SEARCH(설정!$A$46,K897))),설정!$B$46,IF(AND(설정!$A$47&lt;&gt;"",ISNUMBER(SEARCH(설정!$A$47,K897))),설정!$B$47,IF(AND(설정!$A$48&lt;&gt;"",ISNUMBER(SEARCH(설정!$A$48,K897))),설정!$B$48,IF(M897="","설계사","시공사"))))))))),"")</f>
        <v/>
      </c>
      <c r="V897">
        <f>SUBSTITUTE(SUBSTITUTE(SUBSTITUTE(SUBSTITUTE(G897,"(주)",""),"㈜",""),"주식회사","")," ","")</f>
        <v/>
      </c>
      <c r="W897">
        <f>IF(AND(T897,V897&lt;&gt;""),IF(COUNTIFS(V$2:V897,V897,T$2:T897,TRUE)=1,MAX(W$1:W896)+1,""),"")</f>
        <v/>
      </c>
      <c r="X897">
        <f>IFERROR(INDEX('1.산군_붙여넣기'!$A$1:$AZ$1001,ROW(),설정!$C$14)&amp;"","")</f>
        <v/>
      </c>
      <c r="Y897">
        <f>IFERROR(INDEX('1.산군_붙여넣기'!$A$1:$AZ$1001,ROW(),설정!$C$15)&amp;"","")</f>
        <v/>
      </c>
      <c r="Z897">
        <f>IF(T897,V897&amp;"|"&amp;U897,"")</f>
        <v/>
      </c>
    </row>
    <row r="898">
      <c r="A898">
        <f>ROW()</f>
        <v/>
      </c>
      <c r="B898">
        <f>IFERROR(INDEX('1.산군_붙여넣기'!$A$1:$AZ$1001,ROW(),설정!$C$4)&amp;"","")</f>
        <v/>
      </c>
      <c r="C898">
        <f>IFERROR(INDEX('1.산군_붙여넣기'!$A$1:$AZ$1001,ROW(),설정!$C$5)&amp;"","")</f>
        <v/>
      </c>
      <c r="D898" s="5">
        <f>IFERROR(VALUE(SUBSTITUTE(SUBSTITUTE(SUBSTITUTE(IFERROR(INDEX('1.산군_붙여넣기'!$A$1:$AZ$1001,ROW(),설정!$C$6)&amp;"",""),",",""),"㎡",""),"m2","")),"")</f>
        <v/>
      </c>
      <c r="E898">
        <f>IFERROR(INDEX('1.산군_붙여넣기'!$A$1:$AZ$1001,ROW(),설정!$C$7)&amp;"","")</f>
        <v/>
      </c>
      <c r="F898">
        <f>IFERROR(INDEX('1.산군_붙여넣기'!$A$1:$AZ$1001,ROW(),설정!$C$8)&amp;"","")</f>
        <v/>
      </c>
      <c r="G898">
        <f>IFERROR(INDEX('1.산군_붙여넣기'!$A$1:$AZ$1001,ROW(),설정!$C$9)&amp;"","")</f>
        <v/>
      </c>
      <c r="H898">
        <f>IFERROR(INDEX('1.산군_붙여넣기'!$A$1:$AZ$1001,ROW(),설정!$C$10)&amp;"","")</f>
        <v/>
      </c>
      <c r="I898">
        <f>IFERROR(INDEX('1.산군_붙여넣기'!$A$1:$AZ$1001,ROW(),설정!$C$11)&amp;"","")</f>
        <v/>
      </c>
      <c r="J898">
        <f>IFERROR(INDEX('1.산군_붙여넣기'!$A$1:$AZ$1001,ROW(),설정!$C$12)&amp;"","")</f>
        <v/>
      </c>
      <c r="K898">
        <f>IFERROR(INDEX('1.산군_붙여넣기'!$A$1:$AZ$1001,ROW(),설정!$C$13)&amp;"","")</f>
        <v/>
      </c>
      <c r="L898" s="6">
        <f>IF(X898="","",IF(AND(LEN(X898)=8,ISNUMBER(X898*1)),DATE(LEFT(X898,4),MID(X898,5,2),RIGHT(X898,2)),IFERROR(DATEVALUE(SUBSTITUTE(SUBSTITUTE(X898,".","-"),"/","-")),IFERROR(X898*1,""))))</f>
        <v/>
      </c>
      <c r="M898" s="6">
        <f>IF(Y898="","",IF(AND(LEN(Y898)=8,ISNUMBER(Y898*1)),DATE(LEFT(Y898,4),MID(Y898,5,2),RIGHT(Y898,2)),IFERROR(DATEVALUE(SUBSTITUTE(SUBSTITUTE(Y898,".","-"),"/","-")),IFERROR(Y898*1,""))))</f>
        <v/>
      </c>
      <c r="N898">
        <f>IFERROR(LEFT(B898,FIND(" ",B898)-1),B898)</f>
        <v/>
      </c>
      <c r="O898">
        <f>AND(B898&lt;&gt;"",B898&lt;&gt;설정!$B$4,C898&lt;&gt;설정!$B$5)</f>
        <v/>
      </c>
      <c r="P898">
        <f>IF(O898,B898&amp;"|"&amp;C898,"")</f>
        <v/>
      </c>
      <c r="Q898">
        <f>AND(O898,COUNTIF(P899:P$1002,P898)=0)</f>
        <v/>
      </c>
      <c r="R898">
        <f>OR(AND(설정!$A$28&lt;&gt;"",ISNUMBER(SEARCH(설정!$A$28,E898&amp;" "&amp;C898))),AND(설정!$A$29&lt;&gt;"",ISNUMBER(SEARCH(설정!$A$29,E898&amp;" "&amp;C898))),AND(설정!$A$30&lt;&gt;"",ISNUMBER(SEARCH(설정!$A$30,E898&amp;" "&amp;C898))),AND(설정!$A$31&lt;&gt;"",ISNUMBER(SEARCH(설정!$A$31,E898&amp;" "&amp;C898))),AND(설정!$A$32&lt;&gt;"",ISNUMBER(SEARCH(설정!$A$32,E898&amp;" "&amp;C898))),AND(설정!$A$33&lt;&gt;"",ISNUMBER(SEARCH(설정!$A$33,E898&amp;" "&amp;C898))),AND(설정!$A$34&lt;&gt;"",ISNUMBER(SEARCH(설정!$A$34,E898&amp;" "&amp;C898))),AND(설정!$A$35&lt;&gt;"",ISNUMBER(SEARCH(설정!$A$35,E898&amp;" "&amp;C898))),AND(설정!$A$36&lt;&gt;"",ISNUMBER(SEARCH(설정!$A$36,E898&amp;" "&amp;C898))),AND(설정!$A$37&lt;&gt;"",ISNUMBER(SEARCH(설정!$A$37,E898&amp;" "&amp;C898))))</f>
        <v/>
      </c>
      <c r="S898">
        <f>OR(D898="",D898&gt;=설정!$B$19)</f>
        <v/>
      </c>
      <c r="T898">
        <f>AND(Q898,R898,S898)</f>
        <v/>
      </c>
      <c r="U898">
        <f>IF(T898,IF(AND(설정!$A$41&lt;&gt;"",ISNUMBER(SEARCH(설정!$A$41,K898))),설정!$B$41,IF(AND(설정!$A$42&lt;&gt;"",ISNUMBER(SEARCH(설정!$A$42,K898))),설정!$B$42,IF(AND(설정!$A$43&lt;&gt;"",ISNUMBER(SEARCH(설정!$A$43,K898))),설정!$B$43,IF(AND(설정!$A$44&lt;&gt;"",ISNUMBER(SEARCH(설정!$A$44,K898))),설정!$B$44,IF(AND(설정!$A$45&lt;&gt;"",ISNUMBER(SEARCH(설정!$A$45,K898))),설정!$B$45,IF(AND(설정!$A$46&lt;&gt;"",ISNUMBER(SEARCH(설정!$A$46,K898))),설정!$B$46,IF(AND(설정!$A$47&lt;&gt;"",ISNUMBER(SEARCH(설정!$A$47,K898))),설정!$B$47,IF(AND(설정!$A$48&lt;&gt;"",ISNUMBER(SEARCH(설정!$A$48,K898))),설정!$B$48,IF(M898="","설계사","시공사"))))))))),"")</f>
        <v/>
      </c>
      <c r="V898">
        <f>SUBSTITUTE(SUBSTITUTE(SUBSTITUTE(SUBSTITUTE(G898,"(주)",""),"㈜",""),"주식회사","")," ","")</f>
        <v/>
      </c>
      <c r="W898">
        <f>IF(AND(T898,V898&lt;&gt;""),IF(COUNTIFS(V$2:V898,V898,T$2:T898,TRUE)=1,MAX(W$1:W897)+1,""),"")</f>
        <v/>
      </c>
      <c r="X898">
        <f>IFERROR(INDEX('1.산군_붙여넣기'!$A$1:$AZ$1001,ROW(),설정!$C$14)&amp;"","")</f>
        <v/>
      </c>
      <c r="Y898">
        <f>IFERROR(INDEX('1.산군_붙여넣기'!$A$1:$AZ$1001,ROW(),설정!$C$15)&amp;"","")</f>
        <v/>
      </c>
      <c r="Z898">
        <f>IF(T898,V898&amp;"|"&amp;U898,"")</f>
        <v/>
      </c>
    </row>
    <row r="899">
      <c r="A899">
        <f>ROW()</f>
        <v/>
      </c>
      <c r="B899">
        <f>IFERROR(INDEX('1.산군_붙여넣기'!$A$1:$AZ$1001,ROW(),설정!$C$4)&amp;"","")</f>
        <v/>
      </c>
      <c r="C899">
        <f>IFERROR(INDEX('1.산군_붙여넣기'!$A$1:$AZ$1001,ROW(),설정!$C$5)&amp;"","")</f>
        <v/>
      </c>
      <c r="D899" s="5">
        <f>IFERROR(VALUE(SUBSTITUTE(SUBSTITUTE(SUBSTITUTE(IFERROR(INDEX('1.산군_붙여넣기'!$A$1:$AZ$1001,ROW(),설정!$C$6)&amp;"",""),",",""),"㎡",""),"m2","")),"")</f>
        <v/>
      </c>
      <c r="E899">
        <f>IFERROR(INDEX('1.산군_붙여넣기'!$A$1:$AZ$1001,ROW(),설정!$C$7)&amp;"","")</f>
        <v/>
      </c>
      <c r="F899">
        <f>IFERROR(INDEX('1.산군_붙여넣기'!$A$1:$AZ$1001,ROW(),설정!$C$8)&amp;"","")</f>
        <v/>
      </c>
      <c r="G899">
        <f>IFERROR(INDEX('1.산군_붙여넣기'!$A$1:$AZ$1001,ROW(),설정!$C$9)&amp;"","")</f>
        <v/>
      </c>
      <c r="H899">
        <f>IFERROR(INDEX('1.산군_붙여넣기'!$A$1:$AZ$1001,ROW(),설정!$C$10)&amp;"","")</f>
        <v/>
      </c>
      <c r="I899">
        <f>IFERROR(INDEX('1.산군_붙여넣기'!$A$1:$AZ$1001,ROW(),설정!$C$11)&amp;"","")</f>
        <v/>
      </c>
      <c r="J899">
        <f>IFERROR(INDEX('1.산군_붙여넣기'!$A$1:$AZ$1001,ROW(),설정!$C$12)&amp;"","")</f>
        <v/>
      </c>
      <c r="K899">
        <f>IFERROR(INDEX('1.산군_붙여넣기'!$A$1:$AZ$1001,ROW(),설정!$C$13)&amp;"","")</f>
        <v/>
      </c>
      <c r="L899" s="6">
        <f>IF(X899="","",IF(AND(LEN(X899)=8,ISNUMBER(X899*1)),DATE(LEFT(X899,4),MID(X899,5,2),RIGHT(X899,2)),IFERROR(DATEVALUE(SUBSTITUTE(SUBSTITUTE(X899,".","-"),"/","-")),IFERROR(X899*1,""))))</f>
        <v/>
      </c>
      <c r="M899" s="6">
        <f>IF(Y899="","",IF(AND(LEN(Y899)=8,ISNUMBER(Y899*1)),DATE(LEFT(Y899,4),MID(Y899,5,2),RIGHT(Y899,2)),IFERROR(DATEVALUE(SUBSTITUTE(SUBSTITUTE(Y899,".","-"),"/","-")),IFERROR(Y899*1,""))))</f>
        <v/>
      </c>
      <c r="N899">
        <f>IFERROR(LEFT(B899,FIND(" ",B899)-1),B899)</f>
        <v/>
      </c>
      <c r="O899">
        <f>AND(B899&lt;&gt;"",B899&lt;&gt;설정!$B$4,C899&lt;&gt;설정!$B$5)</f>
        <v/>
      </c>
      <c r="P899">
        <f>IF(O899,B899&amp;"|"&amp;C899,"")</f>
        <v/>
      </c>
      <c r="Q899">
        <f>AND(O899,COUNTIF(P900:P$1002,P899)=0)</f>
        <v/>
      </c>
      <c r="R899">
        <f>OR(AND(설정!$A$28&lt;&gt;"",ISNUMBER(SEARCH(설정!$A$28,E899&amp;" "&amp;C899))),AND(설정!$A$29&lt;&gt;"",ISNUMBER(SEARCH(설정!$A$29,E899&amp;" "&amp;C899))),AND(설정!$A$30&lt;&gt;"",ISNUMBER(SEARCH(설정!$A$30,E899&amp;" "&amp;C899))),AND(설정!$A$31&lt;&gt;"",ISNUMBER(SEARCH(설정!$A$31,E899&amp;" "&amp;C899))),AND(설정!$A$32&lt;&gt;"",ISNUMBER(SEARCH(설정!$A$32,E899&amp;" "&amp;C899))),AND(설정!$A$33&lt;&gt;"",ISNUMBER(SEARCH(설정!$A$33,E899&amp;" "&amp;C899))),AND(설정!$A$34&lt;&gt;"",ISNUMBER(SEARCH(설정!$A$34,E899&amp;" "&amp;C899))),AND(설정!$A$35&lt;&gt;"",ISNUMBER(SEARCH(설정!$A$35,E899&amp;" "&amp;C899))),AND(설정!$A$36&lt;&gt;"",ISNUMBER(SEARCH(설정!$A$36,E899&amp;" "&amp;C899))),AND(설정!$A$37&lt;&gt;"",ISNUMBER(SEARCH(설정!$A$37,E899&amp;" "&amp;C899))))</f>
        <v/>
      </c>
      <c r="S899">
        <f>OR(D899="",D899&gt;=설정!$B$19)</f>
        <v/>
      </c>
      <c r="T899">
        <f>AND(Q899,R899,S899)</f>
        <v/>
      </c>
      <c r="U899">
        <f>IF(T899,IF(AND(설정!$A$41&lt;&gt;"",ISNUMBER(SEARCH(설정!$A$41,K899))),설정!$B$41,IF(AND(설정!$A$42&lt;&gt;"",ISNUMBER(SEARCH(설정!$A$42,K899))),설정!$B$42,IF(AND(설정!$A$43&lt;&gt;"",ISNUMBER(SEARCH(설정!$A$43,K899))),설정!$B$43,IF(AND(설정!$A$44&lt;&gt;"",ISNUMBER(SEARCH(설정!$A$44,K899))),설정!$B$44,IF(AND(설정!$A$45&lt;&gt;"",ISNUMBER(SEARCH(설정!$A$45,K899))),설정!$B$45,IF(AND(설정!$A$46&lt;&gt;"",ISNUMBER(SEARCH(설정!$A$46,K899))),설정!$B$46,IF(AND(설정!$A$47&lt;&gt;"",ISNUMBER(SEARCH(설정!$A$47,K899))),설정!$B$47,IF(AND(설정!$A$48&lt;&gt;"",ISNUMBER(SEARCH(설정!$A$48,K899))),설정!$B$48,IF(M899="","설계사","시공사"))))))))),"")</f>
        <v/>
      </c>
      <c r="V899">
        <f>SUBSTITUTE(SUBSTITUTE(SUBSTITUTE(SUBSTITUTE(G899,"(주)",""),"㈜",""),"주식회사","")," ","")</f>
        <v/>
      </c>
      <c r="W899">
        <f>IF(AND(T899,V899&lt;&gt;""),IF(COUNTIFS(V$2:V899,V899,T$2:T899,TRUE)=1,MAX(W$1:W898)+1,""),"")</f>
        <v/>
      </c>
      <c r="X899">
        <f>IFERROR(INDEX('1.산군_붙여넣기'!$A$1:$AZ$1001,ROW(),설정!$C$14)&amp;"","")</f>
        <v/>
      </c>
      <c r="Y899">
        <f>IFERROR(INDEX('1.산군_붙여넣기'!$A$1:$AZ$1001,ROW(),설정!$C$15)&amp;"","")</f>
        <v/>
      </c>
      <c r="Z899">
        <f>IF(T899,V899&amp;"|"&amp;U899,"")</f>
        <v/>
      </c>
    </row>
    <row r="900">
      <c r="A900">
        <f>ROW()</f>
        <v/>
      </c>
      <c r="B900">
        <f>IFERROR(INDEX('1.산군_붙여넣기'!$A$1:$AZ$1001,ROW(),설정!$C$4)&amp;"","")</f>
        <v/>
      </c>
      <c r="C900">
        <f>IFERROR(INDEX('1.산군_붙여넣기'!$A$1:$AZ$1001,ROW(),설정!$C$5)&amp;"","")</f>
        <v/>
      </c>
      <c r="D900" s="5">
        <f>IFERROR(VALUE(SUBSTITUTE(SUBSTITUTE(SUBSTITUTE(IFERROR(INDEX('1.산군_붙여넣기'!$A$1:$AZ$1001,ROW(),설정!$C$6)&amp;"",""),",",""),"㎡",""),"m2","")),"")</f>
        <v/>
      </c>
      <c r="E900">
        <f>IFERROR(INDEX('1.산군_붙여넣기'!$A$1:$AZ$1001,ROW(),설정!$C$7)&amp;"","")</f>
        <v/>
      </c>
      <c r="F900">
        <f>IFERROR(INDEX('1.산군_붙여넣기'!$A$1:$AZ$1001,ROW(),설정!$C$8)&amp;"","")</f>
        <v/>
      </c>
      <c r="G900">
        <f>IFERROR(INDEX('1.산군_붙여넣기'!$A$1:$AZ$1001,ROW(),설정!$C$9)&amp;"","")</f>
        <v/>
      </c>
      <c r="H900">
        <f>IFERROR(INDEX('1.산군_붙여넣기'!$A$1:$AZ$1001,ROW(),설정!$C$10)&amp;"","")</f>
        <v/>
      </c>
      <c r="I900">
        <f>IFERROR(INDEX('1.산군_붙여넣기'!$A$1:$AZ$1001,ROW(),설정!$C$11)&amp;"","")</f>
        <v/>
      </c>
      <c r="J900">
        <f>IFERROR(INDEX('1.산군_붙여넣기'!$A$1:$AZ$1001,ROW(),설정!$C$12)&amp;"","")</f>
        <v/>
      </c>
      <c r="K900">
        <f>IFERROR(INDEX('1.산군_붙여넣기'!$A$1:$AZ$1001,ROW(),설정!$C$13)&amp;"","")</f>
        <v/>
      </c>
      <c r="L900" s="6">
        <f>IF(X900="","",IF(AND(LEN(X900)=8,ISNUMBER(X900*1)),DATE(LEFT(X900,4),MID(X900,5,2),RIGHT(X900,2)),IFERROR(DATEVALUE(SUBSTITUTE(SUBSTITUTE(X900,".","-"),"/","-")),IFERROR(X900*1,""))))</f>
        <v/>
      </c>
      <c r="M900" s="6">
        <f>IF(Y900="","",IF(AND(LEN(Y900)=8,ISNUMBER(Y900*1)),DATE(LEFT(Y900,4),MID(Y900,5,2),RIGHT(Y900,2)),IFERROR(DATEVALUE(SUBSTITUTE(SUBSTITUTE(Y900,".","-"),"/","-")),IFERROR(Y900*1,""))))</f>
        <v/>
      </c>
      <c r="N900">
        <f>IFERROR(LEFT(B900,FIND(" ",B900)-1),B900)</f>
        <v/>
      </c>
      <c r="O900">
        <f>AND(B900&lt;&gt;"",B900&lt;&gt;설정!$B$4,C900&lt;&gt;설정!$B$5)</f>
        <v/>
      </c>
      <c r="P900">
        <f>IF(O900,B900&amp;"|"&amp;C900,"")</f>
        <v/>
      </c>
      <c r="Q900">
        <f>AND(O900,COUNTIF(P901:P$1002,P900)=0)</f>
        <v/>
      </c>
      <c r="R900">
        <f>OR(AND(설정!$A$28&lt;&gt;"",ISNUMBER(SEARCH(설정!$A$28,E900&amp;" "&amp;C900))),AND(설정!$A$29&lt;&gt;"",ISNUMBER(SEARCH(설정!$A$29,E900&amp;" "&amp;C900))),AND(설정!$A$30&lt;&gt;"",ISNUMBER(SEARCH(설정!$A$30,E900&amp;" "&amp;C900))),AND(설정!$A$31&lt;&gt;"",ISNUMBER(SEARCH(설정!$A$31,E900&amp;" "&amp;C900))),AND(설정!$A$32&lt;&gt;"",ISNUMBER(SEARCH(설정!$A$32,E900&amp;" "&amp;C900))),AND(설정!$A$33&lt;&gt;"",ISNUMBER(SEARCH(설정!$A$33,E900&amp;" "&amp;C900))),AND(설정!$A$34&lt;&gt;"",ISNUMBER(SEARCH(설정!$A$34,E900&amp;" "&amp;C900))),AND(설정!$A$35&lt;&gt;"",ISNUMBER(SEARCH(설정!$A$35,E900&amp;" "&amp;C900))),AND(설정!$A$36&lt;&gt;"",ISNUMBER(SEARCH(설정!$A$36,E900&amp;" "&amp;C900))),AND(설정!$A$37&lt;&gt;"",ISNUMBER(SEARCH(설정!$A$37,E900&amp;" "&amp;C900))))</f>
        <v/>
      </c>
      <c r="S900">
        <f>OR(D900="",D900&gt;=설정!$B$19)</f>
        <v/>
      </c>
      <c r="T900">
        <f>AND(Q900,R900,S900)</f>
        <v/>
      </c>
      <c r="U900">
        <f>IF(T900,IF(AND(설정!$A$41&lt;&gt;"",ISNUMBER(SEARCH(설정!$A$41,K900))),설정!$B$41,IF(AND(설정!$A$42&lt;&gt;"",ISNUMBER(SEARCH(설정!$A$42,K900))),설정!$B$42,IF(AND(설정!$A$43&lt;&gt;"",ISNUMBER(SEARCH(설정!$A$43,K900))),설정!$B$43,IF(AND(설정!$A$44&lt;&gt;"",ISNUMBER(SEARCH(설정!$A$44,K900))),설정!$B$44,IF(AND(설정!$A$45&lt;&gt;"",ISNUMBER(SEARCH(설정!$A$45,K900))),설정!$B$45,IF(AND(설정!$A$46&lt;&gt;"",ISNUMBER(SEARCH(설정!$A$46,K900))),설정!$B$46,IF(AND(설정!$A$47&lt;&gt;"",ISNUMBER(SEARCH(설정!$A$47,K900))),설정!$B$47,IF(AND(설정!$A$48&lt;&gt;"",ISNUMBER(SEARCH(설정!$A$48,K900))),설정!$B$48,IF(M900="","설계사","시공사"))))))))),"")</f>
        <v/>
      </c>
      <c r="V900">
        <f>SUBSTITUTE(SUBSTITUTE(SUBSTITUTE(SUBSTITUTE(G900,"(주)",""),"㈜",""),"주식회사","")," ","")</f>
        <v/>
      </c>
      <c r="W900">
        <f>IF(AND(T900,V900&lt;&gt;""),IF(COUNTIFS(V$2:V900,V900,T$2:T900,TRUE)=1,MAX(W$1:W899)+1,""),"")</f>
        <v/>
      </c>
      <c r="X900">
        <f>IFERROR(INDEX('1.산군_붙여넣기'!$A$1:$AZ$1001,ROW(),설정!$C$14)&amp;"","")</f>
        <v/>
      </c>
      <c r="Y900">
        <f>IFERROR(INDEX('1.산군_붙여넣기'!$A$1:$AZ$1001,ROW(),설정!$C$15)&amp;"","")</f>
        <v/>
      </c>
      <c r="Z900">
        <f>IF(T900,V900&amp;"|"&amp;U900,"")</f>
        <v/>
      </c>
    </row>
    <row r="901">
      <c r="A901">
        <f>ROW()</f>
        <v/>
      </c>
      <c r="B901">
        <f>IFERROR(INDEX('1.산군_붙여넣기'!$A$1:$AZ$1001,ROW(),설정!$C$4)&amp;"","")</f>
        <v/>
      </c>
      <c r="C901">
        <f>IFERROR(INDEX('1.산군_붙여넣기'!$A$1:$AZ$1001,ROW(),설정!$C$5)&amp;"","")</f>
        <v/>
      </c>
      <c r="D901" s="5">
        <f>IFERROR(VALUE(SUBSTITUTE(SUBSTITUTE(SUBSTITUTE(IFERROR(INDEX('1.산군_붙여넣기'!$A$1:$AZ$1001,ROW(),설정!$C$6)&amp;"",""),",",""),"㎡",""),"m2","")),"")</f>
        <v/>
      </c>
      <c r="E901">
        <f>IFERROR(INDEX('1.산군_붙여넣기'!$A$1:$AZ$1001,ROW(),설정!$C$7)&amp;"","")</f>
        <v/>
      </c>
      <c r="F901">
        <f>IFERROR(INDEX('1.산군_붙여넣기'!$A$1:$AZ$1001,ROW(),설정!$C$8)&amp;"","")</f>
        <v/>
      </c>
      <c r="G901">
        <f>IFERROR(INDEX('1.산군_붙여넣기'!$A$1:$AZ$1001,ROW(),설정!$C$9)&amp;"","")</f>
        <v/>
      </c>
      <c r="H901">
        <f>IFERROR(INDEX('1.산군_붙여넣기'!$A$1:$AZ$1001,ROW(),설정!$C$10)&amp;"","")</f>
        <v/>
      </c>
      <c r="I901">
        <f>IFERROR(INDEX('1.산군_붙여넣기'!$A$1:$AZ$1001,ROW(),설정!$C$11)&amp;"","")</f>
        <v/>
      </c>
      <c r="J901">
        <f>IFERROR(INDEX('1.산군_붙여넣기'!$A$1:$AZ$1001,ROW(),설정!$C$12)&amp;"","")</f>
        <v/>
      </c>
      <c r="K901">
        <f>IFERROR(INDEX('1.산군_붙여넣기'!$A$1:$AZ$1001,ROW(),설정!$C$13)&amp;"","")</f>
        <v/>
      </c>
      <c r="L901" s="6">
        <f>IF(X901="","",IF(AND(LEN(X901)=8,ISNUMBER(X901*1)),DATE(LEFT(X901,4),MID(X901,5,2),RIGHT(X901,2)),IFERROR(DATEVALUE(SUBSTITUTE(SUBSTITUTE(X901,".","-"),"/","-")),IFERROR(X901*1,""))))</f>
        <v/>
      </c>
      <c r="M901" s="6">
        <f>IF(Y901="","",IF(AND(LEN(Y901)=8,ISNUMBER(Y901*1)),DATE(LEFT(Y901,4),MID(Y901,5,2),RIGHT(Y901,2)),IFERROR(DATEVALUE(SUBSTITUTE(SUBSTITUTE(Y901,".","-"),"/","-")),IFERROR(Y901*1,""))))</f>
        <v/>
      </c>
      <c r="N901">
        <f>IFERROR(LEFT(B901,FIND(" ",B901)-1),B901)</f>
        <v/>
      </c>
      <c r="O901">
        <f>AND(B901&lt;&gt;"",B901&lt;&gt;설정!$B$4,C901&lt;&gt;설정!$B$5)</f>
        <v/>
      </c>
      <c r="P901">
        <f>IF(O901,B901&amp;"|"&amp;C901,"")</f>
        <v/>
      </c>
      <c r="Q901">
        <f>AND(O901,COUNTIF(P902:P$1002,P901)=0)</f>
        <v/>
      </c>
      <c r="R901">
        <f>OR(AND(설정!$A$28&lt;&gt;"",ISNUMBER(SEARCH(설정!$A$28,E901&amp;" "&amp;C901))),AND(설정!$A$29&lt;&gt;"",ISNUMBER(SEARCH(설정!$A$29,E901&amp;" "&amp;C901))),AND(설정!$A$30&lt;&gt;"",ISNUMBER(SEARCH(설정!$A$30,E901&amp;" "&amp;C901))),AND(설정!$A$31&lt;&gt;"",ISNUMBER(SEARCH(설정!$A$31,E901&amp;" "&amp;C901))),AND(설정!$A$32&lt;&gt;"",ISNUMBER(SEARCH(설정!$A$32,E901&amp;" "&amp;C901))),AND(설정!$A$33&lt;&gt;"",ISNUMBER(SEARCH(설정!$A$33,E901&amp;" "&amp;C901))),AND(설정!$A$34&lt;&gt;"",ISNUMBER(SEARCH(설정!$A$34,E901&amp;" "&amp;C901))),AND(설정!$A$35&lt;&gt;"",ISNUMBER(SEARCH(설정!$A$35,E901&amp;" "&amp;C901))),AND(설정!$A$36&lt;&gt;"",ISNUMBER(SEARCH(설정!$A$36,E901&amp;" "&amp;C901))),AND(설정!$A$37&lt;&gt;"",ISNUMBER(SEARCH(설정!$A$37,E901&amp;" "&amp;C901))))</f>
        <v/>
      </c>
      <c r="S901">
        <f>OR(D901="",D901&gt;=설정!$B$19)</f>
        <v/>
      </c>
      <c r="T901">
        <f>AND(Q901,R901,S901)</f>
        <v/>
      </c>
      <c r="U901">
        <f>IF(T901,IF(AND(설정!$A$41&lt;&gt;"",ISNUMBER(SEARCH(설정!$A$41,K901))),설정!$B$41,IF(AND(설정!$A$42&lt;&gt;"",ISNUMBER(SEARCH(설정!$A$42,K901))),설정!$B$42,IF(AND(설정!$A$43&lt;&gt;"",ISNUMBER(SEARCH(설정!$A$43,K901))),설정!$B$43,IF(AND(설정!$A$44&lt;&gt;"",ISNUMBER(SEARCH(설정!$A$44,K901))),설정!$B$44,IF(AND(설정!$A$45&lt;&gt;"",ISNUMBER(SEARCH(설정!$A$45,K901))),설정!$B$45,IF(AND(설정!$A$46&lt;&gt;"",ISNUMBER(SEARCH(설정!$A$46,K901))),설정!$B$46,IF(AND(설정!$A$47&lt;&gt;"",ISNUMBER(SEARCH(설정!$A$47,K901))),설정!$B$47,IF(AND(설정!$A$48&lt;&gt;"",ISNUMBER(SEARCH(설정!$A$48,K901))),설정!$B$48,IF(M901="","설계사","시공사"))))))))),"")</f>
        <v/>
      </c>
      <c r="V901">
        <f>SUBSTITUTE(SUBSTITUTE(SUBSTITUTE(SUBSTITUTE(G901,"(주)",""),"㈜",""),"주식회사","")," ","")</f>
        <v/>
      </c>
      <c r="W901">
        <f>IF(AND(T901,V901&lt;&gt;""),IF(COUNTIFS(V$2:V901,V901,T$2:T901,TRUE)=1,MAX(W$1:W900)+1,""),"")</f>
        <v/>
      </c>
      <c r="X901">
        <f>IFERROR(INDEX('1.산군_붙여넣기'!$A$1:$AZ$1001,ROW(),설정!$C$14)&amp;"","")</f>
        <v/>
      </c>
      <c r="Y901">
        <f>IFERROR(INDEX('1.산군_붙여넣기'!$A$1:$AZ$1001,ROW(),설정!$C$15)&amp;"","")</f>
        <v/>
      </c>
      <c r="Z901">
        <f>IF(T901,V901&amp;"|"&amp;U901,"")</f>
        <v/>
      </c>
    </row>
    <row r="902">
      <c r="A902">
        <f>ROW()</f>
        <v/>
      </c>
      <c r="B902">
        <f>IFERROR(INDEX('1.산군_붙여넣기'!$A$1:$AZ$1001,ROW(),설정!$C$4)&amp;"","")</f>
        <v/>
      </c>
      <c r="C902">
        <f>IFERROR(INDEX('1.산군_붙여넣기'!$A$1:$AZ$1001,ROW(),설정!$C$5)&amp;"","")</f>
        <v/>
      </c>
      <c r="D902" s="5">
        <f>IFERROR(VALUE(SUBSTITUTE(SUBSTITUTE(SUBSTITUTE(IFERROR(INDEX('1.산군_붙여넣기'!$A$1:$AZ$1001,ROW(),설정!$C$6)&amp;"",""),",",""),"㎡",""),"m2","")),"")</f>
        <v/>
      </c>
      <c r="E902">
        <f>IFERROR(INDEX('1.산군_붙여넣기'!$A$1:$AZ$1001,ROW(),설정!$C$7)&amp;"","")</f>
        <v/>
      </c>
      <c r="F902">
        <f>IFERROR(INDEX('1.산군_붙여넣기'!$A$1:$AZ$1001,ROW(),설정!$C$8)&amp;"","")</f>
        <v/>
      </c>
      <c r="G902">
        <f>IFERROR(INDEX('1.산군_붙여넣기'!$A$1:$AZ$1001,ROW(),설정!$C$9)&amp;"","")</f>
        <v/>
      </c>
      <c r="H902">
        <f>IFERROR(INDEX('1.산군_붙여넣기'!$A$1:$AZ$1001,ROW(),설정!$C$10)&amp;"","")</f>
        <v/>
      </c>
      <c r="I902">
        <f>IFERROR(INDEX('1.산군_붙여넣기'!$A$1:$AZ$1001,ROW(),설정!$C$11)&amp;"","")</f>
        <v/>
      </c>
      <c r="J902">
        <f>IFERROR(INDEX('1.산군_붙여넣기'!$A$1:$AZ$1001,ROW(),설정!$C$12)&amp;"","")</f>
        <v/>
      </c>
      <c r="K902">
        <f>IFERROR(INDEX('1.산군_붙여넣기'!$A$1:$AZ$1001,ROW(),설정!$C$13)&amp;"","")</f>
        <v/>
      </c>
      <c r="L902" s="6">
        <f>IF(X902="","",IF(AND(LEN(X902)=8,ISNUMBER(X902*1)),DATE(LEFT(X902,4),MID(X902,5,2),RIGHT(X902,2)),IFERROR(DATEVALUE(SUBSTITUTE(SUBSTITUTE(X902,".","-"),"/","-")),IFERROR(X902*1,""))))</f>
        <v/>
      </c>
      <c r="M902" s="6">
        <f>IF(Y902="","",IF(AND(LEN(Y902)=8,ISNUMBER(Y902*1)),DATE(LEFT(Y902,4),MID(Y902,5,2),RIGHT(Y902,2)),IFERROR(DATEVALUE(SUBSTITUTE(SUBSTITUTE(Y902,".","-"),"/","-")),IFERROR(Y902*1,""))))</f>
        <v/>
      </c>
      <c r="N902">
        <f>IFERROR(LEFT(B902,FIND(" ",B902)-1),B902)</f>
        <v/>
      </c>
      <c r="O902">
        <f>AND(B902&lt;&gt;"",B902&lt;&gt;설정!$B$4,C902&lt;&gt;설정!$B$5)</f>
        <v/>
      </c>
      <c r="P902">
        <f>IF(O902,B902&amp;"|"&amp;C902,"")</f>
        <v/>
      </c>
      <c r="Q902">
        <f>AND(O902,COUNTIF(P903:P$1002,P902)=0)</f>
        <v/>
      </c>
      <c r="R902">
        <f>OR(AND(설정!$A$28&lt;&gt;"",ISNUMBER(SEARCH(설정!$A$28,E902&amp;" "&amp;C902))),AND(설정!$A$29&lt;&gt;"",ISNUMBER(SEARCH(설정!$A$29,E902&amp;" "&amp;C902))),AND(설정!$A$30&lt;&gt;"",ISNUMBER(SEARCH(설정!$A$30,E902&amp;" "&amp;C902))),AND(설정!$A$31&lt;&gt;"",ISNUMBER(SEARCH(설정!$A$31,E902&amp;" "&amp;C902))),AND(설정!$A$32&lt;&gt;"",ISNUMBER(SEARCH(설정!$A$32,E902&amp;" "&amp;C902))),AND(설정!$A$33&lt;&gt;"",ISNUMBER(SEARCH(설정!$A$33,E902&amp;" "&amp;C902))),AND(설정!$A$34&lt;&gt;"",ISNUMBER(SEARCH(설정!$A$34,E902&amp;" "&amp;C902))),AND(설정!$A$35&lt;&gt;"",ISNUMBER(SEARCH(설정!$A$35,E902&amp;" "&amp;C902))),AND(설정!$A$36&lt;&gt;"",ISNUMBER(SEARCH(설정!$A$36,E902&amp;" "&amp;C902))),AND(설정!$A$37&lt;&gt;"",ISNUMBER(SEARCH(설정!$A$37,E902&amp;" "&amp;C902))))</f>
        <v/>
      </c>
      <c r="S902">
        <f>OR(D902="",D902&gt;=설정!$B$19)</f>
        <v/>
      </c>
      <c r="T902">
        <f>AND(Q902,R902,S902)</f>
        <v/>
      </c>
      <c r="U902">
        <f>IF(T902,IF(AND(설정!$A$41&lt;&gt;"",ISNUMBER(SEARCH(설정!$A$41,K902))),설정!$B$41,IF(AND(설정!$A$42&lt;&gt;"",ISNUMBER(SEARCH(설정!$A$42,K902))),설정!$B$42,IF(AND(설정!$A$43&lt;&gt;"",ISNUMBER(SEARCH(설정!$A$43,K902))),설정!$B$43,IF(AND(설정!$A$44&lt;&gt;"",ISNUMBER(SEARCH(설정!$A$44,K902))),설정!$B$44,IF(AND(설정!$A$45&lt;&gt;"",ISNUMBER(SEARCH(설정!$A$45,K902))),설정!$B$45,IF(AND(설정!$A$46&lt;&gt;"",ISNUMBER(SEARCH(설정!$A$46,K902))),설정!$B$46,IF(AND(설정!$A$47&lt;&gt;"",ISNUMBER(SEARCH(설정!$A$47,K902))),설정!$B$47,IF(AND(설정!$A$48&lt;&gt;"",ISNUMBER(SEARCH(설정!$A$48,K902))),설정!$B$48,IF(M902="","설계사","시공사"))))))))),"")</f>
        <v/>
      </c>
      <c r="V902">
        <f>SUBSTITUTE(SUBSTITUTE(SUBSTITUTE(SUBSTITUTE(G902,"(주)",""),"㈜",""),"주식회사","")," ","")</f>
        <v/>
      </c>
      <c r="W902">
        <f>IF(AND(T902,V902&lt;&gt;""),IF(COUNTIFS(V$2:V902,V902,T$2:T902,TRUE)=1,MAX(W$1:W901)+1,""),"")</f>
        <v/>
      </c>
      <c r="X902">
        <f>IFERROR(INDEX('1.산군_붙여넣기'!$A$1:$AZ$1001,ROW(),설정!$C$14)&amp;"","")</f>
        <v/>
      </c>
      <c r="Y902">
        <f>IFERROR(INDEX('1.산군_붙여넣기'!$A$1:$AZ$1001,ROW(),설정!$C$15)&amp;"","")</f>
        <v/>
      </c>
      <c r="Z902">
        <f>IF(T902,V902&amp;"|"&amp;U902,"")</f>
        <v/>
      </c>
    </row>
    <row r="903">
      <c r="A903">
        <f>ROW()</f>
        <v/>
      </c>
      <c r="B903">
        <f>IFERROR(INDEX('1.산군_붙여넣기'!$A$1:$AZ$1001,ROW(),설정!$C$4)&amp;"","")</f>
        <v/>
      </c>
      <c r="C903">
        <f>IFERROR(INDEX('1.산군_붙여넣기'!$A$1:$AZ$1001,ROW(),설정!$C$5)&amp;"","")</f>
        <v/>
      </c>
      <c r="D903" s="5">
        <f>IFERROR(VALUE(SUBSTITUTE(SUBSTITUTE(SUBSTITUTE(IFERROR(INDEX('1.산군_붙여넣기'!$A$1:$AZ$1001,ROW(),설정!$C$6)&amp;"",""),",",""),"㎡",""),"m2","")),"")</f>
        <v/>
      </c>
      <c r="E903">
        <f>IFERROR(INDEX('1.산군_붙여넣기'!$A$1:$AZ$1001,ROW(),설정!$C$7)&amp;"","")</f>
        <v/>
      </c>
      <c r="F903">
        <f>IFERROR(INDEX('1.산군_붙여넣기'!$A$1:$AZ$1001,ROW(),설정!$C$8)&amp;"","")</f>
        <v/>
      </c>
      <c r="G903">
        <f>IFERROR(INDEX('1.산군_붙여넣기'!$A$1:$AZ$1001,ROW(),설정!$C$9)&amp;"","")</f>
        <v/>
      </c>
      <c r="H903">
        <f>IFERROR(INDEX('1.산군_붙여넣기'!$A$1:$AZ$1001,ROW(),설정!$C$10)&amp;"","")</f>
        <v/>
      </c>
      <c r="I903">
        <f>IFERROR(INDEX('1.산군_붙여넣기'!$A$1:$AZ$1001,ROW(),설정!$C$11)&amp;"","")</f>
        <v/>
      </c>
      <c r="J903">
        <f>IFERROR(INDEX('1.산군_붙여넣기'!$A$1:$AZ$1001,ROW(),설정!$C$12)&amp;"","")</f>
        <v/>
      </c>
      <c r="K903">
        <f>IFERROR(INDEX('1.산군_붙여넣기'!$A$1:$AZ$1001,ROW(),설정!$C$13)&amp;"","")</f>
        <v/>
      </c>
      <c r="L903" s="6">
        <f>IF(X903="","",IF(AND(LEN(X903)=8,ISNUMBER(X903*1)),DATE(LEFT(X903,4),MID(X903,5,2),RIGHT(X903,2)),IFERROR(DATEVALUE(SUBSTITUTE(SUBSTITUTE(X903,".","-"),"/","-")),IFERROR(X903*1,""))))</f>
        <v/>
      </c>
      <c r="M903" s="6">
        <f>IF(Y903="","",IF(AND(LEN(Y903)=8,ISNUMBER(Y903*1)),DATE(LEFT(Y903,4),MID(Y903,5,2),RIGHT(Y903,2)),IFERROR(DATEVALUE(SUBSTITUTE(SUBSTITUTE(Y903,".","-"),"/","-")),IFERROR(Y903*1,""))))</f>
        <v/>
      </c>
      <c r="N903">
        <f>IFERROR(LEFT(B903,FIND(" ",B903)-1),B903)</f>
        <v/>
      </c>
      <c r="O903">
        <f>AND(B903&lt;&gt;"",B903&lt;&gt;설정!$B$4,C903&lt;&gt;설정!$B$5)</f>
        <v/>
      </c>
      <c r="P903">
        <f>IF(O903,B903&amp;"|"&amp;C903,"")</f>
        <v/>
      </c>
      <c r="Q903">
        <f>AND(O903,COUNTIF(P904:P$1002,P903)=0)</f>
        <v/>
      </c>
      <c r="R903">
        <f>OR(AND(설정!$A$28&lt;&gt;"",ISNUMBER(SEARCH(설정!$A$28,E903&amp;" "&amp;C903))),AND(설정!$A$29&lt;&gt;"",ISNUMBER(SEARCH(설정!$A$29,E903&amp;" "&amp;C903))),AND(설정!$A$30&lt;&gt;"",ISNUMBER(SEARCH(설정!$A$30,E903&amp;" "&amp;C903))),AND(설정!$A$31&lt;&gt;"",ISNUMBER(SEARCH(설정!$A$31,E903&amp;" "&amp;C903))),AND(설정!$A$32&lt;&gt;"",ISNUMBER(SEARCH(설정!$A$32,E903&amp;" "&amp;C903))),AND(설정!$A$33&lt;&gt;"",ISNUMBER(SEARCH(설정!$A$33,E903&amp;" "&amp;C903))),AND(설정!$A$34&lt;&gt;"",ISNUMBER(SEARCH(설정!$A$34,E903&amp;" "&amp;C903))),AND(설정!$A$35&lt;&gt;"",ISNUMBER(SEARCH(설정!$A$35,E903&amp;" "&amp;C903))),AND(설정!$A$36&lt;&gt;"",ISNUMBER(SEARCH(설정!$A$36,E903&amp;" "&amp;C903))),AND(설정!$A$37&lt;&gt;"",ISNUMBER(SEARCH(설정!$A$37,E903&amp;" "&amp;C903))))</f>
        <v/>
      </c>
      <c r="S903">
        <f>OR(D903="",D903&gt;=설정!$B$19)</f>
        <v/>
      </c>
      <c r="T903">
        <f>AND(Q903,R903,S903)</f>
        <v/>
      </c>
      <c r="U903">
        <f>IF(T903,IF(AND(설정!$A$41&lt;&gt;"",ISNUMBER(SEARCH(설정!$A$41,K903))),설정!$B$41,IF(AND(설정!$A$42&lt;&gt;"",ISNUMBER(SEARCH(설정!$A$42,K903))),설정!$B$42,IF(AND(설정!$A$43&lt;&gt;"",ISNUMBER(SEARCH(설정!$A$43,K903))),설정!$B$43,IF(AND(설정!$A$44&lt;&gt;"",ISNUMBER(SEARCH(설정!$A$44,K903))),설정!$B$44,IF(AND(설정!$A$45&lt;&gt;"",ISNUMBER(SEARCH(설정!$A$45,K903))),설정!$B$45,IF(AND(설정!$A$46&lt;&gt;"",ISNUMBER(SEARCH(설정!$A$46,K903))),설정!$B$46,IF(AND(설정!$A$47&lt;&gt;"",ISNUMBER(SEARCH(설정!$A$47,K903))),설정!$B$47,IF(AND(설정!$A$48&lt;&gt;"",ISNUMBER(SEARCH(설정!$A$48,K903))),설정!$B$48,IF(M903="","설계사","시공사"))))))))),"")</f>
        <v/>
      </c>
      <c r="V903">
        <f>SUBSTITUTE(SUBSTITUTE(SUBSTITUTE(SUBSTITUTE(G903,"(주)",""),"㈜",""),"주식회사","")," ","")</f>
        <v/>
      </c>
      <c r="W903">
        <f>IF(AND(T903,V903&lt;&gt;""),IF(COUNTIFS(V$2:V903,V903,T$2:T903,TRUE)=1,MAX(W$1:W902)+1,""),"")</f>
        <v/>
      </c>
      <c r="X903">
        <f>IFERROR(INDEX('1.산군_붙여넣기'!$A$1:$AZ$1001,ROW(),설정!$C$14)&amp;"","")</f>
        <v/>
      </c>
      <c r="Y903">
        <f>IFERROR(INDEX('1.산군_붙여넣기'!$A$1:$AZ$1001,ROW(),설정!$C$15)&amp;"","")</f>
        <v/>
      </c>
      <c r="Z903">
        <f>IF(T903,V903&amp;"|"&amp;U903,"")</f>
        <v/>
      </c>
    </row>
    <row r="904">
      <c r="A904">
        <f>ROW()</f>
        <v/>
      </c>
      <c r="B904">
        <f>IFERROR(INDEX('1.산군_붙여넣기'!$A$1:$AZ$1001,ROW(),설정!$C$4)&amp;"","")</f>
        <v/>
      </c>
      <c r="C904">
        <f>IFERROR(INDEX('1.산군_붙여넣기'!$A$1:$AZ$1001,ROW(),설정!$C$5)&amp;"","")</f>
        <v/>
      </c>
      <c r="D904" s="5">
        <f>IFERROR(VALUE(SUBSTITUTE(SUBSTITUTE(SUBSTITUTE(IFERROR(INDEX('1.산군_붙여넣기'!$A$1:$AZ$1001,ROW(),설정!$C$6)&amp;"",""),",",""),"㎡",""),"m2","")),"")</f>
        <v/>
      </c>
      <c r="E904">
        <f>IFERROR(INDEX('1.산군_붙여넣기'!$A$1:$AZ$1001,ROW(),설정!$C$7)&amp;"","")</f>
        <v/>
      </c>
      <c r="F904">
        <f>IFERROR(INDEX('1.산군_붙여넣기'!$A$1:$AZ$1001,ROW(),설정!$C$8)&amp;"","")</f>
        <v/>
      </c>
      <c r="G904">
        <f>IFERROR(INDEX('1.산군_붙여넣기'!$A$1:$AZ$1001,ROW(),설정!$C$9)&amp;"","")</f>
        <v/>
      </c>
      <c r="H904">
        <f>IFERROR(INDEX('1.산군_붙여넣기'!$A$1:$AZ$1001,ROW(),설정!$C$10)&amp;"","")</f>
        <v/>
      </c>
      <c r="I904">
        <f>IFERROR(INDEX('1.산군_붙여넣기'!$A$1:$AZ$1001,ROW(),설정!$C$11)&amp;"","")</f>
        <v/>
      </c>
      <c r="J904">
        <f>IFERROR(INDEX('1.산군_붙여넣기'!$A$1:$AZ$1001,ROW(),설정!$C$12)&amp;"","")</f>
        <v/>
      </c>
      <c r="K904">
        <f>IFERROR(INDEX('1.산군_붙여넣기'!$A$1:$AZ$1001,ROW(),설정!$C$13)&amp;"","")</f>
        <v/>
      </c>
      <c r="L904" s="6">
        <f>IF(X904="","",IF(AND(LEN(X904)=8,ISNUMBER(X904*1)),DATE(LEFT(X904,4),MID(X904,5,2),RIGHT(X904,2)),IFERROR(DATEVALUE(SUBSTITUTE(SUBSTITUTE(X904,".","-"),"/","-")),IFERROR(X904*1,""))))</f>
        <v/>
      </c>
      <c r="M904" s="6">
        <f>IF(Y904="","",IF(AND(LEN(Y904)=8,ISNUMBER(Y904*1)),DATE(LEFT(Y904,4),MID(Y904,5,2),RIGHT(Y904,2)),IFERROR(DATEVALUE(SUBSTITUTE(SUBSTITUTE(Y904,".","-"),"/","-")),IFERROR(Y904*1,""))))</f>
        <v/>
      </c>
      <c r="N904">
        <f>IFERROR(LEFT(B904,FIND(" ",B904)-1),B904)</f>
        <v/>
      </c>
      <c r="O904">
        <f>AND(B904&lt;&gt;"",B904&lt;&gt;설정!$B$4,C904&lt;&gt;설정!$B$5)</f>
        <v/>
      </c>
      <c r="P904">
        <f>IF(O904,B904&amp;"|"&amp;C904,"")</f>
        <v/>
      </c>
      <c r="Q904">
        <f>AND(O904,COUNTIF(P905:P$1002,P904)=0)</f>
        <v/>
      </c>
      <c r="R904">
        <f>OR(AND(설정!$A$28&lt;&gt;"",ISNUMBER(SEARCH(설정!$A$28,E904&amp;" "&amp;C904))),AND(설정!$A$29&lt;&gt;"",ISNUMBER(SEARCH(설정!$A$29,E904&amp;" "&amp;C904))),AND(설정!$A$30&lt;&gt;"",ISNUMBER(SEARCH(설정!$A$30,E904&amp;" "&amp;C904))),AND(설정!$A$31&lt;&gt;"",ISNUMBER(SEARCH(설정!$A$31,E904&amp;" "&amp;C904))),AND(설정!$A$32&lt;&gt;"",ISNUMBER(SEARCH(설정!$A$32,E904&amp;" "&amp;C904))),AND(설정!$A$33&lt;&gt;"",ISNUMBER(SEARCH(설정!$A$33,E904&amp;" "&amp;C904))),AND(설정!$A$34&lt;&gt;"",ISNUMBER(SEARCH(설정!$A$34,E904&amp;" "&amp;C904))),AND(설정!$A$35&lt;&gt;"",ISNUMBER(SEARCH(설정!$A$35,E904&amp;" "&amp;C904))),AND(설정!$A$36&lt;&gt;"",ISNUMBER(SEARCH(설정!$A$36,E904&amp;" "&amp;C904))),AND(설정!$A$37&lt;&gt;"",ISNUMBER(SEARCH(설정!$A$37,E904&amp;" "&amp;C904))))</f>
        <v/>
      </c>
      <c r="S904">
        <f>OR(D904="",D904&gt;=설정!$B$19)</f>
        <v/>
      </c>
      <c r="T904">
        <f>AND(Q904,R904,S904)</f>
        <v/>
      </c>
      <c r="U904">
        <f>IF(T904,IF(AND(설정!$A$41&lt;&gt;"",ISNUMBER(SEARCH(설정!$A$41,K904))),설정!$B$41,IF(AND(설정!$A$42&lt;&gt;"",ISNUMBER(SEARCH(설정!$A$42,K904))),설정!$B$42,IF(AND(설정!$A$43&lt;&gt;"",ISNUMBER(SEARCH(설정!$A$43,K904))),설정!$B$43,IF(AND(설정!$A$44&lt;&gt;"",ISNUMBER(SEARCH(설정!$A$44,K904))),설정!$B$44,IF(AND(설정!$A$45&lt;&gt;"",ISNUMBER(SEARCH(설정!$A$45,K904))),설정!$B$45,IF(AND(설정!$A$46&lt;&gt;"",ISNUMBER(SEARCH(설정!$A$46,K904))),설정!$B$46,IF(AND(설정!$A$47&lt;&gt;"",ISNUMBER(SEARCH(설정!$A$47,K904))),설정!$B$47,IF(AND(설정!$A$48&lt;&gt;"",ISNUMBER(SEARCH(설정!$A$48,K904))),설정!$B$48,IF(M904="","설계사","시공사"))))))))),"")</f>
        <v/>
      </c>
      <c r="V904">
        <f>SUBSTITUTE(SUBSTITUTE(SUBSTITUTE(SUBSTITUTE(G904,"(주)",""),"㈜",""),"주식회사","")," ","")</f>
        <v/>
      </c>
      <c r="W904">
        <f>IF(AND(T904,V904&lt;&gt;""),IF(COUNTIFS(V$2:V904,V904,T$2:T904,TRUE)=1,MAX(W$1:W903)+1,""),"")</f>
        <v/>
      </c>
      <c r="X904">
        <f>IFERROR(INDEX('1.산군_붙여넣기'!$A$1:$AZ$1001,ROW(),설정!$C$14)&amp;"","")</f>
        <v/>
      </c>
      <c r="Y904">
        <f>IFERROR(INDEX('1.산군_붙여넣기'!$A$1:$AZ$1001,ROW(),설정!$C$15)&amp;"","")</f>
        <v/>
      </c>
      <c r="Z904">
        <f>IF(T904,V904&amp;"|"&amp;U904,"")</f>
        <v/>
      </c>
    </row>
    <row r="905">
      <c r="A905">
        <f>ROW()</f>
        <v/>
      </c>
      <c r="B905">
        <f>IFERROR(INDEX('1.산군_붙여넣기'!$A$1:$AZ$1001,ROW(),설정!$C$4)&amp;"","")</f>
        <v/>
      </c>
      <c r="C905">
        <f>IFERROR(INDEX('1.산군_붙여넣기'!$A$1:$AZ$1001,ROW(),설정!$C$5)&amp;"","")</f>
        <v/>
      </c>
      <c r="D905" s="5">
        <f>IFERROR(VALUE(SUBSTITUTE(SUBSTITUTE(SUBSTITUTE(IFERROR(INDEX('1.산군_붙여넣기'!$A$1:$AZ$1001,ROW(),설정!$C$6)&amp;"",""),",",""),"㎡",""),"m2","")),"")</f>
        <v/>
      </c>
      <c r="E905">
        <f>IFERROR(INDEX('1.산군_붙여넣기'!$A$1:$AZ$1001,ROW(),설정!$C$7)&amp;"","")</f>
        <v/>
      </c>
      <c r="F905">
        <f>IFERROR(INDEX('1.산군_붙여넣기'!$A$1:$AZ$1001,ROW(),설정!$C$8)&amp;"","")</f>
        <v/>
      </c>
      <c r="G905">
        <f>IFERROR(INDEX('1.산군_붙여넣기'!$A$1:$AZ$1001,ROW(),설정!$C$9)&amp;"","")</f>
        <v/>
      </c>
      <c r="H905">
        <f>IFERROR(INDEX('1.산군_붙여넣기'!$A$1:$AZ$1001,ROW(),설정!$C$10)&amp;"","")</f>
        <v/>
      </c>
      <c r="I905">
        <f>IFERROR(INDEX('1.산군_붙여넣기'!$A$1:$AZ$1001,ROW(),설정!$C$11)&amp;"","")</f>
        <v/>
      </c>
      <c r="J905">
        <f>IFERROR(INDEX('1.산군_붙여넣기'!$A$1:$AZ$1001,ROW(),설정!$C$12)&amp;"","")</f>
        <v/>
      </c>
      <c r="K905">
        <f>IFERROR(INDEX('1.산군_붙여넣기'!$A$1:$AZ$1001,ROW(),설정!$C$13)&amp;"","")</f>
        <v/>
      </c>
      <c r="L905" s="6">
        <f>IF(X905="","",IF(AND(LEN(X905)=8,ISNUMBER(X905*1)),DATE(LEFT(X905,4),MID(X905,5,2),RIGHT(X905,2)),IFERROR(DATEVALUE(SUBSTITUTE(SUBSTITUTE(X905,".","-"),"/","-")),IFERROR(X905*1,""))))</f>
        <v/>
      </c>
      <c r="M905" s="6">
        <f>IF(Y905="","",IF(AND(LEN(Y905)=8,ISNUMBER(Y905*1)),DATE(LEFT(Y905,4),MID(Y905,5,2),RIGHT(Y905,2)),IFERROR(DATEVALUE(SUBSTITUTE(SUBSTITUTE(Y905,".","-"),"/","-")),IFERROR(Y905*1,""))))</f>
        <v/>
      </c>
      <c r="N905">
        <f>IFERROR(LEFT(B905,FIND(" ",B905)-1),B905)</f>
        <v/>
      </c>
      <c r="O905">
        <f>AND(B905&lt;&gt;"",B905&lt;&gt;설정!$B$4,C905&lt;&gt;설정!$B$5)</f>
        <v/>
      </c>
      <c r="P905">
        <f>IF(O905,B905&amp;"|"&amp;C905,"")</f>
        <v/>
      </c>
      <c r="Q905">
        <f>AND(O905,COUNTIF(P906:P$1002,P905)=0)</f>
        <v/>
      </c>
      <c r="R905">
        <f>OR(AND(설정!$A$28&lt;&gt;"",ISNUMBER(SEARCH(설정!$A$28,E905&amp;" "&amp;C905))),AND(설정!$A$29&lt;&gt;"",ISNUMBER(SEARCH(설정!$A$29,E905&amp;" "&amp;C905))),AND(설정!$A$30&lt;&gt;"",ISNUMBER(SEARCH(설정!$A$30,E905&amp;" "&amp;C905))),AND(설정!$A$31&lt;&gt;"",ISNUMBER(SEARCH(설정!$A$31,E905&amp;" "&amp;C905))),AND(설정!$A$32&lt;&gt;"",ISNUMBER(SEARCH(설정!$A$32,E905&amp;" "&amp;C905))),AND(설정!$A$33&lt;&gt;"",ISNUMBER(SEARCH(설정!$A$33,E905&amp;" "&amp;C905))),AND(설정!$A$34&lt;&gt;"",ISNUMBER(SEARCH(설정!$A$34,E905&amp;" "&amp;C905))),AND(설정!$A$35&lt;&gt;"",ISNUMBER(SEARCH(설정!$A$35,E905&amp;" "&amp;C905))),AND(설정!$A$36&lt;&gt;"",ISNUMBER(SEARCH(설정!$A$36,E905&amp;" "&amp;C905))),AND(설정!$A$37&lt;&gt;"",ISNUMBER(SEARCH(설정!$A$37,E905&amp;" "&amp;C905))))</f>
        <v/>
      </c>
      <c r="S905">
        <f>OR(D905="",D905&gt;=설정!$B$19)</f>
        <v/>
      </c>
      <c r="T905">
        <f>AND(Q905,R905,S905)</f>
        <v/>
      </c>
      <c r="U905">
        <f>IF(T905,IF(AND(설정!$A$41&lt;&gt;"",ISNUMBER(SEARCH(설정!$A$41,K905))),설정!$B$41,IF(AND(설정!$A$42&lt;&gt;"",ISNUMBER(SEARCH(설정!$A$42,K905))),설정!$B$42,IF(AND(설정!$A$43&lt;&gt;"",ISNUMBER(SEARCH(설정!$A$43,K905))),설정!$B$43,IF(AND(설정!$A$44&lt;&gt;"",ISNUMBER(SEARCH(설정!$A$44,K905))),설정!$B$44,IF(AND(설정!$A$45&lt;&gt;"",ISNUMBER(SEARCH(설정!$A$45,K905))),설정!$B$45,IF(AND(설정!$A$46&lt;&gt;"",ISNUMBER(SEARCH(설정!$A$46,K905))),설정!$B$46,IF(AND(설정!$A$47&lt;&gt;"",ISNUMBER(SEARCH(설정!$A$47,K905))),설정!$B$47,IF(AND(설정!$A$48&lt;&gt;"",ISNUMBER(SEARCH(설정!$A$48,K905))),설정!$B$48,IF(M905="","설계사","시공사"))))))))),"")</f>
        <v/>
      </c>
      <c r="V905">
        <f>SUBSTITUTE(SUBSTITUTE(SUBSTITUTE(SUBSTITUTE(G905,"(주)",""),"㈜",""),"주식회사","")," ","")</f>
        <v/>
      </c>
      <c r="W905">
        <f>IF(AND(T905,V905&lt;&gt;""),IF(COUNTIFS(V$2:V905,V905,T$2:T905,TRUE)=1,MAX(W$1:W904)+1,""),"")</f>
        <v/>
      </c>
      <c r="X905">
        <f>IFERROR(INDEX('1.산군_붙여넣기'!$A$1:$AZ$1001,ROW(),설정!$C$14)&amp;"","")</f>
        <v/>
      </c>
      <c r="Y905">
        <f>IFERROR(INDEX('1.산군_붙여넣기'!$A$1:$AZ$1001,ROW(),설정!$C$15)&amp;"","")</f>
        <v/>
      </c>
      <c r="Z905">
        <f>IF(T905,V905&amp;"|"&amp;U905,"")</f>
        <v/>
      </c>
    </row>
    <row r="906">
      <c r="A906">
        <f>ROW()</f>
        <v/>
      </c>
      <c r="B906">
        <f>IFERROR(INDEX('1.산군_붙여넣기'!$A$1:$AZ$1001,ROW(),설정!$C$4)&amp;"","")</f>
        <v/>
      </c>
      <c r="C906">
        <f>IFERROR(INDEX('1.산군_붙여넣기'!$A$1:$AZ$1001,ROW(),설정!$C$5)&amp;"","")</f>
        <v/>
      </c>
      <c r="D906" s="5">
        <f>IFERROR(VALUE(SUBSTITUTE(SUBSTITUTE(SUBSTITUTE(IFERROR(INDEX('1.산군_붙여넣기'!$A$1:$AZ$1001,ROW(),설정!$C$6)&amp;"",""),",",""),"㎡",""),"m2","")),"")</f>
        <v/>
      </c>
      <c r="E906">
        <f>IFERROR(INDEX('1.산군_붙여넣기'!$A$1:$AZ$1001,ROW(),설정!$C$7)&amp;"","")</f>
        <v/>
      </c>
      <c r="F906">
        <f>IFERROR(INDEX('1.산군_붙여넣기'!$A$1:$AZ$1001,ROW(),설정!$C$8)&amp;"","")</f>
        <v/>
      </c>
      <c r="G906">
        <f>IFERROR(INDEX('1.산군_붙여넣기'!$A$1:$AZ$1001,ROW(),설정!$C$9)&amp;"","")</f>
        <v/>
      </c>
      <c r="H906">
        <f>IFERROR(INDEX('1.산군_붙여넣기'!$A$1:$AZ$1001,ROW(),설정!$C$10)&amp;"","")</f>
        <v/>
      </c>
      <c r="I906">
        <f>IFERROR(INDEX('1.산군_붙여넣기'!$A$1:$AZ$1001,ROW(),설정!$C$11)&amp;"","")</f>
        <v/>
      </c>
      <c r="J906">
        <f>IFERROR(INDEX('1.산군_붙여넣기'!$A$1:$AZ$1001,ROW(),설정!$C$12)&amp;"","")</f>
        <v/>
      </c>
      <c r="K906">
        <f>IFERROR(INDEX('1.산군_붙여넣기'!$A$1:$AZ$1001,ROW(),설정!$C$13)&amp;"","")</f>
        <v/>
      </c>
      <c r="L906" s="6">
        <f>IF(X906="","",IF(AND(LEN(X906)=8,ISNUMBER(X906*1)),DATE(LEFT(X906,4),MID(X906,5,2),RIGHT(X906,2)),IFERROR(DATEVALUE(SUBSTITUTE(SUBSTITUTE(X906,".","-"),"/","-")),IFERROR(X906*1,""))))</f>
        <v/>
      </c>
      <c r="M906" s="6">
        <f>IF(Y906="","",IF(AND(LEN(Y906)=8,ISNUMBER(Y906*1)),DATE(LEFT(Y906,4),MID(Y906,5,2),RIGHT(Y906,2)),IFERROR(DATEVALUE(SUBSTITUTE(SUBSTITUTE(Y906,".","-"),"/","-")),IFERROR(Y906*1,""))))</f>
        <v/>
      </c>
      <c r="N906">
        <f>IFERROR(LEFT(B906,FIND(" ",B906)-1),B906)</f>
        <v/>
      </c>
      <c r="O906">
        <f>AND(B906&lt;&gt;"",B906&lt;&gt;설정!$B$4,C906&lt;&gt;설정!$B$5)</f>
        <v/>
      </c>
      <c r="P906">
        <f>IF(O906,B906&amp;"|"&amp;C906,"")</f>
        <v/>
      </c>
      <c r="Q906">
        <f>AND(O906,COUNTIF(P907:P$1002,P906)=0)</f>
        <v/>
      </c>
      <c r="R906">
        <f>OR(AND(설정!$A$28&lt;&gt;"",ISNUMBER(SEARCH(설정!$A$28,E906&amp;" "&amp;C906))),AND(설정!$A$29&lt;&gt;"",ISNUMBER(SEARCH(설정!$A$29,E906&amp;" "&amp;C906))),AND(설정!$A$30&lt;&gt;"",ISNUMBER(SEARCH(설정!$A$30,E906&amp;" "&amp;C906))),AND(설정!$A$31&lt;&gt;"",ISNUMBER(SEARCH(설정!$A$31,E906&amp;" "&amp;C906))),AND(설정!$A$32&lt;&gt;"",ISNUMBER(SEARCH(설정!$A$32,E906&amp;" "&amp;C906))),AND(설정!$A$33&lt;&gt;"",ISNUMBER(SEARCH(설정!$A$33,E906&amp;" "&amp;C906))),AND(설정!$A$34&lt;&gt;"",ISNUMBER(SEARCH(설정!$A$34,E906&amp;" "&amp;C906))),AND(설정!$A$35&lt;&gt;"",ISNUMBER(SEARCH(설정!$A$35,E906&amp;" "&amp;C906))),AND(설정!$A$36&lt;&gt;"",ISNUMBER(SEARCH(설정!$A$36,E906&amp;" "&amp;C906))),AND(설정!$A$37&lt;&gt;"",ISNUMBER(SEARCH(설정!$A$37,E906&amp;" "&amp;C906))))</f>
        <v/>
      </c>
      <c r="S906">
        <f>OR(D906="",D906&gt;=설정!$B$19)</f>
        <v/>
      </c>
      <c r="T906">
        <f>AND(Q906,R906,S906)</f>
        <v/>
      </c>
      <c r="U906">
        <f>IF(T906,IF(AND(설정!$A$41&lt;&gt;"",ISNUMBER(SEARCH(설정!$A$41,K906))),설정!$B$41,IF(AND(설정!$A$42&lt;&gt;"",ISNUMBER(SEARCH(설정!$A$42,K906))),설정!$B$42,IF(AND(설정!$A$43&lt;&gt;"",ISNUMBER(SEARCH(설정!$A$43,K906))),설정!$B$43,IF(AND(설정!$A$44&lt;&gt;"",ISNUMBER(SEARCH(설정!$A$44,K906))),설정!$B$44,IF(AND(설정!$A$45&lt;&gt;"",ISNUMBER(SEARCH(설정!$A$45,K906))),설정!$B$45,IF(AND(설정!$A$46&lt;&gt;"",ISNUMBER(SEARCH(설정!$A$46,K906))),설정!$B$46,IF(AND(설정!$A$47&lt;&gt;"",ISNUMBER(SEARCH(설정!$A$47,K906))),설정!$B$47,IF(AND(설정!$A$48&lt;&gt;"",ISNUMBER(SEARCH(설정!$A$48,K906))),설정!$B$48,IF(M906="","설계사","시공사"))))))))),"")</f>
        <v/>
      </c>
      <c r="V906">
        <f>SUBSTITUTE(SUBSTITUTE(SUBSTITUTE(SUBSTITUTE(G906,"(주)",""),"㈜",""),"주식회사","")," ","")</f>
        <v/>
      </c>
      <c r="W906">
        <f>IF(AND(T906,V906&lt;&gt;""),IF(COUNTIFS(V$2:V906,V906,T$2:T906,TRUE)=1,MAX(W$1:W905)+1,""),"")</f>
        <v/>
      </c>
      <c r="X906">
        <f>IFERROR(INDEX('1.산군_붙여넣기'!$A$1:$AZ$1001,ROW(),설정!$C$14)&amp;"","")</f>
        <v/>
      </c>
      <c r="Y906">
        <f>IFERROR(INDEX('1.산군_붙여넣기'!$A$1:$AZ$1001,ROW(),설정!$C$15)&amp;"","")</f>
        <v/>
      </c>
      <c r="Z906">
        <f>IF(T906,V906&amp;"|"&amp;U906,"")</f>
        <v/>
      </c>
    </row>
    <row r="907">
      <c r="A907">
        <f>ROW()</f>
        <v/>
      </c>
      <c r="B907">
        <f>IFERROR(INDEX('1.산군_붙여넣기'!$A$1:$AZ$1001,ROW(),설정!$C$4)&amp;"","")</f>
        <v/>
      </c>
      <c r="C907">
        <f>IFERROR(INDEX('1.산군_붙여넣기'!$A$1:$AZ$1001,ROW(),설정!$C$5)&amp;"","")</f>
        <v/>
      </c>
      <c r="D907" s="5">
        <f>IFERROR(VALUE(SUBSTITUTE(SUBSTITUTE(SUBSTITUTE(IFERROR(INDEX('1.산군_붙여넣기'!$A$1:$AZ$1001,ROW(),설정!$C$6)&amp;"",""),",",""),"㎡",""),"m2","")),"")</f>
        <v/>
      </c>
      <c r="E907">
        <f>IFERROR(INDEX('1.산군_붙여넣기'!$A$1:$AZ$1001,ROW(),설정!$C$7)&amp;"","")</f>
        <v/>
      </c>
      <c r="F907">
        <f>IFERROR(INDEX('1.산군_붙여넣기'!$A$1:$AZ$1001,ROW(),설정!$C$8)&amp;"","")</f>
        <v/>
      </c>
      <c r="G907">
        <f>IFERROR(INDEX('1.산군_붙여넣기'!$A$1:$AZ$1001,ROW(),설정!$C$9)&amp;"","")</f>
        <v/>
      </c>
      <c r="H907">
        <f>IFERROR(INDEX('1.산군_붙여넣기'!$A$1:$AZ$1001,ROW(),설정!$C$10)&amp;"","")</f>
        <v/>
      </c>
      <c r="I907">
        <f>IFERROR(INDEX('1.산군_붙여넣기'!$A$1:$AZ$1001,ROW(),설정!$C$11)&amp;"","")</f>
        <v/>
      </c>
      <c r="J907">
        <f>IFERROR(INDEX('1.산군_붙여넣기'!$A$1:$AZ$1001,ROW(),설정!$C$12)&amp;"","")</f>
        <v/>
      </c>
      <c r="K907">
        <f>IFERROR(INDEX('1.산군_붙여넣기'!$A$1:$AZ$1001,ROW(),설정!$C$13)&amp;"","")</f>
        <v/>
      </c>
      <c r="L907" s="6">
        <f>IF(X907="","",IF(AND(LEN(X907)=8,ISNUMBER(X907*1)),DATE(LEFT(X907,4),MID(X907,5,2),RIGHT(X907,2)),IFERROR(DATEVALUE(SUBSTITUTE(SUBSTITUTE(X907,".","-"),"/","-")),IFERROR(X907*1,""))))</f>
        <v/>
      </c>
      <c r="M907" s="6">
        <f>IF(Y907="","",IF(AND(LEN(Y907)=8,ISNUMBER(Y907*1)),DATE(LEFT(Y907,4),MID(Y907,5,2),RIGHT(Y907,2)),IFERROR(DATEVALUE(SUBSTITUTE(SUBSTITUTE(Y907,".","-"),"/","-")),IFERROR(Y907*1,""))))</f>
        <v/>
      </c>
      <c r="N907">
        <f>IFERROR(LEFT(B907,FIND(" ",B907)-1),B907)</f>
        <v/>
      </c>
      <c r="O907">
        <f>AND(B907&lt;&gt;"",B907&lt;&gt;설정!$B$4,C907&lt;&gt;설정!$B$5)</f>
        <v/>
      </c>
      <c r="P907">
        <f>IF(O907,B907&amp;"|"&amp;C907,"")</f>
        <v/>
      </c>
      <c r="Q907">
        <f>AND(O907,COUNTIF(P908:P$1002,P907)=0)</f>
        <v/>
      </c>
      <c r="R907">
        <f>OR(AND(설정!$A$28&lt;&gt;"",ISNUMBER(SEARCH(설정!$A$28,E907&amp;" "&amp;C907))),AND(설정!$A$29&lt;&gt;"",ISNUMBER(SEARCH(설정!$A$29,E907&amp;" "&amp;C907))),AND(설정!$A$30&lt;&gt;"",ISNUMBER(SEARCH(설정!$A$30,E907&amp;" "&amp;C907))),AND(설정!$A$31&lt;&gt;"",ISNUMBER(SEARCH(설정!$A$31,E907&amp;" "&amp;C907))),AND(설정!$A$32&lt;&gt;"",ISNUMBER(SEARCH(설정!$A$32,E907&amp;" "&amp;C907))),AND(설정!$A$33&lt;&gt;"",ISNUMBER(SEARCH(설정!$A$33,E907&amp;" "&amp;C907))),AND(설정!$A$34&lt;&gt;"",ISNUMBER(SEARCH(설정!$A$34,E907&amp;" "&amp;C907))),AND(설정!$A$35&lt;&gt;"",ISNUMBER(SEARCH(설정!$A$35,E907&amp;" "&amp;C907))),AND(설정!$A$36&lt;&gt;"",ISNUMBER(SEARCH(설정!$A$36,E907&amp;" "&amp;C907))),AND(설정!$A$37&lt;&gt;"",ISNUMBER(SEARCH(설정!$A$37,E907&amp;" "&amp;C907))))</f>
        <v/>
      </c>
      <c r="S907">
        <f>OR(D907="",D907&gt;=설정!$B$19)</f>
        <v/>
      </c>
      <c r="T907">
        <f>AND(Q907,R907,S907)</f>
        <v/>
      </c>
      <c r="U907">
        <f>IF(T907,IF(AND(설정!$A$41&lt;&gt;"",ISNUMBER(SEARCH(설정!$A$41,K907))),설정!$B$41,IF(AND(설정!$A$42&lt;&gt;"",ISNUMBER(SEARCH(설정!$A$42,K907))),설정!$B$42,IF(AND(설정!$A$43&lt;&gt;"",ISNUMBER(SEARCH(설정!$A$43,K907))),설정!$B$43,IF(AND(설정!$A$44&lt;&gt;"",ISNUMBER(SEARCH(설정!$A$44,K907))),설정!$B$44,IF(AND(설정!$A$45&lt;&gt;"",ISNUMBER(SEARCH(설정!$A$45,K907))),설정!$B$45,IF(AND(설정!$A$46&lt;&gt;"",ISNUMBER(SEARCH(설정!$A$46,K907))),설정!$B$46,IF(AND(설정!$A$47&lt;&gt;"",ISNUMBER(SEARCH(설정!$A$47,K907))),설정!$B$47,IF(AND(설정!$A$48&lt;&gt;"",ISNUMBER(SEARCH(설정!$A$48,K907))),설정!$B$48,IF(M907="","설계사","시공사"))))))))),"")</f>
        <v/>
      </c>
      <c r="V907">
        <f>SUBSTITUTE(SUBSTITUTE(SUBSTITUTE(SUBSTITUTE(G907,"(주)",""),"㈜",""),"주식회사","")," ","")</f>
        <v/>
      </c>
      <c r="W907">
        <f>IF(AND(T907,V907&lt;&gt;""),IF(COUNTIFS(V$2:V907,V907,T$2:T907,TRUE)=1,MAX(W$1:W906)+1,""),"")</f>
        <v/>
      </c>
      <c r="X907">
        <f>IFERROR(INDEX('1.산군_붙여넣기'!$A$1:$AZ$1001,ROW(),설정!$C$14)&amp;"","")</f>
        <v/>
      </c>
      <c r="Y907">
        <f>IFERROR(INDEX('1.산군_붙여넣기'!$A$1:$AZ$1001,ROW(),설정!$C$15)&amp;"","")</f>
        <v/>
      </c>
      <c r="Z907">
        <f>IF(T907,V907&amp;"|"&amp;U907,"")</f>
        <v/>
      </c>
    </row>
    <row r="908">
      <c r="A908">
        <f>ROW()</f>
        <v/>
      </c>
      <c r="B908">
        <f>IFERROR(INDEX('1.산군_붙여넣기'!$A$1:$AZ$1001,ROW(),설정!$C$4)&amp;"","")</f>
        <v/>
      </c>
      <c r="C908">
        <f>IFERROR(INDEX('1.산군_붙여넣기'!$A$1:$AZ$1001,ROW(),설정!$C$5)&amp;"","")</f>
        <v/>
      </c>
      <c r="D908" s="5">
        <f>IFERROR(VALUE(SUBSTITUTE(SUBSTITUTE(SUBSTITUTE(IFERROR(INDEX('1.산군_붙여넣기'!$A$1:$AZ$1001,ROW(),설정!$C$6)&amp;"",""),",",""),"㎡",""),"m2","")),"")</f>
        <v/>
      </c>
      <c r="E908">
        <f>IFERROR(INDEX('1.산군_붙여넣기'!$A$1:$AZ$1001,ROW(),설정!$C$7)&amp;"","")</f>
        <v/>
      </c>
      <c r="F908">
        <f>IFERROR(INDEX('1.산군_붙여넣기'!$A$1:$AZ$1001,ROW(),설정!$C$8)&amp;"","")</f>
        <v/>
      </c>
      <c r="G908">
        <f>IFERROR(INDEX('1.산군_붙여넣기'!$A$1:$AZ$1001,ROW(),설정!$C$9)&amp;"","")</f>
        <v/>
      </c>
      <c r="H908">
        <f>IFERROR(INDEX('1.산군_붙여넣기'!$A$1:$AZ$1001,ROW(),설정!$C$10)&amp;"","")</f>
        <v/>
      </c>
      <c r="I908">
        <f>IFERROR(INDEX('1.산군_붙여넣기'!$A$1:$AZ$1001,ROW(),설정!$C$11)&amp;"","")</f>
        <v/>
      </c>
      <c r="J908">
        <f>IFERROR(INDEX('1.산군_붙여넣기'!$A$1:$AZ$1001,ROW(),설정!$C$12)&amp;"","")</f>
        <v/>
      </c>
      <c r="K908">
        <f>IFERROR(INDEX('1.산군_붙여넣기'!$A$1:$AZ$1001,ROW(),설정!$C$13)&amp;"","")</f>
        <v/>
      </c>
      <c r="L908" s="6">
        <f>IF(X908="","",IF(AND(LEN(X908)=8,ISNUMBER(X908*1)),DATE(LEFT(X908,4),MID(X908,5,2),RIGHT(X908,2)),IFERROR(DATEVALUE(SUBSTITUTE(SUBSTITUTE(X908,".","-"),"/","-")),IFERROR(X908*1,""))))</f>
        <v/>
      </c>
      <c r="M908" s="6">
        <f>IF(Y908="","",IF(AND(LEN(Y908)=8,ISNUMBER(Y908*1)),DATE(LEFT(Y908,4),MID(Y908,5,2),RIGHT(Y908,2)),IFERROR(DATEVALUE(SUBSTITUTE(SUBSTITUTE(Y908,".","-"),"/","-")),IFERROR(Y908*1,""))))</f>
        <v/>
      </c>
      <c r="N908">
        <f>IFERROR(LEFT(B908,FIND(" ",B908)-1),B908)</f>
        <v/>
      </c>
      <c r="O908">
        <f>AND(B908&lt;&gt;"",B908&lt;&gt;설정!$B$4,C908&lt;&gt;설정!$B$5)</f>
        <v/>
      </c>
      <c r="P908">
        <f>IF(O908,B908&amp;"|"&amp;C908,"")</f>
        <v/>
      </c>
      <c r="Q908">
        <f>AND(O908,COUNTIF(P909:P$1002,P908)=0)</f>
        <v/>
      </c>
      <c r="R908">
        <f>OR(AND(설정!$A$28&lt;&gt;"",ISNUMBER(SEARCH(설정!$A$28,E908&amp;" "&amp;C908))),AND(설정!$A$29&lt;&gt;"",ISNUMBER(SEARCH(설정!$A$29,E908&amp;" "&amp;C908))),AND(설정!$A$30&lt;&gt;"",ISNUMBER(SEARCH(설정!$A$30,E908&amp;" "&amp;C908))),AND(설정!$A$31&lt;&gt;"",ISNUMBER(SEARCH(설정!$A$31,E908&amp;" "&amp;C908))),AND(설정!$A$32&lt;&gt;"",ISNUMBER(SEARCH(설정!$A$32,E908&amp;" "&amp;C908))),AND(설정!$A$33&lt;&gt;"",ISNUMBER(SEARCH(설정!$A$33,E908&amp;" "&amp;C908))),AND(설정!$A$34&lt;&gt;"",ISNUMBER(SEARCH(설정!$A$34,E908&amp;" "&amp;C908))),AND(설정!$A$35&lt;&gt;"",ISNUMBER(SEARCH(설정!$A$35,E908&amp;" "&amp;C908))),AND(설정!$A$36&lt;&gt;"",ISNUMBER(SEARCH(설정!$A$36,E908&amp;" "&amp;C908))),AND(설정!$A$37&lt;&gt;"",ISNUMBER(SEARCH(설정!$A$37,E908&amp;" "&amp;C908))))</f>
        <v/>
      </c>
      <c r="S908">
        <f>OR(D908="",D908&gt;=설정!$B$19)</f>
        <v/>
      </c>
      <c r="T908">
        <f>AND(Q908,R908,S908)</f>
        <v/>
      </c>
      <c r="U908">
        <f>IF(T908,IF(AND(설정!$A$41&lt;&gt;"",ISNUMBER(SEARCH(설정!$A$41,K908))),설정!$B$41,IF(AND(설정!$A$42&lt;&gt;"",ISNUMBER(SEARCH(설정!$A$42,K908))),설정!$B$42,IF(AND(설정!$A$43&lt;&gt;"",ISNUMBER(SEARCH(설정!$A$43,K908))),설정!$B$43,IF(AND(설정!$A$44&lt;&gt;"",ISNUMBER(SEARCH(설정!$A$44,K908))),설정!$B$44,IF(AND(설정!$A$45&lt;&gt;"",ISNUMBER(SEARCH(설정!$A$45,K908))),설정!$B$45,IF(AND(설정!$A$46&lt;&gt;"",ISNUMBER(SEARCH(설정!$A$46,K908))),설정!$B$46,IF(AND(설정!$A$47&lt;&gt;"",ISNUMBER(SEARCH(설정!$A$47,K908))),설정!$B$47,IF(AND(설정!$A$48&lt;&gt;"",ISNUMBER(SEARCH(설정!$A$48,K908))),설정!$B$48,IF(M908="","설계사","시공사"))))))))),"")</f>
        <v/>
      </c>
      <c r="V908">
        <f>SUBSTITUTE(SUBSTITUTE(SUBSTITUTE(SUBSTITUTE(G908,"(주)",""),"㈜",""),"주식회사","")," ","")</f>
        <v/>
      </c>
      <c r="W908">
        <f>IF(AND(T908,V908&lt;&gt;""),IF(COUNTIFS(V$2:V908,V908,T$2:T908,TRUE)=1,MAX(W$1:W907)+1,""),"")</f>
        <v/>
      </c>
      <c r="X908">
        <f>IFERROR(INDEX('1.산군_붙여넣기'!$A$1:$AZ$1001,ROW(),설정!$C$14)&amp;"","")</f>
        <v/>
      </c>
      <c r="Y908">
        <f>IFERROR(INDEX('1.산군_붙여넣기'!$A$1:$AZ$1001,ROW(),설정!$C$15)&amp;"","")</f>
        <v/>
      </c>
      <c r="Z908">
        <f>IF(T908,V908&amp;"|"&amp;U908,"")</f>
        <v/>
      </c>
    </row>
    <row r="909">
      <c r="A909">
        <f>ROW()</f>
        <v/>
      </c>
      <c r="B909">
        <f>IFERROR(INDEX('1.산군_붙여넣기'!$A$1:$AZ$1001,ROW(),설정!$C$4)&amp;"","")</f>
        <v/>
      </c>
      <c r="C909">
        <f>IFERROR(INDEX('1.산군_붙여넣기'!$A$1:$AZ$1001,ROW(),설정!$C$5)&amp;"","")</f>
        <v/>
      </c>
      <c r="D909" s="5">
        <f>IFERROR(VALUE(SUBSTITUTE(SUBSTITUTE(SUBSTITUTE(IFERROR(INDEX('1.산군_붙여넣기'!$A$1:$AZ$1001,ROW(),설정!$C$6)&amp;"",""),",",""),"㎡",""),"m2","")),"")</f>
        <v/>
      </c>
      <c r="E909">
        <f>IFERROR(INDEX('1.산군_붙여넣기'!$A$1:$AZ$1001,ROW(),설정!$C$7)&amp;"","")</f>
        <v/>
      </c>
      <c r="F909">
        <f>IFERROR(INDEX('1.산군_붙여넣기'!$A$1:$AZ$1001,ROW(),설정!$C$8)&amp;"","")</f>
        <v/>
      </c>
      <c r="G909">
        <f>IFERROR(INDEX('1.산군_붙여넣기'!$A$1:$AZ$1001,ROW(),설정!$C$9)&amp;"","")</f>
        <v/>
      </c>
      <c r="H909">
        <f>IFERROR(INDEX('1.산군_붙여넣기'!$A$1:$AZ$1001,ROW(),설정!$C$10)&amp;"","")</f>
        <v/>
      </c>
      <c r="I909">
        <f>IFERROR(INDEX('1.산군_붙여넣기'!$A$1:$AZ$1001,ROW(),설정!$C$11)&amp;"","")</f>
        <v/>
      </c>
      <c r="J909">
        <f>IFERROR(INDEX('1.산군_붙여넣기'!$A$1:$AZ$1001,ROW(),설정!$C$12)&amp;"","")</f>
        <v/>
      </c>
      <c r="K909">
        <f>IFERROR(INDEX('1.산군_붙여넣기'!$A$1:$AZ$1001,ROW(),설정!$C$13)&amp;"","")</f>
        <v/>
      </c>
      <c r="L909" s="6">
        <f>IF(X909="","",IF(AND(LEN(X909)=8,ISNUMBER(X909*1)),DATE(LEFT(X909,4),MID(X909,5,2),RIGHT(X909,2)),IFERROR(DATEVALUE(SUBSTITUTE(SUBSTITUTE(X909,".","-"),"/","-")),IFERROR(X909*1,""))))</f>
        <v/>
      </c>
      <c r="M909" s="6">
        <f>IF(Y909="","",IF(AND(LEN(Y909)=8,ISNUMBER(Y909*1)),DATE(LEFT(Y909,4),MID(Y909,5,2),RIGHT(Y909,2)),IFERROR(DATEVALUE(SUBSTITUTE(SUBSTITUTE(Y909,".","-"),"/","-")),IFERROR(Y909*1,""))))</f>
        <v/>
      </c>
      <c r="N909">
        <f>IFERROR(LEFT(B909,FIND(" ",B909)-1),B909)</f>
        <v/>
      </c>
      <c r="O909">
        <f>AND(B909&lt;&gt;"",B909&lt;&gt;설정!$B$4,C909&lt;&gt;설정!$B$5)</f>
        <v/>
      </c>
      <c r="P909">
        <f>IF(O909,B909&amp;"|"&amp;C909,"")</f>
        <v/>
      </c>
      <c r="Q909">
        <f>AND(O909,COUNTIF(P910:P$1002,P909)=0)</f>
        <v/>
      </c>
      <c r="R909">
        <f>OR(AND(설정!$A$28&lt;&gt;"",ISNUMBER(SEARCH(설정!$A$28,E909&amp;" "&amp;C909))),AND(설정!$A$29&lt;&gt;"",ISNUMBER(SEARCH(설정!$A$29,E909&amp;" "&amp;C909))),AND(설정!$A$30&lt;&gt;"",ISNUMBER(SEARCH(설정!$A$30,E909&amp;" "&amp;C909))),AND(설정!$A$31&lt;&gt;"",ISNUMBER(SEARCH(설정!$A$31,E909&amp;" "&amp;C909))),AND(설정!$A$32&lt;&gt;"",ISNUMBER(SEARCH(설정!$A$32,E909&amp;" "&amp;C909))),AND(설정!$A$33&lt;&gt;"",ISNUMBER(SEARCH(설정!$A$33,E909&amp;" "&amp;C909))),AND(설정!$A$34&lt;&gt;"",ISNUMBER(SEARCH(설정!$A$34,E909&amp;" "&amp;C909))),AND(설정!$A$35&lt;&gt;"",ISNUMBER(SEARCH(설정!$A$35,E909&amp;" "&amp;C909))),AND(설정!$A$36&lt;&gt;"",ISNUMBER(SEARCH(설정!$A$36,E909&amp;" "&amp;C909))),AND(설정!$A$37&lt;&gt;"",ISNUMBER(SEARCH(설정!$A$37,E909&amp;" "&amp;C909))))</f>
        <v/>
      </c>
      <c r="S909">
        <f>OR(D909="",D909&gt;=설정!$B$19)</f>
        <v/>
      </c>
      <c r="T909">
        <f>AND(Q909,R909,S909)</f>
        <v/>
      </c>
      <c r="U909">
        <f>IF(T909,IF(AND(설정!$A$41&lt;&gt;"",ISNUMBER(SEARCH(설정!$A$41,K909))),설정!$B$41,IF(AND(설정!$A$42&lt;&gt;"",ISNUMBER(SEARCH(설정!$A$42,K909))),설정!$B$42,IF(AND(설정!$A$43&lt;&gt;"",ISNUMBER(SEARCH(설정!$A$43,K909))),설정!$B$43,IF(AND(설정!$A$44&lt;&gt;"",ISNUMBER(SEARCH(설정!$A$44,K909))),설정!$B$44,IF(AND(설정!$A$45&lt;&gt;"",ISNUMBER(SEARCH(설정!$A$45,K909))),설정!$B$45,IF(AND(설정!$A$46&lt;&gt;"",ISNUMBER(SEARCH(설정!$A$46,K909))),설정!$B$46,IF(AND(설정!$A$47&lt;&gt;"",ISNUMBER(SEARCH(설정!$A$47,K909))),설정!$B$47,IF(AND(설정!$A$48&lt;&gt;"",ISNUMBER(SEARCH(설정!$A$48,K909))),설정!$B$48,IF(M909="","설계사","시공사"))))))))),"")</f>
        <v/>
      </c>
      <c r="V909">
        <f>SUBSTITUTE(SUBSTITUTE(SUBSTITUTE(SUBSTITUTE(G909,"(주)",""),"㈜",""),"주식회사","")," ","")</f>
        <v/>
      </c>
      <c r="W909">
        <f>IF(AND(T909,V909&lt;&gt;""),IF(COUNTIFS(V$2:V909,V909,T$2:T909,TRUE)=1,MAX(W$1:W908)+1,""),"")</f>
        <v/>
      </c>
      <c r="X909">
        <f>IFERROR(INDEX('1.산군_붙여넣기'!$A$1:$AZ$1001,ROW(),설정!$C$14)&amp;"","")</f>
        <v/>
      </c>
      <c r="Y909">
        <f>IFERROR(INDEX('1.산군_붙여넣기'!$A$1:$AZ$1001,ROW(),설정!$C$15)&amp;"","")</f>
        <v/>
      </c>
      <c r="Z909">
        <f>IF(T909,V909&amp;"|"&amp;U909,"")</f>
        <v/>
      </c>
    </row>
    <row r="910">
      <c r="A910">
        <f>ROW()</f>
        <v/>
      </c>
      <c r="B910">
        <f>IFERROR(INDEX('1.산군_붙여넣기'!$A$1:$AZ$1001,ROW(),설정!$C$4)&amp;"","")</f>
        <v/>
      </c>
      <c r="C910">
        <f>IFERROR(INDEX('1.산군_붙여넣기'!$A$1:$AZ$1001,ROW(),설정!$C$5)&amp;"","")</f>
        <v/>
      </c>
      <c r="D910" s="5">
        <f>IFERROR(VALUE(SUBSTITUTE(SUBSTITUTE(SUBSTITUTE(IFERROR(INDEX('1.산군_붙여넣기'!$A$1:$AZ$1001,ROW(),설정!$C$6)&amp;"",""),",",""),"㎡",""),"m2","")),"")</f>
        <v/>
      </c>
      <c r="E910">
        <f>IFERROR(INDEX('1.산군_붙여넣기'!$A$1:$AZ$1001,ROW(),설정!$C$7)&amp;"","")</f>
        <v/>
      </c>
      <c r="F910">
        <f>IFERROR(INDEX('1.산군_붙여넣기'!$A$1:$AZ$1001,ROW(),설정!$C$8)&amp;"","")</f>
        <v/>
      </c>
      <c r="G910">
        <f>IFERROR(INDEX('1.산군_붙여넣기'!$A$1:$AZ$1001,ROW(),설정!$C$9)&amp;"","")</f>
        <v/>
      </c>
      <c r="H910">
        <f>IFERROR(INDEX('1.산군_붙여넣기'!$A$1:$AZ$1001,ROW(),설정!$C$10)&amp;"","")</f>
        <v/>
      </c>
      <c r="I910">
        <f>IFERROR(INDEX('1.산군_붙여넣기'!$A$1:$AZ$1001,ROW(),설정!$C$11)&amp;"","")</f>
        <v/>
      </c>
      <c r="J910">
        <f>IFERROR(INDEX('1.산군_붙여넣기'!$A$1:$AZ$1001,ROW(),설정!$C$12)&amp;"","")</f>
        <v/>
      </c>
      <c r="K910">
        <f>IFERROR(INDEX('1.산군_붙여넣기'!$A$1:$AZ$1001,ROW(),설정!$C$13)&amp;"","")</f>
        <v/>
      </c>
      <c r="L910" s="6">
        <f>IF(X910="","",IF(AND(LEN(X910)=8,ISNUMBER(X910*1)),DATE(LEFT(X910,4),MID(X910,5,2),RIGHT(X910,2)),IFERROR(DATEVALUE(SUBSTITUTE(SUBSTITUTE(X910,".","-"),"/","-")),IFERROR(X910*1,""))))</f>
        <v/>
      </c>
      <c r="M910" s="6">
        <f>IF(Y910="","",IF(AND(LEN(Y910)=8,ISNUMBER(Y910*1)),DATE(LEFT(Y910,4),MID(Y910,5,2),RIGHT(Y910,2)),IFERROR(DATEVALUE(SUBSTITUTE(SUBSTITUTE(Y910,".","-"),"/","-")),IFERROR(Y910*1,""))))</f>
        <v/>
      </c>
      <c r="N910">
        <f>IFERROR(LEFT(B910,FIND(" ",B910)-1),B910)</f>
        <v/>
      </c>
      <c r="O910">
        <f>AND(B910&lt;&gt;"",B910&lt;&gt;설정!$B$4,C910&lt;&gt;설정!$B$5)</f>
        <v/>
      </c>
      <c r="P910">
        <f>IF(O910,B910&amp;"|"&amp;C910,"")</f>
        <v/>
      </c>
      <c r="Q910">
        <f>AND(O910,COUNTIF(P911:P$1002,P910)=0)</f>
        <v/>
      </c>
      <c r="R910">
        <f>OR(AND(설정!$A$28&lt;&gt;"",ISNUMBER(SEARCH(설정!$A$28,E910&amp;" "&amp;C910))),AND(설정!$A$29&lt;&gt;"",ISNUMBER(SEARCH(설정!$A$29,E910&amp;" "&amp;C910))),AND(설정!$A$30&lt;&gt;"",ISNUMBER(SEARCH(설정!$A$30,E910&amp;" "&amp;C910))),AND(설정!$A$31&lt;&gt;"",ISNUMBER(SEARCH(설정!$A$31,E910&amp;" "&amp;C910))),AND(설정!$A$32&lt;&gt;"",ISNUMBER(SEARCH(설정!$A$32,E910&amp;" "&amp;C910))),AND(설정!$A$33&lt;&gt;"",ISNUMBER(SEARCH(설정!$A$33,E910&amp;" "&amp;C910))),AND(설정!$A$34&lt;&gt;"",ISNUMBER(SEARCH(설정!$A$34,E910&amp;" "&amp;C910))),AND(설정!$A$35&lt;&gt;"",ISNUMBER(SEARCH(설정!$A$35,E910&amp;" "&amp;C910))),AND(설정!$A$36&lt;&gt;"",ISNUMBER(SEARCH(설정!$A$36,E910&amp;" "&amp;C910))),AND(설정!$A$37&lt;&gt;"",ISNUMBER(SEARCH(설정!$A$37,E910&amp;" "&amp;C910))))</f>
        <v/>
      </c>
      <c r="S910">
        <f>OR(D910="",D910&gt;=설정!$B$19)</f>
        <v/>
      </c>
      <c r="T910">
        <f>AND(Q910,R910,S910)</f>
        <v/>
      </c>
      <c r="U910">
        <f>IF(T910,IF(AND(설정!$A$41&lt;&gt;"",ISNUMBER(SEARCH(설정!$A$41,K910))),설정!$B$41,IF(AND(설정!$A$42&lt;&gt;"",ISNUMBER(SEARCH(설정!$A$42,K910))),설정!$B$42,IF(AND(설정!$A$43&lt;&gt;"",ISNUMBER(SEARCH(설정!$A$43,K910))),설정!$B$43,IF(AND(설정!$A$44&lt;&gt;"",ISNUMBER(SEARCH(설정!$A$44,K910))),설정!$B$44,IF(AND(설정!$A$45&lt;&gt;"",ISNUMBER(SEARCH(설정!$A$45,K910))),설정!$B$45,IF(AND(설정!$A$46&lt;&gt;"",ISNUMBER(SEARCH(설정!$A$46,K910))),설정!$B$46,IF(AND(설정!$A$47&lt;&gt;"",ISNUMBER(SEARCH(설정!$A$47,K910))),설정!$B$47,IF(AND(설정!$A$48&lt;&gt;"",ISNUMBER(SEARCH(설정!$A$48,K910))),설정!$B$48,IF(M910="","설계사","시공사"))))))))),"")</f>
        <v/>
      </c>
      <c r="V910">
        <f>SUBSTITUTE(SUBSTITUTE(SUBSTITUTE(SUBSTITUTE(G910,"(주)",""),"㈜",""),"주식회사","")," ","")</f>
        <v/>
      </c>
      <c r="W910">
        <f>IF(AND(T910,V910&lt;&gt;""),IF(COUNTIFS(V$2:V910,V910,T$2:T910,TRUE)=1,MAX(W$1:W909)+1,""),"")</f>
        <v/>
      </c>
      <c r="X910">
        <f>IFERROR(INDEX('1.산군_붙여넣기'!$A$1:$AZ$1001,ROW(),설정!$C$14)&amp;"","")</f>
        <v/>
      </c>
      <c r="Y910">
        <f>IFERROR(INDEX('1.산군_붙여넣기'!$A$1:$AZ$1001,ROW(),설정!$C$15)&amp;"","")</f>
        <v/>
      </c>
      <c r="Z910">
        <f>IF(T910,V910&amp;"|"&amp;U910,"")</f>
        <v/>
      </c>
    </row>
    <row r="911">
      <c r="A911">
        <f>ROW()</f>
        <v/>
      </c>
      <c r="B911">
        <f>IFERROR(INDEX('1.산군_붙여넣기'!$A$1:$AZ$1001,ROW(),설정!$C$4)&amp;"","")</f>
        <v/>
      </c>
      <c r="C911">
        <f>IFERROR(INDEX('1.산군_붙여넣기'!$A$1:$AZ$1001,ROW(),설정!$C$5)&amp;"","")</f>
        <v/>
      </c>
      <c r="D911" s="5">
        <f>IFERROR(VALUE(SUBSTITUTE(SUBSTITUTE(SUBSTITUTE(IFERROR(INDEX('1.산군_붙여넣기'!$A$1:$AZ$1001,ROW(),설정!$C$6)&amp;"",""),",",""),"㎡",""),"m2","")),"")</f>
        <v/>
      </c>
      <c r="E911">
        <f>IFERROR(INDEX('1.산군_붙여넣기'!$A$1:$AZ$1001,ROW(),설정!$C$7)&amp;"","")</f>
        <v/>
      </c>
      <c r="F911">
        <f>IFERROR(INDEX('1.산군_붙여넣기'!$A$1:$AZ$1001,ROW(),설정!$C$8)&amp;"","")</f>
        <v/>
      </c>
      <c r="G911">
        <f>IFERROR(INDEX('1.산군_붙여넣기'!$A$1:$AZ$1001,ROW(),설정!$C$9)&amp;"","")</f>
        <v/>
      </c>
      <c r="H911">
        <f>IFERROR(INDEX('1.산군_붙여넣기'!$A$1:$AZ$1001,ROW(),설정!$C$10)&amp;"","")</f>
        <v/>
      </c>
      <c r="I911">
        <f>IFERROR(INDEX('1.산군_붙여넣기'!$A$1:$AZ$1001,ROW(),설정!$C$11)&amp;"","")</f>
        <v/>
      </c>
      <c r="J911">
        <f>IFERROR(INDEX('1.산군_붙여넣기'!$A$1:$AZ$1001,ROW(),설정!$C$12)&amp;"","")</f>
        <v/>
      </c>
      <c r="K911">
        <f>IFERROR(INDEX('1.산군_붙여넣기'!$A$1:$AZ$1001,ROW(),설정!$C$13)&amp;"","")</f>
        <v/>
      </c>
      <c r="L911" s="6">
        <f>IF(X911="","",IF(AND(LEN(X911)=8,ISNUMBER(X911*1)),DATE(LEFT(X911,4),MID(X911,5,2),RIGHT(X911,2)),IFERROR(DATEVALUE(SUBSTITUTE(SUBSTITUTE(X911,".","-"),"/","-")),IFERROR(X911*1,""))))</f>
        <v/>
      </c>
      <c r="M911" s="6">
        <f>IF(Y911="","",IF(AND(LEN(Y911)=8,ISNUMBER(Y911*1)),DATE(LEFT(Y911,4),MID(Y911,5,2),RIGHT(Y911,2)),IFERROR(DATEVALUE(SUBSTITUTE(SUBSTITUTE(Y911,".","-"),"/","-")),IFERROR(Y911*1,""))))</f>
        <v/>
      </c>
      <c r="N911">
        <f>IFERROR(LEFT(B911,FIND(" ",B911)-1),B911)</f>
        <v/>
      </c>
      <c r="O911">
        <f>AND(B911&lt;&gt;"",B911&lt;&gt;설정!$B$4,C911&lt;&gt;설정!$B$5)</f>
        <v/>
      </c>
      <c r="P911">
        <f>IF(O911,B911&amp;"|"&amp;C911,"")</f>
        <v/>
      </c>
      <c r="Q911">
        <f>AND(O911,COUNTIF(P912:P$1002,P911)=0)</f>
        <v/>
      </c>
      <c r="R911">
        <f>OR(AND(설정!$A$28&lt;&gt;"",ISNUMBER(SEARCH(설정!$A$28,E911&amp;" "&amp;C911))),AND(설정!$A$29&lt;&gt;"",ISNUMBER(SEARCH(설정!$A$29,E911&amp;" "&amp;C911))),AND(설정!$A$30&lt;&gt;"",ISNUMBER(SEARCH(설정!$A$30,E911&amp;" "&amp;C911))),AND(설정!$A$31&lt;&gt;"",ISNUMBER(SEARCH(설정!$A$31,E911&amp;" "&amp;C911))),AND(설정!$A$32&lt;&gt;"",ISNUMBER(SEARCH(설정!$A$32,E911&amp;" "&amp;C911))),AND(설정!$A$33&lt;&gt;"",ISNUMBER(SEARCH(설정!$A$33,E911&amp;" "&amp;C911))),AND(설정!$A$34&lt;&gt;"",ISNUMBER(SEARCH(설정!$A$34,E911&amp;" "&amp;C911))),AND(설정!$A$35&lt;&gt;"",ISNUMBER(SEARCH(설정!$A$35,E911&amp;" "&amp;C911))),AND(설정!$A$36&lt;&gt;"",ISNUMBER(SEARCH(설정!$A$36,E911&amp;" "&amp;C911))),AND(설정!$A$37&lt;&gt;"",ISNUMBER(SEARCH(설정!$A$37,E911&amp;" "&amp;C911))))</f>
        <v/>
      </c>
      <c r="S911">
        <f>OR(D911="",D911&gt;=설정!$B$19)</f>
        <v/>
      </c>
      <c r="T911">
        <f>AND(Q911,R911,S911)</f>
        <v/>
      </c>
      <c r="U911">
        <f>IF(T911,IF(AND(설정!$A$41&lt;&gt;"",ISNUMBER(SEARCH(설정!$A$41,K911))),설정!$B$41,IF(AND(설정!$A$42&lt;&gt;"",ISNUMBER(SEARCH(설정!$A$42,K911))),설정!$B$42,IF(AND(설정!$A$43&lt;&gt;"",ISNUMBER(SEARCH(설정!$A$43,K911))),설정!$B$43,IF(AND(설정!$A$44&lt;&gt;"",ISNUMBER(SEARCH(설정!$A$44,K911))),설정!$B$44,IF(AND(설정!$A$45&lt;&gt;"",ISNUMBER(SEARCH(설정!$A$45,K911))),설정!$B$45,IF(AND(설정!$A$46&lt;&gt;"",ISNUMBER(SEARCH(설정!$A$46,K911))),설정!$B$46,IF(AND(설정!$A$47&lt;&gt;"",ISNUMBER(SEARCH(설정!$A$47,K911))),설정!$B$47,IF(AND(설정!$A$48&lt;&gt;"",ISNUMBER(SEARCH(설정!$A$48,K911))),설정!$B$48,IF(M911="","설계사","시공사"))))))))),"")</f>
        <v/>
      </c>
      <c r="V911">
        <f>SUBSTITUTE(SUBSTITUTE(SUBSTITUTE(SUBSTITUTE(G911,"(주)",""),"㈜",""),"주식회사","")," ","")</f>
        <v/>
      </c>
      <c r="W911">
        <f>IF(AND(T911,V911&lt;&gt;""),IF(COUNTIFS(V$2:V911,V911,T$2:T911,TRUE)=1,MAX(W$1:W910)+1,""),"")</f>
        <v/>
      </c>
      <c r="X911">
        <f>IFERROR(INDEX('1.산군_붙여넣기'!$A$1:$AZ$1001,ROW(),설정!$C$14)&amp;"","")</f>
        <v/>
      </c>
      <c r="Y911">
        <f>IFERROR(INDEX('1.산군_붙여넣기'!$A$1:$AZ$1001,ROW(),설정!$C$15)&amp;"","")</f>
        <v/>
      </c>
      <c r="Z911">
        <f>IF(T911,V911&amp;"|"&amp;U911,"")</f>
        <v/>
      </c>
    </row>
    <row r="912">
      <c r="A912">
        <f>ROW()</f>
        <v/>
      </c>
      <c r="B912">
        <f>IFERROR(INDEX('1.산군_붙여넣기'!$A$1:$AZ$1001,ROW(),설정!$C$4)&amp;"","")</f>
        <v/>
      </c>
      <c r="C912">
        <f>IFERROR(INDEX('1.산군_붙여넣기'!$A$1:$AZ$1001,ROW(),설정!$C$5)&amp;"","")</f>
        <v/>
      </c>
      <c r="D912" s="5">
        <f>IFERROR(VALUE(SUBSTITUTE(SUBSTITUTE(SUBSTITUTE(IFERROR(INDEX('1.산군_붙여넣기'!$A$1:$AZ$1001,ROW(),설정!$C$6)&amp;"",""),",",""),"㎡",""),"m2","")),"")</f>
        <v/>
      </c>
      <c r="E912">
        <f>IFERROR(INDEX('1.산군_붙여넣기'!$A$1:$AZ$1001,ROW(),설정!$C$7)&amp;"","")</f>
        <v/>
      </c>
      <c r="F912">
        <f>IFERROR(INDEX('1.산군_붙여넣기'!$A$1:$AZ$1001,ROW(),설정!$C$8)&amp;"","")</f>
        <v/>
      </c>
      <c r="G912">
        <f>IFERROR(INDEX('1.산군_붙여넣기'!$A$1:$AZ$1001,ROW(),설정!$C$9)&amp;"","")</f>
        <v/>
      </c>
      <c r="H912">
        <f>IFERROR(INDEX('1.산군_붙여넣기'!$A$1:$AZ$1001,ROW(),설정!$C$10)&amp;"","")</f>
        <v/>
      </c>
      <c r="I912">
        <f>IFERROR(INDEX('1.산군_붙여넣기'!$A$1:$AZ$1001,ROW(),설정!$C$11)&amp;"","")</f>
        <v/>
      </c>
      <c r="J912">
        <f>IFERROR(INDEX('1.산군_붙여넣기'!$A$1:$AZ$1001,ROW(),설정!$C$12)&amp;"","")</f>
        <v/>
      </c>
      <c r="K912">
        <f>IFERROR(INDEX('1.산군_붙여넣기'!$A$1:$AZ$1001,ROW(),설정!$C$13)&amp;"","")</f>
        <v/>
      </c>
      <c r="L912" s="6">
        <f>IF(X912="","",IF(AND(LEN(X912)=8,ISNUMBER(X912*1)),DATE(LEFT(X912,4),MID(X912,5,2),RIGHT(X912,2)),IFERROR(DATEVALUE(SUBSTITUTE(SUBSTITUTE(X912,".","-"),"/","-")),IFERROR(X912*1,""))))</f>
        <v/>
      </c>
      <c r="M912" s="6">
        <f>IF(Y912="","",IF(AND(LEN(Y912)=8,ISNUMBER(Y912*1)),DATE(LEFT(Y912,4),MID(Y912,5,2),RIGHT(Y912,2)),IFERROR(DATEVALUE(SUBSTITUTE(SUBSTITUTE(Y912,".","-"),"/","-")),IFERROR(Y912*1,""))))</f>
        <v/>
      </c>
      <c r="N912">
        <f>IFERROR(LEFT(B912,FIND(" ",B912)-1),B912)</f>
        <v/>
      </c>
      <c r="O912">
        <f>AND(B912&lt;&gt;"",B912&lt;&gt;설정!$B$4,C912&lt;&gt;설정!$B$5)</f>
        <v/>
      </c>
      <c r="P912">
        <f>IF(O912,B912&amp;"|"&amp;C912,"")</f>
        <v/>
      </c>
      <c r="Q912">
        <f>AND(O912,COUNTIF(P913:P$1002,P912)=0)</f>
        <v/>
      </c>
      <c r="R912">
        <f>OR(AND(설정!$A$28&lt;&gt;"",ISNUMBER(SEARCH(설정!$A$28,E912&amp;" "&amp;C912))),AND(설정!$A$29&lt;&gt;"",ISNUMBER(SEARCH(설정!$A$29,E912&amp;" "&amp;C912))),AND(설정!$A$30&lt;&gt;"",ISNUMBER(SEARCH(설정!$A$30,E912&amp;" "&amp;C912))),AND(설정!$A$31&lt;&gt;"",ISNUMBER(SEARCH(설정!$A$31,E912&amp;" "&amp;C912))),AND(설정!$A$32&lt;&gt;"",ISNUMBER(SEARCH(설정!$A$32,E912&amp;" "&amp;C912))),AND(설정!$A$33&lt;&gt;"",ISNUMBER(SEARCH(설정!$A$33,E912&amp;" "&amp;C912))),AND(설정!$A$34&lt;&gt;"",ISNUMBER(SEARCH(설정!$A$34,E912&amp;" "&amp;C912))),AND(설정!$A$35&lt;&gt;"",ISNUMBER(SEARCH(설정!$A$35,E912&amp;" "&amp;C912))),AND(설정!$A$36&lt;&gt;"",ISNUMBER(SEARCH(설정!$A$36,E912&amp;" "&amp;C912))),AND(설정!$A$37&lt;&gt;"",ISNUMBER(SEARCH(설정!$A$37,E912&amp;" "&amp;C912))))</f>
        <v/>
      </c>
      <c r="S912">
        <f>OR(D912="",D912&gt;=설정!$B$19)</f>
        <v/>
      </c>
      <c r="T912">
        <f>AND(Q912,R912,S912)</f>
        <v/>
      </c>
      <c r="U912">
        <f>IF(T912,IF(AND(설정!$A$41&lt;&gt;"",ISNUMBER(SEARCH(설정!$A$41,K912))),설정!$B$41,IF(AND(설정!$A$42&lt;&gt;"",ISNUMBER(SEARCH(설정!$A$42,K912))),설정!$B$42,IF(AND(설정!$A$43&lt;&gt;"",ISNUMBER(SEARCH(설정!$A$43,K912))),설정!$B$43,IF(AND(설정!$A$44&lt;&gt;"",ISNUMBER(SEARCH(설정!$A$44,K912))),설정!$B$44,IF(AND(설정!$A$45&lt;&gt;"",ISNUMBER(SEARCH(설정!$A$45,K912))),설정!$B$45,IF(AND(설정!$A$46&lt;&gt;"",ISNUMBER(SEARCH(설정!$A$46,K912))),설정!$B$46,IF(AND(설정!$A$47&lt;&gt;"",ISNUMBER(SEARCH(설정!$A$47,K912))),설정!$B$47,IF(AND(설정!$A$48&lt;&gt;"",ISNUMBER(SEARCH(설정!$A$48,K912))),설정!$B$48,IF(M912="","설계사","시공사"))))))))),"")</f>
        <v/>
      </c>
      <c r="V912">
        <f>SUBSTITUTE(SUBSTITUTE(SUBSTITUTE(SUBSTITUTE(G912,"(주)",""),"㈜",""),"주식회사","")," ","")</f>
        <v/>
      </c>
      <c r="W912">
        <f>IF(AND(T912,V912&lt;&gt;""),IF(COUNTIFS(V$2:V912,V912,T$2:T912,TRUE)=1,MAX(W$1:W911)+1,""),"")</f>
        <v/>
      </c>
      <c r="X912">
        <f>IFERROR(INDEX('1.산군_붙여넣기'!$A$1:$AZ$1001,ROW(),설정!$C$14)&amp;"","")</f>
        <v/>
      </c>
      <c r="Y912">
        <f>IFERROR(INDEX('1.산군_붙여넣기'!$A$1:$AZ$1001,ROW(),설정!$C$15)&amp;"","")</f>
        <v/>
      </c>
      <c r="Z912">
        <f>IF(T912,V912&amp;"|"&amp;U912,"")</f>
        <v/>
      </c>
    </row>
    <row r="913">
      <c r="A913">
        <f>ROW()</f>
        <v/>
      </c>
      <c r="B913">
        <f>IFERROR(INDEX('1.산군_붙여넣기'!$A$1:$AZ$1001,ROW(),설정!$C$4)&amp;"","")</f>
        <v/>
      </c>
      <c r="C913">
        <f>IFERROR(INDEX('1.산군_붙여넣기'!$A$1:$AZ$1001,ROW(),설정!$C$5)&amp;"","")</f>
        <v/>
      </c>
      <c r="D913" s="5">
        <f>IFERROR(VALUE(SUBSTITUTE(SUBSTITUTE(SUBSTITUTE(IFERROR(INDEX('1.산군_붙여넣기'!$A$1:$AZ$1001,ROW(),설정!$C$6)&amp;"",""),",",""),"㎡",""),"m2","")),"")</f>
        <v/>
      </c>
      <c r="E913">
        <f>IFERROR(INDEX('1.산군_붙여넣기'!$A$1:$AZ$1001,ROW(),설정!$C$7)&amp;"","")</f>
        <v/>
      </c>
      <c r="F913">
        <f>IFERROR(INDEX('1.산군_붙여넣기'!$A$1:$AZ$1001,ROW(),설정!$C$8)&amp;"","")</f>
        <v/>
      </c>
      <c r="G913">
        <f>IFERROR(INDEX('1.산군_붙여넣기'!$A$1:$AZ$1001,ROW(),설정!$C$9)&amp;"","")</f>
        <v/>
      </c>
      <c r="H913">
        <f>IFERROR(INDEX('1.산군_붙여넣기'!$A$1:$AZ$1001,ROW(),설정!$C$10)&amp;"","")</f>
        <v/>
      </c>
      <c r="I913">
        <f>IFERROR(INDEX('1.산군_붙여넣기'!$A$1:$AZ$1001,ROW(),설정!$C$11)&amp;"","")</f>
        <v/>
      </c>
      <c r="J913">
        <f>IFERROR(INDEX('1.산군_붙여넣기'!$A$1:$AZ$1001,ROW(),설정!$C$12)&amp;"","")</f>
        <v/>
      </c>
      <c r="K913">
        <f>IFERROR(INDEX('1.산군_붙여넣기'!$A$1:$AZ$1001,ROW(),설정!$C$13)&amp;"","")</f>
        <v/>
      </c>
      <c r="L913" s="6">
        <f>IF(X913="","",IF(AND(LEN(X913)=8,ISNUMBER(X913*1)),DATE(LEFT(X913,4),MID(X913,5,2),RIGHT(X913,2)),IFERROR(DATEVALUE(SUBSTITUTE(SUBSTITUTE(X913,".","-"),"/","-")),IFERROR(X913*1,""))))</f>
        <v/>
      </c>
      <c r="M913" s="6">
        <f>IF(Y913="","",IF(AND(LEN(Y913)=8,ISNUMBER(Y913*1)),DATE(LEFT(Y913,4),MID(Y913,5,2),RIGHT(Y913,2)),IFERROR(DATEVALUE(SUBSTITUTE(SUBSTITUTE(Y913,".","-"),"/","-")),IFERROR(Y913*1,""))))</f>
        <v/>
      </c>
      <c r="N913">
        <f>IFERROR(LEFT(B913,FIND(" ",B913)-1),B913)</f>
        <v/>
      </c>
      <c r="O913">
        <f>AND(B913&lt;&gt;"",B913&lt;&gt;설정!$B$4,C913&lt;&gt;설정!$B$5)</f>
        <v/>
      </c>
      <c r="P913">
        <f>IF(O913,B913&amp;"|"&amp;C913,"")</f>
        <v/>
      </c>
      <c r="Q913">
        <f>AND(O913,COUNTIF(P914:P$1002,P913)=0)</f>
        <v/>
      </c>
      <c r="R913">
        <f>OR(AND(설정!$A$28&lt;&gt;"",ISNUMBER(SEARCH(설정!$A$28,E913&amp;" "&amp;C913))),AND(설정!$A$29&lt;&gt;"",ISNUMBER(SEARCH(설정!$A$29,E913&amp;" "&amp;C913))),AND(설정!$A$30&lt;&gt;"",ISNUMBER(SEARCH(설정!$A$30,E913&amp;" "&amp;C913))),AND(설정!$A$31&lt;&gt;"",ISNUMBER(SEARCH(설정!$A$31,E913&amp;" "&amp;C913))),AND(설정!$A$32&lt;&gt;"",ISNUMBER(SEARCH(설정!$A$32,E913&amp;" "&amp;C913))),AND(설정!$A$33&lt;&gt;"",ISNUMBER(SEARCH(설정!$A$33,E913&amp;" "&amp;C913))),AND(설정!$A$34&lt;&gt;"",ISNUMBER(SEARCH(설정!$A$34,E913&amp;" "&amp;C913))),AND(설정!$A$35&lt;&gt;"",ISNUMBER(SEARCH(설정!$A$35,E913&amp;" "&amp;C913))),AND(설정!$A$36&lt;&gt;"",ISNUMBER(SEARCH(설정!$A$36,E913&amp;" "&amp;C913))),AND(설정!$A$37&lt;&gt;"",ISNUMBER(SEARCH(설정!$A$37,E913&amp;" "&amp;C913))))</f>
        <v/>
      </c>
      <c r="S913">
        <f>OR(D913="",D913&gt;=설정!$B$19)</f>
        <v/>
      </c>
      <c r="T913">
        <f>AND(Q913,R913,S913)</f>
        <v/>
      </c>
      <c r="U913">
        <f>IF(T913,IF(AND(설정!$A$41&lt;&gt;"",ISNUMBER(SEARCH(설정!$A$41,K913))),설정!$B$41,IF(AND(설정!$A$42&lt;&gt;"",ISNUMBER(SEARCH(설정!$A$42,K913))),설정!$B$42,IF(AND(설정!$A$43&lt;&gt;"",ISNUMBER(SEARCH(설정!$A$43,K913))),설정!$B$43,IF(AND(설정!$A$44&lt;&gt;"",ISNUMBER(SEARCH(설정!$A$44,K913))),설정!$B$44,IF(AND(설정!$A$45&lt;&gt;"",ISNUMBER(SEARCH(설정!$A$45,K913))),설정!$B$45,IF(AND(설정!$A$46&lt;&gt;"",ISNUMBER(SEARCH(설정!$A$46,K913))),설정!$B$46,IF(AND(설정!$A$47&lt;&gt;"",ISNUMBER(SEARCH(설정!$A$47,K913))),설정!$B$47,IF(AND(설정!$A$48&lt;&gt;"",ISNUMBER(SEARCH(설정!$A$48,K913))),설정!$B$48,IF(M913="","설계사","시공사"))))))))),"")</f>
        <v/>
      </c>
      <c r="V913">
        <f>SUBSTITUTE(SUBSTITUTE(SUBSTITUTE(SUBSTITUTE(G913,"(주)",""),"㈜",""),"주식회사","")," ","")</f>
        <v/>
      </c>
      <c r="W913">
        <f>IF(AND(T913,V913&lt;&gt;""),IF(COUNTIFS(V$2:V913,V913,T$2:T913,TRUE)=1,MAX(W$1:W912)+1,""),"")</f>
        <v/>
      </c>
      <c r="X913">
        <f>IFERROR(INDEX('1.산군_붙여넣기'!$A$1:$AZ$1001,ROW(),설정!$C$14)&amp;"","")</f>
        <v/>
      </c>
      <c r="Y913">
        <f>IFERROR(INDEX('1.산군_붙여넣기'!$A$1:$AZ$1001,ROW(),설정!$C$15)&amp;"","")</f>
        <v/>
      </c>
      <c r="Z913">
        <f>IF(T913,V913&amp;"|"&amp;U913,"")</f>
        <v/>
      </c>
    </row>
    <row r="914">
      <c r="A914">
        <f>ROW()</f>
        <v/>
      </c>
      <c r="B914">
        <f>IFERROR(INDEX('1.산군_붙여넣기'!$A$1:$AZ$1001,ROW(),설정!$C$4)&amp;"","")</f>
        <v/>
      </c>
      <c r="C914">
        <f>IFERROR(INDEX('1.산군_붙여넣기'!$A$1:$AZ$1001,ROW(),설정!$C$5)&amp;"","")</f>
        <v/>
      </c>
      <c r="D914" s="5">
        <f>IFERROR(VALUE(SUBSTITUTE(SUBSTITUTE(SUBSTITUTE(IFERROR(INDEX('1.산군_붙여넣기'!$A$1:$AZ$1001,ROW(),설정!$C$6)&amp;"",""),",",""),"㎡",""),"m2","")),"")</f>
        <v/>
      </c>
      <c r="E914">
        <f>IFERROR(INDEX('1.산군_붙여넣기'!$A$1:$AZ$1001,ROW(),설정!$C$7)&amp;"","")</f>
        <v/>
      </c>
      <c r="F914">
        <f>IFERROR(INDEX('1.산군_붙여넣기'!$A$1:$AZ$1001,ROW(),설정!$C$8)&amp;"","")</f>
        <v/>
      </c>
      <c r="G914">
        <f>IFERROR(INDEX('1.산군_붙여넣기'!$A$1:$AZ$1001,ROW(),설정!$C$9)&amp;"","")</f>
        <v/>
      </c>
      <c r="H914">
        <f>IFERROR(INDEX('1.산군_붙여넣기'!$A$1:$AZ$1001,ROW(),설정!$C$10)&amp;"","")</f>
        <v/>
      </c>
      <c r="I914">
        <f>IFERROR(INDEX('1.산군_붙여넣기'!$A$1:$AZ$1001,ROW(),설정!$C$11)&amp;"","")</f>
        <v/>
      </c>
      <c r="J914">
        <f>IFERROR(INDEX('1.산군_붙여넣기'!$A$1:$AZ$1001,ROW(),설정!$C$12)&amp;"","")</f>
        <v/>
      </c>
      <c r="K914">
        <f>IFERROR(INDEX('1.산군_붙여넣기'!$A$1:$AZ$1001,ROW(),설정!$C$13)&amp;"","")</f>
        <v/>
      </c>
      <c r="L914" s="6">
        <f>IF(X914="","",IF(AND(LEN(X914)=8,ISNUMBER(X914*1)),DATE(LEFT(X914,4),MID(X914,5,2),RIGHT(X914,2)),IFERROR(DATEVALUE(SUBSTITUTE(SUBSTITUTE(X914,".","-"),"/","-")),IFERROR(X914*1,""))))</f>
        <v/>
      </c>
      <c r="M914" s="6">
        <f>IF(Y914="","",IF(AND(LEN(Y914)=8,ISNUMBER(Y914*1)),DATE(LEFT(Y914,4),MID(Y914,5,2),RIGHT(Y914,2)),IFERROR(DATEVALUE(SUBSTITUTE(SUBSTITUTE(Y914,".","-"),"/","-")),IFERROR(Y914*1,""))))</f>
        <v/>
      </c>
      <c r="N914">
        <f>IFERROR(LEFT(B914,FIND(" ",B914)-1),B914)</f>
        <v/>
      </c>
      <c r="O914">
        <f>AND(B914&lt;&gt;"",B914&lt;&gt;설정!$B$4,C914&lt;&gt;설정!$B$5)</f>
        <v/>
      </c>
      <c r="P914">
        <f>IF(O914,B914&amp;"|"&amp;C914,"")</f>
        <v/>
      </c>
      <c r="Q914">
        <f>AND(O914,COUNTIF(P915:P$1002,P914)=0)</f>
        <v/>
      </c>
      <c r="R914">
        <f>OR(AND(설정!$A$28&lt;&gt;"",ISNUMBER(SEARCH(설정!$A$28,E914&amp;" "&amp;C914))),AND(설정!$A$29&lt;&gt;"",ISNUMBER(SEARCH(설정!$A$29,E914&amp;" "&amp;C914))),AND(설정!$A$30&lt;&gt;"",ISNUMBER(SEARCH(설정!$A$30,E914&amp;" "&amp;C914))),AND(설정!$A$31&lt;&gt;"",ISNUMBER(SEARCH(설정!$A$31,E914&amp;" "&amp;C914))),AND(설정!$A$32&lt;&gt;"",ISNUMBER(SEARCH(설정!$A$32,E914&amp;" "&amp;C914))),AND(설정!$A$33&lt;&gt;"",ISNUMBER(SEARCH(설정!$A$33,E914&amp;" "&amp;C914))),AND(설정!$A$34&lt;&gt;"",ISNUMBER(SEARCH(설정!$A$34,E914&amp;" "&amp;C914))),AND(설정!$A$35&lt;&gt;"",ISNUMBER(SEARCH(설정!$A$35,E914&amp;" "&amp;C914))),AND(설정!$A$36&lt;&gt;"",ISNUMBER(SEARCH(설정!$A$36,E914&amp;" "&amp;C914))),AND(설정!$A$37&lt;&gt;"",ISNUMBER(SEARCH(설정!$A$37,E914&amp;" "&amp;C914))))</f>
        <v/>
      </c>
      <c r="S914">
        <f>OR(D914="",D914&gt;=설정!$B$19)</f>
        <v/>
      </c>
      <c r="T914">
        <f>AND(Q914,R914,S914)</f>
        <v/>
      </c>
      <c r="U914">
        <f>IF(T914,IF(AND(설정!$A$41&lt;&gt;"",ISNUMBER(SEARCH(설정!$A$41,K914))),설정!$B$41,IF(AND(설정!$A$42&lt;&gt;"",ISNUMBER(SEARCH(설정!$A$42,K914))),설정!$B$42,IF(AND(설정!$A$43&lt;&gt;"",ISNUMBER(SEARCH(설정!$A$43,K914))),설정!$B$43,IF(AND(설정!$A$44&lt;&gt;"",ISNUMBER(SEARCH(설정!$A$44,K914))),설정!$B$44,IF(AND(설정!$A$45&lt;&gt;"",ISNUMBER(SEARCH(설정!$A$45,K914))),설정!$B$45,IF(AND(설정!$A$46&lt;&gt;"",ISNUMBER(SEARCH(설정!$A$46,K914))),설정!$B$46,IF(AND(설정!$A$47&lt;&gt;"",ISNUMBER(SEARCH(설정!$A$47,K914))),설정!$B$47,IF(AND(설정!$A$48&lt;&gt;"",ISNUMBER(SEARCH(설정!$A$48,K914))),설정!$B$48,IF(M914="","설계사","시공사"))))))))),"")</f>
        <v/>
      </c>
      <c r="V914">
        <f>SUBSTITUTE(SUBSTITUTE(SUBSTITUTE(SUBSTITUTE(G914,"(주)",""),"㈜",""),"주식회사","")," ","")</f>
        <v/>
      </c>
      <c r="W914">
        <f>IF(AND(T914,V914&lt;&gt;""),IF(COUNTIFS(V$2:V914,V914,T$2:T914,TRUE)=1,MAX(W$1:W913)+1,""),"")</f>
        <v/>
      </c>
      <c r="X914">
        <f>IFERROR(INDEX('1.산군_붙여넣기'!$A$1:$AZ$1001,ROW(),설정!$C$14)&amp;"","")</f>
        <v/>
      </c>
      <c r="Y914">
        <f>IFERROR(INDEX('1.산군_붙여넣기'!$A$1:$AZ$1001,ROW(),설정!$C$15)&amp;"","")</f>
        <v/>
      </c>
      <c r="Z914">
        <f>IF(T914,V914&amp;"|"&amp;U914,"")</f>
        <v/>
      </c>
    </row>
    <row r="915">
      <c r="A915">
        <f>ROW()</f>
        <v/>
      </c>
      <c r="B915">
        <f>IFERROR(INDEX('1.산군_붙여넣기'!$A$1:$AZ$1001,ROW(),설정!$C$4)&amp;"","")</f>
        <v/>
      </c>
      <c r="C915">
        <f>IFERROR(INDEX('1.산군_붙여넣기'!$A$1:$AZ$1001,ROW(),설정!$C$5)&amp;"","")</f>
        <v/>
      </c>
      <c r="D915" s="5">
        <f>IFERROR(VALUE(SUBSTITUTE(SUBSTITUTE(SUBSTITUTE(IFERROR(INDEX('1.산군_붙여넣기'!$A$1:$AZ$1001,ROW(),설정!$C$6)&amp;"",""),",",""),"㎡",""),"m2","")),"")</f>
        <v/>
      </c>
      <c r="E915">
        <f>IFERROR(INDEX('1.산군_붙여넣기'!$A$1:$AZ$1001,ROW(),설정!$C$7)&amp;"","")</f>
        <v/>
      </c>
      <c r="F915">
        <f>IFERROR(INDEX('1.산군_붙여넣기'!$A$1:$AZ$1001,ROW(),설정!$C$8)&amp;"","")</f>
        <v/>
      </c>
      <c r="G915">
        <f>IFERROR(INDEX('1.산군_붙여넣기'!$A$1:$AZ$1001,ROW(),설정!$C$9)&amp;"","")</f>
        <v/>
      </c>
      <c r="H915">
        <f>IFERROR(INDEX('1.산군_붙여넣기'!$A$1:$AZ$1001,ROW(),설정!$C$10)&amp;"","")</f>
        <v/>
      </c>
      <c r="I915">
        <f>IFERROR(INDEX('1.산군_붙여넣기'!$A$1:$AZ$1001,ROW(),설정!$C$11)&amp;"","")</f>
        <v/>
      </c>
      <c r="J915">
        <f>IFERROR(INDEX('1.산군_붙여넣기'!$A$1:$AZ$1001,ROW(),설정!$C$12)&amp;"","")</f>
        <v/>
      </c>
      <c r="K915">
        <f>IFERROR(INDEX('1.산군_붙여넣기'!$A$1:$AZ$1001,ROW(),설정!$C$13)&amp;"","")</f>
        <v/>
      </c>
      <c r="L915" s="6">
        <f>IF(X915="","",IF(AND(LEN(X915)=8,ISNUMBER(X915*1)),DATE(LEFT(X915,4),MID(X915,5,2),RIGHT(X915,2)),IFERROR(DATEVALUE(SUBSTITUTE(SUBSTITUTE(X915,".","-"),"/","-")),IFERROR(X915*1,""))))</f>
        <v/>
      </c>
      <c r="M915" s="6">
        <f>IF(Y915="","",IF(AND(LEN(Y915)=8,ISNUMBER(Y915*1)),DATE(LEFT(Y915,4),MID(Y915,5,2),RIGHT(Y915,2)),IFERROR(DATEVALUE(SUBSTITUTE(SUBSTITUTE(Y915,".","-"),"/","-")),IFERROR(Y915*1,""))))</f>
        <v/>
      </c>
      <c r="N915">
        <f>IFERROR(LEFT(B915,FIND(" ",B915)-1),B915)</f>
        <v/>
      </c>
      <c r="O915">
        <f>AND(B915&lt;&gt;"",B915&lt;&gt;설정!$B$4,C915&lt;&gt;설정!$B$5)</f>
        <v/>
      </c>
      <c r="P915">
        <f>IF(O915,B915&amp;"|"&amp;C915,"")</f>
        <v/>
      </c>
      <c r="Q915">
        <f>AND(O915,COUNTIF(P916:P$1002,P915)=0)</f>
        <v/>
      </c>
      <c r="R915">
        <f>OR(AND(설정!$A$28&lt;&gt;"",ISNUMBER(SEARCH(설정!$A$28,E915&amp;" "&amp;C915))),AND(설정!$A$29&lt;&gt;"",ISNUMBER(SEARCH(설정!$A$29,E915&amp;" "&amp;C915))),AND(설정!$A$30&lt;&gt;"",ISNUMBER(SEARCH(설정!$A$30,E915&amp;" "&amp;C915))),AND(설정!$A$31&lt;&gt;"",ISNUMBER(SEARCH(설정!$A$31,E915&amp;" "&amp;C915))),AND(설정!$A$32&lt;&gt;"",ISNUMBER(SEARCH(설정!$A$32,E915&amp;" "&amp;C915))),AND(설정!$A$33&lt;&gt;"",ISNUMBER(SEARCH(설정!$A$33,E915&amp;" "&amp;C915))),AND(설정!$A$34&lt;&gt;"",ISNUMBER(SEARCH(설정!$A$34,E915&amp;" "&amp;C915))),AND(설정!$A$35&lt;&gt;"",ISNUMBER(SEARCH(설정!$A$35,E915&amp;" "&amp;C915))),AND(설정!$A$36&lt;&gt;"",ISNUMBER(SEARCH(설정!$A$36,E915&amp;" "&amp;C915))),AND(설정!$A$37&lt;&gt;"",ISNUMBER(SEARCH(설정!$A$37,E915&amp;" "&amp;C915))))</f>
        <v/>
      </c>
      <c r="S915">
        <f>OR(D915="",D915&gt;=설정!$B$19)</f>
        <v/>
      </c>
      <c r="T915">
        <f>AND(Q915,R915,S915)</f>
        <v/>
      </c>
      <c r="U915">
        <f>IF(T915,IF(AND(설정!$A$41&lt;&gt;"",ISNUMBER(SEARCH(설정!$A$41,K915))),설정!$B$41,IF(AND(설정!$A$42&lt;&gt;"",ISNUMBER(SEARCH(설정!$A$42,K915))),설정!$B$42,IF(AND(설정!$A$43&lt;&gt;"",ISNUMBER(SEARCH(설정!$A$43,K915))),설정!$B$43,IF(AND(설정!$A$44&lt;&gt;"",ISNUMBER(SEARCH(설정!$A$44,K915))),설정!$B$44,IF(AND(설정!$A$45&lt;&gt;"",ISNUMBER(SEARCH(설정!$A$45,K915))),설정!$B$45,IF(AND(설정!$A$46&lt;&gt;"",ISNUMBER(SEARCH(설정!$A$46,K915))),설정!$B$46,IF(AND(설정!$A$47&lt;&gt;"",ISNUMBER(SEARCH(설정!$A$47,K915))),설정!$B$47,IF(AND(설정!$A$48&lt;&gt;"",ISNUMBER(SEARCH(설정!$A$48,K915))),설정!$B$48,IF(M915="","설계사","시공사"))))))))),"")</f>
        <v/>
      </c>
      <c r="V915">
        <f>SUBSTITUTE(SUBSTITUTE(SUBSTITUTE(SUBSTITUTE(G915,"(주)",""),"㈜",""),"주식회사","")," ","")</f>
        <v/>
      </c>
      <c r="W915">
        <f>IF(AND(T915,V915&lt;&gt;""),IF(COUNTIFS(V$2:V915,V915,T$2:T915,TRUE)=1,MAX(W$1:W914)+1,""),"")</f>
        <v/>
      </c>
      <c r="X915">
        <f>IFERROR(INDEX('1.산군_붙여넣기'!$A$1:$AZ$1001,ROW(),설정!$C$14)&amp;"","")</f>
        <v/>
      </c>
      <c r="Y915">
        <f>IFERROR(INDEX('1.산군_붙여넣기'!$A$1:$AZ$1001,ROW(),설정!$C$15)&amp;"","")</f>
        <v/>
      </c>
      <c r="Z915">
        <f>IF(T915,V915&amp;"|"&amp;U915,"")</f>
        <v/>
      </c>
    </row>
    <row r="916">
      <c r="A916">
        <f>ROW()</f>
        <v/>
      </c>
      <c r="B916">
        <f>IFERROR(INDEX('1.산군_붙여넣기'!$A$1:$AZ$1001,ROW(),설정!$C$4)&amp;"","")</f>
        <v/>
      </c>
      <c r="C916">
        <f>IFERROR(INDEX('1.산군_붙여넣기'!$A$1:$AZ$1001,ROW(),설정!$C$5)&amp;"","")</f>
        <v/>
      </c>
      <c r="D916" s="5">
        <f>IFERROR(VALUE(SUBSTITUTE(SUBSTITUTE(SUBSTITUTE(IFERROR(INDEX('1.산군_붙여넣기'!$A$1:$AZ$1001,ROW(),설정!$C$6)&amp;"",""),",",""),"㎡",""),"m2","")),"")</f>
        <v/>
      </c>
      <c r="E916">
        <f>IFERROR(INDEX('1.산군_붙여넣기'!$A$1:$AZ$1001,ROW(),설정!$C$7)&amp;"","")</f>
        <v/>
      </c>
      <c r="F916">
        <f>IFERROR(INDEX('1.산군_붙여넣기'!$A$1:$AZ$1001,ROW(),설정!$C$8)&amp;"","")</f>
        <v/>
      </c>
      <c r="G916">
        <f>IFERROR(INDEX('1.산군_붙여넣기'!$A$1:$AZ$1001,ROW(),설정!$C$9)&amp;"","")</f>
        <v/>
      </c>
      <c r="H916">
        <f>IFERROR(INDEX('1.산군_붙여넣기'!$A$1:$AZ$1001,ROW(),설정!$C$10)&amp;"","")</f>
        <v/>
      </c>
      <c r="I916">
        <f>IFERROR(INDEX('1.산군_붙여넣기'!$A$1:$AZ$1001,ROW(),설정!$C$11)&amp;"","")</f>
        <v/>
      </c>
      <c r="J916">
        <f>IFERROR(INDEX('1.산군_붙여넣기'!$A$1:$AZ$1001,ROW(),설정!$C$12)&amp;"","")</f>
        <v/>
      </c>
      <c r="K916">
        <f>IFERROR(INDEX('1.산군_붙여넣기'!$A$1:$AZ$1001,ROW(),설정!$C$13)&amp;"","")</f>
        <v/>
      </c>
      <c r="L916" s="6">
        <f>IF(X916="","",IF(AND(LEN(X916)=8,ISNUMBER(X916*1)),DATE(LEFT(X916,4),MID(X916,5,2),RIGHT(X916,2)),IFERROR(DATEVALUE(SUBSTITUTE(SUBSTITUTE(X916,".","-"),"/","-")),IFERROR(X916*1,""))))</f>
        <v/>
      </c>
      <c r="M916" s="6">
        <f>IF(Y916="","",IF(AND(LEN(Y916)=8,ISNUMBER(Y916*1)),DATE(LEFT(Y916,4),MID(Y916,5,2),RIGHT(Y916,2)),IFERROR(DATEVALUE(SUBSTITUTE(SUBSTITUTE(Y916,".","-"),"/","-")),IFERROR(Y916*1,""))))</f>
        <v/>
      </c>
      <c r="N916">
        <f>IFERROR(LEFT(B916,FIND(" ",B916)-1),B916)</f>
        <v/>
      </c>
      <c r="O916">
        <f>AND(B916&lt;&gt;"",B916&lt;&gt;설정!$B$4,C916&lt;&gt;설정!$B$5)</f>
        <v/>
      </c>
      <c r="P916">
        <f>IF(O916,B916&amp;"|"&amp;C916,"")</f>
        <v/>
      </c>
      <c r="Q916">
        <f>AND(O916,COUNTIF(P917:P$1002,P916)=0)</f>
        <v/>
      </c>
      <c r="R916">
        <f>OR(AND(설정!$A$28&lt;&gt;"",ISNUMBER(SEARCH(설정!$A$28,E916&amp;" "&amp;C916))),AND(설정!$A$29&lt;&gt;"",ISNUMBER(SEARCH(설정!$A$29,E916&amp;" "&amp;C916))),AND(설정!$A$30&lt;&gt;"",ISNUMBER(SEARCH(설정!$A$30,E916&amp;" "&amp;C916))),AND(설정!$A$31&lt;&gt;"",ISNUMBER(SEARCH(설정!$A$31,E916&amp;" "&amp;C916))),AND(설정!$A$32&lt;&gt;"",ISNUMBER(SEARCH(설정!$A$32,E916&amp;" "&amp;C916))),AND(설정!$A$33&lt;&gt;"",ISNUMBER(SEARCH(설정!$A$33,E916&amp;" "&amp;C916))),AND(설정!$A$34&lt;&gt;"",ISNUMBER(SEARCH(설정!$A$34,E916&amp;" "&amp;C916))),AND(설정!$A$35&lt;&gt;"",ISNUMBER(SEARCH(설정!$A$35,E916&amp;" "&amp;C916))),AND(설정!$A$36&lt;&gt;"",ISNUMBER(SEARCH(설정!$A$36,E916&amp;" "&amp;C916))),AND(설정!$A$37&lt;&gt;"",ISNUMBER(SEARCH(설정!$A$37,E916&amp;" "&amp;C916))))</f>
        <v/>
      </c>
      <c r="S916">
        <f>OR(D916="",D916&gt;=설정!$B$19)</f>
        <v/>
      </c>
      <c r="T916">
        <f>AND(Q916,R916,S916)</f>
        <v/>
      </c>
      <c r="U916">
        <f>IF(T916,IF(AND(설정!$A$41&lt;&gt;"",ISNUMBER(SEARCH(설정!$A$41,K916))),설정!$B$41,IF(AND(설정!$A$42&lt;&gt;"",ISNUMBER(SEARCH(설정!$A$42,K916))),설정!$B$42,IF(AND(설정!$A$43&lt;&gt;"",ISNUMBER(SEARCH(설정!$A$43,K916))),설정!$B$43,IF(AND(설정!$A$44&lt;&gt;"",ISNUMBER(SEARCH(설정!$A$44,K916))),설정!$B$44,IF(AND(설정!$A$45&lt;&gt;"",ISNUMBER(SEARCH(설정!$A$45,K916))),설정!$B$45,IF(AND(설정!$A$46&lt;&gt;"",ISNUMBER(SEARCH(설정!$A$46,K916))),설정!$B$46,IF(AND(설정!$A$47&lt;&gt;"",ISNUMBER(SEARCH(설정!$A$47,K916))),설정!$B$47,IF(AND(설정!$A$48&lt;&gt;"",ISNUMBER(SEARCH(설정!$A$48,K916))),설정!$B$48,IF(M916="","설계사","시공사"))))))))),"")</f>
        <v/>
      </c>
      <c r="V916">
        <f>SUBSTITUTE(SUBSTITUTE(SUBSTITUTE(SUBSTITUTE(G916,"(주)",""),"㈜",""),"주식회사","")," ","")</f>
        <v/>
      </c>
      <c r="W916">
        <f>IF(AND(T916,V916&lt;&gt;""),IF(COUNTIFS(V$2:V916,V916,T$2:T916,TRUE)=1,MAX(W$1:W915)+1,""),"")</f>
        <v/>
      </c>
      <c r="X916">
        <f>IFERROR(INDEX('1.산군_붙여넣기'!$A$1:$AZ$1001,ROW(),설정!$C$14)&amp;"","")</f>
        <v/>
      </c>
      <c r="Y916">
        <f>IFERROR(INDEX('1.산군_붙여넣기'!$A$1:$AZ$1001,ROW(),설정!$C$15)&amp;"","")</f>
        <v/>
      </c>
      <c r="Z916">
        <f>IF(T916,V916&amp;"|"&amp;U916,"")</f>
        <v/>
      </c>
    </row>
    <row r="917">
      <c r="A917">
        <f>ROW()</f>
        <v/>
      </c>
      <c r="B917">
        <f>IFERROR(INDEX('1.산군_붙여넣기'!$A$1:$AZ$1001,ROW(),설정!$C$4)&amp;"","")</f>
        <v/>
      </c>
      <c r="C917">
        <f>IFERROR(INDEX('1.산군_붙여넣기'!$A$1:$AZ$1001,ROW(),설정!$C$5)&amp;"","")</f>
        <v/>
      </c>
      <c r="D917" s="5">
        <f>IFERROR(VALUE(SUBSTITUTE(SUBSTITUTE(SUBSTITUTE(IFERROR(INDEX('1.산군_붙여넣기'!$A$1:$AZ$1001,ROW(),설정!$C$6)&amp;"",""),",",""),"㎡",""),"m2","")),"")</f>
        <v/>
      </c>
      <c r="E917">
        <f>IFERROR(INDEX('1.산군_붙여넣기'!$A$1:$AZ$1001,ROW(),설정!$C$7)&amp;"","")</f>
        <v/>
      </c>
      <c r="F917">
        <f>IFERROR(INDEX('1.산군_붙여넣기'!$A$1:$AZ$1001,ROW(),설정!$C$8)&amp;"","")</f>
        <v/>
      </c>
      <c r="G917">
        <f>IFERROR(INDEX('1.산군_붙여넣기'!$A$1:$AZ$1001,ROW(),설정!$C$9)&amp;"","")</f>
        <v/>
      </c>
      <c r="H917">
        <f>IFERROR(INDEX('1.산군_붙여넣기'!$A$1:$AZ$1001,ROW(),설정!$C$10)&amp;"","")</f>
        <v/>
      </c>
      <c r="I917">
        <f>IFERROR(INDEX('1.산군_붙여넣기'!$A$1:$AZ$1001,ROW(),설정!$C$11)&amp;"","")</f>
        <v/>
      </c>
      <c r="J917">
        <f>IFERROR(INDEX('1.산군_붙여넣기'!$A$1:$AZ$1001,ROW(),설정!$C$12)&amp;"","")</f>
        <v/>
      </c>
      <c r="K917">
        <f>IFERROR(INDEX('1.산군_붙여넣기'!$A$1:$AZ$1001,ROW(),설정!$C$13)&amp;"","")</f>
        <v/>
      </c>
      <c r="L917" s="6">
        <f>IF(X917="","",IF(AND(LEN(X917)=8,ISNUMBER(X917*1)),DATE(LEFT(X917,4),MID(X917,5,2),RIGHT(X917,2)),IFERROR(DATEVALUE(SUBSTITUTE(SUBSTITUTE(X917,".","-"),"/","-")),IFERROR(X917*1,""))))</f>
        <v/>
      </c>
      <c r="M917" s="6">
        <f>IF(Y917="","",IF(AND(LEN(Y917)=8,ISNUMBER(Y917*1)),DATE(LEFT(Y917,4),MID(Y917,5,2),RIGHT(Y917,2)),IFERROR(DATEVALUE(SUBSTITUTE(SUBSTITUTE(Y917,".","-"),"/","-")),IFERROR(Y917*1,""))))</f>
        <v/>
      </c>
      <c r="N917">
        <f>IFERROR(LEFT(B917,FIND(" ",B917)-1),B917)</f>
        <v/>
      </c>
      <c r="O917">
        <f>AND(B917&lt;&gt;"",B917&lt;&gt;설정!$B$4,C917&lt;&gt;설정!$B$5)</f>
        <v/>
      </c>
      <c r="P917">
        <f>IF(O917,B917&amp;"|"&amp;C917,"")</f>
        <v/>
      </c>
      <c r="Q917">
        <f>AND(O917,COUNTIF(P918:P$1002,P917)=0)</f>
        <v/>
      </c>
      <c r="R917">
        <f>OR(AND(설정!$A$28&lt;&gt;"",ISNUMBER(SEARCH(설정!$A$28,E917&amp;" "&amp;C917))),AND(설정!$A$29&lt;&gt;"",ISNUMBER(SEARCH(설정!$A$29,E917&amp;" "&amp;C917))),AND(설정!$A$30&lt;&gt;"",ISNUMBER(SEARCH(설정!$A$30,E917&amp;" "&amp;C917))),AND(설정!$A$31&lt;&gt;"",ISNUMBER(SEARCH(설정!$A$31,E917&amp;" "&amp;C917))),AND(설정!$A$32&lt;&gt;"",ISNUMBER(SEARCH(설정!$A$32,E917&amp;" "&amp;C917))),AND(설정!$A$33&lt;&gt;"",ISNUMBER(SEARCH(설정!$A$33,E917&amp;" "&amp;C917))),AND(설정!$A$34&lt;&gt;"",ISNUMBER(SEARCH(설정!$A$34,E917&amp;" "&amp;C917))),AND(설정!$A$35&lt;&gt;"",ISNUMBER(SEARCH(설정!$A$35,E917&amp;" "&amp;C917))),AND(설정!$A$36&lt;&gt;"",ISNUMBER(SEARCH(설정!$A$36,E917&amp;" "&amp;C917))),AND(설정!$A$37&lt;&gt;"",ISNUMBER(SEARCH(설정!$A$37,E917&amp;" "&amp;C917))))</f>
        <v/>
      </c>
      <c r="S917">
        <f>OR(D917="",D917&gt;=설정!$B$19)</f>
        <v/>
      </c>
      <c r="T917">
        <f>AND(Q917,R917,S917)</f>
        <v/>
      </c>
      <c r="U917">
        <f>IF(T917,IF(AND(설정!$A$41&lt;&gt;"",ISNUMBER(SEARCH(설정!$A$41,K917))),설정!$B$41,IF(AND(설정!$A$42&lt;&gt;"",ISNUMBER(SEARCH(설정!$A$42,K917))),설정!$B$42,IF(AND(설정!$A$43&lt;&gt;"",ISNUMBER(SEARCH(설정!$A$43,K917))),설정!$B$43,IF(AND(설정!$A$44&lt;&gt;"",ISNUMBER(SEARCH(설정!$A$44,K917))),설정!$B$44,IF(AND(설정!$A$45&lt;&gt;"",ISNUMBER(SEARCH(설정!$A$45,K917))),설정!$B$45,IF(AND(설정!$A$46&lt;&gt;"",ISNUMBER(SEARCH(설정!$A$46,K917))),설정!$B$46,IF(AND(설정!$A$47&lt;&gt;"",ISNUMBER(SEARCH(설정!$A$47,K917))),설정!$B$47,IF(AND(설정!$A$48&lt;&gt;"",ISNUMBER(SEARCH(설정!$A$48,K917))),설정!$B$48,IF(M917="","설계사","시공사"))))))))),"")</f>
        <v/>
      </c>
      <c r="V917">
        <f>SUBSTITUTE(SUBSTITUTE(SUBSTITUTE(SUBSTITUTE(G917,"(주)",""),"㈜",""),"주식회사","")," ","")</f>
        <v/>
      </c>
      <c r="W917">
        <f>IF(AND(T917,V917&lt;&gt;""),IF(COUNTIFS(V$2:V917,V917,T$2:T917,TRUE)=1,MAX(W$1:W916)+1,""),"")</f>
        <v/>
      </c>
      <c r="X917">
        <f>IFERROR(INDEX('1.산군_붙여넣기'!$A$1:$AZ$1001,ROW(),설정!$C$14)&amp;"","")</f>
        <v/>
      </c>
      <c r="Y917">
        <f>IFERROR(INDEX('1.산군_붙여넣기'!$A$1:$AZ$1001,ROW(),설정!$C$15)&amp;"","")</f>
        <v/>
      </c>
      <c r="Z917">
        <f>IF(T917,V917&amp;"|"&amp;U917,"")</f>
        <v/>
      </c>
    </row>
    <row r="918">
      <c r="A918">
        <f>ROW()</f>
        <v/>
      </c>
      <c r="B918">
        <f>IFERROR(INDEX('1.산군_붙여넣기'!$A$1:$AZ$1001,ROW(),설정!$C$4)&amp;"","")</f>
        <v/>
      </c>
      <c r="C918">
        <f>IFERROR(INDEX('1.산군_붙여넣기'!$A$1:$AZ$1001,ROW(),설정!$C$5)&amp;"","")</f>
        <v/>
      </c>
      <c r="D918" s="5">
        <f>IFERROR(VALUE(SUBSTITUTE(SUBSTITUTE(SUBSTITUTE(IFERROR(INDEX('1.산군_붙여넣기'!$A$1:$AZ$1001,ROW(),설정!$C$6)&amp;"",""),",",""),"㎡",""),"m2","")),"")</f>
        <v/>
      </c>
      <c r="E918">
        <f>IFERROR(INDEX('1.산군_붙여넣기'!$A$1:$AZ$1001,ROW(),설정!$C$7)&amp;"","")</f>
        <v/>
      </c>
      <c r="F918">
        <f>IFERROR(INDEX('1.산군_붙여넣기'!$A$1:$AZ$1001,ROW(),설정!$C$8)&amp;"","")</f>
        <v/>
      </c>
      <c r="G918">
        <f>IFERROR(INDEX('1.산군_붙여넣기'!$A$1:$AZ$1001,ROW(),설정!$C$9)&amp;"","")</f>
        <v/>
      </c>
      <c r="H918">
        <f>IFERROR(INDEX('1.산군_붙여넣기'!$A$1:$AZ$1001,ROW(),설정!$C$10)&amp;"","")</f>
        <v/>
      </c>
      <c r="I918">
        <f>IFERROR(INDEX('1.산군_붙여넣기'!$A$1:$AZ$1001,ROW(),설정!$C$11)&amp;"","")</f>
        <v/>
      </c>
      <c r="J918">
        <f>IFERROR(INDEX('1.산군_붙여넣기'!$A$1:$AZ$1001,ROW(),설정!$C$12)&amp;"","")</f>
        <v/>
      </c>
      <c r="K918">
        <f>IFERROR(INDEX('1.산군_붙여넣기'!$A$1:$AZ$1001,ROW(),설정!$C$13)&amp;"","")</f>
        <v/>
      </c>
      <c r="L918" s="6">
        <f>IF(X918="","",IF(AND(LEN(X918)=8,ISNUMBER(X918*1)),DATE(LEFT(X918,4),MID(X918,5,2),RIGHT(X918,2)),IFERROR(DATEVALUE(SUBSTITUTE(SUBSTITUTE(X918,".","-"),"/","-")),IFERROR(X918*1,""))))</f>
        <v/>
      </c>
      <c r="M918" s="6">
        <f>IF(Y918="","",IF(AND(LEN(Y918)=8,ISNUMBER(Y918*1)),DATE(LEFT(Y918,4),MID(Y918,5,2),RIGHT(Y918,2)),IFERROR(DATEVALUE(SUBSTITUTE(SUBSTITUTE(Y918,".","-"),"/","-")),IFERROR(Y918*1,""))))</f>
        <v/>
      </c>
      <c r="N918">
        <f>IFERROR(LEFT(B918,FIND(" ",B918)-1),B918)</f>
        <v/>
      </c>
      <c r="O918">
        <f>AND(B918&lt;&gt;"",B918&lt;&gt;설정!$B$4,C918&lt;&gt;설정!$B$5)</f>
        <v/>
      </c>
      <c r="P918">
        <f>IF(O918,B918&amp;"|"&amp;C918,"")</f>
        <v/>
      </c>
      <c r="Q918">
        <f>AND(O918,COUNTIF(P919:P$1002,P918)=0)</f>
        <v/>
      </c>
      <c r="R918">
        <f>OR(AND(설정!$A$28&lt;&gt;"",ISNUMBER(SEARCH(설정!$A$28,E918&amp;" "&amp;C918))),AND(설정!$A$29&lt;&gt;"",ISNUMBER(SEARCH(설정!$A$29,E918&amp;" "&amp;C918))),AND(설정!$A$30&lt;&gt;"",ISNUMBER(SEARCH(설정!$A$30,E918&amp;" "&amp;C918))),AND(설정!$A$31&lt;&gt;"",ISNUMBER(SEARCH(설정!$A$31,E918&amp;" "&amp;C918))),AND(설정!$A$32&lt;&gt;"",ISNUMBER(SEARCH(설정!$A$32,E918&amp;" "&amp;C918))),AND(설정!$A$33&lt;&gt;"",ISNUMBER(SEARCH(설정!$A$33,E918&amp;" "&amp;C918))),AND(설정!$A$34&lt;&gt;"",ISNUMBER(SEARCH(설정!$A$34,E918&amp;" "&amp;C918))),AND(설정!$A$35&lt;&gt;"",ISNUMBER(SEARCH(설정!$A$35,E918&amp;" "&amp;C918))),AND(설정!$A$36&lt;&gt;"",ISNUMBER(SEARCH(설정!$A$36,E918&amp;" "&amp;C918))),AND(설정!$A$37&lt;&gt;"",ISNUMBER(SEARCH(설정!$A$37,E918&amp;" "&amp;C918))))</f>
        <v/>
      </c>
      <c r="S918">
        <f>OR(D918="",D918&gt;=설정!$B$19)</f>
        <v/>
      </c>
      <c r="T918">
        <f>AND(Q918,R918,S918)</f>
        <v/>
      </c>
      <c r="U918">
        <f>IF(T918,IF(AND(설정!$A$41&lt;&gt;"",ISNUMBER(SEARCH(설정!$A$41,K918))),설정!$B$41,IF(AND(설정!$A$42&lt;&gt;"",ISNUMBER(SEARCH(설정!$A$42,K918))),설정!$B$42,IF(AND(설정!$A$43&lt;&gt;"",ISNUMBER(SEARCH(설정!$A$43,K918))),설정!$B$43,IF(AND(설정!$A$44&lt;&gt;"",ISNUMBER(SEARCH(설정!$A$44,K918))),설정!$B$44,IF(AND(설정!$A$45&lt;&gt;"",ISNUMBER(SEARCH(설정!$A$45,K918))),설정!$B$45,IF(AND(설정!$A$46&lt;&gt;"",ISNUMBER(SEARCH(설정!$A$46,K918))),설정!$B$46,IF(AND(설정!$A$47&lt;&gt;"",ISNUMBER(SEARCH(설정!$A$47,K918))),설정!$B$47,IF(AND(설정!$A$48&lt;&gt;"",ISNUMBER(SEARCH(설정!$A$48,K918))),설정!$B$48,IF(M918="","설계사","시공사"))))))))),"")</f>
        <v/>
      </c>
      <c r="V918">
        <f>SUBSTITUTE(SUBSTITUTE(SUBSTITUTE(SUBSTITUTE(G918,"(주)",""),"㈜",""),"주식회사","")," ","")</f>
        <v/>
      </c>
      <c r="W918">
        <f>IF(AND(T918,V918&lt;&gt;""),IF(COUNTIFS(V$2:V918,V918,T$2:T918,TRUE)=1,MAX(W$1:W917)+1,""),"")</f>
        <v/>
      </c>
      <c r="X918">
        <f>IFERROR(INDEX('1.산군_붙여넣기'!$A$1:$AZ$1001,ROW(),설정!$C$14)&amp;"","")</f>
        <v/>
      </c>
      <c r="Y918">
        <f>IFERROR(INDEX('1.산군_붙여넣기'!$A$1:$AZ$1001,ROW(),설정!$C$15)&amp;"","")</f>
        <v/>
      </c>
      <c r="Z918">
        <f>IF(T918,V918&amp;"|"&amp;U918,"")</f>
        <v/>
      </c>
    </row>
    <row r="919">
      <c r="A919">
        <f>ROW()</f>
        <v/>
      </c>
      <c r="B919">
        <f>IFERROR(INDEX('1.산군_붙여넣기'!$A$1:$AZ$1001,ROW(),설정!$C$4)&amp;"","")</f>
        <v/>
      </c>
      <c r="C919">
        <f>IFERROR(INDEX('1.산군_붙여넣기'!$A$1:$AZ$1001,ROW(),설정!$C$5)&amp;"","")</f>
        <v/>
      </c>
      <c r="D919" s="5">
        <f>IFERROR(VALUE(SUBSTITUTE(SUBSTITUTE(SUBSTITUTE(IFERROR(INDEX('1.산군_붙여넣기'!$A$1:$AZ$1001,ROW(),설정!$C$6)&amp;"",""),",",""),"㎡",""),"m2","")),"")</f>
        <v/>
      </c>
      <c r="E919">
        <f>IFERROR(INDEX('1.산군_붙여넣기'!$A$1:$AZ$1001,ROW(),설정!$C$7)&amp;"","")</f>
        <v/>
      </c>
      <c r="F919">
        <f>IFERROR(INDEX('1.산군_붙여넣기'!$A$1:$AZ$1001,ROW(),설정!$C$8)&amp;"","")</f>
        <v/>
      </c>
      <c r="G919">
        <f>IFERROR(INDEX('1.산군_붙여넣기'!$A$1:$AZ$1001,ROW(),설정!$C$9)&amp;"","")</f>
        <v/>
      </c>
      <c r="H919">
        <f>IFERROR(INDEX('1.산군_붙여넣기'!$A$1:$AZ$1001,ROW(),설정!$C$10)&amp;"","")</f>
        <v/>
      </c>
      <c r="I919">
        <f>IFERROR(INDEX('1.산군_붙여넣기'!$A$1:$AZ$1001,ROW(),설정!$C$11)&amp;"","")</f>
        <v/>
      </c>
      <c r="J919">
        <f>IFERROR(INDEX('1.산군_붙여넣기'!$A$1:$AZ$1001,ROW(),설정!$C$12)&amp;"","")</f>
        <v/>
      </c>
      <c r="K919">
        <f>IFERROR(INDEX('1.산군_붙여넣기'!$A$1:$AZ$1001,ROW(),설정!$C$13)&amp;"","")</f>
        <v/>
      </c>
      <c r="L919" s="6">
        <f>IF(X919="","",IF(AND(LEN(X919)=8,ISNUMBER(X919*1)),DATE(LEFT(X919,4),MID(X919,5,2),RIGHT(X919,2)),IFERROR(DATEVALUE(SUBSTITUTE(SUBSTITUTE(X919,".","-"),"/","-")),IFERROR(X919*1,""))))</f>
        <v/>
      </c>
      <c r="M919" s="6">
        <f>IF(Y919="","",IF(AND(LEN(Y919)=8,ISNUMBER(Y919*1)),DATE(LEFT(Y919,4),MID(Y919,5,2),RIGHT(Y919,2)),IFERROR(DATEVALUE(SUBSTITUTE(SUBSTITUTE(Y919,".","-"),"/","-")),IFERROR(Y919*1,""))))</f>
        <v/>
      </c>
      <c r="N919">
        <f>IFERROR(LEFT(B919,FIND(" ",B919)-1),B919)</f>
        <v/>
      </c>
      <c r="O919">
        <f>AND(B919&lt;&gt;"",B919&lt;&gt;설정!$B$4,C919&lt;&gt;설정!$B$5)</f>
        <v/>
      </c>
      <c r="P919">
        <f>IF(O919,B919&amp;"|"&amp;C919,"")</f>
        <v/>
      </c>
      <c r="Q919">
        <f>AND(O919,COUNTIF(P920:P$1002,P919)=0)</f>
        <v/>
      </c>
      <c r="R919">
        <f>OR(AND(설정!$A$28&lt;&gt;"",ISNUMBER(SEARCH(설정!$A$28,E919&amp;" "&amp;C919))),AND(설정!$A$29&lt;&gt;"",ISNUMBER(SEARCH(설정!$A$29,E919&amp;" "&amp;C919))),AND(설정!$A$30&lt;&gt;"",ISNUMBER(SEARCH(설정!$A$30,E919&amp;" "&amp;C919))),AND(설정!$A$31&lt;&gt;"",ISNUMBER(SEARCH(설정!$A$31,E919&amp;" "&amp;C919))),AND(설정!$A$32&lt;&gt;"",ISNUMBER(SEARCH(설정!$A$32,E919&amp;" "&amp;C919))),AND(설정!$A$33&lt;&gt;"",ISNUMBER(SEARCH(설정!$A$33,E919&amp;" "&amp;C919))),AND(설정!$A$34&lt;&gt;"",ISNUMBER(SEARCH(설정!$A$34,E919&amp;" "&amp;C919))),AND(설정!$A$35&lt;&gt;"",ISNUMBER(SEARCH(설정!$A$35,E919&amp;" "&amp;C919))),AND(설정!$A$36&lt;&gt;"",ISNUMBER(SEARCH(설정!$A$36,E919&amp;" "&amp;C919))),AND(설정!$A$37&lt;&gt;"",ISNUMBER(SEARCH(설정!$A$37,E919&amp;" "&amp;C919))))</f>
        <v/>
      </c>
      <c r="S919">
        <f>OR(D919="",D919&gt;=설정!$B$19)</f>
        <v/>
      </c>
      <c r="T919">
        <f>AND(Q919,R919,S919)</f>
        <v/>
      </c>
      <c r="U919">
        <f>IF(T919,IF(AND(설정!$A$41&lt;&gt;"",ISNUMBER(SEARCH(설정!$A$41,K919))),설정!$B$41,IF(AND(설정!$A$42&lt;&gt;"",ISNUMBER(SEARCH(설정!$A$42,K919))),설정!$B$42,IF(AND(설정!$A$43&lt;&gt;"",ISNUMBER(SEARCH(설정!$A$43,K919))),설정!$B$43,IF(AND(설정!$A$44&lt;&gt;"",ISNUMBER(SEARCH(설정!$A$44,K919))),설정!$B$44,IF(AND(설정!$A$45&lt;&gt;"",ISNUMBER(SEARCH(설정!$A$45,K919))),설정!$B$45,IF(AND(설정!$A$46&lt;&gt;"",ISNUMBER(SEARCH(설정!$A$46,K919))),설정!$B$46,IF(AND(설정!$A$47&lt;&gt;"",ISNUMBER(SEARCH(설정!$A$47,K919))),설정!$B$47,IF(AND(설정!$A$48&lt;&gt;"",ISNUMBER(SEARCH(설정!$A$48,K919))),설정!$B$48,IF(M919="","설계사","시공사"))))))))),"")</f>
        <v/>
      </c>
      <c r="V919">
        <f>SUBSTITUTE(SUBSTITUTE(SUBSTITUTE(SUBSTITUTE(G919,"(주)",""),"㈜",""),"주식회사","")," ","")</f>
        <v/>
      </c>
      <c r="W919">
        <f>IF(AND(T919,V919&lt;&gt;""),IF(COUNTIFS(V$2:V919,V919,T$2:T919,TRUE)=1,MAX(W$1:W918)+1,""),"")</f>
        <v/>
      </c>
      <c r="X919">
        <f>IFERROR(INDEX('1.산군_붙여넣기'!$A$1:$AZ$1001,ROW(),설정!$C$14)&amp;"","")</f>
        <v/>
      </c>
      <c r="Y919">
        <f>IFERROR(INDEX('1.산군_붙여넣기'!$A$1:$AZ$1001,ROW(),설정!$C$15)&amp;"","")</f>
        <v/>
      </c>
      <c r="Z919">
        <f>IF(T919,V919&amp;"|"&amp;U919,"")</f>
        <v/>
      </c>
    </row>
    <row r="920">
      <c r="A920">
        <f>ROW()</f>
        <v/>
      </c>
      <c r="B920">
        <f>IFERROR(INDEX('1.산군_붙여넣기'!$A$1:$AZ$1001,ROW(),설정!$C$4)&amp;"","")</f>
        <v/>
      </c>
      <c r="C920">
        <f>IFERROR(INDEX('1.산군_붙여넣기'!$A$1:$AZ$1001,ROW(),설정!$C$5)&amp;"","")</f>
        <v/>
      </c>
      <c r="D920" s="5">
        <f>IFERROR(VALUE(SUBSTITUTE(SUBSTITUTE(SUBSTITUTE(IFERROR(INDEX('1.산군_붙여넣기'!$A$1:$AZ$1001,ROW(),설정!$C$6)&amp;"",""),",",""),"㎡",""),"m2","")),"")</f>
        <v/>
      </c>
      <c r="E920">
        <f>IFERROR(INDEX('1.산군_붙여넣기'!$A$1:$AZ$1001,ROW(),설정!$C$7)&amp;"","")</f>
        <v/>
      </c>
      <c r="F920">
        <f>IFERROR(INDEX('1.산군_붙여넣기'!$A$1:$AZ$1001,ROW(),설정!$C$8)&amp;"","")</f>
        <v/>
      </c>
      <c r="G920">
        <f>IFERROR(INDEX('1.산군_붙여넣기'!$A$1:$AZ$1001,ROW(),설정!$C$9)&amp;"","")</f>
        <v/>
      </c>
      <c r="H920">
        <f>IFERROR(INDEX('1.산군_붙여넣기'!$A$1:$AZ$1001,ROW(),설정!$C$10)&amp;"","")</f>
        <v/>
      </c>
      <c r="I920">
        <f>IFERROR(INDEX('1.산군_붙여넣기'!$A$1:$AZ$1001,ROW(),설정!$C$11)&amp;"","")</f>
        <v/>
      </c>
      <c r="J920">
        <f>IFERROR(INDEX('1.산군_붙여넣기'!$A$1:$AZ$1001,ROW(),설정!$C$12)&amp;"","")</f>
        <v/>
      </c>
      <c r="K920">
        <f>IFERROR(INDEX('1.산군_붙여넣기'!$A$1:$AZ$1001,ROW(),설정!$C$13)&amp;"","")</f>
        <v/>
      </c>
      <c r="L920" s="6">
        <f>IF(X920="","",IF(AND(LEN(X920)=8,ISNUMBER(X920*1)),DATE(LEFT(X920,4),MID(X920,5,2),RIGHT(X920,2)),IFERROR(DATEVALUE(SUBSTITUTE(SUBSTITUTE(X920,".","-"),"/","-")),IFERROR(X920*1,""))))</f>
        <v/>
      </c>
      <c r="M920" s="6">
        <f>IF(Y920="","",IF(AND(LEN(Y920)=8,ISNUMBER(Y920*1)),DATE(LEFT(Y920,4),MID(Y920,5,2),RIGHT(Y920,2)),IFERROR(DATEVALUE(SUBSTITUTE(SUBSTITUTE(Y920,".","-"),"/","-")),IFERROR(Y920*1,""))))</f>
        <v/>
      </c>
      <c r="N920">
        <f>IFERROR(LEFT(B920,FIND(" ",B920)-1),B920)</f>
        <v/>
      </c>
      <c r="O920">
        <f>AND(B920&lt;&gt;"",B920&lt;&gt;설정!$B$4,C920&lt;&gt;설정!$B$5)</f>
        <v/>
      </c>
      <c r="P920">
        <f>IF(O920,B920&amp;"|"&amp;C920,"")</f>
        <v/>
      </c>
      <c r="Q920">
        <f>AND(O920,COUNTIF(P921:P$1002,P920)=0)</f>
        <v/>
      </c>
      <c r="R920">
        <f>OR(AND(설정!$A$28&lt;&gt;"",ISNUMBER(SEARCH(설정!$A$28,E920&amp;" "&amp;C920))),AND(설정!$A$29&lt;&gt;"",ISNUMBER(SEARCH(설정!$A$29,E920&amp;" "&amp;C920))),AND(설정!$A$30&lt;&gt;"",ISNUMBER(SEARCH(설정!$A$30,E920&amp;" "&amp;C920))),AND(설정!$A$31&lt;&gt;"",ISNUMBER(SEARCH(설정!$A$31,E920&amp;" "&amp;C920))),AND(설정!$A$32&lt;&gt;"",ISNUMBER(SEARCH(설정!$A$32,E920&amp;" "&amp;C920))),AND(설정!$A$33&lt;&gt;"",ISNUMBER(SEARCH(설정!$A$33,E920&amp;" "&amp;C920))),AND(설정!$A$34&lt;&gt;"",ISNUMBER(SEARCH(설정!$A$34,E920&amp;" "&amp;C920))),AND(설정!$A$35&lt;&gt;"",ISNUMBER(SEARCH(설정!$A$35,E920&amp;" "&amp;C920))),AND(설정!$A$36&lt;&gt;"",ISNUMBER(SEARCH(설정!$A$36,E920&amp;" "&amp;C920))),AND(설정!$A$37&lt;&gt;"",ISNUMBER(SEARCH(설정!$A$37,E920&amp;" "&amp;C920))))</f>
        <v/>
      </c>
      <c r="S920">
        <f>OR(D920="",D920&gt;=설정!$B$19)</f>
        <v/>
      </c>
      <c r="T920">
        <f>AND(Q920,R920,S920)</f>
        <v/>
      </c>
      <c r="U920">
        <f>IF(T920,IF(AND(설정!$A$41&lt;&gt;"",ISNUMBER(SEARCH(설정!$A$41,K920))),설정!$B$41,IF(AND(설정!$A$42&lt;&gt;"",ISNUMBER(SEARCH(설정!$A$42,K920))),설정!$B$42,IF(AND(설정!$A$43&lt;&gt;"",ISNUMBER(SEARCH(설정!$A$43,K920))),설정!$B$43,IF(AND(설정!$A$44&lt;&gt;"",ISNUMBER(SEARCH(설정!$A$44,K920))),설정!$B$44,IF(AND(설정!$A$45&lt;&gt;"",ISNUMBER(SEARCH(설정!$A$45,K920))),설정!$B$45,IF(AND(설정!$A$46&lt;&gt;"",ISNUMBER(SEARCH(설정!$A$46,K920))),설정!$B$46,IF(AND(설정!$A$47&lt;&gt;"",ISNUMBER(SEARCH(설정!$A$47,K920))),설정!$B$47,IF(AND(설정!$A$48&lt;&gt;"",ISNUMBER(SEARCH(설정!$A$48,K920))),설정!$B$48,IF(M920="","설계사","시공사"))))))))),"")</f>
        <v/>
      </c>
      <c r="V920">
        <f>SUBSTITUTE(SUBSTITUTE(SUBSTITUTE(SUBSTITUTE(G920,"(주)",""),"㈜",""),"주식회사","")," ","")</f>
        <v/>
      </c>
      <c r="W920">
        <f>IF(AND(T920,V920&lt;&gt;""),IF(COUNTIFS(V$2:V920,V920,T$2:T920,TRUE)=1,MAX(W$1:W919)+1,""),"")</f>
        <v/>
      </c>
      <c r="X920">
        <f>IFERROR(INDEX('1.산군_붙여넣기'!$A$1:$AZ$1001,ROW(),설정!$C$14)&amp;"","")</f>
        <v/>
      </c>
      <c r="Y920">
        <f>IFERROR(INDEX('1.산군_붙여넣기'!$A$1:$AZ$1001,ROW(),설정!$C$15)&amp;"","")</f>
        <v/>
      </c>
      <c r="Z920">
        <f>IF(T920,V920&amp;"|"&amp;U920,"")</f>
        <v/>
      </c>
    </row>
    <row r="921">
      <c r="A921">
        <f>ROW()</f>
        <v/>
      </c>
      <c r="B921">
        <f>IFERROR(INDEX('1.산군_붙여넣기'!$A$1:$AZ$1001,ROW(),설정!$C$4)&amp;"","")</f>
        <v/>
      </c>
      <c r="C921">
        <f>IFERROR(INDEX('1.산군_붙여넣기'!$A$1:$AZ$1001,ROW(),설정!$C$5)&amp;"","")</f>
        <v/>
      </c>
      <c r="D921" s="5">
        <f>IFERROR(VALUE(SUBSTITUTE(SUBSTITUTE(SUBSTITUTE(IFERROR(INDEX('1.산군_붙여넣기'!$A$1:$AZ$1001,ROW(),설정!$C$6)&amp;"",""),",",""),"㎡",""),"m2","")),"")</f>
        <v/>
      </c>
      <c r="E921">
        <f>IFERROR(INDEX('1.산군_붙여넣기'!$A$1:$AZ$1001,ROW(),설정!$C$7)&amp;"","")</f>
        <v/>
      </c>
      <c r="F921">
        <f>IFERROR(INDEX('1.산군_붙여넣기'!$A$1:$AZ$1001,ROW(),설정!$C$8)&amp;"","")</f>
        <v/>
      </c>
      <c r="G921">
        <f>IFERROR(INDEX('1.산군_붙여넣기'!$A$1:$AZ$1001,ROW(),설정!$C$9)&amp;"","")</f>
        <v/>
      </c>
      <c r="H921">
        <f>IFERROR(INDEX('1.산군_붙여넣기'!$A$1:$AZ$1001,ROW(),설정!$C$10)&amp;"","")</f>
        <v/>
      </c>
      <c r="I921">
        <f>IFERROR(INDEX('1.산군_붙여넣기'!$A$1:$AZ$1001,ROW(),설정!$C$11)&amp;"","")</f>
        <v/>
      </c>
      <c r="J921">
        <f>IFERROR(INDEX('1.산군_붙여넣기'!$A$1:$AZ$1001,ROW(),설정!$C$12)&amp;"","")</f>
        <v/>
      </c>
      <c r="K921">
        <f>IFERROR(INDEX('1.산군_붙여넣기'!$A$1:$AZ$1001,ROW(),설정!$C$13)&amp;"","")</f>
        <v/>
      </c>
      <c r="L921" s="6">
        <f>IF(X921="","",IF(AND(LEN(X921)=8,ISNUMBER(X921*1)),DATE(LEFT(X921,4),MID(X921,5,2),RIGHT(X921,2)),IFERROR(DATEVALUE(SUBSTITUTE(SUBSTITUTE(X921,".","-"),"/","-")),IFERROR(X921*1,""))))</f>
        <v/>
      </c>
      <c r="M921" s="6">
        <f>IF(Y921="","",IF(AND(LEN(Y921)=8,ISNUMBER(Y921*1)),DATE(LEFT(Y921,4),MID(Y921,5,2),RIGHT(Y921,2)),IFERROR(DATEVALUE(SUBSTITUTE(SUBSTITUTE(Y921,".","-"),"/","-")),IFERROR(Y921*1,""))))</f>
        <v/>
      </c>
      <c r="N921">
        <f>IFERROR(LEFT(B921,FIND(" ",B921)-1),B921)</f>
        <v/>
      </c>
      <c r="O921">
        <f>AND(B921&lt;&gt;"",B921&lt;&gt;설정!$B$4,C921&lt;&gt;설정!$B$5)</f>
        <v/>
      </c>
      <c r="P921">
        <f>IF(O921,B921&amp;"|"&amp;C921,"")</f>
        <v/>
      </c>
      <c r="Q921">
        <f>AND(O921,COUNTIF(P922:P$1002,P921)=0)</f>
        <v/>
      </c>
      <c r="R921">
        <f>OR(AND(설정!$A$28&lt;&gt;"",ISNUMBER(SEARCH(설정!$A$28,E921&amp;" "&amp;C921))),AND(설정!$A$29&lt;&gt;"",ISNUMBER(SEARCH(설정!$A$29,E921&amp;" "&amp;C921))),AND(설정!$A$30&lt;&gt;"",ISNUMBER(SEARCH(설정!$A$30,E921&amp;" "&amp;C921))),AND(설정!$A$31&lt;&gt;"",ISNUMBER(SEARCH(설정!$A$31,E921&amp;" "&amp;C921))),AND(설정!$A$32&lt;&gt;"",ISNUMBER(SEARCH(설정!$A$32,E921&amp;" "&amp;C921))),AND(설정!$A$33&lt;&gt;"",ISNUMBER(SEARCH(설정!$A$33,E921&amp;" "&amp;C921))),AND(설정!$A$34&lt;&gt;"",ISNUMBER(SEARCH(설정!$A$34,E921&amp;" "&amp;C921))),AND(설정!$A$35&lt;&gt;"",ISNUMBER(SEARCH(설정!$A$35,E921&amp;" "&amp;C921))),AND(설정!$A$36&lt;&gt;"",ISNUMBER(SEARCH(설정!$A$36,E921&amp;" "&amp;C921))),AND(설정!$A$37&lt;&gt;"",ISNUMBER(SEARCH(설정!$A$37,E921&amp;" "&amp;C921))))</f>
        <v/>
      </c>
      <c r="S921">
        <f>OR(D921="",D921&gt;=설정!$B$19)</f>
        <v/>
      </c>
      <c r="T921">
        <f>AND(Q921,R921,S921)</f>
        <v/>
      </c>
      <c r="U921">
        <f>IF(T921,IF(AND(설정!$A$41&lt;&gt;"",ISNUMBER(SEARCH(설정!$A$41,K921))),설정!$B$41,IF(AND(설정!$A$42&lt;&gt;"",ISNUMBER(SEARCH(설정!$A$42,K921))),설정!$B$42,IF(AND(설정!$A$43&lt;&gt;"",ISNUMBER(SEARCH(설정!$A$43,K921))),설정!$B$43,IF(AND(설정!$A$44&lt;&gt;"",ISNUMBER(SEARCH(설정!$A$44,K921))),설정!$B$44,IF(AND(설정!$A$45&lt;&gt;"",ISNUMBER(SEARCH(설정!$A$45,K921))),설정!$B$45,IF(AND(설정!$A$46&lt;&gt;"",ISNUMBER(SEARCH(설정!$A$46,K921))),설정!$B$46,IF(AND(설정!$A$47&lt;&gt;"",ISNUMBER(SEARCH(설정!$A$47,K921))),설정!$B$47,IF(AND(설정!$A$48&lt;&gt;"",ISNUMBER(SEARCH(설정!$A$48,K921))),설정!$B$48,IF(M921="","설계사","시공사"))))))))),"")</f>
        <v/>
      </c>
      <c r="V921">
        <f>SUBSTITUTE(SUBSTITUTE(SUBSTITUTE(SUBSTITUTE(G921,"(주)",""),"㈜",""),"주식회사","")," ","")</f>
        <v/>
      </c>
      <c r="W921">
        <f>IF(AND(T921,V921&lt;&gt;""),IF(COUNTIFS(V$2:V921,V921,T$2:T921,TRUE)=1,MAX(W$1:W920)+1,""),"")</f>
        <v/>
      </c>
      <c r="X921">
        <f>IFERROR(INDEX('1.산군_붙여넣기'!$A$1:$AZ$1001,ROW(),설정!$C$14)&amp;"","")</f>
        <v/>
      </c>
      <c r="Y921">
        <f>IFERROR(INDEX('1.산군_붙여넣기'!$A$1:$AZ$1001,ROW(),설정!$C$15)&amp;"","")</f>
        <v/>
      </c>
      <c r="Z921">
        <f>IF(T921,V921&amp;"|"&amp;U921,"")</f>
        <v/>
      </c>
    </row>
    <row r="922">
      <c r="A922">
        <f>ROW()</f>
        <v/>
      </c>
      <c r="B922">
        <f>IFERROR(INDEX('1.산군_붙여넣기'!$A$1:$AZ$1001,ROW(),설정!$C$4)&amp;"","")</f>
        <v/>
      </c>
      <c r="C922">
        <f>IFERROR(INDEX('1.산군_붙여넣기'!$A$1:$AZ$1001,ROW(),설정!$C$5)&amp;"","")</f>
        <v/>
      </c>
      <c r="D922" s="5">
        <f>IFERROR(VALUE(SUBSTITUTE(SUBSTITUTE(SUBSTITUTE(IFERROR(INDEX('1.산군_붙여넣기'!$A$1:$AZ$1001,ROW(),설정!$C$6)&amp;"",""),",",""),"㎡",""),"m2","")),"")</f>
        <v/>
      </c>
      <c r="E922">
        <f>IFERROR(INDEX('1.산군_붙여넣기'!$A$1:$AZ$1001,ROW(),설정!$C$7)&amp;"","")</f>
        <v/>
      </c>
      <c r="F922">
        <f>IFERROR(INDEX('1.산군_붙여넣기'!$A$1:$AZ$1001,ROW(),설정!$C$8)&amp;"","")</f>
        <v/>
      </c>
      <c r="G922">
        <f>IFERROR(INDEX('1.산군_붙여넣기'!$A$1:$AZ$1001,ROW(),설정!$C$9)&amp;"","")</f>
        <v/>
      </c>
      <c r="H922">
        <f>IFERROR(INDEX('1.산군_붙여넣기'!$A$1:$AZ$1001,ROW(),설정!$C$10)&amp;"","")</f>
        <v/>
      </c>
      <c r="I922">
        <f>IFERROR(INDEX('1.산군_붙여넣기'!$A$1:$AZ$1001,ROW(),설정!$C$11)&amp;"","")</f>
        <v/>
      </c>
      <c r="J922">
        <f>IFERROR(INDEX('1.산군_붙여넣기'!$A$1:$AZ$1001,ROW(),설정!$C$12)&amp;"","")</f>
        <v/>
      </c>
      <c r="K922">
        <f>IFERROR(INDEX('1.산군_붙여넣기'!$A$1:$AZ$1001,ROW(),설정!$C$13)&amp;"","")</f>
        <v/>
      </c>
      <c r="L922" s="6">
        <f>IF(X922="","",IF(AND(LEN(X922)=8,ISNUMBER(X922*1)),DATE(LEFT(X922,4),MID(X922,5,2),RIGHT(X922,2)),IFERROR(DATEVALUE(SUBSTITUTE(SUBSTITUTE(X922,".","-"),"/","-")),IFERROR(X922*1,""))))</f>
        <v/>
      </c>
      <c r="M922" s="6">
        <f>IF(Y922="","",IF(AND(LEN(Y922)=8,ISNUMBER(Y922*1)),DATE(LEFT(Y922,4),MID(Y922,5,2),RIGHT(Y922,2)),IFERROR(DATEVALUE(SUBSTITUTE(SUBSTITUTE(Y922,".","-"),"/","-")),IFERROR(Y922*1,""))))</f>
        <v/>
      </c>
      <c r="N922">
        <f>IFERROR(LEFT(B922,FIND(" ",B922)-1),B922)</f>
        <v/>
      </c>
      <c r="O922">
        <f>AND(B922&lt;&gt;"",B922&lt;&gt;설정!$B$4,C922&lt;&gt;설정!$B$5)</f>
        <v/>
      </c>
      <c r="P922">
        <f>IF(O922,B922&amp;"|"&amp;C922,"")</f>
        <v/>
      </c>
      <c r="Q922">
        <f>AND(O922,COUNTIF(P923:P$1002,P922)=0)</f>
        <v/>
      </c>
      <c r="R922">
        <f>OR(AND(설정!$A$28&lt;&gt;"",ISNUMBER(SEARCH(설정!$A$28,E922&amp;" "&amp;C922))),AND(설정!$A$29&lt;&gt;"",ISNUMBER(SEARCH(설정!$A$29,E922&amp;" "&amp;C922))),AND(설정!$A$30&lt;&gt;"",ISNUMBER(SEARCH(설정!$A$30,E922&amp;" "&amp;C922))),AND(설정!$A$31&lt;&gt;"",ISNUMBER(SEARCH(설정!$A$31,E922&amp;" "&amp;C922))),AND(설정!$A$32&lt;&gt;"",ISNUMBER(SEARCH(설정!$A$32,E922&amp;" "&amp;C922))),AND(설정!$A$33&lt;&gt;"",ISNUMBER(SEARCH(설정!$A$33,E922&amp;" "&amp;C922))),AND(설정!$A$34&lt;&gt;"",ISNUMBER(SEARCH(설정!$A$34,E922&amp;" "&amp;C922))),AND(설정!$A$35&lt;&gt;"",ISNUMBER(SEARCH(설정!$A$35,E922&amp;" "&amp;C922))),AND(설정!$A$36&lt;&gt;"",ISNUMBER(SEARCH(설정!$A$36,E922&amp;" "&amp;C922))),AND(설정!$A$37&lt;&gt;"",ISNUMBER(SEARCH(설정!$A$37,E922&amp;" "&amp;C922))))</f>
        <v/>
      </c>
      <c r="S922">
        <f>OR(D922="",D922&gt;=설정!$B$19)</f>
        <v/>
      </c>
      <c r="T922">
        <f>AND(Q922,R922,S922)</f>
        <v/>
      </c>
      <c r="U922">
        <f>IF(T922,IF(AND(설정!$A$41&lt;&gt;"",ISNUMBER(SEARCH(설정!$A$41,K922))),설정!$B$41,IF(AND(설정!$A$42&lt;&gt;"",ISNUMBER(SEARCH(설정!$A$42,K922))),설정!$B$42,IF(AND(설정!$A$43&lt;&gt;"",ISNUMBER(SEARCH(설정!$A$43,K922))),설정!$B$43,IF(AND(설정!$A$44&lt;&gt;"",ISNUMBER(SEARCH(설정!$A$44,K922))),설정!$B$44,IF(AND(설정!$A$45&lt;&gt;"",ISNUMBER(SEARCH(설정!$A$45,K922))),설정!$B$45,IF(AND(설정!$A$46&lt;&gt;"",ISNUMBER(SEARCH(설정!$A$46,K922))),설정!$B$46,IF(AND(설정!$A$47&lt;&gt;"",ISNUMBER(SEARCH(설정!$A$47,K922))),설정!$B$47,IF(AND(설정!$A$48&lt;&gt;"",ISNUMBER(SEARCH(설정!$A$48,K922))),설정!$B$48,IF(M922="","설계사","시공사"))))))))),"")</f>
        <v/>
      </c>
      <c r="V922">
        <f>SUBSTITUTE(SUBSTITUTE(SUBSTITUTE(SUBSTITUTE(G922,"(주)",""),"㈜",""),"주식회사","")," ","")</f>
        <v/>
      </c>
      <c r="W922">
        <f>IF(AND(T922,V922&lt;&gt;""),IF(COUNTIFS(V$2:V922,V922,T$2:T922,TRUE)=1,MAX(W$1:W921)+1,""),"")</f>
        <v/>
      </c>
      <c r="X922">
        <f>IFERROR(INDEX('1.산군_붙여넣기'!$A$1:$AZ$1001,ROW(),설정!$C$14)&amp;"","")</f>
        <v/>
      </c>
      <c r="Y922">
        <f>IFERROR(INDEX('1.산군_붙여넣기'!$A$1:$AZ$1001,ROW(),설정!$C$15)&amp;"","")</f>
        <v/>
      </c>
      <c r="Z922">
        <f>IF(T922,V922&amp;"|"&amp;U922,"")</f>
        <v/>
      </c>
    </row>
    <row r="923">
      <c r="A923">
        <f>ROW()</f>
        <v/>
      </c>
      <c r="B923">
        <f>IFERROR(INDEX('1.산군_붙여넣기'!$A$1:$AZ$1001,ROW(),설정!$C$4)&amp;"","")</f>
        <v/>
      </c>
      <c r="C923">
        <f>IFERROR(INDEX('1.산군_붙여넣기'!$A$1:$AZ$1001,ROW(),설정!$C$5)&amp;"","")</f>
        <v/>
      </c>
      <c r="D923" s="5">
        <f>IFERROR(VALUE(SUBSTITUTE(SUBSTITUTE(SUBSTITUTE(IFERROR(INDEX('1.산군_붙여넣기'!$A$1:$AZ$1001,ROW(),설정!$C$6)&amp;"",""),",",""),"㎡",""),"m2","")),"")</f>
        <v/>
      </c>
      <c r="E923">
        <f>IFERROR(INDEX('1.산군_붙여넣기'!$A$1:$AZ$1001,ROW(),설정!$C$7)&amp;"","")</f>
        <v/>
      </c>
      <c r="F923">
        <f>IFERROR(INDEX('1.산군_붙여넣기'!$A$1:$AZ$1001,ROW(),설정!$C$8)&amp;"","")</f>
        <v/>
      </c>
      <c r="G923">
        <f>IFERROR(INDEX('1.산군_붙여넣기'!$A$1:$AZ$1001,ROW(),설정!$C$9)&amp;"","")</f>
        <v/>
      </c>
      <c r="H923">
        <f>IFERROR(INDEX('1.산군_붙여넣기'!$A$1:$AZ$1001,ROW(),설정!$C$10)&amp;"","")</f>
        <v/>
      </c>
      <c r="I923">
        <f>IFERROR(INDEX('1.산군_붙여넣기'!$A$1:$AZ$1001,ROW(),설정!$C$11)&amp;"","")</f>
        <v/>
      </c>
      <c r="J923">
        <f>IFERROR(INDEX('1.산군_붙여넣기'!$A$1:$AZ$1001,ROW(),설정!$C$12)&amp;"","")</f>
        <v/>
      </c>
      <c r="K923">
        <f>IFERROR(INDEX('1.산군_붙여넣기'!$A$1:$AZ$1001,ROW(),설정!$C$13)&amp;"","")</f>
        <v/>
      </c>
      <c r="L923" s="6">
        <f>IF(X923="","",IF(AND(LEN(X923)=8,ISNUMBER(X923*1)),DATE(LEFT(X923,4),MID(X923,5,2),RIGHT(X923,2)),IFERROR(DATEVALUE(SUBSTITUTE(SUBSTITUTE(X923,".","-"),"/","-")),IFERROR(X923*1,""))))</f>
        <v/>
      </c>
      <c r="M923" s="6">
        <f>IF(Y923="","",IF(AND(LEN(Y923)=8,ISNUMBER(Y923*1)),DATE(LEFT(Y923,4),MID(Y923,5,2),RIGHT(Y923,2)),IFERROR(DATEVALUE(SUBSTITUTE(SUBSTITUTE(Y923,".","-"),"/","-")),IFERROR(Y923*1,""))))</f>
        <v/>
      </c>
      <c r="N923">
        <f>IFERROR(LEFT(B923,FIND(" ",B923)-1),B923)</f>
        <v/>
      </c>
      <c r="O923">
        <f>AND(B923&lt;&gt;"",B923&lt;&gt;설정!$B$4,C923&lt;&gt;설정!$B$5)</f>
        <v/>
      </c>
      <c r="P923">
        <f>IF(O923,B923&amp;"|"&amp;C923,"")</f>
        <v/>
      </c>
      <c r="Q923">
        <f>AND(O923,COUNTIF(P924:P$1002,P923)=0)</f>
        <v/>
      </c>
      <c r="R923">
        <f>OR(AND(설정!$A$28&lt;&gt;"",ISNUMBER(SEARCH(설정!$A$28,E923&amp;" "&amp;C923))),AND(설정!$A$29&lt;&gt;"",ISNUMBER(SEARCH(설정!$A$29,E923&amp;" "&amp;C923))),AND(설정!$A$30&lt;&gt;"",ISNUMBER(SEARCH(설정!$A$30,E923&amp;" "&amp;C923))),AND(설정!$A$31&lt;&gt;"",ISNUMBER(SEARCH(설정!$A$31,E923&amp;" "&amp;C923))),AND(설정!$A$32&lt;&gt;"",ISNUMBER(SEARCH(설정!$A$32,E923&amp;" "&amp;C923))),AND(설정!$A$33&lt;&gt;"",ISNUMBER(SEARCH(설정!$A$33,E923&amp;" "&amp;C923))),AND(설정!$A$34&lt;&gt;"",ISNUMBER(SEARCH(설정!$A$34,E923&amp;" "&amp;C923))),AND(설정!$A$35&lt;&gt;"",ISNUMBER(SEARCH(설정!$A$35,E923&amp;" "&amp;C923))),AND(설정!$A$36&lt;&gt;"",ISNUMBER(SEARCH(설정!$A$36,E923&amp;" "&amp;C923))),AND(설정!$A$37&lt;&gt;"",ISNUMBER(SEARCH(설정!$A$37,E923&amp;" "&amp;C923))))</f>
        <v/>
      </c>
      <c r="S923">
        <f>OR(D923="",D923&gt;=설정!$B$19)</f>
        <v/>
      </c>
      <c r="T923">
        <f>AND(Q923,R923,S923)</f>
        <v/>
      </c>
      <c r="U923">
        <f>IF(T923,IF(AND(설정!$A$41&lt;&gt;"",ISNUMBER(SEARCH(설정!$A$41,K923))),설정!$B$41,IF(AND(설정!$A$42&lt;&gt;"",ISNUMBER(SEARCH(설정!$A$42,K923))),설정!$B$42,IF(AND(설정!$A$43&lt;&gt;"",ISNUMBER(SEARCH(설정!$A$43,K923))),설정!$B$43,IF(AND(설정!$A$44&lt;&gt;"",ISNUMBER(SEARCH(설정!$A$44,K923))),설정!$B$44,IF(AND(설정!$A$45&lt;&gt;"",ISNUMBER(SEARCH(설정!$A$45,K923))),설정!$B$45,IF(AND(설정!$A$46&lt;&gt;"",ISNUMBER(SEARCH(설정!$A$46,K923))),설정!$B$46,IF(AND(설정!$A$47&lt;&gt;"",ISNUMBER(SEARCH(설정!$A$47,K923))),설정!$B$47,IF(AND(설정!$A$48&lt;&gt;"",ISNUMBER(SEARCH(설정!$A$48,K923))),설정!$B$48,IF(M923="","설계사","시공사"))))))))),"")</f>
        <v/>
      </c>
      <c r="V923">
        <f>SUBSTITUTE(SUBSTITUTE(SUBSTITUTE(SUBSTITUTE(G923,"(주)",""),"㈜",""),"주식회사","")," ","")</f>
        <v/>
      </c>
      <c r="W923">
        <f>IF(AND(T923,V923&lt;&gt;""),IF(COUNTIFS(V$2:V923,V923,T$2:T923,TRUE)=1,MAX(W$1:W922)+1,""),"")</f>
        <v/>
      </c>
      <c r="X923">
        <f>IFERROR(INDEX('1.산군_붙여넣기'!$A$1:$AZ$1001,ROW(),설정!$C$14)&amp;"","")</f>
        <v/>
      </c>
      <c r="Y923">
        <f>IFERROR(INDEX('1.산군_붙여넣기'!$A$1:$AZ$1001,ROW(),설정!$C$15)&amp;"","")</f>
        <v/>
      </c>
      <c r="Z923">
        <f>IF(T923,V923&amp;"|"&amp;U923,"")</f>
        <v/>
      </c>
    </row>
    <row r="924">
      <c r="A924">
        <f>ROW()</f>
        <v/>
      </c>
      <c r="B924">
        <f>IFERROR(INDEX('1.산군_붙여넣기'!$A$1:$AZ$1001,ROW(),설정!$C$4)&amp;"","")</f>
        <v/>
      </c>
      <c r="C924">
        <f>IFERROR(INDEX('1.산군_붙여넣기'!$A$1:$AZ$1001,ROW(),설정!$C$5)&amp;"","")</f>
        <v/>
      </c>
      <c r="D924" s="5">
        <f>IFERROR(VALUE(SUBSTITUTE(SUBSTITUTE(SUBSTITUTE(IFERROR(INDEX('1.산군_붙여넣기'!$A$1:$AZ$1001,ROW(),설정!$C$6)&amp;"",""),",",""),"㎡",""),"m2","")),"")</f>
        <v/>
      </c>
      <c r="E924">
        <f>IFERROR(INDEX('1.산군_붙여넣기'!$A$1:$AZ$1001,ROW(),설정!$C$7)&amp;"","")</f>
        <v/>
      </c>
      <c r="F924">
        <f>IFERROR(INDEX('1.산군_붙여넣기'!$A$1:$AZ$1001,ROW(),설정!$C$8)&amp;"","")</f>
        <v/>
      </c>
      <c r="G924">
        <f>IFERROR(INDEX('1.산군_붙여넣기'!$A$1:$AZ$1001,ROW(),설정!$C$9)&amp;"","")</f>
        <v/>
      </c>
      <c r="H924">
        <f>IFERROR(INDEX('1.산군_붙여넣기'!$A$1:$AZ$1001,ROW(),설정!$C$10)&amp;"","")</f>
        <v/>
      </c>
      <c r="I924">
        <f>IFERROR(INDEX('1.산군_붙여넣기'!$A$1:$AZ$1001,ROW(),설정!$C$11)&amp;"","")</f>
        <v/>
      </c>
      <c r="J924">
        <f>IFERROR(INDEX('1.산군_붙여넣기'!$A$1:$AZ$1001,ROW(),설정!$C$12)&amp;"","")</f>
        <v/>
      </c>
      <c r="K924">
        <f>IFERROR(INDEX('1.산군_붙여넣기'!$A$1:$AZ$1001,ROW(),설정!$C$13)&amp;"","")</f>
        <v/>
      </c>
      <c r="L924" s="6">
        <f>IF(X924="","",IF(AND(LEN(X924)=8,ISNUMBER(X924*1)),DATE(LEFT(X924,4),MID(X924,5,2),RIGHT(X924,2)),IFERROR(DATEVALUE(SUBSTITUTE(SUBSTITUTE(X924,".","-"),"/","-")),IFERROR(X924*1,""))))</f>
        <v/>
      </c>
      <c r="M924" s="6">
        <f>IF(Y924="","",IF(AND(LEN(Y924)=8,ISNUMBER(Y924*1)),DATE(LEFT(Y924,4),MID(Y924,5,2),RIGHT(Y924,2)),IFERROR(DATEVALUE(SUBSTITUTE(SUBSTITUTE(Y924,".","-"),"/","-")),IFERROR(Y924*1,""))))</f>
        <v/>
      </c>
      <c r="N924">
        <f>IFERROR(LEFT(B924,FIND(" ",B924)-1),B924)</f>
        <v/>
      </c>
      <c r="O924">
        <f>AND(B924&lt;&gt;"",B924&lt;&gt;설정!$B$4,C924&lt;&gt;설정!$B$5)</f>
        <v/>
      </c>
      <c r="P924">
        <f>IF(O924,B924&amp;"|"&amp;C924,"")</f>
        <v/>
      </c>
      <c r="Q924">
        <f>AND(O924,COUNTIF(P925:P$1002,P924)=0)</f>
        <v/>
      </c>
      <c r="R924">
        <f>OR(AND(설정!$A$28&lt;&gt;"",ISNUMBER(SEARCH(설정!$A$28,E924&amp;" "&amp;C924))),AND(설정!$A$29&lt;&gt;"",ISNUMBER(SEARCH(설정!$A$29,E924&amp;" "&amp;C924))),AND(설정!$A$30&lt;&gt;"",ISNUMBER(SEARCH(설정!$A$30,E924&amp;" "&amp;C924))),AND(설정!$A$31&lt;&gt;"",ISNUMBER(SEARCH(설정!$A$31,E924&amp;" "&amp;C924))),AND(설정!$A$32&lt;&gt;"",ISNUMBER(SEARCH(설정!$A$32,E924&amp;" "&amp;C924))),AND(설정!$A$33&lt;&gt;"",ISNUMBER(SEARCH(설정!$A$33,E924&amp;" "&amp;C924))),AND(설정!$A$34&lt;&gt;"",ISNUMBER(SEARCH(설정!$A$34,E924&amp;" "&amp;C924))),AND(설정!$A$35&lt;&gt;"",ISNUMBER(SEARCH(설정!$A$35,E924&amp;" "&amp;C924))),AND(설정!$A$36&lt;&gt;"",ISNUMBER(SEARCH(설정!$A$36,E924&amp;" "&amp;C924))),AND(설정!$A$37&lt;&gt;"",ISNUMBER(SEARCH(설정!$A$37,E924&amp;" "&amp;C924))))</f>
        <v/>
      </c>
      <c r="S924">
        <f>OR(D924="",D924&gt;=설정!$B$19)</f>
        <v/>
      </c>
      <c r="T924">
        <f>AND(Q924,R924,S924)</f>
        <v/>
      </c>
      <c r="U924">
        <f>IF(T924,IF(AND(설정!$A$41&lt;&gt;"",ISNUMBER(SEARCH(설정!$A$41,K924))),설정!$B$41,IF(AND(설정!$A$42&lt;&gt;"",ISNUMBER(SEARCH(설정!$A$42,K924))),설정!$B$42,IF(AND(설정!$A$43&lt;&gt;"",ISNUMBER(SEARCH(설정!$A$43,K924))),설정!$B$43,IF(AND(설정!$A$44&lt;&gt;"",ISNUMBER(SEARCH(설정!$A$44,K924))),설정!$B$44,IF(AND(설정!$A$45&lt;&gt;"",ISNUMBER(SEARCH(설정!$A$45,K924))),설정!$B$45,IF(AND(설정!$A$46&lt;&gt;"",ISNUMBER(SEARCH(설정!$A$46,K924))),설정!$B$46,IF(AND(설정!$A$47&lt;&gt;"",ISNUMBER(SEARCH(설정!$A$47,K924))),설정!$B$47,IF(AND(설정!$A$48&lt;&gt;"",ISNUMBER(SEARCH(설정!$A$48,K924))),설정!$B$48,IF(M924="","설계사","시공사"))))))))),"")</f>
        <v/>
      </c>
      <c r="V924">
        <f>SUBSTITUTE(SUBSTITUTE(SUBSTITUTE(SUBSTITUTE(G924,"(주)",""),"㈜",""),"주식회사","")," ","")</f>
        <v/>
      </c>
      <c r="W924">
        <f>IF(AND(T924,V924&lt;&gt;""),IF(COUNTIFS(V$2:V924,V924,T$2:T924,TRUE)=1,MAX(W$1:W923)+1,""),"")</f>
        <v/>
      </c>
      <c r="X924">
        <f>IFERROR(INDEX('1.산군_붙여넣기'!$A$1:$AZ$1001,ROW(),설정!$C$14)&amp;"","")</f>
        <v/>
      </c>
      <c r="Y924">
        <f>IFERROR(INDEX('1.산군_붙여넣기'!$A$1:$AZ$1001,ROW(),설정!$C$15)&amp;"","")</f>
        <v/>
      </c>
      <c r="Z924">
        <f>IF(T924,V924&amp;"|"&amp;U924,"")</f>
        <v/>
      </c>
    </row>
    <row r="925">
      <c r="A925">
        <f>ROW()</f>
        <v/>
      </c>
      <c r="B925">
        <f>IFERROR(INDEX('1.산군_붙여넣기'!$A$1:$AZ$1001,ROW(),설정!$C$4)&amp;"","")</f>
        <v/>
      </c>
      <c r="C925">
        <f>IFERROR(INDEX('1.산군_붙여넣기'!$A$1:$AZ$1001,ROW(),설정!$C$5)&amp;"","")</f>
        <v/>
      </c>
      <c r="D925" s="5">
        <f>IFERROR(VALUE(SUBSTITUTE(SUBSTITUTE(SUBSTITUTE(IFERROR(INDEX('1.산군_붙여넣기'!$A$1:$AZ$1001,ROW(),설정!$C$6)&amp;"",""),",",""),"㎡",""),"m2","")),"")</f>
        <v/>
      </c>
      <c r="E925">
        <f>IFERROR(INDEX('1.산군_붙여넣기'!$A$1:$AZ$1001,ROW(),설정!$C$7)&amp;"","")</f>
        <v/>
      </c>
      <c r="F925">
        <f>IFERROR(INDEX('1.산군_붙여넣기'!$A$1:$AZ$1001,ROW(),설정!$C$8)&amp;"","")</f>
        <v/>
      </c>
      <c r="G925">
        <f>IFERROR(INDEX('1.산군_붙여넣기'!$A$1:$AZ$1001,ROW(),설정!$C$9)&amp;"","")</f>
        <v/>
      </c>
      <c r="H925">
        <f>IFERROR(INDEX('1.산군_붙여넣기'!$A$1:$AZ$1001,ROW(),설정!$C$10)&amp;"","")</f>
        <v/>
      </c>
      <c r="I925">
        <f>IFERROR(INDEX('1.산군_붙여넣기'!$A$1:$AZ$1001,ROW(),설정!$C$11)&amp;"","")</f>
        <v/>
      </c>
      <c r="J925">
        <f>IFERROR(INDEX('1.산군_붙여넣기'!$A$1:$AZ$1001,ROW(),설정!$C$12)&amp;"","")</f>
        <v/>
      </c>
      <c r="K925">
        <f>IFERROR(INDEX('1.산군_붙여넣기'!$A$1:$AZ$1001,ROW(),설정!$C$13)&amp;"","")</f>
        <v/>
      </c>
      <c r="L925" s="6">
        <f>IF(X925="","",IF(AND(LEN(X925)=8,ISNUMBER(X925*1)),DATE(LEFT(X925,4),MID(X925,5,2),RIGHT(X925,2)),IFERROR(DATEVALUE(SUBSTITUTE(SUBSTITUTE(X925,".","-"),"/","-")),IFERROR(X925*1,""))))</f>
        <v/>
      </c>
      <c r="M925" s="6">
        <f>IF(Y925="","",IF(AND(LEN(Y925)=8,ISNUMBER(Y925*1)),DATE(LEFT(Y925,4),MID(Y925,5,2),RIGHT(Y925,2)),IFERROR(DATEVALUE(SUBSTITUTE(SUBSTITUTE(Y925,".","-"),"/","-")),IFERROR(Y925*1,""))))</f>
        <v/>
      </c>
      <c r="N925">
        <f>IFERROR(LEFT(B925,FIND(" ",B925)-1),B925)</f>
        <v/>
      </c>
      <c r="O925">
        <f>AND(B925&lt;&gt;"",B925&lt;&gt;설정!$B$4,C925&lt;&gt;설정!$B$5)</f>
        <v/>
      </c>
      <c r="P925">
        <f>IF(O925,B925&amp;"|"&amp;C925,"")</f>
        <v/>
      </c>
      <c r="Q925">
        <f>AND(O925,COUNTIF(P926:P$1002,P925)=0)</f>
        <v/>
      </c>
      <c r="R925">
        <f>OR(AND(설정!$A$28&lt;&gt;"",ISNUMBER(SEARCH(설정!$A$28,E925&amp;" "&amp;C925))),AND(설정!$A$29&lt;&gt;"",ISNUMBER(SEARCH(설정!$A$29,E925&amp;" "&amp;C925))),AND(설정!$A$30&lt;&gt;"",ISNUMBER(SEARCH(설정!$A$30,E925&amp;" "&amp;C925))),AND(설정!$A$31&lt;&gt;"",ISNUMBER(SEARCH(설정!$A$31,E925&amp;" "&amp;C925))),AND(설정!$A$32&lt;&gt;"",ISNUMBER(SEARCH(설정!$A$32,E925&amp;" "&amp;C925))),AND(설정!$A$33&lt;&gt;"",ISNUMBER(SEARCH(설정!$A$33,E925&amp;" "&amp;C925))),AND(설정!$A$34&lt;&gt;"",ISNUMBER(SEARCH(설정!$A$34,E925&amp;" "&amp;C925))),AND(설정!$A$35&lt;&gt;"",ISNUMBER(SEARCH(설정!$A$35,E925&amp;" "&amp;C925))),AND(설정!$A$36&lt;&gt;"",ISNUMBER(SEARCH(설정!$A$36,E925&amp;" "&amp;C925))),AND(설정!$A$37&lt;&gt;"",ISNUMBER(SEARCH(설정!$A$37,E925&amp;" "&amp;C925))))</f>
        <v/>
      </c>
      <c r="S925">
        <f>OR(D925="",D925&gt;=설정!$B$19)</f>
        <v/>
      </c>
      <c r="T925">
        <f>AND(Q925,R925,S925)</f>
        <v/>
      </c>
      <c r="U925">
        <f>IF(T925,IF(AND(설정!$A$41&lt;&gt;"",ISNUMBER(SEARCH(설정!$A$41,K925))),설정!$B$41,IF(AND(설정!$A$42&lt;&gt;"",ISNUMBER(SEARCH(설정!$A$42,K925))),설정!$B$42,IF(AND(설정!$A$43&lt;&gt;"",ISNUMBER(SEARCH(설정!$A$43,K925))),설정!$B$43,IF(AND(설정!$A$44&lt;&gt;"",ISNUMBER(SEARCH(설정!$A$44,K925))),설정!$B$44,IF(AND(설정!$A$45&lt;&gt;"",ISNUMBER(SEARCH(설정!$A$45,K925))),설정!$B$45,IF(AND(설정!$A$46&lt;&gt;"",ISNUMBER(SEARCH(설정!$A$46,K925))),설정!$B$46,IF(AND(설정!$A$47&lt;&gt;"",ISNUMBER(SEARCH(설정!$A$47,K925))),설정!$B$47,IF(AND(설정!$A$48&lt;&gt;"",ISNUMBER(SEARCH(설정!$A$48,K925))),설정!$B$48,IF(M925="","설계사","시공사"))))))))),"")</f>
        <v/>
      </c>
      <c r="V925">
        <f>SUBSTITUTE(SUBSTITUTE(SUBSTITUTE(SUBSTITUTE(G925,"(주)",""),"㈜",""),"주식회사","")," ","")</f>
        <v/>
      </c>
      <c r="W925">
        <f>IF(AND(T925,V925&lt;&gt;""),IF(COUNTIFS(V$2:V925,V925,T$2:T925,TRUE)=1,MAX(W$1:W924)+1,""),"")</f>
        <v/>
      </c>
      <c r="X925">
        <f>IFERROR(INDEX('1.산군_붙여넣기'!$A$1:$AZ$1001,ROW(),설정!$C$14)&amp;"","")</f>
        <v/>
      </c>
      <c r="Y925">
        <f>IFERROR(INDEX('1.산군_붙여넣기'!$A$1:$AZ$1001,ROW(),설정!$C$15)&amp;"","")</f>
        <v/>
      </c>
      <c r="Z925">
        <f>IF(T925,V925&amp;"|"&amp;U925,"")</f>
        <v/>
      </c>
    </row>
    <row r="926">
      <c r="A926">
        <f>ROW()</f>
        <v/>
      </c>
      <c r="B926">
        <f>IFERROR(INDEX('1.산군_붙여넣기'!$A$1:$AZ$1001,ROW(),설정!$C$4)&amp;"","")</f>
        <v/>
      </c>
      <c r="C926">
        <f>IFERROR(INDEX('1.산군_붙여넣기'!$A$1:$AZ$1001,ROW(),설정!$C$5)&amp;"","")</f>
        <v/>
      </c>
      <c r="D926" s="5">
        <f>IFERROR(VALUE(SUBSTITUTE(SUBSTITUTE(SUBSTITUTE(IFERROR(INDEX('1.산군_붙여넣기'!$A$1:$AZ$1001,ROW(),설정!$C$6)&amp;"",""),",",""),"㎡",""),"m2","")),"")</f>
        <v/>
      </c>
      <c r="E926">
        <f>IFERROR(INDEX('1.산군_붙여넣기'!$A$1:$AZ$1001,ROW(),설정!$C$7)&amp;"","")</f>
        <v/>
      </c>
      <c r="F926">
        <f>IFERROR(INDEX('1.산군_붙여넣기'!$A$1:$AZ$1001,ROW(),설정!$C$8)&amp;"","")</f>
        <v/>
      </c>
      <c r="G926">
        <f>IFERROR(INDEX('1.산군_붙여넣기'!$A$1:$AZ$1001,ROW(),설정!$C$9)&amp;"","")</f>
        <v/>
      </c>
      <c r="H926">
        <f>IFERROR(INDEX('1.산군_붙여넣기'!$A$1:$AZ$1001,ROW(),설정!$C$10)&amp;"","")</f>
        <v/>
      </c>
      <c r="I926">
        <f>IFERROR(INDEX('1.산군_붙여넣기'!$A$1:$AZ$1001,ROW(),설정!$C$11)&amp;"","")</f>
        <v/>
      </c>
      <c r="J926">
        <f>IFERROR(INDEX('1.산군_붙여넣기'!$A$1:$AZ$1001,ROW(),설정!$C$12)&amp;"","")</f>
        <v/>
      </c>
      <c r="K926">
        <f>IFERROR(INDEX('1.산군_붙여넣기'!$A$1:$AZ$1001,ROW(),설정!$C$13)&amp;"","")</f>
        <v/>
      </c>
      <c r="L926" s="6">
        <f>IF(X926="","",IF(AND(LEN(X926)=8,ISNUMBER(X926*1)),DATE(LEFT(X926,4),MID(X926,5,2),RIGHT(X926,2)),IFERROR(DATEVALUE(SUBSTITUTE(SUBSTITUTE(X926,".","-"),"/","-")),IFERROR(X926*1,""))))</f>
        <v/>
      </c>
      <c r="M926" s="6">
        <f>IF(Y926="","",IF(AND(LEN(Y926)=8,ISNUMBER(Y926*1)),DATE(LEFT(Y926,4),MID(Y926,5,2),RIGHT(Y926,2)),IFERROR(DATEVALUE(SUBSTITUTE(SUBSTITUTE(Y926,".","-"),"/","-")),IFERROR(Y926*1,""))))</f>
        <v/>
      </c>
      <c r="N926">
        <f>IFERROR(LEFT(B926,FIND(" ",B926)-1),B926)</f>
        <v/>
      </c>
      <c r="O926">
        <f>AND(B926&lt;&gt;"",B926&lt;&gt;설정!$B$4,C926&lt;&gt;설정!$B$5)</f>
        <v/>
      </c>
      <c r="P926">
        <f>IF(O926,B926&amp;"|"&amp;C926,"")</f>
        <v/>
      </c>
      <c r="Q926">
        <f>AND(O926,COUNTIF(P927:P$1002,P926)=0)</f>
        <v/>
      </c>
      <c r="R926">
        <f>OR(AND(설정!$A$28&lt;&gt;"",ISNUMBER(SEARCH(설정!$A$28,E926&amp;" "&amp;C926))),AND(설정!$A$29&lt;&gt;"",ISNUMBER(SEARCH(설정!$A$29,E926&amp;" "&amp;C926))),AND(설정!$A$30&lt;&gt;"",ISNUMBER(SEARCH(설정!$A$30,E926&amp;" "&amp;C926))),AND(설정!$A$31&lt;&gt;"",ISNUMBER(SEARCH(설정!$A$31,E926&amp;" "&amp;C926))),AND(설정!$A$32&lt;&gt;"",ISNUMBER(SEARCH(설정!$A$32,E926&amp;" "&amp;C926))),AND(설정!$A$33&lt;&gt;"",ISNUMBER(SEARCH(설정!$A$33,E926&amp;" "&amp;C926))),AND(설정!$A$34&lt;&gt;"",ISNUMBER(SEARCH(설정!$A$34,E926&amp;" "&amp;C926))),AND(설정!$A$35&lt;&gt;"",ISNUMBER(SEARCH(설정!$A$35,E926&amp;" "&amp;C926))),AND(설정!$A$36&lt;&gt;"",ISNUMBER(SEARCH(설정!$A$36,E926&amp;" "&amp;C926))),AND(설정!$A$37&lt;&gt;"",ISNUMBER(SEARCH(설정!$A$37,E926&amp;" "&amp;C926))))</f>
        <v/>
      </c>
      <c r="S926">
        <f>OR(D926="",D926&gt;=설정!$B$19)</f>
        <v/>
      </c>
      <c r="T926">
        <f>AND(Q926,R926,S926)</f>
        <v/>
      </c>
      <c r="U926">
        <f>IF(T926,IF(AND(설정!$A$41&lt;&gt;"",ISNUMBER(SEARCH(설정!$A$41,K926))),설정!$B$41,IF(AND(설정!$A$42&lt;&gt;"",ISNUMBER(SEARCH(설정!$A$42,K926))),설정!$B$42,IF(AND(설정!$A$43&lt;&gt;"",ISNUMBER(SEARCH(설정!$A$43,K926))),설정!$B$43,IF(AND(설정!$A$44&lt;&gt;"",ISNUMBER(SEARCH(설정!$A$44,K926))),설정!$B$44,IF(AND(설정!$A$45&lt;&gt;"",ISNUMBER(SEARCH(설정!$A$45,K926))),설정!$B$45,IF(AND(설정!$A$46&lt;&gt;"",ISNUMBER(SEARCH(설정!$A$46,K926))),설정!$B$46,IF(AND(설정!$A$47&lt;&gt;"",ISNUMBER(SEARCH(설정!$A$47,K926))),설정!$B$47,IF(AND(설정!$A$48&lt;&gt;"",ISNUMBER(SEARCH(설정!$A$48,K926))),설정!$B$48,IF(M926="","설계사","시공사"))))))))),"")</f>
        <v/>
      </c>
      <c r="V926">
        <f>SUBSTITUTE(SUBSTITUTE(SUBSTITUTE(SUBSTITUTE(G926,"(주)",""),"㈜",""),"주식회사","")," ","")</f>
        <v/>
      </c>
      <c r="W926">
        <f>IF(AND(T926,V926&lt;&gt;""),IF(COUNTIFS(V$2:V926,V926,T$2:T926,TRUE)=1,MAX(W$1:W925)+1,""),"")</f>
        <v/>
      </c>
      <c r="X926">
        <f>IFERROR(INDEX('1.산군_붙여넣기'!$A$1:$AZ$1001,ROW(),설정!$C$14)&amp;"","")</f>
        <v/>
      </c>
      <c r="Y926">
        <f>IFERROR(INDEX('1.산군_붙여넣기'!$A$1:$AZ$1001,ROW(),설정!$C$15)&amp;"","")</f>
        <v/>
      </c>
      <c r="Z926">
        <f>IF(T926,V926&amp;"|"&amp;U926,"")</f>
        <v/>
      </c>
    </row>
    <row r="927">
      <c r="A927">
        <f>ROW()</f>
        <v/>
      </c>
      <c r="B927">
        <f>IFERROR(INDEX('1.산군_붙여넣기'!$A$1:$AZ$1001,ROW(),설정!$C$4)&amp;"","")</f>
        <v/>
      </c>
      <c r="C927">
        <f>IFERROR(INDEX('1.산군_붙여넣기'!$A$1:$AZ$1001,ROW(),설정!$C$5)&amp;"","")</f>
        <v/>
      </c>
      <c r="D927" s="5">
        <f>IFERROR(VALUE(SUBSTITUTE(SUBSTITUTE(SUBSTITUTE(IFERROR(INDEX('1.산군_붙여넣기'!$A$1:$AZ$1001,ROW(),설정!$C$6)&amp;"",""),",",""),"㎡",""),"m2","")),"")</f>
        <v/>
      </c>
      <c r="E927">
        <f>IFERROR(INDEX('1.산군_붙여넣기'!$A$1:$AZ$1001,ROW(),설정!$C$7)&amp;"","")</f>
        <v/>
      </c>
      <c r="F927">
        <f>IFERROR(INDEX('1.산군_붙여넣기'!$A$1:$AZ$1001,ROW(),설정!$C$8)&amp;"","")</f>
        <v/>
      </c>
      <c r="G927">
        <f>IFERROR(INDEX('1.산군_붙여넣기'!$A$1:$AZ$1001,ROW(),설정!$C$9)&amp;"","")</f>
        <v/>
      </c>
      <c r="H927">
        <f>IFERROR(INDEX('1.산군_붙여넣기'!$A$1:$AZ$1001,ROW(),설정!$C$10)&amp;"","")</f>
        <v/>
      </c>
      <c r="I927">
        <f>IFERROR(INDEX('1.산군_붙여넣기'!$A$1:$AZ$1001,ROW(),설정!$C$11)&amp;"","")</f>
        <v/>
      </c>
      <c r="J927">
        <f>IFERROR(INDEX('1.산군_붙여넣기'!$A$1:$AZ$1001,ROW(),설정!$C$12)&amp;"","")</f>
        <v/>
      </c>
      <c r="K927">
        <f>IFERROR(INDEX('1.산군_붙여넣기'!$A$1:$AZ$1001,ROW(),설정!$C$13)&amp;"","")</f>
        <v/>
      </c>
      <c r="L927" s="6">
        <f>IF(X927="","",IF(AND(LEN(X927)=8,ISNUMBER(X927*1)),DATE(LEFT(X927,4),MID(X927,5,2),RIGHT(X927,2)),IFERROR(DATEVALUE(SUBSTITUTE(SUBSTITUTE(X927,".","-"),"/","-")),IFERROR(X927*1,""))))</f>
        <v/>
      </c>
      <c r="M927" s="6">
        <f>IF(Y927="","",IF(AND(LEN(Y927)=8,ISNUMBER(Y927*1)),DATE(LEFT(Y927,4),MID(Y927,5,2),RIGHT(Y927,2)),IFERROR(DATEVALUE(SUBSTITUTE(SUBSTITUTE(Y927,".","-"),"/","-")),IFERROR(Y927*1,""))))</f>
        <v/>
      </c>
      <c r="N927">
        <f>IFERROR(LEFT(B927,FIND(" ",B927)-1),B927)</f>
        <v/>
      </c>
      <c r="O927">
        <f>AND(B927&lt;&gt;"",B927&lt;&gt;설정!$B$4,C927&lt;&gt;설정!$B$5)</f>
        <v/>
      </c>
      <c r="P927">
        <f>IF(O927,B927&amp;"|"&amp;C927,"")</f>
        <v/>
      </c>
      <c r="Q927">
        <f>AND(O927,COUNTIF(P928:P$1002,P927)=0)</f>
        <v/>
      </c>
      <c r="R927">
        <f>OR(AND(설정!$A$28&lt;&gt;"",ISNUMBER(SEARCH(설정!$A$28,E927&amp;" "&amp;C927))),AND(설정!$A$29&lt;&gt;"",ISNUMBER(SEARCH(설정!$A$29,E927&amp;" "&amp;C927))),AND(설정!$A$30&lt;&gt;"",ISNUMBER(SEARCH(설정!$A$30,E927&amp;" "&amp;C927))),AND(설정!$A$31&lt;&gt;"",ISNUMBER(SEARCH(설정!$A$31,E927&amp;" "&amp;C927))),AND(설정!$A$32&lt;&gt;"",ISNUMBER(SEARCH(설정!$A$32,E927&amp;" "&amp;C927))),AND(설정!$A$33&lt;&gt;"",ISNUMBER(SEARCH(설정!$A$33,E927&amp;" "&amp;C927))),AND(설정!$A$34&lt;&gt;"",ISNUMBER(SEARCH(설정!$A$34,E927&amp;" "&amp;C927))),AND(설정!$A$35&lt;&gt;"",ISNUMBER(SEARCH(설정!$A$35,E927&amp;" "&amp;C927))),AND(설정!$A$36&lt;&gt;"",ISNUMBER(SEARCH(설정!$A$36,E927&amp;" "&amp;C927))),AND(설정!$A$37&lt;&gt;"",ISNUMBER(SEARCH(설정!$A$37,E927&amp;" "&amp;C927))))</f>
        <v/>
      </c>
      <c r="S927">
        <f>OR(D927="",D927&gt;=설정!$B$19)</f>
        <v/>
      </c>
      <c r="T927">
        <f>AND(Q927,R927,S927)</f>
        <v/>
      </c>
      <c r="U927">
        <f>IF(T927,IF(AND(설정!$A$41&lt;&gt;"",ISNUMBER(SEARCH(설정!$A$41,K927))),설정!$B$41,IF(AND(설정!$A$42&lt;&gt;"",ISNUMBER(SEARCH(설정!$A$42,K927))),설정!$B$42,IF(AND(설정!$A$43&lt;&gt;"",ISNUMBER(SEARCH(설정!$A$43,K927))),설정!$B$43,IF(AND(설정!$A$44&lt;&gt;"",ISNUMBER(SEARCH(설정!$A$44,K927))),설정!$B$44,IF(AND(설정!$A$45&lt;&gt;"",ISNUMBER(SEARCH(설정!$A$45,K927))),설정!$B$45,IF(AND(설정!$A$46&lt;&gt;"",ISNUMBER(SEARCH(설정!$A$46,K927))),설정!$B$46,IF(AND(설정!$A$47&lt;&gt;"",ISNUMBER(SEARCH(설정!$A$47,K927))),설정!$B$47,IF(AND(설정!$A$48&lt;&gt;"",ISNUMBER(SEARCH(설정!$A$48,K927))),설정!$B$48,IF(M927="","설계사","시공사"))))))))),"")</f>
        <v/>
      </c>
      <c r="V927">
        <f>SUBSTITUTE(SUBSTITUTE(SUBSTITUTE(SUBSTITUTE(G927,"(주)",""),"㈜",""),"주식회사","")," ","")</f>
        <v/>
      </c>
      <c r="W927">
        <f>IF(AND(T927,V927&lt;&gt;""),IF(COUNTIFS(V$2:V927,V927,T$2:T927,TRUE)=1,MAX(W$1:W926)+1,""),"")</f>
        <v/>
      </c>
      <c r="X927">
        <f>IFERROR(INDEX('1.산군_붙여넣기'!$A$1:$AZ$1001,ROW(),설정!$C$14)&amp;"","")</f>
        <v/>
      </c>
      <c r="Y927">
        <f>IFERROR(INDEX('1.산군_붙여넣기'!$A$1:$AZ$1001,ROW(),설정!$C$15)&amp;"","")</f>
        <v/>
      </c>
      <c r="Z927">
        <f>IF(T927,V927&amp;"|"&amp;U927,"")</f>
        <v/>
      </c>
    </row>
    <row r="928">
      <c r="A928">
        <f>ROW()</f>
        <v/>
      </c>
      <c r="B928">
        <f>IFERROR(INDEX('1.산군_붙여넣기'!$A$1:$AZ$1001,ROW(),설정!$C$4)&amp;"","")</f>
        <v/>
      </c>
      <c r="C928">
        <f>IFERROR(INDEX('1.산군_붙여넣기'!$A$1:$AZ$1001,ROW(),설정!$C$5)&amp;"","")</f>
        <v/>
      </c>
      <c r="D928" s="5">
        <f>IFERROR(VALUE(SUBSTITUTE(SUBSTITUTE(SUBSTITUTE(IFERROR(INDEX('1.산군_붙여넣기'!$A$1:$AZ$1001,ROW(),설정!$C$6)&amp;"",""),",",""),"㎡",""),"m2","")),"")</f>
        <v/>
      </c>
      <c r="E928">
        <f>IFERROR(INDEX('1.산군_붙여넣기'!$A$1:$AZ$1001,ROW(),설정!$C$7)&amp;"","")</f>
        <v/>
      </c>
      <c r="F928">
        <f>IFERROR(INDEX('1.산군_붙여넣기'!$A$1:$AZ$1001,ROW(),설정!$C$8)&amp;"","")</f>
        <v/>
      </c>
      <c r="G928">
        <f>IFERROR(INDEX('1.산군_붙여넣기'!$A$1:$AZ$1001,ROW(),설정!$C$9)&amp;"","")</f>
        <v/>
      </c>
      <c r="H928">
        <f>IFERROR(INDEX('1.산군_붙여넣기'!$A$1:$AZ$1001,ROW(),설정!$C$10)&amp;"","")</f>
        <v/>
      </c>
      <c r="I928">
        <f>IFERROR(INDEX('1.산군_붙여넣기'!$A$1:$AZ$1001,ROW(),설정!$C$11)&amp;"","")</f>
        <v/>
      </c>
      <c r="J928">
        <f>IFERROR(INDEX('1.산군_붙여넣기'!$A$1:$AZ$1001,ROW(),설정!$C$12)&amp;"","")</f>
        <v/>
      </c>
      <c r="K928">
        <f>IFERROR(INDEX('1.산군_붙여넣기'!$A$1:$AZ$1001,ROW(),설정!$C$13)&amp;"","")</f>
        <v/>
      </c>
      <c r="L928" s="6">
        <f>IF(X928="","",IF(AND(LEN(X928)=8,ISNUMBER(X928*1)),DATE(LEFT(X928,4),MID(X928,5,2),RIGHT(X928,2)),IFERROR(DATEVALUE(SUBSTITUTE(SUBSTITUTE(X928,".","-"),"/","-")),IFERROR(X928*1,""))))</f>
        <v/>
      </c>
      <c r="M928" s="6">
        <f>IF(Y928="","",IF(AND(LEN(Y928)=8,ISNUMBER(Y928*1)),DATE(LEFT(Y928,4),MID(Y928,5,2),RIGHT(Y928,2)),IFERROR(DATEVALUE(SUBSTITUTE(SUBSTITUTE(Y928,".","-"),"/","-")),IFERROR(Y928*1,""))))</f>
        <v/>
      </c>
      <c r="N928">
        <f>IFERROR(LEFT(B928,FIND(" ",B928)-1),B928)</f>
        <v/>
      </c>
      <c r="O928">
        <f>AND(B928&lt;&gt;"",B928&lt;&gt;설정!$B$4,C928&lt;&gt;설정!$B$5)</f>
        <v/>
      </c>
      <c r="P928">
        <f>IF(O928,B928&amp;"|"&amp;C928,"")</f>
        <v/>
      </c>
      <c r="Q928">
        <f>AND(O928,COUNTIF(P929:P$1002,P928)=0)</f>
        <v/>
      </c>
      <c r="R928">
        <f>OR(AND(설정!$A$28&lt;&gt;"",ISNUMBER(SEARCH(설정!$A$28,E928&amp;" "&amp;C928))),AND(설정!$A$29&lt;&gt;"",ISNUMBER(SEARCH(설정!$A$29,E928&amp;" "&amp;C928))),AND(설정!$A$30&lt;&gt;"",ISNUMBER(SEARCH(설정!$A$30,E928&amp;" "&amp;C928))),AND(설정!$A$31&lt;&gt;"",ISNUMBER(SEARCH(설정!$A$31,E928&amp;" "&amp;C928))),AND(설정!$A$32&lt;&gt;"",ISNUMBER(SEARCH(설정!$A$32,E928&amp;" "&amp;C928))),AND(설정!$A$33&lt;&gt;"",ISNUMBER(SEARCH(설정!$A$33,E928&amp;" "&amp;C928))),AND(설정!$A$34&lt;&gt;"",ISNUMBER(SEARCH(설정!$A$34,E928&amp;" "&amp;C928))),AND(설정!$A$35&lt;&gt;"",ISNUMBER(SEARCH(설정!$A$35,E928&amp;" "&amp;C928))),AND(설정!$A$36&lt;&gt;"",ISNUMBER(SEARCH(설정!$A$36,E928&amp;" "&amp;C928))),AND(설정!$A$37&lt;&gt;"",ISNUMBER(SEARCH(설정!$A$37,E928&amp;" "&amp;C928))))</f>
        <v/>
      </c>
      <c r="S928">
        <f>OR(D928="",D928&gt;=설정!$B$19)</f>
        <v/>
      </c>
      <c r="T928">
        <f>AND(Q928,R928,S928)</f>
        <v/>
      </c>
      <c r="U928">
        <f>IF(T928,IF(AND(설정!$A$41&lt;&gt;"",ISNUMBER(SEARCH(설정!$A$41,K928))),설정!$B$41,IF(AND(설정!$A$42&lt;&gt;"",ISNUMBER(SEARCH(설정!$A$42,K928))),설정!$B$42,IF(AND(설정!$A$43&lt;&gt;"",ISNUMBER(SEARCH(설정!$A$43,K928))),설정!$B$43,IF(AND(설정!$A$44&lt;&gt;"",ISNUMBER(SEARCH(설정!$A$44,K928))),설정!$B$44,IF(AND(설정!$A$45&lt;&gt;"",ISNUMBER(SEARCH(설정!$A$45,K928))),설정!$B$45,IF(AND(설정!$A$46&lt;&gt;"",ISNUMBER(SEARCH(설정!$A$46,K928))),설정!$B$46,IF(AND(설정!$A$47&lt;&gt;"",ISNUMBER(SEARCH(설정!$A$47,K928))),설정!$B$47,IF(AND(설정!$A$48&lt;&gt;"",ISNUMBER(SEARCH(설정!$A$48,K928))),설정!$B$48,IF(M928="","설계사","시공사"))))))))),"")</f>
        <v/>
      </c>
      <c r="V928">
        <f>SUBSTITUTE(SUBSTITUTE(SUBSTITUTE(SUBSTITUTE(G928,"(주)",""),"㈜",""),"주식회사","")," ","")</f>
        <v/>
      </c>
      <c r="W928">
        <f>IF(AND(T928,V928&lt;&gt;""),IF(COUNTIFS(V$2:V928,V928,T$2:T928,TRUE)=1,MAX(W$1:W927)+1,""),"")</f>
        <v/>
      </c>
      <c r="X928">
        <f>IFERROR(INDEX('1.산군_붙여넣기'!$A$1:$AZ$1001,ROW(),설정!$C$14)&amp;"","")</f>
        <v/>
      </c>
      <c r="Y928">
        <f>IFERROR(INDEX('1.산군_붙여넣기'!$A$1:$AZ$1001,ROW(),설정!$C$15)&amp;"","")</f>
        <v/>
      </c>
      <c r="Z928">
        <f>IF(T928,V928&amp;"|"&amp;U928,"")</f>
        <v/>
      </c>
    </row>
    <row r="929">
      <c r="A929">
        <f>ROW()</f>
        <v/>
      </c>
      <c r="B929">
        <f>IFERROR(INDEX('1.산군_붙여넣기'!$A$1:$AZ$1001,ROW(),설정!$C$4)&amp;"","")</f>
        <v/>
      </c>
      <c r="C929">
        <f>IFERROR(INDEX('1.산군_붙여넣기'!$A$1:$AZ$1001,ROW(),설정!$C$5)&amp;"","")</f>
        <v/>
      </c>
      <c r="D929" s="5">
        <f>IFERROR(VALUE(SUBSTITUTE(SUBSTITUTE(SUBSTITUTE(IFERROR(INDEX('1.산군_붙여넣기'!$A$1:$AZ$1001,ROW(),설정!$C$6)&amp;"",""),",",""),"㎡",""),"m2","")),"")</f>
        <v/>
      </c>
      <c r="E929">
        <f>IFERROR(INDEX('1.산군_붙여넣기'!$A$1:$AZ$1001,ROW(),설정!$C$7)&amp;"","")</f>
        <v/>
      </c>
      <c r="F929">
        <f>IFERROR(INDEX('1.산군_붙여넣기'!$A$1:$AZ$1001,ROW(),설정!$C$8)&amp;"","")</f>
        <v/>
      </c>
      <c r="G929">
        <f>IFERROR(INDEX('1.산군_붙여넣기'!$A$1:$AZ$1001,ROW(),설정!$C$9)&amp;"","")</f>
        <v/>
      </c>
      <c r="H929">
        <f>IFERROR(INDEX('1.산군_붙여넣기'!$A$1:$AZ$1001,ROW(),설정!$C$10)&amp;"","")</f>
        <v/>
      </c>
      <c r="I929">
        <f>IFERROR(INDEX('1.산군_붙여넣기'!$A$1:$AZ$1001,ROW(),설정!$C$11)&amp;"","")</f>
        <v/>
      </c>
      <c r="J929">
        <f>IFERROR(INDEX('1.산군_붙여넣기'!$A$1:$AZ$1001,ROW(),설정!$C$12)&amp;"","")</f>
        <v/>
      </c>
      <c r="K929">
        <f>IFERROR(INDEX('1.산군_붙여넣기'!$A$1:$AZ$1001,ROW(),설정!$C$13)&amp;"","")</f>
        <v/>
      </c>
      <c r="L929" s="6">
        <f>IF(X929="","",IF(AND(LEN(X929)=8,ISNUMBER(X929*1)),DATE(LEFT(X929,4),MID(X929,5,2),RIGHT(X929,2)),IFERROR(DATEVALUE(SUBSTITUTE(SUBSTITUTE(X929,".","-"),"/","-")),IFERROR(X929*1,""))))</f>
        <v/>
      </c>
      <c r="M929" s="6">
        <f>IF(Y929="","",IF(AND(LEN(Y929)=8,ISNUMBER(Y929*1)),DATE(LEFT(Y929,4),MID(Y929,5,2),RIGHT(Y929,2)),IFERROR(DATEVALUE(SUBSTITUTE(SUBSTITUTE(Y929,".","-"),"/","-")),IFERROR(Y929*1,""))))</f>
        <v/>
      </c>
      <c r="N929">
        <f>IFERROR(LEFT(B929,FIND(" ",B929)-1),B929)</f>
        <v/>
      </c>
      <c r="O929">
        <f>AND(B929&lt;&gt;"",B929&lt;&gt;설정!$B$4,C929&lt;&gt;설정!$B$5)</f>
        <v/>
      </c>
      <c r="P929">
        <f>IF(O929,B929&amp;"|"&amp;C929,"")</f>
        <v/>
      </c>
      <c r="Q929">
        <f>AND(O929,COUNTIF(P930:P$1002,P929)=0)</f>
        <v/>
      </c>
      <c r="R929">
        <f>OR(AND(설정!$A$28&lt;&gt;"",ISNUMBER(SEARCH(설정!$A$28,E929&amp;" "&amp;C929))),AND(설정!$A$29&lt;&gt;"",ISNUMBER(SEARCH(설정!$A$29,E929&amp;" "&amp;C929))),AND(설정!$A$30&lt;&gt;"",ISNUMBER(SEARCH(설정!$A$30,E929&amp;" "&amp;C929))),AND(설정!$A$31&lt;&gt;"",ISNUMBER(SEARCH(설정!$A$31,E929&amp;" "&amp;C929))),AND(설정!$A$32&lt;&gt;"",ISNUMBER(SEARCH(설정!$A$32,E929&amp;" "&amp;C929))),AND(설정!$A$33&lt;&gt;"",ISNUMBER(SEARCH(설정!$A$33,E929&amp;" "&amp;C929))),AND(설정!$A$34&lt;&gt;"",ISNUMBER(SEARCH(설정!$A$34,E929&amp;" "&amp;C929))),AND(설정!$A$35&lt;&gt;"",ISNUMBER(SEARCH(설정!$A$35,E929&amp;" "&amp;C929))),AND(설정!$A$36&lt;&gt;"",ISNUMBER(SEARCH(설정!$A$36,E929&amp;" "&amp;C929))),AND(설정!$A$37&lt;&gt;"",ISNUMBER(SEARCH(설정!$A$37,E929&amp;" "&amp;C929))))</f>
        <v/>
      </c>
      <c r="S929">
        <f>OR(D929="",D929&gt;=설정!$B$19)</f>
        <v/>
      </c>
      <c r="T929">
        <f>AND(Q929,R929,S929)</f>
        <v/>
      </c>
      <c r="U929">
        <f>IF(T929,IF(AND(설정!$A$41&lt;&gt;"",ISNUMBER(SEARCH(설정!$A$41,K929))),설정!$B$41,IF(AND(설정!$A$42&lt;&gt;"",ISNUMBER(SEARCH(설정!$A$42,K929))),설정!$B$42,IF(AND(설정!$A$43&lt;&gt;"",ISNUMBER(SEARCH(설정!$A$43,K929))),설정!$B$43,IF(AND(설정!$A$44&lt;&gt;"",ISNUMBER(SEARCH(설정!$A$44,K929))),설정!$B$44,IF(AND(설정!$A$45&lt;&gt;"",ISNUMBER(SEARCH(설정!$A$45,K929))),설정!$B$45,IF(AND(설정!$A$46&lt;&gt;"",ISNUMBER(SEARCH(설정!$A$46,K929))),설정!$B$46,IF(AND(설정!$A$47&lt;&gt;"",ISNUMBER(SEARCH(설정!$A$47,K929))),설정!$B$47,IF(AND(설정!$A$48&lt;&gt;"",ISNUMBER(SEARCH(설정!$A$48,K929))),설정!$B$48,IF(M929="","설계사","시공사"))))))))),"")</f>
        <v/>
      </c>
      <c r="V929">
        <f>SUBSTITUTE(SUBSTITUTE(SUBSTITUTE(SUBSTITUTE(G929,"(주)",""),"㈜",""),"주식회사","")," ","")</f>
        <v/>
      </c>
      <c r="W929">
        <f>IF(AND(T929,V929&lt;&gt;""),IF(COUNTIFS(V$2:V929,V929,T$2:T929,TRUE)=1,MAX(W$1:W928)+1,""),"")</f>
        <v/>
      </c>
      <c r="X929">
        <f>IFERROR(INDEX('1.산군_붙여넣기'!$A$1:$AZ$1001,ROW(),설정!$C$14)&amp;"","")</f>
        <v/>
      </c>
      <c r="Y929">
        <f>IFERROR(INDEX('1.산군_붙여넣기'!$A$1:$AZ$1001,ROW(),설정!$C$15)&amp;"","")</f>
        <v/>
      </c>
      <c r="Z929">
        <f>IF(T929,V929&amp;"|"&amp;U929,"")</f>
        <v/>
      </c>
    </row>
    <row r="930">
      <c r="A930">
        <f>ROW()</f>
        <v/>
      </c>
      <c r="B930">
        <f>IFERROR(INDEX('1.산군_붙여넣기'!$A$1:$AZ$1001,ROW(),설정!$C$4)&amp;"","")</f>
        <v/>
      </c>
      <c r="C930">
        <f>IFERROR(INDEX('1.산군_붙여넣기'!$A$1:$AZ$1001,ROW(),설정!$C$5)&amp;"","")</f>
        <v/>
      </c>
      <c r="D930" s="5">
        <f>IFERROR(VALUE(SUBSTITUTE(SUBSTITUTE(SUBSTITUTE(IFERROR(INDEX('1.산군_붙여넣기'!$A$1:$AZ$1001,ROW(),설정!$C$6)&amp;"",""),",",""),"㎡",""),"m2","")),"")</f>
        <v/>
      </c>
      <c r="E930">
        <f>IFERROR(INDEX('1.산군_붙여넣기'!$A$1:$AZ$1001,ROW(),설정!$C$7)&amp;"","")</f>
        <v/>
      </c>
      <c r="F930">
        <f>IFERROR(INDEX('1.산군_붙여넣기'!$A$1:$AZ$1001,ROW(),설정!$C$8)&amp;"","")</f>
        <v/>
      </c>
      <c r="G930">
        <f>IFERROR(INDEX('1.산군_붙여넣기'!$A$1:$AZ$1001,ROW(),설정!$C$9)&amp;"","")</f>
        <v/>
      </c>
      <c r="H930">
        <f>IFERROR(INDEX('1.산군_붙여넣기'!$A$1:$AZ$1001,ROW(),설정!$C$10)&amp;"","")</f>
        <v/>
      </c>
      <c r="I930">
        <f>IFERROR(INDEX('1.산군_붙여넣기'!$A$1:$AZ$1001,ROW(),설정!$C$11)&amp;"","")</f>
        <v/>
      </c>
      <c r="J930">
        <f>IFERROR(INDEX('1.산군_붙여넣기'!$A$1:$AZ$1001,ROW(),설정!$C$12)&amp;"","")</f>
        <v/>
      </c>
      <c r="K930">
        <f>IFERROR(INDEX('1.산군_붙여넣기'!$A$1:$AZ$1001,ROW(),설정!$C$13)&amp;"","")</f>
        <v/>
      </c>
      <c r="L930" s="6">
        <f>IF(X930="","",IF(AND(LEN(X930)=8,ISNUMBER(X930*1)),DATE(LEFT(X930,4),MID(X930,5,2),RIGHT(X930,2)),IFERROR(DATEVALUE(SUBSTITUTE(SUBSTITUTE(X930,".","-"),"/","-")),IFERROR(X930*1,""))))</f>
        <v/>
      </c>
      <c r="M930" s="6">
        <f>IF(Y930="","",IF(AND(LEN(Y930)=8,ISNUMBER(Y930*1)),DATE(LEFT(Y930,4),MID(Y930,5,2),RIGHT(Y930,2)),IFERROR(DATEVALUE(SUBSTITUTE(SUBSTITUTE(Y930,".","-"),"/","-")),IFERROR(Y930*1,""))))</f>
        <v/>
      </c>
      <c r="N930">
        <f>IFERROR(LEFT(B930,FIND(" ",B930)-1),B930)</f>
        <v/>
      </c>
      <c r="O930">
        <f>AND(B930&lt;&gt;"",B930&lt;&gt;설정!$B$4,C930&lt;&gt;설정!$B$5)</f>
        <v/>
      </c>
      <c r="P930">
        <f>IF(O930,B930&amp;"|"&amp;C930,"")</f>
        <v/>
      </c>
      <c r="Q930">
        <f>AND(O930,COUNTIF(P931:P$1002,P930)=0)</f>
        <v/>
      </c>
      <c r="R930">
        <f>OR(AND(설정!$A$28&lt;&gt;"",ISNUMBER(SEARCH(설정!$A$28,E930&amp;" "&amp;C930))),AND(설정!$A$29&lt;&gt;"",ISNUMBER(SEARCH(설정!$A$29,E930&amp;" "&amp;C930))),AND(설정!$A$30&lt;&gt;"",ISNUMBER(SEARCH(설정!$A$30,E930&amp;" "&amp;C930))),AND(설정!$A$31&lt;&gt;"",ISNUMBER(SEARCH(설정!$A$31,E930&amp;" "&amp;C930))),AND(설정!$A$32&lt;&gt;"",ISNUMBER(SEARCH(설정!$A$32,E930&amp;" "&amp;C930))),AND(설정!$A$33&lt;&gt;"",ISNUMBER(SEARCH(설정!$A$33,E930&amp;" "&amp;C930))),AND(설정!$A$34&lt;&gt;"",ISNUMBER(SEARCH(설정!$A$34,E930&amp;" "&amp;C930))),AND(설정!$A$35&lt;&gt;"",ISNUMBER(SEARCH(설정!$A$35,E930&amp;" "&amp;C930))),AND(설정!$A$36&lt;&gt;"",ISNUMBER(SEARCH(설정!$A$36,E930&amp;" "&amp;C930))),AND(설정!$A$37&lt;&gt;"",ISNUMBER(SEARCH(설정!$A$37,E930&amp;" "&amp;C930))))</f>
        <v/>
      </c>
      <c r="S930">
        <f>OR(D930="",D930&gt;=설정!$B$19)</f>
        <v/>
      </c>
      <c r="T930">
        <f>AND(Q930,R930,S930)</f>
        <v/>
      </c>
      <c r="U930">
        <f>IF(T930,IF(AND(설정!$A$41&lt;&gt;"",ISNUMBER(SEARCH(설정!$A$41,K930))),설정!$B$41,IF(AND(설정!$A$42&lt;&gt;"",ISNUMBER(SEARCH(설정!$A$42,K930))),설정!$B$42,IF(AND(설정!$A$43&lt;&gt;"",ISNUMBER(SEARCH(설정!$A$43,K930))),설정!$B$43,IF(AND(설정!$A$44&lt;&gt;"",ISNUMBER(SEARCH(설정!$A$44,K930))),설정!$B$44,IF(AND(설정!$A$45&lt;&gt;"",ISNUMBER(SEARCH(설정!$A$45,K930))),설정!$B$45,IF(AND(설정!$A$46&lt;&gt;"",ISNUMBER(SEARCH(설정!$A$46,K930))),설정!$B$46,IF(AND(설정!$A$47&lt;&gt;"",ISNUMBER(SEARCH(설정!$A$47,K930))),설정!$B$47,IF(AND(설정!$A$48&lt;&gt;"",ISNUMBER(SEARCH(설정!$A$48,K930))),설정!$B$48,IF(M930="","설계사","시공사"))))))))),"")</f>
        <v/>
      </c>
      <c r="V930">
        <f>SUBSTITUTE(SUBSTITUTE(SUBSTITUTE(SUBSTITUTE(G930,"(주)",""),"㈜",""),"주식회사","")," ","")</f>
        <v/>
      </c>
      <c r="W930">
        <f>IF(AND(T930,V930&lt;&gt;""),IF(COUNTIFS(V$2:V930,V930,T$2:T930,TRUE)=1,MAX(W$1:W929)+1,""),"")</f>
        <v/>
      </c>
      <c r="X930">
        <f>IFERROR(INDEX('1.산군_붙여넣기'!$A$1:$AZ$1001,ROW(),설정!$C$14)&amp;"","")</f>
        <v/>
      </c>
      <c r="Y930">
        <f>IFERROR(INDEX('1.산군_붙여넣기'!$A$1:$AZ$1001,ROW(),설정!$C$15)&amp;"","")</f>
        <v/>
      </c>
      <c r="Z930">
        <f>IF(T930,V930&amp;"|"&amp;U930,"")</f>
        <v/>
      </c>
    </row>
    <row r="931">
      <c r="A931">
        <f>ROW()</f>
        <v/>
      </c>
      <c r="B931">
        <f>IFERROR(INDEX('1.산군_붙여넣기'!$A$1:$AZ$1001,ROW(),설정!$C$4)&amp;"","")</f>
        <v/>
      </c>
      <c r="C931">
        <f>IFERROR(INDEX('1.산군_붙여넣기'!$A$1:$AZ$1001,ROW(),설정!$C$5)&amp;"","")</f>
        <v/>
      </c>
      <c r="D931" s="5">
        <f>IFERROR(VALUE(SUBSTITUTE(SUBSTITUTE(SUBSTITUTE(IFERROR(INDEX('1.산군_붙여넣기'!$A$1:$AZ$1001,ROW(),설정!$C$6)&amp;"",""),",",""),"㎡",""),"m2","")),"")</f>
        <v/>
      </c>
      <c r="E931">
        <f>IFERROR(INDEX('1.산군_붙여넣기'!$A$1:$AZ$1001,ROW(),설정!$C$7)&amp;"","")</f>
        <v/>
      </c>
      <c r="F931">
        <f>IFERROR(INDEX('1.산군_붙여넣기'!$A$1:$AZ$1001,ROW(),설정!$C$8)&amp;"","")</f>
        <v/>
      </c>
      <c r="G931">
        <f>IFERROR(INDEX('1.산군_붙여넣기'!$A$1:$AZ$1001,ROW(),설정!$C$9)&amp;"","")</f>
        <v/>
      </c>
      <c r="H931">
        <f>IFERROR(INDEX('1.산군_붙여넣기'!$A$1:$AZ$1001,ROW(),설정!$C$10)&amp;"","")</f>
        <v/>
      </c>
      <c r="I931">
        <f>IFERROR(INDEX('1.산군_붙여넣기'!$A$1:$AZ$1001,ROW(),설정!$C$11)&amp;"","")</f>
        <v/>
      </c>
      <c r="J931">
        <f>IFERROR(INDEX('1.산군_붙여넣기'!$A$1:$AZ$1001,ROW(),설정!$C$12)&amp;"","")</f>
        <v/>
      </c>
      <c r="K931">
        <f>IFERROR(INDEX('1.산군_붙여넣기'!$A$1:$AZ$1001,ROW(),설정!$C$13)&amp;"","")</f>
        <v/>
      </c>
      <c r="L931" s="6">
        <f>IF(X931="","",IF(AND(LEN(X931)=8,ISNUMBER(X931*1)),DATE(LEFT(X931,4),MID(X931,5,2),RIGHT(X931,2)),IFERROR(DATEVALUE(SUBSTITUTE(SUBSTITUTE(X931,".","-"),"/","-")),IFERROR(X931*1,""))))</f>
        <v/>
      </c>
      <c r="M931" s="6">
        <f>IF(Y931="","",IF(AND(LEN(Y931)=8,ISNUMBER(Y931*1)),DATE(LEFT(Y931,4),MID(Y931,5,2),RIGHT(Y931,2)),IFERROR(DATEVALUE(SUBSTITUTE(SUBSTITUTE(Y931,".","-"),"/","-")),IFERROR(Y931*1,""))))</f>
        <v/>
      </c>
      <c r="N931">
        <f>IFERROR(LEFT(B931,FIND(" ",B931)-1),B931)</f>
        <v/>
      </c>
      <c r="O931">
        <f>AND(B931&lt;&gt;"",B931&lt;&gt;설정!$B$4,C931&lt;&gt;설정!$B$5)</f>
        <v/>
      </c>
      <c r="P931">
        <f>IF(O931,B931&amp;"|"&amp;C931,"")</f>
        <v/>
      </c>
      <c r="Q931">
        <f>AND(O931,COUNTIF(P932:P$1002,P931)=0)</f>
        <v/>
      </c>
      <c r="R931">
        <f>OR(AND(설정!$A$28&lt;&gt;"",ISNUMBER(SEARCH(설정!$A$28,E931&amp;" "&amp;C931))),AND(설정!$A$29&lt;&gt;"",ISNUMBER(SEARCH(설정!$A$29,E931&amp;" "&amp;C931))),AND(설정!$A$30&lt;&gt;"",ISNUMBER(SEARCH(설정!$A$30,E931&amp;" "&amp;C931))),AND(설정!$A$31&lt;&gt;"",ISNUMBER(SEARCH(설정!$A$31,E931&amp;" "&amp;C931))),AND(설정!$A$32&lt;&gt;"",ISNUMBER(SEARCH(설정!$A$32,E931&amp;" "&amp;C931))),AND(설정!$A$33&lt;&gt;"",ISNUMBER(SEARCH(설정!$A$33,E931&amp;" "&amp;C931))),AND(설정!$A$34&lt;&gt;"",ISNUMBER(SEARCH(설정!$A$34,E931&amp;" "&amp;C931))),AND(설정!$A$35&lt;&gt;"",ISNUMBER(SEARCH(설정!$A$35,E931&amp;" "&amp;C931))),AND(설정!$A$36&lt;&gt;"",ISNUMBER(SEARCH(설정!$A$36,E931&amp;" "&amp;C931))),AND(설정!$A$37&lt;&gt;"",ISNUMBER(SEARCH(설정!$A$37,E931&amp;" "&amp;C931))))</f>
        <v/>
      </c>
      <c r="S931">
        <f>OR(D931="",D931&gt;=설정!$B$19)</f>
        <v/>
      </c>
      <c r="T931">
        <f>AND(Q931,R931,S931)</f>
        <v/>
      </c>
      <c r="U931">
        <f>IF(T931,IF(AND(설정!$A$41&lt;&gt;"",ISNUMBER(SEARCH(설정!$A$41,K931))),설정!$B$41,IF(AND(설정!$A$42&lt;&gt;"",ISNUMBER(SEARCH(설정!$A$42,K931))),설정!$B$42,IF(AND(설정!$A$43&lt;&gt;"",ISNUMBER(SEARCH(설정!$A$43,K931))),설정!$B$43,IF(AND(설정!$A$44&lt;&gt;"",ISNUMBER(SEARCH(설정!$A$44,K931))),설정!$B$44,IF(AND(설정!$A$45&lt;&gt;"",ISNUMBER(SEARCH(설정!$A$45,K931))),설정!$B$45,IF(AND(설정!$A$46&lt;&gt;"",ISNUMBER(SEARCH(설정!$A$46,K931))),설정!$B$46,IF(AND(설정!$A$47&lt;&gt;"",ISNUMBER(SEARCH(설정!$A$47,K931))),설정!$B$47,IF(AND(설정!$A$48&lt;&gt;"",ISNUMBER(SEARCH(설정!$A$48,K931))),설정!$B$48,IF(M931="","설계사","시공사"))))))))),"")</f>
        <v/>
      </c>
      <c r="V931">
        <f>SUBSTITUTE(SUBSTITUTE(SUBSTITUTE(SUBSTITUTE(G931,"(주)",""),"㈜",""),"주식회사","")," ","")</f>
        <v/>
      </c>
      <c r="W931">
        <f>IF(AND(T931,V931&lt;&gt;""),IF(COUNTIFS(V$2:V931,V931,T$2:T931,TRUE)=1,MAX(W$1:W930)+1,""),"")</f>
        <v/>
      </c>
      <c r="X931">
        <f>IFERROR(INDEX('1.산군_붙여넣기'!$A$1:$AZ$1001,ROW(),설정!$C$14)&amp;"","")</f>
        <v/>
      </c>
      <c r="Y931">
        <f>IFERROR(INDEX('1.산군_붙여넣기'!$A$1:$AZ$1001,ROW(),설정!$C$15)&amp;"","")</f>
        <v/>
      </c>
      <c r="Z931">
        <f>IF(T931,V931&amp;"|"&amp;U931,"")</f>
        <v/>
      </c>
    </row>
    <row r="932">
      <c r="A932">
        <f>ROW()</f>
        <v/>
      </c>
      <c r="B932">
        <f>IFERROR(INDEX('1.산군_붙여넣기'!$A$1:$AZ$1001,ROW(),설정!$C$4)&amp;"","")</f>
        <v/>
      </c>
      <c r="C932">
        <f>IFERROR(INDEX('1.산군_붙여넣기'!$A$1:$AZ$1001,ROW(),설정!$C$5)&amp;"","")</f>
        <v/>
      </c>
      <c r="D932" s="5">
        <f>IFERROR(VALUE(SUBSTITUTE(SUBSTITUTE(SUBSTITUTE(IFERROR(INDEX('1.산군_붙여넣기'!$A$1:$AZ$1001,ROW(),설정!$C$6)&amp;"",""),",",""),"㎡",""),"m2","")),"")</f>
        <v/>
      </c>
      <c r="E932">
        <f>IFERROR(INDEX('1.산군_붙여넣기'!$A$1:$AZ$1001,ROW(),설정!$C$7)&amp;"","")</f>
        <v/>
      </c>
      <c r="F932">
        <f>IFERROR(INDEX('1.산군_붙여넣기'!$A$1:$AZ$1001,ROW(),설정!$C$8)&amp;"","")</f>
        <v/>
      </c>
      <c r="G932">
        <f>IFERROR(INDEX('1.산군_붙여넣기'!$A$1:$AZ$1001,ROW(),설정!$C$9)&amp;"","")</f>
        <v/>
      </c>
      <c r="H932">
        <f>IFERROR(INDEX('1.산군_붙여넣기'!$A$1:$AZ$1001,ROW(),설정!$C$10)&amp;"","")</f>
        <v/>
      </c>
      <c r="I932">
        <f>IFERROR(INDEX('1.산군_붙여넣기'!$A$1:$AZ$1001,ROW(),설정!$C$11)&amp;"","")</f>
        <v/>
      </c>
      <c r="J932">
        <f>IFERROR(INDEX('1.산군_붙여넣기'!$A$1:$AZ$1001,ROW(),설정!$C$12)&amp;"","")</f>
        <v/>
      </c>
      <c r="K932">
        <f>IFERROR(INDEX('1.산군_붙여넣기'!$A$1:$AZ$1001,ROW(),설정!$C$13)&amp;"","")</f>
        <v/>
      </c>
      <c r="L932" s="6">
        <f>IF(X932="","",IF(AND(LEN(X932)=8,ISNUMBER(X932*1)),DATE(LEFT(X932,4),MID(X932,5,2),RIGHT(X932,2)),IFERROR(DATEVALUE(SUBSTITUTE(SUBSTITUTE(X932,".","-"),"/","-")),IFERROR(X932*1,""))))</f>
        <v/>
      </c>
      <c r="M932" s="6">
        <f>IF(Y932="","",IF(AND(LEN(Y932)=8,ISNUMBER(Y932*1)),DATE(LEFT(Y932,4),MID(Y932,5,2),RIGHT(Y932,2)),IFERROR(DATEVALUE(SUBSTITUTE(SUBSTITUTE(Y932,".","-"),"/","-")),IFERROR(Y932*1,""))))</f>
        <v/>
      </c>
      <c r="N932">
        <f>IFERROR(LEFT(B932,FIND(" ",B932)-1),B932)</f>
        <v/>
      </c>
      <c r="O932">
        <f>AND(B932&lt;&gt;"",B932&lt;&gt;설정!$B$4,C932&lt;&gt;설정!$B$5)</f>
        <v/>
      </c>
      <c r="P932">
        <f>IF(O932,B932&amp;"|"&amp;C932,"")</f>
        <v/>
      </c>
      <c r="Q932">
        <f>AND(O932,COUNTIF(P933:P$1002,P932)=0)</f>
        <v/>
      </c>
      <c r="R932">
        <f>OR(AND(설정!$A$28&lt;&gt;"",ISNUMBER(SEARCH(설정!$A$28,E932&amp;" "&amp;C932))),AND(설정!$A$29&lt;&gt;"",ISNUMBER(SEARCH(설정!$A$29,E932&amp;" "&amp;C932))),AND(설정!$A$30&lt;&gt;"",ISNUMBER(SEARCH(설정!$A$30,E932&amp;" "&amp;C932))),AND(설정!$A$31&lt;&gt;"",ISNUMBER(SEARCH(설정!$A$31,E932&amp;" "&amp;C932))),AND(설정!$A$32&lt;&gt;"",ISNUMBER(SEARCH(설정!$A$32,E932&amp;" "&amp;C932))),AND(설정!$A$33&lt;&gt;"",ISNUMBER(SEARCH(설정!$A$33,E932&amp;" "&amp;C932))),AND(설정!$A$34&lt;&gt;"",ISNUMBER(SEARCH(설정!$A$34,E932&amp;" "&amp;C932))),AND(설정!$A$35&lt;&gt;"",ISNUMBER(SEARCH(설정!$A$35,E932&amp;" "&amp;C932))),AND(설정!$A$36&lt;&gt;"",ISNUMBER(SEARCH(설정!$A$36,E932&amp;" "&amp;C932))),AND(설정!$A$37&lt;&gt;"",ISNUMBER(SEARCH(설정!$A$37,E932&amp;" "&amp;C932))))</f>
        <v/>
      </c>
      <c r="S932">
        <f>OR(D932="",D932&gt;=설정!$B$19)</f>
        <v/>
      </c>
      <c r="T932">
        <f>AND(Q932,R932,S932)</f>
        <v/>
      </c>
      <c r="U932">
        <f>IF(T932,IF(AND(설정!$A$41&lt;&gt;"",ISNUMBER(SEARCH(설정!$A$41,K932))),설정!$B$41,IF(AND(설정!$A$42&lt;&gt;"",ISNUMBER(SEARCH(설정!$A$42,K932))),설정!$B$42,IF(AND(설정!$A$43&lt;&gt;"",ISNUMBER(SEARCH(설정!$A$43,K932))),설정!$B$43,IF(AND(설정!$A$44&lt;&gt;"",ISNUMBER(SEARCH(설정!$A$44,K932))),설정!$B$44,IF(AND(설정!$A$45&lt;&gt;"",ISNUMBER(SEARCH(설정!$A$45,K932))),설정!$B$45,IF(AND(설정!$A$46&lt;&gt;"",ISNUMBER(SEARCH(설정!$A$46,K932))),설정!$B$46,IF(AND(설정!$A$47&lt;&gt;"",ISNUMBER(SEARCH(설정!$A$47,K932))),설정!$B$47,IF(AND(설정!$A$48&lt;&gt;"",ISNUMBER(SEARCH(설정!$A$48,K932))),설정!$B$48,IF(M932="","설계사","시공사"))))))))),"")</f>
        <v/>
      </c>
      <c r="V932">
        <f>SUBSTITUTE(SUBSTITUTE(SUBSTITUTE(SUBSTITUTE(G932,"(주)",""),"㈜",""),"주식회사","")," ","")</f>
        <v/>
      </c>
      <c r="W932">
        <f>IF(AND(T932,V932&lt;&gt;""),IF(COUNTIFS(V$2:V932,V932,T$2:T932,TRUE)=1,MAX(W$1:W931)+1,""),"")</f>
        <v/>
      </c>
      <c r="X932">
        <f>IFERROR(INDEX('1.산군_붙여넣기'!$A$1:$AZ$1001,ROW(),설정!$C$14)&amp;"","")</f>
        <v/>
      </c>
      <c r="Y932">
        <f>IFERROR(INDEX('1.산군_붙여넣기'!$A$1:$AZ$1001,ROW(),설정!$C$15)&amp;"","")</f>
        <v/>
      </c>
      <c r="Z932">
        <f>IF(T932,V932&amp;"|"&amp;U932,"")</f>
        <v/>
      </c>
    </row>
    <row r="933">
      <c r="A933">
        <f>ROW()</f>
        <v/>
      </c>
      <c r="B933">
        <f>IFERROR(INDEX('1.산군_붙여넣기'!$A$1:$AZ$1001,ROW(),설정!$C$4)&amp;"","")</f>
        <v/>
      </c>
      <c r="C933">
        <f>IFERROR(INDEX('1.산군_붙여넣기'!$A$1:$AZ$1001,ROW(),설정!$C$5)&amp;"","")</f>
        <v/>
      </c>
      <c r="D933" s="5">
        <f>IFERROR(VALUE(SUBSTITUTE(SUBSTITUTE(SUBSTITUTE(IFERROR(INDEX('1.산군_붙여넣기'!$A$1:$AZ$1001,ROW(),설정!$C$6)&amp;"",""),",",""),"㎡",""),"m2","")),"")</f>
        <v/>
      </c>
      <c r="E933">
        <f>IFERROR(INDEX('1.산군_붙여넣기'!$A$1:$AZ$1001,ROW(),설정!$C$7)&amp;"","")</f>
        <v/>
      </c>
      <c r="F933">
        <f>IFERROR(INDEX('1.산군_붙여넣기'!$A$1:$AZ$1001,ROW(),설정!$C$8)&amp;"","")</f>
        <v/>
      </c>
      <c r="G933">
        <f>IFERROR(INDEX('1.산군_붙여넣기'!$A$1:$AZ$1001,ROW(),설정!$C$9)&amp;"","")</f>
        <v/>
      </c>
      <c r="H933">
        <f>IFERROR(INDEX('1.산군_붙여넣기'!$A$1:$AZ$1001,ROW(),설정!$C$10)&amp;"","")</f>
        <v/>
      </c>
      <c r="I933">
        <f>IFERROR(INDEX('1.산군_붙여넣기'!$A$1:$AZ$1001,ROW(),설정!$C$11)&amp;"","")</f>
        <v/>
      </c>
      <c r="J933">
        <f>IFERROR(INDEX('1.산군_붙여넣기'!$A$1:$AZ$1001,ROW(),설정!$C$12)&amp;"","")</f>
        <v/>
      </c>
      <c r="K933">
        <f>IFERROR(INDEX('1.산군_붙여넣기'!$A$1:$AZ$1001,ROW(),설정!$C$13)&amp;"","")</f>
        <v/>
      </c>
      <c r="L933" s="6">
        <f>IF(X933="","",IF(AND(LEN(X933)=8,ISNUMBER(X933*1)),DATE(LEFT(X933,4),MID(X933,5,2),RIGHT(X933,2)),IFERROR(DATEVALUE(SUBSTITUTE(SUBSTITUTE(X933,".","-"),"/","-")),IFERROR(X933*1,""))))</f>
        <v/>
      </c>
      <c r="M933" s="6">
        <f>IF(Y933="","",IF(AND(LEN(Y933)=8,ISNUMBER(Y933*1)),DATE(LEFT(Y933,4),MID(Y933,5,2),RIGHT(Y933,2)),IFERROR(DATEVALUE(SUBSTITUTE(SUBSTITUTE(Y933,".","-"),"/","-")),IFERROR(Y933*1,""))))</f>
        <v/>
      </c>
      <c r="N933">
        <f>IFERROR(LEFT(B933,FIND(" ",B933)-1),B933)</f>
        <v/>
      </c>
      <c r="O933">
        <f>AND(B933&lt;&gt;"",B933&lt;&gt;설정!$B$4,C933&lt;&gt;설정!$B$5)</f>
        <v/>
      </c>
      <c r="P933">
        <f>IF(O933,B933&amp;"|"&amp;C933,"")</f>
        <v/>
      </c>
      <c r="Q933">
        <f>AND(O933,COUNTIF(P934:P$1002,P933)=0)</f>
        <v/>
      </c>
      <c r="R933">
        <f>OR(AND(설정!$A$28&lt;&gt;"",ISNUMBER(SEARCH(설정!$A$28,E933&amp;" "&amp;C933))),AND(설정!$A$29&lt;&gt;"",ISNUMBER(SEARCH(설정!$A$29,E933&amp;" "&amp;C933))),AND(설정!$A$30&lt;&gt;"",ISNUMBER(SEARCH(설정!$A$30,E933&amp;" "&amp;C933))),AND(설정!$A$31&lt;&gt;"",ISNUMBER(SEARCH(설정!$A$31,E933&amp;" "&amp;C933))),AND(설정!$A$32&lt;&gt;"",ISNUMBER(SEARCH(설정!$A$32,E933&amp;" "&amp;C933))),AND(설정!$A$33&lt;&gt;"",ISNUMBER(SEARCH(설정!$A$33,E933&amp;" "&amp;C933))),AND(설정!$A$34&lt;&gt;"",ISNUMBER(SEARCH(설정!$A$34,E933&amp;" "&amp;C933))),AND(설정!$A$35&lt;&gt;"",ISNUMBER(SEARCH(설정!$A$35,E933&amp;" "&amp;C933))),AND(설정!$A$36&lt;&gt;"",ISNUMBER(SEARCH(설정!$A$36,E933&amp;" "&amp;C933))),AND(설정!$A$37&lt;&gt;"",ISNUMBER(SEARCH(설정!$A$37,E933&amp;" "&amp;C933))))</f>
        <v/>
      </c>
      <c r="S933">
        <f>OR(D933="",D933&gt;=설정!$B$19)</f>
        <v/>
      </c>
      <c r="T933">
        <f>AND(Q933,R933,S933)</f>
        <v/>
      </c>
      <c r="U933">
        <f>IF(T933,IF(AND(설정!$A$41&lt;&gt;"",ISNUMBER(SEARCH(설정!$A$41,K933))),설정!$B$41,IF(AND(설정!$A$42&lt;&gt;"",ISNUMBER(SEARCH(설정!$A$42,K933))),설정!$B$42,IF(AND(설정!$A$43&lt;&gt;"",ISNUMBER(SEARCH(설정!$A$43,K933))),설정!$B$43,IF(AND(설정!$A$44&lt;&gt;"",ISNUMBER(SEARCH(설정!$A$44,K933))),설정!$B$44,IF(AND(설정!$A$45&lt;&gt;"",ISNUMBER(SEARCH(설정!$A$45,K933))),설정!$B$45,IF(AND(설정!$A$46&lt;&gt;"",ISNUMBER(SEARCH(설정!$A$46,K933))),설정!$B$46,IF(AND(설정!$A$47&lt;&gt;"",ISNUMBER(SEARCH(설정!$A$47,K933))),설정!$B$47,IF(AND(설정!$A$48&lt;&gt;"",ISNUMBER(SEARCH(설정!$A$48,K933))),설정!$B$48,IF(M933="","설계사","시공사"))))))))),"")</f>
        <v/>
      </c>
      <c r="V933">
        <f>SUBSTITUTE(SUBSTITUTE(SUBSTITUTE(SUBSTITUTE(G933,"(주)",""),"㈜",""),"주식회사","")," ","")</f>
        <v/>
      </c>
      <c r="W933">
        <f>IF(AND(T933,V933&lt;&gt;""),IF(COUNTIFS(V$2:V933,V933,T$2:T933,TRUE)=1,MAX(W$1:W932)+1,""),"")</f>
        <v/>
      </c>
      <c r="X933">
        <f>IFERROR(INDEX('1.산군_붙여넣기'!$A$1:$AZ$1001,ROW(),설정!$C$14)&amp;"","")</f>
        <v/>
      </c>
      <c r="Y933">
        <f>IFERROR(INDEX('1.산군_붙여넣기'!$A$1:$AZ$1001,ROW(),설정!$C$15)&amp;"","")</f>
        <v/>
      </c>
      <c r="Z933">
        <f>IF(T933,V933&amp;"|"&amp;U933,"")</f>
        <v/>
      </c>
    </row>
    <row r="934">
      <c r="A934">
        <f>ROW()</f>
        <v/>
      </c>
      <c r="B934">
        <f>IFERROR(INDEX('1.산군_붙여넣기'!$A$1:$AZ$1001,ROW(),설정!$C$4)&amp;"","")</f>
        <v/>
      </c>
      <c r="C934">
        <f>IFERROR(INDEX('1.산군_붙여넣기'!$A$1:$AZ$1001,ROW(),설정!$C$5)&amp;"","")</f>
        <v/>
      </c>
      <c r="D934" s="5">
        <f>IFERROR(VALUE(SUBSTITUTE(SUBSTITUTE(SUBSTITUTE(IFERROR(INDEX('1.산군_붙여넣기'!$A$1:$AZ$1001,ROW(),설정!$C$6)&amp;"",""),",",""),"㎡",""),"m2","")),"")</f>
        <v/>
      </c>
      <c r="E934">
        <f>IFERROR(INDEX('1.산군_붙여넣기'!$A$1:$AZ$1001,ROW(),설정!$C$7)&amp;"","")</f>
        <v/>
      </c>
      <c r="F934">
        <f>IFERROR(INDEX('1.산군_붙여넣기'!$A$1:$AZ$1001,ROW(),설정!$C$8)&amp;"","")</f>
        <v/>
      </c>
      <c r="G934">
        <f>IFERROR(INDEX('1.산군_붙여넣기'!$A$1:$AZ$1001,ROW(),설정!$C$9)&amp;"","")</f>
        <v/>
      </c>
      <c r="H934">
        <f>IFERROR(INDEX('1.산군_붙여넣기'!$A$1:$AZ$1001,ROW(),설정!$C$10)&amp;"","")</f>
        <v/>
      </c>
      <c r="I934">
        <f>IFERROR(INDEX('1.산군_붙여넣기'!$A$1:$AZ$1001,ROW(),설정!$C$11)&amp;"","")</f>
        <v/>
      </c>
      <c r="J934">
        <f>IFERROR(INDEX('1.산군_붙여넣기'!$A$1:$AZ$1001,ROW(),설정!$C$12)&amp;"","")</f>
        <v/>
      </c>
      <c r="K934">
        <f>IFERROR(INDEX('1.산군_붙여넣기'!$A$1:$AZ$1001,ROW(),설정!$C$13)&amp;"","")</f>
        <v/>
      </c>
      <c r="L934" s="6">
        <f>IF(X934="","",IF(AND(LEN(X934)=8,ISNUMBER(X934*1)),DATE(LEFT(X934,4),MID(X934,5,2),RIGHT(X934,2)),IFERROR(DATEVALUE(SUBSTITUTE(SUBSTITUTE(X934,".","-"),"/","-")),IFERROR(X934*1,""))))</f>
        <v/>
      </c>
      <c r="M934" s="6">
        <f>IF(Y934="","",IF(AND(LEN(Y934)=8,ISNUMBER(Y934*1)),DATE(LEFT(Y934,4),MID(Y934,5,2),RIGHT(Y934,2)),IFERROR(DATEVALUE(SUBSTITUTE(SUBSTITUTE(Y934,".","-"),"/","-")),IFERROR(Y934*1,""))))</f>
        <v/>
      </c>
      <c r="N934">
        <f>IFERROR(LEFT(B934,FIND(" ",B934)-1),B934)</f>
        <v/>
      </c>
      <c r="O934">
        <f>AND(B934&lt;&gt;"",B934&lt;&gt;설정!$B$4,C934&lt;&gt;설정!$B$5)</f>
        <v/>
      </c>
      <c r="P934">
        <f>IF(O934,B934&amp;"|"&amp;C934,"")</f>
        <v/>
      </c>
      <c r="Q934">
        <f>AND(O934,COUNTIF(P935:P$1002,P934)=0)</f>
        <v/>
      </c>
      <c r="R934">
        <f>OR(AND(설정!$A$28&lt;&gt;"",ISNUMBER(SEARCH(설정!$A$28,E934&amp;" "&amp;C934))),AND(설정!$A$29&lt;&gt;"",ISNUMBER(SEARCH(설정!$A$29,E934&amp;" "&amp;C934))),AND(설정!$A$30&lt;&gt;"",ISNUMBER(SEARCH(설정!$A$30,E934&amp;" "&amp;C934))),AND(설정!$A$31&lt;&gt;"",ISNUMBER(SEARCH(설정!$A$31,E934&amp;" "&amp;C934))),AND(설정!$A$32&lt;&gt;"",ISNUMBER(SEARCH(설정!$A$32,E934&amp;" "&amp;C934))),AND(설정!$A$33&lt;&gt;"",ISNUMBER(SEARCH(설정!$A$33,E934&amp;" "&amp;C934))),AND(설정!$A$34&lt;&gt;"",ISNUMBER(SEARCH(설정!$A$34,E934&amp;" "&amp;C934))),AND(설정!$A$35&lt;&gt;"",ISNUMBER(SEARCH(설정!$A$35,E934&amp;" "&amp;C934))),AND(설정!$A$36&lt;&gt;"",ISNUMBER(SEARCH(설정!$A$36,E934&amp;" "&amp;C934))),AND(설정!$A$37&lt;&gt;"",ISNUMBER(SEARCH(설정!$A$37,E934&amp;" "&amp;C934))))</f>
        <v/>
      </c>
      <c r="S934">
        <f>OR(D934="",D934&gt;=설정!$B$19)</f>
        <v/>
      </c>
      <c r="T934">
        <f>AND(Q934,R934,S934)</f>
        <v/>
      </c>
      <c r="U934">
        <f>IF(T934,IF(AND(설정!$A$41&lt;&gt;"",ISNUMBER(SEARCH(설정!$A$41,K934))),설정!$B$41,IF(AND(설정!$A$42&lt;&gt;"",ISNUMBER(SEARCH(설정!$A$42,K934))),설정!$B$42,IF(AND(설정!$A$43&lt;&gt;"",ISNUMBER(SEARCH(설정!$A$43,K934))),설정!$B$43,IF(AND(설정!$A$44&lt;&gt;"",ISNUMBER(SEARCH(설정!$A$44,K934))),설정!$B$44,IF(AND(설정!$A$45&lt;&gt;"",ISNUMBER(SEARCH(설정!$A$45,K934))),설정!$B$45,IF(AND(설정!$A$46&lt;&gt;"",ISNUMBER(SEARCH(설정!$A$46,K934))),설정!$B$46,IF(AND(설정!$A$47&lt;&gt;"",ISNUMBER(SEARCH(설정!$A$47,K934))),설정!$B$47,IF(AND(설정!$A$48&lt;&gt;"",ISNUMBER(SEARCH(설정!$A$48,K934))),설정!$B$48,IF(M934="","설계사","시공사"))))))))),"")</f>
        <v/>
      </c>
      <c r="V934">
        <f>SUBSTITUTE(SUBSTITUTE(SUBSTITUTE(SUBSTITUTE(G934,"(주)",""),"㈜",""),"주식회사","")," ","")</f>
        <v/>
      </c>
      <c r="W934">
        <f>IF(AND(T934,V934&lt;&gt;""),IF(COUNTIFS(V$2:V934,V934,T$2:T934,TRUE)=1,MAX(W$1:W933)+1,""),"")</f>
        <v/>
      </c>
      <c r="X934">
        <f>IFERROR(INDEX('1.산군_붙여넣기'!$A$1:$AZ$1001,ROW(),설정!$C$14)&amp;"","")</f>
        <v/>
      </c>
      <c r="Y934">
        <f>IFERROR(INDEX('1.산군_붙여넣기'!$A$1:$AZ$1001,ROW(),설정!$C$15)&amp;"","")</f>
        <v/>
      </c>
      <c r="Z934">
        <f>IF(T934,V934&amp;"|"&amp;U934,"")</f>
        <v/>
      </c>
    </row>
    <row r="935">
      <c r="A935">
        <f>ROW()</f>
        <v/>
      </c>
      <c r="B935">
        <f>IFERROR(INDEX('1.산군_붙여넣기'!$A$1:$AZ$1001,ROW(),설정!$C$4)&amp;"","")</f>
        <v/>
      </c>
      <c r="C935">
        <f>IFERROR(INDEX('1.산군_붙여넣기'!$A$1:$AZ$1001,ROW(),설정!$C$5)&amp;"","")</f>
        <v/>
      </c>
      <c r="D935" s="5">
        <f>IFERROR(VALUE(SUBSTITUTE(SUBSTITUTE(SUBSTITUTE(IFERROR(INDEX('1.산군_붙여넣기'!$A$1:$AZ$1001,ROW(),설정!$C$6)&amp;"",""),",",""),"㎡",""),"m2","")),"")</f>
        <v/>
      </c>
      <c r="E935">
        <f>IFERROR(INDEX('1.산군_붙여넣기'!$A$1:$AZ$1001,ROW(),설정!$C$7)&amp;"","")</f>
        <v/>
      </c>
      <c r="F935">
        <f>IFERROR(INDEX('1.산군_붙여넣기'!$A$1:$AZ$1001,ROW(),설정!$C$8)&amp;"","")</f>
        <v/>
      </c>
      <c r="G935">
        <f>IFERROR(INDEX('1.산군_붙여넣기'!$A$1:$AZ$1001,ROW(),설정!$C$9)&amp;"","")</f>
        <v/>
      </c>
      <c r="H935">
        <f>IFERROR(INDEX('1.산군_붙여넣기'!$A$1:$AZ$1001,ROW(),설정!$C$10)&amp;"","")</f>
        <v/>
      </c>
      <c r="I935">
        <f>IFERROR(INDEX('1.산군_붙여넣기'!$A$1:$AZ$1001,ROW(),설정!$C$11)&amp;"","")</f>
        <v/>
      </c>
      <c r="J935">
        <f>IFERROR(INDEX('1.산군_붙여넣기'!$A$1:$AZ$1001,ROW(),설정!$C$12)&amp;"","")</f>
        <v/>
      </c>
      <c r="K935">
        <f>IFERROR(INDEX('1.산군_붙여넣기'!$A$1:$AZ$1001,ROW(),설정!$C$13)&amp;"","")</f>
        <v/>
      </c>
      <c r="L935" s="6">
        <f>IF(X935="","",IF(AND(LEN(X935)=8,ISNUMBER(X935*1)),DATE(LEFT(X935,4),MID(X935,5,2),RIGHT(X935,2)),IFERROR(DATEVALUE(SUBSTITUTE(SUBSTITUTE(X935,".","-"),"/","-")),IFERROR(X935*1,""))))</f>
        <v/>
      </c>
      <c r="M935" s="6">
        <f>IF(Y935="","",IF(AND(LEN(Y935)=8,ISNUMBER(Y935*1)),DATE(LEFT(Y935,4),MID(Y935,5,2),RIGHT(Y935,2)),IFERROR(DATEVALUE(SUBSTITUTE(SUBSTITUTE(Y935,".","-"),"/","-")),IFERROR(Y935*1,""))))</f>
        <v/>
      </c>
      <c r="N935">
        <f>IFERROR(LEFT(B935,FIND(" ",B935)-1),B935)</f>
        <v/>
      </c>
      <c r="O935">
        <f>AND(B935&lt;&gt;"",B935&lt;&gt;설정!$B$4,C935&lt;&gt;설정!$B$5)</f>
        <v/>
      </c>
      <c r="P935">
        <f>IF(O935,B935&amp;"|"&amp;C935,"")</f>
        <v/>
      </c>
      <c r="Q935">
        <f>AND(O935,COUNTIF(P936:P$1002,P935)=0)</f>
        <v/>
      </c>
      <c r="R935">
        <f>OR(AND(설정!$A$28&lt;&gt;"",ISNUMBER(SEARCH(설정!$A$28,E935&amp;" "&amp;C935))),AND(설정!$A$29&lt;&gt;"",ISNUMBER(SEARCH(설정!$A$29,E935&amp;" "&amp;C935))),AND(설정!$A$30&lt;&gt;"",ISNUMBER(SEARCH(설정!$A$30,E935&amp;" "&amp;C935))),AND(설정!$A$31&lt;&gt;"",ISNUMBER(SEARCH(설정!$A$31,E935&amp;" "&amp;C935))),AND(설정!$A$32&lt;&gt;"",ISNUMBER(SEARCH(설정!$A$32,E935&amp;" "&amp;C935))),AND(설정!$A$33&lt;&gt;"",ISNUMBER(SEARCH(설정!$A$33,E935&amp;" "&amp;C935))),AND(설정!$A$34&lt;&gt;"",ISNUMBER(SEARCH(설정!$A$34,E935&amp;" "&amp;C935))),AND(설정!$A$35&lt;&gt;"",ISNUMBER(SEARCH(설정!$A$35,E935&amp;" "&amp;C935))),AND(설정!$A$36&lt;&gt;"",ISNUMBER(SEARCH(설정!$A$36,E935&amp;" "&amp;C935))),AND(설정!$A$37&lt;&gt;"",ISNUMBER(SEARCH(설정!$A$37,E935&amp;" "&amp;C935))))</f>
        <v/>
      </c>
      <c r="S935">
        <f>OR(D935="",D935&gt;=설정!$B$19)</f>
        <v/>
      </c>
      <c r="T935">
        <f>AND(Q935,R935,S935)</f>
        <v/>
      </c>
      <c r="U935">
        <f>IF(T935,IF(AND(설정!$A$41&lt;&gt;"",ISNUMBER(SEARCH(설정!$A$41,K935))),설정!$B$41,IF(AND(설정!$A$42&lt;&gt;"",ISNUMBER(SEARCH(설정!$A$42,K935))),설정!$B$42,IF(AND(설정!$A$43&lt;&gt;"",ISNUMBER(SEARCH(설정!$A$43,K935))),설정!$B$43,IF(AND(설정!$A$44&lt;&gt;"",ISNUMBER(SEARCH(설정!$A$44,K935))),설정!$B$44,IF(AND(설정!$A$45&lt;&gt;"",ISNUMBER(SEARCH(설정!$A$45,K935))),설정!$B$45,IF(AND(설정!$A$46&lt;&gt;"",ISNUMBER(SEARCH(설정!$A$46,K935))),설정!$B$46,IF(AND(설정!$A$47&lt;&gt;"",ISNUMBER(SEARCH(설정!$A$47,K935))),설정!$B$47,IF(AND(설정!$A$48&lt;&gt;"",ISNUMBER(SEARCH(설정!$A$48,K935))),설정!$B$48,IF(M935="","설계사","시공사"))))))))),"")</f>
        <v/>
      </c>
      <c r="V935">
        <f>SUBSTITUTE(SUBSTITUTE(SUBSTITUTE(SUBSTITUTE(G935,"(주)",""),"㈜",""),"주식회사","")," ","")</f>
        <v/>
      </c>
      <c r="W935">
        <f>IF(AND(T935,V935&lt;&gt;""),IF(COUNTIFS(V$2:V935,V935,T$2:T935,TRUE)=1,MAX(W$1:W934)+1,""),"")</f>
        <v/>
      </c>
      <c r="X935">
        <f>IFERROR(INDEX('1.산군_붙여넣기'!$A$1:$AZ$1001,ROW(),설정!$C$14)&amp;"","")</f>
        <v/>
      </c>
      <c r="Y935">
        <f>IFERROR(INDEX('1.산군_붙여넣기'!$A$1:$AZ$1001,ROW(),설정!$C$15)&amp;"","")</f>
        <v/>
      </c>
      <c r="Z935">
        <f>IF(T935,V935&amp;"|"&amp;U935,"")</f>
        <v/>
      </c>
    </row>
    <row r="936">
      <c r="A936">
        <f>ROW()</f>
        <v/>
      </c>
      <c r="B936">
        <f>IFERROR(INDEX('1.산군_붙여넣기'!$A$1:$AZ$1001,ROW(),설정!$C$4)&amp;"","")</f>
        <v/>
      </c>
      <c r="C936">
        <f>IFERROR(INDEX('1.산군_붙여넣기'!$A$1:$AZ$1001,ROW(),설정!$C$5)&amp;"","")</f>
        <v/>
      </c>
      <c r="D936" s="5">
        <f>IFERROR(VALUE(SUBSTITUTE(SUBSTITUTE(SUBSTITUTE(IFERROR(INDEX('1.산군_붙여넣기'!$A$1:$AZ$1001,ROW(),설정!$C$6)&amp;"",""),",",""),"㎡",""),"m2","")),"")</f>
        <v/>
      </c>
      <c r="E936">
        <f>IFERROR(INDEX('1.산군_붙여넣기'!$A$1:$AZ$1001,ROW(),설정!$C$7)&amp;"","")</f>
        <v/>
      </c>
      <c r="F936">
        <f>IFERROR(INDEX('1.산군_붙여넣기'!$A$1:$AZ$1001,ROW(),설정!$C$8)&amp;"","")</f>
        <v/>
      </c>
      <c r="G936">
        <f>IFERROR(INDEX('1.산군_붙여넣기'!$A$1:$AZ$1001,ROW(),설정!$C$9)&amp;"","")</f>
        <v/>
      </c>
      <c r="H936">
        <f>IFERROR(INDEX('1.산군_붙여넣기'!$A$1:$AZ$1001,ROW(),설정!$C$10)&amp;"","")</f>
        <v/>
      </c>
      <c r="I936">
        <f>IFERROR(INDEX('1.산군_붙여넣기'!$A$1:$AZ$1001,ROW(),설정!$C$11)&amp;"","")</f>
        <v/>
      </c>
      <c r="J936">
        <f>IFERROR(INDEX('1.산군_붙여넣기'!$A$1:$AZ$1001,ROW(),설정!$C$12)&amp;"","")</f>
        <v/>
      </c>
      <c r="K936">
        <f>IFERROR(INDEX('1.산군_붙여넣기'!$A$1:$AZ$1001,ROW(),설정!$C$13)&amp;"","")</f>
        <v/>
      </c>
      <c r="L936" s="6">
        <f>IF(X936="","",IF(AND(LEN(X936)=8,ISNUMBER(X936*1)),DATE(LEFT(X936,4),MID(X936,5,2),RIGHT(X936,2)),IFERROR(DATEVALUE(SUBSTITUTE(SUBSTITUTE(X936,".","-"),"/","-")),IFERROR(X936*1,""))))</f>
        <v/>
      </c>
      <c r="M936" s="6">
        <f>IF(Y936="","",IF(AND(LEN(Y936)=8,ISNUMBER(Y936*1)),DATE(LEFT(Y936,4),MID(Y936,5,2),RIGHT(Y936,2)),IFERROR(DATEVALUE(SUBSTITUTE(SUBSTITUTE(Y936,".","-"),"/","-")),IFERROR(Y936*1,""))))</f>
        <v/>
      </c>
      <c r="N936">
        <f>IFERROR(LEFT(B936,FIND(" ",B936)-1),B936)</f>
        <v/>
      </c>
      <c r="O936">
        <f>AND(B936&lt;&gt;"",B936&lt;&gt;설정!$B$4,C936&lt;&gt;설정!$B$5)</f>
        <v/>
      </c>
      <c r="P936">
        <f>IF(O936,B936&amp;"|"&amp;C936,"")</f>
        <v/>
      </c>
      <c r="Q936">
        <f>AND(O936,COUNTIF(P937:P$1002,P936)=0)</f>
        <v/>
      </c>
      <c r="R936">
        <f>OR(AND(설정!$A$28&lt;&gt;"",ISNUMBER(SEARCH(설정!$A$28,E936&amp;" "&amp;C936))),AND(설정!$A$29&lt;&gt;"",ISNUMBER(SEARCH(설정!$A$29,E936&amp;" "&amp;C936))),AND(설정!$A$30&lt;&gt;"",ISNUMBER(SEARCH(설정!$A$30,E936&amp;" "&amp;C936))),AND(설정!$A$31&lt;&gt;"",ISNUMBER(SEARCH(설정!$A$31,E936&amp;" "&amp;C936))),AND(설정!$A$32&lt;&gt;"",ISNUMBER(SEARCH(설정!$A$32,E936&amp;" "&amp;C936))),AND(설정!$A$33&lt;&gt;"",ISNUMBER(SEARCH(설정!$A$33,E936&amp;" "&amp;C936))),AND(설정!$A$34&lt;&gt;"",ISNUMBER(SEARCH(설정!$A$34,E936&amp;" "&amp;C936))),AND(설정!$A$35&lt;&gt;"",ISNUMBER(SEARCH(설정!$A$35,E936&amp;" "&amp;C936))),AND(설정!$A$36&lt;&gt;"",ISNUMBER(SEARCH(설정!$A$36,E936&amp;" "&amp;C936))),AND(설정!$A$37&lt;&gt;"",ISNUMBER(SEARCH(설정!$A$37,E936&amp;" "&amp;C936))))</f>
        <v/>
      </c>
      <c r="S936">
        <f>OR(D936="",D936&gt;=설정!$B$19)</f>
        <v/>
      </c>
      <c r="T936">
        <f>AND(Q936,R936,S936)</f>
        <v/>
      </c>
      <c r="U936">
        <f>IF(T936,IF(AND(설정!$A$41&lt;&gt;"",ISNUMBER(SEARCH(설정!$A$41,K936))),설정!$B$41,IF(AND(설정!$A$42&lt;&gt;"",ISNUMBER(SEARCH(설정!$A$42,K936))),설정!$B$42,IF(AND(설정!$A$43&lt;&gt;"",ISNUMBER(SEARCH(설정!$A$43,K936))),설정!$B$43,IF(AND(설정!$A$44&lt;&gt;"",ISNUMBER(SEARCH(설정!$A$44,K936))),설정!$B$44,IF(AND(설정!$A$45&lt;&gt;"",ISNUMBER(SEARCH(설정!$A$45,K936))),설정!$B$45,IF(AND(설정!$A$46&lt;&gt;"",ISNUMBER(SEARCH(설정!$A$46,K936))),설정!$B$46,IF(AND(설정!$A$47&lt;&gt;"",ISNUMBER(SEARCH(설정!$A$47,K936))),설정!$B$47,IF(AND(설정!$A$48&lt;&gt;"",ISNUMBER(SEARCH(설정!$A$48,K936))),설정!$B$48,IF(M936="","설계사","시공사"))))))))),"")</f>
        <v/>
      </c>
      <c r="V936">
        <f>SUBSTITUTE(SUBSTITUTE(SUBSTITUTE(SUBSTITUTE(G936,"(주)",""),"㈜",""),"주식회사","")," ","")</f>
        <v/>
      </c>
      <c r="W936">
        <f>IF(AND(T936,V936&lt;&gt;""),IF(COUNTIFS(V$2:V936,V936,T$2:T936,TRUE)=1,MAX(W$1:W935)+1,""),"")</f>
        <v/>
      </c>
      <c r="X936">
        <f>IFERROR(INDEX('1.산군_붙여넣기'!$A$1:$AZ$1001,ROW(),설정!$C$14)&amp;"","")</f>
        <v/>
      </c>
      <c r="Y936">
        <f>IFERROR(INDEX('1.산군_붙여넣기'!$A$1:$AZ$1001,ROW(),설정!$C$15)&amp;"","")</f>
        <v/>
      </c>
      <c r="Z936">
        <f>IF(T936,V936&amp;"|"&amp;U936,"")</f>
        <v/>
      </c>
    </row>
    <row r="937">
      <c r="A937">
        <f>ROW()</f>
        <v/>
      </c>
      <c r="B937">
        <f>IFERROR(INDEX('1.산군_붙여넣기'!$A$1:$AZ$1001,ROW(),설정!$C$4)&amp;"","")</f>
        <v/>
      </c>
      <c r="C937">
        <f>IFERROR(INDEX('1.산군_붙여넣기'!$A$1:$AZ$1001,ROW(),설정!$C$5)&amp;"","")</f>
        <v/>
      </c>
      <c r="D937" s="5">
        <f>IFERROR(VALUE(SUBSTITUTE(SUBSTITUTE(SUBSTITUTE(IFERROR(INDEX('1.산군_붙여넣기'!$A$1:$AZ$1001,ROW(),설정!$C$6)&amp;"",""),",",""),"㎡",""),"m2","")),"")</f>
        <v/>
      </c>
      <c r="E937">
        <f>IFERROR(INDEX('1.산군_붙여넣기'!$A$1:$AZ$1001,ROW(),설정!$C$7)&amp;"","")</f>
        <v/>
      </c>
      <c r="F937">
        <f>IFERROR(INDEX('1.산군_붙여넣기'!$A$1:$AZ$1001,ROW(),설정!$C$8)&amp;"","")</f>
        <v/>
      </c>
      <c r="G937">
        <f>IFERROR(INDEX('1.산군_붙여넣기'!$A$1:$AZ$1001,ROW(),설정!$C$9)&amp;"","")</f>
        <v/>
      </c>
      <c r="H937">
        <f>IFERROR(INDEX('1.산군_붙여넣기'!$A$1:$AZ$1001,ROW(),설정!$C$10)&amp;"","")</f>
        <v/>
      </c>
      <c r="I937">
        <f>IFERROR(INDEX('1.산군_붙여넣기'!$A$1:$AZ$1001,ROW(),설정!$C$11)&amp;"","")</f>
        <v/>
      </c>
      <c r="J937">
        <f>IFERROR(INDEX('1.산군_붙여넣기'!$A$1:$AZ$1001,ROW(),설정!$C$12)&amp;"","")</f>
        <v/>
      </c>
      <c r="K937">
        <f>IFERROR(INDEX('1.산군_붙여넣기'!$A$1:$AZ$1001,ROW(),설정!$C$13)&amp;"","")</f>
        <v/>
      </c>
      <c r="L937" s="6">
        <f>IF(X937="","",IF(AND(LEN(X937)=8,ISNUMBER(X937*1)),DATE(LEFT(X937,4),MID(X937,5,2),RIGHT(X937,2)),IFERROR(DATEVALUE(SUBSTITUTE(SUBSTITUTE(X937,".","-"),"/","-")),IFERROR(X937*1,""))))</f>
        <v/>
      </c>
      <c r="M937" s="6">
        <f>IF(Y937="","",IF(AND(LEN(Y937)=8,ISNUMBER(Y937*1)),DATE(LEFT(Y937,4),MID(Y937,5,2),RIGHT(Y937,2)),IFERROR(DATEVALUE(SUBSTITUTE(SUBSTITUTE(Y937,".","-"),"/","-")),IFERROR(Y937*1,""))))</f>
        <v/>
      </c>
      <c r="N937">
        <f>IFERROR(LEFT(B937,FIND(" ",B937)-1),B937)</f>
        <v/>
      </c>
      <c r="O937">
        <f>AND(B937&lt;&gt;"",B937&lt;&gt;설정!$B$4,C937&lt;&gt;설정!$B$5)</f>
        <v/>
      </c>
      <c r="P937">
        <f>IF(O937,B937&amp;"|"&amp;C937,"")</f>
        <v/>
      </c>
      <c r="Q937">
        <f>AND(O937,COUNTIF(P938:P$1002,P937)=0)</f>
        <v/>
      </c>
      <c r="R937">
        <f>OR(AND(설정!$A$28&lt;&gt;"",ISNUMBER(SEARCH(설정!$A$28,E937&amp;" "&amp;C937))),AND(설정!$A$29&lt;&gt;"",ISNUMBER(SEARCH(설정!$A$29,E937&amp;" "&amp;C937))),AND(설정!$A$30&lt;&gt;"",ISNUMBER(SEARCH(설정!$A$30,E937&amp;" "&amp;C937))),AND(설정!$A$31&lt;&gt;"",ISNUMBER(SEARCH(설정!$A$31,E937&amp;" "&amp;C937))),AND(설정!$A$32&lt;&gt;"",ISNUMBER(SEARCH(설정!$A$32,E937&amp;" "&amp;C937))),AND(설정!$A$33&lt;&gt;"",ISNUMBER(SEARCH(설정!$A$33,E937&amp;" "&amp;C937))),AND(설정!$A$34&lt;&gt;"",ISNUMBER(SEARCH(설정!$A$34,E937&amp;" "&amp;C937))),AND(설정!$A$35&lt;&gt;"",ISNUMBER(SEARCH(설정!$A$35,E937&amp;" "&amp;C937))),AND(설정!$A$36&lt;&gt;"",ISNUMBER(SEARCH(설정!$A$36,E937&amp;" "&amp;C937))),AND(설정!$A$37&lt;&gt;"",ISNUMBER(SEARCH(설정!$A$37,E937&amp;" "&amp;C937))))</f>
        <v/>
      </c>
      <c r="S937">
        <f>OR(D937="",D937&gt;=설정!$B$19)</f>
        <v/>
      </c>
      <c r="T937">
        <f>AND(Q937,R937,S937)</f>
        <v/>
      </c>
      <c r="U937">
        <f>IF(T937,IF(AND(설정!$A$41&lt;&gt;"",ISNUMBER(SEARCH(설정!$A$41,K937))),설정!$B$41,IF(AND(설정!$A$42&lt;&gt;"",ISNUMBER(SEARCH(설정!$A$42,K937))),설정!$B$42,IF(AND(설정!$A$43&lt;&gt;"",ISNUMBER(SEARCH(설정!$A$43,K937))),설정!$B$43,IF(AND(설정!$A$44&lt;&gt;"",ISNUMBER(SEARCH(설정!$A$44,K937))),설정!$B$44,IF(AND(설정!$A$45&lt;&gt;"",ISNUMBER(SEARCH(설정!$A$45,K937))),설정!$B$45,IF(AND(설정!$A$46&lt;&gt;"",ISNUMBER(SEARCH(설정!$A$46,K937))),설정!$B$46,IF(AND(설정!$A$47&lt;&gt;"",ISNUMBER(SEARCH(설정!$A$47,K937))),설정!$B$47,IF(AND(설정!$A$48&lt;&gt;"",ISNUMBER(SEARCH(설정!$A$48,K937))),설정!$B$48,IF(M937="","설계사","시공사"))))))))),"")</f>
        <v/>
      </c>
      <c r="V937">
        <f>SUBSTITUTE(SUBSTITUTE(SUBSTITUTE(SUBSTITUTE(G937,"(주)",""),"㈜",""),"주식회사","")," ","")</f>
        <v/>
      </c>
      <c r="W937">
        <f>IF(AND(T937,V937&lt;&gt;""),IF(COUNTIFS(V$2:V937,V937,T$2:T937,TRUE)=1,MAX(W$1:W936)+1,""),"")</f>
        <v/>
      </c>
      <c r="X937">
        <f>IFERROR(INDEX('1.산군_붙여넣기'!$A$1:$AZ$1001,ROW(),설정!$C$14)&amp;"","")</f>
        <v/>
      </c>
      <c r="Y937">
        <f>IFERROR(INDEX('1.산군_붙여넣기'!$A$1:$AZ$1001,ROW(),설정!$C$15)&amp;"","")</f>
        <v/>
      </c>
      <c r="Z937">
        <f>IF(T937,V937&amp;"|"&amp;U937,"")</f>
        <v/>
      </c>
    </row>
    <row r="938">
      <c r="A938">
        <f>ROW()</f>
        <v/>
      </c>
      <c r="B938">
        <f>IFERROR(INDEX('1.산군_붙여넣기'!$A$1:$AZ$1001,ROW(),설정!$C$4)&amp;"","")</f>
        <v/>
      </c>
      <c r="C938">
        <f>IFERROR(INDEX('1.산군_붙여넣기'!$A$1:$AZ$1001,ROW(),설정!$C$5)&amp;"","")</f>
        <v/>
      </c>
      <c r="D938" s="5">
        <f>IFERROR(VALUE(SUBSTITUTE(SUBSTITUTE(SUBSTITUTE(IFERROR(INDEX('1.산군_붙여넣기'!$A$1:$AZ$1001,ROW(),설정!$C$6)&amp;"",""),",",""),"㎡",""),"m2","")),"")</f>
        <v/>
      </c>
      <c r="E938">
        <f>IFERROR(INDEX('1.산군_붙여넣기'!$A$1:$AZ$1001,ROW(),설정!$C$7)&amp;"","")</f>
        <v/>
      </c>
      <c r="F938">
        <f>IFERROR(INDEX('1.산군_붙여넣기'!$A$1:$AZ$1001,ROW(),설정!$C$8)&amp;"","")</f>
        <v/>
      </c>
      <c r="G938">
        <f>IFERROR(INDEX('1.산군_붙여넣기'!$A$1:$AZ$1001,ROW(),설정!$C$9)&amp;"","")</f>
        <v/>
      </c>
      <c r="H938">
        <f>IFERROR(INDEX('1.산군_붙여넣기'!$A$1:$AZ$1001,ROW(),설정!$C$10)&amp;"","")</f>
        <v/>
      </c>
      <c r="I938">
        <f>IFERROR(INDEX('1.산군_붙여넣기'!$A$1:$AZ$1001,ROW(),설정!$C$11)&amp;"","")</f>
        <v/>
      </c>
      <c r="J938">
        <f>IFERROR(INDEX('1.산군_붙여넣기'!$A$1:$AZ$1001,ROW(),설정!$C$12)&amp;"","")</f>
        <v/>
      </c>
      <c r="K938">
        <f>IFERROR(INDEX('1.산군_붙여넣기'!$A$1:$AZ$1001,ROW(),설정!$C$13)&amp;"","")</f>
        <v/>
      </c>
      <c r="L938" s="6">
        <f>IF(X938="","",IF(AND(LEN(X938)=8,ISNUMBER(X938*1)),DATE(LEFT(X938,4),MID(X938,5,2),RIGHT(X938,2)),IFERROR(DATEVALUE(SUBSTITUTE(SUBSTITUTE(X938,".","-"),"/","-")),IFERROR(X938*1,""))))</f>
        <v/>
      </c>
      <c r="M938" s="6">
        <f>IF(Y938="","",IF(AND(LEN(Y938)=8,ISNUMBER(Y938*1)),DATE(LEFT(Y938,4),MID(Y938,5,2),RIGHT(Y938,2)),IFERROR(DATEVALUE(SUBSTITUTE(SUBSTITUTE(Y938,".","-"),"/","-")),IFERROR(Y938*1,""))))</f>
        <v/>
      </c>
      <c r="N938">
        <f>IFERROR(LEFT(B938,FIND(" ",B938)-1),B938)</f>
        <v/>
      </c>
      <c r="O938">
        <f>AND(B938&lt;&gt;"",B938&lt;&gt;설정!$B$4,C938&lt;&gt;설정!$B$5)</f>
        <v/>
      </c>
      <c r="P938">
        <f>IF(O938,B938&amp;"|"&amp;C938,"")</f>
        <v/>
      </c>
      <c r="Q938">
        <f>AND(O938,COUNTIF(P939:P$1002,P938)=0)</f>
        <v/>
      </c>
      <c r="R938">
        <f>OR(AND(설정!$A$28&lt;&gt;"",ISNUMBER(SEARCH(설정!$A$28,E938&amp;" "&amp;C938))),AND(설정!$A$29&lt;&gt;"",ISNUMBER(SEARCH(설정!$A$29,E938&amp;" "&amp;C938))),AND(설정!$A$30&lt;&gt;"",ISNUMBER(SEARCH(설정!$A$30,E938&amp;" "&amp;C938))),AND(설정!$A$31&lt;&gt;"",ISNUMBER(SEARCH(설정!$A$31,E938&amp;" "&amp;C938))),AND(설정!$A$32&lt;&gt;"",ISNUMBER(SEARCH(설정!$A$32,E938&amp;" "&amp;C938))),AND(설정!$A$33&lt;&gt;"",ISNUMBER(SEARCH(설정!$A$33,E938&amp;" "&amp;C938))),AND(설정!$A$34&lt;&gt;"",ISNUMBER(SEARCH(설정!$A$34,E938&amp;" "&amp;C938))),AND(설정!$A$35&lt;&gt;"",ISNUMBER(SEARCH(설정!$A$35,E938&amp;" "&amp;C938))),AND(설정!$A$36&lt;&gt;"",ISNUMBER(SEARCH(설정!$A$36,E938&amp;" "&amp;C938))),AND(설정!$A$37&lt;&gt;"",ISNUMBER(SEARCH(설정!$A$37,E938&amp;" "&amp;C938))))</f>
        <v/>
      </c>
      <c r="S938">
        <f>OR(D938="",D938&gt;=설정!$B$19)</f>
        <v/>
      </c>
      <c r="T938">
        <f>AND(Q938,R938,S938)</f>
        <v/>
      </c>
      <c r="U938">
        <f>IF(T938,IF(AND(설정!$A$41&lt;&gt;"",ISNUMBER(SEARCH(설정!$A$41,K938))),설정!$B$41,IF(AND(설정!$A$42&lt;&gt;"",ISNUMBER(SEARCH(설정!$A$42,K938))),설정!$B$42,IF(AND(설정!$A$43&lt;&gt;"",ISNUMBER(SEARCH(설정!$A$43,K938))),설정!$B$43,IF(AND(설정!$A$44&lt;&gt;"",ISNUMBER(SEARCH(설정!$A$44,K938))),설정!$B$44,IF(AND(설정!$A$45&lt;&gt;"",ISNUMBER(SEARCH(설정!$A$45,K938))),설정!$B$45,IF(AND(설정!$A$46&lt;&gt;"",ISNUMBER(SEARCH(설정!$A$46,K938))),설정!$B$46,IF(AND(설정!$A$47&lt;&gt;"",ISNUMBER(SEARCH(설정!$A$47,K938))),설정!$B$47,IF(AND(설정!$A$48&lt;&gt;"",ISNUMBER(SEARCH(설정!$A$48,K938))),설정!$B$48,IF(M938="","설계사","시공사"))))))))),"")</f>
        <v/>
      </c>
      <c r="V938">
        <f>SUBSTITUTE(SUBSTITUTE(SUBSTITUTE(SUBSTITUTE(G938,"(주)",""),"㈜",""),"주식회사","")," ","")</f>
        <v/>
      </c>
      <c r="W938">
        <f>IF(AND(T938,V938&lt;&gt;""),IF(COUNTIFS(V$2:V938,V938,T$2:T938,TRUE)=1,MAX(W$1:W937)+1,""),"")</f>
        <v/>
      </c>
      <c r="X938">
        <f>IFERROR(INDEX('1.산군_붙여넣기'!$A$1:$AZ$1001,ROW(),설정!$C$14)&amp;"","")</f>
        <v/>
      </c>
      <c r="Y938">
        <f>IFERROR(INDEX('1.산군_붙여넣기'!$A$1:$AZ$1001,ROW(),설정!$C$15)&amp;"","")</f>
        <v/>
      </c>
      <c r="Z938">
        <f>IF(T938,V938&amp;"|"&amp;U938,"")</f>
        <v/>
      </c>
    </row>
    <row r="939">
      <c r="A939">
        <f>ROW()</f>
        <v/>
      </c>
      <c r="B939">
        <f>IFERROR(INDEX('1.산군_붙여넣기'!$A$1:$AZ$1001,ROW(),설정!$C$4)&amp;"","")</f>
        <v/>
      </c>
      <c r="C939">
        <f>IFERROR(INDEX('1.산군_붙여넣기'!$A$1:$AZ$1001,ROW(),설정!$C$5)&amp;"","")</f>
        <v/>
      </c>
      <c r="D939" s="5">
        <f>IFERROR(VALUE(SUBSTITUTE(SUBSTITUTE(SUBSTITUTE(IFERROR(INDEX('1.산군_붙여넣기'!$A$1:$AZ$1001,ROW(),설정!$C$6)&amp;"",""),",",""),"㎡",""),"m2","")),"")</f>
        <v/>
      </c>
      <c r="E939">
        <f>IFERROR(INDEX('1.산군_붙여넣기'!$A$1:$AZ$1001,ROW(),설정!$C$7)&amp;"","")</f>
        <v/>
      </c>
      <c r="F939">
        <f>IFERROR(INDEX('1.산군_붙여넣기'!$A$1:$AZ$1001,ROW(),설정!$C$8)&amp;"","")</f>
        <v/>
      </c>
      <c r="G939">
        <f>IFERROR(INDEX('1.산군_붙여넣기'!$A$1:$AZ$1001,ROW(),설정!$C$9)&amp;"","")</f>
        <v/>
      </c>
      <c r="H939">
        <f>IFERROR(INDEX('1.산군_붙여넣기'!$A$1:$AZ$1001,ROW(),설정!$C$10)&amp;"","")</f>
        <v/>
      </c>
      <c r="I939">
        <f>IFERROR(INDEX('1.산군_붙여넣기'!$A$1:$AZ$1001,ROW(),설정!$C$11)&amp;"","")</f>
        <v/>
      </c>
      <c r="J939">
        <f>IFERROR(INDEX('1.산군_붙여넣기'!$A$1:$AZ$1001,ROW(),설정!$C$12)&amp;"","")</f>
        <v/>
      </c>
      <c r="K939">
        <f>IFERROR(INDEX('1.산군_붙여넣기'!$A$1:$AZ$1001,ROW(),설정!$C$13)&amp;"","")</f>
        <v/>
      </c>
      <c r="L939" s="6">
        <f>IF(X939="","",IF(AND(LEN(X939)=8,ISNUMBER(X939*1)),DATE(LEFT(X939,4),MID(X939,5,2),RIGHT(X939,2)),IFERROR(DATEVALUE(SUBSTITUTE(SUBSTITUTE(X939,".","-"),"/","-")),IFERROR(X939*1,""))))</f>
        <v/>
      </c>
      <c r="M939" s="6">
        <f>IF(Y939="","",IF(AND(LEN(Y939)=8,ISNUMBER(Y939*1)),DATE(LEFT(Y939,4),MID(Y939,5,2),RIGHT(Y939,2)),IFERROR(DATEVALUE(SUBSTITUTE(SUBSTITUTE(Y939,".","-"),"/","-")),IFERROR(Y939*1,""))))</f>
        <v/>
      </c>
      <c r="N939">
        <f>IFERROR(LEFT(B939,FIND(" ",B939)-1),B939)</f>
        <v/>
      </c>
      <c r="O939">
        <f>AND(B939&lt;&gt;"",B939&lt;&gt;설정!$B$4,C939&lt;&gt;설정!$B$5)</f>
        <v/>
      </c>
      <c r="P939">
        <f>IF(O939,B939&amp;"|"&amp;C939,"")</f>
        <v/>
      </c>
      <c r="Q939">
        <f>AND(O939,COUNTIF(P940:P$1002,P939)=0)</f>
        <v/>
      </c>
      <c r="R939">
        <f>OR(AND(설정!$A$28&lt;&gt;"",ISNUMBER(SEARCH(설정!$A$28,E939&amp;" "&amp;C939))),AND(설정!$A$29&lt;&gt;"",ISNUMBER(SEARCH(설정!$A$29,E939&amp;" "&amp;C939))),AND(설정!$A$30&lt;&gt;"",ISNUMBER(SEARCH(설정!$A$30,E939&amp;" "&amp;C939))),AND(설정!$A$31&lt;&gt;"",ISNUMBER(SEARCH(설정!$A$31,E939&amp;" "&amp;C939))),AND(설정!$A$32&lt;&gt;"",ISNUMBER(SEARCH(설정!$A$32,E939&amp;" "&amp;C939))),AND(설정!$A$33&lt;&gt;"",ISNUMBER(SEARCH(설정!$A$33,E939&amp;" "&amp;C939))),AND(설정!$A$34&lt;&gt;"",ISNUMBER(SEARCH(설정!$A$34,E939&amp;" "&amp;C939))),AND(설정!$A$35&lt;&gt;"",ISNUMBER(SEARCH(설정!$A$35,E939&amp;" "&amp;C939))),AND(설정!$A$36&lt;&gt;"",ISNUMBER(SEARCH(설정!$A$36,E939&amp;" "&amp;C939))),AND(설정!$A$37&lt;&gt;"",ISNUMBER(SEARCH(설정!$A$37,E939&amp;" "&amp;C939))))</f>
        <v/>
      </c>
      <c r="S939">
        <f>OR(D939="",D939&gt;=설정!$B$19)</f>
        <v/>
      </c>
      <c r="T939">
        <f>AND(Q939,R939,S939)</f>
        <v/>
      </c>
      <c r="U939">
        <f>IF(T939,IF(AND(설정!$A$41&lt;&gt;"",ISNUMBER(SEARCH(설정!$A$41,K939))),설정!$B$41,IF(AND(설정!$A$42&lt;&gt;"",ISNUMBER(SEARCH(설정!$A$42,K939))),설정!$B$42,IF(AND(설정!$A$43&lt;&gt;"",ISNUMBER(SEARCH(설정!$A$43,K939))),설정!$B$43,IF(AND(설정!$A$44&lt;&gt;"",ISNUMBER(SEARCH(설정!$A$44,K939))),설정!$B$44,IF(AND(설정!$A$45&lt;&gt;"",ISNUMBER(SEARCH(설정!$A$45,K939))),설정!$B$45,IF(AND(설정!$A$46&lt;&gt;"",ISNUMBER(SEARCH(설정!$A$46,K939))),설정!$B$46,IF(AND(설정!$A$47&lt;&gt;"",ISNUMBER(SEARCH(설정!$A$47,K939))),설정!$B$47,IF(AND(설정!$A$48&lt;&gt;"",ISNUMBER(SEARCH(설정!$A$48,K939))),설정!$B$48,IF(M939="","설계사","시공사"))))))))),"")</f>
        <v/>
      </c>
      <c r="V939">
        <f>SUBSTITUTE(SUBSTITUTE(SUBSTITUTE(SUBSTITUTE(G939,"(주)",""),"㈜",""),"주식회사","")," ","")</f>
        <v/>
      </c>
      <c r="W939">
        <f>IF(AND(T939,V939&lt;&gt;""),IF(COUNTIFS(V$2:V939,V939,T$2:T939,TRUE)=1,MAX(W$1:W938)+1,""),"")</f>
        <v/>
      </c>
      <c r="X939">
        <f>IFERROR(INDEX('1.산군_붙여넣기'!$A$1:$AZ$1001,ROW(),설정!$C$14)&amp;"","")</f>
        <v/>
      </c>
      <c r="Y939">
        <f>IFERROR(INDEX('1.산군_붙여넣기'!$A$1:$AZ$1001,ROW(),설정!$C$15)&amp;"","")</f>
        <v/>
      </c>
      <c r="Z939">
        <f>IF(T939,V939&amp;"|"&amp;U939,"")</f>
        <v/>
      </c>
    </row>
    <row r="940">
      <c r="A940">
        <f>ROW()</f>
        <v/>
      </c>
      <c r="B940">
        <f>IFERROR(INDEX('1.산군_붙여넣기'!$A$1:$AZ$1001,ROW(),설정!$C$4)&amp;"","")</f>
        <v/>
      </c>
      <c r="C940">
        <f>IFERROR(INDEX('1.산군_붙여넣기'!$A$1:$AZ$1001,ROW(),설정!$C$5)&amp;"","")</f>
        <v/>
      </c>
      <c r="D940" s="5">
        <f>IFERROR(VALUE(SUBSTITUTE(SUBSTITUTE(SUBSTITUTE(IFERROR(INDEX('1.산군_붙여넣기'!$A$1:$AZ$1001,ROW(),설정!$C$6)&amp;"",""),",",""),"㎡",""),"m2","")),"")</f>
        <v/>
      </c>
      <c r="E940">
        <f>IFERROR(INDEX('1.산군_붙여넣기'!$A$1:$AZ$1001,ROW(),설정!$C$7)&amp;"","")</f>
        <v/>
      </c>
      <c r="F940">
        <f>IFERROR(INDEX('1.산군_붙여넣기'!$A$1:$AZ$1001,ROW(),설정!$C$8)&amp;"","")</f>
        <v/>
      </c>
      <c r="G940">
        <f>IFERROR(INDEX('1.산군_붙여넣기'!$A$1:$AZ$1001,ROW(),설정!$C$9)&amp;"","")</f>
        <v/>
      </c>
      <c r="H940">
        <f>IFERROR(INDEX('1.산군_붙여넣기'!$A$1:$AZ$1001,ROW(),설정!$C$10)&amp;"","")</f>
        <v/>
      </c>
      <c r="I940">
        <f>IFERROR(INDEX('1.산군_붙여넣기'!$A$1:$AZ$1001,ROW(),설정!$C$11)&amp;"","")</f>
        <v/>
      </c>
      <c r="J940">
        <f>IFERROR(INDEX('1.산군_붙여넣기'!$A$1:$AZ$1001,ROW(),설정!$C$12)&amp;"","")</f>
        <v/>
      </c>
      <c r="K940">
        <f>IFERROR(INDEX('1.산군_붙여넣기'!$A$1:$AZ$1001,ROW(),설정!$C$13)&amp;"","")</f>
        <v/>
      </c>
      <c r="L940" s="6">
        <f>IF(X940="","",IF(AND(LEN(X940)=8,ISNUMBER(X940*1)),DATE(LEFT(X940,4),MID(X940,5,2),RIGHT(X940,2)),IFERROR(DATEVALUE(SUBSTITUTE(SUBSTITUTE(X940,".","-"),"/","-")),IFERROR(X940*1,""))))</f>
        <v/>
      </c>
      <c r="M940" s="6">
        <f>IF(Y940="","",IF(AND(LEN(Y940)=8,ISNUMBER(Y940*1)),DATE(LEFT(Y940,4),MID(Y940,5,2),RIGHT(Y940,2)),IFERROR(DATEVALUE(SUBSTITUTE(SUBSTITUTE(Y940,".","-"),"/","-")),IFERROR(Y940*1,""))))</f>
        <v/>
      </c>
      <c r="N940">
        <f>IFERROR(LEFT(B940,FIND(" ",B940)-1),B940)</f>
        <v/>
      </c>
      <c r="O940">
        <f>AND(B940&lt;&gt;"",B940&lt;&gt;설정!$B$4,C940&lt;&gt;설정!$B$5)</f>
        <v/>
      </c>
      <c r="P940">
        <f>IF(O940,B940&amp;"|"&amp;C940,"")</f>
        <v/>
      </c>
      <c r="Q940">
        <f>AND(O940,COUNTIF(P941:P$1002,P940)=0)</f>
        <v/>
      </c>
      <c r="R940">
        <f>OR(AND(설정!$A$28&lt;&gt;"",ISNUMBER(SEARCH(설정!$A$28,E940&amp;" "&amp;C940))),AND(설정!$A$29&lt;&gt;"",ISNUMBER(SEARCH(설정!$A$29,E940&amp;" "&amp;C940))),AND(설정!$A$30&lt;&gt;"",ISNUMBER(SEARCH(설정!$A$30,E940&amp;" "&amp;C940))),AND(설정!$A$31&lt;&gt;"",ISNUMBER(SEARCH(설정!$A$31,E940&amp;" "&amp;C940))),AND(설정!$A$32&lt;&gt;"",ISNUMBER(SEARCH(설정!$A$32,E940&amp;" "&amp;C940))),AND(설정!$A$33&lt;&gt;"",ISNUMBER(SEARCH(설정!$A$33,E940&amp;" "&amp;C940))),AND(설정!$A$34&lt;&gt;"",ISNUMBER(SEARCH(설정!$A$34,E940&amp;" "&amp;C940))),AND(설정!$A$35&lt;&gt;"",ISNUMBER(SEARCH(설정!$A$35,E940&amp;" "&amp;C940))),AND(설정!$A$36&lt;&gt;"",ISNUMBER(SEARCH(설정!$A$36,E940&amp;" "&amp;C940))),AND(설정!$A$37&lt;&gt;"",ISNUMBER(SEARCH(설정!$A$37,E940&amp;" "&amp;C940))))</f>
        <v/>
      </c>
      <c r="S940">
        <f>OR(D940="",D940&gt;=설정!$B$19)</f>
        <v/>
      </c>
      <c r="T940">
        <f>AND(Q940,R940,S940)</f>
        <v/>
      </c>
      <c r="U940">
        <f>IF(T940,IF(AND(설정!$A$41&lt;&gt;"",ISNUMBER(SEARCH(설정!$A$41,K940))),설정!$B$41,IF(AND(설정!$A$42&lt;&gt;"",ISNUMBER(SEARCH(설정!$A$42,K940))),설정!$B$42,IF(AND(설정!$A$43&lt;&gt;"",ISNUMBER(SEARCH(설정!$A$43,K940))),설정!$B$43,IF(AND(설정!$A$44&lt;&gt;"",ISNUMBER(SEARCH(설정!$A$44,K940))),설정!$B$44,IF(AND(설정!$A$45&lt;&gt;"",ISNUMBER(SEARCH(설정!$A$45,K940))),설정!$B$45,IF(AND(설정!$A$46&lt;&gt;"",ISNUMBER(SEARCH(설정!$A$46,K940))),설정!$B$46,IF(AND(설정!$A$47&lt;&gt;"",ISNUMBER(SEARCH(설정!$A$47,K940))),설정!$B$47,IF(AND(설정!$A$48&lt;&gt;"",ISNUMBER(SEARCH(설정!$A$48,K940))),설정!$B$48,IF(M940="","설계사","시공사"))))))))),"")</f>
        <v/>
      </c>
      <c r="V940">
        <f>SUBSTITUTE(SUBSTITUTE(SUBSTITUTE(SUBSTITUTE(G940,"(주)",""),"㈜",""),"주식회사","")," ","")</f>
        <v/>
      </c>
      <c r="W940">
        <f>IF(AND(T940,V940&lt;&gt;""),IF(COUNTIFS(V$2:V940,V940,T$2:T940,TRUE)=1,MAX(W$1:W939)+1,""),"")</f>
        <v/>
      </c>
      <c r="X940">
        <f>IFERROR(INDEX('1.산군_붙여넣기'!$A$1:$AZ$1001,ROW(),설정!$C$14)&amp;"","")</f>
        <v/>
      </c>
      <c r="Y940">
        <f>IFERROR(INDEX('1.산군_붙여넣기'!$A$1:$AZ$1001,ROW(),설정!$C$15)&amp;"","")</f>
        <v/>
      </c>
      <c r="Z940">
        <f>IF(T940,V940&amp;"|"&amp;U940,"")</f>
        <v/>
      </c>
    </row>
    <row r="941">
      <c r="A941">
        <f>ROW()</f>
        <v/>
      </c>
      <c r="B941">
        <f>IFERROR(INDEX('1.산군_붙여넣기'!$A$1:$AZ$1001,ROW(),설정!$C$4)&amp;"","")</f>
        <v/>
      </c>
      <c r="C941">
        <f>IFERROR(INDEX('1.산군_붙여넣기'!$A$1:$AZ$1001,ROW(),설정!$C$5)&amp;"","")</f>
        <v/>
      </c>
      <c r="D941" s="5">
        <f>IFERROR(VALUE(SUBSTITUTE(SUBSTITUTE(SUBSTITUTE(IFERROR(INDEX('1.산군_붙여넣기'!$A$1:$AZ$1001,ROW(),설정!$C$6)&amp;"",""),",",""),"㎡",""),"m2","")),"")</f>
        <v/>
      </c>
      <c r="E941">
        <f>IFERROR(INDEX('1.산군_붙여넣기'!$A$1:$AZ$1001,ROW(),설정!$C$7)&amp;"","")</f>
        <v/>
      </c>
      <c r="F941">
        <f>IFERROR(INDEX('1.산군_붙여넣기'!$A$1:$AZ$1001,ROW(),설정!$C$8)&amp;"","")</f>
        <v/>
      </c>
      <c r="G941">
        <f>IFERROR(INDEX('1.산군_붙여넣기'!$A$1:$AZ$1001,ROW(),설정!$C$9)&amp;"","")</f>
        <v/>
      </c>
      <c r="H941">
        <f>IFERROR(INDEX('1.산군_붙여넣기'!$A$1:$AZ$1001,ROW(),설정!$C$10)&amp;"","")</f>
        <v/>
      </c>
      <c r="I941">
        <f>IFERROR(INDEX('1.산군_붙여넣기'!$A$1:$AZ$1001,ROW(),설정!$C$11)&amp;"","")</f>
        <v/>
      </c>
      <c r="J941">
        <f>IFERROR(INDEX('1.산군_붙여넣기'!$A$1:$AZ$1001,ROW(),설정!$C$12)&amp;"","")</f>
        <v/>
      </c>
      <c r="K941">
        <f>IFERROR(INDEX('1.산군_붙여넣기'!$A$1:$AZ$1001,ROW(),설정!$C$13)&amp;"","")</f>
        <v/>
      </c>
      <c r="L941" s="6">
        <f>IF(X941="","",IF(AND(LEN(X941)=8,ISNUMBER(X941*1)),DATE(LEFT(X941,4),MID(X941,5,2),RIGHT(X941,2)),IFERROR(DATEVALUE(SUBSTITUTE(SUBSTITUTE(X941,".","-"),"/","-")),IFERROR(X941*1,""))))</f>
        <v/>
      </c>
      <c r="M941" s="6">
        <f>IF(Y941="","",IF(AND(LEN(Y941)=8,ISNUMBER(Y941*1)),DATE(LEFT(Y941,4),MID(Y941,5,2),RIGHT(Y941,2)),IFERROR(DATEVALUE(SUBSTITUTE(SUBSTITUTE(Y941,".","-"),"/","-")),IFERROR(Y941*1,""))))</f>
        <v/>
      </c>
      <c r="N941">
        <f>IFERROR(LEFT(B941,FIND(" ",B941)-1),B941)</f>
        <v/>
      </c>
      <c r="O941">
        <f>AND(B941&lt;&gt;"",B941&lt;&gt;설정!$B$4,C941&lt;&gt;설정!$B$5)</f>
        <v/>
      </c>
      <c r="P941">
        <f>IF(O941,B941&amp;"|"&amp;C941,"")</f>
        <v/>
      </c>
      <c r="Q941">
        <f>AND(O941,COUNTIF(P942:P$1002,P941)=0)</f>
        <v/>
      </c>
      <c r="R941">
        <f>OR(AND(설정!$A$28&lt;&gt;"",ISNUMBER(SEARCH(설정!$A$28,E941&amp;" "&amp;C941))),AND(설정!$A$29&lt;&gt;"",ISNUMBER(SEARCH(설정!$A$29,E941&amp;" "&amp;C941))),AND(설정!$A$30&lt;&gt;"",ISNUMBER(SEARCH(설정!$A$30,E941&amp;" "&amp;C941))),AND(설정!$A$31&lt;&gt;"",ISNUMBER(SEARCH(설정!$A$31,E941&amp;" "&amp;C941))),AND(설정!$A$32&lt;&gt;"",ISNUMBER(SEARCH(설정!$A$32,E941&amp;" "&amp;C941))),AND(설정!$A$33&lt;&gt;"",ISNUMBER(SEARCH(설정!$A$33,E941&amp;" "&amp;C941))),AND(설정!$A$34&lt;&gt;"",ISNUMBER(SEARCH(설정!$A$34,E941&amp;" "&amp;C941))),AND(설정!$A$35&lt;&gt;"",ISNUMBER(SEARCH(설정!$A$35,E941&amp;" "&amp;C941))),AND(설정!$A$36&lt;&gt;"",ISNUMBER(SEARCH(설정!$A$36,E941&amp;" "&amp;C941))),AND(설정!$A$37&lt;&gt;"",ISNUMBER(SEARCH(설정!$A$37,E941&amp;" "&amp;C941))))</f>
        <v/>
      </c>
      <c r="S941">
        <f>OR(D941="",D941&gt;=설정!$B$19)</f>
        <v/>
      </c>
      <c r="T941">
        <f>AND(Q941,R941,S941)</f>
        <v/>
      </c>
      <c r="U941">
        <f>IF(T941,IF(AND(설정!$A$41&lt;&gt;"",ISNUMBER(SEARCH(설정!$A$41,K941))),설정!$B$41,IF(AND(설정!$A$42&lt;&gt;"",ISNUMBER(SEARCH(설정!$A$42,K941))),설정!$B$42,IF(AND(설정!$A$43&lt;&gt;"",ISNUMBER(SEARCH(설정!$A$43,K941))),설정!$B$43,IF(AND(설정!$A$44&lt;&gt;"",ISNUMBER(SEARCH(설정!$A$44,K941))),설정!$B$44,IF(AND(설정!$A$45&lt;&gt;"",ISNUMBER(SEARCH(설정!$A$45,K941))),설정!$B$45,IF(AND(설정!$A$46&lt;&gt;"",ISNUMBER(SEARCH(설정!$A$46,K941))),설정!$B$46,IF(AND(설정!$A$47&lt;&gt;"",ISNUMBER(SEARCH(설정!$A$47,K941))),설정!$B$47,IF(AND(설정!$A$48&lt;&gt;"",ISNUMBER(SEARCH(설정!$A$48,K941))),설정!$B$48,IF(M941="","설계사","시공사"))))))))),"")</f>
        <v/>
      </c>
      <c r="V941">
        <f>SUBSTITUTE(SUBSTITUTE(SUBSTITUTE(SUBSTITUTE(G941,"(주)",""),"㈜",""),"주식회사","")," ","")</f>
        <v/>
      </c>
      <c r="W941">
        <f>IF(AND(T941,V941&lt;&gt;""),IF(COUNTIFS(V$2:V941,V941,T$2:T941,TRUE)=1,MAX(W$1:W940)+1,""),"")</f>
        <v/>
      </c>
      <c r="X941">
        <f>IFERROR(INDEX('1.산군_붙여넣기'!$A$1:$AZ$1001,ROW(),설정!$C$14)&amp;"","")</f>
        <v/>
      </c>
      <c r="Y941">
        <f>IFERROR(INDEX('1.산군_붙여넣기'!$A$1:$AZ$1001,ROW(),설정!$C$15)&amp;"","")</f>
        <v/>
      </c>
      <c r="Z941">
        <f>IF(T941,V941&amp;"|"&amp;U941,"")</f>
        <v/>
      </c>
    </row>
    <row r="942">
      <c r="A942">
        <f>ROW()</f>
        <v/>
      </c>
      <c r="B942">
        <f>IFERROR(INDEX('1.산군_붙여넣기'!$A$1:$AZ$1001,ROW(),설정!$C$4)&amp;"","")</f>
        <v/>
      </c>
      <c r="C942">
        <f>IFERROR(INDEX('1.산군_붙여넣기'!$A$1:$AZ$1001,ROW(),설정!$C$5)&amp;"","")</f>
        <v/>
      </c>
      <c r="D942" s="5">
        <f>IFERROR(VALUE(SUBSTITUTE(SUBSTITUTE(SUBSTITUTE(IFERROR(INDEX('1.산군_붙여넣기'!$A$1:$AZ$1001,ROW(),설정!$C$6)&amp;"",""),",",""),"㎡",""),"m2","")),"")</f>
        <v/>
      </c>
      <c r="E942">
        <f>IFERROR(INDEX('1.산군_붙여넣기'!$A$1:$AZ$1001,ROW(),설정!$C$7)&amp;"","")</f>
        <v/>
      </c>
      <c r="F942">
        <f>IFERROR(INDEX('1.산군_붙여넣기'!$A$1:$AZ$1001,ROW(),설정!$C$8)&amp;"","")</f>
        <v/>
      </c>
      <c r="G942">
        <f>IFERROR(INDEX('1.산군_붙여넣기'!$A$1:$AZ$1001,ROW(),설정!$C$9)&amp;"","")</f>
        <v/>
      </c>
      <c r="H942">
        <f>IFERROR(INDEX('1.산군_붙여넣기'!$A$1:$AZ$1001,ROW(),설정!$C$10)&amp;"","")</f>
        <v/>
      </c>
      <c r="I942">
        <f>IFERROR(INDEX('1.산군_붙여넣기'!$A$1:$AZ$1001,ROW(),설정!$C$11)&amp;"","")</f>
        <v/>
      </c>
      <c r="J942">
        <f>IFERROR(INDEX('1.산군_붙여넣기'!$A$1:$AZ$1001,ROW(),설정!$C$12)&amp;"","")</f>
        <v/>
      </c>
      <c r="K942">
        <f>IFERROR(INDEX('1.산군_붙여넣기'!$A$1:$AZ$1001,ROW(),설정!$C$13)&amp;"","")</f>
        <v/>
      </c>
      <c r="L942" s="6">
        <f>IF(X942="","",IF(AND(LEN(X942)=8,ISNUMBER(X942*1)),DATE(LEFT(X942,4),MID(X942,5,2),RIGHT(X942,2)),IFERROR(DATEVALUE(SUBSTITUTE(SUBSTITUTE(X942,".","-"),"/","-")),IFERROR(X942*1,""))))</f>
        <v/>
      </c>
      <c r="M942" s="6">
        <f>IF(Y942="","",IF(AND(LEN(Y942)=8,ISNUMBER(Y942*1)),DATE(LEFT(Y942,4),MID(Y942,5,2),RIGHT(Y942,2)),IFERROR(DATEVALUE(SUBSTITUTE(SUBSTITUTE(Y942,".","-"),"/","-")),IFERROR(Y942*1,""))))</f>
        <v/>
      </c>
      <c r="N942">
        <f>IFERROR(LEFT(B942,FIND(" ",B942)-1),B942)</f>
        <v/>
      </c>
      <c r="O942">
        <f>AND(B942&lt;&gt;"",B942&lt;&gt;설정!$B$4,C942&lt;&gt;설정!$B$5)</f>
        <v/>
      </c>
      <c r="P942">
        <f>IF(O942,B942&amp;"|"&amp;C942,"")</f>
        <v/>
      </c>
      <c r="Q942">
        <f>AND(O942,COUNTIF(P943:P$1002,P942)=0)</f>
        <v/>
      </c>
      <c r="R942">
        <f>OR(AND(설정!$A$28&lt;&gt;"",ISNUMBER(SEARCH(설정!$A$28,E942&amp;" "&amp;C942))),AND(설정!$A$29&lt;&gt;"",ISNUMBER(SEARCH(설정!$A$29,E942&amp;" "&amp;C942))),AND(설정!$A$30&lt;&gt;"",ISNUMBER(SEARCH(설정!$A$30,E942&amp;" "&amp;C942))),AND(설정!$A$31&lt;&gt;"",ISNUMBER(SEARCH(설정!$A$31,E942&amp;" "&amp;C942))),AND(설정!$A$32&lt;&gt;"",ISNUMBER(SEARCH(설정!$A$32,E942&amp;" "&amp;C942))),AND(설정!$A$33&lt;&gt;"",ISNUMBER(SEARCH(설정!$A$33,E942&amp;" "&amp;C942))),AND(설정!$A$34&lt;&gt;"",ISNUMBER(SEARCH(설정!$A$34,E942&amp;" "&amp;C942))),AND(설정!$A$35&lt;&gt;"",ISNUMBER(SEARCH(설정!$A$35,E942&amp;" "&amp;C942))),AND(설정!$A$36&lt;&gt;"",ISNUMBER(SEARCH(설정!$A$36,E942&amp;" "&amp;C942))),AND(설정!$A$37&lt;&gt;"",ISNUMBER(SEARCH(설정!$A$37,E942&amp;" "&amp;C942))))</f>
        <v/>
      </c>
      <c r="S942">
        <f>OR(D942="",D942&gt;=설정!$B$19)</f>
        <v/>
      </c>
      <c r="T942">
        <f>AND(Q942,R942,S942)</f>
        <v/>
      </c>
      <c r="U942">
        <f>IF(T942,IF(AND(설정!$A$41&lt;&gt;"",ISNUMBER(SEARCH(설정!$A$41,K942))),설정!$B$41,IF(AND(설정!$A$42&lt;&gt;"",ISNUMBER(SEARCH(설정!$A$42,K942))),설정!$B$42,IF(AND(설정!$A$43&lt;&gt;"",ISNUMBER(SEARCH(설정!$A$43,K942))),설정!$B$43,IF(AND(설정!$A$44&lt;&gt;"",ISNUMBER(SEARCH(설정!$A$44,K942))),설정!$B$44,IF(AND(설정!$A$45&lt;&gt;"",ISNUMBER(SEARCH(설정!$A$45,K942))),설정!$B$45,IF(AND(설정!$A$46&lt;&gt;"",ISNUMBER(SEARCH(설정!$A$46,K942))),설정!$B$46,IF(AND(설정!$A$47&lt;&gt;"",ISNUMBER(SEARCH(설정!$A$47,K942))),설정!$B$47,IF(AND(설정!$A$48&lt;&gt;"",ISNUMBER(SEARCH(설정!$A$48,K942))),설정!$B$48,IF(M942="","설계사","시공사"))))))))),"")</f>
        <v/>
      </c>
      <c r="V942">
        <f>SUBSTITUTE(SUBSTITUTE(SUBSTITUTE(SUBSTITUTE(G942,"(주)",""),"㈜",""),"주식회사","")," ","")</f>
        <v/>
      </c>
      <c r="W942">
        <f>IF(AND(T942,V942&lt;&gt;""),IF(COUNTIFS(V$2:V942,V942,T$2:T942,TRUE)=1,MAX(W$1:W941)+1,""),"")</f>
        <v/>
      </c>
      <c r="X942">
        <f>IFERROR(INDEX('1.산군_붙여넣기'!$A$1:$AZ$1001,ROW(),설정!$C$14)&amp;"","")</f>
        <v/>
      </c>
      <c r="Y942">
        <f>IFERROR(INDEX('1.산군_붙여넣기'!$A$1:$AZ$1001,ROW(),설정!$C$15)&amp;"","")</f>
        <v/>
      </c>
      <c r="Z942">
        <f>IF(T942,V942&amp;"|"&amp;U942,"")</f>
        <v/>
      </c>
    </row>
    <row r="943">
      <c r="A943">
        <f>ROW()</f>
        <v/>
      </c>
      <c r="B943">
        <f>IFERROR(INDEX('1.산군_붙여넣기'!$A$1:$AZ$1001,ROW(),설정!$C$4)&amp;"","")</f>
        <v/>
      </c>
      <c r="C943">
        <f>IFERROR(INDEX('1.산군_붙여넣기'!$A$1:$AZ$1001,ROW(),설정!$C$5)&amp;"","")</f>
        <v/>
      </c>
      <c r="D943" s="5">
        <f>IFERROR(VALUE(SUBSTITUTE(SUBSTITUTE(SUBSTITUTE(IFERROR(INDEX('1.산군_붙여넣기'!$A$1:$AZ$1001,ROW(),설정!$C$6)&amp;"",""),",",""),"㎡",""),"m2","")),"")</f>
        <v/>
      </c>
      <c r="E943">
        <f>IFERROR(INDEX('1.산군_붙여넣기'!$A$1:$AZ$1001,ROW(),설정!$C$7)&amp;"","")</f>
        <v/>
      </c>
      <c r="F943">
        <f>IFERROR(INDEX('1.산군_붙여넣기'!$A$1:$AZ$1001,ROW(),설정!$C$8)&amp;"","")</f>
        <v/>
      </c>
      <c r="G943">
        <f>IFERROR(INDEX('1.산군_붙여넣기'!$A$1:$AZ$1001,ROW(),설정!$C$9)&amp;"","")</f>
        <v/>
      </c>
      <c r="H943">
        <f>IFERROR(INDEX('1.산군_붙여넣기'!$A$1:$AZ$1001,ROW(),설정!$C$10)&amp;"","")</f>
        <v/>
      </c>
      <c r="I943">
        <f>IFERROR(INDEX('1.산군_붙여넣기'!$A$1:$AZ$1001,ROW(),설정!$C$11)&amp;"","")</f>
        <v/>
      </c>
      <c r="J943">
        <f>IFERROR(INDEX('1.산군_붙여넣기'!$A$1:$AZ$1001,ROW(),설정!$C$12)&amp;"","")</f>
        <v/>
      </c>
      <c r="K943">
        <f>IFERROR(INDEX('1.산군_붙여넣기'!$A$1:$AZ$1001,ROW(),설정!$C$13)&amp;"","")</f>
        <v/>
      </c>
      <c r="L943" s="6">
        <f>IF(X943="","",IF(AND(LEN(X943)=8,ISNUMBER(X943*1)),DATE(LEFT(X943,4),MID(X943,5,2),RIGHT(X943,2)),IFERROR(DATEVALUE(SUBSTITUTE(SUBSTITUTE(X943,".","-"),"/","-")),IFERROR(X943*1,""))))</f>
        <v/>
      </c>
      <c r="M943" s="6">
        <f>IF(Y943="","",IF(AND(LEN(Y943)=8,ISNUMBER(Y943*1)),DATE(LEFT(Y943,4),MID(Y943,5,2),RIGHT(Y943,2)),IFERROR(DATEVALUE(SUBSTITUTE(SUBSTITUTE(Y943,".","-"),"/","-")),IFERROR(Y943*1,""))))</f>
        <v/>
      </c>
      <c r="N943">
        <f>IFERROR(LEFT(B943,FIND(" ",B943)-1),B943)</f>
        <v/>
      </c>
      <c r="O943">
        <f>AND(B943&lt;&gt;"",B943&lt;&gt;설정!$B$4,C943&lt;&gt;설정!$B$5)</f>
        <v/>
      </c>
      <c r="P943">
        <f>IF(O943,B943&amp;"|"&amp;C943,"")</f>
        <v/>
      </c>
      <c r="Q943">
        <f>AND(O943,COUNTIF(P944:P$1002,P943)=0)</f>
        <v/>
      </c>
      <c r="R943">
        <f>OR(AND(설정!$A$28&lt;&gt;"",ISNUMBER(SEARCH(설정!$A$28,E943&amp;" "&amp;C943))),AND(설정!$A$29&lt;&gt;"",ISNUMBER(SEARCH(설정!$A$29,E943&amp;" "&amp;C943))),AND(설정!$A$30&lt;&gt;"",ISNUMBER(SEARCH(설정!$A$30,E943&amp;" "&amp;C943))),AND(설정!$A$31&lt;&gt;"",ISNUMBER(SEARCH(설정!$A$31,E943&amp;" "&amp;C943))),AND(설정!$A$32&lt;&gt;"",ISNUMBER(SEARCH(설정!$A$32,E943&amp;" "&amp;C943))),AND(설정!$A$33&lt;&gt;"",ISNUMBER(SEARCH(설정!$A$33,E943&amp;" "&amp;C943))),AND(설정!$A$34&lt;&gt;"",ISNUMBER(SEARCH(설정!$A$34,E943&amp;" "&amp;C943))),AND(설정!$A$35&lt;&gt;"",ISNUMBER(SEARCH(설정!$A$35,E943&amp;" "&amp;C943))),AND(설정!$A$36&lt;&gt;"",ISNUMBER(SEARCH(설정!$A$36,E943&amp;" "&amp;C943))),AND(설정!$A$37&lt;&gt;"",ISNUMBER(SEARCH(설정!$A$37,E943&amp;" "&amp;C943))))</f>
        <v/>
      </c>
      <c r="S943">
        <f>OR(D943="",D943&gt;=설정!$B$19)</f>
        <v/>
      </c>
      <c r="T943">
        <f>AND(Q943,R943,S943)</f>
        <v/>
      </c>
      <c r="U943">
        <f>IF(T943,IF(AND(설정!$A$41&lt;&gt;"",ISNUMBER(SEARCH(설정!$A$41,K943))),설정!$B$41,IF(AND(설정!$A$42&lt;&gt;"",ISNUMBER(SEARCH(설정!$A$42,K943))),설정!$B$42,IF(AND(설정!$A$43&lt;&gt;"",ISNUMBER(SEARCH(설정!$A$43,K943))),설정!$B$43,IF(AND(설정!$A$44&lt;&gt;"",ISNUMBER(SEARCH(설정!$A$44,K943))),설정!$B$44,IF(AND(설정!$A$45&lt;&gt;"",ISNUMBER(SEARCH(설정!$A$45,K943))),설정!$B$45,IF(AND(설정!$A$46&lt;&gt;"",ISNUMBER(SEARCH(설정!$A$46,K943))),설정!$B$46,IF(AND(설정!$A$47&lt;&gt;"",ISNUMBER(SEARCH(설정!$A$47,K943))),설정!$B$47,IF(AND(설정!$A$48&lt;&gt;"",ISNUMBER(SEARCH(설정!$A$48,K943))),설정!$B$48,IF(M943="","설계사","시공사"))))))))),"")</f>
        <v/>
      </c>
      <c r="V943">
        <f>SUBSTITUTE(SUBSTITUTE(SUBSTITUTE(SUBSTITUTE(G943,"(주)",""),"㈜",""),"주식회사","")," ","")</f>
        <v/>
      </c>
      <c r="W943">
        <f>IF(AND(T943,V943&lt;&gt;""),IF(COUNTIFS(V$2:V943,V943,T$2:T943,TRUE)=1,MAX(W$1:W942)+1,""),"")</f>
        <v/>
      </c>
      <c r="X943">
        <f>IFERROR(INDEX('1.산군_붙여넣기'!$A$1:$AZ$1001,ROW(),설정!$C$14)&amp;"","")</f>
        <v/>
      </c>
      <c r="Y943">
        <f>IFERROR(INDEX('1.산군_붙여넣기'!$A$1:$AZ$1001,ROW(),설정!$C$15)&amp;"","")</f>
        <v/>
      </c>
      <c r="Z943">
        <f>IF(T943,V943&amp;"|"&amp;U943,"")</f>
        <v/>
      </c>
    </row>
    <row r="944">
      <c r="A944">
        <f>ROW()</f>
        <v/>
      </c>
      <c r="B944">
        <f>IFERROR(INDEX('1.산군_붙여넣기'!$A$1:$AZ$1001,ROW(),설정!$C$4)&amp;"","")</f>
        <v/>
      </c>
      <c r="C944">
        <f>IFERROR(INDEX('1.산군_붙여넣기'!$A$1:$AZ$1001,ROW(),설정!$C$5)&amp;"","")</f>
        <v/>
      </c>
      <c r="D944" s="5">
        <f>IFERROR(VALUE(SUBSTITUTE(SUBSTITUTE(SUBSTITUTE(IFERROR(INDEX('1.산군_붙여넣기'!$A$1:$AZ$1001,ROW(),설정!$C$6)&amp;"",""),",",""),"㎡",""),"m2","")),"")</f>
        <v/>
      </c>
      <c r="E944">
        <f>IFERROR(INDEX('1.산군_붙여넣기'!$A$1:$AZ$1001,ROW(),설정!$C$7)&amp;"","")</f>
        <v/>
      </c>
      <c r="F944">
        <f>IFERROR(INDEX('1.산군_붙여넣기'!$A$1:$AZ$1001,ROW(),설정!$C$8)&amp;"","")</f>
        <v/>
      </c>
      <c r="G944">
        <f>IFERROR(INDEX('1.산군_붙여넣기'!$A$1:$AZ$1001,ROW(),설정!$C$9)&amp;"","")</f>
        <v/>
      </c>
      <c r="H944">
        <f>IFERROR(INDEX('1.산군_붙여넣기'!$A$1:$AZ$1001,ROW(),설정!$C$10)&amp;"","")</f>
        <v/>
      </c>
      <c r="I944">
        <f>IFERROR(INDEX('1.산군_붙여넣기'!$A$1:$AZ$1001,ROW(),설정!$C$11)&amp;"","")</f>
        <v/>
      </c>
      <c r="J944">
        <f>IFERROR(INDEX('1.산군_붙여넣기'!$A$1:$AZ$1001,ROW(),설정!$C$12)&amp;"","")</f>
        <v/>
      </c>
      <c r="K944">
        <f>IFERROR(INDEX('1.산군_붙여넣기'!$A$1:$AZ$1001,ROW(),설정!$C$13)&amp;"","")</f>
        <v/>
      </c>
      <c r="L944" s="6">
        <f>IF(X944="","",IF(AND(LEN(X944)=8,ISNUMBER(X944*1)),DATE(LEFT(X944,4),MID(X944,5,2),RIGHT(X944,2)),IFERROR(DATEVALUE(SUBSTITUTE(SUBSTITUTE(X944,".","-"),"/","-")),IFERROR(X944*1,""))))</f>
        <v/>
      </c>
      <c r="M944" s="6">
        <f>IF(Y944="","",IF(AND(LEN(Y944)=8,ISNUMBER(Y944*1)),DATE(LEFT(Y944,4),MID(Y944,5,2),RIGHT(Y944,2)),IFERROR(DATEVALUE(SUBSTITUTE(SUBSTITUTE(Y944,".","-"),"/","-")),IFERROR(Y944*1,""))))</f>
        <v/>
      </c>
      <c r="N944">
        <f>IFERROR(LEFT(B944,FIND(" ",B944)-1),B944)</f>
        <v/>
      </c>
      <c r="O944">
        <f>AND(B944&lt;&gt;"",B944&lt;&gt;설정!$B$4,C944&lt;&gt;설정!$B$5)</f>
        <v/>
      </c>
      <c r="P944">
        <f>IF(O944,B944&amp;"|"&amp;C944,"")</f>
        <v/>
      </c>
      <c r="Q944">
        <f>AND(O944,COUNTIF(P945:P$1002,P944)=0)</f>
        <v/>
      </c>
      <c r="R944">
        <f>OR(AND(설정!$A$28&lt;&gt;"",ISNUMBER(SEARCH(설정!$A$28,E944&amp;" "&amp;C944))),AND(설정!$A$29&lt;&gt;"",ISNUMBER(SEARCH(설정!$A$29,E944&amp;" "&amp;C944))),AND(설정!$A$30&lt;&gt;"",ISNUMBER(SEARCH(설정!$A$30,E944&amp;" "&amp;C944))),AND(설정!$A$31&lt;&gt;"",ISNUMBER(SEARCH(설정!$A$31,E944&amp;" "&amp;C944))),AND(설정!$A$32&lt;&gt;"",ISNUMBER(SEARCH(설정!$A$32,E944&amp;" "&amp;C944))),AND(설정!$A$33&lt;&gt;"",ISNUMBER(SEARCH(설정!$A$33,E944&amp;" "&amp;C944))),AND(설정!$A$34&lt;&gt;"",ISNUMBER(SEARCH(설정!$A$34,E944&amp;" "&amp;C944))),AND(설정!$A$35&lt;&gt;"",ISNUMBER(SEARCH(설정!$A$35,E944&amp;" "&amp;C944))),AND(설정!$A$36&lt;&gt;"",ISNUMBER(SEARCH(설정!$A$36,E944&amp;" "&amp;C944))),AND(설정!$A$37&lt;&gt;"",ISNUMBER(SEARCH(설정!$A$37,E944&amp;" "&amp;C944))))</f>
        <v/>
      </c>
      <c r="S944">
        <f>OR(D944="",D944&gt;=설정!$B$19)</f>
        <v/>
      </c>
      <c r="T944">
        <f>AND(Q944,R944,S944)</f>
        <v/>
      </c>
      <c r="U944">
        <f>IF(T944,IF(AND(설정!$A$41&lt;&gt;"",ISNUMBER(SEARCH(설정!$A$41,K944))),설정!$B$41,IF(AND(설정!$A$42&lt;&gt;"",ISNUMBER(SEARCH(설정!$A$42,K944))),설정!$B$42,IF(AND(설정!$A$43&lt;&gt;"",ISNUMBER(SEARCH(설정!$A$43,K944))),설정!$B$43,IF(AND(설정!$A$44&lt;&gt;"",ISNUMBER(SEARCH(설정!$A$44,K944))),설정!$B$44,IF(AND(설정!$A$45&lt;&gt;"",ISNUMBER(SEARCH(설정!$A$45,K944))),설정!$B$45,IF(AND(설정!$A$46&lt;&gt;"",ISNUMBER(SEARCH(설정!$A$46,K944))),설정!$B$46,IF(AND(설정!$A$47&lt;&gt;"",ISNUMBER(SEARCH(설정!$A$47,K944))),설정!$B$47,IF(AND(설정!$A$48&lt;&gt;"",ISNUMBER(SEARCH(설정!$A$48,K944))),설정!$B$48,IF(M944="","설계사","시공사"))))))))),"")</f>
        <v/>
      </c>
      <c r="V944">
        <f>SUBSTITUTE(SUBSTITUTE(SUBSTITUTE(SUBSTITUTE(G944,"(주)",""),"㈜",""),"주식회사","")," ","")</f>
        <v/>
      </c>
      <c r="W944">
        <f>IF(AND(T944,V944&lt;&gt;""),IF(COUNTIFS(V$2:V944,V944,T$2:T944,TRUE)=1,MAX(W$1:W943)+1,""),"")</f>
        <v/>
      </c>
      <c r="X944">
        <f>IFERROR(INDEX('1.산군_붙여넣기'!$A$1:$AZ$1001,ROW(),설정!$C$14)&amp;"","")</f>
        <v/>
      </c>
      <c r="Y944">
        <f>IFERROR(INDEX('1.산군_붙여넣기'!$A$1:$AZ$1001,ROW(),설정!$C$15)&amp;"","")</f>
        <v/>
      </c>
      <c r="Z944">
        <f>IF(T944,V944&amp;"|"&amp;U944,"")</f>
        <v/>
      </c>
    </row>
    <row r="945">
      <c r="A945">
        <f>ROW()</f>
        <v/>
      </c>
      <c r="B945">
        <f>IFERROR(INDEX('1.산군_붙여넣기'!$A$1:$AZ$1001,ROW(),설정!$C$4)&amp;"","")</f>
        <v/>
      </c>
      <c r="C945">
        <f>IFERROR(INDEX('1.산군_붙여넣기'!$A$1:$AZ$1001,ROW(),설정!$C$5)&amp;"","")</f>
        <v/>
      </c>
      <c r="D945" s="5">
        <f>IFERROR(VALUE(SUBSTITUTE(SUBSTITUTE(SUBSTITUTE(IFERROR(INDEX('1.산군_붙여넣기'!$A$1:$AZ$1001,ROW(),설정!$C$6)&amp;"",""),",",""),"㎡",""),"m2","")),"")</f>
        <v/>
      </c>
      <c r="E945">
        <f>IFERROR(INDEX('1.산군_붙여넣기'!$A$1:$AZ$1001,ROW(),설정!$C$7)&amp;"","")</f>
        <v/>
      </c>
      <c r="F945">
        <f>IFERROR(INDEX('1.산군_붙여넣기'!$A$1:$AZ$1001,ROW(),설정!$C$8)&amp;"","")</f>
        <v/>
      </c>
      <c r="G945">
        <f>IFERROR(INDEX('1.산군_붙여넣기'!$A$1:$AZ$1001,ROW(),설정!$C$9)&amp;"","")</f>
        <v/>
      </c>
      <c r="H945">
        <f>IFERROR(INDEX('1.산군_붙여넣기'!$A$1:$AZ$1001,ROW(),설정!$C$10)&amp;"","")</f>
        <v/>
      </c>
      <c r="I945">
        <f>IFERROR(INDEX('1.산군_붙여넣기'!$A$1:$AZ$1001,ROW(),설정!$C$11)&amp;"","")</f>
        <v/>
      </c>
      <c r="J945">
        <f>IFERROR(INDEX('1.산군_붙여넣기'!$A$1:$AZ$1001,ROW(),설정!$C$12)&amp;"","")</f>
        <v/>
      </c>
      <c r="K945">
        <f>IFERROR(INDEX('1.산군_붙여넣기'!$A$1:$AZ$1001,ROW(),설정!$C$13)&amp;"","")</f>
        <v/>
      </c>
      <c r="L945" s="6">
        <f>IF(X945="","",IF(AND(LEN(X945)=8,ISNUMBER(X945*1)),DATE(LEFT(X945,4),MID(X945,5,2),RIGHT(X945,2)),IFERROR(DATEVALUE(SUBSTITUTE(SUBSTITUTE(X945,".","-"),"/","-")),IFERROR(X945*1,""))))</f>
        <v/>
      </c>
      <c r="M945" s="6">
        <f>IF(Y945="","",IF(AND(LEN(Y945)=8,ISNUMBER(Y945*1)),DATE(LEFT(Y945,4),MID(Y945,5,2),RIGHT(Y945,2)),IFERROR(DATEVALUE(SUBSTITUTE(SUBSTITUTE(Y945,".","-"),"/","-")),IFERROR(Y945*1,""))))</f>
        <v/>
      </c>
      <c r="N945">
        <f>IFERROR(LEFT(B945,FIND(" ",B945)-1),B945)</f>
        <v/>
      </c>
      <c r="O945">
        <f>AND(B945&lt;&gt;"",B945&lt;&gt;설정!$B$4,C945&lt;&gt;설정!$B$5)</f>
        <v/>
      </c>
      <c r="P945">
        <f>IF(O945,B945&amp;"|"&amp;C945,"")</f>
        <v/>
      </c>
      <c r="Q945">
        <f>AND(O945,COUNTIF(P946:P$1002,P945)=0)</f>
        <v/>
      </c>
      <c r="R945">
        <f>OR(AND(설정!$A$28&lt;&gt;"",ISNUMBER(SEARCH(설정!$A$28,E945&amp;" "&amp;C945))),AND(설정!$A$29&lt;&gt;"",ISNUMBER(SEARCH(설정!$A$29,E945&amp;" "&amp;C945))),AND(설정!$A$30&lt;&gt;"",ISNUMBER(SEARCH(설정!$A$30,E945&amp;" "&amp;C945))),AND(설정!$A$31&lt;&gt;"",ISNUMBER(SEARCH(설정!$A$31,E945&amp;" "&amp;C945))),AND(설정!$A$32&lt;&gt;"",ISNUMBER(SEARCH(설정!$A$32,E945&amp;" "&amp;C945))),AND(설정!$A$33&lt;&gt;"",ISNUMBER(SEARCH(설정!$A$33,E945&amp;" "&amp;C945))),AND(설정!$A$34&lt;&gt;"",ISNUMBER(SEARCH(설정!$A$34,E945&amp;" "&amp;C945))),AND(설정!$A$35&lt;&gt;"",ISNUMBER(SEARCH(설정!$A$35,E945&amp;" "&amp;C945))),AND(설정!$A$36&lt;&gt;"",ISNUMBER(SEARCH(설정!$A$36,E945&amp;" "&amp;C945))),AND(설정!$A$37&lt;&gt;"",ISNUMBER(SEARCH(설정!$A$37,E945&amp;" "&amp;C945))))</f>
        <v/>
      </c>
      <c r="S945">
        <f>OR(D945="",D945&gt;=설정!$B$19)</f>
        <v/>
      </c>
      <c r="T945">
        <f>AND(Q945,R945,S945)</f>
        <v/>
      </c>
      <c r="U945">
        <f>IF(T945,IF(AND(설정!$A$41&lt;&gt;"",ISNUMBER(SEARCH(설정!$A$41,K945))),설정!$B$41,IF(AND(설정!$A$42&lt;&gt;"",ISNUMBER(SEARCH(설정!$A$42,K945))),설정!$B$42,IF(AND(설정!$A$43&lt;&gt;"",ISNUMBER(SEARCH(설정!$A$43,K945))),설정!$B$43,IF(AND(설정!$A$44&lt;&gt;"",ISNUMBER(SEARCH(설정!$A$44,K945))),설정!$B$44,IF(AND(설정!$A$45&lt;&gt;"",ISNUMBER(SEARCH(설정!$A$45,K945))),설정!$B$45,IF(AND(설정!$A$46&lt;&gt;"",ISNUMBER(SEARCH(설정!$A$46,K945))),설정!$B$46,IF(AND(설정!$A$47&lt;&gt;"",ISNUMBER(SEARCH(설정!$A$47,K945))),설정!$B$47,IF(AND(설정!$A$48&lt;&gt;"",ISNUMBER(SEARCH(설정!$A$48,K945))),설정!$B$48,IF(M945="","설계사","시공사"))))))))),"")</f>
        <v/>
      </c>
      <c r="V945">
        <f>SUBSTITUTE(SUBSTITUTE(SUBSTITUTE(SUBSTITUTE(G945,"(주)",""),"㈜",""),"주식회사","")," ","")</f>
        <v/>
      </c>
      <c r="W945">
        <f>IF(AND(T945,V945&lt;&gt;""),IF(COUNTIFS(V$2:V945,V945,T$2:T945,TRUE)=1,MAX(W$1:W944)+1,""),"")</f>
        <v/>
      </c>
      <c r="X945">
        <f>IFERROR(INDEX('1.산군_붙여넣기'!$A$1:$AZ$1001,ROW(),설정!$C$14)&amp;"","")</f>
        <v/>
      </c>
      <c r="Y945">
        <f>IFERROR(INDEX('1.산군_붙여넣기'!$A$1:$AZ$1001,ROW(),설정!$C$15)&amp;"","")</f>
        <v/>
      </c>
      <c r="Z945">
        <f>IF(T945,V945&amp;"|"&amp;U945,"")</f>
        <v/>
      </c>
    </row>
    <row r="946">
      <c r="A946">
        <f>ROW()</f>
        <v/>
      </c>
      <c r="B946">
        <f>IFERROR(INDEX('1.산군_붙여넣기'!$A$1:$AZ$1001,ROW(),설정!$C$4)&amp;"","")</f>
        <v/>
      </c>
      <c r="C946">
        <f>IFERROR(INDEX('1.산군_붙여넣기'!$A$1:$AZ$1001,ROW(),설정!$C$5)&amp;"","")</f>
        <v/>
      </c>
      <c r="D946" s="5">
        <f>IFERROR(VALUE(SUBSTITUTE(SUBSTITUTE(SUBSTITUTE(IFERROR(INDEX('1.산군_붙여넣기'!$A$1:$AZ$1001,ROW(),설정!$C$6)&amp;"",""),",",""),"㎡",""),"m2","")),"")</f>
        <v/>
      </c>
      <c r="E946">
        <f>IFERROR(INDEX('1.산군_붙여넣기'!$A$1:$AZ$1001,ROW(),설정!$C$7)&amp;"","")</f>
        <v/>
      </c>
      <c r="F946">
        <f>IFERROR(INDEX('1.산군_붙여넣기'!$A$1:$AZ$1001,ROW(),설정!$C$8)&amp;"","")</f>
        <v/>
      </c>
      <c r="G946">
        <f>IFERROR(INDEX('1.산군_붙여넣기'!$A$1:$AZ$1001,ROW(),설정!$C$9)&amp;"","")</f>
        <v/>
      </c>
      <c r="H946">
        <f>IFERROR(INDEX('1.산군_붙여넣기'!$A$1:$AZ$1001,ROW(),설정!$C$10)&amp;"","")</f>
        <v/>
      </c>
      <c r="I946">
        <f>IFERROR(INDEX('1.산군_붙여넣기'!$A$1:$AZ$1001,ROW(),설정!$C$11)&amp;"","")</f>
        <v/>
      </c>
      <c r="J946">
        <f>IFERROR(INDEX('1.산군_붙여넣기'!$A$1:$AZ$1001,ROW(),설정!$C$12)&amp;"","")</f>
        <v/>
      </c>
      <c r="K946">
        <f>IFERROR(INDEX('1.산군_붙여넣기'!$A$1:$AZ$1001,ROW(),설정!$C$13)&amp;"","")</f>
        <v/>
      </c>
      <c r="L946" s="6">
        <f>IF(X946="","",IF(AND(LEN(X946)=8,ISNUMBER(X946*1)),DATE(LEFT(X946,4),MID(X946,5,2),RIGHT(X946,2)),IFERROR(DATEVALUE(SUBSTITUTE(SUBSTITUTE(X946,".","-"),"/","-")),IFERROR(X946*1,""))))</f>
        <v/>
      </c>
      <c r="M946" s="6">
        <f>IF(Y946="","",IF(AND(LEN(Y946)=8,ISNUMBER(Y946*1)),DATE(LEFT(Y946,4),MID(Y946,5,2),RIGHT(Y946,2)),IFERROR(DATEVALUE(SUBSTITUTE(SUBSTITUTE(Y946,".","-"),"/","-")),IFERROR(Y946*1,""))))</f>
        <v/>
      </c>
      <c r="N946">
        <f>IFERROR(LEFT(B946,FIND(" ",B946)-1),B946)</f>
        <v/>
      </c>
      <c r="O946">
        <f>AND(B946&lt;&gt;"",B946&lt;&gt;설정!$B$4,C946&lt;&gt;설정!$B$5)</f>
        <v/>
      </c>
      <c r="P946">
        <f>IF(O946,B946&amp;"|"&amp;C946,"")</f>
        <v/>
      </c>
      <c r="Q946">
        <f>AND(O946,COUNTIF(P947:P$1002,P946)=0)</f>
        <v/>
      </c>
      <c r="R946">
        <f>OR(AND(설정!$A$28&lt;&gt;"",ISNUMBER(SEARCH(설정!$A$28,E946&amp;" "&amp;C946))),AND(설정!$A$29&lt;&gt;"",ISNUMBER(SEARCH(설정!$A$29,E946&amp;" "&amp;C946))),AND(설정!$A$30&lt;&gt;"",ISNUMBER(SEARCH(설정!$A$30,E946&amp;" "&amp;C946))),AND(설정!$A$31&lt;&gt;"",ISNUMBER(SEARCH(설정!$A$31,E946&amp;" "&amp;C946))),AND(설정!$A$32&lt;&gt;"",ISNUMBER(SEARCH(설정!$A$32,E946&amp;" "&amp;C946))),AND(설정!$A$33&lt;&gt;"",ISNUMBER(SEARCH(설정!$A$33,E946&amp;" "&amp;C946))),AND(설정!$A$34&lt;&gt;"",ISNUMBER(SEARCH(설정!$A$34,E946&amp;" "&amp;C946))),AND(설정!$A$35&lt;&gt;"",ISNUMBER(SEARCH(설정!$A$35,E946&amp;" "&amp;C946))),AND(설정!$A$36&lt;&gt;"",ISNUMBER(SEARCH(설정!$A$36,E946&amp;" "&amp;C946))),AND(설정!$A$37&lt;&gt;"",ISNUMBER(SEARCH(설정!$A$37,E946&amp;" "&amp;C946))))</f>
        <v/>
      </c>
      <c r="S946">
        <f>OR(D946="",D946&gt;=설정!$B$19)</f>
        <v/>
      </c>
      <c r="T946">
        <f>AND(Q946,R946,S946)</f>
        <v/>
      </c>
      <c r="U946">
        <f>IF(T946,IF(AND(설정!$A$41&lt;&gt;"",ISNUMBER(SEARCH(설정!$A$41,K946))),설정!$B$41,IF(AND(설정!$A$42&lt;&gt;"",ISNUMBER(SEARCH(설정!$A$42,K946))),설정!$B$42,IF(AND(설정!$A$43&lt;&gt;"",ISNUMBER(SEARCH(설정!$A$43,K946))),설정!$B$43,IF(AND(설정!$A$44&lt;&gt;"",ISNUMBER(SEARCH(설정!$A$44,K946))),설정!$B$44,IF(AND(설정!$A$45&lt;&gt;"",ISNUMBER(SEARCH(설정!$A$45,K946))),설정!$B$45,IF(AND(설정!$A$46&lt;&gt;"",ISNUMBER(SEARCH(설정!$A$46,K946))),설정!$B$46,IF(AND(설정!$A$47&lt;&gt;"",ISNUMBER(SEARCH(설정!$A$47,K946))),설정!$B$47,IF(AND(설정!$A$48&lt;&gt;"",ISNUMBER(SEARCH(설정!$A$48,K946))),설정!$B$48,IF(M946="","설계사","시공사"))))))))),"")</f>
        <v/>
      </c>
      <c r="V946">
        <f>SUBSTITUTE(SUBSTITUTE(SUBSTITUTE(SUBSTITUTE(G946,"(주)",""),"㈜",""),"주식회사","")," ","")</f>
        <v/>
      </c>
      <c r="W946">
        <f>IF(AND(T946,V946&lt;&gt;""),IF(COUNTIFS(V$2:V946,V946,T$2:T946,TRUE)=1,MAX(W$1:W945)+1,""),"")</f>
        <v/>
      </c>
      <c r="X946">
        <f>IFERROR(INDEX('1.산군_붙여넣기'!$A$1:$AZ$1001,ROW(),설정!$C$14)&amp;"","")</f>
        <v/>
      </c>
      <c r="Y946">
        <f>IFERROR(INDEX('1.산군_붙여넣기'!$A$1:$AZ$1001,ROW(),설정!$C$15)&amp;"","")</f>
        <v/>
      </c>
      <c r="Z946">
        <f>IF(T946,V946&amp;"|"&amp;U946,"")</f>
        <v/>
      </c>
    </row>
    <row r="947">
      <c r="A947">
        <f>ROW()</f>
        <v/>
      </c>
      <c r="B947">
        <f>IFERROR(INDEX('1.산군_붙여넣기'!$A$1:$AZ$1001,ROW(),설정!$C$4)&amp;"","")</f>
        <v/>
      </c>
      <c r="C947">
        <f>IFERROR(INDEX('1.산군_붙여넣기'!$A$1:$AZ$1001,ROW(),설정!$C$5)&amp;"","")</f>
        <v/>
      </c>
      <c r="D947" s="5">
        <f>IFERROR(VALUE(SUBSTITUTE(SUBSTITUTE(SUBSTITUTE(IFERROR(INDEX('1.산군_붙여넣기'!$A$1:$AZ$1001,ROW(),설정!$C$6)&amp;"",""),",",""),"㎡",""),"m2","")),"")</f>
        <v/>
      </c>
      <c r="E947">
        <f>IFERROR(INDEX('1.산군_붙여넣기'!$A$1:$AZ$1001,ROW(),설정!$C$7)&amp;"","")</f>
        <v/>
      </c>
      <c r="F947">
        <f>IFERROR(INDEX('1.산군_붙여넣기'!$A$1:$AZ$1001,ROW(),설정!$C$8)&amp;"","")</f>
        <v/>
      </c>
      <c r="G947">
        <f>IFERROR(INDEX('1.산군_붙여넣기'!$A$1:$AZ$1001,ROW(),설정!$C$9)&amp;"","")</f>
        <v/>
      </c>
      <c r="H947">
        <f>IFERROR(INDEX('1.산군_붙여넣기'!$A$1:$AZ$1001,ROW(),설정!$C$10)&amp;"","")</f>
        <v/>
      </c>
      <c r="I947">
        <f>IFERROR(INDEX('1.산군_붙여넣기'!$A$1:$AZ$1001,ROW(),설정!$C$11)&amp;"","")</f>
        <v/>
      </c>
      <c r="J947">
        <f>IFERROR(INDEX('1.산군_붙여넣기'!$A$1:$AZ$1001,ROW(),설정!$C$12)&amp;"","")</f>
        <v/>
      </c>
      <c r="K947">
        <f>IFERROR(INDEX('1.산군_붙여넣기'!$A$1:$AZ$1001,ROW(),설정!$C$13)&amp;"","")</f>
        <v/>
      </c>
      <c r="L947" s="6">
        <f>IF(X947="","",IF(AND(LEN(X947)=8,ISNUMBER(X947*1)),DATE(LEFT(X947,4),MID(X947,5,2),RIGHT(X947,2)),IFERROR(DATEVALUE(SUBSTITUTE(SUBSTITUTE(X947,".","-"),"/","-")),IFERROR(X947*1,""))))</f>
        <v/>
      </c>
      <c r="M947" s="6">
        <f>IF(Y947="","",IF(AND(LEN(Y947)=8,ISNUMBER(Y947*1)),DATE(LEFT(Y947,4),MID(Y947,5,2),RIGHT(Y947,2)),IFERROR(DATEVALUE(SUBSTITUTE(SUBSTITUTE(Y947,".","-"),"/","-")),IFERROR(Y947*1,""))))</f>
        <v/>
      </c>
      <c r="N947">
        <f>IFERROR(LEFT(B947,FIND(" ",B947)-1),B947)</f>
        <v/>
      </c>
      <c r="O947">
        <f>AND(B947&lt;&gt;"",B947&lt;&gt;설정!$B$4,C947&lt;&gt;설정!$B$5)</f>
        <v/>
      </c>
      <c r="P947">
        <f>IF(O947,B947&amp;"|"&amp;C947,"")</f>
        <v/>
      </c>
      <c r="Q947">
        <f>AND(O947,COUNTIF(P948:P$1002,P947)=0)</f>
        <v/>
      </c>
      <c r="R947">
        <f>OR(AND(설정!$A$28&lt;&gt;"",ISNUMBER(SEARCH(설정!$A$28,E947&amp;" "&amp;C947))),AND(설정!$A$29&lt;&gt;"",ISNUMBER(SEARCH(설정!$A$29,E947&amp;" "&amp;C947))),AND(설정!$A$30&lt;&gt;"",ISNUMBER(SEARCH(설정!$A$30,E947&amp;" "&amp;C947))),AND(설정!$A$31&lt;&gt;"",ISNUMBER(SEARCH(설정!$A$31,E947&amp;" "&amp;C947))),AND(설정!$A$32&lt;&gt;"",ISNUMBER(SEARCH(설정!$A$32,E947&amp;" "&amp;C947))),AND(설정!$A$33&lt;&gt;"",ISNUMBER(SEARCH(설정!$A$33,E947&amp;" "&amp;C947))),AND(설정!$A$34&lt;&gt;"",ISNUMBER(SEARCH(설정!$A$34,E947&amp;" "&amp;C947))),AND(설정!$A$35&lt;&gt;"",ISNUMBER(SEARCH(설정!$A$35,E947&amp;" "&amp;C947))),AND(설정!$A$36&lt;&gt;"",ISNUMBER(SEARCH(설정!$A$36,E947&amp;" "&amp;C947))),AND(설정!$A$37&lt;&gt;"",ISNUMBER(SEARCH(설정!$A$37,E947&amp;" "&amp;C947))))</f>
        <v/>
      </c>
      <c r="S947">
        <f>OR(D947="",D947&gt;=설정!$B$19)</f>
        <v/>
      </c>
      <c r="T947">
        <f>AND(Q947,R947,S947)</f>
        <v/>
      </c>
      <c r="U947">
        <f>IF(T947,IF(AND(설정!$A$41&lt;&gt;"",ISNUMBER(SEARCH(설정!$A$41,K947))),설정!$B$41,IF(AND(설정!$A$42&lt;&gt;"",ISNUMBER(SEARCH(설정!$A$42,K947))),설정!$B$42,IF(AND(설정!$A$43&lt;&gt;"",ISNUMBER(SEARCH(설정!$A$43,K947))),설정!$B$43,IF(AND(설정!$A$44&lt;&gt;"",ISNUMBER(SEARCH(설정!$A$44,K947))),설정!$B$44,IF(AND(설정!$A$45&lt;&gt;"",ISNUMBER(SEARCH(설정!$A$45,K947))),설정!$B$45,IF(AND(설정!$A$46&lt;&gt;"",ISNUMBER(SEARCH(설정!$A$46,K947))),설정!$B$46,IF(AND(설정!$A$47&lt;&gt;"",ISNUMBER(SEARCH(설정!$A$47,K947))),설정!$B$47,IF(AND(설정!$A$48&lt;&gt;"",ISNUMBER(SEARCH(설정!$A$48,K947))),설정!$B$48,IF(M947="","설계사","시공사"))))))))),"")</f>
        <v/>
      </c>
      <c r="V947">
        <f>SUBSTITUTE(SUBSTITUTE(SUBSTITUTE(SUBSTITUTE(G947,"(주)",""),"㈜",""),"주식회사","")," ","")</f>
        <v/>
      </c>
      <c r="W947">
        <f>IF(AND(T947,V947&lt;&gt;""),IF(COUNTIFS(V$2:V947,V947,T$2:T947,TRUE)=1,MAX(W$1:W946)+1,""),"")</f>
        <v/>
      </c>
      <c r="X947">
        <f>IFERROR(INDEX('1.산군_붙여넣기'!$A$1:$AZ$1001,ROW(),설정!$C$14)&amp;"","")</f>
        <v/>
      </c>
      <c r="Y947">
        <f>IFERROR(INDEX('1.산군_붙여넣기'!$A$1:$AZ$1001,ROW(),설정!$C$15)&amp;"","")</f>
        <v/>
      </c>
      <c r="Z947">
        <f>IF(T947,V947&amp;"|"&amp;U947,"")</f>
        <v/>
      </c>
    </row>
    <row r="948">
      <c r="A948">
        <f>ROW()</f>
        <v/>
      </c>
      <c r="B948">
        <f>IFERROR(INDEX('1.산군_붙여넣기'!$A$1:$AZ$1001,ROW(),설정!$C$4)&amp;"","")</f>
        <v/>
      </c>
      <c r="C948">
        <f>IFERROR(INDEX('1.산군_붙여넣기'!$A$1:$AZ$1001,ROW(),설정!$C$5)&amp;"","")</f>
        <v/>
      </c>
      <c r="D948" s="5">
        <f>IFERROR(VALUE(SUBSTITUTE(SUBSTITUTE(SUBSTITUTE(IFERROR(INDEX('1.산군_붙여넣기'!$A$1:$AZ$1001,ROW(),설정!$C$6)&amp;"",""),",",""),"㎡",""),"m2","")),"")</f>
        <v/>
      </c>
      <c r="E948">
        <f>IFERROR(INDEX('1.산군_붙여넣기'!$A$1:$AZ$1001,ROW(),설정!$C$7)&amp;"","")</f>
        <v/>
      </c>
      <c r="F948">
        <f>IFERROR(INDEX('1.산군_붙여넣기'!$A$1:$AZ$1001,ROW(),설정!$C$8)&amp;"","")</f>
        <v/>
      </c>
      <c r="G948">
        <f>IFERROR(INDEX('1.산군_붙여넣기'!$A$1:$AZ$1001,ROW(),설정!$C$9)&amp;"","")</f>
        <v/>
      </c>
      <c r="H948">
        <f>IFERROR(INDEX('1.산군_붙여넣기'!$A$1:$AZ$1001,ROW(),설정!$C$10)&amp;"","")</f>
        <v/>
      </c>
      <c r="I948">
        <f>IFERROR(INDEX('1.산군_붙여넣기'!$A$1:$AZ$1001,ROW(),설정!$C$11)&amp;"","")</f>
        <v/>
      </c>
      <c r="J948">
        <f>IFERROR(INDEX('1.산군_붙여넣기'!$A$1:$AZ$1001,ROW(),설정!$C$12)&amp;"","")</f>
        <v/>
      </c>
      <c r="K948">
        <f>IFERROR(INDEX('1.산군_붙여넣기'!$A$1:$AZ$1001,ROW(),설정!$C$13)&amp;"","")</f>
        <v/>
      </c>
      <c r="L948" s="6">
        <f>IF(X948="","",IF(AND(LEN(X948)=8,ISNUMBER(X948*1)),DATE(LEFT(X948,4),MID(X948,5,2),RIGHT(X948,2)),IFERROR(DATEVALUE(SUBSTITUTE(SUBSTITUTE(X948,".","-"),"/","-")),IFERROR(X948*1,""))))</f>
        <v/>
      </c>
      <c r="M948" s="6">
        <f>IF(Y948="","",IF(AND(LEN(Y948)=8,ISNUMBER(Y948*1)),DATE(LEFT(Y948,4),MID(Y948,5,2),RIGHT(Y948,2)),IFERROR(DATEVALUE(SUBSTITUTE(SUBSTITUTE(Y948,".","-"),"/","-")),IFERROR(Y948*1,""))))</f>
        <v/>
      </c>
      <c r="N948">
        <f>IFERROR(LEFT(B948,FIND(" ",B948)-1),B948)</f>
        <v/>
      </c>
      <c r="O948">
        <f>AND(B948&lt;&gt;"",B948&lt;&gt;설정!$B$4,C948&lt;&gt;설정!$B$5)</f>
        <v/>
      </c>
      <c r="P948">
        <f>IF(O948,B948&amp;"|"&amp;C948,"")</f>
        <v/>
      </c>
      <c r="Q948">
        <f>AND(O948,COUNTIF(P949:P$1002,P948)=0)</f>
        <v/>
      </c>
      <c r="R948">
        <f>OR(AND(설정!$A$28&lt;&gt;"",ISNUMBER(SEARCH(설정!$A$28,E948&amp;" "&amp;C948))),AND(설정!$A$29&lt;&gt;"",ISNUMBER(SEARCH(설정!$A$29,E948&amp;" "&amp;C948))),AND(설정!$A$30&lt;&gt;"",ISNUMBER(SEARCH(설정!$A$30,E948&amp;" "&amp;C948))),AND(설정!$A$31&lt;&gt;"",ISNUMBER(SEARCH(설정!$A$31,E948&amp;" "&amp;C948))),AND(설정!$A$32&lt;&gt;"",ISNUMBER(SEARCH(설정!$A$32,E948&amp;" "&amp;C948))),AND(설정!$A$33&lt;&gt;"",ISNUMBER(SEARCH(설정!$A$33,E948&amp;" "&amp;C948))),AND(설정!$A$34&lt;&gt;"",ISNUMBER(SEARCH(설정!$A$34,E948&amp;" "&amp;C948))),AND(설정!$A$35&lt;&gt;"",ISNUMBER(SEARCH(설정!$A$35,E948&amp;" "&amp;C948))),AND(설정!$A$36&lt;&gt;"",ISNUMBER(SEARCH(설정!$A$36,E948&amp;" "&amp;C948))),AND(설정!$A$37&lt;&gt;"",ISNUMBER(SEARCH(설정!$A$37,E948&amp;" "&amp;C948))))</f>
        <v/>
      </c>
      <c r="S948">
        <f>OR(D948="",D948&gt;=설정!$B$19)</f>
        <v/>
      </c>
      <c r="T948">
        <f>AND(Q948,R948,S948)</f>
        <v/>
      </c>
      <c r="U948">
        <f>IF(T948,IF(AND(설정!$A$41&lt;&gt;"",ISNUMBER(SEARCH(설정!$A$41,K948))),설정!$B$41,IF(AND(설정!$A$42&lt;&gt;"",ISNUMBER(SEARCH(설정!$A$42,K948))),설정!$B$42,IF(AND(설정!$A$43&lt;&gt;"",ISNUMBER(SEARCH(설정!$A$43,K948))),설정!$B$43,IF(AND(설정!$A$44&lt;&gt;"",ISNUMBER(SEARCH(설정!$A$44,K948))),설정!$B$44,IF(AND(설정!$A$45&lt;&gt;"",ISNUMBER(SEARCH(설정!$A$45,K948))),설정!$B$45,IF(AND(설정!$A$46&lt;&gt;"",ISNUMBER(SEARCH(설정!$A$46,K948))),설정!$B$46,IF(AND(설정!$A$47&lt;&gt;"",ISNUMBER(SEARCH(설정!$A$47,K948))),설정!$B$47,IF(AND(설정!$A$48&lt;&gt;"",ISNUMBER(SEARCH(설정!$A$48,K948))),설정!$B$48,IF(M948="","설계사","시공사"))))))))),"")</f>
        <v/>
      </c>
      <c r="V948">
        <f>SUBSTITUTE(SUBSTITUTE(SUBSTITUTE(SUBSTITUTE(G948,"(주)",""),"㈜",""),"주식회사","")," ","")</f>
        <v/>
      </c>
      <c r="W948">
        <f>IF(AND(T948,V948&lt;&gt;""),IF(COUNTIFS(V$2:V948,V948,T$2:T948,TRUE)=1,MAX(W$1:W947)+1,""),"")</f>
        <v/>
      </c>
      <c r="X948">
        <f>IFERROR(INDEX('1.산군_붙여넣기'!$A$1:$AZ$1001,ROW(),설정!$C$14)&amp;"","")</f>
        <v/>
      </c>
      <c r="Y948">
        <f>IFERROR(INDEX('1.산군_붙여넣기'!$A$1:$AZ$1001,ROW(),설정!$C$15)&amp;"","")</f>
        <v/>
      </c>
      <c r="Z948">
        <f>IF(T948,V948&amp;"|"&amp;U948,"")</f>
        <v/>
      </c>
    </row>
    <row r="949">
      <c r="A949">
        <f>ROW()</f>
        <v/>
      </c>
      <c r="B949">
        <f>IFERROR(INDEX('1.산군_붙여넣기'!$A$1:$AZ$1001,ROW(),설정!$C$4)&amp;"","")</f>
        <v/>
      </c>
      <c r="C949">
        <f>IFERROR(INDEX('1.산군_붙여넣기'!$A$1:$AZ$1001,ROW(),설정!$C$5)&amp;"","")</f>
        <v/>
      </c>
      <c r="D949" s="5">
        <f>IFERROR(VALUE(SUBSTITUTE(SUBSTITUTE(SUBSTITUTE(IFERROR(INDEX('1.산군_붙여넣기'!$A$1:$AZ$1001,ROW(),설정!$C$6)&amp;"",""),",",""),"㎡",""),"m2","")),"")</f>
        <v/>
      </c>
      <c r="E949">
        <f>IFERROR(INDEX('1.산군_붙여넣기'!$A$1:$AZ$1001,ROW(),설정!$C$7)&amp;"","")</f>
        <v/>
      </c>
      <c r="F949">
        <f>IFERROR(INDEX('1.산군_붙여넣기'!$A$1:$AZ$1001,ROW(),설정!$C$8)&amp;"","")</f>
        <v/>
      </c>
      <c r="G949">
        <f>IFERROR(INDEX('1.산군_붙여넣기'!$A$1:$AZ$1001,ROW(),설정!$C$9)&amp;"","")</f>
        <v/>
      </c>
      <c r="H949">
        <f>IFERROR(INDEX('1.산군_붙여넣기'!$A$1:$AZ$1001,ROW(),설정!$C$10)&amp;"","")</f>
        <v/>
      </c>
      <c r="I949">
        <f>IFERROR(INDEX('1.산군_붙여넣기'!$A$1:$AZ$1001,ROW(),설정!$C$11)&amp;"","")</f>
        <v/>
      </c>
      <c r="J949">
        <f>IFERROR(INDEX('1.산군_붙여넣기'!$A$1:$AZ$1001,ROW(),설정!$C$12)&amp;"","")</f>
        <v/>
      </c>
      <c r="K949">
        <f>IFERROR(INDEX('1.산군_붙여넣기'!$A$1:$AZ$1001,ROW(),설정!$C$13)&amp;"","")</f>
        <v/>
      </c>
      <c r="L949" s="6">
        <f>IF(X949="","",IF(AND(LEN(X949)=8,ISNUMBER(X949*1)),DATE(LEFT(X949,4),MID(X949,5,2),RIGHT(X949,2)),IFERROR(DATEVALUE(SUBSTITUTE(SUBSTITUTE(X949,".","-"),"/","-")),IFERROR(X949*1,""))))</f>
        <v/>
      </c>
      <c r="M949" s="6">
        <f>IF(Y949="","",IF(AND(LEN(Y949)=8,ISNUMBER(Y949*1)),DATE(LEFT(Y949,4),MID(Y949,5,2),RIGHT(Y949,2)),IFERROR(DATEVALUE(SUBSTITUTE(SUBSTITUTE(Y949,".","-"),"/","-")),IFERROR(Y949*1,""))))</f>
        <v/>
      </c>
      <c r="N949">
        <f>IFERROR(LEFT(B949,FIND(" ",B949)-1),B949)</f>
        <v/>
      </c>
      <c r="O949">
        <f>AND(B949&lt;&gt;"",B949&lt;&gt;설정!$B$4,C949&lt;&gt;설정!$B$5)</f>
        <v/>
      </c>
      <c r="P949">
        <f>IF(O949,B949&amp;"|"&amp;C949,"")</f>
        <v/>
      </c>
      <c r="Q949">
        <f>AND(O949,COUNTIF(P950:P$1002,P949)=0)</f>
        <v/>
      </c>
      <c r="R949">
        <f>OR(AND(설정!$A$28&lt;&gt;"",ISNUMBER(SEARCH(설정!$A$28,E949&amp;" "&amp;C949))),AND(설정!$A$29&lt;&gt;"",ISNUMBER(SEARCH(설정!$A$29,E949&amp;" "&amp;C949))),AND(설정!$A$30&lt;&gt;"",ISNUMBER(SEARCH(설정!$A$30,E949&amp;" "&amp;C949))),AND(설정!$A$31&lt;&gt;"",ISNUMBER(SEARCH(설정!$A$31,E949&amp;" "&amp;C949))),AND(설정!$A$32&lt;&gt;"",ISNUMBER(SEARCH(설정!$A$32,E949&amp;" "&amp;C949))),AND(설정!$A$33&lt;&gt;"",ISNUMBER(SEARCH(설정!$A$33,E949&amp;" "&amp;C949))),AND(설정!$A$34&lt;&gt;"",ISNUMBER(SEARCH(설정!$A$34,E949&amp;" "&amp;C949))),AND(설정!$A$35&lt;&gt;"",ISNUMBER(SEARCH(설정!$A$35,E949&amp;" "&amp;C949))),AND(설정!$A$36&lt;&gt;"",ISNUMBER(SEARCH(설정!$A$36,E949&amp;" "&amp;C949))),AND(설정!$A$37&lt;&gt;"",ISNUMBER(SEARCH(설정!$A$37,E949&amp;" "&amp;C949))))</f>
        <v/>
      </c>
      <c r="S949">
        <f>OR(D949="",D949&gt;=설정!$B$19)</f>
        <v/>
      </c>
      <c r="T949">
        <f>AND(Q949,R949,S949)</f>
        <v/>
      </c>
      <c r="U949">
        <f>IF(T949,IF(AND(설정!$A$41&lt;&gt;"",ISNUMBER(SEARCH(설정!$A$41,K949))),설정!$B$41,IF(AND(설정!$A$42&lt;&gt;"",ISNUMBER(SEARCH(설정!$A$42,K949))),설정!$B$42,IF(AND(설정!$A$43&lt;&gt;"",ISNUMBER(SEARCH(설정!$A$43,K949))),설정!$B$43,IF(AND(설정!$A$44&lt;&gt;"",ISNUMBER(SEARCH(설정!$A$44,K949))),설정!$B$44,IF(AND(설정!$A$45&lt;&gt;"",ISNUMBER(SEARCH(설정!$A$45,K949))),설정!$B$45,IF(AND(설정!$A$46&lt;&gt;"",ISNUMBER(SEARCH(설정!$A$46,K949))),설정!$B$46,IF(AND(설정!$A$47&lt;&gt;"",ISNUMBER(SEARCH(설정!$A$47,K949))),설정!$B$47,IF(AND(설정!$A$48&lt;&gt;"",ISNUMBER(SEARCH(설정!$A$48,K949))),설정!$B$48,IF(M949="","설계사","시공사"))))))))),"")</f>
        <v/>
      </c>
      <c r="V949">
        <f>SUBSTITUTE(SUBSTITUTE(SUBSTITUTE(SUBSTITUTE(G949,"(주)",""),"㈜",""),"주식회사","")," ","")</f>
        <v/>
      </c>
      <c r="W949">
        <f>IF(AND(T949,V949&lt;&gt;""),IF(COUNTIFS(V$2:V949,V949,T$2:T949,TRUE)=1,MAX(W$1:W948)+1,""),"")</f>
        <v/>
      </c>
      <c r="X949">
        <f>IFERROR(INDEX('1.산군_붙여넣기'!$A$1:$AZ$1001,ROW(),설정!$C$14)&amp;"","")</f>
        <v/>
      </c>
      <c r="Y949">
        <f>IFERROR(INDEX('1.산군_붙여넣기'!$A$1:$AZ$1001,ROW(),설정!$C$15)&amp;"","")</f>
        <v/>
      </c>
      <c r="Z949">
        <f>IF(T949,V949&amp;"|"&amp;U949,"")</f>
        <v/>
      </c>
    </row>
    <row r="950">
      <c r="A950">
        <f>ROW()</f>
        <v/>
      </c>
      <c r="B950">
        <f>IFERROR(INDEX('1.산군_붙여넣기'!$A$1:$AZ$1001,ROW(),설정!$C$4)&amp;"","")</f>
        <v/>
      </c>
      <c r="C950">
        <f>IFERROR(INDEX('1.산군_붙여넣기'!$A$1:$AZ$1001,ROW(),설정!$C$5)&amp;"","")</f>
        <v/>
      </c>
      <c r="D950" s="5">
        <f>IFERROR(VALUE(SUBSTITUTE(SUBSTITUTE(SUBSTITUTE(IFERROR(INDEX('1.산군_붙여넣기'!$A$1:$AZ$1001,ROW(),설정!$C$6)&amp;"",""),",",""),"㎡",""),"m2","")),"")</f>
        <v/>
      </c>
      <c r="E950">
        <f>IFERROR(INDEX('1.산군_붙여넣기'!$A$1:$AZ$1001,ROW(),설정!$C$7)&amp;"","")</f>
        <v/>
      </c>
      <c r="F950">
        <f>IFERROR(INDEX('1.산군_붙여넣기'!$A$1:$AZ$1001,ROW(),설정!$C$8)&amp;"","")</f>
        <v/>
      </c>
      <c r="G950">
        <f>IFERROR(INDEX('1.산군_붙여넣기'!$A$1:$AZ$1001,ROW(),설정!$C$9)&amp;"","")</f>
        <v/>
      </c>
      <c r="H950">
        <f>IFERROR(INDEX('1.산군_붙여넣기'!$A$1:$AZ$1001,ROW(),설정!$C$10)&amp;"","")</f>
        <v/>
      </c>
      <c r="I950">
        <f>IFERROR(INDEX('1.산군_붙여넣기'!$A$1:$AZ$1001,ROW(),설정!$C$11)&amp;"","")</f>
        <v/>
      </c>
      <c r="J950">
        <f>IFERROR(INDEX('1.산군_붙여넣기'!$A$1:$AZ$1001,ROW(),설정!$C$12)&amp;"","")</f>
        <v/>
      </c>
      <c r="K950">
        <f>IFERROR(INDEX('1.산군_붙여넣기'!$A$1:$AZ$1001,ROW(),설정!$C$13)&amp;"","")</f>
        <v/>
      </c>
      <c r="L950" s="6">
        <f>IF(X950="","",IF(AND(LEN(X950)=8,ISNUMBER(X950*1)),DATE(LEFT(X950,4),MID(X950,5,2),RIGHT(X950,2)),IFERROR(DATEVALUE(SUBSTITUTE(SUBSTITUTE(X950,".","-"),"/","-")),IFERROR(X950*1,""))))</f>
        <v/>
      </c>
      <c r="M950" s="6">
        <f>IF(Y950="","",IF(AND(LEN(Y950)=8,ISNUMBER(Y950*1)),DATE(LEFT(Y950,4),MID(Y950,5,2),RIGHT(Y950,2)),IFERROR(DATEVALUE(SUBSTITUTE(SUBSTITUTE(Y950,".","-"),"/","-")),IFERROR(Y950*1,""))))</f>
        <v/>
      </c>
      <c r="N950">
        <f>IFERROR(LEFT(B950,FIND(" ",B950)-1),B950)</f>
        <v/>
      </c>
      <c r="O950">
        <f>AND(B950&lt;&gt;"",B950&lt;&gt;설정!$B$4,C950&lt;&gt;설정!$B$5)</f>
        <v/>
      </c>
      <c r="P950">
        <f>IF(O950,B950&amp;"|"&amp;C950,"")</f>
        <v/>
      </c>
      <c r="Q950">
        <f>AND(O950,COUNTIF(P951:P$1002,P950)=0)</f>
        <v/>
      </c>
      <c r="R950">
        <f>OR(AND(설정!$A$28&lt;&gt;"",ISNUMBER(SEARCH(설정!$A$28,E950&amp;" "&amp;C950))),AND(설정!$A$29&lt;&gt;"",ISNUMBER(SEARCH(설정!$A$29,E950&amp;" "&amp;C950))),AND(설정!$A$30&lt;&gt;"",ISNUMBER(SEARCH(설정!$A$30,E950&amp;" "&amp;C950))),AND(설정!$A$31&lt;&gt;"",ISNUMBER(SEARCH(설정!$A$31,E950&amp;" "&amp;C950))),AND(설정!$A$32&lt;&gt;"",ISNUMBER(SEARCH(설정!$A$32,E950&amp;" "&amp;C950))),AND(설정!$A$33&lt;&gt;"",ISNUMBER(SEARCH(설정!$A$33,E950&amp;" "&amp;C950))),AND(설정!$A$34&lt;&gt;"",ISNUMBER(SEARCH(설정!$A$34,E950&amp;" "&amp;C950))),AND(설정!$A$35&lt;&gt;"",ISNUMBER(SEARCH(설정!$A$35,E950&amp;" "&amp;C950))),AND(설정!$A$36&lt;&gt;"",ISNUMBER(SEARCH(설정!$A$36,E950&amp;" "&amp;C950))),AND(설정!$A$37&lt;&gt;"",ISNUMBER(SEARCH(설정!$A$37,E950&amp;" "&amp;C950))))</f>
        <v/>
      </c>
      <c r="S950">
        <f>OR(D950="",D950&gt;=설정!$B$19)</f>
        <v/>
      </c>
      <c r="T950">
        <f>AND(Q950,R950,S950)</f>
        <v/>
      </c>
      <c r="U950">
        <f>IF(T950,IF(AND(설정!$A$41&lt;&gt;"",ISNUMBER(SEARCH(설정!$A$41,K950))),설정!$B$41,IF(AND(설정!$A$42&lt;&gt;"",ISNUMBER(SEARCH(설정!$A$42,K950))),설정!$B$42,IF(AND(설정!$A$43&lt;&gt;"",ISNUMBER(SEARCH(설정!$A$43,K950))),설정!$B$43,IF(AND(설정!$A$44&lt;&gt;"",ISNUMBER(SEARCH(설정!$A$44,K950))),설정!$B$44,IF(AND(설정!$A$45&lt;&gt;"",ISNUMBER(SEARCH(설정!$A$45,K950))),설정!$B$45,IF(AND(설정!$A$46&lt;&gt;"",ISNUMBER(SEARCH(설정!$A$46,K950))),설정!$B$46,IF(AND(설정!$A$47&lt;&gt;"",ISNUMBER(SEARCH(설정!$A$47,K950))),설정!$B$47,IF(AND(설정!$A$48&lt;&gt;"",ISNUMBER(SEARCH(설정!$A$48,K950))),설정!$B$48,IF(M950="","설계사","시공사"))))))))),"")</f>
        <v/>
      </c>
      <c r="V950">
        <f>SUBSTITUTE(SUBSTITUTE(SUBSTITUTE(SUBSTITUTE(G950,"(주)",""),"㈜",""),"주식회사","")," ","")</f>
        <v/>
      </c>
      <c r="W950">
        <f>IF(AND(T950,V950&lt;&gt;""),IF(COUNTIFS(V$2:V950,V950,T$2:T950,TRUE)=1,MAX(W$1:W949)+1,""),"")</f>
        <v/>
      </c>
      <c r="X950">
        <f>IFERROR(INDEX('1.산군_붙여넣기'!$A$1:$AZ$1001,ROW(),설정!$C$14)&amp;"","")</f>
        <v/>
      </c>
      <c r="Y950">
        <f>IFERROR(INDEX('1.산군_붙여넣기'!$A$1:$AZ$1001,ROW(),설정!$C$15)&amp;"","")</f>
        <v/>
      </c>
      <c r="Z950">
        <f>IF(T950,V950&amp;"|"&amp;U950,"")</f>
        <v/>
      </c>
    </row>
    <row r="951">
      <c r="A951">
        <f>ROW()</f>
        <v/>
      </c>
      <c r="B951">
        <f>IFERROR(INDEX('1.산군_붙여넣기'!$A$1:$AZ$1001,ROW(),설정!$C$4)&amp;"","")</f>
        <v/>
      </c>
      <c r="C951">
        <f>IFERROR(INDEX('1.산군_붙여넣기'!$A$1:$AZ$1001,ROW(),설정!$C$5)&amp;"","")</f>
        <v/>
      </c>
      <c r="D951" s="5">
        <f>IFERROR(VALUE(SUBSTITUTE(SUBSTITUTE(SUBSTITUTE(IFERROR(INDEX('1.산군_붙여넣기'!$A$1:$AZ$1001,ROW(),설정!$C$6)&amp;"",""),",",""),"㎡",""),"m2","")),"")</f>
        <v/>
      </c>
      <c r="E951">
        <f>IFERROR(INDEX('1.산군_붙여넣기'!$A$1:$AZ$1001,ROW(),설정!$C$7)&amp;"","")</f>
        <v/>
      </c>
      <c r="F951">
        <f>IFERROR(INDEX('1.산군_붙여넣기'!$A$1:$AZ$1001,ROW(),설정!$C$8)&amp;"","")</f>
        <v/>
      </c>
      <c r="G951">
        <f>IFERROR(INDEX('1.산군_붙여넣기'!$A$1:$AZ$1001,ROW(),설정!$C$9)&amp;"","")</f>
        <v/>
      </c>
      <c r="H951">
        <f>IFERROR(INDEX('1.산군_붙여넣기'!$A$1:$AZ$1001,ROW(),설정!$C$10)&amp;"","")</f>
        <v/>
      </c>
      <c r="I951">
        <f>IFERROR(INDEX('1.산군_붙여넣기'!$A$1:$AZ$1001,ROW(),설정!$C$11)&amp;"","")</f>
        <v/>
      </c>
      <c r="J951">
        <f>IFERROR(INDEX('1.산군_붙여넣기'!$A$1:$AZ$1001,ROW(),설정!$C$12)&amp;"","")</f>
        <v/>
      </c>
      <c r="K951">
        <f>IFERROR(INDEX('1.산군_붙여넣기'!$A$1:$AZ$1001,ROW(),설정!$C$13)&amp;"","")</f>
        <v/>
      </c>
      <c r="L951" s="6">
        <f>IF(X951="","",IF(AND(LEN(X951)=8,ISNUMBER(X951*1)),DATE(LEFT(X951,4),MID(X951,5,2),RIGHT(X951,2)),IFERROR(DATEVALUE(SUBSTITUTE(SUBSTITUTE(X951,".","-"),"/","-")),IFERROR(X951*1,""))))</f>
        <v/>
      </c>
      <c r="M951" s="6">
        <f>IF(Y951="","",IF(AND(LEN(Y951)=8,ISNUMBER(Y951*1)),DATE(LEFT(Y951,4),MID(Y951,5,2),RIGHT(Y951,2)),IFERROR(DATEVALUE(SUBSTITUTE(SUBSTITUTE(Y951,".","-"),"/","-")),IFERROR(Y951*1,""))))</f>
        <v/>
      </c>
      <c r="N951">
        <f>IFERROR(LEFT(B951,FIND(" ",B951)-1),B951)</f>
        <v/>
      </c>
      <c r="O951">
        <f>AND(B951&lt;&gt;"",B951&lt;&gt;설정!$B$4,C951&lt;&gt;설정!$B$5)</f>
        <v/>
      </c>
      <c r="P951">
        <f>IF(O951,B951&amp;"|"&amp;C951,"")</f>
        <v/>
      </c>
      <c r="Q951">
        <f>AND(O951,COUNTIF(P952:P$1002,P951)=0)</f>
        <v/>
      </c>
      <c r="R951">
        <f>OR(AND(설정!$A$28&lt;&gt;"",ISNUMBER(SEARCH(설정!$A$28,E951&amp;" "&amp;C951))),AND(설정!$A$29&lt;&gt;"",ISNUMBER(SEARCH(설정!$A$29,E951&amp;" "&amp;C951))),AND(설정!$A$30&lt;&gt;"",ISNUMBER(SEARCH(설정!$A$30,E951&amp;" "&amp;C951))),AND(설정!$A$31&lt;&gt;"",ISNUMBER(SEARCH(설정!$A$31,E951&amp;" "&amp;C951))),AND(설정!$A$32&lt;&gt;"",ISNUMBER(SEARCH(설정!$A$32,E951&amp;" "&amp;C951))),AND(설정!$A$33&lt;&gt;"",ISNUMBER(SEARCH(설정!$A$33,E951&amp;" "&amp;C951))),AND(설정!$A$34&lt;&gt;"",ISNUMBER(SEARCH(설정!$A$34,E951&amp;" "&amp;C951))),AND(설정!$A$35&lt;&gt;"",ISNUMBER(SEARCH(설정!$A$35,E951&amp;" "&amp;C951))),AND(설정!$A$36&lt;&gt;"",ISNUMBER(SEARCH(설정!$A$36,E951&amp;" "&amp;C951))),AND(설정!$A$37&lt;&gt;"",ISNUMBER(SEARCH(설정!$A$37,E951&amp;" "&amp;C951))))</f>
        <v/>
      </c>
      <c r="S951">
        <f>OR(D951="",D951&gt;=설정!$B$19)</f>
        <v/>
      </c>
      <c r="T951">
        <f>AND(Q951,R951,S951)</f>
        <v/>
      </c>
      <c r="U951">
        <f>IF(T951,IF(AND(설정!$A$41&lt;&gt;"",ISNUMBER(SEARCH(설정!$A$41,K951))),설정!$B$41,IF(AND(설정!$A$42&lt;&gt;"",ISNUMBER(SEARCH(설정!$A$42,K951))),설정!$B$42,IF(AND(설정!$A$43&lt;&gt;"",ISNUMBER(SEARCH(설정!$A$43,K951))),설정!$B$43,IF(AND(설정!$A$44&lt;&gt;"",ISNUMBER(SEARCH(설정!$A$44,K951))),설정!$B$44,IF(AND(설정!$A$45&lt;&gt;"",ISNUMBER(SEARCH(설정!$A$45,K951))),설정!$B$45,IF(AND(설정!$A$46&lt;&gt;"",ISNUMBER(SEARCH(설정!$A$46,K951))),설정!$B$46,IF(AND(설정!$A$47&lt;&gt;"",ISNUMBER(SEARCH(설정!$A$47,K951))),설정!$B$47,IF(AND(설정!$A$48&lt;&gt;"",ISNUMBER(SEARCH(설정!$A$48,K951))),설정!$B$48,IF(M951="","설계사","시공사"))))))))),"")</f>
        <v/>
      </c>
      <c r="V951">
        <f>SUBSTITUTE(SUBSTITUTE(SUBSTITUTE(SUBSTITUTE(G951,"(주)",""),"㈜",""),"주식회사","")," ","")</f>
        <v/>
      </c>
      <c r="W951">
        <f>IF(AND(T951,V951&lt;&gt;""),IF(COUNTIFS(V$2:V951,V951,T$2:T951,TRUE)=1,MAX(W$1:W950)+1,""),"")</f>
        <v/>
      </c>
      <c r="X951">
        <f>IFERROR(INDEX('1.산군_붙여넣기'!$A$1:$AZ$1001,ROW(),설정!$C$14)&amp;"","")</f>
        <v/>
      </c>
      <c r="Y951">
        <f>IFERROR(INDEX('1.산군_붙여넣기'!$A$1:$AZ$1001,ROW(),설정!$C$15)&amp;"","")</f>
        <v/>
      </c>
      <c r="Z951">
        <f>IF(T951,V951&amp;"|"&amp;U951,"")</f>
        <v/>
      </c>
    </row>
    <row r="952">
      <c r="A952">
        <f>ROW()</f>
        <v/>
      </c>
      <c r="B952">
        <f>IFERROR(INDEX('1.산군_붙여넣기'!$A$1:$AZ$1001,ROW(),설정!$C$4)&amp;"","")</f>
        <v/>
      </c>
      <c r="C952">
        <f>IFERROR(INDEX('1.산군_붙여넣기'!$A$1:$AZ$1001,ROW(),설정!$C$5)&amp;"","")</f>
        <v/>
      </c>
      <c r="D952" s="5">
        <f>IFERROR(VALUE(SUBSTITUTE(SUBSTITUTE(SUBSTITUTE(IFERROR(INDEX('1.산군_붙여넣기'!$A$1:$AZ$1001,ROW(),설정!$C$6)&amp;"",""),",",""),"㎡",""),"m2","")),"")</f>
        <v/>
      </c>
      <c r="E952">
        <f>IFERROR(INDEX('1.산군_붙여넣기'!$A$1:$AZ$1001,ROW(),설정!$C$7)&amp;"","")</f>
        <v/>
      </c>
      <c r="F952">
        <f>IFERROR(INDEX('1.산군_붙여넣기'!$A$1:$AZ$1001,ROW(),설정!$C$8)&amp;"","")</f>
        <v/>
      </c>
      <c r="G952">
        <f>IFERROR(INDEX('1.산군_붙여넣기'!$A$1:$AZ$1001,ROW(),설정!$C$9)&amp;"","")</f>
        <v/>
      </c>
      <c r="H952">
        <f>IFERROR(INDEX('1.산군_붙여넣기'!$A$1:$AZ$1001,ROW(),설정!$C$10)&amp;"","")</f>
        <v/>
      </c>
      <c r="I952">
        <f>IFERROR(INDEX('1.산군_붙여넣기'!$A$1:$AZ$1001,ROW(),설정!$C$11)&amp;"","")</f>
        <v/>
      </c>
      <c r="J952">
        <f>IFERROR(INDEX('1.산군_붙여넣기'!$A$1:$AZ$1001,ROW(),설정!$C$12)&amp;"","")</f>
        <v/>
      </c>
      <c r="K952">
        <f>IFERROR(INDEX('1.산군_붙여넣기'!$A$1:$AZ$1001,ROW(),설정!$C$13)&amp;"","")</f>
        <v/>
      </c>
      <c r="L952" s="6">
        <f>IF(X952="","",IF(AND(LEN(X952)=8,ISNUMBER(X952*1)),DATE(LEFT(X952,4),MID(X952,5,2),RIGHT(X952,2)),IFERROR(DATEVALUE(SUBSTITUTE(SUBSTITUTE(X952,".","-"),"/","-")),IFERROR(X952*1,""))))</f>
        <v/>
      </c>
      <c r="M952" s="6">
        <f>IF(Y952="","",IF(AND(LEN(Y952)=8,ISNUMBER(Y952*1)),DATE(LEFT(Y952,4),MID(Y952,5,2),RIGHT(Y952,2)),IFERROR(DATEVALUE(SUBSTITUTE(SUBSTITUTE(Y952,".","-"),"/","-")),IFERROR(Y952*1,""))))</f>
        <v/>
      </c>
      <c r="N952">
        <f>IFERROR(LEFT(B952,FIND(" ",B952)-1),B952)</f>
        <v/>
      </c>
      <c r="O952">
        <f>AND(B952&lt;&gt;"",B952&lt;&gt;설정!$B$4,C952&lt;&gt;설정!$B$5)</f>
        <v/>
      </c>
      <c r="P952">
        <f>IF(O952,B952&amp;"|"&amp;C952,"")</f>
        <v/>
      </c>
      <c r="Q952">
        <f>AND(O952,COUNTIF(P953:P$1002,P952)=0)</f>
        <v/>
      </c>
      <c r="R952">
        <f>OR(AND(설정!$A$28&lt;&gt;"",ISNUMBER(SEARCH(설정!$A$28,E952&amp;" "&amp;C952))),AND(설정!$A$29&lt;&gt;"",ISNUMBER(SEARCH(설정!$A$29,E952&amp;" "&amp;C952))),AND(설정!$A$30&lt;&gt;"",ISNUMBER(SEARCH(설정!$A$30,E952&amp;" "&amp;C952))),AND(설정!$A$31&lt;&gt;"",ISNUMBER(SEARCH(설정!$A$31,E952&amp;" "&amp;C952))),AND(설정!$A$32&lt;&gt;"",ISNUMBER(SEARCH(설정!$A$32,E952&amp;" "&amp;C952))),AND(설정!$A$33&lt;&gt;"",ISNUMBER(SEARCH(설정!$A$33,E952&amp;" "&amp;C952))),AND(설정!$A$34&lt;&gt;"",ISNUMBER(SEARCH(설정!$A$34,E952&amp;" "&amp;C952))),AND(설정!$A$35&lt;&gt;"",ISNUMBER(SEARCH(설정!$A$35,E952&amp;" "&amp;C952))),AND(설정!$A$36&lt;&gt;"",ISNUMBER(SEARCH(설정!$A$36,E952&amp;" "&amp;C952))),AND(설정!$A$37&lt;&gt;"",ISNUMBER(SEARCH(설정!$A$37,E952&amp;" "&amp;C952))))</f>
        <v/>
      </c>
      <c r="S952">
        <f>OR(D952="",D952&gt;=설정!$B$19)</f>
        <v/>
      </c>
      <c r="T952">
        <f>AND(Q952,R952,S952)</f>
        <v/>
      </c>
      <c r="U952">
        <f>IF(T952,IF(AND(설정!$A$41&lt;&gt;"",ISNUMBER(SEARCH(설정!$A$41,K952))),설정!$B$41,IF(AND(설정!$A$42&lt;&gt;"",ISNUMBER(SEARCH(설정!$A$42,K952))),설정!$B$42,IF(AND(설정!$A$43&lt;&gt;"",ISNUMBER(SEARCH(설정!$A$43,K952))),설정!$B$43,IF(AND(설정!$A$44&lt;&gt;"",ISNUMBER(SEARCH(설정!$A$44,K952))),설정!$B$44,IF(AND(설정!$A$45&lt;&gt;"",ISNUMBER(SEARCH(설정!$A$45,K952))),설정!$B$45,IF(AND(설정!$A$46&lt;&gt;"",ISNUMBER(SEARCH(설정!$A$46,K952))),설정!$B$46,IF(AND(설정!$A$47&lt;&gt;"",ISNUMBER(SEARCH(설정!$A$47,K952))),설정!$B$47,IF(AND(설정!$A$48&lt;&gt;"",ISNUMBER(SEARCH(설정!$A$48,K952))),설정!$B$48,IF(M952="","설계사","시공사"))))))))),"")</f>
        <v/>
      </c>
      <c r="V952">
        <f>SUBSTITUTE(SUBSTITUTE(SUBSTITUTE(SUBSTITUTE(G952,"(주)",""),"㈜",""),"주식회사","")," ","")</f>
        <v/>
      </c>
      <c r="W952">
        <f>IF(AND(T952,V952&lt;&gt;""),IF(COUNTIFS(V$2:V952,V952,T$2:T952,TRUE)=1,MAX(W$1:W951)+1,""),"")</f>
        <v/>
      </c>
      <c r="X952">
        <f>IFERROR(INDEX('1.산군_붙여넣기'!$A$1:$AZ$1001,ROW(),설정!$C$14)&amp;"","")</f>
        <v/>
      </c>
      <c r="Y952">
        <f>IFERROR(INDEX('1.산군_붙여넣기'!$A$1:$AZ$1001,ROW(),설정!$C$15)&amp;"","")</f>
        <v/>
      </c>
      <c r="Z952">
        <f>IF(T952,V952&amp;"|"&amp;U952,"")</f>
        <v/>
      </c>
    </row>
    <row r="953">
      <c r="A953">
        <f>ROW()</f>
        <v/>
      </c>
      <c r="B953">
        <f>IFERROR(INDEX('1.산군_붙여넣기'!$A$1:$AZ$1001,ROW(),설정!$C$4)&amp;"","")</f>
        <v/>
      </c>
      <c r="C953">
        <f>IFERROR(INDEX('1.산군_붙여넣기'!$A$1:$AZ$1001,ROW(),설정!$C$5)&amp;"","")</f>
        <v/>
      </c>
      <c r="D953" s="5">
        <f>IFERROR(VALUE(SUBSTITUTE(SUBSTITUTE(SUBSTITUTE(IFERROR(INDEX('1.산군_붙여넣기'!$A$1:$AZ$1001,ROW(),설정!$C$6)&amp;"",""),",",""),"㎡",""),"m2","")),"")</f>
        <v/>
      </c>
      <c r="E953">
        <f>IFERROR(INDEX('1.산군_붙여넣기'!$A$1:$AZ$1001,ROW(),설정!$C$7)&amp;"","")</f>
        <v/>
      </c>
      <c r="F953">
        <f>IFERROR(INDEX('1.산군_붙여넣기'!$A$1:$AZ$1001,ROW(),설정!$C$8)&amp;"","")</f>
        <v/>
      </c>
      <c r="G953">
        <f>IFERROR(INDEX('1.산군_붙여넣기'!$A$1:$AZ$1001,ROW(),설정!$C$9)&amp;"","")</f>
        <v/>
      </c>
      <c r="H953">
        <f>IFERROR(INDEX('1.산군_붙여넣기'!$A$1:$AZ$1001,ROW(),설정!$C$10)&amp;"","")</f>
        <v/>
      </c>
      <c r="I953">
        <f>IFERROR(INDEX('1.산군_붙여넣기'!$A$1:$AZ$1001,ROW(),설정!$C$11)&amp;"","")</f>
        <v/>
      </c>
      <c r="J953">
        <f>IFERROR(INDEX('1.산군_붙여넣기'!$A$1:$AZ$1001,ROW(),설정!$C$12)&amp;"","")</f>
        <v/>
      </c>
      <c r="K953">
        <f>IFERROR(INDEX('1.산군_붙여넣기'!$A$1:$AZ$1001,ROW(),설정!$C$13)&amp;"","")</f>
        <v/>
      </c>
      <c r="L953" s="6">
        <f>IF(X953="","",IF(AND(LEN(X953)=8,ISNUMBER(X953*1)),DATE(LEFT(X953,4),MID(X953,5,2),RIGHT(X953,2)),IFERROR(DATEVALUE(SUBSTITUTE(SUBSTITUTE(X953,".","-"),"/","-")),IFERROR(X953*1,""))))</f>
        <v/>
      </c>
      <c r="M953" s="6">
        <f>IF(Y953="","",IF(AND(LEN(Y953)=8,ISNUMBER(Y953*1)),DATE(LEFT(Y953,4),MID(Y953,5,2),RIGHT(Y953,2)),IFERROR(DATEVALUE(SUBSTITUTE(SUBSTITUTE(Y953,".","-"),"/","-")),IFERROR(Y953*1,""))))</f>
        <v/>
      </c>
      <c r="N953">
        <f>IFERROR(LEFT(B953,FIND(" ",B953)-1),B953)</f>
        <v/>
      </c>
      <c r="O953">
        <f>AND(B953&lt;&gt;"",B953&lt;&gt;설정!$B$4,C953&lt;&gt;설정!$B$5)</f>
        <v/>
      </c>
      <c r="P953">
        <f>IF(O953,B953&amp;"|"&amp;C953,"")</f>
        <v/>
      </c>
      <c r="Q953">
        <f>AND(O953,COUNTIF(P954:P$1002,P953)=0)</f>
        <v/>
      </c>
      <c r="R953">
        <f>OR(AND(설정!$A$28&lt;&gt;"",ISNUMBER(SEARCH(설정!$A$28,E953&amp;" "&amp;C953))),AND(설정!$A$29&lt;&gt;"",ISNUMBER(SEARCH(설정!$A$29,E953&amp;" "&amp;C953))),AND(설정!$A$30&lt;&gt;"",ISNUMBER(SEARCH(설정!$A$30,E953&amp;" "&amp;C953))),AND(설정!$A$31&lt;&gt;"",ISNUMBER(SEARCH(설정!$A$31,E953&amp;" "&amp;C953))),AND(설정!$A$32&lt;&gt;"",ISNUMBER(SEARCH(설정!$A$32,E953&amp;" "&amp;C953))),AND(설정!$A$33&lt;&gt;"",ISNUMBER(SEARCH(설정!$A$33,E953&amp;" "&amp;C953))),AND(설정!$A$34&lt;&gt;"",ISNUMBER(SEARCH(설정!$A$34,E953&amp;" "&amp;C953))),AND(설정!$A$35&lt;&gt;"",ISNUMBER(SEARCH(설정!$A$35,E953&amp;" "&amp;C953))),AND(설정!$A$36&lt;&gt;"",ISNUMBER(SEARCH(설정!$A$36,E953&amp;" "&amp;C953))),AND(설정!$A$37&lt;&gt;"",ISNUMBER(SEARCH(설정!$A$37,E953&amp;" "&amp;C953))))</f>
        <v/>
      </c>
      <c r="S953">
        <f>OR(D953="",D953&gt;=설정!$B$19)</f>
        <v/>
      </c>
      <c r="T953">
        <f>AND(Q953,R953,S953)</f>
        <v/>
      </c>
      <c r="U953">
        <f>IF(T953,IF(AND(설정!$A$41&lt;&gt;"",ISNUMBER(SEARCH(설정!$A$41,K953))),설정!$B$41,IF(AND(설정!$A$42&lt;&gt;"",ISNUMBER(SEARCH(설정!$A$42,K953))),설정!$B$42,IF(AND(설정!$A$43&lt;&gt;"",ISNUMBER(SEARCH(설정!$A$43,K953))),설정!$B$43,IF(AND(설정!$A$44&lt;&gt;"",ISNUMBER(SEARCH(설정!$A$44,K953))),설정!$B$44,IF(AND(설정!$A$45&lt;&gt;"",ISNUMBER(SEARCH(설정!$A$45,K953))),설정!$B$45,IF(AND(설정!$A$46&lt;&gt;"",ISNUMBER(SEARCH(설정!$A$46,K953))),설정!$B$46,IF(AND(설정!$A$47&lt;&gt;"",ISNUMBER(SEARCH(설정!$A$47,K953))),설정!$B$47,IF(AND(설정!$A$48&lt;&gt;"",ISNUMBER(SEARCH(설정!$A$48,K953))),설정!$B$48,IF(M953="","설계사","시공사"))))))))),"")</f>
        <v/>
      </c>
      <c r="V953">
        <f>SUBSTITUTE(SUBSTITUTE(SUBSTITUTE(SUBSTITUTE(G953,"(주)",""),"㈜",""),"주식회사","")," ","")</f>
        <v/>
      </c>
      <c r="W953">
        <f>IF(AND(T953,V953&lt;&gt;""),IF(COUNTIFS(V$2:V953,V953,T$2:T953,TRUE)=1,MAX(W$1:W952)+1,""),"")</f>
        <v/>
      </c>
      <c r="X953">
        <f>IFERROR(INDEX('1.산군_붙여넣기'!$A$1:$AZ$1001,ROW(),설정!$C$14)&amp;"","")</f>
        <v/>
      </c>
      <c r="Y953">
        <f>IFERROR(INDEX('1.산군_붙여넣기'!$A$1:$AZ$1001,ROW(),설정!$C$15)&amp;"","")</f>
        <v/>
      </c>
      <c r="Z953">
        <f>IF(T953,V953&amp;"|"&amp;U953,"")</f>
        <v/>
      </c>
    </row>
    <row r="954">
      <c r="A954">
        <f>ROW()</f>
        <v/>
      </c>
      <c r="B954">
        <f>IFERROR(INDEX('1.산군_붙여넣기'!$A$1:$AZ$1001,ROW(),설정!$C$4)&amp;"","")</f>
        <v/>
      </c>
      <c r="C954">
        <f>IFERROR(INDEX('1.산군_붙여넣기'!$A$1:$AZ$1001,ROW(),설정!$C$5)&amp;"","")</f>
        <v/>
      </c>
      <c r="D954" s="5">
        <f>IFERROR(VALUE(SUBSTITUTE(SUBSTITUTE(SUBSTITUTE(IFERROR(INDEX('1.산군_붙여넣기'!$A$1:$AZ$1001,ROW(),설정!$C$6)&amp;"",""),",",""),"㎡",""),"m2","")),"")</f>
        <v/>
      </c>
      <c r="E954">
        <f>IFERROR(INDEX('1.산군_붙여넣기'!$A$1:$AZ$1001,ROW(),설정!$C$7)&amp;"","")</f>
        <v/>
      </c>
      <c r="F954">
        <f>IFERROR(INDEX('1.산군_붙여넣기'!$A$1:$AZ$1001,ROW(),설정!$C$8)&amp;"","")</f>
        <v/>
      </c>
      <c r="G954">
        <f>IFERROR(INDEX('1.산군_붙여넣기'!$A$1:$AZ$1001,ROW(),설정!$C$9)&amp;"","")</f>
        <v/>
      </c>
      <c r="H954">
        <f>IFERROR(INDEX('1.산군_붙여넣기'!$A$1:$AZ$1001,ROW(),설정!$C$10)&amp;"","")</f>
        <v/>
      </c>
      <c r="I954">
        <f>IFERROR(INDEX('1.산군_붙여넣기'!$A$1:$AZ$1001,ROW(),설정!$C$11)&amp;"","")</f>
        <v/>
      </c>
      <c r="J954">
        <f>IFERROR(INDEX('1.산군_붙여넣기'!$A$1:$AZ$1001,ROW(),설정!$C$12)&amp;"","")</f>
        <v/>
      </c>
      <c r="K954">
        <f>IFERROR(INDEX('1.산군_붙여넣기'!$A$1:$AZ$1001,ROW(),설정!$C$13)&amp;"","")</f>
        <v/>
      </c>
      <c r="L954" s="6">
        <f>IF(X954="","",IF(AND(LEN(X954)=8,ISNUMBER(X954*1)),DATE(LEFT(X954,4),MID(X954,5,2),RIGHT(X954,2)),IFERROR(DATEVALUE(SUBSTITUTE(SUBSTITUTE(X954,".","-"),"/","-")),IFERROR(X954*1,""))))</f>
        <v/>
      </c>
      <c r="M954" s="6">
        <f>IF(Y954="","",IF(AND(LEN(Y954)=8,ISNUMBER(Y954*1)),DATE(LEFT(Y954,4),MID(Y954,5,2),RIGHT(Y954,2)),IFERROR(DATEVALUE(SUBSTITUTE(SUBSTITUTE(Y954,".","-"),"/","-")),IFERROR(Y954*1,""))))</f>
        <v/>
      </c>
      <c r="N954">
        <f>IFERROR(LEFT(B954,FIND(" ",B954)-1),B954)</f>
        <v/>
      </c>
      <c r="O954">
        <f>AND(B954&lt;&gt;"",B954&lt;&gt;설정!$B$4,C954&lt;&gt;설정!$B$5)</f>
        <v/>
      </c>
      <c r="P954">
        <f>IF(O954,B954&amp;"|"&amp;C954,"")</f>
        <v/>
      </c>
      <c r="Q954">
        <f>AND(O954,COUNTIF(P955:P$1002,P954)=0)</f>
        <v/>
      </c>
      <c r="R954">
        <f>OR(AND(설정!$A$28&lt;&gt;"",ISNUMBER(SEARCH(설정!$A$28,E954&amp;" "&amp;C954))),AND(설정!$A$29&lt;&gt;"",ISNUMBER(SEARCH(설정!$A$29,E954&amp;" "&amp;C954))),AND(설정!$A$30&lt;&gt;"",ISNUMBER(SEARCH(설정!$A$30,E954&amp;" "&amp;C954))),AND(설정!$A$31&lt;&gt;"",ISNUMBER(SEARCH(설정!$A$31,E954&amp;" "&amp;C954))),AND(설정!$A$32&lt;&gt;"",ISNUMBER(SEARCH(설정!$A$32,E954&amp;" "&amp;C954))),AND(설정!$A$33&lt;&gt;"",ISNUMBER(SEARCH(설정!$A$33,E954&amp;" "&amp;C954))),AND(설정!$A$34&lt;&gt;"",ISNUMBER(SEARCH(설정!$A$34,E954&amp;" "&amp;C954))),AND(설정!$A$35&lt;&gt;"",ISNUMBER(SEARCH(설정!$A$35,E954&amp;" "&amp;C954))),AND(설정!$A$36&lt;&gt;"",ISNUMBER(SEARCH(설정!$A$36,E954&amp;" "&amp;C954))),AND(설정!$A$37&lt;&gt;"",ISNUMBER(SEARCH(설정!$A$37,E954&amp;" "&amp;C954))))</f>
        <v/>
      </c>
      <c r="S954">
        <f>OR(D954="",D954&gt;=설정!$B$19)</f>
        <v/>
      </c>
      <c r="T954">
        <f>AND(Q954,R954,S954)</f>
        <v/>
      </c>
      <c r="U954">
        <f>IF(T954,IF(AND(설정!$A$41&lt;&gt;"",ISNUMBER(SEARCH(설정!$A$41,K954))),설정!$B$41,IF(AND(설정!$A$42&lt;&gt;"",ISNUMBER(SEARCH(설정!$A$42,K954))),설정!$B$42,IF(AND(설정!$A$43&lt;&gt;"",ISNUMBER(SEARCH(설정!$A$43,K954))),설정!$B$43,IF(AND(설정!$A$44&lt;&gt;"",ISNUMBER(SEARCH(설정!$A$44,K954))),설정!$B$44,IF(AND(설정!$A$45&lt;&gt;"",ISNUMBER(SEARCH(설정!$A$45,K954))),설정!$B$45,IF(AND(설정!$A$46&lt;&gt;"",ISNUMBER(SEARCH(설정!$A$46,K954))),설정!$B$46,IF(AND(설정!$A$47&lt;&gt;"",ISNUMBER(SEARCH(설정!$A$47,K954))),설정!$B$47,IF(AND(설정!$A$48&lt;&gt;"",ISNUMBER(SEARCH(설정!$A$48,K954))),설정!$B$48,IF(M954="","설계사","시공사"))))))))),"")</f>
        <v/>
      </c>
      <c r="V954">
        <f>SUBSTITUTE(SUBSTITUTE(SUBSTITUTE(SUBSTITUTE(G954,"(주)",""),"㈜",""),"주식회사","")," ","")</f>
        <v/>
      </c>
      <c r="W954">
        <f>IF(AND(T954,V954&lt;&gt;""),IF(COUNTIFS(V$2:V954,V954,T$2:T954,TRUE)=1,MAX(W$1:W953)+1,""),"")</f>
        <v/>
      </c>
      <c r="X954">
        <f>IFERROR(INDEX('1.산군_붙여넣기'!$A$1:$AZ$1001,ROW(),설정!$C$14)&amp;"","")</f>
        <v/>
      </c>
      <c r="Y954">
        <f>IFERROR(INDEX('1.산군_붙여넣기'!$A$1:$AZ$1001,ROW(),설정!$C$15)&amp;"","")</f>
        <v/>
      </c>
      <c r="Z954">
        <f>IF(T954,V954&amp;"|"&amp;U954,"")</f>
        <v/>
      </c>
    </row>
    <row r="955">
      <c r="A955">
        <f>ROW()</f>
        <v/>
      </c>
      <c r="B955">
        <f>IFERROR(INDEX('1.산군_붙여넣기'!$A$1:$AZ$1001,ROW(),설정!$C$4)&amp;"","")</f>
        <v/>
      </c>
      <c r="C955">
        <f>IFERROR(INDEX('1.산군_붙여넣기'!$A$1:$AZ$1001,ROW(),설정!$C$5)&amp;"","")</f>
        <v/>
      </c>
      <c r="D955" s="5">
        <f>IFERROR(VALUE(SUBSTITUTE(SUBSTITUTE(SUBSTITUTE(IFERROR(INDEX('1.산군_붙여넣기'!$A$1:$AZ$1001,ROW(),설정!$C$6)&amp;"",""),",",""),"㎡",""),"m2","")),"")</f>
        <v/>
      </c>
      <c r="E955">
        <f>IFERROR(INDEX('1.산군_붙여넣기'!$A$1:$AZ$1001,ROW(),설정!$C$7)&amp;"","")</f>
        <v/>
      </c>
      <c r="F955">
        <f>IFERROR(INDEX('1.산군_붙여넣기'!$A$1:$AZ$1001,ROW(),설정!$C$8)&amp;"","")</f>
        <v/>
      </c>
      <c r="G955">
        <f>IFERROR(INDEX('1.산군_붙여넣기'!$A$1:$AZ$1001,ROW(),설정!$C$9)&amp;"","")</f>
        <v/>
      </c>
      <c r="H955">
        <f>IFERROR(INDEX('1.산군_붙여넣기'!$A$1:$AZ$1001,ROW(),설정!$C$10)&amp;"","")</f>
        <v/>
      </c>
      <c r="I955">
        <f>IFERROR(INDEX('1.산군_붙여넣기'!$A$1:$AZ$1001,ROW(),설정!$C$11)&amp;"","")</f>
        <v/>
      </c>
      <c r="J955">
        <f>IFERROR(INDEX('1.산군_붙여넣기'!$A$1:$AZ$1001,ROW(),설정!$C$12)&amp;"","")</f>
        <v/>
      </c>
      <c r="K955">
        <f>IFERROR(INDEX('1.산군_붙여넣기'!$A$1:$AZ$1001,ROW(),설정!$C$13)&amp;"","")</f>
        <v/>
      </c>
      <c r="L955" s="6">
        <f>IF(X955="","",IF(AND(LEN(X955)=8,ISNUMBER(X955*1)),DATE(LEFT(X955,4),MID(X955,5,2),RIGHT(X955,2)),IFERROR(DATEVALUE(SUBSTITUTE(SUBSTITUTE(X955,".","-"),"/","-")),IFERROR(X955*1,""))))</f>
        <v/>
      </c>
      <c r="M955" s="6">
        <f>IF(Y955="","",IF(AND(LEN(Y955)=8,ISNUMBER(Y955*1)),DATE(LEFT(Y955,4),MID(Y955,5,2),RIGHT(Y955,2)),IFERROR(DATEVALUE(SUBSTITUTE(SUBSTITUTE(Y955,".","-"),"/","-")),IFERROR(Y955*1,""))))</f>
        <v/>
      </c>
      <c r="N955">
        <f>IFERROR(LEFT(B955,FIND(" ",B955)-1),B955)</f>
        <v/>
      </c>
      <c r="O955">
        <f>AND(B955&lt;&gt;"",B955&lt;&gt;설정!$B$4,C955&lt;&gt;설정!$B$5)</f>
        <v/>
      </c>
      <c r="P955">
        <f>IF(O955,B955&amp;"|"&amp;C955,"")</f>
        <v/>
      </c>
      <c r="Q955">
        <f>AND(O955,COUNTIF(P956:P$1002,P955)=0)</f>
        <v/>
      </c>
      <c r="R955">
        <f>OR(AND(설정!$A$28&lt;&gt;"",ISNUMBER(SEARCH(설정!$A$28,E955&amp;" "&amp;C955))),AND(설정!$A$29&lt;&gt;"",ISNUMBER(SEARCH(설정!$A$29,E955&amp;" "&amp;C955))),AND(설정!$A$30&lt;&gt;"",ISNUMBER(SEARCH(설정!$A$30,E955&amp;" "&amp;C955))),AND(설정!$A$31&lt;&gt;"",ISNUMBER(SEARCH(설정!$A$31,E955&amp;" "&amp;C955))),AND(설정!$A$32&lt;&gt;"",ISNUMBER(SEARCH(설정!$A$32,E955&amp;" "&amp;C955))),AND(설정!$A$33&lt;&gt;"",ISNUMBER(SEARCH(설정!$A$33,E955&amp;" "&amp;C955))),AND(설정!$A$34&lt;&gt;"",ISNUMBER(SEARCH(설정!$A$34,E955&amp;" "&amp;C955))),AND(설정!$A$35&lt;&gt;"",ISNUMBER(SEARCH(설정!$A$35,E955&amp;" "&amp;C955))),AND(설정!$A$36&lt;&gt;"",ISNUMBER(SEARCH(설정!$A$36,E955&amp;" "&amp;C955))),AND(설정!$A$37&lt;&gt;"",ISNUMBER(SEARCH(설정!$A$37,E955&amp;" "&amp;C955))))</f>
        <v/>
      </c>
      <c r="S955">
        <f>OR(D955="",D955&gt;=설정!$B$19)</f>
        <v/>
      </c>
      <c r="T955">
        <f>AND(Q955,R955,S955)</f>
        <v/>
      </c>
      <c r="U955">
        <f>IF(T955,IF(AND(설정!$A$41&lt;&gt;"",ISNUMBER(SEARCH(설정!$A$41,K955))),설정!$B$41,IF(AND(설정!$A$42&lt;&gt;"",ISNUMBER(SEARCH(설정!$A$42,K955))),설정!$B$42,IF(AND(설정!$A$43&lt;&gt;"",ISNUMBER(SEARCH(설정!$A$43,K955))),설정!$B$43,IF(AND(설정!$A$44&lt;&gt;"",ISNUMBER(SEARCH(설정!$A$44,K955))),설정!$B$44,IF(AND(설정!$A$45&lt;&gt;"",ISNUMBER(SEARCH(설정!$A$45,K955))),설정!$B$45,IF(AND(설정!$A$46&lt;&gt;"",ISNUMBER(SEARCH(설정!$A$46,K955))),설정!$B$46,IF(AND(설정!$A$47&lt;&gt;"",ISNUMBER(SEARCH(설정!$A$47,K955))),설정!$B$47,IF(AND(설정!$A$48&lt;&gt;"",ISNUMBER(SEARCH(설정!$A$48,K955))),설정!$B$48,IF(M955="","설계사","시공사"))))))))),"")</f>
        <v/>
      </c>
      <c r="V955">
        <f>SUBSTITUTE(SUBSTITUTE(SUBSTITUTE(SUBSTITUTE(G955,"(주)",""),"㈜",""),"주식회사","")," ","")</f>
        <v/>
      </c>
      <c r="W955">
        <f>IF(AND(T955,V955&lt;&gt;""),IF(COUNTIFS(V$2:V955,V955,T$2:T955,TRUE)=1,MAX(W$1:W954)+1,""),"")</f>
        <v/>
      </c>
      <c r="X955">
        <f>IFERROR(INDEX('1.산군_붙여넣기'!$A$1:$AZ$1001,ROW(),설정!$C$14)&amp;"","")</f>
        <v/>
      </c>
      <c r="Y955">
        <f>IFERROR(INDEX('1.산군_붙여넣기'!$A$1:$AZ$1001,ROW(),설정!$C$15)&amp;"","")</f>
        <v/>
      </c>
      <c r="Z955">
        <f>IF(T955,V955&amp;"|"&amp;U955,"")</f>
        <v/>
      </c>
    </row>
    <row r="956">
      <c r="A956">
        <f>ROW()</f>
        <v/>
      </c>
      <c r="B956">
        <f>IFERROR(INDEX('1.산군_붙여넣기'!$A$1:$AZ$1001,ROW(),설정!$C$4)&amp;"","")</f>
        <v/>
      </c>
      <c r="C956">
        <f>IFERROR(INDEX('1.산군_붙여넣기'!$A$1:$AZ$1001,ROW(),설정!$C$5)&amp;"","")</f>
        <v/>
      </c>
      <c r="D956" s="5">
        <f>IFERROR(VALUE(SUBSTITUTE(SUBSTITUTE(SUBSTITUTE(IFERROR(INDEX('1.산군_붙여넣기'!$A$1:$AZ$1001,ROW(),설정!$C$6)&amp;"",""),",",""),"㎡",""),"m2","")),"")</f>
        <v/>
      </c>
      <c r="E956">
        <f>IFERROR(INDEX('1.산군_붙여넣기'!$A$1:$AZ$1001,ROW(),설정!$C$7)&amp;"","")</f>
        <v/>
      </c>
      <c r="F956">
        <f>IFERROR(INDEX('1.산군_붙여넣기'!$A$1:$AZ$1001,ROW(),설정!$C$8)&amp;"","")</f>
        <v/>
      </c>
      <c r="G956">
        <f>IFERROR(INDEX('1.산군_붙여넣기'!$A$1:$AZ$1001,ROW(),설정!$C$9)&amp;"","")</f>
        <v/>
      </c>
      <c r="H956">
        <f>IFERROR(INDEX('1.산군_붙여넣기'!$A$1:$AZ$1001,ROW(),설정!$C$10)&amp;"","")</f>
        <v/>
      </c>
      <c r="I956">
        <f>IFERROR(INDEX('1.산군_붙여넣기'!$A$1:$AZ$1001,ROW(),설정!$C$11)&amp;"","")</f>
        <v/>
      </c>
      <c r="J956">
        <f>IFERROR(INDEX('1.산군_붙여넣기'!$A$1:$AZ$1001,ROW(),설정!$C$12)&amp;"","")</f>
        <v/>
      </c>
      <c r="K956">
        <f>IFERROR(INDEX('1.산군_붙여넣기'!$A$1:$AZ$1001,ROW(),설정!$C$13)&amp;"","")</f>
        <v/>
      </c>
      <c r="L956" s="6">
        <f>IF(X956="","",IF(AND(LEN(X956)=8,ISNUMBER(X956*1)),DATE(LEFT(X956,4),MID(X956,5,2),RIGHT(X956,2)),IFERROR(DATEVALUE(SUBSTITUTE(SUBSTITUTE(X956,".","-"),"/","-")),IFERROR(X956*1,""))))</f>
        <v/>
      </c>
      <c r="M956" s="6">
        <f>IF(Y956="","",IF(AND(LEN(Y956)=8,ISNUMBER(Y956*1)),DATE(LEFT(Y956,4),MID(Y956,5,2),RIGHT(Y956,2)),IFERROR(DATEVALUE(SUBSTITUTE(SUBSTITUTE(Y956,".","-"),"/","-")),IFERROR(Y956*1,""))))</f>
        <v/>
      </c>
      <c r="N956">
        <f>IFERROR(LEFT(B956,FIND(" ",B956)-1),B956)</f>
        <v/>
      </c>
      <c r="O956">
        <f>AND(B956&lt;&gt;"",B956&lt;&gt;설정!$B$4,C956&lt;&gt;설정!$B$5)</f>
        <v/>
      </c>
      <c r="P956">
        <f>IF(O956,B956&amp;"|"&amp;C956,"")</f>
        <v/>
      </c>
      <c r="Q956">
        <f>AND(O956,COUNTIF(P957:P$1002,P956)=0)</f>
        <v/>
      </c>
      <c r="R956">
        <f>OR(AND(설정!$A$28&lt;&gt;"",ISNUMBER(SEARCH(설정!$A$28,E956&amp;" "&amp;C956))),AND(설정!$A$29&lt;&gt;"",ISNUMBER(SEARCH(설정!$A$29,E956&amp;" "&amp;C956))),AND(설정!$A$30&lt;&gt;"",ISNUMBER(SEARCH(설정!$A$30,E956&amp;" "&amp;C956))),AND(설정!$A$31&lt;&gt;"",ISNUMBER(SEARCH(설정!$A$31,E956&amp;" "&amp;C956))),AND(설정!$A$32&lt;&gt;"",ISNUMBER(SEARCH(설정!$A$32,E956&amp;" "&amp;C956))),AND(설정!$A$33&lt;&gt;"",ISNUMBER(SEARCH(설정!$A$33,E956&amp;" "&amp;C956))),AND(설정!$A$34&lt;&gt;"",ISNUMBER(SEARCH(설정!$A$34,E956&amp;" "&amp;C956))),AND(설정!$A$35&lt;&gt;"",ISNUMBER(SEARCH(설정!$A$35,E956&amp;" "&amp;C956))),AND(설정!$A$36&lt;&gt;"",ISNUMBER(SEARCH(설정!$A$36,E956&amp;" "&amp;C956))),AND(설정!$A$37&lt;&gt;"",ISNUMBER(SEARCH(설정!$A$37,E956&amp;" "&amp;C956))))</f>
        <v/>
      </c>
      <c r="S956">
        <f>OR(D956="",D956&gt;=설정!$B$19)</f>
        <v/>
      </c>
      <c r="T956">
        <f>AND(Q956,R956,S956)</f>
        <v/>
      </c>
      <c r="U956">
        <f>IF(T956,IF(AND(설정!$A$41&lt;&gt;"",ISNUMBER(SEARCH(설정!$A$41,K956))),설정!$B$41,IF(AND(설정!$A$42&lt;&gt;"",ISNUMBER(SEARCH(설정!$A$42,K956))),설정!$B$42,IF(AND(설정!$A$43&lt;&gt;"",ISNUMBER(SEARCH(설정!$A$43,K956))),설정!$B$43,IF(AND(설정!$A$44&lt;&gt;"",ISNUMBER(SEARCH(설정!$A$44,K956))),설정!$B$44,IF(AND(설정!$A$45&lt;&gt;"",ISNUMBER(SEARCH(설정!$A$45,K956))),설정!$B$45,IF(AND(설정!$A$46&lt;&gt;"",ISNUMBER(SEARCH(설정!$A$46,K956))),설정!$B$46,IF(AND(설정!$A$47&lt;&gt;"",ISNUMBER(SEARCH(설정!$A$47,K956))),설정!$B$47,IF(AND(설정!$A$48&lt;&gt;"",ISNUMBER(SEARCH(설정!$A$48,K956))),설정!$B$48,IF(M956="","설계사","시공사"))))))))),"")</f>
        <v/>
      </c>
      <c r="V956">
        <f>SUBSTITUTE(SUBSTITUTE(SUBSTITUTE(SUBSTITUTE(G956,"(주)",""),"㈜",""),"주식회사","")," ","")</f>
        <v/>
      </c>
      <c r="W956">
        <f>IF(AND(T956,V956&lt;&gt;""),IF(COUNTIFS(V$2:V956,V956,T$2:T956,TRUE)=1,MAX(W$1:W955)+1,""),"")</f>
        <v/>
      </c>
      <c r="X956">
        <f>IFERROR(INDEX('1.산군_붙여넣기'!$A$1:$AZ$1001,ROW(),설정!$C$14)&amp;"","")</f>
        <v/>
      </c>
      <c r="Y956">
        <f>IFERROR(INDEX('1.산군_붙여넣기'!$A$1:$AZ$1001,ROW(),설정!$C$15)&amp;"","")</f>
        <v/>
      </c>
      <c r="Z956">
        <f>IF(T956,V956&amp;"|"&amp;U956,"")</f>
        <v/>
      </c>
    </row>
    <row r="957">
      <c r="A957">
        <f>ROW()</f>
        <v/>
      </c>
      <c r="B957">
        <f>IFERROR(INDEX('1.산군_붙여넣기'!$A$1:$AZ$1001,ROW(),설정!$C$4)&amp;"","")</f>
        <v/>
      </c>
      <c r="C957">
        <f>IFERROR(INDEX('1.산군_붙여넣기'!$A$1:$AZ$1001,ROW(),설정!$C$5)&amp;"","")</f>
        <v/>
      </c>
      <c r="D957" s="5">
        <f>IFERROR(VALUE(SUBSTITUTE(SUBSTITUTE(SUBSTITUTE(IFERROR(INDEX('1.산군_붙여넣기'!$A$1:$AZ$1001,ROW(),설정!$C$6)&amp;"",""),",",""),"㎡",""),"m2","")),"")</f>
        <v/>
      </c>
      <c r="E957">
        <f>IFERROR(INDEX('1.산군_붙여넣기'!$A$1:$AZ$1001,ROW(),설정!$C$7)&amp;"","")</f>
        <v/>
      </c>
      <c r="F957">
        <f>IFERROR(INDEX('1.산군_붙여넣기'!$A$1:$AZ$1001,ROW(),설정!$C$8)&amp;"","")</f>
        <v/>
      </c>
      <c r="G957">
        <f>IFERROR(INDEX('1.산군_붙여넣기'!$A$1:$AZ$1001,ROW(),설정!$C$9)&amp;"","")</f>
        <v/>
      </c>
      <c r="H957">
        <f>IFERROR(INDEX('1.산군_붙여넣기'!$A$1:$AZ$1001,ROW(),설정!$C$10)&amp;"","")</f>
        <v/>
      </c>
      <c r="I957">
        <f>IFERROR(INDEX('1.산군_붙여넣기'!$A$1:$AZ$1001,ROW(),설정!$C$11)&amp;"","")</f>
        <v/>
      </c>
      <c r="J957">
        <f>IFERROR(INDEX('1.산군_붙여넣기'!$A$1:$AZ$1001,ROW(),설정!$C$12)&amp;"","")</f>
        <v/>
      </c>
      <c r="K957">
        <f>IFERROR(INDEX('1.산군_붙여넣기'!$A$1:$AZ$1001,ROW(),설정!$C$13)&amp;"","")</f>
        <v/>
      </c>
      <c r="L957" s="6">
        <f>IF(X957="","",IF(AND(LEN(X957)=8,ISNUMBER(X957*1)),DATE(LEFT(X957,4),MID(X957,5,2),RIGHT(X957,2)),IFERROR(DATEVALUE(SUBSTITUTE(SUBSTITUTE(X957,".","-"),"/","-")),IFERROR(X957*1,""))))</f>
        <v/>
      </c>
      <c r="M957" s="6">
        <f>IF(Y957="","",IF(AND(LEN(Y957)=8,ISNUMBER(Y957*1)),DATE(LEFT(Y957,4),MID(Y957,5,2),RIGHT(Y957,2)),IFERROR(DATEVALUE(SUBSTITUTE(SUBSTITUTE(Y957,".","-"),"/","-")),IFERROR(Y957*1,""))))</f>
        <v/>
      </c>
      <c r="N957">
        <f>IFERROR(LEFT(B957,FIND(" ",B957)-1),B957)</f>
        <v/>
      </c>
      <c r="O957">
        <f>AND(B957&lt;&gt;"",B957&lt;&gt;설정!$B$4,C957&lt;&gt;설정!$B$5)</f>
        <v/>
      </c>
      <c r="P957">
        <f>IF(O957,B957&amp;"|"&amp;C957,"")</f>
        <v/>
      </c>
      <c r="Q957">
        <f>AND(O957,COUNTIF(P958:P$1002,P957)=0)</f>
        <v/>
      </c>
      <c r="R957">
        <f>OR(AND(설정!$A$28&lt;&gt;"",ISNUMBER(SEARCH(설정!$A$28,E957&amp;" "&amp;C957))),AND(설정!$A$29&lt;&gt;"",ISNUMBER(SEARCH(설정!$A$29,E957&amp;" "&amp;C957))),AND(설정!$A$30&lt;&gt;"",ISNUMBER(SEARCH(설정!$A$30,E957&amp;" "&amp;C957))),AND(설정!$A$31&lt;&gt;"",ISNUMBER(SEARCH(설정!$A$31,E957&amp;" "&amp;C957))),AND(설정!$A$32&lt;&gt;"",ISNUMBER(SEARCH(설정!$A$32,E957&amp;" "&amp;C957))),AND(설정!$A$33&lt;&gt;"",ISNUMBER(SEARCH(설정!$A$33,E957&amp;" "&amp;C957))),AND(설정!$A$34&lt;&gt;"",ISNUMBER(SEARCH(설정!$A$34,E957&amp;" "&amp;C957))),AND(설정!$A$35&lt;&gt;"",ISNUMBER(SEARCH(설정!$A$35,E957&amp;" "&amp;C957))),AND(설정!$A$36&lt;&gt;"",ISNUMBER(SEARCH(설정!$A$36,E957&amp;" "&amp;C957))),AND(설정!$A$37&lt;&gt;"",ISNUMBER(SEARCH(설정!$A$37,E957&amp;" "&amp;C957))))</f>
        <v/>
      </c>
      <c r="S957">
        <f>OR(D957="",D957&gt;=설정!$B$19)</f>
        <v/>
      </c>
      <c r="T957">
        <f>AND(Q957,R957,S957)</f>
        <v/>
      </c>
      <c r="U957">
        <f>IF(T957,IF(AND(설정!$A$41&lt;&gt;"",ISNUMBER(SEARCH(설정!$A$41,K957))),설정!$B$41,IF(AND(설정!$A$42&lt;&gt;"",ISNUMBER(SEARCH(설정!$A$42,K957))),설정!$B$42,IF(AND(설정!$A$43&lt;&gt;"",ISNUMBER(SEARCH(설정!$A$43,K957))),설정!$B$43,IF(AND(설정!$A$44&lt;&gt;"",ISNUMBER(SEARCH(설정!$A$44,K957))),설정!$B$44,IF(AND(설정!$A$45&lt;&gt;"",ISNUMBER(SEARCH(설정!$A$45,K957))),설정!$B$45,IF(AND(설정!$A$46&lt;&gt;"",ISNUMBER(SEARCH(설정!$A$46,K957))),설정!$B$46,IF(AND(설정!$A$47&lt;&gt;"",ISNUMBER(SEARCH(설정!$A$47,K957))),설정!$B$47,IF(AND(설정!$A$48&lt;&gt;"",ISNUMBER(SEARCH(설정!$A$48,K957))),설정!$B$48,IF(M957="","설계사","시공사"))))))))),"")</f>
        <v/>
      </c>
      <c r="V957">
        <f>SUBSTITUTE(SUBSTITUTE(SUBSTITUTE(SUBSTITUTE(G957,"(주)",""),"㈜",""),"주식회사","")," ","")</f>
        <v/>
      </c>
      <c r="W957">
        <f>IF(AND(T957,V957&lt;&gt;""),IF(COUNTIFS(V$2:V957,V957,T$2:T957,TRUE)=1,MAX(W$1:W956)+1,""),"")</f>
        <v/>
      </c>
      <c r="X957">
        <f>IFERROR(INDEX('1.산군_붙여넣기'!$A$1:$AZ$1001,ROW(),설정!$C$14)&amp;"","")</f>
        <v/>
      </c>
      <c r="Y957">
        <f>IFERROR(INDEX('1.산군_붙여넣기'!$A$1:$AZ$1001,ROW(),설정!$C$15)&amp;"","")</f>
        <v/>
      </c>
      <c r="Z957">
        <f>IF(T957,V957&amp;"|"&amp;U957,"")</f>
        <v/>
      </c>
    </row>
    <row r="958">
      <c r="A958">
        <f>ROW()</f>
        <v/>
      </c>
      <c r="B958">
        <f>IFERROR(INDEX('1.산군_붙여넣기'!$A$1:$AZ$1001,ROW(),설정!$C$4)&amp;"","")</f>
        <v/>
      </c>
      <c r="C958">
        <f>IFERROR(INDEX('1.산군_붙여넣기'!$A$1:$AZ$1001,ROW(),설정!$C$5)&amp;"","")</f>
        <v/>
      </c>
      <c r="D958" s="5">
        <f>IFERROR(VALUE(SUBSTITUTE(SUBSTITUTE(SUBSTITUTE(IFERROR(INDEX('1.산군_붙여넣기'!$A$1:$AZ$1001,ROW(),설정!$C$6)&amp;"",""),",",""),"㎡",""),"m2","")),"")</f>
        <v/>
      </c>
      <c r="E958">
        <f>IFERROR(INDEX('1.산군_붙여넣기'!$A$1:$AZ$1001,ROW(),설정!$C$7)&amp;"","")</f>
        <v/>
      </c>
      <c r="F958">
        <f>IFERROR(INDEX('1.산군_붙여넣기'!$A$1:$AZ$1001,ROW(),설정!$C$8)&amp;"","")</f>
        <v/>
      </c>
      <c r="G958">
        <f>IFERROR(INDEX('1.산군_붙여넣기'!$A$1:$AZ$1001,ROW(),설정!$C$9)&amp;"","")</f>
        <v/>
      </c>
      <c r="H958">
        <f>IFERROR(INDEX('1.산군_붙여넣기'!$A$1:$AZ$1001,ROW(),설정!$C$10)&amp;"","")</f>
        <v/>
      </c>
      <c r="I958">
        <f>IFERROR(INDEX('1.산군_붙여넣기'!$A$1:$AZ$1001,ROW(),설정!$C$11)&amp;"","")</f>
        <v/>
      </c>
      <c r="J958">
        <f>IFERROR(INDEX('1.산군_붙여넣기'!$A$1:$AZ$1001,ROW(),설정!$C$12)&amp;"","")</f>
        <v/>
      </c>
      <c r="K958">
        <f>IFERROR(INDEX('1.산군_붙여넣기'!$A$1:$AZ$1001,ROW(),설정!$C$13)&amp;"","")</f>
        <v/>
      </c>
      <c r="L958" s="6">
        <f>IF(X958="","",IF(AND(LEN(X958)=8,ISNUMBER(X958*1)),DATE(LEFT(X958,4),MID(X958,5,2),RIGHT(X958,2)),IFERROR(DATEVALUE(SUBSTITUTE(SUBSTITUTE(X958,".","-"),"/","-")),IFERROR(X958*1,""))))</f>
        <v/>
      </c>
      <c r="M958" s="6">
        <f>IF(Y958="","",IF(AND(LEN(Y958)=8,ISNUMBER(Y958*1)),DATE(LEFT(Y958,4),MID(Y958,5,2),RIGHT(Y958,2)),IFERROR(DATEVALUE(SUBSTITUTE(SUBSTITUTE(Y958,".","-"),"/","-")),IFERROR(Y958*1,""))))</f>
        <v/>
      </c>
      <c r="N958">
        <f>IFERROR(LEFT(B958,FIND(" ",B958)-1),B958)</f>
        <v/>
      </c>
      <c r="O958">
        <f>AND(B958&lt;&gt;"",B958&lt;&gt;설정!$B$4,C958&lt;&gt;설정!$B$5)</f>
        <v/>
      </c>
      <c r="P958">
        <f>IF(O958,B958&amp;"|"&amp;C958,"")</f>
        <v/>
      </c>
      <c r="Q958">
        <f>AND(O958,COUNTIF(P959:P$1002,P958)=0)</f>
        <v/>
      </c>
      <c r="R958">
        <f>OR(AND(설정!$A$28&lt;&gt;"",ISNUMBER(SEARCH(설정!$A$28,E958&amp;" "&amp;C958))),AND(설정!$A$29&lt;&gt;"",ISNUMBER(SEARCH(설정!$A$29,E958&amp;" "&amp;C958))),AND(설정!$A$30&lt;&gt;"",ISNUMBER(SEARCH(설정!$A$30,E958&amp;" "&amp;C958))),AND(설정!$A$31&lt;&gt;"",ISNUMBER(SEARCH(설정!$A$31,E958&amp;" "&amp;C958))),AND(설정!$A$32&lt;&gt;"",ISNUMBER(SEARCH(설정!$A$32,E958&amp;" "&amp;C958))),AND(설정!$A$33&lt;&gt;"",ISNUMBER(SEARCH(설정!$A$33,E958&amp;" "&amp;C958))),AND(설정!$A$34&lt;&gt;"",ISNUMBER(SEARCH(설정!$A$34,E958&amp;" "&amp;C958))),AND(설정!$A$35&lt;&gt;"",ISNUMBER(SEARCH(설정!$A$35,E958&amp;" "&amp;C958))),AND(설정!$A$36&lt;&gt;"",ISNUMBER(SEARCH(설정!$A$36,E958&amp;" "&amp;C958))),AND(설정!$A$37&lt;&gt;"",ISNUMBER(SEARCH(설정!$A$37,E958&amp;" "&amp;C958))))</f>
        <v/>
      </c>
      <c r="S958">
        <f>OR(D958="",D958&gt;=설정!$B$19)</f>
        <v/>
      </c>
      <c r="T958">
        <f>AND(Q958,R958,S958)</f>
        <v/>
      </c>
      <c r="U958">
        <f>IF(T958,IF(AND(설정!$A$41&lt;&gt;"",ISNUMBER(SEARCH(설정!$A$41,K958))),설정!$B$41,IF(AND(설정!$A$42&lt;&gt;"",ISNUMBER(SEARCH(설정!$A$42,K958))),설정!$B$42,IF(AND(설정!$A$43&lt;&gt;"",ISNUMBER(SEARCH(설정!$A$43,K958))),설정!$B$43,IF(AND(설정!$A$44&lt;&gt;"",ISNUMBER(SEARCH(설정!$A$44,K958))),설정!$B$44,IF(AND(설정!$A$45&lt;&gt;"",ISNUMBER(SEARCH(설정!$A$45,K958))),설정!$B$45,IF(AND(설정!$A$46&lt;&gt;"",ISNUMBER(SEARCH(설정!$A$46,K958))),설정!$B$46,IF(AND(설정!$A$47&lt;&gt;"",ISNUMBER(SEARCH(설정!$A$47,K958))),설정!$B$47,IF(AND(설정!$A$48&lt;&gt;"",ISNUMBER(SEARCH(설정!$A$48,K958))),설정!$B$48,IF(M958="","설계사","시공사"))))))))),"")</f>
        <v/>
      </c>
      <c r="V958">
        <f>SUBSTITUTE(SUBSTITUTE(SUBSTITUTE(SUBSTITUTE(G958,"(주)",""),"㈜",""),"주식회사","")," ","")</f>
        <v/>
      </c>
      <c r="W958">
        <f>IF(AND(T958,V958&lt;&gt;""),IF(COUNTIFS(V$2:V958,V958,T$2:T958,TRUE)=1,MAX(W$1:W957)+1,""),"")</f>
        <v/>
      </c>
      <c r="X958">
        <f>IFERROR(INDEX('1.산군_붙여넣기'!$A$1:$AZ$1001,ROW(),설정!$C$14)&amp;"","")</f>
        <v/>
      </c>
      <c r="Y958">
        <f>IFERROR(INDEX('1.산군_붙여넣기'!$A$1:$AZ$1001,ROW(),설정!$C$15)&amp;"","")</f>
        <v/>
      </c>
      <c r="Z958">
        <f>IF(T958,V958&amp;"|"&amp;U958,"")</f>
        <v/>
      </c>
    </row>
    <row r="959">
      <c r="A959">
        <f>ROW()</f>
        <v/>
      </c>
      <c r="B959">
        <f>IFERROR(INDEX('1.산군_붙여넣기'!$A$1:$AZ$1001,ROW(),설정!$C$4)&amp;"","")</f>
        <v/>
      </c>
      <c r="C959">
        <f>IFERROR(INDEX('1.산군_붙여넣기'!$A$1:$AZ$1001,ROW(),설정!$C$5)&amp;"","")</f>
        <v/>
      </c>
      <c r="D959" s="5">
        <f>IFERROR(VALUE(SUBSTITUTE(SUBSTITUTE(SUBSTITUTE(IFERROR(INDEX('1.산군_붙여넣기'!$A$1:$AZ$1001,ROW(),설정!$C$6)&amp;"",""),",",""),"㎡",""),"m2","")),"")</f>
        <v/>
      </c>
      <c r="E959">
        <f>IFERROR(INDEX('1.산군_붙여넣기'!$A$1:$AZ$1001,ROW(),설정!$C$7)&amp;"","")</f>
        <v/>
      </c>
      <c r="F959">
        <f>IFERROR(INDEX('1.산군_붙여넣기'!$A$1:$AZ$1001,ROW(),설정!$C$8)&amp;"","")</f>
        <v/>
      </c>
      <c r="G959">
        <f>IFERROR(INDEX('1.산군_붙여넣기'!$A$1:$AZ$1001,ROW(),설정!$C$9)&amp;"","")</f>
        <v/>
      </c>
      <c r="H959">
        <f>IFERROR(INDEX('1.산군_붙여넣기'!$A$1:$AZ$1001,ROW(),설정!$C$10)&amp;"","")</f>
        <v/>
      </c>
      <c r="I959">
        <f>IFERROR(INDEX('1.산군_붙여넣기'!$A$1:$AZ$1001,ROW(),설정!$C$11)&amp;"","")</f>
        <v/>
      </c>
      <c r="J959">
        <f>IFERROR(INDEX('1.산군_붙여넣기'!$A$1:$AZ$1001,ROW(),설정!$C$12)&amp;"","")</f>
        <v/>
      </c>
      <c r="K959">
        <f>IFERROR(INDEX('1.산군_붙여넣기'!$A$1:$AZ$1001,ROW(),설정!$C$13)&amp;"","")</f>
        <v/>
      </c>
      <c r="L959" s="6">
        <f>IF(X959="","",IF(AND(LEN(X959)=8,ISNUMBER(X959*1)),DATE(LEFT(X959,4),MID(X959,5,2),RIGHT(X959,2)),IFERROR(DATEVALUE(SUBSTITUTE(SUBSTITUTE(X959,".","-"),"/","-")),IFERROR(X959*1,""))))</f>
        <v/>
      </c>
      <c r="M959" s="6">
        <f>IF(Y959="","",IF(AND(LEN(Y959)=8,ISNUMBER(Y959*1)),DATE(LEFT(Y959,4),MID(Y959,5,2),RIGHT(Y959,2)),IFERROR(DATEVALUE(SUBSTITUTE(SUBSTITUTE(Y959,".","-"),"/","-")),IFERROR(Y959*1,""))))</f>
        <v/>
      </c>
      <c r="N959">
        <f>IFERROR(LEFT(B959,FIND(" ",B959)-1),B959)</f>
        <v/>
      </c>
      <c r="O959">
        <f>AND(B959&lt;&gt;"",B959&lt;&gt;설정!$B$4,C959&lt;&gt;설정!$B$5)</f>
        <v/>
      </c>
      <c r="P959">
        <f>IF(O959,B959&amp;"|"&amp;C959,"")</f>
        <v/>
      </c>
      <c r="Q959">
        <f>AND(O959,COUNTIF(P960:P$1002,P959)=0)</f>
        <v/>
      </c>
      <c r="R959">
        <f>OR(AND(설정!$A$28&lt;&gt;"",ISNUMBER(SEARCH(설정!$A$28,E959&amp;" "&amp;C959))),AND(설정!$A$29&lt;&gt;"",ISNUMBER(SEARCH(설정!$A$29,E959&amp;" "&amp;C959))),AND(설정!$A$30&lt;&gt;"",ISNUMBER(SEARCH(설정!$A$30,E959&amp;" "&amp;C959))),AND(설정!$A$31&lt;&gt;"",ISNUMBER(SEARCH(설정!$A$31,E959&amp;" "&amp;C959))),AND(설정!$A$32&lt;&gt;"",ISNUMBER(SEARCH(설정!$A$32,E959&amp;" "&amp;C959))),AND(설정!$A$33&lt;&gt;"",ISNUMBER(SEARCH(설정!$A$33,E959&amp;" "&amp;C959))),AND(설정!$A$34&lt;&gt;"",ISNUMBER(SEARCH(설정!$A$34,E959&amp;" "&amp;C959))),AND(설정!$A$35&lt;&gt;"",ISNUMBER(SEARCH(설정!$A$35,E959&amp;" "&amp;C959))),AND(설정!$A$36&lt;&gt;"",ISNUMBER(SEARCH(설정!$A$36,E959&amp;" "&amp;C959))),AND(설정!$A$37&lt;&gt;"",ISNUMBER(SEARCH(설정!$A$37,E959&amp;" "&amp;C959))))</f>
        <v/>
      </c>
      <c r="S959">
        <f>OR(D959="",D959&gt;=설정!$B$19)</f>
        <v/>
      </c>
      <c r="T959">
        <f>AND(Q959,R959,S959)</f>
        <v/>
      </c>
      <c r="U959">
        <f>IF(T959,IF(AND(설정!$A$41&lt;&gt;"",ISNUMBER(SEARCH(설정!$A$41,K959))),설정!$B$41,IF(AND(설정!$A$42&lt;&gt;"",ISNUMBER(SEARCH(설정!$A$42,K959))),설정!$B$42,IF(AND(설정!$A$43&lt;&gt;"",ISNUMBER(SEARCH(설정!$A$43,K959))),설정!$B$43,IF(AND(설정!$A$44&lt;&gt;"",ISNUMBER(SEARCH(설정!$A$44,K959))),설정!$B$44,IF(AND(설정!$A$45&lt;&gt;"",ISNUMBER(SEARCH(설정!$A$45,K959))),설정!$B$45,IF(AND(설정!$A$46&lt;&gt;"",ISNUMBER(SEARCH(설정!$A$46,K959))),설정!$B$46,IF(AND(설정!$A$47&lt;&gt;"",ISNUMBER(SEARCH(설정!$A$47,K959))),설정!$B$47,IF(AND(설정!$A$48&lt;&gt;"",ISNUMBER(SEARCH(설정!$A$48,K959))),설정!$B$48,IF(M959="","설계사","시공사"))))))))),"")</f>
        <v/>
      </c>
      <c r="V959">
        <f>SUBSTITUTE(SUBSTITUTE(SUBSTITUTE(SUBSTITUTE(G959,"(주)",""),"㈜",""),"주식회사","")," ","")</f>
        <v/>
      </c>
      <c r="W959">
        <f>IF(AND(T959,V959&lt;&gt;""),IF(COUNTIFS(V$2:V959,V959,T$2:T959,TRUE)=1,MAX(W$1:W958)+1,""),"")</f>
        <v/>
      </c>
      <c r="X959">
        <f>IFERROR(INDEX('1.산군_붙여넣기'!$A$1:$AZ$1001,ROW(),설정!$C$14)&amp;"","")</f>
        <v/>
      </c>
      <c r="Y959">
        <f>IFERROR(INDEX('1.산군_붙여넣기'!$A$1:$AZ$1001,ROW(),설정!$C$15)&amp;"","")</f>
        <v/>
      </c>
      <c r="Z959">
        <f>IF(T959,V959&amp;"|"&amp;U959,"")</f>
        <v/>
      </c>
    </row>
    <row r="960">
      <c r="A960">
        <f>ROW()</f>
        <v/>
      </c>
      <c r="B960">
        <f>IFERROR(INDEX('1.산군_붙여넣기'!$A$1:$AZ$1001,ROW(),설정!$C$4)&amp;"","")</f>
        <v/>
      </c>
      <c r="C960">
        <f>IFERROR(INDEX('1.산군_붙여넣기'!$A$1:$AZ$1001,ROW(),설정!$C$5)&amp;"","")</f>
        <v/>
      </c>
      <c r="D960" s="5">
        <f>IFERROR(VALUE(SUBSTITUTE(SUBSTITUTE(SUBSTITUTE(IFERROR(INDEX('1.산군_붙여넣기'!$A$1:$AZ$1001,ROW(),설정!$C$6)&amp;"",""),",",""),"㎡",""),"m2","")),"")</f>
        <v/>
      </c>
      <c r="E960">
        <f>IFERROR(INDEX('1.산군_붙여넣기'!$A$1:$AZ$1001,ROW(),설정!$C$7)&amp;"","")</f>
        <v/>
      </c>
      <c r="F960">
        <f>IFERROR(INDEX('1.산군_붙여넣기'!$A$1:$AZ$1001,ROW(),설정!$C$8)&amp;"","")</f>
        <v/>
      </c>
      <c r="G960">
        <f>IFERROR(INDEX('1.산군_붙여넣기'!$A$1:$AZ$1001,ROW(),설정!$C$9)&amp;"","")</f>
        <v/>
      </c>
      <c r="H960">
        <f>IFERROR(INDEX('1.산군_붙여넣기'!$A$1:$AZ$1001,ROW(),설정!$C$10)&amp;"","")</f>
        <v/>
      </c>
      <c r="I960">
        <f>IFERROR(INDEX('1.산군_붙여넣기'!$A$1:$AZ$1001,ROW(),설정!$C$11)&amp;"","")</f>
        <v/>
      </c>
      <c r="J960">
        <f>IFERROR(INDEX('1.산군_붙여넣기'!$A$1:$AZ$1001,ROW(),설정!$C$12)&amp;"","")</f>
        <v/>
      </c>
      <c r="K960">
        <f>IFERROR(INDEX('1.산군_붙여넣기'!$A$1:$AZ$1001,ROW(),설정!$C$13)&amp;"","")</f>
        <v/>
      </c>
      <c r="L960" s="6">
        <f>IF(X960="","",IF(AND(LEN(X960)=8,ISNUMBER(X960*1)),DATE(LEFT(X960,4),MID(X960,5,2),RIGHT(X960,2)),IFERROR(DATEVALUE(SUBSTITUTE(SUBSTITUTE(X960,".","-"),"/","-")),IFERROR(X960*1,""))))</f>
        <v/>
      </c>
      <c r="M960" s="6">
        <f>IF(Y960="","",IF(AND(LEN(Y960)=8,ISNUMBER(Y960*1)),DATE(LEFT(Y960,4),MID(Y960,5,2),RIGHT(Y960,2)),IFERROR(DATEVALUE(SUBSTITUTE(SUBSTITUTE(Y960,".","-"),"/","-")),IFERROR(Y960*1,""))))</f>
        <v/>
      </c>
      <c r="N960">
        <f>IFERROR(LEFT(B960,FIND(" ",B960)-1),B960)</f>
        <v/>
      </c>
      <c r="O960">
        <f>AND(B960&lt;&gt;"",B960&lt;&gt;설정!$B$4,C960&lt;&gt;설정!$B$5)</f>
        <v/>
      </c>
      <c r="P960">
        <f>IF(O960,B960&amp;"|"&amp;C960,"")</f>
        <v/>
      </c>
      <c r="Q960">
        <f>AND(O960,COUNTIF(P961:P$1002,P960)=0)</f>
        <v/>
      </c>
      <c r="R960">
        <f>OR(AND(설정!$A$28&lt;&gt;"",ISNUMBER(SEARCH(설정!$A$28,E960&amp;" "&amp;C960))),AND(설정!$A$29&lt;&gt;"",ISNUMBER(SEARCH(설정!$A$29,E960&amp;" "&amp;C960))),AND(설정!$A$30&lt;&gt;"",ISNUMBER(SEARCH(설정!$A$30,E960&amp;" "&amp;C960))),AND(설정!$A$31&lt;&gt;"",ISNUMBER(SEARCH(설정!$A$31,E960&amp;" "&amp;C960))),AND(설정!$A$32&lt;&gt;"",ISNUMBER(SEARCH(설정!$A$32,E960&amp;" "&amp;C960))),AND(설정!$A$33&lt;&gt;"",ISNUMBER(SEARCH(설정!$A$33,E960&amp;" "&amp;C960))),AND(설정!$A$34&lt;&gt;"",ISNUMBER(SEARCH(설정!$A$34,E960&amp;" "&amp;C960))),AND(설정!$A$35&lt;&gt;"",ISNUMBER(SEARCH(설정!$A$35,E960&amp;" "&amp;C960))),AND(설정!$A$36&lt;&gt;"",ISNUMBER(SEARCH(설정!$A$36,E960&amp;" "&amp;C960))),AND(설정!$A$37&lt;&gt;"",ISNUMBER(SEARCH(설정!$A$37,E960&amp;" "&amp;C960))))</f>
        <v/>
      </c>
      <c r="S960">
        <f>OR(D960="",D960&gt;=설정!$B$19)</f>
        <v/>
      </c>
      <c r="T960">
        <f>AND(Q960,R960,S960)</f>
        <v/>
      </c>
      <c r="U960">
        <f>IF(T960,IF(AND(설정!$A$41&lt;&gt;"",ISNUMBER(SEARCH(설정!$A$41,K960))),설정!$B$41,IF(AND(설정!$A$42&lt;&gt;"",ISNUMBER(SEARCH(설정!$A$42,K960))),설정!$B$42,IF(AND(설정!$A$43&lt;&gt;"",ISNUMBER(SEARCH(설정!$A$43,K960))),설정!$B$43,IF(AND(설정!$A$44&lt;&gt;"",ISNUMBER(SEARCH(설정!$A$44,K960))),설정!$B$44,IF(AND(설정!$A$45&lt;&gt;"",ISNUMBER(SEARCH(설정!$A$45,K960))),설정!$B$45,IF(AND(설정!$A$46&lt;&gt;"",ISNUMBER(SEARCH(설정!$A$46,K960))),설정!$B$46,IF(AND(설정!$A$47&lt;&gt;"",ISNUMBER(SEARCH(설정!$A$47,K960))),설정!$B$47,IF(AND(설정!$A$48&lt;&gt;"",ISNUMBER(SEARCH(설정!$A$48,K960))),설정!$B$48,IF(M960="","설계사","시공사"))))))))),"")</f>
        <v/>
      </c>
      <c r="V960">
        <f>SUBSTITUTE(SUBSTITUTE(SUBSTITUTE(SUBSTITUTE(G960,"(주)",""),"㈜",""),"주식회사","")," ","")</f>
        <v/>
      </c>
      <c r="W960">
        <f>IF(AND(T960,V960&lt;&gt;""),IF(COUNTIFS(V$2:V960,V960,T$2:T960,TRUE)=1,MAX(W$1:W959)+1,""),"")</f>
        <v/>
      </c>
      <c r="X960">
        <f>IFERROR(INDEX('1.산군_붙여넣기'!$A$1:$AZ$1001,ROW(),설정!$C$14)&amp;"","")</f>
        <v/>
      </c>
      <c r="Y960">
        <f>IFERROR(INDEX('1.산군_붙여넣기'!$A$1:$AZ$1001,ROW(),설정!$C$15)&amp;"","")</f>
        <v/>
      </c>
      <c r="Z960">
        <f>IF(T960,V960&amp;"|"&amp;U960,"")</f>
        <v/>
      </c>
    </row>
    <row r="961">
      <c r="A961">
        <f>ROW()</f>
        <v/>
      </c>
      <c r="B961">
        <f>IFERROR(INDEX('1.산군_붙여넣기'!$A$1:$AZ$1001,ROW(),설정!$C$4)&amp;"","")</f>
        <v/>
      </c>
      <c r="C961">
        <f>IFERROR(INDEX('1.산군_붙여넣기'!$A$1:$AZ$1001,ROW(),설정!$C$5)&amp;"","")</f>
        <v/>
      </c>
      <c r="D961" s="5">
        <f>IFERROR(VALUE(SUBSTITUTE(SUBSTITUTE(SUBSTITUTE(IFERROR(INDEX('1.산군_붙여넣기'!$A$1:$AZ$1001,ROW(),설정!$C$6)&amp;"",""),",",""),"㎡",""),"m2","")),"")</f>
        <v/>
      </c>
      <c r="E961">
        <f>IFERROR(INDEX('1.산군_붙여넣기'!$A$1:$AZ$1001,ROW(),설정!$C$7)&amp;"","")</f>
        <v/>
      </c>
      <c r="F961">
        <f>IFERROR(INDEX('1.산군_붙여넣기'!$A$1:$AZ$1001,ROW(),설정!$C$8)&amp;"","")</f>
        <v/>
      </c>
      <c r="G961">
        <f>IFERROR(INDEX('1.산군_붙여넣기'!$A$1:$AZ$1001,ROW(),설정!$C$9)&amp;"","")</f>
        <v/>
      </c>
      <c r="H961">
        <f>IFERROR(INDEX('1.산군_붙여넣기'!$A$1:$AZ$1001,ROW(),설정!$C$10)&amp;"","")</f>
        <v/>
      </c>
      <c r="I961">
        <f>IFERROR(INDEX('1.산군_붙여넣기'!$A$1:$AZ$1001,ROW(),설정!$C$11)&amp;"","")</f>
        <v/>
      </c>
      <c r="J961">
        <f>IFERROR(INDEX('1.산군_붙여넣기'!$A$1:$AZ$1001,ROW(),설정!$C$12)&amp;"","")</f>
        <v/>
      </c>
      <c r="K961">
        <f>IFERROR(INDEX('1.산군_붙여넣기'!$A$1:$AZ$1001,ROW(),설정!$C$13)&amp;"","")</f>
        <v/>
      </c>
      <c r="L961" s="6">
        <f>IF(X961="","",IF(AND(LEN(X961)=8,ISNUMBER(X961*1)),DATE(LEFT(X961,4),MID(X961,5,2),RIGHT(X961,2)),IFERROR(DATEVALUE(SUBSTITUTE(SUBSTITUTE(X961,".","-"),"/","-")),IFERROR(X961*1,""))))</f>
        <v/>
      </c>
      <c r="M961" s="6">
        <f>IF(Y961="","",IF(AND(LEN(Y961)=8,ISNUMBER(Y961*1)),DATE(LEFT(Y961,4),MID(Y961,5,2),RIGHT(Y961,2)),IFERROR(DATEVALUE(SUBSTITUTE(SUBSTITUTE(Y961,".","-"),"/","-")),IFERROR(Y961*1,""))))</f>
        <v/>
      </c>
      <c r="N961">
        <f>IFERROR(LEFT(B961,FIND(" ",B961)-1),B961)</f>
        <v/>
      </c>
      <c r="O961">
        <f>AND(B961&lt;&gt;"",B961&lt;&gt;설정!$B$4,C961&lt;&gt;설정!$B$5)</f>
        <v/>
      </c>
      <c r="P961">
        <f>IF(O961,B961&amp;"|"&amp;C961,"")</f>
        <v/>
      </c>
      <c r="Q961">
        <f>AND(O961,COUNTIF(P962:P$1002,P961)=0)</f>
        <v/>
      </c>
      <c r="R961">
        <f>OR(AND(설정!$A$28&lt;&gt;"",ISNUMBER(SEARCH(설정!$A$28,E961&amp;" "&amp;C961))),AND(설정!$A$29&lt;&gt;"",ISNUMBER(SEARCH(설정!$A$29,E961&amp;" "&amp;C961))),AND(설정!$A$30&lt;&gt;"",ISNUMBER(SEARCH(설정!$A$30,E961&amp;" "&amp;C961))),AND(설정!$A$31&lt;&gt;"",ISNUMBER(SEARCH(설정!$A$31,E961&amp;" "&amp;C961))),AND(설정!$A$32&lt;&gt;"",ISNUMBER(SEARCH(설정!$A$32,E961&amp;" "&amp;C961))),AND(설정!$A$33&lt;&gt;"",ISNUMBER(SEARCH(설정!$A$33,E961&amp;" "&amp;C961))),AND(설정!$A$34&lt;&gt;"",ISNUMBER(SEARCH(설정!$A$34,E961&amp;" "&amp;C961))),AND(설정!$A$35&lt;&gt;"",ISNUMBER(SEARCH(설정!$A$35,E961&amp;" "&amp;C961))),AND(설정!$A$36&lt;&gt;"",ISNUMBER(SEARCH(설정!$A$36,E961&amp;" "&amp;C961))),AND(설정!$A$37&lt;&gt;"",ISNUMBER(SEARCH(설정!$A$37,E961&amp;" "&amp;C961))))</f>
        <v/>
      </c>
      <c r="S961">
        <f>OR(D961="",D961&gt;=설정!$B$19)</f>
        <v/>
      </c>
      <c r="T961">
        <f>AND(Q961,R961,S961)</f>
        <v/>
      </c>
      <c r="U961">
        <f>IF(T961,IF(AND(설정!$A$41&lt;&gt;"",ISNUMBER(SEARCH(설정!$A$41,K961))),설정!$B$41,IF(AND(설정!$A$42&lt;&gt;"",ISNUMBER(SEARCH(설정!$A$42,K961))),설정!$B$42,IF(AND(설정!$A$43&lt;&gt;"",ISNUMBER(SEARCH(설정!$A$43,K961))),설정!$B$43,IF(AND(설정!$A$44&lt;&gt;"",ISNUMBER(SEARCH(설정!$A$44,K961))),설정!$B$44,IF(AND(설정!$A$45&lt;&gt;"",ISNUMBER(SEARCH(설정!$A$45,K961))),설정!$B$45,IF(AND(설정!$A$46&lt;&gt;"",ISNUMBER(SEARCH(설정!$A$46,K961))),설정!$B$46,IF(AND(설정!$A$47&lt;&gt;"",ISNUMBER(SEARCH(설정!$A$47,K961))),설정!$B$47,IF(AND(설정!$A$48&lt;&gt;"",ISNUMBER(SEARCH(설정!$A$48,K961))),설정!$B$48,IF(M961="","설계사","시공사"))))))))),"")</f>
        <v/>
      </c>
      <c r="V961">
        <f>SUBSTITUTE(SUBSTITUTE(SUBSTITUTE(SUBSTITUTE(G961,"(주)",""),"㈜",""),"주식회사","")," ","")</f>
        <v/>
      </c>
      <c r="W961">
        <f>IF(AND(T961,V961&lt;&gt;""),IF(COUNTIFS(V$2:V961,V961,T$2:T961,TRUE)=1,MAX(W$1:W960)+1,""),"")</f>
        <v/>
      </c>
      <c r="X961">
        <f>IFERROR(INDEX('1.산군_붙여넣기'!$A$1:$AZ$1001,ROW(),설정!$C$14)&amp;"","")</f>
        <v/>
      </c>
      <c r="Y961">
        <f>IFERROR(INDEX('1.산군_붙여넣기'!$A$1:$AZ$1001,ROW(),설정!$C$15)&amp;"","")</f>
        <v/>
      </c>
      <c r="Z961">
        <f>IF(T961,V961&amp;"|"&amp;U961,"")</f>
        <v/>
      </c>
    </row>
    <row r="962">
      <c r="A962">
        <f>ROW()</f>
        <v/>
      </c>
      <c r="B962">
        <f>IFERROR(INDEX('1.산군_붙여넣기'!$A$1:$AZ$1001,ROW(),설정!$C$4)&amp;"","")</f>
        <v/>
      </c>
      <c r="C962">
        <f>IFERROR(INDEX('1.산군_붙여넣기'!$A$1:$AZ$1001,ROW(),설정!$C$5)&amp;"","")</f>
        <v/>
      </c>
      <c r="D962" s="5">
        <f>IFERROR(VALUE(SUBSTITUTE(SUBSTITUTE(SUBSTITUTE(IFERROR(INDEX('1.산군_붙여넣기'!$A$1:$AZ$1001,ROW(),설정!$C$6)&amp;"",""),",",""),"㎡",""),"m2","")),"")</f>
        <v/>
      </c>
      <c r="E962">
        <f>IFERROR(INDEX('1.산군_붙여넣기'!$A$1:$AZ$1001,ROW(),설정!$C$7)&amp;"","")</f>
        <v/>
      </c>
      <c r="F962">
        <f>IFERROR(INDEX('1.산군_붙여넣기'!$A$1:$AZ$1001,ROW(),설정!$C$8)&amp;"","")</f>
        <v/>
      </c>
      <c r="G962">
        <f>IFERROR(INDEX('1.산군_붙여넣기'!$A$1:$AZ$1001,ROW(),설정!$C$9)&amp;"","")</f>
        <v/>
      </c>
      <c r="H962">
        <f>IFERROR(INDEX('1.산군_붙여넣기'!$A$1:$AZ$1001,ROW(),설정!$C$10)&amp;"","")</f>
        <v/>
      </c>
      <c r="I962">
        <f>IFERROR(INDEX('1.산군_붙여넣기'!$A$1:$AZ$1001,ROW(),설정!$C$11)&amp;"","")</f>
        <v/>
      </c>
      <c r="J962">
        <f>IFERROR(INDEX('1.산군_붙여넣기'!$A$1:$AZ$1001,ROW(),설정!$C$12)&amp;"","")</f>
        <v/>
      </c>
      <c r="K962">
        <f>IFERROR(INDEX('1.산군_붙여넣기'!$A$1:$AZ$1001,ROW(),설정!$C$13)&amp;"","")</f>
        <v/>
      </c>
      <c r="L962" s="6">
        <f>IF(X962="","",IF(AND(LEN(X962)=8,ISNUMBER(X962*1)),DATE(LEFT(X962,4),MID(X962,5,2),RIGHT(X962,2)),IFERROR(DATEVALUE(SUBSTITUTE(SUBSTITUTE(X962,".","-"),"/","-")),IFERROR(X962*1,""))))</f>
        <v/>
      </c>
      <c r="M962" s="6">
        <f>IF(Y962="","",IF(AND(LEN(Y962)=8,ISNUMBER(Y962*1)),DATE(LEFT(Y962,4),MID(Y962,5,2),RIGHT(Y962,2)),IFERROR(DATEVALUE(SUBSTITUTE(SUBSTITUTE(Y962,".","-"),"/","-")),IFERROR(Y962*1,""))))</f>
        <v/>
      </c>
      <c r="N962">
        <f>IFERROR(LEFT(B962,FIND(" ",B962)-1),B962)</f>
        <v/>
      </c>
      <c r="O962">
        <f>AND(B962&lt;&gt;"",B962&lt;&gt;설정!$B$4,C962&lt;&gt;설정!$B$5)</f>
        <v/>
      </c>
      <c r="P962">
        <f>IF(O962,B962&amp;"|"&amp;C962,"")</f>
        <v/>
      </c>
      <c r="Q962">
        <f>AND(O962,COUNTIF(P963:P$1002,P962)=0)</f>
        <v/>
      </c>
      <c r="R962">
        <f>OR(AND(설정!$A$28&lt;&gt;"",ISNUMBER(SEARCH(설정!$A$28,E962&amp;" "&amp;C962))),AND(설정!$A$29&lt;&gt;"",ISNUMBER(SEARCH(설정!$A$29,E962&amp;" "&amp;C962))),AND(설정!$A$30&lt;&gt;"",ISNUMBER(SEARCH(설정!$A$30,E962&amp;" "&amp;C962))),AND(설정!$A$31&lt;&gt;"",ISNUMBER(SEARCH(설정!$A$31,E962&amp;" "&amp;C962))),AND(설정!$A$32&lt;&gt;"",ISNUMBER(SEARCH(설정!$A$32,E962&amp;" "&amp;C962))),AND(설정!$A$33&lt;&gt;"",ISNUMBER(SEARCH(설정!$A$33,E962&amp;" "&amp;C962))),AND(설정!$A$34&lt;&gt;"",ISNUMBER(SEARCH(설정!$A$34,E962&amp;" "&amp;C962))),AND(설정!$A$35&lt;&gt;"",ISNUMBER(SEARCH(설정!$A$35,E962&amp;" "&amp;C962))),AND(설정!$A$36&lt;&gt;"",ISNUMBER(SEARCH(설정!$A$36,E962&amp;" "&amp;C962))),AND(설정!$A$37&lt;&gt;"",ISNUMBER(SEARCH(설정!$A$37,E962&amp;" "&amp;C962))))</f>
        <v/>
      </c>
      <c r="S962">
        <f>OR(D962="",D962&gt;=설정!$B$19)</f>
        <v/>
      </c>
      <c r="T962">
        <f>AND(Q962,R962,S962)</f>
        <v/>
      </c>
      <c r="U962">
        <f>IF(T962,IF(AND(설정!$A$41&lt;&gt;"",ISNUMBER(SEARCH(설정!$A$41,K962))),설정!$B$41,IF(AND(설정!$A$42&lt;&gt;"",ISNUMBER(SEARCH(설정!$A$42,K962))),설정!$B$42,IF(AND(설정!$A$43&lt;&gt;"",ISNUMBER(SEARCH(설정!$A$43,K962))),설정!$B$43,IF(AND(설정!$A$44&lt;&gt;"",ISNUMBER(SEARCH(설정!$A$44,K962))),설정!$B$44,IF(AND(설정!$A$45&lt;&gt;"",ISNUMBER(SEARCH(설정!$A$45,K962))),설정!$B$45,IF(AND(설정!$A$46&lt;&gt;"",ISNUMBER(SEARCH(설정!$A$46,K962))),설정!$B$46,IF(AND(설정!$A$47&lt;&gt;"",ISNUMBER(SEARCH(설정!$A$47,K962))),설정!$B$47,IF(AND(설정!$A$48&lt;&gt;"",ISNUMBER(SEARCH(설정!$A$48,K962))),설정!$B$48,IF(M962="","설계사","시공사"))))))))),"")</f>
        <v/>
      </c>
      <c r="V962">
        <f>SUBSTITUTE(SUBSTITUTE(SUBSTITUTE(SUBSTITUTE(G962,"(주)",""),"㈜",""),"주식회사","")," ","")</f>
        <v/>
      </c>
      <c r="W962">
        <f>IF(AND(T962,V962&lt;&gt;""),IF(COUNTIFS(V$2:V962,V962,T$2:T962,TRUE)=1,MAX(W$1:W961)+1,""),"")</f>
        <v/>
      </c>
      <c r="X962">
        <f>IFERROR(INDEX('1.산군_붙여넣기'!$A$1:$AZ$1001,ROW(),설정!$C$14)&amp;"","")</f>
        <v/>
      </c>
      <c r="Y962">
        <f>IFERROR(INDEX('1.산군_붙여넣기'!$A$1:$AZ$1001,ROW(),설정!$C$15)&amp;"","")</f>
        <v/>
      </c>
      <c r="Z962">
        <f>IF(T962,V962&amp;"|"&amp;U962,"")</f>
        <v/>
      </c>
    </row>
    <row r="963">
      <c r="A963">
        <f>ROW()</f>
        <v/>
      </c>
      <c r="B963">
        <f>IFERROR(INDEX('1.산군_붙여넣기'!$A$1:$AZ$1001,ROW(),설정!$C$4)&amp;"","")</f>
        <v/>
      </c>
      <c r="C963">
        <f>IFERROR(INDEX('1.산군_붙여넣기'!$A$1:$AZ$1001,ROW(),설정!$C$5)&amp;"","")</f>
        <v/>
      </c>
      <c r="D963" s="5">
        <f>IFERROR(VALUE(SUBSTITUTE(SUBSTITUTE(SUBSTITUTE(IFERROR(INDEX('1.산군_붙여넣기'!$A$1:$AZ$1001,ROW(),설정!$C$6)&amp;"",""),",",""),"㎡",""),"m2","")),"")</f>
        <v/>
      </c>
      <c r="E963">
        <f>IFERROR(INDEX('1.산군_붙여넣기'!$A$1:$AZ$1001,ROW(),설정!$C$7)&amp;"","")</f>
        <v/>
      </c>
      <c r="F963">
        <f>IFERROR(INDEX('1.산군_붙여넣기'!$A$1:$AZ$1001,ROW(),설정!$C$8)&amp;"","")</f>
        <v/>
      </c>
      <c r="G963">
        <f>IFERROR(INDEX('1.산군_붙여넣기'!$A$1:$AZ$1001,ROW(),설정!$C$9)&amp;"","")</f>
        <v/>
      </c>
      <c r="H963">
        <f>IFERROR(INDEX('1.산군_붙여넣기'!$A$1:$AZ$1001,ROW(),설정!$C$10)&amp;"","")</f>
        <v/>
      </c>
      <c r="I963">
        <f>IFERROR(INDEX('1.산군_붙여넣기'!$A$1:$AZ$1001,ROW(),설정!$C$11)&amp;"","")</f>
        <v/>
      </c>
      <c r="J963">
        <f>IFERROR(INDEX('1.산군_붙여넣기'!$A$1:$AZ$1001,ROW(),설정!$C$12)&amp;"","")</f>
        <v/>
      </c>
      <c r="K963">
        <f>IFERROR(INDEX('1.산군_붙여넣기'!$A$1:$AZ$1001,ROW(),설정!$C$13)&amp;"","")</f>
        <v/>
      </c>
      <c r="L963" s="6">
        <f>IF(X963="","",IF(AND(LEN(X963)=8,ISNUMBER(X963*1)),DATE(LEFT(X963,4),MID(X963,5,2),RIGHT(X963,2)),IFERROR(DATEVALUE(SUBSTITUTE(SUBSTITUTE(X963,".","-"),"/","-")),IFERROR(X963*1,""))))</f>
        <v/>
      </c>
      <c r="M963" s="6">
        <f>IF(Y963="","",IF(AND(LEN(Y963)=8,ISNUMBER(Y963*1)),DATE(LEFT(Y963,4),MID(Y963,5,2),RIGHT(Y963,2)),IFERROR(DATEVALUE(SUBSTITUTE(SUBSTITUTE(Y963,".","-"),"/","-")),IFERROR(Y963*1,""))))</f>
        <v/>
      </c>
      <c r="N963">
        <f>IFERROR(LEFT(B963,FIND(" ",B963)-1),B963)</f>
        <v/>
      </c>
      <c r="O963">
        <f>AND(B963&lt;&gt;"",B963&lt;&gt;설정!$B$4,C963&lt;&gt;설정!$B$5)</f>
        <v/>
      </c>
      <c r="P963">
        <f>IF(O963,B963&amp;"|"&amp;C963,"")</f>
        <v/>
      </c>
      <c r="Q963">
        <f>AND(O963,COUNTIF(P964:P$1002,P963)=0)</f>
        <v/>
      </c>
      <c r="R963">
        <f>OR(AND(설정!$A$28&lt;&gt;"",ISNUMBER(SEARCH(설정!$A$28,E963&amp;" "&amp;C963))),AND(설정!$A$29&lt;&gt;"",ISNUMBER(SEARCH(설정!$A$29,E963&amp;" "&amp;C963))),AND(설정!$A$30&lt;&gt;"",ISNUMBER(SEARCH(설정!$A$30,E963&amp;" "&amp;C963))),AND(설정!$A$31&lt;&gt;"",ISNUMBER(SEARCH(설정!$A$31,E963&amp;" "&amp;C963))),AND(설정!$A$32&lt;&gt;"",ISNUMBER(SEARCH(설정!$A$32,E963&amp;" "&amp;C963))),AND(설정!$A$33&lt;&gt;"",ISNUMBER(SEARCH(설정!$A$33,E963&amp;" "&amp;C963))),AND(설정!$A$34&lt;&gt;"",ISNUMBER(SEARCH(설정!$A$34,E963&amp;" "&amp;C963))),AND(설정!$A$35&lt;&gt;"",ISNUMBER(SEARCH(설정!$A$35,E963&amp;" "&amp;C963))),AND(설정!$A$36&lt;&gt;"",ISNUMBER(SEARCH(설정!$A$36,E963&amp;" "&amp;C963))),AND(설정!$A$37&lt;&gt;"",ISNUMBER(SEARCH(설정!$A$37,E963&amp;" "&amp;C963))))</f>
        <v/>
      </c>
      <c r="S963">
        <f>OR(D963="",D963&gt;=설정!$B$19)</f>
        <v/>
      </c>
      <c r="T963">
        <f>AND(Q963,R963,S963)</f>
        <v/>
      </c>
      <c r="U963">
        <f>IF(T963,IF(AND(설정!$A$41&lt;&gt;"",ISNUMBER(SEARCH(설정!$A$41,K963))),설정!$B$41,IF(AND(설정!$A$42&lt;&gt;"",ISNUMBER(SEARCH(설정!$A$42,K963))),설정!$B$42,IF(AND(설정!$A$43&lt;&gt;"",ISNUMBER(SEARCH(설정!$A$43,K963))),설정!$B$43,IF(AND(설정!$A$44&lt;&gt;"",ISNUMBER(SEARCH(설정!$A$44,K963))),설정!$B$44,IF(AND(설정!$A$45&lt;&gt;"",ISNUMBER(SEARCH(설정!$A$45,K963))),설정!$B$45,IF(AND(설정!$A$46&lt;&gt;"",ISNUMBER(SEARCH(설정!$A$46,K963))),설정!$B$46,IF(AND(설정!$A$47&lt;&gt;"",ISNUMBER(SEARCH(설정!$A$47,K963))),설정!$B$47,IF(AND(설정!$A$48&lt;&gt;"",ISNUMBER(SEARCH(설정!$A$48,K963))),설정!$B$48,IF(M963="","설계사","시공사"))))))))),"")</f>
        <v/>
      </c>
      <c r="V963">
        <f>SUBSTITUTE(SUBSTITUTE(SUBSTITUTE(SUBSTITUTE(G963,"(주)",""),"㈜",""),"주식회사","")," ","")</f>
        <v/>
      </c>
      <c r="W963">
        <f>IF(AND(T963,V963&lt;&gt;""),IF(COUNTIFS(V$2:V963,V963,T$2:T963,TRUE)=1,MAX(W$1:W962)+1,""),"")</f>
        <v/>
      </c>
      <c r="X963">
        <f>IFERROR(INDEX('1.산군_붙여넣기'!$A$1:$AZ$1001,ROW(),설정!$C$14)&amp;"","")</f>
        <v/>
      </c>
      <c r="Y963">
        <f>IFERROR(INDEX('1.산군_붙여넣기'!$A$1:$AZ$1001,ROW(),설정!$C$15)&amp;"","")</f>
        <v/>
      </c>
      <c r="Z963">
        <f>IF(T963,V963&amp;"|"&amp;U963,"")</f>
        <v/>
      </c>
    </row>
    <row r="964">
      <c r="A964">
        <f>ROW()</f>
        <v/>
      </c>
      <c r="B964">
        <f>IFERROR(INDEX('1.산군_붙여넣기'!$A$1:$AZ$1001,ROW(),설정!$C$4)&amp;"","")</f>
        <v/>
      </c>
      <c r="C964">
        <f>IFERROR(INDEX('1.산군_붙여넣기'!$A$1:$AZ$1001,ROW(),설정!$C$5)&amp;"","")</f>
        <v/>
      </c>
      <c r="D964" s="5">
        <f>IFERROR(VALUE(SUBSTITUTE(SUBSTITUTE(SUBSTITUTE(IFERROR(INDEX('1.산군_붙여넣기'!$A$1:$AZ$1001,ROW(),설정!$C$6)&amp;"",""),",",""),"㎡",""),"m2","")),"")</f>
        <v/>
      </c>
      <c r="E964">
        <f>IFERROR(INDEX('1.산군_붙여넣기'!$A$1:$AZ$1001,ROW(),설정!$C$7)&amp;"","")</f>
        <v/>
      </c>
      <c r="F964">
        <f>IFERROR(INDEX('1.산군_붙여넣기'!$A$1:$AZ$1001,ROW(),설정!$C$8)&amp;"","")</f>
        <v/>
      </c>
      <c r="G964">
        <f>IFERROR(INDEX('1.산군_붙여넣기'!$A$1:$AZ$1001,ROW(),설정!$C$9)&amp;"","")</f>
        <v/>
      </c>
      <c r="H964">
        <f>IFERROR(INDEX('1.산군_붙여넣기'!$A$1:$AZ$1001,ROW(),설정!$C$10)&amp;"","")</f>
        <v/>
      </c>
      <c r="I964">
        <f>IFERROR(INDEX('1.산군_붙여넣기'!$A$1:$AZ$1001,ROW(),설정!$C$11)&amp;"","")</f>
        <v/>
      </c>
      <c r="J964">
        <f>IFERROR(INDEX('1.산군_붙여넣기'!$A$1:$AZ$1001,ROW(),설정!$C$12)&amp;"","")</f>
        <v/>
      </c>
      <c r="K964">
        <f>IFERROR(INDEX('1.산군_붙여넣기'!$A$1:$AZ$1001,ROW(),설정!$C$13)&amp;"","")</f>
        <v/>
      </c>
      <c r="L964" s="6">
        <f>IF(X964="","",IF(AND(LEN(X964)=8,ISNUMBER(X964*1)),DATE(LEFT(X964,4),MID(X964,5,2),RIGHT(X964,2)),IFERROR(DATEVALUE(SUBSTITUTE(SUBSTITUTE(X964,".","-"),"/","-")),IFERROR(X964*1,""))))</f>
        <v/>
      </c>
      <c r="M964" s="6">
        <f>IF(Y964="","",IF(AND(LEN(Y964)=8,ISNUMBER(Y964*1)),DATE(LEFT(Y964,4),MID(Y964,5,2),RIGHT(Y964,2)),IFERROR(DATEVALUE(SUBSTITUTE(SUBSTITUTE(Y964,".","-"),"/","-")),IFERROR(Y964*1,""))))</f>
        <v/>
      </c>
      <c r="N964">
        <f>IFERROR(LEFT(B964,FIND(" ",B964)-1),B964)</f>
        <v/>
      </c>
      <c r="O964">
        <f>AND(B964&lt;&gt;"",B964&lt;&gt;설정!$B$4,C964&lt;&gt;설정!$B$5)</f>
        <v/>
      </c>
      <c r="P964">
        <f>IF(O964,B964&amp;"|"&amp;C964,"")</f>
        <v/>
      </c>
      <c r="Q964">
        <f>AND(O964,COUNTIF(P965:P$1002,P964)=0)</f>
        <v/>
      </c>
      <c r="R964">
        <f>OR(AND(설정!$A$28&lt;&gt;"",ISNUMBER(SEARCH(설정!$A$28,E964&amp;" "&amp;C964))),AND(설정!$A$29&lt;&gt;"",ISNUMBER(SEARCH(설정!$A$29,E964&amp;" "&amp;C964))),AND(설정!$A$30&lt;&gt;"",ISNUMBER(SEARCH(설정!$A$30,E964&amp;" "&amp;C964))),AND(설정!$A$31&lt;&gt;"",ISNUMBER(SEARCH(설정!$A$31,E964&amp;" "&amp;C964))),AND(설정!$A$32&lt;&gt;"",ISNUMBER(SEARCH(설정!$A$32,E964&amp;" "&amp;C964))),AND(설정!$A$33&lt;&gt;"",ISNUMBER(SEARCH(설정!$A$33,E964&amp;" "&amp;C964))),AND(설정!$A$34&lt;&gt;"",ISNUMBER(SEARCH(설정!$A$34,E964&amp;" "&amp;C964))),AND(설정!$A$35&lt;&gt;"",ISNUMBER(SEARCH(설정!$A$35,E964&amp;" "&amp;C964))),AND(설정!$A$36&lt;&gt;"",ISNUMBER(SEARCH(설정!$A$36,E964&amp;" "&amp;C964))),AND(설정!$A$37&lt;&gt;"",ISNUMBER(SEARCH(설정!$A$37,E964&amp;" "&amp;C964))))</f>
        <v/>
      </c>
      <c r="S964">
        <f>OR(D964="",D964&gt;=설정!$B$19)</f>
        <v/>
      </c>
      <c r="T964">
        <f>AND(Q964,R964,S964)</f>
        <v/>
      </c>
      <c r="U964">
        <f>IF(T964,IF(AND(설정!$A$41&lt;&gt;"",ISNUMBER(SEARCH(설정!$A$41,K964))),설정!$B$41,IF(AND(설정!$A$42&lt;&gt;"",ISNUMBER(SEARCH(설정!$A$42,K964))),설정!$B$42,IF(AND(설정!$A$43&lt;&gt;"",ISNUMBER(SEARCH(설정!$A$43,K964))),설정!$B$43,IF(AND(설정!$A$44&lt;&gt;"",ISNUMBER(SEARCH(설정!$A$44,K964))),설정!$B$44,IF(AND(설정!$A$45&lt;&gt;"",ISNUMBER(SEARCH(설정!$A$45,K964))),설정!$B$45,IF(AND(설정!$A$46&lt;&gt;"",ISNUMBER(SEARCH(설정!$A$46,K964))),설정!$B$46,IF(AND(설정!$A$47&lt;&gt;"",ISNUMBER(SEARCH(설정!$A$47,K964))),설정!$B$47,IF(AND(설정!$A$48&lt;&gt;"",ISNUMBER(SEARCH(설정!$A$48,K964))),설정!$B$48,IF(M964="","설계사","시공사"))))))))),"")</f>
        <v/>
      </c>
      <c r="V964">
        <f>SUBSTITUTE(SUBSTITUTE(SUBSTITUTE(SUBSTITUTE(G964,"(주)",""),"㈜",""),"주식회사","")," ","")</f>
        <v/>
      </c>
      <c r="W964">
        <f>IF(AND(T964,V964&lt;&gt;""),IF(COUNTIFS(V$2:V964,V964,T$2:T964,TRUE)=1,MAX(W$1:W963)+1,""),"")</f>
        <v/>
      </c>
      <c r="X964">
        <f>IFERROR(INDEX('1.산군_붙여넣기'!$A$1:$AZ$1001,ROW(),설정!$C$14)&amp;"","")</f>
        <v/>
      </c>
      <c r="Y964">
        <f>IFERROR(INDEX('1.산군_붙여넣기'!$A$1:$AZ$1001,ROW(),설정!$C$15)&amp;"","")</f>
        <v/>
      </c>
      <c r="Z964">
        <f>IF(T964,V964&amp;"|"&amp;U964,"")</f>
        <v/>
      </c>
    </row>
    <row r="965">
      <c r="A965">
        <f>ROW()</f>
        <v/>
      </c>
      <c r="B965">
        <f>IFERROR(INDEX('1.산군_붙여넣기'!$A$1:$AZ$1001,ROW(),설정!$C$4)&amp;"","")</f>
        <v/>
      </c>
      <c r="C965">
        <f>IFERROR(INDEX('1.산군_붙여넣기'!$A$1:$AZ$1001,ROW(),설정!$C$5)&amp;"","")</f>
        <v/>
      </c>
      <c r="D965" s="5">
        <f>IFERROR(VALUE(SUBSTITUTE(SUBSTITUTE(SUBSTITUTE(IFERROR(INDEX('1.산군_붙여넣기'!$A$1:$AZ$1001,ROW(),설정!$C$6)&amp;"",""),",",""),"㎡",""),"m2","")),"")</f>
        <v/>
      </c>
      <c r="E965">
        <f>IFERROR(INDEX('1.산군_붙여넣기'!$A$1:$AZ$1001,ROW(),설정!$C$7)&amp;"","")</f>
        <v/>
      </c>
      <c r="F965">
        <f>IFERROR(INDEX('1.산군_붙여넣기'!$A$1:$AZ$1001,ROW(),설정!$C$8)&amp;"","")</f>
        <v/>
      </c>
      <c r="G965">
        <f>IFERROR(INDEX('1.산군_붙여넣기'!$A$1:$AZ$1001,ROW(),설정!$C$9)&amp;"","")</f>
        <v/>
      </c>
      <c r="H965">
        <f>IFERROR(INDEX('1.산군_붙여넣기'!$A$1:$AZ$1001,ROW(),설정!$C$10)&amp;"","")</f>
        <v/>
      </c>
      <c r="I965">
        <f>IFERROR(INDEX('1.산군_붙여넣기'!$A$1:$AZ$1001,ROW(),설정!$C$11)&amp;"","")</f>
        <v/>
      </c>
      <c r="J965">
        <f>IFERROR(INDEX('1.산군_붙여넣기'!$A$1:$AZ$1001,ROW(),설정!$C$12)&amp;"","")</f>
        <v/>
      </c>
      <c r="K965">
        <f>IFERROR(INDEX('1.산군_붙여넣기'!$A$1:$AZ$1001,ROW(),설정!$C$13)&amp;"","")</f>
        <v/>
      </c>
      <c r="L965" s="6">
        <f>IF(X965="","",IF(AND(LEN(X965)=8,ISNUMBER(X965*1)),DATE(LEFT(X965,4),MID(X965,5,2),RIGHT(X965,2)),IFERROR(DATEVALUE(SUBSTITUTE(SUBSTITUTE(X965,".","-"),"/","-")),IFERROR(X965*1,""))))</f>
        <v/>
      </c>
      <c r="M965" s="6">
        <f>IF(Y965="","",IF(AND(LEN(Y965)=8,ISNUMBER(Y965*1)),DATE(LEFT(Y965,4),MID(Y965,5,2),RIGHT(Y965,2)),IFERROR(DATEVALUE(SUBSTITUTE(SUBSTITUTE(Y965,".","-"),"/","-")),IFERROR(Y965*1,""))))</f>
        <v/>
      </c>
      <c r="N965">
        <f>IFERROR(LEFT(B965,FIND(" ",B965)-1),B965)</f>
        <v/>
      </c>
      <c r="O965">
        <f>AND(B965&lt;&gt;"",B965&lt;&gt;설정!$B$4,C965&lt;&gt;설정!$B$5)</f>
        <v/>
      </c>
      <c r="P965">
        <f>IF(O965,B965&amp;"|"&amp;C965,"")</f>
        <v/>
      </c>
      <c r="Q965">
        <f>AND(O965,COUNTIF(P966:P$1002,P965)=0)</f>
        <v/>
      </c>
      <c r="R965">
        <f>OR(AND(설정!$A$28&lt;&gt;"",ISNUMBER(SEARCH(설정!$A$28,E965&amp;" "&amp;C965))),AND(설정!$A$29&lt;&gt;"",ISNUMBER(SEARCH(설정!$A$29,E965&amp;" "&amp;C965))),AND(설정!$A$30&lt;&gt;"",ISNUMBER(SEARCH(설정!$A$30,E965&amp;" "&amp;C965))),AND(설정!$A$31&lt;&gt;"",ISNUMBER(SEARCH(설정!$A$31,E965&amp;" "&amp;C965))),AND(설정!$A$32&lt;&gt;"",ISNUMBER(SEARCH(설정!$A$32,E965&amp;" "&amp;C965))),AND(설정!$A$33&lt;&gt;"",ISNUMBER(SEARCH(설정!$A$33,E965&amp;" "&amp;C965))),AND(설정!$A$34&lt;&gt;"",ISNUMBER(SEARCH(설정!$A$34,E965&amp;" "&amp;C965))),AND(설정!$A$35&lt;&gt;"",ISNUMBER(SEARCH(설정!$A$35,E965&amp;" "&amp;C965))),AND(설정!$A$36&lt;&gt;"",ISNUMBER(SEARCH(설정!$A$36,E965&amp;" "&amp;C965))),AND(설정!$A$37&lt;&gt;"",ISNUMBER(SEARCH(설정!$A$37,E965&amp;" "&amp;C965))))</f>
        <v/>
      </c>
      <c r="S965">
        <f>OR(D965="",D965&gt;=설정!$B$19)</f>
        <v/>
      </c>
      <c r="T965">
        <f>AND(Q965,R965,S965)</f>
        <v/>
      </c>
      <c r="U965">
        <f>IF(T965,IF(AND(설정!$A$41&lt;&gt;"",ISNUMBER(SEARCH(설정!$A$41,K965))),설정!$B$41,IF(AND(설정!$A$42&lt;&gt;"",ISNUMBER(SEARCH(설정!$A$42,K965))),설정!$B$42,IF(AND(설정!$A$43&lt;&gt;"",ISNUMBER(SEARCH(설정!$A$43,K965))),설정!$B$43,IF(AND(설정!$A$44&lt;&gt;"",ISNUMBER(SEARCH(설정!$A$44,K965))),설정!$B$44,IF(AND(설정!$A$45&lt;&gt;"",ISNUMBER(SEARCH(설정!$A$45,K965))),설정!$B$45,IF(AND(설정!$A$46&lt;&gt;"",ISNUMBER(SEARCH(설정!$A$46,K965))),설정!$B$46,IF(AND(설정!$A$47&lt;&gt;"",ISNUMBER(SEARCH(설정!$A$47,K965))),설정!$B$47,IF(AND(설정!$A$48&lt;&gt;"",ISNUMBER(SEARCH(설정!$A$48,K965))),설정!$B$48,IF(M965="","설계사","시공사"))))))))),"")</f>
        <v/>
      </c>
      <c r="V965">
        <f>SUBSTITUTE(SUBSTITUTE(SUBSTITUTE(SUBSTITUTE(G965,"(주)",""),"㈜",""),"주식회사","")," ","")</f>
        <v/>
      </c>
      <c r="W965">
        <f>IF(AND(T965,V965&lt;&gt;""),IF(COUNTIFS(V$2:V965,V965,T$2:T965,TRUE)=1,MAX(W$1:W964)+1,""),"")</f>
        <v/>
      </c>
      <c r="X965">
        <f>IFERROR(INDEX('1.산군_붙여넣기'!$A$1:$AZ$1001,ROW(),설정!$C$14)&amp;"","")</f>
        <v/>
      </c>
      <c r="Y965">
        <f>IFERROR(INDEX('1.산군_붙여넣기'!$A$1:$AZ$1001,ROW(),설정!$C$15)&amp;"","")</f>
        <v/>
      </c>
      <c r="Z965">
        <f>IF(T965,V965&amp;"|"&amp;U965,"")</f>
        <v/>
      </c>
    </row>
    <row r="966">
      <c r="A966">
        <f>ROW()</f>
        <v/>
      </c>
      <c r="B966">
        <f>IFERROR(INDEX('1.산군_붙여넣기'!$A$1:$AZ$1001,ROW(),설정!$C$4)&amp;"","")</f>
        <v/>
      </c>
      <c r="C966">
        <f>IFERROR(INDEX('1.산군_붙여넣기'!$A$1:$AZ$1001,ROW(),설정!$C$5)&amp;"","")</f>
        <v/>
      </c>
      <c r="D966" s="5">
        <f>IFERROR(VALUE(SUBSTITUTE(SUBSTITUTE(SUBSTITUTE(IFERROR(INDEX('1.산군_붙여넣기'!$A$1:$AZ$1001,ROW(),설정!$C$6)&amp;"",""),",",""),"㎡",""),"m2","")),"")</f>
        <v/>
      </c>
      <c r="E966">
        <f>IFERROR(INDEX('1.산군_붙여넣기'!$A$1:$AZ$1001,ROW(),설정!$C$7)&amp;"","")</f>
        <v/>
      </c>
      <c r="F966">
        <f>IFERROR(INDEX('1.산군_붙여넣기'!$A$1:$AZ$1001,ROW(),설정!$C$8)&amp;"","")</f>
        <v/>
      </c>
      <c r="G966">
        <f>IFERROR(INDEX('1.산군_붙여넣기'!$A$1:$AZ$1001,ROW(),설정!$C$9)&amp;"","")</f>
        <v/>
      </c>
      <c r="H966">
        <f>IFERROR(INDEX('1.산군_붙여넣기'!$A$1:$AZ$1001,ROW(),설정!$C$10)&amp;"","")</f>
        <v/>
      </c>
      <c r="I966">
        <f>IFERROR(INDEX('1.산군_붙여넣기'!$A$1:$AZ$1001,ROW(),설정!$C$11)&amp;"","")</f>
        <v/>
      </c>
      <c r="J966">
        <f>IFERROR(INDEX('1.산군_붙여넣기'!$A$1:$AZ$1001,ROW(),설정!$C$12)&amp;"","")</f>
        <v/>
      </c>
      <c r="K966">
        <f>IFERROR(INDEX('1.산군_붙여넣기'!$A$1:$AZ$1001,ROW(),설정!$C$13)&amp;"","")</f>
        <v/>
      </c>
      <c r="L966" s="6">
        <f>IF(X966="","",IF(AND(LEN(X966)=8,ISNUMBER(X966*1)),DATE(LEFT(X966,4),MID(X966,5,2),RIGHT(X966,2)),IFERROR(DATEVALUE(SUBSTITUTE(SUBSTITUTE(X966,".","-"),"/","-")),IFERROR(X966*1,""))))</f>
        <v/>
      </c>
      <c r="M966" s="6">
        <f>IF(Y966="","",IF(AND(LEN(Y966)=8,ISNUMBER(Y966*1)),DATE(LEFT(Y966,4),MID(Y966,5,2),RIGHT(Y966,2)),IFERROR(DATEVALUE(SUBSTITUTE(SUBSTITUTE(Y966,".","-"),"/","-")),IFERROR(Y966*1,""))))</f>
        <v/>
      </c>
      <c r="N966">
        <f>IFERROR(LEFT(B966,FIND(" ",B966)-1),B966)</f>
        <v/>
      </c>
      <c r="O966">
        <f>AND(B966&lt;&gt;"",B966&lt;&gt;설정!$B$4,C966&lt;&gt;설정!$B$5)</f>
        <v/>
      </c>
      <c r="P966">
        <f>IF(O966,B966&amp;"|"&amp;C966,"")</f>
        <v/>
      </c>
      <c r="Q966">
        <f>AND(O966,COUNTIF(P967:P$1002,P966)=0)</f>
        <v/>
      </c>
      <c r="R966">
        <f>OR(AND(설정!$A$28&lt;&gt;"",ISNUMBER(SEARCH(설정!$A$28,E966&amp;" "&amp;C966))),AND(설정!$A$29&lt;&gt;"",ISNUMBER(SEARCH(설정!$A$29,E966&amp;" "&amp;C966))),AND(설정!$A$30&lt;&gt;"",ISNUMBER(SEARCH(설정!$A$30,E966&amp;" "&amp;C966))),AND(설정!$A$31&lt;&gt;"",ISNUMBER(SEARCH(설정!$A$31,E966&amp;" "&amp;C966))),AND(설정!$A$32&lt;&gt;"",ISNUMBER(SEARCH(설정!$A$32,E966&amp;" "&amp;C966))),AND(설정!$A$33&lt;&gt;"",ISNUMBER(SEARCH(설정!$A$33,E966&amp;" "&amp;C966))),AND(설정!$A$34&lt;&gt;"",ISNUMBER(SEARCH(설정!$A$34,E966&amp;" "&amp;C966))),AND(설정!$A$35&lt;&gt;"",ISNUMBER(SEARCH(설정!$A$35,E966&amp;" "&amp;C966))),AND(설정!$A$36&lt;&gt;"",ISNUMBER(SEARCH(설정!$A$36,E966&amp;" "&amp;C966))),AND(설정!$A$37&lt;&gt;"",ISNUMBER(SEARCH(설정!$A$37,E966&amp;" "&amp;C966))))</f>
        <v/>
      </c>
      <c r="S966">
        <f>OR(D966="",D966&gt;=설정!$B$19)</f>
        <v/>
      </c>
      <c r="T966">
        <f>AND(Q966,R966,S966)</f>
        <v/>
      </c>
      <c r="U966">
        <f>IF(T966,IF(AND(설정!$A$41&lt;&gt;"",ISNUMBER(SEARCH(설정!$A$41,K966))),설정!$B$41,IF(AND(설정!$A$42&lt;&gt;"",ISNUMBER(SEARCH(설정!$A$42,K966))),설정!$B$42,IF(AND(설정!$A$43&lt;&gt;"",ISNUMBER(SEARCH(설정!$A$43,K966))),설정!$B$43,IF(AND(설정!$A$44&lt;&gt;"",ISNUMBER(SEARCH(설정!$A$44,K966))),설정!$B$44,IF(AND(설정!$A$45&lt;&gt;"",ISNUMBER(SEARCH(설정!$A$45,K966))),설정!$B$45,IF(AND(설정!$A$46&lt;&gt;"",ISNUMBER(SEARCH(설정!$A$46,K966))),설정!$B$46,IF(AND(설정!$A$47&lt;&gt;"",ISNUMBER(SEARCH(설정!$A$47,K966))),설정!$B$47,IF(AND(설정!$A$48&lt;&gt;"",ISNUMBER(SEARCH(설정!$A$48,K966))),설정!$B$48,IF(M966="","설계사","시공사"))))))))),"")</f>
        <v/>
      </c>
      <c r="V966">
        <f>SUBSTITUTE(SUBSTITUTE(SUBSTITUTE(SUBSTITUTE(G966,"(주)",""),"㈜",""),"주식회사","")," ","")</f>
        <v/>
      </c>
      <c r="W966">
        <f>IF(AND(T966,V966&lt;&gt;""),IF(COUNTIFS(V$2:V966,V966,T$2:T966,TRUE)=1,MAX(W$1:W965)+1,""),"")</f>
        <v/>
      </c>
      <c r="X966">
        <f>IFERROR(INDEX('1.산군_붙여넣기'!$A$1:$AZ$1001,ROW(),설정!$C$14)&amp;"","")</f>
        <v/>
      </c>
      <c r="Y966">
        <f>IFERROR(INDEX('1.산군_붙여넣기'!$A$1:$AZ$1001,ROW(),설정!$C$15)&amp;"","")</f>
        <v/>
      </c>
      <c r="Z966">
        <f>IF(T966,V966&amp;"|"&amp;U966,"")</f>
        <v/>
      </c>
    </row>
    <row r="967">
      <c r="A967">
        <f>ROW()</f>
        <v/>
      </c>
      <c r="B967">
        <f>IFERROR(INDEX('1.산군_붙여넣기'!$A$1:$AZ$1001,ROW(),설정!$C$4)&amp;"","")</f>
        <v/>
      </c>
      <c r="C967">
        <f>IFERROR(INDEX('1.산군_붙여넣기'!$A$1:$AZ$1001,ROW(),설정!$C$5)&amp;"","")</f>
        <v/>
      </c>
      <c r="D967" s="5">
        <f>IFERROR(VALUE(SUBSTITUTE(SUBSTITUTE(SUBSTITUTE(IFERROR(INDEX('1.산군_붙여넣기'!$A$1:$AZ$1001,ROW(),설정!$C$6)&amp;"",""),",",""),"㎡",""),"m2","")),"")</f>
        <v/>
      </c>
      <c r="E967">
        <f>IFERROR(INDEX('1.산군_붙여넣기'!$A$1:$AZ$1001,ROW(),설정!$C$7)&amp;"","")</f>
        <v/>
      </c>
      <c r="F967">
        <f>IFERROR(INDEX('1.산군_붙여넣기'!$A$1:$AZ$1001,ROW(),설정!$C$8)&amp;"","")</f>
        <v/>
      </c>
      <c r="G967">
        <f>IFERROR(INDEX('1.산군_붙여넣기'!$A$1:$AZ$1001,ROW(),설정!$C$9)&amp;"","")</f>
        <v/>
      </c>
      <c r="H967">
        <f>IFERROR(INDEX('1.산군_붙여넣기'!$A$1:$AZ$1001,ROW(),설정!$C$10)&amp;"","")</f>
        <v/>
      </c>
      <c r="I967">
        <f>IFERROR(INDEX('1.산군_붙여넣기'!$A$1:$AZ$1001,ROW(),설정!$C$11)&amp;"","")</f>
        <v/>
      </c>
      <c r="J967">
        <f>IFERROR(INDEX('1.산군_붙여넣기'!$A$1:$AZ$1001,ROW(),설정!$C$12)&amp;"","")</f>
        <v/>
      </c>
      <c r="K967">
        <f>IFERROR(INDEX('1.산군_붙여넣기'!$A$1:$AZ$1001,ROW(),설정!$C$13)&amp;"","")</f>
        <v/>
      </c>
      <c r="L967" s="6">
        <f>IF(X967="","",IF(AND(LEN(X967)=8,ISNUMBER(X967*1)),DATE(LEFT(X967,4),MID(X967,5,2),RIGHT(X967,2)),IFERROR(DATEVALUE(SUBSTITUTE(SUBSTITUTE(X967,".","-"),"/","-")),IFERROR(X967*1,""))))</f>
        <v/>
      </c>
      <c r="M967" s="6">
        <f>IF(Y967="","",IF(AND(LEN(Y967)=8,ISNUMBER(Y967*1)),DATE(LEFT(Y967,4),MID(Y967,5,2),RIGHT(Y967,2)),IFERROR(DATEVALUE(SUBSTITUTE(SUBSTITUTE(Y967,".","-"),"/","-")),IFERROR(Y967*1,""))))</f>
        <v/>
      </c>
      <c r="N967">
        <f>IFERROR(LEFT(B967,FIND(" ",B967)-1),B967)</f>
        <v/>
      </c>
      <c r="O967">
        <f>AND(B967&lt;&gt;"",B967&lt;&gt;설정!$B$4,C967&lt;&gt;설정!$B$5)</f>
        <v/>
      </c>
      <c r="P967">
        <f>IF(O967,B967&amp;"|"&amp;C967,"")</f>
        <v/>
      </c>
      <c r="Q967">
        <f>AND(O967,COUNTIF(P968:P$1002,P967)=0)</f>
        <v/>
      </c>
      <c r="R967">
        <f>OR(AND(설정!$A$28&lt;&gt;"",ISNUMBER(SEARCH(설정!$A$28,E967&amp;" "&amp;C967))),AND(설정!$A$29&lt;&gt;"",ISNUMBER(SEARCH(설정!$A$29,E967&amp;" "&amp;C967))),AND(설정!$A$30&lt;&gt;"",ISNUMBER(SEARCH(설정!$A$30,E967&amp;" "&amp;C967))),AND(설정!$A$31&lt;&gt;"",ISNUMBER(SEARCH(설정!$A$31,E967&amp;" "&amp;C967))),AND(설정!$A$32&lt;&gt;"",ISNUMBER(SEARCH(설정!$A$32,E967&amp;" "&amp;C967))),AND(설정!$A$33&lt;&gt;"",ISNUMBER(SEARCH(설정!$A$33,E967&amp;" "&amp;C967))),AND(설정!$A$34&lt;&gt;"",ISNUMBER(SEARCH(설정!$A$34,E967&amp;" "&amp;C967))),AND(설정!$A$35&lt;&gt;"",ISNUMBER(SEARCH(설정!$A$35,E967&amp;" "&amp;C967))),AND(설정!$A$36&lt;&gt;"",ISNUMBER(SEARCH(설정!$A$36,E967&amp;" "&amp;C967))),AND(설정!$A$37&lt;&gt;"",ISNUMBER(SEARCH(설정!$A$37,E967&amp;" "&amp;C967))))</f>
        <v/>
      </c>
      <c r="S967">
        <f>OR(D967="",D967&gt;=설정!$B$19)</f>
        <v/>
      </c>
      <c r="T967">
        <f>AND(Q967,R967,S967)</f>
        <v/>
      </c>
      <c r="U967">
        <f>IF(T967,IF(AND(설정!$A$41&lt;&gt;"",ISNUMBER(SEARCH(설정!$A$41,K967))),설정!$B$41,IF(AND(설정!$A$42&lt;&gt;"",ISNUMBER(SEARCH(설정!$A$42,K967))),설정!$B$42,IF(AND(설정!$A$43&lt;&gt;"",ISNUMBER(SEARCH(설정!$A$43,K967))),설정!$B$43,IF(AND(설정!$A$44&lt;&gt;"",ISNUMBER(SEARCH(설정!$A$44,K967))),설정!$B$44,IF(AND(설정!$A$45&lt;&gt;"",ISNUMBER(SEARCH(설정!$A$45,K967))),설정!$B$45,IF(AND(설정!$A$46&lt;&gt;"",ISNUMBER(SEARCH(설정!$A$46,K967))),설정!$B$46,IF(AND(설정!$A$47&lt;&gt;"",ISNUMBER(SEARCH(설정!$A$47,K967))),설정!$B$47,IF(AND(설정!$A$48&lt;&gt;"",ISNUMBER(SEARCH(설정!$A$48,K967))),설정!$B$48,IF(M967="","설계사","시공사"))))))))),"")</f>
        <v/>
      </c>
      <c r="V967">
        <f>SUBSTITUTE(SUBSTITUTE(SUBSTITUTE(SUBSTITUTE(G967,"(주)",""),"㈜",""),"주식회사","")," ","")</f>
        <v/>
      </c>
      <c r="W967">
        <f>IF(AND(T967,V967&lt;&gt;""),IF(COUNTIFS(V$2:V967,V967,T$2:T967,TRUE)=1,MAX(W$1:W966)+1,""),"")</f>
        <v/>
      </c>
      <c r="X967">
        <f>IFERROR(INDEX('1.산군_붙여넣기'!$A$1:$AZ$1001,ROW(),설정!$C$14)&amp;"","")</f>
        <v/>
      </c>
      <c r="Y967">
        <f>IFERROR(INDEX('1.산군_붙여넣기'!$A$1:$AZ$1001,ROW(),설정!$C$15)&amp;"","")</f>
        <v/>
      </c>
      <c r="Z967">
        <f>IF(T967,V967&amp;"|"&amp;U967,"")</f>
        <v/>
      </c>
    </row>
    <row r="968">
      <c r="A968">
        <f>ROW()</f>
        <v/>
      </c>
      <c r="B968">
        <f>IFERROR(INDEX('1.산군_붙여넣기'!$A$1:$AZ$1001,ROW(),설정!$C$4)&amp;"","")</f>
        <v/>
      </c>
      <c r="C968">
        <f>IFERROR(INDEX('1.산군_붙여넣기'!$A$1:$AZ$1001,ROW(),설정!$C$5)&amp;"","")</f>
        <v/>
      </c>
      <c r="D968" s="5">
        <f>IFERROR(VALUE(SUBSTITUTE(SUBSTITUTE(SUBSTITUTE(IFERROR(INDEX('1.산군_붙여넣기'!$A$1:$AZ$1001,ROW(),설정!$C$6)&amp;"",""),",",""),"㎡",""),"m2","")),"")</f>
        <v/>
      </c>
      <c r="E968">
        <f>IFERROR(INDEX('1.산군_붙여넣기'!$A$1:$AZ$1001,ROW(),설정!$C$7)&amp;"","")</f>
        <v/>
      </c>
      <c r="F968">
        <f>IFERROR(INDEX('1.산군_붙여넣기'!$A$1:$AZ$1001,ROW(),설정!$C$8)&amp;"","")</f>
        <v/>
      </c>
      <c r="G968">
        <f>IFERROR(INDEX('1.산군_붙여넣기'!$A$1:$AZ$1001,ROW(),설정!$C$9)&amp;"","")</f>
        <v/>
      </c>
      <c r="H968">
        <f>IFERROR(INDEX('1.산군_붙여넣기'!$A$1:$AZ$1001,ROW(),설정!$C$10)&amp;"","")</f>
        <v/>
      </c>
      <c r="I968">
        <f>IFERROR(INDEX('1.산군_붙여넣기'!$A$1:$AZ$1001,ROW(),설정!$C$11)&amp;"","")</f>
        <v/>
      </c>
      <c r="J968">
        <f>IFERROR(INDEX('1.산군_붙여넣기'!$A$1:$AZ$1001,ROW(),설정!$C$12)&amp;"","")</f>
        <v/>
      </c>
      <c r="K968">
        <f>IFERROR(INDEX('1.산군_붙여넣기'!$A$1:$AZ$1001,ROW(),설정!$C$13)&amp;"","")</f>
        <v/>
      </c>
      <c r="L968" s="6">
        <f>IF(X968="","",IF(AND(LEN(X968)=8,ISNUMBER(X968*1)),DATE(LEFT(X968,4),MID(X968,5,2),RIGHT(X968,2)),IFERROR(DATEVALUE(SUBSTITUTE(SUBSTITUTE(X968,".","-"),"/","-")),IFERROR(X968*1,""))))</f>
        <v/>
      </c>
      <c r="M968" s="6">
        <f>IF(Y968="","",IF(AND(LEN(Y968)=8,ISNUMBER(Y968*1)),DATE(LEFT(Y968,4),MID(Y968,5,2),RIGHT(Y968,2)),IFERROR(DATEVALUE(SUBSTITUTE(SUBSTITUTE(Y968,".","-"),"/","-")),IFERROR(Y968*1,""))))</f>
        <v/>
      </c>
      <c r="N968">
        <f>IFERROR(LEFT(B968,FIND(" ",B968)-1),B968)</f>
        <v/>
      </c>
      <c r="O968">
        <f>AND(B968&lt;&gt;"",B968&lt;&gt;설정!$B$4,C968&lt;&gt;설정!$B$5)</f>
        <v/>
      </c>
      <c r="P968">
        <f>IF(O968,B968&amp;"|"&amp;C968,"")</f>
        <v/>
      </c>
      <c r="Q968">
        <f>AND(O968,COUNTIF(P969:P$1002,P968)=0)</f>
        <v/>
      </c>
      <c r="R968">
        <f>OR(AND(설정!$A$28&lt;&gt;"",ISNUMBER(SEARCH(설정!$A$28,E968&amp;" "&amp;C968))),AND(설정!$A$29&lt;&gt;"",ISNUMBER(SEARCH(설정!$A$29,E968&amp;" "&amp;C968))),AND(설정!$A$30&lt;&gt;"",ISNUMBER(SEARCH(설정!$A$30,E968&amp;" "&amp;C968))),AND(설정!$A$31&lt;&gt;"",ISNUMBER(SEARCH(설정!$A$31,E968&amp;" "&amp;C968))),AND(설정!$A$32&lt;&gt;"",ISNUMBER(SEARCH(설정!$A$32,E968&amp;" "&amp;C968))),AND(설정!$A$33&lt;&gt;"",ISNUMBER(SEARCH(설정!$A$33,E968&amp;" "&amp;C968))),AND(설정!$A$34&lt;&gt;"",ISNUMBER(SEARCH(설정!$A$34,E968&amp;" "&amp;C968))),AND(설정!$A$35&lt;&gt;"",ISNUMBER(SEARCH(설정!$A$35,E968&amp;" "&amp;C968))),AND(설정!$A$36&lt;&gt;"",ISNUMBER(SEARCH(설정!$A$36,E968&amp;" "&amp;C968))),AND(설정!$A$37&lt;&gt;"",ISNUMBER(SEARCH(설정!$A$37,E968&amp;" "&amp;C968))))</f>
        <v/>
      </c>
      <c r="S968">
        <f>OR(D968="",D968&gt;=설정!$B$19)</f>
        <v/>
      </c>
      <c r="T968">
        <f>AND(Q968,R968,S968)</f>
        <v/>
      </c>
      <c r="U968">
        <f>IF(T968,IF(AND(설정!$A$41&lt;&gt;"",ISNUMBER(SEARCH(설정!$A$41,K968))),설정!$B$41,IF(AND(설정!$A$42&lt;&gt;"",ISNUMBER(SEARCH(설정!$A$42,K968))),설정!$B$42,IF(AND(설정!$A$43&lt;&gt;"",ISNUMBER(SEARCH(설정!$A$43,K968))),설정!$B$43,IF(AND(설정!$A$44&lt;&gt;"",ISNUMBER(SEARCH(설정!$A$44,K968))),설정!$B$44,IF(AND(설정!$A$45&lt;&gt;"",ISNUMBER(SEARCH(설정!$A$45,K968))),설정!$B$45,IF(AND(설정!$A$46&lt;&gt;"",ISNUMBER(SEARCH(설정!$A$46,K968))),설정!$B$46,IF(AND(설정!$A$47&lt;&gt;"",ISNUMBER(SEARCH(설정!$A$47,K968))),설정!$B$47,IF(AND(설정!$A$48&lt;&gt;"",ISNUMBER(SEARCH(설정!$A$48,K968))),설정!$B$48,IF(M968="","설계사","시공사"))))))))),"")</f>
        <v/>
      </c>
      <c r="V968">
        <f>SUBSTITUTE(SUBSTITUTE(SUBSTITUTE(SUBSTITUTE(G968,"(주)",""),"㈜",""),"주식회사","")," ","")</f>
        <v/>
      </c>
      <c r="W968">
        <f>IF(AND(T968,V968&lt;&gt;""),IF(COUNTIFS(V$2:V968,V968,T$2:T968,TRUE)=1,MAX(W$1:W967)+1,""),"")</f>
        <v/>
      </c>
      <c r="X968">
        <f>IFERROR(INDEX('1.산군_붙여넣기'!$A$1:$AZ$1001,ROW(),설정!$C$14)&amp;"","")</f>
        <v/>
      </c>
      <c r="Y968">
        <f>IFERROR(INDEX('1.산군_붙여넣기'!$A$1:$AZ$1001,ROW(),설정!$C$15)&amp;"","")</f>
        <v/>
      </c>
      <c r="Z968">
        <f>IF(T968,V968&amp;"|"&amp;U968,"")</f>
        <v/>
      </c>
    </row>
    <row r="969">
      <c r="A969">
        <f>ROW()</f>
        <v/>
      </c>
      <c r="B969">
        <f>IFERROR(INDEX('1.산군_붙여넣기'!$A$1:$AZ$1001,ROW(),설정!$C$4)&amp;"","")</f>
        <v/>
      </c>
      <c r="C969">
        <f>IFERROR(INDEX('1.산군_붙여넣기'!$A$1:$AZ$1001,ROW(),설정!$C$5)&amp;"","")</f>
        <v/>
      </c>
      <c r="D969" s="5">
        <f>IFERROR(VALUE(SUBSTITUTE(SUBSTITUTE(SUBSTITUTE(IFERROR(INDEX('1.산군_붙여넣기'!$A$1:$AZ$1001,ROW(),설정!$C$6)&amp;"",""),",",""),"㎡",""),"m2","")),"")</f>
        <v/>
      </c>
      <c r="E969">
        <f>IFERROR(INDEX('1.산군_붙여넣기'!$A$1:$AZ$1001,ROW(),설정!$C$7)&amp;"","")</f>
        <v/>
      </c>
      <c r="F969">
        <f>IFERROR(INDEX('1.산군_붙여넣기'!$A$1:$AZ$1001,ROW(),설정!$C$8)&amp;"","")</f>
        <v/>
      </c>
      <c r="G969">
        <f>IFERROR(INDEX('1.산군_붙여넣기'!$A$1:$AZ$1001,ROW(),설정!$C$9)&amp;"","")</f>
        <v/>
      </c>
      <c r="H969">
        <f>IFERROR(INDEX('1.산군_붙여넣기'!$A$1:$AZ$1001,ROW(),설정!$C$10)&amp;"","")</f>
        <v/>
      </c>
      <c r="I969">
        <f>IFERROR(INDEX('1.산군_붙여넣기'!$A$1:$AZ$1001,ROW(),설정!$C$11)&amp;"","")</f>
        <v/>
      </c>
      <c r="J969">
        <f>IFERROR(INDEX('1.산군_붙여넣기'!$A$1:$AZ$1001,ROW(),설정!$C$12)&amp;"","")</f>
        <v/>
      </c>
      <c r="K969">
        <f>IFERROR(INDEX('1.산군_붙여넣기'!$A$1:$AZ$1001,ROW(),설정!$C$13)&amp;"","")</f>
        <v/>
      </c>
      <c r="L969" s="6">
        <f>IF(X969="","",IF(AND(LEN(X969)=8,ISNUMBER(X969*1)),DATE(LEFT(X969,4),MID(X969,5,2),RIGHT(X969,2)),IFERROR(DATEVALUE(SUBSTITUTE(SUBSTITUTE(X969,".","-"),"/","-")),IFERROR(X969*1,""))))</f>
        <v/>
      </c>
      <c r="M969" s="6">
        <f>IF(Y969="","",IF(AND(LEN(Y969)=8,ISNUMBER(Y969*1)),DATE(LEFT(Y969,4),MID(Y969,5,2),RIGHT(Y969,2)),IFERROR(DATEVALUE(SUBSTITUTE(SUBSTITUTE(Y969,".","-"),"/","-")),IFERROR(Y969*1,""))))</f>
        <v/>
      </c>
      <c r="N969">
        <f>IFERROR(LEFT(B969,FIND(" ",B969)-1),B969)</f>
        <v/>
      </c>
      <c r="O969">
        <f>AND(B969&lt;&gt;"",B969&lt;&gt;설정!$B$4,C969&lt;&gt;설정!$B$5)</f>
        <v/>
      </c>
      <c r="P969">
        <f>IF(O969,B969&amp;"|"&amp;C969,"")</f>
        <v/>
      </c>
      <c r="Q969">
        <f>AND(O969,COUNTIF(P970:P$1002,P969)=0)</f>
        <v/>
      </c>
      <c r="R969">
        <f>OR(AND(설정!$A$28&lt;&gt;"",ISNUMBER(SEARCH(설정!$A$28,E969&amp;" "&amp;C969))),AND(설정!$A$29&lt;&gt;"",ISNUMBER(SEARCH(설정!$A$29,E969&amp;" "&amp;C969))),AND(설정!$A$30&lt;&gt;"",ISNUMBER(SEARCH(설정!$A$30,E969&amp;" "&amp;C969))),AND(설정!$A$31&lt;&gt;"",ISNUMBER(SEARCH(설정!$A$31,E969&amp;" "&amp;C969))),AND(설정!$A$32&lt;&gt;"",ISNUMBER(SEARCH(설정!$A$32,E969&amp;" "&amp;C969))),AND(설정!$A$33&lt;&gt;"",ISNUMBER(SEARCH(설정!$A$33,E969&amp;" "&amp;C969))),AND(설정!$A$34&lt;&gt;"",ISNUMBER(SEARCH(설정!$A$34,E969&amp;" "&amp;C969))),AND(설정!$A$35&lt;&gt;"",ISNUMBER(SEARCH(설정!$A$35,E969&amp;" "&amp;C969))),AND(설정!$A$36&lt;&gt;"",ISNUMBER(SEARCH(설정!$A$36,E969&amp;" "&amp;C969))),AND(설정!$A$37&lt;&gt;"",ISNUMBER(SEARCH(설정!$A$37,E969&amp;" "&amp;C969))))</f>
        <v/>
      </c>
      <c r="S969">
        <f>OR(D969="",D969&gt;=설정!$B$19)</f>
        <v/>
      </c>
      <c r="T969">
        <f>AND(Q969,R969,S969)</f>
        <v/>
      </c>
      <c r="U969">
        <f>IF(T969,IF(AND(설정!$A$41&lt;&gt;"",ISNUMBER(SEARCH(설정!$A$41,K969))),설정!$B$41,IF(AND(설정!$A$42&lt;&gt;"",ISNUMBER(SEARCH(설정!$A$42,K969))),설정!$B$42,IF(AND(설정!$A$43&lt;&gt;"",ISNUMBER(SEARCH(설정!$A$43,K969))),설정!$B$43,IF(AND(설정!$A$44&lt;&gt;"",ISNUMBER(SEARCH(설정!$A$44,K969))),설정!$B$44,IF(AND(설정!$A$45&lt;&gt;"",ISNUMBER(SEARCH(설정!$A$45,K969))),설정!$B$45,IF(AND(설정!$A$46&lt;&gt;"",ISNUMBER(SEARCH(설정!$A$46,K969))),설정!$B$46,IF(AND(설정!$A$47&lt;&gt;"",ISNUMBER(SEARCH(설정!$A$47,K969))),설정!$B$47,IF(AND(설정!$A$48&lt;&gt;"",ISNUMBER(SEARCH(설정!$A$48,K969))),설정!$B$48,IF(M969="","설계사","시공사"))))))))),"")</f>
        <v/>
      </c>
      <c r="V969">
        <f>SUBSTITUTE(SUBSTITUTE(SUBSTITUTE(SUBSTITUTE(G969,"(주)",""),"㈜",""),"주식회사","")," ","")</f>
        <v/>
      </c>
      <c r="W969">
        <f>IF(AND(T969,V969&lt;&gt;""),IF(COUNTIFS(V$2:V969,V969,T$2:T969,TRUE)=1,MAX(W$1:W968)+1,""),"")</f>
        <v/>
      </c>
      <c r="X969">
        <f>IFERROR(INDEX('1.산군_붙여넣기'!$A$1:$AZ$1001,ROW(),설정!$C$14)&amp;"","")</f>
        <v/>
      </c>
      <c r="Y969">
        <f>IFERROR(INDEX('1.산군_붙여넣기'!$A$1:$AZ$1001,ROW(),설정!$C$15)&amp;"","")</f>
        <v/>
      </c>
      <c r="Z969">
        <f>IF(T969,V969&amp;"|"&amp;U969,"")</f>
        <v/>
      </c>
    </row>
    <row r="970">
      <c r="A970">
        <f>ROW()</f>
        <v/>
      </c>
      <c r="B970">
        <f>IFERROR(INDEX('1.산군_붙여넣기'!$A$1:$AZ$1001,ROW(),설정!$C$4)&amp;"","")</f>
        <v/>
      </c>
      <c r="C970">
        <f>IFERROR(INDEX('1.산군_붙여넣기'!$A$1:$AZ$1001,ROW(),설정!$C$5)&amp;"","")</f>
        <v/>
      </c>
      <c r="D970" s="5">
        <f>IFERROR(VALUE(SUBSTITUTE(SUBSTITUTE(SUBSTITUTE(IFERROR(INDEX('1.산군_붙여넣기'!$A$1:$AZ$1001,ROW(),설정!$C$6)&amp;"",""),",",""),"㎡",""),"m2","")),"")</f>
        <v/>
      </c>
      <c r="E970">
        <f>IFERROR(INDEX('1.산군_붙여넣기'!$A$1:$AZ$1001,ROW(),설정!$C$7)&amp;"","")</f>
        <v/>
      </c>
      <c r="F970">
        <f>IFERROR(INDEX('1.산군_붙여넣기'!$A$1:$AZ$1001,ROW(),설정!$C$8)&amp;"","")</f>
        <v/>
      </c>
      <c r="G970">
        <f>IFERROR(INDEX('1.산군_붙여넣기'!$A$1:$AZ$1001,ROW(),설정!$C$9)&amp;"","")</f>
        <v/>
      </c>
      <c r="H970">
        <f>IFERROR(INDEX('1.산군_붙여넣기'!$A$1:$AZ$1001,ROW(),설정!$C$10)&amp;"","")</f>
        <v/>
      </c>
      <c r="I970">
        <f>IFERROR(INDEX('1.산군_붙여넣기'!$A$1:$AZ$1001,ROW(),설정!$C$11)&amp;"","")</f>
        <v/>
      </c>
      <c r="J970">
        <f>IFERROR(INDEX('1.산군_붙여넣기'!$A$1:$AZ$1001,ROW(),설정!$C$12)&amp;"","")</f>
        <v/>
      </c>
      <c r="K970">
        <f>IFERROR(INDEX('1.산군_붙여넣기'!$A$1:$AZ$1001,ROW(),설정!$C$13)&amp;"","")</f>
        <v/>
      </c>
      <c r="L970" s="6">
        <f>IF(X970="","",IF(AND(LEN(X970)=8,ISNUMBER(X970*1)),DATE(LEFT(X970,4),MID(X970,5,2),RIGHT(X970,2)),IFERROR(DATEVALUE(SUBSTITUTE(SUBSTITUTE(X970,".","-"),"/","-")),IFERROR(X970*1,""))))</f>
        <v/>
      </c>
      <c r="M970" s="6">
        <f>IF(Y970="","",IF(AND(LEN(Y970)=8,ISNUMBER(Y970*1)),DATE(LEFT(Y970,4),MID(Y970,5,2),RIGHT(Y970,2)),IFERROR(DATEVALUE(SUBSTITUTE(SUBSTITUTE(Y970,".","-"),"/","-")),IFERROR(Y970*1,""))))</f>
        <v/>
      </c>
      <c r="N970">
        <f>IFERROR(LEFT(B970,FIND(" ",B970)-1),B970)</f>
        <v/>
      </c>
      <c r="O970">
        <f>AND(B970&lt;&gt;"",B970&lt;&gt;설정!$B$4,C970&lt;&gt;설정!$B$5)</f>
        <v/>
      </c>
      <c r="P970">
        <f>IF(O970,B970&amp;"|"&amp;C970,"")</f>
        <v/>
      </c>
      <c r="Q970">
        <f>AND(O970,COUNTIF(P971:P$1002,P970)=0)</f>
        <v/>
      </c>
      <c r="R970">
        <f>OR(AND(설정!$A$28&lt;&gt;"",ISNUMBER(SEARCH(설정!$A$28,E970&amp;" "&amp;C970))),AND(설정!$A$29&lt;&gt;"",ISNUMBER(SEARCH(설정!$A$29,E970&amp;" "&amp;C970))),AND(설정!$A$30&lt;&gt;"",ISNUMBER(SEARCH(설정!$A$30,E970&amp;" "&amp;C970))),AND(설정!$A$31&lt;&gt;"",ISNUMBER(SEARCH(설정!$A$31,E970&amp;" "&amp;C970))),AND(설정!$A$32&lt;&gt;"",ISNUMBER(SEARCH(설정!$A$32,E970&amp;" "&amp;C970))),AND(설정!$A$33&lt;&gt;"",ISNUMBER(SEARCH(설정!$A$33,E970&amp;" "&amp;C970))),AND(설정!$A$34&lt;&gt;"",ISNUMBER(SEARCH(설정!$A$34,E970&amp;" "&amp;C970))),AND(설정!$A$35&lt;&gt;"",ISNUMBER(SEARCH(설정!$A$35,E970&amp;" "&amp;C970))),AND(설정!$A$36&lt;&gt;"",ISNUMBER(SEARCH(설정!$A$36,E970&amp;" "&amp;C970))),AND(설정!$A$37&lt;&gt;"",ISNUMBER(SEARCH(설정!$A$37,E970&amp;" "&amp;C970))))</f>
        <v/>
      </c>
      <c r="S970">
        <f>OR(D970="",D970&gt;=설정!$B$19)</f>
        <v/>
      </c>
      <c r="T970">
        <f>AND(Q970,R970,S970)</f>
        <v/>
      </c>
      <c r="U970">
        <f>IF(T970,IF(AND(설정!$A$41&lt;&gt;"",ISNUMBER(SEARCH(설정!$A$41,K970))),설정!$B$41,IF(AND(설정!$A$42&lt;&gt;"",ISNUMBER(SEARCH(설정!$A$42,K970))),설정!$B$42,IF(AND(설정!$A$43&lt;&gt;"",ISNUMBER(SEARCH(설정!$A$43,K970))),설정!$B$43,IF(AND(설정!$A$44&lt;&gt;"",ISNUMBER(SEARCH(설정!$A$44,K970))),설정!$B$44,IF(AND(설정!$A$45&lt;&gt;"",ISNUMBER(SEARCH(설정!$A$45,K970))),설정!$B$45,IF(AND(설정!$A$46&lt;&gt;"",ISNUMBER(SEARCH(설정!$A$46,K970))),설정!$B$46,IF(AND(설정!$A$47&lt;&gt;"",ISNUMBER(SEARCH(설정!$A$47,K970))),설정!$B$47,IF(AND(설정!$A$48&lt;&gt;"",ISNUMBER(SEARCH(설정!$A$48,K970))),설정!$B$48,IF(M970="","설계사","시공사"))))))))),"")</f>
        <v/>
      </c>
      <c r="V970">
        <f>SUBSTITUTE(SUBSTITUTE(SUBSTITUTE(SUBSTITUTE(G970,"(주)",""),"㈜",""),"주식회사","")," ","")</f>
        <v/>
      </c>
      <c r="W970">
        <f>IF(AND(T970,V970&lt;&gt;""),IF(COUNTIFS(V$2:V970,V970,T$2:T970,TRUE)=1,MAX(W$1:W969)+1,""),"")</f>
        <v/>
      </c>
      <c r="X970">
        <f>IFERROR(INDEX('1.산군_붙여넣기'!$A$1:$AZ$1001,ROW(),설정!$C$14)&amp;"","")</f>
        <v/>
      </c>
      <c r="Y970">
        <f>IFERROR(INDEX('1.산군_붙여넣기'!$A$1:$AZ$1001,ROW(),설정!$C$15)&amp;"","")</f>
        <v/>
      </c>
      <c r="Z970">
        <f>IF(T970,V970&amp;"|"&amp;U970,"")</f>
        <v/>
      </c>
    </row>
    <row r="971">
      <c r="A971">
        <f>ROW()</f>
        <v/>
      </c>
      <c r="B971">
        <f>IFERROR(INDEX('1.산군_붙여넣기'!$A$1:$AZ$1001,ROW(),설정!$C$4)&amp;"","")</f>
        <v/>
      </c>
      <c r="C971">
        <f>IFERROR(INDEX('1.산군_붙여넣기'!$A$1:$AZ$1001,ROW(),설정!$C$5)&amp;"","")</f>
        <v/>
      </c>
      <c r="D971" s="5">
        <f>IFERROR(VALUE(SUBSTITUTE(SUBSTITUTE(SUBSTITUTE(IFERROR(INDEX('1.산군_붙여넣기'!$A$1:$AZ$1001,ROW(),설정!$C$6)&amp;"",""),",",""),"㎡",""),"m2","")),"")</f>
        <v/>
      </c>
      <c r="E971">
        <f>IFERROR(INDEX('1.산군_붙여넣기'!$A$1:$AZ$1001,ROW(),설정!$C$7)&amp;"","")</f>
        <v/>
      </c>
      <c r="F971">
        <f>IFERROR(INDEX('1.산군_붙여넣기'!$A$1:$AZ$1001,ROW(),설정!$C$8)&amp;"","")</f>
        <v/>
      </c>
      <c r="G971">
        <f>IFERROR(INDEX('1.산군_붙여넣기'!$A$1:$AZ$1001,ROW(),설정!$C$9)&amp;"","")</f>
        <v/>
      </c>
      <c r="H971">
        <f>IFERROR(INDEX('1.산군_붙여넣기'!$A$1:$AZ$1001,ROW(),설정!$C$10)&amp;"","")</f>
        <v/>
      </c>
      <c r="I971">
        <f>IFERROR(INDEX('1.산군_붙여넣기'!$A$1:$AZ$1001,ROW(),설정!$C$11)&amp;"","")</f>
        <v/>
      </c>
      <c r="J971">
        <f>IFERROR(INDEX('1.산군_붙여넣기'!$A$1:$AZ$1001,ROW(),설정!$C$12)&amp;"","")</f>
        <v/>
      </c>
      <c r="K971">
        <f>IFERROR(INDEX('1.산군_붙여넣기'!$A$1:$AZ$1001,ROW(),설정!$C$13)&amp;"","")</f>
        <v/>
      </c>
      <c r="L971" s="6">
        <f>IF(X971="","",IF(AND(LEN(X971)=8,ISNUMBER(X971*1)),DATE(LEFT(X971,4),MID(X971,5,2),RIGHT(X971,2)),IFERROR(DATEVALUE(SUBSTITUTE(SUBSTITUTE(X971,".","-"),"/","-")),IFERROR(X971*1,""))))</f>
        <v/>
      </c>
      <c r="M971" s="6">
        <f>IF(Y971="","",IF(AND(LEN(Y971)=8,ISNUMBER(Y971*1)),DATE(LEFT(Y971,4),MID(Y971,5,2),RIGHT(Y971,2)),IFERROR(DATEVALUE(SUBSTITUTE(SUBSTITUTE(Y971,".","-"),"/","-")),IFERROR(Y971*1,""))))</f>
        <v/>
      </c>
      <c r="N971">
        <f>IFERROR(LEFT(B971,FIND(" ",B971)-1),B971)</f>
        <v/>
      </c>
      <c r="O971">
        <f>AND(B971&lt;&gt;"",B971&lt;&gt;설정!$B$4,C971&lt;&gt;설정!$B$5)</f>
        <v/>
      </c>
      <c r="P971">
        <f>IF(O971,B971&amp;"|"&amp;C971,"")</f>
        <v/>
      </c>
      <c r="Q971">
        <f>AND(O971,COUNTIF(P972:P$1002,P971)=0)</f>
        <v/>
      </c>
      <c r="R971">
        <f>OR(AND(설정!$A$28&lt;&gt;"",ISNUMBER(SEARCH(설정!$A$28,E971&amp;" "&amp;C971))),AND(설정!$A$29&lt;&gt;"",ISNUMBER(SEARCH(설정!$A$29,E971&amp;" "&amp;C971))),AND(설정!$A$30&lt;&gt;"",ISNUMBER(SEARCH(설정!$A$30,E971&amp;" "&amp;C971))),AND(설정!$A$31&lt;&gt;"",ISNUMBER(SEARCH(설정!$A$31,E971&amp;" "&amp;C971))),AND(설정!$A$32&lt;&gt;"",ISNUMBER(SEARCH(설정!$A$32,E971&amp;" "&amp;C971))),AND(설정!$A$33&lt;&gt;"",ISNUMBER(SEARCH(설정!$A$33,E971&amp;" "&amp;C971))),AND(설정!$A$34&lt;&gt;"",ISNUMBER(SEARCH(설정!$A$34,E971&amp;" "&amp;C971))),AND(설정!$A$35&lt;&gt;"",ISNUMBER(SEARCH(설정!$A$35,E971&amp;" "&amp;C971))),AND(설정!$A$36&lt;&gt;"",ISNUMBER(SEARCH(설정!$A$36,E971&amp;" "&amp;C971))),AND(설정!$A$37&lt;&gt;"",ISNUMBER(SEARCH(설정!$A$37,E971&amp;" "&amp;C971))))</f>
        <v/>
      </c>
      <c r="S971">
        <f>OR(D971="",D971&gt;=설정!$B$19)</f>
        <v/>
      </c>
      <c r="T971">
        <f>AND(Q971,R971,S971)</f>
        <v/>
      </c>
      <c r="U971">
        <f>IF(T971,IF(AND(설정!$A$41&lt;&gt;"",ISNUMBER(SEARCH(설정!$A$41,K971))),설정!$B$41,IF(AND(설정!$A$42&lt;&gt;"",ISNUMBER(SEARCH(설정!$A$42,K971))),설정!$B$42,IF(AND(설정!$A$43&lt;&gt;"",ISNUMBER(SEARCH(설정!$A$43,K971))),설정!$B$43,IF(AND(설정!$A$44&lt;&gt;"",ISNUMBER(SEARCH(설정!$A$44,K971))),설정!$B$44,IF(AND(설정!$A$45&lt;&gt;"",ISNUMBER(SEARCH(설정!$A$45,K971))),설정!$B$45,IF(AND(설정!$A$46&lt;&gt;"",ISNUMBER(SEARCH(설정!$A$46,K971))),설정!$B$46,IF(AND(설정!$A$47&lt;&gt;"",ISNUMBER(SEARCH(설정!$A$47,K971))),설정!$B$47,IF(AND(설정!$A$48&lt;&gt;"",ISNUMBER(SEARCH(설정!$A$48,K971))),설정!$B$48,IF(M971="","설계사","시공사"))))))))),"")</f>
        <v/>
      </c>
      <c r="V971">
        <f>SUBSTITUTE(SUBSTITUTE(SUBSTITUTE(SUBSTITUTE(G971,"(주)",""),"㈜",""),"주식회사","")," ","")</f>
        <v/>
      </c>
      <c r="W971">
        <f>IF(AND(T971,V971&lt;&gt;""),IF(COUNTIFS(V$2:V971,V971,T$2:T971,TRUE)=1,MAX(W$1:W970)+1,""),"")</f>
        <v/>
      </c>
      <c r="X971">
        <f>IFERROR(INDEX('1.산군_붙여넣기'!$A$1:$AZ$1001,ROW(),설정!$C$14)&amp;"","")</f>
        <v/>
      </c>
      <c r="Y971">
        <f>IFERROR(INDEX('1.산군_붙여넣기'!$A$1:$AZ$1001,ROW(),설정!$C$15)&amp;"","")</f>
        <v/>
      </c>
      <c r="Z971">
        <f>IF(T971,V971&amp;"|"&amp;U971,"")</f>
        <v/>
      </c>
    </row>
    <row r="972">
      <c r="A972">
        <f>ROW()</f>
        <v/>
      </c>
      <c r="B972">
        <f>IFERROR(INDEX('1.산군_붙여넣기'!$A$1:$AZ$1001,ROW(),설정!$C$4)&amp;"","")</f>
        <v/>
      </c>
      <c r="C972">
        <f>IFERROR(INDEX('1.산군_붙여넣기'!$A$1:$AZ$1001,ROW(),설정!$C$5)&amp;"","")</f>
        <v/>
      </c>
      <c r="D972" s="5">
        <f>IFERROR(VALUE(SUBSTITUTE(SUBSTITUTE(SUBSTITUTE(IFERROR(INDEX('1.산군_붙여넣기'!$A$1:$AZ$1001,ROW(),설정!$C$6)&amp;"",""),",",""),"㎡",""),"m2","")),"")</f>
        <v/>
      </c>
      <c r="E972">
        <f>IFERROR(INDEX('1.산군_붙여넣기'!$A$1:$AZ$1001,ROW(),설정!$C$7)&amp;"","")</f>
        <v/>
      </c>
      <c r="F972">
        <f>IFERROR(INDEX('1.산군_붙여넣기'!$A$1:$AZ$1001,ROW(),설정!$C$8)&amp;"","")</f>
        <v/>
      </c>
      <c r="G972">
        <f>IFERROR(INDEX('1.산군_붙여넣기'!$A$1:$AZ$1001,ROW(),설정!$C$9)&amp;"","")</f>
        <v/>
      </c>
      <c r="H972">
        <f>IFERROR(INDEX('1.산군_붙여넣기'!$A$1:$AZ$1001,ROW(),설정!$C$10)&amp;"","")</f>
        <v/>
      </c>
      <c r="I972">
        <f>IFERROR(INDEX('1.산군_붙여넣기'!$A$1:$AZ$1001,ROW(),설정!$C$11)&amp;"","")</f>
        <v/>
      </c>
      <c r="J972">
        <f>IFERROR(INDEX('1.산군_붙여넣기'!$A$1:$AZ$1001,ROW(),설정!$C$12)&amp;"","")</f>
        <v/>
      </c>
      <c r="K972">
        <f>IFERROR(INDEX('1.산군_붙여넣기'!$A$1:$AZ$1001,ROW(),설정!$C$13)&amp;"","")</f>
        <v/>
      </c>
      <c r="L972" s="6">
        <f>IF(X972="","",IF(AND(LEN(X972)=8,ISNUMBER(X972*1)),DATE(LEFT(X972,4),MID(X972,5,2),RIGHT(X972,2)),IFERROR(DATEVALUE(SUBSTITUTE(SUBSTITUTE(X972,".","-"),"/","-")),IFERROR(X972*1,""))))</f>
        <v/>
      </c>
      <c r="M972" s="6">
        <f>IF(Y972="","",IF(AND(LEN(Y972)=8,ISNUMBER(Y972*1)),DATE(LEFT(Y972,4),MID(Y972,5,2),RIGHT(Y972,2)),IFERROR(DATEVALUE(SUBSTITUTE(SUBSTITUTE(Y972,".","-"),"/","-")),IFERROR(Y972*1,""))))</f>
        <v/>
      </c>
      <c r="N972">
        <f>IFERROR(LEFT(B972,FIND(" ",B972)-1),B972)</f>
        <v/>
      </c>
      <c r="O972">
        <f>AND(B972&lt;&gt;"",B972&lt;&gt;설정!$B$4,C972&lt;&gt;설정!$B$5)</f>
        <v/>
      </c>
      <c r="P972">
        <f>IF(O972,B972&amp;"|"&amp;C972,"")</f>
        <v/>
      </c>
      <c r="Q972">
        <f>AND(O972,COUNTIF(P973:P$1002,P972)=0)</f>
        <v/>
      </c>
      <c r="R972">
        <f>OR(AND(설정!$A$28&lt;&gt;"",ISNUMBER(SEARCH(설정!$A$28,E972&amp;" "&amp;C972))),AND(설정!$A$29&lt;&gt;"",ISNUMBER(SEARCH(설정!$A$29,E972&amp;" "&amp;C972))),AND(설정!$A$30&lt;&gt;"",ISNUMBER(SEARCH(설정!$A$30,E972&amp;" "&amp;C972))),AND(설정!$A$31&lt;&gt;"",ISNUMBER(SEARCH(설정!$A$31,E972&amp;" "&amp;C972))),AND(설정!$A$32&lt;&gt;"",ISNUMBER(SEARCH(설정!$A$32,E972&amp;" "&amp;C972))),AND(설정!$A$33&lt;&gt;"",ISNUMBER(SEARCH(설정!$A$33,E972&amp;" "&amp;C972))),AND(설정!$A$34&lt;&gt;"",ISNUMBER(SEARCH(설정!$A$34,E972&amp;" "&amp;C972))),AND(설정!$A$35&lt;&gt;"",ISNUMBER(SEARCH(설정!$A$35,E972&amp;" "&amp;C972))),AND(설정!$A$36&lt;&gt;"",ISNUMBER(SEARCH(설정!$A$36,E972&amp;" "&amp;C972))),AND(설정!$A$37&lt;&gt;"",ISNUMBER(SEARCH(설정!$A$37,E972&amp;" "&amp;C972))))</f>
        <v/>
      </c>
      <c r="S972">
        <f>OR(D972="",D972&gt;=설정!$B$19)</f>
        <v/>
      </c>
      <c r="T972">
        <f>AND(Q972,R972,S972)</f>
        <v/>
      </c>
      <c r="U972">
        <f>IF(T972,IF(AND(설정!$A$41&lt;&gt;"",ISNUMBER(SEARCH(설정!$A$41,K972))),설정!$B$41,IF(AND(설정!$A$42&lt;&gt;"",ISNUMBER(SEARCH(설정!$A$42,K972))),설정!$B$42,IF(AND(설정!$A$43&lt;&gt;"",ISNUMBER(SEARCH(설정!$A$43,K972))),설정!$B$43,IF(AND(설정!$A$44&lt;&gt;"",ISNUMBER(SEARCH(설정!$A$44,K972))),설정!$B$44,IF(AND(설정!$A$45&lt;&gt;"",ISNUMBER(SEARCH(설정!$A$45,K972))),설정!$B$45,IF(AND(설정!$A$46&lt;&gt;"",ISNUMBER(SEARCH(설정!$A$46,K972))),설정!$B$46,IF(AND(설정!$A$47&lt;&gt;"",ISNUMBER(SEARCH(설정!$A$47,K972))),설정!$B$47,IF(AND(설정!$A$48&lt;&gt;"",ISNUMBER(SEARCH(설정!$A$48,K972))),설정!$B$48,IF(M972="","설계사","시공사"))))))))),"")</f>
        <v/>
      </c>
      <c r="V972">
        <f>SUBSTITUTE(SUBSTITUTE(SUBSTITUTE(SUBSTITUTE(G972,"(주)",""),"㈜",""),"주식회사","")," ","")</f>
        <v/>
      </c>
      <c r="W972">
        <f>IF(AND(T972,V972&lt;&gt;""),IF(COUNTIFS(V$2:V972,V972,T$2:T972,TRUE)=1,MAX(W$1:W971)+1,""),"")</f>
        <v/>
      </c>
      <c r="X972">
        <f>IFERROR(INDEX('1.산군_붙여넣기'!$A$1:$AZ$1001,ROW(),설정!$C$14)&amp;"","")</f>
        <v/>
      </c>
      <c r="Y972">
        <f>IFERROR(INDEX('1.산군_붙여넣기'!$A$1:$AZ$1001,ROW(),설정!$C$15)&amp;"","")</f>
        <v/>
      </c>
      <c r="Z972">
        <f>IF(T972,V972&amp;"|"&amp;U972,"")</f>
        <v/>
      </c>
    </row>
    <row r="973">
      <c r="A973">
        <f>ROW()</f>
        <v/>
      </c>
      <c r="B973">
        <f>IFERROR(INDEX('1.산군_붙여넣기'!$A$1:$AZ$1001,ROW(),설정!$C$4)&amp;"","")</f>
        <v/>
      </c>
      <c r="C973">
        <f>IFERROR(INDEX('1.산군_붙여넣기'!$A$1:$AZ$1001,ROW(),설정!$C$5)&amp;"","")</f>
        <v/>
      </c>
      <c r="D973" s="5">
        <f>IFERROR(VALUE(SUBSTITUTE(SUBSTITUTE(SUBSTITUTE(IFERROR(INDEX('1.산군_붙여넣기'!$A$1:$AZ$1001,ROW(),설정!$C$6)&amp;"",""),",",""),"㎡",""),"m2","")),"")</f>
        <v/>
      </c>
      <c r="E973">
        <f>IFERROR(INDEX('1.산군_붙여넣기'!$A$1:$AZ$1001,ROW(),설정!$C$7)&amp;"","")</f>
        <v/>
      </c>
      <c r="F973">
        <f>IFERROR(INDEX('1.산군_붙여넣기'!$A$1:$AZ$1001,ROW(),설정!$C$8)&amp;"","")</f>
        <v/>
      </c>
      <c r="G973">
        <f>IFERROR(INDEX('1.산군_붙여넣기'!$A$1:$AZ$1001,ROW(),설정!$C$9)&amp;"","")</f>
        <v/>
      </c>
      <c r="H973">
        <f>IFERROR(INDEX('1.산군_붙여넣기'!$A$1:$AZ$1001,ROW(),설정!$C$10)&amp;"","")</f>
        <v/>
      </c>
      <c r="I973">
        <f>IFERROR(INDEX('1.산군_붙여넣기'!$A$1:$AZ$1001,ROW(),설정!$C$11)&amp;"","")</f>
        <v/>
      </c>
      <c r="J973">
        <f>IFERROR(INDEX('1.산군_붙여넣기'!$A$1:$AZ$1001,ROW(),설정!$C$12)&amp;"","")</f>
        <v/>
      </c>
      <c r="K973">
        <f>IFERROR(INDEX('1.산군_붙여넣기'!$A$1:$AZ$1001,ROW(),설정!$C$13)&amp;"","")</f>
        <v/>
      </c>
      <c r="L973" s="6">
        <f>IF(X973="","",IF(AND(LEN(X973)=8,ISNUMBER(X973*1)),DATE(LEFT(X973,4),MID(X973,5,2),RIGHT(X973,2)),IFERROR(DATEVALUE(SUBSTITUTE(SUBSTITUTE(X973,".","-"),"/","-")),IFERROR(X973*1,""))))</f>
        <v/>
      </c>
      <c r="M973" s="6">
        <f>IF(Y973="","",IF(AND(LEN(Y973)=8,ISNUMBER(Y973*1)),DATE(LEFT(Y973,4),MID(Y973,5,2),RIGHT(Y973,2)),IFERROR(DATEVALUE(SUBSTITUTE(SUBSTITUTE(Y973,".","-"),"/","-")),IFERROR(Y973*1,""))))</f>
        <v/>
      </c>
      <c r="N973">
        <f>IFERROR(LEFT(B973,FIND(" ",B973)-1),B973)</f>
        <v/>
      </c>
      <c r="O973">
        <f>AND(B973&lt;&gt;"",B973&lt;&gt;설정!$B$4,C973&lt;&gt;설정!$B$5)</f>
        <v/>
      </c>
      <c r="P973">
        <f>IF(O973,B973&amp;"|"&amp;C973,"")</f>
        <v/>
      </c>
      <c r="Q973">
        <f>AND(O973,COUNTIF(P974:P$1002,P973)=0)</f>
        <v/>
      </c>
      <c r="R973">
        <f>OR(AND(설정!$A$28&lt;&gt;"",ISNUMBER(SEARCH(설정!$A$28,E973&amp;" "&amp;C973))),AND(설정!$A$29&lt;&gt;"",ISNUMBER(SEARCH(설정!$A$29,E973&amp;" "&amp;C973))),AND(설정!$A$30&lt;&gt;"",ISNUMBER(SEARCH(설정!$A$30,E973&amp;" "&amp;C973))),AND(설정!$A$31&lt;&gt;"",ISNUMBER(SEARCH(설정!$A$31,E973&amp;" "&amp;C973))),AND(설정!$A$32&lt;&gt;"",ISNUMBER(SEARCH(설정!$A$32,E973&amp;" "&amp;C973))),AND(설정!$A$33&lt;&gt;"",ISNUMBER(SEARCH(설정!$A$33,E973&amp;" "&amp;C973))),AND(설정!$A$34&lt;&gt;"",ISNUMBER(SEARCH(설정!$A$34,E973&amp;" "&amp;C973))),AND(설정!$A$35&lt;&gt;"",ISNUMBER(SEARCH(설정!$A$35,E973&amp;" "&amp;C973))),AND(설정!$A$36&lt;&gt;"",ISNUMBER(SEARCH(설정!$A$36,E973&amp;" "&amp;C973))),AND(설정!$A$37&lt;&gt;"",ISNUMBER(SEARCH(설정!$A$37,E973&amp;" "&amp;C973))))</f>
        <v/>
      </c>
      <c r="S973">
        <f>OR(D973="",D973&gt;=설정!$B$19)</f>
        <v/>
      </c>
      <c r="T973">
        <f>AND(Q973,R973,S973)</f>
        <v/>
      </c>
      <c r="U973">
        <f>IF(T973,IF(AND(설정!$A$41&lt;&gt;"",ISNUMBER(SEARCH(설정!$A$41,K973))),설정!$B$41,IF(AND(설정!$A$42&lt;&gt;"",ISNUMBER(SEARCH(설정!$A$42,K973))),설정!$B$42,IF(AND(설정!$A$43&lt;&gt;"",ISNUMBER(SEARCH(설정!$A$43,K973))),설정!$B$43,IF(AND(설정!$A$44&lt;&gt;"",ISNUMBER(SEARCH(설정!$A$44,K973))),설정!$B$44,IF(AND(설정!$A$45&lt;&gt;"",ISNUMBER(SEARCH(설정!$A$45,K973))),설정!$B$45,IF(AND(설정!$A$46&lt;&gt;"",ISNUMBER(SEARCH(설정!$A$46,K973))),설정!$B$46,IF(AND(설정!$A$47&lt;&gt;"",ISNUMBER(SEARCH(설정!$A$47,K973))),설정!$B$47,IF(AND(설정!$A$48&lt;&gt;"",ISNUMBER(SEARCH(설정!$A$48,K973))),설정!$B$48,IF(M973="","설계사","시공사"))))))))),"")</f>
        <v/>
      </c>
      <c r="V973">
        <f>SUBSTITUTE(SUBSTITUTE(SUBSTITUTE(SUBSTITUTE(G973,"(주)",""),"㈜",""),"주식회사","")," ","")</f>
        <v/>
      </c>
      <c r="W973">
        <f>IF(AND(T973,V973&lt;&gt;""),IF(COUNTIFS(V$2:V973,V973,T$2:T973,TRUE)=1,MAX(W$1:W972)+1,""),"")</f>
        <v/>
      </c>
      <c r="X973">
        <f>IFERROR(INDEX('1.산군_붙여넣기'!$A$1:$AZ$1001,ROW(),설정!$C$14)&amp;"","")</f>
        <v/>
      </c>
      <c r="Y973">
        <f>IFERROR(INDEX('1.산군_붙여넣기'!$A$1:$AZ$1001,ROW(),설정!$C$15)&amp;"","")</f>
        <v/>
      </c>
      <c r="Z973">
        <f>IF(T973,V973&amp;"|"&amp;U973,"")</f>
        <v/>
      </c>
    </row>
    <row r="974">
      <c r="A974">
        <f>ROW()</f>
        <v/>
      </c>
      <c r="B974">
        <f>IFERROR(INDEX('1.산군_붙여넣기'!$A$1:$AZ$1001,ROW(),설정!$C$4)&amp;"","")</f>
        <v/>
      </c>
      <c r="C974">
        <f>IFERROR(INDEX('1.산군_붙여넣기'!$A$1:$AZ$1001,ROW(),설정!$C$5)&amp;"","")</f>
        <v/>
      </c>
      <c r="D974" s="5">
        <f>IFERROR(VALUE(SUBSTITUTE(SUBSTITUTE(SUBSTITUTE(IFERROR(INDEX('1.산군_붙여넣기'!$A$1:$AZ$1001,ROW(),설정!$C$6)&amp;"",""),",",""),"㎡",""),"m2","")),"")</f>
        <v/>
      </c>
      <c r="E974">
        <f>IFERROR(INDEX('1.산군_붙여넣기'!$A$1:$AZ$1001,ROW(),설정!$C$7)&amp;"","")</f>
        <v/>
      </c>
      <c r="F974">
        <f>IFERROR(INDEX('1.산군_붙여넣기'!$A$1:$AZ$1001,ROW(),설정!$C$8)&amp;"","")</f>
        <v/>
      </c>
      <c r="G974">
        <f>IFERROR(INDEX('1.산군_붙여넣기'!$A$1:$AZ$1001,ROW(),설정!$C$9)&amp;"","")</f>
        <v/>
      </c>
      <c r="H974">
        <f>IFERROR(INDEX('1.산군_붙여넣기'!$A$1:$AZ$1001,ROW(),설정!$C$10)&amp;"","")</f>
        <v/>
      </c>
      <c r="I974">
        <f>IFERROR(INDEX('1.산군_붙여넣기'!$A$1:$AZ$1001,ROW(),설정!$C$11)&amp;"","")</f>
        <v/>
      </c>
      <c r="J974">
        <f>IFERROR(INDEX('1.산군_붙여넣기'!$A$1:$AZ$1001,ROW(),설정!$C$12)&amp;"","")</f>
        <v/>
      </c>
      <c r="K974">
        <f>IFERROR(INDEX('1.산군_붙여넣기'!$A$1:$AZ$1001,ROW(),설정!$C$13)&amp;"","")</f>
        <v/>
      </c>
      <c r="L974" s="6">
        <f>IF(X974="","",IF(AND(LEN(X974)=8,ISNUMBER(X974*1)),DATE(LEFT(X974,4),MID(X974,5,2),RIGHT(X974,2)),IFERROR(DATEVALUE(SUBSTITUTE(SUBSTITUTE(X974,".","-"),"/","-")),IFERROR(X974*1,""))))</f>
        <v/>
      </c>
      <c r="M974" s="6">
        <f>IF(Y974="","",IF(AND(LEN(Y974)=8,ISNUMBER(Y974*1)),DATE(LEFT(Y974,4),MID(Y974,5,2),RIGHT(Y974,2)),IFERROR(DATEVALUE(SUBSTITUTE(SUBSTITUTE(Y974,".","-"),"/","-")),IFERROR(Y974*1,""))))</f>
        <v/>
      </c>
      <c r="N974">
        <f>IFERROR(LEFT(B974,FIND(" ",B974)-1),B974)</f>
        <v/>
      </c>
      <c r="O974">
        <f>AND(B974&lt;&gt;"",B974&lt;&gt;설정!$B$4,C974&lt;&gt;설정!$B$5)</f>
        <v/>
      </c>
      <c r="P974">
        <f>IF(O974,B974&amp;"|"&amp;C974,"")</f>
        <v/>
      </c>
      <c r="Q974">
        <f>AND(O974,COUNTIF(P975:P$1002,P974)=0)</f>
        <v/>
      </c>
      <c r="R974">
        <f>OR(AND(설정!$A$28&lt;&gt;"",ISNUMBER(SEARCH(설정!$A$28,E974&amp;" "&amp;C974))),AND(설정!$A$29&lt;&gt;"",ISNUMBER(SEARCH(설정!$A$29,E974&amp;" "&amp;C974))),AND(설정!$A$30&lt;&gt;"",ISNUMBER(SEARCH(설정!$A$30,E974&amp;" "&amp;C974))),AND(설정!$A$31&lt;&gt;"",ISNUMBER(SEARCH(설정!$A$31,E974&amp;" "&amp;C974))),AND(설정!$A$32&lt;&gt;"",ISNUMBER(SEARCH(설정!$A$32,E974&amp;" "&amp;C974))),AND(설정!$A$33&lt;&gt;"",ISNUMBER(SEARCH(설정!$A$33,E974&amp;" "&amp;C974))),AND(설정!$A$34&lt;&gt;"",ISNUMBER(SEARCH(설정!$A$34,E974&amp;" "&amp;C974))),AND(설정!$A$35&lt;&gt;"",ISNUMBER(SEARCH(설정!$A$35,E974&amp;" "&amp;C974))),AND(설정!$A$36&lt;&gt;"",ISNUMBER(SEARCH(설정!$A$36,E974&amp;" "&amp;C974))),AND(설정!$A$37&lt;&gt;"",ISNUMBER(SEARCH(설정!$A$37,E974&amp;" "&amp;C974))))</f>
        <v/>
      </c>
      <c r="S974">
        <f>OR(D974="",D974&gt;=설정!$B$19)</f>
        <v/>
      </c>
      <c r="T974">
        <f>AND(Q974,R974,S974)</f>
        <v/>
      </c>
      <c r="U974">
        <f>IF(T974,IF(AND(설정!$A$41&lt;&gt;"",ISNUMBER(SEARCH(설정!$A$41,K974))),설정!$B$41,IF(AND(설정!$A$42&lt;&gt;"",ISNUMBER(SEARCH(설정!$A$42,K974))),설정!$B$42,IF(AND(설정!$A$43&lt;&gt;"",ISNUMBER(SEARCH(설정!$A$43,K974))),설정!$B$43,IF(AND(설정!$A$44&lt;&gt;"",ISNUMBER(SEARCH(설정!$A$44,K974))),설정!$B$44,IF(AND(설정!$A$45&lt;&gt;"",ISNUMBER(SEARCH(설정!$A$45,K974))),설정!$B$45,IF(AND(설정!$A$46&lt;&gt;"",ISNUMBER(SEARCH(설정!$A$46,K974))),설정!$B$46,IF(AND(설정!$A$47&lt;&gt;"",ISNUMBER(SEARCH(설정!$A$47,K974))),설정!$B$47,IF(AND(설정!$A$48&lt;&gt;"",ISNUMBER(SEARCH(설정!$A$48,K974))),설정!$B$48,IF(M974="","설계사","시공사"))))))))),"")</f>
        <v/>
      </c>
      <c r="V974">
        <f>SUBSTITUTE(SUBSTITUTE(SUBSTITUTE(SUBSTITUTE(G974,"(주)",""),"㈜",""),"주식회사","")," ","")</f>
        <v/>
      </c>
      <c r="W974">
        <f>IF(AND(T974,V974&lt;&gt;""),IF(COUNTIFS(V$2:V974,V974,T$2:T974,TRUE)=1,MAX(W$1:W973)+1,""),"")</f>
        <v/>
      </c>
      <c r="X974">
        <f>IFERROR(INDEX('1.산군_붙여넣기'!$A$1:$AZ$1001,ROW(),설정!$C$14)&amp;"","")</f>
        <v/>
      </c>
      <c r="Y974">
        <f>IFERROR(INDEX('1.산군_붙여넣기'!$A$1:$AZ$1001,ROW(),설정!$C$15)&amp;"","")</f>
        <v/>
      </c>
      <c r="Z974">
        <f>IF(T974,V974&amp;"|"&amp;U974,"")</f>
        <v/>
      </c>
    </row>
    <row r="975">
      <c r="A975">
        <f>ROW()</f>
        <v/>
      </c>
      <c r="B975">
        <f>IFERROR(INDEX('1.산군_붙여넣기'!$A$1:$AZ$1001,ROW(),설정!$C$4)&amp;"","")</f>
        <v/>
      </c>
      <c r="C975">
        <f>IFERROR(INDEX('1.산군_붙여넣기'!$A$1:$AZ$1001,ROW(),설정!$C$5)&amp;"","")</f>
        <v/>
      </c>
      <c r="D975" s="5">
        <f>IFERROR(VALUE(SUBSTITUTE(SUBSTITUTE(SUBSTITUTE(IFERROR(INDEX('1.산군_붙여넣기'!$A$1:$AZ$1001,ROW(),설정!$C$6)&amp;"",""),",",""),"㎡",""),"m2","")),"")</f>
        <v/>
      </c>
      <c r="E975">
        <f>IFERROR(INDEX('1.산군_붙여넣기'!$A$1:$AZ$1001,ROW(),설정!$C$7)&amp;"","")</f>
        <v/>
      </c>
      <c r="F975">
        <f>IFERROR(INDEX('1.산군_붙여넣기'!$A$1:$AZ$1001,ROW(),설정!$C$8)&amp;"","")</f>
        <v/>
      </c>
      <c r="G975">
        <f>IFERROR(INDEX('1.산군_붙여넣기'!$A$1:$AZ$1001,ROW(),설정!$C$9)&amp;"","")</f>
        <v/>
      </c>
      <c r="H975">
        <f>IFERROR(INDEX('1.산군_붙여넣기'!$A$1:$AZ$1001,ROW(),설정!$C$10)&amp;"","")</f>
        <v/>
      </c>
      <c r="I975">
        <f>IFERROR(INDEX('1.산군_붙여넣기'!$A$1:$AZ$1001,ROW(),설정!$C$11)&amp;"","")</f>
        <v/>
      </c>
      <c r="J975">
        <f>IFERROR(INDEX('1.산군_붙여넣기'!$A$1:$AZ$1001,ROW(),설정!$C$12)&amp;"","")</f>
        <v/>
      </c>
      <c r="K975">
        <f>IFERROR(INDEX('1.산군_붙여넣기'!$A$1:$AZ$1001,ROW(),설정!$C$13)&amp;"","")</f>
        <v/>
      </c>
      <c r="L975" s="6">
        <f>IF(X975="","",IF(AND(LEN(X975)=8,ISNUMBER(X975*1)),DATE(LEFT(X975,4),MID(X975,5,2),RIGHT(X975,2)),IFERROR(DATEVALUE(SUBSTITUTE(SUBSTITUTE(X975,".","-"),"/","-")),IFERROR(X975*1,""))))</f>
        <v/>
      </c>
      <c r="M975" s="6">
        <f>IF(Y975="","",IF(AND(LEN(Y975)=8,ISNUMBER(Y975*1)),DATE(LEFT(Y975,4),MID(Y975,5,2),RIGHT(Y975,2)),IFERROR(DATEVALUE(SUBSTITUTE(SUBSTITUTE(Y975,".","-"),"/","-")),IFERROR(Y975*1,""))))</f>
        <v/>
      </c>
      <c r="N975">
        <f>IFERROR(LEFT(B975,FIND(" ",B975)-1),B975)</f>
        <v/>
      </c>
      <c r="O975">
        <f>AND(B975&lt;&gt;"",B975&lt;&gt;설정!$B$4,C975&lt;&gt;설정!$B$5)</f>
        <v/>
      </c>
      <c r="P975">
        <f>IF(O975,B975&amp;"|"&amp;C975,"")</f>
        <v/>
      </c>
      <c r="Q975">
        <f>AND(O975,COUNTIF(P976:P$1002,P975)=0)</f>
        <v/>
      </c>
      <c r="R975">
        <f>OR(AND(설정!$A$28&lt;&gt;"",ISNUMBER(SEARCH(설정!$A$28,E975&amp;" "&amp;C975))),AND(설정!$A$29&lt;&gt;"",ISNUMBER(SEARCH(설정!$A$29,E975&amp;" "&amp;C975))),AND(설정!$A$30&lt;&gt;"",ISNUMBER(SEARCH(설정!$A$30,E975&amp;" "&amp;C975))),AND(설정!$A$31&lt;&gt;"",ISNUMBER(SEARCH(설정!$A$31,E975&amp;" "&amp;C975))),AND(설정!$A$32&lt;&gt;"",ISNUMBER(SEARCH(설정!$A$32,E975&amp;" "&amp;C975))),AND(설정!$A$33&lt;&gt;"",ISNUMBER(SEARCH(설정!$A$33,E975&amp;" "&amp;C975))),AND(설정!$A$34&lt;&gt;"",ISNUMBER(SEARCH(설정!$A$34,E975&amp;" "&amp;C975))),AND(설정!$A$35&lt;&gt;"",ISNUMBER(SEARCH(설정!$A$35,E975&amp;" "&amp;C975))),AND(설정!$A$36&lt;&gt;"",ISNUMBER(SEARCH(설정!$A$36,E975&amp;" "&amp;C975))),AND(설정!$A$37&lt;&gt;"",ISNUMBER(SEARCH(설정!$A$37,E975&amp;" "&amp;C975))))</f>
        <v/>
      </c>
      <c r="S975">
        <f>OR(D975="",D975&gt;=설정!$B$19)</f>
        <v/>
      </c>
      <c r="T975">
        <f>AND(Q975,R975,S975)</f>
        <v/>
      </c>
      <c r="U975">
        <f>IF(T975,IF(AND(설정!$A$41&lt;&gt;"",ISNUMBER(SEARCH(설정!$A$41,K975))),설정!$B$41,IF(AND(설정!$A$42&lt;&gt;"",ISNUMBER(SEARCH(설정!$A$42,K975))),설정!$B$42,IF(AND(설정!$A$43&lt;&gt;"",ISNUMBER(SEARCH(설정!$A$43,K975))),설정!$B$43,IF(AND(설정!$A$44&lt;&gt;"",ISNUMBER(SEARCH(설정!$A$44,K975))),설정!$B$44,IF(AND(설정!$A$45&lt;&gt;"",ISNUMBER(SEARCH(설정!$A$45,K975))),설정!$B$45,IF(AND(설정!$A$46&lt;&gt;"",ISNUMBER(SEARCH(설정!$A$46,K975))),설정!$B$46,IF(AND(설정!$A$47&lt;&gt;"",ISNUMBER(SEARCH(설정!$A$47,K975))),설정!$B$47,IF(AND(설정!$A$48&lt;&gt;"",ISNUMBER(SEARCH(설정!$A$48,K975))),설정!$B$48,IF(M975="","설계사","시공사"))))))))),"")</f>
        <v/>
      </c>
      <c r="V975">
        <f>SUBSTITUTE(SUBSTITUTE(SUBSTITUTE(SUBSTITUTE(G975,"(주)",""),"㈜",""),"주식회사","")," ","")</f>
        <v/>
      </c>
      <c r="W975">
        <f>IF(AND(T975,V975&lt;&gt;""),IF(COUNTIFS(V$2:V975,V975,T$2:T975,TRUE)=1,MAX(W$1:W974)+1,""),"")</f>
        <v/>
      </c>
      <c r="X975">
        <f>IFERROR(INDEX('1.산군_붙여넣기'!$A$1:$AZ$1001,ROW(),설정!$C$14)&amp;"","")</f>
        <v/>
      </c>
      <c r="Y975">
        <f>IFERROR(INDEX('1.산군_붙여넣기'!$A$1:$AZ$1001,ROW(),설정!$C$15)&amp;"","")</f>
        <v/>
      </c>
      <c r="Z975">
        <f>IF(T975,V975&amp;"|"&amp;U975,"")</f>
        <v/>
      </c>
    </row>
    <row r="976">
      <c r="A976">
        <f>ROW()</f>
        <v/>
      </c>
      <c r="B976">
        <f>IFERROR(INDEX('1.산군_붙여넣기'!$A$1:$AZ$1001,ROW(),설정!$C$4)&amp;"","")</f>
        <v/>
      </c>
      <c r="C976">
        <f>IFERROR(INDEX('1.산군_붙여넣기'!$A$1:$AZ$1001,ROW(),설정!$C$5)&amp;"","")</f>
        <v/>
      </c>
      <c r="D976" s="5">
        <f>IFERROR(VALUE(SUBSTITUTE(SUBSTITUTE(SUBSTITUTE(IFERROR(INDEX('1.산군_붙여넣기'!$A$1:$AZ$1001,ROW(),설정!$C$6)&amp;"",""),",",""),"㎡",""),"m2","")),"")</f>
        <v/>
      </c>
      <c r="E976">
        <f>IFERROR(INDEX('1.산군_붙여넣기'!$A$1:$AZ$1001,ROW(),설정!$C$7)&amp;"","")</f>
        <v/>
      </c>
      <c r="F976">
        <f>IFERROR(INDEX('1.산군_붙여넣기'!$A$1:$AZ$1001,ROW(),설정!$C$8)&amp;"","")</f>
        <v/>
      </c>
      <c r="G976">
        <f>IFERROR(INDEX('1.산군_붙여넣기'!$A$1:$AZ$1001,ROW(),설정!$C$9)&amp;"","")</f>
        <v/>
      </c>
      <c r="H976">
        <f>IFERROR(INDEX('1.산군_붙여넣기'!$A$1:$AZ$1001,ROW(),설정!$C$10)&amp;"","")</f>
        <v/>
      </c>
      <c r="I976">
        <f>IFERROR(INDEX('1.산군_붙여넣기'!$A$1:$AZ$1001,ROW(),설정!$C$11)&amp;"","")</f>
        <v/>
      </c>
      <c r="J976">
        <f>IFERROR(INDEX('1.산군_붙여넣기'!$A$1:$AZ$1001,ROW(),설정!$C$12)&amp;"","")</f>
        <v/>
      </c>
      <c r="K976">
        <f>IFERROR(INDEX('1.산군_붙여넣기'!$A$1:$AZ$1001,ROW(),설정!$C$13)&amp;"","")</f>
        <v/>
      </c>
      <c r="L976" s="6">
        <f>IF(X976="","",IF(AND(LEN(X976)=8,ISNUMBER(X976*1)),DATE(LEFT(X976,4),MID(X976,5,2),RIGHT(X976,2)),IFERROR(DATEVALUE(SUBSTITUTE(SUBSTITUTE(X976,".","-"),"/","-")),IFERROR(X976*1,""))))</f>
        <v/>
      </c>
      <c r="M976" s="6">
        <f>IF(Y976="","",IF(AND(LEN(Y976)=8,ISNUMBER(Y976*1)),DATE(LEFT(Y976,4),MID(Y976,5,2),RIGHT(Y976,2)),IFERROR(DATEVALUE(SUBSTITUTE(SUBSTITUTE(Y976,".","-"),"/","-")),IFERROR(Y976*1,""))))</f>
        <v/>
      </c>
      <c r="N976">
        <f>IFERROR(LEFT(B976,FIND(" ",B976)-1),B976)</f>
        <v/>
      </c>
      <c r="O976">
        <f>AND(B976&lt;&gt;"",B976&lt;&gt;설정!$B$4,C976&lt;&gt;설정!$B$5)</f>
        <v/>
      </c>
      <c r="P976">
        <f>IF(O976,B976&amp;"|"&amp;C976,"")</f>
        <v/>
      </c>
      <c r="Q976">
        <f>AND(O976,COUNTIF(P977:P$1002,P976)=0)</f>
        <v/>
      </c>
      <c r="R976">
        <f>OR(AND(설정!$A$28&lt;&gt;"",ISNUMBER(SEARCH(설정!$A$28,E976&amp;" "&amp;C976))),AND(설정!$A$29&lt;&gt;"",ISNUMBER(SEARCH(설정!$A$29,E976&amp;" "&amp;C976))),AND(설정!$A$30&lt;&gt;"",ISNUMBER(SEARCH(설정!$A$30,E976&amp;" "&amp;C976))),AND(설정!$A$31&lt;&gt;"",ISNUMBER(SEARCH(설정!$A$31,E976&amp;" "&amp;C976))),AND(설정!$A$32&lt;&gt;"",ISNUMBER(SEARCH(설정!$A$32,E976&amp;" "&amp;C976))),AND(설정!$A$33&lt;&gt;"",ISNUMBER(SEARCH(설정!$A$33,E976&amp;" "&amp;C976))),AND(설정!$A$34&lt;&gt;"",ISNUMBER(SEARCH(설정!$A$34,E976&amp;" "&amp;C976))),AND(설정!$A$35&lt;&gt;"",ISNUMBER(SEARCH(설정!$A$35,E976&amp;" "&amp;C976))),AND(설정!$A$36&lt;&gt;"",ISNUMBER(SEARCH(설정!$A$36,E976&amp;" "&amp;C976))),AND(설정!$A$37&lt;&gt;"",ISNUMBER(SEARCH(설정!$A$37,E976&amp;" "&amp;C976))))</f>
        <v/>
      </c>
      <c r="S976">
        <f>OR(D976="",D976&gt;=설정!$B$19)</f>
        <v/>
      </c>
      <c r="T976">
        <f>AND(Q976,R976,S976)</f>
        <v/>
      </c>
      <c r="U976">
        <f>IF(T976,IF(AND(설정!$A$41&lt;&gt;"",ISNUMBER(SEARCH(설정!$A$41,K976))),설정!$B$41,IF(AND(설정!$A$42&lt;&gt;"",ISNUMBER(SEARCH(설정!$A$42,K976))),설정!$B$42,IF(AND(설정!$A$43&lt;&gt;"",ISNUMBER(SEARCH(설정!$A$43,K976))),설정!$B$43,IF(AND(설정!$A$44&lt;&gt;"",ISNUMBER(SEARCH(설정!$A$44,K976))),설정!$B$44,IF(AND(설정!$A$45&lt;&gt;"",ISNUMBER(SEARCH(설정!$A$45,K976))),설정!$B$45,IF(AND(설정!$A$46&lt;&gt;"",ISNUMBER(SEARCH(설정!$A$46,K976))),설정!$B$46,IF(AND(설정!$A$47&lt;&gt;"",ISNUMBER(SEARCH(설정!$A$47,K976))),설정!$B$47,IF(AND(설정!$A$48&lt;&gt;"",ISNUMBER(SEARCH(설정!$A$48,K976))),설정!$B$48,IF(M976="","설계사","시공사"))))))))),"")</f>
        <v/>
      </c>
      <c r="V976">
        <f>SUBSTITUTE(SUBSTITUTE(SUBSTITUTE(SUBSTITUTE(G976,"(주)",""),"㈜",""),"주식회사","")," ","")</f>
        <v/>
      </c>
      <c r="W976">
        <f>IF(AND(T976,V976&lt;&gt;""),IF(COUNTIFS(V$2:V976,V976,T$2:T976,TRUE)=1,MAX(W$1:W975)+1,""),"")</f>
        <v/>
      </c>
      <c r="X976">
        <f>IFERROR(INDEX('1.산군_붙여넣기'!$A$1:$AZ$1001,ROW(),설정!$C$14)&amp;"","")</f>
        <v/>
      </c>
      <c r="Y976">
        <f>IFERROR(INDEX('1.산군_붙여넣기'!$A$1:$AZ$1001,ROW(),설정!$C$15)&amp;"","")</f>
        <v/>
      </c>
      <c r="Z976">
        <f>IF(T976,V976&amp;"|"&amp;U976,"")</f>
        <v/>
      </c>
    </row>
    <row r="977">
      <c r="A977">
        <f>ROW()</f>
        <v/>
      </c>
      <c r="B977">
        <f>IFERROR(INDEX('1.산군_붙여넣기'!$A$1:$AZ$1001,ROW(),설정!$C$4)&amp;"","")</f>
        <v/>
      </c>
      <c r="C977">
        <f>IFERROR(INDEX('1.산군_붙여넣기'!$A$1:$AZ$1001,ROW(),설정!$C$5)&amp;"","")</f>
        <v/>
      </c>
      <c r="D977" s="5">
        <f>IFERROR(VALUE(SUBSTITUTE(SUBSTITUTE(SUBSTITUTE(IFERROR(INDEX('1.산군_붙여넣기'!$A$1:$AZ$1001,ROW(),설정!$C$6)&amp;"",""),",",""),"㎡",""),"m2","")),"")</f>
        <v/>
      </c>
      <c r="E977">
        <f>IFERROR(INDEX('1.산군_붙여넣기'!$A$1:$AZ$1001,ROW(),설정!$C$7)&amp;"","")</f>
        <v/>
      </c>
      <c r="F977">
        <f>IFERROR(INDEX('1.산군_붙여넣기'!$A$1:$AZ$1001,ROW(),설정!$C$8)&amp;"","")</f>
        <v/>
      </c>
      <c r="G977">
        <f>IFERROR(INDEX('1.산군_붙여넣기'!$A$1:$AZ$1001,ROW(),설정!$C$9)&amp;"","")</f>
        <v/>
      </c>
      <c r="H977">
        <f>IFERROR(INDEX('1.산군_붙여넣기'!$A$1:$AZ$1001,ROW(),설정!$C$10)&amp;"","")</f>
        <v/>
      </c>
      <c r="I977">
        <f>IFERROR(INDEX('1.산군_붙여넣기'!$A$1:$AZ$1001,ROW(),설정!$C$11)&amp;"","")</f>
        <v/>
      </c>
      <c r="J977">
        <f>IFERROR(INDEX('1.산군_붙여넣기'!$A$1:$AZ$1001,ROW(),설정!$C$12)&amp;"","")</f>
        <v/>
      </c>
      <c r="K977">
        <f>IFERROR(INDEX('1.산군_붙여넣기'!$A$1:$AZ$1001,ROW(),설정!$C$13)&amp;"","")</f>
        <v/>
      </c>
      <c r="L977" s="6">
        <f>IF(X977="","",IF(AND(LEN(X977)=8,ISNUMBER(X977*1)),DATE(LEFT(X977,4),MID(X977,5,2),RIGHT(X977,2)),IFERROR(DATEVALUE(SUBSTITUTE(SUBSTITUTE(X977,".","-"),"/","-")),IFERROR(X977*1,""))))</f>
        <v/>
      </c>
      <c r="M977" s="6">
        <f>IF(Y977="","",IF(AND(LEN(Y977)=8,ISNUMBER(Y977*1)),DATE(LEFT(Y977,4),MID(Y977,5,2),RIGHT(Y977,2)),IFERROR(DATEVALUE(SUBSTITUTE(SUBSTITUTE(Y977,".","-"),"/","-")),IFERROR(Y977*1,""))))</f>
        <v/>
      </c>
      <c r="N977">
        <f>IFERROR(LEFT(B977,FIND(" ",B977)-1),B977)</f>
        <v/>
      </c>
      <c r="O977">
        <f>AND(B977&lt;&gt;"",B977&lt;&gt;설정!$B$4,C977&lt;&gt;설정!$B$5)</f>
        <v/>
      </c>
      <c r="P977">
        <f>IF(O977,B977&amp;"|"&amp;C977,"")</f>
        <v/>
      </c>
      <c r="Q977">
        <f>AND(O977,COUNTIF(P978:P$1002,P977)=0)</f>
        <v/>
      </c>
      <c r="R977">
        <f>OR(AND(설정!$A$28&lt;&gt;"",ISNUMBER(SEARCH(설정!$A$28,E977&amp;" "&amp;C977))),AND(설정!$A$29&lt;&gt;"",ISNUMBER(SEARCH(설정!$A$29,E977&amp;" "&amp;C977))),AND(설정!$A$30&lt;&gt;"",ISNUMBER(SEARCH(설정!$A$30,E977&amp;" "&amp;C977))),AND(설정!$A$31&lt;&gt;"",ISNUMBER(SEARCH(설정!$A$31,E977&amp;" "&amp;C977))),AND(설정!$A$32&lt;&gt;"",ISNUMBER(SEARCH(설정!$A$32,E977&amp;" "&amp;C977))),AND(설정!$A$33&lt;&gt;"",ISNUMBER(SEARCH(설정!$A$33,E977&amp;" "&amp;C977))),AND(설정!$A$34&lt;&gt;"",ISNUMBER(SEARCH(설정!$A$34,E977&amp;" "&amp;C977))),AND(설정!$A$35&lt;&gt;"",ISNUMBER(SEARCH(설정!$A$35,E977&amp;" "&amp;C977))),AND(설정!$A$36&lt;&gt;"",ISNUMBER(SEARCH(설정!$A$36,E977&amp;" "&amp;C977))),AND(설정!$A$37&lt;&gt;"",ISNUMBER(SEARCH(설정!$A$37,E977&amp;" "&amp;C977))))</f>
        <v/>
      </c>
      <c r="S977">
        <f>OR(D977="",D977&gt;=설정!$B$19)</f>
        <v/>
      </c>
      <c r="T977">
        <f>AND(Q977,R977,S977)</f>
        <v/>
      </c>
      <c r="U977">
        <f>IF(T977,IF(AND(설정!$A$41&lt;&gt;"",ISNUMBER(SEARCH(설정!$A$41,K977))),설정!$B$41,IF(AND(설정!$A$42&lt;&gt;"",ISNUMBER(SEARCH(설정!$A$42,K977))),설정!$B$42,IF(AND(설정!$A$43&lt;&gt;"",ISNUMBER(SEARCH(설정!$A$43,K977))),설정!$B$43,IF(AND(설정!$A$44&lt;&gt;"",ISNUMBER(SEARCH(설정!$A$44,K977))),설정!$B$44,IF(AND(설정!$A$45&lt;&gt;"",ISNUMBER(SEARCH(설정!$A$45,K977))),설정!$B$45,IF(AND(설정!$A$46&lt;&gt;"",ISNUMBER(SEARCH(설정!$A$46,K977))),설정!$B$46,IF(AND(설정!$A$47&lt;&gt;"",ISNUMBER(SEARCH(설정!$A$47,K977))),설정!$B$47,IF(AND(설정!$A$48&lt;&gt;"",ISNUMBER(SEARCH(설정!$A$48,K977))),설정!$B$48,IF(M977="","설계사","시공사"))))))))),"")</f>
        <v/>
      </c>
      <c r="V977">
        <f>SUBSTITUTE(SUBSTITUTE(SUBSTITUTE(SUBSTITUTE(G977,"(주)",""),"㈜",""),"주식회사","")," ","")</f>
        <v/>
      </c>
      <c r="W977">
        <f>IF(AND(T977,V977&lt;&gt;""),IF(COUNTIFS(V$2:V977,V977,T$2:T977,TRUE)=1,MAX(W$1:W976)+1,""),"")</f>
        <v/>
      </c>
      <c r="X977">
        <f>IFERROR(INDEX('1.산군_붙여넣기'!$A$1:$AZ$1001,ROW(),설정!$C$14)&amp;"","")</f>
        <v/>
      </c>
      <c r="Y977">
        <f>IFERROR(INDEX('1.산군_붙여넣기'!$A$1:$AZ$1001,ROW(),설정!$C$15)&amp;"","")</f>
        <v/>
      </c>
      <c r="Z977">
        <f>IF(T977,V977&amp;"|"&amp;U977,"")</f>
        <v/>
      </c>
    </row>
    <row r="978">
      <c r="A978">
        <f>ROW()</f>
        <v/>
      </c>
      <c r="B978">
        <f>IFERROR(INDEX('1.산군_붙여넣기'!$A$1:$AZ$1001,ROW(),설정!$C$4)&amp;"","")</f>
        <v/>
      </c>
      <c r="C978">
        <f>IFERROR(INDEX('1.산군_붙여넣기'!$A$1:$AZ$1001,ROW(),설정!$C$5)&amp;"","")</f>
        <v/>
      </c>
      <c r="D978" s="5">
        <f>IFERROR(VALUE(SUBSTITUTE(SUBSTITUTE(SUBSTITUTE(IFERROR(INDEX('1.산군_붙여넣기'!$A$1:$AZ$1001,ROW(),설정!$C$6)&amp;"",""),",",""),"㎡",""),"m2","")),"")</f>
        <v/>
      </c>
      <c r="E978">
        <f>IFERROR(INDEX('1.산군_붙여넣기'!$A$1:$AZ$1001,ROW(),설정!$C$7)&amp;"","")</f>
        <v/>
      </c>
      <c r="F978">
        <f>IFERROR(INDEX('1.산군_붙여넣기'!$A$1:$AZ$1001,ROW(),설정!$C$8)&amp;"","")</f>
        <v/>
      </c>
      <c r="G978">
        <f>IFERROR(INDEX('1.산군_붙여넣기'!$A$1:$AZ$1001,ROW(),설정!$C$9)&amp;"","")</f>
        <v/>
      </c>
      <c r="H978">
        <f>IFERROR(INDEX('1.산군_붙여넣기'!$A$1:$AZ$1001,ROW(),설정!$C$10)&amp;"","")</f>
        <v/>
      </c>
      <c r="I978">
        <f>IFERROR(INDEX('1.산군_붙여넣기'!$A$1:$AZ$1001,ROW(),설정!$C$11)&amp;"","")</f>
        <v/>
      </c>
      <c r="J978">
        <f>IFERROR(INDEX('1.산군_붙여넣기'!$A$1:$AZ$1001,ROW(),설정!$C$12)&amp;"","")</f>
        <v/>
      </c>
      <c r="K978">
        <f>IFERROR(INDEX('1.산군_붙여넣기'!$A$1:$AZ$1001,ROW(),설정!$C$13)&amp;"","")</f>
        <v/>
      </c>
      <c r="L978" s="6">
        <f>IF(X978="","",IF(AND(LEN(X978)=8,ISNUMBER(X978*1)),DATE(LEFT(X978,4),MID(X978,5,2),RIGHT(X978,2)),IFERROR(DATEVALUE(SUBSTITUTE(SUBSTITUTE(X978,".","-"),"/","-")),IFERROR(X978*1,""))))</f>
        <v/>
      </c>
      <c r="M978" s="6">
        <f>IF(Y978="","",IF(AND(LEN(Y978)=8,ISNUMBER(Y978*1)),DATE(LEFT(Y978,4),MID(Y978,5,2),RIGHT(Y978,2)),IFERROR(DATEVALUE(SUBSTITUTE(SUBSTITUTE(Y978,".","-"),"/","-")),IFERROR(Y978*1,""))))</f>
        <v/>
      </c>
      <c r="N978">
        <f>IFERROR(LEFT(B978,FIND(" ",B978)-1),B978)</f>
        <v/>
      </c>
      <c r="O978">
        <f>AND(B978&lt;&gt;"",B978&lt;&gt;설정!$B$4,C978&lt;&gt;설정!$B$5)</f>
        <v/>
      </c>
      <c r="P978">
        <f>IF(O978,B978&amp;"|"&amp;C978,"")</f>
        <v/>
      </c>
      <c r="Q978">
        <f>AND(O978,COUNTIF(P979:P$1002,P978)=0)</f>
        <v/>
      </c>
      <c r="R978">
        <f>OR(AND(설정!$A$28&lt;&gt;"",ISNUMBER(SEARCH(설정!$A$28,E978&amp;" "&amp;C978))),AND(설정!$A$29&lt;&gt;"",ISNUMBER(SEARCH(설정!$A$29,E978&amp;" "&amp;C978))),AND(설정!$A$30&lt;&gt;"",ISNUMBER(SEARCH(설정!$A$30,E978&amp;" "&amp;C978))),AND(설정!$A$31&lt;&gt;"",ISNUMBER(SEARCH(설정!$A$31,E978&amp;" "&amp;C978))),AND(설정!$A$32&lt;&gt;"",ISNUMBER(SEARCH(설정!$A$32,E978&amp;" "&amp;C978))),AND(설정!$A$33&lt;&gt;"",ISNUMBER(SEARCH(설정!$A$33,E978&amp;" "&amp;C978))),AND(설정!$A$34&lt;&gt;"",ISNUMBER(SEARCH(설정!$A$34,E978&amp;" "&amp;C978))),AND(설정!$A$35&lt;&gt;"",ISNUMBER(SEARCH(설정!$A$35,E978&amp;" "&amp;C978))),AND(설정!$A$36&lt;&gt;"",ISNUMBER(SEARCH(설정!$A$36,E978&amp;" "&amp;C978))),AND(설정!$A$37&lt;&gt;"",ISNUMBER(SEARCH(설정!$A$37,E978&amp;" "&amp;C978))))</f>
        <v/>
      </c>
      <c r="S978">
        <f>OR(D978="",D978&gt;=설정!$B$19)</f>
        <v/>
      </c>
      <c r="T978">
        <f>AND(Q978,R978,S978)</f>
        <v/>
      </c>
      <c r="U978">
        <f>IF(T978,IF(AND(설정!$A$41&lt;&gt;"",ISNUMBER(SEARCH(설정!$A$41,K978))),설정!$B$41,IF(AND(설정!$A$42&lt;&gt;"",ISNUMBER(SEARCH(설정!$A$42,K978))),설정!$B$42,IF(AND(설정!$A$43&lt;&gt;"",ISNUMBER(SEARCH(설정!$A$43,K978))),설정!$B$43,IF(AND(설정!$A$44&lt;&gt;"",ISNUMBER(SEARCH(설정!$A$44,K978))),설정!$B$44,IF(AND(설정!$A$45&lt;&gt;"",ISNUMBER(SEARCH(설정!$A$45,K978))),설정!$B$45,IF(AND(설정!$A$46&lt;&gt;"",ISNUMBER(SEARCH(설정!$A$46,K978))),설정!$B$46,IF(AND(설정!$A$47&lt;&gt;"",ISNUMBER(SEARCH(설정!$A$47,K978))),설정!$B$47,IF(AND(설정!$A$48&lt;&gt;"",ISNUMBER(SEARCH(설정!$A$48,K978))),설정!$B$48,IF(M978="","설계사","시공사"))))))))),"")</f>
        <v/>
      </c>
      <c r="V978">
        <f>SUBSTITUTE(SUBSTITUTE(SUBSTITUTE(SUBSTITUTE(G978,"(주)",""),"㈜",""),"주식회사","")," ","")</f>
        <v/>
      </c>
      <c r="W978">
        <f>IF(AND(T978,V978&lt;&gt;""),IF(COUNTIFS(V$2:V978,V978,T$2:T978,TRUE)=1,MAX(W$1:W977)+1,""),"")</f>
        <v/>
      </c>
      <c r="X978">
        <f>IFERROR(INDEX('1.산군_붙여넣기'!$A$1:$AZ$1001,ROW(),설정!$C$14)&amp;"","")</f>
        <v/>
      </c>
      <c r="Y978">
        <f>IFERROR(INDEX('1.산군_붙여넣기'!$A$1:$AZ$1001,ROW(),설정!$C$15)&amp;"","")</f>
        <v/>
      </c>
      <c r="Z978">
        <f>IF(T978,V978&amp;"|"&amp;U978,"")</f>
        <v/>
      </c>
    </row>
    <row r="979">
      <c r="A979">
        <f>ROW()</f>
        <v/>
      </c>
      <c r="B979">
        <f>IFERROR(INDEX('1.산군_붙여넣기'!$A$1:$AZ$1001,ROW(),설정!$C$4)&amp;"","")</f>
        <v/>
      </c>
      <c r="C979">
        <f>IFERROR(INDEX('1.산군_붙여넣기'!$A$1:$AZ$1001,ROW(),설정!$C$5)&amp;"","")</f>
        <v/>
      </c>
      <c r="D979" s="5">
        <f>IFERROR(VALUE(SUBSTITUTE(SUBSTITUTE(SUBSTITUTE(IFERROR(INDEX('1.산군_붙여넣기'!$A$1:$AZ$1001,ROW(),설정!$C$6)&amp;"",""),",",""),"㎡",""),"m2","")),"")</f>
        <v/>
      </c>
      <c r="E979">
        <f>IFERROR(INDEX('1.산군_붙여넣기'!$A$1:$AZ$1001,ROW(),설정!$C$7)&amp;"","")</f>
        <v/>
      </c>
      <c r="F979">
        <f>IFERROR(INDEX('1.산군_붙여넣기'!$A$1:$AZ$1001,ROW(),설정!$C$8)&amp;"","")</f>
        <v/>
      </c>
      <c r="G979">
        <f>IFERROR(INDEX('1.산군_붙여넣기'!$A$1:$AZ$1001,ROW(),설정!$C$9)&amp;"","")</f>
        <v/>
      </c>
      <c r="H979">
        <f>IFERROR(INDEX('1.산군_붙여넣기'!$A$1:$AZ$1001,ROW(),설정!$C$10)&amp;"","")</f>
        <v/>
      </c>
      <c r="I979">
        <f>IFERROR(INDEX('1.산군_붙여넣기'!$A$1:$AZ$1001,ROW(),설정!$C$11)&amp;"","")</f>
        <v/>
      </c>
      <c r="J979">
        <f>IFERROR(INDEX('1.산군_붙여넣기'!$A$1:$AZ$1001,ROW(),설정!$C$12)&amp;"","")</f>
        <v/>
      </c>
      <c r="K979">
        <f>IFERROR(INDEX('1.산군_붙여넣기'!$A$1:$AZ$1001,ROW(),설정!$C$13)&amp;"","")</f>
        <v/>
      </c>
      <c r="L979" s="6">
        <f>IF(X979="","",IF(AND(LEN(X979)=8,ISNUMBER(X979*1)),DATE(LEFT(X979,4),MID(X979,5,2),RIGHT(X979,2)),IFERROR(DATEVALUE(SUBSTITUTE(SUBSTITUTE(X979,".","-"),"/","-")),IFERROR(X979*1,""))))</f>
        <v/>
      </c>
      <c r="M979" s="6">
        <f>IF(Y979="","",IF(AND(LEN(Y979)=8,ISNUMBER(Y979*1)),DATE(LEFT(Y979,4),MID(Y979,5,2),RIGHT(Y979,2)),IFERROR(DATEVALUE(SUBSTITUTE(SUBSTITUTE(Y979,".","-"),"/","-")),IFERROR(Y979*1,""))))</f>
        <v/>
      </c>
      <c r="N979">
        <f>IFERROR(LEFT(B979,FIND(" ",B979)-1),B979)</f>
        <v/>
      </c>
      <c r="O979">
        <f>AND(B979&lt;&gt;"",B979&lt;&gt;설정!$B$4,C979&lt;&gt;설정!$B$5)</f>
        <v/>
      </c>
      <c r="P979">
        <f>IF(O979,B979&amp;"|"&amp;C979,"")</f>
        <v/>
      </c>
      <c r="Q979">
        <f>AND(O979,COUNTIF(P980:P$1002,P979)=0)</f>
        <v/>
      </c>
      <c r="R979">
        <f>OR(AND(설정!$A$28&lt;&gt;"",ISNUMBER(SEARCH(설정!$A$28,E979&amp;" "&amp;C979))),AND(설정!$A$29&lt;&gt;"",ISNUMBER(SEARCH(설정!$A$29,E979&amp;" "&amp;C979))),AND(설정!$A$30&lt;&gt;"",ISNUMBER(SEARCH(설정!$A$30,E979&amp;" "&amp;C979))),AND(설정!$A$31&lt;&gt;"",ISNUMBER(SEARCH(설정!$A$31,E979&amp;" "&amp;C979))),AND(설정!$A$32&lt;&gt;"",ISNUMBER(SEARCH(설정!$A$32,E979&amp;" "&amp;C979))),AND(설정!$A$33&lt;&gt;"",ISNUMBER(SEARCH(설정!$A$33,E979&amp;" "&amp;C979))),AND(설정!$A$34&lt;&gt;"",ISNUMBER(SEARCH(설정!$A$34,E979&amp;" "&amp;C979))),AND(설정!$A$35&lt;&gt;"",ISNUMBER(SEARCH(설정!$A$35,E979&amp;" "&amp;C979))),AND(설정!$A$36&lt;&gt;"",ISNUMBER(SEARCH(설정!$A$36,E979&amp;" "&amp;C979))),AND(설정!$A$37&lt;&gt;"",ISNUMBER(SEARCH(설정!$A$37,E979&amp;" "&amp;C979))))</f>
        <v/>
      </c>
      <c r="S979">
        <f>OR(D979="",D979&gt;=설정!$B$19)</f>
        <v/>
      </c>
      <c r="T979">
        <f>AND(Q979,R979,S979)</f>
        <v/>
      </c>
      <c r="U979">
        <f>IF(T979,IF(AND(설정!$A$41&lt;&gt;"",ISNUMBER(SEARCH(설정!$A$41,K979))),설정!$B$41,IF(AND(설정!$A$42&lt;&gt;"",ISNUMBER(SEARCH(설정!$A$42,K979))),설정!$B$42,IF(AND(설정!$A$43&lt;&gt;"",ISNUMBER(SEARCH(설정!$A$43,K979))),설정!$B$43,IF(AND(설정!$A$44&lt;&gt;"",ISNUMBER(SEARCH(설정!$A$44,K979))),설정!$B$44,IF(AND(설정!$A$45&lt;&gt;"",ISNUMBER(SEARCH(설정!$A$45,K979))),설정!$B$45,IF(AND(설정!$A$46&lt;&gt;"",ISNUMBER(SEARCH(설정!$A$46,K979))),설정!$B$46,IF(AND(설정!$A$47&lt;&gt;"",ISNUMBER(SEARCH(설정!$A$47,K979))),설정!$B$47,IF(AND(설정!$A$48&lt;&gt;"",ISNUMBER(SEARCH(설정!$A$48,K979))),설정!$B$48,IF(M979="","설계사","시공사"))))))))),"")</f>
        <v/>
      </c>
      <c r="V979">
        <f>SUBSTITUTE(SUBSTITUTE(SUBSTITUTE(SUBSTITUTE(G979,"(주)",""),"㈜",""),"주식회사","")," ","")</f>
        <v/>
      </c>
      <c r="W979">
        <f>IF(AND(T979,V979&lt;&gt;""),IF(COUNTIFS(V$2:V979,V979,T$2:T979,TRUE)=1,MAX(W$1:W978)+1,""),"")</f>
        <v/>
      </c>
      <c r="X979">
        <f>IFERROR(INDEX('1.산군_붙여넣기'!$A$1:$AZ$1001,ROW(),설정!$C$14)&amp;"","")</f>
        <v/>
      </c>
      <c r="Y979">
        <f>IFERROR(INDEX('1.산군_붙여넣기'!$A$1:$AZ$1001,ROW(),설정!$C$15)&amp;"","")</f>
        <v/>
      </c>
      <c r="Z979">
        <f>IF(T979,V979&amp;"|"&amp;U979,"")</f>
        <v/>
      </c>
    </row>
    <row r="980">
      <c r="A980">
        <f>ROW()</f>
        <v/>
      </c>
      <c r="B980">
        <f>IFERROR(INDEX('1.산군_붙여넣기'!$A$1:$AZ$1001,ROW(),설정!$C$4)&amp;"","")</f>
        <v/>
      </c>
      <c r="C980">
        <f>IFERROR(INDEX('1.산군_붙여넣기'!$A$1:$AZ$1001,ROW(),설정!$C$5)&amp;"","")</f>
        <v/>
      </c>
      <c r="D980" s="5">
        <f>IFERROR(VALUE(SUBSTITUTE(SUBSTITUTE(SUBSTITUTE(IFERROR(INDEX('1.산군_붙여넣기'!$A$1:$AZ$1001,ROW(),설정!$C$6)&amp;"",""),",",""),"㎡",""),"m2","")),"")</f>
        <v/>
      </c>
      <c r="E980">
        <f>IFERROR(INDEX('1.산군_붙여넣기'!$A$1:$AZ$1001,ROW(),설정!$C$7)&amp;"","")</f>
        <v/>
      </c>
      <c r="F980">
        <f>IFERROR(INDEX('1.산군_붙여넣기'!$A$1:$AZ$1001,ROW(),설정!$C$8)&amp;"","")</f>
        <v/>
      </c>
      <c r="G980">
        <f>IFERROR(INDEX('1.산군_붙여넣기'!$A$1:$AZ$1001,ROW(),설정!$C$9)&amp;"","")</f>
        <v/>
      </c>
      <c r="H980">
        <f>IFERROR(INDEX('1.산군_붙여넣기'!$A$1:$AZ$1001,ROW(),설정!$C$10)&amp;"","")</f>
        <v/>
      </c>
      <c r="I980">
        <f>IFERROR(INDEX('1.산군_붙여넣기'!$A$1:$AZ$1001,ROW(),설정!$C$11)&amp;"","")</f>
        <v/>
      </c>
      <c r="J980">
        <f>IFERROR(INDEX('1.산군_붙여넣기'!$A$1:$AZ$1001,ROW(),설정!$C$12)&amp;"","")</f>
        <v/>
      </c>
      <c r="K980">
        <f>IFERROR(INDEX('1.산군_붙여넣기'!$A$1:$AZ$1001,ROW(),설정!$C$13)&amp;"","")</f>
        <v/>
      </c>
      <c r="L980" s="6">
        <f>IF(X980="","",IF(AND(LEN(X980)=8,ISNUMBER(X980*1)),DATE(LEFT(X980,4),MID(X980,5,2),RIGHT(X980,2)),IFERROR(DATEVALUE(SUBSTITUTE(SUBSTITUTE(X980,".","-"),"/","-")),IFERROR(X980*1,""))))</f>
        <v/>
      </c>
      <c r="M980" s="6">
        <f>IF(Y980="","",IF(AND(LEN(Y980)=8,ISNUMBER(Y980*1)),DATE(LEFT(Y980,4),MID(Y980,5,2),RIGHT(Y980,2)),IFERROR(DATEVALUE(SUBSTITUTE(SUBSTITUTE(Y980,".","-"),"/","-")),IFERROR(Y980*1,""))))</f>
        <v/>
      </c>
      <c r="N980">
        <f>IFERROR(LEFT(B980,FIND(" ",B980)-1),B980)</f>
        <v/>
      </c>
      <c r="O980">
        <f>AND(B980&lt;&gt;"",B980&lt;&gt;설정!$B$4,C980&lt;&gt;설정!$B$5)</f>
        <v/>
      </c>
      <c r="P980">
        <f>IF(O980,B980&amp;"|"&amp;C980,"")</f>
        <v/>
      </c>
      <c r="Q980">
        <f>AND(O980,COUNTIF(P981:P$1002,P980)=0)</f>
        <v/>
      </c>
      <c r="R980">
        <f>OR(AND(설정!$A$28&lt;&gt;"",ISNUMBER(SEARCH(설정!$A$28,E980&amp;" "&amp;C980))),AND(설정!$A$29&lt;&gt;"",ISNUMBER(SEARCH(설정!$A$29,E980&amp;" "&amp;C980))),AND(설정!$A$30&lt;&gt;"",ISNUMBER(SEARCH(설정!$A$30,E980&amp;" "&amp;C980))),AND(설정!$A$31&lt;&gt;"",ISNUMBER(SEARCH(설정!$A$31,E980&amp;" "&amp;C980))),AND(설정!$A$32&lt;&gt;"",ISNUMBER(SEARCH(설정!$A$32,E980&amp;" "&amp;C980))),AND(설정!$A$33&lt;&gt;"",ISNUMBER(SEARCH(설정!$A$33,E980&amp;" "&amp;C980))),AND(설정!$A$34&lt;&gt;"",ISNUMBER(SEARCH(설정!$A$34,E980&amp;" "&amp;C980))),AND(설정!$A$35&lt;&gt;"",ISNUMBER(SEARCH(설정!$A$35,E980&amp;" "&amp;C980))),AND(설정!$A$36&lt;&gt;"",ISNUMBER(SEARCH(설정!$A$36,E980&amp;" "&amp;C980))),AND(설정!$A$37&lt;&gt;"",ISNUMBER(SEARCH(설정!$A$37,E980&amp;" "&amp;C980))))</f>
        <v/>
      </c>
      <c r="S980">
        <f>OR(D980="",D980&gt;=설정!$B$19)</f>
        <v/>
      </c>
      <c r="T980">
        <f>AND(Q980,R980,S980)</f>
        <v/>
      </c>
      <c r="U980">
        <f>IF(T980,IF(AND(설정!$A$41&lt;&gt;"",ISNUMBER(SEARCH(설정!$A$41,K980))),설정!$B$41,IF(AND(설정!$A$42&lt;&gt;"",ISNUMBER(SEARCH(설정!$A$42,K980))),설정!$B$42,IF(AND(설정!$A$43&lt;&gt;"",ISNUMBER(SEARCH(설정!$A$43,K980))),설정!$B$43,IF(AND(설정!$A$44&lt;&gt;"",ISNUMBER(SEARCH(설정!$A$44,K980))),설정!$B$44,IF(AND(설정!$A$45&lt;&gt;"",ISNUMBER(SEARCH(설정!$A$45,K980))),설정!$B$45,IF(AND(설정!$A$46&lt;&gt;"",ISNUMBER(SEARCH(설정!$A$46,K980))),설정!$B$46,IF(AND(설정!$A$47&lt;&gt;"",ISNUMBER(SEARCH(설정!$A$47,K980))),설정!$B$47,IF(AND(설정!$A$48&lt;&gt;"",ISNUMBER(SEARCH(설정!$A$48,K980))),설정!$B$48,IF(M980="","설계사","시공사"))))))))),"")</f>
        <v/>
      </c>
      <c r="V980">
        <f>SUBSTITUTE(SUBSTITUTE(SUBSTITUTE(SUBSTITUTE(G980,"(주)",""),"㈜",""),"주식회사","")," ","")</f>
        <v/>
      </c>
      <c r="W980">
        <f>IF(AND(T980,V980&lt;&gt;""),IF(COUNTIFS(V$2:V980,V980,T$2:T980,TRUE)=1,MAX(W$1:W979)+1,""),"")</f>
        <v/>
      </c>
      <c r="X980">
        <f>IFERROR(INDEX('1.산군_붙여넣기'!$A$1:$AZ$1001,ROW(),설정!$C$14)&amp;"","")</f>
        <v/>
      </c>
      <c r="Y980">
        <f>IFERROR(INDEX('1.산군_붙여넣기'!$A$1:$AZ$1001,ROW(),설정!$C$15)&amp;"","")</f>
        <v/>
      </c>
      <c r="Z980">
        <f>IF(T980,V980&amp;"|"&amp;U980,"")</f>
        <v/>
      </c>
    </row>
    <row r="981">
      <c r="A981">
        <f>ROW()</f>
        <v/>
      </c>
      <c r="B981">
        <f>IFERROR(INDEX('1.산군_붙여넣기'!$A$1:$AZ$1001,ROW(),설정!$C$4)&amp;"","")</f>
        <v/>
      </c>
      <c r="C981">
        <f>IFERROR(INDEX('1.산군_붙여넣기'!$A$1:$AZ$1001,ROW(),설정!$C$5)&amp;"","")</f>
        <v/>
      </c>
      <c r="D981" s="5">
        <f>IFERROR(VALUE(SUBSTITUTE(SUBSTITUTE(SUBSTITUTE(IFERROR(INDEX('1.산군_붙여넣기'!$A$1:$AZ$1001,ROW(),설정!$C$6)&amp;"",""),",",""),"㎡",""),"m2","")),"")</f>
        <v/>
      </c>
      <c r="E981">
        <f>IFERROR(INDEX('1.산군_붙여넣기'!$A$1:$AZ$1001,ROW(),설정!$C$7)&amp;"","")</f>
        <v/>
      </c>
      <c r="F981">
        <f>IFERROR(INDEX('1.산군_붙여넣기'!$A$1:$AZ$1001,ROW(),설정!$C$8)&amp;"","")</f>
        <v/>
      </c>
      <c r="G981">
        <f>IFERROR(INDEX('1.산군_붙여넣기'!$A$1:$AZ$1001,ROW(),설정!$C$9)&amp;"","")</f>
        <v/>
      </c>
      <c r="H981">
        <f>IFERROR(INDEX('1.산군_붙여넣기'!$A$1:$AZ$1001,ROW(),설정!$C$10)&amp;"","")</f>
        <v/>
      </c>
      <c r="I981">
        <f>IFERROR(INDEX('1.산군_붙여넣기'!$A$1:$AZ$1001,ROW(),설정!$C$11)&amp;"","")</f>
        <v/>
      </c>
      <c r="J981">
        <f>IFERROR(INDEX('1.산군_붙여넣기'!$A$1:$AZ$1001,ROW(),설정!$C$12)&amp;"","")</f>
        <v/>
      </c>
      <c r="K981">
        <f>IFERROR(INDEX('1.산군_붙여넣기'!$A$1:$AZ$1001,ROW(),설정!$C$13)&amp;"","")</f>
        <v/>
      </c>
      <c r="L981" s="6">
        <f>IF(X981="","",IF(AND(LEN(X981)=8,ISNUMBER(X981*1)),DATE(LEFT(X981,4),MID(X981,5,2),RIGHT(X981,2)),IFERROR(DATEVALUE(SUBSTITUTE(SUBSTITUTE(X981,".","-"),"/","-")),IFERROR(X981*1,""))))</f>
        <v/>
      </c>
      <c r="M981" s="6">
        <f>IF(Y981="","",IF(AND(LEN(Y981)=8,ISNUMBER(Y981*1)),DATE(LEFT(Y981,4),MID(Y981,5,2),RIGHT(Y981,2)),IFERROR(DATEVALUE(SUBSTITUTE(SUBSTITUTE(Y981,".","-"),"/","-")),IFERROR(Y981*1,""))))</f>
        <v/>
      </c>
      <c r="N981">
        <f>IFERROR(LEFT(B981,FIND(" ",B981)-1),B981)</f>
        <v/>
      </c>
      <c r="O981">
        <f>AND(B981&lt;&gt;"",B981&lt;&gt;설정!$B$4,C981&lt;&gt;설정!$B$5)</f>
        <v/>
      </c>
      <c r="P981">
        <f>IF(O981,B981&amp;"|"&amp;C981,"")</f>
        <v/>
      </c>
      <c r="Q981">
        <f>AND(O981,COUNTIF(P982:P$1002,P981)=0)</f>
        <v/>
      </c>
      <c r="R981">
        <f>OR(AND(설정!$A$28&lt;&gt;"",ISNUMBER(SEARCH(설정!$A$28,E981&amp;" "&amp;C981))),AND(설정!$A$29&lt;&gt;"",ISNUMBER(SEARCH(설정!$A$29,E981&amp;" "&amp;C981))),AND(설정!$A$30&lt;&gt;"",ISNUMBER(SEARCH(설정!$A$30,E981&amp;" "&amp;C981))),AND(설정!$A$31&lt;&gt;"",ISNUMBER(SEARCH(설정!$A$31,E981&amp;" "&amp;C981))),AND(설정!$A$32&lt;&gt;"",ISNUMBER(SEARCH(설정!$A$32,E981&amp;" "&amp;C981))),AND(설정!$A$33&lt;&gt;"",ISNUMBER(SEARCH(설정!$A$33,E981&amp;" "&amp;C981))),AND(설정!$A$34&lt;&gt;"",ISNUMBER(SEARCH(설정!$A$34,E981&amp;" "&amp;C981))),AND(설정!$A$35&lt;&gt;"",ISNUMBER(SEARCH(설정!$A$35,E981&amp;" "&amp;C981))),AND(설정!$A$36&lt;&gt;"",ISNUMBER(SEARCH(설정!$A$36,E981&amp;" "&amp;C981))),AND(설정!$A$37&lt;&gt;"",ISNUMBER(SEARCH(설정!$A$37,E981&amp;" "&amp;C981))))</f>
        <v/>
      </c>
      <c r="S981">
        <f>OR(D981="",D981&gt;=설정!$B$19)</f>
        <v/>
      </c>
      <c r="T981">
        <f>AND(Q981,R981,S981)</f>
        <v/>
      </c>
      <c r="U981">
        <f>IF(T981,IF(AND(설정!$A$41&lt;&gt;"",ISNUMBER(SEARCH(설정!$A$41,K981))),설정!$B$41,IF(AND(설정!$A$42&lt;&gt;"",ISNUMBER(SEARCH(설정!$A$42,K981))),설정!$B$42,IF(AND(설정!$A$43&lt;&gt;"",ISNUMBER(SEARCH(설정!$A$43,K981))),설정!$B$43,IF(AND(설정!$A$44&lt;&gt;"",ISNUMBER(SEARCH(설정!$A$44,K981))),설정!$B$44,IF(AND(설정!$A$45&lt;&gt;"",ISNUMBER(SEARCH(설정!$A$45,K981))),설정!$B$45,IF(AND(설정!$A$46&lt;&gt;"",ISNUMBER(SEARCH(설정!$A$46,K981))),설정!$B$46,IF(AND(설정!$A$47&lt;&gt;"",ISNUMBER(SEARCH(설정!$A$47,K981))),설정!$B$47,IF(AND(설정!$A$48&lt;&gt;"",ISNUMBER(SEARCH(설정!$A$48,K981))),설정!$B$48,IF(M981="","설계사","시공사"))))))))),"")</f>
        <v/>
      </c>
      <c r="V981">
        <f>SUBSTITUTE(SUBSTITUTE(SUBSTITUTE(SUBSTITUTE(G981,"(주)",""),"㈜",""),"주식회사","")," ","")</f>
        <v/>
      </c>
      <c r="W981">
        <f>IF(AND(T981,V981&lt;&gt;""),IF(COUNTIFS(V$2:V981,V981,T$2:T981,TRUE)=1,MAX(W$1:W980)+1,""),"")</f>
        <v/>
      </c>
      <c r="X981">
        <f>IFERROR(INDEX('1.산군_붙여넣기'!$A$1:$AZ$1001,ROW(),설정!$C$14)&amp;"","")</f>
        <v/>
      </c>
      <c r="Y981">
        <f>IFERROR(INDEX('1.산군_붙여넣기'!$A$1:$AZ$1001,ROW(),설정!$C$15)&amp;"","")</f>
        <v/>
      </c>
      <c r="Z981">
        <f>IF(T981,V981&amp;"|"&amp;U981,"")</f>
        <v/>
      </c>
    </row>
    <row r="982">
      <c r="A982">
        <f>ROW()</f>
        <v/>
      </c>
      <c r="B982">
        <f>IFERROR(INDEX('1.산군_붙여넣기'!$A$1:$AZ$1001,ROW(),설정!$C$4)&amp;"","")</f>
        <v/>
      </c>
      <c r="C982">
        <f>IFERROR(INDEX('1.산군_붙여넣기'!$A$1:$AZ$1001,ROW(),설정!$C$5)&amp;"","")</f>
        <v/>
      </c>
      <c r="D982" s="5">
        <f>IFERROR(VALUE(SUBSTITUTE(SUBSTITUTE(SUBSTITUTE(IFERROR(INDEX('1.산군_붙여넣기'!$A$1:$AZ$1001,ROW(),설정!$C$6)&amp;"",""),",",""),"㎡",""),"m2","")),"")</f>
        <v/>
      </c>
      <c r="E982">
        <f>IFERROR(INDEX('1.산군_붙여넣기'!$A$1:$AZ$1001,ROW(),설정!$C$7)&amp;"","")</f>
        <v/>
      </c>
      <c r="F982">
        <f>IFERROR(INDEX('1.산군_붙여넣기'!$A$1:$AZ$1001,ROW(),설정!$C$8)&amp;"","")</f>
        <v/>
      </c>
      <c r="G982">
        <f>IFERROR(INDEX('1.산군_붙여넣기'!$A$1:$AZ$1001,ROW(),설정!$C$9)&amp;"","")</f>
        <v/>
      </c>
      <c r="H982">
        <f>IFERROR(INDEX('1.산군_붙여넣기'!$A$1:$AZ$1001,ROW(),설정!$C$10)&amp;"","")</f>
        <v/>
      </c>
      <c r="I982">
        <f>IFERROR(INDEX('1.산군_붙여넣기'!$A$1:$AZ$1001,ROW(),설정!$C$11)&amp;"","")</f>
        <v/>
      </c>
      <c r="J982">
        <f>IFERROR(INDEX('1.산군_붙여넣기'!$A$1:$AZ$1001,ROW(),설정!$C$12)&amp;"","")</f>
        <v/>
      </c>
      <c r="K982">
        <f>IFERROR(INDEX('1.산군_붙여넣기'!$A$1:$AZ$1001,ROW(),설정!$C$13)&amp;"","")</f>
        <v/>
      </c>
      <c r="L982" s="6">
        <f>IF(X982="","",IF(AND(LEN(X982)=8,ISNUMBER(X982*1)),DATE(LEFT(X982,4),MID(X982,5,2),RIGHT(X982,2)),IFERROR(DATEVALUE(SUBSTITUTE(SUBSTITUTE(X982,".","-"),"/","-")),IFERROR(X982*1,""))))</f>
        <v/>
      </c>
      <c r="M982" s="6">
        <f>IF(Y982="","",IF(AND(LEN(Y982)=8,ISNUMBER(Y982*1)),DATE(LEFT(Y982,4),MID(Y982,5,2),RIGHT(Y982,2)),IFERROR(DATEVALUE(SUBSTITUTE(SUBSTITUTE(Y982,".","-"),"/","-")),IFERROR(Y982*1,""))))</f>
        <v/>
      </c>
      <c r="N982">
        <f>IFERROR(LEFT(B982,FIND(" ",B982)-1),B982)</f>
        <v/>
      </c>
      <c r="O982">
        <f>AND(B982&lt;&gt;"",B982&lt;&gt;설정!$B$4,C982&lt;&gt;설정!$B$5)</f>
        <v/>
      </c>
      <c r="P982">
        <f>IF(O982,B982&amp;"|"&amp;C982,"")</f>
        <v/>
      </c>
      <c r="Q982">
        <f>AND(O982,COUNTIF(P983:P$1002,P982)=0)</f>
        <v/>
      </c>
      <c r="R982">
        <f>OR(AND(설정!$A$28&lt;&gt;"",ISNUMBER(SEARCH(설정!$A$28,E982&amp;" "&amp;C982))),AND(설정!$A$29&lt;&gt;"",ISNUMBER(SEARCH(설정!$A$29,E982&amp;" "&amp;C982))),AND(설정!$A$30&lt;&gt;"",ISNUMBER(SEARCH(설정!$A$30,E982&amp;" "&amp;C982))),AND(설정!$A$31&lt;&gt;"",ISNUMBER(SEARCH(설정!$A$31,E982&amp;" "&amp;C982))),AND(설정!$A$32&lt;&gt;"",ISNUMBER(SEARCH(설정!$A$32,E982&amp;" "&amp;C982))),AND(설정!$A$33&lt;&gt;"",ISNUMBER(SEARCH(설정!$A$33,E982&amp;" "&amp;C982))),AND(설정!$A$34&lt;&gt;"",ISNUMBER(SEARCH(설정!$A$34,E982&amp;" "&amp;C982))),AND(설정!$A$35&lt;&gt;"",ISNUMBER(SEARCH(설정!$A$35,E982&amp;" "&amp;C982))),AND(설정!$A$36&lt;&gt;"",ISNUMBER(SEARCH(설정!$A$36,E982&amp;" "&amp;C982))),AND(설정!$A$37&lt;&gt;"",ISNUMBER(SEARCH(설정!$A$37,E982&amp;" "&amp;C982))))</f>
        <v/>
      </c>
      <c r="S982">
        <f>OR(D982="",D982&gt;=설정!$B$19)</f>
        <v/>
      </c>
      <c r="T982">
        <f>AND(Q982,R982,S982)</f>
        <v/>
      </c>
      <c r="U982">
        <f>IF(T982,IF(AND(설정!$A$41&lt;&gt;"",ISNUMBER(SEARCH(설정!$A$41,K982))),설정!$B$41,IF(AND(설정!$A$42&lt;&gt;"",ISNUMBER(SEARCH(설정!$A$42,K982))),설정!$B$42,IF(AND(설정!$A$43&lt;&gt;"",ISNUMBER(SEARCH(설정!$A$43,K982))),설정!$B$43,IF(AND(설정!$A$44&lt;&gt;"",ISNUMBER(SEARCH(설정!$A$44,K982))),설정!$B$44,IF(AND(설정!$A$45&lt;&gt;"",ISNUMBER(SEARCH(설정!$A$45,K982))),설정!$B$45,IF(AND(설정!$A$46&lt;&gt;"",ISNUMBER(SEARCH(설정!$A$46,K982))),설정!$B$46,IF(AND(설정!$A$47&lt;&gt;"",ISNUMBER(SEARCH(설정!$A$47,K982))),설정!$B$47,IF(AND(설정!$A$48&lt;&gt;"",ISNUMBER(SEARCH(설정!$A$48,K982))),설정!$B$48,IF(M982="","설계사","시공사"))))))))),"")</f>
        <v/>
      </c>
      <c r="V982">
        <f>SUBSTITUTE(SUBSTITUTE(SUBSTITUTE(SUBSTITUTE(G982,"(주)",""),"㈜",""),"주식회사","")," ","")</f>
        <v/>
      </c>
      <c r="W982">
        <f>IF(AND(T982,V982&lt;&gt;""),IF(COUNTIFS(V$2:V982,V982,T$2:T982,TRUE)=1,MAX(W$1:W981)+1,""),"")</f>
        <v/>
      </c>
      <c r="X982">
        <f>IFERROR(INDEX('1.산군_붙여넣기'!$A$1:$AZ$1001,ROW(),설정!$C$14)&amp;"","")</f>
        <v/>
      </c>
      <c r="Y982">
        <f>IFERROR(INDEX('1.산군_붙여넣기'!$A$1:$AZ$1001,ROW(),설정!$C$15)&amp;"","")</f>
        <v/>
      </c>
      <c r="Z982">
        <f>IF(T982,V982&amp;"|"&amp;U982,"")</f>
        <v/>
      </c>
    </row>
    <row r="983">
      <c r="A983">
        <f>ROW()</f>
        <v/>
      </c>
      <c r="B983">
        <f>IFERROR(INDEX('1.산군_붙여넣기'!$A$1:$AZ$1001,ROW(),설정!$C$4)&amp;"","")</f>
        <v/>
      </c>
      <c r="C983">
        <f>IFERROR(INDEX('1.산군_붙여넣기'!$A$1:$AZ$1001,ROW(),설정!$C$5)&amp;"","")</f>
        <v/>
      </c>
      <c r="D983" s="5">
        <f>IFERROR(VALUE(SUBSTITUTE(SUBSTITUTE(SUBSTITUTE(IFERROR(INDEX('1.산군_붙여넣기'!$A$1:$AZ$1001,ROW(),설정!$C$6)&amp;"",""),",",""),"㎡",""),"m2","")),"")</f>
        <v/>
      </c>
      <c r="E983">
        <f>IFERROR(INDEX('1.산군_붙여넣기'!$A$1:$AZ$1001,ROW(),설정!$C$7)&amp;"","")</f>
        <v/>
      </c>
      <c r="F983">
        <f>IFERROR(INDEX('1.산군_붙여넣기'!$A$1:$AZ$1001,ROW(),설정!$C$8)&amp;"","")</f>
        <v/>
      </c>
      <c r="G983">
        <f>IFERROR(INDEX('1.산군_붙여넣기'!$A$1:$AZ$1001,ROW(),설정!$C$9)&amp;"","")</f>
        <v/>
      </c>
      <c r="H983">
        <f>IFERROR(INDEX('1.산군_붙여넣기'!$A$1:$AZ$1001,ROW(),설정!$C$10)&amp;"","")</f>
        <v/>
      </c>
      <c r="I983">
        <f>IFERROR(INDEX('1.산군_붙여넣기'!$A$1:$AZ$1001,ROW(),설정!$C$11)&amp;"","")</f>
        <v/>
      </c>
      <c r="J983">
        <f>IFERROR(INDEX('1.산군_붙여넣기'!$A$1:$AZ$1001,ROW(),설정!$C$12)&amp;"","")</f>
        <v/>
      </c>
      <c r="K983">
        <f>IFERROR(INDEX('1.산군_붙여넣기'!$A$1:$AZ$1001,ROW(),설정!$C$13)&amp;"","")</f>
        <v/>
      </c>
      <c r="L983" s="6">
        <f>IF(X983="","",IF(AND(LEN(X983)=8,ISNUMBER(X983*1)),DATE(LEFT(X983,4),MID(X983,5,2),RIGHT(X983,2)),IFERROR(DATEVALUE(SUBSTITUTE(SUBSTITUTE(X983,".","-"),"/","-")),IFERROR(X983*1,""))))</f>
        <v/>
      </c>
      <c r="M983" s="6">
        <f>IF(Y983="","",IF(AND(LEN(Y983)=8,ISNUMBER(Y983*1)),DATE(LEFT(Y983,4),MID(Y983,5,2),RIGHT(Y983,2)),IFERROR(DATEVALUE(SUBSTITUTE(SUBSTITUTE(Y983,".","-"),"/","-")),IFERROR(Y983*1,""))))</f>
        <v/>
      </c>
      <c r="N983">
        <f>IFERROR(LEFT(B983,FIND(" ",B983)-1),B983)</f>
        <v/>
      </c>
      <c r="O983">
        <f>AND(B983&lt;&gt;"",B983&lt;&gt;설정!$B$4,C983&lt;&gt;설정!$B$5)</f>
        <v/>
      </c>
      <c r="P983">
        <f>IF(O983,B983&amp;"|"&amp;C983,"")</f>
        <v/>
      </c>
      <c r="Q983">
        <f>AND(O983,COUNTIF(P984:P$1002,P983)=0)</f>
        <v/>
      </c>
      <c r="R983">
        <f>OR(AND(설정!$A$28&lt;&gt;"",ISNUMBER(SEARCH(설정!$A$28,E983&amp;" "&amp;C983))),AND(설정!$A$29&lt;&gt;"",ISNUMBER(SEARCH(설정!$A$29,E983&amp;" "&amp;C983))),AND(설정!$A$30&lt;&gt;"",ISNUMBER(SEARCH(설정!$A$30,E983&amp;" "&amp;C983))),AND(설정!$A$31&lt;&gt;"",ISNUMBER(SEARCH(설정!$A$31,E983&amp;" "&amp;C983))),AND(설정!$A$32&lt;&gt;"",ISNUMBER(SEARCH(설정!$A$32,E983&amp;" "&amp;C983))),AND(설정!$A$33&lt;&gt;"",ISNUMBER(SEARCH(설정!$A$33,E983&amp;" "&amp;C983))),AND(설정!$A$34&lt;&gt;"",ISNUMBER(SEARCH(설정!$A$34,E983&amp;" "&amp;C983))),AND(설정!$A$35&lt;&gt;"",ISNUMBER(SEARCH(설정!$A$35,E983&amp;" "&amp;C983))),AND(설정!$A$36&lt;&gt;"",ISNUMBER(SEARCH(설정!$A$36,E983&amp;" "&amp;C983))),AND(설정!$A$37&lt;&gt;"",ISNUMBER(SEARCH(설정!$A$37,E983&amp;" "&amp;C983))))</f>
        <v/>
      </c>
      <c r="S983">
        <f>OR(D983="",D983&gt;=설정!$B$19)</f>
        <v/>
      </c>
      <c r="T983">
        <f>AND(Q983,R983,S983)</f>
        <v/>
      </c>
      <c r="U983">
        <f>IF(T983,IF(AND(설정!$A$41&lt;&gt;"",ISNUMBER(SEARCH(설정!$A$41,K983))),설정!$B$41,IF(AND(설정!$A$42&lt;&gt;"",ISNUMBER(SEARCH(설정!$A$42,K983))),설정!$B$42,IF(AND(설정!$A$43&lt;&gt;"",ISNUMBER(SEARCH(설정!$A$43,K983))),설정!$B$43,IF(AND(설정!$A$44&lt;&gt;"",ISNUMBER(SEARCH(설정!$A$44,K983))),설정!$B$44,IF(AND(설정!$A$45&lt;&gt;"",ISNUMBER(SEARCH(설정!$A$45,K983))),설정!$B$45,IF(AND(설정!$A$46&lt;&gt;"",ISNUMBER(SEARCH(설정!$A$46,K983))),설정!$B$46,IF(AND(설정!$A$47&lt;&gt;"",ISNUMBER(SEARCH(설정!$A$47,K983))),설정!$B$47,IF(AND(설정!$A$48&lt;&gt;"",ISNUMBER(SEARCH(설정!$A$48,K983))),설정!$B$48,IF(M983="","설계사","시공사"))))))))),"")</f>
        <v/>
      </c>
      <c r="V983">
        <f>SUBSTITUTE(SUBSTITUTE(SUBSTITUTE(SUBSTITUTE(G983,"(주)",""),"㈜",""),"주식회사","")," ","")</f>
        <v/>
      </c>
      <c r="W983">
        <f>IF(AND(T983,V983&lt;&gt;""),IF(COUNTIFS(V$2:V983,V983,T$2:T983,TRUE)=1,MAX(W$1:W982)+1,""),"")</f>
        <v/>
      </c>
      <c r="X983">
        <f>IFERROR(INDEX('1.산군_붙여넣기'!$A$1:$AZ$1001,ROW(),설정!$C$14)&amp;"","")</f>
        <v/>
      </c>
      <c r="Y983">
        <f>IFERROR(INDEX('1.산군_붙여넣기'!$A$1:$AZ$1001,ROW(),설정!$C$15)&amp;"","")</f>
        <v/>
      </c>
      <c r="Z983">
        <f>IF(T983,V983&amp;"|"&amp;U983,"")</f>
        <v/>
      </c>
    </row>
    <row r="984">
      <c r="A984">
        <f>ROW()</f>
        <v/>
      </c>
      <c r="B984">
        <f>IFERROR(INDEX('1.산군_붙여넣기'!$A$1:$AZ$1001,ROW(),설정!$C$4)&amp;"","")</f>
        <v/>
      </c>
      <c r="C984">
        <f>IFERROR(INDEX('1.산군_붙여넣기'!$A$1:$AZ$1001,ROW(),설정!$C$5)&amp;"","")</f>
        <v/>
      </c>
      <c r="D984" s="5">
        <f>IFERROR(VALUE(SUBSTITUTE(SUBSTITUTE(SUBSTITUTE(IFERROR(INDEX('1.산군_붙여넣기'!$A$1:$AZ$1001,ROW(),설정!$C$6)&amp;"",""),",",""),"㎡",""),"m2","")),"")</f>
        <v/>
      </c>
      <c r="E984">
        <f>IFERROR(INDEX('1.산군_붙여넣기'!$A$1:$AZ$1001,ROW(),설정!$C$7)&amp;"","")</f>
        <v/>
      </c>
      <c r="F984">
        <f>IFERROR(INDEX('1.산군_붙여넣기'!$A$1:$AZ$1001,ROW(),설정!$C$8)&amp;"","")</f>
        <v/>
      </c>
      <c r="G984">
        <f>IFERROR(INDEX('1.산군_붙여넣기'!$A$1:$AZ$1001,ROW(),설정!$C$9)&amp;"","")</f>
        <v/>
      </c>
      <c r="H984">
        <f>IFERROR(INDEX('1.산군_붙여넣기'!$A$1:$AZ$1001,ROW(),설정!$C$10)&amp;"","")</f>
        <v/>
      </c>
      <c r="I984">
        <f>IFERROR(INDEX('1.산군_붙여넣기'!$A$1:$AZ$1001,ROW(),설정!$C$11)&amp;"","")</f>
        <v/>
      </c>
      <c r="J984">
        <f>IFERROR(INDEX('1.산군_붙여넣기'!$A$1:$AZ$1001,ROW(),설정!$C$12)&amp;"","")</f>
        <v/>
      </c>
      <c r="K984">
        <f>IFERROR(INDEX('1.산군_붙여넣기'!$A$1:$AZ$1001,ROW(),설정!$C$13)&amp;"","")</f>
        <v/>
      </c>
      <c r="L984" s="6">
        <f>IF(X984="","",IF(AND(LEN(X984)=8,ISNUMBER(X984*1)),DATE(LEFT(X984,4),MID(X984,5,2),RIGHT(X984,2)),IFERROR(DATEVALUE(SUBSTITUTE(SUBSTITUTE(X984,".","-"),"/","-")),IFERROR(X984*1,""))))</f>
        <v/>
      </c>
      <c r="M984" s="6">
        <f>IF(Y984="","",IF(AND(LEN(Y984)=8,ISNUMBER(Y984*1)),DATE(LEFT(Y984,4),MID(Y984,5,2),RIGHT(Y984,2)),IFERROR(DATEVALUE(SUBSTITUTE(SUBSTITUTE(Y984,".","-"),"/","-")),IFERROR(Y984*1,""))))</f>
        <v/>
      </c>
      <c r="N984">
        <f>IFERROR(LEFT(B984,FIND(" ",B984)-1),B984)</f>
        <v/>
      </c>
      <c r="O984">
        <f>AND(B984&lt;&gt;"",B984&lt;&gt;설정!$B$4,C984&lt;&gt;설정!$B$5)</f>
        <v/>
      </c>
      <c r="P984">
        <f>IF(O984,B984&amp;"|"&amp;C984,"")</f>
        <v/>
      </c>
      <c r="Q984">
        <f>AND(O984,COUNTIF(P985:P$1002,P984)=0)</f>
        <v/>
      </c>
      <c r="R984">
        <f>OR(AND(설정!$A$28&lt;&gt;"",ISNUMBER(SEARCH(설정!$A$28,E984&amp;" "&amp;C984))),AND(설정!$A$29&lt;&gt;"",ISNUMBER(SEARCH(설정!$A$29,E984&amp;" "&amp;C984))),AND(설정!$A$30&lt;&gt;"",ISNUMBER(SEARCH(설정!$A$30,E984&amp;" "&amp;C984))),AND(설정!$A$31&lt;&gt;"",ISNUMBER(SEARCH(설정!$A$31,E984&amp;" "&amp;C984))),AND(설정!$A$32&lt;&gt;"",ISNUMBER(SEARCH(설정!$A$32,E984&amp;" "&amp;C984))),AND(설정!$A$33&lt;&gt;"",ISNUMBER(SEARCH(설정!$A$33,E984&amp;" "&amp;C984))),AND(설정!$A$34&lt;&gt;"",ISNUMBER(SEARCH(설정!$A$34,E984&amp;" "&amp;C984))),AND(설정!$A$35&lt;&gt;"",ISNUMBER(SEARCH(설정!$A$35,E984&amp;" "&amp;C984))),AND(설정!$A$36&lt;&gt;"",ISNUMBER(SEARCH(설정!$A$36,E984&amp;" "&amp;C984))),AND(설정!$A$37&lt;&gt;"",ISNUMBER(SEARCH(설정!$A$37,E984&amp;" "&amp;C984))))</f>
        <v/>
      </c>
      <c r="S984">
        <f>OR(D984="",D984&gt;=설정!$B$19)</f>
        <v/>
      </c>
      <c r="T984">
        <f>AND(Q984,R984,S984)</f>
        <v/>
      </c>
      <c r="U984">
        <f>IF(T984,IF(AND(설정!$A$41&lt;&gt;"",ISNUMBER(SEARCH(설정!$A$41,K984))),설정!$B$41,IF(AND(설정!$A$42&lt;&gt;"",ISNUMBER(SEARCH(설정!$A$42,K984))),설정!$B$42,IF(AND(설정!$A$43&lt;&gt;"",ISNUMBER(SEARCH(설정!$A$43,K984))),설정!$B$43,IF(AND(설정!$A$44&lt;&gt;"",ISNUMBER(SEARCH(설정!$A$44,K984))),설정!$B$44,IF(AND(설정!$A$45&lt;&gt;"",ISNUMBER(SEARCH(설정!$A$45,K984))),설정!$B$45,IF(AND(설정!$A$46&lt;&gt;"",ISNUMBER(SEARCH(설정!$A$46,K984))),설정!$B$46,IF(AND(설정!$A$47&lt;&gt;"",ISNUMBER(SEARCH(설정!$A$47,K984))),설정!$B$47,IF(AND(설정!$A$48&lt;&gt;"",ISNUMBER(SEARCH(설정!$A$48,K984))),설정!$B$48,IF(M984="","설계사","시공사"))))))))),"")</f>
        <v/>
      </c>
      <c r="V984">
        <f>SUBSTITUTE(SUBSTITUTE(SUBSTITUTE(SUBSTITUTE(G984,"(주)",""),"㈜",""),"주식회사","")," ","")</f>
        <v/>
      </c>
      <c r="W984">
        <f>IF(AND(T984,V984&lt;&gt;""),IF(COUNTIFS(V$2:V984,V984,T$2:T984,TRUE)=1,MAX(W$1:W983)+1,""),"")</f>
        <v/>
      </c>
      <c r="X984">
        <f>IFERROR(INDEX('1.산군_붙여넣기'!$A$1:$AZ$1001,ROW(),설정!$C$14)&amp;"","")</f>
        <v/>
      </c>
      <c r="Y984">
        <f>IFERROR(INDEX('1.산군_붙여넣기'!$A$1:$AZ$1001,ROW(),설정!$C$15)&amp;"","")</f>
        <v/>
      </c>
      <c r="Z984">
        <f>IF(T984,V984&amp;"|"&amp;U984,"")</f>
        <v/>
      </c>
    </row>
    <row r="985">
      <c r="A985">
        <f>ROW()</f>
        <v/>
      </c>
      <c r="B985">
        <f>IFERROR(INDEX('1.산군_붙여넣기'!$A$1:$AZ$1001,ROW(),설정!$C$4)&amp;"","")</f>
        <v/>
      </c>
      <c r="C985">
        <f>IFERROR(INDEX('1.산군_붙여넣기'!$A$1:$AZ$1001,ROW(),설정!$C$5)&amp;"","")</f>
        <v/>
      </c>
      <c r="D985" s="5">
        <f>IFERROR(VALUE(SUBSTITUTE(SUBSTITUTE(SUBSTITUTE(IFERROR(INDEX('1.산군_붙여넣기'!$A$1:$AZ$1001,ROW(),설정!$C$6)&amp;"",""),",",""),"㎡",""),"m2","")),"")</f>
        <v/>
      </c>
      <c r="E985">
        <f>IFERROR(INDEX('1.산군_붙여넣기'!$A$1:$AZ$1001,ROW(),설정!$C$7)&amp;"","")</f>
        <v/>
      </c>
      <c r="F985">
        <f>IFERROR(INDEX('1.산군_붙여넣기'!$A$1:$AZ$1001,ROW(),설정!$C$8)&amp;"","")</f>
        <v/>
      </c>
      <c r="G985">
        <f>IFERROR(INDEX('1.산군_붙여넣기'!$A$1:$AZ$1001,ROW(),설정!$C$9)&amp;"","")</f>
        <v/>
      </c>
      <c r="H985">
        <f>IFERROR(INDEX('1.산군_붙여넣기'!$A$1:$AZ$1001,ROW(),설정!$C$10)&amp;"","")</f>
        <v/>
      </c>
      <c r="I985">
        <f>IFERROR(INDEX('1.산군_붙여넣기'!$A$1:$AZ$1001,ROW(),설정!$C$11)&amp;"","")</f>
        <v/>
      </c>
      <c r="J985">
        <f>IFERROR(INDEX('1.산군_붙여넣기'!$A$1:$AZ$1001,ROW(),설정!$C$12)&amp;"","")</f>
        <v/>
      </c>
      <c r="K985">
        <f>IFERROR(INDEX('1.산군_붙여넣기'!$A$1:$AZ$1001,ROW(),설정!$C$13)&amp;"","")</f>
        <v/>
      </c>
      <c r="L985" s="6">
        <f>IF(X985="","",IF(AND(LEN(X985)=8,ISNUMBER(X985*1)),DATE(LEFT(X985,4),MID(X985,5,2),RIGHT(X985,2)),IFERROR(DATEVALUE(SUBSTITUTE(SUBSTITUTE(X985,".","-"),"/","-")),IFERROR(X985*1,""))))</f>
        <v/>
      </c>
      <c r="M985" s="6">
        <f>IF(Y985="","",IF(AND(LEN(Y985)=8,ISNUMBER(Y985*1)),DATE(LEFT(Y985,4),MID(Y985,5,2),RIGHT(Y985,2)),IFERROR(DATEVALUE(SUBSTITUTE(SUBSTITUTE(Y985,".","-"),"/","-")),IFERROR(Y985*1,""))))</f>
        <v/>
      </c>
      <c r="N985">
        <f>IFERROR(LEFT(B985,FIND(" ",B985)-1),B985)</f>
        <v/>
      </c>
      <c r="O985">
        <f>AND(B985&lt;&gt;"",B985&lt;&gt;설정!$B$4,C985&lt;&gt;설정!$B$5)</f>
        <v/>
      </c>
      <c r="P985">
        <f>IF(O985,B985&amp;"|"&amp;C985,"")</f>
        <v/>
      </c>
      <c r="Q985">
        <f>AND(O985,COUNTIF(P986:P$1002,P985)=0)</f>
        <v/>
      </c>
      <c r="R985">
        <f>OR(AND(설정!$A$28&lt;&gt;"",ISNUMBER(SEARCH(설정!$A$28,E985&amp;" "&amp;C985))),AND(설정!$A$29&lt;&gt;"",ISNUMBER(SEARCH(설정!$A$29,E985&amp;" "&amp;C985))),AND(설정!$A$30&lt;&gt;"",ISNUMBER(SEARCH(설정!$A$30,E985&amp;" "&amp;C985))),AND(설정!$A$31&lt;&gt;"",ISNUMBER(SEARCH(설정!$A$31,E985&amp;" "&amp;C985))),AND(설정!$A$32&lt;&gt;"",ISNUMBER(SEARCH(설정!$A$32,E985&amp;" "&amp;C985))),AND(설정!$A$33&lt;&gt;"",ISNUMBER(SEARCH(설정!$A$33,E985&amp;" "&amp;C985))),AND(설정!$A$34&lt;&gt;"",ISNUMBER(SEARCH(설정!$A$34,E985&amp;" "&amp;C985))),AND(설정!$A$35&lt;&gt;"",ISNUMBER(SEARCH(설정!$A$35,E985&amp;" "&amp;C985))),AND(설정!$A$36&lt;&gt;"",ISNUMBER(SEARCH(설정!$A$36,E985&amp;" "&amp;C985))),AND(설정!$A$37&lt;&gt;"",ISNUMBER(SEARCH(설정!$A$37,E985&amp;" "&amp;C985))))</f>
        <v/>
      </c>
      <c r="S985">
        <f>OR(D985="",D985&gt;=설정!$B$19)</f>
        <v/>
      </c>
      <c r="T985">
        <f>AND(Q985,R985,S985)</f>
        <v/>
      </c>
      <c r="U985">
        <f>IF(T985,IF(AND(설정!$A$41&lt;&gt;"",ISNUMBER(SEARCH(설정!$A$41,K985))),설정!$B$41,IF(AND(설정!$A$42&lt;&gt;"",ISNUMBER(SEARCH(설정!$A$42,K985))),설정!$B$42,IF(AND(설정!$A$43&lt;&gt;"",ISNUMBER(SEARCH(설정!$A$43,K985))),설정!$B$43,IF(AND(설정!$A$44&lt;&gt;"",ISNUMBER(SEARCH(설정!$A$44,K985))),설정!$B$44,IF(AND(설정!$A$45&lt;&gt;"",ISNUMBER(SEARCH(설정!$A$45,K985))),설정!$B$45,IF(AND(설정!$A$46&lt;&gt;"",ISNUMBER(SEARCH(설정!$A$46,K985))),설정!$B$46,IF(AND(설정!$A$47&lt;&gt;"",ISNUMBER(SEARCH(설정!$A$47,K985))),설정!$B$47,IF(AND(설정!$A$48&lt;&gt;"",ISNUMBER(SEARCH(설정!$A$48,K985))),설정!$B$48,IF(M985="","설계사","시공사"))))))))),"")</f>
        <v/>
      </c>
      <c r="V985">
        <f>SUBSTITUTE(SUBSTITUTE(SUBSTITUTE(SUBSTITUTE(G985,"(주)",""),"㈜",""),"주식회사","")," ","")</f>
        <v/>
      </c>
      <c r="W985">
        <f>IF(AND(T985,V985&lt;&gt;""),IF(COUNTIFS(V$2:V985,V985,T$2:T985,TRUE)=1,MAX(W$1:W984)+1,""),"")</f>
        <v/>
      </c>
      <c r="X985">
        <f>IFERROR(INDEX('1.산군_붙여넣기'!$A$1:$AZ$1001,ROW(),설정!$C$14)&amp;"","")</f>
        <v/>
      </c>
      <c r="Y985">
        <f>IFERROR(INDEX('1.산군_붙여넣기'!$A$1:$AZ$1001,ROW(),설정!$C$15)&amp;"","")</f>
        <v/>
      </c>
      <c r="Z985">
        <f>IF(T985,V985&amp;"|"&amp;U985,"")</f>
        <v/>
      </c>
    </row>
    <row r="986">
      <c r="A986">
        <f>ROW()</f>
        <v/>
      </c>
      <c r="B986">
        <f>IFERROR(INDEX('1.산군_붙여넣기'!$A$1:$AZ$1001,ROW(),설정!$C$4)&amp;"","")</f>
        <v/>
      </c>
      <c r="C986">
        <f>IFERROR(INDEX('1.산군_붙여넣기'!$A$1:$AZ$1001,ROW(),설정!$C$5)&amp;"","")</f>
        <v/>
      </c>
      <c r="D986" s="5">
        <f>IFERROR(VALUE(SUBSTITUTE(SUBSTITUTE(SUBSTITUTE(IFERROR(INDEX('1.산군_붙여넣기'!$A$1:$AZ$1001,ROW(),설정!$C$6)&amp;"",""),",",""),"㎡",""),"m2","")),"")</f>
        <v/>
      </c>
      <c r="E986">
        <f>IFERROR(INDEX('1.산군_붙여넣기'!$A$1:$AZ$1001,ROW(),설정!$C$7)&amp;"","")</f>
        <v/>
      </c>
      <c r="F986">
        <f>IFERROR(INDEX('1.산군_붙여넣기'!$A$1:$AZ$1001,ROW(),설정!$C$8)&amp;"","")</f>
        <v/>
      </c>
      <c r="G986">
        <f>IFERROR(INDEX('1.산군_붙여넣기'!$A$1:$AZ$1001,ROW(),설정!$C$9)&amp;"","")</f>
        <v/>
      </c>
      <c r="H986">
        <f>IFERROR(INDEX('1.산군_붙여넣기'!$A$1:$AZ$1001,ROW(),설정!$C$10)&amp;"","")</f>
        <v/>
      </c>
      <c r="I986">
        <f>IFERROR(INDEX('1.산군_붙여넣기'!$A$1:$AZ$1001,ROW(),설정!$C$11)&amp;"","")</f>
        <v/>
      </c>
      <c r="J986">
        <f>IFERROR(INDEX('1.산군_붙여넣기'!$A$1:$AZ$1001,ROW(),설정!$C$12)&amp;"","")</f>
        <v/>
      </c>
      <c r="K986">
        <f>IFERROR(INDEX('1.산군_붙여넣기'!$A$1:$AZ$1001,ROW(),설정!$C$13)&amp;"","")</f>
        <v/>
      </c>
      <c r="L986" s="6">
        <f>IF(X986="","",IF(AND(LEN(X986)=8,ISNUMBER(X986*1)),DATE(LEFT(X986,4),MID(X986,5,2),RIGHT(X986,2)),IFERROR(DATEVALUE(SUBSTITUTE(SUBSTITUTE(X986,".","-"),"/","-")),IFERROR(X986*1,""))))</f>
        <v/>
      </c>
      <c r="M986" s="6">
        <f>IF(Y986="","",IF(AND(LEN(Y986)=8,ISNUMBER(Y986*1)),DATE(LEFT(Y986,4),MID(Y986,5,2),RIGHT(Y986,2)),IFERROR(DATEVALUE(SUBSTITUTE(SUBSTITUTE(Y986,".","-"),"/","-")),IFERROR(Y986*1,""))))</f>
        <v/>
      </c>
      <c r="N986">
        <f>IFERROR(LEFT(B986,FIND(" ",B986)-1),B986)</f>
        <v/>
      </c>
      <c r="O986">
        <f>AND(B986&lt;&gt;"",B986&lt;&gt;설정!$B$4,C986&lt;&gt;설정!$B$5)</f>
        <v/>
      </c>
      <c r="P986">
        <f>IF(O986,B986&amp;"|"&amp;C986,"")</f>
        <v/>
      </c>
      <c r="Q986">
        <f>AND(O986,COUNTIF(P987:P$1002,P986)=0)</f>
        <v/>
      </c>
      <c r="R986">
        <f>OR(AND(설정!$A$28&lt;&gt;"",ISNUMBER(SEARCH(설정!$A$28,E986&amp;" "&amp;C986))),AND(설정!$A$29&lt;&gt;"",ISNUMBER(SEARCH(설정!$A$29,E986&amp;" "&amp;C986))),AND(설정!$A$30&lt;&gt;"",ISNUMBER(SEARCH(설정!$A$30,E986&amp;" "&amp;C986))),AND(설정!$A$31&lt;&gt;"",ISNUMBER(SEARCH(설정!$A$31,E986&amp;" "&amp;C986))),AND(설정!$A$32&lt;&gt;"",ISNUMBER(SEARCH(설정!$A$32,E986&amp;" "&amp;C986))),AND(설정!$A$33&lt;&gt;"",ISNUMBER(SEARCH(설정!$A$33,E986&amp;" "&amp;C986))),AND(설정!$A$34&lt;&gt;"",ISNUMBER(SEARCH(설정!$A$34,E986&amp;" "&amp;C986))),AND(설정!$A$35&lt;&gt;"",ISNUMBER(SEARCH(설정!$A$35,E986&amp;" "&amp;C986))),AND(설정!$A$36&lt;&gt;"",ISNUMBER(SEARCH(설정!$A$36,E986&amp;" "&amp;C986))),AND(설정!$A$37&lt;&gt;"",ISNUMBER(SEARCH(설정!$A$37,E986&amp;" "&amp;C986))))</f>
        <v/>
      </c>
      <c r="S986">
        <f>OR(D986="",D986&gt;=설정!$B$19)</f>
        <v/>
      </c>
      <c r="T986">
        <f>AND(Q986,R986,S986)</f>
        <v/>
      </c>
      <c r="U986">
        <f>IF(T986,IF(AND(설정!$A$41&lt;&gt;"",ISNUMBER(SEARCH(설정!$A$41,K986))),설정!$B$41,IF(AND(설정!$A$42&lt;&gt;"",ISNUMBER(SEARCH(설정!$A$42,K986))),설정!$B$42,IF(AND(설정!$A$43&lt;&gt;"",ISNUMBER(SEARCH(설정!$A$43,K986))),설정!$B$43,IF(AND(설정!$A$44&lt;&gt;"",ISNUMBER(SEARCH(설정!$A$44,K986))),설정!$B$44,IF(AND(설정!$A$45&lt;&gt;"",ISNUMBER(SEARCH(설정!$A$45,K986))),설정!$B$45,IF(AND(설정!$A$46&lt;&gt;"",ISNUMBER(SEARCH(설정!$A$46,K986))),설정!$B$46,IF(AND(설정!$A$47&lt;&gt;"",ISNUMBER(SEARCH(설정!$A$47,K986))),설정!$B$47,IF(AND(설정!$A$48&lt;&gt;"",ISNUMBER(SEARCH(설정!$A$48,K986))),설정!$B$48,IF(M986="","설계사","시공사"))))))))),"")</f>
        <v/>
      </c>
      <c r="V986">
        <f>SUBSTITUTE(SUBSTITUTE(SUBSTITUTE(SUBSTITUTE(G986,"(주)",""),"㈜",""),"주식회사","")," ","")</f>
        <v/>
      </c>
      <c r="W986">
        <f>IF(AND(T986,V986&lt;&gt;""),IF(COUNTIFS(V$2:V986,V986,T$2:T986,TRUE)=1,MAX(W$1:W985)+1,""),"")</f>
        <v/>
      </c>
      <c r="X986">
        <f>IFERROR(INDEX('1.산군_붙여넣기'!$A$1:$AZ$1001,ROW(),설정!$C$14)&amp;"","")</f>
        <v/>
      </c>
      <c r="Y986">
        <f>IFERROR(INDEX('1.산군_붙여넣기'!$A$1:$AZ$1001,ROW(),설정!$C$15)&amp;"","")</f>
        <v/>
      </c>
      <c r="Z986">
        <f>IF(T986,V986&amp;"|"&amp;U986,"")</f>
        <v/>
      </c>
    </row>
    <row r="987">
      <c r="A987">
        <f>ROW()</f>
        <v/>
      </c>
      <c r="B987">
        <f>IFERROR(INDEX('1.산군_붙여넣기'!$A$1:$AZ$1001,ROW(),설정!$C$4)&amp;"","")</f>
        <v/>
      </c>
      <c r="C987">
        <f>IFERROR(INDEX('1.산군_붙여넣기'!$A$1:$AZ$1001,ROW(),설정!$C$5)&amp;"","")</f>
        <v/>
      </c>
      <c r="D987" s="5">
        <f>IFERROR(VALUE(SUBSTITUTE(SUBSTITUTE(SUBSTITUTE(IFERROR(INDEX('1.산군_붙여넣기'!$A$1:$AZ$1001,ROW(),설정!$C$6)&amp;"",""),",",""),"㎡",""),"m2","")),"")</f>
        <v/>
      </c>
      <c r="E987">
        <f>IFERROR(INDEX('1.산군_붙여넣기'!$A$1:$AZ$1001,ROW(),설정!$C$7)&amp;"","")</f>
        <v/>
      </c>
      <c r="F987">
        <f>IFERROR(INDEX('1.산군_붙여넣기'!$A$1:$AZ$1001,ROW(),설정!$C$8)&amp;"","")</f>
        <v/>
      </c>
      <c r="G987">
        <f>IFERROR(INDEX('1.산군_붙여넣기'!$A$1:$AZ$1001,ROW(),설정!$C$9)&amp;"","")</f>
        <v/>
      </c>
      <c r="H987">
        <f>IFERROR(INDEX('1.산군_붙여넣기'!$A$1:$AZ$1001,ROW(),설정!$C$10)&amp;"","")</f>
        <v/>
      </c>
      <c r="I987">
        <f>IFERROR(INDEX('1.산군_붙여넣기'!$A$1:$AZ$1001,ROW(),설정!$C$11)&amp;"","")</f>
        <v/>
      </c>
      <c r="J987">
        <f>IFERROR(INDEX('1.산군_붙여넣기'!$A$1:$AZ$1001,ROW(),설정!$C$12)&amp;"","")</f>
        <v/>
      </c>
      <c r="K987">
        <f>IFERROR(INDEX('1.산군_붙여넣기'!$A$1:$AZ$1001,ROW(),설정!$C$13)&amp;"","")</f>
        <v/>
      </c>
      <c r="L987" s="6">
        <f>IF(X987="","",IF(AND(LEN(X987)=8,ISNUMBER(X987*1)),DATE(LEFT(X987,4),MID(X987,5,2),RIGHT(X987,2)),IFERROR(DATEVALUE(SUBSTITUTE(SUBSTITUTE(X987,".","-"),"/","-")),IFERROR(X987*1,""))))</f>
        <v/>
      </c>
      <c r="M987" s="6">
        <f>IF(Y987="","",IF(AND(LEN(Y987)=8,ISNUMBER(Y987*1)),DATE(LEFT(Y987,4),MID(Y987,5,2),RIGHT(Y987,2)),IFERROR(DATEVALUE(SUBSTITUTE(SUBSTITUTE(Y987,".","-"),"/","-")),IFERROR(Y987*1,""))))</f>
        <v/>
      </c>
      <c r="N987">
        <f>IFERROR(LEFT(B987,FIND(" ",B987)-1),B987)</f>
        <v/>
      </c>
      <c r="O987">
        <f>AND(B987&lt;&gt;"",B987&lt;&gt;설정!$B$4,C987&lt;&gt;설정!$B$5)</f>
        <v/>
      </c>
      <c r="P987">
        <f>IF(O987,B987&amp;"|"&amp;C987,"")</f>
        <v/>
      </c>
      <c r="Q987">
        <f>AND(O987,COUNTIF(P988:P$1002,P987)=0)</f>
        <v/>
      </c>
      <c r="R987">
        <f>OR(AND(설정!$A$28&lt;&gt;"",ISNUMBER(SEARCH(설정!$A$28,E987&amp;" "&amp;C987))),AND(설정!$A$29&lt;&gt;"",ISNUMBER(SEARCH(설정!$A$29,E987&amp;" "&amp;C987))),AND(설정!$A$30&lt;&gt;"",ISNUMBER(SEARCH(설정!$A$30,E987&amp;" "&amp;C987))),AND(설정!$A$31&lt;&gt;"",ISNUMBER(SEARCH(설정!$A$31,E987&amp;" "&amp;C987))),AND(설정!$A$32&lt;&gt;"",ISNUMBER(SEARCH(설정!$A$32,E987&amp;" "&amp;C987))),AND(설정!$A$33&lt;&gt;"",ISNUMBER(SEARCH(설정!$A$33,E987&amp;" "&amp;C987))),AND(설정!$A$34&lt;&gt;"",ISNUMBER(SEARCH(설정!$A$34,E987&amp;" "&amp;C987))),AND(설정!$A$35&lt;&gt;"",ISNUMBER(SEARCH(설정!$A$35,E987&amp;" "&amp;C987))),AND(설정!$A$36&lt;&gt;"",ISNUMBER(SEARCH(설정!$A$36,E987&amp;" "&amp;C987))),AND(설정!$A$37&lt;&gt;"",ISNUMBER(SEARCH(설정!$A$37,E987&amp;" "&amp;C987))))</f>
        <v/>
      </c>
      <c r="S987">
        <f>OR(D987="",D987&gt;=설정!$B$19)</f>
        <v/>
      </c>
      <c r="T987">
        <f>AND(Q987,R987,S987)</f>
        <v/>
      </c>
      <c r="U987">
        <f>IF(T987,IF(AND(설정!$A$41&lt;&gt;"",ISNUMBER(SEARCH(설정!$A$41,K987))),설정!$B$41,IF(AND(설정!$A$42&lt;&gt;"",ISNUMBER(SEARCH(설정!$A$42,K987))),설정!$B$42,IF(AND(설정!$A$43&lt;&gt;"",ISNUMBER(SEARCH(설정!$A$43,K987))),설정!$B$43,IF(AND(설정!$A$44&lt;&gt;"",ISNUMBER(SEARCH(설정!$A$44,K987))),설정!$B$44,IF(AND(설정!$A$45&lt;&gt;"",ISNUMBER(SEARCH(설정!$A$45,K987))),설정!$B$45,IF(AND(설정!$A$46&lt;&gt;"",ISNUMBER(SEARCH(설정!$A$46,K987))),설정!$B$46,IF(AND(설정!$A$47&lt;&gt;"",ISNUMBER(SEARCH(설정!$A$47,K987))),설정!$B$47,IF(AND(설정!$A$48&lt;&gt;"",ISNUMBER(SEARCH(설정!$A$48,K987))),설정!$B$48,IF(M987="","설계사","시공사"))))))))),"")</f>
        <v/>
      </c>
      <c r="V987">
        <f>SUBSTITUTE(SUBSTITUTE(SUBSTITUTE(SUBSTITUTE(G987,"(주)",""),"㈜",""),"주식회사","")," ","")</f>
        <v/>
      </c>
      <c r="W987">
        <f>IF(AND(T987,V987&lt;&gt;""),IF(COUNTIFS(V$2:V987,V987,T$2:T987,TRUE)=1,MAX(W$1:W986)+1,""),"")</f>
        <v/>
      </c>
      <c r="X987">
        <f>IFERROR(INDEX('1.산군_붙여넣기'!$A$1:$AZ$1001,ROW(),설정!$C$14)&amp;"","")</f>
        <v/>
      </c>
      <c r="Y987">
        <f>IFERROR(INDEX('1.산군_붙여넣기'!$A$1:$AZ$1001,ROW(),설정!$C$15)&amp;"","")</f>
        <v/>
      </c>
      <c r="Z987">
        <f>IF(T987,V987&amp;"|"&amp;U987,"")</f>
        <v/>
      </c>
    </row>
    <row r="988">
      <c r="A988">
        <f>ROW()</f>
        <v/>
      </c>
      <c r="B988">
        <f>IFERROR(INDEX('1.산군_붙여넣기'!$A$1:$AZ$1001,ROW(),설정!$C$4)&amp;"","")</f>
        <v/>
      </c>
      <c r="C988">
        <f>IFERROR(INDEX('1.산군_붙여넣기'!$A$1:$AZ$1001,ROW(),설정!$C$5)&amp;"","")</f>
        <v/>
      </c>
      <c r="D988" s="5">
        <f>IFERROR(VALUE(SUBSTITUTE(SUBSTITUTE(SUBSTITUTE(IFERROR(INDEX('1.산군_붙여넣기'!$A$1:$AZ$1001,ROW(),설정!$C$6)&amp;"",""),",",""),"㎡",""),"m2","")),"")</f>
        <v/>
      </c>
      <c r="E988">
        <f>IFERROR(INDEX('1.산군_붙여넣기'!$A$1:$AZ$1001,ROW(),설정!$C$7)&amp;"","")</f>
        <v/>
      </c>
      <c r="F988">
        <f>IFERROR(INDEX('1.산군_붙여넣기'!$A$1:$AZ$1001,ROW(),설정!$C$8)&amp;"","")</f>
        <v/>
      </c>
      <c r="G988">
        <f>IFERROR(INDEX('1.산군_붙여넣기'!$A$1:$AZ$1001,ROW(),설정!$C$9)&amp;"","")</f>
        <v/>
      </c>
      <c r="H988">
        <f>IFERROR(INDEX('1.산군_붙여넣기'!$A$1:$AZ$1001,ROW(),설정!$C$10)&amp;"","")</f>
        <v/>
      </c>
      <c r="I988">
        <f>IFERROR(INDEX('1.산군_붙여넣기'!$A$1:$AZ$1001,ROW(),설정!$C$11)&amp;"","")</f>
        <v/>
      </c>
      <c r="J988">
        <f>IFERROR(INDEX('1.산군_붙여넣기'!$A$1:$AZ$1001,ROW(),설정!$C$12)&amp;"","")</f>
        <v/>
      </c>
      <c r="K988">
        <f>IFERROR(INDEX('1.산군_붙여넣기'!$A$1:$AZ$1001,ROW(),설정!$C$13)&amp;"","")</f>
        <v/>
      </c>
      <c r="L988" s="6">
        <f>IF(X988="","",IF(AND(LEN(X988)=8,ISNUMBER(X988*1)),DATE(LEFT(X988,4),MID(X988,5,2),RIGHT(X988,2)),IFERROR(DATEVALUE(SUBSTITUTE(SUBSTITUTE(X988,".","-"),"/","-")),IFERROR(X988*1,""))))</f>
        <v/>
      </c>
      <c r="M988" s="6">
        <f>IF(Y988="","",IF(AND(LEN(Y988)=8,ISNUMBER(Y988*1)),DATE(LEFT(Y988,4),MID(Y988,5,2),RIGHT(Y988,2)),IFERROR(DATEVALUE(SUBSTITUTE(SUBSTITUTE(Y988,".","-"),"/","-")),IFERROR(Y988*1,""))))</f>
        <v/>
      </c>
      <c r="N988">
        <f>IFERROR(LEFT(B988,FIND(" ",B988)-1),B988)</f>
        <v/>
      </c>
      <c r="O988">
        <f>AND(B988&lt;&gt;"",B988&lt;&gt;설정!$B$4,C988&lt;&gt;설정!$B$5)</f>
        <v/>
      </c>
      <c r="P988">
        <f>IF(O988,B988&amp;"|"&amp;C988,"")</f>
        <v/>
      </c>
      <c r="Q988">
        <f>AND(O988,COUNTIF(P989:P$1002,P988)=0)</f>
        <v/>
      </c>
      <c r="R988">
        <f>OR(AND(설정!$A$28&lt;&gt;"",ISNUMBER(SEARCH(설정!$A$28,E988&amp;" "&amp;C988))),AND(설정!$A$29&lt;&gt;"",ISNUMBER(SEARCH(설정!$A$29,E988&amp;" "&amp;C988))),AND(설정!$A$30&lt;&gt;"",ISNUMBER(SEARCH(설정!$A$30,E988&amp;" "&amp;C988))),AND(설정!$A$31&lt;&gt;"",ISNUMBER(SEARCH(설정!$A$31,E988&amp;" "&amp;C988))),AND(설정!$A$32&lt;&gt;"",ISNUMBER(SEARCH(설정!$A$32,E988&amp;" "&amp;C988))),AND(설정!$A$33&lt;&gt;"",ISNUMBER(SEARCH(설정!$A$33,E988&amp;" "&amp;C988))),AND(설정!$A$34&lt;&gt;"",ISNUMBER(SEARCH(설정!$A$34,E988&amp;" "&amp;C988))),AND(설정!$A$35&lt;&gt;"",ISNUMBER(SEARCH(설정!$A$35,E988&amp;" "&amp;C988))),AND(설정!$A$36&lt;&gt;"",ISNUMBER(SEARCH(설정!$A$36,E988&amp;" "&amp;C988))),AND(설정!$A$37&lt;&gt;"",ISNUMBER(SEARCH(설정!$A$37,E988&amp;" "&amp;C988))))</f>
        <v/>
      </c>
      <c r="S988">
        <f>OR(D988="",D988&gt;=설정!$B$19)</f>
        <v/>
      </c>
      <c r="T988">
        <f>AND(Q988,R988,S988)</f>
        <v/>
      </c>
      <c r="U988">
        <f>IF(T988,IF(AND(설정!$A$41&lt;&gt;"",ISNUMBER(SEARCH(설정!$A$41,K988))),설정!$B$41,IF(AND(설정!$A$42&lt;&gt;"",ISNUMBER(SEARCH(설정!$A$42,K988))),설정!$B$42,IF(AND(설정!$A$43&lt;&gt;"",ISNUMBER(SEARCH(설정!$A$43,K988))),설정!$B$43,IF(AND(설정!$A$44&lt;&gt;"",ISNUMBER(SEARCH(설정!$A$44,K988))),설정!$B$44,IF(AND(설정!$A$45&lt;&gt;"",ISNUMBER(SEARCH(설정!$A$45,K988))),설정!$B$45,IF(AND(설정!$A$46&lt;&gt;"",ISNUMBER(SEARCH(설정!$A$46,K988))),설정!$B$46,IF(AND(설정!$A$47&lt;&gt;"",ISNUMBER(SEARCH(설정!$A$47,K988))),설정!$B$47,IF(AND(설정!$A$48&lt;&gt;"",ISNUMBER(SEARCH(설정!$A$48,K988))),설정!$B$48,IF(M988="","설계사","시공사"))))))))),"")</f>
        <v/>
      </c>
      <c r="V988">
        <f>SUBSTITUTE(SUBSTITUTE(SUBSTITUTE(SUBSTITUTE(G988,"(주)",""),"㈜",""),"주식회사","")," ","")</f>
        <v/>
      </c>
      <c r="W988">
        <f>IF(AND(T988,V988&lt;&gt;""),IF(COUNTIFS(V$2:V988,V988,T$2:T988,TRUE)=1,MAX(W$1:W987)+1,""),"")</f>
        <v/>
      </c>
      <c r="X988">
        <f>IFERROR(INDEX('1.산군_붙여넣기'!$A$1:$AZ$1001,ROW(),설정!$C$14)&amp;"","")</f>
        <v/>
      </c>
      <c r="Y988">
        <f>IFERROR(INDEX('1.산군_붙여넣기'!$A$1:$AZ$1001,ROW(),설정!$C$15)&amp;"","")</f>
        <v/>
      </c>
      <c r="Z988">
        <f>IF(T988,V988&amp;"|"&amp;U988,"")</f>
        <v/>
      </c>
    </row>
    <row r="989">
      <c r="A989">
        <f>ROW()</f>
        <v/>
      </c>
      <c r="B989">
        <f>IFERROR(INDEX('1.산군_붙여넣기'!$A$1:$AZ$1001,ROW(),설정!$C$4)&amp;"","")</f>
        <v/>
      </c>
      <c r="C989">
        <f>IFERROR(INDEX('1.산군_붙여넣기'!$A$1:$AZ$1001,ROW(),설정!$C$5)&amp;"","")</f>
        <v/>
      </c>
      <c r="D989" s="5">
        <f>IFERROR(VALUE(SUBSTITUTE(SUBSTITUTE(SUBSTITUTE(IFERROR(INDEX('1.산군_붙여넣기'!$A$1:$AZ$1001,ROW(),설정!$C$6)&amp;"",""),",",""),"㎡",""),"m2","")),"")</f>
        <v/>
      </c>
      <c r="E989">
        <f>IFERROR(INDEX('1.산군_붙여넣기'!$A$1:$AZ$1001,ROW(),설정!$C$7)&amp;"","")</f>
        <v/>
      </c>
      <c r="F989">
        <f>IFERROR(INDEX('1.산군_붙여넣기'!$A$1:$AZ$1001,ROW(),설정!$C$8)&amp;"","")</f>
        <v/>
      </c>
      <c r="G989">
        <f>IFERROR(INDEX('1.산군_붙여넣기'!$A$1:$AZ$1001,ROW(),설정!$C$9)&amp;"","")</f>
        <v/>
      </c>
      <c r="H989">
        <f>IFERROR(INDEX('1.산군_붙여넣기'!$A$1:$AZ$1001,ROW(),설정!$C$10)&amp;"","")</f>
        <v/>
      </c>
      <c r="I989">
        <f>IFERROR(INDEX('1.산군_붙여넣기'!$A$1:$AZ$1001,ROW(),설정!$C$11)&amp;"","")</f>
        <v/>
      </c>
      <c r="J989">
        <f>IFERROR(INDEX('1.산군_붙여넣기'!$A$1:$AZ$1001,ROW(),설정!$C$12)&amp;"","")</f>
        <v/>
      </c>
      <c r="K989">
        <f>IFERROR(INDEX('1.산군_붙여넣기'!$A$1:$AZ$1001,ROW(),설정!$C$13)&amp;"","")</f>
        <v/>
      </c>
      <c r="L989" s="6">
        <f>IF(X989="","",IF(AND(LEN(X989)=8,ISNUMBER(X989*1)),DATE(LEFT(X989,4),MID(X989,5,2),RIGHT(X989,2)),IFERROR(DATEVALUE(SUBSTITUTE(SUBSTITUTE(X989,".","-"),"/","-")),IFERROR(X989*1,""))))</f>
        <v/>
      </c>
      <c r="M989" s="6">
        <f>IF(Y989="","",IF(AND(LEN(Y989)=8,ISNUMBER(Y989*1)),DATE(LEFT(Y989,4),MID(Y989,5,2),RIGHT(Y989,2)),IFERROR(DATEVALUE(SUBSTITUTE(SUBSTITUTE(Y989,".","-"),"/","-")),IFERROR(Y989*1,""))))</f>
        <v/>
      </c>
      <c r="N989">
        <f>IFERROR(LEFT(B989,FIND(" ",B989)-1),B989)</f>
        <v/>
      </c>
      <c r="O989">
        <f>AND(B989&lt;&gt;"",B989&lt;&gt;설정!$B$4,C989&lt;&gt;설정!$B$5)</f>
        <v/>
      </c>
      <c r="P989">
        <f>IF(O989,B989&amp;"|"&amp;C989,"")</f>
        <v/>
      </c>
      <c r="Q989">
        <f>AND(O989,COUNTIF(P990:P$1002,P989)=0)</f>
        <v/>
      </c>
      <c r="R989">
        <f>OR(AND(설정!$A$28&lt;&gt;"",ISNUMBER(SEARCH(설정!$A$28,E989&amp;" "&amp;C989))),AND(설정!$A$29&lt;&gt;"",ISNUMBER(SEARCH(설정!$A$29,E989&amp;" "&amp;C989))),AND(설정!$A$30&lt;&gt;"",ISNUMBER(SEARCH(설정!$A$30,E989&amp;" "&amp;C989))),AND(설정!$A$31&lt;&gt;"",ISNUMBER(SEARCH(설정!$A$31,E989&amp;" "&amp;C989))),AND(설정!$A$32&lt;&gt;"",ISNUMBER(SEARCH(설정!$A$32,E989&amp;" "&amp;C989))),AND(설정!$A$33&lt;&gt;"",ISNUMBER(SEARCH(설정!$A$33,E989&amp;" "&amp;C989))),AND(설정!$A$34&lt;&gt;"",ISNUMBER(SEARCH(설정!$A$34,E989&amp;" "&amp;C989))),AND(설정!$A$35&lt;&gt;"",ISNUMBER(SEARCH(설정!$A$35,E989&amp;" "&amp;C989))),AND(설정!$A$36&lt;&gt;"",ISNUMBER(SEARCH(설정!$A$36,E989&amp;" "&amp;C989))),AND(설정!$A$37&lt;&gt;"",ISNUMBER(SEARCH(설정!$A$37,E989&amp;" "&amp;C989))))</f>
        <v/>
      </c>
      <c r="S989">
        <f>OR(D989="",D989&gt;=설정!$B$19)</f>
        <v/>
      </c>
      <c r="T989">
        <f>AND(Q989,R989,S989)</f>
        <v/>
      </c>
      <c r="U989">
        <f>IF(T989,IF(AND(설정!$A$41&lt;&gt;"",ISNUMBER(SEARCH(설정!$A$41,K989))),설정!$B$41,IF(AND(설정!$A$42&lt;&gt;"",ISNUMBER(SEARCH(설정!$A$42,K989))),설정!$B$42,IF(AND(설정!$A$43&lt;&gt;"",ISNUMBER(SEARCH(설정!$A$43,K989))),설정!$B$43,IF(AND(설정!$A$44&lt;&gt;"",ISNUMBER(SEARCH(설정!$A$44,K989))),설정!$B$44,IF(AND(설정!$A$45&lt;&gt;"",ISNUMBER(SEARCH(설정!$A$45,K989))),설정!$B$45,IF(AND(설정!$A$46&lt;&gt;"",ISNUMBER(SEARCH(설정!$A$46,K989))),설정!$B$46,IF(AND(설정!$A$47&lt;&gt;"",ISNUMBER(SEARCH(설정!$A$47,K989))),설정!$B$47,IF(AND(설정!$A$48&lt;&gt;"",ISNUMBER(SEARCH(설정!$A$48,K989))),설정!$B$48,IF(M989="","설계사","시공사"))))))))),"")</f>
        <v/>
      </c>
      <c r="V989">
        <f>SUBSTITUTE(SUBSTITUTE(SUBSTITUTE(SUBSTITUTE(G989,"(주)",""),"㈜",""),"주식회사","")," ","")</f>
        <v/>
      </c>
      <c r="W989">
        <f>IF(AND(T989,V989&lt;&gt;""),IF(COUNTIFS(V$2:V989,V989,T$2:T989,TRUE)=1,MAX(W$1:W988)+1,""),"")</f>
        <v/>
      </c>
      <c r="X989">
        <f>IFERROR(INDEX('1.산군_붙여넣기'!$A$1:$AZ$1001,ROW(),설정!$C$14)&amp;"","")</f>
        <v/>
      </c>
      <c r="Y989">
        <f>IFERROR(INDEX('1.산군_붙여넣기'!$A$1:$AZ$1001,ROW(),설정!$C$15)&amp;"","")</f>
        <v/>
      </c>
      <c r="Z989">
        <f>IF(T989,V989&amp;"|"&amp;U989,"")</f>
        <v/>
      </c>
    </row>
    <row r="990">
      <c r="A990">
        <f>ROW()</f>
        <v/>
      </c>
      <c r="B990">
        <f>IFERROR(INDEX('1.산군_붙여넣기'!$A$1:$AZ$1001,ROW(),설정!$C$4)&amp;"","")</f>
        <v/>
      </c>
      <c r="C990">
        <f>IFERROR(INDEX('1.산군_붙여넣기'!$A$1:$AZ$1001,ROW(),설정!$C$5)&amp;"","")</f>
        <v/>
      </c>
      <c r="D990" s="5">
        <f>IFERROR(VALUE(SUBSTITUTE(SUBSTITUTE(SUBSTITUTE(IFERROR(INDEX('1.산군_붙여넣기'!$A$1:$AZ$1001,ROW(),설정!$C$6)&amp;"",""),",",""),"㎡",""),"m2","")),"")</f>
        <v/>
      </c>
      <c r="E990">
        <f>IFERROR(INDEX('1.산군_붙여넣기'!$A$1:$AZ$1001,ROW(),설정!$C$7)&amp;"","")</f>
        <v/>
      </c>
      <c r="F990">
        <f>IFERROR(INDEX('1.산군_붙여넣기'!$A$1:$AZ$1001,ROW(),설정!$C$8)&amp;"","")</f>
        <v/>
      </c>
      <c r="G990">
        <f>IFERROR(INDEX('1.산군_붙여넣기'!$A$1:$AZ$1001,ROW(),설정!$C$9)&amp;"","")</f>
        <v/>
      </c>
      <c r="H990">
        <f>IFERROR(INDEX('1.산군_붙여넣기'!$A$1:$AZ$1001,ROW(),설정!$C$10)&amp;"","")</f>
        <v/>
      </c>
      <c r="I990">
        <f>IFERROR(INDEX('1.산군_붙여넣기'!$A$1:$AZ$1001,ROW(),설정!$C$11)&amp;"","")</f>
        <v/>
      </c>
      <c r="J990">
        <f>IFERROR(INDEX('1.산군_붙여넣기'!$A$1:$AZ$1001,ROW(),설정!$C$12)&amp;"","")</f>
        <v/>
      </c>
      <c r="K990">
        <f>IFERROR(INDEX('1.산군_붙여넣기'!$A$1:$AZ$1001,ROW(),설정!$C$13)&amp;"","")</f>
        <v/>
      </c>
      <c r="L990" s="6">
        <f>IF(X990="","",IF(AND(LEN(X990)=8,ISNUMBER(X990*1)),DATE(LEFT(X990,4),MID(X990,5,2),RIGHT(X990,2)),IFERROR(DATEVALUE(SUBSTITUTE(SUBSTITUTE(X990,".","-"),"/","-")),IFERROR(X990*1,""))))</f>
        <v/>
      </c>
      <c r="M990" s="6">
        <f>IF(Y990="","",IF(AND(LEN(Y990)=8,ISNUMBER(Y990*1)),DATE(LEFT(Y990,4),MID(Y990,5,2),RIGHT(Y990,2)),IFERROR(DATEVALUE(SUBSTITUTE(SUBSTITUTE(Y990,".","-"),"/","-")),IFERROR(Y990*1,""))))</f>
        <v/>
      </c>
      <c r="N990">
        <f>IFERROR(LEFT(B990,FIND(" ",B990)-1),B990)</f>
        <v/>
      </c>
      <c r="O990">
        <f>AND(B990&lt;&gt;"",B990&lt;&gt;설정!$B$4,C990&lt;&gt;설정!$B$5)</f>
        <v/>
      </c>
      <c r="P990">
        <f>IF(O990,B990&amp;"|"&amp;C990,"")</f>
        <v/>
      </c>
      <c r="Q990">
        <f>AND(O990,COUNTIF(P991:P$1002,P990)=0)</f>
        <v/>
      </c>
      <c r="R990">
        <f>OR(AND(설정!$A$28&lt;&gt;"",ISNUMBER(SEARCH(설정!$A$28,E990&amp;" "&amp;C990))),AND(설정!$A$29&lt;&gt;"",ISNUMBER(SEARCH(설정!$A$29,E990&amp;" "&amp;C990))),AND(설정!$A$30&lt;&gt;"",ISNUMBER(SEARCH(설정!$A$30,E990&amp;" "&amp;C990))),AND(설정!$A$31&lt;&gt;"",ISNUMBER(SEARCH(설정!$A$31,E990&amp;" "&amp;C990))),AND(설정!$A$32&lt;&gt;"",ISNUMBER(SEARCH(설정!$A$32,E990&amp;" "&amp;C990))),AND(설정!$A$33&lt;&gt;"",ISNUMBER(SEARCH(설정!$A$33,E990&amp;" "&amp;C990))),AND(설정!$A$34&lt;&gt;"",ISNUMBER(SEARCH(설정!$A$34,E990&amp;" "&amp;C990))),AND(설정!$A$35&lt;&gt;"",ISNUMBER(SEARCH(설정!$A$35,E990&amp;" "&amp;C990))),AND(설정!$A$36&lt;&gt;"",ISNUMBER(SEARCH(설정!$A$36,E990&amp;" "&amp;C990))),AND(설정!$A$37&lt;&gt;"",ISNUMBER(SEARCH(설정!$A$37,E990&amp;" "&amp;C990))))</f>
        <v/>
      </c>
      <c r="S990">
        <f>OR(D990="",D990&gt;=설정!$B$19)</f>
        <v/>
      </c>
      <c r="T990">
        <f>AND(Q990,R990,S990)</f>
        <v/>
      </c>
      <c r="U990">
        <f>IF(T990,IF(AND(설정!$A$41&lt;&gt;"",ISNUMBER(SEARCH(설정!$A$41,K990))),설정!$B$41,IF(AND(설정!$A$42&lt;&gt;"",ISNUMBER(SEARCH(설정!$A$42,K990))),설정!$B$42,IF(AND(설정!$A$43&lt;&gt;"",ISNUMBER(SEARCH(설정!$A$43,K990))),설정!$B$43,IF(AND(설정!$A$44&lt;&gt;"",ISNUMBER(SEARCH(설정!$A$44,K990))),설정!$B$44,IF(AND(설정!$A$45&lt;&gt;"",ISNUMBER(SEARCH(설정!$A$45,K990))),설정!$B$45,IF(AND(설정!$A$46&lt;&gt;"",ISNUMBER(SEARCH(설정!$A$46,K990))),설정!$B$46,IF(AND(설정!$A$47&lt;&gt;"",ISNUMBER(SEARCH(설정!$A$47,K990))),설정!$B$47,IF(AND(설정!$A$48&lt;&gt;"",ISNUMBER(SEARCH(설정!$A$48,K990))),설정!$B$48,IF(M990="","설계사","시공사"))))))))),"")</f>
        <v/>
      </c>
      <c r="V990">
        <f>SUBSTITUTE(SUBSTITUTE(SUBSTITUTE(SUBSTITUTE(G990,"(주)",""),"㈜",""),"주식회사","")," ","")</f>
        <v/>
      </c>
      <c r="W990">
        <f>IF(AND(T990,V990&lt;&gt;""),IF(COUNTIFS(V$2:V990,V990,T$2:T990,TRUE)=1,MAX(W$1:W989)+1,""),"")</f>
        <v/>
      </c>
      <c r="X990">
        <f>IFERROR(INDEX('1.산군_붙여넣기'!$A$1:$AZ$1001,ROW(),설정!$C$14)&amp;"","")</f>
        <v/>
      </c>
      <c r="Y990">
        <f>IFERROR(INDEX('1.산군_붙여넣기'!$A$1:$AZ$1001,ROW(),설정!$C$15)&amp;"","")</f>
        <v/>
      </c>
      <c r="Z990">
        <f>IF(T990,V990&amp;"|"&amp;U990,"")</f>
        <v/>
      </c>
    </row>
    <row r="991">
      <c r="A991">
        <f>ROW()</f>
        <v/>
      </c>
      <c r="B991">
        <f>IFERROR(INDEX('1.산군_붙여넣기'!$A$1:$AZ$1001,ROW(),설정!$C$4)&amp;"","")</f>
        <v/>
      </c>
      <c r="C991">
        <f>IFERROR(INDEX('1.산군_붙여넣기'!$A$1:$AZ$1001,ROW(),설정!$C$5)&amp;"","")</f>
        <v/>
      </c>
      <c r="D991" s="5">
        <f>IFERROR(VALUE(SUBSTITUTE(SUBSTITUTE(SUBSTITUTE(IFERROR(INDEX('1.산군_붙여넣기'!$A$1:$AZ$1001,ROW(),설정!$C$6)&amp;"",""),",",""),"㎡",""),"m2","")),"")</f>
        <v/>
      </c>
      <c r="E991">
        <f>IFERROR(INDEX('1.산군_붙여넣기'!$A$1:$AZ$1001,ROW(),설정!$C$7)&amp;"","")</f>
        <v/>
      </c>
      <c r="F991">
        <f>IFERROR(INDEX('1.산군_붙여넣기'!$A$1:$AZ$1001,ROW(),설정!$C$8)&amp;"","")</f>
        <v/>
      </c>
      <c r="G991">
        <f>IFERROR(INDEX('1.산군_붙여넣기'!$A$1:$AZ$1001,ROW(),설정!$C$9)&amp;"","")</f>
        <v/>
      </c>
      <c r="H991">
        <f>IFERROR(INDEX('1.산군_붙여넣기'!$A$1:$AZ$1001,ROW(),설정!$C$10)&amp;"","")</f>
        <v/>
      </c>
      <c r="I991">
        <f>IFERROR(INDEX('1.산군_붙여넣기'!$A$1:$AZ$1001,ROW(),설정!$C$11)&amp;"","")</f>
        <v/>
      </c>
      <c r="J991">
        <f>IFERROR(INDEX('1.산군_붙여넣기'!$A$1:$AZ$1001,ROW(),설정!$C$12)&amp;"","")</f>
        <v/>
      </c>
      <c r="K991">
        <f>IFERROR(INDEX('1.산군_붙여넣기'!$A$1:$AZ$1001,ROW(),설정!$C$13)&amp;"","")</f>
        <v/>
      </c>
      <c r="L991" s="6">
        <f>IF(X991="","",IF(AND(LEN(X991)=8,ISNUMBER(X991*1)),DATE(LEFT(X991,4),MID(X991,5,2),RIGHT(X991,2)),IFERROR(DATEVALUE(SUBSTITUTE(SUBSTITUTE(X991,".","-"),"/","-")),IFERROR(X991*1,""))))</f>
        <v/>
      </c>
      <c r="M991" s="6">
        <f>IF(Y991="","",IF(AND(LEN(Y991)=8,ISNUMBER(Y991*1)),DATE(LEFT(Y991,4),MID(Y991,5,2),RIGHT(Y991,2)),IFERROR(DATEVALUE(SUBSTITUTE(SUBSTITUTE(Y991,".","-"),"/","-")),IFERROR(Y991*1,""))))</f>
        <v/>
      </c>
      <c r="N991">
        <f>IFERROR(LEFT(B991,FIND(" ",B991)-1),B991)</f>
        <v/>
      </c>
      <c r="O991">
        <f>AND(B991&lt;&gt;"",B991&lt;&gt;설정!$B$4,C991&lt;&gt;설정!$B$5)</f>
        <v/>
      </c>
      <c r="P991">
        <f>IF(O991,B991&amp;"|"&amp;C991,"")</f>
        <v/>
      </c>
      <c r="Q991">
        <f>AND(O991,COUNTIF(P992:P$1002,P991)=0)</f>
        <v/>
      </c>
      <c r="R991">
        <f>OR(AND(설정!$A$28&lt;&gt;"",ISNUMBER(SEARCH(설정!$A$28,E991&amp;" "&amp;C991))),AND(설정!$A$29&lt;&gt;"",ISNUMBER(SEARCH(설정!$A$29,E991&amp;" "&amp;C991))),AND(설정!$A$30&lt;&gt;"",ISNUMBER(SEARCH(설정!$A$30,E991&amp;" "&amp;C991))),AND(설정!$A$31&lt;&gt;"",ISNUMBER(SEARCH(설정!$A$31,E991&amp;" "&amp;C991))),AND(설정!$A$32&lt;&gt;"",ISNUMBER(SEARCH(설정!$A$32,E991&amp;" "&amp;C991))),AND(설정!$A$33&lt;&gt;"",ISNUMBER(SEARCH(설정!$A$33,E991&amp;" "&amp;C991))),AND(설정!$A$34&lt;&gt;"",ISNUMBER(SEARCH(설정!$A$34,E991&amp;" "&amp;C991))),AND(설정!$A$35&lt;&gt;"",ISNUMBER(SEARCH(설정!$A$35,E991&amp;" "&amp;C991))),AND(설정!$A$36&lt;&gt;"",ISNUMBER(SEARCH(설정!$A$36,E991&amp;" "&amp;C991))),AND(설정!$A$37&lt;&gt;"",ISNUMBER(SEARCH(설정!$A$37,E991&amp;" "&amp;C991))))</f>
        <v/>
      </c>
      <c r="S991">
        <f>OR(D991="",D991&gt;=설정!$B$19)</f>
        <v/>
      </c>
      <c r="T991">
        <f>AND(Q991,R991,S991)</f>
        <v/>
      </c>
      <c r="U991">
        <f>IF(T991,IF(AND(설정!$A$41&lt;&gt;"",ISNUMBER(SEARCH(설정!$A$41,K991))),설정!$B$41,IF(AND(설정!$A$42&lt;&gt;"",ISNUMBER(SEARCH(설정!$A$42,K991))),설정!$B$42,IF(AND(설정!$A$43&lt;&gt;"",ISNUMBER(SEARCH(설정!$A$43,K991))),설정!$B$43,IF(AND(설정!$A$44&lt;&gt;"",ISNUMBER(SEARCH(설정!$A$44,K991))),설정!$B$44,IF(AND(설정!$A$45&lt;&gt;"",ISNUMBER(SEARCH(설정!$A$45,K991))),설정!$B$45,IF(AND(설정!$A$46&lt;&gt;"",ISNUMBER(SEARCH(설정!$A$46,K991))),설정!$B$46,IF(AND(설정!$A$47&lt;&gt;"",ISNUMBER(SEARCH(설정!$A$47,K991))),설정!$B$47,IF(AND(설정!$A$48&lt;&gt;"",ISNUMBER(SEARCH(설정!$A$48,K991))),설정!$B$48,IF(M991="","설계사","시공사"))))))))),"")</f>
        <v/>
      </c>
      <c r="V991">
        <f>SUBSTITUTE(SUBSTITUTE(SUBSTITUTE(SUBSTITUTE(G991,"(주)",""),"㈜",""),"주식회사","")," ","")</f>
        <v/>
      </c>
      <c r="W991">
        <f>IF(AND(T991,V991&lt;&gt;""),IF(COUNTIFS(V$2:V991,V991,T$2:T991,TRUE)=1,MAX(W$1:W990)+1,""),"")</f>
        <v/>
      </c>
      <c r="X991">
        <f>IFERROR(INDEX('1.산군_붙여넣기'!$A$1:$AZ$1001,ROW(),설정!$C$14)&amp;"","")</f>
        <v/>
      </c>
      <c r="Y991">
        <f>IFERROR(INDEX('1.산군_붙여넣기'!$A$1:$AZ$1001,ROW(),설정!$C$15)&amp;"","")</f>
        <v/>
      </c>
      <c r="Z991">
        <f>IF(T991,V991&amp;"|"&amp;U991,"")</f>
        <v/>
      </c>
    </row>
    <row r="992">
      <c r="A992">
        <f>ROW()</f>
        <v/>
      </c>
      <c r="B992">
        <f>IFERROR(INDEX('1.산군_붙여넣기'!$A$1:$AZ$1001,ROW(),설정!$C$4)&amp;"","")</f>
        <v/>
      </c>
      <c r="C992">
        <f>IFERROR(INDEX('1.산군_붙여넣기'!$A$1:$AZ$1001,ROW(),설정!$C$5)&amp;"","")</f>
        <v/>
      </c>
      <c r="D992" s="5">
        <f>IFERROR(VALUE(SUBSTITUTE(SUBSTITUTE(SUBSTITUTE(IFERROR(INDEX('1.산군_붙여넣기'!$A$1:$AZ$1001,ROW(),설정!$C$6)&amp;"",""),",",""),"㎡",""),"m2","")),"")</f>
        <v/>
      </c>
      <c r="E992">
        <f>IFERROR(INDEX('1.산군_붙여넣기'!$A$1:$AZ$1001,ROW(),설정!$C$7)&amp;"","")</f>
        <v/>
      </c>
      <c r="F992">
        <f>IFERROR(INDEX('1.산군_붙여넣기'!$A$1:$AZ$1001,ROW(),설정!$C$8)&amp;"","")</f>
        <v/>
      </c>
      <c r="G992">
        <f>IFERROR(INDEX('1.산군_붙여넣기'!$A$1:$AZ$1001,ROW(),설정!$C$9)&amp;"","")</f>
        <v/>
      </c>
      <c r="H992">
        <f>IFERROR(INDEX('1.산군_붙여넣기'!$A$1:$AZ$1001,ROW(),설정!$C$10)&amp;"","")</f>
        <v/>
      </c>
      <c r="I992">
        <f>IFERROR(INDEX('1.산군_붙여넣기'!$A$1:$AZ$1001,ROW(),설정!$C$11)&amp;"","")</f>
        <v/>
      </c>
      <c r="J992">
        <f>IFERROR(INDEX('1.산군_붙여넣기'!$A$1:$AZ$1001,ROW(),설정!$C$12)&amp;"","")</f>
        <v/>
      </c>
      <c r="K992">
        <f>IFERROR(INDEX('1.산군_붙여넣기'!$A$1:$AZ$1001,ROW(),설정!$C$13)&amp;"","")</f>
        <v/>
      </c>
      <c r="L992" s="6">
        <f>IF(X992="","",IF(AND(LEN(X992)=8,ISNUMBER(X992*1)),DATE(LEFT(X992,4),MID(X992,5,2),RIGHT(X992,2)),IFERROR(DATEVALUE(SUBSTITUTE(SUBSTITUTE(X992,".","-"),"/","-")),IFERROR(X992*1,""))))</f>
        <v/>
      </c>
      <c r="M992" s="6">
        <f>IF(Y992="","",IF(AND(LEN(Y992)=8,ISNUMBER(Y992*1)),DATE(LEFT(Y992,4),MID(Y992,5,2),RIGHT(Y992,2)),IFERROR(DATEVALUE(SUBSTITUTE(SUBSTITUTE(Y992,".","-"),"/","-")),IFERROR(Y992*1,""))))</f>
        <v/>
      </c>
      <c r="N992">
        <f>IFERROR(LEFT(B992,FIND(" ",B992)-1),B992)</f>
        <v/>
      </c>
      <c r="O992">
        <f>AND(B992&lt;&gt;"",B992&lt;&gt;설정!$B$4,C992&lt;&gt;설정!$B$5)</f>
        <v/>
      </c>
      <c r="P992">
        <f>IF(O992,B992&amp;"|"&amp;C992,"")</f>
        <v/>
      </c>
      <c r="Q992">
        <f>AND(O992,COUNTIF(P993:P$1002,P992)=0)</f>
        <v/>
      </c>
      <c r="R992">
        <f>OR(AND(설정!$A$28&lt;&gt;"",ISNUMBER(SEARCH(설정!$A$28,E992&amp;" "&amp;C992))),AND(설정!$A$29&lt;&gt;"",ISNUMBER(SEARCH(설정!$A$29,E992&amp;" "&amp;C992))),AND(설정!$A$30&lt;&gt;"",ISNUMBER(SEARCH(설정!$A$30,E992&amp;" "&amp;C992))),AND(설정!$A$31&lt;&gt;"",ISNUMBER(SEARCH(설정!$A$31,E992&amp;" "&amp;C992))),AND(설정!$A$32&lt;&gt;"",ISNUMBER(SEARCH(설정!$A$32,E992&amp;" "&amp;C992))),AND(설정!$A$33&lt;&gt;"",ISNUMBER(SEARCH(설정!$A$33,E992&amp;" "&amp;C992))),AND(설정!$A$34&lt;&gt;"",ISNUMBER(SEARCH(설정!$A$34,E992&amp;" "&amp;C992))),AND(설정!$A$35&lt;&gt;"",ISNUMBER(SEARCH(설정!$A$35,E992&amp;" "&amp;C992))),AND(설정!$A$36&lt;&gt;"",ISNUMBER(SEARCH(설정!$A$36,E992&amp;" "&amp;C992))),AND(설정!$A$37&lt;&gt;"",ISNUMBER(SEARCH(설정!$A$37,E992&amp;" "&amp;C992))))</f>
        <v/>
      </c>
      <c r="S992">
        <f>OR(D992="",D992&gt;=설정!$B$19)</f>
        <v/>
      </c>
      <c r="T992">
        <f>AND(Q992,R992,S992)</f>
        <v/>
      </c>
      <c r="U992">
        <f>IF(T992,IF(AND(설정!$A$41&lt;&gt;"",ISNUMBER(SEARCH(설정!$A$41,K992))),설정!$B$41,IF(AND(설정!$A$42&lt;&gt;"",ISNUMBER(SEARCH(설정!$A$42,K992))),설정!$B$42,IF(AND(설정!$A$43&lt;&gt;"",ISNUMBER(SEARCH(설정!$A$43,K992))),설정!$B$43,IF(AND(설정!$A$44&lt;&gt;"",ISNUMBER(SEARCH(설정!$A$44,K992))),설정!$B$44,IF(AND(설정!$A$45&lt;&gt;"",ISNUMBER(SEARCH(설정!$A$45,K992))),설정!$B$45,IF(AND(설정!$A$46&lt;&gt;"",ISNUMBER(SEARCH(설정!$A$46,K992))),설정!$B$46,IF(AND(설정!$A$47&lt;&gt;"",ISNUMBER(SEARCH(설정!$A$47,K992))),설정!$B$47,IF(AND(설정!$A$48&lt;&gt;"",ISNUMBER(SEARCH(설정!$A$48,K992))),설정!$B$48,IF(M992="","설계사","시공사"))))))))),"")</f>
        <v/>
      </c>
      <c r="V992">
        <f>SUBSTITUTE(SUBSTITUTE(SUBSTITUTE(SUBSTITUTE(G992,"(주)",""),"㈜",""),"주식회사","")," ","")</f>
        <v/>
      </c>
      <c r="W992">
        <f>IF(AND(T992,V992&lt;&gt;""),IF(COUNTIFS(V$2:V992,V992,T$2:T992,TRUE)=1,MAX(W$1:W991)+1,""),"")</f>
        <v/>
      </c>
      <c r="X992">
        <f>IFERROR(INDEX('1.산군_붙여넣기'!$A$1:$AZ$1001,ROW(),설정!$C$14)&amp;"","")</f>
        <v/>
      </c>
      <c r="Y992">
        <f>IFERROR(INDEX('1.산군_붙여넣기'!$A$1:$AZ$1001,ROW(),설정!$C$15)&amp;"","")</f>
        <v/>
      </c>
      <c r="Z992">
        <f>IF(T992,V992&amp;"|"&amp;U992,"")</f>
        <v/>
      </c>
    </row>
    <row r="993">
      <c r="A993">
        <f>ROW()</f>
        <v/>
      </c>
      <c r="B993">
        <f>IFERROR(INDEX('1.산군_붙여넣기'!$A$1:$AZ$1001,ROW(),설정!$C$4)&amp;"","")</f>
        <v/>
      </c>
      <c r="C993">
        <f>IFERROR(INDEX('1.산군_붙여넣기'!$A$1:$AZ$1001,ROW(),설정!$C$5)&amp;"","")</f>
        <v/>
      </c>
      <c r="D993" s="5">
        <f>IFERROR(VALUE(SUBSTITUTE(SUBSTITUTE(SUBSTITUTE(IFERROR(INDEX('1.산군_붙여넣기'!$A$1:$AZ$1001,ROW(),설정!$C$6)&amp;"",""),",",""),"㎡",""),"m2","")),"")</f>
        <v/>
      </c>
      <c r="E993">
        <f>IFERROR(INDEX('1.산군_붙여넣기'!$A$1:$AZ$1001,ROW(),설정!$C$7)&amp;"","")</f>
        <v/>
      </c>
      <c r="F993">
        <f>IFERROR(INDEX('1.산군_붙여넣기'!$A$1:$AZ$1001,ROW(),설정!$C$8)&amp;"","")</f>
        <v/>
      </c>
      <c r="G993">
        <f>IFERROR(INDEX('1.산군_붙여넣기'!$A$1:$AZ$1001,ROW(),설정!$C$9)&amp;"","")</f>
        <v/>
      </c>
      <c r="H993">
        <f>IFERROR(INDEX('1.산군_붙여넣기'!$A$1:$AZ$1001,ROW(),설정!$C$10)&amp;"","")</f>
        <v/>
      </c>
      <c r="I993">
        <f>IFERROR(INDEX('1.산군_붙여넣기'!$A$1:$AZ$1001,ROW(),설정!$C$11)&amp;"","")</f>
        <v/>
      </c>
      <c r="J993">
        <f>IFERROR(INDEX('1.산군_붙여넣기'!$A$1:$AZ$1001,ROW(),설정!$C$12)&amp;"","")</f>
        <v/>
      </c>
      <c r="K993">
        <f>IFERROR(INDEX('1.산군_붙여넣기'!$A$1:$AZ$1001,ROW(),설정!$C$13)&amp;"","")</f>
        <v/>
      </c>
      <c r="L993" s="6">
        <f>IF(X993="","",IF(AND(LEN(X993)=8,ISNUMBER(X993*1)),DATE(LEFT(X993,4),MID(X993,5,2),RIGHT(X993,2)),IFERROR(DATEVALUE(SUBSTITUTE(SUBSTITUTE(X993,".","-"),"/","-")),IFERROR(X993*1,""))))</f>
        <v/>
      </c>
      <c r="M993" s="6">
        <f>IF(Y993="","",IF(AND(LEN(Y993)=8,ISNUMBER(Y993*1)),DATE(LEFT(Y993,4),MID(Y993,5,2),RIGHT(Y993,2)),IFERROR(DATEVALUE(SUBSTITUTE(SUBSTITUTE(Y993,".","-"),"/","-")),IFERROR(Y993*1,""))))</f>
        <v/>
      </c>
      <c r="N993">
        <f>IFERROR(LEFT(B993,FIND(" ",B993)-1),B993)</f>
        <v/>
      </c>
      <c r="O993">
        <f>AND(B993&lt;&gt;"",B993&lt;&gt;설정!$B$4,C993&lt;&gt;설정!$B$5)</f>
        <v/>
      </c>
      <c r="P993">
        <f>IF(O993,B993&amp;"|"&amp;C993,"")</f>
        <v/>
      </c>
      <c r="Q993">
        <f>AND(O993,COUNTIF(P994:P$1002,P993)=0)</f>
        <v/>
      </c>
      <c r="R993">
        <f>OR(AND(설정!$A$28&lt;&gt;"",ISNUMBER(SEARCH(설정!$A$28,E993&amp;" "&amp;C993))),AND(설정!$A$29&lt;&gt;"",ISNUMBER(SEARCH(설정!$A$29,E993&amp;" "&amp;C993))),AND(설정!$A$30&lt;&gt;"",ISNUMBER(SEARCH(설정!$A$30,E993&amp;" "&amp;C993))),AND(설정!$A$31&lt;&gt;"",ISNUMBER(SEARCH(설정!$A$31,E993&amp;" "&amp;C993))),AND(설정!$A$32&lt;&gt;"",ISNUMBER(SEARCH(설정!$A$32,E993&amp;" "&amp;C993))),AND(설정!$A$33&lt;&gt;"",ISNUMBER(SEARCH(설정!$A$33,E993&amp;" "&amp;C993))),AND(설정!$A$34&lt;&gt;"",ISNUMBER(SEARCH(설정!$A$34,E993&amp;" "&amp;C993))),AND(설정!$A$35&lt;&gt;"",ISNUMBER(SEARCH(설정!$A$35,E993&amp;" "&amp;C993))),AND(설정!$A$36&lt;&gt;"",ISNUMBER(SEARCH(설정!$A$36,E993&amp;" "&amp;C993))),AND(설정!$A$37&lt;&gt;"",ISNUMBER(SEARCH(설정!$A$37,E993&amp;" "&amp;C993))))</f>
        <v/>
      </c>
      <c r="S993">
        <f>OR(D993="",D993&gt;=설정!$B$19)</f>
        <v/>
      </c>
      <c r="T993">
        <f>AND(Q993,R993,S993)</f>
        <v/>
      </c>
      <c r="U993">
        <f>IF(T993,IF(AND(설정!$A$41&lt;&gt;"",ISNUMBER(SEARCH(설정!$A$41,K993))),설정!$B$41,IF(AND(설정!$A$42&lt;&gt;"",ISNUMBER(SEARCH(설정!$A$42,K993))),설정!$B$42,IF(AND(설정!$A$43&lt;&gt;"",ISNUMBER(SEARCH(설정!$A$43,K993))),설정!$B$43,IF(AND(설정!$A$44&lt;&gt;"",ISNUMBER(SEARCH(설정!$A$44,K993))),설정!$B$44,IF(AND(설정!$A$45&lt;&gt;"",ISNUMBER(SEARCH(설정!$A$45,K993))),설정!$B$45,IF(AND(설정!$A$46&lt;&gt;"",ISNUMBER(SEARCH(설정!$A$46,K993))),설정!$B$46,IF(AND(설정!$A$47&lt;&gt;"",ISNUMBER(SEARCH(설정!$A$47,K993))),설정!$B$47,IF(AND(설정!$A$48&lt;&gt;"",ISNUMBER(SEARCH(설정!$A$48,K993))),설정!$B$48,IF(M993="","설계사","시공사"))))))))),"")</f>
        <v/>
      </c>
      <c r="V993">
        <f>SUBSTITUTE(SUBSTITUTE(SUBSTITUTE(SUBSTITUTE(G993,"(주)",""),"㈜",""),"주식회사","")," ","")</f>
        <v/>
      </c>
      <c r="W993">
        <f>IF(AND(T993,V993&lt;&gt;""),IF(COUNTIFS(V$2:V993,V993,T$2:T993,TRUE)=1,MAX(W$1:W992)+1,""),"")</f>
        <v/>
      </c>
      <c r="X993">
        <f>IFERROR(INDEX('1.산군_붙여넣기'!$A$1:$AZ$1001,ROW(),설정!$C$14)&amp;"","")</f>
        <v/>
      </c>
      <c r="Y993">
        <f>IFERROR(INDEX('1.산군_붙여넣기'!$A$1:$AZ$1001,ROW(),설정!$C$15)&amp;"","")</f>
        <v/>
      </c>
      <c r="Z993">
        <f>IF(T993,V993&amp;"|"&amp;U993,"")</f>
        <v/>
      </c>
    </row>
    <row r="994">
      <c r="A994">
        <f>ROW()</f>
        <v/>
      </c>
      <c r="B994">
        <f>IFERROR(INDEX('1.산군_붙여넣기'!$A$1:$AZ$1001,ROW(),설정!$C$4)&amp;"","")</f>
        <v/>
      </c>
      <c r="C994">
        <f>IFERROR(INDEX('1.산군_붙여넣기'!$A$1:$AZ$1001,ROW(),설정!$C$5)&amp;"","")</f>
        <v/>
      </c>
      <c r="D994" s="5">
        <f>IFERROR(VALUE(SUBSTITUTE(SUBSTITUTE(SUBSTITUTE(IFERROR(INDEX('1.산군_붙여넣기'!$A$1:$AZ$1001,ROW(),설정!$C$6)&amp;"",""),",",""),"㎡",""),"m2","")),"")</f>
        <v/>
      </c>
      <c r="E994">
        <f>IFERROR(INDEX('1.산군_붙여넣기'!$A$1:$AZ$1001,ROW(),설정!$C$7)&amp;"","")</f>
        <v/>
      </c>
      <c r="F994">
        <f>IFERROR(INDEX('1.산군_붙여넣기'!$A$1:$AZ$1001,ROW(),설정!$C$8)&amp;"","")</f>
        <v/>
      </c>
      <c r="G994">
        <f>IFERROR(INDEX('1.산군_붙여넣기'!$A$1:$AZ$1001,ROW(),설정!$C$9)&amp;"","")</f>
        <v/>
      </c>
      <c r="H994">
        <f>IFERROR(INDEX('1.산군_붙여넣기'!$A$1:$AZ$1001,ROW(),설정!$C$10)&amp;"","")</f>
        <v/>
      </c>
      <c r="I994">
        <f>IFERROR(INDEX('1.산군_붙여넣기'!$A$1:$AZ$1001,ROW(),설정!$C$11)&amp;"","")</f>
        <v/>
      </c>
      <c r="J994">
        <f>IFERROR(INDEX('1.산군_붙여넣기'!$A$1:$AZ$1001,ROW(),설정!$C$12)&amp;"","")</f>
        <v/>
      </c>
      <c r="K994">
        <f>IFERROR(INDEX('1.산군_붙여넣기'!$A$1:$AZ$1001,ROW(),설정!$C$13)&amp;"","")</f>
        <v/>
      </c>
      <c r="L994" s="6">
        <f>IF(X994="","",IF(AND(LEN(X994)=8,ISNUMBER(X994*1)),DATE(LEFT(X994,4),MID(X994,5,2),RIGHT(X994,2)),IFERROR(DATEVALUE(SUBSTITUTE(SUBSTITUTE(X994,".","-"),"/","-")),IFERROR(X994*1,""))))</f>
        <v/>
      </c>
      <c r="M994" s="6">
        <f>IF(Y994="","",IF(AND(LEN(Y994)=8,ISNUMBER(Y994*1)),DATE(LEFT(Y994,4),MID(Y994,5,2),RIGHT(Y994,2)),IFERROR(DATEVALUE(SUBSTITUTE(SUBSTITUTE(Y994,".","-"),"/","-")),IFERROR(Y994*1,""))))</f>
        <v/>
      </c>
      <c r="N994">
        <f>IFERROR(LEFT(B994,FIND(" ",B994)-1),B994)</f>
        <v/>
      </c>
      <c r="O994">
        <f>AND(B994&lt;&gt;"",B994&lt;&gt;설정!$B$4,C994&lt;&gt;설정!$B$5)</f>
        <v/>
      </c>
      <c r="P994">
        <f>IF(O994,B994&amp;"|"&amp;C994,"")</f>
        <v/>
      </c>
      <c r="Q994">
        <f>AND(O994,COUNTIF(P995:P$1002,P994)=0)</f>
        <v/>
      </c>
      <c r="R994">
        <f>OR(AND(설정!$A$28&lt;&gt;"",ISNUMBER(SEARCH(설정!$A$28,E994&amp;" "&amp;C994))),AND(설정!$A$29&lt;&gt;"",ISNUMBER(SEARCH(설정!$A$29,E994&amp;" "&amp;C994))),AND(설정!$A$30&lt;&gt;"",ISNUMBER(SEARCH(설정!$A$30,E994&amp;" "&amp;C994))),AND(설정!$A$31&lt;&gt;"",ISNUMBER(SEARCH(설정!$A$31,E994&amp;" "&amp;C994))),AND(설정!$A$32&lt;&gt;"",ISNUMBER(SEARCH(설정!$A$32,E994&amp;" "&amp;C994))),AND(설정!$A$33&lt;&gt;"",ISNUMBER(SEARCH(설정!$A$33,E994&amp;" "&amp;C994))),AND(설정!$A$34&lt;&gt;"",ISNUMBER(SEARCH(설정!$A$34,E994&amp;" "&amp;C994))),AND(설정!$A$35&lt;&gt;"",ISNUMBER(SEARCH(설정!$A$35,E994&amp;" "&amp;C994))),AND(설정!$A$36&lt;&gt;"",ISNUMBER(SEARCH(설정!$A$36,E994&amp;" "&amp;C994))),AND(설정!$A$37&lt;&gt;"",ISNUMBER(SEARCH(설정!$A$37,E994&amp;" "&amp;C994))))</f>
        <v/>
      </c>
      <c r="S994">
        <f>OR(D994="",D994&gt;=설정!$B$19)</f>
        <v/>
      </c>
      <c r="T994">
        <f>AND(Q994,R994,S994)</f>
        <v/>
      </c>
      <c r="U994">
        <f>IF(T994,IF(AND(설정!$A$41&lt;&gt;"",ISNUMBER(SEARCH(설정!$A$41,K994))),설정!$B$41,IF(AND(설정!$A$42&lt;&gt;"",ISNUMBER(SEARCH(설정!$A$42,K994))),설정!$B$42,IF(AND(설정!$A$43&lt;&gt;"",ISNUMBER(SEARCH(설정!$A$43,K994))),설정!$B$43,IF(AND(설정!$A$44&lt;&gt;"",ISNUMBER(SEARCH(설정!$A$44,K994))),설정!$B$44,IF(AND(설정!$A$45&lt;&gt;"",ISNUMBER(SEARCH(설정!$A$45,K994))),설정!$B$45,IF(AND(설정!$A$46&lt;&gt;"",ISNUMBER(SEARCH(설정!$A$46,K994))),설정!$B$46,IF(AND(설정!$A$47&lt;&gt;"",ISNUMBER(SEARCH(설정!$A$47,K994))),설정!$B$47,IF(AND(설정!$A$48&lt;&gt;"",ISNUMBER(SEARCH(설정!$A$48,K994))),설정!$B$48,IF(M994="","설계사","시공사"))))))))),"")</f>
        <v/>
      </c>
      <c r="V994">
        <f>SUBSTITUTE(SUBSTITUTE(SUBSTITUTE(SUBSTITUTE(G994,"(주)",""),"㈜",""),"주식회사","")," ","")</f>
        <v/>
      </c>
      <c r="W994">
        <f>IF(AND(T994,V994&lt;&gt;""),IF(COUNTIFS(V$2:V994,V994,T$2:T994,TRUE)=1,MAX(W$1:W993)+1,""),"")</f>
        <v/>
      </c>
      <c r="X994">
        <f>IFERROR(INDEX('1.산군_붙여넣기'!$A$1:$AZ$1001,ROW(),설정!$C$14)&amp;"","")</f>
        <v/>
      </c>
      <c r="Y994">
        <f>IFERROR(INDEX('1.산군_붙여넣기'!$A$1:$AZ$1001,ROW(),설정!$C$15)&amp;"","")</f>
        <v/>
      </c>
      <c r="Z994">
        <f>IF(T994,V994&amp;"|"&amp;U994,"")</f>
        <v/>
      </c>
    </row>
    <row r="995">
      <c r="A995">
        <f>ROW()</f>
        <v/>
      </c>
      <c r="B995">
        <f>IFERROR(INDEX('1.산군_붙여넣기'!$A$1:$AZ$1001,ROW(),설정!$C$4)&amp;"","")</f>
        <v/>
      </c>
      <c r="C995">
        <f>IFERROR(INDEX('1.산군_붙여넣기'!$A$1:$AZ$1001,ROW(),설정!$C$5)&amp;"","")</f>
        <v/>
      </c>
      <c r="D995" s="5">
        <f>IFERROR(VALUE(SUBSTITUTE(SUBSTITUTE(SUBSTITUTE(IFERROR(INDEX('1.산군_붙여넣기'!$A$1:$AZ$1001,ROW(),설정!$C$6)&amp;"",""),",",""),"㎡",""),"m2","")),"")</f>
        <v/>
      </c>
      <c r="E995">
        <f>IFERROR(INDEX('1.산군_붙여넣기'!$A$1:$AZ$1001,ROW(),설정!$C$7)&amp;"","")</f>
        <v/>
      </c>
      <c r="F995">
        <f>IFERROR(INDEX('1.산군_붙여넣기'!$A$1:$AZ$1001,ROW(),설정!$C$8)&amp;"","")</f>
        <v/>
      </c>
      <c r="G995">
        <f>IFERROR(INDEX('1.산군_붙여넣기'!$A$1:$AZ$1001,ROW(),설정!$C$9)&amp;"","")</f>
        <v/>
      </c>
      <c r="H995">
        <f>IFERROR(INDEX('1.산군_붙여넣기'!$A$1:$AZ$1001,ROW(),설정!$C$10)&amp;"","")</f>
        <v/>
      </c>
      <c r="I995">
        <f>IFERROR(INDEX('1.산군_붙여넣기'!$A$1:$AZ$1001,ROW(),설정!$C$11)&amp;"","")</f>
        <v/>
      </c>
      <c r="J995">
        <f>IFERROR(INDEX('1.산군_붙여넣기'!$A$1:$AZ$1001,ROW(),설정!$C$12)&amp;"","")</f>
        <v/>
      </c>
      <c r="K995">
        <f>IFERROR(INDEX('1.산군_붙여넣기'!$A$1:$AZ$1001,ROW(),설정!$C$13)&amp;"","")</f>
        <v/>
      </c>
      <c r="L995" s="6">
        <f>IF(X995="","",IF(AND(LEN(X995)=8,ISNUMBER(X995*1)),DATE(LEFT(X995,4),MID(X995,5,2),RIGHT(X995,2)),IFERROR(DATEVALUE(SUBSTITUTE(SUBSTITUTE(X995,".","-"),"/","-")),IFERROR(X995*1,""))))</f>
        <v/>
      </c>
      <c r="M995" s="6">
        <f>IF(Y995="","",IF(AND(LEN(Y995)=8,ISNUMBER(Y995*1)),DATE(LEFT(Y995,4),MID(Y995,5,2),RIGHT(Y995,2)),IFERROR(DATEVALUE(SUBSTITUTE(SUBSTITUTE(Y995,".","-"),"/","-")),IFERROR(Y995*1,""))))</f>
        <v/>
      </c>
      <c r="N995">
        <f>IFERROR(LEFT(B995,FIND(" ",B995)-1),B995)</f>
        <v/>
      </c>
      <c r="O995">
        <f>AND(B995&lt;&gt;"",B995&lt;&gt;설정!$B$4,C995&lt;&gt;설정!$B$5)</f>
        <v/>
      </c>
      <c r="P995">
        <f>IF(O995,B995&amp;"|"&amp;C995,"")</f>
        <v/>
      </c>
      <c r="Q995">
        <f>AND(O995,COUNTIF(P996:P$1002,P995)=0)</f>
        <v/>
      </c>
      <c r="R995">
        <f>OR(AND(설정!$A$28&lt;&gt;"",ISNUMBER(SEARCH(설정!$A$28,E995&amp;" "&amp;C995))),AND(설정!$A$29&lt;&gt;"",ISNUMBER(SEARCH(설정!$A$29,E995&amp;" "&amp;C995))),AND(설정!$A$30&lt;&gt;"",ISNUMBER(SEARCH(설정!$A$30,E995&amp;" "&amp;C995))),AND(설정!$A$31&lt;&gt;"",ISNUMBER(SEARCH(설정!$A$31,E995&amp;" "&amp;C995))),AND(설정!$A$32&lt;&gt;"",ISNUMBER(SEARCH(설정!$A$32,E995&amp;" "&amp;C995))),AND(설정!$A$33&lt;&gt;"",ISNUMBER(SEARCH(설정!$A$33,E995&amp;" "&amp;C995))),AND(설정!$A$34&lt;&gt;"",ISNUMBER(SEARCH(설정!$A$34,E995&amp;" "&amp;C995))),AND(설정!$A$35&lt;&gt;"",ISNUMBER(SEARCH(설정!$A$35,E995&amp;" "&amp;C995))),AND(설정!$A$36&lt;&gt;"",ISNUMBER(SEARCH(설정!$A$36,E995&amp;" "&amp;C995))),AND(설정!$A$37&lt;&gt;"",ISNUMBER(SEARCH(설정!$A$37,E995&amp;" "&amp;C995))))</f>
        <v/>
      </c>
      <c r="S995">
        <f>OR(D995="",D995&gt;=설정!$B$19)</f>
        <v/>
      </c>
      <c r="T995">
        <f>AND(Q995,R995,S995)</f>
        <v/>
      </c>
      <c r="U995">
        <f>IF(T995,IF(AND(설정!$A$41&lt;&gt;"",ISNUMBER(SEARCH(설정!$A$41,K995))),설정!$B$41,IF(AND(설정!$A$42&lt;&gt;"",ISNUMBER(SEARCH(설정!$A$42,K995))),설정!$B$42,IF(AND(설정!$A$43&lt;&gt;"",ISNUMBER(SEARCH(설정!$A$43,K995))),설정!$B$43,IF(AND(설정!$A$44&lt;&gt;"",ISNUMBER(SEARCH(설정!$A$44,K995))),설정!$B$44,IF(AND(설정!$A$45&lt;&gt;"",ISNUMBER(SEARCH(설정!$A$45,K995))),설정!$B$45,IF(AND(설정!$A$46&lt;&gt;"",ISNUMBER(SEARCH(설정!$A$46,K995))),설정!$B$46,IF(AND(설정!$A$47&lt;&gt;"",ISNUMBER(SEARCH(설정!$A$47,K995))),설정!$B$47,IF(AND(설정!$A$48&lt;&gt;"",ISNUMBER(SEARCH(설정!$A$48,K995))),설정!$B$48,IF(M995="","설계사","시공사"))))))))),"")</f>
        <v/>
      </c>
      <c r="V995">
        <f>SUBSTITUTE(SUBSTITUTE(SUBSTITUTE(SUBSTITUTE(G995,"(주)",""),"㈜",""),"주식회사","")," ","")</f>
        <v/>
      </c>
      <c r="W995">
        <f>IF(AND(T995,V995&lt;&gt;""),IF(COUNTIFS(V$2:V995,V995,T$2:T995,TRUE)=1,MAX(W$1:W994)+1,""),"")</f>
        <v/>
      </c>
      <c r="X995">
        <f>IFERROR(INDEX('1.산군_붙여넣기'!$A$1:$AZ$1001,ROW(),설정!$C$14)&amp;"","")</f>
        <v/>
      </c>
      <c r="Y995">
        <f>IFERROR(INDEX('1.산군_붙여넣기'!$A$1:$AZ$1001,ROW(),설정!$C$15)&amp;"","")</f>
        <v/>
      </c>
      <c r="Z995">
        <f>IF(T995,V995&amp;"|"&amp;U995,"")</f>
        <v/>
      </c>
    </row>
    <row r="996">
      <c r="A996">
        <f>ROW()</f>
        <v/>
      </c>
      <c r="B996">
        <f>IFERROR(INDEX('1.산군_붙여넣기'!$A$1:$AZ$1001,ROW(),설정!$C$4)&amp;"","")</f>
        <v/>
      </c>
      <c r="C996">
        <f>IFERROR(INDEX('1.산군_붙여넣기'!$A$1:$AZ$1001,ROW(),설정!$C$5)&amp;"","")</f>
        <v/>
      </c>
      <c r="D996" s="5">
        <f>IFERROR(VALUE(SUBSTITUTE(SUBSTITUTE(SUBSTITUTE(IFERROR(INDEX('1.산군_붙여넣기'!$A$1:$AZ$1001,ROW(),설정!$C$6)&amp;"",""),",",""),"㎡",""),"m2","")),"")</f>
        <v/>
      </c>
      <c r="E996">
        <f>IFERROR(INDEX('1.산군_붙여넣기'!$A$1:$AZ$1001,ROW(),설정!$C$7)&amp;"","")</f>
        <v/>
      </c>
      <c r="F996">
        <f>IFERROR(INDEX('1.산군_붙여넣기'!$A$1:$AZ$1001,ROW(),설정!$C$8)&amp;"","")</f>
        <v/>
      </c>
      <c r="G996">
        <f>IFERROR(INDEX('1.산군_붙여넣기'!$A$1:$AZ$1001,ROW(),설정!$C$9)&amp;"","")</f>
        <v/>
      </c>
      <c r="H996">
        <f>IFERROR(INDEX('1.산군_붙여넣기'!$A$1:$AZ$1001,ROW(),설정!$C$10)&amp;"","")</f>
        <v/>
      </c>
      <c r="I996">
        <f>IFERROR(INDEX('1.산군_붙여넣기'!$A$1:$AZ$1001,ROW(),설정!$C$11)&amp;"","")</f>
        <v/>
      </c>
      <c r="J996">
        <f>IFERROR(INDEX('1.산군_붙여넣기'!$A$1:$AZ$1001,ROW(),설정!$C$12)&amp;"","")</f>
        <v/>
      </c>
      <c r="K996">
        <f>IFERROR(INDEX('1.산군_붙여넣기'!$A$1:$AZ$1001,ROW(),설정!$C$13)&amp;"","")</f>
        <v/>
      </c>
      <c r="L996" s="6">
        <f>IF(X996="","",IF(AND(LEN(X996)=8,ISNUMBER(X996*1)),DATE(LEFT(X996,4),MID(X996,5,2),RIGHT(X996,2)),IFERROR(DATEVALUE(SUBSTITUTE(SUBSTITUTE(X996,".","-"),"/","-")),IFERROR(X996*1,""))))</f>
        <v/>
      </c>
      <c r="M996" s="6">
        <f>IF(Y996="","",IF(AND(LEN(Y996)=8,ISNUMBER(Y996*1)),DATE(LEFT(Y996,4),MID(Y996,5,2),RIGHT(Y996,2)),IFERROR(DATEVALUE(SUBSTITUTE(SUBSTITUTE(Y996,".","-"),"/","-")),IFERROR(Y996*1,""))))</f>
        <v/>
      </c>
      <c r="N996">
        <f>IFERROR(LEFT(B996,FIND(" ",B996)-1),B996)</f>
        <v/>
      </c>
      <c r="O996">
        <f>AND(B996&lt;&gt;"",B996&lt;&gt;설정!$B$4,C996&lt;&gt;설정!$B$5)</f>
        <v/>
      </c>
      <c r="P996">
        <f>IF(O996,B996&amp;"|"&amp;C996,"")</f>
        <v/>
      </c>
      <c r="Q996">
        <f>AND(O996,COUNTIF(P997:P$1002,P996)=0)</f>
        <v/>
      </c>
      <c r="R996">
        <f>OR(AND(설정!$A$28&lt;&gt;"",ISNUMBER(SEARCH(설정!$A$28,E996&amp;" "&amp;C996))),AND(설정!$A$29&lt;&gt;"",ISNUMBER(SEARCH(설정!$A$29,E996&amp;" "&amp;C996))),AND(설정!$A$30&lt;&gt;"",ISNUMBER(SEARCH(설정!$A$30,E996&amp;" "&amp;C996))),AND(설정!$A$31&lt;&gt;"",ISNUMBER(SEARCH(설정!$A$31,E996&amp;" "&amp;C996))),AND(설정!$A$32&lt;&gt;"",ISNUMBER(SEARCH(설정!$A$32,E996&amp;" "&amp;C996))),AND(설정!$A$33&lt;&gt;"",ISNUMBER(SEARCH(설정!$A$33,E996&amp;" "&amp;C996))),AND(설정!$A$34&lt;&gt;"",ISNUMBER(SEARCH(설정!$A$34,E996&amp;" "&amp;C996))),AND(설정!$A$35&lt;&gt;"",ISNUMBER(SEARCH(설정!$A$35,E996&amp;" "&amp;C996))),AND(설정!$A$36&lt;&gt;"",ISNUMBER(SEARCH(설정!$A$36,E996&amp;" "&amp;C996))),AND(설정!$A$37&lt;&gt;"",ISNUMBER(SEARCH(설정!$A$37,E996&amp;" "&amp;C996))))</f>
        <v/>
      </c>
      <c r="S996">
        <f>OR(D996="",D996&gt;=설정!$B$19)</f>
        <v/>
      </c>
      <c r="T996">
        <f>AND(Q996,R996,S996)</f>
        <v/>
      </c>
      <c r="U996">
        <f>IF(T996,IF(AND(설정!$A$41&lt;&gt;"",ISNUMBER(SEARCH(설정!$A$41,K996))),설정!$B$41,IF(AND(설정!$A$42&lt;&gt;"",ISNUMBER(SEARCH(설정!$A$42,K996))),설정!$B$42,IF(AND(설정!$A$43&lt;&gt;"",ISNUMBER(SEARCH(설정!$A$43,K996))),설정!$B$43,IF(AND(설정!$A$44&lt;&gt;"",ISNUMBER(SEARCH(설정!$A$44,K996))),설정!$B$44,IF(AND(설정!$A$45&lt;&gt;"",ISNUMBER(SEARCH(설정!$A$45,K996))),설정!$B$45,IF(AND(설정!$A$46&lt;&gt;"",ISNUMBER(SEARCH(설정!$A$46,K996))),설정!$B$46,IF(AND(설정!$A$47&lt;&gt;"",ISNUMBER(SEARCH(설정!$A$47,K996))),설정!$B$47,IF(AND(설정!$A$48&lt;&gt;"",ISNUMBER(SEARCH(설정!$A$48,K996))),설정!$B$48,IF(M996="","설계사","시공사"))))))))),"")</f>
        <v/>
      </c>
      <c r="V996">
        <f>SUBSTITUTE(SUBSTITUTE(SUBSTITUTE(SUBSTITUTE(G996,"(주)",""),"㈜",""),"주식회사","")," ","")</f>
        <v/>
      </c>
      <c r="W996">
        <f>IF(AND(T996,V996&lt;&gt;""),IF(COUNTIFS(V$2:V996,V996,T$2:T996,TRUE)=1,MAX(W$1:W995)+1,""),"")</f>
        <v/>
      </c>
      <c r="X996">
        <f>IFERROR(INDEX('1.산군_붙여넣기'!$A$1:$AZ$1001,ROW(),설정!$C$14)&amp;"","")</f>
        <v/>
      </c>
      <c r="Y996">
        <f>IFERROR(INDEX('1.산군_붙여넣기'!$A$1:$AZ$1001,ROW(),설정!$C$15)&amp;"","")</f>
        <v/>
      </c>
      <c r="Z996">
        <f>IF(T996,V996&amp;"|"&amp;U996,"")</f>
        <v/>
      </c>
    </row>
    <row r="997">
      <c r="A997">
        <f>ROW()</f>
        <v/>
      </c>
      <c r="B997">
        <f>IFERROR(INDEX('1.산군_붙여넣기'!$A$1:$AZ$1001,ROW(),설정!$C$4)&amp;"","")</f>
        <v/>
      </c>
      <c r="C997">
        <f>IFERROR(INDEX('1.산군_붙여넣기'!$A$1:$AZ$1001,ROW(),설정!$C$5)&amp;"","")</f>
        <v/>
      </c>
      <c r="D997" s="5">
        <f>IFERROR(VALUE(SUBSTITUTE(SUBSTITUTE(SUBSTITUTE(IFERROR(INDEX('1.산군_붙여넣기'!$A$1:$AZ$1001,ROW(),설정!$C$6)&amp;"",""),",",""),"㎡",""),"m2","")),"")</f>
        <v/>
      </c>
      <c r="E997">
        <f>IFERROR(INDEX('1.산군_붙여넣기'!$A$1:$AZ$1001,ROW(),설정!$C$7)&amp;"","")</f>
        <v/>
      </c>
      <c r="F997">
        <f>IFERROR(INDEX('1.산군_붙여넣기'!$A$1:$AZ$1001,ROW(),설정!$C$8)&amp;"","")</f>
        <v/>
      </c>
      <c r="G997">
        <f>IFERROR(INDEX('1.산군_붙여넣기'!$A$1:$AZ$1001,ROW(),설정!$C$9)&amp;"","")</f>
        <v/>
      </c>
      <c r="H997">
        <f>IFERROR(INDEX('1.산군_붙여넣기'!$A$1:$AZ$1001,ROW(),설정!$C$10)&amp;"","")</f>
        <v/>
      </c>
      <c r="I997">
        <f>IFERROR(INDEX('1.산군_붙여넣기'!$A$1:$AZ$1001,ROW(),설정!$C$11)&amp;"","")</f>
        <v/>
      </c>
      <c r="J997">
        <f>IFERROR(INDEX('1.산군_붙여넣기'!$A$1:$AZ$1001,ROW(),설정!$C$12)&amp;"","")</f>
        <v/>
      </c>
      <c r="K997">
        <f>IFERROR(INDEX('1.산군_붙여넣기'!$A$1:$AZ$1001,ROW(),설정!$C$13)&amp;"","")</f>
        <v/>
      </c>
      <c r="L997" s="6">
        <f>IF(X997="","",IF(AND(LEN(X997)=8,ISNUMBER(X997*1)),DATE(LEFT(X997,4),MID(X997,5,2),RIGHT(X997,2)),IFERROR(DATEVALUE(SUBSTITUTE(SUBSTITUTE(X997,".","-"),"/","-")),IFERROR(X997*1,""))))</f>
        <v/>
      </c>
      <c r="M997" s="6">
        <f>IF(Y997="","",IF(AND(LEN(Y997)=8,ISNUMBER(Y997*1)),DATE(LEFT(Y997,4),MID(Y997,5,2),RIGHT(Y997,2)),IFERROR(DATEVALUE(SUBSTITUTE(SUBSTITUTE(Y997,".","-"),"/","-")),IFERROR(Y997*1,""))))</f>
        <v/>
      </c>
      <c r="N997">
        <f>IFERROR(LEFT(B997,FIND(" ",B997)-1),B997)</f>
        <v/>
      </c>
      <c r="O997">
        <f>AND(B997&lt;&gt;"",B997&lt;&gt;설정!$B$4,C997&lt;&gt;설정!$B$5)</f>
        <v/>
      </c>
      <c r="P997">
        <f>IF(O997,B997&amp;"|"&amp;C997,"")</f>
        <v/>
      </c>
      <c r="Q997">
        <f>AND(O997,COUNTIF(P998:P$1002,P997)=0)</f>
        <v/>
      </c>
      <c r="R997">
        <f>OR(AND(설정!$A$28&lt;&gt;"",ISNUMBER(SEARCH(설정!$A$28,E997&amp;" "&amp;C997))),AND(설정!$A$29&lt;&gt;"",ISNUMBER(SEARCH(설정!$A$29,E997&amp;" "&amp;C997))),AND(설정!$A$30&lt;&gt;"",ISNUMBER(SEARCH(설정!$A$30,E997&amp;" "&amp;C997))),AND(설정!$A$31&lt;&gt;"",ISNUMBER(SEARCH(설정!$A$31,E997&amp;" "&amp;C997))),AND(설정!$A$32&lt;&gt;"",ISNUMBER(SEARCH(설정!$A$32,E997&amp;" "&amp;C997))),AND(설정!$A$33&lt;&gt;"",ISNUMBER(SEARCH(설정!$A$33,E997&amp;" "&amp;C997))),AND(설정!$A$34&lt;&gt;"",ISNUMBER(SEARCH(설정!$A$34,E997&amp;" "&amp;C997))),AND(설정!$A$35&lt;&gt;"",ISNUMBER(SEARCH(설정!$A$35,E997&amp;" "&amp;C997))),AND(설정!$A$36&lt;&gt;"",ISNUMBER(SEARCH(설정!$A$36,E997&amp;" "&amp;C997))),AND(설정!$A$37&lt;&gt;"",ISNUMBER(SEARCH(설정!$A$37,E997&amp;" "&amp;C997))))</f>
        <v/>
      </c>
      <c r="S997">
        <f>OR(D997="",D997&gt;=설정!$B$19)</f>
        <v/>
      </c>
      <c r="T997">
        <f>AND(Q997,R997,S997)</f>
        <v/>
      </c>
      <c r="U997">
        <f>IF(T997,IF(AND(설정!$A$41&lt;&gt;"",ISNUMBER(SEARCH(설정!$A$41,K997))),설정!$B$41,IF(AND(설정!$A$42&lt;&gt;"",ISNUMBER(SEARCH(설정!$A$42,K997))),설정!$B$42,IF(AND(설정!$A$43&lt;&gt;"",ISNUMBER(SEARCH(설정!$A$43,K997))),설정!$B$43,IF(AND(설정!$A$44&lt;&gt;"",ISNUMBER(SEARCH(설정!$A$44,K997))),설정!$B$44,IF(AND(설정!$A$45&lt;&gt;"",ISNUMBER(SEARCH(설정!$A$45,K997))),설정!$B$45,IF(AND(설정!$A$46&lt;&gt;"",ISNUMBER(SEARCH(설정!$A$46,K997))),설정!$B$46,IF(AND(설정!$A$47&lt;&gt;"",ISNUMBER(SEARCH(설정!$A$47,K997))),설정!$B$47,IF(AND(설정!$A$48&lt;&gt;"",ISNUMBER(SEARCH(설정!$A$48,K997))),설정!$B$48,IF(M997="","설계사","시공사"))))))))),"")</f>
        <v/>
      </c>
      <c r="V997">
        <f>SUBSTITUTE(SUBSTITUTE(SUBSTITUTE(SUBSTITUTE(G997,"(주)",""),"㈜",""),"주식회사","")," ","")</f>
        <v/>
      </c>
      <c r="W997">
        <f>IF(AND(T997,V997&lt;&gt;""),IF(COUNTIFS(V$2:V997,V997,T$2:T997,TRUE)=1,MAX(W$1:W996)+1,""),"")</f>
        <v/>
      </c>
      <c r="X997">
        <f>IFERROR(INDEX('1.산군_붙여넣기'!$A$1:$AZ$1001,ROW(),설정!$C$14)&amp;"","")</f>
        <v/>
      </c>
      <c r="Y997">
        <f>IFERROR(INDEX('1.산군_붙여넣기'!$A$1:$AZ$1001,ROW(),설정!$C$15)&amp;"","")</f>
        <v/>
      </c>
      <c r="Z997">
        <f>IF(T997,V997&amp;"|"&amp;U997,"")</f>
        <v/>
      </c>
    </row>
    <row r="998">
      <c r="A998">
        <f>ROW()</f>
        <v/>
      </c>
      <c r="B998">
        <f>IFERROR(INDEX('1.산군_붙여넣기'!$A$1:$AZ$1001,ROW(),설정!$C$4)&amp;"","")</f>
        <v/>
      </c>
      <c r="C998">
        <f>IFERROR(INDEX('1.산군_붙여넣기'!$A$1:$AZ$1001,ROW(),설정!$C$5)&amp;"","")</f>
        <v/>
      </c>
      <c r="D998" s="5">
        <f>IFERROR(VALUE(SUBSTITUTE(SUBSTITUTE(SUBSTITUTE(IFERROR(INDEX('1.산군_붙여넣기'!$A$1:$AZ$1001,ROW(),설정!$C$6)&amp;"",""),",",""),"㎡",""),"m2","")),"")</f>
        <v/>
      </c>
      <c r="E998">
        <f>IFERROR(INDEX('1.산군_붙여넣기'!$A$1:$AZ$1001,ROW(),설정!$C$7)&amp;"","")</f>
        <v/>
      </c>
      <c r="F998">
        <f>IFERROR(INDEX('1.산군_붙여넣기'!$A$1:$AZ$1001,ROW(),설정!$C$8)&amp;"","")</f>
        <v/>
      </c>
      <c r="G998">
        <f>IFERROR(INDEX('1.산군_붙여넣기'!$A$1:$AZ$1001,ROW(),설정!$C$9)&amp;"","")</f>
        <v/>
      </c>
      <c r="H998">
        <f>IFERROR(INDEX('1.산군_붙여넣기'!$A$1:$AZ$1001,ROW(),설정!$C$10)&amp;"","")</f>
        <v/>
      </c>
      <c r="I998">
        <f>IFERROR(INDEX('1.산군_붙여넣기'!$A$1:$AZ$1001,ROW(),설정!$C$11)&amp;"","")</f>
        <v/>
      </c>
      <c r="J998">
        <f>IFERROR(INDEX('1.산군_붙여넣기'!$A$1:$AZ$1001,ROW(),설정!$C$12)&amp;"","")</f>
        <v/>
      </c>
      <c r="K998">
        <f>IFERROR(INDEX('1.산군_붙여넣기'!$A$1:$AZ$1001,ROW(),설정!$C$13)&amp;"","")</f>
        <v/>
      </c>
      <c r="L998" s="6">
        <f>IF(X998="","",IF(AND(LEN(X998)=8,ISNUMBER(X998*1)),DATE(LEFT(X998,4),MID(X998,5,2),RIGHT(X998,2)),IFERROR(DATEVALUE(SUBSTITUTE(SUBSTITUTE(X998,".","-"),"/","-")),IFERROR(X998*1,""))))</f>
        <v/>
      </c>
      <c r="M998" s="6">
        <f>IF(Y998="","",IF(AND(LEN(Y998)=8,ISNUMBER(Y998*1)),DATE(LEFT(Y998,4),MID(Y998,5,2),RIGHT(Y998,2)),IFERROR(DATEVALUE(SUBSTITUTE(SUBSTITUTE(Y998,".","-"),"/","-")),IFERROR(Y998*1,""))))</f>
        <v/>
      </c>
      <c r="N998">
        <f>IFERROR(LEFT(B998,FIND(" ",B998)-1),B998)</f>
        <v/>
      </c>
      <c r="O998">
        <f>AND(B998&lt;&gt;"",B998&lt;&gt;설정!$B$4,C998&lt;&gt;설정!$B$5)</f>
        <v/>
      </c>
      <c r="P998">
        <f>IF(O998,B998&amp;"|"&amp;C998,"")</f>
        <v/>
      </c>
      <c r="Q998">
        <f>AND(O998,COUNTIF(P999:P$1002,P998)=0)</f>
        <v/>
      </c>
      <c r="R998">
        <f>OR(AND(설정!$A$28&lt;&gt;"",ISNUMBER(SEARCH(설정!$A$28,E998&amp;" "&amp;C998))),AND(설정!$A$29&lt;&gt;"",ISNUMBER(SEARCH(설정!$A$29,E998&amp;" "&amp;C998))),AND(설정!$A$30&lt;&gt;"",ISNUMBER(SEARCH(설정!$A$30,E998&amp;" "&amp;C998))),AND(설정!$A$31&lt;&gt;"",ISNUMBER(SEARCH(설정!$A$31,E998&amp;" "&amp;C998))),AND(설정!$A$32&lt;&gt;"",ISNUMBER(SEARCH(설정!$A$32,E998&amp;" "&amp;C998))),AND(설정!$A$33&lt;&gt;"",ISNUMBER(SEARCH(설정!$A$33,E998&amp;" "&amp;C998))),AND(설정!$A$34&lt;&gt;"",ISNUMBER(SEARCH(설정!$A$34,E998&amp;" "&amp;C998))),AND(설정!$A$35&lt;&gt;"",ISNUMBER(SEARCH(설정!$A$35,E998&amp;" "&amp;C998))),AND(설정!$A$36&lt;&gt;"",ISNUMBER(SEARCH(설정!$A$36,E998&amp;" "&amp;C998))),AND(설정!$A$37&lt;&gt;"",ISNUMBER(SEARCH(설정!$A$37,E998&amp;" "&amp;C998))))</f>
        <v/>
      </c>
      <c r="S998">
        <f>OR(D998="",D998&gt;=설정!$B$19)</f>
        <v/>
      </c>
      <c r="T998">
        <f>AND(Q998,R998,S998)</f>
        <v/>
      </c>
      <c r="U998">
        <f>IF(T998,IF(AND(설정!$A$41&lt;&gt;"",ISNUMBER(SEARCH(설정!$A$41,K998))),설정!$B$41,IF(AND(설정!$A$42&lt;&gt;"",ISNUMBER(SEARCH(설정!$A$42,K998))),설정!$B$42,IF(AND(설정!$A$43&lt;&gt;"",ISNUMBER(SEARCH(설정!$A$43,K998))),설정!$B$43,IF(AND(설정!$A$44&lt;&gt;"",ISNUMBER(SEARCH(설정!$A$44,K998))),설정!$B$44,IF(AND(설정!$A$45&lt;&gt;"",ISNUMBER(SEARCH(설정!$A$45,K998))),설정!$B$45,IF(AND(설정!$A$46&lt;&gt;"",ISNUMBER(SEARCH(설정!$A$46,K998))),설정!$B$46,IF(AND(설정!$A$47&lt;&gt;"",ISNUMBER(SEARCH(설정!$A$47,K998))),설정!$B$47,IF(AND(설정!$A$48&lt;&gt;"",ISNUMBER(SEARCH(설정!$A$48,K998))),설정!$B$48,IF(M998="","설계사","시공사"))))))))),"")</f>
        <v/>
      </c>
      <c r="V998">
        <f>SUBSTITUTE(SUBSTITUTE(SUBSTITUTE(SUBSTITUTE(G998,"(주)",""),"㈜",""),"주식회사","")," ","")</f>
        <v/>
      </c>
      <c r="W998">
        <f>IF(AND(T998,V998&lt;&gt;""),IF(COUNTIFS(V$2:V998,V998,T$2:T998,TRUE)=1,MAX(W$1:W997)+1,""),"")</f>
        <v/>
      </c>
      <c r="X998">
        <f>IFERROR(INDEX('1.산군_붙여넣기'!$A$1:$AZ$1001,ROW(),설정!$C$14)&amp;"","")</f>
        <v/>
      </c>
      <c r="Y998">
        <f>IFERROR(INDEX('1.산군_붙여넣기'!$A$1:$AZ$1001,ROW(),설정!$C$15)&amp;"","")</f>
        <v/>
      </c>
      <c r="Z998">
        <f>IF(T998,V998&amp;"|"&amp;U998,"")</f>
        <v/>
      </c>
    </row>
    <row r="999">
      <c r="A999">
        <f>ROW()</f>
        <v/>
      </c>
      <c r="B999">
        <f>IFERROR(INDEX('1.산군_붙여넣기'!$A$1:$AZ$1001,ROW(),설정!$C$4)&amp;"","")</f>
        <v/>
      </c>
      <c r="C999">
        <f>IFERROR(INDEX('1.산군_붙여넣기'!$A$1:$AZ$1001,ROW(),설정!$C$5)&amp;"","")</f>
        <v/>
      </c>
      <c r="D999" s="5">
        <f>IFERROR(VALUE(SUBSTITUTE(SUBSTITUTE(SUBSTITUTE(IFERROR(INDEX('1.산군_붙여넣기'!$A$1:$AZ$1001,ROW(),설정!$C$6)&amp;"",""),",",""),"㎡",""),"m2","")),"")</f>
        <v/>
      </c>
      <c r="E999">
        <f>IFERROR(INDEX('1.산군_붙여넣기'!$A$1:$AZ$1001,ROW(),설정!$C$7)&amp;"","")</f>
        <v/>
      </c>
      <c r="F999">
        <f>IFERROR(INDEX('1.산군_붙여넣기'!$A$1:$AZ$1001,ROW(),설정!$C$8)&amp;"","")</f>
        <v/>
      </c>
      <c r="G999">
        <f>IFERROR(INDEX('1.산군_붙여넣기'!$A$1:$AZ$1001,ROW(),설정!$C$9)&amp;"","")</f>
        <v/>
      </c>
      <c r="H999">
        <f>IFERROR(INDEX('1.산군_붙여넣기'!$A$1:$AZ$1001,ROW(),설정!$C$10)&amp;"","")</f>
        <v/>
      </c>
      <c r="I999">
        <f>IFERROR(INDEX('1.산군_붙여넣기'!$A$1:$AZ$1001,ROW(),설정!$C$11)&amp;"","")</f>
        <v/>
      </c>
      <c r="J999">
        <f>IFERROR(INDEX('1.산군_붙여넣기'!$A$1:$AZ$1001,ROW(),설정!$C$12)&amp;"","")</f>
        <v/>
      </c>
      <c r="K999">
        <f>IFERROR(INDEX('1.산군_붙여넣기'!$A$1:$AZ$1001,ROW(),설정!$C$13)&amp;"","")</f>
        <v/>
      </c>
      <c r="L999" s="6">
        <f>IF(X999="","",IF(AND(LEN(X999)=8,ISNUMBER(X999*1)),DATE(LEFT(X999,4),MID(X999,5,2),RIGHT(X999,2)),IFERROR(DATEVALUE(SUBSTITUTE(SUBSTITUTE(X999,".","-"),"/","-")),IFERROR(X999*1,""))))</f>
        <v/>
      </c>
      <c r="M999" s="6">
        <f>IF(Y999="","",IF(AND(LEN(Y999)=8,ISNUMBER(Y999*1)),DATE(LEFT(Y999,4),MID(Y999,5,2),RIGHT(Y999,2)),IFERROR(DATEVALUE(SUBSTITUTE(SUBSTITUTE(Y999,".","-"),"/","-")),IFERROR(Y999*1,""))))</f>
        <v/>
      </c>
      <c r="N999">
        <f>IFERROR(LEFT(B999,FIND(" ",B999)-1),B999)</f>
        <v/>
      </c>
      <c r="O999">
        <f>AND(B999&lt;&gt;"",B999&lt;&gt;설정!$B$4,C999&lt;&gt;설정!$B$5)</f>
        <v/>
      </c>
      <c r="P999">
        <f>IF(O999,B999&amp;"|"&amp;C999,"")</f>
        <v/>
      </c>
      <c r="Q999">
        <f>AND(O999,COUNTIF(P1000:P$1002,P999)=0)</f>
        <v/>
      </c>
      <c r="R999">
        <f>OR(AND(설정!$A$28&lt;&gt;"",ISNUMBER(SEARCH(설정!$A$28,E999&amp;" "&amp;C999))),AND(설정!$A$29&lt;&gt;"",ISNUMBER(SEARCH(설정!$A$29,E999&amp;" "&amp;C999))),AND(설정!$A$30&lt;&gt;"",ISNUMBER(SEARCH(설정!$A$30,E999&amp;" "&amp;C999))),AND(설정!$A$31&lt;&gt;"",ISNUMBER(SEARCH(설정!$A$31,E999&amp;" "&amp;C999))),AND(설정!$A$32&lt;&gt;"",ISNUMBER(SEARCH(설정!$A$32,E999&amp;" "&amp;C999))),AND(설정!$A$33&lt;&gt;"",ISNUMBER(SEARCH(설정!$A$33,E999&amp;" "&amp;C999))),AND(설정!$A$34&lt;&gt;"",ISNUMBER(SEARCH(설정!$A$34,E999&amp;" "&amp;C999))),AND(설정!$A$35&lt;&gt;"",ISNUMBER(SEARCH(설정!$A$35,E999&amp;" "&amp;C999))),AND(설정!$A$36&lt;&gt;"",ISNUMBER(SEARCH(설정!$A$36,E999&amp;" "&amp;C999))),AND(설정!$A$37&lt;&gt;"",ISNUMBER(SEARCH(설정!$A$37,E999&amp;" "&amp;C999))))</f>
        <v/>
      </c>
      <c r="S999">
        <f>OR(D999="",D999&gt;=설정!$B$19)</f>
        <v/>
      </c>
      <c r="T999">
        <f>AND(Q999,R999,S999)</f>
        <v/>
      </c>
      <c r="U999">
        <f>IF(T999,IF(AND(설정!$A$41&lt;&gt;"",ISNUMBER(SEARCH(설정!$A$41,K999))),설정!$B$41,IF(AND(설정!$A$42&lt;&gt;"",ISNUMBER(SEARCH(설정!$A$42,K999))),설정!$B$42,IF(AND(설정!$A$43&lt;&gt;"",ISNUMBER(SEARCH(설정!$A$43,K999))),설정!$B$43,IF(AND(설정!$A$44&lt;&gt;"",ISNUMBER(SEARCH(설정!$A$44,K999))),설정!$B$44,IF(AND(설정!$A$45&lt;&gt;"",ISNUMBER(SEARCH(설정!$A$45,K999))),설정!$B$45,IF(AND(설정!$A$46&lt;&gt;"",ISNUMBER(SEARCH(설정!$A$46,K999))),설정!$B$46,IF(AND(설정!$A$47&lt;&gt;"",ISNUMBER(SEARCH(설정!$A$47,K999))),설정!$B$47,IF(AND(설정!$A$48&lt;&gt;"",ISNUMBER(SEARCH(설정!$A$48,K999))),설정!$B$48,IF(M999="","설계사","시공사"))))))))),"")</f>
        <v/>
      </c>
      <c r="V999">
        <f>SUBSTITUTE(SUBSTITUTE(SUBSTITUTE(SUBSTITUTE(G999,"(주)",""),"㈜",""),"주식회사","")," ","")</f>
        <v/>
      </c>
      <c r="W999">
        <f>IF(AND(T999,V999&lt;&gt;""),IF(COUNTIFS(V$2:V999,V999,T$2:T999,TRUE)=1,MAX(W$1:W998)+1,""),"")</f>
        <v/>
      </c>
      <c r="X999">
        <f>IFERROR(INDEX('1.산군_붙여넣기'!$A$1:$AZ$1001,ROW(),설정!$C$14)&amp;"","")</f>
        <v/>
      </c>
      <c r="Y999">
        <f>IFERROR(INDEX('1.산군_붙여넣기'!$A$1:$AZ$1001,ROW(),설정!$C$15)&amp;"","")</f>
        <v/>
      </c>
      <c r="Z999">
        <f>IF(T999,V999&amp;"|"&amp;U999,"")</f>
        <v/>
      </c>
    </row>
    <row r="1000">
      <c r="A1000">
        <f>ROW()</f>
        <v/>
      </c>
      <c r="B1000">
        <f>IFERROR(INDEX('1.산군_붙여넣기'!$A$1:$AZ$1001,ROW(),설정!$C$4)&amp;"","")</f>
        <v/>
      </c>
      <c r="C1000">
        <f>IFERROR(INDEX('1.산군_붙여넣기'!$A$1:$AZ$1001,ROW(),설정!$C$5)&amp;"","")</f>
        <v/>
      </c>
      <c r="D1000" s="5">
        <f>IFERROR(VALUE(SUBSTITUTE(SUBSTITUTE(SUBSTITUTE(IFERROR(INDEX('1.산군_붙여넣기'!$A$1:$AZ$1001,ROW(),설정!$C$6)&amp;"",""),",",""),"㎡",""),"m2","")),"")</f>
        <v/>
      </c>
      <c r="E1000">
        <f>IFERROR(INDEX('1.산군_붙여넣기'!$A$1:$AZ$1001,ROW(),설정!$C$7)&amp;"","")</f>
        <v/>
      </c>
      <c r="F1000">
        <f>IFERROR(INDEX('1.산군_붙여넣기'!$A$1:$AZ$1001,ROW(),설정!$C$8)&amp;"","")</f>
        <v/>
      </c>
      <c r="G1000">
        <f>IFERROR(INDEX('1.산군_붙여넣기'!$A$1:$AZ$1001,ROW(),설정!$C$9)&amp;"","")</f>
        <v/>
      </c>
      <c r="H1000">
        <f>IFERROR(INDEX('1.산군_붙여넣기'!$A$1:$AZ$1001,ROW(),설정!$C$10)&amp;"","")</f>
        <v/>
      </c>
      <c r="I1000">
        <f>IFERROR(INDEX('1.산군_붙여넣기'!$A$1:$AZ$1001,ROW(),설정!$C$11)&amp;"","")</f>
        <v/>
      </c>
      <c r="J1000">
        <f>IFERROR(INDEX('1.산군_붙여넣기'!$A$1:$AZ$1001,ROW(),설정!$C$12)&amp;"","")</f>
        <v/>
      </c>
      <c r="K1000">
        <f>IFERROR(INDEX('1.산군_붙여넣기'!$A$1:$AZ$1001,ROW(),설정!$C$13)&amp;"","")</f>
        <v/>
      </c>
      <c r="L1000" s="6">
        <f>IF(X1000="","",IF(AND(LEN(X1000)=8,ISNUMBER(X1000*1)),DATE(LEFT(X1000,4),MID(X1000,5,2),RIGHT(X1000,2)),IFERROR(DATEVALUE(SUBSTITUTE(SUBSTITUTE(X1000,".","-"),"/","-")),IFERROR(X1000*1,""))))</f>
        <v/>
      </c>
      <c r="M1000" s="6">
        <f>IF(Y1000="","",IF(AND(LEN(Y1000)=8,ISNUMBER(Y1000*1)),DATE(LEFT(Y1000,4),MID(Y1000,5,2),RIGHT(Y1000,2)),IFERROR(DATEVALUE(SUBSTITUTE(SUBSTITUTE(Y1000,".","-"),"/","-")),IFERROR(Y1000*1,""))))</f>
        <v/>
      </c>
      <c r="N1000">
        <f>IFERROR(LEFT(B1000,FIND(" ",B1000)-1),B1000)</f>
        <v/>
      </c>
      <c r="O1000">
        <f>AND(B1000&lt;&gt;"",B1000&lt;&gt;설정!$B$4,C1000&lt;&gt;설정!$B$5)</f>
        <v/>
      </c>
      <c r="P1000">
        <f>IF(O1000,B1000&amp;"|"&amp;C1000,"")</f>
        <v/>
      </c>
      <c r="Q1000">
        <f>AND(O1000,COUNTIF(P1001:P$1002,P1000)=0)</f>
        <v/>
      </c>
      <c r="R1000">
        <f>OR(AND(설정!$A$28&lt;&gt;"",ISNUMBER(SEARCH(설정!$A$28,E1000&amp;" "&amp;C1000))),AND(설정!$A$29&lt;&gt;"",ISNUMBER(SEARCH(설정!$A$29,E1000&amp;" "&amp;C1000))),AND(설정!$A$30&lt;&gt;"",ISNUMBER(SEARCH(설정!$A$30,E1000&amp;" "&amp;C1000))),AND(설정!$A$31&lt;&gt;"",ISNUMBER(SEARCH(설정!$A$31,E1000&amp;" "&amp;C1000))),AND(설정!$A$32&lt;&gt;"",ISNUMBER(SEARCH(설정!$A$32,E1000&amp;" "&amp;C1000))),AND(설정!$A$33&lt;&gt;"",ISNUMBER(SEARCH(설정!$A$33,E1000&amp;" "&amp;C1000))),AND(설정!$A$34&lt;&gt;"",ISNUMBER(SEARCH(설정!$A$34,E1000&amp;" "&amp;C1000))),AND(설정!$A$35&lt;&gt;"",ISNUMBER(SEARCH(설정!$A$35,E1000&amp;" "&amp;C1000))),AND(설정!$A$36&lt;&gt;"",ISNUMBER(SEARCH(설정!$A$36,E1000&amp;" "&amp;C1000))),AND(설정!$A$37&lt;&gt;"",ISNUMBER(SEARCH(설정!$A$37,E1000&amp;" "&amp;C1000))))</f>
        <v/>
      </c>
      <c r="S1000">
        <f>OR(D1000="",D1000&gt;=설정!$B$19)</f>
        <v/>
      </c>
      <c r="T1000">
        <f>AND(Q1000,R1000,S1000)</f>
        <v/>
      </c>
      <c r="U1000">
        <f>IF(T1000,IF(AND(설정!$A$41&lt;&gt;"",ISNUMBER(SEARCH(설정!$A$41,K1000))),설정!$B$41,IF(AND(설정!$A$42&lt;&gt;"",ISNUMBER(SEARCH(설정!$A$42,K1000))),설정!$B$42,IF(AND(설정!$A$43&lt;&gt;"",ISNUMBER(SEARCH(설정!$A$43,K1000))),설정!$B$43,IF(AND(설정!$A$44&lt;&gt;"",ISNUMBER(SEARCH(설정!$A$44,K1000))),설정!$B$44,IF(AND(설정!$A$45&lt;&gt;"",ISNUMBER(SEARCH(설정!$A$45,K1000))),설정!$B$45,IF(AND(설정!$A$46&lt;&gt;"",ISNUMBER(SEARCH(설정!$A$46,K1000))),설정!$B$46,IF(AND(설정!$A$47&lt;&gt;"",ISNUMBER(SEARCH(설정!$A$47,K1000))),설정!$B$47,IF(AND(설정!$A$48&lt;&gt;"",ISNUMBER(SEARCH(설정!$A$48,K1000))),설정!$B$48,IF(M1000="","설계사","시공사"))))))))),"")</f>
        <v/>
      </c>
      <c r="V1000">
        <f>SUBSTITUTE(SUBSTITUTE(SUBSTITUTE(SUBSTITUTE(G1000,"(주)",""),"㈜",""),"주식회사","")," ","")</f>
        <v/>
      </c>
      <c r="W1000">
        <f>IF(AND(T1000,V1000&lt;&gt;""),IF(COUNTIFS(V$2:V1000,V1000,T$2:T1000,TRUE)=1,MAX(W$1:W999)+1,""),"")</f>
        <v/>
      </c>
      <c r="X1000">
        <f>IFERROR(INDEX('1.산군_붙여넣기'!$A$1:$AZ$1001,ROW(),설정!$C$14)&amp;"","")</f>
        <v/>
      </c>
      <c r="Y1000">
        <f>IFERROR(INDEX('1.산군_붙여넣기'!$A$1:$AZ$1001,ROW(),설정!$C$15)&amp;"","")</f>
        <v/>
      </c>
      <c r="Z1000">
        <f>IF(T1000,V1000&amp;"|"&amp;U1000,"")</f>
        <v/>
      </c>
    </row>
    <row r="1001">
      <c r="A1001">
        <f>ROW()</f>
        <v/>
      </c>
      <c r="B1001">
        <f>IFERROR(INDEX('1.산군_붙여넣기'!$A$1:$AZ$1001,ROW(),설정!$C$4)&amp;"","")</f>
        <v/>
      </c>
      <c r="C1001">
        <f>IFERROR(INDEX('1.산군_붙여넣기'!$A$1:$AZ$1001,ROW(),설정!$C$5)&amp;"","")</f>
        <v/>
      </c>
      <c r="D1001" s="5">
        <f>IFERROR(VALUE(SUBSTITUTE(SUBSTITUTE(SUBSTITUTE(IFERROR(INDEX('1.산군_붙여넣기'!$A$1:$AZ$1001,ROW(),설정!$C$6)&amp;"",""),",",""),"㎡",""),"m2","")),"")</f>
        <v/>
      </c>
      <c r="E1001">
        <f>IFERROR(INDEX('1.산군_붙여넣기'!$A$1:$AZ$1001,ROW(),설정!$C$7)&amp;"","")</f>
        <v/>
      </c>
      <c r="F1001">
        <f>IFERROR(INDEX('1.산군_붙여넣기'!$A$1:$AZ$1001,ROW(),설정!$C$8)&amp;"","")</f>
        <v/>
      </c>
      <c r="G1001">
        <f>IFERROR(INDEX('1.산군_붙여넣기'!$A$1:$AZ$1001,ROW(),설정!$C$9)&amp;"","")</f>
        <v/>
      </c>
      <c r="H1001">
        <f>IFERROR(INDEX('1.산군_붙여넣기'!$A$1:$AZ$1001,ROW(),설정!$C$10)&amp;"","")</f>
        <v/>
      </c>
      <c r="I1001">
        <f>IFERROR(INDEX('1.산군_붙여넣기'!$A$1:$AZ$1001,ROW(),설정!$C$11)&amp;"","")</f>
        <v/>
      </c>
      <c r="J1001">
        <f>IFERROR(INDEX('1.산군_붙여넣기'!$A$1:$AZ$1001,ROW(),설정!$C$12)&amp;"","")</f>
        <v/>
      </c>
      <c r="K1001">
        <f>IFERROR(INDEX('1.산군_붙여넣기'!$A$1:$AZ$1001,ROW(),설정!$C$13)&amp;"","")</f>
        <v/>
      </c>
      <c r="L1001" s="6">
        <f>IF(X1001="","",IF(AND(LEN(X1001)=8,ISNUMBER(X1001*1)),DATE(LEFT(X1001,4),MID(X1001,5,2),RIGHT(X1001,2)),IFERROR(DATEVALUE(SUBSTITUTE(SUBSTITUTE(X1001,".","-"),"/","-")),IFERROR(X1001*1,""))))</f>
        <v/>
      </c>
      <c r="M1001" s="6">
        <f>IF(Y1001="","",IF(AND(LEN(Y1001)=8,ISNUMBER(Y1001*1)),DATE(LEFT(Y1001,4),MID(Y1001,5,2),RIGHT(Y1001,2)),IFERROR(DATEVALUE(SUBSTITUTE(SUBSTITUTE(Y1001,".","-"),"/","-")),IFERROR(Y1001*1,""))))</f>
        <v/>
      </c>
      <c r="N1001">
        <f>IFERROR(LEFT(B1001,FIND(" ",B1001)-1),B1001)</f>
        <v/>
      </c>
      <c r="O1001">
        <f>AND(B1001&lt;&gt;"",B1001&lt;&gt;설정!$B$4,C1001&lt;&gt;설정!$B$5)</f>
        <v/>
      </c>
      <c r="P1001">
        <f>IF(O1001,B1001&amp;"|"&amp;C1001,"")</f>
        <v/>
      </c>
      <c r="Q1001">
        <f>AND(O1001,COUNTIF(P1002:P$1002,P1001)=0)</f>
        <v/>
      </c>
      <c r="R1001">
        <f>OR(AND(설정!$A$28&lt;&gt;"",ISNUMBER(SEARCH(설정!$A$28,E1001&amp;" "&amp;C1001))),AND(설정!$A$29&lt;&gt;"",ISNUMBER(SEARCH(설정!$A$29,E1001&amp;" "&amp;C1001))),AND(설정!$A$30&lt;&gt;"",ISNUMBER(SEARCH(설정!$A$30,E1001&amp;" "&amp;C1001))),AND(설정!$A$31&lt;&gt;"",ISNUMBER(SEARCH(설정!$A$31,E1001&amp;" "&amp;C1001))),AND(설정!$A$32&lt;&gt;"",ISNUMBER(SEARCH(설정!$A$32,E1001&amp;" "&amp;C1001))),AND(설정!$A$33&lt;&gt;"",ISNUMBER(SEARCH(설정!$A$33,E1001&amp;" "&amp;C1001))),AND(설정!$A$34&lt;&gt;"",ISNUMBER(SEARCH(설정!$A$34,E1001&amp;" "&amp;C1001))),AND(설정!$A$35&lt;&gt;"",ISNUMBER(SEARCH(설정!$A$35,E1001&amp;" "&amp;C1001))),AND(설정!$A$36&lt;&gt;"",ISNUMBER(SEARCH(설정!$A$36,E1001&amp;" "&amp;C1001))),AND(설정!$A$37&lt;&gt;"",ISNUMBER(SEARCH(설정!$A$37,E1001&amp;" "&amp;C1001))))</f>
        <v/>
      </c>
      <c r="S1001">
        <f>OR(D1001="",D1001&gt;=설정!$B$19)</f>
        <v/>
      </c>
      <c r="T1001">
        <f>AND(Q1001,R1001,S1001)</f>
        <v/>
      </c>
      <c r="U1001">
        <f>IF(T1001,IF(AND(설정!$A$41&lt;&gt;"",ISNUMBER(SEARCH(설정!$A$41,K1001))),설정!$B$41,IF(AND(설정!$A$42&lt;&gt;"",ISNUMBER(SEARCH(설정!$A$42,K1001))),설정!$B$42,IF(AND(설정!$A$43&lt;&gt;"",ISNUMBER(SEARCH(설정!$A$43,K1001))),설정!$B$43,IF(AND(설정!$A$44&lt;&gt;"",ISNUMBER(SEARCH(설정!$A$44,K1001))),설정!$B$44,IF(AND(설정!$A$45&lt;&gt;"",ISNUMBER(SEARCH(설정!$A$45,K1001))),설정!$B$45,IF(AND(설정!$A$46&lt;&gt;"",ISNUMBER(SEARCH(설정!$A$46,K1001))),설정!$B$46,IF(AND(설정!$A$47&lt;&gt;"",ISNUMBER(SEARCH(설정!$A$47,K1001))),설정!$B$47,IF(AND(설정!$A$48&lt;&gt;"",ISNUMBER(SEARCH(설정!$A$48,K1001))),설정!$B$48,IF(M1001="","설계사","시공사"))))))))),"")</f>
        <v/>
      </c>
      <c r="V1001">
        <f>SUBSTITUTE(SUBSTITUTE(SUBSTITUTE(SUBSTITUTE(G1001,"(주)",""),"㈜",""),"주식회사","")," ","")</f>
        <v/>
      </c>
      <c r="W1001">
        <f>IF(AND(T1001,V1001&lt;&gt;""),IF(COUNTIFS(V$2:V1001,V1001,T$2:T1001,TRUE)=1,MAX(W$1:W1000)+1,""),"")</f>
        <v/>
      </c>
      <c r="X1001">
        <f>IFERROR(INDEX('1.산군_붙여넣기'!$A$1:$AZ$1001,ROW(),설정!$C$14)&amp;"","")</f>
        <v/>
      </c>
      <c r="Y1001">
        <f>IFERROR(INDEX('1.산군_붙여넣기'!$A$1:$AZ$1001,ROW(),설정!$C$15)&amp;"","")</f>
        <v/>
      </c>
      <c r="Z1001">
        <f>IF(T1001,V1001&amp;"|"&amp;U1001,"")</f>
        <v/>
      </c>
    </row>
  </sheetData>
  <autoFilter ref="A1:Z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0" customWidth="1" min="4" max="4"/>
  </cols>
  <sheetData>
    <row r="1">
      <c r="A1" s="1" t="inlineStr">
        <is>
          <t>산군 본전 계산 — 기준 숫자는 프로님이 넣으십시오(노란 칸)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메모</t>
        </is>
      </c>
    </row>
    <row r="4">
      <c r="A4" t="inlineStr">
        <is>
          <t>산군 사용 시작일</t>
        </is>
      </c>
      <c r="B4" s="14">
        <f>IF(설정!B23="","",설정!B23)</f>
        <v/>
      </c>
      <c r="C4" t="inlineStr">
        <is>
          <t>설정 B23</t>
        </is>
      </c>
    </row>
    <row r="5">
      <c r="A5" t="inlineStr">
        <is>
          <t>쓴 개월 수</t>
        </is>
      </c>
      <c r="B5" s="11">
        <f>IF(설정!B23="","시작일을 넣으십시오",DATEDIF(설정!B23,설정!B24,"m")+1)</f>
        <v/>
      </c>
      <c r="C5" t="inlineStr"/>
    </row>
    <row r="6">
      <c r="A6" t="inlineStr">
        <is>
          <t>누적 비용(원)</t>
        </is>
      </c>
      <c r="B6" s="12">
        <f>IF(ISNUMBER(B5),B5*설정!B22,"")</f>
        <v/>
      </c>
      <c r="C6" t="inlineStr">
        <is>
          <t>월 요금 × 개월</t>
        </is>
      </c>
    </row>
    <row r="7">
      <c r="A7" t="inlineStr">
        <is>
          <t>월결제 1년 vs 연결제 차액(원)</t>
        </is>
      </c>
      <c r="B7" s="12">
        <f>설정!B22*12-설정!B25</f>
        <v/>
      </c>
      <c r="C7" t="inlineStr">
        <is>
          <t>연결제로 바꾸면 아끼는 돈</t>
        </is>
      </c>
    </row>
    <row r="8">
      <c r="A8" t="inlineStr">
        <is>
          <t>산군으로 잡힌 설계사무소(곳)</t>
        </is>
      </c>
      <c r="B8" s="11">
        <f>COUNTIF('3.설계사'!B4:B303,"?*")</f>
        <v/>
      </c>
      <c r="C8" t="inlineStr">
        <is>
          <t>자동</t>
        </is>
      </c>
    </row>
    <row r="9">
      <c r="A9" t="inlineStr">
        <is>
          <t>그중 한 번이라도 간 곳</t>
        </is>
      </c>
      <c r="B9" s="11">
        <f>COUNTIF('3.설계사'!L4:L303,"&gt;0")</f>
        <v/>
      </c>
      <c r="C9" t="inlineStr">
        <is>
          <t>자동</t>
        </is>
      </c>
    </row>
    <row r="10">
      <c r="A10" t="inlineStr">
        <is>
          <t>방문·통화 건수</t>
        </is>
      </c>
      <c r="B10" s="11">
        <f>COUNT('4.방문기록'!A3:A502)</f>
        <v/>
      </c>
      <c r="C10" t="inlineStr">
        <is>
          <t>자동</t>
        </is>
      </c>
    </row>
    <row r="11">
      <c r="A11" t="inlineStr">
        <is>
          <t>설계의뢰 받음</t>
        </is>
      </c>
      <c r="B11" s="11">
        <f>COUNTIF('4.방문기록'!H3:H502,"설계의뢰 받음")</f>
        <v/>
      </c>
      <c r="C11" t="inlineStr">
        <is>
          <t>자동</t>
        </is>
      </c>
    </row>
    <row r="12">
      <c r="A12" t="inlineStr">
        <is>
          <t>도면 받음</t>
        </is>
      </c>
      <c r="B12" s="11">
        <f>COUNTIF('4.방문기록'!H3:H502,"도면 받음")</f>
        <v/>
      </c>
      <c r="C12" t="inlineStr">
        <is>
          <t>자동</t>
        </is>
      </c>
    </row>
    <row r="13">
      <c r="A13" t="inlineStr">
        <is>
          <t>방문 1건당 산군 비용(원)</t>
        </is>
      </c>
      <c r="B13" s="12">
        <f>IF(AND(ISNUMBER(B6),B10&gt;0),B6/B10,"")</f>
        <v/>
      </c>
      <c r="C13" t="inlineStr"/>
    </row>
    <row r="16">
      <c r="A16" s="4" t="inlineStr">
        <is>
          <t>유지 판단 기준(3개월 기준 권장)</t>
        </is>
      </c>
    </row>
    <row r="17">
      <c r="A17" s="3" t="inlineStr">
        <is>
          <t>기준</t>
        </is>
      </c>
      <c r="B17" s="3" t="inlineStr">
        <is>
          <t>넣으실 숫자</t>
        </is>
      </c>
      <c r="C17" s="3" t="inlineStr">
        <is>
          <t>실제</t>
        </is>
      </c>
      <c r="D17" s="3" t="inlineStr">
        <is>
          <t>통과</t>
        </is>
      </c>
    </row>
    <row r="18">
      <c r="A18" t="inlineStr">
        <is>
          <t>간 설계사무소 최소(곳)</t>
        </is>
      </c>
      <c r="B18" s="9" t="n"/>
      <c r="C18">
        <f>B9</f>
        <v/>
      </c>
      <c r="D18">
        <f>IF(B18="","",IF(C18&gt;=B18,"통과","미달"))</f>
        <v/>
      </c>
    </row>
    <row r="19">
      <c r="A19" t="inlineStr">
        <is>
          <t>설계의뢰 받음 최소(건)</t>
        </is>
      </c>
      <c r="B19" s="9" t="n"/>
      <c r="C19">
        <f>B11</f>
        <v/>
      </c>
      <c r="D19">
        <f>IF(B19="","",IF(C19&gt;=B19,"통과","미달"))</f>
        <v/>
      </c>
    </row>
    <row r="20">
      <c r="A20" t="inlineStr">
        <is>
          <t>도면 받음 최소(건)</t>
        </is>
      </c>
      <c r="B20" s="9" t="n"/>
      <c r="C20">
        <f>B12</f>
        <v/>
      </c>
      <c r="D20">
        <f>IF(B20="","",IF(C20&gt;=B20,"통과","미달"))</f>
        <v/>
      </c>
    </row>
    <row r="22">
      <c r="A22" s="4" t="inlineStr">
        <is>
          <t>판정</t>
        </is>
      </c>
      <c r="B22">
        <f>IF(COUNTA(B18:B20)=0,"기준 숫자를 넣으시면 판정합니다",IF(COUNTIF(D18:D20,"미달")=0,"유지","미달 있음 — 해지 또는 조건 변경 검토"))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6" customWidth="1" min="4" max="4"/>
    <col width="24" customWidth="1" min="5" max="5"/>
    <col width="24" customWidth="1" min="6" max="6"/>
    <col width="40" customWidth="1" min="7" max="7"/>
  </cols>
  <sheetData>
    <row r="1">
      <c r="A1" s="4" t="inlineStr">
        <is>
          <t>설계사무소 담당자 메모 — 알게 되면 한 줄. 이름은 드롭다운(3.설계사 목록)에서 고르면 자동으로 붙습니다</t>
        </is>
      </c>
    </row>
    <row r="2">
      <c r="A2" s="3" t="inlineStr">
        <is>
          <t>설계사무소</t>
        </is>
      </c>
      <c r="B2" s="3" t="inlineStr">
        <is>
          <t>담당자</t>
        </is>
      </c>
      <c r="C2" s="3" t="inlineStr">
        <is>
          <t>직함</t>
        </is>
      </c>
      <c r="D2" s="3" t="inlineStr">
        <is>
          <t>전화</t>
        </is>
      </c>
      <c r="E2" s="3" t="inlineStr">
        <is>
          <t>이메일</t>
        </is>
      </c>
      <c r="F2" s="3" t="inlineStr">
        <is>
          <t>주소·지역</t>
        </is>
      </c>
      <c r="G2" s="3" t="inlineStr">
        <is>
          <t>메모</t>
        </is>
      </c>
    </row>
    <row r="3">
      <c r="A3" s="9" t="n"/>
      <c r="B3" s="9" t="n"/>
      <c r="C3" s="9" t="n"/>
      <c r="D3" s="9" t="n"/>
      <c r="E3" s="9" t="n"/>
      <c r="F3" s="9" t="n"/>
      <c r="G3" s="9" t="n"/>
    </row>
    <row r="4">
      <c r="A4" s="9" t="n"/>
      <c r="B4" s="9" t="n"/>
      <c r="C4" s="9" t="n"/>
      <c r="D4" s="9" t="n"/>
      <c r="E4" s="9" t="n"/>
      <c r="F4" s="9" t="n"/>
      <c r="G4" s="9" t="n"/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5">
      <c r="A75" s="9" t="n"/>
      <c r="B75" s="9" t="n"/>
      <c r="C75" s="9" t="n"/>
      <c r="D75" s="9" t="n"/>
      <c r="E75" s="9" t="n"/>
      <c r="F75" s="9" t="n"/>
      <c r="G75" s="9" t="n"/>
    </row>
    <row r="76">
      <c r="A76" s="9" t="n"/>
      <c r="B76" s="9" t="n"/>
      <c r="C76" s="9" t="n"/>
      <c r="D76" s="9" t="n"/>
      <c r="E76" s="9" t="n"/>
      <c r="F76" s="9" t="n"/>
      <c r="G76" s="9" t="n"/>
    </row>
    <row r="77">
      <c r="A77" s="9" t="n"/>
      <c r="B77" s="9" t="n"/>
      <c r="C77" s="9" t="n"/>
      <c r="D77" s="9" t="n"/>
      <c r="E77" s="9" t="n"/>
      <c r="F77" s="9" t="n"/>
      <c r="G77" s="9" t="n"/>
    </row>
    <row r="78">
      <c r="A78" s="9" t="n"/>
      <c r="B78" s="9" t="n"/>
      <c r="C78" s="9" t="n"/>
      <c r="D78" s="9" t="n"/>
      <c r="E78" s="9" t="n"/>
      <c r="F78" s="9" t="n"/>
      <c r="G78" s="9" t="n"/>
    </row>
    <row r="79">
      <c r="A79" s="9" t="n"/>
      <c r="B79" s="9" t="n"/>
      <c r="C79" s="9" t="n"/>
      <c r="D79" s="9" t="n"/>
      <c r="E79" s="9" t="n"/>
      <c r="F79" s="9" t="n"/>
      <c r="G79" s="9" t="n"/>
    </row>
    <row r="80">
      <c r="A80" s="9" t="n"/>
      <c r="B80" s="9" t="n"/>
      <c r="C80" s="9" t="n"/>
      <c r="D80" s="9" t="n"/>
      <c r="E80" s="9" t="n"/>
      <c r="F80" s="9" t="n"/>
      <c r="G80" s="9" t="n"/>
    </row>
    <row r="81">
      <c r="A81" s="9" t="n"/>
      <c r="B81" s="9" t="n"/>
      <c r="C81" s="9" t="n"/>
      <c r="D81" s="9" t="n"/>
      <c r="E81" s="9" t="n"/>
      <c r="F81" s="9" t="n"/>
      <c r="G81" s="9" t="n"/>
    </row>
    <row r="82">
      <c r="A82" s="9" t="n"/>
      <c r="B82" s="9" t="n"/>
      <c r="C82" s="9" t="n"/>
      <c r="D82" s="9" t="n"/>
      <c r="E82" s="9" t="n"/>
      <c r="F82" s="9" t="n"/>
      <c r="G82" s="9" t="n"/>
    </row>
    <row r="83">
      <c r="A83" s="9" t="n"/>
      <c r="B83" s="9" t="n"/>
      <c r="C83" s="9" t="n"/>
      <c r="D83" s="9" t="n"/>
      <c r="E83" s="9" t="n"/>
      <c r="F83" s="9" t="n"/>
      <c r="G83" s="9" t="n"/>
    </row>
    <row r="84">
      <c r="A84" s="9" t="n"/>
      <c r="B84" s="9" t="n"/>
      <c r="C84" s="9" t="n"/>
      <c r="D84" s="9" t="n"/>
      <c r="E84" s="9" t="n"/>
      <c r="F84" s="9" t="n"/>
      <c r="G84" s="9" t="n"/>
    </row>
    <row r="85">
      <c r="A85" s="9" t="n"/>
      <c r="B85" s="9" t="n"/>
      <c r="C85" s="9" t="n"/>
      <c r="D85" s="9" t="n"/>
      <c r="E85" s="9" t="n"/>
      <c r="F85" s="9" t="n"/>
      <c r="G85" s="9" t="n"/>
    </row>
    <row r="86">
      <c r="A86" s="9" t="n"/>
      <c r="B86" s="9" t="n"/>
      <c r="C86" s="9" t="n"/>
      <c r="D86" s="9" t="n"/>
      <c r="E86" s="9" t="n"/>
      <c r="F86" s="9" t="n"/>
      <c r="G86" s="9" t="n"/>
    </row>
    <row r="87">
      <c r="A87" s="9" t="n"/>
      <c r="B87" s="9" t="n"/>
      <c r="C87" s="9" t="n"/>
      <c r="D87" s="9" t="n"/>
      <c r="E87" s="9" t="n"/>
      <c r="F87" s="9" t="n"/>
      <c r="G87" s="9" t="n"/>
    </row>
    <row r="88">
      <c r="A88" s="9" t="n"/>
      <c r="B88" s="9" t="n"/>
      <c r="C88" s="9" t="n"/>
      <c r="D88" s="9" t="n"/>
      <c r="E88" s="9" t="n"/>
      <c r="F88" s="9" t="n"/>
      <c r="G88" s="9" t="n"/>
    </row>
    <row r="89">
      <c r="A89" s="9" t="n"/>
      <c r="B89" s="9" t="n"/>
      <c r="C89" s="9" t="n"/>
      <c r="D89" s="9" t="n"/>
      <c r="E89" s="9" t="n"/>
      <c r="F89" s="9" t="n"/>
      <c r="G89" s="9" t="n"/>
    </row>
    <row r="90">
      <c r="A90" s="9" t="n"/>
      <c r="B90" s="9" t="n"/>
      <c r="C90" s="9" t="n"/>
      <c r="D90" s="9" t="n"/>
      <c r="E90" s="9" t="n"/>
      <c r="F90" s="9" t="n"/>
      <c r="G90" s="9" t="n"/>
    </row>
    <row r="91">
      <c r="A91" s="9" t="n"/>
      <c r="B91" s="9" t="n"/>
      <c r="C91" s="9" t="n"/>
      <c r="D91" s="9" t="n"/>
      <c r="E91" s="9" t="n"/>
      <c r="F91" s="9" t="n"/>
      <c r="G91" s="9" t="n"/>
    </row>
    <row r="92">
      <c r="A92" s="9" t="n"/>
      <c r="B92" s="9" t="n"/>
      <c r="C92" s="9" t="n"/>
      <c r="D92" s="9" t="n"/>
      <c r="E92" s="9" t="n"/>
      <c r="F92" s="9" t="n"/>
      <c r="G92" s="9" t="n"/>
    </row>
    <row r="93">
      <c r="A93" s="9" t="n"/>
      <c r="B93" s="9" t="n"/>
      <c r="C93" s="9" t="n"/>
      <c r="D93" s="9" t="n"/>
      <c r="E93" s="9" t="n"/>
      <c r="F93" s="9" t="n"/>
      <c r="G93" s="9" t="n"/>
    </row>
    <row r="94">
      <c r="A94" s="9" t="n"/>
      <c r="B94" s="9" t="n"/>
      <c r="C94" s="9" t="n"/>
      <c r="D94" s="9" t="n"/>
      <c r="E94" s="9" t="n"/>
      <c r="F94" s="9" t="n"/>
      <c r="G94" s="9" t="n"/>
    </row>
    <row r="95">
      <c r="A95" s="9" t="n"/>
      <c r="B95" s="9" t="n"/>
      <c r="C95" s="9" t="n"/>
      <c r="D95" s="9" t="n"/>
      <c r="E95" s="9" t="n"/>
      <c r="F95" s="9" t="n"/>
      <c r="G95" s="9" t="n"/>
    </row>
    <row r="96">
      <c r="A96" s="9" t="n"/>
      <c r="B96" s="9" t="n"/>
      <c r="C96" s="9" t="n"/>
      <c r="D96" s="9" t="n"/>
      <c r="E96" s="9" t="n"/>
      <c r="F96" s="9" t="n"/>
      <c r="G96" s="9" t="n"/>
    </row>
    <row r="97">
      <c r="A97" s="9" t="n"/>
      <c r="B97" s="9" t="n"/>
      <c r="C97" s="9" t="n"/>
      <c r="D97" s="9" t="n"/>
      <c r="E97" s="9" t="n"/>
      <c r="F97" s="9" t="n"/>
      <c r="G97" s="9" t="n"/>
    </row>
    <row r="98">
      <c r="A98" s="9" t="n"/>
      <c r="B98" s="9" t="n"/>
      <c r="C98" s="9" t="n"/>
      <c r="D98" s="9" t="n"/>
      <c r="E98" s="9" t="n"/>
      <c r="F98" s="9" t="n"/>
      <c r="G98" s="9" t="n"/>
    </row>
    <row r="99">
      <c r="A99" s="9" t="n"/>
      <c r="B99" s="9" t="n"/>
      <c r="C99" s="9" t="n"/>
      <c r="D99" s="9" t="n"/>
      <c r="E99" s="9" t="n"/>
      <c r="F99" s="9" t="n"/>
      <c r="G99" s="9" t="n"/>
    </row>
    <row r="100">
      <c r="A100" s="9" t="n"/>
      <c r="B100" s="9" t="n"/>
      <c r="C100" s="9" t="n"/>
      <c r="D100" s="9" t="n"/>
      <c r="E100" s="9" t="n"/>
      <c r="F100" s="9" t="n"/>
      <c r="G100" s="9" t="n"/>
    </row>
    <row r="101">
      <c r="A101" s="9" t="n"/>
      <c r="B101" s="9" t="n"/>
      <c r="C101" s="9" t="n"/>
      <c r="D101" s="9" t="n"/>
      <c r="E101" s="9" t="n"/>
      <c r="F101" s="9" t="n"/>
      <c r="G101" s="9" t="n"/>
    </row>
    <row r="102">
      <c r="A102" s="9" t="n"/>
      <c r="B102" s="9" t="n"/>
      <c r="C102" s="9" t="n"/>
      <c r="D102" s="9" t="n"/>
      <c r="E102" s="9" t="n"/>
      <c r="F102" s="9" t="n"/>
      <c r="G102" s="9" t="n"/>
    </row>
    <row r="103">
      <c r="A103" s="9" t="n"/>
      <c r="B103" s="9" t="n"/>
      <c r="C103" s="9" t="n"/>
      <c r="D103" s="9" t="n"/>
      <c r="E103" s="9" t="n"/>
      <c r="F103" s="9" t="n"/>
      <c r="G103" s="9" t="n"/>
    </row>
    <row r="104">
      <c r="A104" s="9" t="n"/>
      <c r="B104" s="9" t="n"/>
      <c r="C104" s="9" t="n"/>
      <c r="D104" s="9" t="n"/>
      <c r="E104" s="9" t="n"/>
      <c r="F104" s="9" t="n"/>
      <c r="G104" s="9" t="n"/>
    </row>
    <row r="105">
      <c r="A105" s="9" t="n"/>
      <c r="B105" s="9" t="n"/>
      <c r="C105" s="9" t="n"/>
      <c r="D105" s="9" t="n"/>
      <c r="E105" s="9" t="n"/>
      <c r="F105" s="9" t="n"/>
      <c r="G105" s="9" t="n"/>
    </row>
    <row r="106">
      <c r="A106" s="9" t="n"/>
      <c r="B106" s="9" t="n"/>
      <c r="C106" s="9" t="n"/>
      <c r="D106" s="9" t="n"/>
      <c r="E106" s="9" t="n"/>
      <c r="F106" s="9" t="n"/>
      <c r="G106" s="9" t="n"/>
    </row>
    <row r="107">
      <c r="A107" s="9" t="n"/>
      <c r="B107" s="9" t="n"/>
      <c r="C107" s="9" t="n"/>
      <c r="D107" s="9" t="n"/>
      <c r="E107" s="9" t="n"/>
      <c r="F107" s="9" t="n"/>
      <c r="G107" s="9" t="n"/>
    </row>
    <row r="108">
      <c r="A108" s="9" t="n"/>
      <c r="B108" s="9" t="n"/>
      <c r="C108" s="9" t="n"/>
      <c r="D108" s="9" t="n"/>
      <c r="E108" s="9" t="n"/>
      <c r="F108" s="9" t="n"/>
      <c r="G108" s="9" t="n"/>
    </row>
    <row r="109">
      <c r="A109" s="9" t="n"/>
      <c r="B109" s="9" t="n"/>
      <c r="C109" s="9" t="n"/>
      <c r="D109" s="9" t="n"/>
      <c r="E109" s="9" t="n"/>
      <c r="F109" s="9" t="n"/>
      <c r="G109" s="9" t="n"/>
    </row>
    <row r="110">
      <c r="A110" s="9" t="n"/>
      <c r="B110" s="9" t="n"/>
      <c r="C110" s="9" t="n"/>
      <c r="D110" s="9" t="n"/>
      <c r="E110" s="9" t="n"/>
      <c r="F110" s="9" t="n"/>
      <c r="G110" s="9" t="n"/>
    </row>
    <row r="111">
      <c r="A111" s="9" t="n"/>
      <c r="B111" s="9" t="n"/>
      <c r="C111" s="9" t="n"/>
      <c r="D111" s="9" t="n"/>
      <c r="E111" s="9" t="n"/>
      <c r="F111" s="9" t="n"/>
      <c r="G111" s="9" t="n"/>
    </row>
    <row r="112">
      <c r="A112" s="9" t="n"/>
      <c r="B112" s="9" t="n"/>
      <c r="C112" s="9" t="n"/>
      <c r="D112" s="9" t="n"/>
      <c r="E112" s="9" t="n"/>
      <c r="F112" s="9" t="n"/>
      <c r="G112" s="9" t="n"/>
    </row>
    <row r="113">
      <c r="A113" s="9" t="n"/>
      <c r="B113" s="9" t="n"/>
      <c r="C113" s="9" t="n"/>
      <c r="D113" s="9" t="n"/>
      <c r="E113" s="9" t="n"/>
      <c r="F113" s="9" t="n"/>
      <c r="G113" s="9" t="n"/>
    </row>
    <row r="114">
      <c r="A114" s="9" t="n"/>
      <c r="B114" s="9" t="n"/>
      <c r="C114" s="9" t="n"/>
      <c r="D114" s="9" t="n"/>
      <c r="E114" s="9" t="n"/>
      <c r="F114" s="9" t="n"/>
      <c r="G114" s="9" t="n"/>
    </row>
    <row r="115">
      <c r="A115" s="9" t="n"/>
      <c r="B115" s="9" t="n"/>
      <c r="C115" s="9" t="n"/>
      <c r="D115" s="9" t="n"/>
      <c r="E115" s="9" t="n"/>
      <c r="F115" s="9" t="n"/>
      <c r="G115" s="9" t="n"/>
    </row>
    <row r="116">
      <c r="A116" s="9" t="n"/>
      <c r="B116" s="9" t="n"/>
      <c r="C116" s="9" t="n"/>
      <c r="D116" s="9" t="n"/>
      <c r="E116" s="9" t="n"/>
      <c r="F116" s="9" t="n"/>
      <c r="G116" s="9" t="n"/>
    </row>
    <row r="117">
      <c r="A117" s="9" t="n"/>
      <c r="B117" s="9" t="n"/>
      <c r="C117" s="9" t="n"/>
      <c r="D117" s="9" t="n"/>
      <c r="E117" s="9" t="n"/>
      <c r="F117" s="9" t="n"/>
      <c r="G117" s="9" t="n"/>
    </row>
    <row r="118">
      <c r="A118" s="9" t="n"/>
      <c r="B118" s="9" t="n"/>
      <c r="C118" s="9" t="n"/>
      <c r="D118" s="9" t="n"/>
      <c r="E118" s="9" t="n"/>
      <c r="F118" s="9" t="n"/>
      <c r="G118" s="9" t="n"/>
    </row>
    <row r="119">
      <c r="A119" s="9" t="n"/>
      <c r="B119" s="9" t="n"/>
      <c r="C119" s="9" t="n"/>
      <c r="D119" s="9" t="n"/>
      <c r="E119" s="9" t="n"/>
      <c r="F119" s="9" t="n"/>
      <c r="G119" s="9" t="n"/>
    </row>
    <row r="120">
      <c r="A120" s="9" t="n"/>
      <c r="B120" s="9" t="n"/>
      <c r="C120" s="9" t="n"/>
      <c r="D120" s="9" t="n"/>
      <c r="E120" s="9" t="n"/>
      <c r="F120" s="9" t="n"/>
      <c r="G120" s="9" t="n"/>
    </row>
    <row r="121">
      <c r="A121" s="9" t="n"/>
      <c r="B121" s="9" t="n"/>
      <c r="C121" s="9" t="n"/>
      <c r="D121" s="9" t="n"/>
      <c r="E121" s="9" t="n"/>
      <c r="F121" s="9" t="n"/>
      <c r="G121" s="9" t="n"/>
    </row>
    <row r="122">
      <c r="A122" s="9" t="n"/>
      <c r="B122" s="9" t="n"/>
      <c r="C122" s="9" t="n"/>
      <c r="D122" s="9" t="n"/>
      <c r="E122" s="9" t="n"/>
      <c r="F122" s="9" t="n"/>
      <c r="G122" s="9" t="n"/>
    </row>
    <row r="123">
      <c r="A123" s="9" t="n"/>
      <c r="B123" s="9" t="n"/>
      <c r="C123" s="9" t="n"/>
      <c r="D123" s="9" t="n"/>
      <c r="E123" s="9" t="n"/>
      <c r="F123" s="9" t="n"/>
      <c r="G123" s="9" t="n"/>
    </row>
    <row r="124">
      <c r="A124" s="9" t="n"/>
      <c r="B124" s="9" t="n"/>
      <c r="C124" s="9" t="n"/>
      <c r="D124" s="9" t="n"/>
      <c r="E124" s="9" t="n"/>
      <c r="F124" s="9" t="n"/>
      <c r="G124" s="9" t="n"/>
    </row>
    <row r="125">
      <c r="A125" s="9" t="n"/>
      <c r="B125" s="9" t="n"/>
      <c r="C125" s="9" t="n"/>
      <c r="D125" s="9" t="n"/>
      <c r="E125" s="9" t="n"/>
      <c r="F125" s="9" t="n"/>
      <c r="G125" s="9" t="n"/>
    </row>
    <row r="126">
      <c r="A126" s="9" t="n"/>
      <c r="B126" s="9" t="n"/>
      <c r="C126" s="9" t="n"/>
      <c r="D126" s="9" t="n"/>
      <c r="E126" s="9" t="n"/>
      <c r="F126" s="9" t="n"/>
      <c r="G126" s="9" t="n"/>
    </row>
    <row r="127">
      <c r="A127" s="9" t="n"/>
      <c r="B127" s="9" t="n"/>
      <c r="C127" s="9" t="n"/>
      <c r="D127" s="9" t="n"/>
      <c r="E127" s="9" t="n"/>
      <c r="F127" s="9" t="n"/>
      <c r="G127" s="9" t="n"/>
    </row>
    <row r="128">
      <c r="A128" s="9" t="n"/>
      <c r="B128" s="9" t="n"/>
      <c r="C128" s="9" t="n"/>
      <c r="D128" s="9" t="n"/>
      <c r="E128" s="9" t="n"/>
      <c r="F128" s="9" t="n"/>
      <c r="G128" s="9" t="n"/>
    </row>
    <row r="129">
      <c r="A129" s="9" t="n"/>
      <c r="B129" s="9" t="n"/>
      <c r="C129" s="9" t="n"/>
      <c r="D129" s="9" t="n"/>
      <c r="E129" s="9" t="n"/>
      <c r="F129" s="9" t="n"/>
      <c r="G129" s="9" t="n"/>
    </row>
    <row r="130">
      <c r="A130" s="9" t="n"/>
      <c r="B130" s="9" t="n"/>
      <c r="C130" s="9" t="n"/>
      <c r="D130" s="9" t="n"/>
      <c r="E130" s="9" t="n"/>
      <c r="F130" s="9" t="n"/>
      <c r="G130" s="9" t="n"/>
    </row>
    <row r="131">
      <c r="A131" s="9" t="n"/>
      <c r="B131" s="9" t="n"/>
      <c r="C131" s="9" t="n"/>
      <c r="D131" s="9" t="n"/>
      <c r="E131" s="9" t="n"/>
      <c r="F131" s="9" t="n"/>
      <c r="G131" s="9" t="n"/>
    </row>
    <row r="132">
      <c r="A132" s="9" t="n"/>
      <c r="B132" s="9" t="n"/>
      <c r="C132" s="9" t="n"/>
      <c r="D132" s="9" t="n"/>
      <c r="E132" s="9" t="n"/>
      <c r="F132" s="9" t="n"/>
      <c r="G132" s="9" t="n"/>
    </row>
    <row r="133">
      <c r="A133" s="9" t="n"/>
      <c r="B133" s="9" t="n"/>
      <c r="C133" s="9" t="n"/>
      <c r="D133" s="9" t="n"/>
      <c r="E133" s="9" t="n"/>
      <c r="F133" s="9" t="n"/>
      <c r="G133" s="9" t="n"/>
    </row>
    <row r="134">
      <c r="A134" s="9" t="n"/>
      <c r="B134" s="9" t="n"/>
      <c r="C134" s="9" t="n"/>
      <c r="D134" s="9" t="n"/>
      <c r="E134" s="9" t="n"/>
      <c r="F134" s="9" t="n"/>
      <c r="G134" s="9" t="n"/>
    </row>
    <row r="135">
      <c r="A135" s="9" t="n"/>
      <c r="B135" s="9" t="n"/>
      <c r="C135" s="9" t="n"/>
      <c r="D135" s="9" t="n"/>
      <c r="E135" s="9" t="n"/>
      <c r="F135" s="9" t="n"/>
      <c r="G135" s="9" t="n"/>
    </row>
    <row r="136">
      <c r="A136" s="9" t="n"/>
      <c r="B136" s="9" t="n"/>
      <c r="C136" s="9" t="n"/>
      <c r="D136" s="9" t="n"/>
      <c r="E136" s="9" t="n"/>
      <c r="F136" s="9" t="n"/>
      <c r="G136" s="9" t="n"/>
    </row>
    <row r="137">
      <c r="A137" s="9" t="n"/>
      <c r="B137" s="9" t="n"/>
      <c r="C137" s="9" t="n"/>
      <c r="D137" s="9" t="n"/>
      <c r="E137" s="9" t="n"/>
      <c r="F137" s="9" t="n"/>
      <c r="G137" s="9" t="n"/>
    </row>
    <row r="138">
      <c r="A138" s="9" t="n"/>
      <c r="B138" s="9" t="n"/>
      <c r="C138" s="9" t="n"/>
      <c r="D138" s="9" t="n"/>
      <c r="E138" s="9" t="n"/>
      <c r="F138" s="9" t="n"/>
      <c r="G138" s="9" t="n"/>
    </row>
    <row r="139">
      <c r="A139" s="9" t="n"/>
      <c r="B139" s="9" t="n"/>
      <c r="C139" s="9" t="n"/>
      <c r="D139" s="9" t="n"/>
      <c r="E139" s="9" t="n"/>
      <c r="F139" s="9" t="n"/>
      <c r="G139" s="9" t="n"/>
    </row>
    <row r="140">
      <c r="A140" s="9" t="n"/>
      <c r="B140" s="9" t="n"/>
      <c r="C140" s="9" t="n"/>
      <c r="D140" s="9" t="n"/>
      <c r="E140" s="9" t="n"/>
      <c r="F140" s="9" t="n"/>
      <c r="G140" s="9" t="n"/>
    </row>
    <row r="141">
      <c r="A141" s="9" t="n"/>
      <c r="B141" s="9" t="n"/>
      <c r="C141" s="9" t="n"/>
      <c r="D141" s="9" t="n"/>
      <c r="E141" s="9" t="n"/>
      <c r="F141" s="9" t="n"/>
      <c r="G141" s="9" t="n"/>
    </row>
    <row r="142">
      <c r="A142" s="9" t="n"/>
      <c r="B142" s="9" t="n"/>
      <c r="C142" s="9" t="n"/>
      <c r="D142" s="9" t="n"/>
      <c r="E142" s="9" t="n"/>
      <c r="F142" s="9" t="n"/>
      <c r="G142" s="9" t="n"/>
    </row>
    <row r="143">
      <c r="A143" s="9" t="n"/>
      <c r="B143" s="9" t="n"/>
      <c r="C143" s="9" t="n"/>
      <c r="D143" s="9" t="n"/>
      <c r="E143" s="9" t="n"/>
      <c r="F143" s="9" t="n"/>
      <c r="G143" s="9" t="n"/>
    </row>
    <row r="144">
      <c r="A144" s="9" t="n"/>
      <c r="B144" s="9" t="n"/>
      <c r="C144" s="9" t="n"/>
      <c r="D144" s="9" t="n"/>
      <c r="E144" s="9" t="n"/>
      <c r="F144" s="9" t="n"/>
      <c r="G144" s="9" t="n"/>
    </row>
    <row r="145">
      <c r="A145" s="9" t="n"/>
      <c r="B145" s="9" t="n"/>
      <c r="C145" s="9" t="n"/>
      <c r="D145" s="9" t="n"/>
      <c r="E145" s="9" t="n"/>
      <c r="F145" s="9" t="n"/>
      <c r="G145" s="9" t="n"/>
    </row>
    <row r="146">
      <c r="A146" s="9" t="n"/>
      <c r="B146" s="9" t="n"/>
      <c r="C146" s="9" t="n"/>
      <c r="D146" s="9" t="n"/>
      <c r="E146" s="9" t="n"/>
      <c r="F146" s="9" t="n"/>
      <c r="G146" s="9" t="n"/>
    </row>
    <row r="147">
      <c r="A147" s="9" t="n"/>
      <c r="B147" s="9" t="n"/>
      <c r="C147" s="9" t="n"/>
      <c r="D147" s="9" t="n"/>
      <c r="E147" s="9" t="n"/>
      <c r="F147" s="9" t="n"/>
      <c r="G147" s="9" t="n"/>
    </row>
    <row r="148">
      <c r="A148" s="9" t="n"/>
      <c r="B148" s="9" t="n"/>
      <c r="C148" s="9" t="n"/>
      <c r="D148" s="9" t="n"/>
      <c r="E148" s="9" t="n"/>
      <c r="F148" s="9" t="n"/>
      <c r="G148" s="9" t="n"/>
    </row>
    <row r="149">
      <c r="A149" s="9" t="n"/>
      <c r="B149" s="9" t="n"/>
      <c r="C149" s="9" t="n"/>
      <c r="D149" s="9" t="n"/>
      <c r="E149" s="9" t="n"/>
      <c r="F149" s="9" t="n"/>
      <c r="G149" s="9" t="n"/>
    </row>
    <row r="150">
      <c r="A150" s="9" t="n"/>
      <c r="B150" s="9" t="n"/>
      <c r="C150" s="9" t="n"/>
      <c r="D150" s="9" t="n"/>
      <c r="E150" s="9" t="n"/>
      <c r="F150" s="9" t="n"/>
      <c r="G150" s="9" t="n"/>
    </row>
    <row r="151">
      <c r="A151" s="9" t="n"/>
      <c r="B151" s="9" t="n"/>
      <c r="C151" s="9" t="n"/>
      <c r="D151" s="9" t="n"/>
      <c r="E151" s="9" t="n"/>
      <c r="F151" s="9" t="n"/>
      <c r="G151" s="9" t="n"/>
    </row>
    <row r="152">
      <c r="A152" s="9" t="n"/>
      <c r="B152" s="9" t="n"/>
      <c r="C152" s="9" t="n"/>
      <c r="D152" s="9" t="n"/>
      <c r="E152" s="9" t="n"/>
      <c r="F152" s="9" t="n"/>
      <c r="G152" s="9" t="n"/>
    </row>
    <row r="153">
      <c r="A153" s="9" t="n"/>
      <c r="B153" s="9" t="n"/>
      <c r="C153" s="9" t="n"/>
      <c r="D153" s="9" t="n"/>
      <c r="E153" s="9" t="n"/>
      <c r="F153" s="9" t="n"/>
      <c r="G153" s="9" t="n"/>
    </row>
    <row r="154">
      <c r="A154" s="9" t="n"/>
      <c r="B154" s="9" t="n"/>
      <c r="C154" s="9" t="n"/>
      <c r="D154" s="9" t="n"/>
      <c r="E154" s="9" t="n"/>
      <c r="F154" s="9" t="n"/>
      <c r="G154" s="9" t="n"/>
    </row>
    <row r="155">
      <c r="A155" s="9" t="n"/>
      <c r="B155" s="9" t="n"/>
      <c r="C155" s="9" t="n"/>
      <c r="D155" s="9" t="n"/>
      <c r="E155" s="9" t="n"/>
      <c r="F155" s="9" t="n"/>
      <c r="G155" s="9" t="n"/>
    </row>
    <row r="156">
      <c r="A156" s="9" t="n"/>
      <c r="B156" s="9" t="n"/>
      <c r="C156" s="9" t="n"/>
      <c r="D156" s="9" t="n"/>
      <c r="E156" s="9" t="n"/>
      <c r="F156" s="9" t="n"/>
      <c r="G156" s="9" t="n"/>
    </row>
    <row r="157">
      <c r="A157" s="9" t="n"/>
      <c r="B157" s="9" t="n"/>
      <c r="C157" s="9" t="n"/>
      <c r="D157" s="9" t="n"/>
      <c r="E157" s="9" t="n"/>
      <c r="F157" s="9" t="n"/>
      <c r="G157" s="9" t="n"/>
    </row>
    <row r="158">
      <c r="A158" s="9" t="n"/>
      <c r="B158" s="9" t="n"/>
      <c r="C158" s="9" t="n"/>
      <c r="D158" s="9" t="n"/>
      <c r="E158" s="9" t="n"/>
      <c r="F158" s="9" t="n"/>
      <c r="G158" s="9" t="n"/>
    </row>
    <row r="159">
      <c r="A159" s="9" t="n"/>
      <c r="B159" s="9" t="n"/>
      <c r="C159" s="9" t="n"/>
      <c r="D159" s="9" t="n"/>
      <c r="E159" s="9" t="n"/>
      <c r="F159" s="9" t="n"/>
      <c r="G159" s="9" t="n"/>
    </row>
    <row r="160">
      <c r="A160" s="9" t="n"/>
      <c r="B160" s="9" t="n"/>
      <c r="C160" s="9" t="n"/>
      <c r="D160" s="9" t="n"/>
      <c r="E160" s="9" t="n"/>
      <c r="F160" s="9" t="n"/>
      <c r="G160" s="9" t="n"/>
    </row>
    <row r="161">
      <c r="A161" s="9" t="n"/>
      <c r="B161" s="9" t="n"/>
      <c r="C161" s="9" t="n"/>
      <c r="D161" s="9" t="n"/>
      <c r="E161" s="9" t="n"/>
      <c r="F161" s="9" t="n"/>
      <c r="G161" s="9" t="n"/>
    </row>
    <row r="162">
      <c r="A162" s="9" t="n"/>
      <c r="B162" s="9" t="n"/>
      <c r="C162" s="9" t="n"/>
      <c r="D162" s="9" t="n"/>
      <c r="E162" s="9" t="n"/>
      <c r="F162" s="9" t="n"/>
      <c r="G162" s="9" t="n"/>
    </row>
    <row r="163">
      <c r="A163" s="9" t="n"/>
      <c r="B163" s="9" t="n"/>
      <c r="C163" s="9" t="n"/>
      <c r="D163" s="9" t="n"/>
      <c r="E163" s="9" t="n"/>
      <c r="F163" s="9" t="n"/>
      <c r="G163" s="9" t="n"/>
    </row>
    <row r="164">
      <c r="A164" s="9" t="n"/>
      <c r="B164" s="9" t="n"/>
      <c r="C164" s="9" t="n"/>
      <c r="D164" s="9" t="n"/>
      <c r="E164" s="9" t="n"/>
      <c r="F164" s="9" t="n"/>
      <c r="G164" s="9" t="n"/>
    </row>
    <row r="165">
      <c r="A165" s="9" t="n"/>
      <c r="B165" s="9" t="n"/>
      <c r="C165" s="9" t="n"/>
      <c r="D165" s="9" t="n"/>
      <c r="E165" s="9" t="n"/>
      <c r="F165" s="9" t="n"/>
      <c r="G165" s="9" t="n"/>
    </row>
    <row r="166">
      <c r="A166" s="9" t="n"/>
      <c r="B166" s="9" t="n"/>
      <c r="C166" s="9" t="n"/>
      <c r="D166" s="9" t="n"/>
      <c r="E166" s="9" t="n"/>
      <c r="F166" s="9" t="n"/>
      <c r="G166" s="9" t="n"/>
    </row>
    <row r="167">
      <c r="A167" s="9" t="n"/>
      <c r="B167" s="9" t="n"/>
      <c r="C167" s="9" t="n"/>
      <c r="D167" s="9" t="n"/>
      <c r="E167" s="9" t="n"/>
      <c r="F167" s="9" t="n"/>
      <c r="G167" s="9" t="n"/>
    </row>
    <row r="168">
      <c r="A168" s="9" t="n"/>
      <c r="B168" s="9" t="n"/>
      <c r="C168" s="9" t="n"/>
      <c r="D168" s="9" t="n"/>
      <c r="E168" s="9" t="n"/>
      <c r="F168" s="9" t="n"/>
      <c r="G168" s="9" t="n"/>
    </row>
    <row r="169">
      <c r="A169" s="9" t="n"/>
      <c r="B169" s="9" t="n"/>
      <c r="C169" s="9" t="n"/>
      <c r="D169" s="9" t="n"/>
      <c r="E169" s="9" t="n"/>
      <c r="F169" s="9" t="n"/>
      <c r="G169" s="9" t="n"/>
    </row>
    <row r="170">
      <c r="A170" s="9" t="n"/>
      <c r="B170" s="9" t="n"/>
      <c r="C170" s="9" t="n"/>
      <c r="D170" s="9" t="n"/>
      <c r="E170" s="9" t="n"/>
      <c r="F170" s="9" t="n"/>
      <c r="G170" s="9" t="n"/>
    </row>
    <row r="171">
      <c r="A171" s="9" t="n"/>
      <c r="B171" s="9" t="n"/>
      <c r="C171" s="9" t="n"/>
      <c r="D171" s="9" t="n"/>
      <c r="E171" s="9" t="n"/>
      <c r="F171" s="9" t="n"/>
      <c r="G171" s="9" t="n"/>
    </row>
    <row r="172">
      <c r="A172" s="9" t="n"/>
      <c r="B172" s="9" t="n"/>
      <c r="C172" s="9" t="n"/>
      <c r="D172" s="9" t="n"/>
      <c r="E172" s="9" t="n"/>
      <c r="F172" s="9" t="n"/>
      <c r="G172" s="9" t="n"/>
    </row>
    <row r="173">
      <c r="A173" s="9" t="n"/>
      <c r="B173" s="9" t="n"/>
      <c r="C173" s="9" t="n"/>
      <c r="D173" s="9" t="n"/>
      <c r="E173" s="9" t="n"/>
      <c r="F173" s="9" t="n"/>
      <c r="G173" s="9" t="n"/>
    </row>
    <row r="174">
      <c r="A174" s="9" t="n"/>
      <c r="B174" s="9" t="n"/>
      <c r="C174" s="9" t="n"/>
      <c r="D174" s="9" t="n"/>
      <c r="E174" s="9" t="n"/>
      <c r="F174" s="9" t="n"/>
      <c r="G174" s="9" t="n"/>
    </row>
    <row r="175">
      <c r="A175" s="9" t="n"/>
      <c r="B175" s="9" t="n"/>
      <c r="C175" s="9" t="n"/>
      <c r="D175" s="9" t="n"/>
      <c r="E175" s="9" t="n"/>
      <c r="F175" s="9" t="n"/>
      <c r="G175" s="9" t="n"/>
    </row>
    <row r="176">
      <c r="A176" s="9" t="n"/>
      <c r="B176" s="9" t="n"/>
      <c r="C176" s="9" t="n"/>
      <c r="D176" s="9" t="n"/>
      <c r="E176" s="9" t="n"/>
      <c r="F176" s="9" t="n"/>
      <c r="G176" s="9" t="n"/>
    </row>
    <row r="177">
      <c r="A177" s="9" t="n"/>
      <c r="B177" s="9" t="n"/>
      <c r="C177" s="9" t="n"/>
      <c r="D177" s="9" t="n"/>
      <c r="E177" s="9" t="n"/>
      <c r="F177" s="9" t="n"/>
      <c r="G177" s="9" t="n"/>
    </row>
    <row r="178">
      <c r="A178" s="9" t="n"/>
      <c r="B178" s="9" t="n"/>
      <c r="C178" s="9" t="n"/>
      <c r="D178" s="9" t="n"/>
      <c r="E178" s="9" t="n"/>
      <c r="F178" s="9" t="n"/>
      <c r="G178" s="9" t="n"/>
    </row>
    <row r="179">
      <c r="A179" s="9" t="n"/>
      <c r="B179" s="9" t="n"/>
      <c r="C179" s="9" t="n"/>
      <c r="D179" s="9" t="n"/>
      <c r="E179" s="9" t="n"/>
      <c r="F179" s="9" t="n"/>
      <c r="G179" s="9" t="n"/>
    </row>
    <row r="180">
      <c r="A180" s="9" t="n"/>
      <c r="B180" s="9" t="n"/>
      <c r="C180" s="9" t="n"/>
      <c r="D180" s="9" t="n"/>
      <c r="E180" s="9" t="n"/>
      <c r="F180" s="9" t="n"/>
      <c r="G180" s="9" t="n"/>
    </row>
    <row r="181">
      <c r="A181" s="9" t="n"/>
      <c r="B181" s="9" t="n"/>
      <c r="C181" s="9" t="n"/>
      <c r="D181" s="9" t="n"/>
      <c r="E181" s="9" t="n"/>
      <c r="F181" s="9" t="n"/>
      <c r="G181" s="9" t="n"/>
    </row>
    <row r="182">
      <c r="A182" s="9" t="n"/>
      <c r="B182" s="9" t="n"/>
      <c r="C182" s="9" t="n"/>
      <c r="D182" s="9" t="n"/>
      <c r="E182" s="9" t="n"/>
      <c r="F182" s="9" t="n"/>
      <c r="G182" s="9" t="n"/>
    </row>
    <row r="183">
      <c r="A183" s="9" t="n"/>
      <c r="B183" s="9" t="n"/>
      <c r="C183" s="9" t="n"/>
      <c r="D183" s="9" t="n"/>
      <c r="E183" s="9" t="n"/>
      <c r="F183" s="9" t="n"/>
      <c r="G183" s="9" t="n"/>
    </row>
    <row r="184">
      <c r="A184" s="9" t="n"/>
      <c r="B184" s="9" t="n"/>
      <c r="C184" s="9" t="n"/>
      <c r="D184" s="9" t="n"/>
      <c r="E184" s="9" t="n"/>
      <c r="F184" s="9" t="n"/>
      <c r="G184" s="9" t="n"/>
    </row>
    <row r="185">
      <c r="A185" s="9" t="n"/>
      <c r="B185" s="9" t="n"/>
      <c r="C185" s="9" t="n"/>
      <c r="D185" s="9" t="n"/>
      <c r="E185" s="9" t="n"/>
      <c r="F185" s="9" t="n"/>
      <c r="G185" s="9" t="n"/>
    </row>
    <row r="186">
      <c r="A186" s="9" t="n"/>
      <c r="B186" s="9" t="n"/>
      <c r="C186" s="9" t="n"/>
      <c r="D186" s="9" t="n"/>
      <c r="E186" s="9" t="n"/>
      <c r="F186" s="9" t="n"/>
      <c r="G186" s="9" t="n"/>
    </row>
    <row r="187">
      <c r="A187" s="9" t="n"/>
      <c r="B187" s="9" t="n"/>
      <c r="C187" s="9" t="n"/>
      <c r="D187" s="9" t="n"/>
      <c r="E187" s="9" t="n"/>
      <c r="F187" s="9" t="n"/>
      <c r="G187" s="9" t="n"/>
    </row>
    <row r="188">
      <c r="A188" s="9" t="n"/>
      <c r="B188" s="9" t="n"/>
      <c r="C188" s="9" t="n"/>
      <c r="D188" s="9" t="n"/>
      <c r="E188" s="9" t="n"/>
      <c r="F188" s="9" t="n"/>
      <c r="G188" s="9" t="n"/>
    </row>
    <row r="189">
      <c r="A189" s="9" t="n"/>
      <c r="B189" s="9" t="n"/>
      <c r="C189" s="9" t="n"/>
      <c r="D189" s="9" t="n"/>
      <c r="E189" s="9" t="n"/>
      <c r="F189" s="9" t="n"/>
      <c r="G189" s="9" t="n"/>
    </row>
    <row r="190">
      <c r="A190" s="9" t="n"/>
      <c r="B190" s="9" t="n"/>
      <c r="C190" s="9" t="n"/>
      <c r="D190" s="9" t="n"/>
      <c r="E190" s="9" t="n"/>
      <c r="F190" s="9" t="n"/>
      <c r="G190" s="9" t="n"/>
    </row>
    <row r="191">
      <c r="A191" s="9" t="n"/>
      <c r="B191" s="9" t="n"/>
      <c r="C191" s="9" t="n"/>
      <c r="D191" s="9" t="n"/>
      <c r="E191" s="9" t="n"/>
      <c r="F191" s="9" t="n"/>
      <c r="G191" s="9" t="n"/>
    </row>
    <row r="192">
      <c r="A192" s="9" t="n"/>
      <c r="B192" s="9" t="n"/>
      <c r="C192" s="9" t="n"/>
      <c r="D192" s="9" t="n"/>
      <c r="E192" s="9" t="n"/>
      <c r="F192" s="9" t="n"/>
      <c r="G192" s="9" t="n"/>
    </row>
    <row r="193">
      <c r="A193" s="9" t="n"/>
      <c r="B193" s="9" t="n"/>
      <c r="C193" s="9" t="n"/>
      <c r="D193" s="9" t="n"/>
      <c r="E193" s="9" t="n"/>
      <c r="F193" s="9" t="n"/>
      <c r="G193" s="9" t="n"/>
    </row>
    <row r="194">
      <c r="A194" s="9" t="n"/>
      <c r="B194" s="9" t="n"/>
      <c r="C194" s="9" t="n"/>
      <c r="D194" s="9" t="n"/>
      <c r="E194" s="9" t="n"/>
      <c r="F194" s="9" t="n"/>
      <c r="G194" s="9" t="n"/>
    </row>
    <row r="195">
      <c r="A195" s="9" t="n"/>
      <c r="B195" s="9" t="n"/>
      <c r="C195" s="9" t="n"/>
      <c r="D195" s="9" t="n"/>
      <c r="E195" s="9" t="n"/>
      <c r="F195" s="9" t="n"/>
      <c r="G195" s="9" t="n"/>
    </row>
    <row r="196">
      <c r="A196" s="9" t="n"/>
      <c r="B196" s="9" t="n"/>
      <c r="C196" s="9" t="n"/>
      <c r="D196" s="9" t="n"/>
      <c r="E196" s="9" t="n"/>
      <c r="F196" s="9" t="n"/>
      <c r="G196" s="9" t="n"/>
    </row>
    <row r="197">
      <c r="A197" s="9" t="n"/>
      <c r="B197" s="9" t="n"/>
      <c r="C197" s="9" t="n"/>
      <c r="D197" s="9" t="n"/>
      <c r="E197" s="9" t="n"/>
      <c r="F197" s="9" t="n"/>
      <c r="G197" s="9" t="n"/>
    </row>
    <row r="198">
      <c r="A198" s="9" t="n"/>
      <c r="B198" s="9" t="n"/>
      <c r="C198" s="9" t="n"/>
      <c r="D198" s="9" t="n"/>
      <c r="E198" s="9" t="n"/>
      <c r="F198" s="9" t="n"/>
      <c r="G198" s="9" t="n"/>
    </row>
    <row r="199">
      <c r="A199" s="9" t="n"/>
      <c r="B199" s="9" t="n"/>
      <c r="C199" s="9" t="n"/>
      <c r="D199" s="9" t="n"/>
      <c r="E199" s="9" t="n"/>
      <c r="F199" s="9" t="n"/>
      <c r="G199" s="9" t="n"/>
    </row>
    <row r="200">
      <c r="A200" s="9" t="n"/>
      <c r="B200" s="9" t="n"/>
      <c r="C200" s="9" t="n"/>
      <c r="D200" s="9" t="n"/>
      <c r="E200" s="9" t="n"/>
      <c r="F200" s="9" t="n"/>
      <c r="G200" s="9" t="n"/>
    </row>
    <row r="201">
      <c r="A201" s="9" t="n"/>
      <c r="B201" s="9" t="n"/>
      <c r="C201" s="9" t="n"/>
      <c r="D201" s="9" t="n"/>
      <c r="E201" s="9" t="n"/>
      <c r="F201" s="9" t="n"/>
      <c r="G201" s="9" t="n"/>
    </row>
    <row r="202">
      <c r="A202" s="9" t="n"/>
      <c r="B202" s="9" t="n"/>
      <c r="C202" s="9" t="n"/>
      <c r="D202" s="9" t="n"/>
      <c r="E202" s="9" t="n"/>
      <c r="F202" s="9" t="n"/>
      <c r="G202" s="9" t="n"/>
    </row>
    <row r="203">
      <c r="A203" s="9" t="n"/>
      <c r="B203" s="9" t="n"/>
      <c r="C203" s="9" t="n"/>
      <c r="D203" s="9" t="n"/>
      <c r="E203" s="9" t="n"/>
      <c r="F203" s="9" t="n"/>
      <c r="G203" s="9" t="n"/>
    </row>
    <row r="204">
      <c r="A204" s="9" t="n"/>
      <c r="B204" s="9" t="n"/>
      <c r="C204" s="9" t="n"/>
      <c r="D204" s="9" t="n"/>
      <c r="E204" s="9" t="n"/>
      <c r="F204" s="9" t="n"/>
      <c r="G204" s="9" t="n"/>
    </row>
    <row r="205">
      <c r="A205" s="9" t="n"/>
      <c r="B205" s="9" t="n"/>
      <c r="C205" s="9" t="n"/>
      <c r="D205" s="9" t="n"/>
      <c r="E205" s="9" t="n"/>
      <c r="F205" s="9" t="n"/>
      <c r="G205" s="9" t="n"/>
    </row>
    <row r="206">
      <c r="A206" s="9" t="n"/>
      <c r="B206" s="9" t="n"/>
      <c r="C206" s="9" t="n"/>
      <c r="D206" s="9" t="n"/>
      <c r="E206" s="9" t="n"/>
      <c r="F206" s="9" t="n"/>
      <c r="G206" s="9" t="n"/>
    </row>
    <row r="207">
      <c r="A207" s="9" t="n"/>
      <c r="B207" s="9" t="n"/>
      <c r="C207" s="9" t="n"/>
      <c r="D207" s="9" t="n"/>
      <c r="E207" s="9" t="n"/>
      <c r="F207" s="9" t="n"/>
      <c r="G207" s="9" t="n"/>
    </row>
    <row r="208">
      <c r="A208" s="9" t="n"/>
      <c r="B208" s="9" t="n"/>
      <c r="C208" s="9" t="n"/>
      <c r="D208" s="9" t="n"/>
      <c r="E208" s="9" t="n"/>
      <c r="F208" s="9" t="n"/>
      <c r="G208" s="9" t="n"/>
    </row>
    <row r="209">
      <c r="A209" s="9" t="n"/>
      <c r="B209" s="9" t="n"/>
      <c r="C209" s="9" t="n"/>
      <c r="D209" s="9" t="n"/>
      <c r="E209" s="9" t="n"/>
      <c r="F209" s="9" t="n"/>
      <c r="G209" s="9" t="n"/>
    </row>
    <row r="210">
      <c r="A210" s="9" t="n"/>
      <c r="B210" s="9" t="n"/>
      <c r="C210" s="9" t="n"/>
      <c r="D210" s="9" t="n"/>
      <c r="E210" s="9" t="n"/>
      <c r="F210" s="9" t="n"/>
      <c r="G210" s="9" t="n"/>
    </row>
    <row r="211">
      <c r="A211" s="9" t="n"/>
      <c r="B211" s="9" t="n"/>
      <c r="C211" s="9" t="n"/>
      <c r="D211" s="9" t="n"/>
      <c r="E211" s="9" t="n"/>
      <c r="F211" s="9" t="n"/>
      <c r="G211" s="9" t="n"/>
    </row>
    <row r="212">
      <c r="A212" s="9" t="n"/>
      <c r="B212" s="9" t="n"/>
      <c r="C212" s="9" t="n"/>
      <c r="D212" s="9" t="n"/>
      <c r="E212" s="9" t="n"/>
      <c r="F212" s="9" t="n"/>
      <c r="G212" s="9" t="n"/>
    </row>
    <row r="213">
      <c r="A213" s="9" t="n"/>
      <c r="B213" s="9" t="n"/>
      <c r="C213" s="9" t="n"/>
      <c r="D213" s="9" t="n"/>
      <c r="E213" s="9" t="n"/>
      <c r="F213" s="9" t="n"/>
      <c r="G213" s="9" t="n"/>
    </row>
    <row r="214">
      <c r="A214" s="9" t="n"/>
      <c r="B214" s="9" t="n"/>
      <c r="C214" s="9" t="n"/>
      <c r="D214" s="9" t="n"/>
      <c r="E214" s="9" t="n"/>
      <c r="F214" s="9" t="n"/>
      <c r="G214" s="9" t="n"/>
    </row>
    <row r="215">
      <c r="A215" s="9" t="n"/>
      <c r="B215" s="9" t="n"/>
      <c r="C215" s="9" t="n"/>
      <c r="D215" s="9" t="n"/>
      <c r="E215" s="9" t="n"/>
      <c r="F215" s="9" t="n"/>
      <c r="G215" s="9" t="n"/>
    </row>
    <row r="216">
      <c r="A216" s="9" t="n"/>
      <c r="B216" s="9" t="n"/>
      <c r="C216" s="9" t="n"/>
      <c r="D216" s="9" t="n"/>
      <c r="E216" s="9" t="n"/>
      <c r="F216" s="9" t="n"/>
      <c r="G216" s="9" t="n"/>
    </row>
    <row r="217">
      <c r="A217" s="9" t="n"/>
      <c r="B217" s="9" t="n"/>
      <c r="C217" s="9" t="n"/>
      <c r="D217" s="9" t="n"/>
      <c r="E217" s="9" t="n"/>
      <c r="F217" s="9" t="n"/>
      <c r="G217" s="9" t="n"/>
    </row>
    <row r="218">
      <c r="A218" s="9" t="n"/>
      <c r="B218" s="9" t="n"/>
      <c r="C218" s="9" t="n"/>
      <c r="D218" s="9" t="n"/>
      <c r="E218" s="9" t="n"/>
      <c r="F218" s="9" t="n"/>
      <c r="G218" s="9" t="n"/>
    </row>
    <row r="219">
      <c r="A219" s="9" t="n"/>
      <c r="B219" s="9" t="n"/>
      <c r="C219" s="9" t="n"/>
      <c r="D219" s="9" t="n"/>
      <c r="E219" s="9" t="n"/>
      <c r="F219" s="9" t="n"/>
      <c r="G219" s="9" t="n"/>
    </row>
    <row r="220">
      <c r="A220" s="9" t="n"/>
      <c r="B220" s="9" t="n"/>
      <c r="C220" s="9" t="n"/>
      <c r="D220" s="9" t="n"/>
      <c r="E220" s="9" t="n"/>
      <c r="F220" s="9" t="n"/>
      <c r="G220" s="9" t="n"/>
    </row>
    <row r="221">
      <c r="A221" s="9" t="n"/>
      <c r="B221" s="9" t="n"/>
      <c r="C221" s="9" t="n"/>
      <c r="D221" s="9" t="n"/>
      <c r="E221" s="9" t="n"/>
      <c r="F221" s="9" t="n"/>
      <c r="G221" s="9" t="n"/>
    </row>
    <row r="222">
      <c r="A222" s="9" t="n"/>
      <c r="B222" s="9" t="n"/>
      <c r="C222" s="9" t="n"/>
      <c r="D222" s="9" t="n"/>
      <c r="E222" s="9" t="n"/>
      <c r="F222" s="9" t="n"/>
      <c r="G222" s="9" t="n"/>
    </row>
    <row r="223">
      <c r="A223" s="9" t="n"/>
      <c r="B223" s="9" t="n"/>
      <c r="C223" s="9" t="n"/>
      <c r="D223" s="9" t="n"/>
      <c r="E223" s="9" t="n"/>
      <c r="F223" s="9" t="n"/>
      <c r="G223" s="9" t="n"/>
    </row>
    <row r="224">
      <c r="A224" s="9" t="n"/>
      <c r="B224" s="9" t="n"/>
      <c r="C224" s="9" t="n"/>
      <c r="D224" s="9" t="n"/>
      <c r="E224" s="9" t="n"/>
      <c r="F224" s="9" t="n"/>
      <c r="G224" s="9" t="n"/>
    </row>
    <row r="225">
      <c r="A225" s="9" t="n"/>
      <c r="B225" s="9" t="n"/>
      <c r="C225" s="9" t="n"/>
      <c r="D225" s="9" t="n"/>
      <c r="E225" s="9" t="n"/>
      <c r="F225" s="9" t="n"/>
      <c r="G225" s="9" t="n"/>
    </row>
    <row r="226">
      <c r="A226" s="9" t="n"/>
      <c r="B226" s="9" t="n"/>
      <c r="C226" s="9" t="n"/>
      <c r="D226" s="9" t="n"/>
      <c r="E226" s="9" t="n"/>
      <c r="F226" s="9" t="n"/>
      <c r="G226" s="9" t="n"/>
    </row>
    <row r="227">
      <c r="A227" s="9" t="n"/>
      <c r="B227" s="9" t="n"/>
      <c r="C227" s="9" t="n"/>
      <c r="D227" s="9" t="n"/>
      <c r="E227" s="9" t="n"/>
      <c r="F227" s="9" t="n"/>
      <c r="G227" s="9" t="n"/>
    </row>
    <row r="228">
      <c r="A228" s="9" t="n"/>
      <c r="B228" s="9" t="n"/>
      <c r="C228" s="9" t="n"/>
      <c r="D228" s="9" t="n"/>
      <c r="E228" s="9" t="n"/>
      <c r="F228" s="9" t="n"/>
      <c r="G228" s="9" t="n"/>
    </row>
    <row r="229">
      <c r="A229" s="9" t="n"/>
      <c r="B229" s="9" t="n"/>
      <c r="C229" s="9" t="n"/>
      <c r="D229" s="9" t="n"/>
      <c r="E229" s="9" t="n"/>
      <c r="F229" s="9" t="n"/>
      <c r="G229" s="9" t="n"/>
    </row>
    <row r="230">
      <c r="A230" s="9" t="n"/>
      <c r="B230" s="9" t="n"/>
      <c r="C230" s="9" t="n"/>
      <c r="D230" s="9" t="n"/>
      <c r="E230" s="9" t="n"/>
      <c r="F230" s="9" t="n"/>
      <c r="G230" s="9" t="n"/>
    </row>
    <row r="231">
      <c r="A231" s="9" t="n"/>
      <c r="B231" s="9" t="n"/>
      <c r="C231" s="9" t="n"/>
      <c r="D231" s="9" t="n"/>
      <c r="E231" s="9" t="n"/>
      <c r="F231" s="9" t="n"/>
      <c r="G231" s="9" t="n"/>
    </row>
    <row r="232">
      <c r="A232" s="9" t="n"/>
      <c r="B232" s="9" t="n"/>
      <c r="C232" s="9" t="n"/>
      <c r="D232" s="9" t="n"/>
      <c r="E232" s="9" t="n"/>
      <c r="F232" s="9" t="n"/>
      <c r="G232" s="9" t="n"/>
    </row>
    <row r="233">
      <c r="A233" s="9" t="n"/>
      <c r="B233" s="9" t="n"/>
      <c r="C233" s="9" t="n"/>
      <c r="D233" s="9" t="n"/>
      <c r="E233" s="9" t="n"/>
      <c r="F233" s="9" t="n"/>
      <c r="G233" s="9" t="n"/>
    </row>
    <row r="234">
      <c r="A234" s="9" t="n"/>
      <c r="B234" s="9" t="n"/>
      <c r="C234" s="9" t="n"/>
      <c r="D234" s="9" t="n"/>
      <c r="E234" s="9" t="n"/>
      <c r="F234" s="9" t="n"/>
      <c r="G234" s="9" t="n"/>
    </row>
    <row r="235">
      <c r="A235" s="9" t="n"/>
      <c r="B235" s="9" t="n"/>
      <c r="C235" s="9" t="n"/>
      <c r="D235" s="9" t="n"/>
      <c r="E235" s="9" t="n"/>
      <c r="F235" s="9" t="n"/>
      <c r="G235" s="9" t="n"/>
    </row>
    <row r="236">
      <c r="A236" s="9" t="n"/>
      <c r="B236" s="9" t="n"/>
      <c r="C236" s="9" t="n"/>
      <c r="D236" s="9" t="n"/>
      <c r="E236" s="9" t="n"/>
      <c r="F236" s="9" t="n"/>
      <c r="G236" s="9" t="n"/>
    </row>
    <row r="237">
      <c r="A237" s="9" t="n"/>
      <c r="B237" s="9" t="n"/>
      <c r="C237" s="9" t="n"/>
      <c r="D237" s="9" t="n"/>
      <c r="E237" s="9" t="n"/>
      <c r="F237" s="9" t="n"/>
      <c r="G237" s="9" t="n"/>
    </row>
    <row r="238">
      <c r="A238" s="9" t="n"/>
      <c r="B238" s="9" t="n"/>
      <c r="C238" s="9" t="n"/>
      <c r="D238" s="9" t="n"/>
      <c r="E238" s="9" t="n"/>
      <c r="F238" s="9" t="n"/>
      <c r="G238" s="9" t="n"/>
    </row>
    <row r="239">
      <c r="A239" s="9" t="n"/>
      <c r="B239" s="9" t="n"/>
      <c r="C239" s="9" t="n"/>
      <c r="D239" s="9" t="n"/>
      <c r="E239" s="9" t="n"/>
      <c r="F239" s="9" t="n"/>
      <c r="G239" s="9" t="n"/>
    </row>
    <row r="240">
      <c r="A240" s="9" t="n"/>
      <c r="B240" s="9" t="n"/>
      <c r="C240" s="9" t="n"/>
      <c r="D240" s="9" t="n"/>
      <c r="E240" s="9" t="n"/>
      <c r="F240" s="9" t="n"/>
      <c r="G240" s="9" t="n"/>
    </row>
    <row r="241">
      <c r="A241" s="9" t="n"/>
      <c r="B241" s="9" t="n"/>
      <c r="C241" s="9" t="n"/>
      <c r="D241" s="9" t="n"/>
      <c r="E241" s="9" t="n"/>
      <c r="F241" s="9" t="n"/>
      <c r="G241" s="9" t="n"/>
    </row>
    <row r="242">
      <c r="A242" s="9" t="n"/>
      <c r="B242" s="9" t="n"/>
      <c r="C242" s="9" t="n"/>
      <c r="D242" s="9" t="n"/>
      <c r="E242" s="9" t="n"/>
      <c r="F242" s="9" t="n"/>
      <c r="G242" s="9" t="n"/>
    </row>
    <row r="243">
      <c r="A243" s="9" t="n"/>
      <c r="B243" s="9" t="n"/>
      <c r="C243" s="9" t="n"/>
      <c r="D243" s="9" t="n"/>
      <c r="E243" s="9" t="n"/>
      <c r="F243" s="9" t="n"/>
      <c r="G243" s="9" t="n"/>
    </row>
    <row r="244">
      <c r="A244" s="9" t="n"/>
      <c r="B244" s="9" t="n"/>
      <c r="C244" s="9" t="n"/>
      <c r="D244" s="9" t="n"/>
      <c r="E244" s="9" t="n"/>
      <c r="F244" s="9" t="n"/>
      <c r="G244" s="9" t="n"/>
    </row>
    <row r="245">
      <c r="A245" s="9" t="n"/>
      <c r="B245" s="9" t="n"/>
      <c r="C245" s="9" t="n"/>
      <c r="D245" s="9" t="n"/>
      <c r="E245" s="9" t="n"/>
      <c r="F245" s="9" t="n"/>
      <c r="G245" s="9" t="n"/>
    </row>
    <row r="246">
      <c r="A246" s="9" t="n"/>
      <c r="B246" s="9" t="n"/>
      <c r="C246" s="9" t="n"/>
      <c r="D246" s="9" t="n"/>
      <c r="E246" s="9" t="n"/>
      <c r="F246" s="9" t="n"/>
      <c r="G246" s="9" t="n"/>
    </row>
    <row r="247">
      <c r="A247" s="9" t="n"/>
      <c r="B247" s="9" t="n"/>
      <c r="C247" s="9" t="n"/>
      <c r="D247" s="9" t="n"/>
      <c r="E247" s="9" t="n"/>
      <c r="F247" s="9" t="n"/>
      <c r="G247" s="9" t="n"/>
    </row>
    <row r="248">
      <c r="A248" s="9" t="n"/>
      <c r="B248" s="9" t="n"/>
      <c r="C248" s="9" t="n"/>
      <c r="D248" s="9" t="n"/>
      <c r="E248" s="9" t="n"/>
      <c r="F248" s="9" t="n"/>
      <c r="G248" s="9" t="n"/>
    </row>
    <row r="249">
      <c r="A249" s="9" t="n"/>
      <c r="B249" s="9" t="n"/>
      <c r="C249" s="9" t="n"/>
      <c r="D249" s="9" t="n"/>
      <c r="E249" s="9" t="n"/>
      <c r="F249" s="9" t="n"/>
      <c r="G249" s="9" t="n"/>
    </row>
    <row r="250">
      <c r="A250" s="9" t="n"/>
      <c r="B250" s="9" t="n"/>
      <c r="C250" s="9" t="n"/>
      <c r="D250" s="9" t="n"/>
      <c r="E250" s="9" t="n"/>
      <c r="F250" s="9" t="n"/>
      <c r="G250" s="9" t="n"/>
    </row>
    <row r="251">
      <c r="A251" s="9" t="n"/>
      <c r="B251" s="9" t="n"/>
      <c r="C251" s="9" t="n"/>
      <c r="D251" s="9" t="n"/>
      <c r="E251" s="9" t="n"/>
      <c r="F251" s="9" t="n"/>
      <c r="G251" s="9" t="n"/>
    </row>
    <row r="252">
      <c r="A252" s="9" t="n"/>
      <c r="B252" s="9" t="n"/>
      <c r="C252" s="9" t="n"/>
      <c r="D252" s="9" t="n"/>
      <c r="E252" s="9" t="n"/>
      <c r="F252" s="9" t="n"/>
      <c r="G252" s="9" t="n"/>
    </row>
    <row r="253">
      <c r="A253" s="9" t="n"/>
      <c r="B253" s="9" t="n"/>
      <c r="C253" s="9" t="n"/>
      <c r="D253" s="9" t="n"/>
      <c r="E253" s="9" t="n"/>
      <c r="F253" s="9" t="n"/>
      <c r="G253" s="9" t="n"/>
    </row>
    <row r="254">
      <c r="A254" s="9" t="n"/>
      <c r="B254" s="9" t="n"/>
      <c r="C254" s="9" t="n"/>
      <c r="D254" s="9" t="n"/>
      <c r="E254" s="9" t="n"/>
      <c r="F254" s="9" t="n"/>
      <c r="G254" s="9" t="n"/>
    </row>
    <row r="255">
      <c r="A255" s="9" t="n"/>
      <c r="B255" s="9" t="n"/>
      <c r="C255" s="9" t="n"/>
      <c r="D255" s="9" t="n"/>
      <c r="E255" s="9" t="n"/>
      <c r="F255" s="9" t="n"/>
      <c r="G255" s="9" t="n"/>
    </row>
    <row r="256">
      <c r="A256" s="9" t="n"/>
      <c r="B256" s="9" t="n"/>
      <c r="C256" s="9" t="n"/>
      <c r="D256" s="9" t="n"/>
      <c r="E256" s="9" t="n"/>
      <c r="F256" s="9" t="n"/>
      <c r="G256" s="9" t="n"/>
    </row>
    <row r="257">
      <c r="A257" s="9" t="n"/>
      <c r="B257" s="9" t="n"/>
      <c r="C257" s="9" t="n"/>
      <c r="D257" s="9" t="n"/>
      <c r="E257" s="9" t="n"/>
      <c r="F257" s="9" t="n"/>
      <c r="G257" s="9" t="n"/>
    </row>
    <row r="258">
      <c r="A258" s="9" t="n"/>
      <c r="B258" s="9" t="n"/>
      <c r="C258" s="9" t="n"/>
      <c r="D258" s="9" t="n"/>
      <c r="E258" s="9" t="n"/>
      <c r="F258" s="9" t="n"/>
      <c r="G258" s="9" t="n"/>
    </row>
    <row r="259">
      <c r="A259" s="9" t="n"/>
      <c r="B259" s="9" t="n"/>
      <c r="C259" s="9" t="n"/>
      <c r="D259" s="9" t="n"/>
      <c r="E259" s="9" t="n"/>
      <c r="F259" s="9" t="n"/>
      <c r="G259" s="9" t="n"/>
    </row>
    <row r="260">
      <c r="A260" s="9" t="n"/>
      <c r="B260" s="9" t="n"/>
      <c r="C260" s="9" t="n"/>
      <c r="D260" s="9" t="n"/>
      <c r="E260" s="9" t="n"/>
      <c r="F260" s="9" t="n"/>
      <c r="G260" s="9" t="n"/>
    </row>
    <row r="261">
      <c r="A261" s="9" t="n"/>
      <c r="B261" s="9" t="n"/>
      <c r="C261" s="9" t="n"/>
      <c r="D261" s="9" t="n"/>
      <c r="E261" s="9" t="n"/>
      <c r="F261" s="9" t="n"/>
      <c r="G261" s="9" t="n"/>
    </row>
    <row r="262">
      <c r="A262" s="9" t="n"/>
      <c r="B262" s="9" t="n"/>
      <c r="C262" s="9" t="n"/>
      <c r="D262" s="9" t="n"/>
      <c r="E262" s="9" t="n"/>
      <c r="F262" s="9" t="n"/>
      <c r="G262" s="9" t="n"/>
    </row>
    <row r="263">
      <c r="A263" s="9" t="n"/>
      <c r="B263" s="9" t="n"/>
      <c r="C263" s="9" t="n"/>
      <c r="D263" s="9" t="n"/>
      <c r="E263" s="9" t="n"/>
      <c r="F263" s="9" t="n"/>
      <c r="G263" s="9" t="n"/>
    </row>
    <row r="264">
      <c r="A264" s="9" t="n"/>
      <c r="B264" s="9" t="n"/>
      <c r="C264" s="9" t="n"/>
      <c r="D264" s="9" t="n"/>
      <c r="E264" s="9" t="n"/>
      <c r="F264" s="9" t="n"/>
      <c r="G264" s="9" t="n"/>
    </row>
    <row r="265">
      <c r="A265" s="9" t="n"/>
      <c r="B265" s="9" t="n"/>
      <c r="C265" s="9" t="n"/>
      <c r="D265" s="9" t="n"/>
      <c r="E265" s="9" t="n"/>
      <c r="F265" s="9" t="n"/>
      <c r="G265" s="9" t="n"/>
    </row>
    <row r="266">
      <c r="A266" s="9" t="n"/>
      <c r="B266" s="9" t="n"/>
      <c r="C266" s="9" t="n"/>
      <c r="D266" s="9" t="n"/>
      <c r="E266" s="9" t="n"/>
      <c r="F266" s="9" t="n"/>
      <c r="G266" s="9" t="n"/>
    </row>
    <row r="267">
      <c r="A267" s="9" t="n"/>
      <c r="B267" s="9" t="n"/>
      <c r="C267" s="9" t="n"/>
      <c r="D267" s="9" t="n"/>
      <c r="E267" s="9" t="n"/>
      <c r="F267" s="9" t="n"/>
      <c r="G267" s="9" t="n"/>
    </row>
    <row r="268">
      <c r="A268" s="9" t="n"/>
      <c r="B268" s="9" t="n"/>
      <c r="C268" s="9" t="n"/>
      <c r="D268" s="9" t="n"/>
      <c r="E268" s="9" t="n"/>
      <c r="F268" s="9" t="n"/>
      <c r="G268" s="9" t="n"/>
    </row>
    <row r="269">
      <c r="A269" s="9" t="n"/>
      <c r="B269" s="9" t="n"/>
      <c r="C269" s="9" t="n"/>
      <c r="D269" s="9" t="n"/>
      <c r="E269" s="9" t="n"/>
      <c r="F269" s="9" t="n"/>
      <c r="G269" s="9" t="n"/>
    </row>
    <row r="270">
      <c r="A270" s="9" t="n"/>
      <c r="B270" s="9" t="n"/>
      <c r="C270" s="9" t="n"/>
      <c r="D270" s="9" t="n"/>
      <c r="E270" s="9" t="n"/>
      <c r="F270" s="9" t="n"/>
      <c r="G270" s="9" t="n"/>
    </row>
    <row r="271">
      <c r="A271" s="9" t="n"/>
      <c r="B271" s="9" t="n"/>
      <c r="C271" s="9" t="n"/>
      <c r="D271" s="9" t="n"/>
      <c r="E271" s="9" t="n"/>
      <c r="F271" s="9" t="n"/>
      <c r="G271" s="9" t="n"/>
    </row>
    <row r="272">
      <c r="A272" s="9" t="n"/>
      <c r="B272" s="9" t="n"/>
      <c r="C272" s="9" t="n"/>
      <c r="D272" s="9" t="n"/>
      <c r="E272" s="9" t="n"/>
      <c r="F272" s="9" t="n"/>
      <c r="G272" s="9" t="n"/>
    </row>
    <row r="273">
      <c r="A273" s="9" t="n"/>
      <c r="B273" s="9" t="n"/>
      <c r="C273" s="9" t="n"/>
      <c r="D273" s="9" t="n"/>
      <c r="E273" s="9" t="n"/>
      <c r="F273" s="9" t="n"/>
      <c r="G273" s="9" t="n"/>
    </row>
    <row r="274">
      <c r="A274" s="9" t="n"/>
      <c r="B274" s="9" t="n"/>
      <c r="C274" s="9" t="n"/>
      <c r="D274" s="9" t="n"/>
      <c r="E274" s="9" t="n"/>
      <c r="F274" s="9" t="n"/>
      <c r="G274" s="9" t="n"/>
    </row>
    <row r="275">
      <c r="A275" s="9" t="n"/>
      <c r="B275" s="9" t="n"/>
      <c r="C275" s="9" t="n"/>
      <c r="D275" s="9" t="n"/>
      <c r="E275" s="9" t="n"/>
      <c r="F275" s="9" t="n"/>
      <c r="G275" s="9" t="n"/>
    </row>
    <row r="276">
      <c r="A276" s="9" t="n"/>
      <c r="B276" s="9" t="n"/>
      <c r="C276" s="9" t="n"/>
      <c r="D276" s="9" t="n"/>
      <c r="E276" s="9" t="n"/>
      <c r="F276" s="9" t="n"/>
      <c r="G276" s="9" t="n"/>
    </row>
    <row r="277">
      <c r="A277" s="9" t="n"/>
      <c r="B277" s="9" t="n"/>
      <c r="C277" s="9" t="n"/>
      <c r="D277" s="9" t="n"/>
      <c r="E277" s="9" t="n"/>
      <c r="F277" s="9" t="n"/>
      <c r="G277" s="9" t="n"/>
    </row>
    <row r="278">
      <c r="A278" s="9" t="n"/>
      <c r="B278" s="9" t="n"/>
      <c r="C278" s="9" t="n"/>
      <c r="D278" s="9" t="n"/>
      <c r="E278" s="9" t="n"/>
      <c r="F278" s="9" t="n"/>
      <c r="G278" s="9" t="n"/>
    </row>
    <row r="279">
      <c r="A279" s="9" t="n"/>
      <c r="B279" s="9" t="n"/>
      <c r="C279" s="9" t="n"/>
      <c r="D279" s="9" t="n"/>
      <c r="E279" s="9" t="n"/>
      <c r="F279" s="9" t="n"/>
      <c r="G279" s="9" t="n"/>
    </row>
    <row r="280">
      <c r="A280" s="9" t="n"/>
      <c r="B280" s="9" t="n"/>
      <c r="C280" s="9" t="n"/>
      <c r="D280" s="9" t="n"/>
      <c r="E280" s="9" t="n"/>
      <c r="F280" s="9" t="n"/>
      <c r="G280" s="9" t="n"/>
    </row>
    <row r="281">
      <c r="A281" s="9" t="n"/>
      <c r="B281" s="9" t="n"/>
      <c r="C281" s="9" t="n"/>
      <c r="D281" s="9" t="n"/>
      <c r="E281" s="9" t="n"/>
      <c r="F281" s="9" t="n"/>
      <c r="G281" s="9" t="n"/>
    </row>
    <row r="282">
      <c r="A282" s="9" t="n"/>
      <c r="B282" s="9" t="n"/>
      <c r="C282" s="9" t="n"/>
      <c r="D282" s="9" t="n"/>
      <c r="E282" s="9" t="n"/>
      <c r="F282" s="9" t="n"/>
      <c r="G282" s="9" t="n"/>
    </row>
    <row r="283">
      <c r="A283" s="9" t="n"/>
      <c r="B283" s="9" t="n"/>
      <c r="C283" s="9" t="n"/>
      <c r="D283" s="9" t="n"/>
      <c r="E283" s="9" t="n"/>
      <c r="F283" s="9" t="n"/>
      <c r="G283" s="9" t="n"/>
    </row>
    <row r="284">
      <c r="A284" s="9" t="n"/>
      <c r="B284" s="9" t="n"/>
      <c r="C284" s="9" t="n"/>
      <c r="D284" s="9" t="n"/>
      <c r="E284" s="9" t="n"/>
      <c r="F284" s="9" t="n"/>
      <c r="G284" s="9" t="n"/>
    </row>
    <row r="285">
      <c r="A285" s="9" t="n"/>
      <c r="B285" s="9" t="n"/>
      <c r="C285" s="9" t="n"/>
      <c r="D285" s="9" t="n"/>
      <c r="E285" s="9" t="n"/>
      <c r="F285" s="9" t="n"/>
      <c r="G285" s="9" t="n"/>
    </row>
    <row r="286">
      <c r="A286" s="9" t="n"/>
      <c r="B286" s="9" t="n"/>
      <c r="C286" s="9" t="n"/>
      <c r="D286" s="9" t="n"/>
      <c r="E286" s="9" t="n"/>
      <c r="F286" s="9" t="n"/>
      <c r="G286" s="9" t="n"/>
    </row>
    <row r="287">
      <c r="A287" s="9" t="n"/>
      <c r="B287" s="9" t="n"/>
      <c r="C287" s="9" t="n"/>
      <c r="D287" s="9" t="n"/>
      <c r="E287" s="9" t="n"/>
      <c r="F287" s="9" t="n"/>
      <c r="G287" s="9" t="n"/>
    </row>
    <row r="288">
      <c r="A288" s="9" t="n"/>
      <c r="B288" s="9" t="n"/>
      <c r="C288" s="9" t="n"/>
      <c r="D288" s="9" t="n"/>
      <c r="E288" s="9" t="n"/>
      <c r="F288" s="9" t="n"/>
      <c r="G288" s="9" t="n"/>
    </row>
    <row r="289">
      <c r="A289" s="9" t="n"/>
      <c r="B289" s="9" t="n"/>
      <c r="C289" s="9" t="n"/>
      <c r="D289" s="9" t="n"/>
      <c r="E289" s="9" t="n"/>
      <c r="F289" s="9" t="n"/>
      <c r="G289" s="9" t="n"/>
    </row>
    <row r="290">
      <c r="A290" s="9" t="n"/>
      <c r="B290" s="9" t="n"/>
      <c r="C290" s="9" t="n"/>
      <c r="D290" s="9" t="n"/>
      <c r="E290" s="9" t="n"/>
      <c r="F290" s="9" t="n"/>
      <c r="G290" s="9" t="n"/>
    </row>
    <row r="291">
      <c r="A291" s="9" t="n"/>
      <c r="B291" s="9" t="n"/>
      <c r="C291" s="9" t="n"/>
      <c r="D291" s="9" t="n"/>
      <c r="E291" s="9" t="n"/>
      <c r="F291" s="9" t="n"/>
      <c r="G291" s="9" t="n"/>
    </row>
    <row r="292">
      <c r="A292" s="9" t="n"/>
      <c r="B292" s="9" t="n"/>
      <c r="C292" s="9" t="n"/>
      <c r="D292" s="9" t="n"/>
      <c r="E292" s="9" t="n"/>
      <c r="F292" s="9" t="n"/>
      <c r="G292" s="9" t="n"/>
    </row>
    <row r="293">
      <c r="A293" s="9" t="n"/>
      <c r="B293" s="9" t="n"/>
      <c r="C293" s="9" t="n"/>
      <c r="D293" s="9" t="n"/>
      <c r="E293" s="9" t="n"/>
      <c r="F293" s="9" t="n"/>
      <c r="G293" s="9" t="n"/>
    </row>
    <row r="294">
      <c r="A294" s="9" t="n"/>
      <c r="B294" s="9" t="n"/>
      <c r="C294" s="9" t="n"/>
      <c r="D294" s="9" t="n"/>
      <c r="E294" s="9" t="n"/>
      <c r="F294" s="9" t="n"/>
      <c r="G294" s="9" t="n"/>
    </row>
    <row r="295">
      <c r="A295" s="9" t="n"/>
      <c r="B295" s="9" t="n"/>
      <c r="C295" s="9" t="n"/>
      <c r="D295" s="9" t="n"/>
      <c r="E295" s="9" t="n"/>
      <c r="F295" s="9" t="n"/>
      <c r="G295" s="9" t="n"/>
    </row>
    <row r="296">
      <c r="A296" s="9" t="n"/>
      <c r="B296" s="9" t="n"/>
      <c r="C296" s="9" t="n"/>
      <c r="D296" s="9" t="n"/>
      <c r="E296" s="9" t="n"/>
      <c r="F296" s="9" t="n"/>
      <c r="G296" s="9" t="n"/>
    </row>
    <row r="297">
      <c r="A297" s="9" t="n"/>
      <c r="B297" s="9" t="n"/>
      <c r="C297" s="9" t="n"/>
      <c r="D297" s="9" t="n"/>
      <c r="E297" s="9" t="n"/>
      <c r="F297" s="9" t="n"/>
      <c r="G297" s="9" t="n"/>
    </row>
    <row r="298">
      <c r="A298" s="9" t="n"/>
      <c r="B298" s="9" t="n"/>
      <c r="C298" s="9" t="n"/>
      <c r="D298" s="9" t="n"/>
      <c r="E298" s="9" t="n"/>
      <c r="F298" s="9" t="n"/>
      <c r="G298" s="9" t="n"/>
    </row>
    <row r="299">
      <c r="A299" s="9" t="n"/>
      <c r="B299" s="9" t="n"/>
      <c r="C299" s="9" t="n"/>
      <c r="D299" s="9" t="n"/>
      <c r="E299" s="9" t="n"/>
      <c r="F299" s="9" t="n"/>
      <c r="G299" s="9" t="n"/>
    </row>
    <row r="300">
      <c r="A300" s="9" t="n"/>
      <c r="B300" s="9" t="n"/>
      <c r="C300" s="9" t="n"/>
      <c r="D300" s="9" t="n"/>
      <c r="E300" s="9" t="n"/>
      <c r="F300" s="9" t="n"/>
      <c r="G300" s="9" t="n"/>
    </row>
    <row r="301">
      <c r="A301" s="9" t="n"/>
      <c r="B301" s="9" t="n"/>
      <c r="C301" s="9" t="n"/>
      <c r="D301" s="9" t="n"/>
      <c r="E301" s="9" t="n"/>
      <c r="F301" s="9" t="n"/>
      <c r="G301" s="9" t="n"/>
    </row>
    <row r="302">
      <c r="A302" s="9" t="n"/>
      <c r="B302" s="9" t="n"/>
      <c r="C302" s="9" t="n"/>
      <c r="D302" s="9" t="n"/>
      <c r="E302" s="9" t="n"/>
      <c r="F302" s="9" t="n"/>
      <c r="G302" s="9" t="n"/>
    </row>
  </sheetData>
  <dataValidations count="1">
    <dataValidation sqref="A3:A302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44" customWidth="1" min="3" max="3"/>
    <col width="40" customWidth="1" min="4" max="4"/>
  </cols>
  <sheetData>
    <row r="1">
      <c r="A1" s="1" t="inlineStr">
        <is>
          <t>설정 — 노란 칸만 고치십시오</t>
        </is>
      </c>
    </row>
    <row r="3">
      <c r="A3" s="3" t="inlineStr">
        <is>
          <t>항목</t>
        </is>
      </c>
      <c r="B3" s="3" t="inlineStr">
        <is>
          <t>산군 엑셀의 열 이름(1행 글자 그대로)</t>
        </is>
      </c>
      <c r="C3" s="3" t="inlineStr">
        <is>
          <t>찾은 열 번호</t>
        </is>
      </c>
      <c r="D3" s="3" t="inlineStr">
        <is>
          <t>상태</t>
        </is>
      </c>
    </row>
    <row r="4">
      <c r="A4" t="inlineStr">
        <is>
          <t>주소</t>
        </is>
      </c>
      <c r="B4" s="9" t="inlineStr">
        <is>
          <t>현장주소</t>
        </is>
      </c>
      <c r="C4" s="11">
        <f>IFERROR(MATCH(B4,'1.산군_붙여넣기'!$1:$1,0),"")</f>
        <v/>
      </c>
      <c r="D4" s="11">
        <f>IF(C4="","못 찾음 — B칸을 산군 엑셀 1행 글자와 똑같이","정상")</f>
        <v/>
      </c>
    </row>
    <row r="5">
      <c r="A5" t="inlineStr">
        <is>
          <t>건물명</t>
        </is>
      </c>
      <c r="B5" s="9" t="inlineStr">
        <is>
          <t>건물명</t>
        </is>
      </c>
      <c r="C5" s="11">
        <f>IFERROR(MATCH(B5,'1.산군_붙여넣기'!$1:$1,0),"")</f>
        <v/>
      </c>
      <c r="D5" s="11">
        <f>IF(C5="","못 찾음 — B칸을 산군 엑셀 1행 글자와 똑같이","정상")</f>
        <v/>
      </c>
    </row>
    <row r="6">
      <c r="A6" t="inlineStr">
        <is>
          <t>연면적</t>
        </is>
      </c>
      <c r="B6" s="9" t="inlineStr">
        <is>
          <t>연면적</t>
        </is>
      </c>
      <c r="C6" s="11">
        <f>IFERROR(MATCH(B6,'1.산군_붙여넣기'!$1:$1,0),"")</f>
        <v/>
      </c>
      <c r="D6" s="11">
        <f>IF(C6="","못 찾음 — B칸을 산군 엑셀 1행 글자와 똑같이","정상")</f>
        <v/>
      </c>
    </row>
    <row r="7">
      <c r="A7" t="inlineStr">
        <is>
          <t>주용도</t>
        </is>
      </c>
      <c r="B7" s="9" t="inlineStr">
        <is>
          <t>주용도</t>
        </is>
      </c>
      <c r="C7" s="11">
        <f>IFERROR(MATCH(B7,'1.산군_붙여넣기'!$1:$1,0),"")</f>
        <v/>
      </c>
      <c r="D7" s="11">
        <f>IF(C7="","못 찾음 — B칸을 산군 엑셀 1행 글자와 똑같이","정상")</f>
        <v/>
      </c>
    </row>
    <row r="8">
      <c r="A8" t="inlineStr">
        <is>
          <t>허가구분</t>
        </is>
      </c>
      <c r="B8" s="9" t="inlineStr">
        <is>
          <t>허가구분</t>
        </is>
      </c>
      <c r="C8" s="11">
        <f>IFERROR(MATCH(B8,'1.산군_붙여넣기'!$1:$1,0),"")</f>
        <v/>
      </c>
      <c r="D8" s="11">
        <f>IF(C8="","못 찾음 — B칸을 산군 엑셀 1행 글자와 똑같이","정상")</f>
        <v/>
      </c>
    </row>
    <row r="9">
      <c r="A9" t="inlineStr">
        <is>
          <t>설계사</t>
        </is>
      </c>
      <c r="B9" s="9" t="inlineStr">
        <is>
          <t>설계사</t>
        </is>
      </c>
      <c r="C9" s="11">
        <f>IFERROR(MATCH(B9,'1.산군_붙여넣기'!$1:$1,0),"")</f>
        <v/>
      </c>
      <c r="D9" s="11">
        <f>IF(C9="","못 찾음 — B칸을 산군 엑셀 1행 글자와 똑같이","정상")</f>
        <v/>
      </c>
    </row>
    <row r="10">
      <c r="A10" t="inlineStr">
        <is>
          <t>시공사</t>
        </is>
      </c>
      <c r="B10" s="9" t="inlineStr">
        <is>
          <t>시공사</t>
        </is>
      </c>
      <c r="C10" s="11">
        <f>IFERROR(MATCH(B10,'1.산군_붙여넣기'!$1:$1,0),"")</f>
        <v/>
      </c>
      <c r="D10" s="11">
        <f>IF(C10="","못 찾음 — B칸을 산군 엑셀 1행 글자와 똑같이","정상")</f>
        <v/>
      </c>
    </row>
    <row r="11">
      <c r="A11" t="inlineStr">
        <is>
          <t>감리</t>
        </is>
      </c>
      <c r="B11" s="9" t="inlineStr">
        <is>
          <t>감리</t>
        </is>
      </c>
      <c r="C11" s="11">
        <f>IFERROR(MATCH(B11,'1.산군_붙여넣기'!$1:$1,0),"")</f>
        <v/>
      </c>
      <c r="D11" s="11">
        <f>IF(C11="","못 찾음 — B칸을 산군 엑셀 1행 글자와 똑같이","정상")</f>
        <v/>
      </c>
    </row>
    <row r="12">
      <c r="A12" t="inlineStr">
        <is>
          <t>건축주</t>
        </is>
      </c>
      <c r="B12" s="9" t="inlineStr">
        <is>
          <t>건축주</t>
        </is>
      </c>
      <c r="C12" s="11">
        <f>IFERROR(MATCH(B12,'1.산군_붙여넣기'!$1:$1,0),"")</f>
        <v/>
      </c>
      <c r="D12" s="11">
        <f>IF(C12="","못 찾음 — B칸을 산군 엑셀 1행 글자와 똑같이","정상")</f>
        <v/>
      </c>
    </row>
    <row r="13">
      <c r="A13" t="inlineStr">
        <is>
          <t>공사단계</t>
        </is>
      </c>
      <c r="B13" s="9" t="inlineStr">
        <is>
          <t>공사단계</t>
        </is>
      </c>
      <c r="C13" s="11">
        <f>IFERROR(MATCH(B13,'1.산군_붙여넣기'!$1:$1,0),"")</f>
        <v/>
      </c>
      <c r="D13" s="11">
        <f>IF(C13="","못 찾음 — B칸을 산군 엑셀 1행 글자와 똑같이","정상")</f>
        <v/>
      </c>
    </row>
    <row r="14">
      <c r="A14" t="inlineStr">
        <is>
          <t>허가일</t>
        </is>
      </c>
      <c r="B14" s="9" t="inlineStr">
        <is>
          <t>허가일</t>
        </is>
      </c>
      <c r="C14" s="11">
        <f>IFERROR(MATCH(B14,'1.산군_붙여넣기'!$1:$1,0),"")</f>
        <v/>
      </c>
      <c r="D14" s="11">
        <f>IF(C14="","못 찾음 — B칸을 산군 엑셀 1행 글자와 똑같이","정상")</f>
        <v/>
      </c>
    </row>
    <row r="15">
      <c r="A15" t="inlineStr">
        <is>
          <t>착공일</t>
        </is>
      </c>
      <c r="B15" s="9" t="inlineStr">
        <is>
          <t>착공일</t>
        </is>
      </c>
      <c r="C15" s="11">
        <f>IFERROR(MATCH(B15,'1.산군_붙여넣기'!$1:$1,0),"")</f>
        <v/>
      </c>
      <c r="D15" s="11">
        <f>IF(C15="","못 찾음 — B칸을 산군 엑셀 1행 글자와 똑같이","정상")</f>
        <v/>
      </c>
    </row>
    <row r="18">
      <c r="A18" s="4" t="inlineStr">
        <is>
          <t>숫자 입력칸</t>
        </is>
      </c>
    </row>
    <row r="19">
      <c r="A19" t="inlineStr">
        <is>
          <t>연면적 최소(㎡) — 이보다 작으면 제외</t>
        </is>
      </c>
      <c r="B19" s="9" t="n">
        <v>1500</v>
      </c>
      <c r="C19" s="10" t="inlineStr">
        <is>
          <t>신규 현장 레이더 숙박 기준(프로님 확정값)을 기본값으로</t>
        </is>
      </c>
    </row>
    <row r="20">
      <c r="A20" t="inlineStr">
        <is>
          <t>재방문 간격(일)</t>
        </is>
      </c>
      <c r="B20" s="9" t="n">
        <v>14</v>
      </c>
      <c r="C20" s="10" t="inlineStr">
        <is>
          <t>0번 목록 32 「다녀오신 지 14일」</t>
        </is>
      </c>
    </row>
    <row r="21">
      <c r="A21" t="inlineStr">
        <is>
          <t>이번 주 지역(비우면 전국) — 시·도 첫 단어, 예: 서울특별시</t>
        </is>
      </c>
      <c r="B21" s="9" t="n"/>
      <c r="C21" s="10" t="inlineStr">
        <is>
          <t>5번 탭을 이 지역만 보기</t>
        </is>
      </c>
    </row>
    <row r="22">
      <c r="A22" t="inlineStr">
        <is>
          <t>산군 월 요금(원)</t>
        </is>
      </c>
      <c r="B22" s="15" t="n">
        <v>90000</v>
      </c>
      <c r="C22" s="10" t="inlineStr">
        <is>
          <t>2026-09-27 검색 확인</t>
        </is>
      </c>
    </row>
    <row r="23">
      <c r="A23" t="inlineStr">
        <is>
          <t>산군 사용 시작일</t>
        </is>
      </c>
      <c r="B23" s="8" t="n"/>
      <c r="C23" s="10" t="inlineStr">
        <is>
          <t>넣으시면 6.본전계산이 누적 비용을 냅니다</t>
        </is>
      </c>
    </row>
    <row r="24">
      <c r="A24" t="inlineStr">
        <is>
          <t>오늘 날짜</t>
        </is>
      </c>
      <c r="B24" s="14">
        <f>TODAY()</f>
        <v/>
      </c>
      <c r="C24" s="10" t="inlineStr">
        <is>
          <t>자동</t>
        </is>
      </c>
    </row>
    <row r="25">
      <c r="A25" t="inlineStr">
        <is>
          <t>산군 연결제 금액(원)</t>
        </is>
      </c>
      <c r="B25" s="15" t="n">
        <v>864000</v>
      </c>
      <c r="C25" s="10" t="inlineStr">
        <is>
          <t>2026-09-27 검색 확인(연 20% 할인)</t>
        </is>
      </c>
    </row>
    <row r="27">
      <c r="A27" s="4" t="inlineStr">
        <is>
          <t>대상 용도 키워드(주용도·건물명에 이 글자가 있으면 대상) — 10칸</t>
        </is>
      </c>
    </row>
    <row r="28">
      <c r="A28" s="9" t="inlineStr">
        <is>
          <t>숙박</t>
        </is>
      </c>
    </row>
    <row r="29">
      <c r="A29" s="9" t="inlineStr">
        <is>
          <t>호텔</t>
        </is>
      </c>
    </row>
    <row r="30">
      <c r="A30" s="9" t="inlineStr">
        <is>
          <t>리조트</t>
        </is>
      </c>
    </row>
    <row r="31">
      <c r="A31" s="9" t="inlineStr">
        <is>
          <t>콘도</t>
        </is>
      </c>
    </row>
    <row r="32">
      <c r="A32" s="9" t="inlineStr">
        <is>
          <t>기숙사</t>
        </is>
      </c>
    </row>
    <row r="33">
      <c r="A33" s="9" t="inlineStr">
        <is>
          <t>수련</t>
        </is>
      </c>
    </row>
    <row r="34">
      <c r="A34" s="9" t="inlineStr">
        <is>
          <t>연수</t>
        </is>
      </c>
    </row>
    <row r="35">
      <c r="A35" s="9" t="inlineStr">
        <is>
          <t>노유자</t>
        </is>
      </c>
    </row>
    <row r="36">
      <c r="A36" s="9" t="inlineStr">
        <is>
          <t>실버</t>
        </is>
      </c>
    </row>
    <row r="37">
      <c r="A37" s="9" t="inlineStr">
        <is>
          <t>스테이</t>
        </is>
      </c>
    </row>
    <row r="40">
      <c r="A40" s="4" t="inlineStr">
        <is>
          <t>공사단계 키워드 → 누구를 만나나(위에서부터 먼저 맞는 것) — 8칸. 안 맞으면 착공일 없음=설계사 / 있음=시공사</t>
        </is>
      </c>
    </row>
    <row r="41">
      <c r="A41" s="9" t="inlineStr">
        <is>
          <t>착공전</t>
        </is>
      </c>
      <c r="B41" s="9" t="inlineStr">
        <is>
          <t>설계사</t>
        </is>
      </c>
    </row>
    <row r="42">
      <c r="A42" s="9" t="inlineStr">
        <is>
          <t>설계</t>
        </is>
      </c>
      <c r="B42" s="9" t="inlineStr">
        <is>
          <t>설계사</t>
        </is>
      </c>
    </row>
    <row r="43">
      <c r="A43" s="9" t="inlineStr">
        <is>
          <t>인허가</t>
        </is>
      </c>
      <c r="B43" s="9" t="inlineStr">
        <is>
          <t>설계사</t>
        </is>
      </c>
    </row>
    <row r="44">
      <c r="A44" s="9" t="inlineStr">
        <is>
          <t>허가</t>
        </is>
      </c>
      <c r="B44" s="9" t="inlineStr">
        <is>
          <t>설계사</t>
        </is>
      </c>
    </row>
    <row r="45">
      <c r="A45" s="9" t="inlineStr">
        <is>
          <t>착공</t>
        </is>
      </c>
      <c r="B45" s="9" t="inlineStr">
        <is>
          <t>시공사</t>
        </is>
      </c>
    </row>
    <row r="46">
      <c r="A46" s="9" t="inlineStr">
        <is>
          <t>골조</t>
        </is>
      </c>
      <c r="B46" s="9" t="inlineStr">
        <is>
          <t>시공사</t>
        </is>
      </c>
    </row>
    <row r="47">
      <c r="A47" s="9" t="inlineStr">
        <is>
          <t>마감</t>
        </is>
      </c>
      <c r="B47" s="9" t="inlineStr">
        <is>
          <t>늦음</t>
        </is>
      </c>
    </row>
    <row r="48">
      <c r="A48" s="9" t="inlineStr">
        <is>
          <t>준공</t>
        </is>
      </c>
      <c r="B48" s="9" t="inlineStr">
        <is>
          <t>늦음</t>
        </is>
      </c>
    </row>
  </sheetData>
  <dataValidations count="1">
    <dataValidation sqref="B41:B48" showDropDown="0" showInputMessage="0" showErrorMessage="0" allowBlank="1" type="list">
      <formula1>"설계사,시공사,늦음"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2026-09-27T04:19:42Z</dcterms:created>
  <dcterms:modified xsi:type="dcterms:W3CDTF">2026-09-27T04:19:42Z</dcterms:modified>
</cp:coreProperties>
</file>